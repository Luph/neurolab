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<sst xmlns="http://schemas.openxmlformats.org/spreadsheetml/2006/main" count="3605" uniqueCount="2018">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</sst>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500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1.10503751834727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521.566058298159</v>
      </c>
      <c r="K16" s="13" t="n">
        <f aca="false">IF(Inputs!$F$33=1,Inputs!$F$60*Time!$F$16^((K8-Inputs!$F$212)/12),INDEX(Operations!$J$11:$BN$11,1,K12))</f>
        <v>525.925311960211</v>
      </c>
      <c r="L16" s="13" t="n">
        <f aca="false">IF(Inputs!$F$33=1,Inputs!$F$60*Time!$F$16^((L8-Inputs!$F$212)/12),INDEX(Operations!$J$11:$BN$11,1,L12))</f>
        <v>530.321000302373</v>
      </c>
      <c r="M16" s="13" t="n">
        <f aca="false">IF(Inputs!$F$33=1,Inputs!$F$60*Time!$F$16^((M8-Inputs!$F$212)/12),INDEX(Operations!$J$11:$BN$11,1,M12))</f>
        <v>534.753427846019</v>
      </c>
      <c r="N16" s="13" t="n">
        <f aca="false">IF(Inputs!$F$33=1,Inputs!$F$60*Time!$F$16^((N8-Inputs!$F$212)/12),INDEX(Operations!$J$11:$BN$11,1,N12))</f>
        <v>539.222901657714</v>
      </c>
      <c r="O16" s="13" t="n">
        <f aca="false">IF(Inputs!$F$33=1,Inputs!$F$60*Time!$F$16^((O8-Inputs!$F$212)/12),INDEX(Operations!$J$11:$BN$11,1,O12))</f>
        <v>543.729731370491</v>
      </c>
      <c r="P16" s="13" t="n">
        <f aca="false">IF(Inputs!$F$33=1,Inputs!$F$60*Time!$F$16^((P8-Inputs!$F$212)/12),INDEX(Operations!$J$11:$BN$11,1,P12))</f>
        <v>548.274229205296</v>
      </c>
      <c r="Q16" s="13" t="n">
        <f aca="false">IF(Inputs!$F$33=1,Inputs!$F$60*Time!$F$16^((Q8-Inputs!$F$212)/12),INDEX(Operations!$J$11:$BN$11,1,Q12))</f>
        <v>552.856709992621</v>
      </c>
      <c r="R16" s="13" t="n">
        <f aca="false">IF(Inputs!$F$33=1,Inputs!$F$60*Time!$F$16^((R8-Inputs!$F$212)/12),INDEX(Operations!$J$11:$BN$11,1,R12))</f>
        <v>557.477491194314</v>
      </c>
      <c r="S16" s="13" t="n">
        <f aca="false">IF(Inputs!$F$33=1,Inputs!$F$60*Time!$F$16^((S8-Inputs!$F$212)/12),INDEX(Operations!$J$11:$BN$11,1,S12))</f>
        <v>562.136892925574</v>
      </c>
      <c r="T16" s="13" t="n">
        <f aca="false">IF(Inputs!$F$33=1,Inputs!$F$60*Time!$F$16^((T8-Inputs!$F$212)/12),INDEX(Operations!$J$11:$BN$11,1,T12))</f>
        <v>566.835237977122</v>
      </c>
      <c r="U16" s="13" t="n">
        <f aca="false">IF(Inputs!$F$33=1,Inputs!$F$60*Time!$F$16^((U8-Inputs!$F$212)/12),INDEX(Operations!$J$11:$BN$11,1,U12))</f>
        <v>571.572851837569</v>
      </c>
      <c r="V16" s="13" t="n">
        <f aca="false">IF(Inputs!$F$33=1,Inputs!$F$60*Time!$F$16^((V8-Inputs!$F$212)/12),INDEX(Operations!$J$11:$BN$11,1,V12))</f>
        <v>576.350062715962</v>
      </c>
      <c r="W16" s="13" t="n">
        <f aca="false">IF(Inputs!$F$33=1,Inputs!$F$60*Time!$F$16^((W8-Inputs!$F$212)/12),INDEX(Operations!$J$11:$BN$11,1,W12))</f>
        <v>581.167201564523</v>
      </c>
      <c r="X16" s="13" t="n">
        <f aca="false">IF(Inputs!$F$33=1,Inputs!$F$60*Time!$F$16^((X8-Inputs!$F$212)/12),INDEX(Operations!$J$11:$BN$11,1,X12))</f>
        <v>586.024602101574</v>
      </c>
      <c r="Y16" s="13" t="n">
        <f aca="false">IF(Inputs!$F$33=1,Inputs!$F$60*Time!$F$16^((Y8-Inputs!$F$212)/12),INDEX(Operations!$J$11:$BN$11,1,Y12))</f>
        <v>590.922600834658</v>
      </c>
      <c r="Z16" s="13" t="n">
        <f aca="false">IF(Inputs!$F$33=1,Inputs!$F$60*Time!$F$16^((Z8-Inputs!$F$212)/12),INDEX(Operations!$J$11:$BN$11,1,Z12))</f>
        <v>595.861537083852</v>
      </c>
      <c r="AA16" s="13" t="n">
        <f aca="false">IF(Inputs!$F$33=1,Inputs!$F$60*Time!$F$16^((AA8-Inputs!$F$212)/12),INDEX(Operations!$J$11:$BN$11,1,AA12))</f>
        <v>600.841753005272</v>
      </c>
      <c r="AB16" s="13" t="n">
        <f aca="false">IF(Inputs!$F$33=1,Inputs!$F$60*Time!$F$16^((AB8-Inputs!$F$212)/12),INDEX(Operations!$J$11:$BN$11,1,AB12))</f>
        <v>605.86359361478</v>
      </c>
      <c r="AC16" s="13" t="n">
        <f aca="false">IF(Inputs!$F$33=1,Inputs!$F$60*Time!$F$16^((AC8-Inputs!$F$212)/12),INDEX(Operations!$J$11:$BN$11,1,AC12))</f>
        <v>610.927406811879</v>
      </c>
      <c r="AD16" s="13" t="n">
        <f aca="false">IF(Inputs!$F$33=1,Inputs!$F$60*Time!$F$16^((AD8-Inputs!$F$212)/12),INDEX(Operations!$J$11:$BN$11,1,AD12))</f>
        <v>616.033543403824</v>
      </c>
      <c r="AE16" s="13" t="n">
        <f aca="false">IF(Inputs!$F$33=1,Inputs!$F$60*Time!$F$16^((AE8-Inputs!$F$212)/12),INDEX(Operations!$J$11:$BN$11,1,AE12))</f>
        <v>621.182357129918</v>
      </c>
      <c r="AF16" s="13" t="n">
        <f aca="false">IF(Inputs!$F$33=1,Inputs!$F$60*Time!$F$16^((AF8-Inputs!$F$212)/12),INDEX(Operations!$J$11:$BN$11,1,AF12))</f>
        <v>626.37420468602</v>
      </c>
      <c r="AG16" s="13" t="n">
        <f aca="false">IF(Inputs!$F$33=1,Inputs!$F$60*Time!$F$16^((AG8-Inputs!$F$212)/12),INDEX(Operations!$J$11:$BN$11,1,AG12))</f>
        <v>631.609445749256</v>
      </c>
      <c r="AH16" s="13" t="n">
        <f aca="false">IF(Inputs!$F$33=1,Inputs!$F$60*Time!$F$16^((AH8-Inputs!$F$212)/12),INDEX(Operations!$J$11:$BN$11,1,AH12))</f>
        <v>636.888443002937</v>
      </c>
      <c r="AI16" s="13" t="n">
        <f aca="false">IF(Inputs!$F$33=1,Inputs!$F$60*Time!$F$16^((AI8-Inputs!$F$212)/12),INDEX(Operations!$J$11:$BN$11,1,AI12))</f>
        <v>642.211562161685</v>
      </c>
      <c r="AJ16" s="13" t="n">
        <f aca="false">IF(Inputs!$F$33=1,Inputs!$F$60*Time!$F$16^((AJ8-Inputs!$F$212)/12),INDEX(Operations!$J$11:$BN$11,1,AJ12))</f>
        <v>647.579171996766</v>
      </c>
      <c r="AK16" s="13" t="n">
        <f aca="false">IF(Inputs!$F$33=1,Inputs!$F$60*Time!$F$16^((AK8-Inputs!$F$212)/12),INDEX(Operations!$J$11:$BN$11,1,AK12))</f>
        <v>652.991644361642</v>
      </c>
      <c r="AL16" s="13" t="n">
        <f aca="false">IF(Inputs!$F$33=1,Inputs!$F$60*Time!$F$16^((AL8-Inputs!$F$212)/12),INDEX(Operations!$J$11:$BN$11,1,AL12))</f>
        <v>658.449354217726</v>
      </c>
      <c r="AM16" s="13" t="n">
        <f aca="false">IF(Inputs!$F$33=1,Inputs!$F$60*Time!$F$16^((AM8-Inputs!$F$212)/12),INDEX(Operations!$J$11:$BN$11,1,AM12))</f>
        <v>663.952679660367</v>
      </c>
      <c r="AN16" s="13" t="n">
        <f aca="false">IF(Inputs!$F$33=1,Inputs!$F$60*Time!$F$16^((AN8-Inputs!$F$212)/12),INDEX(Operations!$J$11:$BN$11,1,AN12))</f>
        <v>669.502001945032</v>
      </c>
      <c r="AO16" s="13" t="n">
        <f aca="false">IF(Inputs!$F$33=1,Inputs!$F$60*Time!$F$16^((AO8-Inputs!$F$212)/12),INDEX(Operations!$J$11:$BN$11,1,AO12))</f>
        <v>675.097705513729</v>
      </c>
      <c r="AP16" s="13" t="n">
        <f aca="false">IF(Inputs!$F$33=1,Inputs!$F$60*Time!$F$16^((AP8-Inputs!$F$212)/12),INDEX(Operations!$J$11:$BN$11,1,AP12))</f>
        <v>680.740178021634</v>
      </c>
      <c r="AQ16" s="13" t="n">
        <f aca="false">IF(Inputs!$F$33=1,Inputs!$F$60*Time!$F$16^((AQ8-Inputs!$F$212)/12),INDEX(Operations!$J$11:$BN$11,1,AQ12))</f>
        <v>686.429810363949</v>
      </c>
      <c r="AR16" s="13" t="n">
        <f aca="false">IF(Inputs!$F$33=1,Inputs!$F$60*Time!$F$16^((AR8-Inputs!$F$212)/12),INDEX(Operations!$J$11:$BN$11,1,AR12))</f>
        <v>692.166996702981</v>
      </c>
      <c r="AS16" s="13" t="n">
        <f aca="false">IF(Inputs!$F$33=1,Inputs!$F$60*Time!$F$16^((AS8-Inputs!$F$212)/12),INDEX(Operations!$J$11:$BN$11,1,AS12))</f>
        <v>697.95213449545</v>
      </c>
      <c r="AT16" s="13" t="n">
        <f aca="false">IF(Inputs!$F$33=1,Inputs!$F$60*Time!$F$16^((AT8-Inputs!$F$212)/12),INDEX(Operations!$J$11:$BN$11,1,AT12))</f>
        <v>703.785624520019</v>
      </c>
      <c r="AU16" s="13" t="n">
        <f aca="false">IF(Inputs!$F$33=1,Inputs!$F$60*Time!$F$16^((AU8-Inputs!$F$212)/12),INDEX(Operations!$J$11:$BN$11,1,AU12))</f>
        <v>709.667870905069</v>
      </c>
      <c r="AV16" s="13" t="n">
        <f aca="false">IF(Inputs!$F$33=1,Inputs!$F$60*Time!$F$16^((AV8-Inputs!$F$212)/12),INDEX(Operations!$J$11:$BN$11,1,AV12))</f>
        <v>715.599281156683</v>
      </c>
      <c r="AW16" s="13" t="n">
        <f aca="false">IF(Inputs!$F$33=1,Inputs!$F$60*Time!$F$16^((AW8-Inputs!$F$212)/12),INDEX(Operations!$J$11:$BN$11,1,AW12))</f>
        <v>721.580266186888</v>
      </c>
      <c r="AX16" s="13" t="n">
        <f aca="false">IF(Inputs!$F$33=1,Inputs!$F$60*Time!$F$16^((AX8-Inputs!$F$212)/12),INDEX(Operations!$J$11:$BN$11,1,AX12))</f>
        <v>727.611240342116</v>
      </c>
      <c r="AY16" s="13" t="n">
        <f aca="false">IF(Inputs!$F$33=1,Inputs!$F$60*Time!$F$16^((AY8-Inputs!$F$212)/12),INDEX(Operations!$J$11:$BN$11,1,AY12))</f>
        <v>733.692621431908</v>
      </c>
      <c r="AZ16" s="13" t="n">
        <f aca="false">IF(Inputs!$F$33=1,Inputs!$F$60*Time!$F$16^((AZ8-Inputs!$F$212)/12),INDEX(Operations!$J$11:$BN$11,1,AZ12))</f>
        <v>739.824830757864</v>
      </c>
      <c r="BA16" s="13" t="n">
        <f aca="false">IF(Inputs!$F$33=1,Inputs!$F$60*Time!$F$16^((BA8-Inputs!$F$212)/12),INDEX(Operations!$J$11:$BN$11,1,BA12))</f>
        <v>746.008293142824</v>
      </c>
      <c r="BB16" s="13" t="n">
        <f aca="false">IF(Inputs!$F$33=1,Inputs!$F$60*Time!$F$16^((BB8-Inputs!$F$212)/12),INDEX(Operations!$J$11:$BN$11,1,BB12))</f>
        <v>752.243436960302</v>
      </c>
      <c r="BC16" s="13" t="n">
        <f aca="false">IF(Inputs!$F$33=1,Inputs!$F$60*Time!$F$16^((BC8-Inputs!$F$212)/12),INDEX(Operations!$J$11:$BN$11,1,BC12))</f>
        <v>758.530694164162</v>
      </c>
      <c r="BD16" s="13" t="n">
        <f aca="false">IF(Inputs!$F$33=1,Inputs!$F$60*Time!$F$16^((BD8-Inputs!$F$212)/12),INDEX(Operations!$J$11:$BN$11,1,BD12))</f>
        <v>764.870500318542</v>
      </c>
      <c r="BE16" s="13" t="n">
        <f aca="false">IF(Inputs!$F$33=1,Inputs!$F$60*Time!$F$16^((BE8-Inputs!$F$212)/12),INDEX(Operations!$J$11:$BN$11,1,BE12))</f>
        <v>771.263294628028</v>
      </c>
      <c r="BF16" s="13" t="n">
        <f aca="false">IF(Inputs!$F$33=1,Inputs!$F$60*Time!$F$16^((BF8-Inputs!$F$212)/12),INDEX(Operations!$J$11:$BN$11,1,BF12))</f>
        <v>777.709519968082</v>
      </c>
      <c r="BG16" s="13" t="n">
        <f aca="false">IF(Inputs!$F$33=1,Inputs!$F$60*Time!$F$16^((BG8-Inputs!$F$212)/12),INDEX(Operations!$J$11:$BN$11,1,BG12))</f>
        <v>784.209622915724</v>
      </c>
      <c r="BH16" s="13" t="n">
        <f aca="false">IF(Inputs!$F$33=1,Inputs!$F$60*Time!$F$16^((BH8-Inputs!$F$212)/12),INDEX(Operations!$J$11:$BN$11,1,BH12))</f>
        <v>790.764053780468</v>
      </c>
      <c r="BI16" s="13" t="n">
        <f aca="false">IF(Inputs!$F$33=1,Inputs!$F$60*Time!$F$16^((BI8-Inputs!$F$212)/12),INDEX(Operations!$J$11:$BN$11,1,BI12))</f>
        <v>797.373266635518</v>
      </c>
      <c r="BJ16" s="13" t="n">
        <f aca="false">IF(Inputs!$F$33=1,Inputs!$F$60*Time!$F$16^((BJ8-Inputs!$F$212)/12),INDEX(Operations!$J$11:$BN$11,1,BJ12))</f>
        <v>804.037719349227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1.49957073603986</v>
      </c>
      <c r="J38" s="13" t="n">
        <f aca="false">I37*(J18+Inputs!$F$71)/100*J11/Inputs!$F$248/J16</f>
        <v>0</v>
      </c>
      <c r="K38" s="13" t="n">
        <f aca="false">J37*(K18+Inputs!$F$71)/100*K11/Inputs!$F$248/K16</f>
        <v>0.0193262097067693</v>
      </c>
      <c r="L38" s="13" t="n">
        <f aca="false">K37*(L18+Inputs!$F$71)/100*L11/Inputs!$F$248/L16</f>
        <v>0.0198262765547459</v>
      </c>
      <c r="M38" s="13" t="n">
        <f aca="false">L37*(M18+Inputs!$F$71)/100*M11/Inputs!$F$248/M16</f>
        <v>0.0192430367833172</v>
      </c>
      <c r="N38" s="13" t="n">
        <f aca="false">M37*(N18+Inputs!$F$71)/100*N11/Inputs!$F$248/N16</f>
        <v>0.0203505445549349</v>
      </c>
      <c r="O38" s="13" t="n">
        <f aca="false">N37*(O18+Inputs!$F$71)/100*O11/Inputs!$F$248/O16</f>
        <v>0.0213976439725266</v>
      </c>
      <c r="P38" s="13" t="n">
        <f aca="false">O37*(P18+Inputs!$F$71)/100*P11/Inputs!$F$248/P16</f>
        <v>0.0209166869762367</v>
      </c>
      <c r="Q38" s="13" t="n">
        <f aca="false">P37*(Q18+Inputs!$F$71)/100*Q11/Inputs!$F$248/Q16</f>
        <v>0.0257197034316658</v>
      </c>
      <c r="R38" s="13" t="n">
        <f aca="false">Q37*(R18+Inputs!$F$71)/100*R11/Inputs!$F$248/R16</f>
        <v>0.0281909098615669</v>
      </c>
      <c r="S38" s="13" t="n">
        <f aca="false">R37*(S18+Inputs!$F$71)/100*S11/Inputs!$F$248/S16</f>
        <v>0.0333981530401694</v>
      </c>
      <c r="T38" s="13" t="n">
        <f aca="false">S37*(T18+Inputs!$F$71)/100*T11/Inputs!$F$248/T16</f>
        <v>0.0193214297391497</v>
      </c>
      <c r="U38" s="13" t="n">
        <f aca="false">T37*(U18+Inputs!$F$71)/100*U11/Inputs!$F$248/U16</f>
        <v>0.0259651591985222</v>
      </c>
      <c r="V38" s="13" t="n">
        <f aca="false">U37*(V18+Inputs!$F$71)/100*V11/Inputs!$F$248/V16</f>
        <v>0.0324604554376554</v>
      </c>
      <c r="W38" s="13" t="n">
        <f aca="false">V37*(W18+Inputs!$F$71)/100*W11/Inputs!$F$248/W16</f>
        <v>0.0378891031298709</v>
      </c>
      <c r="X38" s="13" t="n">
        <f aca="false">W37*(X18+Inputs!$F$71)/100*X11/Inputs!$F$248/X16</f>
        <v>0.0457529338103608</v>
      </c>
      <c r="Y38" s="13" t="n">
        <f aca="false">X37*(Y18+Inputs!$F$71)/100*Y11/Inputs!$F$248/Y16</f>
        <v>0.0503242572835993</v>
      </c>
      <c r="Z38" s="13" t="n">
        <f aca="false">Y37*(Z18+Inputs!$F$71)/100*Z11/Inputs!$F$248/Z16</f>
        <v>0.0576685884671014</v>
      </c>
      <c r="AA38" s="13" t="n">
        <f aca="false">Z37*(AA18+Inputs!$F$71)/100*AA11/Inputs!$F$248/AA16</f>
        <v>0.0625588165187292</v>
      </c>
      <c r="AB38" s="13" t="n">
        <f aca="false">AA37*(AB18+Inputs!$F$71)/100*AB11/Inputs!$F$248/AB16</f>
        <v>0.0622237991178304</v>
      </c>
      <c r="AC38" s="13" t="n">
        <f aca="false">AB37*(AC18+Inputs!$F$71)/100*AC11/Inputs!$F$248/AC16</f>
        <v>0.0694179482215882</v>
      </c>
      <c r="AD38" s="13" t="n">
        <f aca="false">AC37*(AD18+Inputs!$F$71)/100*AD11/Inputs!$F$248/AD16</f>
        <v>0.0688898320829205</v>
      </c>
      <c r="AE38" s="13" t="n">
        <f aca="false">AD37*(AE18+Inputs!$F$71)/100*AE11/Inputs!$F$248/AE16</f>
        <v>0.0717759566874025</v>
      </c>
      <c r="AF38" s="13" t="n">
        <f aca="false">AE37*(AF18+Inputs!$F$71)/100*AF11/Inputs!$F$248/AF16</f>
        <v>0.0688848629607379</v>
      </c>
      <c r="AG38" s="13" t="n">
        <f aca="false">AF37*(AG18+Inputs!$F$71)/100*AG11/Inputs!$F$248/AG16</f>
        <v>0.069430662523736</v>
      </c>
      <c r="AH38" s="13" t="n">
        <f aca="false">AG37*(AH18+Inputs!$F$71)/100*AH11/Inputs!$F$248/AH16</f>
        <v>0.0665883131640066</v>
      </c>
      <c r="AI38" s="13" t="n">
        <f aca="false">AH37*(AI18+Inputs!$F$71)/100*AI11/Inputs!$F$248/AI16</f>
        <v>0.0607262575081003</v>
      </c>
      <c r="AJ38" s="13" t="n">
        <f aca="false">AI37*(AJ18+Inputs!$F$71)/100*AJ11/Inputs!$F$248/AJ16</f>
        <v>0.0580437892515112</v>
      </c>
      <c r="AK38" s="13" t="n">
        <f aca="false">AJ37*(AK18+Inputs!$F$71)/100*AK11/Inputs!$F$248/AK16</f>
        <v>0.0509256535084007</v>
      </c>
      <c r="AL38" s="13" t="n">
        <f aca="false">AK37*(AL18+Inputs!$F$71)/100*AL11/Inputs!$F$248/AL16</f>
        <v>0.0466687359256475</v>
      </c>
      <c r="AM38" s="13" t="n">
        <f aca="false">AL37*(AM18+Inputs!$F$71)/100*AM11/Inputs!$F$248/AM16</f>
        <v>0.0403829153079278</v>
      </c>
      <c r="AN38" s="13" t="n">
        <f aca="false">AM37*(AN18+Inputs!$F$71)/100*AN11/Inputs!$F$248/AN16</f>
        <v>0.0306973099015154</v>
      </c>
      <c r="AO38" s="13" t="n">
        <f aca="false">AN37*(AO18+Inputs!$F$71)/100*AO11/Inputs!$F$248/AO16</f>
        <v>0.0277124116620197</v>
      </c>
      <c r="AP38" s="13" t="n">
        <f aca="false">AO37*(AP18+Inputs!$F$71)/100*AP11/Inputs!$F$248/AP16</f>
        <v>0.0210979743255065</v>
      </c>
      <c r="AQ38" s="13" t="n">
        <f aca="false">AP37*(AQ18+Inputs!$F$71)/100*AQ11/Inputs!$F$248/AQ16</f>
        <v>0.0279625776232737</v>
      </c>
      <c r="AR38" s="13" t="n">
        <f aca="false">AQ37*(AR18+Inputs!$F$71)/100*AR11/Inputs!$F$248/AR16</f>
        <v>0.0225778961722771</v>
      </c>
      <c r="AS38" s="13" t="n">
        <f aca="false">AR37*(AS18+Inputs!$F$71)/100*AS11/Inputs!$F$248/AS16</f>
        <v>0.0195055220077343</v>
      </c>
      <c r="AT38" s="13" t="n">
        <f aca="false">AS37*(AT18+Inputs!$F$71)/100*AT11/Inputs!$F$248/AT16</f>
        <v>0.0164731607317042</v>
      </c>
      <c r="AU38" s="13" t="n">
        <f aca="false">AT37*(AU18+Inputs!$F$71)/100*AU11/Inputs!$F$248/AU16</f>
        <v>0.0137334571760117</v>
      </c>
      <c r="AV38" s="13" t="n">
        <f aca="false">AU37*(AV18+Inputs!$F$71)/100*AV11/Inputs!$F$248/AV16</f>
        <v>0.0125891662254691</v>
      </c>
      <c r="AW38" s="13" t="n">
        <f aca="false">AV37*(AW18+Inputs!$F$71)/100*AW11/Inputs!$F$248/AW16</f>
        <v>0.0111955123093978</v>
      </c>
      <c r="AX38" s="13" t="n">
        <f aca="false">AW37*(AX18+Inputs!$F$71)/100*AX11/Inputs!$F$248/AX16</f>
        <v>0.0110052619580846</v>
      </c>
      <c r="AY38" s="13" t="n">
        <f aca="false">AX37*(AY18+Inputs!$F$71)/100*AY11/Inputs!$F$248/AY16</f>
        <v>0.0107518512201377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532.532602542251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559.802344382297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588.4685055523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618.602593401194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650.279777001037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683.579074655238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718.583551008639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755.380524251144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794.061783931752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834.72381992634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877.468063130345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922.401138476752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969.635130910538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1019.28786498304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1071.48319876371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1126.35133280234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1184.02913491264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1244.66048158704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1308.39661689472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1375.39652975785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1445.8273505473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1519.86476798705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1597.69346740738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1679.50759143986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1765.51122430349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1855.91890089009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1950.95614191857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2050.86001649337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2155.87973347005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2266.27726310346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2382.32799052891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2504.32140270668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2632.5618105433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2767.36910799093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2909.07957001855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3058.04669144519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3214.64206872802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3379.25632690465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3552.30009400193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3734.20502534201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3925.42488030065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4126.43665420382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4337.74176818604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4559.86731997858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4793.36739874758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5038.82446726193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5296.85081483871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5568.0900846906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5853.21887948506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6152.94844912051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6468.02646492953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6799.23888473478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7147.41191341016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7513.41406383755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7898.15832340043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8302.60443141848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8727.76127320421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532.532602542251</v>
      </c>
      <c r="K11" s="13" t="n">
        <f aca="false">K10/(1-Inputs!$F$43*Time!K39)</f>
        <v>559.802344382297</v>
      </c>
      <c r="L11" s="13" t="n">
        <f aca="false">L10/(1-Inputs!$F$43*Time!L39)</f>
        <v>588.4685055523</v>
      </c>
      <c r="M11" s="13" t="n">
        <f aca="false">M10/(1-Inputs!$F$43*Time!M39)</f>
        <v>618.602593401194</v>
      </c>
      <c r="N11" s="13" t="n">
        <f aca="false">N10/(1-Inputs!$F$43*Time!N39)</f>
        <v>650.279777001037</v>
      </c>
      <c r="O11" s="13" t="n">
        <f aca="false">O10/(1-Inputs!$F$43*Time!O39)</f>
        <v>683.579074655238</v>
      </c>
      <c r="P11" s="13" t="n">
        <f aca="false">P10/(1-Inputs!$F$43*Time!P39)</f>
        <v>718.583551008639</v>
      </c>
      <c r="Q11" s="13" t="n">
        <f aca="false">Q10/(1-Inputs!$F$43*Time!Q39)</f>
        <v>755.380524251144</v>
      </c>
      <c r="R11" s="13" t="n">
        <f aca="false">R10/(1-Inputs!$F$43*Time!R39)</f>
        <v>794.061783931752</v>
      </c>
      <c r="S11" s="13" t="n">
        <f aca="false">S10/(1-Inputs!$F$43*Time!S39)</f>
        <v>834.72381992634</v>
      </c>
      <c r="T11" s="13" t="n">
        <f aca="false">T10/(1-Inputs!$F$43*Time!T39)</f>
        <v>877.468063130345</v>
      </c>
      <c r="U11" s="13" t="n">
        <f aca="false">U10/(1-Inputs!$F$43*Time!U39)</f>
        <v>922.401138476752</v>
      </c>
      <c r="V11" s="13" t="n">
        <f aca="false">V10/(1-Inputs!$F$43*Time!V39)</f>
        <v>969.635130910538</v>
      </c>
      <c r="W11" s="13" t="n">
        <f aca="false">W10/(1-Inputs!$F$43*Time!W39)</f>
        <v>1019.28786498304</v>
      </c>
      <c r="X11" s="13" t="n">
        <f aca="false">X10/(1-Inputs!$F$43*Time!X39)</f>
        <v>1071.48319876371</v>
      </c>
      <c r="Y11" s="13" t="n">
        <f aca="false">Y10/(1-Inputs!$F$43*Time!Y39)</f>
        <v>1126.35133280234</v>
      </c>
      <c r="Z11" s="13" t="n">
        <f aca="false">Z10/(1-Inputs!$F$43*Time!Z39)</f>
        <v>1184.02913491264</v>
      </c>
      <c r="AA11" s="13" t="n">
        <f aca="false">AA10/(1-Inputs!$F$43*Time!AA39)</f>
        <v>1244.66048158704</v>
      </c>
      <c r="AB11" s="13" t="n">
        <f aca="false">AB10/(1-Inputs!$F$43*Time!AB39)</f>
        <v>1308.39661689472</v>
      </c>
      <c r="AC11" s="13" t="n">
        <f aca="false">AC10/(1-Inputs!$F$43*Time!AC39)</f>
        <v>1375.39652975785</v>
      </c>
      <c r="AD11" s="13" t="n">
        <f aca="false">AD10/(1-Inputs!$F$43*Time!AD39)</f>
        <v>1445.8273505473</v>
      </c>
      <c r="AE11" s="13" t="n">
        <f aca="false">AE10/(1-Inputs!$F$43*Time!AE39)</f>
        <v>1519.86476798705</v>
      </c>
      <c r="AF11" s="13" t="n">
        <f aca="false">AF10/(1-Inputs!$F$43*Time!AF39)</f>
        <v>1597.69346740738</v>
      </c>
      <c r="AG11" s="13" t="n">
        <f aca="false">AG10/(1-Inputs!$F$43*Time!AG39)</f>
        <v>1679.50759143986</v>
      </c>
      <c r="AH11" s="13" t="n">
        <f aca="false">AH10/(1-Inputs!$F$43*Time!AH39)</f>
        <v>1765.51122430349</v>
      </c>
      <c r="AI11" s="13" t="n">
        <f aca="false">AI10/(1-Inputs!$F$43*Time!AI39)</f>
        <v>1855.91890089009</v>
      </c>
      <c r="AJ11" s="13" t="n">
        <f aca="false">AJ10/(1-Inputs!$F$43*Time!AJ39)</f>
        <v>1950.95614191857</v>
      </c>
      <c r="AK11" s="13" t="n">
        <f aca="false">AK10/(1-Inputs!$F$43*Time!AK39)</f>
        <v>2050.86001649337</v>
      </c>
      <c r="AL11" s="13" t="n">
        <f aca="false">AL10/(1-Inputs!$F$43*Time!AL39)</f>
        <v>2155.87973347005</v>
      </c>
      <c r="AM11" s="13" t="n">
        <f aca="false">AM10/(1-Inputs!$F$43*Time!AM39)</f>
        <v>2266.27726310346</v>
      </c>
      <c r="AN11" s="13" t="n">
        <f aca="false">AN10/(1-Inputs!$F$43*Time!AN39)</f>
        <v>2382.32799052891</v>
      </c>
      <c r="AO11" s="13" t="n">
        <f aca="false">AO10/(1-Inputs!$F$43*Time!AO39)</f>
        <v>2504.32140270668</v>
      </c>
      <c r="AP11" s="13" t="n">
        <f aca="false">AP10/(1-Inputs!$F$43*Time!AP39)</f>
        <v>2632.5618105433</v>
      </c>
      <c r="AQ11" s="13" t="n">
        <f aca="false">AQ10/(1-Inputs!$F$43*Time!AQ39)</f>
        <v>2767.36910799093</v>
      </c>
      <c r="AR11" s="13" t="n">
        <f aca="false">AR10/(1-Inputs!$F$43*Time!AR39)</f>
        <v>2909.07957001855</v>
      </c>
      <c r="AS11" s="13" t="n">
        <f aca="false">AS10/(1-Inputs!$F$43*Time!AS39)</f>
        <v>3058.04669144519</v>
      </c>
      <c r="AT11" s="13" t="n">
        <f aca="false">AT10/(1-Inputs!$F$43*Time!AT39)</f>
        <v>3214.64206872802</v>
      </c>
      <c r="AU11" s="13" t="n">
        <f aca="false">AU10/(1-Inputs!$F$43*Time!AU39)</f>
        <v>3379.25632690465</v>
      </c>
      <c r="AV11" s="13" t="n">
        <f aca="false">AV10/(1-Inputs!$F$43*Time!AV39)</f>
        <v>3552.30009400193</v>
      </c>
      <c r="AW11" s="13" t="n">
        <f aca="false">AW10/(1-Inputs!$F$43*Time!AW39)</f>
        <v>3734.20502534201</v>
      </c>
      <c r="AX11" s="13" t="n">
        <f aca="false">AX10/(1-Inputs!$F$43*Time!AX39)</f>
        <v>3925.42488030065</v>
      </c>
      <c r="AY11" s="13" t="n">
        <f aca="false">AY10/(1-Inputs!$F$43*Time!AY39)</f>
        <v>4126.43665420382</v>
      </c>
      <c r="AZ11" s="13" t="n">
        <f aca="false">AZ10/(1-Inputs!$F$43*Time!AZ39)</f>
        <v>4337.74176818604</v>
      </c>
      <c r="BA11" s="13" t="n">
        <f aca="false">BA10/(1-Inputs!$F$43*Time!BA39)</f>
        <v>4559.86731997858</v>
      </c>
      <c r="BB11" s="13" t="n">
        <f aca="false">BB10/(1-Inputs!$F$43*Time!BB39)</f>
        <v>4793.36739874758</v>
      </c>
      <c r="BC11" s="13" t="n">
        <f aca="false">BC10/(1-Inputs!$F$43*Time!BC39)</f>
        <v>5038.82446726193</v>
      </c>
      <c r="BD11" s="13" t="n">
        <f aca="false">BD10/(1-Inputs!$F$43*Time!BD39)</f>
        <v>5296.85081483871</v>
      </c>
      <c r="BE11" s="13" t="n">
        <f aca="false">BE10/(1-Inputs!$F$43*Time!BE39)</f>
        <v>5568.0900846906</v>
      </c>
      <c r="BF11" s="13" t="n">
        <f aca="false">BF10/(1-Inputs!$F$43*Time!BF39)</f>
        <v>5853.21887948506</v>
      </c>
      <c r="BG11" s="13" t="n">
        <f aca="false">BG10/(1-Inputs!$F$43*Time!BG39)</f>
        <v>6152.94844912051</v>
      </c>
      <c r="BH11" s="13" t="n">
        <f aca="false">BH10/(1-Inputs!$F$43*Time!BH39)</f>
        <v>6468.02646492953</v>
      </c>
      <c r="BI11" s="13" t="n">
        <f aca="false">BI10/(1-Inputs!$F$43*Time!BI39)</f>
        <v>6799.23888473478</v>
      </c>
      <c r="BJ11" s="13" t="n">
        <f aca="false">BJ10/(1-Inputs!$F$43*Time!BJ39)</f>
        <v>7147.41191341016</v>
      </c>
      <c r="BK11" s="13" t="n">
        <f aca="false">BK10/(1-Inputs!$F$43*Time!BK39)</f>
        <v>7513.41406383755</v>
      </c>
      <c r="BL11" s="13" t="n">
        <f aca="false">BL10/(1-Inputs!$F$43*Time!BL39)</f>
        <v>7898.15832340043</v>
      </c>
      <c r="BM11" s="13" t="n">
        <f aca="false">BM10/(1-Inputs!$F$43*Time!BM39)</f>
        <v>8302.60443141848</v>
      </c>
      <c r="BN11" s="13" t="n">
        <f aca="false">BN10/(1-Inputs!$F$43*Time!BN39)</f>
        <v>8727.76127320421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98.3918103619239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98.3918103619239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96.3824410915496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92.3637025508009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92.0207791643195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91.3349323913567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91.5981317184463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92.1245303726257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92.5161589288098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93.299416041178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93.4038742274084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93.6127905998691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93.6164944548082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93.6239021646865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92.2983386312921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89.6472115645033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91.1473236410446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94.1475477941271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93.1937349113757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91.2861091458728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91.3343893390857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91.4309497255116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90.7521875472553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89.3946631907428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91.0675600500108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94.4133537685468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94.2003650269972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93.7743875438979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94.8159889083628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96.8991916372926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93.7776154652444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87.534463121148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90.5091614227311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96.4585580258974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95.0008553275622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92.0854499308918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91.5827990827002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90.5774973863171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89.7266478339208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88.0249487291283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90.6034706488875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95.7605144884059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95.5422473092447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95.1057129509223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94.0065265529718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91.8081537570707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90.3368436004355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87.3942232871649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90.1396818059661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95.6305988435686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95.6305988435686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98.3918103619239</v>
      </c>
      <c r="P32" s="13" t="n">
        <f aca="false">IF(Time!P30&gt;0,P31+Inputs!$F$37,0)</f>
        <v>98.3918103619239</v>
      </c>
      <c r="Q32" s="13" t="n">
        <f aca="false">IF(Time!Q30&gt;0,Q31+Inputs!$F$37,0)</f>
        <v>96.3824410915496</v>
      </c>
      <c r="R32" s="13" t="n">
        <f aca="false">IF(Time!R30&gt;0,R31+Inputs!$F$37,0)</f>
        <v>92.3637025508009</v>
      </c>
      <c r="S32" s="13" t="n">
        <f aca="false">IF(Time!S30&gt;0,S31+Inputs!$F$37,0)</f>
        <v>92.0207791643195</v>
      </c>
      <c r="T32" s="13" t="n">
        <f aca="false">IF(Time!T30&gt;0,T31+Inputs!$F$37,0)</f>
        <v>91.3349323913567</v>
      </c>
      <c r="U32" s="13" t="n">
        <f aca="false">IF(Time!U30&gt;0,U31+Inputs!$F$37,0)</f>
        <v>91.5981317184463</v>
      </c>
      <c r="V32" s="13" t="n">
        <f aca="false">IF(Time!V30&gt;0,V31+Inputs!$F$37,0)</f>
        <v>92.1245303726257</v>
      </c>
      <c r="W32" s="13" t="n">
        <f aca="false">IF(Time!W30&gt;0,W31+Inputs!$F$37,0)</f>
        <v>92.5161589288098</v>
      </c>
      <c r="X32" s="13" t="n">
        <f aca="false">IF(Time!X30&gt;0,X31+Inputs!$F$37,0)</f>
        <v>93.299416041178</v>
      </c>
      <c r="Y32" s="13" t="n">
        <f aca="false">IF(Time!Y30&gt;0,Y31+Inputs!$F$37,0)</f>
        <v>93.4038742274084</v>
      </c>
      <c r="Z32" s="13" t="n">
        <f aca="false">IF(Time!Z30&gt;0,Z31+Inputs!$F$37,0)</f>
        <v>93.6127905998691</v>
      </c>
      <c r="AA32" s="13" t="n">
        <f aca="false">IF(Time!AA30&gt;0,AA31+Inputs!$F$37,0)</f>
        <v>93.6164944548082</v>
      </c>
      <c r="AB32" s="13" t="n">
        <f aca="false">IF(Time!AB30&gt;0,AB31+Inputs!$F$37,0)</f>
        <v>93.6239021646865</v>
      </c>
      <c r="AC32" s="13" t="n">
        <f aca="false">IF(Time!AC30&gt;0,AC31+Inputs!$F$37,0)</f>
        <v>92.2983386312921</v>
      </c>
      <c r="AD32" s="13" t="n">
        <f aca="false">IF(Time!AD30&gt;0,AD31+Inputs!$F$37,0)</f>
        <v>89.6472115645033</v>
      </c>
      <c r="AE32" s="13" t="n">
        <f aca="false">IF(Time!AE30&gt;0,AE31+Inputs!$F$37,0)</f>
        <v>91.1473236410446</v>
      </c>
      <c r="AF32" s="13" t="n">
        <f aca="false">IF(Time!AF30&gt;0,AF31+Inputs!$F$37,0)</f>
        <v>94.1475477941271</v>
      </c>
      <c r="AG32" s="13" t="n">
        <f aca="false">IF(Time!AG30&gt;0,AG31+Inputs!$F$37,0)</f>
        <v>93.1937349113757</v>
      </c>
      <c r="AH32" s="13" t="n">
        <f aca="false">IF(Time!AH30&gt;0,AH31+Inputs!$F$37,0)</f>
        <v>91.2861091458728</v>
      </c>
      <c r="AI32" s="13" t="n">
        <f aca="false">IF(Time!AI30&gt;0,AI31+Inputs!$F$37,0)</f>
        <v>91.3343893390857</v>
      </c>
      <c r="AJ32" s="13" t="n">
        <f aca="false">IF(Time!AJ30&gt;0,AJ31+Inputs!$F$37,0)</f>
        <v>91.4309497255116</v>
      </c>
      <c r="AK32" s="13" t="n">
        <f aca="false">IF(Time!AK30&gt;0,AK31+Inputs!$F$37,0)</f>
        <v>90.7521875472553</v>
      </c>
      <c r="AL32" s="13" t="n">
        <f aca="false">IF(Time!AL30&gt;0,AL31+Inputs!$F$37,0)</f>
        <v>89.3946631907428</v>
      </c>
      <c r="AM32" s="13" t="n">
        <f aca="false">IF(Time!AM30&gt;0,AM31+Inputs!$F$37,0)</f>
        <v>91.0675600500108</v>
      </c>
      <c r="AN32" s="13" t="n">
        <f aca="false">IF(Time!AN30&gt;0,AN31+Inputs!$F$37,0)</f>
        <v>94.4133537685468</v>
      </c>
      <c r="AO32" s="13" t="n">
        <f aca="false">IF(Time!AO30&gt;0,AO31+Inputs!$F$37,0)</f>
        <v>94.2003650269972</v>
      </c>
      <c r="AP32" s="13" t="n">
        <f aca="false">IF(Time!AP30&gt;0,AP31+Inputs!$F$37,0)</f>
        <v>93.7743875438979</v>
      </c>
      <c r="AQ32" s="13" t="n">
        <f aca="false">IF(Time!AQ30&gt;0,AQ31+Inputs!$F$37,0)</f>
        <v>94.8159889083628</v>
      </c>
      <c r="AR32" s="13" t="n">
        <f aca="false">IF(Time!AR30&gt;0,AR31+Inputs!$F$37,0)</f>
        <v>96.8991916372926</v>
      </c>
      <c r="AS32" s="13" t="n">
        <f aca="false">IF(Time!AS30&gt;0,AS31+Inputs!$F$37,0)</f>
        <v>93.7776154652444</v>
      </c>
      <c r="AT32" s="13" t="n">
        <f aca="false">IF(Time!AT30&gt;0,AT31+Inputs!$F$37,0)</f>
        <v>87.534463121148</v>
      </c>
      <c r="AU32" s="13" t="n">
        <f aca="false">IF(Time!AU30&gt;0,AU31+Inputs!$F$37,0)</f>
        <v>90.5091614227311</v>
      </c>
      <c r="AV32" s="13" t="n">
        <f aca="false">IF(Time!AV30&gt;0,AV31+Inputs!$F$37,0)</f>
        <v>96.4585580258974</v>
      </c>
      <c r="AW32" s="13" t="n">
        <f aca="false">IF(Time!AW30&gt;0,AW31+Inputs!$F$37,0)</f>
        <v>95.0008553275622</v>
      </c>
      <c r="AX32" s="13" t="n">
        <f aca="false">IF(Time!AX30&gt;0,AX31+Inputs!$F$37,0)</f>
        <v>92.0854499308918</v>
      </c>
      <c r="AY32" s="13" t="n">
        <f aca="false">IF(Time!AY30&gt;0,AY31+Inputs!$F$37,0)</f>
        <v>91.5827990827002</v>
      </c>
      <c r="AZ32" s="13" t="n">
        <f aca="false">IF(Time!AZ30&gt;0,AZ31+Inputs!$F$37,0)</f>
        <v>90.5774973863171</v>
      </c>
      <c r="BA32" s="13" t="n">
        <f aca="false">IF(Time!BA30&gt;0,BA31+Inputs!$F$37,0)</f>
        <v>89.7266478339208</v>
      </c>
      <c r="BB32" s="13" t="n">
        <f aca="false">IF(Time!BB30&gt;0,BB31+Inputs!$F$37,0)</f>
        <v>88.0249487291283</v>
      </c>
      <c r="BC32" s="13" t="n">
        <f aca="false">IF(Time!BC30&gt;0,BC31+Inputs!$F$37,0)</f>
        <v>90.6034706488875</v>
      </c>
      <c r="BD32" s="13" t="n">
        <f aca="false">IF(Time!BD30&gt;0,BD31+Inputs!$F$37,0)</f>
        <v>95.7605144884059</v>
      </c>
      <c r="BE32" s="13" t="n">
        <f aca="false">IF(Time!BE30&gt;0,BE31+Inputs!$F$37,0)</f>
        <v>95.5422473092447</v>
      </c>
      <c r="BF32" s="13" t="n">
        <f aca="false">IF(Time!BF30&gt;0,BF31+Inputs!$F$37,0)</f>
        <v>95.1057129509223</v>
      </c>
      <c r="BG32" s="13" t="n">
        <f aca="false">IF(Time!BG30&gt;0,BG31+Inputs!$F$37,0)</f>
        <v>94.0065265529718</v>
      </c>
      <c r="BH32" s="13" t="n">
        <f aca="false">IF(Time!BH30&gt;0,BH31+Inputs!$F$37,0)</f>
        <v>91.8081537570707</v>
      </c>
      <c r="BI32" s="13" t="n">
        <f aca="false">IF(Time!BI30&gt;0,BI31+Inputs!$F$37,0)</f>
        <v>90.3368436004355</v>
      </c>
      <c r="BJ32" s="13" t="n">
        <f aca="false">IF(Time!BJ30&gt;0,BJ31+Inputs!$F$37,0)</f>
        <v>87.3942232871649</v>
      </c>
      <c r="BK32" s="13" t="n">
        <f aca="false">IF(Time!BK30&gt;0,BK31+Inputs!$F$37,0)</f>
        <v>90.1396818059661</v>
      </c>
      <c r="BL32" s="13" t="n">
        <f aca="false">IF(Time!BL30&gt;0,BL31+Inputs!$F$37,0)</f>
        <v>95.6305988435686</v>
      </c>
      <c r="BM32" s="13" t="n">
        <f aca="false">IF(Time!BM30&gt;0,BM31+Inputs!$F$37,0)</f>
        <v>95.6305988435686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66.7077215746124</v>
      </c>
      <c r="K37" s="13" t="n">
        <f aca="false">IF(Inputs!$F$312=1,INDEX(Inputs!$AJ$313:$AJ$1312,Inputs!$F$311),IF(AND(Inputs!$F$55=1,Inputs!K303&gt;0),Inputs!K303,Inputs!$F$38))</f>
        <v>66.7077215746124</v>
      </c>
      <c r="L37" s="13" t="n">
        <f aca="false">IF(Inputs!$F$312=1,INDEX(Inputs!$AJ$313:$AJ$1312,Inputs!$F$311),IF(AND(Inputs!$F$55=1,Inputs!L303&gt;0),Inputs!L303,Inputs!$F$38))</f>
        <v>66.7077215746124</v>
      </c>
      <c r="M37" s="13" t="n">
        <f aca="false">IF(Inputs!$F$312=1,INDEX(Inputs!$AJ$313:$AJ$1312,Inputs!$F$311),IF(AND(Inputs!$F$55=1,Inputs!M303&gt;0),Inputs!M303,Inputs!$F$38))</f>
        <v>66.7077215746124</v>
      </c>
      <c r="N37" s="13" t="n">
        <f aca="false">IF(Inputs!$F$312=1,INDEX(Inputs!$AJ$313:$AJ$1312,Inputs!$F$311),IF(AND(Inputs!$F$55=1,Inputs!N303&gt;0),Inputs!N303,Inputs!$F$38))</f>
        <v>66.7077215746124</v>
      </c>
      <c r="O37" s="13" t="n">
        <f aca="false">IF(Inputs!$F$312=1,INDEX(Inputs!$AJ$313:$AJ$1312,Inputs!$F$311),IF(AND(Inputs!$F$55=1,Inputs!O303&gt;0),Inputs!O303,Inputs!$F$38))</f>
        <v>66.7077215746124</v>
      </c>
      <c r="P37" s="13" t="n">
        <f aca="false">IF(Inputs!$F$312=1,INDEX(Inputs!$AJ$313:$AJ$1312,Inputs!$F$311),IF(AND(Inputs!$F$55=1,Inputs!P303&gt;0),Inputs!P303,Inputs!$F$38))</f>
        <v>66.7077215746124</v>
      </c>
      <c r="Q37" s="13" t="n">
        <f aca="false">IF(Inputs!$F$312=1,INDEX(Inputs!$AJ$313:$AJ$1312,Inputs!$F$311),IF(AND(Inputs!$F$55=1,Inputs!Q303&gt;0),Inputs!Q303,Inputs!$F$38))</f>
        <v>66.7077215746124</v>
      </c>
      <c r="R37" s="13" t="n">
        <f aca="false">IF(Inputs!$F$312=1,INDEX(Inputs!$AJ$313:$AJ$1312,Inputs!$F$311),IF(AND(Inputs!$F$55=1,Inputs!R303&gt;0),Inputs!R303,Inputs!$F$38))</f>
        <v>66.7077215746124</v>
      </c>
      <c r="S37" s="13" t="n">
        <f aca="false">IF(Inputs!$F$312=1,INDEX(Inputs!$AJ$313:$AJ$1312,Inputs!$F$311),IF(AND(Inputs!$F$55=1,Inputs!S303&gt;0),Inputs!S303,Inputs!$F$38))</f>
        <v>66.7077215746124</v>
      </c>
      <c r="T37" s="13" t="n">
        <f aca="false">IF(Inputs!$F$312=1,INDEX(Inputs!$AJ$313:$AJ$1312,Inputs!$F$311),IF(AND(Inputs!$F$55=1,Inputs!T303&gt;0),Inputs!T303,Inputs!$F$38))</f>
        <v>66.7077215746124</v>
      </c>
      <c r="U37" s="13" t="n">
        <f aca="false">IF(Inputs!$F$312=1,INDEX(Inputs!$AJ$313:$AJ$1312,Inputs!$F$311),IF(AND(Inputs!$F$55=1,Inputs!U303&gt;0),Inputs!U303,Inputs!$F$38))</f>
        <v>66.7077215746124</v>
      </c>
      <c r="V37" s="13" t="n">
        <f aca="false">IF(Inputs!$F$312=1,INDEX(Inputs!$AJ$313:$AJ$1312,Inputs!$F$311),IF(AND(Inputs!$F$55=1,Inputs!V303&gt;0),Inputs!V303,Inputs!$F$38))</f>
        <v>66.7077215746124</v>
      </c>
      <c r="W37" s="13" t="n">
        <f aca="false">IF(Inputs!$F$312=1,INDEX(Inputs!$AJ$313:$AJ$1312,Inputs!$F$311),IF(AND(Inputs!$F$55=1,Inputs!W303&gt;0),Inputs!W303,Inputs!$F$38))</f>
        <v>66.7077215746124</v>
      </c>
      <c r="X37" s="13" t="n">
        <f aca="false">IF(Inputs!$F$312=1,INDEX(Inputs!$AJ$313:$AJ$1312,Inputs!$F$311),IF(AND(Inputs!$F$55=1,Inputs!X303&gt;0),Inputs!X303,Inputs!$F$38))</f>
        <v>66.7077215746124</v>
      </c>
      <c r="Y37" s="13" t="n">
        <f aca="false">IF(Inputs!$F$312=1,INDEX(Inputs!$AJ$313:$AJ$1312,Inputs!$F$311),IF(AND(Inputs!$F$55=1,Inputs!Y303&gt;0),Inputs!Y303,Inputs!$F$38))</f>
        <v>66.7077215746124</v>
      </c>
      <c r="Z37" s="13" t="n">
        <f aca="false">IF(Inputs!$F$312=1,INDEX(Inputs!$AJ$313:$AJ$1312,Inputs!$F$311),IF(AND(Inputs!$F$55=1,Inputs!Z303&gt;0),Inputs!Z303,Inputs!$F$38))</f>
        <v>66.7077215746124</v>
      </c>
      <c r="AA37" s="13" t="n">
        <f aca="false">IF(Inputs!$F$312=1,INDEX(Inputs!$AJ$313:$AJ$1312,Inputs!$F$311),IF(AND(Inputs!$F$55=1,Inputs!AA303&gt;0),Inputs!AA303,Inputs!$F$38))</f>
        <v>66.7077215746124</v>
      </c>
      <c r="AB37" s="13" t="n">
        <f aca="false">IF(Inputs!$F$312=1,INDEX(Inputs!$AJ$313:$AJ$1312,Inputs!$F$311),IF(AND(Inputs!$F$55=1,Inputs!AB303&gt;0),Inputs!AB303,Inputs!$F$38))</f>
        <v>66.7077215746124</v>
      </c>
      <c r="AC37" s="13" t="n">
        <f aca="false">IF(Inputs!$F$312=1,INDEX(Inputs!$AJ$313:$AJ$1312,Inputs!$F$311),IF(AND(Inputs!$F$55=1,Inputs!AC303&gt;0),Inputs!AC303,Inputs!$F$38))</f>
        <v>66.7077215746124</v>
      </c>
      <c r="AD37" s="13" t="n">
        <f aca="false">IF(Inputs!$F$312=1,INDEX(Inputs!$AJ$313:$AJ$1312,Inputs!$F$311),IF(AND(Inputs!$F$55=1,Inputs!AD303&gt;0),Inputs!AD303,Inputs!$F$38))</f>
        <v>66.7077215746124</v>
      </c>
      <c r="AE37" s="13" t="n">
        <f aca="false">IF(Inputs!$F$312=1,INDEX(Inputs!$AJ$313:$AJ$1312,Inputs!$F$311),IF(AND(Inputs!$F$55=1,Inputs!AE303&gt;0),Inputs!AE303,Inputs!$F$38))</f>
        <v>66.7077215746124</v>
      </c>
      <c r="AF37" s="13" t="n">
        <f aca="false">IF(Inputs!$F$312=1,INDEX(Inputs!$AJ$313:$AJ$1312,Inputs!$F$311),IF(AND(Inputs!$F$55=1,Inputs!AF303&gt;0),Inputs!AF303,Inputs!$F$38))</f>
        <v>66.7077215746124</v>
      </c>
      <c r="AG37" s="13" t="n">
        <f aca="false">IF(Inputs!$F$312=1,INDEX(Inputs!$AJ$313:$AJ$1312,Inputs!$F$311),IF(AND(Inputs!$F$55=1,Inputs!AG303&gt;0),Inputs!AG303,Inputs!$F$38))</f>
        <v>66.7077215746124</v>
      </c>
      <c r="AH37" s="13" t="n">
        <f aca="false">IF(Inputs!$F$312=1,INDEX(Inputs!$AJ$313:$AJ$1312,Inputs!$F$311),IF(AND(Inputs!$F$55=1,Inputs!AH303&gt;0),Inputs!AH303,Inputs!$F$38))</f>
        <v>66.7077215746124</v>
      </c>
      <c r="AI37" s="13" t="n">
        <f aca="false">IF(Inputs!$F$312=1,INDEX(Inputs!$AJ$313:$AJ$1312,Inputs!$F$311),IF(AND(Inputs!$F$55=1,Inputs!AI303&gt;0),Inputs!AI303,Inputs!$F$38))</f>
        <v>66.7077215746124</v>
      </c>
      <c r="AJ37" s="13" t="n">
        <f aca="false">IF(Inputs!$F$312=1,INDEX(Inputs!$AJ$313:$AJ$1312,Inputs!$F$311),IF(AND(Inputs!$F$55=1,Inputs!AJ303&gt;0),Inputs!AJ303,Inputs!$F$38))</f>
        <v>66.7077215746124</v>
      </c>
      <c r="AK37" s="13" t="n">
        <f aca="false">IF(Inputs!$F$312=1,INDEX(Inputs!$AJ$313:$AJ$1312,Inputs!$F$311),IF(AND(Inputs!$F$55=1,Inputs!AK303&gt;0),Inputs!AK303,Inputs!$F$38))</f>
        <v>66.7077215746124</v>
      </c>
      <c r="AL37" s="13" t="n">
        <f aca="false">IF(Inputs!$F$312=1,INDEX(Inputs!$AJ$313:$AJ$1312,Inputs!$F$311),IF(AND(Inputs!$F$55=1,Inputs!AL303&gt;0),Inputs!AL303,Inputs!$F$38))</f>
        <v>66.7077215746124</v>
      </c>
      <c r="AM37" s="13" t="n">
        <f aca="false">IF(Inputs!$F$312=1,INDEX(Inputs!$AJ$313:$AJ$1312,Inputs!$F$311),IF(AND(Inputs!$F$55=1,Inputs!AM303&gt;0),Inputs!AM303,Inputs!$F$38))</f>
        <v>66.7077215746124</v>
      </c>
      <c r="AN37" s="13" t="n">
        <f aca="false">IF(Inputs!$F$312=1,INDEX(Inputs!$AJ$313:$AJ$1312,Inputs!$F$311),IF(AND(Inputs!$F$55=1,Inputs!AN303&gt;0),Inputs!AN303,Inputs!$F$38))</f>
        <v>66.7077215746124</v>
      </c>
      <c r="AO37" s="13" t="n">
        <f aca="false">IF(Inputs!$F$312=1,INDEX(Inputs!$AJ$313:$AJ$1312,Inputs!$F$311),IF(AND(Inputs!$F$55=1,Inputs!AO303&gt;0),Inputs!AO303,Inputs!$F$38))</f>
        <v>66.7077215746124</v>
      </c>
      <c r="AP37" s="13" t="n">
        <f aca="false">IF(Inputs!$F$312=1,INDEX(Inputs!$AJ$313:$AJ$1312,Inputs!$F$311),IF(AND(Inputs!$F$55=1,Inputs!AP303&gt;0),Inputs!AP303,Inputs!$F$38))</f>
        <v>66.7077215746124</v>
      </c>
      <c r="AQ37" s="13" t="n">
        <f aca="false">IF(Inputs!$F$312=1,INDEX(Inputs!$AJ$313:$AJ$1312,Inputs!$F$311),IF(AND(Inputs!$F$55=1,Inputs!AQ303&gt;0),Inputs!AQ303,Inputs!$F$38))</f>
        <v>66.7077215746124</v>
      </c>
      <c r="AR37" s="13" t="n">
        <f aca="false">IF(Inputs!$F$312=1,INDEX(Inputs!$AJ$313:$AJ$1312,Inputs!$F$311),IF(AND(Inputs!$F$55=1,Inputs!AR303&gt;0),Inputs!AR303,Inputs!$F$38))</f>
        <v>66.7077215746124</v>
      </c>
      <c r="AS37" s="13" t="n">
        <f aca="false">IF(Inputs!$F$312=1,INDEX(Inputs!$AJ$313:$AJ$1312,Inputs!$F$311),IF(AND(Inputs!$F$55=1,Inputs!AS303&gt;0),Inputs!AS303,Inputs!$F$38))</f>
        <v>66.7077215746124</v>
      </c>
      <c r="AT37" s="13" t="n">
        <f aca="false">IF(Inputs!$F$312=1,INDEX(Inputs!$AJ$313:$AJ$1312,Inputs!$F$311),IF(AND(Inputs!$F$55=1,Inputs!AT303&gt;0),Inputs!AT303,Inputs!$F$38))</f>
        <v>66.7077215746124</v>
      </c>
      <c r="AU37" s="13" t="n">
        <f aca="false">IF(Inputs!$F$312=1,INDEX(Inputs!$AJ$313:$AJ$1312,Inputs!$F$311),IF(AND(Inputs!$F$55=1,Inputs!AU303&gt;0),Inputs!AU303,Inputs!$F$38))</f>
        <v>66.7077215746124</v>
      </c>
      <c r="AV37" s="13" t="n">
        <f aca="false">IF(Inputs!$F$312=1,INDEX(Inputs!$AJ$313:$AJ$1312,Inputs!$F$311),IF(AND(Inputs!$F$55=1,Inputs!AV303&gt;0),Inputs!AV303,Inputs!$F$38))</f>
        <v>66.7077215746124</v>
      </c>
      <c r="AW37" s="13" t="n">
        <f aca="false">IF(Inputs!$F$312=1,INDEX(Inputs!$AJ$313:$AJ$1312,Inputs!$F$311),IF(AND(Inputs!$F$55=1,Inputs!AW303&gt;0),Inputs!AW303,Inputs!$F$38))</f>
        <v>66.7077215746124</v>
      </c>
      <c r="AX37" s="13" t="n">
        <f aca="false">IF(Inputs!$F$312=1,INDEX(Inputs!$AJ$313:$AJ$1312,Inputs!$F$311),IF(AND(Inputs!$F$55=1,Inputs!AX303&gt;0),Inputs!AX303,Inputs!$F$38))</f>
        <v>66.7077215746124</v>
      </c>
      <c r="AY37" s="13" t="n">
        <f aca="false">IF(Inputs!$F$312=1,INDEX(Inputs!$AJ$313:$AJ$1312,Inputs!$F$311),IF(AND(Inputs!$F$55=1,Inputs!AY303&gt;0),Inputs!AY303,Inputs!$F$38))</f>
        <v>66.7077215746124</v>
      </c>
      <c r="AZ37" s="13" t="n">
        <f aca="false">IF(Inputs!$F$312=1,INDEX(Inputs!$AJ$313:$AJ$1312,Inputs!$F$311),IF(AND(Inputs!$F$55=1,Inputs!AZ303&gt;0),Inputs!AZ303,Inputs!$F$38))</f>
        <v>66.7077215746124</v>
      </c>
      <c r="BA37" s="13" t="n">
        <f aca="false">IF(Inputs!$F$312=1,INDEX(Inputs!$AJ$313:$AJ$1312,Inputs!$F$311),IF(AND(Inputs!$F$55=1,Inputs!BA303&gt;0),Inputs!BA303,Inputs!$F$38))</f>
        <v>66.7077215746124</v>
      </c>
      <c r="BB37" s="13" t="n">
        <f aca="false">IF(Inputs!$F$312=1,INDEX(Inputs!$AJ$313:$AJ$1312,Inputs!$F$311),IF(AND(Inputs!$F$55=1,Inputs!BB303&gt;0),Inputs!BB303,Inputs!$F$38))</f>
        <v>66.7077215746124</v>
      </c>
      <c r="BC37" s="13" t="n">
        <f aca="false">IF(Inputs!$F$312=1,INDEX(Inputs!$AJ$313:$AJ$1312,Inputs!$F$311),IF(AND(Inputs!$F$55=1,Inputs!BC303&gt;0),Inputs!BC303,Inputs!$F$38))</f>
        <v>66.7077215746124</v>
      </c>
      <c r="BD37" s="13" t="n">
        <f aca="false">IF(Inputs!$F$312=1,INDEX(Inputs!$AJ$313:$AJ$1312,Inputs!$F$311),IF(AND(Inputs!$F$55=1,Inputs!BD303&gt;0),Inputs!BD303,Inputs!$F$38))</f>
        <v>66.7077215746124</v>
      </c>
      <c r="BE37" s="13" t="n">
        <f aca="false">IF(Inputs!$F$312=1,INDEX(Inputs!$AJ$313:$AJ$1312,Inputs!$F$311),IF(AND(Inputs!$F$55=1,Inputs!BE303&gt;0),Inputs!BE303,Inputs!$F$38))</f>
        <v>66.7077215746124</v>
      </c>
      <c r="BF37" s="13" t="n">
        <f aca="false">IF(Inputs!$F$312=1,INDEX(Inputs!$AJ$313:$AJ$1312,Inputs!$F$311),IF(AND(Inputs!$F$55=1,Inputs!BF303&gt;0),Inputs!BF303,Inputs!$F$38))</f>
        <v>66.7077215746124</v>
      </c>
      <c r="BG37" s="13" t="n">
        <f aca="false">IF(Inputs!$F$312=1,INDEX(Inputs!$AJ$313:$AJ$1312,Inputs!$F$311),IF(AND(Inputs!$F$55=1,Inputs!BG303&gt;0),Inputs!BG303,Inputs!$F$38))</f>
        <v>66.7077215746124</v>
      </c>
      <c r="BH37" s="13" t="n">
        <f aca="false">IF(Inputs!$F$312=1,INDEX(Inputs!$AJ$313:$AJ$1312,Inputs!$F$311),IF(AND(Inputs!$F$55=1,Inputs!BH303&gt;0),Inputs!BH303,Inputs!$F$38))</f>
        <v>66.7077215746124</v>
      </c>
      <c r="BI37" s="13" t="n">
        <f aca="false">IF(Inputs!$F$312=1,INDEX(Inputs!$AJ$313:$AJ$1312,Inputs!$F$311),IF(AND(Inputs!$F$55=1,Inputs!BI303&gt;0),Inputs!BI303,Inputs!$F$38))</f>
        <v>66.7077215746124</v>
      </c>
      <c r="BJ37" s="13" t="n">
        <f aca="false">IF(Inputs!$F$312=1,INDEX(Inputs!$AJ$313:$AJ$1312,Inputs!$F$311),IF(AND(Inputs!$F$55=1,Inputs!BJ303&gt;0),Inputs!BJ303,Inputs!$F$38))</f>
        <v>66.7077215746124</v>
      </c>
      <c r="BK37" s="13" t="n">
        <f aca="false">IF(Inputs!$F$312=1,INDEX(Inputs!$AJ$313:$AJ$1312,Inputs!$F$311),IF(AND(Inputs!$F$55=1,Inputs!BK303&gt;0),Inputs!BK303,Inputs!$F$38))</f>
        <v>66.7077215746124</v>
      </c>
      <c r="BL37" s="13" t="n">
        <f aca="false">IF(Inputs!$F$312=1,INDEX(Inputs!$AJ$313:$AJ$1312,Inputs!$F$311),IF(AND(Inputs!$F$55=1,Inputs!BL303&gt;0),Inputs!BL303,Inputs!$F$38))</f>
        <v>66.7077215746124</v>
      </c>
      <c r="BM37" s="13" t="n">
        <f aca="false">IF(Inputs!$F$312=1,INDEX(Inputs!$AJ$313:$AJ$1312,Inputs!$F$311),IF(AND(Inputs!$F$55=1,Inputs!BM303&gt;0),Inputs!BM303,Inputs!$F$38))</f>
        <v>66.7077215746124</v>
      </c>
      <c r="BN37" s="13" t="n">
        <f aca="false">IF(Inputs!$F$312=1,INDEX(Inputs!$AJ$313:$AJ$1312,Inputs!$F$311),IF(AND(Inputs!$F$55=1,Inputs!BN303&gt;0),Inputs!BN303,Inputs!$F$38))</f>
        <v>66.7077215746124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558137.8602952</v>
      </c>
      <c r="P38" s="15" t="n">
        <f aca="false">$F$34*Inputs!$F$215*Time!P30*P32/100*P37/100*P36</f>
        <v>1673576.26943123</v>
      </c>
      <c r="Q38" s="15" t="n">
        <f aca="false">$F$34*Inputs!$F$215*Time!Q30*Q32/100*Q37/100*Q36</f>
        <v>1638167.9778519</v>
      </c>
      <c r="R38" s="15" t="n">
        <f aca="false">$F$34*Inputs!$F$215*Time!R30*R32/100*R37/100*R36</f>
        <v>1568684.31040894</v>
      </c>
      <c r="S38" s="15" t="n">
        <f aca="false">$F$34*Inputs!$F$215*Time!S30*S32/100*S37/100*S36</f>
        <v>1561685.53564376</v>
      </c>
      <c r="T38" s="15" t="n">
        <f aca="false">$F$34*Inputs!$F$215*Time!T30*T32/100*T37/100*T36</f>
        <v>1548880.13696718</v>
      </c>
      <c r="U38" s="15" t="n">
        <f aca="false">$F$34*Inputs!$F$215*Time!U30*U32/100*U37/100*U36</f>
        <v>1552174.28940279</v>
      </c>
      <c r="V38" s="15" t="n">
        <f aca="false">$F$34*Inputs!$F$215*Time!V30*V32/100*V37/100*V36</f>
        <v>1559918.4015312</v>
      </c>
      <c r="W38" s="15" t="n">
        <f aca="false">$F$34*Inputs!$F$215*Time!W30*W32/100*W37/100*W36</f>
        <v>1565368.77144539</v>
      </c>
      <c r="X38" s="15" t="n">
        <f aca="false">$F$34*Inputs!$F$215*Time!X30*X32/100*X37/100*X36</f>
        <v>1577430.47953426</v>
      </c>
      <c r="Y38" s="15" t="n">
        <f aca="false">$F$34*Inputs!$F$215*Time!Y30*Y32/100*Y37/100*Y36</f>
        <v>1578004.27701115</v>
      </c>
      <c r="Z38" s="15" t="n">
        <f aca="false">$F$34*Inputs!$F$215*Time!Z30*Z32/100*Z37/100*Z36</f>
        <v>1580338.83474178</v>
      </c>
      <c r="AA38" s="15" t="n">
        <f aca="false">$F$34*Inputs!$F$215*Time!AA30*AA32/100*AA37/100*AA36</f>
        <v>1579206.35146142</v>
      </c>
      <c r="AB38" s="15" t="n">
        <f aca="false">$F$34*Inputs!$F$215*Time!AB30*AB32/100*AB37/100*AB36</f>
        <v>1578136.20626413</v>
      </c>
      <c r="AC38" s="15" t="n">
        <f aca="false">$F$34*Inputs!$F$215*Time!AC30*AC32/100*AC37/100*AC36</f>
        <v>1554614.15725119</v>
      </c>
      <c r="AD38" s="15" t="n">
        <f aca="false">$F$34*Inputs!$F$215*Time!AD30*AD32/100*AD37/100*AD36</f>
        <v>1508815.92654863</v>
      </c>
      <c r="AE38" s="15" t="n">
        <f aca="false">$F$34*Inputs!$F$215*Time!AE30*AE32/100*AE37/100*AE36</f>
        <v>1532900.21400482</v>
      </c>
      <c r="AF38" s="15" t="n">
        <f aca="false">$F$34*Inputs!$F$215*Time!AF30*AF32/100*AF37/100*AF36</f>
        <v>1582155.68507897</v>
      </c>
      <c r="AG38" s="15" t="n">
        <f aca="false">$F$34*Inputs!$F$215*Time!AG30*AG32/100*AG37/100*AG36</f>
        <v>1564937.18336074</v>
      </c>
      <c r="AH38" s="15" t="n">
        <f aca="false">$F$34*Inputs!$F$215*Time!AH30*AH32/100*AH37/100*AH36</f>
        <v>1531738.49541861</v>
      </c>
      <c r="AI38" s="15" t="n">
        <f aca="false">$F$34*Inputs!$F$215*Time!AI30*AI32/100*AI37/100*AI36</f>
        <v>1531382.73511832</v>
      </c>
      <c r="AJ38" s="15" t="n">
        <f aca="false">$F$34*Inputs!$F$215*Time!AJ30*AJ32/100*AJ37/100*AJ36</f>
        <v>1531834.6288485</v>
      </c>
      <c r="AK38" s="15" t="n">
        <f aca="false">$F$34*Inputs!$F$215*Time!AK30*AK32/100*AK37/100*AK36</f>
        <v>1519304.19589482</v>
      </c>
      <c r="AL38" s="15" t="n">
        <f aca="false">$F$34*Inputs!$F$215*Time!AL30*AL32/100*AL37/100*AL36</f>
        <v>1495436.4351947</v>
      </c>
      <c r="AM38" s="15" t="n">
        <f aca="false">$F$34*Inputs!$F$215*Time!AM30*AM32/100*AM37/100*AM36</f>
        <v>1522258.97591498</v>
      </c>
      <c r="AN38" s="15" t="n">
        <f aca="false">$F$34*Inputs!$F$215*Time!AN30*AN32/100*AN37/100*AN36</f>
        <v>1576981.1129776</v>
      </c>
      <c r="AO38" s="15" t="n">
        <f aca="false">$F$34*Inputs!$F$215*Time!AO30*AO32/100*AO37/100*AO36</f>
        <v>1572221.11004758</v>
      </c>
      <c r="AP38" s="15" t="n">
        <f aca="false">$F$34*Inputs!$F$215*Time!AP30*AP32/100*AP37/100*AP36</f>
        <v>1563914.44291975</v>
      </c>
      <c r="AQ38" s="15" t="n">
        <f aca="false">$F$34*Inputs!$F$215*Time!AQ30*AQ32/100*AQ37/100*AQ36</f>
        <v>1580075.33989063</v>
      </c>
      <c r="AR38" s="15" t="n">
        <f aca="false">$F$34*Inputs!$F$215*Time!AR30*AR32/100*AR37/100*AR36</f>
        <v>1613554.27182406</v>
      </c>
      <c r="AS38" s="15" t="n">
        <f aca="false">$F$34*Inputs!$F$215*Time!AS30*AS32/100*AS37/100*AS36</f>
        <v>1560377.07475294</v>
      </c>
      <c r="AT38" s="15" t="n">
        <f aca="false">$F$34*Inputs!$F$215*Time!AT30*AT32/100*AT37/100*AT36</f>
        <v>1455379.13493151</v>
      </c>
      <c r="AU38" s="15" t="n">
        <f aca="false">$F$34*Inputs!$F$215*Time!AU30*AU32/100*AU37/100*AU36</f>
        <v>1503682.18199541</v>
      </c>
      <c r="AV38" s="15" t="n">
        <f aca="false">$F$34*Inputs!$F$215*Time!AV30*AV32/100*AV37/100*AV36</f>
        <v>1601291.7340558</v>
      </c>
      <c r="AW38" s="15" t="n">
        <f aca="false">$F$34*Inputs!$F$215*Time!AW30*AW32/100*AW37/100*AW36</f>
        <v>1575879.98347262</v>
      </c>
      <c r="AX38" s="15" t="n">
        <f aca="false">$F$34*Inputs!$F$215*Time!AX30*AX32/100*AX37/100*AX36</f>
        <v>1526343.59414051</v>
      </c>
      <c r="AY38" s="15" t="n">
        <f aca="false">$F$34*Inputs!$F$215*Time!AY30*AY32/100*AY37/100*AY36</f>
        <v>1516842.95707531</v>
      </c>
      <c r="AZ38" s="15" t="n">
        <f aca="false">$F$34*Inputs!$F$215*Time!AZ30*AZ32/100*AZ37/100*AZ36</f>
        <v>1499036.39865842</v>
      </c>
      <c r="BA38" s="15" t="n">
        <f aca="false">$F$34*Inputs!$F$215*Time!BA30*BA32/100*BA37/100*BA36</f>
        <v>1483809.68079326</v>
      </c>
      <c r="BB38" s="15" t="n">
        <f aca="false">$F$34*Inputs!$F$215*Time!BB30*BB32/100*BB37/100*BB36</f>
        <v>1454545.04605172</v>
      </c>
      <c r="BC38" s="15" t="n">
        <f aca="false">$F$34*Inputs!$F$215*Time!BC30*BC32/100*BC37/100*BC36</f>
        <v>1495996.60198848</v>
      </c>
      <c r="BD38" s="15" t="n">
        <f aca="false">$F$34*Inputs!$F$215*Time!BD30*BD32/100*BD37/100*BD36</f>
        <v>1579924.60434493</v>
      </c>
      <c r="BE38" s="15" t="n">
        <f aca="false">$F$34*Inputs!$F$215*Time!BE30*BE32/100*BE37/100*BE36</f>
        <v>1575103.88562643</v>
      </c>
      <c r="BF38" s="15" t="n">
        <f aca="false">$F$34*Inputs!$F$215*Time!BF30*BF32/100*BF37/100*BF36</f>
        <v>1566693.18550671</v>
      </c>
      <c r="BG38" s="15" t="n">
        <f aca="false">$F$34*Inputs!$F$215*Time!BG30*BG32/100*BG37/100*BG36</f>
        <v>1547386.10485911</v>
      </c>
      <c r="BH38" s="15" t="n">
        <f aca="false">$F$34*Inputs!$F$215*Time!BH30*BH32/100*BH37/100*BH36</f>
        <v>1510028.05705465</v>
      </c>
      <c r="BI38" s="15" t="n">
        <f aca="false">$F$34*Inputs!$F$215*Time!BI30*BI32/100*BI37/100*BI36</f>
        <v>1484675.32185359</v>
      </c>
      <c r="BJ38" s="15" t="n">
        <f aca="false">$F$34*Inputs!$F$215*Time!BJ30*BJ32/100*BJ37/100*BJ36</f>
        <v>1435198.12217327</v>
      </c>
      <c r="BK38" s="15" t="n">
        <f aca="false">$F$34*Inputs!$F$215*Time!BK30*BK32/100*BK37/100*BK36</f>
        <v>1479133.73288174</v>
      </c>
      <c r="BL38" s="15" t="n">
        <f aca="false">$F$34*Inputs!$F$215*Time!BL30*BL32/100*BL37/100*BL36</f>
        <v>1568015.40078347</v>
      </c>
      <c r="BM38" s="15" t="n">
        <f aca="false">$F$34*Inputs!$F$215*Time!BM30*BM32/100*BM37/100*BM36</f>
        <v>1044665.42250199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6456.81335564134</v>
      </c>
      <c r="P39" s="13" t="n">
        <f aca="false">$F$35*(1+IF(Inputs!$F$312=1,INDEX(Inputs!$AK$313:$AK$1312,Inputs!$F$311),Inputs!$F$127)/100*P33)*(1+Inputs!$F$128/100)*(1+Inputs!$F$122/100)*Inputs!$F$39</f>
        <v>6459.09468220667</v>
      </c>
      <c r="Q39" s="13" t="n">
        <f aca="false">$F$35*(1+IF(Inputs!$F$312=1,INDEX(Inputs!$AK$313:$AK$1312,Inputs!$F$311),Inputs!$F$127)/100*Q33)*(1+Inputs!$F$128/100)*(1+Inputs!$F$122/100)*Inputs!$F$39</f>
        <v>6462.51667205468</v>
      </c>
      <c r="R39" s="13" t="n">
        <f aca="false">$F$35*(1+IF(Inputs!$F$312=1,INDEX(Inputs!$AK$313:$AK$1312,Inputs!$F$311),Inputs!$F$127)/100*R33)*(1+Inputs!$F$128/100)*(1+Inputs!$F$122/100)*Inputs!$F$39</f>
        <v>6465.93866190268</v>
      </c>
      <c r="S39" s="13" t="n">
        <f aca="false">$F$35*(1+IF(Inputs!$F$312=1,INDEX(Inputs!$AK$313:$AK$1312,Inputs!$F$311),Inputs!$F$127)/100*S33)*(1+Inputs!$F$128/100)*(1+Inputs!$F$122/100)*Inputs!$F$39</f>
        <v>6469.36065175069</v>
      </c>
      <c r="T39" s="13" t="n">
        <f aca="false">$F$35*(1+IF(Inputs!$F$312=1,INDEX(Inputs!$AK$313:$AK$1312,Inputs!$F$311),Inputs!$F$127)/100*T33)*(1+Inputs!$F$128/100)*(1+Inputs!$F$122/100)*Inputs!$F$39</f>
        <v>6472.7826415987</v>
      </c>
      <c r="U39" s="13" t="n">
        <f aca="false">$F$35*(1+IF(Inputs!$F$312=1,INDEX(Inputs!$AK$313:$AK$1312,Inputs!$F$311),Inputs!$F$127)/100*U33)*(1+Inputs!$F$128/100)*(1+Inputs!$F$122/100)*Inputs!$F$39</f>
        <v>6476.2046314467</v>
      </c>
      <c r="V39" s="13" t="n">
        <f aca="false">$F$35*(1+IF(Inputs!$F$312=1,INDEX(Inputs!$AK$313:$AK$1312,Inputs!$F$311),Inputs!$F$127)/100*V33)*(1+Inputs!$F$128/100)*(1+Inputs!$F$122/100)*Inputs!$F$39</f>
        <v>6479.62662129471</v>
      </c>
      <c r="W39" s="13" t="n">
        <f aca="false">$F$35*(1+IF(Inputs!$F$312=1,INDEX(Inputs!$AK$313:$AK$1312,Inputs!$F$311),Inputs!$F$127)/100*W33)*(1+Inputs!$F$128/100)*(1+Inputs!$F$122/100)*Inputs!$F$39</f>
        <v>6483.04861114271</v>
      </c>
      <c r="X39" s="13" t="n">
        <f aca="false">$F$35*(1+IF(Inputs!$F$312=1,INDEX(Inputs!$AK$313:$AK$1312,Inputs!$F$311),Inputs!$F$127)/100*X33)*(1+Inputs!$F$128/100)*(1+Inputs!$F$122/100)*Inputs!$F$39</f>
        <v>6486.47060099072</v>
      </c>
      <c r="Y39" s="13" t="n">
        <f aca="false">$F$35*(1+IF(Inputs!$F$312=1,INDEX(Inputs!$AK$313:$AK$1312,Inputs!$F$311),Inputs!$F$127)/100*Y33)*(1+Inputs!$F$128/100)*(1+Inputs!$F$122/100)*Inputs!$F$39</f>
        <v>6489.89259083873</v>
      </c>
      <c r="Z39" s="13" t="n">
        <f aca="false">$F$35*(1+IF(Inputs!$F$312=1,INDEX(Inputs!$AK$313:$AK$1312,Inputs!$F$311),Inputs!$F$127)/100*Z33)*(1+Inputs!$F$128/100)*(1+Inputs!$F$122/100)*Inputs!$F$39</f>
        <v>6493.31458068673</v>
      </c>
      <c r="AA39" s="13" t="n">
        <f aca="false">$F$35*(1+IF(Inputs!$F$312=1,INDEX(Inputs!$AK$313:$AK$1312,Inputs!$F$311),Inputs!$F$127)/100*AA33)*(1+Inputs!$F$128/100)*(1+Inputs!$F$122/100)*Inputs!$F$39</f>
        <v>6496.73657053474</v>
      </c>
      <c r="AB39" s="13" t="n">
        <f aca="false">$F$35*(1+IF(Inputs!$F$312=1,INDEX(Inputs!$AK$313:$AK$1312,Inputs!$F$311),Inputs!$F$127)/100*AB33)*(1+Inputs!$F$128/100)*(1+Inputs!$F$122/100)*Inputs!$F$39</f>
        <v>6500.15856038274</v>
      </c>
      <c r="AC39" s="13" t="n">
        <f aca="false">$F$35*(1+IF(Inputs!$F$312=1,INDEX(Inputs!$AK$313:$AK$1312,Inputs!$F$311),Inputs!$F$127)/100*AC33)*(1+Inputs!$F$128/100)*(1+Inputs!$F$122/100)*Inputs!$F$39</f>
        <v>6503.58055023075</v>
      </c>
      <c r="AD39" s="13" t="n">
        <f aca="false">$F$35*(1+IF(Inputs!$F$312=1,INDEX(Inputs!$AK$313:$AK$1312,Inputs!$F$311),Inputs!$F$127)/100*AD33)*(1+Inputs!$F$128/100)*(1+Inputs!$F$122/100)*Inputs!$F$39</f>
        <v>6507.00254007876</v>
      </c>
      <c r="AE39" s="13" t="n">
        <f aca="false">$F$35*(1+IF(Inputs!$F$312=1,INDEX(Inputs!$AK$313:$AK$1312,Inputs!$F$311),Inputs!$F$127)/100*AE33)*(1+Inputs!$F$128/100)*(1+Inputs!$F$122/100)*Inputs!$F$39</f>
        <v>6510.42452992676</v>
      </c>
      <c r="AF39" s="13" t="n">
        <f aca="false">$F$35*(1+IF(Inputs!$F$312=1,INDEX(Inputs!$AK$313:$AK$1312,Inputs!$F$311),Inputs!$F$127)/100*AF33)*(1+Inputs!$F$128/100)*(1+Inputs!$F$122/100)*Inputs!$F$39</f>
        <v>6513.84651977477</v>
      </c>
      <c r="AG39" s="13" t="n">
        <f aca="false">$F$35*(1+IF(Inputs!$F$312=1,INDEX(Inputs!$AK$313:$AK$1312,Inputs!$F$311),Inputs!$F$127)/100*AG33)*(1+Inputs!$F$128/100)*(1+Inputs!$F$122/100)*Inputs!$F$39</f>
        <v>6517.26850962277</v>
      </c>
      <c r="AH39" s="13" t="n">
        <f aca="false">$F$35*(1+IF(Inputs!$F$312=1,INDEX(Inputs!$AK$313:$AK$1312,Inputs!$F$311),Inputs!$F$127)/100*AH33)*(1+Inputs!$F$128/100)*(1+Inputs!$F$122/100)*Inputs!$F$39</f>
        <v>6520.69049947078</v>
      </c>
      <c r="AI39" s="13" t="n">
        <f aca="false">$F$35*(1+IF(Inputs!$F$312=1,INDEX(Inputs!$AK$313:$AK$1312,Inputs!$F$311),Inputs!$F$127)/100*AI33)*(1+Inputs!$F$128/100)*(1+Inputs!$F$122/100)*Inputs!$F$39</f>
        <v>6524.11248931879</v>
      </c>
      <c r="AJ39" s="13" t="n">
        <f aca="false">$F$35*(1+IF(Inputs!$F$312=1,INDEX(Inputs!$AK$313:$AK$1312,Inputs!$F$311),Inputs!$F$127)/100*AJ33)*(1+Inputs!$F$128/100)*(1+Inputs!$F$122/100)*Inputs!$F$39</f>
        <v>6527.53447916679</v>
      </c>
      <c r="AK39" s="13" t="n">
        <f aca="false">$F$35*(1+IF(Inputs!$F$312=1,INDEX(Inputs!$AK$313:$AK$1312,Inputs!$F$311),Inputs!$F$127)/100*AK33)*(1+Inputs!$F$128/100)*(1+Inputs!$F$122/100)*Inputs!$F$39</f>
        <v>6530.9564690148</v>
      </c>
      <c r="AL39" s="13" t="n">
        <f aca="false">$F$35*(1+IF(Inputs!$F$312=1,INDEX(Inputs!$AK$313:$AK$1312,Inputs!$F$311),Inputs!$F$127)/100*AL33)*(1+Inputs!$F$128/100)*(1+Inputs!$F$122/100)*Inputs!$F$39</f>
        <v>6534.3784588628</v>
      </c>
      <c r="AM39" s="13" t="n">
        <f aca="false">$F$35*(1+IF(Inputs!$F$312=1,INDEX(Inputs!$AK$313:$AK$1312,Inputs!$F$311),Inputs!$F$127)/100*AM33)*(1+Inputs!$F$128/100)*(1+Inputs!$F$122/100)*Inputs!$F$39</f>
        <v>6537.80044871081</v>
      </c>
      <c r="AN39" s="13" t="n">
        <f aca="false">$F$35*(1+IF(Inputs!$F$312=1,INDEX(Inputs!$AK$313:$AK$1312,Inputs!$F$311),Inputs!$F$127)/100*AN33)*(1+Inputs!$F$128/100)*(1+Inputs!$F$122/100)*Inputs!$F$39</f>
        <v>6541.22243855882</v>
      </c>
      <c r="AO39" s="13" t="n">
        <f aca="false">$F$35*(1+IF(Inputs!$F$312=1,INDEX(Inputs!$AK$313:$AK$1312,Inputs!$F$311),Inputs!$F$127)/100*AO33)*(1+Inputs!$F$128/100)*(1+Inputs!$F$122/100)*Inputs!$F$39</f>
        <v>6544.64442840682</v>
      </c>
      <c r="AP39" s="13" t="n">
        <f aca="false">$F$35*(1+IF(Inputs!$F$312=1,INDEX(Inputs!$AK$313:$AK$1312,Inputs!$F$311),Inputs!$F$127)/100*AP33)*(1+Inputs!$F$128/100)*(1+Inputs!$F$122/100)*Inputs!$F$39</f>
        <v>6548.06641825483</v>
      </c>
      <c r="AQ39" s="13" t="n">
        <f aca="false">$F$35*(1+IF(Inputs!$F$312=1,INDEX(Inputs!$AK$313:$AK$1312,Inputs!$F$311),Inputs!$F$127)/100*AQ33)*(1+Inputs!$F$128/100)*(1+Inputs!$F$122/100)*Inputs!$F$39</f>
        <v>6551.48840810284</v>
      </c>
      <c r="AR39" s="13" t="n">
        <f aca="false">$F$35*(1+IF(Inputs!$F$312=1,INDEX(Inputs!$AK$313:$AK$1312,Inputs!$F$311),Inputs!$F$127)/100*AR33)*(1+Inputs!$F$128/100)*(1+Inputs!$F$122/100)*Inputs!$F$39</f>
        <v>6554.91039795084</v>
      </c>
      <c r="AS39" s="13" t="n">
        <f aca="false">$F$35*(1+IF(Inputs!$F$312=1,INDEX(Inputs!$AK$313:$AK$1312,Inputs!$F$311),Inputs!$F$127)/100*AS33)*(1+Inputs!$F$128/100)*(1+Inputs!$F$122/100)*Inputs!$F$39</f>
        <v>6558.33238779885</v>
      </c>
      <c r="AT39" s="13" t="n">
        <f aca="false">$F$35*(1+IF(Inputs!$F$312=1,INDEX(Inputs!$AK$313:$AK$1312,Inputs!$F$311),Inputs!$F$127)/100*AT33)*(1+Inputs!$F$128/100)*(1+Inputs!$F$122/100)*Inputs!$F$39</f>
        <v>6561.75437764685</v>
      </c>
      <c r="AU39" s="13" t="n">
        <f aca="false">$F$35*(1+IF(Inputs!$F$312=1,INDEX(Inputs!$AK$313:$AK$1312,Inputs!$F$311),Inputs!$F$127)/100*AU33)*(1+Inputs!$F$128/100)*(1+Inputs!$F$122/100)*Inputs!$F$39</f>
        <v>6565.17636749486</v>
      </c>
      <c r="AV39" s="13" t="n">
        <f aca="false">$F$35*(1+IF(Inputs!$F$312=1,INDEX(Inputs!$AK$313:$AK$1312,Inputs!$F$311),Inputs!$F$127)/100*AV33)*(1+Inputs!$F$128/100)*(1+Inputs!$F$122/100)*Inputs!$F$39</f>
        <v>6568.59835734287</v>
      </c>
      <c r="AW39" s="13" t="n">
        <f aca="false">$F$35*(1+IF(Inputs!$F$312=1,INDEX(Inputs!$AK$313:$AK$1312,Inputs!$F$311),Inputs!$F$127)/100*AW33)*(1+Inputs!$F$128/100)*(1+Inputs!$F$122/100)*Inputs!$F$39</f>
        <v>6572.02034719087</v>
      </c>
      <c r="AX39" s="13" t="n">
        <f aca="false">$F$35*(1+IF(Inputs!$F$312=1,INDEX(Inputs!$AK$313:$AK$1312,Inputs!$F$311),Inputs!$F$127)/100*AX33)*(1+Inputs!$F$128/100)*(1+Inputs!$F$122/100)*Inputs!$F$39</f>
        <v>6575.44233703888</v>
      </c>
      <c r="AY39" s="13" t="n">
        <f aca="false">$F$35*(1+IF(Inputs!$F$312=1,INDEX(Inputs!$AK$313:$AK$1312,Inputs!$F$311),Inputs!$F$127)/100*AY33)*(1+Inputs!$F$128/100)*(1+Inputs!$F$122/100)*Inputs!$F$39</f>
        <v>6578.86432688688</v>
      </c>
      <c r="AZ39" s="13" t="n">
        <f aca="false">$F$35*(1+IF(Inputs!$F$312=1,INDEX(Inputs!$AK$313:$AK$1312,Inputs!$F$311),Inputs!$F$127)/100*AZ33)*(1+Inputs!$F$128/100)*(1+Inputs!$F$122/100)*Inputs!$F$39</f>
        <v>6582.28631673489</v>
      </c>
      <c r="BA39" s="13" t="n">
        <f aca="false">$F$35*(1+IF(Inputs!$F$312=1,INDEX(Inputs!$AK$313:$AK$1312,Inputs!$F$311),Inputs!$F$127)/100*BA33)*(1+Inputs!$F$128/100)*(1+Inputs!$F$122/100)*Inputs!$F$39</f>
        <v>6585.7083065829</v>
      </c>
      <c r="BB39" s="13" t="n">
        <f aca="false">$F$35*(1+IF(Inputs!$F$312=1,INDEX(Inputs!$AK$313:$AK$1312,Inputs!$F$311),Inputs!$F$127)/100*BB33)*(1+Inputs!$F$128/100)*(1+Inputs!$F$122/100)*Inputs!$F$39</f>
        <v>6589.1302964309</v>
      </c>
      <c r="BC39" s="13" t="n">
        <f aca="false">$F$35*(1+IF(Inputs!$F$312=1,INDEX(Inputs!$AK$313:$AK$1312,Inputs!$F$311),Inputs!$F$127)/100*BC33)*(1+Inputs!$F$128/100)*(1+Inputs!$F$122/100)*Inputs!$F$39</f>
        <v>6592.55228627891</v>
      </c>
      <c r="BD39" s="13" t="n">
        <f aca="false">$F$35*(1+IF(Inputs!$F$312=1,INDEX(Inputs!$AK$313:$AK$1312,Inputs!$F$311),Inputs!$F$127)/100*BD33)*(1+Inputs!$F$128/100)*(1+Inputs!$F$122/100)*Inputs!$F$39</f>
        <v>6595.97427612691</v>
      </c>
      <c r="BE39" s="13" t="n">
        <f aca="false">$F$35*(1+IF(Inputs!$F$312=1,INDEX(Inputs!$AK$313:$AK$1312,Inputs!$F$311),Inputs!$F$127)/100*BE33)*(1+Inputs!$F$128/100)*(1+Inputs!$F$122/100)*Inputs!$F$39</f>
        <v>6599.39626597492</v>
      </c>
      <c r="BF39" s="13" t="n">
        <f aca="false">$F$35*(1+IF(Inputs!$F$312=1,INDEX(Inputs!$AK$313:$AK$1312,Inputs!$F$311),Inputs!$F$127)/100*BF33)*(1+Inputs!$F$128/100)*(1+Inputs!$F$122/100)*Inputs!$F$39</f>
        <v>6602.81825582293</v>
      </c>
      <c r="BG39" s="13" t="n">
        <f aca="false">$F$35*(1+IF(Inputs!$F$312=1,INDEX(Inputs!$AK$313:$AK$1312,Inputs!$F$311),Inputs!$F$127)/100*BG33)*(1+Inputs!$F$128/100)*(1+Inputs!$F$122/100)*Inputs!$F$39</f>
        <v>6606.24024567093</v>
      </c>
      <c r="BH39" s="13" t="n">
        <f aca="false">$F$35*(1+IF(Inputs!$F$312=1,INDEX(Inputs!$AK$313:$AK$1312,Inputs!$F$311),Inputs!$F$127)/100*BH33)*(1+Inputs!$F$128/100)*(1+Inputs!$F$122/100)*Inputs!$F$39</f>
        <v>6609.66223551894</v>
      </c>
      <c r="BI39" s="13" t="n">
        <f aca="false">$F$35*(1+IF(Inputs!$F$312=1,INDEX(Inputs!$AK$313:$AK$1312,Inputs!$F$311),Inputs!$F$127)/100*BI33)*(1+Inputs!$F$128/100)*(1+Inputs!$F$122/100)*Inputs!$F$39</f>
        <v>6613.08422536694</v>
      </c>
      <c r="BJ39" s="13" t="n">
        <f aca="false">$F$35*(1+IF(Inputs!$F$312=1,INDEX(Inputs!$AK$313:$AK$1312,Inputs!$F$311),Inputs!$F$127)/100*BJ33)*(1+Inputs!$F$128/100)*(1+Inputs!$F$122/100)*Inputs!$F$39</f>
        <v>6616.50621521495</v>
      </c>
      <c r="BK39" s="13" t="n">
        <f aca="false">$F$35*(1+IF(Inputs!$F$312=1,INDEX(Inputs!$AK$313:$AK$1312,Inputs!$F$311),Inputs!$F$127)/100*BK33)*(1+Inputs!$F$128/100)*(1+Inputs!$F$122/100)*Inputs!$F$39</f>
        <v>6619.92820506296</v>
      </c>
      <c r="BL39" s="13" t="n">
        <f aca="false">$F$35*(1+IF(Inputs!$F$312=1,INDEX(Inputs!$AK$313:$AK$1312,Inputs!$F$311),Inputs!$F$127)/100*BL33)*(1+Inputs!$F$128/100)*(1+Inputs!$F$122/100)*Inputs!$F$39</f>
        <v>6623.35019491096</v>
      </c>
      <c r="BM39" s="13" t="n">
        <f aca="false">$F$35*(1+IF(Inputs!$F$312=1,INDEX(Inputs!$AK$313:$AK$1312,Inputs!$F$311),Inputs!$F$127)/100*BM33)*(1+Inputs!$F$128/100)*(1+Inputs!$F$122/100)*Inputs!$F$39</f>
        <v>6626.20185311763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3784634.67875884</v>
      </c>
      <c r="P42" s="15" t="n">
        <f aca="false">P38*P39*(1000*Inputs!$F$123/Inputs!$F$124)</f>
        <v>11352235.9391566</v>
      </c>
      <c r="Q42" s="15" t="n">
        <f aca="false">Q38*Q39*(1000*Inputs!$F$123/Inputs!$F$124)</f>
        <v>11117940.8091053</v>
      </c>
      <c r="R42" s="15" t="n">
        <f aca="false">R38*R39*(1000*Inputs!$F$123/Inputs!$F$124)</f>
        <v>10652005.5014526</v>
      </c>
      <c r="S42" s="15" t="n">
        <f aca="false">S38*S39*(1000*Inputs!$F$123/Inputs!$F$124)</f>
        <v>10610093.2138291</v>
      </c>
      <c r="T42" s="15" t="n">
        <f aca="false">T38*T39*(1000*Inputs!$F$123/Inputs!$F$124)</f>
        <v>10528659.5466419</v>
      </c>
      <c r="U42" s="15" t="n">
        <f aca="false">U38*U39*(1000*Inputs!$F$123/Inputs!$F$124)</f>
        <v>10556629.9235319</v>
      </c>
      <c r="V42" s="15" t="n">
        <f aca="false">V38*V39*(1000*Inputs!$F$123/Inputs!$F$124)</f>
        <v>10614904.9834159</v>
      </c>
      <c r="W42" s="15" t="n">
        <f aca="false">W38*W39*(1000*Inputs!$F$123/Inputs!$F$124)</f>
        <v>10657619.0442279</v>
      </c>
      <c r="X42" s="15" t="n">
        <f aca="false">X38*X39*(1000*Inputs!$F$123/Inputs!$F$124)</f>
        <v>10745408.5139662</v>
      </c>
      <c r="Y42" s="15" t="n">
        <f aca="false">Y38*Y39*(1000*Inputs!$F$123/Inputs!$F$124)</f>
        <v>10754988.0938838</v>
      </c>
      <c r="Z42" s="15" t="n">
        <f aca="false">Z38*Z39*(1000*Inputs!$F$123/Inputs!$F$124)</f>
        <v>10776578.6986133</v>
      </c>
      <c r="AA42" s="15" t="n">
        <f aca="false">AA38*AA39*(1000*Inputs!$F$123/Inputs!$F$124)</f>
        <v>10774531.3261133</v>
      </c>
      <c r="AB42" s="15" t="n">
        <f aca="false">AB38*AB39*(1000*Inputs!$F$123/Inputs!$F$124)</f>
        <v>10772901.3552099</v>
      </c>
      <c r="AC42" s="15" t="n">
        <f aca="false">AC38*AC39*(1000*Inputs!$F$123/Inputs!$F$124)</f>
        <v>10617918.5777846</v>
      </c>
      <c r="AD42" s="15" t="n">
        <f aca="false">AD38*AD39*(1000*Inputs!$F$123/Inputs!$F$124)</f>
        <v>10310541.7397295</v>
      </c>
      <c r="AE42" s="15" t="n">
        <f aca="false">AE38*AE39*(1000*Inputs!$F$123/Inputs!$F$124)</f>
        <v>10480631.2839765</v>
      </c>
      <c r="AF42" s="15" t="n">
        <f aca="false">AF38*AF39*(1000*Inputs!$F$123/Inputs!$F$124)</f>
        <v>10823082.933718</v>
      </c>
      <c r="AG42" s="15" t="n">
        <f aca="false">AG38*AG39*(1000*Inputs!$F$123/Inputs!$F$124)</f>
        <v>10710919.9262574</v>
      </c>
      <c r="AH42" s="15" t="n">
        <f aca="false">AH38*AH39*(1000*Inputs!$F$123/Inputs!$F$124)</f>
        <v>10489202.3375658</v>
      </c>
      <c r="AI42" s="15" t="n">
        <f aca="false">AI38*AI39*(1000*Inputs!$F$123/Inputs!$F$124)</f>
        <v>10492269.4688706</v>
      </c>
      <c r="AJ42" s="15" t="n">
        <f aca="false">AJ38*AJ39*(1000*Inputs!$F$123/Inputs!$F$124)</f>
        <v>10500870.5875885</v>
      </c>
      <c r="AK42" s="15" t="n">
        <f aca="false">AK38*AK39*(1000*Inputs!$F$123/Inputs!$F$124)</f>
        <v>10420433.2279721</v>
      </c>
      <c r="AL42" s="15" t="n">
        <f aca="false">AL38*AL39*(1000*Inputs!$F$123/Inputs!$F$124)</f>
        <v>10262105.8717624</v>
      </c>
      <c r="AM42" s="15" t="n">
        <f aca="false">AM38*AM39*(1000*Inputs!$F$123/Inputs!$F$124)</f>
        <v>10451640.2548267</v>
      </c>
      <c r="AN42" s="15" t="n">
        <f aca="false">AN38*AN39*(1000*Inputs!$F$123/Inputs!$F$124)</f>
        <v>10833022.8342978</v>
      </c>
      <c r="AO42" s="15" t="n">
        <f aca="false">AO38*AO39*(1000*Inputs!$F$123/Inputs!$F$124)</f>
        <v>10805974.247747</v>
      </c>
      <c r="AP42" s="15" t="n">
        <f aca="false">AP38*AP39*(1000*Inputs!$F$123/Inputs!$F$124)</f>
        <v>10754502.2580174</v>
      </c>
      <c r="AQ42" s="15" t="n">
        <f aca="false">AQ38*AQ39*(1000*Inputs!$F$123/Inputs!$F$124)</f>
        <v>10871313.5252827</v>
      </c>
      <c r="AR42" s="15" t="n">
        <f aca="false">AR38*AR39*(1000*Inputs!$F$123/Inputs!$F$124)</f>
        <v>11107455.5955642</v>
      </c>
      <c r="AS42" s="15" t="n">
        <f aca="false">AS38*AS39*(1000*Inputs!$F$123/Inputs!$F$124)</f>
        <v>10746999.6182538</v>
      </c>
      <c r="AT42" s="15" t="n">
        <f aca="false">AT38*AT39*(1000*Inputs!$F$123/Inputs!$F$124)</f>
        <v>10029063.0772473</v>
      </c>
      <c r="AU42" s="15" t="n">
        <f aca="false">AU38*AU39*(1000*Inputs!$F$123/Inputs!$F$124)</f>
        <v>10367324.6802151</v>
      </c>
      <c r="AV42" s="15" t="n">
        <f aca="false">AV38*AV39*(1000*Inputs!$F$123/Inputs!$F$124)</f>
        <v>11046060.5099367</v>
      </c>
      <c r="AW42" s="15" t="n">
        <f aca="false">AW38*AW39*(1000*Inputs!$F$123/Inputs!$F$124)</f>
        <v>10876427.9528794</v>
      </c>
      <c r="AX42" s="15" t="n">
        <f aca="false">AX38*AX39*(1000*Inputs!$F$123/Inputs!$F$124)</f>
        <v>10540022.3240054</v>
      </c>
      <c r="AY42" s="15" t="n">
        <f aca="false">AY38*AY39*(1000*Inputs!$F$123/Inputs!$F$124)</f>
        <v>10479867.6600389</v>
      </c>
      <c r="AZ42" s="15" t="n">
        <f aca="false">AZ38*AZ39*(1000*Inputs!$F$123/Inputs!$F$124)</f>
        <v>10362229.2531354</v>
      </c>
      <c r="BA42" s="15" t="n">
        <f aca="false">BA38*BA39*(1000*Inputs!$F$123/Inputs!$F$124)</f>
        <v>10262305.523241</v>
      </c>
      <c r="BB42" s="15" t="n">
        <f aca="false">BB38*BB39*(1000*Inputs!$F$123/Inputs!$F$124)</f>
        <v>10065133.0433198</v>
      </c>
      <c r="BC42" s="15" t="n">
        <f aca="false">BC38*BC39*(1000*Inputs!$F$123/Inputs!$F$124)</f>
        <v>10357344.905981</v>
      </c>
      <c r="BD42" s="15" t="n">
        <f aca="false">BD38*BD39*(1000*Inputs!$F$123/Inputs!$F$124)</f>
        <v>10944087.6974444</v>
      </c>
      <c r="BE42" s="15" t="n">
        <f aca="false">BE38*BE39*(1000*Inputs!$F$123/Inputs!$F$124)</f>
        <v>10916355.1973249</v>
      </c>
      <c r="BF42" s="15" t="n">
        <f aca="false">BF38*BF39*(1000*Inputs!$F$123/Inputs!$F$124)</f>
        <v>10863694.5585098</v>
      </c>
      <c r="BG42" s="15" t="n">
        <f aca="false">BG38*BG39*(1000*Inputs!$F$123/Inputs!$F$124)</f>
        <v>10735377.1103672</v>
      </c>
      <c r="BH42" s="15" t="n">
        <f aca="false">BH38*BH39*(1000*Inputs!$F$123/Inputs!$F$124)</f>
        <v>10481622.9366055</v>
      </c>
      <c r="BI42" s="15" t="n">
        <f aca="false">BI38*BI39*(1000*Inputs!$F$123/Inputs!$F$124)</f>
        <v>10310976.393122</v>
      </c>
      <c r="BJ42" s="15" t="n">
        <f aca="false">BJ38*BJ39*(1000*Inputs!$F$123/Inputs!$F$124)</f>
        <v>9972518.04959175</v>
      </c>
      <c r="BK42" s="15" t="n">
        <f aca="false">BK38*BK39*(1000*Inputs!$F$123/Inputs!$F$124)</f>
        <v>10283121.5613571</v>
      </c>
      <c r="BL42" s="15" t="n">
        <f aca="false">BL38*BL39*(1000*Inputs!$F$123/Inputs!$F$124)</f>
        <v>10906672.9560574</v>
      </c>
      <c r="BM42" s="15" t="n">
        <f aca="false">BM38*BM39*(1000*Inputs!$F$123/Inputs!$F$124)</f>
        <v>7269526.60900032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2.31701711279323</v>
      </c>
      <c r="K46" s="13" t="n">
        <f aca="false">Inputs!$F$136*(Inputs!$F$137*K20/100+(1-Inputs!$F$137)*K26/100*Inputs!$F$138/K11)</f>
        <v>2.32155309762476</v>
      </c>
      <c r="L46" s="13" t="n">
        <f aca="false">Inputs!$F$136*(Inputs!$F$137*L20/100+(1-Inputs!$F$137)*L26/100*Inputs!$F$138/L11)</f>
        <v>2.32642352262294</v>
      </c>
      <c r="M46" s="13" t="n">
        <f aca="false">Inputs!$F$136*(Inputs!$F$137*M20/100+(1-Inputs!$F$137)*M26/100*Inputs!$F$138/M11)</f>
        <v>2.33162814896486</v>
      </c>
      <c r="N46" s="13" t="n">
        <f aca="false">Inputs!$F$136*(Inputs!$F$137*N20/100+(1-Inputs!$F$137)*N26/100*Inputs!$F$138/N11)</f>
        <v>2.33716678855345</v>
      </c>
      <c r="O46" s="13" t="n">
        <f aca="false">Inputs!$F$136*(Inputs!$F$137*O20/100+(1-Inputs!$F$137)*O26/100*Inputs!$F$138/O11)</f>
        <v>2.34303930384252</v>
      </c>
      <c r="P46" s="13" t="n">
        <f aca="false">Inputs!$F$136*(Inputs!$F$137*P20/100+(1-Inputs!$F$137)*P26/100*Inputs!$F$138/P11)</f>
        <v>2.34924560766986</v>
      </c>
      <c r="Q46" s="13" t="n">
        <f aca="false">Inputs!$F$136*(Inputs!$F$137*Q20/100+(1-Inputs!$F$137)*Q26/100*Inputs!$F$138/Q11)</f>
        <v>2.35578566309836</v>
      </c>
      <c r="R46" s="13" t="n">
        <f aca="false">Inputs!$F$136*(Inputs!$F$137*R20/100+(1-Inputs!$F$137)*R26/100*Inputs!$F$138/R11)</f>
        <v>2.3626594832651</v>
      </c>
      <c r="S46" s="13" t="n">
        <f aca="false">Inputs!$F$136*(Inputs!$F$137*S20/100+(1-Inputs!$F$137)*S26/100*Inputs!$F$138/S11)</f>
        <v>2.36986713123839</v>
      </c>
      <c r="T46" s="13" t="n">
        <f aca="false">Inputs!$F$136*(Inputs!$F$137*T20/100+(1-Inputs!$F$137)*T26/100*Inputs!$F$138/T11)</f>
        <v>2.37740871988268</v>
      </c>
      <c r="U46" s="13" t="n">
        <f aca="false">Inputs!$F$136*(Inputs!$F$137*U20/100+(1-Inputs!$F$137)*U26/100*Inputs!$F$138/U11)</f>
        <v>2.38528441173136</v>
      </c>
      <c r="V46" s="13" t="n">
        <f aca="false">Inputs!$F$136*(Inputs!$F$137*V20/100+(1-Inputs!$F$137)*V26/100*Inputs!$F$138/V11)</f>
        <v>2.39349441886729</v>
      </c>
      <c r="W46" s="13" t="n">
        <f aca="false">Inputs!$F$136*(Inputs!$F$137*W20/100+(1-Inputs!$F$137)*W26/100*Inputs!$F$138/W11)</f>
        <v>2.40203900281119</v>
      </c>
      <c r="X46" s="13" t="n">
        <f aca="false">Inputs!$F$136*(Inputs!$F$137*X20/100+(1-Inputs!$F$137)*X26/100*Inputs!$F$138/X11)</f>
        <v>2.41091847441764</v>
      </c>
      <c r="Y46" s="13" t="n">
        <f aca="false">Inputs!$F$136*(Inputs!$F$137*Y20/100+(1-Inputs!$F$137)*Y26/100*Inputs!$F$138/Y11)</f>
        <v>2.42013319377889</v>
      </c>
      <c r="Z46" s="13" t="n">
        <f aca="false">Inputs!$F$136*(Inputs!$F$137*Z20/100+(1-Inputs!$F$137)*Z26/100*Inputs!$F$138/Z11)</f>
        <v>2.4296835701362</v>
      </c>
      <c r="AA46" s="13" t="n">
        <f aca="false">Inputs!$F$136*(Inputs!$F$137*AA20/100+(1-Inputs!$F$137)*AA26/100*Inputs!$F$138/AA11)</f>
        <v>2.43957006179892</v>
      </c>
      <c r="AB46" s="13" t="n">
        <f aca="false">Inputs!$F$136*(Inputs!$F$137*AB20/100+(1-Inputs!$F$137)*AB26/100*Inputs!$F$138/AB11)</f>
        <v>2.44979317607102</v>
      </c>
      <c r="AC46" s="13" t="n">
        <f aca="false">Inputs!$F$136*(Inputs!$F$137*AC20/100+(1-Inputs!$F$137)*AC26/100*Inputs!$F$138/AC11)</f>
        <v>2.46035346918527</v>
      </c>
      <c r="AD46" s="13" t="n">
        <f aca="false">Inputs!$F$136*(Inputs!$F$137*AD20/100+(1-Inputs!$F$137)*AD26/100*Inputs!$F$138/AD11)</f>
        <v>2.47125154624488</v>
      </c>
      <c r="AE46" s="13" t="n">
        <f aca="false">Inputs!$F$136*(Inputs!$F$137*AE20/100+(1-Inputs!$F$137)*AE26/100*Inputs!$F$138/AE11)</f>
        <v>2.48248806117266</v>
      </c>
      <c r="AF46" s="13" t="n">
        <f aca="false">Inputs!$F$136*(Inputs!$F$137*AF20/100+(1-Inputs!$F$137)*AF26/100*Inputs!$F$138/AF11)</f>
        <v>2.49406371666761</v>
      </c>
      <c r="AG46" s="13" t="n">
        <f aca="false">Inputs!$F$136*(Inputs!$F$137*AG20/100+(1-Inputs!$F$137)*AG26/100*Inputs!$F$138/AG11)</f>
        <v>2.50597926416894</v>
      </c>
      <c r="AH46" s="13" t="n">
        <f aca="false">Inputs!$F$136*(Inputs!$F$137*AH20/100+(1-Inputs!$F$137)*AH26/100*Inputs!$F$138/AH11)</f>
        <v>2.51823550382752</v>
      </c>
      <c r="AI46" s="13" t="n">
        <f aca="false">Inputs!$F$136*(Inputs!$F$137*AI20/100+(1-Inputs!$F$137)*AI26/100*Inputs!$F$138/AI11)</f>
        <v>2.53083328448465</v>
      </c>
      <c r="AJ46" s="13" t="n">
        <f aca="false">Inputs!$F$136*(Inputs!$F$137*AJ20/100+(1-Inputs!$F$137)*AJ26/100*Inputs!$F$138/AJ11)</f>
        <v>2.54377350365826</v>
      </c>
      <c r="AK46" s="13" t="n">
        <f aca="false">Inputs!$F$136*(Inputs!$F$137*AK20/100+(1-Inputs!$F$137)*AK26/100*Inputs!$F$138/AK11)</f>
        <v>2.55705710753634</v>
      </c>
      <c r="AL46" s="13" t="n">
        <f aca="false">Inputs!$F$136*(Inputs!$F$137*AL20/100+(1-Inputs!$F$137)*AL26/100*Inputs!$F$138/AL11)</f>
        <v>2.57068509097779</v>
      </c>
      <c r="AM46" s="13" t="n">
        <f aca="false">Inputs!$F$136*(Inputs!$F$137*AM20/100+(1-Inputs!$F$137)*AM26/100*Inputs!$F$138/AM11)</f>
        <v>2.58465849752044</v>
      </c>
      <c r="AN46" s="13" t="n">
        <f aca="false">Inputs!$F$136*(Inputs!$F$137*AN20/100+(1-Inputs!$F$137)*AN26/100*Inputs!$F$138/AN11)</f>
        <v>2.5989784193964</v>
      </c>
      <c r="AO46" s="13" t="n">
        <f aca="false">Inputs!$F$136*(Inputs!$F$137*AO20/100+(1-Inputs!$F$137)*AO26/100*Inputs!$F$138/AO11)</f>
        <v>2.61364599755467</v>
      </c>
      <c r="AP46" s="13" t="n">
        <f aca="false">Inputs!$F$136*(Inputs!$F$137*AP20/100+(1-Inputs!$F$137)*AP26/100*Inputs!$F$138/AP11)</f>
        <v>2.62866242169092</v>
      </c>
      <c r="AQ46" s="13" t="n">
        <f aca="false">Inputs!$F$136*(Inputs!$F$137*AQ20/100+(1-Inputs!$F$137)*AQ26/100*Inputs!$F$138/AQ11)</f>
        <v>2.64402893028453</v>
      </c>
      <c r="AR46" s="13" t="n">
        <f aca="false">Inputs!$F$136*(Inputs!$F$137*AR20/100+(1-Inputs!$F$137)*AR26/100*Inputs!$F$138/AR11)</f>
        <v>2.6597468106428</v>
      </c>
      <c r="AS46" s="13" t="n">
        <f aca="false">Inputs!$F$136*(Inputs!$F$137*AS20/100+(1-Inputs!$F$137)*AS26/100*Inputs!$F$138/AS11)</f>
        <v>2.67581739895236</v>
      </c>
      <c r="AT46" s="13" t="n">
        <f aca="false">Inputs!$F$136*(Inputs!$F$137*AT20/100+(1-Inputs!$F$137)*AT26/100*Inputs!$F$138/AT11)</f>
        <v>2.69224208033772</v>
      </c>
      <c r="AU46" s="13" t="n">
        <f aca="false">Inputs!$F$136*(Inputs!$F$137*AU20/100+(1-Inputs!$F$137)*AU26/100*Inputs!$F$138/AU11)</f>
        <v>2.70902228892705</v>
      </c>
      <c r="AV46" s="13" t="n">
        <f aca="false">Inputs!$F$136*(Inputs!$F$137*AV20/100+(1-Inputs!$F$137)*AV26/100*Inputs!$F$138/AV11)</f>
        <v>2.726159507925</v>
      </c>
      <c r="AW46" s="13" t="n">
        <f aca="false">Inputs!$F$136*(Inputs!$F$137*AW20/100+(1-Inputs!$F$137)*AW26/100*Inputs!$F$138/AW11)</f>
        <v>2.74365526969271</v>
      </c>
      <c r="AX46" s="13" t="n">
        <f aca="false">Inputs!$F$136*(Inputs!$F$137*AX20/100+(1-Inputs!$F$137)*AX26/100*Inputs!$F$138/AX11)</f>
        <v>2.76151115583501</v>
      </c>
      <c r="AY46" s="13" t="n">
        <f aca="false">Inputs!$F$136*(Inputs!$F$137*AY20/100+(1-Inputs!$F$137)*AY26/100*Inputs!$F$138/AY11)</f>
        <v>2.77972879729461</v>
      </c>
      <c r="AZ46" s="13" t="n">
        <f aca="false">Inputs!$F$136*(Inputs!$F$137*AZ20/100+(1-Inputs!$F$137)*AZ26/100*Inputs!$F$138/AZ11)</f>
        <v>2.79830987445351</v>
      </c>
      <c r="BA46" s="13" t="n">
        <f aca="false">Inputs!$F$136*(Inputs!$F$137*BA20/100+(1-Inputs!$F$137)*BA26/100*Inputs!$F$138/BA11)</f>
        <v>2.81725611724147</v>
      </c>
      <c r="BB46" s="13" t="n">
        <f aca="false">Inputs!$F$136*(Inputs!$F$137*BB20/100+(1-Inputs!$F$137)*BB26/100*Inputs!$F$138/BB11)</f>
        <v>2.83656930525161</v>
      </c>
      <c r="BC46" s="13" t="n">
        <f aca="false">Inputs!$F$136*(Inputs!$F$137*BC20/100+(1-Inputs!$F$137)*BC26/100*Inputs!$F$138/BC11)</f>
        <v>2.85625126786306</v>
      </c>
      <c r="BD46" s="13" t="n">
        <f aca="false">Inputs!$F$136*(Inputs!$F$137*BD20/100+(1-Inputs!$F$137)*BD26/100*Inputs!$F$138/BD11)</f>
        <v>2.87630388437078</v>
      </c>
      <c r="BE46" s="13" t="n">
        <f aca="false">Inputs!$F$136*(Inputs!$F$137*BE20/100+(1-Inputs!$F$137)*BE26/100*Inputs!$F$138/BE11)</f>
        <v>2.89672908412244</v>
      </c>
      <c r="BF46" s="13" t="n">
        <f aca="false">Inputs!$F$136*(Inputs!$F$137*BF20/100+(1-Inputs!$F$137)*BF26/100*Inputs!$F$138/BF11)</f>
        <v>2.91752884666238</v>
      </c>
      <c r="BG46" s="13" t="n">
        <f aca="false">Inputs!$F$136*(Inputs!$F$137*BG20/100+(1-Inputs!$F$137)*BG26/100*Inputs!$F$138/BG11)</f>
        <v>2.93870520188268</v>
      </c>
      <c r="BH46" s="13" t="n">
        <f aca="false">Inputs!$F$136*(Inputs!$F$137*BH20/100+(1-Inputs!$F$137)*BH26/100*Inputs!$F$138/BH11)</f>
        <v>2.96026023018138</v>
      </c>
      <c r="BI46" s="13" t="n">
        <f aca="false">Inputs!$F$136*(Inputs!$F$137*BI20/100+(1-Inputs!$F$137)*BI26/100*Inputs!$F$138/BI11)</f>
        <v>2.98219606262773</v>
      </c>
      <c r="BJ46" s="13" t="n">
        <f aca="false">Inputs!$F$136*(Inputs!$F$137*BJ20/100+(1-Inputs!$F$137)*BJ26/100*Inputs!$F$138/BJ11)</f>
        <v>3.00451488113458</v>
      </c>
      <c r="BK46" s="13" t="n">
        <f aca="false">Inputs!$F$136*(Inputs!$F$137*BK20/100+(1-Inputs!$F$137)*BK26/100*Inputs!$F$138/BK11)</f>
        <v>3.02721891863789</v>
      </c>
      <c r="BL46" s="13" t="n">
        <f aca="false">Inputs!$F$136*(Inputs!$F$137*BL20/100+(1-Inputs!$F$137)*BL26/100*Inputs!$F$138/BL11)</f>
        <v>3.05031045928335</v>
      </c>
      <c r="BM46" s="13" t="n">
        <f aca="false">Inputs!$F$136*(Inputs!$F$137*BM20/100+(1-Inputs!$F$137)*BM26/100*Inputs!$F$138/BM11)</f>
        <v>3.07379183862014</v>
      </c>
      <c r="BN46" s="13" t="n">
        <f aca="false">Inputs!$F$136*(Inputs!$F$137*BN20/100+(1-Inputs!$F$137)*BN26/100*Inputs!$F$138/BN11)</f>
        <v>3.09766544380179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0.996080128494481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0.993274035452697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0.972605145790533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0.996962753710231</v>
      </c>
      <c r="BB47" s="13" t="n">
        <f aca="false">MIN(1,BB32/Inputs!$F$133)</f>
        <v>0.978054985879204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0.971046925412944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3219.69887850984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19.9438681682076</v>
      </c>
      <c r="P48" s="13" t="n">
        <f aca="false">$F$34*1000*Time!P30*(P45+P46)*P47/1000000</f>
        <v>59.9738843480236</v>
      </c>
      <c r="Q48" s="13" t="n">
        <f aca="false">$F$34*1000*Time!Q30*(Q45+Q46)*Q47/1000000</f>
        <v>60.1186593249591</v>
      </c>
      <c r="R48" s="13" t="n">
        <f aca="false">$F$34*1000*Time!R30*(R45+R46)*R47/1000000</f>
        <v>60.2659438884286</v>
      </c>
      <c r="S48" s="13" t="n">
        <f aca="false">$F$34*1000*Time!S30*(S45+S46)*S47/1000000</f>
        <v>60.4157528253197</v>
      </c>
      <c r="T48" s="13" t="n">
        <f aca="false">$F$34*1000*Time!T30*(T45+T46)*T47/1000000</f>
        <v>60.5681012576549</v>
      </c>
      <c r="U48" s="13" t="n">
        <f aca="false">$F$34*1000*Time!U30*(U45+U46)*U47/1000000</f>
        <v>60.7230046438863</v>
      </c>
      <c r="V48" s="13" t="n">
        <f aca="false">$F$34*1000*Time!V30*(V45+V46)*V47/1000000</f>
        <v>60.8804787802358</v>
      </c>
      <c r="W48" s="13" t="n">
        <f aca="false">$F$34*1000*Time!W30*(W45+W46)*W47/1000000</f>
        <v>61.0405398020822</v>
      </c>
      <c r="X48" s="13" t="n">
        <f aca="false">$F$34*1000*Time!X30*(X45+X46)*X47/1000000</f>
        <v>61.2032041853958</v>
      </c>
      <c r="Y48" s="13" t="n">
        <f aca="false">$F$34*1000*Time!Y30*(Y45+Y46)*Y47/1000000</f>
        <v>61.3684887482188</v>
      </c>
      <c r="Z48" s="13" t="n">
        <f aca="false">$F$34*1000*Time!Z30*(Z45+Z46)*Z47/1000000</f>
        <v>61.5364106521934</v>
      </c>
      <c r="AA48" s="13" t="n">
        <f aca="false">$F$34*1000*Time!AA30*(AA45+AA46)*AA47/1000000</f>
        <v>61.7069874041366</v>
      </c>
      <c r="AB48" s="13" t="n">
        <f aca="false">$F$34*1000*Time!AB30*(AB45+AB46)*AB47/1000000</f>
        <v>61.8802368576618</v>
      </c>
      <c r="AC48" s="13" t="n">
        <f aca="false">$F$34*1000*Time!AC30*(AC45+AC46)*AC47/1000000</f>
        <v>62.0561772148485</v>
      </c>
      <c r="AD48" s="13" t="n">
        <f aca="false">$F$34*1000*Time!AD30*(AD45+AD46)*AD47/1000000</f>
        <v>61.9908745028407</v>
      </c>
      <c r="AE48" s="13" t="n">
        <f aca="false">$F$34*1000*Time!AE30*(AE45+AE46)*AE47/1000000</f>
        <v>62.4162052012</v>
      </c>
      <c r="AF48" s="13" t="n">
        <f aca="false">$F$34*1000*Time!AF30*(AF45+AF46)*AF47/1000000</f>
        <v>62.600330992539</v>
      </c>
      <c r="AG48" s="13" t="n">
        <f aca="false">$F$34*1000*Time!AG30*(AG45+AG46)*AG47/1000000</f>
        <v>62.7872240155589</v>
      </c>
      <c r="AH48" s="13" t="n">
        <f aca="false">$F$34*1000*Time!AH30*(AH45+AH46)*AH47/1000000</f>
        <v>62.9769042413671</v>
      </c>
      <c r="AI48" s="13" t="n">
        <f aca="false">$F$34*1000*Time!AI30*(AI45+AI46)*AI47/1000000</f>
        <v>63.1693920005509</v>
      </c>
      <c r="AJ48" s="13" t="n">
        <f aca="false">$F$34*1000*Time!AJ30*(AJ45+AJ46)*AJ47/1000000</f>
        <v>63.3647079851799</v>
      </c>
      <c r="AK48" s="13" t="n">
        <f aca="false">$F$34*1000*Time!AK30*(AK45+AK46)*AK47/1000000</f>
        <v>63.5628732508587</v>
      </c>
      <c r="AL48" s="13" t="n">
        <f aca="false">$F$34*1000*Time!AL30*(AL45+AL46)*AL47/1000000</f>
        <v>63.3350354260226</v>
      </c>
      <c r="AM48" s="13" t="n">
        <f aca="false">$F$34*1000*Time!AM30*(AM45+AM46)*AM47/1000000</f>
        <v>63.9678376781036</v>
      </c>
      <c r="AN48" s="13" t="n">
        <f aca="false">$F$34*1000*Time!AN30*(AN45+AN46)*AN47/1000000</f>
        <v>64.1746807876949</v>
      </c>
      <c r="AO48" s="13" t="n">
        <f aca="false">$F$34*1000*Time!AO30*(AO45+AO46)*AO47/1000000</f>
        <v>64.3844610788305</v>
      </c>
      <c r="AP48" s="13" t="n">
        <f aca="false">$F$34*1000*Time!AP30*(AP45+AP46)*AP47/1000000</f>
        <v>64.5972014572644</v>
      </c>
      <c r="AQ48" s="13" t="n">
        <f aca="false">$F$34*1000*Time!AQ30*(AQ45+AQ46)*AQ47/1000000</f>
        <v>64.8129252056194</v>
      </c>
      <c r="AR48" s="13" t="n">
        <f aca="false">$F$34*1000*Time!AR30*(AR45+AR46)*AR47/1000000</f>
        <v>65.0316559857821</v>
      </c>
      <c r="AS48" s="13" t="n">
        <f aca="false">$F$34*1000*Time!AS30*(AS45+AS46)*AS47/1000000</f>
        <v>65.2534178413474</v>
      </c>
      <c r="AT48" s="13" t="n">
        <f aca="false">$F$34*1000*Time!AT30*(AT45+AT46)*AT47/1000000</f>
        <v>63.6844684929135</v>
      </c>
      <c r="AU48" s="13" t="n">
        <f aca="false">$F$34*1000*Time!AU30*(AU45+AU46)*AU47/1000000</f>
        <v>65.706132876628</v>
      </c>
      <c r="AV48" s="13" t="n">
        <f aca="false">$F$34*1000*Time!AV30*(AV45+AV46)*AV47/1000000</f>
        <v>65.9371360747811</v>
      </c>
      <c r="AW48" s="13" t="n">
        <f aca="false">$F$34*1000*Time!AW30*(AW45+AW46)*AW47/1000000</f>
        <v>66.1712703904547</v>
      </c>
      <c r="AX48" s="13" t="n">
        <f aca="false">$F$34*1000*Time!AX30*(AX45+AX46)*AX47/1000000</f>
        <v>66.4085618142186</v>
      </c>
      <c r="AY48" s="13" t="n">
        <f aca="false">$F$34*1000*Time!AY30*(AY45+AY46)*AY47/1000000</f>
        <v>66.6490367340797</v>
      </c>
      <c r="AZ48" s="13" t="n">
        <f aca="false">$F$34*1000*Time!AZ30*(AZ45+AZ46)*AZ47/1000000</f>
        <v>66.8927219382819</v>
      </c>
      <c r="BA48" s="13" t="n">
        <f aca="false">$F$34*1000*Time!BA30*(BA45+BA46)*BA47/1000000</f>
        <v>66.9357249816457</v>
      </c>
      <c r="BB48" s="13" t="n">
        <f aca="false">$F$34*1000*Time!BB30*(BB45+BB46)*BB47/1000000</f>
        <v>65.9109615480562</v>
      </c>
      <c r="BC48" s="13" t="n">
        <f aca="false">$F$34*1000*Time!BC30*(BC45+BC46)*BC47/1000000</f>
        <v>67.6433132031937</v>
      </c>
      <c r="BD48" s="13" t="n">
        <f aca="false">$F$34*1000*Time!BD30*(BD45+BD46)*BD47/1000000</f>
        <v>67.9001155328661</v>
      </c>
      <c r="BE48" s="13" t="n">
        <f aca="false">$F$34*1000*Time!BE30*(BE45+BE46)*BE47/1000000</f>
        <v>68.1602681933127</v>
      </c>
      <c r="BF48" s="13" t="n">
        <f aca="false">$F$34*1000*Time!BF30*(BF45+BF46)*BF47/1000000</f>
        <v>68.423800435929</v>
      </c>
      <c r="BG48" s="13" t="n">
        <f aca="false">$F$34*1000*Time!BG30*(BG45+BG46)*BG47/1000000</f>
        <v>68.6907419334174</v>
      </c>
      <c r="BH48" s="13" t="n">
        <f aca="false">$F$34*1000*Time!BH30*(BH45+BH46)*BH47/1000000</f>
        <v>68.9611227830093</v>
      </c>
      <c r="BI48" s="13" t="n">
        <f aca="false">$F$34*1000*Time!BI30*(BI45+BI46)*BI47/1000000</f>
        <v>69.2349735097429</v>
      </c>
      <c r="BJ48" s="13" t="n">
        <f aca="false">$F$34*1000*Time!BJ30*(BJ45+BJ46)*BJ47/1000000</f>
        <v>67.4997295373292</v>
      </c>
      <c r="BK48" s="13" t="n">
        <f aca="false">$F$34*1000*Time!BK30*(BK45+BK46)*BK47/1000000</f>
        <v>69.7932088538665</v>
      </c>
      <c r="BL48" s="13" t="n">
        <f aca="false">$F$34*1000*Time!BL30*(BL45+BL46)*BL47/1000000</f>
        <v>70.0776566906268</v>
      </c>
      <c r="BM48" s="13" t="n">
        <f aca="false">$F$34*1000*Time!BM30*(BM45+BM46)*BM47/1000000</f>
        <v>46.9104672334726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3.89174685042553</v>
      </c>
      <c r="K49" s="13" t="n">
        <f aca="false">Inputs!$F$139*(Inputs!$F$140*K20/100+(1-Inputs!$F$140)*K26/100*Inputs!$F$138/K11)</f>
        <v>3.90686711270961</v>
      </c>
      <c r="L49" s="13" t="n">
        <f aca="false">Inputs!$F$139*(Inputs!$F$140*L20/100+(1-Inputs!$F$140)*L26/100*Inputs!$F$138/L11)</f>
        <v>3.92252852403451</v>
      </c>
      <c r="M49" s="13" t="n">
        <f aca="false">Inputs!$F$139*(Inputs!$F$140*M20/100+(1-Inputs!$F$140)*M26/100*Inputs!$F$138/M11)</f>
        <v>3.93873186284695</v>
      </c>
      <c r="N49" s="13" t="n">
        <f aca="false">Inputs!$F$139*(Inputs!$F$140*N20/100+(1-Inputs!$F$140)*N26/100*Inputs!$F$138/N11)</f>
        <v>3.95547798647462</v>
      </c>
      <c r="O49" s="13" t="n">
        <f aca="false">Inputs!$F$139*(Inputs!$F$140*O20/100+(1-Inputs!$F$140)*O26/100*Inputs!$F$138/O11)</f>
        <v>3.97276783102632</v>
      </c>
      <c r="P49" s="13" t="n">
        <f aca="false">Inputs!$F$139*(Inputs!$F$140*P20/100+(1-Inputs!$F$140)*P26/100*Inputs!$F$138/P11)</f>
        <v>3.99060241130399</v>
      </c>
      <c r="Q49" s="13" t="n">
        <f aca="false">Inputs!$F$139*(Inputs!$F$140*Q20/100+(1-Inputs!$F$140)*Q26/100*Inputs!$F$138/Q11)</f>
        <v>4.00898282072696</v>
      </c>
      <c r="R49" s="13" t="n">
        <f aca="false">Inputs!$F$139*(Inputs!$F$140*R20/100+(1-Inputs!$F$140)*R26/100*Inputs!$F$138/R11)</f>
        <v>4.02791023126803</v>
      </c>
      <c r="S49" s="13" t="n">
        <f aca="false">Inputs!$F$139*(Inputs!$F$140*S20/100+(1-Inputs!$F$140)*S26/100*Inputs!$F$138/S11)</f>
        <v>4.04738589340161</v>
      </c>
      <c r="T49" s="13" t="n">
        <f aca="false">Inputs!$F$139*(Inputs!$F$140*T20/100+(1-Inputs!$F$140)*T26/100*Inputs!$F$138/T11)</f>
        <v>4.06741113606371</v>
      </c>
      <c r="U49" s="13" t="n">
        <f aca="false">Inputs!$F$139*(Inputs!$F$140*U20/100+(1-Inputs!$F$140)*U26/100*Inputs!$F$138/U11)</f>
        <v>4.08798736662381</v>
      </c>
      <c r="V49" s="13" t="n">
        <f aca="false">Inputs!$F$139*(Inputs!$F$140*V20/100+(1-Inputs!$F$140)*V26/100*Inputs!$F$138/V11)</f>
        <v>4.10911607086852</v>
      </c>
      <c r="W49" s="13" t="n">
        <f aca="false">Inputs!$F$139*(Inputs!$F$140*W20/100+(1-Inputs!$F$140)*W26/100*Inputs!$F$138/W11)</f>
        <v>4.13079881299709</v>
      </c>
      <c r="X49" s="13" t="n">
        <f aca="false">Inputs!$F$139*(Inputs!$F$140*X20/100+(1-Inputs!$F$140)*X26/100*Inputs!$F$138/X11)</f>
        <v>4.15303723562862</v>
      </c>
      <c r="Y49" s="13" t="n">
        <f aca="false">Inputs!$F$139*(Inputs!$F$140*Y20/100+(1-Inputs!$F$140)*Y26/100*Inputs!$F$138/Y11)</f>
        <v>4.17583305982102</v>
      </c>
      <c r="Z49" s="13" t="n">
        <f aca="false">Inputs!$F$139*(Inputs!$F$140*Z20/100+(1-Inputs!$F$140)*Z26/100*Inputs!$F$138/Z11)</f>
        <v>4.19918808510162</v>
      </c>
      <c r="AA49" s="13" t="n">
        <f aca="false">Inputs!$F$139*(Inputs!$F$140*AA20/100+(1-Inputs!$F$140)*AA26/100*Inputs!$F$138/AA11)</f>
        <v>4.22310418950948</v>
      </c>
      <c r="AB49" s="13" t="n">
        <f aca="false">Inputs!$F$139*(Inputs!$F$140*AB20/100+(1-Inputs!$F$140)*AB26/100*Inputs!$F$138/AB11)</f>
        <v>4.24758332964933</v>
      </c>
      <c r="AC49" s="13" t="n">
        <f aca="false">Inputs!$F$139*(Inputs!$F$140*AC20/100+(1-Inputs!$F$140)*AC26/100*Inputs!$F$138/AC11)</f>
        <v>4.27262754075707</v>
      </c>
      <c r="AD49" s="13" t="n">
        <f aca="false">Inputs!$F$139*(Inputs!$F$140*AD20/100+(1-Inputs!$F$140)*AD26/100*Inputs!$F$138/AD11)</f>
        <v>4.29823893677691</v>
      </c>
      <c r="AE49" s="13" t="n">
        <f aca="false">Inputs!$F$139*(Inputs!$F$140*AE20/100+(1-Inputs!$F$140)*AE26/100*Inputs!$F$138/AE11)</f>
        <v>4.32441971045007</v>
      </c>
      <c r="AF49" s="13" t="n">
        <f aca="false">Inputs!$F$139*(Inputs!$F$140*AF20/100+(1-Inputs!$F$140)*AF26/100*Inputs!$F$138/AF11)</f>
        <v>4.35117213341493</v>
      </c>
      <c r="AG49" s="13" t="n">
        <f aca="false">Inputs!$F$139*(Inputs!$F$140*AG20/100+(1-Inputs!$F$140)*AG26/100*Inputs!$F$138/AG11)</f>
        <v>4.37849855631882</v>
      </c>
      <c r="AH49" s="13" t="n">
        <f aca="false">Inputs!$F$139*(Inputs!$F$140*AH20/100+(1-Inputs!$F$140)*AH26/100*Inputs!$F$138/AH11)</f>
        <v>4.40640140894126</v>
      </c>
      <c r="AI49" s="13" t="n">
        <f aca="false">Inputs!$F$139*(Inputs!$F$140*AI20/100+(1-Inputs!$F$140)*AI26/100*Inputs!$F$138/AI11)</f>
        <v>4.43488320032865</v>
      </c>
      <c r="AJ49" s="13" t="n">
        <f aca="false">Inputs!$F$139*(Inputs!$F$140*AJ20/100+(1-Inputs!$F$140)*AJ26/100*Inputs!$F$138/AJ11)</f>
        <v>4.46394651894057</v>
      </c>
      <c r="AK49" s="13" t="n">
        <f aca="false">Inputs!$F$139*(Inputs!$F$140*AK20/100+(1-Inputs!$F$140)*AK26/100*Inputs!$F$138/AK11)</f>
        <v>4.49359403280735</v>
      </c>
      <c r="AL49" s="13" t="n">
        <f aca="false">Inputs!$F$139*(Inputs!$F$140*AL20/100+(1-Inputs!$F$140)*AL26/100*Inputs!$F$138/AL11)</f>
        <v>4.52382848969928</v>
      </c>
      <c r="AM49" s="13" t="n">
        <f aca="false">Inputs!$F$139*(Inputs!$F$140*AM20/100+(1-Inputs!$F$140)*AM26/100*Inputs!$F$138/AM11)</f>
        <v>4.55465271730717</v>
      </c>
      <c r="AN49" s="13" t="n">
        <f aca="false">Inputs!$F$139*(Inputs!$F$140*AN20/100+(1-Inputs!$F$140)*AN26/100*Inputs!$F$138/AN11)</f>
        <v>4.58606962343438</v>
      </c>
      <c r="AO49" s="13" t="n">
        <f aca="false">Inputs!$F$139*(Inputs!$F$140*AO20/100+(1-Inputs!$F$140)*AO26/100*Inputs!$F$138/AO11)</f>
        <v>4.61808219620027</v>
      </c>
      <c r="AP49" s="13" t="n">
        <f aca="false">Inputs!$F$139*(Inputs!$F$140*AP20/100+(1-Inputs!$F$140)*AP26/100*Inputs!$F$138/AP11)</f>
        <v>4.6506935042551</v>
      </c>
      <c r="AQ49" s="13" t="n">
        <f aca="false">Inputs!$F$139*(Inputs!$F$140*AQ20/100+(1-Inputs!$F$140)*AQ26/100*Inputs!$F$138/AQ11)</f>
        <v>4.68390669700639</v>
      </c>
      <c r="AR49" s="13" t="n">
        <f aca="false">Inputs!$F$139*(Inputs!$F$140*AR20/100+(1-Inputs!$F$140)*AR26/100*Inputs!$F$138/AR11)</f>
        <v>4.71772500485666</v>
      </c>
      <c r="AS49" s="13" t="n">
        <f aca="false">Inputs!$F$139*(Inputs!$F$140*AS20/100+(1-Inputs!$F$140)*AS26/100*Inputs!$F$138/AS11)</f>
        <v>4.75215173945265</v>
      </c>
      <c r="AT49" s="13" t="n">
        <f aca="false">Inputs!$F$139*(Inputs!$F$140*AT20/100+(1-Inputs!$F$140)*AT26/100*Inputs!$F$138/AT11)</f>
        <v>4.78719029394595</v>
      </c>
      <c r="AU49" s="13" t="n">
        <f aca="false">Inputs!$F$139*(Inputs!$F$140*AU20/100+(1-Inputs!$F$140)*AU26/100*Inputs!$F$138/AU11)</f>
        <v>4.82284414326514</v>
      </c>
      <c r="AV49" s="13" t="n">
        <f aca="false">Inputs!$F$139*(Inputs!$F$140*AV20/100+(1-Inputs!$F$140)*AV26/100*Inputs!$F$138/AV11)</f>
        <v>4.85911684439929</v>
      </c>
      <c r="AW49" s="13" t="n">
        <f aca="false">Inputs!$F$139*(Inputs!$F$140*AW20/100+(1-Inputs!$F$140)*AW26/100*Inputs!$F$138/AW11)</f>
        <v>4.89601203669303</v>
      </c>
      <c r="AX49" s="13" t="n">
        <f aca="false">Inputs!$F$139*(Inputs!$F$140*AX20/100+(1-Inputs!$F$140)*AX26/100*Inputs!$F$138/AX11)</f>
        <v>4.93353344215299</v>
      </c>
      <c r="AY49" s="13" t="n">
        <f aca="false">Inputs!$F$139*(Inputs!$F$140*AY20/100+(1-Inputs!$F$140)*AY26/100*Inputs!$F$138/AY11)</f>
        <v>4.97168486576583</v>
      </c>
      <c r="AZ49" s="13" t="n">
        <f aca="false">Inputs!$F$139*(Inputs!$F$140*AZ20/100+(1-Inputs!$F$140)*AZ26/100*Inputs!$F$138/AZ11)</f>
        <v>5.01047019582769</v>
      </c>
      <c r="BA49" s="13" t="n">
        <f aca="false">Inputs!$F$139*(Inputs!$F$140*BA20/100+(1-Inputs!$F$140)*BA26/100*Inputs!$F$138/BA11)</f>
        <v>5.04989340428522</v>
      </c>
      <c r="BB49" s="13" t="n">
        <f aca="false">Inputs!$F$139*(Inputs!$F$140*BB20/100+(1-Inputs!$F$140)*BB26/100*Inputs!$F$138/BB11)</f>
        <v>5.08995854708808</v>
      </c>
      <c r="BC49" s="13" t="n">
        <f aca="false">Inputs!$F$139*(Inputs!$F$140*BC20/100+(1-Inputs!$F$140)*BC26/100*Inputs!$F$138/BC11)</f>
        <v>5.1306697645531</v>
      </c>
      <c r="BD49" s="13" t="n">
        <f aca="false">Inputs!$F$139*(Inputs!$F$140*BD20/100+(1-Inputs!$F$140)*BD26/100*Inputs!$F$138/BD11)</f>
        <v>5.17203128173989</v>
      </c>
      <c r="BE49" s="13" t="n">
        <f aca="false">Inputs!$F$139*(Inputs!$F$140*BE20/100+(1-Inputs!$F$140)*BE26/100*Inputs!$F$138/BE11)</f>
        <v>5.21404740883816</v>
      </c>
      <c r="BF49" s="13" t="n">
        <f aca="false">Inputs!$F$139*(Inputs!$F$140*BF20/100+(1-Inputs!$F$140)*BF26/100*Inputs!$F$138/BF11)</f>
        <v>5.2567225415666</v>
      </c>
      <c r="BG49" s="13" t="n">
        <f aca="false">Inputs!$F$139*(Inputs!$F$140*BG20/100+(1-Inputs!$F$140)*BG26/100*Inputs!$F$138/BG11)</f>
        <v>5.3000611615834</v>
      </c>
      <c r="BH49" s="13" t="n">
        <f aca="false">Inputs!$F$139*(Inputs!$F$140*BH20/100+(1-Inputs!$F$140)*BH26/100*Inputs!$F$138/BH11)</f>
        <v>5.34406783690853</v>
      </c>
      <c r="BI49" s="13" t="n">
        <f aca="false">Inputs!$F$139*(Inputs!$F$140*BI20/100+(1-Inputs!$F$140)*BI26/100*Inputs!$F$138/BI11)</f>
        <v>5.38874722235765</v>
      </c>
      <c r="BJ49" s="13" t="n">
        <f aca="false">Inputs!$F$139*(Inputs!$F$140*BJ20/100+(1-Inputs!$F$140)*BJ26/100*Inputs!$F$138/BJ11)</f>
        <v>5.43410405998776</v>
      </c>
      <c r="BK49" s="13" t="n">
        <f aca="false">Inputs!$F$139*(Inputs!$F$140*BK20/100+(1-Inputs!$F$140)*BK26/100*Inputs!$F$138/BK11)</f>
        <v>5.48014317955466</v>
      </c>
      <c r="BL49" s="13" t="n">
        <f aca="false">Inputs!$F$139*(Inputs!$F$140*BL20/100+(1-Inputs!$F$140)*BL26/100*Inputs!$F$138/BL11)</f>
        <v>5.52686949898223</v>
      </c>
      <c r="BM49" s="13" t="n">
        <f aca="false">Inputs!$F$139*(Inputs!$F$140*BM20/100+(1-Inputs!$F$140)*BM26/100*Inputs!$F$138/BM11)</f>
        <v>5.57428802484347</v>
      </c>
      <c r="BN49" s="13" t="n">
        <f aca="false">Inputs!$F$139*(Inputs!$F$140*BN20/100+(1-Inputs!$F$140)*BN26/100*Inputs!$F$138/BN11)</f>
        <v>5.6224038528535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359.520562371371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2.21735213665863</v>
      </c>
      <c r="P50" s="13" t="n">
        <f aca="false">P38*P49/1000000</f>
        <v>6.67857749629339</v>
      </c>
      <c r="Q50" s="13" t="n">
        <f aca="false">Q38*Q49/1000000</f>
        <v>6.56738728067329</v>
      </c>
      <c r="R50" s="13" t="n">
        <f aca="false">R38*R49/1000000</f>
        <v>6.31851958352582</v>
      </c>
      <c r="S50" s="13" t="n">
        <f aca="false">S38*S49/1000000</f>
        <v>6.32074400689388</v>
      </c>
      <c r="T50" s="13" t="n">
        <f aca="false">T38*T49/1000000</f>
        <v>6.29993231752818</v>
      </c>
      <c r="U50" s="13" t="n">
        <f aca="false">U38*U49/1000000</f>
        <v>6.3452688858769</v>
      </c>
      <c r="V50" s="13" t="n">
        <f aca="false">V38*V49/1000000</f>
        <v>6.40988577297539</v>
      </c>
      <c r="W50" s="13" t="n">
        <f aca="false">W38*W49/1000000</f>
        <v>6.46622346298933</v>
      </c>
      <c r="X50" s="13" t="n">
        <f aca="false">X38*X49/1000000</f>
        <v>6.5511275181213</v>
      </c>
      <c r="Y50" s="13" t="n">
        <f aca="false">Y38*Y49/1000000</f>
        <v>6.58948242848215</v>
      </c>
      <c r="Z50" s="13" t="n">
        <f aca="false">Z38*Z49/1000000</f>
        <v>6.63614000527105</v>
      </c>
      <c r="AA50" s="13" t="n">
        <f aca="false">AA38*AA49/1000000</f>
        <v>6.6691529589567</v>
      </c>
      <c r="AB50" s="13" t="n">
        <f aca="false">AB38*AB49/1000000</f>
        <v>6.70326504164357</v>
      </c>
      <c r="AC50" s="13" t="n">
        <f aca="false">AC38*AC49/1000000</f>
        <v>6.64228726352226</v>
      </c>
      <c r="AD50" s="13" t="n">
        <f aca="false">AD38*AD49/1000000</f>
        <v>6.48525136392047</v>
      </c>
      <c r="AE50" s="13" t="n">
        <f aca="false">AE38*AE49/1000000</f>
        <v>6.62890389959557</v>
      </c>
      <c r="AF50" s="13" t="n">
        <f aca="false">AF38*AF49/1000000</f>
        <v>6.88423172763963</v>
      </c>
      <c r="AG50" s="13" t="n">
        <f aca="false">AG38*AG49/1000000</f>
        <v>6.85207519807463</v>
      </c>
      <c r="AH50" s="13" t="n">
        <f aca="false">AH38*AH49/1000000</f>
        <v>6.74945466434214</v>
      </c>
      <c r="AI50" s="13" t="n">
        <f aca="false">AI38*AI49/1000000</f>
        <v>6.79150356524959</v>
      </c>
      <c r="AJ50" s="13" t="n">
        <f aca="false">AJ38*AJ49/1000000</f>
        <v>6.83802785904089</v>
      </c>
      <c r="AK50" s="13" t="n">
        <f aca="false">AK38*AK49/1000000</f>
        <v>6.82713626869211</v>
      </c>
      <c r="AL50" s="13" t="n">
        <f aca="false">AL38*AL49/1000000</f>
        <v>6.76509795006811</v>
      </c>
      <c r="AM50" s="13" t="n">
        <f aca="false">AM38*AM49/1000000</f>
        <v>6.93336098109641</v>
      </c>
      <c r="AN50" s="13" t="n">
        <f aca="false">AN38*AN49/1000000</f>
        <v>7.2321451789563</v>
      </c>
      <c r="AO50" s="13" t="n">
        <f aca="false">AO38*AO49/1000000</f>
        <v>7.26064631680096</v>
      </c>
      <c r="AP50" s="13" t="n">
        <f aca="false">AP38*AP49/1000000</f>
        <v>7.2732867408976</v>
      </c>
      <c r="AQ50" s="13" t="n">
        <f aca="false">AQ38*AQ49/1000000</f>
        <v>7.4009254662884</v>
      </c>
      <c r="AR50" s="13" t="n">
        <f aca="false">AR38*AR49/1000000</f>
        <v>7.61230533487763</v>
      </c>
      <c r="AS50" s="13" t="n">
        <f aca="false">AS38*AS49/1000000</f>
        <v>7.41514862998922</v>
      </c>
      <c r="AT50" s="13" t="n">
        <f aca="false">AT38*AT49/1000000</f>
        <v>6.96717686875557</v>
      </c>
      <c r="AU50" s="13" t="n">
        <f aca="false">AU38*AU49/1000000</f>
        <v>7.2520248047687</v>
      </c>
      <c r="AV50" s="13" t="n">
        <f aca="false">AV38*AV49/1000000</f>
        <v>7.7808636377479</v>
      </c>
      <c r="AW50" s="13" t="n">
        <f aca="false">AW38*AW49/1000000</f>
        <v>7.71552736746557</v>
      </c>
      <c r="AX50" s="13" t="n">
        <f aca="false">AX38*AX49/1000000</f>
        <v>7.53026716590821</v>
      </c>
      <c r="AY50" s="13" t="n">
        <f aca="false">AY38*AY49/1000000</f>
        <v>7.54126517343483</v>
      </c>
      <c r="AZ50" s="13" t="n">
        <f aca="false">AZ38*AZ49/1000000</f>
        <v>7.51087719793891</v>
      </c>
      <c r="BA50" s="13" t="n">
        <f aca="false">BA38*BA49/1000000</f>
        <v>7.49308072025241</v>
      </c>
      <c r="BB50" s="13" t="n">
        <f aca="false">BB38*BB49/1000000</f>
        <v>7.40357398927555</v>
      </c>
      <c r="BC50" s="13" t="n">
        <f aca="false">BC38*BC49/1000000</f>
        <v>7.67546453369646</v>
      </c>
      <c r="BD50" s="13" t="n">
        <f aca="false">BD38*BD49/1000000</f>
        <v>8.17141947646251</v>
      </c>
      <c r="BE50" s="13" t="n">
        <f aca="false">BE38*BE49/1000000</f>
        <v>8.21266633350139</v>
      </c>
      <c r="BF50" s="13" t="n">
        <f aca="false">BF38*BF49/1000000</f>
        <v>8.23567138397189</v>
      </c>
      <c r="BG50" s="13" t="n">
        <f aca="false">BG38*BG49/1000000</f>
        <v>8.20124099633761</v>
      </c>
      <c r="BH50" s="13" t="n">
        <f aca="false">BH38*BH49/1000000</f>
        <v>8.06969237253523</v>
      </c>
      <c r="BI50" s="13" t="n">
        <f aca="false">BI38*BI49/1000000</f>
        <v>8.00054001674151</v>
      </c>
      <c r="BJ50" s="13" t="n">
        <f aca="false">BJ38*BJ49/1000000</f>
        <v>7.79901594258857</v>
      </c>
      <c r="BK50" s="13" t="n">
        <f aca="false">BK38*BK49/1000000</f>
        <v>8.10586463790108</v>
      </c>
      <c r="BL50" s="13" t="n">
        <f aca="false">BL38*BL49/1000000</f>
        <v>8.66621649252456</v>
      </c>
      <c r="BM50" s="13" t="n">
        <f aca="false">BM38*BM49/1000000</f>
        <v>5.8232659546209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4262.72014824977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23.5797322001128</v>
      </c>
      <c r="P51" s="13" t="n">
        <f aca="false">P38*P40*(1000*Inputs!$F$123/Inputs!$F$124)*P41/1000000</f>
        <v>70.7273885573145</v>
      </c>
      <c r="Q51" s="13" t="n">
        <f aca="false">Q38*Q40*(1000*Inputs!$F$123/Inputs!$F$124)*Q41/1000000</f>
        <v>70.6509035814486</v>
      </c>
      <c r="R51" s="13" t="n">
        <f aca="false">R38*R40*(1000*Inputs!$F$123/Inputs!$F$124)*R41/1000000</f>
        <v>67.68800830897</v>
      </c>
      <c r="S51" s="13" t="n">
        <f aca="false">S38*S40*(1000*Inputs!$F$123/Inputs!$F$124)*S41/1000000</f>
        <v>68.7680529263619</v>
      </c>
      <c r="T51" s="13" t="n">
        <f aca="false">T38*T40*(1000*Inputs!$F$123/Inputs!$F$124)*T41/1000000</f>
        <v>68.2382103559015</v>
      </c>
      <c r="U51" s="13" t="n">
        <f aca="false">U38*U40*(1000*Inputs!$F$123/Inputs!$F$124)*U41/1000000</f>
        <v>69.7857973305783</v>
      </c>
      <c r="V51" s="13" t="n">
        <f aca="false">V38*V40*(1000*Inputs!$F$123/Inputs!$F$124)*V41/1000000</f>
        <v>70.168937822965</v>
      </c>
      <c r="W51" s="13" t="n">
        <f aca="false">W38*W40*(1000*Inputs!$F$123/Inputs!$F$124)*W41/1000000</f>
        <v>71.8581798593395</v>
      </c>
      <c r="X51" s="13" t="n">
        <f aca="false">X38*X40*(1000*Inputs!$F$123/Inputs!$F$124)*X41/1000000</f>
        <v>72.4479366847536</v>
      </c>
      <c r="Y51" s="13" t="n">
        <f aca="false">Y38*Y40*(1000*Inputs!$F$123/Inputs!$F$124)*Y41/1000000</f>
        <v>73.9605751060176</v>
      </c>
      <c r="Z51" s="13" t="n">
        <f aca="false">Z38*Z40*(1000*Inputs!$F$123/Inputs!$F$124)*Z41/1000000</f>
        <v>74.106848908502</v>
      </c>
      <c r="AA51" s="13" t="n">
        <f aca="false">AA38*AA40*(1000*Inputs!$F$123/Inputs!$F$124)*AA41/1000000</f>
        <v>75.5723821606504</v>
      </c>
      <c r="AB51" s="13" t="n">
        <f aca="false">AB38*AB40*(1000*Inputs!$F$123/Inputs!$F$124)*AB41/1000000</f>
        <v>75.5587092093395</v>
      </c>
      <c r="AC51" s="13" t="n">
        <f aca="false">AC38*AC40*(1000*Inputs!$F$123/Inputs!$F$124)*AC41/1000000</f>
        <v>75.9588788085571</v>
      </c>
      <c r="AD51" s="13" t="n">
        <f aca="false">AD38*AD40*(1000*Inputs!$F$123/Inputs!$F$124)*AD41/1000000</f>
        <v>73.757771938078</v>
      </c>
      <c r="AE51" s="13" t="n">
        <f aca="false">AE38*AE40*(1000*Inputs!$F$123/Inputs!$F$124)*AE41/1000000</f>
        <v>76.471759223713</v>
      </c>
      <c r="AF51" s="13" t="n">
        <f aca="false">AF38*AF40*(1000*Inputs!$F$123/Inputs!$F$124)*AF41/1000000</f>
        <v>78.9681203343624</v>
      </c>
      <c r="AG51" s="13" t="n">
        <f aca="false">AG38*AG40*(1000*Inputs!$F$123/Inputs!$F$124)*AG41/1000000</f>
        <v>79.7103924677209</v>
      </c>
      <c r="AH51" s="13" t="n">
        <f aca="false">AH38*AH40*(1000*Inputs!$F$123/Inputs!$F$124)*AH41/1000000</f>
        <v>78.0580755147019</v>
      </c>
      <c r="AI51" s="13" t="n">
        <f aca="false">AI38*AI40*(1000*Inputs!$F$123/Inputs!$F$124)*AI41/1000000</f>
        <v>79.6401738095196</v>
      </c>
      <c r="AJ51" s="13" t="n">
        <f aca="false">AJ38*AJ40*(1000*Inputs!$F$123/Inputs!$F$124)*AJ41/1000000</f>
        <v>79.7031154412591</v>
      </c>
      <c r="AK51" s="13" t="n">
        <f aca="false">AK38*AK40*(1000*Inputs!$F$123/Inputs!$F$124)*AK41/1000000</f>
        <v>80.6720659257078</v>
      </c>
      <c r="AL51" s="13" t="n">
        <f aca="false">AL38*AL40*(1000*Inputs!$F$123/Inputs!$F$124)*AL41/1000000</f>
        <v>79.4440083856067</v>
      </c>
      <c r="AM51" s="13" t="n">
        <f aca="false">AM38*AM40*(1000*Inputs!$F$123/Inputs!$F$124)*AM41/1000000</f>
        <v>82.5270933414326</v>
      </c>
      <c r="AN51" s="13" t="n">
        <f aca="false">AN38*AN40*(1000*Inputs!$F$123/Inputs!$F$124)*AN41/1000000</f>
        <v>85.5360192284942</v>
      </c>
      <c r="AO51" s="13" t="n">
        <f aca="false">AO38*AO40*(1000*Inputs!$F$123/Inputs!$F$124)*AO41/1000000</f>
        <v>87.0263499645452</v>
      </c>
      <c r="AP51" s="13" t="n">
        <f aca="false">AP38*AP40*(1000*Inputs!$F$123/Inputs!$F$124)*AP41/1000000</f>
        <v>86.6092866041655</v>
      </c>
      <c r="AQ51" s="13" t="n">
        <f aca="false">AQ38*AQ40*(1000*Inputs!$F$123/Inputs!$F$124)*AQ41/1000000</f>
        <v>89.2983958666253</v>
      </c>
      <c r="AR51" s="13" t="n">
        <f aca="false">AR38*AR40*(1000*Inputs!$F$123/Inputs!$F$124)*AR41/1000000</f>
        <v>91.2354363951762</v>
      </c>
      <c r="AS51" s="13" t="n">
        <f aca="false">AS38*AS40*(1000*Inputs!$F$123/Inputs!$F$124)*AS41/1000000</f>
        <v>90.0375600499075</v>
      </c>
      <c r="AT51" s="13" t="n">
        <f aca="false">AT38*AT40*(1000*Inputs!$F$123/Inputs!$F$124)*AT41/1000000</f>
        <v>84.0202953532693</v>
      </c>
      <c r="AU51" s="13" t="n">
        <f aca="false">AU38*AU40*(1000*Inputs!$F$123/Inputs!$F$124)*AU41/1000000</f>
        <v>88.5886498017063</v>
      </c>
      <c r="AV51" s="13" t="n">
        <f aca="false">AV38*AV40*(1000*Inputs!$F$123/Inputs!$F$124)*AV41/1000000</f>
        <v>94.3856961545914</v>
      </c>
      <c r="AW51" s="13" t="n">
        <f aca="false">AW38*AW40*(1000*Inputs!$F$123/Inputs!$F$124)*AW41/1000000</f>
        <v>94.7922037612959</v>
      </c>
      <c r="AX51" s="13" t="n">
        <f aca="false">AX38*AX40*(1000*Inputs!$F$123/Inputs!$F$124)*AX41/1000000</f>
        <v>91.8576375107275</v>
      </c>
      <c r="AY51" s="13" t="n">
        <f aca="false">AY38*AY40*(1000*Inputs!$F$123/Inputs!$F$124)*AY41/1000000</f>
        <v>93.1573513098787</v>
      </c>
      <c r="AZ51" s="13" t="n">
        <f aca="false">AZ38*AZ40*(1000*Inputs!$F$123/Inputs!$F$124)*AZ41/1000000</f>
        <v>92.1089780033429</v>
      </c>
      <c r="BA51" s="13" t="n">
        <f aca="false">BA38*BA40*(1000*Inputs!$F$123/Inputs!$F$124)*BA41/1000000</f>
        <v>93.0424902143542</v>
      </c>
      <c r="BB51" s="13" t="n">
        <f aca="false">BB38*BB40*(1000*Inputs!$F$123/Inputs!$F$124)*BB41/1000000</f>
        <v>91.2522043349907</v>
      </c>
      <c r="BC51" s="13" t="n">
        <f aca="false">BC38*BC40*(1000*Inputs!$F$123/Inputs!$F$124)*BC41/1000000</f>
        <v>95.7767126505695</v>
      </c>
      <c r="BD51" s="13" t="n">
        <f aca="false">BD38*BD40*(1000*Inputs!$F$123/Inputs!$F$124)*BD41/1000000</f>
        <v>101.199539599553</v>
      </c>
      <c r="BE51" s="13" t="n">
        <f aca="false">BE38*BE40*(1000*Inputs!$F$123/Inputs!$F$124)*BE41/1000000</f>
        <v>102.958996087927</v>
      </c>
      <c r="BF51" s="13" t="n">
        <f aca="false">BF38*BF40*(1000*Inputs!$F$123/Inputs!$F$124)*BF41/1000000</f>
        <v>102.459373752465</v>
      </c>
      <c r="BG51" s="13" t="n">
        <f aca="false">BG38*BG40*(1000*Inputs!$F$123/Inputs!$F$124)*BG41/1000000</f>
        <v>103.271182345848</v>
      </c>
      <c r="BH51" s="13" t="n">
        <f aca="false">BH38*BH40*(1000*Inputs!$F$123/Inputs!$F$124)*BH41/1000000</f>
        <v>100.82724751746</v>
      </c>
      <c r="BI51" s="13" t="n">
        <f aca="false">BI38*BI40*(1000*Inputs!$F$123/Inputs!$F$124)*BI41/1000000</f>
        <v>101.166538539278</v>
      </c>
      <c r="BJ51" s="13" t="n">
        <f aca="false">BJ38*BJ40*(1000*Inputs!$F$123/Inputs!$F$124)*BJ41/1000000</f>
        <v>97.8429388591091</v>
      </c>
      <c r="BK51" s="13" t="n">
        <f aca="false">BK38*BK40*(1000*Inputs!$F$123/Inputs!$F$124)*BK41/1000000</f>
        <v>102.905212008529</v>
      </c>
      <c r="BL51" s="13" t="n">
        <f aca="false">BL38*BL40*(1000*Inputs!$F$123/Inputs!$F$124)*BL41/1000000</f>
        <v>109.142092868639</v>
      </c>
      <c r="BM51" s="13" t="n">
        <f aca="false">BM38*BM40*(1000*Inputs!$F$123/Inputs!$F$124)*BM41/1000000</f>
        <v>74.198641264403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127.50503793191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0.751927021762105</v>
      </c>
      <c r="P53" s="13" t="n">
        <f aca="false">P42*Inputs!$F$148*(1+Inputs!$F$149/100)^(Time!P26-Inputs!$F$256)/1000000</f>
        <v>2.25544964960003</v>
      </c>
      <c r="Q53" s="13" t="n">
        <f aca="false">Q42*Inputs!$F$148*(1+Inputs!$F$149/100)^(Time!Q26-Inputs!$F$256)/1000000</f>
        <v>2.2420336552302</v>
      </c>
      <c r="R53" s="13" t="n">
        <f aca="false">R42*Inputs!$F$148*(1+Inputs!$F$149/100)^(Time!R26-Inputs!$F$256)/1000000</f>
        <v>2.14807357225677</v>
      </c>
      <c r="S53" s="13" t="n">
        <f aca="false">S42*Inputs!$F$148*(1+Inputs!$F$149/100)^(Time!S26-Inputs!$F$256)/1000000</f>
        <v>2.17171590280626</v>
      </c>
      <c r="T53" s="13" t="n">
        <f aca="false">T42*Inputs!$F$148*(1+Inputs!$F$149/100)^(Time!T26-Inputs!$F$256)/1000000</f>
        <v>2.15504773726894</v>
      </c>
      <c r="U53" s="13" t="n">
        <f aca="false">U42*Inputs!$F$148*(1+Inputs!$F$149/100)^(Time!U26-Inputs!$F$256)/1000000</f>
        <v>2.19318441716604</v>
      </c>
      <c r="V53" s="13" t="n">
        <f aca="false">V42*Inputs!$F$148*(1+Inputs!$F$149/100)^(Time!V26-Inputs!$F$256)/1000000</f>
        <v>2.20529130678638</v>
      </c>
      <c r="W53" s="13" t="n">
        <f aca="false">W42*Inputs!$F$148*(1+Inputs!$F$149/100)^(Time!W26-Inputs!$F$256)/1000000</f>
        <v>2.24737781317748</v>
      </c>
      <c r="X53" s="13" t="n">
        <f aca="false">X42*Inputs!$F$148*(1+Inputs!$F$149/100)^(Time!X26-Inputs!$F$256)/1000000</f>
        <v>2.2658900254926</v>
      </c>
      <c r="Y53" s="13" t="n">
        <f aca="false">Y42*Inputs!$F$148*(1+Inputs!$F$149/100)^(Time!Y26-Inputs!$F$256)/1000000</f>
        <v>2.30192872776937</v>
      </c>
      <c r="Z53" s="13" t="n">
        <f aca="false">Z42*Inputs!$F$148*(1+Inputs!$F$149/100)^(Time!Z26-Inputs!$F$256)/1000000</f>
        <v>2.30654984244126</v>
      </c>
      <c r="AA53" s="13" t="n">
        <f aca="false">AA42*Inputs!$F$148*(1+Inputs!$F$149/100)^(Time!AA26-Inputs!$F$256)/1000000</f>
        <v>2.34070331049134</v>
      </c>
      <c r="AB53" s="13" t="n">
        <f aca="false">AB42*Inputs!$F$148*(1+Inputs!$F$149/100)^(Time!AB26-Inputs!$F$256)/1000000</f>
        <v>2.34034920893701</v>
      </c>
      <c r="AC53" s="13" t="n">
        <f aca="false">AC42*Inputs!$F$148*(1+Inputs!$F$149/100)^(Time!AC26-Inputs!$F$256)/1000000</f>
        <v>2.34128031739928</v>
      </c>
      <c r="AD53" s="13" t="n">
        <f aca="false">AD42*Inputs!$F$148*(1+Inputs!$F$149/100)^(Time!AD26-Inputs!$F$256)/1000000</f>
        <v>2.27350287724557</v>
      </c>
      <c r="AE53" s="13" t="n">
        <f aca="false">AE42*Inputs!$F$148*(1+Inputs!$F$149/100)^(Time!AE26-Inputs!$F$256)/1000000</f>
        <v>2.3456732120069</v>
      </c>
      <c r="AF53" s="13" t="n">
        <f aca="false">AF42*Inputs!$F$148*(1+Inputs!$F$149/100)^(Time!AF26-Inputs!$F$256)/1000000</f>
        <v>2.42231741782248</v>
      </c>
      <c r="AG53" s="13" t="n">
        <f aca="false">AG42*Inputs!$F$148*(1+Inputs!$F$149/100)^(Time!AG26-Inputs!$F$256)/1000000</f>
        <v>2.43317239441152</v>
      </c>
      <c r="AH53" s="13" t="n">
        <f aca="false">AH42*Inputs!$F$148*(1+Inputs!$F$149/100)^(Time!AH26-Inputs!$F$256)/1000000</f>
        <v>2.38280537459679</v>
      </c>
      <c r="AI53" s="13" t="n">
        <f aca="false">AI42*Inputs!$F$148*(1+Inputs!$F$149/100)^(Time!AI26-Inputs!$F$256)/1000000</f>
        <v>2.41925465890706</v>
      </c>
      <c r="AJ53" s="13" t="n">
        <f aca="false">AJ42*Inputs!$F$148*(1+Inputs!$F$149/100)^(Time!AJ26-Inputs!$F$256)/1000000</f>
        <v>2.42123786154895</v>
      </c>
      <c r="AK53" s="13" t="n">
        <f aca="false">AK42*Inputs!$F$148*(1+Inputs!$F$149/100)^(Time!AK26-Inputs!$F$256)/1000000</f>
        <v>2.43873138552498</v>
      </c>
      <c r="AL53" s="13" t="n">
        <f aca="false">AL42*Inputs!$F$148*(1+Inputs!$F$149/100)^(Time!AL26-Inputs!$F$256)/1000000</f>
        <v>2.40167746614099</v>
      </c>
      <c r="AM53" s="13" t="n">
        <f aca="false">AM42*Inputs!$F$148*(1+Inputs!$F$149/100)^(Time!AM26-Inputs!$F$256)/1000000</f>
        <v>2.4827254011868</v>
      </c>
      <c r="AN53" s="13" t="n">
        <f aca="false">AN42*Inputs!$F$148*(1+Inputs!$F$149/100)^(Time!AN26-Inputs!$F$256)/1000000</f>
        <v>2.57332057998524</v>
      </c>
      <c r="AO53" s="13" t="n">
        <f aca="false">AO42*Inputs!$F$148*(1+Inputs!$F$149/100)^(Time!AO26-Inputs!$F$256)/1000000</f>
        <v>2.60539877825569</v>
      </c>
      <c r="AP53" s="13" t="n">
        <f aca="false">AP42*Inputs!$F$148*(1+Inputs!$F$149/100)^(Time!AP26-Inputs!$F$256)/1000000</f>
        <v>2.59298850815129</v>
      </c>
      <c r="AQ53" s="13" t="n">
        <f aca="false">AQ42*Inputs!$F$148*(1+Inputs!$F$149/100)^(Time!AQ26-Inputs!$F$256)/1000000</f>
        <v>2.6604698403249</v>
      </c>
      <c r="AR53" s="13" t="n">
        <f aca="false">AR42*Inputs!$F$148*(1+Inputs!$F$149/100)^(Time!AR26-Inputs!$F$256)/1000000</f>
        <v>2.71825943994913</v>
      </c>
      <c r="AS53" s="13" t="n">
        <f aca="false">AS42*Inputs!$F$148*(1+Inputs!$F$149/100)^(Time!AS26-Inputs!$F$256)/1000000</f>
        <v>2.66949796970076</v>
      </c>
      <c r="AT53" s="13" t="n">
        <f aca="false">AT42*Inputs!$F$148*(1+Inputs!$F$149/100)^(Time!AT26-Inputs!$F$256)/1000000</f>
        <v>2.49116632303951</v>
      </c>
      <c r="AU53" s="13" t="n">
        <f aca="false">AU42*Inputs!$F$148*(1+Inputs!$F$149/100)^(Time!AU26-Inputs!$F$256)/1000000</f>
        <v>2.61381655026083</v>
      </c>
      <c r="AV53" s="13" t="n">
        <f aca="false">AV42*Inputs!$F$148*(1+Inputs!$F$149/100)^(Time!AV26-Inputs!$F$256)/1000000</f>
        <v>2.78493986314088</v>
      </c>
      <c r="AW53" s="13" t="n">
        <f aca="false">AW42*Inputs!$F$148*(1+Inputs!$F$149/100)^(Time!AW26-Inputs!$F$256)/1000000</f>
        <v>2.78330457392614</v>
      </c>
      <c r="AX53" s="13" t="n">
        <f aca="false">AX42*Inputs!$F$148*(1+Inputs!$F$149/100)^(Time!AX26-Inputs!$F$256)/1000000</f>
        <v>2.69721754888483</v>
      </c>
      <c r="AY53" s="13" t="n">
        <f aca="false">AY42*Inputs!$F$148*(1+Inputs!$F$149/100)^(Time!AY26-Inputs!$F$256)/1000000</f>
        <v>2.72205118026585</v>
      </c>
      <c r="AZ53" s="13" t="n">
        <f aca="false">AZ42*Inputs!$F$148*(1+Inputs!$F$149/100)^(Time!AZ26-Inputs!$F$256)/1000000</f>
        <v>2.69149566422844</v>
      </c>
      <c r="BA53" s="13" t="n">
        <f aca="false">BA42*Inputs!$F$148*(1+Inputs!$F$149/100)^(Time!BA26-Inputs!$F$256)/1000000</f>
        <v>2.70552449653821</v>
      </c>
      <c r="BB53" s="13" t="n">
        <f aca="false">BB42*Inputs!$F$148*(1+Inputs!$F$149/100)^(Time!BB26-Inputs!$F$256)/1000000</f>
        <v>2.65354251517331</v>
      </c>
      <c r="BC53" s="13" t="n">
        <f aca="false">BC42*Inputs!$F$148*(1+Inputs!$F$149/100)^(Time!BC26-Inputs!$F$256)/1000000</f>
        <v>2.77153911011974</v>
      </c>
      <c r="BD53" s="13" t="n">
        <f aca="false">BD42*Inputs!$F$148*(1+Inputs!$F$149/100)^(Time!BD26-Inputs!$F$256)/1000000</f>
        <v>2.92854658731426</v>
      </c>
      <c r="BE53" s="13" t="n">
        <f aca="false">BE42*Inputs!$F$148*(1+Inputs!$F$149/100)^(Time!BE26-Inputs!$F$256)/1000000</f>
        <v>2.96494248561246</v>
      </c>
      <c r="BF53" s="13" t="n">
        <f aca="false">BF42*Inputs!$F$148*(1+Inputs!$F$149/100)^(Time!BF26-Inputs!$F$256)/1000000</f>
        <v>2.95063956467227</v>
      </c>
      <c r="BG53" s="13" t="n">
        <f aca="false">BG42*Inputs!$F$148*(1+Inputs!$F$149/100)^(Time!BG26-Inputs!$F$256)/1000000</f>
        <v>2.959524653148</v>
      </c>
      <c r="BH53" s="13" t="n">
        <f aca="false">BH42*Inputs!$F$148*(1+Inputs!$F$149/100)^(Time!BH26-Inputs!$F$256)/1000000</f>
        <v>2.88956979964204</v>
      </c>
      <c r="BI53" s="13" t="n">
        <f aca="false">BI42*Inputs!$F$148*(1+Inputs!$F$149/100)^(Time!BI26-Inputs!$F$256)/1000000</f>
        <v>2.88516391623192</v>
      </c>
      <c r="BJ53" s="13" t="n">
        <f aca="false">BJ42*Inputs!$F$148*(1+Inputs!$F$149/100)^(Time!BJ26-Inputs!$F$256)/1000000</f>
        <v>2.79045825862297</v>
      </c>
      <c r="BK53" s="13" t="n">
        <f aca="false">BK42*Inputs!$F$148*(1+Inputs!$F$149/100)^(Time!BK26-Inputs!$F$256)/1000000</f>
        <v>2.92053026755713</v>
      </c>
      <c r="BL53" s="13" t="n">
        <f aca="false">BL42*Inputs!$F$148*(1+Inputs!$F$149/100)^(Time!BL26-Inputs!$F$256)/1000000</f>
        <v>3.09762636729042</v>
      </c>
      <c r="BM53" s="13" t="n">
        <f aca="false">BM42*Inputs!$F$148*(1+Inputs!$F$149/100)^(Time!BM26-Inputs!$F$256)/1000000</f>
        <v>2.09560253189688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41.9718627198252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0.033456420973465</v>
      </c>
      <c r="S54" s="13" t="n">
        <f aca="false">MAX(0,S43-S42)*S41/1000000</f>
        <v>0</v>
      </c>
      <c r="T54" s="13" t="n">
        <f aca="false">MAX(0,T43-T42)*T41/1000000</f>
        <v>0.832163208426359</v>
      </c>
      <c r="U54" s="13" t="n">
        <f aca="false">MAX(0,U43-U42)*U41/1000000</f>
        <v>0</v>
      </c>
      <c r="V54" s="13" t="n">
        <f aca="false">MAX(0,V43-V42)*V41/1000000</f>
        <v>0.279645945989224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2.47685794618491</v>
      </c>
      <c r="AE54" s="13" t="n">
        <f aca="false">MAX(0,AE43-AE42)*AE41/1000000</f>
        <v>0.0210476859866959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1.24913586111625</v>
      </c>
      <c r="AI54" s="13" t="n">
        <f aca="false">MAX(0,AI43-AI42)*AI41/1000000</f>
        <v>0</v>
      </c>
      <c r="AJ54" s="13" t="n">
        <f aca="false">MAX(0,AJ43-AJ42)*AJ41/1000000</f>
        <v>1.18566700235051</v>
      </c>
      <c r="AK54" s="13" t="n">
        <f aca="false">MAX(0,AK43-AK42)*AK41/1000000</f>
        <v>0.935641974043083</v>
      </c>
      <c r="AL54" s="13" t="n">
        <f aca="false">MAX(0,AL43-AL42)*AL41/1000000</f>
        <v>3.05554387773908</v>
      </c>
      <c r="AM54" s="13" t="n">
        <f aca="false">MAX(0,AM43-AM42)*AM41/1000000</f>
        <v>0.25142880642259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5.25787599075118</v>
      </c>
      <c r="AU54" s="13" t="n">
        <f aca="false">MAX(0,AU43-AU42)*AU41/1000000</f>
        <v>0.99194939074078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1.02103900645376</v>
      </c>
      <c r="AY54" s="13" t="n">
        <f aca="false">MAX(0,AY43-AY42)*AY41/1000000</f>
        <v>0.0324393705075394</v>
      </c>
      <c r="AZ54" s="13" t="n">
        <f aca="false">MAX(0,AZ43-AZ42)*AZ41/1000000</f>
        <v>2.62058313244087</v>
      </c>
      <c r="BA54" s="13" t="n">
        <f aca="false">MAX(0,BA43-BA42)*BA41/1000000</f>
        <v>2.52880228718468</v>
      </c>
      <c r="BB54" s="13" t="n">
        <f aca="false">MAX(0,BB43-BB42)*BB41/1000000</f>
        <v>5.36452034083675</v>
      </c>
      <c r="BC54" s="13" t="n">
        <f aca="false">MAX(0,BC43-BC42)*BC41/1000000</f>
        <v>1.16593731969825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1.68875842268593</v>
      </c>
      <c r="BI54" s="13" t="n">
        <f aca="false">MAX(0,BI43-BI42)*BI41/1000000</f>
        <v>2.25997917027152</v>
      </c>
      <c r="BJ54" s="13" t="n">
        <f aca="false">MAX(0,BJ43-BJ42)*BJ41/1000000</f>
        <v>6.71493328374462</v>
      </c>
      <c r="BK54" s="13" t="n">
        <f aca="false">MAX(0,BK43-BK42)*BK41/1000000</f>
        <v>2.00445627527717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3579.21944088121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22.1612203048662</v>
      </c>
      <c r="P55" s="13" t="n">
        <f aca="false">P48+P50</f>
        <v>66.652461844317</v>
      </c>
      <c r="Q55" s="13" t="n">
        <f aca="false">Q48+Q50</f>
        <v>66.6860466056324</v>
      </c>
      <c r="R55" s="13" t="n">
        <f aca="false">R48+R50</f>
        <v>66.5844634719544</v>
      </c>
      <c r="S55" s="13" t="n">
        <f aca="false">S48+S50</f>
        <v>66.7364968322136</v>
      </c>
      <c r="T55" s="13" t="n">
        <f aca="false">T48+T50</f>
        <v>66.8680335751831</v>
      </c>
      <c r="U55" s="13" t="n">
        <f aca="false">U48+U50</f>
        <v>67.0682735297633</v>
      </c>
      <c r="V55" s="13" t="n">
        <f aca="false">V48+V50</f>
        <v>67.2903645532112</v>
      </c>
      <c r="W55" s="13" t="n">
        <f aca="false">W48+W50</f>
        <v>67.5067632650715</v>
      </c>
      <c r="X55" s="13" t="n">
        <f aca="false">X48+X50</f>
        <v>67.7543317035171</v>
      </c>
      <c r="Y55" s="13" t="n">
        <f aca="false">Y48+Y50</f>
        <v>67.957971176701</v>
      </c>
      <c r="Z55" s="13" t="n">
        <f aca="false">Z48+Z50</f>
        <v>68.1725506574645</v>
      </c>
      <c r="AA55" s="13" t="n">
        <f aca="false">AA48+AA50</f>
        <v>68.3761403630933</v>
      </c>
      <c r="AB55" s="13" t="n">
        <f aca="false">AB48+AB50</f>
        <v>68.5835018993054</v>
      </c>
      <c r="AC55" s="13" t="n">
        <f aca="false">AC48+AC50</f>
        <v>68.6984644783708</v>
      </c>
      <c r="AD55" s="13" t="n">
        <f aca="false">AD48+AD50</f>
        <v>68.4761258667612</v>
      </c>
      <c r="AE55" s="13" t="n">
        <f aca="false">AE48+AE50</f>
        <v>69.0451091007956</v>
      </c>
      <c r="AF55" s="13" t="n">
        <f aca="false">AF48+AF50</f>
        <v>69.4845627201786</v>
      </c>
      <c r="AG55" s="13" t="n">
        <f aca="false">AG48+AG50</f>
        <v>69.6392992136335</v>
      </c>
      <c r="AH55" s="13" t="n">
        <f aca="false">AH48+AH50</f>
        <v>69.7263589057093</v>
      </c>
      <c r="AI55" s="13" t="n">
        <f aca="false">AI48+AI50</f>
        <v>69.9608955658004</v>
      </c>
      <c r="AJ55" s="13" t="n">
        <f aca="false">AJ48+AJ50</f>
        <v>70.2027358442208</v>
      </c>
      <c r="AK55" s="13" t="n">
        <f aca="false">AK48+AK50</f>
        <v>70.3900095195508</v>
      </c>
      <c r="AL55" s="13" t="n">
        <f aca="false">AL48+AL50</f>
        <v>70.1001333760907</v>
      </c>
      <c r="AM55" s="13" t="n">
        <f aca="false">AM48+AM50</f>
        <v>70.9011986592</v>
      </c>
      <c r="AN55" s="13" t="n">
        <f aca="false">AN48+AN50</f>
        <v>71.4068259666512</v>
      </c>
      <c r="AO55" s="13" t="n">
        <f aca="false">AO48+AO50</f>
        <v>71.6451073956315</v>
      </c>
      <c r="AP55" s="13" t="n">
        <f aca="false">AP48+AP50</f>
        <v>71.870488198162</v>
      </c>
      <c r="AQ55" s="13" t="n">
        <f aca="false">AQ48+AQ50</f>
        <v>72.2138506719078</v>
      </c>
      <c r="AR55" s="13" t="n">
        <f aca="false">AR48+AR50</f>
        <v>72.6439613206597</v>
      </c>
      <c r="AS55" s="13" t="n">
        <f aca="false">AS48+AS50</f>
        <v>72.6685664713366</v>
      </c>
      <c r="AT55" s="13" t="n">
        <f aca="false">AT48+AT50</f>
        <v>70.6516453616691</v>
      </c>
      <c r="AU55" s="13" t="n">
        <f aca="false">AU48+AU50</f>
        <v>72.9581576813967</v>
      </c>
      <c r="AV55" s="13" t="n">
        <f aca="false">AV48+AV50</f>
        <v>73.717999712529</v>
      </c>
      <c r="AW55" s="13" t="n">
        <f aca="false">AW48+AW50</f>
        <v>73.8867977579202</v>
      </c>
      <c r="AX55" s="13" t="n">
        <f aca="false">AX48+AX50</f>
        <v>73.9388289801268</v>
      </c>
      <c r="AY55" s="13" t="n">
        <f aca="false">AY48+AY50</f>
        <v>74.1903019075145</v>
      </c>
      <c r="AZ55" s="13" t="n">
        <f aca="false">AZ48+AZ50</f>
        <v>74.4035991362208</v>
      </c>
      <c r="BA55" s="13" t="n">
        <f aca="false">BA48+BA50</f>
        <v>74.4288057018981</v>
      </c>
      <c r="BB55" s="13" t="n">
        <f aca="false">BB48+BB50</f>
        <v>73.3145355373318</v>
      </c>
      <c r="BC55" s="13" t="n">
        <f aca="false">BC48+BC50</f>
        <v>75.3187777368901</v>
      </c>
      <c r="BD55" s="13" t="n">
        <f aca="false">BD48+BD50</f>
        <v>76.0715350093286</v>
      </c>
      <c r="BE55" s="13" t="n">
        <f aca="false">BE48+BE50</f>
        <v>76.372934526814</v>
      </c>
      <c r="BF55" s="13" t="n">
        <f aca="false">BF48+BF50</f>
        <v>76.6594718199009</v>
      </c>
      <c r="BG55" s="13" t="n">
        <f aca="false">BG48+BG50</f>
        <v>76.891982929755</v>
      </c>
      <c r="BH55" s="13" t="n">
        <f aca="false">BH48+BH50</f>
        <v>77.0308151555445</v>
      </c>
      <c r="BI55" s="13" t="n">
        <f aca="false">BI48+BI50</f>
        <v>77.2355135264844</v>
      </c>
      <c r="BJ55" s="13" t="n">
        <f aca="false">BJ48+BJ50</f>
        <v>75.2987454799178</v>
      </c>
      <c r="BK55" s="13" t="n">
        <f aca="false">BK48+BK50</f>
        <v>77.8990734917676</v>
      </c>
      <c r="BL55" s="13" t="n">
        <f aca="false">BL48+BL50</f>
        <v>78.7438731831513</v>
      </c>
      <c r="BM55" s="13" t="n">
        <f aca="false">BM48+BM50</f>
        <v>52.7337331880935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8701.76322173881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50.3092186944924</v>
      </c>
      <c r="P56" s="13" t="n">
        <f aca="false">P55+P51+P52+P53+P54</f>
        <v>151.146880491662</v>
      </c>
      <c r="Q56" s="13" t="n">
        <f aca="false">Q55+Q51+Q52+Q53+Q54</f>
        <v>151.072733845646</v>
      </c>
      <c r="R56" s="13" t="n">
        <f aca="false">R55+R51+R52+R53+R54</f>
        <v>148.138255921191</v>
      </c>
      <c r="S56" s="13" t="n">
        <f aca="false">S55+S51+S52+S53+S54</f>
        <v>149.342421914766</v>
      </c>
      <c r="T56" s="13" t="n">
        <f aca="false">T55+T51+T52+T53+T54</f>
        <v>149.952972836022</v>
      </c>
      <c r="U56" s="13" t="n">
        <f aca="false">U55+U51+U52+U53+U54</f>
        <v>150.953824585175</v>
      </c>
      <c r="V56" s="13" t="n">
        <f aca="false">V55+V51+V52+V53+V54</f>
        <v>151.981650357582</v>
      </c>
      <c r="W56" s="13" t="n">
        <f aca="false">W55+W51+W52+W53+W54</f>
        <v>153.631086763732</v>
      </c>
      <c r="X56" s="13" t="n">
        <f aca="false">X55+X51+X52+X53+X54</f>
        <v>154.686130303323</v>
      </c>
      <c r="Y56" s="13" t="n">
        <f aca="false">Y55+Y51+Y52+Y53+Y54</f>
        <v>156.419522324023</v>
      </c>
      <c r="Z56" s="13" t="n">
        <f aca="false">Z55+Z51+Z52+Z53+Z54</f>
        <v>156.987190876311</v>
      </c>
      <c r="AA56" s="13" t="n">
        <f aca="false">AA55+AA51+AA52+AA53+AA54</f>
        <v>158.671258857474</v>
      </c>
      <c r="AB56" s="13" t="n">
        <f aca="false">AB55+AB51+AB52+AB53+AB54</f>
        <v>159.069820407504</v>
      </c>
      <c r="AC56" s="13" t="n">
        <f aca="false">AC55+AC51+AC52+AC53+AC54</f>
        <v>159.635822280475</v>
      </c>
      <c r="AD56" s="13" t="n">
        <f aca="false">AD55+AD51+AD52+AD53+AD54</f>
        <v>159.76032761954</v>
      </c>
      <c r="AE56" s="13" t="n">
        <f aca="false">AE55+AE51+AE52+AE53+AE54</f>
        <v>160.639869193868</v>
      </c>
      <c r="AF56" s="13" t="n">
        <f aca="false">AF55+AF51+AF52+AF53+AF54</f>
        <v>163.842710498503</v>
      </c>
      <c r="AG56" s="13" t="n">
        <f aca="false">AG55+AG51+AG52+AG53+AG54</f>
        <v>164.730488246702</v>
      </c>
      <c r="AH56" s="13" t="n">
        <f aca="false">AH55+AH51+AH52+AH53+AH54</f>
        <v>164.578601332656</v>
      </c>
      <c r="AI56" s="13" t="n">
        <f aca="false">AI55+AI51+AI52+AI53+AI54</f>
        <v>165.162162567728</v>
      </c>
      <c r="AJ56" s="13" t="n">
        <f aca="false">AJ55+AJ51+AJ52+AJ53+AJ54</f>
        <v>166.872415211059</v>
      </c>
      <c r="AK56" s="13" t="n">
        <f aca="false">AK55+AK51+AK52+AK53+AK54</f>
        <v>167.849110861697</v>
      </c>
      <c r="AL56" s="13" t="n">
        <f aca="false">AL55+AL51+AL52+AL53+AL54</f>
        <v>168.561417053183</v>
      </c>
      <c r="AM56" s="13" t="n">
        <f aca="false">AM55+AM51+AM52+AM53+AM54</f>
        <v>169.701496811417</v>
      </c>
      <c r="AN56" s="13" t="n">
        <f aca="false">AN55+AN51+AN52+AN53+AN54</f>
        <v>173.27962053195</v>
      </c>
      <c r="AO56" s="13" t="n">
        <f aca="false">AO55+AO51+AO52+AO53+AO54</f>
        <v>175.018992500656</v>
      </c>
      <c r="AP56" s="13" t="n">
        <f aca="false">AP55+AP51+AP52+AP53+AP54</f>
        <v>175.04266988865</v>
      </c>
      <c r="AQ56" s="13" t="n">
        <f aca="false">AQ55+AQ51+AQ52+AQ53+AQ54</f>
        <v>178.120984786514</v>
      </c>
      <c r="AR56" s="13" t="n">
        <f aca="false">AR55+AR51+AR52+AR53+AR54</f>
        <v>180.777112332629</v>
      </c>
      <c r="AS56" s="13" t="n">
        <f aca="false">AS55+AS51+AS52+AS53+AS54</f>
        <v>179.611335114958</v>
      </c>
      <c r="AT56" s="13" t="n">
        <f aca="false">AT55+AT51+AT52+AT53+AT54</f>
        <v>176.813130033226</v>
      </c>
      <c r="AU56" s="13" t="n">
        <f aca="false">AU55+AU51+AU52+AU53+AU54</f>
        <v>179.522428244383</v>
      </c>
      <c r="AV56" s="13" t="n">
        <f aca="false">AV55+AV51+AV52+AV53+AV54</f>
        <v>185.496664939825</v>
      </c>
      <c r="AW56" s="13" t="n">
        <f aca="false">AW55+AW51+AW52+AW53+AW54</f>
        <v>186.047708735724</v>
      </c>
      <c r="AX56" s="13" t="n">
        <f aca="false">AX55+AX51+AX52+AX53+AX54</f>
        <v>184.341872693901</v>
      </c>
      <c r="AY56" s="13" t="n">
        <f aca="false">AY55+AY51+AY52+AY53+AY54</f>
        <v>184.906327450387</v>
      </c>
      <c r="AZ56" s="13" t="n">
        <f aca="false">AZ55+AZ51+AZ52+AZ53+AZ54</f>
        <v>186.874212828656</v>
      </c>
      <c r="BA56" s="13" t="n">
        <f aca="false">BA55+BA51+BA52+BA53+BA54</f>
        <v>187.814887073548</v>
      </c>
      <c r="BB56" s="13" t="n">
        <f aca="false">BB55+BB51+BB52+BB53+BB54</f>
        <v>187.860102974142</v>
      </c>
      <c r="BC56" s="13" t="n">
        <f aca="false">BC55+BC51+BC52+BC53+BC54</f>
        <v>190.284606951294</v>
      </c>
      <c r="BD56" s="13" t="n">
        <f aca="false">BD55+BD51+BD52+BD53+BD54</f>
        <v>195.704050945693</v>
      </c>
      <c r="BE56" s="13" t="n">
        <f aca="false">BE55+BE51+BE52+BE53+BE54</f>
        <v>197.77728783638</v>
      </c>
      <c r="BF56" s="13" t="n">
        <f aca="false">BF55+BF51+BF52+BF53+BF54</f>
        <v>197.806481332778</v>
      </c>
      <c r="BG56" s="13" t="n">
        <f aca="false">BG55+BG51+BG52+BG53+BG54</f>
        <v>198.835310885817</v>
      </c>
      <c r="BH56" s="13" t="n">
        <f aca="false">BH55+BH51+BH52+BH53+BH54</f>
        <v>198.409442034008</v>
      </c>
      <c r="BI56" s="13" t="n">
        <f aca="false">BI55+BI51+BI52+BI53+BI54</f>
        <v>199.583617635133</v>
      </c>
      <c r="BJ56" s="13" t="n">
        <f aca="false">BJ55+BJ51+BJ52+BJ53+BJ54</f>
        <v>198.85972278715</v>
      </c>
      <c r="BK56" s="13" t="n">
        <f aca="false">BK55+BK51+BK52+BK53+BK54</f>
        <v>201.916806968625</v>
      </c>
      <c r="BL56" s="13" t="n">
        <f aca="false">BL55+BL51+BL52+BL53+BL54</f>
        <v>207.439429028423</v>
      </c>
      <c r="BM56" s="13" t="n">
        <f aca="false">BM55+BM51+BM52+BM53+BM54</f>
        <v>139.921025348621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227.991473279809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1.33705049447684</v>
      </c>
      <c r="P60" s="13" t="n">
        <f aca="false">Inputs!$F$151*(Inputs!$F$152*P21+(1-Inputs!$F$152)*P27*Inputs!$F$153/P11)*Time!P30/12*Inputs!$F$40</f>
        <v>4.0235532945695</v>
      </c>
      <c r="Q60" s="13" t="n">
        <f aca="false">Inputs!$F$151*(Inputs!$F$152*Q21+(1-Inputs!$F$152)*Q27*Inputs!$F$153/Q11)*Time!Q30/12*Inputs!$F$40</f>
        <v>4.03652159250805</v>
      </c>
      <c r="R60" s="13" t="n">
        <f aca="false">Inputs!$F$151*(Inputs!$F$152*R21+(1-Inputs!$F$152)*R27*Inputs!$F$153/R11)*Time!R30/12*Inputs!$F$40</f>
        <v>4.05005667915925</v>
      </c>
      <c r="S60" s="13" t="n">
        <f aca="false">Inputs!$F$151*(Inputs!$F$152*S21+(1-Inputs!$F$152)*S27*Inputs!$F$153/S11)*Time!S30/12*Inputs!$F$40</f>
        <v>4.06415894041853</v>
      </c>
      <c r="T60" s="13" t="n">
        <f aca="false">Inputs!$F$151*(Inputs!$F$152*T21+(1-Inputs!$F$152)*T27*Inputs!$F$153/T11)*Time!T30/12*Inputs!$F$40</f>
        <v>4.07882884597839</v>
      </c>
      <c r="U60" s="13" t="n">
        <f aca="false">Inputs!$F$151*(Inputs!$F$152*U21+(1-Inputs!$F$152)*U27*Inputs!$F$153/U11)*Time!U30/12*Inputs!$F$40</f>
        <v>4.09406694915614</v>
      </c>
      <c r="V60" s="13" t="n">
        <f aca="false">Inputs!$F$151*(Inputs!$F$152*V21+(1-Inputs!$F$152)*V27*Inputs!$F$153/V11)*Time!V30/12*Inputs!$F$40</f>
        <v>4.10987388673472</v>
      </c>
      <c r="W60" s="13" t="n">
        <f aca="false">Inputs!$F$151*(Inputs!$F$152*W21+(1-Inputs!$F$152)*W27*Inputs!$F$153/W11)*Time!W30/12*Inputs!$F$40</f>
        <v>4.12625037881648</v>
      </c>
      <c r="X60" s="13" t="n">
        <f aca="false">Inputs!$F$151*(Inputs!$F$152*X21+(1-Inputs!$F$152)*X27*Inputs!$F$153/X11)*Time!X30/12*Inputs!$F$40</f>
        <v>4.14319722868978</v>
      </c>
      <c r="Y60" s="13" t="n">
        <f aca="false">Inputs!$F$151*(Inputs!$F$152*Y21+(1-Inputs!$F$152)*Y27*Inputs!$F$153/Y11)*Time!Y30/12*Inputs!$F$40</f>
        <v>4.16071532270853</v>
      </c>
      <c r="Z60" s="13" t="n">
        <f aca="false">Inputs!$F$151*(Inputs!$F$152*Z21+(1-Inputs!$F$152)*Z27*Inputs!$F$153/Z11)*Time!Z30/12*Inputs!$F$40</f>
        <v>4.17880563018441</v>
      </c>
      <c r="AA60" s="13" t="n">
        <f aca="false">Inputs!$F$151*(Inputs!$F$152*AA21+(1-Inputs!$F$152)*AA27*Inputs!$F$153/AA11)*Time!AA30/12*Inputs!$F$40</f>
        <v>4.19746920329196</v>
      </c>
      <c r="AB60" s="13" t="n">
        <f aca="false">Inputs!$F$151*(Inputs!$F$152*AB21+(1-Inputs!$F$152)*AB27*Inputs!$F$153/AB11)*Time!AB30/12*Inputs!$F$40</f>
        <v>4.2167071769862</v>
      </c>
      <c r="AC60" s="13" t="n">
        <f aca="false">Inputs!$F$151*(Inputs!$F$152*AC21+(1-Inputs!$F$152)*AC27*Inputs!$F$153/AC11)*Time!AC30/12*Inputs!$F$40</f>
        <v>4.23652076893298</v>
      </c>
      <c r="AD60" s="13" t="n">
        <f aca="false">Inputs!$F$151*(Inputs!$F$152*AD21+(1-Inputs!$F$152)*AD27*Inputs!$F$153/AD11)*Time!AD30/12*Inputs!$F$40</f>
        <v>4.25691127945187</v>
      </c>
      <c r="AE60" s="13" t="n">
        <f aca="false">Inputs!$F$151*(Inputs!$F$152*AE21+(1-Inputs!$F$152)*AE27*Inputs!$F$153/AE11)*Time!AE30/12*Inputs!$F$40</f>
        <v>4.27788009147165</v>
      </c>
      <c r="AF60" s="13" t="n">
        <f aca="false">Inputs!$F$151*(Inputs!$F$152*AF21+(1-Inputs!$F$152)*AF27*Inputs!$F$153/AF11)*Time!AF30/12*Inputs!$F$40</f>
        <v>4.29942867049818</v>
      </c>
      <c r="AG60" s="13" t="n">
        <f aca="false">Inputs!$F$151*(Inputs!$F$152*AG21+(1-Inputs!$F$152)*AG27*Inputs!$F$153/AG11)*Time!AG30/12*Inputs!$F$40</f>
        <v>4.32155856459487</v>
      </c>
      <c r="AH60" s="13" t="n">
        <f aca="false">Inputs!$F$151*(Inputs!$F$152*AH21+(1-Inputs!$F$152)*AH27*Inputs!$F$153/AH11)*Time!AH30/12*Inputs!$F$40</f>
        <v>4.34427140437544</v>
      </c>
      <c r="AI60" s="13" t="n">
        <f aca="false">Inputs!$F$151*(Inputs!$F$152*AI21+(1-Inputs!$F$152)*AI27*Inputs!$F$153/AI11)*Time!AI30/12*Inputs!$F$40</f>
        <v>4.36756890300915</v>
      </c>
      <c r="AJ60" s="13" t="n">
        <f aca="false">Inputs!$F$151*(Inputs!$F$152*AJ21+(1-Inputs!$F$152)*AJ27*Inputs!$F$153/AJ11)*Time!AJ30/12*Inputs!$F$40</f>
        <v>4.39145285623831</v>
      </c>
      <c r="AK60" s="13" t="n">
        <f aca="false">Inputs!$F$151*(Inputs!$F$152*AK21+(1-Inputs!$F$152)*AK27*Inputs!$F$153/AK11)*Time!AK30/12*Inputs!$F$40</f>
        <v>4.41592514240817</v>
      </c>
      <c r="AL60" s="13" t="n">
        <f aca="false">Inputs!$F$151*(Inputs!$F$152*AL21+(1-Inputs!$F$152)*AL27*Inputs!$F$153/AL11)*Time!AL30/12*Inputs!$F$40</f>
        <v>4.440987722509</v>
      </c>
      <c r="AM60" s="13" t="n">
        <f aca="false">Inputs!$F$151*(Inputs!$F$152*AM21+(1-Inputs!$F$152)*AM27*Inputs!$F$153/AM11)*Time!AM30/12*Inputs!$F$40</f>
        <v>4.46664264023053</v>
      </c>
      <c r="AN60" s="13" t="n">
        <f aca="false">Inputs!$F$151*(Inputs!$F$152*AN21+(1-Inputs!$F$152)*AN27*Inputs!$F$153/AN11)*Time!AN30/12*Inputs!$F$40</f>
        <v>4.49289202202851</v>
      </c>
      <c r="AO60" s="13" t="n">
        <f aca="false">Inputs!$F$151*(Inputs!$F$152*AO21+(1-Inputs!$F$152)*AO27*Inputs!$F$153/AO11)*Time!AO30/12*Inputs!$F$40</f>
        <v>4.51973807720352</v>
      </c>
      <c r="AP60" s="13" t="n">
        <f aca="false">Inputs!$F$151*(Inputs!$F$152*AP21+(1-Inputs!$F$152)*AP27*Inputs!$F$153/AP11)*Time!AP30/12*Inputs!$F$40</f>
        <v>4.54718309799197</v>
      </c>
      <c r="AQ60" s="13" t="n">
        <f aca="false">Inputs!$F$151*(Inputs!$F$152*AQ21+(1-Inputs!$F$152)*AQ27*Inputs!$F$153/AQ11)*Time!AQ30/12*Inputs!$F$40</f>
        <v>4.57522945966924</v>
      </c>
      <c r="AR60" s="13" t="n">
        <f aca="false">Inputs!$F$151*(Inputs!$F$152*AR21+(1-Inputs!$F$152)*AR27*Inputs!$F$153/AR11)*Time!AR30/12*Inputs!$F$40</f>
        <v>4.6038796206649</v>
      </c>
      <c r="AS60" s="13" t="n">
        <f aca="false">Inputs!$F$151*(Inputs!$F$152*AS21+(1-Inputs!$F$152)*AS27*Inputs!$F$153/AS11)*Time!AS30/12*Inputs!$F$40</f>
        <v>4.63313612269015</v>
      </c>
      <c r="AT60" s="13" t="n">
        <f aca="false">Inputs!$F$151*(Inputs!$F$152*AT21+(1-Inputs!$F$152)*AT27*Inputs!$F$153/AT11)*Time!AT30/12*Inputs!$F$40</f>
        <v>4.66300159087725</v>
      </c>
      <c r="AU60" s="13" t="n">
        <f aca="false">Inputs!$F$151*(Inputs!$F$152*AU21+(1-Inputs!$F$152)*AU27*Inputs!$F$153/AU11)*Time!AU30/12*Inputs!$F$40</f>
        <v>4.69347873393112</v>
      </c>
      <c r="AV60" s="13" t="n">
        <f aca="false">Inputs!$F$151*(Inputs!$F$152*AV21+(1-Inputs!$F$152)*AV27*Inputs!$F$153/AV11)*Time!AV30/12*Inputs!$F$40</f>
        <v>4.72457034429298</v>
      </c>
      <c r="AW60" s="13" t="n">
        <f aca="false">Inputs!$F$151*(Inputs!$F$152*AW21+(1-Inputs!$F$152)*AW27*Inputs!$F$153/AW11)*Time!AW30/12*Inputs!$F$40</f>
        <v>4.75627929831604</v>
      </c>
      <c r="AX60" s="13" t="n">
        <f aca="false">Inputs!$F$151*(Inputs!$F$152*AX21+(1-Inputs!$F$152)*AX27*Inputs!$F$153/AX11)*Time!AX30/12*Inputs!$F$40</f>
        <v>4.78860855645325</v>
      </c>
      <c r="AY60" s="13" t="n">
        <f aca="false">Inputs!$F$151*(Inputs!$F$152*AY21+(1-Inputs!$F$152)*AY27*Inputs!$F$153/AY11)*Time!AY30/12*Inputs!$F$40</f>
        <v>4.82156116345715</v>
      </c>
      <c r="AZ60" s="13" t="n">
        <f aca="false">Inputs!$F$151*(Inputs!$F$152*AZ21+(1-Inputs!$F$152)*AZ27*Inputs!$F$153/AZ11)*Time!AZ30/12*Inputs!$F$40</f>
        <v>4.85514024859167</v>
      </c>
      <c r="BA60" s="13" t="n">
        <f aca="false">Inputs!$F$151*(Inputs!$F$152*BA21+(1-Inputs!$F$152)*BA27*Inputs!$F$153/BA11)*Time!BA30/12*Inputs!$F$40</f>
        <v>4.88934902585602</v>
      </c>
      <c r="BB60" s="13" t="n">
        <f aca="false">Inputs!$F$151*(Inputs!$F$152*BB21+(1-Inputs!$F$152)*BB27*Inputs!$F$153/BB11)*Time!BB30/12*Inputs!$F$40</f>
        <v>4.92419079422065</v>
      </c>
      <c r="BC60" s="13" t="n">
        <f aca="false">Inputs!$F$151*(Inputs!$F$152*BC21+(1-Inputs!$F$152)*BC27*Inputs!$F$153/BC11)*Time!BC30/12*Inputs!$F$40</f>
        <v>4.95966893787519</v>
      </c>
      <c r="BD60" s="13" t="n">
        <f aca="false">Inputs!$F$151*(Inputs!$F$152*BD21+(1-Inputs!$F$152)*BD27*Inputs!$F$153/BD11)*Time!BD30/12*Inputs!$F$40</f>
        <v>4.99578692648845</v>
      </c>
      <c r="BE60" s="13" t="n">
        <f aca="false">Inputs!$F$151*(Inputs!$F$152*BE21+(1-Inputs!$F$152)*BE27*Inputs!$F$153/BE11)*Time!BE30/12*Inputs!$F$40</f>
        <v>5.03254831548048</v>
      </c>
      <c r="BF60" s="13" t="n">
        <f aca="false">Inputs!$F$151*(Inputs!$F$152*BF21+(1-Inputs!$F$152)*BF27*Inputs!$F$153/BF11)*Time!BF30/12*Inputs!$F$40</f>
        <v>5.06995674630669</v>
      </c>
      <c r="BG60" s="13" t="n">
        <f aca="false">Inputs!$F$151*(Inputs!$F$152*BG21+(1-Inputs!$F$152)*BG27*Inputs!$F$153/BG11)*Time!BG30/12*Inputs!$F$40</f>
        <v>5.10801594675394</v>
      </c>
      <c r="BH60" s="13" t="n">
        <f aca="false">Inputs!$F$151*(Inputs!$F$152*BH21+(1-Inputs!$F$152)*BH27*Inputs!$F$153/BH11)*Time!BH30/12*Inputs!$F$40</f>
        <v>5.14672973124887</v>
      </c>
      <c r="BI60" s="13" t="n">
        <f aca="false">Inputs!$F$151*(Inputs!$F$152*BI21+(1-Inputs!$F$152)*BI27*Inputs!$F$153/BI11)*Time!BI30/12*Inputs!$F$40</f>
        <v>5.1861020011781</v>
      </c>
      <c r="BJ60" s="13" t="n">
        <f aca="false">Inputs!$F$151*(Inputs!$F$152*BJ21+(1-Inputs!$F$152)*BJ27*Inputs!$F$153/BJ11)*Time!BJ30/12*Inputs!$F$40</f>
        <v>5.22613674522071</v>
      </c>
      <c r="BK60" s="13" t="n">
        <f aca="false">Inputs!$F$151*(Inputs!$F$152*BK21+(1-Inputs!$F$152)*BK27*Inputs!$F$153/BK11)*Time!BK30/12*Inputs!$F$40</f>
        <v>5.26683803969269</v>
      </c>
      <c r="BL60" s="13" t="n">
        <f aca="false">Inputs!$F$151*(Inputs!$F$152*BL21+(1-Inputs!$F$152)*BL27*Inputs!$F$153/BL11)*Time!BL30/12*Inputs!$F$40</f>
        <v>5.3082100489036</v>
      </c>
      <c r="BM60" s="13" t="n">
        <f aca="false">Inputs!$F$151*(Inputs!$F$152*BM21+(1-Inputs!$F$152)*BM27*Inputs!$F$153/BM11)*Time!BM30/12*Inputs!$F$40</f>
        <v>3.56683801701688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3.27311799161441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0.106167102167807</v>
      </c>
      <c r="P61" s="13" t="n">
        <f aca="false">IF(Time!P30&gt;0,Inputs!$F$154*MAX(-1,MIN(1,(P32-Inputs!$F$216)/Inputs!$F$217))*P21*Time!P30/12,0)</f>
        <v>0.321985760638203</v>
      </c>
      <c r="Q61" s="13" t="n">
        <f aca="false">IF(Time!Q30&gt;0,Inputs!$F$154*MAX(-1,MIN(1,(Q32-Inputs!$F$216)/Inputs!$F$217))*Q21*Time!Q30/12,0)</f>
        <v>0.325508335246496</v>
      </c>
      <c r="R61" s="13" t="n">
        <f aca="false">IF(Time!R30&gt;0,Inputs!$F$154*MAX(-1,MIN(1,(R32-Inputs!$F$216)/Inputs!$F$217))*R21*Time!R30/12,0)</f>
        <v>0.0398944657999784</v>
      </c>
      <c r="S61" s="13" t="n">
        <f aca="false">IF(Time!S30&gt;0,Inputs!$F$154*MAX(-1,MIN(1,(S32-Inputs!$F$216)/Inputs!$F$217))*S21*Time!S30/12,0)</f>
        <v>0.00230419819717551</v>
      </c>
      <c r="T61" s="13" t="n">
        <f aca="false">IF(Time!T30&gt;0,Inputs!$F$154*MAX(-1,MIN(1,(T32-Inputs!$F$216)/Inputs!$F$217))*T21*Time!T30/12,0)</f>
        <v>-0.0745560686370534</v>
      </c>
      <c r="U61" s="13" t="n">
        <f aca="false">IF(Time!U30&gt;0,Inputs!$F$154*MAX(-1,MIN(1,(U32-Inputs!$F$216)/Inputs!$F$217))*U21*Time!U30/12,0)</f>
        <v>-0.0455434976616346</v>
      </c>
      <c r="V61" s="13" t="n">
        <f aca="false">IF(Time!V30&gt;0,Inputs!$F$154*MAX(-1,MIN(1,(V32-Inputs!$F$216)/Inputs!$F$217))*V21*Time!V30/12,0)</f>
        <v>0.0142673523349445</v>
      </c>
      <c r="W61" s="13" t="n">
        <f aca="false">IF(Time!W30&gt;0,Inputs!$F$154*MAX(-1,MIN(1,(W32-Inputs!$F$216)/Inputs!$F$217))*W21*Time!W30/12,0)</f>
        <v>0.059782901749993</v>
      </c>
      <c r="X61" s="13" t="n">
        <f aca="false">IF(Time!X30&gt;0,Inputs!$F$154*MAX(-1,MIN(1,(X32-Inputs!$F$216)/Inputs!$F$217))*X21*Time!X30/12,0)</f>
        <v>0.152148339978704</v>
      </c>
      <c r="Y61" s="13" t="n">
        <f aca="false">IF(Time!Y30&gt;0,Inputs!$F$154*MAX(-1,MIN(1,(Y32-Inputs!$F$216)/Inputs!$F$217))*Y21*Time!Y30/12,0)</f>
        <v>0.166177661702816</v>
      </c>
      <c r="Z61" s="13" t="n">
        <f aca="false">IF(Time!Z30&gt;0,Inputs!$F$154*MAX(-1,MIN(1,(Z32-Inputs!$F$216)/Inputs!$F$217))*Z21*Time!Z30/12,0)</f>
        <v>0.1929958070635</v>
      </c>
      <c r="AA61" s="13" t="n">
        <f aca="false">IF(Time!AA30&gt;0,Inputs!$F$154*MAX(-1,MIN(1,(AA32-Inputs!$F$216)/Inputs!$F$217))*AA21*Time!AA30/12,0)</f>
        <v>0.195555284943741</v>
      </c>
      <c r="AB61" s="13" t="n">
        <f aca="false">IF(Time!AB30&gt;0,Inputs!$F$154*MAX(-1,MIN(1,(AB32-Inputs!$F$216)/Inputs!$F$217))*AB21*Time!AB30/12,0)</f>
        <v>0.198600641451456</v>
      </c>
      <c r="AC61" s="13" t="n">
        <f aca="false">IF(Time!AC30&gt;0,Inputs!$F$154*MAX(-1,MIN(1,(AC32-Inputs!$F$216)/Inputs!$F$217))*AC21*Time!AC30/12,0)</f>
        <v>0.0368855044246151</v>
      </c>
      <c r="AD61" s="13" t="n">
        <f aca="false">IF(Time!AD30&gt;0,Inputs!$F$154*MAX(-1,MIN(1,(AD32-Inputs!$F$216)/Inputs!$F$217))*AD21*Time!AD30/12,0)</f>
        <v>-0.294072598281298</v>
      </c>
      <c r="AE61" s="13" t="n">
        <f aca="false">IF(Time!AE30&gt;0,Inputs!$F$154*MAX(-1,MIN(1,(AE32-Inputs!$F$216)/Inputs!$F$217))*AE21*Time!AE30/12,0)</f>
        <v>-0.107741086761871</v>
      </c>
      <c r="AF61" s="13" t="n">
        <f aca="false">IF(Time!AF30&gt;0,Inputs!$F$154*MAX(-1,MIN(1,(AF32-Inputs!$F$216)/Inputs!$F$217))*AF21*Time!AF30/12,0)</f>
        <v>0.274325017553276</v>
      </c>
      <c r="AG61" s="13" t="n">
        <f aca="false">IF(Time!AG30&gt;0,Inputs!$F$154*MAX(-1,MIN(1,(AG32-Inputs!$F$216)/Inputs!$F$217))*AG21*Time!AG30/12,0)</f>
        <v>0.154154398445713</v>
      </c>
      <c r="AH61" s="13" t="n">
        <f aca="false">IF(Time!AH30&gt;0,Inputs!$F$154*MAX(-1,MIN(1,(AH32-Inputs!$F$216)/Inputs!$F$217))*AH21*Time!AH30/12,0)</f>
        <v>-0.0931977208148224</v>
      </c>
      <c r="AI61" s="13" t="n">
        <f aca="false">IF(Time!AI30&gt;0,Inputs!$F$154*MAX(-1,MIN(1,(AI32-Inputs!$F$216)/Inputs!$F$217))*AI21*Time!AI30/12,0)</f>
        <v>-0.0878454335847161</v>
      </c>
      <c r="AJ61" s="13" t="n">
        <f aca="false">IF(Time!AJ30&gt;0,Inputs!$F$154*MAX(-1,MIN(1,(AJ32-Inputs!$F$216)/Inputs!$F$217))*AJ21*Time!AJ30/12,0)</f>
        <v>-0.0759232877791691</v>
      </c>
      <c r="AK61" s="13" t="n">
        <f aca="false">IF(Time!AK30&gt;0,Inputs!$F$154*MAX(-1,MIN(1,(AK32-Inputs!$F$216)/Inputs!$F$217))*AK21*Time!AK30/12,0)</f>
        <v>-0.168305819442022</v>
      </c>
      <c r="AL61" s="13" t="n">
        <f aca="false">IF(Time!AL30&gt;0,Inputs!$F$154*MAX(-1,MIN(1,(AL32-Inputs!$F$216)/Inputs!$F$217))*AL21*Time!AL30/12,0)</f>
        <v>-0.355254134113064</v>
      </c>
      <c r="AM61" s="13" t="n">
        <f aca="false">IF(Time!AM30&gt;0,Inputs!$F$154*MAX(-1,MIN(1,(AM32-Inputs!$F$216)/Inputs!$F$217))*AM21*Time!AM30/12,0)</f>
        <v>-0.128535054324564</v>
      </c>
      <c r="AN61" s="13" t="n">
        <f aca="false">IF(Time!AN30&gt;0,Inputs!$F$154*MAX(-1,MIN(1,(AN32-Inputs!$F$216)/Inputs!$F$217))*AN21*Time!AN30/12,0)</f>
        <v>0.336315706327883</v>
      </c>
      <c r="AO61" s="13" t="n">
        <f aca="false">IF(Time!AO30&gt;0,Inputs!$F$154*MAX(-1,MIN(1,(AO32-Inputs!$F$216)/Inputs!$F$217))*AO21*Time!AO30/12,0)</f>
        <v>0.309989042323253</v>
      </c>
      <c r="AP61" s="13" t="n">
        <f aca="false">IF(Time!AP30&gt;0,Inputs!$F$154*MAX(-1,MIN(1,(AP32-Inputs!$F$216)/Inputs!$F$217))*AP21*Time!AP30/12,0)</f>
        <v>0.252711809133322</v>
      </c>
      <c r="AQ61" s="13" t="n">
        <f aca="false">IF(Time!AQ30&gt;0,Inputs!$F$154*MAX(-1,MIN(1,(AQ32-Inputs!$F$216)/Inputs!$F$217))*AQ21*Time!AQ30/12,0)</f>
        <v>0.405446396147045</v>
      </c>
      <c r="AR61" s="13" t="n">
        <f aca="false">IF(Time!AR30&gt;0,Inputs!$F$154*MAX(-1,MIN(1,(AR32-Inputs!$F$216)/Inputs!$F$217))*AR21*Time!AR30/12,0)</f>
        <v>0.43666582842476</v>
      </c>
      <c r="AS61" s="13" t="n">
        <f aca="false">IF(Time!AS30&gt;0,Inputs!$F$154*MAX(-1,MIN(1,(AS32-Inputs!$F$216)/Inputs!$F$217))*AS21*Time!AS30/12,0)</f>
        <v>0.261571980337606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-0.22419964384343</v>
      </c>
      <c r="AV61" s="13" t="n">
        <f aca="false">IF(Time!AV30&gt;0,Inputs!$F$154*MAX(-1,MIN(1,(AV32-Inputs!$F$216)/Inputs!$F$217))*AV21*Time!AV30/12,0)</f>
        <v>0.456090471136407</v>
      </c>
      <c r="AW61" s="13" t="n">
        <f aca="false">IF(Time!AW30&gt;0,Inputs!$F$154*MAX(-1,MIN(1,(AW32-Inputs!$F$216)/Inputs!$F$217))*AW21*Time!AW30/12,0)</f>
        <v>0.461080172263329</v>
      </c>
      <c r="AX61" s="13" t="n">
        <f aca="false">IF(Time!AX30&gt;0,Inputs!$F$154*MAX(-1,MIN(1,(AX32-Inputs!$F$216)/Inputs!$F$217))*AX21*Time!AX30/12,0)</f>
        <v>0.0132767676740906</v>
      </c>
      <c r="AY61" s="13" t="n">
        <f aca="false">IF(Time!AY30&gt;0,Inputs!$F$154*MAX(-1,MIN(1,(AY32-Inputs!$F$216)/Inputs!$F$217))*AY21*Time!AY30/12,0)</f>
        <v>-0.0655316861249941</v>
      </c>
      <c r="AZ61" s="13" t="n">
        <f aca="false">IF(Time!AZ30&gt;0,Inputs!$F$154*MAX(-1,MIN(1,(AZ32-Inputs!$F$216)/Inputs!$F$217))*AZ21*Time!AZ30/12,0)</f>
        <v>-0.225883552204211</v>
      </c>
      <c r="BA61" s="13" t="n">
        <f aca="false">IF(Time!BA30&gt;0,Inputs!$F$154*MAX(-1,MIN(1,(BA32-Inputs!$F$216)/Inputs!$F$217))*BA21*Time!BA30/12,0)</f>
        <v>-0.364941876920295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-0.22911733398707</v>
      </c>
      <c r="BD61" s="13" t="n">
        <f aca="false">IF(Time!BD30&gt;0,Inputs!$F$154*MAX(-1,MIN(1,(BD32-Inputs!$F$216)/Inputs!$F$217))*BD21*Time!BD30/12,0)</f>
        <v>0.497570451971867</v>
      </c>
      <c r="BE61" s="13" t="n">
        <f aca="false">IF(Time!BE30&gt;0,Inputs!$F$154*MAX(-1,MIN(1,(BE32-Inputs!$F$216)/Inputs!$F$217))*BE21*Time!BE30/12,0)</f>
        <v>0.503013950580248</v>
      </c>
      <c r="BF61" s="13" t="n">
        <f aca="false">IF(Time!BF30&gt;0,Inputs!$F$154*MAX(-1,MIN(1,(BF32-Inputs!$F$216)/Inputs!$F$217))*BF21*Time!BF30/12,0)</f>
        <v>0.508517001915248</v>
      </c>
      <c r="BG61" s="13" t="n">
        <f aca="false">IF(Time!BG30&gt;0,Inputs!$F$154*MAX(-1,MIN(1,(BG32-Inputs!$F$216)/Inputs!$F$217))*BG21*Time!BG30/12,0)</f>
        <v>0.343838562339429</v>
      </c>
      <c r="BH61" s="13" t="n">
        <f aca="false">IF(Time!BH30&gt;0,Inputs!$F$154*MAX(-1,MIN(1,(BH32-Inputs!$F$216)/Inputs!$F$217))*BH21*Time!BH30/12,0)</f>
        <v>-0.0332344439871113</v>
      </c>
      <c r="BI61" s="13" t="n">
        <f aca="false">IF(Time!BI30&gt;0,Inputs!$F$154*MAX(-1,MIN(1,(BI32-Inputs!$F$216)/Inputs!$F$217))*BI21*Time!BI30/12,0)</f>
        <v>-0.291268593094119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-0.332965085554473</v>
      </c>
      <c r="BL61" s="13" t="n">
        <f aca="false">IF(Time!BL30&gt;0,Inputs!$F$154*MAX(-1,MIN(1,(BL32-Inputs!$F$216)/Inputs!$F$217))*BL21*Time!BL30/12,0)</f>
        <v>0.542822905417471</v>
      </c>
      <c r="BM61" s="13" t="n">
        <f aca="false">IF(Time!BM30&gt;0,Inputs!$F$154*MAX(-1,MIN(1,(BM32-Inputs!$F$216)/Inputs!$F$217))*BM21*Time!BM30/12,0)</f>
        <v>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2469.13955629543</v>
      </c>
      <c r="P63" s="15" t="n">
        <f aca="false">IF(P31&gt;0,Inputs!$F$258*(Inputs!$F$129*P32/P31*P37/Inputs!$F$131+Inputs!$F$130*Inputs!$F$132)*Time!P30/12,0)</f>
        <v>7407.41866888629</v>
      </c>
      <c r="Q63" s="15" t="n">
        <f aca="false">IF(Q31&gt;0,Inputs!$F$258*(Inputs!$F$129*Q32/Q31*Q37/Inputs!$F$131+Inputs!$F$130*Inputs!$F$132)*Time!Q30/12,0)</f>
        <v>7407.41866888629</v>
      </c>
      <c r="R63" s="15" t="n">
        <f aca="false">IF(R31&gt;0,Inputs!$F$258*(Inputs!$F$129*R32/R31*R37/Inputs!$F$131+Inputs!$F$130*Inputs!$F$132)*Time!R30/12,0)</f>
        <v>7407.41866888629</v>
      </c>
      <c r="S63" s="15" t="n">
        <f aca="false">IF(S31&gt;0,Inputs!$F$258*(Inputs!$F$129*S32/S31*S37/Inputs!$F$131+Inputs!$F$130*Inputs!$F$132)*Time!S30/12,0)</f>
        <v>7407.41866888629</v>
      </c>
      <c r="T63" s="15" t="n">
        <f aca="false">IF(T31&gt;0,Inputs!$F$258*(Inputs!$F$129*T32/T31*T37/Inputs!$F$131+Inputs!$F$130*Inputs!$F$132)*Time!T30/12,0)</f>
        <v>7407.41866888629</v>
      </c>
      <c r="U63" s="15" t="n">
        <f aca="false">IF(U31&gt;0,Inputs!$F$258*(Inputs!$F$129*U32/U31*U37/Inputs!$F$131+Inputs!$F$130*Inputs!$F$132)*Time!U30/12,0)</f>
        <v>7407.41866888629</v>
      </c>
      <c r="V63" s="15" t="n">
        <f aca="false">IF(V31&gt;0,Inputs!$F$258*(Inputs!$F$129*V32/V31*V37/Inputs!$F$131+Inputs!$F$130*Inputs!$F$132)*Time!V30/12,0)</f>
        <v>7407.41866888629</v>
      </c>
      <c r="W63" s="15" t="n">
        <f aca="false">IF(W31&gt;0,Inputs!$F$258*(Inputs!$F$129*W32/W31*W37/Inputs!$F$131+Inputs!$F$130*Inputs!$F$132)*Time!W30/12,0)</f>
        <v>7407.41866888629</v>
      </c>
      <c r="X63" s="15" t="n">
        <f aca="false">IF(X31&gt;0,Inputs!$F$258*(Inputs!$F$129*X32/X31*X37/Inputs!$F$131+Inputs!$F$130*Inputs!$F$132)*Time!X30/12,0)</f>
        <v>7407.41866888629</v>
      </c>
      <c r="Y63" s="15" t="n">
        <f aca="false">IF(Y31&gt;0,Inputs!$F$258*(Inputs!$F$129*Y32/Y31*Y37/Inputs!$F$131+Inputs!$F$130*Inputs!$F$132)*Time!Y30/12,0)</f>
        <v>7407.41866888629</v>
      </c>
      <c r="Z63" s="15" t="n">
        <f aca="false">IF(Z31&gt;0,Inputs!$F$258*(Inputs!$F$129*Z32/Z31*Z37/Inputs!$F$131+Inputs!$F$130*Inputs!$F$132)*Time!Z30/12,0)</f>
        <v>7407.41866888629</v>
      </c>
      <c r="AA63" s="15" t="n">
        <f aca="false">IF(AA31&gt;0,Inputs!$F$258*(Inputs!$F$129*AA32/AA31*AA37/Inputs!$F$131+Inputs!$F$130*Inputs!$F$132)*Time!AA30/12,0)</f>
        <v>7407.41866888629</v>
      </c>
      <c r="AB63" s="15" t="n">
        <f aca="false">IF(AB31&gt;0,Inputs!$F$258*(Inputs!$F$129*AB32/AB31*AB37/Inputs!$F$131+Inputs!$F$130*Inputs!$F$132)*Time!AB30/12,0)</f>
        <v>7407.41866888629</v>
      </c>
      <c r="AC63" s="15" t="n">
        <f aca="false">IF(AC31&gt;0,Inputs!$F$258*(Inputs!$F$129*AC32/AC31*AC37/Inputs!$F$131+Inputs!$F$130*Inputs!$F$132)*Time!AC30/12,0)</f>
        <v>7407.41866888629</v>
      </c>
      <c r="AD63" s="15" t="n">
        <f aca="false">IF(AD31&gt;0,Inputs!$F$258*(Inputs!$F$129*AD32/AD31*AD37/Inputs!$F$131+Inputs!$F$130*Inputs!$F$132)*Time!AD30/12,0)</f>
        <v>7407.41866888629</v>
      </c>
      <c r="AE63" s="15" t="n">
        <f aca="false">IF(AE31&gt;0,Inputs!$F$258*(Inputs!$F$129*AE32/AE31*AE37/Inputs!$F$131+Inputs!$F$130*Inputs!$F$132)*Time!AE30/12,0)</f>
        <v>7407.41866888629</v>
      </c>
      <c r="AF63" s="15" t="n">
        <f aca="false">IF(AF31&gt;0,Inputs!$F$258*(Inputs!$F$129*AF32/AF31*AF37/Inputs!$F$131+Inputs!$F$130*Inputs!$F$132)*Time!AF30/12,0)</f>
        <v>7407.41866888629</v>
      </c>
      <c r="AG63" s="15" t="n">
        <f aca="false">IF(AG31&gt;0,Inputs!$F$258*(Inputs!$F$129*AG32/AG31*AG37/Inputs!$F$131+Inputs!$F$130*Inputs!$F$132)*Time!AG30/12,0)</f>
        <v>7407.41866888629</v>
      </c>
      <c r="AH63" s="15" t="n">
        <f aca="false">IF(AH31&gt;0,Inputs!$F$258*(Inputs!$F$129*AH32/AH31*AH37/Inputs!$F$131+Inputs!$F$130*Inputs!$F$132)*Time!AH30/12,0)</f>
        <v>7407.41866888629</v>
      </c>
      <c r="AI63" s="15" t="n">
        <f aca="false">IF(AI31&gt;0,Inputs!$F$258*(Inputs!$F$129*AI32/AI31*AI37/Inputs!$F$131+Inputs!$F$130*Inputs!$F$132)*Time!AI30/12,0)</f>
        <v>7407.41866888629</v>
      </c>
      <c r="AJ63" s="15" t="n">
        <f aca="false">IF(AJ31&gt;0,Inputs!$F$258*(Inputs!$F$129*AJ32/AJ31*AJ37/Inputs!$F$131+Inputs!$F$130*Inputs!$F$132)*Time!AJ30/12,0)</f>
        <v>7407.41866888629</v>
      </c>
      <c r="AK63" s="15" t="n">
        <f aca="false">IF(AK31&gt;0,Inputs!$F$258*(Inputs!$F$129*AK32/AK31*AK37/Inputs!$F$131+Inputs!$F$130*Inputs!$F$132)*Time!AK30/12,0)</f>
        <v>7407.41866888629</v>
      </c>
      <c r="AL63" s="15" t="n">
        <f aca="false">IF(AL31&gt;0,Inputs!$F$258*(Inputs!$F$129*AL32/AL31*AL37/Inputs!$F$131+Inputs!$F$130*Inputs!$F$132)*Time!AL30/12,0)</f>
        <v>7407.41866888629</v>
      </c>
      <c r="AM63" s="15" t="n">
        <f aca="false">IF(AM31&gt;0,Inputs!$F$258*(Inputs!$F$129*AM32/AM31*AM37/Inputs!$F$131+Inputs!$F$130*Inputs!$F$132)*Time!AM30/12,0)</f>
        <v>7407.41866888629</v>
      </c>
      <c r="AN63" s="15" t="n">
        <f aca="false">IF(AN31&gt;0,Inputs!$F$258*(Inputs!$F$129*AN32/AN31*AN37/Inputs!$F$131+Inputs!$F$130*Inputs!$F$132)*Time!AN30/12,0)</f>
        <v>7407.41866888629</v>
      </c>
      <c r="AO63" s="15" t="n">
        <f aca="false">IF(AO31&gt;0,Inputs!$F$258*(Inputs!$F$129*AO32/AO31*AO37/Inputs!$F$131+Inputs!$F$130*Inputs!$F$132)*Time!AO30/12,0)</f>
        <v>7407.41866888629</v>
      </c>
      <c r="AP63" s="15" t="n">
        <f aca="false">IF(AP31&gt;0,Inputs!$F$258*(Inputs!$F$129*AP32/AP31*AP37/Inputs!$F$131+Inputs!$F$130*Inputs!$F$132)*Time!AP30/12,0)</f>
        <v>7407.41866888629</v>
      </c>
      <c r="AQ63" s="15" t="n">
        <f aca="false">IF(AQ31&gt;0,Inputs!$F$258*(Inputs!$F$129*AQ32/AQ31*AQ37/Inputs!$F$131+Inputs!$F$130*Inputs!$F$132)*Time!AQ30/12,0)</f>
        <v>7407.41866888629</v>
      </c>
      <c r="AR63" s="15" t="n">
        <f aca="false">IF(AR31&gt;0,Inputs!$F$258*(Inputs!$F$129*AR32/AR31*AR37/Inputs!$F$131+Inputs!$F$130*Inputs!$F$132)*Time!AR30/12,0)</f>
        <v>7407.41866888629</v>
      </c>
      <c r="AS63" s="15" t="n">
        <f aca="false">IF(AS31&gt;0,Inputs!$F$258*(Inputs!$F$129*AS32/AS31*AS37/Inputs!$F$131+Inputs!$F$130*Inputs!$F$132)*Time!AS30/12,0)</f>
        <v>7407.41866888629</v>
      </c>
      <c r="AT63" s="15" t="n">
        <f aca="false">IF(AT31&gt;0,Inputs!$F$258*(Inputs!$F$129*AT32/AT31*AT37/Inputs!$F$131+Inputs!$F$130*Inputs!$F$132)*Time!AT30/12,0)</f>
        <v>7407.41866888629</v>
      </c>
      <c r="AU63" s="15" t="n">
        <f aca="false">IF(AU31&gt;0,Inputs!$F$258*(Inputs!$F$129*AU32/AU31*AU37/Inputs!$F$131+Inputs!$F$130*Inputs!$F$132)*Time!AU30/12,0)</f>
        <v>7407.41866888629</v>
      </c>
      <c r="AV63" s="15" t="n">
        <f aca="false">IF(AV31&gt;0,Inputs!$F$258*(Inputs!$F$129*AV32/AV31*AV37/Inputs!$F$131+Inputs!$F$130*Inputs!$F$132)*Time!AV30/12,0)</f>
        <v>7407.41866888629</v>
      </c>
      <c r="AW63" s="15" t="n">
        <f aca="false">IF(AW31&gt;0,Inputs!$F$258*(Inputs!$F$129*AW32/AW31*AW37/Inputs!$F$131+Inputs!$F$130*Inputs!$F$132)*Time!AW30/12,0)</f>
        <v>7407.41866888629</v>
      </c>
      <c r="AX63" s="15" t="n">
        <f aca="false">IF(AX31&gt;0,Inputs!$F$258*(Inputs!$F$129*AX32/AX31*AX37/Inputs!$F$131+Inputs!$F$130*Inputs!$F$132)*Time!AX30/12,0)</f>
        <v>7407.41866888629</v>
      </c>
      <c r="AY63" s="15" t="n">
        <f aca="false">IF(AY31&gt;0,Inputs!$F$258*(Inputs!$F$129*AY32/AY31*AY37/Inputs!$F$131+Inputs!$F$130*Inputs!$F$132)*Time!AY30/12,0)</f>
        <v>7407.41866888629</v>
      </c>
      <c r="AZ63" s="15" t="n">
        <f aca="false">IF(AZ31&gt;0,Inputs!$F$258*(Inputs!$F$129*AZ32/AZ31*AZ37/Inputs!$F$131+Inputs!$F$130*Inputs!$F$132)*Time!AZ30/12,0)</f>
        <v>7407.41866888629</v>
      </c>
      <c r="BA63" s="15" t="n">
        <f aca="false">IF(BA31&gt;0,Inputs!$F$258*(Inputs!$F$129*BA32/BA31*BA37/Inputs!$F$131+Inputs!$F$130*Inputs!$F$132)*Time!BA30/12,0)</f>
        <v>7407.41866888629</v>
      </c>
      <c r="BB63" s="15" t="n">
        <f aca="false">IF(BB31&gt;0,Inputs!$F$258*(Inputs!$F$129*BB32/BB31*BB37/Inputs!$F$131+Inputs!$F$130*Inputs!$F$132)*Time!BB30/12,0)</f>
        <v>7407.41866888629</v>
      </c>
      <c r="BC63" s="15" t="n">
        <f aca="false">IF(BC31&gt;0,Inputs!$F$258*(Inputs!$F$129*BC32/BC31*BC37/Inputs!$F$131+Inputs!$F$130*Inputs!$F$132)*Time!BC30/12,0)</f>
        <v>7407.41866888629</v>
      </c>
      <c r="BD63" s="15" t="n">
        <f aca="false">IF(BD31&gt;0,Inputs!$F$258*(Inputs!$F$129*BD32/BD31*BD37/Inputs!$F$131+Inputs!$F$130*Inputs!$F$132)*Time!BD30/12,0)</f>
        <v>7407.41866888629</v>
      </c>
      <c r="BE63" s="15" t="n">
        <f aca="false">IF(BE31&gt;0,Inputs!$F$258*(Inputs!$F$129*BE32/BE31*BE37/Inputs!$F$131+Inputs!$F$130*Inputs!$F$132)*Time!BE30/12,0)</f>
        <v>7407.41866888629</v>
      </c>
      <c r="BF63" s="15" t="n">
        <f aca="false">IF(BF31&gt;0,Inputs!$F$258*(Inputs!$F$129*BF32/BF31*BF37/Inputs!$F$131+Inputs!$F$130*Inputs!$F$132)*Time!BF30/12,0)</f>
        <v>7407.41866888629</v>
      </c>
      <c r="BG63" s="15" t="n">
        <f aca="false">IF(BG31&gt;0,Inputs!$F$258*(Inputs!$F$129*BG32/BG31*BG37/Inputs!$F$131+Inputs!$F$130*Inputs!$F$132)*Time!BG30/12,0)</f>
        <v>7407.41866888629</v>
      </c>
      <c r="BH63" s="15" t="n">
        <f aca="false">IF(BH31&gt;0,Inputs!$F$258*(Inputs!$F$129*BH32/BH31*BH37/Inputs!$F$131+Inputs!$F$130*Inputs!$F$132)*Time!BH30/12,0)</f>
        <v>7407.41866888629</v>
      </c>
      <c r="BI63" s="15" t="n">
        <f aca="false">IF(BI31&gt;0,Inputs!$F$258*(Inputs!$F$129*BI32/BI31*BI37/Inputs!$F$131+Inputs!$F$130*Inputs!$F$132)*Time!BI30/12,0)</f>
        <v>7407.41866888629</v>
      </c>
      <c r="BJ63" s="15" t="n">
        <f aca="false">IF(BJ31&gt;0,Inputs!$F$258*(Inputs!$F$129*BJ32/BJ31*BJ37/Inputs!$F$131+Inputs!$F$130*Inputs!$F$132)*Time!BJ30/12,0)</f>
        <v>7407.41866888629</v>
      </c>
      <c r="BK63" s="15" t="n">
        <f aca="false">IF(BK31&gt;0,Inputs!$F$258*(Inputs!$F$129*BK32/BK31*BK37/Inputs!$F$131+Inputs!$F$130*Inputs!$F$132)*Time!BK30/12,0)</f>
        <v>7407.41866888629</v>
      </c>
      <c r="BL63" s="15" t="n">
        <f aca="false">IF(BL31&gt;0,Inputs!$F$258*(Inputs!$F$129*BL32/BL31*BL37/Inputs!$F$131+Inputs!$F$130*Inputs!$F$132)*Time!BL30/12,0)</f>
        <v>7407.41866888629</v>
      </c>
      <c r="BM63" s="15" t="n">
        <f aca="false">IF(BM31&gt;0,Inputs!$F$258*(Inputs!$F$129*BM32/BM31*BM37/Inputs!$F$131+Inputs!$F$130*Inputs!$F$132)*Time!BM30/12,0)</f>
        <v>4938.27911259086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254.409421823914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1.27400716288338</v>
      </c>
      <c r="P64" s="13" t="n">
        <f aca="false">P63*Inputs!$F$156*P21/1000000</f>
        <v>3.8638350018365</v>
      </c>
      <c r="Q64" s="13" t="n">
        <f aca="false">Q63*Inputs!$F$156*Q21/1000000</f>
        <v>3.90610596140044</v>
      </c>
      <c r="R64" s="13" t="n">
        <f aca="false">R63*Inputs!$F$156*R21/1000000</f>
        <v>3.94883937187691</v>
      </c>
      <c r="S64" s="13" t="n">
        <f aca="false">S63*Inputs!$F$156*S21/1000000</f>
        <v>3.99204029255125</v>
      </c>
      <c r="T64" s="13" t="n">
        <f aca="false">T63*Inputs!$F$156*T21/1000000</f>
        <v>4.0357138380582</v>
      </c>
      <c r="U64" s="13" t="n">
        <f aca="false">U63*Inputs!$F$156*U21/1000000</f>
        <v>4.07986517898738</v>
      </c>
      <c r="V64" s="13" t="n">
        <f aca="false">V63*Inputs!$F$156*V21/1000000</f>
        <v>4.12449954249548</v>
      </c>
      <c r="W64" s="13" t="n">
        <f aca="false">W63*Inputs!$F$156*W21/1000000</f>
        <v>4.1696222129251</v>
      </c>
      <c r="X64" s="13" t="n">
        <f aca="false">X63*Inputs!$F$156*X21/1000000</f>
        <v>4.21523853243038</v>
      </c>
      <c r="Y64" s="13" t="n">
        <f aca="false">Y63*Inputs!$F$156*Y21/1000000</f>
        <v>4.26135390160945</v>
      </c>
      <c r="Z64" s="13" t="n">
        <f aca="false">Z63*Inputs!$F$156*Z21/1000000</f>
        <v>4.30797378014384</v>
      </c>
      <c r="AA64" s="13" t="n">
        <f aca="false">AA63*Inputs!$F$156*AA21/1000000</f>
        <v>4.35510368744485</v>
      </c>
      <c r="AB64" s="13" t="n">
        <f aca="false">AB63*Inputs!$F$156*AB21/1000000</f>
        <v>4.40274920330701</v>
      </c>
      <c r="AC64" s="13" t="n">
        <f aca="false">AC63*Inputs!$F$156*AC21/1000000</f>
        <v>4.45091596856864</v>
      </c>
      <c r="AD64" s="13" t="n">
        <f aca="false">AD63*Inputs!$F$156*AD21/1000000</f>
        <v>4.49960968577976</v>
      </c>
      <c r="AE64" s="13" t="n">
        <f aca="false">AE63*Inputs!$F$156*AE21/1000000</f>
        <v>4.54883611987715</v>
      </c>
      <c r="AF64" s="13" t="n">
        <f aca="false">AF63*Inputs!$F$156*AF21/1000000</f>
        <v>4.59860109886691</v>
      </c>
      <c r="AG64" s="13" t="n">
        <f aca="false">AG63*Inputs!$F$156*AG21/1000000</f>
        <v>4.64891051451445</v>
      </c>
      <c r="AH64" s="13" t="n">
        <f aca="false">AH63*Inputs!$F$156*AH21/1000000</f>
        <v>4.69977032304199</v>
      </c>
      <c r="AI64" s="13" t="n">
        <f aca="false">AI63*Inputs!$F$156*AI21/1000000</f>
        <v>4.75118654583376</v>
      </c>
      <c r="AJ64" s="13" t="n">
        <f aca="false">AJ63*Inputs!$F$156*AJ21/1000000</f>
        <v>4.80316527014891</v>
      </c>
      <c r="AK64" s="13" t="n">
        <f aca="false">AK63*Inputs!$F$156*AK21/1000000</f>
        <v>4.85571264984211</v>
      </c>
      <c r="AL64" s="13" t="n">
        <f aca="false">AL63*Inputs!$F$156*AL21/1000000</f>
        <v>4.90883490609218</v>
      </c>
      <c r="AM64" s="13" t="n">
        <f aca="false">AM63*Inputs!$F$156*AM21/1000000</f>
        <v>4.96253832813863</v>
      </c>
      <c r="AN64" s="13" t="n">
        <f aca="false">AN63*Inputs!$F$156*AN21/1000000</f>
        <v>5.01682927402621</v>
      </c>
      <c r="AO64" s="13" t="n">
        <f aca="false">AO63*Inputs!$F$156*AO21/1000000</f>
        <v>5.07171417135768</v>
      </c>
      <c r="AP64" s="13" t="n">
        <f aca="false">AP63*Inputs!$F$156*AP21/1000000</f>
        <v>5.12719951805479</v>
      </c>
      <c r="AQ64" s="13" t="n">
        <f aca="false">AQ63*Inputs!$F$156*AQ21/1000000</f>
        <v>5.18329188312755</v>
      </c>
      <c r="AR64" s="13" t="n">
        <f aca="false">AR63*Inputs!$F$156*AR21/1000000</f>
        <v>5.23999790745199</v>
      </c>
      <c r="AS64" s="13" t="n">
        <f aca="false">AS63*Inputs!$F$156*AS21/1000000</f>
        <v>5.29732430455635</v>
      </c>
      <c r="AT64" s="13" t="n">
        <f aca="false">AT63*Inputs!$F$156*AT21/1000000</f>
        <v>5.35527786141593</v>
      </c>
      <c r="AU64" s="13" t="n">
        <f aca="false">AU63*Inputs!$F$156*AU21/1000000</f>
        <v>5.41386543925659</v>
      </c>
      <c r="AV64" s="13" t="n">
        <f aca="false">AV63*Inputs!$F$156*AV21/1000000</f>
        <v>5.47309397436708</v>
      </c>
      <c r="AW64" s="13" t="n">
        <f aca="false">AW63*Inputs!$F$156*AW21/1000000</f>
        <v>5.53297047892024</v>
      </c>
      <c r="AX64" s="13" t="n">
        <f aca="false">AX63*Inputs!$F$156*AX21/1000000</f>
        <v>5.59350204180316</v>
      </c>
      <c r="AY64" s="13" t="n">
        <f aca="false">AY63*Inputs!$F$156*AY21/1000000</f>
        <v>5.65469582945648</v>
      </c>
      <c r="AZ64" s="13" t="n">
        <f aca="false">AZ63*Inputs!$F$156*AZ21/1000000</f>
        <v>5.71655908672283</v>
      </c>
      <c r="BA64" s="13" t="n">
        <f aca="false">BA63*Inputs!$F$156*BA21/1000000</f>
        <v>5.77909913770452</v>
      </c>
      <c r="BB64" s="13" t="n">
        <f aca="false">BB63*Inputs!$F$156*BB21/1000000</f>
        <v>5.84232338663073</v>
      </c>
      <c r="BC64" s="13" t="n">
        <f aca="false">BC63*Inputs!$F$156*BC21/1000000</f>
        <v>5.90623931873402</v>
      </c>
      <c r="BD64" s="13" t="n">
        <f aca="false">BD63*Inputs!$F$156*BD21/1000000</f>
        <v>5.9708545011366</v>
      </c>
      <c r="BE64" s="13" t="n">
        <f aca="false">BE63*Inputs!$F$156*BE21/1000000</f>
        <v>6.03617658374617</v>
      </c>
      <c r="BF64" s="13" t="n">
        <f aca="false">BF63*Inputs!$F$156*BF21/1000000</f>
        <v>6.10221330016161</v>
      </c>
      <c r="BG64" s="13" t="n">
        <f aca="false">BG63*Inputs!$F$156*BG21/1000000</f>
        <v>6.16897246858858</v>
      </c>
      <c r="BH64" s="13" t="n">
        <f aca="false">BH63*Inputs!$F$156*BH21/1000000</f>
        <v>6.23646199276516</v>
      </c>
      <c r="BI64" s="13" t="n">
        <f aca="false">BI63*Inputs!$F$156*BI21/1000000</f>
        <v>6.30468986289753</v>
      </c>
      <c r="BJ64" s="13" t="n">
        <f aca="false">BJ63*Inputs!$F$156*BJ21/1000000</f>
        <v>6.37366415660599</v>
      </c>
      <c r="BK64" s="13" t="n">
        <f aca="false">BK63*Inputs!$F$156*BK21/1000000</f>
        <v>6.44339303988127</v>
      </c>
      <c r="BL64" s="13" t="n">
        <f aca="false">BL63*Inputs!$F$156*BL21/1000000</f>
        <v>6.51388476805132</v>
      </c>
      <c r="BM64" s="13" t="n">
        <f aca="false">BM63*Inputs!$F$156*BM21/1000000</f>
        <v>4.39009845783911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82.6183339921672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0.525771913466377</v>
      </c>
      <c r="P66" s="13" t="n">
        <f aca="false">Inputs!$F$159*(Inputs!$F$218*P21+(1-Inputs!$F$218)*P27*Inputs!$F$153/P11)*Time!P30/12*Inputs!$F$40</f>
        <v>1.57651464469088</v>
      </c>
      <c r="Q66" s="13" t="n">
        <f aca="false">Inputs!$F$159*(Inputs!$F$218*Q21+(1-Inputs!$F$218)*Q27*Inputs!$F$153/Q11)*Time!Q30/12*Inputs!$F$40</f>
        <v>1.57595189395446</v>
      </c>
      <c r="R66" s="13" t="n">
        <f aca="false">Inputs!$F$159*(Inputs!$F$218*R21+(1-Inputs!$F$218)*R27*Inputs!$F$153/R11)*Time!R30/12*Inputs!$F$40</f>
        <v>1.57562671407959</v>
      </c>
      <c r="S66" s="13" t="n">
        <f aca="false">Inputs!$F$159*(Inputs!$F$218*S21+(1-Inputs!$F$218)*S27*Inputs!$F$153/S11)*Time!S30/12*Inputs!$F$40</f>
        <v>1.57553836876422</v>
      </c>
      <c r="T66" s="13" t="n">
        <f aca="false">Inputs!$F$159*(Inputs!$F$218*T21+(1-Inputs!$F$218)*T27*Inputs!$F$153/T11)*Time!T30/12*Inputs!$F$40</f>
        <v>1.57568615929491</v>
      </c>
      <c r="U66" s="13" t="n">
        <f aca="false">Inputs!$F$159*(Inputs!$F$218*U21+(1-Inputs!$F$218)*U27*Inputs!$F$153/U11)*Time!U30/12*Inputs!$F$40</f>
        <v>1.57606942433336</v>
      </c>
      <c r="V66" s="13" t="n">
        <f aca="false">Inputs!$F$159*(Inputs!$F$218*V21+(1-Inputs!$F$218)*V27*Inputs!$F$153/V11)*Time!V30/12*Inputs!$F$40</f>
        <v>1.5766875397093</v>
      </c>
      <c r="W66" s="13" t="n">
        <f aca="false">Inputs!$F$159*(Inputs!$F$218*W21+(1-Inputs!$F$218)*W27*Inputs!$F$153/W11)*Time!W30/12*Inputs!$F$40</f>
        <v>1.57753991821937</v>
      </c>
      <c r="X66" s="13" t="n">
        <f aca="false">Inputs!$F$159*(Inputs!$F$218*X21+(1-Inputs!$F$218)*X27*Inputs!$F$153/X11)*Time!X30/12*Inputs!$F$40</f>
        <v>1.57862600943231</v>
      </c>
      <c r="Y66" s="13" t="n">
        <f aca="false">Inputs!$F$159*(Inputs!$F$218*Y21+(1-Inputs!$F$218)*Y27*Inputs!$F$153/Y11)*Time!Y30/12*Inputs!$F$40</f>
        <v>1.57994529950005</v>
      </c>
      <c r="Z66" s="13" t="n">
        <f aca="false">Inputs!$F$159*(Inputs!$F$218*Z21+(1-Inputs!$F$218)*Z27*Inputs!$F$153/Z11)*Time!Z30/12*Inputs!$F$40</f>
        <v>1.58149731097492</v>
      </c>
      <c r="AA66" s="13" t="n">
        <f aca="false">Inputs!$F$159*(Inputs!$F$218*AA21+(1-Inputs!$F$218)*AA27*Inputs!$F$153/AA11)*Time!AA30/12*Inputs!$F$40</f>
        <v>1.58328160263282</v>
      </c>
      <c r="AB66" s="13" t="n">
        <f aca="false">Inputs!$F$159*(Inputs!$F$218*AB21+(1-Inputs!$F$218)*AB27*Inputs!$F$153/AB11)*Time!AB30/12*Inputs!$F$40</f>
        <v>1.5852977693023</v>
      </c>
      <c r="AC66" s="13" t="n">
        <f aca="false">Inputs!$F$159*(Inputs!$F$218*AC21+(1-Inputs!$F$218)*AC27*Inputs!$F$153/AC11)*Time!AC30/12*Inputs!$F$40</f>
        <v>1.58754544169956</v>
      </c>
      <c r="AD66" s="13" t="n">
        <f aca="false">Inputs!$F$159*(Inputs!$F$218*AD21+(1-Inputs!$F$218)*AD27*Inputs!$F$153/AD11)*Time!AD30/12*Inputs!$F$40</f>
        <v>1.59002428626932</v>
      </c>
      <c r="AE66" s="13" t="n">
        <f aca="false">Inputs!$F$159*(Inputs!$F$218*AE21+(1-Inputs!$F$218)*AE27*Inputs!$F$153/AE11)*Time!AE30/12*Inputs!$F$40</f>
        <v>1.59273400503139</v>
      </c>
      <c r="AF66" s="13" t="n">
        <f aca="false">Inputs!$F$159*(Inputs!$F$218*AF21+(1-Inputs!$F$218)*AF27*Inputs!$F$153/AF11)*Time!AF30/12*Inputs!$F$40</f>
        <v>1.59567433543319</v>
      </c>
      <c r="AG66" s="13" t="n">
        <f aca="false">Inputs!$F$159*(Inputs!$F$218*AG21+(1-Inputs!$F$218)*AG27*Inputs!$F$153/AG11)*Time!AG30/12*Inputs!$F$40</f>
        <v>1.59884505020783</v>
      </c>
      <c r="AH66" s="13" t="n">
        <f aca="false">Inputs!$F$159*(Inputs!$F$218*AH21+(1-Inputs!$F$218)*AH27*Inputs!$F$153/AH11)*Time!AH30/12*Inputs!$F$40</f>
        <v>1.60224595723798</v>
      </c>
      <c r="AI66" s="13" t="n">
        <f aca="false">Inputs!$F$159*(Inputs!$F$218*AI21+(1-Inputs!$F$218)*AI27*Inputs!$F$153/AI11)*Time!AI30/12*Inputs!$F$40</f>
        <v>1.60587689942537</v>
      </c>
      <c r="AJ66" s="13" t="n">
        <f aca="false">Inputs!$F$159*(Inputs!$F$218*AJ21+(1-Inputs!$F$218)*AJ27*Inputs!$F$153/AJ11)*Time!AJ30/12*Inputs!$F$40</f>
        <v>1.60973775456594</v>
      </c>
      <c r="AK66" s="13" t="n">
        <f aca="false">Inputs!$F$159*(Inputs!$F$218*AK21+(1-Inputs!$F$218)*AK27*Inputs!$F$153/AK11)*Time!AK30/12*Inputs!$F$40</f>
        <v>1.61382843523048</v>
      </c>
      <c r="AL66" s="13" t="n">
        <f aca="false">Inputs!$F$159*(Inputs!$F$218*AL21+(1-Inputs!$F$218)*AL27*Inputs!$F$153/AL11)*Time!AL30/12*Inputs!$F$40</f>
        <v>1.61814888865094</v>
      </c>
      <c r="AM66" s="13" t="n">
        <f aca="false">Inputs!$F$159*(Inputs!$F$218*AM21+(1-Inputs!$F$218)*AM27*Inputs!$F$153/AM11)*Time!AM30/12*Inputs!$F$40</f>
        <v>1.62269909661223</v>
      </c>
      <c r="AN66" s="13" t="n">
        <f aca="false">Inputs!$F$159*(Inputs!$F$218*AN21+(1-Inputs!$F$218)*AN27*Inputs!$F$153/AN11)*Time!AN30/12*Inputs!$F$40</f>
        <v>1.62747907534941</v>
      </c>
      <c r="AO66" s="13" t="n">
        <f aca="false">Inputs!$F$159*(Inputs!$F$218*AO21+(1-Inputs!$F$218)*AO27*Inputs!$F$153/AO11)*Time!AO30/12*Inputs!$F$40</f>
        <v>1.63248887545046</v>
      </c>
      <c r="AP66" s="13" t="n">
        <f aca="false">Inputs!$F$159*(Inputs!$F$218*AP21+(1-Inputs!$F$218)*AP27*Inputs!$F$153/AP11)*Time!AP30/12*Inputs!$F$40</f>
        <v>1.63772858176443</v>
      </c>
      <c r="AQ66" s="13" t="n">
        <f aca="false">Inputs!$F$159*(Inputs!$F$218*AQ21+(1-Inputs!$F$218)*AQ27*Inputs!$F$153/AQ11)*Time!AQ30/12*Inputs!$F$40</f>
        <v>1.64319831331496</v>
      </c>
      <c r="AR66" s="13" t="n">
        <f aca="false">Inputs!$F$159*(Inputs!$F$218*AR21+(1-Inputs!$F$218)*AR27*Inputs!$F$153/AR11)*Time!AR30/12*Inputs!$F$40</f>
        <v>1.64889822321917</v>
      </c>
      <c r="AS66" s="13" t="n">
        <f aca="false">Inputs!$F$159*(Inputs!$F$218*AS21+(1-Inputs!$F$218)*AS27*Inputs!$F$153/AS11)*Time!AS30/12*Inputs!$F$40</f>
        <v>1.65482849861193</v>
      </c>
      <c r="AT66" s="13" t="n">
        <f aca="false">Inputs!$F$159*(Inputs!$F$218*AT21+(1-Inputs!$F$218)*AT27*Inputs!$F$153/AT11)*Time!AT30/12*Inputs!$F$40</f>
        <v>1.66098936057543</v>
      </c>
      <c r="AU66" s="13" t="n">
        <f aca="false">Inputs!$F$159*(Inputs!$F$218*AU21+(1-Inputs!$F$218)*AU27*Inputs!$F$153/AU11)*Time!AU30/12*Inputs!$F$40</f>
        <v>1.66738106407398</v>
      </c>
      <c r="AV66" s="13" t="n">
        <f aca="false">Inputs!$F$159*(Inputs!$F$218*AV21+(1-Inputs!$F$218)*AV27*Inputs!$F$153/AV11)*Time!AV30/12*Inputs!$F$40</f>
        <v>1.67400389789414</v>
      </c>
      <c r="AW66" s="13" t="n">
        <f aca="false">Inputs!$F$159*(Inputs!$F$218*AW21+(1-Inputs!$F$218)*AW27*Inputs!$F$153/AW11)*Time!AW30/12*Inputs!$F$40</f>
        <v>1.68085818459007</v>
      </c>
      <c r="AX66" s="13" t="n">
        <f aca="false">Inputs!$F$159*(Inputs!$F$218*AX21+(1-Inputs!$F$218)*AX27*Inputs!$F$153/AX11)*Time!AX30/12*Inputs!$F$40</f>
        <v>1.68794428043406</v>
      </c>
      <c r="AY66" s="13" t="n">
        <f aca="false">Inputs!$F$159*(Inputs!$F$218*AY21+(1-Inputs!$F$218)*AY27*Inputs!$F$153/AY11)*Time!AY30/12*Inputs!$F$40</f>
        <v>1.69526257537229</v>
      </c>
      <c r="AZ66" s="13" t="n">
        <f aca="false">Inputs!$F$159*(Inputs!$F$218*AZ21+(1-Inputs!$F$218)*AZ27*Inputs!$F$153/AZ11)*Time!AZ30/12*Inputs!$F$40</f>
        <v>1.70281349298577</v>
      </c>
      <c r="BA66" s="13" t="n">
        <f aca="false">Inputs!$F$159*(Inputs!$F$218*BA21+(1-Inputs!$F$218)*BA27*Inputs!$F$153/BA11)*Time!BA30/12*Inputs!$F$40</f>
        <v>1.71059749045634</v>
      </c>
      <c r="BB66" s="13" t="n">
        <f aca="false">Inputs!$F$159*(Inputs!$F$218*BB21+(1-Inputs!$F$218)*BB27*Inputs!$F$153/BB11)*Time!BB30/12*Inputs!$F$40</f>
        <v>1.71861505853793</v>
      </c>
      <c r="BC66" s="13" t="n">
        <f aca="false">Inputs!$F$159*(Inputs!$F$218*BC21+(1-Inputs!$F$218)*BC27*Inputs!$F$153/BC11)*Time!BC30/12*Inputs!$F$40</f>
        <v>1.72686672153282</v>
      </c>
      <c r="BD66" s="13" t="n">
        <f aca="false">Inputs!$F$159*(Inputs!$F$218*BD21+(1-Inputs!$F$218)*BD27*Inputs!$F$153/BD11)*Time!BD30/12*Inputs!$F$40</f>
        <v>1.73535303727308</v>
      </c>
      <c r="BE66" s="13" t="n">
        <f aca="false">Inputs!$F$159*(Inputs!$F$218*BE21+(1-Inputs!$F$218)*BE27*Inputs!$F$153/BE11)*Time!BE30/12*Inputs!$F$40</f>
        <v>1.74407459710696</v>
      </c>
      <c r="BF66" s="13" t="n">
        <f aca="false">Inputs!$F$159*(Inputs!$F$218*BF21+(1-Inputs!$F$218)*BF27*Inputs!$F$153/BF11)*Time!BF30/12*Inputs!$F$40</f>
        <v>1.7530320258905</v>
      </c>
      <c r="BG66" s="13" t="n">
        <f aca="false">Inputs!$F$159*(Inputs!$F$218*BG21+(1-Inputs!$F$218)*BG27*Inputs!$F$153/BG11)*Time!BG30/12*Inputs!$F$40</f>
        <v>1.76222598198404</v>
      </c>
      <c r="BH66" s="13" t="n">
        <f aca="false">Inputs!$F$159*(Inputs!$F$218*BH21+(1-Inputs!$F$218)*BH27*Inputs!$F$153/BH11)*Time!BH30/12*Inputs!$F$40</f>
        <v>1.77165715725384</v>
      </c>
      <c r="BI66" s="13" t="n">
        <f aca="false">Inputs!$F$159*(Inputs!$F$218*BI21+(1-Inputs!$F$218)*BI27*Inputs!$F$153/BI11)*Time!BI30/12*Inputs!$F$40</f>
        <v>1.78132627707866</v>
      </c>
      <c r="BJ66" s="13" t="n">
        <f aca="false">Inputs!$F$159*(Inputs!$F$218*BJ21+(1-Inputs!$F$218)*BJ27*Inputs!$F$153/BJ11)*Time!BJ30/12*Inputs!$F$40</f>
        <v>1.79123410036138</v>
      </c>
      <c r="BK66" s="13" t="n">
        <f aca="false">Inputs!$F$159*(Inputs!$F$218*BK21+(1-Inputs!$F$218)*BK27*Inputs!$F$153/BK11)*Time!BK30/12*Inputs!$F$40</f>
        <v>1.80138141954559</v>
      </c>
      <c r="BL66" s="13" t="n">
        <f aca="false">Inputs!$F$159*(Inputs!$F$218*BL21+(1-Inputs!$F$218)*BL27*Inputs!$F$153/BL11)*Time!BL30/12*Inputs!$F$40</f>
        <v>1.81176906063714</v>
      </c>
      <c r="BM66" s="13" t="n">
        <f aca="false">Inputs!$F$159*(Inputs!$F$218*BM21+(1-Inputs!$F$218)*BM27*Inputs!$F$153/BM11)*Time!BM30/12*Inputs!$F$40</f>
        <v>1.21493192215377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11.8393946553661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0.109466462850222</v>
      </c>
      <c r="P67" s="13" t="n">
        <f aca="false">Inputs!$F$160*P27/P11*Time!P30/12*Inputs!$F$40</f>
        <v>0.32390530437899</v>
      </c>
      <c r="Q67" s="13" t="n">
        <f aca="false">Inputs!$F$160*Q27/Q11*Time!Q30/12*Inputs!$F$40</f>
        <v>0.319472720908127</v>
      </c>
      <c r="R67" s="13" t="n">
        <f aca="false">Inputs!$F$160*R27/R11*Time!R30/12*Inputs!$F$40</f>
        <v>0.315100796512496</v>
      </c>
      <c r="S67" s="13" t="n">
        <f aca="false">Inputs!$F$160*S27/S11*Time!S30/12*Inputs!$F$40</f>
        <v>0.310788701084003</v>
      </c>
      <c r="T67" s="13" t="n">
        <f aca="false">Inputs!$F$160*T27/T11*Time!T30/12*Inputs!$F$40</f>
        <v>0.306535615874432</v>
      </c>
      <c r="U67" s="13" t="n">
        <f aca="false">Inputs!$F$160*U27/U11*Time!U30/12*Inputs!$F$40</f>
        <v>0.30234073333998</v>
      </c>
      <c r="V67" s="13" t="n">
        <f aca="false">Inputs!$F$160*V27/V11*Time!V30/12*Inputs!$F$40</f>
        <v>0.29820325698793</v>
      </c>
      <c r="W67" s="13" t="n">
        <f aca="false">Inputs!$F$160*W27/W11*Time!W30/12*Inputs!$F$40</f>
        <v>0.294122401225421</v>
      </c>
      <c r="X67" s="13" t="n">
        <f aca="false">Inputs!$F$160*X27/X11*Time!X30/12*Inputs!$F$40</f>
        <v>0.290097391210281</v>
      </c>
      <c r="Y67" s="13" t="n">
        <f aca="false">Inputs!$F$160*Y27/Y11*Time!Y30/12*Inputs!$F$40</f>
        <v>0.28612746270391</v>
      </c>
      <c r="Z67" s="13" t="n">
        <f aca="false">Inputs!$F$160*Z27/Z11*Time!Z30/12*Inputs!$F$40</f>
        <v>0.282211861926167</v>
      </c>
      <c r="AA67" s="13" t="n">
        <f aca="false">Inputs!$F$160*AA27/AA11*Time!AA30/12*Inputs!$F$40</f>
        <v>0.278349845412255</v>
      </c>
      <c r="AB67" s="13" t="n">
        <f aca="false">Inputs!$F$160*AB27/AB11*Time!AB30/12*Inputs!$F$40</f>
        <v>0.274540679871551</v>
      </c>
      <c r="AC67" s="13" t="n">
        <f aca="false">Inputs!$F$160*AC27/AC11*Time!AC30/12*Inputs!$F$40</f>
        <v>0.270783642048378</v>
      </c>
      <c r="AD67" s="13" t="n">
        <f aca="false">Inputs!$F$160*AD27/AD11*Time!AD30/12*Inputs!$F$40</f>
        <v>0.267078018584678</v>
      </c>
      <c r="AE67" s="13" t="n">
        <f aca="false">Inputs!$F$160*AE27/AE11*Time!AE30/12*Inputs!$F$40</f>
        <v>0.263423105884563</v>
      </c>
      <c r="AF67" s="13" t="n">
        <f aca="false">Inputs!$F$160*AF27/AF11*Time!AF30/12*Inputs!$F$40</f>
        <v>0.259818209980725</v>
      </c>
      <c r="AG67" s="13" t="n">
        <f aca="false">Inputs!$F$160*AG27/AG11*Time!AG30/12*Inputs!$F$40</f>
        <v>0.256262646402666</v>
      </c>
      <c r="AH67" s="13" t="n">
        <f aca="false">Inputs!$F$160*AH27/AH11*Time!AH30/12*Inputs!$F$40</f>
        <v>0.252755740046743</v>
      </c>
      <c r="AI67" s="13" t="n">
        <f aca="false">Inputs!$F$160*AI27/AI11*Time!AI30/12*Inputs!$F$40</f>
        <v>0.249296825047975</v>
      </c>
      <c r="AJ67" s="13" t="n">
        <f aca="false">Inputs!$F$160*AJ27/AJ11*Time!AJ30/12*Inputs!$F$40</f>
        <v>0.245885244653622</v>
      </c>
      <c r="AK67" s="13" t="n">
        <f aca="false">Inputs!$F$160*AK27/AK11*Time!AK30/12*Inputs!$F$40</f>
        <v>0.242520351098481</v>
      </c>
      <c r="AL67" s="13" t="n">
        <f aca="false">Inputs!$F$160*AL27/AL11*Time!AL30/12*Inputs!$F$40</f>
        <v>0.239201505481895</v>
      </c>
      <c r="AM67" s="13" t="n">
        <f aca="false">Inputs!$F$160*AM27/AM11*Time!AM30/12*Inputs!$F$40</f>
        <v>0.235928077646444</v>
      </c>
      <c r="AN67" s="13" t="n">
        <f aca="false">Inputs!$F$160*AN27/AN11*Time!AN30/12*Inputs!$F$40</f>
        <v>0.232699446058291</v>
      </c>
      <c r="AO67" s="13" t="n">
        <f aca="false">Inputs!$F$160*AO27/AO11*Time!AO30/12*Inputs!$F$40</f>
        <v>0.229514997689178</v>
      </c>
      <c r="AP67" s="13" t="n">
        <f aca="false">Inputs!$F$160*AP27/AP11*Time!AP30/12*Inputs!$F$40</f>
        <v>0.226374127900019</v>
      </c>
      <c r="AQ67" s="13" t="n">
        <f aca="false">Inputs!$F$160*AQ27/AQ11*Time!AQ30/12*Inputs!$F$40</f>
        <v>0.223276240326104</v>
      </c>
      <c r="AR67" s="13" t="n">
        <f aca="false">Inputs!$F$160*AR27/AR11*Time!AR30/12*Inputs!$F$40</f>
        <v>0.220220746763863</v>
      </c>
      <c r="AS67" s="13" t="n">
        <f aca="false">Inputs!$F$160*AS27/AS11*Time!AS30/12*Inputs!$F$40</f>
        <v>0.217207067059178</v>
      </c>
      <c r="AT67" s="13" t="n">
        <f aca="false">Inputs!$F$160*AT27/AT11*Time!AT30/12*Inputs!$F$40</f>
        <v>0.214234628997236</v>
      </c>
      <c r="AU67" s="13" t="n">
        <f aca="false">Inputs!$F$160*AU27/AU11*Time!AU30/12*Inputs!$F$40</f>
        <v>0.211302868193873</v>
      </c>
      <c r="AV67" s="13" t="n">
        <f aca="false">Inputs!$F$160*AV27/AV11*Time!AV30/12*Inputs!$F$40</f>
        <v>0.208411227988419</v>
      </c>
      <c r="AW67" s="13" t="n">
        <f aca="false">Inputs!$F$160*AW27/AW11*Time!AW30/12*Inputs!$F$40</f>
        <v>0.205559159338</v>
      </c>
      <c r="AX67" s="13" t="n">
        <f aca="false">Inputs!$F$160*AX27/AX11*Time!AX30/12*Inputs!$F$40</f>
        <v>0.202746120713291</v>
      </c>
      <c r="AY67" s="13" t="n">
        <f aca="false">Inputs!$F$160*AY27/AY11*Time!AY30/12*Inputs!$F$40</f>
        <v>0.199971577995695</v>
      </c>
      <c r="AZ67" s="13" t="n">
        <f aca="false">Inputs!$F$160*AZ27/AZ11*Time!AZ30/12*Inputs!$F$40</f>
        <v>0.197235004375928</v>
      </c>
      <c r="BA67" s="13" t="n">
        <f aca="false">Inputs!$F$160*BA27/BA11*Time!BA30/12*Inputs!$F$40</f>
        <v>0.194535880253992</v>
      </c>
      <c r="BB67" s="13" t="n">
        <f aca="false">Inputs!$F$160*BB27/BB11*Time!BB30/12*Inputs!$F$40</f>
        <v>0.191873693140518</v>
      </c>
      <c r="BC67" s="13" t="n">
        <f aca="false">Inputs!$F$160*BC27/BC11*Time!BC30/12*Inputs!$F$40</f>
        <v>0.189247937559458</v>
      </c>
      <c r="BD67" s="13" t="n">
        <f aca="false">Inputs!$F$160*BD27/BD11*Time!BD30/12*Inputs!$F$40</f>
        <v>0.186658114952109</v>
      </c>
      <c r="BE67" s="13" t="n">
        <f aca="false">Inputs!$F$160*BE27/BE11*Time!BE30/12*Inputs!$F$40</f>
        <v>0.184103733582451</v>
      </c>
      <c r="BF67" s="13" t="n">
        <f aca="false">Inputs!$F$160*BF27/BF11*Time!BF30/12*Inputs!$F$40</f>
        <v>0.181584308443779</v>
      </c>
      <c r="BG67" s="13" t="n">
        <f aca="false">Inputs!$F$160*BG27/BG11*Time!BG30/12*Inputs!$F$40</f>
        <v>0.179099361166613</v>
      </c>
      <c r="BH67" s="13" t="n">
        <f aca="false">Inputs!$F$160*BH27/BH11*Time!BH30/12*Inputs!$F$40</f>
        <v>0.176648419927873</v>
      </c>
      <c r="BI67" s="13" t="n">
        <f aca="false">Inputs!$F$160*BI27/BI11*Time!BI30/12*Inputs!$F$40</f>
        <v>0.174231019361285</v>
      </c>
      <c r="BJ67" s="13" t="n">
        <f aca="false">Inputs!$F$160*BJ27/BJ11*Time!BJ30/12*Inputs!$F$40</f>
        <v>0.17184670046903</v>
      </c>
      <c r="BK67" s="13" t="n">
        <f aca="false">Inputs!$F$160*BK27/BK11*Time!BK30/12*Inputs!$F$40</f>
        <v>0.169495010534585</v>
      </c>
      <c r="BL67" s="13" t="n">
        <f aca="false">Inputs!$F$160*BL27/BL11*Time!BL30/12*Inputs!$F$40</f>
        <v>0.16717550303677</v>
      </c>
      <c r="BM67" s="13" t="n">
        <f aca="false">Inputs!$F$160*BM27/BM11*Time!BM30/12*Inputs!$F$40</f>
        <v>0.10992515837664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19.6857069248467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0.121886711676764</v>
      </c>
      <c r="P68" s="13" t="n">
        <f aca="false">Inputs!$F$161/100*P55</f>
        <v>0.366588540143744</v>
      </c>
      <c r="Q68" s="13" t="n">
        <f aca="false">Inputs!$F$161/100*Q55</f>
        <v>0.366773256330978</v>
      </c>
      <c r="R68" s="13" t="n">
        <f aca="false">Inputs!$F$161/100*R55</f>
        <v>0.366214549095749</v>
      </c>
      <c r="S68" s="13" t="n">
        <f aca="false">Inputs!$F$161/100*S55</f>
        <v>0.367050732577175</v>
      </c>
      <c r="T68" s="13" t="n">
        <f aca="false">Inputs!$F$161/100*T55</f>
        <v>0.367774184663507</v>
      </c>
      <c r="U68" s="13" t="n">
        <f aca="false">Inputs!$F$161/100*U55</f>
        <v>0.368875504413698</v>
      </c>
      <c r="V68" s="13" t="n">
        <f aca="false">Inputs!$F$161/100*V55</f>
        <v>0.370097005042661</v>
      </c>
      <c r="W68" s="13" t="n">
        <f aca="false">Inputs!$F$161/100*W55</f>
        <v>0.371287197957893</v>
      </c>
      <c r="X68" s="13" t="n">
        <f aca="false">Inputs!$F$161/100*X55</f>
        <v>0.372648824369344</v>
      </c>
      <c r="Y68" s="13" t="n">
        <f aca="false">Inputs!$F$161/100*Y55</f>
        <v>0.373768841471855</v>
      </c>
      <c r="Z68" s="13" t="n">
        <f aca="false">Inputs!$F$161/100*Z55</f>
        <v>0.374949028616055</v>
      </c>
      <c r="AA68" s="13" t="n">
        <f aca="false">Inputs!$F$161/100*AA55</f>
        <v>0.376068771997013</v>
      </c>
      <c r="AB68" s="13" t="n">
        <f aca="false">Inputs!$F$161/100*AB55</f>
        <v>0.377209260446179</v>
      </c>
      <c r="AC68" s="13" t="n">
        <f aca="false">Inputs!$F$161/100*AC55</f>
        <v>0.377841554631039</v>
      </c>
      <c r="AD68" s="13" t="n">
        <f aca="false">Inputs!$F$161/100*AD55</f>
        <v>0.376618692267186</v>
      </c>
      <c r="AE68" s="13" t="n">
        <f aca="false">Inputs!$F$161/100*AE55</f>
        <v>0.379748100054376</v>
      </c>
      <c r="AF68" s="13" t="n">
        <f aca="false">Inputs!$F$161/100*AF55</f>
        <v>0.382165094960983</v>
      </c>
      <c r="AG68" s="13" t="n">
        <f aca="false">Inputs!$F$161/100*AG55</f>
        <v>0.383016145674984</v>
      </c>
      <c r="AH68" s="13" t="n">
        <f aca="false">Inputs!$F$161/100*AH55</f>
        <v>0.383494973981401</v>
      </c>
      <c r="AI68" s="13" t="n">
        <f aca="false">Inputs!$F$161/100*AI55</f>
        <v>0.384784925611903</v>
      </c>
      <c r="AJ68" s="13" t="n">
        <f aca="false">Inputs!$F$161/100*AJ55</f>
        <v>0.386115047143215</v>
      </c>
      <c r="AK68" s="13" t="n">
        <f aca="false">Inputs!$F$161/100*AK55</f>
        <v>0.387145052357529</v>
      </c>
      <c r="AL68" s="13" t="n">
        <f aca="false">Inputs!$F$161/100*AL55</f>
        <v>0.385550733568499</v>
      </c>
      <c r="AM68" s="13" t="n">
        <f aca="false">Inputs!$F$161/100*AM55</f>
        <v>0.3899565926256</v>
      </c>
      <c r="AN68" s="13" t="n">
        <f aca="false">Inputs!$F$161/100*AN55</f>
        <v>0.392737542816582</v>
      </c>
      <c r="AO68" s="13" t="n">
        <f aca="false">Inputs!$F$161/100*AO55</f>
        <v>0.394048090675973</v>
      </c>
      <c r="AP68" s="13" t="n">
        <f aca="false">Inputs!$F$161/100*AP55</f>
        <v>0.395287685089891</v>
      </c>
      <c r="AQ68" s="13" t="n">
        <f aca="false">Inputs!$F$161/100*AQ55</f>
        <v>0.397176178695493</v>
      </c>
      <c r="AR68" s="13" t="n">
        <f aca="false">Inputs!$F$161/100*AR55</f>
        <v>0.399541787263628</v>
      </c>
      <c r="AS68" s="13" t="n">
        <f aca="false">Inputs!$F$161/100*AS55</f>
        <v>0.399677115592352</v>
      </c>
      <c r="AT68" s="13" t="n">
        <f aca="false">Inputs!$F$161/100*AT55</f>
        <v>0.38858404948918</v>
      </c>
      <c r="AU68" s="13" t="n">
        <f aca="false">Inputs!$F$161/100*AU55</f>
        <v>0.401269867247682</v>
      </c>
      <c r="AV68" s="13" t="n">
        <f aca="false">Inputs!$F$161/100*AV55</f>
        <v>0.405448998418909</v>
      </c>
      <c r="AW68" s="13" t="n">
        <f aca="false">Inputs!$F$161/100*AW55</f>
        <v>0.406377387668561</v>
      </c>
      <c r="AX68" s="13" t="n">
        <f aca="false">Inputs!$F$161/100*AX55</f>
        <v>0.406663559390698</v>
      </c>
      <c r="AY68" s="13" t="n">
        <f aca="false">Inputs!$F$161/100*AY55</f>
        <v>0.40804666049133</v>
      </c>
      <c r="AZ68" s="13" t="n">
        <f aca="false">Inputs!$F$161/100*AZ55</f>
        <v>0.409219795249214</v>
      </c>
      <c r="BA68" s="13" t="n">
        <f aca="false">Inputs!$F$161/100*BA55</f>
        <v>0.409358431360439</v>
      </c>
      <c r="BB68" s="13" t="n">
        <f aca="false">Inputs!$F$161/100*BB55</f>
        <v>0.403229945455325</v>
      </c>
      <c r="BC68" s="13" t="n">
        <f aca="false">Inputs!$F$161/100*BC55</f>
        <v>0.414253277552896</v>
      </c>
      <c r="BD68" s="13" t="n">
        <f aca="false">Inputs!$F$161/100*BD55</f>
        <v>0.418393442551308</v>
      </c>
      <c r="BE68" s="13" t="n">
        <f aca="false">Inputs!$F$161/100*BE55</f>
        <v>0.420051139897477</v>
      </c>
      <c r="BF68" s="13" t="n">
        <f aca="false">Inputs!$F$161/100*BF55</f>
        <v>0.421627095009455</v>
      </c>
      <c r="BG68" s="13" t="n">
        <f aca="false">Inputs!$F$161/100*BG55</f>
        <v>0.422905906113653</v>
      </c>
      <c r="BH68" s="13" t="n">
        <f aca="false">Inputs!$F$161/100*BH55</f>
        <v>0.423669483355495</v>
      </c>
      <c r="BI68" s="13" t="n">
        <f aca="false">Inputs!$F$161/100*BI55</f>
        <v>0.424795324395664</v>
      </c>
      <c r="BJ68" s="13" t="n">
        <f aca="false">Inputs!$F$161/100*BJ55</f>
        <v>0.414143100139548</v>
      </c>
      <c r="BK68" s="13" t="n">
        <f aca="false">Inputs!$F$161/100*BK55</f>
        <v>0.428444904204722</v>
      </c>
      <c r="BL68" s="13" t="n">
        <f aca="false">Inputs!$F$161/100*BL55</f>
        <v>0.433091302507332</v>
      </c>
      <c r="BM68" s="13" t="n">
        <f aca="false">Inputs!$F$161/100*BM55</f>
        <v>0.290035532534515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99.1971202546055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0.614773474889733</v>
      </c>
      <c r="P69" s="13" t="n">
        <f aca="false">Inputs!$F$162*(Inputs!$F$219*P21+(1-Inputs!$F$219)*P27*Inputs!$F$153/P11)*P38/1000000</f>
        <v>1.85124911245734</v>
      </c>
      <c r="Q69" s="13" t="n">
        <f aca="false">Inputs!$F$162*(Inputs!$F$219*Q21+(1-Inputs!$F$219)*Q27*Inputs!$F$153/Q11)*Q38/1000000</f>
        <v>1.82001565955893</v>
      </c>
      <c r="R69" s="13" t="n">
        <f aca="false">Inputs!$F$162*(Inputs!$F$219*R21+(1-Inputs!$F$219)*R27*Inputs!$F$153/R11)*R38/1000000</f>
        <v>1.75065516068848</v>
      </c>
      <c r="S69" s="13" t="n">
        <f aca="false">Inputs!$F$162*(Inputs!$F$219*S21+(1-Inputs!$F$219)*S27*Inputs!$F$153/S11)*S38/1000000</f>
        <v>1.75088422230733</v>
      </c>
      <c r="T69" s="13" t="n">
        <f aca="false">Inputs!$F$162*(Inputs!$F$219*T21+(1-Inputs!$F$219)*T27*Inputs!$F$153/T11)*T38/1000000</f>
        <v>1.74473813527719</v>
      </c>
      <c r="U69" s="13" t="n">
        <f aca="false">Inputs!$F$162*(Inputs!$F$219*U21+(1-Inputs!$F$219)*U27*Inputs!$F$153/U11)*U38/1000000</f>
        <v>1.75691494183328</v>
      </c>
      <c r="V69" s="13" t="n">
        <f aca="false">Inputs!$F$162*(Inputs!$F$219*V21+(1-Inputs!$F$219)*V27*Inputs!$F$153/V11)*V38/1000000</f>
        <v>1.77442861054186</v>
      </c>
      <c r="W69" s="13" t="n">
        <f aca="false">Inputs!$F$162*(Inputs!$F$219*W21+(1-Inputs!$F$219)*W27*Inputs!$F$153/W11)*W38/1000000</f>
        <v>1.78964828737532</v>
      </c>
      <c r="X69" s="13" t="n">
        <f aca="false">Inputs!$F$162*(Inputs!$F$219*X21+(1-Inputs!$F$219)*X27*Inputs!$F$153/X11)*X38/1000000</f>
        <v>1.81277114576682</v>
      </c>
      <c r="Y69" s="13" t="n">
        <f aca="false">Inputs!$F$162*(Inputs!$F$219*Y21+(1-Inputs!$F$219)*Y27*Inputs!$F$153/Y11)*Y38/1000000</f>
        <v>1.82301141636479</v>
      </c>
      <c r="Z69" s="13" t="n">
        <f aca="false">Inputs!$F$162*(Inputs!$F$219*Z21+(1-Inputs!$F$219)*Z27*Inputs!$F$153/Z11)*Z38/1000000</f>
        <v>1.83554905037142</v>
      </c>
      <c r="AA69" s="13" t="n">
        <f aca="false">Inputs!$F$162*(Inputs!$F$219*AA21+(1-Inputs!$F$219)*AA27*Inputs!$F$153/AA11)*AA38/1000000</f>
        <v>1.84431338176908</v>
      </c>
      <c r="AB69" s="13" t="n">
        <f aca="false">Inputs!$F$162*(Inputs!$F$219*AB21+(1-Inputs!$F$219)*AB27*Inputs!$F$153/AB11)*AB38/1000000</f>
        <v>1.85338323510618</v>
      </c>
      <c r="AC69" s="13" t="n">
        <f aca="false">Inputs!$F$162*(Inputs!$F$219*AC21+(1-Inputs!$F$219)*AC27*Inputs!$F$153/AC11)*AC38/1000000</f>
        <v>1.83616839322814</v>
      </c>
      <c r="AD69" s="13" t="n">
        <f aca="false">Inputs!$F$162*(Inputs!$F$219*AD21+(1-Inputs!$F$219)*AD27*Inputs!$F$153/AD11)*AD38/1000000</f>
        <v>1.79241634665019</v>
      </c>
      <c r="AE69" s="13" t="n">
        <f aca="false">Inputs!$F$162*(Inputs!$F$219*AE21+(1-Inputs!$F$219)*AE27*Inputs!$F$153/AE11)*AE38/1000000</f>
        <v>1.83177550258557</v>
      </c>
      <c r="AF69" s="13" t="n">
        <f aca="false">Inputs!$F$162*(Inputs!$F$219*AF21+(1-Inputs!$F$219)*AF27*Inputs!$F$153/AF11)*AF38/1000000</f>
        <v>1.90197873013821</v>
      </c>
      <c r="AG69" s="13" t="n">
        <f aca="false">Inputs!$F$162*(Inputs!$F$219*AG21+(1-Inputs!$F$219)*AG27*Inputs!$F$153/AG11)*AG38/1000000</f>
        <v>1.89274956542101</v>
      </c>
      <c r="AH69" s="13" t="n">
        <f aca="false">Inputs!$F$162*(Inputs!$F$219*AH21+(1-Inputs!$F$219)*AH27*Inputs!$F$153/AH11)*AH38/1000000</f>
        <v>1.86406813499069</v>
      </c>
      <c r="AI69" s="13" t="n">
        <f aca="false">Inputs!$F$162*(Inputs!$F$219*AI21+(1-Inputs!$F$219)*AI27*Inputs!$F$153/AI11)*AI38/1000000</f>
        <v>1.87534983349736</v>
      </c>
      <c r="AJ69" s="13" t="n">
        <f aca="false">Inputs!$F$162*(Inputs!$F$219*AJ21+(1-Inputs!$F$219)*AJ27*Inputs!$F$153/AJ11)*AJ38/1000000</f>
        <v>1.88786826273623</v>
      </c>
      <c r="AK69" s="13" t="n">
        <f aca="false">Inputs!$F$162*(Inputs!$F$219*AK21+(1-Inputs!$F$219)*AK27*Inputs!$F$153/AK11)*AK38/1000000</f>
        <v>1.8845386095469</v>
      </c>
      <c r="AL69" s="13" t="n">
        <f aca="false">Inputs!$F$162*(Inputs!$F$219*AL21+(1-Inputs!$F$219)*AL27*Inputs!$F$153/AL11)*AL38/1000000</f>
        <v>1.86709918616373</v>
      </c>
      <c r="AM69" s="13" t="n">
        <f aca="false">Inputs!$F$162*(Inputs!$F$219*AM21+(1-Inputs!$F$219)*AM27*Inputs!$F$153/AM11)*AM38/1000000</f>
        <v>1.91322092880116</v>
      </c>
      <c r="AN69" s="13" t="n">
        <f aca="false">Inputs!$F$162*(Inputs!$F$219*AN21+(1-Inputs!$F$219)*AN27*Inputs!$F$153/AN11)*AN38/1000000</f>
        <v>1.99534330329297</v>
      </c>
      <c r="AO69" s="13" t="n">
        <f aca="false">Inputs!$F$162*(Inputs!$F$219*AO21+(1-Inputs!$F$219)*AO27*Inputs!$F$153/AO11)*AO38/1000000</f>
        <v>2.00288548282074</v>
      </c>
      <c r="AP69" s="13" t="n">
        <f aca="false">Inputs!$F$162*(Inputs!$F$219*AP21+(1-Inputs!$F$219)*AP27*Inputs!$F$153/AP11)*AP38/1000000</f>
        <v>2.00605597541155</v>
      </c>
      <c r="AQ69" s="13" t="n">
        <f aca="false">Inputs!$F$162*(Inputs!$F$219*AQ21+(1-Inputs!$F$219)*AQ27*Inputs!$F$153/AQ11)*AQ38/1000000</f>
        <v>2.04094366041919</v>
      </c>
      <c r="AR69" s="13" t="n">
        <f aca="false">Inputs!$F$162*(Inputs!$F$219*AR21+(1-Inputs!$F$219)*AR27*Inputs!$F$153/AR11)*AR38/1000000</f>
        <v>2.09891558736915</v>
      </c>
      <c r="AS69" s="13" t="n">
        <f aca="false">Inputs!$F$162*(Inputs!$F$219*AS21+(1-Inputs!$F$219)*AS27*Inputs!$F$153/AS11)*AS38/1000000</f>
        <v>2.04424785427674</v>
      </c>
      <c r="AT69" s="13" t="n">
        <f aca="false">Inputs!$F$162*(Inputs!$F$219*AT21+(1-Inputs!$F$219)*AT27*Inputs!$F$153/AT11)*AT38/1000000</f>
        <v>1.92046573723766</v>
      </c>
      <c r="AU69" s="13" t="n">
        <f aca="false">Inputs!$F$162*(Inputs!$F$219*AU21+(1-Inputs!$F$219)*AU27*Inputs!$F$153/AU11)*AU38/1000000</f>
        <v>1.9986933017593</v>
      </c>
      <c r="AV69" s="13" t="n">
        <f aca="false">Inputs!$F$162*(Inputs!$F$219*AV21+(1-Inputs!$F$219)*AV27*Inputs!$F$153/AV11)*AV38/1000000</f>
        <v>2.14413896627268</v>
      </c>
      <c r="AW69" s="13" t="n">
        <f aca="false">Inputs!$F$162*(Inputs!$F$219*AW21+(1-Inputs!$F$219)*AW27*Inputs!$F$153/AW11)*AW38/1000000</f>
        <v>2.12583758338342</v>
      </c>
      <c r="AX69" s="13" t="n">
        <f aca="false">Inputs!$F$162*(Inputs!$F$219*AX21+(1-Inputs!$F$219)*AX27*Inputs!$F$153/AX11)*AX38/1000000</f>
        <v>2.07450873910183</v>
      </c>
      <c r="AY69" s="13" t="n">
        <f aca="false">Inputs!$F$162*(Inputs!$F$219*AY21+(1-Inputs!$F$219)*AY27*Inputs!$F$153/AY11)*AY38/1000000</f>
        <v>2.07725868744179</v>
      </c>
      <c r="AZ69" s="13" t="n">
        <f aca="false">Inputs!$F$162*(Inputs!$F$219*AZ21+(1-Inputs!$F$219)*AZ27*Inputs!$F$153/AZ11)*AZ38/1000000</f>
        <v>2.06861456685767</v>
      </c>
      <c r="BA69" s="13" t="n">
        <f aca="false">Inputs!$F$162*(Inputs!$F$219*BA21+(1-Inputs!$F$219)*BA27*Inputs!$F$153/BA11)*BA38/1000000</f>
        <v>2.06344510656539</v>
      </c>
      <c r="BB69" s="13" t="n">
        <f aca="false">Inputs!$F$162*(Inputs!$F$219*BB21+(1-Inputs!$F$219)*BB27*Inputs!$F$153/BB11)*BB38/1000000</f>
        <v>2.03853680007967</v>
      </c>
      <c r="BC69" s="13" t="n">
        <f aca="false">Inputs!$F$162*(Inputs!$F$219*BC21+(1-Inputs!$F$219)*BC27*Inputs!$F$153/BC11)*BC38/1000000</f>
        <v>2.11313601968507</v>
      </c>
      <c r="BD69" s="13" t="n">
        <f aca="false">Inputs!$F$162*(Inputs!$F$219*BD21+(1-Inputs!$F$219)*BD27*Inputs!$F$153/BD11)*BD38/1000000</f>
        <v>2.24940133450465</v>
      </c>
      <c r="BE69" s="13" t="n">
        <f aca="false">Inputs!$F$162*(Inputs!$F$219*BE21+(1-Inputs!$F$219)*BE27*Inputs!$F$153/BE11)*BE38/1000000</f>
        <v>2.26048317851669</v>
      </c>
      <c r="BF69" s="13" t="n">
        <f aca="false">Inputs!$F$162*(Inputs!$F$219*BF21+(1-Inputs!$F$219)*BF27*Inputs!$F$153/BF11)*BF38/1000000</f>
        <v>2.26654713182461</v>
      </c>
      <c r="BG69" s="13" t="n">
        <f aca="false">Inputs!$F$162*(Inputs!$F$219*BG21+(1-Inputs!$F$219)*BG27*Inputs!$F$153/BG11)*BG38/1000000</f>
        <v>2.2568096859675</v>
      </c>
      <c r="BH69" s="13" t="n">
        <f aca="false">Inputs!$F$162*(Inputs!$F$219*BH21+(1-Inputs!$F$219)*BH27*Inputs!$F$153/BH11)*BH38/1000000</f>
        <v>2.22035757947919</v>
      </c>
      <c r="BI69" s="13" t="n">
        <f aca="false">Inputs!$F$162*(Inputs!$F$219*BI21+(1-Inputs!$F$219)*BI27*Inputs!$F$153/BI11)*BI38/1000000</f>
        <v>2.20108478530252</v>
      </c>
      <c r="BJ69" s="13" t="n">
        <f aca="false">Inputs!$F$162*(Inputs!$F$219*BJ21+(1-Inputs!$F$219)*BJ27*Inputs!$F$153/BJ11)*BJ38/1000000</f>
        <v>2.1454072391697</v>
      </c>
      <c r="BK69" s="13" t="n">
        <f aca="false">Inputs!$F$162*(Inputs!$F$219*BK21+(1-Inputs!$F$219)*BK27*Inputs!$F$153/BK11)*BK38/1000000</f>
        <v>2.2295779839706</v>
      </c>
      <c r="BL69" s="13" t="n">
        <f aca="false">Inputs!$F$162*(Inputs!$F$219*BL21+(1-Inputs!$F$219)*BL27*Inputs!$F$153/BL11)*BL38/1000000</f>
        <v>2.38345606603127</v>
      </c>
      <c r="BM69" s="13" t="n">
        <f aca="false">Inputs!$F$162*(Inputs!$F$219*BM21+(1-Inputs!$F$219)*BM27*Inputs!$F$153/BM11)*BM38/1000000</f>
        <v>1.60139856979701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960.866282210114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5.42388396607167</v>
      </c>
      <c r="P72" s="13" t="n">
        <f aca="false">P60+P61+P62+P64+P65+P66+P67+P68+P69+P70+P71</f>
        <v>16.3726236288382</v>
      </c>
      <c r="Q72" s="13" t="n">
        <f aca="false">Q60+Q61+Q62+Q64+Q65+Q66+Q67+Q68+Q69+Q70+Q71</f>
        <v>16.4364968033707</v>
      </c>
      <c r="R72" s="13" t="n">
        <f aca="false">R60+R61+R62+R64+R65+R66+R67+R68+R69+R70+R71</f>
        <v>16.1741407806782</v>
      </c>
      <c r="S72" s="13" t="n">
        <f aca="false">S60+S61+S62+S64+S65+S66+S67+S68+S69+S70+S71</f>
        <v>16.2325793317991</v>
      </c>
      <c r="T72" s="13" t="n">
        <f aca="false">T60+T61+T62+T64+T65+T66+T67+T68+T69+T70+T71</f>
        <v>16.2470555709315</v>
      </c>
      <c r="U72" s="13" t="n">
        <f aca="false">U60+U61+U62+U64+U65+U66+U67+U68+U69+U70+U71</f>
        <v>16.3879102655714</v>
      </c>
      <c r="V72" s="13" t="n">
        <f aca="false">V60+V61+V62+V64+V65+V66+V67+V68+V69+V70+V71</f>
        <v>16.5668346711981</v>
      </c>
      <c r="W72" s="13" t="n">
        <f aca="false">W60+W61+W62+W64+W65+W66+W67+W68+W69+W70+W71</f>
        <v>16.7309626421245</v>
      </c>
      <c r="X72" s="13" t="n">
        <f aca="false">X60+X61+X62+X64+X65+X66+X67+X68+X69+X70+X71</f>
        <v>16.9518493037306</v>
      </c>
      <c r="Y72" s="13" t="n">
        <f aca="false">Y60+Y61+Y62+Y64+Y65+Y66+Y67+Y68+Y69+Y70+Y71</f>
        <v>17.0831201054811</v>
      </c>
      <c r="Z72" s="13" t="n">
        <f aca="false">Z60+Z61+Z62+Z64+Z65+Z66+Z67+Z68+Z69+Z70+Z71</f>
        <v>17.231392231434</v>
      </c>
      <c r="AA72" s="13" t="n">
        <f aca="false">AA60+AA61+AA62+AA64+AA65+AA66+AA67+AA68+AA69+AA70+AA71</f>
        <v>17.3534376712987</v>
      </c>
      <c r="AB72" s="13" t="n">
        <f aca="false">AB60+AB61+AB62+AB64+AB65+AB66+AB67+AB68+AB69+AB70+AB71</f>
        <v>17.478171993392</v>
      </c>
      <c r="AC72" s="13" t="n">
        <f aca="false">AC60+AC61+AC62+AC64+AC65+AC66+AC67+AC68+AC69+AC70+AC71</f>
        <v>17.4132409270041</v>
      </c>
      <c r="AD72" s="13" t="n">
        <f aca="false">AD60+AD61+AD62+AD64+AD65+AD66+AD67+AD68+AD69+AD70+AD71</f>
        <v>17.1525740362351</v>
      </c>
      <c r="AE72" s="13" t="n">
        <f aca="false">AE60+AE61+AE62+AE64+AE65+AE66+AE67+AE68+AE69+AE70+AE71</f>
        <v>17.4985714939899</v>
      </c>
      <c r="AF72" s="13" t="n">
        <f aca="false">AF60+AF61+AF62+AF64+AF65+AF66+AF67+AF68+AF69+AF70+AF71</f>
        <v>18.0723584761062</v>
      </c>
      <c r="AG72" s="13" t="n">
        <f aca="false">AG60+AG61+AG62+AG64+AG65+AG66+AG67+AG68+AG69+AG70+AG71</f>
        <v>18.0648459355372</v>
      </c>
      <c r="AH72" s="13" t="n">
        <f aca="false">AH60+AH61+AH62+AH64+AH65+AH66+AH67+AH68+AH69+AH70+AH71</f>
        <v>17.9122754625449</v>
      </c>
      <c r="AI72" s="13" t="n">
        <f aca="false">AI60+AI61+AI62+AI64+AI65+AI66+AI67+AI68+AI69+AI70+AI71</f>
        <v>18.0551444782226</v>
      </c>
      <c r="AJ72" s="13" t="n">
        <f aca="false">AJ60+AJ61+AJ62+AJ64+AJ65+AJ66+AJ67+AJ68+AJ69+AJ70+AJ71</f>
        <v>18.2078341136856</v>
      </c>
      <c r="AK72" s="13" t="n">
        <f aca="false">AK60+AK61+AK62+AK64+AK65+AK66+AK67+AK68+AK69+AK70+AK71</f>
        <v>18.2420580219698</v>
      </c>
      <c r="AL72" s="13" t="n">
        <f aca="false">AL60+AL61+AL62+AL64+AL65+AL66+AL67+AL68+AL69+AL70+AL71</f>
        <v>18.1669827495833</v>
      </c>
      <c r="AM72" s="13" t="n">
        <f aca="false">AM60+AM61+AM62+AM64+AM65+AM66+AM67+AM68+AM69+AM70+AM71</f>
        <v>18.5771507198786</v>
      </c>
      <c r="AN72" s="13" t="n">
        <f aca="false">AN60+AN61+AN62+AN64+AN65+AN66+AN67+AN68+AN69+AN70+AN71</f>
        <v>19.261854667837</v>
      </c>
      <c r="AO72" s="13" t="n">
        <f aca="false">AO60+AO61+AO62+AO64+AO65+AO66+AO67+AO68+AO69+AO70+AO71</f>
        <v>19.3813735000927</v>
      </c>
      <c r="AP72" s="13" t="n">
        <f aca="false">AP60+AP61+AP62+AP64+AP65+AP66+AP67+AP68+AP69+AP70+AP71</f>
        <v>19.4675566258378</v>
      </c>
      <c r="AQ72" s="13" t="n">
        <f aca="false">AQ60+AQ61+AQ62+AQ64+AQ65+AQ66+AQ67+AQ68+AQ69+AQ70+AQ71</f>
        <v>19.798190029048</v>
      </c>
      <c r="AR72" s="13" t="n">
        <f aca="false">AR60+AR61+AR62+AR64+AR65+AR66+AR67+AR68+AR69+AR70+AR71</f>
        <v>20.0329571299201</v>
      </c>
      <c r="AS72" s="13" t="n">
        <f aca="false">AS60+AS61+AS62+AS64+AS65+AS66+AS67+AS68+AS69+AS70+AS71</f>
        <v>19.9486439042144</v>
      </c>
      <c r="AT72" s="13" t="n">
        <f aca="false">AT60+AT61+AT62+AT64+AT65+AT66+AT67+AT68+AT69+AT70+AT71</f>
        <v>19.253355854138</v>
      </c>
      <c r="AU72" s="13" t="n">
        <f aca="false">AU60+AU61+AU62+AU64+AU65+AU66+AU67+AU68+AU69+AU70+AU71</f>
        <v>19.7159081628532</v>
      </c>
      <c r="AV72" s="13" t="n">
        <f aca="false">AV60+AV61+AV62+AV64+AV65+AV66+AV67+AV68+AV69+AV70+AV71</f>
        <v>20.6975398848143</v>
      </c>
      <c r="AW72" s="13" t="n">
        <f aca="false">AW60+AW61+AW62+AW64+AW65+AW66+AW67+AW68+AW69+AW70+AW71</f>
        <v>20.8390406104229</v>
      </c>
      <c r="AX72" s="13" t="n">
        <f aca="false">AX60+AX61+AX62+AX64+AX65+AX66+AX67+AX68+AX69+AX70+AX71</f>
        <v>20.4962625241118</v>
      </c>
      <c r="AY72" s="13" t="n">
        <f aca="false">AY60+AY61+AY62+AY64+AY65+AY66+AY67+AY68+AY69+AY70+AY71</f>
        <v>20.5798561276437</v>
      </c>
      <c r="AZ72" s="13" t="n">
        <f aca="false">AZ60+AZ61+AZ62+AZ64+AZ65+AZ66+AZ67+AZ68+AZ69+AZ70+AZ71</f>
        <v>20.5725206252082</v>
      </c>
      <c r="BA72" s="13" t="n">
        <f aca="false">BA60+BA61+BA62+BA64+BA65+BA66+BA67+BA68+BA69+BA70+BA71</f>
        <v>20.5911547738606</v>
      </c>
      <c r="BB72" s="13" t="n">
        <f aca="false">BB60+BB61+BB62+BB64+BB65+BB66+BB67+BB68+BB69+BB70+BB71</f>
        <v>20.6031774522652</v>
      </c>
      <c r="BC72" s="13" t="n">
        <f aca="false">BC60+BC61+BC62+BC64+BC65+BC66+BC67+BC68+BC69+BC70+BC71</f>
        <v>21.1137913622654</v>
      </c>
      <c r="BD72" s="13" t="n">
        <f aca="false">BD60+BD61+BD62+BD64+BD65+BD66+BD67+BD68+BD69+BD70+BD71</f>
        <v>22.1504242560827</v>
      </c>
      <c r="BE72" s="13" t="n">
        <f aca="false">BE60+BE61+BE62+BE64+BE65+BE66+BE67+BE68+BE69+BE70+BE71</f>
        <v>22.3404561548564</v>
      </c>
      <c r="BF72" s="13" t="n">
        <f aca="false">BF60+BF61+BF62+BF64+BF65+BF66+BF67+BF68+BF69+BF70+BF71</f>
        <v>22.527776248595</v>
      </c>
      <c r="BG72" s="13" t="n">
        <f aca="false">BG60+BG61+BG62+BG64+BG65+BG66+BG67+BG68+BG69+BG70+BG71</f>
        <v>22.5311639212905</v>
      </c>
      <c r="BH72" s="13" t="n">
        <f aca="false">BH60+BH61+BH62+BH64+BH65+BH66+BH67+BH68+BH69+BH70+BH71</f>
        <v>22.2972943791454</v>
      </c>
      <c r="BI72" s="13" t="n">
        <f aca="false">BI60+BI61+BI62+BI64+BI65+BI66+BI67+BI68+BI69+BI70+BI71</f>
        <v>22.2023924476806</v>
      </c>
      <c r="BJ72" s="13" t="n">
        <f aca="false">BJ60+BJ61+BJ62+BJ64+BJ65+BJ66+BJ67+BJ68+BJ69+BJ70+BJ71</f>
        <v>22.0798799769402</v>
      </c>
      <c r="BK72" s="13" t="n">
        <f aca="false">BK60+BK61+BK62+BK64+BK65+BK66+BK67+BK68+BK69+BK70+BK71</f>
        <v>22.5626398317883</v>
      </c>
      <c r="BL72" s="13" t="n">
        <f aca="false">BL60+BL61+BL62+BL64+BL65+BL66+BL67+BL68+BL69+BL70+BL71</f>
        <v>23.7855155995457</v>
      </c>
      <c r="BM72" s="13" t="n">
        <f aca="false">BM60+BM61+BM62+BM64+BM65+BM66+BM67+BM68+BM69+BM70+BM71</f>
        <v>16.0020607789784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4258.0740739138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23.5354277453132</v>
      </c>
      <c r="P73" s="13" t="n">
        <f aca="false">P42*P41/1000000</f>
        <v>70.5959098756099</v>
      </c>
      <c r="Q73" s="13" t="n">
        <f aca="false">Q42*Q41/1000000</f>
        <v>70.5216817726465</v>
      </c>
      <c r="R73" s="13" t="n">
        <f aca="false">R42*R41/1000000</f>
        <v>67.5662296743579</v>
      </c>
      <c r="S73" s="13" t="n">
        <f aca="false">S42*S41/1000000</f>
        <v>68.6463853920509</v>
      </c>
      <c r="T73" s="13" t="n">
        <f aca="false">T42*T41/1000000</f>
        <v>68.1195166088116</v>
      </c>
      <c r="U73" s="13" t="n">
        <f aca="false">U42*U41/1000000</f>
        <v>69.6664921786023</v>
      </c>
      <c r="V73" s="13" t="n">
        <f aca="false">V42*V41/1000000</f>
        <v>70.0510674675935</v>
      </c>
      <c r="W73" s="13" t="n">
        <f aca="false">W42*W41/1000000</f>
        <v>71.7396098895917</v>
      </c>
      <c r="X73" s="13" t="n">
        <f aca="false">X42*X41/1000000</f>
        <v>72.3305469727528</v>
      </c>
      <c r="Y73" s="13" t="n">
        <f aca="false">Y42*Y41/1000000</f>
        <v>73.8429305796124</v>
      </c>
      <c r="Z73" s="13" t="n">
        <f aca="false">Z42*Z41/1000000</f>
        <v>73.9911700302091</v>
      </c>
      <c r="AA73" s="13" t="n">
        <f aca="false">AA42*AA41/1000000</f>
        <v>75.4566551848064</v>
      </c>
      <c r="AB73" s="13" t="n">
        <f aca="false">AB42*AB41/1000000</f>
        <v>75.4452401033796</v>
      </c>
      <c r="AC73" s="13" t="n">
        <f aca="false">AC42*AC41/1000000</f>
        <v>75.8470552999097</v>
      </c>
      <c r="AD73" s="13" t="n">
        <f aca="false">AD42*AD41/1000000</f>
        <v>73.6513680884204</v>
      </c>
      <c r="AE73" s="13" t="n">
        <f aca="false">AE42*AE41/1000000</f>
        <v>76.3636973711266</v>
      </c>
      <c r="AF73" s="13" t="n">
        <f aca="false">AF42*AF41/1000000</f>
        <v>78.8588594884205</v>
      </c>
      <c r="AG73" s="13" t="n">
        <f aca="false">AG42*AG41/1000000</f>
        <v>79.6024527689373</v>
      </c>
      <c r="AH73" s="13" t="n">
        <f aca="false">AH42*AH41/1000000</f>
        <v>77.9546705052871</v>
      </c>
      <c r="AI73" s="13" t="n">
        <f aca="false">AI42*AI41/1000000</f>
        <v>79.5370144111524</v>
      </c>
      <c r="AJ73" s="13" t="n">
        <f aca="false">AJ42*AJ41/1000000</f>
        <v>79.602215491381</v>
      </c>
      <c r="AK73" s="13" t="n">
        <f aca="false">AK42*AK41/1000000</f>
        <v>80.5723064288716</v>
      </c>
      <c r="AL73" s="13" t="n">
        <f aca="false">AL42*AL41/1000000</f>
        <v>79.348096265867</v>
      </c>
      <c r="AM73" s="13" t="n">
        <f aca="false">AM42*AM41/1000000</f>
        <v>82.4298757767978</v>
      </c>
      <c r="AN73" s="13" t="n">
        <f aca="false">AN42*AN41/1000000</f>
        <v>85.4377595043992</v>
      </c>
      <c r="AO73" s="13" t="n">
        <f aca="false">AO42*AO41/1000000</f>
        <v>86.9289216845421</v>
      </c>
      <c r="AP73" s="13" t="n">
        <f aca="false">AP42*AP41/1000000</f>
        <v>86.514854015902</v>
      </c>
      <c r="AQ73" s="13" t="n">
        <f aca="false">AQ42*AQ41/1000000</f>
        <v>89.2036359876882</v>
      </c>
      <c r="AR73" s="13" t="n">
        <f aca="false">AR42*AR41/1000000</f>
        <v>91.1412796063527</v>
      </c>
      <c r="AS73" s="13" t="n">
        <f aca="false">AS42*AS41/1000000</f>
        <v>89.9472606020013</v>
      </c>
      <c r="AT73" s="13" t="n">
        <f aca="false">AT42*AT41/1000000</f>
        <v>83.9384742017551</v>
      </c>
      <c r="AU73" s="13" t="n">
        <f aca="false">AU42*AU41/1000000</f>
        <v>88.5049537208924</v>
      </c>
      <c r="AV73" s="13" t="n">
        <f aca="false">AV42*AV41/1000000</f>
        <v>94.2992627689024</v>
      </c>
      <c r="AW73" s="13" t="n">
        <f aca="false">AW42*AW41/1000000</f>
        <v>94.7081467935858</v>
      </c>
      <c r="AX73" s="13" t="n">
        <f aca="false">AX42*AX41/1000000</f>
        <v>91.7788437338298</v>
      </c>
      <c r="AY73" s="13" t="n">
        <f aca="false">AY42*AY41/1000000</f>
        <v>93.0801386268356</v>
      </c>
      <c r="AZ73" s="13" t="n">
        <f aca="false">AZ42*AZ41/1000000</f>
        <v>92.0352972626483</v>
      </c>
      <c r="BA73" s="13" t="n">
        <f aca="false">BA42*BA41/1000000</f>
        <v>92.970750085339</v>
      </c>
      <c r="BB73" s="13" t="n">
        <f aca="false">BB42*BB41/1000000</f>
        <v>91.1844776621542</v>
      </c>
      <c r="BC73" s="13" t="n">
        <f aca="false">BC42*BC41/1000000</f>
        <v>95.7083888287376</v>
      </c>
      <c r="BD73" s="13" t="n">
        <f aca="false">BD42*BD41/1000000</f>
        <v>101.130261686849</v>
      </c>
      <c r="BE73" s="13" t="n">
        <f aca="false">BE42*BE41/1000000</f>
        <v>102.891475841376</v>
      </c>
      <c r="BF73" s="13" t="n">
        <f aca="false">BF42*BF41/1000000</f>
        <v>102.395126029695</v>
      </c>
      <c r="BG73" s="13" t="n">
        <f aca="false">BG42*BG41/1000000</f>
        <v>103.209390875032</v>
      </c>
      <c r="BH73" s="13" t="n">
        <f aca="false">BH42*BH41/1000000</f>
        <v>100.769810650072</v>
      </c>
      <c r="BI73" s="13" t="n">
        <f aca="false">BI42*BI41/1000000</f>
        <v>101.111807583352</v>
      </c>
      <c r="BJ73" s="13" t="n">
        <f aca="false">BJ42*BJ41/1000000</f>
        <v>97.7928071704686</v>
      </c>
      <c r="BK73" s="13" t="n">
        <f aca="false">BK42*BK41/1000000</f>
        <v>102.855429826119</v>
      </c>
      <c r="BL73" s="13" t="n">
        <f aca="false">BL42*BL41/1000000</f>
        <v>109.092412082712</v>
      </c>
      <c r="BM73" s="13" t="n">
        <f aca="false">BM42*BM41/1000000</f>
        <v>74.1666317110529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5117.89770652163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28.1036939348265</v>
      </c>
      <c r="P74" s="13" t="n">
        <f aca="false">P73+P52+P53+P54</f>
        <v>84.3629399656399</v>
      </c>
      <c r="Q74" s="13" t="n">
        <f aca="false">Q73+Q52+Q53+Q54</f>
        <v>84.2574654312114</v>
      </c>
      <c r="R74" s="13" t="n">
        <f aca="false">R73+R52+R53+R54</f>
        <v>81.4320138146245</v>
      </c>
      <c r="S74" s="13" t="n">
        <f aca="false">S73+S52+S53+S54</f>
        <v>82.484257548242</v>
      </c>
      <c r="T74" s="13" t="n">
        <f aca="false">T73+T52+T53+T54</f>
        <v>82.9662455137489</v>
      </c>
      <c r="U74" s="13" t="n">
        <f aca="false">U73+U52+U53+U54</f>
        <v>83.7662459034356</v>
      </c>
      <c r="V74" s="13" t="n">
        <f aca="false">V73+V52+V53+V54</f>
        <v>84.5734154489997</v>
      </c>
      <c r="W74" s="13" t="n">
        <f aca="false">W73+W52+W53+W54</f>
        <v>86.0057535289125</v>
      </c>
      <c r="X74" s="13" t="n">
        <f aca="false">X73+X52+X53+X54</f>
        <v>86.8144088878055</v>
      </c>
      <c r="Y74" s="13" t="n">
        <f aca="false">Y73+Y52+Y53+Y54</f>
        <v>88.3439066209172</v>
      </c>
      <c r="Z74" s="13" t="n">
        <f aca="false">Z73+Z52+Z53+Z54</f>
        <v>88.6989613405538</v>
      </c>
      <c r="AA74" s="13" t="n">
        <f aca="false">AA73+AA52+AA53+AA54</f>
        <v>90.1793915185362</v>
      </c>
      <c r="AB74" s="13" t="n">
        <f aca="false">AB73+AB52+AB53+AB54</f>
        <v>90.3728494022386</v>
      </c>
      <c r="AC74" s="13" t="n">
        <f aca="false">AC73+AC52+AC53+AC54</f>
        <v>90.8255342934573</v>
      </c>
      <c r="AD74" s="13" t="n">
        <f aca="false">AD73+AD52+AD53+AD54</f>
        <v>91.1777979031218</v>
      </c>
      <c r="AE74" s="13" t="n">
        <f aca="false">AE73+AE52+AE53+AE54</f>
        <v>91.4866982404861</v>
      </c>
      <c r="AF74" s="13" t="n">
        <f aca="false">AF73+AF52+AF53+AF54</f>
        <v>94.2488869323829</v>
      </c>
      <c r="AG74" s="13" t="n">
        <f aca="false">AG73+AG52+AG53+AG54</f>
        <v>94.9832493342853</v>
      </c>
      <c r="AH74" s="13" t="n">
        <f aca="false">AH73+AH52+AH53+AH54</f>
        <v>94.7488374175322</v>
      </c>
      <c r="AI74" s="13" t="n">
        <f aca="false">AI73+AI52+AI53+AI54</f>
        <v>95.0981076035599</v>
      </c>
      <c r="AJ74" s="13" t="n">
        <f aca="false">AJ73+AJ52+AJ53+AJ54</f>
        <v>96.5687794169604</v>
      </c>
      <c r="AK74" s="13" t="n">
        <f aca="false">AK73+AK52+AK53+AK54</f>
        <v>97.3593418453101</v>
      </c>
      <c r="AL74" s="13" t="n">
        <f aca="false">AL73+AL52+AL53+AL54</f>
        <v>98.3653715573523</v>
      </c>
      <c r="AM74" s="13" t="n">
        <f aca="false">AM73+AM52+AM53+AM54</f>
        <v>98.7030805875827</v>
      </c>
      <c r="AN74" s="13" t="n">
        <f aca="false">AN73+AN52+AN53+AN54</f>
        <v>101.774534841204</v>
      </c>
      <c r="AO74" s="13" t="n">
        <f aca="false">AO73+AO52+AO53+AO54</f>
        <v>103.276456825021</v>
      </c>
      <c r="AP74" s="13" t="n">
        <f aca="false">AP73+AP52+AP53+AP54</f>
        <v>103.077749102225</v>
      </c>
      <c r="AQ74" s="13" t="n">
        <f aca="false">AQ73+AQ52+AQ53+AQ54</f>
        <v>105.81237423567</v>
      </c>
      <c r="AR74" s="13" t="n">
        <f aca="false">AR73+AR52+AR53+AR54</f>
        <v>108.038994223146</v>
      </c>
      <c r="AS74" s="13" t="n">
        <f aca="false">AS73+AS52+AS53+AS54</f>
        <v>106.852469195715</v>
      </c>
      <c r="AT74" s="13" t="n">
        <f aca="false">AT73+AT52+AT53+AT54</f>
        <v>106.079663520043</v>
      </c>
      <c r="AU74" s="13" t="n">
        <f aca="false">AU73+AU52+AU53+AU54</f>
        <v>106.480574482172</v>
      </c>
      <c r="AV74" s="13" t="n">
        <f aca="false">AV73+AV52+AV53+AV54</f>
        <v>111.692231841608</v>
      </c>
      <c r="AW74" s="13" t="n">
        <f aca="false">AW73+AW52+AW53+AW54</f>
        <v>112.076854010094</v>
      </c>
      <c r="AX74" s="13" t="n">
        <f aca="false">AX73+AX52+AX53+AX54</f>
        <v>110.324249936876</v>
      </c>
      <c r="AY74" s="13" t="n">
        <f aca="false">AY73+AY52+AY53+AY54</f>
        <v>110.63881285983</v>
      </c>
      <c r="AZ74" s="13" t="n">
        <f aca="false">AZ73+AZ52+AZ53+AZ54</f>
        <v>112.396932951741</v>
      </c>
      <c r="BA74" s="13" t="n">
        <f aca="false">BA73+BA52+BA53+BA54</f>
        <v>113.314341242634</v>
      </c>
      <c r="BB74" s="13" t="n">
        <f aca="false">BB73+BB52+BB53+BB54</f>
        <v>114.477840763974</v>
      </c>
      <c r="BC74" s="13" t="n">
        <f aca="false">BC73+BC52+BC53+BC54</f>
        <v>114.897505392571</v>
      </c>
      <c r="BD74" s="13" t="n">
        <f aca="false">BD73+BD52+BD53+BD54</f>
        <v>119.56323802366</v>
      </c>
      <c r="BE74" s="13" t="n">
        <f aca="false">BE73+BE52+BE53+BE54</f>
        <v>121.336833063014</v>
      </c>
      <c r="BF74" s="13" t="n">
        <f aca="false">BF73+BF52+BF53+BF54</f>
        <v>121.082761790106</v>
      </c>
      <c r="BG74" s="13" t="n">
        <f aca="false">BG73+BG52+BG53+BG54</f>
        <v>121.881536485247</v>
      </c>
      <c r="BH74" s="13" t="n">
        <f aca="false">BH73+BH52+BH53+BH54</f>
        <v>121.321190011075</v>
      </c>
      <c r="BI74" s="13" t="n">
        <f aca="false">BI73+BI52+BI53+BI54</f>
        <v>122.293373152723</v>
      </c>
      <c r="BJ74" s="13" t="n">
        <f aca="false">BJ73+BJ52+BJ53+BJ54</f>
        <v>123.510845618592</v>
      </c>
      <c r="BK74" s="13" t="n">
        <f aca="false">BK73+BK52+BK53+BK54</f>
        <v>123.967951294447</v>
      </c>
      <c r="BL74" s="13" t="n">
        <f aca="false">BL73+BL52+BL53+BL54</f>
        <v>128.645875059344</v>
      </c>
      <c r="BM74" s="13" t="n">
        <f aca="false">BM73+BM52+BM53+BM54</f>
        <v>87.1552826071771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0.0952539316285394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0.0845020804084016</v>
      </c>
      <c r="Q75" s="13" t="n">
        <f aca="false">SUMIFS(Construction!$J$38:$BJ$38,Construction!$J$12:$BJ$12,Time!Q20,Construction!$J$8:$BJ$8,"&gt;"&amp;Time!$F$14)</f>
        <v>0.0107518512201377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6149.62649801089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33.5275779008982</v>
      </c>
      <c r="P83" s="13" t="n">
        <f aca="false">P72+P74+P75+P76+P79+P82</f>
        <v>100.820065674886</v>
      </c>
      <c r="Q83" s="13" t="n">
        <f aca="false">Q72+Q74+Q75+Q76+Q79+Q82</f>
        <v>100.704714085802</v>
      </c>
      <c r="R83" s="13" t="n">
        <f aca="false">R72+R74+R75+R76+R79+R82</f>
        <v>97.6061545953027</v>
      </c>
      <c r="S83" s="13" t="n">
        <f aca="false">S72+S74+S75+S76+S79+S82</f>
        <v>98.7168368800411</v>
      </c>
      <c r="T83" s="13" t="n">
        <f aca="false">T72+T74+T75+T76+T79+T82</f>
        <v>99.2133010846805</v>
      </c>
      <c r="U83" s="13" t="n">
        <f aca="false">U72+U74+U75+U76+U79+U82</f>
        <v>100.154156169007</v>
      </c>
      <c r="V83" s="13" t="n">
        <f aca="false">V72+V74+V75+V76+V79+V82</f>
        <v>103.637859934927</v>
      </c>
      <c r="W83" s="13" t="n">
        <f aca="false">W72+W74+W75+W76+W79+W82</f>
        <v>102.736716171037</v>
      </c>
      <c r="X83" s="13" t="n">
        <f aca="false">X72+X74+X75+X76+X79+X82</f>
        <v>103.766258191536</v>
      </c>
      <c r="Y83" s="13" t="n">
        <f aca="false">Y72+Y74+Y75+Y76+Y79+Y82</f>
        <v>105.427026726398</v>
      </c>
      <c r="Z83" s="13" t="n">
        <f aca="false">Z72+Z74+Z75+Z76+Z79+Z82</f>
        <v>105.930353571988</v>
      </c>
      <c r="AA83" s="13" t="n">
        <f aca="false">AA72+AA74+AA75+AA76+AA79+AA82</f>
        <v>107.532829189835</v>
      </c>
      <c r="AB83" s="13" t="n">
        <f aca="false">AB72+AB74+AB75+AB76+AB79+AB82</f>
        <v>107.851021395631</v>
      </c>
      <c r="AC83" s="13" t="n">
        <f aca="false">AC72+AC74+AC75+AC76+AC79+AC82</f>
        <v>108.238775220461</v>
      </c>
      <c r="AD83" s="13" t="n">
        <f aca="false">AD72+AD74+AD75+AD76+AD79+AD82</f>
        <v>120.166827201158</v>
      </c>
      <c r="AE83" s="13" t="n">
        <f aca="false">AE72+AE74+AE75+AE76+AE79+AE82</f>
        <v>108.985269734476</v>
      </c>
      <c r="AF83" s="13" t="n">
        <f aca="false">AF72+AF74+AF75+AF76+AF79+AF82</f>
        <v>112.321245408489</v>
      </c>
      <c r="AG83" s="13" t="n">
        <f aca="false">AG72+AG74+AG75+AG76+AG79+AG82</f>
        <v>113.048095269822</v>
      </c>
      <c r="AH83" s="13" t="n">
        <f aca="false">AH72+AH74+AH75+AH76+AH79+AH82</f>
        <v>112.661112880077</v>
      </c>
      <c r="AI83" s="13" t="n">
        <f aca="false">AI72+AI74+AI75+AI76+AI79+AI82</f>
        <v>113.153252081783</v>
      </c>
      <c r="AJ83" s="13" t="n">
        <f aca="false">AJ72+AJ74+AJ75+AJ76+AJ79+AJ82</f>
        <v>114.776613530646</v>
      </c>
      <c r="AK83" s="13" t="n">
        <f aca="false">AK72+AK74+AK75+AK76+AK79+AK82</f>
        <v>115.60139986728</v>
      </c>
      <c r="AL83" s="13" t="n">
        <f aca="false">AL72+AL74+AL75+AL76+AL79+AL82</f>
        <v>119.504922036431</v>
      </c>
      <c r="AM83" s="13" t="n">
        <f aca="false">AM72+AM74+AM75+AM76+AM79+AM82</f>
        <v>117.280231307461</v>
      </c>
      <c r="AN83" s="13" t="n">
        <f aca="false">AN72+AN74+AN75+AN76+AN79+AN82</f>
        <v>121.036389509041</v>
      </c>
      <c r="AO83" s="13" t="n">
        <f aca="false">AO72+AO74+AO75+AO76+AO79+AO82</f>
        <v>122.657830325114</v>
      </c>
      <c r="AP83" s="13" t="n">
        <f aca="false">AP72+AP74+AP75+AP76+AP79+AP82</f>
        <v>122.545305728063</v>
      </c>
      <c r="AQ83" s="13" t="n">
        <f aca="false">AQ72+AQ74+AQ75+AQ76+AQ79+AQ82</f>
        <v>125.610564264718</v>
      </c>
      <c r="AR83" s="13" t="n">
        <f aca="false">AR72+AR74+AR75+AR76+AR79+AR82</f>
        <v>128.071951353066</v>
      </c>
      <c r="AS83" s="13" t="n">
        <f aca="false">AS72+AS74+AS75+AS76+AS79+AS82</f>
        <v>126.80111309993</v>
      </c>
      <c r="AT83" s="13" t="n">
        <f aca="false">AT72+AT74+AT75+AT76+AT79+AT82</f>
        <v>139.420353887102</v>
      </c>
      <c r="AU83" s="13" t="n">
        <f aca="false">AU72+AU74+AU75+AU76+AU79+AU82</f>
        <v>126.196482645025</v>
      </c>
      <c r="AV83" s="13" t="n">
        <f aca="false">AV72+AV74+AV75+AV76+AV79+AV82</f>
        <v>132.389771726422</v>
      </c>
      <c r="AW83" s="13" t="n">
        <f aca="false">AW72+AW74+AW75+AW76+AW79+AW82</f>
        <v>132.915894620517</v>
      </c>
      <c r="AX83" s="13" t="n">
        <f aca="false">AX72+AX74+AX75+AX76+AX79+AX82</f>
        <v>130.820512460988</v>
      </c>
      <c r="AY83" s="13" t="n">
        <f aca="false">AY72+AY74+AY75+AY76+AY79+AY82</f>
        <v>131.218668987474</v>
      </c>
      <c r="AZ83" s="13" t="n">
        <f aca="false">AZ72+AZ74+AZ75+AZ76+AZ79+AZ82</f>
        <v>132.969453576949</v>
      </c>
      <c r="BA83" s="13" t="n">
        <f aca="false">BA72+BA74+BA75+BA76+BA79+BA82</f>
        <v>133.905496016495</v>
      </c>
      <c r="BB83" s="13" t="n">
        <f aca="false">BB72+BB74+BB75+BB76+BB79+BB82</f>
        <v>138.618864221779</v>
      </c>
      <c r="BC83" s="13" t="n">
        <f aca="false">BC72+BC74+BC75+BC76+BC79+BC82</f>
        <v>136.011296754837</v>
      </c>
      <c r="BD83" s="13" t="n">
        <f aca="false">BD72+BD74+BD75+BD76+BD79+BD82</f>
        <v>141.713662279743</v>
      </c>
      <c r="BE83" s="13" t="n">
        <f aca="false">BE72+BE74+BE75+BE76+BE79+BE82</f>
        <v>143.677289217871</v>
      </c>
      <c r="BF83" s="13" t="n">
        <f aca="false">BF72+BF74+BF75+BF76+BF79+BF82</f>
        <v>143.610538038701</v>
      </c>
      <c r="BG83" s="13" t="n">
        <f aca="false">BG72+BG74+BG75+BG76+BG79+BG82</f>
        <v>144.412700406537</v>
      </c>
      <c r="BH83" s="13" t="n">
        <f aca="false">BH72+BH74+BH75+BH76+BH79+BH82</f>
        <v>143.618484390221</v>
      </c>
      <c r="BI83" s="13" t="n">
        <f aca="false">BI72+BI74+BI75+BI76+BI79+BI82</f>
        <v>144.495765600403</v>
      </c>
      <c r="BJ83" s="13" t="n">
        <f aca="false">BJ72+BJ74+BJ75+BJ76+BJ79+BJ82</f>
        <v>162.35697776221</v>
      </c>
      <c r="BK83" s="13" t="n">
        <f aca="false">BK72+BK74+BK75+BK76+BK79+BK82</f>
        <v>146.530591126235</v>
      </c>
      <c r="BL83" s="13" t="n">
        <f aca="false">BL72+BL74+BL75+BL76+BL79+BL82</f>
        <v>152.43139065889</v>
      </c>
      <c r="BM83" s="13" t="n">
        <f aca="false">BM72+BM74+BM75+BM76+BM79+BM82</f>
        <v>122.22653324251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2552.13672372791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16.7816407935942</v>
      </c>
      <c r="P84" s="13" t="n">
        <f aca="false">P56-P83+P58</f>
        <v>50.3268148167751</v>
      </c>
      <c r="Q84" s="13" t="n">
        <f aca="false">Q56-Q83+Q58</f>
        <v>50.3680197598437</v>
      </c>
      <c r="R84" s="13" t="n">
        <f aca="false">R56-R83+R58</f>
        <v>50.5321013258884</v>
      </c>
      <c r="S84" s="13" t="n">
        <f aca="false">S56-S83+S58</f>
        <v>50.6255850347254</v>
      </c>
      <c r="T84" s="13" t="n">
        <f aca="false">T56-T83+T58</f>
        <v>50.7396717513415</v>
      </c>
      <c r="U84" s="13" t="n">
        <f aca="false">U56-U83+U58</f>
        <v>50.7996684161678</v>
      </c>
      <c r="V84" s="13" t="n">
        <f aca="false">V56-V83+V58</f>
        <v>48.3437904226553</v>
      </c>
      <c r="W84" s="13" t="n">
        <f aca="false">W56-W83+W58</f>
        <v>50.8943705926948</v>
      </c>
      <c r="X84" s="13" t="n">
        <f aca="false">X56-X83+X58</f>
        <v>50.9198721117872</v>
      </c>
      <c r="Y84" s="13" t="n">
        <f aca="false">Y56-Y83+Y58</f>
        <v>50.9924955976251</v>
      </c>
      <c r="Z84" s="13" t="n">
        <f aca="false">Z56-Z83+Z58</f>
        <v>51.0568373043234</v>
      </c>
      <c r="AA84" s="13" t="n">
        <f aca="false">AA56-AA83+AA58</f>
        <v>51.1384296676386</v>
      </c>
      <c r="AB84" s="13" t="n">
        <f aca="false">AB56-AB83+AB58</f>
        <v>51.2187990118733</v>
      </c>
      <c r="AC84" s="13" t="n">
        <f aca="false">AC56-AC83+AC58</f>
        <v>51.3970470600141</v>
      </c>
      <c r="AD84" s="13" t="n">
        <f aca="false">AD56-AD83+AD58</f>
        <v>39.5935004183829</v>
      </c>
      <c r="AE84" s="13" t="n">
        <f aca="false">AE56-AE83+AE58</f>
        <v>51.6545994593921</v>
      </c>
      <c r="AF84" s="13" t="n">
        <f aca="false">AF56-AF83+AF58</f>
        <v>51.5214650900143</v>
      </c>
      <c r="AG84" s="13" t="n">
        <f aca="false">AG56-AG83+AG58</f>
        <v>51.6823929768798</v>
      </c>
      <c r="AH84" s="13" t="n">
        <f aca="false">AH56-AH83+AH58</f>
        <v>51.9174884525791</v>
      </c>
      <c r="AI84" s="13" t="n">
        <f aca="false">AI56-AI83+AI58</f>
        <v>52.008910485945</v>
      </c>
      <c r="AJ84" s="13" t="n">
        <f aca="false">AJ56-AJ83+AJ58</f>
        <v>52.0958016804133</v>
      </c>
      <c r="AK84" s="13" t="n">
        <f aca="false">AK56-AK83+AK58</f>
        <v>52.2477109944171</v>
      </c>
      <c r="AL84" s="13" t="n">
        <f aca="false">AL56-AL83+AL58</f>
        <v>49.0564950167516</v>
      </c>
      <c r="AM84" s="13" t="n">
        <f aca="false">AM56-AM83+AM58</f>
        <v>52.4212655039562</v>
      </c>
      <c r="AN84" s="13" t="n">
        <f aca="false">AN56-AN83+AN58</f>
        <v>52.2432310229093</v>
      </c>
      <c r="AO84" s="13" t="n">
        <f aca="false">AO56-AO83+AO58</f>
        <v>52.361162175542</v>
      </c>
      <c r="AP84" s="13" t="n">
        <f aca="false">AP56-AP83+AP58</f>
        <v>52.4973641605877</v>
      </c>
      <c r="AQ84" s="13" t="n">
        <f aca="false">AQ56-AQ83+AQ58</f>
        <v>52.5104205217969</v>
      </c>
      <c r="AR84" s="13" t="n">
        <f aca="false">AR56-AR83+AR58</f>
        <v>52.7051609795631</v>
      </c>
      <c r="AS84" s="13" t="n">
        <f aca="false">AS56-AS83+AS58</f>
        <v>52.8102220150284</v>
      </c>
      <c r="AT84" s="13" t="n">
        <f aca="false">AT56-AT83+AT58</f>
        <v>37.3927761461237</v>
      </c>
      <c r="AU84" s="13" t="n">
        <f aca="false">AU56-AU83+AU58</f>
        <v>53.3259455993575</v>
      </c>
      <c r="AV84" s="13" t="n">
        <f aca="false">AV56-AV83+AV58</f>
        <v>53.1068932134037</v>
      </c>
      <c r="AW84" s="13" t="n">
        <f aca="false">AW56-AW83+AW58</f>
        <v>53.1318141152074</v>
      </c>
      <c r="AX84" s="13" t="n">
        <f aca="false">AX56-AX83+AX58</f>
        <v>53.5213602329127</v>
      </c>
      <c r="AY84" s="13" t="n">
        <f aca="false">AY56-AY83+AY58</f>
        <v>53.6876584629139</v>
      </c>
      <c r="AZ84" s="13" t="n">
        <f aca="false">AZ56-AZ83+AZ58</f>
        <v>53.9047592517071</v>
      </c>
      <c r="BA84" s="13" t="n">
        <f aca="false">BA56-BA83+BA58</f>
        <v>53.9093910570527</v>
      </c>
      <c r="BB84" s="13" t="n">
        <f aca="false">BB56-BB83+BB58</f>
        <v>49.2412387523627</v>
      </c>
      <c r="BC84" s="13" t="n">
        <f aca="false">BC56-BC83+BC58</f>
        <v>54.2733101964567</v>
      </c>
      <c r="BD84" s="13" t="n">
        <f aca="false">BD56-BD83+BD58</f>
        <v>53.99038866595</v>
      </c>
      <c r="BE84" s="13" t="n">
        <f aca="false">BE56-BE83+BE58</f>
        <v>54.0999986185092</v>
      </c>
      <c r="BF84" s="13" t="n">
        <f aca="false">BF56-BF83+BF58</f>
        <v>54.1959432940765</v>
      </c>
      <c r="BG84" s="13" t="n">
        <f aca="false">BG56-BG83+BG58</f>
        <v>54.4226104792801</v>
      </c>
      <c r="BH84" s="13" t="n">
        <f aca="false">BH56-BH83+BH58</f>
        <v>54.7909576437871</v>
      </c>
      <c r="BI84" s="13" t="n">
        <f aca="false">BI56-BI83+BI58</f>
        <v>55.0878520347295</v>
      </c>
      <c r="BJ84" s="13" t="n">
        <f aca="false">BJ56-BJ83+BJ58</f>
        <v>36.5027450249402</v>
      </c>
      <c r="BK84" s="13" t="n">
        <f aca="false">BK56-BK83+BK58</f>
        <v>55.3862158423899</v>
      </c>
      <c r="BL84" s="13" t="n">
        <f aca="false">BL56-BL83+BL58</f>
        <v>55.0080383695333</v>
      </c>
      <c r="BM84" s="13" t="n">
        <f aca="false">BM56-BM83+BM58</f>
        <v>17.6944921061111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37.1133580533141</v>
      </c>
      <c r="P88" s="13" t="n">
        <f aca="false">(1-P86)*(P56/MAX(Time!P31,1)*Inputs!$F$168+P55/MAX(Time!P31,1)*P87)</f>
        <v>36.9652696854607</v>
      </c>
      <c r="Q88" s="13" t="n">
        <f aca="false">(1-Q86)*(Q56/MAX(Time!Q31,1)*Inputs!$F$168+Q55/MAX(Time!Q31,1)*Q87)</f>
        <v>37.5595194643871</v>
      </c>
      <c r="R88" s="13" t="n">
        <f aca="false">(1-R86)*(R56/MAX(Time!R31,1)*Inputs!$F$168+R55/MAX(Time!R31,1)*R87)</f>
        <v>36.2294647633348</v>
      </c>
      <c r="S88" s="13" t="n">
        <f aca="false">(1-S86)*(S56/MAX(Time!S31,1)*Inputs!$F$168+S55/MAX(Time!S31,1)*S87)</f>
        <v>37.1293314152734</v>
      </c>
      <c r="T88" s="13" t="n">
        <f aca="false">(1-T86)*(T56/MAX(Time!T31,1)*Inputs!$F$168+T55/MAX(Time!T31,1)*T87)</f>
        <v>36.6732814001141</v>
      </c>
      <c r="U88" s="13" t="n">
        <f aca="false">(1-U86)*(U56/MAX(Time!U31,1)*Inputs!$F$168+U55/MAX(Time!U31,1)*U87)</f>
        <v>37.3237478369938</v>
      </c>
      <c r="V88" s="13" t="n">
        <f aca="false">(1-V86)*(V56/MAX(Time!V31,1)*Inputs!$F$168+V55/MAX(Time!V31,1)*V87)</f>
        <v>37.1694253591913</v>
      </c>
      <c r="W88" s="13" t="n">
        <f aca="false">(1-W86)*(W56/MAX(Time!W31,1)*Inputs!$F$168+W55/MAX(Time!W31,1)*W87)</f>
        <v>38.1955740572814</v>
      </c>
      <c r="X88" s="13" t="n">
        <f aca="false">(1-X86)*(X56/MAX(Time!X31,1)*Inputs!$F$168+X55/MAX(Time!X31,1)*X87)</f>
        <v>37.8308470850519</v>
      </c>
      <c r="Y88" s="13" t="n">
        <f aca="false">(1-Y86)*(Y56/MAX(Time!Y31,1)*Inputs!$F$168+Y55/MAX(Time!Y31,1)*Y87)</f>
        <v>38.8888315170224</v>
      </c>
      <c r="Z88" s="13" t="n">
        <f aca="false">(1-Z86)*(Z56/MAX(Time!Z31,1)*Inputs!$F$168+Z55/MAX(Time!Z31,1)*Z87)</f>
        <v>38.3936064643153</v>
      </c>
      <c r="AA88" s="13" t="n">
        <f aca="false">(1-AA86)*(AA56/MAX(Time!AA31,1)*Inputs!$F$168+AA55/MAX(Time!AA31,1)*AA87)</f>
        <v>39.4486555170514</v>
      </c>
      <c r="AB88" s="13" t="n">
        <f aca="false">(1-AB86)*(AB56/MAX(Time!AB31,1)*Inputs!$F$168+AB55/MAX(Time!AB31,1)*AB87)</f>
        <v>38.9029452083569</v>
      </c>
      <c r="AC88" s="13" t="n">
        <f aca="false">(1-AC86)*(AC56/MAX(Time!AC31,1)*Inputs!$F$168+AC55/MAX(Time!AC31,1)*AC87)</f>
        <v>39.4703956187989</v>
      </c>
      <c r="AD88" s="13" t="n">
        <f aca="false">(1-AD86)*(AD56/MAX(Time!AD31,1)*Inputs!$F$168+AD55/MAX(Time!AD31,1)*AD87)</f>
        <v>39.0718192547789</v>
      </c>
      <c r="AE88" s="13" t="n">
        <f aca="false">(1-AE86)*(AE56/MAX(Time!AE31,1)*Inputs!$F$168+AE55/MAX(Time!AE31,1)*AE87)</f>
        <v>39.9380890260998</v>
      </c>
      <c r="AF88" s="13" t="n">
        <f aca="false">(1-AF86)*(AF56/MAX(Time!AF31,1)*Inputs!$F$168+AF55/MAX(Time!AF31,1)*AF87)</f>
        <v>40.070228111047</v>
      </c>
      <c r="AG88" s="13" t="n">
        <f aca="false">(1-AG86)*(AG56/MAX(Time!AG31,1)*Inputs!$F$168+AG55/MAX(Time!AG31,1)*AG87)</f>
        <v>40.9550937629923</v>
      </c>
      <c r="AH88" s="13" t="n">
        <f aca="false">(1-AH86)*(AH56/MAX(Time!AH31,1)*Inputs!$F$168+AH55/MAX(Time!AH31,1)*AH87)</f>
        <v>40.2502014128779</v>
      </c>
      <c r="AI88" s="13" t="n">
        <f aca="false">(1-AI86)*(AI56/MAX(Time!AI31,1)*Inputs!$F$168+AI55/MAX(Time!AI31,1)*AI87)</f>
        <v>41.0624161079986</v>
      </c>
      <c r="AJ88" s="13" t="n">
        <f aca="false">(1-AJ86)*(AJ56/MAX(Time!AJ31,1)*Inputs!$F$168+AJ55/MAX(Time!AJ31,1)*AJ87)</f>
        <v>40.8111885027047</v>
      </c>
      <c r="AK88" s="13" t="n">
        <f aca="false">(1-AK86)*(AK56/MAX(Time!AK31,1)*Inputs!$F$168+AK55/MAX(Time!AK31,1)*AK87)</f>
        <v>41.5011537844855</v>
      </c>
      <c r="AL88" s="13" t="n">
        <f aca="false">(1-AL86)*(AL56/MAX(Time!AL31,1)*Inputs!$F$168+AL55/MAX(Time!AL31,1)*AL87)</f>
        <v>41.2242596053979</v>
      </c>
      <c r="AM88" s="13" t="n">
        <f aca="false">(1-AM86)*(AM56/MAX(Time!AM31,1)*Inputs!$F$168+AM55/MAX(Time!AM31,1)*AM87)</f>
        <v>42.1909798702419</v>
      </c>
      <c r="AN88" s="13" t="n">
        <f aca="false">(1-AN86)*(AN56/MAX(Time!AN31,1)*Inputs!$F$168+AN55/MAX(Time!AN31,1)*AN87)</f>
        <v>42.3781680648791</v>
      </c>
      <c r="AO88" s="13" t="n">
        <f aca="false">(1-AO86)*(AO56/MAX(Time!AO31,1)*Inputs!$F$168+AO55/MAX(Time!AO31,1)*AO87)</f>
        <v>43.5130091852458</v>
      </c>
      <c r="AP88" s="13" t="n">
        <f aca="false">(1-AP86)*(AP56/MAX(Time!AP31,1)*Inputs!$F$168+AP55/MAX(Time!AP31,1)*AP87)</f>
        <v>42.8093486140721</v>
      </c>
      <c r="AQ88" s="13" t="n">
        <f aca="false">(1-AQ86)*(AQ56/MAX(Time!AQ31,1)*Inputs!$F$168+AQ55/MAX(Time!AQ31,1)*AQ87)</f>
        <v>44.2842227369787</v>
      </c>
      <c r="AR88" s="13" t="n">
        <f aca="false">(1-AR86)*(AR56/MAX(Time!AR31,1)*Inputs!$F$168+AR55/MAX(Time!AR31,1)*AR87)</f>
        <v>44.2117937770017</v>
      </c>
      <c r="AS88" s="13" t="n">
        <f aca="false">(1-AS86)*(AS56/MAX(Time!AS31,1)*Inputs!$F$168+AS55/MAX(Time!AS31,1)*AS87)</f>
        <v>44.4093960449072</v>
      </c>
      <c r="AT88" s="13" t="n">
        <f aca="false">(1-AT86)*(AT56/MAX(Time!AT31,1)*Inputs!$F$168+AT55/MAX(Time!AT31,1)*AT87)</f>
        <v>43.2423415842128</v>
      </c>
      <c r="AU88" s="13" t="n">
        <f aca="false">(1-AU86)*(AU56/MAX(Time!AU31,1)*Inputs!$F$168+AU55/MAX(Time!AU31,1)*AU87)</f>
        <v>44.632647906062</v>
      </c>
      <c r="AV88" s="13" t="n">
        <f aca="false">(1-AV86)*(AV56/MAX(Time!AV31,1)*Inputs!$F$168+AV55/MAX(Time!AV31,1)*AV87)</f>
        <v>45.3660321863704</v>
      </c>
      <c r="AW88" s="13" t="n">
        <f aca="false">(1-AW86)*(AW56/MAX(Time!AW31,1)*Inputs!$F$168+AW55/MAX(Time!AW31,1)*AW87)</f>
        <v>46.2549552105392</v>
      </c>
      <c r="AX88" s="13" t="n">
        <f aca="false">(1-AX86)*(AX56/MAX(Time!AX31,1)*Inputs!$F$168+AX55/MAX(Time!AX31,1)*AX87)</f>
        <v>45.0836101697039</v>
      </c>
      <c r="AY88" s="13" t="n">
        <f aca="false">(1-AY86)*(AY56/MAX(Time!AY31,1)*Inputs!$F$168+AY55/MAX(Time!AY31,1)*AY87)</f>
        <v>45.971186382693</v>
      </c>
      <c r="AZ88" s="13" t="n">
        <f aca="false">(1-AZ86)*(AZ56/MAX(Time!AZ31,1)*Inputs!$F$168+AZ55/MAX(Time!AZ31,1)*AZ87)</f>
        <v>45.7029324852692</v>
      </c>
      <c r="BA88" s="13" t="n">
        <f aca="false">(1-BA86)*(BA56/MAX(Time!BA31,1)*Inputs!$F$168+BA55/MAX(Time!BA31,1)*BA87)</f>
        <v>46.4377468038992</v>
      </c>
      <c r="BB88" s="13" t="n">
        <f aca="false">(1-BB86)*(BB56/MAX(Time!BB31,1)*Inputs!$F$168+BB55/MAX(Time!BB31,1)*BB87)</f>
        <v>45.9440469230239</v>
      </c>
      <c r="BC88" s="13" t="n">
        <f aca="false">(1-BC86)*(BC56/MAX(Time!BC31,1)*Inputs!$F$168+BC55/MAX(Time!BC31,1)*BC87)</f>
        <v>47.308327695073</v>
      </c>
      <c r="BD88" s="13" t="n">
        <f aca="false">(1-BD86)*(BD56/MAX(Time!BD31,1)*Inputs!$F$168+BD55/MAX(Time!BD31,1)*BD87)</f>
        <v>47.8624037638923</v>
      </c>
      <c r="BE88" s="13" t="n">
        <f aca="false">(1-BE86)*(BE56/MAX(Time!BE31,1)*Inputs!$F$168+BE55/MAX(Time!BE31,1)*BE87)</f>
        <v>49.1711489095972</v>
      </c>
      <c r="BF88" s="13" t="n">
        <f aca="false">(1-BF86)*(BF56/MAX(Time!BF31,1)*Inputs!$F$168+BF55/MAX(Time!BF31,1)*BF87)</f>
        <v>48.3765851085597</v>
      </c>
      <c r="BG88" s="13" t="n">
        <f aca="false">(1-BG86)*(BG56/MAX(Time!BG31,1)*Inputs!$F$168+BG55/MAX(Time!BG31,1)*BG87)</f>
        <v>49.4341933141535</v>
      </c>
      <c r="BH88" s="13" t="n">
        <f aca="false">(1-BH86)*(BH56/MAX(Time!BH31,1)*Inputs!$F$168+BH55/MAX(Time!BH31,1)*BH87)</f>
        <v>48.5240483235346</v>
      </c>
      <c r="BI88" s="13" t="n">
        <f aca="false">(1-BI86)*(BI56/MAX(Time!BI31,1)*Inputs!$F$168+BI55/MAX(Time!BI31,1)*BI87)</f>
        <v>49.3475977669285</v>
      </c>
      <c r="BJ88" s="13" t="n">
        <f aca="false">(1-BJ86)*(BJ56/MAX(Time!BJ31,1)*Inputs!$F$168+BJ55/MAX(Time!BJ31,1)*BJ87)</f>
        <v>48.6341713338139</v>
      </c>
      <c r="BK88" s="13" t="n">
        <f aca="false">(1-BK86)*(BK56/MAX(Time!BK31,1)*Inputs!$F$168+BK55/MAX(Time!BK31,1)*BK87)</f>
        <v>50.2003111247963</v>
      </c>
      <c r="BL88" s="13" t="n">
        <f aca="false">(1-BL86)*(BL56/MAX(Time!BL31,1)*Inputs!$F$168+BL55/MAX(Time!BL31,1)*BL87)</f>
        <v>50.7324690558643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17.3622007957228</v>
      </c>
      <c r="P90" s="13" t="n">
        <f aca="false">(1-P86)*(P73+P54)/MAX(Time!P31,1)*Inputs!$F$169</f>
        <v>17.2653040456655</v>
      </c>
      <c r="Q90" s="13" t="n">
        <f aca="false">(1-Q86)*(Q73+Q54)/MAX(Time!Q31,1)*Inputs!$F$169</f>
        <v>17.5330148053541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17.0667808985762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17.2252315826215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17.8358146134344</v>
      </c>
      <c r="X90" s="13" t="n">
        <f aca="false">(1-X86)*(X73+X54)/MAX(Time!X31,1)*Inputs!$F$169</f>
        <v>17.6895359444232</v>
      </c>
      <c r="Y90" s="13" t="n">
        <f aca="false">(1-Y86)*(Y73+Y54)/MAX(Time!Y31,1)*Inputs!$F$169</f>
        <v>18.358739646865</v>
      </c>
      <c r="Z90" s="13" t="n">
        <f aca="false">(1-Z86)*(Z73+Z54)/MAX(Time!Z31,1)*Inputs!$F$169</f>
        <v>18.095666583475</v>
      </c>
      <c r="AA90" s="13" t="n">
        <f aca="false">(1-AA86)*(AA73+AA54)/MAX(Time!AA31,1)*Inputs!$F$169</f>
        <v>18.7599418967751</v>
      </c>
      <c r="AB90" s="13" t="n">
        <f aca="false">(1-AB86)*(AB73+AB54)/MAX(Time!AB31,1)*Inputs!$F$169</f>
        <v>18.4512815470222</v>
      </c>
      <c r="AC90" s="13" t="n">
        <f aca="false">(1-AC86)*(AC73+AC54)/MAX(Time!AC31,1)*Inputs!$F$169</f>
        <v>18.7533927939337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19.2861341140159</v>
      </c>
      <c r="AG90" s="13" t="n">
        <f aca="false">(1-AG86)*(AG73+AG54)/MAX(Time!AG31,1)*Inputs!$F$169</f>
        <v>19.7906650530507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19.7743958480766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20.8951042266194</v>
      </c>
      <c r="AO90" s="13" t="n">
        <f aca="false">(1-AO86)*(AO73+AO54)/MAX(Time!AO31,1)*Inputs!$F$169</f>
        <v>21.612162849748</v>
      </c>
      <c r="AP90" s="13" t="n">
        <f aca="false">(1-AP86)*(AP73+AP54)/MAX(Time!AP31,1)*Inputs!$F$169</f>
        <v>21.158524079976</v>
      </c>
      <c r="AQ90" s="13" t="n">
        <f aca="false">(1-AQ86)*(AQ73+AQ54)/MAX(Time!AQ31,1)*Inputs!$F$169</f>
        <v>22.1776995549501</v>
      </c>
      <c r="AR90" s="13" t="n">
        <f aca="false">(1-AR86)*(AR73+AR54)/MAX(Time!AR31,1)*Inputs!$F$169</f>
        <v>22.2899868602493</v>
      </c>
      <c r="AS90" s="13" t="n">
        <f aca="false">(1-AS86)*(AS73+AS54)/MAX(Time!AS31,1)*Inputs!$F$169</f>
        <v>22.2397072917036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23.0623196989163</v>
      </c>
      <c r="AW90" s="13" t="n">
        <f aca="false">(1-AW86)*(AW73+AW54)/MAX(Time!AW31,1)*Inputs!$F$169</f>
        <v>23.5462243409468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24.7329444342837</v>
      </c>
      <c r="BE90" s="13" t="n">
        <f aca="false">(1-BE86)*(BE73+BE54)/MAX(Time!BE31,1)*Inputs!$F$169</f>
        <v>25.5807536622205</v>
      </c>
      <c r="BF90" s="13" t="n">
        <f aca="false">(1-BF86)*(BF73+BF54)/MAX(Time!BF31,1)*Inputs!$F$169</f>
        <v>25.0422862572623</v>
      </c>
      <c r="BG90" s="13" t="n">
        <f aca="false">(1-BG86)*(BG73+BG54)/MAX(Time!BG31,1)*Inputs!$F$169</f>
        <v>25.6597933114721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26.6802094767502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2.2466882899246</v>
      </c>
      <c r="P91" s="13" t="n">
        <f aca="false">(1-P86)*(P52+P53)/MAX(Time!P31,1)*Inputs!$F$170</f>
        <v>2.24462447120055</v>
      </c>
      <c r="Q91" s="13" t="n">
        <f aca="false">(1-Q86)*(Q52+Q53)/MAX(Time!Q31,1)*Inputs!$F$170</f>
        <v>2.27664922517651</v>
      </c>
      <c r="R91" s="13" t="n">
        <f aca="false">(1-R86)*(R52+R53)/MAX(Time!R31,1)*Inputs!$F$170</f>
        <v>2.25527082379781</v>
      </c>
      <c r="S91" s="13" t="n">
        <f aca="false">(1-S86)*(S52+S53)/MAX(Time!S31,1)*Inputs!$F$170</f>
        <v>2.2935699706394</v>
      </c>
      <c r="T91" s="13" t="n">
        <f aca="false">(1-T86)*(T52+T53)/MAX(Time!T31,1)*Inputs!$F$170</f>
        <v>2.28498353747461</v>
      </c>
      <c r="U91" s="13" t="n">
        <f aca="false">(1-U86)*(U52+U53)/MAX(Time!U31,1)*Inputs!$F$170</f>
        <v>2.32413522936812</v>
      </c>
      <c r="V91" s="13" t="n">
        <f aca="false">(1-V86)*(V52+V53)/MAX(Time!V31,1)*Inputs!$F$170</f>
        <v>2.32217967968755</v>
      </c>
      <c r="W91" s="13" t="n">
        <f aca="false">(1-W86)*(W52+W53)/MAX(Time!W31,1)*Inputs!$F$170</f>
        <v>2.36455419436257</v>
      </c>
      <c r="X91" s="13" t="n">
        <f aca="false">(1-X86)*(X52+X53)/MAX(Time!X31,1)*Inputs!$F$170</f>
        <v>2.36149922528033</v>
      </c>
      <c r="Y91" s="13" t="n">
        <f aca="false">(1-Y86)*(Y52+Y53)/MAX(Time!Y31,1)*Inputs!$F$170</f>
        <v>2.40347669192898</v>
      </c>
      <c r="Z91" s="13" t="n">
        <f aca="false">(1-Z86)*(Z52+Z53)/MAX(Time!Z31,1)*Inputs!$F$170</f>
        <v>2.3980094527736</v>
      </c>
      <c r="AA91" s="13" t="n">
        <f aca="false">(1-AA86)*(AA52+AA53)/MAX(Time!AA31,1)*Inputs!$F$170</f>
        <v>2.44023254150219</v>
      </c>
      <c r="AB91" s="13" t="n">
        <f aca="false">(1-AB86)*(AB52+AB53)/MAX(Time!AB31,1)*Inputs!$F$170</f>
        <v>2.43384934220528</v>
      </c>
      <c r="AC91" s="13" t="n">
        <f aca="false">(1-AC86)*(AC52+AC53)/MAX(Time!AC31,1)*Inputs!$F$170</f>
        <v>2.46898005388148</v>
      </c>
      <c r="AD91" s="13" t="n">
        <f aca="false">(1-AD86)*(AD52+AD53)/MAX(Time!AD31,1)*Inputs!$F$170</f>
        <v>2.45373454377985</v>
      </c>
      <c r="AE91" s="13" t="n">
        <f aca="false">(1-AE86)*(AE52+AE53)/MAX(Time!AE31,1)*Inputs!$F$170</f>
        <v>2.50308616298997</v>
      </c>
      <c r="AF91" s="13" t="n">
        <f aca="false">(1-AF86)*(AF52+AF53)/MAX(Time!AF31,1)*Inputs!$F$170</f>
        <v>2.50924360499387</v>
      </c>
      <c r="AG91" s="13" t="n">
        <f aca="false">(1-AG86)*(AG52+AG53)/MAX(Time!AG31,1)*Inputs!$F$170</f>
        <v>2.54930329812396</v>
      </c>
      <c r="AH91" s="13" t="n">
        <f aca="false">(1-AH86)*(AH52+AH53)/MAX(Time!AH31,1)*Inputs!$F$170</f>
        <v>2.53451593224926</v>
      </c>
      <c r="AI91" s="13" t="n">
        <f aca="false">(1-AI86)*(AI52+AI53)/MAX(Time!AI31,1)*Inputs!$F$170</f>
        <v>2.57918671697362</v>
      </c>
      <c r="AJ91" s="13" t="n">
        <f aca="false">(1-AJ86)*(AJ52+AJ53)/MAX(Time!AJ31,1)*Inputs!$F$170</f>
        <v>2.5729723244395</v>
      </c>
      <c r="AK91" s="13" t="n">
        <f aca="false">(1-AK86)*(AK52+AK53)/MAX(Time!AK31,1)*Inputs!$F$170</f>
        <v>2.61286705094429</v>
      </c>
      <c r="AL91" s="13" t="n">
        <f aca="false">(1-AL86)*(AL52+AL53)/MAX(Time!AL31,1)*Inputs!$F$170</f>
        <v>2.60245620876296</v>
      </c>
      <c r="AM91" s="13" t="n">
        <f aca="false">(1-AM86)*(AM52+AM53)/MAX(Time!AM31,1)*Inputs!$F$170</f>
        <v>2.65554298414844</v>
      </c>
      <c r="AN91" s="13" t="n">
        <f aca="false">(1-AN86)*(AN52+AN53)/MAX(Time!AN31,1)*Inputs!$F$170</f>
        <v>2.663604674479</v>
      </c>
      <c r="AO91" s="13" t="n">
        <f aca="false">(1-AO86)*(AO52+AO53)/MAX(Time!AO31,1)*Inputs!$F$170</f>
        <v>2.70953621112908</v>
      </c>
      <c r="AP91" s="13" t="n">
        <f aca="false">(1-AP86)*(AP52+AP53)/MAX(Time!AP31,1)*Inputs!$F$170</f>
        <v>2.70047202494394</v>
      </c>
      <c r="AQ91" s="13" t="n">
        <f aca="false">(1-AQ86)*(AQ52+AQ53)/MAX(Time!AQ31,1)*Inputs!$F$170</f>
        <v>2.75282954386431</v>
      </c>
      <c r="AR91" s="13" t="n">
        <f aca="false">(1-AR86)*(AR52+AR53)/MAX(Time!AR31,1)*Inputs!$F$170</f>
        <v>2.75506216578151</v>
      </c>
      <c r="AS91" s="13" t="n">
        <f aca="false">(1-AS86)*(AS52+AS53)/MAX(Time!AS31,1)*Inputs!$F$170</f>
        <v>2.78657284511767</v>
      </c>
      <c r="AT91" s="13" t="n">
        <f aca="false">(1-AT86)*(AT52+AT53)/MAX(Time!AT31,1)*Inputs!$F$170</f>
        <v>2.75271412948961</v>
      </c>
      <c r="AU91" s="13" t="n">
        <f aca="false">(1-AU86)*(AU52+AU53)/MAX(Time!AU31,1)*Inputs!$F$170</f>
        <v>2.81497315533791</v>
      </c>
      <c r="AV91" s="13" t="n">
        <f aca="false">(1-AV86)*(AV52+AV53)/MAX(Time!AV31,1)*Inputs!$F$170</f>
        <v>2.83581017489757</v>
      </c>
      <c r="AW91" s="13" t="n">
        <f aca="false">(1-AW86)*(AW52+AW53)/MAX(Time!AW31,1)*Inputs!$F$170</f>
        <v>2.87879125135495</v>
      </c>
      <c r="AX91" s="13" t="n">
        <f aca="false">(1-AX86)*(AX52+AX53)/MAX(Time!AX31,1)*Inputs!$F$170</f>
        <v>2.85723378205313</v>
      </c>
      <c r="AY91" s="13" t="n">
        <f aca="false">(1-AY86)*(AY52+AY53)/MAX(Time!AY31,1)*Inputs!$F$170</f>
        <v>2.90490080593701</v>
      </c>
      <c r="AZ91" s="13" t="n">
        <f aca="false">(1-AZ86)*(AZ52+AZ53)/MAX(Time!AZ31,1)*Inputs!$F$170</f>
        <v>2.8925629168454</v>
      </c>
      <c r="BA91" s="13" t="n">
        <f aca="false">(1-BA86)*(BA52+BA53)/MAX(Time!BA31,1)*Inputs!$F$170</f>
        <v>2.93650365990838</v>
      </c>
      <c r="BB91" s="13" t="n">
        <f aca="false">(1-BB86)*(BB52+BB53)/MAX(Time!BB31,1)*Inputs!$F$170</f>
        <v>2.92318088494288</v>
      </c>
      <c r="BC91" s="13" t="n">
        <f aca="false">(1-BC86)*(BC52+BC53)/MAX(Time!BC31,1)*Inputs!$F$170</f>
        <v>2.98726727803353</v>
      </c>
      <c r="BD91" s="13" t="n">
        <f aca="false">(1-BD86)*(BD52+BD53)/MAX(Time!BD31,1)*Inputs!$F$170</f>
        <v>3.00537657665398</v>
      </c>
      <c r="BE91" s="13" t="n">
        <f aca="false">(1-BE86)*(BE52+BE53)/MAX(Time!BE31,1)*Inputs!$F$170</f>
        <v>3.05724152844838</v>
      </c>
      <c r="BF91" s="13" t="n">
        <f aca="false">(1-BF86)*(BF52+BF53)/MAX(Time!BF31,1)*Inputs!$F$170</f>
        <v>3.04689713484971</v>
      </c>
      <c r="BG91" s="13" t="n">
        <f aca="false">(1-BG86)*(BG52+BG53)/MAX(Time!BG31,1)*Inputs!$F$170</f>
        <v>3.09483076412395</v>
      </c>
      <c r="BH91" s="13" t="n">
        <f aca="false">(1-BH86)*(BH52+BH53)/MAX(Time!BH31,1)*Inputs!$F$170</f>
        <v>3.07542732689957</v>
      </c>
      <c r="BI91" s="13" t="n">
        <f aca="false">(1-BI86)*(BI52+BI53)/MAX(Time!BI31,1)*Inputs!$F$170</f>
        <v>3.11894281303826</v>
      </c>
      <c r="BJ91" s="13" t="n">
        <f aca="false">(1-BJ86)*(BJ52+BJ53)/MAX(Time!BJ31,1)*Inputs!$F$170</f>
        <v>3.09833236375736</v>
      </c>
      <c r="BK91" s="13" t="n">
        <f aca="false">(1-BK86)*(BK52+BK53)/MAX(Time!BK31,1)*Inputs!$F$170</f>
        <v>3.16708262868248</v>
      </c>
      <c r="BL91" s="13" t="n">
        <f aca="false">(1-BL86)*(BL52+BL53)/MAX(Time!BL31,1)*Inputs!$F$170</f>
        <v>3.18806461575525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1.56607869298346</v>
      </c>
      <c r="P92" s="13" t="n">
        <f aca="false">(1-P86)*(P60+P61+P62+P64)/MAX(Time!P31,1)*Inputs!$F$171</f>
        <v>1.5694746854107</v>
      </c>
      <c r="Q92" s="13" t="n">
        <f aca="false">(1-Q86)*(Q60+Q61+Q62+Q64)/MAX(Time!Q31,1)*Inputs!$F$171</f>
        <v>1.60779655760877</v>
      </c>
      <c r="R92" s="13" t="n">
        <f aca="false">(1-R86)*(R60+R61+R62+R64)/MAX(Time!R31,1)*Inputs!$F$171</f>
        <v>1.54674392694685</v>
      </c>
      <c r="S92" s="13" t="n">
        <f aca="false">(1-S86)*(S60+S61+S62+S64)/MAX(Time!S31,1)*Inputs!$F$171</f>
        <v>1.57827336681272</v>
      </c>
      <c r="T92" s="13" t="n">
        <f aca="false">(1-T86)*(T60+T61+T62+T64)/MAX(Time!T31,1)*Inputs!$F$171</f>
        <v>1.55213251733854</v>
      </c>
      <c r="U92" s="13" t="n">
        <f aca="false">(1-U86)*(U60+U61+U62+U64)/MAX(Time!U31,1)*Inputs!$F$171</f>
        <v>1.58642916293751</v>
      </c>
      <c r="V92" s="13" t="n">
        <f aca="false">(1-V86)*(V60+V61+V62+V64)/MAX(Time!V31,1)*Inputs!$F$171</f>
        <v>1.59146005130045</v>
      </c>
      <c r="W92" s="13" t="n">
        <f aca="false">(1-W86)*(W60+W61+W62+W64)/MAX(Time!W31,1)*Inputs!$F$171</f>
        <v>1.63831734484642</v>
      </c>
      <c r="X92" s="13" t="n">
        <f aca="false">(1-X86)*(X60+X61+X62+X64)/MAX(Time!X31,1)*Inputs!$F$171</f>
        <v>1.63959280650611</v>
      </c>
      <c r="Y92" s="13" t="n">
        <f aca="false">(1-Y86)*(Y60+Y61+Y62+Y64)/MAX(Time!Y31,1)*Inputs!$F$171</f>
        <v>1.68244324991466</v>
      </c>
      <c r="Z92" s="13" t="n">
        <f aca="false">(1-Z86)*(Z60+Z61+Z62+Z64)/MAX(Time!Z31,1)*Inputs!$F$171</f>
        <v>1.67272226119523</v>
      </c>
      <c r="AA92" s="13" t="n">
        <f aca="false">(1-AA86)*(AA60+AA61+AA62+AA64)/MAX(Time!AA31,1)*Inputs!$F$171</f>
        <v>1.71464040331896</v>
      </c>
      <c r="AB92" s="13" t="n">
        <f aca="false">(1-AB86)*(AB60+AB61+AB62+AB64)/MAX(Time!AB31,1)*Inputs!$F$171</f>
        <v>1.70093412098016</v>
      </c>
      <c r="AC92" s="13" t="n">
        <f aca="false">(1-AC86)*(AC60+AC61+AC62+AC64)/MAX(Time!AC31,1)*Inputs!$F$171</f>
        <v>1.70708609053939</v>
      </c>
      <c r="AD92" s="13" t="n">
        <f aca="false">(1-AD86)*(AD60+AD61+AD62+AD64)/MAX(Time!AD31,1)*Inputs!$F$171</f>
        <v>1.64874501252118</v>
      </c>
      <c r="AE92" s="13" t="n">
        <f aca="false">(1-AE86)*(AE60+AE61+AE62+AE64)/MAX(Time!AE31,1)*Inputs!$F$171</f>
        <v>1.72158218223668</v>
      </c>
      <c r="AF92" s="13" t="n">
        <f aca="false">(1-AF86)*(AF60+AF61+AF62+AF64)/MAX(Time!AF31,1)*Inputs!$F$171</f>
        <v>1.77040858038824</v>
      </c>
      <c r="AG92" s="13" t="n">
        <f aca="false">(1-AG86)*(AG60+AG61+AG62+AG64)/MAX(Time!AG31,1)*Inputs!$F$171</f>
        <v>1.7948985759189</v>
      </c>
      <c r="AH92" s="13" t="n">
        <f aca="false">(1-AH86)*(AH60+AH61+AH62+AH64)/MAX(Time!AH31,1)*Inputs!$F$171</f>
        <v>1.74034084323918</v>
      </c>
      <c r="AI92" s="13" t="n">
        <f aca="false">(1-AI86)*(AI60+AI61+AI62+AI64)/MAX(Time!AI31,1)*Inputs!$F$171</f>
        <v>1.78558161882065</v>
      </c>
      <c r="AJ92" s="13" t="n">
        <f aca="false">(1-AJ86)*(AJ60+AJ61+AJ62+AJ64)/MAX(Time!AJ31,1)*Inputs!$F$171</f>
        <v>1.77388903698503</v>
      </c>
      <c r="AK92" s="13" t="n">
        <f aca="false">(1-AK86)*(AK60+AK61+AK62+AK64)/MAX(Time!AK31,1)*Inputs!$F$171</f>
        <v>1.79402591829183</v>
      </c>
      <c r="AL92" s="13" t="n">
        <f aca="false">(1-AL86)*(AL60+AL61+AL62+AL64)/MAX(Time!AL31,1)*Inputs!$F$171</f>
        <v>1.75996824298849</v>
      </c>
      <c r="AM92" s="13" t="n">
        <f aca="false">(1-AM86)*(AM60+AM61+AM62+AM64)/MAX(Time!AM31,1)*Inputs!$F$171</f>
        <v>1.84313379028172</v>
      </c>
      <c r="AN92" s="13" t="n">
        <f aca="false">(1-AN86)*(AN60+AN61+AN62+AN64)/MAX(Time!AN31,1)*Inputs!$F$171</f>
        <v>1.90525080536941</v>
      </c>
      <c r="AO92" s="13" t="n">
        <f aca="false">(1-AO86)*(AO60+AO61+AO62+AO64)/MAX(Time!AO31,1)*Inputs!$F$171</f>
        <v>1.94934812041889</v>
      </c>
      <c r="AP92" s="13" t="n">
        <f aca="false">(1-AP86)*(AP60+AP61+AP62+AP64)/MAX(Time!AP31,1)*Inputs!$F$171</f>
        <v>1.92506490060032</v>
      </c>
      <c r="AQ92" s="13" t="n">
        <f aca="false">(1-AQ86)*(AQ60+AQ61+AQ62+AQ64)/MAX(Time!AQ31,1)*Inputs!$F$171</f>
        <v>1.99964174696754</v>
      </c>
      <c r="AR92" s="13" t="n">
        <f aca="false">(1-AR86)*(AR60+AR61+AR62+AR64)/MAX(Time!AR31,1)*Inputs!$F$171</f>
        <v>1.98943581547999</v>
      </c>
      <c r="AS92" s="13" t="n">
        <f aca="false">(1-AS86)*(AS60+AS61+AS62+AS64)/MAX(Time!AS31,1)*Inputs!$F$171</f>
        <v>2.00017280763217</v>
      </c>
      <c r="AT92" s="13" t="n">
        <f aca="false">(1-AT86)*(AT60+AT61+AT62+AT64)/MAX(Time!AT31,1)*Inputs!$F$171</f>
        <v>1.88080530536471</v>
      </c>
      <c r="AU92" s="13" t="n">
        <f aca="false">(1-AU86)*(AU60+AU61+AU62+AU64)/MAX(Time!AU31,1)*Inputs!$F$171</f>
        <v>1.96710919985974</v>
      </c>
      <c r="AV92" s="13" t="n">
        <f aca="false">(1-AV86)*(AV60+AV61+AV62+AV64)/MAX(Time!AV31,1)*Inputs!$F$171</f>
        <v>2.06422057545598</v>
      </c>
      <c r="AW92" s="13" t="n">
        <f aca="false">(1-AW86)*(AW60+AW61+AW62+AW64)/MAX(Time!AW31,1)*Inputs!$F$171</f>
        <v>2.11808000676104</v>
      </c>
      <c r="AX92" s="13" t="n">
        <f aca="false">(1-AX86)*(AX60+AX61+AX62+AX64)/MAX(Time!AX31,1)*Inputs!$F$171</f>
        <v>2.02929374943533</v>
      </c>
      <c r="AY92" s="13" t="n">
        <f aca="false">(1-AY86)*(AY60+AY61+AY62+AY64)/MAX(Time!AY31,1)*Inputs!$F$171</f>
        <v>2.0691896064236</v>
      </c>
      <c r="AZ92" s="13" t="n">
        <f aca="false">(1-AZ86)*(AZ60+AZ61+AZ62+AZ64)/MAX(Time!AZ31,1)*Inputs!$F$171</f>
        <v>2.02856808612877</v>
      </c>
      <c r="BA92" s="13" t="n">
        <f aca="false">(1-BA86)*(BA60+BA61+BA62+BA64)/MAX(Time!BA31,1)*Inputs!$F$171</f>
        <v>2.04766583773911</v>
      </c>
      <c r="BB92" s="13" t="n">
        <f aca="false">(1-BB86)*(BB60+BB61+BB62+BB64)/MAX(Time!BB31,1)*Inputs!$F$171</f>
        <v>2.02529944953434</v>
      </c>
      <c r="BC92" s="13" t="n">
        <f aca="false">(1-BC86)*(BC60+BC61+BC62+BC64)/MAX(Time!BC31,1)*Inputs!$F$171</f>
        <v>2.12194619565248</v>
      </c>
      <c r="BD92" s="13" t="n">
        <f aca="false">(1-BD86)*(BD60+BD61+BD62+BD64)/MAX(Time!BD31,1)*Inputs!$F$171</f>
        <v>2.2261176959141</v>
      </c>
      <c r="BE92" s="13" t="n">
        <f aca="false">(1-BE86)*(BE60+BE61+BE62+BE64)/MAX(Time!BE31,1)*Inputs!$F$171</f>
        <v>2.28480666834696</v>
      </c>
      <c r="BF92" s="13" t="n">
        <f aca="false">(1-BF86)*(BF60+BF61+BF62+BF64)/MAX(Time!BF31,1)*Inputs!$F$171</f>
        <v>2.26926552013217</v>
      </c>
      <c r="BG92" s="13" t="n">
        <f aca="false">(1-BG86)*(BG60+BG61+BG62+BG64)/MAX(Time!BG31,1)*Inputs!$F$171</f>
        <v>2.30101327800849</v>
      </c>
      <c r="BH92" s="13" t="n">
        <f aca="false">(1-BH86)*(BH60+BH61+BH62+BH64)/MAX(Time!BH31,1)*Inputs!$F$171</f>
        <v>2.22336791319121</v>
      </c>
      <c r="BI92" s="13" t="n">
        <f aca="false">(1-BI86)*(BI60+BI61+BI62+BI64)/MAX(Time!BI31,1)*Inputs!$F$171</f>
        <v>2.2271273691554</v>
      </c>
      <c r="BJ92" s="13" t="n">
        <f aca="false">(1-BJ86)*(BJ60+BJ61+BJ62+BJ64)/MAX(Time!BJ31,1)*Inputs!$F$171</f>
        <v>2.18570701098969</v>
      </c>
      <c r="BK92" s="13" t="n">
        <f aca="false">(1-BK86)*(BK60+BK61+BK62+BK64)/MAX(Time!BK31,1)*Inputs!$F$171</f>
        <v>2.27732152212526</v>
      </c>
      <c r="BL92" s="13" t="n">
        <f aca="false">(1-BL86)*(BL60+BL61+BL62+BL64)/MAX(Time!BL31,1)*Inputs!$F$171</f>
        <v>2.40543562601238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1.1014052247567</v>
      </c>
      <c r="P93" s="13" t="n">
        <f aca="false">(1-P86)*(P65+P66+P67+P68+P69+P70+P71)/MAX(Time!P31,1)*Inputs!$F$172</f>
        <v>1.09997481929117</v>
      </c>
      <c r="Q93" s="13" t="n">
        <f aca="false">(1-Q86)*(Q65+Q66+Q67+Q68+Q69+Q70+Q71)/MAX(Time!Q31,1)*Inputs!$F$172</f>
        <v>1.11648468051897</v>
      </c>
      <c r="R93" s="13" t="n">
        <f aca="false">(1-R86)*(R65+R66+R67+R68+R69+R70+R71)/MAX(Time!R31,1)*Inputs!$F$172</f>
        <v>1.09034424381589</v>
      </c>
      <c r="S93" s="13" t="n">
        <f aca="false">(1-S86)*(S65+S66+S67+S68+S69+S70+S71)/MAX(Time!S31,1)*Inputs!$F$172</f>
        <v>1.11220939536393</v>
      </c>
      <c r="T93" s="13" t="n">
        <f aca="false">(1-T86)*(T65+T66+T67+T68+T69+T70+T71)/MAX(Time!T31,1)*Inputs!$F$172</f>
        <v>1.09684393444378</v>
      </c>
      <c r="U93" s="13" t="n">
        <f aca="false">(1-U86)*(U65+U66+U67+U68+U69+U70+U71)/MAX(Time!U31,1)*Inputs!$F$172</f>
        <v>1.11487472699184</v>
      </c>
      <c r="V93" s="13" t="n">
        <f aca="false">(1-V86)*(V65+V66+V67+V68+V69+V70+V71)/MAX(Time!V31,1)*Inputs!$F$172</f>
        <v>1.10965429726447</v>
      </c>
      <c r="W93" s="13" t="n">
        <f aca="false">(1-W86)*(W65+W66+W67+W68+W69+W70+W71)/MAX(Time!W31,1)*Inputs!$F$172</f>
        <v>1.13477038589245</v>
      </c>
      <c r="X93" s="13" t="n">
        <f aca="false">(1-X86)*(X65+X66+X67+X68+X69+X70+X71)/MAX(Time!X31,1)*Inputs!$F$172</f>
        <v>1.12429566692822</v>
      </c>
      <c r="Y93" s="13" t="n">
        <f aca="false">(1-Y86)*(Y65+Y66+Y67+Y68+Y69+Y70+Y71)/MAX(Time!Y31,1)*Inputs!$F$172</f>
        <v>1.14901312115956</v>
      </c>
      <c r="Z93" s="13" t="n">
        <f aca="false">(1-Z86)*(Z65+Z66+Z67+Z68+Z69+Z70+Z71)/MAX(Time!Z31,1)*Inputs!$F$172</f>
        <v>1.1367438634951</v>
      </c>
      <c r="AA93" s="13" t="n">
        <f aca="false">(1-AA86)*(AA65+AA66+AA67+AA68+AA69+AA70+AA71)/MAX(Time!AA31,1)*Inputs!$F$172</f>
        <v>1.16161998418911</v>
      </c>
      <c r="AB93" s="13" t="n">
        <f aca="false">(1-AB86)*(AB65+AB66+AB67+AB68+AB69+AB70+AB71)/MAX(Time!AB31,1)*Inputs!$F$172</f>
        <v>1.14876783446418</v>
      </c>
      <c r="AC93" s="13" t="n">
        <f aca="false">(1-AC86)*(AC65+AC66+AC67+AC68+AC69+AC70+AC71)/MAX(Time!AC31,1)*Inputs!$F$172</f>
        <v>1.16322834797776</v>
      </c>
      <c r="AD93" s="13" t="n">
        <f aca="false">(1-AD86)*(AD65+AD66+AD67+AD68+AD69+AD70+AD71)/MAX(Time!AD31,1)*Inputs!$F$172</f>
        <v>1.14787031947367</v>
      </c>
      <c r="AE93" s="13" t="n">
        <f aca="false">(1-AE86)*(AE65+AE66+AE67+AE68+AE69+AE70+AE71)/MAX(Time!AE31,1)*Inputs!$F$172</f>
        <v>1.17873353499922</v>
      </c>
      <c r="AF93" s="13" t="n">
        <f aca="false">(1-AF86)*(AF65+AF66+AF67+AF68+AF69+AF70+AF71)/MAX(Time!AF31,1)*Inputs!$F$172</f>
        <v>1.17617160593342</v>
      </c>
      <c r="AG93" s="13" t="n">
        <f aca="false">(1-AG86)*(AG65+AG66+AG67+AG68+AG69+AG70+AG71)/MAX(Time!AG31,1)*Inputs!$F$172</f>
        <v>1.19927478356241</v>
      </c>
      <c r="AH93" s="13" t="n">
        <f aca="false">(1-AH86)*(AH65+AH66+AH67+AH68+AH69+AH70+AH71)/MAX(Time!AH31,1)*Inputs!$F$172</f>
        <v>1.18013885174097</v>
      </c>
      <c r="AI93" s="13" t="n">
        <f aca="false">(1-AI86)*(AI65+AI66+AI67+AI68+AI69+AI70+AI71)/MAX(Time!AI31,1)*Inputs!$F$172</f>
        <v>1.20698376431016</v>
      </c>
      <c r="AJ93" s="13" t="n">
        <f aca="false">(1-AJ86)*(AJ65+AJ66+AJ67+AJ68+AJ69+AJ70+AJ71)/MAX(Time!AJ31,1)*Inputs!$F$172</f>
        <v>1.19477956850719</v>
      </c>
      <c r="AK93" s="13" t="n">
        <f aca="false">(1-AK86)*(AK65+AK66+AK67+AK68+AK69+AK70+AK71)/MAX(Time!AK31,1)*Inputs!$F$172</f>
        <v>1.2129067226922</v>
      </c>
      <c r="AL93" s="13" t="n">
        <f aca="false">(1-AL86)*(AL65+AL66+AL67+AL68+AL69+AL70+AL71)/MAX(Time!AL31,1)*Inputs!$F$172</f>
        <v>1.20203981400879</v>
      </c>
      <c r="AM93" s="13" t="n">
        <f aca="false">(1-AM86)*(AM65+AM66+AM67+AM68+AM69+AM70+AM71)/MAX(Time!AM31,1)*Inputs!$F$172</f>
        <v>1.2359519643943</v>
      </c>
      <c r="AN93" s="13" t="n">
        <f aca="false">(1-AN86)*(AN65+AN66+AN67+AN68+AN69+AN70+AN71)/MAX(Time!AN31,1)*Inputs!$F$172</f>
        <v>1.2352689774301</v>
      </c>
      <c r="AO93" s="13" t="n">
        <f aca="false">(1-AO86)*(AO65+AO66+AO67+AO68+AO69+AO70+AO71)/MAX(Time!AO31,1)*Inputs!$F$172</f>
        <v>1.26303422766277</v>
      </c>
      <c r="AP93" s="13" t="n">
        <f aca="false">(1-AP86)*(AP65+AP66+AP67+AP68+AP69+AP70+AP71)/MAX(Time!AP31,1)*Inputs!$F$172</f>
        <v>1.2489932449167</v>
      </c>
      <c r="AQ93" s="13" t="n">
        <f aca="false">(1-AQ86)*(AQ65+AQ66+AQ67+AQ68+AQ69+AQ70+AQ71)/MAX(Time!AQ31,1)*Inputs!$F$172</f>
        <v>1.28182621364815</v>
      </c>
      <c r="AR93" s="13" t="n">
        <f aca="false">(1-AR86)*(AR65+AR66+AR67+AR68+AR69+AR70+AR71)/MAX(Time!AR31,1)*Inputs!$F$172</f>
        <v>1.27680719483307</v>
      </c>
      <c r="AS93" s="13" t="n">
        <f aca="false">(1-AS86)*(AS65+AS66+AS67+AS68+AS69+AS70+AS71)/MAX(Time!AS31,1)*Inputs!$F$172</f>
        <v>1.28806519855702</v>
      </c>
      <c r="AT93" s="13" t="n">
        <f aca="false">(1-AT86)*(AT65+AT66+AT67+AT68+AT69+AT70+AT71)/MAX(Time!AT31,1)*Inputs!$F$172</f>
        <v>1.25832880128822</v>
      </c>
      <c r="AU93" s="13" t="n">
        <f aca="false">(1-AU86)*(AU65+AU66+AU67+AU68+AU69+AU70+AU71)/MAX(Time!AU31,1)*Inputs!$F$172</f>
        <v>1.30072088238112</v>
      </c>
      <c r="AV93" s="13" t="n">
        <f aca="false">(1-AV86)*(AV65+AV66+AV67+AV68+AV69+AV70+AV71)/MAX(Time!AV31,1)*Inputs!$F$172</f>
        <v>1.31037831880723</v>
      </c>
      <c r="AW93" s="13" t="n">
        <f aca="false">(1-AW86)*(AW65+AW66+AW67+AW68+AW69+AW70+AW71)/MAX(Time!AW31,1)*Inputs!$F$172</f>
        <v>1.33590462480077</v>
      </c>
      <c r="AX93" s="13" t="n">
        <f aca="false">(1-AX86)*(AX65+AX66+AX67+AX68+AX69+AX70+AX71)/MAX(Time!AX31,1)*Inputs!$F$172</f>
        <v>1.31248818384377</v>
      </c>
      <c r="AY93" s="13" t="n">
        <f aca="false">(1-AY86)*(AY65+AY66+AY67+AY68+AY69+AY70+AY71)/MAX(Time!AY31,1)*Inputs!$F$172</f>
        <v>1.34183627108641</v>
      </c>
      <c r="AZ93" s="13" t="n">
        <f aca="false">(1-AZ86)*(AZ65+AZ66+AZ67+AZ68+AZ69+AZ70+AZ71)/MAX(Time!AZ31,1)*Inputs!$F$172</f>
        <v>1.32564723319865</v>
      </c>
      <c r="BA93" s="13" t="n">
        <f aca="false">(1-BA86)*(BA65+BA66+BA67+BA68+BA69+BA70+BA71)/MAX(Time!BA31,1)*Inputs!$F$172</f>
        <v>1.34648055355659</v>
      </c>
      <c r="BB93" s="13" t="n">
        <f aca="false">(1-BB86)*(BB65+BB66+BB67+BB68+BB69+BB70+BB71)/MAX(Time!BB31,1)*Inputs!$F$172</f>
        <v>1.3339142655089</v>
      </c>
      <c r="BC93" s="13" t="n">
        <f aca="false">(1-BC86)*(BC65+BC66+BC67+BC68+BC69+BC70+BC71)/MAX(Time!BC31,1)*Inputs!$F$172</f>
        <v>1.37757723455725</v>
      </c>
      <c r="BD93" s="13" t="n">
        <f aca="false">(1-BD86)*(BD65+BD66+BD67+BD68+BD69+BD70+BD71)/MAX(Time!BD31,1)*Inputs!$F$172</f>
        <v>1.38536451975156</v>
      </c>
      <c r="BE93" s="13" t="n">
        <f aca="false">(1-BE86)*(BE65+BE66+BE67+BE68+BE69+BE70+BE71)/MAX(Time!BE31,1)*Inputs!$F$172</f>
        <v>1.41803136836957</v>
      </c>
      <c r="BF93" s="13" t="n">
        <f aca="false">(1-BF86)*(BF65+BF66+BF67+BF68+BF69+BF70+BF71)/MAX(Time!BF31,1)*Inputs!$F$172</f>
        <v>1.40374147692137</v>
      </c>
      <c r="BG93" s="13" t="n">
        <f aca="false">(1-BG86)*(BG65+BG66+BG67+BG68+BG69+BG70+BG71)/MAX(Time!BG31,1)*Inputs!$F$172</f>
        <v>1.43343378076894</v>
      </c>
      <c r="BH93" s="13" t="n">
        <f aca="false">(1-BH86)*(BH65+BH66+BH67+BH68+BH69+BH70+BH71)/MAX(Time!BH31,1)*Inputs!$F$172</f>
        <v>1.4120605181912</v>
      </c>
      <c r="BI93" s="13" t="n">
        <f aca="false">(1-BI86)*(BI65+BI66+BI67+BI68+BI69+BI70+BI71)/MAX(Time!BI31,1)*Inputs!$F$172</f>
        <v>1.43260764969306</v>
      </c>
      <c r="BJ93" s="13" t="n">
        <f aca="false">(1-BJ86)*(BJ65+BJ66+BJ67+BJ68+BJ69+BJ70+BJ71)/MAX(Time!BJ31,1)*Inputs!$F$172</f>
        <v>1.41427342003318</v>
      </c>
      <c r="BK93" s="13" t="n">
        <f aca="false">(1-BK86)*(BK65+BK66+BK67+BK68+BK69+BK70+BK71)/MAX(Time!BK31,1)*Inputs!$F$172</f>
        <v>1.46234253839214</v>
      </c>
      <c r="BL93" s="13" t="n">
        <f aca="false">(1-BL86)*(BL65+BL66+BL67+BL68+BL69+BL70+BL71)/MAX(Time!BL31,1)*Inputs!$F$172</f>
        <v>1.47263756956572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14.8369850499265</v>
      </c>
      <c r="P95" s="13" t="n">
        <f aca="false">P88+P89-P90-P91-P92-P93-P94</f>
        <v>14.7858916638928</v>
      </c>
      <c r="Q95" s="13" t="n">
        <f aca="false">Q88+Q89-Q90-Q91-Q92-Q93-Q94</f>
        <v>15.0255741957288</v>
      </c>
      <c r="R95" s="13" t="n">
        <f aca="false">R88+R89-R90-R91-R92-R93-R94</f>
        <v>14.8045738432856</v>
      </c>
      <c r="S95" s="13" t="n">
        <f aca="false">S88+S89-S90-S91-S92-S93-S94</f>
        <v>15.0784977838812</v>
      </c>
      <c r="T95" s="13" t="n">
        <f aca="false">T88+T89-T90-T91-T92-T93-T94</f>
        <v>14.8761388468587</v>
      </c>
      <c r="U95" s="13" t="n">
        <f aca="false">U88+U89-U90-U91-U92-U93-U94</f>
        <v>15.0730771350748</v>
      </c>
      <c r="V95" s="13" t="n">
        <f aca="false">V88+V89-V90-V91-V92-V93-V94</f>
        <v>14.9456851156605</v>
      </c>
      <c r="W95" s="13" t="n">
        <f aca="false">W88+W89-W90-W91-W92-W93-W94</f>
        <v>15.2221175187456</v>
      </c>
      <c r="X95" s="13" t="n">
        <f aca="false">X88+X89-X90-X91-X92-X93-X94</f>
        <v>15.015923441914</v>
      </c>
      <c r="Y95" s="13" t="n">
        <f aca="false">Y88+Y89-Y90-Y91-Y92-Y93-Y94</f>
        <v>15.2951588071542</v>
      </c>
      <c r="Z95" s="13" t="n">
        <f aca="false">Z88+Z89-Z90-Z91-Z92-Z93-Z94</f>
        <v>15.0904643033763</v>
      </c>
      <c r="AA95" s="13" t="n">
        <f aca="false">AA88+AA89-AA90-AA91-AA92-AA93-AA94</f>
        <v>15.3722206912661</v>
      </c>
      <c r="AB95" s="13" t="n">
        <f aca="false">AB88+AB89-AB90-AB91-AB92-AB93-AB94</f>
        <v>15.1681123636851</v>
      </c>
      <c r="AC95" s="13" t="n">
        <f aca="false">AC88+AC89-AC90-AC91-AC92-AC93-AC94</f>
        <v>15.3777083324665</v>
      </c>
      <c r="AD95" s="13" t="n">
        <f aca="false">AD88+AD89-AD90-AD91-AD92-AD93-AD94</f>
        <v>15.2031532292366</v>
      </c>
      <c r="AE95" s="13" t="n">
        <f aca="false">AE88+AE89-AE90-AE91-AE92-AE93-AE94</f>
        <v>15.544004673111</v>
      </c>
      <c r="AF95" s="13" t="n">
        <f aca="false">AF88+AF89-AF90-AF91-AF92-AF93-AF94</f>
        <v>15.3282702057156</v>
      </c>
      <c r="AG95" s="13" t="n">
        <f aca="false">AG88+AG89-AG90-AG91-AG92-AG93-AG94</f>
        <v>15.6209520523363</v>
      </c>
      <c r="AH95" s="13" t="n">
        <f aca="false">AH88+AH89-AH90-AH91-AH92-AH93-AH94</f>
        <v>15.4247096634303</v>
      </c>
      <c r="AI95" s="13" t="n">
        <f aca="false">AI88+AI89-AI90-AI91-AI92-AI93-AI94</f>
        <v>15.7162681598176</v>
      </c>
      <c r="AJ95" s="13" t="n">
        <f aca="false">AJ88+AJ89-AJ90-AJ91-AJ92-AJ93-AJ94</f>
        <v>15.5116415281104</v>
      </c>
      <c r="AK95" s="13" t="n">
        <f aca="false">AK88+AK89-AK90-AK91-AK92-AK93-AK94</f>
        <v>15.7282899270014</v>
      </c>
      <c r="AL95" s="13" t="n">
        <f aca="false">AL88+AL89-AL90-AL91-AL92-AL93-AL94</f>
        <v>15.5067311740819</v>
      </c>
      <c r="AM95" s="13" t="n">
        <f aca="false">AM88+AM89-AM90-AM91-AM92-AM93-AM94</f>
        <v>15.9002256825505</v>
      </c>
      <c r="AN95" s="13" t="n">
        <f aca="false">AN88+AN89-AN90-AN91-AN92-AN93-AN94</f>
        <v>15.6789393809812</v>
      </c>
      <c r="AO95" s="13" t="n">
        <f aca="false">AO88+AO89-AO90-AO91-AO92-AO93-AO94</f>
        <v>15.9789277762871</v>
      </c>
      <c r="AP95" s="13" t="n">
        <f aca="false">AP88+AP89-AP90-AP91-AP92-AP93-AP94</f>
        <v>15.7762943636351</v>
      </c>
      <c r="AQ95" s="13" t="n">
        <f aca="false">AQ88+AQ89-AQ90-AQ91-AQ92-AQ93-AQ94</f>
        <v>16.0722256775486</v>
      </c>
      <c r="AR95" s="13" t="n">
        <f aca="false">AR88+AR89-AR90-AR91-AR92-AR93-AR94</f>
        <v>15.9005017406578</v>
      </c>
      <c r="AS95" s="13" t="n">
        <f aca="false">AS88+AS89-AS90-AS91-AS92-AS93-AS94</f>
        <v>16.0948779018967</v>
      </c>
      <c r="AT95" s="13" t="n">
        <f aca="false">AT88+AT89-AT90-AT91-AT92-AT93-AT94</f>
        <v>15.5361685727291</v>
      </c>
      <c r="AU95" s="13" t="n">
        <f aca="false">AU88+AU89-AU90-AU91-AU92-AU93-AU94</f>
        <v>16.2992333976352</v>
      </c>
      <c r="AV95" s="13" t="n">
        <f aca="false">AV88+AV89-AV90-AV91-AV92-AV93-AV94</f>
        <v>16.0933034182932</v>
      </c>
      <c r="AW95" s="13" t="n">
        <f aca="false">AW88+AW89-AW90-AW91-AW92-AW93-AW94</f>
        <v>16.3759549866757</v>
      </c>
      <c r="AX95" s="13" t="n">
        <f aca="false">AX88+AX89-AX90-AX91-AX92-AX93-AX94</f>
        <v>16.1889709581067</v>
      </c>
      <c r="AY95" s="13" t="n">
        <f aca="false">AY88+AY89-AY90-AY91-AY92-AY93-AY94</f>
        <v>16.5057237330557</v>
      </c>
      <c r="AZ95" s="13" t="n">
        <f aca="false">AZ88+AZ89-AZ90-AZ91-AZ92-AZ93-AZ94</f>
        <v>16.3066182829061</v>
      </c>
      <c r="BA95" s="13" t="n">
        <f aca="false">BA88+BA89-BA90-BA91-BA92-BA93-BA94</f>
        <v>16.494570067181</v>
      </c>
      <c r="BB95" s="13" t="n">
        <f aca="false">BB88+BB89-BB90-BB91-BB92-BB93-BB94</f>
        <v>16.0491256375237</v>
      </c>
      <c r="BC95" s="13" t="n">
        <f aca="false">BC88+BC89-BC90-BC91-BC92-BC93-BC94</f>
        <v>16.7367597676053</v>
      </c>
      <c r="BD95" s="13" t="n">
        <f aca="false">BD88+BD89-BD90-BD91-BD92-BD93-BD94</f>
        <v>16.5126005372889</v>
      </c>
      <c r="BE95" s="13" t="n">
        <f aca="false">BE88+BE89-BE90-BE91-BE92-BE93-BE94</f>
        <v>16.8303156822118</v>
      </c>
      <c r="BF95" s="13" t="n">
        <f aca="false">BF88+BF89-BF90-BF91-BF92-BF93-BF94</f>
        <v>16.6143947193942</v>
      </c>
      <c r="BG95" s="13" t="n">
        <f aca="false">BG88+BG89-BG90-BG91-BG92-BG93-BG94</f>
        <v>16.94512217978</v>
      </c>
      <c r="BH95" s="13" t="n">
        <f aca="false">BH88+BH89-BH90-BH91-BH92-BH93-BH94</f>
        <v>16.7553903463715</v>
      </c>
      <c r="BI95" s="13" t="n">
        <f aca="false">BI88+BI89-BI90-BI91-BI92-BI93-BI94</f>
        <v>17.0099616717831</v>
      </c>
      <c r="BJ95" s="13" t="n">
        <f aca="false">BJ88+BJ89-BJ90-BJ91-BJ92-BJ93-BJ94</f>
        <v>16.376900275775</v>
      </c>
      <c r="BK95" s="13" t="n">
        <f aca="false">BK88+BK89-BK90-BK91-BK92-BK93-BK94</f>
        <v>17.2234270070726</v>
      </c>
      <c r="BL95" s="13" t="n">
        <f aca="false">BL88+BL89-BL90-BL91-BL92-BL93-BL94</f>
        <v>16.9861217677808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14.8369850499265</v>
      </c>
      <c r="P96" s="13" t="n">
        <f aca="false">P95-O95</f>
        <v>-0.0510933860336777</v>
      </c>
      <c r="Q96" s="13" t="n">
        <f aca="false">Q95-P95</f>
        <v>0.239682531835944</v>
      </c>
      <c r="R96" s="13" t="n">
        <f aca="false">R95-Q95</f>
        <v>-0.221000352443165</v>
      </c>
      <c r="S96" s="13" t="n">
        <f aca="false">S95-R95</f>
        <v>0.273923940595592</v>
      </c>
      <c r="T96" s="13" t="n">
        <f aca="false">T95-S95</f>
        <v>-0.202358937022472</v>
      </c>
      <c r="U96" s="13" t="n">
        <f aca="false">U95-T95</f>
        <v>0.196938288216133</v>
      </c>
      <c r="V96" s="13" t="n">
        <f aca="false">V95-U95</f>
        <v>-0.127392019414375</v>
      </c>
      <c r="W96" s="13" t="n">
        <f aca="false">W95-V95</f>
        <v>0.276432403085087</v>
      </c>
      <c r="X96" s="13" t="n">
        <f aca="false">X95-W95</f>
        <v>-0.206194076831569</v>
      </c>
      <c r="Y96" s="13" t="n">
        <f aca="false">Y95-X95</f>
        <v>0.279235365240252</v>
      </c>
      <c r="Z96" s="13" t="n">
        <f aca="false">Z95-Y95</f>
        <v>-0.204694503777972</v>
      </c>
      <c r="AA96" s="13" t="n">
        <f aca="false">AA95-Z95</f>
        <v>0.281756387889823</v>
      </c>
      <c r="AB96" s="13" t="n">
        <f aca="false">AB95-AA95</f>
        <v>-0.204108327580967</v>
      </c>
      <c r="AC96" s="13" t="n">
        <f aca="false">AC95-AB95</f>
        <v>0.209595968781406</v>
      </c>
      <c r="AD96" s="13" t="n">
        <f aca="false">AD95-AC95</f>
        <v>-0.174555103229926</v>
      </c>
      <c r="AE96" s="13" t="n">
        <f aca="false">AE95-AD95</f>
        <v>0.340851443874373</v>
      </c>
      <c r="AF96" s="13" t="n">
        <f aca="false">AF95-AE95</f>
        <v>-0.215734467395363</v>
      </c>
      <c r="AG96" s="13" t="n">
        <f aca="false">AG95-AF95</f>
        <v>0.292681846620678</v>
      </c>
      <c r="AH96" s="13" t="n">
        <f aca="false">AH95-AG95</f>
        <v>-0.19624238890604</v>
      </c>
      <c r="AI96" s="13" t="n">
        <f aca="false">AI95-AH95</f>
        <v>0.291558496387296</v>
      </c>
      <c r="AJ96" s="13" t="n">
        <f aca="false">AJ95-AI95</f>
        <v>-0.204626631707121</v>
      </c>
      <c r="AK96" s="13" t="n">
        <f aca="false">AK95-AJ95</f>
        <v>0.216648398890934</v>
      </c>
      <c r="AL96" s="13" t="n">
        <f aca="false">AL95-AK95</f>
        <v>-0.221558752919501</v>
      </c>
      <c r="AM96" s="13" t="n">
        <f aca="false">AM95-AL95</f>
        <v>0.393494508468635</v>
      </c>
      <c r="AN96" s="13" t="n">
        <f aca="false">AN95-AM95</f>
        <v>-0.221286301569306</v>
      </c>
      <c r="AO96" s="13" t="n">
        <f aca="false">AO95-AN95</f>
        <v>0.299988395305881</v>
      </c>
      <c r="AP96" s="13" t="n">
        <f aca="false">AP95-AO95</f>
        <v>-0.20263341265199</v>
      </c>
      <c r="AQ96" s="13" t="n">
        <f aca="false">AQ95-AP95</f>
        <v>0.295931313913528</v>
      </c>
      <c r="AR96" s="13" t="n">
        <f aca="false">AR95-AQ95</f>
        <v>-0.171723936890775</v>
      </c>
      <c r="AS96" s="13" t="n">
        <f aca="false">AS95-AR95</f>
        <v>0.194376161238882</v>
      </c>
      <c r="AT96" s="13" t="n">
        <f aca="false">AT95-AS95</f>
        <v>-0.558709329167629</v>
      </c>
      <c r="AU96" s="13" t="n">
        <f aca="false">AU95-AT95</f>
        <v>0.763064824906069</v>
      </c>
      <c r="AV96" s="13" t="n">
        <f aca="false">AV95-AU95</f>
        <v>-0.205929979341917</v>
      </c>
      <c r="AW96" s="13" t="n">
        <f aca="false">AW95-AV95</f>
        <v>0.282651568382434</v>
      </c>
      <c r="AX96" s="13" t="n">
        <f aca="false">AX95-AW95</f>
        <v>-0.186984028568954</v>
      </c>
      <c r="AY96" s="13" t="n">
        <f aca="false">AY95-AX95</f>
        <v>0.316752774948981</v>
      </c>
      <c r="AZ96" s="13" t="n">
        <f aca="false">AZ95-AY95</f>
        <v>-0.199105450149613</v>
      </c>
      <c r="BA96" s="13" t="n">
        <f aca="false">BA95-AZ95</f>
        <v>0.187951784274912</v>
      </c>
      <c r="BB96" s="13" t="n">
        <f aca="false">BB95-BA95</f>
        <v>-0.445444429657307</v>
      </c>
      <c r="BC96" s="13" t="n">
        <f aca="false">BC95-BB95</f>
        <v>0.687634130081641</v>
      </c>
      <c r="BD96" s="13" t="n">
        <f aca="false">BD95-BC95</f>
        <v>-0.224159230316427</v>
      </c>
      <c r="BE96" s="13" t="n">
        <f aca="false">BE95-BD95</f>
        <v>0.317715144922897</v>
      </c>
      <c r="BF96" s="13" t="n">
        <f aca="false">BF95-BE95</f>
        <v>-0.215920962817556</v>
      </c>
      <c r="BG96" s="13" t="n">
        <f aca="false">BG95-BF95</f>
        <v>0.330727460385745</v>
      </c>
      <c r="BH96" s="13" t="n">
        <f aca="false">BH95-BG95</f>
        <v>-0.189731833408466</v>
      </c>
      <c r="BI96" s="13" t="n">
        <f aca="false">BI95-BH95</f>
        <v>0.254571325411554</v>
      </c>
      <c r="BJ96" s="13" t="n">
        <f aca="false">BJ95-BI95</f>
        <v>-0.633061396008113</v>
      </c>
      <c r="BK96" s="13" t="n">
        <f aca="false">BK95-BJ95</f>
        <v>0.846526731297601</v>
      </c>
      <c r="BL96" s="13" t="n">
        <f aca="false">BL95-BK95</f>
        <v>-0.237305239291782</v>
      </c>
      <c r="BM96" s="13" t="n">
        <f aca="false">BM95-BL95</f>
        <v>-16.9861217677808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4.64607433596439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0.0443044547996649</v>
      </c>
      <c r="P98" s="13" t="n">
        <f aca="false">P51-P73</f>
        <v>0.131478681704607</v>
      </c>
      <c r="Q98" s="13" t="n">
        <f aca="false">Q51-Q73</f>
        <v>0.129221808802143</v>
      </c>
      <c r="R98" s="13" t="n">
        <f aca="false">R51-R73</f>
        <v>0.121778634612141</v>
      </c>
      <c r="S98" s="13" t="n">
        <f aca="false">S51-S73</f>
        <v>0.12166753431093</v>
      </c>
      <c r="T98" s="13" t="n">
        <f aca="false">T51-T73</f>
        <v>0.118693747089921</v>
      </c>
      <c r="U98" s="13" t="n">
        <f aca="false">U51-U73</f>
        <v>0.119305151975993</v>
      </c>
      <c r="V98" s="13" t="n">
        <f aca="false">V51-V73</f>
        <v>0.117870355371437</v>
      </c>
      <c r="W98" s="13" t="n">
        <f aca="false">W51-W73</f>
        <v>0.118569969747796</v>
      </c>
      <c r="X98" s="13" t="n">
        <f aca="false">X51-X73</f>
        <v>0.117389712000744</v>
      </c>
      <c r="Y98" s="13" t="n">
        <f aca="false">Y51-Y73</f>
        <v>0.117644526405272</v>
      </c>
      <c r="Z98" s="13" t="n">
        <f aca="false">Z51-Z73</f>
        <v>0.115678878292982</v>
      </c>
      <c r="AA98" s="13" t="n">
        <f aca="false">AA51-AA73</f>
        <v>0.115726975843998</v>
      </c>
      <c r="AB98" s="13" t="n">
        <f aca="false">AB51-AB73</f>
        <v>0.113469105959936</v>
      </c>
      <c r="AC98" s="13" t="n">
        <f aca="false">AC51-AC73</f>
        <v>0.11182350864739</v>
      </c>
      <c r="AD98" s="13" t="n">
        <f aca="false">AD51-AD73</f>
        <v>0.106403849657582</v>
      </c>
      <c r="AE98" s="13" t="n">
        <f aca="false">AE51-AE73</f>
        <v>0.108061852586474</v>
      </c>
      <c r="AF98" s="13" t="n">
        <f aca="false">AF51-AF73</f>
        <v>0.109260845941847</v>
      </c>
      <c r="AG98" s="13" t="n">
        <f aca="false">AG51-AG73</f>
        <v>0.107939698783568</v>
      </c>
      <c r="AH98" s="13" t="n">
        <f aca="false">AH51-AH73</f>
        <v>0.103405009414786</v>
      </c>
      <c r="AI98" s="13" t="n">
        <f aca="false">AI51-AI73</f>
        <v>0.103159398367154</v>
      </c>
      <c r="AJ98" s="13" t="n">
        <f aca="false">AJ51-AJ73</f>
        <v>0.100899949878198</v>
      </c>
      <c r="AK98" s="13" t="n">
        <f aca="false">AK51-AK73</f>
        <v>0.0997594968361852</v>
      </c>
      <c r="AL98" s="13" t="n">
        <f aca="false">AL51-AL73</f>
        <v>0.0959121197397224</v>
      </c>
      <c r="AM98" s="13" t="n">
        <f aca="false">AM51-AM73</f>
        <v>0.0972175646348035</v>
      </c>
      <c r="AN98" s="13" t="n">
        <f aca="false">AN51-AN73</f>
        <v>0.0982597240950156</v>
      </c>
      <c r="AO98" s="13" t="n">
        <f aca="false">AO51-AO73</f>
        <v>0.0974282800031432</v>
      </c>
      <c r="AP98" s="13" t="n">
        <f aca="false">AP51-AP73</f>
        <v>0.0944325882634587</v>
      </c>
      <c r="AQ98" s="13" t="n">
        <f aca="false">AQ51-AQ73</f>
        <v>0.0947598789370403</v>
      </c>
      <c r="AR98" s="13" t="n">
        <f aca="false">AR51-AR73</f>
        <v>0.0941567888235255</v>
      </c>
      <c r="AS98" s="13" t="n">
        <f aca="false">AS51-AS73</f>
        <v>0.0902994479062045</v>
      </c>
      <c r="AT98" s="13" t="n">
        <f aca="false">AT51-AT73</f>
        <v>0.0818211515141911</v>
      </c>
      <c r="AU98" s="13" t="n">
        <f aca="false">AU51-AU73</f>
        <v>0.0836960808139367</v>
      </c>
      <c r="AV98" s="13" t="n">
        <f aca="false">AV51-AV73</f>
        <v>0.0864333856889914</v>
      </c>
      <c r="AW98" s="13" t="n">
        <f aca="false">AW51-AW73</f>
        <v>0.0840569677100547</v>
      </c>
      <c r="AX98" s="13" t="n">
        <f aca="false">AX51-AX73</f>
        <v>0.07879377689774</v>
      </c>
      <c r="AY98" s="13" t="n">
        <f aca="false">AY51-AY73</f>
        <v>0.0772126830430864</v>
      </c>
      <c r="AZ98" s="13" t="n">
        <f aca="false">AZ51-AZ73</f>
        <v>0.0736807406946269</v>
      </c>
      <c r="BA98" s="13" t="n">
        <f aca="false">BA51-BA73</f>
        <v>0.0717401290152111</v>
      </c>
      <c r="BB98" s="13" t="n">
        <f aca="false">BB51-BB73</f>
        <v>0.067726672836443</v>
      </c>
      <c r="BC98" s="13" t="n">
        <f aca="false">BC51-BC73</f>
        <v>0.0683238218319531</v>
      </c>
      <c r="BD98" s="13" t="n">
        <f aca="false">BD51-BD73</f>
        <v>0.0692779127041234</v>
      </c>
      <c r="BE98" s="13" t="n">
        <f aca="false">BE51-BE73</f>
        <v>0.0675202465515241</v>
      </c>
      <c r="BF98" s="13" t="n">
        <f aca="false">BF51-BF73</f>
        <v>0.0642477227706451</v>
      </c>
      <c r="BG98" s="13" t="n">
        <f aca="false">BG51-BG73</f>
        <v>0.0617914708155496</v>
      </c>
      <c r="BH98" s="13" t="n">
        <f aca="false">BH51-BH73</f>
        <v>0.0574368673879775</v>
      </c>
      <c r="BI98" s="13" t="n">
        <f aca="false">BI51-BI73</f>
        <v>0.0547309559257627</v>
      </c>
      <c r="BJ98" s="13" t="n">
        <f aca="false">BJ51-BJ73</f>
        <v>0.0501316886405192</v>
      </c>
      <c r="BK98" s="13" t="n">
        <f aca="false">BK51-BK73</f>
        <v>0.0497821824106666</v>
      </c>
      <c r="BL98" s="13" t="n">
        <f aca="false">BL51-BL73</f>
        <v>0.0496807859276061</v>
      </c>
      <c r="BM98" s="13" t="n">
        <f aca="false">BM51-BM73</f>
        <v>0.0320095533501217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836.557013306481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7.52901311975833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22.587039359275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22.587039359275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22.587039359275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22.587039359275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22.587039359275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22.587039359275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22.587039359275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22.587039359275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22.587039359275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21.7504823459685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20.0773683193555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20.0773683193555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20.0773683193555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20.0773683193555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20.0773683193555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20.0773683193555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20.0773683193555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20.0773683193555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20.0773683193555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20.0773683193555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20.0773683193555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20.0773683193555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20.0773683193555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20.0773683193555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20.0773683193555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20.0773683193555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20.0773683193555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20.0773683193555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20.0773683193555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20.0773683193555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20.0773683193555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20.0773683193555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20.0773683193555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20.0773683193555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20.0773683193555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20.0773683193555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20.0773683193555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20.0773683193555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20.0773683193555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13.6637645506725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0.836557013306481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0.836557013306481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0.836557013306481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0.836557013306481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0.836557013306481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0.836557013306481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0.836557013306481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0.836557013306481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0.836557013306481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0.557704675537654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225.87039359275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7.52901311975833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22.587039359275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22.587039359275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22.587039359275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22.587039359275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22.587039359275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22.587039359275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22.587039359275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22.587039359275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22.587039359275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15.0580262395167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610.686619713731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6.69245610645185</v>
      </c>
      <c r="Z12" s="13" t="n">
        <f aca="false">Z10-Z11</f>
        <v>20.0773683193555</v>
      </c>
      <c r="AA12" s="13" t="n">
        <f aca="false">AA10-AA11</f>
        <v>20.0773683193555</v>
      </c>
      <c r="AB12" s="13" t="n">
        <f aca="false">AB10-AB11</f>
        <v>20.0773683193555</v>
      </c>
      <c r="AC12" s="13" t="n">
        <f aca="false">AC10-AC11</f>
        <v>20.0773683193555</v>
      </c>
      <c r="AD12" s="13" t="n">
        <f aca="false">AD10-AD11</f>
        <v>20.0773683193555</v>
      </c>
      <c r="AE12" s="13" t="n">
        <f aca="false">AE10-AE11</f>
        <v>20.0773683193555</v>
      </c>
      <c r="AF12" s="13" t="n">
        <f aca="false">AF10-AF11</f>
        <v>20.0773683193555</v>
      </c>
      <c r="AG12" s="13" t="n">
        <f aca="false">AG10-AG11</f>
        <v>20.0773683193555</v>
      </c>
      <c r="AH12" s="13" t="n">
        <f aca="false">AH10-AH11</f>
        <v>20.0773683193555</v>
      </c>
      <c r="AI12" s="13" t="n">
        <f aca="false">AI10-AI11</f>
        <v>20.0773683193555</v>
      </c>
      <c r="AJ12" s="13" t="n">
        <f aca="false">AJ10-AJ11</f>
        <v>20.0773683193555</v>
      </c>
      <c r="AK12" s="13" t="n">
        <f aca="false">AK10-AK11</f>
        <v>20.0773683193555</v>
      </c>
      <c r="AL12" s="13" t="n">
        <f aca="false">AL10-AL11</f>
        <v>20.0773683193555</v>
      </c>
      <c r="AM12" s="13" t="n">
        <f aca="false">AM10-AM11</f>
        <v>20.0773683193555</v>
      </c>
      <c r="AN12" s="13" t="n">
        <f aca="false">AN10-AN11</f>
        <v>20.0773683193555</v>
      </c>
      <c r="AO12" s="13" t="n">
        <f aca="false">AO10-AO11</f>
        <v>20.0773683193555</v>
      </c>
      <c r="AP12" s="13" t="n">
        <f aca="false">AP10-AP11</f>
        <v>20.0773683193555</v>
      </c>
      <c r="AQ12" s="13" t="n">
        <f aca="false">AQ10-AQ11</f>
        <v>20.0773683193555</v>
      </c>
      <c r="AR12" s="13" t="n">
        <f aca="false">AR10-AR11</f>
        <v>20.0773683193555</v>
      </c>
      <c r="AS12" s="13" t="n">
        <f aca="false">AS10-AS11</f>
        <v>20.0773683193555</v>
      </c>
      <c r="AT12" s="13" t="n">
        <f aca="false">AT10-AT11</f>
        <v>20.0773683193555</v>
      </c>
      <c r="AU12" s="13" t="n">
        <f aca="false">AU10-AU11</f>
        <v>20.0773683193555</v>
      </c>
      <c r="AV12" s="13" t="n">
        <f aca="false">AV10-AV11</f>
        <v>20.0773683193555</v>
      </c>
      <c r="AW12" s="13" t="n">
        <f aca="false">AW10-AW11</f>
        <v>20.0773683193555</v>
      </c>
      <c r="AX12" s="13" t="n">
        <f aca="false">AX10-AX11</f>
        <v>20.0773683193555</v>
      </c>
      <c r="AY12" s="13" t="n">
        <f aca="false">AY10-AY11</f>
        <v>20.0773683193555</v>
      </c>
      <c r="AZ12" s="13" t="n">
        <f aca="false">AZ10-AZ11</f>
        <v>20.0773683193555</v>
      </c>
      <c r="BA12" s="13" t="n">
        <f aca="false">BA10-BA11</f>
        <v>20.0773683193555</v>
      </c>
      <c r="BB12" s="13" t="n">
        <f aca="false">BB10-BB11</f>
        <v>20.0773683193555</v>
      </c>
      <c r="BC12" s="13" t="n">
        <f aca="false">BC10-BC11</f>
        <v>13.6637645506725</v>
      </c>
      <c r="BD12" s="13" t="n">
        <f aca="false">BD10-BD11</f>
        <v>0.836557013306481</v>
      </c>
      <c r="BE12" s="13" t="n">
        <f aca="false">BE10-BE11</f>
        <v>0.836557013306481</v>
      </c>
      <c r="BF12" s="13" t="n">
        <f aca="false">BF10-BF11</f>
        <v>0.836557013306481</v>
      </c>
      <c r="BG12" s="13" t="n">
        <f aca="false">BG10-BG11</f>
        <v>0.836557013306481</v>
      </c>
      <c r="BH12" s="13" t="n">
        <f aca="false">BH10-BH11</f>
        <v>0.836557013306481</v>
      </c>
      <c r="BI12" s="13" t="n">
        <f aca="false">BI10-BI11</f>
        <v>0.836557013306481</v>
      </c>
      <c r="BJ12" s="13" t="n">
        <f aca="false">BJ10-BJ11</f>
        <v>0.836557013306481</v>
      </c>
      <c r="BK12" s="13" t="n">
        <f aca="false">BK10-BK11</f>
        <v>0.836557013306481</v>
      </c>
      <c r="BL12" s="13" t="n">
        <f aca="false">BL10-BL11</f>
        <v>0.836557013306481</v>
      </c>
      <c r="BM12" s="13" t="n">
        <f aca="false">BM10-BM11</f>
        <v>0.557704675537654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203.621330346284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3.2012405440684</v>
      </c>
      <c r="P13" s="13" t="n">
        <f aca="false">IF(Time!P20&gt;=Time!$F$12,Waterfall!P33*Inputs!$F$104/100*Time!P31/Inputs!$F$248,0)</f>
        <v>9.8095097106204</v>
      </c>
      <c r="Q13" s="13" t="n">
        <f aca="false">IF(Time!Q20&gt;=Time!$F$12,Waterfall!Q33*Inputs!$F$104/100*Time!Q31/Inputs!$F$248,0)</f>
        <v>9.41633211241484</v>
      </c>
      <c r="R13" s="13" t="n">
        <f aca="false">IF(Time!R20&gt;=Time!$F$12,Waterfall!R33*Inputs!$F$104/100*Time!R31/Inputs!$F$248,0)</f>
        <v>9.44421833108888</v>
      </c>
      <c r="S13" s="13" t="n">
        <f aca="false">IF(Time!S20&gt;=Time!$F$12,Waterfall!S33*Inputs!$F$104/100*Time!S31/Inputs!$F$248,0)</f>
        <v>9.12229390984625</v>
      </c>
      <c r="T13" s="13" t="n">
        <f aca="false">IF(Time!T20&gt;=Time!$F$12,Waterfall!T33*Inputs!$F$104/100*Time!T31/Inputs!$F$248,0)</f>
        <v>9.1265839583859</v>
      </c>
      <c r="U13" s="13" t="n">
        <f aca="false">IF(Time!U20&gt;=Time!$F$12,Waterfall!U33*Inputs!$F$104/100*Time!U31/Inputs!$F$248,0)</f>
        <v>8.84575857769167</v>
      </c>
      <c r="V13" s="13" t="n">
        <f aca="false">IF(Time!V20&gt;=Time!$F$12,Waterfall!V33*Inputs!$F$104/100*Time!V31/Inputs!$F$248,0)</f>
        <v>8.79648865874322</v>
      </c>
      <c r="W13" s="13" t="n">
        <f aca="false">IF(Time!W20&gt;=Time!$F$12,Waterfall!W33*Inputs!$F$104/100*Time!W31/Inputs!$F$248,0)</f>
        <v>8.45733660786073</v>
      </c>
      <c r="X13" s="13" t="n">
        <f aca="false">IF(Time!X20&gt;=Time!$F$12,Waterfall!X33*Inputs!$F$104/100*Time!X31/Inputs!$F$248,0)</f>
        <v>8.34659728858766</v>
      </c>
      <c r="Y13" s="13" t="n">
        <f aca="false">IF(Time!Y20&gt;=Time!$F$12,Waterfall!Y33*Inputs!$F$104/100*Time!Y31/Inputs!$F$248,0)</f>
        <v>8.01068014926632</v>
      </c>
      <c r="Z13" s="13" t="n">
        <f aca="false">IF(Time!Z20&gt;=Time!$F$12,Waterfall!Z33*Inputs!$F$104/100*Time!Z31/Inputs!$F$248,0)</f>
        <v>7.96382780180943</v>
      </c>
      <c r="AA13" s="13" t="n">
        <f aca="false">IF(Time!AA20&gt;=Time!$F$12,Waterfall!AA33*Inputs!$F$104/100*Time!AA31/Inputs!$F$248,0)</f>
        <v>7.62597922921539</v>
      </c>
      <c r="AB13" s="13" t="n">
        <f aca="false">IF(Time!AB20&gt;=Time!$F$12,Waterfall!AB33*Inputs!$F$104/100*Time!AB31/Inputs!$F$248,0)</f>
        <v>7.8411913969963</v>
      </c>
      <c r="AC13" s="13" t="n">
        <f aca="false">IF(Time!AC20&gt;=Time!$F$12,Waterfall!AC33*Inputs!$F$104/100*Time!AC31/Inputs!$F$248,0)</f>
        <v>7.80862775976994</v>
      </c>
      <c r="AD13" s="13" t="n">
        <f aca="false">IF(Time!AD20&gt;=Time!$F$12,Waterfall!AD33*Inputs!$F$104/100*Time!AD31/Inputs!$F$248,0)</f>
        <v>7.96399951924969</v>
      </c>
      <c r="AE13" s="13" t="n">
        <f aca="false">IF(Time!AE20&gt;=Time!$F$12,Waterfall!AE33*Inputs!$F$104/100*Time!AE31/Inputs!$F$248,0)</f>
        <v>7.8370202378581</v>
      </c>
      <c r="AF13" s="13" t="n">
        <f aca="false">IF(Time!AF20&gt;=Time!$F$12,Waterfall!AF33*Inputs!$F$104/100*Time!AF31/Inputs!$F$248,0)</f>
        <v>7.94378244409152</v>
      </c>
      <c r="AG13" s="13" t="n">
        <f aca="false">IF(Time!AG20&gt;=Time!$F$12,Waterfall!AG33*Inputs!$F$104/100*Time!AG31/Inputs!$F$248,0)</f>
        <v>7.76212701491654</v>
      </c>
      <c r="AH13" s="13" t="n">
        <f aca="false">IF(Time!AH20&gt;=Time!$F$12,Waterfall!AH33*Inputs!$F$104/100*Time!AH31/Inputs!$F$248,0)</f>
        <v>7.81092578245336</v>
      </c>
      <c r="AI13" s="13" t="n">
        <f aca="false">IF(Time!AI20&gt;=Time!$F$12,Waterfall!AI33*Inputs!$F$104/100*Time!AI31/Inputs!$F$248,0)</f>
        <v>7.54404066357211</v>
      </c>
      <c r="AJ13" s="13" t="n">
        <f aca="false">IF(Time!AJ20&gt;=Time!$F$12,Waterfall!AJ33*Inputs!$F$104/100*Time!AJ31/Inputs!$F$248,0)</f>
        <v>7.47606274447272</v>
      </c>
      <c r="AK13" s="13" t="n">
        <f aca="false">IF(Time!AK20&gt;=Time!$F$12,Waterfall!AK33*Inputs!$F$104/100*Time!AK31/Inputs!$F$248,0)</f>
        <v>7.11658467446623</v>
      </c>
      <c r="AL13" s="13" t="n">
        <f aca="false">IF(Time!AL20&gt;=Time!$F$12,Waterfall!AL33*Inputs!$F$104/100*Time!AL31/Inputs!$F$248,0)</f>
        <v>6.22457747928095</v>
      </c>
      <c r="AM13" s="13" t="n">
        <f aca="false">IF(Time!AM20&gt;=Time!$F$12,Waterfall!AM33*Inputs!$F$104/100*Time!AM31/Inputs!$F$248,0)</f>
        <v>5.04163180821668</v>
      </c>
      <c r="AN13" s="13" t="n">
        <f aca="false">IF(Time!AN20&gt;=Time!$F$12,Waterfall!AN33*Inputs!$F$104/100*Time!AN31/Inputs!$F$248,0)</f>
        <v>3.80808985761517</v>
      </c>
      <c r="AO13" s="13" t="n">
        <f aca="false">IF(Time!AO20&gt;=Time!$F$12,Waterfall!AO33*Inputs!$F$104/100*Time!AO31/Inputs!$F$248,0)</f>
        <v>2.53642985843519</v>
      </c>
      <c r="AP13" s="13" t="n">
        <f aca="false">IF(Time!AP20&gt;=Time!$F$12,Waterfall!AP33*Inputs!$F$104/100*Time!AP31/Inputs!$F$248,0)</f>
        <v>0.739392225289978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0.660018978715126</v>
      </c>
      <c r="P14" s="3" t="n">
        <f aca="false">IF(Waterfall!P33&gt;0,MIN(1,Inputs!$F$183*(Waterfall!$F$32+MAX(0,Waterfall!O43))/Waterfall!P33),1)</f>
        <v>0.791426499413829</v>
      </c>
      <c r="Q14" s="3" t="n">
        <f aca="false">IF(Waterfall!Q33&gt;0,MIN(1,Inputs!$F$183*(Waterfall!$F$32+MAX(0,Waterfall!P43))/Waterfall!Q33),1)</f>
        <v>0.916882412465566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199.704302728748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2.11287951451748</v>
      </c>
      <c r="P15" s="13" t="n">
        <f aca="false">P13*P14</f>
        <v>7.76350593124227</v>
      </c>
      <c r="Q15" s="13" t="n">
        <f aca="false">Q13*Q14</f>
        <v>8.6336693038079</v>
      </c>
      <c r="R15" s="13" t="n">
        <f aca="false">R13*R14</f>
        <v>9.44421833108888</v>
      </c>
      <c r="S15" s="13" t="n">
        <f aca="false">S13*S14</f>
        <v>9.12229390984625</v>
      </c>
      <c r="T15" s="13" t="n">
        <f aca="false">T13*T14</f>
        <v>9.1265839583859</v>
      </c>
      <c r="U15" s="13" t="n">
        <f aca="false">U13*U14</f>
        <v>8.84575857769167</v>
      </c>
      <c r="V15" s="13" t="n">
        <f aca="false">V13*V14</f>
        <v>8.79648865874322</v>
      </c>
      <c r="W15" s="13" t="n">
        <f aca="false">W13*W14</f>
        <v>8.45733660786073</v>
      </c>
      <c r="X15" s="13" t="n">
        <f aca="false">X13*X14</f>
        <v>8.34659728858766</v>
      </c>
      <c r="Y15" s="13" t="n">
        <f aca="false">Y13*Y14</f>
        <v>8.01068014926632</v>
      </c>
      <c r="Z15" s="13" t="n">
        <f aca="false">Z13*Z14</f>
        <v>7.96382780180943</v>
      </c>
      <c r="AA15" s="13" t="n">
        <f aca="false">AA13*AA14</f>
        <v>7.62597922921539</v>
      </c>
      <c r="AB15" s="13" t="n">
        <f aca="false">AB13*AB14</f>
        <v>7.8411913969963</v>
      </c>
      <c r="AC15" s="13" t="n">
        <f aca="false">AC13*AC14</f>
        <v>7.80862775976994</v>
      </c>
      <c r="AD15" s="13" t="n">
        <f aca="false">AD13*AD14</f>
        <v>7.96399951924969</v>
      </c>
      <c r="AE15" s="13" t="n">
        <f aca="false">AE13*AE14</f>
        <v>7.8370202378581</v>
      </c>
      <c r="AF15" s="13" t="n">
        <f aca="false">AF13*AF14</f>
        <v>7.94378244409152</v>
      </c>
      <c r="AG15" s="13" t="n">
        <f aca="false">AG13*AG14</f>
        <v>7.76212701491654</v>
      </c>
      <c r="AH15" s="13" t="n">
        <f aca="false">AH13*AH14</f>
        <v>7.81092578245336</v>
      </c>
      <c r="AI15" s="13" t="n">
        <f aca="false">AI13*AI14</f>
        <v>7.54404066357211</v>
      </c>
      <c r="AJ15" s="13" t="n">
        <f aca="false">AJ13*AJ14</f>
        <v>7.47606274447272</v>
      </c>
      <c r="AK15" s="13" t="n">
        <f aca="false">AK13*AK14</f>
        <v>7.11658467446623</v>
      </c>
      <c r="AL15" s="13" t="n">
        <f aca="false">AL13*AL14</f>
        <v>6.22457747928095</v>
      </c>
      <c r="AM15" s="13" t="n">
        <f aca="false">AM13*AM14</f>
        <v>5.04163180821668</v>
      </c>
      <c r="AN15" s="13" t="n">
        <f aca="false">AN13*AN14</f>
        <v>3.80808985761517</v>
      </c>
      <c r="AO15" s="13" t="n">
        <f aca="false">AO13*AO14</f>
        <v>2.53642985843519</v>
      </c>
      <c r="AP15" s="13" t="n">
        <f aca="false">AP13*AP14</f>
        <v>0.739392225289978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313.798043358467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21.7528573149255</v>
      </c>
      <c r="Q16" s="13" t="n">
        <f aca="false">Debt!Q112+Debt!Q110+Debt!Q104-Debt!Q103</f>
        <v>21.0085513014423</v>
      </c>
      <c r="R16" s="13" t="n">
        <f aca="false">Debt!R112+Debt!R110+Debt!R104-Debt!R103</f>
        <v>20.6810568855824</v>
      </c>
      <c r="S16" s="13" t="n">
        <f aca="false">Debt!S112+Debt!S110+Debt!S104-Debt!S103</f>
        <v>19.8905081387575</v>
      </c>
      <c r="T16" s="13" t="n">
        <f aca="false">Debt!T112+Debt!T110+Debt!T104-Debt!T103</f>
        <v>19.5062318364031</v>
      </c>
      <c r="U16" s="13" t="n">
        <f aca="false">Debt!U112+Debt!U110+Debt!U104-Debt!U103</f>
        <v>18.7440650849742</v>
      </c>
      <c r="V16" s="13" t="n">
        <f aca="false">Debt!V112+Debt!V110+Debt!V104-Debt!V103</f>
        <v>18.2316170796452</v>
      </c>
      <c r="W16" s="13" t="n">
        <f aca="false">Debt!W112+Debt!W110+Debt!W104-Debt!W103</f>
        <v>17.354050398097</v>
      </c>
      <c r="X16" s="13" t="n">
        <f aca="false">Debt!X112+Debt!X110+Debt!X104-Debt!X103</f>
        <v>16.8313392235869</v>
      </c>
      <c r="Y16" s="13" t="n">
        <f aca="false">Debt!Y112+Debt!Y110+Debt!Y104-Debt!Y103</f>
        <v>16.4655535009991</v>
      </c>
      <c r="Z16" s="13" t="n">
        <f aca="false">Debt!Z112+Debt!Z110+Debt!Z104-Debt!Z103</f>
        <v>15.9337937695255</v>
      </c>
      <c r="AA16" s="13" t="n">
        <f aca="false">Debt!AA112+Debt!AA110+Debt!AA104-Debt!AA103</f>
        <v>15.0259301475385</v>
      </c>
      <c r="AB16" s="13" t="n">
        <f aca="false">Debt!AB112+Debt!AB110+Debt!AB104-Debt!AB103</f>
        <v>14.1439785278877</v>
      </c>
      <c r="AC16" s="13" t="n">
        <f aca="false">Debt!AC112+Debt!AC110+Debt!AC104-Debt!AC103</f>
        <v>12.9364852962399</v>
      </c>
      <c r="AD16" s="13" t="n">
        <f aca="false">Debt!AD112+Debt!AD110+Debt!AD104-Debt!AD103</f>
        <v>11.9261221047893</v>
      </c>
      <c r="AE16" s="13" t="n">
        <f aca="false">Debt!AE112+Debt!AE110+Debt!AE104-Debt!AE103</f>
        <v>10.586831840588</v>
      </c>
      <c r="AF16" s="13" t="n">
        <f aca="false">Debt!AF112+Debt!AF110+Debt!AF104-Debt!AF103</f>
        <v>9.44149495446864</v>
      </c>
      <c r="AG16" s="13" t="n">
        <f aca="false">Debt!AG112+Debt!AG110+Debt!AG104-Debt!AG103</f>
        <v>8.27295090506829</v>
      </c>
      <c r="AH16" s="13" t="n">
        <f aca="false">Debt!AH112+Debt!AH110+Debt!AH104-Debt!AH103</f>
        <v>7.03402712295882</v>
      </c>
      <c r="AI16" s="13" t="n">
        <f aca="false">Debt!AI112+Debt!AI110+Debt!AI104-Debt!AI103</f>
        <v>5.60909101785615</v>
      </c>
      <c r="AJ16" s="13" t="n">
        <f aca="false">Debt!AJ112+Debt!AJ110+Debt!AJ104-Debt!AJ103</f>
        <v>4.2925945201073</v>
      </c>
      <c r="AK16" s="13" t="n">
        <f aca="false">Debt!AK112+Debt!AK110+Debt!AK104-Debt!AK103</f>
        <v>2.88554630052377</v>
      </c>
      <c r="AL16" s="13" t="n">
        <f aca="false">Debt!AL112+Debt!AL110+Debt!AL104-Debt!AL103</f>
        <v>2.17331054109689</v>
      </c>
      <c r="AM16" s="13" t="n">
        <f aca="false">Debt!AM112+Debt!AM110+Debt!AM104-Debt!AM103</f>
        <v>1.58094261128887</v>
      </c>
      <c r="AN16" s="13" t="n">
        <f aca="false">Debt!AN112+Debt!AN110+Debt!AN104-Debt!AN103</f>
        <v>0.991937050106917</v>
      </c>
      <c r="AO16" s="13" t="n">
        <f aca="false">Debt!AO112+Debt!AO110+Debt!AO104-Debt!AO103</f>
        <v>0.497175884009074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1194.58832428177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2.14629787600139</v>
      </c>
      <c r="Z18" s="13" t="n">
        <f aca="false">(Operations!Z84-Z16-Z15)*Z17-Z12</f>
        <v>7.08184741363295</v>
      </c>
      <c r="AA18" s="13" t="n">
        <f aca="false">(Operations!AA84-AA16-AA15)*AA17-AA12</f>
        <v>8.40915197152913</v>
      </c>
      <c r="AB18" s="13" t="n">
        <f aca="false">(Operations!AB84-AB16-AB15)*AB17-AB12</f>
        <v>9.15626076763379</v>
      </c>
      <c r="AC18" s="13" t="n">
        <f aca="false">(Operations!AC84-AC16-AC15)*AC17-AC12</f>
        <v>10.5745656846488</v>
      </c>
      <c r="AD18" s="13" t="n">
        <f aca="false">(Operations!AD84-AD16-AD15)*AD17-AD12</f>
        <v>-0.373989525011663</v>
      </c>
      <c r="AE18" s="13" t="n">
        <f aca="false">(Operations!AE84-AE16-AE15)*AE17-AE12</f>
        <v>13.1533790615905</v>
      </c>
      <c r="AF18" s="13" t="n">
        <f aca="false">(Operations!AF84-AF16-AF15)*AF17-AF12</f>
        <v>14.0588193720986</v>
      </c>
      <c r="AG18" s="13" t="n">
        <f aca="false">(Operations!AG84-AG16-AG15)*AG17-AG12</f>
        <v>15.5699467375394</v>
      </c>
      <c r="AH18" s="13" t="n">
        <f aca="false">(Operations!AH84-AH16-AH15)*AH17-AH12</f>
        <v>16.9951672278114</v>
      </c>
      <c r="AI18" s="13" t="n">
        <f aca="false">(Operations!AI84-AI16-AI15)*AI17-AI12</f>
        <v>18.7784104851612</v>
      </c>
      <c r="AJ18" s="13" t="n">
        <f aca="false">(Operations!AJ84-AJ16-AJ15)*AJ17-AJ12</f>
        <v>20.2497760964778</v>
      </c>
      <c r="AK18" s="13" t="n">
        <f aca="false">(Operations!AK84-AK16-AK15)*AK17-AK12</f>
        <v>22.1682117000716</v>
      </c>
      <c r="AL18" s="13" t="n">
        <f aca="false">(Operations!AL84-AL16-AL15)*AL17-AL12</f>
        <v>20.5812386770183</v>
      </c>
      <c r="AM18" s="13" t="n">
        <f aca="false">(Operations!AM84-AM16-AM15)*AM17-AM12</f>
        <v>25.7213227650951</v>
      </c>
      <c r="AN18" s="13" t="n">
        <f aca="false">(Operations!AN84-AN16-AN15)*AN17-AN12</f>
        <v>27.3658357958316</v>
      </c>
      <c r="AO18" s="13" t="n">
        <f aca="false">(Operations!AO84-AO16-AO15)*AO17-AO12</f>
        <v>29.2501881137422</v>
      </c>
      <c r="AP18" s="13" t="n">
        <f aca="false">(Operations!AP84-AP16-AP15)*AP17-AP12</f>
        <v>31.6806036159422</v>
      </c>
      <c r="AQ18" s="13" t="n">
        <f aca="false">(Operations!AQ84-AQ16-AQ15)*AQ17-AQ12</f>
        <v>32.4330522024413</v>
      </c>
      <c r="AR18" s="13" t="n">
        <f aca="false">(Operations!AR84-AR16-AR15)*AR17-AR12</f>
        <v>32.6277926602076</v>
      </c>
      <c r="AS18" s="13" t="n">
        <f aca="false">(Operations!AS84-AS16-AS15)*AS17-AS12</f>
        <v>32.7328536956729</v>
      </c>
      <c r="AT18" s="13" t="n">
        <f aca="false">(Operations!AT84-AT16-AT15)*AT17-AT12</f>
        <v>17.3154078267681</v>
      </c>
      <c r="AU18" s="13" t="n">
        <f aca="false">(Operations!AU84-AU16-AU15)*AU17-AU12</f>
        <v>33.2485772800019</v>
      </c>
      <c r="AV18" s="13" t="n">
        <f aca="false">(Operations!AV84-AV16-AV15)*AV17-AV12</f>
        <v>33.0295248940481</v>
      </c>
      <c r="AW18" s="13" t="n">
        <f aca="false">(Operations!AW84-AW16-AW15)*AW17-AW12</f>
        <v>33.0544457958518</v>
      </c>
      <c r="AX18" s="13" t="n">
        <f aca="false">(Operations!AX84-AX16-AX15)*AX17-AX12</f>
        <v>33.4439919135572</v>
      </c>
      <c r="AY18" s="13" t="n">
        <f aca="false">(Operations!AY84-AY16-AY15)*AY17-AY12</f>
        <v>33.6102901435584</v>
      </c>
      <c r="AZ18" s="13" t="n">
        <f aca="false">(Operations!AZ84-AZ16-AZ15)*AZ17-AZ12</f>
        <v>33.8273909323516</v>
      </c>
      <c r="BA18" s="13" t="n">
        <f aca="false">(Operations!BA84-BA16-BA15)*BA17-BA12</f>
        <v>33.8320227376972</v>
      </c>
      <c r="BB18" s="13" t="n">
        <f aca="false">(Operations!BB84-BB16-BB15)*BB17-BB12</f>
        <v>29.1638704330072</v>
      </c>
      <c r="BC18" s="13" t="n">
        <f aca="false">(Operations!BC84-BC16-BC15)*BC17-BC12</f>
        <v>40.6095456457841</v>
      </c>
      <c r="BD18" s="13" t="n">
        <f aca="false">(Operations!BD84-BD16-BD15)*BD17-BD12</f>
        <v>53.1538316526436</v>
      </c>
      <c r="BE18" s="13" t="n">
        <f aca="false">(Operations!BE84-BE16-BE15)*BE17-BE12</f>
        <v>53.2634416052027</v>
      </c>
      <c r="BF18" s="13" t="n">
        <f aca="false">(Operations!BF84-BF16-BF15)*BF17-BF12</f>
        <v>53.35938628077</v>
      </c>
      <c r="BG18" s="13" t="n">
        <f aca="false">(Operations!BG84-BG16-BG15)*BG17-BG12</f>
        <v>53.5860534659736</v>
      </c>
      <c r="BH18" s="13" t="n">
        <f aca="false">(Operations!BH84-BH16-BH15)*BH17-BH12</f>
        <v>53.9544006304806</v>
      </c>
      <c r="BI18" s="13" t="n">
        <f aca="false">(Operations!BI84-BI16-BI15)*BI17-BI12</f>
        <v>54.2512950214231</v>
      </c>
      <c r="BJ18" s="13" t="n">
        <f aca="false">(Operations!BJ84-BJ16-BJ15)*BJ17-BJ12</f>
        <v>35.6661880116337</v>
      </c>
      <c r="BK18" s="13" t="n">
        <f aca="false">(Operations!BK84-BK16-BK15)*BK17-BK12</f>
        <v>54.5496588290834</v>
      </c>
      <c r="BL18" s="13" t="n">
        <f aca="false">(Operations!BL84-BL16-BL15)*BL17-BL12</f>
        <v>54.1714813562268</v>
      </c>
      <c r="BM18" s="13" t="n">
        <f aca="false">(Operations!BM84-BM16-BM15)*BM17-BM12</f>
        <v>17.1367874305735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0.373989525011663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0.373989525011663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225.87039359275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2.14629787600139</v>
      </c>
      <c r="Z20" s="13" t="n">
        <f aca="false">MIN(Y21,MAX(0,Z18-Z19))</f>
        <v>7.08184741363295</v>
      </c>
      <c r="AA20" s="13" t="n">
        <f aca="false">MIN(Z21,MAX(0,AA18-AA19))</f>
        <v>8.40915197152913</v>
      </c>
      <c r="AB20" s="13" t="n">
        <f aca="false">MIN(AA21,MAX(0,AB18-AB19))</f>
        <v>9.15626076763379</v>
      </c>
      <c r="AC20" s="13" t="n">
        <f aca="false">MIN(AB21,MAX(0,AC18-AC19))</f>
        <v>10.5745656846488</v>
      </c>
      <c r="AD20" s="13" t="n">
        <f aca="false">MIN(AC21,MAX(0,AD18-AD19))</f>
        <v>0</v>
      </c>
      <c r="AE20" s="13" t="n">
        <f aca="false">MIN(AD21,MAX(0,AE18-AE19))</f>
        <v>12.7793895365789</v>
      </c>
      <c r="AF20" s="13" t="n">
        <f aca="false">MIN(AE21,MAX(0,AF18-AF19))</f>
        <v>14.0588193720986</v>
      </c>
      <c r="AG20" s="13" t="n">
        <f aca="false">MIN(AF21,MAX(0,AG18-AG19))</f>
        <v>15.5699467375394</v>
      </c>
      <c r="AH20" s="13" t="n">
        <f aca="false">MIN(AG21,MAX(0,AH18-AH19))</f>
        <v>16.9951672278114</v>
      </c>
      <c r="AI20" s="13" t="n">
        <f aca="false">MIN(AH21,MAX(0,AI18-AI19))</f>
        <v>18.7784104851612</v>
      </c>
      <c r="AJ20" s="13" t="n">
        <f aca="false">MIN(AI21,MAX(0,AJ18-AJ19))</f>
        <v>20.2497760964778</v>
      </c>
      <c r="AK20" s="13" t="n">
        <f aca="false">MIN(AJ21,MAX(0,AK18-AK19))</f>
        <v>22.1682117000716</v>
      </c>
      <c r="AL20" s="13" t="n">
        <f aca="false">MIN(AK21,MAX(0,AL18-AL19))</f>
        <v>20.5812386770183</v>
      </c>
      <c r="AM20" s="13" t="n">
        <f aca="false">MIN(AL21,MAX(0,AM18-AM19))</f>
        <v>25.7213227650951</v>
      </c>
      <c r="AN20" s="13" t="n">
        <f aca="false">MIN(AM21,MAX(0,AN18-AN19))</f>
        <v>21.5999872814515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7.52901311975833</v>
      </c>
      <c r="P21" s="13" t="n">
        <f aca="false">O21+P11-P20</f>
        <v>30.1160524790333</v>
      </c>
      <c r="Q21" s="13" t="n">
        <f aca="false">P21+Q11-Q20</f>
        <v>52.7030918383083</v>
      </c>
      <c r="R21" s="13" t="n">
        <f aca="false">Q21+R11-R20</f>
        <v>75.2901311975833</v>
      </c>
      <c r="S21" s="13" t="n">
        <f aca="false">R21+S11-S20</f>
        <v>97.8771705568583</v>
      </c>
      <c r="T21" s="13" t="n">
        <f aca="false">S21+T11-T20</f>
        <v>120.464209916133</v>
      </c>
      <c r="U21" s="13" t="n">
        <f aca="false">T21+U11-U20</f>
        <v>143.051249275408</v>
      </c>
      <c r="V21" s="13" t="n">
        <f aca="false">U21+V11-V20</f>
        <v>165.638288634683</v>
      </c>
      <c r="W21" s="13" t="n">
        <f aca="false">V21+W11-W20</f>
        <v>188.225327993958</v>
      </c>
      <c r="X21" s="13" t="n">
        <f aca="false">W21+X11-X20</f>
        <v>210.812367353233</v>
      </c>
      <c r="Y21" s="13" t="n">
        <f aca="false">X21+Y11-Y20</f>
        <v>223.724095716748</v>
      </c>
      <c r="Z21" s="13" t="n">
        <f aca="false">Y21+Z11-Z20</f>
        <v>216.642248303115</v>
      </c>
      <c r="AA21" s="13" t="n">
        <f aca="false">Z21+AA11-AA20</f>
        <v>208.233096331586</v>
      </c>
      <c r="AB21" s="13" t="n">
        <f aca="false">AA21+AB11-AB20</f>
        <v>199.076835563952</v>
      </c>
      <c r="AC21" s="13" t="n">
        <f aca="false">AB21+AC11-AC20</f>
        <v>188.502269879304</v>
      </c>
      <c r="AD21" s="13" t="n">
        <f aca="false">AC21+AD11-AD20</f>
        <v>188.502269879304</v>
      </c>
      <c r="AE21" s="13" t="n">
        <f aca="false">AD21+AE11-AE20</f>
        <v>175.722880342725</v>
      </c>
      <c r="AF21" s="13" t="n">
        <f aca="false">AE21+AF11-AF20</f>
        <v>161.664060970626</v>
      </c>
      <c r="AG21" s="13" t="n">
        <f aca="false">AF21+AG11-AG20</f>
        <v>146.094114233087</v>
      </c>
      <c r="AH21" s="13" t="n">
        <f aca="false">AG21+AH11-AH20</f>
        <v>129.098947005275</v>
      </c>
      <c r="AI21" s="13" t="n">
        <f aca="false">AH21+AI11-AI20</f>
        <v>110.320536520114</v>
      </c>
      <c r="AJ21" s="13" t="n">
        <f aca="false">AI21+AJ11-AJ20</f>
        <v>90.0707604236364</v>
      </c>
      <c r="AK21" s="13" t="n">
        <f aca="false">AJ21+AK11-AK20</f>
        <v>67.9025487235648</v>
      </c>
      <c r="AL21" s="13" t="n">
        <f aca="false">AK21+AL11-AL20</f>
        <v>47.3213100465466</v>
      </c>
      <c r="AM21" s="13" t="n">
        <f aca="false">AL21+AM11-AM20</f>
        <v>21.5999872814515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0.373989525011663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968.717930689023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5.76584851438012</v>
      </c>
      <c r="AO23" s="13" t="n">
        <f aca="false">MAX(0,AO18-AO19-AO20)</f>
        <v>29.2501881137422</v>
      </c>
      <c r="AP23" s="13" t="n">
        <f aca="false">MAX(0,AP18-AP19-AP20)</f>
        <v>31.6806036159422</v>
      </c>
      <c r="AQ23" s="13" t="n">
        <f aca="false">MAX(0,AQ18-AQ19-AQ20)</f>
        <v>32.4330522024413</v>
      </c>
      <c r="AR23" s="13" t="n">
        <f aca="false">MAX(0,AR18-AR19-AR20)</f>
        <v>32.6277926602076</v>
      </c>
      <c r="AS23" s="13" t="n">
        <f aca="false">MAX(0,AS18-AS19-AS20)</f>
        <v>32.7328536956729</v>
      </c>
      <c r="AT23" s="13" t="n">
        <f aca="false">MAX(0,AT18-AT19-AT20)</f>
        <v>17.3154078267681</v>
      </c>
      <c r="AU23" s="13" t="n">
        <f aca="false">MAX(0,AU18-AU19-AU20)</f>
        <v>33.2485772800019</v>
      </c>
      <c r="AV23" s="13" t="n">
        <f aca="false">MAX(0,AV18-AV19-AV20)</f>
        <v>33.0295248940481</v>
      </c>
      <c r="AW23" s="13" t="n">
        <f aca="false">MAX(0,AW18-AW19-AW20)</f>
        <v>33.0544457958518</v>
      </c>
      <c r="AX23" s="13" t="n">
        <f aca="false">MAX(0,AX18-AX19-AX20)</f>
        <v>33.4439919135572</v>
      </c>
      <c r="AY23" s="13" t="n">
        <f aca="false">MAX(0,AY18-AY19-AY20)</f>
        <v>33.6102901435584</v>
      </c>
      <c r="AZ23" s="13" t="n">
        <f aca="false">MAX(0,AZ18-AZ19-AZ20)</f>
        <v>33.8273909323516</v>
      </c>
      <c r="BA23" s="13" t="n">
        <f aca="false">MAX(0,BA18-BA19-BA20)</f>
        <v>33.8320227376972</v>
      </c>
      <c r="BB23" s="13" t="n">
        <f aca="false">MAX(0,BB18-BB19-BB20)</f>
        <v>29.1638704330072</v>
      </c>
      <c r="BC23" s="13" t="n">
        <f aca="false">MAX(0,BC18-BC19-BC20)</f>
        <v>40.6095456457841</v>
      </c>
      <c r="BD23" s="13" t="n">
        <f aca="false">MAX(0,BD18-BD19-BD20)</f>
        <v>53.1538316526436</v>
      </c>
      <c r="BE23" s="13" t="n">
        <f aca="false">MAX(0,BE18-BE19-BE20)</f>
        <v>53.2634416052027</v>
      </c>
      <c r="BF23" s="13" t="n">
        <f aca="false">MAX(0,BF18-BF19-BF20)</f>
        <v>53.35938628077</v>
      </c>
      <c r="BG23" s="13" t="n">
        <f aca="false">MAX(0,BG18-BG19-BG20)</f>
        <v>53.5860534659736</v>
      </c>
      <c r="BH23" s="13" t="n">
        <f aca="false">MAX(0,BH18-BH19-BH20)</f>
        <v>53.9544006304806</v>
      </c>
      <c r="BI23" s="13" t="n">
        <f aca="false">MAX(0,BI18-BI19-BI20)</f>
        <v>54.2512950214231</v>
      </c>
      <c r="BJ23" s="13" t="n">
        <f aca="false">MAX(0,BJ18-BJ19-BJ20)</f>
        <v>35.6661880116337</v>
      </c>
      <c r="BK23" s="13" t="n">
        <f aca="false">MAX(0,BK18-BK19-BK20)</f>
        <v>54.5496588290834</v>
      </c>
      <c r="BL23" s="13" t="n">
        <f aca="false">MAX(0,BL18-BL19-BL20)</f>
        <v>54.1714813562268</v>
      </c>
      <c r="BM23" s="13" t="n">
        <f aca="false">MAX(0,BM18-BM19-BM20)</f>
        <v>17.1367874305735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290.615379206707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1.72975455431404</v>
      </c>
      <c r="AO25" s="13" t="n">
        <f aca="false">AO23*AO24</f>
        <v>8.77505643412265</v>
      </c>
      <c r="AP25" s="13" t="n">
        <f aca="false">AP23*AP24</f>
        <v>9.50418108478265</v>
      </c>
      <c r="AQ25" s="13" t="n">
        <f aca="false">AQ23*AQ24</f>
        <v>9.7299156607324</v>
      </c>
      <c r="AR25" s="13" t="n">
        <f aca="false">AR23*AR24</f>
        <v>9.78833779806228</v>
      </c>
      <c r="AS25" s="13" t="n">
        <f aca="false">AS23*AS24</f>
        <v>9.81985610870186</v>
      </c>
      <c r="AT25" s="13" t="n">
        <f aca="false">AT23*AT24</f>
        <v>5.19462234803043</v>
      </c>
      <c r="AU25" s="13" t="n">
        <f aca="false">AU23*AU24</f>
        <v>9.97457318400057</v>
      </c>
      <c r="AV25" s="13" t="n">
        <f aca="false">AV23*AV24</f>
        <v>9.90885746821443</v>
      </c>
      <c r="AW25" s="13" t="n">
        <f aca="false">AW23*AW24</f>
        <v>9.91633373875555</v>
      </c>
      <c r="AX25" s="13" t="n">
        <f aca="false">AX23*AX24</f>
        <v>10.0331975740672</v>
      </c>
      <c r="AY25" s="13" t="n">
        <f aca="false">AY23*AY24</f>
        <v>10.0830870430675</v>
      </c>
      <c r="AZ25" s="13" t="n">
        <f aca="false">AZ23*AZ24</f>
        <v>10.1482172797055</v>
      </c>
      <c r="BA25" s="13" t="n">
        <f aca="false">BA23*BA24</f>
        <v>10.1496068213091</v>
      </c>
      <c r="BB25" s="13" t="n">
        <f aca="false">BB23*BB24</f>
        <v>8.74916112990215</v>
      </c>
      <c r="BC25" s="13" t="n">
        <f aca="false">BC23*BC24</f>
        <v>12.1828636937352</v>
      </c>
      <c r="BD25" s="13" t="n">
        <f aca="false">BD23*BD24</f>
        <v>15.9461494957931</v>
      </c>
      <c r="BE25" s="13" t="n">
        <f aca="false">BE23*BE24</f>
        <v>15.9790324815608</v>
      </c>
      <c r="BF25" s="13" t="n">
        <f aca="false">BF23*BF24</f>
        <v>16.007815884231</v>
      </c>
      <c r="BG25" s="13" t="n">
        <f aca="false">BG23*BG24</f>
        <v>16.0758160397921</v>
      </c>
      <c r="BH25" s="13" t="n">
        <f aca="false">BH23*BH24</f>
        <v>16.1863201891442</v>
      </c>
      <c r="BI25" s="13" t="n">
        <f aca="false">BI23*BI24</f>
        <v>16.2753885064269</v>
      </c>
      <c r="BJ25" s="13" t="n">
        <f aca="false">BJ23*BJ24</f>
        <v>10.6998564034901</v>
      </c>
      <c r="BK25" s="13" t="n">
        <f aca="false">BK23*BK24</f>
        <v>16.364897648725</v>
      </c>
      <c r="BL25" s="13" t="n">
        <f aca="false">BL23*BL24</f>
        <v>16.251444406868</v>
      </c>
      <c r="BM25" s="13" t="n">
        <f aca="false">BM23*BM24</f>
        <v>5.14103622917204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14.5430283553884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0.113263285294502</v>
      </c>
      <c r="Z26" s="13" t="n">
        <f aca="false">IF(Time!Z30&gt;0,Inputs!$F$176/100*Operations!Z55*(Z8+Z9)/Time!Z30,0)</f>
        <v>0.340862753287322</v>
      </c>
      <c r="AA26" s="13" t="n">
        <f aca="false">IF(Time!AA30&gt;0,Inputs!$F$176/100*Operations!AA55*(AA8+AA9)/Time!AA30,0)</f>
        <v>0.341880701815466</v>
      </c>
      <c r="AB26" s="13" t="n">
        <f aca="false">IF(Time!AB30&gt;0,Inputs!$F$176/100*Operations!AB55*(AB8+AB9)/Time!AB30,0)</f>
        <v>0.342917509496527</v>
      </c>
      <c r="AC26" s="13" t="n">
        <f aca="false">IF(Time!AC30&gt;0,Inputs!$F$176/100*Operations!AC55*(AC8+AC9)/Time!AC30,0)</f>
        <v>0.343492322391854</v>
      </c>
      <c r="AD26" s="13" t="n">
        <f aca="false">IF(Time!AD30&gt;0,Inputs!$F$176/100*Operations!AD55*(AD8+AD9)/Time!AD30,0)</f>
        <v>0.342380629333806</v>
      </c>
      <c r="AE26" s="13" t="n">
        <f aca="false">IF(Time!AE30&gt;0,Inputs!$F$176/100*Operations!AE55*(AE8+AE9)/Time!AE30,0)</f>
        <v>0.345225545503978</v>
      </c>
      <c r="AF26" s="13" t="n">
        <f aca="false">IF(Time!AF30&gt;0,Inputs!$F$176/100*Operations!AF55*(AF8+AF9)/Time!AF30,0)</f>
        <v>0.347422813600893</v>
      </c>
      <c r="AG26" s="13" t="n">
        <f aca="false">IF(Time!AG30&gt;0,Inputs!$F$176/100*Operations!AG55*(AG8+AG9)/Time!AG30,0)</f>
        <v>0.348196496068167</v>
      </c>
      <c r="AH26" s="13" t="n">
        <f aca="false">IF(Time!AH30&gt;0,Inputs!$F$176/100*Operations!AH55*(AH8+AH9)/Time!AH30,0)</f>
        <v>0.348631794528546</v>
      </c>
      <c r="AI26" s="13" t="n">
        <f aca="false">IF(Time!AI30&gt;0,Inputs!$F$176/100*Operations!AI55*(AI8+AI9)/Time!AI30,0)</f>
        <v>0.349804477829002</v>
      </c>
      <c r="AJ26" s="13" t="n">
        <f aca="false">IF(Time!AJ30&gt;0,Inputs!$F$176/100*Operations!AJ55*(AJ8+AJ9)/Time!AJ30,0)</f>
        <v>0.351013679221104</v>
      </c>
      <c r="AK26" s="13" t="n">
        <f aca="false">IF(Time!AK30&gt;0,Inputs!$F$176/100*Operations!AK55*(AK8+AK9)/Time!AK30,0)</f>
        <v>0.351950047597754</v>
      </c>
      <c r="AL26" s="13" t="n">
        <f aca="false">IF(Time!AL30&gt;0,Inputs!$F$176/100*Operations!AL55*(AL8+AL9)/Time!AL30,0)</f>
        <v>0.350500666880454</v>
      </c>
      <c r="AM26" s="13" t="n">
        <f aca="false">IF(Time!AM30&gt;0,Inputs!$F$176/100*Operations!AM55*(AM8+AM9)/Time!AM30,0)</f>
        <v>0.354505993296</v>
      </c>
      <c r="AN26" s="13" t="n">
        <f aca="false">IF(Time!AN30&gt;0,Inputs!$F$176/100*Operations!AN55*(AN8+AN9)/Time!AN30,0)</f>
        <v>0.357034129833256</v>
      </c>
      <c r="AO26" s="13" t="n">
        <f aca="false">IF(Time!AO30&gt;0,Inputs!$F$176/100*Operations!AO55*(AO8+AO9)/Time!AO30,0)</f>
        <v>0.358225536978157</v>
      </c>
      <c r="AP26" s="13" t="n">
        <f aca="false">IF(Time!AP30&gt;0,Inputs!$F$176/100*Operations!AP55*(AP8+AP9)/Time!AP30,0)</f>
        <v>0.35935244099081</v>
      </c>
      <c r="AQ26" s="13" t="n">
        <f aca="false">IF(Time!AQ30&gt;0,Inputs!$F$176/100*Operations!AQ55*(AQ8+AQ9)/Time!AQ30,0)</f>
        <v>0.361069253359539</v>
      </c>
      <c r="AR26" s="13" t="n">
        <f aca="false">IF(Time!AR30&gt;0,Inputs!$F$176/100*Operations!AR55*(AR8+AR9)/Time!AR30,0)</f>
        <v>0.363219806603299</v>
      </c>
      <c r="AS26" s="13" t="n">
        <f aca="false">IF(Time!AS30&gt;0,Inputs!$F$176/100*Operations!AS55*(AS8+AS9)/Time!AS30,0)</f>
        <v>0.363342832356683</v>
      </c>
      <c r="AT26" s="13" t="n">
        <f aca="false">IF(Time!AT30&gt;0,Inputs!$F$176/100*Operations!AT55*(AT8+AT9)/Time!AT30,0)</f>
        <v>0.353258226808345</v>
      </c>
      <c r="AU26" s="13" t="n">
        <f aca="false">IF(Time!AU30&gt;0,Inputs!$F$176/100*Operations!AU55*(AU8+AU9)/Time!AU30,0)</f>
        <v>0.364790788406984</v>
      </c>
      <c r="AV26" s="13" t="n">
        <f aca="false">IF(Time!AV30&gt;0,Inputs!$F$176/100*Operations!AV55*(AV8+AV9)/Time!AV30,0)</f>
        <v>0.368589998562645</v>
      </c>
      <c r="AW26" s="13" t="n">
        <f aca="false">IF(Time!AW30&gt;0,Inputs!$F$176/100*Operations!AW55*(AW8+AW9)/Time!AW30,0)</f>
        <v>0.369433988789601</v>
      </c>
      <c r="AX26" s="13" t="n">
        <f aca="false">IF(Time!AX30&gt;0,Inputs!$F$176/100*Operations!AX55*(AX8+AX9)/Time!AX30,0)</f>
        <v>0.369694144900634</v>
      </c>
      <c r="AY26" s="13" t="n">
        <f aca="false">IF(Time!AY30&gt;0,Inputs!$F$176/100*Operations!AY55*(AY8+AY9)/Time!AY30,0)</f>
        <v>0.370951509537573</v>
      </c>
      <c r="AZ26" s="13" t="n">
        <f aca="false">IF(Time!AZ30&gt;0,Inputs!$F$176/100*Operations!AZ55*(AZ8+AZ9)/Time!AZ30,0)</f>
        <v>0.372017995681104</v>
      </c>
      <c r="BA26" s="13" t="n">
        <f aca="false">IF(Time!BA30&gt;0,Inputs!$F$176/100*Operations!BA55*(BA8+BA9)/Time!BA30,0)</f>
        <v>0.37214402850949</v>
      </c>
      <c r="BB26" s="13" t="n">
        <f aca="false">IF(Time!BB30&gt;0,Inputs!$F$176/100*Operations!BB55*(BB8+BB9)/Time!BB30,0)</f>
        <v>0.366572677686659</v>
      </c>
      <c r="BC26" s="13" t="n">
        <f aca="false">IF(Time!BC30&gt;0,Inputs!$F$176/100*Operations!BC55*(BC8+BC9)/Time!BC30,0)</f>
        <v>0.376593888684451</v>
      </c>
      <c r="BD26" s="13" t="n">
        <f aca="false">IF(Time!BD30&gt;0,Inputs!$F$176/100*Operations!BD55*(BD8+BD9)/Time!BD30,0)</f>
        <v>0.380357675046643</v>
      </c>
      <c r="BE26" s="13" t="n">
        <f aca="false">IF(Time!BE30&gt;0,Inputs!$F$176/100*Operations!BE55*(BE8+BE9)/Time!BE30,0)</f>
        <v>0.38186467263407</v>
      </c>
      <c r="BF26" s="13" t="n">
        <f aca="false">IF(Time!BF30&gt;0,Inputs!$F$176/100*Operations!BF55*(BF8+BF9)/Time!BF30,0)</f>
        <v>0.383297359099505</v>
      </c>
      <c r="BG26" s="13" t="n">
        <f aca="false">IF(Time!BG30&gt;0,Inputs!$F$176/100*Operations!BG55*(BG8+BG9)/Time!BG30,0)</f>
        <v>0.384459914648775</v>
      </c>
      <c r="BH26" s="13" t="n">
        <f aca="false">IF(Time!BH30&gt;0,Inputs!$F$176/100*Operations!BH55*(BH8+BH9)/Time!BH30,0)</f>
        <v>0.385154075777723</v>
      </c>
      <c r="BI26" s="13" t="n">
        <f aca="false">IF(Time!BI30&gt;0,Inputs!$F$176/100*Operations!BI55*(BI8+BI9)/Time!BI30,0)</f>
        <v>0.386177567632422</v>
      </c>
      <c r="BJ26" s="13" t="n">
        <f aca="false">IF(Time!BJ30&gt;0,Inputs!$F$176/100*Operations!BJ55*(BJ8+BJ9)/Time!BJ30,0)</f>
        <v>0.376493727399589</v>
      </c>
      <c r="BK26" s="13" t="n">
        <f aca="false">IF(Time!BK30&gt;0,Inputs!$F$176/100*Operations!BK55*(BK8+BK9)/Time!BK30,0)</f>
        <v>0.389495367458838</v>
      </c>
      <c r="BL26" s="13" t="n">
        <f aca="false">IF(Time!BL30&gt;0,Inputs!$F$176/100*Operations!BL55*(BL8+BL9)/Time!BL30,0)</f>
        <v>0.393719365915757</v>
      </c>
      <c r="BM26" s="13" t="n">
        <f aca="false">IF(Time!BM30&gt;0,Inputs!$F$176/100*Operations!BM55*(BM8+BM9)/Time!BM30,0)</f>
        <v>0.263668665940468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295.587427922852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0.113263285294502</v>
      </c>
      <c r="Z27" s="13" t="n">
        <f aca="false">MAX(Z25,Z26)</f>
        <v>0.340862753287322</v>
      </c>
      <c r="AA27" s="13" t="n">
        <f aca="false">MAX(AA25,AA26)</f>
        <v>0.341880701815466</v>
      </c>
      <c r="AB27" s="13" t="n">
        <f aca="false">MAX(AB25,AB26)</f>
        <v>0.342917509496527</v>
      </c>
      <c r="AC27" s="13" t="n">
        <f aca="false">MAX(AC25,AC26)</f>
        <v>0.343492322391854</v>
      </c>
      <c r="AD27" s="13" t="n">
        <f aca="false">MAX(AD25,AD26)</f>
        <v>0.342380629333806</v>
      </c>
      <c r="AE27" s="13" t="n">
        <f aca="false">MAX(AE25,AE26)</f>
        <v>0.345225545503978</v>
      </c>
      <c r="AF27" s="13" t="n">
        <f aca="false">MAX(AF25,AF26)</f>
        <v>0.347422813600893</v>
      </c>
      <c r="AG27" s="13" t="n">
        <f aca="false">MAX(AG25,AG26)</f>
        <v>0.348196496068167</v>
      </c>
      <c r="AH27" s="13" t="n">
        <f aca="false">MAX(AH25,AH26)</f>
        <v>0.348631794528546</v>
      </c>
      <c r="AI27" s="13" t="n">
        <f aca="false">MAX(AI25,AI26)</f>
        <v>0.349804477829002</v>
      </c>
      <c r="AJ27" s="13" t="n">
        <f aca="false">MAX(AJ25,AJ26)</f>
        <v>0.351013679221104</v>
      </c>
      <c r="AK27" s="13" t="n">
        <f aca="false">MAX(AK25,AK26)</f>
        <v>0.351950047597754</v>
      </c>
      <c r="AL27" s="13" t="n">
        <f aca="false">MAX(AL25,AL26)</f>
        <v>0.350500666880454</v>
      </c>
      <c r="AM27" s="13" t="n">
        <f aca="false">MAX(AM25,AM26)</f>
        <v>0.354505993296</v>
      </c>
      <c r="AN27" s="13" t="n">
        <f aca="false">MAX(AN25,AN26)</f>
        <v>1.72975455431404</v>
      </c>
      <c r="AO27" s="13" t="n">
        <f aca="false">MAX(AO25,AO26)</f>
        <v>8.77505643412265</v>
      </c>
      <c r="AP27" s="13" t="n">
        <f aca="false">MAX(AP25,AP26)</f>
        <v>9.50418108478265</v>
      </c>
      <c r="AQ27" s="13" t="n">
        <f aca="false">MAX(AQ25,AQ26)</f>
        <v>9.7299156607324</v>
      </c>
      <c r="AR27" s="13" t="n">
        <f aca="false">MAX(AR25,AR26)</f>
        <v>9.78833779806228</v>
      </c>
      <c r="AS27" s="13" t="n">
        <f aca="false">MAX(AS25,AS26)</f>
        <v>9.81985610870186</v>
      </c>
      <c r="AT27" s="13" t="n">
        <f aca="false">MAX(AT25,AT26)</f>
        <v>5.19462234803043</v>
      </c>
      <c r="AU27" s="13" t="n">
        <f aca="false">MAX(AU25,AU26)</f>
        <v>9.97457318400057</v>
      </c>
      <c r="AV27" s="13" t="n">
        <f aca="false">MAX(AV25,AV26)</f>
        <v>9.90885746821443</v>
      </c>
      <c r="AW27" s="13" t="n">
        <f aca="false">MAX(AW25,AW26)</f>
        <v>9.91633373875555</v>
      </c>
      <c r="AX27" s="13" t="n">
        <f aca="false">MAX(AX25,AX26)</f>
        <v>10.0331975740672</v>
      </c>
      <c r="AY27" s="13" t="n">
        <f aca="false">MAX(AY25,AY26)</f>
        <v>10.0830870430675</v>
      </c>
      <c r="AZ27" s="13" t="n">
        <f aca="false">MAX(AZ25,AZ26)</f>
        <v>10.1482172797055</v>
      </c>
      <c r="BA27" s="13" t="n">
        <f aca="false">MAX(BA25,BA26)</f>
        <v>10.1496068213091</v>
      </c>
      <c r="BB27" s="13" t="n">
        <f aca="false">MAX(BB25,BB26)</f>
        <v>8.74916112990215</v>
      </c>
      <c r="BC27" s="13" t="n">
        <f aca="false">MAX(BC25,BC26)</f>
        <v>12.1828636937352</v>
      </c>
      <c r="BD27" s="13" t="n">
        <f aca="false">MAX(BD25,BD26)</f>
        <v>15.9461494957931</v>
      </c>
      <c r="BE27" s="13" t="n">
        <f aca="false">MAX(BE25,BE26)</f>
        <v>15.9790324815608</v>
      </c>
      <c r="BF27" s="13" t="n">
        <f aca="false">MAX(BF25,BF26)</f>
        <v>16.007815884231</v>
      </c>
      <c r="BG27" s="13" t="n">
        <f aca="false">MAX(BG25,BG26)</f>
        <v>16.0758160397921</v>
      </c>
      <c r="BH27" s="13" t="n">
        <f aca="false">MAX(BH25,BH26)</f>
        <v>16.1863201891442</v>
      </c>
      <c r="BI27" s="13" t="n">
        <f aca="false">MAX(BI25,BI26)</f>
        <v>16.2753885064269</v>
      </c>
      <c r="BJ27" s="13" t="n">
        <f aca="false">MAX(BJ25,BJ26)</f>
        <v>10.6998564034901</v>
      </c>
      <c r="BK27" s="13" t="n">
        <f aca="false">MAX(BK25,BK26)</f>
        <v>16.364897648725</v>
      </c>
      <c r="BL27" s="13" t="n">
        <f aca="false">MAX(BL25,BL26)</f>
        <v>16.251444406868</v>
      </c>
      <c r="BM27" s="13" t="n">
        <f aca="false">MAX(BM25,BM26)</f>
        <v>5.14103622917204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3.917027617536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1.08836102955092</v>
      </c>
      <c r="P28" s="13" t="n">
        <f aca="false">P13-P15</f>
        <v>2.04600377937813</v>
      </c>
      <c r="Q28" s="13" t="n">
        <f aca="false">Q13-Q15</f>
        <v>0.782662808606945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1.51003921534452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2.14053155768629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3.44731930485202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5.3338452251764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7.67917740087622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10.4067201785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13.3250622537097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16.3634412740985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19.3710718189416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22.248337465927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24.8864440996653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27.2403564815756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29.2243465480609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30.7447852956653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31.8070157376023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32.3249757721188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33.4538330393298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31.8232506449951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30.7402648058677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29.2351292461906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27.2430494208619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24.9177565082884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22.2164664075697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19.3292175590462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16.3449804016623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13.2788486007201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10.3737565533495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7.62331022087778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5.24236931621914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3.45352261648978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2.03634199397514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49.6708524585721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-0.561500604625644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0.0067201987196355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84.5896953729523</v>
      </c>
      <c r="L22" s="13" t="n">
        <f aca="false">K22+Construction!L14*$F$9/$F$10*(L21+(L19-L20)*K22)</f>
        <v>86.5312279268446</v>
      </c>
      <c r="M22" s="13" t="n">
        <f aca="false">L22+Construction!M14*$F$9/$F$10*(M21+(M19-M20)*L22)</f>
        <v>89.4744032186194</v>
      </c>
      <c r="N22" s="13" t="n">
        <f aca="false">M22+Construction!N14*$F$9/$F$10*(N21+(N19-N20)*M22)</f>
        <v>93.8879422125229</v>
      </c>
      <c r="O22" s="13" t="n">
        <f aca="false">N22+Construction!O14*$F$9/$F$10*(O21+(O19-O20)*N22)</f>
        <v>100.137428416277</v>
      </c>
      <c r="P22" s="13" t="n">
        <f aca="false">O22+Construction!P14*$F$9/$F$10*(P21+(P19-P20)*O22)</f>
        <v>108.471079771667</v>
      </c>
      <c r="Q22" s="13" t="n">
        <f aca="false">P22+Construction!Q14*$F$9/$F$10*(Q21+(Q19-Q20)*P22)</f>
        <v>119.114678894523</v>
      </c>
      <c r="R22" s="13" t="n">
        <f aca="false">Q22+Construction!R14*$F$9/$F$10*(R21+(R19-R20)*Q22)</f>
        <v>132.119148055725</v>
      </c>
      <c r="S22" s="13" t="n">
        <f aca="false">R22+Construction!S14*$F$9/$F$10*(S21+(S19-S20)*R22)</f>
        <v>147.497867917284</v>
      </c>
      <c r="T22" s="13" t="n">
        <f aca="false">S22+Construction!T14*$F$9/$F$10*(T21+(T19-T20)*S22)</f>
        <v>165.127674346738</v>
      </c>
      <c r="U22" s="13" t="n">
        <f aca="false">T22+Construction!U14*$F$9/$F$10*(U21+(U19-U20)*T22)</f>
        <v>184.88516155318</v>
      </c>
      <c r="V22" s="13" t="n">
        <f aca="false">U22+Construction!V14*$F$9/$F$10*(V21+(V19-V20)*U22)</f>
        <v>206.527112701241</v>
      </c>
      <c r="W22" s="13" t="n">
        <f aca="false">V22+Construction!W14*$F$9/$F$10*(W21+(W19-W20)*V22)</f>
        <v>229.751042894687</v>
      </c>
      <c r="X22" s="13" t="n">
        <f aca="false">W22+Construction!X14*$F$9/$F$10*(X21+(X19-X20)*W22)</f>
        <v>254.257062441534</v>
      </c>
      <c r="Y22" s="13" t="n">
        <f aca="false">X22+Construction!Y14*$F$9/$F$10*(Y21+(Y19-Y20)*X22)</f>
        <v>279.641459703927</v>
      </c>
      <c r="Z22" s="13" t="n">
        <f aca="false">Y22+Construction!Z14*$F$9/$F$10*(Z21+(Z19-Z20)*Y22)</f>
        <v>305.551291458268</v>
      </c>
      <c r="AA22" s="13" t="n">
        <f aca="false">Z22+Construction!AA14*$F$9/$F$10*(AA21+(AA19-AA20)*Z22)</f>
        <v>332.443978195264</v>
      </c>
      <c r="AB22" s="13" t="n">
        <f aca="false">AA22+Construction!AB14*$F$9/$F$10*(AB21+(AB19-AB20)*AA22)</f>
        <v>358.104054195812</v>
      </c>
      <c r="AC22" s="13" t="n">
        <f aca="false">AB22+Construction!AC14*$F$9/$F$10*(AC21+(AC19-AC20)*AB22)</f>
        <v>383.11263798156</v>
      </c>
      <c r="AD22" s="13" t="n">
        <f aca="false">AC22+Construction!AD14*$F$9/$F$10*(AD21+(AD19-AD20)*AC22)</f>
        <v>407.012746404857</v>
      </c>
      <c r="AE22" s="13" t="n">
        <f aca="false">AD22+Construction!AE14*$F$9/$F$10*(AE21+(AE19-AE20)*AD22)</f>
        <v>429.52077781515</v>
      </c>
      <c r="AF22" s="13" t="n">
        <f aca="false">AE22+Construction!AF14*$F$9/$F$10*(AF21+(AF19-AF20)*AE22)</f>
        <v>450.274457740414</v>
      </c>
      <c r="AG22" s="13" t="n">
        <f aca="false">AF22+Construction!AG14*$F$9/$F$10*(AG21+(AG19-AG20)*AF22)</f>
        <v>469.096929536321</v>
      </c>
      <c r="AH22" s="13" t="n">
        <f aca="false">AG22+Construction!AH14*$F$9/$F$10*(AH21+(AH19-AH20)*AG22)</f>
        <v>485.772646671515</v>
      </c>
      <c r="AI22" s="13" t="n">
        <f aca="false">AH22+Construction!AI14*$F$9/$F$10*(AI21+(AI19-AI20)*AH22)</f>
        <v>500.158072316435</v>
      </c>
      <c r="AJ22" s="13" t="n">
        <f aca="false">AI22+Construction!AJ14*$F$9/$F$10*(AJ21+(AJ19-AJ20)*AI22)</f>
        <v>512.302711010064</v>
      </c>
      <c r="AK22" s="13" t="n">
        <f aca="false">AJ22+Construction!AK14*$F$9/$F$10*(AK21+(AK19-AK20)*AJ22)</f>
        <v>522.197047836796</v>
      </c>
      <c r="AL22" s="13" t="n">
        <f aca="false">AK22+Construction!AL14*$F$9/$F$10*(AL21+(AL19-AL20)*AK22)</f>
        <v>530.079212981028</v>
      </c>
      <c r="AM22" s="13" t="n">
        <f aca="false">AL22+Construction!AM14*$F$9/$F$10*(AM21+(AM19-AM20)*AL22)</f>
        <v>536.172474499373</v>
      </c>
      <c r="AN22" s="13" t="n">
        <f aca="false">AM22+Construction!AN14*$F$9/$F$10*(AN21+(AN19-AN20)*AM22)</f>
        <v>540.712294370433</v>
      </c>
      <c r="AO22" s="13" t="n">
        <f aca="false">AN22+Construction!AO14*$F$9/$F$10*(AO21+(AO19-AO20)*AN22)</f>
        <v>544.382250711041</v>
      </c>
      <c r="AP22" s="13" t="n">
        <f aca="false">AO22+Construction!AP14*$F$9/$F$10*(AP21+(AP19-AP20)*AO22)</f>
        <v>584.618008735738</v>
      </c>
      <c r="AQ22" s="13" t="n">
        <f aca="false">AP22+Construction!AQ14*$F$9/$F$10*(AQ21+(AQ19-AQ20)*AP22)</f>
        <v>586.461711533505</v>
      </c>
      <c r="AR22" s="13" t="n">
        <f aca="false">AQ22+Construction!AR14*$F$9/$F$10*(AR21+(AR19-AR20)*AQ22)</f>
        <v>588.675789446141</v>
      </c>
      <c r="AS22" s="13" t="n">
        <f aca="false">AR22+Construction!AS14*$F$9/$F$10*(AS21+(AS19-AS20)*AR22)</f>
        <v>588.675789446141</v>
      </c>
      <c r="AT22" s="13" t="n">
        <f aca="false">AS22+Construction!AT14*$F$9/$F$10*(AT21+(AT19-AT20)*AS22)</f>
        <v>588.675789446141</v>
      </c>
      <c r="AU22" s="13" t="n">
        <f aca="false">AT22+Construction!AU14*$F$9/$F$10*(AU21+(AU19-AU20)*AT22)</f>
        <v>588.675789446141</v>
      </c>
      <c r="AV22" s="13" t="n">
        <f aca="false">AU22+Construction!AV14*$F$9/$F$10*(AV21+(AV19-AV20)*AU22)</f>
        <v>588.675789446141</v>
      </c>
      <c r="AW22" s="13" t="n">
        <f aca="false">AV22+Construction!AW14*$F$9/$F$10*(AW21+(AW19-AW20)*AV22)</f>
        <v>588.675789446141</v>
      </c>
      <c r="AX22" s="13" t="n">
        <f aca="false">AW22+Construction!AX14*$F$9/$F$10*(AX21+(AX19-AX20)*AW22)</f>
        <v>588.675789446141</v>
      </c>
      <c r="AY22" s="13" t="n">
        <f aca="false">AX22+Construction!AY14*$F$9/$F$10*(AY21+(AY19-AY20)*AX22)</f>
        <v>588.675789446141</v>
      </c>
      <c r="AZ22" s="13" t="n">
        <f aca="false">AY22+Construction!AZ14*$F$9/$F$10*(AZ21+(AZ19-AZ20)*AY22)</f>
        <v>588.675789446141</v>
      </c>
      <c r="BA22" s="13" t="n">
        <f aca="false">AZ22+Construction!BA14*$F$9/$F$10*(BA21+(BA19-BA20)*AZ22)</f>
        <v>588.675789446141</v>
      </c>
      <c r="BB22" s="13" t="n">
        <f aca="false">BA22+Construction!BB14*$F$9/$F$10*(BB21+(BB19-BB20)*BA22)</f>
        <v>588.675789446141</v>
      </c>
      <c r="BC22" s="13" t="n">
        <f aca="false">BB22+Construction!BC14*$F$9/$F$10*(BC21+(BC19-BC20)*BB22)</f>
        <v>588.675789446141</v>
      </c>
      <c r="BD22" s="13" t="n">
        <f aca="false">BC22+Construction!BD14*$F$9/$F$10*(BD21+(BD19-BD20)*BC22)</f>
        <v>588.675789446141</v>
      </c>
      <c r="BE22" s="13" t="n">
        <f aca="false">BD22+Construction!BE14*$F$9/$F$10*(BE21+(BE19-BE20)*BD22)</f>
        <v>588.675789446141</v>
      </c>
      <c r="BF22" s="13" t="n">
        <f aca="false">BE22+Construction!BF14*$F$9/$F$10*(BF21+(BF19-BF20)*BE22)</f>
        <v>588.675789446141</v>
      </c>
      <c r="BG22" s="13" t="n">
        <f aca="false">BF22+Construction!BG14*$F$9/$F$10*(BG21+(BG19-BG20)*BF22)</f>
        <v>588.675789446141</v>
      </c>
      <c r="BH22" s="13" t="n">
        <f aca="false">BG22+Construction!BH14*$F$9/$F$10*(BH21+(BH19-BH20)*BG22)</f>
        <v>588.675789446141</v>
      </c>
      <c r="BI22" s="13" t="n">
        <f aca="false">BH22+Construction!BI14*$F$9/$F$10*(BI21+(BI19-BI20)*BH22)</f>
        <v>588.675789446141</v>
      </c>
      <c r="BJ22" s="13" t="n">
        <f aca="false">BI22+Construction!BJ14*$F$9/$F$10*(BJ21+(BJ19-BJ20)*BI22)</f>
        <v>588.675789446141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857.071798227854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27.56955009731</v>
      </c>
      <c r="M28" s="13" t="n">
        <f aca="false">L61</f>
        <v>28.2772419279564</v>
      </c>
      <c r="N28" s="13" t="n">
        <f aca="false">M61</f>
        <v>29.2776929067306</v>
      </c>
      <c r="O28" s="13" t="n">
        <f aca="false">N61</f>
        <v>30.718272826418</v>
      </c>
      <c r="P28" s="13" t="n">
        <f aca="false">O61</f>
        <v>32.703414239087</v>
      </c>
      <c r="Q28" s="13" t="n">
        <f aca="false">P61</f>
        <v>35.2931033375757</v>
      </c>
      <c r="R28" s="13" t="n">
        <f aca="false">Q61</f>
        <v>38.580226299416</v>
      </c>
      <c r="S28" s="13" t="n">
        <f aca="false">R61</f>
        <v>42.5624582376395</v>
      </c>
      <c r="T28" s="13" t="n">
        <f aca="false">S61</f>
        <v>47.2524566184396</v>
      </c>
      <c r="U28" s="13" t="n">
        <f aca="false">T61</f>
        <v>52.604970454735</v>
      </c>
      <c r="V28" s="13" t="n">
        <f aca="false">U61</f>
        <v>58.592501277109</v>
      </c>
      <c r="W28" s="13" t="n">
        <f aca="false">V61</f>
        <v>65.138314909588</v>
      </c>
      <c r="X28" s="13" t="n">
        <f aca="false">W61</f>
        <v>72.1483872150048</v>
      </c>
      <c r="Y28" s="13" t="n">
        <f aca="false">X61</f>
        <v>79.5427136924855</v>
      </c>
      <c r="Z28" s="13" t="n">
        <f aca="false">Y61</f>
        <v>87.1928869060932</v>
      </c>
      <c r="AA28" s="13" t="n">
        <f aca="false">Z61</f>
        <v>95.0032218891485</v>
      </c>
      <c r="AB28" s="13" t="n">
        <f aca="false">AA61</f>
        <v>103.104937156409</v>
      </c>
      <c r="AC28" s="13" t="n">
        <f aca="false">AB61</f>
        <v>110.832860522514</v>
      </c>
      <c r="AD28" s="13" t="n">
        <f aca="false">AC61</f>
        <v>118.376867442831</v>
      </c>
      <c r="AE28" s="13" t="n">
        <f aca="false">AD61</f>
        <v>125.588313367316</v>
      </c>
      <c r="AF28" s="13" t="n">
        <f aca="false">AE61</f>
        <v>132.392131382139</v>
      </c>
      <c r="AG28" s="13" t="n">
        <f aca="false">AF61</f>
        <v>138.672147810378</v>
      </c>
      <c r="AH28" s="13" t="n">
        <f aca="false">AG61</f>
        <v>144.385036849742</v>
      </c>
      <c r="AI28" s="13" t="n">
        <f aca="false">AH61</f>
        <v>149.462447622753</v>
      </c>
      <c r="AJ28" s="13" t="n">
        <f aca="false">AI61</f>
        <v>153.857409028261</v>
      </c>
      <c r="AK28" s="13" t="n">
        <f aca="false">AJ61</f>
        <v>157.593593589301</v>
      </c>
      <c r="AL28" s="13" t="n">
        <f aca="false">AK61</f>
        <v>160.6592190846</v>
      </c>
      <c r="AM28" s="13" t="n">
        <f aca="false">AL61</f>
        <v>163.133858886036</v>
      </c>
      <c r="AN28" s="13" t="n">
        <f aca="false">AM61</f>
        <v>165.079244468121</v>
      </c>
      <c r="AO28" s="13" t="n">
        <f aca="false">AN61</f>
        <v>166.551367135378</v>
      </c>
      <c r="AP28" s="13" t="n">
        <f aca="false">AO61</f>
        <v>167.779999502286</v>
      </c>
      <c r="AQ28" s="13" t="n">
        <f aca="false">AP61</f>
        <v>179.832976714309</v>
      </c>
      <c r="AR28" s="13" t="n">
        <f aca="false">AQ61</f>
        <v>189.12266050291</v>
      </c>
      <c r="AS28" s="13" t="n">
        <f aca="false">AR61</f>
        <v>189.948471094966</v>
      </c>
      <c r="AT28" s="13" t="n">
        <f aca="false">AS61</f>
        <v>189.948471094966</v>
      </c>
      <c r="AU28" s="13" t="n">
        <f aca="false">AT61</f>
        <v>189.948471094966</v>
      </c>
      <c r="AV28" s="13" t="n">
        <f aca="false">AU61</f>
        <v>189.948471094966</v>
      </c>
      <c r="AW28" s="13" t="n">
        <f aca="false">AV61</f>
        <v>189.948471094966</v>
      </c>
      <c r="AX28" s="13" t="n">
        <f aca="false">AW61</f>
        <v>189.948471094966</v>
      </c>
      <c r="AY28" s="13" t="n">
        <f aca="false">AX61</f>
        <v>189.948471094966</v>
      </c>
      <c r="AZ28" s="13" t="n">
        <f aca="false">AY61</f>
        <v>189.948471094966</v>
      </c>
      <c r="BA28" s="13" t="n">
        <f aca="false">AZ61</f>
        <v>189.948471094966</v>
      </c>
      <c r="BB28" s="13" t="n">
        <f aca="false">BA61</f>
        <v>189.948471094966</v>
      </c>
      <c r="BC28" s="13" t="n">
        <f aca="false">BB61</f>
        <v>189.948471094966</v>
      </c>
      <c r="BD28" s="13" t="n">
        <f aca="false">BC61</f>
        <v>189.948471094966</v>
      </c>
      <c r="BE28" s="13" t="n">
        <f aca="false">BD61</f>
        <v>189.948471094966</v>
      </c>
      <c r="BF28" s="13" t="n">
        <f aca="false">BE61</f>
        <v>189.948471094966</v>
      </c>
      <c r="BG28" s="13" t="n">
        <f aca="false">BF61</f>
        <v>189.948471094966</v>
      </c>
      <c r="BH28" s="13" t="n">
        <f aca="false">BG61</f>
        <v>189.948471094966</v>
      </c>
      <c r="BI28" s="13" t="n">
        <f aca="false">BH61</f>
        <v>189.948471094966</v>
      </c>
      <c r="BJ28" s="13" t="n">
        <f aca="false">BI61</f>
        <v>189.948471094966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20.2176700713607</v>
      </c>
      <c r="M29" s="13" t="n">
        <f aca="false">L62</f>
        <v>20.7366440805014</v>
      </c>
      <c r="N29" s="13" t="n">
        <f aca="false">M62</f>
        <v>21.4703081316024</v>
      </c>
      <c r="O29" s="13" t="n">
        <f aca="false">N62</f>
        <v>22.5267334060399</v>
      </c>
      <c r="P29" s="13" t="n">
        <f aca="false">O62</f>
        <v>23.9825037753305</v>
      </c>
      <c r="Q29" s="13" t="n">
        <f aca="false">P62</f>
        <v>25.8816091142222</v>
      </c>
      <c r="R29" s="13" t="n">
        <f aca="false">Q62</f>
        <v>28.2921659529051</v>
      </c>
      <c r="S29" s="13" t="n">
        <f aca="false">R62</f>
        <v>31.212469374269</v>
      </c>
      <c r="T29" s="13" t="n">
        <f aca="false">S62</f>
        <v>34.651801520189</v>
      </c>
      <c r="U29" s="13" t="n">
        <f aca="false">T62</f>
        <v>38.5769783334723</v>
      </c>
      <c r="V29" s="13" t="n">
        <f aca="false">U62</f>
        <v>42.9678342698799</v>
      </c>
      <c r="W29" s="13" t="n">
        <f aca="false">V62</f>
        <v>47.7680976003646</v>
      </c>
      <c r="X29" s="13" t="n">
        <f aca="false">W62</f>
        <v>52.9088172910035</v>
      </c>
      <c r="Y29" s="13" t="n">
        <f aca="false">X62</f>
        <v>58.3313233744894</v>
      </c>
      <c r="Z29" s="13" t="n">
        <f aca="false">Y62</f>
        <v>63.9414503978017</v>
      </c>
      <c r="AA29" s="13" t="n">
        <f aca="false">Z62</f>
        <v>69.6690293853756</v>
      </c>
      <c r="AB29" s="13" t="n">
        <f aca="false">AA62</f>
        <v>75.6102872480329</v>
      </c>
      <c r="AC29" s="13" t="n">
        <f aca="false">AB62</f>
        <v>81.2774310498437</v>
      </c>
      <c r="AD29" s="13" t="n">
        <f aca="false">AC62</f>
        <v>86.8097027914094</v>
      </c>
      <c r="AE29" s="13" t="n">
        <f aca="false">AD62</f>
        <v>92.0980964693649</v>
      </c>
      <c r="AF29" s="13" t="n">
        <f aca="false">AE62</f>
        <v>97.0875630135689</v>
      </c>
      <c r="AG29" s="13" t="n">
        <f aca="false">AF62</f>
        <v>101.692908394277</v>
      </c>
      <c r="AH29" s="13" t="n">
        <f aca="false">AG62</f>
        <v>105.882360356477</v>
      </c>
      <c r="AI29" s="13" t="n">
        <f aca="false">AH62</f>
        <v>109.605794923352</v>
      </c>
      <c r="AJ29" s="13" t="n">
        <f aca="false">AI62</f>
        <v>112.828766620725</v>
      </c>
      <c r="AK29" s="13" t="n">
        <f aca="false">AJ62</f>
        <v>115.568635298821</v>
      </c>
      <c r="AL29" s="13" t="n">
        <f aca="false">AK62</f>
        <v>117.81676066204</v>
      </c>
      <c r="AM29" s="13" t="n">
        <f aca="false">AL62</f>
        <v>119.631496516426</v>
      </c>
      <c r="AN29" s="13" t="n">
        <f aca="false">AM62</f>
        <v>121.058112609955</v>
      </c>
      <c r="AO29" s="13" t="n">
        <f aca="false">AN62</f>
        <v>122.13766923261</v>
      </c>
      <c r="AP29" s="13" t="n">
        <f aca="false">AO62</f>
        <v>123.038666301677</v>
      </c>
      <c r="AQ29" s="13" t="n">
        <f aca="false">AP62</f>
        <v>131.87751625716</v>
      </c>
      <c r="AR29" s="13" t="n">
        <f aca="false">AQ62</f>
        <v>138.689951035467</v>
      </c>
      <c r="AS29" s="13" t="n">
        <f aca="false">AR62</f>
        <v>139.295545469642</v>
      </c>
      <c r="AT29" s="13" t="n">
        <f aca="false">AS62</f>
        <v>139.295545469642</v>
      </c>
      <c r="AU29" s="13" t="n">
        <f aca="false">AT62</f>
        <v>139.295545469642</v>
      </c>
      <c r="AV29" s="13" t="n">
        <f aca="false">AU62</f>
        <v>139.295545469642</v>
      </c>
      <c r="AW29" s="13" t="n">
        <f aca="false">AV62</f>
        <v>139.295545469642</v>
      </c>
      <c r="AX29" s="13" t="n">
        <f aca="false">AW62</f>
        <v>139.295545469642</v>
      </c>
      <c r="AY29" s="13" t="n">
        <f aca="false">AX62</f>
        <v>139.295545469642</v>
      </c>
      <c r="AZ29" s="13" t="n">
        <f aca="false">AY62</f>
        <v>139.295545469642</v>
      </c>
      <c r="BA29" s="13" t="n">
        <f aca="false">AZ62</f>
        <v>139.295545469642</v>
      </c>
      <c r="BB29" s="13" t="n">
        <f aca="false">BA62</f>
        <v>139.295545469642</v>
      </c>
      <c r="BC29" s="13" t="n">
        <f aca="false">BB62</f>
        <v>139.295545469642</v>
      </c>
      <c r="BD29" s="13" t="n">
        <f aca="false">BC62</f>
        <v>139.295545469642</v>
      </c>
      <c r="BE29" s="13" t="n">
        <f aca="false">BD62</f>
        <v>139.295545469642</v>
      </c>
      <c r="BF29" s="13" t="n">
        <f aca="false">BE62</f>
        <v>139.295545469642</v>
      </c>
      <c r="BG29" s="13" t="n">
        <f aca="false">BF62</f>
        <v>139.295545469642</v>
      </c>
      <c r="BH29" s="13" t="n">
        <f aca="false">BG62</f>
        <v>139.295545469642</v>
      </c>
      <c r="BI29" s="13" t="n">
        <f aca="false">BH62</f>
        <v>139.295545469642</v>
      </c>
      <c r="BJ29" s="13" t="n">
        <f aca="false">BI62</f>
        <v>139.295545469642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9.18985003243668</v>
      </c>
      <c r="M30" s="13" t="n">
        <f aca="false">L63</f>
        <v>9.42574730931881</v>
      </c>
      <c r="N30" s="13" t="n">
        <f aca="false">M63</f>
        <v>9.75923096891019</v>
      </c>
      <c r="O30" s="13" t="n">
        <f aca="false">N63</f>
        <v>10.2394242754727</v>
      </c>
      <c r="P30" s="13" t="n">
        <f aca="false">O63</f>
        <v>10.9011380796957</v>
      </c>
      <c r="Q30" s="13" t="n">
        <f aca="false">P63</f>
        <v>11.7643677791919</v>
      </c>
      <c r="R30" s="13" t="n">
        <f aca="false">Q63</f>
        <v>12.8600754331387</v>
      </c>
      <c r="S30" s="13" t="n">
        <f aca="false">R63</f>
        <v>14.1874860792132</v>
      </c>
      <c r="T30" s="13" t="n">
        <f aca="false">S63</f>
        <v>15.7508188728132</v>
      </c>
      <c r="U30" s="13" t="n">
        <f aca="false">T63</f>
        <v>17.5349901515783</v>
      </c>
      <c r="V30" s="13" t="n">
        <f aca="false">U63</f>
        <v>19.5308337590363</v>
      </c>
      <c r="W30" s="13" t="n">
        <f aca="false">V63</f>
        <v>21.7127716365294</v>
      </c>
      <c r="X30" s="13" t="n">
        <f aca="false">W63</f>
        <v>24.0494624050016</v>
      </c>
      <c r="Y30" s="13" t="n">
        <f aca="false">X63</f>
        <v>26.5142378974952</v>
      </c>
      <c r="Z30" s="13" t="n">
        <f aca="false">Y63</f>
        <v>29.0642956353644</v>
      </c>
      <c r="AA30" s="13" t="n">
        <f aca="false">Z63</f>
        <v>31.6677406297162</v>
      </c>
      <c r="AB30" s="13" t="n">
        <f aca="false">AA63</f>
        <v>34.3683123854695</v>
      </c>
      <c r="AC30" s="13" t="n">
        <f aca="false">AB63</f>
        <v>36.944286840838</v>
      </c>
      <c r="AD30" s="13" t="n">
        <f aca="false">AC63</f>
        <v>39.458955814277</v>
      </c>
      <c r="AE30" s="13" t="n">
        <f aca="false">AD63</f>
        <v>41.8627711224386</v>
      </c>
      <c r="AF30" s="13" t="n">
        <f aca="false">AE63</f>
        <v>44.1307104607131</v>
      </c>
      <c r="AG30" s="13" t="n">
        <f aca="false">AF63</f>
        <v>46.224049270126</v>
      </c>
      <c r="AH30" s="13" t="n">
        <f aca="false">AG63</f>
        <v>48.1283456165807</v>
      </c>
      <c r="AI30" s="13" t="n">
        <f aca="false">AH63</f>
        <v>49.820815874251</v>
      </c>
      <c r="AJ30" s="13" t="n">
        <f aca="false">AI63</f>
        <v>51.2858030094203</v>
      </c>
      <c r="AK30" s="13" t="n">
        <f aca="false">AJ63</f>
        <v>52.5311978631004</v>
      </c>
      <c r="AL30" s="13" t="n">
        <f aca="false">AK63</f>
        <v>53.5530730282</v>
      </c>
      <c r="AM30" s="13" t="n">
        <f aca="false">AL63</f>
        <v>54.377952962012</v>
      </c>
      <c r="AN30" s="13" t="n">
        <f aca="false">AM63</f>
        <v>55.026414822707</v>
      </c>
      <c r="AO30" s="13" t="n">
        <f aca="false">AN63</f>
        <v>55.5171223784593</v>
      </c>
      <c r="AP30" s="13" t="n">
        <f aca="false">AO63</f>
        <v>55.9266665007621</v>
      </c>
      <c r="AQ30" s="13" t="n">
        <f aca="false">AP63</f>
        <v>59.9443255714363</v>
      </c>
      <c r="AR30" s="13" t="n">
        <f aca="false">AQ63</f>
        <v>63.0408868343033</v>
      </c>
      <c r="AS30" s="13" t="n">
        <f aca="false">AR63</f>
        <v>63.3161570316554</v>
      </c>
      <c r="AT30" s="13" t="n">
        <f aca="false">AS63</f>
        <v>63.3161570316554</v>
      </c>
      <c r="AU30" s="13" t="n">
        <f aca="false">AT63</f>
        <v>63.3161570316554</v>
      </c>
      <c r="AV30" s="13" t="n">
        <f aca="false">AU63</f>
        <v>63.3161570316554</v>
      </c>
      <c r="AW30" s="13" t="n">
        <f aca="false">AV63</f>
        <v>63.3161570316554</v>
      </c>
      <c r="AX30" s="13" t="n">
        <f aca="false">AW63</f>
        <v>63.3161570316554</v>
      </c>
      <c r="AY30" s="13" t="n">
        <f aca="false">AX63</f>
        <v>63.3161570316554</v>
      </c>
      <c r="AZ30" s="13" t="n">
        <f aca="false">AY63</f>
        <v>63.3161570316554</v>
      </c>
      <c r="BA30" s="13" t="n">
        <f aca="false">AZ63</f>
        <v>63.3161570316554</v>
      </c>
      <c r="BB30" s="13" t="n">
        <f aca="false">BA63</f>
        <v>63.3161570316554</v>
      </c>
      <c r="BC30" s="13" t="n">
        <f aca="false">BB63</f>
        <v>63.3161570316554</v>
      </c>
      <c r="BD30" s="13" t="n">
        <f aca="false">BC63</f>
        <v>63.3161570316554</v>
      </c>
      <c r="BE30" s="13" t="n">
        <f aca="false">BD63</f>
        <v>63.3161570316554</v>
      </c>
      <c r="BF30" s="13" t="n">
        <f aca="false">BE63</f>
        <v>63.3161570316554</v>
      </c>
      <c r="BG30" s="13" t="n">
        <f aca="false">BF63</f>
        <v>63.3161570316554</v>
      </c>
      <c r="BH30" s="13" t="n">
        <f aca="false">BG63</f>
        <v>63.3161570316554</v>
      </c>
      <c r="BI30" s="13" t="n">
        <f aca="false">BH63</f>
        <v>63.3161570316554</v>
      </c>
      <c r="BJ30" s="13" t="n">
        <f aca="false">BI63</f>
        <v>63.3161570316554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34.9214301232594</v>
      </c>
      <c r="M31" s="13" t="n">
        <f aca="false">L64</f>
        <v>35.8178397754115</v>
      </c>
      <c r="N31" s="13" t="n">
        <f aca="false">M64</f>
        <v>37.0850776818587</v>
      </c>
      <c r="O31" s="13" t="n">
        <f aca="false">N64</f>
        <v>38.9098122467962</v>
      </c>
      <c r="P31" s="13" t="n">
        <f aca="false">O64</f>
        <v>41.4243247028436</v>
      </c>
      <c r="Q31" s="13" t="n">
        <f aca="false">P64</f>
        <v>44.7045975609292</v>
      </c>
      <c r="R31" s="13" t="n">
        <f aca="false">Q64</f>
        <v>48.868286645927</v>
      </c>
      <c r="S31" s="13" t="n">
        <f aca="false">R64</f>
        <v>53.91244710101</v>
      </c>
      <c r="T31" s="13" t="n">
        <f aca="false">S64</f>
        <v>59.8531117166901</v>
      </c>
      <c r="U31" s="13" t="n">
        <f aca="false">T64</f>
        <v>66.6329625759976</v>
      </c>
      <c r="V31" s="13" t="n">
        <f aca="false">U64</f>
        <v>74.217168284338</v>
      </c>
      <c r="W31" s="13" t="n">
        <f aca="false">V64</f>
        <v>82.5085322188115</v>
      </c>
      <c r="X31" s="13" t="n">
        <f aca="false">W64</f>
        <v>91.3879571390061</v>
      </c>
      <c r="Y31" s="13" t="n">
        <f aca="false">X64</f>
        <v>100.754104010482</v>
      </c>
      <c r="Z31" s="13" t="n">
        <f aca="false">Y64</f>
        <v>110.444323414385</v>
      </c>
      <c r="AA31" s="13" t="n">
        <f aca="false">Z64</f>
        <v>120.337414392921</v>
      </c>
      <c r="AB31" s="13" t="n">
        <f aca="false">AA64</f>
        <v>130.599587064784</v>
      </c>
      <c r="AC31" s="13" t="n">
        <f aca="false">AB64</f>
        <v>140.388289995185</v>
      </c>
      <c r="AD31" s="13" t="n">
        <f aca="false">AC64</f>
        <v>149.944032094253</v>
      </c>
      <c r="AE31" s="13" t="n">
        <f aca="false">AD64</f>
        <v>159.078530265267</v>
      </c>
      <c r="AF31" s="13" t="n">
        <f aca="false">AE64</f>
        <v>167.69669975071</v>
      </c>
      <c r="AG31" s="13" t="n">
        <f aca="false">AF64</f>
        <v>175.651387226479</v>
      </c>
      <c r="AH31" s="13" t="n">
        <f aca="false">AG64</f>
        <v>182.887713343007</v>
      </c>
      <c r="AI31" s="13" t="n">
        <f aca="false">AH64</f>
        <v>189.319100322154</v>
      </c>
      <c r="AJ31" s="13" t="n">
        <f aca="false">AI64</f>
        <v>194.886051435797</v>
      </c>
      <c r="AK31" s="13" t="n">
        <f aca="false">AJ64</f>
        <v>199.618551879782</v>
      </c>
      <c r="AL31" s="13" t="n">
        <f aca="false">AK64</f>
        <v>203.50167750716</v>
      </c>
      <c r="AM31" s="13" t="n">
        <f aca="false">AL64</f>
        <v>206.636221255646</v>
      </c>
      <c r="AN31" s="13" t="n">
        <f aca="false">AM64</f>
        <v>209.100376326286</v>
      </c>
      <c r="AO31" s="13" t="n">
        <f aca="false">AN64</f>
        <v>210.965065038145</v>
      </c>
      <c r="AP31" s="13" t="n">
        <f aca="false">AO64</f>
        <v>212.521332702896</v>
      </c>
      <c r="AQ31" s="13" t="n">
        <f aca="false">AP64</f>
        <v>227.788437171458</v>
      </c>
      <c r="AR31" s="13" t="n">
        <f aca="false">AQ64</f>
        <v>239.555369970353</v>
      </c>
      <c r="AS31" s="13" t="n">
        <f aca="false">AR64</f>
        <v>240.60139672029</v>
      </c>
      <c r="AT31" s="13" t="n">
        <f aca="false">AS64</f>
        <v>240.60139672029</v>
      </c>
      <c r="AU31" s="13" t="n">
        <f aca="false">AT64</f>
        <v>240.60139672029</v>
      </c>
      <c r="AV31" s="13" t="n">
        <f aca="false">AU64</f>
        <v>240.60139672029</v>
      </c>
      <c r="AW31" s="13" t="n">
        <f aca="false">AV64</f>
        <v>240.60139672029</v>
      </c>
      <c r="AX31" s="13" t="n">
        <f aca="false">AW64</f>
        <v>240.60139672029</v>
      </c>
      <c r="AY31" s="13" t="n">
        <f aca="false">AX64</f>
        <v>240.60139672029</v>
      </c>
      <c r="AZ31" s="13" t="n">
        <f aca="false">AY64</f>
        <v>240.60139672029</v>
      </c>
      <c r="BA31" s="13" t="n">
        <f aca="false">AZ64</f>
        <v>240.60139672029</v>
      </c>
      <c r="BB31" s="13" t="n">
        <f aca="false">BA64</f>
        <v>240.60139672029</v>
      </c>
      <c r="BC31" s="13" t="n">
        <f aca="false">BB64</f>
        <v>240.60139672029</v>
      </c>
      <c r="BD31" s="13" t="n">
        <f aca="false">BC64</f>
        <v>240.60139672029</v>
      </c>
      <c r="BE31" s="13" t="n">
        <f aca="false">BD64</f>
        <v>240.60139672029</v>
      </c>
      <c r="BF31" s="13" t="n">
        <f aca="false">BE64</f>
        <v>240.60139672029</v>
      </c>
      <c r="BG31" s="13" t="n">
        <f aca="false">BF64</f>
        <v>240.60139672029</v>
      </c>
      <c r="BH31" s="13" t="n">
        <f aca="false">BG64</f>
        <v>240.60139672029</v>
      </c>
      <c r="BI31" s="13" t="n">
        <f aca="false">BH64</f>
        <v>240.60139672029</v>
      </c>
      <c r="BJ31" s="13" t="n">
        <f aca="false">BI64</f>
        <v>240.60139672029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12.4326346894697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0.0918755256992857</v>
      </c>
      <c r="M33" s="13" t="n">
        <f aca="false">Construction!M14*M28*(Construction!M17+Inputs!$F$79)/100*Construction!M11/Inputs!$F$247*1</f>
        <v>0.0911941052176594</v>
      </c>
      <c r="N33" s="13" t="n">
        <f aca="false">Construction!N14*N28*(Construction!N17+Inputs!$F$79)/100*Construction!N11/Inputs!$F$247*1</f>
        <v>0.0975679116116796</v>
      </c>
      <c r="O33" s="13" t="n">
        <f aca="false">Construction!O14*O28*(Construction!O17+Inputs!$F$79)/100*Construction!O11/Inputs!$F$247*1</f>
        <v>0.10951064262618</v>
      </c>
      <c r="P33" s="13" t="n">
        <f aca="false">Construction!P14*P28*(Construction!P17+Inputs!$F$79)/100*Construction!P11/Inputs!$F$247*1</f>
        <v>0.10530499384986</v>
      </c>
      <c r="Q33" s="13" t="n">
        <f aca="false">Construction!Q14*Q28*(Construction!Q17+Inputs!$F$79)/100*Construction!Q11/Inputs!$F$247*1</f>
        <v>0.125819913398457</v>
      </c>
      <c r="R33" s="13" t="n">
        <f aca="false">Construction!R14*R28*(Construction!R17+Inputs!$F$79)/100*Construction!R11/Inputs!$F$247*1</f>
        <v>0.133101780732985</v>
      </c>
      <c r="S33" s="13" t="n">
        <f aca="false">Construction!S14*S28*(Construction!S17+Inputs!$F$79)/100*Construction!S11/Inputs!$F$247*1</f>
        <v>0.151735163617185</v>
      </c>
      <c r="T33" s="13" t="n">
        <f aca="false">Construction!T14*T28*(Construction!T17+Inputs!$F$79)/100*Construction!T11/Inputs!$F$247*1</f>
        <v>0.163020975333617</v>
      </c>
      <c r="U33" s="13" t="n">
        <f aca="false">Construction!U14*U28*(Construction!U17+Inputs!$F$79)/100*Construction!U11/Inputs!$F$247*1</f>
        <v>0.194331528354867</v>
      </c>
      <c r="V33" s="13" t="n">
        <f aca="false">Construction!V14*V28*(Construction!V17+Inputs!$F$79)/100*Construction!V11/Inputs!$F$247*1</f>
        <v>0.21645046513452</v>
      </c>
      <c r="W33" s="13" t="n">
        <f aca="false">Construction!W14*W28*(Construction!W17+Inputs!$F$79)/100*Construction!W11/Inputs!$F$247*1</f>
        <v>0.232869475801777</v>
      </c>
      <c r="X33" s="13" t="n">
        <f aca="false">Construction!X14*X28*(Construction!X17+Inputs!$F$79)/100*Construction!X11/Inputs!$F$247*1</f>
        <v>0.26652816710343</v>
      </c>
      <c r="Y33" s="13" t="n">
        <f aca="false">Construction!Y14*Y28*(Construction!Y17+Inputs!$F$79)/100*Construction!Y11/Inputs!$F$247*1</f>
        <v>0.284365201450636</v>
      </c>
      <c r="Z33" s="13" t="n">
        <f aca="false">Construction!Z14*Z28*(Construction!Z17+Inputs!$F$79)/100*Construction!Z11/Inputs!$F$247*1</f>
        <v>0.322105056378926</v>
      </c>
      <c r="AA33" s="13" t="n">
        <f aca="false">Construction!AA14*AA28*(Construction!AA17+Inputs!$F$79)/100*Construction!AA11/Inputs!$F$247*1</f>
        <v>0.357502401925637</v>
      </c>
      <c r="AB33" s="13" t="n">
        <f aca="false">Construction!AB14*AB28*(Construction!AB17+Inputs!$F$79)/100*Construction!AB11/Inputs!$F$247*1</f>
        <v>0.362958019050879</v>
      </c>
      <c r="AC33" s="13" t="n">
        <f aca="false">Construction!AC14*AC28*(Construction!AC17+Inputs!$F$79)/100*Construction!AC11/Inputs!$F$247*1</f>
        <v>0.417070211527361</v>
      </c>
      <c r="AD33" s="13" t="n">
        <f aca="false">Construction!AD14*AD28*(Construction!AD17+Inputs!$F$79)/100*Construction!AD11/Inputs!$F$247*1</f>
        <v>0.431089092270976</v>
      </c>
      <c r="AE33" s="13" t="n">
        <f aca="false">Construction!AE14*AE28*(Construction!AE17+Inputs!$F$79)/100*Construction!AE11/Inputs!$F$247*1</f>
        <v>0.472595800329729</v>
      </c>
      <c r="AF33" s="13" t="n">
        <f aca="false">Construction!AF14*AF28*(Construction!AF17+Inputs!$F$79)/100*Construction!AF11/Inputs!$F$247*1</f>
        <v>0.482128011783291</v>
      </c>
      <c r="AG33" s="13" t="n">
        <f aca="false">Construction!AG14*AG28*(Construction!AG17+Inputs!$F$79)/100*Construction!AG11/Inputs!$F$247*1</f>
        <v>0.52660748130991</v>
      </c>
      <c r="AH33" s="13" t="n">
        <f aca="false">Construction!AH14*AH28*(Construction!AH17+Inputs!$F$79)/100*Construction!AH11/Inputs!$F$247*1</f>
        <v>0.548302177436895</v>
      </c>
      <c r="AI33" s="13" t="n">
        <f aca="false">Construction!AI14*AI28*(Construction!AI17+Inputs!$F$79)/100*Construction!AI11/Inputs!$F$247*1</f>
        <v>0.549274495013618</v>
      </c>
      <c r="AJ33" s="13" t="n">
        <f aca="false">Construction!AJ14*AJ28*(Construction!AJ17+Inputs!$F$79)/100*Construction!AJ11/Inputs!$F$247*1</f>
        <v>0.584273510784821</v>
      </c>
      <c r="AK33" s="13" t="n">
        <f aca="false">Construction!AK14*AK28*(Construction!AK17+Inputs!$F$79)/100*Construction!AK11/Inputs!$F$247*1</f>
        <v>0.579156456440682</v>
      </c>
      <c r="AL33" s="13" t="n">
        <f aca="false">Construction!AL14*AL28*(Construction!AL17+Inputs!$F$79)/100*Construction!AL11/Inputs!$F$247*1</f>
        <v>0.610103384473769</v>
      </c>
      <c r="AM33" s="13" t="n">
        <f aca="false">Construction!AM14*AM28*(Construction!AM17+Inputs!$F$79)/100*Construction!AM11/Inputs!$F$247*1</f>
        <v>0.623715120474278</v>
      </c>
      <c r="AN33" s="13" t="n">
        <f aca="false">Construction!AN14*AN28*(Construction!AN17+Inputs!$F$79)/100*Construction!AN11/Inputs!$F$247*1</f>
        <v>0.570073657563244</v>
      </c>
      <c r="AO33" s="13" t="n">
        <f aca="false">Construction!AO14*AO28*(Construction!AO17+Inputs!$F$79)/100*Construction!AO11/Inputs!$F$247*1</f>
        <v>0.636781393680927</v>
      </c>
      <c r="AP33" s="13" t="n">
        <f aca="false">Construction!AP14*AP28*(Construction!AP17+Inputs!$F$79)/100*Construction!AP11/Inputs!$F$247*1</f>
        <v>0.620785998158459</v>
      </c>
      <c r="AQ33" s="13" t="n">
        <f aca="false">Construction!AQ14*AQ28*(Construction!AQ17+Inputs!$F$79)/100*Construction!AQ11/Inputs!$F$247*1</f>
        <v>0.687561414304374</v>
      </c>
      <c r="AR33" s="13" t="n">
        <f aca="false">Construction!AR14*AR28*(Construction!AR17+Inputs!$F$79)/100*Construction!AR11/Inputs!$F$247*1</f>
        <v>0.699753843860767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13.9267350615923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0.107417604293032</v>
      </c>
      <c r="M34" s="13" t="n">
        <f aca="false">Construction!M14*M29*(Construction!M17+Inputs!$F$80)/100*Construction!M11/Inputs!$F$247*1</f>
        <v>0.106620911647245</v>
      </c>
      <c r="N34" s="13" t="n">
        <f aca="false">Construction!N14*N29*(Construction!N17+Inputs!$F$80)/100*Construction!N11/Inputs!$F$247*1</f>
        <v>0.1140729398981</v>
      </c>
      <c r="O34" s="13" t="n">
        <f aca="false">Construction!O14*O29*(Construction!O17+Inputs!$F$80)/100*Construction!O11/Inputs!$F$247*1</f>
        <v>0.124923251588383</v>
      </c>
      <c r="P34" s="13" t="n">
        <f aca="false">Construction!P14*P29*(Construction!P17+Inputs!$F$80)/100*Construction!P11/Inputs!$F$247*1</f>
        <v>0.120125696687989</v>
      </c>
      <c r="Q34" s="13" t="n">
        <f aca="false">Construction!Q14*Q29*(Construction!Q17+Inputs!$F$80)/100*Construction!Q11/Inputs!$F$247*1</f>
        <v>0.143527901210092</v>
      </c>
      <c r="R34" s="13" t="n">
        <f aca="false">Construction!R14*R29*(Construction!R17+Inputs!$F$80)/100*Construction!R11/Inputs!$F$247*1</f>
        <v>0.151834623947257</v>
      </c>
      <c r="S34" s="13" t="n">
        <f aca="false">Construction!S14*S29*(Construction!S17+Inputs!$F$80)/100*Construction!S11/Inputs!$F$247*1</f>
        <v>0.173090482941085</v>
      </c>
      <c r="T34" s="13" t="n">
        <f aca="false">Construction!T14*T29*(Construction!T17+Inputs!$F$80)/100*Construction!T11/Inputs!$F$247*1</f>
        <v>0.185964668158348</v>
      </c>
      <c r="U34" s="13" t="n">
        <f aca="false">Construction!U14*U29*(Construction!U17+Inputs!$F$80)/100*Construction!U11/Inputs!$F$247*1</f>
        <v>0.218913636215141</v>
      </c>
      <c r="V34" s="13" t="n">
        <f aca="false">Construction!V14*V29*(Construction!V17+Inputs!$F$80)/100*Construction!V11/Inputs!$F$247*1</f>
        <v>0.243830523972049</v>
      </c>
      <c r="W34" s="13" t="n">
        <f aca="false">Construction!W14*W29*(Construction!W17+Inputs!$F$80)/100*Construction!W11/Inputs!$F$247*1</f>
        <v>0.262326469322002</v>
      </c>
      <c r="X34" s="13" t="n">
        <f aca="false">Construction!X14*X29*(Construction!X17+Inputs!$F$80)/100*Construction!X11/Inputs!$F$247*1</f>
        <v>0.300242841232753</v>
      </c>
      <c r="Y34" s="13" t="n">
        <f aca="false">Construction!Y14*Y29*(Construction!Y17+Inputs!$F$80)/100*Construction!Y11/Inputs!$F$247*1</f>
        <v>0.320336184198237</v>
      </c>
      <c r="Z34" s="13" t="n">
        <f aca="false">Construction!Z14*Z29*(Construction!Z17+Inputs!$F$80)/100*Construction!Z11/Inputs!$F$247*1</f>
        <v>0.362849969493525</v>
      </c>
      <c r="AA34" s="13" t="n">
        <f aca="false">Construction!AA14*AA29*(Construction!AA17+Inputs!$F$80)/100*Construction!AA11/Inputs!$F$247*1</f>
        <v>0.40015181127817</v>
      </c>
      <c r="AB34" s="13" t="n">
        <f aca="false">Construction!AB14*AB29*(Construction!AB17+Inputs!$F$80)/100*Construction!AB11/Inputs!$F$247*1</f>
        <v>0.406258273955195</v>
      </c>
      <c r="AC34" s="13" t="n">
        <f aca="false">Construction!AC14*AC29*(Construction!AC17+Inputs!$F$80)/100*Construction!AC11/Inputs!$F$247*1</f>
        <v>0.46682595606045</v>
      </c>
      <c r="AD34" s="13" t="n">
        <f aca="false">Construction!AD14*AD29*(Construction!AD17+Inputs!$F$80)/100*Construction!AD11/Inputs!$F$247*1</f>
        <v>0.482517264682251</v>
      </c>
      <c r="AE34" s="13" t="n">
        <f aca="false">Construction!AE14*AE29*(Construction!AE17+Inputs!$F$80)/100*Construction!AE11/Inputs!$F$247*1</f>
        <v>0.528975650193627</v>
      </c>
      <c r="AF34" s="13" t="n">
        <f aca="false">Construction!AF14*AF29*(Construction!AF17+Inputs!$F$80)/100*Construction!AF11/Inputs!$F$247*1</f>
        <v>0.539645037750421</v>
      </c>
      <c r="AG34" s="13" t="n">
        <f aca="false">Construction!AG14*AG29*(Construction!AG17+Inputs!$F$80)/100*Construction!AG11/Inputs!$F$247*1</f>
        <v>0.587587274308155</v>
      </c>
      <c r="AH34" s="13" t="n">
        <f aca="false">Construction!AH14*AH29*(Construction!AH17+Inputs!$F$80)/100*Construction!AH11/Inputs!$F$247*1</f>
        <v>0.61179416049308</v>
      </c>
      <c r="AI34" s="13" t="n">
        <f aca="false">Construction!AI14*AI29*(Construction!AI17+Inputs!$F$80)/100*Construction!AI11/Inputs!$F$247*1</f>
        <v>0.612879069946412</v>
      </c>
      <c r="AJ34" s="13" t="n">
        <f aca="false">Construction!AJ14*AJ29*(Construction!AJ17+Inputs!$F$80)/100*Construction!AJ11/Inputs!$F$247*1</f>
        <v>0.651930881799359</v>
      </c>
      <c r="AK34" s="13" t="n">
        <f aca="false">Construction!AK14*AK29*(Construction!AK17+Inputs!$F$80)/100*Construction!AK11/Inputs!$F$247*1</f>
        <v>0.646221285712574</v>
      </c>
      <c r="AL34" s="13" t="n">
        <f aca="false">Construction!AL14*AL29*(Construction!AL17+Inputs!$F$80)/100*Construction!AL11/Inputs!$F$247*1</f>
        <v>0.68075178848086</v>
      </c>
      <c r="AM34" s="13" t="n">
        <f aca="false">Construction!AM14*AM29*(Construction!AM17+Inputs!$F$80)/100*Construction!AM11/Inputs!$F$247*1</f>
        <v>0.694327913392837</v>
      </c>
      <c r="AN34" s="13" t="n">
        <f aca="false">Construction!AN14*AN29*(Construction!AN17+Inputs!$F$80)/100*Construction!AN11/Inputs!$F$247*1</f>
        <v>0.634613528104188</v>
      </c>
      <c r="AO34" s="13" t="n">
        <f aca="false">Construction!AO14*AO29*(Construction!AO17+Inputs!$F$80)/100*Construction!AO11/Inputs!$F$247*1</f>
        <v>0.708873461373933</v>
      </c>
      <c r="AP34" s="13" t="n">
        <f aca="false">Construction!AP14*AP29*(Construction!AP17+Inputs!$F$80)/100*Construction!AP11/Inputs!$F$247*1</f>
        <v>0.691067175727751</v>
      </c>
      <c r="AQ34" s="13" t="n">
        <f aca="false">Construction!AQ14*AQ29*(Construction!AQ17+Inputs!$F$80)/100*Construction!AQ11/Inputs!$F$247*1</f>
        <v>0.765402451299194</v>
      </c>
      <c r="AR34" s="13" t="n">
        <f aca="false">Construction!AR14*AR29*(Construction!AR17+Inputs!$F$80)/100*Construction!AR11/Inputs!$F$247*1</f>
        <v>0.778975224982542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6.09271210197635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0.0468478132764661</v>
      </c>
      <c r="M35" s="13" t="n">
        <f aca="false">Construction!M14*M30*(Construction!M17+Inputs!$F$81)/100*Construction!M11/Inputs!$F$247*1</f>
        <v>0.0465003533926394</v>
      </c>
      <c r="N35" s="13" t="n">
        <f aca="false">Construction!N14*N30*(Construction!N17+Inputs!$F$81)/100*Construction!N11/Inputs!$F$247*1</f>
        <v>0.0497503907615111</v>
      </c>
      <c r="O35" s="13" t="n">
        <f aca="false">Construction!O14*O30*(Construction!O17+Inputs!$F$81)/100*Construction!O11/Inputs!$F$247*1</f>
        <v>0.0545789756727903</v>
      </c>
      <c r="P35" s="13" t="n">
        <f aca="false">Construction!P14*P30*(Construction!P17+Inputs!$F$81)/100*Construction!P11/Inputs!$F$247*1</f>
        <v>0.0524829236659127</v>
      </c>
      <c r="Q35" s="13" t="n">
        <f aca="false">Construction!Q14*Q30*(Construction!Q17+Inputs!$F$81)/100*Construction!Q11/Inputs!$F$247*1</f>
        <v>0.0627073481430315</v>
      </c>
      <c r="R35" s="13" t="n">
        <f aca="false">Construction!R14*R30*(Construction!R17+Inputs!$F$81)/100*Construction!R11/Inputs!$F$247*1</f>
        <v>0.0663365557759403</v>
      </c>
      <c r="S35" s="13" t="n">
        <f aca="false">Construction!S14*S30*(Construction!S17+Inputs!$F$81)/100*Construction!S11/Inputs!$F$247*1</f>
        <v>0.0756232417705615</v>
      </c>
      <c r="T35" s="13" t="n">
        <f aca="false">Construction!T14*T30*(Construction!T17+Inputs!$F$81)/100*Construction!T11/Inputs!$F$247*1</f>
        <v>0.0812479740189281</v>
      </c>
      <c r="U35" s="13" t="n">
        <f aca="false">Construction!U14*U30*(Construction!U17+Inputs!$F$81)/100*Construction!U11/Inputs!$F$247*1</f>
        <v>0.0957313045664223</v>
      </c>
      <c r="V35" s="13" t="n">
        <f aca="false">Construction!V14*V30*(Construction!V17+Inputs!$F$81)/100*Construction!V11/Inputs!$F$247*1</f>
        <v>0.106627501861139</v>
      </c>
      <c r="W35" s="13" t="n">
        <f aca="false">Construction!W14*W30*(Construction!W17+Inputs!$F$81)/100*Construction!W11/Inputs!$F$247*1</f>
        <v>0.11471581014633</v>
      </c>
      <c r="X35" s="13" t="n">
        <f aca="false">Construction!X14*X30*(Construction!X17+Inputs!$F$81)/100*Construction!X11/Inputs!$F$247*1</f>
        <v>0.131296703918862</v>
      </c>
      <c r="Y35" s="13" t="n">
        <f aca="false">Construction!Y14*Y30*(Construction!Y17+Inputs!$F$81)/100*Construction!Y11/Inputs!$F$247*1</f>
        <v>0.140083556891766</v>
      </c>
      <c r="Z35" s="13" t="n">
        <f aca="false">Construction!Z14*Z30*(Construction!Z17+Inputs!$F$81)/100*Construction!Z11/Inputs!$F$247*1</f>
        <v>0.158674907338181</v>
      </c>
      <c r="AA35" s="13" t="n">
        <f aca="false">Construction!AA14*AA30*(Construction!AA17+Inputs!$F$81)/100*Construction!AA11/Inputs!$F$247*1</f>
        <v>0.175069826114614</v>
      </c>
      <c r="AB35" s="13" t="n">
        <f aca="false">Construction!AB14*AB30*(Construction!AB17+Inputs!$F$81)/100*Construction!AB11/Inputs!$F$247*1</f>
        <v>0.17774145555352</v>
      </c>
      <c r="AC35" s="13" t="n">
        <f aca="false">Construction!AC14*AC30*(Construction!AC17+Inputs!$F$81)/100*Construction!AC11/Inputs!$F$247*1</f>
        <v>0.204240332418433</v>
      </c>
      <c r="AD35" s="13" t="n">
        <f aca="false">Construction!AD14*AD30*(Construction!AD17+Inputs!$F$81)/100*Construction!AD11/Inputs!$F$247*1</f>
        <v>0.211105413606382</v>
      </c>
      <c r="AE35" s="13" t="n">
        <f aca="false">Construction!AE14*AE30*(Construction!AE17+Inputs!$F$81)/100*Construction!AE11/Inputs!$F$247*1</f>
        <v>0.231431353021881</v>
      </c>
      <c r="AF35" s="13" t="n">
        <f aca="false">Construction!AF14*AF30*(Construction!AF17+Inputs!$F$81)/100*Construction!AF11/Inputs!$F$247*1</f>
        <v>0.236099300964815</v>
      </c>
      <c r="AG35" s="13" t="n">
        <f aca="false">Construction!AG14*AG30*(Construction!AG17+Inputs!$F$81)/100*Construction!AG11/Inputs!$F$247*1</f>
        <v>0.257134114078762</v>
      </c>
      <c r="AH35" s="13" t="n">
        <f aca="false">Construction!AH14*AH30*(Construction!AH17+Inputs!$F$81)/100*Construction!AH11/Inputs!$F$247*1</f>
        <v>0.267727291477123</v>
      </c>
      <c r="AI35" s="13" t="n">
        <f aca="false">Construction!AI14*AI30*(Construction!AI17+Inputs!$F$81)/100*Construction!AI11/Inputs!$F$247*1</f>
        <v>0.268202058789718</v>
      </c>
      <c r="AJ35" s="13" t="n">
        <f aca="false">Construction!AJ14*AJ30*(Construction!AJ17+Inputs!$F$81)/100*Construction!AJ11/Inputs!$F$247*1</f>
        <v>0.285291525296292</v>
      </c>
      <c r="AK35" s="13" t="n">
        <f aca="false">Construction!AK14*AK30*(Construction!AK17+Inputs!$F$81)/100*Construction!AK11/Inputs!$F$247*1</f>
        <v>0.282792948496357</v>
      </c>
      <c r="AL35" s="13" t="n">
        <f aca="false">Construction!AL14*AL30*(Construction!AL17+Inputs!$F$81)/100*Construction!AL11/Inputs!$F$247*1</f>
        <v>0.297903844572982</v>
      </c>
      <c r="AM35" s="13" t="n">
        <f aca="false">Construction!AM14*AM30*(Construction!AM17+Inputs!$F$81)/100*Construction!AM11/Inputs!$F$247*1</f>
        <v>0.303897232122978</v>
      </c>
      <c r="AN35" s="13" t="n">
        <f aca="false">Construction!AN14*AN30*(Construction!AN17+Inputs!$F$81)/100*Construction!AN11/Inputs!$F$247*1</f>
        <v>0.277761113932842</v>
      </c>
      <c r="AO35" s="13" t="n">
        <f aca="false">Construction!AO14*AO30*(Construction!AO17+Inputs!$F$81)/100*Construction!AO11/Inputs!$F$247*1</f>
        <v>0.310263606981173</v>
      </c>
      <c r="AP35" s="13" t="n">
        <f aca="false">Construction!AP14*AP30*(Construction!AP17+Inputs!$F$81)/100*Construction!AP11/Inputs!$F$247*1</f>
        <v>0.302470054658289</v>
      </c>
      <c r="AQ35" s="13" t="n">
        <f aca="false">Construction!AQ14*AQ30*(Construction!AQ17+Inputs!$F$81)/100*Construction!AQ11/Inputs!$F$247*1</f>
        <v>0.335005523936591</v>
      </c>
      <c r="AR35" s="13" t="n">
        <f aca="false">Construction!AR14*AR30*(Construction!AR17+Inputs!$F$81)/100*Construction!AR11/Inputs!$F$247*1</f>
        <v>0.340946129628857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28.534004719597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0.221190613885657</v>
      </c>
      <c r="M36" s="13" t="n">
        <f aca="false">Construction!M14*M31*(Construction!M17+Inputs!$F$82)/100*Construction!M11/Inputs!$F$247*(1/(1-Inputs!$F$93/100))</f>
        <v>0.219550091956689</v>
      </c>
      <c r="N36" s="13" t="n">
        <f aca="false">Construction!N14*N31*(Construction!N17+Inputs!$F$82)/100*Construction!N11/Inputs!$F$247*(1/(1-Inputs!$F$93/100))</f>
        <v>0.234895050675032</v>
      </c>
      <c r="O36" s="13" t="n">
        <f aca="false">Construction!O14*O31*(Construction!O17+Inputs!$F$82)/100*Construction!O11/Inputs!$F$247*(1/(1-Inputs!$F$93/100))</f>
        <v>0.256504530796086</v>
      </c>
      <c r="P36" s="13" t="n">
        <f aca="false">Construction!P14*P31*(Construction!P17+Inputs!$F$82)/100*Construction!P11/Inputs!$F$247*(1/(1-Inputs!$F$93/100))</f>
        <v>0.246653725977549</v>
      </c>
      <c r="Q36" s="13" t="n">
        <f aca="false">Construction!Q14*Q31*(Construction!Q17+Inputs!$F$82)/100*Construction!Q11/Inputs!$F$247*(1/(1-Inputs!$F$93/100))</f>
        <v>0.294705401019718</v>
      </c>
      <c r="R36" s="13" t="n">
        <f aca="false">Construction!R14*R31*(Construction!R17+Inputs!$F$82)/100*Construction!R11/Inputs!$F$247*(1/(1-Inputs!$F$93/100))</f>
        <v>0.31176156943559</v>
      </c>
      <c r="S36" s="13" t="n">
        <f aca="false">Construction!S14*S31*(Construction!S17+Inputs!$F$82)/100*Construction!S11/Inputs!$F$247*(1/(1-Inputs!$F$93/100))</f>
        <v>0.355406159762492</v>
      </c>
      <c r="T36" s="13" t="n">
        <f aca="false">Construction!T14*T31*(Construction!T17+Inputs!$F$82)/100*Construction!T11/Inputs!$F$247*(1/(1-Inputs!$F$93/100))</f>
        <v>0.381840684933329</v>
      </c>
      <c r="U36" s="13" t="n">
        <f aca="false">Construction!U14*U31*(Construction!U17+Inputs!$F$82)/100*Construction!U11/Inputs!$F$247*(1/(1-Inputs!$F$93/100))</f>
        <v>0.448826473845238</v>
      </c>
      <c r="V36" s="13" t="n">
        <f aca="false">Construction!V14*V31*(Construction!V17+Inputs!$F$82)/100*Construction!V11/Inputs!$F$247*(1/(1-Inputs!$F$93/100))</f>
        <v>0.499912185381911</v>
      </c>
      <c r="W36" s="13" t="n">
        <f aca="false">Construction!W14*W31*(Construction!W17+Inputs!$F$82)/100*Construction!W11/Inputs!$F$247*(1/(1-Inputs!$F$93/100))</f>
        <v>0.537833395204105</v>
      </c>
      <c r="X36" s="13" t="n">
        <f aca="false">Construction!X14*X31*(Construction!X17+Inputs!$F$82)/100*Construction!X11/Inputs!$F$247*(1/(1-Inputs!$F$93/100))</f>
        <v>0.615571227346194</v>
      </c>
      <c r="Y36" s="13" t="n">
        <f aca="false">Construction!Y14*Y31*(Construction!Y17+Inputs!$F$82)/100*Construction!Y11/Inputs!$F$247*(1/(1-Inputs!$F$93/100))</f>
        <v>0.656767492809065</v>
      </c>
      <c r="Z36" s="13" t="n">
        <f aca="false">Construction!Z14*Z31*(Construction!Z17+Inputs!$F$82)/100*Construction!Z11/Inputs!$F$247*(1/(1-Inputs!$F$93/100))</f>
        <v>0.743931146356646</v>
      </c>
      <c r="AA36" s="13" t="n">
        <f aca="false">Construction!AA14*AA31*(Construction!AA17+Inputs!$F$82)/100*Construction!AA11/Inputs!$F$247*(1/(1-Inputs!$F$93/100))</f>
        <v>0.819780064963136</v>
      </c>
      <c r="AB36" s="13" t="n">
        <f aca="false">Construction!AB14*AB31*(Construction!AB17+Inputs!$F$82)/100*Construction!AB11/Inputs!$F$247*(1/(1-Inputs!$F$93/100))</f>
        <v>0.832290207936316</v>
      </c>
      <c r="AC36" s="13" t="n">
        <f aca="false">Construction!AC14*AC31*(Construction!AC17+Inputs!$F$82)/100*Construction!AC11/Inputs!$F$247*(1/(1-Inputs!$F$93/100))</f>
        <v>0.956373560732628</v>
      </c>
      <c r="AD36" s="13" t="n">
        <f aca="false">Construction!AD14*AD31*(Construction!AD17+Inputs!$F$82)/100*Construction!AD11/Inputs!$F$247*(1/(1-Inputs!$F$93/100))</f>
        <v>0.988519915288036</v>
      </c>
      <c r="AE36" s="13" t="n">
        <f aca="false">Construction!AE14*AE31*(Construction!AE17+Inputs!$F$82)/100*Construction!AE11/Inputs!$F$247*(1/(1-Inputs!$F$93/100))</f>
        <v>1.08369793827622</v>
      </c>
      <c r="AF36" s="13" t="n">
        <f aca="false">Construction!AF14*AF31*(Construction!AF17+Inputs!$F$82)/100*Construction!AF11/Inputs!$F$247*(1/(1-Inputs!$F$93/100))</f>
        <v>1.10555602057875</v>
      </c>
      <c r="AG36" s="13" t="n">
        <f aca="false">Construction!AG14*AG31*(Construction!AG17+Inputs!$F$82)/100*Construction!AG11/Inputs!$F$247*(1/(1-Inputs!$F$93/100))</f>
        <v>1.20332042928362</v>
      </c>
      <c r="AH36" s="13" t="n">
        <f aca="false">Construction!AH14*AH31*(Construction!AH17+Inputs!$F$82)/100*Construction!AH11/Inputs!$F$247*(1/(1-Inputs!$F$93/100))</f>
        <v>1.25289373004981</v>
      </c>
      <c r="AI36" s="13" t="n">
        <f aca="false">Construction!AI14*AI31*(Construction!AI17+Inputs!$F$82)/100*Construction!AI11/Inputs!$F$247*(1/(1-Inputs!$F$93/100))</f>
        <v>1.25511551695058</v>
      </c>
      <c r="AJ36" s="13" t="n">
        <f aca="false">Construction!AJ14*AJ31*(Construction!AJ17+Inputs!$F$82)/100*Construction!AJ11/Inputs!$F$247*(1/(1-Inputs!$F$93/100))</f>
        <v>1.33508975236696</v>
      </c>
      <c r="AK36" s="13" t="n">
        <f aca="false">Construction!AK14*AK31*(Construction!AK17+Inputs!$F$82)/100*Construction!AK11/Inputs!$F$247*(1/(1-Inputs!$F$93/100))</f>
        <v>1.32339706616596</v>
      </c>
      <c r="AL36" s="13" t="n">
        <f aca="false">Construction!AL14*AL31*(Construction!AL17+Inputs!$F$82)/100*Construction!AL11/Inputs!$F$247*(1/(1-Inputs!$F$93/100))</f>
        <v>1.3941121092435</v>
      </c>
      <c r="AM36" s="13" t="n">
        <f aca="false">Construction!AM14*AM31*(Construction!AM17+Inputs!$F$82)/100*Construction!AM11/Inputs!$F$247*(1/(1-Inputs!$F$93/100))</f>
        <v>1.42151689369355</v>
      </c>
      <c r="AN36" s="13" t="n">
        <f aca="false">Construction!AN14*AN31*(Construction!AN17+Inputs!$F$82)/100*Construction!AN11/Inputs!$F$247*(1/(1-Inputs!$F$93/100))</f>
        <v>1.29926196796321</v>
      </c>
      <c r="AO36" s="13" t="n">
        <f aca="false">Construction!AO14*AO31*(Construction!AO17+Inputs!$F$82)/100*Construction!AO11/Inputs!$F$247*(1/(1-Inputs!$F$93/100))</f>
        <v>1.45129639957877</v>
      </c>
      <c r="AP36" s="13" t="n">
        <f aca="false">Construction!AP14*AP31*(Construction!AP17+Inputs!$F$82)/100*Construction!AP11/Inputs!$F$247*(1/(1-Inputs!$F$93/100))</f>
        <v>1.41484109456835</v>
      </c>
      <c r="AQ36" s="13" t="n">
        <f aca="false">Construction!AQ14*AQ31*(Construction!AQ17+Inputs!$F$82)/100*Construction!AQ11/Inputs!$F$247*(1/(1-Inputs!$F$93/100))</f>
        <v>1.56702977657859</v>
      </c>
      <c r="AR36" s="13" t="n">
        <f aca="false">Construction!AR14*AR31*(Construction!AR17+Inputs!$F$82)/100*Construction!AR11/Inputs!$F$247*(1/(1-Inputs!$F$93/100))</f>
        <v>1.59481769452485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3.68706039813451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0.0306973722056103</v>
      </c>
      <c r="M38" s="13" t="n">
        <f aca="false">Construction!M14*(Inputs!$F$95/100*Inputs!$F$96/100)*M31*Construction!M11/Inputs!$F$248</f>
        <v>0.0304696965760692</v>
      </c>
      <c r="N38" s="13" t="n">
        <f aca="false">Construction!N14*(Inputs!$F$95/100*Inputs!$F$96/100)*N31*Construction!N11/Inputs!$F$248</f>
        <v>0.0325993073266421</v>
      </c>
      <c r="O38" s="13" t="n">
        <f aca="false">Construction!O14*(Inputs!$F$95/100*Inputs!$F$96/100)*O31*Construction!O11/Inputs!$F$248</f>
        <v>0.0342033239983138</v>
      </c>
      <c r="P38" s="13" t="n">
        <f aca="false">Construction!P14*(Inputs!$F$95/100*Inputs!$F$96/100)*P31*Construction!P11/Inputs!$F$248</f>
        <v>0.0328897789010523</v>
      </c>
      <c r="Q38" s="13" t="n">
        <f aca="false">Construction!Q14*(Inputs!$F$95/100*Inputs!$F$96/100)*Q31*Construction!Q11/Inputs!$F$248</f>
        <v>0.039297178431299</v>
      </c>
      <c r="R38" s="13" t="n">
        <f aca="false">Construction!R14*(Inputs!$F$95/100*Inputs!$F$96/100)*R31*Construction!R11/Inputs!$F$248</f>
        <v>0.0415715150782475</v>
      </c>
      <c r="S38" s="13" t="n">
        <f aca="false">Construction!S14*(Inputs!$F$95/100*Inputs!$F$96/100)*S31*Construction!S11/Inputs!$F$248</f>
        <v>0.0473912565818057</v>
      </c>
      <c r="T38" s="13" t="n">
        <f aca="false">Construction!T14*(Inputs!$F$95/100*Inputs!$F$96/100)*T31*Construction!T11/Inputs!$F$248</f>
        <v>0.0509161402411844</v>
      </c>
      <c r="U38" s="13" t="n">
        <f aca="false">Construction!U14*(Inputs!$F$95/100*Inputs!$F$96/100)*U31*Construction!U11/Inputs!$F$248</f>
        <v>0.0585731124452297</v>
      </c>
      <c r="V38" s="13" t="n">
        <f aca="false">Construction!V14*(Inputs!$F$95/100*Inputs!$F$96/100)*V31*Construction!V11/Inputs!$F$248</f>
        <v>0.0652399409425475</v>
      </c>
      <c r="W38" s="13" t="n">
        <f aca="false">Construction!W14*(Inputs!$F$95/100*Inputs!$F$96/100)*W31*Construction!W11/Inputs!$F$248</f>
        <v>0.0701887650792904</v>
      </c>
      <c r="X38" s="13" t="n">
        <f aca="false">Construction!X14*(Inputs!$F$95/100*Inputs!$F$96/100)*X31*Construction!X11/Inputs!$F$248</f>
        <v>0.0803337699946578</v>
      </c>
      <c r="Y38" s="13" t="n">
        <f aca="false">Construction!Y14*(Inputs!$F$95/100*Inputs!$F$96/100)*Y31*Construction!Y11/Inputs!$F$248</f>
        <v>0.0857099980691905</v>
      </c>
      <c r="Z38" s="13" t="n">
        <f aca="false">Construction!Z14*(Inputs!$F$95/100*Inputs!$F$96/100)*Z31*Construction!Z11/Inputs!$F$248</f>
        <v>0.0970850990890557</v>
      </c>
      <c r="AA38" s="13" t="n">
        <f aca="false">Construction!AA14*(Inputs!$F$95/100*Inputs!$F$96/100)*AA31*Construction!AA11/Inputs!$F$248</f>
        <v>0.105781532624572</v>
      </c>
      <c r="AB38" s="13" t="n">
        <f aca="false">Construction!AB14*(Inputs!$F$95/100*Inputs!$F$96/100)*AB31*Construction!AB11/Inputs!$F$248</f>
        <v>0.107395797417794</v>
      </c>
      <c r="AC38" s="13" t="n">
        <f aca="false">Construction!AC14*(Inputs!$F$95/100*Inputs!$F$96/100)*AC31*Construction!AC11/Inputs!$F$248</f>
        <v>0.123407076287548</v>
      </c>
      <c r="AD38" s="13" t="n">
        <f aca="false">Construction!AD14*(Inputs!$F$95/100*Inputs!$F$96/100)*AD31*Construction!AD11/Inputs!$F$248</f>
        <v>0.12755512867196</v>
      </c>
      <c r="AE38" s="13" t="n">
        <f aca="false">Construction!AE14*(Inputs!$F$95/100*Inputs!$F$96/100)*AE31*Construction!AE11/Inputs!$F$248</f>
        <v>0.139836565577016</v>
      </c>
      <c r="AF38" s="13" t="n">
        <f aca="false">Construction!AF14*(Inputs!$F$95/100*Inputs!$F$96/100)*AF31*Construction!AF11/Inputs!$F$248</f>
        <v>0.142657055541357</v>
      </c>
      <c r="AG38" s="13" t="n">
        <f aca="false">Construction!AG14*(Inputs!$F$95/100*Inputs!$F$96/100)*AG31*Construction!AG11/Inputs!$F$248</f>
        <v>0.154404787922235</v>
      </c>
      <c r="AH38" s="13" t="n">
        <f aca="false">Construction!AH14*(Inputs!$F$95/100*Inputs!$F$96/100)*AH31*Construction!AH11/Inputs!$F$248</f>
        <v>0.160765815961928</v>
      </c>
      <c r="AI38" s="13" t="n">
        <f aca="false">Construction!AI14*(Inputs!$F$95/100*Inputs!$F$96/100)*AI31*Construction!AI11/Inputs!$F$248</f>
        <v>0.16105090589049</v>
      </c>
      <c r="AJ38" s="13" t="n">
        <f aca="false">Construction!AJ14*(Inputs!$F$95/100*Inputs!$F$96/100)*AJ31*Construction!AJ11/Inputs!$F$248</f>
        <v>0.171312848227878</v>
      </c>
      <c r="AK38" s="13" t="n">
        <f aca="false">Construction!AK14*(Inputs!$F$95/100*Inputs!$F$96/100)*AK31*Construction!AK11/Inputs!$F$248</f>
        <v>0.169812494133348</v>
      </c>
      <c r="AL38" s="13" t="n">
        <f aca="false">Construction!AL14*(Inputs!$F$95/100*Inputs!$F$96/100)*AL31*Construction!AL11/Inputs!$F$248</f>
        <v>0.178886337611431</v>
      </c>
      <c r="AM38" s="13" t="n">
        <f aca="false">Construction!AM14*(Inputs!$F$95/100*Inputs!$F$96/100)*AM31*Construction!AM11/Inputs!$F$248</f>
        <v>0.181641730383216</v>
      </c>
      <c r="AN38" s="13" t="n">
        <f aca="false">Construction!AN14*(Inputs!$F$95/100*Inputs!$F$96/100)*AN31*Construction!AN11/Inputs!$F$248</f>
        <v>0.166019970025638</v>
      </c>
      <c r="AO38" s="13" t="n">
        <f aca="false">Construction!AO14*(Inputs!$F$95/100*Inputs!$F$96/100)*AO31*Construction!AO11/Inputs!$F$248</f>
        <v>0.185446961965723</v>
      </c>
      <c r="AP38" s="13" t="n">
        <f aca="false">Construction!AP14*(Inputs!$F$95/100*Inputs!$F$96/100)*AP31*Construction!AP11/Inputs!$F$248</f>
        <v>0.180788695354107</v>
      </c>
      <c r="AQ38" s="13" t="n">
        <f aca="false">Construction!AQ14*(Inputs!$F$95/100*Inputs!$F$96/100)*AQ31*Construction!AQ11/Inputs!$F$248</f>
        <v>0.200235397442362</v>
      </c>
      <c r="AR38" s="13" t="n">
        <f aca="false">Construction!AR14*(Inputs!$F$95/100*Inputs!$F$96/100)*AR31*Construction!AR11/Inputs!$F$248</f>
        <v>0.203786143495327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9.30461925648505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0.469991522276976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0.452848575141394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0.465048315147885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0.460879410247339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0.411089311439903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0.447640274343466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0.423994495021101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0.426603434351098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0.399707432222102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0.397541333857066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0.380213974058118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0.349617092418947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0.340984495328471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0.309276773383066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0.297447106231692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0.274844719969895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0.235179808974603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0.229035211472216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0.200519568352237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0.186334297184994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0.161269043064429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0.148470891772924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0.131938319864212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0.113462674081688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0.104526151851076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0.0906909480720386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0.0848423433452577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0.077680964893217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0.0650785024553172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0.0677910124555713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0.0621633524012843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0.0293552641128092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0.00239204456564893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2.43868236519763</v>
      </c>
      <c r="L45" s="13" t="n">
        <f aca="false">Construction!L14*(Construction!L32+Construction!L38)+L33+L34+L35+L36+L37+L38+L39+L40+L41+L42+L43+L44</f>
        <v>3.10855200932332</v>
      </c>
      <c r="M45" s="13" t="n">
        <f aca="false">Construction!M14*(Construction!M32+Construction!M38)+M33+M34+M35+M36+M37+M38+M39+M40+M41+M42+M43+M44</f>
        <v>4.39450303878371</v>
      </c>
      <c r="N45" s="13" t="n">
        <f aca="false">Construction!N14*(Construction!N32+Construction!N38)+N33+N34+N35+N36+N37+N38+N39+N40+N41+N42+N43+N44</f>
        <v>6.32777914059725</v>
      </c>
      <c r="O45" s="13" t="n">
        <f aca="false">Construction!O14*(Construction!O32+Construction!O38)+O33+O34+O35+O36+O37+O38+O39+O40+O41+O42+O43+O44</f>
        <v>8.71977753580531</v>
      </c>
      <c r="P45" s="13" t="n">
        <f aca="false">Construction!P14*(Construction!P32+Construction!P38)+P33+P34+P35+P36+P37+P38+P39+P40+P41+P42+P43+P44</f>
        <v>11.3752666090223</v>
      </c>
      <c r="Q45" s="13" t="n">
        <f aca="false">Construction!Q14*(Construction!Q32+Construction!Q38)+Q33+Q34+Q35+Q36+Q37+Q38+Q39+Q40+Q41+Q42+Q43+Q44</f>
        <v>14.4387602702558</v>
      </c>
      <c r="R45" s="13" t="n">
        <f aca="false">Construction!R14*(Construction!R32+Construction!R38)+R33+R34+R35+R36+R37+R38+R39+R40+R41+R42+R43+R44</f>
        <v>17.4920418140896</v>
      </c>
      <c r="S45" s="13" t="n">
        <f aca="false">Construction!S14*(Construction!S32+Construction!S38)+S33+S34+S35+S36+S37+S38+S39+S40+S41+S42+S43+S44</f>
        <v>20.6009215579658</v>
      </c>
      <c r="T45" s="13" t="n">
        <f aca="false">Construction!T14*(Construction!T32+Construction!T38)+T33+T34+T35+T36+T37+T38+T39+T40+T41+T42+T43+T44</f>
        <v>23.5110353408345</v>
      </c>
      <c r="U45" s="13" t="n">
        <f aca="false">Construction!U14*(Construction!U32+Construction!U38)+U33+U34+U35+U36+U37+U38+U39+U40+U41+U42+U43+U44</f>
        <v>26.3003614889492</v>
      </c>
      <c r="V45" s="13" t="n">
        <f aca="false">Construction!V14*(Construction!V32+Construction!V38)+V33+V34+V35+V36+V37+V38+V39+V40+V41+V42+V43+V44</f>
        <v>28.7526310729258</v>
      </c>
      <c r="W45" s="13" t="n">
        <f aca="false">Construction!W14*(Construction!W32+Construction!W38)+W33+W34+W35+W36+W37+W38+W39+W40+W41+W42+W43+W44</f>
        <v>30.7918975560333</v>
      </c>
      <c r="X45" s="13" t="n">
        <f aca="false">Construction!X14*(Construction!X32+Construction!X38)+X33+X34+X35+X36+X37+X38+X39+X40+X41+X42+X43+X44</f>
        <v>32.4797425005896</v>
      </c>
      <c r="Y45" s="13" t="n">
        <f aca="false">Construction!Y14*(Construction!Y32+Construction!Y38)+Y33+Y34+Y35+Y36+Y37+Y38+Y39+Y40+Y41+Y42+Y43+Y44</f>
        <v>33.6035549444043</v>
      </c>
      <c r="Z45" s="13" t="n">
        <f aca="false">Construction!Z14*(Construction!Z32+Construction!Z38)+Z33+Z34+Z35+Z36+Z37+Z38+Z39+Z40+Z41+Z42+Z43+Z44</f>
        <v>34.3070690570068</v>
      </c>
      <c r="AA45" s="13" t="n">
        <f aca="false">Construction!AA14*(Construction!AA32+Construction!AA38)+AA33+AA34+AA35+AA36+AA37+AA38+AA39+AA40+AA41+AA42+AA43+AA44</f>
        <v>35.5869633962059</v>
      </c>
      <c r="AB45" s="13" t="n">
        <f aca="false">Construction!AB14*(Construction!AB32+Construction!AB38)+AB33+AB34+AB35+AB36+AB37+AB38+AB39+AB40+AB41+AB42+AB43+AB44</f>
        <v>33.9450742078834</v>
      </c>
      <c r="AC45" s="13" t="n">
        <f aca="false">Construction!AC14*(Construction!AC32+Construction!AC38)+AC33+AC34+AC35+AC36+AC37+AC38+AC39+AC40+AC41+AC42+AC43+AC44</f>
        <v>33.1372171543663</v>
      </c>
      <c r="AD45" s="13" t="n">
        <f aca="false">Construction!AD14*(Construction!AD32+Construction!AD38)+AD33+AD34+AD35+AD36+AD37+AD38+AD39+AD40+AD41+AD42+AD43+AD44</f>
        <v>31.6764356290624</v>
      </c>
      <c r="AE45" s="13" t="n">
        <f aca="false">Construction!AE14*(Construction!AE32+Construction!AE38)+AE33+AE34+AE35+AE36+AE37+AE38+AE39+AE40+AE41+AE42+AE43+AE44</f>
        <v>29.8859210254453</v>
      </c>
      <c r="AF45" s="13" t="n">
        <f aca="false">Construction!AF14*(Construction!AF32+Construction!AF38)+AF33+AF34+AF35+AF36+AF37+AF38+AF39+AF40+AF41+AF42+AF43+AF44</f>
        <v>27.5851109779715</v>
      </c>
      <c r="AG45" s="13" t="n">
        <f aca="false">Construction!AG14*(Construction!AG32+Construction!AG38)+AG33+AG34+AG35+AG36+AG37+AG38+AG39+AG40+AG41+AG42+AG43+AG44</f>
        <v>25.0939913862453</v>
      </c>
      <c r="AH45" s="13" t="n">
        <f aca="false">Construction!AH14*(Construction!AH32+Construction!AH38)+AH33+AH34+AH35+AH36+AH37+AH38+AH39+AH40+AH41+AH42+AH43+AH44</f>
        <v>22.3026390543292</v>
      </c>
      <c r="AI45" s="13" t="n">
        <f aca="false">Construction!AI14*(Construction!AI32+Construction!AI38)+AI33+AI34+AI35+AI36+AI37+AI38+AI39+AI40+AI41+AI42+AI43+AI44</f>
        <v>19.3049651223348</v>
      </c>
      <c r="AJ45" s="13" t="n">
        <f aca="false">Construction!AJ14*(Construction!AJ32+Construction!AJ38)+AJ33+AJ34+AJ35+AJ36+AJ37+AJ38+AJ39+AJ40+AJ41+AJ42+AJ43+AJ44</f>
        <v>16.4112732710465</v>
      </c>
      <c r="AK45" s="13" t="n">
        <f aca="false">Construction!AK14*(Construction!AK32+Construction!AK38)+AK33+AK34+AK35+AK36+AK37+AK38+AK39+AK40+AK41+AK42+AK43+AK44</f>
        <v>13.4658277523705</v>
      </c>
      <c r="AL45" s="13" t="n">
        <f aca="false">Construction!AL14*(Construction!AL32+Construction!AL38)+AL33+AL34+AL35+AL36+AL37+AL38+AL39+AL40+AL41+AL42+AL43+AL44</f>
        <v>10.8699100286056</v>
      </c>
      <c r="AM45" s="13" t="n">
        <f aca="false">Construction!AM14*(Construction!AM32+Construction!AM38)+AM33+AM34+AM35+AM36+AM37+AM38+AM39+AM40+AM41+AM42+AM43+AM44</f>
        <v>8.54514917117921</v>
      </c>
      <c r="AN45" s="13" t="n">
        <f aca="false">Construction!AN14*(Construction!AN32+Construction!AN38)+AN33+AN34+AN35+AN36+AN37+AN38+AN39+AN40+AN41+AN42+AN43+AN44</f>
        <v>6.46633135653422</v>
      </c>
      <c r="AO45" s="13" t="n">
        <f aca="false">Construction!AO14*(Construction!AO32+Construction!AO38)+AO33+AO34+AO35+AO36+AO37+AO38+AO39+AO40+AO41+AO42+AO43+AO44</f>
        <v>5.39679483001124</v>
      </c>
      <c r="AP45" s="13" t="n">
        <f aca="false">Construction!AP14*(Construction!AP32+Construction!AP38)+AP33+AP34+AP35+AP36+AP37+AP38+AP39+AP40+AP41+AP42+AP43+AP44</f>
        <v>52.9429688294404</v>
      </c>
      <c r="AQ45" s="13" t="n">
        <f aca="false">Construction!AQ14*(Construction!AQ32+Construction!AQ38)+AQ33+AQ34+AQ35+AQ36+AQ37+AQ38+AQ39+AQ40+AQ41+AQ42+AQ43+AQ44</f>
        <v>40.8051413857055</v>
      </c>
      <c r="AR45" s="13" t="n">
        <f aca="false">Construction!AR14*(Construction!AR32+Construction!AR38)+AR33+AR34+AR35+AR36+AR37+AR38+AR39+AR40+AR41+AR42+AR43+AR44</f>
        <v>3.62739127977763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541.357475218407</v>
      </c>
      <c r="M46" s="13" t="n">
        <f aca="false">$F$25-M28-M29-M30-M31</f>
        <v>538.998502449586</v>
      </c>
      <c r="N46" s="13" t="n">
        <f aca="false">$F$25-N28-N29-N30-N31</f>
        <v>535.663665853672</v>
      </c>
      <c r="O46" s="13" t="n">
        <f aca="false">$F$25-O28-O29-O30-O31</f>
        <v>530.861732788048</v>
      </c>
      <c r="P46" s="13" t="n">
        <f aca="false">$F$25-P28-P29-P30-P31</f>
        <v>524.244594745817</v>
      </c>
      <c r="Q46" s="13" t="n">
        <f aca="false">$F$25-Q28-Q29-Q30-Q31</f>
        <v>515.612297750855</v>
      </c>
      <c r="R46" s="13" t="n">
        <f aca="false">$F$25-R28-R29-R30-R31</f>
        <v>504.655221211387</v>
      </c>
      <c r="S46" s="13" t="n">
        <f aca="false">$F$25-S28-S29-S30-S31</f>
        <v>491.381114750643</v>
      </c>
      <c r="T46" s="13" t="n">
        <f aca="false">$F$25-T28-T29-T30-T31</f>
        <v>475.747786814642</v>
      </c>
      <c r="U46" s="13" t="n">
        <f aca="false">$F$25-U28-U29-U30-U31</f>
        <v>457.906074026991</v>
      </c>
      <c r="V46" s="13" t="n">
        <f aca="false">$F$25-V28-V29-V30-V31</f>
        <v>437.947637952411</v>
      </c>
      <c r="W46" s="13" t="n">
        <f aca="false">$F$25-W28-W29-W30-W31</f>
        <v>416.128259177481</v>
      </c>
      <c r="X46" s="13" t="n">
        <f aca="false">$F$25-X28-X29-X30-X31</f>
        <v>392.761351492758</v>
      </c>
      <c r="Y46" s="13" t="n">
        <f aca="false">$F$25-Y28-Y29-Y30-Y31</f>
        <v>368.113596567823</v>
      </c>
      <c r="Z46" s="13" t="n">
        <f aca="false">$F$25-Z28-Z29-Z30-Z31</f>
        <v>342.61301918913</v>
      </c>
      <c r="AA46" s="13" t="n">
        <f aca="false">$F$25-AA28-AA29-AA30-AA31</f>
        <v>316.578569245613</v>
      </c>
      <c r="AB46" s="13" t="n">
        <f aca="false">$F$25-AB28-AB29-AB30-AB31</f>
        <v>289.572851688079</v>
      </c>
      <c r="AC46" s="13" t="n">
        <f aca="false">$F$25-AC28-AC29-AC30-AC31</f>
        <v>263.813107134394</v>
      </c>
      <c r="AD46" s="13" t="n">
        <f aca="false">$F$25-AD28-AD29-AD30-AD31</f>
        <v>238.666417400004</v>
      </c>
      <c r="AE46" s="13" t="n">
        <f aca="false">$F$25-AE28-AE29-AE30-AE31</f>
        <v>214.628264318389</v>
      </c>
      <c r="AF46" s="13" t="n">
        <f aca="false">$F$25-AF28-AF29-AF30-AF31</f>
        <v>191.948870935643</v>
      </c>
      <c r="AG46" s="13" t="n">
        <f aca="false">$F$25-AG28-AG29-AG30-AG31</f>
        <v>171.015482841515</v>
      </c>
      <c r="AH46" s="13" t="n">
        <f aca="false">$F$25-AH28-AH29-AH30-AH31</f>
        <v>151.972519376968</v>
      </c>
      <c r="AI46" s="13" t="n">
        <f aca="false">$F$25-AI28-AI29-AI30-AI31</f>
        <v>135.047816800264</v>
      </c>
      <c r="AJ46" s="13" t="n">
        <f aca="false">$F$25-AJ28-AJ29-AJ30-AJ31</f>
        <v>120.397945448571</v>
      </c>
      <c r="AK46" s="13" t="n">
        <f aca="false">$F$25-AK28-AK29-AK30-AK31</f>
        <v>107.94399691177</v>
      </c>
      <c r="AL46" s="13" t="n">
        <f aca="false">$F$25-AL28-AL29-AL30-AL31</f>
        <v>97.7252452607739</v>
      </c>
      <c r="AM46" s="13" t="n">
        <f aca="false">$F$25-AM28-AM29-AM30-AM31</f>
        <v>89.476445922654</v>
      </c>
      <c r="AN46" s="13" t="n">
        <f aca="false">$F$25-AN28-AN29-AN30-AN31</f>
        <v>82.9918273157048</v>
      </c>
      <c r="AO46" s="13" t="n">
        <f aca="false">$F$25-AO28-AO29-AO30-AO31</f>
        <v>78.0847517581818</v>
      </c>
      <c r="AP46" s="13" t="n">
        <f aca="false">$F$25-AP28-AP29-AP30-AP31</f>
        <v>73.989310535153</v>
      </c>
      <c r="AQ46" s="13" t="n">
        <f aca="false">$F$25-AQ28-AQ29-AQ30-AQ31</f>
        <v>33.8127198284112</v>
      </c>
      <c r="AR46" s="13" t="n">
        <f aca="false">$F$25-AR28-AR29-AR30-AR31</f>
        <v>2.84710719974086</v>
      </c>
      <c r="AS46" s="13" t="n">
        <f aca="false">$F$25-AS28-AS29-AS30-AS31</f>
        <v>0.0944052262204309</v>
      </c>
      <c r="AT46" s="13" t="n">
        <f aca="false">$F$25-AT28-AT29-AT30-AT31</f>
        <v>0.0944052262204309</v>
      </c>
      <c r="AU46" s="13" t="n">
        <f aca="false">$F$25-AU28-AU29-AU30-AU31</f>
        <v>0.0944052262204309</v>
      </c>
      <c r="AV46" s="13" t="n">
        <f aca="false">$F$25-AV28-AV29-AV30-AV31</f>
        <v>0.0944052262204309</v>
      </c>
      <c r="AW46" s="13" t="n">
        <f aca="false">$F$25-AW28-AW29-AW30-AW31</f>
        <v>0.0944052262204309</v>
      </c>
      <c r="AX46" s="13" t="n">
        <f aca="false">$F$25-AX28-AX29-AX30-AX31</f>
        <v>0.0944052262204309</v>
      </c>
      <c r="AY46" s="13" t="n">
        <f aca="false">$F$25-AY28-AY29-AY30-AY31</f>
        <v>0.0944052262204309</v>
      </c>
      <c r="AZ46" s="13" t="n">
        <f aca="false">$F$25-AZ28-AZ29-AZ30-AZ31</f>
        <v>0.0944052262204309</v>
      </c>
      <c r="BA46" s="13" t="n">
        <f aca="false">$F$25-BA28-BA29-BA30-BA31</f>
        <v>0.0944052262204309</v>
      </c>
      <c r="BB46" s="13" t="n">
        <f aca="false">$F$25-BB28-BB29-BB30-BB31</f>
        <v>0.0944052262204309</v>
      </c>
      <c r="BC46" s="13" t="n">
        <f aca="false">$F$25-BC28-BC29-BC30-BC31</f>
        <v>0.0944052262204309</v>
      </c>
      <c r="BD46" s="13" t="n">
        <f aca="false">$F$25-BD28-BD29-BD30-BD31</f>
        <v>0.0944052262204309</v>
      </c>
      <c r="BE46" s="13" t="n">
        <f aca="false">$F$25-BE28-BE29-BE30-BE31</f>
        <v>0.0944052262204309</v>
      </c>
      <c r="BF46" s="13" t="n">
        <f aca="false">$F$25-BF28-BF29-BF30-BF31</f>
        <v>0.0944052262204309</v>
      </c>
      <c r="BG46" s="13" t="n">
        <f aca="false">$F$25-BG28-BG29-BG30-BG31</f>
        <v>0.0944052262204309</v>
      </c>
      <c r="BH46" s="13" t="n">
        <f aca="false">$F$25-BH28-BH29-BH30-BH31</f>
        <v>0.0944052262204309</v>
      </c>
      <c r="BI46" s="13" t="n">
        <f aca="false">$F$25-BI28-BI29-BI30-BI31</f>
        <v>0.0944052262204309</v>
      </c>
      <c r="BJ46" s="13" t="n">
        <f aca="false">$F$25-BJ28-BJ29-BJ30-BJ31</f>
        <v>0.0944052262204309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633.161570316554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1.85063182924133</v>
      </c>
      <c r="L47" s="13" t="n">
        <f aca="false">MIN($F$26*L45/(1-Inputs!$F$94/100*Inputs!$F$75*$F$26),L46)</f>
        <v>2.35897276882126</v>
      </c>
      <c r="M47" s="13" t="n">
        <f aca="false">MIN($F$26*M45/(1-Inputs!$F$94/100*Inputs!$F$75*$F$26),M46)</f>
        <v>3.33483659591389</v>
      </c>
      <c r="N47" s="13" t="n">
        <f aca="false">MIN($F$26*N45/(1-Inputs!$F$94/100*Inputs!$F$75*$F$26),N46)</f>
        <v>4.80193306562482</v>
      </c>
      <c r="O47" s="13" t="n">
        <f aca="false">MIN($F$26*O45/(1-Inputs!$F$94/100*Inputs!$F$75*$F$26),O46)</f>
        <v>6.61713804223008</v>
      </c>
      <c r="P47" s="13" t="n">
        <f aca="false">MIN($F$26*P45/(1-Inputs!$F$94/100*Inputs!$F$75*$F$26),P46)</f>
        <v>8.6322969949622</v>
      </c>
      <c r="Q47" s="13" t="n">
        <f aca="false">MIN($F$26*Q45/(1-Inputs!$F$94/100*Inputs!$F$75*$F$26),Q46)</f>
        <v>10.9570765394677</v>
      </c>
      <c r="R47" s="13" t="n">
        <f aca="false">MIN($F$26*R45/(1-Inputs!$F$94/100*Inputs!$F$75*$F$26),R46)</f>
        <v>13.2741064607449</v>
      </c>
      <c r="S47" s="13" t="n">
        <f aca="false">MIN($F$26*S45/(1-Inputs!$F$94/100*Inputs!$F$75*$F$26),S46)</f>
        <v>15.6333279360003</v>
      </c>
      <c r="T47" s="13" t="n">
        <f aca="false">MIN($F$26*T45/(1-Inputs!$F$94/100*Inputs!$F$75*$F$26),T46)</f>
        <v>17.8417127876513</v>
      </c>
      <c r="U47" s="13" t="n">
        <f aca="false">MIN($F$26*U45/(1-Inputs!$F$94/100*Inputs!$F$75*$F$26),U46)</f>
        <v>19.95843607458</v>
      </c>
      <c r="V47" s="13" t="n">
        <f aca="false">MIN($F$26*V45/(1-Inputs!$F$94/100*Inputs!$F$75*$F$26),V46)</f>
        <v>21.8193787749303</v>
      </c>
      <c r="W47" s="13" t="n">
        <f aca="false">MIN($F$26*W45/(1-Inputs!$F$94/100*Inputs!$F$75*$F$26),W46)</f>
        <v>23.3669076847225</v>
      </c>
      <c r="X47" s="13" t="n">
        <f aca="false">MIN($F$26*X45/(1-Inputs!$F$94/100*Inputs!$F$75*$F$26),X46)</f>
        <v>24.6477549249357</v>
      </c>
      <c r="Y47" s="13" t="n">
        <f aca="false">MIN($F$26*Y45/(1-Inputs!$F$94/100*Inputs!$F$75*$F$26),Y46)</f>
        <v>25.5005773786923</v>
      </c>
      <c r="Z47" s="13" t="n">
        <f aca="false">MIN($F$26*Z45/(1-Inputs!$F$94/100*Inputs!$F$75*$F$26),Z46)</f>
        <v>26.0344499435178</v>
      </c>
      <c r="AA47" s="13" t="n">
        <f aca="false">MIN($F$26*AA45/(1-Inputs!$F$94/100*Inputs!$F$75*$F$26),AA46)</f>
        <v>27.0057175575334</v>
      </c>
      <c r="AB47" s="13" t="n">
        <f aca="false">MIN($F$26*AB45/(1-Inputs!$F$94/100*Inputs!$F$75*$F$26),AB46)</f>
        <v>25.7597445536853</v>
      </c>
      <c r="AC47" s="13" t="n">
        <f aca="false">MIN($F$26*AC45/(1-Inputs!$F$94/100*Inputs!$F$75*$F$26),AC46)</f>
        <v>25.1466897343896</v>
      </c>
      <c r="AD47" s="13" t="n">
        <f aca="false">MIN($F$26*AD45/(1-Inputs!$F$94/100*Inputs!$F$75*$F$26),AD46)</f>
        <v>24.0381530816156</v>
      </c>
      <c r="AE47" s="13" t="n">
        <f aca="false">MIN($F$26*AE45/(1-Inputs!$F$94/100*Inputs!$F$75*$F$26),AE46)</f>
        <v>22.6793933827458</v>
      </c>
      <c r="AF47" s="13" t="n">
        <f aca="false">MIN($F$26*AF45/(1-Inputs!$F$94/100*Inputs!$F$75*$F$26),AF46)</f>
        <v>20.9333880941282</v>
      </c>
      <c r="AG47" s="13" t="n">
        <f aca="false">MIN($F$26*AG45/(1-Inputs!$F$94/100*Inputs!$F$75*$F$26),AG46)</f>
        <v>19.042963464547</v>
      </c>
      <c r="AH47" s="13" t="n">
        <f aca="false">MIN($F$26*AH45/(1-Inputs!$F$94/100*Inputs!$F$75*$F$26),AH46)</f>
        <v>16.9247025767038</v>
      </c>
      <c r="AI47" s="13" t="n">
        <f aca="false">MIN($F$26*AI45/(1-Inputs!$F$94/100*Inputs!$F$75*$F$26),AI46)</f>
        <v>14.6498713516926</v>
      </c>
      <c r="AJ47" s="13" t="n">
        <f aca="false">MIN($F$26*AJ45/(1-Inputs!$F$94/100*Inputs!$F$75*$F$26),AJ46)</f>
        <v>12.4539485368013</v>
      </c>
      <c r="AK47" s="13" t="n">
        <f aca="false">MIN($F$26*AK45/(1-Inputs!$F$94/100*Inputs!$F$75*$F$26),AK46)</f>
        <v>10.218751650996</v>
      </c>
      <c r="AL47" s="13" t="n">
        <f aca="false">MIN($F$26*AL45/(1-Inputs!$F$94/100*Inputs!$F$75*$F$26),AL46)</f>
        <v>8.24879933811996</v>
      </c>
      <c r="AM47" s="13" t="n">
        <f aca="false">MIN($F$26*AM45/(1-Inputs!$F$94/100*Inputs!$F$75*$F$26),AM46)</f>
        <v>6.4846186069492</v>
      </c>
      <c r="AN47" s="13" t="n">
        <f aca="false">MIN($F$26*AN45/(1-Inputs!$F$94/100*Inputs!$F$75*$F$26),AN46)</f>
        <v>4.90707555752293</v>
      </c>
      <c r="AO47" s="13" t="n">
        <f aca="false">MIN($F$26*AO45/(1-Inputs!$F$94/100*Inputs!$F$75*$F$26),AO46)</f>
        <v>4.09544122302885</v>
      </c>
      <c r="AP47" s="13" t="n">
        <f aca="false">MIN($F$26*AP45/(1-Inputs!$F$94/100*Inputs!$F$75*$F$26),AP46)</f>
        <v>40.1765907067417</v>
      </c>
      <c r="AQ47" s="13" t="n">
        <f aca="false">MIN($F$26*AQ45/(1-Inputs!$F$94/100*Inputs!$F$75*$F$26),AQ46)</f>
        <v>30.9656126286703</v>
      </c>
      <c r="AR47" s="13" t="n">
        <f aca="false">MIN($F$26*AR45/(1-Inputs!$F$94/100*Inputs!$F$75*$F$26),AR46)</f>
        <v>2.75270197352041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20.6094091138038</v>
      </c>
      <c r="J48" s="13" t="n">
        <f aca="false">Inputs!$F$94/100*Inputs!$F$75*J47</f>
        <v>2.93105811951633</v>
      </c>
      <c r="K48" s="13" t="n">
        <f aca="false">Inputs!$F$94/100*Inputs!$F$75*K47</f>
        <v>0.0602380660418054</v>
      </c>
      <c r="L48" s="13" t="n">
        <f aca="false">Inputs!$F$94/100*Inputs!$F$75*L47</f>
        <v>0.0767845636251321</v>
      </c>
      <c r="M48" s="13" t="n">
        <f aca="false">Inputs!$F$94/100*Inputs!$F$75*M47</f>
        <v>0.108548931196997</v>
      </c>
      <c r="N48" s="13" t="n">
        <f aca="false">Inputs!$F$94/100*Inputs!$F$75*N47</f>
        <v>0.156302921286088</v>
      </c>
      <c r="O48" s="13" t="n">
        <f aca="false">Inputs!$F$94/100*Inputs!$F$75*O47</f>
        <v>0.215387843274589</v>
      </c>
      <c r="P48" s="13" t="n">
        <f aca="false">Inputs!$F$94/100*Inputs!$F$75*P47</f>
        <v>0.280981267186019</v>
      </c>
      <c r="Q48" s="13" t="n">
        <f aca="false">Inputs!$F$94/100*Inputs!$F$75*Q47</f>
        <v>0.356652841359674</v>
      </c>
      <c r="R48" s="13" t="n">
        <f aca="false">Inputs!$F$94/100*Inputs!$F$75*R47</f>
        <v>0.432072165297247</v>
      </c>
      <c r="S48" s="13" t="n">
        <f aca="false">Inputs!$F$94/100*Inputs!$F$75*S47</f>
        <v>0.508864824316811</v>
      </c>
      <c r="T48" s="13" t="n">
        <f aca="false">Inputs!$F$94/100*Inputs!$F$75*T47</f>
        <v>0.580747751238049</v>
      </c>
      <c r="U48" s="13" t="n">
        <f aca="false">Inputs!$F$94/100*Inputs!$F$75*U47</f>
        <v>0.649647094227578</v>
      </c>
      <c r="V48" s="13" t="n">
        <f aca="false">Inputs!$F$94/100*Inputs!$F$75*V47</f>
        <v>0.71022077912398</v>
      </c>
      <c r="W48" s="13" t="n">
        <f aca="false">Inputs!$F$94/100*Inputs!$F$75*W47</f>
        <v>0.760592845137716</v>
      </c>
      <c r="X48" s="13" t="n">
        <f aca="false">Inputs!$F$94/100*Inputs!$F$75*X47</f>
        <v>0.802284422806656</v>
      </c>
      <c r="Y48" s="13" t="n">
        <f aca="false">Inputs!$F$94/100*Inputs!$F$75*Y47</f>
        <v>0.830043793676434</v>
      </c>
      <c r="Z48" s="13" t="n">
        <f aca="false">Inputs!$F$94/100*Inputs!$F$75*Z47</f>
        <v>0.847421345661503</v>
      </c>
      <c r="AA48" s="13" t="n">
        <f aca="false">Inputs!$F$94/100*Inputs!$F$75*AA47</f>
        <v>0.879036106497713</v>
      </c>
      <c r="AB48" s="13" t="n">
        <f aca="false">Inputs!$F$94/100*Inputs!$F$75*AB47</f>
        <v>0.838479685222456</v>
      </c>
      <c r="AC48" s="13" t="n">
        <f aca="false">Inputs!$F$94/100*Inputs!$F$75*AC47</f>
        <v>0.818524750854382</v>
      </c>
      <c r="AD48" s="13" t="n">
        <f aca="false">Inputs!$F$94/100*Inputs!$F$75*AD47</f>
        <v>0.782441882806588</v>
      </c>
      <c r="AE48" s="13" t="n">
        <f aca="false">Inputs!$F$94/100*Inputs!$F$75*AE47</f>
        <v>0.738214254608374</v>
      </c>
      <c r="AF48" s="13" t="n">
        <f aca="false">Inputs!$F$94/100*Inputs!$F$75*AF47</f>
        <v>0.681381782463874</v>
      </c>
      <c r="AG48" s="13" t="n">
        <f aca="false">Inputs!$F$94/100*Inputs!$F$75*AG47</f>
        <v>0.619848460771004</v>
      </c>
      <c r="AH48" s="13" t="n">
        <f aca="false">Inputs!$F$94/100*Inputs!$F$75*AH47</f>
        <v>0.550899068871709</v>
      </c>
      <c r="AI48" s="13" t="n">
        <f aca="false">Inputs!$F$94/100*Inputs!$F$75*AI47</f>
        <v>0.476853312497593</v>
      </c>
      <c r="AJ48" s="13" t="n">
        <f aca="false">Inputs!$F$94/100*Inputs!$F$75*AJ47</f>
        <v>0.405376024872882</v>
      </c>
      <c r="AK48" s="13" t="n">
        <f aca="false">Inputs!$F$94/100*Inputs!$F$75*AK47</f>
        <v>0.332620366239919</v>
      </c>
      <c r="AL48" s="13" t="n">
        <f aca="false">Inputs!$F$94/100*Inputs!$F$75*AL47</f>
        <v>0.268498418455805</v>
      </c>
      <c r="AM48" s="13" t="n">
        <f aca="false">Inputs!$F$94/100*Inputs!$F$75*AM47</f>
        <v>0.211074335656196</v>
      </c>
      <c r="AN48" s="13" t="n">
        <f aca="false">Inputs!$F$94/100*Inputs!$F$75*AN47</f>
        <v>0.159725309397371</v>
      </c>
      <c r="AO48" s="13" t="n">
        <f aca="false">Inputs!$F$94/100*Inputs!$F$75*AO47</f>
        <v>0.133306611809589</v>
      </c>
      <c r="AP48" s="13" t="n">
        <f aca="false">Inputs!$F$94/100*Inputs!$F$75*AP47</f>
        <v>1.30774802750444</v>
      </c>
      <c r="AQ48" s="13" t="n">
        <f aca="false">Inputs!$F$94/100*Inputs!$F$75*AQ47</f>
        <v>1.00793069106322</v>
      </c>
      <c r="AR48" s="13" t="n">
        <f aca="false">Inputs!$F$94/100*Inputs!$F$75*AR47</f>
        <v>0.0896004492380892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854.962267123825</v>
      </c>
      <c r="J49" s="13" t="n">
        <f aca="false">J45+J48</f>
        <v>121.592233969238</v>
      </c>
      <c r="K49" s="13" t="n">
        <f aca="false">K45+K48</f>
        <v>2.49892043123944</v>
      </c>
      <c r="L49" s="13" t="n">
        <f aca="false">L45+L48</f>
        <v>3.18533657294845</v>
      </c>
      <c r="M49" s="13" t="n">
        <f aca="false">M45+M48</f>
        <v>4.50305196998071</v>
      </c>
      <c r="N49" s="13" t="n">
        <f aca="false">N45+N48</f>
        <v>6.48408206188334</v>
      </c>
      <c r="O49" s="13" t="n">
        <f aca="false">O45+O48</f>
        <v>8.9351653790799</v>
      </c>
      <c r="P49" s="13" t="n">
        <f aca="false">P45+P48</f>
        <v>11.6562478762083</v>
      </c>
      <c r="Q49" s="13" t="n">
        <f aca="false">Q45+Q48</f>
        <v>14.7954131116155</v>
      </c>
      <c r="R49" s="13" t="n">
        <f aca="false">R45+R48</f>
        <v>17.9241139793868</v>
      </c>
      <c r="S49" s="13" t="n">
        <f aca="false">S45+S48</f>
        <v>21.1097863822826</v>
      </c>
      <c r="T49" s="13" t="n">
        <f aca="false">T45+T48</f>
        <v>24.0917830920726</v>
      </c>
      <c r="U49" s="13" t="n">
        <f aca="false">U45+U48</f>
        <v>26.9500085831768</v>
      </c>
      <c r="V49" s="13" t="n">
        <f aca="false">V45+V48</f>
        <v>29.4628518520498</v>
      </c>
      <c r="W49" s="13" t="n">
        <f aca="false">W45+W48</f>
        <v>31.552490401171</v>
      </c>
      <c r="X49" s="13" t="n">
        <f aca="false">X45+X48</f>
        <v>33.2820269233963</v>
      </c>
      <c r="Y49" s="13" t="n">
        <f aca="false">Y45+Y48</f>
        <v>34.4335987380807</v>
      </c>
      <c r="Z49" s="13" t="n">
        <f aca="false">Z45+Z48</f>
        <v>35.1544904026683</v>
      </c>
      <c r="AA49" s="13" t="n">
        <f aca="false">AA45+AA48</f>
        <v>36.4659995027036</v>
      </c>
      <c r="AB49" s="13" t="n">
        <f aca="false">AB45+AB48</f>
        <v>34.7835538931058</v>
      </c>
      <c r="AC49" s="13" t="n">
        <f aca="false">AC45+AC48</f>
        <v>33.9557419052207</v>
      </c>
      <c r="AD49" s="13" t="n">
        <f aca="false">AD45+AD48</f>
        <v>32.458877511869</v>
      </c>
      <c r="AE49" s="13" t="n">
        <f aca="false">AE45+AE48</f>
        <v>30.6241352800537</v>
      </c>
      <c r="AF49" s="13" t="n">
        <f aca="false">AF45+AF48</f>
        <v>28.2664927604354</v>
      </c>
      <c r="AG49" s="13" t="n">
        <f aca="false">AG45+AG48</f>
        <v>25.7138398470163</v>
      </c>
      <c r="AH49" s="13" t="n">
        <f aca="false">AH45+AH48</f>
        <v>22.8535381232009</v>
      </c>
      <c r="AI49" s="13" t="n">
        <f aca="false">AI45+AI48</f>
        <v>19.7818184348324</v>
      </c>
      <c r="AJ49" s="13" t="n">
        <f aca="false">AJ45+AJ48</f>
        <v>16.8166492959194</v>
      </c>
      <c r="AK49" s="13" t="n">
        <f aca="false">AK45+AK48</f>
        <v>13.7984481186104</v>
      </c>
      <c r="AL49" s="13" t="n">
        <f aca="false">AL45+AL48</f>
        <v>11.1384084470614</v>
      </c>
      <c r="AM49" s="13" t="n">
        <f aca="false">AM45+AM48</f>
        <v>8.7562235068354</v>
      </c>
      <c r="AN49" s="13" t="n">
        <f aca="false">AN45+AN48</f>
        <v>6.62605666593159</v>
      </c>
      <c r="AO49" s="13" t="n">
        <f aca="false">AO45+AO48</f>
        <v>5.53010144182083</v>
      </c>
      <c r="AP49" s="13" t="n">
        <f aca="false">AP45+AP48</f>
        <v>54.2507168569448</v>
      </c>
      <c r="AQ49" s="13" t="n">
        <f aca="false">AQ45+AQ48</f>
        <v>41.8130720767687</v>
      </c>
      <c r="AR49" s="13" t="n">
        <f aca="false">AR45+AR48</f>
        <v>3.71699172901572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854.962267123825</v>
      </c>
      <c r="J50" s="13" t="n">
        <f aca="false">J47/$F$26</f>
        <v>121.592233969238</v>
      </c>
      <c r="K50" s="13" t="n">
        <f aca="false">K47/$F$26</f>
        <v>2.49892043123944</v>
      </c>
      <c r="L50" s="13" t="n">
        <f aca="false">L47/$F$26</f>
        <v>3.18533657294845</v>
      </c>
      <c r="M50" s="13" t="n">
        <f aca="false">M47/$F$26</f>
        <v>4.50305196998071</v>
      </c>
      <c r="N50" s="13" t="n">
        <f aca="false">N47/$F$26</f>
        <v>6.48408206188334</v>
      </c>
      <c r="O50" s="13" t="n">
        <f aca="false">O47/$F$26</f>
        <v>8.9351653790799</v>
      </c>
      <c r="P50" s="13" t="n">
        <f aca="false">P47/$F$26</f>
        <v>11.6562478762083</v>
      </c>
      <c r="Q50" s="13" t="n">
        <f aca="false">Q47/$F$26</f>
        <v>14.7954131116155</v>
      </c>
      <c r="R50" s="13" t="n">
        <f aca="false">R47/$F$26</f>
        <v>17.9241139793868</v>
      </c>
      <c r="S50" s="13" t="n">
        <f aca="false">S47/$F$26</f>
        <v>21.1097863822826</v>
      </c>
      <c r="T50" s="13" t="n">
        <f aca="false">T47/$F$26</f>
        <v>24.0917830920726</v>
      </c>
      <c r="U50" s="13" t="n">
        <f aca="false">U47/$F$26</f>
        <v>26.9500085831768</v>
      </c>
      <c r="V50" s="13" t="n">
        <f aca="false">V47/$F$26</f>
        <v>29.4628518520498</v>
      </c>
      <c r="W50" s="13" t="n">
        <f aca="false">W47/$F$26</f>
        <v>31.552490401171</v>
      </c>
      <c r="X50" s="13" t="n">
        <f aca="false">X47/$F$26</f>
        <v>33.2820269233963</v>
      </c>
      <c r="Y50" s="13" t="n">
        <f aca="false">Y47/$F$26</f>
        <v>34.4335987380807</v>
      </c>
      <c r="Z50" s="13" t="n">
        <f aca="false">Z47/$F$26</f>
        <v>35.1544904026683</v>
      </c>
      <c r="AA50" s="13" t="n">
        <f aca="false">AA47/$F$26</f>
        <v>36.4659995027036</v>
      </c>
      <c r="AB50" s="13" t="n">
        <f aca="false">AB47/$F$26</f>
        <v>34.7835538931058</v>
      </c>
      <c r="AC50" s="13" t="n">
        <f aca="false">AC47/$F$26</f>
        <v>33.9557419052207</v>
      </c>
      <c r="AD50" s="13" t="n">
        <f aca="false">AD47/$F$26</f>
        <v>32.458877511869</v>
      </c>
      <c r="AE50" s="13" t="n">
        <f aca="false">AE47/$F$26</f>
        <v>30.6241352800537</v>
      </c>
      <c r="AF50" s="13" t="n">
        <f aca="false">AF47/$F$26</f>
        <v>28.2664927604354</v>
      </c>
      <c r="AG50" s="13" t="n">
        <f aca="false">AG47/$F$26</f>
        <v>25.7138398470163</v>
      </c>
      <c r="AH50" s="13" t="n">
        <f aca="false">AH47/$F$26</f>
        <v>22.8535381232009</v>
      </c>
      <c r="AI50" s="13" t="n">
        <f aca="false">AI47/$F$26</f>
        <v>19.7818184348324</v>
      </c>
      <c r="AJ50" s="13" t="n">
        <f aca="false">AJ47/$F$26</f>
        <v>16.8166492959194</v>
      </c>
      <c r="AK50" s="13" t="n">
        <f aca="false">AK47/$F$26</f>
        <v>13.7984481186104</v>
      </c>
      <c r="AL50" s="13" t="n">
        <f aca="false">AL47/$F$26</f>
        <v>11.1384084470614</v>
      </c>
      <c r="AM50" s="13" t="n">
        <f aca="false">AM47/$F$26</f>
        <v>8.7562235068354</v>
      </c>
      <c r="AN50" s="13" t="n">
        <f aca="false">AN47/$F$26</f>
        <v>6.62605666593159</v>
      </c>
      <c r="AO50" s="13" t="n">
        <f aca="false">AO47/$F$26</f>
        <v>5.53010144182083</v>
      </c>
      <c r="AP50" s="13" t="n">
        <f aca="false">AP47/$F$26</f>
        <v>54.2507168569448</v>
      </c>
      <c r="AQ50" s="13" t="n">
        <f aca="false">AQ47/$F$26</f>
        <v>41.8130720767687</v>
      </c>
      <c r="AR50" s="13" t="n">
        <f aca="false">AR47/$F$26</f>
        <v>3.71699172901572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189.948471094966</v>
      </c>
      <c r="J57" s="13" t="n">
        <f aca="false">Inputs!$F$75*J47</f>
        <v>27.0143605485376</v>
      </c>
      <c r="K57" s="13" t="n">
        <f aca="false">Inputs!$F$75*K47</f>
        <v>0.5551895487724</v>
      </c>
      <c r="L57" s="13" t="n">
        <f aca="false">Inputs!$F$75*L47</f>
        <v>0.707691830646379</v>
      </c>
      <c r="M57" s="13" t="n">
        <f aca="false">Inputs!$F$75*M47</f>
        <v>1.00045097877417</v>
      </c>
      <c r="N57" s="13" t="n">
        <f aca="false">Inputs!$F$75*N47</f>
        <v>1.44057991968745</v>
      </c>
      <c r="O57" s="13" t="n">
        <f aca="false">Inputs!$F$75*O47</f>
        <v>1.98514141266902</v>
      </c>
      <c r="P57" s="13" t="n">
        <f aca="false">Inputs!$F$75*P47</f>
        <v>2.58968909848866</v>
      </c>
      <c r="Q57" s="13" t="n">
        <f aca="false">Inputs!$F$75*Q47</f>
        <v>3.28712296184031</v>
      </c>
      <c r="R57" s="13" t="n">
        <f aca="false">Inputs!$F$75*R47</f>
        <v>3.98223193822347</v>
      </c>
      <c r="S57" s="13" t="n">
        <f aca="false">Inputs!$F$75*S47</f>
        <v>4.6899983808001</v>
      </c>
      <c r="T57" s="13" t="n">
        <f aca="false">Inputs!$F$75*T47</f>
        <v>5.35251383629538</v>
      </c>
      <c r="U57" s="13" t="n">
        <f aca="false">Inputs!$F$75*U47</f>
        <v>5.98753082237399</v>
      </c>
      <c r="V57" s="13" t="n">
        <f aca="false">Inputs!$F$75*V47</f>
        <v>6.54581363247908</v>
      </c>
      <c r="W57" s="13" t="n">
        <f aca="false">Inputs!$F$75*W47</f>
        <v>7.01007230541674</v>
      </c>
      <c r="X57" s="13" t="n">
        <f aca="false">Inputs!$F$75*X47</f>
        <v>7.3943264774807</v>
      </c>
      <c r="Y57" s="13" t="n">
        <f aca="false">Inputs!$F$75*Y47</f>
        <v>7.65017321360769</v>
      </c>
      <c r="Z57" s="13" t="n">
        <f aca="false">Inputs!$F$75*Z47</f>
        <v>7.81033498305533</v>
      </c>
      <c r="AA57" s="13" t="n">
        <f aca="false">Inputs!$F$75*AA47</f>
        <v>8.10171526726003</v>
      </c>
      <c r="AB57" s="13" t="n">
        <f aca="false">Inputs!$F$75*AB47</f>
        <v>7.72792336610559</v>
      </c>
      <c r="AC57" s="13" t="n">
        <f aca="false">Inputs!$F$75*AC47</f>
        <v>7.54400692031689</v>
      </c>
      <c r="AD57" s="13" t="n">
        <f aca="false">Inputs!$F$75*AD47</f>
        <v>7.21144592448468</v>
      </c>
      <c r="AE57" s="13" t="n">
        <f aca="false">Inputs!$F$75*AE47</f>
        <v>6.80381801482373</v>
      </c>
      <c r="AF57" s="13" t="n">
        <f aca="false">Inputs!$F$75*AF47</f>
        <v>6.28001642823847</v>
      </c>
      <c r="AG57" s="13" t="n">
        <f aca="false">Inputs!$F$75*AG47</f>
        <v>5.71288903936409</v>
      </c>
      <c r="AH57" s="13" t="n">
        <f aca="false">Inputs!$F$75*AH47</f>
        <v>5.07741077301114</v>
      </c>
      <c r="AI57" s="13" t="n">
        <f aca="false">Inputs!$F$75*AI47</f>
        <v>4.39496140550777</v>
      </c>
      <c r="AJ57" s="13" t="n">
        <f aca="false">Inputs!$F$75*AJ47</f>
        <v>3.73618456104039</v>
      </c>
      <c r="AK57" s="13" t="n">
        <f aca="false">Inputs!$F$75*AK47</f>
        <v>3.0656254952988</v>
      </c>
      <c r="AL57" s="13" t="n">
        <f aca="false">Inputs!$F$75*AL47</f>
        <v>2.47463980143599</v>
      </c>
      <c r="AM57" s="13" t="n">
        <f aca="false">Inputs!$F$75*AM47</f>
        <v>1.94538558208476</v>
      </c>
      <c r="AN57" s="13" t="n">
        <f aca="false">Inputs!$F$75*AN47</f>
        <v>1.47212266725688</v>
      </c>
      <c r="AO57" s="13" t="n">
        <f aca="false">Inputs!$F$75*AO47</f>
        <v>1.22863236690865</v>
      </c>
      <c r="AP57" s="13" t="n">
        <f aca="false">Inputs!$F$75*AP47</f>
        <v>12.0529772120225</v>
      </c>
      <c r="AQ57" s="13" t="n">
        <f aca="false">Inputs!$F$75*AQ47</f>
        <v>9.2896837886011</v>
      </c>
      <c r="AR57" s="13" t="n">
        <f aca="false">Inputs!$F$75*AR47</f>
        <v>0.825810592056122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139.295545469642</v>
      </c>
      <c r="J58" s="13" t="n">
        <f aca="false">Inputs!$F$76*J47</f>
        <v>19.8105310689276</v>
      </c>
      <c r="K58" s="13" t="n">
        <f aca="false">Inputs!$F$76*K47</f>
        <v>0.407139002433094</v>
      </c>
      <c r="L58" s="13" t="n">
        <f aca="false">Inputs!$F$76*L47</f>
        <v>0.518974009140678</v>
      </c>
      <c r="M58" s="13" t="n">
        <f aca="false">Inputs!$F$76*M47</f>
        <v>0.733664051101056</v>
      </c>
      <c r="N58" s="13" t="n">
        <f aca="false">Inputs!$F$76*N47</f>
        <v>1.05642527443746</v>
      </c>
      <c r="O58" s="13" t="n">
        <f aca="false">Inputs!$F$76*O47</f>
        <v>1.45577036929062</v>
      </c>
      <c r="P58" s="13" t="n">
        <f aca="false">Inputs!$F$76*P47</f>
        <v>1.89910533889168</v>
      </c>
      <c r="Q58" s="13" t="n">
        <f aca="false">Inputs!$F$76*Q47</f>
        <v>2.4105568386829</v>
      </c>
      <c r="R58" s="13" t="n">
        <f aca="false">Inputs!$F$76*R47</f>
        <v>2.92030342136388</v>
      </c>
      <c r="S58" s="13" t="n">
        <f aca="false">Inputs!$F$76*S47</f>
        <v>3.43933214592008</v>
      </c>
      <c r="T58" s="13" t="n">
        <f aca="false">Inputs!$F$76*T47</f>
        <v>3.92517681328328</v>
      </c>
      <c r="U58" s="13" t="n">
        <f aca="false">Inputs!$F$76*U47</f>
        <v>4.3908559364076</v>
      </c>
      <c r="V58" s="13" t="n">
        <f aca="false">Inputs!$F$76*V47</f>
        <v>4.80026333048466</v>
      </c>
      <c r="W58" s="13" t="n">
        <f aca="false">Inputs!$F$76*W47</f>
        <v>5.14071969063894</v>
      </c>
      <c r="X58" s="13" t="n">
        <f aca="false">Inputs!$F$76*X47</f>
        <v>5.42250608348585</v>
      </c>
      <c r="Y58" s="13" t="n">
        <f aca="false">Inputs!$F$76*Y47</f>
        <v>5.61012702331231</v>
      </c>
      <c r="Z58" s="13" t="n">
        <f aca="false">Inputs!$F$76*Z47</f>
        <v>5.72757898757391</v>
      </c>
      <c r="AA58" s="13" t="n">
        <f aca="false">Inputs!$F$76*AA47</f>
        <v>5.94125786265736</v>
      </c>
      <c r="AB58" s="13" t="n">
        <f aca="false">Inputs!$F$76*AB47</f>
        <v>5.66714380181076</v>
      </c>
      <c r="AC58" s="13" t="n">
        <f aca="false">Inputs!$F$76*AC47</f>
        <v>5.53227174156572</v>
      </c>
      <c r="AD58" s="13" t="n">
        <f aca="false">Inputs!$F$76*AD47</f>
        <v>5.28839367795543</v>
      </c>
      <c r="AE58" s="13" t="n">
        <f aca="false">Inputs!$F$76*AE47</f>
        <v>4.98946654420407</v>
      </c>
      <c r="AF58" s="13" t="n">
        <f aca="false">Inputs!$F$76*AF47</f>
        <v>4.60534538070821</v>
      </c>
      <c r="AG58" s="13" t="n">
        <f aca="false">Inputs!$F$76*AG47</f>
        <v>4.18945196220033</v>
      </c>
      <c r="AH58" s="13" t="n">
        <f aca="false">Inputs!$F$76*AH47</f>
        <v>3.72343456687484</v>
      </c>
      <c r="AI58" s="13" t="n">
        <f aca="false">Inputs!$F$76*AI47</f>
        <v>3.22297169737236</v>
      </c>
      <c r="AJ58" s="13" t="n">
        <f aca="false">Inputs!$F$76*AJ47</f>
        <v>2.73986867809629</v>
      </c>
      <c r="AK58" s="13" t="n">
        <f aca="false">Inputs!$F$76*AK47</f>
        <v>2.24812536321912</v>
      </c>
      <c r="AL58" s="13" t="n">
        <f aca="false">Inputs!$F$76*AL47</f>
        <v>1.81473585438639</v>
      </c>
      <c r="AM58" s="13" t="n">
        <f aca="false">Inputs!$F$76*AM47</f>
        <v>1.42661609352882</v>
      </c>
      <c r="AN58" s="13" t="n">
        <f aca="false">Inputs!$F$76*AN47</f>
        <v>1.07955662265505</v>
      </c>
      <c r="AO58" s="13" t="n">
        <f aca="false">Inputs!$F$76*AO47</f>
        <v>0.900997069066347</v>
      </c>
      <c r="AP58" s="13" t="n">
        <f aca="false">Inputs!$F$76*AP47</f>
        <v>8.83884995548318</v>
      </c>
      <c r="AQ58" s="13" t="n">
        <f aca="false">Inputs!$F$76*AQ47</f>
        <v>6.81243477830748</v>
      </c>
      <c r="AR58" s="13" t="n">
        <f aca="false">Inputs!$F$76*AR47</f>
        <v>0.605594434174489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63.3161570316554</v>
      </c>
      <c r="J59" s="13" t="n">
        <f aca="false">Inputs!$F$77*J47</f>
        <v>9.00478684951255</v>
      </c>
      <c r="K59" s="13" t="n">
        <f aca="false">Inputs!$F$77*K47</f>
        <v>0.185063182924133</v>
      </c>
      <c r="L59" s="13" t="n">
        <f aca="false">Inputs!$F$77*L47</f>
        <v>0.235897276882126</v>
      </c>
      <c r="M59" s="13" t="n">
        <f aca="false">Inputs!$F$77*M47</f>
        <v>0.333483659591389</v>
      </c>
      <c r="N59" s="13" t="n">
        <f aca="false">Inputs!$F$77*N47</f>
        <v>0.480193306562482</v>
      </c>
      <c r="O59" s="13" t="n">
        <f aca="false">Inputs!$F$77*O47</f>
        <v>0.661713804223008</v>
      </c>
      <c r="P59" s="13" t="n">
        <f aca="false">Inputs!$F$77*P47</f>
        <v>0.86322969949622</v>
      </c>
      <c r="Q59" s="13" t="n">
        <f aca="false">Inputs!$F$77*Q47</f>
        <v>1.09570765394677</v>
      </c>
      <c r="R59" s="13" t="n">
        <f aca="false">Inputs!$F$77*R47</f>
        <v>1.32741064607449</v>
      </c>
      <c r="S59" s="13" t="n">
        <f aca="false">Inputs!$F$77*S47</f>
        <v>1.56333279360003</v>
      </c>
      <c r="T59" s="13" t="n">
        <f aca="false">Inputs!$F$77*T47</f>
        <v>1.78417127876513</v>
      </c>
      <c r="U59" s="13" t="n">
        <f aca="false">Inputs!$F$77*U47</f>
        <v>1.995843607458</v>
      </c>
      <c r="V59" s="13" t="n">
        <f aca="false">Inputs!$F$77*V47</f>
        <v>2.18193787749303</v>
      </c>
      <c r="W59" s="13" t="n">
        <f aca="false">Inputs!$F$77*W47</f>
        <v>2.33669076847225</v>
      </c>
      <c r="X59" s="13" t="n">
        <f aca="false">Inputs!$F$77*X47</f>
        <v>2.46477549249357</v>
      </c>
      <c r="Y59" s="13" t="n">
        <f aca="false">Inputs!$F$77*Y47</f>
        <v>2.55005773786923</v>
      </c>
      <c r="Z59" s="13" t="n">
        <f aca="false">Inputs!$F$77*Z47</f>
        <v>2.60344499435178</v>
      </c>
      <c r="AA59" s="13" t="n">
        <f aca="false">Inputs!$F$77*AA47</f>
        <v>2.70057175575334</v>
      </c>
      <c r="AB59" s="13" t="n">
        <f aca="false">Inputs!$F$77*AB47</f>
        <v>2.57597445536853</v>
      </c>
      <c r="AC59" s="13" t="n">
        <f aca="false">Inputs!$F$77*AC47</f>
        <v>2.51466897343896</v>
      </c>
      <c r="AD59" s="13" t="n">
        <f aca="false">Inputs!$F$77*AD47</f>
        <v>2.40381530816156</v>
      </c>
      <c r="AE59" s="13" t="n">
        <f aca="false">Inputs!$F$77*AE47</f>
        <v>2.26793933827458</v>
      </c>
      <c r="AF59" s="13" t="n">
        <f aca="false">Inputs!$F$77*AF47</f>
        <v>2.09333880941282</v>
      </c>
      <c r="AG59" s="13" t="n">
        <f aca="false">Inputs!$F$77*AG47</f>
        <v>1.9042963464547</v>
      </c>
      <c r="AH59" s="13" t="n">
        <f aca="false">Inputs!$F$77*AH47</f>
        <v>1.69247025767038</v>
      </c>
      <c r="AI59" s="13" t="n">
        <f aca="false">Inputs!$F$77*AI47</f>
        <v>1.46498713516926</v>
      </c>
      <c r="AJ59" s="13" t="n">
        <f aca="false">Inputs!$F$77*AJ47</f>
        <v>1.24539485368013</v>
      </c>
      <c r="AK59" s="13" t="n">
        <f aca="false">Inputs!$F$77*AK47</f>
        <v>1.0218751650996</v>
      </c>
      <c r="AL59" s="13" t="n">
        <f aca="false">Inputs!$F$77*AL47</f>
        <v>0.824879933811996</v>
      </c>
      <c r="AM59" s="13" t="n">
        <f aca="false">Inputs!$F$77*AM47</f>
        <v>0.64846186069492</v>
      </c>
      <c r="AN59" s="13" t="n">
        <f aca="false">Inputs!$F$77*AN47</f>
        <v>0.490707555752293</v>
      </c>
      <c r="AO59" s="13" t="n">
        <f aca="false">Inputs!$F$77*AO47</f>
        <v>0.409544122302885</v>
      </c>
      <c r="AP59" s="13" t="n">
        <f aca="false">Inputs!$F$77*AP47</f>
        <v>4.01765907067417</v>
      </c>
      <c r="AQ59" s="13" t="n">
        <f aca="false">Inputs!$F$77*AQ47</f>
        <v>3.09656126286703</v>
      </c>
      <c r="AR59" s="13" t="n">
        <f aca="false">Inputs!$F$77*AR47</f>
        <v>0.275270197352041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240.60139672029</v>
      </c>
      <c r="J60" s="13" t="n">
        <f aca="false">Inputs!$F$78*J47</f>
        <v>34.2181900281477</v>
      </c>
      <c r="K60" s="13" t="n">
        <f aca="false">Inputs!$F$78*K47</f>
        <v>0.703240095111707</v>
      </c>
      <c r="L60" s="13" t="n">
        <f aca="false">Inputs!$F$78*L47</f>
        <v>0.89640965215208</v>
      </c>
      <c r="M60" s="13" t="n">
        <f aca="false">Inputs!$F$78*M47</f>
        <v>1.26723790644728</v>
      </c>
      <c r="N60" s="13" t="n">
        <f aca="false">Inputs!$F$78*N47</f>
        <v>1.82473456493743</v>
      </c>
      <c r="O60" s="13" t="n">
        <f aca="false">Inputs!$F$78*O47</f>
        <v>2.51451245604743</v>
      </c>
      <c r="P60" s="13" t="n">
        <f aca="false">Inputs!$F$78*P47</f>
        <v>3.28027285808563</v>
      </c>
      <c r="Q60" s="13" t="n">
        <f aca="false">Inputs!$F$78*Q47</f>
        <v>4.16368908499773</v>
      </c>
      <c r="R60" s="13" t="n">
        <f aca="false">Inputs!$F$78*R47</f>
        <v>5.04416045508306</v>
      </c>
      <c r="S60" s="13" t="n">
        <f aca="false">Inputs!$F$78*S47</f>
        <v>5.94066461568013</v>
      </c>
      <c r="T60" s="13" t="n">
        <f aca="false">Inputs!$F$78*T47</f>
        <v>6.77985085930748</v>
      </c>
      <c r="U60" s="13" t="n">
        <f aca="false">Inputs!$F$78*U47</f>
        <v>7.58420570834039</v>
      </c>
      <c r="V60" s="13" t="n">
        <f aca="false">Inputs!$F$78*V47</f>
        <v>8.29136393447351</v>
      </c>
      <c r="W60" s="13" t="n">
        <f aca="false">Inputs!$F$78*W47</f>
        <v>8.87942492019454</v>
      </c>
      <c r="X60" s="13" t="n">
        <f aca="false">Inputs!$F$78*X47</f>
        <v>9.36614687147555</v>
      </c>
      <c r="Y60" s="13" t="n">
        <f aca="false">Inputs!$F$78*Y47</f>
        <v>9.69021940390307</v>
      </c>
      <c r="Z60" s="13" t="n">
        <f aca="false">Inputs!$F$78*Z47</f>
        <v>9.89309097853675</v>
      </c>
      <c r="AA60" s="13" t="n">
        <f aca="false">Inputs!$F$78*AA47</f>
        <v>10.2621726718627</v>
      </c>
      <c r="AB60" s="13" t="n">
        <f aca="false">Inputs!$F$78*AB47</f>
        <v>9.78870293040041</v>
      </c>
      <c r="AC60" s="13" t="n">
        <f aca="false">Inputs!$F$78*AC47</f>
        <v>9.55574209906806</v>
      </c>
      <c r="AD60" s="13" t="n">
        <f aca="false">Inputs!$F$78*AD47</f>
        <v>9.13449817101393</v>
      </c>
      <c r="AE60" s="13" t="n">
        <f aca="false">Inputs!$F$78*AE47</f>
        <v>8.61816948544339</v>
      </c>
      <c r="AF60" s="13" t="n">
        <f aca="false">Inputs!$F$78*AF47</f>
        <v>7.95468747576873</v>
      </c>
      <c r="AG60" s="13" t="n">
        <f aca="false">Inputs!$F$78*AG47</f>
        <v>7.23632611652785</v>
      </c>
      <c r="AH60" s="13" t="n">
        <f aca="false">Inputs!$F$78*AH47</f>
        <v>6.43138697914745</v>
      </c>
      <c r="AI60" s="13" t="n">
        <f aca="false">Inputs!$F$78*AI47</f>
        <v>5.56695111364317</v>
      </c>
      <c r="AJ60" s="13" t="n">
        <f aca="false">Inputs!$F$78*AJ47</f>
        <v>4.7325004439845</v>
      </c>
      <c r="AK60" s="13" t="n">
        <f aca="false">Inputs!$F$78*AK47</f>
        <v>3.88312562737847</v>
      </c>
      <c r="AL60" s="13" t="n">
        <f aca="false">Inputs!$F$78*AL47</f>
        <v>3.13454374848559</v>
      </c>
      <c r="AM60" s="13" t="n">
        <f aca="false">Inputs!$F$78*AM47</f>
        <v>2.4641550706407</v>
      </c>
      <c r="AN60" s="13" t="n">
        <f aca="false">Inputs!$F$78*AN47</f>
        <v>1.86468871185871</v>
      </c>
      <c r="AO60" s="13" t="n">
        <f aca="false">Inputs!$F$78*AO47</f>
        <v>1.55626766475096</v>
      </c>
      <c r="AP60" s="13" t="n">
        <f aca="false">Inputs!$F$78*AP47</f>
        <v>15.2671044685619</v>
      </c>
      <c r="AQ60" s="13" t="n">
        <f aca="false">Inputs!$F$78*AQ47</f>
        <v>11.7669327988947</v>
      </c>
      <c r="AR60" s="13" t="n">
        <f aca="false">Inputs!$F$78*AR47</f>
        <v>1.04602674993775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27.56955009731</v>
      </c>
      <c r="L61" s="13" t="n">
        <f aca="false">L28+L57</f>
        <v>28.2772419279564</v>
      </c>
      <c r="M61" s="13" t="n">
        <f aca="false">M28+M57</f>
        <v>29.2776929067306</v>
      </c>
      <c r="N61" s="13" t="n">
        <f aca="false">N28+N57</f>
        <v>30.718272826418</v>
      </c>
      <c r="O61" s="13" t="n">
        <f aca="false">O28+O57</f>
        <v>32.703414239087</v>
      </c>
      <c r="P61" s="13" t="n">
        <f aca="false">P28+P57</f>
        <v>35.2931033375757</v>
      </c>
      <c r="Q61" s="13" t="n">
        <f aca="false">Q28+Q57</f>
        <v>38.580226299416</v>
      </c>
      <c r="R61" s="13" t="n">
        <f aca="false">R28+R57</f>
        <v>42.5624582376395</v>
      </c>
      <c r="S61" s="13" t="n">
        <f aca="false">S28+S57</f>
        <v>47.2524566184396</v>
      </c>
      <c r="T61" s="13" t="n">
        <f aca="false">T28+T57</f>
        <v>52.604970454735</v>
      </c>
      <c r="U61" s="13" t="n">
        <f aca="false">U28+U57</f>
        <v>58.592501277109</v>
      </c>
      <c r="V61" s="13" t="n">
        <f aca="false">V28+V57</f>
        <v>65.138314909588</v>
      </c>
      <c r="W61" s="13" t="n">
        <f aca="false">W28+W57</f>
        <v>72.1483872150048</v>
      </c>
      <c r="X61" s="13" t="n">
        <f aca="false">X28+X57</f>
        <v>79.5427136924855</v>
      </c>
      <c r="Y61" s="13" t="n">
        <f aca="false">Y28+Y57</f>
        <v>87.1928869060932</v>
      </c>
      <c r="Z61" s="13" t="n">
        <f aca="false">Z28+Z57</f>
        <v>95.0032218891485</v>
      </c>
      <c r="AA61" s="13" t="n">
        <f aca="false">AA28+AA57</f>
        <v>103.104937156409</v>
      </c>
      <c r="AB61" s="13" t="n">
        <f aca="false">AB28+AB57</f>
        <v>110.832860522514</v>
      </c>
      <c r="AC61" s="13" t="n">
        <f aca="false">AC28+AC57</f>
        <v>118.376867442831</v>
      </c>
      <c r="AD61" s="13" t="n">
        <f aca="false">AD28+AD57</f>
        <v>125.588313367316</v>
      </c>
      <c r="AE61" s="13" t="n">
        <f aca="false">AE28+AE57</f>
        <v>132.392131382139</v>
      </c>
      <c r="AF61" s="13" t="n">
        <f aca="false">AF28+AF57</f>
        <v>138.672147810378</v>
      </c>
      <c r="AG61" s="13" t="n">
        <f aca="false">AG28+AG57</f>
        <v>144.385036849742</v>
      </c>
      <c r="AH61" s="13" t="n">
        <f aca="false">AH28+AH57</f>
        <v>149.462447622753</v>
      </c>
      <c r="AI61" s="13" t="n">
        <f aca="false">AI28+AI57</f>
        <v>153.857409028261</v>
      </c>
      <c r="AJ61" s="13" t="n">
        <f aca="false">AJ28+AJ57</f>
        <v>157.593593589301</v>
      </c>
      <c r="AK61" s="13" t="n">
        <f aca="false">AK28+AK57</f>
        <v>160.6592190846</v>
      </c>
      <c r="AL61" s="13" t="n">
        <f aca="false">AL28+AL57</f>
        <v>163.133858886036</v>
      </c>
      <c r="AM61" s="13" t="n">
        <f aca="false">AM28+AM57</f>
        <v>165.079244468121</v>
      </c>
      <c r="AN61" s="13" t="n">
        <f aca="false">AN28+AN57</f>
        <v>166.551367135378</v>
      </c>
      <c r="AO61" s="13" t="n">
        <f aca="false">AO28+AO57</f>
        <v>167.779999502286</v>
      </c>
      <c r="AP61" s="13" t="n">
        <f aca="false">AP28+AP57</f>
        <v>179.832976714309</v>
      </c>
      <c r="AQ61" s="13" t="n">
        <f aca="false">AQ28+AQ57</f>
        <v>189.12266050291</v>
      </c>
      <c r="AR61" s="13" t="n">
        <f aca="false">AR28+AR57</f>
        <v>189.948471094966</v>
      </c>
      <c r="AS61" s="13" t="n">
        <f aca="false">AS28+AS57</f>
        <v>189.948471094966</v>
      </c>
      <c r="AT61" s="13" t="n">
        <f aca="false">AT28+AT57</f>
        <v>189.948471094966</v>
      </c>
      <c r="AU61" s="13" t="n">
        <f aca="false">AU28+AU57</f>
        <v>189.948471094966</v>
      </c>
      <c r="AV61" s="13" t="n">
        <f aca="false">AV28+AV57</f>
        <v>189.948471094966</v>
      </c>
      <c r="AW61" s="13" t="n">
        <f aca="false">AW28+AW57</f>
        <v>189.948471094966</v>
      </c>
      <c r="AX61" s="13" t="n">
        <f aca="false">AX28+AX57</f>
        <v>189.948471094966</v>
      </c>
      <c r="AY61" s="13" t="n">
        <f aca="false">AY28+AY57</f>
        <v>189.948471094966</v>
      </c>
      <c r="AZ61" s="13" t="n">
        <f aca="false">AZ28+AZ57</f>
        <v>189.948471094966</v>
      </c>
      <c r="BA61" s="13" t="n">
        <f aca="false">BA28+BA57</f>
        <v>189.948471094966</v>
      </c>
      <c r="BB61" s="13" t="n">
        <f aca="false">BB28+BB57</f>
        <v>189.948471094966</v>
      </c>
      <c r="BC61" s="13" t="n">
        <f aca="false">BC28+BC57</f>
        <v>189.948471094966</v>
      </c>
      <c r="BD61" s="13" t="n">
        <f aca="false">BD28+BD57</f>
        <v>189.948471094966</v>
      </c>
      <c r="BE61" s="13" t="n">
        <f aca="false">BE28+BE57</f>
        <v>189.948471094966</v>
      </c>
      <c r="BF61" s="13" t="n">
        <f aca="false">BF28+BF57</f>
        <v>189.948471094966</v>
      </c>
      <c r="BG61" s="13" t="n">
        <f aca="false">BG28+BG57</f>
        <v>189.948471094966</v>
      </c>
      <c r="BH61" s="13" t="n">
        <f aca="false">BH28+BH57</f>
        <v>189.948471094966</v>
      </c>
      <c r="BI61" s="13" t="n">
        <f aca="false">BI28+BI57</f>
        <v>189.948471094966</v>
      </c>
      <c r="BJ61" s="13" t="n">
        <f aca="false">BJ28+BJ57</f>
        <v>189.948471094966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20.2176700713607</v>
      </c>
      <c r="L62" s="13" t="n">
        <f aca="false">L29+L58</f>
        <v>20.7366440805014</v>
      </c>
      <c r="M62" s="13" t="n">
        <f aca="false">M29+M58</f>
        <v>21.4703081316024</v>
      </c>
      <c r="N62" s="13" t="n">
        <f aca="false">N29+N58</f>
        <v>22.5267334060399</v>
      </c>
      <c r="O62" s="13" t="n">
        <f aca="false">O29+O58</f>
        <v>23.9825037753305</v>
      </c>
      <c r="P62" s="13" t="n">
        <f aca="false">P29+P58</f>
        <v>25.8816091142222</v>
      </c>
      <c r="Q62" s="13" t="n">
        <f aca="false">Q29+Q58</f>
        <v>28.2921659529051</v>
      </c>
      <c r="R62" s="13" t="n">
        <f aca="false">R29+R58</f>
        <v>31.212469374269</v>
      </c>
      <c r="S62" s="13" t="n">
        <f aca="false">S29+S58</f>
        <v>34.651801520189</v>
      </c>
      <c r="T62" s="13" t="n">
        <f aca="false">T29+T58</f>
        <v>38.5769783334723</v>
      </c>
      <c r="U62" s="13" t="n">
        <f aca="false">U29+U58</f>
        <v>42.9678342698799</v>
      </c>
      <c r="V62" s="13" t="n">
        <f aca="false">V29+V58</f>
        <v>47.7680976003646</v>
      </c>
      <c r="W62" s="13" t="n">
        <f aca="false">W29+W58</f>
        <v>52.9088172910035</v>
      </c>
      <c r="X62" s="13" t="n">
        <f aca="false">X29+X58</f>
        <v>58.3313233744894</v>
      </c>
      <c r="Y62" s="13" t="n">
        <f aca="false">Y29+Y58</f>
        <v>63.9414503978017</v>
      </c>
      <c r="Z62" s="13" t="n">
        <f aca="false">Z29+Z58</f>
        <v>69.6690293853756</v>
      </c>
      <c r="AA62" s="13" t="n">
        <f aca="false">AA29+AA58</f>
        <v>75.6102872480329</v>
      </c>
      <c r="AB62" s="13" t="n">
        <f aca="false">AB29+AB58</f>
        <v>81.2774310498437</v>
      </c>
      <c r="AC62" s="13" t="n">
        <f aca="false">AC29+AC58</f>
        <v>86.8097027914094</v>
      </c>
      <c r="AD62" s="13" t="n">
        <f aca="false">AD29+AD58</f>
        <v>92.0980964693649</v>
      </c>
      <c r="AE62" s="13" t="n">
        <f aca="false">AE29+AE58</f>
        <v>97.0875630135689</v>
      </c>
      <c r="AF62" s="13" t="n">
        <f aca="false">AF29+AF58</f>
        <v>101.692908394277</v>
      </c>
      <c r="AG62" s="13" t="n">
        <f aca="false">AG29+AG58</f>
        <v>105.882360356477</v>
      </c>
      <c r="AH62" s="13" t="n">
        <f aca="false">AH29+AH58</f>
        <v>109.605794923352</v>
      </c>
      <c r="AI62" s="13" t="n">
        <f aca="false">AI29+AI58</f>
        <v>112.828766620725</v>
      </c>
      <c r="AJ62" s="13" t="n">
        <f aca="false">AJ29+AJ58</f>
        <v>115.568635298821</v>
      </c>
      <c r="AK62" s="13" t="n">
        <f aca="false">AK29+AK58</f>
        <v>117.81676066204</v>
      </c>
      <c r="AL62" s="13" t="n">
        <f aca="false">AL29+AL58</f>
        <v>119.631496516426</v>
      </c>
      <c r="AM62" s="13" t="n">
        <f aca="false">AM29+AM58</f>
        <v>121.058112609955</v>
      </c>
      <c r="AN62" s="13" t="n">
        <f aca="false">AN29+AN58</f>
        <v>122.13766923261</v>
      </c>
      <c r="AO62" s="13" t="n">
        <f aca="false">AO29+AO58</f>
        <v>123.038666301677</v>
      </c>
      <c r="AP62" s="13" t="n">
        <f aca="false">AP29+AP58</f>
        <v>131.87751625716</v>
      </c>
      <c r="AQ62" s="13" t="n">
        <f aca="false">AQ29+AQ58</f>
        <v>138.689951035467</v>
      </c>
      <c r="AR62" s="13" t="n">
        <f aca="false">AR29+AR58</f>
        <v>139.295545469642</v>
      </c>
      <c r="AS62" s="13" t="n">
        <f aca="false">AS29+AS58</f>
        <v>139.295545469642</v>
      </c>
      <c r="AT62" s="13" t="n">
        <f aca="false">AT29+AT58</f>
        <v>139.295545469642</v>
      </c>
      <c r="AU62" s="13" t="n">
        <f aca="false">AU29+AU58</f>
        <v>139.295545469642</v>
      </c>
      <c r="AV62" s="13" t="n">
        <f aca="false">AV29+AV58</f>
        <v>139.295545469642</v>
      </c>
      <c r="AW62" s="13" t="n">
        <f aca="false">AW29+AW58</f>
        <v>139.295545469642</v>
      </c>
      <c r="AX62" s="13" t="n">
        <f aca="false">AX29+AX58</f>
        <v>139.295545469642</v>
      </c>
      <c r="AY62" s="13" t="n">
        <f aca="false">AY29+AY58</f>
        <v>139.295545469642</v>
      </c>
      <c r="AZ62" s="13" t="n">
        <f aca="false">AZ29+AZ58</f>
        <v>139.295545469642</v>
      </c>
      <c r="BA62" s="13" t="n">
        <f aca="false">BA29+BA58</f>
        <v>139.295545469642</v>
      </c>
      <c r="BB62" s="13" t="n">
        <f aca="false">BB29+BB58</f>
        <v>139.295545469642</v>
      </c>
      <c r="BC62" s="13" t="n">
        <f aca="false">BC29+BC58</f>
        <v>139.295545469642</v>
      </c>
      <c r="BD62" s="13" t="n">
        <f aca="false">BD29+BD58</f>
        <v>139.295545469642</v>
      </c>
      <c r="BE62" s="13" t="n">
        <f aca="false">BE29+BE58</f>
        <v>139.295545469642</v>
      </c>
      <c r="BF62" s="13" t="n">
        <f aca="false">BF29+BF58</f>
        <v>139.295545469642</v>
      </c>
      <c r="BG62" s="13" t="n">
        <f aca="false">BG29+BG58</f>
        <v>139.295545469642</v>
      </c>
      <c r="BH62" s="13" t="n">
        <f aca="false">BH29+BH58</f>
        <v>139.295545469642</v>
      </c>
      <c r="BI62" s="13" t="n">
        <f aca="false">BI29+BI58</f>
        <v>139.295545469642</v>
      </c>
      <c r="BJ62" s="13" t="n">
        <f aca="false">BJ29+BJ58</f>
        <v>139.295545469642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9.18985003243668</v>
      </c>
      <c r="L63" s="13" t="n">
        <f aca="false">L30+L59</f>
        <v>9.42574730931881</v>
      </c>
      <c r="M63" s="13" t="n">
        <f aca="false">M30+M59</f>
        <v>9.75923096891019</v>
      </c>
      <c r="N63" s="13" t="n">
        <f aca="false">N30+N59</f>
        <v>10.2394242754727</v>
      </c>
      <c r="O63" s="13" t="n">
        <f aca="false">O30+O59</f>
        <v>10.9011380796957</v>
      </c>
      <c r="P63" s="13" t="n">
        <f aca="false">P30+P59</f>
        <v>11.7643677791919</v>
      </c>
      <c r="Q63" s="13" t="n">
        <f aca="false">Q30+Q59</f>
        <v>12.8600754331387</v>
      </c>
      <c r="R63" s="13" t="n">
        <f aca="false">R30+R59</f>
        <v>14.1874860792132</v>
      </c>
      <c r="S63" s="13" t="n">
        <f aca="false">S30+S59</f>
        <v>15.7508188728132</v>
      </c>
      <c r="T63" s="13" t="n">
        <f aca="false">T30+T59</f>
        <v>17.5349901515783</v>
      </c>
      <c r="U63" s="13" t="n">
        <f aca="false">U30+U59</f>
        <v>19.5308337590363</v>
      </c>
      <c r="V63" s="13" t="n">
        <f aca="false">V30+V59</f>
        <v>21.7127716365294</v>
      </c>
      <c r="W63" s="13" t="n">
        <f aca="false">W30+W59</f>
        <v>24.0494624050016</v>
      </c>
      <c r="X63" s="13" t="n">
        <f aca="false">X30+X59</f>
        <v>26.5142378974952</v>
      </c>
      <c r="Y63" s="13" t="n">
        <f aca="false">Y30+Y59</f>
        <v>29.0642956353644</v>
      </c>
      <c r="Z63" s="13" t="n">
        <f aca="false">Z30+Z59</f>
        <v>31.6677406297162</v>
      </c>
      <c r="AA63" s="13" t="n">
        <f aca="false">AA30+AA59</f>
        <v>34.3683123854695</v>
      </c>
      <c r="AB63" s="13" t="n">
        <f aca="false">AB30+AB59</f>
        <v>36.944286840838</v>
      </c>
      <c r="AC63" s="13" t="n">
        <f aca="false">AC30+AC59</f>
        <v>39.458955814277</v>
      </c>
      <c r="AD63" s="13" t="n">
        <f aca="false">AD30+AD59</f>
        <v>41.8627711224386</v>
      </c>
      <c r="AE63" s="13" t="n">
        <f aca="false">AE30+AE59</f>
        <v>44.1307104607131</v>
      </c>
      <c r="AF63" s="13" t="n">
        <f aca="false">AF30+AF59</f>
        <v>46.224049270126</v>
      </c>
      <c r="AG63" s="13" t="n">
        <f aca="false">AG30+AG59</f>
        <v>48.1283456165807</v>
      </c>
      <c r="AH63" s="13" t="n">
        <f aca="false">AH30+AH59</f>
        <v>49.820815874251</v>
      </c>
      <c r="AI63" s="13" t="n">
        <f aca="false">AI30+AI59</f>
        <v>51.2858030094203</v>
      </c>
      <c r="AJ63" s="13" t="n">
        <f aca="false">AJ30+AJ59</f>
        <v>52.5311978631004</v>
      </c>
      <c r="AK63" s="13" t="n">
        <f aca="false">AK30+AK59</f>
        <v>53.5530730282</v>
      </c>
      <c r="AL63" s="13" t="n">
        <f aca="false">AL30+AL59</f>
        <v>54.377952962012</v>
      </c>
      <c r="AM63" s="13" t="n">
        <f aca="false">AM30+AM59</f>
        <v>55.026414822707</v>
      </c>
      <c r="AN63" s="13" t="n">
        <f aca="false">AN30+AN59</f>
        <v>55.5171223784593</v>
      </c>
      <c r="AO63" s="13" t="n">
        <f aca="false">AO30+AO59</f>
        <v>55.9266665007621</v>
      </c>
      <c r="AP63" s="13" t="n">
        <f aca="false">AP30+AP59</f>
        <v>59.9443255714363</v>
      </c>
      <c r="AQ63" s="13" t="n">
        <f aca="false">AQ30+AQ59</f>
        <v>63.0408868343033</v>
      </c>
      <c r="AR63" s="13" t="n">
        <f aca="false">AR30+AR59</f>
        <v>63.3161570316554</v>
      </c>
      <c r="AS63" s="13" t="n">
        <f aca="false">AS30+AS59</f>
        <v>63.3161570316554</v>
      </c>
      <c r="AT63" s="13" t="n">
        <f aca="false">AT30+AT59</f>
        <v>63.3161570316554</v>
      </c>
      <c r="AU63" s="13" t="n">
        <f aca="false">AU30+AU59</f>
        <v>63.3161570316554</v>
      </c>
      <c r="AV63" s="13" t="n">
        <f aca="false">AV30+AV59</f>
        <v>63.3161570316554</v>
      </c>
      <c r="AW63" s="13" t="n">
        <f aca="false">AW30+AW59</f>
        <v>63.3161570316554</v>
      </c>
      <c r="AX63" s="13" t="n">
        <f aca="false">AX30+AX59</f>
        <v>63.3161570316554</v>
      </c>
      <c r="AY63" s="13" t="n">
        <f aca="false">AY30+AY59</f>
        <v>63.3161570316554</v>
      </c>
      <c r="AZ63" s="13" t="n">
        <f aca="false">AZ30+AZ59</f>
        <v>63.3161570316554</v>
      </c>
      <c r="BA63" s="13" t="n">
        <f aca="false">BA30+BA59</f>
        <v>63.3161570316554</v>
      </c>
      <c r="BB63" s="13" t="n">
        <f aca="false">BB30+BB59</f>
        <v>63.3161570316554</v>
      </c>
      <c r="BC63" s="13" t="n">
        <f aca="false">BC30+BC59</f>
        <v>63.3161570316554</v>
      </c>
      <c r="BD63" s="13" t="n">
        <f aca="false">BD30+BD59</f>
        <v>63.3161570316554</v>
      </c>
      <c r="BE63" s="13" t="n">
        <f aca="false">BE30+BE59</f>
        <v>63.3161570316554</v>
      </c>
      <c r="BF63" s="13" t="n">
        <f aca="false">BF30+BF59</f>
        <v>63.3161570316554</v>
      </c>
      <c r="BG63" s="13" t="n">
        <f aca="false">BG30+BG59</f>
        <v>63.3161570316554</v>
      </c>
      <c r="BH63" s="13" t="n">
        <f aca="false">BH30+BH59</f>
        <v>63.3161570316554</v>
      </c>
      <c r="BI63" s="13" t="n">
        <f aca="false">BI30+BI59</f>
        <v>63.3161570316554</v>
      </c>
      <c r="BJ63" s="13" t="n">
        <f aca="false">BJ30+BJ59</f>
        <v>63.3161570316554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34.9214301232594</v>
      </c>
      <c r="L64" s="13" t="n">
        <f aca="false">L31+L60</f>
        <v>35.8178397754115</v>
      </c>
      <c r="M64" s="13" t="n">
        <f aca="false">M31+M60</f>
        <v>37.0850776818587</v>
      </c>
      <c r="N64" s="13" t="n">
        <f aca="false">N31+N60</f>
        <v>38.9098122467962</v>
      </c>
      <c r="O64" s="13" t="n">
        <f aca="false">O31+O60</f>
        <v>41.4243247028436</v>
      </c>
      <c r="P64" s="13" t="n">
        <f aca="false">P31+P60</f>
        <v>44.7045975609292</v>
      </c>
      <c r="Q64" s="13" t="n">
        <f aca="false">Q31+Q60</f>
        <v>48.868286645927</v>
      </c>
      <c r="R64" s="13" t="n">
        <f aca="false">R31+R60</f>
        <v>53.91244710101</v>
      </c>
      <c r="S64" s="13" t="n">
        <f aca="false">S31+S60</f>
        <v>59.8531117166901</v>
      </c>
      <c r="T64" s="13" t="n">
        <f aca="false">T31+T60</f>
        <v>66.6329625759976</v>
      </c>
      <c r="U64" s="13" t="n">
        <f aca="false">U31+U60</f>
        <v>74.217168284338</v>
      </c>
      <c r="V64" s="13" t="n">
        <f aca="false">V31+V60</f>
        <v>82.5085322188115</v>
      </c>
      <c r="W64" s="13" t="n">
        <f aca="false">W31+W60</f>
        <v>91.3879571390061</v>
      </c>
      <c r="X64" s="13" t="n">
        <f aca="false">X31+X60</f>
        <v>100.754104010482</v>
      </c>
      <c r="Y64" s="13" t="n">
        <f aca="false">Y31+Y60</f>
        <v>110.444323414385</v>
      </c>
      <c r="Z64" s="13" t="n">
        <f aca="false">Z31+Z60</f>
        <v>120.337414392921</v>
      </c>
      <c r="AA64" s="13" t="n">
        <f aca="false">AA31+AA60</f>
        <v>130.599587064784</v>
      </c>
      <c r="AB64" s="13" t="n">
        <f aca="false">AB31+AB60</f>
        <v>140.388289995185</v>
      </c>
      <c r="AC64" s="13" t="n">
        <f aca="false">AC31+AC60</f>
        <v>149.944032094253</v>
      </c>
      <c r="AD64" s="13" t="n">
        <f aca="false">AD31+AD60</f>
        <v>159.078530265267</v>
      </c>
      <c r="AE64" s="13" t="n">
        <f aca="false">AE31+AE60</f>
        <v>167.69669975071</v>
      </c>
      <c r="AF64" s="13" t="n">
        <f aca="false">AF31+AF60</f>
        <v>175.651387226479</v>
      </c>
      <c r="AG64" s="13" t="n">
        <f aca="false">AG31+AG60</f>
        <v>182.887713343007</v>
      </c>
      <c r="AH64" s="13" t="n">
        <f aca="false">AH31+AH60</f>
        <v>189.319100322154</v>
      </c>
      <c r="AI64" s="13" t="n">
        <f aca="false">AI31+AI60</f>
        <v>194.886051435797</v>
      </c>
      <c r="AJ64" s="13" t="n">
        <f aca="false">AJ31+AJ60</f>
        <v>199.618551879782</v>
      </c>
      <c r="AK64" s="13" t="n">
        <f aca="false">AK31+AK60</f>
        <v>203.50167750716</v>
      </c>
      <c r="AL64" s="13" t="n">
        <f aca="false">AL31+AL60</f>
        <v>206.636221255646</v>
      </c>
      <c r="AM64" s="13" t="n">
        <f aca="false">AM31+AM60</f>
        <v>209.100376326286</v>
      </c>
      <c r="AN64" s="13" t="n">
        <f aca="false">AN31+AN60</f>
        <v>210.965065038145</v>
      </c>
      <c r="AO64" s="13" t="n">
        <f aca="false">AO31+AO60</f>
        <v>212.521332702896</v>
      </c>
      <c r="AP64" s="13" t="n">
        <f aca="false">AP31+AP60</f>
        <v>227.788437171458</v>
      </c>
      <c r="AQ64" s="13" t="n">
        <f aca="false">AQ31+AQ60</f>
        <v>239.555369970353</v>
      </c>
      <c r="AR64" s="13" t="n">
        <f aca="false">AR31+AR60</f>
        <v>240.60139672029</v>
      </c>
      <c r="AS64" s="13" t="n">
        <f aca="false">AS31+AS60</f>
        <v>240.60139672029</v>
      </c>
      <c r="AT64" s="13" t="n">
        <f aca="false">AT31+AT60</f>
        <v>240.60139672029</v>
      </c>
      <c r="AU64" s="13" t="n">
        <f aca="false">AU31+AU60</f>
        <v>240.60139672029</v>
      </c>
      <c r="AV64" s="13" t="n">
        <f aca="false">AV31+AV60</f>
        <v>240.60139672029</v>
      </c>
      <c r="AW64" s="13" t="n">
        <f aca="false">AW31+AW60</f>
        <v>240.60139672029</v>
      </c>
      <c r="AX64" s="13" t="n">
        <f aca="false">AX31+AX60</f>
        <v>240.60139672029</v>
      </c>
      <c r="AY64" s="13" t="n">
        <f aca="false">AY31+AY60</f>
        <v>240.60139672029</v>
      </c>
      <c r="AZ64" s="13" t="n">
        <f aca="false">AZ31+AZ60</f>
        <v>240.60139672029</v>
      </c>
      <c r="BA64" s="13" t="n">
        <f aca="false">BA31+BA60</f>
        <v>240.60139672029</v>
      </c>
      <c r="BB64" s="13" t="n">
        <f aca="false">BB31+BB60</f>
        <v>240.60139672029</v>
      </c>
      <c r="BC64" s="13" t="n">
        <f aca="false">BC31+BC60</f>
        <v>240.60139672029</v>
      </c>
      <c r="BD64" s="13" t="n">
        <f aca="false">BD31+BD60</f>
        <v>240.60139672029</v>
      </c>
      <c r="BE64" s="13" t="n">
        <f aca="false">BE31+BE60</f>
        <v>240.60139672029</v>
      </c>
      <c r="BF64" s="13" t="n">
        <f aca="false">BF31+BF60</f>
        <v>240.60139672029</v>
      </c>
      <c r="BG64" s="13" t="n">
        <f aca="false">BG31+BG60</f>
        <v>240.60139672029</v>
      </c>
      <c r="BH64" s="13" t="n">
        <f aca="false">BH31+BH60</f>
        <v>240.60139672029</v>
      </c>
      <c r="BI64" s="13" t="n">
        <f aca="false">BI31+BI60</f>
        <v>240.60139672029</v>
      </c>
      <c r="BJ64" s="13" t="n">
        <f aca="false">BJ31+BJ60</f>
        <v>240.60139672029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221.800696807271</v>
      </c>
      <c r="J67" s="13" t="n">
        <f aca="false">J50-J47+J56</f>
        <v>31.5443654741124</v>
      </c>
      <c r="K67" s="13" t="n">
        <f aca="false">K50-K47+K56</f>
        <v>0.648288601998103</v>
      </c>
      <c r="L67" s="13" t="n">
        <f aca="false">L50-L47+L56</f>
        <v>0.826363804127191</v>
      </c>
      <c r="M67" s="13" t="n">
        <f aca="false">M50-M47+M56</f>
        <v>1.16821537406682</v>
      </c>
      <c r="N67" s="13" t="n">
        <f aca="false">N50-N47+N56</f>
        <v>1.68214899625852</v>
      </c>
      <c r="O67" s="13" t="n">
        <f aca="false">O50-O47+O56</f>
        <v>2.31802733684982</v>
      </c>
      <c r="P67" s="13" t="n">
        <f aca="false">P50-P47+P56</f>
        <v>3.02395088124613</v>
      </c>
      <c r="Q67" s="13" t="n">
        <f aca="false">Q50-Q47+Q56</f>
        <v>3.83833657214777</v>
      </c>
      <c r="R67" s="13" t="n">
        <f aca="false">R50-R47+R56</f>
        <v>4.65000751864194</v>
      </c>
      <c r="S67" s="13" t="n">
        <f aca="false">S50-S47+S56</f>
        <v>5.47645844628229</v>
      </c>
      <c r="T67" s="13" t="n">
        <f aca="false">T50-T47+T56</f>
        <v>6.25007030442129</v>
      </c>
      <c r="U67" s="13" t="n">
        <f aca="false">U50-U47+U56</f>
        <v>6.99157250859683</v>
      </c>
      <c r="V67" s="13" t="n">
        <f aca="false">V50-V47+V56</f>
        <v>7.64347307711954</v>
      </c>
      <c r="W67" s="13" t="n">
        <f aca="false">W50-W47+W56</f>
        <v>8.18558271644857</v>
      </c>
      <c r="X67" s="13" t="n">
        <f aca="false">X50-X47+X56</f>
        <v>8.63427199846061</v>
      </c>
      <c r="Y67" s="13" t="n">
        <f aca="false">Y50-Y47+Y56</f>
        <v>8.93302135938841</v>
      </c>
      <c r="Z67" s="13" t="n">
        <f aca="false">Z50-Z47+Z56</f>
        <v>9.12004045915053</v>
      </c>
      <c r="AA67" s="13" t="n">
        <f aca="false">AA50-AA47+AA56</f>
        <v>9.46028194517013</v>
      </c>
      <c r="AB67" s="13" t="n">
        <f aca="false">AB50-AB47+AB56</f>
        <v>9.02380933942055</v>
      </c>
      <c r="AC67" s="13" t="n">
        <f aca="false">AC50-AC47+AC56</f>
        <v>8.8090521708311</v>
      </c>
      <c r="AD67" s="13" t="n">
        <f aca="false">AD50-AD47+AD56</f>
        <v>8.42072443025337</v>
      </c>
      <c r="AE67" s="13" t="n">
        <f aca="false">AE50-AE47+AE56</f>
        <v>7.94474189730795</v>
      </c>
      <c r="AF67" s="13" t="n">
        <f aca="false">AF50-AF47+AF56</f>
        <v>7.33310466630713</v>
      </c>
      <c r="AG67" s="13" t="n">
        <f aca="false">AG50-AG47+AG56</f>
        <v>6.67087638246937</v>
      </c>
      <c r="AH67" s="13" t="n">
        <f aca="false">AH50-AH47+AH56</f>
        <v>5.92883554649712</v>
      </c>
      <c r="AI67" s="13" t="n">
        <f aca="false">AI50-AI47+AI56</f>
        <v>5.13194708313985</v>
      </c>
      <c r="AJ67" s="13" t="n">
        <f aca="false">AJ50-AJ47+AJ56</f>
        <v>4.36270075911807</v>
      </c>
      <c r="AK67" s="13" t="n">
        <f aca="false">AK50-AK47+AK56</f>
        <v>3.57969646761441</v>
      </c>
      <c r="AL67" s="13" t="n">
        <f aca="false">AL50-AL47+AL56</f>
        <v>2.88960910894141</v>
      </c>
      <c r="AM67" s="13" t="n">
        <f aca="false">AM50-AM47+AM56</f>
        <v>2.2716048998862</v>
      </c>
      <c r="AN67" s="13" t="n">
        <f aca="false">AN50-AN47+AN56</f>
        <v>1.71898110840865</v>
      </c>
      <c r="AO67" s="13" t="n">
        <f aca="false">AO50-AO47+AO56</f>
        <v>1.43466021879198</v>
      </c>
      <c r="AP67" s="13" t="n">
        <f aca="false">AP50-AP47+AP56</f>
        <v>14.0741261502031</v>
      </c>
      <c r="AQ67" s="13" t="n">
        <f aca="false">AQ50-AQ47+AQ56</f>
        <v>10.8474594480984</v>
      </c>
      <c r="AR67" s="13" t="n">
        <f aca="false">AR50-AR47+AR56</f>
        <v>0.964289755495309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207.600696807271</v>
      </c>
      <c r="J68" s="13" t="n">
        <f aca="false">J67-IF(Construction!J8=1,Inputs!$F$68,0)</f>
        <v>17.3443654741124</v>
      </c>
      <c r="K68" s="13" t="n">
        <f aca="false">K67-IF(Construction!K8=1,Inputs!$F$68,0)</f>
        <v>0.648288601998103</v>
      </c>
      <c r="L68" s="13" t="n">
        <f aca="false">L67-IF(Construction!L8=1,Inputs!$F$68,0)</f>
        <v>0.826363804127191</v>
      </c>
      <c r="M68" s="13" t="n">
        <f aca="false">M67-IF(Construction!M8=1,Inputs!$F$68,0)</f>
        <v>1.16821537406682</v>
      </c>
      <c r="N68" s="13" t="n">
        <f aca="false">N67-IF(Construction!N8=1,Inputs!$F$68,0)</f>
        <v>1.68214899625852</v>
      </c>
      <c r="O68" s="13" t="n">
        <f aca="false">O67-IF(Construction!O8=1,Inputs!$F$68,0)</f>
        <v>2.31802733684982</v>
      </c>
      <c r="P68" s="13" t="n">
        <f aca="false">P67-IF(Construction!P8=1,Inputs!$F$68,0)</f>
        <v>3.02395088124613</v>
      </c>
      <c r="Q68" s="13" t="n">
        <f aca="false">Q67-IF(Construction!Q8=1,Inputs!$F$68,0)</f>
        <v>3.83833657214777</v>
      </c>
      <c r="R68" s="13" t="n">
        <f aca="false">R67-IF(Construction!R8=1,Inputs!$F$68,0)</f>
        <v>4.65000751864194</v>
      </c>
      <c r="S68" s="13" t="n">
        <f aca="false">S67-IF(Construction!S8=1,Inputs!$F$68,0)</f>
        <v>5.47645844628229</v>
      </c>
      <c r="T68" s="13" t="n">
        <f aca="false">T67-IF(Construction!T8=1,Inputs!$F$68,0)</f>
        <v>6.25007030442129</v>
      </c>
      <c r="U68" s="13" t="n">
        <f aca="false">U67-IF(Construction!U8=1,Inputs!$F$68,0)</f>
        <v>6.99157250859683</v>
      </c>
      <c r="V68" s="13" t="n">
        <f aca="false">V67-IF(Construction!V8=1,Inputs!$F$68,0)</f>
        <v>7.64347307711954</v>
      </c>
      <c r="W68" s="13" t="n">
        <f aca="false">W67-IF(Construction!W8=1,Inputs!$F$68,0)</f>
        <v>8.18558271644857</v>
      </c>
      <c r="X68" s="13" t="n">
        <f aca="false">X67-IF(Construction!X8=1,Inputs!$F$68,0)</f>
        <v>8.63427199846061</v>
      </c>
      <c r="Y68" s="13" t="n">
        <f aca="false">Y67-IF(Construction!Y8=1,Inputs!$F$68,0)</f>
        <v>8.93302135938841</v>
      </c>
      <c r="Z68" s="13" t="n">
        <f aca="false">Z67-IF(Construction!Z8=1,Inputs!$F$68,0)</f>
        <v>9.12004045915053</v>
      </c>
      <c r="AA68" s="13" t="n">
        <f aca="false">AA67-IF(Construction!AA8=1,Inputs!$F$68,0)</f>
        <v>9.46028194517013</v>
      </c>
      <c r="AB68" s="13" t="n">
        <f aca="false">AB67-IF(Construction!AB8=1,Inputs!$F$68,0)</f>
        <v>9.02380933942055</v>
      </c>
      <c r="AC68" s="13" t="n">
        <f aca="false">AC67-IF(Construction!AC8=1,Inputs!$F$68,0)</f>
        <v>8.8090521708311</v>
      </c>
      <c r="AD68" s="13" t="n">
        <f aca="false">AD67-IF(Construction!AD8=1,Inputs!$F$68,0)</f>
        <v>8.42072443025337</v>
      </c>
      <c r="AE68" s="13" t="n">
        <f aca="false">AE67-IF(Construction!AE8=1,Inputs!$F$68,0)</f>
        <v>7.94474189730795</v>
      </c>
      <c r="AF68" s="13" t="n">
        <f aca="false">AF67-IF(Construction!AF8=1,Inputs!$F$68,0)</f>
        <v>7.33310466630713</v>
      </c>
      <c r="AG68" s="13" t="n">
        <f aca="false">AG67-IF(Construction!AG8=1,Inputs!$F$68,0)</f>
        <v>6.67087638246937</v>
      </c>
      <c r="AH68" s="13" t="n">
        <f aca="false">AH67-IF(Construction!AH8=1,Inputs!$F$68,0)</f>
        <v>5.92883554649712</v>
      </c>
      <c r="AI68" s="13" t="n">
        <f aca="false">AI67-IF(Construction!AI8=1,Inputs!$F$68,0)</f>
        <v>5.13194708313985</v>
      </c>
      <c r="AJ68" s="13" t="n">
        <f aca="false">AJ67-IF(Construction!AJ8=1,Inputs!$F$68,0)</f>
        <v>4.36270075911807</v>
      </c>
      <c r="AK68" s="13" t="n">
        <f aca="false">AK67-IF(Construction!AK8=1,Inputs!$F$68,0)</f>
        <v>3.57969646761441</v>
      </c>
      <c r="AL68" s="13" t="n">
        <f aca="false">AL67-IF(Construction!AL8=1,Inputs!$F$68,0)</f>
        <v>2.88960910894141</v>
      </c>
      <c r="AM68" s="13" t="n">
        <f aca="false">AM67-IF(Construction!AM8=1,Inputs!$F$68,0)</f>
        <v>2.2716048998862</v>
      </c>
      <c r="AN68" s="13" t="n">
        <f aca="false">AN67-IF(Construction!AN8=1,Inputs!$F$68,0)</f>
        <v>1.71898110840865</v>
      </c>
      <c r="AO68" s="13" t="n">
        <f aca="false">AO67-IF(Construction!AO8=1,Inputs!$F$68,0)</f>
        <v>1.43466021879198</v>
      </c>
      <c r="AP68" s="13" t="n">
        <f aca="false">AP67-IF(Construction!AP8=1,Inputs!$F$68,0)</f>
        <v>14.0741261502031</v>
      </c>
      <c r="AQ68" s="13" t="n">
        <f aca="false">AQ67-IF(Construction!AQ8=1,Inputs!$F$68,0)</f>
        <v>10.8474594480984</v>
      </c>
      <c r="AR68" s="13" t="n">
        <f aca="false">AR67-IF(Construction!AR8=1,Inputs!$F$68,0)</f>
        <v>0.964289755495309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44.3601393614542</v>
      </c>
      <c r="J69" s="13" t="n">
        <f aca="false">(1-Inputs!$F$53)*J67</f>
        <v>6.30887309482249</v>
      </c>
      <c r="K69" s="13" t="n">
        <f aca="false">(1-Inputs!$F$53)*K67</f>
        <v>0.129657720399621</v>
      </c>
      <c r="L69" s="13" t="n">
        <f aca="false">(1-Inputs!$F$53)*L67</f>
        <v>0.165272760825438</v>
      </c>
      <c r="M69" s="13" t="n">
        <f aca="false">(1-Inputs!$F$53)*M67</f>
        <v>0.233643074813364</v>
      </c>
      <c r="N69" s="13" t="n">
        <f aca="false">(1-Inputs!$F$53)*N67</f>
        <v>0.336429799251704</v>
      </c>
      <c r="O69" s="13" t="n">
        <f aca="false">(1-Inputs!$F$53)*O67</f>
        <v>0.463605467369964</v>
      </c>
      <c r="P69" s="13" t="n">
        <f aca="false">(1-Inputs!$F$53)*P67</f>
        <v>0.604790176249226</v>
      </c>
      <c r="Q69" s="13" t="n">
        <f aca="false">(1-Inputs!$F$53)*Q67</f>
        <v>0.767667314429553</v>
      </c>
      <c r="R69" s="13" t="n">
        <f aca="false">(1-Inputs!$F$53)*R67</f>
        <v>0.930001503728389</v>
      </c>
      <c r="S69" s="13" t="n">
        <f aca="false">(1-Inputs!$F$53)*S67</f>
        <v>1.09529168925646</v>
      </c>
      <c r="T69" s="13" t="n">
        <f aca="false">(1-Inputs!$F$53)*T67</f>
        <v>1.25001406088426</v>
      </c>
      <c r="U69" s="13" t="n">
        <f aca="false">(1-Inputs!$F$53)*U67</f>
        <v>1.39831450171936</v>
      </c>
      <c r="V69" s="13" t="n">
        <f aca="false">(1-Inputs!$F$53)*V67</f>
        <v>1.52869461542391</v>
      </c>
      <c r="W69" s="13" t="n">
        <f aca="false">(1-Inputs!$F$53)*W67</f>
        <v>1.63711654328971</v>
      </c>
      <c r="X69" s="13" t="n">
        <f aca="false">(1-Inputs!$F$53)*X67</f>
        <v>1.72685439969212</v>
      </c>
      <c r="Y69" s="13" t="n">
        <f aca="false">(1-Inputs!$F$53)*Y67</f>
        <v>1.78660427187768</v>
      </c>
      <c r="Z69" s="13" t="n">
        <f aca="false">(1-Inputs!$F$53)*Z67</f>
        <v>1.82400809183011</v>
      </c>
      <c r="AA69" s="13" t="n">
        <f aca="false">(1-Inputs!$F$53)*AA67</f>
        <v>1.89205638903403</v>
      </c>
      <c r="AB69" s="13" t="n">
        <f aca="false">(1-Inputs!$F$53)*AB67</f>
        <v>1.80476186788411</v>
      </c>
      <c r="AC69" s="13" t="n">
        <f aca="false">(1-Inputs!$F$53)*AC67</f>
        <v>1.76181043416622</v>
      </c>
      <c r="AD69" s="13" t="n">
        <f aca="false">(1-Inputs!$F$53)*AD67</f>
        <v>1.68414488605067</v>
      </c>
      <c r="AE69" s="13" t="n">
        <f aca="false">(1-Inputs!$F$53)*AE67</f>
        <v>1.58894837946159</v>
      </c>
      <c r="AF69" s="13" t="n">
        <f aca="false">(1-Inputs!$F$53)*AF67</f>
        <v>1.46662093326143</v>
      </c>
      <c r="AG69" s="13" t="n">
        <f aca="false">(1-Inputs!$F$53)*AG67</f>
        <v>1.33417527649387</v>
      </c>
      <c r="AH69" s="13" t="n">
        <f aca="false">(1-Inputs!$F$53)*AH67</f>
        <v>1.18576710929942</v>
      </c>
      <c r="AI69" s="13" t="n">
        <f aca="false">(1-Inputs!$F$53)*AI67</f>
        <v>1.02638941662797</v>
      </c>
      <c r="AJ69" s="13" t="n">
        <f aca="false">(1-Inputs!$F$53)*AJ67</f>
        <v>0.872540151823615</v>
      </c>
      <c r="AK69" s="13" t="n">
        <f aca="false">(1-Inputs!$F$53)*AK67</f>
        <v>0.715939293522881</v>
      </c>
      <c r="AL69" s="13" t="n">
        <f aca="false">(1-Inputs!$F$53)*AL67</f>
        <v>0.577921821788282</v>
      </c>
      <c r="AM69" s="13" t="n">
        <f aca="false">(1-Inputs!$F$53)*AM67</f>
        <v>0.45432097997724</v>
      </c>
      <c r="AN69" s="13" t="n">
        <f aca="false">(1-Inputs!$F$53)*AN67</f>
        <v>0.343796221681731</v>
      </c>
      <c r="AO69" s="13" t="n">
        <f aca="false">(1-Inputs!$F$53)*AO67</f>
        <v>0.286932043758396</v>
      </c>
      <c r="AP69" s="13" t="n">
        <f aca="false">(1-Inputs!$F$53)*AP67</f>
        <v>2.81482523004061</v>
      </c>
      <c r="AQ69" s="13" t="n">
        <f aca="false">(1-Inputs!$F$53)*AQ67</f>
        <v>2.16949188961968</v>
      </c>
      <c r="AR69" s="13" t="n">
        <f aca="false">(1-Inputs!$F$53)*AR67</f>
        <v>0.192857951099062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177.440557445817</v>
      </c>
      <c r="J70" s="13" t="n">
        <f aca="false">Inputs!$F$53*J67</f>
        <v>25.23549237929</v>
      </c>
      <c r="K70" s="13" t="n">
        <f aca="false">Inputs!$F$53*K67</f>
        <v>0.518630881598482</v>
      </c>
      <c r="L70" s="13" t="n">
        <f aca="false">Inputs!$F$53*L67</f>
        <v>0.661091043301753</v>
      </c>
      <c r="M70" s="13" t="n">
        <f aca="false">Inputs!$F$53*M67</f>
        <v>0.934572299253456</v>
      </c>
      <c r="N70" s="13" t="n">
        <f aca="false">Inputs!$F$53*N67</f>
        <v>1.34571919700682</v>
      </c>
      <c r="O70" s="13" t="n">
        <f aca="false">Inputs!$F$53*O67</f>
        <v>1.85442186947986</v>
      </c>
      <c r="P70" s="13" t="n">
        <f aca="false">Inputs!$F$53*P67</f>
        <v>2.4191607049969</v>
      </c>
      <c r="Q70" s="13" t="n">
        <f aca="false">Inputs!$F$53*Q67</f>
        <v>3.07066925771821</v>
      </c>
      <c r="R70" s="13" t="n">
        <f aca="false">Inputs!$F$53*R67</f>
        <v>3.72000601491356</v>
      </c>
      <c r="S70" s="13" t="n">
        <f aca="false">Inputs!$F$53*S67</f>
        <v>4.38116675702583</v>
      </c>
      <c r="T70" s="13" t="n">
        <f aca="false">Inputs!$F$53*T67</f>
        <v>5.00005624353704</v>
      </c>
      <c r="U70" s="13" t="n">
        <f aca="false">Inputs!$F$53*U67</f>
        <v>5.59325800687746</v>
      </c>
      <c r="V70" s="13" t="n">
        <f aca="false">Inputs!$F$53*V67</f>
        <v>6.11477846169563</v>
      </c>
      <c r="W70" s="13" t="n">
        <f aca="false">Inputs!$F$53*W67</f>
        <v>6.54846617315885</v>
      </c>
      <c r="X70" s="13" t="n">
        <f aca="false">Inputs!$F$53*X67</f>
        <v>6.90741759876849</v>
      </c>
      <c r="Y70" s="13" t="n">
        <f aca="false">Inputs!$F$53*Y67</f>
        <v>7.14641708751072</v>
      </c>
      <c r="Z70" s="13" t="n">
        <f aca="false">Inputs!$F$53*Z67</f>
        <v>7.29603236732043</v>
      </c>
      <c r="AA70" s="13" t="n">
        <f aca="false">Inputs!$F$53*AA67</f>
        <v>7.56822555613611</v>
      </c>
      <c r="AB70" s="13" t="n">
        <f aca="false">Inputs!$F$53*AB67</f>
        <v>7.21904747153644</v>
      </c>
      <c r="AC70" s="13" t="n">
        <f aca="false">Inputs!$F$53*AC67</f>
        <v>7.04724173666488</v>
      </c>
      <c r="AD70" s="13" t="n">
        <f aca="false">Inputs!$F$53*AD67</f>
        <v>6.73657954420269</v>
      </c>
      <c r="AE70" s="13" t="n">
        <f aca="false">Inputs!$F$53*AE67</f>
        <v>6.35579351784636</v>
      </c>
      <c r="AF70" s="13" t="n">
        <f aca="false">Inputs!$F$53*AF67</f>
        <v>5.8664837330457</v>
      </c>
      <c r="AG70" s="13" t="n">
        <f aca="false">Inputs!$F$53*AG67</f>
        <v>5.3367011059755</v>
      </c>
      <c r="AH70" s="13" t="n">
        <f aca="false">Inputs!$F$53*AH67</f>
        <v>4.74306843719769</v>
      </c>
      <c r="AI70" s="13" t="n">
        <f aca="false">Inputs!$F$53*AI67</f>
        <v>4.10555766651188</v>
      </c>
      <c r="AJ70" s="13" t="n">
        <f aca="false">Inputs!$F$53*AJ67</f>
        <v>3.49016060729446</v>
      </c>
      <c r="AK70" s="13" t="n">
        <f aca="false">Inputs!$F$53*AK67</f>
        <v>2.86375717409153</v>
      </c>
      <c r="AL70" s="13" t="n">
        <f aca="false">Inputs!$F$53*AL67</f>
        <v>2.31168728715313</v>
      </c>
      <c r="AM70" s="13" t="n">
        <f aca="false">Inputs!$F$53*AM67</f>
        <v>1.81728391990896</v>
      </c>
      <c r="AN70" s="13" t="n">
        <f aca="false">Inputs!$F$53*AN67</f>
        <v>1.37518488672692</v>
      </c>
      <c r="AO70" s="13" t="n">
        <f aca="false">Inputs!$F$53*AO67</f>
        <v>1.14772817503358</v>
      </c>
      <c r="AP70" s="13" t="n">
        <f aca="false">Inputs!$F$53*AP67</f>
        <v>11.2593009201624</v>
      </c>
      <c r="AQ70" s="13" t="n">
        <f aca="false">Inputs!$F$53*AQ67</f>
        <v>8.6779675584787</v>
      </c>
      <c r="AR70" s="13" t="n">
        <f aca="false">Inputs!$F$53*AR67</f>
        <v>0.771431804396248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24.1906416197515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0.209386817358776</v>
      </c>
      <c r="M71" s="13" t="n">
        <f aca="false">IF(Construction!M8&lt;=Time!$F$11,L72*Inputs!$F$104/100*Construction!M11/Inputs!$F$248,0)</f>
        <v>0.209429285821296</v>
      </c>
      <c r="N71" s="13" t="n">
        <f aca="false">IF(Construction!N8&lt;=Time!$F$11,M72*Inputs!$F$104/100*Construction!N11/Inputs!$F$248,0)</f>
        <v>0.225640630968887</v>
      </c>
      <c r="O71" s="13" t="n">
        <f aca="false">IF(Construction!O8&lt;=Time!$F$11,N72*Inputs!$F$104/100*Construction!O11/Inputs!$F$248,0)</f>
        <v>0.23831913697817</v>
      </c>
      <c r="P71" s="13" t="n">
        <f aca="false">IF(Construction!P8&lt;=Time!$F$11,O72*Inputs!$F$104/100*Construction!P11/Inputs!$F$248,0)</f>
        <v>0.230507203120586</v>
      </c>
      <c r="Q71" s="13" t="n">
        <f aca="false">IF(Construction!Q8&lt;=Time!$F$11,P72*Inputs!$F$104/100*Construction!Q11/Inputs!$F$248,0)</f>
        <v>0.27658323082317</v>
      </c>
      <c r="R71" s="13" t="n">
        <f aca="false">IF(Construction!R8&lt;=Time!$F$11,Q72*Inputs!$F$104/100*Construction!R11/Inputs!$F$248,0)</f>
        <v>0.293797272194109</v>
      </c>
      <c r="S71" s="13" t="n">
        <f aca="false">IF(Construction!S8&lt;=Time!$F$11,R72*Inputs!$F$104/100*Construction!S11/Inputs!$F$248,0)</f>
        <v>0.335975858930804</v>
      </c>
      <c r="T71" s="13" t="n">
        <f aca="false">IF(Construction!T8&lt;=Time!$F$11,S72*Inputs!$F$104/100*Construction!T11/Inputs!$F$248,0)</f>
        <v>0.361970411437214</v>
      </c>
      <c r="U71" s="13" t="n">
        <f aca="false">IF(Construction!U8&lt;=Time!$F$11,T72*Inputs!$F$104/100*Construction!U11/Inputs!$F$248,0)</f>
        <v>0.417299567157904</v>
      </c>
      <c r="V71" s="13" t="n">
        <f aca="false">IF(Construction!V8&lt;=Time!$F$11,U72*Inputs!$F$104/100*Construction!V11/Inputs!$F$248,0)</f>
        <v>0.465795709775806</v>
      </c>
      <c r="W71" s="13" t="n">
        <f aca="false">IF(Construction!W8&lt;=Time!$F$11,V72*Inputs!$F$104/100*Construction!W11/Inputs!$F$248,0)</f>
        <v>0.502152607166998</v>
      </c>
      <c r="X71" s="13" t="n">
        <f aca="false">IF(Construction!X8&lt;=Time!$F$11,W72*Inputs!$F$104/100*Construction!X11/Inputs!$F$248,0)</f>
        <v>0.575778896743047</v>
      </c>
      <c r="Y71" s="13" t="n">
        <f aca="false">IF(Construction!Y8&lt;=Time!$F$11,X72*Inputs!$F$104/100*Construction!Y11/Inputs!$F$248,0)</f>
        <v>0.615635822334495</v>
      </c>
      <c r="Z71" s="13" t="n">
        <f aca="false">IF(Construction!Z8&lt;=Time!$F$11,Y72*Inputs!$F$104/100*Construction!Z11/Inputs!$F$248,0)</f>
        <v>0.698785087150652</v>
      </c>
      <c r="AA71" s="13" t="n">
        <f aca="false">IF(Construction!AA8&lt;=Time!$F$11,Z72*Inputs!$F$104/100*Construction!AA11/Inputs!$F$248,0)</f>
        <v>0.763291217023028</v>
      </c>
      <c r="AB71" s="13" t="n">
        <f aca="false">IF(Construction!AB8&lt;=Time!$F$11,AA72*Inputs!$F$104/100*Construction!AB11/Inputs!$F$248,0)</f>
        <v>0.776932454458719</v>
      </c>
      <c r="AC71" s="13" t="n">
        <f aca="false">IF(Construction!AC8&lt;=Time!$F$11,AB72*Inputs!$F$104/100*Construction!AC11/Inputs!$F$248,0)</f>
        <v>0.895029512307985</v>
      </c>
      <c r="AD71" s="13" t="n">
        <f aca="false">IF(Construction!AD8&lt;=Time!$F$11,AC72*Inputs!$F$104/100*Construction!AD11/Inputs!$F$248,0)</f>
        <v>0.928172587239875</v>
      </c>
      <c r="AE71" s="13" t="n">
        <f aca="false">IF(Construction!AE8&lt;=Time!$F$11,AD72*Inputs!$F$104/100*Construction!AE11/Inputs!$F$248,0)</f>
        <v>1.02095467355545</v>
      </c>
      <c r="AF71" s="13" t="n">
        <f aca="false">IF(Construction!AF8&lt;=Time!$F$11,AE72*Inputs!$F$104/100*Construction!AF11/Inputs!$F$248,0)</f>
        <v>1.04561991852784</v>
      </c>
      <c r="AG71" s="13" t="n">
        <f aca="false">IF(Construction!AG8&lt;=Time!$F$11,AF72*Inputs!$F$104/100*Construction!AG11/Inputs!$F$248,0)</f>
        <v>1.13624417678165</v>
      </c>
      <c r="AH71" s="13" t="n">
        <f aca="false">IF(Construction!AH8&lt;=Time!$F$11,AG72*Inputs!$F$104/100*Construction!AH11/Inputs!$F$248,0)</f>
        <v>1.18847109146033</v>
      </c>
      <c r="AI71" s="13" t="n">
        <f aca="false">IF(Construction!AI8&lt;=Time!$F$11,AH72*Inputs!$F$104/100*Construction!AI11/Inputs!$F$248,0)</f>
        <v>1.19644807501967</v>
      </c>
      <c r="AJ71" s="13" t="n">
        <f aca="false">IF(Construction!AJ8&lt;=Time!$F$11,AI72*Inputs!$F$104/100*Construction!AJ11/Inputs!$F$248,0)</f>
        <v>1.27910887453076</v>
      </c>
      <c r="AK71" s="13" t="n">
        <f aca="false">IF(Construction!AK8&lt;=Time!$F$11,AJ72*Inputs!$F$104/100*Construction!AK11/Inputs!$F$248,0)</f>
        <v>1.27508679936643</v>
      </c>
      <c r="AL71" s="13" t="n">
        <f aca="false">IF(Construction!AL8&lt;=Time!$F$11,AK72*Inputs!$F$104/100*Construction!AL11/Inputs!$F$248,0)</f>
        <v>1.35098392693024</v>
      </c>
      <c r="AM71" s="13" t="n">
        <f aca="false">IF(Construction!AM8&lt;=Time!$F$11,AL72*Inputs!$F$104/100*Construction!AM11/Inputs!$F$248,0)</f>
        <v>1.38053616453428</v>
      </c>
      <c r="AN71" s="13" t="n">
        <f aca="false">IF(Construction!AN8&lt;=Time!$F$11,AM72*Inputs!$F$104/100*Construction!AN11/Inputs!$F$248,0)</f>
        <v>1.27024055198441</v>
      </c>
      <c r="AO71" s="13" t="n">
        <f aca="false">IF(Construction!AO8&lt;=Time!$F$11,AN72*Inputs!$F$104/100*Construction!AO11/Inputs!$F$248,0)</f>
        <v>1.42768235101562</v>
      </c>
      <c r="AP71" s="13" t="n">
        <f aca="false">IF(Construction!AP8&lt;=Time!$F$11,AO72*Inputs!$F$104/100*Construction!AP11/Inputs!$F$248,0)</f>
        <v>1.40173745148896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25.9511675164528</v>
      </c>
      <c r="L72" s="13" t="n">
        <f aca="false">K72+L71+L70</f>
        <v>26.8216453771133</v>
      </c>
      <c r="M72" s="13" t="n">
        <f aca="false">L72+M71+M70</f>
        <v>27.965646962188</v>
      </c>
      <c r="N72" s="13" t="n">
        <f aca="false">M72+N71+N70</f>
        <v>29.5370067901637</v>
      </c>
      <c r="O72" s="13" t="n">
        <f aca="false">N72+O71+O70</f>
        <v>31.6297477966218</v>
      </c>
      <c r="P72" s="13" t="n">
        <f aca="false">O72+P71+P70</f>
        <v>34.2794157047393</v>
      </c>
      <c r="Q72" s="13" t="n">
        <f aca="false">P72+Q71+Q70</f>
        <v>37.6266681932806</v>
      </c>
      <c r="R72" s="13" t="n">
        <f aca="false">Q72+R71+R70</f>
        <v>41.6404714803883</v>
      </c>
      <c r="S72" s="13" t="n">
        <f aca="false">R72+S71+S70</f>
        <v>46.3576140963449</v>
      </c>
      <c r="T72" s="13" t="n">
        <f aca="false">S72+T71+T70</f>
        <v>51.7196407513192</v>
      </c>
      <c r="U72" s="13" t="n">
        <f aca="false">T72+U71+U70</f>
        <v>57.7301983253546</v>
      </c>
      <c r="V72" s="13" t="n">
        <f aca="false">U72+V71+V70</f>
        <v>64.310772496826</v>
      </c>
      <c r="W72" s="13" t="n">
        <f aca="false">V72+W71+W70</f>
        <v>71.3613912771518</v>
      </c>
      <c r="X72" s="13" t="n">
        <f aca="false">W72+X71+X70</f>
        <v>78.8445877726634</v>
      </c>
      <c r="Y72" s="13" t="n">
        <f aca="false">X72+Y71+Y70</f>
        <v>86.6066406825086</v>
      </c>
      <c r="Z72" s="13" t="n">
        <f aca="false">Y72+Z71+Z70</f>
        <v>94.6014581369797</v>
      </c>
      <c r="AA72" s="13" t="n">
        <f aca="false">Z72+AA71+AA70</f>
        <v>102.932974910139</v>
      </c>
      <c r="AB72" s="13" t="n">
        <f aca="false">AA72+AB71+AB70</f>
        <v>110.928954836134</v>
      </c>
      <c r="AC72" s="13" t="n">
        <f aca="false">AB72+AC71+AC70</f>
        <v>118.871226085107</v>
      </c>
      <c r="AD72" s="13" t="n">
        <f aca="false">AC72+AD71+AD70</f>
        <v>126.535978216549</v>
      </c>
      <c r="AE72" s="13" t="n">
        <f aca="false">AD72+AE71+AE70</f>
        <v>133.912726407951</v>
      </c>
      <c r="AF72" s="13" t="n">
        <f aca="false">AE72+AF71+AF70</f>
        <v>140.824830059525</v>
      </c>
      <c r="AG72" s="13" t="n">
        <f aca="false">AF72+AG71+AG70</f>
        <v>147.297775342282</v>
      </c>
      <c r="AH72" s="13" t="n">
        <f aca="false">AG72+AH71+AH70</f>
        <v>153.22931487094</v>
      </c>
      <c r="AI72" s="13" t="n">
        <f aca="false">AH72+AI71+AI70</f>
        <v>158.531320612471</v>
      </c>
      <c r="AJ72" s="13" t="n">
        <f aca="false">AI72+AJ71+AJ70</f>
        <v>163.300590094297</v>
      </c>
      <c r="AK72" s="13" t="n">
        <f aca="false">AJ72+AK71+AK70</f>
        <v>167.439434067755</v>
      </c>
      <c r="AL72" s="13" t="n">
        <f aca="false">AK72+AL71+AL70</f>
        <v>171.102105281838</v>
      </c>
      <c r="AM72" s="13" t="n">
        <f aca="false">AL72+AM71+AM70</f>
        <v>174.299925366281</v>
      </c>
      <c r="AN72" s="13" t="n">
        <f aca="false">AM72+AN71+AN70</f>
        <v>176.945350804993</v>
      </c>
      <c r="AO72" s="13" t="n">
        <f aca="false">AN72+AO71+AO70</f>
        <v>179.520761331042</v>
      </c>
      <c r="AP72" s="13" t="n">
        <f aca="false">AO72+AP71+AP70</f>
        <v>192.181799702693</v>
      </c>
      <c r="AQ72" s="13" t="n">
        <f aca="false">AP72+AQ71+AQ70</f>
        <v>200.859767261172</v>
      </c>
      <c r="AR72" s="13" t="n">
        <f aca="false">AQ72+AR71+AR70</f>
        <v>201.631199065568</v>
      </c>
      <c r="AS72" s="13" t="n">
        <f aca="false">AR72+AS71+AS70</f>
        <v>201.631199065568</v>
      </c>
      <c r="AT72" s="13" t="n">
        <f aca="false">AS72+AT71+AT70</f>
        <v>201.631199065568</v>
      </c>
      <c r="AU72" s="13" t="n">
        <f aca="false">AT72+AU71+AU70</f>
        <v>201.631199065568</v>
      </c>
      <c r="AV72" s="13" t="n">
        <f aca="false">AU72+AV71+AV70</f>
        <v>201.631199065568</v>
      </c>
      <c r="AW72" s="13" t="n">
        <f aca="false">AV72+AW71+AW70</f>
        <v>201.631199065568</v>
      </c>
      <c r="AX72" s="13" t="n">
        <f aca="false">AW72+AX71+AX70</f>
        <v>201.631199065568</v>
      </c>
      <c r="AY72" s="13" t="n">
        <f aca="false">AX72+AY71+AY70</f>
        <v>201.631199065568</v>
      </c>
      <c r="AZ72" s="13" t="n">
        <f aca="false">AY72+AZ71+AZ70</f>
        <v>201.631199065568</v>
      </c>
      <c r="BA72" s="13" t="n">
        <f aca="false">AZ72+BA71+BA70</f>
        <v>201.631199065568</v>
      </c>
      <c r="BB72" s="13" t="n">
        <f aca="false">BA72+BB71+BB70</f>
        <v>201.631199065568</v>
      </c>
      <c r="BC72" s="13" t="n">
        <f aca="false">BB72+BC71+BC70</f>
        <v>201.631199065568</v>
      </c>
      <c r="BD72" s="13" t="n">
        <f aca="false">BC72+BD71+BD70</f>
        <v>201.631199065568</v>
      </c>
      <c r="BE72" s="13" t="n">
        <f aca="false">BD72+BE71+BE70</f>
        <v>201.631199065568</v>
      </c>
      <c r="BF72" s="13" t="n">
        <f aca="false">BE72+BF71+BF70</f>
        <v>201.631199065568</v>
      </c>
      <c r="BG72" s="13" t="n">
        <f aca="false">BF72+BG71+BG70</f>
        <v>201.631199065568</v>
      </c>
      <c r="BH72" s="13" t="n">
        <f aca="false">BG72+BH71+BH70</f>
        <v>201.631199065568</v>
      </c>
      <c r="BI72" s="13" t="n">
        <f aca="false">BH72+BI71+BI70</f>
        <v>201.631199065568</v>
      </c>
      <c r="BJ72" s="13" t="n">
        <f aca="false">BI72+BJ71+BJ70</f>
        <v>201.631199065568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633.161570316554</v>
      </c>
      <c r="J73" s="13" t="n">
        <f aca="false">J47+J55</f>
        <v>90.0478684951254</v>
      </c>
      <c r="K73" s="13" t="n">
        <f aca="false">K47+K55</f>
        <v>1.85063182924133</v>
      </c>
      <c r="L73" s="13" t="n">
        <f aca="false">L47+L55</f>
        <v>2.35897276882126</v>
      </c>
      <c r="M73" s="13" t="n">
        <f aca="false">M47+M55</f>
        <v>3.33483659591389</v>
      </c>
      <c r="N73" s="13" t="n">
        <f aca="false">N47+N55</f>
        <v>4.80193306562482</v>
      </c>
      <c r="O73" s="13" t="n">
        <f aca="false">O47+O55</f>
        <v>6.61713804223008</v>
      </c>
      <c r="P73" s="13" t="n">
        <f aca="false">P47+P55</f>
        <v>8.6322969949622</v>
      </c>
      <c r="Q73" s="13" t="n">
        <f aca="false">Q47+Q55</f>
        <v>10.9570765394677</v>
      </c>
      <c r="R73" s="13" t="n">
        <f aca="false">R47+R55</f>
        <v>13.2741064607449</v>
      </c>
      <c r="S73" s="13" t="n">
        <f aca="false">S47+S55</f>
        <v>15.6333279360003</v>
      </c>
      <c r="T73" s="13" t="n">
        <f aca="false">T47+T55</f>
        <v>17.8417127876513</v>
      </c>
      <c r="U73" s="13" t="n">
        <f aca="false">U47+U55</f>
        <v>19.95843607458</v>
      </c>
      <c r="V73" s="13" t="n">
        <f aca="false">V47+V55</f>
        <v>21.8193787749303</v>
      </c>
      <c r="W73" s="13" t="n">
        <f aca="false">W47+W55</f>
        <v>23.3669076847225</v>
      </c>
      <c r="X73" s="13" t="n">
        <f aca="false">X47+X55</f>
        <v>24.6477549249357</v>
      </c>
      <c r="Y73" s="13" t="n">
        <f aca="false">Y47+Y55</f>
        <v>25.5005773786923</v>
      </c>
      <c r="Z73" s="13" t="n">
        <f aca="false">Z47+Z55</f>
        <v>26.0344499435178</v>
      </c>
      <c r="AA73" s="13" t="n">
        <f aca="false">AA47+AA55</f>
        <v>27.0057175575334</v>
      </c>
      <c r="AB73" s="13" t="n">
        <f aca="false">AB47+AB55</f>
        <v>25.7597445536853</v>
      </c>
      <c r="AC73" s="13" t="n">
        <f aca="false">AC47+AC55</f>
        <v>25.1466897343896</v>
      </c>
      <c r="AD73" s="13" t="n">
        <f aca="false">AD47+AD55</f>
        <v>24.0381530816156</v>
      </c>
      <c r="AE73" s="13" t="n">
        <f aca="false">AE47+AE55</f>
        <v>22.6793933827458</v>
      </c>
      <c r="AF73" s="13" t="n">
        <f aca="false">AF47+AF55</f>
        <v>20.9333880941282</v>
      </c>
      <c r="AG73" s="13" t="n">
        <f aca="false">AG47+AG55</f>
        <v>19.042963464547</v>
      </c>
      <c r="AH73" s="13" t="n">
        <f aca="false">AH47+AH55</f>
        <v>16.9247025767038</v>
      </c>
      <c r="AI73" s="13" t="n">
        <f aca="false">AI47+AI55</f>
        <v>14.6498713516926</v>
      </c>
      <c r="AJ73" s="13" t="n">
        <f aca="false">AJ47+AJ55</f>
        <v>12.4539485368013</v>
      </c>
      <c r="AK73" s="13" t="n">
        <f aca="false">AK47+AK55</f>
        <v>10.218751650996</v>
      </c>
      <c r="AL73" s="13" t="n">
        <f aca="false">AL47+AL55</f>
        <v>8.24879933811996</v>
      </c>
      <c r="AM73" s="13" t="n">
        <f aca="false">AM47+AM55</f>
        <v>6.4846186069492</v>
      </c>
      <c r="AN73" s="13" t="n">
        <f aca="false">AN47+AN55</f>
        <v>4.90707555752293</v>
      </c>
      <c r="AO73" s="13" t="n">
        <f aca="false">AO47+AO55</f>
        <v>4.09544122302885</v>
      </c>
      <c r="AP73" s="13" t="n">
        <f aca="false">AP47+AP55</f>
        <v>40.1765907067417</v>
      </c>
      <c r="AQ73" s="13" t="n">
        <f aca="false">AQ47+AQ55</f>
        <v>30.9656126286703</v>
      </c>
      <c r="AR73" s="13" t="n">
        <f aca="false">AR47+AR55</f>
        <v>2.75270197352041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106.726371686729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1.07809105214853</v>
      </c>
      <c r="L74" s="13" t="n">
        <f aca="false">L33+L34+L35+L36+L37+L38+L39+L40+L41+L42+L43+L48+Construction!L14*Construction!L38</f>
        <v>1.13066210294845</v>
      </c>
      <c r="M74" s="13" t="n">
        <f aca="false">M33+M34+M35+M36+M37+M38+M39+M40+M41+M42+M43+M48+Construction!M14*Construction!M38</f>
        <v>1.14605773270798</v>
      </c>
      <c r="N74" s="13" t="n">
        <f aca="false">N33+N34+N35+N36+N37+N38+N39+N40+N41+N42+N43+N48+Construction!N14*Construction!N38</f>
        <v>1.23792026097425</v>
      </c>
      <c r="O74" s="13" t="n">
        <f aca="false">O33+O34+O35+O36+O37+O38+O39+O40+O41+O42+O43+O48+Construction!O14*Construction!O38</f>
        <v>1.32677114180717</v>
      </c>
      <c r="P74" s="13" t="n">
        <f aca="false">P33+P34+P35+P36+P37+P38+P39+P40+P41+P42+P43+P48+Construction!P14*Construction!P38</f>
        <v>1.33808857711742</v>
      </c>
      <c r="Q74" s="13" t="n">
        <f aca="false">Q33+Q34+Q35+Q36+Q37+Q38+Q39+Q40+Q41+Q42+Q43+Q48+Construction!Q14*Construction!Q38</f>
        <v>1.54610675797911</v>
      </c>
      <c r="R74" s="13" t="n">
        <f aca="false">R33+R34+R35+R36+R37+R38+R39+R40+R41+R42+R43+R48+Construction!R14*Construction!R38</f>
        <v>1.6465740548414</v>
      </c>
      <c r="S74" s="13" t="n">
        <f aca="false">S33+S34+S35+S36+S37+S38+S39+S40+S41+S42+S43+S48+Construction!S14*Construction!S38</f>
        <v>1.82318283591899</v>
      </c>
      <c r="T74" s="13" t="n">
        <f aca="false">T33+T34+T35+T36+T37+T38+T39+T40+T41+T42+T43+T48+Construction!T14*Construction!T38</f>
        <v>1.92350332752711</v>
      </c>
      <c r="U74" s="13" t="n">
        <f aca="false">U33+U34+U35+U36+U37+U38+U39+U40+U41+U42+U43+U48+Construction!U14*Construction!U38</f>
        <v>2.12390813499498</v>
      </c>
      <c r="V74" s="13" t="n">
        <f aca="false">V33+V34+V35+V36+V37+V38+V39+V40+V41+V42+V43+V48+Construction!V14*Construction!V38</f>
        <v>2.28812344750435</v>
      </c>
      <c r="W74" s="13" t="n">
        <f aca="false">W33+W34+W35+W36+W37+W38+W39+W40+W41+W42+W43+W48+Construction!W14*Construction!W38</f>
        <v>2.41129625117104</v>
      </c>
      <c r="X74" s="13" t="n">
        <f aca="false">X33+X34+X35+X36+X37+X38+X39+X40+X41+X42+X43+X48+Construction!X14*Construction!X38</f>
        <v>2.613420700669</v>
      </c>
      <c r="Y74" s="13" t="n">
        <f aca="false">Y33+Y34+Y35+Y36+Y37+Y38+Y39+Y40+Y41+Y42+Y43+Y48+Construction!Y14*Construction!Y38</f>
        <v>2.72239463898978</v>
      </c>
      <c r="Z74" s="13" t="n">
        <f aca="false">Z33+Z34+Z35+Z36+Z37+Z38+Z39+Z40+Z41+Z42+Z43+Z48+Construction!Z14*Construction!Z38</f>
        <v>2.91456673994102</v>
      </c>
      <c r="AA74" s="13" t="n">
        <f aca="false">AA33+AA34+AA35+AA36+AA37+AA38+AA39+AA40+AA41+AA42+AA43+AA48+Construction!AA14*Construction!AA38</f>
        <v>3.08307583997629</v>
      </c>
      <c r="AB74" s="13" t="n">
        <f aca="false">AB33+AB34+AB35+AB36+AB37+AB38+AB39+AB40+AB41+AB42+AB43+AB48+Construction!AB14*Construction!AB38</f>
        <v>3.07234979401491</v>
      </c>
      <c r="AC74" s="13" t="n">
        <f aca="false">AC33+AC34+AC35+AC36+AC37+AC38+AC39+AC40+AC41+AC42+AC43+AC48+Construction!AC14*Construction!AC38</f>
        <v>3.28713568249344</v>
      </c>
      <c r="AD74" s="13" t="n">
        <f aca="false">AD33+AD34+AD35+AD36+AD37+AD38+AD39+AD40+AD41+AD42+AD43+AD48+Construction!AD14*Construction!AD38</f>
        <v>3.31768336186898</v>
      </c>
      <c r="AE74" s="13" t="n">
        <f aca="false">AE33+AE34+AE35+AE36+AE37+AE38+AE39+AE40+AE41+AE42+AE43+AE48+Construction!AE14*Construction!AE38</f>
        <v>3.44940687550825</v>
      </c>
      <c r="AF74" s="13" t="n">
        <f aca="false">AF33+AF34+AF35+AF36+AF37+AF38+AF39+AF40+AF41+AF42+AF43+AF48+Construction!AF14*Construction!AF38</f>
        <v>3.44039231225354</v>
      </c>
      <c r="AG74" s="13" t="n">
        <f aca="false">AG33+AG34+AG35+AG36+AG37+AG38+AG39+AG40+AG41+AG42+AG43+AG48+Construction!AG14*Construction!AG38</f>
        <v>3.54556008247089</v>
      </c>
      <c r="AH74" s="13" t="n">
        <f aca="false">AH33+AH34+AH35+AH36+AH37+AH38+AH39+AH40+AH41+AH42+AH43+AH48+Construction!AH14*Construction!AH38</f>
        <v>3.56693457683728</v>
      </c>
      <c r="AI74" s="13" t="n">
        <f aca="false">AI33+AI34+AI35+AI36+AI37+AI38+AI39+AI40+AI41+AI42+AI43+AI48+Construction!AI14*Construction!AI38</f>
        <v>3.50427851028696</v>
      </c>
      <c r="AJ74" s="13" t="n">
        <f aca="false">AJ33+AJ34+AJ35+AJ36+AJ37+AJ38+AJ39+AJ40+AJ41+AJ42+AJ43+AJ48+Construction!AJ14*Construction!AJ38</f>
        <v>3.56734294228302</v>
      </c>
      <c r="AK74" s="13" t="n">
        <f aca="false">AK33+AK34+AK35+AK36+AK37+AK38+AK39+AK40+AK41+AK42+AK43+AK48+Construction!AK14*Construction!AK38</f>
        <v>3.48028881951949</v>
      </c>
      <c r="AL74" s="13" t="n">
        <f aca="false">AL33+AL34+AL35+AL36+AL37+AL38+AL39+AL40+AL41+AL42+AL43+AL48+Construction!AL14*Construction!AL38</f>
        <v>3.53001420978865</v>
      </c>
      <c r="AM74" s="13" t="n">
        <f aca="false">AM33+AM34+AM35+AM36+AM37+AM38+AM39+AM40+AM41+AM42+AM43+AM48+Construction!AM14*Construction!AM38</f>
        <v>3.51006170592631</v>
      </c>
      <c r="AN74" s="13" t="n">
        <f aca="false">AN33+AN34+AN35+AN36+AN37+AN38+AN39+AN40+AN41+AN42+AN43+AN48+Construction!AN14*Construction!AN38</f>
        <v>3.26906242865886</v>
      </c>
      <c r="AO74" s="13" t="n">
        <f aca="false">AO33+AO34+AO35+AO36+AO37+AO38+AO39+AO40+AO41+AO42+AO43+AO48+Construction!AO14*Construction!AO38</f>
        <v>3.47542697182083</v>
      </c>
      <c r="AP74" s="13" t="n">
        <f aca="false">AP33+AP34+AP35+AP36+AP37+AP38+AP39+AP40+AP41+AP42+AP43+AP48+Construction!AP14*Construction!AP38</f>
        <v>4.59188747785388</v>
      </c>
      <c r="AQ74" s="13" t="n">
        <f aca="false">AQ33+AQ34+AQ35+AQ36+AQ37+AQ38+AQ39+AQ40+AQ41+AQ42+AQ43+AQ48+Construction!AQ14*Construction!AQ38</f>
        <v>4.56717663967336</v>
      </c>
      <c r="AR74" s="13" t="n">
        <f aca="false">AR33+AR34+AR35+AR36+AR37+AR38+AR39+AR40+AR41+AR42+AR43+AR48+Construction!AR14*Construction!AR38</f>
        <v>3.71699172901571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854.962267123825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836.557013306481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189.948471094966</v>
      </c>
      <c r="Q21" s="13" t="n">
        <f aca="false">Time!Q35*P33</f>
        <v>185.302249412531</v>
      </c>
      <c r="R21" s="13" t="n">
        <f aca="false">Time!R35*Q33</f>
        <v>180.459391590151</v>
      </c>
      <c r="S21" s="13" t="n">
        <f aca="false">Time!S35*R33</f>
        <v>175.377980831576</v>
      </c>
      <c r="T21" s="13" t="n">
        <f aca="false">Time!T35*S33</f>
        <v>170.146829118515</v>
      </c>
      <c r="U21" s="13" t="n">
        <f aca="false">Time!U35*T33</f>
        <v>164.67504630123</v>
      </c>
      <c r="V21" s="13" t="n">
        <f aca="false">Time!V35*U33</f>
        <v>159.028758697282</v>
      </c>
      <c r="W21" s="13" t="n">
        <f aca="false">Time!W35*V33</f>
        <v>153.013603113399</v>
      </c>
      <c r="X21" s="13" t="n">
        <f aca="false">Time!X35*W33</f>
        <v>146.814567915003</v>
      </c>
      <c r="Y21" s="13" t="n">
        <f aca="false">Time!Y35*X33</f>
        <v>140.787603882578</v>
      </c>
      <c r="Z21" s="13" t="n">
        <f aca="false">Time!Z35*Y33</f>
        <v>134.757803865391</v>
      </c>
      <c r="AA21" s="13" t="n">
        <f aca="false">Time!AA35*Z33</f>
        <v>128.478201564896</v>
      </c>
      <c r="AB21" s="13" t="n">
        <f aca="false">Time!AB35*AA33</f>
        <v>122.01534472548</v>
      </c>
      <c r="AC21" s="13" t="n">
        <f aca="false">Time!AC35*AB33</f>
        <v>115.243729500639</v>
      </c>
      <c r="AD21" s="13" t="n">
        <f aca="false">Time!AD35*AC33</f>
        <v>108.247781117061</v>
      </c>
      <c r="AE21" s="13" t="n">
        <f aca="false">Time!AE35*AD33</f>
        <v>100.608716006266</v>
      </c>
      <c r="AF21" s="13" t="n">
        <f aca="false">Time!AF35*AE33</f>
        <v>92.6413197568378</v>
      </c>
      <c r="AG21" s="13" t="n">
        <f aca="false">Time!AG35*AF33</f>
        <v>84.3944130093353</v>
      </c>
      <c r="AH21" s="13" t="n">
        <f aca="false">Time!AH35*AG33</f>
        <v>75.9935924581164</v>
      </c>
      <c r="AI21" s="13" t="n">
        <f aca="false">Time!AI35*AH33</f>
        <v>67.1710377747001</v>
      </c>
      <c r="AJ21" s="13" t="n">
        <f aca="false">Time!AJ35*AI33</f>
        <v>58.0894306405751</v>
      </c>
      <c r="AK21" s="13" t="n">
        <f aca="false">Time!AK35*AJ33</f>
        <v>48.5693847345366</v>
      </c>
      <c r="AL21" s="13" t="n">
        <f aca="false">Time!AL35*AK33</f>
        <v>38.7411918002964</v>
      </c>
      <c r="AM21" s="13" t="n">
        <f aca="false">Time!AM35*AL33</f>
        <v>28.319977915125</v>
      </c>
      <c r="AN21" s="13" t="n">
        <f aca="false">Time!AN35*AM33</f>
        <v>17.6821594453855</v>
      </c>
      <c r="AO21" s="13" t="n">
        <f aca="false">Time!AO35*AN33</f>
        <v>8.90608549262328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65.6218797589425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4.3105639707151</v>
      </c>
      <c r="Q23" s="13" t="n">
        <f aca="false">Q21*Q10</f>
        <v>4.15519705168777</v>
      </c>
      <c r="R23" s="13" t="n">
        <f aca="false">R21*R10</f>
        <v>4.11367208651505</v>
      </c>
      <c r="S23" s="13" t="n">
        <f aca="false">S21*S10</f>
        <v>3.94147397087232</v>
      </c>
      <c r="T23" s="13" t="n">
        <f aca="false">T21*T10</f>
        <v>3.887287889261</v>
      </c>
      <c r="U23" s="13" t="n">
        <f aca="false">U21*U10</f>
        <v>3.72138158799729</v>
      </c>
      <c r="V23" s="13" t="n">
        <f aca="false">V21*V10</f>
        <v>3.63327704037057</v>
      </c>
      <c r="W23" s="13" t="n">
        <f aca="false">W21*W10</f>
        <v>3.43885321863771</v>
      </c>
      <c r="X23" s="13" t="n">
        <f aca="false">X21*X10</f>
        <v>3.35422349496476</v>
      </c>
      <c r="Y23" s="13" t="n">
        <f aca="false">Y21*Y10</f>
        <v>3.1640840742577</v>
      </c>
      <c r="Z23" s="13" t="n">
        <f aca="false">Z21*Z10</f>
        <v>3.07876662564464</v>
      </c>
      <c r="AA23" s="13" t="n">
        <f aca="false">AA21*AA10</f>
        <v>2.88744051500307</v>
      </c>
      <c r="AB23" s="13" t="n">
        <f aca="false">AB21*AB10</f>
        <v>2.78764390916146</v>
      </c>
      <c r="AC23" s="13" t="n">
        <f aca="false">AC21*AC10</f>
        <v>2.60431621383195</v>
      </c>
      <c r="AD23" s="13" t="n">
        <f aca="false">AD21*AD10</f>
        <v>2.47310097258778</v>
      </c>
      <c r="AE23" s="13" t="n">
        <f aca="false">AE21*AE10</f>
        <v>2.26109705164416</v>
      </c>
      <c r="AF23" s="13" t="n">
        <f aca="false">AF21*AF10</f>
        <v>2.11654535204455</v>
      </c>
      <c r="AG23" s="13" t="n">
        <f aca="false">AG21*AG10</f>
        <v>1.8966941037073</v>
      </c>
      <c r="AH23" s="13" t="n">
        <f aca="false">AH21*AH10</f>
        <v>1.7362002756931</v>
      </c>
      <c r="AI23" s="13" t="n">
        <f aca="false">AI21*AI10</f>
        <v>1.50961309812157</v>
      </c>
      <c r="AJ23" s="13" t="n">
        <f aca="false">AJ21*AJ10</f>
        <v>1.32714985870167</v>
      </c>
      <c r="AK23" s="13" t="n">
        <f aca="false">AK21*AK10</f>
        <v>1.09758714602597</v>
      </c>
      <c r="AL23" s="13" t="n">
        <f aca="false">AL21*AL10</f>
        <v>0.885107095330773</v>
      </c>
      <c r="AM23" s="13" t="n">
        <f aca="false">AM21*AM10</f>
        <v>0.63646790366084</v>
      </c>
      <c r="AN23" s="13" t="n">
        <f aca="false">AN21*AN10</f>
        <v>0.403978402795575</v>
      </c>
      <c r="AO23" s="13" t="n">
        <f aca="false">AO21*AO10</f>
        <v>0.200156849708798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189.948471094966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4.64622168243502</v>
      </c>
      <c r="Q24" s="13" t="n">
        <f aca="false">Time!Q35*(Q21-Q22)*Q19</f>
        <v>4.84285782237969</v>
      </c>
      <c r="R24" s="13" t="n">
        <f aca="false">Time!R35*(R21-R22)*R19</f>
        <v>5.08141075857495</v>
      </c>
      <c r="S24" s="13" t="n">
        <f aca="false">Time!S35*(S21-S22)*S19</f>
        <v>5.23115171306168</v>
      </c>
      <c r="T24" s="13" t="n">
        <f aca="false">Time!T35*(T21-T22)*T19</f>
        <v>5.47178281728495</v>
      </c>
      <c r="U24" s="13" t="n">
        <f aca="false">Time!U35*(U21-U22)*U19</f>
        <v>5.64628760394757</v>
      </c>
      <c r="V24" s="13" t="n">
        <f aca="false">Time!V35*(V21-V22)*V19</f>
        <v>6.01515558388331</v>
      </c>
      <c r="W24" s="13" t="n">
        <f aca="false">Time!W35*(W21-W22)*W19</f>
        <v>6.19903519839635</v>
      </c>
      <c r="X24" s="13" t="n">
        <f aca="false">Time!X35*(X21-X22)*X19</f>
        <v>6.02696403242462</v>
      </c>
      <c r="Y24" s="13" t="n">
        <f aca="false">Time!Y35*(Y21-Y22)*Y19</f>
        <v>6.02980001718662</v>
      </c>
      <c r="Z24" s="13" t="n">
        <f aca="false">Time!Z35*(Z21-Z22)*Z19</f>
        <v>6.27960230049521</v>
      </c>
      <c r="AA24" s="13" t="n">
        <f aca="false">Time!AA35*(AA21-AA22)*AA19</f>
        <v>6.46285683941649</v>
      </c>
      <c r="AB24" s="13" t="n">
        <f aca="false">Time!AB35*(AB21-AB22)*AB19</f>
        <v>6.77161522484016</v>
      </c>
      <c r="AC24" s="13" t="n">
        <f aca="false">Time!AC35*(AC21-AC22)*AC19</f>
        <v>6.99594838357867</v>
      </c>
      <c r="AD24" s="13" t="n">
        <f aca="false">Time!AD35*(AD21-AD22)*AD19</f>
        <v>7.63906511079443</v>
      </c>
      <c r="AE24" s="13" t="n">
        <f aca="false">Time!AE35*(AE21-AE22)*AE19</f>
        <v>7.96739624942855</v>
      </c>
      <c r="AF24" s="13" t="n">
        <f aca="false">Time!AF35*(AF21-AF22)*AF19</f>
        <v>8.24690674750251</v>
      </c>
      <c r="AG24" s="13" t="n">
        <f aca="false">Time!AG35*(AG21-AG22)*AG19</f>
        <v>8.40082055121885</v>
      </c>
      <c r="AH24" s="13" t="n">
        <f aca="false">Time!AH35*(AH21-AH22)*AH19</f>
        <v>8.82255468341632</v>
      </c>
      <c r="AI24" s="13" t="n">
        <f aca="false">Time!AI35*(AI21-AI22)*AI19</f>
        <v>9.08160713412503</v>
      </c>
      <c r="AJ24" s="13" t="n">
        <f aca="false">Time!AJ35*(AJ21-AJ22)*AJ19</f>
        <v>9.52004590603848</v>
      </c>
      <c r="AK24" s="13" t="n">
        <f aca="false">Time!AK35*(AK21-AK22)*AK19</f>
        <v>9.82819293424018</v>
      </c>
      <c r="AL24" s="13" t="n">
        <f aca="false">Time!AL35*(AL21-AL22)*AL19</f>
        <v>10.4212138851714</v>
      </c>
      <c r="AM24" s="13" t="n">
        <f aca="false">Time!AM35*(AM21-AM22)*AM19</f>
        <v>10.6378184697395</v>
      </c>
      <c r="AN24" s="13" t="n">
        <f aca="false">Time!AN35*(AN21-AN22)*AN19</f>
        <v>8.77607395276227</v>
      </c>
      <c r="AO24" s="13" t="n">
        <f aca="false">Time!AO35*(AO21-AO22)*AO19</f>
        <v>8.90608549262328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189.948471094966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4.64622168243502</v>
      </c>
      <c r="Q27" s="13" t="n">
        <f aca="false">Q24-Q25+Q26</f>
        <v>4.84285782237969</v>
      </c>
      <c r="R27" s="13" t="n">
        <f aca="false">R24-R25+R26</f>
        <v>5.08141075857495</v>
      </c>
      <c r="S27" s="13" t="n">
        <f aca="false">S24-S25+S26</f>
        <v>5.23115171306168</v>
      </c>
      <c r="T27" s="13" t="n">
        <f aca="false">T24-T25+T26</f>
        <v>5.47178281728495</v>
      </c>
      <c r="U27" s="13" t="n">
        <f aca="false">U24-U25+U26</f>
        <v>5.64628760394757</v>
      </c>
      <c r="V27" s="13" t="n">
        <f aca="false">V24-V25+V26</f>
        <v>6.01515558388331</v>
      </c>
      <c r="W27" s="13" t="n">
        <f aca="false">W24-W25+W26</f>
        <v>6.19903519839635</v>
      </c>
      <c r="X27" s="13" t="n">
        <f aca="false">X24-X25+X26</f>
        <v>6.02696403242462</v>
      </c>
      <c r="Y27" s="13" t="n">
        <f aca="false">Y24-Y25+Y26</f>
        <v>6.02980001718662</v>
      </c>
      <c r="Z27" s="13" t="n">
        <f aca="false">Z24-Z25+Z26</f>
        <v>6.27960230049521</v>
      </c>
      <c r="AA27" s="13" t="n">
        <f aca="false">AA24-AA25+AA26</f>
        <v>6.46285683941649</v>
      </c>
      <c r="AB27" s="13" t="n">
        <f aca="false">AB24-AB25+AB26</f>
        <v>6.77161522484016</v>
      </c>
      <c r="AC27" s="13" t="n">
        <f aca="false">AC24-AC25+AC26</f>
        <v>6.99594838357867</v>
      </c>
      <c r="AD27" s="13" t="n">
        <f aca="false">AD24-AD25+AD26</f>
        <v>7.63906511079443</v>
      </c>
      <c r="AE27" s="13" t="n">
        <f aca="false">AE24-AE25+AE26</f>
        <v>7.96739624942855</v>
      </c>
      <c r="AF27" s="13" t="n">
        <f aca="false">AF24-AF25+AF26</f>
        <v>8.24690674750251</v>
      </c>
      <c r="AG27" s="13" t="n">
        <f aca="false">AG24-AG25+AG26</f>
        <v>8.40082055121885</v>
      </c>
      <c r="AH27" s="13" t="n">
        <f aca="false">AH24-AH25+AH26</f>
        <v>8.82255468341632</v>
      </c>
      <c r="AI27" s="13" t="n">
        <f aca="false">AI24-AI25+AI26</f>
        <v>9.08160713412503</v>
      </c>
      <c r="AJ27" s="13" t="n">
        <f aca="false">AJ24-AJ25+AJ26</f>
        <v>9.52004590603848</v>
      </c>
      <c r="AK27" s="13" t="n">
        <f aca="false">AK24-AK25+AK26</f>
        <v>9.82819293424018</v>
      </c>
      <c r="AL27" s="13" t="n">
        <f aca="false">AL24-AL25+AL26</f>
        <v>10.4212138851714</v>
      </c>
      <c r="AM27" s="13" t="n">
        <f aca="false">AM24-AM25+AM26</f>
        <v>10.6378184697395</v>
      </c>
      <c r="AN27" s="13" t="n">
        <f aca="false">AN24-AN25+AN26</f>
        <v>8.77607395276227</v>
      </c>
      <c r="AO27" s="13" t="n">
        <f aca="false">AO24-AO25+AO26</f>
        <v>8.90608549262328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185.302249412531</v>
      </c>
      <c r="Q31" s="13" t="n">
        <f aca="false">Q21-Q27-Q28-Q29</f>
        <v>180.459391590151</v>
      </c>
      <c r="R31" s="13" t="n">
        <f aca="false">R21-R27-R28-R29</f>
        <v>175.377980831576</v>
      </c>
      <c r="S31" s="13" t="n">
        <f aca="false">S21-S27-S28-S29</f>
        <v>170.146829118515</v>
      </c>
      <c r="T31" s="13" t="n">
        <f aca="false">T21-T27-T28-T29</f>
        <v>164.67504630123</v>
      </c>
      <c r="U31" s="13" t="n">
        <f aca="false">U21-U27-U28-U29</f>
        <v>159.028758697282</v>
      </c>
      <c r="V31" s="13" t="n">
        <f aca="false">V21-V27-V28-V29</f>
        <v>153.013603113399</v>
      </c>
      <c r="W31" s="13" t="n">
        <f aca="false">W21-W27-W28-W29</f>
        <v>146.814567915003</v>
      </c>
      <c r="X31" s="13" t="n">
        <f aca="false">X21-X27-X28-X29</f>
        <v>140.787603882578</v>
      </c>
      <c r="Y31" s="13" t="n">
        <f aca="false">Y21-Y27-Y28-Y29</f>
        <v>134.757803865391</v>
      </c>
      <c r="Z31" s="13" t="n">
        <f aca="false">Z21-Z27-Z28-Z29</f>
        <v>128.478201564896</v>
      </c>
      <c r="AA31" s="13" t="n">
        <f aca="false">AA21-AA27-AA28-AA29</f>
        <v>122.01534472548</v>
      </c>
      <c r="AB31" s="13" t="n">
        <f aca="false">AB21-AB27-AB28-AB29</f>
        <v>115.243729500639</v>
      </c>
      <c r="AC31" s="13" t="n">
        <f aca="false">AC21-AC27-AC28-AC29</f>
        <v>108.247781117061</v>
      </c>
      <c r="AD31" s="13" t="n">
        <f aca="false">AD21-AD27-AD28-AD29</f>
        <v>100.608716006266</v>
      </c>
      <c r="AE31" s="13" t="n">
        <f aca="false">AE21-AE27-AE28-AE29</f>
        <v>92.6413197568378</v>
      </c>
      <c r="AF31" s="13" t="n">
        <f aca="false">AF21-AF27-AF28-AF29</f>
        <v>84.3944130093353</v>
      </c>
      <c r="AG31" s="13" t="n">
        <f aca="false">AG21-AG27-AG28-AG29</f>
        <v>75.9935924581164</v>
      </c>
      <c r="AH31" s="13" t="n">
        <f aca="false">AH21-AH27-AH28-AH29</f>
        <v>67.1710377747001</v>
      </c>
      <c r="AI31" s="13" t="n">
        <f aca="false">AI21-AI27-AI28-AI29</f>
        <v>58.0894306405751</v>
      </c>
      <c r="AJ31" s="13" t="n">
        <f aca="false">AJ21-AJ27-AJ28-AJ29</f>
        <v>48.5693847345366</v>
      </c>
      <c r="AK31" s="13" t="n">
        <f aca="false">AK21-AK27-AK28-AK29</f>
        <v>38.7411918002964</v>
      </c>
      <c r="AL31" s="13" t="n">
        <f aca="false">AL21-AL27-AL28-AL29</f>
        <v>28.319977915125</v>
      </c>
      <c r="AM31" s="13" t="n">
        <f aca="false">AM21-AM27-AM28-AM29</f>
        <v>17.6821594453855</v>
      </c>
      <c r="AN31" s="13" t="n">
        <f aca="false">AN21-AN27-AN28-AN29</f>
        <v>8.90608549262328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189.948471094966</v>
      </c>
      <c r="P33" s="13" t="n">
        <f aca="false">IF(Time!P34=1,INDEX(Funding!$J$61:$BJ$61,1,Time!$F$14),Time!P35*(P31-P32))</f>
        <v>185.302249412531</v>
      </c>
      <c r="Q33" s="13" t="n">
        <f aca="false">IF(Time!Q34=1,INDEX(Funding!$J$61:$BJ$61,1,Time!$F$14),Time!Q35*(Q31-Q32))</f>
        <v>180.459391590151</v>
      </c>
      <c r="R33" s="13" t="n">
        <f aca="false">IF(Time!R34=1,INDEX(Funding!$J$61:$BJ$61,1,Time!$F$14),Time!R35*(R31-R32))</f>
        <v>175.377980831576</v>
      </c>
      <c r="S33" s="13" t="n">
        <f aca="false">IF(Time!S34=1,INDEX(Funding!$J$61:$BJ$61,1,Time!$F$14),Time!S35*(S31-S32))</f>
        <v>170.146829118515</v>
      </c>
      <c r="T33" s="13" t="n">
        <f aca="false">IF(Time!T34=1,INDEX(Funding!$J$61:$BJ$61,1,Time!$F$14),Time!T35*(T31-T32))</f>
        <v>164.67504630123</v>
      </c>
      <c r="U33" s="13" t="n">
        <f aca="false">IF(Time!U34=1,INDEX(Funding!$J$61:$BJ$61,1,Time!$F$14),Time!U35*(U31-U32))</f>
        <v>159.028758697282</v>
      </c>
      <c r="V33" s="13" t="n">
        <f aca="false">IF(Time!V34=1,INDEX(Funding!$J$61:$BJ$61,1,Time!$F$14),Time!V35*(V31-V32))</f>
        <v>153.013603113399</v>
      </c>
      <c r="W33" s="13" t="n">
        <f aca="false">IF(Time!W34=1,INDEX(Funding!$J$61:$BJ$61,1,Time!$F$14),Time!W35*(W31-W32))</f>
        <v>146.814567915003</v>
      </c>
      <c r="X33" s="13" t="n">
        <f aca="false">IF(Time!X34=1,INDEX(Funding!$J$61:$BJ$61,1,Time!$F$14),Time!X35*(X31-X32))</f>
        <v>140.787603882578</v>
      </c>
      <c r="Y33" s="13" t="n">
        <f aca="false">IF(Time!Y34=1,INDEX(Funding!$J$61:$BJ$61,1,Time!$F$14),Time!Y35*(Y31-Y32))</f>
        <v>134.757803865391</v>
      </c>
      <c r="Z33" s="13" t="n">
        <f aca="false">IF(Time!Z34=1,INDEX(Funding!$J$61:$BJ$61,1,Time!$F$14),Time!Z35*(Z31-Z32))</f>
        <v>128.478201564896</v>
      </c>
      <c r="AA33" s="13" t="n">
        <f aca="false">IF(Time!AA34=1,INDEX(Funding!$J$61:$BJ$61,1,Time!$F$14),Time!AA35*(AA31-AA32))</f>
        <v>122.01534472548</v>
      </c>
      <c r="AB33" s="13" t="n">
        <f aca="false">IF(Time!AB34=1,INDEX(Funding!$J$61:$BJ$61,1,Time!$F$14),Time!AB35*(AB31-AB32))</f>
        <v>115.243729500639</v>
      </c>
      <c r="AC33" s="13" t="n">
        <f aca="false">IF(Time!AC34=1,INDEX(Funding!$J$61:$BJ$61,1,Time!$F$14),Time!AC35*(AC31-AC32))</f>
        <v>108.247781117061</v>
      </c>
      <c r="AD33" s="13" t="n">
        <f aca="false">IF(Time!AD34=1,INDEX(Funding!$J$61:$BJ$61,1,Time!$F$14),Time!AD35*(AD31-AD32))</f>
        <v>100.608716006266</v>
      </c>
      <c r="AE33" s="13" t="n">
        <f aca="false">IF(Time!AE34=1,INDEX(Funding!$J$61:$BJ$61,1,Time!$F$14),Time!AE35*(AE31-AE32))</f>
        <v>92.6413197568378</v>
      </c>
      <c r="AF33" s="13" t="n">
        <f aca="false">IF(Time!AF34=1,INDEX(Funding!$J$61:$BJ$61,1,Time!$F$14),Time!AF35*(AF31-AF32))</f>
        <v>84.3944130093353</v>
      </c>
      <c r="AG33" s="13" t="n">
        <f aca="false">IF(Time!AG34=1,INDEX(Funding!$J$61:$BJ$61,1,Time!$F$14),Time!AG35*(AG31-AG32))</f>
        <v>75.9935924581164</v>
      </c>
      <c r="AH33" s="13" t="n">
        <f aca="false">IF(Time!AH34=1,INDEX(Funding!$J$61:$BJ$61,1,Time!$F$14),Time!AH35*(AH31-AH32))</f>
        <v>67.1710377747001</v>
      </c>
      <c r="AI33" s="13" t="n">
        <f aca="false">IF(Time!AI34=1,INDEX(Funding!$J$61:$BJ$61,1,Time!$F$14),Time!AI35*(AI31-AI32))</f>
        <v>58.0894306405751</v>
      </c>
      <c r="AJ33" s="13" t="n">
        <f aca="false">IF(Time!AJ34=1,INDEX(Funding!$J$61:$BJ$61,1,Time!$F$14),Time!AJ35*(AJ31-AJ32))</f>
        <v>48.5693847345366</v>
      </c>
      <c r="AK33" s="13" t="n">
        <f aca="false">IF(Time!AK34=1,INDEX(Funding!$J$61:$BJ$61,1,Time!$F$14),Time!AK35*(AK31-AK32))</f>
        <v>38.7411918002964</v>
      </c>
      <c r="AL33" s="13" t="n">
        <f aca="false">IF(Time!AL34=1,INDEX(Funding!$J$61:$BJ$61,1,Time!$F$14),Time!AL35*(AL31-AL32))</f>
        <v>28.319977915125</v>
      </c>
      <c r="AM33" s="13" t="n">
        <f aca="false">IF(Time!AM34=1,INDEX(Funding!$J$61:$BJ$61,1,Time!$F$14),Time!AM35*(AM31-AM32))</f>
        <v>17.6821594453855</v>
      </c>
      <c r="AN33" s="13" t="n">
        <f aca="false">IF(Time!AN34=1,INDEX(Funding!$J$61:$BJ$61,1,Time!$F$14),Time!AN35*(AN31-AN32))</f>
        <v>8.90608549262328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139.295545469642</v>
      </c>
      <c r="Q35" s="13" t="n">
        <f aca="false">Time!Q35*P47</f>
        <v>135.888316235856</v>
      </c>
      <c r="R35" s="13" t="n">
        <f aca="false">Time!R35*Q47</f>
        <v>132.336887166111</v>
      </c>
      <c r="S35" s="13" t="n">
        <f aca="false">Time!S35*R47</f>
        <v>128.610519276489</v>
      </c>
      <c r="T35" s="13" t="n">
        <f aca="false">Time!T35*S47</f>
        <v>124.774341353578</v>
      </c>
      <c r="U35" s="13" t="n">
        <f aca="false">Time!U35*T47</f>
        <v>120.761700620902</v>
      </c>
      <c r="V35" s="13" t="n">
        <f aca="false">Time!V35*U47</f>
        <v>116.62108971134</v>
      </c>
      <c r="W35" s="13" t="n">
        <f aca="false">Time!W35*V47</f>
        <v>112.209975616493</v>
      </c>
      <c r="X35" s="13" t="n">
        <f aca="false">Time!X35*W47</f>
        <v>107.664016471002</v>
      </c>
      <c r="Y35" s="13" t="n">
        <f aca="false">Time!Y35*X47</f>
        <v>103.244242847224</v>
      </c>
      <c r="Z35" s="13" t="n">
        <f aca="false">Time!Z35*Y47</f>
        <v>98.822389501287</v>
      </c>
      <c r="AA35" s="13" t="n">
        <f aca="false">Time!AA35*Z47</f>
        <v>94.2173478142572</v>
      </c>
      <c r="AB35" s="13" t="n">
        <f aca="false">Time!AB35*AA47</f>
        <v>89.4779194653518</v>
      </c>
      <c r="AC35" s="13" t="n">
        <f aca="false">Time!AC35*AB47</f>
        <v>84.512068300469</v>
      </c>
      <c r="AD35" s="13" t="n">
        <f aca="false">Time!AD35*AC47</f>
        <v>79.3817061525113</v>
      </c>
      <c r="AE35" s="13" t="n">
        <f aca="false">Time!AE35*AD47</f>
        <v>73.779725071262</v>
      </c>
      <c r="AF35" s="13" t="n">
        <f aca="false">Time!AF35*AE47</f>
        <v>67.9369678216811</v>
      </c>
      <c r="AG35" s="13" t="n">
        <f aca="false">Time!AG35*AF47</f>
        <v>61.8892362068459</v>
      </c>
      <c r="AH35" s="13" t="n">
        <f aca="false">Time!AH35*AG47</f>
        <v>55.7286344692854</v>
      </c>
      <c r="AI35" s="13" t="n">
        <f aca="false">Time!AI35*AH47</f>
        <v>49.2587610347801</v>
      </c>
      <c r="AJ35" s="13" t="n">
        <f aca="false">Time!AJ35*AI47</f>
        <v>42.5989158030884</v>
      </c>
      <c r="AK35" s="13" t="n">
        <f aca="false">Time!AK35*AJ47</f>
        <v>35.6175488053269</v>
      </c>
      <c r="AL35" s="13" t="n">
        <f aca="false">Time!AL35*AK47</f>
        <v>28.4102073202174</v>
      </c>
      <c r="AM35" s="13" t="n">
        <f aca="false">Time!AM35*AL47</f>
        <v>20.767983804425</v>
      </c>
      <c r="AN35" s="13" t="n">
        <f aca="false">Time!AN35*AM47</f>
        <v>12.9669169266161</v>
      </c>
      <c r="AO35" s="13" t="n">
        <f aca="false">Time!AO35*AN47</f>
        <v>6.53112936125707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72.9018243510349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4.79857676860086</v>
      </c>
      <c r="Q37" s="13" t="n">
        <f aca="false">Q35*Q11</f>
        <v>4.61854189482067</v>
      </c>
      <c r="R37" s="13" t="n">
        <f aca="false">R35*R11</f>
        <v>4.57238649257488</v>
      </c>
      <c r="S37" s="13" t="n">
        <f aca="false">S35*S11</f>
        <v>4.377652000162</v>
      </c>
      <c r="T37" s="13" t="n">
        <f aca="false">T35*T11</f>
        <v>4.3174694871479</v>
      </c>
      <c r="U37" s="13" t="n">
        <f aca="false">U35*U11</f>
        <v>4.13320338341772</v>
      </c>
      <c r="V37" s="13" t="n">
        <f aca="false">V35*V11</f>
        <v>4.03534886198951</v>
      </c>
      <c r="W37" s="13" t="n">
        <f aca="false">W35*W11</f>
        <v>3.81940938392171</v>
      </c>
      <c r="X37" s="13" t="n">
        <f aca="false">X35*X11</f>
        <v>3.7254142232666</v>
      </c>
      <c r="Y37" s="13" t="n">
        <f aca="false">Y35*Y11</f>
        <v>3.51423327382508</v>
      </c>
      <c r="Z37" s="13" t="n">
        <f aca="false">Z35*Z11</f>
        <v>3.41947428205453</v>
      </c>
      <c r="AA37" s="13" t="n">
        <f aca="false">AA35*AA11</f>
        <v>3.20697531919879</v>
      </c>
      <c r="AB37" s="13" t="n">
        <f aca="false">AB35*AB11</f>
        <v>3.09613485332221</v>
      </c>
      <c r="AC37" s="13" t="n">
        <f aca="false">AC35*AC11</f>
        <v>2.89251943988166</v>
      </c>
      <c r="AD37" s="13" t="n">
        <f aca="false">AD35*AD11</f>
        <v>2.74678343666834</v>
      </c>
      <c r="AE37" s="13" t="n">
        <f aca="false">AE35*AE11</f>
        <v>2.51131838084923</v>
      </c>
      <c r="AF37" s="13" t="n">
        <f aca="false">AF35*AF11</f>
        <v>2.35077005766977</v>
      </c>
      <c r="AG37" s="13" t="n">
        <f aca="false">AG35*AG11</f>
        <v>2.10658926029952</v>
      </c>
      <c r="AH37" s="13" t="n">
        <f aca="false">AH35*AH11</f>
        <v>1.92833459404721</v>
      </c>
      <c r="AI37" s="13" t="n">
        <f aca="false">AI35*AI11</f>
        <v>1.67667244469968</v>
      </c>
      <c r="AJ37" s="13" t="n">
        <f aca="false">AJ35*AJ11</f>
        <v>1.4740171510442</v>
      </c>
      <c r="AK37" s="13" t="n">
        <f aca="false">AK35*AK11</f>
        <v>1.21905018291654</v>
      </c>
      <c r="AL37" s="13" t="n">
        <f aca="false">AL35*AL11</f>
        <v>0.983056307073567</v>
      </c>
      <c r="AM37" s="13" t="n">
        <f aca="false">AM35*AM11</f>
        <v>0.706901786511897</v>
      </c>
      <c r="AN37" s="13" t="n">
        <f aca="false">AN35*AN11</f>
        <v>0.448684141031864</v>
      </c>
      <c r="AO37" s="13" t="n">
        <f aca="false">AO35*AO11</f>
        <v>0.222306944038988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139.295545469642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3.40722923378568</v>
      </c>
      <c r="Q38" s="13" t="n">
        <f aca="false">Time!Q35*(Q35-Q36)*Q19</f>
        <v>3.55142906974511</v>
      </c>
      <c r="R38" s="13" t="n">
        <f aca="false">Time!R35*(R35-R36)*R19</f>
        <v>3.72636788962163</v>
      </c>
      <c r="S38" s="13" t="n">
        <f aca="false">Time!S35*(S35-S36)*S19</f>
        <v>3.8361779229119</v>
      </c>
      <c r="T38" s="13" t="n">
        <f aca="false">Time!T35*(T35-T36)*T19</f>
        <v>4.01264073267563</v>
      </c>
      <c r="U38" s="13" t="n">
        <f aca="false">Time!U35*(U35-U36)*U19</f>
        <v>4.14061090956155</v>
      </c>
      <c r="V38" s="13" t="n">
        <f aca="false">Time!V35*(V35-V36)*V19</f>
        <v>4.41111409484776</v>
      </c>
      <c r="W38" s="13" t="n">
        <f aca="false">Time!W35*(W35-W36)*W19</f>
        <v>4.54595914549066</v>
      </c>
      <c r="X38" s="13" t="n">
        <f aca="false">Time!X35*(X35-X36)*X19</f>
        <v>4.41977362377806</v>
      </c>
      <c r="Y38" s="13" t="n">
        <f aca="false">Time!Y35*(Y35-Y36)*Y19</f>
        <v>4.42185334593686</v>
      </c>
      <c r="Z38" s="13" t="n">
        <f aca="false">Time!Z35*(Z35-Z36)*Z19</f>
        <v>4.60504168702982</v>
      </c>
      <c r="AA38" s="13" t="n">
        <f aca="false">Time!AA35*(AA35-AA36)*AA19</f>
        <v>4.73942834890543</v>
      </c>
      <c r="AB38" s="13" t="n">
        <f aca="false">Time!AB35*(AB35-AB36)*AB19</f>
        <v>4.96585116488279</v>
      </c>
      <c r="AC38" s="13" t="n">
        <f aca="false">Time!AC35*(AC35-AC36)*AC19</f>
        <v>5.1303621479577</v>
      </c>
      <c r="AD38" s="13" t="n">
        <f aca="false">Time!AD35*(AD35-AD36)*AD19</f>
        <v>5.60198108124925</v>
      </c>
      <c r="AE38" s="13" t="n">
        <f aca="false">Time!AE35*(AE35-AE36)*AE19</f>
        <v>5.84275724958094</v>
      </c>
      <c r="AF38" s="13" t="n">
        <f aca="false">Time!AF35*(AF35-AF36)*AF19</f>
        <v>6.04773161483518</v>
      </c>
      <c r="AG38" s="13" t="n">
        <f aca="false">Time!AG35*(AG35-AG36)*AG19</f>
        <v>6.16060173756049</v>
      </c>
      <c r="AH38" s="13" t="n">
        <f aca="false">Time!AH35*(AH35-AH36)*AH19</f>
        <v>6.4698734345053</v>
      </c>
      <c r="AI38" s="13" t="n">
        <f aca="false">Time!AI35*(AI35-AI36)*AI19</f>
        <v>6.65984523169169</v>
      </c>
      <c r="AJ38" s="13" t="n">
        <f aca="false">Time!AJ35*(AJ35-AJ36)*AJ19</f>
        <v>6.98136699776155</v>
      </c>
      <c r="AK38" s="13" t="n">
        <f aca="false">Time!AK35*(AK35-AK36)*AK19</f>
        <v>7.20734148510947</v>
      </c>
      <c r="AL38" s="13" t="n">
        <f aca="false">Time!AL35*(AL35-AL36)*AL19</f>
        <v>7.64222351579235</v>
      </c>
      <c r="AM38" s="13" t="n">
        <f aca="false">Time!AM35*(AM35-AM36)*AM19</f>
        <v>7.80106687780897</v>
      </c>
      <c r="AN38" s="13" t="n">
        <f aca="false">Time!AN35*(AN35-AN36)*AN19</f>
        <v>6.435787565359</v>
      </c>
      <c r="AO38" s="13" t="n">
        <f aca="false">Time!AO35*(AO35-AO36)*AO19</f>
        <v>6.53112936125707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139.295545469642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3.40722923378568</v>
      </c>
      <c r="Q41" s="13" t="n">
        <f aca="false">Q38-Q39+Q40</f>
        <v>3.55142906974511</v>
      </c>
      <c r="R41" s="13" t="n">
        <f aca="false">R38-R39+R40</f>
        <v>3.72636788962163</v>
      </c>
      <c r="S41" s="13" t="n">
        <f aca="false">S38-S39+S40</f>
        <v>3.8361779229119</v>
      </c>
      <c r="T41" s="13" t="n">
        <f aca="false">T38-T39+T40</f>
        <v>4.01264073267563</v>
      </c>
      <c r="U41" s="13" t="n">
        <f aca="false">U38-U39+U40</f>
        <v>4.14061090956155</v>
      </c>
      <c r="V41" s="13" t="n">
        <f aca="false">V38-V39+V40</f>
        <v>4.41111409484776</v>
      </c>
      <c r="W41" s="13" t="n">
        <f aca="false">W38-W39+W40</f>
        <v>4.54595914549066</v>
      </c>
      <c r="X41" s="13" t="n">
        <f aca="false">X38-X39+X40</f>
        <v>4.41977362377806</v>
      </c>
      <c r="Y41" s="13" t="n">
        <f aca="false">Y38-Y39+Y40</f>
        <v>4.42185334593686</v>
      </c>
      <c r="Z41" s="13" t="n">
        <f aca="false">Z38-Z39+Z40</f>
        <v>4.60504168702982</v>
      </c>
      <c r="AA41" s="13" t="n">
        <f aca="false">AA38-AA39+AA40</f>
        <v>4.73942834890543</v>
      </c>
      <c r="AB41" s="13" t="n">
        <f aca="false">AB38-AB39+AB40</f>
        <v>4.96585116488279</v>
      </c>
      <c r="AC41" s="13" t="n">
        <f aca="false">AC38-AC39+AC40</f>
        <v>5.1303621479577</v>
      </c>
      <c r="AD41" s="13" t="n">
        <f aca="false">AD38-AD39+AD40</f>
        <v>5.60198108124925</v>
      </c>
      <c r="AE41" s="13" t="n">
        <f aca="false">AE38-AE39+AE40</f>
        <v>5.84275724958094</v>
      </c>
      <c r="AF41" s="13" t="n">
        <f aca="false">AF38-AF39+AF40</f>
        <v>6.04773161483518</v>
      </c>
      <c r="AG41" s="13" t="n">
        <f aca="false">AG38-AG39+AG40</f>
        <v>6.16060173756049</v>
      </c>
      <c r="AH41" s="13" t="n">
        <f aca="false">AH38-AH39+AH40</f>
        <v>6.4698734345053</v>
      </c>
      <c r="AI41" s="13" t="n">
        <f aca="false">AI38-AI39+AI40</f>
        <v>6.65984523169169</v>
      </c>
      <c r="AJ41" s="13" t="n">
        <f aca="false">AJ38-AJ39+AJ40</f>
        <v>6.98136699776155</v>
      </c>
      <c r="AK41" s="13" t="n">
        <f aca="false">AK38-AK39+AK40</f>
        <v>7.20734148510947</v>
      </c>
      <c r="AL41" s="13" t="n">
        <f aca="false">AL38-AL39+AL40</f>
        <v>7.64222351579235</v>
      </c>
      <c r="AM41" s="13" t="n">
        <f aca="false">AM38-AM39+AM40</f>
        <v>7.80106687780897</v>
      </c>
      <c r="AN41" s="13" t="n">
        <f aca="false">AN38-AN39+AN40</f>
        <v>6.435787565359</v>
      </c>
      <c r="AO41" s="13" t="n">
        <f aca="false">AO38-AO39+AO40</f>
        <v>6.53112936125707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135.888316235856</v>
      </c>
      <c r="Q45" s="13" t="n">
        <f aca="false">Q35-Q41-Q42-Q43</f>
        <v>132.336887166111</v>
      </c>
      <c r="R45" s="13" t="n">
        <f aca="false">R35-R41-R42-R43</f>
        <v>128.610519276489</v>
      </c>
      <c r="S45" s="13" t="n">
        <f aca="false">S35-S41-S42-S43</f>
        <v>124.774341353578</v>
      </c>
      <c r="T45" s="13" t="n">
        <f aca="false">T35-T41-T42-T43</f>
        <v>120.761700620902</v>
      </c>
      <c r="U45" s="13" t="n">
        <f aca="false">U35-U41-U42-U43</f>
        <v>116.62108971134</v>
      </c>
      <c r="V45" s="13" t="n">
        <f aca="false">V35-V41-V42-V43</f>
        <v>112.209975616493</v>
      </c>
      <c r="W45" s="13" t="n">
        <f aca="false">W35-W41-W42-W43</f>
        <v>107.664016471002</v>
      </c>
      <c r="X45" s="13" t="n">
        <f aca="false">X35-X41-X42-X43</f>
        <v>103.244242847224</v>
      </c>
      <c r="Y45" s="13" t="n">
        <f aca="false">Y35-Y41-Y42-Y43</f>
        <v>98.822389501287</v>
      </c>
      <c r="Z45" s="13" t="n">
        <f aca="false">Z35-Z41-Z42-Z43</f>
        <v>94.2173478142572</v>
      </c>
      <c r="AA45" s="13" t="n">
        <f aca="false">AA35-AA41-AA42-AA43</f>
        <v>89.4779194653518</v>
      </c>
      <c r="AB45" s="13" t="n">
        <f aca="false">AB35-AB41-AB42-AB43</f>
        <v>84.512068300469</v>
      </c>
      <c r="AC45" s="13" t="n">
        <f aca="false">AC35-AC41-AC42-AC43</f>
        <v>79.3817061525113</v>
      </c>
      <c r="AD45" s="13" t="n">
        <f aca="false">AD35-AD41-AD42-AD43</f>
        <v>73.779725071262</v>
      </c>
      <c r="AE45" s="13" t="n">
        <f aca="false">AE35-AE41-AE42-AE43</f>
        <v>67.9369678216811</v>
      </c>
      <c r="AF45" s="13" t="n">
        <f aca="false">AF35-AF41-AF42-AF43</f>
        <v>61.8892362068459</v>
      </c>
      <c r="AG45" s="13" t="n">
        <f aca="false">AG35-AG41-AG42-AG43</f>
        <v>55.7286344692854</v>
      </c>
      <c r="AH45" s="13" t="n">
        <f aca="false">AH35-AH41-AH42-AH43</f>
        <v>49.2587610347801</v>
      </c>
      <c r="AI45" s="13" t="n">
        <f aca="false">AI35-AI41-AI42-AI43</f>
        <v>42.5989158030884</v>
      </c>
      <c r="AJ45" s="13" t="n">
        <f aca="false">AJ35-AJ41-AJ42-AJ43</f>
        <v>35.6175488053269</v>
      </c>
      <c r="AK45" s="13" t="n">
        <f aca="false">AK35-AK41-AK42-AK43</f>
        <v>28.4102073202174</v>
      </c>
      <c r="AL45" s="13" t="n">
        <f aca="false">AL35-AL41-AL42-AL43</f>
        <v>20.767983804425</v>
      </c>
      <c r="AM45" s="13" t="n">
        <f aca="false">AM35-AM41-AM42-AM43</f>
        <v>12.9669169266161</v>
      </c>
      <c r="AN45" s="13" t="n">
        <f aca="false">AN35-AN41-AN42-AN43</f>
        <v>6.53112936125707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139.295545469642</v>
      </c>
      <c r="P47" s="13" t="n">
        <f aca="false">IF(Time!P34=1,INDEX(Funding!$J$62:$BJ$62,1,Time!$F$14),Time!P35*(P45-P46))</f>
        <v>135.888316235856</v>
      </c>
      <c r="Q47" s="13" t="n">
        <f aca="false">IF(Time!Q34=1,INDEX(Funding!$J$62:$BJ$62,1,Time!$F$14),Time!Q35*(Q45-Q46))</f>
        <v>132.336887166111</v>
      </c>
      <c r="R47" s="13" t="n">
        <f aca="false">IF(Time!R34=1,INDEX(Funding!$J$62:$BJ$62,1,Time!$F$14),Time!R35*(R45-R46))</f>
        <v>128.610519276489</v>
      </c>
      <c r="S47" s="13" t="n">
        <f aca="false">IF(Time!S34=1,INDEX(Funding!$J$62:$BJ$62,1,Time!$F$14),Time!S35*(S45-S46))</f>
        <v>124.774341353578</v>
      </c>
      <c r="T47" s="13" t="n">
        <f aca="false">IF(Time!T34=1,INDEX(Funding!$J$62:$BJ$62,1,Time!$F$14),Time!T35*(T45-T46))</f>
        <v>120.761700620902</v>
      </c>
      <c r="U47" s="13" t="n">
        <f aca="false">IF(Time!U34=1,INDEX(Funding!$J$62:$BJ$62,1,Time!$F$14),Time!U35*(U45-U46))</f>
        <v>116.62108971134</v>
      </c>
      <c r="V47" s="13" t="n">
        <f aca="false">IF(Time!V34=1,INDEX(Funding!$J$62:$BJ$62,1,Time!$F$14),Time!V35*(V45-V46))</f>
        <v>112.209975616493</v>
      </c>
      <c r="W47" s="13" t="n">
        <f aca="false">IF(Time!W34=1,INDEX(Funding!$J$62:$BJ$62,1,Time!$F$14),Time!W35*(W45-W46))</f>
        <v>107.664016471002</v>
      </c>
      <c r="X47" s="13" t="n">
        <f aca="false">IF(Time!X34=1,INDEX(Funding!$J$62:$BJ$62,1,Time!$F$14),Time!X35*(X45-X46))</f>
        <v>103.244242847224</v>
      </c>
      <c r="Y47" s="13" t="n">
        <f aca="false">IF(Time!Y34=1,INDEX(Funding!$J$62:$BJ$62,1,Time!$F$14),Time!Y35*(Y45-Y46))</f>
        <v>98.822389501287</v>
      </c>
      <c r="Z47" s="13" t="n">
        <f aca="false">IF(Time!Z34=1,INDEX(Funding!$J$62:$BJ$62,1,Time!$F$14),Time!Z35*(Z45-Z46))</f>
        <v>94.2173478142572</v>
      </c>
      <c r="AA47" s="13" t="n">
        <f aca="false">IF(Time!AA34=1,INDEX(Funding!$J$62:$BJ$62,1,Time!$F$14),Time!AA35*(AA45-AA46))</f>
        <v>89.4779194653518</v>
      </c>
      <c r="AB47" s="13" t="n">
        <f aca="false">IF(Time!AB34=1,INDEX(Funding!$J$62:$BJ$62,1,Time!$F$14),Time!AB35*(AB45-AB46))</f>
        <v>84.512068300469</v>
      </c>
      <c r="AC47" s="13" t="n">
        <f aca="false">IF(Time!AC34=1,INDEX(Funding!$J$62:$BJ$62,1,Time!$F$14),Time!AC35*(AC45-AC46))</f>
        <v>79.3817061525113</v>
      </c>
      <c r="AD47" s="13" t="n">
        <f aca="false">IF(Time!AD34=1,INDEX(Funding!$J$62:$BJ$62,1,Time!$F$14),Time!AD35*(AD45-AD46))</f>
        <v>73.779725071262</v>
      </c>
      <c r="AE47" s="13" t="n">
        <f aca="false">IF(Time!AE34=1,INDEX(Funding!$J$62:$BJ$62,1,Time!$F$14),Time!AE35*(AE45-AE46))</f>
        <v>67.9369678216811</v>
      </c>
      <c r="AF47" s="13" t="n">
        <f aca="false">IF(Time!AF34=1,INDEX(Funding!$J$62:$BJ$62,1,Time!$F$14),Time!AF35*(AF45-AF46))</f>
        <v>61.8892362068459</v>
      </c>
      <c r="AG47" s="13" t="n">
        <f aca="false">IF(Time!AG34=1,INDEX(Funding!$J$62:$BJ$62,1,Time!$F$14),Time!AG35*(AG45-AG46))</f>
        <v>55.7286344692854</v>
      </c>
      <c r="AH47" s="13" t="n">
        <f aca="false">IF(Time!AH34=1,INDEX(Funding!$J$62:$BJ$62,1,Time!$F$14),Time!AH35*(AH45-AH46))</f>
        <v>49.2587610347801</v>
      </c>
      <c r="AI47" s="13" t="n">
        <f aca="false">IF(Time!AI34=1,INDEX(Funding!$J$62:$BJ$62,1,Time!$F$14),Time!AI35*(AI45-AI46))</f>
        <v>42.5989158030884</v>
      </c>
      <c r="AJ47" s="13" t="n">
        <f aca="false">IF(Time!AJ34=1,INDEX(Funding!$J$62:$BJ$62,1,Time!$F$14),Time!AJ35*(AJ45-AJ46))</f>
        <v>35.6175488053269</v>
      </c>
      <c r="AK47" s="13" t="n">
        <f aca="false">IF(Time!AK34=1,INDEX(Funding!$J$62:$BJ$62,1,Time!$F$14),Time!AK35*(AK45-AK46))</f>
        <v>28.4102073202174</v>
      </c>
      <c r="AL47" s="13" t="n">
        <f aca="false">IF(Time!AL34=1,INDEX(Funding!$J$62:$BJ$62,1,Time!$F$14),Time!AL35*(AL45-AL46))</f>
        <v>20.767983804425</v>
      </c>
      <c r="AM47" s="13" t="n">
        <f aca="false">IF(Time!AM34=1,INDEX(Funding!$J$62:$BJ$62,1,Time!$F$14),Time!AM35*(AM45-AM46))</f>
        <v>12.9669169266161</v>
      </c>
      <c r="AN47" s="13" t="n">
        <f aca="false">IF(Time!AN34=1,INDEX(Funding!$J$62:$BJ$62,1,Time!$F$14),Time!AN35*(AN45-AN46))</f>
        <v>6.53112936125707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63.3161570316554</v>
      </c>
      <c r="Q49" s="13" t="n">
        <f aca="false">Time!Q35*P61</f>
        <v>61.7674164708437</v>
      </c>
      <c r="R49" s="13" t="n">
        <f aca="false">Time!R35*Q61</f>
        <v>60.1531305300505</v>
      </c>
      <c r="S49" s="13" t="n">
        <f aca="false">Time!S35*R61</f>
        <v>58.4593269438588</v>
      </c>
      <c r="T49" s="13" t="n">
        <f aca="false">Time!T35*S61</f>
        <v>56.7156097061716</v>
      </c>
      <c r="U49" s="13" t="n">
        <f aca="false">Time!U35*T61</f>
        <v>54.89168210041</v>
      </c>
      <c r="V49" s="13" t="n">
        <f aca="false">Time!V35*U61</f>
        <v>53.0095862324274</v>
      </c>
      <c r="W49" s="13" t="n">
        <f aca="false">Time!W35*V61</f>
        <v>51.004534371133</v>
      </c>
      <c r="X49" s="13" t="n">
        <f aca="false">Time!X35*W61</f>
        <v>48.9381893050009</v>
      </c>
      <c r="Y49" s="13" t="n">
        <f aca="false">Time!Y35*X61</f>
        <v>46.9292012941927</v>
      </c>
      <c r="Z49" s="13" t="n">
        <f aca="false">Time!Z35*Y61</f>
        <v>44.9192679551305</v>
      </c>
      <c r="AA49" s="13" t="n">
        <f aca="false">Time!AA35*Z61</f>
        <v>42.8260671882987</v>
      </c>
      <c r="AB49" s="13" t="n">
        <f aca="false">Time!AB35*AA61</f>
        <v>40.6717815751599</v>
      </c>
      <c r="AC49" s="13" t="n">
        <f aca="false">Time!AC35*AB61</f>
        <v>38.4145765002132</v>
      </c>
      <c r="AD49" s="13" t="n">
        <f aca="false">Time!AD35*AC61</f>
        <v>36.0825937056869</v>
      </c>
      <c r="AE49" s="13" t="n">
        <f aca="false">Time!AE35*AD61</f>
        <v>33.5362386687555</v>
      </c>
      <c r="AF49" s="13" t="n">
        <f aca="false">Time!AF35*AE61</f>
        <v>30.880439918946</v>
      </c>
      <c r="AG49" s="13" t="n">
        <f aca="false">Time!AG35*AF61</f>
        <v>28.1314710031118</v>
      </c>
      <c r="AH49" s="13" t="n">
        <f aca="false">Time!AH35*AG61</f>
        <v>25.3311974860388</v>
      </c>
      <c r="AI49" s="13" t="n">
        <f aca="false">Time!AI35*AH61</f>
        <v>22.3903459249001</v>
      </c>
      <c r="AJ49" s="13" t="n">
        <f aca="false">Time!AJ35*AI61</f>
        <v>19.3631435468584</v>
      </c>
      <c r="AK49" s="13" t="n">
        <f aca="false">Time!AK35*AJ61</f>
        <v>16.1897949115122</v>
      </c>
      <c r="AL49" s="13" t="n">
        <f aca="false">Time!AL35*AK61</f>
        <v>12.9137306000988</v>
      </c>
      <c r="AM49" s="13" t="n">
        <f aca="false">Time!AM35*AL61</f>
        <v>9.43999263837502</v>
      </c>
      <c r="AN49" s="13" t="n">
        <f aca="false">Time!AN35*AM61</f>
        <v>5.89405314846185</v>
      </c>
      <c r="AO49" s="13" t="n">
        <f aca="false">Time!AO35*AN61</f>
        <v>2.96869516420776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31.912928433879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2.1002672800256</v>
      </c>
      <c r="Q51" s="13" t="n">
        <f aca="false">Q49*Q12</f>
        <v>2.02169901393777</v>
      </c>
      <c r="R51" s="13" t="n">
        <f aca="false">R49*R12</f>
        <v>2.00149516316988</v>
      </c>
      <c r="S51" s="13" t="n">
        <f aca="false">S49*S12</f>
        <v>1.91636169202741</v>
      </c>
      <c r="T51" s="13" t="n">
        <f aca="false">T49*T12</f>
        <v>1.89001618478611</v>
      </c>
      <c r="U51" s="13" t="n">
        <f aca="false">U49*U12</f>
        <v>1.80935182354529</v>
      </c>
      <c r="V51" s="13" t="n">
        <f aca="false">V49*V12</f>
        <v>1.76651501142551</v>
      </c>
      <c r="W51" s="13" t="n">
        <f aca="false">W49*W12</f>
        <v>1.6719853083906</v>
      </c>
      <c r="X51" s="13" t="n">
        <f aca="false">X49*X12</f>
        <v>1.63083797070621</v>
      </c>
      <c r="Y51" s="13" t="n">
        <f aca="false">Y49*Y12</f>
        <v>1.53839136198063</v>
      </c>
      <c r="Z51" s="13" t="n">
        <f aca="false">Z49*Z12</f>
        <v>1.49690964945586</v>
      </c>
      <c r="AA51" s="13" t="n">
        <f aca="false">AA49*AA12</f>
        <v>1.40388606695153</v>
      </c>
      <c r="AB51" s="13" t="n">
        <f aca="false">AB49*AB12</f>
        <v>1.35536452555799</v>
      </c>
      <c r="AC51" s="13" t="n">
        <f aca="false">AC49*AC12</f>
        <v>1.26622980717258</v>
      </c>
      <c r="AD51" s="13" t="n">
        <f aca="false">AD49*AD12</f>
        <v>1.20243238935663</v>
      </c>
      <c r="AE51" s="13" t="n">
        <f aca="false">AE49*AE12</f>
        <v>1.09935516604921</v>
      </c>
      <c r="AF51" s="13" t="n">
        <f aca="false">AF49*AF12</f>
        <v>1.02907350449892</v>
      </c>
      <c r="AG51" s="13" t="n">
        <f aca="false">AG49*AG12</f>
        <v>0.922180876672007</v>
      </c>
      <c r="AH51" s="13" t="n">
        <f aca="false">AH49*AH12</f>
        <v>0.844148083334752</v>
      </c>
      <c r="AI51" s="13" t="n">
        <f aca="false">AI49*AI12</f>
        <v>0.733980417580362</v>
      </c>
      <c r="AJ51" s="13" t="n">
        <f aca="false">AJ49*AJ12</f>
        <v>0.645266001397085</v>
      </c>
      <c r="AK51" s="13" t="n">
        <f aca="false">AK49*AK12</f>
        <v>0.533651617605468</v>
      </c>
      <c r="AL51" s="13" t="n">
        <f aca="false">AL49*AL12</f>
        <v>0.430342897953515</v>
      </c>
      <c r="AM51" s="13" t="n">
        <f aca="false">AM49*AM12</f>
        <v>0.309453447566642</v>
      </c>
      <c r="AN51" s="13" t="n">
        <f aca="false">AN49*AN12</f>
        <v>0.19641604669852</v>
      </c>
      <c r="AO51" s="13" t="n">
        <f aca="false">AO49*AO12</f>
        <v>0.0973171260329128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63.3161570316554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1.54874056081167</v>
      </c>
      <c r="Q52" s="13" t="n">
        <f aca="false">Time!Q35*(Q49-Q50)*Q19</f>
        <v>1.61428594079323</v>
      </c>
      <c r="R52" s="13" t="n">
        <f aca="false">Time!R35*(R49-R50)*R19</f>
        <v>1.69380358619165</v>
      </c>
      <c r="S52" s="13" t="n">
        <f aca="false">Time!S35*(S49-S50)*S19</f>
        <v>1.74371723768723</v>
      </c>
      <c r="T52" s="13" t="n">
        <f aca="false">Time!T35*(T49-T50)*T19</f>
        <v>1.82392760576165</v>
      </c>
      <c r="U52" s="13" t="n">
        <f aca="false">Time!U35*(U49-U50)*U19</f>
        <v>1.88209586798252</v>
      </c>
      <c r="V52" s="13" t="n">
        <f aca="false">Time!V35*(V49-V50)*V19</f>
        <v>2.00505186129444</v>
      </c>
      <c r="W52" s="13" t="n">
        <f aca="false">Time!W35*(W49-W50)*W19</f>
        <v>2.06634506613212</v>
      </c>
      <c r="X52" s="13" t="n">
        <f aca="false">Time!X35*(X49-X50)*X19</f>
        <v>2.00898801080821</v>
      </c>
      <c r="Y52" s="13" t="n">
        <f aca="false">Time!Y35*(Y49-Y50)*Y19</f>
        <v>2.00993333906221</v>
      </c>
      <c r="Z52" s="13" t="n">
        <f aca="false">Time!Z35*(Z49-Z50)*Z19</f>
        <v>2.09320076683174</v>
      </c>
      <c r="AA52" s="13" t="n">
        <f aca="false">Time!AA35*(AA49-AA50)*AA19</f>
        <v>2.15428561313883</v>
      </c>
      <c r="AB52" s="13" t="n">
        <f aca="false">Time!AB35*(AB49-AB50)*AB19</f>
        <v>2.25720507494672</v>
      </c>
      <c r="AC52" s="13" t="n">
        <f aca="false">Time!AC35*(AC49-AC50)*AC19</f>
        <v>2.33198279452623</v>
      </c>
      <c r="AD52" s="13" t="n">
        <f aca="false">Time!AD35*(AD49-AD50)*AD19</f>
        <v>2.54635503693148</v>
      </c>
      <c r="AE52" s="13" t="n">
        <f aca="false">Time!AE35*(AE49-AE50)*AE19</f>
        <v>2.65579874980952</v>
      </c>
      <c r="AF52" s="13" t="n">
        <f aca="false">Time!AF35*(AF49-AF50)*AF19</f>
        <v>2.74896891583417</v>
      </c>
      <c r="AG52" s="13" t="n">
        <f aca="false">Time!AG35*(AG49-AG50)*AG19</f>
        <v>2.80027351707295</v>
      </c>
      <c r="AH52" s="13" t="n">
        <f aca="false">Time!AH35*(AH49-AH50)*AH19</f>
        <v>2.94085156113878</v>
      </c>
      <c r="AI52" s="13" t="n">
        <f aca="false">Time!AI35*(AI49-AI50)*AI19</f>
        <v>3.02720237804168</v>
      </c>
      <c r="AJ52" s="13" t="n">
        <f aca="false">Time!AJ35*(AJ49-AJ50)*AJ19</f>
        <v>3.17334863534616</v>
      </c>
      <c r="AK52" s="13" t="n">
        <f aca="false">Time!AK35*(AK49-AK50)*AK19</f>
        <v>3.2760643114134</v>
      </c>
      <c r="AL52" s="13" t="n">
        <f aca="false">Time!AL35*(AL49-AL50)*AL19</f>
        <v>3.4737379617238</v>
      </c>
      <c r="AM52" s="13" t="n">
        <f aca="false">Time!AM35*(AM49-AM50)*AM19</f>
        <v>3.54593948991317</v>
      </c>
      <c r="AN52" s="13" t="n">
        <f aca="false">Time!AN35*(AN49-AN50)*AN19</f>
        <v>2.92535798425409</v>
      </c>
      <c r="AO52" s="13" t="n">
        <f aca="false">Time!AO35*(AO49-AO50)*AO19</f>
        <v>2.96869516420776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63.3161570316554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1.54874056081167</v>
      </c>
      <c r="Q55" s="13" t="n">
        <f aca="false">Q52-Q53+Q54</f>
        <v>1.61428594079323</v>
      </c>
      <c r="R55" s="13" t="n">
        <f aca="false">R52-R53+R54</f>
        <v>1.69380358619165</v>
      </c>
      <c r="S55" s="13" t="n">
        <f aca="false">S52-S53+S54</f>
        <v>1.74371723768723</v>
      </c>
      <c r="T55" s="13" t="n">
        <f aca="false">T52-T53+T54</f>
        <v>1.82392760576165</v>
      </c>
      <c r="U55" s="13" t="n">
        <f aca="false">U52-U53+U54</f>
        <v>1.88209586798252</v>
      </c>
      <c r="V55" s="13" t="n">
        <f aca="false">V52-V53+V54</f>
        <v>2.00505186129444</v>
      </c>
      <c r="W55" s="13" t="n">
        <f aca="false">W52-W53+W54</f>
        <v>2.06634506613212</v>
      </c>
      <c r="X55" s="13" t="n">
        <f aca="false">X52-X53+X54</f>
        <v>2.00898801080821</v>
      </c>
      <c r="Y55" s="13" t="n">
        <f aca="false">Y52-Y53+Y54</f>
        <v>2.00993333906221</v>
      </c>
      <c r="Z55" s="13" t="n">
        <f aca="false">Z52-Z53+Z54</f>
        <v>2.09320076683174</v>
      </c>
      <c r="AA55" s="13" t="n">
        <f aca="false">AA52-AA53+AA54</f>
        <v>2.15428561313883</v>
      </c>
      <c r="AB55" s="13" t="n">
        <f aca="false">AB52-AB53+AB54</f>
        <v>2.25720507494672</v>
      </c>
      <c r="AC55" s="13" t="n">
        <f aca="false">AC52-AC53+AC54</f>
        <v>2.33198279452623</v>
      </c>
      <c r="AD55" s="13" t="n">
        <f aca="false">AD52-AD53+AD54</f>
        <v>2.54635503693148</v>
      </c>
      <c r="AE55" s="13" t="n">
        <f aca="false">AE52-AE53+AE54</f>
        <v>2.65579874980952</v>
      </c>
      <c r="AF55" s="13" t="n">
        <f aca="false">AF52-AF53+AF54</f>
        <v>2.74896891583417</v>
      </c>
      <c r="AG55" s="13" t="n">
        <f aca="false">AG52-AG53+AG54</f>
        <v>2.80027351707295</v>
      </c>
      <c r="AH55" s="13" t="n">
        <f aca="false">AH52-AH53+AH54</f>
        <v>2.94085156113878</v>
      </c>
      <c r="AI55" s="13" t="n">
        <f aca="false">AI52-AI53+AI54</f>
        <v>3.02720237804168</v>
      </c>
      <c r="AJ55" s="13" t="n">
        <f aca="false">AJ52-AJ53+AJ54</f>
        <v>3.17334863534616</v>
      </c>
      <c r="AK55" s="13" t="n">
        <f aca="false">AK52-AK53+AK54</f>
        <v>3.2760643114134</v>
      </c>
      <c r="AL55" s="13" t="n">
        <f aca="false">AL52-AL53+AL54</f>
        <v>3.4737379617238</v>
      </c>
      <c r="AM55" s="13" t="n">
        <f aca="false">AM52-AM53+AM54</f>
        <v>3.54593948991317</v>
      </c>
      <c r="AN55" s="13" t="n">
        <f aca="false">AN52-AN53+AN54</f>
        <v>2.92535798425409</v>
      </c>
      <c r="AO55" s="13" t="n">
        <f aca="false">AO52-AO53+AO54</f>
        <v>2.96869516420776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61.7674164708437</v>
      </c>
      <c r="Q59" s="13" t="n">
        <f aca="false">Q49-Q55-Q56-Q57</f>
        <v>60.1531305300505</v>
      </c>
      <c r="R59" s="13" t="n">
        <f aca="false">R49-R55-R56-R57</f>
        <v>58.4593269438588</v>
      </c>
      <c r="S59" s="13" t="n">
        <f aca="false">S49-S55-S56-S57</f>
        <v>56.7156097061716</v>
      </c>
      <c r="T59" s="13" t="n">
        <f aca="false">T49-T55-T56-T57</f>
        <v>54.89168210041</v>
      </c>
      <c r="U59" s="13" t="n">
        <f aca="false">U49-U55-U56-U57</f>
        <v>53.0095862324274</v>
      </c>
      <c r="V59" s="13" t="n">
        <f aca="false">V49-V55-V56-V57</f>
        <v>51.004534371133</v>
      </c>
      <c r="W59" s="13" t="n">
        <f aca="false">W49-W55-W56-W57</f>
        <v>48.9381893050009</v>
      </c>
      <c r="X59" s="13" t="n">
        <f aca="false">X49-X55-X56-X57</f>
        <v>46.9292012941927</v>
      </c>
      <c r="Y59" s="13" t="n">
        <f aca="false">Y49-Y55-Y56-Y57</f>
        <v>44.9192679551305</v>
      </c>
      <c r="Z59" s="13" t="n">
        <f aca="false">Z49-Z55-Z56-Z57</f>
        <v>42.8260671882987</v>
      </c>
      <c r="AA59" s="13" t="n">
        <f aca="false">AA49-AA55-AA56-AA57</f>
        <v>40.6717815751599</v>
      </c>
      <c r="AB59" s="13" t="n">
        <f aca="false">AB49-AB55-AB56-AB57</f>
        <v>38.4145765002132</v>
      </c>
      <c r="AC59" s="13" t="n">
        <f aca="false">AC49-AC55-AC56-AC57</f>
        <v>36.0825937056869</v>
      </c>
      <c r="AD59" s="13" t="n">
        <f aca="false">AD49-AD55-AD56-AD57</f>
        <v>33.5362386687555</v>
      </c>
      <c r="AE59" s="13" t="n">
        <f aca="false">AE49-AE55-AE56-AE57</f>
        <v>30.880439918946</v>
      </c>
      <c r="AF59" s="13" t="n">
        <f aca="false">AF49-AF55-AF56-AF57</f>
        <v>28.1314710031118</v>
      </c>
      <c r="AG59" s="13" t="n">
        <f aca="false">AG49-AG55-AG56-AG57</f>
        <v>25.3311974860388</v>
      </c>
      <c r="AH59" s="13" t="n">
        <f aca="false">AH49-AH55-AH56-AH57</f>
        <v>22.3903459249001</v>
      </c>
      <c r="AI59" s="13" t="n">
        <f aca="false">AI49-AI55-AI56-AI57</f>
        <v>19.3631435468584</v>
      </c>
      <c r="AJ59" s="13" t="n">
        <f aca="false">AJ49-AJ55-AJ56-AJ57</f>
        <v>16.1897949115122</v>
      </c>
      <c r="AK59" s="13" t="n">
        <f aca="false">AK49-AK55-AK56-AK57</f>
        <v>12.9137306000988</v>
      </c>
      <c r="AL59" s="13" t="n">
        <f aca="false">AL49-AL55-AL56-AL57</f>
        <v>9.43999263837502</v>
      </c>
      <c r="AM59" s="13" t="n">
        <f aca="false">AM49-AM55-AM56-AM57</f>
        <v>5.89405314846185</v>
      </c>
      <c r="AN59" s="13" t="n">
        <f aca="false">AN49-AN55-AN56-AN57</f>
        <v>2.96869516420776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63.3161570316554</v>
      </c>
      <c r="P61" s="13" t="n">
        <f aca="false">IF(Time!P34=1,INDEX(Funding!$J$63:$BJ$63,1,Time!$F$14),Time!P35*(P59-P60))</f>
        <v>61.7674164708437</v>
      </c>
      <c r="Q61" s="13" t="n">
        <f aca="false">IF(Time!Q34=1,INDEX(Funding!$J$63:$BJ$63,1,Time!$F$14),Time!Q35*(Q59-Q60))</f>
        <v>60.1531305300505</v>
      </c>
      <c r="R61" s="13" t="n">
        <f aca="false">IF(Time!R34=1,INDEX(Funding!$J$63:$BJ$63,1,Time!$F$14),Time!R35*(R59-R60))</f>
        <v>58.4593269438588</v>
      </c>
      <c r="S61" s="13" t="n">
        <f aca="false">IF(Time!S34=1,INDEX(Funding!$J$63:$BJ$63,1,Time!$F$14),Time!S35*(S59-S60))</f>
        <v>56.7156097061716</v>
      </c>
      <c r="T61" s="13" t="n">
        <f aca="false">IF(Time!T34=1,INDEX(Funding!$J$63:$BJ$63,1,Time!$F$14),Time!T35*(T59-T60))</f>
        <v>54.89168210041</v>
      </c>
      <c r="U61" s="13" t="n">
        <f aca="false">IF(Time!U34=1,INDEX(Funding!$J$63:$BJ$63,1,Time!$F$14),Time!U35*(U59-U60))</f>
        <v>53.0095862324274</v>
      </c>
      <c r="V61" s="13" t="n">
        <f aca="false">IF(Time!V34=1,INDEX(Funding!$J$63:$BJ$63,1,Time!$F$14),Time!V35*(V59-V60))</f>
        <v>51.004534371133</v>
      </c>
      <c r="W61" s="13" t="n">
        <f aca="false">IF(Time!W34=1,INDEX(Funding!$J$63:$BJ$63,1,Time!$F$14),Time!W35*(W59-W60))</f>
        <v>48.9381893050009</v>
      </c>
      <c r="X61" s="13" t="n">
        <f aca="false">IF(Time!X34=1,INDEX(Funding!$J$63:$BJ$63,1,Time!$F$14),Time!X35*(X59-X60))</f>
        <v>46.9292012941927</v>
      </c>
      <c r="Y61" s="13" t="n">
        <f aca="false">IF(Time!Y34=1,INDEX(Funding!$J$63:$BJ$63,1,Time!$F$14),Time!Y35*(Y59-Y60))</f>
        <v>44.9192679551305</v>
      </c>
      <c r="Z61" s="13" t="n">
        <f aca="false">IF(Time!Z34=1,INDEX(Funding!$J$63:$BJ$63,1,Time!$F$14),Time!Z35*(Z59-Z60))</f>
        <v>42.8260671882987</v>
      </c>
      <c r="AA61" s="13" t="n">
        <f aca="false">IF(Time!AA34=1,INDEX(Funding!$J$63:$BJ$63,1,Time!$F$14),Time!AA35*(AA59-AA60))</f>
        <v>40.6717815751599</v>
      </c>
      <c r="AB61" s="13" t="n">
        <f aca="false">IF(Time!AB34=1,INDEX(Funding!$J$63:$BJ$63,1,Time!$F$14),Time!AB35*(AB59-AB60))</f>
        <v>38.4145765002132</v>
      </c>
      <c r="AC61" s="13" t="n">
        <f aca="false">IF(Time!AC34=1,INDEX(Funding!$J$63:$BJ$63,1,Time!$F$14),Time!AC35*(AC59-AC60))</f>
        <v>36.0825937056869</v>
      </c>
      <c r="AD61" s="13" t="n">
        <f aca="false">IF(Time!AD34=1,INDEX(Funding!$J$63:$BJ$63,1,Time!$F$14),Time!AD35*(AD59-AD60))</f>
        <v>33.5362386687555</v>
      </c>
      <c r="AE61" s="13" t="n">
        <f aca="false">IF(Time!AE34=1,INDEX(Funding!$J$63:$BJ$63,1,Time!$F$14),Time!AE35*(AE59-AE60))</f>
        <v>30.880439918946</v>
      </c>
      <c r="AF61" s="13" t="n">
        <f aca="false">IF(Time!AF34=1,INDEX(Funding!$J$63:$BJ$63,1,Time!$F$14),Time!AF35*(AF59-AF60))</f>
        <v>28.1314710031118</v>
      </c>
      <c r="AG61" s="13" t="n">
        <f aca="false">IF(Time!AG34=1,INDEX(Funding!$J$63:$BJ$63,1,Time!$F$14),Time!AG35*(AG59-AG60))</f>
        <v>25.3311974860388</v>
      </c>
      <c r="AH61" s="13" t="n">
        <f aca="false">IF(Time!AH34=1,INDEX(Funding!$J$63:$BJ$63,1,Time!$F$14),Time!AH35*(AH59-AH60))</f>
        <v>22.3903459249001</v>
      </c>
      <c r="AI61" s="13" t="n">
        <f aca="false">IF(Time!AI34=1,INDEX(Funding!$J$63:$BJ$63,1,Time!$F$14),Time!AI35*(AI59-AI60))</f>
        <v>19.3631435468584</v>
      </c>
      <c r="AJ61" s="13" t="n">
        <f aca="false">IF(Time!AJ34=1,INDEX(Funding!$J$63:$BJ$63,1,Time!$F$14),Time!AJ35*(AJ59-AJ60))</f>
        <v>16.1897949115122</v>
      </c>
      <c r="AK61" s="13" t="n">
        <f aca="false">IF(Time!AK34=1,INDEX(Funding!$J$63:$BJ$63,1,Time!$F$14),Time!AK35*(AK59-AK60))</f>
        <v>12.9137306000988</v>
      </c>
      <c r="AL61" s="13" t="n">
        <f aca="false">IF(Time!AL34=1,INDEX(Funding!$J$63:$BJ$63,1,Time!$F$14),Time!AL35*(AL59-AL60))</f>
        <v>9.43999263837502</v>
      </c>
      <c r="AM61" s="13" t="n">
        <f aca="false">IF(Time!AM34=1,INDEX(Funding!$J$63:$BJ$63,1,Time!$F$14),Time!AM35*(AM59-AM60))</f>
        <v>5.89405314846185</v>
      </c>
      <c r="AN61" s="13" t="n">
        <f aca="false">IF(Time!AN34=1,INDEX(Funding!$J$63:$BJ$63,1,Time!$F$14),Time!AN35*(AN59-AN60))</f>
        <v>2.96869516420776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240.60139672029</v>
      </c>
      <c r="Q63" s="13" t="n">
        <f aca="false">Time!Q35*P75</f>
        <v>234.716182589206</v>
      </c>
      <c r="R63" s="13" t="n">
        <f aca="false">Time!R35*Q75</f>
        <v>228.581896014192</v>
      </c>
      <c r="S63" s="13" t="n">
        <f aca="false">Time!S35*R75</f>
        <v>222.145442386664</v>
      </c>
      <c r="T63" s="13" t="n">
        <f aca="false">Time!T35*S75</f>
        <v>215.519316883452</v>
      </c>
      <c r="U63" s="13" t="n">
        <f aca="false">Time!U35*T75</f>
        <v>208.588391981558</v>
      </c>
      <c r="V63" s="13" t="n">
        <f aca="false">Time!V35*U75</f>
        <v>201.436427683224</v>
      </c>
      <c r="W63" s="13" t="n">
        <f aca="false">Time!W35*V75</f>
        <v>193.817230610305</v>
      </c>
      <c r="X63" s="13" t="n">
        <f aca="false">Time!X35*W75</f>
        <v>185.965119359003</v>
      </c>
      <c r="Y63" s="13" t="n">
        <f aca="false">Time!Y35*X75</f>
        <v>178.330964917932</v>
      </c>
      <c r="Z63" s="13" t="n">
        <f aca="false">Time!Z35*Y75</f>
        <v>170.693218229496</v>
      </c>
      <c r="AA63" s="13" t="n">
        <f aca="false">Time!AA35*Z75</f>
        <v>162.739055315535</v>
      </c>
      <c r="AB63" s="13" t="n">
        <f aca="false">Time!AB35*AA75</f>
        <v>148.781331576036</v>
      </c>
      <c r="AC63" s="13" t="n">
        <f aca="false">Time!AC35*AB75</f>
        <v>133.79488333932</v>
      </c>
      <c r="AD63" s="13" t="n">
        <f aca="false">Time!AD35*AC75</f>
        <v>119.316685329228</v>
      </c>
      <c r="AE63" s="13" t="n">
        <f aca="false">Time!AE35*AD75</f>
        <v>102.993376887204</v>
      </c>
      <c r="AF63" s="13" t="n">
        <f aca="false">Time!AF35*AE75</f>
        <v>86.5170709467523</v>
      </c>
      <c r="AG63" s="13" t="n">
        <f aca="false">Time!AG35*AF75</f>
        <v>69.7648384345111</v>
      </c>
      <c r="AH63" s="13" t="n">
        <f aca="false">Time!AH35*AG75</f>
        <v>53.3906950390259</v>
      </c>
      <c r="AI63" s="13" t="n">
        <f aca="false">Time!AI35*AH75</f>
        <v>36.4194388021055</v>
      </c>
      <c r="AJ63" s="13" t="n">
        <f aca="false">Time!AJ35*AI75</f>
        <v>19.9210502248806</v>
      </c>
      <c r="AK63" s="13" t="n">
        <f aca="false">Time!AK35*AJ75</f>
        <v>3.30692469429834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135.03079379742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9.82425999398381</v>
      </c>
      <c r="Q65" s="13" t="n">
        <f aca="false">Q63*Q13</f>
        <v>9.45391868644259</v>
      </c>
      <c r="R65" s="13" t="n">
        <f aca="false">R63*R13</f>
        <v>9.35944094223047</v>
      </c>
      <c r="S65" s="13" t="n">
        <f aca="false">S63*S13</f>
        <v>8.96000330307839</v>
      </c>
      <c r="T65" s="13" t="n">
        <f aca="false">T63*T13</f>
        <v>8.83682413868298</v>
      </c>
      <c r="U65" s="13" t="n">
        <f aca="false">U63*U13</f>
        <v>8.45967563578538</v>
      </c>
      <c r="V65" s="13" t="n">
        <f aca="false">V63*V13</f>
        <v>8.25939090890771</v>
      </c>
      <c r="W65" s="13" t="n">
        <f aca="false">W63*W13</f>
        <v>7.81741460821479</v>
      </c>
      <c r="X65" s="13" t="n">
        <f aca="false">X63*X13</f>
        <v>7.62502906685336</v>
      </c>
      <c r="Y65" s="13" t="n">
        <f aca="false">Y63*Y13</f>
        <v>7.69090814503472</v>
      </c>
      <c r="Z65" s="13" t="n">
        <f aca="false">Z63*Z13</f>
        <v>7.48352785897019</v>
      </c>
      <c r="AA65" s="13" t="n">
        <f aca="false">AA63*AA13</f>
        <v>7.0184733572069</v>
      </c>
      <c r="AB65" s="13" t="n">
        <f aca="false">AB63*AB13</f>
        <v>6.52286746534344</v>
      </c>
      <c r="AC65" s="13" t="n">
        <f aca="false">AC63*AC13</f>
        <v>5.80207292861354</v>
      </c>
      <c r="AD65" s="13" t="n">
        <f aca="false">AD63*AD13</f>
        <v>5.23107917211302</v>
      </c>
      <c r="AE65" s="13" t="n">
        <f aca="false">AE63*AE13</f>
        <v>4.44181189481568</v>
      </c>
      <c r="AF65" s="13" t="n">
        <f aca="false">AF63*AF13</f>
        <v>3.79307928822354</v>
      </c>
      <c r="AG65" s="13" t="n">
        <f aca="false">AG63*AG13</f>
        <v>3.2036272197418</v>
      </c>
      <c r="AH65" s="13" t="n">
        <f aca="false">AH63*AH13</f>
        <v>2.49235674174771</v>
      </c>
      <c r="AI65" s="13" t="n">
        <f aca="false">AI63*AI13</f>
        <v>1.67239411847372</v>
      </c>
      <c r="AJ65" s="13" t="n">
        <f aca="false">AJ63*AJ13</f>
        <v>0.929944137164427</v>
      </c>
      <c r="AK65" s="13" t="n">
        <f aca="false">AK63*AK13</f>
        <v>0.152694185791916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148.706889437099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5.88521413108436</v>
      </c>
      <c r="Q66" s="13" t="n">
        <f aca="false">Time!Q35*(Q63-Q64)*Q19</f>
        <v>6.13428657501428</v>
      </c>
      <c r="R66" s="13" t="n">
        <f aca="false">Time!R35*(R63-R64)*R19</f>
        <v>6.43645362752827</v>
      </c>
      <c r="S66" s="13" t="n">
        <f aca="false">Time!S35*(S63-S64)*S19</f>
        <v>6.62612550321147</v>
      </c>
      <c r="T66" s="13" t="n">
        <f aca="false">Time!T35*(T63-T64)*T19</f>
        <v>6.93092490189427</v>
      </c>
      <c r="U66" s="13" t="n">
        <f aca="false">Time!U35*(U63-U64)*U19</f>
        <v>7.15196429833359</v>
      </c>
      <c r="V66" s="13" t="n">
        <f aca="false">Time!V35*(V63-V64)*V19</f>
        <v>7.61919707291886</v>
      </c>
      <c r="W66" s="13" t="n">
        <f aca="false">Time!W35*(W63-W64)*W19</f>
        <v>7.85211125130205</v>
      </c>
      <c r="X66" s="13" t="n">
        <f aca="false">Time!X35*(X63-X64)*X19</f>
        <v>7.63415444107119</v>
      </c>
      <c r="Y66" s="13" t="n">
        <f aca="false">Time!Y35*(Y63-Y64)*Y19</f>
        <v>7.63774668843639</v>
      </c>
      <c r="Z66" s="13" t="n">
        <f aca="false">Time!Z35*(Z63-Z64)*Z19</f>
        <v>7.9541629139606</v>
      </c>
      <c r="AA66" s="13" t="n">
        <f aca="false">Time!AA35*(AA63-AA64)*AA19</f>
        <v>8.18628532992756</v>
      </c>
      <c r="AB66" s="13" t="n">
        <f aca="false">Time!AB35*(AB63-AB64)*AB19</f>
        <v>8.25707563535565</v>
      </c>
      <c r="AC66" s="13" t="n">
        <f aca="false">Time!AC35*(AC63-AC64)*AC19</f>
        <v>8.12210869853549</v>
      </c>
      <c r="AD66" s="13" t="n">
        <f aca="false">Time!AD35*(AD63-AD64)*AD19</f>
        <v>8.42019964407832</v>
      </c>
      <c r="AE66" s="13" t="n">
        <f aca="false">Time!AE35*(AE63-AE64)*AE19</f>
        <v>8.15624209612198</v>
      </c>
      <c r="AF66" s="13" t="n">
        <f aca="false">Time!AF35*(AF63-AF64)*AF19</f>
        <v>7.70172767440808</v>
      </c>
      <c r="AG66" s="13" t="n">
        <f aca="false">Time!AG35*(AG63-AG64)*AG19</f>
        <v>6.94455791058436</v>
      </c>
      <c r="AH66" s="13" t="n">
        <f aca="false">Time!AH35*(AH63-AH64)*AH19</f>
        <v>6.1984479392394</v>
      </c>
      <c r="AI66" s="13" t="n">
        <f aca="false">Time!AI35*(AI63-AI64)*AI19</f>
        <v>4.92395303397571</v>
      </c>
      <c r="AJ66" s="13" t="n">
        <f aca="false">Time!AJ35*(AJ63-AJ64)*AJ19</f>
        <v>3.26478174335716</v>
      </c>
      <c r="AK66" s="13" t="n">
        <f aca="false">Time!AK35*(AK63-AK64)*AK19</f>
        <v>0.669168326759892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148.706889437099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5.88521413108436</v>
      </c>
      <c r="Q69" s="13" t="n">
        <f aca="false">Q66-Q67+Q68</f>
        <v>6.13428657501428</v>
      </c>
      <c r="R69" s="13" t="n">
        <f aca="false">R66-R67+R68</f>
        <v>6.43645362752827</v>
      </c>
      <c r="S69" s="13" t="n">
        <f aca="false">S66-S67+S68</f>
        <v>6.62612550321147</v>
      </c>
      <c r="T69" s="13" t="n">
        <f aca="false">T66-T67+T68</f>
        <v>6.93092490189427</v>
      </c>
      <c r="U69" s="13" t="n">
        <f aca="false">U66-U67+U68</f>
        <v>7.15196429833359</v>
      </c>
      <c r="V69" s="13" t="n">
        <f aca="false">V66-V67+V68</f>
        <v>7.61919707291886</v>
      </c>
      <c r="W69" s="13" t="n">
        <f aca="false">W66-W67+W68</f>
        <v>7.85211125130205</v>
      </c>
      <c r="X69" s="13" t="n">
        <f aca="false">X66-X67+X68</f>
        <v>7.63415444107119</v>
      </c>
      <c r="Y69" s="13" t="n">
        <f aca="false">Y66-Y67+Y68</f>
        <v>7.63774668843639</v>
      </c>
      <c r="Z69" s="13" t="n">
        <f aca="false">Z66-Z67+Z68</f>
        <v>7.9541629139606</v>
      </c>
      <c r="AA69" s="13" t="n">
        <f aca="false">AA66-AA67+AA68</f>
        <v>8.18628532992756</v>
      </c>
      <c r="AB69" s="13" t="n">
        <f aca="false">AB66-AB67+AB68</f>
        <v>8.25707563535565</v>
      </c>
      <c r="AC69" s="13" t="n">
        <f aca="false">AC66-AC67+AC68</f>
        <v>8.12210869853549</v>
      </c>
      <c r="AD69" s="13" t="n">
        <f aca="false">AD66-AD67+AD68</f>
        <v>8.42019964407832</v>
      </c>
      <c r="AE69" s="13" t="n">
        <f aca="false">AE66-AE67+AE68</f>
        <v>8.15624209612198</v>
      </c>
      <c r="AF69" s="13" t="n">
        <f aca="false">AF66-AF67+AF68</f>
        <v>7.70172767440808</v>
      </c>
      <c r="AG69" s="13" t="n">
        <f aca="false">AG66-AG67+AG68</f>
        <v>6.94455791058436</v>
      </c>
      <c r="AH69" s="13" t="n">
        <f aca="false">AH66-AH67+AH68</f>
        <v>6.1984479392394</v>
      </c>
      <c r="AI69" s="13" t="n">
        <f aca="false">AI66-AI67+AI68</f>
        <v>4.92395303397571</v>
      </c>
      <c r="AJ69" s="13" t="n">
        <f aca="false">AJ66-AJ67+AJ68</f>
        <v>3.26478174335716</v>
      </c>
      <c r="AK69" s="13" t="n">
        <f aca="false">AK66-AK67+AK68</f>
        <v>0.669168326759892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234.716182589206</v>
      </c>
      <c r="Q73" s="13" t="n">
        <f aca="false">Q63-Q69-Q70-Q71</f>
        <v>228.581896014192</v>
      </c>
      <c r="R73" s="13" t="n">
        <f aca="false">R63-R69-R70-R71</f>
        <v>222.145442386664</v>
      </c>
      <c r="S73" s="13" t="n">
        <f aca="false">S63-S69-S70-S71</f>
        <v>215.519316883452</v>
      </c>
      <c r="T73" s="13" t="n">
        <f aca="false">T63-T69-T70-T71</f>
        <v>208.588391981558</v>
      </c>
      <c r="U73" s="13" t="n">
        <f aca="false">U63-U69-U70-U71</f>
        <v>201.436427683224</v>
      </c>
      <c r="V73" s="13" t="n">
        <f aca="false">V63-V69-V70-V71</f>
        <v>193.817230610305</v>
      </c>
      <c r="W73" s="13" t="n">
        <f aca="false">W63-W69-W70-W71</f>
        <v>185.965119359003</v>
      </c>
      <c r="X73" s="13" t="n">
        <f aca="false">X63-X69-X70-X71</f>
        <v>178.330964917932</v>
      </c>
      <c r="Y73" s="13" t="n">
        <f aca="false">Y63-Y69-Y70-Y71</f>
        <v>170.693218229496</v>
      </c>
      <c r="Z73" s="13" t="n">
        <f aca="false">Z63-Z69-Z70-Z71</f>
        <v>162.739055315535</v>
      </c>
      <c r="AA73" s="13" t="n">
        <f aca="false">AA63-AA69-AA70-AA71</f>
        <v>154.552769985608</v>
      </c>
      <c r="AB73" s="13" t="n">
        <f aca="false">AB63-AB69-AB70-AB71</f>
        <v>140.52425594068</v>
      </c>
      <c r="AC73" s="13" t="n">
        <f aca="false">AC63-AC69-AC70-AC71</f>
        <v>125.672774640785</v>
      </c>
      <c r="AD73" s="13" t="n">
        <f aca="false">AD63-AD69-AD70-AD71</f>
        <v>110.89648568515</v>
      </c>
      <c r="AE73" s="13" t="n">
        <f aca="false">AE63-AE69-AE70-AE71</f>
        <v>94.8371347910821</v>
      </c>
      <c r="AF73" s="13" t="n">
        <f aca="false">AF63-AF69-AF70-AF71</f>
        <v>78.8153432723443</v>
      </c>
      <c r="AG73" s="13" t="n">
        <f aca="false">AG63-AG69-AG70-AG71</f>
        <v>62.8202805239267</v>
      </c>
      <c r="AH73" s="13" t="n">
        <f aca="false">AH63-AH69-AH70-AH71</f>
        <v>47.1922470997865</v>
      </c>
      <c r="AI73" s="13" t="n">
        <f aca="false">AI63-AI69-AI70-AI71</f>
        <v>31.4954857681298</v>
      </c>
      <c r="AJ73" s="13" t="n">
        <f aca="false">AJ63-AJ69-AJ70-AJ71</f>
        <v>16.6562684815235</v>
      </c>
      <c r="AK73" s="13" t="n">
        <f aca="false">AK63-AK69-AK70-AK71</f>
        <v>2.63775636753845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91.8945072831916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5.77143840957161</v>
      </c>
      <c r="AB74" s="13" t="n">
        <f aca="false">Waterfall!AB28*AB73/(AB31+AB45+AB59+AB73+AB87+Inputs!$F$253)+Waterfall!AB29</f>
        <v>6.72937260136007</v>
      </c>
      <c r="AC74" s="13" t="n">
        <f aca="false">Waterfall!AC28*AC73/(AC31+AC45+AC59+AC73+AC87+Inputs!$F$253)+Waterfall!AC29</f>
        <v>6.35608931155681</v>
      </c>
      <c r="AD74" s="13" t="n">
        <f aca="false">Waterfall!AD28*AD73/(AD31+AD45+AD59+AD73+AD87+Inputs!$F$253)+Waterfall!AD29</f>
        <v>7.90310879794556</v>
      </c>
      <c r="AE74" s="13" t="n">
        <f aca="false">Waterfall!AE28*AE73/(AE31+AE45+AE59+AE73+AE87+Inputs!$F$253)+Waterfall!AE29</f>
        <v>8.32006384432979</v>
      </c>
      <c r="AF74" s="13" t="n">
        <f aca="false">Waterfall!AF28*AF73/(AF31+AF45+AF59+AF73+AF87+Inputs!$F$253)+Waterfall!AF29</f>
        <v>9.05050483783319</v>
      </c>
      <c r="AG74" s="13" t="n">
        <f aca="false">Waterfall!AG28*AG73/(AG31+AG45+AG59+AG73+AG87+Inputs!$F$253)+Waterfall!AG29</f>
        <v>9.42958548490081</v>
      </c>
      <c r="AH74" s="13" t="n">
        <f aca="false">Waterfall!AH28*AH73/(AH31+AH45+AH59+AH73+AH87+Inputs!$F$253)+Waterfall!AH29</f>
        <v>10.772808297681</v>
      </c>
      <c r="AI74" s="13" t="n">
        <f aca="false">Waterfall!AI28*AI73/(AI31+AI45+AI59+AI73+AI87+Inputs!$F$253)+Waterfall!AI29</f>
        <v>11.5744355432492</v>
      </c>
      <c r="AJ74" s="13" t="n">
        <f aca="false">Waterfall!AJ28*AJ73/(AJ31+AJ45+AJ59+AJ73+AJ87+Inputs!$F$253)+Waterfall!AJ29</f>
        <v>13.3493437872251</v>
      </c>
      <c r="AK74" s="13" t="n">
        <f aca="false">Waterfall!AK28*AK73/(AK31+AK45+AK59+AK73+AK87+Inputs!$F$253)+Waterfall!AK29</f>
        <v>2.63775636753845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240.60139672029</v>
      </c>
      <c r="P75" s="13" t="n">
        <f aca="false">IF(Time!P34=1,INDEX(Funding!$J$64:$BJ$64,1,Time!$F$14),Time!P35*(P73-P74))</f>
        <v>234.716182589206</v>
      </c>
      <c r="Q75" s="13" t="n">
        <f aca="false">IF(Time!Q34=1,INDEX(Funding!$J$64:$BJ$64,1,Time!$F$14),Time!Q35*(Q73-Q74))</f>
        <v>228.581896014192</v>
      </c>
      <c r="R75" s="13" t="n">
        <f aca="false">IF(Time!R34=1,INDEX(Funding!$J$64:$BJ$64,1,Time!$F$14),Time!R35*(R73-R74))</f>
        <v>222.145442386664</v>
      </c>
      <c r="S75" s="13" t="n">
        <f aca="false">IF(Time!S34=1,INDEX(Funding!$J$64:$BJ$64,1,Time!$F$14),Time!S35*(S73-S74))</f>
        <v>215.519316883452</v>
      </c>
      <c r="T75" s="13" t="n">
        <f aca="false">IF(Time!T34=1,INDEX(Funding!$J$64:$BJ$64,1,Time!$F$14),Time!T35*(T73-T74))</f>
        <v>208.588391981558</v>
      </c>
      <c r="U75" s="13" t="n">
        <f aca="false">IF(Time!U34=1,INDEX(Funding!$J$64:$BJ$64,1,Time!$F$14),Time!U35*(U73-U74))</f>
        <v>201.436427683224</v>
      </c>
      <c r="V75" s="13" t="n">
        <f aca="false">IF(Time!V34=1,INDEX(Funding!$J$64:$BJ$64,1,Time!$F$14),Time!V35*(V73-V74))</f>
        <v>193.817230610305</v>
      </c>
      <c r="W75" s="13" t="n">
        <f aca="false">IF(Time!W34=1,INDEX(Funding!$J$64:$BJ$64,1,Time!$F$14),Time!W35*(W73-W74))</f>
        <v>185.965119359003</v>
      </c>
      <c r="X75" s="13" t="n">
        <f aca="false">IF(Time!X34=1,INDEX(Funding!$J$64:$BJ$64,1,Time!$F$14),Time!X35*(X73-X74))</f>
        <v>178.330964917932</v>
      </c>
      <c r="Y75" s="13" t="n">
        <f aca="false">IF(Time!Y34=1,INDEX(Funding!$J$64:$BJ$64,1,Time!$F$14),Time!Y35*(Y73-Y74))</f>
        <v>170.693218229496</v>
      </c>
      <c r="Z75" s="13" t="n">
        <f aca="false">IF(Time!Z34=1,INDEX(Funding!$J$64:$BJ$64,1,Time!$F$14),Time!Z35*(Z73-Z74))</f>
        <v>162.739055315535</v>
      </c>
      <c r="AA75" s="13" t="n">
        <f aca="false">IF(Time!AA34=1,INDEX(Funding!$J$64:$BJ$64,1,Time!$F$14),Time!AA35*(AA73-AA74))</f>
        <v>148.781331576036</v>
      </c>
      <c r="AB75" s="13" t="n">
        <f aca="false">IF(Time!AB34=1,INDEX(Funding!$J$64:$BJ$64,1,Time!$F$14),Time!AB35*(AB73-AB74))</f>
        <v>133.79488333932</v>
      </c>
      <c r="AC75" s="13" t="n">
        <f aca="false">IF(Time!AC34=1,INDEX(Funding!$J$64:$BJ$64,1,Time!$F$14),Time!AC35*(AC73-AC74))</f>
        <v>119.316685329228</v>
      </c>
      <c r="AD75" s="13" t="n">
        <f aca="false">IF(Time!AD34=1,INDEX(Funding!$J$64:$BJ$64,1,Time!$F$14),Time!AD35*(AD73-AD74))</f>
        <v>102.993376887204</v>
      </c>
      <c r="AE75" s="13" t="n">
        <f aca="false">IF(Time!AE34=1,INDEX(Funding!$J$64:$BJ$64,1,Time!$F$14),Time!AE35*(AE73-AE74))</f>
        <v>86.5170709467523</v>
      </c>
      <c r="AF75" s="13" t="n">
        <f aca="false">IF(Time!AF34=1,INDEX(Funding!$J$64:$BJ$64,1,Time!$F$14),Time!AF35*(AF73-AF74))</f>
        <v>69.7648384345111</v>
      </c>
      <c r="AG75" s="13" t="n">
        <f aca="false">IF(Time!AG34=1,INDEX(Funding!$J$64:$BJ$64,1,Time!$F$14),Time!AG35*(AG73-AG74))</f>
        <v>53.3906950390259</v>
      </c>
      <c r="AH75" s="13" t="n">
        <f aca="false">IF(Time!AH34=1,INDEX(Funding!$J$64:$BJ$64,1,Time!$F$14),Time!AH35*(AH73-AH74))</f>
        <v>36.4194388021055</v>
      </c>
      <c r="AI75" s="13" t="n">
        <f aca="false">IF(Time!AI34=1,INDEX(Funding!$J$64:$BJ$64,1,Time!$F$14),Time!AI35*(AI73-AI74))</f>
        <v>19.9210502248806</v>
      </c>
      <c r="AJ75" s="13" t="n">
        <f aca="false">IF(Time!AJ34=1,INDEX(Funding!$J$64:$BJ$64,1,Time!$F$14),Time!AJ35*(AJ73-AJ74))</f>
        <v>3.30692469429834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16.6648206201753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1.25534602716198</v>
      </c>
      <c r="Q108" s="13" t="n">
        <f aca="false">(Inputs!$F$95/100*Inputs!$F$96/100)*Q63*Time!Q25/Inputs!$F$248</f>
        <v>1.20467276891367</v>
      </c>
      <c r="R108" s="13" t="n">
        <f aca="false">(Inputs!$F$95/100*Inputs!$F$96/100)*R63*Time!R25/Inputs!$F$248</f>
        <v>1.19263387060117</v>
      </c>
      <c r="S108" s="13" t="n">
        <f aca="false">(Inputs!$F$95/100*Inputs!$F$96/100)*S63*Time!S25/Inputs!$F$248</f>
        <v>1.14015387532892</v>
      </c>
      <c r="T108" s="13" t="n">
        <f aca="false">(Inputs!$F$95/100*Inputs!$F$96/100)*T63*Time!T25/Inputs!$F$248</f>
        <v>1.12447941663793</v>
      </c>
      <c r="U108" s="13" t="n">
        <f aca="false">(Inputs!$F$95/100*Inputs!$F$96/100)*U63*Time!U25/Inputs!$F$248</f>
        <v>1.0764875451388</v>
      </c>
      <c r="V108" s="13" t="n">
        <f aca="false">(Inputs!$F$95/100*Inputs!$F$96/100)*V63*Time!V25/Inputs!$F$248</f>
        <v>1.05100145994502</v>
      </c>
      <c r="W108" s="13" t="n">
        <f aca="false">(Inputs!$F$95/100*Inputs!$F$96/100)*W63*Time!W25/Inputs!$F$248</f>
        <v>0.994760298531002</v>
      </c>
      <c r="X108" s="13" t="n">
        <f aca="false">(Inputs!$F$95/100*Inputs!$F$96/100)*X63*Time!X25/Inputs!$F$248</f>
        <v>0.970279378924071</v>
      </c>
      <c r="Y108" s="13" t="n">
        <f aca="false">(Inputs!$F$95/100*Inputs!$F$96/100)*Y63*Time!Y25/Inputs!$F$248</f>
        <v>0.915277570216461</v>
      </c>
      <c r="Z108" s="13" t="n">
        <f aca="false">(Inputs!$F$95/100*Inputs!$F$96/100)*Z63*Time!Z25/Inputs!$F$248</f>
        <v>0.890597711770553</v>
      </c>
      <c r="AA108" s="13" t="n">
        <f aca="false">(Inputs!$F$95/100*Inputs!$F$96/100)*AA63*Time!AA25/Inputs!$F$248</f>
        <v>0.835252628151665</v>
      </c>
      <c r="AB108" s="13" t="n">
        <f aca="false">(Inputs!$F$95/100*Inputs!$F$96/100)*AB63*Time!AB25/Inputs!$F$248</f>
        <v>0.776271692749049</v>
      </c>
      <c r="AC108" s="13" t="n">
        <f aca="false">(Inputs!$F$95/100*Inputs!$F$96/100)*AC63*Time!AC25/Inputs!$F$248</f>
        <v>0.690491566428158</v>
      </c>
      <c r="AD108" s="13" t="n">
        <f aca="false">(Inputs!$F$95/100*Inputs!$F$96/100)*AD63*Time!AD25/Inputs!$F$248</f>
        <v>0.622538891893101</v>
      </c>
      <c r="AE108" s="13" t="n">
        <f aca="false">(Inputs!$F$95/100*Inputs!$F$96/100)*AE63*Time!AE25/Inputs!$F$248</f>
        <v>0.528609979703134</v>
      </c>
      <c r="AF108" s="13" t="n">
        <f aca="false">(Inputs!$F$95/100*Inputs!$F$96/100)*AF63*Time!AF25/Inputs!$F$248</f>
        <v>0.451405780578069</v>
      </c>
      <c r="AG108" s="13" t="n">
        <f aca="false">(Inputs!$F$95/100*Inputs!$F$96/100)*AG63*Time!AG25/Inputs!$F$248</f>
        <v>0.358065644058332</v>
      </c>
      <c r="AH108" s="13" t="n">
        <f aca="false">(Inputs!$F$95/100*Inputs!$F$96/100)*AH63*Time!AH25/Inputs!$F$248</f>
        <v>0.278567779814578</v>
      </c>
      <c r="AI108" s="13" t="n">
        <f aca="false">(Inputs!$F$95/100*Inputs!$F$96/100)*AI63*Time!AI25/Inputs!$F$248</f>
        <v>0.186921522410752</v>
      </c>
      <c r="AJ108" s="13" t="n">
        <f aca="false">(Inputs!$F$95/100*Inputs!$F$96/100)*AJ63*Time!AJ25/Inputs!$F$248</f>
        <v>0.103938761776062</v>
      </c>
      <c r="AK108" s="13" t="n">
        <f aca="false">(Inputs!$F$95/100*Inputs!$F$96/100)*AK63*Time!AK25/Inputs!$F$248</f>
        <v>0.0170664494428761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305.467426341277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21.0336680133254</v>
      </c>
      <c r="Q111" s="13" t="n">
        <f aca="false">Q23+Q37+Q51+Q65+Q79+Q92</f>
        <v>20.2493566468888</v>
      </c>
      <c r="R111" s="13" t="n">
        <f aca="false">R23+R37+R51+R65+R79+R92</f>
        <v>20.0469946844903</v>
      </c>
      <c r="S111" s="13" t="n">
        <f aca="false">S23+S37+S51+S65+S79+S92</f>
        <v>19.1954909661401</v>
      </c>
      <c r="T111" s="13" t="n">
        <f aca="false">T23+T37+T51+T65+T79+T92</f>
        <v>18.931597699878</v>
      </c>
      <c r="U111" s="13" t="n">
        <f aca="false">U23+U37+U51+U65+U79+U92</f>
        <v>18.1236124307457</v>
      </c>
      <c r="V111" s="13" t="n">
        <f aca="false">V23+V37+V51+V65+V79+V92</f>
        <v>17.6945318226933</v>
      </c>
      <c r="W111" s="13" t="n">
        <f aca="false">W23+W37+W51+W65+W79+W92</f>
        <v>16.7476625191648</v>
      </c>
      <c r="X111" s="13" t="n">
        <f aca="false">X23+X37+X51+X65+X79+X92</f>
        <v>16.3355047557909</v>
      </c>
      <c r="Y111" s="13" t="n">
        <f aca="false">Y23+Y37+Y51+Y65+Y79+Y92</f>
        <v>15.9076168550981</v>
      </c>
      <c r="Z111" s="13" t="n">
        <f aca="false">Z23+Z37+Z51+Z65+Z79+Z92</f>
        <v>15.4786784161252</v>
      </c>
      <c r="AA111" s="13" t="n">
        <f aca="false">AA23+AA37+AA51+AA65+AA79+AA92</f>
        <v>14.5167752583603</v>
      </c>
      <c r="AB111" s="13" t="n">
        <f aca="false">AB23+AB37+AB51+AB65+AB79+AB92</f>
        <v>13.7620107533851</v>
      </c>
      <c r="AC111" s="13" t="n">
        <f aca="false">AC23+AC37+AC51+AC65+AC79+AC92</f>
        <v>12.5651383894997</v>
      </c>
      <c r="AD111" s="13" t="n">
        <f aca="false">AD23+AD37+AD51+AD65+AD79+AD92</f>
        <v>11.6533959707258</v>
      </c>
      <c r="AE111" s="13" t="n">
        <f aca="false">AE23+AE37+AE51+AE65+AE79+AE92</f>
        <v>10.3135824933583</v>
      </c>
      <c r="AF111" s="13" t="n">
        <f aca="false">AF23+AF37+AF51+AF65+AF79+AF92</f>
        <v>9.28946820243678</v>
      </c>
      <c r="AG111" s="13" t="n">
        <f aca="false">AG23+AG37+AG51+AG65+AG79+AG92</f>
        <v>8.12909146042063</v>
      </c>
      <c r="AH111" s="13" t="n">
        <f aca="false">AH23+AH37+AH51+AH65+AH79+AH92</f>
        <v>7.00103969482277</v>
      </c>
      <c r="AI111" s="13" t="n">
        <f aca="false">AI23+AI37+AI51+AI65+AI79+AI92</f>
        <v>5.59266007887534</v>
      </c>
      <c r="AJ111" s="13" t="n">
        <f aca="false">AJ23+AJ37+AJ51+AJ65+AJ79+AJ92</f>
        <v>4.37637714830738</v>
      </c>
      <c r="AK111" s="13" t="n">
        <f aca="false">AK23+AK37+AK51+AK65+AK79+AK92</f>
        <v>3.00298313233989</v>
      </c>
      <c r="AL111" s="13" t="n">
        <f aca="false">AL23+AL37+AL51+AL65+AL79+AL92</f>
        <v>2.29850630035785</v>
      </c>
      <c r="AM111" s="13" t="n">
        <f aca="false">AM23+AM37+AM51+AM65+AM79+AM92</f>
        <v>1.65282313773938</v>
      </c>
      <c r="AN111" s="13" t="n">
        <f aca="false">AN23+AN37+AN51+AN65+AN79+AN92</f>
        <v>1.04907859052596</v>
      </c>
      <c r="AO111" s="13" t="n">
        <f aca="false">AO23+AO37+AO51+AO65+AO79+AO92</f>
        <v>0.519780919780699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313.798043358467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21.7528573149255</v>
      </c>
      <c r="Q112" s="13" t="n">
        <f aca="false">Q111+Q107+Q108+Q109</f>
        <v>21.0085513014423</v>
      </c>
      <c r="R112" s="13" t="n">
        <f aca="false">R111+R107+R108+R109</f>
        <v>20.6810568855824</v>
      </c>
      <c r="S112" s="13" t="n">
        <f aca="false">S111+S107+S108+S109</f>
        <v>19.8905081387575</v>
      </c>
      <c r="T112" s="13" t="n">
        <f aca="false">T111+T107+T108+T109</f>
        <v>19.5062318364031</v>
      </c>
      <c r="U112" s="13" t="n">
        <f aca="false">U111+U107+U108+U109</f>
        <v>18.7440650849742</v>
      </c>
      <c r="V112" s="13" t="n">
        <f aca="false">V111+V107+V108+V109</f>
        <v>18.2316170796452</v>
      </c>
      <c r="W112" s="13" t="n">
        <f aca="false">W111+W107+W108+W109</f>
        <v>17.354050398097</v>
      </c>
      <c r="X112" s="13" t="n">
        <f aca="false">X111+X107+X108+X109</f>
        <v>16.8313392235869</v>
      </c>
      <c r="Y112" s="13" t="n">
        <f aca="false">Y111+Y107+Y108+Y109</f>
        <v>16.4655535009991</v>
      </c>
      <c r="Z112" s="13" t="n">
        <f aca="false">Z111+Z107+Z108+Z109</f>
        <v>15.9337937695255</v>
      </c>
      <c r="AA112" s="13" t="n">
        <f aca="false">AA111+AA107+AA108+AA109</f>
        <v>15.0259301475385</v>
      </c>
      <c r="AB112" s="13" t="n">
        <f aca="false">AB111+AB107+AB108+AB109</f>
        <v>14.1439785278877</v>
      </c>
      <c r="AC112" s="13" t="n">
        <f aca="false">AC111+AC107+AC108+AC109</f>
        <v>12.9364852962399</v>
      </c>
      <c r="AD112" s="13" t="n">
        <f aca="false">AD111+AD107+AD108+AD109</f>
        <v>11.9261221047893</v>
      </c>
      <c r="AE112" s="13" t="n">
        <f aca="false">AE111+AE107+AE108+AE109</f>
        <v>10.586831840588</v>
      </c>
      <c r="AF112" s="13" t="n">
        <f aca="false">AF111+AF107+AF108+AF109</f>
        <v>9.44149495446864</v>
      </c>
      <c r="AG112" s="13" t="n">
        <f aca="false">AG111+AG107+AG108+AG109</f>
        <v>8.27295090506829</v>
      </c>
      <c r="AH112" s="13" t="n">
        <f aca="false">AH111+AH107+AH108+AH109</f>
        <v>7.03402712295882</v>
      </c>
      <c r="AI112" s="13" t="n">
        <f aca="false">AI111+AI107+AI108+AI109</f>
        <v>5.60909101785615</v>
      </c>
      <c r="AJ112" s="13" t="n">
        <f aca="false">AJ111+AJ107+AJ108+AJ109</f>
        <v>4.2925945201073</v>
      </c>
      <c r="AK112" s="13" t="n">
        <f aca="false">AK111+AK107+AK108+AK109</f>
        <v>2.88554630052377</v>
      </c>
      <c r="AL112" s="13" t="n">
        <f aca="false">AL111+AL107+AL108+AL109</f>
        <v>2.17331054109689</v>
      </c>
      <c r="AM112" s="13" t="n">
        <f aca="false">AM111+AM107+AM108+AM109</f>
        <v>1.58094261128887</v>
      </c>
      <c r="AN112" s="13" t="n">
        <f aca="false">AN111+AN107+AN108+AN109</f>
        <v>0.991937050106917</v>
      </c>
      <c r="AO112" s="13" t="n">
        <f aca="false">AO111+AO107+AO108+AO109</f>
        <v>0.497175884009074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541.267063033362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15.4874056081167</v>
      </c>
      <c r="Q113" s="13" t="n">
        <f aca="false">Q27+Q41+Q55+Q69+Q83+Q93</f>
        <v>16.1428594079323</v>
      </c>
      <c r="R113" s="13" t="n">
        <f aca="false">R27+R41+R55+R69+R83+R93</f>
        <v>16.9380358619165</v>
      </c>
      <c r="S113" s="13" t="n">
        <f aca="false">S27+S41+S55+S69+S83+S93</f>
        <v>17.4371723768723</v>
      </c>
      <c r="T113" s="13" t="n">
        <f aca="false">T27+T41+T55+T69+T83+T93</f>
        <v>18.2392760576165</v>
      </c>
      <c r="U113" s="13" t="n">
        <f aca="false">U27+U41+U55+U69+U83+U93</f>
        <v>18.8209586798252</v>
      </c>
      <c r="V113" s="13" t="n">
        <f aca="false">V27+V41+V55+V69+V83+V93</f>
        <v>20.0505186129444</v>
      </c>
      <c r="W113" s="13" t="n">
        <f aca="false">W27+W41+W55+W69+W83+W93</f>
        <v>20.6634506613212</v>
      </c>
      <c r="X113" s="13" t="n">
        <f aca="false">X27+X41+X55+X69+X83+X93</f>
        <v>20.0898801080821</v>
      </c>
      <c r="Y113" s="13" t="n">
        <f aca="false">Y27+Y41+Y55+Y69+Y83+Y93</f>
        <v>20.0993333906221</v>
      </c>
      <c r="Z113" s="13" t="n">
        <f aca="false">Z27+Z41+Z55+Z69+Z83+Z93</f>
        <v>20.9320076683174</v>
      </c>
      <c r="AA113" s="13" t="n">
        <f aca="false">AA27+AA41+AA55+AA69+AA83+AA93</f>
        <v>21.5428561313883</v>
      </c>
      <c r="AB113" s="13" t="n">
        <f aca="false">AB27+AB41+AB55+AB69+AB83+AB93</f>
        <v>22.2517471000253</v>
      </c>
      <c r="AC113" s="13" t="n">
        <f aca="false">AC27+AC41+AC55+AC69+AC83+AC93</f>
        <v>22.5804020245981</v>
      </c>
      <c r="AD113" s="13" t="n">
        <f aca="false">AD27+AD41+AD55+AD69+AD83+AD93</f>
        <v>24.2076008730535</v>
      </c>
      <c r="AE113" s="13" t="n">
        <f aca="false">AE27+AE41+AE55+AE69+AE83+AE93</f>
        <v>24.622194344941</v>
      </c>
      <c r="AF113" s="13" t="n">
        <f aca="false">AF27+AF41+AF55+AF69+AF83+AF93</f>
        <v>24.7453349525799</v>
      </c>
      <c r="AG113" s="13" t="n">
        <f aca="false">AG27+AG41+AG55+AG69+AG83+AG93</f>
        <v>24.3062537164367</v>
      </c>
      <c r="AH113" s="13" t="n">
        <f aca="false">AH27+AH41+AH55+AH69+AH83+AH93</f>
        <v>24.4317276182998</v>
      </c>
      <c r="AI113" s="13" t="n">
        <f aca="false">AI27+AI41+AI55+AI69+AI83+AI93</f>
        <v>23.6926077778341</v>
      </c>
      <c r="AJ113" s="13" t="n">
        <f aca="false">AJ27+AJ41+AJ55+AJ69+AJ83+AJ93</f>
        <v>22.9395432825033</v>
      </c>
      <c r="AK113" s="13" t="n">
        <f aca="false">AK27+AK41+AK55+AK69+AK83+AK93</f>
        <v>20.9807670575229</v>
      </c>
      <c r="AL113" s="13" t="n">
        <f aca="false">AL27+AL41+AL55+AL69+AL83+AL93</f>
        <v>21.5371753626875</v>
      </c>
      <c r="AM113" s="13" t="n">
        <f aca="false">AM27+AM41+AM55+AM69+AM83+AM93</f>
        <v>21.9848248374616</v>
      </c>
      <c r="AN113" s="13" t="n">
        <f aca="false">AN27+AN41+AN55+AN69+AN83+AN93</f>
        <v>18.1372195023754</v>
      </c>
      <c r="AO113" s="13" t="n">
        <f aca="false">AO27+AO41+AO55+AO69+AO83+AO93</f>
        <v>18.4059100180881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855.065106391829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37.2402629230422</v>
      </c>
      <c r="Q114" s="13" t="n">
        <f aca="false">Q112+Q113</f>
        <v>37.1514107093746</v>
      </c>
      <c r="R114" s="13" t="n">
        <f aca="false">R112+R113</f>
        <v>37.6190927474989</v>
      </c>
      <c r="S114" s="13" t="n">
        <f aca="false">S112+S113</f>
        <v>37.3276805156298</v>
      </c>
      <c r="T114" s="13" t="n">
        <f aca="false">T112+T113</f>
        <v>37.7455078940196</v>
      </c>
      <c r="U114" s="13" t="n">
        <f aca="false">U112+U113</f>
        <v>37.5650237647994</v>
      </c>
      <c r="V114" s="13" t="n">
        <f aca="false">V112+V113</f>
        <v>38.2821356925896</v>
      </c>
      <c r="W114" s="13" t="n">
        <f aca="false">W112+W113</f>
        <v>38.0175010594182</v>
      </c>
      <c r="X114" s="13" t="n">
        <f aca="false">X112+X113</f>
        <v>36.9212193316689</v>
      </c>
      <c r="Y114" s="13" t="n">
        <f aca="false">Y112+Y113</f>
        <v>36.5648868916211</v>
      </c>
      <c r="Z114" s="13" t="n">
        <f aca="false">Z112+Z113</f>
        <v>36.8658014378429</v>
      </c>
      <c r="AA114" s="13" t="n">
        <f aca="false">AA112+AA113</f>
        <v>36.5687862789268</v>
      </c>
      <c r="AB114" s="13" t="n">
        <f aca="false">AB112+AB113</f>
        <v>36.395725627913</v>
      </c>
      <c r="AC114" s="13" t="n">
        <f aca="false">AC112+AC113</f>
        <v>35.5168873208379</v>
      </c>
      <c r="AD114" s="13" t="n">
        <f aca="false">AD112+AD113</f>
        <v>36.1337229778428</v>
      </c>
      <c r="AE114" s="13" t="n">
        <f aca="false">AE112+AE113</f>
        <v>35.209026185529</v>
      </c>
      <c r="AF114" s="13" t="n">
        <f aca="false">AF112+AF113</f>
        <v>34.1868299070486</v>
      </c>
      <c r="AG114" s="13" t="n">
        <f aca="false">AG112+AG113</f>
        <v>32.5792046215049</v>
      </c>
      <c r="AH114" s="13" t="n">
        <f aca="false">AH112+AH113</f>
        <v>31.4657547412586</v>
      </c>
      <c r="AI114" s="13" t="n">
        <f aca="false">AI112+AI113</f>
        <v>29.3016987956903</v>
      </c>
      <c r="AJ114" s="13" t="n">
        <f aca="false">AJ112+AJ113</f>
        <v>27.2321378026107</v>
      </c>
      <c r="AK114" s="13" t="n">
        <f aca="false">AK112+AK113</f>
        <v>23.8663133580467</v>
      </c>
      <c r="AL114" s="13" t="n">
        <f aca="false">AL112+AL113</f>
        <v>23.7104859037844</v>
      </c>
      <c r="AM114" s="13" t="n">
        <f aca="false">AM112+AM113</f>
        <v>23.5657674487505</v>
      </c>
      <c r="AN114" s="13" t="n">
        <f aca="false">AN112+AN113</f>
        <v>19.1291565524823</v>
      </c>
      <c r="AO114" s="13" t="n">
        <f aca="false">AO112+AO113</f>
        <v>18.9030859020972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633.161570316554</v>
      </c>
      <c r="Q115" s="13" t="n">
        <f aca="false">Q21+Q35+Q49+Q63+Q77+Q91</f>
        <v>617.674164708437</v>
      </c>
      <c r="R115" s="13" t="n">
        <f aca="false">R21+R35+R49+R63+R77+R91</f>
        <v>601.531305300505</v>
      </c>
      <c r="S115" s="13" t="n">
        <f aca="false">S21+S35+S49+S63+S77+S91</f>
        <v>584.593269438588</v>
      </c>
      <c r="T115" s="13" t="n">
        <f aca="false">T21+T35+T49+T63+T77+T91</f>
        <v>567.156097061716</v>
      </c>
      <c r="U115" s="13" t="n">
        <f aca="false">U21+U35+U49+U63+U77+U91</f>
        <v>548.9168210041</v>
      </c>
      <c r="V115" s="13" t="n">
        <f aca="false">V21+V35+V49+V63+V77+V91</f>
        <v>530.095862324274</v>
      </c>
      <c r="W115" s="13" t="n">
        <f aca="false">W21+W35+W49+W63+W77+W91</f>
        <v>510.04534371133</v>
      </c>
      <c r="X115" s="13" t="n">
        <f aca="false">X21+X35+X49+X63+X77+X91</f>
        <v>489.381893050009</v>
      </c>
      <c r="Y115" s="13" t="n">
        <f aca="false">Y21+Y35+Y49+Y63+Y77+Y91</f>
        <v>469.292012941927</v>
      </c>
      <c r="Z115" s="13" t="n">
        <f aca="false">Z21+Z35+Z49+Z63+Z77+Z91</f>
        <v>449.192679551305</v>
      </c>
      <c r="AA115" s="13" t="n">
        <f aca="false">AA21+AA35+AA49+AA63+AA77+AA91</f>
        <v>428.260671882987</v>
      </c>
      <c r="AB115" s="13" t="n">
        <f aca="false">AB21+AB35+AB49+AB63+AB77+AB91</f>
        <v>400.946377342027</v>
      </c>
      <c r="AC115" s="13" t="n">
        <f aca="false">AC21+AC35+AC49+AC63+AC77+AC91</f>
        <v>371.965257640642</v>
      </c>
      <c r="AD115" s="13" t="n">
        <f aca="false">AD21+AD35+AD49+AD63+AD77+AD91</f>
        <v>343.028766304487</v>
      </c>
      <c r="AE115" s="13" t="n">
        <f aca="false">AE21+AE35+AE49+AE63+AE77+AE91</f>
        <v>310.918056633488</v>
      </c>
      <c r="AF115" s="13" t="n">
        <f aca="false">AF21+AF35+AF49+AF63+AF77+AF91</f>
        <v>277.975798444217</v>
      </c>
      <c r="AG115" s="13" t="n">
        <f aca="false">AG21+AG35+AG49+AG63+AG77+AG91</f>
        <v>244.179958653804</v>
      </c>
      <c r="AH115" s="13" t="n">
        <f aca="false">AH21+AH35+AH49+AH63+AH77+AH91</f>
        <v>210.444119452467</v>
      </c>
      <c r="AI115" s="13" t="n">
        <f aca="false">AI21+AI35+AI49+AI63+AI77+AI91</f>
        <v>175.239583536486</v>
      </c>
      <c r="AJ115" s="13" t="n">
        <f aca="false">AJ21+AJ35+AJ49+AJ63+AJ77+AJ91</f>
        <v>139.972540215403</v>
      </c>
      <c r="AK115" s="13" t="n">
        <f aca="false">AK21+AK35+AK49+AK63+AK77+AK91</f>
        <v>103.683653145674</v>
      </c>
      <c r="AL115" s="13" t="n">
        <f aca="false">AL21+AL35+AL49+AL63+AL77+AL91</f>
        <v>80.0651297206127</v>
      </c>
      <c r="AM115" s="13" t="n">
        <f aca="false">AM21+AM35+AM49+AM63+AM77+AM91</f>
        <v>58.5279543579251</v>
      </c>
      <c r="AN115" s="13" t="n">
        <f aca="false">AN21+AN35+AN49+AN63+AN77+AN91</f>
        <v>36.5431295204635</v>
      </c>
      <c r="AO115" s="13" t="n">
        <f aca="false">AO21+AO35+AO49+AO63+AO77+AO91</f>
        <v>18.4059100180881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633.161570316554</v>
      </c>
      <c r="P116" s="13" t="n">
        <f aca="false">P33+P47+P61+P75+P89+P95</f>
        <v>617.674164708437</v>
      </c>
      <c r="Q116" s="13" t="n">
        <f aca="false">Q33+Q47+Q61+Q75+Q89+Q95</f>
        <v>601.531305300505</v>
      </c>
      <c r="R116" s="13" t="n">
        <f aca="false">R33+R47+R61+R75+R89+R95</f>
        <v>584.593269438588</v>
      </c>
      <c r="S116" s="13" t="n">
        <f aca="false">S33+S47+S61+S75+S89+S95</f>
        <v>567.156097061716</v>
      </c>
      <c r="T116" s="13" t="n">
        <f aca="false">T33+T47+T61+T75+T89+T95</f>
        <v>548.9168210041</v>
      </c>
      <c r="U116" s="13" t="n">
        <f aca="false">U33+U47+U61+U75+U89+U95</f>
        <v>530.095862324274</v>
      </c>
      <c r="V116" s="13" t="n">
        <f aca="false">V33+V47+V61+V75+V89+V95</f>
        <v>510.04534371133</v>
      </c>
      <c r="W116" s="13" t="n">
        <f aca="false">W33+W47+W61+W75+W89+W95</f>
        <v>489.381893050009</v>
      </c>
      <c r="X116" s="13" t="n">
        <f aca="false">X33+X47+X61+X75+X89+X95</f>
        <v>469.292012941927</v>
      </c>
      <c r="Y116" s="13" t="n">
        <f aca="false">Y33+Y47+Y61+Y75+Y89+Y95</f>
        <v>449.192679551305</v>
      </c>
      <c r="Z116" s="13" t="n">
        <f aca="false">Z33+Z47+Z61+Z75+Z89+Z95</f>
        <v>428.260671882987</v>
      </c>
      <c r="AA116" s="13" t="n">
        <f aca="false">AA33+AA47+AA61+AA75+AA89+AA95</f>
        <v>400.946377342027</v>
      </c>
      <c r="AB116" s="13" t="n">
        <f aca="false">AB33+AB47+AB61+AB75+AB89+AB95</f>
        <v>371.965257640642</v>
      </c>
      <c r="AC116" s="13" t="n">
        <f aca="false">AC33+AC47+AC61+AC75+AC89+AC95</f>
        <v>343.028766304487</v>
      </c>
      <c r="AD116" s="13" t="n">
        <f aca="false">AD33+AD47+AD61+AD75+AD89+AD95</f>
        <v>310.918056633488</v>
      </c>
      <c r="AE116" s="13" t="n">
        <f aca="false">AE33+AE47+AE61+AE75+AE89+AE95</f>
        <v>277.975798444217</v>
      </c>
      <c r="AF116" s="13" t="n">
        <f aca="false">AF33+AF47+AF61+AF75+AF89+AF95</f>
        <v>244.179958653804</v>
      </c>
      <c r="AG116" s="13" t="n">
        <f aca="false">AG33+AG47+AG61+AG75+AG89+AG95</f>
        <v>210.444119452467</v>
      </c>
      <c r="AH116" s="13" t="n">
        <f aca="false">AH33+AH47+AH61+AH75+AH89+AH95</f>
        <v>175.239583536486</v>
      </c>
      <c r="AI116" s="13" t="n">
        <f aca="false">AI33+AI47+AI61+AI75+AI89+AI95</f>
        <v>139.972540215403</v>
      </c>
      <c r="AJ116" s="13" t="n">
        <f aca="false">AJ33+AJ47+AJ61+AJ75+AJ89+AJ95</f>
        <v>103.683653145674</v>
      </c>
      <c r="AK116" s="13" t="n">
        <f aca="false">AK33+AK47+AK61+AK75+AK89+AK95</f>
        <v>80.0651297206127</v>
      </c>
      <c r="AL116" s="13" t="n">
        <f aca="false">AL33+AL47+AL61+AL75+AL89+AL95</f>
        <v>58.5279543579251</v>
      </c>
      <c r="AM116" s="13" t="n">
        <f aca="false">AM33+AM47+AM61+AM75+AM89+AM95</f>
        <v>36.5431295204635</v>
      </c>
      <c r="AN116" s="13" t="n">
        <f aca="false">AN33+AN47+AN61+AN75+AN89+AN95</f>
        <v>18.4059100180881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240.60139672029</v>
      </c>
      <c r="P118" s="13" t="n">
        <f aca="false">IF(Time!P34=1,P75,P73)</f>
        <v>234.716182589206</v>
      </c>
      <c r="Q118" s="13" t="n">
        <f aca="false">IF(Time!Q34=1,Q75,Q73)</f>
        <v>228.581896014192</v>
      </c>
      <c r="R118" s="13" t="n">
        <f aca="false">IF(Time!R34=1,R75,R73)</f>
        <v>222.145442386664</v>
      </c>
      <c r="S118" s="13" t="n">
        <f aca="false">IF(Time!S34=1,S75,S73)</f>
        <v>215.519316883452</v>
      </c>
      <c r="T118" s="13" t="n">
        <f aca="false">IF(Time!T34=1,T75,T73)</f>
        <v>208.588391981558</v>
      </c>
      <c r="U118" s="13" t="n">
        <f aca="false">IF(Time!U34=1,U75,U73)</f>
        <v>201.436427683224</v>
      </c>
      <c r="V118" s="13" t="n">
        <f aca="false">IF(Time!V34=1,V75,V73)</f>
        <v>193.817230610305</v>
      </c>
      <c r="W118" s="13" t="n">
        <f aca="false">IF(Time!W34=1,W75,W73)</f>
        <v>185.965119359003</v>
      </c>
      <c r="X118" s="13" t="n">
        <f aca="false">IF(Time!X34=1,X75,X73)</f>
        <v>178.330964917932</v>
      </c>
      <c r="Y118" s="13" t="n">
        <f aca="false">IF(Time!Y34=1,Y75,Y73)</f>
        <v>170.693218229496</v>
      </c>
      <c r="Z118" s="13" t="n">
        <f aca="false">IF(Time!Z34=1,Z75,Z73)</f>
        <v>162.739055315535</v>
      </c>
      <c r="AA118" s="13" t="n">
        <f aca="false">IF(Time!AA34=1,AA75,AA73)</f>
        <v>154.552769985608</v>
      </c>
      <c r="AB118" s="13" t="n">
        <f aca="false">IF(Time!AB34=1,AB75,AB73)</f>
        <v>140.52425594068</v>
      </c>
      <c r="AC118" s="13" t="n">
        <f aca="false">IF(Time!AC34=1,AC75,AC73)</f>
        <v>125.672774640785</v>
      </c>
      <c r="AD118" s="13" t="n">
        <f aca="false">IF(Time!AD34=1,AD75,AD73)</f>
        <v>110.89648568515</v>
      </c>
      <c r="AE118" s="13" t="n">
        <f aca="false">IF(Time!AE34=1,AE75,AE73)</f>
        <v>94.8371347910821</v>
      </c>
      <c r="AF118" s="13" t="n">
        <f aca="false">IF(Time!AF34=1,AF75,AF73)</f>
        <v>78.8153432723443</v>
      </c>
      <c r="AG118" s="13" t="n">
        <f aca="false">IF(Time!AG34=1,AG75,AG73)</f>
        <v>62.8202805239267</v>
      </c>
      <c r="AH118" s="13" t="n">
        <f aca="false">IF(Time!AH34=1,AH75,AH73)</f>
        <v>47.1922470997865</v>
      </c>
      <c r="AI118" s="13" t="n">
        <f aca="false">IF(Time!AI34=1,AI75,AI73)</f>
        <v>31.4954857681298</v>
      </c>
      <c r="AJ118" s="13" t="n">
        <f aca="false">IF(Time!AJ34=1,AJ75,AJ73)</f>
        <v>16.6562684815235</v>
      </c>
      <c r="AK118" s="13" t="n">
        <f aca="false">IF(Time!AK34=1,AK75,AK73)</f>
        <v>2.63775636753845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8.95678565315012</v>
      </c>
      <c r="P119" s="13" t="n">
        <f aca="false">IF(AND(Time!P20&gt;=Time!$F$12,Time!Q20&gt;0),(IF(Time!P34=1,P33,P31)-P30)*Q19+IF(Time!Q46&gt;0,Time!Q45*P30/Time!Q46,0)+IF(Time!P34=1,P33,P31)*Q10,0)</f>
        <v>8.99805487406746</v>
      </c>
      <c r="Q119" s="13" t="n">
        <f aca="false">IF(AND(Time!Q20&gt;=Time!$F$12,Time!R20&gt;0),(IF(Time!Q34=1,Q33,Q31)-Q30)*R19+IF(Time!R46&gt;0,Time!R45*Q30/Time!R46,0)+IF(Time!Q34=1,Q33,Q31)*R10,0)</f>
        <v>9.19508284509</v>
      </c>
      <c r="R119" s="13" t="n">
        <f aca="false">IF(AND(Time!R20&gt;=Time!$F$12,Time!S20&gt;0),(IF(Time!R34=1,R33,R31)-R30)*S19+IF(Time!S46&gt;0,Time!S45*R30/Time!S46,0)+IF(Time!R34=1,R33,R31)*S10,0)</f>
        <v>9.172625683934</v>
      </c>
      <c r="S119" s="13" t="n">
        <f aca="false">IF(AND(Time!S20&gt;=Time!$F$12,Time!T20&gt;0),(IF(Time!S34=1,S33,S31)-S30)*T19+IF(Time!T46&gt;0,Time!T45*S30/Time!T46,0)+IF(Time!S34=1,S33,S31)*T10,0)</f>
        <v>9.35907070654595</v>
      </c>
      <c r="T119" s="13" t="n">
        <f aca="false">IF(AND(Time!T20&gt;=Time!$F$12,Time!U20&gt;0),(IF(Time!T34=1,T33,T31)-T30)*U19+IF(Time!U46&gt;0,Time!U45*T30/Time!U46,0)+IF(Time!T34=1,T33,T31)*U10,0)</f>
        <v>9.36766919194486</v>
      </c>
      <c r="U119" s="13" t="n">
        <f aca="false">IF(AND(Time!U20&gt;=Time!$F$12,Time!V20&gt;0),(IF(Time!U34=1,U33,U31)-U30)*V19+IF(Time!V46&gt;0,Time!V45*U30/Time!V46,0)+IF(Time!U34=1,U33,U31)*V10,0)</f>
        <v>9.64843262425388</v>
      </c>
      <c r="V119" s="13" t="n">
        <f aca="false">IF(AND(Time!V20&gt;=Time!$F$12,Time!W20&gt;0),(IF(Time!V34=1,V33,V31)-V30)*W19+IF(Time!W46&gt;0,Time!W45*V30/Time!W46,0)+IF(Time!V34=1,V33,V31)*W10,0)</f>
        <v>9.63788841703406</v>
      </c>
      <c r="W119" s="13" t="n">
        <f aca="false">IF(AND(Time!W20&gt;=Time!$F$12,Time!X20&gt;0),(IF(Time!W34=1,W33,W31)-W30)*X19+IF(Time!X46&gt;0,Time!X45*W30/Time!X46,0)+IF(Time!W34=1,W33,W31)*X10,0)</f>
        <v>9.38118752738938</v>
      </c>
      <c r="X119" s="13" t="n">
        <f aca="false">IF(AND(Time!X20&gt;=Time!$F$12,Time!Y20&gt;0),(IF(Time!X34=1,X33,X31)-X30)*Y19+IF(Time!Y46&gt;0,Time!Y45*X30/Time!Y46,0)+IF(Time!X34=1,X33,X31)*Y10,0)</f>
        <v>9.19388409144432</v>
      </c>
      <c r="Y119" s="13" t="n">
        <f aca="false">IF(AND(Time!Y20&gt;=Time!$F$12,Time!Z20&gt;0),(IF(Time!Y34=1,Y33,Y31)-Y30)*Z19+IF(Time!Z46&gt;0,Time!Z45*Y30/Time!Z46,0)+IF(Time!Y34=1,Y33,Y31)*Z10,0)</f>
        <v>9.35836892613984</v>
      </c>
      <c r="Z119" s="13" t="n">
        <f aca="false">IF(AND(Time!Z20&gt;=Time!$F$12,Time!AA20&gt;0),(IF(Time!Z34=1,Z33,Z31)-Z30)*AA19+IF(Time!AA46&gt;0,Time!AA45*Z30/Time!AA46,0)+IF(Time!Z34=1,Z33,Z31)*AA10,0)</f>
        <v>9.35029735441955</v>
      </c>
      <c r="AA119" s="13" t="n">
        <f aca="false">IF(AND(Time!AA20&gt;=Time!$F$12,Time!AB20&gt;0),(IF(Time!AA34=1,AA33,AA31)-AA30)*AB19+IF(Time!AB46&gt;0,Time!AB45*AA30/Time!AB46,0)+IF(Time!AA34=1,AA33,AA31)*AB10,0)</f>
        <v>9.55925913400162</v>
      </c>
      <c r="AB119" s="13" t="n">
        <f aca="false">IF(AND(Time!AB20&gt;=Time!$F$12,Time!AC20&gt;0),(IF(Time!AB34=1,AB33,AB31)-AB30)*AC19+IF(Time!AC46&gt;0,Time!AC45*AB30/Time!AC46,0)+IF(Time!AB34=1,AB33,AB31)*AC10,0)</f>
        <v>9.60026459741062</v>
      </c>
      <c r="AC119" s="13" t="n">
        <f aca="false">IF(AND(Time!AC20&gt;=Time!$F$12,Time!AD20&gt;0),(IF(Time!AC34=1,AC33,AC31)-AC30)*AD19+IF(Time!AD46&gt;0,Time!AD45*AC30/Time!AD46,0)+IF(Time!AC34=1,AC33,AC31)*AD10,0)</f>
        <v>10.1121660833822</v>
      </c>
      <c r="AD119" s="13" t="n">
        <f aca="false">IF(AND(Time!AD20&gt;=Time!$F$12,Time!AE20&gt;0),(IF(Time!AD34=1,AD33,AD31)-AD30)*AE19+IF(Time!AE46&gt;0,Time!AE45*AD30/Time!AE46,0)+IF(Time!AD34=1,AD33,AD31)*AE10,0)</f>
        <v>10.2284933010727</v>
      </c>
      <c r="AE119" s="13" t="n">
        <f aca="false">IF(AND(Time!AE20&gt;=Time!$F$12,Time!AF20&gt;0),(IF(Time!AE34=1,AE33,AE31)-AE30)*AF19+IF(Time!AF46&gt;0,Time!AF45*AE30/Time!AF46,0)+IF(Time!AE34=1,AE33,AE31)*AF10,0)</f>
        <v>10.3634520995471</v>
      </c>
      <c r="AF119" s="13" t="n">
        <f aca="false">IF(AND(Time!AF20&gt;=Time!$F$12,Time!AG20&gt;0),(IF(Time!AF34=1,AF33,AF31)-AF30)*AG19+IF(Time!AG46&gt;0,Time!AG45*AF30/Time!AG46,0)+IF(Time!AF34=1,AF33,AF31)*AG10,0)</f>
        <v>10.2975146549262</v>
      </c>
      <c r="AG119" s="13" t="n">
        <f aca="false">IF(AND(Time!AG20&gt;=Time!$F$12,Time!AH20&gt;0),(IF(Time!AG34=1,AG33,AG31)-AG30)*AH19+IF(Time!AH46&gt;0,Time!AH45*AG30/Time!AH46,0)+IF(Time!AG34=1,AG33,AG31)*AH10,0)</f>
        <v>10.5587549591094</v>
      </c>
      <c r="AH119" s="13" t="n">
        <f aca="false">IF(AND(Time!AH20&gt;=Time!$F$12,Time!AI20&gt;0),(IF(Time!AH34=1,AH33,AH31)-AH30)*AI19+IF(Time!AI46&gt;0,Time!AI45*AH30/Time!AI46,0)+IF(Time!AH34=1,AH33,AH31)*AI10,0)</f>
        <v>10.5912202322466</v>
      </c>
      <c r="AI119" s="13" t="n">
        <f aca="false">IF(AND(Time!AI20&gt;=Time!$F$12,Time!AJ20&gt;0),(IF(Time!AI34=1,AI33,AI31)-AI30)*AJ19+IF(Time!AJ46&gt;0,Time!AJ45*AI30/Time!AJ46,0)+IF(Time!AI34=1,AI33,AI31)*AJ10,0)</f>
        <v>10.8471957647401</v>
      </c>
      <c r="AJ119" s="13" t="n">
        <f aca="false">IF(AND(Time!AJ20&gt;=Time!$F$12,Time!AK20&gt;0),(IF(Time!AJ34=1,AJ33,AJ31)-AJ30)*AK19+IF(Time!AK46&gt;0,Time!AK45*AJ30/Time!AK46,0)+IF(Time!AJ34=1,AJ33,AJ31)*AK10,0)</f>
        <v>10.9257800802662</v>
      </c>
      <c r="AK119" s="13" t="n">
        <f aca="false">IF(AND(Time!AK20&gt;=Time!$F$12,Time!AL20&gt;0),(IF(Time!AK34=1,AK33,AK31)-AK30)*AL19+IF(Time!AL46&gt;0,Time!AL45*AK30/Time!AL46,0)+IF(Time!AK34=1,AK33,AK31)*AL10,0)</f>
        <v>11.3063209805022</v>
      </c>
      <c r="AL119" s="13" t="n">
        <f aca="false">IF(AND(Time!AL20&gt;=Time!$F$12,Time!AM20&gt;0),(IF(Time!AL34=1,AL33,AL31)-AL30)*AM19+IF(Time!AM46&gt;0,Time!AM45*AL30/Time!AM46,0)+IF(Time!AL34=1,AL33,AL31)*AM10,0)</f>
        <v>11.2742863734003</v>
      </c>
      <c r="AM119" s="13" t="n">
        <f aca="false">IF(AND(Time!AM20&gt;=Time!$F$12,Time!AN20&gt;0),(IF(Time!AM34=1,AM33,AM31)-AM30)*AN19+IF(Time!AN46&gt;0,Time!AN45*AM30/Time!AN46,0)+IF(Time!AM34=1,AM33,AM31)*AN10,0)</f>
        <v>9.18005235555784</v>
      </c>
      <c r="AN119" s="13" t="n">
        <f aca="false">IF(AND(Time!AN20&gt;=Time!$F$12,Time!AO20&gt;0),(IF(Time!AN34=1,AN33,AN31)-AN30)*AO19+IF(Time!AO46&gt;0,Time!AO45*AN30/Time!AO46,0)+IF(Time!AN34=1,AN33,AN31)*AO10,0)</f>
        <v>9.10624234233208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8.20580600238654</v>
      </c>
      <c r="P120" s="13" t="n">
        <f aca="false">IF(AND(Time!P20&gt;=Time!$F$12,Time!Q20&gt;0),(IF(Time!P34=1,P47,P45)-P44)*Q19+IF(Time!Q46&gt;0,Time!Q45*P44/Time!Q46,0)+IF(Time!P34=1,P47,P45)*Q11,0)</f>
        <v>8.16997096456578</v>
      </c>
      <c r="Q120" s="13" t="n">
        <f aca="false">IF(AND(Time!Q20&gt;=Time!$F$12,Time!R20&gt;0),(IF(Time!Q34=1,Q47,Q45)-Q44)*R19+IF(Time!R46&gt;0,Time!R45*Q44/Time!R46,0)+IF(Time!Q34=1,Q47,Q45)*R11,0)</f>
        <v>8.29875438219651</v>
      </c>
      <c r="R120" s="13" t="n">
        <f aca="false">IF(AND(Time!R20&gt;=Time!$F$12,Time!S20&gt;0),(IF(Time!R34=1,R47,R45)-R44)*S19+IF(Time!S46&gt;0,Time!S45*R44/Time!S46,0)+IF(Time!R34=1,R47,R45)*S11,0)</f>
        <v>8.2138299230739</v>
      </c>
      <c r="S120" s="13" t="n">
        <f aca="false">IF(AND(Time!S20&gt;=Time!$F$12,Time!T20&gt;0),(IF(Time!S34=1,S47,S45)-S44)*T19+IF(Time!T46&gt;0,Time!T45*S44/Time!T46,0)+IF(Time!S34=1,S47,S45)*T11,0)</f>
        <v>8.33011021982353</v>
      </c>
      <c r="T120" s="13" t="n">
        <f aca="false">IF(AND(Time!T20&gt;=Time!$F$12,Time!U20&gt;0),(IF(Time!T34=1,T47,T45)-T44)*U19+IF(Time!U46&gt;0,Time!U45*T44/Time!U46,0)+IF(Time!T34=1,T47,T45)*U11,0)</f>
        <v>8.27381429297928</v>
      </c>
      <c r="U120" s="13" t="n">
        <f aca="false">IF(AND(Time!U20&gt;=Time!$F$12,Time!V20&gt;0),(IF(Time!U34=1,U47,U45)-U44)*V19+IF(Time!V46&gt;0,Time!V45*U44/Time!V46,0)+IF(Time!U34=1,U47,U45)*V11,0)</f>
        <v>8.44646295683728</v>
      </c>
      <c r="V120" s="13" t="n">
        <f aca="false">IF(AND(Time!V20&gt;=Time!$F$12,Time!W20&gt;0),(IF(Time!V34=1,V47,V45)-V44)*W19+IF(Time!W46&gt;0,Time!W45*V44/Time!W46,0)+IF(Time!V34=1,V47,V45)*W11,0)</f>
        <v>8.36536852941237</v>
      </c>
      <c r="W120" s="13" t="n">
        <f aca="false">IF(AND(Time!W20&gt;=Time!$F$12,Time!X20&gt;0),(IF(Time!W34=1,W47,W45)-W44)*X19+IF(Time!X46&gt;0,Time!X45*W44/Time!X46,0)+IF(Time!W34=1,W47,W45)*X11,0)</f>
        <v>8.14518784704466</v>
      </c>
      <c r="X120" s="13" t="n">
        <f aca="false">IF(AND(Time!X20&gt;=Time!$F$12,Time!Y20&gt;0),(IF(Time!X34=1,X47,X45)-X44)*Y19+IF(Time!Y46&gt;0,Time!Y45*X44/Time!Y46,0)+IF(Time!X34=1,X47,X45)*Y11,0)</f>
        <v>7.93608661976193</v>
      </c>
      <c r="Y120" s="13" t="n">
        <f aca="false">IF(AND(Time!Y20&gt;=Time!$F$12,Time!Z20&gt;0),(IF(Time!Y34=1,Y47,Y45)-Y44)*Z19+IF(Time!Z46&gt;0,Time!Z45*Y44/Time!Z46,0)+IF(Time!Y34=1,Y47,Y45)*Z11,0)</f>
        <v>8.02451596908436</v>
      </c>
      <c r="Z120" s="13" t="n">
        <f aca="false">IF(AND(Time!Z20&gt;=Time!$F$12,Time!AA20&gt;0),(IF(Time!Z34=1,Z47,Z45)-Z44)*AA19+IF(Time!AA46&gt;0,Time!AA45*Z44/Time!AA46,0)+IF(Time!Z34=1,Z47,Z45)*AA11,0)</f>
        <v>7.94640366810421</v>
      </c>
      <c r="AA120" s="13" t="n">
        <f aca="false">IF(AND(Time!AA20&gt;=Time!$F$12,Time!AB20&gt;0),(IF(Time!AA34=1,AA47,AA45)-AA44)*AB19+IF(Time!AB46&gt;0,Time!AB45*AA44/Time!AB46,0)+IF(Time!AA34=1,AA47,AA45)*AB11,0)</f>
        <v>8.06198601820499</v>
      </c>
      <c r="AB120" s="13" t="n">
        <f aca="false">IF(AND(Time!AB20&gt;=Time!$F$12,Time!AC20&gt;0),(IF(Time!AB34=1,AB47,AB45)-AB44)*AC19+IF(Time!AC46&gt;0,Time!AC45*AB44/Time!AC46,0)+IF(Time!AB34=1,AB47,AB45)*AC11,0)</f>
        <v>8.02288158783936</v>
      </c>
      <c r="AC120" s="13" t="n">
        <f aca="false">IF(AND(Time!AC20&gt;=Time!$F$12,Time!AD20&gt;0),(IF(Time!AC34=1,AC47,AC45)-AC44)*AD19+IF(Time!AD46&gt;0,Time!AD45*AC44/Time!AD46,0)+IF(Time!AC34=1,AC47,AC45)*AD11,0)</f>
        <v>8.34876451791759</v>
      </c>
      <c r="AD120" s="13" t="n">
        <f aca="false">IF(AND(Time!AD20&gt;=Time!$F$12,Time!AE20&gt;0),(IF(Time!AD34=1,AD47,AD45)-AD44)*AE19+IF(Time!AE46&gt;0,Time!AE45*AD44/Time!AE46,0)+IF(Time!AD34=1,AD47,AD45)*AE11,0)</f>
        <v>8.35407563043017</v>
      </c>
      <c r="AE120" s="13" t="n">
        <f aca="false">IF(AND(Time!AE20&gt;=Time!$F$12,Time!AF20&gt;0),(IF(Time!AE34=1,AE47,AE45)-AE44)*AF19+IF(Time!AF46&gt;0,Time!AF45*AE44/Time!AF46,0)+IF(Time!AE34=1,AE47,AE45)*AF11,0)</f>
        <v>8.39850167250495</v>
      </c>
      <c r="AF120" s="13" t="n">
        <f aca="false">IF(AND(Time!AF20&gt;=Time!$F$12,Time!AG20&gt;0),(IF(Time!AF34=1,AF47,AF45)-AF44)*AG19+IF(Time!AG46&gt;0,Time!AG45*AF44/Time!AG46,0)+IF(Time!AF34=1,AF47,AF45)*AG11,0)</f>
        <v>8.26719099786001</v>
      </c>
      <c r="AG120" s="13" t="n">
        <f aca="false">IF(AND(Time!AG20&gt;=Time!$F$12,Time!AH20&gt;0),(IF(Time!AG34=1,AG47,AG45)-AG44)*AH19+IF(Time!AH46&gt;0,Time!AH45*AG44/Time!AH46,0)+IF(Time!AG34=1,AG47,AG45)*AH11,0)</f>
        <v>8.39820802855251</v>
      </c>
      <c r="AH120" s="13" t="n">
        <f aca="false">IF(AND(Time!AH20&gt;=Time!$F$12,Time!AI20&gt;0),(IF(Time!AH34=1,AH47,AH45)-AH44)*AI19+IF(Time!AI46&gt;0,Time!AI45*AH44/Time!AI46,0)+IF(Time!AH34=1,AH47,AH45)*AI11,0)</f>
        <v>8.33651767639137</v>
      </c>
      <c r="AI120" s="13" t="n">
        <f aca="false">IF(AND(Time!AI20&gt;=Time!$F$12,Time!AJ20&gt;0),(IF(Time!AI34=1,AI47,AI45)-AI44)*AJ19+IF(Time!AJ46&gt;0,Time!AJ45*AI44/Time!AJ46,0)+IF(Time!AI34=1,AI47,AI45)*AJ11,0)</f>
        <v>8.45538414880575</v>
      </c>
      <c r="AJ120" s="13" t="n">
        <f aca="false">IF(AND(Time!AJ20&gt;=Time!$F$12,Time!AK20&gt;0),(IF(Time!AJ34=1,AJ47,AJ45)-AJ44)*AK19+IF(Time!AK46&gt;0,Time!AK45*AJ44/Time!AK46,0)+IF(Time!AJ34=1,AJ47,AJ45)*AK11,0)</f>
        <v>8.42639166802601</v>
      </c>
      <c r="AK120" s="13" t="n">
        <f aca="false">IF(AND(Time!AK20&gt;=Time!$F$12,Time!AL20&gt;0),(IF(Time!AK34=1,AK47,AK45)-AK44)*AL19+IF(Time!AL46&gt;0,Time!AL45*AK44/Time!AL46,0)+IF(Time!AK34=1,AK47,AK45)*AL11,0)</f>
        <v>8.62527982286592</v>
      </c>
      <c r="AL120" s="13" t="n">
        <f aca="false">IF(AND(Time!AL20&gt;=Time!$F$12,Time!AM20&gt;0),(IF(Time!AL34=1,AL47,AL45)-AL44)*AM19+IF(Time!AM46&gt;0,Time!AM45*AL44/Time!AM46,0)+IF(Time!AL34=1,AL47,AL45)*AM11,0)</f>
        <v>8.50796866432087</v>
      </c>
      <c r="AM120" s="13" t="n">
        <f aca="false">IF(AND(Time!AM20&gt;=Time!$F$12,Time!AN20&gt;0),(IF(Time!AM34=1,AM47,AM45)-AM44)*AN19+IF(Time!AN46&gt;0,Time!AN45*AM44/Time!AN46,0)+IF(Time!AM34=1,AM47,AM45)*AN11,0)</f>
        <v>6.88447170639086</v>
      </c>
      <c r="AN120" s="13" t="n">
        <f aca="false">IF(AND(Time!AN20&gt;=Time!$F$12,Time!AO20&gt;0),(IF(Time!AN34=1,AN47,AN45)-AN44)*AO19+IF(Time!AO46&gt;0,Time!AO45*AN44/Time!AO46,0)+IF(Time!AN34=1,AN47,AN45)*AO11,0)</f>
        <v>6.75343630529606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3.64900784083727</v>
      </c>
      <c r="P121" s="13" t="n">
        <f aca="false">IF(AND(Time!P20&gt;=Time!$F$12,Time!Q20&gt;0),(IF(Time!P34=1,P61,P59)-P58)*Q19+IF(Time!Q46&gt;0,Time!Q45*P58/Time!Q46,0)+IF(Time!P34=1,P61,P59)*Q12,0)</f>
        <v>3.635984954731</v>
      </c>
      <c r="Q121" s="13" t="n">
        <f aca="false">IF(AND(Time!Q20&gt;=Time!$F$12,Time!R20&gt;0),(IF(Time!Q34=1,Q61,Q59)-Q58)*R19+IF(Time!R46&gt;0,Time!R45*Q58/Time!R46,0)+IF(Time!Q34=1,Q61,Q59)*R12,0)</f>
        <v>3.69529874936153</v>
      </c>
      <c r="R121" s="13" t="n">
        <f aca="false">IF(AND(Time!R20&gt;=Time!$F$12,Time!S20&gt;0),(IF(Time!R34=1,R61,R59)-R58)*S19+IF(Time!S46&gt;0,Time!S45*R58/Time!S46,0)+IF(Time!R34=1,R61,R59)*S12,0)</f>
        <v>3.66007892971464</v>
      </c>
      <c r="S121" s="13" t="n">
        <f aca="false">IF(AND(Time!S20&gt;=Time!$F$12,Time!T20&gt;0),(IF(Time!S34=1,S61,S59)-S58)*T19+IF(Time!T46&gt;0,Time!T45*S58/Time!T46,0)+IF(Time!S34=1,S61,S59)*T12,0)</f>
        <v>3.71394379054776</v>
      </c>
      <c r="T121" s="13" t="n">
        <f aca="false">IF(AND(Time!T20&gt;=Time!$F$12,Time!U20&gt;0),(IF(Time!T34=1,T61,T59)-T58)*U19+IF(Time!U46&gt;0,Time!U45*T58/Time!U46,0)+IF(Time!T34=1,T61,T59)*U12,0)</f>
        <v>3.69144769152781</v>
      </c>
      <c r="U121" s="13" t="n">
        <f aca="false">IF(AND(Time!U20&gt;=Time!$F$12,Time!V20&gt;0),(IF(Time!U34=1,U61,U59)-U58)*V19+IF(Time!V46&gt;0,Time!V45*U58/Time!V46,0)+IF(Time!U34=1,U61,U59)*V12,0)</f>
        <v>3.77156687271995</v>
      </c>
      <c r="V121" s="13" t="n">
        <f aca="false">IF(AND(Time!V20&gt;=Time!$F$12,Time!W20&gt;0),(IF(Time!V34=1,V61,V59)-V58)*W19+IF(Time!W46&gt;0,Time!W45*V58/Time!W46,0)+IF(Time!V34=1,V61,V59)*W12,0)</f>
        <v>3.73833037452271</v>
      </c>
      <c r="W121" s="13" t="n">
        <f aca="false">IF(AND(Time!W20&gt;=Time!$F$12,Time!X20&gt;0),(IF(Time!W34=1,W61,W59)-W58)*X19+IF(Time!X46&gt;0,Time!X45*W58/Time!X46,0)+IF(Time!W34=1,W61,W59)*X12,0)</f>
        <v>3.63982598151441</v>
      </c>
      <c r="X121" s="13" t="n">
        <f aca="false">IF(AND(Time!X20&gt;=Time!$F$12,Time!Y20&gt;0),(IF(Time!X34=1,X61,X59)-X58)*Y19+IF(Time!Y46&gt;0,Time!Y45*X58/Time!Y46,0)+IF(Time!X34=1,X61,X59)*Y12,0)</f>
        <v>3.54832470104284</v>
      </c>
      <c r="Y121" s="13" t="n">
        <f aca="false">IF(AND(Time!Y20&gt;=Time!$F$12,Time!Z20&gt;0),(IF(Time!Y34=1,Y61,Y59)-Y58)*Z19+IF(Time!Z46&gt;0,Time!Z45*Y58/Time!Z46,0)+IF(Time!Y34=1,Y61,Y59)*Z12,0)</f>
        <v>3.5901104162876</v>
      </c>
      <c r="Z121" s="13" t="n">
        <f aca="false">IF(AND(Time!Z20&gt;=Time!$F$12,Time!AA20&gt;0),(IF(Time!Z34=1,Z61,Z59)-Z58)*AA19+IF(Time!AA46&gt;0,Time!AA45*Z58/Time!AA46,0)+IF(Time!Z34=1,Z61,Z59)*AA12,0)</f>
        <v>3.55817168009036</v>
      </c>
      <c r="AA121" s="13" t="n">
        <f aca="false">IF(AND(Time!AA20&gt;=Time!$F$12,Time!AB20&gt;0),(IF(Time!AA34=1,AA61,AA59)-AA58)*AB19+IF(Time!AB46&gt;0,Time!AB45*AA58/Time!AB46,0)+IF(Time!AA34=1,AA61,AA59)*AB12,0)</f>
        <v>3.61256960050472</v>
      </c>
      <c r="AB121" s="13" t="n">
        <f aca="false">IF(AND(Time!AB20&gt;=Time!$F$12,Time!AC20&gt;0),(IF(Time!AB34=1,AB61,AB59)-AB58)*AC19+IF(Time!AC46&gt;0,Time!AC45*AB58/Time!AC46,0)+IF(Time!AB34=1,AB61,AB59)*AC12,0)</f>
        <v>3.59821260169881</v>
      </c>
      <c r="AC121" s="13" t="n">
        <f aca="false">IF(AND(Time!AC20&gt;=Time!$F$12,Time!AD20&gt;0),(IF(Time!AC34=1,AC61,AC59)-AC58)*AD19+IF(Time!AD46&gt;0,Time!AD45*AC58/Time!AD46,0)+IF(Time!AC34=1,AC61,AC59)*AD12,0)</f>
        <v>3.7487874262881</v>
      </c>
      <c r="AD121" s="13" t="n">
        <f aca="false">IF(AND(Time!AD20&gt;=Time!$F$12,Time!AE20&gt;0),(IF(Time!AD34=1,AD61,AD59)-AD58)*AE19+IF(Time!AE46&gt;0,Time!AE45*AD58/Time!AE46,0)+IF(Time!AD34=1,AD61,AD59)*AE12,0)</f>
        <v>3.75515391585873</v>
      </c>
      <c r="AE121" s="13" t="n">
        <f aca="false">IF(AND(Time!AE20&gt;=Time!$F$12,Time!AF20&gt;0),(IF(Time!AE34=1,AE61,AE59)-AE58)*AF19+IF(Time!AF46&gt;0,Time!AF45*AE58/Time!AF46,0)+IF(Time!AE34=1,AE61,AE59)*AF12,0)</f>
        <v>3.77804242033309</v>
      </c>
      <c r="AF121" s="13" t="n">
        <f aca="false">IF(AND(Time!AF20&gt;=Time!$F$12,Time!AG20&gt;0),(IF(Time!AF34=1,AF61,AF59)-AF58)*AG19+IF(Time!AG46&gt;0,Time!AG45*AF58/Time!AG46,0)+IF(Time!AF34=1,AF61,AF59)*AG12,0)</f>
        <v>3.72245439374496</v>
      </c>
      <c r="AG121" s="13" t="n">
        <f aca="false">IF(AND(Time!AG20&gt;=Time!$F$12,Time!AH20&gt;0),(IF(Time!AG34=1,AG61,AG59)-AG58)*AH19+IF(Time!AH46&gt;0,Time!AH45*AG58/Time!AH46,0)+IF(Time!AG34=1,AG61,AG59)*AH12,0)</f>
        <v>3.78499964447353</v>
      </c>
      <c r="AH121" s="13" t="n">
        <f aca="false">IF(AND(Time!AH20&gt;=Time!$F$12,Time!AI20&gt;0),(IF(Time!AH34=1,AH61,AH59)-AH58)*AI19+IF(Time!AI46&gt;0,Time!AI45*AH58/Time!AI46,0)+IF(Time!AH34=1,AH61,AH59)*AI12,0)</f>
        <v>3.76118279562204</v>
      </c>
      <c r="AI121" s="13" t="n">
        <f aca="false">IF(AND(Time!AI20&gt;=Time!$F$12,Time!AJ20&gt;0),(IF(Time!AI34=1,AI61,AI59)-AI58)*AJ19+IF(Time!AJ46&gt;0,Time!AJ45*AI58/Time!AJ46,0)+IF(Time!AI34=1,AI61,AI59)*AJ12,0)</f>
        <v>3.81861463674324</v>
      </c>
      <c r="AJ121" s="13" t="n">
        <f aca="false">IF(AND(Time!AJ20&gt;=Time!$F$12,Time!AK20&gt;0),(IF(Time!AJ34=1,AJ61,AJ59)-AJ58)*AK19+IF(Time!AK46&gt;0,Time!AK45*AJ58/Time!AK46,0)+IF(Time!AJ34=1,AJ61,AJ59)*AK12,0)</f>
        <v>3.80971592901886</v>
      </c>
      <c r="AK121" s="13" t="n">
        <f aca="false">IF(AND(Time!AK20&gt;=Time!$F$12,Time!AL20&gt;0),(IF(Time!AK34=1,AK61,AK59)-AK58)*AL19+IF(Time!AL46&gt;0,Time!AL45*AK58/Time!AL46,0)+IF(Time!AK34=1,AK61,AK59)*AL12,0)</f>
        <v>3.90408085967731</v>
      </c>
      <c r="AL121" s="13" t="n">
        <f aca="false">IF(AND(Time!AL20&gt;=Time!$F$12,Time!AM20&gt;0),(IF(Time!AL34=1,AL61,AL59)-AL58)*AM19+IF(Time!AM46&gt;0,Time!AM45*AL58/Time!AM46,0)+IF(Time!AL34=1,AL61,AL59)*AM12,0)</f>
        <v>3.85539293747981</v>
      </c>
      <c r="AM121" s="13" t="n">
        <f aca="false">IF(AND(Time!AM20&gt;=Time!$F$12,Time!AN20&gt;0),(IF(Time!AM34=1,AM61,AM59)-AM58)*AN19+IF(Time!AN46&gt;0,Time!AN45*AM58/Time!AN46,0)+IF(Time!AM34=1,AM61,AM59)*AN12,0)</f>
        <v>3.12177403095261</v>
      </c>
      <c r="AN121" s="13" t="n">
        <f aca="false">IF(AND(Time!AN20&gt;=Time!$F$12,Time!AO20&gt;0),(IF(Time!AN34=1,AN61,AN59)-AN58)*AO19+IF(Time!AO46&gt;0,Time!AO45*AN58/Time!AO46,0)+IF(Time!AN34=1,AN61,AN59)*AO12,0)</f>
        <v>3.06601229024067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15.7094741250682</v>
      </c>
      <c r="P122" s="13" t="n">
        <f aca="false">IF(AND(Time!P20&gt;=Time!$F$12,Time!Q20&gt;0),(IF(Time!P34=1,P75,P73)-P72)*Q19+IF(Time!Q46&gt;0,Time!Q45*P72/Time!Q46,0)+IF(Time!P34=1,P75,P73)*Q13,0)</f>
        <v>15.5882052614569</v>
      </c>
      <c r="Q122" s="13" t="n">
        <f aca="false">IF(AND(Time!Q20&gt;=Time!$F$12,Time!R20&gt;0),(IF(Time!Q34=1,Q75,Q73)-Q72)*R19+IF(Time!R46&gt;0,Time!R45*Q72/Time!R46,0)+IF(Time!Q34=1,Q75,Q73)*R13,0)</f>
        <v>15.7958945697587</v>
      </c>
      <c r="R122" s="13" t="n">
        <f aca="false">IF(AND(Time!R20&gt;=Time!$F$12,Time!S20&gt;0),(IF(Time!R34=1,R75,R73)-R72)*S19+IF(Time!S46&gt;0,Time!S45*R72/Time!S46,0)+IF(Time!R34=1,R75,R73)*S13,0)</f>
        <v>15.5861288062899</v>
      </c>
      <c r="S122" s="13" t="n">
        <f aca="false">IF(AND(Time!S20&gt;=Time!$F$12,Time!T20&gt;0),(IF(Time!S34=1,S75,S73)-S72)*T19+IF(Time!T46&gt;0,Time!T45*S72/Time!T46,0)+IF(Time!S34=1,S75,S73)*T13,0)</f>
        <v>15.7677490405772</v>
      </c>
      <c r="T122" s="13" t="n">
        <f aca="false">IF(AND(Time!T20&gt;=Time!$F$12,Time!U20&gt;0),(IF(Time!T34=1,T75,T73)-T72)*U19+IF(Time!U46&gt;0,Time!U45*T72/Time!U46,0)+IF(Time!T34=1,T75,T73)*U13,0)</f>
        <v>15.611639934119</v>
      </c>
      <c r="U122" s="13" t="n">
        <f aca="false">IF(AND(Time!U20&gt;=Time!$F$12,Time!V20&gt;0),(IF(Time!U34=1,U75,U73)-U72)*V19+IF(Time!V46&gt;0,Time!V45*U72/Time!V46,0)+IF(Time!U34=1,U75,U73)*V13,0)</f>
        <v>15.8785879818266</v>
      </c>
      <c r="V122" s="13" t="n">
        <f aca="false">IF(AND(Time!V20&gt;=Time!$F$12,Time!W20&gt;0),(IF(Time!V34=1,V75,V73)-V72)*W19+IF(Time!W46&gt;0,Time!W45*V72/Time!W46,0)+IF(Time!V34=1,V75,V73)*W13,0)</f>
        <v>15.6695258595168</v>
      </c>
      <c r="W122" s="13" t="n">
        <f aca="false">IF(AND(Time!W20&gt;=Time!$F$12,Time!X20&gt;0),(IF(Time!W34=1,W75,W73)-W72)*X19+IF(Time!X46&gt;0,Time!X45*W72/Time!X46,0)+IF(Time!W34=1,W75,W73)*X13,0)</f>
        <v>15.2591835079245</v>
      </c>
      <c r="X122" s="13" t="n">
        <f aca="false">IF(AND(Time!X20&gt;=Time!$F$12,Time!Y20&gt;0),(IF(Time!X34=1,X75,X73)-X72)*Y19+IF(Time!Y46&gt;0,Time!Y45*X72/Time!Y46,0)+IF(Time!X34=1,X75,X73)*Y13,0)</f>
        <v>15.3286548334711</v>
      </c>
      <c r="Y122" s="13" t="n">
        <f aca="false">IF(AND(Time!Y20&gt;=Time!$F$12,Time!Z20&gt;0),(IF(Time!Y34=1,Y75,Y73)-Y72)*Z19+IF(Time!Z46&gt;0,Time!Z45*Y72/Time!Z46,0)+IF(Time!Y34=1,Y75,Y73)*Z13,0)</f>
        <v>15.4376907729308</v>
      </c>
      <c r="Z122" s="13" t="n">
        <f aca="false">IF(AND(Time!Z20&gt;=Time!$F$12,Time!AA20&gt;0),(IF(Time!Z34=1,Z75,Z73)-Z72)*AA19+IF(Time!AA46&gt;0,Time!AA45*Z72/Time!AA46,0)+IF(Time!Z34=1,Z75,Z73)*AA13,0)</f>
        <v>15.2047586871345</v>
      </c>
      <c r="AA122" s="13" t="n">
        <f aca="false">IF(AND(Time!AA20&gt;=Time!$F$12,Time!AB20&gt;0),(IF(Time!AA34=1,AA75,AA73)-AA72)*AB19+IF(Time!AB46&gt;0,Time!AB45*AA72/Time!AB46,0)+IF(Time!AA34=1,AA75,AA73)*AB13,0)</f>
        <v>15.3532780103888</v>
      </c>
      <c r="AB122" s="13" t="n">
        <f aca="false">IF(AND(Time!AB20&gt;=Time!$F$12,Time!AC20&gt;0),(IF(Time!AB34=1,AB75,AB73)-AB72)*AC19+IF(Time!AC46&gt;0,Time!AC45*AB72/Time!AC46,0)+IF(Time!AB34=1,AB75,AB73)*AC13,0)</f>
        <v>14.6245148835446</v>
      </c>
      <c r="AC122" s="13" t="n">
        <f aca="false">IF(AND(Time!AC20&gt;=Time!$F$12,Time!AD20&gt;0),(IF(Time!AC34=1,AC75,AC73)-AC72)*AD19+IF(Time!AD46&gt;0,Time!AD45*AC72/Time!AD46,0)+IF(Time!AC34=1,AC75,AC73)*AD13,0)</f>
        <v>14.3784926767948</v>
      </c>
      <c r="AD122" s="13" t="n">
        <f aca="false">IF(AND(Time!AD20&gt;=Time!$F$12,Time!AE20&gt;0),(IF(Time!AD34=1,AD75,AD73)-AD72)*AE19+IF(Time!AE46&gt;0,Time!AE45*AD72/Time!AE46,0)+IF(Time!AD34=1,AD75,AD73)*AE13,0)</f>
        <v>13.5647549026071</v>
      </c>
      <c r="AE122" s="13" t="n">
        <f aca="false">IF(AND(Time!AE20&gt;=Time!$F$12,Time!AF20&gt;0),(IF(Time!AE34=1,AE75,AE73)-AE72)*AF19+IF(Time!AF46&gt;0,Time!AF45*AE72/Time!AF46,0)+IF(Time!AE34=1,AE75,AE73)*AF13,0)</f>
        <v>12.6002249658162</v>
      </c>
      <c r="AF122" s="13" t="n">
        <f aca="false">IF(AND(Time!AF20&gt;=Time!$F$12,Time!AG20&gt;0),(IF(Time!AF34=1,AF75,AF73)-AF72)*AG19+IF(Time!AG46&gt;0,Time!AG45*AF72/Time!AG46,0)+IF(Time!AF34=1,AF75,AF73)*AG13,0)</f>
        <v>11.4646964371424</v>
      </c>
      <c r="AG122" s="13" t="n">
        <f aca="false">IF(AND(Time!AG20&gt;=Time!$F$12,Time!AH20&gt;0),(IF(Time!AG34=1,AG75,AG73)-AG72)*AH19+IF(Time!AH46&gt;0,Time!AH45*AG72/Time!AH46,0)+IF(Time!AG34=1,AG75,AG73)*AH13,0)</f>
        <v>10.2257291769511</v>
      </c>
      <c r="AH122" s="13" t="n">
        <f aca="false">IF(AND(Time!AH20&gt;=Time!$F$12,Time!AI20&gt;0),(IF(Time!AH34=1,AH75,AH73)-AH72)*AI19+IF(Time!AI46&gt;0,Time!AI45*AH72/Time!AI46,0)+IF(Time!AH34=1,AH75,AH73)*AI13,0)</f>
        <v>8.54753546494433</v>
      </c>
      <c r="AI122" s="13" t="n">
        <f aca="false">IF(AND(Time!AI20&gt;=Time!$F$12,Time!AJ20&gt;0),(IF(Time!AI34=1,AI75,AI73)-AI72)*AJ19+IF(Time!AJ46&gt;0,Time!AJ45*AI72/Time!AJ46,0)+IF(Time!AI34=1,AI75,AI73)*AJ13,0)</f>
        <v>6.63192591654465</v>
      </c>
      <c r="AJ122" s="13" t="n">
        <f aca="false">IF(AND(Time!AJ20&gt;=Time!$F$12,Time!AK20&gt;0),(IF(Time!AJ34=1,AJ75,AJ73)-AJ72)*AK19+IF(Time!AK46&gt;0,Time!AK45*AJ72/Time!AK46,0)+IF(Time!AJ34=1,AJ75,AJ73)*AK13,0)</f>
        <v>4.13954472188757</v>
      </c>
      <c r="AK122" s="13" t="n">
        <f aca="false">IF(AND(Time!AK20&gt;=Time!$F$12,Time!AL20&gt;0),(IF(Time!AK34=1,AK75,AK73)-AK72)*AL19+IF(Time!AL46&gt;0,Time!AL45*AK72/Time!AL46,0)+IF(Time!AK34=1,AK75,AK73)*AL13,0)</f>
        <v>0.832679487233918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37.2402629230422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37.1514107093746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37.6190927474989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37.3276805156298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37.7455078940196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37.5650237647995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38.2821356925896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38.0175010594182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36.9212193316689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36.5648868916211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36.8658014378429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36.5687862789268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36.9991732151566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36.2519496708478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36.8940999521036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36.2162895324494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35.3356581282747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33.9421673344526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33.0498784224211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31.3081781778412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29.7297278524654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27.2528891533879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24.5569279752001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23.5657674487505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19.1291565524823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18.9030859020972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845.790995117102</v>
      </c>
      <c r="Q128" s="13" t="n">
        <f aca="false">IF(Time!Q53=1,(Waterfall!Q7+R128)/(1+Q127),0)</f>
        <v>824.887401853568</v>
      </c>
      <c r="R128" s="13" t="n">
        <f aca="false">IF(Time!R53=1,(Waterfall!R7+S128)/(1+R127),0)</f>
        <v>803.231782544816</v>
      </c>
      <c r="S128" s="13" t="n">
        <f aca="false">IF(Time!S53=1,(Waterfall!S7+T128)/(1+S127),0)</f>
        <v>780.510717337512</v>
      </c>
      <c r="T128" s="13" t="n">
        <f aca="false">IF(Time!T53=1,(Waterfall!T7+U128)/(1+T127),0)</f>
        <v>757.131919331198</v>
      </c>
      <c r="U128" s="13" t="n">
        <f aca="false">IF(Time!U53=1,(Waterfall!U7+V128)/(1+U127),0)</f>
        <v>732.64634744692</v>
      </c>
      <c r="V128" s="13" t="n">
        <f aca="false">IF(Time!V53=1,(Waterfall!V7+W128)/(1+V127),0)</f>
        <v>707.477921331917</v>
      </c>
      <c r="W128" s="13" t="n">
        <f aca="false">IF(Time!W53=1,(Waterfall!W7+X128)/(1+W127),0)</f>
        <v>680.841559628904</v>
      </c>
      <c r="X128" s="13" t="n">
        <f aca="false">IF(Time!X53=1,(Waterfall!X7+Y128)/(1+X127),0)</f>
        <v>653.389009191785</v>
      </c>
      <c r="Y128" s="13" t="n">
        <f aca="false">IF(Time!Y53=1,(Waterfall!Y7+Z128)/(1+Y127),0)</f>
        <v>626.707825258008</v>
      </c>
      <c r="Z128" s="13" t="n">
        <f aca="false">IF(Time!Z53=1,(Waterfall!Z7+AA128)/(1+Z127),0)</f>
        <v>600.069277944639</v>
      </c>
      <c r="AA128" s="13" t="n">
        <f aca="false">IF(Time!AA53=1,(Waterfall!AA7+AB128)/(1+AA127),0)</f>
        <v>572.407137054531</v>
      </c>
      <c r="AB128" s="13" t="n">
        <f aca="false">IF(Time!AB53=1,(Waterfall!AB7+AC128)/(1+AB127),0)</f>
        <v>543.948597015956</v>
      </c>
      <c r="AC128" s="13" t="n">
        <f aca="false">IF(Time!AC53=1,(Waterfall!AC7+AD128)/(1+AC127),0)</f>
        <v>514.136410567646</v>
      </c>
      <c r="AD128" s="13" t="n">
        <f aca="false">IF(Time!AD53=1,(Waterfall!AD7+AE128)/(1+AD127),0)</f>
        <v>483.370393144928</v>
      </c>
      <c r="AE128" s="13" t="n">
        <f aca="false">IF(Time!AE53=1,(Waterfall!AE7+AF128)/(1+AE127),0)</f>
        <v>449.254480839725</v>
      </c>
      <c r="AF128" s="13" t="n">
        <f aca="false">IF(Time!AF53=1,(Waterfall!AF7+AG128)/(1+AF127),0)</f>
        <v>414.048527129767</v>
      </c>
      <c r="AG128" s="13" t="n">
        <f aca="false">IF(Time!AG53=1,(Waterfall!AG7+AH128)/(1+AG127),0)</f>
        <v>377.841396149112</v>
      </c>
      <c r="AH128" s="13" t="n">
        <f aca="false">IF(Time!AH53=1,(Waterfall!AH7+AI128)/(1+AH127),0)</f>
        <v>340.953322921705</v>
      </c>
      <c r="AI128" s="13" t="n">
        <f aca="false">IF(Time!AI53=1,(Waterfall!AI7+AJ128)/(1+AI127),0)</f>
        <v>302.145913783514</v>
      </c>
      <c r="AJ128" s="13" t="n">
        <f aca="false">IF(Time!AJ53=1,(Waterfall!AJ7+AK128)/(1+AJ127),0)</f>
        <v>262.195606915679</v>
      </c>
      <c r="AK128" s="13" t="n">
        <f aca="false">IF(Time!AK53=1,(Waterfall!AK7+AL128)/(1+AK127),0)</f>
        <v>220.325191116347</v>
      </c>
      <c r="AL128" s="13" t="n">
        <f aca="false">IF(Time!AL53=1,(Waterfall!AL7+AM128)/(1+AL127),0)</f>
        <v>177.135358432141</v>
      </c>
      <c r="AM128" s="13" t="n">
        <f aca="false">IF(Time!AM53=1,(Waterfall!AM7+AN128)/(1+AM127),0)</f>
        <v>131.709752114492</v>
      </c>
      <c r="AN128" s="13" t="n">
        <f aca="false">IF(Time!AN53=1,(Waterfall!AN7+AO128)/(1+AN127),0)</f>
        <v>84.797462443368</v>
      </c>
      <c r="AO128" s="13" t="n">
        <f aca="false">IF(Time!AO53=1,(Waterfall!AO7+AP128)/(1+AO127),0)</f>
        <v>39.5100399707664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1.33562260410122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626.51184823489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642.803848670891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37.4070038549358</v>
      </c>
      <c r="Q132" s="13" t="n">
        <f aca="false">IF(Time!Q53=1,(Waterfall!Q7)/$F$129,0)</f>
        <v>37.2201464492325</v>
      </c>
      <c r="R132" s="13" t="n">
        <f aca="false">IF(Time!R53=1,(Waterfall!R7)/$F$129,0)</f>
        <v>37.6879166474947</v>
      </c>
      <c r="S132" s="13" t="n">
        <f aca="false">IF(Time!S53=1,(Waterfall!S7)/$F$129,0)</f>
        <v>37.3873522642856</v>
      </c>
      <c r="T132" s="13" t="n">
        <f aca="false">IF(Time!T53=1,(Waterfall!T7)/$F$129,0)</f>
        <v>37.8293705353311</v>
      </c>
      <c r="U132" s="13" t="n">
        <f aca="false">IF(Time!U53=1,(Waterfall!U7)/$F$129,0)</f>
        <v>37.5753312884882</v>
      </c>
      <c r="V132" s="13" t="n">
        <f aca="false">IF(Time!V53=1,(Waterfall!V7)/$F$129,0)</f>
        <v>38.1610734202099</v>
      </c>
      <c r="W132" s="13" t="n">
        <f aca="false">IF(Time!W53=1,(Waterfall!W7)/$F$129,0)</f>
        <v>37.8983838954057</v>
      </c>
      <c r="X132" s="13" t="n">
        <f aca="false">IF(Time!X53=1,(Waterfall!X7)/$F$129,0)</f>
        <v>36.8018057601398</v>
      </c>
      <c r="Y132" s="13" t="n">
        <f aca="false">IF(Time!Y53=1,(Waterfall!Y7)/$F$129,0)</f>
        <v>36.4079300950282</v>
      </c>
      <c r="Z132" s="13" t="n">
        <f aca="false">IF(Time!Z53=1,(Waterfall!Z7)/$F$129,0)</f>
        <v>36.6480219493732</v>
      </c>
      <c r="AA132" s="13" t="n">
        <f aca="false">IF(Time!AA53=1,(Waterfall!AA7)/$F$129,0)</f>
        <v>36.3441363490288</v>
      </c>
      <c r="AB132" s="13" t="n">
        <f aca="false">IF(Time!AB53=1,(Waterfall!AB7)/$F$129,0)</f>
        <v>36.7673077226556</v>
      </c>
      <c r="AC132" s="13" t="n">
        <f aca="false">IF(Time!AC53=1,(Waterfall!AC7)/$F$129,0)</f>
        <v>36.5905878465527</v>
      </c>
      <c r="AD132" s="13" t="n">
        <f aca="false">IF(Time!AD53=1,(Waterfall!AD7)/$F$129,0)</f>
        <v>38.3806997550595</v>
      </c>
      <c r="AE132" s="13" t="n">
        <f aca="false">IF(Time!AE53=1,(Waterfall!AE7)/$F$129,0)</f>
        <v>38.1608714269341</v>
      </c>
      <c r="AF132" s="13" t="n">
        <f aca="false">IF(Time!AF53=1,(Waterfall!AF7)/$F$129,0)</f>
        <v>38.105336516928</v>
      </c>
      <c r="AG132" s="13" t="n">
        <f aca="false">IF(Time!AG53=1,(Waterfall!AG7)/$F$129,0)</f>
        <v>37.844587628321</v>
      </c>
      <c r="AH132" s="13" t="n">
        <f aca="false">IF(Time!AH53=1,(Waterfall!AH7)/$F$129,0)</f>
        <v>38.3863457645968</v>
      </c>
      <c r="AI132" s="13" t="n">
        <f aca="false">IF(Time!AI53=1,(Waterfall!AI7)/$F$129,0)</f>
        <v>38.0886931687158</v>
      </c>
      <c r="AJ132" s="13" t="n">
        <f aca="false">IF(Time!AJ53=1,(Waterfall!AJ7)/$F$129,0)</f>
        <v>38.5243455149579</v>
      </c>
      <c r="AK132" s="13" t="n">
        <f aca="false">IF(Time!AK53=1,(Waterfall!AK7)/$F$129,0)</f>
        <v>38.321966426628</v>
      </c>
      <c r="AL132" s="13" t="n">
        <f aca="false">IF(Time!AL53=1,(Waterfall!AL7)/$F$129,0)</f>
        <v>38.8583726218164</v>
      </c>
      <c r="AM132" s="13" t="n">
        <f aca="false">IF(Time!AM53=1,(Waterfall!AM7)/$F$129,0)</f>
        <v>38.6885223741506</v>
      </c>
      <c r="AN132" s="13" t="n">
        <f aca="false">IF(Time!AN53=1,(Waterfall!AN7)/$F$129,0)</f>
        <v>36.2279535671968</v>
      </c>
      <c r="AO132" s="13" t="n">
        <f aca="false">IF(Time!AO53=1,(Waterfall!AO7)/$F$129,0)</f>
        <v>30.6510447898378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617.60515232419</v>
      </c>
      <c r="R133" s="13" t="n">
        <f aca="false">IF(Time!R53=1,IF(Time!R20=Time!$F$13,Funding!$F$25,Q133-Q134),0)</f>
        <v>601.391276306926</v>
      </c>
      <c r="S133" s="13" t="n">
        <f aca="false">IF(Time!S53=1,IF(Time!S20=Time!$F$13,Funding!$F$25,R133-R134),0)</f>
        <v>584.379685504603</v>
      </c>
      <c r="T133" s="13" t="n">
        <f aca="false">IF(Time!T53=1,IF(Time!T20=Time!$F$13,Funding!$F$25,S133-S134),0)</f>
        <v>566.875640623567</v>
      </c>
      <c r="U133" s="13" t="n">
        <f aca="false">IF(Time!U53=1,IF(Time!U20=Time!$F$13,Funding!$F$25,T133-T134),0)</f>
        <v>548.542938100345</v>
      </c>
      <c r="V133" s="13" t="n">
        <f aca="false">IF(Time!V53=1,IF(Time!V20=Time!$F$13,Funding!$F$25,U133-U134),0)</f>
        <v>529.698972718418</v>
      </c>
      <c r="W133" s="13" t="n">
        <f aca="false">IF(Time!W53=1,IF(Time!W20=Time!$F$13,Funding!$F$25,V133-V134),0)</f>
        <v>509.755942687912</v>
      </c>
      <c r="X133" s="13" t="n">
        <f aca="false">IF(Time!X53=1,IF(Time!X20=Time!$F$13,Funding!$F$25,W133-W134),0)</f>
        <v>489.201820323689</v>
      </c>
      <c r="Y133" s="13" t="n">
        <f aca="false">IF(Time!Y53=1,IF(Time!Y20=Time!$F$13,Funding!$F$25,X133-X134),0)</f>
        <v>469.22523123943</v>
      </c>
      <c r="Z133" s="13" t="n">
        <f aca="false">IF(Time!Z53=1,IF(Time!Z20=Time!$F$13,Funding!$F$25,Y133-Y134),0)</f>
        <v>449.280564810776</v>
      </c>
      <c r="AA133" s="13" t="n">
        <f aca="false">IF(Time!AA53=1,IF(Time!AA20=Time!$F$13,Funding!$F$25,Z133-Z134),0)</f>
        <v>428.569519036943</v>
      </c>
      <c r="AB133" s="13" t="n">
        <f aca="false">IF(Time!AB53=1,IF(Time!AB20=Time!$F$13,Funding!$F$25,AA133-AA134),0)</f>
        <v>407.262197678956</v>
      </c>
      <c r="AC133" s="13" t="n">
        <f aca="false">IF(Time!AC53=1,IF(Time!AC20=Time!$F$13,Funding!$F$25,AB133-AB134),0)</f>
        <v>384.941381636485</v>
      </c>
      <c r="AD133" s="13" t="n">
        <f aca="false">IF(Time!AD53=1,IF(Time!AD20=Time!$F$13,Funding!$F$25,AC133-AC134),0)</f>
        <v>361.906418520223</v>
      </c>
      <c r="AE133" s="13" t="n">
        <f aca="false">IF(Time!AE53=1,IF(Time!AE20=Time!$F$13,Funding!$F$25,AD133-AD134),0)</f>
        <v>336.363340557596</v>
      </c>
      <c r="AF133" s="13" t="n">
        <f aca="false">IF(Time!AF53=1,IF(Time!AF20=Time!$F$13,Funding!$F$25,AE133-AE134),0)</f>
        <v>310.004132797969</v>
      </c>
      <c r="AG133" s="13" t="n">
        <f aca="false">IF(Time!AG53=1,IF(Time!AG20=Time!$F$13,Funding!$F$25,AF133-AF134),0)</f>
        <v>282.895329106361</v>
      </c>
      <c r="AH133" s="13" t="n">
        <f aca="false">IF(Time!AH53=1,IF(Time!AH20=Time!$F$13,Funding!$F$25,AG133-AG134),0)</f>
        <v>255.276694086157</v>
      </c>
      <c r="AI133" s="13" t="n">
        <f aca="false">IF(Time!AI53=1,IF(Time!AI20=Time!$F$13,Funding!$F$25,AH133-AH134),0)</f>
        <v>226.221024453862</v>
      </c>
      <c r="AJ133" s="13" t="n">
        <f aca="false">IF(Time!AJ53=1,IF(Time!AJ20=Time!$F$13,Funding!$F$25,AI133-AI134),0)</f>
        <v>196.309650728108</v>
      </c>
      <c r="AK133" s="13" t="n">
        <f aca="false">IF(Time!AK53=1,IF(Time!AK20=Time!$F$13,Funding!$F$25,AJ133-AJ134),0)</f>
        <v>164.960663618454</v>
      </c>
      <c r="AL133" s="13" t="n">
        <f aca="false">IF(Time!AL53=1,IF(Time!AL20=Time!$F$13,Funding!$F$25,AK133-AK134),0)</f>
        <v>132.623809965644</v>
      </c>
      <c r="AM133" s="13" t="n">
        <f aca="false">IF(Time!AM53=1,IF(Time!AM20=Time!$F$13,Funding!$F$25,AL133-AL134),0)</f>
        <v>98.6130001918635</v>
      </c>
      <c r="AN133" s="13" t="n">
        <f aca="false">IF(Time!AN53=1,IF(Time!AN20=Time!$F$13,Funding!$F$25,AM133-AM134),0)</f>
        <v>63.4890890458007</v>
      </c>
      <c r="AO133" s="13" t="n">
        <f aca="false">IF(Time!AO53=1,IF(Time!AO20=Time!$F$13,Funding!$F$25,AN133-AN134),0)</f>
        <v>29.5817395194151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15.6508232185844</v>
      </c>
      <c r="Q134" s="13" t="n">
        <f aca="false">Q132-Q133*Q127</f>
        <v>16.2138760172639</v>
      </c>
      <c r="R134" s="13" t="n">
        <f aca="false">R132-R133*R127</f>
        <v>17.0115908023232</v>
      </c>
      <c r="S134" s="13" t="n">
        <f aca="false">S132-S133*S127</f>
        <v>17.5040448810361</v>
      </c>
      <c r="T134" s="13" t="n">
        <f aca="false">T132-T133*T127</f>
        <v>18.3327025232218</v>
      </c>
      <c r="U134" s="13" t="n">
        <f aca="false">U132-U133*U127</f>
        <v>18.8439653819266</v>
      </c>
      <c r="V134" s="13" t="n">
        <f aca="false">V132-V133*V127</f>
        <v>19.943030030506</v>
      </c>
      <c r="W134" s="13" t="n">
        <f aca="false">W132-W133*W127</f>
        <v>20.5541223642235</v>
      </c>
      <c r="X134" s="13" t="n">
        <f aca="false">X132-X133*X127</f>
        <v>19.9765890842585</v>
      </c>
      <c r="Y134" s="13" t="n">
        <f aca="false">Y132-Y133*Y127</f>
        <v>19.9446664286538</v>
      </c>
      <c r="Z134" s="13" t="n">
        <f aca="false">Z132-Z133*Z127</f>
        <v>20.7110457738338</v>
      </c>
      <c r="AA134" s="13" t="n">
        <f aca="false">AA132-AA133*AA127</f>
        <v>21.3073213579863</v>
      </c>
      <c r="AB134" s="13" t="n">
        <f aca="false">AB132-AB133*AB127</f>
        <v>22.3208160424713</v>
      </c>
      <c r="AC134" s="13" t="n">
        <f aca="false">AC132-AC133*AC127</f>
        <v>23.0349631162623</v>
      </c>
      <c r="AD134" s="13" t="n">
        <f aca="false">AD132-AD133*AD127</f>
        <v>25.5430779626261</v>
      </c>
      <c r="AE134" s="13" t="n">
        <f aca="false">AE132-AE133*AE127</f>
        <v>26.359207759627</v>
      </c>
      <c r="AF134" s="13" t="n">
        <f aca="false">AF132-AF133*AF127</f>
        <v>27.1088036916081</v>
      </c>
      <c r="AG134" s="13" t="n">
        <f aca="false">AG132-AG133*AG127</f>
        <v>27.6186350202048</v>
      </c>
      <c r="AH134" s="13" t="n">
        <f aca="false">AH132-AH133*AH127</f>
        <v>29.055669632295</v>
      </c>
      <c r="AI134" s="13" t="n">
        <f aca="false">AI132-AI133*AI127</f>
        <v>29.9113737257535</v>
      </c>
      <c r="AJ134" s="13" t="n">
        <f aca="false">AJ132-AJ133*AJ127</f>
        <v>31.3489871096542</v>
      </c>
      <c r="AK134" s="13" t="n">
        <f aca="false">AK132-AK133*AK127</f>
        <v>32.3368536528095</v>
      </c>
      <c r="AL134" s="13" t="n">
        <f aca="false">AL132-AL133*AL127</f>
        <v>34.010809773781</v>
      </c>
      <c r="AM134" s="13" t="n">
        <f aca="false">AM132-AM133*AM127</f>
        <v>35.1239111460627</v>
      </c>
      <c r="AN134" s="13" t="n">
        <f aca="false">AN132-AN133*AN127</f>
        <v>33.9073495263857</v>
      </c>
      <c r="AO134" s="13" t="n">
        <f aca="false">AO132-AO133*AO127</f>
        <v>29.5817395194159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0.16110841784041</v>
      </c>
      <c r="Q135" s="13" t="n">
        <f aca="false">IF(Inputs!$F$8=1,Q134-Time!Q53*Inputs!Q298*Funding!$F$25,0)</f>
        <v>0.068609687677327</v>
      </c>
      <c r="R135" s="13" t="n">
        <f aca="false">IF(Inputs!$F$8=1,R134-Time!R53*Inputs!R298*Funding!$F$25,0)</f>
        <v>0.0710294568930578</v>
      </c>
      <c r="S135" s="13" t="n">
        <f aca="false">IF(Inputs!$F$8=1,S134-Time!S53*Inputs!S298*Funding!$F$25,0)</f>
        <v>0.0642725987367641</v>
      </c>
      <c r="T135" s="13" t="n">
        <f aca="false">IF(Inputs!$F$8=1,T134-Time!T53*Inputs!T298*Funding!$F$25,0)</f>
        <v>0.0907069654602672</v>
      </c>
      <c r="U135" s="13" t="n">
        <f aca="false">IF(Inputs!$F$8=1,U134-Time!U53*Inputs!U298*Funding!$F$25,0)</f>
        <v>0.0202004723092664</v>
      </c>
      <c r="V135" s="13" t="n">
        <f aca="false">IF(Inputs!$F$8=1,V134-Time!V53*Inputs!V298*Funding!$F$25,0)</f>
        <v>-0.110478141240137</v>
      </c>
      <c r="W135" s="13" t="n">
        <f aca="false">IF(Inputs!$F$8=1,W134-Time!W53*Inputs!W298*Funding!$F$25,0)</f>
        <v>-0.112409244877263</v>
      </c>
      <c r="X135" s="13" t="n">
        <f aca="false">IF(Inputs!$F$8=1,X134-Time!X53*Inputs!X298*Funding!$F$25,0)</f>
        <v>-0.116286451476235</v>
      </c>
      <c r="Y135" s="13" t="n">
        <f aca="false">IF(Inputs!$F$8=1,Y134-Time!Y53*Inputs!Y298*Funding!$F$25,0)</f>
        <v>-0.15766379911787</v>
      </c>
      <c r="Z135" s="13" t="n">
        <f aca="false">IF(Inputs!$F$8=1,Z134-Time!Z53*Inputs!Z298*Funding!$F$25,0)</f>
        <v>-0.224082884467546</v>
      </c>
      <c r="AA135" s="13" t="n">
        <f aca="false">IF(Inputs!$F$8=1,AA134-Time!AA53*Inputs!AA298*Funding!$F$25,0)</f>
        <v>-0.238746841698394</v>
      </c>
      <c r="AB135" s="13" t="n">
        <f aca="false">IF(Inputs!$F$8=1,AB134-Time!AB53*Inputs!AB298*Funding!$F$25,0)</f>
        <v>-0.254600229568887</v>
      </c>
      <c r="AC135" s="13" t="n">
        <f aca="false">IF(Inputs!$F$8=1,AC134-Time!AC53*Inputs!AC298*Funding!$F$25,0)</f>
        <v>-0.288341846140245</v>
      </c>
      <c r="AD135" s="13" t="n">
        <f aca="false">IF(Inputs!$F$8=1,AD134-Time!AD53*Inputs!AD298*Funding!$F$25,0)</f>
        <v>0.0757309443268319</v>
      </c>
      <c r="AE135" s="13" t="n">
        <f aca="false">IF(Inputs!$F$8=1,AE134-Time!AE53*Inputs!AE298*Funding!$F$25,0)</f>
        <v>-0.202739569473845</v>
      </c>
      <c r="AF135" s="13" t="n">
        <f aca="false">IF(Inputs!$F$8=1,AF134-Time!AF53*Inputs!AF298*Funding!$F$25,0)</f>
        <v>-0.384984215687155</v>
      </c>
      <c r="AG135" s="13" t="n">
        <f aca="false">IF(Inputs!$F$8=1,AG134-Time!AG53*Inputs!AG298*Funding!$F$25,0)</f>
        <v>-0.388275395316143</v>
      </c>
      <c r="AH135" s="13" t="n">
        <f aca="false">IF(Inputs!$F$8=1,AH134-Time!AH53*Inputs!AH298*Funding!$F$25,0)</f>
        <v>-0.357230827604198</v>
      </c>
      <c r="AI135" s="13" t="n">
        <f aca="false">IF(Inputs!$F$8=1,AI134-Time!AI53*Inputs!AI298*Funding!$F$25,0)</f>
        <v>-0.365163653382989</v>
      </c>
      <c r="AJ135" s="13" t="n">
        <f aca="false">IF(Inputs!$F$8=1,AJ134-Time!AJ53*Inputs!AJ298*Funding!$F$25,0)</f>
        <v>-0.389230748526582</v>
      </c>
      <c r="AK135" s="13" t="n">
        <f aca="false">IF(Inputs!$F$8=1,AK134-Time!AK53*Inputs!AK298*Funding!$F$25,0)</f>
        <v>-0.428674116473019</v>
      </c>
      <c r="AL135" s="13" t="n">
        <f aca="false">IF(Inputs!$F$8=1,AL134-Time!AL53*Inputs!AL298*Funding!$F$25,0)</f>
        <v>-0.731749232628459</v>
      </c>
      <c r="AM135" s="13" t="n">
        <f aca="false">IF(Inputs!$F$8=1,AM134-Time!AM53*Inputs!AM298*Funding!$F$25,0)</f>
        <v>-0.340770795672356</v>
      </c>
      <c r="AN135" s="13" t="n">
        <f aca="false">IF(Inputs!$F$8=1,AN134-Time!AN53*Inputs!AN298*Funding!$F$25,0)</f>
        <v>4.64940793646105</v>
      </c>
      <c r="AO135" s="13" t="n">
        <f aca="false">IF(Inputs!$F$8=1,AO134-Time!AO53*Inputs!AO298*Funding!$F$25,0)</f>
        <v>-0.109638486352967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7.19162038410344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0.0457174224012495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0.0897307525157354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37.2402629230422</v>
      </c>
      <c r="Q9" s="13" t="n">
        <f aca="false">IF(Time!Q34=1,SUM(Funding!$J$44:$BJ$44),P13)</f>
        <v>37.1514107093746</v>
      </c>
      <c r="R9" s="13" t="n">
        <f aca="false">IF(Time!R34=1,SUM(Funding!$J$44:$BJ$44),Q13)</f>
        <v>37.6190927474989</v>
      </c>
      <c r="S9" s="13" t="n">
        <f aca="false">IF(Time!S34=1,SUM(Funding!$J$44:$BJ$44),R13)</f>
        <v>37.3276805156298</v>
      </c>
      <c r="T9" s="13" t="n">
        <f aca="false">IF(Time!T34=1,SUM(Funding!$J$44:$BJ$44),S13)</f>
        <v>37.7455078940196</v>
      </c>
      <c r="U9" s="13" t="n">
        <f aca="false">IF(Time!U34=1,SUM(Funding!$J$44:$BJ$44),T13)</f>
        <v>37.5650237647995</v>
      </c>
      <c r="V9" s="13" t="n">
        <f aca="false">IF(Time!V34=1,SUM(Funding!$J$44:$BJ$44),U13)</f>
        <v>38.2821356925896</v>
      </c>
      <c r="W9" s="13" t="n">
        <f aca="false">IF(Time!W34=1,SUM(Funding!$J$44:$BJ$44),V13)</f>
        <v>38.0175010594182</v>
      </c>
      <c r="X9" s="13" t="n">
        <f aca="false">IF(Time!X34=1,SUM(Funding!$J$44:$BJ$44),W13)</f>
        <v>36.9212193316689</v>
      </c>
      <c r="Y9" s="13" t="n">
        <f aca="false">IF(Time!Y34=1,SUM(Funding!$J$44:$BJ$44),X13)</f>
        <v>36.5648868916211</v>
      </c>
      <c r="Z9" s="13" t="n">
        <f aca="false">IF(Time!Z34=1,SUM(Funding!$J$44:$BJ$44),Y13)</f>
        <v>36.8658014378429</v>
      </c>
      <c r="AA9" s="13" t="n">
        <f aca="false">IF(Time!AA34=1,SUM(Funding!$J$44:$BJ$44),Z13)</f>
        <v>36.5687862789268</v>
      </c>
      <c r="AB9" s="13" t="n">
        <f aca="false">IF(Time!AB34=1,SUM(Funding!$J$44:$BJ$44),AA13)</f>
        <v>36.9991732151566</v>
      </c>
      <c r="AC9" s="13" t="n">
        <f aca="false">IF(Time!AC34=1,SUM(Funding!$J$44:$BJ$44),AB13)</f>
        <v>36.2519496708478</v>
      </c>
      <c r="AD9" s="13" t="n">
        <f aca="false">IF(Time!AD34=1,SUM(Funding!$J$44:$BJ$44),AC13)</f>
        <v>36.8940999521036</v>
      </c>
      <c r="AE9" s="13" t="n">
        <f aca="false">IF(Time!AE34=1,SUM(Funding!$J$44:$BJ$44),AD13)</f>
        <v>36.2162895324494</v>
      </c>
      <c r="AF9" s="13" t="n">
        <f aca="false">IF(Time!AF34=1,SUM(Funding!$J$44:$BJ$44),AE13)</f>
        <v>35.3356581282747</v>
      </c>
      <c r="AG9" s="13" t="n">
        <f aca="false">IF(Time!AG34=1,SUM(Funding!$J$44:$BJ$44),AF13)</f>
        <v>33.9421673344526</v>
      </c>
      <c r="AH9" s="13" t="n">
        <f aca="false">IF(Time!AH34=1,SUM(Funding!$J$44:$BJ$44),AG13)</f>
        <v>33.0498784224211</v>
      </c>
      <c r="AI9" s="13" t="n">
        <f aca="false">IF(Time!AI34=1,SUM(Funding!$J$44:$BJ$44),AH13)</f>
        <v>31.3081781778412</v>
      </c>
      <c r="AJ9" s="13" t="n">
        <f aca="false">IF(Time!AJ34=1,SUM(Funding!$J$44:$BJ$44),AI13)</f>
        <v>29.7297278524654</v>
      </c>
      <c r="AK9" s="13" t="n">
        <f aca="false">IF(Time!AK34=1,SUM(Funding!$J$44:$BJ$44),AJ13)</f>
        <v>27.2528891533879</v>
      </c>
      <c r="AL9" s="13" t="n">
        <f aca="false">IF(Time!AL34=1,SUM(Funding!$J$44:$BJ$44),AK13)</f>
        <v>24.5569279752001</v>
      </c>
      <c r="AM9" s="13" t="n">
        <f aca="false">IF(Time!AM34=1,SUM(Funding!$J$44:$BJ$44),AL13)</f>
        <v>23.5657674487505</v>
      </c>
      <c r="AN9" s="13" t="n">
        <f aca="false">IF(Time!AN34=1,SUM(Funding!$J$44:$BJ$44),AM13)</f>
        <v>19.1291565524823</v>
      </c>
      <c r="AO9" s="13" t="n">
        <f aca="false">IF(Time!AO34=1,SUM(Funding!$J$44:$BJ$44),AN13)</f>
        <v>18.9030859020972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2.97607310801168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0.467682038124345</v>
      </c>
      <c r="R11" s="13" t="n">
        <f aca="false">MIN(Waterfall!R13,MAX(0,Debt!R125-(R9-R10)))</f>
        <v>0</v>
      </c>
      <c r="S11" s="13" t="n">
        <f aca="false">MIN(Waterfall!S13,MAX(0,Debt!S125-(S9-S10)))</f>
        <v>0.417827378389802</v>
      </c>
      <c r="T11" s="13" t="n">
        <f aca="false">MIN(Waterfall!T13,MAX(0,Debt!T125-(T9-T10)))</f>
        <v>0</v>
      </c>
      <c r="U11" s="13" t="n">
        <f aca="false">MIN(Waterfall!U13,MAX(0,Debt!U125-(U9-U10)))</f>
        <v>0.717111927790171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0.300914546221748</v>
      </c>
      <c r="Z11" s="13" t="n">
        <f aca="false">MIN(Waterfall!Z13,MAX(0,Debt!Z125-(Z9-Z10)))</f>
        <v>0</v>
      </c>
      <c r="AA11" s="13" t="n">
        <f aca="false">MIN(Waterfall!AA13,MAX(0,Debt!AA125-(AA9-AA10)))</f>
        <v>0.430386936229795</v>
      </c>
      <c r="AB11" s="13" t="n">
        <f aca="false">MIN(Waterfall!AB13,MAX(0,Debt!AB125-(AB9-AB10)))</f>
        <v>0</v>
      </c>
      <c r="AC11" s="13" t="n">
        <f aca="false">MIN(Waterfall!AC13,MAX(0,Debt!AC125-(AC9-AC10)))</f>
        <v>0.642150281255816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40.221968545107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0.00563251405315413</v>
      </c>
      <c r="P12" s="13" t="n">
        <f aca="false">MAX(0,P9-P10-Debt!P125)</f>
        <v>0.0888522136676642</v>
      </c>
      <c r="Q12" s="13" t="n">
        <f aca="false">MAX(0,Q9-Q10-Debt!Q125)</f>
        <v>0</v>
      </c>
      <c r="R12" s="13" t="n">
        <f aca="false">MAX(0,R9-R10-Debt!R125)</f>
        <v>0.291412231869096</v>
      </c>
      <c r="S12" s="13" t="n">
        <f aca="false">MAX(0,S9-S10-Debt!S125)</f>
        <v>0</v>
      </c>
      <c r="T12" s="13" t="n">
        <f aca="false">MAX(0,T9-T10-Debt!T125)</f>
        <v>0.180484129220154</v>
      </c>
      <c r="U12" s="13" t="n">
        <f aca="false">MAX(0,U9-U10-Debt!U125)</f>
        <v>0</v>
      </c>
      <c r="V12" s="13" t="n">
        <f aca="false">MAX(0,V9-V10-Debt!V125)</f>
        <v>0.264634633171411</v>
      </c>
      <c r="W12" s="13" t="n">
        <f aca="false">MAX(0,W9-W10-Debt!W125)</f>
        <v>1.09628172774927</v>
      </c>
      <c r="X12" s="13" t="n">
        <f aca="false">MAX(0,X9-X10-Debt!X125)</f>
        <v>0.356332440047808</v>
      </c>
      <c r="Y12" s="13" t="n">
        <f aca="false">MAX(0,Y9-Y10-Debt!Y125)</f>
        <v>0</v>
      </c>
      <c r="Z12" s="13" t="n">
        <f aca="false">MAX(0,Z9-Z10-Debt!Z125)</f>
        <v>0.297015158916054</v>
      </c>
      <c r="AA12" s="13" t="n">
        <f aca="false">MAX(0,AA9-AA10-Debt!AA125)</f>
        <v>0</v>
      </c>
      <c r="AB12" s="13" t="n">
        <f aca="false">MAX(0,AB9-AB10-Debt!AB125)</f>
        <v>0.747223544308859</v>
      </c>
      <c r="AC12" s="13" t="n">
        <f aca="false">MAX(0,AC9-AC10-Debt!AC125)</f>
        <v>0</v>
      </c>
      <c r="AD12" s="13" t="n">
        <f aca="false">MAX(0,AD9-AD10-Debt!AD125)</f>
        <v>0.677810419654151</v>
      </c>
      <c r="AE12" s="13" t="n">
        <f aca="false">MAX(0,AE9-AE10-Debt!AE125)</f>
        <v>0.880631404174743</v>
      </c>
      <c r="AF12" s="13" t="n">
        <f aca="false">MAX(0,AF9-AF10-Debt!AF125)</f>
        <v>1.39349079382208</v>
      </c>
      <c r="AG12" s="13" t="n">
        <f aca="false">MAX(0,AG9-AG10-Debt!AG125)</f>
        <v>0.892288912031518</v>
      </c>
      <c r="AH12" s="13" t="n">
        <f aca="false">MAX(0,AH9-AH10-Debt!AH125)</f>
        <v>1.74170024457987</v>
      </c>
      <c r="AI12" s="13" t="n">
        <f aca="false">MAX(0,AI9-AI10-Debt!AI125)</f>
        <v>1.57845032537582</v>
      </c>
      <c r="AJ12" s="13" t="n">
        <f aca="false">MAX(0,AJ9-AJ10-Debt!AJ125)</f>
        <v>2.47683869907744</v>
      </c>
      <c r="AK12" s="13" t="n">
        <f aca="false">MAX(0,AK9-AK10-Debt!AK125)</f>
        <v>2.69596117818785</v>
      </c>
      <c r="AL12" s="13" t="n">
        <f aca="false">MAX(0,AL9-AL10-Debt!AL125)</f>
        <v>0.991160526449594</v>
      </c>
      <c r="AM12" s="13" t="n">
        <f aca="false">MAX(0,AM9-AM10-Debt!AM125)</f>
        <v>4.43661089626824</v>
      </c>
      <c r="AN12" s="13" t="n">
        <f aca="false">MAX(0,AN9-AN10-Debt!AN125)</f>
        <v>0.226070650385083</v>
      </c>
      <c r="AO12" s="13" t="n">
        <f aca="false">MAX(0,AO9-AO10-Debt!AO125)</f>
        <v>18.9030859020972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37.2402629230422</v>
      </c>
      <c r="P13" s="13" t="n">
        <f aca="false">(1-Time!P37)*(P9-P10+P11-P12)</f>
        <v>37.1514107093746</v>
      </c>
      <c r="Q13" s="13" t="n">
        <f aca="false">(1-Time!Q37)*(Q9-Q10+Q11-Q12)</f>
        <v>37.6190927474989</v>
      </c>
      <c r="R13" s="13" t="n">
        <f aca="false">(1-Time!R37)*(R9-R10+R11-R12)</f>
        <v>37.3276805156298</v>
      </c>
      <c r="S13" s="13" t="n">
        <f aca="false">(1-Time!S37)*(S9-S10+S11-S12)</f>
        <v>37.7455078940196</v>
      </c>
      <c r="T13" s="13" t="n">
        <f aca="false">(1-Time!T37)*(T9-T10+T11-T12)</f>
        <v>37.5650237647995</v>
      </c>
      <c r="U13" s="13" t="n">
        <f aca="false">(1-Time!U37)*(U9-U10+U11-U12)</f>
        <v>38.2821356925896</v>
      </c>
      <c r="V13" s="13" t="n">
        <f aca="false">(1-Time!V37)*(V9-V10+V11-V12)</f>
        <v>38.0175010594182</v>
      </c>
      <c r="W13" s="13" t="n">
        <f aca="false">(1-Time!W37)*(W9-W10+W11-W12)</f>
        <v>36.9212193316689</v>
      </c>
      <c r="X13" s="13" t="n">
        <f aca="false">(1-Time!X37)*(X9-X10+X11-X12)</f>
        <v>36.5648868916211</v>
      </c>
      <c r="Y13" s="13" t="n">
        <f aca="false">(1-Time!Y37)*(Y9-Y10+Y11-Y12)</f>
        <v>36.8658014378429</v>
      </c>
      <c r="Z13" s="13" t="n">
        <f aca="false">(1-Time!Z37)*(Z9-Z10+Z11-Z12)</f>
        <v>36.5687862789268</v>
      </c>
      <c r="AA13" s="13" t="n">
        <f aca="false">(1-Time!AA37)*(AA9-AA10+AA11-AA12)</f>
        <v>36.9991732151566</v>
      </c>
      <c r="AB13" s="13" t="n">
        <f aca="false">(1-Time!AB37)*(AB9-AB10+AB11-AB12)</f>
        <v>36.2519496708478</v>
      </c>
      <c r="AC13" s="13" t="n">
        <f aca="false">(1-Time!AC37)*(AC9-AC10+AC11-AC12)</f>
        <v>36.8940999521036</v>
      </c>
      <c r="AD13" s="13" t="n">
        <f aca="false">(1-Time!AD37)*(AD9-AD10+AD11-AD12)</f>
        <v>36.2162895324494</v>
      </c>
      <c r="AE13" s="13" t="n">
        <f aca="false">(1-Time!AE37)*(AE9-AE10+AE11-AE12)</f>
        <v>35.3356581282747</v>
      </c>
      <c r="AF13" s="13" t="n">
        <f aca="false">(1-Time!AF37)*(AF9-AF10+AF11-AF12)</f>
        <v>33.9421673344526</v>
      </c>
      <c r="AG13" s="13" t="n">
        <f aca="false">(1-Time!AG37)*(AG9-AG10+AG11-AG12)</f>
        <v>33.0498784224211</v>
      </c>
      <c r="AH13" s="13" t="n">
        <f aca="false">(1-Time!AH37)*(AH9-AH10+AH11-AH12)</f>
        <v>31.3081781778412</v>
      </c>
      <c r="AI13" s="13" t="n">
        <f aca="false">(1-Time!AI37)*(AI9-AI10+AI11-AI12)</f>
        <v>29.7297278524654</v>
      </c>
      <c r="AJ13" s="13" t="n">
        <f aca="false">(1-Time!AJ37)*(AJ9-AJ10+AJ11-AJ12)</f>
        <v>27.2528891533879</v>
      </c>
      <c r="AK13" s="13" t="n">
        <f aca="false">(1-Time!AK37)*(AK9-AK10+AK11-AK12)</f>
        <v>24.5569279752001</v>
      </c>
      <c r="AL13" s="13" t="n">
        <f aca="false">(1-Time!AL37)*(AL9-AL10+AL11-AL12)</f>
        <v>23.5657674487505</v>
      </c>
      <c r="AM13" s="13" t="n">
        <f aca="false">(1-Time!AM37)*(AM9-AM10+AM11-AM12)</f>
        <v>19.1291565524823</v>
      </c>
      <c r="AN13" s="13" t="n">
        <f aca="false">(1-Time!AN37)*(AN9-AN10+AN11-AN12)</f>
        <v>18.9030859020972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2261.89929580506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1.94465574366775</v>
      </c>
      <c r="P7" s="13" t="n">
        <f aca="false">Operations!P84-Tax!P27-Operations!P96-Reserves!P7+Operations!P79+Operations!P97</f>
        <v>49.9616399003539</v>
      </c>
      <c r="Q7" s="13" t="n">
        <f aca="false">Operations!Q84-Tax!Q27-Operations!Q96-Reserves!Q7+Operations!Q79+Operations!Q97</f>
        <v>49.7120689255529</v>
      </c>
      <c r="R7" s="13" t="n">
        <f aca="false">Operations!R84-Tax!R27-Operations!R96-Reserves!R7+Operations!R79+Operations!R97</f>
        <v>50.3368333758767</v>
      </c>
      <c r="S7" s="13" t="n">
        <f aca="false">Operations!S84-Tax!S27-Operations!S96-Reserves!S7+Operations!S79+Operations!S97</f>
        <v>49.935392791675</v>
      </c>
      <c r="T7" s="13" t="n">
        <f aca="false">Operations!T84-Tax!T27-Operations!T96-Reserves!T7+Operations!T79+Operations!T97</f>
        <v>50.5257623859091</v>
      </c>
      <c r="U7" s="13" t="n">
        <f aca="false">Operations!U84-Tax!U27-Operations!U96-Reserves!U7+Operations!U79+Operations!U97</f>
        <v>50.1864618254968</v>
      </c>
      <c r="V7" s="13" t="n">
        <f aca="false">Operations!V84-Tax!V27-Operations!V96-Reserves!V7+Operations!V79+Operations!V97</f>
        <v>50.9687922567988</v>
      </c>
      <c r="W7" s="13" t="n">
        <f aca="false">Operations!W84-Tax!W27-Operations!W96-Reserves!W7+Operations!W79+Operations!W97</f>
        <v>50.6179381896097</v>
      </c>
      <c r="X7" s="13" t="n">
        <f aca="false">Operations!X84-Tax!X27-Operations!X96-Reserves!X7+Operations!X79+Operations!X97</f>
        <v>49.1533236449854</v>
      </c>
      <c r="Y7" s="13" t="n">
        <f aca="false">Operations!Y84-Tax!Y27-Operations!Y96-Reserves!Y7+Operations!Y79+Operations!Y97</f>
        <v>48.6272544034569</v>
      </c>
      <c r="Z7" s="13" t="n">
        <f aca="false">Operations!Z84-Tax!Z27-Operations!Z96-Reserves!Z7+Operations!Z79+Operations!Z97</f>
        <v>48.9479265111806</v>
      </c>
      <c r="AA7" s="13" t="n">
        <f aca="false">Operations!AA84-Tax!AA27-Operations!AA96-Reserves!AA7+Operations!AA79+Operations!AA97</f>
        <v>48.5420500342998</v>
      </c>
      <c r="AB7" s="13" t="n">
        <f aca="false">Operations!AB84-Tax!AB27-Operations!AB96-Reserves!AB7+Operations!AB79+Operations!AB97</f>
        <v>49.1072472863243</v>
      </c>
      <c r="AC7" s="13" t="n">
        <f aca="false">Operations!AC84-Tax!AC27-Operations!AC96-Reserves!AC7+Operations!AC79+Operations!AC97</f>
        <v>48.8712162252074</v>
      </c>
      <c r="AD7" s="13" t="n">
        <f aca="false">Operations!AD84-Tax!AD27-Operations!AD96-Reserves!AD7+Operations!AD79+Operations!AD97</f>
        <v>51.2621301540798</v>
      </c>
      <c r="AE7" s="13" t="n">
        <f aca="false">Operations!AE84-Tax!AE27-Operations!AE96-Reserves!AE7+Operations!AE79+Operations!AE97</f>
        <v>50.9685224700138</v>
      </c>
      <c r="AF7" s="13" t="n">
        <f aca="false">Operations!AF84-Tax!AF27-Operations!AF96-Reserves!AF7+Operations!AF79+Operations!AF97</f>
        <v>50.8943487888929</v>
      </c>
      <c r="AG7" s="13" t="n">
        <f aca="false">Operations!AG84-Tax!AG27-Operations!AG96-Reserves!AG7+Operations!AG79+Operations!AG97</f>
        <v>50.5460866792751</v>
      </c>
      <c r="AH7" s="13" t="n">
        <f aca="false">Operations!AH84-Tax!AH27-Operations!AH96-Reserves!AH7+Operations!AH79+Operations!AH97</f>
        <v>51.2696710920407</v>
      </c>
      <c r="AI7" s="13" t="n">
        <f aca="false">Operations!AI84-Tax!AI27-Operations!AI96-Reserves!AI7+Operations!AI79+Operations!AI97</f>
        <v>50.8721195568128</v>
      </c>
      <c r="AJ7" s="13" t="n">
        <f aca="false">Operations!AJ84-Tax!AJ27-Operations!AJ96-Reserves!AJ7+Operations!AJ79+Operations!AJ97</f>
        <v>51.4539866779835</v>
      </c>
      <c r="AK7" s="13" t="n">
        <f aca="false">Operations!AK84-Tax!AK27-Operations!AK96-Reserves!AK7+Operations!AK79+Operations!AK97</f>
        <v>51.1836845930125</v>
      </c>
      <c r="AL7" s="13" t="n">
        <f aca="false">Operations!AL84-Tax!AL27-Operations!AL96-Reserves!AL7+Operations!AL79+Operations!AL97</f>
        <v>51.9001208322862</v>
      </c>
      <c r="AM7" s="13" t="n">
        <f aca="false">Operations!AM84-Tax!AM27-Operations!AM96-Reserves!AM7+Operations!AM79+Operations!AM97</f>
        <v>51.6732650021915</v>
      </c>
      <c r="AN7" s="13" t="n">
        <f aca="false">Operations!AN84-Tax!AN27-Operations!AN96-Reserves!AN7+Operations!AN79+Operations!AN97</f>
        <v>48.3868736846776</v>
      </c>
      <c r="AO7" s="13" t="n">
        <f aca="false">Operations!AO84-Tax!AO27-Operations!AO96-Reserves!AO7+Operations!AO79+Operations!AO97</f>
        <v>40.9382282606265</v>
      </c>
      <c r="AP7" s="13" t="n">
        <f aca="false">Operations!AP84-Tax!AP27-Operations!AP96-Reserves!AP7+Operations!AP79+Operations!AP97</f>
        <v>40.8479274029701</v>
      </c>
      <c r="AQ7" s="13" t="n">
        <f aca="false">Operations!AQ84-Tax!AQ27-Operations!AQ96-Reserves!AQ7+Operations!AQ79+Operations!AQ97</f>
        <v>40.136684461664</v>
      </c>
      <c r="AR7" s="13" t="n">
        <f aca="false">Operations!AR84-Tax!AR27-Operations!AR96-Reserves!AR7+Operations!AR79+Operations!AR97</f>
        <v>40.7406580329047</v>
      </c>
      <c r="AS7" s="13" t="n">
        <f aca="false">Operations!AS84-Tax!AS27-Operations!AS96-Reserves!AS7+Operations!AS79+Operations!AS97</f>
        <v>40.4481006596007</v>
      </c>
      <c r="AT7" s="13" t="n">
        <f aca="false">Operations!AT84-Tax!AT27-Operations!AT96-Reserves!AT7+Operations!AT79+Operations!AT97</f>
        <v>46.8441976401825</v>
      </c>
      <c r="AU7" s="13" t="n">
        <f aca="false">Operations!AU84-Tax!AU27-Operations!AU96-Reserves!AU7+Operations!AU79+Operations!AU97</f>
        <v>42.5883075904508</v>
      </c>
      <c r="AV7" s="13" t="n">
        <f aca="false">Operations!AV84-Tax!AV27-Operations!AV96-Reserves!AV7+Operations!AV79+Operations!AV97</f>
        <v>42.8143247236077</v>
      </c>
      <c r="AW7" s="13" t="n">
        <f aca="false">Operations!AW84-Tax!AW27-Operations!AW96-Reserves!AW7+Operations!AW79+Operations!AW97</f>
        <v>42.343187807146</v>
      </c>
      <c r="AX7" s="13" t="n">
        <f aca="false">Operations!AX84-Tax!AX27-Operations!AX96-Reserves!AX7+Operations!AX79+Operations!AX97</f>
        <v>43.0855056864911</v>
      </c>
      <c r="AY7" s="13" t="n">
        <f aca="false">Operations!AY84-Tax!AY27-Operations!AY96-Reserves!AY7+Operations!AY79+Operations!AY97</f>
        <v>42.698177643974</v>
      </c>
      <c r="AZ7" s="13" t="n">
        <f aca="false">Operations!AZ84-Tax!AZ27-Operations!AZ96-Reserves!AZ7+Operations!AZ79+Operations!AZ97</f>
        <v>43.3660064212279</v>
      </c>
      <c r="BA7" s="13" t="n">
        <f aca="false">Operations!BA84-Tax!BA27-Operations!BA96-Reserves!BA7+Operations!BA79+Operations!BA97</f>
        <v>42.9821914505452</v>
      </c>
      <c r="BB7" s="13" t="n">
        <f aca="false">Operations!BB84-Tax!BB27-Operations!BB96-Reserves!BB7+Operations!BB79+Operations!BB97</f>
        <v>44.4753680576582</v>
      </c>
      <c r="BC7" s="13" t="n">
        <f aca="false">Operations!BC84-Tax!BC27-Operations!BC96-Reserves!BC7+Operations!BC79+Operations!BC97</f>
        <v>41.4028123726398</v>
      </c>
      <c r="BD7" s="13" t="n">
        <f aca="false">Operations!BD84-Tax!BD27-Operations!BD96-Reserves!BD7+Operations!BD79+Operations!BD97</f>
        <v>35.4740230393604</v>
      </c>
      <c r="BE7" s="13" t="n">
        <f aca="false">Operations!BE84-Tax!BE27-Operations!BE96-Reserves!BE7+Operations!BE79+Operations!BE97</f>
        <v>35.0088756309125</v>
      </c>
      <c r="BF7" s="13" t="n">
        <f aca="false">Operations!BF84-Tax!BF27-Operations!BF96-Reserves!BF7+Operations!BF79+Operations!BF97</f>
        <v>35.6096730115501</v>
      </c>
      <c r="BG7" s="13" t="n">
        <f aca="false">Operations!BG84-Tax!BG27-Operations!BG96-Reserves!BG7+Operations!BG79+Operations!BG97</f>
        <v>35.2216916179893</v>
      </c>
      <c r="BH7" s="13" t="n">
        <f aca="false">Operations!BH84-Tax!BH27-Operations!BH96-Reserves!BH7+Operations!BH79+Operations!BH97</f>
        <v>35.9999939269384</v>
      </c>
      <c r="BI7" s="13" t="n">
        <f aca="false">Operations!BI84-Tax!BI27-Operations!BI96-Reserves!BI7+Operations!BI79+Operations!BI97</f>
        <v>35.7635168417781</v>
      </c>
      <c r="BJ7" s="13" t="n">
        <f aca="false">Operations!BJ84-Tax!BJ27-Operations!BJ96-Reserves!BJ7+Operations!BJ79+Operations!BJ97</f>
        <v>43.2022021841361</v>
      </c>
      <c r="BK7" s="13" t="n">
        <f aca="false">Operations!BK84-Tax!BK27-Operations!BK96-Reserves!BK7+Operations!BK79+Operations!BK97</f>
        <v>38.1747914623673</v>
      </c>
      <c r="BL7" s="13" t="n">
        <f aca="false">Operations!BL84-Tax!BL27-Operations!BL96-Reserves!BL7+Operations!BL79+Operations!BL97</f>
        <v>38.993899201957</v>
      </c>
      <c r="BM7" s="13" t="n">
        <f aca="false">Operations!BM84-Tax!BM27-Operations!BM96-Reserves!BM7+Operations!BM79+Operations!BM97</f>
        <v>34.8895776447199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1.9502882577209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1.94465574366775</v>
      </c>
      <c r="P9" s="13" t="n">
        <f aca="false">P7+P8</f>
        <v>51.9119281580748</v>
      </c>
      <c r="Q9" s="13" t="n">
        <f aca="false">Q7+Q8</f>
        <v>49.7120689255529</v>
      </c>
      <c r="R9" s="13" t="n">
        <f aca="false">R7+R8</f>
        <v>50.3368333758767</v>
      </c>
      <c r="S9" s="13" t="n">
        <f aca="false">S7+S8</f>
        <v>49.935392791675</v>
      </c>
      <c r="T9" s="13" t="n">
        <f aca="false">T7+T8</f>
        <v>50.5257623859091</v>
      </c>
      <c r="U9" s="13" t="n">
        <f aca="false">U7+U8</f>
        <v>50.1864618254968</v>
      </c>
      <c r="V9" s="13" t="n">
        <f aca="false">V7+V8</f>
        <v>50.9687922567988</v>
      </c>
      <c r="W9" s="13" t="n">
        <f aca="false">W7+W8</f>
        <v>50.6179381896097</v>
      </c>
      <c r="X9" s="13" t="n">
        <f aca="false">X7+X8</f>
        <v>49.1533236449854</v>
      </c>
      <c r="Y9" s="13" t="n">
        <f aca="false">Y7+Y8</f>
        <v>48.6272544034569</v>
      </c>
      <c r="Z9" s="13" t="n">
        <f aca="false">Z7+Z8</f>
        <v>48.9479265111806</v>
      </c>
      <c r="AA9" s="13" t="n">
        <f aca="false">AA7+AA8</f>
        <v>48.5420500342998</v>
      </c>
      <c r="AB9" s="13" t="n">
        <f aca="false">AB7+AB8</f>
        <v>49.1072472863243</v>
      </c>
      <c r="AC9" s="13" t="n">
        <f aca="false">AC7+AC8</f>
        <v>48.8712162252074</v>
      </c>
      <c r="AD9" s="13" t="n">
        <f aca="false">AD7+AD8</f>
        <v>51.2621301540798</v>
      </c>
      <c r="AE9" s="13" t="n">
        <f aca="false">AE7+AE8</f>
        <v>50.9685224700138</v>
      </c>
      <c r="AF9" s="13" t="n">
        <f aca="false">AF7+AF8</f>
        <v>50.8943487888929</v>
      </c>
      <c r="AG9" s="13" t="n">
        <f aca="false">AG7+AG8</f>
        <v>50.5460866792751</v>
      </c>
      <c r="AH9" s="13" t="n">
        <f aca="false">AH7+AH8</f>
        <v>51.2696710920407</v>
      </c>
      <c r="AI9" s="13" t="n">
        <f aca="false">AI7+AI8</f>
        <v>50.8721195568128</v>
      </c>
      <c r="AJ9" s="13" t="n">
        <f aca="false">AJ7+AJ8</f>
        <v>51.4539866779835</v>
      </c>
      <c r="AK9" s="13" t="n">
        <f aca="false">AK7+AK8</f>
        <v>51.1836845930125</v>
      </c>
      <c r="AL9" s="13" t="n">
        <f aca="false">AL7+AL8</f>
        <v>51.9001208322862</v>
      </c>
      <c r="AM9" s="13" t="n">
        <f aca="false">AM7+AM8</f>
        <v>51.6732650021915</v>
      </c>
      <c r="AN9" s="13" t="n">
        <f aca="false">AN7+AN8</f>
        <v>48.3868736846776</v>
      </c>
      <c r="AO9" s="13" t="n">
        <f aca="false">AO7+AO8</f>
        <v>40.9382282606265</v>
      </c>
      <c r="AP9" s="13" t="n">
        <f aca="false">AP7+AP8</f>
        <v>40.8479274029701</v>
      </c>
      <c r="AQ9" s="13" t="n">
        <f aca="false">AQ7+AQ8</f>
        <v>40.136684461664</v>
      </c>
      <c r="AR9" s="13" t="n">
        <f aca="false">AR7+AR8</f>
        <v>40.7406580329047</v>
      </c>
      <c r="AS9" s="13" t="n">
        <f aca="false">AS7+AS8</f>
        <v>40.4481006596007</v>
      </c>
      <c r="AT9" s="13" t="n">
        <f aca="false">AT7+AT8</f>
        <v>46.8441976401825</v>
      </c>
      <c r="AU9" s="13" t="n">
        <f aca="false">AU7+AU8</f>
        <v>42.5883075904508</v>
      </c>
      <c r="AV9" s="13" t="n">
        <f aca="false">AV7+AV8</f>
        <v>42.8143247236077</v>
      </c>
      <c r="AW9" s="13" t="n">
        <f aca="false">AW7+AW8</f>
        <v>42.343187807146</v>
      </c>
      <c r="AX9" s="13" t="n">
        <f aca="false">AX7+AX8</f>
        <v>43.0855056864911</v>
      </c>
      <c r="AY9" s="13" t="n">
        <f aca="false">AY7+AY8</f>
        <v>42.698177643974</v>
      </c>
      <c r="AZ9" s="13" t="n">
        <f aca="false">AZ7+AZ8</f>
        <v>43.3660064212279</v>
      </c>
      <c r="BA9" s="13" t="n">
        <f aca="false">BA7+BA8</f>
        <v>42.9821914505452</v>
      </c>
      <c r="BB9" s="13" t="n">
        <f aca="false">BB7+BB8</f>
        <v>44.4753680576582</v>
      </c>
      <c r="BC9" s="13" t="n">
        <f aca="false">BC7+BC8</f>
        <v>41.4028123726398</v>
      </c>
      <c r="BD9" s="13" t="n">
        <f aca="false">BD7+BD8</f>
        <v>35.4740230393604</v>
      </c>
      <c r="BE9" s="13" t="n">
        <f aca="false">BE7+BE8</f>
        <v>35.0088756309125</v>
      </c>
      <c r="BF9" s="13" t="n">
        <f aca="false">BF7+BF8</f>
        <v>35.6096730115501</v>
      </c>
      <c r="BG9" s="13" t="n">
        <f aca="false">BG7+BG8</f>
        <v>35.2216916179893</v>
      </c>
      <c r="BH9" s="13" t="n">
        <f aca="false">BH7+BH8</f>
        <v>35.9999939269384</v>
      </c>
      <c r="BI9" s="13" t="n">
        <f aca="false">BI7+BI8</f>
        <v>35.7635168417781</v>
      </c>
      <c r="BJ9" s="13" t="n">
        <f aca="false">BJ7+BJ8</f>
        <v>43.2022021841361</v>
      </c>
      <c r="BK9" s="13" t="n">
        <f aca="false">BK7+BK8</f>
        <v>38.1747914623673</v>
      </c>
      <c r="BL9" s="13" t="n">
        <f aca="false">BL7+BL8</f>
        <v>38.993899201957</v>
      </c>
      <c r="BM9" s="13" t="n">
        <f aca="false">BM7+BM8</f>
        <v>34.8895776447199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855.065106391829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37.2402629230422</v>
      </c>
      <c r="Q10" s="13" t="n">
        <f aca="false">Debt!Q114+Debt!Q110</f>
        <v>37.1514107093746</v>
      </c>
      <c r="R10" s="13" t="n">
        <f aca="false">Debt!R114+Debt!R110</f>
        <v>37.6190927474989</v>
      </c>
      <c r="S10" s="13" t="n">
        <f aca="false">Debt!S114+Debt!S110</f>
        <v>37.3276805156298</v>
      </c>
      <c r="T10" s="13" t="n">
        <f aca="false">Debt!T114+Debt!T110</f>
        <v>37.7455078940196</v>
      </c>
      <c r="U10" s="13" t="n">
        <f aca="false">Debt!U114+Debt!U110</f>
        <v>37.5650237647994</v>
      </c>
      <c r="V10" s="13" t="n">
        <f aca="false">Debt!V114+Debt!V110</f>
        <v>38.2821356925896</v>
      </c>
      <c r="W10" s="13" t="n">
        <f aca="false">Debt!W114+Debt!W110</f>
        <v>38.0175010594182</v>
      </c>
      <c r="X10" s="13" t="n">
        <f aca="false">Debt!X114+Debt!X110</f>
        <v>36.9212193316689</v>
      </c>
      <c r="Y10" s="13" t="n">
        <f aca="false">Debt!Y114+Debt!Y110</f>
        <v>36.5648868916211</v>
      </c>
      <c r="Z10" s="13" t="n">
        <f aca="false">Debt!Z114+Debt!Z110</f>
        <v>36.8658014378429</v>
      </c>
      <c r="AA10" s="13" t="n">
        <f aca="false">Debt!AA114+Debt!AA110</f>
        <v>36.5687862789268</v>
      </c>
      <c r="AB10" s="13" t="n">
        <f aca="false">Debt!AB114+Debt!AB110</f>
        <v>36.395725627913</v>
      </c>
      <c r="AC10" s="13" t="n">
        <f aca="false">Debt!AC114+Debt!AC110</f>
        <v>35.5168873208379</v>
      </c>
      <c r="AD10" s="13" t="n">
        <f aca="false">Debt!AD114+Debt!AD110</f>
        <v>36.1337229778428</v>
      </c>
      <c r="AE10" s="13" t="n">
        <f aca="false">Debt!AE114+Debt!AE110</f>
        <v>35.209026185529</v>
      </c>
      <c r="AF10" s="13" t="n">
        <f aca="false">Debt!AF114+Debt!AF110</f>
        <v>34.1868299070486</v>
      </c>
      <c r="AG10" s="13" t="n">
        <f aca="false">Debt!AG114+Debt!AG110</f>
        <v>32.5792046215049</v>
      </c>
      <c r="AH10" s="13" t="n">
        <f aca="false">Debt!AH114+Debt!AH110</f>
        <v>31.4657547412586</v>
      </c>
      <c r="AI10" s="13" t="n">
        <f aca="false">Debt!AI114+Debt!AI110</f>
        <v>29.3016987956903</v>
      </c>
      <c r="AJ10" s="13" t="n">
        <f aca="false">Debt!AJ114+Debt!AJ110</f>
        <v>27.2321378026107</v>
      </c>
      <c r="AK10" s="13" t="n">
        <f aca="false">Debt!AK114+Debt!AK110</f>
        <v>23.8663133580467</v>
      </c>
      <c r="AL10" s="13" t="n">
        <f aca="false">Debt!AL114+Debt!AL110</f>
        <v>23.7104859037844</v>
      </c>
      <c r="AM10" s="13" t="n">
        <f aca="false">Debt!AM114+Debt!AM110</f>
        <v>23.5657674487505</v>
      </c>
      <c r="AN10" s="13" t="n">
        <f aca="false">Debt!AN114+Debt!AN110</f>
        <v>19.1291565524823</v>
      </c>
      <c r="AO10" s="13" t="n">
        <f aca="false">Debt!AO114+Debt!AO110</f>
        <v>18.9030859020972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1.94465574366775</v>
      </c>
      <c r="P13" s="13" t="n">
        <f aca="false">MAX(0,P9-P10)</f>
        <v>14.6716652350326</v>
      </c>
      <c r="Q13" s="13" t="n">
        <f aca="false">MAX(0,Q9-Q10)</f>
        <v>12.5606582161783</v>
      </c>
      <c r="R13" s="13" t="n">
        <f aca="false">MAX(0,R9-R10)</f>
        <v>12.7177406283778</v>
      </c>
      <c r="S13" s="13" t="n">
        <f aca="false">MAX(0,S9-S10)</f>
        <v>12.6077122760452</v>
      </c>
      <c r="T13" s="13" t="n">
        <f aca="false">MAX(0,T9-T10)</f>
        <v>12.7802544918895</v>
      </c>
      <c r="U13" s="13" t="n">
        <f aca="false">MAX(0,U9-U10)</f>
        <v>12.6214380606974</v>
      </c>
      <c r="V13" s="13" t="n">
        <f aca="false">MAX(0,V9-V10)</f>
        <v>12.6866565642092</v>
      </c>
      <c r="W13" s="13" t="n">
        <f aca="false">MAX(0,W9-W10)</f>
        <v>12.6004371301915</v>
      </c>
      <c r="X13" s="13" t="n">
        <f aca="false">MAX(0,X9-X10)</f>
        <v>12.2321043133164</v>
      </c>
      <c r="Y13" s="13" t="n">
        <f aca="false">MAX(0,Y9-Y10)</f>
        <v>12.0623675118358</v>
      </c>
      <c r="Z13" s="13" t="n">
        <f aca="false">MAX(0,Z9-Z10)</f>
        <v>12.0821250733377</v>
      </c>
      <c r="AA13" s="13" t="n">
        <f aca="false">MAX(0,AA9-AA10)</f>
        <v>11.973263755373</v>
      </c>
      <c r="AB13" s="13" t="n">
        <f aca="false">MAX(0,AB9-AB10)</f>
        <v>12.7115216584113</v>
      </c>
      <c r="AC13" s="13" t="n">
        <f aca="false">MAX(0,AC9-AC10)</f>
        <v>13.3543289043694</v>
      </c>
      <c r="AD13" s="13" t="n">
        <f aca="false">MAX(0,AD9-AD10)</f>
        <v>15.128407176237</v>
      </c>
      <c r="AE13" s="13" t="n">
        <f aca="false">MAX(0,AE9-AE10)</f>
        <v>15.7594962844848</v>
      </c>
      <c r="AF13" s="13" t="n">
        <f aca="false">MAX(0,AF9-AF10)</f>
        <v>16.7075188818443</v>
      </c>
      <c r="AG13" s="13" t="n">
        <f aca="false">MAX(0,AG9-AG10)</f>
        <v>17.9668820577701</v>
      </c>
      <c r="AH13" s="13" t="n">
        <f aca="false">MAX(0,AH9-AH10)</f>
        <v>19.8039163507821</v>
      </c>
      <c r="AI13" s="13" t="n">
        <f aca="false">MAX(0,AI9-AI10)</f>
        <v>21.5704207611225</v>
      </c>
      <c r="AJ13" s="13" t="n">
        <f aca="false">MAX(0,AJ9-AJ10)</f>
        <v>24.2218488753728</v>
      </c>
      <c r="AK13" s="13" t="n">
        <f aca="false">MAX(0,AK9-AK10)</f>
        <v>27.3173712349658</v>
      </c>
      <c r="AL13" s="13" t="n">
        <f aca="false">MAX(0,AL9-AL10)</f>
        <v>28.1896349285017</v>
      </c>
      <c r="AM13" s="13" t="n">
        <f aca="false">MAX(0,AM9-AM10)</f>
        <v>28.107497553441</v>
      </c>
      <c r="AN13" s="13" t="n">
        <f aca="false">MAX(0,AN9-AN10)</f>
        <v>29.2577171321953</v>
      </c>
      <c r="AO13" s="13" t="n">
        <f aca="false">MAX(0,AO9-AO10)</f>
        <v>22.0351423585293</v>
      </c>
      <c r="AP13" s="13" t="n">
        <f aca="false">MAX(0,AP9-AP10)</f>
        <v>40.8479274029701</v>
      </c>
      <c r="AQ13" s="13" t="n">
        <f aca="false">MAX(0,AQ9-AQ10)</f>
        <v>40.136684461664</v>
      </c>
      <c r="AR13" s="13" t="n">
        <f aca="false">MAX(0,AR9-AR10)</f>
        <v>40.7406580329047</v>
      </c>
      <c r="AS13" s="13" t="n">
        <f aca="false">MAX(0,AS9-AS10)</f>
        <v>40.4481006596007</v>
      </c>
      <c r="AT13" s="13" t="n">
        <f aca="false">MAX(0,AT9-AT10)</f>
        <v>46.8441976401825</v>
      </c>
      <c r="AU13" s="13" t="n">
        <f aca="false">MAX(0,AU9-AU10)</f>
        <v>42.5883075904508</v>
      </c>
      <c r="AV13" s="13" t="n">
        <f aca="false">MAX(0,AV9-AV10)</f>
        <v>42.8143247236077</v>
      </c>
      <c r="AW13" s="13" t="n">
        <f aca="false">MAX(0,AW9-AW10)</f>
        <v>42.343187807146</v>
      </c>
      <c r="AX13" s="13" t="n">
        <f aca="false">MAX(0,AX9-AX10)</f>
        <v>43.0855056864911</v>
      </c>
      <c r="AY13" s="13" t="n">
        <f aca="false">MAX(0,AY9-AY10)</f>
        <v>42.698177643974</v>
      </c>
      <c r="AZ13" s="13" t="n">
        <f aca="false">MAX(0,AZ9-AZ10)</f>
        <v>43.3660064212279</v>
      </c>
      <c r="BA13" s="13" t="n">
        <f aca="false">MAX(0,BA9-BA10)</f>
        <v>42.9821914505452</v>
      </c>
      <c r="BB13" s="13" t="n">
        <f aca="false">MAX(0,BB9-BB10)</f>
        <v>44.4753680576582</v>
      </c>
      <c r="BC13" s="13" t="n">
        <f aca="false">MAX(0,BC9-BC10)</f>
        <v>41.4028123726398</v>
      </c>
      <c r="BD13" s="13" t="n">
        <f aca="false">MAX(0,BD9-BD10)</f>
        <v>35.4740230393604</v>
      </c>
      <c r="BE13" s="13" t="n">
        <f aca="false">MAX(0,BE9-BE10)</f>
        <v>35.0088756309125</v>
      </c>
      <c r="BF13" s="13" t="n">
        <f aca="false">MAX(0,BF9-BF10)</f>
        <v>35.6096730115501</v>
      </c>
      <c r="BG13" s="13" t="n">
        <f aca="false">MAX(0,BG9-BG10)</f>
        <v>35.2216916179893</v>
      </c>
      <c r="BH13" s="13" t="n">
        <f aca="false">MAX(0,BH9-BH10)</f>
        <v>35.9999939269384</v>
      </c>
      <c r="BI13" s="13" t="n">
        <f aca="false">MAX(0,BI9-BI10)</f>
        <v>35.7635168417781</v>
      </c>
      <c r="BJ13" s="13" t="n">
        <f aca="false">MAX(0,BJ9-BJ10)</f>
        <v>43.2022021841361</v>
      </c>
      <c r="BK13" s="13" t="n">
        <f aca="false">MAX(0,BK9-BK10)</f>
        <v>38.1747914623673</v>
      </c>
      <c r="BL13" s="13" t="n">
        <f aca="false">MAX(0,BL9-BL10)</f>
        <v>38.993899201957</v>
      </c>
      <c r="BM13" s="13" t="n">
        <f aca="false">MAX(0,BM9-BM10)</f>
        <v>34.8895776447199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1.9502882577209</v>
      </c>
      <c r="P14" s="13" t="n">
        <f aca="false">P13-Reserves!P11+Reserves!P12</f>
        <v>14.7605174487002</v>
      </c>
      <c r="Q14" s="13" t="n">
        <f aca="false">Q13-Reserves!Q11+Reserves!Q12</f>
        <v>12.092976178054</v>
      </c>
      <c r="R14" s="13" t="n">
        <f aca="false">R13-Reserves!R11+Reserves!R12</f>
        <v>13.0091528602469</v>
      </c>
      <c r="S14" s="13" t="n">
        <f aca="false">S13-Reserves!S11+Reserves!S12</f>
        <v>12.1898848976554</v>
      </c>
      <c r="T14" s="13" t="n">
        <f aca="false">T13-Reserves!T11+Reserves!T12</f>
        <v>12.9607386211096</v>
      </c>
      <c r="U14" s="13" t="n">
        <f aca="false">U13-Reserves!U11+Reserves!U12</f>
        <v>11.9043261329072</v>
      </c>
      <c r="V14" s="13" t="n">
        <f aca="false">V13-Reserves!V11+Reserves!V12</f>
        <v>12.9512911973806</v>
      </c>
      <c r="W14" s="13" t="n">
        <f aca="false">W13-Reserves!W11+Reserves!W12</f>
        <v>13.6967188579408</v>
      </c>
      <c r="X14" s="13" t="n">
        <f aca="false">X13-Reserves!X11+Reserves!X12</f>
        <v>12.5884367533642</v>
      </c>
      <c r="Y14" s="13" t="n">
        <f aca="false">Y13-Reserves!Y11+Reserves!Y12</f>
        <v>11.761452965614</v>
      </c>
      <c r="Z14" s="13" t="n">
        <f aca="false">Z13-Reserves!Z11+Reserves!Z12</f>
        <v>12.3791402322538</v>
      </c>
      <c r="AA14" s="13" t="n">
        <f aca="false">AA13-Reserves!AA11+Reserves!AA12</f>
        <v>11.5428768191432</v>
      </c>
      <c r="AB14" s="13" t="n">
        <f aca="false">AB13-Reserves!AB11+Reserves!AB12</f>
        <v>13.4587452027201</v>
      </c>
      <c r="AC14" s="13" t="n">
        <f aca="false">AC13-Reserves!AC11+Reserves!AC12</f>
        <v>12.7121786231136</v>
      </c>
      <c r="AD14" s="13" t="n">
        <f aca="false">AD13-Reserves!AD11+Reserves!AD12</f>
        <v>15.8062175958911</v>
      </c>
      <c r="AE14" s="13" t="n">
        <f aca="false">AE13-Reserves!AE11+Reserves!AE12</f>
        <v>16.6401276886596</v>
      </c>
      <c r="AF14" s="13" t="n">
        <f aca="false">AF13-Reserves!AF11+Reserves!AF12</f>
        <v>18.1010096756664</v>
      </c>
      <c r="AG14" s="13" t="n">
        <f aca="false">AG13-Reserves!AG11+Reserves!AG12</f>
        <v>18.8591709698016</v>
      </c>
      <c r="AH14" s="13" t="n">
        <f aca="false">AH13-Reserves!AH11+Reserves!AH12</f>
        <v>21.545616595362</v>
      </c>
      <c r="AI14" s="13" t="n">
        <f aca="false">AI13-Reserves!AI11+Reserves!AI12</f>
        <v>23.1488710864984</v>
      </c>
      <c r="AJ14" s="13" t="n">
        <f aca="false">AJ13-Reserves!AJ11+Reserves!AJ12</f>
        <v>26.6986875744502</v>
      </c>
      <c r="AK14" s="13" t="n">
        <f aca="false">AK13-Reserves!AK11+Reserves!AK12</f>
        <v>30.0133324131537</v>
      </c>
      <c r="AL14" s="13" t="n">
        <f aca="false">AL13-Reserves!AL11+Reserves!AL12</f>
        <v>29.1807954549513</v>
      </c>
      <c r="AM14" s="13" t="n">
        <f aca="false">AM13-Reserves!AM11+Reserves!AM12</f>
        <v>32.5441084497092</v>
      </c>
      <c r="AN14" s="13" t="n">
        <f aca="false">AN13-Reserves!AN11+Reserves!AN12</f>
        <v>29.4837877825804</v>
      </c>
      <c r="AO14" s="13" t="n">
        <f aca="false">AO13-Reserves!AO11+Reserves!AO12</f>
        <v>40.9382282606265</v>
      </c>
      <c r="AP14" s="13" t="n">
        <f aca="false">AP13-Reserves!AP11+Reserves!AP12</f>
        <v>40.8479274029701</v>
      </c>
      <c r="AQ14" s="13" t="n">
        <f aca="false">AQ13-Reserves!AQ11+Reserves!AQ12</f>
        <v>40.136684461664</v>
      </c>
      <c r="AR14" s="13" t="n">
        <f aca="false">AR13-Reserves!AR11+Reserves!AR12</f>
        <v>40.7406580329047</v>
      </c>
      <c r="AS14" s="13" t="n">
        <f aca="false">AS13-Reserves!AS11+Reserves!AS12</f>
        <v>40.4481006596007</v>
      </c>
      <c r="AT14" s="13" t="n">
        <f aca="false">AT13-Reserves!AT11+Reserves!AT12</f>
        <v>46.8441976401825</v>
      </c>
      <c r="AU14" s="13" t="n">
        <f aca="false">AU13-Reserves!AU11+Reserves!AU12</f>
        <v>42.5883075904508</v>
      </c>
      <c r="AV14" s="13" t="n">
        <f aca="false">AV13-Reserves!AV11+Reserves!AV12</f>
        <v>42.8143247236077</v>
      </c>
      <c r="AW14" s="13" t="n">
        <f aca="false">AW13-Reserves!AW11+Reserves!AW12</f>
        <v>42.343187807146</v>
      </c>
      <c r="AX14" s="13" t="n">
        <f aca="false">AX13-Reserves!AX11+Reserves!AX12</f>
        <v>43.0855056864911</v>
      </c>
      <c r="AY14" s="13" t="n">
        <f aca="false">AY13-Reserves!AY11+Reserves!AY12</f>
        <v>42.698177643974</v>
      </c>
      <c r="AZ14" s="13" t="n">
        <f aca="false">AZ13-Reserves!AZ11+Reserves!AZ12</f>
        <v>43.3660064212279</v>
      </c>
      <c r="BA14" s="13" t="n">
        <f aca="false">BA13-Reserves!BA11+Reserves!BA12</f>
        <v>42.9821914505452</v>
      </c>
      <c r="BB14" s="13" t="n">
        <f aca="false">BB13-Reserves!BB11+Reserves!BB12</f>
        <v>44.4753680576582</v>
      </c>
      <c r="BC14" s="13" t="n">
        <f aca="false">BC13-Reserves!BC11+Reserves!BC12</f>
        <v>41.4028123726398</v>
      </c>
      <c r="BD14" s="13" t="n">
        <f aca="false">BD13-Reserves!BD11+Reserves!BD12</f>
        <v>35.4740230393604</v>
      </c>
      <c r="BE14" s="13" t="n">
        <f aca="false">BE13-Reserves!BE11+Reserves!BE12</f>
        <v>35.0088756309125</v>
      </c>
      <c r="BF14" s="13" t="n">
        <f aca="false">BF13-Reserves!BF11+Reserves!BF12</f>
        <v>35.6096730115501</v>
      </c>
      <c r="BG14" s="13" t="n">
        <f aca="false">BG13-Reserves!BG11+Reserves!BG12</f>
        <v>35.2216916179893</v>
      </c>
      <c r="BH14" s="13" t="n">
        <f aca="false">BH13-Reserves!BH11+Reserves!BH12</f>
        <v>35.9999939269384</v>
      </c>
      <c r="BI14" s="13" t="n">
        <f aca="false">BI13-Reserves!BI11+Reserves!BI12</f>
        <v>35.7635168417781</v>
      </c>
      <c r="BJ14" s="13" t="n">
        <f aca="false">BJ13-Reserves!BJ11+Reserves!BJ12</f>
        <v>43.2022021841361</v>
      </c>
      <c r="BK14" s="13" t="n">
        <f aca="false">BK13-Reserves!BK11+Reserves!BK12</f>
        <v>38.1747914623673</v>
      </c>
      <c r="BL14" s="13" t="n">
        <f aca="false">BL13-Reserves!BL11+Reserves!BL12</f>
        <v>38.993899201957</v>
      </c>
      <c r="BM14" s="13" t="n">
        <f aca="false">BM13-Reserves!BM11+Reserves!BM12</f>
        <v>34.8895776447199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1.9502882577209</v>
      </c>
      <c r="P15" s="13" t="n">
        <f aca="false">P14-Reserves!P14+Reserves!P15</f>
        <v>14.7605174487002</v>
      </c>
      <c r="Q15" s="13" t="n">
        <f aca="false">Q14-Reserves!Q14+Reserves!Q15</f>
        <v>12.092976178054</v>
      </c>
      <c r="R15" s="13" t="n">
        <f aca="false">R14-Reserves!R14+Reserves!R15</f>
        <v>13.0091528602469</v>
      </c>
      <c r="S15" s="13" t="n">
        <f aca="false">S14-Reserves!S14+Reserves!S15</f>
        <v>12.1898848976554</v>
      </c>
      <c r="T15" s="13" t="n">
        <f aca="false">T14-Reserves!T14+Reserves!T15</f>
        <v>12.9607386211096</v>
      </c>
      <c r="U15" s="13" t="n">
        <f aca="false">U14-Reserves!U14+Reserves!U15</f>
        <v>11.9043261329072</v>
      </c>
      <c r="V15" s="13" t="n">
        <f aca="false">V14-Reserves!V14+Reserves!V15</f>
        <v>12.9512911973806</v>
      </c>
      <c r="W15" s="13" t="n">
        <f aca="false">W14-Reserves!W14+Reserves!W15</f>
        <v>13.6967188579408</v>
      </c>
      <c r="X15" s="13" t="n">
        <f aca="false">X14-Reserves!X14+Reserves!X15</f>
        <v>12.5884367533642</v>
      </c>
      <c r="Y15" s="13" t="n">
        <f aca="false">Y14-Reserves!Y14+Reserves!Y15</f>
        <v>11.761452965614</v>
      </c>
      <c r="Z15" s="13" t="n">
        <f aca="false">Z14-Reserves!Z14+Reserves!Z15</f>
        <v>12.3791402322538</v>
      </c>
      <c r="AA15" s="13" t="n">
        <f aca="false">AA14-Reserves!AA14+Reserves!AA15</f>
        <v>11.5428768191432</v>
      </c>
      <c r="AB15" s="13" t="n">
        <f aca="false">AB14-Reserves!AB14+Reserves!AB15</f>
        <v>13.4587452027201</v>
      </c>
      <c r="AC15" s="13" t="n">
        <f aca="false">AC14-Reserves!AC14+Reserves!AC15</f>
        <v>12.7121786231136</v>
      </c>
      <c r="AD15" s="13" t="n">
        <f aca="false">AD14-Reserves!AD14+Reserves!AD15</f>
        <v>15.8062175958911</v>
      </c>
      <c r="AE15" s="13" t="n">
        <f aca="false">AE14-Reserves!AE14+Reserves!AE15</f>
        <v>16.6401276886596</v>
      </c>
      <c r="AF15" s="13" t="n">
        <f aca="false">AF14-Reserves!AF14+Reserves!AF15</f>
        <v>18.1010096756664</v>
      </c>
      <c r="AG15" s="13" t="n">
        <f aca="false">AG14-Reserves!AG14+Reserves!AG15</f>
        <v>18.8591709698016</v>
      </c>
      <c r="AH15" s="13" t="n">
        <f aca="false">AH14-Reserves!AH14+Reserves!AH15</f>
        <v>21.545616595362</v>
      </c>
      <c r="AI15" s="13" t="n">
        <f aca="false">AI14-Reserves!AI14+Reserves!AI15</f>
        <v>23.1488710864984</v>
      </c>
      <c r="AJ15" s="13" t="n">
        <f aca="false">AJ14-Reserves!AJ14+Reserves!AJ15</f>
        <v>26.6986875744502</v>
      </c>
      <c r="AK15" s="13" t="n">
        <f aca="false">AK14-Reserves!AK14+Reserves!AK15</f>
        <v>30.0133324131537</v>
      </c>
      <c r="AL15" s="13" t="n">
        <f aca="false">AL14-Reserves!AL14+Reserves!AL15</f>
        <v>29.1807954549513</v>
      </c>
      <c r="AM15" s="13" t="n">
        <f aca="false">AM14-Reserves!AM14+Reserves!AM15</f>
        <v>32.5441084497092</v>
      </c>
      <c r="AN15" s="13" t="n">
        <f aca="false">AN14-Reserves!AN14+Reserves!AN15</f>
        <v>29.4837877825804</v>
      </c>
      <c r="AO15" s="13" t="n">
        <f aca="false">AO14-Reserves!AO14+Reserves!AO15</f>
        <v>40.9382282606265</v>
      </c>
      <c r="AP15" s="13" t="n">
        <f aca="false">AP14-Reserves!AP14+Reserves!AP15</f>
        <v>40.8479274029701</v>
      </c>
      <c r="AQ15" s="13" t="n">
        <f aca="false">AQ14-Reserves!AQ14+Reserves!AQ15</f>
        <v>40.136684461664</v>
      </c>
      <c r="AR15" s="13" t="n">
        <f aca="false">AR14-Reserves!AR14+Reserves!AR15</f>
        <v>40.7406580329047</v>
      </c>
      <c r="AS15" s="13" t="n">
        <f aca="false">AS14-Reserves!AS14+Reserves!AS15</f>
        <v>40.4481006596007</v>
      </c>
      <c r="AT15" s="13" t="n">
        <f aca="false">AT14-Reserves!AT14+Reserves!AT15</f>
        <v>46.8441976401825</v>
      </c>
      <c r="AU15" s="13" t="n">
        <f aca="false">AU14-Reserves!AU14+Reserves!AU15</f>
        <v>42.5883075904508</v>
      </c>
      <c r="AV15" s="13" t="n">
        <f aca="false">AV14-Reserves!AV14+Reserves!AV15</f>
        <v>42.8143247236077</v>
      </c>
      <c r="AW15" s="13" t="n">
        <f aca="false">AW14-Reserves!AW14+Reserves!AW15</f>
        <v>42.343187807146</v>
      </c>
      <c r="AX15" s="13" t="n">
        <f aca="false">AX14-Reserves!AX14+Reserves!AX15</f>
        <v>43.0855056864911</v>
      </c>
      <c r="AY15" s="13" t="n">
        <f aca="false">AY14-Reserves!AY14+Reserves!AY15</f>
        <v>42.698177643974</v>
      </c>
      <c r="AZ15" s="13" t="n">
        <f aca="false">AZ14-Reserves!AZ14+Reserves!AZ15</f>
        <v>43.3660064212279</v>
      </c>
      <c r="BA15" s="13" t="n">
        <f aca="false">BA14-Reserves!BA14+Reserves!BA15</f>
        <v>42.4872230639365</v>
      </c>
      <c r="BB15" s="13" t="n">
        <f aca="false">BB14-Reserves!BB14+Reserves!BB15</f>
        <v>42.9742178030138</v>
      </c>
      <c r="BC15" s="13" t="n">
        <f aca="false">BC14-Reserves!BC14+Reserves!BC15</f>
        <v>39.8852392992975</v>
      </c>
      <c r="BD15" s="13" t="n">
        <f aca="false">BD14-Reserves!BD14+Reserves!BD15</f>
        <v>33.9398474791138</v>
      </c>
      <c r="BE15" s="13" t="n">
        <f aca="false">BE14-Reserves!BE14+Reserves!BE15</f>
        <v>33.4579159499567</v>
      </c>
      <c r="BF15" s="13" t="n">
        <f aca="false">BF14-Reserves!BF14+Reserves!BF15</f>
        <v>34.041745588978</v>
      </c>
      <c r="BG15" s="13" t="n">
        <f aca="false">BG14-Reserves!BG14+Reserves!BG15</f>
        <v>33.6366108240525</v>
      </c>
      <c r="BH15" s="13" t="n">
        <f aca="false">BH14-Reserves!BH14+Reserves!BH15</f>
        <v>34.3975721010698</v>
      </c>
      <c r="BI15" s="13" t="n">
        <f aca="false">BI14-Reserves!BI14+Reserves!BI15</f>
        <v>34.1435642703747</v>
      </c>
      <c r="BJ15" s="13" t="n">
        <f aca="false">BJ14-Reserves!BJ14+Reserves!BJ15</f>
        <v>41.5645270780984</v>
      </c>
      <c r="BK15" s="13" t="n">
        <f aca="false">BK14-Reserves!BK14+Reserves!BK15</f>
        <v>36.519199934393</v>
      </c>
      <c r="BL15" s="13" t="n">
        <f aca="false">BL14-Reserves!BL14+Reserves!BL15</f>
        <v>37.3201952435865</v>
      </c>
      <c r="BM15" s="13" t="n">
        <f aca="false">BM14-Reserves!BM14+Reserves!BM15</f>
        <v>52.8307578066809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1.34160277019528</v>
      </c>
      <c r="Q17" s="3" t="n">
        <f aca="false">IF(Debt!Q114&gt;Inputs!$F$253,Q7/Debt!Q114,0)</f>
        <v>1.33809370832341</v>
      </c>
      <c r="R17" s="3" t="n">
        <f aca="false">IF(Debt!R114&gt;Inputs!$F$253,R7/Debt!R114,0)</f>
        <v>1.33806611748295</v>
      </c>
      <c r="S17" s="3" t="n">
        <f aca="false">IF(Debt!S114&gt;Inputs!$F$253,S7/Debt!S114,0)</f>
        <v>1.33775772032677</v>
      </c>
      <c r="T17" s="3" t="n">
        <f aca="false">IF(Debt!T114&gt;Inputs!$F$253,T7/Debt!T114,0)</f>
        <v>1.33859007879225</v>
      </c>
      <c r="U17" s="3" t="n">
        <f aca="false">IF(Debt!U114&gt;Inputs!$F$253,U7/Debt!U114,0)</f>
        <v>1.33598908760772</v>
      </c>
      <c r="V17" s="3" t="n">
        <f aca="false">IF(Debt!V114&gt;Inputs!$F$253,V7/Debt!V114,0)</f>
        <v>1.3313988714236</v>
      </c>
      <c r="W17" s="3" t="n">
        <f aca="false">IF(Debt!W114&gt;Inputs!$F$253,W7/Debt!W114,0)</f>
        <v>1.33143780572263</v>
      </c>
      <c r="X17" s="3" t="n">
        <f aca="false">IF(Debt!X114&gt;Inputs!$F$253,X7/Debt!X114,0)</f>
        <v>1.33130282625375</v>
      </c>
      <c r="Y17" s="3" t="n">
        <f aca="false">IF(Debt!Y114&gt;Inputs!$F$253,Y7/Debt!Y114,0)</f>
        <v>1.32988937030186</v>
      </c>
      <c r="Z17" s="3" t="n">
        <f aca="false">IF(Debt!Z114&gt;Inputs!$F$253,Z7/Debt!Z114,0)</f>
        <v>1.32773260317448</v>
      </c>
      <c r="AA17" s="3" t="n">
        <f aca="false">IF(Debt!AA114&gt;Inputs!$F$253,AA7/Debt!AA114,0)</f>
        <v>1.32741758679239</v>
      </c>
      <c r="AB17" s="3" t="n">
        <f aca="false">IF(Debt!AB114&gt;Inputs!$F$253,AB7/Debt!AB114,0)</f>
        <v>1.34925864065374</v>
      </c>
      <c r="AC17" s="3" t="n">
        <f aca="false">IF(Debt!AC114&gt;Inputs!$F$253,AC7/Debt!AC114,0)</f>
        <v>1.37599941638282</v>
      </c>
      <c r="AD17" s="3" t="n">
        <f aca="false">IF(Debt!AD114&gt;Inputs!$F$253,AD7/Debt!AD114,0)</f>
        <v>1.41867834060481</v>
      </c>
      <c r="AE17" s="3" t="n">
        <f aca="false">IF(Debt!AE114&gt;Inputs!$F$253,AE7/Debt!AE114,0)</f>
        <v>1.4475981869377</v>
      </c>
      <c r="AF17" s="3" t="n">
        <f aca="false">IF(Debt!AF114&gt;Inputs!$F$253,AF7/Debt!AF114,0)</f>
        <v>1.4887121422861</v>
      </c>
      <c r="AG17" s="3" t="n">
        <f aca="false">IF(Debt!AG114&gt;Inputs!$F$253,AG7/Debt!AG114,0)</f>
        <v>1.55148313982811</v>
      </c>
      <c r="AH17" s="3" t="n">
        <f aca="false">IF(Debt!AH114&gt;Inputs!$F$253,AH7/Debt!AH114,0)</f>
        <v>1.62937998829613</v>
      </c>
      <c r="AI17" s="3" t="n">
        <f aca="false">IF(Debt!AI114&gt;Inputs!$F$253,AI7/Debt!AI114,0)</f>
        <v>1.73614915338271</v>
      </c>
      <c r="AJ17" s="3" t="n">
        <f aca="false">IF(Debt!AJ114&gt;Inputs!$F$253,AJ7/Debt!AJ114,0)</f>
        <v>1.88945822215437</v>
      </c>
      <c r="AK17" s="3" t="n">
        <f aca="false">IF(Debt!AK114&gt;Inputs!$F$253,AK7/Debt!AK114,0)</f>
        <v>2.1445995376473</v>
      </c>
      <c r="AL17" s="3" t="n">
        <f aca="false">IF(Debt!AL114&gt;Inputs!$F$253,AL7/Debt!AL114,0)</f>
        <v>2.1889100477693</v>
      </c>
      <c r="AM17" s="3" t="n">
        <f aca="false">IF(Debt!AM114&gt;Inputs!$F$253,AM7/Debt!AM114,0)</f>
        <v>2.19272574570583</v>
      </c>
      <c r="AN17" s="3" t="n">
        <f aca="false">IF(Debt!AN114&gt;Inputs!$F$253,AN7/Debt!AN114,0)</f>
        <v>2.52948286307996</v>
      </c>
      <c r="AO17" s="3" t="n">
        <f aca="false">IF(Debt!AO114&gt;Inputs!$F$253,AO7/Debt!AO114,0)</f>
        <v>2.16569021971617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1.34160277019528</v>
      </c>
      <c r="Q18" s="3" t="n">
        <f aca="false">IF(Debt!Q114&gt;Inputs!$F$253,IF(Debt!P114&gt;Inputs!$F$253,(Q7+P7)/(Debt!Q114+Debt!P114),Q17),0)</f>
        <v>1.33985033484276</v>
      </c>
      <c r="R18" s="3" t="n">
        <f aca="false">IF(Debt!R114&gt;Inputs!$F$253,IF(Debt!Q114&gt;Inputs!$F$253,(R7+Q7)/(Debt!R114+Debt!Q114),R17),0)</f>
        <v>1.3380798266142</v>
      </c>
      <c r="S18" s="3" t="n">
        <f aca="false">IF(Debt!S114&gt;Inputs!$F$253,IF(Debt!R114&gt;Inputs!$F$253,(S7+R7)/(Debt!S114+Debt!R114),S17),0)</f>
        <v>1.33791251846839</v>
      </c>
      <c r="T18" s="3" t="n">
        <f aca="false">IF(Debt!T114&gt;Inputs!$F$253,IF(Debt!S114&gt;Inputs!$F$253,(T7+S7)/(Debt!T114+Debt!S114),T17),0)</f>
        <v>1.33817621584687</v>
      </c>
      <c r="U18" s="3" t="n">
        <f aca="false">IF(Debt!U114&gt;Inputs!$F$253,IF(Debt!T114&gt;Inputs!$F$253,(U7+T7)/(Debt!U114+Debt!T114),U17),0)</f>
        <v>1.33729269987981</v>
      </c>
      <c r="V18" s="3" t="n">
        <f aca="false">IF(Debt!V114&gt;Inputs!$F$253,IF(Debt!U114&gt;Inputs!$F$253,(V7+U7)/(Debt!V114+Debt!U114),V17),0)</f>
        <v>1.33367227996356</v>
      </c>
      <c r="W18" s="3" t="n">
        <f aca="false">IF(Debt!W114&gt;Inputs!$F$253,IF(Debt!V114&gt;Inputs!$F$253,(W7+V7)/(Debt!W114+Debt!V114),W17),0)</f>
        <v>1.33141827105403</v>
      </c>
      <c r="X18" s="3" t="n">
        <f aca="false">IF(Debt!X114&gt;Inputs!$F$253,IF(Debt!W114&gt;Inputs!$F$253,(X7+W7)/(Debt!X114+Debt!W114),X17),0)</f>
        <v>1.33137130329839</v>
      </c>
      <c r="Y18" s="3" t="n">
        <f aca="false">IF(Debt!Y114&gt;Inputs!$F$253,IF(Debt!X114&gt;Inputs!$F$253,(Y7+X7)/(Debt!Y114+Debt!X114),Y17),0)</f>
        <v>1.33059952518552</v>
      </c>
      <c r="Z18" s="3" t="n">
        <f aca="false">IF(Debt!Z114&gt;Inputs!$F$253,IF(Debt!Y114&gt;Inputs!$F$253,(Z7+Y7)/(Debt!Z114+Debt!Y114),Z17),0)</f>
        <v>1.32880656758716</v>
      </c>
      <c r="AA18" s="3" t="n">
        <f aca="false">IF(Debt!AA114&gt;Inputs!$F$253,IF(Debt!Z114&gt;Inputs!$F$253,(AA7+Z7)/(Debt!AA114+Debt!Z114),AA17),0)</f>
        <v>1.32757573204455</v>
      </c>
      <c r="AB18" s="3" t="n">
        <f aca="false">IF(Debt!AB114&gt;Inputs!$F$253,IF(Debt!AA114&gt;Inputs!$F$253,(AB7+AA7)/(Debt!AB114+Debt!AA114),AB17),0)</f>
        <v>1.33831221190517</v>
      </c>
      <c r="AC18" s="3" t="n">
        <f aca="false">IF(Debt!AC114&gt;Inputs!$F$253,IF(Debt!AB114&gt;Inputs!$F$253,(AC7+AB7)/(Debt!AC114+Debt!AB114),AC17),0)</f>
        <v>1.36246563007461</v>
      </c>
      <c r="AD18" s="3" t="n">
        <f aca="false">IF(Debt!AD114&gt;Inputs!$F$253,IF(Debt!AC114&gt;Inputs!$F$253,(AD7+AC7)/(Debt!AD114+Debt!AC114),AD17),0)</f>
        <v>1.39752258859867</v>
      </c>
      <c r="AE18" s="3" t="n">
        <f aca="false">IF(Debt!AE114&gt;Inputs!$F$253,IF(Debt!AD114&gt;Inputs!$F$253,(AE7+AD7)/(Debt!AE114+Debt!AD114),AE17),0)</f>
        <v>1.43295084396019</v>
      </c>
      <c r="AF18" s="3" t="n">
        <f aca="false">IF(Debt!AF114&gt;Inputs!$F$253,IF(Debt!AE114&gt;Inputs!$F$253,(AF7+AE7)/(Debt!AF114+Debt!AE114),AF17),0)</f>
        <v>1.46785236171763</v>
      </c>
      <c r="AG18" s="3" t="n">
        <f aca="false">IF(Debt!AG114&gt;Inputs!$F$253,IF(Debt!AF114&gt;Inputs!$F$253,(AG7+AF7)/(Debt!AG114+Debt!AF114),AG17),0)</f>
        <v>1.51934192564313</v>
      </c>
      <c r="AH18" s="3" t="n">
        <f aca="false">IF(Debt!AH114&gt;Inputs!$F$253,IF(Debt!AG114&gt;Inputs!$F$253,(AH7+AG7)/(Debt!AH114+Debt!AG114),AH17),0)</f>
        <v>1.58975442851967</v>
      </c>
      <c r="AI18" s="3" t="n">
        <f aca="false">IF(Debt!AI114&gt;Inputs!$F$253,IF(Debt!AH114&gt;Inputs!$F$253,(AI7+AH7)/(Debt!AI114+Debt!AH114),AI17),0)</f>
        <v>1.68086343435055</v>
      </c>
      <c r="AJ18" s="3" t="n">
        <f aca="false">IF(Debt!AJ114&gt;Inputs!$F$253,IF(Debt!AI114&gt;Inputs!$F$253,(AJ7+AI7)/(Debt!AJ114+Debt!AI114),AJ17),0)</f>
        <v>1.80999755884021</v>
      </c>
      <c r="AK18" s="3" t="n">
        <f aca="false">IF(Debt!AK114&gt;Inputs!$F$253,IF(Debt!AJ114&gt;Inputs!$F$253,(AK7+AJ7)/(Debt!AK114+Debt!AJ114),AK17),0)</f>
        <v>2.00862587690369</v>
      </c>
      <c r="AL18" s="3" t="n">
        <f aca="false">IF(Debt!AL114&gt;Inputs!$F$253,IF(Debt!AK114&gt;Inputs!$F$253,(AL7+AK7)/(Debt!AL114+Debt!AK114),AL17),0)</f>
        <v>2.16668222799087</v>
      </c>
      <c r="AM18" s="3" t="n">
        <f aca="false">IF(Debt!AM114&gt;Inputs!$F$253,IF(Debt!AL114&gt;Inputs!$F$253,(AM7+AL7)/(Debt!AM114+Debt!AL114),AM17),0)</f>
        <v>2.19081205657606</v>
      </c>
      <c r="AN18" s="3" t="n">
        <f aca="false">IF(Debt!AN114&gt;Inputs!$F$253,IF(Debt!AM114&gt;Inputs!$F$253,(AN7+AM7)/(Debt!AN114+Debt!AM114),AN17),0)</f>
        <v>2.34360737318516</v>
      </c>
      <c r="AO18" s="3" t="n">
        <f aca="false">IF(Debt!AO114&gt;Inputs!$F$253,IF(Debt!AN114&gt;Inputs!$F$253,(AO7+AN7)/(Debt!AO114+Debt!AN114),AO17),0)</f>
        <v>2.34866776661886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91.8945072831916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5.77143840957161</v>
      </c>
      <c r="AB29" s="13" t="n">
        <f aca="false">IF(AND(AB24=1,Time!AB52=1,Inputs!$F$52=1),MIN(Inputs!$F$111*AB15,Debt!AB73),0)</f>
        <v>6.72937260136007</v>
      </c>
      <c r="AC29" s="13" t="n">
        <f aca="false">IF(AND(AC24=1,Time!AC52=1,Inputs!$F$52=1),MIN(Inputs!$F$111*AC15,Debt!AC73),0)</f>
        <v>6.35608931155681</v>
      </c>
      <c r="AD29" s="13" t="n">
        <f aca="false">IF(AND(AD24=1,Time!AD52=1,Inputs!$F$52=1),MIN(Inputs!$F$111*AD15,Debt!AD73),0)</f>
        <v>7.90310879794556</v>
      </c>
      <c r="AE29" s="13" t="n">
        <f aca="false">IF(AND(AE24=1,Time!AE52=1,Inputs!$F$52=1),MIN(Inputs!$F$111*AE15,Debt!AE73),0)</f>
        <v>8.32006384432979</v>
      </c>
      <c r="AF29" s="13" t="n">
        <f aca="false">IF(AND(AF24=1,Time!AF52=1,Inputs!$F$52=1),MIN(Inputs!$F$111*AF15,Debt!AF73),0)</f>
        <v>9.05050483783319</v>
      </c>
      <c r="AG29" s="13" t="n">
        <f aca="false">IF(AND(AG24=1,Time!AG52=1,Inputs!$F$52=1),MIN(Inputs!$F$111*AG15,Debt!AG73),0)</f>
        <v>9.42958548490081</v>
      </c>
      <c r="AH29" s="13" t="n">
        <f aca="false">IF(AND(AH24=1,Time!AH52=1,Inputs!$F$52=1),MIN(Inputs!$F$111*AH15,Debt!AH73),0)</f>
        <v>10.772808297681</v>
      </c>
      <c r="AI29" s="13" t="n">
        <f aca="false">IF(AND(AI24=1,Time!AI52=1,Inputs!$F$52=1),MIN(Inputs!$F$111*AI15,Debt!AI73),0)</f>
        <v>11.5744355432492</v>
      </c>
      <c r="AJ29" s="13" t="n">
        <f aca="false">IF(AND(AJ24=1,Time!AJ52=1,Inputs!$F$52=1),MIN(Inputs!$F$111*AJ15,Debt!AJ73),0)</f>
        <v>13.3493437872251</v>
      </c>
      <c r="AK29" s="13" t="n">
        <f aca="false">IF(AND(AK24=1,Time!AK52=1,Inputs!$F$52=1),MIN(Inputs!$F$111*AK15,Debt!AK73),0)</f>
        <v>2.63775636753845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1.9502882577209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1352.18557756713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14.7605174487002</v>
      </c>
      <c r="Q31" s="13" t="n">
        <f aca="false">IF(Q24=1,Q15-Q29,0)</f>
        <v>12.092976178054</v>
      </c>
      <c r="R31" s="13" t="n">
        <f aca="false">IF(R24=1,R15-R29,0)</f>
        <v>13.0091528602469</v>
      </c>
      <c r="S31" s="13" t="n">
        <f aca="false">IF(S24=1,S15-S29,0)</f>
        <v>12.1898848976554</v>
      </c>
      <c r="T31" s="13" t="n">
        <f aca="false">IF(T24=1,T15-T29,0)</f>
        <v>12.9607386211096</v>
      </c>
      <c r="U31" s="13" t="n">
        <f aca="false">IF(U24=1,U15-U29,0)</f>
        <v>11.9043261329072</v>
      </c>
      <c r="V31" s="13" t="n">
        <f aca="false">IF(V24=1,V15-V29,0)</f>
        <v>12.9512911973806</v>
      </c>
      <c r="W31" s="13" t="n">
        <f aca="false">IF(W24=1,W15-W29,0)</f>
        <v>13.6967188579408</v>
      </c>
      <c r="X31" s="13" t="n">
        <f aca="false">IF(X24=1,X15-X29,0)</f>
        <v>12.5884367533642</v>
      </c>
      <c r="Y31" s="13" t="n">
        <f aca="false">IF(Y24=1,Y15-Y29,0)</f>
        <v>11.761452965614</v>
      </c>
      <c r="Z31" s="13" t="n">
        <f aca="false">IF(Z24=1,Z15-Z29,0)</f>
        <v>12.3791402322538</v>
      </c>
      <c r="AA31" s="13" t="n">
        <f aca="false">IF(AA24=1,AA15-AA29,0)</f>
        <v>5.77143840957161</v>
      </c>
      <c r="AB31" s="13" t="n">
        <f aca="false">IF(AB24=1,AB15-AB29,0)</f>
        <v>6.72937260136007</v>
      </c>
      <c r="AC31" s="13" t="n">
        <f aca="false">IF(AC24=1,AC15-AC29,0)</f>
        <v>6.35608931155681</v>
      </c>
      <c r="AD31" s="13" t="n">
        <f aca="false">IF(AD24=1,AD15-AD29,0)</f>
        <v>7.90310879794556</v>
      </c>
      <c r="AE31" s="13" t="n">
        <f aca="false">IF(AE24=1,AE15-AE29,0)</f>
        <v>8.32006384432979</v>
      </c>
      <c r="AF31" s="13" t="n">
        <f aca="false">IF(AF24=1,AF15-AF29,0)</f>
        <v>9.05050483783319</v>
      </c>
      <c r="AG31" s="13" t="n">
        <f aca="false">IF(AG24=1,AG15-AG29,0)</f>
        <v>9.42958548490081</v>
      </c>
      <c r="AH31" s="13" t="n">
        <f aca="false">IF(AH24=1,AH15-AH29,0)</f>
        <v>10.772808297681</v>
      </c>
      <c r="AI31" s="13" t="n">
        <f aca="false">IF(AI24=1,AI15-AI29,0)</f>
        <v>11.5744355432492</v>
      </c>
      <c r="AJ31" s="13" t="n">
        <f aca="false">IF(AJ24=1,AJ15-AJ29,0)</f>
        <v>13.3493437872251</v>
      </c>
      <c r="AK31" s="13" t="n">
        <f aca="false">IF(AK24=1,AK15-AK29,0)</f>
        <v>27.3755760456152</v>
      </c>
      <c r="AL31" s="13" t="n">
        <f aca="false">IF(AL24=1,AL15-AL29,0)</f>
        <v>29.1807954549513</v>
      </c>
      <c r="AM31" s="13" t="n">
        <f aca="false">IF(AM24=1,AM15-AM29,0)</f>
        <v>32.5441084497092</v>
      </c>
      <c r="AN31" s="13" t="n">
        <f aca="false">IF(AN24=1,AN15-AN29,0)</f>
        <v>29.4837877825804</v>
      </c>
      <c r="AO31" s="13" t="n">
        <f aca="false">IF(AO24=1,AO15-AO29,0)</f>
        <v>40.9382282606265</v>
      </c>
      <c r="AP31" s="13" t="n">
        <f aca="false">IF(AP24=1,AP15-AP29,0)</f>
        <v>40.8479274029701</v>
      </c>
      <c r="AQ31" s="13" t="n">
        <f aca="false">IF(AQ24=1,AQ15-AQ29,0)</f>
        <v>40.136684461664</v>
      </c>
      <c r="AR31" s="13" t="n">
        <f aca="false">IF(AR24=1,AR15-AR29,0)</f>
        <v>40.7406580329047</v>
      </c>
      <c r="AS31" s="13" t="n">
        <f aca="false">IF(AS24=1,AS15-AS29,0)</f>
        <v>40.4481006596007</v>
      </c>
      <c r="AT31" s="13" t="n">
        <f aca="false">IF(AT24=1,AT15-AT29,0)</f>
        <v>46.8441976401825</v>
      </c>
      <c r="AU31" s="13" t="n">
        <f aca="false">IF(AU24=1,AU15-AU29,0)</f>
        <v>42.5883075904508</v>
      </c>
      <c r="AV31" s="13" t="n">
        <f aca="false">IF(AV24=1,AV15-AV29,0)</f>
        <v>42.8143247236077</v>
      </c>
      <c r="AW31" s="13" t="n">
        <f aca="false">IF(AW24=1,AW15-AW29,0)</f>
        <v>42.343187807146</v>
      </c>
      <c r="AX31" s="13" t="n">
        <f aca="false">IF(AX24=1,AX15-AX29,0)</f>
        <v>43.0855056864911</v>
      </c>
      <c r="AY31" s="13" t="n">
        <f aca="false">IF(AY24=1,AY15-AY29,0)</f>
        <v>42.698177643974</v>
      </c>
      <c r="AZ31" s="13" t="n">
        <f aca="false">IF(AZ24=1,AZ15-AZ29,0)</f>
        <v>43.3660064212279</v>
      </c>
      <c r="BA31" s="13" t="n">
        <f aca="false">IF(BA24=1,BA15-BA29,0)</f>
        <v>42.4872230639365</v>
      </c>
      <c r="BB31" s="13" t="n">
        <f aca="false">IF(BB24=1,BB15-BB29,0)</f>
        <v>42.9742178030138</v>
      </c>
      <c r="BC31" s="13" t="n">
        <f aca="false">IF(BC24=1,BC15-BC29,0)</f>
        <v>39.8852392992975</v>
      </c>
      <c r="BD31" s="13" t="n">
        <f aca="false">IF(BD24=1,BD15-BD29,0)</f>
        <v>33.9398474791138</v>
      </c>
      <c r="BE31" s="13" t="n">
        <f aca="false">IF(BE24=1,BE15-BE29,0)</f>
        <v>33.4579159499567</v>
      </c>
      <c r="BF31" s="13" t="n">
        <f aca="false">IF(BF24=1,BF15-BF29,0)</f>
        <v>34.041745588978</v>
      </c>
      <c r="BG31" s="13" t="n">
        <f aca="false">IF(BG24=1,BG15-BG29,0)</f>
        <v>33.6366108240525</v>
      </c>
      <c r="BH31" s="13" t="n">
        <f aca="false">IF(BH24=1,BH15-BH29,0)</f>
        <v>34.3975721010698</v>
      </c>
      <c r="BI31" s="13" t="n">
        <f aca="false">IF(BI24=1,BI15-BI29,0)</f>
        <v>34.1435642703747</v>
      </c>
      <c r="BJ31" s="13" t="n">
        <f aca="false">IF(BJ24=1,BJ15-BJ29,0)</f>
        <v>41.5645270780984</v>
      </c>
      <c r="BK31" s="13" t="n">
        <f aca="false">IF(BK24=1,BK15-BK29,0)</f>
        <v>36.519199934393</v>
      </c>
      <c r="BL31" s="13" t="n">
        <f aca="false">IF(BL24=1,BL15-BL29,0)</f>
        <v>37.3201952435865</v>
      </c>
      <c r="BM31" s="13" t="n">
        <f aca="false">IF(BM24=1,BM15-BM29,0)</f>
        <v>52.8307578066809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44.3601393614542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201.631199065568</v>
      </c>
      <c r="P33" s="13" t="n">
        <f aca="false">IF(Time!P20&lt;Time!$F$12,0,IF(Time!P34=1,INDEX(Funding!$J$72:$BJ$72,1,Time!$F$14),O36))</f>
        <v>204.832439609637</v>
      </c>
      <c r="Q33" s="13" t="n">
        <f aca="false">IF(Time!Q20&lt;Time!$F$12,0,IF(Time!Q34=1,INDEX(Funding!$J$72:$BJ$72,1,Time!$F$14),P36))</f>
        <v>199.881431871557</v>
      </c>
      <c r="R33" s="13" t="n">
        <f aca="false">IF(Time!R20&lt;Time!$F$12,0,IF(Time!R34=1,INDEX(Funding!$J$72:$BJ$72,1,Time!$F$14),Q36))</f>
        <v>197.204787805918</v>
      </c>
      <c r="S33" s="13" t="n">
        <f aca="false">IF(Time!S20&lt;Time!$F$12,0,IF(Time!S34=1,INDEX(Funding!$J$72:$BJ$72,1,Time!$F$14),R36))</f>
        <v>193.63985327676</v>
      </c>
      <c r="T33" s="13" t="n">
        <f aca="false">IF(Time!T20&lt;Time!$F$12,0,IF(Time!T34=1,INDEX(Funding!$J$72:$BJ$72,1,Time!$F$14),S36))</f>
        <v>190.57226228895</v>
      </c>
      <c r="U33" s="13" t="n">
        <f aca="false">IF(Time!U20&lt;Time!$F$12,0,IF(Time!U34=1,INDEX(Funding!$J$72:$BJ$72,1,Time!$F$14),T36))</f>
        <v>186.738107626227</v>
      </c>
      <c r="V33" s="13" t="n">
        <f aca="false">IF(Time!V20&lt;Time!$F$12,0,IF(Time!V34=1,INDEX(Funding!$J$72:$BJ$72,1,Time!$F$14),U36))</f>
        <v>183.679540071011</v>
      </c>
      <c r="W33" s="13" t="n">
        <f aca="false">IF(Time!W20&lt;Time!$F$12,0,IF(Time!W34=1,INDEX(Funding!$J$72:$BJ$72,1,Time!$F$14),V36))</f>
        <v>179.524737532374</v>
      </c>
      <c r="X33" s="13" t="n">
        <f aca="false">IF(Time!X20&lt;Time!$F$12,0,IF(Time!X34=1,INDEX(Funding!$J$72:$BJ$72,1,Time!$F$14),W36))</f>
        <v>174.285355282294</v>
      </c>
      <c r="Y33" s="13" t="n">
        <f aca="false">IF(Time!Y20&lt;Time!$F$12,0,IF(Time!Y34=1,INDEX(Funding!$J$72:$BJ$72,1,Time!$F$14),X36))</f>
        <v>170.043515817517</v>
      </c>
      <c r="Z33" s="13" t="n">
        <f aca="false">IF(Time!Z20&lt;Time!$F$12,0,IF(Time!Z34=1,INDEX(Funding!$J$72:$BJ$72,1,Time!$F$14),Y36))</f>
        <v>166.292743001169</v>
      </c>
      <c r="AA33" s="13" t="n">
        <f aca="false">IF(Time!AA20&lt;Time!$F$12,0,IF(Time!AA34=1,INDEX(Funding!$J$72:$BJ$72,1,Time!$F$14),Z36))</f>
        <v>161.877430570725</v>
      </c>
      <c r="AB33" s="13" t="n">
        <f aca="false">IF(Time!AB20&lt;Time!$F$12,0,IF(Time!AB34=1,INDEX(Funding!$J$72:$BJ$72,1,Time!$F$14),AA36))</f>
        <v>163.731971390369</v>
      </c>
      <c r="AC33" s="13" t="n">
        <f aca="false">IF(Time!AC20&lt;Time!$F$12,0,IF(Time!AC34=1,INDEX(Funding!$J$72:$BJ$72,1,Time!$F$14),AB36))</f>
        <v>164.843790186005</v>
      </c>
      <c r="AD33" s="13" t="n">
        <f aca="false">IF(Time!AD20&lt;Time!$F$12,0,IF(Time!AD34=1,INDEX(Funding!$J$72:$BJ$72,1,Time!$F$14),AC36))</f>
        <v>166.296328634218</v>
      </c>
      <c r="AE33" s="13" t="n">
        <f aca="false">IF(Time!AE20&lt;Time!$F$12,0,IF(Time!AE34=1,INDEX(Funding!$J$72:$BJ$72,1,Time!$F$14),AD36))</f>
        <v>166.357219355522</v>
      </c>
      <c r="AF33" s="13" t="n">
        <f aca="false">IF(Time!AF20&lt;Time!$F$12,0,IF(Time!AF34=1,INDEX(Funding!$J$72:$BJ$72,1,Time!$F$14),AE36))</f>
        <v>165.874175749051</v>
      </c>
      <c r="AG33" s="13" t="n">
        <f aca="false">IF(Time!AG20&lt;Time!$F$12,0,IF(Time!AG34=1,INDEX(Funding!$J$72:$BJ$72,1,Time!$F$14),AF36))</f>
        <v>164.767453355309</v>
      </c>
      <c r="AH33" s="13" t="n">
        <f aca="false">IF(Time!AH20&lt;Time!$F$12,0,IF(Time!AH34=1,INDEX(Funding!$J$72:$BJ$72,1,Time!$F$14),AG36))</f>
        <v>163.099994885325</v>
      </c>
      <c r="AI33" s="13" t="n">
        <f aca="false">IF(Time!AI20&lt;Time!$F$12,0,IF(Time!AI34=1,INDEX(Funding!$J$72:$BJ$72,1,Time!$F$14),AH36))</f>
        <v>160.138112370097</v>
      </c>
      <c r="AJ33" s="13" t="n">
        <f aca="false">IF(Time!AJ20&lt;Time!$F$12,0,IF(Time!AJ34=1,INDEX(Funding!$J$72:$BJ$72,1,Time!$F$14),AI36))</f>
        <v>156.10771749042</v>
      </c>
      <c r="AK33" s="13" t="n">
        <f aca="false">IF(Time!AK20&lt;Time!$F$12,0,IF(Time!AK34=1,INDEX(Funding!$J$72:$BJ$72,1,Time!$F$14),AJ36))</f>
        <v>150.234436447668</v>
      </c>
      <c r="AL33" s="13" t="n">
        <f aca="false">IF(Time!AL20&lt;Time!$F$12,0,IF(Time!AL34=1,INDEX(Funding!$J$72:$BJ$72,1,Time!$F$14),AK36))</f>
        <v>129.975445076519</v>
      </c>
      <c r="AM33" s="13" t="n">
        <f aca="false">IF(Time!AM20&lt;Time!$F$12,0,IF(Time!AM34=1,INDEX(Funding!$J$72:$BJ$72,1,Time!$F$14),AL36))</f>
        <v>107.019227100848</v>
      </c>
      <c r="AN33" s="13" t="n">
        <f aca="false">IF(Time!AN20&lt;Time!$F$12,0,IF(Time!AN34=1,INDEX(Funding!$J$72:$BJ$72,1,Time!$F$14),AM36))</f>
        <v>79.5167504593557</v>
      </c>
      <c r="AO33" s="13" t="n">
        <f aca="false">IF(Time!AO20&lt;Time!$F$12,0,IF(Time!AO34=1,INDEX(Funding!$J$72:$BJ$72,1,Time!$F$14),AN36))</f>
        <v>53.8410525343905</v>
      </c>
      <c r="AP33" s="13" t="n">
        <f aca="false">IF(Time!AP20&lt;Time!$F$12,0,IF(Time!AP34=1,INDEX(Funding!$J$72:$BJ$72,1,Time!$F$14),AO36))</f>
        <v>15.4392541321992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195.940301017418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9.8095097106204</v>
      </c>
      <c r="Q34" s="13" t="n">
        <f aca="false">Q24*MIN(Q31,Tax!Q13)</f>
        <v>9.41633211241484</v>
      </c>
      <c r="R34" s="13" t="n">
        <f aca="false">R24*MIN(R31,Tax!R13)</f>
        <v>9.44421833108888</v>
      </c>
      <c r="S34" s="13" t="n">
        <f aca="false">S24*MIN(S31,Tax!S13)</f>
        <v>9.12229390984625</v>
      </c>
      <c r="T34" s="13" t="n">
        <f aca="false">T24*MIN(T31,Tax!T13)</f>
        <v>9.1265839583859</v>
      </c>
      <c r="U34" s="13" t="n">
        <f aca="false">U24*MIN(U31,Tax!U13)</f>
        <v>8.84575857769167</v>
      </c>
      <c r="V34" s="13" t="n">
        <f aca="false">V24*MIN(V31,Tax!V13)</f>
        <v>8.79648865874322</v>
      </c>
      <c r="W34" s="13" t="n">
        <f aca="false">W24*MIN(W31,Tax!W13)</f>
        <v>8.45733660786073</v>
      </c>
      <c r="X34" s="13" t="n">
        <f aca="false">X24*MIN(X31,Tax!X13)</f>
        <v>8.34659728858766</v>
      </c>
      <c r="Y34" s="13" t="n">
        <f aca="false">Y24*MIN(Y31,Tax!Y13)</f>
        <v>8.01068014926632</v>
      </c>
      <c r="Z34" s="13" t="n">
        <f aca="false">Z24*MIN(Z31,Tax!Z13)</f>
        <v>7.96382780180943</v>
      </c>
      <c r="AA34" s="13" t="n">
        <f aca="false">AA24*MIN(AA31,Tax!AA13)</f>
        <v>5.77143840957161</v>
      </c>
      <c r="AB34" s="13" t="n">
        <f aca="false">AB24*MIN(AB31,Tax!AB13)</f>
        <v>6.72937260136007</v>
      </c>
      <c r="AC34" s="13" t="n">
        <f aca="false">AC24*MIN(AC31,Tax!AC13)</f>
        <v>6.35608931155681</v>
      </c>
      <c r="AD34" s="13" t="n">
        <f aca="false">AD24*MIN(AD31,Tax!AD13)</f>
        <v>7.90310879794556</v>
      </c>
      <c r="AE34" s="13" t="n">
        <f aca="false">AE24*MIN(AE31,Tax!AE13)</f>
        <v>7.8370202378581</v>
      </c>
      <c r="AF34" s="13" t="n">
        <f aca="false">AF24*MIN(AF31,Tax!AF13)</f>
        <v>7.94378244409152</v>
      </c>
      <c r="AG34" s="13" t="n">
        <f aca="false">AG24*MIN(AG31,Tax!AG13)</f>
        <v>7.76212701491654</v>
      </c>
      <c r="AH34" s="13" t="n">
        <f aca="false">AH24*MIN(AH31,Tax!AH13)</f>
        <v>7.81092578245336</v>
      </c>
      <c r="AI34" s="13" t="n">
        <f aca="false">AI24*MIN(AI31,Tax!AI13)</f>
        <v>7.54404066357211</v>
      </c>
      <c r="AJ34" s="13" t="n">
        <f aca="false">AJ24*MIN(AJ31,Tax!AJ13)</f>
        <v>7.47606274447272</v>
      </c>
      <c r="AK34" s="13" t="n">
        <f aca="false">AK24*MIN(AK31,Tax!AK13)</f>
        <v>7.11658467446623</v>
      </c>
      <c r="AL34" s="13" t="n">
        <f aca="false">AL24*MIN(AL31,Tax!AL13)</f>
        <v>6.22457747928095</v>
      </c>
      <c r="AM34" s="13" t="n">
        <f aca="false">AM24*MIN(AM31,Tax!AM13)</f>
        <v>5.04163180821668</v>
      </c>
      <c r="AN34" s="13" t="n">
        <f aca="false">AN24*MIN(AN31,Tax!AN13)</f>
        <v>3.80808985761517</v>
      </c>
      <c r="AO34" s="13" t="n">
        <f aca="false">AO24*MIN(AO31,Tax!AO13)</f>
        <v>2.53642985843519</v>
      </c>
      <c r="AP34" s="13" t="n">
        <f aca="false">AP24*MIN(AP31,Tax!AP13)</f>
        <v>0.739392225289978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209.312228394434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4.95100773807983</v>
      </c>
      <c r="Q35" s="13" t="n">
        <f aca="false">Q24*MIN(Q31-Q34,Q33+Tax!Q13-Q34)</f>
        <v>2.67664406563912</v>
      </c>
      <c r="R35" s="13" t="n">
        <f aca="false">R24*MIN(R31-R34,R33+Tax!R13-R34)</f>
        <v>3.56493452915805</v>
      </c>
      <c r="S35" s="13" t="n">
        <f aca="false">S24*MIN(S31-S34,S33+Tax!S13-S34)</f>
        <v>3.06759098780911</v>
      </c>
      <c r="T35" s="13" t="n">
        <f aca="false">T24*MIN(T31-T34,T33+Tax!T13-T34)</f>
        <v>3.83415466272374</v>
      </c>
      <c r="U35" s="13" t="n">
        <f aca="false">U24*MIN(U31-U34,U33+Tax!U13-U34)</f>
        <v>3.05856755521556</v>
      </c>
      <c r="V35" s="13" t="n">
        <f aca="false">V24*MIN(V31-V34,V33+Tax!V13-V34)</f>
        <v>4.15480253863741</v>
      </c>
      <c r="W35" s="13" t="n">
        <f aca="false">W24*MIN(W31-W34,W33+Tax!W13-W34)</f>
        <v>5.23938225008004</v>
      </c>
      <c r="X35" s="13" t="n">
        <f aca="false">X24*MIN(X31-X34,X33+Tax!X13-X34)</f>
        <v>4.24183946477656</v>
      </c>
      <c r="Y35" s="13" t="n">
        <f aca="false">Y24*MIN(Y31-Y34,Y33+Tax!Y13-Y34)</f>
        <v>3.75077281634768</v>
      </c>
      <c r="Z35" s="13" t="n">
        <f aca="false">Z24*MIN(Z31-Z34,Z33+Tax!Z13-Z34)</f>
        <v>4.41531243044437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0.483043606471689</v>
      </c>
      <c r="AF35" s="13" t="n">
        <f aca="false">AF24*MIN(AF31-AF34,AF33+Tax!AF13-AF34)</f>
        <v>1.10672239374167</v>
      </c>
      <c r="AG35" s="13" t="n">
        <f aca="false">AG24*MIN(AG31-AG34,AG33+Tax!AG13-AG34)</f>
        <v>1.66745846998427</v>
      </c>
      <c r="AH35" s="13" t="n">
        <f aca="false">AH24*MIN(AH31-AH34,AH33+Tax!AH13-AH34)</f>
        <v>2.96188251522763</v>
      </c>
      <c r="AI35" s="13" t="n">
        <f aca="false">AI24*MIN(AI31-AI34,AI33+Tax!AI13-AI34)</f>
        <v>4.03039487967706</v>
      </c>
      <c r="AJ35" s="13" t="n">
        <f aca="false">AJ24*MIN(AJ31-AJ34,AJ33+Tax!AJ13-AJ34)</f>
        <v>5.8732810427524</v>
      </c>
      <c r="AK35" s="13" t="n">
        <f aca="false">AK24*MIN(AK31-AK34,AK33+Tax!AK13-AK34)</f>
        <v>20.258991371149</v>
      </c>
      <c r="AL35" s="13" t="n">
        <f aca="false">AL24*MIN(AL31-AL34,AL33+Tax!AL13-AL34)</f>
        <v>22.9562179756704</v>
      </c>
      <c r="AM35" s="13" t="n">
        <f aca="false">AM24*MIN(AM31-AM34,AM33+Tax!AM13-AM34)</f>
        <v>27.5024766414926</v>
      </c>
      <c r="AN35" s="13" t="n">
        <f aca="false">AN24*MIN(AN31-AN34,AN33+Tax!AN13-AN34)</f>
        <v>25.6756979249652</v>
      </c>
      <c r="AO35" s="13" t="n">
        <f aca="false">AO24*MIN(AO31-AO34,AO33+Tax!AO13-AO34)</f>
        <v>38.4017984021913</v>
      </c>
      <c r="AP35" s="13" t="n">
        <f aca="false">AP24*MIN(AP31-AP34,AP33+Tax!AP13-AP34)</f>
        <v>15.4392541321992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204.832439609637</v>
      </c>
      <c r="P36" s="13" t="n">
        <f aca="false">P33+Tax!P13-P34-P35</f>
        <v>199.881431871557</v>
      </c>
      <c r="Q36" s="13" t="n">
        <f aca="false">Q33+Tax!Q13-Q34-Q35</f>
        <v>197.204787805918</v>
      </c>
      <c r="R36" s="13" t="n">
        <f aca="false">R33+Tax!R13-R34-R35</f>
        <v>193.63985327676</v>
      </c>
      <c r="S36" s="13" t="n">
        <f aca="false">S33+Tax!S13-S34-S35</f>
        <v>190.57226228895</v>
      </c>
      <c r="T36" s="13" t="n">
        <f aca="false">T33+Tax!T13-T34-T35</f>
        <v>186.738107626227</v>
      </c>
      <c r="U36" s="13" t="n">
        <f aca="false">U33+Tax!U13-U34-U35</f>
        <v>183.679540071011</v>
      </c>
      <c r="V36" s="13" t="n">
        <f aca="false">V33+Tax!V13-V34-V35</f>
        <v>179.524737532374</v>
      </c>
      <c r="W36" s="13" t="n">
        <f aca="false">W33+Tax!W13-W34-W35</f>
        <v>174.285355282294</v>
      </c>
      <c r="X36" s="13" t="n">
        <f aca="false">X33+Tax!X13-X34-X35</f>
        <v>170.043515817517</v>
      </c>
      <c r="Y36" s="13" t="n">
        <f aca="false">Y33+Tax!Y13-Y34-Y35</f>
        <v>166.292743001169</v>
      </c>
      <c r="Z36" s="13" t="n">
        <f aca="false">Z33+Tax!Z13-Z34-Z35</f>
        <v>161.877430570725</v>
      </c>
      <c r="AA36" s="13" t="n">
        <f aca="false">AA33+Tax!AA13-AA34-AA35</f>
        <v>163.731971390369</v>
      </c>
      <c r="AB36" s="13" t="n">
        <f aca="false">AB33+Tax!AB13-AB34-AB35</f>
        <v>164.843790186005</v>
      </c>
      <c r="AC36" s="13" t="n">
        <f aca="false">AC33+Tax!AC13-AC34-AC35</f>
        <v>166.296328634218</v>
      </c>
      <c r="AD36" s="13" t="n">
        <f aca="false">AD33+Tax!AD13-AD34-AD35</f>
        <v>166.357219355522</v>
      </c>
      <c r="AE36" s="13" t="n">
        <f aca="false">AE33+Tax!AE13-AE34-AE35</f>
        <v>165.874175749051</v>
      </c>
      <c r="AF36" s="13" t="n">
        <f aca="false">AF33+Tax!AF13-AF34-AF35</f>
        <v>164.767453355309</v>
      </c>
      <c r="AG36" s="13" t="n">
        <f aca="false">AG33+Tax!AG13-AG34-AG35</f>
        <v>163.099994885325</v>
      </c>
      <c r="AH36" s="13" t="n">
        <f aca="false">AH33+Tax!AH13-AH34-AH35</f>
        <v>160.138112370097</v>
      </c>
      <c r="AI36" s="13" t="n">
        <f aca="false">AI33+Tax!AI13-AI34-AI35</f>
        <v>156.10771749042</v>
      </c>
      <c r="AJ36" s="13" t="n">
        <f aca="false">AJ33+Tax!AJ13-AJ34-AJ35</f>
        <v>150.234436447668</v>
      </c>
      <c r="AK36" s="13" t="n">
        <f aca="false">AK33+Tax!AK13-AK34-AK35</f>
        <v>129.975445076519</v>
      </c>
      <c r="AL36" s="13" t="n">
        <f aca="false">AL33+Tax!AL13-AL34-AL35</f>
        <v>107.019227100848</v>
      </c>
      <c r="AM36" s="13" t="n">
        <f aca="false">AM33+Tax!AM13-AM34-AM35</f>
        <v>79.5167504593557</v>
      </c>
      <c r="AN36" s="13" t="n">
        <f aca="false">AN33+Tax!AN13-AN34-AN35</f>
        <v>53.8410525343905</v>
      </c>
      <c r="AO36" s="13" t="n">
        <f aca="false">AO33+Tax!AO13-AO34-AO35</f>
        <v>15.4392541321992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9.67646752076224</v>
      </c>
      <c r="P37" s="13" t="n">
        <f aca="false">MAX(0,O43+Financials!P14)</f>
        <v>16.7291171257007</v>
      </c>
      <c r="Q37" s="13" t="n">
        <f aca="false">MAX(0,P43+Financials!Q14)</f>
        <v>24.9604552853965</v>
      </c>
      <c r="R37" s="13" t="n">
        <f aca="false">MAX(0,Q43+Financials!R14)</f>
        <v>33.655483208323</v>
      </c>
      <c r="S37" s="13" t="n">
        <f aca="false">MAX(0,R43+Financials!S14)</f>
        <v>43.5564680081539</v>
      </c>
      <c r="T37" s="13" t="n">
        <f aca="false">MAX(0,S43+Financials!T14)</f>
        <v>53.9515257784156</v>
      </c>
      <c r="U37" s="13" t="n">
        <f aca="false">MAX(0,T43+Financials!U14)</f>
        <v>65.4495723456269</v>
      </c>
      <c r="V37" s="13" t="n">
        <f aca="false">MAX(0,U43+Financials!V14)</f>
        <v>75.053458843603</v>
      </c>
      <c r="W37" s="13" t="n">
        <f aca="false">MAX(0,V43+Financials!W14)</f>
        <v>88.4246442440493</v>
      </c>
      <c r="X37" s="13" t="n">
        <f aca="false">MAX(0,W43+Financials!X14)</f>
        <v>102.454781657371</v>
      </c>
      <c r="Y37" s="13" t="n">
        <f aca="false">MAX(0,X43+Financials!Y14)</f>
        <v>114.49435593841</v>
      </c>
      <c r="Z37" s="13" t="n">
        <f aca="false">MAX(0,Y43+Financials!Z14)</f>
        <v>121.453146011924</v>
      </c>
      <c r="AA37" s="13" t="n">
        <f aca="false">MAX(0,Z43+Financials!AA14)</f>
        <v>129.340031327437</v>
      </c>
      <c r="AB37" s="13" t="n">
        <f aca="false">MAX(0,AA43+Financials!AB14)</f>
        <v>137.748855992542</v>
      </c>
      <c r="AC37" s="13" t="n">
        <f aca="false">MAX(0,AB43+Financials!AC14)</f>
        <v>147.149919286662</v>
      </c>
      <c r="AD37" s="13" t="n">
        <f aca="false">MAX(0,AC43+Financials!AD14)</f>
        <v>148.775908769575</v>
      </c>
      <c r="AE37" s="13" t="n">
        <f aca="false">MAX(0,AD43+Financials!AE14)</f>
        <v>160.092605061946</v>
      </c>
      <c r="AF37" s="13" t="n">
        <f aca="false">MAX(0,AE43+Financials!AF14)</f>
        <v>171.928715446072</v>
      </c>
      <c r="AG37" s="13" t="n">
        <f aca="false">MAX(0,AF43+Financials!AG14)</f>
        <v>184.82184130354</v>
      </c>
      <c r="AH37" s="13" t="n">
        <f aca="false">MAX(0,AG43+Financials!AH14)</f>
        <v>198.712186205738</v>
      </c>
      <c r="AI37" s="13" t="n">
        <f aca="false">MAX(0,AH43+Financials!AI14)</f>
        <v>213.84962870478</v>
      </c>
      <c r="AJ37" s="13" t="n">
        <f aca="false">MAX(0,AI43+Financials!AJ14)</f>
        <v>230.015817930351</v>
      </c>
      <c r="AK37" s="13" t="n">
        <f aca="false">MAX(0,AJ43+Financials!AK14)</f>
        <v>247.523975710062</v>
      </c>
      <c r="AL37" s="13" t="n">
        <f aca="false">MAX(0,AK43+Financials!AL14)</f>
        <v>263.922701754352</v>
      </c>
      <c r="AM37" s="13" t="n">
        <f aca="false">MAX(0,AL43+Financials!AM14)</f>
        <v>283.915481333881</v>
      </c>
      <c r="AN37" s="13" t="n">
        <f aca="false">MAX(0,AM43+Financials!AN14)</f>
        <v>305.413926028221</v>
      </c>
      <c r="AO37" s="13" t="n">
        <f aca="false">MAX(0,AN43+Financials!AO14)</f>
        <v>328.231417345099</v>
      </c>
      <c r="AP37" s="13" t="n">
        <f aca="false">MAX(0,AO43+Financials!AP14)</f>
        <v>352.750199513516</v>
      </c>
      <c r="AQ37" s="13" t="n">
        <f aca="false">MAX(0,AP43+Financials!AQ14)</f>
        <v>353.126414647003</v>
      </c>
      <c r="AR37" s="13" t="n">
        <f aca="false">MAX(0,AQ43+Financials!AR14)</f>
        <v>338.171544684742</v>
      </c>
      <c r="AS37" s="13" t="n">
        <f aca="false">MAX(0,AR43+Financials!AS14)</f>
        <v>322.686243876066</v>
      </c>
      <c r="AT37" s="13" t="n">
        <f aca="false">MAX(0,AS43+Financials!AT14)</f>
        <v>296.701288332462</v>
      </c>
      <c r="AU37" s="13" t="n">
        <f aca="false">MAX(0,AT43+Financials!AU14)</f>
        <v>275.473454425539</v>
      </c>
      <c r="AV37" s="13" t="n">
        <f aca="false">MAX(0,AU43+Financials!AV14)</f>
        <v>258.34817389818</v>
      </c>
      <c r="AW37" s="13" t="n">
        <f aca="false">MAX(0,AV43+Financials!AW14)</f>
        <v>241.014320868926</v>
      </c>
      <c r="AX37" s="13" t="n">
        <f aca="false">MAX(0,AW43+Financials!AX14)</f>
        <v>224.424287038528</v>
      </c>
      <c r="AY37" s="13" t="n">
        <f aca="false">MAX(0,AX43+Financials!AY14)</f>
        <v>207.208344089786</v>
      </c>
      <c r="AZ37" s="13" t="n">
        <f aca="false">MAX(0,AY43+Financials!AZ14)</f>
        <v>190.531699735717</v>
      </c>
      <c r="BA37" s="13" t="n">
        <f aca="false">MAX(0,AZ43+Financials!BA14)</f>
        <v>173.190468868135</v>
      </c>
      <c r="BB37" s="13" t="n">
        <f aca="false">MAX(0,BA43+Financials!BB14)</f>
        <v>153.460314744561</v>
      </c>
      <c r="BC37" s="13" t="n">
        <f aca="false">MAX(0,BB43+Financials!BC14)</f>
        <v>136.765615892777</v>
      </c>
      <c r="BD37" s="13" t="n">
        <f aca="false">MAX(0,BC43+Financials!BD14)</f>
        <v>122.961850473353</v>
      </c>
      <c r="BE37" s="13" t="n">
        <f aca="false">MAX(0,BD43+Financials!BE14)</f>
        <v>115.180203840905</v>
      </c>
      <c r="BF37" s="13" t="n">
        <f aca="false">MAX(0,BE43+Financials!BF14)</f>
        <v>107.947650010511</v>
      </c>
      <c r="BG37" s="13" t="n">
        <f aca="false">MAX(0,BF43+Financials!BG14)</f>
        <v>100.289933570739</v>
      </c>
      <c r="BH37" s="13" t="n">
        <f aca="false">MAX(0,BG43+Financials!BH14)</f>
        <v>93.2951949110463</v>
      </c>
      <c r="BI37" s="13" t="n">
        <f aca="false">MAX(0,BH43+Financials!BI14)</f>
        <v>85.7473210479965</v>
      </c>
      <c r="BJ37" s="13" t="n">
        <f aca="false">MAX(0,BI43+Financials!BJ14)</f>
        <v>65.4438801087892</v>
      </c>
      <c r="BK37" s="13" t="n">
        <f aca="false">MAX(0,BJ43+Financials!BK14)</f>
        <v>50.937905934073</v>
      </c>
      <c r="BL37" s="13" t="n">
        <f aca="false">MAX(0,BK43+Financials!BL14)</f>
        <v>41.2125346720625</v>
      </c>
      <c r="BM37" s="13" t="n">
        <f aca="false">MAX(0,BL43+Financials!BM14)</f>
        <v>8.47061844522667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24.6692810454809</v>
      </c>
      <c r="AQ38" s="13" t="n">
        <f aca="false">AQ24*MIN(AQ31-AQ34-AQ35,AQ37)</f>
        <v>40.136684461664</v>
      </c>
      <c r="AR38" s="13" t="n">
        <f aca="false">AR24*MIN(AR31-AR34-AR35,AR37)</f>
        <v>40.7406580329047</v>
      </c>
      <c r="AS38" s="13" t="n">
        <f aca="false">AS24*MIN(AS31-AS34-AS35,AS37)</f>
        <v>40.4481006596007</v>
      </c>
      <c r="AT38" s="13" t="n">
        <f aca="false">AT24*MIN(AT31-AT34-AT35,AT37)</f>
        <v>46.8441976401825</v>
      </c>
      <c r="AU38" s="13" t="n">
        <f aca="false">AU24*MIN(AU31-AU34-AU35,AU37)</f>
        <v>42.5883075904508</v>
      </c>
      <c r="AV38" s="13" t="n">
        <f aca="false">AV24*MIN(AV31-AV34-AV35,AV37)</f>
        <v>42.8143247236077</v>
      </c>
      <c r="AW38" s="13" t="n">
        <f aca="false">AW24*MIN(AW31-AW34-AW35,AW37)</f>
        <v>42.343187807146</v>
      </c>
      <c r="AX38" s="13" t="n">
        <f aca="false">AX24*MIN(AX31-AX34-AX35,AX37)</f>
        <v>43.0855056864911</v>
      </c>
      <c r="AY38" s="13" t="n">
        <f aca="false">AY24*MIN(AY31-AY34-AY35,AY37)</f>
        <v>42.698177643974</v>
      </c>
      <c r="AZ38" s="13" t="n">
        <f aca="false">AZ24*MIN(AZ31-AZ34-AZ35,AZ37)</f>
        <v>43.3660064212279</v>
      </c>
      <c r="BA38" s="13" t="n">
        <f aca="false">BA24*MIN(BA31-BA34-BA35,BA37)</f>
        <v>42.4872230639365</v>
      </c>
      <c r="BB38" s="13" t="n">
        <f aca="false">BB24*MIN(BB31-BB34-BB35,BB37)</f>
        <v>42.9742178030138</v>
      </c>
      <c r="BC38" s="13" t="n">
        <f aca="false">BC24*MIN(BC31-BC34-BC35,BC37)</f>
        <v>39.8852392992975</v>
      </c>
      <c r="BD38" s="13" t="n">
        <f aca="false">BD24*MIN(BD31-BD34-BD35,BD37)</f>
        <v>33.9398474791138</v>
      </c>
      <c r="BE38" s="13" t="n">
        <f aca="false">BE24*MIN(BE31-BE34-BE35,BE37)</f>
        <v>33.4579159499567</v>
      </c>
      <c r="BF38" s="13" t="n">
        <f aca="false">BF24*MIN(BF31-BF34-BF35,BF37)</f>
        <v>34.041745588978</v>
      </c>
      <c r="BG38" s="13" t="n">
        <f aca="false">BG24*MIN(BG31-BG34-BG35,BG37)</f>
        <v>33.6366108240525</v>
      </c>
      <c r="BH38" s="13" t="n">
        <f aca="false">BH24*MIN(BH31-BH34-BH35,BH37)</f>
        <v>34.3975721010698</v>
      </c>
      <c r="BI38" s="13" t="n">
        <f aca="false">BI24*MIN(BI31-BI34-BI35,BI37)</f>
        <v>34.1435642703747</v>
      </c>
      <c r="BJ38" s="13" t="n">
        <f aca="false">BJ24*MIN(BJ31-BJ34-BJ35,BJ37)</f>
        <v>41.5645270780984</v>
      </c>
      <c r="BK38" s="13" t="n">
        <f aca="false">BK24*MIN(BK31-BK34-BK35,BK37)</f>
        <v>36.519199934393</v>
      </c>
      <c r="BL38" s="13" t="n">
        <f aca="false">BL24*MIN(BL31-BL34-BL35,BL37)</f>
        <v>37.3201952435865</v>
      </c>
      <c r="BM38" s="13" t="n">
        <f aca="false">BM24*MIN(BM31-BM34-BM35,BM37)</f>
        <v>8.47061844522667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44.3601393614542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44.3601393614542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44.3601393614542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946.933048155282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24.6692810454809</v>
      </c>
      <c r="AQ41" s="13" t="n">
        <f aca="false">AQ38+AQ40</f>
        <v>40.136684461664</v>
      </c>
      <c r="AR41" s="13" t="n">
        <f aca="false">AR38+AR40</f>
        <v>40.7406580329047</v>
      </c>
      <c r="AS41" s="13" t="n">
        <f aca="false">AS38+AS40</f>
        <v>40.4481006596007</v>
      </c>
      <c r="AT41" s="13" t="n">
        <f aca="false">AT38+AT40</f>
        <v>46.8441976401825</v>
      </c>
      <c r="AU41" s="13" t="n">
        <f aca="false">AU38+AU40</f>
        <v>42.5883075904508</v>
      </c>
      <c r="AV41" s="13" t="n">
        <f aca="false">AV38+AV40</f>
        <v>42.8143247236077</v>
      </c>
      <c r="AW41" s="13" t="n">
        <f aca="false">AW38+AW40</f>
        <v>42.343187807146</v>
      </c>
      <c r="AX41" s="13" t="n">
        <f aca="false">AX38+AX40</f>
        <v>43.0855056864911</v>
      </c>
      <c r="AY41" s="13" t="n">
        <f aca="false">AY38+AY40</f>
        <v>42.698177643974</v>
      </c>
      <c r="AZ41" s="13" t="n">
        <f aca="false">AZ38+AZ40</f>
        <v>43.3660064212279</v>
      </c>
      <c r="BA41" s="13" t="n">
        <f aca="false">BA38+BA40</f>
        <v>42.4872230639365</v>
      </c>
      <c r="BB41" s="13" t="n">
        <f aca="false">BB38+BB40</f>
        <v>42.9742178030138</v>
      </c>
      <c r="BC41" s="13" t="n">
        <f aca="false">BC38+BC40</f>
        <v>39.8852392992975</v>
      </c>
      <c r="BD41" s="13" t="n">
        <f aca="false">BD38+BD40</f>
        <v>33.9398474791138</v>
      </c>
      <c r="BE41" s="13" t="n">
        <f aca="false">BE38+BE40</f>
        <v>33.4579159499567</v>
      </c>
      <c r="BF41" s="13" t="n">
        <f aca="false">BF38+BF40</f>
        <v>34.041745588978</v>
      </c>
      <c r="BG41" s="13" t="n">
        <f aca="false">BG38+BG40</f>
        <v>33.6366108240525</v>
      </c>
      <c r="BH41" s="13" t="n">
        <f aca="false">BH38+BH40</f>
        <v>34.3975721010698</v>
      </c>
      <c r="BI41" s="13" t="n">
        <f aca="false">BI38+BI40</f>
        <v>34.1435642703747</v>
      </c>
      <c r="BJ41" s="13" t="n">
        <f aca="false">BJ38+BJ40</f>
        <v>41.5645270780984</v>
      </c>
      <c r="BK41" s="13" t="n">
        <f aca="false">BK38+BK40</f>
        <v>36.519199934393</v>
      </c>
      <c r="BL41" s="13" t="n">
        <f aca="false">BL38+BL40</f>
        <v>37.3201952435865</v>
      </c>
      <c r="BM41" s="13" t="n">
        <f aca="false">BM38+BM40</f>
        <v>52.8307578066809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9.67646752076224</v>
      </c>
      <c r="P43" s="13" t="n">
        <f aca="false">IF(Time!P20&lt;Time!$F$12,0,O43+Financials!P14-P41)</f>
        <v>16.7291171257007</v>
      </c>
      <c r="Q43" s="13" t="n">
        <f aca="false">IF(Time!Q20&lt;Time!$F$12,0,P43+Financials!Q14-Q41)</f>
        <v>24.9604552853965</v>
      </c>
      <c r="R43" s="13" t="n">
        <f aca="false">IF(Time!R20&lt;Time!$F$12,0,Q43+Financials!R14-R41)</f>
        <v>33.655483208323</v>
      </c>
      <c r="S43" s="13" t="n">
        <f aca="false">IF(Time!S20&lt;Time!$F$12,0,R43+Financials!S14-S41)</f>
        <v>43.5564680081539</v>
      </c>
      <c r="T43" s="13" t="n">
        <f aca="false">IF(Time!T20&lt;Time!$F$12,0,S43+Financials!T14-T41)</f>
        <v>53.9515257784156</v>
      </c>
      <c r="U43" s="13" t="n">
        <f aca="false">IF(Time!U20&lt;Time!$F$12,0,T43+Financials!U14-U41)</f>
        <v>65.4495723456269</v>
      </c>
      <c r="V43" s="13" t="n">
        <f aca="false">IF(Time!V20&lt;Time!$F$12,0,U43+Financials!V14-V41)</f>
        <v>75.053458843603</v>
      </c>
      <c r="W43" s="13" t="n">
        <f aca="false">IF(Time!W20&lt;Time!$F$12,0,V43+Financials!W14-W41)</f>
        <v>88.4246442440493</v>
      </c>
      <c r="X43" s="13" t="n">
        <f aca="false">IF(Time!X20&lt;Time!$F$12,0,W43+Financials!X14-X41)</f>
        <v>102.454781657371</v>
      </c>
      <c r="Y43" s="13" t="n">
        <f aca="false">IF(Time!Y20&lt;Time!$F$12,0,X43+Financials!Y14-Y41)</f>
        <v>114.49435593841</v>
      </c>
      <c r="Z43" s="13" t="n">
        <f aca="false">IF(Time!Z20&lt;Time!$F$12,0,Y43+Financials!Z14-Z41)</f>
        <v>121.453146011924</v>
      </c>
      <c r="AA43" s="13" t="n">
        <f aca="false">IF(Time!AA20&lt;Time!$F$12,0,Z43+Financials!AA14-AA41)</f>
        <v>129.340031327437</v>
      </c>
      <c r="AB43" s="13" t="n">
        <f aca="false">IF(Time!AB20&lt;Time!$F$12,0,AA43+Financials!AB14-AB41)</f>
        <v>137.748855992542</v>
      </c>
      <c r="AC43" s="13" t="n">
        <f aca="false">IF(Time!AC20&lt;Time!$F$12,0,AB43+Financials!AC14-AC41)</f>
        <v>147.149919286662</v>
      </c>
      <c r="AD43" s="13" t="n">
        <f aca="false">IF(Time!AD20&lt;Time!$F$12,0,AC43+Financials!AD14-AD41)</f>
        <v>148.775908769575</v>
      </c>
      <c r="AE43" s="13" t="n">
        <f aca="false">IF(Time!AE20&lt;Time!$F$12,0,AD43+Financials!AE14-AE41)</f>
        <v>160.092605061946</v>
      </c>
      <c r="AF43" s="13" t="n">
        <f aca="false">IF(Time!AF20&lt;Time!$F$12,0,AE43+Financials!AF14-AF41)</f>
        <v>171.928715446072</v>
      </c>
      <c r="AG43" s="13" t="n">
        <f aca="false">IF(Time!AG20&lt;Time!$F$12,0,AF43+Financials!AG14-AG41)</f>
        <v>184.82184130354</v>
      </c>
      <c r="AH43" s="13" t="n">
        <f aca="false">IF(Time!AH20&lt;Time!$F$12,0,AG43+Financials!AH14-AH41)</f>
        <v>198.712186205738</v>
      </c>
      <c r="AI43" s="13" t="n">
        <f aca="false">IF(Time!AI20&lt;Time!$F$12,0,AH43+Financials!AI14-AI41)</f>
        <v>213.84962870478</v>
      </c>
      <c r="AJ43" s="13" t="n">
        <f aca="false">IF(Time!AJ20&lt;Time!$F$12,0,AI43+Financials!AJ14-AJ41)</f>
        <v>230.015817930351</v>
      </c>
      <c r="AK43" s="13" t="n">
        <f aca="false">IF(Time!AK20&lt;Time!$F$12,0,AJ43+Financials!AK14-AK41)</f>
        <v>247.523975710062</v>
      </c>
      <c r="AL43" s="13" t="n">
        <f aca="false">IF(Time!AL20&lt;Time!$F$12,0,AK43+Financials!AL14-AL41)</f>
        <v>263.922701754352</v>
      </c>
      <c r="AM43" s="13" t="n">
        <f aca="false">IF(Time!AM20&lt;Time!$F$12,0,AL43+Financials!AM14-AM41)</f>
        <v>283.915481333881</v>
      </c>
      <c r="AN43" s="13" t="n">
        <f aca="false">IF(Time!AN20&lt;Time!$F$12,0,AM43+Financials!AN14-AN41)</f>
        <v>305.413926028221</v>
      </c>
      <c r="AO43" s="13" t="n">
        <f aca="false">IF(Time!AO20&lt;Time!$F$12,0,AN43+Financials!AO14-AO41)</f>
        <v>328.231417345099</v>
      </c>
      <c r="AP43" s="13" t="n">
        <f aca="false">IF(Time!AP20&lt;Time!$F$12,0,AO43+Financials!AP14-AP41)</f>
        <v>328.080918468035</v>
      </c>
      <c r="AQ43" s="13" t="n">
        <f aca="false">IF(Time!AQ20&lt;Time!$F$12,0,AP43+Financials!AQ14-AQ41)</f>
        <v>312.989730185339</v>
      </c>
      <c r="AR43" s="13" t="n">
        <f aca="false">IF(Time!AR20&lt;Time!$F$12,0,AQ43+Financials!AR14-AR41)</f>
        <v>297.430886651837</v>
      </c>
      <c r="AS43" s="13" t="n">
        <f aca="false">IF(Time!AS20&lt;Time!$F$12,0,AR43+Financials!AS14-AS41)</f>
        <v>282.238143216466</v>
      </c>
      <c r="AT43" s="13" t="n">
        <f aca="false">IF(Time!AT20&lt;Time!$F$12,0,AS43+Financials!AT14-AT41)</f>
        <v>249.857090692279</v>
      </c>
      <c r="AU43" s="13" t="n">
        <f aca="false">IF(Time!AU20&lt;Time!$F$12,0,AT43+Financials!AU14-AU41)</f>
        <v>232.885146835088</v>
      </c>
      <c r="AV43" s="13" t="n">
        <f aca="false">IF(Time!AV20&lt;Time!$F$12,0,AU43+Financials!AV14-AV41)</f>
        <v>215.533849174572</v>
      </c>
      <c r="AW43" s="13" t="n">
        <f aca="false">IF(Time!AW20&lt;Time!$F$12,0,AV43+Financials!AW14-AW41)</f>
        <v>198.67113306178</v>
      </c>
      <c r="AX43" s="13" t="n">
        <f aca="false">IF(Time!AX20&lt;Time!$F$12,0,AW43+Financials!AX14-AX41)</f>
        <v>181.338781352037</v>
      </c>
      <c r="AY43" s="13" t="n">
        <f aca="false">IF(Time!AY20&lt;Time!$F$12,0,AX43+Financials!AY14-AY41)</f>
        <v>164.510166445812</v>
      </c>
      <c r="AZ43" s="13" t="n">
        <f aca="false">IF(Time!AZ20&lt;Time!$F$12,0,AY43+Financials!AZ14-AZ41)</f>
        <v>147.165693314489</v>
      </c>
      <c r="BA43" s="13" t="n">
        <f aca="false">IF(Time!BA20&lt;Time!$F$12,0,AZ43+Financials!BA14-BA41)</f>
        <v>130.703245804198</v>
      </c>
      <c r="BB43" s="13" t="n">
        <f aca="false">IF(Time!BB20&lt;Time!$F$12,0,BA43+Financials!BB14-BB41)</f>
        <v>110.486096941548</v>
      </c>
      <c r="BC43" s="13" t="n">
        <f aca="false">IF(Time!BC20&lt;Time!$F$12,0,BB43+Financials!BC14-BC41)</f>
        <v>96.880376593479</v>
      </c>
      <c r="BD43" s="13" t="n">
        <f aca="false">IF(Time!BD20&lt;Time!$F$12,0,BC43+Financials!BD14-BD41)</f>
        <v>89.0220029942395</v>
      </c>
      <c r="BE43" s="13" t="n">
        <f aca="false">IF(Time!BE20&lt;Time!$F$12,0,BD43+Financials!BE14-BE41)</f>
        <v>81.7222878909484</v>
      </c>
      <c r="BF43" s="13" t="n">
        <f aca="false">IF(Time!BF20&lt;Time!$F$12,0,BE43+Financials!BF14-BF41)</f>
        <v>73.9059044215332</v>
      </c>
      <c r="BG43" s="13" t="n">
        <f aca="false">IF(Time!BG20&lt;Time!$F$12,0,BF43+Financials!BG14-BG41)</f>
        <v>66.6533227466861</v>
      </c>
      <c r="BH43" s="13" t="n">
        <f aca="false">IF(Time!BH20&lt;Time!$F$12,0,BG43+Financials!BH14-BH41)</f>
        <v>58.8976228099765</v>
      </c>
      <c r="BI43" s="13" t="n">
        <f aca="false">IF(Time!BI20&lt;Time!$F$12,0,BH43+Financials!BI14-BI41)</f>
        <v>51.6037567776218</v>
      </c>
      <c r="BJ43" s="13" t="n">
        <f aca="false">IF(Time!BJ20&lt;Time!$F$12,0,BI43+Financials!BJ14-BJ41)</f>
        <v>23.8793530306908</v>
      </c>
      <c r="BK43" s="13" t="n">
        <f aca="false">IF(Time!BK20&lt;Time!$F$12,0,BJ43+Financials!BK14-BK41)</f>
        <v>14.41870599968</v>
      </c>
      <c r="BL43" s="13" t="n">
        <f aca="false">IF(Time!BL20&lt;Time!$F$12,0,BK43+Financials!BL14-BL41)</f>
        <v>3.89233942847604</v>
      </c>
      <c r="BM43" s="13" t="n">
        <f aca="false">IF(Time!BM20&lt;Time!$F$12,0,BL43+Financials!BM14-BM41)</f>
        <v>-44.3601393614542</v>
      </c>
      <c r="BN43" s="13" t="n">
        <f aca="false">IF(Time!BN20&lt;Time!$F$12,0,BM43+Financials!BN14-BN41)</f>
        <v>-44.3601393614542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1352.18557756713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14.7605174487002</v>
      </c>
      <c r="Q44" s="13" t="n">
        <f aca="false">Q34+Q35+Q41</f>
        <v>12.092976178054</v>
      </c>
      <c r="R44" s="13" t="n">
        <f aca="false">R34+R35+R41</f>
        <v>13.0091528602469</v>
      </c>
      <c r="S44" s="13" t="n">
        <f aca="false">S34+S35+S41</f>
        <v>12.1898848976554</v>
      </c>
      <c r="T44" s="13" t="n">
        <f aca="false">T34+T35+T41</f>
        <v>12.9607386211096</v>
      </c>
      <c r="U44" s="13" t="n">
        <f aca="false">U34+U35+U41</f>
        <v>11.9043261329072</v>
      </c>
      <c r="V44" s="13" t="n">
        <f aca="false">V34+V35+V41</f>
        <v>12.9512911973806</v>
      </c>
      <c r="W44" s="13" t="n">
        <f aca="false">W34+W35+W41</f>
        <v>13.6967188579408</v>
      </c>
      <c r="X44" s="13" t="n">
        <f aca="false">X34+X35+X41</f>
        <v>12.5884367533642</v>
      </c>
      <c r="Y44" s="13" t="n">
        <f aca="false">Y34+Y35+Y41</f>
        <v>11.761452965614</v>
      </c>
      <c r="Z44" s="13" t="n">
        <f aca="false">Z34+Z35+Z41</f>
        <v>12.3791402322538</v>
      </c>
      <c r="AA44" s="13" t="n">
        <f aca="false">AA34+AA35+AA41</f>
        <v>5.77143840957161</v>
      </c>
      <c r="AB44" s="13" t="n">
        <f aca="false">AB34+AB35+AB41</f>
        <v>6.72937260136007</v>
      </c>
      <c r="AC44" s="13" t="n">
        <f aca="false">AC34+AC35+AC41</f>
        <v>6.35608931155681</v>
      </c>
      <c r="AD44" s="13" t="n">
        <f aca="false">AD34+AD35+AD41</f>
        <v>7.90310879794556</v>
      </c>
      <c r="AE44" s="13" t="n">
        <f aca="false">AE34+AE35+AE41</f>
        <v>8.32006384432979</v>
      </c>
      <c r="AF44" s="13" t="n">
        <f aca="false">AF34+AF35+AF41</f>
        <v>9.05050483783319</v>
      </c>
      <c r="AG44" s="13" t="n">
        <f aca="false">AG34+AG35+AG41</f>
        <v>9.42958548490081</v>
      </c>
      <c r="AH44" s="13" t="n">
        <f aca="false">AH34+AH35+AH41</f>
        <v>10.772808297681</v>
      </c>
      <c r="AI44" s="13" t="n">
        <f aca="false">AI34+AI35+AI41</f>
        <v>11.5744355432492</v>
      </c>
      <c r="AJ44" s="13" t="n">
        <f aca="false">AJ34+AJ35+AJ41</f>
        <v>13.3493437872251</v>
      </c>
      <c r="AK44" s="13" t="n">
        <f aca="false">AK34+AK35+AK41</f>
        <v>27.3755760456152</v>
      </c>
      <c r="AL44" s="13" t="n">
        <f aca="false">AL34+AL35+AL41</f>
        <v>29.1807954549513</v>
      </c>
      <c r="AM44" s="13" t="n">
        <f aca="false">AM34+AM35+AM41</f>
        <v>32.5441084497092</v>
      </c>
      <c r="AN44" s="13" t="n">
        <f aca="false">AN34+AN35+AN41</f>
        <v>29.4837877825804</v>
      </c>
      <c r="AO44" s="13" t="n">
        <f aca="false">AO34+AO35+AO41</f>
        <v>40.9382282606265</v>
      </c>
      <c r="AP44" s="13" t="n">
        <f aca="false">AP34+AP35+AP41</f>
        <v>40.8479274029701</v>
      </c>
      <c r="AQ44" s="13" t="n">
        <f aca="false">AQ34+AQ35+AQ41</f>
        <v>40.136684461664</v>
      </c>
      <c r="AR44" s="13" t="n">
        <f aca="false">AR34+AR35+AR41</f>
        <v>40.7406580329047</v>
      </c>
      <c r="AS44" s="13" t="n">
        <f aca="false">AS34+AS35+AS41</f>
        <v>40.4481006596007</v>
      </c>
      <c r="AT44" s="13" t="n">
        <f aca="false">AT34+AT35+AT41</f>
        <v>46.8441976401825</v>
      </c>
      <c r="AU44" s="13" t="n">
        <f aca="false">AU34+AU35+AU41</f>
        <v>42.5883075904508</v>
      </c>
      <c r="AV44" s="13" t="n">
        <f aca="false">AV34+AV35+AV41</f>
        <v>42.8143247236077</v>
      </c>
      <c r="AW44" s="13" t="n">
        <f aca="false">AW34+AW35+AW41</f>
        <v>42.343187807146</v>
      </c>
      <c r="AX44" s="13" t="n">
        <f aca="false">AX34+AX35+AX41</f>
        <v>43.0855056864911</v>
      </c>
      <c r="AY44" s="13" t="n">
        <f aca="false">AY34+AY35+AY41</f>
        <v>42.698177643974</v>
      </c>
      <c r="AZ44" s="13" t="n">
        <f aca="false">AZ34+AZ35+AZ41</f>
        <v>43.3660064212279</v>
      </c>
      <c r="BA44" s="13" t="n">
        <f aca="false">BA34+BA35+BA41</f>
        <v>42.4872230639365</v>
      </c>
      <c r="BB44" s="13" t="n">
        <f aca="false">BB34+BB35+BB41</f>
        <v>42.9742178030138</v>
      </c>
      <c r="BC44" s="13" t="n">
        <f aca="false">BC34+BC35+BC41</f>
        <v>39.8852392992975</v>
      </c>
      <c r="BD44" s="13" t="n">
        <f aca="false">BD34+BD35+BD41</f>
        <v>33.9398474791138</v>
      </c>
      <c r="BE44" s="13" t="n">
        <f aca="false">BE34+BE35+BE41</f>
        <v>33.4579159499567</v>
      </c>
      <c r="BF44" s="13" t="n">
        <f aca="false">BF34+BF35+BF41</f>
        <v>34.041745588978</v>
      </c>
      <c r="BG44" s="13" t="n">
        <f aca="false">BG34+BG35+BG41</f>
        <v>33.6366108240525</v>
      </c>
      <c r="BH44" s="13" t="n">
        <f aca="false">BH34+BH35+BH41</f>
        <v>34.3975721010698</v>
      </c>
      <c r="BI44" s="13" t="n">
        <f aca="false">BI34+BI35+BI41</f>
        <v>34.1435642703747</v>
      </c>
      <c r="BJ44" s="13" t="n">
        <f aca="false">BJ34+BJ35+BJ41</f>
        <v>41.5645270780984</v>
      </c>
      <c r="BK44" s="13" t="n">
        <f aca="false">BK34+BK35+BK41</f>
        <v>36.519199934393</v>
      </c>
      <c r="BL44" s="13" t="n">
        <f aca="false">BL34+BL35+BL41</f>
        <v>37.3201952435865</v>
      </c>
      <c r="BM44" s="13" t="n">
        <f aca="false">BM34+BM35+BM41</f>
        <v>52.8307578066809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836.557013306481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5.57704675537654</v>
      </c>
      <c r="P8" s="13" t="n">
        <f aca="false">Funding!$F$76/Time!$F$9*Time!P30</f>
        <v>16.7311402661296</v>
      </c>
      <c r="Q8" s="13" t="n">
        <f aca="false">Funding!$F$76/Time!$F$9*Time!Q30</f>
        <v>16.7311402661296</v>
      </c>
      <c r="R8" s="13" t="n">
        <f aca="false">Funding!$F$76/Time!$F$9*Time!R30</f>
        <v>16.7311402661296</v>
      </c>
      <c r="S8" s="13" t="n">
        <f aca="false">Funding!$F$76/Time!$F$9*Time!S30</f>
        <v>16.7311402661296</v>
      </c>
      <c r="T8" s="13" t="n">
        <f aca="false">Funding!$F$76/Time!$F$9*Time!T30</f>
        <v>16.7311402661296</v>
      </c>
      <c r="U8" s="13" t="n">
        <f aca="false">Funding!$F$76/Time!$F$9*Time!U30</f>
        <v>16.7311402661296</v>
      </c>
      <c r="V8" s="13" t="n">
        <f aca="false">Funding!$F$76/Time!$F$9*Time!V30</f>
        <v>16.7311402661296</v>
      </c>
      <c r="W8" s="13" t="n">
        <f aca="false">Funding!$F$76/Time!$F$9*Time!W30</f>
        <v>16.7311402661296</v>
      </c>
      <c r="X8" s="13" t="n">
        <f aca="false">Funding!$F$76/Time!$F$9*Time!X30</f>
        <v>16.7311402661296</v>
      </c>
      <c r="Y8" s="13" t="n">
        <f aca="false">Funding!$F$76/Time!$F$9*Time!Y30</f>
        <v>16.7311402661296</v>
      </c>
      <c r="Z8" s="13" t="n">
        <f aca="false">Funding!$F$76/Time!$F$9*Time!Z30</f>
        <v>16.7311402661296</v>
      </c>
      <c r="AA8" s="13" t="n">
        <f aca="false">Funding!$F$76/Time!$F$9*Time!AA30</f>
        <v>16.7311402661296</v>
      </c>
      <c r="AB8" s="13" t="n">
        <f aca="false">Funding!$F$76/Time!$F$9*Time!AB30</f>
        <v>16.7311402661296</v>
      </c>
      <c r="AC8" s="13" t="n">
        <f aca="false">Funding!$F$76/Time!$F$9*Time!AC30</f>
        <v>16.7311402661296</v>
      </c>
      <c r="AD8" s="13" t="n">
        <f aca="false">Funding!$F$76/Time!$F$9*Time!AD30</f>
        <v>16.7311402661296</v>
      </c>
      <c r="AE8" s="13" t="n">
        <f aca="false">Funding!$F$76/Time!$F$9*Time!AE30</f>
        <v>16.7311402661296</v>
      </c>
      <c r="AF8" s="13" t="n">
        <f aca="false">Funding!$F$76/Time!$F$9*Time!AF30</f>
        <v>16.7311402661296</v>
      </c>
      <c r="AG8" s="13" t="n">
        <f aca="false">Funding!$F$76/Time!$F$9*Time!AG30</f>
        <v>16.7311402661296</v>
      </c>
      <c r="AH8" s="13" t="n">
        <f aca="false">Funding!$F$76/Time!$F$9*Time!AH30</f>
        <v>16.7311402661296</v>
      </c>
      <c r="AI8" s="13" t="n">
        <f aca="false">Funding!$F$76/Time!$F$9*Time!AI30</f>
        <v>16.7311402661296</v>
      </c>
      <c r="AJ8" s="13" t="n">
        <f aca="false">Funding!$F$76/Time!$F$9*Time!AJ30</f>
        <v>16.7311402661296</v>
      </c>
      <c r="AK8" s="13" t="n">
        <f aca="false">Funding!$F$76/Time!$F$9*Time!AK30</f>
        <v>16.7311402661296</v>
      </c>
      <c r="AL8" s="13" t="n">
        <f aca="false">Funding!$F$76/Time!$F$9*Time!AL30</f>
        <v>16.7311402661296</v>
      </c>
      <c r="AM8" s="13" t="n">
        <f aca="false">Funding!$F$76/Time!$F$9*Time!AM30</f>
        <v>16.7311402661296</v>
      </c>
      <c r="AN8" s="13" t="n">
        <f aca="false">Funding!$F$76/Time!$F$9*Time!AN30</f>
        <v>16.7311402661296</v>
      </c>
      <c r="AO8" s="13" t="n">
        <f aca="false">Funding!$F$76/Time!$F$9*Time!AO30</f>
        <v>16.7311402661296</v>
      </c>
      <c r="AP8" s="13" t="n">
        <f aca="false">Funding!$F$76/Time!$F$9*Time!AP30</f>
        <v>16.7311402661296</v>
      </c>
      <c r="AQ8" s="13" t="n">
        <f aca="false">Funding!$F$76/Time!$F$9*Time!AQ30</f>
        <v>16.7311402661296</v>
      </c>
      <c r="AR8" s="13" t="n">
        <f aca="false">Funding!$F$76/Time!$F$9*Time!AR30</f>
        <v>16.7311402661296</v>
      </c>
      <c r="AS8" s="13" t="n">
        <f aca="false">Funding!$F$76/Time!$F$9*Time!AS30</f>
        <v>16.7311402661296</v>
      </c>
      <c r="AT8" s="13" t="n">
        <f aca="false">Funding!$F$76/Time!$F$9*Time!AT30</f>
        <v>16.7311402661296</v>
      </c>
      <c r="AU8" s="13" t="n">
        <f aca="false">Funding!$F$76/Time!$F$9*Time!AU30</f>
        <v>16.7311402661296</v>
      </c>
      <c r="AV8" s="13" t="n">
        <f aca="false">Funding!$F$76/Time!$F$9*Time!AV30</f>
        <v>16.7311402661296</v>
      </c>
      <c r="AW8" s="13" t="n">
        <f aca="false">Funding!$F$76/Time!$F$9*Time!AW30</f>
        <v>16.7311402661296</v>
      </c>
      <c r="AX8" s="13" t="n">
        <f aca="false">Funding!$F$76/Time!$F$9*Time!AX30</f>
        <v>16.7311402661296</v>
      </c>
      <c r="AY8" s="13" t="n">
        <f aca="false">Funding!$F$76/Time!$F$9*Time!AY30</f>
        <v>16.7311402661296</v>
      </c>
      <c r="AZ8" s="13" t="n">
        <f aca="false">Funding!$F$76/Time!$F$9*Time!AZ30</f>
        <v>16.7311402661296</v>
      </c>
      <c r="BA8" s="13" t="n">
        <f aca="false">Funding!$F$76/Time!$F$9*Time!BA30</f>
        <v>16.7311402661296</v>
      </c>
      <c r="BB8" s="13" t="n">
        <f aca="false">Funding!$F$76/Time!$F$9*Time!BB30</f>
        <v>16.7311402661296</v>
      </c>
      <c r="BC8" s="13" t="n">
        <f aca="false">Funding!$F$76/Time!$F$9*Time!BC30</f>
        <v>16.7311402661296</v>
      </c>
      <c r="BD8" s="13" t="n">
        <f aca="false">Funding!$F$76/Time!$F$9*Time!BD30</f>
        <v>16.7311402661296</v>
      </c>
      <c r="BE8" s="13" t="n">
        <f aca="false">Funding!$F$76/Time!$F$9*Time!BE30</f>
        <v>16.7311402661296</v>
      </c>
      <c r="BF8" s="13" t="n">
        <f aca="false">Funding!$F$76/Time!$F$9*Time!BF30</f>
        <v>16.7311402661296</v>
      </c>
      <c r="BG8" s="13" t="n">
        <f aca="false">Funding!$F$76/Time!$F$9*Time!BG30</f>
        <v>16.7311402661296</v>
      </c>
      <c r="BH8" s="13" t="n">
        <f aca="false">Funding!$F$76/Time!$F$9*Time!BH30</f>
        <v>16.7311402661296</v>
      </c>
      <c r="BI8" s="13" t="n">
        <f aca="false">Funding!$F$76/Time!$F$9*Time!BI30</f>
        <v>16.7311402661296</v>
      </c>
      <c r="BJ8" s="13" t="n">
        <f aca="false">Funding!$F$76/Time!$F$9*Time!BJ30</f>
        <v>16.7311402661296</v>
      </c>
      <c r="BK8" s="13" t="n">
        <f aca="false">Funding!$F$76/Time!$F$9*Time!BK30</f>
        <v>16.7311402661296</v>
      </c>
      <c r="BL8" s="13" t="n">
        <f aca="false">Funding!$F$76/Time!$F$9*Time!BL30</f>
        <v>16.7311402661296</v>
      </c>
      <c r="BM8" s="13" t="n">
        <f aca="false">Funding!$F$76/Time!$F$9*Time!BM30</f>
        <v>11.1540935107531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517.41937370475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3.2012405440684</v>
      </c>
      <c r="P9" s="13" t="n">
        <f aca="false">Debt!P112+Debt!P110+Debt!P104-Debt!P103+Tax!P13</f>
        <v>31.5623670255459</v>
      </c>
      <c r="Q9" s="13" t="n">
        <f aca="false">Debt!Q112+Debt!Q110+Debt!Q104-Debt!Q103+Tax!Q13</f>
        <v>30.4248834138571</v>
      </c>
      <c r="R9" s="13" t="n">
        <f aca="false">Debt!R112+Debt!R110+Debt!R104-Debt!R103+Tax!R13</f>
        <v>30.1252752166713</v>
      </c>
      <c r="S9" s="13" t="n">
        <f aca="false">Debt!S112+Debt!S110+Debt!S104-Debt!S103+Tax!S13</f>
        <v>29.0128020486038</v>
      </c>
      <c r="T9" s="13" t="n">
        <f aca="false">Debt!T112+Debt!T110+Debt!T104-Debt!T103+Tax!T13</f>
        <v>28.632815794789</v>
      </c>
      <c r="U9" s="13" t="n">
        <f aca="false">Debt!U112+Debt!U110+Debt!U104-Debt!U103+Tax!U13</f>
        <v>27.5898236626659</v>
      </c>
      <c r="V9" s="13" t="n">
        <f aca="false">Debt!V112+Debt!V110+Debt!V104-Debt!V103+Tax!V13</f>
        <v>27.0281057383885</v>
      </c>
      <c r="W9" s="13" t="n">
        <f aca="false">Debt!W112+Debt!W110+Debt!W104-Debt!W103+Tax!W13</f>
        <v>25.8113870059578</v>
      </c>
      <c r="X9" s="13" t="n">
        <f aca="false">Debt!X112+Debt!X110+Debt!X104-Debt!X103+Tax!X13</f>
        <v>25.1779365121745</v>
      </c>
      <c r="Y9" s="13" t="n">
        <f aca="false">Debt!Y112+Debt!Y110+Debt!Y104-Debt!Y103+Tax!Y13</f>
        <v>24.4762336502654</v>
      </c>
      <c r="Z9" s="13" t="n">
        <f aca="false">Debt!Z112+Debt!Z110+Debt!Z104-Debt!Z103+Tax!Z13</f>
        <v>23.8976215713349</v>
      </c>
      <c r="AA9" s="13" t="n">
        <f aca="false">Debt!AA112+Debt!AA110+Debt!AA104-Debt!AA103+Tax!AA13</f>
        <v>22.6519093767539</v>
      </c>
      <c r="AB9" s="13" t="n">
        <f aca="false">Debt!AB112+Debt!AB110+Debt!AB104-Debt!AB103+Tax!AB13</f>
        <v>21.985169924884</v>
      </c>
      <c r="AC9" s="13" t="n">
        <f aca="false">Debt!AC112+Debt!AC110+Debt!AC104-Debt!AC103+Tax!AC13</f>
        <v>20.7451130560098</v>
      </c>
      <c r="AD9" s="13" t="n">
        <f aca="false">Debt!AD112+Debt!AD110+Debt!AD104-Debt!AD103+Tax!AD13</f>
        <v>19.890121624039</v>
      </c>
      <c r="AE9" s="13" t="n">
        <f aca="false">Debt!AE112+Debt!AE110+Debt!AE104-Debt!AE103+Tax!AE13</f>
        <v>18.4238520784461</v>
      </c>
      <c r="AF9" s="13" t="n">
        <f aca="false">Debt!AF112+Debt!AF110+Debt!AF104-Debt!AF103+Tax!AF13</f>
        <v>17.3852773985602</v>
      </c>
      <c r="AG9" s="13" t="n">
        <f aca="false">Debt!AG112+Debt!AG110+Debt!AG104-Debt!AG103+Tax!AG13</f>
        <v>16.0350779199848</v>
      </c>
      <c r="AH9" s="13" t="n">
        <f aca="false">Debt!AH112+Debt!AH110+Debt!AH104-Debt!AH103+Tax!AH13</f>
        <v>14.8449529054122</v>
      </c>
      <c r="AI9" s="13" t="n">
        <f aca="false">Debt!AI112+Debt!AI110+Debt!AI104-Debt!AI103+Tax!AI13</f>
        <v>13.1531316814283</v>
      </c>
      <c r="AJ9" s="13" t="n">
        <f aca="false">Debt!AJ112+Debt!AJ110+Debt!AJ104-Debt!AJ103+Tax!AJ13</f>
        <v>11.76865726458</v>
      </c>
      <c r="AK9" s="13" t="n">
        <f aca="false">Debt!AK112+Debt!AK110+Debt!AK104-Debt!AK103+Tax!AK13</f>
        <v>10.00213097499</v>
      </c>
      <c r="AL9" s="13" t="n">
        <f aca="false">Debt!AL112+Debt!AL110+Debt!AL104-Debt!AL103+Tax!AL13</f>
        <v>8.39788802037784</v>
      </c>
      <c r="AM9" s="13" t="n">
        <f aca="false">Debt!AM112+Debt!AM110+Debt!AM104-Debt!AM103+Tax!AM13</f>
        <v>6.62257441950554</v>
      </c>
      <c r="AN9" s="13" t="n">
        <f aca="false">Debt!AN112+Debt!AN110+Debt!AN104-Debt!AN103+Tax!AN13</f>
        <v>4.80002690772209</v>
      </c>
      <c r="AO9" s="13" t="n">
        <f aca="false">Debt!AO112+Debt!AO110+Debt!AO104-Debt!AO103+Tax!AO13</f>
        <v>3.03360574244426</v>
      </c>
      <c r="AP9" s="13" t="n">
        <f aca="false">Debt!AP112+Debt!AP110+Debt!AP104-Debt!AP103+Tax!AP13</f>
        <v>0.739392225289978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836.557013306481</v>
      </c>
      <c r="K10" s="13" t="n">
        <f aca="false">Funding!$F$76-SUM(Tax!$J$10:K$10)</f>
        <v>836.557013306481</v>
      </c>
      <c r="L10" s="13" t="n">
        <f aca="false">Funding!$F$76-SUM(Tax!$J$10:L$10)</f>
        <v>836.557013306481</v>
      </c>
      <c r="M10" s="13" t="n">
        <f aca="false">Funding!$F$76-SUM(Tax!$J$10:M$10)</f>
        <v>836.557013306481</v>
      </c>
      <c r="N10" s="13" t="n">
        <f aca="false">Funding!$F$76-SUM(Tax!$J$10:N$10)</f>
        <v>836.557013306481</v>
      </c>
      <c r="O10" s="13" t="n">
        <f aca="false">Funding!$F$76-SUM(Tax!$J$10:O$10)</f>
        <v>829.028000186722</v>
      </c>
      <c r="P10" s="13" t="n">
        <f aca="false">Funding!$F$76-SUM(Tax!$J$10:P$10)</f>
        <v>806.440960827447</v>
      </c>
      <c r="Q10" s="13" t="n">
        <f aca="false">Funding!$F$76-SUM(Tax!$J$10:Q$10)</f>
        <v>783.853921468172</v>
      </c>
      <c r="R10" s="13" t="n">
        <f aca="false">Funding!$F$76-SUM(Tax!$J$10:R$10)</f>
        <v>761.266882108897</v>
      </c>
      <c r="S10" s="13" t="n">
        <f aca="false">Funding!$F$76-SUM(Tax!$J$10:S$10)</f>
        <v>738.679842749622</v>
      </c>
      <c r="T10" s="13" t="n">
        <f aca="false">Funding!$F$76-SUM(Tax!$J$10:T$10)</f>
        <v>716.092803390347</v>
      </c>
      <c r="U10" s="13" t="n">
        <f aca="false">Funding!$F$76-SUM(Tax!$J$10:U$10)</f>
        <v>693.505764031072</v>
      </c>
      <c r="V10" s="13" t="n">
        <f aca="false">Funding!$F$76-SUM(Tax!$J$10:V$10)</f>
        <v>670.918724671798</v>
      </c>
      <c r="W10" s="13" t="n">
        <f aca="false">Funding!$F$76-SUM(Tax!$J$10:W$10)</f>
        <v>648.331685312523</v>
      </c>
      <c r="X10" s="13" t="n">
        <f aca="false">Funding!$F$76-SUM(Tax!$J$10:X$10)</f>
        <v>625.744645953248</v>
      </c>
      <c r="Y10" s="13" t="n">
        <f aca="false">Funding!$F$76-SUM(Tax!$J$10:Y$10)</f>
        <v>603.994163607279</v>
      </c>
      <c r="Z10" s="13" t="n">
        <f aca="false">Funding!$F$76-SUM(Tax!$J$10:Z$10)</f>
        <v>583.916795287923</v>
      </c>
      <c r="AA10" s="13" t="n">
        <f aca="false">Funding!$F$76-SUM(Tax!$J$10:AA$10)</f>
        <v>563.839426968568</v>
      </c>
      <c r="AB10" s="13" t="n">
        <f aca="false">Funding!$F$76-SUM(Tax!$J$10:AB$10)</f>
        <v>543.762058649212</v>
      </c>
      <c r="AC10" s="13" t="n">
        <f aca="false">Funding!$F$76-SUM(Tax!$J$10:AC$10)</f>
        <v>523.684690329857</v>
      </c>
      <c r="AD10" s="13" t="n">
        <f aca="false">Funding!$F$76-SUM(Tax!$J$10:AD$10)</f>
        <v>503.607322010501</v>
      </c>
      <c r="AE10" s="13" t="n">
        <f aca="false">Funding!$F$76-SUM(Tax!$J$10:AE$10)</f>
        <v>483.529953691146</v>
      </c>
      <c r="AF10" s="13" t="n">
        <f aca="false">Funding!$F$76-SUM(Tax!$J$10:AF$10)</f>
        <v>463.45258537179</v>
      </c>
      <c r="AG10" s="13" t="n">
        <f aca="false">Funding!$F$76-SUM(Tax!$J$10:AG$10)</f>
        <v>443.375217052435</v>
      </c>
      <c r="AH10" s="13" t="n">
        <f aca="false">Funding!$F$76-SUM(Tax!$J$10:AH$10)</f>
        <v>423.297848733079</v>
      </c>
      <c r="AI10" s="13" t="n">
        <f aca="false">Funding!$F$76-SUM(Tax!$J$10:AI$10)</f>
        <v>403.220480413724</v>
      </c>
      <c r="AJ10" s="13" t="n">
        <f aca="false">Funding!$F$76-SUM(Tax!$J$10:AJ$10)</f>
        <v>383.143112094368</v>
      </c>
      <c r="AK10" s="13" t="n">
        <f aca="false">Funding!$F$76-SUM(Tax!$J$10:AK$10)</f>
        <v>363.065743775013</v>
      </c>
      <c r="AL10" s="13" t="n">
        <f aca="false">Funding!$F$76-SUM(Tax!$J$10:AL$10)</f>
        <v>342.988375455657</v>
      </c>
      <c r="AM10" s="13" t="n">
        <f aca="false">Funding!$F$76-SUM(Tax!$J$10:AM$10)</f>
        <v>322.911007136301</v>
      </c>
      <c r="AN10" s="13" t="n">
        <f aca="false">Funding!$F$76-SUM(Tax!$J$10:AN$10)</f>
        <v>302.833638816946</v>
      </c>
      <c r="AO10" s="13" t="n">
        <f aca="false">Funding!$F$76-SUM(Tax!$J$10:AO$10)</f>
        <v>282.75627049759</v>
      </c>
      <c r="AP10" s="13" t="n">
        <f aca="false">Funding!$F$76-SUM(Tax!$J$10:AP$10)</f>
        <v>262.678902178235</v>
      </c>
      <c r="AQ10" s="13" t="n">
        <f aca="false">Funding!$F$76-SUM(Tax!$J$10:AQ$10)</f>
        <v>242.601533858879</v>
      </c>
      <c r="AR10" s="13" t="n">
        <f aca="false">Funding!$F$76-SUM(Tax!$J$10:AR$10)</f>
        <v>222.524165539524</v>
      </c>
      <c r="AS10" s="13" t="n">
        <f aca="false">Funding!$F$76-SUM(Tax!$J$10:AS$10)</f>
        <v>202.446797220168</v>
      </c>
      <c r="AT10" s="13" t="n">
        <f aca="false">Funding!$F$76-SUM(Tax!$J$10:AT$10)</f>
        <v>182.369428900813</v>
      </c>
      <c r="AU10" s="13" t="n">
        <f aca="false">Funding!$F$76-SUM(Tax!$J$10:AU$10)</f>
        <v>162.292060581457</v>
      </c>
      <c r="AV10" s="13" t="n">
        <f aca="false">Funding!$F$76-SUM(Tax!$J$10:AV$10)</f>
        <v>142.214692262102</v>
      </c>
      <c r="AW10" s="13" t="n">
        <f aca="false">Funding!$F$76-SUM(Tax!$J$10:AW$10)</f>
        <v>122.137323942746</v>
      </c>
      <c r="AX10" s="13" t="n">
        <f aca="false">Funding!$F$76-SUM(Tax!$J$10:AX$10)</f>
        <v>102.059955623391</v>
      </c>
      <c r="AY10" s="13" t="n">
        <f aca="false">Funding!$F$76-SUM(Tax!$J$10:AY$10)</f>
        <v>81.9825873040351</v>
      </c>
      <c r="AZ10" s="13" t="n">
        <f aca="false">Funding!$F$76-SUM(Tax!$J$10:AZ$10)</f>
        <v>61.9052189846796</v>
      </c>
      <c r="BA10" s="13" t="n">
        <f aca="false">Funding!$F$76-SUM(Tax!$J$10:BA$10)</f>
        <v>41.827850665324</v>
      </c>
      <c r="BB10" s="13" t="n">
        <f aca="false">Funding!$F$76-SUM(Tax!$J$10:BB$10)</f>
        <v>21.7504823459684</v>
      </c>
      <c r="BC10" s="13" t="n">
        <f aca="false">Funding!$F$76-SUM(Tax!$J$10:BC$10)</f>
        <v>8.08671779529584</v>
      </c>
      <c r="BD10" s="13" t="n">
        <f aca="false">Funding!$F$76-SUM(Tax!$J$10:BD$10)</f>
        <v>7.25016078198951</v>
      </c>
      <c r="BE10" s="13" t="n">
        <f aca="false">Funding!$F$76-SUM(Tax!$J$10:BE$10)</f>
        <v>6.41360376868295</v>
      </c>
      <c r="BF10" s="13" t="n">
        <f aca="false">Funding!$F$76-SUM(Tax!$J$10:BF$10)</f>
        <v>5.5770467553765</v>
      </c>
      <c r="BG10" s="13" t="n">
        <f aca="false">Funding!$F$76-SUM(Tax!$J$10:BG$10)</f>
        <v>4.74048974207005</v>
      </c>
      <c r="BH10" s="13" t="n">
        <f aca="false">Funding!$F$76-SUM(Tax!$J$10:BH$10)</f>
        <v>3.90393272876361</v>
      </c>
      <c r="BI10" s="13" t="n">
        <f aca="false">Funding!$F$76-SUM(Tax!$J$10:BI$10)</f>
        <v>3.06737571545705</v>
      </c>
      <c r="BJ10" s="13" t="n">
        <f aca="false">Funding!$F$76-SUM(Tax!$J$10:BJ$10)</f>
        <v>2.2308187021506</v>
      </c>
      <c r="BK10" s="13" t="n">
        <f aca="false">Funding!$F$76-SUM(Tax!$J$10:BK$10)</f>
        <v>1.39426168884415</v>
      </c>
      <c r="BL10" s="13" t="n">
        <f aca="false">Funding!$F$76-SUM(Tax!$J$10:BL$10)</f>
        <v>0.557704675537593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836.557013306481</v>
      </c>
      <c r="K11" s="13" t="n">
        <f aca="false">Funding!$F$76-SUM($J$8:K$8)</f>
        <v>836.557013306481</v>
      </c>
      <c r="L11" s="13" t="n">
        <f aca="false">Funding!$F$76-SUM($J$8:L$8)</f>
        <v>836.557013306481</v>
      </c>
      <c r="M11" s="13" t="n">
        <f aca="false">Funding!$F$76-SUM($J$8:M$8)</f>
        <v>836.557013306481</v>
      </c>
      <c r="N11" s="13" t="n">
        <f aca="false">Funding!$F$76-SUM($J$8:N$8)</f>
        <v>836.557013306481</v>
      </c>
      <c r="O11" s="13" t="n">
        <f aca="false">Funding!$F$76-SUM($J$8:O$8)</f>
        <v>830.979966551104</v>
      </c>
      <c r="P11" s="13" t="n">
        <f aca="false">Funding!$F$76-SUM($J$8:P$8)</f>
        <v>814.248826284975</v>
      </c>
      <c r="Q11" s="13" t="n">
        <f aca="false">Funding!$F$76-SUM($J$8:Q$8)</f>
        <v>797.517686018845</v>
      </c>
      <c r="R11" s="13" t="n">
        <f aca="false">Funding!$F$76-SUM($J$8:R$8)</f>
        <v>780.786545752715</v>
      </c>
      <c r="S11" s="13" t="n">
        <f aca="false">Funding!$F$76-SUM($J$8:S$8)</f>
        <v>764.055405486586</v>
      </c>
      <c r="T11" s="13" t="n">
        <f aca="false">Funding!$F$76-SUM($J$8:T$8)</f>
        <v>747.324265220456</v>
      </c>
      <c r="U11" s="13" t="n">
        <f aca="false">Funding!$F$76-SUM($J$8:U$8)</f>
        <v>730.593124954326</v>
      </c>
      <c r="V11" s="13" t="n">
        <f aca="false">Funding!$F$76-SUM($J$8:V$8)</f>
        <v>713.861984688197</v>
      </c>
      <c r="W11" s="13" t="n">
        <f aca="false">Funding!$F$76-SUM($J$8:W$8)</f>
        <v>697.130844422067</v>
      </c>
      <c r="X11" s="13" t="n">
        <f aca="false">Funding!$F$76-SUM($J$8:X$8)</f>
        <v>680.399704155938</v>
      </c>
      <c r="Y11" s="13" t="n">
        <f aca="false">Funding!$F$76-SUM($J$8:Y$8)</f>
        <v>663.668563889808</v>
      </c>
      <c r="Z11" s="13" t="n">
        <f aca="false">Funding!$F$76-SUM($J$8:Z$8)</f>
        <v>646.937423623678</v>
      </c>
      <c r="AA11" s="13" t="n">
        <f aca="false">Funding!$F$76-SUM($J$8:AA$8)</f>
        <v>630.206283357549</v>
      </c>
      <c r="AB11" s="13" t="n">
        <f aca="false">Funding!$F$76-SUM($J$8:AB$8)</f>
        <v>613.475143091419</v>
      </c>
      <c r="AC11" s="13" t="n">
        <f aca="false">Funding!$F$76-SUM($J$8:AC$8)</f>
        <v>596.74400282529</v>
      </c>
      <c r="AD11" s="13" t="n">
        <f aca="false">Funding!$F$76-SUM($J$8:AD$8)</f>
        <v>580.01286255916</v>
      </c>
      <c r="AE11" s="13" t="n">
        <f aca="false">Funding!$F$76-SUM($J$8:AE$8)</f>
        <v>563.28172229303</v>
      </c>
      <c r="AF11" s="13" t="n">
        <f aca="false">Funding!$F$76-SUM($J$8:AF$8)</f>
        <v>546.550582026901</v>
      </c>
      <c r="AG11" s="13" t="n">
        <f aca="false">Funding!$F$76-SUM($J$8:AG$8)</f>
        <v>529.819441760771</v>
      </c>
      <c r="AH11" s="13" t="n">
        <f aca="false">Funding!$F$76-SUM($J$8:AH$8)</f>
        <v>513.088301494641</v>
      </c>
      <c r="AI11" s="13" t="n">
        <f aca="false">Funding!$F$76-SUM($J$8:AI$8)</f>
        <v>496.357161228512</v>
      </c>
      <c r="AJ11" s="13" t="n">
        <f aca="false">Funding!$F$76-SUM($J$8:AJ$8)</f>
        <v>479.626020962382</v>
      </c>
      <c r="AK11" s="13" t="n">
        <f aca="false">Funding!$F$76-SUM($J$8:AK$8)</f>
        <v>462.894880696253</v>
      </c>
      <c r="AL11" s="13" t="n">
        <f aca="false">Funding!$F$76-SUM($J$8:AL$8)</f>
        <v>446.163740430123</v>
      </c>
      <c r="AM11" s="13" t="n">
        <f aca="false">Funding!$F$76-SUM($J$8:AM$8)</f>
        <v>429.432600163993</v>
      </c>
      <c r="AN11" s="13" t="n">
        <f aca="false">Funding!$F$76-SUM($J$8:AN$8)</f>
        <v>412.701459897864</v>
      </c>
      <c r="AO11" s="13" t="n">
        <f aca="false">Funding!$F$76-SUM($J$8:AO$8)</f>
        <v>395.970319631734</v>
      </c>
      <c r="AP11" s="13" t="n">
        <f aca="false">Funding!$F$76-SUM($J$8:AP$8)</f>
        <v>379.239179365604</v>
      </c>
      <c r="AQ11" s="13" t="n">
        <f aca="false">Funding!$F$76-SUM($J$8:AQ$8)</f>
        <v>362.508039099475</v>
      </c>
      <c r="AR11" s="13" t="n">
        <f aca="false">Funding!$F$76-SUM($J$8:AR$8)</f>
        <v>345.776898833345</v>
      </c>
      <c r="AS11" s="13" t="n">
        <f aca="false">Funding!$F$76-SUM($J$8:AS$8)</f>
        <v>329.045758567216</v>
      </c>
      <c r="AT11" s="13" t="n">
        <f aca="false">Funding!$F$76-SUM($J$8:AT$8)</f>
        <v>312.314618301086</v>
      </c>
      <c r="AU11" s="13" t="n">
        <f aca="false">Funding!$F$76-SUM($J$8:AU$8)</f>
        <v>295.583478034956</v>
      </c>
      <c r="AV11" s="13" t="n">
        <f aca="false">Funding!$F$76-SUM($J$8:AV$8)</f>
        <v>278.852337768827</v>
      </c>
      <c r="AW11" s="13" t="n">
        <f aca="false">Funding!$F$76-SUM($J$8:AW$8)</f>
        <v>262.121197502697</v>
      </c>
      <c r="AX11" s="13" t="n">
        <f aca="false">Funding!$F$76-SUM($J$8:AX$8)</f>
        <v>245.390057236568</v>
      </c>
      <c r="AY11" s="13" t="n">
        <f aca="false">Funding!$F$76-SUM($J$8:AY$8)</f>
        <v>228.658916970438</v>
      </c>
      <c r="AZ11" s="13" t="n">
        <f aca="false">Funding!$F$76-SUM($J$8:AZ$8)</f>
        <v>211.927776704308</v>
      </c>
      <c r="BA11" s="13" t="n">
        <f aca="false">Funding!$F$76-SUM($J$8:BA$8)</f>
        <v>195.196636438179</v>
      </c>
      <c r="BB11" s="13" t="n">
        <f aca="false">Funding!$F$76-SUM($J$8:BB$8)</f>
        <v>178.465496172049</v>
      </c>
      <c r="BC11" s="13" t="n">
        <f aca="false">Funding!$F$76-SUM($J$8:BC$8)</f>
        <v>161.73435590592</v>
      </c>
      <c r="BD11" s="13" t="n">
        <f aca="false">Funding!$F$76-SUM($J$8:BD$8)</f>
        <v>145.00321563979</v>
      </c>
      <c r="BE11" s="13" t="n">
        <f aca="false">Funding!$F$76-SUM($J$8:BE$8)</f>
        <v>128.27207537366</v>
      </c>
      <c r="BF11" s="13" t="n">
        <f aca="false">Funding!$F$76-SUM($J$8:BF$8)</f>
        <v>111.540935107531</v>
      </c>
      <c r="BG11" s="13" t="n">
        <f aca="false">Funding!$F$76-SUM($J$8:BG$8)</f>
        <v>94.8097948414011</v>
      </c>
      <c r="BH11" s="13" t="n">
        <f aca="false">Funding!$F$76-SUM($J$8:BH$8)</f>
        <v>78.0786545752715</v>
      </c>
      <c r="BI11" s="13" t="n">
        <f aca="false">Funding!$F$76-SUM($J$8:BI$8)</f>
        <v>61.3475143091418</v>
      </c>
      <c r="BJ11" s="13" t="n">
        <f aca="false">Funding!$F$76-SUM($J$8:BJ$8)</f>
        <v>44.6163740430122</v>
      </c>
      <c r="BK11" s="13" t="n">
        <f aca="false">Funding!$F$76-SUM($J$8:BK$8)</f>
        <v>27.8852337768826</v>
      </c>
      <c r="BL11" s="13" t="n">
        <f aca="false">Funding!$F$76-SUM($J$8:BL$8)</f>
        <v>11.154093510753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-1.67311402661294</v>
      </c>
      <c r="P12" s="13" t="n">
        <f aca="false">IF(Time!P20&gt;=Time!$F$12,Inputs!$F$184/100*(P11-P10-Tax!P21),0)</f>
        <v>-6.69245610645183</v>
      </c>
      <c r="Q12" s="13" t="n">
        <f aca="false">IF(Time!Q20&gt;=Time!$F$12,Inputs!$F$184/100*(Q11-Q10-Tax!Q21),0)</f>
        <v>-11.7117981862907</v>
      </c>
      <c r="R12" s="13" t="n">
        <f aca="false">IF(Time!R20&gt;=Time!$F$12,Inputs!$F$184/100*(R11-R10-Tax!R21),0)</f>
        <v>-16.7311402661296</v>
      </c>
      <c r="S12" s="13" t="n">
        <f aca="false">IF(Time!S20&gt;=Time!$F$12,Inputs!$F$184/100*(S11-S10-Tax!S21),0)</f>
        <v>-21.7504823459685</v>
      </c>
      <c r="T12" s="13" t="n">
        <f aca="false">IF(Time!T20&gt;=Time!$F$12,Inputs!$F$184/100*(T11-T10-Tax!T21),0)</f>
        <v>-26.7698244258074</v>
      </c>
      <c r="U12" s="13" t="n">
        <f aca="false">IF(Time!U20&gt;=Time!$F$12,Inputs!$F$184/100*(U11-U10-Tax!U21),0)</f>
        <v>-31.7891665056463</v>
      </c>
      <c r="V12" s="13" t="n">
        <f aca="false">IF(Time!V20&gt;=Time!$F$12,Inputs!$F$184/100*(V11-V10-Tax!V21),0)</f>
        <v>-36.8085085854852</v>
      </c>
      <c r="W12" s="13" t="n">
        <f aca="false">IF(Time!W20&gt;=Time!$F$12,Inputs!$F$184/100*(W11-W10-Tax!W21),0)</f>
        <v>-41.827850665324</v>
      </c>
      <c r="X12" s="13" t="n">
        <f aca="false">IF(Time!X20&gt;=Time!$F$12,Inputs!$F$184/100*(X11-X10-Tax!X21),0)</f>
        <v>-46.8471927451629</v>
      </c>
      <c r="Y12" s="13" t="n">
        <f aca="false">IF(Time!Y20&gt;=Time!$F$12,Inputs!$F$184/100*(Y11-Y10-Tax!Y21),0)</f>
        <v>-49.2149086302658</v>
      </c>
      <c r="Z12" s="13" t="n">
        <f aca="false">IF(Time!Z20&gt;=Time!$F$12,Inputs!$F$184/100*(Z11-Z10-Tax!Z21),0)</f>
        <v>-46.0864859902081</v>
      </c>
      <c r="AA12" s="13" t="n">
        <f aca="false">IF(Time!AA20&gt;=Time!$F$12,Inputs!$F$184/100*(AA11-AA10-Tax!AA21),0)</f>
        <v>-42.5598719827817</v>
      </c>
      <c r="AB12" s="13" t="n">
        <f aca="false">IF(Time!AB20&gt;=Time!$F$12,Inputs!$F$184/100*(AB11-AB10-Tax!AB21),0)</f>
        <v>-38.8091253365237</v>
      </c>
      <c r="AC12" s="13" t="n">
        <f aca="false">IF(Time!AC20&gt;=Time!$F$12,Inputs!$F$184/100*(AC11-AC10-Tax!AC21),0)</f>
        <v>-34.6328872151613</v>
      </c>
      <c r="AD12" s="13" t="n">
        <f aca="false">IF(Time!AD20&gt;=Time!$F$12,Inputs!$F$184/100*(AD11-AD10-Tax!AD21),0)</f>
        <v>-33.6290187991935</v>
      </c>
      <c r="AE12" s="13" t="n">
        <f aca="false">IF(Time!AE20&gt;=Time!$F$12,Inputs!$F$184/100*(AE11-AE10-Tax!AE21),0)</f>
        <v>-28.7913335222521</v>
      </c>
      <c r="AF12" s="13" t="n">
        <f aca="false">IF(Time!AF20&gt;=Time!$F$12,Inputs!$F$184/100*(AF11-AF10-Tax!AF21),0)</f>
        <v>-23.5698192946548</v>
      </c>
      <c r="AG12" s="13" t="n">
        <f aca="false">IF(Time!AG20&gt;=Time!$F$12,Inputs!$F$184/100*(AG11-AG10-Tax!AG21),0)</f>
        <v>-17.8949668574252</v>
      </c>
      <c r="AH12" s="13" t="n">
        <f aca="false">IF(Time!AH20&gt;=Time!$F$12,Inputs!$F$184/100*(AH11-AH10-Tax!AH21),0)</f>
        <v>-11.7925482731139</v>
      </c>
      <c r="AI12" s="13" t="n">
        <f aca="false">IF(Time!AI20&gt;=Time!$F$12,Inputs!$F$184/100*(AI11-AI10-Tax!AI21),0)</f>
        <v>-5.15515671159783</v>
      </c>
      <c r="AJ12" s="13" t="n">
        <f aca="false">IF(Time!AJ20&gt;=Time!$F$12,Inputs!$F$184/100*(AJ11-AJ10-Tax!AJ21),0)</f>
        <v>1.92364453331328</v>
      </c>
      <c r="AK12" s="13" t="n">
        <f aca="false">IF(Time!AK20&gt;=Time!$F$12,Inputs!$F$184/100*(AK11-AK10-Tax!AK21),0)</f>
        <v>9.57797645930254</v>
      </c>
      <c r="AL12" s="13" t="n">
        <f aca="false">IF(Time!AL20&gt;=Time!$F$12,Inputs!$F$184/100*(AL11-AL10-Tax!AL21),0)</f>
        <v>16.7562164783758</v>
      </c>
      <c r="AM12" s="13" t="n">
        <f aca="false">IF(Time!AM20&gt;=Time!$F$12,Inputs!$F$184/100*(AM11-AM10-Tax!AM21),0)</f>
        <v>25.4764817238721</v>
      </c>
      <c r="AN12" s="13" t="n">
        <f aca="false">IF(Time!AN20&gt;=Time!$F$12,Inputs!$F$184/100*(AN11-AN10-Tax!AN21),0)</f>
        <v>32.9603463242753</v>
      </c>
      <c r="AO12" s="13" t="n">
        <f aca="false">IF(Time!AO20&gt;=Time!$F$12,Inputs!$F$184/100*(AO11-AO10-Tax!AO21),0)</f>
        <v>33.9642147402431</v>
      </c>
      <c r="AP12" s="13" t="n">
        <f aca="false">IF(Time!AP20&gt;=Time!$F$12,Inputs!$F$184/100*(AP11-AP10-Tax!AP21),0)</f>
        <v>34.9680831562109</v>
      </c>
      <c r="AQ12" s="13" t="n">
        <f aca="false">IF(Time!AQ20&gt;=Time!$F$12,Inputs!$F$184/100*(AQ11-AQ10-Tax!AQ21),0)</f>
        <v>35.9719515721787</v>
      </c>
      <c r="AR12" s="13" t="n">
        <f aca="false">IF(Time!AR20&gt;=Time!$F$12,Inputs!$F$184/100*(AR11-AR10-Tax!AR21),0)</f>
        <v>36.9758199881464</v>
      </c>
      <c r="AS12" s="13" t="n">
        <f aca="false">IF(Time!AS20&gt;=Time!$F$12,Inputs!$F$184/100*(AS11-AS10-Tax!AS21),0)</f>
        <v>37.9796884041142</v>
      </c>
      <c r="AT12" s="13" t="n">
        <f aca="false">IF(Time!AT20&gt;=Time!$F$12,Inputs!$F$184/100*(AT11-AT10-Tax!AT21),0)</f>
        <v>38.983556820082</v>
      </c>
      <c r="AU12" s="13" t="n">
        <f aca="false">IF(Time!AU20&gt;=Time!$F$12,Inputs!$F$184/100*(AU11-AU10-Tax!AU21),0)</f>
        <v>39.9874252360498</v>
      </c>
      <c r="AV12" s="13" t="n">
        <f aca="false">IF(Time!AV20&gt;=Time!$F$12,Inputs!$F$184/100*(AV11-AV10-Tax!AV21),0)</f>
        <v>40.9912936520175</v>
      </c>
      <c r="AW12" s="13" t="n">
        <f aca="false">IF(Time!AW20&gt;=Time!$F$12,Inputs!$F$184/100*(AW11-AW10-Tax!AW21),0)</f>
        <v>41.9951620679853</v>
      </c>
      <c r="AX12" s="13" t="n">
        <f aca="false">IF(Time!AX20&gt;=Time!$F$12,Inputs!$F$184/100*(AX11-AX10-Tax!AX21),0)</f>
        <v>42.9990304839531</v>
      </c>
      <c r="AY12" s="13" t="n">
        <f aca="false">IF(Time!AY20&gt;=Time!$F$12,Inputs!$F$184/100*(AY11-AY10-Tax!AY21),0)</f>
        <v>44.0028988999209</v>
      </c>
      <c r="AZ12" s="13" t="n">
        <f aca="false">IF(Time!AZ20&gt;=Time!$F$12,Inputs!$F$184/100*(AZ11-AZ10-Tax!AZ21),0)</f>
        <v>45.0067673158886</v>
      </c>
      <c r="BA12" s="13" t="n">
        <f aca="false">IF(Time!BA20&gt;=Time!$F$12,Inputs!$F$184/100*(BA11-BA10-Tax!BA21),0)</f>
        <v>46.0106357318564</v>
      </c>
      <c r="BB12" s="13" t="n">
        <f aca="false">IF(Time!BB20&gt;=Time!$F$12,Inputs!$F$184/100*(BB11-BB10-Tax!BB21),0)</f>
        <v>47.0145041478242</v>
      </c>
      <c r="BC12" s="13" t="n">
        <f aca="false">IF(Time!BC20&gt;=Time!$F$12,Inputs!$F$184/100*(BC11-BC10-Tax!BC21),0)</f>
        <v>46.0942914331871</v>
      </c>
      <c r="BD12" s="13" t="n">
        <f aca="false">IF(Time!BD20&gt;=Time!$F$12,Inputs!$F$184/100*(BD11-BD10-Tax!BD21),0)</f>
        <v>41.3259164573401</v>
      </c>
      <c r="BE12" s="13" t="n">
        <f aca="false">IF(Time!BE20&gt;=Time!$F$12,Inputs!$F$184/100*(BE11-BE10-Tax!BE21),0)</f>
        <v>36.5575414814932</v>
      </c>
      <c r="BF12" s="13" t="n">
        <f aca="false">IF(Time!BF20&gt;=Time!$F$12,Inputs!$F$184/100*(BF11-BF10-Tax!BF21),0)</f>
        <v>31.7891665056463</v>
      </c>
      <c r="BG12" s="13" t="n">
        <f aca="false">IF(Time!BG20&gt;=Time!$F$12,Inputs!$F$184/100*(BG11-BG10-Tax!BG21),0)</f>
        <v>27.0207915297993</v>
      </c>
      <c r="BH12" s="13" t="n">
        <f aca="false">IF(Time!BH20&gt;=Time!$F$12,Inputs!$F$184/100*(BH11-BH10-Tax!BH21),0)</f>
        <v>22.2524165539524</v>
      </c>
      <c r="BI12" s="13" t="n">
        <f aca="false">IF(Time!BI20&gt;=Time!$F$12,Inputs!$F$184/100*(BI11-BI10-Tax!BI21),0)</f>
        <v>17.4840415781054</v>
      </c>
      <c r="BJ12" s="13" t="n">
        <f aca="false">IF(Time!BJ20&gt;=Time!$F$12,Inputs!$F$184/100*(BJ11-BJ10-Tax!BJ21),0)</f>
        <v>12.7156666022585</v>
      </c>
      <c r="BK12" s="13" t="n">
        <f aca="false">IF(Time!BK20&gt;=Time!$F$12,Inputs!$F$184/100*(BK11-BK10-Tax!BK21),0)</f>
        <v>7.94729162641154</v>
      </c>
      <c r="BL12" s="13" t="n">
        <f aca="false">IF(Time!BL20&gt;=Time!$F$12,Inputs!$F$184/100*(BL11-BL10-Tax!BL21),0)</f>
        <v>3.17891665056462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-1.67311402661294</v>
      </c>
      <c r="P13" s="13" t="n">
        <f aca="false">P12-O12</f>
        <v>-5.01934207983889</v>
      </c>
      <c r="Q13" s="13" t="n">
        <f aca="false">Q12-P12</f>
        <v>-5.01934207983889</v>
      </c>
      <c r="R13" s="13" t="n">
        <f aca="false">R12-Q12</f>
        <v>-5.01934207983889</v>
      </c>
      <c r="S13" s="13" t="n">
        <f aca="false">S12-R12</f>
        <v>-5.01934207983889</v>
      </c>
      <c r="T13" s="13" t="n">
        <f aca="false">T12-S12</f>
        <v>-5.01934207983889</v>
      </c>
      <c r="U13" s="13" t="n">
        <f aca="false">U12-T12</f>
        <v>-5.01934207983889</v>
      </c>
      <c r="V13" s="13" t="n">
        <f aca="false">V12-U12</f>
        <v>-5.01934207983889</v>
      </c>
      <c r="W13" s="13" t="n">
        <f aca="false">W12-V12</f>
        <v>-5.01934207983888</v>
      </c>
      <c r="X13" s="13" t="n">
        <f aca="false">X12-W12</f>
        <v>-5.01934207983889</v>
      </c>
      <c r="Y13" s="13" t="n">
        <f aca="false">Y12-X12</f>
        <v>-2.3677158851029</v>
      </c>
      <c r="Z13" s="13" t="n">
        <f aca="false">Z12-Y12</f>
        <v>3.12842264005769</v>
      </c>
      <c r="AA13" s="13" t="n">
        <f aca="false">AA12-Z12</f>
        <v>3.52661400742647</v>
      </c>
      <c r="AB13" s="13" t="n">
        <f aca="false">AB12-AA12</f>
        <v>3.75074664625794</v>
      </c>
      <c r="AC13" s="13" t="n">
        <f aca="false">AC12-AB12</f>
        <v>4.1762381213624</v>
      </c>
      <c r="AD13" s="13" t="n">
        <f aca="false">AD12-AC12</f>
        <v>1.00386841596777</v>
      </c>
      <c r="AE13" s="13" t="n">
        <f aca="false">AE12-AD12</f>
        <v>4.83768527694143</v>
      </c>
      <c r="AF13" s="13" t="n">
        <f aca="false">AF12-AE12</f>
        <v>5.22151422759737</v>
      </c>
      <c r="AG13" s="13" t="n">
        <f aca="false">AG12-AF12</f>
        <v>5.6748524372296</v>
      </c>
      <c r="AH13" s="13" t="n">
        <f aca="false">AH12-AG12</f>
        <v>6.10241858431121</v>
      </c>
      <c r="AI13" s="13" t="n">
        <f aca="false">AI12-AH12</f>
        <v>6.63739156151611</v>
      </c>
      <c r="AJ13" s="13" t="n">
        <f aca="false">AJ12-AI12</f>
        <v>7.07880124491111</v>
      </c>
      <c r="AK13" s="13" t="n">
        <f aca="false">AK12-AJ12</f>
        <v>7.65433192598927</v>
      </c>
      <c r="AL13" s="13" t="n">
        <f aca="false">AL12-AK12</f>
        <v>7.17824001907325</v>
      </c>
      <c r="AM13" s="13" t="n">
        <f aca="false">AM12-AL12</f>
        <v>8.7202652454963</v>
      </c>
      <c r="AN13" s="13" t="n">
        <f aca="false">AN12-AM12</f>
        <v>7.48386460040323</v>
      </c>
      <c r="AO13" s="13" t="n">
        <f aca="false">AO12-AN12</f>
        <v>1.00386841596777</v>
      </c>
      <c r="AP13" s="13" t="n">
        <f aca="false">AP12-AO12</f>
        <v>1.00386841596777</v>
      </c>
      <c r="AQ13" s="13" t="n">
        <f aca="false">AQ12-AP12</f>
        <v>1.0038684159678</v>
      </c>
      <c r="AR13" s="13" t="n">
        <f aca="false">AR12-AQ12</f>
        <v>1.00386841596777</v>
      </c>
      <c r="AS13" s="13" t="n">
        <f aca="false">AS12-AR12</f>
        <v>1.00386841596777</v>
      </c>
      <c r="AT13" s="13" t="n">
        <f aca="false">AT12-AS12</f>
        <v>1.00386841596775</v>
      </c>
      <c r="AU13" s="13" t="n">
        <f aca="false">AU12-AT12</f>
        <v>1.0038684159678</v>
      </c>
      <c r="AV13" s="13" t="n">
        <f aca="false">AV12-AU12</f>
        <v>1.00386841596777</v>
      </c>
      <c r="AW13" s="13" t="n">
        <f aca="false">AW12-AV12</f>
        <v>1.0038684159678</v>
      </c>
      <c r="AX13" s="13" t="n">
        <f aca="false">AX12-AW12</f>
        <v>1.00386841596777</v>
      </c>
      <c r="AY13" s="13" t="n">
        <f aca="false">AY12-AX12</f>
        <v>1.00386841596777</v>
      </c>
      <c r="AZ13" s="13" t="n">
        <f aca="false">AZ12-AY12</f>
        <v>1.00386841596777</v>
      </c>
      <c r="BA13" s="13" t="n">
        <f aca="false">BA12-AZ12</f>
        <v>1.00386841596777</v>
      </c>
      <c r="BB13" s="13" t="n">
        <f aca="false">BB12-BA12</f>
        <v>1.0038684159678</v>
      </c>
      <c r="BC13" s="13" t="n">
        <f aca="false">BC12-BB12</f>
        <v>-0.920212714637117</v>
      </c>
      <c r="BD13" s="13" t="n">
        <f aca="false">BD12-BC12</f>
        <v>-4.76837497584698</v>
      </c>
      <c r="BE13" s="13" t="n">
        <f aca="false">BE12-BD12</f>
        <v>-4.76837497584692</v>
      </c>
      <c r="BF13" s="13" t="n">
        <f aca="false">BF12-BE12</f>
        <v>-4.76837497584695</v>
      </c>
      <c r="BG13" s="13" t="n">
        <f aca="false">BG12-BF12</f>
        <v>-4.76837497584695</v>
      </c>
      <c r="BH13" s="13" t="n">
        <f aca="false">BH12-BG12</f>
        <v>-4.76837497584695</v>
      </c>
      <c r="BI13" s="13" t="n">
        <f aca="false">BI12-BH12</f>
        <v>-4.76837497584692</v>
      </c>
      <c r="BJ13" s="13" t="n">
        <f aca="false">BJ12-BI12</f>
        <v>-4.76837497584695</v>
      </c>
      <c r="BK13" s="13" t="n">
        <f aca="false">BK12-BJ12</f>
        <v>-4.76837497584695</v>
      </c>
      <c r="BL13" s="13" t="n">
        <f aca="false">BL12-BK12</f>
        <v>-4.76837497584692</v>
      </c>
      <c r="BM13" s="13" t="n">
        <f aca="false">BM12-BL12</f>
        <v>-3.17891665056462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902.572908793828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9.67646752076224</v>
      </c>
      <c r="P14" s="13" t="n">
        <f aca="false">Operations!P84-P8-P9-Tax!P27-P13</f>
        <v>7.05264960493845</v>
      </c>
      <c r="Q14" s="13" t="n">
        <f aca="false">Operations!Q84-Q8-Q9-Tax!Q27-Q13</f>
        <v>8.23133815969584</v>
      </c>
      <c r="R14" s="13" t="n">
        <f aca="false">Operations!R84-R8-R9-Tax!R27-R13</f>
        <v>8.69502792292643</v>
      </c>
      <c r="S14" s="13" t="n">
        <f aca="false">Operations!S84-S8-S9-Tax!S27-S13</f>
        <v>9.90098479983092</v>
      </c>
      <c r="T14" s="13" t="n">
        <f aca="false">Operations!T84-T8-T9-Tax!T27-T13</f>
        <v>10.3950577702617</v>
      </c>
      <c r="U14" s="13" t="n">
        <f aca="false">Operations!U84-U8-U9-Tax!U27-U13</f>
        <v>11.4980465672112</v>
      </c>
      <c r="V14" s="13" t="n">
        <f aca="false">Operations!V84-V8-V9-Tax!V27-V13</f>
        <v>9.60388649797611</v>
      </c>
      <c r="W14" s="13" t="n">
        <f aca="false">Operations!W84-W8-W9-Tax!W27-W13</f>
        <v>13.3711854004463</v>
      </c>
      <c r="X14" s="13" t="n">
        <f aca="false">Operations!X84-X8-X9-Tax!X27-X13</f>
        <v>14.030137413322</v>
      </c>
      <c r="Y14" s="13" t="n">
        <f aca="false">Operations!Y84-Y8-Y9-Tax!Y27-Y13</f>
        <v>12.0395742810385</v>
      </c>
      <c r="Z14" s="13" t="n">
        <f aca="false">Operations!Z84-Z8-Z9-Tax!Z27-Z13</f>
        <v>6.95879007351386</v>
      </c>
      <c r="AA14" s="13" t="n">
        <f aca="false">Operations!AA84-AA8-AA9-Tax!AA27-AA13</f>
        <v>7.88688531551311</v>
      </c>
      <c r="AB14" s="13" t="n">
        <f aca="false">Operations!AB84-AB8-AB9-Tax!AB27-AB13</f>
        <v>8.40882466510524</v>
      </c>
      <c r="AC14" s="13" t="n">
        <f aca="false">Operations!AC84-AC8-AC9-Tax!AC27-AC13</f>
        <v>9.40106329412043</v>
      </c>
      <c r="AD14" s="13" t="n">
        <f aca="false">Operations!AD84-AD8-AD9-Tax!AD27-AD13</f>
        <v>1.62598948291268</v>
      </c>
      <c r="AE14" s="13" t="n">
        <f aca="false">Operations!AE84-AE8-AE9-Tax!AE27-AE13</f>
        <v>11.3166962923711</v>
      </c>
      <c r="AF14" s="13" t="n">
        <f aca="false">Operations!AF84-AF8-AF9-Tax!AF27-AF13</f>
        <v>11.8361103841263</v>
      </c>
      <c r="AG14" s="13" t="n">
        <f aca="false">Operations!AG84-AG8-AG9-Tax!AG27-AG13</f>
        <v>12.8931258574676</v>
      </c>
      <c r="AH14" s="13" t="n">
        <f aca="false">Operations!AH84-AH8-AH9-Tax!AH27-AH13</f>
        <v>13.8903449021976</v>
      </c>
      <c r="AI14" s="13" t="n">
        <f aca="false">Operations!AI84-AI8-AI9-Tax!AI27-AI13</f>
        <v>15.137442499042</v>
      </c>
      <c r="AJ14" s="13" t="n">
        <f aca="false">Operations!AJ84-AJ8-AJ9-Tax!AJ27-AJ13</f>
        <v>16.1661892255715</v>
      </c>
      <c r="AK14" s="13" t="n">
        <f aca="false">Operations!AK84-AK8-AK9-Tax!AK27-AK13</f>
        <v>17.5081577797105</v>
      </c>
      <c r="AL14" s="13" t="n">
        <f aca="false">Operations!AL84-AL8-AL9-Tax!AL27-AL13</f>
        <v>16.3987260442905</v>
      </c>
      <c r="AM14" s="13" t="n">
        <f aca="false">Operations!AM84-AM8-AM9-Tax!AM27-AM13</f>
        <v>19.9927795795287</v>
      </c>
      <c r="AN14" s="13" t="n">
        <f aca="false">Operations!AN84-AN8-AN9-Tax!AN27-AN13</f>
        <v>21.4984446943403</v>
      </c>
      <c r="AO14" s="13" t="n">
        <f aca="false">Operations!AO84-AO8-AO9-Tax!AO27-AO13</f>
        <v>22.8174913168777</v>
      </c>
      <c r="AP14" s="13" t="n">
        <f aca="false">Operations!AP84-AP8-AP9-Tax!AP27-AP13</f>
        <v>24.5187821684177</v>
      </c>
      <c r="AQ14" s="13" t="n">
        <f aca="false">Operations!AQ84-AQ8-AQ9-Tax!AQ27-AQ13</f>
        <v>25.0454961789671</v>
      </c>
      <c r="AR14" s="13" t="n">
        <f aca="false">Operations!AR84-AR8-AR9-Tax!AR27-AR13</f>
        <v>25.1818144994035</v>
      </c>
      <c r="AS14" s="13" t="n">
        <f aca="false">Operations!AS84-AS8-AS9-Tax!AS27-AS13</f>
        <v>25.2553572242292</v>
      </c>
      <c r="AT14" s="13" t="n">
        <f aca="false">Operations!AT84-AT8-AT9-Tax!AT27-AT13</f>
        <v>14.4631451159959</v>
      </c>
      <c r="AU14" s="13" t="n">
        <f aca="false">Operations!AU84-AU8-AU9-Tax!AU27-AU13</f>
        <v>25.6163637332595</v>
      </c>
      <c r="AV14" s="13" t="n">
        <f aca="false">Operations!AV84-AV8-AV9-Tax!AV27-AV13</f>
        <v>25.4630270630918</v>
      </c>
      <c r="AW14" s="13" t="n">
        <f aca="false">Operations!AW84-AW8-AW9-Tax!AW27-AW13</f>
        <v>25.4804716943544</v>
      </c>
      <c r="AX14" s="13" t="n">
        <f aca="false">Operations!AX84-AX8-AX9-Tax!AX27-AX13</f>
        <v>25.7531539767482</v>
      </c>
      <c r="AY14" s="13" t="n">
        <f aca="false">Operations!AY84-AY8-AY9-Tax!AY27-AY13</f>
        <v>25.869562737749</v>
      </c>
      <c r="AZ14" s="13" t="n">
        <f aca="false">Operations!AZ84-AZ8-AZ9-Tax!AZ27-AZ13</f>
        <v>26.0215332899042</v>
      </c>
      <c r="BA14" s="13" t="n">
        <f aca="false">Operations!BA84-BA8-BA9-Tax!BA27-BA13</f>
        <v>26.0247755536462</v>
      </c>
      <c r="BB14" s="13" t="n">
        <f aca="false">Operations!BB84-BB8-BB9-Tax!BB27-BB13</f>
        <v>22.7570689403631</v>
      </c>
      <c r="BC14" s="13" t="n">
        <f aca="false">Operations!BC84-BC8-BC9-Tax!BC27-BC13</f>
        <v>26.2795189512289</v>
      </c>
      <c r="BD14" s="13" t="n">
        <f aca="false">Operations!BD84-BD8-BD9-Tax!BD27-BD13</f>
        <v>26.0814738798743</v>
      </c>
      <c r="BE14" s="13" t="n">
        <f aca="false">Operations!BE84-BE8-BE9-Tax!BE27-BE13</f>
        <v>26.1582008466657</v>
      </c>
      <c r="BF14" s="13" t="n">
        <f aca="false">Operations!BF84-BF8-BF9-Tax!BF27-BF13</f>
        <v>26.2253621195628</v>
      </c>
      <c r="BG14" s="13" t="n">
        <f aca="false">Operations!BG84-BG8-BG9-Tax!BG27-BG13</f>
        <v>26.3840291492053</v>
      </c>
      <c r="BH14" s="13" t="n">
        <f aca="false">Operations!BH84-BH8-BH9-Tax!BH27-BH13</f>
        <v>26.6418721643602</v>
      </c>
      <c r="BI14" s="13" t="n">
        <f aca="false">Operations!BI84-BI8-BI9-Tax!BI27-BI13</f>
        <v>26.8496982380199</v>
      </c>
      <c r="BJ14" s="13" t="n">
        <f aca="false">Operations!BJ84-BJ8-BJ9-Tax!BJ27-BJ13</f>
        <v>13.8401233311674</v>
      </c>
      <c r="BK14" s="13" t="n">
        <f aca="false">Operations!BK84-BK8-BK9-Tax!BK27-BK13</f>
        <v>27.0585529033822</v>
      </c>
      <c r="BL14" s="13" t="n">
        <f aca="false">Operations!BL84-BL8-BL9-Tax!BL27-BL13</f>
        <v>26.7938286723825</v>
      </c>
      <c r="BM14" s="13" t="n">
        <f aca="false">Operations!BM84-BM8-BM9-Tax!BM27-BM13</f>
        <v>4.57827901675063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139.105125995003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239.354788929133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433.465703520005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635.450504736506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752.979549947236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830.979966551104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814.248826284975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797.517686018845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780.786545752715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764.055405486586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747.324265220456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730.593124954326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713.861984688197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697.130844422067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680.399704155938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663.668563889808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646.937423623678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630.206283357549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613.475143091419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596.74400282529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580.01286255916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563.28172229303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546.550582026901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529.819441760771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513.088301494641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496.357161228512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479.626020962382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462.894880696253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446.163740430123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429.432600163993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412.701459897864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395.970319631734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379.239179365604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362.508039099475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345.776898833345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329.045758567216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312.314618301086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295.583478034956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278.852337768827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262.121197502697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245.390057236568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228.658916970438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211.927776704308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195.196636438179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178.465496172049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161.73435590592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145.00321563979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128.27207537366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111.540935107531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94.8097948414011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78.0786545752715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61.3475143091418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44.6163740430122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27.8852337768826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11.154093510753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39.1905511807631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37.5676790118294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38.4516293524086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38.5764854229944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39.410581103839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39.6463652770738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40.7797455073188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38.0175010594182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36.9212193316689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38.5376294352546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40.8112865251098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42.4870139098272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44.8901433896905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46.1156623890151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48.7305552139043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36.2162895324494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35.3356581282747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34.4375952893685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34.0407343322529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32.794462042589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31.711439672129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29.7300289279675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27.5294957046956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23.5657674487505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19.1291565524823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21.2509749875841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37.1133580533141</v>
      </c>
      <c r="P18" s="13" t="n">
        <f aca="false">Operations!P88+Operations!P89</f>
        <v>36.9652696854607</v>
      </c>
      <c r="Q18" s="13" t="n">
        <f aca="false">Operations!Q88+Operations!Q89</f>
        <v>37.5595194643871</v>
      </c>
      <c r="R18" s="13" t="n">
        <f aca="false">Operations!R88+Operations!R89</f>
        <v>36.2294647633348</v>
      </c>
      <c r="S18" s="13" t="n">
        <f aca="false">Operations!S88+Operations!S89</f>
        <v>37.1293314152734</v>
      </c>
      <c r="T18" s="13" t="n">
        <f aca="false">Operations!T88+Operations!T89</f>
        <v>36.6732814001141</v>
      </c>
      <c r="U18" s="13" t="n">
        <f aca="false">Operations!U88+Operations!U89</f>
        <v>37.3237478369938</v>
      </c>
      <c r="V18" s="13" t="n">
        <f aca="false">Operations!V88+Operations!V89</f>
        <v>37.1694253591913</v>
      </c>
      <c r="W18" s="13" t="n">
        <f aca="false">Operations!W88+Operations!W89</f>
        <v>38.1955740572814</v>
      </c>
      <c r="X18" s="13" t="n">
        <f aca="false">Operations!X88+Operations!X89</f>
        <v>37.8308470850519</v>
      </c>
      <c r="Y18" s="13" t="n">
        <f aca="false">Operations!Y88+Operations!Y89</f>
        <v>38.8888315170224</v>
      </c>
      <c r="Z18" s="13" t="n">
        <f aca="false">Operations!Z88+Operations!Z89</f>
        <v>38.3936064643153</v>
      </c>
      <c r="AA18" s="13" t="n">
        <f aca="false">Operations!AA88+Operations!AA89</f>
        <v>39.4486555170514</v>
      </c>
      <c r="AB18" s="13" t="n">
        <f aca="false">Operations!AB88+Operations!AB89</f>
        <v>38.9029452083569</v>
      </c>
      <c r="AC18" s="13" t="n">
        <f aca="false">Operations!AC88+Operations!AC89</f>
        <v>39.4703956187989</v>
      </c>
      <c r="AD18" s="13" t="n">
        <f aca="false">Operations!AD88+Operations!AD89</f>
        <v>39.0718192547789</v>
      </c>
      <c r="AE18" s="13" t="n">
        <f aca="false">Operations!AE88+Operations!AE89</f>
        <v>39.9380890260998</v>
      </c>
      <c r="AF18" s="13" t="n">
        <f aca="false">Operations!AF88+Operations!AF89</f>
        <v>40.070228111047</v>
      </c>
      <c r="AG18" s="13" t="n">
        <f aca="false">Operations!AG88+Operations!AG89</f>
        <v>40.9550937629923</v>
      </c>
      <c r="AH18" s="13" t="n">
        <f aca="false">Operations!AH88+Operations!AH89</f>
        <v>40.2502014128779</v>
      </c>
      <c r="AI18" s="13" t="n">
        <f aca="false">Operations!AI88+Operations!AI89</f>
        <v>41.0624161079986</v>
      </c>
      <c r="AJ18" s="13" t="n">
        <f aca="false">Operations!AJ88+Operations!AJ89</f>
        <v>40.8111885027047</v>
      </c>
      <c r="AK18" s="13" t="n">
        <f aca="false">Operations!AK88+Operations!AK89</f>
        <v>41.5011537844855</v>
      </c>
      <c r="AL18" s="13" t="n">
        <f aca="false">Operations!AL88+Operations!AL89</f>
        <v>41.2242596053979</v>
      </c>
      <c r="AM18" s="13" t="n">
        <f aca="false">Operations!AM88+Operations!AM89</f>
        <v>42.1909798702419</v>
      </c>
      <c r="AN18" s="13" t="n">
        <f aca="false">Operations!AN88+Operations!AN89</f>
        <v>42.3781680648791</v>
      </c>
      <c r="AO18" s="13" t="n">
        <f aca="false">Operations!AO88+Operations!AO89</f>
        <v>43.5130091852458</v>
      </c>
      <c r="AP18" s="13" t="n">
        <f aca="false">Operations!AP88+Operations!AP89</f>
        <v>42.8093486140721</v>
      </c>
      <c r="AQ18" s="13" t="n">
        <f aca="false">Operations!AQ88+Operations!AQ89</f>
        <v>44.2842227369787</v>
      </c>
      <c r="AR18" s="13" t="n">
        <f aca="false">Operations!AR88+Operations!AR89</f>
        <v>44.2117937770017</v>
      </c>
      <c r="AS18" s="13" t="n">
        <f aca="false">Operations!AS88+Operations!AS89</f>
        <v>44.4093960449072</v>
      </c>
      <c r="AT18" s="13" t="n">
        <f aca="false">Operations!AT88+Operations!AT89</f>
        <v>43.2423415842128</v>
      </c>
      <c r="AU18" s="13" t="n">
        <f aca="false">Operations!AU88+Operations!AU89</f>
        <v>44.632647906062</v>
      </c>
      <c r="AV18" s="13" t="n">
        <f aca="false">Operations!AV88+Operations!AV89</f>
        <v>45.3660321863704</v>
      </c>
      <c r="AW18" s="13" t="n">
        <f aca="false">Operations!AW88+Operations!AW89</f>
        <v>46.2549552105392</v>
      </c>
      <c r="AX18" s="13" t="n">
        <f aca="false">Operations!AX88+Operations!AX89</f>
        <v>45.0836101697039</v>
      </c>
      <c r="AY18" s="13" t="n">
        <f aca="false">Operations!AY88+Operations!AY89</f>
        <v>45.971186382693</v>
      </c>
      <c r="AZ18" s="13" t="n">
        <f aca="false">Operations!AZ88+Operations!AZ89</f>
        <v>45.7029324852692</v>
      </c>
      <c r="BA18" s="13" t="n">
        <f aca="false">Operations!BA88+Operations!BA89</f>
        <v>46.4377468038992</v>
      </c>
      <c r="BB18" s="13" t="n">
        <f aca="false">Operations!BB88+Operations!BB89</f>
        <v>45.9440469230239</v>
      </c>
      <c r="BC18" s="13" t="n">
        <f aca="false">Operations!BC88+Operations!BC89</f>
        <v>47.308327695073</v>
      </c>
      <c r="BD18" s="13" t="n">
        <f aca="false">Operations!BD88+Operations!BD89</f>
        <v>47.8624037638923</v>
      </c>
      <c r="BE18" s="13" t="n">
        <f aca="false">Operations!BE88+Operations!BE89</f>
        <v>49.1711489095972</v>
      </c>
      <c r="BF18" s="13" t="n">
        <f aca="false">Operations!BF88+Operations!BF89</f>
        <v>48.3765851085597</v>
      </c>
      <c r="BG18" s="13" t="n">
        <f aca="false">Operations!BG88+Operations!BG89</f>
        <v>49.4341933141535</v>
      </c>
      <c r="BH18" s="13" t="n">
        <f aca="false">Operations!BH88+Operations!BH89</f>
        <v>48.5240483235346</v>
      </c>
      <c r="BI18" s="13" t="n">
        <f aca="false">Operations!BI88+Operations!BI89</f>
        <v>49.3475977669285</v>
      </c>
      <c r="BJ18" s="13" t="n">
        <f aca="false">Operations!BJ88+Operations!BJ89</f>
        <v>48.6341713338139</v>
      </c>
      <c r="BK18" s="13" t="n">
        <f aca="false">Operations!BK88+Operations!BK89</f>
        <v>50.2003111247963</v>
      </c>
      <c r="BL18" s="13" t="n">
        <f aca="false">Operations!BL88+Operations!BL89</f>
        <v>50.7324690558643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1.67311402661294</v>
      </c>
      <c r="P20" s="13" t="n">
        <f aca="false">MAX(0,-P12)</f>
        <v>6.69245610645183</v>
      </c>
      <c r="Q20" s="13" t="n">
        <f aca="false">MAX(0,-Q12)</f>
        <v>11.7117981862907</v>
      </c>
      <c r="R20" s="13" t="n">
        <f aca="false">MAX(0,-R12)</f>
        <v>16.7311402661296</v>
      </c>
      <c r="S20" s="13" t="n">
        <f aca="false">MAX(0,-S12)</f>
        <v>21.7504823459685</v>
      </c>
      <c r="T20" s="13" t="n">
        <f aca="false">MAX(0,-T12)</f>
        <v>26.7698244258074</v>
      </c>
      <c r="U20" s="13" t="n">
        <f aca="false">MAX(0,-U12)</f>
        <v>31.7891665056463</v>
      </c>
      <c r="V20" s="13" t="n">
        <f aca="false">MAX(0,-V12)</f>
        <v>36.8085085854852</v>
      </c>
      <c r="W20" s="13" t="n">
        <f aca="false">MAX(0,-W12)</f>
        <v>41.827850665324</v>
      </c>
      <c r="X20" s="13" t="n">
        <f aca="false">MAX(0,-X12)</f>
        <v>46.8471927451629</v>
      </c>
      <c r="Y20" s="13" t="n">
        <f aca="false">MAX(0,-Y12)</f>
        <v>49.2149086302658</v>
      </c>
      <c r="Z20" s="13" t="n">
        <f aca="false">MAX(0,-Z12)</f>
        <v>46.0864859902081</v>
      </c>
      <c r="AA20" s="13" t="n">
        <f aca="false">MAX(0,-AA12)</f>
        <v>42.5598719827817</v>
      </c>
      <c r="AB20" s="13" t="n">
        <f aca="false">MAX(0,-AB12)</f>
        <v>38.8091253365237</v>
      </c>
      <c r="AC20" s="13" t="n">
        <f aca="false">MAX(0,-AC12)</f>
        <v>34.6328872151613</v>
      </c>
      <c r="AD20" s="13" t="n">
        <f aca="false">MAX(0,-AD12)</f>
        <v>33.6290187991935</v>
      </c>
      <c r="AE20" s="13" t="n">
        <f aca="false">MAX(0,-AE12)</f>
        <v>28.7913335222521</v>
      </c>
      <c r="AF20" s="13" t="n">
        <f aca="false">MAX(0,-AF12)</f>
        <v>23.5698192946548</v>
      </c>
      <c r="AG20" s="13" t="n">
        <f aca="false">MAX(0,-AG12)</f>
        <v>17.8949668574252</v>
      </c>
      <c r="AH20" s="13" t="n">
        <f aca="false">MAX(0,-AH12)</f>
        <v>11.7925482731139</v>
      </c>
      <c r="AI20" s="13" t="n">
        <f aca="false">MAX(0,-AI12)</f>
        <v>5.15515671159783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139.105125995003</v>
      </c>
      <c r="K21" s="13" t="n">
        <f aca="false">K16+K17+K18+K19+K20</f>
        <v>239.354788929133</v>
      </c>
      <c r="L21" s="13" t="n">
        <f aca="false">L16+L17+L18+L19+L20</f>
        <v>433.465703520005</v>
      </c>
      <c r="M21" s="13" t="n">
        <f aca="false">M16+M17+M18+M19+M20</f>
        <v>635.450504736506</v>
      </c>
      <c r="N21" s="13" t="n">
        <f aca="false">N16+N17+N18+N19+N20</f>
        <v>752.979549947236</v>
      </c>
      <c r="O21" s="13" t="n">
        <f aca="false">O16+O17+O18+O19+O20</f>
        <v>914.306989811794</v>
      </c>
      <c r="P21" s="13" t="n">
        <f aca="false">P16+P17+P18+P19+P20</f>
        <v>900.824231088717</v>
      </c>
      <c r="Q21" s="13" t="n">
        <f aca="false">Q16+Q17+Q18+Q19+Q20</f>
        <v>890.590633021931</v>
      </c>
      <c r="R21" s="13" t="n">
        <f aca="false">R16+R17+R18+R19+R20</f>
        <v>877.673636205174</v>
      </c>
      <c r="S21" s="13" t="n">
        <f aca="false">S16+S17+S18+S19+S20</f>
        <v>867.695800351667</v>
      </c>
      <c r="T21" s="13" t="n">
        <f aca="false">T16+T17+T18+T19+T20</f>
        <v>855.763736323451</v>
      </c>
      <c r="U21" s="13" t="n">
        <f aca="false">U16+U17+U18+U19+U20</f>
        <v>845.835784804285</v>
      </c>
      <c r="V21" s="13" t="n">
        <f aca="false">V16+V17+V18+V19+V20</f>
        <v>831.207419692292</v>
      </c>
      <c r="W21" s="13" t="n">
        <f aca="false">W16+W17+W18+W19+W20</f>
        <v>819.425488476342</v>
      </c>
      <c r="X21" s="13" t="n">
        <f aca="false">X16+X17+X18+X19+X20</f>
        <v>808.965373421407</v>
      </c>
      <c r="Y21" s="13" t="n">
        <f aca="false">Y16+Y17+Y18+Y19+Y20</f>
        <v>797.933590562206</v>
      </c>
      <c r="Z21" s="13" t="n">
        <f aca="false">Z16+Z17+Z18+Z19+Z20</f>
        <v>779.254529988029</v>
      </c>
      <c r="AA21" s="13" t="n">
        <f aca="false">AA16+AA17+AA18+AA19+AA20</f>
        <v>762.454954247072</v>
      </c>
      <c r="AB21" s="13" t="n">
        <f aca="false">AB16+AB17+AB18+AB19+AB20</f>
        <v>742.652876025315</v>
      </c>
      <c r="AC21" s="13" t="n">
        <f aca="false">AC16+AC17+AC18+AC19+AC20</f>
        <v>724.927840873154</v>
      </c>
      <c r="AD21" s="13" t="n">
        <f aca="false">AD16+AD17+AD18+AD19+AD20</f>
        <v>694.279990145582</v>
      </c>
      <c r="AE21" s="13" t="n">
        <f aca="false">AE16+AE17+AE18+AE19+AE20</f>
        <v>672.696802969657</v>
      </c>
      <c r="AF21" s="13" t="n">
        <f aca="false">AF16+AF17+AF18+AF19+AF20</f>
        <v>649.978224721971</v>
      </c>
      <c r="AG21" s="13" t="n">
        <f aca="false">AG16+AG17+AG18+AG19+AG20</f>
        <v>628.060236713441</v>
      </c>
      <c r="AH21" s="13" t="n">
        <f aca="false">AH16+AH17+AH18+AH19+AH20</f>
        <v>603.275513223222</v>
      </c>
      <c r="AI21" s="13" t="n">
        <f aca="false">AI16+AI17+AI18+AI19+AI20</f>
        <v>579.636173720237</v>
      </c>
      <c r="AJ21" s="13" t="n">
        <f aca="false">AJ16+AJ17+AJ18+AJ19+AJ20</f>
        <v>555.517238393054</v>
      </c>
      <c r="AK21" s="13" t="n">
        <f aca="false">AK16+AK17+AK18+AK19+AK20</f>
        <v>537.275530185434</v>
      </c>
      <c r="AL21" s="13" t="n">
        <f aca="false">AL16+AL17+AL18+AL19+AL20</f>
        <v>516.303767484271</v>
      </c>
      <c r="AM21" s="13" t="n">
        <f aca="false">AM16+AM17+AM18+AM19+AM20</f>
        <v>496.102736586717</v>
      </c>
      <c r="AN21" s="13" t="n">
        <f aca="false">AN16+AN17+AN18+AN19+AN20</f>
        <v>481.680602950327</v>
      </c>
      <c r="AO21" s="13" t="n">
        <f aca="false">AO16+AO17+AO18+AO19+AO20</f>
        <v>449.529106987954</v>
      </c>
      <c r="AP21" s="13" t="n">
        <f aca="false">AP16+AP17+AP18+AP19+AP20</f>
        <v>434.442195236137</v>
      </c>
      <c r="AQ21" s="13" t="n">
        <f aca="false">AQ16+AQ17+AQ18+AQ19+AQ20</f>
        <v>421.533818178401</v>
      </c>
      <c r="AR21" s="13" t="n">
        <f aca="false">AR16+AR17+AR18+AR19+AR20</f>
        <v>407.078138037782</v>
      </c>
      <c r="AS21" s="13" t="n">
        <f aca="false">AS16+AS17+AS18+AS19+AS20</f>
        <v>392.892489125045</v>
      </c>
      <c r="AT21" s="13" t="n">
        <f aca="false">AT16+AT17+AT18+AT19+AT20</f>
        <v>360.906959885299</v>
      </c>
      <c r="AU21" s="13" t="n">
        <f aca="false">AU16+AU17+AU18+AU19+AU20</f>
        <v>345.566125941018</v>
      </c>
      <c r="AV21" s="13" t="n">
        <f aca="false">AV16+AV17+AV18+AV19+AV20</f>
        <v>330.158010956121</v>
      </c>
      <c r="AW21" s="13" t="n">
        <f aca="false">AW16+AW17+AW18+AW19+AW20</f>
        <v>314.905434715083</v>
      </c>
      <c r="AX21" s="13" t="n">
        <f aca="false">AX16+AX17+AX18+AX19+AX20</f>
        <v>297.592590409042</v>
      </c>
      <c r="AY21" s="13" t="n">
        <f aca="false">AY16+AY17+AY18+AY19+AY20</f>
        <v>282.338667356825</v>
      </c>
      <c r="AZ21" s="13" t="n">
        <f aca="false">AZ16+AZ17+AZ18+AZ19+AZ20</f>
        <v>265.928914194195</v>
      </c>
      <c r="BA21" s="13" t="n">
        <f aca="false">BA16+BA17+BA18+BA19+BA20</f>
        <v>251.017197634227</v>
      </c>
      <c r="BB21" s="13" t="n">
        <f aca="false">BB16+BB17+BB18+BB19+BB20</f>
        <v>231.755661736326</v>
      </c>
      <c r="BC21" s="13" t="n">
        <f aca="false">BC16+BC17+BC18+BC19+BC20</f>
        <v>217.906375315588</v>
      </c>
      <c r="BD21" s="13" t="n">
        <f aca="false">BD16+BD17+BD18+BD19+BD20</f>
        <v>206.057862039637</v>
      </c>
      <c r="BE21" s="13" t="n">
        <f aca="false">BE16+BE17+BE18+BE19+BE20</f>
        <v>194.980801961281</v>
      </c>
      <c r="BF21" s="13" t="n">
        <f aca="false">BF16+BF17+BF18+BF19+BF20</f>
        <v>181.817400677799</v>
      </c>
      <c r="BG21" s="13" t="n">
        <f aca="false">BG16+BG17+BG18+BG19+BG20</f>
        <v>170.523324772313</v>
      </c>
      <c r="BH21" s="13" t="n">
        <f aca="false">BH16+BH17+BH18+BH19+BH20</f>
        <v>157.278836702546</v>
      </c>
      <c r="BI21" s="13" t="n">
        <f aca="false">BI16+BI17+BI18+BI19+BI20</f>
        <v>145.785573812327</v>
      </c>
      <c r="BJ21" s="13" t="n">
        <f aca="false">BJ16+BJ17+BJ18+BJ19+BJ20</f>
        <v>113.212430052442</v>
      </c>
      <c r="BK21" s="13" t="n">
        <f aca="false">BK16+BK17+BK18+BK19+BK20</f>
        <v>99.7030211052694</v>
      </c>
      <c r="BL21" s="13" t="n">
        <f aca="false">BL16+BL17+BL18+BL19+BL20</f>
        <v>85.1777427285783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102.394242754727</v>
      </c>
      <c r="K22" s="13" t="n">
        <f aca="false">IF(Time!K20&lt;Time!$F$12,SUMIFS(Funding!$J$73:$BJ$73,Construction!$J$12:$BJ$12,"&lt;="&amp;Time!K20),Debt!K116)</f>
        <v>175.349901515783</v>
      </c>
      <c r="L22" s="13" t="n">
        <f aca="false">IF(Time!L20&lt;Time!$F$12,SUMIFS(Funding!$J$73:$BJ$73,Construction!$J$12:$BJ$12,"&lt;="&amp;Time!L20),Debt!L116)</f>
        <v>316.677406297162</v>
      </c>
      <c r="M22" s="13" t="n">
        <f aca="false">IF(Time!M20&lt;Time!$F$12,SUMIFS(Funding!$J$73:$BJ$73,Construction!$J$12:$BJ$12,"&lt;="&amp;Time!M20),Debt!M116)</f>
        <v>462.24049270126</v>
      </c>
      <c r="N22" s="13" t="n">
        <f aca="false">IF(Time!N20&lt;Time!$F$12,SUMIFS(Funding!$J$73:$BJ$73,Construction!$J$12:$BJ$12,"&lt;="&amp;Time!N20),Debt!N116)</f>
        <v>543.77952962012</v>
      </c>
      <c r="O22" s="13" t="n">
        <f aca="false">IF(Time!O20&lt;Time!$F$12,SUMIFS(Funding!$J$73:$BJ$73,Construction!$J$12:$BJ$12,"&lt;="&amp;Time!O20),Debt!O116)</f>
        <v>633.161570316554</v>
      </c>
      <c r="P22" s="13" t="n">
        <f aca="false">IF(Time!P20&lt;Time!$F$12,SUMIFS(Funding!$J$73:$BJ$73,Construction!$J$12:$BJ$12,"&lt;="&amp;Time!P20),Debt!P116)</f>
        <v>617.674164708437</v>
      </c>
      <c r="Q22" s="13" t="n">
        <f aca="false">IF(Time!Q20&lt;Time!$F$12,SUMIFS(Funding!$J$73:$BJ$73,Construction!$J$12:$BJ$12,"&lt;="&amp;Time!Q20),Debt!Q116)</f>
        <v>601.531305300505</v>
      </c>
      <c r="R22" s="13" t="n">
        <f aca="false">IF(Time!R20&lt;Time!$F$12,SUMIFS(Funding!$J$73:$BJ$73,Construction!$J$12:$BJ$12,"&lt;="&amp;Time!R20),Debt!R116)</f>
        <v>584.593269438588</v>
      </c>
      <c r="S22" s="13" t="n">
        <f aca="false">IF(Time!S20&lt;Time!$F$12,SUMIFS(Funding!$J$73:$BJ$73,Construction!$J$12:$BJ$12,"&lt;="&amp;Time!S20),Debt!S116)</f>
        <v>567.156097061716</v>
      </c>
      <c r="T22" s="13" t="n">
        <f aca="false">IF(Time!T20&lt;Time!$F$12,SUMIFS(Funding!$J$73:$BJ$73,Construction!$J$12:$BJ$12,"&lt;="&amp;Time!T20),Debt!T116)</f>
        <v>548.9168210041</v>
      </c>
      <c r="U22" s="13" t="n">
        <f aca="false">IF(Time!U20&lt;Time!$F$12,SUMIFS(Funding!$J$73:$BJ$73,Construction!$J$12:$BJ$12,"&lt;="&amp;Time!U20),Debt!U116)</f>
        <v>530.095862324274</v>
      </c>
      <c r="V22" s="13" t="n">
        <f aca="false">IF(Time!V20&lt;Time!$F$12,SUMIFS(Funding!$J$73:$BJ$73,Construction!$J$12:$BJ$12,"&lt;="&amp;Time!V20),Debt!V116)</f>
        <v>510.04534371133</v>
      </c>
      <c r="W22" s="13" t="n">
        <f aca="false">IF(Time!W20&lt;Time!$F$12,SUMIFS(Funding!$J$73:$BJ$73,Construction!$J$12:$BJ$12,"&lt;="&amp;Time!W20),Debt!W116)</f>
        <v>489.381893050009</v>
      </c>
      <c r="X22" s="13" t="n">
        <f aca="false">IF(Time!X20&lt;Time!$F$12,SUMIFS(Funding!$J$73:$BJ$73,Construction!$J$12:$BJ$12,"&lt;="&amp;Time!X20),Debt!X116)</f>
        <v>469.292012941927</v>
      </c>
      <c r="Y22" s="13" t="n">
        <f aca="false">IF(Time!Y20&lt;Time!$F$12,SUMIFS(Funding!$J$73:$BJ$73,Construction!$J$12:$BJ$12,"&lt;="&amp;Time!Y20),Debt!Y116)</f>
        <v>449.192679551305</v>
      </c>
      <c r="Z22" s="13" t="n">
        <f aca="false">IF(Time!Z20&lt;Time!$F$12,SUMIFS(Funding!$J$73:$BJ$73,Construction!$J$12:$BJ$12,"&lt;="&amp;Time!Z20),Debt!Z116)</f>
        <v>428.260671882987</v>
      </c>
      <c r="AA22" s="13" t="n">
        <f aca="false">IF(Time!AA20&lt;Time!$F$12,SUMIFS(Funding!$J$73:$BJ$73,Construction!$J$12:$BJ$12,"&lt;="&amp;Time!AA20),Debt!AA116)</f>
        <v>400.946377342027</v>
      </c>
      <c r="AB22" s="13" t="n">
        <f aca="false">IF(Time!AB20&lt;Time!$F$12,SUMIFS(Funding!$J$73:$BJ$73,Construction!$J$12:$BJ$12,"&lt;="&amp;Time!AB20),Debt!AB116)</f>
        <v>371.965257640642</v>
      </c>
      <c r="AC22" s="13" t="n">
        <f aca="false">IF(Time!AC20&lt;Time!$F$12,SUMIFS(Funding!$J$73:$BJ$73,Construction!$J$12:$BJ$12,"&lt;="&amp;Time!AC20),Debt!AC116)</f>
        <v>343.028766304487</v>
      </c>
      <c r="AD22" s="13" t="n">
        <f aca="false">IF(Time!AD20&lt;Time!$F$12,SUMIFS(Funding!$J$73:$BJ$73,Construction!$J$12:$BJ$12,"&lt;="&amp;Time!AD20),Debt!AD116)</f>
        <v>310.918056633488</v>
      </c>
      <c r="AE22" s="13" t="n">
        <f aca="false">IF(Time!AE20&lt;Time!$F$12,SUMIFS(Funding!$J$73:$BJ$73,Construction!$J$12:$BJ$12,"&lt;="&amp;Time!AE20),Debt!AE116)</f>
        <v>277.975798444217</v>
      </c>
      <c r="AF22" s="13" t="n">
        <f aca="false">IF(Time!AF20&lt;Time!$F$12,SUMIFS(Funding!$J$73:$BJ$73,Construction!$J$12:$BJ$12,"&lt;="&amp;Time!AF20),Debt!AF116)</f>
        <v>244.179958653804</v>
      </c>
      <c r="AG22" s="13" t="n">
        <f aca="false">IF(Time!AG20&lt;Time!$F$12,SUMIFS(Funding!$J$73:$BJ$73,Construction!$J$12:$BJ$12,"&lt;="&amp;Time!AG20),Debt!AG116)</f>
        <v>210.444119452467</v>
      </c>
      <c r="AH22" s="13" t="n">
        <f aca="false">IF(Time!AH20&lt;Time!$F$12,SUMIFS(Funding!$J$73:$BJ$73,Construction!$J$12:$BJ$12,"&lt;="&amp;Time!AH20),Debt!AH116)</f>
        <v>175.239583536486</v>
      </c>
      <c r="AI22" s="13" t="n">
        <f aca="false">IF(Time!AI20&lt;Time!$F$12,SUMIFS(Funding!$J$73:$BJ$73,Construction!$J$12:$BJ$12,"&lt;="&amp;Time!AI20),Debt!AI116)</f>
        <v>139.972540215403</v>
      </c>
      <c r="AJ22" s="13" t="n">
        <f aca="false">IF(Time!AJ20&lt;Time!$F$12,SUMIFS(Funding!$J$73:$BJ$73,Construction!$J$12:$BJ$12,"&lt;="&amp;Time!AJ20),Debt!AJ116)</f>
        <v>103.683653145674</v>
      </c>
      <c r="AK22" s="13" t="n">
        <f aca="false">IF(Time!AK20&lt;Time!$F$12,SUMIFS(Funding!$J$73:$BJ$73,Construction!$J$12:$BJ$12,"&lt;="&amp;Time!AK20),Debt!AK116)</f>
        <v>80.0651297206127</v>
      </c>
      <c r="AL22" s="13" t="n">
        <f aca="false">IF(Time!AL20&lt;Time!$F$12,SUMIFS(Funding!$J$73:$BJ$73,Construction!$J$12:$BJ$12,"&lt;="&amp;Time!AL20),Debt!AL116)</f>
        <v>58.5279543579251</v>
      </c>
      <c r="AM22" s="13" t="n">
        <f aca="false">IF(Time!AM20&lt;Time!$F$12,SUMIFS(Funding!$J$73:$BJ$73,Construction!$J$12:$BJ$12,"&lt;="&amp;Time!AM20),Debt!AM116)</f>
        <v>36.5431295204635</v>
      </c>
      <c r="AN22" s="13" t="n">
        <f aca="false">IF(Time!AN20&lt;Time!$F$12,SUMIFS(Funding!$J$73:$BJ$73,Construction!$J$12:$BJ$12,"&lt;="&amp;Time!AN20),Debt!AN116)</f>
        <v>18.4059100180881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29.5370067901637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51.7196407513192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94.6014581369797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140.824830059525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171.102105281838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204.832439609637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199.881431871557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197.204787805918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193.63985327676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190.57226228895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186.738107626227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183.679540071011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179.524737532374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174.285355282294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170.043515817517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166.292743001169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161.877430570725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163.731971390369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164.843790186005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166.296328634218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166.357219355522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165.874175749051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164.767453355309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163.099994885325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160.138112370097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156.10771749042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150.234436447668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129.975445076519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107.019227100848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79.5167504593557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53.8410525343905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15.4392541321992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22.2763730033876</v>
      </c>
      <c r="P24" s="13" t="n">
        <f aca="false">Operations!P90+Operations!P91+Operations!P92+Operations!P93+Operations!P94</f>
        <v>22.1793780215679</v>
      </c>
      <c r="Q24" s="13" t="n">
        <f aca="false">Operations!Q90+Operations!Q91+Operations!Q92+Operations!Q93+Operations!Q94</f>
        <v>22.5339452686583</v>
      </c>
      <c r="R24" s="13" t="n">
        <f aca="false">Operations!R90+Operations!R91+Operations!R92+Operations!R93+Operations!R94</f>
        <v>21.4248909200492</v>
      </c>
      <c r="S24" s="13" t="n">
        <f aca="false">Operations!S90+Operations!S91+Operations!S92+Operations!S93+Operations!S94</f>
        <v>22.0508336313922</v>
      </c>
      <c r="T24" s="13" t="n">
        <f aca="false">Operations!T90+Operations!T91+Operations!T92+Operations!T93+Operations!T94</f>
        <v>21.7971425532553</v>
      </c>
      <c r="U24" s="13" t="n">
        <f aca="false">Operations!U90+Operations!U91+Operations!U92+Operations!U93+Operations!U94</f>
        <v>22.2506707019189</v>
      </c>
      <c r="V24" s="13" t="n">
        <f aca="false">Operations!V90+Operations!V91+Operations!V92+Operations!V93+Operations!V94</f>
        <v>22.2237402435309</v>
      </c>
      <c r="W24" s="13" t="n">
        <f aca="false">Operations!W90+Operations!W91+Operations!W92+Operations!W93+Operations!W94</f>
        <v>22.9734565385358</v>
      </c>
      <c r="X24" s="13" t="n">
        <f aca="false">Operations!X90+Operations!X91+Operations!X92+Operations!X93+Operations!X94</f>
        <v>22.8149236431379</v>
      </c>
      <c r="Y24" s="13" t="n">
        <f aca="false">Operations!Y90+Operations!Y91+Operations!Y92+Operations!Y93+Operations!Y94</f>
        <v>23.5936727098682</v>
      </c>
      <c r="Z24" s="13" t="n">
        <f aca="false">Operations!Z90+Operations!Z91+Operations!Z92+Operations!Z93+Operations!Z94</f>
        <v>23.303142160939</v>
      </c>
      <c r="AA24" s="13" t="n">
        <f aca="false">Operations!AA90+Operations!AA91+Operations!AA92+Operations!AA93+Operations!AA94</f>
        <v>24.0764348257853</v>
      </c>
      <c r="AB24" s="13" t="n">
        <f aca="false">Operations!AB90+Operations!AB91+Operations!AB92+Operations!AB93+Operations!AB94</f>
        <v>23.7348328446718</v>
      </c>
      <c r="AC24" s="13" t="n">
        <f aca="false">Operations!AC90+Operations!AC91+Operations!AC92+Operations!AC93+Operations!AC94</f>
        <v>24.0926872863323</v>
      </c>
      <c r="AD24" s="13" t="n">
        <f aca="false">Operations!AD90+Operations!AD91+Operations!AD92+Operations!AD93+Operations!AD94</f>
        <v>23.8686660255423</v>
      </c>
      <c r="AE24" s="13" t="n">
        <f aca="false">Operations!AE90+Operations!AE91+Operations!AE92+Operations!AE93+Operations!AE94</f>
        <v>24.3940843529888</v>
      </c>
      <c r="AF24" s="13" t="n">
        <f aca="false">Operations!AF90+Operations!AF91+Operations!AF92+Operations!AF93+Operations!AF94</f>
        <v>24.7419579053314</v>
      </c>
      <c r="AG24" s="13" t="n">
        <f aca="false">Operations!AG90+Operations!AG91+Operations!AG92+Operations!AG93+Operations!AG94</f>
        <v>25.334141710656</v>
      </c>
      <c r="AH24" s="13" t="n">
        <f aca="false">Operations!AH90+Operations!AH91+Operations!AH92+Operations!AH93+Operations!AH94</f>
        <v>24.8254917494476</v>
      </c>
      <c r="AI24" s="13" t="n">
        <f aca="false">Operations!AI90+Operations!AI91+Operations!AI92+Operations!AI93+Operations!AI94</f>
        <v>25.346147948181</v>
      </c>
      <c r="AJ24" s="13" t="n">
        <f aca="false">Operations!AJ90+Operations!AJ91+Operations!AJ92+Operations!AJ93+Operations!AJ94</f>
        <v>25.2995469745943</v>
      </c>
      <c r="AK24" s="13" t="n">
        <f aca="false">Operations!AK90+Operations!AK91+Operations!AK92+Operations!AK93+Operations!AK94</f>
        <v>25.7728638574842</v>
      </c>
      <c r="AL24" s="13" t="n">
        <f aca="false">Operations!AL90+Operations!AL91+Operations!AL92+Operations!AL93+Operations!AL94</f>
        <v>25.7175284313161</v>
      </c>
      <c r="AM24" s="13" t="n">
        <f aca="false">Operations!AM90+Operations!AM91+Operations!AM92+Operations!AM93+Operations!AM94</f>
        <v>26.2907541876914</v>
      </c>
      <c r="AN24" s="13" t="n">
        <f aca="false">Operations!AN90+Operations!AN91+Operations!AN92+Operations!AN93+Operations!AN94</f>
        <v>26.6992286838979</v>
      </c>
      <c r="AO24" s="13" t="n">
        <f aca="false">Operations!AO90+Operations!AO91+Operations!AO92+Operations!AO93+Operations!AO94</f>
        <v>27.5340814089588</v>
      </c>
      <c r="AP24" s="13" t="n">
        <f aca="false">Operations!AP90+Operations!AP91+Operations!AP92+Operations!AP93+Operations!AP94</f>
        <v>27.033054250437</v>
      </c>
      <c r="AQ24" s="13" t="n">
        <f aca="false">Operations!AQ90+Operations!AQ91+Operations!AQ92+Operations!AQ93+Operations!AQ94</f>
        <v>28.2119970594301</v>
      </c>
      <c r="AR24" s="13" t="n">
        <f aca="false">Operations!AR90+Operations!AR91+Operations!AR92+Operations!AR93+Operations!AR94</f>
        <v>28.3112920363439</v>
      </c>
      <c r="AS24" s="13" t="n">
        <f aca="false">Operations!AS90+Operations!AS91+Operations!AS92+Operations!AS93+Operations!AS94</f>
        <v>28.3145181430105</v>
      </c>
      <c r="AT24" s="13" t="n">
        <f aca="false">Operations!AT90+Operations!AT91+Operations!AT92+Operations!AT93+Operations!AT94</f>
        <v>27.7061730114837</v>
      </c>
      <c r="AU24" s="13" t="n">
        <f aca="false">Operations!AU90+Operations!AU91+Operations!AU92+Operations!AU93+Operations!AU94</f>
        <v>28.3334145084268</v>
      </c>
      <c r="AV24" s="13" t="n">
        <f aca="false">Operations!AV90+Operations!AV91+Operations!AV92+Operations!AV93+Operations!AV94</f>
        <v>29.2727287680771</v>
      </c>
      <c r="AW24" s="13" t="n">
        <f aca="false">Operations!AW90+Operations!AW91+Operations!AW92+Operations!AW93+Operations!AW94</f>
        <v>29.8790002238635</v>
      </c>
      <c r="AX24" s="13" t="n">
        <f aca="false">Operations!AX90+Operations!AX91+Operations!AX92+Operations!AX93+Operations!AX94</f>
        <v>28.8946392115972</v>
      </c>
      <c r="AY24" s="13" t="n">
        <f aca="false">Operations!AY90+Operations!AY91+Operations!AY92+Operations!AY93+Operations!AY94</f>
        <v>29.4654626496373</v>
      </c>
      <c r="AZ24" s="13" t="n">
        <f aca="false">Operations!AZ90+Operations!AZ91+Operations!AZ92+Operations!AZ93+Operations!AZ94</f>
        <v>29.3963142023631</v>
      </c>
      <c r="BA24" s="13" t="n">
        <f aca="false">Operations!BA90+Operations!BA91+Operations!BA92+Operations!BA93+Operations!BA94</f>
        <v>29.9431767367182</v>
      </c>
      <c r="BB24" s="13" t="n">
        <f aca="false">Operations!BB90+Operations!BB91+Operations!BB92+Operations!BB93+Operations!BB94</f>
        <v>29.8949212855002</v>
      </c>
      <c r="BC24" s="13" t="n">
        <f aca="false">Operations!BC90+Operations!BC91+Operations!BC92+Operations!BC93+Operations!BC94</f>
        <v>30.5715679274676</v>
      </c>
      <c r="BD24" s="13" t="n">
        <f aca="false">Operations!BD90+Operations!BD91+Operations!BD92+Operations!BD93+Operations!BD94</f>
        <v>31.3498032266033</v>
      </c>
      <c r="BE24" s="13" t="n">
        <f aca="false">Operations!BE90+Operations!BE91+Operations!BE92+Operations!BE93+Operations!BE94</f>
        <v>32.3408332273854</v>
      </c>
      <c r="BF24" s="13" t="n">
        <f aca="false">Operations!BF90+Operations!BF91+Operations!BF92+Operations!BF93+Operations!BF94</f>
        <v>31.7621903891655</v>
      </c>
      <c r="BG24" s="13" t="n">
        <f aca="false">Operations!BG90+Operations!BG91+Operations!BG92+Operations!BG93+Operations!BG94</f>
        <v>32.4890711343735</v>
      </c>
      <c r="BH24" s="13" t="n">
        <f aca="false">Operations!BH90+Operations!BH91+Operations!BH92+Operations!BH93+Operations!BH94</f>
        <v>31.768657977163</v>
      </c>
      <c r="BI24" s="13" t="n">
        <f aca="false">Operations!BI90+Operations!BI91+Operations!BI92+Operations!BI93+Operations!BI94</f>
        <v>32.3376360951454</v>
      </c>
      <c r="BJ24" s="13" t="n">
        <f aca="false">Operations!BJ90+Operations!BJ91+Operations!BJ92+Operations!BJ93+Operations!BJ94</f>
        <v>32.2572710580389</v>
      </c>
      <c r="BK24" s="13" t="n">
        <f aca="false">Operations!BK90+Operations!BK91+Operations!BK92+Operations!BK93+Operations!BK94</f>
        <v>32.9768841177237</v>
      </c>
      <c r="BL24" s="13" t="n">
        <f aca="false">Operations!BL90+Operations!BL91+Operations!BL92+Operations!BL93+Operations!BL94</f>
        <v>33.7463472880835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1.92364453331328</v>
      </c>
      <c r="AK25" s="13" t="n">
        <f aca="false">MAX(0,AK12)</f>
        <v>9.57797645930254</v>
      </c>
      <c r="AL25" s="13" t="n">
        <f aca="false">MAX(0,AL12)</f>
        <v>16.7562164783758</v>
      </c>
      <c r="AM25" s="13" t="n">
        <f aca="false">MAX(0,AM12)</f>
        <v>25.4764817238721</v>
      </c>
      <c r="AN25" s="13" t="n">
        <f aca="false">MAX(0,AN12)</f>
        <v>32.9603463242753</v>
      </c>
      <c r="AO25" s="13" t="n">
        <f aca="false">MAX(0,AO12)</f>
        <v>33.9642147402431</v>
      </c>
      <c r="AP25" s="13" t="n">
        <f aca="false">MAX(0,AP12)</f>
        <v>34.9680831562109</v>
      </c>
      <c r="AQ25" s="13" t="n">
        <f aca="false">MAX(0,AQ12)</f>
        <v>35.9719515721787</v>
      </c>
      <c r="AR25" s="13" t="n">
        <f aca="false">MAX(0,AR12)</f>
        <v>36.9758199881464</v>
      </c>
      <c r="AS25" s="13" t="n">
        <f aca="false">MAX(0,AS12)</f>
        <v>37.9796884041142</v>
      </c>
      <c r="AT25" s="13" t="n">
        <f aca="false">MAX(0,AT12)</f>
        <v>38.983556820082</v>
      </c>
      <c r="AU25" s="13" t="n">
        <f aca="false">MAX(0,AU12)</f>
        <v>39.9874252360498</v>
      </c>
      <c r="AV25" s="13" t="n">
        <f aca="false">MAX(0,AV12)</f>
        <v>40.9912936520175</v>
      </c>
      <c r="AW25" s="13" t="n">
        <f aca="false">MAX(0,AW12)</f>
        <v>41.9951620679853</v>
      </c>
      <c r="AX25" s="13" t="n">
        <f aca="false">MAX(0,AX12)</f>
        <v>42.9990304839531</v>
      </c>
      <c r="AY25" s="13" t="n">
        <f aca="false">MAX(0,AY12)</f>
        <v>44.0028988999209</v>
      </c>
      <c r="AZ25" s="13" t="n">
        <f aca="false">MAX(0,AZ12)</f>
        <v>45.0067673158886</v>
      </c>
      <c r="BA25" s="13" t="n">
        <f aca="false">MAX(0,BA12)</f>
        <v>46.0106357318564</v>
      </c>
      <c r="BB25" s="13" t="n">
        <f aca="false">MAX(0,BB12)</f>
        <v>47.0145041478242</v>
      </c>
      <c r="BC25" s="13" t="n">
        <f aca="false">MAX(0,BC12)</f>
        <v>46.0942914331871</v>
      </c>
      <c r="BD25" s="13" t="n">
        <f aca="false">MAX(0,BD12)</f>
        <v>41.3259164573401</v>
      </c>
      <c r="BE25" s="13" t="n">
        <f aca="false">MAX(0,BE12)</f>
        <v>36.5575414814932</v>
      </c>
      <c r="BF25" s="13" t="n">
        <f aca="false">MAX(0,BF12)</f>
        <v>31.7891665056463</v>
      </c>
      <c r="BG25" s="13" t="n">
        <f aca="false">MAX(0,BG12)</f>
        <v>27.0207915297993</v>
      </c>
      <c r="BH25" s="13" t="n">
        <f aca="false">MAX(0,BH12)</f>
        <v>22.2524165539524</v>
      </c>
      <c r="BI25" s="13" t="n">
        <f aca="false">MAX(0,BI12)</f>
        <v>17.4840415781054</v>
      </c>
      <c r="BJ25" s="13" t="n">
        <f aca="false">MAX(0,BJ12)</f>
        <v>12.7156666022585</v>
      </c>
      <c r="BK25" s="13" t="n">
        <f aca="false">MAX(0,BK12)</f>
        <v>7.94729162641154</v>
      </c>
      <c r="BL25" s="13" t="n">
        <f aca="false">MAX(0,BL12)</f>
        <v>3.17891665056462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7.17387645011261</v>
      </c>
      <c r="K26" s="13" t="n">
        <f aca="false">SUMIFS(Funding!$J$69:$BJ$69,Construction!$J$12:$BJ$12,"&lt;="&amp;Time!K20)</f>
        <v>12.2852466620305</v>
      </c>
      <c r="L26" s="13" t="n">
        <f aca="false">SUMIFS(Funding!$J$69:$BJ$69,Construction!$J$12:$BJ$12,"&lt;="&amp;Time!L20)</f>
        <v>22.1868390858634</v>
      </c>
      <c r="M26" s="13" t="n">
        <f aca="false">SUMIFS(Funding!$J$69:$BJ$69,Construction!$J$12:$BJ$12,"&lt;="&amp;Time!M20)</f>
        <v>32.3851819757214</v>
      </c>
      <c r="N26" s="13" t="n">
        <f aca="false">SUMIFS(Funding!$J$69:$BJ$69,Construction!$J$12:$BJ$12,"&lt;="&amp;Time!N20)</f>
        <v>38.0979150452774</v>
      </c>
      <c r="O26" s="13" t="n">
        <f aca="false">SUMIFS(Funding!$J$69:$BJ$69,Construction!$J$12:$BJ$12,"&lt;="&amp;Time!O20)</f>
        <v>44.3601393614542</v>
      </c>
      <c r="P26" s="13" t="n">
        <f aca="false">SUMIFS(Funding!$J$69:$BJ$69,Construction!$J$12:$BJ$12,"&lt;="&amp;Time!P20)</f>
        <v>44.3601393614542</v>
      </c>
      <c r="Q26" s="13" t="n">
        <f aca="false">SUMIFS(Funding!$J$69:$BJ$69,Construction!$J$12:$BJ$12,"&lt;="&amp;Time!Q20)</f>
        <v>44.3601393614542</v>
      </c>
      <c r="R26" s="13" t="n">
        <f aca="false">SUMIFS(Funding!$J$69:$BJ$69,Construction!$J$12:$BJ$12,"&lt;="&amp;Time!R20)</f>
        <v>44.3601393614542</v>
      </c>
      <c r="S26" s="13" t="n">
        <f aca="false">SUMIFS(Funding!$J$69:$BJ$69,Construction!$J$12:$BJ$12,"&lt;="&amp;Time!S20)</f>
        <v>44.3601393614542</v>
      </c>
      <c r="T26" s="13" t="n">
        <f aca="false">SUMIFS(Funding!$J$69:$BJ$69,Construction!$J$12:$BJ$12,"&lt;="&amp;Time!T20)</f>
        <v>44.3601393614542</v>
      </c>
      <c r="U26" s="13" t="n">
        <f aca="false">SUMIFS(Funding!$J$69:$BJ$69,Construction!$J$12:$BJ$12,"&lt;="&amp;Time!U20)</f>
        <v>44.3601393614542</v>
      </c>
      <c r="V26" s="13" t="n">
        <f aca="false">SUMIFS(Funding!$J$69:$BJ$69,Construction!$J$12:$BJ$12,"&lt;="&amp;Time!V20)</f>
        <v>44.3601393614542</v>
      </c>
      <c r="W26" s="13" t="n">
        <f aca="false">SUMIFS(Funding!$J$69:$BJ$69,Construction!$J$12:$BJ$12,"&lt;="&amp;Time!W20)</f>
        <v>44.3601393614542</v>
      </c>
      <c r="X26" s="13" t="n">
        <f aca="false">SUMIFS(Funding!$J$69:$BJ$69,Construction!$J$12:$BJ$12,"&lt;="&amp;Time!X20)</f>
        <v>44.3601393614542</v>
      </c>
      <c r="Y26" s="13" t="n">
        <f aca="false">SUMIFS(Funding!$J$69:$BJ$69,Construction!$J$12:$BJ$12,"&lt;="&amp;Time!Y20)</f>
        <v>44.3601393614542</v>
      </c>
      <c r="Z26" s="13" t="n">
        <f aca="false">SUMIFS(Funding!$J$69:$BJ$69,Construction!$J$12:$BJ$12,"&lt;="&amp;Time!Z20)</f>
        <v>44.3601393614542</v>
      </c>
      <c r="AA26" s="13" t="n">
        <f aca="false">SUMIFS(Funding!$J$69:$BJ$69,Construction!$J$12:$BJ$12,"&lt;="&amp;Time!AA20)</f>
        <v>44.3601393614542</v>
      </c>
      <c r="AB26" s="13" t="n">
        <f aca="false">SUMIFS(Funding!$J$69:$BJ$69,Construction!$J$12:$BJ$12,"&lt;="&amp;Time!AB20)</f>
        <v>44.3601393614542</v>
      </c>
      <c r="AC26" s="13" t="n">
        <f aca="false">SUMIFS(Funding!$J$69:$BJ$69,Construction!$J$12:$BJ$12,"&lt;="&amp;Time!AC20)</f>
        <v>44.3601393614542</v>
      </c>
      <c r="AD26" s="13" t="n">
        <f aca="false">SUMIFS(Funding!$J$69:$BJ$69,Construction!$J$12:$BJ$12,"&lt;="&amp;Time!AD20)</f>
        <v>44.3601393614542</v>
      </c>
      <c r="AE26" s="13" t="n">
        <f aca="false">SUMIFS(Funding!$J$69:$BJ$69,Construction!$J$12:$BJ$12,"&lt;="&amp;Time!AE20)</f>
        <v>44.3601393614542</v>
      </c>
      <c r="AF26" s="13" t="n">
        <f aca="false">SUMIFS(Funding!$J$69:$BJ$69,Construction!$J$12:$BJ$12,"&lt;="&amp;Time!AF20)</f>
        <v>44.3601393614542</v>
      </c>
      <c r="AG26" s="13" t="n">
        <f aca="false">SUMIFS(Funding!$J$69:$BJ$69,Construction!$J$12:$BJ$12,"&lt;="&amp;Time!AG20)</f>
        <v>44.3601393614542</v>
      </c>
      <c r="AH26" s="13" t="n">
        <f aca="false">SUMIFS(Funding!$J$69:$BJ$69,Construction!$J$12:$BJ$12,"&lt;="&amp;Time!AH20)</f>
        <v>44.3601393614542</v>
      </c>
      <c r="AI26" s="13" t="n">
        <f aca="false">SUMIFS(Funding!$J$69:$BJ$69,Construction!$J$12:$BJ$12,"&lt;="&amp;Time!AI20)</f>
        <v>44.3601393614542</v>
      </c>
      <c r="AJ26" s="13" t="n">
        <f aca="false">SUMIFS(Funding!$J$69:$BJ$69,Construction!$J$12:$BJ$12,"&lt;="&amp;Time!AJ20)</f>
        <v>44.3601393614542</v>
      </c>
      <c r="AK26" s="13" t="n">
        <f aca="false">SUMIFS(Funding!$J$69:$BJ$69,Construction!$J$12:$BJ$12,"&lt;="&amp;Time!AK20)</f>
        <v>44.3601393614542</v>
      </c>
      <c r="AL26" s="13" t="n">
        <f aca="false">SUMIFS(Funding!$J$69:$BJ$69,Construction!$J$12:$BJ$12,"&lt;="&amp;Time!AL20)</f>
        <v>44.3601393614542</v>
      </c>
      <c r="AM26" s="13" t="n">
        <f aca="false">SUMIFS(Funding!$J$69:$BJ$69,Construction!$J$12:$BJ$12,"&lt;="&amp;Time!AM20)</f>
        <v>44.3601393614542</v>
      </c>
      <c r="AN26" s="13" t="n">
        <f aca="false">SUMIFS(Funding!$J$69:$BJ$69,Construction!$J$12:$BJ$12,"&lt;="&amp;Time!AN20)</f>
        <v>44.3601393614542</v>
      </c>
      <c r="AO26" s="13" t="n">
        <f aca="false">SUMIFS(Funding!$J$69:$BJ$69,Construction!$J$12:$BJ$12,"&lt;="&amp;Time!AO20)</f>
        <v>44.3601393614542</v>
      </c>
      <c r="AP26" s="13" t="n">
        <f aca="false">SUMIFS(Funding!$J$69:$BJ$69,Construction!$J$12:$BJ$12,"&lt;="&amp;Time!AP20)</f>
        <v>44.3601393614542</v>
      </c>
      <c r="AQ26" s="13" t="n">
        <f aca="false">SUMIFS(Funding!$J$69:$BJ$69,Construction!$J$12:$BJ$12,"&lt;="&amp;Time!AQ20)</f>
        <v>44.3601393614542</v>
      </c>
      <c r="AR26" s="13" t="n">
        <f aca="false">SUMIFS(Funding!$J$69:$BJ$69,Construction!$J$12:$BJ$12,"&lt;="&amp;Time!AR20)</f>
        <v>44.3601393614542</v>
      </c>
      <c r="AS26" s="13" t="n">
        <f aca="false">SUMIFS(Funding!$J$69:$BJ$69,Construction!$J$12:$BJ$12,"&lt;="&amp;Time!AS20)</f>
        <v>44.3601393614542</v>
      </c>
      <c r="AT26" s="13" t="n">
        <f aca="false">SUMIFS(Funding!$J$69:$BJ$69,Construction!$J$12:$BJ$12,"&lt;="&amp;Time!AT20)</f>
        <v>44.3601393614542</v>
      </c>
      <c r="AU26" s="13" t="n">
        <f aca="false">SUMIFS(Funding!$J$69:$BJ$69,Construction!$J$12:$BJ$12,"&lt;="&amp;Time!AU20)</f>
        <v>44.3601393614542</v>
      </c>
      <c r="AV26" s="13" t="n">
        <f aca="false">SUMIFS(Funding!$J$69:$BJ$69,Construction!$J$12:$BJ$12,"&lt;="&amp;Time!AV20)</f>
        <v>44.3601393614542</v>
      </c>
      <c r="AW26" s="13" t="n">
        <f aca="false">SUMIFS(Funding!$J$69:$BJ$69,Construction!$J$12:$BJ$12,"&lt;="&amp;Time!AW20)</f>
        <v>44.3601393614542</v>
      </c>
      <c r="AX26" s="13" t="n">
        <f aca="false">SUMIFS(Funding!$J$69:$BJ$69,Construction!$J$12:$BJ$12,"&lt;="&amp;Time!AX20)</f>
        <v>44.3601393614542</v>
      </c>
      <c r="AY26" s="13" t="n">
        <f aca="false">SUMIFS(Funding!$J$69:$BJ$69,Construction!$J$12:$BJ$12,"&lt;="&amp;Time!AY20)</f>
        <v>44.3601393614542</v>
      </c>
      <c r="AZ26" s="13" t="n">
        <f aca="false">SUMIFS(Funding!$J$69:$BJ$69,Construction!$J$12:$BJ$12,"&lt;="&amp;Time!AZ20)</f>
        <v>44.3601393614542</v>
      </c>
      <c r="BA26" s="13" t="n">
        <f aca="false">SUMIFS(Funding!$J$69:$BJ$69,Construction!$J$12:$BJ$12,"&lt;="&amp;Time!BA20)</f>
        <v>44.3601393614542</v>
      </c>
      <c r="BB26" s="13" t="n">
        <f aca="false">SUMIFS(Funding!$J$69:$BJ$69,Construction!$J$12:$BJ$12,"&lt;="&amp;Time!BB20)</f>
        <v>44.3601393614542</v>
      </c>
      <c r="BC26" s="13" t="n">
        <f aca="false">SUMIFS(Funding!$J$69:$BJ$69,Construction!$J$12:$BJ$12,"&lt;="&amp;Time!BC20)</f>
        <v>44.3601393614542</v>
      </c>
      <c r="BD26" s="13" t="n">
        <f aca="false">SUMIFS(Funding!$J$69:$BJ$69,Construction!$J$12:$BJ$12,"&lt;="&amp;Time!BD20)</f>
        <v>44.3601393614542</v>
      </c>
      <c r="BE26" s="13" t="n">
        <f aca="false">SUMIFS(Funding!$J$69:$BJ$69,Construction!$J$12:$BJ$12,"&lt;="&amp;Time!BE20)</f>
        <v>44.3601393614542</v>
      </c>
      <c r="BF26" s="13" t="n">
        <f aca="false">SUMIFS(Funding!$J$69:$BJ$69,Construction!$J$12:$BJ$12,"&lt;="&amp;Time!BF20)</f>
        <v>44.3601393614542</v>
      </c>
      <c r="BG26" s="13" t="n">
        <f aca="false">SUMIFS(Funding!$J$69:$BJ$69,Construction!$J$12:$BJ$12,"&lt;="&amp;Time!BG20)</f>
        <v>44.3601393614542</v>
      </c>
      <c r="BH26" s="13" t="n">
        <f aca="false">SUMIFS(Funding!$J$69:$BJ$69,Construction!$J$12:$BJ$12,"&lt;="&amp;Time!BH20)</f>
        <v>44.3601393614542</v>
      </c>
      <c r="BI26" s="13" t="n">
        <f aca="false">SUMIFS(Funding!$J$69:$BJ$69,Construction!$J$12:$BJ$12,"&lt;="&amp;Time!BI20)</f>
        <v>44.3601393614542</v>
      </c>
      <c r="BJ26" s="13" t="n">
        <f aca="false">SUMIFS(Funding!$J$69:$BJ$69,Construction!$J$12:$BJ$12,"&lt;="&amp;Time!BJ20)</f>
        <v>44.3601393614542</v>
      </c>
      <c r="BK26" s="13" t="n">
        <f aca="false">SUMIFS(Funding!$J$69:$BJ$69,Construction!$J$12:$BJ$12,"&lt;="&amp;Time!BK20)</f>
        <v>44.3601393614542</v>
      </c>
      <c r="BL26" s="13" t="n">
        <f aca="false">SUMIFS(Funding!$J$69:$BJ$69,Construction!$J$12:$BJ$12,"&lt;="&amp;Time!BL20)</f>
        <v>44.3601393614542</v>
      </c>
      <c r="BM26" s="13" t="n">
        <f aca="false">SUMIFS(Funding!$J$69:$BJ$69,Construction!$J$12:$BJ$12,"&lt;="&amp;Time!BM20)</f>
        <v>44.3601393614542</v>
      </c>
      <c r="BN26" s="13" t="n">
        <f aca="false">SUMIFS(Funding!$J$69:$BJ$69,Construction!$J$12:$BJ$12,"&lt;="&amp;Time!BN20)</f>
        <v>44.3601393614542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9.67646752076224</v>
      </c>
      <c r="P27" s="18" t="n">
        <f aca="false">Waterfall!P43</f>
        <v>16.7291171257007</v>
      </c>
      <c r="Q27" s="18" t="n">
        <f aca="false">Waterfall!Q43</f>
        <v>24.9604552853965</v>
      </c>
      <c r="R27" s="18" t="n">
        <f aca="false">Waterfall!R43</f>
        <v>33.655483208323</v>
      </c>
      <c r="S27" s="18" t="n">
        <f aca="false">Waterfall!S43</f>
        <v>43.5564680081539</v>
      </c>
      <c r="T27" s="18" t="n">
        <f aca="false">Waterfall!T43</f>
        <v>53.9515257784156</v>
      </c>
      <c r="U27" s="18" t="n">
        <f aca="false">Waterfall!U43</f>
        <v>65.4495723456269</v>
      </c>
      <c r="V27" s="18" t="n">
        <f aca="false">Waterfall!V43</f>
        <v>75.053458843603</v>
      </c>
      <c r="W27" s="18" t="n">
        <f aca="false">Waterfall!W43</f>
        <v>88.4246442440493</v>
      </c>
      <c r="X27" s="18" t="n">
        <f aca="false">Waterfall!X43</f>
        <v>102.454781657371</v>
      </c>
      <c r="Y27" s="18" t="n">
        <f aca="false">Waterfall!Y43</f>
        <v>114.49435593841</v>
      </c>
      <c r="Z27" s="18" t="n">
        <f aca="false">Waterfall!Z43</f>
        <v>121.453146011924</v>
      </c>
      <c r="AA27" s="18" t="n">
        <f aca="false">Waterfall!AA43</f>
        <v>129.340031327437</v>
      </c>
      <c r="AB27" s="18" t="n">
        <f aca="false">Waterfall!AB43</f>
        <v>137.748855992542</v>
      </c>
      <c r="AC27" s="18" t="n">
        <f aca="false">Waterfall!AC43</f>
        <v>147.149919286662</v>
      </c>
      <c r="AD27" s="18" t="n">
        <f aca="false">Waterfall!AD43</f>
        <v>148.775908769575</v>
      </c>
      <c r="AE27" s="18" t="n">
        <f aca="false">Waterfall!AE43</f>
        <v>160.092605061946</v>
      </c>
      <c r="AF27" s="18" t="n">
        <f aca="false">Waterfall!AF43</f>
        <v>171.928715446072</v>
      </c>
      <c r="AG27" s="18" t="n">
        <f aca="false">Waterfall!AG43</f>
        <v>184.82184130354</v>
      </c>
      <c r="AH27" s="18" t="n">
        <f aca="false">Waterfall!AH43</f>
        <v>198.712186205738</v>
      </c>
      <c r="AI27" s="18" t="n">
        <f aca="false">Waterfall!AI43</f>
        <v>213.84962870478</v>
      </c>
      <c r="AJ27" s="18" t="n">
        <f aca="false">Waterfall!AJ43</f>
        <v>230.015817930351</v>
      </c>
      <c r="AK27" s="18" t="n">
        <f aca="false">Waterfall!AK43</f>
        <v>247.523975710062</v>
      </c>
      <c r="AL27" s="18" t="n">
        <f aca="false">Waterfall!AL43</f>
        <v>263.922701754352</v>
      </c>
      <c r="AM27" s="18" t="n">
        <f aca="false">Waterfall!AM43</f>
        <v>283.915481333881</v>
      </c>
      <c r="AN27" s="18" t="n">
        <f aca="false">Waterfall!AN43</f>
        <v>305.413926028221</v>
      </c>
      <c r="AO27" s="18" t="n">
        <f aca="false">Waterfall!AO43</f>
        <v>328.231417345099</v>
      </c>
      <c r="AP27" s="18" t="n">
        <f aca="false">Waterfall!AP43</f>
        <v>328.080918468035</v>
      </c>
      <c r="AQ27" s="18" t="n">
        <f aca="false">Waterfall!AQ43</f>
        <v>312.989730185339</v>
      </c>
      <c r="AR27" s="18" t="n">
        <f aca="false">Waterfall!AR43</f>
        <v>297.430886651837</v>
      </c>
      <c r="AS27" s="18" t="n">
        <f aca="false">Waterfall!AS43</f>
        <v>282.238143216466</v>
      </c>
      <c r="AT27" s="18" t="n">
        <f aca="false">Waterfall!AT43</f>
        <v>249.857090692279</v>
      </c>
      <c r="AU27" s="18" t="n">
        <f aca="false">Waterfall!AU43</f>
        <v>232.885146835088</v>
      </c>
      <c r="AV27" s="18" t="n">
        <f aca="false">Waterfall!AV43</f>
        <v>215.533849174572</v>
      </c>
      <c r="AW27" s="18" t="n">
        <f aca="false">Waterfall!AW43</f>
        <v>198.67113306178</v>
      </c>
      <c r="AX27" s="18" t="n">
        <f aca="false">Waterfall!AX43</f>
        <v>181.338781352037</v>
      </c>
      <c r="AY27" s="18" t="n">
        <f aca="false">Waterfall!AY43</f>
        <v>164.510166445812</v>
      </c>
      <c r="AZ27" s="18" t="n">
        <f aca="false">Waterfall!AZ43</f>
        <v>147.165693314489</v>
      </c>
      <c r="BA27" s="18" t="n">
        <f aca="false">Waterfall!BA43</f>
        <v>130.703245804198</v>
      </c>
      <c r="BB27" s="18" t="n">
        <f aca="false">Waterfall!BB43</f>
        <v>110.486096941548</v>
      </c>
      <c r="BC27" s="18" t="n">
        <f aca="false">Waterfall!BC43</f>
        <v>96.880376593479</v>
      </c>
      <c r="BD27" s="18" t="n">
        <f aca="false">Waterfall!BD43</f>
        <v>89.0220029942395</v>
      </c>
      <c r="BE27" s="18" t="n">
        <f aca="false">Waterfall!BE43</f>
        <v>81.7222878909484</v>
      </c>
      <c r="BF27" s="18" t="n">
        <f aca="false">Waterfall!BF43</f>
        <v>73.9059044215332</v>
      </c>
      <c r="BG27" s="18" t="n">
        <f aca="false">Waterfall!BG43</f>
        <v>66.6533227466861</v>
      </c>
      <c r="BH27" s="18" t="n">
        <f aca="false">Waterfall!BH43</f>
        <v>58.8976228099765</v>
      </c>
      <c r="BI27" s="18" t="n">
        <f aca="false">Waterfall!BI43</f>
        <v>51.6037567776218</v>
      </c>
      <c r="BJ27" s="18" t="n">
        <f aca="false">Waterfall!BJ43</f>
        <v>23.8793530306908</v>
      </c>
      <c r="BK27" s="18" t="n">
        <f aca="false">Waterfall!BK43</f>
        <v>14.41870599968</v>
      </c>
      <c r="BL27" s="18" t="n">
        <f aca="false">Waterfall!BL43</f>
        <v>3.89233942847604</v>
      </c>
      <c r="BM27" s="18" t="n">
        <f aca="false">Waterfall!BM43</f>
        <v>-44.3601393614542</v>
      </c>
      <c r="BN27" s="18" t="n">
        <f aca="false">Waterfall!BN43</f>
        <v>-44.3601393614542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139.105125995003</v>
      </c>
      <c r="K28" s="13" t="n">
        <f aca="false">K22+K23+K24+K25+K26+K27</f>
        <v>239.354788929133</v>
      </c>
      <c r="L28" s="13" t="n">
        <f aca="false">L22+L23+L24+L25+L26+L27</f>
        <v>433.465703520005</v>
      </c>
      <c r="M28" s="13" t="n">
        <f aca="false">M22+M23+M24+M25+M26+M27</f>
        <v>635.450504736506</v>
      </c>
      <c r="N28" s="13" t="n">
        <f aca="false">N22+N23+N24+N25+N26+N27</f>
        <v>752.979549947236</v>
      </c>
      <c r="O28" s="13" t="n">
        <f aca="false">O22+O23+O24+O25+O26+O27</f>
        <v>914.306989811794</v>
      </c>
      <c r="P28" s="13" t="n">
        <f aca="false">P22+P23+P24+P25+P26+P27</f>
        <v>900.824231088717</v>
      </c>
      <c r="Q28" s="13" t="n">
        <f aca="false">Q22+Q23+Q24+Q25+Q26+Q27</f>
        <v>890.590633021931</v>
      </c>
      <c r="R28" s="13" t="n">
        <f aca="false">R22+R23+R24+R25+R26+R27</f>
        <v>877.673636205174</v>
      </c>
      <c r="S28" s="13" t="n">
        <f aca="false">S22+S23+S24+S25+S26+S27</f>
        <v>867.695800351667</v>
      </c>
      <c r="T28" s="13" t="n">
        <f aca="false">T22+T23+T24+T25+T26+T27</f>
        <v>855.763736323451</v>
      </c>
      <c r="U28" s="13" t="n">
        <f aca="false">U22+U23+U24+U25+U26+U27</f>
        <v>845.835784804285</v>
      </c>
      <c r="V28" s="13" t="n">
        <f aca="false">V22+V23+V24+V25+V26+V27</f>
        <v>831.207419692291</v>
      </c>
      <c r="W28" s="13" t="n">
        <f aca="false">W22+W23+W24+W25+W26+W27</f>
        <v>819.425488476342</v>
      </c>
      <c r="X28" s="13" t="n">
        <f aca="false">X22+X23+X24+X25+X26+X27</f>
        <v>808.965373421407</v>
      </c>
      <c r="Y28" s="13" t="n">
        <f aca="false">Y22+Y23+Y24+Y25+Y26+Y27</f>
        <v>797.933590562206</v>
      </c>
      <c r="Z28" s="13" t="n">
        <f aca="false">Z22+Z23+Z24+Z25+Z26+Z27</f>
        <v>779.254529988029</v>
      </c>
      <c r="AA28" s="13" t="n">
        <f aca="false">AA22+AA23+AA24+AA25+AA26+AA27</f>
        <v>762.454954247072</v>
      </c>
      <c r="AB28" s="13" t="n">
        <f aca="false">AB22+AB23+AB24+AB25+AB26+AB27</f>
        <v>742.652876025315</v>
      </c>
      <c r="AC28" s="13" t="n">
        <f aca="false">AC22+AC23+AC24+AC25+AC26+AC27</f>
        <v>724.927840873154</v>
      </c>
      <c r="AD28" s="13" t="n">
        <f aca="false">AD22+AD23+AD24+AD25+AD26+AD27</f>
        <v>694.279990145582</v>
      </c>
      <c r="AE28" s="13" t="n">
        <f aca="false">AE22+AE23+AE24+AE25+AE26+AE27</f>
        <v>672.696802969657</v>
      </c>
      <c r="AF28" s="13" t="n">
        <f aca="false">AF22+AF23+AF24+AF25+AF26+AF27</f>
        <v>649.978224721971</v>
      </c>
      <c r="AG28" s="13" t="n">
        <f aca="false">AG22+AG23+AG24+AG25+AG26+AG27</f>
        <v>628.060236713442</v>
      </c>
      <c r="AH28" s="13" t="n">
        <f aca="false">AH22+AH23+AH24+AH25+AH26+AH27</f>
        <v>603.275513223222</v>
      </c>
      <c r="AI28" s="13" t="n">
        <f aca="false">AI22+AI23+AI24+AI25+AI26+AI27</f>
        <v>579.636173720237</v>
      </c>
      <c r="AJ28" s="13" t="n">
        <f aca="false">AJ22+AJ23+AJ24+AJ25+AJ26+AJ27</f>
        <v>555.517238393055</v>
      </c>
      <c r="AK28" s="13" t="n">
        <f aca="false">AK22+AK23+AK24+AK25+AK26+AK27</f>
        <v>537.275530185434</v>
      </c>
      <c r="AL28" s="13" t="n">
        <f aca="false">AL22+AL23+AL24+AL25+AL26+AL27</f>
        <v>516.303767484272</v>
      </c>
      <c r="AM28" s="13" t="n">
        <f aca="false">AM22+AM23+AM24+AM25+AM26+AM27</f>
        <v>496.102736586718</v>
      </c>
      <c r="AN28" s="13" t="n">
        <f aca="false">AN22+AN23+AN24+AN25+AN26+AN27</f>
        <v>481.680602950327</v>
      </c>
      <c r="AO28" s="13" t="n">
        <f aca="false">AO22+AO23+AO24+AO25+AO26+AO27</f>
        <v>449.529106987954</v>
      </c>
      <c r="AP28" s="13" t="n">
        <f aca="false">AP22+AP23+AP24+AP25+AP26+AP27</f>
        <v>434.442195236138</v>
      </c>
      <c r="AQ28" s="13" t="n">
        <f aca="false">AQ22+AQ23+AQ24+AQ25+AQ26+AQ27</f>
        <v>421.533818178401</v>
      </c>
      <c r="AR28" s="13" t="n">
        <f aca="false">AR22+AR23+AR24+AR25+AR26+AR27</f>
        <v>407.078138037782</v>
      </c>
      <c r="AS28" s="13" t="n">
        <f aca="false">AS22+AS23+AS24+AS25+AS26+AS27</f>
        <v>392.892489125045</v>
      </c>
      <c r="AT28" s="13" t="n">
        <f aca="false">AT22+AT23+AT24+AT25+AT26+AT27</f>
        <v>360.906959885299</v>
      </c>
      <c r="AU28" s="13" t="n">
        <f aca="false">AU22+AU23+AU24+AU25+AU26+AU27</f>
        <v>345.566125941018</v>
      </c>
      <c r="AV28" s="13" t="n">
        <f aca="false">AV22+AV23+AV24+AV25+AV26+AV27</f>
        <v>330.158010956121</v>
      </c>
      <c r="AW28" s="13" t="n">
        <f aca="false">AW22+AW23+AW24+AW25+AW26+AW27</f>
        <v>314.905434715083</v>
      </c>
      <c r="AX28" s="13" t="n">
        <f aca="false">AX22+AX23+AX24+AX25+AX26+AX27</f>
        <v>297.592590409042</v>
      </c>
      <c r="AY28" s="13" t="n">
        <f aca="false">AY22+AY23+AY24+AY25+AY26+AY27</f>
        <v>282.338667356825</v>
      </c>
      <c r="AZ28" s="13" t="n">
        <f aca="false">AZ22+AZ23+AZ24+AZ25+AZ26+AZ27</f>
        <v>265.928914194195</v>
      </c>
      <c r="BA28" s="13" t="n">
        <f aca="false">BA22+BA23+BA24+BA25+BA26+BA27</f>
        <v>251.017197634227</v>
      </c>
      <c r="BB28" s="13" t="n">
        <f aca="false">BB22+BB23+BB24+BB25+BB26+BB27</f>
        <v>231.755661736326</v>
      </c>
      <c r="BC28" s="13" t="n">
        <f aca="false">BC22+BC23+BC24+BC25+BC26+BC27</f>
        <v>217.906375315588</v>
      </c>
      <c r="BD28" s="13" t="n">
        <f aca="false">BD22+BD23+BD24+BD25+BD26+BD27</f>
        <v>206.057862039637</v>
      </c>
      <c r="BE28" s="13" t="n">
        <f aca="false">BE22+BE23+BE24+BE25+BE26+BE27</f>
        <v>194.980801961281</v>
      </c>
      <c r="BF28" s="13" t="n">
        <f aca="false">BF22+BF23+BF24+BF25+BF26+BF27</f>
        <v>181.817400677799</v>
      </c>
      <c r="BG28" s="13" t="n">
        <f aca="false">BG22+BG23+BG24+BG25+BG26+BG27</f>
        <v>170.523324772313</v>
      </c>
      <c r="BH28" s="13" t="n">
        <f aca="false">BH22+BH23+BH24+BH25+BH26+BH27</f>
        <v>157.278836702546</v>
      </c>
      <c r="BI28" s="13" t="n">
        <f aca="false">BI22+BI23+BI24+BI25+BI26+BI27</f>
        <v>145.785573812327</v>
      </c>
      <c r="BJ28" s="13" t="n">
        <f aca="false">BJ22+BJ23+BJ24+BJ25+BJ26+BJ27</f>
        <v>113.212430052442</v>
      </c>
      <c r="BK28" s="13" t="n">
        <f aca="false">BK22+BK23+BK24+BK25+BK26+BK27</f>
        <v>99.7030211052694</v>
      </c>
      <c r="BL28" s="13" t="n">
        <f aca="false">BL22+BL23+BL24+BL25+BL26+BL27</f>
        <v>85.1777427285783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2552.13672372791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16.7816407935942</v>
      </c>
      <c r="P32" s="18" t="n">
        <f aca="false">Operations!P84</f>
        <v>50.3268148167751</v>
      </c>
      <c r="Q32" s="18" t="n">
        <f aca="false">Operations!Q84</f>
        <v>50.3680197598437</v>
      </c>
      <c r="R32" s="18" t="n">
        <f aca="false">Operations!R84</f>
        <v>50.5321013258884</v>
      </c>
      <c r="S32" s="18" t="n">
        <f aca="false">Operations!S84</f>
        <v>50.6255850347254</v>
      </c>
      <c r="T32" s="18" t="n">
        <f aca="false">Operations!T84</f>
        <v>50.7396717513415</v>
      </c>
      <c r="U32" s="18" t="n">
        <f aca="false">Operations!U84</f>
        <v>50.7996684161678</v>
      </c>
      <c r="V32" s="18" t="n">
        <f aca="false">Operations!V84</f>
        <v>48.3437904226553</v>
      </c>
      <c r="W32" s="18" t="n">
        <f aca="false">Operations!W84</f>
        <v>50.8943705926948</v>
      </c>
      <c r="X32" s="18" t="n">
        <f aca="false">Operations!X84</f>
        <v>50.9198721117872</v>
      </c>
      <c r="Y32" s="18" t="n">
        <f aca="false">Operations!Y84</f>
        <v>50.9924955976251</v>
      </c>
      <c r="Z32" s="18" t="n">
        <f aca="false">Operations!Z84</f>
        <v>51.0568373043234</v>
      </c>
      <c r="AA32" s="18" t="n">
        <f aca="false">Operations!AA84</f>
        <v>51.1384296676386</v>
      </c>
      <c r="AB32" s="18" t="n">
        <f aca="false">Operations!AB84</f>
        <v>51.2187990118733</v>
      </c>
      <c r="AC32" s="18" t="n">
        <f aca="false">Operations!AC84</f>
        <v>51.3970470600141</v>
      </c>
      <c r="AD32" s="18" t="n">
        <f aca="false">Operations!AD84</f>
        <v>39.5935004183829</v>
      </c>
      <c r="AE32" s="18" t="n">
        <f aca="false">Operations!AE84</f>
        <v>51.6545994593921</v>
      </c>
      <c r="AF32" s="18" t="n">
        <f aca="false">Operations!AF84</f>
        <v>51.5214650900143</v>
      </c>
      <c r="AG32" s="18" t="n">
        <f aca="false">Operations!AG84</f>
        <v>51.6823929768798</v>
      </c>
      <c r="AH32" s="18" t="n">
        <f aca="false">Operations!AH84</f>
        <v>51.9174884525791</v>
      </c>
      <c r="AI32" s="18" t="n">
        <f aca="false">Operations!AI84</f>
        <v>52.008910485945</v>
      </c>
      <c r="AJ32" s="18" t="n">
        <f aca="false">Operations!AJ84</f>
        <v>52.0958016804133</v>
      </c>
      <c r="AK32" s="18" t="n">
        <f aca="false">Operations!AK84</f>
        <v>52.2477109944171</v>
      </c>
      <c r="AL32" s="18" t="n">
        <f aca="false">Operations!AL84</f>
        <v>49.0564950167516</v>
      </c>
      <c r="AM32" s="18" t="n">
        <f aca="false">Operations!AM84</f>
        <v>52.4212655039562</v>
      </c>
      <c r="AN32" s="18" t="n">
        <f aca="false">Operations!AN84</f>
        <v>52.2432310229093</v>
      </c>
      <c r="AO32" s="18" t="n">
        <f aca="false">Operations!AO84</f>
        <v>52.361162175542</v>
      </c>
      <c r="AP32" s="18" t="n">
        <f aca="false">Operations!AP84</f>
        <v>52.4973641605877</v>
      </c>
      <c r="AQ32" s="18" t="n">
        <f aca="false">Operations!AQ84</f>
        <v>52.5104205217969</v>
      </c>
      <c r="AR32" s="18" t="n">
        <f aca="false">Operations!AR84</f>
        <v>52.7051609795631</v>
      </c>
      <c r="AS32" s="18" t="n">
        <f aca="false">Operations!AS84</f>
        <v>52.8102220150284</v>
      </c>
      <c r="AT32" s="18" t="n">
        <f aca="false">Operations!AT84</f>
        <v>37.3927761461237</v>
      </c>
      <c r="AU32" s="18" t="n">
        <f aca="false">Operations!AU84</f>
        <v>53.3259455993575</v>
      </c>
      <c r="AV32" s="18" t="n">
        <f aca="false">Operations!AV84</f>
        <v>53.1068932134037</v>
      </c>
      <c r="AW32" s="18" t="n">
        <f aca="false">Operations!AW84</f>
        <v>53.1318141152074</v>
      </c>
      <c r="AX32" s="18" t="n">
        <f aca="false">Operations!AX84</f>
        <v>53.5213602329127</v>
      </c>
      <c r="AY32" s="18" t="n">
        <f aca="false">Operations!AY84</f>
        <v>53.6876584629139</v>
      </c>
      <c r="AZ32" s="18" t="n">
        <f aca="false">Operations!AZ84</f>
        <v>53.9047592517071</v>
      </c>
      <c r="BA32" s="18" t="n">
        <f aca="false">Operations!BA84</f>
        <v>53.9093910570527</v>
      </c>
      <c r="BB32" s="18" t="n">
        <f aca="false">Operations!BB84</f>
        <v>49.2412387523627</v>
      </c>
      <c r="BC32" s="18" t="n">
        <f aca="false">Operations!BC84</f>
        <v>54.2733101964567</v>
      </c>
      <c r="BD32" s="18" t="n">
        <f aca="false">Operations!BD84</f>
        <v>53.99038866595</v>
      </c>
      <c r="BE32" s="18" t="n">
        <f aca="false">Operations!BE84</f>
        <v>54.0999986185092</v>
      </c>
      <c r="BF32" s="18" t="n">
        <f aca="false">Operations!BF84</f>
        <v>54.1959432940765</v>
      </c>
      <c r="BG32" s="18" t="n">
        <f aca="false">Operations!BG84</f>
        <v>54.4226104792801</v>
      </c>
      <c r="BH32" s="18" t="n">
        <f aca="false">Operations!BH84</f>
        <v>54.7909576437871</v>
      </c>
      <c r="BI32" s="18" t="n">
        <f aca="false">Operations!BI84</f>
        <v>55.0878520347295</v>
      </c>
      <c r="BJ32" s="18" t="n">
        <f aca="false">Operations!BJ84</f>
        <v>36.5027450249402</v>
      </c>
      <c r="BK32" s="18" t="n">
        <f aca="false">Operations!BK84</f>
        <v>55.3862158423899</v>
      </c>
      <c r="BL32" s="18" t="n">
        <f aca="false">Operations!BL84</f>
        <v>55.0080383695333</v>
      </c>
      <c r="BM32" s="18" t="n">
        <f aca="false">Operations!BM84</f>
        <v>17.6944921061111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-295.587427922852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-0.113263285294502</v>
      </c>
      <c r="Z33" s="13" t="n">
        <f aca="false">-Tax!Z27</f>
        <v>-0.340862753287322</v>
      </c>
      <c r="AA33" s="13" t="n">
        <f aca="false">-Tax!AA27</f>
        <v>-0.341880701815466</v>
      </c>
      <c r="AB33" s="13" t="n">
        <f aca="false">-Tax!AB27</f>
        <v>-0.342917509496527</v>
      </c>
      <c r="AC33" s="13" t="n">
        <f aca="false">-Tax!AC27</f>
        <v>-0.343492322391854</v>
      </c>
      <c r="AD33" s="13" t="n">
        <f aca="false">-Tax!AD27</f>
        <v>-0.342380629333806</v>
      </c>
      <c r="AE33" s="13" t="n">
        <f aca="false">-Tax!AE27</f>
        <v>-0.345225545503978</v>
      </c>
      <c r="AF33" s="13" t="n">
        <f aca="false">-Tax!AF27</f>
        <v>-0.347422813600893</v>
      </c>
      <c r="AG33" s="13" t="n">
        <f aca="false">-Tax!AG27</f>
        <v>-0.348196496068167</v>
      </c>
      <c r="AH33" s="13" t="n">
        <f aca="false">-Tax!AH27</f>
        <v>-0.348631794528546</v>
      </c>
      <c r="AI33" s="13" t="n">
        <f aca="false">-Tax!AI27</f>
        <v>-0.349804477829002</v>
      </c>
      <c r="AJ33" s="13" t="n">
        <f aca="false">-Tax!AJ27</f>
        <v>-0.351013679221104</v>
      </c>
      <c r="AK33" s="13" t="n">
        <f aca="false">-Tax!AK27</f>
        <v>-0.351950047597754</v>
      </c>
      <c r="AL33" s="13" t="n">
        <f aca="false">-Tax!AL27</f>
        <v>-0.350500666880454</v>
      </c>
      <c r="AM33" s="13" t="n">
        <f aca="false">-Tax!AM27</f>
        <v>-0.354505993296</v>
      </c>
      <c r="AN33" s="13" t="n">
        <f aca="false">-Tax!AN27</f>
        <v>-1.72975455431404</v>
      </c>
      <c r="AO33" s="13" t="n">
        <f aca="false">-Tax!AO27</f>
        <v>-8.77505643412265</v>
      </c>
      <c r="AP33" s="13" t="n">
        <f aca="false">-Tax!AP27</f>
        <v>-9.50418108478265</v>
      </c>
      <c r="AQ33" s="13" t="n">
        <f aca="false">-Tax!AQ27</f>
        <v>-9.7299156607324</v>
      </c>
      <c r="AR33" s="13" t="n">
        <f aca="false">-Tax!AR27</f>
        <v>-9.78833779806228</v>
      </c>
      <c r="AS33" s="13" t="n">
        <f aca="false">-Tax!AS27</f>
        <v>-9.81985610870186</v>
      </c>
      <c r="AT33" s="13" t="n">
        <f aca="false">-Tax!AT27</f>
        <v>-5.19462234803043</v>
      </c>
      <c r="AU33" s="13" t="n">
        <f aca="false">-Tax!AU27</f>
        <v>-9.97457318400057</v>
      </c>
      <c r="AV33" s="13" t="n">
        <f aca="false">-Tax!AV27</f>
        <v>-9.90885746821443</v>
      </c>
      <c r="AW33" s="13" t="n">
        <f aca="false">-Tax!AW27</f>
        <v>-9.91633373875555</v>
      </c>
      <c r="AX33" s="13" t="n">
        <f aca="false">-Tax!AX27</f>
        <v>-10.0331975740672</v>
      </c>
      <c r="AY33" s="13" t="n">
        <f aca="false">-Tax!AY27</f>
        <v>-10.0830870430675</v>
      </c>
      <c r="AZ33" s="13" t="n">
        <f aca="false">-Tax!AZ27</f>
        <v>-10.1482172797055</v>
      </c>
      <c r="BA33" s="13" t="n">
        <f aca="false">-Tax!BA27</f>
        <v>-10.1496068213091</v>
      </c>
      <c r="BB33" s="13" t="n">
        <f aca="false">-Tax!BB27</f>
        <v>-8.74916112990215</v>
      </c>
      <c r="BC33" s="13" t="n">
        <f aca="false">-Tax!BC27</f>
        <v>-12.1828636937352</v>
      </c>
      <c r="BD33" s="13" t="n">
        <f aca="false">-Tax!BD27</f>
        <v>-15.9461494957931</v>
      </c>
      <c r="BE33" s="13" t="n">
        <f aca="false">-Tax!BE27</f>
        <v>-15.9790324815608</v>
      </c>
      <c r="BF33" s="13" t="n">
        <f aca="false">-Tax!BF27</f>
        <v>-16.007815884231</v>
      </c>
      <c r="BG33" s="13" t="n">
        <f aca="false">-Tax!BG27</f>
        <v>-16.0758160397921</v>
      </c>
      <c r="BH33" s="13" t="n">
        <f aca="false">-Tax!BH27</f>
        <v>-16.1863201891442</v>
      </c>
      <c r="BI33" s="13" t="n">
        <f aca="false">-Tax!BI27</f>
        <v>-16.2753885064269</v>
      </c>
      <c r="BJ33" s="13" t="n">
        <f aca="false">-Tax!BJ27</f>
        <v>-10.6998564034901</v>
      </c>
      <c r="BK33" s="13" t="n">
        <f aca="false">-Tax!BK27</f>
        <v>-16.364897648725</v>
      </c>
      <c r="BL33" s="13" t="n">
        <f aca="false">-Tax!BL27</f>
        <v>-16.251444406868</v>
      </c>
      <c r="BM33" s="13" t="n">
        <f aca="false">-Tax!BM27</f>
        <v>-5.14103622917204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-14.8369850499265</v>
      </c>
      <c r="P34" s="13" t="n">
        <f aca="false">-Operations!P96+Operations!P97</f>
        <v>0.0510933860336777</v>
      </c>
      <c r="Q34" s="13" t="n">
        <f aca="false">-Operations!Q96+Operations!Q97</f>
        <v>-0.239682531835944</v>
      </c>
      <c r="R34" s="13" t="n">
        <f aca="false">-Operations!R96+Operations!R97</f>
        <v>0.221000352443165</v>
      </c>
      <c r="S34" s="13" t="n">
        <f aca="false">-Operations!S96+Operations!S97</f>
        <v>-0.273923940595592</v>
      </c>
      <c r="T34" s="13" t="n">
        <f aca="false">-Operations!T96+Operations!T97</f>
        <v>0.202358937022472</v>
      </c>
      <c r="U34" s="13" t="n">
        <f aca="false">-Operations!U96+Operations!U97</f>
        <v>-0.196938288216133</v>
      </c>
      <c r="V34" s="13" t="n">
        <f aca="false">-Operations!V96+Operations!V97</f>
        <v>0.127392019414375</v>
      </c>
      <c r="W34" s="13" t="n">
        <f aca="false">-Operations!W96+Operations!W97</f>
        <v>-0.276432403085087</v>
      </c>
      <c r="X34" s="13" t="n">
        <f aca="false">-Operations!X96+Operations!X97</f>
        <v>0.206194076831569</v>
      </c>
      <c r="Y34" s="13" t="n">
        <f aca="false">-Operations!Y96+Operations!Y97</f>
        <v>-0.279235365240252</v>
      </c>
      <c r="Z34" s="13" t="n">
        <f aca="false">-Operations!Z96+Operations!Z97</f>
        <v>0.204694503777972</v>
      </c>
      <c r="AA34" s="13" t="n">
        <f aca="false">-Operations!AA96+Operations!AA97</f>
        <v>-0.281756387889823</v>
      </c>
      <c r="AB34" s="13" t="n">
        <f aca="false">-Operations!AB96+Operations!AB97</f>
        <v>0.204108327580967</v>
      </c>
      <c r="AC34" s="13" t="n">
        <f aca="false">-Operations!AC96+Operations!AC97</f>
        <v>-0.209595968781406</v>
      </c>
      <c r="AD34" s="13" t="n">
        <f aca="false">-Operations!AD96+Operations!AD97</f>
        <v>0.174555103229926</v>
      </c>
      <c r="AE34" s="13" t="n">
        <f aca="false">-Operations!AE96+Operations!AE97</f>
        <v>-0.340851443874373</v>
      </c>
      <c r="AF34" s="13" t="n">
        <f aca="false">-Operations!AF96+Operations!AF97</f>
        <v>0.215734467395363</v>
      </c>
      <c r="AG34" s="13" t="n">
        <f aca="false">-Operations!AG96+Operations!AG97</f>
        <v>-0.292681846620678</v>
      </c>
      <c r="AH34" s="13" t="n">
        <f aca="false">-Operations!AH96+Operations!AH97</f>
        <v>0.19624238890604</v>
      </c>
      <c r="AI34" s="13" t="n">
        <f aca="false">-Operations!AI96+Operations!AI97</f>
        <v>-0.291558496387296</v>
      </c>
      <c r="AJ34" s="13" t="n">
        <f aca="false">-Operations!AJ96+Operations!AJ97</f>
        <v>0.204626631707121</v>
      </c>
      <c r="AK34" s="13" t="n">
        <f aca="false">-Operations!AK96+Operations!AK97</f>
        <v>-0.216648398890934</v>
      </c>
      <c r="AL34" s="13" t="n">
        <f aca="false">-Operations!AL96+Operations!AL97</f>
        <v>0.221558752919501</v>
      </c>
      <c r="AM34" s="13" t="n">
        <f aca="false">-Operations!AM96+Operations!AM97</f>
        <v>-0.393494508468635</v>
      </c>
      <c r="AN34" s="13" t="n">
        <f aca="false">-Operations!AN96+Operations!AN97</f>
        <v>0.221286301569306</v>
      </c>
      <c r="AO34" s="13" t="n">
        <f aca="false">-Operations!AO96+Operations!AO97</f>
        <v>-0.299988395305881</v>
      </c>
      <c r="AP34" s="13" t="n">
        <f aca="false">-Operations!AP96+Operations!AP97</f>
        <v>0.20263341265199</v>
      </c>
      <c r="AQ34" s="13" t="n">
        <f aca="false">-Operations!AQ96+Operations!AQ97</f>
        <v>-0.295931313913528</v>
      </c>
      <c r="AR34" s="13" t="n">
        <f aca="false">-Operations!AR96+Operations!AR97</f>
        <v>0.171723936890775</v>
      </c>
      <c r="AS34" s="13" t="n">
        <f aca="false">-Operations!AS96+Operations!AS97</f>
        <v>-0.194376161238882</v>
      </c>
      <c r="AT34" s="13" t="n">
        <f aca="false">-Operations!AT96+Operations!AT97</f>
        <v>0.558709329167629</v>
      </c>
      <c r="AU34" s="13" t="n">
        <f aca="false">-Operations!AU96+Operations!AU97</f>
        <v>-0.763064824906069</v>
      </c>
      <c r="AV34" s="13" t="n">
        <f aca="false">-Operations!AV96+Operations!AV97</f>
        <v>0.205929979341917</v>
      </c>
      <c r="AW34" s="13" t="n">
        <f aca="false">-Operations!AW96+Operations!AW97</f>
        <v>-0.282651568382434</v>
      </c>
      <c r="AX34" s="13" t="n">
        <f aca="false">-Operations!AX96+Operations!AX97</f>
        <v>0.186984028568954</v>
      </c>
      <c r="AY34" s="13" t="n">
        <f aca="false">-Operations!AY96+Operations!AY97</f>
        <v>-0.316752774948981</v>
      </c>
      <c r="AZ34" s="13" t="n">
        <f aca="false">-Operations!AZ96+Operations!AZ97</f>
        <v>0.199105450149613</v>
      </c>
      <c r="BA34" s="13" t="n">
        <f aca="false">-Operations!BA96+Operations!BA97</f>
        <v>-0.187951784274912</v>
      </c>
      <c r="BB34" s="13" t="n">
        <f aca="false">-Operations!BB96+Operations!BB97</f>
        <v>0.445444429657307</v>
      </c>
      <c r="BC34" s="13" t="n">
        <f aca="false">-Operations!BC96+Operations!BC97</f>
        <v>-0.687634130081641</v>
      </c>
      <c r="BD34" s="13" t="n">
        <f aca="false">-Operations!BD96+Operations!BD97</f>
        <v>0.224159230316427</v>
      </c>
      <c r="BE34" s="13" t="n">
        <f aca="false">-Operations!BE96+Operations!BE97</f>
        <v>-0.317715144922897</v>
      </c>
      <c r="BF34" s="13" t="n">
        <f aca="false">-Operations!BF96+Operations!BF97</f>
        <v>0.215920962817556</v>
      </c>
      <c r="BG34" s="13" t="n">
        <f aca="false">-Operations!BG96+Operations!BG97</f>
        <v>-0.330727460385745</v>
      </c>
      <c r="BH34" s="13" t="n">
        <f aca="false">-Operations!BH96+Operations!BH97</f>
        <v>0.189731833408466</v>
      </c>
      <c r="BI34" s="13" t="n">
        <f aca="false">-Operations!BI96+Operations!BI97</f>
        <v>-0.254571325411554</v>
      </c>
      <c r="BJ34" s="13" t="n">
        <f aca="false">-Operations!BJ96+Operations!BJ97</f>
        <v>0.633061396008113</v>
      </c>
      <c r="BK34" s="13" t="n">
        <f aca="false">-Operations!BK96+Operations!BK97</f>
        <v>-0.846526731297601</v>
      </c>
      <c r="BL34" s="13" t="n">
        <f aca="false">-Operations!BL96+Operations!BL97</f>
        <v>0.237305239291782</v>
      </c>
      <c r="BM34" s="13" t="n">
        <f aca="false">-Operations!BM96+Operations!BM97</f>
        <v>22.3361217677808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2261.89929580506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1.94465574366775</v>
      </c>
      <c r="P36" s="13" t="n">
        <f aca="false">P32+P33+P34+P35</f>
        <v>49.9616399003539</v>
      </c>
      <c r="Q36" s="13" t="n">
        <f aca="false">Q32+Q33+Q34+Q35</f>
        <v>49.7120689255529</v>
      </c>
      <c r="R36" s="13" t="n">
        <f aca="false">R32+R33+R34+R35</f>
        <v>50.3368333758767</v>
      </c>
      <c r="S36" s="13" t="n">
        <f aca="false">S32+S33+S34+S35</f>
        <v>49.935392791675</v>
      </c>
      <c r="T36" s="13" t="n">
        <f aca="false">T32+T33+T34+T35</f>
        <v>50.5257623859091</v>
      </c>
      <c r="U36" s="13" t="n">
        <f aca="false">U32+U33+U34+U35</f>
        <v>50.1864618254968</v>
      </c>
      <c r="V36" s="13" t="n">
        <f aca="false">V32+V33+V34+V35</f>
        <v>50.9687922567988</v>
      </c>
      <c r="W36" s="13" t="n">
        <f aca="false">W32+W33+W34+W35</f>
        <v>50.6179381896097</v>
      </c>
      <c r="X36" s="13" t="n">
        <f aca="false">X32+X33+X34+X35</f>
        <v>49.1533236449854</v>
      </c>
      <c r="Y36" s="13" t="n">
        <f aca="false">Y32+Y33+Y34+Y35</f>
        <v>48.6272544034569</v>
      </c>
      <c r="Z36" s="13" t="n">
        <f aca="false">Z32+Z33+Z34+Z35</f>
        <v>48.9479265111806</v>
      </c>
      <c r="AA36" s="13" t="n">
        <f aca="false">AA32+AA33+AA34+AA35</f>
        <v>48.5420500342998</v>
      </c>
      <c r="AB36" s="13" t="n">
        <f aca="false">AB32+AB33+AB34+AB35</f>
        <v>49.1072472863243</v>
      </c>
      <c r="AC36" s="13" t="n">
        <f aca="false">AC32+AC33+AC34+AC35</f>
        <v>48.8712162252074</v>
      </c>
      <c r="AD36" s="13" t="n">
        <f aca="false">AD32+AD33+AD34+AD35</f>
        <v>51.2621301540798</v>
      </c>
      <c r="AE36" s="13" t="n">
        <f aca="false">AE32+AE33+AE34+AE35</f>
        <v>50.9685224700138</v>
      </c>
      <c r="AF36" s="13" t="n">
        <f aca="false">AF32+AF33+AF34+AF35</f>
        <v>50.8943487888929</v>
      </c>
      <c r="AG36" s="13" t="n">
        <f aca="false">AG32+AG33+AG34+AG35</f>
        <v>50.5460866792751</v>
      </c>
      <c r="AH36" s="13" t="n">
        <f aca="false">AH32+AH33+AH34+AH35</f>
        <v>51.2696710920407</v>
      </c>
      <c r="AI36" s="13" t="n">
        <f aca="false">AI32+AI33+AI34+AI35</f>
        <v>50.8721195568128</v>
      </c>
      <c r="AJ36" s="13" t="n">
        <f aca="false">AJ32+AJ33+AJ34+AJ35</f>
        <v>51.4539866779835</v>
      </c>
      <c r="AK36" s="13" t="n">
        <f aca="false">AK32+AK33+AK34+AK35</f>
        <v>51.1836845930125</v>
      </c>
      <c r="AL36" s="13" t="n">
        <f aca="false">AL32+AL33+AL34+AL35</f>
        <v>51.9001208322862</v>
      </c>
      <c r="AM36" s="13" t="n">
        <f aca="false">AM32+AM33+AM34+AM35</f>
        <v>51.6732650021915</v>
      </c>
      <c r="AN36" s="13" t="n">
        <f aca="false">AN32+AN33+AN34+AN35</f>
        <v>48.3868736846776</v>
      </c>
      <c r="AO36" s="13" t="n">
        <f aca="false">AO32+AO33+AO34+AO35</f>
        <v>40.9382282606265</v>
      </c>
      <c r="AP36" s="13" t="n">
        <f aca="false">AP32+AP33+AP34+AP35</f>
        <v>40.8479274029701</v>
      </c>
      <c r="AQ36" s="13" t="n">
        <f aca="false">AQ32+AQ33+AQ34+AQ35</f>
        <v>40.136684461664</v>
      </c>
      <c r="AR36" s="13" t="n">
        <f aca="false">AR32+AR33+AR34+AR35</f>
        <v>40.7406580329047</v>
      </c>
      <c r="AS36" s="13" t="n">
        <f aca="false">AS32+AS33+AS34+AS35</f>
        <v>40.4481006596007</v>
      </c>
      <c r="AT36" s="13" t="n">
        <f aca="false">AT32+AT33+AT34+AT35</f>
        <v>46.8441976401825</v>
      </c>
      <c r="AU36" s="13" t="n">
        <f aca="false">AU32+AU33+AU34+AU35</f>
        <v>42.5883075904508</v>
      </c>
      <c r="AV36" s="13" t="n">
        <f aca="false">AV32+AV33+AV34+AV35</f>
        <v>42.8143247236077</v>
      </c>
      <c r="AW36" s="13" t="n">
        <f aca="false">AW32+AW33+AW34+AW35</f>
        <v>42.343187807146</v>
      </c>
      <c r="AX36" s="13" t="n">
        <f aca="false">AX32+AX33+AX34+AX35</f>
        <v>43.0855056864911</v>
      </c>
      <c r="AY36" s="13" t="n">
        <f aca="false">AY32+AY33+AY34+AY35</f>
        <v>42.698177643974</v>
      </c>
      <c r="AZ36" s="13" t="n">
        <f aca="false">AZ32+AZ33+AZ34+AZ35</f>
        <v>43.3660064212279</v>
      </c>
      <c r="BA36" s="13" t="n">
        <f aca="false">BA32+BA33+BA34+BA35</f>
        <v>42.9821914505452</v>
      </c>
      <c r="BB36" s="13" t="n">
        <f aca="false">BB32+BB33+BB34+BB35</f>
        <v>44.4753680576582</v>
      </c>
      <c r="BC36" s="13" t="n">
        <f aca="false">BC32+BC33+BC34+BC35</f>
        <v>41.4028123726398</v>
      </c>
      <c r="BD36" s="13" t="n">
        <f aca="false">BD32+BD33+BD34+BD35</f>
        <v>35.4740230393604</v>
      </c>
      <c r="BE36" s="13" t="n">
        <f aca="false">BE32+BE33+BE34+BE35</f>
        <v>35.0088756309125</v>
      </c>
      <c r="BF36" s="13" t="n">
        <f aca="false">BF32+BF33+BF34+BF35</f>
        <v>35.6096730115501</v>
      </c>
      <c r="BG36" s="13" t="n">
        <f aca="false">BG32+BG33+BG34+BG35</f>
        <v>35.2216916179893</v>
      </c>
      <c r="BH36" s="13" t="n">
        <f aca="false">BH32+BH33+BH34+BH35</f>
        <v>35.9999939269384</v>
      </c>
      <c r="BI36" s="13" t="n">
        <f aca="false">BI32+BI33+BI34+BI35</f>
        <v>35.7635168417781</v>
      </c>
      <c r="BJ36" s="13" t="n">
        <f aca="false">BJ32+BJ33+BJ34+BJ35</f>
        <v>43.2022021841361</v>
      </c>
      <c r="BK36" s="13" t="n">
        <f aca="false">BK32+BK33+BK34+BK35</f>
        <v>38.1747914623673</v>
      </c>
      <c r="BL36" s="13" t="n">
        <f aca="false">BL32+BL33+BL34+BL35</f>
        <v>38.993899201957</v>
      </c>
      <c r="BM36" s="13" t="n">
        <f aca="false">BM32+BM33+BM34+BM35</f>
        <v>34.8895776447199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-855.065106391829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-37.2402629230422</v>
      </c>
      <c r="Q37" s="13" t="n">
        <f aca="false">-(Debt!Q114+Debt!Q110)</f>
        <v>-37.1514107093746</v>
      </c>
      <c r="R37" s="13" t="n">
        <f aca="false">-(Debt!R114+Debt!R110)</f>
        <v>-37.6190927474989</v>
      </c>
      <c r="S37" s="13" t="n">
        <f aca="false">-(Debt!S114+Debt!S110)</f>
        <v>-37.3276805156298</v>
      </c>
      <c r="T37" s="13" t="n">
        <f aca="false">-(Debt!T114+Debt!T110)</f>
        <v>-37.7455078940196</v>
      </c>
      <c r="U37" s="13" t="n">
        <f aca="false">-(Debt!U114+Debt!U110)</f>
        <v>-37.5650237647994</v>
      </c>
      <c r="V37" s="13" t="n">
        <f aca="false">-(Debt!V114+Debt!V110)</f>
        <v>-38.2821356925896</v>
      </c>
      <c r="W37" s="13" t="n">
        <f aca="false">-(Debt!W114+Debt!W110)</f>
        <v>-38.0175010594182</v>
      </c>
      <c r="X37" s="13" t="n">
        <f aca="false">-(Debt!X114+Debt!X110)</f>
        <v>-36.9212193316689</v>
      </c>
      <c r="Y37" s="13" t="n">
        <f aca="false">-(Debt!Y114+Debt!Y110)</f>
        <v>-36.5648868916211</v>
      </c>
      <c r="Z37" s="13" t="n">
        <f aca="false">-(Debt!Z114+Debt!Z110)</f>
        <v>-36.8658014378429</v>
      </c>
      <c r="AA37" s="13" t="n">
        <f aca="false">-(Debt!AA114+Debt!AA110)</f>
        <v>-36.5687862789268</v>
      </c>
      <c r="AB37" s="13" t="n">
        <f aca="false">-(Debt!AB114+Debt!AB110)</f>
        <v>-36.395725627913</v>
      </c>
      <c r="AC37" s="13" t="n">
        <f aca="false">-(Debt!AC114+Debt!AC110)</f>
        <v>-35.5168873208379</v>
      </c>
      <c r="AD37" s="13" t="n">
        <f aca="false">-(Debt!AD114+Debt!AD110)</f>
        <v>-36.1337229778428</v>
      </c>
      <c r="AE37" s="13" t="n">
        <f aca="false">-(Debt!AE114+Debt!AE110)</f>
        <v>-35.209026185529</v>
      </c>
      <c r="AF37" s="13" t="n">
        <f aca="false">-(Debt!AF114+Debt!AF110)</f>
        <v>-34.1868299070486</v>
      </c>
      <c r="AG37" s="13" t="n">
        <f aca="false">-(Debt!AG114+Debt!AG110)</f>
        <v>-32.5792046215049</v>
      </c>
      <c r="AH37" s="13" t="n">
        <f aca="false">-(Debt!AH114+Debt!AH110)</f>
        <v>-31.4657547412586</v>
      </c>
      <c r="AI37" s="13" t="n">
        <f aca="false">-(Debt!AI114+Debt!AI110)</f>
        <v>-29.3016987956903</v>
      </c>
      <c r="AJ37" s="13" t="n">
        <f aca="false">-(Debt!AJ114+Debt!AJ110)</f>
        <v>-27.2321378026107</v>
      </c>
      <c r="AK37" s="13" t="n">
        <f aca="false">-(Debt!AK114+Debt!AK110)</f>
        <v>-23.8663133580467</v>
      </c>
      <c r="AL37" s="13" t="n">
        <f aca="false">-(Debt!AL114+Debt!AL110)</f>
        <v>-23.7104859037844</v>
      </c>
      <c r="AM37" s="13" t="n">
        <f aca="false">-(Debt!AM114+Debt!AM110)</f>
        <v>-23.5657674487505</v>
      </c>
      <c r="AN37" s="13" t="n">
        <f aca="false">-(Debt!AN114+Debt!AN110)</f>
        <v>-19.1291565524823</v>
      </c>
      <c r="AO37" s="13" t="n">
        <f aca="false">-(Debt!AO114+Debt!AO110)</f>
        <v>-18.9030859020972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-91.8945072831916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-5.77143840957161</v>
      </c>
      <c r="AB43" s="13" t="n">
        <f aca="false">-(Waterfall!AB28+Waterfall!AB29)</f>
        <v>-6.72937260136007</v>
      </c>
      <c r="AC43" s="13" t="n">
        <f aca="false">-(Waterfall!AC28+Waterfall!AC29)</f>
        <v>-6.35608931155681</v>
      </c>
      <c r="AD43" s="13" t="n">
        <f aca="false">-(Waterfall!AD28+Waterfall!AD29)</f>
        <v>-7.90310879794556</v>
      </c>
      <c r="AE43" s="13" t="n">
        <f aca="false">-(Waterfall!AE28+Waterfall!AE29)</f>
        <v>-8.32006384432979</v>
      </c>
      <c r="AF43" s="13" t="n">
        <f aca="false">-(Waterfall!AF28+Waterfall!AF29)</f>
        <v>-9.05050483783319</v>
      </c>
      <c r="AG43" s="13" t="n">
        <f aca="false">-(Waterfall!AG28+Waterfall!AG29)</f>
        <v>-9.42958548490081</v>
      </c>
      <c r="AH43" s="13" t="n">
        <f aca="false">-(Waterfall!AH28+Waterfall!AH29)</f>
        <v>-10.772808297681</v>
      </c>
      <c r="AI43" s="13" t="n">
        <f aca="false">-(Waterfall!AI28+Waterfall!AI29)</f>
        <v>-11.5744355432492</v>
      </c>
      <c r="AJ43" s="13" t="n">
        <f aca="false">-(Waterfall!AJ28+Waterfall!AJ29)</f>
        <v>-13.3493437872251</v>
      </c>
      <c r="AK43" s="13" t="n">
        <f aca="false">-(Waterfall!AK28+Waterfall!AK29)</f>
        <v>-2.63775636753845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-405.252529411852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-14.7605174487002</v>
      </c>
      <c r="Q44" s="13" t="n">
        <f aca="false">-(Waterfall!Q34+Waterfall!Q35)</f>
        <v>-12.092976178054</v>
      </c>
      <c r="R44" s="13" t="n">
        <f aca="false">-(Waterfall!R34+Waterfall!R35)</f>
        <v>-13.0091528602469</v>
      </c>
      <c r="S44" s="13" t="n">
        <f aca="false">-(Waterfall!S34+Waterfall!S35)</f>
        <v>-12.1898848976554</v>
      </c>
      <c r="T44" s="13" t="n">
        <f aca="false">-(Waterfall!T34+Waterfall!T35)</f>
        <v>-12.9607386211096</v>
      </c>
      <c r="U44" s="13" t="n">
        <f aca="false">-(Waterfall!U34+Waterfall!U35)</f>
        <v>-11.9043261329072</v>
      </c>
      <c r="V44" s="13" t="n">
        <f aca="false">-(Waterfall!V34+Waterfall!V35)</f>
        <v>-12.9512911973806</v>
      </c>
      <c r="W44" s="13" t="n">
        <f aca="false">-(Waterfall!W34+Waterfall!W35)</f>
        <v>-13.6967188579408</v>
      </c>
      <c r="X44" s="13" t="n">
        <f aca="false">-(Waterfall!X34+Waterfall!X35)</f>
        <v>-12.5884367533642</v>
      </c>
      <c r="Y44" s="13" t="n">
        <f aca="false">-(Waterfall!Y34+Waterfall!Y35)</f>
        <v>-11.761452965614</v>
      </c>
      <c r="Z44" s="13" t="n">
        <f aca="false">-(Waterfall!Z34+Waterfall!Z35)</f>
        <v>-12.3791402322538</v>
      </c>
      <c r="AA44" s="13" t="n">
        <f aca="false">-(Waterfall!AA34+Waterfall!AA35)</f>
        <v>-5.77143840957161</v>
      </c>
      <c r="AB44" s="13" t="n">
        <f aca="false">-(Waterfall!AB34+Waterfall!AB35)</f>
        <v>-6.72937260136007</v>
      </c>
      <c r="AC44" s="13" t="n">
        <f aca="false">-(Waterfall!AC34+Waterfall!AC35)</f>
        <v>-6.35608931155681</v>
      </c>
      <c r="AD44" s="13" t="n">
        <f aca="false">-(Waterfall!AD34+Waterfall!AD35)</f>
        <v>-7.90310879794556</v>
      </c>
      <c r="AE44" s="13" t="n">
        <f aca="false">-(Waterfall!AE34+Waterfall!AE35)</f>
        <v>-8.32006384432979</v>
      </c>
      <c r="AF44" s="13" t="n">
        <f aca="false">-(Waterfall!AF34+Waterfall!AF35)</f>
        <v>-9.05050483783319</v>
      </c>
      <c r="AG44" s="13" t="n">
        <f aca="false">-(Waterfall!AG34+Waterfall!AG35)</f>
        <v>-9.42958548490081</v>
      </c>
      <c r="AH44" s="13" t="n">
        <f aca="false">-(Waterfall!AH34+Waterfall!AH35)</f>
        <v>-10.772808297681</v>
      </c>
      <c r="AI44" s="13" t="n">
        <f aca="false">-(Waterfall!AI34+Waterfall!AI35)</f>
        <v>-11.5744355432492</v>
      </c>
      <c r="AJ44" s="13" t="n">
        <f aca="false">-(Waterfall!AJ34+Waterfall!AJ35)</f>
        <v>-13.3493437872251</v>
      </c>
      <c r="AK44" s="13" t="n">
        <f aca="false">-(Waterfall!AK34+Waterfall!AK35)</f>
        <v>-27.3755760456152</v>
      </c>
      <c r="AL44" s="13" t="n">
        <f aca="false">-(Waterfall!AL34+Waterfall!AL35)</f>
        <v>-29.1807954549513</v>
      </c>
      <c r="AM44" s="13" t="n">
        <f aca="false">-(Waterfall!AM34+Waterfall!AM35)</f>
        <v>-32.5441084497092</v>
      </c>
      <c r="AN44" s="13" t="n">
        <f aca="false">-(Waterfall!AN34+Waterfall!AN35)</f>
        <v>-29.4837877825804</v>
      </c>
      <c r="AO44" s="13" t="n">
        <f aca="false">-(Waterfall!AO34+Waterfall!AO35)</f>
        <v>-40.9382282606265</v>
      </c>
      <c r="AP44" s="13" t="n">
        <f aca="false">-(Waterfall!AP34+Waterfall!AP35)</f>
        <v>-16.1786463574892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-946.933048155282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-24.6692810454809</v>
      </c>
      <c r="AQ45" s="13" t="n">
        <f aca="false">-Waterfall!AQ41</f>
        <v>-40.136684461664</v>
      </c>
      <c r="AR45" s="13" t="n">
        <f aca="false">-Waterfall!AR41</f>
        <v>-40.7406580329047</v>
      </c>
      <c r="AS45" s="13" t="n">
        <f aca="false">-Waterfall!AS41</f>
        <v>-40.4481006596007</v>
      </c>
      <c r="AT45" s="13" t="n">
        <f aca="false">-Waterfall!AT41</f>
        <v>-46.8441976401825</v>
      </c>
      <c r="AU45" s="13" t="n">
        <f aca="false">-Waterfall!AU41</f>
        <v>-42.5883075904508</v>
      </c>
      <c r="AV45" s="13" t="n">
        <f aca="false">-Waterfall!AV41</f>
        <v>-42.8143247236077</v>
      </c>
      <c r="AW45" s="13" t="n">
        <f aca="false">-Waterfall!AW41</f>
        <v>-42.343187807146</v>
      </c>
      <c r="AX45" s="13" t="n">
        <f aca="false">-Waterfall!AX41</f>
        <v>-43.0855056864911</v>
      </c>
      <c r="AY45" s="13" t="n">
        <f aca="false">-Waterfall!AY41</f>
        <v>-42.698177643974</v>
      </c>
      <c r="AZ45" s="13" t="n">
        <f aca="false">-Waterfall!AZ41</f>
        <v>-43.3660064212279</v>
      </c>
      <c r="BA45" s="13" t="n">
        <f aca="false">-Waterfall!BA41</f>
        <v>-42.4872230639365</v>
      </c>
      <c r="BB45" s="13" t="n">
        <f aca="false">-Waterfall!BB41</f>
        <v>-42.9742178030138</v>
      </c>
      <c r="BC45" s="13" t="n">
        <f aca="false">-Waterfall!BC41</f>
        <v>-39.8852392992975</v>
      </c>
      <c r="BD45" s="13" t="n">
        <f aca="false">-Waterfall!BD41</f>
        <v>-33.9398474791138</v>
      </c>
      <c r="BE45" s="13" t="n">
        <f aca="false">-Waterfall!BE41</f>
        <v>-33.4579159499567</v>
      </c>
      <c r="BF45" s="13" t="n">
        <f aca="false">-Waterfall!BF41</f>
        <v>-34.041745588978</v>
      </c>
      <c r="BG45" s="13" t="n">
        <f aca="false">-Waterfall!BG41</f>
        <v>-33.6366108240525</v>
      </c>
      <c r="BH45" s="13" t="n">
        <f aca="false">-Waterfall!BH41</f>
        <v>-34.3975721010698</v>
      </c>
      <c r="BI45" s="13" t="n">
        <f aca="false">-Waterfall!BI41</f>
        <v>-34.1435642703747</v>
      </c>
      <c r="BJ45" s="13" t="n">
        <f aca="false">-Waterfall!BJ41</f>
        <v>-41.5645270780984</v>
      </c>
      <c r="BK45" s="13" t="n">
        <f aca="false">-Waterfall!BK41</f>
        <v>-36.519199934393</v>
      </c>
      <c r="BL45" s="13" t="n">
        <f aca="false">-Waterfall!BL41</f>
        <v>-37.3201952435865</v>
      </c>
      <c r="BM45" s="13" t="n">
        <f aca="false">-Waterfall!BM41</f>
        <v>-52.8307578066809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39.1905511807631</v>
      </c>
      <c r="P49" s="13" t="n">
        <f aca="false">P36+P37+P38+P39+P40+P41+P42+P43+P44+P45+P46+P47+P48</f>
        <v>-1.6228721689337</v>
      </c>
      <c r="Q49" s="13" t="n">
        <f aca="false">Q36+Q37+Q38+Q39+Q40+Q41+Q42+Q43+Q44+Q45+Q46+Q47+Q48</f>
        <v>0.883950340579204</v>
      </c>
      <c r="R49" s="13" t="n">
        <f aca="false">R36+R37+R38+R39+R40+R41+R42+R43+R44+R45+R46+R47+R48</f>
        <v>0.124856070585764</v>
      </c>
      <c r="S49" s="13" t="n">
        <f aca="false">S36+S37+S38+S39+S40+S41+S42+S43+S44+S45+S46+S47+S48</f>
        <v>0.834095680844662</v>
      </c>
      <c r="T49" s="13" t="n">
        <f aca="false">T36+T37+T38+T39+T40+T41+T42+T43+T44+T45+T46+T47+T48</f>
        <v>0.235784173234705</v>
      </c>
      <c r="U49" s="13" t="n">
        <f aca="false">U36+U37+U38+U39+U40+U41+U42+U43+U44+U45+U46+U47+U48</f>
        <v>1.13338023024503</v>
      </c>
      <c r="V49" s="13" t="n">
        <f aca="false">V36+V37+V38+V39+V40+V41+V42+V43+V44+V45+V46+V47+V48</f>
        <v>-2.76224444790057</v>
      </c>
      <c r="W49" s="13" t="n">
        <f aca="false">W36+W37+W38+W39+W40+W41+W42+W43+W44+W45+W46+W47+W48</f>
        <v>-1.09628172774927</v>
      </c>
      <c r="X49" s="13" t="n">
        <f aca="false">X36+X37+X38+X39+X40+X41+X42+X43+X44+X45+X46+X47+X48</f>
        <v>1.61641010358565</v>
      </c>
      <c r="Y49" s="13" t="n">
        <f aca="false">Y36+Y37+Y38+Y39+Y40+Y41+Y42+Y43+Y44+Y45+Y46+Y47+Y48</f>
        <v>2.27365708985521</v>
      </c>
      <c r="Z49" s="13" t="n">
        <f aca="false">Z36+Z37+Z38+Z39+Z40+Z41+Z42+Z43+Z44+Z45+Z46+Z47+Z48</f>
        <v>1.67572738471741</v>
      </c>
      <c r="AA49" s="13" t="n">
        <f aca="false">AA36+AA37+AA38+AA39+AA40+AA41+AA42+AA43+AA44+AA45+AA46+AA47+AA48</f>
        <v>2.40312947986325</v>
      </c>
      <c r="AB49" s="13" t="n">
        <f aca="false">AB36+AB37+AB38+AB39+AB40+AB41+AB42+AB43+AB44+AB45+AB46+AB47+AB48</f>
        <v>1.2255189993246</v>
      </c>
      <c r="AC49" s="13" t="n">
        <f aca="false">AC36+AC37+AC38+AC39+AC40+AC41+AC42+AC43+AC44+AC45+AC46+AC47+AC48</f>
        <v>2.61489282488928</v>
      </c>
      <c r="AD49" s="13" t="n">
        <f aca="false">AD36+AD37+AD38+AD39+AD40+AD41+AD42+AD43+AD44+AD45+AD46+AD47+AD48</f>
        <v>-12.5142656814549</v>
      </c>
      <c r="AE49" s="13" t="n">
        <f aca="false">AE36+AE37+AE38+AE39+AE40+AE41+AE42+AE43+AE44+AE45+AE46+AE47+AE48</f>
        <v>-0.880631404174743</v>
      </c>
      <c r="AF49" s="13" t="n">
        <f aca="false">AF36+AF37+AF38+AF39+AF40+AF41+AF42+AF43+AF44+AF45+AF46+AF47+AF48</f>
        <v>-0.898062838906168</v>
      </c>
      <c r="AG49" s="13" t="n">
        <f aca="false">AG36+AG37+AG38+AG39+AG40+AG41+AG42+AG43+AG44+AG45+AG46+AG47+AG48</f>
        <v>-0.396860957115604</v>
      </c>
      <c r="AH49" s="13" t="n">
        <f aca="false">AH36+AH37+AH38+AH39+AH40+AH41+AH42+AH43+AH44+AH45+AH46+AH47+AH48</f>
        <v>-1.24627228966396</v>
      </c>
      <c r="AI49" s="13" t="n">
        <f aca="false">AI36+AI37+AI38+AI39+AI40+AI41+AI42+AI43+AI44+AI45+AI46+AI47+AI48</f>
        <v>-1.08302237045991</v>
      </c>
      <c r="AJ49" s="13" t="n">
        <f aca="false">AJ36+AJ37+AJ38+AJ39+AJ40+AJ41+AJ42+AJ43+AJ44+AJ45+AJ46+AJ47+AJ48</f>
        <v>-1.98141074416153</v>
      </c>
      <c r="AK49" s="13" t="n">
        <f aca="false">AK36+AK37+AK38+AK39+AK40+AK41+AK42+AK43+AK44+AK45+AK46+AK47+AK48</f>
        <v>-2.20053322327194</v>
      </c>
      <c r="AL49" s="13" t="n">
        <f aca="false">AL36+AL37+AL38+AL39+AL40+AL41+AL42+AL43+AL44+AL45+AL46+AL47+AL48</f>
        <v>-3.96372825594507</v>
      </c>
      <c r="AM49" s="13" t="n">
        <f aca="false">AM36+AM37+AM38+AM39+AM40+AM41+AM42+AM43+AM44+AM45+AM46+AM47+AM48</f>
        <v>-4.43661089626823</v>
      </c>
      <c r="AN49" s="13" t="n">
        <f aca="false">AN36+AN37+AN38+AN39+AN40+AN41+AN42+AN43+AN44+AN45+AN46+AN47+AN48</f>
        <v>2.12181843510186</v>
      </c>
      <c r="AO49" s="13" t="n">
        <f aca="false">AO36+AO37+AO38+AO39+AO40+AO41+AO42+AO43+AO44+AO45+AO46+AO47+AO48</f>
        <v>-16.5551968166103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-0.00563251405315413</v>
      </c>
      <c r="P50" s="13" t="n">
        <f aca="false">Reserves!P11-Reserves!P10-Reserves!P12</f>
        <v>-0.0888522136676642</v>
      </c>
      <c r="Q50" s="13" t="n">
        <f aca="false">Reserves!Q11-Reserves!Q10-Reserves!Q12</f>
        <v>0.467682038124345</v>
      </c>
      <c r="R50" s="13" t="n">
        <f aca="false">Reserves!R11-Reserves!R10-Reserves!R12</f>
        <v>-0.291412231869096</v>
      </c>
      <c r="S50" s="13" t="n">
        <f aca="false">Reserves!S11-Reserves!S10-Reserves!S12</f>
        <v>0.417827378389802</v>
      </c>
      <c r="T50" s="13" t="n">
        <f aca="false">Reserves!T11-Reserves!T10-Reserves!T12</f>
        <v>-0.180484129220154</v>
      </c>
      <c r="U50" s="13" t="n">
        <f aca="false">Reserves!U11-Reserves!U10-Reserves!U12</f>
        <v>0.717111927790171</v>
      </c>
      <c r="V50" s="13" t="n">
        <f aca="false">Reserves!V11-Reserves!V10-Reserves!V12</f>
        <v>-0.264634633171411</v>
      </c>
      <c r="W50" s="13" t="n">
        <f aca="false">Reserves!W11-Reserves!W10-Reserves!W12</f>
        <v>-1.09628172774927</v>
      </c>
      <c r="X50" s="13" t="n">
        <f aca="false">Reserves!X11-Reserves!X10-Reserves!X12</f>
        <v>-0.356332440047808</v>
      </c>
      <c r="Y50" s="13" t="n">
        <f aca="false">Reserves!Y11-Reserves!Y10-Reserves!Y12</f>
        <v>0.300914546221748</v>
      </c>
      <c r="Z50" s="13" t="n">
        <f aca="false">Reserves!Z11-Reserves!Z10-Reserves!Z12</f>
        <v>-0.297015158916054</v>
      </c>
      <c r="AA50" s="13" t="n">
        <f aca="false">Reserves!AA11-Reserves!AA10-Reserves!AA12</f>
        <v>0.430386936229795</v>
      </c>
      <c r="AB50" s="13" t="n">
        <f aca="false">Reserves!AB11-Reserves!AB10-Reserves!AB12</f>
        <v>-0.747223544308859</v>
      </c>
      <c r="AC50" s="13" t="n">
        <f aca="false">Reserves!AC11-Reserves!AC10-Reserves!AC12</f>
        <v>0.642150281255816</v>
      </c>
      <c r="AD50" s="13" t="n">
        <f aca="false">Reserves!AD11-Reserves!AD10-Reserves!AD12</f>
        <v>-0.677810419654151</v>
      </c>
      <c r="AE50" s="13" t="n">
        <f aca="false">Reserves!AE11-Reserves!AE10-Reserves!AE12</f>
        <v>-0.880631404174743</v>
      </c>
      <c r="AF50" s="13" t="n">
        <f aca="false">Reserves!AF11-Reserves!AF10-Reserves!AF12</f>
        <v>-1.39349079382208</v>
      </c>
      <c r="AG50" s="13" t="n">
        <f aca="false">Reserves!AG11-Reserves!AG10-Reserves!AG12</f>
        <v>-0.892288912031518</v>
      </c>
      <c r="AH50" s="13" t="n">
        <f aca="false">Reserves!AH11-Reserves!AH10-Reserves!AH12</f>
        <v>-1.74170024457987</v>
      </c>
      <c r="AI50" s="13" t="n">
        <f aca="false">Reserves!AI11-Reserves!AI10-Reserves!AI12</f>
        <v>-1.57845032537582</v>
      </c>
      <c r="AJ50" s="13" t="n">
        <f aca="false">Reserves!AJ11-Reserves!AJ10-Reserves!AJ12</f>
        <v>-2.47683869907744</v>
      </c>
      <c r="AK50" s="13" t="n">
        <f aca="false">Reserves!AK11-Reserves!AK10-Reserves!AK12</f>
        <v>-2.69596117818785</v>
      </c>
      <c r="AL50" s="13" t="n">
        <f aca="false">Reserves!AL11-Reserves!AL10-Reserves!AL12</f>
        <v>-0.991160526449594</v>
      </c>
      <c r="AM50" s="13" t="n">
        <f aca="false">Reserves!AM11-Reserves!AM10-Reserves!AM12</f>
        <v>-4.43661089626824</v>
      </c>
      <c r="AN50" s="13" t="n">
        <f aca="false">Reserves!AN11-Reserves!AN10-Reserves!AN12</f>
        <v>-0.226070650385083</v>
      </c>
      <c r="AO50" s="13" t="n">
        <f aca="false">Reserves!AO11-Reserves!AO10-Reserves!AO12</f>
        <v>-18.9030859020972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39.1905511807631</v>
      </c>
      <c r="P51" s="13" t="n">
        <f aca="false">P17-O17</f>
        <v>-1.62287216893371</v>
      </c>
      <c r="Q51" s="13" t="n">
        <f aca="false">Q17-P17</f>
        <v>0.883950340579204</v>
      </c>
      <c r="R51" s="13" t="n">
        <f aca="false">R17-Q17</f>
        <v>0.124856070585764</v>
      </c>
      <c r="S51" s="13" t="n">
        <f aca="false">S17-R17</f>
        <v>0.834095680844662</v>
      </c>
      <c r="T51" s="13" t="n">
        <f aca="false">T17-S17</f>
        <v>0.235784173234705</v>
      </c>
      <c r="U51" s="13" t="n">
        <f aca="false">U17-T17</f>
        <v>1.13338023024503</v>
      </c>
      <c r="V51" s="13" t="n">
        <f aca="false">V17-U17</f>
        <v>-2.76224444790057</v>
      </c>
      <c r="W51" s="13" t="n">
        <f aca="false">W17-V17</f>
        <v>-1.09628172774927</v>
      </c>
      <c r="X51" s="13" t="n">
        <f aca="false">X17-W17</f>
        <v>1.61641010358565</v>
      </c>
      <c r="Y51" s="13" t="n">
        <f aca="false">Y17-X17</f>
        <v>2.27365708985521</v>
      </c>
      <c r="Z51" s="13" t="n">
        <f aca="false">Z17-Y17</f>
        <v>1.67572738471741</v>
      </c>
      <c r="AA51" s="13" t="n">
        <f aca="false">AA17-Z17</f>
        <v>2.40312947986325</v>
      </c>
      <c r="AB51" s="13" t="n">
        <f aca="false">AB17-AA17</f>
        <v>1.2255189993246</v>
      </c>
      <c r="AC51" s="13" t="n">
        <f aca="false">AC17-AB17</f>
        <v>2.61489282488928</v>
      </c>
      <c r="AD51" s="13" t="n">
        <f aca="false">AD17-AC17</f>
        <v>-12.5142656814549</v>
      </c>
      <c r="AE51" s="13" t="n">
        <f aca="false">AE17-AD17</f>
        <v>-0.880631404174743</v>
      </c>
      <c r="AF51" s="13" t="n">
        <f aca="false">AF17-AE17</f>
        <v>-0.898062838906171</v>
      </c>
      <c r="AG51" s="13" t="n">
        <f aca="false">AG17-AF17</f>
        <v>-0.396860957115599</v>
      </c>
      <c r="AH51" s="13" t="n">
        <f aca="false">AH17-AG17</f>
        <v>-1.24627228966396</v>
      </c>
      <c r="AI51" s="13" t="n">
        <f aca="false">AI17-AH17</f>
        <v>-1.0830223704599</v>
      </c>
      <c r="AJ51" s="13" t="n">
        <f aca="false">AJ17-AI17</f>
        <v>-1.98141074416153</v>
      </c>
      <c r="AK51" s="13" t="n">
        <f aca="false">AK17-AJ17</f>
        <v>-2.20053322327194</v>
      </c>
      <c r="AL51" s="13" t="n">
        <f aca="false">AL17-AK17</f>
        <v>-3.96372825594507</v>
      </c>
      <c r="AM51" s="13" t="n">
        <f aca="false">AM17-AL17</f>
        <v>-4.43661089626824</v>
      </c>
      <c r="AN51" s="13" t="n">
        <f aca="false">AN17-AM17</f>
        <v>2.12181843510186</v>
      </c>
      <c r="AO51" s="13" t="n">
        <f aca="false">AO17-AN17</f>
        <v>-16.5551968166102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-7.105427357601E-015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0.0343559343060729</v>
      </c>
      <c r="Q7" s="16" t="n">
        <f aca="false">IF(Debt!Q115&gt;Inputs!$F$253,Debt!Q112/Debt!Q115,0)</f>
        <v>0.0340123523077236</v>
      </c>
      <c r="R7" s="16" t="n">
        <f aca="false">IF(Debt!R115&gt;Inputs!$F$253,Debt!R112/Debt!R115,0)</f>
        <v>0.0343806826067861</v>
      </c>
      <c r="S7" s="16" t="n">
        <f aca="false">IF(Debt!S115&gt;Inputs!$F$253,Debt!S112/Debt!S115,0)</f>
        <v>0.0340245247056287</v>
      </c>
      <c r="T7" s="16" t="n">
        <f aca="false">IF(Debt!T115&gt;Inputs!$F$253,Debt!T112/Debt!T115,0)</f>
        <v>0.0343930567571427</v>
      </c>
      <c r="U7" s="16" t="n">
        <f aca="false">IF(Debt!U115&gt;Inputs!$F$253,Debt!U112/Debt!U115,0)</f>
        <v>0.0341473687228</v>
      </c>
      <c r="V7" s="16" t="n">
        <f aca="false">IF(Debt!V115&gt;Inputs!$F$253,Debt!V112/Debt!V115,0)</f>
        <v>0.0343930567571427</v>
      </c>
      <c r="W7" s="16" t="n">
        <f aca="false">IF(Debt!W115&gt;Inputs!$F$253,Debt!W112/Debt!W115,0)</f>
        <v>0.0340245247056287</v>
      </c>
      <c r="X7" s="16" t="n">
        <f aca="false">IF(Debt!X115&gt;Inputs!$F$253,Debt!X112/Debt!X115,0)</f>
        <v>0.0343930567571427</v>
      </c>
      <c r="Y7" s="16" t="n">
        <f aca="false">IF(Debt!Y115&gt;Inputs!$F$253,Debt!Y112/Debt!Y115,0)</f>
        <v>0.0350859444587151</v>
      </c>
      <c r="Z7" s="16" t="n">
        <f aca="false">IF(Debt!Z115&gt;Inputs!$F$253,Debt!Z112/Debt!Z115,0)</f>
        <v>0.0354720691028217</v>
      </c>
      <c r="AA7" s="16" t="n">
        <f aca="false">IF(Debt!AA115&gt;Inputs!$F$253,Debt!AA112/Debt!AA115,0)</f>
        <v>0.0350859444587151</v>
      </c>
      <c r="AB7" s="16" t="n">
        <f aca="false">IF(Debt!AB115&gt;Inputs!$F$253,Debt!AB112/Debt!AB115,0)</f>
        <v>0.0352764841564391</v>
      </c>
      <c r="AC7" s="16" t="n">
        <f aca="false">IF(Debt!AC115&gt;Inputs!$F$253,Debt!AC112/Debt!AC115,0)</f>
        <v>0.0347787462148895</v>
      </c>
      <c r="AD7" s="16" t="n">
        <f aca="false">IF(Debt!AD115&gt;Inputs!$F$253,Debt!AD112/Debt!AD115,0)</f>
        <v>0.0347671194846766</v>
      </c>
      <c r="AE7" s="16" t="n">
        <f aca="false">IF(Debt!AE115&gt;Inputs!$F$253,Debt!AE112/Debt!AE115,0)</f>
        <v>0.0340502316115651</v>
      </c>
      <c r="AF7" s="16" t="n">
        <f aca="false">IF(Debt!AF115&gt;Inputs!$F$253,Debt!AF112/Debt!AF115,0)</f>
        <v>0.0339651689366883</v>
      </c>
      <c r="AG7" s="16" t="n">
        <f aca="false">IF(Debt!AG115&gt;Inputs!$F$253,Debt!AG112/Debt!AG115,0)</f>
        <v>0.0338805483901224</v>
      </c>
      <c r="AH7" s="16" t="n">
        <f aca="false">IF(Debt!AH115&gt;Inputs!$F$253,Debt!AH112/Debt!AH115,0)</f>
        <v>0.0334246789183748</v>
      </c>
      <c r="AI7" s="16" t="n">
        <f aca="false">IF(Debt!AI115&gt;Inputs!$F$253,Debt!AI112/Debt!AI115,0)</f>
        <v>0.0320081279848985</v>
      </c>
      <c r="AJ7" s="16" t="n">
        <f aca="false">IF(Debt!AJ115&gt;Inputs!$F$253,Debt!AJ112/Debt!AJ115,0)</f>
        <v>0.0306674045745077</v>
      </c>
      <c r="AK7" s="16" t="n">
        <f aca="false">IF(Debt!AK115&gt;Inputs!$F$253,Debt!AK112/Debt!AK115,0)</f>
        <v>0.0278302915935034</v>
      </c>
      <c r="AL7" s="16" t="n">
        <f aca="false">IF(Debt!AL115&gt;Inputs!$F$253,Debt!AL112/Debt!AL115,0)</f>
        <v>0.0271442830190953</v>
      </c>
      <c r="AM7" s="16" t="n">
        <f aca="false">IF(Debt!AM115&gt;Inputs!$F$253,Debt!AM112/Debt!AM115,0)</f>
        <v>0.0270117523947733</v>
      </c>
      <c r="AN7" s="16" t="n">
        <f aca="false">IF(Debt!AN115&gt;Inputs!$F$253,Debt!AN112/Debt!AN115,0)</f>
        <v>0.0271442830190953</v>
      </c>
      <c r="AO7" s="16" t="n">
        <f aca="false">IF(Debt!AO115&gt;Inputs!$F$253,Debt!AO112/Debt!AO115,0)</f>
        <v>0.0270117523947733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0.0270117523947733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0.0270117523947733</v>
      </c>
      <c r="K10" s="16" t="n">
        <f aca="false">IF(K7&gt;0,K7,$F$9)</f>
        <v>0.0270117523947733</v>
      </c>
      <c r="L10" s="16" t="n">
        <f aca="false">IF(L7&gt;0,L7,$F$9)</f>
        <v>0.0270117523947733</v>
      </c>
      <c r="M10" s="16" t="n">
        <f aca="false">IF(M7&gt;0,M7,$F$9)</f>
        <v>0.0270117523947733</v>
      </c>
      <c r="N10" s="16" t="n">
        <f aca="false">IF(N7&gt;0,N7,$F$9)</f>
        <v>0.0270117523947733</v>
      </c>
      <c r="O10" s="16" t="n">
        <f aca="false">IF(O7&gt;0,O7,$F$9)</f>
        <v>0.0270117523947733</v>
      </c>
      <c r="P10" s="16" t="n">
        <f aca="false">IF(P7&gt;0,P7,$F$9)</f>
        <v>0.0343559343060729</v>
      </c>
      <c r="Q10" s="16" t="n">
        <f aca="false">IF(Q7&gt;0,Q7,$F$9)</f>
        <v>0.0340123523077236</v>
      </c>
      <c r="R10" s="16" t="n">
        <f aca="false">IF(R7&gt;0,R7,$F$9)</f>
        <v>0.0343806826067861</v>
      </c>
      <c r="S10" s="16" t="n">
        <f aca="false">IF(S7&gt;0,S7,$F$9)</f>
        <v>0.0340245247056287</v>
      </c>
      <c r="T10" s="16" t="n">
        <f aca="false">IF(T7&gt;0,T7,$F$9)</f>
        <v>0.0343930567571427</v>
      </c>
      <c r="U10" s="16" t="n">
        <f aca="false">IF(U7&gt;0,U7,$F$9)</f>
        <v>0.0341473687228</v>
      </c>
      <c r="V10" s="16" t="n">
        <f aca="false">IF(V7&gt;0,V7,$F$9)</f>
        <v>0.0343930567571427</v>
      </c>
      <c r="W10" s="16" t="n">
        <f aca="false">IF(W7&gt;0,W7,$F$9)</f>
        <v>0.0340245247056287</v>
      </c>
      <c r="X10" s="16" t="n">
        <f aca="false">IF(X7&gt;0,X7,$F$9)</f>
        <v>0.0343930567571427</v>
      </c>
      <c r="Y10" s="16" t="n">
        <f aca="false">IF(Y7&gt;0,Y7,$F$9)</f>
        <v>0.0350859444587151</v>
      </c>
      <c r="Z10" s="16" t="n">
        <f aca="false">IF(Z7&gt;0,Z7,$F$9)</f>
        <v>0.0354720691028217</v>
      </c>
      <c r="AA10" s="16" t="n">
        <f aca="false">IF(AA7&gt;0,AA7,$F$9)</f>
        <v>0.0350859444587151</v>
      </c>
      <c r="AB10" s="16" t="n">
        <f aca="false">IF(AB7&gt;0,AB7,$F$9)</f>
        <v>0.0352764841564391</v>
      </c>
      <c r="AC10" s="16" t="n">
        <f aca="false">IF(AC7&gt;0,AC7,$F$9)</f>
        <v>0.0347787462148895</v>
      </c>
      <c r="AD10" s="16" t="n">
        <f aca="false">IF(AD7&gt;0,AD7,$F$9)</f>
        <v>0.0347671194846766</v>
      </c>
      <c r="AE10" s="16" t="n">
        <f aca="false">IF(AE7&gt;0,AE7,$F$9)</f>
        <v>0.0340502316115651</v>
      </c>
      <c r="AF10" s="16" t="n">
        <f aca="false">IF(AF7&gt;0,AF7,$F$9)</f>
        <v>0.0339651689366883</v>
      </c>
      <c r="AG10" s="16" t="n">
        <f aca="false">IF(AG7&gt;0,AG7,$F$9)</f>
        <v>0.0338805483901224</v>
      </c>
      <c r="AH10" s="16" t="n">
        <f aca="false">IF(AH7&gt;0,AH7,$F$9)</f>
        <v>0.0334246789183748</v>
      </c>
      <c r="AI10" s="16" t="n">
        <f aca="false">IF(AI7&gt;0,AI7,$F$9)</f>
        <v>0.0320081279848985</v>
      </c>
      <c r="AJ10" s="16" t="n">
        <f aca="false">IF(AJ7&gt;0,AJ7,$F$9)</f>
        <v>0.0306674045745077</v>
      </c>
      <c r="AK10" s="16" t="n">
        <f aca="false">IF(AK7&gt;0,AK7,$F$9)</f>
        <v>0.0278302915935034</v>
      </c>
      <c r="AL10" s="16" t="n">
        <f aca="false">IF(AL7&gt;0,AL7,$F$9)</f>
        <v>0.0271442830190953</v>
      </c>
      <c r="AM10" s="16" t="n">
        <f aca="false">IF(AM7&gt;0,AM7,$F$9)</f>
        <v>0.0270117523947733</v>
      </c>
      <c r="AN10" s="16" t="n">
        <f aca="false">IF(AN7&gt;0,AN7,$F$9)</f>
        <v>0.0271442830190953</v>
      </c>
      <c r="AO10" s="16" t="n">
        <f aca="false">IF(AO7&gt;0,AO7,$F$9)</f>
        <v>0.0270117523947733</v>
      </c>
      <c r="AP10" s="16" t="n">
        <f aca="false">IF(AP7&gt;0,AP7,$F$9)</f>
        <v>0.0270117523947733</v>
      </c>
      <c r="AQ10" s="16" t="n">
        <f aca="false">IF(AQ7&gt;0,AQ7,$F$9)</f>
        <v>0.0270117523947733</v>
      </c>
      <c r="AR10" s="16" t="n">
        <f aca="false">IF(AR7&gt;0,AR7,$F$9)</f>
        <v>0.0270117523947733</v>
      </c>
      <c r="AS10" s="16" t="n">
        <f aca="false">IF(AS7&gt;0,AS7,$F$9)</f>
        <v>0.0270117523947733</v>
      </c>
      <c r="AT10" s="16" t="n">
        <f aca="false">IF(AT7&gt;0,AT7,$F$9)</f>
        <v>0.0270117523947733</v>
      </c>
      <c r="AU10" s="16" t="n">
        <f aca="false">IF(AU7&gt;0,AU7,$F$9)</f>
        <v>0.0270117523947733</v>
      </c>
      <c r="AV10" s="16" t="n">
        <f aca="false">IF(AV7&gt;0,AV7,$F$9)</f>
        <v>0.0270117523947733</v>
      </c>
      <c r="AW10" s="16" t="n">
        <f aca="false">IF(AW7&gt;0,AW7,$F$9)</f>
        <v>0.0270117523947733</v>
      </c>
      <c r="AX10" s="16" t="n">
        <f aca="false">IF(AX7&gt;0,AX7,$F$9)</f>
        <v>0.0270117523947733</v>
      </c>
      <c r="AY10" s="16" t="n">
        <f aca="false">IF(AY7&gt;0,AY7,$F$9)</f>
        <v>0.0270117523947733</v>
      </c>
      <c r="AZ10" s="16" t="n">
        <f aca="false">IF(AZ7&gt;0,AZ7,$F$9)</f>
        <v>0.0270117523947733</v>
      </c>
      <c r="BA10" s="16" t="n">
        <f aca="false">IF(BA7&gt;0,BA7,$F$9)</f>
        <v>0.0270117523947733</v>
      </c>
      <c r="BB10" s="16" t="n">
        <f aca="false">IF(BB7&gt;0,BB7,$F$9)</f>
        <v>0.0270117523947733</v>
      </c>
      <c r="BC10" s="16" t="n">
        <f aca="false">IF(BC7&gt;0,BC7,$F$9)</f>
        <v>0.0270117523947733</v>
      </c>
      <c r="BD10" s="16" t="n">
        <f aca="false">IF(BD7&gt;0,BD7,$F$9)</f>
        <v>0.0270117523947733</v>
      </c>
      <c r="BE10" s="16" t="n">
        <f aca="false">IF(BE7&gt;0,BE7,$F$9)</f>
        <v>0.0270117523947733</v>
      </c>
      <c r="BF10" s="16" t="n">
        <f aca="false">IF(BF7&gt;0,BF7,$F$9)</f>
        <v>0.0270117523947733</v>
      </c>
      <c r="BG10" s="16" t="n">
        <f aca="false">IF(BG7&gt;0,BG7,$F$9)</f>
        <v>0.0270117523947733</v>
      </c>
      <c r="BH10" s="16" t="n">
        <f aca="false">IF(BH7&gt;0,BH7,$F$9)</f>
        <v>0.0270117523947733</v>
      </c>
      <c r="BI10" s="16" t="n">
        <f aca="false">IF(BI7&gt;0,BI7,$F$9)</f>
        <v>0.0270117523947733</v>
      </c>
      <c r="BJ10" s="16" t="n">
        <f aca="false">IF(BJ7&gt;0,BJ7,$F$9)</f>
        <v>0.0270117523947733</v>
      </c>
      <c r="BK10" s="16" t="n">
        <f aca="false">IF(BK7&gt;0,BK7,$F$9)</f>
        <v>0.0270117523947733</v>
      </c>
      <c r="BL10" s="16" t="n">
        <f aca="false">IF(BL7&gt;0,BL7,$F$9)</f>
        <v>0.0270117523947733</v>
      </c>
      <c r="BM10" s="16" t="n">
        <f aca="false">IF(BM7&gt;0,BM7,$F$9)</f>
        <v>0.0270117523947733</v>
      </c>
      <c r="BN10" s="16" t="n">
        <f aca="false">IF(BN7&gt;0,BN7,$F$9)</f>
        <v>0.0270117523947733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727.728928088319</v>
      </c>
      <c r="K11" s="13" t="n">
        <f aca="false">IF(Time!K20&lt;=$F$8,(Waterfall!K7+L11)/(1+K10),0)</f>
        <v>747.386161704355</v>
      </c>
      <c r="L11" s="13" t="n">
        <f aca="false">IF(Time!L20&lt;=$F$8,(Waterfall!L7+M11)/(1+L10),0)</f>
        <v>767.574371647593</v>
      </c>
      <c r="M11" s="13" t="n">
        <f aca="false">IF(Time!M20&lt;=$F$8,(Waterfall!M7+N11)/(1+M10),0)</f>
        <v>788.307900519111</v>
      </c>
      <c r="N11" s="13" t="n">
        <f aca="false">IF(Time!N20&lt;=$F$8,(Waterfall!N7+O11)/(1+N10),0)</f>
        <v>809.601478338777</v>
      </c>
      <c r="O11" s="13" t="n">
        <f aca="false">IF(Time!O20&lt;=$F$8,(Waterfall!O7+P11)/(1+O10),0)</f>
        <v>831.470233010107</v>
      </c>
      <c r="P11" s="13" t="n">
        <f aca="false">IF(Time!P20&lt;=$F$8,(Waterfall!P7+Q11)/(1+P10),0)</f>
        <v>851.985045324132</v>
      </c>
      <c r="Q11" s="13" t="n">
        <f aca="false">IF(Time!Q20&lt;=$F$8,(Waterfall!Q7+R11)/(1+Q10),0)</f>
        <v>831.294147670691</v>
      </c>
      <c r="R11" s="13" t="n">
        <f aca="false">IF(Time!R20&lt;=$F$8,(Waterfall!R7+S11)/(1+R10),0)</f>
        <v>809.856348167062</v>
      </c>
      <c r="S11" s="13" t="n">
        <f aca="false">IF(Time!S20&lt;=$F$8,(Waterfall!S7+T11)/(1+S10),0)</f>
        <v>787.362928854608</v>
      </c>
      <c r="T11" s="13" t="n">
        <f aca="false">IF(Time!T20&lt;=$F$8,(Waterfall!T7+U11)/(1+T10),0)</f>
        <v>764.217185488043</v>
      </c>
      <c r="U11" s="13" t="n">
        <f aca="false">IF(Time!U20&lt;=$F$8,(Waterfall!U7+V11)/(1+U10),0)</f>
        <v>739.975188137408</v>
      </c>
      <c r="V11" s="13" t="n">
        <f aca="false">IF(Time!V20&lt;=$F$8,(Waterfall!V7+W11)/(1+V10),0)</f>
        <v>715.056931906963</v>
      </c>
      <c r="W11" s="13" t="n">
        <f aca="false">IF(Time!W20&lt;=$F$8,(Waterfall!W7+X11)/(1+W10),0)</f>
        <v>688.681133293829</v>
      </c>
      <c r="X11" s="13" t="n">
        <f aca="false">IF(Time!X20&lt;=$F$8,(Waterfall!X7+Y11)/(1+X10),0)</f>
        <v>661.495243338275</v>
      </c>
      <c r="Y11" s="13" t="n">
        <f aca="false">IF(Time!Y20&lt;=$F$8,(Waterfall!Y7+Z11)/(1+Y10),0)</f>
        <v>635.092763142003</v>
      </c>
      <c r="Z11" s="13" t="n">
        <f aca="false">IF(Time!Z20&lt;=$F$8,(Waterfall!Z7+AA11)/(1+Z10),0)</f>
        <v>608.748338152278</v>
      </c>
      <c r="AA11" s="13" t="n">
        <f aca="false">IF(Time!AA20&lt;=$F$8,(Waterfall!AA7+AB11)/(1+AA10),0)</f>
        <v>581.393974758263</v>
      </c>
      <c r="AB11" s="13" t="n">
        <f aca="false">IF(Time!AB20&lt;=$F$8,(Waterfall!AB7+AC11)/(1+AB10),0)</f>
        <v>553.250681430963</v>
      </c>
      <c r="AC11" s="13" t="n">
        <f aca="false">IF(Time!AC20&lt;=$F$8,(Waterfall!AC7+AD11)/(1+AC10),0)</f>
        <v>523.660173042678</v>
      </c>
      <c r="AD11" s="13" t="n">
        <f aca="false">IF(Time!AD20&lt;=$F$8,(Waterfall!AD7+AE11)/(1+AD10),0)</f>
        <v>493.001201078566</v>
      </c>
      <c r="AE11" s="13" t="n">
        <f aca="false">IF(Time!AE20&lt;=$F$8,(Waterfall!AE7+AF11)/(1+AE10),0)</f>
        <v>458.879302588474</v>
      </c>
      <c r="AF11" s="13" t="n">
        <f aca="false">IF(Time!AF20&lt;=$F$8,(Waterfall!AF7+AG11)/(1+AF10),0)</f>
        <v>423.535726653352</v>
      </c>
      <c r="AG11" s="13" t="n">
        <f aca="false">IF(Time!AG20&lt;=$F$8,(Waterfall!AG7+AH11)/(1+AG10),0)</f>
        <v>387.026840370963</v>
      </c>
      <c r="AH11" s="13" t="n">
        <f aca="false">IF(Time!AH20&lt;=$F$8,(Waterfall!AH7+AI11)/(1+AH10),0)</f>
        <v>349.593435285152</v>
      </c>
      <c r="AI11" s="13" t="n">
        <f aca="false">IF(Time!AI20&lt;=$F$8,(Waterfall!AI7+AJ11)/(1+AI10),0)</f>
        <v>310.008812519489</v>
      </c>
      <c r="AJ11" s="13" t="n">
        <f aca="false">IF(Time!AJ20&lt;=$F$8,(Waterfall!AJ7+AK11)/(1+AJ10),0)</f>
        <v>269.059494710247</v>
      </c>
      <c r="AK11" s="13" t="n">
        <f aca="false">IF(Time!AK20&lt;=$F$8,(Waterfall!AK7+AL11)/(1+AK10),0)</f>
        <v>225.856864411155</v>
      </c>
      <c r="AL11" s="13" t="n">
        <f aca="false">IF(Time!AL20&lt;=$F$8,(Waterfall!AL7+AM11)/(1+AL10),0)</f>
        <v>180.958842213099</v>
      </c>
      <c r="AM11" s="13" t="n">
        <f aca="false">IF(Time!AM20&lt;=$F$8,(Waterfall!AM7+AN11)/(1+AM10),0)</f>
        <v>133.970719408653</v>
      </c>
      <c r="AN11" s="13" t="n">
        <f aca="false">IF(Time!AN20&lt;=$F$8,(Waterfall!AN7+AO11)/(1+AN10),0)</f>
        <v>85.9162383072781</v>
      </c>
      <c r="AO11" s="13" t="n">
        <f aca="false">IF(Time!AO20&lt;=$F$8,(Waterfall!AO7+AP11)/(1+AO10),0)</f>
        <v>39.8614993111493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988.541937622826</v>
      </c>
      <c r="K12" s="13" t="n">
        <f aca="false">IF(Time!K20&lt;=Time!$F$15,(Waterfall!K7+L12)/(1+K10),0)</f>
        <v>1015.24418767374</v>
      </c>
      <c r="L12" s="13" t="n">
        <f aca="false">IF(Time!L20&lt;=Time!$F$15,(Waterfall!L7+M12)/(1+L10),0)</f>
        <v>1042.66771229142</v>
      </c>
      <c r="M12" s="13" t="n">
        <f aca="false">IF(Time!M20&lt;=Time!$F$15,(Waterfall!M7+N12)/(1+M10),0)</f>
        <v>1070.83199436586</v>
      </c>
      <c r="N12" s="13" t="n">
        <f aca="false">IF(Time!N20&lt;=Time!$F$15,(Waterfall!N7+O12)/(1+N10),0)</f>
        <v>1099.75704305407</v>
      </c>
      <c r="O12" s="13" t="n">
        <f aca="false">IF(Time!O20&lt;=Time!$F$15,(Waterfall!O7+P12)/(1+O10),0)</f>
        <v>1129.46340799546</v>
      </c>
      <c r="P12" s="13" t="n">
        <f aca="false">IF(Time!P20&lt;=Time!$F$15,(Waterfall!P7+Q12)/(1+P10),0)</f>
        <v>1158.02753816752</v>
      </c>
      <c r="Q12" s="13" t="n">
        <f aca="false">IF(Time!Q20&lt;=Time!$F$15,(Waterfall!Q7+R12)/(1+Q10),0)</f>
        <v>1147.85101629307</v>
      </c>
      <c r="R12" s="13" t="n">
        <f aca="false">IF(Time!R20&lt;=Time!$F$15,(Waterfall!R7+S12)/(1+R10),0)</f>
        <v>1137.18006053046</v>
      </c>
      <c r="S12" s="13" t="n">
        <f aca="false">IF(Time!S20&lt;=Time!$F$15,(Waterfall!S7+T12)/(1+S10),0)</f>
        <v>1125.94025388244</v>
      </c>
      <c r="T12" s="13" t="n">
        <f aca="false">IF(Time!T20&lt;=Time!$F$15,(Waterfall!T7+U12)/(1+T10),0)</f>
        <v>1114.31444307605</v>
      </c>
      <c r="U12" s="13" t="n">
        <f aca="false">IF(Time!U20&lt;=Time!$F$15,(Waterfall!U7+V12)/(1+U10),0)</f>
        <v>1102.11336057616</v>
      </c>
      <c r="V12" s="13" t="n">
        <f aca="false">IF(Time!V20&lt;=Time!$F$15,(Waterfall!V7+W12)/(1+V10),0)</f>
        <v>1089.56117004858</v>
      </c>
      <c r="W12" s="13" t="n">
        <f aca="false">IF(Time!W20&lt;=Time!$F$15,(Waterfall!W7+X12)/(1+W10),0)</f>
        <v>1076.06571695365</v>
      </c>
      <c r="X12" s="13" t="n">
        <f aca="false">IF(Time!X20&lt;=Time!$F$15,(Waterfall!X7+Y12)/(1+X10),0)</f>
        <v>1062.06040333541</v>
      </c>
      <c r="Y12" s="13" t="n">
        <f aca="false">IF(Time!Y20&lt;=Time!$F$15,(Waterfall!Y7+Z12)/(1+Y10),0)</f>
        <v>1049.43458342185</v>
      </c>
      <c r="Z12" s="13" t="n">
        <f aca="false">IF(Time!Z20&lt;=Time!$F$15,(Waterfall!Z7+AA12)/(1+Z10),0)</f>
        <v>1037.62773252538</v>
      </c>
      <c r="AA12" s="13" t="n">
        <f aca="false">IF(Time!AA20&lt;=Time!$F$15,(Waterfall!AA7+AB12)/(1+AA10),0)</f>
        <v>1025.48660864535</v>
      </c>
      <c r="AB12" s="13" t="n">
        <f aca="false">IF(Time!AB20&lt;=Time!$F$15,(Waterfall!AB7+AC12)/(1+AB10),0)</f>
        <v>1012.92472480514</v>
      </c>
      <c r="AC12" s="13" t="n">
        <f aca="false">IF(Time!AC20&lt;=Time!$F$15,(Waterfall!AC7+AD12)/(1+AC10),0)</f>
        <v>999.549900525065</v>
      </c>
      <c r="AD12" s="13" t="n">
        <f aca="false">IF(Time!AD20&lt;=Time!$F$15,(Waterfall!AD7+AE12)/(1+AD10),0)</f>
        <v>985.441776619337</v>
      </c>
      <c r="AE12" s="13" t="n">
        <f aca="false">IF(Time!AE20&lt;=Time!$F$15,(Waterfall!AE7+AF12)/(1+AE10),0)</f>
        <v>968.440618458174</v>
      </c>
      <c r="AF12" s="13" t="n">
        <f aca="false">IF(Time!AF20&lt;=Time!$F$15,(Waterfall!AF7+AG12)/(1+AF10),0)</f>
        <v>950.447723348708</v>
      </c>
      <c r="AG12" s="13" t="n">
        <f aca="false">IF(Time!AG20&lt;=Time!$F$15,(Waterfall!AG7+AH12)/(1+AG10),0)</f>
        <v>931.835492048845</v>
      </c>
      <c r="AH12" s="13" t="n">
        <f aca="false">IF(Time!AH20&lt;=Time!$F$15,(Waterfall!AH7+AI12)/(1+AH10),0)</f>
        <v>912.860502849564</v>
      </c>
      <c r="AI12" s="13" t="n">
        <f aca="false">IF(Time!AI20&lt;=Time!$F$15,(Waterfall!AI7+AJ12)/(1+AI10),0)</f>
        <v>892.102900962536</v>
      </c>
      <c r="AJ12" s="13" t="n">
        <f aca="false">IF(Time!AJ20&lt;=Time!$F$15,(Waterfall!AJ7+AK12)/(1+AJ10),0)</f>
        <v>869.785325235431</v>
      </c>
      <c r="AK12" s="13" t="n">
        <f aca="false">IF(Time!AK20&lt;=Time!$F$15,(Waterfall!AK7+AL12)/(1+AK10),0)</f>
        <v>845.005397019413</v>
      </c>
      <c r="AL12" s="13" t="n">
        <f aca="false">IF(Time!AL20&lt;=Time!$F$15,(Waterfall!AL7+AM12)/(1+AL10),0)</f>
        <v>817.338459023534</v>
      </c>
      <c r="AM12" s="13" t="n">
        <f aca="false">IF(Time!AM20&lt;=Time!$F$15,(Waterfall!AM7+AN12)/(1+AM10),0)</f>
        <v>787.624404645374</v>
      </c>
      <c r="AN12" s="13" t="n">
        <f aca="false">IF(Time!AN20&lt;=Time!$F$15,(Waterfall!AN7+AO12)/(1+AN10),0)</f>
        <v>757.226255041544</v>
      </c>
      <c r="AO12" s="13" t="n">
        <f aca="false">IF(Time!AO20&lt;=Time!$F$15,(Waterfall!AO7+AP12)/(1+AO10),0)</f>
        <v>729.393745133204</v>
      </c>
      <c r="AP12" s="13" t="n">
        <f aca="false">IF(Time!AP20&lt;=Time!$F$15,(Waterfall!AP7+AQ12)/(1+AP10),0)</f>
        <v>708.157720114412</v>
      </c>
      <c r="AQ12" s="13" t="n">
        <f aca="false">IF(Time!AQ20&lt;=Time!$F$15,(Waterfall!AQ7+AR12)/(1+AQ10),0)</f>
        <v>686.43837370362</v>
      </c>
      <c r="AR12" s="13" t="n">
        <f aca="false">IF(Time!AR20&lt;=Time!$F$15,(Waterfall!AR7+AS12)/(1+AR10),0)</f>
        <v>664.843592626709</v>
      </c>
      <c r="AS12" s="13" t="n">
        <f aca="false">IF(Time!AS20&lt;=Time!$F$15,(Waterfall!AS7+AT12)/(1+AS10),0)</f>
        <v>642.061525099088</v>
      </c>
      <c r="AT12" s="13" t="n">
        <f aca="false">IF(Time!AT20&lt;=Time!$F$15,(Waterfall!AT7+AU12)/(1+AT10),0)</f>
        <v>618.956631377674</v>
      </c>
      <c r="AU12" s="13" t="n">
        <f aca="false">IF(Time!AU20&lt;=Time!$F$15,(Waterfall!AU7+AV12)/(1+AU10),0)</f>
        <v>588.831537007369</v>
      </c>
      <c r="AV12" s="13" t="n">
        <f aca="false">IF(Time!AV20&lt;=Time!$F$15,(Waterfall!AV7+AW12)/(1+AV10),0)</f>
        <v>562.148601096795</v>
      </c>
      <c r="AW12" s="13" t="n">
        <f aca="false">IF(Time!AW20&lt;=Time!$F$15,(Waterfall!AW7+AX12)/(1+AW10),0)</f>
        <v>534.518895195082</v>
      </c>
      <c r="AX12" s="13" t="n">
        <f aca="false">IF(Time!AX20&lt;=Time!$F$15,(Waterfall!AX7+AY12)/(1+AX10),0)</f>
        <v>506.613999435273</v>
      </c>
      <c r="AY12" s="13" t="n">
        <f aca="false">IF(Time!AY20&lt;=Time!$F$15,(Waterfall!AY7+AZ12)/(1+AY10),0)</f>
        <v>477.213025661253</v>
      </c>
      <c r="AZ12" s="13" t="n">
        <f aca="false">IF(Time!AZ20&lt;=Time!$F$15,(Waterfall!AZ7+BA12)/(1+AZ10),0)</f>
        <v>447.405208106001</v>
      </c>
      <c r="BA12" s="13" t="n">
        <f aca="false">IF(Time!BA20&lt;=Time!$F$15,(Waterfall!BA7+BB12)/(1+BA10),0)</f>
        <v>416.124400386265</v>
      </c>
      <c r="BB12" s="13" t="n">
        <f aca="false">IF(Time!BB20&lt;=Time!$F$15,(Waterfall!BB7+BC12)/(1+BB10),0)</f>
        <v>384.382458204377</v>
      </c>
      <c r="BC12" s="13" t="n">
        <f aca="false">IF(Time!BC20&lt;=Time!$F$15,(Waterfall!BC7+BD12)/(1+BC10),0)</f>
        <v>350.28993393263</v>
      </c>
      <c r="BD12" s="13" t="n">
        <f aca="false">IF(Time!BD20&lt;=Time!$F$15,(Waterfall!BD7+BE12)/(1+BD10),0)</f>
        <v>318.34906652176</v>
      </c>
      <c r="BE12" s="13" t="n">
        <f aca="false">IF(Time!BE20&lt;=Time!$F$15,(Waterfall!BE7+BF12)/(1+BE10),0)</f>
        <v>291.474209642392</v>
      </c>
      <c r="BF12" s="13" t="n">
        <f aca="false">IF(Time!BF20&lt;=Time!$F$15,(Waterfall!BF7+BG12)/(1+BF10),0)</f>
        <v>264.338563191802</v>
      </c>
      <c r="BG12" s="13" t="n">
        <f aca="false">IF(Time!BG20&lt;=Time!$F$15,(Waterfall!BG7+BH12)/(1+BG10),0)</f>
        <v>235.869137997579</v>
      </c>
      <c r="BH12" s="13" t="n">
        <f aca="false">IF(Time!BH20&lt;=Time!$F$15,(Waterfall!BH7+BI12)/(1+BH10),0)</f>
        <v>207.018685132749</v>
      </c>
      <c r="BI12" s="13" t="n">
        <f aca="false">IF(Time!BI20&lt;=Time!$F$15,(Waterfall!BI7+BJ12)/(1+BI10),0)</f>
        <v>176.610628669708</v>
      </c>
      <c r="BJ12" s="13" t="n">
        <f aca="false">IF(Time!BJ20&lt;=Time!$F$15,(Waterfall!BJ7+BK12)/(1+BJ10),0)</f>
        <v>145.617674399841</v>
      </c>
      <c r="BK12" s="13" t="n">
        <f aca="false">IF(Time!BK20&lt;=Time!$F$15,(Waterfall!BK7+BL12)/(1+BK10),0)</f>
        <v>106.348860780897</v>
      </c>
      <c r="BL12" s="13" t="n">
        <f aca="false">IF(Time!BL20&lt;=Time!$F$15,(Waterfall!BL7+BM12)/(1+BL10),0)</f>
        <v>71.0467384134091</v>
      </c>
      <c r="BM12" s="13" t="n">
        <f aca="false">IF(Time!BM20&lt;=Time!$F$15,(Waterfall!BM7+BN12)/(1+BM10),0)</f>
        <v>33.9719361179313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1.40442084601344</v>
      </c>
      <c r="Q13" s="3" t="n">
        <f aca="false">IF(Debt!Q115&gt;Inputs!$F$253,(Q11+Reserves!Q9)/Debt!Q115,0)</f>
        <v>1.40599301055436</v>
      </c>
      <c r="R13" s="3" t="n">
        <f aca="false">IF(Debt!R115&gt;Inputs!$F$253,(R11+Reserves!R9)/Debt!R115,0)</f>
        <v>1.40886340153351</v>
      </c>
      <c r="S13" s="3" t="n">
        <f aca="false">IF(Debt!S115&gt;Inputs!$F$253,(S11+Reserves!S9)/Debt!S115,0)</f>
        <v>1.41070835482288</v>
      </c>
      <c r="T13" s="3" t="n">
        <f aca="false">IF(Debt!T115&gt;Inputs!$F$253,(T11+Reserves!T9)/Debt!T115,0)</f>
        <v>1.41400700360415</v>
      </c>
      <c r="U13" s="3" t="n">
        <f aca="false">IF(Debt!U115&gt;Inputs!$F$253,(U11+Reserves!U9)/Debt!U115,0)</f>
        <v>1.41649915278585</v>
      </c>
      <c r="V13" s="3" t="n">
        <f aca="false">IF(Debt!V115&gt;Inputs!$F$253,(V11+Reserves!V9)/Debt!V115,0)</f>
        <v>1.42113742276055</v>
      </c>
      <c r="W13" s="3" t="n">
        <f aca="false">IF(Debt!W115&gt;Inputs!$F$253,(W11+Reserves!W9)/Debt!W115,0)</f>
        <v>1.42477260759886</v>
      </c>
      <c r="X13" s="3" t="n">
        <f aca="false">IF(Debt!X115&gt;Inputs!$F$253,(X11+Reserves!X9)/Debt!X115,0)</f>
        <v>1.42713997511668</v>
      </c>
      <c r="Y13" s="3" t="n">
        <f aca="false">IF(Debt!Y115&gt;Inputs!$F$253,(Y11+Reserves!Y9)/Debt!Y115,0)</f>
        <v>1.43121474798409</v>
      </c>
      <c r="Z13" s="3" t="n">
        <f aca="false">IF(Debt!Z115&gt;Inputs!$F$253,(Z11+Reserves!Z9)/Debt!Z115,0)</f>
        <v>1.43727662755996</v>
      </c>
      <c r="AA13" s="3" t="n">
        <f aca="false">IF(Debt!AA115&gt;Inputs!$F$253,(AA11+Reserves!AA9)/Debt!AA115,0)</f>
        <v>1.44295939741587</v>
      </c>
      <c r="AB13" s="3" t="n">
        <f aca="false">IF(Debt!AB115&gt;Inputs!$F$253,(AB11+Reserves!AB9)/Debt!AB115,0)</f>
        <v>1.47214163290122</v>
      </c>
      <c r="AC13" s="3" t="n">
        <f aca="false">IF(Debt!AC115&gt;Inputs!$F$253,(AC11+Reserves!AC9)/Debt!AC115,0)</f>
        <v>1.50528069816257</v>
      </c>
      <c r="AD13" s="3" t="n">
        <f aca="false">IF(Debt!AD115&gt;Inputs!$F$253,(AD11+Reserves!AD9)/Debt!AD115,0)</f>
        <v>1.5447547059663</v>
      </c>
      <c r="AE13" s="3" t="n">
        <f aca="false">IF(Debt!AE115&gt;Inputs!$F$253,(AE11+Reserves!AE9)/Debt!AE115,0)</f>
        <v>1.59236680391498</v>
      </c>
      <c r="AF13" s="3" t="n">
        <f aca="false">IF(Debt!AF115&gt;Inputs!$F$253,(AF11+Reserves!AF9)/Debt!AF115,0)</f>
        <v>1.65076020052771</v>
      </c>
      <c r="AG13" s="3" t="n">
        <f aca="false">IF(Debt!AG115&gt;Inputs!$F$253,(AG11+Reserves!AG9)/Debt!AG115,0)</f>
        <v>1.72401129898732</v>
      </c>
      <c r="AH13" s="3" t="n">
        <f aca="false">IF(Debt!AH115&gt;Inputs!$F$253,(AH11+Reserves!AH9)/Debt!AH115,0)</f>
        <v>1.81826565029774</v>
      </c>
      <c r="AI13" s="3" t="n">
        <f aca="false">IF(Debt!AI115&gt;Inputs!$F$253,(AI11+Reserves!AI9)/Debt!AI115,0)</f>
        <v>1.94771628538062</v>
      </c>
      <c r="AJ13" s="3" t="n">
        <f aca="false">IF(Debt!AJ115&gt;Inputs!$F$253,(AJ11+Reserves!AJ9)/Debt!AJ115,0)</f>
        <v>2.13462742122782</v>
      </c>
      <c r="AK13" s="3" t="n">
        <f aca="false">IF(Debt!AK115&gt;Inputs!$F$253,(AK11+Reserves!AK9)/Debt!AK115,0)</f>
        <v>2.44117318290211</v>
      </c>
      <c r="AL13" s="3" t="n">
        <f aca="false">IF(Debt!AL115&gt;Inputs!$F$253,(AL11+Reserves!AL9)/Debt!AL115,0)</f>
        <v>2.56685739354257</v>
      </c>
      <c r="AM13" s="3" t="n">
        <f aca="false">IF(Debt!AM115&gt;Inputs!$F$253,(AM11+Reserves!AM9)/Debt!AM115,0)</f>
        <v>2.69164519050156</v>
      </c>
      <c r="AN13" s="3" t="n">
        <f aca="false">IF(Debt!AN115&gt;Inputs!$F$253,(AN11+Reserves!AN9)/Debt!AN115,0)</f>
        <v>2.8745593559779</v>
      </c>
      <c r="AO13" s="3" t="n">
        <f aca="false">IF(Debt!AO115&gt;Inputs!$F$253,(AO11+Reserves!AO9)/Debt!AO115,0)</f>
        <v>3.19270197211094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1.34560447959306</v>
      </c>
      <c r="Q14" s="3" t="n">
        <f aca="false">IF(Debt!Q115&gt;Inputs!$F$253,Q11/Debt!Q115,0)</f>
        <v>1.34584574710696</v>
      </c>
      <c r="R14" s="3" t="n">
        <f aca="false">IF(Debt!R115&gt;Inputs!$F$253,R11/Debt!R115,0)</f>
        <v>1.34632452381258</v>
      </c>
      <c r="S14" s="3" t="n">
        <f aca="false">IF(Debt!S115&gt;Inputs!$F$253,S11/Debt!S115,0)</f>
        <v>1.34685595954731</v>
      </c>
      <c r="T14" s="3" t="n">
        <f aca="false">IF(Debt!T115&gt;Inputs!$F$253,T11/Debt!T115,0)</f>
        <v>1.34745476500605</v>
      </c>
      <c r="U14" s="3" t="n">
        <f aca="false">IF(Debt!U115&gt;Inputs!$F$253,U11/Debt!U115,0)</f>
        <v>1.34806433292355</v>
      </c>
      <c r="V14" s="3" t="n">
        <f aca="false">IF(Debt!V115&gt;Inputs!$F$253,V11/Debt!V115,0)</f>
        <v>1.34892004018236</v>
      </c>
      <c r="W14" s="3" t="n">
        <f aca="false">IF(Debt!W115&gt;Inputs!$F$253,W11/Debt!W115,0)</f>
        <v>1.35023511494617</v>
      </c>
      <c r="X14" s="3" t="n">
        <f aca="false">IF(Debt!X115&gt;Inputs!$F$253,X11/Debt!X115,0)</f>
        <v>1.35169537886985</v>
      </c>
      <c r="Y14" s="3" t="n">
        <f aca="false">IF(Debt!Y115&gt;Inputs!$F$253,Y11/Debt!Y115,0)</f>
        <v>1.35329974861642</v>
      </c>
      <c r="Z14" s="3" t="n">
        <f aca="false">IF(Debt!Z115&gt;Inputs!$F$253,Z11/Debt!Z115,0)</f>
        <v>1.35520538482585</v>
      </c>
      <c r="AA14" s="3" t="n">
        <f aca="false">IF(Debt!AA115&gt;Inputs!$F$253,AA11/Debt!AA115,0)</f>
        <v>1.35757031389778</v>
      </c>
      <c r="AB14" s="3" t="n">
        <f aca="false">IF(Debt!AB115&gt;Inputs!$F$253,AB11/Debt!AB115,0)</f>
        <v>1.37986202818092</v>
      </c>
      <c r="AC14" s="3" t="n">
        <f aca="false">IF(Debt!AC115&gt;Inputs!$F$253,AC11/Debt!AC115,0)</f>
        <v>1.40782011837404</v>
      </c>
      <c r="AD14" s="3" t="n">
        <f aca="false">IF(Debt!AD115&gt;Inputs!$F$253,AD11/Debt!AD115,0)</f>
        <v>1.43720075254842</v>
      </c>
      <c r="AE14" s="3" t="n">
        <f aca="false">IF(Debt!AE115&gt;Inputs!$F$253,AE11/Debt!AE115,0)</f>
        <v>1.4758850211437</v>
      </c>
      <c r="AF14" s="3" t="n">
        <f aca="false">IF(Debt!AF115&gt;Inputs!$F$253,AF11/Debt!AF115,0)</f>
        <v>1.52364245025577</v>
      </c>
      <c r="AG14" s="3" t="n">
        <f aca="false">IF(Debt!AG115&gt;Inputs!$F$253,AG11/Debt!AG115,0)</f>
        <v>1.585006576726</v>
      </c>
      <c r="AH14" s="3" t="n">
        <f aca="false">IF(Debt!AH115&gt;Inputs!$F$253,AH11/Debt!AH115,0)</f>
        <v>1.66121741103873</v>
      </c>
      <c r="AI14" s="3" t="n">
        <f aca="false">IF(Debt!AI115&gt;Inputs!$F$253,AI11/Debt!AI115,0)</f>
        <v>1.76905700335075</v>
      </c>
      <c r="AJ14" s="3" t="n">
        <f aca="false">IF(Debt!AJ115&gt;Inputs!$F$253,AJ11/Debt!AJ115,0)</f>
        <v>1.92223056248171</v>
      </c>
      <c r="AK14" s="3" t="n">
        <f aca="false">IF(Debt!AK115&gt;Inputs!$F$253,AK11/Debt!AK115,0)</f>
        <v>2.17832664608981</v>
      </c>
      <c r="AL14" s="3" t="n">
        <f aca="false">IF(Debt!AL115&gt;Inputs!$F$253,AL11/Debt!AL115,0)</f>
        <v>2.26014549460615</v>
      </c>
      <c r="AM14" s="3" t="n">
        <f aca="false">IF(Debt!AM115&gt;Inputs!$F$253,AM11/Debt!AM115,0)</f>
        <v>2.28900396192495</v>
      </c>
      <c r="AN14" s="3" t="n">
        <f aca="false">IF(Debt!AN115&gt;Inputs!$F$253,AN11/Debt!AN115,0)</f>
        <v>2.35109142086932</v>
      </c>
      <c r="AO14" s="3" t="n">
        <f aca="false">IF(Debt!AO115&gt;Inputs!$F$253,AO11/Debt!AO115,0)</f>
        <v>2.16569021971617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1.82896055676366</v>
      </c>
      <c r="Q15" s="3" t="n">
        <f aca="false">IF(Debt!Q115&gt;Inputs!$F$253,Q12/Debt!Q115,0)</f>
        <v>1.85834390019355</v>
      </c>
      <c r="R15" s="3" t="n">
        <f aca="false">IF(Debt!R115&gt;Inputs!$F$253,R12/Debt!R115,0)</f>
        <v>1.89047527619923</v>
      </c>
      <c r="S15" s="3" t="n">
        <f aca="false">IF(Debt!S115&gt;Inputs!$F$253,S12/Debt!S115,0)</f>
        <v>1.92602329302172</v>
      </c>
      <c r="T15" s="3" t="n">
        <f aca="false">IF(Debt!T115&gt;Inputs!$F$253,T12/Debt!T115,0)</f>
        <v>1.96474030491609</v>
      </c>
      <c r="U15" s="3" t="n">
        <f aca="false">IF(Debt!U115&gt;Inputs!$F$253,U12/Debt!U115,0)</f>
        <v>2.00779666135961</v>
      </c>
      <c r="V15" s="3" t="n">
        <f aca="false">IF(Debt!V115&gt;Inputs!$F$253,V12/Debt!V115,0)</f>
        <v>2.05540402687028</v>
      </c>
      <c r="W15" s="3" t="n">
        <f aca="false">IF(Debt!W115&gt;Inputs!$F$253,W12/Debt!W115,0)</f>
        <v>2.10974520250236</v>
      </c>
      <c r="X15" s="3" t="n">
        <f aca="false">IF(Debt!X115&gt;Inputs!$F$253,X12/Debt!X115,0)</f>
        <v>2.17020780379971</v>
      </c>
      <c r="Y15" s="3" t="n">
        <f aca="false">IF(Debt!Y115&gt;Inputs!$F$253,Y12/Debt!Y115,0)</f>
        <v>2.23620806338273</v>
      </c>
      <c r="Z15" s="3" t="n">
        <f aca="false">IF(Debt!Z115&gt;Inputs!$F$253,Z12/Debt!Z115,0)</f>
        <v>2.30998362119762</v>
      </c>
      <c r="AA15" s="3" t="n">
        <f aca="false">IF(Debt!AA115&gt;Inputs!$F$253,AA12/Debt!AA115,0)</f>
        <v>2.394538364068</v>
      </c>
      <c r="AB15" s="3" t="n">
        <f aca="false">IF(Debt!AB115&gt;Inputs!$F$253,AB12/Debt!AB115,0)</f>
        <v>2.52633464734128</v>
      </c>
      <c r="AC15" s="3" t="n">
        <f aca="false">IF(Debt!AC115&gt;Inputs!$F$253,AC12/Debt!AC115,0)</f>
        <v>2.6872130662556</v>
      </c>
      <c r="AD15" s="3" t="n">
        <f aca="false">IF(Debt!AD115&gt;Inputs!$F$253,AD12/Debt!AD115,0)</f>
        <v>2.87276716537708</v>
      </c>
      <c r="AE15" s="3" t="n">
        <f aca="false">IF(Debt!AE115&gt;Inputs!$F$253,AE12/Debt!AE115,0)</f>
        <v>3.11477766503532</v>
      </c>
      <c r="AF15" s="3" t="n">
        <f aca="false">IF(Debt!AF115&gt;Inputs!$F$253,AF12/Debt!AF115,0)</f>
        <v>3.41917436218621</v>
      </c>
      <c r="AG15" s="3" t="n">
        <f aca="false">IF(Debt!AG115&gt;Inputs!$F$253,AG12/Debt!AG115,0)</f>
        <v>3.81618334766774</v>
      </c>
      <c r="AH15" s="3" t="n">
        <f aca="false">IF(Debt!AH115&gt;Inputs!$F$253,AH12/Debt!AH115,0)</f>
        <v>4.33778099965275</v>
      </c>
      <c r="AI15" s="3" t="n">
        <f aca="false">IF(Debt!AI115&gt;Inputs!$F$253,AI12/Debt!AI115,0)</f>
        <v>5.09076136201154</v>
      </c>
      <c r="AJ15" s="3" t="n">
        <f aca="false">IF(Debt!AJ115&gt;Inputs!$F$253,AJ12/Debt!AJ115,0)</f>
        <v>6.213971139603</v>
      </c>
      <c r="AK15" s="3" t="n">
        <f aca="false">IF(Debt!AK115&gt;Inputs!$F$253,AK12/Debt!AK115,0)</f>
        <v>8.14984205689775</v>
      </c>
      <c r="AL15" s="3" t="n">
        <f aca="false">IF(Debt!AL115&gt;Inputs!$F$253,AL12/Debt!AL115,0)</f>
        <v>10.2084198436403</v>
      </c>
      <c r="AM15" s="3" t="n">
        <f aca="false">IF(Debt!AM115&gt;Inputs!$F$253,AM12/Debt!AM115,0)</f>
        <v>13.4572344666053</v>
      </c>
      <c r="AN15" s="3" t="n">
        <f aca="false">IF(Debt!AN115&gt;Inputs!$F$253,AN12/Debt!AN115,0)</f>
        <v>20.7214397064026</v>
      </c>
      <c r="AO15" s="3" t="n">
        <f aca="false">IF(Debt!AO115&gt;Inputs!$F$253,AO12/Debt!AO115,0)</f>
        <v>39.6282359533652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1.32741758679239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1.51665988455661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1.40442084601344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1.82896055676366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1.33985033484276</v>
      </c>
      <c r="P20" s="3" t="n">
        <f aca="false">IF(Debt!Q114&gt;Inputs!$F$253,(Waterfall!Q7+IF(Debt!R114&gt;Inputs!$F$253,Waterfall!R7,0))/(Debt!Q114+Debt!R114),0)</f>
        <v>1.3380798266142</v>
      </c>
      <c r="Q20" s="3" t="n">
        <f aca="false">IF(Debt!R114&gt;Inputs!$F$253,(Waterfall!R7+IF(Debt!S114&gt;Inputs!$F$253,Waterfall!S7,0))/(Debt!R114+Debt!S114),0)</f>
        <v>1.33791251846839</v>
      </c>
      <c r="R20" s="3" t="n">
        <f aca="false">IF(Debt!S114&gt;Inputs!$F$253,(Waterfall!S7+IF(Debt!T114&gt;Inputs!$F$253,Waterfall!T7,0))/(Debt!S114+Debt!T114),0)</f>
        <v>1.33817621584687</v>
      </c>
      <c r="S20" s="3" t="n">
        <f aca="false">IF(Debt!T114&gt;Inputs!$F$253,(Waterfall!T7+IF(Debt!U114&gt;Inputs!$F$253,Waterfall!U7,0))/(Debt!T114+Debt!U114),0)</f>
        <v>1.33729269987981</v>
      </c>
      <c r="T20" s="3" t="n">
        <f aca="false">IF(Debt!U114&gt;Inputs!$F$253,(Waterfall!U7+IF(Debt!V114&gt;Inputs!$F$253,Waterfall!V7,0))/(Debt!U114+Debt!V114),0)</f>
        <v>1.33367227996356</v>
      </c>
      <c r="U20" s="3" t="n">
        <f aca="false">IF(Debt!V114&gt;Inputs!$F$253,(Waterfall!V7+IF(Debt!W114&gt;Inputs!$F$253,Waterfall!W7,0))/(Debt!V114+Debt!W114),0)</f>
        <v>1.33141827105403</v>
      </c>
      <c r="V20" s="3" t="n">
        <f aca="false">IF(Debt!W114&gt;Inputs!$F$253,(Waterfall!W7+IF(Debt!X114&gt;Inputs!$F$253,Waterfall!X7,0))/(Debt!W114+Debt!X114),0)</f>
        <v>1.33137130329839</v>
      </c>
      <c r="W20" s="3" t="n">
        <f aca="false">IF(Debt!X114&gt;Inputs!$F$253,(Waterfall!X7+IF(Debt!Y114&gt;Inputs!$F$253,Waterfall!Y7,0))/(Debt!X114+Debt!Y114),0)</f>
        <v>1.33059952518552</v>
      </c>
      <c r="X20" s="3" t="n">
        <f aca="false">IF(Debt!Y114&gt;Inputs!$F$253,(Waterfall!Y7+IF(Debt!Z114&gt;Inputs!$F$253,Waterfall!Z7,0))/(Debt!Y114+Debt!Z114),0)</f>
        <v>1.32880656758716</v>
      </c>
      <c r="Y20" s="3" t="n">
        <f aca="false">IF(Debt!Z114&gt;Inputs!$F$253,(Waterfall!Z7+IF(Debt!AA114&gt;Inputs!$F$253,Waterfall!AA7,0))/(Debt!Z114+Debt!AA114),0)</f>
        <v>1.32757573204455</v>
      </c>
      <c r="Z20" s="3" t="n">
        <f aca="false">IF(Debt!AA114&gt;Inputs!$F$253,(Waterfall!AA7+IF(Debt!AB114&gt;Inputs!$F$253,Waterfall!AB7,0))/(Debt!AA114+Debt!AB114),0)</f>
        <v>1.33831221190517</v>
      </c>
      <c r="AA20" s="3" t="n">
        <f aca="false">IF(Debt!AB114&gt;Inputs!$F$253,(Waterfall!AB7+IF(Debt!AC114&gt;Inputs!$F$253,Waterfall!AC7,0))/(Debt!AB114+Debt!AC114),0)</f>
        <v>1.36246563007461</v>
      </c>
      <c r="AB20" s="3" t="n">
        <f aca="false">IF(Debt!AC114&gt;Inputs!$F$253,(Waterfall!AC7+IF(Debt!AD114&gt;Inputs!$F$253,Waterfall!AD7,0))/(Debt!AC114+Debt!AD114),0)</f>
        <v>1.39752258859867</v>
      </c>
      <c r="AC20" s="3" t="n">
        <f aca="false">IF(Debt!AD114&gt;Inputs!$F$253,(Waterfall!AD7+IF(Debt!AE114&gt;Inputs!$F$253,Waterfall!AE7,0))/(Debt!AD114+Debt!AE114),0)</f>
        <v>1.43295084396019</v>
      </c>
      <c r="AD20" s="3" t="n">
        <f aca="false">IF(Debt!AE114&gt;Inputs!$F$253,(Waterfall!AE7+IF(Debt!AF114&gt;Inputs!$F$253,Waterfall!AF7,0))/(Debt!AE114+Debt!AF114),0)</f>
        <v>1.46785236171763</v>
      </c>
      <c r="AE20" s="3" t="n">
        <f aca="false">IF(Debt!AF114&gt;Inputs!$F$253,(Waterfall!AF7+IF(Debt!AG114&gt;Inputs!$F$253,Waterfall!AG7,0))/(Debt!AF114+Debt!AG114),0)</f>
        <v>1.51934192564313</v>
      </c>
      <c r="AF20" s="3" t="n">
        <f aca="false">IF(Debt!AG114&gt;Inputs!$F$253,(Waterfall!AG7+IF(Debt!AH114&gt;Inputs!$F$253,Waterfall!AH7,0))/(Debt!AG114+Debt!AH114),0)</f>
        <v>1.58975442851967</v>
      </c>
      <c r="AG20" s="3" t="n">
        <f aca="false">IF(Debt!AH114&gt;Inputs!$F$253,(Waterfall!AH7+IF(Debt!AI114&gt;Inputs!$F$253,Waterfall!AI7,0))/(Debt!AH114+Debt!AI114),0)</f>
        <v>1.68086343435055</v>
      </c>
      <c r="AH20" s="3" t="n">
        <f aca="false">IF(Debt!AI114&gt;Inputs!$F$253,(Waterfall!AI7+IF(Debt!AJ114&gt;Inputs!$F$253,Waterfall!AJ7,0))/(Debt!AI114+Debt!AJ114),0)</f>
        <v>1.80999755884021</v>
      </c>
      <c r="AI20" s="3" t="n">
        <f aca="false">IF(Debt!AJ114&gt;Inputs!$F$253,(Waterfall!AJ7+IF(Debt!AK114&gt;Inputs!$F$253,Waterfall!AK7,0))/(Debt!AJ114+Debt!AK114),0)</f>
        <v>2.00862587690369</v>
      </c>
      <c r="AJ20" s="3" t="n">
        <f aca="false">IF(Debt!AK114&gt;Inputs!$F$253,(Waterfall!AK7+IF(Debt!AL114&gt;Inputs!$F$253,Waterfall!AL7,0))/(Debt!AK114+Debt!AL114),0)</f>
        <v>2.16668222799087</v>
      </c>
      <c r="AK20" s="3" t="n">
        <f aca="false">IF(Debt!AL114&gt;Inputs!$F$253,(Waterfall!AL7+IF(Debt!AM114&gt;Inputs!$F$253,Waterfall!AM7,0))/(Debt!AL114+Debt!AM114),0)</f>
        <v>2.19081205657606</v>
      </c>
      <c r="AL20" s="3" t="n">
        <f aca="false">IF(Debt!AM114&gt;Inputs!$F$253,(Waterfall!AM7+IF(Debt!AN114&gt;Inputs!$F$253,Waterfall!AN7,0))/(Debt!AM114+Debt!AN114),0)</f>
        <v>2.34360737318516</v>
      </c>
      <c r="AM20" s="3" t="n">
        <f aca="false">IF(Debt!AN114&gt;Inputs!$F$253,(Waterfall!AN7+IF(Debt!AO114&gt;Inputs!$F$253,Waterfall!AO7,0))/(Debt!AN114+Debt!AO114),0)</f>
        <v>2.34866776661886</v>
      </c>
      <c r="AN20" s="3" t="n">
        <f aca="false">IF(Debt!AO114&gt;Inputs!$F$253,(Waterfall!AO7+IF(Debt!AP114&gt;Inputs!$F$253,Waterfall!AP7,0))/(Debt!AO114+Debt!AP114),0)</f>
        <v>2.16569021971617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1130.38488075986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-0.648288601998103</v>
      </c>
      <c r="M8" s="13" t="n">
        <f aca="false">-Funding!L68</f>
        <v>-0.826363804127191</v>
      </c>
      <c r="N8" s="13" t="n">
        <f aca="false">-Funding!M68</f>
        <v>-1.16821537406682</v>
      </c>
      <c r="O8" s="13" t="n">
        <f aca="false">-Funding!N68</f>
        <v>-1.68214899625852</v>
      </c>
      <c r="P8" s="13" t="n">
        <f aca="false">-Funding!O68</f>
        <v>-2.31802733684982</v>
      </c>
      <c r="Q8" s="13" t="n">
        <f aca="false">-Funding!P68</f>
        <v>-3.02395088124613</v>
      </c>
      <c r="R8" s="13" t="n">
        <f aca="false">-Funding!Q68</f>
        <v>-3.83833657214777</v>
      </c>
      <c r="S8" s="13" t="n">
        <f aca="false">-Funding!R68</f>
        <v>-4.65000751864194</v>
      </c>
      <c r="T8" s="13" t="n">
        <f aca="false">-Funding!S68</f>
        <v>-5.47645844628229</v>
      </c>
      <c r="U8" s="13" t="n">
        <f aca="false">-Funding!T68</f>
        <v>-6.25007030442129</v>
      </c>
      <c r="V8" s="13" t="n">
        <f aca="false">-Funding!U68</f>
        <v>-6.99157250859683</v>
      </c>
      <c r="W8" s="13" t="n">
        <f aca="false">-Funding!V68</f>
        <v>-7.64347307711954</v>
      </c>
      <c r="X8" s="13" t="n">
        <f aca="false">-Funding!W68</f>
        <v>-8.18558271644857</v>
      </c>
      <c r="Y8" s="13" t="n">
        <f aca="false">-Funding!X68</f>
        <v>-8.63427199846061</v>
      </c>
      <c r="Z8" s="13" t="n">
        <f aca="false">-Funding!Y68</f>
        <v>-8.93302135938841</v>
      </c>
      <c r="AA8" s="13" t="n">
        <f aca="false">-Funding!Z68</f>
        <v>-9.12004045915053</v>
      </c>
      <c r="AB8" s="13" t="n">
        <f aca="false">-Funding!AA68</f>
        <v>-9.46028194517013</v>
      </c>
      <c r="AC8" s="13" t="n">
        <f aca="false">-Funding!AB68</f>
        <v>-9.02380933942055</v>
      </c>
      <c r="AD8" s="13" t="n">
        <f aca="false">-Funding!AC68</f>
        <v>-8.8090521708311</v>
      </c>
      <c r="AE8" s="13" t="n">
        <f aca="false">-Funding!AD68</f>
        <v>-8.42072443025337</v>
      </c>
      <c r="AF8" s="13" t="n">
        <f aca="false">-Funding!AE68</f>
        <v>-7.94474189730795</v>
      </c>
      <c r="AG8" s="13" t="n">
        <f aca="false">-Funding!AF68</f>
        <v>-7.33310466630713</v>
      </c>
      <c r="AH8" s="13" t="n">
        <f aca="false">-Funding!AG68</f>
        <v>-6.67087638246937</v>
      </c>
      <c r="AI8" s="13" t="n">
        <f aca="false">-Funding!AH68</f>
        <v>-5.92883554649712</v>
      </c>
      <c r="AJ8" s="13" t="n">
        <f aca="false">-Funding!AI68</f>
        <v>-5.13194708313985</v>
      </c>
      <c r="AK8" s="13" t="n">
        <f aca="false">-Funding!AJ68</f>
        <v>-4.36270075911807</v>
      </c>
      <c r="AL8" s="13" t="n">
        <f aca="false">-Funding!AK68</f>
        <v>-3.57969646761441</v>
      </c>
      <c r="AM8" s="13" t="n">
        <f aca="false">-Funding!AL68</f>
        <v>-2.88960910894141</v>
      </c>
      <c r="AN8" s="13" t="n">
        <f aca="false">-Funding!AM68</f>
        <v>-2.2716048998862</v>
      </c>
      <c r="AO8" s="13" t="n">
        <f aca="false">-Funding!AN68</f>
        <v>-1.71898110840865</v>
      </c>
      <c r="AP8" s="13" t="n">
        <f aca="false">-Funding!AO68</f>
        <v>-1.43466021879198</v>
      </c>
      <c r="AQ8" s="13" t="n">
        <f aca="false">-Funding!AP68</f>
        <v>-14.0741261502031</v>
      </c>
      <c r="AR8" s="13" t="n">
        <f aca="false">-Funding!AQ68</f>
        <v>-10.8474594480984</v>
      </c>
      <c r="AS8" s="13" t="n">
        <f aca="false">-Funding!AR68</f>
        <v>-0.964289755495309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14.7605174487002</v>
      </c>
      <c r="BS8" s="18" t="n">
        <f aca="false">Waterfall!Q44</f>
        <v>12.092976178054</v>
      </c>
      <c r="BT8" s="18" t="n">
        <f aca="false">Waterfall!R44</f>
        <v>13.0091528602469</v>
      </c>
      <c r="BU8" s="18" t="n">
        <f aca="false">Waterfall!S44</f>
        <v>12.1898848976554</v>
      </c>
      <c r="BV8" s="18" t="n">
        <f aca="false">Waterfall!T44</f>
        <v>12.9607386211096</v>
      </c>
      <c r="BW8" s="18" t="n">
        <f aca="false">Waterfall!U44</f>
        <v>11.9043261329072</v>
      </c>
      <c r="BX8" s="18" t="n">
        <f aca="false">Waterfall!V44</f>
        <v>12.9512911973806</v>
      </c>
      <c r="BY8" s="18" t="n">
        <f aca="false">Waterfall!W44</f>
        <v>13.6967188579408</v>
      </c>
      <c r="BZ8" s="18" t="n">
        <f aca="false">Waterfall!X44</f>
        <v>12.5884367533642</v>
      </c>
      <c r="CA8" s="18" t="n">
        <f aca="false">Waterfall!Y44</f>
        <v>11.761452965614</v>
      </c>
      <c r="CB8" s="18" t="n">
        <f aca="false">Waterfall!Z44</f>
        <v>12.3791402322538</v>
      </c>
      <c r="CC8" s="18" t="n">
        <f aca="false">Waterfall!AA44</f>
        <v>5.77143840957161</v>
      </c>
      <c r="CD8" s="18" t="n">
        <f aca="false">Waterfall!AB44</f>
        <v>6.72937260136007</v>
      </c>
      <c r="CE8" s="18" t="n">
        <f aca="false">Waterfall!AC44</f>
        <v>6.35608931155681</v>
      </c>
      <c r="CF8" s="18" t="n">
        <f aca="false">Waterfall!AD44</f>
        <v>7.90310879794556</v>
      </c>
      <c r="CG8" s="18" t="n">
        <f aca="false">Waterfall!AE44</f>
        <v>8.32006384432979</v>
      </c>
      <c r="CH8" s="18" t="n">
        <f aca="false">Waterfall!AF44</f>
        <v>9.05050483783319</v>
      </c>
      <c r="CI8" s="18" t="n">
        <f aca="false">Waterfall!AG44</f>
        <v>9.42958548490081</v>
      </c>
      <c r="CJ8" s="18" t="n">
        <f aca="false">Waterfall!AH44</f>
        <v>10.772808297681</v>
      </c>
      <c r="CK8" s="18" t="n">
        <f aca="false">Waterfall!AI44</f>
        <v>11.5744355432492</v>
      </c>
      <c r="CL8" s="18" t="n">
        <f aca="false">Waterfall!AJ44</f>
        <v>13.3493437872251</v>
      </c>
      <c r="CM8" s="18" t="n">
        <f aca="false">Waterfall!AK44</f>
        <v>27.3755760456152</v>
      </c>
      <c r="CN8" s="18" t="n">
        <f aca="false">Waterfall!AL44</f>
        <v>29.1807954549513</v>
      </c>
      <c r="CO8" s="18" t="n">
        <f aca="false">Waterfall!AM44</f>
        <v>32.5441084497092</v>
      </c>
      <c r="CP8" s="18" t="n">
        <f aca="false">Waterfall!AN44</f>
        <v>29.4837877825804</v>
      </c>
      <c r="CQ8" s="18" t="n">
        <f aca="false">Waterfall!AO44</f>
        <v>40.9382282606265</v>
      </c>
      <c r="CR8" s="18" t="n">
        <f aca="false">Waterfall!AP44</f>
        <v>40.8479274029701</v>
      </c>
      <c r="CS8" s="18" t="n">
        <f aca="false">Waterfall!AQ44</f>
        <v>40.136684461664</v>
      </c>
      <c r="CT8" s="18" t="n">
        <f aca="false">Waterfall!AR44</f>
        <v>40.7406580329047</v>
      </c>
      <c r="CU8" s="18" t="n">
        <f aca="false">Waterfall!AS44</f>
        <v>40.4481006596007</v>
      </c>
      <c r="CV8" s="18" t="n">
        <f aca="false">Waterfall!AT44</f>
        <v>46.8441976401825</v>
      </c>
      <c r="CW8" s="18" t="n">
        <f aca="false">Waterfall!AU44</f>
        <v>42.5883075904508</v>
      </c>
      <c r="CX8" s="18" t="n">
        <f aca="false">Waterfall!AV44</f>
        <v>42.8143247236077</v>
      </c>
      <c r="CY8" s="18" t="n">
        <f aca="false">Waterfall!AW44</f>
        <v>42.343187807146</v>
      </c>
      <c r="CZ8" s="18" t="n">
        <f aca="false">Waterfall!AX44</f>
        <v>43.0855056864911</v>
      </c>
      <c r="DA8" s="18" t="n">
        <f aca="false">Waterfall!AY44</f>
        <v>42.698177643974</v>
      </c>
      <c r="DB8" s="18" t="n">
        <f aca="false">Waterfall!AZ44</f>
        <v>43.3660064212279</v>
      </c>
      <c r="DC8" s="18" t="n">
        <f aca="false">Waterfall!BA44</f>
        <v>42.4872230639365</v>
      </c>
      <c r="DD8" s="18" t="n">
        <f aca="false">Waterfall!BB44</f>
        <v>42.9742178030138</v>
      </c>
      <c r="DE8" s="18" t="n">
        <f aca="false">Waterfall!BC44</f>
        <v>39.8852392992975</v>
      </c>
      <c r="DF8" s="18" t="n">
        <f aca="false">Waterfall!BD44</f>
        <v>33.9398474791138</v>
      </c>
      <c r="DG8" s="18" t="n">
        <f aca="false">Waterfall!BE44</f>
        <v>33.4579159499567</v>
      </c>
      <c r="DH8" s="18" t="n">
        <f aca="false">Waterfall!BF44</f>
        <v>34.041745588978</v>
      </c>
      <c r="DI8" s="18" t="n">
        <f aca="false">Waterfall!BG44</f>
        <v>33.6366108240525</v>
      </c>
      <c r="DJ8" s="18" t="n">
        <f aca="false">Waterfall!BH44</f>
        <v>34.3975721010698</v>
      </c>
      <c r="DK8" s="18" t="n">
        <f aca="false">Waterfall!BI44</f>
        <v>34.1435642703747</v>
      </c>
      <c r="DL8" s="18" t="n">
        <f aca="false">Waterfall!BJ44</f>
        <v>41.5645270780984</v>
      </c>
      <c r="DM8" s="18" t="n">
        <f aca="false">Waterfall!BK44</f>
        <v>36.519199934393</v>
      </c>
      <c r="DN8" s="18" t="n">
        <f aca="false">Waterfall!BL44</f>
        <v>37.3201952435865</v>
      </c>
      <c r="DO8" s="18" t="n">
        <f aca="false">Waterfall!BM44</f>
        <v>52.8307578066809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1550.90929580506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1.94465574366775</v>
      </c>
      <c r="BR9" s="18" t="n">
        <f aca="false">Waterfall!P7</f>
        <v>49.9616399003539</v>
      </c>
      <c r="BS9" s="18" t="n">
        <f aca="false">Waterfall!Q7</f>
        <v>49.7120689255529</v>
      </c>
      <c r="BT9" s="18" t="n">
        <f aca="false">Waterfall!R7</f>
        <v>50.3368333758767</v>
      </c>
      <c r="BU9" s="18" t="n">
        <f aca="false">Waterfall!S7</f>
        <v>49.935392791675</v>
      </c>
      <c r="BV9" s="18" t="n">
        <f aca="false">Waterfall!T7</f>
        <v>50.5257623859091</v>
      </c>
      <c r="BW9" s="18" t="n">
        <f aca="false">Waterfall!U7</f>
        <v>50.1864618254968</v>
      </c>
      <c r="BX9" s="18" t="n">
        <f aca="false">Waterfall!V7</f>
        <v>50.9687922567988</v>
      </c>
      <c r="BY9" s="18" t="n">
        <f aca="false">Waterfall!W7</f>
        <v>50.6179381896097</v>
      </c>
      <c r="BZ9" s="18" t="n">
        <f aca="false">Waterfall!X7</f>
        <v>49.1533236449854</v>
      </c>
      <c r="CA9" s="18" t="n">
        <f aca="false">Waterfall!Y7</f>
        <v>48.6272544034569</v>
      </c>
      <c r="CB9" s="18" t="n">
        <f aca="false">Waterfall!Z7</f>
        <v>48.9479265111806</v>
      </c>
      <c r="CC9" s="18" t="n">
        <f aca="false">Waterfall!AA7</f>
        <v>48.5420500342998</v>
      </c>
      <c r="CD9" s="18" t="n">
        <f aca="false">Waterfall!AB7</f>
        <v>49.1072472863243</v>
      </c>
      <c r="CE9" s="18" t="n">
        <f aca="false">Waterfall!AC7</f>
        <v>48.8712162252074</v>
      </c>
      <c r="CF9" s="18" t="n">
        <f aca="false">Waterfall!AD7</f>
        <v>51.2621301540798</v>
      </c>
      <c r="CG9" s="18" t="n">
        <f aca="false">Waterfall!AE7</f>
        <v>50.9685224700138</v>
      </c>
      <c r="CH9" s="18" t="n">
        <f aca="false">Waterfall!AF7</f>
        <v>50.8943487888929</v>
      </c>
      <c r="CI9" s="18" t="n">
        <f aca="false">Waterfall!AG7</f>
        <v>50.5460866792751</v>
      </c>
      <c r="CJ9" s="18" t="n">
        <f aca="false">Waterfall!AH7</f>
        <v>51.2696710920407</v>
      </c>
      <c r="CK9" s="18" t="n">
        <f aca="false">Waterfall!AI7</f>
        <v>50.8721195568128</v>
      </c>
      <c r="CL9" s="18" t="n">
        <f aca="false">Waterfall!AJ7</f>
        <v>51.4539866779835</v>
      </c>
      <c r="CM9" s="18" t="n">
        <f aca="false">Waterfall!AK7</f>
        <v>51.1836845930125</v>
      </c>
      <c r="CN9" s="18" t="n">
        <f aca="false">Waterfall!AL7</f>
        <v>51.9001208322862</v>
      </c>
      <c r="CO9" s="18" t="n">
        <f aca="false">Waterfall!AM7</f>
        <v>51.6732650021915</v>
      </c>
      <c r="CP9" s="18" t="n">
        <f aca="false">Waterfall!AN7</f>
        <v>48.3868736846776</v>
      </c>
      <c r="CQ9" s="18" t="n">
        <f aca="false">Waterfall!AO7</f>
        <v>40.9382282606265</v>
      </c>
      <c r="CR9" s="18" t="n">
        <f aca="false">Waterfall!AP7</f>
        <v>40.8479274029701</v>
      </c>
      <c r="CS9" s="18" t="n">
        <f aca="false">Waterfall!AQ7</f>
        <v>40.136684461664</v>
      </c>
      <c r="CT9" s="18" t="n">
        <f aca="false">Waterfall!AR7</f>
        <v>40.7406580329047</v>
      </c>
      <c r="CU9" s="18" t="n">
        <f aca="false">Waterfall!AS7</f>
        <v>40.4481006596007</v>
      </c>
      <c r="CV9" s="18" t="n">
        <f aca="false">Waterfall!AT7</f>
        <v>46.8441976401825</v>
      </c>
      <c r="CW9" s="18" t="n">
        <f aca="false">Waterfall!AU7</f>
        <v>42.5883075904508</v>
      </c>
      <c r="CX9" s="18" t="n">
        <f aca="false">Waterfall!AV7</f>
        <v>42.8143247236077</v>
      </c>
      <c r="CY9" s="18" t="n">
        <f aca="false">Waterfall!AW7</f>
        <v>42.343187807146</v>
      </c>
      <c r="CZ9" s="18" t="n">
        <f aca="false">Waterfall!AX7</f>
        <v>43.0855056864911</v>
      </c>
      <c r="DA9" s="18" t="n">
        <f aca="false">Waterfall!AY7</f>
        <v>42.698177643974</v>
      </c>
      <c r="DB9" s="18" t="n">
        <f aca="false">Waterfall!AZ7</f>
        <v>43.3660064212279</v>
      </c>
      <c r="DC9" s="18" t="n">
        <f aca="false">Waterfall!BA7</f>
        <v>42.9821914505452</v>
      </c>
      <c r="DD9" s="18" t="n">
        <f aca="false">Waterfall!BB7</f>
        <v>44.4753680576582</v>
      </c>
      <c r="DE9" s="18" t="n">
        <f aca="false">Waterfall!BC7</f>
        <v>41.4028123726398</v>
      </c>
      <c r="DF9" s="18" t="n">
        <f aca="false">Waterfall!BD7</f>
        <v>35.4740230393604</v>
      </c>
      <c r="DG9" s="18" t="n">
        <f aca="false">Waterfall!BE7</f>
        <v>35.0088756309125</v>
      </c>
      <c r="DH9" s="18" t="n">
        <f aca="false">Waterfall!BF7</f>
        <v>35.6096730115501</v>
      </c>
      <c r="DI9" s="18" t="n">
        <f aca="false">Waterfall!BG7</f>
        <v>35.2216916179893</v>
      </c>
      <c r="DJ9" s="18" t="n">
        <f aca="false">Waterfall!BH7</f>
        <v>35.9999939269384</v>
      </c>
      <c r="DK9" s="18" t="n">
        <f aca="false">Waterfall!BI7</f>
        <v>35.7635168417781</v>
      </c>
      <c r="DL9" s="18" t="n">
        <f aca="false">Waterfall!BJ7</f>
        <v>43.2022021841361</v>
      </c>
      <c r="DM9" s="18" t="n">
        <f aca="false">Waterfall!BK7</f>
        <v>38.1747914623673</v>
      </c>
      <c r="DN9" s="18" t="n">
        <f aca="false">Waterfall!BL7</f>
        <v>38.993899201957</v>
      </c>
      <c r="DO9" s="18" t="n">
        <f aca="false">Waterfall!BM7</f>
        <v>34.8895776447199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1846.49672372791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1.94465574366775</v>
      </c>
      <c r="BR10" s="13" t="n">
        <f aca="false">Waterfall!P7+Tax!P27</f>
        <v>49.9616399003539</v>
      </c>
      <c r="BS10" s="13" t="n">
        <f aca="false">Waterfall!Q7+Tax!Q27</f>
        <v>49.7120689255529</v>
      </c>
      <c r="BT10" s="13" t="n">
        <f aca="false">Waterfall!R7+Tax!R27</f>
        <v>50.3368333758767</v>
      </c>
      <c r="BU10" s="13" t="n">
        <f aca="false">Waterfall!S7+Tax!S27</f>
        <v>49.935392791675</v>
      </c>
      <c r="BV10" s="13" t="n">
        <f aca="false">Waterfall!T7+Tax!T27</f>
        <v>50.5257623859091</v>
      </c>
      <c r="BW10" s="13" t="n">
        <f aca="false">Waterfall!U7+Tax!U27</f>
        <v>50.1864618254968</v>
      </c>
      <c r="BX10" s="13" t="n">
        <f aca="false">Waterfall!V7+Tax!V27</f>
        <v>50.9687922567988</v>
      </c>
      <c r="BY10" s="13" t="n">
        <f aca="false">Waterfall!W7+Tax!W27</f>
        <v>50.6179381896097</v>
      </c>
      <c r="BZ10" s="13" t="n">
        <f aca="false">Waterfall!X7+Tax!X27</f>
        <v>49.1533236449854</v>
      </c>
      <c r="CA10" s="13" t="n">
        <f aca="false">Waterfall!Y7+Tax!Y27</f>
        <v>48.7405176887514</v>
      </c>
      <c r="CB10" s="13" t="n">
        <f aca="false">Waterfall!Z7+Tax!Z27</f>
        <v>49.2887892644679</v>
      </c>
      <c r="CC10" s="13" t="n">
        <f aca="false">Waterfall!AA7+Tax!AA27</f>
        <v>48.8839307361153</v>
      </c>
      <c r="CD10" s="13" t="n">
        <f aca="false">Waterfall!AB7+Tax!AB27</f>
        <v>49.4501647958208</v>
      </c>
      <c r="CE10" s="13" t="n">
        <f aca="false">Waterfall!AC7+Tax!AC27</f>
        <v>49.2147085475992</v>
      </c>
      <c r="CF10" s="13" t="n">
        <f aca="false">Waterfall!AD7+Tax!AD27</f>
        <v>51.6045107834136</v>
      </c>
      <c r="CG10" s="13" t="n">
        <f aca="false">Waterfall!AE7+Tax!AE27</f>
        <v>51.3137480155178</v>
      </c>
      <c r="CH10" s="13" t="n">
        <f aca="false">Waterfall!AF7+Tax!AF27</f>
        <v>51.2417716024938</v>
      </c>
      <c r="CI10" s="13" t="n">
        <f aca="false">Waterfall!AG7+Tax!AG27</f>
        <v>50.8942831753432</v>
      </c>
      <c r="CJ10" s="13" t="n">
        <f aca="false">Waterfall!AH7+Tax!AH27</f>
        <v>51.6183028865693</v>
      </c>
      <c r="CK10" s="13" t="n">
        <f aca="false">Waterfall!AI7+Tax!AI27</f>
        <v>51.2219240346418</v>
      </c>
      <c r="CL10" s="13" t="n">
        <f aca="false">Waterfall!AJ7+Tax!AJ27</f>
        <v>51.8050003572046</v>
      </c>
      <c r="CM10" s="13" t="n">
        <f aca="false">Waterfall!AK7+Tax!AK27</f>
        <v>51.5356346406103</v>
      </c>
      <c r="CN10" s="13" t="n">
        <f aca="false">Waterfall!AL7+Tax!AL27</f>
        <v>52.2506214991666</v>
      </c>
      <c r="CO10" s="13" t="n">
        <f aca="false">Waterfall!AM7+Tax!AM27</f>
        <v>52.0277709954875</v>
      </c>
      <c r="CP10" s="13" t="n">
        <f aca="false">Waterfall!AN7+Tax!AN27</f>
        <v>50.1166282389916</v>
      </c>
      <c r="CQ10" s="13" t="n">
        <f aca="false">Waterfall!AO7+Tax!AO27</f>
        <v>49.7132846947492</v>
      </c>
      <c r="CR10" s="13" t="n">
        <f aca="false">Waterfall!AP7+Tax!AP27</f>
        <v>50.3521084877527</v>
      </c>
      <c r="CS10" s="13" t="n">
        <f aca="false">Waterfall!AQ7+Tax!AQ27</f>
        <v>49.8666001223964</v>
      </c>
      <c r="CT10" s="13" t="n">
        <f aca="false">Waterfall!AR7+Tax!AR27</f>
        <v>50.528995830967</v>
      </c>
      <c r="CU10" s="13" t="n">
        <f aca="false">Waterfall!AS7+Tax!AS27</f>
        <v>50.2679567683026</v>
      </c>
      <c r="CV10" s="13" t="n">
        <f aca="false">Waterfall!AT7+Tax!AT27</f>
        <v>52.0388199882129</v>
      </c>
      <c r="CW10" s="13" t="n">
        <f aca="false">Waterfall!AU7+Tax!AU27</f>
        <v>52.5628807744514</v>
      </c>
      <c r="CX10" s="13" t="n">
        <f aca="false">Waterfall!AV7+Tax!AV27</f>
        <v>52.7231821918222</v>
      </c>
      <c r="CY10" s="13" t="n">
        <f aca="false">Waterfall!AW7+Tax!AW27</f>
        <v>52.2595215459015</v>
      </c>
      <c r="CZ10" s="13" t="n">
        <f aca="false">Waterfall!AX7+Tax!AX27</f>
        <v>53.1187032605583</v>
      </c>
      <c r="DA10" s="13" t="n">
        <f aca="false">Waterfall!AY7+Tax!AY27</f>
        <v>52.7812646870415</v>
      </c>
      <c r="DB10" s="13" t="n">
        <f aca="false">Waterfall!AZ7+Tax!AZ27</f>
        <v>53.5142237009333</v>
      </c>
      <c r="DC10" s="13" t="n">
        <f aca="false">Waterfall!BA7+Tax!BA27</f>
        <v>53.1317982718544</v>
      </c>
      <c r="DD10" s="13" t="n">
        <f aca="false">Waterfall!BB7+Tax!BB27</f>
        <v>53.2245291875604</v>
      </c>
      <c r="DE10" s="13" t="n">
        <f aca="false">Waterfall!BC7+Tax!BC27</f>
        <v>53.585676066375</v>
      </c>
      <c r="DF10" s="13" t="n">
        <f aca="false">Waterfall!BD7+Tax!BD27</f>
        <v>51.4201725351535</v>
      </c>
      <c r="DG10" s="13" t="n">
        <f aca="false">Waterfall!BE7+Tax!BE27</f>
        <v>50.9879081124733</v>
      </c>
      <c r="DH10" s="13" t="n">
        <f aca="false">Waterfall!BF7+Tax!BF27</f>
        <v>51.6174888957811</v>
      </c>
      <c r="DI10" s="13" t="n">
        <f aca="false">Waterfall!BG7+Tax!BG27</f>
        <v>51.2975076577813</v>
      </c>
      <c r="DJ10" s="13" t="n">
        <f aca="false">Waterfall!BH7+Tax!BH27</f>
        <v>52.1863141160826</v>
      </c>
      <c r="DK10" s="13" t="n">
        <f aca="false">Waterfall!BI7+Tax!BI27</f>
        <v>52.038905348205</v>
      </c>
      <c r="DL10" s="13" t="n">
        <f aca="false">Waterfall!BJ7+Tax!BJ27</f>
        <v>53.9020585876262</v>
      </c>
      <c r="DM10" s="13" t="n">
        <f aca="false">Waterfall!BK7+Tax!BK27</f>
        <v>54.5396891110923</v>
      </c>
      <c r="DN10" s="13" t="n">
        <f aca="false">Waterfall!BL7+Tax!BL27</f>
        <v>55.2453436088251</v>
      </c>
      <c r="DO10" s="13" t="n">
        <f aca="false">Waterfall!BM7+Tax!BM27</f>
        <v>40.0306138738919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-32.1926540761105</v>
      </c>
      <c r="M11" s="13" t="n">
        <f aca="false">L11+M8</f>
        <v>-33.0190178802377</v>
      </c>
      <c r="N11" s="13" t="n">
        <f aca="false">M11+N8</f>
        <v>-34.1872332543046</v>
      </c>
      <c r="O11" s="13" t="n">
        <f aca="false">N11+O8</f>
        <v>-35.8693822505631</v>
      </c>
      <c r="P11" s="13" t="n">
        <f aca="false">O11+P8</f>
        <v>-38.1874095874129</v>
      </c>
      <c r="Q11" s="13" t="n">
        <f aca="false">P11+Q8</f>
        <v>-41.211360468659</v>
      </c>
      <c r="R11" s="13" t="n">
        <f aca="false">Q11+R8</f>
        <v>-45.0496970408068</v>
      </c>
      <c r="S11" s="13" t="n">
        <f aca="false">R11+S8</f>
        <v>-49.6997045594487</v>
      </c>
      <c r="T11" s="13" t="n">
        <f aca="false">S11+T8</f>
        <v>-55.176163005731</v>
      </c>
      <c r="U11" s="13" t="n">
        <f aca="false">T11+U8</f>
        <v>-61.4262333101523</v>
      </c>
      <c r="V11" s="13" t="n">
        <f aca="false">U11+V8</f>
        <v>-68.4178058187491</v>
      </c>
      <c r="W11" s="13" t="n">
        <f aca="false">V11+W8</f>
        <v>-76.0612788958687</v>
      </c>
      <c r="X11" s="13" t="n">
        <f aca="false">W11+X8</f>
        <v>-84.2468616123173</v>
      </c>
      <c r="Y11" s="13" t="n">
        <f aca="false">X11+Y8</f>
        <v>-92.8811336107779</v>
      </c>
      <c r="Z11" s="13" t="n">
        <f aca="false">Y11+Z8</f>
        <v>-101.814154970166</v>
      </c>
      <c r="AA11" s="13" t="n">
        <f aca="false">Z11+AA8</f>
        <v>-110.934195429317</v>
      </c>
      <c r="AB11" s="13" t="n">
        <f aca="false">AA11+AB8</f>
        <v>-120.394477374487</v>
      </c>
      <c r="AC11" s="13" t="n">
        <f aca="false">AB11+AC8</f>
        <v>-129.418286713907</v>
      </c>
      <c r="AD11" s="13" t="n">
        <f aca="false">AC11+AD8</f>
        <v>-138.227338884739</v>
      </c>
      <c r="AE11" s="13" t="n">
        <f aca="false">AD11+AE8</f>
        <v>-146.648063314992</v>
      </c>
      <c r="AF11" s="13" t="n">
        <f aca="false">AE11+AF8</f>
        <v>-154.5928052123</v>
      </c>
      <c r="AG11" s="13" t="n">
        <f aca="false">AF11+AG8</f>
        <v>-161.925909878607</v>
      </c>
      <c r="AH11" s="13" t="n">
        <f aca="false">AG11+AH8</f>
        <v>-168.596786261076</v>
      </c>
      <c r="AI11" s="13" t="n">
        <f aca="false">AH11+AI8</f>
        <v>-174.525621807574</v>
      </c>
      <c r="AJ11" s="13" t="n">
        <f aca="false">AI11+AJ8</f>
        <v>-179.657568890713</v>
      </c>
      <c r="AK11" s="13" t="n">
        <f aca="false">AJ11+AK8</f>
        <v>-184.020269649831</v>
      </c>
      <c r="AL11" s="13" t="n">
        <f aca="false">AK11+AL8</f>
        <v>-187.599966117446</v>
      </c>
      <c r="AM11" s="13" t="n">
        <f aca="false">AL11+AM8</f>
        <v>-190.489575226387</v>
      </c>
      <c r="AN11" s="13" t="n">
        <f aca="false">AM11+AN8</f>
        <v>-192.761180126273</v>
      </c>
      <c r="AO11" s="13" t="n">
        <f aca="false">AN11+AO8</f>
        <v>-194.480161234682</v>
      </c>
      <c r="AP11" s="13" t="n">
        <f aca="false">AO11+AP8</f>
        <v>-195.914821453474</v>
      </c>
      <c r="AQ11" s="13" t="n">
        <f aca="false">AP11+AQ8</f>
        <v>-209.988947603677</v>
      </c>
      <c r="AR11" s="13" t="n">
        <f aca="false">AQ11+AR8</f>
        <v>-220.836407051776</v>
      </c>
      <c r="AS11" s="13" t="n">
        <f aca="false">AR11+AS8</f>
        <v>-221.800696807271</v>
      </c>
      <c r="AT11" s="13" t="n">
        <f aca="false">AS11+AT8</f>
        <v>-221.800696807271</v>
      </c>
      <c r="AU11" s="13" t="n">
        <f aca="false">AT11+AU8</f>
        <v>-221.800696807271</v>
      </c>
      <c r="AV11" s="13" t="n">
        <f aca="false">AU11+AV8</f>
        <v>-221.800696807271</v>
      </c>
      <c r="AW11" s="13" t="n">
        <f aca="false">AV11+AW8</f>
        <v>-221.800696807271</v>
      </c>
      <c r="AX11" s="13" t="n">
        <f aca="false">AW11+AX8</f>
        <v>-221.800696807271</v>
      </c>
      <c r="AY11" s="13" t="n">
        <f aca="false">AX11+AY8</f>
        <v>-221.800696807271</v>
      </c>
      <c r="AZ11" s="13" t="n">
        <f aca="false">AY11+AZ8</f>
        <v>-221.800696807271</v>
      </c>
      <c r="BA11" s="13" t="n">
        <f aca="false">AZ11+BA8</f>
        <v>-221.800696807271</v>
      </c>
      <c r="BB11" s="13" t="n">
        <f aca="false">BA11+BB8</f>
        <v>-221.800696807271</v>
      </c>
      <c r="BC11" s="13" t="n">
        <f aca="false">BB11+BC8</f>
        <v>-221.800696807271</v>
      </c>
      <c r="BD11" s="13" t="n">
        <f aca="false">BC11+BD8</f>
        <v>-221.800696807271</v>
      </c>
      <c r="BE11" s="13" t="n">
        <f aca="false">BD11+BE8</f>
        <v>-221.800696807271</v>
      </c>
      <c r="BF11" s="13" t="n">
        <f aca="false">BE11+BF8</f>
        <v>-221.800696807271</v>
      </c>
      <c r="BG11" s="13" t="n">
        <f aca="false">BF11+BG8</f>
        <v>-221.800696807271</v>
      </c>
      <c r="BH11" s="13" t="n">
        <f aca="false">BG11+BH8</f>
        <v>-221.800696807271</v>
      </c>
      <c r="BI11" s="13" t="n">
        <f aca="false">BH11+BI8</f>
        <v>-221.800696807271</v>
      </c>
      <c r="BJ11" s="13" t="n">
        <f aca="false">BI11+BJ8</f>
        <v>-221.800696807271</v>
      </c>
      <c r="BK11" s="13" t="n">
        <f aca="false">BJ11+BK8</f>
        <v>-221.800696807271</v>
      </c>
      <c r="BL11" s="13" t="n">
        <f aca="false">BK11+BL8</f>
        <v>-221.800696807271</v>
      </c>
      <c r="BM11" s="13" t="n">
        <f aca="false">BL11+BM8</f>
        <v>-221.800696807271</v>
      </c>
      <c r="BN11" s="13" t="n">
        <f aca="false">BM11+BN8</f>
        <v>-221.800696807271</v>
      </c>
      <c r="BO11" s="13" t="n">
        <f aca="false">BN11+BO8</f>
        <v>-221.800696807271</v>
      </c>
      <c r="BP11" s="13" t="n">
        <f aca="false">BO11+BP8</f>
        <v>-221.800696807271</v>
      </c>
      <c r="BQ11" s="13" t="n">
        <f aca="false">BP11+BQ8</f>
        <v>-221.800696807271</v>
      </c>
      <c r="BR11" s="13" t="n">
        <f aca="false">BQ11+BR8</f>
        <v>-207.040179358571</v>
      </c>
      <c r="BS11" s="13" t="n">
        <f aca="false">BR11+BS8</f>
        <v>-194.947203180517</v>
      </c>
      <c r="BT11" s="13" t="n">
        <f aca="false">BS11+BT8</f>
        <v>-181.93805032027</v>
      </c>
      <c r="BU11" s="13" t="n">
        <f aca="false">BT11+BU8</f>
        <v>-169.748165422614</v>
      </c>
      <c r="BV11" s="13" t="n">
        <f aca="false">BU11+BV8</f>
        <v>-156.787426801505</v>
      </c>
      <c r="BW11" s="13" t="n">
        <f aca="false">BV11+BW8</f>
        <v>-144.883100668597</v>
      </c>
      <c r="BX11" s="13" t="n">
        <f aca="false">BW11+BX8</f>
        <v>-131.931809471217</v>
      </c>
      <c r="BY11" s="13" t="n">
        <f aca="false">BX11+BY8</f>
        <v>-118.235090613276</v>
      </c>
      <c r="BZ11" s="13" t="n">
        <f aca="false">BY11+BZ8</f>
        <v>-105.646653859912</v>
      </c>
      <c r="CA11" s="13" t="n">
        <f aca="false">BZ11+CA8</f>
        <v>-93.8852008942979</v>
      </c>
      <c r="CB11" s="13" t="n">
        <f aca="false">CA11+CB8</f>
        <v>-81.5060606620441</v>
      </c>
      <c r="CC11" s="13" t="n">
        <f aca="false">CB11+CC8</f>
        <v>-75.7346222524725</v>
      </c>
      <c r="CD11" s="13" t="n">
        <f aca="false">CC11+CD8</f>
        <v>-69.0052496511124</v>
      </c>
      <c r="CE11" s="13" t="n">
        <f aca="false">CD11+CE8</f>
        <v>-62.6491603395556</v>
      </c>
      <c r="CF11" s="13" t="n">
        <f aca="false">CE11+CF8</f>
        <v>-54.74605154161</v>
      </c>
      <c r="CG11" s="13" t="n">
        <f aca="false">CF11+CG8</f>
        <v>-46.4259876972802</v>
      </c>
      <c r="CH11" s="13" t="n">
        <f aca="false">CG11+CH8</f>
        <v>-37.3754828594471</v>
      </c>
      <c r="CI11" s="13" t="n">
        <f aca="false">CH11+CI8</f>
        <v>-27.9458973745462</v>
      </c>
      <c r="CJ11" s="13" t="n">
        <f aca="false">CI11+CJ8</f>
        <v>-17.1730890768652</v>
      </c>
      <c r="CK11" s="13" t="n">
        <f aca="false">CJ11+CK8</f>
        <v>-5.59865353361607</v>
      </c>
      <c r="CL11" s="13" t="n">
        <f aca="false">CK11+CL8</f>
        <v>7.75069025360905</v>
      </c>
      <c r="CM11" s="13" t="n">
        <f aca="false">CL11+CM8</f>
        <v>35.1262662992243</v>
      </c>
      <c r="CN11" s="13" t="n">
        <f aca="false">CM11+CN8</f>
        <v>64.3070617541756</v>
      </c>
      <c r="CO11" s="13" t="n">
        <f aca="false">CN11+CO8</f>
        <v>96.8511702038849</v>
      </c>
      <c r="CP11" s="13" t="n">
        <f aca="false">CO11+CP8</f>
        <v>126.334957986465</v>
      </c>
      <c r="CQ11" s="13" t="n">
        <f aca="false">CP11+CQ8</f>
        <v>167.273186247092</v>
      </c>
      <c r="CR11" s="13" t="n">
        <f aca="false">CQ11+CR8</f>
        <v>208.121113650062</v>
      </c>
      <c r="CS11" s="13" t="n">
        <f aca="false">CR11+CS8</f>
        <v>248.257798111726</v>
      </c>
      <c r="CT11" s="13" t="n">
        <f aca="false">CS11+CT8</f>
        <v>288.998456144631</v>
      </c>
      <c r="CU11" s="13" t="n">
        <f aca="false">CT11+CU8</f>
        <v>329.446556804231</v>
      </c>
      <c r="CV11" s="13" t="n">
        <f aca="false">CU11+CV8</f>
        <v>376.290754444414</v>
      </c>
      <c r="CW11" s="13" t="n">
        <f aca="false">CV11+CW8</f>
        <v>418.879062034865</v>
      </c>
      <c r="CX11" s="13" t="n">
        <f aca="false">CW11+CX8</f>
        <v>461.693386758472</v>
      </c>
      <c r="CY11" s="13" t="n">
        <f aca="false">CX11+CY8</f>
        <v>504.036574565618</v>
      </c>
      <c r="CZ11" s="13" t="n">
        <f aca="false">CY11+CZ8</f>
        <v>547.122080252109</v>
      </c>
      <c r="DA11" s="13" t="n">
        <f aca="false">CZ11+DA8</f>
        <v>589.820257896083</v>
      </c>
      <c r="DB11" s="13" t="n">
        <f aca="false">DA11+DB8</f>
        <v>633.186264317311</v>
      </c>
      <c r="DC11" s="13" t="n">
        <f aca="false">DB11+DC8</f>
        <v>675.673487381248</v>
      </c>
      <c r="DD11" s="13" t="n">
        <f aca="false">DC11+DD8</f>
        <v>718.647705184262</v>
      </c>
      <c r="DE11" s="13" t="n">
        <f aca="false">DD11+DE8</f>
        <v>758.532944483559</v>
      </c>
      <c r="DF11" s="13" t="n">
        <f aca="false">DE11+DF8</f>
        <v>792.472791962673</v>
      </c>
      <c r="DG11" s="13" t="n">
        <f aca="false">DF11+DG8</f>
        <v>825.93070791263</v>
      </c>
      <c r="DH11" s="13" t="n">
        <f aca="false">DG11+DH8</f>
        <v>859.972453501608</v>
      </c>
      <c r="DI11" s="13" t="n">
        <f aca="false">DH11+DI8</f>
        <v>893.60906432566</v>
      </c>
      <c r="DJ11" s="13" t="n">
        <f aca="false">DI11+DJ8</f>
        <v>928.00663642673</v>
      </c>
      <c r="DK11" s="13" t="n">
        <f aca="false">DJ11+DK8</f>
        <v>962.150200697105</v>
      </c>
      <c r="DL11" s="13" t="n">
        <f aca="false">DK11+DL8</f>
        <v>1003.7147277752</v>
      </c>
      <c r="DM11" s="13" t="n">
        <f aca="false">DL11+DM8</f>
        <v>1040.2339277096</v>
      </c>
      <c r="DN11" s="13" t="n">
        <f aca="false">DM11+DN8</f>
        <v>1077.55412295318</v>
      </c>
      <c r="DO11" s="13" t="n">
        <f aca="false">DN11+DO8</f>
        <v>1130.38488075986</v>
      </c>
      <c r="DP11" s="13" t="n">
        <f aca="false">DO11+DP8</f>
        <v>1130.38488075986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0.12925774853909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0.107921510252409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0.11376867011338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-48.105464793933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854.962267123825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221.800696807271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63.8929925764965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20.8196531920175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20.6094091138038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1.32741758679239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1.51665988455661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1.40442084601344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1.82896055676366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0.12925774853909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0.107921510252409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-48.105464793933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2026-10-03T22:43:49Z</dcterms:created>
  <dc:creator>openpyxl</dc:creator>
  <dc:description/>
  <dc:language>en-US</dc:language>
  <cp:lastModifiedBy/>
  <dcterms:modified xsi:type="dcterms:W3CDTF">2026-10-03T22:43:50Z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