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<sst xmlns="http://schemas.openxmlformats.org/spreadsheetml/2006/main" count="3605" uniqueCount="2018">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</sst>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9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2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5.11</v>
      </c>
      <c r="R9" s="13" t="n">
        <f aca="false">R8+Inputs!$F$42*Time!R39</f>
        <v>5.11</v>
      </c>
      <c r="S9" s="13" t="n">
        <f aca="false">S8+Inputs!$F$42*Time!S39</f>
        <v>5.12</v>
      </c>
      <c r="T9" s="13" t="n">
        <f aca="false">T8+Inputs!$F$42*Time!T39</f>
        <v>5.12</v>
      </c>
      <c r="U9" s="13" t="n">
        <f aca="false">U8+Inputs!$F$42*Time!U39</f>
        <v>5.12</v>
      </c>
      <c r="V9" s="13" t="n">
        <f aca="false">V8+Inputs!$F$42*Time!V39</f>
        <v>5.12</v>
      </c>
      <c r="W9" s="13" t="n">
        <f aca="false">W8+Inputs!$F$42*Time!W39</f>
        <v>5.12</v>
      </c>
      <c r="X9" s="13" t="n">
        <f aca="false">X8+Inputs!$F$42*Time!X39</f>
        <v>5.12</v>
      </c>
      <c r="Y9" s="13" t="n">
        <f aca="false">Y8+Inputs!$F$42*Time!Y39</f>
        <v>5.12</v>
      </c>
      <c r="Z9" s="13" t="n">
        <f aca="false">Z8+Inputs!$F$42*Time!Z39</f>
        <v>5.12</v>
      </c>
      <c r="AA9" s="13" t="n">
        <f aca="false">AA8+Inputs!$F$42*Time!AA39</f>
        <v>5.12</v>
      </c>
      <c r="AB9" s="13" t="n">
        <f aca="false">AB8+Inputs!$F$42*Time!AB39</f>
        <v>5.12</v>
      </c>
      <c r="AC9" s="13" t="n">
        <f aca="false">AC8+Inputs!$F$42*Time!AC39</f>
        <v>5.12</v>
      </c>
      <c r="AD9" s="13" t="n">
        <f aca="false">AD8+Inputs!$F$42*Time!AD39</f>
        <v>5.12</v>
      </c>
      <c r="AE9" s="13" t="n">
        <f aca="false">AE8+Inputs!$F$42*Time!AE39</f>
        <v>5.12</v>
      </c>
      <c r="AF9" s="13" t="n">
        <f aca="false">AF8+Inputs!$F$42*Time!AF39</f>
        <v>5.12</v>
      </c>
      <c r="AG9" s="13" t="n">
        <f aca="false">AG8+Inputs!$F$42*Time!AG39</f>
        <v>5.12</v>
      </c>
      <c r="AH9" s="13" t="n">
        <f aca="false">AH8+Inputs!$F$42*Time!AH39</f>
        <v>5.12</v>
      </c>
      <c r="AI9" s="13" t="n">
        <f aca="false">AI8+Inputs!$F$42*Time!AI39</f>
        <v>5.12</v>
      </c>
      <c r="AJ9" s="13" t="n">
        <f aca="false">AJ8+Inputs!$F$42*Time!AJ39</f>
        <v>5.12</v>
      </c>
      <c r="AK9" s="13" t="n">
        <f aca="false">AK8+Inputs!$F$42*Time!AK39</f>
        <v>5.12</v>
      </c>
      <c r="AL9" s="13" t="n">
        <f aca="false">AL8+Inputs!$F$42*Time!AL39</f>
        <v>5.12</v>
      </c>
      <c r="AM9" s="13" t="n">
        <f aca="false">AM8+Inputs!$F$42*Time!AM39</f>
        <v>5.12</v>
      </c>
      <c r="AN9" s="13" t="n">
        <f aca="false">AN8+Inputs!$F$42*Time!AN39</f>
        <v>5.12</v>
      </c>
      <c r="AO9" s="13" t="n">
        <f aca="false">AO8+Inputs!$F$42*Time!AO39</f>
        <v>5.12</v>
      </c>
      <c r="AP9" s="13" t="n">
        <f aca="false">AP8+Inputs!$F$42*Time!AP39</f>
        <v>5.12</v>
      </c>
      <c r="AQ9" s="13" t="n">
        <f aca="false">AQ8+Inputs!$F$42*Time!AQ39</f>
        <v>5.12</v>
      </c>
      <c r="AR9" s="13" t="n">
        <f aca="false">AR8+Inputs!$F$42*Time!AR39</f>
        <v>5.12</v>
      </c>
      <c r="AS9" s="13" t="n">
        <f aca="false">AS8+Inputs!$F$42*Time!AS39</f>
        <v>5.12</v>
      </c>
      <c r="AT9" s="13" t="n">
        <f aca="false">AT8+Inputs!$F$42*Time!AT39</f>
        <v>5.12</v>
      </c>
      <c r="AU9" s="13" t="n">
        <f aca="false">AU8+Inputs!$F$42*Time!AU39</f>
        <v>5.12</v>
      </c>
      <c r="AV9" s="13" t="n">
        <f aca="false">AV8+Inputs!$F$42*Time!AV39</f>
        <v>5.12</v>
      </c>
      <c r="AW9" s="13" t="n">
        <f aca="false">AW8+Inputs!$F$42*Time!AW39</f>
        <v>5.12</v>
      </c>
      <c r="AX9" s="13" t="n">
        <f aca="false">AX8+Inputs!$F$42*Time!AX39</f>
        <v>5.12</v>
      </c>
      <c r="AY9" s="13" t="n">
        <f aca="false">AY8+Inputs!$F$42*Time!AY39</f>
        <v>5.12</v>
      </c>
      <c r="AZ9" s="13" t="n">
        <f aca="false">AZ8+Inputs!$F$42*Time!AZ39</f>
        <v>5.12</v>
      </c>
      <c r="BA9" s="13" t="n">
        <f aca="false">BA8+Inputs!$F$42*Time!BA39</f>
        <v>5.12</v>
      </c>
      <c r="BB9" s="13" t="n">
        <f aca="false">BB8+Inputs!$F$42*Time!BB39</f>
        <v>5.12</v>
      </c>
      <c r="BC9" s="13" t="n">
        <f aca="false">BC8+Inputs!$F$42*Time!BC39</f>
        <v>5.12</v>
      </c>
      <c r="BD9" s="13" t="n">
        <f aca="false">BD8+Inputs!$F$42*Time!BD39</f>
        <v>5.12</v>
      </c>
      <c r="BE9" s="13" t="n">
        <f aca="false">BE8+Inputs!$F$42*Time!BE39</f>
        <v>5.12</v>
      </c>
      <c r="BF9" s="13" t="n">
        <f aca="false">BF8+Inputs!$F$42*Time!BF39</f>
        <v>5.12</v>
      </c>
      <c r="BG9" s="13" t="n">
        <f aca="false">BG8+Inputs!$F$42*Time!BG39</f>
        <v>5.12</v>
      </c>
      <c r="BH9" s="13" t="n">
        <f aca="false">BH8+Inputs!$F$42*Time!BH39</f>
        <v>5.12</v>
      </c>
      <c r="BI9" s="13" t="n">
        <f aca="false">BI8+Inputs!$F$42*Time!BI39</f>
        <v>5.12</v>
      </c>
      <c r="BJ9" s="13" t="n">
        <f aca="false">BJ8+Inputs!$F$42*Time!BJ39</f>
        <v>5.12</v>
      </c>
      <c r="BK9" s="13" t="n">
        <f aca="false">BK8+Inputs!$F$42*Time!BK39</f>
        <v>5.12</v>
      </c>
      <c r="BL9" s="13" t="n">
        <f aca="false">BL8+Inputs!$F$42*Time!BL39</f>
        <v>5.12</v>
      </c>
      <c r="BM9" s="13" t="n">
        <f aca="false">BM8+Inputs!$F$42*Time!BM39</f>
        <v>5.12</v>
      </c>
      <c r="BN9" s="13" t="n">
        <f aca="false">BN8+Inputs!$F$42*Time!BN39</f>
        <v>5.12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215.497203712366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9.47749770198407</v>
      </c>
      <c r="R13" s="13" t="n">
        <f aca="false">IF(Time!R20&gt;=Time!$F$12,Waterfall!R33*Inputs!$F$104/100*Time!R31/Inputs!$F$248,0)</f>
        <v>9.55939314471906</v>
      </c>
      <c r="S13" s="13" t="n">
        <f aca="false">IF(Time!S20&gt;=Time!$F$12,Waterfall!S33*Inputs!$F$104/100*Time!S31/Inputs!$F$248,0)</f>
        <v>9.28685902153634</v>
      </c>
      <c r="T13" s="13" t="n">
        <f aca="false">IF(Time!T20&gt;=Time!$F$12,Waterfall!T33*Inputs!$F$104/100*Time!T31/Inputs!$F$248,0)</f>
        <v>9.34704516862801</v>
      </c>
      <c r="U13" s="13" t="n">
        <f aca="false">IF(Time!U20&gt;=Time!$F$12,Waterfall!U33*Inputs!$F$104/100*Time!U31/Inputs!$F$248,0)</f>
        <v>9.1174613547427</v>
      </c>
      <c r="V13" s="13" t="n">
        <f aca="false">IF(Time!V20&gt;=Time!$F$12,Waterfall!V33*Inputs!$F$104/100*Time!V31/Inputs!$F$248,0)</f>
        <v>9.1217615785114</v>
      </c>
      <c r="W13" s="13" t="n">
        <f aca="false">IF(Time!W20&gt;=Time!$F$12,Waterfall!W33*Inputs!$F$104/100*Time!W31/Inputs!$F$248,0)</f>
        <v>8.81751849511217</v>
      </c>
      <c r="X13" s="13" t="n">
        <f aca="false">IF(Time!X20&gt;=Time!$F$12,Waterfall!X33*Inputs!$F$104/100*Time!X31/Inputs!$F$248,0)</f>
        <v>8.75413848228759</v>
      </c>
      <c r="Y13" s="13" t="n">
        <f aca="false">IF(Time!Y20&gt;=Time!$F$12,Waterfall!Y33*Inputs!$F$104/100*Time!Y31/Inputs!$F$248,0)</f>
        <v>8.45201607557607</v>
      </c>
      <c r="Z13" s="13" t="n">
        <f aca="false">IF(Time!Z20&gt;=Time!$F$12,Waterfall!Z33*Inputs!$F$104/100*Time!Z31/Inputs!$F$248,0)</f>
        <v>8.45158177535858</v>
      </c>
      <c r="AA13" s="13" t="n">
        <f aca="false">IF(Time!AA20&gt;=Time!$F$12,Waterfall!AA33*Inputs!$F$104/100*Time!AA31/Inputs!$F$248,0)</f>
        <v>8.13913910641579</v>
      </c>
      <c r="AB13" s="13" t="n">
        <f aca="false">IF(Time!AB20&gt;=Time!$F$12,Waterfall!AB33*Inputs!$F$104/100*Time!AB31/Inputs!$F$248,0)</f>
        <v>8.3917312717798</v>
      </c>
      <c r="AC13" s="13" t="n">
        <f aca="false">IF(Time!AC20&gt;=Time!$F$12,Waterfall!AC33*Inputs!$F$104/100*Time!AC31/Inputs!$F$248,0)</f>
        <v>8.37905337367197</v>
      </c>
      <c r="AD13" s="13" t="n">
        <f aca="false">IF(Time!AD20&gt;=Time!$F$12,Waterfall!AD33*Inputs!$F$104/100*Time!AD31/Inputs!$F$248,0)</f>
        <v>8.56377034512912</v>
      </c>
      <c r="AE13" s="13" t="n">
        <f aca="false">IF(Time!AE20&gt;=Time!$F$12,Waterfall!AE33*Inputs!$F$104/100*Time!AE31/Inputs!$F$248,0)</f>
        <v>8.4588476734255</v>
      </c>
      <c r="AF13" s="13" t="n">
        <f aca="false">IF(Time!AF20&gt;=Time!$F$12,Waterfall!AF33*Inputs!$F$104/100*Time!AF31/Inputs!$F$248,0)</f>
        <v>8.59775975266408</v>
      </c>
      <c r="AG13" s="13" t="n">
        <f aca="false">IF(Time!AG20&gt;=Time!$F$12,Waterfall!AG33*Inputs!$F$104/100*Time!AG31/Inputs!$F$248,0)</f>
        <v>8.41811026085282</v>
      </c>
      <c r="AH13" s="13" t="n">
        <f aca="false">IF(Time!AH20&gt;=Time!$F$12,Waterfall!AH33*Inputs!$F$104/100*Time!AH31/Inputs!$F$248,0)</f>
        <v>8.48570187505078</v>
      </c>
      <c r="AI13" s="13" t="n">
        <f aca="false">IF(Time!AI20&gt;=Time!$F$12,Waterfall!AI33*Inputs!$F$104/100*Time!AI31/Inputs!$F$248,0)</f>
        <v>8.21209712968779</v>
      </c>
      <c r="AJ13" s="13" t="n">
        <f aca="false">IF(Time!AJ20&gt;=Time!$F$12,Waterfall!AJ33*Inputs!$F$104/100*Time!AJ31/Inputs!$F$248,0)</f>
        <v>8.15287843769372</v>
      </c>
      <c r="AK13" s="13" t="n">
        <f aca="false">IF(Time!AK20&gt;=Time!$F$12,Waterfall!AK33*Inputs!$F$104/100*Time!AK31/Inputs!$F$248,0)</f>
        <v>7.77614337285489</v>
      </c>
      <c r="AL13" s="13" t="n">
        <f aca="false">IF(Time!AL20&gt;=Time!$F$12,Waterfall!AL33*Inputs!$F$104/100*Time!AL31/Inputs!$F$248,0)</f>
        <v>6.72113129122453</v>
      </c>
      <c r="AM13" s="13" t="n">
        <f aca="false">IF(Time!AM20&gt;=Time!$F$12,Waterfall!AM33*Inputs!$F$104/100*Time!AM31/Inputs!$F$248,0)</f>
        <v>5.51046422922809</v>
      </c>
      <c r="AN13" s="13" t="n">
        <f aca="false">IF(Time!AN20&gt;=Time!$F$12,Waterfall!AN33*Inputs!$F$104/100*Time!AN31/Inputs!$F$248,0)</f>
        <v>4.24335332530671</v>
      </c>
      <c r="AO13" s="13" t="n">
        <f aca="false">IF(Time!AO20&gt;=Time!$F$12,Waterfall!AO33*Inputs!$F$104/100*Time!AO31/Inputs!$F$248,0)</f>
        <v>2.93536696552649</v>
      </c>
      <c r="AP13" s="13" t="n">
        <f aca="false">IF(Time!AP20&gt;=Time!$F$12,Waterfall!AP33*Inputs!$F$104/100*Time!AP31/Inputs!$F$248,0)</f>
        <v>1.11379194738171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0.79290836289058</v>
      </c>
      <c r="Q14" s="3" t="n">
        <f aca="false">IF(Waterfall!Q33&gt;0,MIN(1,Inputs!$F$183*(Waterfall!$F$32+MAX(0,Waterfall!P43))/Waterfall!Q33),1)</f>
        <v>0.917498507459701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211.595042446094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9.55939314471906</v>
      </c>
      <c r="S15" s="13" t="n">
        <f aca="false">S13*S14</f>
        <v>9.28685902153634</v>
      </c>
      <c r="T15" s="13" t="n">
        <f aca="false">T13*T14</f>
        <v>9.34704516862801</v>
      </c>
      <c r="U15" s="13" t="n">
        <f aca="false">U13*U14</f>
        <v>9.1174613547427</v>
      </c>
      <c r="V15" s="13" t="n">
        <f aca="false">V13*V14</f>
        <v>9.1217615785114</v>
      </c>
      <c r="W15" s="13" t="n">
        <f aca="false">W13*W14</f>
        <v>8.81751849511217</v>
      </c>
      <c r="X15" s="13" t="n">
        <f aca="false">X13*X14</f>
        <v>8.75413848228759</v>
      </c>
      <c r="Y15" s="13" t="n">
        <f aca="false">Y13*Y14</f>
        <v>8.45201607557607</v>
      </c>
      <c r="Z15" s="13" t="n">
        <f aca="false">Z13*Z14</f>
        <v>8.45158177535858</v>
      </c>
      <c r="AA15" s="13" t="n">
        <f aca="false">AA13*AA14</f>
        <v>8.13913910641579</v>
      </c>
      <c r="AB15" s="13" t="n">
        <f aca="false">AB13*AB14</f>
        <v>8.3917312717798</v>
      </c>
      <c r="AC15" s="13" t="n">
        <f aca="false">AC13*AC14</f>
        <v>8.37905337367197</v>
      </c>
      <c r="AD15" s="13" t="n">
        <f aca="false">AD13*AD14</f>
        <v>8.56377034512912</v>
      </c>
      <c r="AE15" s="13" t="n">
        <f aca="false">AE13*AE14</f>
        <v>8.4588476734255</v>
      </c>
      <c r="AF15" s="13" t="n">
        <f aca="false">AF13*AF14</f>
        <v>8.59775975266408</v>
      </c>
      <c r="AG15" s="13" t="n">
        <f aca="false">AG13*AG14</f>
        <v>8.41811026085282</v>
      </c>
      <c r="AH15" s="13" t="n">
        <f aca="false">AH13*AH14</f>
        <v>8.48570187505078</v>
      </c>
      <c r="AI15" s="13" t="n">
        <f aca="false">AI13*AI14</f>
        <v>8.21209712968779</v>
      </c>
      <c r="AJ15" s="13" t="n">
        <f aca="false">AJ13*AJ14</f>
        <v>8.15287843769372</v>
      </c>
      <c r="AK15" s="13" t="n">
        <f aca="false">AK13*AK14</f>
        <v>7.77614337285489</v>
      </c>
      <c r="AL15" s="13" t="n">
        <f aca="false">AL13*AL14</f>
        <v>6.72113129122453</v>
      </c>
      <c r="AM15" s="13" t="n">
        <f aca="false">AM13*AM14</f>
        <v>5.51046422922809</v>
      </c>
      <c r="AN15" s="13" t="n">
        <f aca="false">AN13*AN14</f>
        <v>4.24335332530671</v>
      </c>
      <c r="AO15" s="13" t="n">
        <f aca="false">AO13*AO14</f>
        <v>2.93536696552649</v>
      </c>
      <c r="AP15" s="13" t="n">
        <f aca="false">AP13*AP14</f>
        <v>1.11379194738171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330.484837521648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22.5164304450697</v>
      </c>
      <c r="R16" s="13" t="n">
        <f aca="false">Debt!R112+Debt!R110+Debt!R104-Debt!R103</f>
        <v>22.1738670377408</v>
      </c>
      <c r="S16" s="13" t="n">
        <f aca="false">Debt!S112+Debt!S110+Debt!S104-Debt!S103</f>
        <v>21.3176340734965</v>
      </c>
      <c r="T16" s="13" t="n">
        <f aca="false">Debt!T112+Debt!T110+Debt!T104-Debt!T103</f>
        <v>20.9137381154141</v>
      </c>
      <c r="U16" s="13" t="n">
        <f aca="false">Debt!U112+Debt!U110+Debt!U104-Debt!U103</f>
        <v>20.091500135044</v>
      </c>
      <c r="V16" s="13" t="n">
        <f aca="false">Debt!V112+Debt!V110+Debt!V104-Debt!V103</f>
        <v>19.54715130129</v>
      </c>
      <c r="W16" s="13" t="n">
        <f aca="false">Debt!W112+Debt!W110+Debt!W104-Debt!W103</f>
        <v>18.59918778841</v>
      </c>
      <c r="X16" s="13" t="n">
        <f aca="false">Debt!X112+Debt!X110+Debt!X104-Debt!X103</f>
        <v>18.0458339471219</v>
      </c>
      <c r="Y16" s="13" t="n">
        <f aca="false">Debt!Y112+Debt!Y110+Debt!Y104-Debt!Y103</f>
        <v>17.6112769556329</v>
      </c>
      <c r="Z16" s="13" t="n">
        <f aca="false">Debt!Z112+Debt!Z110+Debt!Z104-Debt!Z103</f>
        <v>17.0486235438173</v>
      </c>
      <c r="AA16" s="13" t="n">
        <f aca="false">Debt!AA112+Debt!AA110+Debt!AA104-Debt!AA103</f>
        <v>16.0714802164554</v>
      </c>
      <c r="AB16" s="13" t="n">
        <f aca="false">Debt!AB112+Debt!AB110+Debt!AB104-Debt!AB103</f>
        <v>15.0932635486787</v>
      </c>
      <c r="AC16" s="13" t="n">
        <f aca="false">Debt!AC112+Debt!AC110+Debt!AC104-Debt!AC103</f>
        <v>13.7474757409537</v>
      </c>
      <c r="AD16" s="13" t="n">
        <f aca="false">Debt!AD112+Debt!AD110+Debt!AD104-Debt!AD103</f>
        <v>12.6187086770766</v>
      </c>
      <c r="AE16" s="13" t="n">
        <f aca="false">Debt!AE112+Debt!AE110+Debt!AE104-Debt!AE103</f>
        <v>11.1362641222858</v>
      </c>
      <c r="AF16" s="13" t="n">
        <f aca="false">Debt!AF112+Debt!AF110+Debt!AF104-Debt!AF103</f>
        <v>9.85129041556803</v>
      </c>
      <c r="AG16" s="13" t="n">
        <f aca="false">Debt!AG112+Debt!AG110+Debt!AG104-Debt!AG103</f>
        <v>8.51487186692868</v>
      </c>
      <c r="AH16" s="13" t="n">
        <f aca="false">Debt!AH112+Debt!AH110+Debt!AH104-Debt!AH103</f>
        <v>7.11734182925035</v>
      </c>
      <c r="AI16" s="13" t="n">
        <f aca="false">Debt!AI112+Debt!AI110+Debt!AI104-Debt!AI103</f>
        <v>5.52483744928541</v>
      </c>
      <c r="AJ16" s="13" t="n">
        <f aca="false">Debt!AJ112+Debt!AJ110+Debt!AJ104-Debt!AJ103</f>
        <v>4.04174659791317</v>
      </c>
      <c r="AK16" s="13" t="n">
        <f aca="false">Debt!AK112+Debt!AK110+Debt!AK104-Debt!AK103</f>
        <v>2.47268947844739</v>
      </c>
      <c r="AL16" s="13" t="n">
        <f aca="false">Debt!AL112+Debt!AL110+Debt!AL104-Debt!AL103</f>
        <v>1.9360051808044</v>
      </c>
      <c r="AM16" s="13" t="n">
        <f aca="false">Debt!AM112+Debt!AM110+Debt!AM104-Debt!AM103</f>
        <v>1.41029970718199</v>
      </c>
      <c r="AN16" s="13" t="n">
        <f aca="false">Debt!AN112+Debt!AN110+Debt!AN104-Debt!AN103</f>
        <v>0.883626721411649</v>
      </c>
      <c r="AO16" s="13" t="n">
        <f aca="false">Debt!AO112+Debt!AO110+Debt!AO104-Debt!AO103</f>
        <v>0.443511990017346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1239.99141831218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1.87282622563268</v>
      </c>
      <c r="Z18" s="13" t="n">
        <f aca="false">(Operations!Z84-Z16-Z15)*Z17-Z12</f>
        <v>6.32853169065108</v>
      </c>
      <c r="AA18" s="13" t="n">
        <f aca="false">(Operations!AA84-AA16-AA15)*AA17-AA12</f>
        <v>7.71883392000062</v>
      </c>
      <c r="AB18" s="13" t="n">
        <f aca="false">(Operations!AB84-AB16-AB15)*AB17-AB12</f>
        <v>8.52791320775384</v>
      </c>
      <c r="AC18" s="13" t="n">
        <f aca="false">(Operations!AC84-AC16-AC15)*AC17-AC12</f>
        <v>10.101450817469</v>
      </c>
      <c r="AD18" s="13" t="n">
        <f aca="false">(Operations!AD84-AD16-AD15)*AD17-AD12</f>
        <v>-1.42827585290224</v>
      </c>
      <c r="AE18" s="13" t="n">
        <f aca="false">(Operations!AE84-AE16-AE15)*AE17-AE12</f>
        <v>12.9744253001238</v>
      </c>
      <c r="AF18" s="13" t="n">
        <f aca="false">(Operations!AF84-AF16-AF15)*AF17-AF12</f>
        <v>14.044243731309</v>
      </c>
      <c r="AG18" s="13" t="n">
        <f aca="false">(Operations!AG84-AG16-AG15)*AG17-AG12</f>
        <v>15.7014521587243</v>
      </c>
      <c r="AH18" s="13" t="n">
        <f aca="false">(Operations!AH84-AH16-AH15)*AH17-AH12</f>
        <v>17.1921951248378</v>
      </c>
      <c r="AI18" s="13" t="n">
        <f aca="false">(Operations!AI84-AI16-AI15)*AI17-AI12</f>
        <v>19.1661155760941</v>
      </c>
      <c r="AJ18" s="13" t="n">
        <f aca="false">(Operations!AJ84-AJ16-AJ15)*AJ17-AJ12</f>
        <v>20.7984789880062</v>
      </c>
      <c r="AK18" s="13" t="n">
        <f aca="false">(Operations!AK84-AK16-AK15)*AK17-AK12</f>
        <v>22.9393466463667</v>
      </c>
      <c r="AL18" s="13" t="n">
        <f aca="false">(Operations!AL84-AL16-AL15)*AL17-AL12</f>
        <v>21.8252840962592</v>
      </c>
      <c r="AM18" s="13" t="n">
        <f aca="false">(Operations!AM84-AM16-AM15)*AM17-AM12</f>
        <v>26.5981066926059</v>
      </c>
      <c r="AN18" s="13" t="n">
        <f aca="false">(Operations!AN84-AN16-AN15)*AN17-AN12</f>
        <v>28.3861542754554</v>
      </c>
      <c r="AO18" s="13" t="n">
        <f aca="false">(Operations!AO84-AO16-AO15)*AO17-AO12</f>
        <v>30.2868191411684</v>
      </c>
      <c r="AP18" s="13" t="n">
        <f aca="false">(Operations!AP84-AP16-AP15)*AP17-AP12</f>
        <v>32.7278351279201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1.42827585290224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1.42827585290224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1.87282622563268</v>
      </c>
      <c r="Z20" s="13" t="n">
        <f aca="false">MIN(Y21,MAX(0,Z18-Z19))</f>
        <v>6.32853169065108</v>
      </c>
      <c r="AA20" s="13" t="n">
        <f aca="false">MIN(Z21,MAX(0,AA18-AA19))</f>
        <v>7.71883392000062</v>
      </c>
      <c r="AB20" s="13" t="n">
        <f aca="false">MIN(AA21,MAX(0,AB18-AB19))</f>
        <v>8.52791320775384</v>
      </c>
      <c r="AC20" s="13" t="n">
        <f aca="false">MIN(AB21,MAX(0,AC18-AC19))</f>
        <v>10.101450817469</v>
      </c>
      <c r="AD20" s="13" t="n">
        <f aca="false">MIN(AC21,MAX(0,AD18-AD19))</f>
        <v>0</v>
      </c>
      <c r="AE20" s="13" t="n">
        <f aca="false">MIN(AD21,MAX(0,AE18-AE19))</f>
        <v>11.5461494472216</v>
      </c>
      <c r="AF20" s="13" t="n">
        <f aca="false">MIN(AE21,MAX(0,AF18-AF19))</f>
        <v>14.044243731309</v>
      </c>
      <c r="AG20" s="13" t="n">
        <f aca="false">MIN(AF21,MAX(0,AG18-AG19))</f>
        <v>15.7014521587243</v>
      </c>
      <c r="AH20" s="13" t="n">
        <f aca="false">MIN(AG21,MAX(0,AH18-AH19))</f>
        <v>17.1921951248378</v>
      </c>
      <c r="AI20" s="13" t="n">
        <f aca="false">MIN(AH21,MAX(0,AI18-AI19))</f>
        <v>19.1661155760941</v>
      </c>
      <c r="AJ20" s="13" t="n">
        <f aca="false">MIN(AI21,MAX(0,AJ18-AJ19))</f>
        <v>20.7984789880062</v>
      </c>
      <c r="AK20" s="13" t="n">
        <f aca="false">MIN(AJ21,MAX(0,AK18-AK19))</f>
        <v>22.9393466463667</v>
      </c>
      <c r="AL20" s="13" t="n">
        <f aca="false">MIN(AK21,MAX(0,AL18-AL19))</f>
        <v>21.8252840962592</v>
      </c>
      <c r="AM20" s="13" t="n">
        <f aca="false">MIN(AL21,MAX(0,AM18-AM19))</f>
        <v>26.5981066926059</v>
      </c>
      <c r="AN20" s="13" t="n">
        <f aca="false">MIN(AM21,MAX(0,AN18-AN19))</f>
        <v>21.544440810834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224.032542908133</v>
      </c>
      <c r="Z21" s="13" t="n">
        <f aca="false">Y21+Z11-Z20</f>
        <v>217.704011217482</v>
      </c>
      <c r="AA21" s="13" t="n">
        <f aca="false">Z21+AA11-AA20</f>
        <v>209.985177297481</v>
      </c>
      <c r="AB21" s="13" t="n">
        <f aca="false">AA21+AB11-AB20</f>
        <v>201.457264089728</v>
      </c>
      <c r="AC21" s="13" t="n">
        <f aca="false">AB21+AC11-AC20</f>
        <v>191.355813272259</v>
      </c>
      <c r="AD21" s="13" t="n">
        <f aca="false">AC21+AD11-AD20</f>
        <v>191.355813272259</v>
      </c>
      <c r="AE21" s="13" t="n">
        <f aca="false">AD21+AE11-AE20</f>
        <v>179.809663825037</v>
      </c>
      <c r="AF21" s="13" t="n">
        <f aca="false">AE21+AF11-AF20</f>
        <v>165.765420093728</v>
      </c>
      <c r="AG21" s="13" t="n">
        <f aca="false">AF21+AG11-AG20</f>
        <v>150.063967935004</v>
      </c>
      <c r="AH21" s="13" t="n">
        <f aca="false">AG21+AH11-AH20</f>
        <v>132.871772810166</v>
      </c>
      <c r="AI21" s="13" t="n">
        <f aca="false">AH21+AI11-AI20</f>
        <v>113.705657234072</v>
      </c>
      <c r="AJ21" s="13" t="n">
        <f aca="false">AI21+AJ11-AJ20</f>
        <v>92.9071782460657</v>
      </c>
      <c r="AK21" s="13" t="n">
        <f aca="false">AJ21+AK11-AK20</f>
        <v>69.9678315996991</v>
      </c>
      <c r="AL21" s="13" t="n">
        <f aca="false">AK21+AL11-AL20</f>
        <v>48.1425475034399</v>
      </c>
      <c r="AM21" s="13" t="n">
        <f aca="false">AL21+AM11-AM20</f>
        <v>21.544440810834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1.42827585290224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1014.08604917841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6.84171346462142</v>
      </c>
      <c r="AO23" s="13" t="n">
        <f aca="false">MAX(0,AO18-AO19-AO20)</f>
        <v>30.2868191411684</v>
      </c>
      <c r="AP23" s="13" t="n">
        <f aca="false">MAX(0,AP18-AP19-AP20)</f>
        <v>32.7278351279201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304.225814753524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2.05251403938643</v>
      </c>
      <c r="AO25" s="13" t="n">
        <f aca="false">AO23*AO24</f>
        <v>9.08604574235052</v>
      </c>
      <c r="AP25" s="13" t="n">
        <f aca="false">AP23*AP24</f>
        <v>9.81835053837603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309.468307663194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2.05251403938643</v>
      </c>
      <c r="AO27" s="13" t="n">
        <f aca="false">MAX(AO25,AO26)</f>
        <v>9.08604574235052</v>
      </c>
      <c r="AP27" s="13" t="n">
        <f aca="false">MAX(AP25,AP26)</f>
        <v>9.81835053837603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3.90216126627174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0.781907705960942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0.0324794444444444</v>
      </c>
      <c r="R10" s="16" t="n">
        <f aca="false">(Operations!R9+Inputs!$F$79+R9)/100*Time!R25/Inputs!$F$247</f>
        <v>0.0330177777777778</v>
      </c>
      <c r="S10" s="16" t="n">
        <f aca="false">(Operations!S9+Inputs!$F$79+S9)/100*Time!S25/Inputs!$F$247</f>
        <v>0.0325297222222222</v>
      </c>
      <c r="T10" s="16" t="n">
        <f aca="false">(Operations!T9+Inputs!$F$79+T9)/100*Time!T25/Inputs!$F$247</f>
        <v>0.0330688888888889</v>
      </c>
      <c r="U10" s="16" t="n">
        <f aca="false">(Operations!U9+Inputs!$F$79+U9)/100*Time!U25/Inputs!$F$247</f>
        <v>0.0327094444444445</v>
      </c>
      <c r="V10" s="16" t="n">
        <f aca="false">(Operations!V9+Inputs!$F$79+V9)/100*Time!V25/Inputs!$F$247</f>
        <v>0.0330688888888889</v>
      </c>
      <c r="W10" s="16" t="n">
        <f aca="false">(Operations!W9+Inputs!$F$79+W9)/100*Time!W25/Inputs!$F$247</f>
        <v>0.0325297222222222</v>
      </c>
      <c r="X10" s="16" t="n">
        <f aca="false">(Operations!X9+Inputs!$F$79+X9)/100*Time!X25/Inputs!$F$247</f>
        <v>0.0330688888888889</v>
      </c>
      <c r="Y10" s="16" t="n">
        <f aca="false">(Operations!Y9+Inputs!$F$79+Y9)/100*Time!Y25/Inputs!$F$247</f>
        <v>0.0325297222222222</v>
      </c>
      <c r="Z10" s="16" t="n">
        <f aca="false">(Operations!Z9+Inputs!$F$79+Z9)/100*Time!Z25/Inputs!$F$247</f>
        <v>0.0330688888888889</v>
      </c>
      <c r="AA10" s="16" t="n">
        <f aca="false">(Operations!AA9+Inputs!$F$79+AA9)/100*Time!AA25/Inputs!$F$247</f>
        <v>0.0325297222222222</v>
      </c>
      <c r="AB10" s="16" t="n">
        <f aca="false">(Operations!AB9+Inputs!$F$79+AB9)/100*Time!AB25/Inputs!$F$247</f>
        <v>0.0330688888888889</v>
      </c>
      <c r="AC10" s="16" t="n">
        <f aca="false">(Operations!AC9+Inputs!$F$79+AC9)/100*Time!AC25/Inputs!$F$247</f>
        <v>0.0327094444444445</v>
      </c>
      <c r="AD10" s="16" t="n">
        <f aca="false">(Operations!AD9+Inputs!$F$79+AD9)/100*Time!AD25/Inputs!$F$247</f>
        <v>0.0330688888888889</v>
      </c>
      <c r="AE10" s="16" t="n">
        <f aca="false">(Operations!AE9+Inputs!$F$79+AE9)/100*Time!AE25/Inputs!$F$247</f>
        <v>0.0325297222222222</v>
      </c>
      <c r="AF10" s="16" t="n">
        <f aca="false">(Operations!AF9+Inputs!$F$79+AF9)/100*Time!AF25/Inputs!$F$247</f>
        <v>0.0330688888888889</v>
      </c>
      <c r="AG10" s="16" t="n">
        <f aca="false">(Operations!AG9+Inputs!$F$79+AG9)/100*Time!AG25/Inputs!$F$247</f>
        <v>0.0325297222222222</v>
      </c>
      <c r="AH10" s="16" t="n">
        <f aca="false">(Operations!AH9+Inputs!$F$79+AH9)/100*Time!AH25/Inputs!$F$247</f>
        <v>0.0330688888888889</v>
      </c>
      <c r="AI10" s="16" t="n">
        <f aca="false">(Operations!AI9+Inputs!$F$79+AI9)/100*Time!AI25/Inputs!$F$247</f>
        <v>0.0325297222222222</v>
      </c>
      <c r="AJ10" s="16" t="n">
        <f aca="false">(Operations!AJ9+Inputs!$F$79+AJ9)/100*Time!AJ25/Inputs!$F$247</f>
        <v>0.0330688888888889</v>
      </c>
      <c r="AK10" s="16" t="n">
        <f aca="false">(Operations!AK9+Inputs!$F$79+AK9)/100*Time!AK25/Inputs!$F$247</f>
        <v>0.0327094444444445</v>
      </c>
      <c r="AL10" s="16" t="n">
        <f aca="false">(Operations!AL9+Inputs!$F$79+AL9)/100*Time!AL25/Inputs!$F$247</f>
        <v>0.0330688888888889</v>
      </c>
      <c r="AM10" s="16" t="n">
        <f aca="false">(Operations!AM9+Inputs!$F$79+AM9)/100*Time!AM25/Inputs!$F$247</f>
        <v>0.0325297222222222</v>
      </c>
      <c r="AN10" s="16" t="n">
        <f aca="false">(Operations!AN9+Inputs!$F$79+AN9)/100*Time!AN25/Inputs!$F$247</f>
        <v>0.0330688888888889</v>
      </c>
      <c r="AO10" s="16" t="n">
        <f aca="false">(Operations!AO9+Inputs!$F$79+AO9)/100*Time!AO25/Inputs!$F$247</f>
        <v>0.0325297222222222</v>
      </c>
      <c r="AP10" s="16" t="n">
        <f aca="false">(Operations!AP9+Inputs!$F$79+AP9)/100*Time!AP25/Inputs!$F$247</f>
        <v>0.0330688888888889</v>
      </c>
      <c r="AQ10" s="16" t="n">
        <f aca="false">(Operations!AQ9+Inputs!$F$79+AQ9)/100*Time!AQ25/Inputs!$F$247</f>
        <v>0.0325297222222222</v>
      </c>
      <c r="AR10" s="16" t="n">
        <f aca="false">(Operations!AR9+Inputs!$F$79+AR9)/100*Time!AR25/Inputs!$F$247</f>
        <v>0.0330688888888889</v>
      </c>
      <c r="AS10" s="16" t="n">
        <f aca="false">(Operations!AS9+Inputs!$F$79+AS9)/100*Time!AS25/Inputs!$F$247</f>
        <v>0.0327094444444445</v>
      </c>
      <c r="AT10" s="16" t="n">
        <f aca="false">(Operations!AT9+Inputs!$F$79+AT9)/100*Time!AT25/Inputs!$F$247</f>
        <v>0.0330688888888889</v>
      </c>
      <c r="AU10" s="16" t="n">
        <f aca="false">(Operations!AU9+Inputs!$F$79+AU9)/100*Time!AU25/Inputs!$F$247</f>
        <v>0.0325297222222222</v>
      </c>
      <c r="AV10" s="16" t="n">
        <f aca="false">(Operations!AV9+Inputs!$F$79+AV9)/100*Time!AV25/Inputs!$F$247</f>
        <v>0.0330688888888889</v>
      </c>
      <c r="AW10" s="16" t="n">
        <f aca="false">(Operations!AW9+Inputs!$F$79+AW9)/100*Time!AW25/Inputs!$F$247</f>
        <v>0.0325297222222222</v>
      </c>
      <c r="AX10" s="16" t="n">
        <f aca="false">(Operations!AX9+Inputs!$F$79+AX9)/100*Time!AX25/Inputs!$F$247</f>
        <v>0.0330688888888889</v>
      </c>
      <c r="AY10" s="16" t="n">
        <f aca="false">(Operations!AY9+Inputs!$F$79+AY9)/100*Time!AY25/Inputs!$F$247</f>
        <v>0.0325297222222222</v>
      </c>
      <c r="AZ10" s="16" t="n">
        <f aca="false">(Operations!AZ9+Inputs!$F$79+AZ9)/100*Time!AZ25/Inputs!$F$247</f>
        <v>0.0330688888888889</v>
      </c>
      <c r="BA10" s="16" t="n">
        <f aca="false">(Operations!BA9+Inputs!$F$79+BA9)/100*Time!BA25/Inputs!$F$247</f>
        <v>0.0327094444444445</v>
      </c>
      <c r="BB10" s="16" t="n">
        <f aca="false">(Operations!BB9+Inputs!$F$79+BB9)/100*Time!BB25/Inputs!$F$247</f>
        <v>0.0330688888888889</v>
      </c>
      <c r="BC10" s="16" t="n">
        <f aca="false">(Operations!BC9+Inputs!$F$79+BC9)/100*Time!BC25/Inputs!$F$247</f>
        <v>0.0325297222222222</v>
      </c>
      <c r="BD10" s="16" t="n">
        <f aca="false">(Operations!BD9+Inputs!$F$79+BD9)/100*Time!BD25/Inputs!$F$247</f>
        <v>0.0330688888888889</v>
      </c>
      <c r="BE10" s="16" t="n">
        <f aca="false">(Operations!BE9+Inputs!$F$79+BE9)/100*Time!BE25/Inputs!$F$247</f>
        <v>0.0325297222222222</v>
      </c>
      <c r="BF10" s="16" t="n">
        <f aca="false">(Operations!BF9+Inputs!$F$79+BF9)/100*Time!BF25/Inputs!$F$247</f>
        <v>0.0330688888888889</v>
      </c>
      <c r="BG10" s="16" t="n">
        <f aca="false">(Operations!BG9+Inputs!$F$79+BG9)/100*Time!BG25/Inputs!$F$247</f>
        <v>0.0325297222222222</v>
      </c>
      <c r="BH10" s="16" t="n">
        <f aca="false">(Operations!BH9+Inputs!$F$79+BH9)/100*Time!BH25/Inputs!$F$247</f>
        <v>0.0330688888888889</v>
      </c>
      <c r="BI10" s="16" t="n">
        <f aca="false">(Operations!BI9+Inputs!$F$79+BI9)/100*Time!BI25/Inputs!$F$247</f>
        <v>0.0327094444444445</v>
      </c>
      <c r="BJ10" s="16" t="n">
        <f aca="false">(Operations!BJ9+Inputs!$F$79+BJ9)/100*Time!BJ25/Inputs!$F$247</f>
        <v>0.0330688888888889</v>
      </c>
      <c r="BK10" s="16" t="n">
        <f aca="false">(Operations!BK9+Inputs!$F$79+BK9)/100*Time!BK25/Inputs!$F$247</f>
        <v>0.0325297222222222</v>
      </c>
      <c r="BL10" s="16" t="n">
        <f aca="false">(Operations!BL9+Inputs!$F$79+BL9)/100*Time!BL25/Inputs!$F$247</f>
        <v>0.0330688888888889</v>
      </c>
      <c r="BM10" s="16" t="n">
        <f aca="false">(Operations!BM9+Inputs!$F$79+BM9)/100*Time!BM25/Inputs!$F$247</f>
        <v>0.0325297222222222</v>
      </c>
      <c r="BN10" s="16" t="n">
        <f aca="false">(Operations!BN9+Inputs!$F$79+BN9)/100*Time!BN25/Inputs!$F$247</f>
        <v>0.0330688888888889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0.0440433333333333</v>
      </c>
      <c r="R11" s="16" t="n">
        <f aca="false">(Operations!R9+Inputs!$F$80+R9)/100*Time!R25/Inputs!$F$247</f>
        <v>0.0447733333333333</v>
      </c>
      <c r="S11" s="16" t="n">
        <f aca="false">(Operations!S9+Inputs!$F$80+S9)/100*Time!S25/Inputs!$F$247</f>
        <v>0.0440936111111111</v>
      </c>
      <c r="T11" s="16" t="n">
        <f aca="false">(Operations!T9+Inputs!$F$80+T9)/100*Time!T25/Inputs!$F$247</f>
        <v>0.0448244444444444</v>
      </c>
      <c r="U11" s="16" t="n">
        <f aca="false">(Operations!U9+Inputs!$F$80+U9)/100*Time!U25/Inputs!$F$247</f>
        <v>0.0443372222222222</v>
      </c>
      <c r="V11" s="16" t="n">
        <f aca="false">(Operations!V9+Inputs!$F$80+V9)/100*Time!V25/Inputs!$F$247</f>
        <v>0.0448244444444444</v>
      </c>
      <c r="W11" s="16" t="n">
        <f aca="false">(Operations!W9+Inputs!$F$80+W9)/100*Time!W25/Inputs!$F$247</f>
        <v>0.0440936111111111</v>
      </c>
      <c r="X11" s="16" t="n">
        <f aca="false">(Operations!X9+Inputs!$F$80+X9)/100*Time!X25/Inputs!$F$247</f>
        <v>0.0448244444444444</v>
      </c>
      <c r="Y11" s="16" t="n">
        <f aca="false">(Operations!Y9+Inputs!$F$80+Y9)/100*Time!Y25/Inputs!$F$247</f>
        <v>0.0440936111111111</v>
      </c>
      <c r="Z11" s="16" t="n">
        <f aca="false">(Operations!Z9+Inputs!$F$80+Z9)/100*Time!Z25/Inputs!$F$247</f>
        <v>0.0448244444444444</v>
      </c>
      <c r="AA11" s="16" t="n">
        <f aca="false">(Operations!AA9+Inputs!$F$80+AA9)/100*Time!AA25/Inputs!$F$247</f>
        <v>0.0440936111111111</v>
      </c>
      <c r="AB11" s="16" t="n">
        <f aca="false">(Operations!AB9+Inputs!$F$80+AB9)/100*Time!AB25/Inputs!$F$247</f>
        <v>0.0448244444444444</v>
      </c>
      <c r="AC11" s="16" t="n">
        <f aca="false">(Operations!AC9+Inputs!$F$80+AC9)/100*Time!AC25/Inputs!$F$247</f>
        <v>0.0443372222222222</v>
      </c>
      <c r="AD11" s="16" t="n">
        <f aca="false">(Operations!AD9+Inputs!$F$80+AD9)/100*Time!AD25/Inputs!$F$247</f>
        <v>0.0448244444444444</v>
      </c>
      <c r="AE11" s="16" t="n">
        <f aca="false">(Operations!AE9+Inputs!$F$80+AE9)/100*Time!AE25/Inputs!$F$247</f>
        <v>0.0440936111111111</v>
      </c>
      <c r="AF11" s="16" t="n">
        <f aca="false">(Operations!AF9+Inputs!$F$80+AF9)/100*Time!AF25/Inputs!$F$247</f>
        <v>0.0448244444444444</v>
      </c>
      <c r="AG11" s="16" t="n">
        <f aca="false">(Operations!AG9+Inputs!$F$80+AG9)/100*Time!AG25/Inputs!$F$247</f>
        <v>0.0440936111111111</v>
      </c>
      <c r="AH11" s="16" t="n">
        <f aca="false">(Operations!AH9+Inputs!$F$80+AH9)/100*Time!AH25/Inputs!$F$247</f>
        <v>0.0448244444444444</v>
      </c>
      <c r="AI11" s="16" t="n">
        <f aca="false">(Operations!AI9+Inputs!$F$80+AI9)/100*Time!AI25/Inputs!$F$247</f>
        <v>0.0440936111111111</v>
      </c>
      <c r="AJ11" s="16" t="n">
        <f aca="false">(Operations!AJ9+Inputs!$F$80+AJ9)/100*Time!AJ25/Inputs!$F$247</f>
        <v>0.0448244444444444</v>
      </c>
      <c r="AK11" s="16" t="n">
        <f aca="false">(Operations!AK9+Inputs!$F$80+AK9)/100*Time!AK25/Inputs!$F$247</f>
        <v>0.0443372222222222</v>
      </c>
      <c r="AL11" s="16" t="n">
        <f aca="false">(Operations!AL9+Inputs!$F$80+AL9)/100*Time!AL25/Inputs!$F$247</f>
        <v>0.0448244444444444</v>
      </c>
      <c r="AM11" s="16" t="n">
        <f aca="false">(Operations!AM9+Inputs!$F$80+AM9)/100*Time!AM25/Inputs!$F$247</f>
        <v>0.0440936111111111</v>
      </c>
      <c r="AN11" s="16" t="n">
        <f aca="false">(Operations!AN9+Inputs!$F$80+AN9)/100*Time!AN25/Inputs!$F$247</f>
        <v>0.0448244444444444</v>
      </c>
      <c r="AO11" s="16" t="n">
        <f aca="false">(Operations!AO9+Inputs!$F$80+AO9)/100*Time!AO25/Inputs!$F$247</f>
        <v>0.0440936111111111</v>
      </c>
      <c r="AP11" s="16" t="n">
        <f aca="false">(Operations!AP9+Inputs!$F$80+AP9)/100*Time!AP25/Inputs!$F$247</f>
        <v>0.0448244444444444</v>
      </c>
      <c r="AQ11" s="16" t="n">
        <f aca="false">(Operations!AQ9+Inputs!$F$80+AQ9)/100*Time!AQ25/Inputs!$F$247</f>
        <v>0.0440936111111111</v>
      </c>
      <c r="AR11" s="16" t="n">
        <f aca="false">(Operations!AR9+Inputs!$F$80+AR9)/100*Time!AR25/Inputs!$F$247</f>
        <v>0.0448244444444444</v>
      </c>
      <c r="AS11" s="16" t="n">
        <f aca="false">(Operations!AS9+Inputs!$F$80+AS9)/100*Time!AS25/Inputs!$F$247</f>
        <v>0.0443372222222222</v>
      </c>
      <c r="AT11" s="16" t="n">
        <f aca="false">(Operations!AT9+Inputs!$F$80+AT9)/100*Time!AT25/Inputs!$F$247</f>
        <v>0.0448244444444444</v>
      </c>
      <c r="AU11" s="16" t="n">
        <f aca="false">(Operations!AU9+Inputs!$F$80+AU9)/100*Time!AU25/Inputs!$F$247</f>
        <v>0.0440936111111111</v>
      </c>
      <c r="AV11" s="16" t="n">
        <f aca="false">(Operations!AV9+Inputs!$F$80+AV9)/100*Time!AV25/Inputs!$F$247</f>
        <v>0.0448244444444444</v>
      </c>
      <c r="AW11" s="16" t="n">
        <f aca="false">(Operations!AW9+Inputs!$F$80+AW9)/100*Time!AW25/Inputs!$F$247</f>
        <v>0.0440936111111111</v>
      </c>
      <c r="AX11" s="16" t="n">
        <f aca="false">(Operations!AX9+Inputs!$F$80+AX9)/100*Time!AX25/Inputs!$F$247</f>
        <v>0.0448244444444444</v>
      </c>
      <c r="AY11" s="16" t="n">
        <f aca="false">(Operations!AY9+Inputs!$F$80+AY9)/100*Time!AY25/Inputs!$F$247</f>
        <v>0.0440936111111111</v>
      </c>
      <c r="AZ11" s="16" t="n">
        <f aca="false">(Operations!AZ9+Inputs!$F$80+AZ9)/100*Time!AZ25/Inputs!$F$247</f>
        <v>0.0448244444444444</v>
      </c>
      <c r="BA11" s="16" t="n">
        <f aca="false">(Operations!BA9+Inputs!$F$80+BA9)/100*Time!BA25/Inputs!$F$247</f>
        <v>0.0443372222222222</v>
      </c>
      <c r="BB11" s="16" t="n">
        <f aca="false">(Operations!BB9+Inputs!$F$80+BB9)/100*Time!BB25/Inputs!$F$247</f>
        <v>0.0448244444444444</v>
      </c>
      <c r="BC11" s="16" t="n">
        <f aca="false">(Operations!BC9+Inputs!$F$80+BC9)/100*Time!BC25/Inputs!$F$247</f>
        <v>0.0440936111111111</v>
      </c>
      <c r="BD11" s="16" t="n">
        <f aca="false">(Operations!BD9+Inputs!$F$80+BD9)/100*Time!BD25/Inputs!$F$247</f>
        <v>0.0448244444444444</v>
      </c>
      <c r="BE11" s="16" t="n">
        <f aca="false">(Operations!BE9+Inputs!$F$80+BE9)/100*Time!BE25/Inputs!$F$247</f>
        <v>0.0440936111111111</v>
      </c>
      <c r="BF11" s="16" t="n">
        <f aca="false">(Operations!BF9+Inputs!$F$80+BF9)/100*Time!BF25/Inputs!$F$247</f>
        <v>0.0448244444444444</v>
      </c>
      <c r="BG11" s="16" t="n">
        <f aca="false">(Operations!BG9+Inputs!$F$80+BG9)/100*Time!BG25/Inputs!$F$247</f>
        <v>0.0440936111111111</v>
      </c>
      <c r="BH11" s="16" t="n">
        <f aca="false">(Operations!BH9+Inputs!$F$80+BH9)/100*Time!BH25/Inputs!$F$247</f>
        <v>0.0448244444444444</v>
      </c>
      <c r="BI11" s="16" t="n">
        <f aca="false">(Operations!BI9+Inputs!$F$80+BI9)/100*Time!BI25/Inputs!$F$247</f>
        <v>0.0443372222222222</v>
      </c>
      <c r="BJ11" s="16" t="n">
        <f aca="false">(Operations!BJ9+Inputs!$F$80+BJ9)/100*Time!BJ25/Inputs!$F$247</f>
        <v>0.0448244444444444</v>
      </c>
      <c r="BK11" s="16" t="n">
        <f aca="false">(Operations!BK9+Inputs!$F$80+BK9)/100*Time!BK25/Inputs!$F$247</f>
        <v>0.0440936111111111</v>
      </c>
      <c r="BL11" s="16" t="n">
        <f aca="false">(Operations!BL9+Inputs!$F$80+BL9)/100*Time!BL25/Inputs!$F$247</f>
        <v>0.0448244444444444</v>
      </c>
      <c r="BM11" s="16" t="n">
        <f aca="false">(Operations!BM9+Inputs!$F$80+BM9)/100*Time!BM25/Inputs!$F$247</f>
        <v>0.0440936111111111</v>
      </c>
      <c r="BN11" s="16" t="n">
        <f aca="false">(Operations!BN9+Inputs!$F$80+BN9)/100*Time!BN25/Inputs!$F$247</f>
        <v>0.0448244444444444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0.0427863888888889</v>
      </c>
      <c r="R12" s="16" t="n">
        <f aca="false">(Operations!R9+Inputs!$F$81+R9)/100*Time!R25/Inputs!$F$247</f>
        <v>0.0434955555555556</v>
      </c>
      <c r="S12" s="16" t="n">
        <f aca="false">(Operations!S9+Inputs!$F$81+S9)/100*Time!S25/Inputs!$F$247</f>
        <v>0.0428366666666667</v>
      </c>
      <c r="T12" s="16" t="n">
        <f aca="false">(Operations!T9+Inputs!$F$81+T9)/100*Time!T25/Inputs!$F$247</f>
        <v>0.0435466666666667</v>
      </c>
      <c r="U12" s="16" t="n">
        <f aca="false">(Operations!U9+Inputs!$F$81+U9)/100*Time!U25/Inputs!$F$247</f>
        <v>0.0430733333333333</v>
      </c>
      <c r="V12" s="16" t="n">
        <f aca="false">(Operations!V9+Inputs!$F$81+V9)/100*Time!V25/Inputs!$F$247</f>
        <v>0.0435466666666667</v>
      </c>
      <c r="W12" s="16" t="n">
        <f aca="false">(Operations!W9+Inputs!$F$81+W9)/100*Time!W25/Inputs!$F$247</f>
        <v>0.0428366666666667</v>
      </c>
      <c r="X12" s="16" t="n">
        <f aca="false">(Operations!X9+Inputs!$F$81+X9)/100*Time!X25/Inputs!$F$247</f>
        <v>0.0435466666666667</v>
      </c>
      <c r="Y12" s="16" t="n">
        <f aca="false">(Operations!Y9+Inputs!$F$81+Y9)/100*Time!Y25/Inputs!$F$247</f>
        <v>0.0428366666666667</v>
      </c>
      <c r="Z12" s="16" t="n">
        <f aca="false">(Operations!Z9+Inputs!$F$81+Z9)/100*Time!Z25/Inputs!$F$247</f>
        <v>0.0435466666666667</v>
      </c>
      <c r="AA12" s="16" t="n">
        <f aca="false">(Operations!AA9+Inputs!$F$81+AA9)/100*Time!AA25/Inputs!$F$247</f>
        <v>0.0428366666666667</v>
      </c>
      <c r="AB12" s="16" t="n">
        <f aca="false">(Operations!AB9+Inputs!$F$81+AB9)/100*Time!AB25/Inputs!$F$247</f>
        <v>0.0435466666666667</v>
      </c>
      <c r="AC12" s="16" t="n">
        <f aca="false">(Operations!AC9+Inputs!$F$81+AC9)/100*Time!AC25/Inputs!$F$247</f>
        <v>0.0430733333333333</v>
      </c>
      <c r="AD12" s="16" t="n">
        <f aca="false">(Operations!AD9+Inputs!$F$81+AD9)/100*Time!AD25/Inputs!$F$247</f>
        <v>0.0435466666666667</v>
      </c>
      <c r="AE12" s="16" t="n">
        <f aca="false">(Operations!AE9+Inputs!$F$81+AE9)/100*Time!AE25/Inputs!$F$247</f>
        <v>0.0428366666666667</v>
      </c>
      <c r="AF12" s="16" t="n">
        <f aca="false">(Operations!AF9+Inputs!$F$81+AF9)/100*Time!AF25/Inputs!$F$247</f>
        <v>0.0435466666666667</v>
      </c>
      <c r="AG12" s="16" t="n">
        <f aca="false">(Operations!AG9+Inputs!$F$81+AG9)/100*Time!AG25/Inputs!$F$247</f>
        <v>0.0428366666666667</v>
      </c>
      <c r="AH12" s="16" t="n">
        <f aca="false">(Operations!AH9+Inputs!$F$81+AH9)/100*Time!AH25/Inputs!$F$247</f>
        <v>0.0435466666666667</v>
      </c>
      <c r="AI12" s="16" t="n">
        <f aca="false">(Operations!AI9+Inputs!$F$81+AI9)/100*Time!AI25/Inputs!$F$247</f>
        <v>0.0428366666666667</v>
      </c>
      <c r="AJ12" s="16" t="n">
        <f aca="false">(Operations!AJ9+Inputs!$F$81+AJ9)/100*Time!AJ25/Inputs!$F$247</f>
        <v>0.0435466666666667</v>
      </c>
      <c r="AK12" s="16" t="n">
        <f aca="false">(Operations!AK9+Inputs!$F$81+AK9)/100*Time!AK25/Inputs!$F$247</f>
        <v>0.0430733333333333</v>
      </c>
      <c r="AL12" s="16" t="n">
        <f aca="false">(Operations!AL9+Inputs!$F$81+AL9)/100*Time!AL25/Inputs!$F$247</f>
        <v>0.0435466666666667</v>
      </c>
      <c r="AM12" s="16" t="n">
        <f aca="false">(Operations!AM9+Inputs!$F$81+AM9)/100*Time!AM25/Inputs!$F$247</f>
        <v>0.0428366666666667</v>
      </c>
      <c r="AN12" s="16" t="n">
        <f aca="false">(Operations!AN9+Inputs!$F$81+AN9)/100*Time!AN25/Inputs!$F$247</f>
        <v>0.0435466666666667</v>
      </c>
      <c r="AO12" s="16" t="n">
        <f aca="false">(Operations!AO9+Inputs!$F$81+AO9)/100*Time!AO25/Inputs!$F$247</f>
        <v>0.0428366666666667</v>
      </c>
      <c r="AP12" s="16" t="n">
        <f aca="false">(Operations!AP9+Inputs!$F$81+AP9)/100*Time!AP25/Inputs!$F$247</f>
        <v>0.0435466666666667</v>
      </c>
      <c r="AQ12" s="16" t="n">
        <f aca="false">(Operations!AQ9+Inputs!$F$81+AQ9)/100*Time!AQ25/Inputs!$F$247</f>
        <v>0.0428366666666667</v>
      </c>
      <c r="AR12" s="16" t="n">
        <f aca="false">(Operations!AR9+Inputs!$F$81+AR9)/100*Time!AR25/Inputs!$F$247</f>
        <v>0.0435466666666667</v>
      </c>
      <c r="AS12" s="16" t="n">
        <f aca="false">(Operations!AS9+Inputs!$F$81+AS9)/100*Time!AS25/Inputs!$F$247</f>
        <v>0.0430733333333333</v>
      </c>
      <c r="AT12" s="16" t="n">
        <f aca="false">(Operations!AT9+Inputs!$F$81+AT9)/100*Time!AT25/Inputs!$F$247</f>
        <v>0.0435466666666667</v>
      </c>
      <c r="AU12" s="16" t="n">
        <f aca="false">(Operations!AU9+Inputs!$F$81+AU9)/100*Time!AU25/Inputs!$F$247</f>
        <v>0.0428366666666667</v>
      </c>
      <c r="AV12" s="16" t="n">
        <f aca="false">(Operations!AV9+Inputs!$F$81+AV9)/100*Time!AV25/Inputs!$F$247</f>
        <v>0.0435466666666667</v>
      </c>
      <c r="AW12" s="16" t="n">
        <f aca="false">(Operations!AW9+Inputs!$F$81+AW9)/100*Time!AW25/Inputs!$F$247</f>
        <v>0.0428366666666667</v>
      </c>
      <c r="AX12" s="16" t="n">
        <f aca="false">(Operations!AX9+Inputs!$F$81+AX9)/100*Time!AX25/Inputs!$F$247</f>
        <v>0.0435466666666667</v>
      </c>
      <c r="AY12" s="16" t="n">
        <f aca="false">(Operations!AY9+Inputs!$F$81+AY9)/100*Time!AY25/Inputs!$F$247</f>
        <v>0.0428366666666667</v>
      </c>
      <c r="AZ12" s="16" t="n">
        <f aca="false">(Operations!AZ9+Inputs!$F$81+AZ9)/100*Time!AZ25/Inputs!$F$247</f>
        <v>0.0435466666666667</v>
      </c>
      <c r="BA12" s="16" t="n">
        <f aca="false">(Operations!BA9+Inputs!$F$81+BA9)/100*Time!BA25/Inputs!$F$247</f>
        <v>0.0430733333333333</v>
      </c>
      <c r="BB12" s="16" t="n">
        <f aca="false">(Operations!BB9+Inputs!$F$81+BB9)/100*Time!BB25/Inputs!$F$247</f>
        <v>0.0435466666666667</v>
      </c>
      <c r="BC12" s="16" t="n">
        <f aca="false">(Operations!BC9+Inputs!$F$81+BC9)/100*Time!BC25/Inputs!$F$247</f>
        <v>0.0428366666666667</v>
      </c>
      <c r="BD12" s="16" t="n">
        <f aca="false">(Operations!BD9+Inputs!$F$81+BD9)/100*Time!BD25/Inputs!$F$247</f>
        <v>0.0435466666666667</v>
      </c>
      <c r="BE12" s="16" t="n">
        <f aca="false">(Operations!BE9+Inputs!$F$81+BE9)/100*Time!BE25/Inputs!$F$247</f>
        <v>0.0428366666666667</v>
      </c>
      <c r="BF12" s="16" t="n">
        <f aca="false">(Operations!BF9+Inputs!$F$81+BF9)/100*Time!BF25/Inputs!$F$247</f>
        <v>0.0435466666666667</v>
      </c>
      <c r="BG12" s="16" t="n">
        <f aca="false">(Operations!BG9+Inputs!$F$81+BG9)/100*Time!BG25/Inputs!$F$247</f>
        <v>0.0428366666666667</v>
      </c>
      <c r="BH12" s="16" t="n">
        <f aca="false">(Operations!BH9+Inputs!$F$81+BH9)/100*Time!BH25/Inputs!$F$247</f>
        <v>0.0435466666666667</v>
      </c>
      <c r="BI12" s="16" t="n">
        <f aca="false">(Operations!BI9+Inputs!$F$81+BI9)/100*Time!BI25/Inputs!$F$247</f>
        <v>0.0430733333333333</v>
      </c>
      <c r="BJ12" s="16" t="n">
        <f aca="false">(Operations!BJ9+Inputs!$F$81+BJ9)/100*Time!BJ25/Inputs!$F$247</f>
        <v>0.0435466666666667</v>
      </c>
      <c r="BK12" s="16" t="n">
        <f aca="false">(Operations!BK9+Inputs!$F$81+BK9)/100*Time!BK25/Inputs!$F$247</f>
        <v>0.0428366666666667</v>
      </c>
      <c r="BL12" s="16" t="n">
        <f aca="false">(Operations!BL9+Inputs!$F$81+BL9)/100*Time!BL25/Inputs!$F$247</f>
        <v>0.0435466666666667</v>
      </c>
      <c r="BM12" s="16" t="n">
        <f aca="false">(Operations!BM9+Inputs!$F$81+BM9)/100*Time!BM25/Inputs!$F$247</f>
        <v>0.0428366666666667</v>
      </c>
      <c r="BN12" s="16" t="n">
        <f aca="false">(Operations!BN9+Inputs!$F$81+BN9)/100*Time!BN25/Inputs!$F$247</f>
        <v>0.0435466666666667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0.0514509259259259</v>
      </c>
      <c r="R13" s="16" t="n">
        <f aca="false">(Operations!R9+R8+R9)/100*Time!R25/Inputs!$F$247/(1-Inputs!$F$93/100)</f>
        <v>0.0523037037037037</v>
      </c>
      <c r="S13" s="16" t="n">
        <f aca="false">(Operations!S9+S8+S9)/100*Time!S25/Inputs!$F$247/(1-Inputs!$F$93/100)</f>
        <v>0.0515067901234568</v>
      </c>
      <c r="T13" s="16" t="n">
        <f aca="false">(Operations!T9+T8+T9)/100*Time!T25/Inputs!$F$247/(1-Inputs!$F$93/100)</f>
        <v>0.0523604938271605</v>
      </c>
      <c r="U13" s="16" t="n">
        <f aca="false">(Operations!U9+U8+U9)/100*Time!U25/Inputs!$F$247/(1-Inputs!$F$93/100)</f>
        <v>0.0517913580246914</v>
      </c>
      <c r="V13" s="16" t="n">
        <f aca="false">(Operations!V9+V8+V9)/100*Time!V25/Inputs!$F$247/(1-Inputs!$F$93/100)</f>
        <v>0.0523604938271605</v>
      </c>
      <c r="W13" s="16" t="n">
        <f aca="false">(Operations!W9+W8+W9)/100*Time!W25/Inputs!$F$247/(1-Inputs!$F$93/100)</f>
        <v>0.0515067901234568</v>
      </c>
      <c r="X13" s="16" t="n">
        <f aca="false">(Operations!X9+X8+X9)/100*Time!X25/Inputs!$F$247/(1-Inputs!$F$93/100)</f>
        <v>0.0523604938271605</v>
      </c>
      <c r="Y13" s="16" t="n">
        <f aca="false">(Operations!Y9+Y8+Y9)/100*Time!Y25/Inputs!$F$247/(1-Inputs!$F$93/100)</f>
        <v>0.0543</v>
      </c>
      <c r="Z13" s="16" t="n">
        <f aca="false">(Operations!Z9+Z8+Z9)/100*Time!Z25/Inputs!$F$247/(1-Inputs!$F$93/100)</f>
        <v>0.0552</v>
      </c>
      <c r="AA13" s="16" t="n">
        <f aca="false">(Operations!AA9+AA8+AA9)/100*Time!AA25/Inputs!$F$247/(1-Inputs!$F$93/100)</f>
        <v>0.0543</v>
      </c>
      <c r="AB13" s="16" t="n">
        <f aca="false">(Operations!AB9+AB8+AB9)/100*Time!AB25/Inputs!$F$247/(1-Inputs!$F$93/100)</f>
        <v>0.0552</v>
      </c>
      <c r="AC13" s="16" t="n">
        <f aca="false">(Operations!AC9+AC8+AC9)/100*Time!AC25/Inputs!$F$247/(1-Inputs!$F$93/100)</f>
        <v>0.0546</v>
      </c>
      <c r="AD13" s="16" t="n">
        <f aca="false">(Operations!AD9+AD8+AD9)/100*Time!AD25/Inputs!$F$247/(1-Inputs!$F$93/100)</f>
        <v>0.0552</v>
      </c>
      <c r="AE13" s="16" t="n">
        <f aca="false">(Operations!AE9+AE8+AE9)/100*Time!AE25/Inputs!$F$247/(1-Inputs!$F$93/100)</f>
        <v>0.0543</v>
      </c>
      <c r="AF13" s="16" t="n">
        <f aca="false">(Operations!AF9+AF8+AF9)/100*Time!AF25/Inputs!$F$247/(1-Inputs!$F$93/100)</f>
        <v>0.0552</v>
      </c>
      <c r="AG13" s="16" t="n">
        <f aca="false">(Operations!AG9+AG8+AG9)/100*Time!AG25/Inputs!$F$247/(1-Inputs!$F$93/100)</f>
        <v>0.0570932098765432</v>
      </c>
      <c r="AH13" s="16" t="n">
        <f aca="false">(Operations!AH9+AH8+AH9)/100*Time!AH25/Inputs!$F$247/(1-Inputs!$F$93/100)</f>
        <v>0.0580395061728395</v>
      </c>
      <c r="AI13" s="16" t="n">
        <f aca="false">(Operations!AI9+AI8+AI9)/100*Time!AI25/Inputs!$F$247/(1-Inputs!$F$93/100)</f>
        <v>0.0570932098765432</v>
      </c>
      <c r="AJ13" s="16" t="n">
        <f aca="false">(Operations!AJ9+AJ8+AJ9)/100*Time!AJ25/Inputs!$F$247/(1-Inputs!$F$93/100)</f>
        <v>0.0580395061728395</v>
      </c>
      <c r="AK13" s="16" t="n">
        <f aca="false">(Operations!AK9+AK8+AK9)/100*Time!AK25/Inputs!$F$247/(1-Inputs!$F$93/100)</f>
        <v>0.0574086419753086</v>
      </c>
      <c r="AL13" s="16" t="n">
        <f aca="false">(Operations!AL9+AL8+AL9)/100*Time!AL25/Inputs!$F$247/(1-Inputs!$F$93/100)</f>
        <v>0.0580395061728395</v>
      </c>
      <c r="AM13" s="16" t="n">
        <f aca="false">(Operations!AM9+AM8+AM9)/100*Time!AM25/Inputs!$F$247/(1-Inputs!$F$93/100)</f>
        <v>0.0570932098765432</v>
      </c>
      <c r="AN13" s="16" t="n">
        <f aca="false">(Operations!AN9+AN8+AN9)/100*Time!AN25/Inputs!$F$247/(1-Inputs!$F$93/100)</f>
        <v>0.0580395061728395</v>
      </c>
      <c r="AO13" s="16" t="n">
        <f aca="false">(Operations!AO9+AO8+AO9)/100*Time!AO25/Inputs!$F$247/(1-Inputs!$F$93/100)</f>
        <v>0.0570932098765432</v>
      </c>
      <c r="AP13" s="16" t="n">
        <f aca="false">(Operations!AP9+AP8+AP9)/100*Time!AP25/Inputs!$F$247/(1-Inputs!$F$93/100)</f>
        <v>0.0580395061728395</v>
      </c>
      <c r="AQ13" s="16" t="n">
        <f aca="false">(Operations!AQ9+AQ8+AQ9)/100*Time!AQ25/Inputs!$F$247/(1-Inputs!$F$93/100)</f>
        <v>0.0570932098765432</v>
      </c>
      <c r="AR13" s="16" t="n">
        <f aca="false">(Operations!AR9+AR8+AR9)/100*Time!AR25/Inputs!$F$247/(1-Inputs!$F$93/100)</f>
        <v>0.0580395061728395</v>
      </c>
      <c r="AS13" s="16" t="n">
        <f aca="false">(Operations!AS9+AS8+AS9)/100*Time!AS25/Inputs!$F$247/(1-Inputs!$F$93/100)</f>
        <v>0.0574086419753086</v>
      </c>
      <c r="AT13" s="16" t="n">
        <f aca="false">(Operations!AT9+AT8+AT9)/100*Time!AT25/Inputs!$F$247/(1-Inputs!$F$93/100)</f>
        <v>0.0580395061728395</v>
      </c>
      <c r="AU13" s="16" t="n">
        <f aca="false">(Operations!AU9+AU8+AU9)/100*Time!AU25/Inputs!$F$247/(1-Inputs!$F$93/100)</f>
        <v>0.0570932098765432</v>
      </c>
      <c r="AV13" s="16" t="n">
        <f aca="false">(Operations!AV9+AV8+AV9)/100*Time!AV25/Inputs!$F$247/(1-Inputs!$F$93/100)</f>
        <v>0.0580395061728395</v>
      </c>
      <c r="AW13" s="16" t="n">
        <f aca="false">(Operations!AW9+AW8+AW9)/100*Time!AW25/Inputs!$F$247/(1-Inputs!$F$93/100)</f>
        <v>0.0570932098765432</v>
      </c>
      <c r="AX13" s="16" t="n">
        <f aca="false">(Operations!AX9+AX8+AX9)/100*Time!AX25/Inputs!$F$247/(1-Inputs!$F$93/100)</f>
        <v>0.0580395061728395</v>
      </c>
      <c r="AY13" s="16" t="n">
        <f aca="false">(Operations!AY9+AY8+AY9)/100*Time!AY25/Inputs!$F$247/(1-Inputs!$F$93/100)</f>
        <v>0.0570932098765432</v>
      </c>
      <c r="AZ13" s="16" t="n">
        <f aca="false">(Operations!AZ9+AZ8+AZ9)/100*Time!AZ25/Inputs!$F$247/(1-Inputs!$F$93/100)</f>
        <v>0.0580395061728395</v>
      </c>
      <c r="BA13" s="16" t="n">
        <f aca="false">(Operations!BA9+BA8+BA9)/100*Time!BA25/Inputs!$F$247/(1-Inputs!$F$93/100)</f>
        <v>0.0574086419753086</v>
      </c>
      <c r="BB13" s="16" t="n">
        <f aca="false">(Operations!BB9+BB8+BB9)/100*Time!BB25/Inputs!$F$247/(1-Inputs!$F$93/100)</f>
        <v>0.0580395061728395</v>
      </c>
      <c r="BC13" s="16" t="n">
        <f aca="false">(Operations!BC9+BC8+BC9)/100*Time!BC25/Inputs!$F$247/(1-Inputs!$F$93/100)</f>
        <v>0.0570932098765432</v>
      </c>
      <c r="BD13" s="16" t="n">
        <f aca="false">(Operations!BD9+BD8+BD9)/100*Time!BD25/Inputs!$F$247/(1-Inputs!$F$93/100)</f>
        <v>0.0580395061728395</v>
      </c>
      <c r="BE13" s="16" t="n">
        <f aca="false">(Operations!BE9+BE8+BE9)/100*Time!BE25/Inputs!$F$247/(1-Inputs!$F$93/100)</f>
        <v>0.0570932098765432</v>
      </c>
      <c r="BF13" s="16" t="n">
        <f aca="false">(Operations!BF9+BF8+BF9)/100*Time!BF25/Inputs!$F$247/(1-Inputs!$F$93/100)</f>
        <v>0.0580395061728395</v>
      </c>
      <c r="BG13" s="16" t="n">
        <f aca="false">(Operations!BG9+BG8+BG9)/100*Time!BG25/Inputs!$F$247/(1-Inputs!$F$93/100)</f>
        <v>0.0570932098765432</v>
      </c>
      <c r="BH13" s="16" t="n">
        <f aca="false">(Operations!BH9+BH8+BH9)/100*Time!BH25/Inputs!$F$247/(1-Inputs!$F$93/100)</f>
        <v>0.0580395061728395</v>
      </c>
      <c r="BI13" s="16" t="n">
        <f aca="false">(Operations!BI9+BI8+BI9)/100*Time!BI25/Inputs!$F$247/(1-Inputs!$F$93/100)</f>
        <v>0.0574086419753086</v>
      </c>
      <c r="BJ13" s="16" t="n">
        <f aca="false">(Operations!BJ9+BJ8+BJ9)/100*Time!BJ25/Inputs!$F$247/(1-Inputs!$F$93/100)</f>
        <v>0.0580395061728395</v>
      </c>
      <c r="BK13" s="16" t="n">
        <f aca="false">(Operations!BK9+BK8+BK9)/100*Time!BK25/Inputs!$F$247/(1-Inputs!$F$93/100)</f>
        <v>0.0570932098765432</v>
      </c>
      <c r="BL13" s="16" t="n">
        <f aca="false">(Operations!BL9+BL8+BL9)/100*Time!BL25/Inputs!$F$247/(1-Inputs!$F$93/100)</f>
        <v>0.0580395061728395</v>
      </c>
      <c r="BM13" s="16" t="n">
        <f aca="false">(Operations!BM9+BM8+BM9)/100*Time!BM25/Inputs!$F$247/(1-Inputs!$F$93/100)</f>
        <v>0.0570932098765432</v>
      </c>
      <c r="BN13" s="16" t="n">
        <f aca="false">(Operations!BN9+BN8+BN9)/100*Time!BN25/Inputs!$F$247/(1-Inputs!$F$93/100)</f>
        <v>0.0580395061728395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0.0498286296296296</v>
      </c>
      <c r="R14" s="16" t="n">
        <f aca="false">(Inputs!$F$102*(Operations!R9+R8+Inputs!$F$101+R9)/(1-Inputs!$F$93/100)+(1-Inputs!$F$102)*(Operations!R9+Inputs!$F$80+Inputs!$F$101+R9))/100*Time!R25/Inputs!$F$247</f>
        <v>0.0506545185185185</v>
      </c>
      <c r="S14" s="16" t="n">
        <f aca="false">(Inputs!$F$102*(Operations!S9+S8+Inputs!$F$101+S9)/(1-Inputs!$F$93/100)+(1-Inputs!$F$102)*(Operations!S9+Inputs!$F$80+Inputs!$F$101+S9))/100*Time!S25/Inputs!$F$247</f>
        <v>0.0498822592592593</v>
      </c>
      <c r="T14" s="16" t="n">
        <f aca="false">(Inputs!$F$102*(Operations!T9+T8+Inputs!$F$101+T9)/(1-Inputs!$F$93/100)+(1-Inputs!$F$102)*(Operations!T9+Inputs!$F$80+Inputs!$F$101+T9))/100*Time!T25/Inputs!$F$247</f>
        <v>0.050709037037037</v>
      </c>
      <c r="U14" s="16" t="n">
        <f aca="false">(Inputs!$F$102*(Operations!U9+U8+Inputs!$F$101+U9)/(1-Inputs!$F$93/100)+(1-Inputs!$F$102)*(Operations!U9+Inputs!$F$80+Inputs!$F$101+U9))/100*Time!U25/Inputs!$F$247</f>
        <v>0.0501578518518519</v>
      </c>
      <c r="V14" s="16" t="n">
        <f aca="false">(Inputs!$F$102*(Operations!V9+V8+Inputs!$F$101+V9)/(1-Inputs!$F$93/100)+(1-Inputs!$F$102)*(Operations!V9+Inputs!$F$80+Inputs!$F$101+V9))/100*Time!V25/Inputs!$F$247</f>
        <v>0.050709037037037</v>
      </c>
      <c r="W14" s="16" t="n">
        <f aca="false">(Inputs!$F$102*(Operations!W9+W8+Inputs!$F$101+W9)/(1-Inputs!$F$93/100)+(1-Inputs!$F$102)*(Operations!W9+Inputs!$F$80+Inputs!$F$101+W9))/100*Time!W25/Inputs!$F$247</f>
        <v>0.0498822592592593</v>
      </c>
      <c r="X14" s="16" t="n">
        <f aca="false">(Inputs!$F$102*(Operations!X9+X8+Inputs!$F$101+X9)/(1-Inputs!$F$93/100)+(1-Inputs!$F$102)*(Operations!X9+Inputs!$F$80+Inputs!$F$101+X9))/100*Time!X25/Inputs!$F$247</f>
        <v>0.050709037037037</v>
      </c>
      <c r="Y14" s="16" t="n">
        <f aca="false">(Inputs!$F$102*(Operations!Y9+Y8+Inputs!$F$101+Y9)/(1-Inputs!$F$93/100)+(1-Inputs!$F$102)*(Operations!Y9+Inputs!$F$80+Inputs!$F$101+Y9))/100*Time!Y25/Inputs!$F$247</f>
        <v>0.0515581851851852</v>
      </c>
      <c r="Z14" s="16" t="n">
        <f aca="false">(Inputs!$F$102*(Operations!Z9+Z8+Inputs!$F$101+Z9)/(1-Inputs!$F$93/100)+(1-Inputs!$F$102)*(Operations!Z9+Inputs!$F$80+Inputs!$F$101+Z9))/100*Time!Z25/Inputs!$F$247</f>
        <v>0.0524127407407407</v>
      </c>
      <c r="AA14" s="16" t="n">
        <f aca="false">(Inputs!$F$102*(Operations!AA9+AA8+Inputs!$F$101+AA9)/(1-Inputs!$F$93/100)+(1-Inputs!$F$102)*(Operations!AA9+Inputs!$F$80+Inputs!$F$101+AA9))/100*Time!AA25/Inputs!$F$247</f>
        <v>0.0515581851851852</v>
      </c>
      <c r="AB14" s="16" t="n">
        <f aca="false">(Inputs!$F$102*(Operations!AB9+AB8+Inputs!$F$101+AB9)/(1-Inputs!$F$93/100)+(1-Inputs!$F$102)*(Operations!AB9+Inputs!$F$80+Inputs!$F$101+AB9))/100*Time!AB25/Inputs!$F$247</f>
        <v>0.0524127407407407</v>
      </c>
      <c r="AC14" s="16" t="n">
        <f aca="false">(Inputs!$F$102*(Operations!AC9+AC8+Inputs!$F$101+AC9)/(1-Inputs!$F$93/100)+(1-Inputs!$F$102)*(Operations!AC9+Inputs!$F$80+Inputs!$F$101+AC9))/100*Time!AC25/Inputs!$F$247</f>
        <v>0.051843037037037</v>
      </c>
      <c r="AD14" s="16" t="n">
        <f aca="false">(Inputs!$F$102*(Operations!AD9+AD8+Inputs!$F$101+AD9)/(1-Inputs!$F$93/100)+(1-Inputs!$F$102)*(Operations!AD9+Inputs!$F$80+Inputs!$F$101+AD9))/100*Time!AD25/Inputs!$F$247</f>
        <v>0.0524127407407407</v>
      </c>
      <c r="AE14" s="16" t="n">
        <f aca="false">(Inputs!$F$102*(Operations!AE9+AE8+Inputs!$F$101+AE9)/(1-Inputs!$F$93/100)+(1-Inputs!$F$102)*(Operations!AE9+Inputs!$F$80+Inputs!$F$101+AE9))/100*Time!AE25/Inputs!$F$247</f>
        <v>0.0515581851851852</v>
      </c>
      <c r="AF14" s="16" t="n">
        <f aca="false">(Inputs!$F$102*(Operations!AF9+AF8+Inputs!$F$101+AF9)/(1-Inputs!$F$93/100)+(1-Inputs!$F$102)*(Operations!AF9+Inputs!$F$80+Inputs!$F$101+AF9))/100*Time!AF25/Inputs!$F$247</f>
        <v>0.0524127407407407</v>
      </c>
      <c r="AG14" s="16" t="n">
        <f aca="false">(Inputs!$F$102*(Operations!AG9+AG8+Inputs!$F$101+AG9)/(1-Inputs!$F$93/100)+(1-Inputs!$F$102)*(Operations!AG9+Inputs!$F$80+Inputs!$F$101+AG9))/100*Time!AG25/Inputs!$F$247</f>
        <v>0.0532341111111111</v>
      </c>
      <c r="AH14" s="16" t="n">
        <f aca="false">(Inputs!$F$102*(Operations!AH9+AH8+Inputs!$F$101+AH9)/(1-Inputs!$F$93/100)+(1-Inputs!$F$102)*(Operations!AH9+Inputs!$F$80+Inputs!$F$101+AH9))/100*Time!AH25/Inputs!$F$247</f>
        <v>0.0541164444444444</v>
      </c>
      <c r="AI14" s="16" t="n">
        <f aca="false">(Inputs!$F$102*(Operations!AI9+AI8+Inputs!$F$101+AI9)/(1-Inputs!$F$93/100)+(1-Inputs!$F$102)*(Operations!AI9+Inputs!$F$80+Inputs!$F$101+AI9))/100*Time!AI25/Inputs!$F$247</f>
        <v>0.0532341111111111</v>
      </c>
      <c r="AJ14" s="16" t="n">
        <f aca="false">(Inputs!$F$102*(Operations!AJ9+AJ8+Inputs!$F$101+AJ9)/(1-Inputs!$F$93/100)+(1-Inputs!$F$102)*(Operations!AJ9+Inputs!$F$80+Inputs!$F$101+AJ9))/100*Time!AJ25/Inputs!$F$247</f>
        <v>0.0541164444444444</v>
      </c>
      <c r="AK14" s="16" t="n">
        <f aca="false">(Inputs!$F$102*(Operations!AK9+AK8+Inputs!$F$101+AK9)/(1-Inputs!$F$93/100)+(1-Inputs!$F$102)*(Operations!AK9+Inputs!$F$80+Inputs!$F$101+AK9))/100*Time!AK25/Inputs!$F$247</f>
        <v>0.0535282222222222</v>
      </c>
      <c r="AL14" s="16" t="n">
        <f aca="false">(Inputs!$F$102*(Operations!AL9+AL8+Inputs!$F$101+AL9)/(1-Inputs!$F$93/100)+(1-Inputs!$F$102)*(Operations!AL9+Inputs!$F$80+Inputs!$F$101+AL9))/100*Time!AL25/Inputs!$F$247</f>
        <v>0.0541164444444444</v>
      </c>
      <c r="AM14" s="16" t="n">
        <f aca="false">(Inputs!$F$102*(Operations!AM9+AM8+Inputs!$F$101+AM9)/(1-Inputs!$F$93/100)+(1-Inputs!$F$102)*(Operations!AM9+Inputs!$F$80+Inputs!$F$101+AM9))/100*Time!AM25/Inputs!$F$247</f>
        <v>0.0532341111111111</v>
      </c>
      <c r="AN14" s="16" t="n">
        <f aca="false">(Inputs!$F$102*(Operations!AN9+AN8+Inputs!$F$101+AN9)/(1-Inputs!$F$93/100)+(1-Inputs!$F$102)*(Operations!AN9+Inputs!$F$80+Inputs!$F$101+AN9))/100*Time!AN25/Inputs!$F$247</f>
        <v>0.0541164444444444</v>
      </c>
      <c r="AO14" s="16" t="n">
        <f aca="false">(Inputs!$F$102*(Operations!AO9+AO8+Inputs!$F$101+AO9)/(1-Inputs!$F$93/100)+(1-Inputs!$F$102)*(Operations!AO9+Inputs!$F$80+Inputs!$F$101+AO9))/100*Time!AO25/Inputs!$F$247</f>
        <v>0.0532341111111111</v>
      </c>
      <c r="AP14" s="16" t="n">
        <f aca="false">(Inputs!$F$102*(Operations!AP9+AP8+Inputs!$F$101+AP9)/(1-Inputs!$F$93/100)+(1-Inputs!$F$102)*(Operations!AP9+Inputs!$F$80+Inputs!$F$101+AP9))/100*Time!AP25/Inputs!$F$247</f>
        <v>0.0541164444444444</v>
      </c>
      <c r="AQ14" s="16" t="n">
        <f aca="false">(Inputs!$F$102*(Operations!AQ9+AQ8+Inputs!$F$101+AQ9)/(1-Inputs!$F$93/100)+(1-Inputs!$F$102)*(Operations!AQ9+Inputs!$F$80+Inputs!$F$101+AQ9))/100*Time!AQ25/Inputs!$F$247</f>
        <v>0.0532341111111111</v>
      </c>
      <c r="AR14" s="16" t="n">
        <f aca="false">(Inputs!$F$102*(Operations!AR9+AR8+Inputs!$F$101+AR9)/(1-Inputs!$F$93/100)+(1-Inputs!$F$102)*(Operations!AR9+Inputs!$F$80+Inputs!$F$101+AR9))/100*Time!AR25/Inputs!$F$247</f>
        <v>0.0541164444444444</v>
      </c>
      <c r="AS14" s="16" t="n">
        <f aca="false">(Inputs!$F$102*(Operations!AS9+AS8+Inputs!$F$101+AS9)/(1-Inputs!$F$93/100)+(1-Inputs!$F$102)*(Operations!AS9+Inputs!$F$80+Inputs!$F$101+AS9))/100*Time!AS25/Inputs!$F$247</f>
        <v>0.0535282222222222</v>
      </c>
      <c r="AT14" s="16" t="n">
        <f aca="false">(Inputs!$F$102*(Operations!AT9+AT8+Inputs!$F$101+AT9)/(1-Inputs!$F$93/100)+(1-Inputs!$F$102)*(Operations!AT9+Inputs!$F$80+Inputs!$F$101+AT9))/100*Time!AT25/Inputs!$F$247</f>
        <v>0.0541164444444444</v>
      </c>
      <c r="AU14" s="16" t="n">
        <f aca="false">(Inputs!$F$102*(Operations!AU9+AU8+Inputs!$F$101+AU9)/(1-Inputs!$F$93/100)+(1-Inputs!$F$102)*(Operations!AU9+Inputs!$F$80+Inputs!$F$101+AU9))/100*Time!AU25/Inputs!$F$247</f>
        <v>0.0532341111111111</v>
      </c>
      <c r="AV14" s="16" t="n">
        <f aca="false">(Inputs!$F$102*(Operations!AV9+AV8+Inputs!$F$101+AV9)/(1-Inputs!$F$93/100)+(1-Inputs!$F$102)*(Operations!AV9+Inputs!$F$80+Inputs!$F$101+AV9))/100*Time!AV25/Inputs!$F$247</f>
        <v>0.0541164444444444</v>
      </c>
      <c r="AW14" s="16" t="n">
        <f aca="false">(Inputs!$F$102*(Operations!AW9+AW8+Inputs!$F$101+AW9)/(1-Inputs!$F$93/100)+(1-Inputs!$F$102)*(Operations!AW9+Inputs!$F$80+Inputs!$F$101+AW9))/100*Time!AW25/Inputs!$F$247</f>
        <v>0.0532341111111111</v>
      </c>
      <c r="AX14" s="16" t="n">
        <f aca="false">(Inputs!$F$102*(Operations!AX9+AX8+Inputs!$F$101+AX9)/(1-Inputs!$F$93/100)+(1-Inputs!$F$102)*(Operations!AX9+Inputs!$F$80+Inputs!$F$101+AX9))/100*Time!AX25/Inputs!$F$247</f>
        <v>0.0541164444444444</v>
      </c>
      <c r="AY14" s="16" t="n">
        <f aca="false">(Inputs!$F$102*(Operations!AY9+AY8+Inputs!$F$101+AY9)/(1-Inputs!$F$93/100)+(1-Inputs!$F$102)*(Operations!AY9+Inputs!$F$80+Inputs!$F$101+AY9))/100*Time!AY25/Inputs!$F$247</f>
        <v>0.0532341111111111</v>
      </c>
      <c r="AZ14" s="16" t="n">
        <f aca="false">(Inputs!$F$102*(Operations!AZ9+AZ8+Inputs!$F$101+AZ9)/(1-Inputs!$F$93/100)+(1-Inputs!$F$102)*(Operations!AZ9+Inputs!$F$80+Inputs!$F$101+AZ9))/100*Time!AZ25/Inputs!$F$247</f>
        <v>0.0541164444444444</v>
      </c>
      <c r="BA14" s="16" t="n">
        <f aca="false">(Inputs!$F$102*(Operations!BA9+BA8+Inputs!$F$101+BA9)/(1-Inputs!$F$93/100)+(1-Inputs!$F$102)*(Operations!BA9+Inputs!$F$80+Inputs!$F$101+BA9))/100*Time!BA25/Inputs!$F$247</f>
        <v>0.0535282222222222</v>
      </c>
      <c r="BB14" s="16" t="n">
        <f aca="false">(Inputs!$F$102*(Operations!BB9+BB8+Inputs!$F$101+BB9)/(1-Inputs!$F$93/100)+(1-Inputs!$F$102)*(Operations!BB9+Inputs!$F$80+Inputs!$F$101+BB9))/100*Time!BB25/Inputs!$F$247</f>
        <v>0.0541164444444444</v>
      </c>
      <c r="BC14" s="16" t="n">
        <f aca="false">(Inputs!$F$102*(Operations!BC9+BC8+Inputs!$F$101+BC9)/(1-Inputs!$F$93/100)+(1-Inputs!$F$102)*(Operations!BC9+Inputs!$F$80+Inputs!$F$101+BC9))/100*Time!BC25/Inputs!$F$247</f>
        <v>0.0532341111111111</v>
      </c>
      <c r="BD14" s="16" t="n">
        <f aca="false">(Inputs!$F$102*(Operations!BD9+BD8+Inputs!$F$101+BD9)/(1-Inputs!$F$93/100)+(1-Inputs!$F$102)*(Operations!BD9+Inputs!$F$80+Inputs!$F$101+BD9))/100*Time!BD25/Inputs!$F$247</f>
        <v>0.0541164444444444</v>
      </c>
      <c r="BE14" s="16" t="n">
        <f aca="false">(Inputs!$F$102*(Operations!BE9+BE8+Inputs!$F$101+BE9)/(1-Inputs!$F$93/100)+(1-Inputs!$F$102)*(Operations!BE9+Inputs!$F$80+Inputs!$F$101+BE9))/100*Time!BE25/Inputs!$F$247</f>
        <v>0.0532341111111111</v>
      </c>
      <c r="BF14" s="16" t="n">
        <f aca="false">(Inputs!$F$102*(Operations!BF9+BF8+Inputs!$F$101+BF9)/(1-Inputs!$F$93/100)+(1-Inputs!$F$102)*(Operations!BF9+Inputs!$F$80+Inputs!$F$101+BF9))/100*Time!BF25/Inputs!$F$247</f>
        <v>0.0541164444444444</v>
      </c>
      <c r="BG14" s="16" t="n">
        <f aca="false">(Inputs!$F$102*(Operations!BG9+BG8+Inputs!$F$101+BG9)/(1-Inputs!$F$93/100)+(1-Inputs!$F$102)*(Operations!BG9+Inputs!$F$80+Inputs!$F$101+BG9))/100*Time!BG25/Inputs!$F$247</f>
        <v>0.0532341111111111</v>
      </c>
      <c r="BH14" s="16" t="n">
        <f aca="false">(Inputs!$F$102*(Operations!BH9+BH8+Inputs!$F$101+BH9)/(1-Inputs!$F$93/100)+(1-Inputs!$F$102)*(Operations!BH9+Inputs!$F$80+Inputs!$F$101+BH9))/100*Time!BH25/Inputs!$F$247</f>
        <v>0.0541164444444444</v>
      </c>
      <c r="BI14" s="16" t="n">
        <f aca="false">(Inputs!$F$102*(Operations!BI9+BI8+Inputs!$F$101+BI9)/(1-Inputs!$F$93/100)+(1-Inputs!$F$102)*(Operations!BI9+Inputs!$F$80+Inputs!$F$101+BI9))/100*Time!BI25/Inputs!$F$247</f>
        <v>0.0535282222222222</v>
      </c>
      <c r="BJ14" s="16" t="n">
        <f aca="false">(Inputs!$F$102*(Operations!BJ9+BJ8+Inputs!$F$101+BJ9)/(1-Inputs!$F$93/100)+(1-Inputs!$F$102)*(Operations!BJ9+Inputs!$F$80+Inputs!$F$101+BJ9))/100*Time!BJ25/Inputs!$F$247</f>
        <v>0.0541164444444444</v>
      </c>
      <c r="BK14" s="16" t="n">
        <f aca="false">(Inputs!$F$102*(Operations!BK9+BK8+Inputs!$F$101+BK9)/(1-Inputs!$F$93/100)+(1-Inputs!$F$102)*(Operations!BK9+Inputs!$F$80+Inputs!$F$101+BK9))/100*Time!BK25/Inputs!$F$247</f>
        <v>0.0532341111111111</v>
      </c>
      <c r="BL14" s="16" t="n">
        <f aca="false">(Inputs!$F$102*(Operations!BL9+BL8+Inputs!$F$101+BL9)/(1-Inputs!$F$93/100)+(1-Inputs!$F$102)*(Operations!BL9+Inputs!$F$80+Inputs!$F$101+BL9))/100*Time!BL25/Inputs!$F$247</f>
        <v>0.0541164444444444</v>
      </c>
      <c r="BM14" s="16" t="n">
        <f aca="false">(Inputs!$F$102*(Operations!BM9+BM8+Inputs!$F$101+BM9)/(1-Inputs!$F$93/100)+(1-Inputs!$F$102)*(Operations!BM9+Inputs!$F$80+Inputs!$F$101+BM9))/100*Time!BM25/Inputs!$F$247</f>
        <v>0.0532341111111111</v>
      </c>
      <c r="BN14" s="16" t="n">
        <f aca="false">(Inputs!$F$102*(Operations!BN9+BN8+Inputs!$F$101+BN9)/(1-Inputs!$F$93/100)+(1-Inputs!$F$102)*(Operations!BN9+Inputs!$F$80+Inputs!$F$101+BN9))/100*Time!BN25/Inputs!$F$247</f>
        <v>0.0541164444444444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93.0764068938425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6.01941148362688</v>
      </c>
      <c r="R23" s="13" t="n">
        <f aca="false">R21*R10</f>
        <v>5.95925648998672</v>
      </c>
      <c r="S23" s="13" t="n">
        <f aca="false">S21*S10</f>
        <v>5.70584762293156</v>
      </c>
      <c r="T23" s="13" t="n">
        <f aca="false">T21*T10</f>
        <v>5.62740551542489</v>
      </c>
      <c r="U23" s="13" t="n">
        <f aca="false">U21*U10</f>
        <v>5.38723240209455</v>
      </c>
      <c r="V23" s="13" t="n">
        <f aca="false">V21*V10</f>
        <v>5.25968846108151</v>
      </c>
      <c r="W23" s="13" t="n">
        <f aca="false">W21*W10</f>
        <v>4.97823215583279</v>
      </c>
      <c r="X23" s="13" t="n">
        <f aca="false">X21*X10</f>
        <v>4.85571851976232</v>
      </c>
      <c r="Y23" s="13" t="n">
        <f aca="false">Y21*Y10</f>
        <v>4.58046449812361</v>
      </c>
      <c r="Z23" s="13" t="n">
        <f aca="false">Z21*Z10</f>
        <v>4.4569552817845</v>
      </c>
      <c r="AA23" s="13" t="n">
        <f aca="false">AA21*AA10</f>
        <v>4.17998335664266</v>
      </c>
      <c r="AB23" s="13" t="n">
        <f aca="false">AB21*AB10</f>
        <v>4.03551348815537</v>
      </c>
      <c r="AC23" s="13" t="n">
        <f aca="false">AC21*AC10</f>
        <v>3.77012041380205</v>
      </c>
      <c r="AD23" s="13" t="n">
        <f aca="false">AD21*AD10</f>
        <v>3.58016757436221</v>
      </c>
      <c r="AE23" s="13" t="n">
        <f aca="false">AE21*AE10</f>
        <v>3.27326155968146</v>
      </c>
      <c r="AF23" s="13" t="n">
        <f aca="false">AF21*AF10</f>
        <v>3.06400228823977</v>
      </c>
      <c r="AG23" s="13" t="n">
        <f aca="false">AG21*AG10</f>
        <v>2.74573614415408</v>
      </c>
      <c r="AH23" s="13" t="n">
        <f aca="false">AH21*AH10</f>
        <v>2.51339836041188</v>
      </c>
      <c r="AI23" s="13" t="n">
        <f aca="false">AI21*AI10</f>
        <v>2.18538099480509</v>
      </c>
      <c r="AJ23" s="13" t="n">
        <f aca="false">AJ21*AJ10</f>
        <v>1.92123934409009</v>
      </c>
      <c r="AK23" s="13" t="n">
        <f aca="false">AK21*AK10</f>
        <v>1.58891446560193</v>
      </c>
      <c r="AL23" s="13" t="n">
        <f aca="false">AL21*AL10</f>
        <v>1.28131918496857</v>
      </c>
      <c r="AM23" s="13" t="n">
        <f aca="false">AM21*AM10</f>
        <v>0.921378373170304</v>
      </c>
      <c r="AN23" s="13" t="n">
        <f aca="false">AN21*AN10</f>
        <v>0.584816549935677</v>
      </c>
      <c r="AO23" s="13" t="n">
        <f aca="false">AO21*AO10</f>
        <v>0.289755683676798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93.0388388483601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5.98586677566859</v>
      </c>
      <c r="R37" s="13" t="n">
        <f aca="false">R35*R11</f>
        <v>5.92604701109516</v>
      </c>
      <c r="S37" s="13" t="n">
        <f aca="false">S35*S11</f>
        <v>5.67174776078525</v>
      </c>
      <c r="T37" s="13" t="n">
        <f aca="false">T35*T11</f>
        <v>5.59377444691437</v>
      </c>
      <c r="U37" s="13" t="n">
        <f aca="false">U35*U11</f>
        <v>5.35503668037157</v>
      </c>
      <c r="V37" s="13" t="n">
        <f aca="false">V35*V11</f>
        <v>5.22825498032492</v>
      </c>
      <c r="W37" s="13" t="n">
        <f aca="false">W35*W11</f>
        <v>4.94848074263977</v>
      </c>
      <c r="X37" s="13" t="n">
        <f aca="false">X35*X11</f>
        <v>4.82669928491985</v>
      </c>
      <c r="Y37" s="13" t="n">
        <f aca="false">Y35*Y11</f>
        <v>4.55309026413173</v>
      </c>
      <c r="Z37" s="13" t="n">
        <f aca="false">Z35*Z11</f>
        <v>4.4303191760304</v>
      </c>
      <c r="AA37" s="13" t="n">
        <f aca="false">AA35*AA11</f>
        <v>4.15500251844737</v>
      </c>
      <c r="AB37" s="13" t="n">
        <f aca="false">AB35*AB11</f>
        <v>4.01139604536166</v>
      </c>
      <c r="AC37" s="13" t="n">
        <f aca="false">AC35*AC11</f>
        <v>3.74758903987104</v>
      </c>
      <c r="AD37" s="13" t="n">
        <f aca="false">AD35*AD11</f>
        <v>3.5587714157519</v>
      </c>
      <c r="AE37" s="13" t="n">
        <f aca="false">AE35*AE11</f>
        <v>3.2536995637555</v>
      </c>
      <c r="AF37" s="13" t="n">
        <f aca="false">AF35*AF11</f>
        <v>3.04569088868099</v>
      </c>
      <c r="AG37" s="13" t="n">
        <f aca="false">AG35*AG11</f>
        <v>2.72932679883095</v>
      </c>
      <c r="AH37" s="13" t="n">
        <f aca="false">AH35*AH11</f>
        <v>2.49837753558923</v>
      </c>
      <c r="AI37" s="13" t="n">
        <f aca="false">AI35*AI11</f>
        <v>2.1723205004518</v>
      </c>
      <c r="AJ37" s="13" t="n">
        <f aca="false">AJ35*AJ11</f>
        <v>1.90975743971531</v>
      </c>
      <c r="AK37" s="13" t="n">
        <f aca="false">AK35*AK11</f>
        <v>1.57941863468953</v>
      </c>
      <c r="AL37" s="13" t="n">
        <f aca="false">AL35*AL11</f>
        <v>1.27366163600121</v>
      </c>
      <c r="AM37" s="13" t="n">
        <f aca="false">AM35*AM11</f>
        <v>0.915871938791749</v>
      </c>
      <c r="AN37" s="13" t="n">
        <f aca="false">AN35*AN11</f>
        <v>0.581321510276092</v>
      </c>
      <c r="AO37" s="13" t="n">
        <f aca="false">AO35*AO11</f>
        <v>0.288024016530662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41.0659343023075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2.64319874745432</v>
      </c>
      <c r="R51" s="13" t="n">
        <f aca="false">R49*R12</f>
        <v>2.6167839385855</v>
      </c>
      <c r="S51" s="13" t="n">
        <f aca="false">S49*S12</f>
        <v>2.5045760817814</v>
      </c>
      <c r="T51" s="13" t="n">
        <f aca="false">T49*T12</f>
        <v>2.47014399749717</v>
      </c>
      <c r="U51" s="13" t="n">
        <f aca="false">U49*U12</f>
        <v>2.36472025068756</v>
      </c>
      <c r="V51" s="13" t="n">
        <f aca="false">V49*V12</f>
        <v>2.30873496591522</v>
      </c>
      <c r="W51" s="13" t="n">
        <f aca="false">W49*W12</f>
        <v>2.18519000348766</v>
      </c>
      <c r="X51" s="13" t="n">
        <f aca="false">X49*X12</f>
        <v>2.13141276601623</v>
      </c>
      <c r="Y51" s="13" t="n">
        <f aca="false">Y49*Y12</f>
        <v>2.01059028974823</v>
      </c>
      <c r="Z51" s="13" t="n">
        <f aca="false">Z49*Z12</f>
        <v>1.95637604331808</v>
      </c>
      <c r="AA51" s="13" t="n">
        <f aca="false">AA49*AA12</f>
        <v>1.83479949503325</v>
      </c>
      <c r="AB51" s="13" t="n">
        <f aca="false">AB49*AB12</f>
        <v>1.7713845914005</v>
      </c>
      <c r="AC51" s="13" t="n">
        <f aca="false">AC49*AC12</f>
        <v>1.65489056803676</v>
      </c>
      <c r="AD51" s="13" t="n">
        <f aca="false">AD49*AD12</f>
        <v>1.57151095999825</v>
      </c>
      <c r="AE51" s="13" t="n">
        <f aca="false">AE49*AE12</f>
        <v>1.43679487318321</v>
      </c>
      <c r="AF51" s="13" t="n">
        <f aca="false">AF49*AF12</f>
        <v>1.34494072621344</v>
      </c>
      <c r="AG51" s="13" t="n">
        <f aca="false">AG49*AG12</f>
        <v>1.2052381220089</v>
      </c>
      <c r="AH51" s="13" t="n">
        <f aca="false">AH49*AH12</f>
        <v>1.10325368525035</v>
      </c>
      <c r="AI51" s="13" t="n">
        <f aca="false">AI49*AI12</f>
        <v>0.959270792155559</v>
      </c>
      <c r="AJ51" s="13" t="n">
        <f aca="false">AJ49*AJ12</f>
        <v>0.843326079940627</v>
      </c>
      <c r="AK51" s="13" t="n">
        <f aca="false">AK49*AK12</f>
        <v>0.697452408394048</v>
      </c>
      <c r="AL51" s="13" t="n">
        <f aca="false">AL49*AL12</f>
        <v>0.562433768981567</v>
      </c>
      <c r="AM51" s="13" t="n">
        <f aca="false">AM49*AM12</f>
        <v>0.404438111252498</v>
      </c>
      <c r="AN51" s="13" t="n">
        <f aca="false">AN49*AN12</f>
        <v>0.256704637066047</v>
      </c>
      <c r="AO51" s="13" t="n">
        <f aca="false">AO49*AO12</f>
        <v>0.127187966250712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148.894146133835</v>
      </c>
      <c r="AC63" s="13" t="n">
        <f aca="false">Time!AC35*AB75</f>
        <v>133.897022069984</v>
      </c>
      <c r="AD63" s="13" t="n">
        <f aca="false">Time!AD35*AC75</f>
        <v>119.324064836184</v>
      </c>
      <c r="AE63" s="13" t="n">
        <f aca="false">Time!AE35*AD75</f>
        <v>103.076239780622</v>
      </c>
      <c r="AF63" s="13" t="n">
        <f aca="false">Time!AF35*AE75</f>
        <v>86.4276552857017</v>
      </c>
      <c r="AG63" s="13" t="n">
        <f aca="false">Time!AG35*AF75</f>
        <v>69.2983231055999</v>
      </c>
      <c r="AH63" s="13" t="n">
        <f aca="false">Time!AH35*AG75</f>
        <v>52.4800161800619</v>
      </c>
      <c r="AI63" s="13" t="n">
        <f aca="false">Time!AI35*AH75</f>
        <v>35.0306078464229</v>
      </c>
      <c r="AJ63" s="13" t="n">
        <f aca="false">Time!AJ35*AI75</f>
        <v>18.0036255832176</v>
      </c>
      <c r="AK63" s="13" t="n">
        <f aca="false">Time!AK35*AJ75</f>
        <v>0.817923438792006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168.193145524904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12.0781655259703</v>
      </c>
      <c r="R65" s="13" t="n">
        <f aca="false">R63*R13</f>
        <v>11.9574623687969</v>
      </c>
      <c r="S65" s="13" t="n">
        <f aca="false">S63*S13</f>
        <v>11.4437046950043</v>
      </c>
      <c r="T65" s="13" t="n">
        <f aca="false">T63*T13</f>
        <v>11.2863804246623</v>
      </c>
      <c r="U65" s="13" t="n">
        <f aca="false">U63*U13</f>
        <v>10.8046868418218</v>
      </c>
      <c r="V65" s="13" t="n">
        <f aca="false">V63*V13</f>
        <v>10.5488834462449</v>
      </c>
      <c r="W65" s="13" t="n">
        <f aca="false">W63*W13</f>
        <v>9.98439188343681</v>
      </c>
      <c r="X65" s="13" t="n">
        <f aca="false">X63*X13</f>
        <v>9.73867731744191</v>
      </c>
      <c r="Y65" s="13" t="n">
        <f aca="false">Y63*Y13</f>
        <v>9.68481519850555</v>
      </c>
      <c r="Z65" s="13" t="n">
        <f aca="false">Z63*Z13</f>
        <v>9.42367051851807</v>
      </c>
      <c r="AA65" s="13" t="n">
        <f aca="false">AA63*AA13</f>
        <v>8.83804827185032</v>
      </c>
      <c r="AB65" s="13" t="n">
        <f aca="false">AB63*AB13</f>
        <v>8.21895686658769</v>
      </c>
      <c r="AC65" s="13" t="n">
        <f aca="false">AC63*AC13</f>
        <v>7.31077740502115</v>
      </c>
      <c r="AD65" s="13" t="n">
        <f aca="false">AD63*AD13</f>
        <v>6.58668837895738</v>
      </c>
      <c r="AE65" s="13" t="n">
        <f aca="false">AE63*AE13</f>
        <v>5.59703982008775</v>
      </c>
      <c r="AF65" s="13" t="n">
        <f aca="false">AF63*AF13</f>
        <v>4.77080657177073</v>
      </c>
      <c r="AG65" s="13" t="n">
        <f aca="false">AG63*AG13</f>
        <v>3.95646370516052</v>
      </c>
      <c r="AH65" s="13" t="n">
        <f aca="false">AH63*AH13</f>
        <v>3.04591422303342</v>
      </c>
      <c r="AI65" s="13" t="n">
        <f aca="false">AI63*AI13</f>
        <v>2.0000098458787</v>
      </c>
      <c r="AJ65" s="13" t="n">
        <f aca="false">AJ63*AJ13</f>
        <v>1.04492153817065</v>
      </c>
      <c r="AK65" s="13" t="n">
        <f aca="false">AK63*AK13</f>
        <v>0.0469558738608235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147.573470342739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8.26333662473279</v>
      </c>
      <c r="AC66" s="13" t="n">
        <f aca="false">Time!AC35*(AC63-AC64)*AC19</f>
        <v>8.12830909911942</v>
      </c>
      <c r="AD66" s="13" t="n">
        <f aca="false">Time!AD35*(AD63-AD64)*AD19</f>
        <v>8.42072041719296</v>
      </c>
      <c r="AE66" s="13" t="n">
        <f aca="false">Time!AE35*(AE63-AE64)*AE19</f>
        <v>8.16280416680967</v>
      </c>
      <c r="AF66" s="13" t="n">
        <f aca="false">Time!AF35*(AF63-AF64)*AF19</f>
        <v>7.69376791497906</v>
      </c>
      <c r="AG66" s="13" t="n">
        <f aca="false">Time!AG35*(AG63-AG64)*AG19</f>
        <v>6.89811986542441</v>
      </c>
      <c r="AH66" s="13" t="n">
        <f aca="false">Time!AH35*(AH63-AH64)*AH19</f>
        <v>6.09272173559046</v>
      </c>
      <c r="AI66" s="13" t="n">
        <f aca="false">Time!AI35*(AI63-AI64)*AI19</f>
        <v>4.73618137623349</v>
      </c>
      <c r="AJ66" s="13" t="n">
        <f aca="false">Time!AJ35*(AJ63-AJ64)*AJ19</f>
        <v>2.950542639811</v>
      </c>
      <c r="AK66" s="13" t="n">
        <f aca="false">Time!AK35*(AK63-AK64)*AK19</f>
        <v>0.165509804289715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147.573470342739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8.26333662473279</v>
      </c>
      <c r="AC69" s="13" t="n">
        <f aca="false">AC66-AC67+AC68</f>
        <v>8.12830909911942</v>
      </c>
      <c r="AD69" s="13" t="n">
        <f aca="false">AD66-AD67+AD68</f>
        <v>8.42072041719296</v>
      </c>
      <c r="AE69" s="13" t="n">
        <f aca="false">AE66-AE67+AE68</f>
        <v>8.16280416680967</v>
      </c>
      <c r="AF69" s="13" t="n">
        <f aca="false">AF66-AF67+AF68</f>
        <v>7.69376791497906</v>
      </c>
      <c r="AG69" s="13" t="n">
        <f aca="false">AG66-AG67+AG68</f>
        <v>6.89811986542441</v>
      </c>
      <c r="AH69" s="13" t="n">
        <f aca="false">AH66-AH67+AH68</f>
        <v>6.09272173559046</v>
      </c>
      <c r="AI69" s="13" t="n">
        <f aca="false">AI66-AI67+AI68</f>
        <v>4.73618137623349</v>
      </c>
      <c r="AJ69" s="13" t="n">
        <f aca="false">AJ66-AJ67+AJ68</f>
        <v>2.950542639811</v>
      </c>
      <c r="AK69" s="13" t="n">
        <f aca="false">AK66-AK67+AK68</f>
        <v>0.165509804289715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140.630809509102</v>
      </c>
      <c r="AC73" s="13" t="n">
        <f aca="false">AC63-AC69-AC70-AC71</f>
        <v>125.768712970865</v>
      </c>
      <c r="AD73" s="13" t="n">
        <f aca="false">AD63-AD69-AD70-AD71</f>
        <v>110.903344418991</v>
      </c>
      <c r="AE73" s="13" t="n">
        <f aca="false">AE63-AE69-AE70-AE71</f>
        <v>94.9134356138119</v>
      </c>
      <c r="AF73" s="13" t="n">
        <f aca="false">AF63-AF69-AF70-AF71</f>
        <v>78.7338873707226</v>
      </c>
      <c r="AG73" s="13" t="n">
        <f aca="false">AG63-AG69-AG70-AG71</f>
        <v>62.4002032401755</v>
      </c>
      <c r="AH73" s="13" t="n">
        <f aca="false">AH63-AH69-AH70-AH71</f>
        <v>46.3872944444714</v>
      </c>
      <c r="AI73" s="13" t="n">
        <f aca="false">AI63-AI69-AI70-AI71</f>
        <v>30.2944264701894</v>
      </c>
      <c r="AJ73" s="13" t="n">
        <f aca="false">AJ63-AJ69-AJ70-AJ71</f>
        <v>15.0530829434066</v>
      </c>
      <c r="AK73" s="13" t="n">
        <f aca="false">AK63-AK69-AK70-AK71</f>
        <v>0.652413634502291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93.0638003635155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5.6816678738635</v>
      </c>
      <c r="AB74" s="13" t="n">
        <f aca="false">Waterfall!AB28*AB73/(AB31+AB45+AB59+AB73+AB87+Inputs!$F$253)+Waterfall!AB29</f>
        <v>6.73378743911777</v>
      </c>
      <c r="AC74" s="13" t="n">
        <f aca="false">Waterfall!AC28*AC73/(AC31+AC45+AC59+AC73+AC87+Inputs!$F$253)+Waterfall!AC29</f>
        <v>6.44464813468057</v>
      </c>
      <c r="AD74" s="13" t="n">
        <f aca="false">Waterfall!AD28*AD73/(AD31+AD45+AD59+AD73+AD87+Inputs!$F$253)+Waterfall!AD29</f>
        <v>7.82710463836991</v>
      </c>
      <c r="AE74" s="13" t="n">
        <f aca="false">Waterfall!AE28*AE73/(AE31+AE45+AE59+AE73+AE87+Inputs!$F$253)+Waterfall!AE29</f>
        <v>8.48578032811019</v>
      </c>
      <c r="AF74" s="13" t="n">
        <f aca="false">Waterfall!AF28*AF73/(AF31+AF45+AF59+AF73+AF87+Inputs!$F$253)+Waterfall!AF29</f>
        <v>9.43556426512269</v>
      </c>
      <c r="AG74" s="13" t="n">
        <f aca="false">Waterfall!AG28*AG73/(AG31+AG45+AG59+AG73+AG87+Inputs!$F$253)+Waterfall!AG29</f>
        <v>9.92018706011367</v>
      </c>
      <c r="AH74" s="13" t="n">
        <f aca="false">Waterfall!AH28*AH73/(AH31+AH45+AH59+AH73+AH87+Inputs!$F$253)+Waterfall!AH29</f>
        <v>11.3566865980485</v>
      </c>
      <c r="AI74" s="13" t="n">
        <f aca="false">Waterfall!AI28*AI73/(AI31+AI45+AI59+AI73+AI87+Inputs!$F$253)+Waterfall!AI29</f>
        <v>12.2908008869718</v>
      </c>
      <c r="AJ74" s="13" t="n">
        <f aca="false">Waterfall!AJ28*AJ73/(AJ31+AJ45+AJ59+AJ73+AJ87+Inputs!$F$253)+Waterfall!AJ29</f>
        <v>14.2351595046146</v>
      </c>
      <c r="AK74" s="13" t="n">
        <f aca="false">Waterfall!AK28*AK73/(AK31+AK45+AK59+AK73+AK87+Inputs!$F$253)+Waterfall!AK29</f>
        <v>0.652413634502291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148.894146133835</v>
      </c>
      <c r="AB75" s="13" t="n">
        <f aca="false">IF(Time!AB34=1,INDEX(Funding!$J$64:$BJ$64,1,Time!$F$14),Time!AB35*(AB73-AB74))</f>
        <v>133.897022069984</v>
      </c>
      <c r="AC75" s="13" t="n">
        <f aca="false">IF(Time!AC34=1,INDEX(Funding!$J$64:$BJ$64,1,Time!$F$14),Time!AC35*(AC73-AC74))</f>
        <v>119.324064836184</v>
      </c>
      <c r="AD75" s="13" t="n">
        <f aca="false">IF(Time!AD34=1,INDEX(Funding!$J$64:$BJ$64,1,Time!$F$14),Time!AD35*(AD73-AD74))</f>
        <v>103.076239780622</v>
      </c>
      <c r="AE75" s="13" t="n">
        <f aca="false">IF(Time!AE34=1,INDEX(Funding!$J$64:$BJ$64,1,Time!$F$14),Time!AE35*(AE73-AE74))</f>
        <v>86.4276552857017</v>
      </c>
      <c r="AF75" s="13" t="n">
        <f aca="false">IF(Time!AF34=1,INDEX(Funding!$J$64:$BJ$64,1,Time!$F$14),Time!AF35*(AF73-AF74))</f>
        <v>69.2983231055999</v>
      </c>
      <c r="AG75" s="13" t="n">
        <f aca="false">IF(Time!AG34=1,INDEX(Funding!$J$64:$BJ$64,1,Time!$F$14),Time!AG35*(AG73-AG74))</f>
        <v>52.4800161800619</v>
      </c>
      <c r="AH75" s="13" t="n">
        <f aca="false">IF(Time!AH34=1,INDEX(Funding!$J$64:$BJ$64,1,Time!$F$14),Time!AH35*(AH73-AH74))</f>
        <v>35.0306078464229</v>
      </c>
      <c r="AI75" s="13" t="n">
        <f aca="false">IF(Time!AI34=1,INDEX(Funding!$J$64:$BJ$64,1,Time!$F$14),Time!AI35*(AI73-AI74))</f>
        <v>18.0036255832176</v>
      </c>
      <c r="AJ75" s="13" t="n">
        <f aca="false">IF(Time!AJ34=1,INDEX(Funding!$J$64:$BJ$64,1,Time!$F$14),Time!AJ35*(AJ73-AJ74))</f>
        <v>0.817923438792006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1.3453141497925E-011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8.46899223629647E-013</v>
      </c>
      <c r="R79" s="13" t="n">
        <f aca="false">R77*R14</f>
        <v>8.3843573553785E-013</v>
      </c>
      <c r="S79" s="13" t="n">
        <f aca="false">S77*S14</f>
        <v>8.02404361771406E-013</v>
      </c>
      <c r="T79" s="13" t="n">
        <f aca="false">T77*T14</f>
        <v>7.91373171776613E-013</v>
      </c>
      <c r="U79" s="13" t="n">
        <f aca="false">U77*U14</f>
        <v>7.57598005236595E-013</v>
      </c>
      <c r="V79" s="13" t="n">
        <f aca="false">V77*V14</f>
        <v>7.39661701754695E-013</v>
      </c>
      <c r="W79" s="13" t="n">
        <f aca="false">W77*W14</f>
        <v>7.00080944975985E-013</v>
      </c>
      <c r="X79" s="13" t="n">
        <f aca="false">X77*X14</f>
        <v>6.8285204535302E-013</v>
      </c>
      <c r="Y79" s="13" t="n">
        <f aca="false">Y77*Y14</f>
        <v>6.65785204171076E-013</v>
      </c>
      <c r="Z79" s="13" t="n">
        <f aca="false">Z77*Z14</f>
        <v>6.47832743487006E-013</v>
      </c>
      <c r="AA79" s="13" t="n">
        <f aca="false">AA77*AA14</f>
        <v>6.07573985929611E-013</v>
      </c>
      <c r="AB79" s="13" t="n">
        <f aca="false">AB77*AB14</f>
        <v>5.86574827235819E-013</v>
      </c>
      <c r="AC79" s="13" t="n">
        <f aca="false">AC77*AC14</f>
        <v>5.47999092773452E-013</v>
      </c>
      <c r="AD79" s="13" t="n">
        <f aca="false">AD77*AD14</f>
        <v>5.20388838389614E-013</v>
      </c>
      <c r="AE79" s="13" t="n">
        <f aca="false">AE77*AE14</f>
        <v>4.75779064920296E-013</v>
      </c>
      <c r="AF79" s="13" t="n">
        <f aca="false">AF77*AF14</f>
        <v>4.45362558730023E-013</v>
      </c>
      <c r="AG79" s="13" t="n">
        <f aca="false">AG77*AG14</f>
        <v>4.12074559936872E-013</v>
      </c>
      <c r="AH79" s="13" t="n">
        <f aca="false">AH77*AH14</f>
        <v>3.77205772491249E-013</v>
      </c>
      <c r="AI79" s="13" t="n">
        <f aca="false">AI77*AI14</f>
        <v>3.27977585772778E-013</v>
      </c>
      <c r="AJ79" s="13" t="n">
        <f aca="false">AJ77*AJ14</f>
        <v>2.88335737916739E-013</v>
      </c>
      <c r="AK79" s="13" t="n">
        <f aca="false">AK77*AK14</f>
        <v>2.38461088325719E-013</v>
      </c>
      <c r="AL79" s="13" t="n">
        <f aca="false">AL77*AL14</f>
        <v>1.92297807059412E-013</v>
      </c>
      <c r="AM79" s="13" t="n">
        <f aca="false">AM77*AM14</f>
        <v>1.38278613721814E-013</v>
      </c>
      <c r="AN79" s="13" t="n">
        <f aca="false">AN77*AN14</f>
        <v>8.7768091982046E-014</v>
      </c>
      <c r="AO79" s="13" t="n">
        <f aca="false">AO77*AO14</f>
        <v>4.34859504233644E-014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-81.5201844179663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-5.41506447486556</v>
      </c>
      <c r="R107" s="13" t="n">
        <f aca="false">Time!R35*Inputs!R301*R106*(Inputs!$F$97/100*Time!R24-Operations!R9/100*Time!R25/Inputs!$F$247)</f>
        <v>-5.47849446461045</v>
      </c>
      <c r="S107" s="13" t="n">
        <f aca="false">Time!S35*Inputs!S301*S106*(Inputs!$F$97/100*Time!S24-Operations!S9/100*Time!S25/Inputs!$F$247)</f>
        <v>-5.14856596078414</v>
      </c>
      <c r="T107" s="13" t="n">
        <f aca="false">Time!T35*Inputs!T301*T106*(Inputs!$F$97/100*Time!T24-Operations!T9/100*Time!T25/Inputs!$F$247)</f>
        <v>-5.18861334708931</v>
      </c>
      <c r="U107" s="13" t="n">
        <f aca="false">Time!U35*Inputs!U301*U106*(Inputs!$F$97/100*Time!U24-Operations!U9/100*Time!U25/Inputs!$F$247)</f>
        <v>-4.89682409078552</v>
      </c>
      <c r="V107" s="13" t="n">
        <f aca="false">Time!V35*Inputs!V301*V106*(Inputs!$F$97/100*Time!V24-Operations!V9/100*Time!V25/Inputs!$F$247)</f>
        <v>-4.84956871792784</v>
      </c>
      <c r="W107" s="13" t="n">
        <f aca="false">Time!W35*Inputs!W301*W106*(Inputs!$F$97/100*Time!W24-Operations!W9/100*Time!W25/Inputs!$F$247)</f>
        <v>-4.49201561559282</v>
      </c>
      <c r="X107" s="13" t="n">
        <f aca="false">Time!X35*Inputs!X301*X106*(Inputs!$F$97/100*Time!X24-Operations!X9/100*Time!X25/Inputs!$F$247)</f>
        <v>-4.47709798987985</v>
      </c>
      <c r="Y107" s="13" t="n">
        <f aca="false">Time!Y35*Inputs!Y301*Y106*(Inputs!$F$97/100*Time!Y24-Operations!Y9/100*Time!Y25/Inputs!$F$247)</f>
        <v>-4.13309733418765</v>
      </c>
      <c r="Z107" s="13" t="n">
        <f aca="false">Time!Z35*Inputs!Z301*Z106*(Inputs!$F$97/100*Time!Z24-Operations!Z9/100*Time!Z25/Inputs!$F$247)</f>
        <v>-4.10942797689979</v>
      </c>
      <c r="AA107" s="13" t="n">
        <f aca="false">Time!AA35*Inputs!AA301*AA106*(Inputs!$F$97/100*Time!AA24-Operations!AA9/100*Time!AA25/Inputs!$F$247)</f>
        <v>-3.77173059094024</v>
      </c>
      <c r="AB107" s="13" t="n">
        <f aca="false">Time!AB35*Inputs!AB301*AB106*(Inputs!$F$97/100*Time!AB24-Operations!AB9/100*Time!AB25/Inputs!$F$247)</f>
        <v>-3.72084774939503</v>
      </c>
      <c r="AC107" s="13" t="n">
        <f aca="false">Time!AC35*Inputs!AC301*AC106*(Inputs!$F$97/100*Time!AC24-Operations!AC9/100*Time!AC25/Inputs!$F$247)</f>
        <v>-3.42692037200591</v>
      </c>
      <c r="AD107" s="13" t="n">
        <f aca="false">Time!AD35*Inputs!AD301*AD106*(Inputs!$F$97/100*Time!AD24-Operations!AD9/100*Time!AD25/Inputs!$F$247)</f>
        <v>-3.30100704671708</v>
      </c>
      <c r="AE107" s="13" t="n">
        <f aca="false">Time!AE35*Inputs!AE301*AE106*(Inputs!$F$97/100*Time!AE24-Operations!AE9/100*Time!AE25/Inputs!$F$247)</f>
        <v>-2.95356696508846</v>
      </c>
      <c r="AF107" s="13" t="n">
        <f aca="false">Time!AF35*Inputs!AF301*AF106*(Inputs!$F$97/100*Time!AF24-Operations!AF9/100*Time!AF25/Inputs!$F$247)</f>
        <v>-2.82508931064171</v>
      </c>
      <c r="AG107" s="13" t="n">
        <f aca="false">Time!AG35*Inputs!AG301*AG106*(Inputs!$F$97/100*Time!AG24-Operations!AG9/100*Time!AG25/Inputs!$F$247)</f>
        <v>-2.47756417333543</v>
      </c>
      <c r="AH107" s="13" t="n">
        <f aca="false">Time!AH35*Inputs!AH301*AH106*(Inputs!$F$97/100*Time!AH24-Operations!AH9/100*Time!AH25/Inputs!$F$247)</f>
        <v>-2.3174182567152</v>
      </c>
      <c r="AI107" s="13" t="n">
        <f aca="false">Time!AI35*Inputs!AI301*AI106*(Inputs!$F$97/100*Time!AI24-Operations!AI9/100*Time!AI25/Inputs!$F$247)</f>
        <v>-1.97193807909949</v>
      </c>
      <c r="AJ107" s="13" t="n">
        <f aca="false">Time!AJ35*Inputs!AJ301*AJ106*(Inputs!$F$97/100*Time!AJ24-Operations!AJ9/100*Time!AJ25/Inputs!$F$247)</f>
        <v>-1.77143233704676</v>
      </c>
      <c r="AK107" s="13" t="n">
        <f aca="false">Time!AK35*Inputs!AK301*AK106*(Inputs!$F$97/100*Time!AK24-Operations!AK9/100*Time!AK25/Inputs!$F$247)</f>
        <v>-1.44427306130919</v>
      </c>
      <c r="AL107" s="13" t="n">
        <f aca="false">Time!AL35*Inputs!AL301*AL106*(Inputs!$F$97/100*Time!AL24-Operations!AL9/100*Time!AL25/Inputs!$F$247)</f>
        <v>-1.18140940914715</v>
      </c>
      <c r="AM107" s="13" t="n">
        <f aca="false">Time!AM35*Inputs!AM301*AM106*(Inputs!$F$97/100*Time!AM24-Operations!AM9/100*Time!AM25/Inputs!$F$247)</f>
        <v>-0.831388716032698</v>
      </c>
      <c r="AN107" s="13" t="n">
        <f aca="false">Time!AN35*Inputs!AN301*AN106*(Inputs!$F$97/100*Time!AN24-Operations!AN9/100*Time!AN25/Inputs!$F$247)</f>
        <v>-0.539215975866254</v>
      </c>
      <c r="AO107" s="13" t="n">
        <f aca="false">Time!AO35*Inputs!AO301*AO106*(Inputs!$F$97/100*Time!AO24-Operations!AO9/100*Time!AO25/Inputs!$F$247)</f>
        <v>-0.26145567644087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16.6306963701865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0.776860306567878</v>
      </c>
      <c r="AC108" s="13" t="n">
        <f aca="false">(Inputs!$F$95/100*Inputs!$F$96/100)*AC63*Time!AC25/Inputs!$F$248</f>
        <v>0.691018686228026</v>
      </c>
      <c r="AD108" s="13" t="n">
        <f aca="false">(Inputs!$F$95/100*Inputs!$F$96/100)*AD63*Time!AD25/Inputs!$F$248</f>
        <v>0.622577394723369</v>
      </c>
      <c r="AE108" s="13" t="n">
        <f aca="false">(Inputs!$F$95/100*Inputs!$F$96/100)*AE63*Time!AE25/Inputs!$F$248</f>
        <v>0.529035270665828</v>
      </c>
      <c r="AF108" s="13" t="n">
        <f aca="false">(Inputs!$F$95/100*Inputs!$F$96/100)*AF63*Time!AF25/Inputs!$F$248</f>
        <v>0.450939251304357</v>
      </c>
      <c r="AG108" s="13" t="n">
        <f aca="false">(Inputs!$F$95/100*Inputs!$F$96/100)*AG63*Time!AG25/Inputs!$F$248</f>
        <v>0.355671270109248</v>
      </c>
      <c r="AH108" s="13" t="n">
        <f aca="false">(Inputs!$F$95/100*Inputs!$F$96/100)*AH63*Time!AH25/Inputs!$F$248</f>
        <v>0.273816281680301</v>
      </c>
      <c r="AI108" s="13" t="n">
        <f aca="false">(Inputs!$F$95/100*Inputs!$F$96/100)*AI63*Time!AI25/Inputs!$F$248</f>
        <v>0.179793395093415</v>
      </c>
      <c r="AJ108" s="13" t="n">
        <f aca="false">(Inputs!$F$95/100*Inputs!$F$96/100)*AJ63*Time!AJ25/Inputs!$F$248</f>
        <v>0.0939345330429579</v>
      </c>
      <c r="AK108" s="13" t="n">
        <f aca="false">(Inputs!$F$95/100*Inputs!$F$96/100)*AK63*Time!AK25/Inputs!$F$248</f>
        <v>0.00422115721000685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395.374325569427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26.7266425327209</v>
      </c>
      <c r="R111" s="13" t="n">
        <f aca="false">R23+R37+R51+R65+R79+R92</f>
        <v>26.4595498084651</v>
      </c>
      <c r="S111" s="13" t="n">
        <f aca="false">S23+S37+S51+S65+S79+S92</f>
        <v>25.3258761605033</v>
      </c>
      <c r="T111" s="13" t="n">
        <f aca="false">T23+T37+T51+T65+T79+T92</f>
        <v>24.9777043844996</v>
      </c>
      <c r="U111" s="13" t="n">
        <f aca="false">U23+U37+U51+U65+U79+U92</f>
        <v>23.9116761749762</v>
      </c>
      <c r="V111" s="13" t="n">
        <f aca="false">V23+V37+V51+V65+V79+V92</f>
        <v>23.3455618535673</v>
      </c>
      <c r="W111" s="13" t="n">
        <f aca="false">W23+W37+W51+W65+W79+W92</f>
        <v>22.0962947853977</v>
      </c>
      <c r="X111" s="13" t="n">
        <f aca="false">X23+X37+X51+X65+X79+X92</f>
        <v>21.552507888141</v>
      </c>
      <c r="Y111" s="13" t="n">
        <f aca="false">Y23+Y37+Y51+Y65+Y79+Y92</f>
        <v>20.8289602505098</v>
      </c>
      <c r="Z111" s="13" t="n">
        <f aca="false">Z23+Z37+Z51+Z65+Z79+Z92</f>
        <v>20.2673210196517</v>
      </c>
      <c r="AA111" s="13" t="n">
        <f aca="false">AA23+AA37+AA51+AA65+AA79+AA92</f>
        <v>19.0078336419742</v>
      </c>
      <c r="AB111" s="13" t="n">
        <f aca="false">AB23+AB37+AB51+AB65+AB79+AB92</f>
        <v>18.0372509915058</v>
      </c>
      <c r="AC111" s="13" t="n">
        <f aca="false">AC23+AC37+AC51+AC65+AC79+AC92</f>
        <v>16.4833774267315</v>
      </c>
      <c r="AD111" s="13" t="n">
        <f aca="false">AD23+AD37+AD51+AD65+AD79+AD92</f>
        <v>15.2971383290703</v>
      </c>
      <c r="AE111" s="13" t="n">
        <f aca="false">AE23+AE37+AE51+AE65+AE79+AE92</f>
        <v>13.5607958167084</v>
      </c>
      <c r="AF111" s="13" t="n">
        <f aca="false">AF23+AF37+AF51+AF65+AF79+AF92</f>
        <v>12.2254404749054</v>
      </c>
      <c r="AG111" s="13" t="n">
        <f aca="false">AG23+AG37+AG51+AG65+AG79+AG92</f>
        <v>10.6367647701549</v>
      </c>
      <c r="AH111" s="13" t="n">
        <f aca="false">AH23+AH37+AH51+AH65+AH79+AH92</f>
        <v>9.16094380428525</v>
      </c>
      <c r="AI111" s="13" t="n">
        <f aca="false">AI23+AI37+AI51+AI65+AI79+AI92</f>
        <v>7.31698213329149</v>
      </c>
      <c r="AJ111" s="13" t="n">
        <f aca="false">AJ23+AJ37+AJ51+AJ65+AJ79+AJ92</f>
        <v>5.71924440191697</v>
      </c>
      <c r="AK111" s="13" t="n">
        <f aca="false">AK23+AK37+AK51+AK65+AK79+AK92</f>
        <v>3.91274138254657</v>
      </c>
      <c r="AL111" s="13" t="n">
        <f aca="false">AL23+AL37+AL51+AL65+AL79+AL92</f>
        <v>3.11741458995154</v>
      </c>
      <c r="AM111" s="13" t="n">
        <f aca="false">AM23+AM37+AM51+AM65+AM79+AM92</f>
        <v>2.24168842321469</v>
      </c>
      <c r="AN111" s="13" t="n">
        <f aca="false">AN23+AN37+AN51+AN65+AN79+AN92</f>
        <v>1.4228426972779</v>
      </c>
      <c r="AO111" s="13" t="n">
        <f aca="false">AO23+AO37+AO51+AO65+AO79+AO92</f>
        <v>0.704967666458215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330.484837521648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22.5164304450697</v>
      </c>
      <c r="R112" s="13" t="n">
        <f aca="false">R111+R107+R108+R109</f>
        <v>22.1738670377408</v>
      </c>
      <c r="S112" s="13" t="n">
        <f aca="false">S111+S107+S108+S109</f>
        <v>21.3176340734965</v>
      </c>
      <c r="T112" s="13" t="n">
        <f aca="false">T111+T107+T108+T109</f>
        <v>20.9137381154141</v>
      </c>
      <c r="U112" s="13" t="n">
        <f aca="false">U111+U107+U108+U109</f>
        <v>20.091500135044</v>
      </c>
      <c r="V112" s="13" t="n">
        <f aca="false">V111+V107+V108+V109</f>
        <v>19.54715130129</v>
      </c>
      <c r="W112" s="13" t="n">
        <f aca="false">W111+W107+W108+W109</f>
        <v>18.59918778841</v>
      </c>
      <c r="X112" s="13" t="n">
        <f aca="false">X111+X107+X108+X109</f>
        <v>18.0458339471219</v>
      </c>
      <c r="Y112" s="13" t="n">
        <f aca="false">Y111+Y107+Y108+Y109</f>
        <v>17.6112769556329</v>
      </c>
      <c r="Z112" s="13" t="n">
        <f aca="false">Z111+Z107+Z108+Z109</f>
        <v>17.0486235438173</v>
      </c>
      <c r="AA112" s="13" t="n">
        <f aca="false">AA111+AA107+AA108+AA109</f>
        <v>16.0714802164554</v>
      </c>
      <c r="AB112" s="13" t="n">
        <f aca="false">AB111+AB107+AB108+AB109</f>
        <v>15.0932635486787</v>
      </c>
      <c r="AC112" s="13" t="n">
        <f aca="false">AC111+AC107+AC108+AC109</f>
        <v>13.7474757409537</v>
      </c>
      <c r="AD112" s="13" t="n">
        <f aca="false">AD111+AD107+AD108+AD109</f>
        <v>12.6187086770766</v>
      </c>
      <c r="AE112" s="13" t="n">
        <f aca="false">AE111+AE107+AE108+AE109</f>
        <v>11.1362641222858</v>
      </c>
      <c r="AF112" s="13" t="n">
        <f aca="false">AF111+AF107+AF108+AF109</f>
        <v>9.85129041556803</v>
      </c>
      <c r="AG112" s="13" t="n">
        <f aca="false">AG111+AG107+AG108+AG109</f>
        <v>8.51487186692868</v>
      </c>
      <c r="AH112" s="13" t="n">
        <f aca="false">AH111+AH107+AH108+AH109</f>
        <v>7.11734182925035</v>
      </c>
      <c r="AI112" s="13" t="n">
        <f aca="false">AI111+AI107+AI108+AI109</f>
        <v>5.52483744928541</v>
      </c>
      <c r="AJ112" s="13" t="n">
        <f aca="false">AJ111+AJ107+AJ108+AJ109</f>
        <v>4.04174659791317</v>
      </c>
      <c r="AK112" s="13" t="n">
        <f aca="false">AK111+AK107+AK108+AK109</f>
        <v>2.47268947844739</v>
      </c>
      <c r="AL112" s="13" t="n">
        <f aca="false">AL111+AL107+AL108+AL109</f>
        <v>1.9360051808044</v>
      </c>
      <c r="AM112" s="13" t="n">
        <f aca="false">AM111+AM107+AM108+AM109</f>
        <v>1.41029970718199</v>
      </c>
      <c r="AN112" s="13" t="n">
        <f aca="false">AN111+AN107+AN108+AN109</f>
        <v>0.883626721411649</v>
      </c>
      <c r="AO112" s="13" t="n">
        <f aca="false">AO111+AO107+AO108+AO109</f>
        <v>0.443511990017346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540.192175179276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22.2600947133984</v>
      </c>
      <c r="AC113" s="13" t="n">
        <f aca="false">AC27+AC41+AC55+AC69+AC83+AC93</f>
        <v>22.5887581758097</v>
      </c>
      <c r="AD113" s="13" t="n">
        <f aca="false">AD27+AD41+AD55+AD69+AD83+AD93</f>
        <v>24.2104755685392</v>
      </c>
      <c r="AE113" s="13" t="n">
        <f aca="false">AE27+AE41+AE55+AE69+AE83+AE93</f>
        <v>24.6312115108529</v>
      </c>
      <c r="AF113" s="13" t="n">
        <f aca="false">AF27+AF41+AF55+AF69+AF83+AF93</f>
        <v>24.7399164175028</v>
      </c>
      <c r="AG113" s="13" t="n">
        <f aca="false">AG27+AG41+AG55+AG69+AG83+AG93</f>
        <v>24.2624043230482</v>
      </c>
      <c r="AH113" s="13" t="n">
        <f aca="false">AH27+AH41+AH55+AH69+AH83+AH93</f>
        <v>24.3287200207288</v>
      </c>
      <c r="AI113" s="13" t="n">
        <f aca="false">AI27+AI41+AI55+AI69+AI83+AI93</f>
        <v>23.5076345512989</v>
      </c>
      <c r="AJ113" s="13" t="n">
        <f aca="false">AJ27+AJ41+AJ55+AJ69+AJ83+AJ93</f>
        <v>22.628237711884</v>
      </c>
      <c r="AK113" s="13" t="n">
        <f aca="false">AK27+AK41+AK55+AK69+AK83+AK93</f>
        <v>20.4801370212458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870.677012700924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38.6616967746567</v>
      </c>
      <c r="R114" s="13" t="n">
        <f aca="false">R112+R113</f>
        <v>39.1144283831714</v>
      </c>
      <c r="S114" s="13" t="n">
        <f aca="false">S112+S113</f>
        <v>38.7574063557963</v>
      </c>
      <c r="T114" s="13" t="n">
        <f aca="false">T112+T113</f>
        <v>39.1557336731761</v>
      </c>
      <c r="U114" s="13" t="n">
        <f aca="false">U112+U113</f>
        <v>38.9152650446619</v>
      </c>
      <c r="V114" s="13" t="n">
        <f aca="false">V112+V113</f>
        <v>39.6006594730367</v>
      </c>
      <c r="W114" s="13" t="n">
        <f aca="false">W112+W113</f>
        <v>39.2657193975113</v>
      </c>
      <c r="X114" s="13" t="n">
        <f aca="false">X112+X113</f>
        <v>38.1387094828572</v>
      </c>
      <c r="Y114" s="13" t="n">
        <f aca="false">Y112+Y113</f>
        <v>37.7136071834051</v>
      </c>
      <c r="Z114" s="13" t="n">
        <f aca="false">Z112+Z113</f>
        <v>37.9837522021192</v>
      </c>
      <c r="AA114" s="13" t="n">
        <f aca="false">AA112+AA113</f>
        <v>37.6175484161408</v>
      </c>
      <c r="AB114" s="13" t="n">
        <f aca="false">AB112+AB113</f>
        <v>37.353358262077</v>
      </c>
      <c r="AC114" s="13" t="n">
        <f aca="false">AC112+AC113</f>
        <v>36.3362339167633</v>
      </c>
      <c r="AD114" s="13" t="n">
        <f aca="false">AD112+AD113</f>
        <v>36.8291842456158</v>
      </c>
      <c r="AE114" s="13" t="n">
        <f aca="false">AE112+AE113</f>
        <v>35.7674756331387</v>
      </c>
      <c r="AF114" s="13" t="n">
        <f aca="false">AF112+AF113</f>
        <v>34.5912068330709</v>
      </c>
      <c r="AG114" s="13" t="n">
        <f aca="false">AG112+AG113</f>
        <v>32.7772761899768</v>
      </c>
      <c r="AH114" s="13" t="n">
        <f aca="false">AH112+AH113</f>
        <v>31.4460618499791</v>
      </c>
      <c r="AI114" s="13" t="n">
        <f aca="false">AI112+AI113</f>
        <v>29.0324720005843</v>
      </c>
      <c r="AJ114" s="13" t="n">
        <f aca="false">AJ112+AJ113</f>
        <v>26.6699843097971</v>
      </c>
      <c r="AK114" s="13" t="n">
        <f aca="false">AK112+AK113</f>
        <v>22.9528264996932</v>
      </c>
      <c r="AL114" s="13" t="n">
        <f aca="false">AL112+AL113</f>
        <v>23.4763917647792</v>
      </c>
      <c r="AM114" s="13" t="n">
        <f aca="false">AM112+AM113</f>
        <v>23.3984025110587</v>
      </c>
      <c r="AN114" s="13" t="n">
        <f aca="false">AN112+AN113</f>
        <v>19.0235505071657</v>
      </c>
      <c r="AO114" s="13" t="n">
        <f aca="false">AO112+AO113</f>
        <v>18.8521663535949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401.096790041144</v>
      </c>
      <c r="AC115" s="13" t="n">
        <f aca="false">AC21+AC35+AC49+AC63+AC77+AC91</f>
        <v>372.102907888628</v>
      </c>
      <c r="AD115" s="13" t="n">
        <f aca="false">AD21+AD35+AD49+AD63+AD77+AD91</f>
        <v>343.069501578137</v>
      </c>
      <c r="AE115" s="13" t="n">
        <f aca="false">AE21+AE35+AE49+AE63+AE77+AE91</f>
        <v>311.031921371228</v>
      </c>
      <c r="AF115" s="13" t="n">
        <f aca="false">AF21+AF35+AF49+AF63+AF77+AF91</f>
        <v>277.914929532265</v>
      </c>
      <c r="AG115" s="13" t="n">
        <f aca="false">AG21+AG35+AG49+AG63+AG77+AG91</f>
        <v>243.73944884964</v>
      </c>
      <c r="AH115" s="13" t="n">
        <f aca="false">AH21+AH35+AH49+AH63+AH77+AH91</f>
        <v>209.556857466478</v>
      </c>
      <c r="AI115" s="13" t="n">
        <f aca="false">AI21+AI35+AI49+AI63+AI77+AI91</f>
        <v>173.871450847701</v>
      </c>
      <c r="AJ115" s="13" t="n">
        <f aca="false">AJ21+AJ35+AJ49+AJ63+AJ77+AJ91</f>
        <v>138.07301540943</v>
      </c>
      <c r="AK115" s="13" t="n">
        <f aca="false">AK21+AK35+AK49+AK63+AK77+AK91</f>
        <v>101.209618192931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401.096790041144</v>
      </c>
      <c r="AB116" s="13" t="n">
        <f aca="false">AB33+AB47+AB61+AB75+AB89+AB95</f>
        <v>372.102907888628</v>
      </c>
      <c r="AC116" s="13" t="n">
        <f aca="false">AC33+AC47+AC61+AC75+AC89+AC95</f>
        <v>343.069501578137</v>
      </c>
      <c r="AD116" s="13" t="n">
        <f aca="false">AD33+AD47+AD61+AD75+AD89+AD95</f>
        <v>311.031921371228</v>
      </c>
      <c r="AE116" s="13" t="n">
        <f aca="false">AE33+AE47+AE61+AE75+AE89+AE95</f>
        <v>277.914929532265</v>
      </c>
      <c r="AF116" s="13" t="n">
        <f aca="false">AF33+AF47+AF61+AF75+AF89+AF95</f>
        <v>243.73944884964</v>
      </c>
      <c r="AG116" s="13" t="n">
        <f aca="false">AG33+AG47+AG61+AG75+AG89+AG95</f>
        <v>209.556857466478</v>
      </c>
      <c r="AH116" s="13" t="n">
        <f aca="false">AH33+AH47+AH61+AH75+AH89+AH95</f>
        <v>173.871450847701</v>
      </c>
      <c r="AI116" s="13" t="n">
        <f aca="false">AI33+AI47+AI61+AI75+AI89+AI95</f>
        <v>138.07301540943</v>
      </c>
      <c r="AJ116" s="13" t="n">
        <f aca="false">AJ33+AJ47+AJ61+AJ75+AJ89+AJ95</f>
        <v>101.209618192931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140.630809509102</v>
      </c>
      <c r="AC118" s="13" t="n">
        <f aca="false">IF(Time!AC34=1,AC75,AC73)</f>
        <v>125.768712970865</v>
      </c>
      <c r="AD118" s="13" t="n">
        <f aca="false">IF(Time!AD34=1,AD75,AD73)</f>
        <v>110.903344418991</v>
      </c>
      <c r="AE118" s="13" t="n">
        <f aca="false">IF(Time!AE34=1,AE75,AE73)</f>
        <v>94.9134356138119</v>
      </c>
      <c r="AF118" s="13" t="n">
        <f aca="false">IF(Time!AF34=1,AF75,AF73)</f>
        <v>78.7338873707226</v>
      </c>
      <c r="AG118" s="13" t="n">
        <f aca="false">IF(Time!AG34=1,AG75,AG73)</f>
        <v>62.4002032401755</v>
      </c>
      <c r="AH118" s="13" t="n">
        <f aca="false">IF(Time!AH34=1,AH75,AH73)</f>
        <v>46.3872944444714</v>
      </c>
      <c r="AI118" s="13" t="n">
        <f aca="false">IF(Time!AI34=1,AI75,AI73)</f>
        <v>30.2944264701894</v>
      </c>
      <c r="AJ118" s="13" t="n">
        <f aca="false">IF(Time!AJ34=1,AJ75,AJ73)</f>
        <v>15.0530829434066</v>
      </c>
      <c r="AK118" s="13" t="n">
        <f aca="false">IF(Time!AK34=1,AK75,AK73)</f>
        <v>0.652413634502291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10.8629913825029</v>
      </c>
      <c r="Q119" s="13" t="n">
        <f aca="false">IF(AND(Time!Q20&gt;=Time!$F$12,Time!R20&gt;0),(IF(Time!Q34=1,Q33,Q31)-Q30)*R19+IF(Time!R46&gt;0,Time!R45*Q30/Time!R46,0)+IF(Time!Q34=1,Q33,Q31)*R10,0)</f>
        <v>11.0414248936158</v>
      </c>
      <c r="R119" s="13" t="n">
        <f aca="false">IF(AND(Time!R20&gt;=Time!$F$12,Time!S20&gt;0),(IF(Time!R34=1,R33,R31)-R30)*S19+IF(Time!S46&gt;0,Time!S45*R30/Time!S46,0)+IF(Time!R34=1,R33,R31)*S10,0)</f>
        <v>10.9377793076214</v>
      </c>
      <c r="S119" s="13" t="n">
        <f aca="false">IF(AND(Time!S20&gt;=Time!$F$12,Time!T20&gt;0),(IF(Time!S34=1,S33,S31)-S30)*T19+IF(Time!T46&gt;0,Time!T45*S30/Time!T46,0)+IF(Time!S34=1,S33,S31)*T10,0)</f>
        <v>11.1000041827534</v>
      </c>
      <c r="T119" s="13" t="n">
        <f aca="false">IF(AND(Time!T20&gt;=Time!$F$12,Time!U20&gt;0),(IF(Time!T34=1,T33,T31)-T30)*U19+IF(Time!U46&gt;0,Time!U45*T30/Time!U46,0)+IF(Time!T34=1,T33,T31)*U10,0)</f>
        <v>11.0343618749798</v>
      </c>
      <c r="U119" s="13" t="n">
        <f aca="false">IF(AND(Time!U20&gt;=Time!$F$12,Time!V20&gt;0),(IF(Time!U34=1,U33,U31)-U30)*V19+IF(Time!V46&gt;0,Time!V45*U30/Time!V46,0)+IF(Time!U34=1,U33,U31)*V10,0)</f>
        <v>11.2757409126054</v>
      </c>
      <c r="V119" s="13" t="n">
        <f aca="false">IF(AND(Time!V20&gt;=Time!$F$12,Time!W20&gt;0),(IF(Time!V34=1,V33,V31)-V30)*W19+IF(Time!W46&gt;0,Time!W45*V30/Time!W46,0)+IF(Time!V34=1,V33,V31)*W10,0)</f>
        <v>11.178191638563</v>
      </c>
      <c r="W119" s="13" t="n">
        <f aca="false">IF(AND(Time!W20&gt;=Time!$F$12,Time!X20&gt;0),(IF(Time!W34=1,W33,W31)-W30)*X19+IF(Time!X46&gt;0,Time!X45*W30/Time!X46,0)+IF(Time!W34=1,W33,W31)*X10,0)</f>
        <v>10.8835811804828</v>
      </c>
      <c r="X119" s="13" t="n">
        <f aca="false">IF(AND(Time!X20&gt;=Time!$F$12,Time!Y20&gt;0),(IF(Time!X34=1,X33,X31)-X30)*Y19+IF(Time!Y46&gt;0,Time!Y45*X30/Time!Y46,0)+IF(Time!X34=1,X33,X31)*Y10,0)</f>
        <v>10.6111635664551</v>
      </c>
      <c r="Y119" s="13" t="n">
        <f aca="false">IF(AND(Time!Y20&gt;=Time!$F$12,Time!Z20&gt;0),(IF(Time!Y34=1,Y33,Y31)-Y30)*Z19+IF(Time!Z46&gt;0,Time!Z45*Y30/Time!Z46,0)+IF(Time!Y34=1,Y33,Y31)*Z10,0)</f>
        <v>10.7374938792749</v>
      </c>
      <c r="Z119" s="13" t="n">
        <f aca="false">IF(AND(Time!Z20&gt;=Time!$F$12,Time!AA20&gt;0),(IF(Time!Z34=1,Z33,Z31)-Z30)*AA19+IF(Time!AA46&gt;0,Time!AA45*Z30/Time!AA46,0)+IF(Time!Z34=1,Z33,Z31)*AA10,0)</f>
        <v>10.6438038165481</v>
      </c>
      <c r="AA119" s="13" t="n">
        <f aca="false">IF(AND(Time!AA20&gt;=Time!$F$12,Time!AB20&gt;0),(IF(Time!AA34=1,AA33,AA31)-AA30)*AB19+IF(Time!AB46&gt;0,Time!AB45*AA30/Time!AB46,0)+IF(Time!AA34=1,AA33,AA31)*AB10,0)</f>
        <v>10.8081383697674</v>
      </c>
      <c r="AB119" s="13" t="n">
        <f aca="false">IF(AND(Time!AB20&gt;=Time!$F$12,Time!AC20&gt;0),(IF(Time!AB34=1,AB33,AB31)-AB30)*AC19+IF(Time!AC46&gt;0,Time!AC45*AB30/Time!AC46,0)+IF(Time!AB34=1,AB33,AB31)*AC10,0)</f>
        <v>10.7671119025228</v>
      </c>
      <c r="AC119" s="13" t="n">
        <f aca="false">IF(AND(Time!AC20&gt;=Time!$F$12,Time!AD20&gt;0),(IF(Time!AC34=1,AC33,AC31)-AC30)*AD19+IF(Time!AD46&gt;0,Time!AD45*AC30/Time!AD46,0)+IF(Time!AC34=1,AC33,AC31)*AD10,0)</f>
        <v>11.220371679852</v>
      </c>
      <c r="AD119" s="13" t="n">
        <f aca="false">IF(AND(Time!AD20&gt;=Time!$F$12,Time!AE20&gt;0),(IF(Time!AD34=1,AD33,AD31)-AD30)*AE19+IF(Time!AE46&gt;0,Time!AE45*AD30/Time!AE46,0)+IF(Time!AD34=1,AD33,AD31)*AE10,0)</f>
        <v>11.2418457584117</v>
      </c>
      <c r="AE119" s="13" t="n">
        <f aca="false">IF(AND(Time!AE20&gt;=Time!$F$12,Time!AF20&gt;0),(IF(Time!AE34=1,AE33,AE31)-AE30)*AF19+IF(Time!AF46&gt;0,Time!AF45*AE30/Time!AF46,0)+IF(Time!AE34=1,AE33,AE31)*AF10,0)</f>
        <v>11.3121386604283</v>
      </c>
      <c r="AF119" s="13" t="n">
        <f aca="false">IF(AND(Time!AF20&gt;=Time!$F$12,Time!AG20&gt;0),(IF(Time!AF34=1,AF33,AF31)-AF30)*AG19+IF(Time!AG46&gt;0,Time!AG45*AF30/Time!AG46,0)+IF(Time!AF34=1,AF33,AF31)*AG10,0)</f>
        <v>11.1478092688104</v>
      </c>
      <c r="AG119" s="13" t="n">
        <f aca="false">IF(AND(Time!AG20&gt;=Time!$F$12,Time!AH20&gt;0),(IF(Time!AG34=1,AG33,AG31)-AG30)*AH19+IF(Time!AH46&gt;0,Time!AH45*AG30/Time!AH46,0)+IF(Time!AG34=1,AG33,AG31)*AH10,0)</f>
        <v>11.3372684983816</v>
      </c>
      <c r="AH119" s="13" t="n">
        <f aca="false">IF(AND(Time!AH20&gt;=Time!$F$12,Time!AI20&gt;0),(IF(Time!AH34=1,AH33,AH31)-AH30)*AI19+IF(Time!AI46&gt;0,Time!AI45*AH30/Time!AI46,0)+IF(Time!AH34=1,AH33,AH31)*AI10,0)</f>
        <v>11.268342208546</v>
      </c>
      <c r="AI119" s="13" t="n">
        <f aca="false">IF(AND(Time!AI20&gt;=Time!$F$12,Time!AJ20&gt;0),(IF(Time!AI34=1,AI33,AI31)-AI30)*AJ19+IF(Time!AJ46&gt;0,Time!AJ45*AI30/Time!AJ46,0)+IF(Time!AI34=1,AI33,AI31)*AJ10,0)</f>
        <v>11.4427047015443</v>
      </c>
      <c r="AJ119" s="13" t="n">
        <f aca="false">IF(AND(Time!AJ20&gt;=Time!$F$12,Time!AK20&gt;0),(IF(Time!AJ34=1,AJ33,AJ31)-AJ30)*AK19+IF(Time!AK46&gt;0,Time!AK45*AJ30/Time!AK46,0)+IF(Time!AJ34=1,AJ33,AJ31)*AK10,0)</f>
        <v>11.4185727963867</v>
      </c>
      <c r="AK119" s="13" t="n">
        <f aca="false">IF(AND(Time!AK20&gt;=Time!$F$12,Time!AL20&gt;0),(IF(Time!AK34=1,AK33,AK31)-AK30)*AL19+IF(Time!AL46&gt;0,Time!AL45*AK30/Time!AL46,0)+IF(Time!AK34=1,AK33,AK31)*AL10,0)</f>
        <v>11.7040868868914</v>
      </c>
      <c r="AL119" s="13" t="n">
        <f aca="false">IF(AND(Time!AL20&gt;=Time!$F$12,Time!AM20&gt;0),(IF(Time!AL34=1,AL33,AL31)-AL30)*AM19+IF(Time!AM46&gt;0,Time!AM45*AL30/Time!AM46,0)+IF(Time!AL34=1,AL33,AL31)*AM10,0)</f>
        <v>11.5607829556908</v>
      </c>
      <c r="AM119" s="13" t="n">
        <f aca="false">IF(AND(Time!AM20&gt;=Time!$F$12,Time!AN20&gt;0),(IF(Time!AM34=1,AM33,AM31)-AM30)*AN19+IF(Time!AN46&gt;0,Time!AN45*AM30/Time!AN46,0)+IF(Time!AM34=1,AM33,AM31)*AN10,0)</f>
        <v>9.36219902691306</v>
      </c>
      <c r="AN119" s="13" t="n">
        <f aca="false">IF(AND(Time!AN20&gt;=Time!$F$12,Time!AO20&gt;0),(IF(Time!AN34=1,AN33,AN31)-AN30)*AO19+IF(Time!AO46&gt;0,Time!AO45*AN30/Time!AO46,0)+IF(Time!AN34=1,AN33,AN31)*AO10,0)</f>
        <v>9.19716908540747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9.53782536817764</v>
      </c>
      <c r="Q120" s="13" t="n">
        <f aca="false">IF(AND(Time!Q20&gt;=Time!$F$12,Time!R20&gt;0),(IF(Time!Q34=1,Q47,Q45)-Q44)*R19+IF(Time!R46&gt;0,Time!R45*Q44/Time!R46,0)+IF(Time!Q34=1,Q47,Q45)*R11,0)</f>
        <v>9.65297050708978</v>
      </c>
      <c r="R120" s="13" t="n">
        <f aca="false">IF(AND(Time!R20&gt;=Time!$F$12,Time!S20&gt;0),(IF(Time!R34=1,R47,R45)-R44)*S19+IF(Time!S46&gt;0,Time!S45*R44/Time!S46,0)+IF(Time!R34=1,R47,R45)*S11,0)</f>
        <v>9.50849766289111</v>
      </c>
      <c r="S120" s="13" t="n">
        <f aca="false">IF(AND(Time!S20&gt;=Time!$F$12,Time!T20&gt;0),(IF(Time!S34=1,S47,S45)-S44)*T19+IF(Time!T46&gt;0,Time!T45*S44/Time!T46,0)+IF(Time!S34=1,S47,S45)*T11,0)</f>
        <v>9.60701346962191</v>
      </c>
      <c r="T120" s="13" t="n">
        <f aca="false">IF(AND(Time!T20&gt;=Time!$F$12,Time!U20&gt;0),(IF(Time!T34=1,T47,T45)-T44)*U19+IF(Time!U46&gt;0,Time!U45*T44/Time!U46,0)+IF(Time!T34=1,T47,T45)*U11,0)</f>
        <v>9.4962649604874</v>
      </c>
      <c r="U120" s="13" t="n">
        <f aca="false">IF(AND(Time!U20&gt;=Time!$F$12,Time!V20&gt;0),(IF(Time!U34=1,U47,U45)-U44)*V19+IF(Time!V46&gt;0,Time!V45*U44/Time!V46,0)+IF(Time!U34=1,U47,U45)*V11,0)</f>
        <v>9.64002677810908</v>
      </c>
      <c r="V120" s="13" t="n">
        <f aca="false">IF(AND(Time!V20&gt;=Time!$F$12,Time!W20&gt;0),(IF(Time!V34=1,V47,V45)-V44)*W19+IF(Time!W46&gt;0,Time!W45*V44/Time!W46,0)+IF(Time!V34=1,V47,V45)*W11,0)</f>
        <v>9.49511769664193</v>
      </c>
      <c r="W120" s="13" t="n">
        <f aca="false">IF(AND(Time!W20&gt;=Time!$F$12,Time!X20&gt;0),(IF(Time!W34=1,W47,W45)-W44)*X19+IF(Time!X46&gt;0,Time!X45*W44/Time!X46,0)+IF(Time!W34=1,W47,W45)*X11,0)</f>
        <v>9.2471319027815</v>
      </c>
      <c r="X120" s="13" t="n">
        <f aca="false">IF(AND(Time!X20&gt;=Time!$F$12,Time!Y20&gt;0),(IF(Time!X34=1,X47,X45)-X44)*Y19+IF(Time!Y46&gt;0,Time!Y45*X44/Time!Y46,0)+IF(Time!X34=1,X47,X45)*Y11,0)</f>
        <v>8.9756029142415</v>
      </c>
      <c r="Y120" s="13" t="n">
        <f aca="false">IF(AND(Time!Y20&gt;=Time!$F$12,Time!Z20&gt;0),(IF(Time!Y34=1,Y47,Y45)-Y44)*Z19+IF(Time!Z46&gt;0,Time!Z45*Y44/Time!Z46,0)+IF(Time!Y34=1,Y47,Y45)*Z11,0)</f>
        <v>9.03604748085669</v>
      </c>
      <c r="Z120" s="13" t="n">
        <f aca="false">IF(AND(Time!Z20&gt;=Time!$F$12,Time!AA20&gt;0),(IF(Time!Z34=1,Z47,Z45)-Z44)*AA19+IF(Time!AA46&gt;0,Time!AA45*Z44/Time!AA46,0)+IF(Time!Z34=1,Z47,Z45)*AA11,0)</f>
        <v>8.89513752237801</v>
      </c>
      <c r="AA120" s="13" t="n">
        <f aca="false">IF(AND(Time!AA20&gt;=Time!$F$12,Time!AB20&gt;0),(IF(Time!AA34=1,AA47,AA45)-AA44)*AB19+IF(Time!AB46&gt;0,Time!AB45*AA44/Time!AB46,0)+IF(Time!AA34=1,AA47,AA45)*AB11,0)</f>
        <v>8.97798762521051</v>
      </c>
      <c r="AB120" s="13" t="n">
        <f aca="false">IF(AND(Time!AB20&gt;=Time!$F$12,Time!AC20&gt;0),(IF(Time!AB34=1,AB47,AB45)-AB44)*AC19+IF(Time!AC46&gt;0,Time!AC45*AB44/Time!AC46,0)+IF(Time!AB34=1,AB47,AB45)*AC11,0)</f>
        <v>8.87871613159961</v>
      </c>
      <c r="AC120" s="13" t="n">
        <f aca="false">IF(AND(Time!AC20&gt;=Time!$F$12,Time!AD20&gt;0),(IF(Time!AC34=1,AC47,AC45)-AC44)*AD19+IF(Time!AD46&gt;0,Time!AD45*AC44/Time!AD46,0)+IF(Time!AC34=1,AC47,AC45)*AD11,0)</f>
        <v>9.16158775977775</v>
      </c>
      <c r="AD120" s="13" t="n">
        <f aca="false">IF(AND(Time!AD20&gt;=Time!$F$12,Time!AE20&gt;0),(IF(Time!AD34=1,AD47,AD45)-AD44)*AE19+IF(Time!AE46&gt;0,Time!AE45*AD44/Time!AE46,0)+IF(Time!AD34=1,AD47,AD45)*AE11,0)</f>
        <v>9.09732797615768</v>
      </c>
      <c r="AE120" s="13" t="n">
        <f aca="false">IF(AND(Time!AE20&gt;=Time!$F$12,Time!AF20&gt;0),(IF(Time!AE34=1,AE47,AE45)-AE44)*AF19+IF(Time!AF46&gt;0,Time!AF45*AE44/Time!AF46,0)+IF(Time!AE34=1,AE47,AE45)*AF11,0)</f>
        <v>9.09432422828594</v>
      </c>
      <c r="AF120" s="13" t="n">
        <f aca="false">IF(AND(Time!AF20&gt;=Time!$F$12,Time!AG20&gt;0),(IF(Time!AF34=1,AF47,AF45)-AF44)*AG19+IF(Time!AG46&gt;0,Time!AG45*AF44/Time!AG46,0)+IF(Time!AF34=1,AF47,AF45)*AG11,0)</f>
        <v>8.89084709024555</v>
      </c>
      <c r="AG120" s="13" t="n">
        <f aca="false">IF(AND(Time!AG20&gt;=Time!$F$12,Time!AH20&gt;0),(IF(Time!AG34=1,AG47,AG45)-AG44)*AH19+IF(Time!AH46&gt;0,Time!AH45*AG44/Time!AH46,0)+IF(Time!AG34=1,AG47,AG45)*AH11,0)</f>
        <v>8.96921563676705</v>
      </c>
      <c r="AH120" s="13" t="n">
        <f aca="false">IF(AND(Time!AH20&gt;=Time!$F$12,Time!AI20&gt;0),(IF(Time!AH34=1,AH47,AH45)-AH44)*AI19+IF(Time!AI46&gt;0,Time!AI45*AH44/Time!AI46,0)+IF(Time!AH34=1,AH47,AH45)*AI11,0)</f>
        <v>8.83315872386183</v>
      </c>
      <c r="AI120" s="13" t="n">
        <f aca="false">IF(AND(Time!AI20&gt;=Time!$F$12,Time!AJ20&gt;0),(IF(Time!AI34=1,AI47,AI45)-AI44)*AJ19+IF(Time!AJ46&gt;0,Time!AJ45*AI44/Time!AJ46,0)+IF(Time!AI34=1,AI47,AI45)*AJ11,0)</f>
        <v>8.89216536851509</v>
      </c>
      <c r="AJ120" s="13" t="n">
        <f aca="false">IF(AND(Time!AJ20&gt;=Time!$F$12,Time!AK20&gt;0),(IF(Time!AJ34=1,AJ47,AJ45)-AJ44)*AK19+IF(Time!AK46&gt;0,Time!AK45*AJ44/Time!AK46,0)+IF(Time!AJ34=1,AJ47,AJ45)*AK11,0)</f>
        <v>8.78783474393168</v>
      </c>
      <c r="AK120" s="13" t="n">
        <f aca="false">IF(AND(Time!AK20&gt;=Time!$F$12,Time!AL20&gt;0),(IF(Time!AK34=1,AK47,AK45)-AK44)*AL19+IF(Time!AL46&gt;0,Time!AL45*AK44/Time!AL46,0)+IF(Time!AK34=1,AK47,AK45)*AL11,0)</f>
        <v>8.91702461741129</v>
      </c>
      <c r="AL120" s="13" t="n">
        <f aca="false">IF(AND(Time!AL20&gt;=Time!$F$12,Time!AM20&gt;0),(IF(Time!AL34=1,AL47,AL45)-AL44)*AM19+IF(Time!AM46&gt;0,Time!AM45*AL44/Time!AM46,0)+IF(Time!AL34=1,AL47,AL45)*AM11,0)</f>
        <v>8.71810196597347</v>
      </c>
      <c r="AM120" s="13" t="n">
        <f aca="false">IF(AND(Time!AM20&gt;=Time!$F$12,Time!AN20&gt;0),(IF(Time!AM34=1,AM47,AM45)-AM44)*AN19+IF(Time!AN46&gt;0,Time!AN45*AM44/Time!AN46,0)+IF(Time!AM34=1,AM47,AM45)*AN11,0)</f>
        <v>7.01806866005951</v>
      </c>
      <c r="AN120" s="13" t="n">
        <f aca="false">IF(AND(Time!AN20&gt;=Time!$F$12,Time!AO20&gt;0),(IF(Time!AN34=1,AN47,AN45)-AN44)*AO19+IF(Time!AO46&gt;0,Time!AO45*AN44/Time!AO46,0)+IF(Time!AN34=1,AN47,AN45)*AO11,0)</f>
        <v>6.82012717779982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4.25772538041298</v>
      </c>
      <c r="Q121" s="13" t="n">
        <f aca="false">IF(AND(Time!Q20&gt;=Time!$F$12,Time!R20&gt;0),(IF(Time!Q34=1,Q61,Q59)-Q58)*R19+IF(Time!R46&gt;0,Time!R45*Q58/Time!R46,0)+IF(Time!Q34=1,Q61,Q59)*R12,0)</f>
        <v>4.31084007312851</v>
      </c>
      <c r="R121" s="13" t="n">
        <f aca="false">IF(AND(Time!R20&gt;=Time!$F$12,Time!S20&gt;0),(IF(Time!R34=1,R61,R59)-R58)*S19+IF(Time!S46&gt;0,Time!S45*R58/Time!S46,0)+IF(Time!R34=1,R61,R59)*S12,0)</f>
        <v>4.24855331001133</v>
      </c>
      <c r="S121" s="13" t="n">
        <f aca="false">IF(AND(Time!S20&gt;=Time!$F$12,Time!T20&gt;0),(IF(Time!S34=1,S61,S59)-S58)*T19+IF(Time!T46&gt;0,Time!T45*S58/Time!T46,0)+IF(Time!S34=1,S61,S59)*T12,0)</f>
        <v>4.29434355327332</v>
      </c>
      <c r="T121" s="13" t="n">
        <f aca="false">IF(AND(Time!T20&gt;=Time!$F$12,Time!U20&gt;0),(IF(Time!T34=1,T61,T59)-T58)*U19+IF(Time!U46&gt;0,Time!U45*T58/Time!U46,0)+IF(Time!T34=1,T61,T59)*U12,0)</f>
        <v>4.2470967416493</v>
      </c>
      <c r="U121" s="13" t="n">
        <f aca="false">IF(AND(Time!U20&gt;=Time!$F$12,Time!V20&gt;0),(IF(Time!U34=1,U61,U59)-U58)*V19+IF(Time!V46&gt;0,Time!V45*U58/Time!V46,0)+IF(Time!U34=1,U61,U59)*V12,0)</f>
        <v>4.31408578308984</v>
      </c>
      <c r="V121" s="13" t="n">
        <f aca="false">IF(AND(Time!V20&gt;=Time!$F$12,Time!W20&gt;0),(IF(Time!V34=1,V61,V59)-V58)*W19+IF(Time!W46&gt;0,Time!W45*V58/Time!W46,0)+IF(Time!V34=1,V61,V59)*W12,0)</f>
        <v>4.25184316439773</v>
      </c>
      <c r="W121" s="13" t="n">
        <f aca="false">IF(AND(Time!W20&gt;=Time!$F$12,Time!X20&gt;0),(IF(Time!W34=1,W61,W59)-W58)*X19+IF(Time!X46&gt;0,Time!X45*W58/Time!X46,0)+IF(Time!W34=1,W61,W59)*X12,0)</f>
        <v>4.14070031958971</v>
      </c>
      <c r="X121" s="13" t="n">
        <f aca="false">IF(AND(Time!X20&gt;=Time!$F$12,Time!Y20&gt;0),(IF(Time!X34=1,X61,X59)-X58)*Y19+IF(Time!Y46&gt;0,Time!Y45*X58/Time!Y46,0)+IF(Time!X34=1,X61,X59)*Y12,0)</f>
        <v>4.0208233125254</v>
      </c>
      <c r="Y121" s="13" t="n">
        <f aca="false">IF(AND(Time!Y20&gt;=Time!$F$12,Time!Z20&gt;0),(IF(Time!Y34=1,Y61,Y59)-Y58)*Z19+IF(Time!Z46&gt;0,Time!Z45*Y58/Time!Z46,0)+IF(Time!Y34=1,Y61,Y59)*Z12,0)</f>
        <v>4.04988890914821</v>
      </c>
      <c r="Z121" s="13" t="n">
        <f aca="false">IF(AND(Time!Z20&gt;=Time!$F$12,Time!AA20&gt;0),(IF(Time!Z34=1,Z61,Z59)-Z58)*AA19+IF(Time!AA46&gt;0,Time!AA45*Z58/Time!AA46,0)+IF(Time!Z34=1,Z61,Z59)*AA12,0)</f>
        <v>3.98940631500173</v>
      </c>
      <c r="AA121" s="13" t="n">
        <f aca="false">IF(AND(Time!AA20&gt;=Time!$F$12,Time!AB20&gt;0),(IF(Time!AA34=1,AA61,AA59)-AA58)*AB19+IF(Time!AB46&gt;0,Time!AB45*AA58/Time!AB46,0)+IF(Time!AA34=1,AA61,AA59)*AB12,0)</f>
        <v>4.02892621860453</v>
      </c>
      <c r="AB121" s="13" t="n">
        <f aca="false">IF(AND(Time!AB20&gt;=Time!$F$12,Time!AC20&gt;0),(IF(Time!AB34=1,AB61,AB59)-AB58)*AC19+IF(Time!AC46&gt;0,Time!AC45*AB58/Time!AC46,0)+IF(Time!AB34=1,AB61,AB59)*AC12,0)</f>
        <v>3.98722106427702</v>
      </c>
      <c r="AC121" s="13" t="n">
        <f aca="false">IF(AND(Time!AC20&gt;=Time!$F$12,Time!AD20&gt;0),(IF(Time!AC34=1,AC61,AC59)-AC58)*AD19+IF(Time!AD46&gt;0,Time!AD45*AC58/Time!AD46,0)+IF(Time!AC34=1,AC61,AC59)*AD12,0)</f>
        <v>4.11824566182818</v>
      </c>
      <c r="AD121" s="13" t="n">
        <f aca="false">IF(AND(Time!AD20&gt;=Time!$F$12,Time!AE20&gt;0),(IF(Time!AD34=1,AD61,AD59)-AD58)*AE19+IF(Time!AE46&gt;0,Time!AE45*AD58/Time!AE46,0)+IF(Time!AD34=1,AD61,AD59)*AE12,0)</f>
        <v>4.09298960609329</v>
      </c>
      <c r="AE121" s="13" t="n">
        <f aca="false">IF(AND(Time!AE20&gt;=Time!$F$12,Time!AF20&gt;0),(IF(Time!AE34=1,AE61,AE59)-AE58)*AF19+IF(Time!AF46&gt;0,Time!AF45*AE58/Time!AF46,0)+IF(Time!AE34=1,AE61,AE59)*AF12,0)</f>
        <v>4.09431951694296</v>
      </c>
      <c r="AF121" s="13" t="n">
        <f aca="false">IF(AND(Time!AF20&gt;=Time!$F$12,Time!AG20&gt;0),(IF(Time!AF34=1,AF61,AF59)-AF58)*AG19+IF(Time!AG46&gt;0,Time!AG45*AF58/Time!AG46,0)+IF(Time!AF34=1,AF61,AF59)*AG12,0)</f>
        <v>4.00592916356099</v>
      </c>
      <c r="AG121" s="13" t="n">
        <f aca="false">IF(AND(Time!AG20&gt;=Time!$F$12,Time!AH20&gt;0),(IF(Time!AG34=1,AG61,AG59)-AG58)*AH19+IF(Time!AH46&gt;0,Time!AH45*AG58/Time!AH46,0)+IF(Time!AG34=1,AG61,AG59)*AH12,0)</f>
        <v>4.04454373124027</v>
      </c>
      <c r="AH121" s="13" t="n">
        <f aca="false">IF(AND(Time!AH20&gt;=Time!$F$12,Time!AI20&gt;0),(IF(Time!AH34=1,AH61,AH59)-AH58)*AI19+IF(Time!AI46&gt;0,Time!AI45*AH58/Time!AI46,0)+IF(Time!AH34=1,AH61,AH59)*AI12,0)</f>
        <v>3.98692453006921</v>
      </c>
      <c r="AI121" s="13" t="n">
        <f aca="false">IF(AND(Time!AI20&gt;=Time!$F$12,Time!AJ20&gt;0),(IF(Time!AI34=1,AI61,AI59)-AI58)*AJ19+IF(Time!AJ46&gt;0,Time!AJ45*AI58/Time!AJ46,0)+IF(Time!AI34=1,AI61,AI59)*AJ12,0)</f>
        <v>4.01714786575871</v>
      </c>
      <c r="AJ121" s="13" t="n">
        <f aca="false">IF(AND(Time!AJ20&gt;=Time!$F$12,Time!AK20&gt;0),(IF(Time!AJ34=1,AJ61,AJ59)-AJ58)*AK19+IF(Time!AK46&gt;0,Time!AK45*AJ58/Time!AK46,0)+IF(Time!AJ34=1,AJ61,AJ59)*AK12,0)</f>
        <v>3.9740051853223</v>
      </c>
      <c r="AK121" s="13" t="n">
        <f aca="false">IF(AND(Time!AK20&gt;=Time!$F$12,Time!AL20&gt;0),(IF(Time!AK34=1,AK61,AK59)-AK58)*AL19+IF(Time!AL46&gt;0,Time!AL45*AK58/Time!AL46,0)+IF(Time!AK34=1,AK61,AK59)*AL12,0)</f>
        <v>4.03668966962251</v>
      </c>
      <c r="AL121" s="13" t="n">
        <f aca="false">IF(AND(Time!AL20&gt;=Time!$F$12,Time!AM20&gt;0),(IF(Time!AL34=1,AL61,AL59)-AL58)*AM19+IF(Time!AM46&gt;0,Time!AM45*AL58/Time!AM46,0)+IF(Time!AL34=1,AL61,AL59)*AM12,0)</f>
        <v>3.95090630542601</v>
      </c>
      <c r="AM121" s="13" t="n">
        <f aca="false">IF(AND(Time!AM20&gt;=Time!$F$12,Time!AN20&gt;0),(IF(Time!AM34=1,AM61,AM59)-AM58)*AN19+IF(Time!AN46&gt;0,Time!AN45*AM58/Time!AN46,0)+IF(Time!AM34=1,AM61,AM59)*AN12,0)</f>
        <v>3.18249879605851</v>
      </c>
      <c r="AN121" s="13" t="n">
        <f aca="false">IF(AND(Time!AN20&gt;=Time!$F$12,Time!AO20&gt;0),(IF(Time!AN34=1,AN61,AN59)-AN58)*AO19+IF(Time!AO46&gt;0,Time!AO45*AN58/Time!AO46,0)+IF(Time!AN34=1,AN61,AN59)*AO12,0)</f>
        <v>3.0963257668276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18.2133667312132</v>
      </c>
      <c r="Q122" s="13" t="n">
        <f aca="false">IF(AND(Time!Q20&gt;=Time!$F$12,Time!R20&gt;0),(IF(Time!Q34=1,Q75,Q73)-Q72)*R19+IF(Time!R46&gt;0,Time!R45*Q72/Time!R46,0)+IF(Time!Q34=1,Q75,Q73)*R13,0)</f>
        <v>18.3948756800603</v>
      </c>
      <c r="R122" s="13" t="n">
        <f aca="false">IF(AND(Time!R20&gt;=Time!$F$12,Time!S20&gt;0),(IF(Time!R34=1,R75,R73)-R72)*S19+IF(Time!S46&gt;0,Time!S45*R72/Time!S46,0)+IF(Time!R34=1,R75,R73)*S13,0)</f>
        <v>18.0708181622781</v>
      </c>
      <c r="S122" s="13" t="n">
        <f aca="false">IF(AND(Time!S20&gt;=Time!$F$12,Time!T20&gt;0),(IF(Time!S34=1,S75,S73)-S72)*T19+IF(Time!T46&gt;0,Time!T45*S72/Time!T46,0)+IF(Time!S34=1,S75,S73)*T13,0)</f>
        <v>18.2183387366117</v>
      </c>
      <c r="T122" s="13" t="n">
        <f aca="false">IF(AND(Time!T20&gt;=Time!$F$12,Time!U20&gt;0),(IF(Time!T34=1,T75,T73)-T72)*U19+IF(Time!U46&gt;0,Time!U45*T72/Time!U46,0)+IF(Time!T34=1,T75,T73)*U13,0)</f>
        <v>17.9577175074764</v>
      </c>
      <c r="U122" s="13" t="n">
        <f aca="false">IF(AND(Time!U20&gt;=Time!$F$12,Time!V20&gt;0),(IF(Time!U34=1,U75,U73)-U72)*V19+IF(Time!V46&gt;0,Time!V45*U72/Time!V46,0)+IF(Time!U34=1,U75,U73)*V13,0)</f>
        <v>18.1692165515084</v>
      </c>
      <c r="V122" s="13" t="n">
        <f aca="false">IF(AND(Time!V20&gt;=Time!$F$12,Time!W20&gt;0),(IF(Time!V34=1,V75,V73)-V72)*W19+IF(Time!W46&gt;0,Time!W45*V72/Time!W46,0)+IF(Time!V34=1,V75,V73)*W13,0)</f>
        <v>17.8376738948951</v>
      </c>
      <c r="W122" s="13" t="n">
        <f aca="false">IF(AND(Time!W20&gt;=Time!$F$12,Time!X20&gt;0),(IF(Time!W34=1,W75,W73)-W72)*X19+IF(Time!X46&gt;0,Time!X45*W72/Time!X46,0)+IF(Time!W34=1,W75,W73)*X13,0)</f>
        <v>17.3739700210211</v>
      </c>
      <c r="X122" s="13" t="n">
        <f aca="false">IF(AND(Time!X20&gt;=Time!$F$12,Time!Y20&gt;0),(IF(Time!X34=1,X75,X73)-X72)*Y19+IF(Time!Y46&gt;0,Time!Y45*X72/Time!Y46,0)+IF(Time!X34=1,X75,X73)*Y13,0)</f>
        <v>17.3237006850588</v>
      </c>
      <c r="Y122" s="13" t="n">
        <f aca="false">IF(AND(Time!Y20&gt;=Time!$F$12,Time!Z20&gt;0),(IF(Time!Y34=1,Y75,Y73)-Y72)*Z19+IF(Time!Z46&gt;0,Time!Z45*Y72/Time!Z46,0)+IF(Time!Y34=1,Y75,Y73)*Z13,0)</f>
        <v>17.3790194086726</v>
      </c>
      <c r="Z122" s="13" t="n">
        <f aca="false">IF(AND(Time!Z20&gt;=Time!$F$12,Time!AA20&gt;0),(IF(Time!Z34=1,Z75,Z73)-Z72)*AA19+IF(Time!AA46&gt;0,Time!AA45*Z72/Time!AA46,0)+IF(Time!Z34=1,Z75,Z73)*AA13,0)</f>
        <v>17.0255541877305</v>
      </c>
      <c r="AA122" s="13" t="n">
        <f aca="false">IF(AND(Time!AA20&gt;=Time!$F$12,Time!AB20&gt;0),(IF(Time!AA34=1,AA75,AA73)-AA72)*AB19+IF(Time!AB46&gt;0,Time!AB45*AA72/Time!AB46,0)+IF(Time!AA34=1,AA75,AA73)*AB13,0)</f>
        <v>17.1112431166002</v>
      </c>
      <c r="AB122" s="13" t="n">
        <f aca="false">IF(AND(Time!AB20&gt;=Time!$F$12,Time!AC20&gt;0),(IF(Time!AB34=1,AB75,AB73)-AB72)*AC19+IF(Time!AC46&gt;0,Time!AC45*AB72/Time!AC46,0)+IF(Time!AB34=1,AB75,AB73)*AC13,0)</f>
        <v>16.2155304098063</v>
      </c>
      <c r="AC122" s="13" t="n">
        <f aca="false">IF(AND(Time!AC20&gt;=Time!$F$12,Time!AD20&gt;0),(IF(Time!AC34=1,AC75,AC73)-AC72)*AD19+IF(Time!AD46&gt;0,Time!AD45*AC72/Time!AD46,0)+IF(Time!AC34=1,AC75,AC73)*AD13,0)</f>
        <v>15.8179533349848</v>
      </c>
      <c r="AD122" s="13" t="n">
        <f aca="false">IF(AND(Time!AD20&gt;=Time!$F$12,Time!AE20&gt;0),(IF(Time!AD34=1,AD75,AD73)-AD72)*AE19+IF(Time!AE46&gt;0,Time!AE45*AD72/Time!AE46,0)+IF(Time!AD34=1,AD75,AD73)*AE13,0)</f>
        <v>14.8046991244375</v>
      </c>
      <c r="AE122" s="13" t="n">
        <f aca="false">IF(AND(Time!AE20&gt;=Time!$F$12,Time!AF20&gt;0),(IF(Time!AE34=1,AE75,AE73)-AE72)*AF19+IF(Time!AF46&gt;0,Time!AF45*AE72/Time!AF46,0)+IF(Time!AE34=1,AE75,AE73)*AF13,0)</f>
        <v>13.6883915696994</v>
      </c>
      <c r="AF122" s="13" t="n">
        <f aca="false">IF(AND(Time!AF20&gt;=Time!$F$12,Time!AG20&gt;0),(IF(Time!AF34=1,AF75,AF73)-AF72)*AG19+IF(Time!AG46&gt;0,Time!AG45*AF72/Time!AG46,0)+IF(Time!AF34=1,AF75,AF73)*AG13,0)</f>
        <v>12.332528725121</v>
      </c>
      <c r="AG122" s="13" t="n">
        <f aca="false">IF(AND(Time!AG20&gt;=Time!$F$12,Time!AH20&gt;0),(IF(Time!AG34=1,AG75,AG73)-AG72)*AH19+IF(Time!AH46&gt;0,Time!AH45*AG72/Time!AH46,0)+IF(Time!AG34=1,AG75,AG73)*AH13,0)</f>
        <v>10.8660930895969</v>
      </c>
      <c r="AH122" s="13" t="n">
        <f aca="false">IF(AND(Time!AH20&gt;=Time!$F$12,Time!AI20&gt;0),(IF(Time!AH34=1,AH75,AH73)-AH72)*AI19+IF(Time!AI46&gt;0,Time!AI45*AH72/Time!AI46,0)+IF(Time!AH34=1,AH75,AH73)*AI13,0)</f>
        <v>8.92001894526901</v>
      </c>
      <c r="AI122" s="13" t="n">
        <f aca="false">IF(AND(Time!AI20&gt;=Time!$F$12,Time!AJ20&gt;0),(IF(Time!AI34=1,AI75,AI73)-AI72)*AJ19+IF(Time!AJ46&gt;0,Time!AJ45*AI72/Time!AJ46,0)+IF(Time!AI34=1,AI75,AI73)*AJ13,0)</f>
        <v>6.72310669840694</v>
      </c>
      <c r="AJ122" s="13" t="n">
        <f aca="false">IF(AND(Time!AJ20&gt;=Time!$F$12,Time!AK20&gt;0),(IF(Time!AJ34=1,AJ75,AJ73)-AJ72)*AK19+IF(Time!AK46&gt;0,Time!AK45*AJ72/Time!AK46,0)+IF(Time!AJ34=1,AJ75,AJ73)*AK13,0)</f>
        <v>3.91022352966278</v>
      </c>
      <c r="AK122" s="13" t="n">
        <f aca="false">IF(AND(Time!AK20&gt;=Time!$F$12,Time!AL20&gt;0),(IF(Time!AK34=1,AK75,AK73)-AK72)*AL19+IF(Time!AL46&gt;0,Time!AL45*AK72/Time!AL46,0)+IF(Time!AK34=1,AK75,AK73)*AL13,0)</f>
        <v>0.213362225415187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1.29109438047709E-012</v>
      </c>
      <c r="Q123" s="13" t="n">
        <f aca="false">IF(AND(Time!Q20&gt;=Time!$F$12,Time!R20&gt;0),(IF(Time!Q34=1,Q89,Q87)-Q86)*R19+IF(Time!R46&gt;0,Time!R45*Q86/Time!R46,0)+IF(Time!Q34=1,Q89,Q87)*R14,0)</f>
        <v>1.30451137345579E-012</v>
      </c>
      <c r="R123" s="13" t="n">
        <f aca="false">IF(AND(Time!R20&gt;=Time!$F$12,Time!S20&gt;0),(IF(Time!R34=1,R89,R87)-R86)*S19+IF(Time!S46&gt;0,Time!S45*R86/Time!S46,0)+IF(Time!R34=1,R89,R87)*S14,0)</f>
        <v>1.28221449473426E-012</v>
      </c>
      <c r="S123" s="13" t="n">
        <f aca="false">IF(AND(Time!S20&gt;=Time!$F$12,Time!T20&gt;0),(IF(Time!S34=1,S89,S87)-S86)*T19+IF(Time!T46&gt;0,Time!T45*S86/Time!T46,0)+IF(Time!S34=1,S89,S87)*T14,0)</f>
        <v>1.29325439891632E-012</v>
      </c>
      <c r="T123" s="13" t="n">
        <f aca="false">IF(AND(Time!T20&gt;=Time!$F$12,Time!U20&gt;0),(IF(Time!T34=1,T89,T87)-T86)*U19+IF(Time!U46&gt;0,Time!U45*T86/Time!U46,0)+IF(Time!T34=1,T89,T87)*U14,0)</f>
        <v>1.27548510823002E-012</v>
      </c>
      <c r="U123" s="13" t="n">
        <f aca="false">IF(AND(Time!U20&gt;=Time!$F$12,Time!V20&gt;0),(IF(Time!U34=1,U89,U87)-U86)*V19+IF(Time!V46&gt;0,Time!V45*U86/Time!V46,0)+IF(Time!U34=1,U89,U87)*V14,0)</f>
        <v>1.29138200328771E-012</v>
      </c>
      <c r="V123" s="13" t="n">
        <f aca="false">IF(AND(Time!V20&gt;=Time!$F$12,Time!W20&gt;0),(IF(Time!V34=1,V89,V87)-V86)*W19+IF(Time!W46&gt;0,Time!W45*V86/Time!W46,0)+IF(Time!V34=1,V89,V87)*W14,0)</f>
        <v>1.26866699751912E-012</v>
      </c>
      <c r="W123" s="13" t="n">
        <f aca="false">IF(AND(Time!W20&gt;=Time!$F$12,Time!X20&gt;0),(IF(Time!W34=1,W89,W87)-W86)*X19+IF(Time!X46&gt;0,Time!X45*W86/Time!X46,0)+IF(Time!W34=1,W89,W87)*X14,0)</f>
        <v>1.23565543787162E-012</v>
      </c>
      <c r="X123" s="13" t="n">
        <f aca="false">IF(AND(Time!X20&gt;=Time!$F$12,Time!Y20&gt;0),(IF(Time!X34=1,X89,X87)-X86)*Y19+IF(Time!Y46&gt;0,Time!Y45*X86/Time!Y46,0)+IF(Time!X34=1,X89,X87)*Y14,0)</f>
        <v>1.21884871803587E-012</v>
      </c>
      <c r="Y123" s="13" t="n">
        <f aca="false">IF(AND(Time!Y20&gt;=Time!$F$12,Time!Z20&gt;0),(IF(Time!Y34=1,Y89,Y87)-Y86)*Z19+IF(Time!Z46&gt;0,Time!Z45*Y86/Time!Z46,0)+IF(Time!Y34=1,Y89,Y87)*Z14,0)</f>
        <v>1.22380854767392E-012</v>
      </c>
      <c r="Z123" s="13" t="n">
        <f aca="false">IF(AND(Time!Z20&gt;=Time!$F$12,Time!AA20&gt;0),(IF(Time!Z34=1,Z89,Z87)-Z86)*AA19+IF(Time!AA46&gt;0,Time!AA45*Z86/Time!AA46,0)+IF(Time!Z34=1,Z89,Z87)*AA14,0)</f>
        <v>1.20035820813016E-012</v>
      </c>
      <c r="AA123" s="13" t="n">
        <f aca="false">IF(AND(Time!AA20&gt;=Time!$F$12,Time!AB20&gt;0),(IF(Time!AA34=1,AA89,AA87)-AA86)*AB19+IF(Time!AB46&gt;0,Time!AB45*AA86/Time!AB46,0)+IF(Time!AA34=1,AA89,AA87)*AB14,0)</f>
        <v>1.20767889372489E-012</v>
      </c>
      <c r="AB123" s="13" t="n">
        <f aca="false">IF(AND(Time!AB20&gt;=Time!$F$12,Time!AC20&gt;0),(IF(Time!AB34=1,AB89,AB87)-AB86)*AC19+IF(Time!AC46&gt;0,Time!AC45*AB86/Time!AC46,0)+IF(Time!AB34=1,AB89,AB87)*AC14,0)</f>
        <v>1.18967937815778E-012</v>
      </c>
      <c r="AC123" s="13" t="n">
        <f aca="false">IF(AND(Time!AC20&gt;=Time!$F$12,Time!AD20&gt;0),(IF(Time!AC34=1,AC89,AC87)-AC86)*AD19+IF(Time!AD46&gt;0,Time!AD45*AC86/Time!AD46,0)+IF(Time!AC34=1,AC89,AC87)*AD14,0)</f>
        <v>1.22105688389292E-012</v>
      </c>
      <c r="AD123" s="13" t="n">
        <f aca="false">IF(AND(Time!AD20&gt;=Time!$F$12,Time!AE20&gt;0),(IF(Time!AD34=1,AD89,AD87)-AD86)*AE19+IF(Time!AE46&gt;0,Time!AE45*AD86/Time!AE46,0)+IF(Time!AD34=1,AD89,AD87)*AE14,0)</f>
        <v>1.20656220092853E-012</v>
      </c>
      <c r="AE123" s="13" t="n">
        <f aca="false">IF(AND(Time!AE20&gt;=Time!$F$12,Time!AF20&gt;0),(IF(Time!AE34=1,AE89,AE87)-AE86)*AF19+IF(Time!AF46&gt;0,Time!AF45*AE86/Time!AF46,0)+IF(Time!AE34=1,AE89,AE87)*AF14,0)</f>
        <v>1.20178287305035E-012</v>
      </c>
      <c r="AF123" s="13" t="n">
        <f aca="false">IF(AND(Time!AF20&gt;=Time!$F$12,Time!AG20&gt;0),(IF(Time!AF34=1,AF89,AF87)-AF86)*AG19+IF(Time!AG46&gt;0,Time!AG45*AF86/Time!AG46,0)+IF(Time!AF34=1,AF89,AF87)*AG14,0)</f>
        <v>1.1826121101312E-012</v>
      </c>
      <c r="AG123" s="13" t="n">
        <f aca="false">IF(AND(Time!AG20&gt;=Time!$F$12,Time!AH20&gt;0),(IF(Time!AG34=1,AG89,AG87)-AG86)*AH19+IF(Time!AH46&gt;0,Time!AH45*AG86/Time!AH46,0)+IF(Time!AG34=1,AG89,AG87)*AH14,0)</f>
        <v>1.18642549463241E-012</v>
      </c>
      <c r="AH123" s="13" t="n">
        <f aca="false">IF(AND(Time!AH20&gt;=Time!$F$12,Time!AI20&gt;0),(IF(Time!AH34=1,AH89,AH87)-AH86)*AI19+IF(Time!AI46&gt;0,Time!AI45*AH86/Time!AI46,0)+IF(Time!AH34=1,AH89,AH87)*AI14,0)</f>
        <v>1.16095803932392E-012</v>
      </c>
      <c r="AI123" s="13" t="n">
        <f aca="false">IF(AND(Time!AI20&gt;=Time!$F$12,Time!AJ20&gt;0),(IF(Time!AI34=1,AI89,AI87)-AI86)*AJ19+IF(Time!AJ46&gt;0,Time!AJ45*AI86/Time!AJ46,0)+IF(Time!AI34=1,AI89,AI87)*AJ14,0)</f>
        <v>1.16153054138295E-012</v>
      </c>
      <c r="AJ123" s="13" t="n">
        <f aca="false">IF(AND(Time!AJ20&gt;=Time!$F$12,Time!AK20&gt;0),(IF(Time!AJ34=1,AJ89,AJ87)-AJ86)*AK19+IF(Time!AK46&gt;0,Time!AK45*AJ86/Time!AK46,0)+IF(Time!AJ34=1,AJ89,AJ87)*AK14,0)</f>
        <v>1.13991966135617E-012</v>
      </c>
      <c r="AK123" s="13" t="n">
        <f aca="false">IF(AND(Time!AK20&gt;=Time!$F$12,Time!AL20&gt;0),(IF(Time!AK34=1,AK89,AK87)-AK86)*AL19+IF(Time!AL46&gt;0,Time!AL45*AK86/Time!AL46,0)+IF(Time!AK34=1,AK89,AK87)*AL14,0)</f>
        <v>1.14814927039843E-012</v>
      </c>
      <c r="AL123" s="13" t="n">
        <f aca="false">IF(AND(Time!AL20&gt;=Time!$F$12,Time!AM20&gt;0),(IF(Time!AL34=1,AL89,AL87)-AL86)*AM19+IF(Time!AM46&gt;0,Time!AM45*AL86/Time!AM46,0)+IF(Time!AL34=1,AL89,AL87)*AM14,0)</f>
        <v>1.1139974179874E-012</v>
      </c>
      <c r="AM123" s="13" t="n">
        <f aca="false">IF(AND(Time!AM20&gt;=Time!$F$12,Time!AN20&gt;0),(IF(Time!AM34=1,AM89,AM87)-AM86)*AN19+IF(Time!AN46&gt;0,Time!AN45*AM86/Time!AN46,0)+IF(Time!AM34=1,AM89,AM87)*AN14,0)</f>
        <v>8.92724522446992E-013</v>
      </c>
      <c r="AN123" s="13" t="n">
        <f aca="false">IF(AND(Time!AN20&gt;=Time!$F$12,Time!AO20&gt;0),(IF(Time!AN34=1,AN89,AN87)-AN86)*AO19+IF(Time!AO46&gt;0,Time!AO45*AN86/Time!AO46,0)+IF(Time!AN34=1,AN89,AN87)*AO14,0)</f>
        <v>8.60367260465338E-013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38.6616967746567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39.1144283831714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38.7574063557963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39.1557336731761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38.9152650446619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39.6006594730367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39.2657193975113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38.1387094828572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37.7136071834051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37.9837522021192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37.6175484161408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38.0119521840663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37.1474297002348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37.6733539568001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36.8525031171836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35.8592987654913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34.3036490549679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33.2252778966708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31.274587528778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29.461754504768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26.7240494743803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23.6931579806753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23.3984025110587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19.0235505071657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18.8521663535949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0.0364481388446549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0.0368568704278604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0.0364603172397465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0.0368692506748043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0.0365966283847658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0.0368692506748043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0.0364603172397465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0.0368692506748043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0.0375217369928329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0.0379482630204833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0.0375217369928329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0.0379482630204833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0.0376639123353831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0.0379482630204833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0.0375217369928329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0.0379482630204833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0.0385831567459193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0.0390272753661623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0.0385831567459193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0.0390272753661624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0.0387311962860003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0.0390272753661623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0.0385831567459193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0.0390272753661623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0.0385831567459193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837.05004673707</v>
      </c>
      <c r="Q128" s="13" t="n">
        <f aca="false">IF(Time!Q53=1,(Waterfall!Q7+R128)/(1+Q127),0)</f>
        <v>815.525829977538</v>
      </c>
      <c r="R128" s="13" t="n">
        <f aca="false">IF(Time!R53=1,(Waterfall!R7+S128)/(1+R127),0)</f>
        <v>795.088256441771</v>
      </c>
      <c r="S128" s="13" t="n">
        <f aca="false">IF(Time!S53=1,(Waterfall!S7+T128)/(1+S127),0)</f>
        <v>773.5992614151</v>
      </c>
      <c r="T128" s="13" t="n">
        <f aca="false">IF(Time!T53=1,(Waterfall!T7+U128)/(1+T127),0)</f>
        <v>751.404964034036</v>
      </c>
      <c r="U128" s="13" t="n">
        <f aca="false">IF(Time!U53=1,(Waterfall!U7+V128)/(1+U127),0)</f>
        <v>728.144558001319</v>
      </c>
      <c r="V128" s="13" t="n">
        <f aca="false">IF(Time!V53=1,(Waterfall!V7+W128)/(1+V127),0)</f>
        <v>704.071758577999</v>
      </c>
      <c r="W128" s="13" t="n">
        <f aca="false">IF(Time!W53=1,(Waterfall!W7+X128)/(1+W127),0)</f>
        <v>678.34166441628</v>
      </c>
      <c r="X128" s="13" t="n">
        <f aca="false">IF(Time!X53=1,(Waterfall!X7+Y128)/(1+X127),0)</f>
        <v>651.742859669647</v>
      </c>
      <c r="Y128" s="13" t="n">
        <f aca="false">IF(Time!Y53=1,(Waterfall!Y7+Z128)/(1+Y127),0)</f>
        <v>625.920957183639</v>
      </c>
      <c r="Z128" s="13" t="n">
        <f aca="false">IF(Time!Z53=1,(Waterfall!Z7+AA128)/(1+Z127),0)</f>
        <v>600.036569454247</v>
      </c>
      <c r="AA128" s="13" t="n">
        <f aca="false">IF(Time!AA53=1,(Waterfall!AA7+AB128)/(1+AA127),0)</f>
        <v>573.030574813652</v>
      </c>
      <c r="AB128" s="13" t="n">
        <f aca="false">IF(Time!AB53=1,(Waterfall!AB7+AC128)/(1+AB127),0)</f>
        <v>545.156389398869</v>
      </c>
      <c r="AC128" s="13" t="n">
        <f aca="false">IF(Time!AC53=1,(Waterfall!AC7+AD128)/(1+AC127),0)</f>
        <v>515.887716794593</v>
      </c>
      <c r="AD128" s="13" t="n">
        <f aca="false">IF(Time!AD53=1,(Waterfall!AD7+AE128)/(1+AD127),0)</f>
        <v>485.566612092156</v>
      </c>
      <c r="AE128" s="13" t="n">
        <f aca="false">IF(Time!AE53=1,(Waterfall!AE7+AF128)/(1+AE127),0)</f>
        <v>452.330478919055</v>
      </c>
      <c r="AF128" s="13" t="n">
        <f aca="false">IF(Time!AF53=1,(Waterfall!AF7+AG128)/(1+AF127),0)</f>
        <v>417.556872245231</v>
      </c>
      <c r="AG128" s="13" t="n">
        <f aca="false">IF(Time!AG53=1,(Waterfall!AG7+AH128)/(1+AG127),0)</f>
        <v>381.49574460641</v>
      </c>
      <c r="AH128" s="13" t="n">
        <f aca="false">IF(Time!AH53=1,(Waterfall!AH7+AI128)/(1+AH127),0)</f>
        <v>344.675775566554</v>
      </c>
      <c r="AI128" s="13" t="n">
        <f aca="false">IF(Time!AI53=1,(Waterfall!AI7+AJ128)/(1+AI127),0)</f>
        <v>305.918787293452</v>
      </c>
      <c r="AJ128" s="13" t="n">
        <f aca="false">IF(Time!AJ53=1,(Waterfall!AJ7+AK128)/(1+AJ127),0)</f>
        <v>265.920859064598</v>
      </c>
      <c r="AK128" s="13" t="n">
        <f aca="false">IF(Time!AK53=1,(Waterfall!AK7+AL128)/(1+AK127),0)</f>
        <v>223.89642736828</v>
      </c>
      <c r="AL128" s="13" t="n">
        <f aca="false">IF(Time!AL53=1,(Waterfall!AL7+AM128)/(1+AL127),0)</f>
        <v>180.40367090364</v>
      </c>
      <c r="AM128" s="13" t="n">
        <f aca="false">IF(Time!AM53=1,(Waterfall!AM7+AN128)/(1+AM127),0)</f>
        <v>134.168758633644</v>
      </c>
      <c r="AN128" s="13" t="n">
        <f aca="false">IF(Time!AN53=1,(Waterfall!AN7+AO128)/(1+AN127),0)</f>
        <v>86.4457078508017</v>
      </c>
      <c r="AO128" s="13" t="n">
        <f aca="false">IF(Time!AO53=1,(Waterfall!AO7+AP128)/(1+AO127),0)</f>
        <v>40.4277694600547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1.32181942068469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620.037071657089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38.0399607221236</v>
      </c>
      <c r="Q132" s="13" t="n">
        <f aca="false">IF(Time!Q53=1,(Waterfall!Q7)/$F$129,0)</f>
        <v>37.9491868807666</v>
      </c>
      <c r="R132" s="13" t="n">
        <f aca="false">IF(Time!R53=1,(Waterfall!R7)/$F$129,0)</f>
        <v>38.4269281251357</v>
      </c>
      <c r="S132" s="13" t="n">
        <f aca="false">IF(Time!S53=1,(Waterfall!S7)/$F$129,0)</f>
        <v>38.1292414682374</v>
      </c>
      <c r="T132" s="13" t="n">
        <f aca="false">IF(Time!T53=1,(Waterfall!T7)/$F$129,0)</f>
        <v>38.5560563057707</v>
      </c>
      <c r="U132" s="13" t="n">
        <f aca="false">IF(Time!U53=1,(Waterfall!U7)/$F$129,0)</f>
        <v>38.3716825681154</v>
      </c>
      <c r="V132" s="13" t="n">
        <f aca="false">IF(Time!V53=1,(Waterfall!V7)/$F$129,0)</f>
        <v>39.1042010072813</v>
      </c>
      <c r="W132" s="13" t="n">
        <f aca="false">IF(Time!W53=1,(Waterfall!W7)/$F$129,0)</f>
        <v>38.833865068799</v>
      </c>
      <c r="X132" s="13" t="n">
        <f aca="false">IF(Time!X53=1,(Waterfall!X7)/$F$129,0)</f>
        <v>37.7140572869326</v>
      </c>
      <c r="Y132" s="13" t="n">
        <f aca="false">IF(Time!Y53=1,(Waterfall!Y7)/$F$129,0)</f>
        <v>37.3500559082156</v>
      </c>
      <c r="Z132" s="13" t="n">
        <f aca="false">IF(Time!Z53=1,(Waterfall!Z7)/$F$129,0)</f>
        <v>37.6574435367045</v>
      </c>
      <c r="AA132" s="13" t="n">
        <f aca="false">IF(Time!AA53=1,(Waterfall!AA7)/$F$129,0)</f>
        <v>37.3540342645422</v>
      </c>
      <c r="AB132" s="13" t="n">
        <f aca="false">IF(Time!AB53=1,(Waterfall!AB7)/$F$129,0)</f>
        <v>37.7936727776355</v>
      </c>
      <c r="AC132" s="13" t="n">
        <f aca="false">IF(Time!AC53=1,(Waterfall!AC7)/$F$129,0)</f>
        <v>37.6386166401753</v>
      </c>
      <c r="AD132" s="13" t="n">
        <f aca="false">IF(Time!AD53=1,(Waterfall!AD7)/$F$129,0)</f>
        <v>39.0844179426402</v>
      </c>
      <c r="AE132" s="13" t="n">
        <f aca="false">IF(Time!AE53=1,(Waterfall!AE7)/$F$129,0)</f>
        <v>39.1474290117956</v>
      </c>
      <c r="AF132" s="13" t="n">
        <f aca="false">IF(Time!AF53=1,(Waterfall!AF7)/$F$129,0)</f>
        <v>39.2691201540264</v>
      </c>
      <c r="AG132" s="13" t="n">
        <f aca="false">IF(Time!AG53=1,(Waterfall!AG7)/$F$129,0)</f>
        <v>38.9911650149686</v>
      </c>
      <c r="AH132" s="13" t="n">
        <f aca="false">IF(Time!AH53=1,(Waterfall!AH7)/$F$129,0)</f>
        <v>39.4976377719882</v>
      </c>
      <c r="AI132" s="13" t="n">
        <f aca="false">IF(Time!AI53=1,(Waterfall!AI7)/$F$129,0)</f>
        <v>39.1893476067142</v>
      </c>
      <c r="AJ132" s="13" t="n">
        <f aca="false">IF(Time!AJ53=1,(Waterfall!AJ7)/$F$129,0)</f>
        <v>39.6442944237379</v>
      </c>
      <c r="AK132" s="13" t="n">
        <f aca="false">IF(Time!AK53=1,(Waterfall!AK7)/$F$129,0)</f>
        <v>39.4641901340462</v>
      </c>
      <c r="AL132" s="13" t="n">
        <f aca="false">IF(Time!AL53=1,(Waterfall!AL7)/$F$129,0)</f>
        <v>40.3047308715003</v>
      </c>
      <c r="AM132" s="13" t="n">
        <f aca="false">IF(Time!AM53=1,(Waterfall!AM7)/$F$129,0)</f>
        <v>40.0203720718581</v>
      </c>
      <c r="AN132" s="13" t="n">
        <f aca="false">IF(Time!AN53=1,(Waterfall!AN7)/$F$129,0)</f>
        <v>37.3664345237707</v>
      </c>
      <c r="AO132" s="13" t="n">
        <f aca="false">IF(Time!AO53=1,(Waterfall!AO7)/$F$129,0)</f>
        <v>31.7650049386252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616.972195457002</v>
      </c>
      <c r="R133" s="13" t="n">
        <f aca="false">IF(Time!R53=1,IF(Time!R20=Time!$F$13,Funding!$F$25,Q133-Q134),0)</f>
        <v>601.510496819544</v>
      </c>
      <c r="S133" s="13" t="n">
        <f aca="false">IF(Time!S53=1,IF(Time!S20=Time!$F$13,Funding!$F$25,R133-R134),0)</f>
        <v>585.253363136684</v>
      </c>
      <c r="T133" s="13" t="n">
        <f aca="false">IF(Time!T53=1,IF(Time!T20=Time!$F$13,Funding!$F$25,S133-S134),0)</f>
        <v>568.462644954039</v>
      </c>
      <c r="U133" s="13" t="n">
        <f aca="false">IF(Time!U53=1,IF(Time!U20=Time!$F$13,Funding!$F$25,T133-T134),0)</f>
        <v>550.865380404341</v>
      </c>
      <c r="V133" s="13" t="n">
        <f aca="false">IF(Time!V53=1,IF(Time!V20=Time!$F$13,Funding!$F$25,U133-U134),0)</f>
        <v>532.653513452916</v>
      </c>
      <c r="W133" s="13" t="n">
        <f aca="false">IF(Time!W53=1,IF(Time!W20=Time!$F$13,Funding!$F$25,V133-V134),0)</f>
        <v>513.187848355945</v>
      </c>
      <c r="X133" s="13" t="n">
        <f aca="false">IF(Time!X53=1,IF(Time!X20=Time!$F$13,Funding!$F$25,W133-W134),0)</f>
        <v>493.064975041787</v>
      </c>
      <c r="Y133" s="13" t="n">
        <f aca="false">IF(Time!Y53=1,IF(Time!Y20=Time!$F$13,Funding!$F$25,X133-X134),0)</f>
        <v>473.529853918636</v>
      </c>
      <c r="Z133" s="13" t="n">
        <f aca="false">IF(Time!Z53=1,IF(Time!Z20=Time!$F$13,Funding!$F$25,Y133-Y134),0)</f>
        <v>453.94746064741</v>
      </c>
      <c r="AA133" s="13" t="n">
        <f aca="false">IF(Time!AA53=1,IF(Time!AA20=Time!$F$13,Funding!$F$25,Z133-Z134),0)</f>
        <v>433.516534744834</v>
      </c>
      <c r="AB133" s="13" t="n">
        <f aca="false">IF(Time!AB53=1,IF(Time!AB20=Time!$F$13,Funding!$F$25,AA133-AA134),0)</f>
        <v>412.428793879032</v>
      </c>
      <c r="AC133" s="13" t="n">
        <f aca="false">IF(Time!AC53=1,IF(Time!AC20=Time!$F$13,Funding!$F$25,AB133-AB134),0)</f>
        <v>390.286077448738</v>
      </c>
      <c r="AD133" s="13" t="n">
        <f aca="false">IF(Time!AD53=1,IF(Time!AD20=Time!$F$13,Funding!$F$25,AC133-AC134),0)</f>
        <v>367.347161415313</v>
      </c>
      <c r="AE133" s="13" t="n">
        <f aca="false">IF(Time!AE53=1,IF(Time!AE20=Time!$F$13,Funding!$F$25,AD133-AD134),0)</f>
        <v>342.202930173889</v>
      </c>
      <c r="AF133" s="13" t="n">
        <f aca="false">IF(Time!AF53=1,IF(Time!AF20=Time!$F$13,Funding!$F$25,AE133-AE134),0)</f>
        <v>315.895549506255</v>
      </c>
      <c r="AG133" s="13" t="n">
        <f aca="false">IF(Time!AG53=1,IF(Time!AG20=Time!$F$13,Funding!$F$25,AF133-AF134),0)</f>
        <v>288.614116751892</v>
      </c>
      <c r="AH133" s="13" t="n">
        <f aca="false">IF(Time!AH53=1,IF(Time!AH20=Time!$F$13,Funding!$F$25,AG133-AG134),0)</f>
        <v>260.758595442646</v>
      </c>
      <c r="AI133" s="13" t="n">
        <f aca="false">IF(Time!AI53=1,IF(Time!AI20=Time!$F$13,Funding!$F$25,AH133-AH134),0)</f>
        <v>231.437655179092</v>
      </c>
      <c r="AJ133" s="13" t="n">
        <f aca="false">IF(Time!AJ53=1,IF(Time!AJ20=Time!$F$13,Funding!$F$25,AI133-AI134),0)</f>
        <v>201.177902899061</v>
      </c>
      <c r="AK133" s="13" t="n">
        <f aca="false">IF(Time!AK53=1,IF(Time!AK20=Time!$F$13,Funding!$F$25,AJ133-AJ134),0)</f>
        <v>169.385033889352</v>
      </c>
      <c r="AL133" s="13" t="n">
        <f aca="false">IF(Time!AL53=1,IF(Time!AL20=Time!$F$13,Funding!$F$25,AK133-AK134),0)</f>
        <v>136.481328750785</v>
      </c>
      <c r="AM133" s="13" t="n">
        <f aca="false">IF(Time!AM53=1,IF(Time!AM20=Time!$F$13,Funding!$F$25,AL133-AL134),0)</f>
        <v>101.503092278781</v>
      </c>
      <c r="AN133" s="13" t="n">
        <f aca="false">IF(Time!AN53=1,IF(Time!AN20=Time!$F$13,Funding!$F$25,AM133-AM134),0)</f>
        <v>65.3990299265107</v>
      </c>
      <c r="AO133" s="13" t="n">
        <f aca="false">IF(Time!AO53=1,IF(Time!AO20=Time!$F$13,Funding!$F$25,AN133-AN134),0)</f>
        <v>30.5849413523618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16.2837800857721</v>
      </c>
      <c r="Q134" s="13" t="n">
        <f aca="false">Q132-Q133*Q127</f>
        <v>15.4616986374582</v>
      </c>
      <c r="R134" s="13" t="n">
        <f aca="false">R132-R133*R127</f>
        <v>16.2571336828598</v>
      </c>
      <c r="S134" s="13" t="n">
        <f aca="false">S132-S133*S127</f>
        <v>16.7907181826453</v>
      </c>
      <c r="T134" s="13" t="n">
        <f aca="false">T132-T133*T127</f>
        <v>17.5972645496979</v>
      </c>
      <c r="U134" s="13" t="n">
        <f aca="false">U132-U133*U127</f>
        <v>18.2118669514251</v>
      </c>
      <c r="V134" s="13" t="n">
        <f aca="false">V132-V133*V127</f>
        <v>19.4656650969705</v>
      </c>
      <c r="W134" s="13" t="n">
        <f aca="false">W132-W133*W127</f>
        <v>20.1228733141583</v>
      </c>
      <c r="X134" s="13" t="n">
        <f aca="false">X132-X133*X127</f>
        <v>19.5351211231508</v>
      </c>
      <c r="Y134" s="13" t="n">
        <f aca="false">Y132-Y133*Y127</f>
        <v>19.5823932712259</v>
      </c>
      <c r="Z134" s="13" t="n">
        <f aca="false">Z132-Z133*Z127</f>
        <v>20.4309259025761</v>
      </c>
      <c r="AA134" s="13" t="n">
        <f aca="false">AA132-AA133*AA127</f>
        <v>21.0877408658022</v>
      </c>
      <c r="AB134" s="13" t="n">
        <f aca="false">AB132-AB133*AB127</f>
        <v>22.1427164302933</v>
      </c>
      <c r="AC134" s="13" t="n">
        <f aca="false">AC132-AC133*AC127</f>
        <v>22.9389160334255</v>
      </c>
      <c r="AD134" s="13" t="n">
        <f aca="false">AD132-AD133*AD127</f>
        <v>25.144231241424</v>
      </c>
      <c r="AE134" s="13" t="n">
        <f aca="false">AE132-AE133*AE127</f>
        <v>26.3073806676342</v>
      </c>
      <c r="AF134" s="13" t="n">
        <f aca="false">AF132-AF133*AF127</f>
        <v>27.281432754363</v>
      </c>
      <c r="AG134" s="13" t="n">
        <f aca="false">AG132-AG133*AG127</f>
        <v>27.8555213092453</v>
      </c>
      <c r="AH134" s="13" t="n">
        <f aca="false">AH132-AH133*AH127</f>
        <v>29.3209402635543</v>
      </c>
      <c r="AI134" s="13" t="n">
        <f aca="false">AI132-AI133*AI127</f>
        <v>30.2597522800312</v>
      </c>
      <c r="AJ134" s="13" t="n">
        <f aca="false">AJ132-AJ133*AJ127</f>
        <v>31.7928690097092</v>
      </c>
      <c r="AK134" s="13" t="n">
        <f aca="false">AK132-AK133*AK127</f>
        <v>32.9037051385669</v>
      </c>
      <c r="AL134" s="13" t="n">
        <f aca="false">AL132-AL133*AL127</f>
        <v>34.9782364720036</v>
      </c>
      <c r="AM134" s="13" t="n">
        <f aca="false">AM132-AM133*AM127</f>
        <v>36.1040623522704</v>
      </c>
      <c r="AN134" s="13" t="n">
        <f aca="false">AN132-AN133*AN127</f>
        <v>34.8140885741488</v>
      </c>
      <c r="AO134" s="13" t="n">
        <f aca="false">AO132-AO133*AO127</f>
        <v>30.5849413523622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7.1841704116222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0.0457983613133461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0.0899227065990746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38.6616967746567</v>
      </c>
      <c r="R9" s="13" t="n">
        <f aca="false">IF(Time!R34=1,SUM(Funding!$J$44:$BJ$44),Q13)</f>
        <v>39.1144283831714</v>
      </c>
      <c r="S9" s="13" t="n">
        <f aca="false">IF(Time!S34=1,SUM(Funding!$J$44:$BJ$44),R13)</f>
        <v>38.7574063557963</v>
      </c>
      <c r="T9" s="13" t="n">
        <f aca="false">IF(Time!T34=1,SUM(Funding!$J$44:$BJ$44),S13)</f>
        <v>39.1557336731761</v>
      </c>
      <c r="U9" s="13" t="n">
        <f aca="false">IF(Time!U34=1,SUM(Funding!$J$44:$BJ$44),T13)</f>
        <v>38.9152650446619</v>
      </c>
      <c r="V9" s="13" t="n">
        <f aca="false">IF(Time!V34=1,SUM(Funding!$J$44:$BJ$44),U13)</f>
        <v>39.6006594730367</v>
      </c>
      <c r="W9" s="13" t="n">
        <f aca="false">IF(Time!W34=1,SUM(Funding!$J$44:$BJ$44),V13)</f>
        <v>39.2657193975113</v>
      </c>
      <c r="X9" s="13" t="n">
        <f aca="false">IF(Time!X34=1,SUM(Funding!$J$44:$BJ$44),W13)</f>
        <v>38.1387094828572</v>
      </c>
      <c r="Y9" s="13" t="n">
        <f aca="false">IF(Time!Y34=1,SUM(Funding!$J$44:$BJ$44),X13)</f>
        <v>37.7136071834051</v>
      </c>
      <c r="Z9" s="13" t="n">
        <f aca="false">IF(Time!Z34=1,SUM(Funding!$J$44:$BJ$44),Y13)</f>
        <v>37.9837522021192</v>
      </c>
      <c r="AA9" s="13" t="n">
        <f aca="false">IF(Time!AA34=1,SUM(Funding!$J$44:$BJ$44),Z13)</f>
        <v>37.6175484161408</v>
      </c>
      <c r="AB9" s="13" t="n">
        <f aca="false">IF(Time!AB34=1,SUM(Funding!$J$44:$BJ$44),AA13)</f>
        <v>38.0119521840663</v>
      </c>
      <c r="AC9" s="13" t="n">
        <f aca="false">IF(Time!AC34=1,SUM(Funding!$J$44:$BJ$44),AB13)</f>
        <v>37.1474297002348</v>
      </c>
      <c r="AD9" s="13" t="n">
        <f aca="false">IF(Time!AD34=1,SUM(Funding!$J$44:$BJ$44),AC13)</f>
        <v>37.6733539568001</v>
      </c>
      <c r="AE9" s="13" t="n">
        <f aca="false">IF(Time!AE34=1,SUM(Funding!$J$44:$BJ$44),AD13)</f>
        <v>36.8525031171836</v>
      </c>
      <c r="AF9" s="13" t="n">
        <f aca="false">IF(Time!AF34=1,SUM(Funding!$J$44:$BJ$44),AE13)</f>
        <v>35.8592987654913</v>
      </c>
      <c r="AG9" s="13" t="n">
        <f aca="false">IF(Time!AG34=1,SUM(Funding!$J$44:$BJ$44),AF13)</f>
        <v>34.3036490549679</v>
      </c>
      <c r="AH9" s="13" t="n">
        <f aca="false">IF(Time!AH34=1,SUM(Funding!$J$44:$BJ$44),AG13)</f>
        <v>33.2252778966708</v>
      </c>
      <c r="AI9" s="13" t="n">
        <f aca="false">IF(Time!AI34=1,SUM(Funding!$J$44:$BJ$44),AH13)</f>
        <v>31.274587528778</v>
      </c>
      <c r="AJ9" s="13" t="n">
        <f aca="false">IF(Time!AJ34=1,SUM(Funding!$J$44:$BJ$44),AI13)</f>
        <v>29.461754504768</v>
      </c>
      <c r="AK9" s="13" t="n">
        <f aca="false">IF(Time!AK34=1,SUM(Funding!$J$44:$BJ$44),AJ13)</f>
        <v>26.7240494743803</v>
      </c>
      <c r="AL9" s="13" t="n">
        <f aca="false">IF(Time!AL34=1,SUM(Funding!$J$44:$BJ$44),AK13)</f>
        <v>23.6931579806753</v>
      </c>
      <c r="AM9" s="13" t="n">
        <f aca="false">IF(Time!AM34=1,SUM(Funding!$J$44:$BJ$44),AL13)</f>
        <v>23.3984025110587</v>
      </c>
      <c r="AN9" s="13" t="n">
        <f aca="false">IF(Time!AN34=1,SUM(Funding!$J$44:$BJ$44),AM13)</f>
        <v>19.0235505071657</v>
      </c>
      <c r="AO9" s="13" t="n">
        <f aca="false">IF(Time!AO34=1,SUM(Funding!$J$44:$BJ$44),AN13)</f>
        <v>18.8521663535949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4.14272773503556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1.4158013375602</v>
      </c>
      <c r="Q11" s="13" t="n">
        <f aca="false">MIN(Waterfall!Q13,MAX(0,Debt!Q125-(Q9-Q10)))</f>
        <v>0.452731608514689</v>
      </c>
      <c r="R11" s="13" t="n">
        <f aca="false">MIN(Waterfall!R13,MAX(0,Debt!R125-(R9-R10)))</f>
        <v>0</v>
      </c>
      <c r="S11" s="13" t="n">
        <f aca="false">MIN(Waterfall!S13,MAX(0,Debt!S125-(S9-S10)))</f>
        <v>0.398327317379795</v>
      </c>
      <c r="T11" s="13" t="n">
        <f aca="false">MIN(Waterfall!T13,MAX(0,Debt!T125-(T9-T10)))</f>
        <v>0</v>
      </c>
      <c r="U11" s="13" t="n">
        <f aca="false">MIN(Waterfall!U13,MAX(0,Debt!U125-(U9-U10)))</f>
        <v>0.685394428374821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0.270145018714061</v>
      </c>
      <c r="Z11" s="13" t="n">
        <f aca="false">MIN(Waterfall!Z13,MAX(0,Debt!Z125-(Z9-Z10)))</f>
        <v>0</v>
      </c>
      <c r="AA11" s="13" t="n">
        <f aca="false">MIN(Waterfall!AA13,MAX(0,Debt!AA125-(AA9-AA10)))</f>
        <v>0.394403767925567</v>
      </c>
      <c r="AB11" s="13" t="n">
        <f aca="false">MIN(Waterfall!AB13,MAX(0,Debt!AB125-(AB9-AB10)))</f>
        <v>0</v>
      </c>
      <c r="AC11" s="13" t="n">
        <f aca="false">MIN(Waterfall!AC13,MAX(0,Debt!AC125-(AC9-AC10)))</f>
        <v>0.525924256565311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41.3886231721309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0.357022027375059</v>
      </c>
      <c r="S12" s="13" t="n">
        <f aca="false">MAX(0,S9-S10-Debt!S125)</f>
        <v>0</v>
      </c>
      <c r="T12" s="13" t="n">
        <f aca="false">MAX(0,T9-T10-Debt!T125)</f>
        <v>0.24046862851425</v>
      </c>
      <c r="U12" s="13" t="n">
        <f aca="false">MAX(0,U9-U10-Debt!U125)</f>
        <v>0</v>
      </c>
      <c r="V12" s="13" t="n">
        <f aca="false">MAX(0,V9-V10-Debt!V125)</f>
        <v>0.334940075525367</v>
      </c>
      <c r="W12" s="13" t="n">
        <f aca="false">MAX(0,W9-W10-Debt!W125)</f>
        <v>1.12700991465414</v>
      </c>
      <c r="X12" s="13" t="n">
        <f aca="false">MAX(0,X9-X10-Debt!X125)</f>
        <v>0.425102299452036</v>
      </c>
      <c r="Y12" s="13" t="n">
        <f aca="false">MAX(0,Y9-Y10-Debt!Y125)</f>
        <v>0</v>
      </c>
      <c r="Z12" s="13" t="n">
        <f aca="false">MAX(0,Z9-Z10-Debt!Z125)</f>
        <v>0.366203785978449</v>
      </c>
      <c r="AA12" s="13" t="n">
        <f aca="false">MAX(0,AA9-AA10-Debt!AA125)</f>
        <v>0</v>
      </c>
      <c r="AB12" s="13" t="n">
        <f aca="false">MAX(0,AB9-AB10-Debt!AB125)</f>
        <v>0.864522483831557</v>
      </c>
      <c r="AC12" s="13" t="n">
        <f aca="false">MAX(0,AC9-AC10-Debt!AC125)</f>
        <v>0</v>
      </c>
      <c r="AD12" s="13" t="n">
        <f aca="false">MAX(0,AD9-AD10-Debt!AD125)</f>
        <v>0.820850839616462</v>
      </c>
      <c r="AE12" s="13" t="n">
        <f aca="false">MAX(0,AE9-AE10-Debt!AE125)</f>
        <v>0.993204351692263</v>
      </c>
      <c r="AF12" s="13" t="n">
        <f aca="false">MAX(0,AF9-AF10-Debt!AF125)</f>
        <v>1.55564971052343</v>
      </c>
      <c r="AG12" s="13" t="n">
        <f aca="false">MAX(0,AG9-AG10-Debt!AG125)</f>
        <v>1.07837115829716</v>
      </c>
      <c r="AH12" s="13" t="n">
        <f aca="false">MAX(0,AH9-AH10-Debt!AH125)</f>
        <v>1.95069036789273</v>
      </c>
      <c r="AI12" s="13" t="n">
        <f aca="false">MAX(0,AI9-AI10-Debt!AI125)</f>
        <v>1.81283302400999</v>
      </c>
      <c r="AJ12" s="13" t="n">
        <f aca="false">MAX(0,AJ9-AJ10-Debt!AJ125)</f>
        <v>2.73770503038772</v>
      </c>
      <c r="AK12" s="13" t="n">
        <f aca="false">MAX(0,AK9-AK10-Debt!AK125)</f>
        <v>3.030891493705</v>
      </c>
      <c r="AL12" s="13" t="n">
        <f aca="false">MAX(0,AL9-AL10-Debt!AL125)</f>
        <v>0.2947554696166</v>
      </c>
      <c r="AM12" s="13" t="n">
        <f aca="false">MAX(0,AM9-AM10-Debt!AM125)</f>
        <v>4.37485200389301</v>
      </c>
      <c r="AN12" s="13" t="n">
        <f aca="false">MAX(0,AN9-AN10-Debt!AN125)</f>
        <v>0.171384153570834</v>
      </c>
      <c r="AO12" s="13" t="n">
        <f aca="false">MAX(0,AO9-AO10-Debt!AO125)</f>
        <v>18.8521663535949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38.6616967746567</v>
      </c>
      <c r="Q13" s="13" t="n">
        <f aca="false">(1-Time!Q37)*(Q9-Q10+Q11-Q12)</f>
        <v>39.1144283831714</v>
      </c>
      <c r="R13" s="13" t="n">
        <f aca="false">(1-Time!R37)*(R9-R10+R11-R12)</f>
        <v>38.7574063557963</v>
      </c>
      <c r="S13" s="13" t="n">
        <f aca="false">(1-Time!S37)*(S9-S10+S11-S12)</f>
        <v>39.1557336731761</v>
      </c>
      <c r="T13" s="13" t="n">
        <f aca="false">(1-Time!T37)*(T9-T10+T11-T12)</f>
        <v>38.9152650446619</v>
      </c>
      <c r="U13" s="13" t="n">
        <f aca="false">(1-Time!U37)*(U9-U10+U11-U12)</f>
        <v>39.6006594730367</v>
      </c>
      <c r="V13" s="13" t="n">
        <f aca="false">(1-Time!V37)*(V9-V10+V11-V12)</f>
        <v>39.2657193975113</v>
      </c>
      <c r="W13" s="13" t="n">
        <f aca="false">(1-Time!W37)*(W9-W10+W11-W12)</f>
        <v>38.1387094828572</v>
      </c>
      <c r="X13" s="13" t="n">
        <f aca="false">(1-Time!X37)*(X9-X10+X11-X12)</f>
        <v>37.7136071834051</v>
      </c>
      <c r="Y13" s="13" t="n">
        <f aca="false">(1-Time!Y37)*(Y9-Y10+Y11-Y12)</f>
        <v>37.9837522021192</v>
      </c>
      <c r="Z13" s="13" t="n">
        <f aca="false">(1-Time!Z37)*(Z9-Z10+Z11-Z12)</f>
        <v>37.6175484161408</v>
      </c>
      <c r="AA13" s="13" t="n">
        <f aca="false">(1-Time!AA37)*(AA9-AA10+AA11-AA12)</f>
        <v>38.0119521840663</v>
      </c>
      <c r="AB13" s="13" t="n">
        <f aca="false">(1-Time!AB37)*(AB9-AB10+AB11-AB12)</f>
        <v>37.1474297002348</v>
      </c>
      <c r="AC13" s="13" t="n">
        <f aca="false">(1-Time!AC37)*(AC9-AC10+AC11-AC12)</f>
        <v>37.6733539568001</v>
      </c>
      <c r="AD13" s="13" t="n">
        <f aca="false">(1-Time!AD37)*(AD9-AD10+AD11-AD12)</f>
        <v>36.8525031171836</v>
      </c>
      <c r="AE13" s="13" t="n">
        <f aca="false">(1-Time!AE37)*(AE9-AE10+AE11-AE12)</f>
        <v>35.8592987654913</v>
      </c>
      <c r="AF13" s="13" t="n">
        <f aca="false">(1-Time!AF37)*(AF9-AF10+AF11-AF12)</f>
        <v>34.3036490549679</v>
      </c>
      <c r="AG13" s="13" t="n">
        <f aca="false">(1-Time!AG37)*(AG9-AG10+AG11-AG12)</f>
        <v>33.2252778966708</v>
      </c>
      <c r="AH13" s="13" t="n">
        <f aca="false">(1-Time!AH37)*(AH9-AH10+AH11-AH12)</f>
        <v>31.274587528778</v>
      </c>
      <c r="AI13" s="13" t="n">
        <f aca="false">(1-Time!AI37)*(AI9-AI10+AI11-AI12)</f>
        <v>29.461754504768</v>
      </c>
      <c r="AJ13" s="13" t="n">
        <f aca="false">(1-Time!AJ37)*(AJ9-AJ10+AJ11-AJ12)</f>
        <v>26.7240494743803</v>
      </c>
      <c r="AK13" s="13" t="n">
        <f aca="false">(1-Time!AK37)*(AK9-AK10+AK11-AK12)</f>
        <v>23.6931579806753</v>
      </c>
      <c r="AL13" s="13" t="n">
        <f aca="false">(1-Time!AL37)*(AL9-AL10+AL11-AL12)</f>
        <v>23.3984025110587</v>
      </c>
      <c r="AM13" s="13" t="n">
        <f aca="false">(1-Time!AM37)*(AM9-AM10+AM11-AM12)</f>
        <v>19.0235505071657</v>
      </c>
      <c r="AN13" s="13" t="n">
        <f aca="false">(1-Time!AN37)*(AN9-AN10+AN11-AN12)</f>
        <v>18.8521663535949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2313.73546778171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49.391678835263</v>
      </c>
      <c r="AO7" s="13" t="n">
        <f aca="false">Operations!AO84-Tax!AO27-Operations!AO96-Reserves!AO7+Operations!AO79+Operations!AO97</f>
        <v>41.9876004260199</v>
      </c>
      <c r="AP7" s="13" t="n">
        <f aca="false">Operations!AP84-Tax!AP27-Operations!AP96-Reserves!AP7+Operations!AP79+Operations!AP97</f>
        <v>41.9557753672183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49.391678835263</v>
      </c>
      <c r="AO9" s="13" t="n">
        <f aca="false">AO7+AO8</f>
        <v>41.9876004260199</v>
      </c>
      <c r="AP9" s="13" t="n">
        <f aca="false">AP7+AP8</f>
        <v>41.9557753672183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870.677012700924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38.6616967746567</v>
      </c>
      <c r="R10" s="13" t="n">
        <f aca="false">Debt!R114+Debt!R110</f>
        <v>39.1144283831714</v>
      </c>
      <c r="S10" s="13" t="n">
        <f aca="false">Debt!S114+Debt!S110</f>
        <v>38.7574063557963</v>
      </c>
      <c r="T10" s="13" t="n">
        <f aca="false">Debt!T114+Debt!T110</f>
        <v>39.1557336731761</v>
      </c>
      <c r="U10" s="13" t="n">
        <f aca="false">Debt!U114+Debt!U110</f>
        <v>38.9152650446619</v>
      </c>
      <c r="V10" s="13" t="n">
        <f aca="false">Debt!V114+Debt!V110</f>
        <v>39.6006594730367</v>
      </c>
      <c r="W10" s="13" t="n">
        <f aca="false">Debt!W114+Debt!W110</f>
        <v>39.2657193975113</v>
      </c>
      <c r="X10" s="13" t="n">
        <f aca="false">Debt!X114+Debt!X110</f>
        <v>38.1387094828572</v>
      </c>
      <c r="Y10" s="13" t="n">
        <f aca="false">Debt!Y114+Debt!Y110</f>
        <v>37.7136071834051</v>
      </c>
      <c r="Z10" s="13" t="n">
        <f aca="false">Debt!Z114+Debt!Z110</f>
        <v>37.9837522021192</v>
      </c>
      <c r="AA10" s="13" t="n">
        <f aca="false">Debt!AA114+Debt!AA110</f>
        <v>37.6175484161408</v>
      </c>
      <c r="AB10" s="13" t="n">
        <f aca="false">Debt!AB114+Debt!AB110</f>
        <v>37.353358262077</v>
      </c>
      <c r="AC10" s="13" t="n">
        <f aca="false">Debt!AC114+Debt!AC110</f>
        <v>36.3362339167633</v>
      </c>
      <c r="AD10" s="13" t="n">
        <f aca="false">Debt!AD114+Debt!AD110</f>
        <v>36.8291842456158</v>
      </c>
      <c r="AE10" s="13" t="n">
        <f aca="false">Debt!AE114+Debt!AE110</f>
        <v>35.7674756331387</v>
      </c>
      <c r="AF10" s="13" t="n">
        <f aca="false">Debt!AF114+Debt!AF110</f>
        <v>34.5912068330709</v>
      </c>
      <c r="AG10" s="13" t="n">
        <f aca="false">Debt!AG114+Debt!AG110</f>
        <v>32.7772761899768</v>
      </c>
      <c r="AH10" s="13" t="n">
        <f aca="false">Debt!AH114+Debt!AH110</f>
        <v>31.4460618499791</v>
      </c>
      <c r="AI10" s="13" t="n">
        <f aca="false">Debt!AI114+Debt!AI110</f>
        <v>29.0324720005843</v>
      </c>
      <c r="AJ10" s="13" t="n">
        <f aca="false">Debt!AJ114+Debt!AJ110</f>
        <v>26.6699843097971</v>
      </c>
      <c r="AK10" s="13" t="n">
        <f aca="false">Debt!AK114+Debt!AK110</f>
        <v>22.9528264996932</v>
      </c>
      <c r="AL10" s="13" t="n">
        <f aca="false">Debt!AL114+Debt!AL110</f>
        <v>23.4763917647792</v>
      </c>
      <c r="AM10" s="13" t="n">
        <f aca="false">Debt!AM114+Debt!AM110</f>
        <v>23.3984025110587</v>
      </c>
      <c r="AN10" s="13" t="n">
        <f aca="false">Debt!AN114+Debt!AN110</f>
        <v>19.0235505071657</v>
      </c>
      <c r="AO10" s="13" t="n">
        <f aca="false">Debt!AO114+Debt!AO110</f>
        <v>18.8521663535949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11.5002754435334</v>
      </c>
      <c r="R13" s="13" t="n">
        <f aca="false">MAX(0,R9-R10)</f>
        <v>11.6790314898878</v>
      </c>
      <c r="S13" s="13" t="n">
        <f aca="false">MAX(0,S9-S10)</f>
        <v>11.642565512896</v>
      </c>
      <c r="T13" s="13" t="n">
        <f aca="false">MAX(0,T9-T10)</f>
        <v>11.8084103368041</v>
      </c>
      <c r="U13" s="13" t="n">
        <f aca="false">MAX(0,U9-U10)</f>
        <v>11.8051701782214</v>
      </c>
      <c r="V13" s="13" t="n">
        <f aca="false">MAX(0,V9-V10)</f>
        <v>12.0880328487457</v>
      </c>
      <c r="W13" s="13" t="n">
        <f aca="false">MAX(0,W9-W10)</f>
        <v>12.0656376306761</v>
      </c>
      <c r="X13" s="13" t="n">
        <f aca="false">MAX(0,X9-X10)</f>
        <v>11.7124638718253</v>
      </c>
      <c r="Y13" s="13" t="n">
        <f aca="false">MAX(0,Y9-Y10)</f>
        <v>11.6564220797333</v>
      </c>
      <c r="Z13" s="13" t="n">
        <f aca="false">MAX(0,Z9-Z10)</f>
        <v>11.7925879980341</v>
      </c>
      <c r="AA13" s="13" t="n">
        <f aca="false">MAX(0,AA9-AA10)</f>
        <v>11.7577395156526</v>
      </c>
      <c r="AB13" s="13" t="n">
        <f aca="false">MAX(0,AB9-AB10)</f>
        <v>12.603052394404</v>
      </c>
      <c r="AC13" s="13" t="n">
        <f aca="false">MAX(0,AC9-AC10)</f>
        <v>13.4152205259264</v>
      </c>
      <c r="AD13" s="13" t="n">
        <f aca="false">MAX(0,AD9-AD10)</f>
        <v>14.8333584371234</v>
      </c>
      <c r="AE13" s="13" t="n">
        <f aca="false">MAX(0,AE9-AE10)</f>
        <v>15.9783563045281</v>
      </c>
      <c r="AF13" s="13" t="n">
        <f aca="false">MAX(0,AF9-AF10)</f>
        <v>17.3154788197219</v>
      </c>
      <c r="AG13" s="13" t="n">
        <f aca="false">MAX(0,AG9-AG10)</f>
        <v>18.7620029619302</v>
      </c>
      <c r="AH13" s="13" t="n">
        <f aca="false">MAX(0,AH9-AH10)</f>
        <v>20.7626828282042</v>
      </c>
      <c r="AI13" s="13" t="n">
        <f aca="false">MAX(0,AI9-AI10)</f>
        <v>22.7687687499336</v>
      </c>
      <c r="AJ13" s="13" t="n">
        <f aca="false">MAX(0,AJ9-AJ10)</f>
        <v>25.7326139788415</v>
      </c>
      <c r="AK13" s="13" t="n">
        <f aca="false">MAX(0,AK9-AK10)</f>
        <v>29.2117064410824</v>
      </c>
      <c r="AL13" s="13" t="n">
        <f aca="false">MAX(0,AL9-AL10)</f>
        <v>29.7991842466397</v>
      </c>
      <c r="AM13" s="13" t="n">
        <f aca="false">MAX(0,AM9-AM10)</f>
        <v>29.5013025165507</v>
      </c>
      <c r="AN13" s="13" t="n">
        <f aca="false">MAX(0,AN9-AN10)</f>
        <v>30.3681283280973</v>
      </c>
      <c r="AO13" s="13" t="n">
        <f aca="false">MAX(0,AO9-AO10)</f>
        <v>23.135434072425</v>
      </c>
      <c r="AP13" s="13" t="n">
        <f aca="false">MAX(0,AP9-AP10)</f>
        <v>41.9557753672183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13.4925092677511</v>
      </c>
      <c r="Q14" s="13" t="n">
        <f aca="false">Q13-Reserves!Q11+Reserves!Q12</f>
        <v>11.0475438350187</v>
      </c>
      <c r="R14" s="13" t="n">
        <f aca="false">R13-Reserves!R11+Reserves!R12</f>
        <v>12.0360535172629</v>
      </c>
      <c r="S14" s="13" t="n">
        <f aca="false">S13-Reserves!S11+Reserves!S12</f>
        <v>11.2442381955162</v>
      </c>
      <c r="T14" s="13" t="n">
        <f aca="false">T13-Reserves!T11+Reserves!T12</f>
        <v>12.0488789653183</v>
      </c>
      <c r="U14" s="13" t="n">
        <f aca="false">U13-Reserves!U11+Reserves!U12</f>
        <v>11.1197757498465</v>
      </c>
      <c r="V14" s="13" t="n">
        <f aca="false">V13-Reserves!V11+Reserves!V12</f>
        <v>12.422972924271</v>
      </c>
      <c r="W14" s="13" t="n">
        <f aca="false">W13-Reserves!W11+Reserves!W12</f>
        <v>13.1926475453303</v>
      </c>
      <c r="X14" s="13" t="n">
        <f aca="false">X13-Reserves!X11+Reserves!X12</f>
        <v>12.1375661712774</v>
      </c>
      <c r="Y14" s="13" t="n">
        <f aca="false">Y13-Reserves!Y11+Reserves!Y12</f>
        <v>11.3862770610192</v>
      </c>
      <c r="Z14" s="13" t="n">
        <f aca="false">Z13-Reserves!Z11+Reserves!Z12</f>
        <v>12.1587917840126</v>
      </c>
      <c r="AA14" s="13" t="n">
        <f aca="false">AA13-Reserves!AA11+Reserves!AA12</f>
        <v>11.363335747727</v>
      </c>
      <c r="AB14" s="13" t="n">
        <f aca="false">AB13-Reserves!AB11+Reserves!AB12</f>
        <v>13.4675748782355</v>
      </c>
      <c r="AC14" s="13" t="n">
        <f aca="false">AC13-Reserves!AC11+Reserves!AC12</f>
        <v>12.8892962693611</v>
      </c>
      <c r="AD14" s="13" t="n">
        <f aca="false">AD13-Reserves!AD11+Reserves!AD12</f>
        <v>15.6542092767398</v>
      </c>
      <c r="AE14" s="13" t="n">
        <f aca="false">AE13-Reserves!AE11+Reserves!AE12</f>
        <v>16.9715606562204</v>
      </c>
      <c r="AF14" s="13" t="n">
        <f aca="false">AF13-Reserves!AF11+Reserves!AF12</f>
        <v>18.8711285302454</v>
      </c>
      <c r="AG14" s="13" t="n">
        <f aca="false">AG13-Reserves!AG11+Reserves!AG12</f>
        <v>19.8403741202273</v>
      </c>
      <c r="AH14" s="13" t="n">
        <f aca="false">AH13-Reserves!AH11+Reserves!AH12</f>
        <v>22.713373196097</v>
      </c>
      <c r="AI14" s="13" t="n">
        <f aca="false">AI13-Reserves!AI11+Reserves!AI12</f>
        <v>24.5816017739436</v>
      </c>
      <c r="AJ14" s="13" t="n">
        <f aca="false">AJ13-Reserves!AJ11+Reserves!AJ12</f>
        <v>28.4703190092292</v>
      </c>
      <c r="AK14" s="13" t="n">
        <f aca="false">AK13-Reserves!AK11+Reserves!AK12</f>
        <v>32.2425979347874</v>
      </c>
      <c r="AL14" s="13" t="n">
        <f aca="false">AL13-Reserves!AL11+Reserves!AL12</f>
        <v>30.0939397162563</v>
      </c>
      <c r="AM14" s="13" t="n">
        <f aca="false">AM13-Reserves!AM11+Reserves!AM12</f>
        <v>33.8761545204437</v>
      </c>
      <c r="AN14" s="13" t="n">
        <f aca="false">AN13-Reserves!AN11+Reserves!AN12</f>
        <v>30.5395124816682</v>
      </c>
      <c r="AO14" s="13" t="n">
        <f aca="false">AO13-Reserves!AO11+Reserves!AO12</f>
        <v>41.9876004260199</v>
      </c>
      <c r="AP14" s="13" t="n">
        <f aca="false">AP13-Reserves!AP11+Reserves!AP12</f>
        <v>41.9557753672183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13.4925092677511</v>
      </c>
      <c r="Q15" s="13" t="n">
        <f aca="false">Q14-Reserves!Q14+Reserves!Q15</f>
        <v>11.0475438350187</v>
      </c>
      <c r="R15" s="13" t="n">
        <f aca="false">R14-Reserves!R14+Reserves!R15</f>
        <v>12.0360535172629</v>
      </c>
      <c r="S15" s="13" t="n">
        <f aca="false">S14-Reserves!S14+Reserves!S15</f>
        <v>11.2442381955162</v>
      </c>
      <c r="T15" s="13" t="n">
        <f aca="false">T14-Reserves!T14+Reserves!T15</f>
        <v>12.0488789653183</v>
      </c>
      <c r="U15" s="13" t="n">
        <f aca="false">U14-Reserves!U14+Reserves!U15</f>
        <v>11.1197757498465</v>
      </c>
      <c r="V15" s="13" t="n">
        <f aca="false">V14-Reserves!V14+Reserves!V15</f>
        <v>12.422972924271</v>
      </c>
      <c r="W15" s="13" t="n">
        <f aca="false">W14-Reserves!W14+Reserves!W15</f>
        <v>13.1926475453303</v>
      </c>
      <c r="X15" s="13" t="n">
        <f aca="false">X14-Reserves!X14+Reserves!X15</f>
        <v>12.1375661712774</v>
      </c>
      <c r="Y15" s="13" t="n">
        <f aca="false">Y14-Reserves!Y14+Reserves!Y15</f>
        <v>11.3862770610192</v>
      </c>
      <c r="Z15" s="13" t="n">
        <f aca="false">Z14-Reserves!Z14+Reserves!Z15</f>
        <v>12.1587917840126</v>
      </c>
      <c r="AA15" s="13" t="n">
        <f aca="false">AA14-Reserves!AA14+Reserves!AA15</f>
        <v>11.363335747727</v>
      </c>
      <c r="AB15" s="13" t="n">
        <f aca="false">AB14-Reserves!AB14+Reserves!AB15</f>
        <v>13.4675748782355</v>
      </c>
      <c r="AC15" s="13" t="n">
        <f aca="false">AC14-Reserves!AC14+Reserves!AC15</f>
        <v>12.8892962693611</v>
      </c>
      <c r="AD15" s="13" t="n">
        <f aca="false">AD14-Reserves!AD14+Reserves!AD15</f>
        <v>15.6542092767398</v>
      </c>
      <c r="AE15" s="13" t="n">
        <f aca="false">AE14-Reserves!AE14+Reserves!AE15</f>
        <v>16.9715606562204</v>
      </c>
      <c r="AF15" s="13" t="n">
        <f aca="false">AF14-Reserves!AF14+Reserves!AF15</f>
        <v>18.8711285302454</v>
      </c>
      <c r="AG15" s="13" t="n">
        <f aca="false">AG14-Reserves!AG14+Reserves!AG15</f>
        <v>19.8403741202273</v>
      </c>
      <c r="AH15" s="13" t="n">
        <f aca="false">AH14-Reserves!AH14+Reserves!AH15</f>
        <v>22.713373196097</v>
      </c>
      <c r="AI15" s="13" t="n">
        <f aca="false">AI14-Reserves!AI14+Reserves!AI15</f>
        <v>24.5816017739436</v>
      </c>
      <c r="AJ15" s="13" t="n">
        <f aca="false">AJ14-Reserves!AJ14+Reserves!AJ15</f>
        <v>28.4703190092292</v>
      </c>
      <c r="AK15" s="13" t="n">
        <f aca="false">AK14-Reserves!AK14+Reserves!AK15</f>
        <v>32.2425979347874</v>
      </c>
      <c r="AL15" s="13" t="n">
        <f aca="false">AL14-Reserves!AL14+Reserves!AL15</f>
        <v>30.0939397162563</v>
      </c>
      <c r="AM15" s="13" t="n">
        <f aca="false">AM14-Reserves!AM14+Reserves!AM15</f>
        <v>33.8761545204437</v>
      </c>
      <c r="AN15" s="13" t="n">
        <f aca="false">AN14-Reserves!AN14+Reserves!AN15</f>
        <v>30.5395124816682</v>
      </c>
      <c r="AO15" s="13" t="n">
        <f aca="false">AO14-Reserves!AO14+Reserves!AO15</f>
        <v>41.9876004260199</v>
      </c>
      <c r="AP15" s="13" t="n">
        <f aca="false">AP14-Reserves!AP14+Reserves!AP15</f>
        <v>41.9557753672183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1.35000000012097</v>
      </c>
      <c r="Q17" s="3" t="n">
        <f aca="false">IF(Debt!Q114&gt;Inputs!$F$253,Q7/Debt!Q114,0)</f>
        <v>1.29745914957028</v>
      </c>
      <c r="R17" s="3" t="n">
        <f aca="false">IF(Debt!R114&gt;Inputs!$F$253,R7/Debt!R114,0)</f>
        <v>1.2985862755165</v>
      </c>
      <c r="S17" s="3" t="n">
        <f aca="false">IF(Debt!S114&gt;Inputs!$F$253,S7/Debt!S114,0)</f>
        <v>1.30039588836302</v>
      </c>
      <c r="T17" s="3" t="n">
        <f aca="false">IF(Debt!T114&gt;Inputs!$F$253,T7/Debt!T114,0)</f>
        <v>1.30157550961415</v>
      </c>
      <c r="U17" s="3" t="n">
        <f aca="false">IF(Debt!U114&gt;Inputs!$F$253,U7/Debt!U114,0)</f>
        <v>1.30335576963623</v>
      </c>
      <c r="V17" s="3" t="n">
        <f aca="false">IF(Debt!V114&gt;Inputs!$F$253,V7/Debt!V114,0)</f>
        <v>1.3052482713571</v>
      </c>
      <c r="W17" s="3" t="n">
        <f aca="false">IF(Debt!W114&gt;Inputs!$F$253,W7/Debt!W114,0)</f>
        <v>1.30728171585316</v>
      </c>
      <c r="X17" s="3" t="n">
        <f aca="false">IF(Debt!X114&gt;Inputs!$F$253,X7/Debt!X114,0)</f>
        <v>1.30710173549763</v>
      </c>
      <c r="Y17" s="3" t="n">
        <f aca="false">IF(Debt!Y114&gt;Inputs!$F$253,Y7/Debt!Y114,0)</f>
        <v>1.30907735828734</v>
      </c>
      <c r="Z17" s="3" t="n">
        <f aca="false">IF(Debt!Z114&gt;Inputs!$F$253,Z7/Debt!Z114,0)</f>
        <v>1.31046400932913</v>
      </c>
      <c r="AA17" s="3" t="n">
        <f aca="false">IF(Debt!AA114&gt;Inputs!$F$253,AA7/Debt!AA114,0)</f>
        <v>1.31255996232353</v>
      </c>
      <c r="AB17" s="3" t="n">
        <f aca="false">IF(Debt!AB114&gt;Inputs!$F$253,AB7/Debt!AB114,0)</f>
        <v>1.33740078484989</v>
      </c>
      <c r="AC17" s="3" t="n">
        <f aca="false">IF(Debt!AC114&gt;Inputs!$F$253,AC7/Debt!AC114,0)</f>
        <v>1.3691967790789</v>
      </c>
      <c r="AD17" s="3" t="n">
        <f aca="false">IF(Debt!AD114&gt;Inputs!$F$253,AD7/Debt!AD114,0)</f>
        <v>1.40276098265438</v>
      </c>
      <c r="AE17" s="3" t="n">
        <f aca="false">IF(Debt!AE114&gt;Inputs!$F$253,AE7/Debt!AE114,0)</f>
        <v>1.44672865562042</v>
      </c>
      <c r="AF17" s="3" t="n">
        <f aca="false">IF(Debt!AF114&gt;Inputs!$F$253,AF7/Debt!AF114,0)</f>
        <v>1.5005745796405</v>
      </c>
      <c r="AG17" s="3" t="n">
        <f aca="false">IF(Debt!AG114&gt;Inputs!$F$253,AG7/Debt!AG114,0)</f>
        <v>1.57240884975267</v>
      </c>
      <c r="AH17" s="3" t="n">
        <f aca="false">IF(Debt!AH114&gt;Inputs!$F$253,AH7/Debt!AH114,0)</f>
        <v>1.66026337184152</v>
      </c>
      <c r="AI17" s="3" t="n">
        <f aca="false">IF(Debt!AI114&gt;Inputs!$F$253,AI7/Debt!AI114,0)</f>
        <v>1.78425181119525</v>
      </c>
      <c r="AJ17" s="3" t="n">
        <f aca="false">IF(Debt!AJ114&gt;Inputs!$F$253,AJ7/Debt!AJ114,0)</f>
        <v>1.96485298528611</v>
      </c>
      <c r="AK17" s="3" t="n">
        <f aca="false">IF(Debt!AK114&gt;Inputs!$F$253,AK7/Debt!AK114,0)</f>
        <v>2.27268449667726</v>
      </c>
      <c r="AL17" s="3" t="n">
        <f aca="false">IF(Debt!AL114&gt;Inputs!$F$253,AL7/Debt!AL114,0)</f>
        <v>2.26932556524067</v>
      </c>
      <c r="AM17" s="3" t="n">
        <f aca="false">IF(Debt!AM114&gt;Inputs!$F$253,AM7/Debt!AM114,0)</f>
        <v>2.26082549877529</v>
      </c>
      <c r="AN17" s="3" t="n">
        <f aca="false">IF(Debt!AN114&gt;Inputs!$F$253,AN7/Debt!AN114,0)</f>
        <v>2.59634387474927</v>
      </c>
      <c r="AO17" s="3" t="n">
        <f aca="false">IF(Debt!AO114&gt;Inputs!$F$253,AO7/Debt!AO114,0)</f>
        <v>2.22720294519433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1.35000000012097</v>
      </c>
      <c r="Q18" s="3" t="n">
        <f aca="false">IF(Debt!Q114&gt;Inputs!$F$253,IF(Debt!P114&gt;Inputs!$F$253,(Q7+P7)/(Debt!Q114+Debt!P114),Q17),0)</f>
        <v>1.32323958824271</v>
      </c>
      <c r="R18" s="3" t="n">
        <f aca="false">IF(Debt!R114&gt;Inputs!$F$253,IF(Debt!Q114&gt;Inputs!$F$253,(R7+Q7)/(Debt!R114+Debt!Q114),R17),0)</f>
        <v>1.29802599302015</v>
      </c>
      <c r="S18" s="3" t="n">
        <f aca="false">IF(Debt!S114&gt;Inputs!$F$253,IF(Debt!R114&gt;Inputs!$F$253,(S7+R7)/(Debt!S114+Debt!R114),S17),0)</f>
        <v>1.29948693363858</v>
      </c>
      <c r="T18" s="3" t="n">
        <f aca="false">IF(Debt!T114&gt;Inputs!$F$253,IF(Debt!S114&gt;Inputs!$F$253,(T7+S7)/(Debt!T114+Debt!S114),T17),0)</f>
        <v>1.30098871436807</v>
      </c>
      <c r="U18" s="3" t="n">
        <f aca="false">IF(Debt!U114&gt;Inputs!$F$253,IF(Debt!T114&gt;Inputs!$F$253,(U7+T7)/(Debt!U114+Debt!T114),U17),0)</f>
        <v>1.30246289791128</v>
      </c>
      <c r="V18" s="3" t="n">
        <f aca="false">IF(Debt!V114&gt;Inputs!$F$253,IF(Debt!U114&gt;Inputs!$F$253,(V7+U7)/(Debt!V114+Debt!U114),V17),0)</f>
        <v>1.304310280669</v>
      </c>
      <c r="W18" s="3" t="n">
        <f aca="false">IF(Debt!W114&gt;Inputs!$F$253,IF(Debt!V114&gt;Inputs!$F$253,(W7+V7)/(Debt!W114+Debt!V114),W17),0)</f>
        <v>1.30626067565582</v>
      </c>
      <c r="X18" s="3" t="n">
        <f aca="false">IF(Debt!X114&gt;Inputs!$F$253,IF(Debt!W114&gt;Inputs!$F$253,(X7+W7)/(Debt!X114+Debt!W114),X17),0)</f>
        <v>1.30719303593405</v>
      </c>
      <c r="Y18" s="3" t="n">
        <f aca="false">IF(Debt!Y114&gt;Inputs!$F$253,IF(Debt!X114&gt;Inputs!$F$253,(Y7+X7)/(Debt!Y114+Debt!X114),Y17),0)</f>
        <v>1.30808401085992</v>
      </c>
      <c r="Z18" s="3" t="n">
        <f aca="false">IF(Debt!Z114&gt;Inputs!$F$253,IF(Debt!Y114&gt;Inputs!$F$253,(Z7+Y7)/(Debt!Z114+Debt!Y114),Z17),0)</f>
        <v>1.30977315811431</v>
      </c>
      <c r="AA18" s="3" t="n">
        <f aca="false">IF(Debt!AA114&gt;Inputs!$F$253,IF(Debt!Z114&gt;Inputs!$F$253,(AA7+Z7)/(Debt!AA114+Debt!Z114),AA17),0)</f>
        <v>1.31150690955175</v>
      </c>
      <c r="AB18" s="3" t="n">
        <f aca="false">IF(Debt!AB114&gt;Inputs!$F$253,IF(Debt!AA114&gt;Inputs!$F$253,(AB7+AA7)/(Debt!AB114+Debt!AA114),AB17),0)</f>
        <v>1.3249366052703</v>
      </c>
      <c r="AC18" s="3" t="n">
        <f aca="false">IF(Debt!AC114&gt;Inputs!$F$253,IF(Debt!AB114&gt;Inputs!$F$253,(AC7+AB7)/(Debt!AC114+Debt!AB114),AC17),0)</f>
        <v>1.35307934473549</v>
      </c>
      <c r="AD18" s="3" t="n">
        <f aca="false">IF(Debt!AD114&gt;Inputs!$F$253,IF(Debt!AC114&gt;Inputs!$F$253,(AD7+AC7)/(Debt!AD114+Debt!AC114),AD17),0)</f>
        <v>1.386091949893</v>
      </c>
      <c r="AE18" s="3" t="n">
        <f aca="false">IF(Debt!AE114&gt;Inputs!$F$253,IF(Debt!AD114&gt;Inputs!$F$253,(AE7+AD7)/(Debt!AE114+Debt!AD114),AE17),0)</f>
        <v>1.42442331083979</v>
      </c>
      <c r="AF18" s="3" t="n">
        <f aca="false">IF(Debt!AF114&gt;Inputs!$F$253,IF(Debt!AE114&gt;Inputs!$F$253,(AF7+AE7)/(Debt!AF114+Debt!AE114),AF17),0)</f>
        <v>1.47320151482711</v>
      </c>
      <c r="AG18" s="3" t="n">
        <f aca="false">IF(Debt!AG114&gt;Inputs!$F$253,IF(Debt!AF114&gt;Inputs!$F$253,(AG7+AF7)/(Debt!AG114+Debt!AF114),AG17),0)</f>
        <v>1.53552462758156</v>
      </c>
      <c r="AH18" s="3" t="n">
        <f aca="false">IF(Debt!AH114&gt;Inputs!$F$253,IF(Debt!AG114&gt;Inputs!$F$253,(AH7+AG7)/(Debt!AH114+Debt!AG114),AH17),0)</f>
        <v>1.61542559132545</v>
      </c>
      <c r="AI18" s="3" t="n">
        <f aca="false">IF(Debt!AI114&gt;Inputs!$F$253,IF(Debt!AH114&gt;Inputs!$F$253,(AI7+AH7)/(Debt!AI114+Debt!AH114),AI17),0)</f>
        <v>1.71978351336525</v>
      </c>
      <c r="AJ18" s="3" t="n">
        <f aca="false">IF(Debt!AJ114&gt;Inputs!$F$253,IF(Debt!AI114&gt;Inputs!$F$253,(AJ7+AI7)/(Debt!AJ114+Debt!AI114),AJ17),0)</f>
        <v>1.87072251281917</v>
      </c>
      <c r="AK18" s="3" t="n">
        <f aca="false">IF(Debt!AK114&gt;Inputs!$F$253,IF(Debt!AJ114&gt;Inputs!$F$253,(AK7+AJ7)/(Debt!AK114+Debt!AJ114),AK17),0)</f>
        <v>2.10723918140921</v>
      </c>
      <c r="AL18" s="3" t="n">
        <f aca="false">IF(Debt!AL114&gt;Inputs!$F$253,IF(Debt!AK114&gt;Inputs!$F$253,(AL7+AK7)/(Debt!AL114+Debt!AK114),AL17),0)</f>
        <v>2.27098609224005</v>
      </c>
      <c r="AM18" s="3" t="n">
        <f aca="false">IF(Debt!AM114&gt;Inputs!$F$253,IF(Debt!AL114&gt;Inputs!$F$253,(AM7+AL7)/(Debt!AM114+Debt!AL114),AM17),0)</f>
        <v>2.26508260311998</v>
      </c>
      <c r="AN18" s="3" t="n">
        <f aca="false">IF(Debt!AN114&gt;Inputs!$F$253,IF(Debt!AM114&gt;Inputs!$F$253,(AN7+AM7)/(Debt!AN114+Debt!AM114),AN17),0)</f>
        <v>2.4112841721108</v>
      </c>
      <c r="AO18" s="3" t="n">
        <f aca="false">IF(Debt!AO114&gt;Inputs!$F$253,IF(Debt!AN114&gt;Inputs!$F$253,(AO7+AN7)/(Debt!AO114+Debt!AN114),AO17),0)</f>
        <v>2.41260857443869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93.0638003635155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5.6816678738635</v>
      </c>
      <c r="AB29" s="13" t="n">
        <f aca="false">IF(AND(AB24=1,Time!AB52=1,Inputs!$F$52=1),MIN(Inputs!$F$111*AB15,Debt!AB73),0)</f>
        <v>6.73378743911777</v>
      </c>
      <c r="AC29" s="13" t="n">
        <f aca="false">IF(AND(AC24=1,Time!AC52=1,Inputs!$F$52=1),MIN(Inputs!$F$111*AC15,Debt!AC73),0)</f>
        <v>6.44464813468057</v>
      </c>
      <c r="AD29" s="13" t="n">
        <f aca="false">IF(AND(AD24=1,Time!AD52=1,Inputs!$F$52=1),MIN(Inputs!$F$111*AD15,Debt!AD73),0)</f>
        <v>7.82710463836991</v>
      </c>
      <c r="AE29" s="13" t="n">
        <f aca="false">IF(AND(AE24=1,Time!AE52=1,Inputs!$F$52=1),MIN(Inputs!$F$111*AE15,Debt!AE73),0)</f>
        <v>8.48578032811019</v>
      </c>
      <c r="AF29" s="13" t="n">
        <f aca="false">IF(AND(AF24=1,Time!AF52=1,Inputs!$F$52=1),MIN(Inputs!$F$111*AF15,Debt!AF73),0)</f>
        <v>9.43556426512269</v>
      </c>
      <c r="AG29" s="13" t="n">
        <f aca="false">IF(AND(AG24=1,Time!AG52=1,Inputs!$F$52=1),MIN(Inputs!$F$111*AG15,Debt!AG73),0)</f>
        <v>9.92018706011367</v>
      </c>
      <c r="AH29" s="13" t="n">
        <f aca="false">IF(AND(AH24=1,Time!AH52=1,Inputs!$F$52=1),MIN(Inputs!$F$111*AH15,Debt!AH73),0)</f>
        <v>11.3566865980485</v>
      </c>
      <c r="AI29" s="13" t="n">
        <f aca="false">IF(AND(AI24=1,Time!AI52=1,Inputs!$F$52=1),MIN(Inputs!$F$111*AI15,Debt!AI73),0)</f>
        <v>12.2908008869718</v>
      </c>
      <c r="AJ29" s="13" t="n">
        <f aca="false">IF(AND(AJ24=1,Time!AJ52=1,Inputs!$F$52=1),MIN(Inputs!$F$111*AJ15,Debt!AJ73),0)</f>
        <v>14.2351595046146</v>
      </c>
      <c r="AK29" s="13" t="n">
        <f aca="false">IF(AND(AK24=1,Time!AK52=1,Inputs!$F$52=1),MIN(Inputs!$F$111*AK15,Debt!AK73),0)</f>
        <v>0.652413634502291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1387.24055015437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13.4925092677511</v>
      </c>
      <c r="Q31" s="13" t="n">
        <f aca="false">IF(Q24=1,Q15-Q29,0)</f>
        <v>11.0475438350187</v>
      </c>
      <c r="R31" s="13" t="n">
        <f aca="false">IF(R24=1,R15-R29,0)</f>
        <v>12.0360535172629</v>
      </c>
      <c r="S31" s="13" t="n">
        <f aca="false">IF(S24=1,S15-S29,0)</f>
        <v>11.2442381955162</v>
      </c>
      <c r="T31" s="13" t="n">
        <f aca="false">IF(T24=1,T15-T29,0)</f>
        <v>12.0488789653183</v>
      </c>
      <c r="U31" s="13" t="n">
        <f aca="false">IF(U24=1,U15-U29,0)</f>
        <v>11.1197757498465</v>
      </c>
      <c r="V31" s="13" t="n">
        <f aca="false">IF(V24=1,V15-V29,0)</f>
        <v>12.422972924271</v>
      </c>
      <c r="W31" s="13" t="n">
        <f aca="false">IF(W24=1,W15-W29,0)</f>
        <v>13.1926475453303</v>
      </c>
      <c r="X31" s="13" t="n">
        <f aca="false">IF(X24=1,X15-X29,0)</f>
        <v>12.1375661712774</v>
      </c>
      <c r="Y31" s="13" t="n">
        <f aca="false">IF(Y24=1,Y15-Y29,0)</f>
        <v>11.3862770610192</v>
      </c>
      <c r="Z31" s="13" t="n">
        <f aca="false">IF(Z24=1,Z15-Z29,0)</f>
        <v>12.1587917840126</v>
      </c>
      <c r="AA31" s="13" t="n">
        <f aca="false">IF(AA24=1,AA15-AA29,0)</f>
        <v>5.6816678738635</v>
      </c>
      <c r="AB31" s="13" t="n">
        <f aca="false">IF(AB24=1,AB15-AB29,0)</f>
        <v>6.73378743911777</v>
      </c>
      <c r="AC31" s="13" t="n">
        <f aca="false">IF(AC24=1,AC15-AC29,0)</f>
        <v>6.44464813468057</v>
      </c>
      <c r="AD31" s="13" t="n">
        <f aca="false">IF(AD24=1,AD15-AD29,0)</f>
        <v>7.82710463836991</v>
      </c>
      <c r="AE31" s="13" t="n">
        <f aca="false">IF(AE24=1,AE15-AE29,0)</f>
        <v>8.48578032811019</v>
      </c>
      <c r="AF31" s="13" t="n">
        <f aca="false">IF(AF24=1,AF15-AF29,0)</f>
        <v>9.43556426512269</v>
      </c>
      <c r="AG31" s="13" t="n">
        <f aca="false">IF(AG24=1,AG15-AG29,0)</f>
        <v>9.92018706011367</v>
      </c>
      <c r="AH31" s="13" t="n">
        <f aca="false">IF(AH24=1,AH15-AH29,0)</f>
        <v>11.3566865980485</v>
      </c>
      <c r="AI31" s="13" t="n">
        <f aca="false">IF(AI24=1,AI15-AI29,0)</f>
        <v>12.2908008869718</v>
      </c>
      <c r="AJ31" s="13" t="n">
        <f aca="false">IF(AJ24=1,AJ15-AJ29,0)</f>
        <v>14.2351595046146</v>
      </c>
      <c r="AK31" s="13" t="n">
        <f aca="false">IF(AK24=1,AK15-AK29,0)</f>
        <v>31.5901843002851</v>
      </c>
      <c r="AL31" s="13" t="n">
        <f aca="false">IF(AL24=1,AL15-AL29,0)</f>
        <v>30.0939397162563</v>
      </c>
      <c r="AM31" s="13" t="n">
        <f aca="false">IF(AM24=1,AM15-AM29,0)</f>
        <v>33.8761545204437</v>
      </c>
      <c r="AN31" s="13" t="n">
        <f aca="false">IF(AN24=1,AN15-AN29,0)</f>
        <v>30.5395124816682</v>
      </c>
      <c r="AO31" s="13" t="n">
        <f aca="false">IF(AO24=1,AO15-AO29,0)</f>
        <v>41.9876004260199</v>
      </c>
      <c r="AP31" s="13" t="n">
        <f aca="false">IF(AP24=1,AP15-AP29,0)</f>
        <v>41.9557753672183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201.179800013038</v>
      </c>
      <c r="R33" s="13" t="n">
        <f aca="false">IF(Time!R20&lt;Time!$F$12,0,IF(Time!R34=1,INDEX(Funding!$J$72:$BJ$72,1,Time!$F$14),Q36))</f>
        <v>199.609753880003</v>
      </c>
      <c r="S33" s="13" t="n">
        <f aca="false">IF(Time!S20&lt;Time!$F$12,0,IF(Time!S34=1,INDEX(Funding!$J$72:$BJ$72,1,Time!$F$14),R36))</f>
        <v>197.133093507459</v>
      </c>
      <c r="T33" s="13" t="n">
        <f aca="false">IF(Time!T20&lt;Time!$F$12,0,IF(Time!T34=1,INDEX(Funding!$J$72:$BJ$72,1,Time!$F$14),S36))</f>
        <v>195.17571433348</v>
      </c>
      <c r="U33" s="13" t="n">
        <f aca="false">IF(Time!U20&lt;Time!$F$12,0,IF(Time!U34=1,INDEX(Funding!$J$72:$BJ$72,1,Time!$F$14),T36))</f>
        <v>192.473880536789</v>
      </c>
      <c r="V33" s="13" t="n">
        <f aca="false">IF(Time!V20&lt;Time!$F$12,0,IF(Time!V34=1,INDEX(Funding!$J$72:$BJ$72,1,Time!$F$14),U36))</f>
        <v>190.471566141685</v>
      </c>
      <c r="W33" s="13" t="n">
        <f aca="false">IF(Time!W20&lt;Time!$F$12,0,IF(Time!W34=1,INDEX(Funding!$J$72:$BJ$72,1,Time!$F$14),V36))</f>
        <v>187.170354795926</v>
      </c>
      <c r="X33" s="13" t="n">
        <f aca="false">IF(Time!X20&lt;Time!$F$12,0,IF(Time!X34=1,INDEX(Funding!$J$72:$BJ$72,1,Time!$F$14),W36))</f>
        <v>182.795225745708</v>
      </c>
      <c r="Y33" s="13" t="n">
        <f aca="false">IF(Time!Y20&lt;Time!$F$12,0,IF(Time!Y34=1,INDEX(Funding!$J$72:$BJ$72,1,Time!$F$14),X36))</f>
        <v>179.411798056718</v>
      </c>
      <c r="Z33" s="13" t="n">
        <f aca="false">IF(Time!Z20&lt;Time!$F$12,0,IF(Time!Z34=1,INDEX(Funding!$J$72:$BJ$72,1,Time!$F$14),Y36))</f>
        <v>176.477537071275</v>
      </c>
      <c r="AA33" s="13" t="n">
        <f aca="false">IF(Time!AA20&lt;Time!$F$12,0,IF(Time!AA34=1,INDEX(Funding!$J$72:$BJ$72,1,Time!$F$14),Z36))</f>
        <v>172.770327062621</v>
      </c>
      <c r="AB33" s="13" t="n">
        <f aca="false">IF(Time!AB20&lt;Time!$F$12,0,IF(Time!AB34=1,INDEX(Funding!$J$72:$BJ$72,1,Time!$F$14),AA36))</f>
        <v>175.227798295173</v>
      </c>
      <c r="AC33" s="13" t="n">
        <f aca="false">IF(Time!AC20&lt;Time!$F$12,0,IF(Time!AC34=1,INDEX(Funding!$J$72:$BJ$72,1,Time!$F$14),AB36))</f>
        <v>176.885742127835</v>
      </c>
      <c r="AD33" s="13" t="n">
        <f aca="false">IF(Time!AD20&lt;Time!$F$12,0,IF(Time!AD34=1,INDEX(Funding!$J$72:$BJ$72,1,Time!$F$14),AC36))</f>
        <v>178.820147366827</v>
      </c>
      <c r="AE33" s="13" t="n">
        <f aca="false">IF(Time!AE20&lt;Time!$F$12,0,IF(Time!AE34=1,INDEX(Funding!$J$72:$BJ$72,1,Time!$F$14),AD36))</f>
        <v>179.556813073586</v>
      </c>
      <c r="AF33" s="13" t="n">
        <f aca="false">IF(Time!AF20&lt;Time!$F$12,0,IF(Time!AF34=1,INDEX(Funding!$J$72:$BJ$72,1,Time!$F$14),AE36))</f>
        <v>179.529880418901</v>
      </c>
      <c r="AG33" s="13" t="n">
        <f aca="false">IF(Time!AG20&lt;Time!$F$12,0,IF(Time!AG34=1,INDEX(Funding!$J$72:$BJ$72,1,Time!$F$14),AF36))</f>
        <v>178.692075906442</v>
      </c>
      <c r="AH33" s="13" t="n">
        <f aca="false">IF(Time!AH20&lt;Time!$F$12,0,IF(Time!AH34=1,INDEX(Funding!$J$72:$BJ$72,1,Time!$F$14),AG36))</f>
        <v>177.189999107182</v>
      </c>
      <c r="AI33" s="13" t="n">
        <f aca="false">IF(Time!AI20&lt;Time!$F$12,0,IF(Time!AI34=1,INDEX(Funding!$J$72:$BJ$72,1,Time!$F$14),AH36))</f>
        <v>174.319014384184</v>
      </c>
      <c r="AJ33" s="13" t="n">
        <f aca="false">IF(Time!AJ20&lt;Time!$F$12,0,IF(Time!AJ34=1,INDEX(Funding!$J$72:$BJ$72,1,Time!$F$14),AI36))</f>
        <v>170.2403106269</v>
      </c>
      <c r="AK33" s="13" t="n">
        <f aca="false">IF(Time!AK20&lt;Time!$F$12,0,IF(Time!AK34=1,INDEX(Funding!$J$72:$BJ$72,1,Time!$F$14),AJ36))</f>
        <v>164.158029559979</v>
      </c>
      <c r="AL33" s="13" t="n">
        <f aca="false">IF(Time!AL20&lt;Time!$F$12,0,IF(Time!AL34=1,INDEX(Funding!$J$72:$BJ$72,1,Time!$F$14),AK36))</f>
        <v>140.343988632549</v>
      </c>
      <c r="AM33" s="13" t="n">
        <f aca="false">IF(Time!AM20&lt;Time!$F$12,0,IF(Time!AM34=1,INDEX(Funding!$J$72:$BJ$72,1,Time!$F$14),AL36))</f>
        <v>116.971180207517</v>
      </c>
      <c r="AN33" s="13" t="n">
        <f aca="false">IF(Time!AN20&lt;Time!$F$12,0,IF(Time!AN34=1,INDEX(Funding!$J$72:$BJ$72,1,Time!$F$14),AM36))</f>
        <v>88.6054899163014</v>
      </c>
      <c r="AO33" s="13" t="n">
        <f aca="false">IF(Time!AO20&lt;Time!$F$12,0,IF(Time!AO34=1,INDEX(Funding!$J$72:$BJ$72,1,Time!$F$14),AN36))</f>
        <v>62.3093307599399</v>
      </c>
      <c r="AP33" s="13" t="n">
        <f aca="false">IF(Time!AP20&lt;Time!$F$12,0,IF(Time!AP34=1,INDEX(Funding!$J$72:$BJ$72,1,Time!$F$14),AO36))</f>
        <v>23.2570972994465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205.509024358908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9.47749770198407</v>
      </c>
      <c r="R34" s="13" t="n">
        <f aca="false">R24*MIN(R31,Tax!R13)</f>
        <v>9.55939314471906</v>
      </c>
      <c r="S34" s="13" t="n">
        <f aca="false">S24*MIN(S31,Tax!S13)</f>
        <v>9.28685902153634</v>
      </c>
      <c r="T34" s="13" t="n">
        <f aca="false">T24*MIN(T31,Tax!T13)</f>
        <v>9.34704516862801</v>
      </c>
      <c r="U34" s="13" t="n">
        <f aca="false">U24*MIN(U31,Tax!U13)</f>
        <v>9.1174613547427</v>
      </c>
      <c r="V34" s="13" t="n">
        <f aca="false">V24*MIN(V31,Tax!V13)</f>
        <v>9.1217615785114</v>
      </c>
      <c r="W34" s="13" t="n">
        <f aca="false">W24*MIN(W31,Tax!W13)</f>
        <v>8.81751849511217</v>
      </c>
      <c r="X34" s="13" t="n">
        <f aca="false">X24*MIN(X31,Tax!X13)</f>
        <v>8.75413848228759</v>
      </c>
      <c r="Y34" s="13" t="n">
        <f aca="false">Y24*MIN(Y31,Tax!Y13)</f>
        <v>8.45201607557607</v>
      </c>
      <c r="Z34" s="13" t="n">
        <f aca="false">Z24*MIN(Z31,Tax!Z13)</f>
        <v>8.45158177535858</v>
      </c>
      <c r="AA34" s="13" t="n">
        <f aca="false">AA24*MIN(AA31,Tax!AA13)</f>
        <v>5.6816678738635</v>
      </c>
      <c r="AB34" s="13" t="n">
        <f aca="false">AB24*MIN(AB31,Tax!AB13)</f>
        <v>6.73378743911777</v>
      </c>
      <c r="AC34" s="13" t="n">
        <f aca="false">AC24*MIN(AC31,Tax!AC13)</f>
        <v>6.44464813468057</v>
      </c>
      <c r="AD34" s="13" t="n">
        <f aca="false">AD24*MIN(AD31,Tax!AD13)</f>
        <v>7.82710463836991</v>
      </c>
      <c r="AE34" s="13" t="n">
        <f aca="false">AE24*MIN(AE31,Tax!AE13)</f>
        <v>8.4588476734255</v>
      </c>
      <c r="AF34" s="13" t="n">
        <f aca="false">AF24*MIN(AF31,Tax!AF13)</f>
        <v>8.59775975266408</v>
      </c>
      <c r="AG34" s="13" t="n">
        <f aca="false">AG24*MIN(AG31,Tax!AG13)</f>
        <v>8.41811026085282</v>
      </c>
      <c r="AH34" s="13" t="n">
        <f aca="false">AH24*MIN(AH31,Tax!AH13)</f>
        <v>8.48570187505078</v>
      </c>
      <c r="AI34" s="13" t="n">
        <f aca="false">AI24*MIN(AI31,Tax!AI13)</f>
        <v>8.21209712968779</v>
      </c>
      <c r="AJ34" s="13" t="n">
        <f aca="false">AJ24*MIN(AJ31,Tax!AJ13)</f>
        <v>8.15287843769372</v>
      </c>
      <c r="AK34" s="13" t="n">
        <f aca="false">AK24*MIN(AK31,Tax!AK13)</f>
        <v>7.77614337285489</v>
      </c>
      <c r="AL34" s="13" t="n">
        <f aca="false">AL24*MIN(AL31,Tax!AL13)</f>
        <v>6.72113129122453</v>
      </c>
      <c r="AM34" s="13" t="n">
        <f aca="false">AM24*MIN(AM31,Tax!AM13)</f>
        <v>5.51046422922809</v>
      </c>
      <c r="AN34" s="13" t="n">
        <f aca="false">AN24*MIN(AN31,Tax!AN13)</f>
        <v>4.24335332530671</v>
      </c>
      <c r="AO34" s="13" t="n">
        <f aca="false">AO24*MIN(AO31,Tax!AO13)</f>
        <v>2.93536696552649</v>
      </c>
      <c r="AP34" s="13" t="n">
        <f aca="false">AP24*MIN(AP31,Tax!AP13)</f>
        <v>1.11379194738171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211.647898078231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3.68161205422831</v>
      </c>
      <c r="Q35" s="13" t="n">
        <f aca="false">Q24*MIN(Q31-Q34,Q33+Tax!Q13-Q34)</f>
        <v>1.57004613303464</v>
      </c>
      <c r="R35" s="13" t="n">
        <f aca="false">R24*MIN(R31-R34,R33+Tax!R13-R34)</f>
        <v>2.47666037254383</v>
      </c>
      <c r="S35" s="13" t="n">
        <f aca="false">S24*MIN(S31-S34,S33+Tax!S13-S34)</f>
        <v>1.95737917397985</v>
      </c>
      <c r="T35" s="13" t="n">
        <f aca="false">T24*MIN(T31-T34,T33+Tax!T13-T34)</f>
        <v>2.7018337966903</v>
      </c>
      <c r="U35" s="13" t="n">
        <f aca="false">U24*MIN(U31-U34,U33+Tax!U13-U34)</f>
        <v>2.00231439510383</v>
      </c>
      <c r="V35" s="13" t="n">
        <f aca="false">V24*MIN(V31-V34,V33+Tax!V13-V34)</f>
        <v>3.30121134575962</v>
      </c>
      <c r="W35" s="13" t="n">
        <f aca="false">W24*MIN(W31-W34,W33+Tax!W13-W34)</f>
        <v>4.37512905021809</v>
      </c>
      <c r="X35" s="13" t="n">
        <f aca="false">X24*MIN(X31-X34,X33+Tax!X13-X34)</f>
        <v>3.38342768898977</v>
      </c>
      <c r="Y35" s="13" t="n">
        <f aca="false">Y24*MIN(Y31-Y34,Y33+Tax!Y13-Y34)</f>
        <v>2.93426098544314</v>
      </c>
      <c r="Z35" s="13" t="n">
        <f aca="false">Z24*MIN(Z31-Z34,Z33+Tax!Z13-Z34)</f>
        <v>3.707210008654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0.0269326546846926</v>
      </c>
      <c r="AF35" s="13" t="n">
        <f aca="false">AF24*MIN(AF31-AF34,AF33+Tax!AF13-AF34)</f>
        <v>0.837804512458609</v>
      </c>
      <c r="AG35" s="13" t="n">
        <f aca="false">AG24*MIN(AG31-AG34,AG33+Tax!AG13-AG34)</f>
        <v>1.50207679926086</v>
      </c>
      <c r="AH35" s="13" t="n">
        <f aca="false">AH24*MIN(AH31-AH34,AH33+Tax!AH13-AH34)</f>
        <v>2.8709847229977</v>
      </c>
      <c r="AI35" s="13" t="n">
        <f aca="false">AI24*MIN(AI31-AI34,AI33+Tax!AI13-AI34)</f>
        <v>4.07870375728402</v>
      </c>
      <c r="AJ35" s="13" t="n">
        <f aca="false">AJ24*MIN(AJ31-AJ34,AJ33+Tax!AJ13-AJ34)</f>
        <v>6.0822810669209</v>
      </c>
      <c r="AK35" s="13" t="n">
        <f aca="false">AK24*MIN(AK31-AK34,AK33+Tax!AK13-AK34)</f>
        <v>23.8140409274302</v>
      </c>
      <c r="AL35" s="13" t="n">
        <f aca="false">AL24*MIN(AL31-AL34,AL33+Tax!AL13-AL34)</f>
        <v>23.3728084250318</v>
      </c>
      <c r="AM35" s="13" t="n">
        <f aca="false">AM24*MIN(AM31-AM34,AM33+Tax!AM13-AM34)</f>
        <v>28.3656902912156</v>
      </c>
      <c r="AN35" s="13" t="n">
        <f aca="false">AN24*MIN(AN31-AN34,AN33+Tax!AN13-AN34)</f>
        <v>26.2961591563615</v>
      </c>
      <c r="AO35" s="13" t="n">
        <f aca="false">AO24*MIN(AO31-AO34,AO33+Tax!AO13-AO34)</f>
        <v>39.0522334604934</v>
      </c>
      <c r="AP35" s="13" t="n">
        <f aca="false">AP24*MIN(AP31-AP34,AP33+Tax!AP13-AP34)</f>
        <v>23.2570972994465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201.179800013038</v>
      </c>
      <c r="Q36" s="13" t="n">
        <f aca="false">Q33+Tax!Q13-Q34-Q35</f>
        <v>199.609753880003</v>
      </c>
      <c r="R36" s="13" t="n">
        <f aca="false">R33+Tax!R13-R34-R35</f>
        <v>197.133093507459</v>
      </c>
      <c r="S36" s="13" t="n">
        <f aca="false">S33+Tax!S13-S34-S35</f>
        <v>195.17571433348</v>
      </c>
      <c r="T36" s="13" t="n">
        <f aca="false">T33+Tax!T13-T34-T35</f>
        <v>192.473880536789</v>
      </c>
      <c r="U36" s="13" t="n">
        <f aca="false">U33+Tax!U13-U34-U35</f>
        <v>190.471566141685</v>
      </c>
      <c r="V36" s="13" t="n">
        <f aca="false">V33+Tax!V13-V34-V35</f>
        <v>187.170354795926</v>
      </c>
      <c r="W36" s="13" t="n">
        <f aca="false">W33+Tax!W13-W34-W35</f>
        <v>182.795225745708</v>
      </c>
      <c r="X36" s="13" t="n">
        <f aca="false">X33+Tax!X13-X34-X35</f>
        <v>179.411798056718</v>
      </c>
      <c r="Y36" s="13" t="n">
        <f aca="false">Y33+Tax!Y13-Y34-Y35</f>
        <v>176.477537071275</v>
      </c>
      <c r="Z36" s="13" t="n">
        <f aca="false">Z33+Tax!Z13-Z34-Z35</f>
        <v>172.770327062621</v>
      </c>
      <c r="AA36" s="13" t="n">
        <f aca="false">AA33+Tax!AA13-AA34-AA35</f>
        <v>175.227798295173</v>
      </c>
      <c r="AB36" s="13" t="n">
        <f aca="false">AB33+Tax!AB13-AB34-AB35</f>
        <v>176.885742127835</v>
      </c>
      <c r="AC36" s="13" t="n">
        <f aca="false">AC33+Tax!AC13-AC34-AC35</f>
        <v>178.820147366827</v>
      </c>
      <c r="AD36" s="13" t="n">
        <f aca="false">AD33+Tax!AD13-AD34-AD35</f>
        <v>179.556813073586</v>
      </c>
      <c r="AE36" s="13" t="n">
        <f aca="false">AE33+Tax!AE13-AE34-AE35</f>
        <v>179.529880418901</v>
      </c>
      <c r="AF36" s="13" t="n">
        <f aca="false">AF33+Tax!AF13-AF34-AF35</f>
        <v>178.692075906442</v>
      </c>
      <c r="AG36" s="13" t="n">
        <f aca="false">AG33+Tax!AG13-AG34-AG35</f>
        <v>177.189999107182</v>
      </c>
      <c r="AH36" s="13" t="n">
        <f aca="false">AH33+Tax!AH13-AH34-AH35</f>
        <v>174.319014384184</v>
      </c>
      <c r="AI36" s="13" t="n">
        <f aca="false">AI33+Tax!AI13-AI34-AI35</f>
        <v>170.2403106269</v>
      </c>
      <c r="AJ36" s="13" t="n">
        <f aca="false">AJ33+Tax!AJ13-AJ34-AJ35</f>
        <v>164.158029559979</v>
      </c>
      <c r="AK36" s="13" t="n">
        <f aca="false">AK33+Tax!AK13-AK34-AK35</f>
        <v>140.343988632549</v>
      </c>
      <c r="AL36" s="13" t="n">
        <f aca="false">AL33+Tax!AL13-AL34-AL35</f>
        <v>116.971180207517</v>
      </c>
      <c r="AM36" s="13" t="n">
        <f aca="false">AM33+Tax!AM13-AM34-AM35</f>
        <v>88.6054899163014</v>
      </c>
      <c r="AN36" s="13" t="n">
        <f aca="false">AN33+Tax!AN13-AN34-AN35</f>
        <v>62.3093307599399</v>
      </c>
      <c r="AO36" s="13" t="n">
        <f aca="false">AO33+Tax!AO13-AO34-AO35</f>
        <v>23.2570972994465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24.3224689053527</v>
      </c>
      <c r="R37" s="13" t="n">
        <f aca="false">MAX(0,Q43+Financials!R14)</f>
        <v>31.8920250095417</v>
      </c>
      <c r="S37" s="13" t="n">
        <f aca="false">MAX(0,R43+Financials!S14)</f>
        <v>40.6844406600091</v>
      </c>
      <c r="T37" s="13" t="n">
        <f aca="false">MAX(0,S43+Financials!T14)</f>
        <v>49.8979054498641</v>
      </c>
      <c r="U37" s="13" t="n">
        <f aca="false">MAX(0,T43+Financials!U14)</f>
        <v>60.3278072973303</v>
      </c>
      <c r="V37" s="13" t="n">
        <f aca="false">MAX(0,U43+Financials!V14)</f>
        <v>69.0202480966491</v>
      </c>
      <c r="W37" s="13" t="n">
        <f aca="false">MAX(0,V43+Financials!W14)</f>
        <v>81.5213772806053</v>
      </c>
      <c r="X37" s="13" t="n">
        <f aca="false">MAX(0,W43+Financials!X14)</f>
        <v>94.6394525563312</v>
      </c>
      <c r="Y37" s="13" t="n">
        <f aca="false">MAX(0,X43+Financials!Y14)</f>
        <v>105.936855327458</v>
      </c>
      <c r="Z37" s="13" t="n">
        <f aca="false">MAX(0,Y43+Financials!Z14)</f>
        <v>112.354058322813</v>
      </c>
      <c r="AA37" s="13" t="n">
        <f aca="false">MAX(0,Z43+Financials!AA14)</f>
        <v>119.74269785278</v>
      </c>
      <c r="AB37" s="13" t="n">
        <f aca="false">MAX(0,AA43+Financials!AB14)</f>
        <v>127.695759759948</v>
      </c>
      <c r="AC37" s="13" t="n">
        <f aca="false">MAX(0,AB43+Financials!AC14)</f>
        <v>136.749408278269</v>
      </c>
      <c r="AD37" s="13" t="n">
        <f aca="false">MAX(0,AC43+Financials!AD14)</f>
        <v>137.308272581997</v>
      </c>
      <c r="AE37" s="13" t="n">
        <f aca="false">MAX(0,AD43+Financials!AE14)</f>
        <v>148.798896122712</v>
      </c>
      <c r="AF37" s="13" t="n">
        <f aca="false">MAX(0,AE43+Financials!AF14)</f>
        <v>160.606567762379</v>
      </c>
      <c r="AG37" s="13" t="n">
        <f aca="false">MAX(0,AF43+Financials!AG14)</f>
        <v>173.572678818444</v>
      </c>
      <c r="AH37" s="13" t="n">
        <f aca="false">MAX(0,AG43+Financials!AH14)</f>
        <v>187.580834002306</v>
      </c>
      <c r="AI37" s="13" t="n">
        <f aca="false">MAX(0,AH43+Financials!AI14)</f>
        <v>202.968800961556</v>
      </c>
      <c r="AJ37" s="13" t="n">
        <f aca="false">MAX(0,AI43+Financials!AJ14)</f>
        <v>219.497318254946</v>
      </c>
      <c r="AK37" s="13" t="n">
        <f aca="false">MAX(0,AJ43+Financials!AK14)</f>
        <v>237.523151647278</v>
      </c>
      <c r="AL37" s="13" t="n">
        <f aca="false">MAX(0,AK43+Financials!AL14)</f>
        <v>254.768383225625</v>
      </c>
      <c r="AM37" s="13" t="n">
        <f aca="false">MAX(0,AL43+Financials!AM14)</f>
        <v>275.352192573832</v>
      </c>
      <c r="AN37" s="13" t="n">
        <f aca="false">MAX(0,AM43+Financials!AN14)</f>
        <v>297.565222913223</v>
      </c>
      <c r="AO37" s="13" t="n">
        <f aca="false">MAX(0,AN43+Financials!AO14)</f>
        <v>321.108718658614</v>
      </c>
      <c r="AP37" s="13" t="n">
        <f aca="false">MAX(0,AO43+Financials!AP14)</f>
        <v>346.36092559473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242.975486452027</v>
      </c>
      <c r="AX37" s="13" t="n">
        <f aca="false">MAX(0,AW43+Financials!AX14)</f>
        <v>226.29979115551</v>
      </c>
      <c r="AY37" s="13" t="n">
        <f aca="false">MAX(0,AX43+Financials!AY14)</f>
        <v>209.035744150875</v>
      </c>
      <c r="AZ37" s="13" t="n">
        <f aca="false">MAX(0,AY43+Financials!AZ14)</f>
        <v>192.302020638542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95.4403893731834</v>
      </c>
      <c r="BI37" s="13" t="n">
        <f aca="false">MAX(0,BH43+Financials!BI14)</f>
        <v>87.8803499967853</v>
      </c>
      <c r="BJ37" s="13" t="n">
        <f aca="false">MAX(0,BI43+Financials!BJ14)</f>
        <v>68.4145510985353</v>
      </c>
      <c r="BK37" s="13" t="n">
        <f aca="false">MAX(0,BJ43+Financials!BK14)</f>
        <v>53.4662792626312</v>
      </c>
      <c r="BL37" s="13" t="n">
        <f aca="false">MAX(0,BK43+Financials!BL14)</f>
        <v>43.6937349468498</v>
      </c>
      <c r="BM37" s="13" t="n">
        <f aca="false">MAX(0,BL43+Financials!BM14)</f>
        <v>10.4822341135981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17.58488612039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10.4822341135981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970.083627717231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17.58488612039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24.3224689053527</v>
      </c>
      <c r="R43" s="13" t="n">
        <f aca="false">IF(Time!R20&lt;Time!$F$12,0,Q43+Financials!R14-R41)</f>
        <v>31.8920250095417</v>
      </c>
      <c r="S43" s="13" t="n">
        <f aca="false">IF(Time!S20&lt;Time!$F$12,0,R43+Financials!S14-S41)</f>
        <v>40.6844406600091</v>
      </c>
      <c r="T43" s="13" t="n">
        <f aca="false">IF(Time!T20&lt;Time!$F$12,0,S43+Financials!T14-T41)</f>
        <v>49.8979054498641</v>
      </c>
      <c r="U43" s="13" t="n">
        <f aca="false">IF(Time!U20&lt;Time!$F$12,0,T43+Financials!U14-U41)</f>
        <v>60.3278072973303</v>
      </c>
      <c r="V43" s="13" t="n">
        <f aca="false">IF(Time!V20&lt;Time!$F$12,0,U43+Financials!V14-V41)</f>
        <v>69.0202480966491</v>
      </c>
      <c r="W43" s="13" t="n">
        <f aca="false">IF(Time!W20&lt;Time!$F$12,0,V43+Financials!W14-W41)</f>
        <v>81.5213772806053</v>
      </c>
      <c r="X43" s="13" t="n">
        <f aca="false">IF(Time!X20&lt;Time!$F$12,0,W43+Financials!X14-X41)</f>
        <v>94.6394525563312</v>
      </c>
      <c r="Y43" s="13" t="n">
        <f aca="false">IF(Time!Y20&lt;Time!$F$12,0,X43+Financials!Y14-Y41)</f>
        <v>105.936855327458</v>
      </c>
      <c r="Z43" s="13" t="n">
        <f aca="false">IF(Time!Z20&lt;Time!$F$12,0,Y43+Financials!Z14-Z41)</f>
        <v>112.354058322813</v>
      </c>
      <c r="AA43" s="13" t="n">
        <f aca="false">IF(Time!AA20&lt;Time!$F$12,0,Z43+Financials!AA14-AA41)</f>
        <v>119.74269785278</v>
      </c>
      <c r="AB43" s="13" t="n">
        <f aca="false">IF(Time!AB20&lt;Time!$F$12,0,AA43+Financials!AB14-AB41)</f>
        <v>127.695759759948</v>
      </c>
      <c r="AC43" s="13" t="n">
        <f aca="false">IF(Time!AC20&lt;Time!$F$12,0,AB43+Financials!AC14-AC41)</f>
        <v>136.749408278269</v>
      </c>
      <c r="AD43" s="13" t="n">
        <f aca="false">IF(Time!AD20&lt;Time!$F$12,0,AC43+Financials!AD14-AD41)</f>
        <v>137.308272581997</v>
      </c>
      <c r="AE43" s="13" t="n">
        <f aca="false">IF(Time!AE20&lt;Time!$F$12,0,AD43+Financials!AE14-AE41)</f>
        <v>148.798896122712</v>
      </c>
      <c r="AF43" s="13" t="n">
        <f aca="false">IF(Time!AF20&lt;Time!$F$12,0,AE43+Financials!AF14-AF41)</f>
        <v>160.606567762379</v>
      </c>
      <c r="AG43" s="13" t="n">
        <f aca="false">IF(Time!AG20&lt;Time!$F$12,0,AF43+Financials!AG14-AG41)</f>
        <v>173.572678818444</v>
      </c>
      <c r="AH43" s="13" t="n">
        <f aca="false">IF(Time!AH20&lt;Time!$F$12,0,AG43+Financials!AH14-AH41)</f>
        <v>187.580834002306</v>
      </c>
      <c r="AI43" s="13" t="n">
        <f aca="false">IF(Time!AI20&lt;Time!$F$12,0,AH43+Financials!AI14-AI41)</f>
        <v>202.968800961556</v>
      </c>
      <c r="AJ43" s="13" t="n">
        <f aca="false">IF(Time!AJ20&lt;Time!$F$12,0,AI43+Financials!AJ14-AJ41)</f>
        <v>219.497318254946</v>
      </c>
      <c r="AK43" s="13" t="n">
        <f aca="false">IF(Time!AK20&lt;Time!$F$12,0,AJ43+Financials!AK14-AK41)</f>
        <v>237.523151647278</v>
      </c>
      <c r="AL43" s="13" t="n">
        <f aca="false">IF(Time!AL20&lt;Time!$F$12,0,AK43+Financials!AL14-AL41)</f>
        <v>254.768383225625</v>
      </c>
      <c r="AM43" s="13" t="n">
        <f aca="false">IF(Time!AM20&lt;Time!$F$12,0,AL43+Financials!AM14-AM41)</f>
        <v>275.352192573832</v>
      </c>
      <c r="AN43" s="13" t="n">
        <f aca="false">IF(Time!AN20&lt;Time!$F$12,0,AM43+Financials!AN14-AN41)</f>
        <v>297.565222913223</v>
      </c>
      <c r="AO43" s="13" t="n">
        <f aca="false">IF(Time!AO20&lt;Time!$F$12,0,AN43+Financials!AO14-AO41)</f>
        <v>321.108718658614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282.978611470769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97.7318221903982</v>
      </c>
      <c r="BD43" s="13" t="n">
        <f aca="false">IF(Time!BD20&lt;Time!$F$12,0,BC43+Financials!BD14-BD41)</f>
        <v>89.8897839692382</v>
      </c>
      <c r="BE43" s="13" t="n">
        <f aca="false">IF(Time!BE20&lt;Time!$F$12,0,BD43+Financials!BE14-BE41)</f>
        <v>82.6223382422656</v>
      </c>
      <c r="BF43" s="13" t="n">
        <f aca="false">IF(Time!BF20&lt;Time!$F$12,0,BE43+Financials!BF14-BF41)</f>
        <v>74.8149197117576</v>
      </c>
      <c r="BG43" s="13" t="n">
        <f aca="false">IF(Time!BG20&lt;Time!$F$12,0,BF43+Financials!BG14-BG41)</f>
        <v>67.5848814330647</v>
      </c>
      <c r="BH43" s="13" t="n">
        <f aca="false">IF(Time!BH20&lt;Time!$F$12,0,BG43+Financials!BH14-BH41)</f>
        <v>59.8102249018335</v>
      </c>
      <c r="BI43" s="13" t="n">
        <f aca="false">IF(Time!BI20&lt;Time!$F$12,0,BH43+Financials!BI14-BI41)</f>
        <v>52.5288168313341</v>
      </c>
      <c r="BJ43" s="13" t="n">
        <f aca="false">IF(Time!BJ20&lt;Time!$F$12,0,BI43+Financials!BJ14-BJ41)</f>
        <v>25.0569291745698</v>
      </c>
      <c r="BK43" s="13" t="n">
        <f aca="false">IF(Time!BK20&lt;Time!$F$12,0,BJ43+Financials!BK14-BK41)</f>
        <v>15.3762162684428</v>
      </c>
      <c r="BL43" s="13" t="n">
        <f aca="false">IF(Time!BL20&lt;Time!$F$12,0,BK43+Financials!BL14-BL41)</f>
        <v>4.8736332599167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1387.24055015437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13.4925092677511</v>
      </c>
      <c r="Q44" s="13" t="n">
        <f aca="false">Q34+Q35+Q41</f>
        <v>11.0475438350187</v>
      </c>
      <c r="R44" s="13" t="n">
        <f aca="false">R34+R35+R41</f>
        <v>12.0360535172629</v>
      </c>
      <c r="S44" s="13" t="n">
        <f aca="false">S34+S35+S41</f>
        <v>11.2442381955162</v>
      </c>
      <c r="T44" s="13" t="n">
        <f aca="false">T34+T35+T41</f>
        <v>12.0488789653183</v>
      </c>
      <c r="U44" s="13" t="n">
        <f aca="false">U34+U35+U41</f>
        <v>11.1197757498465</v>
      </c>
      <c r="V44" s="13" t="n">
        <f aca="false">V34+V35+V41</f>
        <v>12.422972924271</v>
      </c>
      <c r="W44" s="13" t="n">
        <f aca="false">W34+W35+W41</f>
        <v>13.1926475453303</v>
      </c>
      <c r="X44" s="13" t="n">
        <f aca="false">X34+X35+X41</f>
        <v>12.1375661712774</v>
      </c>
      <c r="Y44" s="13" t="n">
        <f aca="false">Y34+Y35+Y41</f>
        <v>11.3862770610192</v>
      </c>
      <c r="Z44" s="13" t="n">
        <f aca="false">Z34+Z35+Z41</f>
        <v>12.1587917840126</v>
      </c>
      <c r="AA44" s="13" t="n">
        <f aca="false">AA34+AA35+AA41</f>
        <v>5.6816678738635</v>
      </c>
      <c r="AB44" s="13" t="n">
        <f aca="false">AB34+AB35+AB41</f>
        <v>6.73378743911777</v>
      </c>
      <c r="AC44" s="13" t="n">
        <f aca="false">AC34+AC35+AC41</f>
        <v>6.44464813468057</v>
      </c>
      <c r="AD44" s="13" t="n">
        <f aca="false">AD34+AD35+AD41</f>
        <v>7.82710463836991</v>
      </c>
      <c r="AE44" s="13" t="n">
        <f aca="false">AE34+AE35+AE41</f>
        <v>8.48578032811019</v>
      </c>
      <c r="AF44" s="13" t="n">
        <f aca="false">AF34+AF35+AF41</f>
        <v>9.43556426512269</v>
      </c>
      <c r="AG44" s="13" t="n">
        <f aca="false">AG34+AG35+AG41</f>
        <v>9.92018706011367</v>
      </c>
      <c r="AH44" s="13" t="n">
        <f aca="false">AH34+AH35+AH41</f>
        <v>11.3566865980485</v>
      </c>
      <c r="AI44" s="13" t="n">
        <f aca="false">AI34+AI35+AI41</f>
        <v>12.2908008869718</v>
      </c>
      <c r="AJ44" s="13" t="n">
        <f aca="false">AJ34+AJ35+AJ41</f>
        <v>14.2351595046146</v>
      </c>
      <c r="AK44" s="13" t="n">
        <f aca="false">AK34+AK35+AK41</f>
        <v>31.5901843002851</v>
      </c>
      <c r="AL44" s="13" t="n">
        <f aca="false">AL34+AL35+AL41</f>
        <v>30.0939397162563</v>
      </c>
      <c r="AM44" s="13" t="n">
        <f aca="false">AM34+AM35+AM41</f>
        <v>33.8761545204437</v>
      </c>
      <c r="AN44" s="13" t="n">
        <f aca="false">AN34+AN35+AN41</f>
        <v>30.5395124816682</v>
      </c>
      <c r="AO44" s="13" t="n">
        <f aca="false">AO34+AO35+AO41</f>
        <v>41.9876004260199</v>
      </c>
      <c r="AP44" s="13" t="n">
        <f aca="false">AP34+AP35+AP41</f>
        <v>41.9557753672183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545.982041234013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31.9939281470537</v>
      </c>
      <c r="R9" s="13" t="n">
        <f aca="false">Debt!R112+Debt!R110+Debt!R104-Debt!R103+Tax!R13</f>
        <v>31.7332601824599</v>
      </c>
      <c r="S9" s="13" t="n">
        <f aca="false">Debt!S112+Debt!S110+Debt!S104-Debt!S103+Tax!S13</f>
        <v>30.6044930950328</v>
      </c>
      <c r="T9" s="13" t="n">
        <f aca="false">Debt!T112+Debt!T110+Debt!T104-Debt!T103+Tax!T13</f>
        <v>30.2607832840421</v>
      </c>
      <c r="U9" s="13" t="n">
        <f aca="false">Debt!U112+Debt!U110+Debt!U104-Debt!U103+Tax!U13</f>
        <v>29.2089614897867</v>
      </c>
      <c r="V9" s="13" t="n">
        <f aca="false">Debt!V112+Debt!V110+Debt!V104-Debt!V103+Tax!V13</f>
        <v>28.6689128798014</v>
      </c>
      <c r="W9" s="13" t="n">
        <f aca="false">Debt!W112+Debt!W110+Debt!W104-Debt!W103+Tax!W13</f>
        <v>27.4167062835222</v>
      </c>
      <c r="X9" s="13" t="n">
        <f aca="false">Debt!X112+Debt!X110+Debt!X104-Debt!X103+Tax!X13</f>
        <v>26.7999724294095</v>
      </c>
      <c r="Y9" s="13" t="n">
        <f aca="false">Debt!Y112+Debt!Y110+Debt!Y104-Debt!Y103+Tax!Y13</f>
        <v>26.063293031209</v>
      </c>
      <c r="Z9" s="13" t="n">
        <f aca="false">Debt!Z112+Debt!Z110+Debt!Z104-Debt!Z103+Tax!Z13</f>
        <v>25.5002053191759</v>
      </c>
      <c r="AA9" s="13" t="n">
        <f aca="false">Debt!AA112+Debt!AA110+Debt!AA104-Debt!AA103+Tax!AA13</f>
        <v>24.2106193228712</v>
      </c>
      <c r="AB9" s="13" t="n">
        <f aca="false">Debt!AB112+Debt!AB110+Debt!AB104-Debt!AB103+Tax!AB13</f>
        <v>23.4849948204584</v>
      </c>
      <c r="AC9" s="13" t="n">
        <f aca="false">Debt!AC112+Debt!AC110+Debt!AC104-Debt!AC103+Tax!AC13</f>
        <v>22.1265291146256</v>
      </c>
      <c r="AD9" s="13" t="n">
        <f aca="false">Debt!AD112+Debt!AD110+Debt!AD104-Debt!AD103+Tax!AD13</f>
        <v>21.1824790222057</v>
      </c>
      <c r="AE9" s="13" t="n">
        <f aca="false">Debt!AE112+Debt!AE110+Debt!AE104-Debt!AE103+Tax!AE13</f>
        <v>19.5951117957113</v>
      </c>
      <c r="AF9" s="13" t="n">
        <f aca="false">Debt!AF112+Debt!AF110+Debt!AF104-Debt!AF103+Tax!AF13</f>
        <v>18.4490501682321</v>
      </c>
      <c r="AG9" s="13" t="n">
        <f aca="false">Debt!AG112+Debt!AG110+Debt!AG104-Debt!AG103+Tax!AG13</f>
        <v>16.9329821277815</v>
      </c>
      <c r="AH9" s="13" t="n">
        <f aca="false">Debt!AH112+Debt!AH110+Debt!AH104-Debt!AH103+Tax!AH13</f>
        <v>15.6030437043011</v>
      </c>
      <c r="AI9" s="13" t="n">
        <f aca="false">Debt!AI112+Debt!AI110+Debt!AI104-Debt!AI103+Tax!AI13</f>
        <v>13.7369345789732</v>
      </c>
      <c r="AJ9" s="13" t="n">
        <f aca="false">Debt!AJ112+Debt!AJ110+Debt!AJ104-Debt!AJ103+Tax!AJ13</f>
        <v>12.1946250356069</v>
      </c>
      <c r="AK9" s="13" t="n">
        <f aca="false">Debt!AK112+Debt!AK110+Debt!AK104-Debt!AK103+Tax!AK13</f>
        <v>10.2488328513023</v>
      </c>
      <c r="AL9" s="13" t="n">
        <f aca="false">Debt!AL112+Debt!AL110+Debt!AL104-Debt!AL103+Tax!AL13</f>
        <v>8.65713647202892</v>
      </c>
      <c r="AM9" s="13" t="n">
        <f aca="false">Debt!AM112+Debt!AM110+Debt!AM104-Debt!AM103+Tax!AM13</f>
        <v>6.92076393641009</v>
      </c>
      <c r="AN9" s="13" t="n">
        <f aca="false">Debt!AN112+Debt!AN110+Debt!AN104-Debt!AN103+Tax!AN13</f>
        <v>5.12698004671836</v>
      </c>
      <c r="AO9" s="13" t="n">
        <f aca="false">Debt!AO112+Debt!AO110+Debt!AO104-Debt!AO103+Tax!AO13</f>
        <v>3.37887895554383</v>
      </c>
      <c r="AP9" s="13" t="n">
        <f aca="false">Debt!AP112+Debt!AP110+Debt!AP104-Debt!AP103+Tax!AP13</f>
        <v>1.11379194738171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-49.3046706522081</v>
      </c>
      <c r="Z12" s="13" t="n">
        <f aca="false">IF(Time!Z20&gt;=Time!$F$12,Inputs!$F$184/100*(Z11-Z10-Tax!Z21),0)</f>
        <v>-46.4020872821961</v>
      </c>
      <c r="AA12" s="13" t="n">
        <f aca="false">IF(Time!AA20&gt;=Time!$F$12,Inputs!$F$184/100*(AA11-AA10-Tax!AA21),0)</f>
        <v>-43.0824132433792</v>
      </c>
      <c r="AB12" s="13" t="n">
        <f aca="false">IF(Time!AB20&gt;=Time!$F$12,Inputs!$F$184/100*(AB11-AB10-Tax!AB21),0)</f>
        <v>-39.5200154182362</v>
      </c>
      <c r="AC12" s="13" t="n">
        <f aca="false">IF(Time!AC20&gt;=Time!$F$12,Inputs!$F$184/100*(AC11-AC10-Tax!AC21),0)</f>
        <v>-35.4855563101788</v>
      </c>
      <c r="AD12" s="13" t="n">
        <f aca="false">IF(Time!AD20&gt;=Time!$F$12,Inputs!$F$184/100*(AD11-AD10-Tax!AD21),0)</f>
        <v>-34.4815324473621</v>
      </c>
      <c r="AE12" s="13" t="n">
        <f aca="false">IF(Time!AE20&gt;=Time!$F$12,Inputs!$F$184/100*(AE11-AE10-Tax!AE21),0)</f>
        <v>-30.0136637503789</v>
      </c>
      <c r="AF12" s="13" t="n">
        <f aca="false">IF(Time!AF20&gt;=Time!$F$12,Inputs!$F$184/100*(AF11-AF10-Tax!AF21),0)</f>
        <v>-24.7963667681695</v>
      </c>
      <c r="AG12" s="13" t="n">
        <f aca="false">IF(Time!AG20&gt;=Time!$F$12,Inputs!$F$184/100*(AG11-AG10-Tax!AG21),0)</f>
        <v>-19.0819072577355</v>
      </c>
      <c r="AH12" s="13" t="n">
        <f aca="false">IF(Time!AH20&gt;=Time!$F$12,Inputs!$F$184/100*(AH11-AH10-Tax!AH21),0)</f>
        <v>-12.9202248574673</v>
      </c>
      <c r="AI12" s="13" t="n">
        <f aca="false">IF(Time!AI20&gt;=Time!$F$12,Inputs!$F$184/100*(AI11-AI10-Tax!AI21),0)</f>
        <v>-6.16636632182239</v>
      </c>
      <c r="AJ12" s="13" t="n">
        <f aca="false">IF(Time!AJ20&gt;=Time!$F$12,Inputs!$F$184/100*(AJ11-AJ10-Tax!AJ21),0)</f>
        <v>1.07720123739622</v>
      </c>
      <c r="AK12" s="13" t="n">
        <f aca="false">IF(Time!AK20&gt;=Time!$F$12,Inputs!$F$184/100*(AK11-AK10-Tax!AK21),0)</f>
        <v>8.96302909412297</v>
      </c>
      <c r="AL12" s="13" t="n">
        <f aca="false">IF(Time!AL20&gt;=Time!$F$12,Inputs!$F$184/100*(AL11-AL10-Tax!AL21),0)</f>
        <v>16.5146381858174</v>
      </c>
      <c r="AM12" s="13" t="n">
        <f aca="false">IF(Time!AM20&gt;=Time!$F$12,Inputs!$F$184/100*(AM11-AM10-Tax!AM21),0)</f>
        <v>25.4980940564159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-2.45022372076041</v>
      </c>
      <c r="Z13" s="13" t="n">
        <f aca="false">Z12-Y12</f>
        <v>2.90258337001204</v>
      </c>
      <c r="AA13" s="13" t="n">
        <f aca="false">AA12-Z12</f>
        <v>3.31967403881689</v>
      </c>
      <c r="AB13" s="13" t="n">
        <f aca="false">AB12-AA12</f>
        <v>3.56239782514293</v>
      </c>
      <c r="AC13" s="13" t="n">
        <f aca="false">AC12-AB12</f>
        <v>4.03445910805743</v>
      </c>
      <c r="AD13" s="13" t="n">
        <f aca="false">AD12-AC12</f>
        <v>1.00402386281673</v>
      </c>
      <c r="AE13" s="13" t="n">
        <f aca="false">AE12-AD12</f>
        <v>4.4678686969832</v>
      </c>
      <c r="AF13" s="13" t="n">
        <f aca="false">AF12-AE12</f>
        <v>5.21729698220942</v>
      </c>
      <c r="AG13" s="13" t="n">
        <f aca="false">AG12-AF12</f>
        <v>5.71445951043401</v>
      </c>
      <c r="AH13" s="13" t="n">
        <f aca="false">AH12-AG12</f>
        <v>6.16168240026811</v>
      </c>
      <c r="AI13" s="13" t="n">
        <f aca="false">AI12-AH12</f>
        <v>6.75385853564495</v>
      </c>
      <c r="AJ13" s="13" t="n">
        <f aca="false">AJ12-AI12</f>
        <v>7.24356755921861</v>
      </c>
      <c r="AK13" s="13" t="n">
        <f aca="false">AK12-AJ12</f>
        <v>7.88582785672674</v>
      </c>
      <c r="AL13" s="13" t="n">
        <f aca="false">AL12-AK12</f>
        <v>7.55160909169446</v>
      </c>
      <c r="AM13" s="13" t="n">
        <f aca="false">AM12-AL12</f>
        <v>8.98345587059852</v>
      </c>
      <c r="AN13" s="13" t="n">
        <f aca="false">AN12-AM12</f>
        <v>7.46735610606695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925.716874200419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7.16183367449639</v>
      </c>
      <c r="R14" s="13" t="n">
        <f aca="false">Operations!R84-R8-R9-Tax!R27-R13</f>
        <v>7.56955610418895</v>
      </c>
      <c r="S14" s="13" t="n">
        <f aca="false">Operations!S84-S8-S9-Tax!S27-S13</f>
        <v>8.79241565046739</v>
      </c>
      <c r="T14" s="13" t="n">
        <f aca="false">Operations!T84-T8-T9-Tax!T27-T13</f>
        <v>9.21346478985501</v>
      </c>
      <c r="U14" s="13" t="n">
        <f aca="false">Operations!U84-U8-U9-Tax!U27-U13</f>
        <v>10.4299018474662</v>
      </c>
      <c r="V14" s="13" t="n">
        <f aca="false">Operations!V84-V8-V9-Tax!V27-V13</f>
        <v>8.69244079931884</v>
      </c>
      <c r="W14" s="13" t="n">
        <f aca="false">Operations!W84-W8-W9-Tax!W27-W13</f>
        <v>12.5011291839562</v>
      </c>
      <c r="X14" s="13" t="n">
        <f aca="false">Operations!X84-X8-X9-Tax!X27-X13</f>
        <v>13.1180752757259</v>
      </c>
      <c r="Y14" s="13" t="n">
        <f aca="false">Operations!Y84-Y8-Y9-Tax!Y27-Y13</f>
        <v>11.2974027711272</v>
      </c>
      <c r="Z14" s="13" t="n">
        <f aca="false">Operations!Z84-Z8-Z9-Tax!Z27-Z13</f>
        <v>6.41720299535452</v>
      </c>
      <c r="AA14" s="13" t="n">
        <f aca="false">Operations!AA84-AA8-AA9-Tax!AA27-AA13</f>
        <v>7.38863952996688</v>
      </c>
      <c r="AB14" s="13" t="n">
        <f aca="false">Operations!AB84-AB8-AB9-Tax!AB27-AB13</f>
        <v>7.95306190716866</v>
      </c>
      <c r="AC14" s="13" t="n">
        <f aca="false">Operations!AC84-AC8-AC9-Tax!AC27-AC13</f>
        <v>9.05364851832081</v>
      </c>
      <c r="AD14" s="13" t="n">
        <f aca="false">Operations!AD84-AD8-AD9-Tax!AD27-AD13</f>
        <v>0.558864303728148</v>
      </c>
      <c r="AE14" s="13" t="n">
        <f aca="false">Operations!AE84-AE8-AE9-Tax!AE27-AE13</f>
        <v>11.4906235407147</v>
      </c>
      <c r="AF14" s="13" t="n">
        <f aca="false">Operations!AF84-AF8-AF9-Tax!AF27-AF13</f>
        <v>11.8076716396668</v>
      </c>
      <c r="AG14" s="13" t="n">
        <f aca="false">Operations!AG84-AG8-AG9-Tax!AG27-AG13</f>
        <v>12.9661110560646</v>
      </c>
      <c r="AH14" s="13" t="n">
        <f aca="false">Operations!AH84-AH8-AH9-Tax!AH27-AH13</f>
        <v>14.008155183862</v>
      </c>
      <c r="AI14" s="13" t="n">
        <f aca="false">Operations!AI84-AI8-AI9-Tax!AI27-AI13</f>
        <v>15.3879669592508</v>
      </c>
      <c r="AJ14" s="13" t="n">
        <f aca="false">Operations!AJ84-AJ8-AJ9-Tax!AJ27-AJ13</f>
        <v>16.5285172933897</v>
      </c>
      <c r="AK14" s="13" t="n">
        <f aca="false">Operations!AK84-AK8-AK9-Tax!AK27-AK13</f>
        <v>18.025833392332</v>
      </c>
      <c r="AL14" s="13" t="n">
        <f aca="false">Operations!AL84-AL8-AL9-Tax!AL27-AL13</f>
        <v>17.2452315783469</v>
      </c>
      <c r="AM14" s="13" t="n">
        <f aca="false">Operations!AM84-AM8-AM9-Tax!AM27-AM13</f>
        <v>20.5838093482073</v>
      </c>
      <c r="AN14" s="13" t="n">
        <f aca="false">Operations!AN84-AN8-AN9-Tax!AN27-AN13</f>
        <v>22.2130303393911</v>
      </c>
      <c r="AO14" s="13" t="n">
        <f aca="false">Operations!AO84-AO8-AO9-Tax!AO27-AO13</f>
        <v>23.5434957453903</v>
      </c>
      <c r="AP14" s="13" t="n">
        <f aca="false">Operations!AP84-AP8-AP9-Tax!AP27-AP13</f>
        <v>25.2522069361165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39.0779650771115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39.9469649880811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40.0062112631609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40.8208068829956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40.9966065569362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42.0982692877658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39.2657193975113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38.1387094828572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39.6863497270386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41.9292372893861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43.5357760470411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45.9029223586002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47.0111424184021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49.5098092186008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36.8525031171836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35.8592987654913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34.7990770098838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34.2161338065026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32.7608713935258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31.4434663244317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29.2011892489599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26.6657257101708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23.3984025110587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19.0235505071657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21.2000554390818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49.3046706522081</v>
      </c>
      <c r="Z20" s="13" t="n">
        <f aca="false">MAX(0,-Z12)</f>
        <v>46.4020872821961</v>
      </c>
      <c r="AA20" s="13" t="n">
        <f aca="false">MAX(0,-AA12)</f>
        <v>43.0824132433792</v>
      </c>
      <c r="AB20" s="13" t="n">
        <f aca="false">MAX(0,-AB12)</f>
        <v>39.5200154182362</v>
      </c>
      <c r="AC20" s="13" t="n">
        <f aca="false">MAX(0,-AC12)</f>
        <v>35.4855563101788</v>
      </c>
      <c r="AD20" s="13" t="n">
        <f aca="false">MAX(0,-AD12)</f>
        <v>34.4815324473621</v>
      </c>
      <c r="AE20" s="13" t="n">
        <f aca="false">MAX(0,-AE12)</f>
        <v>30.0136637503789</v>
      </c>
      <c r="AF20" s="13" t="n">
        <f aca="false">MAX(0,-AF12)</f>
        <v>24.7963667681695</v>
      </c>
      <c r="AG20" s="13" t="n">
        <f aca="false">MAX(0,-AG12)</f>
        <v>19.0819072577355</v>
      </c>
      <c r="AH20" s="13" t="n">
        <f aca="false">MAX(0,-AH12)</f>
        <v>12.9202248574673</v>
      </c>
      <c r="AI20" s="13" t="n">
        <f aca="false">MAX(0,-AI12)</f>
        <v>6.16636632182239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904.47554042314</v>
      </c>
      <c r="Q21" s="13" t="n">
        <f aca="false">Q16+Q17+Q18+Q19+Q20</f>
        <v>894.663828464646</v>
      </c>
      <c r="R21" s="13" t="n">
        <f aca="false">R16+R17+R18+R19+R20</f>
        <v>882.332270520356</v>
      </c>
      <c r="S21" s="13" t="n">
        <f aca="false">S16+S17+S18+S19+S20</f>
        <v>872.620081951408</v>
      </c>
      <c r="T21" s="13" t="n">
        <f aca="false">T16+T17+T18+T19+T20</f>
        <v>860.680402615754</v>
      </c>
      <c r="U21" s="13" t="n">
        <f aca="false">U16+U17+U18+U19+U20</f>
        <v>850.738513109651</v>
      </c>
      <c r="V21" s="13" t="n">
        <f aca="false">V16+V17+V18+V19+V20</f>
        <v>835.336634647827</v>
      </c>
      <c r="W21" s="13" t="n">
        <f aca="false">W16+W17+W18+W19+W20</f>
        <v>823.895147354032</v>
      </c>
      <c r="X21" s="13" t="n">
        <f aca="false">X16+X17+X18+X19+X20</f>
        <v>813.70127262359</v>
      </c>
      <c r="Y21" s="13" t="n">
        <f aca="false">Y16+Y17+Y18+Y19+Y20</f>
        <v>802.763569755817</v>
      </c>
      <c r="Z21" s="13" t="n">
        <f aca="false">Z16+Z17+Z18+Z19+Z20</f>
        <v>784.015199676314</v>
      </c>
      <c r="AA21" s="13" t="n">
        <f aca="false">AA16+AA17+AA18+AA19+AA20</f>
        <v>767.598112321548</v>
      </c>
      <c r="AB21" s="13" t="n">
        <f aca="false">AB16+AB17+AB18+AB19+AB20</f>
        <v>747.988959816182</v>
      </c>
      <c r="AC21" s="13" t="n">
        <f aca="false">AC16+AC17+AC18+AC19+AC20</f>
        <v>730.267747586512</v>
      </c>
      <c r="AD21" s="13" t="n">
        <f aca="false">AD16+AD17+AD18+AD19+AD20</f>
        <v>698.403417325957</v>
      </c>
      <c r="AE21" s="13" t="n">
        <f aca="false">AE16+AE17+AE18+AE19+AE20</f>
        <v>678.085604638553</v>
      </c>
      <c r="AF21" s="13" t="n">
        <f aca="false">AF16+AF17+AF18+AF19+AF20</f>
        <v>655.399088307981</v>
      </c>
      <c r="AG21" s="13" t="n">
        <f aca="false">AG16+AG17+AG18+AG19+AG20</f>
        <v>633.546528816233</v>
      </c>
      <c r="AH21" s="13" t="n">
        <f aca="false">AH16+AH17+AH18+AH19+AH20</f>
        <v>608.432533051648</v>
      </c>
      <c r="AI21" s="13" t="n">
        <f aca="false">AI16+AI17+AI18+AI19+AI20</f>
        <v>584.985674593109</v>
      </c>
      <c r="AJ21" s="13" t="n">
        <f aca="false">AJ16+AJ17+AJ18+AJ19+AJ20</f>
        <v>559.40110551186</v>
      </c>
      <c r="AK21" s="13" t="n">
        <f aca="false">AK16+AK17+AK18+AK19+AK20</f>
        <v>540.895861142467</v>
      </c>
      <c r="AL21" s="13" t="n">
        <f aca="false">AL16+AL17+AL18+AL19+AL20</f>
        <v>519.914722570414</v>
      </c>
      <c r="AM21" s="13" t="n">
        <f aca="false">AM16+AM17+AM18+AM19+AM20</f>
        <v>500.411942673219</v>
      </c>
      <c r="AN21" s="13" t="n">
        <f aca="false">AN16+AN17+AN18+AN19+AN20</f>
        <v>485.848660664939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401.096790041144</v>
      </c>
      <c r="AB22" s="13" t="n">
        <f aca="false">IF(Time!AB20&lt;Time!$F$12,SUMIFS(Funding!$J$73:$BJ$73,Construction!$J$12:$BJ$12,"&lt;="&amp;Time!AB20),Debt!AB116)</f>
        <v>372.102907888628</v>
      </c>
      <c r="AC22" s="13" t="n">
        <f aca="false">IF(Time!AC20&lt;Time!$F$12,SUMIFS(Funding!$J$73:$BJ$73,Construction!$J$12:$BJ$12,"&lt;="&amp;Time!AC20),Debt!AC116)</f>
        <v>343.069501578137</v>
      </c>
      <c r="AD22" s="13" t="n">
        <f aca="false">IF(Time!AD20&lt;Time!$F$12,SUMIFS(Funding!$J$73:$BJ$73,Construction!$J$12:$BJ$12,"&lt;="&amp;Time!AD20),Debt!AD116)</f>
        <v>311.031921371228</v>
      </c>
      <c r="AE22" s="13" t="n">
        <f aca="false">IF(Time!AE20&lt;Time!$F$12,SUMIFS(Funding!$J$73:$BJ$73,Construction!$J$12:$BJ$12,"&lt;="&amp;Time!AE20),Debt!AE116)</f>
        <v>277.914929532265</v>
      </c>
      <c r="AF22" s="13" t="n">
        <f aca="false">IF(Time!AF20&lt;Time!$F$12,SUMIFS(Funding!$J$73:$BJ$73,Construction!$J$12:$BJ$12,"&lt;="&amp;Time!AF20),Debt!AF116)</f>
        <v>243.73944884964</v>
      </c>
      <c r="AG22" s="13" t="n">
        <f aca="false">IF(Time!AG20&lt;Time!$F$12,SUMIFS(Funding!$J$73:$BJ$73,Construction!$J$12:$BJ$12,"&lt;="&amp;Time!AG20),Debt!AG116)</f>
        <v>209.556857466478</v>
      </c>
      <c r="AH22" s="13" t="n">
        <f aca="false">IF(Time!AH20&lt;Time!$F$12,SUMIFS(Funding!$J$73:$BJ$73,Construction!$J$12:$BJ$12,"&lt;="&amp;Time!AH20),Debt!AH116)</f>
        <v>173.871450847701</v>
      </c>
      <c r="AI22" s="13" t="n">
        <f aca="false">IF(Time!AI20&lt;Time!$F$12,SUMIFS(Funding!$J$73:$BJ$73,Construction!$J$12:$BJ$12,"&lt;="&amp;Time!AI20),Debt!AI116)</f>
        <v>138.07301540943</v>
      </c>
      <c r="AJ22" s="13" t="n">
        <f aca="false">IF(Time!AJ20&lt;Time!$F$12,SUMIFS(Funding!$J$73:$BJ$73,Construction!$J$12:$BJ$12,"&lt;="&amp;Time!AJ20),Debt!AJ116)</f>
        <v>101.209618192931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201.179800013038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199.609753880003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197.133093507459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195.17571433348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192.473880536789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190.471566141685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187.170354795926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182.795225745708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179.411798056718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176.477537071275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172.770327062621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175.227798295173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176.885742127835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178.820147366827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179.556813073586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179.529880418901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178.692075906442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177.189999107182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174.319014384184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170.2403106269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164.158029559979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140.343988632549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116.971180207517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88.6054899163014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62.3093307599399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23.2570972994465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1.07720123739622</v>
      </c>
      <c r="AK25" s="13" t="n">
        <f aca="false">MAX(0,AK12)</f>
        <v>8.96302909412297</v>
      </c>
      <c r="AL25" s="13" t="n">
        <f aca="false">MAX(0,AL12)</f>
        <v>16.5146381858174</v>
      </c>
      <c r="AM25" s="13" t="n">
        <f aca="false">MAX(0,AM12)</f>
        <v>25.4980940564159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24.3224689053527</v>
      </c>
      <c r="R27" s="18" t="n">
        <f aca="false">Waterfall!R43</f>
        <v>31.8920250095417</v>
      </c>
      <c r="S27" s="18" t="n">
        <f aca="false">Waterfall!S43</f>
        <v>40.6844406600091</v>
      </c>
      <c r="T27" s="18" t="n">
        <f aca="false">Waterfall!T43</f>
        <v>49.8979054498641</v>
      </c>
      <c r="U27" s="18" t="n">
        <f aca="false">Waterfall!U43</f>
        <v>60.3278072973303</v>
      </c>
      <c r="V27" s="18" t="n">
        <f aca="false">Waterfall!V43</f>
        <v>69.0202480966491</v>
      </c>
      <c r="W27" s="18" t="n">
        <f aca="false">Waterfall!W43</f>
        <v>81.5213772806053</v>
      </c>
      <c r="X27" s="18" t="n">
        <f aca="false">Waterfall!X43</f>
        <v>94.6394525563312</v>
      </c>
      <c r="Y27" s="18" t="n">
        <f aca="false">Waterfall!Y43</f>
        <v>105.936855327458</v>
      </c>
      <c r="Z27" s="18" t="n">
        <f aca="false">Waterfall!Z43</f>
        <v>112.354058322813</v>
      </c>
      <c r="AA27" s="18" t="n">
        <f aca="false">Waterfall!AA43</f>
        <v>119.74269785278</v>
      </c>
      <c r="AB27" s="18" t="n">
        <f aca="false">Waterfall!AB43</f>
        <v>127.695759759948</v>
      </c>
      <c r="AC27" s="18" t="n">
        <f aca="false">Waterfall!AC43</f>
        <v>136.749408278269</v>
      </c>
      <c r="AD27" s="18" t="n">
        <f aca="false">Waterfall!AD43</f>
        <v>137.308272581997</v>
      </c>
      <c r="AE27" s="18" t="n">
        <f aca="false">Waterfall!AE43</f>
        <v>148.798896122712</v>
      </c>
      <c r="AF27" s="18" t="n">
        <f aca="false">Waterfall!AF43</f>
        <v>160.606567762379</v>
      </c>
      <c r="AG27" s="18" t="n">
        <f aca="false">Waterfall!AG43</f>
        <v>173.572678818444</v>
      </c>
      <c r="AH27" s="18" t="n">
        <f aca="false">Waterfall!AH43</f>
        <v>187.580834002306</v>
      </c>
      <c r="AI27" s="18" t="n">
        <f aca="false">Waterfall!AI43</f>
        <v>202.968800961556</v>
      </c>
      <c r="AJ27" s="18" t="n">
        <f aca="false">Waterfall!AJ43</f>
        <v>219.497318254946</v>
      </c>
      <c r="AK27" s="18" t="n">
        <f aca="false">Waterfall!AK43</f>
        <v>237.523151647278</v>
      </c>
      <c r="AL27" s="18" t="n">
        <f aca="false">Waterfall!AL43</f>
        <v>254.768383225625</v>
      </c>
      <c r="AM27" s="18" t="n">
        <f aca="false">Waterfall!AM43</f>
        <v>275.352192573832</v>
      </c>
      <c r="AN27" s="18" t="n">
        <f aca="false">Waterfall!AN43</f>
        <v>297.565222913223</v>
      </c>
      <c r="AO27" s="18" t="n">
        <f aca="false">Waterfall!AO43</f>
        <v>321.108718658614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282.978611470769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97.7318221903982</v>
      </c>
      <c r="BD27" s="18" t="n">
        <f aca="false">Waterfall!BD43</f>
        <v>89.8897839692382</v>
      </c>
      <c r="BE27" s="18" t="n">
        <f aca="false">Waterfall!BE43</f>
        <v>82.6223382422656</v>
      </c>
      <c r="BF27" s="18" t="n">
        <f aca="false">Waterfall!BF43</f>
        <v>74.8149197117576</v>
      </c>
      <c r="BG27" s="18" t="n">
        <f aca="false">Waterfall!BG43</f>
        <v>67.5848814330647</v>
      </c>
      <c r="BH27" s="18" t="n">
        <f aca="false">Waterfall!BH43</f>
        <v>59.8102249018335</v>
      </c>
      <c r="BI27" s="18" t="n">
        <f aca="false">Waterfall!BI43</f>
        <v>52.5288168313341</v>
      </c>
      <c r="BJ27" s="18" t="n">
        <f aca="false">Waterfall!BJ43</f>
        <v>25.0569291745698</v>
      </c>
      <c r="BK27" s="18" t="n">
        <f aca="false">Waterfall!BK43</f>
        <v>15.3762162684428</v>
      </c>
      <c r="BL27" s="18" t="n">
        <f aca="false">Waterfall!BL43</f>
        <v>4.8736332599167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904.47554042314</v>
      </c>
      <c r="Q28" s="13" t="n">
        <f aca="false">Q22+Q23+Q24+Q25+Q26+Q27</f>
        <v>894.663828464646</v>
      </c>
      <c r="R28" s="13" t="n">
        <f aca="false">R22+R23+R24+R25+R26+R27</f>
        <v>882.332270520356</v>
      </c>
      <c r="S28" s="13" t="n">
        <f aca="false">S22+S23+S24+S25+S26+S27</f>
        <v>872.620081951408</v>
      </c>
      <c r="T28" s="13" t="n">
        <f aca="false">T22+T23+T24+T25+T26+T27</f>
        <v>860.680402615754</v>
      </c>
      <c r="U28" s="13" t="n">
        <f aca="false">U22+U23+U24+U25+U26+U27</f>
        <v>850.738513109651</v>
      </c>
      <c r="V28" s="13" t="n">
        <f aca="false">V22+V23+V24+V25+V26+V27</f>
        <v>835.336634647826</v>
      </c>
      <c r="W28" s="13" t="n">
        <f aca="false">W22+W23+W24+W25+W26+W27</f>
        <v>823.895147354032</v>
      </c>
      <c r="X28" s="13" t="n">
        <f aca="false">X22+X23+X24+X25+X26+X27</f>
        <v>813.701272623589</v>
      </c>
      <c r="Y28" s="13" t="n">
        <f aca="false">Y22+Y23+Y24+Y25+Y26+Y27</f>
        <v>802.763569755817</v>
      </c>
      <c r="Z28" s="13" t="n">
        <f aca="false">Z22+Z23+Z24+Z25+Z26+Z27</f>
        <v>784.015199676314</v>
      </c>
      <c r="AA28" s="13" t="n">
        <f aca="false">AA22+AA23+AA24+AA25+AA26+AA27</f>
        <v>767.598112321548</v>
      </c>
      <c r="AB28" s="13" t="n">
        <f aca="false">AB22+AB23+AB24+AB25+AB26+AB27</f>
        <v>747.988959816182</v>
      </c>
      <c r="AC28" s="13" t="n">
        <f aca="false">AC22+AC23+AC24+AC25+AC26+AC27</f>
        <v>730.267747586512</v>
      </c>
      <c r="AD28" s="13" t="n">
        <f aca="false">AD22+AD23+AD24+AD25+AD26+AD27</f>
        <v>698.403417325957</v>
      </c>
      <c r="AE28" s="13" t="n">
        <f aca="false">AE22+AE23+AE24+AE25+AE26+AE27</f>
        <v>678.085604638553</v>
      </c>
      <c r="AF28" s="13" t="n">
        <f aca="false">AF22+AF23+AF24+AF25+AF26+AF27</f>
        <v>655.399088307981</v>
      </c>
      <c r="AG28" s="13" t="n">
        <f aca="false">AG22+AG23+AG24+AG25+AG26+AG27</f>
        <v>633.546528816233</v>
      </c>
      <c r="AH28" s="13" t="n">
        <f aca="false">AH22+AH23+AH24+AH25+AH26+AH27</f>
        <v>608.432533051648</v>
      </c>
      <c r="AI28" s="13" t="n">
        <f aca="false">AI22+AI23+AI24+AI25+AI26+AI27</f>
        <v>584.985674593108</v>
      </c>
      <c r="AJ28" s="13" t="n">
        <f aca="false">AJ22+AJ23+AJ24+AJ25+AJ26+AJ27</f>
        <v>559.40110551186</v>
      </c>
      <c r="AK28" s="13" t="n">
        <f aca="false">AK22+AK23+AK24+AK25+AK26+AK27</f>
        <v>540.895861142467</v>
      </c>
      <c r="AL28" s="13" t="n">
        <f aca="false">AL22+AL23+AL24+AL25+AL26+AL27</f>
        <v>519.914722570414</v>
      </c>
      <c r="AM28" s="13" t="n">
        <f aca="false">AM22+AM23+AM24+AM25+AM26+AM27</f>
        <v>500.411942673218</v>
      </c>
      <c r="AN28" s="13" t="n">
        <f aca="false">AN22+AN23+AN24+AN25+AN26+AN27</f>
        <v>485.848660664939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-309.468307663194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-2.05251403938643</v>
      </c>
      <c r="AO33" s="13" t="n">
        <f aca="false">-Tax!AO27</f>
        <v>-9.08604574235052</v>
      </c>
      <c r="AP33" s="13" t="n">
        <f aca="false">-Tax!AP27</f>
        <v>-9.81835053837603</v>
      </c>
      <c r="AQ33" s="13" t="n">
        <f aca="false">-Tax!AQ27</f>
        <v>-10.1871116984304</v>
      </c>
      <c r="AR33" s="13" t="n">
        <f aca="false">-Tax!AR27</f>
        <v>-10.2162641220063</v>
      </c>
      <c r="AS33" s="13" t="n">
        <f aca="false">-Tax!AS27</f>
        <v>-10.2933004796971</v>
      </c>
      <c r="AT33" s="13" t="n">
        <f aca="false">-Tax!AT27</f>
        <v>-5.87536413348984</v>
      </c>
      <c r="AU33" s="13" t="n">
        <f aca="false">-Tax!AU27</f>
        <v>-10.4153548134743</v>
      </c>
      <c r="AV33" s="13" t="n">
        <f aca="false">-Tax!AV27</f>
        <v>-10.3851616891707</v>
      </c>
      <c r="AW33" s="13" t="n">
        <f aca="false">-Tax!AW27</f>
        <v>-10.4346417534422</v>
      </c>
      <c r="AX33" s="13" t="n">
        <f aca="false">-Tax!AX27</f>
        <v>-10.4923787623301</v>
      </c>
      <c r="AY33" s="13" t="n">
        <f aca="false">-Tax!AY27</f>
        <v>-10.5294451861396</v>
      </c>
      <c r="AZ33" s="13" t="n">
        <f aca="false">-Tax!AZ27</f>
        <v>-10.5609027600314</v>
      </c>
      <c r="BA33" s="13" t="n">
        <f aca="false">-Tax!BA27</f>
        <v>-10.6302742388706</v>
      </c>
      <c r="BB33" s="13" t="n">
        <f aca="false">-Tax!BB27</f>
        <v>-9.66584639380012</v>
      </c>
      <c r="BC33" s="13" t="n">
        <f aca="false">-Tax!BC27</f>
        <v>-12.672268492559</v>
      </c>
      <c r="BD33" s="13" t="n">
        <f aca="false">-Tax!BD27</f>
        <v>-16.5169055151699</v>
      </c>
      <c r="BE33" s="13" t="n">
        <f aca="false">-Tax!BE27</f>
        <v>-16.5704045014369</v>
      </c>
      <c r="BF33" s="13" t="n">
        <f aca="false">-Tax!BF27</f>
        <v>-16.6335594643079</v>
      </c>
      <c r="BG33" s="13" t="n">
        <f aca="false">-Tax!BG27</f>
        <v>-16.6732432500576</v>
      </c>
      <c r="BH33" s="13" t="n">
        <f aca="false">-Tax!BH27</f>
        <v>-16.7071881798589</v>
      </c>
      <c r="BI33" s="13" t="n">
        <f aca="false">-Tax!BI27</f>
        <v>-16.7991669605017</v>
      </c>
      <c r="BJ33" s="13" t="n">
        <f aca="false">-Tax!BJ27</f>
        <v>-11.57728517718</v>
      </c>
      <c r="BK33" s="13" t="n">
        <f aca="false">-Tax!BK27</f>
        <v>-16.9445491004058</v>
      </c>
      <c r="BL33" s="13" t="n">
        <f aca="false">-Tax!BL27</f>
        <v>-16.9051927819825</v>
      </c>
      <c r="BM33" s="13" t="n">
        <f aca="false">-Tax!BM27</f>
        <v>-5.58309497906883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2313.73546778171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50.1619722181901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49.391678835263</v>
      </c>
      <c r="AO36" s="13" t="n">
        <f aca="false">AO32+AO33+AO34+AO35</f>
        <v>41.9876004260199</v>
      </c>
      <c r="AP36" s="13" t="n">
        <f aca="false">AP32+AP33+AP34+AP35</f>
        <v>41.9557753672183</v>
      </c>
      <c r="AQ36" s="13" t="n">
        <f aca="false">AQ32+AQ33+AQ34+AQ35</f>
        <v>41.1745993340732</v>
      </c>
      <c r="AR36" s="13" t="n">
        <f aca="false">AR32+AR33+AR34+AR35</f>
        <v>41.770960831035</v>
      </c>
      <c r="AS36" s="13" t="n">
        <f aca="false">AS32+AS33+AS34+AS35</f>
        <v>41.5056129118261</v>
      </c>
      <c r="AT36" s="13" t="n">
        <f aca="false">AT32+AT33+AT34+AT35</f>
        <v>48.238693031292</v>
      </c>
      <c r="AU36" s="13" t="n">
        <f aca="false">AU32+AU33+AU34+AU35</f>
        <v>43.8015207396234</v>
      </c>
      <c r="AV36" s="13" t="n">
        <f aca="false">AV32+AV33+AV34+AV35</f>
        <v>43.9250195431293</v>
      </c>
      <c r="AW36" s="13" t="n">
        <f aca="false">AW32+AW33+AW34+AW35</f>
        <v>43.5006347551928</v>
      </c>
      <c r="AX36" s="13" t="n">
        <f aca="false">AX32+AX33+AX34+AX35</f>
        <v>44.1754747855326</v>
      </c>
      <c r="AY36" s="13" t="n">
        <f aca="false">AY32+AY33+AY34+AY35</f>
        <v>43.7185522989792</v>
      </c>
      <c r="AZ36" s="13" t="n">
        <f aca="false">AZ32+AZ33+AZ34+AZ35</f>
        <v>44.3364424388821</v>
      </c>
      <c r="BA36" s="13" t="n">
        <f aca="false">BA32+BA33+BA34+BA35</f>
        <v>44.0387981074297</v>
      </c>
      <c r="BB36" s="13" t="n">
        <f aca="false">BB32+BB33+BB34+BB35</f>
        <v>46.2859599813229</v>
      </c>
      <c r="BC36" s="13" t="n">
        <f aca="false">BC32+BC33+BC34+BC35</f>
        <v>42.8868801360933</v>
      </c>
      <c r="BD36" s="13" t="n">
        <f aca="false">BD32+BD33+BD34+BD35</f>
        <v>36.7877288372509</v>
      </c>
      <c r="BE36" s="13" t="n">
        <f aca="false">BE32+BE33+BE34+BE35</f>
        <v>36.3547514317289</v>
      </c>
      <c r="BF36" s="13" t="n">
        <f aca="false">BF32+BF33+BF34+BF35</f>
        <v>37.0590535569129</v>
      </c>
      <c r="BG36" s="13" t="n">
        <f aca="false">BG32+BG33+BG34+BG35</f>
        <v>36.5914221765451</v>
      </c>
      <c r="BH36" s="13" t="n">
        <f aca="false">BH32+BH33+BH34+BH35</f>
        <v>37.2325862972185</v>
      </c>
      <c r="BI36" s="13" t="n">
        <f aca="false">BI32+BI33+BI34+BI35</f>
        <v>36.9714857368546</v>
      </c>
      <c r="BJ36" s="13" t="n">
        <f aca="false">BJ32+BJ33+BJ34+BJ35</f>
        <v>44.9952970300032</v>
      </c>
      <c r="BK36" s="13" t="n">
        <f aca="false">BK32+BK33+BK34+BK35</f>
        <v>39.7456545221627</v>
      </c>
      <c r="BL36" s="13" t="n">
        <f aca="false">BL32+BL33+BL34+BL35</f>
        <v>40.4938056453036</v>
      </c>
      <c r="BM36" s="13" t="n">
        <f aca="false">BM32+BM33+BM34+BM35</f>
        <v>36.9078074684487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-870.677012700924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-38.6616967746567</v>
      </c>
      <c r="R37" s="13" t="n">
        <f aca="false">-(Debt!R114+Debt!R110)</f>
        <v>-39.1144283831714</v>
      </c>
      <c r="S37" s="13" t="n">
        <f aca="false">-(Debt!S114+Debt!S110)</f>
        <v>-38.7574063557963</v>
      </c>
      <c r="T37" s="13" t="n">
        <f aca="false">-(Debt!T114+Debt!T110)</f>
        <v>-39.1557336731761</v>
      </c>
      <c r="U37" s="13" t="n">
        <f aca="false">-(Debt!U114+Debt!U110)</f>
        <v>-38.9152650446619</v>
      </c>
      <c r="V37" s="13" t="n">
        <f aca="false">-(Debt!V114+Debt!V110)</f>
        <v>-39.6006594730367</v>
      </c>
      <c r="W37" s="13" t="n">
        <f aca="false">-(Debt!W114+Debt!W110)</f>
        <v>-39.2657193975113</v>
      </c>
      <c r="X37" s="13" t="n">
        <f aca="false">-(Debt!X114+Debt!X110)</f>
        <v>-38.1387094828572</v>
      </c>
      <c r="Y37" s="13" t="n">
        <f aca="false">-(Debt!Y114+Debt!Y110)</f>
        <v>-37.7136071834051</v>
      </c>
      <c r="Z37" s="13" t="n">
        <f aca="false">-(Debt!Z114+Debt!Z110)</f>
        <v>-37.9837522021192</v>
      </c>
      <c r="AA37" s="13" t="n">
        <f aca="false">-(Debt!AA114+Debt!AA110)</f>
        <v>-37.6175484161408</v>
      </c>
      <c r="AB37" s="13" t="n">
        <f aca="false">-(Debt!AB114+Debt!AB110)</f>
        <v>-37.353358262077</v>
      </c>
      <c r="AC37" s="13" t="n">
        <f aca="false">-(Debt!AC114+Debt!AC110)</f>
        <v>-36.3362339167633</v>
      </c>
      <c r="AD37" s="13" t="n">
        <f aca="false">-(Debt!AD114+Debt!AD110)</f>
        <v>-36.8291842456158</v>
      </c>
      <c r="AE37" s="13" t="n">
        <f aca="false">-(Debt!AE114+Debt!AE110)</f>
        <v>-35.7674756331387</v>
      </c>
      <c r="AF37" s="13" t="n">
        <f aca="false">-(Debt!AF114+Debt!AF110)</f>
        <v>-34.5912068330709</v>
      </c>
      <c r="AG37" s="13" t="n">
        <f aca="false">-(Debt!AG114+Debt!AG110)</f>
        <v>-32.7772761899768</v>
      </c>
      <c r="AH37" s="13" t="n">
        <f aca="false">-(Debt!AH114+Debt!AH110)</f>
        <v>-31.4460618499791</v>
      </c>
      <c r="AI37" s="13" t="n">
        <f aca="false">-(Debt!AI114+Debt!AI110)</f>
        <v>-29.0324720005843</v>
      </c>
      <c r="AJ37" s="13" t="n">
        <f aca="false">-(Debt!AJ114+Debt!AJ110)</f>
        <v>-26.6699843097971</v>
      </c>
      <c r="AK37" s="13" t="n">
        <f aca="false">-(Debt!AK114+Debt!AK110)</f>
        <v>-22.9528264996932</v>
      </c>
      <c r="AL37" s="13" t="n">
        <f aca="false">-(Debt!AL114+Debt!AL110)</f>
        <v>-23.4763917647792</v>
      </c>
      <c r="AM37" s="13" t="n">
        <f aca="false">-(Debt!AM114+Debt!AM110)</f>
        <v>-23.3984025110587</v>
      </c>
      <c r="AN37" s="13" t="n">
        <f aca="false">-(Debt!AN114+Debt!AN110)</f>
        <v>-19.0235505071657</v>
      </c>
      <c r="AO37" s="13" t="n">
        <f aca="false">-(Debt!AO114+Debt!AO110)</f>
        <v>-18.8521663535949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-93.0638003635155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-5.6816678738635</v>
      </c>
      <c r="AB43" s="13" t="n">
        <f aca="false">-(Waterfall!AB28+Waterfall!AB29)</f>
        <v>-6.73378743911777</v>
      </c>
      <c r="AC43" s="13" t="n">
        <f aca="false">-(Waterfall!AC28+Waterfall!AC29)</f>
        <v>-6.44464813468057</v>
      </c>
      <c r="AD43" s="13" t="n">
        <f aca="false">-(Waterfall!AD28+Waterfall!AD29)</f>
        <v>-7.82710463836991</v>
      </c>
      <c r="AE43" s="13" t="n">
        <f aca="false">-(Waterfall!AE28+Waterfall!AE29)</f>
        <v>-8.48578032811019</v>
      </c>
      <c r="AF43" s="13" t="n">
        <f aca="false">-(Waterfall!AF28+Waterfall!AF29)</f>
        <v>-9.43556426512269</v>
      </c>
      <c r="AG43" s="13" t="n">
        <f aca="false">-(Waterfall!AG28+Waterfall!AG29)</f>
        <v>-9.92018706011367</v>
      </c>
      <c r="AH43" s="13" t="n">
        <f aca="false">-(Waterfall!AH28+Waterfall!AH29)</f>
        <v>-11.3566865980485</v>
      </c>
      <c r="AI43" s="13" t="n">
        <f aca="false">-(Waterfall!AI28+Waterfall!AI29)</f>
        <v>-12.2908008869718</v>
      </c>
      <c r="AJ43" s="13" t="n">
        <f aca="false">-(Waterfall!AJ28+Waterfall!AJ29)</f>
        <v>-14.2351595046146</v>
      </c>
      <c r="AK43" s="13" t="n">
        <f aca="false">-(Waterfall!AK28+Waterfall!AK29)</f>
        <v>-0.652413634502291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-417.156922437139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-13.4925092677511</v>
      </c>
      <c r="Q44" s="13" t="n">
        <f aca="false">-(Waterfall!Q34+Waterfall!Q35)</f>
        <v>-11.0475438350187</v>
      </c>
      <c r="R44" s="13" t="n">
        <f aca="false">-(Waterfall!R34+Waterfall!R35)</f>
        <v>-12.0360535172629</v>
      </c>
      <c r="S44" s="13" t="n">
        <f aca="false">-(Waterfall!S34+Waterfall!S35)</f>
        <v>-11.2442381955162</v>
      </c>
      <c r="T44" s="13" t="n">
        <f aca="false">-(Waterfall!T34+Waterfall!T35)</f>
        <v>-12.0488789653183</v>
      </c>
      <c r="U44" s="13" t="n">
        <f aca="false">-(Waterfall!U34+Waterfall!U35)</f>
        <v>-11.1197757498465</v>
      </c>
      <c r="V44" s="13" t="n">
        <f aca="false">-(Waterfall!V34+Waterfall!V35)</f>
        <v>-12.422972924271</v>
      </c>
      <c r="W44" s="13" t="n">
        <f aca="false">-(Waterfall!W34+Waterfall!W35)</f>
        <v>-13.1926475453303</v>
      </c>
      <c r="X44" s="13" t="n">
        <f aca="false">-(Waterfall!X34+Waterfall!X35)</f>
        <v>-12.1375661712774</v>
      </c>
      <c r="Y44" s="13" t="n">
        <f aca="false">-(Waterfall!Y34+Waterfall!Y35)</f>
        <v>-11.3862770610192</v>
      </c>
      <c r="Z44" s="13" t="n">
        <f aca="false">-(Waterfall!Z34+Waterfall!Z35)</f>
        <v>-12.1587917840126</v>
      </c>
      <c r="AA44" s="13" t="n">
        <f aca="false">-(Waterfall!AA34+Waterfall!AA35)</f>
        <v>-5.6816678738635</v>
      </c>
      <c r="AB44" s="13" t="n">
        <f aca="false">-(Waterfall!AB34+Waterfall!AB35)</f>
        <v>-6.73378743911777</v>
      </c>
      <c r="AC44" s="13" t="n">
        <f aca="false">-(Waterfall!AC34+Waterfall!AC35)</f>
        <v>-6.44464813468057</v>
      </c>
      <c r="AD44" s="13" t="n">
        <f aca="false">-(Waterfall!AD34+Waterfall!AD35)</f>
        <v>-7.82710463836991</v>
      </c>
      <c r="AE44" s="13" t="n">
        <f aca="false">-(Waterfall!AE34+Waterfall!AE35)</f>
        <v>-8.48578032811019</v>
      </c>
      <c r="AF44" s="13" t="n">
        <f aca="false">-(Waterfall!AF34+Waterfall!AF35)</f>
        <v>-9.43556426512269</v>
      </c>
      <c r="AG44" s="13" t="n">
        <f aca="false">-(Waterfall!AG34+Waterfall!AG35)</f>
        <v>-9.92018706011367</v>
      </c>
      <c r="AH44" s="13" t="n">
        <f aca="false">-(Waterfall!AH34+Waterfall!AH35)</f>
        <v>-11.3566865980485</v>
      </c>
      <c r="AI44" s="13" t="n">
        <f aca="false">-(Waterfall!AI34+Waterfall!AI35)</f>
        <v>-12.2908008869718</v>
      </c>
      <c r="AJ44" s="13" t="n">
        <f aca="false">-(Waterfall!AJ34+Waterfall!AJ35)</f>
        <v>-14.2351595046146</v>
      </c>
      <c r="AK44" s="13" t="n">
        <f aca="false">-(Waterfall!AK34+Waterfall!AK35)</f>
        <v>-31.5901843002851</v>
      </c>
      <c r="AL44" s="13" t="n">
        <f aca="false">-(Waterfall!AL34+Waterfall!AL35)</f>
        <v>-30.0939397162563</v>
      </c>
      <c r="AM44" s="13" t="n">
        <f aca="false">-(Waterfall!AM34+Waterfall!AM35)</f>
        <v>-33.8761545204437</v>
      </c>
      <c r="AN44" s="13" t="n">
        <f aca="false">-(Waterfall!AN34+Waterfall!AN35)</f>
        <v>-30.5395124816682</v>
      </c>
      <c r="AO44" s="13" t="n">
        <f aca="false">-(Waterfall!AO34+Waterfall!AO35)</f>
        <v>-41.9876004260199</v>
      </c>
      <c r="AP44" s="13" t="n">
        <f aca="false">-(Waterfall!AP34+Waterfall!AP35)</f>
        <v>-24.3708892468282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-970.083627717231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-17.58488612039</v>
      </c>
      <c r="AQ45" s="13" t="n">
        <f aca="false">-Waterfall!AQ41</f>
        <v>-41.1745993340732</v>
      </c>
      <c r="AR45" s="13" t="n">
        <f aca="false">-Waterfall!AR41</f>
        <v>-41.770960831035</v>
      </c>
      <c r="AS45" s="13" t="n">
        <f aca="false">-Waterfall!AS41</f>
        <v>-41.5056129118261</v>
      </c>
      <c r="AT45" s="13" t="n">
        <f aca="false">-Waterfall!AT41</f>
        <v>-48.238693031292</v>
      </c>
      <c r="AU45" s="13" t="n">
        <f aca="false">-Waterfall!AU41</f>
        <v>-43.8015207396234</v>
      </c>
      <c r="AV45" s="13" t="n">
        <f aca="false">-Waterfall!AV41</f>
        <v>-43.9250195431293</v>
      </c>
      <c r="AW45" s="13" t="n">
        <f aca="false">-Waterfall!AW41</f>
        <v>-43.5006347551928</v>
      </c>
      <c r="AX45" s="13" t="n">
        <f aca="false">-Waterfall!AX41</f>
        <v>-44.1754747855326</v>
      </c>
      <c r="AY45" s="13" t="n">
        <f aca="false">-Waterfall!AY41</f>
        <v>-43.7185522989792</v>
      </c>
      <c r="AZ45" s="13" t="n">
        <f aca="false">-Waterfall!AZ41</f>
        <v>-44.3364424388821</v>
      </c>
      <c r="BA45" s="13" t="n">
        <f aca="false">-Waterfall!BA41</f>
        <v>-43.543829720821</v>
      </c>
      <c r="BB45" s="13" t="n">
        <f aca="false">-Waterfall!BB41</f>
        <v>-44.7848097266784</v>
      </c>
      <c r="BC45" s="13" t="n">
        <f aca="false">-Waterfall!BC41</f>
        <v>-41.3693070627511</v>
      </c>
      <c r="BD45" s="13" t="n">
        <f aca="false">-Waterfall!BD41</f>
        <v>-35.2535532770043</v>
      </c>
      <c r="BE45" s="13" t="n">
        <f aca="false">-Waterfall!BE41</f>
        <v>-34.8037917507731</v>
      </c>
      <c r="BF45" s="13" t="n">
        <f aca="false">-Waterfall!BF41</f>
        <v>-35.4911261343409</v>
      </c>
      <c r="BG45" s="13" t="n">
        <f aca="false">-Waterfall!BG41</f>
        <v>-35.0063413826083</v>
      </c>
      <c r="BH45" s="13" t="n">
        <f aca="false">-Waterfall!BH41</f>
        <v>-35.6301644713499</v>
      </c>
      <c r="BI45" s="13" t="n">
        <f aca="false">-Waterfall!BI41</f>
        <v>-35.3515331654512</v>
      </c>
      <c r="BJ45" s="13" t="n">
        <f aca="false">-Waterfall!BJ41</f>
        <v>-43.3576219239654</v>
      </c>
      <c r="BK45" s="13" t="n">
        <f aca="false">-Waterfall!BK41</f>
        <v>-38.0900629941884</v>
      </c>
      <c r="BL45" s="13" t="n">
        <f aca="false">-Waterfall!BL41</f>
        <v>-38.8201016869331</v>
      </c>
      <c r="BM45" s="13" t="n">
        <f aca="false">-Waterfall!BM41</f>
        <v>-54.8489876304097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39.1181426349184</v>
      </c>
      <c r="P49" s="13" t="n">
        <f aca="false">P36+P37+P38+P39+P40+P41+P42+P43+P44+P45+P46+P47+P48</f>
        <v>-0.0401775578068779</v>
      </c>
      <c r="Q49" s="13" t="n">
        <f aca="false">Q36+Q37+Q38+Q39+Q40+Q41+Q42+Q43+Q44+Q45+Q46+Q47+Q48</f>
        <v>0.868999910969549</v>
      </c>
      <c r="R49" s="13" t="n">
        <f aca="false">R36+R37+R38+R39+R40+R41+R42+R43+R44+R45+R46+R47+R48</f>
        <v>0.0592462750798006</v>
      </c>
      <c r="S49" s="13" t="n">
        <f aca="false">S36+S37+S38+S39+S40+S41+S42+S43+S44+S45+S46+S47+S48</f>
        <v>0.814595619834655</v>
      </c>
      <c r="T49" s="13" t="n">
        <f aca="false">T36+T37+T38+T39+T40+T41+T42+T43+T44+T45+T46+T47+T48</f>
        <v>0.17579967394061</v>
      </c>
      <c r="U49" s="13" t="n">
        <f aca="false">U36+U37+U38+U39+U40+U41+U42+U43+U44+U45+U46+U47+U48</f>
        <v>1.10166273082968</v>
      </c>
      <c r="V49" s="13" t="n">
        <f aca="false">V36+V37+V38+V39+V40+V41+V42+V43+V44+V45+V46+V47+V48</f>
        <v>-2.83254989025453</v>
      </c>
      <c r="W49" s="13" t="n">
        <f aca="false">W36+W37+W38+W39+W40+W41+W42+W43+W44+W45+W46+W47+W48</f>
        <v>-1.12700991465414</v>
      </c>
      <c r="X49" s="13" t="n">
        <f aca="false">X36+X37+X38+X39+X40+X41+X42+X43+X44+X45+X46+X47+X48</f>
        <v>1.54764024418142</v>
      </c>
      <c r="Y49" s="13" t="n">
        <f aca="false">Y36+Y37+Y38+Y39+Y40+Y41+Y42+Y43+Y44+Y45+Y46+Y47+Y48</f>
        <v>2.24288756234752</v>
      </c>
      <c r="Z49" s="13" t="n">
        <f aca="false">Z36+Z37+Z38+Z39+Z40+Z41+Z42+Z43+Z44+Z45+Z46+Z47+Z48</f>
        <v>1.60653875765501</v>
      </c>
      <c r="AA49" s="13" t="n">
        <f aca="false">AA36+AA37+AA38+AA39+AA40+AA41+AA42+AA43+AA44+AA45+AA46+AA47+AA48</f>
        <v>2.36714631155903</v>
      </c>
      <c r="AB49" s="13" t="n">
        <f aca="false">AB36+AB37+AB38+AB39+AB40+AB41+AB42+AB43+AB44+AB45+AB46+AB47+AB48</f>
        <v>1.1082200598019</v>
      </c>
      <c r="AC49" s="13" t="n">
        <f aca="false">AC36+AC37+AC38+AC39+AC40+AC41+AC42+AC43+AC44+AC45+AC46+AC47+AC48</f>
        <v>2.49866680019877</v>
      </c>
      <c r="AD49" s="13" t="n">
        <f aca="false">AD36+AD37+AD38+AD39+AD40+AD41+AD42+AD43+AD44+AD45+AD46+AD47+AD48</f>
        <v>-12.6573061014172</v>
      </c>
      <c r="AE49" s="13" t="n">
        <f aca="false">AE36+AE37+AE38+AE39+AE40+AE41+AE42+AE43+AE44+AE45+AE46+AE47+AE48</f>
        <v>-0.993204351692263</v>
      </c>
      <c r="AF49" s="13" t="n">
        <f aca="false">AF36+AF37+AF38+AF39+AF40+AF41+AF42+AF43+AF44+AF45+AF46+AF47+AF48</f>
        <v>-1.06022175560752</v>
      </c>
      <c r="AG49" s="13" t="n">
        <f aca="false">AG36+AG37+AG38+AG39+AG40+AG41+AG42+AG43+AG44+AG45+AG46+AG47+AG48</f>
        <v>-0.582943203381246</v>
      </c>
      <c r="AH49" s="13" t="n">
        <f aca="false">AH36+AH37+AH38+AH39+AH40+AH41+AH42+AH43+AH44+AH45+AH46+AH47+AH48</f>
        <v>-1.45526241297682</v>
      </c>
      <c r="AI49" s="13" t="n">
        <f aca="false">AI36+AI37+AI38+AI39+AI40+AI41+AI42+AI43+AI44+AI45+AI46+AI47+AI48</f>
        <v>-1.31740506909408</v>
      </c>
      <c r="AJ49" s="13" t="n">
        <f aca="false">AJ36+AJ37+AJ38+AJ39+AJ40+AJ41+AJ42+AJ43+AJ44+AJ45+AJ46+AJ47+AJ48</f>
        <v>-2.24227707547181</v>
      </c>
      <c r="AK49" s="13" t="n">
        <f aca="false">AK36+AK37+AK38+AK39+AK40+AK41+AK42+AK43+AK44+AK45+AK46+AK47+AK48</f>
        <v>-2.53546353878908</v>
      </c>
      <c r="AL49" s="13" t="n">
        <f aca="false">AL36+AL37+AL38+AL39+AL40+AL41+AL42+AL43+AL44+AL45+AL46+AL47+AL48</f>
        <v>-3.26732319911208</v>
      </c>
      <c r="AM49" s="13" t="n">
        <f aca="false">AM36+AM37+AM38+AM39+AM40+AM41+AM42+AM43+AM44+AM45+AM46+AM47+AM48</f>
        <v>-4.374852003893</v>
      </c>
      <c r="AN49" s="13" t="n">
        <f aca="false">AN36+AN37+AN38+AN39+AN40+AN41+AN42+AN43+AN44+AN45+AN46+AN47+AN48</f>
        <v>2.17650493191611</v>
      </c>
      <c r="AO49" s="13" t="n">
        <f aca="false">AO36+AO37+AO38+AO39+AO40+AO41+AO42+AO43+AO44+AO45+AO46+AO47+AO48</f>
        <v>-16.5042772681079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1.4158013375602</v>
      </c>
      <c r="Q50" s="13" t="n">
        <f aca="false">Reserves!Q11-Reserves!Q10-Reserves!Q12</f>
        <v>0.452731608514689</v>
      </c>
      <c r="R50" s="13" t="n">
        <f aca="false">Reserves!R11-Reserves!R10-Reserves!R12</f>
        <v>-0.357022027375059</v>
      </c>
      <c r="S50" s="13" t="n">
        <f aca="false">Reserves!S11-Reserves!S10-Reserves!S12</f>
        <v>0.398327317379795</v>
      </c>
      <c r="T50" s="13" t="n">
        <f aca="false">Reserves!T11-Reserves!T10-Reserves!T12</f>
        <v>-0.24046862851425</v>
      </c>
      <c r="U50" s="13" t="n">
        <f aca="false">Reserves!U11-Reserves!U10-Reserves!U12</f>
        <v>0.685394428374821</v>
      </c>
      <c r="V50" s="13" t="n">
        <f aca="false">Reserves!V11-Reserves!V10-Reserves!V12</f>
        <v>-0.334940075525367</v>
      </c>
      <c r="W50" s="13" t="n">
        <f aca="false">Reserves!W11-Reserves!W10-Reserves!W12</f>
        <v>-1.12700991465414</v>
      </c>
      <c r="X50" s="13" t="n">
        <f aca="false">Reserves!X11-Reserves!X10-Reserves!X12</f>
        <v>-0.425102299452036</v>
      </c>
      <c r="Y50" s="13" t="n">
        <f aca="false">Reserves!Y11-Reserves!Y10-Reserves!Y12</f>
        <v>0.270145018714061</v>
      </c>
      <c r="Z50" s="13" t="n">
        <f aca="false">Reserves!Z11-Reserves!Z10-Reserves!Z12</f>
        <v>-0.366203785978449</v>
      </c>
      <c r="AA50" s="13" t="n">
        <f aca="false">Reserves!AA11-Reserves!AA10-Reserves!AA12</f>
        <v>0.394403767925567</v>
      </c>
      <c r="AB50" s="13" t="n">
        <f aca="false">Reserves!AB11-Reserves!AB10-Reserves!AB12</f>
        <v>-0.864522483831557</v>
      </c>
      <c r="AC50" s="13" t="n">
        <f aca="false">Reserves!AC11-Reserves!AC10-Reserves!AC12</f>
        <v>0.525924256565311</v>
      </c>
      <c r="AD50" s="13" t="n">
        <f aca="false">Reserves!AD11-Reserves!AD10-Reserves!AD12</f>
        <v>-0.820850839616462</v>
      </c>
      <c r="AE50" s="13" t="n">
        <f aca="false">Reserves!AE11-Reserves!AE10-Reserves!AE12</f>
        <v>-0.993204351692263</v>
      </c>
      <c r="AF50" s="13" t="n">
        <f aca="false">Reserves!AF11-Reserves!AF10-Reserves!AF12</f>
        <v>-1.55564971052343</v>
      </c>
      <c r="AG50" s="13" t="n">
        <f aca="false">Reserves!AG11-Reserves!AG10-Reserves!AG12</f>
        <v>-1.07837115829716</v>
      </c>
      <c r="AH50" s="13" t="n">
        <f aca="false">Reserves!AH11-Reserves!AH10-Reserves!AH12</f>
        <v>-1.95069036789273</v>
      </c>
      <c r="AI50" s="13" t="n">
        <f aca="false">Reserves!AI11-Reserves!AI10-Reserves!AI12</f>
        <v>-1.81283302400999</v>
      </c>
      <c r="AJ50" s="13" t="n">
        <f aca="false">Reserves!AJ11-Reserves!AJ10-Reserves!AJ12</f>
        <v>-2.73770503038772</v>
      </c>
      <c r="AK50" s="13" t="n">
        <f aca="false">Reserves!AK11-Reserves!AK10-Reserves!AK12</f>
        <v>-3.030891493705</v>
      </c>
      <c r="AL50" s="13" t="n">
        <f aca="false">Reserves!AL11-Reserves!AL10-Reserves!AL12</f>
        <v>-0.2947554696166</v>
      </c>
      <c r="AM50" s="13" t="n">
        <f aca="false">Reserves!AM11-Reserves!AM10-Reserves!AM12</f>
        <v>-4.37485200389301</v>
      </c>
      <c r="AN50" s="13" t="n">
        <f aca="false">Reserves!AN11-Reserves!AN10-Reserves!AN12</f>
        <v>-0.171384153570834</v>
      </c>
      <c r="AO50" s="13" t="n">
        <f aca="false">Reserves!AO11-Reserves!AO10-Reserves!AO12</f>
        <v>-18.8521663535949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39.1181426349184</v>
      </c>
      <c r="P51" s="13" t="n">
        <f aca="false">P17-O17</f>
        <v>-0.0401775578068779</v>
      </c>
      <c r="Q51" s="13" t="n">
        <f aca="false">Q17-P17</f>
        <v>0.868999910969549</v>
      </c>
      <c r="R51" s="13" t="n">
        <f aca="false">R17-Q17</f>
        <v>0.0592462750798006</v>
      </c>
      <c r="S51" s="13" t="n">
        <f aca="false">S17-R17</f>
        <v>0.814595619834655</v>
      </c>
      <c r="T51" s="13" t="n">
        <f aca="false">T17-S17</f>
        <v>0.17579967394061</v>
      </c>
      <c r="U51" s="13" t="n">
        <f aca="false">U17-T17</f>
        <v>1.10166273082968</v>
      </c>
      <c r="V51" s="13" t="n">
        <f aca="false">V17-U17</f>
        <v>-2.83254989025453</v>
      </c>
      <c r="W51" s="13" t="n">
        <f aca="false">W17-V17</f>
        <v>-1.12700991465414</v>
      </c>
      <c r="X51" s="13" t="n">
        <f aca="false">X17-W17</f>
        <v>1.54764024418142</v>
      </c>
      <c r="Y51" s="13" t="n">
        <f aca="false">Y17-X17</f>
        <v>2.24288756234753</v>
      </c>
      <c r="Z51" s="13" t="n">
        <f aca="false">Z17-Y17</f>
        <v>1.60653875765501</v>
      </c>
      <c r="AA51" s="13" t="n">
        <f aca="false">AA17-Z17</f>
        <v>2.36714631155903</v>
      </c>
      <c r="AB51" s="13" t="n">
        <f aca="false">AB17-AA17</f>
        <v>1.1082200598019</v>
      </c>
      <c r="AC51" s="13" t="n">
        <f aca="false">AC17-AB17</f>
        <v>2.49866680019878</v>
      </c>
      <c r="AD51" s="13" t="n">
        <f aca="false">AD17-AC17</f>
        <v>-12.6573061014172</v>
      </c>
      <c r="AE51" s="13" t="n">
        <f aca="false">AE17-AD17</f>
        <v>-0.993204351692263</v>
      </c>
      <c r="AF51" s="13" t="n">
        <f aca="false">AF17-AE17</f>
        <v>-1.06022175560752</v>
      </c>
      <c r="AG51" s="13" t="n">
        <f aca="false">AG17-AF17</f>
        <v>-0.582943203381241</v>
      </c>
      <c r="AH51" s="13" t="n">
        <f aca="false">AH17-AG17</f>
        <v>-1.45526241297682</v>
      </c>
      <c r="AI51" s="13" t="n">
        <f aca="false">AI17-AH17</f>
        <v>-1.31740506909408</v>
      </c>
      <c r="AJ51" s="13" t="n">
        <f aca="false">AJ17-AI17</f>
        <v>-2.24227707547181</v>
      </c>
      <c r="AK51" s="13" t="n">
        <f aca="false">AK17-AJ17</f>
        <v>-2.53546353878908</v>
      </c>
      <c r="AL51" s="13" t="n">
        <f aca="false">AL17-AK17</f>
        <v>-3.26732319911208</v>
      </c>
      <c r="AM51" s="13" t="n">
        <f aca="false">AM17-AL17</f>
        <v>-4.37485200389301</v>
      </c>
      <c r="AN51" s="13" t="n">
        <f aca="false">AN17-AM17</f>
        <v>2.17650493191611</v>
      </c>
      <c r="AO51" s="13" t="n">
        <f aca="false">AO17-AN17</f>
        <v>-16.5042772681079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0.0364481388446553</v>
      </c>
      <c r="R7" s="16" t="n">
        <f aca="false">IF(Debt!R115&gt;Inputs!$F$253,Debt!R112/Debt!R115,0)</f>
        <v>0.0368568704278608</v>
      </c>
      <c r="S7" s="16" t="n">
        <f aca="false">IF(Debt!S115&gt;Inputs!$F$253,Debt!S112/Debt!S115,0)</f>
        <v>0.0364603172397468</v>
      </c>
      <c r="T7" s="16" t="n">
        <f aca="false">IF(Debt!T115&gt;Inputs!$F$253,Debt!T112/Debt!T115,0)</f>
        <v>0.0368692506748047</v>
      </c>
      <c r="U7" s="16" t="n">
        <f aca="false">IF(Debt!U115&gt;Inputs!$F$253,Debt!U112/Debt!U115,0)</f>
        <v>0.0365966283847661</v>
      </c>
      <c r="V7" s="16" t="n">
        <f aca="false">IF(Debt!V115&gt;Inputs!$F$253,Debt!V112/Debt!V115,0)</f>
        <v>0.0368692506748047</v>
      </c>
      <c r="W7" s="16" t="n">
        <f aca="false">IF(Debt!W115&gt;Inputs!$F$253,Debt!W112/Debt!W115,0)</f>
        <v>0.0364603172397468</v>
      </c>
      <c r="X7" s="16" t="n">
        <f aca="false">IF(Debt!X115&gt;Inputs!$F$253,Debt!X112/Debt!X115,0)</f>
        <v>0.0368692506748047</v>
      </c>
      <c r="Y7" s="16" t="n">
        <f aca="false">IF(Debt!Y115&gt;Inputs!$F$253,Debt!Y112/Debt!Y115,0)</f>
        <v>0.0375217369928333</v>
      </c>
      <c r="Z7" s="16" t="n">
        <f aca="false">IF(Debt!Z115&gt;Inputs!$F$253,Debt!Z112/Debt!Z115,0)</f>
        <v>0.0379482630204837</v>
      </c>
      <c r="AA7" s="16" t="n">
        <f aca="false">IF(Debt!AA115&gt;Inputs!$F$253,Debt!AA112/Debt!AA115,0)</f>
        <v>0.0375217369928333</v>
      </c>
      <c r="AB7" s="16" t="n">
        <f aca="false">IF(Debt!AB115&gt;Inputs!$F$253,Debt!AB112/Debt!AB115,0)</f>
        <v>0.0376299784077814</v>
      </c>
      <c r="AC7" s="16" t="n">
        <f aca="false">IF(Debt!AC115&gt;Inputs!$F$253,Debt!AC112/Debt!AC115,0)</f>
        <v>0.036945359602157</v>
      </c>
      <c r="AD7" s="16" t="n">
        <f aca="false">IF(Debt!AD115&gt;Inputs!$F$253,Debt!AD112/Debt!AD115,0)</f>
        <v>0.0367817850873652</v>
      </c>
      <c r="AE7" s="16" t="n">
        <f aca="false">IF(Debt!AE115&gt;Inputs!$F$253,Debt!AE112/Debt!AE115,0)</f>
        <v>0.0358042482366117</v>
      </c>
      <c r="AF7" s="16" t="n">
        <f aca="false">IF(Debt!AF115&gt;Inputs!$F$253,Debt!AF112/Debt!AF115,0)</f>
        <v>0.0354471435994745</v>
      </c>
      <c r="AG7" s="16" t="n">
        <f aca="false">IF(Debt!AG115&gt;Inputs!$F$253,Debt!AG112/Debt!AG115,0)</f>
        <v>0.0349343198530879</v>
      </c>
      <c r="AH7" s="16" t="n">
        <f aca="false">IF(Debt!AH115&gt;Inputs!$F$253,Debt!AH112/Debt!AH115,0)</f>
        <v>0.0339637743918206</v>
      </c>
      <c r="AI7" s="16" t="n">
        <f aca="false">IF(Debt!AI115&gt;Inputs!$F$253,Debt!AI112/Debt!AI115,0)</f>
        <v>0.031775414666119</v>
      </c>
      <c r="AJ7" s="16" t="n">
        <f aca="false">IF(Debt!AJ115&gt;Inputs!$F$253,Debt!AJ112/Debt!AJ115,0)</f>
        <v>0.0292725308122526</v>
      </c>
      <c r="AK7" s="16" t="n">
        <f aca="false">IF(Debt!AK115&gt;Inputs!$F$253,Debt!AK112/Debt!AK115,0)</f>
        <v>0.0244313685062403</v>
      </c>
      <c r="AL7" s="16" t="n">
        <f aca="false">IF(Debt!AL115&gt;Inputs!$F$253,Debt!AL112/Debt!AL115,0)</f>
        <v>0.0241767742044928</v>
      </c>
      <c r="AM7" s="16" t="n">
        <f aca="false">IF(Debt!AM115&gt;Inputs!$F$253,Debt!AM112/Debt!AM115,0)</f>
        <v>0.0240925806556973</v>
      </c>
      <c r="AN7" s="16" t="n">
        <f aca="false">IF(Debt!AN115&gt;Inputs!$F$253,Debt!AN112/Debt!AN115,0)</f>
        <v>0.0241767742044928</v>
      </c>
      <c r="AO7" s="16" t="n">
        <f aca="false">IF(Debt!AO115&gt;Inputs!$F$253,Debt!AO112/Debt!AO115,0)</f>
        <v>0.0240925806556973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0.0240925806556973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0.0240925806556973</v>
      </c>
      <c r="K10" s="16" t="n">
        <f aca="false">IF(K7&gt;0,K7,$F$9)</f>
        <v>0.0240925806556973</v>
      </c>
      <c r="L10" s="16" t="n">
        <f aca="false">IF(L7&gt;0,L7,$F$9)</f>
        <v>0.0240925806556973</v>
      </c>
      <c r="M10" s="16" t="n">
        <f aca="false">IF(M7&gt;0,M7,$F$9)</f>
        <v>0.0240925806556973</v>
      </c>
      <c r="N10" s="16" t="n">
        <f aca="false">IF(N7&gt;0,N7,$F$9)</f>
        <v>0.0240925806556973</v>
      </c>
      <c r="O10" s="16" t="n">
        <f aca="false">IF(O7&gt;0,O7,$F$9)</f>
        <v>0.0240925806556973</v>
      </c>
      <c r="P10" s="16" t="n">
        <f aca="false">IF(P7&gt;0,P7,$F$9)</f>
        <v>0.034356060545191</v>
      </c>
      <c r="Q10" s="16" t="n">
        <f aca="false">IF(Q7&gt;0,Q7,$F$9)</f>
        <v>0.0364481388446553</v>
      </c>
      <c r="R10" s="16" t="n">
        <f aca="false">IF(R7&gt;0,R7,$F$9)</f>
        <v>0.0368568704278608</v>
      </c>
      <c r="S10" s="16" t="n">
        <f aca="false">IF(S7&gt;0,S7,$F$9)</f>
        <v>0.0364603172397468</v>
      </c>
      <c r="T10" s="16" t="n">
        <f aca="false">IF(T7&gt;0,T7,$F$9)</f>
        <v>0.0368692506748047</v>
      </c>
      <c r="U10" s="16" t="n">
        <f aca="false">IF(U7&gt;0,U7,$F$9)</f>
        <v>0.0365966283847661</v>
      </c>
      <c r="V10" s="16" t="n">
        <f aca="false">IF(V7&gt;0,V7,$F$9)</f>
        <v>0.0368692506748047</v>
      </c>
      <c r="W10" s="16" t="n">
        <f aca="false">IF(W7&gt;0,W7,$F$9)</f>
        <v>0.0364603172397468</v>
      </c>
      <c r="X10" s="16" t="n">
        <f aca="false">IF(X7&gt;0,X7,$F$9)</f>
        <v>0.0368692506748047</v>
      </c>
      <c r="Y10" s="16" t="n">
        <f aca="false">IF(Y7&gt;0,Y7,$F$9)</f>
        <v>0.0375217369928333</v>
      </c>
      <c r="Z10" s="16" t="n">
        <f aca="false">IF(Z7&gt;0,Z7,$F$9)</f>
        <v>0.0379482630204837</v>
      </c>
      <c r="AA10" s="16" t="n">
        <f aca="false">IF(AA7&gt;0,AA7,$F$9)</f>
        <v>0.0375217369928333</v>
      </c>
      <c r="AB10" s="16" t="n">
        <f aca="false">IF(AB7&gt;0,AB7,$F$9)</f>
        <v>0.0376299784077814</v>
      </c>
      <c r="AC10" s="16" t="n">
        <f aca="false">IF(AC7&gt;0,AC7,$F$9)</f>
        <v>0.036945359602157</v>
      </c>
      <c r="AD10" s="16" t="n">
        <f aca="false">IF(AD7&gt;0,AD7,$F$9)</f>
        <v>0.0367817850873652</v>
      </c>
      <c r="AE10" s="16" t="n">
        <f aca="false">IF(AE7&gt;0,AE7,$F$9)</f>
        <v>0.0358042482366117</v>
      </c>
      <c r="AF10" s="16" t="n">
        <f aca="false">IF(AF7&gt;0,AF7,$F$9)</f>
        <v>0.0354471435994745</v>
      </c>
      <c r="AG10" s="16" t="n">
        <f aca="false">IF(AG7&gt;0,AG7,$F$9)</f>
        <v>0.0349343198530879</v>
      </c>
      <c r="AH10" s="16" t="n">
        <f aca="false">IF(AH7&gt;0,AH7,$F$9)</f>
        <v>0.0339637743918206</v>
      </c>
      <c r="AI10" s="16" t="n">
        <f aca="false">IF(AI7&gt;0,AI7,$F$9)</f>
        <v>0.031775414666119</v>
      </c>
      <c r="AJ10" s="16" t="n">
        <f aca="false">IF(AJ7&gt;0,AJ7,$F$9)</f>
        <v>0.0292725308122526</v>
      </c>
      <c r="AK10" s="16" t="n">
        <f aca="false">IF(AK7&gt;0,AK7,$F$9)</f>
        <v>0.0244313685062403</v>
      </c>
      <c r="AL10" s="16" t="n">
        <f aca="false">IF(AL7&gt;0,AL7,$F$9)</f>
        <v>0.0241767742044928</v>
      </c>
      <c r="AM10" s="16" t="n">
        <f aca="false">IF(AM7&gt;0,AM7,$F$9)</f>
        <v>0.0240925806556973</v>
      </c>
      <c r="AN10" s="16" t="n">
        <f aca="false">IF(AN7&gt;0,AN7,$F$9)</f>
        <v>0.0241767742044928</v>
      </c>
      <c r="AO10" s="16" t="n">
        <f aca="false">IF(AO7&gt;0,AO7,$F$9)</f>
        <v>0.0240925806556973</v>
      </c>
      <c r="AP10" s="16" t="n">
        <f aca="false">IF(AP7&gt;0,AP7,$F$9)</f>
        <v>0.0240925806556973</v>
      </c>
      <c r="AQ10" s="16" t="n">
        <f aca="false">IF(AQ7&gt;0,AQ7,$F$9)</f>
        <v>0.0240925806556973</v>
      </c>
      <c r="AR10" s="16" t="n">
        <f aca="false">IF(AR7&gt;0,AR7,$F$9)</f>
        <v>0.0240925806556973</v>
      </c>
      <c r="AS10" s="16" t="n">
        <f aca="false">IF(AS7&gt;0,AS7,$F$9)</f>
        <v>0.0240925806556973</v>
      </c>
      <c r="AT10" s="16" t="n">
        <f aca="false">IF(AT7&gt;0,AT7,$F$9)</f>
        <v>0.0240925806556973</v>
      </c>
      <c r="AU10" s="16" t="n">
        <f aca="false">IF(AU7&gt;0,AU7,$F$9)</f>
        <v>0.0240925806556973</v>
      </c>
      <c r="AV10" s="16" t="n">
        <f aca="false">IF(AV7&gt;0,AV7,$F$9)</f>
        <v>0.0240925806556973</v>
      </c>
      <c r="AW10" s="16" t="n">
        <f aca="false">IF(AW7&gt;0,AW7,$F$9)</f>
        <v>0.0240925806556973</v>
      </c>
      <c r="AX10" s="16" t="n">
        <f aca="false">IF(AX7&gt;0,AX7,$F$9)</f>
        <v>0.0240925806556973</v>
      </c>
      <c r="AY10" s="16" t="n">
        <f aca="false">IF(AY7&gt;0,AY7,$F$9)</f>
        <v>0.0240925806556973</v>
      </c>
      <c r="AZ10" s="16" t="n">
        <f aca="false">IF(AZ7&gt;0,AZ7,$F$9)</f>
        <v>0.0240925806556973</v>
      </c>
      <c r="BA10" s="16" t="n">
        <f aca="false">IF(BA7&gt;0,BA7,$F$9)</f>
        <v>0.0240925806556973</v>
      </c>
      <c r="BB10" s="16" t="n">
        <f aca="false">IF(BB7&gt;0,BB7,$F$9)</f>
        <v>0.0240925806556973</v>
      </c>
      <c r="BC10" s="16" t="n">
        <f aca="false">IF(BC7&gt;0,BC7,$F$9)</f>
        <v>0.0240925806556973</v>
      </c>
      <c r="BD10" s="16" t="n">
        <f aca="false">IF(BD7&gt;0,BD7,$F$9)</f>
        <v>0.0240925806556973</v>
      </c>
      <c r="BE10" s="16" t="n">
        <f aca="false">IF(BE7&gt;0,BE7,$F$9)</f>
        <v>0.0240925806556973</v>
      </c>
      <c r="BF10" s="16" t="n">
        <f aca="false">IF(BF7&gt;0,BF7,$F$9)</f>
        <v>0.0240925806556973</v>
      </c>
      <c r="BG10" s="16" t="n">
        <f aca="false">IF(BG7&gt;0,BG7,$F$9)</f>
        <v>0.0240925806556973</v>
      </c>
      <c r="BH10" s="16" t="n">
        <f aca="false">IF(BH7&gt;0,BH7,$F$9)</f>
        <v>0.0240925806556973</v>
      </c>
      <c r="BI10" s="16" t="n">
        <f aca="false">IF(BI7&gt;0,BI7,$F$9)</f>
        <v>0.0240925806556973</v>
      </c>
      <c r="BJ10" s="16" t="n">
        <f aca="false">IF(BJ7&gt;0,BJ7,$F$9)</f>
        <v>0.0240925806556973</v>
      </c>
      <c r="BK10" s="16" t="n">
        <f aca="false">IF(BK7&gt;0,BK7,$F$9)</f>
        <v>0.0240925806556973</v>
      </c>
      <c r="BL10" s="16" t="n">
        <f aca="false">IF(BL7&gt;0,BL7,$F$9)</f>
        <v>0.0240925806556973</v>
      </c>
      <c r="BM10" s="16" t="n">
        <f aca="false">IF(BM7&gt;0,BM7,$F$9)</f>
        <v>0.0240925806556973</v>
      </c>
      <c r="BN10" s="16" t="n">
        <f aca="false">IF(BN7&gt;0,BN7,$F$9)</f>
        <v>0.0240925806556973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735.848915065977</v>
      </c>
      <c r="K11" s="13" t="n">
        <f aca="false">IF(Time!K20&lt;=$F$8,(Waterfall!K7+L11)/(1+K10),0)</f>
        <v>753.577414402611</v>
      </c>
      <c r="L11" s="13" t="n">
        <f aca="false">IF(Time!L20&lt;=$F$8,(Waterfall!L7+M11)/(1+L10),0)</f>
        <v>771.733039039418</v>
      </c>
      <c r="M11" s="13" t="n">
        <f aca="false">IF(Time!M20&lt;=$F$8,(Waterfall!M7+N11)/(1+M10),0)</f>
        <v>790.326079527142</v>
      </c>
      <c r="N11" s="13" t="n">
        <f aca="false">IF(Time!N20&lt;=$F$8,(Waterfall!N7+O11)/(1+N10),0)</f>
        <v>809.36707434245</v>
      </c>
      <c r="O11" s="13" t="n">
        <f aca="false">IF(Time!O20&lt;=$F$8,(Waterfall!O7+P11)/(1+O10),0)</f>
        <v>828.866815861112</v>
      </c>
      <c r="P11" s="13" t="n">
        <f aca="false">IF(Time!P20&lt;=$F$8,(Waterfall!P7+Q11)/(1+P10),0)</f>
        <v>846.964109277253</v>
      </c>
      <c r="Q11" s="13" t="n">
        <f aca="false">IF(Time!Q20&lt;=$F$8,(Waterfall!Q7+R11)/(1+Q10),0)</f>
        <v>825.7805006506</v>
      </c>
      <c r="R11" s="13" t="n">
        <f aca="false">IF(Time!R20&lt;=$F$8,(Waterfall!R7+S11)/(1+R10),0)</f>
        <v>805.716690775333</v>
      </c>
      <c r="S11" s="13" t="n">
        <f aca="false">IF(Time!S20&lt;=$F$8,(Waterfall!S7+T11)/(1+S10),0)</f>
        <v>784.619426575745</v>
      </c>
      <c r="T11" s="13" t="n">
        <f aca="false">IF(Time!T20&lt;=$F$8,(Waterfall!T7+U11)/(1+T10),0)</f>
        <v>762.826927912472</v>
      </c>
      <c r="U11" s="13" t="n">
        <f aca="false">IF(Time!U20&lt;=$F$8,(Waterfall!U7+V11)/(1+U10),0)</f>
        <v>739.987641129188</v>
      </c>
      <c r="V11" s="13" t="n">
        <f aca="false">IF(Time!V20&lt;=$F$8,(Waterfall!V7+W11)/(1+V10),0)</f>
        <v>716.348258618029</v>
      </c>
      <c r="W11" s="13" t="n">
        <f aca="false">IF(Time!W20&lt;=$F$8,(Waterfall!W7+X11)/(1+W10),0)</f>
        <v>691.070789813695</v>
      </c>
      <c r="X11" s="13" t="n">
        <f aca="false">IF(Time!X20&lt;=$F$8,(Waterfall!X7+Y11)/(1+X10),0)</f>
        <v>664.936093017237</v>
      </c>
      <c r="Y11" s="13" t="n">
        <f aca="false">IF(Time!Y20&lt;=$F$8,(Waterfall!Y7+Z11)/(1+Y10),0)</f>
        <v>639.600615158733</v>
      </c>
      <c r="Z11" s="13" t="n">
        <f aca="false">IF(Time!Z20&lt;=$F$8,(Waterfall!Z7+AA11)/(1+Z10),0)</f>
        <v>614.229511958035</v>
      </c>
      <c r="AA11" s="13" t="n">
        <f aca="false">IF(Time!AA20&lt;=$F$8,(Waterfall!AA7+AB11)/(1+AA10),0)</f>
        <v>587.762114832608</v>
      </c>
      <c r="AB11" s="13" t="n">
        <f aca="false">IF(Time!AB20&lt;=$F$8,(Waterfall!AB7+AC11)/(1+AB10),0)</f>
        <v>560.440682387915</v>
      </c>
      <c r="AC11" s="13" t="n">
        <f aca="false">IF(Time!AC20&lt;=$F$8,(Waterfall!AC7+AD11)/(1+AC10),0)</f>
        <v>531.573642508534</v>
      </c>
      <c r="AD11" s="13" t="n">
        <f aca="false">IF(Time!AD20&lt;=$F$8,(Waterfall!AD7+AE11)/(1+AD10),0)</f>
        <v>501.46136744335</v>
      </c>
      <c r="AE11" s="13" t="n">
        <f aca="false">IF(Time!AE20&lt;=$F$8,(Waterfall!AE7+AF11)/(1+AE10),0)</f>
        <v>468.243469007529</v>
      </c>
      <c r="AF11" s="13" t="n">
        <f aca="false">IF(Time!AF20&lt;=$F$8,(Waterfall!AF7+AG11)/(1+AF10),0)</f>
        <v>433.26274246938</v>
      </c>
      <c r="AG11" s="13" t="n">
        <f aca="false">IF(Time!AG20&lt;=$F$8,(Waterfall!AG7+AH11)/(1+AG10),0)</f>
        <v>396.713983465201</v>
      </c>
      <c r="AH11" s="13" t="n">
        <f aca="false">IF(Time!AH20&lt;=$F$8,(Waterfall!AH7+AI11)/(1+AH10),0)</f>
        <v>359.03363750186</v>
      </c>
      <c r="AI11" s="13" t="n">
        <f aca="false">IF(Time!AI20&lt;=$F$8,(Waterfall!AI7+AJ11)/(1+AI10),0)</f>
        <v>319.019030286865</v>
      </c>
      <c r="AJ11" s="13" t="n">
        <f aca="false">IF(Time!AJ20&lt;=$F$8,(Waterfall!AJ7+AK11)/(1+AJ10),0)</f>
        <v>277.354751510095</v>
      </c>
      <c r="AK11" s="13" t="n">
        <f aca="false">IF(Time!AK20&lt;=$F$8,(Waterfall!AK7+AL11)/(1+AK10),0)</f>
        <v>233.07102873096</v>
      </c>
      <c r="AL11" s="13" t="n">
        <f aca="false">IF(Time!AL20&lt;=$F$8,(Waterfall!AL7+AM11)/(1+AL10),0)</f>
        <v>186.600739981239</v>
      </c>
      <c r="AM11" s="13" t="n">
        <f aca="false">IF(Time!AM20&lt;=$F$8,(Waterfall!AM7+AN11)/(1+AM10),0)</f>
        <v>137.836567926738</v>
      </c>
      <c r="AN11" s="13" t="n">
        <f aca="false">IF(Time!AN20&lt;=$F$8,(Waterfall!AN7+AO11)/(1+AN10),0)</f>
        <v>88.2577015292082</v>
      </c>
      <c r="AO11" s="13" t="n">
        <f aca="false">IF(Time!AO20&lt;=$F$8,(Waterfall!AO7+AP11)/(1+AO10),0)</f>
        <v>40.9998092156243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1012.43975185018</v>
      </c>
      <c r="K12" s="13" t="n">
        <f aca="false">IF(Time!K20&lt;=Time!$F$15,(Waterfall!K7+L12)/(1+K10),0)</f>
        <v>1036.83203823067</v>
      </c>
      <c r="L12" s="13" t="n">
        <f aca="false">IF(Time!L20&lt;=Time!$F$15,(Waterfall!L7+M12)/(1+L10),0)</f>
        <v>1061.81199773815</v>
      </c>
      <c r="M12" s="13" t="n">
        <f aca="false">IF(Time!M20&lt;=Time!$F$15,(Waterfall!M7+N12)/(1+M10),0)</f>
        <v>1087.39378893484</v>
      </c>
      <c r="N12" s="13" t="n">
        <f aca="false">IF(Time!N20&lt;=Time!$F$15,(Waterfall!N7+O12)/(1+N10),0)</f>
        <v>1113.59191149926</v>
      </c>
      <c r="O12" s="13" t="n">
        <f aca="false">IF(Time!O20&lt;=Time!$F$15,(Waterfall!O7+P12)/(1+O10),0)</f>
        <v>1140.42121444459</v>
      </c>
      <c r="P12" s="13" t="n">
        <f aca="false">IF(Time!P20&lt;=Time!$F$15,(Waterfall!P7+Q12)/(1+P10),0)</f>
        <v>1166.02465733724</v>
      </c>
      <c r="Q12" s="13" t="n">
        <f aca="false">IF(Time!Q20&lt;=Time!$F$15,(Waterfall!Q7+R12)/(1+Q10),0)</f>
        <v>1155.80271221732</v>
      </c>
      <c r="R12" s="13" t="n">
        <f aca="false">IF(Time!R20&lt;=Time!$F$15,(Waterfall!R7+S12)/(1+R10),0)</f>
        <v>1147.76759773105</v>
      </c>
      <c r="S12" s="13" t="n">
        <f aca="false">IF(Time!S20&lt;=Time!$F$15,(Waterfall!S7+T12)/(1+S10),0)</f>
        <v>1139.27725948887</v>
      </c>
      <c r="T12" s="13" t="n">
        <f aca="false">IF(Time!T20&lt;=Time!$F$15,(Waterfall!T7+U12)/(1+T10),0)</f>
        <v>1130.41569792517</v>
      </c>
      <c r="U12" s="13" t="n">
        <f aca="false">IF(Time!U20&lt;=Time!$F$15,(Waterfall!U7+V12)/(1+U10),0)</f>
        <v>1121.12913364872</v>
      </c>
      <c r="V12" s="13" t="n">
        <f aca="false">IF(Time!V20&lt;=Time!$F$15,(Waterfall!V7+W12)/(1+V10),0)</f>
        <v>1111.43824470132</v>
      </c>
      <c r="W12" s="13" t="n">
        <f aca="false">IF(Time!W20&lt;=Time!$F$15,(Waterfall!W7+X12)/(1+W10),0)</f>
        <v>1100.72744763299</v>
      </c>
      <c r="X12" s="13" t="n">
        <f aca="false">IF(Time!X20&lt;=Time!$F$15,(Waterfall!X7+Y12)/(1+X10),0)</f>
        <v>1089.52896254</v>
      </c>
      <c r="Y12" s="13" t="n">
        <f aca="false">IF(Time!Y20&lt;=Time!$F$15,(Waterfall!Y7+Z12)/(1+Y10),0)</f>
        <v>1079.84790562267</v>
      </c>
      <c r="Z12" s="13" t="n">
        <f aca="false">IF(Time!Z20&lt;=Time!$F$15,(Waterfall!Z7+AA12)/(1+Z10),0)</f>
        <v>1070.99564546656</v>
      </c>
      <c r="AA12" s="13" t="n">
        <f aca="false">IF(Time!AA20&lt;=Time!$F$15,(Waterfall!AA7+AB12)/(1+AA10),0)</f>
        <v>1061.86172971437</v>
      </c>
      <c r="AB12" s="13" t="n">
        <f aca="false">IF(Time!AB20&lt;=Time!$F$15,(Waterfall!AB7+AC12)/(1+AB10),0)</f>
        <v>1052.32933832767</v>
      </c>
      <c r="AC12" s="13" t="n">
        <f aca="false">IF(Time!AC20&lt;=Time!$F$15,(Waterfall!AC7+AD12)/(1+AC10),0)</f>
        <v>1041.97205795034</v>
      </c>
      <c r="AD12" s="13" t="n">
        <f aca="false">IF(Time!AD20&lt;=Time!$F$15,(Waterfall!AD7+AE12)/(1+AD10),0)</f>
        <v>1030.71663588402</v>
      </c>
      <c r="AE12" s="13" t="n">
        <f aca="false">IF(Time!AE20&lt;=Time!$F$15,(Waterfall!AE7+AF12)/(1+AE10),0)</f>
        <v>1016.96569098834</v>
      </c>
      <c r="AF12" s="13" t="n">
        <f aca="false">IF(Time!AF20&lt;=Time!$F$15,(Waterfall!AF7+AG12)/(1+AF10),0)</f>
        <v>1001.63155109894</v>
      </c>
      <c r="AG12" s="13" t="n">
        <f aca="false">IF(Time!AG20&lt;=Time!$F$15,(Waterfall!AG7+AH12)/(1+AG10),0)</f>
        <v>985.229842871714</v>
      </c>
      <c r="AH12" s="13" t="n">
        <f aca="false">IF(Time!AH20&lt;=Time!$F$15,(Waterfall!AH7+AI12)/(1+AH10),0)</f>
        <v>968.108898179495</v>
      </c>
      <c r="AI12" s="13" t="n">
        <f aca="false">IF(Time!AI20&lt;=Time!$F$15,(Waterfall!AI7+AJ12)/(1+AI10),0)</f>
        <v>948.780785705795</v>
      </c>
      <c r="AJ12" s="13" t="n">
        <f aca="false">IF(Time!AJ20&lt;=Time!$F$15,(Waterfall!AJ7+AK12)/(1+AJ10),0)</f>
        <v>927.127447848324</v>
      </c>
      <c r="AK12" s="13" t="n">
        <f aca="false">IF(Time!AK20&lt;=Time!$F$15,(Waterfall!AK7+AL12)/(1+AK10),0)</f>
        <v>901.864216343711</v>
      </c>
      <c r="AL12" s="13" t="n">
        <f aca="false">IF(Time!AL20&lt;=Time!$F$15,(Waterfall!AL7+AM12)/(1+AL10),0)</f>
        <v>871.73346041502</v>
      </c>
      <c r="AM12" s="13" t="n">
        <f aca="false">IF(Time!AM20&lt;=Time!$F$15,(Waterfall!AM7+AN12)/(1+AM10),0)</f>
        <v>839.533587442556</v>
      </c>
      <c r="AN12" s="13" t="n">
        <f aca="false">IF(Time!AN20&lt;=Time!$F$15,(Waterfall!AN7+AO12)/(1+AN10),0)</f>
        <v>806.860413083574</v>
      </c>
      <c r="AO12" s="13" t="n">
        <f aca="false">IF(Time!AO20&lt;=Time!$F$15,(Waterfall!AO7+AP12)/(1+AO10),0)</f>
        <v>776.976016269976</v>
      </c>
      <c r="AP12" s="13" t="n">
        <f aca="false">IF(Time!AP20&lt;=Time!$F$15,(Waterfall!AP7+AQ12)/(1+AP10),0)</f>
        <v>753.707773183483</v>
      </c>
      <c r="AQ12" s="13" t="n">
        <f aca="false">IF(Time!AQ20&lt;=Time!$F$15,(Waterfall!AQ7+AR12)/(1+AQ10),0)</f>
        <v>729.910763132513</v>
      </c>
      <c r="AR12" s="13" t="n">
        <f aca="false">IF(Time!AR20&lt;=Time!$F$15,(Waterfall!AR7+AS12)/(1+AR10),0)</f>
        <v>706.321597730672</v>
      </c>
      <c r="AS12" s="13" t="n">
        <f aca="false">IF(Time!AS20&lt;=Time!$F$15,(Waterfall!AS7+AT12)/(1+AS10),0)</f>
        <v>681.567746961824</v>
      </c>
      <c r="AT12" s="13" t="n">
        <f aca="false">IF(Time!AT20&lt;=Time!$F$15,(Waterfall!AT7+AU12)/(1+AT10),0)</f>
        <v>656.482859965998</v>
      </c>
      <c r="AU12" s="13" t="n">
        <f aca="false">IF(Time!AU20&lt;=Time!$F$15,(Waterfall!AU7+AV12)/(1+AU10),0)</f>
        <v>624.060533187519</v>
      </c>
      <c r="AV12" s="13" t="n">
        <f aca="false">IF(Time!AV20&lt;=Time!$F$15,(Waterfall!AV7+AW12)/(1+AV10),0)</f>
        <v>595.294241177754</v>
      </c>
      <c r="AW12" s="13" t="n">
        <f aca="false">IF(Time!AW20&lt;=Time!$F$15,(Waterfall!AW7+AX12)/(1+AW10),0)</f>
        <v>565.711396154072</v>
      </c>
      <c r="AX12" s="13" t="n">
        <f aca="false">IF(Time!AX20&lt;=Time!$F$15,(Waterfall!AX7+AY12)/(1+AX10),0)</f>
        <v>535.840208838568</v>
      </c>
      <c r="AY12" s="13" t="n">
        <f aca="false">IF(Time!AY20&lt;=Time!$F$15,(Waterfall!AY7+AZ12)/(1+AY10),0)</f>
        <v>504.574507503044</v>
      </c>
      <c r="AZ12" s="13" t="n">
        <f aca="false">IF(Time!AZ20&lt;=Time!$F$15,(Waterfall!AZ7+BA12)/(1+AZ10),0)</f>
        <v>473.012457222891</v>
      </c>
      <c r="BA12" s="13" t="n">
        <f aca="false">IF(Time!BA20&lt;=Time!$F$15,(Waterfall!BA7+BB12)/(1+BA10),0)</f>
        <v>440.072105560801</v>
      </c>
      <c r="BB12" s="13" t="n">
        <f aca="false">IF(Time!BB20&lt;=Time!$F$15,(Waterfall!BB7+BC12)/(1+BB10),0)</f>
        <v>406.635780150917</v>
      </c>
      <c r="BC12" s="13" t="n">
        <f aca="false">IF(Time!BC20&lt;=Time!$F$15,(Waterfall!BC7+BD12)/(1+BC10),0)</f>
        <v>370.146725500373</v>
      </c>
      <c r="BD12" s="13" t="n">
        <f aca="false">IF(Time!BD20&lt;=Time!$F$15,(Waterfall!BD7+BE12)/(1+BD10),0)</f>
        <v>336.177635202839</v>
      </c>
      <c r="BE12" s="13" t="n">
        <f aca="false">IF(Time!BE20&lt;=Time!$F$15,(Waterfall!BE7+BF12)/(1+BE10),0)</f>
        <v>307.489293156354</v>
      </c>
      <c r="BF12" s="13" t="n">
        <f aca="false">IF(Time!BF20&lt;=Time!$F$15,(Waterfall!BF7+BG12)/(1+BF10),0)</f>
        <v>278.542752320758</v>
      </c>
      <c r="BG12" s="13" t="n">
        <f aca="false">IF(Time!BG20&lt;=Time!$F$15,(Waterfall!BG7+BH12)/(1+BG10),0)</f>
        <v>248.194512490193</v>
      </c>
      <c r="BH12" s="13" t="n">
        <f aca="false">IF(Time!BH20&lt;=Time!$F$15,(Waterfall!BH7+BI12)/(1+BH10),0)</f>
        <v>217.58273662412</v>
      </c>
      <c r="BI12" s="13" t="n">
        <f aca="false">IF(Time!BI20&lt;=Time!$F$15,(Waterfall!BI7+BJ12)/(1+BI10),0)</f>
        <v>185.592279958305</v>
      </c>
      <c r="BJ12" s="13" t="n">
        <f aca="false">IF(Time!BJ20&lt;=Time!$F$15,(Waterfall!BJ7+BK12)/(1+BJ10),0)</f>
        <v>153.092191195421</v>
      </c>
      <c r="BK12" s="13" t="n">
        <f aca="false">IF(Time!BK20&lt;=Time!$F$15,(Waterfall!BK7+BL12)/(1+BK10),0)</f>
        <v>111.785280129551</v>
      </c>
      <c r="BL12" s="13" t="n">
        <f aca="false">IF(Time!BL20&lt;=Time!$F$15,(Waterfall!BL7+BM12)/(1+BL10),0)</f>
        <v>74.7328214850289</v>
      </c>
      <c r="BM12" s="13" t="n">
        <f aca="false">IF(Time!BM20&lt;=Time!$F$15,(Waterfall!BM7+BN12)/(1+BM10),0)</f>
        <v>36.0395223689812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1.39629160854969</v>
      </c>
      <c r="Q13" s="3" t="n">
        <f aca="false">IF(Debt!Q115&gt;Inputs!$F$253,(Q11+Reserves!Q9)/Debt!Q115,0)</f>
        <v>1.39930302504204</v>
      </c>
      <c r="R13" s="3" t="n">
        <f aca="false">IF(Debt!R115&gt;Inputs!$F$253,(R11+Reserves!R9)/Debt!R115,0)</f>
        <v>1.40425804120011</v>
      </c>
      <c r="S13" s="3" t="n">
        <f aca="false">IF(Debt!S115&gt;Inputs!$F$253,(S11+Reserves!S9)/Debt!S115,0)</f>
        <v>1.40825104854697</v>
      </c>
      <c r="T13" s="3" t="n">
        <f aca="false">IF(Debt!T115&gt;Inputs!$F$253,(T11+Reserves!T9)/Debt!T115,0)</f>
        <v>1.41383140707186</v>
      </c>
      <c r="U13" s="3" t="n">
        <f aca="false">IF(Debt!U115&gt;Inputs!$F$253,(U11+Reserves!U9)/Debt!U115,0)</f>
        <v>1.41877012734054</v>
      </c>
      <c r="V13" s="3" t="n">
        <f aca="false">IF(Debt!V115&gt;Inputs!$F$253,(V11+Reserves!V9)/Debt!V115,0)</f>
        <v>1.42584818262534</v>
      </c>
      <c r="W13" s="3" t="n">
        <f aca="false">IF(Debt!W115&gt;Inputs!$F$253,(W11+Reserves!W9)/Debt!W115,0)</f>
        <v>1.43169159430732</v>
      </c>
      <c r="X13" s="3" t="n">
        <f aca="false">IF(Debt!X115&gt;Inputs!$F$253,(X11+Reserves!X9)/Debt!X115,0)</f>
        <v>1.43644462275732</v>
      </c>
      <c r="Y13" s="3" t="n">
        <f aca="false">IF(Debt!Y115&gt;Inputs!$F$253,(Y11+Reserves!Y9)/Debt!Y115,0)</f>
        <v>1.44305300383675</v>
      </c>
      <c r="Z13" s="3" t="n">
        <f aca="false">IF(Debt!Z115&gt;Inputs!$F$253,(Z11+Reserves!Z9)/Debt!Z115,0)</f>
        <v>1.45175124725969</v>
      </c>
      <c r="AA13" s="3" t="n">
        <f aca="false">IF(Debt!AA115&gt;Inputs!$F$253,(AA11+Reserves!AA9)/Debt!AA115,0)</f>
        <v>1.46006036339206</v>
      </c>
      <c r="AB13" s="3" t="n">
        <f aca="false">IF(Debt!AB115&gt;Inputs!$F$253,(AB11+Reserves!AB9)/Debt!AB115,0)</f>
        <v>1.49204044866725</v>
      </c>
      <c r="AC13" s="3" t="n">
        <f aca="false">IF(Debt!AC115&gt;Inputs!$F$253,(AC11+Reserves!AC9)/Debt!AC115,0)</f>
        <v>1.5283972797627</v>
      </c>
      <c r="AD13" s="3" t="n">
        <f aca="false">IF(Debt!AD115&gt;Inputs!$F$253,(AD11+Reserves!AD9)/Debt!AD115,0)</f>
        <v>1.57150291389967</v>
      </c>
      <c r="AE13" s="3" t="n">
        <f aca="false">IF(Debt!AE115&gt;Inputs!$F$253,(AE11+Reserves!AE9)/Debt!AE115,0)</f>
        <v>1.62393612172643</v>
      </c>
      <c r="AF13" s="3" t="n">
        <f aca="false">IF(Debt!AF115&gt;Inputs!$F$253,(AF11+Reserves!AF9)/Debt!AF115,0)</f>
        <v>1.6880059017499</v>
      </c>
      <c r="AG13" s="3" t="n">
        <f aca="false">IF(Debt!AG115&gt;Inputs!$F$253,(AG11+Reserves!AG9)/Debt!AG115,0)</f>
        <v>1.76835401308411</v>
      </c>
      <c r="AH13" s="3" t="n">
        <f aca="false">IF(Debt!AH115&gt;Inputs!$F$253,(AH11+Reserves!AH9)/Debt!AH115,0)</f>
        <v>1.87184957887279</v>
      </c>
      <c r="AI13" s="3" t="n">
        <f aca="false">IF(Debt!AI115&gt;Inputs!$F$253,(AI11+Reserves!AI9)/Debt!AI115,0)</f>
        <v>2.01467012616393</v>
      </c>
      <c r="AJ13" s="3" t="n">
        <f aca="false">IF(Debt!AJ115&gt;Inputs!$F$253,(AJ11+Reserves!AJ9)/Debt!AJ115,0)</f>
        <v>2.22213229069457</v>
      </c>
      <c r="AK13" s="3" t="n">
        <f aca="false">IF(Debt!AK115&gt;Inputs!$F$253,(AK11+Reserves!AK9)/Debt!AK115,0)</f>
        <v>2.56690107960002</v>
      </c>
      <c r="AL13" s="3" t="n">
        <f aca="false">IF(Debt!AL115&gt;Inputs!$F$253,(AL11+Reserves!AL9)/Debt!AL115,0)</f>
        <v>2.62614384404457</v>
      </c>
      <c r="AM13" s="3" t="n">
        <f aca="false">IF(Debt!AM115&gt;Inputs!$F$253,(AM11+Reserves!AM9)/Debt!AM115,0)</f>
        <v>2.75442624713692</v>
      </c>
      <c r="AN13" s="3" t="n">
        <f aca="false">IF(Debt!AN115&gt;Inputs!$F$253,(AN11+Reserves!AN9)/Debt!AN115,0)</f>
        <v>2.93530576204743</v>
      </c>
      <c r="AO13" s="3" t="n">
        <f aca="false">IF(Debt!AO115&gt;Inputs!$F$253,(AO11+Reserves!AO9)/Debt!AO115,0)</f>
        <v>3.25129552585002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1.33747511589019</v>
      </c>
      <c r="Q14" s="3" t="n">
        <f aca="false">IF(Debt!Q115&gt;Inputs!$F$253,Q11/Debt!Q115,0)</f>
        <v>1.3367199750577</v>
      </c>
      <c r="R14" s="3" t="n">
        <f aca="false">IF(Debt!R115&gt;Inputs!$F$253,R11/Debt!R115,0)</f>
        <v>1.33924297565811</v>
      </c>
      <c r="S14" s="3" t="n">
        <f aca="false">IF(Debt!S115&gt;Inputs!$F$253,S11/Debt!S115,0)</f>
        <v>1.34196286073728</v>
      </c>
      <c r="T14" s="3" t="n">
        <f aca="false">IF(Debt!T115&gt;Inputs!$F$253,T11/Debt!T115,0)</f>
        <v>1.3448029745561</v>
      </c>
      <c r="U14" s="3" t="n">
        <f aca="false">IF(Debt!U115&gt;Inputs!$F$253,U11/Debt!U115,0)</f>
        <v>1.34788604781628</v>
      </c>
      <c r="V14" s="3" t="n">
        <f aca="false">IF(Debt!V115&gt;Inputs!$F$253,V11/Debt!V115,0)</f>
        <v>1.35115460612949</v>
      </c>
      <c r="W14" s="3" t="n">
        <f aca="false">IF(Debt!W115&gt;Inputs!$F$253,W11/Debt!W115,0)</f>
        <v>1.35471830912052</v>
      </c>
      <c r="X14" s="3" t="n">
        <f aca="false">IF(Debt!X115&gt;Inputs!$F$253,X11/Debt!X115,0)</f>
        <v>1.35852383259283</v>
      </c>
      <c r="Y14" s="3" t="n">
        <f aca="false">IF(Debt!Y115&gt;Inputs!$F$253,Y11/Debt!Y115,0)</f>
        <v>1.36270221193497</v>
      </c>
      <c r="Z14" s="3" t="n">
        <f aca="false">IF(Debt!Z115&gt;Inputs!$F$253,Z11/Debt!Z115,0)</f>
        <v>1.36720381060792</v>
      </c>
      <c r="AA14" s="3" t="n">
        <f aca="false">IF(Debt!AA115&gt;Inputs!$F$253,AA11/Debt!AA115,0)</f>
        <v>1.37223548733986</v>
      </c>
      <c r="AB14" s="3" t="n">
        <f aca="false">IF(Debt!AB115&gt;Inputs!$F$253,AB11/Debt!AB115,0)</f>
        <v>1.39727042525179</v>
      </c>
      <c r="AC14" s="3" t="n">
        <f aca="false">IF(Debt!AC115&gt;Inputs!$F$253,AC11/Debt!AC115,0)</f>
        <v>1.42856621445065</v>
      </c>
      <c r="AD14" s="3" t="n">
        <f aca="false">IF(Debt!AD115&gt;Inputs!$F$253,AD11/Debt!AD115,0)</f>
        <v>1.46169031387693</v>
      </c>
      <c r="AE14" s="3" t="n">
        <f aca="false">IF(Debt!AE115&gt;Inputs!$F$253,AE11/Debt!AE115,0)</f>
        <v>1.50545148852636</v>
      </c>
      <c r="AF14" s="3" t="n">
        <f aca="false">IF(Debt!AF115&gt;Inputs!$F$253,AF11/Debt!AF115,0)</f>
        <v>1.55897613416655</v>
      </c>
      <c r="AG14" s="3" t="n">
        <f aca="false">IF(Debt!AG115&gt;Inputs!$F$253,AG11/Debt!AG115,0)</f>
        <v>1.62761500174693</v>
      </c>
      <c r="AH14" s="3" t="n">
        <f aca="false">IF(Debt!AH115&gt;Inputs!$F$253,AH11/Debt!AH115,0)</f>
        <v>1.71329939684409</v>
      </c>
      <c r="AI14" s="3" t="n">
        <f aca="false">IF(Debt!AI115&gt;Inputs!$F$253,AI11/Debt!AI115,0)</f>
        <v>1.83479823013787</v>
      </c>
      <c r="AJ14" s="3" t="n">
        <f aca="false">IF(Debt!AJ115&gt;Inputs!$F$253,AJ11/Debt!AJ115,0)</f>
        <v>2.00875421375894</v>
      </c>
      <c r="AK14" s="3" t="n">
        <f aca="false">IF(Debt!AK115&gt;Inputs!$F$253,AK11/Debt!AK115,0)</f>
        <v>2.30285453983897</v>
      </c>
      <c r="AL14" s="3" t="n">
        <f aca="false">IF(Debt!AL115&gt;Inputs!$F$253,AL11/Debt!AL115,0)</f>
        <v>2.3302644030339</v>
      </c>
      <c r="AM14" s="3" t="n">
        <f aca="false">IF(Debt!AM115&gt;Inputs!$F$253,AM11/Debt!AM115,0)</f>
        <v>2.35470419029939</v>
      </c>
      <c r="AN14" s="3" t="n">
        <f aca="false">IF(Debt!AN115&gt;Inputs!$F$253,AN11/Debt!AN115,0)</f>
        <v>2.41480533575346</v>
      </c>
      <c r="AO14" s="3" t="n">
        <f aca="false">IF(Debt!AO115&gt;Inputs!$F$253,AO11/Debt!AO115,0)</f>
        <v>2.22720294519433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1.84131646975426</v>
      </c>
      <c r="Q15" s="3" t="n">
        <f aca="false">IF(Debt!Q115&gt;Inputs!$F$253,Q12/Debt!Q115,0)</f>
        <v>1.87093855017105</v>
      </c>
      <c r="R15" s="3" t="n">
        <f aca="false">IF(Debt!R115&gt;Inputs!$F$253,R12/Debt!R115,0)</f>
        <v>1.90779179648137</v>
      </c>
      <c r="S15" s="3" t="n">
        <f aca="false">IF(Debt!S115&gt;Inputs!$F$253,S12/Debt!S115,0)</f>
        <v>1.94854692419347</v>
      </c>
      <c r="T15" s="3" t="n">
        <f aca="false">IF(Debt!T115&gt;Inputs!$F$253,T12/Debt!T115,0)</f>
        <v>1.9928326300892</v>
      </c>
      <c r="U15" s="3" t="n">
        <f aca="false">IF(Debt!U115&gt;Inputs!$F$253,U12/Debt!U115,0)</f>
        <v>2.04213453448967</v>
      </c>
      <c r="V15" s="3" t="n">
        <f aca="false">IF(Debt!V115&gt;Inputs!$F$253,V12/Debt!V115,0)</f>
        <v>2.09636149134189</v>
      </c>
      <c r="W15" s="3" t="n">
        <f aca="false">IF(Debt!W115&gt;Inputs!$F$253,W12/Debt!W115,0)</f>
        <v>2.15777551104702</v>
      </c>
      <c r="X15" s="3" t="n">
        <f aca="false">IF(Debt!X115&gt;Inputs!$F$253,X12/Debt!X115,0)</f>
        <v>2.2260049912381</v>
      </c>
      <c r="Y15" s="3" t="n">
        <f aca="false">IF(Debt!Y115&gt;Inputs!$F$253,Y12/Debt!Y115,0)</f>
        <v>2.30067184844743</v>
      </c>
      <c r="Z15" s="3" t="n">
        <f aca="false">IF(Debt!Z115&gt;Inputs!$F$253,Z12/Debt!Z115,0)</f>
        <v>2.38391236357007</v>
      </c>
      <c r="AA15" s="3" t="n">
        <f aca="false">IF(Debt!AA115&gt;Inputs!$F$253,AA12/Debt!AA115,0)</f>
        <v>2.47910559627873</v>
      </c>
      <c r="AB15" s="3" t="n">
        <f aca="false">IF(Debt!AB115&gt;Inputs!$F$253,AB12/Debt!AB115,0)</f>
        <v>2.62362941927241</v>
      </c>
      <c r="AC15" s="3" t="n">
        <f aca="false">IF(Debt!AC115&gt;Inputs!$F$253,AC12/Debt!AC115,0)</f>
        <v>2.80022551788874</v>
      </c>
      <c r="AD15" s="3" t="n">
        <f aca="false">IF(Debt!AD115&gt;Inputs!$F$253,AD12/Debt!AD115,0)</f>
        <v>3.00439599306459</v>
      </c>
      <c r="AE15" s="3" t="n">
        <f aca="false">IF(Debt!AE115&gt;Inputs!$F$253,AE12/Debt!AE115,0)</f>
        <v>3.26965054424287</v>
      </c>
      <c r="AF15" s="3" t="n">
        <f aca="false">IF(Debt!AF115&gt;Inputs!$F$253,AF12/Debt!AF115,0)</f>
        <v>3.60409407578319</v>
      </c>
      <c r="AG15" s="3" t="n">
        <f aca="false">IF(Debt!AG115&gt;Inputs!$F$253,AG12/Debt!AG115,0)</f>
        <v>4.04214355748171</v>
      </c>
      <c r="AH15" s="3" t="n">
        <f aca="false">IF(Debt!AH115&gt;Inputs!$F$253,AH12/Debt!AH115,0)</f>
        <v>4.61979106713013</v>
      </c>
      <c r="AI15" s="3" t="n">
        <f aca="false">IF(Debt!AI115&gt;Inputs!$F$253,AI12/Debt!AI115,0)</f>
        <v>5.45679455183739</v>
      </c>
      <c r="AJ15" s="3" t="n">
        <f aca="false">IF(Debt!AJ115&gt;Inputs!$F$253,AJ12/Debt!AJ115,0)</f>
        <v>6.71476207786946</v>
      </c>
      <c r="AK15" s="3" t="n">
        <f aca="false">IF(Debt!AK115&gt;Inputs!$F$253,AK12/Debt!AK115,0)</f>
        <v>8.91085484212112</v>
      </c>
      <c r="AL15" s="3" t="n">
        <f aca="false">IF(Debt!AL115&gt;Inputs!$F$253,AL12/Debt!AL115,0)</f>
        <v>10.8861811155889</v>
      </c>
      <c r="AM15" s="3" t="n">
        <f aca="false">IF(Debt!AM115&gt;Inputs!$F$253,AM12/Debt!AM115,0)</f>
        <v>14.342008699018</v>
      </c>
      <c r="AN15" s="3" t="n">
        <f aca="false">IF(Debt!AN115&gt;Inputs!$F$253,AN12/Debt!AN115,0)</f>
        <v>22.0763831026989</v>
      </c>
      <c r="AO15" s="3" t="n">
        <f aca="false">IF(Debt!AO115&gt;Inputs!$F$253,AO12/Debt!AO115,0)</f>
        <v>42.2071054692223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1.29745914957028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1.51308543168391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1.39629160854969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1.84131646975426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1.32323958824271</v>
      </c>
      <c r="P20" s="3" t="n">
        <f aca="false">IF(Debt!Q114&gt;Inputs!$F$253,(Waterfall!Q7+IF(Debt!R114&gt;Inputs!$F$253,Waterfall!R7,0))/(Debt!Q114+Debt!R114),0)</f>
        <v>1.29802599302015</v>
      </c>
      <c r="Q20" s="3" t="n">
        <f aca="false">IF(Debt!R114&gt;Inputs!$F$253,(Waterfall!R7+IF(Debt!S114&gt;Inputs!$F$253,Waterfall!S7,0))/(Debt!R114+Debt!S114),0)</f>
        <v>1.29948693363858</v>
      </c>
      <c r="R20" s="3" t="n">
        <f aca="false">IF(Debt!S114&gt;Inputs!$F$253,(Waterfall!S7+IF(Debt!T114&gt;Inputs!$F$253,Waterfall!T7,0))/(Debt!S114+Debt!T114),0)</f>
        <v>1.30098871436807</v>
      </c>
      <c r="S20" s="3" t="n">
        <f aca="false">IF(Debt!T114&gt;Inputs!$F$253,(Waterfall!T7+IF(Debt!U114&gt;Inputs!$F$253,Waterfall!U7,0))/(Debt!T114+Debt!U114),0)</f>
        <v>1.30246289791128</v>
      </c>
      <c r="T20" s="3" t="n">
        <f aca="false">IF(Debt!U114&gt;Inputs!$F$253,(Waterfall!U7+IF(Debt!V114&gt;Inputs!$F$253,Waterfall!V7,0))/(Debt!U114+Debt!V114),0)</f>
        <v>1.304310280669</v>
      </c>
      <c r="U20" s="3" t="n">
        <f aca="false">IF(Debt!V114&gt;Inputs!$F$253,(Waterfall!V7+IF(Debt!W114&gt;Inputs!$F$253,Waterfall!W7,0))/(Debt!V114+Debt!W114),0)</f>
        <v>1.30626067565582</v>
      </c>
      <c r="V20" s="3" t="n">
        <f aca="false">IF(Debt!W114&gt;Inputs!$F$253,(Waterfall!W7+IF(Debt!X114&gt;Inputs!$F$253,Waterfall!X7,0))/(Debt!W114+Debt!X114),0)</f>
        <v>1.30719303593405</v>
      </c>
      <c r="W20" s="3" t="n">
        <f aca="false">IF(Debt!X114&gt;Inputs!$F$253,(Waterfall!X7+IF(Debt!Y114&gt;Inputs!$F$253,Waterfall!Y7,0))/(Debt!X114+Debt!Y114),0)</f>
        <v>1.30808401085992</v>
      </c>
      <c r="X20" s="3" t="n">
        <f aca="false">IF(Debt!Y114&gt;Inputs!$F$253,(Waterfall!Y7+IF(Debt!Z114&gt;Inputs!$F$253,Waterfall!Z7,0))/(Debt!Y114+Debt!Z114),0)</f>
        <v>1.30977315811431</v>
      </c>
      <c r="Y20" s="3" t="n">
        <f aca="false">IF(Debt!Z114&gt;Inputs!$F$253,(Waterfall!Z7+IF(Debt!AA114&gt;Inputs!$F$253,Waterfall!AA7,0))/(Debt!Z114+Debt!AA114),0)</f>
        <v>1.31150690955175</v>
      </c>
      <c r="Z20" s="3" t="n">
        <f aca="false">IF(Debt!AA114&gt;Inputs!$F$253,(Waterfall!AA7+IF(Debt!AB114&gt;Inputs!$F$253,Waterfall!AB7,0))/(Debt!AA114+Debt!AB114),0)</f>
        <v>1.3249366052703</v>
      </c>
      <c r="AA20" s="3" t="n">
        <f aca="false">IF(Debt!AB114&gt;Inputs!$F$253,(Waterfall!AB7+IF(Debt!AC114&gt;Inputs!$F$253,Waterfall!AC7,0))/(Debt!AB114+Debt!AC114),0)</f>
        <v>1.35307934473549</v>
      </c>
      <c r="AB20" s="3" t="n">
        <f aca="false">IF(Debt!AC114&gt;Inputs!$F$253,(Waterfall!AC7+IF(Debt!AD114&gt;Inputs!$F$253,Waterfall!AD7,0))/(Debt!AC114+Debt!AD114),0)</f>
        <v>1.386091949893</v>
      </c>
      <c r="AC20" s="3" t="n">
        <f aca="false">IF(Debt!AD114&gt;Inputs!$F$253,(Waterfall!AD7+IF(Debt!AE114&gt;Inputs!$F$253,Waterfall!AE7,0))/(Debt!AD114+Debt!AE114),0)</f>
        <v>1.42442331083979</v>
      </c>
      <c r="AD20" s="3" t="n">
        <f aca="false">IF(Debt!AE114&gt;Inputs!$F$253,(Waterfall!AE7+IF(Debt!AF114&gt;Inputs!$F$253,Waterfall!AF7,0))/(Debt!AE114+Debt!AF114),0)</f>
        <v>1.47320151482711</v>
      </c>
      <c r="AE20" s="3" t="n">
        <f aca="false">IF(Debt!AF114&gt;Inputs!$F$253,(Waterfall!AF7+IF(Debt!AG114&gt;Inputs!$F$253,Waterfall!AG7,0))/(Debt!AF114+Debt!AG114),0)</f>
        <v>1.53552462758156</v>
      </c>
      <c r="AF20" s="3" t="n">
        <f aca="false">IF(Debt!AG114&gt;Inputs!$F$253,(Waterfall!AG7+IF(Debt!AH114&gt;Inputs!$F$253,Waterfall!AH7,0))/(Debt!AG114+Debt!AH114),0)</f>
        <v>1.61542559132545</v>
      </c>
      <c r="AG20" s="3" t="n">
        <f aca="false">IF(Debt!AH114&gt;Inputs!$F$253,(Waterfall!AH7+IF(Debt!AI114&gt;Inputs!$F$253,Waterfall!AI7,0))/(Debt!AH114+Debt!AI114),0)</f>
        <v>1.71978351336525</v>
      </c>
      <c r="AH20" s="3" t="n">
        <f aca="false">IF(Debt!AI114&gt;Inputs!$F$253,(Waterfall!AI7+IF(Debt!AJ114&gt;Inputs!$F$253,Waterfall!AJ7,0))/(Debt!AI114+Debt!AJ114),0)</f>
        <v>1.87072251281917</v>
      </c>
      <c r="AI20" s="3" t="n">
        <f aca="false">IF(Debt!AJ114&gt;Inputs!$F$253,(Waterfall!AJ7+IF(Debt!AK114&gt;Inputs!$F$253,Waterfall!AK7,0))/(Debt!AJ114+Debt!AK114),0)</f>
        <v>2.10723918140921</v>
      </c>
      <c r="AJ20" s="3" t="n">
        <f aca="false">IF(Debt!AK114&gt;Inputs!$F$253,(Waterfall!AK7+IF(Debt!AL114&gt;Inputs!$F$253,Waterfall!AL7,0))/(Debt!AK114+Debt!AL114),0)</f>
        <v>2.27098609224005</v>
      </c>
      <c r="AK20" s="3" t="n">
        <f aca="false">IF(Debt!AL114&gt;Inputs!$F$253,(Waterfall!AL7+IF(Debt!AM114&gt;Inputs!$F$253,Waterfall!AM7,0))/(Debt!AL114+Debt!AM114),0)</f>
        <v>2.26508260311998</v>
      </c>
      <c r="AL20" s="3" t="n">
        <f aca="false">IF(Debt!AM114&gt;Inputs!$F$253,(Waterfall!AM7+IF(Debt!AN114&gt;Inputs!$F$253,Waterfall!AN7,0))/(Debt!AM114+Debt!AN114),0)</f>
        <v>2.4112841721108</v>
      </c>
      <c r="AM20" s="3" t="n">
        <f aca="false">IF(Debt!AN114&gt;Inputs!$F$253,(Waterfall!AN7+IF(Debt!AO114&gt;Inputs!$F$253,Waterfall!AO7,0))/(Debt!AN114+Debt!AO114),0)</f>
        <v>2.41260857443869</v>
      </c>
      <c r="AN20" s="3" t="n">
        <f aca="false">IF(Debt!AO114&gt;Inputs!$F$253,(Waterfall!AO7+IF(Debt!AP114&gt;Inputs!$F$253,Waterfall!AP7,0))/(Debt!AO114+Debt!AP114),0)</f>
        <v>2.22720294519433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1165.40678257031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13.4925092677511</v>
      </c>
      <c r="BS8" s="18" t="n">
        <f aca="false">Waterfall!Q44</f>
        <v>11.0475438350187</v>
      </c>
      <c r="BT8" s="18" t="n">
        <f aca="false">Waterfall!R44</f>
        <v>12.0360535172629</v>
      </c>
      <c r="BU8" s="18" t="n">
        <f aca="false">Waterfall!S44</f>
        <v>11.2442381955162</v>
      </c>
      <c r="BV8" s="18" t="n">
        <f aca="false">Waterfall!T44</f>
        <v>12.0488789653183</v>
      </c>
      <c r="BW8" s="18" t="n">
        <f aca="false">Waterfall!U44</f>
        <v>11.1197757498465</v>
      </c>
      <c r="BX8" s="18" t="n">
        <f aca="false">Waterfall!V44</f>
        <v>12.422972924271</v>
      </c>
      <c r="BY8" s="18" t="n">
        <f aca="false">Waterfall!W44</f>
        <v>13.1926475453303</v>
      </c>
      <c r="BZ8" s="18" t="n">
        <f aca="false">Waterfall!X44</f>
        <v>12.1375661712774</v>
      </c>
      <c r="CA8" s="18" t="n">
        <f aca="false">Waterfall!Y44</f>
        <v>11.3862770610192</v>
      </c>
      <c r="CB8" s="18" t="n">
        <f aca="false">Waterfall!Z44</f>
        <v>12.1587917840126</v>
      </c>
      <c r="CC8" s="18" t="n">
        <f aca="false">Waterfall!AA44</f>
        <v>5.6816678738635</v>
      </c>
      <c r="CD8" s="18" t="n">
        <f aca="false">Waterfall!AB44</f>
        <v>6.73378743911777</v>
      </c>
      <c r="CE8" s="18" t="n">
        <f aca="false">Waterfall!AC44</f>
        <v>6.44464813468057</v>
      </c>
      <c r="CF8" s="18" t="n">
        <f aca="false">Waterfall!AD44</f>
        <v>7.82710463836991</v>
      </c>
      <c r="CG8" s="18" t="n">
        <f aca="false">Waterfall!AE44</f>
        <v>8.48578032811019</v>
      </c>
      <c r="CH8" s="18" t="n">
        <f aca="false">Waterfall!AF44</f>
        <v>9.43556426512269</v>
      </c>
      <c r="CI8" s="18" t="n">
        <f aca="false">Waterfall!AG44</f>
        <v>9.92018706011367</v>
      </c>
      <c r="CJ8" s="18" t="n">
        <f aca="false">Waterfall!AH44</f>
        <v>11.3566865980485</v>
      </c>
      <c r="CK8" s="18" t="n">
        <f aca="false">Waterfall!AI44</f>
        <v>12.2908008869718</v>
      </c>
      <c r="CL8" s="18" t="n">
        <f aca="false">Waterfall!AJ44</f>
        <v>14.2351595046146</v>
      </c>
      <c r="CM8" s="18" t="n">
        <f aca="false">Waterfall!AK44</f>
        <v>31.5901843002851</v>
      </c>
      <c r="CN8" s="18" t="n">
        <f aca="false">Waterfall!AL44</f>
        <v>30.0939397162563</v>
      </c>
      <c r="CO8" s="18" t="n">
        <f aca="false">Waterfall!AM44</f>
        <v>33.8761545204437</v>
      </c>
      <c r="CP8" s="18" t="n">
        <f aca="false">Waterfall!AN44</f>
        <v>30.5395124816682</v>
      </c>
      <c r="CQ8" s="18" t="n">
        <f aca="false">Waterfall!AO44</f>
        <v>41.9876004260199</v>
      </c>
      <c r="CR8" s="18" t="n">
        <f aca="false">Waterfall!AP44</f>
        <v>41.9557753672183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1602.74546778171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49.391678835263</v>
      </c>
      <c r="CQ9" s="18" t="n">
        <f aca="false">Waterfall!AO7</f>
        <v>41.9876004260199</v>
      </c>
      <c r="CR9" s="18" t="n">
        <f aca="false">Waterfall!AP7</f>
        <v>41.9557753672183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-208.341258316306</v>
      </c>
      <c r="BS11" s="13" t="n">
        <f aca="false">BR11+BS8</f>
        <v>-197.293714481287</v>
      </c>
      <c r="BT11" s="13" t="n">
        <f aca="false">BS11+BT8</f>
        <v>-185.257660964025</v>
      </c>
      <c r="BU11" s="13" t="n">
        <f aca="false">BT11+BU8</f>
        <v>-174.013422768508</v>
      </c>
      <c r="BV11" s="13" t="n">
        <f aca="false">BU11+BV8</f>
        <v>-161.96454380319</v>
      </c>
      <c r="BW11" s="13" t="n">
        <f aca="false">BV11+BW8</f>
        <v>-150.844768053344</v>
      </c>
      <c r="BX11" s="13" t="n">
        <f aca="false">BW11+BX8</f>
        <v>-138.421795129073</v>
      </c>
      <c r="BY11" s="13" t="n">
        <f aca="false">BX11+BY8</f>
        <v>-125.229147583742</v>
      </c>
      <c r="BZ11" s="13" t="n">
        <f aca="false">BY11+BZ8</f>
        <v>-113.091581412465</v>
      </c>
      <c r="CA11" s="13" t="n">
        <f aca="false">BZ11+CA8</f>
        <v>-101.705304351446</v>
      </c>
      <c r="CB11" s="13" t="n">
        <f aca="false">CA11+CB8</f>
        <v>-89.5465125674331</v>
      </c>
      <c r="CC11" s="13" t="n">
        <f aca="false">CB11+CC8</f>
        <v>-83.8648446935696</v>
      </c>
      <c r="CD11" s="13" t="n">
        <f aca="false">CC11+CD8</f>
        <v>-77.1310572544518</v>
      </c>
      <c r="CE11" s="13" t="n">
        <f aca="false">CD11+CE8</f>
        <v>-70.6864091197713</v>
      </c>
      <c r="CF11" s="13" t="n">
        <f aca="false">CE11+CF8</f>
        <v>-62.8593044814014</v>
      </c>
      <c r="CG11" s="13" t="n">
        <f aca="false">CF11+CG8</f>
        <v>-54.3735241532912</v>
      </c>
      <c r="CH11" s="13" t="n">
        <f aca="false">CG11+CH8</f>
        <v>-44.9379598881685</v>
      </c>
      <c r="CI11" s="13" t="n">
        <f aca="false">CH11+CI8</f>
        <v>-35.0177728280548</v>
      </c>
      <c r="CJ11" s="13" t="n">
        <f aca="false">CI11+CJ8</f>
        <v>-23.6610862300063</v>
      </c>
      <c r="CK11" s="13" t="n">
        <f aca="false">CJ11+CK8</f>
        <v>-11.3702853430345</v>
      </c>
      <c r="CL11" s="13" t="n">
        <f aca="false">CK11+CL8</f>
        <v>2.86487416158009</v>
      </c>
      <c r="CM11" s="13" t="n">
        <f aca="false">CL11+CM8</f>
        <v>34.4550584618652</v>
      </c>
      <c r="CN11" s="13" t="n">
        <f aca="false">CM11+CN8</f>
        <v>64.5489981781215</v>
      </c>
      <c r="CO11" s="13" t="n">
        <f aca="false">CN11+CO8</f>
        <v>98.4251526985651</v>
      </c>
      <c r="CP11" s="13" t="n">
        <f aca="false">CO11+CP8</f>
        <v>128.964665180233</v>
      </c>
      <c r="CQ11" s="13" t="n">
        <f aca="false">CP11+CQ8</f>
        <v>170.952265606253</v>
      </c>
      <c r="CR11" s="13" t="n">
        <f aca="false">CQ11+CR8</f>
        <v>212.908040973472</v>
      </c>
      <c r="CS11" s="13" t="n">
        <f aca="false">CR11+CS8</f>
        <v>254.082640307545</v>
      </c>
      <c r="CT11" s="13" t="n">
        <f aca="false">CS11+CT8</f>
        <v>295.85360113858</v>
      </c>
      <c r="CU11" s="13" t="n">
        <f aca="false">CT11+CU8</f>
        <v>337.359214050406</v>
      </c>
      <c r="CV11" s="13" t="n">
        <f aca="false">CU11+CV8</f>
        <v>385.597907081698</v>
      </c>
      <c r="CW11" s="13" t="n">
        <f aca="false">CV11+CW8</f>
        <v>429.399427821321</v>
      </c>
      <c r="CX11" s="13" t="n">
        <f aca="false">CW11+CX8</f>
        <v>473.32444736445</v>
      </c>
      <c r="CY11" s="13" t="n">
        <f aca="false">CX11+CY8</f>
        <v>516.825082119643</v>
      </c>
      <c r="CZ11" s="13" t="n">
        <f aca="false">CY11+CZ8</f>
        <v>561.000556905176</v>
      </c>
      <c r="DA11" s="13" t="n">
        <f aca="false">CZ11+DA8</f>
        <v>604.719109204155</v>
      </c>
      <c r="DB11" s="13" t="n">
        <f aca="false">DA11+DB8</f>
        <v>649.055551643037</v>
      </c>
      <c r="DC11" s="13" t="n">
        <f aca="false">DB11+DC8</f>
        <v>692.599381363858</v>
      </c>
      <c r="DD11" s="13" t="n">
        <f aca="false">DC11+DD8</f>
        <v>737.384191090536</v>
      </c>
      <c r="DE11" s="13" t="n">
        <f aca="false">DD11+DE8</f>
        <v>778.753498153288</v>
      </c>
      <c r="DF11" s="13" t="n">
        <f aca="false">DE11+DF8</f>
        <v>814.007051430292</v>
      </c>
      <c r="DG11" s="13" t="n">
        <f aca="false">DF11+DG8</f>
        <v>848.810843181065</v>
      </c>
      <c r="DH11" s="13" t="n">
        <f aca="false">DG11+DH8</f>
        <v>884.301969315406</v>
      </c>
      <c r="DI11" s="13" t="n">
        <f aca="false">DH11+DI8</f>
        <v>919.308310698014</v>
      </c>
      <c r="DJ11" s="13" t="n">
        <f aca="false">DI11+DJ8</f>
        <v>954.938475169364</v>
      </c>
      <c r="DK11" s="13" t="n">
        <f aca="false">DJ11+DK8</f>
        <v>990.290008334815</v>
      </c>
      <c r="DL11" s="13" t="n">
        <f aca="false">DK11+DL8</f>
        <v>1033.64763025878</v>
      </c>
      <c r="DM11" s="13" t="n">
        <f aca="false">DL11+DM8</f>
        <v>1071.73769325297</v>
      </c>
      <c r="DN11" s="13" t="n">
        <f aca="false">DM11+DN8</f>
        <v>1110.5577949399</v>
      </c>
      <c r="DO11" s="13" t="n">
        <f aca="false">DN11+DO8</f>
        <v>1165.40678257031</v>
      </c>
      <c r="DP11" s="13" t="n">
        <f aca="false">DO11+DP8</f>
        <v>1165.40678257031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0.129260939715468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0.109925824767384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-49.1619266394004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1.29745914957028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1.51308543168391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1.39629160854969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1.84131646975426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0.129260939715468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0.109925824767384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-49.1619266394004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2026-10-03T22:34:40Z</dcterms:created>
  <dc:creator>openpyxl</dc:creator>
  <dc:description/>
  <dc:language>en-US</dc:language>
  <cp:lastModifiedBy/>
  <dcterms:modified xsi:type="dcterms:W3CDTF">2026-10-03T22:34:41Z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