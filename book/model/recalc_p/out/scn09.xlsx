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<sst xmlns="http://schemas.openxmlformats.org/spreadsheetml/2006/main" count="3618" uniqueCount="2025">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</sst>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9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2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5.11</v>
      </c>
      <c r="R9" s="13" t="n">
        <f aca="false">R8+Inputs!$F$42*Time!R39</f>
        <v>5.11</v>
      </c>
      <c r="S9" s="13" t="n">
        <f aca="false">S8+Inputs!$F$42*Time!S39</f>
        <v>5.12</v>
      </c>
      <c r="T9" s="13" t="n">
        <f aca="false">T8+Inputs!$F$42*Time!T39</f>
        <v>5.12</v>
      </c>
      <c r="U9" s="13" t="n">
        <f aca="false">U8+Inputs!$F$42*Time!U39</f>
        <v>5.12</v>
      </c>
      <c r="V9" s="13" t="n">
        <f aca="false">V8+Inputs!$F$42*Time!V39</f>
        <v>5.12</v>
      </c>
      <c r="W9" s="13" t="n">
        <f aca="false">W8+Inputs!$F$42*Time!W39</f>
        <v>5.12</v>
      </c>
      <c r="X9" s="13" t="n">
        <f aca="false">X8+Inputs!$F$42*Time!X39</f>
        <v>5.12</v>
      </c>
      <c r="Y9" s="13" t="n">
        <f aca="false">Y8+Inputs!$F$42*Time!Y39</f>
        <v>5.12</v>
      </c>
      <c r="Z9" s="13" t="n">
        <f aca="false">Z8+Inputs!$F$42*Time!Z39</f>
        <v>5.12</v>
      </c>
      <c r="AA9" s="13" t="n">
        <f aca="false">AA8+Inputs!$F$42*Time!AA39</f>
        <v>5.12</v>
      </c>
      <c r="AB9" s="13" t="n">
        <f aca="false">AB8+Inputs!$F$42*Time!AB39</f>
        <v>5.12</v>
      </c>
      <c r="AC9" s="13" t="n">
        <f aca="false">AC8+Inputs!$F$42*Time!AC39</f>
        <v>5.12</v>
      </c>
      <c r="AD9" s="13" t="n">
        <f aca="false">AD8+Inputs!$F$42*Time!AD39</f>
        <v>5.12</v>
      </c>
      <c r="AE9" s="13" t="n">
        <f aca="false">AE8+Inputs!$F$42*Time!AE39</f>
        <v>5.12</v>
      </c>
      <c r="AF9" s="13" t="n">
        <f aca="false">AF8+Inputs!$F$42*Time!AF39</f>
        <v>5.12</v>
      </c>
      <c r="AG9" s="13" t="n">
        <f aca="false">AG8+Inputs!$F$42*Time!AG39</f>
        <v>5.12</v>
      </c>
      <c r="AH9" s="13" t="n">
        <f aca="false">AH8+Inputs!$F$42*Time!AH39</f>
        <v>5.12</v>
      </c>
      <c r="AI9" s="13" t="n">
        <f aca="false">AI8+Inputs!$F$42*Time!AI39</f>
        <v>5.12</v>
      </c>
      <c r="AJ9" s="13" t="n">
        <f aca="false">AJ8+Inputs!$F$42*Time!AJ39</f>
        <v>5.12</v>
      </c>
      <c r="AK9" s="13" t="n">
        <f aca="false">AK8+Inputs!$F$42*Time!AK39</f>
        <v>5.12</v>
      </c>
      <c r="AL9" s="13" t="n">
        <f aca="false">AL8+Inputs!$F$42*Time!AL39</f>
        <v>5.12</v>
      </c>
      <c r="AM9" s="13" t="n">
        <f aca="false">AM8+Inputs!$F$42*Time!AM39</f>
        <v>5.12</v>
      </c>
      <c r="AN9" s="13" t="n">
        <f aca="false">AN8+Inputs!$F$42*Time!AN39</f>
        <v>5.12</v>
      </c>
      <c r="AO9" s="13" t="n">
        <f aca="false">AO8+Inputs!$F$42*Time!AO39</f>
        <v>5.12</v>
      </c>
      <c r="AP9" s="13" t="n">
        <f aca="false">AP8+Inputs!$F$42*Time!AP39</f>
        <v>5.12</v>
      </c>
      <c r="AQ9" s="13" t="n">
        <f aca="false">AQ8+Inputs!$F$42*Time!AQ39</f>
        <v>5.12</v>
      </c>
      <c r="AR9" s="13" t="n">
        <f aca="false">AR8+Inputs!$F$42*Time!AR39</f>
        <v>5.12</v>
      </c>
      <c r="AS9" s="13" t="n">
        <f aca="false">AS8+Inputs!$F$42*Time!AS39</f>
        <v>5.12</v>
      </c>
      <c r="AT9" s="13" t="n">
        <f aca="false">AT8+Inputs!$F$42*Time!AT39</f>
        <v>5.12</v>
      </c>
      <c r="AU9" s="13" t="n">
        <f aca="false">AU8+Inputs!$F$42*Time!AU39</f>
        <v>5.12</v>
      </c>
      <c r="AV9" s="13" t="n">
        <f aca="false">AV8+Inputs!$F$42*Time!AV39</f>
        <v>5.12</v>
      </c>
      <c r="AW9" s="13" t="n">
        <f aca="false">AW8+Inputs!$F$42*Time!AW39</f>
        <v>5.12</v>
      </c>
      <c r="AX9" s="13" t="n">
        <f aca="false">AX8+Inputs!$F$42*Time!AX39</f>
        <v>5.12</v>
      </c>
      <c r="AY9" s="13" t="n">
        <f aca="false">AY8+Inputs!$F$42*Time!AY39</f>
        <v>5.12</v>
      </c>
      <c r="AZ9" s="13" t="n">
        <f aca="false">AZ8+Inputs!$F$42*Time!AZ39</f>
        <v>5.12</v>
      </c>
      <c r="BA9" s="13" t="n">
        <f aca="false">BA8+Inputs!$F$42*Time!BA39</f>
        <v>5.12</v>
      </c>
      <c r="BB9" s="13" t="n">
        <f aca="false">BB8+Inputs!$F$42*Time!BB39</f>
        <v>5.12</v>
      </c>
      <c r="BC9" s="13" t="n">
        <f aca="false">BC8+Inputs!$F$42*Time!BC39</f>
        <v>5.12</v>
      </c>
      <c r="BD9" s="13" t="n">
        <f aca="false">BD8+Inputs!$F$42*Time!BD39</f>
        <v>5.12</v>
      </c>
      <c r="BE9" s="13" t="n">
        <f aca="false">BE8+Inputs!$F$42*Time!BE39</f>
        <v>5.12</v>
      </c>
      <c r="BF9" s="13" t="n">
        <f aca="false">BF8+Inputs!$F$42*Time!BF39</f>
        <v>5.12</v>
      </c>
      <c r="BG9" s="13" t="n">
        <f aca="false">BG8+Inputs!$F$42*Time!BG39</f>
        <v>5.12</v>
      </c>
      <c r="BH9" s="13" t="n">
        <f aca="false">BH8+Inputs!$F$42*Time!BH39</f>
        <v>5.12</v>
      </c>
      <c r="BI9" s="13" t="n">
        <f aca="false">BI8+Inputs!$F$42*Time!BI39</f>
        <v>5.12</v>
      </c>
      <c r="BJ9" s="13" t="n">
        <f aca="false">BJ8+Inputs!$F$42*Time!BJ39</f>
        <v>5.12</v>
      </c>
      <c r="BK9" s="13" t="n">
        <f aca="false">BK8+Inputs!$F$42*Time!BK39</f>
        <v>5.12</v>
      </c>
      <c r="BL9" s="13" t="n">
        <f aca="false">BL8+Inputs!$F$42*Time!BL39</f>
        <v>5.12</v>
      </c>
      <c r="BM9" s="13" t="n">
        <f aca="false">BM8+Inputs!$F$42*Time!BM39</f>
        <v>5.12</v>
      </c>
      <c r="BN9" s="13" t="n">
        <f aca="false">BN8+Inputs!$F$42*Time!BN39</f>
        <v>5.12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222.503891494177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9.60348673846963</v>
      </c>
      <c r="R13" s="13" t="n">
        <f aca="false">IF(Time!R20&gt;=Time!$F$12,Waterfall!R33*Inputs!$F$104/100*Time!R31/Inputs!$F$248,0)</f>
        <v>9.69323752887652</v>
      </c>
      <c r="S13" s="13" t="n">
        <f aca="false">IF(Time!S20&gt;=Time!$F$12,Waterfall!S33*Inputs!$F$104/100*Time!S31/Inputs!$F$248,0)</f>
        <v>9.42462727842671</v>
      </c>
      <c r="T13" s="13" t="n">
        <f aca="false">IF(Time!T20&gt;=Time!$F$12,Waterfall!T33*Inputs!$F$104/100*Time!T31/Inputs!$F$248,0)</f>
        <v>9.49354970013342</v>
      </c>
      <c r="U13" s="13" t="n">
        <f aca="false">IF(Time!U20&gt;=Time!$F$12,Waterfall!U33*Inputs!$F$104/100*Time!U31/Inputs!$F$248,0)</f>
        <v>9.26922886308715</v>
      </c>
      <c r="V13" s="13" t="n">
        <f aca="false">IF(Time!V20&gt;=Time!$F$12,Waterfall!V33*Inputs!$F$104/100*Time!V31/Inputs!$F$248,0)</f>
        <v>9.2824363235441</v>
      </c>
      <c r="W13" s="13" t="n">
        <f aca="false">IF(Time!W20&gt;=Time!$F$12,Waterfall!W33*Inputs!$F$104/100*Time!W31/Inputs!$F$248,0)</f>
        <v>8.98316435412181</v>
      </c>
      <c r="X13" s="13" t="n">
        <f aca="false">IF(Time!X20&gt;=Time!$F$12,Waterfall!X33*Inputs!$F$104/100*Time!X31/Inputs!$F$248,0)</f>
        <v>8.93053347862322</v>
      </c>
      <c r="Y13" s="13" t="n">
        <f aca="false">IF(Time!Y20&gt;=Time!$F$12,Waterfall!Y33*Inputs!$F$104/100*Time!Y31/Inputs!$F$248,0)</f>
        <v>8.63396872972207</v>
      </c>
      <c r="Z13" s="13" t="n">
        <f aca="false">IF(Time!Z20&gt;=Time!$F$12,Waterfall!Z33*Inputs!$F$104/100*Time!Z31/Inputs!$F$248,0)</f>
        <v>8.64545488247333</v>
      </c>
      <c r="AA13" s="13" t="n">
        <f aca="false">IF(Time!AA20&gt;=Time!$F$12,Waterfall!AA33*Inputs!$F$104/100*Time!AA31/Inputs!$F$248,0)</f>
        <v>8.33922753609682</v>
      </c>
      <c r="AB13" s="13" t="n">
        <f aca="false">IF(Time!AB20&gt;=Time!$F$12,Waterfall!AB33*Inputs!$F$104/100*Time!AB31/Inputs!$F$248,0)</f>
        <v>8.60487294450941</v>
      </c>
      <c r="AC13" s="13" t="n">
        <f aca="false">IF(Time!AC20&gt;=Time!$F$12,Waterfall!AC33*Inputs!$F$104/100*Time!AC31/Inputs!$F$248,0)</f>
        <v>8.60163965584274</v>
      </c>
      <c r="AD13" s="13" t="n">
        <f aca="false">IF(Time!AD20&gt;=Time!$F$12,Waterfall!AD33*Inputs!$F$104/100*Time!AD31/Inputs!$F$248,0)</f>
        <v>8.8018646823822</v>
      </c>
      <c r="AE13" s="13" t="n">
        <f aca="false">IF(Time!AE20&gt;=Time!$F$12,Waterfall!AE33*Inputs!$F$104/100*Time!AE31/Inputs!$F$248,0)</f>
        <v>8.70685680635733</v>
      </c>
      <c r="AF13" s="13" t="n">
        <f aca="false">IF(Time!AF20&gt;=Time!$F$12,Waterfall!AF33*Inputs!$F$104/100*Time!AF31/Inputs!$F$248,0)</f>
        <v>8.86490110720068</v>
      </c>
      <c r="AG13" s="13" t="n">
        <f aca="false">IF(Time!AG20&gt;=Time!$F$12,Waterfall!AG33*Inputs!$F$104/100*Time!AG31/Inputs!$F$248,0)</f>
        <v>8.69727551816273</v>
      </c>
      <c r="AH13" s="13" t="n">
        <f aca="false">IF(Time!AH20&gt;=Time!$F$12,Waterfall!AH33*Inputs!$F$104/100*Time!AH31/Inputs!$F$248,0)</f>
        <v>8.78674286405409</v>
      </c>
      <c r="AI13" s="13" t="n">
        <f aca="false">IF(Time!AI20&gt;=Time!$F$12,Waterfall!AI33*Inputs!$F$104/100*Time!AI31/Inputs!$F$248,0)</f>
        <v>8.52610537049994</v>
      </c>
      <c r="AJ13" s="13" t="n">
        <f aca="false">IF(Time!AJ20&gt;=Time!$F$12,Waterfall!AJ33*Inputs!$F$104/100*Time!AJ31/Inputs!$F$248,0)</f>
        <v>8.48981530523372</v>
      </c>
      <c r="AK13" s="13" t="n">
        <f aca="false">IF(Time!AK20&gt;=Time!$F$12,Waterfall!AK33*Inputs!$F$104/100*Time!AK31/Inputs!$F$248,0)</f>
        <v>8.12653245657274</v>
      </c>
      <c r="AL13" s="13" t="n">
        <f aca="false">IF(Time!AL20&gt;=Time!$F$12,Waterfall!AL33*Inputs!$F$104/100*Time!AL31/Inputs!$F$248,0)</f>
        <v>7.33494602857434</v>
      </c>
      <c r="AM13" s="13" t="n">
        <f aca="false">IF(Time!AM20&gt;=Time!$F$12,Waterfall!AM33*Inputs!$F$104/100*Time!AM31/Inputs!$F$248,0)</f>
        <v>5.97453466065484</v>
      </c>
      <c r="AN13" s="13" t="n">
        <f aca="false">IF(Time!AN20&gt;=Time!$F$12,Waterfall!AN33*Inputs!$F$104/100*Time!AN31/Inputs!$F$248,0)</f>
        <v>4.72186758999005</v>
      </c>
      <c r="AO13" s="13" t="n">
        <f aca="false">IF(Time!AO20&gt;=Time!$F$12,Waterfall!AO33*Inputs!$F$104/100*Time!AO31/Inputs!$F$248,0)</f>
        <v>3.30784547688574</v>
      </c>
      <c r="AP13" s="13" t="n">
        <f aca="false">IF(Time!AP20&gt;=Time!$F$12,Waterfall!AP33*Inputs!$F$104/100*Time!AP31/Inputs!$F$248,0)</f>
        <v>1.48406476472462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0.912954311245135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218.485509092404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9.69323752887652</v>
      </c>
      <c r="S15" s="13" t="n">
        <f aca="false">S13*S14</f>
        <v>9.42462727842671</v>
      </c>
      <c r="T15" s="13" t="n">
        <f aca="false">T13*T14</f>
        <v>9.49354970013342</v>
      </c>
      <c r="U15" s="13" t="n">
        <f aca="false">U13*U14</f>
        <v>9.26922886308715</v>
      </c>
      <c r="V15" s="13" t="n">
        <f aca="false">V13*V14</f>
        <v>9.2824363235441</v>
      </c>
      <c r="W15" s="13" t="n">
        <f aca="false">W13*W14</f>
        <v>8.98316435412181</v>
      </c>
      <c r="X15" s="13" t="n">
        <f aca="false">X13*X14</f>
        <v>8.93053347862322</v>
      </c>
      <c r="Y15" s="13" t="n">
        <f aca="false">Y13*Y14</f>
        <v>8.63396872972207</v>
      </c>
      <c r="Z15" s="13" t="n">
        <f aca="false">Z13*Z14</f>
        <v>8.64545488247333</v>
      </c>
      <c r="AA15" s="13" t="n">
        <f aca="false">AA13*AA14</f>
        <v>8.33922753609682</v>
      </c>
      <c r="AB15" s="13" t="n">
        <f aca="false">AB13*AB14</f>
        <v>8.60487294450941</v>
      </c>
      <c r="AC15" s="13" t="n">
        <f aca="false">AC13*AC14</f>
        <v>8.60163965584274</v>
      </c>
      <c r="AD15" s="13" t="n">
        <f aca="false">AD13*AD14</f>
        <v>8.8018646823822</v>
      </c>
      <c r="AE15" s="13" t="n">
        <f aca="false">AE13*AE14</f>
        <v>8.70685680635733</v>
      </c>
      <c r="AF15" s="13" t="n">
        <f aca="false">AF13*AF14</f>
        <v>8.86490110720068</v>
      </c>
      <c r="AG15" s="13" t="n">
        <f aca="false">AG13*AG14</f>
        <v>8.69727551816273</v>
      </c>
      <c r="AH15" s="13" t="n">
        <f aca="false">AH13*AH14</f>
        <v>8.78674286405409</v>
      </c>
      <c r="AI15" s="13" t="n">
        <f aca="false">AI13*AI14</f>
        <v>8.52610537049994</v>
      </c>
      <c r="AJ15" s="13" t="n">
        <f aca="false">AJ13*AJ14</f>
        <v>8.48981530523372</v>
      </c>
      <c r="AK15" s="13" t="n">
        <f aca="false">AK13*AK14</f>
        <v>8.12653245657274</v>
      </c>
      <c r="AL15" s="13" t="n">
        <f aca="false">AL13*AL14</f>
        <v>7.33494602857434</v>
      </c>
      <c r="AM15" s="13" t="n">
        <f aca="false">AM13*AM14</f>
        <v>5.97453466065484</v>
      </c>
      <c r="AN15" s="13" t="n">
        <f aca="false">AN13*AN14</f>
        <v>4.72186758999005</v>
      </c>
      <c r="AO15" s="13" t="n">
        <f aca="false">AO13*AO14</f>
        <v>3.30784547688574</v>
      </c>
      <c r="AP15" s="13" t="n">
        <f aca="false">AP13*AP14</f>
        <v>1.48406476472462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334.587163116013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22.4388558600939</v>
      </c>
      <c r="R16" s="13" t="n">
        <f aca="false">Debt!R112+Debt!R110+Debt!R104-Debt!R103</f>
        <v>22.1375195655238</v>
      </c>
      <c r="S16" s="13" t="n">
        <f aca="false">Debt!S112+Debt!S110+Debt!S104-Debt!S103</f>
        <v>21.3196732464014</v>
      </c>
      <c r="T16" s="13" t="n">
        <f aca="false">Debt!T112+Debt!T110+Debt!T104-Debt!T103</f>
        <v>20.9544369500023</v>
      </c>
      <c r="U16" s="13" t="n">
        <f aca="false">Debt!U112+Debt!U110+Debt!U104-Debt!U103</f>
        <v>20.1660057639278</v>
      </c>
      <c r="V16" s="13" t="n">
        <f aca="false">Debt!V112+Debt!V110+Debt!V104-Debt!V103</f>
        <v>19.6561536862693</v>
      </c>
      <c r="W16" s="13" t="n">
        <f aca="false">Debt!W112+Debt!W110+Debt!W104-Debt!W103</f>
        <v>18.7331456104937</v>
      </c>
      <c r="X16" s="13" t="n">
        <f aca="false">Debt!X112+Debt!X110+Debt!X104-Debt!X103</f>
        <v>18.2080838235513</v>
      </c>
      <c r="Y16" s="13" t="n">
        <f aca="false">Debt!Y112+Debt!Y110+Debt!Y104-Debt!Y103</f>
        <v>17.8211986967262</v>
      </c>
      <c r="Z16" s="13" t="n">
        <f aca="false">Debt!Z112+Debt!Z110+Debt!Z104-Debt!Z103</f>
        <v>17.2965275469742</v>
      </c>
      <c r="AA16" s="13" t="n">
        <f aca="false">Debt!AA112+Debt!AA110+Debt!AA104-Debt!AA103</f>
        <v>16.3448786347488</v>
      </c>
      <c r="AB16" s="13" t="n">
        <f aca="false">Debt!AB112+Debt!AB110+Debt!AB104-Debt!AB103</f>
        <v>15.3998034593843</v>
      </c>
      <c r="AC16" s="13" t="n">
        <f aca="false">Debt!AC112+Debt!AC110+Debt!AC104-Debt!AC103</f>
        <v>14.0733798012715</v>
      </c>
      <c r="AD16" s="13" t="n">
        <f aca="false">Debt!AD112+Debt!AD110+Debt!AD104-Debt!AD103</f>
        <v>12.9664971883776</v>
      </c>
      <c r="AE16" s="13" t="n">
        <f aca="false">Debt!AE112+Debt!AE110+Debt!AE104-Debt!AE103</f>
        <v>11.4836468971948</v>
      </c>
      <c r="AF16" s="13" t="n">
        <f aca="false">Debt!AF112+Debt!AF110+Debt!AF104-Debt!AF103</f>
        <v>10.2030503589868</v>
      </c>
      <c r="AG16" s="13" t="n">
        <f aca="false">Debt!AG112+Debt!AG110+Debt!AG104-Debt!AG103</f>
        <v>8.88092246480109</v>
      </c>
      <c r="AH16" s="13" t="n">
        <f aca="false">Debt!AH112+Debt!AH110+Debt!AH104-Debt!AH103</f>
        <v>7.47601144778269</v>
      </c>
      <c r="AI16" s="13" t="n">
        <f aca="false">Debt!AI112+Debt!AI110+Debt!AI104-Debt!AI103</f>
        <v>5.85553799469149</v>
      </c>
      <c r="AJ16" s="13" t="n">
        <f aca="false">Debt!AJ112+Debt!AJ110+Debt!AJ104-Debt!AJ103</f>
        <v>4.34684872134638</v>
      </c>
      <c r="AK16" s="13" t="n">
        <f aca="false">Debt!AK112+Debt!AK110+Debt!AK104-Debt!AK103</f>
        <v>2.73499067745186</v>
      </c>
      <c r="AL16" s="13" t="n">
        <f aca="false">Debt!AL112+Debt!AL110+Debt!AL104-Debt!AL103</f>
        <v>1.82433876509643</v>
      </c>
      <c r="AM16" s="13" t="n">
        <f aca="false">Debt!AM112+Debt!AM110+Debt!AM104-Debt!AM103</f>
        <v>1.34301673272988</v>
      </c>
      <c r="AN16" s="13" t="n">
        <f aca="false">Debt!AN112+Debt!AN110+Debt!AN104-Debt!AN103</f>
        <v>0.856669372398032</v>
      </c>
      <c r="AO16" s="13" t="n">
        <f aca="false">Debt!AO112+Debt!AO110+Debt!AO104-Debt!AO103</f>
        <v>0.423380682828721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1230.97051585794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1.74407333430039</v>
      </c>
      <c r="Z18" s="13" t="n">
        <f aca="false">(Operations!Z84-Z16-Z15)*Z17-Z12</f>
        <v>5.89237030162194</v>
      </c>
      <c r="AA18" s="13" t="n">
        <f aca="false">(Operations!AA84-AA16-AA15)*AA17-AA12</f>
        <v>7.25096279326866</v>
      </c>
      <c r="AB18" s="13" t="n">
        <f aca="false">(Operations!AB84-AB16-AB15)*AB17-AB12</f>
        <v>8.01384734556108</v>
      </c>
      <c r="AC18" s="13" t="n">
        <f aca="false">(Operations!AC84-AC16-AC15)*AC17-AC12</f>
        <v>9.55857619622285</v>
      </c>
      <c r="AD18" s="13" t="n">
        <f aca="false">(Operations!AD84-AD16-AD15)*AD17-AD12</f>
        <v>-2.00854298021389</v>
      </c>
      <c r="AE18" s="13" t="n">
        <f aca="false">(Operations!AE84-AE16-AE15)*AE17-AE12</f>
        <v>12.3846491135254</v>
      </c>
      <c r="AF18" s="13" t="n">
        <f aca="false">(Operations!AF84-AF16-AF15)*AF17-AF12</f>
        <v>13.430958154596</v>
      </c>
      <c r="AG18" s="13" t="n">
        <f aca="false">(Operations!AG84-AG16-AG15)*AG17-AG12</f>
        <v>15.0618520247844</v>
      </c>
      <c r="AH18" s="13" t="n">
        <f aca="false">(Operations!AH84-AH16-AH15)*AH17-AH12</f>
        <v>16.5381002385446</v>
      </c>
      <c r="AI18" s="13" t="n">
        <f aca="false">(Operations!AI84-AI16-AI15)*AI17-AI12</f>
        <v>18.5270225111183</v>
      </c>
      <c r="AJ18" s="13" t="n">
        <f aca="false">(Operations!AJ84-AJ16-AJ15)*AJ17-AJ12</f>
        <v>20.1620557182755</v>
      </c>
      <c r="AK18" s="13" t="n">
        <f aca="false">(Operations!AK84-AK16-AK15)*AK17-AK12</f>
        <v>22.3322720848868</v>
      </c>
      <c r="AL18" s="13" t="n">
        <f aca="false">(Operations!AL84-AL16-AL15)*AL17-AL12</f>
        <v>21.3287514958598</v>
      </c>
      <c r="AM18" s="13" t="n">
        <f aca="false">(Operations!AM84-AM16-AM15)*AM17-AM12</f>
        <v>26.2069349568738</v>
      </c>
      <c r="AN18" s="13" t="n">
        <f aca="false">(Operations!AN84-AN16-AN15)*AN17-AN12</f>
        <v>27.9402130810281</v>
      </c>
      <c r="AO18" s="13" t="n">
        <f aca="false">(Operations!AO84-AO16-AO15)*AO17-AO12</f>
        <v>29.9400876582402</v>
      </c>
      <c r="AP18" s="13" t="n">
        <f aca="false">(Operations!AP84-AP16-AP15)*AP17-AP12</f>
        <v>32.3631780318196</v>
      </c>
      <c r="AQ18" s="13" t="n">
        <f aca="false">(Operations!AQ84-AQ16-AQ15)*AQ17-AQ12</f>
        <v>33.9626547160104</v>
      </c>
      <c r="AR18" s="13" t="n">
        <f aca="false">(Operations!AR84-AR16-AR15)*AR17-AR12</f>
        <v>34.0598294612634</v>
      </c>
      <c r="AS18" s="13" t="n">
        <f aca="false">(Operations!AS84-AS16-AS15)*AS17-AS12</f>
        <v>34.3166173202329</v>
      </c>
      <c r="AT18" s="13" t="n">
        <f aca="false">(Operations!AT84-AT16-AT15)*AT17-AT12</f>
        <v>19.5901628328753</v>
      </c>
      <c r="AU18" s="13" t="n">
        <f aca="false">(Operations!AU84-AU16-AU15)*AU17-AU12</f>
        <v>34.7234650994901</v>
      </c>
      <c r="AV18" s="13" t="n">
        <f aca="false">(Operations!AV84-AV16-AV15)*AV17-AV12</f>
        <v>34.6228213518114</v>
      </c>
      <c r="AW18" s="13" t="n">
        <f aca="false">(Operations!AW84-AW16-AW15)*AW17-AW12</f>
        <v>34.7877548993832</v>
      </c>
      <c r="AX18" s="13" t="n">
        <f aca="false">(Operations!AX84-AX16-AX15)*AX17-AX12</f>
        <v>34.980211595676</v>
      </c>
      <c r="AY18" s="13" t="n">
        <f aca="false">(Operations!AY84-AY16-AY15)*AY17-AY12</f>
        <v>35.1037663417078</v>
      </c>
      <c r="AZ18" s="13" t="n">
        <f aca="false">(Operations!AZ84-AZ16-AZ15)*AZ17-AZ12</f>
        <v>35.2086249213471</v>
      </c>
      <c r="BA18" s="13" t="n">
        <f aca="false">(Operations!BA84-BA16-BA15)*BA17-BA12</f>
        <v>35.4398631841443</v>
      </c>
      <c r="BB18" s="13" t="n">
        <f aca="false">(Operations!BB84-BB16-BB15)*BB17-BB12</f>
        <v>32.2251037005762</v>
      </c>
      <c r="BC18" s="13" t="n">
        <f aca="false">(Operations!BC84-BC16-BC15)*BC17-BC12</f>
        <v>42.2447167854865</v>
      </c>
      <c r="BD18" s="13" t="n">
        <f aca="false">(Operations!BD84-BD16-BD15)*BD17-BD12</f>
        <v>55.0565857056182</v>
      </c>
      <c r="BE18" s="13" t="n">
        <f aca="false">(Operations!BE84-BE16-BE15)*BE17-BE12</f>
        <v>55.2349156598413</v>
      </c>
      <c r="BF18" s="13" t="n">
        <f aca="false">(Operations!BF84-BF16-BF15)*BF17-BF12</f>
        <v>55.4454322027447</v>
      </c>
      <c r="BG18" s="13" t="n">
        <f aca="false">(Operations!BG84-BG16-BG15)*BG17-BG12</f>
        <v>55.577711488577</v>
      </c>
      <c r="BH18" s="13" t="n">
        <f aca="false">(Operations!BH84-BH16-BH15)*BH17-BH12</f>
        <v>55.6908612545815</v>
      </c>
      <c r="BI18" s="13" t="n">
        <f aca="false">(Operations!BI84-BI16-BI15)*BI17-BI12</f>
        <v>55.9974571900574</v>
      </c>
      <c r="BJ18" s="13" t="n">
        <f aca="false">(Operations!BJ84-BJ16-BJ15)*BJ17-BJ12</f>
        <v>38.5911845789852</v>
      </c>
      <c r="BK18" s="13" t="n">
        <f aca="false">(Operations!BK84-BK16-BK15)*BK17-BK12</f>
        <v>56.4820643230711</v>
      </c>
      <c r="BL18" s="13" t="n">
        <f aca="false">(Operations!BL84-BL16-BL15)*BL17-BL12</f>
        <v>56.3508765949934</v>
      </c>
      <c r="BM18" s="13" t="n">
        <f aca="false">(Operations!BM84-BM16-BM15)*BM17-BM12</f>
        <v>18.6104725891529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2.00854298021389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2.00854298021389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1.74407333430039</v>
      </c>
      <c r="Z20" s="13" t="n">
        <f aca="false">MIN(Y21,MAX(0,Z18-Z19))</f>
        <v>5.89237030162194</v>
      </c>
      <c r="AA20" s="13" t="n">
        <f aca="false">MIN(Z21,MAX(0,AA18-AA19))</f>
        <v>7.25096279326866</v>
      </c>
      <c r="AB20" s="13" t="n">
        <f aca="false">MIN(AA21,MAX(0,AB18-AB19))</f>
        <v>8.01384734556108</v>
      </c>
      <c r="AC20" s="13" t="n">
        <f aca="false">MIN(AB21,MAX(0,AC18-AC19))</f>
        <v>9.55857619622285</v>
      </c>
      <c r="AD20" s="13" t="n">
        <f aca="false">MIN(AC21,MAX(0,AD18-AD19))</f>
        <v>0</v>
      </c>
      <c r="AE20" s="13" t="n">
        <f aca="false">MIN(AD21,MAX(0,AE18-AE19))</f>
        <v>10.3761061333115</v>
      </c>
      <c r="AF20" s="13" t="n">
        <f aca="false">MIN(AE21,MAX(0,AF18-AF19))</f>
        <v>13.430958154596</v>
      </c>
      <c r="AG20" s="13" t="n">
        <f aca="false">MIN(AF21,MAX(0,AG18-AG19))</f>
        <v>15.0618520247844</v>
      </c>
      <c r="AH20" s="13" t="n">
        <f aca="false">MIN(AG21,MAX(0,AH18-AH19))</f>
        <v>16.5381002385446</v>
      </c>
      <c r="AI20" s="13" t="n">
        <f aca="false">MIN(AH21,MAX(0,AI18-AI19))</f>
        <v>18.5270225111183</v>
      </c>
      <c r="AJ20" s="13" t="n">
        <f aca="false">MIN(AI21,MAX(0,AJ18-AJ19))</f>
        <v>20.1620557182755</v>
      </c>
      <c r="AK20" s="13" t="n">
        <f aca="false">MIN(AJ21,MAX(0,AK18-AK19))</f>
        <v>22.3322720848868</v>
      </c>
      <c r="AL20" s="13" t="n">
        <f aca="false">MIN(AK21,MAX(0,AL18-AL19))</f>
        <v>21.3287514958598</v>
      </c>
      <c r="AM20" s="13" t="n">
        <f aca="false">MIN(AL21,MAX(0,AM18-AM19))</f>
        <v>26.2069349568738</v>
      </c>
      <c r="AN20" s="13" t="n">
        <f aca="false">MIN(AM21,MAX(0,AN18-AN19))</f>
        <v>27.9402130810281</v>
      </c>
      <c r="AO20" s="13" t="n">
        <f aca="false">MIN(AN21,MAX(0,AO18-AO19))</f>
        <v>1.47809589953441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224.098118935488</v>
      </c>
      <c r="Z21" s="13" t="n">
        <f aca="false">Y21+Z11-Z20</f>
        <v>218.205748633866</v>
      </c>
      <c r="AA21" s="13" t="n">
        <f aca="false">Z21+AA11-AA20</f>
        <v>210.954785840597</v>
      </c>
      <c r="AB21" s="13" t="n">
        <f aca="false">AA21+AB11-AB20</f>
        <v>202.940938495036</v>
      </c>
      <c r="AC21" s="13" t="n">
        <f aca="false">AB21+AC11-AC20</f>
        <v>193.382362298813</v>
      </c>
      <c r="AD21" s="13" t="n">
        <f aca="false">AC21+AD11-AD20</f>
        <v>193.382362298813</v>
      </c>
      <c r="AE21" s="13" t="n">
        <f aca="false">AD21+AE11-AE20</f>
        <v>183.006256165502</v>
      </c>
      <c r="AF21" s="13" t="n">
        <f aca="false">AE21+AF11-AF20</f>
        <v>169.575298010906</v>
      </c>
      <c r="AG21" s="13" t="n">
        <f aca="false">AF21+AG11-AG20</f>
        <v>154.513445986121</v>
      </c>
      <c r="AH21" s="13" t="n">
        <f aca="false">AG21+AH11-AH20</f>
        <v>137.975345747577</v>
      </c>
      <c r="AI21" s="13" t="n">
        <f aca="false">AH21+AI11-AI20</f>
        <v>119.448323236458</v>
      </c>
      <c r="AJ21" s="13" t="n">
        <f aca="false">AI21+AJ11-AJ20</f>
        <v>99.2862675181829</v>
      </c>
      <c r="AK21" s="13" t="n">
        <f aca="false">AJ21+AK11-AK20</f>
        <v>76.9539954332961</v>
      </c>
      <c r="AL21" s="13" t="n">
        <f aca="false">AK21+AL11-AL20</f>
        <v>55.6252439374363</v>
      </c>
      <c r="AM21" s="13" t="n">
        <f aca="false">AL21+AM11-AM20</f>
        <v>29.4183089805625</v>
      </c>
      <c r="AN21" s="13" t="n">
        <f aca="false">AM21+AN11-AN20</f>
        <v>1.47809589953441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2.00854298021389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1005.12832358815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28.4619917587058</v>
      </c>
      <c r="AP23" s="13" t="n">
        <f aca="false">MAX(0,AP18-AP19-AP20)</f>
        <v>32.3631780318196</v>
      </c>
      <c r="AQ23" s="13" t="n">
        <f aca="false">MAX(0,AQ18-AQ19-AQ20)</f>
        <v>33.9626547160104</v>
      </c>
      <c r="AR23" s="13" t="n">
        <f aca="false">MAX(0,AR18-AR19-AR20)</f>
        <v>34.0598294612634</v>
      </c>
      <c r="AS23" s="13" t="n">
        <f aca="false">MAX(0,AS18-AS19-AS20)</f>
        <v>34.3166173202329</v>
      </c>
      <c r="AT23" s="13" t="n">
        <f aca="false">MAX(0,AT18-AT19-AT20)</f>
        <v>19.5901628328753</v>
      </c>
      <c r="AU23" s="13" t="n">
        <f aca="false">MAX(0,AU18-AU19-AU20)</f>
        <v>34.7234650994901</v>
      </c>
      <c r="AV23" s="13" t="n">
        <f aca="false">MAX(0,AV18-AV19-AV20)</f>
        <v>34.6228213518114</v>
      </c>
      <c r="AW23" s="13" t="n">
        <f aca="false">MAX(0,AW18-AW19-AW20)</f>
        <v>34.7877548993832</v>
      </c>
      <c r="AX23" s="13" t="n">
        <f aca="false">MAX(0,AX18-AX19-AX20)</f>
        <v>34.980211595676</v>
      </c>
      <c r="AY23" s="13" t="n">
        <f aca="false">MAX(0,AY18-AY19-AY20)</f>
        <v>35.1037663417078</v>
      </c>
      <c r="AZ23" s="13" t="n">
        <f aca="false">MAX(0,AZ18-AZ19-AZ20)</f>
        <v>35.2086249213471</v>
      </c>
      <c r="BA23" s="13" t="n">
        <f aca="false">MAX(0,BA18-BA19-BA20)</f>
        <v>35.4398631841443</v>
      </c>
      <c r="BB23" s="13" t="n">
        <f aca="false">MAX(0,BB18-BB19-BB20)</f>
        <v>32.2251037005762</v>
      </c>
      <c r="BC23" s="13" t="n">
        <f aca="false">MAX(0,BC18-BC19-BC20)</f>
        <v>42.2447167854865</v>
      </c>
      <c r="BD23" s="13" t="n">
        <f aca="false">MAX(0,BD18-BD19-BD20)</f>
        <v>55.0565857056182</v>
      </c>
      <c r="BE23" s="13" t="n">
        <f aca="false">MAX(0,BE18-BE19-BE20)</f>
        <v>55.2349156598413</v>
      </c>
      <c r="BF23" s="13" t="n">
        <f aca="false">MAX(0,BF18-BF19-BF20)</f>
        <v>55.4454322027447</v>
      </c>
      <c r="BG23" s="13" t="n">
        <f aca="false">MAX(0,BG18-BG19-BG20)</f>
        <v>55.577711488577</v>
      </c>
      <c r="BH23" s="13" t="n">
        <f aca="false">MAX(0,BH18-BH19-BH20)</f>
        <v>55.6908612545815</v>
      </c>
      <c r="BI23" s="13" t="n">
        <f aca="false">MAX(0,BI18-BI19-BI20)</f>
        <v>55.9974571900574</v>
      </c>
      <c r="BJ23" s="13" t="n">
        <f aca="false">MAX(0,BJ18-BJ19-BJ20)</f>
        <v>38.5911845789852</v>
      </c>
      <c r="BK23" s="13" t="n">
        <f aca="false">MAX(0,BK18-BK19-BK20)</f>
        <v>56.4820643230711</v>
      </c>
      <c r="BL23" s="13" t="n">
        <f aca="false">MAX(0,BL18-BL19-BL20)</f>
        <v>56.3508765949934</v>
      </c>
      <c r="BM23" s="13" t="n">
        <f aca="false">MAX(0,BM18-BM19-BM20)</f>
        <v>18.6104725891529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301.538497076446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8.53859752761174</v>
      </c>
      <c r="AP25" s="13" t="n">
        <f aca="false">AP23*AP24</f>
        <v>9.70895340954589</v>
      </c>
      <c r="AQ25" s="13" t="n">
        <f aca="false">AQ23*AQ24</f>
        <v>10.1887964148031</v>
      </c>
      <c r="AR25" s="13" t="n">
        <f aca="false">AR23*AR24</f>
        <v>10.217948838379</v>
      </c>
      <c r="AS25" s="13" t="n">
        <f aca="false">AS23*AS24</f>
        <v>10.2949851960699</v>
      </c>
      <c r="AT25" s="13" t="n">
        <f aca="false">AT23*AT24</f>
        <v>5.87704884986258</v>
      </c>
      <c r="AU25" s="13" t="n">
        <f aca="false">AU23*AU24</f>
        <v>10.417039529847</v>
      </c>
      <c r="AV25" s="13" t="n">
        <f aca="false">AV23*AV24</f>
        <v>10.3868464055434</v>
      </c>
      <c r="AW25" s="13" t="n">
        <f aca="false">AW23*AW24</f>
        <v>10.436326469815</v>
      </c>
      <c r="AX25" s="13" t="n">
        <f aca="false">AX23*AX24</f>
        <v>10.4940634787028</v>
      </c>
      <c r="AY25" s="13" t="n">
        <f aca="false">AY23*AY24</f>
        <v>10.5311299025123</v>
      </c>
      <c r="AZ25" s="13" t="n">
        <f aca="false">AZ23*AZ24</f>
        <v>10.5625874764041</v>
      </c>
      <c r="BA25" s="13" t="n">
        <f aca="false">BA23*BA24</f>
        <v>10.6319589552433</v>
      </c>
      <c r="BB25" s="13" t="n">
        <f aca="false">BB23*BB24</f>
        <v>9.66753111017286</v>
      </c>
      <c r="BC25" s="13" t="n">
        <f aca="false">BC23*BC24</f>
        <v>12.673415035646</v>
      </c>
      <c r="BD25" s="13" t="n">
        <f aca="false">BD23*BD24</f>
        <v>16.5169757116854</v>
      </c>
      <c r="BE25" s="13" t="n">
        <f aca="false">BE23*BE24</f>
        <v>16.5704746979524</v>
      </c>
      <c r="BF25" s="13" t="n">
        <f aca="false">BF23*BF24</f>
        <v>16.6336296608234</v>
      </c>
      <c r="BG25" s="13" t="n">
        <f aca="false">BG23*BG24</f>
        <v>16.6733134465731</v>
      </c>
      <c r="BH25" s="13" t="n">
        <f aca="false">BH23*BH24</f>
        <v>16.7072583763745</v>
      </c>
      <c r="BI25" s="13" t="n">
        <f aca="false">BI23*BI24</f>
        <v>16.7992371570172</v>
      </c>
      <c r="BJ25" s="13" t="n">
        <f aca="false">BJ23*BJ24</f>
        <v>11.5773553736955</v>
      </c>
      <c r="BK25" s="13" t="n">
        <f aca="false">BK23*BK24</f>
        <v>16.9446192969213</v>
      </c>
      <c r="BL25" s="13" t="n">
        <f aca="false">BL23*BL24</f>
        <v>16.905262978498</v>
      </c>
      <c r="BM25" s="13" t="n">
        <f aca="false">BM23*BM24</f>
        <v>5.58314177674586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307.161559708383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8.53859752761174</v>
      </c>
      <c r="AP27" s="13" t="n">
        <f aca="false">MAX(AP25,AP26)</f>
        <v>9.70895340954589</v>
      </c>
      <c r="AQ27" s="13" t="n">
        <f aca="false">MAX(AQ25,AQ26)</f>
        <v>10.1887964148031</v>
      </c>
      <c r="AR27" s="13" t="n">
        <f aca="false">MAX(AR25,AR26)</f>
        <v>10.217948838379</v>
      </c>
      <c r="AS27" s="13" t="n">
        <f aca="false">MAX(AS25,AS26)</f>
        <v>10.2949851960699</v>
      </c>
      <c r="AT27" s="13" t="n">
        <f aca="false">MAX(AT25,AT26)</f>
        <v>5.87704884986258</v>
      </c>
      <c r="AU27" s="13" t="n">
        <f aca="false">MAX(AU25,AU26)</f>
        <v>10.417039529847</v>
      </c>
      <c r="AV27" s="13" t="n">
        <f aca="false">MAX(AV25,AV26)</f>
        <v>10.3868464055434</v>
      </c>
      <c r="AW27" s="13" t="n">
        <f aca="false">MAX(AW25,AW26)</f>
        <v>10.436326469815</v>
      </c>
      <c r="AX27" s="13" t="n">
        <f aca="false">MAX(AX25,AX26)</f>
        <v>10.4940634787028</v>
      </c>
      <c r="AY27" s="13" t="n">
        <f aca="false">MAX(AY25,AY26)</f>
        <v>10.5311299025123</v>
      </c>
      <c r="AZ27" s="13" t="n">
        <f aca="false">MAX(AZ25,AZ26)</f>
        <v>10.5625874764041</v>
      </c>
      <c r="BA27" s="13" t="n">
        <f aca="false">MAX(BA25,BA26)</f>
        <v>10.6319589552433</v>
      </c>
      <c r="BB27" s="13" t="n">
        <f aca="false">MAX(BB25,BB26)</f>
        <v>9.66753111017286</v>
      </c>
      <c r="BC27" s="13" t="n">
        <f aca="false">MAX(BC25,BC26)</f>
        <v>12.673415035646</v>
      </c>
      <c r="BD27" s="13" t="n">
        <f aca="false">MAX(BD25,BD26)</f>
        <v>16.5169757116854</v>
      </c>
      <c r="BE27" s="13" t="n">
        <f aca="false">MAX(BE25,BE26)</f>
        <v>16.5704746979524</v>
      </c>
      <c r="BF27" s="13" t="n">
        <f aca="false">MAX(BF25,BF26)</f>
        <v>16.6336296608234</v>
      </c>
      <c r="BG27" s="13" t="n">
        <f aca="false">MAX(BG25,BG26)</f>
        <v>16.6733134465731</v>
      </c>
      <c r="BH27" s="13" t="n">
        <f aca="false">MAX(BH25,BH26)</f>
        <v>16.7072583763745</v>
      </c>
      <c r="BI27" s="13" t="n">
        <f aca="false">MAX(BI25,BI26)</f>
        <v>16.7992371570172</v>
      </c>
      <c r="BJ27" s="13" t="n">
        <f aca="false">MAX(BJ25,BJ26)</f>
        <v>11.5773553736955</v>
      </c>
      <c r="BK27" s="13" t="n">
        <f aca="false">MAX(BK25,BK26)</f>
        <v>16.9446192969213</v>
      </c>
      <c r="BL27" s="13" t="n">
        <f aca="false">MAX(BL25,BL26)</f>
        <v>16.905262978498</v>
      </c>
      <c r="BM27" s="13" t="n">
        <f aca="false">MAX(BM25,BM26)</f>
        <v>5.58314177674586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4.01838240177278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0.835942117598302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0.0324794444444444</v>
      </c>
      <c r="R10" s="16" t="n">
        <f aca="false">(Operations!R9+Inputs!$F$79+R9)/100*Time!R25/Inputs!$F$247</f>
        <v>0.0330177777777778</v>
      </c>
      <c r="S10" s="16" t="n">
        <f aca="false">(Operations!S9+Inputs!$F$79+S9)/100*Time!S25/Inputs!$F$247</f>
        <v>0.0325297222222222</v>
      </c>
      <c r="T10" s="16" t="n">
        <f aca="false">(Operations!T9+Inputs!$F$79+T9)/100*Time!T25/Inputs!$F$247</f>
        <v>0.0330688888888889</v>
      </c>
      <c r="U10" s="16" t="n">
        <f aca="false">(Operations!U9+Inputs!$F$79+U9)/100*Time!U25/Inputs!$F$247</f>
        <v>0.0327094444444445</v>
      </c>
      <c r="V10" s="16" t="n">
        <f aca="false">(Operations!V9+Inputs!$F$79+V9)/100*Time!V25/Inputs!$F$247</f>
        <v>0.0330688888888889</v>
      </c>
      <c r="W10" s="16" t="n">
        <f aca="false">(Operations!W9+Inputs!$F$79+W9)/100*Time!W25/Inputs!$F$247</f>
        <v>0.0325297222222222</v>
      </c>
      <c r="X10" s="16" t="n">
        <f aca="false">(Operations!X9+Inputs!$F$79+X9)/100*Time!X25/Inputs!$F$247</f>
        <v>0.0330688888888889</v>
      </c>
      <c r="Y10" s="16" t="n">
        <f aca="false">(Operations!Y9+Inputs!$F$79+Y9)/100*Time!Y25/Inputs!$F$247</f>
        <v>0.0325297222222222</v>
      </c>
      <c r="Z10" s="16" t="n">
        <f aca="false">(Operations!Z9+Inputs!$F$79+Z9)/100*Time!Z25/Inputs!$F$247</f>
        <v>0.0330688888888889</v>
      </c>
      <c r="AA10" s="16" t="n">
        <f aca="false">(Operations!AA9+Inputs!$F$79+AA9)/100*Time!AA25/Inputs!$F$247</f>
        <v>0.0325297222222222</v>
      </c>
      <c r="AB10" s="16" t="n">
        <f aca="false">(Operations!AB9+Inputs!$F$79+AB9)/100*Time!AB25/Inputs!$F$247</f>
        <v>0.0330688888888889</v>
      </c>
      <c r="AC10" s="16" t="n">
        <f aca="false">(Operations!AC9+Inputs!$F$79+AC9)/100*Time!AC25/Inputs!$F$247</f>
        <v>0.0327094444444445</v>
      </c>
      <c r="AD10" s="16" t="n">
        <f aca="false">(Operations!AD9+Inputs!$F$79+AD9)/100*Time!AD25/Inputs!$F$247</f>
        <v>0.0330688888888889</v>
      </c>
      <c r="AE10" s="16" t="n">
        <f aca="false">(Operations!AE9+Inputs!$F$79+AE9)/100*Time!AE25/Inputs!$F$247</f>
        <v>0.0325297222222222</v>
      </c>
      <c r="AF10" s="16" t="n">
        <f aca="false">(Operations!AF9+Inputs!$F$79+AF9)/100*Time!AF25/Inputs!$F$247</f>
        <v>0.0330688888888889</v>
      </c>
      <c r="AG10" s="16" t="n">
        <f aca="false">(Operations!AG9+Inputs!$F$79+AG9)/100*Time!AG25/Inputs!$F$247</f>
        <v>0.0325297222222222</v>
      </c>
      <c r="AH10" s="16" t="n">
        <f aca="false">(Operations!AH9+Inputs!$F$79+AH9)/100*Time!AH25/Inputs!$F$247</f>
        <v>0.0330688888888889</v>
      </c>
      <c r="AI10" s="16" t="n">
        <f aca="false">(Operations!AI9+Inputs!$F$79+AI9)/100*Time!AI25/Inputs!$F$247</f>
        <v>0.0325297222222222</v>
      </c>
      <c r="AJ10" s="16" t="n">
        <f aca="false">(Operations!AJ9+Inputs!$F$79+AJ9)/100*Time!AJ25/Inputs!$F$247</f>
        <v>0.0330688888888889</v>
      </c>
      <c r="AK10" s="16" t="n">
        <f aca="false">(Operations!AK9+Inputs!$F$79+AK9)/100*Time!AK25/Inputs!$F$247</f>
        <v>0.0327094444444445</v>
      </c>
      <c r="AL10" s="16" t="n">
        <f aca="false">(Operations!AL9+Inputs!$F$79+AL9)/100*Time!AL25/Inputs!$F$247</f>
        <v>0.0330688888888889</v>
      </c>
      <c r="AM10" s="16" t="n">
        <f aca="false">(Operations!AM9+Inputs!$F$79+AM9)/100*Time!AM25/Inputs!$F$247</f>
        <v>0.0325297222222222</v>
      </c>
      <c r="AN10" s="16" t="n">
        <f aca="false">(Operations!AN9+Inputs!$F$79+AN9)/100*Time!AN25/Inputs!$F$247</f>
        <v>0.0330688888888889</v>
      </c>
      <c r="AO10" s="16" t="n">
        <f aca="false">(Operations!AO9+Inputs!$F$79+AO9)/100*Time!AO25/Inputs!$F$247</f>
        <v>0.0325297222222222</v>
      </c>
      <c r="AP10" s="16" t="n">
        <f aca="false">(Operations!AP9+Inputs!$F$79+AP9)/100*Time!AP25/Inputs!$F$247</f>
        <v>0.0330688888888889</v>
      </c>
      <c r="AQ10" s="16" t="n">
        <f aca="false">(Operations!AQ9+Inputs!$F$79+AQ9)/100*Time!AQ25/Inputs!$F$247</f>
        <v>0.0325297222222222</v>
      </c>
      <c r="AR10" s="16" t="n">
        <f aca="false">(Operations!AR9+Inputs!$F$79+AR9)/100*Time!AR25/Inputs!$F$247</f>
        <v>0.0330688888888889</v>
      </c>
      <c r="AS10" s="16" t="n">
        <f aca="false">(Operations!AS9+Inputs!$F$79+AS9)/100*Time!AS25/Inputs!$F$247</f>
        <v>0.0327094444444445</v>
      </c>
      <c r="AT10" s="16" t="n">
        <f aca="false">(Operations!AT9+Inputs!$F$79+AT9)/100*Time!AT25/Inputs!$F$247</f>
        <v>0.0330688888888889</v>
      </c>
      <c r="AU10" s="16" t="n">
        <f aca="false">(Operations!AU9+Inputs!$F$79+AU9)/100*Time!AU25/Inputs!$F$247</f>
        <v>0.0325297222222222</v>
      </c>
      <c r="AV10" s="16" t="n">
        <f aca="false">(Operations!AV9+Inputs!$F$79+AV9)/100*Time!AV25/Inputs!$F$247</f>
        <v>0.0330688888888889</v>
      </c>
      <c r="AW10" s="16" t="n">
        <f aca="false">(Operations!AW9+Inputs!$F$79+AW9)/100*Time!AW25/Inputs!$F$247</f>
        <v>0.0325297222222222</v>
      </c>
      <c r="AX10" s="16" t="n">
        <f aca="false">(Operations!AX9+Inputs!$F$79+AX9)/100*Time!AX25/Inputs!$F$247</f>
        <v>0.0330688888888889</v>
      </c>
      <c r="AY10" s="16" t="n">
        <f aca="false">(Operations!AY9+Inputs!$F$79+AY9)/100*Time!AY25/Inputs!$F$247</f>
        <v>0.0325297222222222</v>
      </c>
      <c r="AZ10" s="16" t="n">
        <f aca="false">(Operations!AZ9+Inputs!$F$79+AZ9)/100*Time!AZ25/Inputs!$F$247</f>
        <v>0.0330688888888889</v>
      </c>
      <c r="BA10" s="16" t="n">
        <f aca="false">(Operations!BA9+Inputs!$F$79+BA9)/100*Time!BA25/Inputs!$F$247</f>
        <v>0.0327094444444445</v>
      </c>
      <c r="BB10" s="16" t="n">
        <f aca="false">(Operations!BB9+Inputs!$F$79+BB9)/100*Time!BB25/Inputs!$F$247</f>
        <v>0.0330688888888889</v>
      </c>
      <c r="BC10" s="16" t="n">
        <f aca="false">(Operations!BC9+Inputs!$F$79+BC9)/100*Time!BC25/Inputs!$F$247</f>
        <v>0.0325297222222222</v>
      </c>
      <c r="BD10" s="16" t="n">
        <f aca="false">(Operations!BD9+Inputs!$F$79+BD9)/100*Time!BD25/Inputs!$F$247</f>
        <v>0.0330688888888889</v>
      </c>
      <c r="BE10" s="16" t="n">
        <f aca="false">(Operations!BE9+Inputs!$F$79+BE9)/100*Time!BE25/Inputs!$F$247</f>
        <v>0.0325297222222222</v>
      </c>
      <c r="BF10" s="16" t="n">
        <f aca="false">(Operations!BF9+Inputs!$F$79+BF9)/100*Time!BF25/Inputs!$F$247</f>
        <v>0.0330688888888889</v>
      </c>
      <c r="BG10" s="16" t="n">
        <f aca="false">(Operations!BG9+Inputs!$F$79+BG9)/100*Time!BG25/Inputs!$F$247</f>
        <v>0.0325297222222222</v>
      </c>
      <c r="BH10" s="16" t="n">
        <f aca="false">(Operations!BH9+Inputs!$F$79+BH9)/100*Time!BH25/Inputs!$F$247</f>
        <v>0.0330688888888889</v>
      </c>
      <c r="BI10" s="16" t="n">
        <f aca="false">(Operations!BI9+Inputs!$F$79+BI9)/100*Time!BI25/Inputs!$F$247</f>
        <v>0.0327094444444445</v>
      </c>
      <c r="BJ10" s="16" t="n">
        <f aca="false">(Operations!BJ9+Inputs!$F$79+BJ9)/100*Time!BJ25/Inputs!$F$247</f>
        <v>0.0330688888888889</v>
      </c>
      <c r="BK10" s="16" t="n">
        <f aca="false">(Operations!BK9+Inputs!$F$79+BK9)/100*Time!BK25/Inputs!$F$247</f>
        <v>0.0325297222222222</v>
      </c>
      <c r="BL10" s="16" t="n">
        <f aca="false">(Operations!BL9+Inputs!$F$79+BL9)/100*Time!BL25/Inputs!$F$247</f>
        <v>0.0330688888888889</v>
      </c>
      <c r="BM10" s="16" t="n">
        <f aca="false">(Operations!BM9+Inputs!$F$79+BM9)/100*Time!BM25/Inputs!$F$247</f>
        <v>0.0325297222222222</v>
      </c>
      <c r="BN10" s="16" t="n">
        <f aca="false">(Operations!BN9+Inputs!$F$79+BN9)/100*Time!BN25/Inputs!$F$247</f>
        <v>0.0330688888888889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0.0440433333333333</v>
      </c>
      <c r="R11" s="16" t="n">
        <f aca="false">(Operations!R9+Inputs!$F$80+R9)/100*Time!R25/Inputs!$F$247</f>
        <v>0.0447733333333333</v>
      </c>
      <c r="S11" s="16" t="n">
        <f aca="false">(Operations!S9+Inputs!$F$80+S9)/100*Time!S25/Inputs!$F$247</f>
        <v>0.0440936111111111</v>
      </c>
      <c r="T11" s="16" t="n">
        <f aca="false">(Operations!T9+Inputs!$F$80+T9)/100*Time!T25/Inputs!$F$247</f>
        <v>0.0448244444444444</v>
      </c>
      <c r="U11" s="16" t="n">
        <f aca="false">(Operations!U9+Inputs!$F$80+U9)/100*Time!U25/Inputs!$F$247</f>
        <v>0.0443372222222222</v>
      </c>
      <c r="V11" s="16" t="n">
        <f aca="false">(Operations!V9+Inputs!$F$80+V9)/100*Time!V25/Inputs!$F$247</f>
        <v>0.0448244444444444</v>
      </c>
      <c r="W11" s="16" t="n">
        <f aca="false">(Operations!W9+Inputs!$F$80+W9)/100*Time!W25/Inputs!$F$247</f>
        <v>0.0440936111111111</v>
      </c>
      <c r="X11" s="16" t="n">
        <f aca="false">(Operations!X9+Inputs!$F$80+X9)/100*Time!X25/Inputs!$F$247</f>
        <v>0.0448244444444444</v>
      </c>
      <c r="Y11" s="16" t="n">
        <f aca="false">(Operations!Y9+Inputs!$F$80+Y9)/100*Time!Y25/Inputs!$F$247</f>
        <v>0.0440936111111111</v>
      </c>
      <c r="Z11" s="16" t="n">
        <f aca="false">(Operations!Z9+Inputs!$F$80+Z9)/100*Time!Z25/Inputs!$F$247</f>
        <v>0.0448244444444444</v>
      </c>
      <c r="AA11" s="16" t="n">
        <f aca="false">(Operations!AA9+Inputs!$F$80+AA9)/100*Time!AA25/Inputs!$F$247</f>
        <v>0.0440936111111111</v>
      </c>
      <c r="AB11" s="16" t="n">
        <f aca="false">(Operations!AB9+Inputs!$F$80+AB9)/100*Time!AB25/Inputs!$F$247</f>
        <v>0.0448244444444444</v>
      </c>
      <c r="AC11" s="16" t="n">
        <f aca="false">(Operations!AC9+Inputs!$F$80+AC9)/100*Time!AC25/Inputs!$F$247</f>
        <v>0.0443372222222222</v>
      </c>
      <c r="AD11" s="16" t="n">
        <f aca="false">(Operations!AD9+Inputs!$F$80+AD9)/100*Time!AD25/Inputs!$F$247</f>
        <v>0.0448244444444444</v>
      </c>
      <c r="AE11" s="16" t="n">
        <f aca="false">(Operations!AE9+Inputs!$F$80+AE9)/100*Time!AE25/Inputs!$F$247</f>
        <v>0.0440936111111111</v>
      </c>
      <c r="AF11" s="16" t="n">
        <f aca="false">(Operations!AF9+Inputs!$F$80+AF9)/100*Time!AF25/Inputs!$F$247</f>
        <v>0.0448244444444444</v>
      </c>
      <c r="AG11" s="16" t="n">
        <f aca="false">(Operations!AG9+Inputs!$F$80+AG9)/100*Time!AG25/Inputs!$F$247</f>
        <v>0.0440936111111111</v>
      </c>
      <c r="AH11" s="16" t="n">
        <f aca="false">(Operations!AH9+Inputs!$F$80+AH9)/100*Time!AH25/Inputs!$F$247</f>
        <v>0.0448244444444444</v>
      </c>
      <c r="AI11" s="16" t="n">
        <f aca="false">(Operations!AI9+Inputs!$F$80+AI9)/100*Time!AI25/Inputs!$F$247</f>
        <v>0.0440936111111111</v>
      </c>
      <c r="AJ11" s="16" t="n">
        <f aca="false">(Operations!AJ9+Inputs!$F$80+AJ9)/100*Time!AJ25/Inputs!$F$247</f>
        <v>0.0448244444444444</v>
      </c>
      <c r="AK11" s="16" t="n">
        <f aca="false">(Operations!AK9+Inputs!$F$80+AK9)/100*Time!AK25/Inputs!$F$247</f>
        <v>0.0443372222222222</v>
      </c>
      <c r="AL11" s="16" t="n">
        <f aca="false">(Operations!AL9+Inputs!$F$80+AL9)/100*Time!AL25/Inputs!$F$247</f>
        <v>0.0448244444444444</v>
      </c>
      <c r="AM11" s="16" t="n">
        <f aca="false">(Operations!AM9+Inputs!$F$80+AM9)/100*Time!AM25/Inputs!$F$247</f>
        <v>0.0440936111111111</v>
      </c>
      <c r="AN11" s="16" t="n">
        <f aca="false">(Operations!AN9+Inputs!$F$80+AN9)/100*Time!AN25/Inputs!$F$247</f>
        <v>0.0448244444444444</v>
      </c>
      <c r="AO11" s="16" t="n">
        <f aca="false">(Operations!AO9+Inputs!$F$80+AO9)/100*Time!AO25/Inputs!$F$247</f>
        <v>0.0440936111111111</v>
      </c>
      <c r="AP11" s="16" t="n">
        <f aca="false">(Operations!AP9+Inputs!$F$80+AP9)/100*Time!AP25/Inputs!$F$247</f>
        <v>0.0448244444444444</v>
      </c>
      <c r="AQ11" s="16" t="n">
        <f aca="false">(Operations!AQ9+Inputs!$F$80+AQ9)/100*Time!AQ25/Inputs!$F$247</f>
        <v>0.0440936111111111</v>
      </c>
      <c r="AR11" s="16" t="n">
        <f aca="false">(Operations!AR9+Inputs!$F$80+AR9)/100*Time!AR25/Inputs!$F$247</f>
        <v>0.0448244444444444</v>
      </c>
      <c r="AS11" s="16" t="n">
        <f aca="false">(Operations!AS9+Inputs!$F$80+AS9)/100*Time!AS25/Inputs!$F$247</f>
        <v>0.0443372222222222</v>
      </c>
      <c r="AT11" s="16" t="n">
        <f aca="false">(Operations!AT9+Inputs!$F$80+AT9)/100*Time!AT25/Inputs!$F$247</f>
        <v>0.0448244444444444</v>
      </c>
      <c r="AU11" s="16" t="n">
        <f aca="false">(Operations!AU9+Inputs!$F$80+AU9)/100*Time!AU25/Inputs!$F$247</f>
        <v>0.0440936111111111</v>
      </c>
      <c r="AV11" s="16" t="n">
        <f aca="false">(Operations!AV9+Inputs!$F$80+AV9)/100*Time!AV25/Inputs!$F$247</f>
        <v>0.0448244444444444</v>
      </c>
      <c r="AW11" s="16" t="n">
        <f aca="false">(Operations!AW9+Inputs!$F$80+AW9)/100*Time!AW25/Inputs!$F$247</f>
        <v>0.0440936111111111</v>
      </c>
      <c r="AX11" s="16" t="n">
        <f aca="false">(Operations!AX9+Inputs!$F$80+AX9)/100*Time!AX25/Inputs!$F$247</f>
        <v>0.0448244444444444</v>
      </c>
      <c r="AY11" s="16" t="n">
        <f aca="false">(Operations!AY9+Inputs!$F$80+AY9)/100*Time!AY25/Inputs!$F$247</f>
        <v>0.0440936111111111</v>
      </c>
      <c r="AZ11" s="16" t="n">
        <f aca="false">(Operations!AZ9+Inputs!$F$80+AZ9)/100*Time!AZ25/Inputs!$F$247</f>
        <v>0.0448244444444444</v>
      </c>
      <c r="BA11" s="16" t="n">
        <f aca="false">(Operations!BA9+Inputs!$F$80+BA9)/100*Time!BA25/Inputs!$F$247</f>
        <v>0.0443372222222222</v>
      </c>
      <c r="BB11" s="16" t="n">
        <f aca="false">(Operations!BB9+Inputs!$F$80+BB9)/100*Time!BB25/Inputs!$F$247</f>
        <v>0.0448244444444444</v>
      </c>
      <c r="BC11" s="16" t="n">
        <f aca="false">(Operations!BC9+Inputs!$F$80+BC9)/100*Time!BC25/Inputs!$F$247</f>
        <v>0.0440936111111111</v>
      </c>
      <c r="BD11" s="16" t="n">
        <f aca="false">(Operations!BD9+Inputs!$F$80+BD9)/100*Time!BD25/Inputs!$F$247</f>
        <v>0.0448244444444444</v>
      </c>
      <c r="BE11" s="16" t="n">
        <f aca="false">(Operations!BE9+Inputs!$F$80+BE9)/100*Time!BE25/Inputs!$F$247</f>
        <v>0.0440936111111111</v>
      </c>
      <c r="BF11" s="16" t="n">
        <f aca="false">(Operations!BF9+Inputs!$F$80+BF9)/100*Time!BF25/Inputs!$F$247</f>
        <v>0.0448244444444444</v>
      </c>
      <c r="BG11" s="16" t="n">
        <f aca="false">(Operations!BG9+Inputs!$F$80+BG9)/100*Time!BG25/Inputs!$F$247</f>
        <v>0.0440936111111111</v>
      </c>
      <c r="BH11" s="16" t="n">
        <f aca="false">(Operations!BH9+Inputs!$F$80+BH9)/100*Time!BH25/Inputs!$F$247</f>
        <v>0.0448244444444444</v>
      </c>
      <c r="BI11" s="16" t="n">
        <f aca="false">(Operations!BI9+Inputs!$F$80+BI9)/100*Time!BI25/Inputs!$F$247</f>
        <v>0.0443372222222222</v>
      </c>
      <c r="BJ11" s="16" t="n">
        <f aca="false">(Operations!BJ9+Inputs!$F$80+BJ9)/100*Time!BJ25/Inputs!$F$247</f>
        <v>0.0448244444444444</v>
      </c>
      <c r="BK11" s="16" t="n">
        <f aca="false">(Operations!BK9+Inputs!$F$80+BK9)/100*Time!BK25/Inputs!$F$247</f>
        <v>0.0440936111111111</v>
      </c>
      <c r="BL11" s="16" t="n">
        <f aca="false">(Operations!BL9+Inputs!$F$80+BL9)/100*Time!BL25/Inputs!$F$247</f>
        <v>0.0448244444444444</v>
      </c>
      <c r="BM11" s="16" t="n">
        <f aca="false">(Operations!BM9+Inputs!$F$80+BM9)/100*Time!BM25/Inputs!$F$247</f>
        <v>0.0440936111111111</v>
      </c>
      <c r="BN11" s="16" t="n">
        <f aca="false">(Operations!BN9+Inputs!$F$80+BN9)/100*Time!BN25/Inputs!$F$247</f>
        <v>0.0448244444444444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0.0427863888888889</v>
      </c>
      <c r="R12" s="16" t="n">
        <f aca="false">(Operations!R9+Inputs!$F$81+R9)/100*Time!R25/Inputs!$F$247</f>
        <v>0.0434955555555556</v>
      </c>
      <c r="S12" s="16" t="n">
        <f aca="false">(Operations!S9+Inputs!$F$81+S9)/100*Time!S25/Inputs!$F$247</f>
        <v>0.0428366666666667</v>
      </c>
      <c r="T12" s="16" t="n">
        <f aca="false">(Operations!T9+Inputs!$F$81+T9)/100*Time!T25/Inputs!$F$247</f>
        <v>0.0435466666666667</v>
      </c>
      <c r="U12" s="16" t="n">
        <f aca="false">(Operations!U9+Inputs!$F$81+U9)/100*Time!U25/Inputs!$F$247</f>
        <v>0.0430733333333333</v>
      </c>
      <c r="V12" s="16" t="n">
        <f aca="false">(Operations!V9+Inputs!$F$81+V9)/100*Time!V25/Inputs!$F$247</f>
        <v>0.0435466666666667</v>
      </c>
      <c r="W12" s="16" t="n">
        <f aca="false">(Operations!W9+Inputs!$F$81+W9)/100*Time!W25/Inputs!$F$247</f>
        <v>0.0428366666666667</v>
      </c>
      <c r="X12" s="16" t="n">
        <f aca="false">(Operations!X9+Inputs!$F$81+X9)/100*Time!X25/Inputs!$F$247</f>
        <v>0.0435466666666667</v>
      </c>
      <c r="Y12" s="16" t="n">
        <f aca="false">(Operations!Y9+Inputs!$F$81+Y9)/100*Time!Y25/Inputs!$F$247</f>
        <v>0.0428366666666667</v>
      </c>
      <c r="Z12" s="16" t="n">
        <f aca="false">(Operations!Z9+Inputs!$F$81+Z9)/100*Time!Z25/Inputs!$F$247</f>
        <v>0.0435466666666667</v>
      </c>
      <c r="AA12" s="16" t="n">
        <f aca="false">(Operations!AA9+Inputs!$F$81+AA9)/100*Time!AA25/Inputs!$F$247</f>
        <v>0.0428366666666667</v>
      </c>
      <c r="AB12" s="16" t="n">
        <f aca="false">(Operations!AB9+Inputs!$F$81+AB9)/100*Time!AB25/Inputs!$F$247</f>
        <v>0.0435466666666667</v>
      </c>
      <c r="AC12" s="16" t="n">
        <f aca="false">(Operations!AC9+Inputs!$F$81+AC9)/100*Time!AC25/Inputs!$F$247</f>
        <v>0.0430733333333333</v>
      </c>
      <c r="AD12" s="16" t="n">
        <f aca="false">(Operations!AD9+Inputs!$F$81+AD9)/100*Time!AD25/Inputs!$F$247</f>
        <v>0.0435466666666667</v>
      </c>
      <c r="AE12" s="16" t="n">
        <f aca="false">(Operations!AE9+Inputs!$F$81+AE9)/100*Time!AE25/Inputs!$F$247</f>
        <v>0.0428366666666667</v>
      </c>
      <c r="AF12" s="16" t="n">
        <f aca="false">(Operations!AF9+Inputs!$F$81+AF9)/100*Time!AF25/Inputs!$F$247</f>
        <v>0.0435466666666667</v>
      </c>
      <c r="AG12" s="16" t="n">
        <f aca="false">(Operations!AG9+Inputs!$F$81+AG9)/100*Time!AG25/Inputs!$F$247</f>
        <v>0.0428366666666667</v>
      </c>
      <c r="AH12" s="16" t="n">
        <f aca="false">(Operations!AH9+Inputs!$F$81+AH9)/100*Time!AH25/Inputs!$F$247</f>
        <v>0.0435466666666667</v>
      </c>
      <c r="AI12" s="16" t="n">
        <f aca="false">(Operations!AI9+Inputs!$F$81+AI9)/100*Time!AI25/Inputs!$F$247</f>
        <v>0.0428366666666667</v>
      </c>
      <c r="AJ12" s="16" t="n">
        <f aca="false">(Operations!AJ9+Inputs!$F$81+AJ9)/100*Time!AJ25/Inputs!$F$247</f>
        <v>0.0435466666666667</v>
      </c>
      <c r="AK12" s="16" t="n">
        <f aca="false">(Operations!AK9+Inputs!$F$81+AK9)/100*Time!AK25/Inputs!$F$247</f>
        <v>0.0430733333333333</v>
      </c>
      <c r="AL12" s="16" t="n">
        <f aca="false">(Operations!AL9+Inputs!$F$81+AL9)/100*Time!AL25/Inputs!$F$247</f>
        <v>0.0435466666666667</v>
      </c>
      <c r="AM12" s="16" t="n">
        <f aca="false">(Operations!AM9+Inputs!$F$81+AM9)/100*Time!AM25/Inputs!$F$247</f>
        <v>0.0428366666666667</v>
      </c>
      <c r="AN12" s="16" t="n">
        <f aca="false">(Operations!AN9+Inputs!$F$81+AN9)/100*Time!AN25/Inputs!$F$247</f>
        <v>0.0435466666666667</v>
      </c>
      <c r="AO12" s="16" t="n">
        <f aca="false">(Operations!AO9+Inputs!$F$81+AO9)/100*Time!AO25/Inputs!$F$247</f>
        <v>0.0428366666666667</v>
      </c>
      <c r="AP12" s="16" t="n">
        <f aca="false">(Operations!AP9+Inputs!$F$81+AP9)/100*Time!AP25/Inputs!$F$247</f>
        <v>0.0435466666666667</v>
      </c>
      <c r="AQ12" s="16" t="n">
        <f aca="false">(Operations!AQ9+Inputs!$F$81+AQ9)/100*Time!AQ25/Inputs!$F$247</f>
        <v>0.0428366666666667</v>
      </c>
      <c r="AR12" s="16" t="n">
        <f aca="false">(Operations!AR9+Inputs!$F$81+AR9)/100*Time!AR25/Inputs!$F$247</f>
        <v>0.0435466666666667</v>
      </c>
      <c r="AS12" s="16" t="n">
        <f aca="false">(Operations!AS9+Inputs!$F$81+AS9)/100*Time!AS25/Inputs!$F$247</f>
        <v>0.0430733333333333</v>
      </c>
      <c r="AT12" s="16" t="n">
        <f aca="false">(Operations!AT9+Inputs!$F$81+AT9)/100*Time!AT25/Inputs!$F$247</f>
        <v>0.0435466666666667</v>
      </c>
      <c r="AU12" s="16" t="n">
        <f aca="false">(Operations!AU9+Inputs!$F$81+AU9)/100*Time!AU25/Inputs!$F$247</f>
        <v>0.0428366666666667</v>
      </c>
      <c r="AV12" s="16" t="n">
        <f aca="false">(Operations!AV9+Inputs!$F$81+AV9)/100*Time!AV25/Inputs!$F$247</f>
        <v>0.0435466666666667</v>
      </c>
      <c r="AW12" s="16" t="n">
        <f aca="false">(Operations!AW9+Inputs!$F$81+AW9)/100*Time!AW25/Inputs!$F$247</f>
        <v>0.0428366666666667</v>
      </c>
      <c r="AX12" s="16" t="n">
        <f aca="false">(Operations!AX9+Inputs!$F$81+AX9)/100*Time!AX25/Inputs!$F$247</f>
        <v>0.0435466666666667</v>
      </c>
      <c r="AY12" s="16" t="n">
        <f aca="false">(Operations!AY9+Inputs!$F$81+AY9)/100*Time!AY25/Inputs!$F$247</f>
        <v>0.0428366666666667</v>
      </c>
      <c r="AZ12" s="16" t="n">
        <f aca="false">(Operations!AZ9+Inputs!$F$81+AZ9)/100*Time!AZ25/Inputs!$F$247</f>
        <v>0.0435466666666667</v>
      </c>
      <c r="BA12" s="16" t="n">
        <f aca="false">(Operations!BA9+Inputs!$F$81+BA9)/100*Time!BA25/Inputs!$F$247</f>
        <v>0.0430733333333333</v>
      </c>
      <c r="BB12" s="16" t="n">
        <f aca="false">(Operations!BB9+Inputs!$F$81+BB9)/100*Time!BB25/Inputs!$F$247</f>
        <v>0.0435466666666667</v>
      </c>
      <c r="BC12" s="16" t="n">
        <f aca="false">(Operations!BC9+Inputs!$F$81+BC9)/100*Time!BC25/Inputs!$F$247</f>
        <v>0.0428366666666667</v>
      </c>
      <c r="BD12" s="16" t="n">
        <f aca="false">(Operations!BD9+Inputs!$F$81+BD9)/100*Time!BD25/Inputs!$F$247</f>
        <v>0.0435466666666667</v>
      </c>
      <c r="BE12" s="16" t="n">
        <f aca="false">(Operations!BE9+Inputs!$F$81+BE9)/100*Time!BE25/Inputs!$F$247</f>
        <v>0.0428366666666667</v>
      </c>
      <c r="BF12" s="16" t="n">
        <f aca="false">(Operations!BF9+Inputs!$F$81+BF9)/100*Time!BF25/Inputs!$F$247</f>
        <v>0.0435466666666667</v>
      </c>
      <c r="BG12" s="16" t="n">
        <f aca="false">(Operations!BG9+Inputs!$F$81+BG9)/100*Time!BG25/Inputs!$F$247</f>
        <v>0.0428366666666667</v>
      </c>
      <c r="BH12" s="16" t="n">
        <f aca="false">(Operations!BH9+Inputs!$F$81+BH9)/100*Time!BH25/Inputs!$F$247</f>
        <v>0.0435466666666667</v>
      </c>
      <c r="BI12" s="16" t="n">
        <f aca="false">(Operations!BI9+Inputs!$F$81+BI9)/100*Time!BI25/Inputs!$F$247</f>
        <v>0.0430733333333333</v>
      </c>
      <c r="BJ12" s="16" t="n">
        <f aca="false">(Operations!BJ9+Inputs!$F$81+BJ9)/100*Time!BJ25/Inputs!$F$247</f>
        <v>0.0435466666666667</v>
      </c>
      <c r="BK12" s="16" t="n">
        <f aca="false">(Operations!BK9+Inputs!$F$81+BK9)/100*Time!BK25/Inputs!$F$247</f>
        <v>0.0428366666666667</v>
      </c>
      <c r="BL12" s="16" t="n">
        <f aca="false">(Operations!BL9+Inputs!$F$81+BL9)/100*Time!BL25/Inputs!$F$247</f>
        <v>0.0435466666666667</v>
      </c>
      <c r="BM12" s="16" t="n">
        <f aca="false">(Operations!BM9+Inputs!$F$81+BM9)/100*Time!BM25/Inputs!$F$247</f>
        <v>0.0428366666666667</v>
      </c>
      <c r="BN12" s="16" t="n">
        <f aca="false">(Operations!BN9+Inputs!$F$81+BN9)/100*Time!BN25/Inputs!$F$247</f>
        <v>0.0435466666666667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0.0514509259259259</v>
      </c>
      <c r="R13" s="16" t="n">
        <f aca="false">(Operations!R9+R8+R9)/100*Time!R25/Inputs!$F$247/(1-Inputs!$F$93/100)</f>
        <v>0.0523037037037037</v>
      </c>
      <c r="S13" s="16" t="n">
        <f aca="false">(Operations!S9+S8+S9)/100*Time!S25/Inputs!$F$247/(1-Inputs!$F$93/100)</f>
        <v>0.0515067901234568</v>
      </c>
      <c r="T13" s="16" t="n">
        <f aca="false">(Operations!T9+T8+T9)/100*Time!T25/Inputs!$F$247/(1-Inputs!$F$93/100)</f>
        <v>0.0523604938271605</v>
      </c>
      <c r="U13" s="16" t="n">
        <f aca="false">(Operations!U9+U8+U9)/100*Time!U25/Inputs!$F$247/(1-Inputs!$F$93/100)</f>
        <v>0.0517913580246914</v>
      </c>
      <c r="V13" s="16" t="n">
        <f aca="false">(Operations!V9+V8+V9)/100*Time!V25/Inputs!$F$247/(1-Inputs!$F$93/100)</f>
        <v>0.0523604938271605</v>
      </c>
      <c r="W13" s="16" t="n">
        <f aca="false">(Operations!W9+W8+W9)/100*Time!W25/Inputs!$F$247/(1-Inputs!$F$93/100)</f>
        <v>0.0515067901234568</v>
      </c>
      <c r="X13" s="16" t="n">
        <f aca="false">(Operations!X9+X8+X9)/100*Time!X25/Inputs!$F$247/(1-Inputs!$F$93/100)</f>
        <v>0.0523604938271605</v>
      </c>
      <c r="Y13" s="16" t="n">
        <f aca="false">(Operations!Y9+Y8+Y9)/100*Time!Y25/Inputs!$F$247/(1-Inputs!$F$93/100)</f>
        <v>0.0543</v>
      </c>
      <c r="Z13" s="16" t="n">
        <f aca="false">(Operations!Z9+Z8+Z9)/100*Time!Z25/Inputs!$F$247/(1-Inputs!$F$93/100)</f>
        <v>0.0552</v>
      </c>
      <c r="AA13" s="16" t="n">
        <f aca="false">(Operations!AA9+AA8+AA9)/100*Time!AA25/Inputs!$F$247/(1-Inputs!$F$93/100)</f>
        <v>0.0543</v>
      </c>
      <c r="AB13" s="16" t="n">
        <f aca="false">(Operations!AB9+AB8+AB9)/100*Time!AB25/Inputs!$F$247/(1-Inputs!$F$93/100)</f>
        <v>0.0552</v>
      </c>
      <c r="AC13" s="16" t="n">
        <f aca="false">(Operations!AC9+AC8+AC9)/100*Time!AC25/Inputs!$F$247/(1-Inputs!$F$93/100)</f>
        <v>0.0546</v>
      </c>
      <c r="AD13" s="16" t="n">
        <f aca="false">(Operations!AD9+AD8+AD9)/100*Time!AD25/Inputs!$F$247/(1-Inputs!$F$93/100)</f>
        <v>0.0552</v>
      </c>
      <c r="AE13" s="16" t="n">
        <f aca="false">(Operations!AE9+AE8+AE9)/100*Time!AE25/Inputs!$F$247/(1-Inputs!$F$93/100)</f>
        <v>0.0543</v>
      </c>
      <c r="AF13" s="16" t="n">
        <f aca="false">(Operations!AF9+AF8+AF9)/100*Time!AF25/Inputs!$F$247/(1-Inputs!$F$93/100)</f>
        <v>0.0552</v>
      </c>
      <c r="AG13" s="16" t="n">
        <f aca="false">(Operations!AG9+AG8+AG9)/100*Time!AG25/Inputs!$F$247/(1-Inputs!$F$93/100)</f>
        <v>0.0570932098765432</v>
      </c>
      <c r="AH13" s="16" t="n">
        <f aca="false">(Operations!AH9+AH8+AH9)/100*Time!AH25/Inputs!$F$247/(1-Inputs!$F$93/100)</f>
        <v>0.0580395061728395</v>
      </c>
      <c r="AI13" s="16" t="n">
        <f aca="false">(Operations!AI9+AI8+AI9)/100*Time!AI25/Inputs!$F$247/(1-Inputs!$F$93/100)</f>
        <v>0.0570932098765432</v>
      </c>
      <c r="AJ13" s="16" t="n">
        <f aca="false">(Operations!AJ9+AJ8+AJ9)/100*Time!AJ25/Inputs!$F$247/(1-Inputs!$F$93/100)</f>
        <v>0.0580395061728395</v>
      </c>
      <c r="AK13" s="16" t="n">
        <f aca="false">(Operations!AK9+AK8+AK9)/100*Time!AK25/Inputs!$F$247/(1-Inputs!$F$93/100)</f>
        <v>0.0574086419753086</v>
      </c>
      <c r="AL13" s="16" t="n">
        <f aca="false">(Operations!AL9+AL8+AL9)/100*Time!AL25/Inputs!$F$247/(1-Inputs!$F$93/100)</f>
        <v>0.0580395061728395</v>
      </c>
      <c r="AM13" s="16" t="n">
        <f aca="false">(Operations!AM9+AM8+AM9)/100*Time!AM25/Inputs!$F$247/(1-Inputs!$F$93/100)</f>
        <v>0.0570932098765432</v>
      </c>
      <c r="AN13" s="16" t="n">
        <f aca="false">(Operations!AN9+AN8+AN9)/100*Time!AN25/Inputs!$F$247/(1-Inputs!$F$93/100)</f>
        <v>0.0580395061728395</v>
      </c>
      <c r="AO13" s="16" t="n">
        <f aca="false">(Operations!AO9+AO8+AO9)/100*Time!AO25/Inputs!$F$247/(1-Inputs!$F$93/100)</f>
        <v>0.0570932098765432</v>
      </c>
      <c r="AP13" s="16" t="n">
        <f aca="false">(Operations!AP9+AP8+AP9)/100*Time!AP25/Inputs!$F$247/(1-Inputs!$F$93/100)</f>
        <v>0.0580395061728395</v>
      </c>
      <c r="AQ13" s="16" t="n">
        <f aca="false">(Operations!AQ9+AQ8+AQ9)/100*Time!AQ25/Inputs!$F$247/(1-Inputs!$F$93/100)</f>
        <v>0.0570932098765432</v>
      </c>
      <c r="AR13" s="16" t="n">
        <f aca="false">(Operations!AR9+AR8+AR9)/100*Time!AR25/Inputs!$F$247/(1-Inputs!$F$93/100)</f>
        <v>0.0580395061728395</v>
      </c>
      <c r="AS13" s="16" t="n">
        <f aca="false">(Operations!AS9+AS8+AS9)/100*Time!AS25/Inputs!$F$247/(1-Inputs!$F$93/100)</f>
        <v>0.0574086419753086</v>
      </c>
      <c r="AT13" s="16" t="n">
        <f aca="false">(Operations!AT9+AT8+AT9)/100*Time!AT25/Inputs!$F$247/(1-Inputs!$F$93/100)</f>
        <v>0.0580395061728395</v>
      </c>
      <c r="AU13" s="16" t="n">
        <f aca="false">(Operations!AU9+AU8+AU9)/100*Time!AU25/Inputs!$F$247/(1-Inputs!$F$93/100)</f>
        <v>0.0570932098765432</v>
      </c>
      <c r="AV13" s="16" t="n">
        <f aca="false">(Operations!AV9+AV8+AV9)/100*Time!AV25/Inputs!$F$247/(1-Inputs!$F$93/100)</f>
        <v>0.0580395061728395</v>
      </c>
      <c r="AW13" s="16" t="n">
        <f aca="false">(Operations!AW9+AW8+AW9)/100*Time!AW25/Inputs!$F$247/(1-Inputs!$F$93/100)</f>
        <v>0.0570932098765432</v>
      </c>
      <c r="AX13" s="16" t="n">
        <f aca="false">(Operations!AX9+AX8+AX9)/100*Time!AX25/Inputs!$F$247/(1-Inputs!$F$93/100)</f>
        <v>0.0580395061728395</v>
      </c>
      <c r="AY13" s="16" t="n">
        <f aca="false">(Operations!AY9+AY8+AY9)/100*Time!AY25/Inputs!$F$247/(1-Inputs!$F$93/100)</f>
        <v>0.0570932098765432</v>
      </c>
      <c r="AZ13" s="16" t="n">
        <f aca="false">(Operations!AZ9+AZ8+AZ9)/100*Time!AZ25/Inputs!$F$247/(1-Inputs!$F$93/100)</f>
        <v>0.0580395061728395</v>
      </c>
      <c r="BA13" s="16" t="n">
        <f aca="false">(Operations!BA9+BA8+BA9)/100*Time!BA25/Inputs!$F$247/(1-Inputs!$F$93/100)</f>
        <v>0.0574086419753086</v>
      </c>
      <c r="BB13" s="16" t="n">
        <f aca="false">(Operations!BB9+BB8+BB9)/100*Time!BB25/Inputs!$F$247/(1-Inputs!$F$93/100)</f>
        <v>0.0580395061728395</v>
      </c>
      <c r="BC13" s="16" t="n">
        <f aca="false">(Operations!BC9+BC8+BC9)/100*Time!BC25/Inputs!$F$247/(1-Inputs!$F$93/100)</f>
        <v>0.0570932098765432</v>
      </c>
      <c r="BD13" s="16" t="n">
        <f aca="false">(Operations!BD9+BD8+BD9)/100*Time!BD25/Inputs!$F$247/(1-Inputs!$F$93/100)</f>
        <v>0.0580395061728395</v>
      </c>
      <c r="BE13" s="16" t="n">
        <f aca="false">(Operations!BE9+BE8+BE9)/100*Time!BE25/Inputs!$F$247/(1-Inputs!$F$93/100)</f>
        <v>0.0570932098765432</v>
      </c>
      <c r="BF13" s="16" t="n">
        <f aca="false">(Operations!BF9+BF8+BF9)/100*Time!BF25/Inputs!$F$247/(1-Inputs!$F$93/100)</f>
        <v>0.0580395061728395</v>
      </c>
      <c r="BG13" s="16" t="n">
        <f aca="false">(Operations!BG9+BG8+BG9)/100*Time!BG25/Inputs!$F$247/(1-Inputs!$F$93/100)</f>
        <v>0.0570932098765432</v>
      </c>
      <c r="BH13" s="16" t="n">
        <f aca="false">(Operations!BH9+BH8+BH9)/100*Time!BH25/Inputs!$F$247/(1-Inputs!$F$93/100)</f>
        <v>0.0580395061728395</v>
      </c>
      <c r="BI13" s="16" t="n">
        <f aca="false">(Operations!BI9+BI8+BI9)/100*Time!BI25/Inputs!$F$247/(1-Inputs!$F$93/100)</f>
        <v>0.0574086419753086</v>
      </c>
      <c r="BJ13" s="16" t="n">
        <f aca="false">(Operations!BJ9+BJ8+BJ9)/100*Time!BJ25/Inputs!$F$247/(1-Inputs!$F$93/100)</f>
        <v>0.0580395061728395</v>
      </c>
      <c r="BK13" s="16" t="n">
        <f aca="false">(Operations!BK9+BK8+BK9)/100*Time!BK25/Inputs!$F$247/(1-Inputs!$F$93/100)</f>
        <v>0.0570932098765432</v>
      </c>
      <c r="BL13" s="16" t="n">
        <f aca="false">(Operations!BL9+BL8+BL9)/100*Time!BL25/Inputs!$F$247/(1-Inputs!$F$93/100)</f>
        <v>0.0580395061728395</v>
      </c>
      <c r="BM13" s="16" t="n">
        <f aca="false">(Operations!BM9+BM8+BM9)/100*Time!BM25/Inputs!$F$247/(1-Inputs!$F$93/100)</f>
        <v>0.0570932098765432</v>
      </c>
      <c r="BN13" s="16" t="n">
        <f aca="false">(Operations!BN9+BN8+BN9)/100*Time!BN25/Inputs!$F$247/(1-Inputs!$F$93/100)</f>
        <v>0.0580395061728395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0.0498286296296296</v>
      </c>
      <c r="R14" s="16" t="n">
        <f aca="false">(Inputs!$F$102*(Operations!R9+R8+Inputs!$F$101+R9)/(1-Inputs!$F$93/100)+(1-Inputs!$F$102)*(Operations!R9+Inputs!$F$80+Inputs!$F$101+R9))/100*Time!R25/Inputs!$F$247</f>
        <v>0.0506545185185185</v>
      </c>
      <c r="S14" s="16" t="n">
        <f aca="false">(Inputs!$F$102*(Operations!S9+S8+Inputs!$F$101+S9)/(1-Inputs!$F$93/100)+(1-Inputs!$F$102)*(Operations!S9+Inputs!$F$80+Inputs!$F$101+S9))/100*Time!S25/Inputs!$F$247</f>
        <v>0.0498822592592593</v>
      </c>
      <c r="T14" s="16" t="n">
        <f aca="false">(Inputs!$F$102*(Operations!T9+T8+Inputs!$F$101+T9)/(1-Inputs!$F$93/100)+(1-Inputs!$F$102)*(Operations!T9+Inputs!$F$80+Inputs!$F$101+T9))/100*Time!T25/Inputs!$F$247</f>
        <v>0.050709037037037</v>
      </c>
      <c r="U14" s="16" t="n">
        <f aca="false">(Inputs!$F$102*(Operations!U9+U8+Inputs!$F$101+U9)/(1-Inputs!$F$93/100)+(1-Inputs!$F$102)*(Operations!U9+Inputs!$F$80+Inputs!$F$101+U9))/100*Time!U25/Inputs!$F$247</f>
        <v>0.0501578518518519</v>
      </c>
      <c r="V14" s="16" t="n">
        <f aca="false">(Inputs!$F$102*(Operations!V9+V8+Inputs!$F$101+V9)/(1-Inputs!$F$93/100)+(1-Inputs!$F$102)*(Operations!V9+Inputs!$F$80+Inputs!$F$101+V9))/100*Time!V25/Inputs!$F$247</f>
        <v>0.050709037037037</v>
      </c>
      <c r="W14" s="16" t="n">
        <f aca="false">(Inputs!$F$102*(Operations!W9+W8+Inputs!$F$101+W9)/(1-Inputs!$F$93/100)+(1-Inputs!$F$102)*(Operations!W9+Inputs!$F$80+Inputs!$F$101+W9))/100*Time!W25/Inputs!$F$247</f>
        <v>0.0498822592592593</v>
      </c>
      <c r="X14" s="16" t="n">
        <f aca="false">(Inputs!$F$102*(Operations!X9+X8+Inputs!$F$101+X9)/(1-Inputs!$F$93/100)+(1-Inputs!$F$102)*(Operations!X9+Inputs!$F$80+Inputs!$F$101+X9))/100*Time!X25/Inputs!$F$247</f>
        <v>0.050709037037037</v>
      </c>
      <c r="Y14" s="16" t="n">
        <f aca="false">(Inputs!$F$102*(Operations!Y9+Y8+Inputs!$F$101+Y9)/(1-Inputs!$F$93/100)+(1-Inputs!$F$102)*(Operations!Y9+Inputs!$F$80+Inputs!$F$101+Y9))/100*Time!Y25/Inputs!$F$247</f>
        <v>0.0515581851851852</v>
      </c>
      <c r="Z14" s="16" t="n">
        <f aca="false">(Inputs!$F$102*(Operations!Z9+Z8+Inputs!$F$101+Z9)/(1-Inputs!$F$93/100)+(1-Inputs!$F$102)*(Operations!Z9+Inputs!$F$80+Inputs!$F$101+Z9))/100*Time!Z25/Inputs!$F$247</f>
        <v>0.0524127407407407</v>
      </c>
      <c r="AA14" s="16" t="n">
        <f aca="false">(Inputs!$F$102*(Operations!AA9+AA8+Inputs!$F$101+AA9)/(1-Inputs!$F$93/100)+(1-Inputs!$F$102)*(Operations!AA9+Inputs!$F$80+Inputs!$F$101+AA9))/100*Time!AA25/Inputs!$F$247</f>
        <v>0.0515581851851852</v>
      </c>
      <c r="AB14" s="16" t="n">
        <f aca="false">(Inputs!$F$102*(Operations!AB9+AB8+Inputs!$F$101+AB9)/(1-Inputs!$F$93/100)+(1-Inputs!$F$102)*(Operations!AB9+Inputs!$F$80+Inputs!$F$101+AB9))/100*Time!AB25/Inputs!$F$247</f>
        <v>0.0524127407407407</v>
      </c>
      <c r="AC14" s="16" t="n">
        <f aca="false">(Inputs!$F$102*(Operations!AC9+AC8+Inputs!$F$101+AC9)/(1-Inputs!$F$93/100)+(1-Inputs!$F$102)*(Operations!AC9+Inputs!$F$80+Inputs!$F$101+AC9))/100*Time!AC25/Inputs!$F$247</f>
        <v>0.051843037037037</v>
      </c>
      <c r="AD14" s="16" t="n">
        <f aca="false">(Inputs!$F$102*(Operations!AD9+AD8+Inputs!$F$101+AD9)/(1-Inputs!$F$93/100)+(1-Inputs!$F$102)*(Operations!AD9+Inputs!$F$80+Inputs!$F$101+AD9))/100*Time!AD25/Inputs!$F$247</f>
        <v>0.0524127407407407</v>
      </c>
      <c r="AE14" s="16" t="n">
        <f aca="false">(Inputs!$F$102*(Operations!AE9+AE8+Inputs!$F$101+AE9)/(1-Inputs!$F$93/100)+(1-Inputs!$F$102)*(Operations!AE9+Inputs!$F$80+Inputs!$F$101+AE9))/100*Time!AE25/Inputs!$F$247</f>
        <v>0.0515581851851852</v>
      </c>
      <c r="AF14" s="16" t="n">
        <f aca="false">(Inputs!$F$102*(Operations!AF9+AF8+Inputs!$F$101+AF9)/(1-Inputs!$F$93/100)+(1-Inputs!$F$102)*(Operations!AF9+Inputs!$F$80+Inputs!$F$101+AF9))/100*Time!AF25/Inputs!$F$247</f>
        <v>0.0524127407407407</v>
      </c>
      <c r="AG14" s="16" t="n">
        <f aca="false">(Inputs!$F$102*(Operations!AG9+AG8+Inputs!$F$101+AG9)/(1-Inputs!$F$93/100)+(1-Inputs!$F$102)*(Operations!AG9+Inputs!$F$80+Inputs!$F$101+AG9))/100*Time!AG25/Inputs!$F$247</f>
        <v>0.0532341111111111</v>
      </c>
      <c r="AH14" s="16" t="n">
        <f aca="false">(Inputs!$F$102*(Operations!AH9+AH8+Inputs!$F$101+AH9)/(1-Inputs!$F$93/100)+(1-Inputs!$F$102)*(Operations!AH9+Inputs!$F$80+Inputs!$F$101+AH9))/100*Time!AH25/Inputs!$F$247</f>
        <v>0.0541164444444444</v>
      </c>
      <c r="AI14" s="16" t="n">
        <f aca="false">(Inputs!$F$102*(Operations!AI9+AI8+Inputs!$F$101+AI9)/(1-Inputs!$F$93/100)+(1-Inputs!$F$102)*(Operations!AI9+Inputs!$F$80+Inputs!$F$101+AI9))/100*Time!AI25/Inputs!$F$247</f>
        <v>0.0532341111111111</v>
      </c>
      <c r="AJ14" s="16" t="n">
        <f aca="false">(Inputs!$F$102*(Operations!AJ9+AJ8+Inputs!$F$101+AJ9)/(1-Inputs!$F$93/100)+(1-Inputs!$F$102)*(Operations!AJ9+Inputs!$F$80+Inputs!$F$101+AJ9))/100*Time!AJ25/Inputs!$F$247</f>
        <v>0.0541164444444444</v>
      </c>
      <c r="AK14" s="16" t="n">
        <f aca="false">(Inputs!$F$102*(Operations!AK9+AK8+Inputs!$F$101+AK9)/(1-Inputs!$F$93/100)+(1-Inputs!$F$102)*(Operations!AK9+Inputs!$F$80+Inputs!$F$101+AK9))/100*Time!AK25/Inputs!$F$247</f>
        <v>0.0535282222222222</v>
      </c>
      <c r="AL14" s="16" t="n">
        <f aca="false">(Inputs!$F$102*(Operations!AL9+AL8+Inputs!$F$101+AL9)/(1-Inputs!$F$93/100)+(1-Inputs!$F$102)*(Operations!AL9+Inputs!$F$80+Inputs!$F$101+AL9))/100*Time!AL25/Inputs!$F$247</f>
        <v>0.0541164444444444</v>
      </c>
      <c r="AM14" s="16" t="n">
        <f aca="false">(Inputs!$F$102*(Operations!AM9+AM8+Inputs!$F$101+AM9)/(1-Inputs!$F$93/100)+(1-Inputs!$F$102)*(Operations!AM9+Inputs!$F$80+Inputs!$F$101+AM9))/100*Time!AM25/Inputs!$F$247</f>
        <v>0.0532341111111111</v>
      </c>
      <c r="AN14" s="16" t="n">
        <f aca="false">(Inputs!$F$102*(Operations!AN9+AN8+Inputs!$F$101+AN9)/(1-Inputs!$F$93/100)+(1-Inputs!$F$102)*(Operations!AN9+Inputs!$F$80+Inputs!$F$101+AN9))/100*Time!AN25/Inputs!$F$247</f>
        <v>0.0541164444444444</v>
      </c>
      <c r="AO14" s="16" t="n">
        <f aca="false">(Inputs!$F$102*(Operations!AO9+AO8+Inputs!$F$101+AO9)/(1-Inputs!$F$93/100)+(1-Inputs!$F$102)*(Operations!AO9+Inputs!$F$80+Inputs!$F$101+AO9))/100*Time!AO25/Inputs!$F$247</f>
        <v>0.0532341111111111</v>
      </c>
      <c r="AP14" s="16" t="n">
        <f aca="false">(Inputs!$F$102*(Operations!AP9+AP8+Inputs!$F$101+AP9)/(1-Inputs!$F$93/100)+(1-Inputs!$F$102)*(Operations!AP9+Inputs!$F$80+Inputs!$F$101+AP9))/100*Time!AP25/Inputs!$F$247</f>
        <v>0.0541164444444444</v>
      </c>
      <c r="AQ14" s="16" t="n">
        <f aca="false">(Inputs!$F$102*(Operations!AQ9+AQ8+Inputs!$F$101+AQ9)/(1-Inputs!$F$93/100)+(1-Inputs!$F$102)*(Operations!AQ9+Inputs!$F$80+Inputs!$F$101+AQ9))/100*Time!AQ25/Inputs!$F$247</f>
        <v>0.0532341111111111</v>
      </c>
      <c r="AR14" s="16" t="n">
        <f aca="false">(Inputs!$F$102*(Operations!AR9+AR8+Inputs!$F$101+AR9)/(1-Inputs!$F$93/100)+(1-Inputs!$F$102)*(Operations!AR9+Inputs!$F$80+Inputs!$F$101+AR9))/100*Time!AR25/Inputs!$F$247</f>
        <v>0.0541164444444444</v>
      </c>
      <c r="AS14" s="16" t="n">
        <f aca="false">(Inputs!$F$102*(Operations!AS9+AS8+Inputs!$F$101+AS9)/(1-Inputs!$F$93/100)+(1-Inputs!$F$102)*(Operations!AS9+Inputs!$F$80+Inputs!$F$101+AS9))/100*Time!AS25/Inputs!$F$247</f>
        <v>0.0535282222222222</v>
      </c>
      <c r="AT14" s="16" t="n">
        <f aca="false">(Inputs!$F$102*(Operations!AT9+AT8+Inputs!$F$101+AT9)/(1-Inputs!$F$93/100)+(1-Inputs!$F$102)*(Operations!AT9+Inputs!$F$80+Inputs!$F$101+AT9))/100*Time!AT25/Inputs!$F$247</f>
        <v>0.0541164444444444</v>
      </c>
      <c r="AU14" s="16" t="n">
        <f aca="false">(Inputs!$F$102*(Operations!AU9+AU8+Inputs!$F$101+AU9)/(1-Inputs!$F$93/100)+(1-Inputs!$F$102)*(Operations!AU9+Inputs!$F$80+Inputs!$F$101+AU9))/100*Time!AU25/Inputs!$F$247</f>
        <v>0.0532341111111111</v>
      </c>
      <c r="AV14" s="16" t="n">
        <f aca="false">(Inputs!$F$102*(Operations!AV9+AV8+Inputs!$F$101+AV9)/(1-Inputs!$F$93/100)+(1-Inputs!$F$102)*(Operations!AV9+Inputs!$F$80+Inputs!$F$101+AV9))/100*Time!AV25/Inputs!$F$247</f>
        <v>0.0541164444444444</v>
      </c>
      <c r="AW14" s="16" t="n">
        <f aca="false">(Inputs!$F$102*(Operations!AW9+AW8+Inputs!$F$101+AW9)/(1-Inputs!$F$93/100)+(1-Inputs!$F$102)*(Operations!AW9+Inputs!$F$80+Inputs!$F$101+AW9))/100*Time!AW25/Inputs!$F$247</f>
        <v>0.0532341111111111</v>
      </c>
      <c r="AX14" s="16" t="n">
        <f aca="false">(Inputs!$F$102*(Operations!AX9+AX8+Inputs!$F$101+AX9)/(1-Inputs!$F$93/100)+(1-Inputs!$F$102)*(Operations!AX9+Inputs!$F$80+Inputs!$F$101+AX9))/100*Time!AX25/Inputs!$F$247</f>
        <v>0.0541164444444444</v>
      </c>
      <c r="AY14" s="16" t="n">
        <f aca="false">(Inputs!$F$102*(Operations!AY9+AY8+Inputs!$F$101+AY9)/(1-Inputs!$F$93/100)+(1-Inputs!$F$102)*(Operations!AY9+Inputs!$F$80+Inputs!$F$101+AY9))/100*Time!AY25/Inputs!$F$247</f>
        <v>0.0532341111111111</v>
      </c>
      <c r="AZ14" s="16" t="n">
        <f aca="false">(Inputs!$F$102*(Operations!AZ9+AZ8+Inputs!$F$101+AZ9)/(1-Inputs!$F$93/100)+(1-Inputs!$F$102)*(Operations!AZ9+Inputs!$F$80+Inputs!$F$101+AZ9))/100*Time!AZ25/Inputs!$F$247</f>
        <v>0.0541164444444444</v>
      </c>
      <c r="BA14" s="16" t="n">
        <f aca="false">(Inputs!$F$102*(Operations!BA9+BA8+Inputs!$F$101+BA9)/(1-Inputs!$F$93/100)+(1-Inputs!$F$102)*(Operations!BA9+Inputs!$F$80+Inputs!$F$101+BA9))/100*Time!BA25/Inputs!$F$247</f>
        <v>0.0535282222222222</v>
      </c>
      <c r="BB14" s="16" t="n">
        <f aca="false">(Inputs!$F$102*(Operations!BB9+BB8+Inputs!$F$101+BB9)/(1-Inputs!$F$93/100)+(1-Inputs!$F$102)*(Operations!BB9+Inputs!$F$80+Inputs!$F$101+BB9))/100*Time!BB25/Inputs!$F$247</f>
        <v>0.0541164444444444</v>
      </c>
      <c r="BC14" s="16" t="n">
        <f aca="false">(Inputs!$F$102*(Operations!BC9+BC8+Inputs!$F$101+BC9)/(1-Inputs!$F$93/100)+(1-Inputs!$F$102)*(Operations!BC9+Inputs!$F$80+Inputs!$F$101+BC9))/100*Time!BC25/Inputs!$F$247</f>
        <v>0.0532341111111111</v>
      </c>
      <c r="BD14" s="16" t="n">
        <f aca="false">(Inputs!$F$102*(Operations!BD9+BD8+Inputs!$F$101+BD9)/(1-Inputs!$F$93/100)+(1-Inputs!$F$102)*(Operations!BD9+Inputs!$F$80+Inputs!$F$101+BD9))/100*Time!BD25/Inputs!$F$247</f>
        <v>0.0541164444444444</v>
      </c>
      <c r="BE14" s="16" t="n">
        <f aca="false">(Inputs!$F$102*(Operations!BE9+BE8+Inputs!$F$101+BE9)/(1-Inputs!$F$93/100)+(1-Inputs!$F$102)*(Operations!BE9+Inputs!$F$80+Inputs!$F$101+BE9))/100*Time!BE25/Inputs!$F$247</f>
        <v>0.0532341111111111</v>
      </c>
      <c r="BF14" s="16" t="n">
        <f aca="false">(Inputs!$F$102*(Operations!BF9+BF8+Inputs!$F$101+BF9)/(1-Inputs!$F$93/100)+(1-Inputs!$F$102)*(Operations!BF9+Inputs!$F$80+Inputs!$F$101+BF9))/100*Time!BF25/Inputs!$F$247</f>
        <v>0.0541164444444444</v>
      </c>
      <c r="BG14" s="16" t="n">
        <f aca="false">(Inputs!$F$102*(Operations!BG9+BG8+Inputs!$F$101+BG9)/(1-Inputs!$F$93/100)+(1-Inputs!$F$102)*(Operations!BG9+Inputs!$F$80+Inputs!$F$101+BG9))/100*Time!BG25/Inputs!$F$247</f>
        <v>0.0532341111111111</v>
      </c>
      <c r="BH14" s="16" t="n">
        <f aca="false">(Inputs!$F$102*(Operations!BH9+BH8+Inputs!$F$101+BH9)/(1-Inputs!$F$93/100)+(1-Inputs!$F$102)*(Operations!BH9+Inputs!$F$80+Inputs!$F$101+BH9))/100*Time!BH25/Inputs!$F$247</f>
        <v>0.0541164444444444</v>
      </c>
      <c r="BI14" s="16" t="n">
        <f aca="false">(Inputs!$F$102*(Operations!BI9+BI8+Inputs!$F$101+BI9)/(1-Inputs!$F$93/100)+(1-Inputs!$F$102)*(Operations!BI9+Inputs!$F$80+Inputs!$F$101+BI9))/100*Time!BI25/Inputs!$F$247</f>
        <v>0.0535282222222222</v>
      </c>
      <c r="BJ14" s="16" t="n">
        <f aca="false">(Inputs!$F$102*(Operations!BJ9+BJ8+Inputs!$F$101+BJ9)/(1-Inputs!$F$93/100)+(1-Inputs!$F$102)*(Operations!BJ9+Inputs!$F$80+Inputs!$F$101+BJ9))/100*Time!BJ25/Inputs!$F$247</f>
        <v>0.0541164444444444</v>
      </c>
      <c r="BK14" s="16" t="n">
        <f aca="false">(Inputs!$F$102*(Operations!BK9+BK8+Inputs!$F$101+BK9)/(1-Inputs!$F$93/100)+(1-Inputs!$F$102)*(Operations!BK9+Inputs!$F$80+Inputs!$F$101+BK9))/100*Time!BK25/Inputs!$F$247</f>
        <v>0.0532341111111111</v>
      </c>
      <c r="BL14" s="16" t="n">
        <f aca="false">(Inputs!$F$102*(Operations!BL9+BL8+Inputs!$F$101+BL9)/(1-Inputs!$F$93/100)+(1-Inputs!$F$102)*(Operations!BL9+Inputs!$F$80+Inputs!$F$101+BL9))/100*Time!BL25/Inputs!$F$247</f>
        <v>0.0541164444444444</v>
      </c>
      <c r="BM14" s="16" t="n">
        <f aca="false">(Inputs!$F$102*(Operations!BM9+BM8+Inputs!$F$101+BM9)/(1-Inputs!$F$93/100)+(1-Inputs!$F$102)*(Operations!BM9+Inputs!$F$80+Inputs!$F$101+BM9))/100*Time!BM25/Inputs!$F$247</f>
        <v>0.0532341111111111</v>
      </c>
      <c r="BN14" s="16" t="n">
        <f aca="false">(Inputs!$F$102*(Operations!BN9+BN8+Inputs!$F$101+BN9)/(1-Inputs!$F$93/100)+(1-Inputs!$F$102)*(Operations!BN9+Inputs!$F$80+Inputs!$F$101+BN9))/100*Time!BN25/Inputs!$F$247</f>
        <v>0.0541164444444444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81.7782879795328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5.90204292252749</v>
      </c>
      <c r="R23" s="13" t="n">
        <f aca="false">R21*R10</f>
        <v>5.75987216483567</v>
      </c>
      <c r="S23" s="13" t="n">
        <f aca="false">S21*S10</f>
        <v>5.43828487493075</v>
      </c>
      <c r="T23" s="13" t="n">
        <f aca="false">T21*T10</f>
        <v>5.28805601098239</v>
      </c>
      <c r="U23" s="13" t="n">
        <f aca="false">U21*U10</f>
        <v>4.99282363487517</v>
      </c>
      <c r="V23" s="13" t="n">
        <f aca="false">V21*V10</f>
        <v>4.80732364634763</v>
      </c>
      <c r="W23" s="13" t="n">
        <f aca="false">W21*W10</f>
        <v>4.49249620102975</v>
      </c>
      <c r="X23" s="13" t="n">
        <f aca="false">X21*X10</f>
        <v>4.32659128171286</v>
      </c>
      <c r="Y23" s="13" t="n">
        <f aca="false">Y21*Y10</f>
        <v>4.01960186407925</v>
      </c>
      <c r="Z23" s="13" t="n">
        <f aca="false">Z21*Z10</f>
        <v>3.8458589170781</v>
      </c>
      <c r="AA23" s="13" t="n">
        <f aca="false">AA21*AA10</f>
        <v>3.54670752712875</v>
      </c>
      <c r="AB23" s="13" t="n">
        <f aca="false">AB21*AB10</f>
        <v>3.36512655244334</v>
      </c>
      <c r="AC23" s="13" t="n">
        <f aca="false">AC21*AC10</f>
        <v>3.09079558349415</v>
      </c>
      <c r="AD23" s="13" t="n">
        <f aca="false">AD21*AD10</f>
        <v>2.88439418780858</v>
      </c>
      <c r="AE23" s="13" t="n">
        <f aca="false">AE21*AE10</f>
        <v>2.60091885322775</v>
      </c>
      <c r="AF23" s="13" t="n">
        <f aca="false">AF21*AF10</f>
        <v>2.40366182317381</v>
      </c>
      <c r="AG23" s="13" t="n">
        <f aca="false">AG21*AG10</f>
        <v>2.12802451627725</v>
      </c>
      <c r="AH23" s="13" t="n">
        <f aca="false">AH21*AH10</f>
        <v>1.92292945853905</v>
      </c>
      <c r="AI23" s="13" t="n">
        <f aca="false">AI21*AI10</f>
        <v>1.65513017932675</v>
      </c>
      <c r="AJ23" s="13" t="n">
        <f aca="false">AJ21*AJ10</f>
        <v>1.44219709390429</v>
      </c>
      <c r="AK23" s="13" t="n">
        <f aca="false">AK21*AK10</f>
        <v>1.18876753211314</v>
      </c>
      <c r="AL23" s="13" t="n">
        <f aca="false">AL21*AL10</f>
        <v>0.961464729269525</v>
      </c>
      <c r="AM23" s="13" t="n">
        <f aca="false">AM21*AM10</f>
        <v>0.70934150542575</v>
      </c>
      <c r="AN23" s="13" t="n">
        <f aca="false">AN21*AN10</f>
        <v>0.480732364634763</v>
      </c>
      <c r="AO23" s="13" t="n">
        <f aca="false">AO21*AO10</f>
        <v>0.23644716847525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97.2620322972297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5.98854847374583</v>
      </c>
      <c r="R37" s="13" t="n">
        <f aca="false">R35*R11</f>
        <v>5.96190134923792</v>
      </c>
      <c r="S37" s="13" t="n">
        <f aca="false">S35*S11</f>
        <v>5.73693144949183</v>
      </c>
      <c r="T37" s="13" t="n">
        <f aca="false">T35*T11</f>
        <v>5.68881947744616</v>
      </c>
      <c r="U37" s="13" t="n">
        <f aca="false">U35*U11</f>
        <v>5.47468508867172</v>
      </c>
      <c r="V37" s="13" t="n">
        <f aca="false">V35*V11</f>
        <v>5.3731364104805</v>
      </c>
      <c r="W37" s="13" t="n">
        <f aca="false">W35*W11</f>
        <v>5.10987733626644</v>
      </c>
      <c r="X37" s="13" t="n">
        <f aca="false">X35*X11</f>
        <v>5.00770706324534</v>
      </c>
      <c r="Y37" s="13" t="n">
        <f aca="false">Y35*Y11</f>
        <v>4.75056962774937</v>
      </c>
      <c r="Z37" s="13" t="n">
        <f aca="false">Z35*Z11</f>
        <v>4.65143183867729</v>
      </c>
      <c r="AA37" s="13" t="n">
        <f aca="false">AA35*AA11</f>
        <v>4.38958354282411</v>
      </c>
      <c r="AB37" s="13" t="n">
        <f aca="false">AB35*AB11</f>
        <v>4.26498221623022</v>
      </c>
      <c r="AC37" s="13" t="n">
        <f aca="false">AC35*AC11</f>
        <v>4.00950957674849</v>
      </c>
      <c r="AD37" s="13" t="n">
        <f aca="false">AD35*AD11</f>
        <v>3.831879345563</v>
      </c>
      <c r="AE37" s="13" t="n">
        <f aca="false">AE35*AE11</f>
        <v>3.52192187318454</v>
      </c>
      <c r="AF37" s="13" t="n">
        <f aca="false">AF35*AF11</f>
        <v>3.31330585797531</v>
      </c>
      <c r="AG37" s="13" t="n">
        <f aca="false">AG35*AG11</f>
        <v>2.98382268287839</v>
      </c>
      <c r="AH37" s="13" t="n">
        <f aca="false">AH35*AH11</f>
        <v>2.74626815010916</v>
      </c>
      <c r="AI37" s="13" t="n">
        <f aca="false">AI35*AI11</f>
        <v>2.39965026497581</v>
      </c>
      <c r="AJ37" s="13" t="n">
        <f aca="false">AJ35*AJ11</f>
        <v>2.12009283853733</v>
      </c>
      <c r="AK37" s="13" t="n">
        <f aca="false">AK35*AK11</f>
        <v>1.76057250410339</v>
      </c>
      <c r="AL37" s="13" t="n">
        <f aca="false">AL35*AL11</f>
        <v>1.42476020324794</v>
      </c>
      <c r="AM37" s="13" t="n">
        <f aca="false">AM35*AM11</f>
        <v>1.02423230580932</v>
      </c>
      <c r="AN37" s="13" t="n">
        <f aca="false">AN35*AN11</f>
        <v>0.642329942076206</v>
      </c>
      <c r="AO37" s="13" t="n">
        <f aca="false">AO35*AO11</f>
        <v>0.311278280506586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42.9309433178326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2.64438291363517</v>
      </c>
      <c r="R51" s="13" t="n">
        <f aca="false">R49*R12</f>
        <v>2.6326162558123</v>
      </c>
      <c r="S51" s="13" t="n">
        <f aca="false">S49*S12</f>
        <v>2.53336042032085</v>
      </c>
      <c r="T51" s="13" t="n">
        <f aca="false">T49*T12</f>
        <v>2.51211474799633</v>
      </c>
      <c r="U51" s="13" t="n">
        <f aca="false">U49*U12</f>
        <v>2.4175555590071</v>
      </c>
      <c r="V51" s="13" t="n">
        <f aca="false">V49*V12</f>
        <v>2.37271287536508</v>
      </c>
      <c r="W51" s="13" t="n">
        <f aca="false">W49*W12</f>
        <v>2.25646081190992</v>
      </c>
      <c r="X51" s="13" t="n">
        <f aca="false">X49*X12</f>
        <v>2.21134363941382</v>
      </c>
      <c r="Y51" s="13" t="n">
        <f aca="false">Y49*Y12</f>
        <v>2.0977948185148</v>
      </c>
      <c r="Z51" s="13" t="n">
        <f aca="false">Z49*Z12</f>
        <v>2.05401675471807</v>
      </c>
      <c r="AA51" s="13" t="n">
        <f aca="false">AA49*AA12</f>
        <v>1.93838767414022</v>
      </c>
      <c r="AB51" s="13" t="n">
        <f aca="false">AB49*AB12</f>
        <v>1.88336521624761</v>
      </c>
      <c r="AC51" s="13" t="n">
        <f aca="false">AC49*AC12</f>
        <v>1.77055154938826</v>
      </c>
      <c r="AD51" s="13" t="n">
        <f aca="false">AD49*AD12</f>
        <v>1.69211216047459</v>
      </c>
      <c r="AE51" s="13" t="n">
        <f aca="false">AE49*AE12</f>
        <v>1.55523864204065</v>
      </c>
      <c r="AF51" s="13" t="n">
        <f aca="false">AF49*AF12</f>
        <v>1.46311630091995</v>
      </c>
      <c r="AG51" s="13" t="n">
        <f aca="false">AG49*AG12</f>
        <v>1.31762046533243</v>
      </c>
      <c r="AH51" s="13" t="n">
        <f aca="false">AH49*AH12</f>
        <v>1.2127192204276</v>
      </c>
      <c r="AI51" s="13" t="n">
        <f aca="false">AI49*AI12</f>
        <v>1.05965690150274</v>
      </c>
      <c r="AJ51" s="13" t="n">
        <f aca="false">AJ49*AJ12</f>
        <v>0.936207680332645</v>
      </c>
      <c r="AK51" s="13" t="n">
        <f aca="false">AK49*AK12</f>
        <v>0.777447793871714</v>
      </c>
      <c r="AL51" s="13" t="n">
        <f aca="false">AL49*AL12</f>
        <v>0.629157091928707</v>
      </c>
      <c r="AM51" s="13" t="n">
        <f aca="false">AM49*AM12</f>
        <v>0.452288755338211</v>
      </c>
      <c r="AN51" s="13" t="n">
        <f aca="false">AN49*AN12</f>
        <v>0.283645232014578</v>
      </c>
      <c r="AO51" s="13" t="n">
        <f aca="false">AO49*AO12</f>
        <v>0.137456771530845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158.669105568887</v>
      </c>
      <c r="AC63" s="13" t="n">
        <f aca="false">Time!AC35*AB75</f>
        <v>144.105351209063</v>
      </c>
      <c r="AD63" s="13" t="n">
        <f aca="false">Time!AD35*AC75</f>
        <v>129.829707455818</v>
      </c>
      <c r="AE63" s="13" t="n">
        <f aca="false">Time!AE35*AD75</f>
        <v>113.533369258018</v>
      </c>
      <c r="AF63" s="13" t="n">
        <f aca="false">Time!AF35*AE75</f>
        <v>96.6468172736761</v>
      </c>
      <c r="AG63" s="13" t="n">
        <f aca="false">Time!AG35*AF75</f>
        <v>79.1235922536322</v>
      </c>
      <c r="AH63" s="13" t="n">
        <f aca="false">Time!AH35*AG75</f>
        <v>61.7976999326425</v>
      </c>
      <c r="AI63" s="13" t="n">
        <f aca="false">Time!AI35*AH75</f>
        <v>43.6146679176812</v>
      </c>
      <c r="AJ63" s="13" t="n">
        <f aca="false">Time!AJ35*AI75</f>
        <v>25.6706145679921</v>
      </c>
      <c r="AK63" s="13" t="n">
        <f aca="false">Time!AK35*AJ75</f>
        <v>7.34091041083659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176.376926525524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12.0835766041786</v>
      </c>
      <c r="R65" s="13" t="n">
        <f aca="false">R63*R13</f>
        <v>12.0298085547616</v>
      </c>
      <c r="S65" s="13" t="n">
        <f aca="false">S63*S13</f>
        <v>11.5752237462651</v>
      </c>
      <c r="T65" s="13" t="n">
        <f aca="false">T63*T13</f>
        <v>11.4781497536254</v>
      </c>
      <c r="U65" s="13" t="n">
        <f aca="false">U63*U13</f>
        <v>11.0460976219839</v>
      </c>
      <c r="V65" s="13" t="n">
        <f aca="false">V63*V13</f>
        <v>10.8412060904135</v>
      </c>
      <c r="W65" s="13" t="n">
        <f aca="false">W63*W13</f>
        <v>10.3100366465931</v>
      </c>
      <c r="X65" s="13" t="n">
        <f aca="false">X63*X13</f>
        <v>10.1038909429451</v>
      </c>
      <c r="Y65" s="13" t="n">
        <f aca="false">Y63*Y13</f>
        <v>10.1048708159445</v>
      </c>
      <c r="Z65" s="13" t="n">
        <f aca="false">Z63*Z13</f>
        <v>9.89399619878283</v>
      </c>
      <c r="AA65" s="13" t="n">
        <f aca="false">AA63*AA13</f>
        <v>9.33702231768951</v>
      </c>
      <c r="AB65" s="13" t="n">
        <f aca="false">AB63*AB13</f>
        <v>8.75853462740257</v>
      </c>
      <c r="AC65" s="13" t="n">
        <f aca="false">AC63*AC13</f>
        <v>7.86815217601487</v>
      </c>
      <c r="AD65" s="13" t="n">
        <f aca="false">AD63*AD13</f>
        <v>7.16659985156114</v>
      </c>
      <c r="AE65" s="13" t="n">
        <f aca="false">AE63*AE13</f>
        <v>6.1648619507104</v>
      </c>
      <c r="AF65" s="13" t="n">
        <f aca="false">AF63*AF13</f>
        <v>5.33490431350692</v>
      </c>
      <c r="AG65" s="13" t="n">
        <f aca="false">AG63*AG13</f>
        <v>4.51741985872265</v>
      </c>
      <c r="AH65" s="13" t="n">
        <f aca="false">AH63*AH13</f>
        <v>3.58670798670789</v>
      </c>
      <c r="AI65" s="13" t="n">
        <f aca="false">AI63*AI13</f>
        <v>2.49010138911991</v>
      </c>
      <c r="AJ65" s="13" t="n">
        <f aca="false">AJ63*AJ13</f>
        <v>1.48990979267956</v>
      </c>
      <c r="AK65" s="13" t="n">
        <f aca="false">AK63*AK13</f>
        <v>0.421431697548534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141.622728159913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7.86511321009319</v>
      </c>
      <c r="AC66" s="13" t="n">
        <f aca="false">Time!AC35*(AC63-AC64)*AC19</f>
        <v>7.88115813349175</v>
      </c>
      <c r="AD66" s="13" t="n">
        <f aca="false">Time!AD35*(AD63-AD64)*AD19</f>
        <v>8.52400462069865</v>
      </c>
      <c r="AE66" s="13" t="n">
        <f aca="false">Time!AE35*(AE63-AE64)*AE19</f>
        <v>8.46642809208249</v>
      </c>
      <c r="AF66" s="13" t="n">
        <f aca="false">Time!AF35*(AF63-AF64)*AF19</f>
        <v>8.16820802747317</v>
      </c>
      <c r="AG66" s="13" t="n">
        <f aca="false">Time!AG35*(AG63-AG64)*AG19</f>
        <v>7.48670987649754</v>
      </c>
      <c r="AH66" s="13" t="n">
        <f aca="false">Time!AH35*(AH63-AH64)*AH19</f>
        <v>6.90475008148697</v>
      </c>
      <c r="AI66" s="13" t="n">
        <f aca="false">Time!AI35*(AI63-AI64)*AI19</f>
        <v>5.70934065447705</v>
      </c>
      <c r="AJ66" s="13" t="n">
        <f aca="false">Time!AJ35*(AJ63-AJ64)*AJ19</f>
        <v>4.11890444800307</v>
      </c>
      <c r="AK66" s="13" t="n">
        <f aca="false">Time!AK35*(AK63-AK64)*AK19</f>
        <v>1.46478102680023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141.622728159913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7.86511321009319</v>
      </c>
      <c r="AC69" s="13" t="n">
        <f aca="false">AC66-AC67+AC68</f>
        <v>7.88115813349175</v>
      </c>
      <c r="AD69" s="13" t="n">
        <f aca="false">AD66-AD67+AD68</f>
        <v>8.52400462069865</v>
      </c>
      <c r="AE69" s="13" t="n">
        <f aca="false">AE66-AE67+AE68</f>
        <v>8.46642809208249</v>
      </c>
      <c r="AF69" s="13" t="n">
        <f aca="false">AF66-AF67+AF68</f>
        <v>8.16820802747317</v>
      </c>
      <c r="AG69" s="13" t="n">
        <f aca="false">AG66-AG67+AG68</f>
        <v>7.48670987649754</v>
      </c>
      <c r="AH69" s="13" t="n">
        <f aca="false">AH66-AH67+AH68</f>
        <v>6.90475008148697</v>
      </c>
      <c r="AI69" s="13" t="n">
        <f aca="false">AI66-AI67+AI68</f>
        <v>5.70934065447705</v>
      </c>
      <c r="AJ69" s="13" t="n">
        <f aca="false">AJ66-AJ67+AJ68</f>
        <v>4.11890444800307</v>
      </c>
      <c r="AK69" s="13" t="n">
        <f aca="false">AK66-AK67+AK68</f>
        <v>1.46478102680023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150.803992358794</v>
      </c>
      <c r="AC73" s="13" t="n">
        <f aca="false">AC63-AC69-AC70-AC71</f>
        <v>136.224193075572</v>
      </c>
      <c r="AD73" s="13" t="n">
        <f aca="false">AD63-AD69-AD70-AD71</f>
        <v>121.305702835119</v>
      </c>
      <c r="AE73" s="13" t="n">
        <f aca="false">AE63-AE69-AE70-AE71</f>
        <v>105.066941165936</v>
      </c>
      <c r="AF73" s="13" t="n">
        <f aca="false">AF63-AF69-AF70-AF71</f>
        <v>88.4786092462029</v>
      </c>
      <c r="AG73" s="13" t="n">
        <f aca="false">AG63-AG69-AG70-AG71</f>
        <v>71.6368823771347</v>
      </c>
      <c r="AH73" s="13" t="n">
        <f aca="false">AH63-AH69-AH70-AH71</f>
        <v>54.8929498511555</v>
      </c>
      <c r="AI73" s="13" t="n">
        <f aca="false">AI63-AI69-AI70-AI71</f>
        <v>37.9053272632041</v>
      </c>
      <c r="AJ73" s="13" t="n">
        <f aca="false">AJ63-AJ69-AJ70-AJ71</f>
        <v>21.551710119989</v>
      </c>
      <c r="AK73" s="13" t="n">
        <f aca="false">AK63-AK69-AK70-AK71</f>
        <v>5.87612938403636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97.7581482558921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5.67844085810906</v>
      </c>
      <c r="AB74" s="13" t="n">
        <f aca="false">Waterfall!AB28*AB73/(AB31+AB45+AB59+AB73+AB87+Inputs!$F$253)+Waterfall!AB29</f>
        <v>6.69864114973051</v>
      </c>
      <c r="AC74" s="13" t="n">
        <f aca="false">Waterfall!AC28*AC73/(AC31+AC45+AC59+AC73+AC87+Inputs!$F$253)+Waterfall!AC29</f>
        <v>6.39448561975389</v>
      </c>
      <c r="AD74" s="13" t="n">
        <f aca="false">Waterfall!AD28*AD73/(AD31+AD45+AD59+AD73+AD87+Inputs!$F$253)+Waterfall!AD29</f>
        <v>7.77233357710078</v>
      </c>
      <c r="AE74" s="13" t="n">
        <f aca="false">Waterfall!AE28*AE73/(AE31+AE45+AE59+AE73+AE87+Inputs!$F$253)+Waterfall!AE29</f>
        <v>8.42012389225984</v>
      </c>
      <c r="AF74" s="13" t="n">
        <f aca="false">Waterfall!AF28*AF73/(AF31+AF45+AF59+AF73+AF87+Inputs!$F$253)+Waterfall!AF29</f>
        <v>9.3550169925707</v>
      </c>
      <c r="AG74" s="13" t="n">
        <f aca="false">Waterfall!AG28*AG73/(AG31+AG45+AG59+AG73+AG87+Inputs!$F$253)+Waterfall!AG29</f>
        <v>9.83918244449216</v>
      </c>
      <c r="AH74" s="13" t="n">
        <f aca="false">Waterfall!AH28*AH73/(AH31+AH45+AH59+AH73+AH87+Inputs!$F$253)+Waterfall!AH29</f>
        <v>11.2782819334744</v>
      </c>
      <c r="AI74" s="13" t="n">
        <f aca="false">Waterfall!AI28*AI73/(AI31+AI45+AI59+AI73+AI87+Inputs!$F$253)+Waterfall!AI29</f>
        <v>12.234712695212</v>
      </c>
      <c r="AJ74" s="13" t="n">
        <f aca="false">Waterfall!AJ28*AJ73/(AJ31+AJ45+AJ59+AJ73+AJ87+Inputs!$F$253)+Waterfall!AJ29</f>
        <v>14.2107997091524</v>
      </c>
      <c r="AK74" s="13" t="n">
        <f aca="false">Waterfall!AK28*AK73/(AK31+AK45+AK59+AK73+AK87+Inputs!$F$253)+Waterfall!AK29</f>
        <v>5.87612938403636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158.669105568887</v>
      </c>
      <c r="AB75" s="13" t="n">
        <f aca="false">IF(Time!AB34=1,INDEX(Funding!$J$64:$BJ$64,1,Time!$F$14),Time!AB35*(AB73-AB74))</f>
        <v>144.105351209063</v>
      </c>
      <c r="AC75" s="13" t="n">
        <f aca="false">IF(Time!AC34=1,INDEX(Funding!$J$64:$BJ$64,1,Time!$F$14),Time!AC35*(AC73-AC74))</f>
        <v>129.829707455818</v>
      </c>
      <c r="AD75" s="13" t="n">
        <f aca="false">IF(Time!AD34=1,INDEX(Funding!$J$64:$BJ$64,1,Time!$F$14),Time!AD35*(AD73-AD74))</f>
        <v>113.533369258018</v>
      </c>
      <c r="AE75" s="13" t="n">
        <f aca="false">IF(Time!AE34=1,INDEX(Funding!$J$64:$BJ$64,1,Time!$F$14),Time!AE35*(AE73-AE74))</f>
        <v>96.6468172736761</v>
      </c>
      <c r="AF75" s="13" t="n">
        <f aca="false">IF(Time!AF34=1,INDEX(Funding!$J$64:$BJ$64,1,Time!$F$14),Time!AF35*(AF73-AF74))</f>
        <v>79.1235922536322</v>
      </c>
      <c r="AG75" s="13" t="n">
        <f aca="false">IF(Time!AG34=1,INDEX(Funding!$J$64:$BJ$64,1,Time!$F$14),Time!AG35*(AG73-AG74))</f>
        <v>61.7976999326425</v>
      </c>
      <c r="AH75" s="13" t="n">
        <f aca="false">IF(Time!AH34=1,INDEX(Funding!$J$64:$BJ$64,1,Time!$F$14),Time!AH35*(AH73-AH74))</f>
        <v>43.6146679176812</v>
      </c>
      <c r="AI75" s="13" t="n">
        <f aca="false">IF(Time!AI34=1,INDEX(Funding!$J$64:$BJ$64,1,Time!$F$14),Time!AI35*(AI73-AI74))</f>
        <v>25.6706145679921</v>
      </c>
      <c r="AJ75" s="13" t="n">
        <f aca="false">IF(Time!AJ34=1,INDEX(Funding!$J$64:$BJ$64,1,Time!$F$14),Time!AJ35*(AJ73-AJ74))</f>
        <v>7.34091041083659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1.32646780034217E-011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7.98562962952949E-013</v>
      </c>
      <c r="R79" s="13" t="n">
        <f aca="false">R77*R14</f>
        <v>7.95009613289921E-013</v>
      </c>
      <c r="S79" s="13" t="n">
        <f aca="false">S77*S14</f>
        <v>7.64960375828007E-013</v>
      </c>
      <c r="T79" s="13" t="n">
        <f aca="false">T77*T14</f>
        <v>7.58545142781925E-013</v>
      </c>
      <c r="U79" s="13" t="n">
        <f aca="false">U77*U14</f>
        <v>7.29992540409605E-013</v>
      </c>
      <c r="V79" s="13" t="n">
        <f aca="false">V77*V14</f>
        <v>7.1645207618794E-013</v>
      </c>
      <c r="W79" s="13" t="n">
        <f aca="false">W77*W14</f>
        <v>6.81349205929876E-013</v>
      </c>
      <c r="X79" s="13" t="n">
        <f aca="false">X77*X14</f>
        <v>6.6772585847719E-013</v>
      </c>
      <c r="Y79" s="13" t="n">
        <f aca="false">Y77*Y14</f>
        <v>6.5472130570959E-013</v>
      </c>
      <c r="Z79" s="13" t="n">
        <f aca="false">Z77*Z14</f>
        <v>6.41058181538693E-013</v>
      </c>
      <c r="AA79" s="13" t="n">
        <f aca="false">AA77*AA14</f>
        <v>6.04970370688093E-013</v>
      </c>
      <c r="AB79" s="13" t="n">
        <f aca="false">AB77*AB14</f>
        <v>5.87797873570237E-013</v>
      </c>
      <c r="AC79" s="13" t="n">
        <f aca="false">AC77*AC14</f>
        <v>5.5258875272765E-013</v>
      </c>
      <c r="AD79" s="13" t="n">
        <f aca="false">AD77*AD14</f>
        <v>5.28107836541109E-013</v>
      </c>
      <c r="AE79" s="13" t="n">
        <f aca="false">AE77*AE14</f>
        <v>4.85389641265185E-013</v>
      </c>
      <c r="AF79" s="13" t="n">
        <f aca="false">AF77*AF14</f>
        <v>4.56638278676604E-013</v>
      </c>
      <c r="AG79" s="13" t="n">
        <f aca="false">AG77*AG14</f>
        <v>4.24596276976002E-013</v>
      </c>
      <c r="AH79" s="13" t="n">
        <f aca="false">AH77*AH14</f>
        <v>3.90792401574369E-013</v>
      </c>
      <c r="AI79" s="13" t="n">
        <f aca="false">AI77*AI14</f>
        <v>3.41468872932598E-013</v>
      </c>
      <c r="AJ79" s="13" t="n">
        <f aca="false">AJ77*AJ14</f>
        <v>3.01688009562974E-013</v>
      </c>
      <c r="AK79" s="13" t="n">
        <f aca="false">AK77*AK14</f>
        <v>2.50528469696965E-013</v>
      </c>
      <c r="AL79" s="13" t="n">
        <f aca="false">AL77*AL14</f>
        <v>2.02742569574904E-013</v>
      </c>
      <c r="AM79" s="13" t="n">
        <f aca="false">AM77*AM14</f>
        <v>1.45747676730464E-013</v>
      </c>
      <c r="AN79" s="13" t="n">
        <f aca="false">AN77*AN14</f>
        <v>9.14031867780675E-014</v>
      </c>
      <c r="AO79" s="13" t="n">
        <f aca="false">AO77*AO14</f>
        <v>4.429472292874E-014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-81.1607431698189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-5.38508722106827</v>
      </c>
      <c r="R107" s="13" t="n">
        <f aca="false">Time!R35*Inputs!R301*R106*(Inputs!$F$97/100*Time!R24-Operations!R9/100*Time!R25/Inputs!$F$247)</f>
        <v>-5.44670731675357</v>
      </c>
      <c r="S107" s="13" t="n">
        <f aca="false">Time!S35*Inputs!S301*S106*(Inputs!$F$97/100*Time!S24-Operations!S9/100*Time!S25/Inputs!$F$247)</f>
        <v>-5.11755651720551</v>
      </c>
      <c r="T107" s="13" t="n">
        <f aca="false">Time!T35*Inputs!T301*T106*(Inputs!$F$97/100*Time!T24-Operations!T9/100*Time!T25/Inputs!$F$247)</f>
        <v>-5.15645923960919</v>
      </c>
      <c r="U107" s="13" t="n">
        <f aca="false">Time!U35*Inputs!U301*U106*(Inputs!$F$97/100*Time!U24-Operations!U9/100*Time!U25/Inputs!$F$247)</f>
        <v>-4.86585990448219</v>
      </c>
      <c r="V107" s="13" t="n">
        <f aca="false">Time!V35*Inputs!V301*V106*(Inputs!$F$97/100*Time!V24-Operations!V9/100*Time!V25/Inputs!$F$247)</f>
        <v>-4.81851239851965</v>
      </c>
      <c r="W107" s="13" t="n">
        <f aca="false">Time!W35*Inputs!W301*W106*(Inputs!$F$97/100*Time!W24-Operations!W9/100*Time!W25/Inputs!$F$247)</f>
        <v>-4.46308332934347</v>
      </c>
      <c r="X107" s="13" t="n">
        <f aca="false">Time!X35*Inputs!X301*X106*(Inputs!$F$97/100*Time!X24-Operations!X9/100*Time!X25/Inputs!$F$247)</f>
        <v>-4.44826537239251</v>
      </c>
      <c r="Y107" s="13" t="n">
        <f aca="false">Time!Y35*Inputs!Y301*Y106*(Inputs!$F$97/100*Time!Y24-Operations!Y9/100*Time!Y25/Inputs!$F$247)</f>
        <v>-4.10675635600096</v>
      </c>
      <c r="Z107" s="13" t="n">
        <f aca="false">Time!Z35*Inputs!Z301*Z106*(Inputs!$F$97/100*Time!Z24-Operations!Z9/100*Time!Z25/Inputs!$F$247)</f>
        <v>-4.0839621043595</v>
      </c>
      <c r="AA107" s="13" t="n">
        <f aca="false">Time!AA35*Inputs!AA301*AA106*(Inputs!$F$97/100*Time!AA24-Operations!AA9/100*Time!AA25/Inputs!$F$247)</f>
        <v>-3.74936289267899</v>
      </c>
      <c r="AB107" s="13" t="n">
        <f aca="false">Time!AB35*Inputs!AB301*AB106*(Inputs!$F$97/100*Time!AB24-Operations!AB9/100*Time!AB25/Inputs!$F$247)</f>
        <v>-3.70006664511922</v>
      </c>
      <c r="AC107" s="13" t="n">
        <f aca="false">Time!AC35*Inputs!AC301*AC106*(Inputs!$F$97/100*Time!AC24-Operations!AC9/100*Time!AC25/Inputs!$F$247)</f>
        <v>-3.40933113936806</v>
      </c>
      <c r="AD107" s="13" t="n">
        <f aca="false">Time!AD35*Inputs!AD301*AD106*(Inputs!$F$97/100*Time!AD24-Operations!AD9/100*Time!AD25/Inputs!$F$247)</f>
        <v>-3.28587930190386</v>
      </c>
      <c r="AE107" s="13" t="n">
        <f aca="false">Time!AE35*Inputs!AE301*AE106*(Inputs!$F$97/100*Time!AE24-Operations!AE9/100*Time!AE25/Inputs!$F$247)</f>
        <v>-2.94200055155676</v>
      </c>
      <c r="AF107" s="13" t="n">
        <f aca="false">Time!AF35*Inputs!AF301*AF106*(Inputs!$F$97/100*Time!AF24-Operations!AF9/100*Time!AF25/Inputs!$F$247)</f>
        <v>-2.81619601553752</v>
      </c>
      <c r="AG107" s="13" t="n">
        <f aca="false">Time!AG35*Inputs!AG301*AG106*(Inputs!$F$97/100*Time!AG24-Operations!AG9/100*Time!AG25/Inputs!$F$247)</f>
        <v>-2.47206418593976</v>
      </c>
      <c r="AH107" s="13" t="n">
        <f aca="false">Time!AH35*Inputs!AH301*AH106*(Inputs!$F$97/100*Time!AH24-Operations!AH9/100*Time!AH25/Inputs!$F$247)</f>
        <v>-2.31504498375955</v>
      </c>
      <c r="AI107" s="13" t="n">
        <f aca="false">Time!AI35*Inputs!AI301*AI106*(Inputs!$F$97/100*Time!AI24-Operations!AI9/100*Time!AI25/Inputs!$F$247)</f>
        <v>-1.97285152966854</v>
      </c>
      <c r="AJ107" s="13" t="n">
        <f aca="false">Time!AJ35*Inputs!AJ301*AJ106*(Inputs!$F$97/100*Time!AJ24-Operations!AJ9/100*Time!AJ25/Inputs!$F$247)</f>
        <v>-1.77549599474688</v>
      </c>
      <c r="AK107" s="13" t="n">
        <f aca="false">Time!AK35*Inputs!AK301*AK106*(Inputs!$F$97/100*Time!AK24-Operations!AK9/100*Time!AK25/Inputs!$F$247)</f>
        <v>-1.45111398153007</v>
      </c>
      <c r="AL107" s="13" t="n">
        <f aca="false">Time!AL35*Inputs!AL301*AL106*(Inputs!$F$97/100*Time!AL24-Operations!AL9/100*Time!AL25/Inputs!$F$247)</f>
        <v>-1.19104325934995</v>
      </c>
      <c r="AM107" s="13" t="n">
        <f aca="false">Time!AM35*Inputs!AM301*AM106*(Inputs!$F$97/100*Time!AM24-Operations!AM9/100*Time!AM25/Inputs!$F$247)</f>
        <v>-0.842845833843552</v>
      </c>
      <c r="AN107" s="13" t="n">
        <f aca="false">Time!AN35*Inputs!AN301*AN106*(Inputs!$F$97/100*Time!AN24-Operations!AN9/100*Time!AN25/Inputs!$F$247)</f>
        <v>-0.550038166327606</v>
      </c>
      <c r="AO107" s="13" t="n">
        <f aca="false">Time!AO35*Inputs!AO301*AO106*(Inputs!$F$97/100*Time!AO24-Operations!AO9/100*Time!AO25/Inputs!$F$247)</f>
        <v>-0.261801537684004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17.3997161656999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0.827861492179147</v>
      </c>
      <c r="AC108" s="13" t="n">
        <f aca="false">(Inputs!$F$95/100*Inputs!$F$96/100)*AC63*Time!AC25/Inputs!$F$248</f>
        <v>0.743702054993186</v>
      </c>
      <c r="AD108" s="13" t="n">
        <f aca="false">(Inputs!$F$95/100*Inputs!$F$96/100)*AD63*Time!AD25/Inputs!$F$248</f>
        <v>0.677390944873588</v>
      </c>
      <c r="AE108" s="13" t="n">
        <f aca="false">(Inputs!$F$95/100*Inputs!$F$96/100)*AE63*Time!AE25/Inputs!$F$248</f>
        <v>0.582706129587695</v>
      </c>
      <c r="AF108" s="13" t="n">
        <f aca="false">(Inputs!$F$95/100*Inputs!$F$96/100)*AF63*Time!AF25/Inputs!$F$248</f>
        <v>0.504258078947914</v>
      </c>
      <c r="AG108" s="13" t="n">
        <f aca="false">(Inputs!$F$95/100*Inputs!$F$96/100)*AG63*Time!AG25/Inputs!$F$248</f>
        <v>0.406099127529704</v>
      </c>
      <c r="AH108" s="13" t="n">
        <f aca="false">(Inputs!$F$95/100*Inputs!$F$96/100)*AH63*Time!AH25/Inputs!$F$248</f>
        <v>0.322431615758149</v>
      </c>
      <c r="AI108" s="13" t="n">
        <f aca="false">(Inputs!$F$95/100*Inputs!$F$96/100)*AI63*Time!AI25/Inputs!$F$248</f>
        <v>0.223850789434488</v>
      </c>
      <c r="AJ108" s="13" t="n">
        <f aca="false">(Inputs!$F$95/100*Inputs!$F$96/100)*AJ63*Time!AJ25/Inputs!$F$248</f>
        <v>0.133937310639134</v>
      </c>
      <c r="AK108" s="13" t="n">
        <f aca="false">(Inputs!$F$95/100*Inputs!$F$96/100)*AK63*Time!AK25/Inputs!$F$248</f>
        <v>0.037885131344912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398.348190120132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26.6185509140879</v>
      </c>
      <c r="R111" s="13" t="n">
        <f aca="false">R23+R37+R51+R65+R79+R92</f>
        <v>26.3841983246483</v>
      </c>
      <c r="S111" s="13" t="n">
        <f aca="false">S23+S37+S51+S65+S79+S92</f>
        <v>25.2838004910093</v>
      </c>
      <c r="T111" s="13" t="n">
        <f aca="false">T23+T37+T51+T65+T79+T92</f>
        <v>24.967139990051</v>
      </c>
      <c r="U111" s="13" t="n">
        <f aca="false">U23+U37+U51+U65+U79+U92</f>
        <v>23.9311619045387</v>
      </c>
      <c r="V111" s="13" t="n">
        <f aca="false">V23+V37+V51+V65+V79+V92</f>
        <v>23.3943790226075</v>
      </c>
      <c r="W111" s="13" t="n">
        <f aca="false">W23+W37+W51+W65+W79+W92</f>
        <v>22.1688709957999</v>
      </c>
      <c r="X111" s="13" t="n">
        <f aca="false">X23+X37+X51+X65+X79+X92</f>
        <v>21.6495329273178</v>
      </c>
      <c r="Y111" s="13" t="n">
        <f aca="false">Y23+Y37+Y51+Y65+Y79+Y92</f>
        <v>20.9728371262886</v>
      </c>
      <c r="Z111" s="13" t="n">
        <f aca="false">Z23+Z37+Z51+Z65+Z79+Z92</f>
        <v>20.4453037092569</v>
      </c>
      <c r="AA111" s="13" t="n">
        <f aca="false">AA23+AA37+AA51+AA65+AA79+AA92</f>
        <v>19.2117010617832</v>
      </c>
      <c r="AB111" s="13" t="n">
        <f aca="false">AB23+AB37+AB51+AB65+AB79+AB92</f>
        <v>18.2720086123243</v>
      </c>
      <c r="AC111" s="13" t="n">
        <f aca="false">AC23+AC37+AC51+AC65+AC79+AC92</f>
        <v>16.7390088856463</v>
      </c>
      <c r="AD111" s="13" t="n">
        <f aca="false">AD23+AD37+AD51+AD65+AD79+AD92</f>
        <v>15.5749855454078</v>
      </c>
      <c r="AE111" s="13" t="n">
        <f aca="false">AE23+AE37+AE51+AE65+AE79+AE92</f>
        <v>13.8429413191638</v>
      </c>
      <c r="AF111" s="13" t="n">
        <f aca="false">AF23+AF37+AF51+AF65+AF79+AF92</f>
        <v>12.5149882955765</v>
      </c>
      <c r="AG111" s="13" t="n">
        <f aca="false">AG23+AG37+AG51+AG65+AG79+AG92</f>
        <v>10.9468875232111</v>
      </c>
      <c r="AH111" s="13" t="n">
        <f aca="false">AH23+AH37+AH51+AH65+AH79+AH92</f>
        <v>9.46862481578409</v>
      </c>
      <c r="AI111" s="13" t="n">
        <f aca="false">AI23+AI37+AI51+AI65+AI79+AI92</f>
        <v>7.60453873492554</v>
      </c>
      <c r="AJ111" s="13" t="n">
        <f aca="false">AJ23+AJ37+AJ51+AJ65+AJ79+AJ92</f>
        <v>5.98840740545412</v>
      </c>
      <c r="AK111" s="13" t="n">
        <f aca="false">AK23+AK37+AK51+AK65+AK79+AK92</f>
        <v>4.14821952763702</v>
      </c>
      <c r="AL111" s="13" t="n">
        <f aca="false">AL23+AL37+AL51+AL65+AL79+AL92</f>
        <v>3.01538202444638</v>
      </c>
      <c r="AM111" s="13" t="n">
        <f aca="false">AM23+AM37+AM51+AM65+AM79+AM92</f>
        <v>2.18586256657343</v>
      </c>
      <c r="AN111" s="13" t="n">
        <f aca="false">AN23+AN37+AN51+AN65+AN79+AN92</f>
        <v>1.40670753872564</v>
      </c>
      <c r="AO111" s="13" t="n">
        <f aca="false">AO23+AO37+AO51+AO65+AO79+AO92</f>
        <v>0.685182220512725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334.587163116013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22.4388558600939</v>
      </c>
      <c r="R112" s="13" t="n">
        <f aca="false">R111+R107+R108+R109</f>
        <v>22.1375195655238</v>
      </c>
      <c r="S112" s="13" t="n">
        <f aca="false">S111+S107+S108+S109</f>
        <v>21.3196732464014</v>
      </c>
      <c r="T112" s="13" t="n">
        <f aca="false">T111+T107+T108+T109</f>
        <v>20.9544369500023</v>
      </c>
      <c r="U112" s="13" t="n">
        <f aca="false">U111+U107+U108+U109</f>
        <v>20.1660057639278</v>
      </c>
      <c r="V112" s="13" t="n">
        <f aca="false">V111+V107+V108+V109</f>
        <v>19.6561536862693</v>
      </c>
      <c r="W112" s="13" t="n">
        <f aca="false">W111+W107+W108+W109</f>
        <v>18.7331456104937</v>
      </c>
      <c r="X112" s="13" t="n">
        <f aca="false">X111+X107+X108+X109</f>
        <v>18.2080838235513</v>
      </c>
      <c r="Y112" s="13" t="n">
        <f aca="false">Y111+Y107+Y108+Y109</f>
        <v>17.8211986967262</v>
      </c>
      <c r="Z112" s="13" t="n">
        <f aca="false">Z111+Z107+Z108+Z109</f>
        <v>17.2965275469742</v>
      </c>
      <c r="AA112" s="13" t="n">
        <f aca="false">AA111+AA107+AA108+AA109</f>
        <v>16.3448786347488</v>
      </c>
      <c r="AB112" s="13" t="n">
        <f aca="false">AB111+AB107+AB108+AB109</f>
        <v>15.3998034593843</v>
      </c>
      <c r="AC112" s="13" t="n">
        <f aca="false">AC111+AC107+AC108+AC109</f>
        <v>14.0733798012715</v>
      </c>
      <c r="AD112" s="13" t="n">
        <f aca="false">AD111+AD107+AD108+AD109</f>
        <v>12.9664971883776</v>
      </c>
      <c r="AE112" s="13" t="n">
        <f aca="false">AE111+AE107+AE108+AE109</f>
        <v>11.4836468971948</v>
      </c>
      <c r="AF112" s="13" t="n">
        <f aca="false">AF111+AF107+AF108+AF109</f>
        <v>10.2030503589868</v>
      </c>
      <c r="AG112" s="13" t="n">
        <f aca="false">AG111+AG107+AG108+AG109</f>
        <v>8.88092246480109</v>
      </c>
      <c r="AH112" s="13" t="n">
        <f aca="false">AH111+AH107+AH108+AH109</f>
        <v>7.47601144778269</v>
      </c>
      <c r="AI112" s="13" t="n">
        <f aca="false">AI111+AI107+AI108+AI109</f>
        <v>5.85553799469149</v>
      </c>
      <c r="AJ112" s="13" t="n">
        <f aca="false">AJ111+AJ107+AJ108+AJ109</f>
        <v>4.34684872134638</v>
      </c>
      <c r="AK112" s="13" t="n">
        <f aca="false">AK111+AK107+AK108+AK109</f>
        <v>2.73499067745186</v>
      </c>
      <c r="AL112" s="13" t="n">
        <f aca="false">AL111+AL107+AL108+AL109</f>
        <v>1.82433876509643</v>
      </c>
      <c r="AM112" s="13" t="n">
        <f aca="false">AM111+AM107+AM108+AM109</f>
        <v>1.34301673272988</v>
      </c>
      <c r="AN112" s="13" t="n">
        <f aca="false">AN111+AN107+AN108+AN109</f>
        <v>0.856669372398032</v>
      </c>
      <c r="AO112" s="13" t="n">
        <f aca="false">AO111+AO107+AO108+AO109</f>
        <v>0.423380682828721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532.191526522558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21.9940491402996</v>
      </c>
      <c r="AC113" s="13" t="n">
        <f aca="false">AC27+AC41+AC55+AC69+AC83+AC93</f>
        <v>22.3436354907644</v>
      </c>
      <c r="AD113" s="13" t="n">
        <f aca="false">AD27+AD41+AD55+AD69+AD83+AD93</f>
        <v>23.9564819557923</v>
      </c>
      <c r="AE113" s="13" t="n">
        <f aca="false">AE27+AE41+AE55+AE69+AE83+AE93</f>
        <v>24.3988707522414</v>
      </c>
      <c r="AF113" s="13" t="n">
        <f aca="false">AF27+AF41+AF55+AF69+AF83+AF93</f>
        <v>24.523703609128</v>
      </c>
      <c r="AG113" s="13" t="n">
        <f aca="false">AG27+AG41+AG55+AG69+AG83+AG93</f>
        <v>24.0687898397136</v>
      </c>
      <c r="AH113" s="13" t="n">
        <f aca="false">AH27+AH41+AH55+AH69+AH83+AH93</f>
        <v>24.1304567482732</v>
      </c>
      <c r="AI113" s="13" t="n">
        <f aca="false">AI27+AI41+AI55+AI69+AI83+AI93</f>
        <v>23.3402145247918</v>
      </c>
      <c r="AJ113" s="13" t="n">
        <f aca="false">AJ27+AJ41+AJ55+AJ69+AJ83+AJ93</f>
        <v>22.4261218981738</v>
      </c>
      <c r="AK113" s="13" t="n">
        <f aca="false">AK27+AK41+AK55+AK69+AK83+AK93</f>
        <v>20.2582872840173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866.77868963857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38.6549364939471</v>
      </c>
      <c r="R114" s="13" t="n">
        <f aca="false">R112+R113</f>
        <v>39.1088628611657</v>
      </c>
      <c r="S114" s="13" t="n">
        <f aca="false">S112+S113</f>
        <v>38.7531771572321</v>
      </c>
      <c r="T114" s="13" t="n">
        <f aca="false">T112+T113</f>
        <v>39.152706854377</v>
      </c>
      <c r="U114" s="13" t="n">
        <f aca="false">U112+U113</f>
        <v>38.9134815860649</v>
      </c>
      <c r="V114" s="13" t="n">
        <f aca="false">V112+V113</f>
        <v>39.6000592177253</v>
      </c>
      <c r="W114" s="13" t="n">
        <f aca="false">W112+W113</f>
        <v>39.2661755615212</v>
      </c>
      <c r="X114" s="13" t="n">
        <f aca="false">X112+X113</f>
        <v>38.1401873901808</v>
      </c>
      <c r="Y114" s="13" t="n">
        <f aca="false">Y112+Y113</f>
        <v>37.7162344064747</v>
      </c>
      <c r="Z114" s="13" t="n">
        <f aca="false">Z112+Z113</f>
        <v>37.9877378797338</v>
      </c>
      <c r="AA114" s="13" t="n">
        <f aca="false">AA112+AA113</f>
        <v>37.622706914473</v>
      </c>
      <c r="AB114" s="13" t="n">
        <f aca="false">AB112+AB113</f>
        <v>37.3938525996838</v>
      </c>
      <c r="AC114" s="13" t="n">
        <f aca="false">AC112+AC113</f>
        <v>36.4170152920358</v>
      </c>
      <c r="AD114" s="13" t="n">
        <f aca="false">AD112+AD113</f>
        <v>36.9229791441699</v>
      </c>
      <c r="AE114" s="13" t="n">
        <f aca="false">AE112+AE113</f>
        <v>35.8825176494362</v>
      </c>
      <c r="AF114" s="13" t="n">
        <f aca="false">AF112+AF113</f>
        <v>34.7267539681148</v>
      </c>
      <c r="AG114" s="13" t="n">
        <f aca="false">AG112+AG113</f>
        <v>32.9497123045147</v>
      </c>
      <c r="AH114" s="13" t="n">
        <f aca="false">AH112+AH113</f>
        <v>31.6064681960559</v>
      </c>
      <c r="AI114" s="13" t="n">
        <f aca="false">AI112+AI113</f>
        <v>29.1957525194833</v>
      </c>
      <c r="AJ114" s="13" t="n">
        <f aca="false">AJ112+AJ113</f>
        <v>26.7729706195202</v>
      </c>
      <c r="AK114" s="13" t="n">
        <f aca="false">AK112+AK113</f>
        <v>22.9932779614692</v>
      </c>
      <c r="AL114" s="13" t="n">
        <f aca="false">AL112+AL113</f>
        <v>21.5391741287425</v>
      </c>
      <c r="AM114" s="13" t="n">
        <f aca="false">AM112+AM113</f>
        <v>21.5552079431118</v>
      </c>
      <c r="AN114" s="13" t="n">
        <f aca="false">AN112+AN113</f>
        <v>18.7004698483234</v>
      </c>
      <c r="AO114" s="13" t="n">
        <f aca="false">AO112+AO113</f>
        <v>17.9603757044177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398.828140712521</v>
      </c>
      <c r="AC115" s="13" t="n">
        <f aca="false">AC21+AC35+AC49+AC63+AC77+AC91</f>
        <v>370.135450422491</v>
      </c>
      <c r="AD115" s="13" t="n">
        <f aca="false">AD21+AD35+AD49+AD63+AD77+AD91</f>
        <v>341.397329311972</v>
      </c>
      <c r="AE115" s="13" t="n">
        <f aca="false">AE21+AE35+AE49+AE63+AE77+AE91</f>
        <v>309.668513779079</v>
      </c>
      <c r="AF115" s="13" t="n">
        <f aca="false">AF21+AF35+AF49+AF63+AF77+AF91</f>
        <v>276.849519134578</v>
      </c>
      <c r="AG115" s="13" t="n">
        <f aca="false">AG21+AG35+AG49+AG63+AG77+AG91</f>
        <v>242.970798532879</v>
      </c>
      <c r="AH115" s="13" t="n">
        <f aca="false">AH21+AH35+AH49+AH63+AH77+AH91</f>
        <v>209.062826248674</v>
      </c>
      <c r="AI115" s="13" t="n">
        <f aca="false">AI21+AI35+AI49+AI63+AI77+AI91</f>
        <v>173.654087566926</v>
      </c>
      <c r="AJ115" s="13" t="n">
        <f aca="false">AJ21+AJ35+AJ49+AJ63+AJ77+AJ91</f>
        <v>138.079160346922</v>
      </c>
      <c r="AK115" s="13" t="n">
        <f aca="false">AK21+AK35+AK49+AK63+AK77+AK91</f>
        <v>101.442238739596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398.828140712521</v>
      </c>
      <c r="AB116" s="13" t="n">
        <f aca="false">AB33+AB47+AB61+AB75+AB89+AB95</f>
        <v>370.135450422491</v>
      </c>
      <c r="AC116" s="13" t="n">
        <f aca="false">AC33+AC47+AC61+AC75+AC89+AC95</f>
        <v>341.397329311972</v>
      </c>
      <c r="AD116" s="13" t="n">
        <f aca="false">AD33+AD47+AD61+AD75+AD89+AD95</f>
        <v>309.668513779079</v>
      </c>
      <c r="AE116" s="13" t="n">
        <f aca="false">AE33+AE47+AE61+AE75+AE89+AE95</f>
        <v>276.849519134578</v>
      </c>
      <c r="AF116" s="13" t="n">
        <f aca="false">AF33+AF47+AF61+AF75+AF89+AF95</f>
        <v>242.970798532879</v>
      </c>
      <c r="AG116" s="13" t="n">
        <f aca="false">AG33+AG47+AG61+AG75+AG89+AG95</f>
        <v>209.062826248674</v>
      </c>
      <c r="AH116" s="13" t="n">
        <f aca="false">AH33+AH47+AH61+AH75+AH89+AH95</f>
        <v>173.654087566926</v>
      </c>
      <c r="AI116" s="13" t="n">
        <f aca="false">AI33+AI47+AI61+AI75+AI89+AI95</f>
        <v>138.079160346922</v>
      </c>
      <c r="AJ116" s="13" t="n">
        <f aca="false">AJ33+AJ47+AJ61+AJ75+AJ89+AJ95</f>
        <v>101.442238739596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150.803992358794</v>
      </c>
      <c r="AC118" s="13" t="n">
        <f aca="false">IF(Time!AC34=1,AC75,AC73)</f>
        <v>136.224193075572</v>
      </c>
      <c r="AD118" s="13" t="n">
        <f aca="false">IF(Time!AD34=1,AD75,AD73)</f>
        <v>121.305702835119</v>
      </c>
      <c r="AE118" s="13" t="n">
        <f aca="false">IF(Time!AE34=1,AE75,AE73)</f>
        <v>105.066941165936</v>
      </c>
      <c r="AF118" s="13" t="n">
        <f aca="false">IF(Time!AF34=1,AF75,AF73)</f>
        <v>88.4786092462029</v>
      </c>
      <c r="AG118" s="13" t="n">
        <f aca="false">IF(Time!AG34=1,AG75,AG73)</f>
        <v>71.6368823771347</v>
      </c>
      <c r="AH118" s="13" t="n">
        <f aca="false">IF(Time!AH34=1,AH75,AH73)</f>
        <v>54.8929498511555</v>
      </c>
      <c r="AI118" s="13" t="n">
        <f aca="false">IF(Time!AI34=1,AI75,AI73)</f>
        <v>37.9053272632041</v>
      </c>
      <c r="AJ118" s="13" t="n">
        <f aca="false">IF(Time!AJ34=1,AJ75,AJ73)</f>
        <v>21.551710119989</v>
      </c>
      <c r="AK118" s="13" t="n">
        <f aca="false">IF(Time!AK34=1,AK75,AK73)</f>
        <v>5.87612938403636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13.1706930161248</v>
      </c>
      <c r="Q119" s="13" t="n">
        <f aca="false">IF(AND(Time!Q20&gt;=Time!$F$12,Time!R20&gt;0),(IF(Time!Q34=1,Q33,Q31)-Q30)*R147+IF(Time!R46&gt;0,Time!R45*Q30/Time!R46,0)+IF(Time!Q34=1,Q33,Q31)*R10,0)</f>
        <v>13.028522258433</v>
      </c>
      <c r="R119" s="13" t="n">
        <f aca="false">IF(AND(Time!R20&gt;=Time!$F$12,Time!S20&gt;0),(IF(Time!R34=1,R33,R31)-R30)*S147+IF(Time!S46&gt;0,Time!S45*R30/Time!S46,0)+IF(Time!R34=1,R33,R31)*S10,0)</f>
        <v>12.7069349685281</v>
      </c>
      <c r="S119" s="13" t="n">
        <f aca="false">IF(AND(Time!S20&gt;=Time!$F$12,Time!T20&gt;0),(IF(Time!S34=1,S33,S31)-S30)*T147+IF(Time!T46&gt;0,Time!T45*S30/Time!T46,0)+IF(Time!S34=1,S33,S31)*T10,0)</f>
        <v>12.5567061045797</v>
      </c>
      <c r="T119" s="13" t="n">
        <f aca="false">IF(AND(Time!T20&gt;=Time!$F$12,Time!U20&gt;0),(IF(Time!T34=1,T33,T31)-T30)*U147+IF(Time!U46&gt;0,Time!U45*T30/Time!U46,0)+IF(Time!T34=1,T33,T31)*U10,0)</f>
        <v>12.2614737284725</v>
      </c>
      <c r="U119" s="13" t="n">
        <f aca="false">IF(AND(Time!U20&gt;=Time!$F$12,Time!V20&gt;0),(IF(Time!U34=1,U33,U31)-U30)*V147+IF(Time!V46&gt;0,Time!V45*U30/Time!V46,0)+IF(Time!U34=1,U33,U31)*V10,0)</f>
        <v>12.0759737399449</v>
      </c>
      <c r="V119" s="13" t="n">
        <f aca="false">IF(AND(Time!V20&gt;=Time!$F$12,Time!W20&gt;0),(IF(Time!V34=1,V33,V31)-V30)*W147+IF(Time!W46&gt;0,Time!W45*V30/Time!W46,0)+IF(Time!V34=1,V33,V31)*W10,0)</f>
        <v>11.7611462946271</v>
      </c>
      <c r="W119" s="13" t="n">
        <f aca="false">IF(AND(Time!W20&gt;=Time!$F$12,Time!X20&gt;0),(IF(Time!W34=1,W33,W31)-W30)*X147+IF(Time!X46&gt;0,Time!X45*W30/Time!X46,0)+IF(Time!W34=1,W33,W31)*X10,0)</f>
        <v>11.5952413753102</v>
      </c>
      <c r="X119" s="13" t="n">
        <f aca="false">IF(AND(Time!X20&gt;=Time!$F$12,Time!Y20&gt;0),(IF(Time!X34=1,X33,X31)-X30)*Y147+IF(Time!Y46&gt;0,Time!Y45*X30/Time!Y46,0)+IF(Time!X34=1,X33,X31)*Y10,0)</f>
        <v>11.2882519576766</v>
      </c>
      <c r="Y119" s="13" t="n">
        <f aca="false">IF(AND(Time!Y20&gt;=Time!$F$12,Time!Z20&gt;0),(IF(Time!Y34=1,Y33,Y31)-Y30)*Z147+IF(Time!Z46&gt;0,Time!Z45*Y30/Time!Z46,0)+IF(Time!Y34=1,Y33,Y31)*Z10,0)</f>
        <v>11.1145090106754</v>
      </c>
      <c r="Z119" s="13" t="n">
        <f aca="false">IF(AND(Time!Z20&gt;=Time!$F$12,Time!AA20&gt;0),(IF(Time!Z34=1,Z33,Z31)-Z30)*AA147+IF(Time!AA46&gt;0,Time!AA45*Z30/Time!AA46,0)+IF(Time!Z34=1,Z33,Z31)*AA10,0)</f>
        <v>10.8153576207261</v>
      </c>
      <c r="AA119" s="13" t="n">
        <f aca="false">IF(AND(Time!AA20&gt;=Time!$F$12,Time!AB20&gt;0),(IF(Time!AA34=1,AA33,AA31)-AA30)*AB147+IF(Time!AB46&gt;0,Time!AB45*AA30/Time!AB46,0)+IF(Time!AA34=1,AA33,AA31)*AB10,0)</f>
        <v>10.6337766460406</v>
      </c>
      <c r="AB119" s="13" t="n">
        <f aca="false">IF(AND(Time!AB20&gt;=Time!$F$12,Time!AC20&gt;0),(IF(Time!AB34=1,AB33,AB31)-AB30)*AC147+IF(Time!AC46&gt;0,Time!AC45*AB30/Time!AC46,0)+IF(Time!AB34=1,AB33,AB31)*AC10,0)</f>
        <v>10.3594456770915</v>
      </c>
      <c r="AC119" s="13" t="n">
        <f aca="false">IF(AND(Time!AC20&gt;=Time!$F$12,Time!AD20&gt;0),(IF(Time!AC34=1,AC33,AC31)-AC30)*AD147+IF(Time!AD46&gt;0,Time!AD45*AC30/Time!AD46,0)+IF(Time!AC34=1,AC33,AC31)*AD10,0)</f>
        <v>10.1530442814059</v>
      </c>
      <c r="AD119" s="13" t="n">
        <f aca="false">IF(AND(Time!AD20&gt;=Time!$F$12,Time!AE20&gt;0),(IF(Time!AD34=1,AD33,AD31)-AD30)*AE147+IF(Time!AE46&gt;0,Time!AE45*AD30/Time!AE46,0)+IF(Time!AD34=1,AD33,AD31)*AE10,0)</f>
        <v>9.86956894682506</v>
      </c>
      <c r="AE119" s="13" t="n">
        <f aca="false">IF(AND(Time!AE20&gt;=Time!$F$12,Time!AF20&gt;0),(IF(Time!AE34=1,AE33,AE31)-AE30)*AF147+IF(Time!AF46&gt;0,Time!AF45*AE30/Time!AF46,0)+IF(Time!AE34=1,AE33,AE31)*AF10,0)</f>
        <v>9.67231191677112</v>
      </c>
      <c r="AF119" s="13" t="n">
        <f aca="false">IF(AND(Time!AF20&gt;=Time!$F$12,Time!AG20&gt;0),(IF(Time!AF34=1,AF33,AF31)-AF30)*AG147+IF(Time!AG46&gt;0,Time!AG45*AF30/Time!AG46,0)+IF(Time!AF34=1,AF33,AF31)*AG10,0)</f>
        <v>9.39667460987456</v>
      </c>
      <c r="AG119" s="13" t="n">
        <f aca="false">IF(AND(Time!AG20&gt;=Time!$F$12,Time!AH20&gt;0),(IF(Time!AG34=1,AG33,AG31)-AG30)*AH147+IF(Time!AH46&gt;0,Time!AH45*AG30/Time!AH46,0)+IF(Time!AG34=1,AG33,AG31)*AH10,0)</f>
        <v>9.19157955213636</v>
      </c>
      <c r="AH119" s="13" t="n">
        <f aca="false">IF(AND(Time!AH20&gt;=Time!$F$12,Time!AI20&gt;0),(IF(Time!AH34=1,AH33,AH31)-AH30)*AI147+IF(Time!AI46&gt;0,Time!AI45*AH30/Time!AI46,0)+IF(Time!AH34=1,AH33,AH31)*AI10,0)</f>
        <v>8.92378027292406</v>
      </c>
      <c r="AI119" s="13" t="n">
        <f aca="false">IF(AND(Time!AI20&gt;=Time!$F$12,Time!AJ20&gt;0),(IF(Time!AI34=1,AI33,AI31)-AI30)*AJ147+IF(Time!AJ46&gt;0,Time!AJ45*AI30/Time!AJ46,0)+IF(Time!AI34=1,AI33,AI31)*AJ10,0)</f>
        <v>8.7108471875016</v>
      </c>
      <c r="AJ119" s="13" t="n">
        <f aca="false">IF(AND(Time!AJ20&gt;=Time!$F$12,Time!AK20&gt;0),(IF(Time!AJ34=1,AJ33,AJ31)-AJ30)*AK147+IF(Time!AK46&gt;0,Time!AK45*AJ30/Time!AK46,0)+IF(Time!AJ34=1,AJ33,AJ31)*AK10,0)</f>
        <v>8.45741762571045</v>
      </c>
      <c r="AK119" s="13" t="n">
        <f aca="false">IF(AND(Time!AK20&gt;=Time!$F$12,Time!AL20&gt;0),(IF(Time!AK34=1,AK33,AK31)-AK30)*AL147+IF(Time!AL46&gt;0,Time!AL45*AK30/Time!AL46,0)+IF(Time!AK34=1,AK33,AK31)*AL10,0)</f>
        <v>8.23011482286684</v>
      </c>
      <c r="AL119" s="13" t="n">
        <f aca="false">IF(AND(Time!AL20&gt;=Time!$F$12,Time!AM20&gt;0),(IF(Time!AL34=1,AL33,AL31)-AL30)*AM147+IF(Time!AM46&gt;0,Time!AM45*AL30/Time!AM46,0)+IF(Time!AL34=1,AL33,AL31)*AM10,0)</f>
        <v>7.97799159902306</v>
      </c>
      <c r="AM119" s="13" t="n">
        <f aca="false">IF(AND(Time!AM20&gt;=Time!$F$12,Time!AN20&gt;0),(IF(Time!AM34=1,AM33,AM31)-AM30)*AN147+IF(Time!AN46&gt;0,Time!AN45*AM30/Time!AN46,0)+IF(Time!AM34=1,AM33,AM31)*AN10,0)</f>
        <v>7.74938245823207</v>
      </c>
      <c r="AN119" s="13" t="n">
        <f aca="false">IF(AND(Time!AN20&gt;=Time!$F$12,Time!AO20&gt;0),(IF(Time!AN34=1,AN33,AN31)-AN30)*AO147+IF(Time!AO46&gt;0,Time!AO45*AN30/Time!AO46,0)+IF(Time!AN34=1,AN33,AN31)*AO10,0)</f>
        <v>7.50509726207256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8.80059807211187</v>
      </c>
      <c r="Q120" s="13" t="n">
        <f aca="false">IF(AND(Time!Q20&gt;=Time!$F$12,Time!R20&gt;0),(IF(Time!Q34=1,Q47,Q45)-Q44)*R19+IF(Time!R46&gt;0,Time!R45*Q44/Time!R46,0)+IF(Time!Q34=1,Q47,Q45)*R11,0)</f>
        <v>9.01131921273753</v>
      </c>
      <c r="R120" s="13" t="n">
        <f aca="false">IF(AND(Time!R20&gt;=Time!$F$12,Time!S20&gt;0),(IF(Time!R34=1,R47,R45)-R44)*S19+IF(Time!S46&gt;0,Time!S45*R44/Time!S46,0)+IF(Time!R34=1,R47,R45)*S11,0)</f>
        <v>8.93159979205077</v>
      </c>
      <c r="S120" s="13" t="n">
        <f aca="false">IF(AND(Time!S20&gt;=Time!$F$12,Time!T20&gt;0),(IF(Time!S34=1,S47,S45)-S44)*T19+IF(Time!T46&gt;0,Time!T45*S44/Time!T46,0)+IF(Time!S34=1,S47,S45)*T11,0)</f>
        <v>9.1238428465475</v>
      </c>
      <c r="T120" s="13" t="n">
        <f aca="false">IF(AND(Time!T20&gt;=Time!$F$12,Time!U20&gt;0),(IF(Time!T34=1,T47,T45)-T44)*U19+IF(Time!U46&gt;0,Time!U45*T44/Time!U46,0)+IF(Time!T34=1,T47,T45)*U11,0)</f>
        <v>9.08231603192697</v>
      </c>
      <c r="U120" s="13" t="n">
        <f aca="false">IF(AND(Time!U20&gt;=Time!$F$12,Time!V20&gt;0),(IF(Time!U34=1,U47,U45)-U44)*V19+IF(Time!V46&gt;0,Time!V45*U44/Time!V46,0)+IF(Time!U34=1,U47,U45)*V11,0)</f>
        <v>9.35678811952165</v>
      </c>
      <c r="V120" s="13" t="n">
        <f aca="false">IF(AND(Time!V20&gt;=Time!$F$12,Time!W20&gt;0),(IF(Time!V34=1,V47,V45)-V44)*W19+IF(Time!W46&gt;0,Time!W45*V44/Time!W46,0)+IF(Time!V34=1,V47,V45)*W11,0)</f>
        <v>9.27868243431578</v>
      </c>
      <c r="W120" s="13" t="n">
        <f aca="false">IF(AND(Time!W20&gt;=Time!$F$12,Time!X20&gt;0),(IF(Time!W34=1,W47,W45)-W44)*X19+IF(Time!X46&gt;0,Time!X45*W44/Time!X46,0)+IF(Time!W34=1,W47,W45)*X11,0)</f>
        <v>8.98764958334103</v>
      </c>
      <c r="X120" s="13" t="n">
        <f aca="false">IF(AND(Time!X20&gt;=Time!$F$12,Time!Y20&gt;0),(IF(Time!X34=1,X47,X45)-X44)*Y19+IF(Time!Y46&gt;0,Time!Y45*X44/Time!Y46,0)+IF(Time!X34=1,X47,X45)*Y11,0)</f>
        <v>8.71886224996815</v>
      </c>
      <c r="Y120" s="13" t="n">
        <f aca="false">IF(AND(Time!Y20&gt;=Time!$F$12,Time!Z20&gt;0),(IF(Time!Y34=1,Y47,Y45)-Y44)*Z19+IF(Time!Z46&gt;0,Time!Z45*Y44/Time!Z46,0)+IF(Time!Y34=1,Y47,Y45)*Z11,0)</f>
        <v>8.86995077098529</v>
      </c>
      <c r="Z120" s="13" t="n">
        <f aca="false">IF(AND(Time!Z20&gt;=Time!$F$12,Time!AA20&gt;0),(IF(Time!Z34=1,Z47,Z45)-Z44)*AA19+IF(Time!AA46&gt;0,Time!AA45*Z44/Time!AA46,0)+IF(Time!Z34=1,Z47,Z45)*AA11,0)</f>
        <v>8.79246811560669</v>
      </c>
      <c r="AA120" s="13" t="n">
        <f aca="false">IF(AND(Time!AA20&gt;=Time!$F$12,Time!AB20&gt;0),(IF(Time!AA34=1,AA47,AA45)-AA44)*AB19+IF(Time!AB46&gt;0,Time!AB45*AA44/Time!AB46,0)+IF(Time!AA34=1,AA47,AA45)*AB11,0)</f>
        <v>8.98142872889857</v>
      </c>
      <c r="AB120" s="13" t="n">
        <f aca="false">IF(AND(Time!AB20&gt;=Time!$F$12,Time!AC20&gt;0),(IF(Time!AB34=1,AB47,AB45)-AB44)*AC19+IF(Time!AC46&gt;0,Time!AC45*AB44/Time!AC46,0)+IF(Time!AB34=1,AB47,AB45)*AC11,0)</f>
        <v>8.95526582052487</v>
      </c>
      <c r="AC120" s="13" t="n">
        <f aca="false">IF(AND(Time!AC20&gt;=Time!$F$12,Time!AD20&gt;0),(IF(Time!AC34=1,AC47,AC45)-AC44)*AD19+IF(Time!AD46&gt;0,Time!AD45*AC44/Time!AD46,0)+IF(Time!AC34=1,AC47,AC45)*AD11,0)</f>
        <v>9.44451057409127</v>
      </c>
      <c r="AD120" s="13" t="n">
        <f aca="false">IF(AND(Time!AD20&gt;=Time!$F$12,Time!AE20&gt;0),(IF(Time!AD34=1,AD47,AD45)-AD44)*AE19+IF(Time!AE46&gt;0,Time!AE45*AD44/Time!AE46,0)+IF(Time!AD34=1,AD47,AD45)*AE11,0)</f>
        <v>9.47827926269518</v>
      </c>
      <c r="AE120" s="13" t="n">
        <f aca="false">IF(AND(Time!AE20&gt;=Time!$F$12,Time!AF20&gt;0),(IF(Time!AE34=1,AE47,AE45)-AE44)*AF19+IF(Time!AF46&gt;0,Time!AF45*AE44/Time!AF46,0)+IF(Time!AE34=1,AE47,AE45)*AF11,0)</f>
        <v>9.56051213101434</v>
      </c>
      <c r="AF120" s="13" t="n">
        <f aca="false">IF(AND(Time!AF20&gt;=Time!$F$12,Time!AG20&gt;0),(IF(Time!AF34=1,AF47,AF45)-AF44)*AG19+IF(Time!AG46&gt;0,Time!AG45*AF44/Time!AG46,0)+IF(Time!AF34=1,AF47,AF45)*AG11,0)</f>
        <v>9.38680571824075</v>
      </c>
      <c r="AG120" s="13" t="n">
        <f aca="false">IF(AND(Time!AG20&gt;=Time!$F$12,Time!AH20&gt;0),(IF(Time!AG34=1,AG47,AG45)-AG44)*AH19+IF(Time!AH46&gt;0,Time!AH45*AG44/Time!AH46,0)+IF(Time!AG34=1,AG47,AG45)*AH11,0)</f>
        <v>9.59174454417599</v>
      </c>
      <c r="AH120" s="13" t="n">
        <f aca="false">IF(AND(Time!AH20&gt;=Time!$F$12,Time!AI20&gt;0),(IF(Time!AH34=1,AH47,AH45)-AH44)*AI19+IF(Time!AI46&gt;0,Time!AI45*AH44/Time!AI46,0)+IF(Time!AH34=1,AH47,AH45)*AI11,0)</f>
        <v>9.52367911146847</v>
      </c>
      <c r="AI120" s="13" t="n">
        <f aca="false">IF(AND(Time!AI20&gt;=Time!$F$12,Time!AJ20&gt;0),(IF(Time!AI34=1,AI47,AI45)-AI44)*AJ19+IF(Time!AJ46&gt;0,Time!AJ45*AI44/Time!AJ46,0)+IF(Time!AI34=1,AI47,AI45)*AJ11,0)</f>
        <v>9.70910789618097</v>
      </c>
      <c r="AJ120" s="13" t="n">
        <f aca="false">IF(AND(Time!AJ20&gt;=Time!$F$12,Time!AK20&gt;0),(IF(Time!AJ34=1,AJ47,AJ45)-AJ44)*AK19+IF(Time!AK46&gt;0,Time!AK45*AJ44/Time!AK46,0)+IF(Time!AJ34=1,AJ47,AJ45)*AK11,0)</f>
        <v>9.68391111659132</v>
      </c>
      <c r="AK120" s="13" t="n">
        <f aca="false">IF(AND(Time!AK20&gt;=Time!$F$12,Time!AL20&gt;0),(IF(Time!AK34=1,AK47,AK45)-AK44)*AL19+IF(Time!AL46&gt;0,Time!AL45*AK44/Time!AL46,0)+IF(Time!AK34=1,AK47,AK45)*AL11,0)</f>
        <v>9.98151257640574</v>
      </c>
      <c r="AL120" s="13" t="n">
        <f aca="false">IF(AND(Time!AL20&gt;=Time!$F$12,Time!AM20&gt;0),(IF(Time!AL34=1,AL47,AL45)-AL44)*AM19+IF(Time!AM46&gt;0,Time!AM45*AL44/Time!AM46,0)+IF(Time!AL34=1,AL47,AL45)*AM11,0)</f>
        <v>9.92291682359799</v>
      </c>
      <c r="AM120" s="13" t="n">
        <f aca="false">IF(AND(Time!AM20&gt;=Time!$F$12,Time!AN20&gt;0),(IF(Time!AM34=1,AM47,AM45)-AM44)*AN19+IF(Time!AN46&gt;0,Time!AN45*AM44/Time!AN46,0)+IF(Time!AM34=1,AM47,AM45)*AN11,0)</f>
        <v>7.91274582992615</v>
      </c>
      <c r="AN120" s="13" t="n">
        <f aca="false">IF(AND(Time!AN20&gt;=Time!$F$12,Time!AO20&gt;0),(IF(Time!AN34=1,AN47,AN45)-AN44)*AO19+IF(Time!AO46&gt;0,Time!AO45*AN44/Time!AO46,0)+IF(Time!AN34=1,AN47,AN45)*AO11,0)</f>
        <v>7.37076541850031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3.92258727652882</v>
      </c>
      <c r="Q121" s="13" t="n">
        <f aca="false">IF(AND(Time!Q20&gt;=Time!$F$12,Time!R20&gt;0),(IF(Time!Q34=1,Q61,Q59)-Q58)*R19+IF(Time!R46&gt;0,Time!R45*Q58/Time!R46,0)+IF(Time!Q34=1,Q61,Q59)*R12,0)</f>
        <v>4.01871528467576</v>
      </c>
      <c r="R121" s="13" t="n">
        <f aca="false">IF(AND(Time!R20&gt;=Time!$F$12,Time!S20&gt;0),(IF(Time!R34=1,R61,R59)-R58)*S19+IF(Time!S46&gt;0,Time!S45*R58/Time!S46,0)+IF(Time!R34=1,R61,R59)*S12,0)</f>
        <v>3.98548239421127</v>
      </c>
      <c r="S121" s="13" t="n">
        <f aca="false">IF(AND(Time!S20&gt;=Time!$F$12,Time!T20&gt;0),(IF(Time!S34=1,S61,S59)-S58)*T19+IF(Time!T46&gt;0,Time!T45*S58/Time!T46,0)+IF(Time!S34=1,S61,S59)*T12,0)</f>
        <v>4.07348900667876</v>
      </c>
      <c r="T121" s="13" t="n">
        <f aca="false">IF(AND(Time!T20&gt;=Time!$F$12,Time!U20&gt;0),(IF(Time!T34=1,T61,T59)-T58)*U19+IF(Time!U46&gt;0,Time!U45*T58/Time!U46,0)+IF(Time!T34=1,T61,T59)*U12,0)</f>
        <v>4.05738780594131</v>
      </c>
      <c r="U121" s="13" t="n">
        <f aca="false">IF(AND(Time!U20&gt;=Time!$F$12,Time!V20&gt;0),(IF(Time!U34=1,U61,U59)-U58)*V19+IF(Time!V46&gt;0,Time!V45*U58/Time!V46,0)+IF(Time!U34=1,U61,U59)*V12,0)</f>
        <v>4.18346365220197</v>
      </c>
      <c r="V121" s="13" t="n">
        <f aca="false">IF(AND(Time!V20&gt;=Time!$F$12,Time!W20&gt;0),(IF(Time!V34=1,V61,V59)-V58)*W19+IF(Time!W46&gt;0,Time!W45*V58/Time!W46,0)+IF(Time!V34=1,V61,V59)*W12,0)</f>
        <v>4.15137222011417</v>
      </c>
      <c r="W121" s="13" t="n">
        <f aca="false">IF(AND(Time!W20&gt;=Time!$F$12,Time!X20&gt;0),(IF(Time!W34=1,W61,W59)-W58)*X19+IF(Time!X46&gt;0,Time!X45*W58/Time!X46,0)+IF(Time!W34=1,W61,W59)*X12,0)</f>
        <v>4.0204084212755</v>
      </c>
      <c r="X121" s="13" t="n">
        <f aca="false">IF(AND(Time!X20&gt;=Time!$F$12,Time!Y20&gt;0),(IF(Time!X34=1,X61,X59)-X58)*Y19+IF(Time!Y46&gt;0,Time!Y45*X58/Time!Y46,0)+IF(Time!X34=1,X61,X59)*Y12,0)</f>
        <v>3.90156419225061</v>
      </c>
      <c r="Y121" s="13" t="n">
        <f aca="false">IF(AND(Time!Y20&gt;=Time!$F$12,Time!Z20&gt;0),(IF(Time!Y34=1,Y61,Y59)-Y58)*Z19+IF(Time!Z46&gt;0,Time!Z45*Y58/Time!Z46,0)+IF(Time!Y34=1,Y61,Y59)*Z12,0)</f>
        <v>3.97152536031262</v>
      </c>
      <c r="Z121" s="13" t="n">
        <f aca="false">IF(AND(Time!Z20&gt;=Time!$F$12,Time!AA20&gt;0),(IF(Time!Z34=1,Z61,Z59)-Z58)*AA19+IF(Time!AA46&gt;0,Time!AA45*Z58/Time!AA46,0)+IF(Time!Z34=1,Z61,Z59)*AA12,0)</f>
        <v>3.93969884358685</v>
      </c>
      <c r="AA121" s="13" t="n">
        <f aca="false">IF(AND(Time!AA20&gt;=Time!$F$12,Time!AB20&gt;0),(IF(Time!AA34=1,AA61,AA59)-AA58)*AB19+IF(Time!AB46&gt;0,Time!AB45*AA58/Time!AB46,0)+IF(Time!AA34=1,AA61,AA59)*AB12,0)</f>
        <v>4.02720454018777</v>
      </c>
      <c r="AB121" s="13" t="n">
        <f aca="false">IF(AND(Time!AB20&gt;=Time!$F$12,Time!AC20&gt;0),(IF(Time!AB34=1,AB61,AB59)-AB58)*AC19+IF(Time!AC46&gt;0,Time!AC45*AB58/Time!AC46,0)+IF(Time!AB34=1,AB61,AB59)*AC12,0)</f>
        <v>4.01862256928662</v>
      </c>
      <c r="AC121" s="13" t="n">
        <f aca="false">IF(AND(Time!AC20&gt;=Time!$F$12,Time!AD20&gt;0),(IF(Time!AC34=1,AC61,AC59)-AC58)*AD19+IF(Time!AD46&gt;0,Time!AD45*AC58/Time!AD46,0)+IF(Time!AC34=1,AC61,AC59)*AD12,0)</f>
        <v>4.24330817344199</v>
      </c>
      <c r="AD121" s="13" t="n">
        <f aca="false">IF(AND(Time!AD20&gt;=Time!$F$12,Time!AE20&gt;0),(IF(Time!AD34=1,AD61,AD59)-AD58)*AE19+IF(Time!AE46&gt;0,Time!AE45*AD58/Time!AE46,0)+IF(Time!AD34=1,AD61,AD59)*AE12,0)</f>
        <v>4.26267381909094</v>
      </c>
      <c r="AE121" s="13" t="n">
        <f aca="false">IF(AND(Time!AE20&gt;=Time!$F$12,Time!AF20&gt;0),(IF(Time!AE34=1,AE61,AE59)-AE58)*AF19+IF(Time!AF46&gt;0,Time!AF45*AE58/Time!AF46,0)+IF(Time!AE34=1,AE61,AE59)*AF12,0)</f>
        <v>4.3027555159377</v>
      </c>
      <c r="AF121" s="13" t="n">
        <f aca="false">IF(AND(Time!AF20&gt;=Time!$F$12,Time!AG20&gt;0),(IF(Time!AF34=1,AF61,AF59)-AF58)*AG19+IF(Time!AG46&gt;0,Time!AG45*AF58/Time!AG46,0)+IF(Time!AF34=1,AF61,AF59)*AG12,0)</f>
        <v>4.22806729958805</v>
      </c>
      <c r="AG121" s="13" t="n">
        <f aca="false">IF(AND(Time!AG20&gt;=Time!$F$12,Time!AH20&gt;0),(IF(Time!AG34=1,AG61,AG59)-AG58)*AH19+IF(Time!AH46&gt;0,Time!AH45*AG58/Time!AH46,0)+IF(Time!AG34=1,AG61,AG59)*AH12,0)</f>
        <v>4.32429939954888</v>
      </c>
      <c r="AH121" s="13" t="n">
        <f aca="false">IF(AND(Time!AH20&gt;=Time!$F$12,Time!AI20&gt;0),(IF(Time!AH34=1,AH61,AH59)-AH58)*AI19+IF(Time!AI46&gt;0,Time!AI45*AH58/Time!AI46,0)+IF(Time!AH34=1,AH61,AH59)*AI12,0)</f>
        <v>4.29785183172668</v>
      </c>
      <c r="AI121" s="13" t="n">
        <f aca="false">IF(AND(Time!AI20&gt;=Time!$F$12,Time!AJ20&gt;0),(IF(Time!AI34=1,AI61,AI59)-AI58)*AJ19+IF(Time!AJ46&gt;0,Time!AJ45*AI58/Time!AJ46,0)+IF(Time!AI34=1,AI61,AI59)*AJ12,0)</f>
        <v>4.38575997926157</v>
      </c>
      <c r="AJ121" s="13" t="n">
        <f aca="false">IF(AND(Time!AJ20&gt;=Time!$F$12,Time!AK20&gt;0),(IF(Time!AJ34=1,AJ61,AJ59)-AJ58)*AK19+IF(Time!AK46&gt;0,Time!AK45*AJ58/Time!AK46,0)+IF(Time!AJ34=1,AJ61,AJ59)*AK12,0)</f>
        <v>4.37896534500259</v>
      </c>
      <c r="AK121" s="13" t="n">
        <f aca="false">IF(AND(Time!AK20&gt;=Time!$F$12,Time!AL20&gt;0),(IF(Time!AK34=1,AK61,AK59)-AK58)*AL19+IF(Time!AL46&gt;0,Time!AL45*AK58/Time!AL46,0)+IF(Time!AK34=1,AK61,AK59)*AL12,0)</f>
        <v>4.51858998881862</v>
      </c>
      <c r="AL121" s="13" t="n">
        <f aca="false">IF(AND(Time!AL20&gt;=Time!$F$12,Time!AM20&gt;0),(IF(Time!AL34=1,AL61,AL59)-AL58)*AM19+IF(Time!AM46&gt;0,Time!AM45*AL58/Time!AM46,0)+IF(Time!AL34=1,AL61,AL59)*AM12,0)</f>
        <v>4.49714535433306</v>
      </c>
      <c r="AM121" s="13" t="n">
        <f aca="false">IF(AND(Time!AM20&gt;=Time!$F$12,Time!AN20&gt;0),(IF(Time!AM34=1,AM61,AM59)-AM58)*AN19+IF(Time!AN46&gt;0,Time!AN45*AM58/Time!AN46,0)+IF(Time!AM34=1,AM61,AM59)*AN12,0)</f>
        <v>3.58837972649182</v>
      </c>
      <c r="AN121" s="13" t="n">
        <f aca="false">IF(AND(Time!AN20&gt;=Time!$F$12,Time!AO20&gt;0),(IF(Time!AN34=1,AN61,AN59)-AN58)*AO19+IF(Time!AO46&gt;0,Time!AO45*AN58/Time!AO46,0)+IF(Time!AN34=1,AN61,AN59)*AO12,0)</f>
        <v>3.34631456152799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16.9407531831745</v>
      </c>
      <c r="Q122" s="13" t="n">
        <f aca="false">IF(AND(Time!Q20&gt;=Time!$F$12,Time!R20&gt;0),(IF(Time!Q34=1,Q75,Q73)-Q72)*R19+IF(Time!R46&gt;0,Time!R45*Q72/Time!R46,0)+IF(Time!Q34=1,Q75,Q73)*R13,0)</f>
        <v>17.2969848644427</v>
      </c>
      <c r="R122" s="13" t="n">
        <f aca="false">IF(AND(Time!R20&gt;=Time!$F$12,Time!S20&gt;0),(IF(Time!R34=1,R75,R73)-R72)*S19+IF(Time!S46&gt;0,Time!S45*R72/Time!S46,0)+IF(Time!R34=1,R75,R73)*S13,0)</f>
        <v>17.0932872470488</v>
      </c>
      <c r="S122" s="13" t="n">
        <f aca="false">IF(AND(Time!S20&gt;=Time!$F$12,Time!T20&gt;0),(IF(Time!S34=1,S75,S73)-S72)*T19+IF(Time!T46&gt;0,Time!T45*S72/Time!T46,0)+IF(Time!S34=1,S75,S73)*T13,0)</f>
        <v>17.4113719366186</v>
      </c>
      <c r="T122" s="13" t="n">
        <f aca="false">IF(AND(Time!T20&gt;=Time!$F$12,Time!U20&gt;0),(IF(Time!T34=1,T75,T73)-T72)*U19+IF(Time!U46&gt;0,Time!U45*T72/Time!U46,0)+IF(Time!T34=1,T75,T73)*U13,0)</f>
        <v>17.2774601603339</v>
      </c>
      <c r="U122" s="13" t="n">
        <f aca="false">IF(AND(Time!U20&gt;=Time!$F$12,Time!V20&gt;0),(IF(Time!U34=1,U75,U73)-U72)*V19+IF(Time!V46&gt;0,Time!V45*U72/Time!V46,0)+IF(Time!U34=1,U75,U73)*V13,0)</f>
        <v>17.7220590423937</v>
      </c>
      <c r="V122" s="13" t="n">
        <f aca="false">IF(AND(Time!V20&gt;=Time!$F$12,Time!W20&gt;0),(IF(Time!V34=1,V75,V73)-V72)*W19+IF(Time!W46&gt;0,Time!W45*V72/Time!W46,0)+IF(Time!V34=1,V75,V73)*W13,0)</f>
        <v>17.5106999977693</v>
      </c>
      <c r="W122" s="13" t="n">
        <f aca="false">IF(AND(Time!W20&gt;=Time!$F$12,Time!X20&gt;0),(IF(Time!W34=1,W75,W73)-W72)*X19+IF(Time!X46&gt;0,Time!X45*W72/Time!X46,0)+IF(Time!W34=1,W75,W73)*X13,0)</f>
        <v>16.9783371140194</v>
      </c>
      <c r="X122" s="13" t="n">
        <f aca="false">IF(AND(Time!X20&gt;=Time!$F$12,Time!Y20&gt;0),(IF(Time!X34=1,X75,X73)-X72)*Y19+IF(Time!Y46&gt;0,Time!Y45*X72/Time!Y46,0)+IF(Time!X34=1,X75,X73)*Y13,0)</f>
        <v>16.9591944361406</v>
      </c>
      <c r="Y122" s="13" t="n">
        <f aca="false">IF(AND(Time!Y20&gt;=Time!$F$12,Time!Z20&gt;0),(IF(Time!Y34=1,Y75,Y73)-Y72)*Z19+IF(Time!Z46&gt;0,Time!Z45*Y72/Time!Z46,0)+IF(Time!Y34=1,Y75,Y73)*Z13,0)</f>
        <v>17.1805289000421</v>
      </c>
      <c r="Z122" s="13" t="n">
        <f aca="false">IF(AND(Time!Z20&gt;=Time!$F$12,Time!AA20&gt;0),(IF(Time!Z34=1,Z75,Z73)-Z72)*AA19+IF(Time!AA46&gt;0,Time!AA45*Z72/Time!AA46,0)+IF(Time!Z34=1,Z75,Z73)*AA13,0)</f>
        <v>16.9420047615867</v>
      </c>
      <c r="AA122" s="13" t="n">
        <f aca="false">IF(AND(Time!AA20&gt;=Time!$F$12,Time!AB20&gt;0),(IF(Time!AA34=1,AA75,AA73)-AA72)*AB19+IF(Time!AB46&gt;0,Time!AB45*AA72/Time!AB46,0)+IF(Time!AA34=1,AA75,AA73)*AB13,0)</f>
        <v>17.2185739937428</v>
      </c>
      <c r="AB122" s="13" t="n">
        <f aca="false">IF(AND(Time!AB20&gt;=Time!$F$12,Time!AC20&gt;0),(IF(Time!AB34=1,AB75,AB73)-AB72)*AC19+IF(Time!AC46&gt;0,Time!AC45*AB72/Time!AC46,0)+IF(Time!AB34=1,AB75,AB73)*AC13,0)</f>
        <v>16.4814064963171</v>
      </c>
      <c r="AC122" s="13" t="n">
        <f aca="false">IF(AND(Time!AC20&gt;=Time!$F$12,Time!AD20&gt;0),(IF(Time!AC34=1,AC75,AC73)-AC72)*AD19+IF(Time!AD46&gt;0,Time!AD45*AC72/Time!AD46,0)+IF(Time!AC34=1,AC75,AC73)*AD13,0)</f>
        <v>16.4634117644372</v>
      </c>
      <c r="AD122" s="13" t="n">
        <f aca="false">IF(AND(Time!AD20&gt;=Time!$F$12,Time!AE20&gt;0),(IF(Time!AD34=1,AD75,AD73)-AD72)*AE19+IF(Time!AE46&gt;0,Time!AE45*AD72/Time!AE46,0)+IF(Time!AD34=1,AD75,AD73)*AE13,0)</f>
        <v>15.6329274258733</v>
      </c>
      <c r="AE122" s="13" t="n">
        <f aca="false">IF(AND(Time!AE20&gt;=Time!$F$12,Time!AF20&gt;0),(IF(Time!AE34=1,AE75,AE73)-AE72)*AF19+IF(Time!AF46&gt;0,Time!AF45*AE72/Time!AF46,0)+IF(Time!AE34=1,AE75,AE73)*AF13,0)</f>
        <v>14.6795388602331</v>
      </c>
      <c r="AF122" s="13" t="n">
        <f aca="false">IF(AND(Time!AF20&gt;=Time!$F$12,Time!AG20&gt;0),(IF(Time!AF34=1,AF75,AF73)-AF72)*AG19+IF(Time!AG46&gt;0,Time!AG45*AF72/Time!AG46,0)+IF(Time!AF34=1,AF75,AF73)*AG13,0)</f>
        <v>13.4234135980412</v>
      </c>
      <c r="AG122" s="13" t="n">
        <f aca="false">IF(AND(Time!AG20&gt;=Time!$F$12,Time!AH20&gt;0),(IF(Time!AG34=1,AG75,AG73)-AG72)*AH19+IF(Time!AH46&gt;0,Time!AH45*AG72/Time!AH46,0)+IF(Time!AG34=1,AG75,AG73)*AH13,0)</f>
        <v>12.1618660308573</v>
      </c>
      <c r="AH122" s="13" t="n">
        <f aca="false">IF(AND(Time!AH20&gt;=Time!$F$12,Time!AI20&gt;0),(IF(Time!AH34=1,AH75,AH73)-AH72)*AI19+IF(Time!AI46&gt;0,Time!AI45*AH72/Time!AI46,0)+IF(Time!AH34=1,AH75,AH73)*AI13,0)</f>
        <v>10.3197291735921</v>
      </c>
      <c r="AI122" s="13" t="n">
        <f aca="false">IF(AND(Time!AI20&gt;=Time!$F$12,Time!AJ20&gt;0),(IF(Time!AI34=1,AI75,AI73)-AI72)*AJ19+IF(Time!AJ46&gt;0,Time!AJ45*AI72/Time!AJ46,0)+IF(Time!AI34=1,AI75,AI73)*AJ13,0)</f>
        <v>8.28199647454815</v>
      </c>
      <c r="AJ122" s="13" t="n">
        <f aca="false">IF(AND(Time!AJ20&gt;=Time!$F$12,Time!AK20&gt;0),(IF(Time!AJ34=1,AJ75,AJ73)-AJ72)*AK19+IF(Time!AK46&gt;0,Time!AK45*AJ72/Time!AK46,0)+IF(Time!AJ34=1,AJ75,AJ73)*AK13,0)</f>
        <v>5.53761149295467</v>
      </c>
      <c r="AK122" s="13" t="n">
        <f aca="false">IF(AND(Time!AK20&gt;=Time!$F$12,Time!AL20&gt;0),(IF(Time!AK34=1,AK75,AK73)-AK72)*AL19+IF(Time!AL46&gt;0,Time!AL45*AK72/Time!AL46,0)+IF(Time!AK34=1,AK75,AK73)*AL13,0)</f>
        <v>1.92292735016983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1.13000821934365E-012</v>
      </c>
      <c r="Q123" s="13" t="n">
        <f aca="false">IF(AND(Time!Q20&gt;=Time!$F$12,Time!R20&gt;0),(IF(Time!Q34=1,Q89,Q87)-Q86)*R19+IF(Time!R46&gt;0,Time!R45*Q86/Time!R46,0)+IF(Time!Q34=1,Q89,Q87)*R14,0)</f>
        <v>1.15443253605675E-012</v>
      </c>
      <c r="R123" s="13" t="n">
        <f aca="false">IF(AND(Time!R20&gt;=Time!$F$12,Time!S20&gt;0),(IF(Time!R34=1,R89,R87)-R86)*S19+IF(Time!S46&gt;0,Time!S45*R86/Time!S46,0)+IF(Time!R34=1,R89,R87)*S14,0)</f>
        <v>1.14150340284217E-012</v>
      </c>
      <c r="S123" s="13" t="n">
        <f aca="false">IF(AND(Time!S20&gt;=Time!$F$12,Time!T20&gt;0),(IF(Time!S34=1,S89,S87)-S86)*T19+IF(Time!T46&gt;0,Time!T45*S86/Time!T46,0)+IF(Time!S34=1,S89,S87)*T14,0)</f>
        <v>1.16341787402443E-012</v>
      </c>
      <c r="T123" s="13" t="n">
        <f aca="false">IF(AND(Time!T20&gt;=Time!$F$12,Time!U20&gt;0),(IF(Time!T34=1,T89,T87)-T86)*U19+IF(Time!U46&gt;0,Time!U45*T86/Time!U46,0)+IF(Time!T34=1,T89,T87)*U14,0)</f>
        <v>1.15520984939486E-012</v>
      </c>
      <c r="U123" s="13" t="n">
        <f aca="false">IF(AND(Time!U20&gt;=Time!$F$12,Time!V20&gt;0),(IF(Time!U34=1,U89,U87)-U86)*V19+IF(Time!V46&gt;0,Time!V45*U86/Time!V46,0)+IF(Time!U34=1,U89,U87)*V14,0)</f>
        <v>1.18598947796122E-012</v>
      </c>
      <c r="V123" s="13" t="n">
        <f aca="false">IF(AND(Time!V20&gt;=Time!$F$12,Time!W20&gt;0),(IF(Time!V34=1,V89,V87)-V86)*W19+IF(Time!W46&gt;0,Time!W45*V86/Time!W46,0)+IF(Time!V34=1,V89,V87)*W14,0)</f>
        <v>1.17270991143404E-012</v>
      </c>
      <c r="W123" s="13" t="n">
        <f aca="false">IF(AND(Time!W20&gt;=Time!$F$12,Time!X20&gt;0),(IF(Time!W34=1,W89,W87)-W86)*X19+IF(Time!X46&gt;0,Time!X45*W86/Time!X46,0)+IF(Time!W34=1,W89,W87)*X14,0)</f>
        <v>1.13682607269811E-012</v>
      </c>
      <c r="X123" s="13" t="n">
        <f aca="false">IF(AND(Time!X20&gt;=Time!$F$12,Time!Y20&gt;0),(IF(Time!X34=1,X89,X87)-X86)*Y19+IF(Time!Y46&gt;0,Time!Y45*X86/Time!Y46,0)+IF(Time!X34=1,X89,X87)*Y14,0)</f>
        <v>1.12244839216243E-012</v>
      </c>
      <c r="Y123" s="13" t="n">
        <f aca="false">IF(AND(Time!Y20&gt;=Time!$F$12,Time!Z20&gt;0),(IF(Time!Y34=1,Y89,Y87)-Y86)*Z19+IF(Time!Z46&gt;0,Time!Z45*Y86/Time!Z46,0)+IF(Time!Y34=1,Y89,Y87)*Z14,0)</f>
        <v>1.13827846169317E-012</v>
      </c>
      <c r="Z123" s="13" t="n">
        <f aca="false">IF(AND(Time!Z20&gt;=Time!$F$12,Time!AA20&gt;0),(IF(Time!Z34=1,Z89,Z87)-Z86)*AA19+IF(Time!AA46&gt;0,Time!AA45*Z86/Time!AA46,0)+IF(Time!Z34=1,Z89,Z87)*AA14,0)</f>
        <v>1.12392110574359E-012</v>
      </c>
      <c r="AA123" s="13" t="n">
        <f aca="false">IF(AND(Time!AA20&gt;=Time!$F$12,Time!AB20&gt;0),(IF(Time!AA34=1,AA89,AA87)-AA86)*AB19+IF(Time!AB46&gt;0,Time!AB45*AA86/Time!AB46,0)+IF(Time!AA34=1,AA89,AA87)*AB14,0)</f>
        <v>1.14370692458866E-012</v>
      </c>
      <c r="AB123" s="13" t="n">
        <f aca="false">IF(AND(Time!AB20&gt;=Time!$F$12,Time!AC20&gt;0),(IF(Time!AB34=1,AB89,AB87)-AB86)*AC19+IF(Time!AC46&gt;0,Time!AC45*AB86/Time!AC46,0)+IF(Time!AB34=1,AB89,AB87)*AC14,0)</f>
        <v>1.13552564232479E-012</v>
      </c>
      <c r="AC123" s="13" t="n">
        <f aca="false">IF(AND(Time!AC20&gt;=Time!$F$12,Time!AD20&gt;0),(IF(Time!AC34=1,AC89,AC87)-AC86)*AD19+IF(Time!AD46&gt;0,Time!AD45*AC86/Time!AD46,0)+IF(Time!AC34=1,AC89,AC87)*AD14,0)</f>
        <v>1.18964666489141E-012</v>
      </c>
      <c r="AD123" s="13" t="n">
        <f aca="false">IF(AND(Time!AD20&gt;=Time!$F$12,Time!AE20&gt;0),(IF(Time!AD34=1,AD89,AD87)-AD86)*AE19+IF(Time!AE46&gt;0,Time!AE45*AD86/Time!AE46,0)+IF(Time!AD34=1,AD89,AD87)*AE14,0)</f>
        <v>1.18744212400522E-012</v>
      </c>
      <c r="AE123" s="13" t="n">
        <f aca="false">IF(AND(Time!AE20&gt;=Time!$F$12,Time!AF20&gt;0),(IF(Time!AE34=1,AE89,AE87)-AE86)*AF19+IF(Time!AF46&gt;0,Time!AF45*AE86/Time!AF46,0)+IF(Time!AE34=1,AE89,AE87)*AF14,0)</f>
        <v>1.19297197851467E-012</v>
      </c>
      <c r="AF123" s="13" t="n">
        <f aca="false">IF(AND(Time!AF20&gt;=Time!$F$12,Time!AG20&gt;0),(IF(Time!AF34=1,AF89,AF87)-AF86)*AG19+IF(Time!AG46&gt;0,Time!AG45*AF86/Time!AG46,0)+IF(Time!AF34=1,AF89,AF87)*AG14,0)</f>
        <v>1.17929077278224E-012</v>
      </c>
      <c r="AG123" s="13" t="n">
        <f aca="false">IF(AND(Time!AG20&gt;=Time!$F$12,Time!AH20&gt;0),(IF(Time!AG34=1,AG89,AG87)-AG86)*AH19+IF(Time!AH46&gt;0,Time!AH45*AG86/Time!AH46,0)+IF(Time!AG34=1,AG89,AG87)*AH14,0)</f>
        <v>1.19764185396893E-012</v>
      </c>
      <c r="AH123" s="13" t="n">
        <f aca="false">IF(AND(Time!AH20&gt;=Time!$F$12,Time!AI20&gt;0),(IF(Time!AH34=1,AH89,AH87)-AH86)*AI19+IF(Time!AI46&gt;0,Time!AI45*AH86/Time!AI46,0)+IF(Time!AH34=1,AH89,AH87)*AI14,0)</f>
        <v>1.18115021032171E-012</v>
      </c>
      <c r="AI123" s="13" t="n">
        <f aca="false">IF(AND(Time!AI20&gt;=Time!$F$12,Time!AJ20&gt;0),(IF(Time!AI34=1,AI89,AI87)-AI86)*AJ19+IF(Time!AJ46&gt;0,Time!AJ45*AI86/Time!AJ46,0)+IF(Time!AI34=1,AI89,AI87)*AJ14,0)</f>
        <v>1.19617544783403E-012</v>
      </c>
      <c r="AJ123" s="13" t="n">
        <f aca="false">IF(AND(Time!AJ20&gt;=Time!$F$12,Time!AK20&gt;0),(IF(Time!AJ34=1,AJ89,AJ87)-AJ86)*AK19+IF(Time!AK46&gt;0,Time!AK45*AJ86/Time!AK46,0)+IF(Time!AJ34=1,AJ89,AJ87)*AK14,0)</f>
        <v>1.18442131405232E-012</v>
      </c>
      <c r="AK123" s="13" t="n">
        <f aca="false">IF(AND(Time!AK20&gt;=Time!$F$12,Time!AL20&gt;0),(IF(Time!AK34=1,AK89,AK87)-AK86)*AL19+IF(Time!AL46&gt;0,Time!AL45*AK86/Time!AL46,0)+IF(Time!AK34=1,AK89,AK87)*AL14,0)</f>
        <v>1.21129340944663E-012</v>
      </c>
      <c r="AL123" s="13" t="n">
        <f aca="false">IF(AND(Time!AL20&gt;=Time!$F$12,Time!AM20&gt;0),(IF(Time!AL34=1,AL89,AL87)-AL86)*AM19+IF(Time!AM46&gt;0,Time!AM45*AL86/Time!AM46,0)+IF(Time!AL34=1,AL89,AL87)*AM14,0)</f>
        <v>1.19460071732129E-012</v>
      </c>
      <c r="AM123" s="13" t="n">
        <f aca="false">IF(AND(Time!AM20&gt;=Time!$F$12,Time!AN20&gt;0),(IF(Time!AM34=1,AM89,AM87)-AM86)*AN19+IF(Time!AN46&gt;0,Time!AN45*AM86/Time!AN46,0)+IF(Time!AM34=1,AM89,AM87)*AN14,0)</f>
        <v>9.48338590554605E-013</v>
      </c>
      <c r="AN123" s="13" t="n">
        <f aca="false">IF(AND(Time!AN20&gt;=Time!$F$12,Time!AO20&gt;0),(IF(Time!AN34=1,AN89,AN87)-AN86)*AO19+IF(Time!AO46&gt;0,Time!AO45*AN86/Time!AO46,0)+IF(Time!AN34=1,AN89,AN87)*AO14,0)</f>
        <v>8.76368782290554E-013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38.6549364939471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39.1088628611657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38.7531771572321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39.152706854377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38.913481586065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39.6000592177253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39.2661755615212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38.1401873901808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37.7162344064747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37.9877378797338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37.622706914473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38.0184062155752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37.1836819729114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37.7291498840575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36.9240462684252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35.9471127721361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34.4170104716727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33.3282124300808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31.3739250452594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29.50998788587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26.7180161366836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23.4927603852108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21.5552079431118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18.7004698483234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17.9603757044177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0.0419056745346821</v>
      </c>
      <c r="R127" s="16" t="n">
        <f aca="false">IF(Time!R53=1,(Inputs!$F$76*R11+Inputs!$F$77*R12+Inputs!$F$78*(R13+(Inputs!$F$95/100*Inputs!$F$96/100)*Time!R25/Inputs!$F$248))/(1-Inputs!$F$75)+R148,0)</f>
        <v>0.0424048625104839</v>
      </c>
      <c r="S127" s="16" t="n">
        <f aca="false">IF(Time!S53=1,(Inputs!$F$76*S11+Inputs!$F$77*S12+Inputs!$F$78*(S13+(Inputs!$F$95/100*Inputs!$F$96/100)*Time!S25/Inputs!$F$248))/(1-Inputs!$F$75)+S148,0)</f>
        <v>0.0419187627181219</v>
      </c>
      <c r="T127" s="16" t="n">
        <f aca="false">IF(Time!T53=1,(Inputs!$F$76*T11+Inputs!$F$77*T12+Inputs!$F$78*(T13+(Inputs!$F$95/100*Inputs!$F$96/100)*Time!T25/Inputs!$F$248))/(1-Inputs!$F$75)+T148,0)</f>
        <v>0.0424181676251409</v>
      </c>
      <c r="U127" s="16" t="n">
        <f aca="false">IF(Time!U53=1,(Inputs!$F$76*U11+Inputs!$F$77*U12+Inputs!$F$78*(U13+(Inputs!$F$95/100*Inputs!$F$96/100)*Time!U25/Inputs!$F$248))/(1-Inputs!$F$75)+U148,0)</f>
        <v>0.0420852310204616</v>
      </c>
      <c r="V127" s="16" t="n">
        <f aca="false">IF(Time!V53=1,(Inputs!$F$76*V11+Inputs!$F$77*V12+Inputs!$F$78*(V13+(Inputs!$F$95/100*Inputs!$F$96/100)*Time!V25/Inputs!$F$248))/(1-Inputs!$F$75)+V148,0)</f>
        <v>0.0424181676251409</v>
      </c>
      <c r="W127" s="16" t="n">
        <f aca="false">IF(Time!W53=1,(Inputs!$F$76*W11+Inputs!$F$77*W12+Inputs!$F$78*(W13+(Inputs!$F$95/100*Inputs!$F$96/100)*Time!W25/Inputs!$F$248))/(1-Inputs!$F$75)+W148,0)</f>
        <v>0.0419187627181219</v>
      </c>
      <c r="X127" s="16" t="n">
        <f aca="false">IF(Time!X53=1,(Inputs!$F$76*X11+Inputs!$F$77*X12+Inputs!$F$78*(X13+(Inputs!$F$95/100*Inputs!$F$96/100)*Time!X25/Inputs!$F$248))/(1-Inputs!$F$75)+X148,0)</f>
        <v>0.0424181676251409</v>
      </c>
      <c r="Y127" s="16" t="n">
        <f aca="false">IF(Time!Y53=1,(Inputs!$F$76*Y11+Inputs!$F$77*Y12+Inputs!$F$78*(Y13+(Inputs!$F$95/100*Inputs!$F$96/100)*Time!Y25/Inputs!$F$248))/(1-Inputs!$F$75)+Y148,0)</f>
        <v>0.0434350766511025</v>
      </c>
      <c r="Z127" s="16" t="n">
        <f aca="false">IF(Time!Z53=1,(Inputs!$F$76*Z11+Inputs!$F$77*Z12+Inputs!$F$78*(Z13+(Inputs!$F$95/100*Inputs!$F$96/100)*Time!Z25/Inputs!$F$248))/(1-Inputs!$F$75)+Z148,0)</f>
        <v>0.0439596138332538</v>
      </c>
      <c r="AA127" s="16" t="n">
        <f aca="false">IF(Time!AA53=1,(Inputs!$F$76*AA11+Inputs!$F$77*AA12+Inputs!$F$78*(AA13+(Inputs!$F$95/100*Inputs!$F$96/100)*Time!AA25/Inputs!$F$248))/(1-Inputs!$F$75)+AA148,0)</f>
        <v>0.0434350766511025</v>
      </c>
      <c r="AB127" s="16" t="n">
        <f aca="false">IF(Time!AB53=1,(Inputs!$F$76*AB11+Inputs!$F$77*AB12+Inputs!$F$78*(AB13+(Inputs!$F$95/100*Inputs!$F$96/100)*Time!AB25/Inputs!$F$248))/(1-Inputs!$F$75)+AB148,0)</f>
        <v>0.0439596138332538</v>
      </c>
      <c r="AC127" s="16" t="n">
        <f aca="false">IF(Time!AC53=1,(Inputs!$F$76*AC11+Inputs!$F$77*AC12+Inputs!$F$78*(AC13+(Inputs!$F$95/100*Inputs!$F$96/100)*Time!AC25/Inputs!$F$248))/(1-Inputs!$F$75)+AC148,0)</f>
        <v>0.0436099223784863</v>
      </c>
      <c r="AD127" s="16" t="n">
        <f aca="false">IF(Time!AD53=1,(Inputs!$F$76*AD11+Inputs!$F$77*AD12+Inputs!$F$78*(AD13+(Inputs!$F$95/100*Inputs!$F$96/100)*Time!AD25/Inputs!$F$248))/(1-Inputs!$F$75)+AD148,0)</f>
        <v>0.0439596138332538</v>
      </c>
      <c r="AE127" s="16" t="n">
        <f aca="false">IF(Time!AE53=1,(Inputs!$F$76*AE11+Inputs!$F$77*AE12+Inputs!$F$78*(AE13+(Inputs!$F$95/100*Inputs!$F$96/100)*Time!AE25/Inputs!$F$248))/(1-Inputs!$F$75)+AE148,0)</f>
        <v>0.0434350766511025</v>
      </c>
      <c r="AF127" s="16" t="n">
        <f aca="false">IF(Time!AF53=1,(Inputs!$F$76*AF11+Inputs!$F$77*AF12+Inputs!$F$78*(AF13+(Inputs!$F$95/100*Inputs!$F$96/100)*Time!AF25/Inputs!$F$248))/(1-Inputs!$F$75)+AF148,0)</f>
        <v>0.0439596138332538</v>
      </c>
      <c r="AG127" s="16" t="n">
        <f aca="false">IF(Time!AG53=1,(Inputs!$F$76*AG11+Inputs!$F$77*AG12+Inputs!$F$78*(AG13+(Inputs!$F$95/100*Inputs!$F$96/100)*Time!AG25/Inputs!$F$248))/(1-Inputs!$F$75)+AG148,0)</f>
        <v>0.0449513905840831</v>
      </c>
      <c r="AH127" s="16" t="n">
        <f aca="false">IF(Time!AH53=1,(Inputs!$F$76*AH11+Inputs!$F$77*AH12+Inputs!$F$78*(AH13+(Inputs!$F$95/100*Inputs!$F$96/100)*Time!AH25/Inputs!$F$248))/(1-Inputs!$F$75)+AH148,0)</f>
        <v>0.0455010600413667</v>
      </c>
      <c r="AI127" s="16" t="n">
        <f aca="false">IF(Time!AI53=1,(Inputs!$F$76*AI11+Inputs!$F$77*AI12+Inputs!$F$78*(AI13+(Inputs!$F$95/100*Inputs!$F$96/100)*Time!AI25/Inputs!$F$248))/(1-Inputs!$F$75)+AI148,0)</f>
        <v>0.0449513905840831</v>
      </c>
      <c r="AJ127" s="16" t="n">
        <f aca="false">IF(Time!AJ53=1,(Inputs!$F$76*AJ11+Inputs!$F$77*AJ12+Inputs!$F$78*(AJ13+(Inputs!$F$95/100*Inputs!$F$96/100)*Time!AJ25/Inputs!$F$248))/(1-Inputs!$F$75)+AJ148,0)</f>
        <v>0.0455010600413667</v>
      </c>
      <c r="AK127" s="16" t="n">
        <f aca="false">IF(Time!AK53=1,(Inputs!$F$76*AK11+Inputs!$F$77*AK12+Inputs!$F$78*(AK13+(Inputs!$F$95/100*Inputs!$F$96/100)*Time!AK25/Inputs!$F$248))/(1-Inputs!$F$75)+AK148,0)</f>
        <v>0.0451346137365109</v>
      </c>
      <c r="AL127" s="16" t="n">
        <f aca="false">IF(Time!AL53=1,(Inputs!$F$76*AL11+Inputs!$F$77*AL12+Inputs!$F$78*(AL13+(Inputs!$F$95/100*Inputs!$F$96/100)*Time!AL25/Inputs!$F$248))/(1-Inputs!$F$75)+AL148,0)</f>
        <v>0.0455010600413667</v>
      </c>
      <c r="AM127" s="16" t="n">
        <f aca="false">IF(Time!AM53=1,(Inputs!$F$76*AM11+Inputs!$F$77*AM12+Inputs!$F$78*(AM13+(Inputs!$F$95/100*Inputs!$F$96/100)*Time!AM25/Inputs!$F$248))/(1-Inputs!$F$75)+AM148,0)</f>
        <v>0.0449513905840831</v>
      </c>
      <c r="AN127" s="16" t="n">
        <f aca="false">IF(Time!AN53=1,(Inputs!$F$76*AN11+Inputs!$F$77*AN12+Inputs!$F$78*(AN13+(Inputs!$F$95/100*Inputs!$F$96/100)*Time!AN25/Inputs!$F$248))/(1-Inputs!$F$75)+AN148,0)</f>
        <v>0.0455010600413667</v>
      </c>
      <c r="AO127" s="16" t="n">
        <f aca="false">IF(Time!AO53=1,(Inputs!$F$76*AO11+Inputs!$F$77*AO12+Inputs!$F$78*(AO13+(Inputs!$F$95/100*Inputs!$F$96/100)*Time!AO25/Inputs!$F$248))/(1-Inputs!$F$75)+AO148,0)</f>
        <v>0.0449513905840831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787.400518204643</v>
      </c>
      <c r="Q128" s="13" t="n">
        <f aca="false">IF(Time!Q53=1,(Waterfall!Q7+R128)/(1+Q127),0)</f>
        <v>768.391926331711</v>
      </c>
      <c r="R128" s="13" t="n">
        <f aca="false">IF(Time!R53=1,(Waterfall!R7+S128)/(1+R127),0)</f>
        <v>750.429936093455</v>
      </c>
      <c r="S128" s="13" t="n">
        <f aca="false">IF(Time!S53=1,(Waterfall!S7+T128)/(1+S127),0)</f>
        <v>731.45835448419</v>
      </c>
      <c r="T128" s="13" t="n">
        <f aca="false">IF(Time!T53=1,(Waterfall!T7+U128)/(1+T127),0)</f>
        <v>711.720211815308</v>
      </c>
      <c r="U128" s="13" t="n">
        <f aca="false">IF(Time!U53=1,(Waterfall!U7+V128)/(1+U127),0)</f>
        <v>690.94593505231</v>
      </c>
      <c r="V128" s="13" t="n">
        <f aca="false">IF(Time!V53=1,(Waterfall!V7+W128)/(1+V127),0)</f>
        <v>669.304119128752</v>
      </c>
      <c r="W128" s="13" t="n">
        <f aca="false">IF(Time!W53=1,(Waterfall!W7+X128)/(1+W127),0)</f>
        <v>646.006081124371</v>
      </c>
      <c r="X128" s="13" t="n">
        <f aca="false">IF(Time!X53=1,(Waterfall!X7+Y128)/(1+X127),0)</f>
        <v>621.7544997253</v>
      </c>
      <c r="Y128" s="13" t="n">
        <f aca="false">IF(Time!Y53=1,(Waterfall!Y7+Z128)/(1+Y127),0)</f>
        <v>598.277012961651</v>
      </c>
      <c r="Z128" s="13" t="n">
        <f aca="false">IF(Time!Z53=1,(Waterfall!Z7+AA128)/(1+Z127),0)</f>
        <v>574.893191615094</v>
      </c>
      <c r="AA128" s="13" t="n">
        <f aca="false">IF(Time!AA53=1,(Waterfall!AA7+AB128)/(1+AA127),0)</f>
        <v>550.388934113707</v>
      </c>
      <c r="AB128" s="13" t="n">
        <f aca="false">IF(Time!AB53=1,(Waterfall!AB7+AC128)/(1+AB127),0)</f>
        <v>524.919831723061</v>
      </c>
      <c r="AC128" s="13" t="n">
        <f aca="false">IF(Time!AC53=1,(Waterfall!AC7+AD128)/(1+AC127),0)</f>
        <v>498.038694162543</v>
      </c>
      <c r="AD128" s="13" t="n">
        <f aca="false">IF(Time!AD53=1,(Waterfall!AD7+AE128)/(1+AD127),0)</f>
        <v>470.006668513764</v>
      </c>
      <c r="AE128" s="13" t="n">
        <f aca="false">IF(Time!AE53=1,(Waterfall!AE7+AF128)/(1+AE127),0)</f>
        <v>439.005437477944</v>
      </c>
      <c r="AF128" s="13" t="n">
        <f aca="false">IF(Time!AF53=1,(Waterfall!AF7+AG128)/(1+AF127),0)</f>
        <v>406.327840367383</v>
      </c>
      <c r="AG128" s="13" t="n">
        <f aca="false">IF(Time!AG53=1,(Waterfall!AG7+AH128)/(1+AG127),0)</f>
        <v>372.28316966684</v>
      </c>
      <c r="AH128" s="13" t="n">
        <f aca="false">IF(Time!AH53=1,(Waterfall!AH7+AI128)/(1+AH127),0)</f>
        <v>337.478536682508</v>
      </c>
      <c r="AI128" s="13" t="n">
        <f aca="false">IF(Time!AI53=1,(Waterfall!AI7+AJ128)/(1+AI127),0)</f>
        <v>300.625423164588</v>
      </c>
      <c r="AJ128" s="13" t="n">
        <f aca="false">IF(Time!AJ53=1,(Waterfall!AJ7+AK128)/(1+AJ127),0)</f>
        <v>262.337713230246</v>
      </c>
      <c r="AK128" s="13" t="n">
        <f aca="false">IF(Time!AK53=1,(Waterfall!AK7+AL128)/(1+AK127),0)</f>
        <v>221.871758982412</v>
      </c>
      <c r="AL128" s="13" t="n">
        <f aca="false">IF(Time!AL53=1,(Waterfall!AL7+AM128)/(1+AL127),0)</f>
        <v>179.721322182348</v>
      </c>
      <c r="AM128" s="13" t="n">
        <f aca="false">IF(Time!AM53=1,(Waterfall!AM7+AN128)/(1+AM127),0)</f>
        <v>134.623256842262</v>
      </c>
      <c r="AN128" s="13" t="n">
        <f aca="false">IF(Time!AN53=1,(Waterfall!AN7+AO128)/(1+AN127),0)</f>
        <v>87.7750544146704</v>
      </c>
      <c r="AO128" s="13" t="n">
        <f aca="false">IF(Time!AO53=1,(Waterfall!AO7+AP128)/(1+AO127),0)</f>
        <v>40.705289283345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1.32094493874046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616.391729303535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38.065143648251</v>
      </c>
      <c r="Q132" s="13" t="n">
        <f aca="false">IF(Time!Q53=1,(Waterfall!Q7)/$F$129,0)</f>
        <v>37.9743097134844</v>
      </c>
      <c r="R132" s="13" t="n">
        <f aca="false">IF(Time!R53=1,(Waterfall!R7)/$F$129,0)</f>
        <v>38.4523672284867</v>
      </c>
      <c r="S132" s="13" t="n">
        <f aca="false">IF(Time!S53=1,(Waterfall!S7)/$F$129,0)</f>
        <v>38.1544834993268</v>
      </c>
      <c r="T132" s="13" t="n">
        <f aca="false">IF(Time!T53=1,(Waterfall!T7)/$F$129,0)</f>
        <v>38.5815808935799</v>
      </c>
      <c r="U132" s="13" t="n">
        <f aca="false">IF(Time!U53=1,(Waterfall!U7)/$F$129,0)</f>
        <v>38.397085098222</v>
      </c>
      <c r="V132" s="13" t="n">
        <f aca="false">IF(Time!V53=1,(Waterfall!V7)/$F$129,0)</f>
        <v>39.1300884736862</v>
      </c>
      <c r="W132" s="13" t="n">
        <f aca="false">IF(Time!W53=1,(Waterfall!W7)/$F$129,0)</f>
        <v>38.8595735694574</v>
      </c>
      <c r="X132" s="13" t="n">
        <f aca="false">IF(Time!X53=1,(Waterfall!X7)/$F$129,0)</f>
        <v>37.739024460941</v>
      </c>
      <c r="Y132" s="13" t="n">
        <f aca="false">IF(Time!Y53=1,(Waterfall!Y7)/$F$129,0)</f>
        <v>37.3747821087935</v>
      </c>
      <c r="Z132" s="13" t="n">
        <f aca="false">IF(Time!Z53=1,(Waterfall!Z7)/$F$129,0)</f>
        <v>37.6823732317076</v>
      </c>
      <c r="AA132" s="13" t="n">
        <f aca="false">IF(Time!AA53=1,(Waterfall!AA7)/$F$129,0)</f>
        <v>37.3787630988414</v>
      </c>
      <c r="AB132" s="13" t="n">
        <f aca="false">IF(Time!AB53=1,(Waterfall!AB7)/$F$129,0)</f>
        <v>37.8186926580869</v>
      </c>
      <c r="AC132" s="13" t="n">
        <f aca="false">IF(Time!AC53=1,(Waterfall!AC7)/$F$129,0)</f>
        <v>37.6635338715392</v>
      </c>
      <c r="AD132" s="13" t="n">
        <f aca="false">IF(Time!AD53=1,(Waterfall!AD7)/$F$129,0)</f>
        <v>39.1102923124108</v>
      </c>
      <c r="AE132" s="13" t="n">
        <f aca="false">IF(Time!AE53=1,(Waterfall!AE7)/$F$129,0)</f>
        <v>39.173345095676</v>
      </c>
      <c r="AF132" s="13" t="n">
        <f aca="false">IF(Time!AF53=1,(Waterfall!AF7)/$F$129,0)</f>
        <v>39.2951167989534</v>
      </c>
      <c r="AG132" s="13" t="n">
        <f aca="false">IF(Time!AG53=1,(Waterfall!AG7)/$F$129,0)</f>
        <v>39.0169776501436</v>
      </c>
      <c r="AH132" s="13" t="n">
        <f aca="false">IF(Time!AH53=1,(Waterfall!AH7)/$F$129,0)</f>
        <v>39.5237856984145</v>
      </c>
      <c r="AI132" s="13" t="n">
        <f aca="false">IF(Time!AI53=1,(Waterfall!AI7)/$F$129,0)</f>
        <v>39.2152914412247</v>
      </c>
      <c r="AJ132" s="13" t="n">
        <f aca="false">IF(Time!AJ53=1,(Waterfall!AJ7)/$F$129,0)</f>
        <v>39.6705394386878</v>
      </c>
      <c r="AK132" s="13" t="n">
        <f aca="false">IF(Time!AK53=1,(Waterfall!AK7)/$F$129,0)</f>
        <v>39.490315917721</v>
      </c>
      <c r="AL132" s="13" t="n">
        <f aca="false">IF(Time!AL53=1,(Waterfall!AL7)/$F$129,0)</f>
        <v>40.3314131035755</v>
      </c>
      <c r="AM132" s="13" t="n">
        <f aca="false">IF(Time!AM53=1,(Waterfall!AM7)/$F$129,0)</f>
        <v>40.0468660548788</v>
      </c>
      <c r="AN132" s="13" t="n">
        <f aca="false">IF(Time!AN53=1,(Waterfall!AN7)/$F$129,0)</f>
        <v>38.6568899692907</v>
      </c>
      <c r="AO132" s="13" t="n">
        <f aca="false">IF(Time!AO53=1,(Waterfall!AO7)/$F$129,0)</f>
        <v>32.2004705823063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431.810867957208</v>
      </c>
      <c r="R133" s="13" t="n">
        <f aca="false">IF(Time!R53=1,IF(Time!R20=Time!$F$13,Funding!$F$25*(1-Inputs!$F$75),Q133-Q134),0)</f>
        <v>423.509733048493</v>
      </c>
      <c r="S133" s="13" t="n">
        <f aca="false">IF(Time!S53=1,IF(Time!S20=Time!$F$13,Funding!$F$25*(1-Inputs!$F$75),R133-R134),0)</f>
        <v>414.456201448746</v>
      </c>
      <c r="T133" s="13" t="n">
        <f aca="false">IF(Time!T53=1,IF(Time!T20=Time!$F$13,Funding!$F$25*(1-Inputs!$F$75),S133-S134),0)</f>
        <v>404.910003382422</v>
      </c>
      <c r="U133" s="13" t="n">
        <f aca="false">IF(Time!U53=1,IF(Time!U20=Time!$F$13,Funding!$F$25*(1-Inputs!$F$75),T133-T134),0)</f>
        <v>394.597951689913</v>
      </c>
      <c r="V133" s="13" t="n">
        <f aca="false">IF(Time!V53=1,IF(Time!V20=Time!$F$13,Funding!$F$25*(1-Inputs!$F$75),U133-U134),0)</f>
        <v>383.707590583055</v>
      </c>
      <c r="W133" s="13" t="n">
        <f aca="false">IF(Time!W53=1,IF(Time!W20=Time!$F$13,Funding!$F$25*(1-Inputs!$F$75),V133-V134),0)</f>
        <v>371.599905745631</v>
      </c>
      <c r="X133" s="13" t="n">
        <f aca="false">IF(Time!X53=1,IF(Time!X20=Time!$F$13,Funding!$F$25*(1-Inputs!$F$75),W133-W134),0)</f>
        <v>358.862370514477</v>
      </c>
      <c r="Y133" s="13" t="n">
        <f aca="false">IF(Time!Y53=1,IF(Time!Y20=Time!$F$13,Funding!$F$25*(1-Inputs!$F$75),X133-X134),0)</f>
        <v>346.744102915619</v>
      </c>
      <c r="Z133" s="13" t="n">
        <f aca="false">IF(Time!Z53=1,IF(Time!Z20=Time!$F$13,Funding!$F$25*(1-Inputs!$F$75),Y133-Y134),0)</f>
        <v>334.630325456487</v>
      </c>
      <c r="AA133" s="13" t="n">
        <f aca="false">IF(Time!AA53=1,IF(Time!AA20=Time!$F$13,Funding!$F$25*(1-Inputs!$F$75),Z133-Z134),0)</f>
        <v>321.70888671936</v>
      </c>
      <c r="AB133" s="13" t="n">
        <f aca="false">IF(Time!AB53=1,IF(Time!AB20=Time!$F$13,Funding!$F$25*(1-Inputs!$F$75),AA133-AA134),0)</f>
        <v>308.158839633648</v>
      </c>
      <c r="AC133" s="13" t="n">
        <f aca="false">IF(Time!AC53=1,IF(Time!AC20=Time!$F$13,Funding!$F$25*(1-Inputs!$F$75),AB133-AB134),0)</f>
        <v>293.589647111148</v>
      </c>
      <c r="AD133" s="13" t="n">
        <f aca="false">IF(Time!AD53=1,IF(Time!AD20=Time!$F$13,Funding!$F$25*(1-Inputs!$F$75),AC133-AC134),0)</f>
        <v>278.24614997052</v>
      </c>
      <c r="AE133" s="13" t="n">
        <f aca="false">IF(Time!AE53=1,IF(Time!AE20=Time!$F$13,Funding!$F$25*(1-Inputs!$F$75),AD133-AD134),0)</f>
        <v>260.722649442764</v>
      </c>
      <c r="AF133" s="13" t="n">
        <f aca="false">IF(Time!AF53=1,IF(Time!AF20=Time!$F$13,Funding!$F$25*(1-Inputs!$F$75),AE133-AE134),0)</f>
        <v>242.039314265304</v>
      </c>
      <c r="AG133" s="13" t="n">
        <f aca="false">IF(Time!AG53=1,IF(Time!AG20=Time!$F$13,Funding!$F$25*(1-Inputs!$F$75),AF133-AF134),0)</f>
        <v>222.391592670653</v>
      </c>
      <c r="AH133" s="13" t="n">
        <f aca="false">IF(Time!AH53=1,IF(Time!AH20=Time!$F$13,Funding!$F$25*(1-Inputs!$F$75),AG133-AG134),0)</f>
        <v>202.192045918183</v>
      </c>
      <c r="AI133" s="13" t="n">
        <f aca="false">IF(Time!AI53=1,IF(Time!AI20=Time!$F$13,Funding!$F$25*(1-Inputs!$F$75),AH133-AH134),0)</f>
        <v>180.527894993085</v>
      </c>
      <c r="AJ133" s="13" t="n">
        <f aca="false">IF(Time!AJ53=1,IF(Time!AJ20=Time!$F$13,Funding!$F$25*(1-Inputs!$F$75),AI133-AI134),0)</f>
        <v>157.903320921864</v>
      </c>
      <c r="AK133" s="13" t="n">
        <f aca="false">IF(Time!AK53=1,IF(Time!AK20=Time!$F$13,Funding!$F$25*(1-Inputs!$F$75),AJ133-AJ134),0)</f>
        <v>133.729474256653</v>
      </c>
      <c r="AL133" s="13" t="n">
        <f aca="false">IF(Time!AL53=1,IF(Time!AL20=Time!$F$13,Funding!$F$25*(1-Inputs!$F$75),AK133-AK134),0)</f>
        <v>108.408238488932</v>
      </c>
      <c r="AM133" s="13" t="n">
        <f aca="false">IF(Time!AM53=1,IF(Time!AM20=Time!$F$13,Funding!$F$25*(1-Inputs!$F$75),AL133-AL134),0)</f>
        <v>80.9736813766722</v>
      </c>
      <c r="AN133" s="13" t="n">
        <f aca="false">IF(Time!AN53=1,IF(Time!AN20=Time!$F$13,Funding!$F$25*(1-Inputs!$F$75),AM133-AM134),0)</f>
        <v>52.3526681470918</v>
      </c>
      <c r="AO133" s="13" t="n">
        <f aca="false">IF(Time!AO53=1,IF(Time!AO20=Time!$F$13,Funding!$F$25*(1-Inputs!$F$75),AN133-AN134),0)</f>
        <v>23.6942882327124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9.15390438769556</v>
      </c>
      <c r="Q134" s="13" t="n">
        <f aca="false">Q132-Q149-Q133*Q127</f>
        <v>8.30113490871484</v>
      </c>
      <c r="R134" s="13" t="n">
        <f aca="false">R132-R149-R133*R127</f>
        <v>9.05353159974709</v>
      </c>
      <c r="S134" s="13" t="n">
        <f aca="false">S132-S149-S133*S127</f>
        <v>9.54619806632384</v>
      </c>
      <c r="T134" s="13" t="n">
        <f aca="false">T132-T149-T133*T127</f>
        <v>10.3120516925093</v>
      </c>
      <c r="U134" s="13" t="n">
        <f aca="false">U132-U149-U133*U127</f>
        <v>10.8903611068578</v>
      </c>
      <c r="V134" s="13" t="n">
        <f aca="false">V132-V149-V133*V127</f>
        <v>12.1076848374239</v>
      </c>
      <c r="W134" s="13" t="n">
        <f aca="false">W132-W149-W133*W127</f>
        <v>12.7375352311538</v>
      </c>
      <c r="X134" s="13" t="n">
        <f aca="false">X132-X149-X133*X127</f>
        <v>12.1182675988585</v>
      </c>
      <c r="Y134" s="13" t="n">
        <f aca="false">Y132-Y149-Y133*Y127</f>
        <v>12.1137774591313</v>
      </c>
      <c r="Z134" s="13" t="n">
        <f aca="false">Z132-Z149-Z133*Z127</f>
        <v>12.9214387371279</v>
      </c>
      <c r="AA134" s="13" t="n">
        <f aca="false">AA132-AA149-AA133*AA127</f>
        <v>13.550047085712</v>
      </c>
      <c r="AB134" s="13" t="n">
        <f aca="false">AB132-AB149-AB133*AB127</f>
        <v>14.5691925224991</v>
      </c>
      <c r="AC134" s="13" t="n">
        <f aca="false">AC132-AC149-AC133*AC127</f>
        <v>15.3434971406286</v>
      </c>
      <c r="AD134" s="13" t="n">
        <f aca="false">AD132-AD149-AD133*AD127</f>
        <v>17.5235005277554</v>
      </c>
      <c r="AE134" s="13" t="n">
        <f aca="false">AE132-AE149-AE133*AE127</f>
        <v>18.6833351774608</v>
      </c>
      <c r="AF134" s="13" t="n">
        <f aca="false">AF132-AF149-AF133*AF127</f>
        <v>19.6477215946508</v>
      </c>
      <c r="AG134" s="13" t="n">
        <f aca="false">AG132-AG149-AG133*AG127</f>
        <v>20.19954675247</v>
      </c>
      <c r="AH134" s="13" t="n">
        <f aca="false">AH132-AH149-AH133*AH127</f>
        <v>21.6641509250976</v>
      </c>
      <c r="AI134" s="13" t="n">
        <f aca="false">AI132-AI149-AI133*AI127</f>
        <v>22.6245740712208</v>
      </c>
      <c r="AJ134" s="13" t="n">
        <f aca="false">AJ132-AJ149-AJ133*AJ127</f>
        <v>24.1738466652114</v>
      </c>
      <c r="AK134" s="13" t="n">
        <f aca="false">AK132-AK149-AK133*AK127</f>
        <v>25.3212357677211</v>
      </c>
      <c r="AL134" s="13" t="n">
        <f aca="false">AL132-AL149-AL133*AL127</f>
        <v>27.4345571122597</v>
      </c>
      <c r="AM134" s="13" t="n">
        <f aca="false">AM132-AM149-AM133*AM127</f>
        <v>28.6210132295804</v>
      </c>
      <c r="AN134" s="13" t="n">
        <f aca="false">AN132-AN149-AN133*AN127</f>
        <v>28.6583799143794</v>
      </c>
      <c r="AO134" s="13" t="n">
        <f aca="false">AO132-AO149-AO133*AO127</f>
        <v>23.6942882327128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-0.00876555555156857</v>
      </c>
      <c r="R148" s="16" t="n">
        <f aca="false">IF(Time!R53=1,Inputs!R301/(Funding!$F$25*(Inputs!$F$75*R146+(1-Inputs!$F$75)*R18))*(Inputs!$F$97/100*Time!R24-Operations!R9/100*Time!R25/Inputs!$F$247),0)</f>
        <v>-0.00910622221808029</v>
      </c>
      <c r="S148" s="16" t="n">
        <f aca="false">IF(Time!S53=1,Inputs!S301/(Funding!$F$25*(Inputs!$F$75*S146+(1-Inputs!$F$75)*S18))*(Inputs!$F$97/100*Time!S24-Operations!S9/100*Time!S25/Inputs!$F$247),0)</f>
        <v>-0.0088057777737725</v>
      </c>
      <c r="T148" s="16" t="n">
        <f aca="false">IF(Time!T53=1,Inputs!T301/(Funding!$F$25*(Inputs!$F$75*T146+(1-Inputs!$F$75)*T18))*(Inputs!$F$97/100*Time!T24-Operations!T9/100*Time!T25/Inputs!$F$247),0)</f>
        <v>-0.00914711110695058</v>
      </c>
      <c r="U148" s="16" t="n">
        <f aca="false">IF(Time!U53=1,Inputs!U301/(Funding!$F$25*(Inputs!$F$75*U146+(1-Inputs!$F$75)*U18))*(Inputs!$F$97/100*Time!U24-Operations!U9/100*Time!U25/Inputs!$F$247),0)</f>
        <v>-0.00891955555149853</v>
      </c>
      <c r="V148" s="16" t="n">
        <f aca="false">IF(Time!V53=1,Inputs!V301/(Funding!$F$25*(Inputs!$F$75*V146+(1-Inputs!$F$75)*V18))*(Inputs!$F$97/100*Time!V24-Operations!V9/100*Time!V25/Inputs!$F$247),0)</f>
        <v>-0.00914711110695058</v>
      </c>
      <c r="W148" s="16" t="n">
        <f aca="false">IF(Time!W53=1,Inputs!W301/(Funding!$F$25*(Inputs!$F$75*W146+(1-Inputs!$F$75)*W18))*(Inputs!$F$97/100*Time!W24-Operations!W9/100*Time!W25/Inputs!$F$247),0)</f>
        <v>-0.0088057777737725</v>
      </c>
      <c r="X148" s="16" t="n">
        <f aca="false">IF(Time!X53=1,Inputs!X301/(Funding!$F$25*(Inputs!$F$75*X146+(1-Inputs!$F$75)*X18))*(Inputs!$F$97/100*Time!X24-Operations!X9/100*Time!X25/Inputs!$F$247),0)</f>
        <v>-0.00914711110695058</v>
      </c>
      <c r="Y148" s="16" t="n">
        <f aca="false">IF(Time!Y53=1,Inputs!Y301/(Funding!$F$25*(Inputs!$F$75*Y146+(1-Inputs!$F$75)*Y18))*(Inputs!$F$97/100*Time!Y24-Operations!Y9/100*Time!Y25/Inputs!$F$247),0)</f>
        <v>-0.0088057777737725</v>
      </c>
      <c r="Z148" s="16" t="n">
        <f aca="false">IF(Time!Z53=1,Inputs!Z301/(Funding!$F$25*(Inputs!$F$75*Z146+(1-Inputs!$F$75)*Z18))*(Inputs!$F$97/100*Time!Z24-Operations!Z9/100*Time!Z25/Inputs!$F$247),0)</f>
        <v>-0.00914711110695058</v>
      </c>
      <c r="AA148" s="16" t="n">
        <f aca="false">IF(Time!AA53=1,Inputs!AA301/(Funding!$F$25*(Inputs!$F$75*AA146+(1-Inputs!$F$75)*AA18))*(Inputs!$F$97/100*Time!AA24-Operations!AA9/100*Time!AA25/Inputs!$F$247),0)</f>
        <v>-0.00880577777377251</v>
      </c>
      <c r="AB148" s="16" t="n">
        <f aca="false">IF(Time!AB53=1,Inputs!AB301/(Funding!$F$25*(Inputs!$F$75*AB146+(1-Inputs!$F$75)*AB18))*(Inputs!$F$97/100*Time!AB24-Operations!AB9/100*Time!AB25/Inputs!$F$247),0)</f>
        <v>-0.00914711110695058</v>
      </c>
      <c r="AC148" s="16" t="n">
        <f aca="false">IF(Time!AC53=1,Inputs!AC301/(Funding!$F$25*(Inputs!$F$75*AC146+(1-Inputs!$F$75)*AC18))*(Inputs!$F$97/100*Time!AC24-Operations!AC9/100*Time!AC25/Inputs!$F$247),0)</f>
        <v>-0.00891955555149853</v>
      </c>
      <c r="AD148" s="16" t="n">
        <f aca="false">IF(Time!AD53=1,Inputs!AD301/(Funding!$F$25*(Inputs!$F$75*AD146+(1-Inputs!$F$75)*AD18))*(Inputs!$F$97/100*Time!AD24-Operations!AD9/100*Time!AD25/Inputs!$F$247),0)</f>
        <v>-0.00914711110695058</v>
      </c>
      <c r="AE148" s="16" t="n">
        <f aca="false">IF(Time!AE53=1,Inputs!AE301/(Funding!$F$25*(Inputs!$F$75*AE146+(1-Inputs!$F$75)*AE18))*(Inputs!$F$97/100*Time!AE24-Operations!AE9/100*Time!AE25/Inputs!$F$247),0)</f>
        <v>-0.0088057777737725</v>
      </c>
      <c r="AF148" s="16" t="n">
        <f aca="false">IF(Time!AF53=1,Inputs!AF301/(Funding!$F$25*(Inputs!$F$75*AF146+(1-Inputs!$F$75)*AF18))*(Inputs!$F$97/100*Time!AF24-Operations!AF9/100*Time!AF25/Inputs!$F$247),0)</f>
        <v>-0.00914711110695058</v>
      </c>
      <c r="AG148" s="16" t="n">
        <f aca="false">IF(Time!AG53=1,Inputs!AG301/(Funding!$F$25*(Inputs!$F$75*AG146+(1-Inputs!$F$75)*AG18))*(Inputs!$F$97/100*Time!AG24-Operations!AG9/100*Time!AG25/Inputs!$F$247),0)</f>
        <v>-0.00880577777377251</v>
      </c>
      <c r="AH148" s="16" t="n">
        <f aca="false">IF(Time!AH53=1,Inputs!AH301/(Funding!$F$25*(Inputs!$F$75*AH146+(1-Inputs!$F$75)*AH18))*(Inputs!$F$97/100*Time!AH24-Operations!AH9/100*Time!AH25/Inputs!$F$247),0)</f>
        <v>-0.00914711110695058</v>
      </c>
      <c r="AI148" s="16" t="n">
        <f aca="false">IF(Time!AI53=1,Inputs!AI301/(Funding!$F$25*(Inputs!$F$75*AI146+(1-Inputs!$F$75)*AI18))*(Inputs!$F$97/100*Time!AI24-Operations!AI9/100*Time!AI25/Inputs!$F$247),0)</f>
        <v>-0.00880577777377251</v>
      </c>
      <c r="AJ148" s="16" t="n">
        <f aca="false">IF(Time!AJ53=1,Inputs!AJ301/(Funding!$F$25*(Inputs!$F$75*AJ146+(1-Inputs!$F$75)*AJ18))*(Inputs!$F$97/100*Time!AJ24-Operations!AJ9/100*Time!AJ25/Inputs!$F$247),0)</f>
        <v>-0.00914711110695058</v>
      </c>
      <c r="AK148" s="16" t="n">
        <f aca="false">IF(Time!AK53=1,Inputs!AK301/(Funding!$F$25*(Inputs!$F$75*AK146+(1-Inputs!$F$75)*AK18))*(Inputs!$F$97/100*Time!AK24-Operations!AK9/100*Time!AK25/Inputs!$F$247),0)</f>
        <v>-0.00891955555149853</v>
      </c>
      <c r="AL148" s="16" t="n">
        <f aca="false">IF(Time!AL53=1,Inputs!AL301/(Funding!$F$25*(Inputs!$F$75*AL146+(1-Inputs!$F$75)*AL18))*(Inputs!$F$97/100*Time!AL24-Operations!AL9/100*Time!AL25/Inputs!$F$247),0)</f>
        <v>-0.00914711110695058</v>
      </c>
      <c r="AM148" s="16" t="n">
        <f aca="false">IF(Time!AM53=1,Inputs!AM301/(Funding!$F$25*(Inputs!$F$75*AM146+(1-Inputs!$F$75)*AM18))*(Inputs!$F$97/100*Time!AM24-Operations!AM9/100*Time!AM25/Inputs!$F$247),0)</f>
        <v>-0.0088057777737725</v>
      </c>
      <c r="AN148" s="16" t="n">
        <f aca="false">IF(Time!AN53=1,Inputs!AN301/(Funding!$F$25*(Inputs!$F$75*AN146+(1-Inputs!$F$75)*AN18))*(Inputs!$F$97/100*Time!AN24-Operations!AN9/100*Time!AN25/Inputs!$F$247),0)</f>
        <v>-0.00914711110695058</v>
      </c>
      <c r="AO148" s="16" t="n">
        <f aca="false">IF(Time!AO53=1,Inputs!AO301/(Funding!$F$25*(Inputs!$F$75*AO146+(1-Inputs!$F$75)*AO18))*(Inputs!$F$97/100*Time!AO24-Operations!AO9/100*Time!AO25/Inputs!$F$247),0)</f>
        <v>-0.0088057777737725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11.5778491116163</v>
      </c>
      <c r="R149" s="13" t="n">
        <f aca="false">IF(Time!R53=1,Funding!$F$25*Inputs!$F$75*(R145+R146*(R10+R148)),0)</f>
        <v>11.4399636269666</v>
      </c>
      <c r="S149" s="13" t="n">
        <f aca="false">IF(Time!S53=1,Funding!$F$25*Inputs!$F$75*(S145+S146*(S10+S148)),0)</f>
        <v>11.2347942674189</v>
      </c>
      <c r="T149" s="13" t="n">
        <f aca="false">IF(Time!T53=1,Funding!$F$25*Inputs!$F$75*(T145+T146*(T10+T148)),0)</f>
        <v>11.0939888044987</v>
      </c>
      <c r="U149" s="13" t="n">
        <f aca="false">IF(Time!U53=1,Funding!$F$25*Inputs!$F$75*(U145+U146*(U10+U148)),0)</f>
        <v>10.8999780342933</v>
      </c>
      <c r="V149" s="13" t="n">
        <f aca="false">IF(Time!V53=1,Funding!$F$25*Inputs!$F$75*(V145+V146*(V10+V148)),0)</f>
        <v>10.7462307398713</v>
      </c>
      <c r="W149" s="13" t="n">
        <f aca="false">IF(Time!W53=1,Funding!$F$25*Inputs!$F$75*(W145+W146*(W10+W148)),0)</f>
        <v>10.545030063276</v>
      </c>
      <c r="X149" s="13" t="n">
        <f aca="false">IF(Time!X53=1,Funding!$F$25*Inputs!$F$75*(X145+X146*(X10+X148)),0)</f>
        <v>10.3984726752439</v>
      </c>
      <c r="Y149" s="13" t="n">
        <f aca="false">IF(Time!Y53=1,Funding!$F$25*Inputs!$F$75*(Y145+Y146*(Y10+Y148)),0)</f>
        <v>10.2001479612046</v>
      </c>
      <c r="Z149" s="13" t="n">
        <f aca="false">IF(Time!Z53=1,Funding!$F$25*Inputs!$F$75*(Z145+Z146*(Z10+Z148)),0)</f>
        <v>10.0507146106165</v>
      </c>
      <c r="AA149" s="13" t="n">
        <f aca="false">IF(Time!AA53=1,Funding!$F$25*Inputs!$F$75*(AA145+AA146*(AA10+AA148)),0)</f>
        <v>9.85526585913313</v>
      </c>
      <c r="AB149" s="13" t="n">
        <f aca="false">IF(Time!AB53=1,Funding!$F$25*Inputs!$F$75*(AB145+AB146*(AB10+AB148)),0)</f>
        <v>9.70295654598911</v>
      </c>
      <c r="AC149" s="13" t="n">
        <f aca="false">IF(Time!AC53=1,Funding!$F$25*Inputs!$F$75*(AC145+AC146*(AC10+AC148)),0)</f>
        <v>9.51661500926626</v>
      </c>
      <c r="AD149" s="13" t="n">
        <f aca="false">IF(Time!AD53=1,Funding!$F$25*Inputs!$F$75*(AD145+AD146*(AD10+AD148)),0)</f>
        <v>9.35519848136171</v>
      </c>
      <c r="AE149" s="13" t="n">
        <f aca="false">IF(Time!AE53=1,Funding!$F$25*Inputs!$F$75*(AE145+AE146*(AE10+AE148)),0)</f>
        <v>9.16550165499024</v>
      </c>
      <c r="AF149" s="13" t="n">
        <f aca="false">IF(Time!AF53=1,Funding!$F$25*Inputs!$F$75*(AF145+AF146*(AF10+AF148)),0)</f>
        <v>9.00744041673431</v>
      </c>
      <c r="AG149" s="13" t="n">
        <f aca="false">IF(Time!AG53=1,Funding!$F$25*Inputs!$F$75*(AG145+AG146*(AG10+AG148)),0)</f>
        <v>8.8206195529188</v>
      </c>
      <c r="AH149" s="13" t="n">
        <f aca="false">IF(Time!AH53=1,Funding!$F$25*Inputs!$F$75*(AH145+AH146*(AH10+AH148)),0)</f>
        <v>8.65968235210691</v>
      </c>
      <c r="AI149" s="13" t="n">
        <f aca="false">IF(Time!AI53=1,Funding!$F$25*Inputs!$F$75*(AI145+AI146*(AI10+AI148)),0)</f>
        <v>8.47573745084736</v>
      </c>
      <c r="AJ149" s="13" t="n">
        <f aca="false">IF(Time!AJ53=1,Funding!$F$25*Inputs!$F$75*(AJ145+AJ146*(AJ10+AJ148)),0)</f>
        <v>8.31192428747951</v>
      </c>
      <c r="AK149" s="13" t="n">
        <f aca="false">IF(Time!AK53=1,Funding!$F$25*Inputs!$F$75*(AK145+AK146*(AK10+AK148)),0)</f>
        <v>8.13325198423921</v>
      </c>
      <c r="AL149" s="13" t="n">
        <f aca="false">IF(Time!AL53=1,Funding!$F$25*Inputs!$F$75*(AL145+AL146*(AL10+AL148)),0)</f>
        <v>7.96416622285211</v>
      </c>
      <c r="AM149" s="13" t="n">
        <f aca="false">IF(Time!AM53=1,Funding!$F$25*Inputs!$F$75*(AM145+AM146*(AM10+AM148)),0)</f>
        <v>7.78597324670447</v>
      </c>
      <c r="AN149" s="13" t="n">
        <f aca="false">IF(Time!AN53=1,Funding!$F$25*Inputs!$F$75*(AN145+AN146*(AN10+AN148)),0)</f>
        <v>7.61640815822471</v>
      </c>
      <c r="AO149" s="13" t="n">
        <f aca="false">IF(Time!AO53=1,Funding!$F$25*Inputs!$F$75*(AO145+AO146*(AO10+AO148)),0)</f>
        <v>7.44109114463303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155.124054003482</v>
      </c>
      <c r="Q150" s="13" t="n">
        <f aca="false">IF(Time!Q53=1,(Q149+R150)/(1+Q127),0)</f>
        <v>149.887811371835</v>
      </c>
      <c r="R150" s="13" t="n">
        <f aca="false">IF(Time!R53=1,(R149+S150)/(1+R127),0)</f>
        <v>144.591112100283</v>
      </c>
      <c r="S150" s="13" t="n">
        <f aca="false">IF(Time!S53=1,(S149+T150)/(1+S127),0)</f>
        <v>139.282514702166</v>
      </c>
      <c r="T150" s="13" t="n">
        <f aca="false">IF(Time!T53=1,(T149+U150)/(1+T127),0)</f>
        <v>133.886271119331</v>
      </c>
      <c r="U150" s="13" t="n">
        <f aca="false">IF(Time!U53=1,(U149+V150)/(1+U127),0)</f>
        <v>128.471492605877</v>
      </c>
      <c r="V150" s="13" t="n">
        <f aca="false">IF(Time!V53=1,(V149+W150)/(1+V127),0)</f>
        <v>122.978267017446</v>
      </c>
      <c r="W150" s="13" t="n">
        <f aca="false">IF(Time!W53=1,(W149+X150)/(1+W127),0)</f>
        <v>117.44854902217</v>
      </c>
      <c r="X150" s="13" t="n">
        <f aca="false">IF(Time!X53=1,(X149+Y150)/(1+X127),0)</f>
        <v>111.826816816942</v>
      </c>
      <c r="Y150" s="13" t="n">
        <f aca="false">IF(Time!Y53=1,(Y149+Z150)/(1+Y127),0)</f>
        <v>106.171832802425</v>
      </c>
      <c r="Z150" s="13" t="n">
        <f aca="false">IF(Time!Z53=1,(Z149+AA150)/(1+Z127),0)</f>
        <v>100.583266537182</v>
      </c>
      <c r="AA150" s="13" t="n">
        <f aca="false">IF(Time!AA53=1,(AA149+AB150)/(1+AA127),0)</f>
        <v>94.9541534816268</v>
      </c>
      <c r="AB150" s="13" t="n">
        <f aca="false">IF(Time!AB53=1,(AB149+AC150)/(1+AB127),0)</f>
        <v>89.2232285573087</v>
      </c>
      <c r="AC150" s="13" t="n">
        <f aca="false">IF(Time!AC53=1,(AC149+AD150)/(1+AC127),0)</f>
        <v>83.442490683655</v>
      </c>
      <c r="AD150" s="13" t="n">
        <f aca="false">IF(Time!AD53=1,(AD149+AE150)/(1+AD127),0)</f>
        <v>77.5647962161705</v>
      </c>
      <c r="AE150" s="13" t="n">
        <f aca="false">IF(Time!AE53=1,(AE149+AF150)/(1+AE127),0)</f>
        <v>71.6193162235267</v>
      </c>
      <c r="AF150" s="13" t="n">
        <f aca="false">IF(Time!AF53=1,(AF149+AG150)/(1+AF127),0)</f>
        <v>65.5646050584048</v>
      </c>
      <c r="AG150" s="13" t="n">
        <f aca="false">IF(Time!AG53=1,(AG149+AH150)/(1+AG127),0)</f>
        <v>59.4393593611678</v>
      </c>
      <c r="AH150" s="13" t="n">
        <f aca="false">IF(Time!AH53=1,(AH149+AI150)/(1+AH127),0)</f>
        <v>53.2906216669605</v>
      </c>
      <c r="AI150" s="13" t="n">
        <f aca="false">IF(Time!AI53=1,(AI149+AJ150)/(1+AI127),0)</f>
        <v>47.0557190909638</v>
      </c>
      <c r="AJ150" s="13" t="n">
        <f aca="false">IF(Time!AJ53=1,(AJ149+AK150)/(1+AJ127),0)</f>
        <v>40.6952016481892</v>
      </c>
      <c r="AK150" s="13" t="n">
        <f aca="false">IF(Time!AK53=1,(AK149+AL150)/(1+AK127),0)</f>
        <v>34.2349521742995</v>
      </c>
      <c r="AL150" s="13" t="n">
        <f aca="false">IF(Time!AL53=1,(AL149+AM150)/(1+AL127),0)</f>
        <v>27.6468815327352</v>
      </c>
      <c r="AM150" s="13" t="n">
        <f aca="false">IF(Time!AM53=1,(AM149+AN150)/(1+AM127),0)</f>
        <v>20.9406777264607</v>
      </c>
      <c r="AN150" s="13" t="n">
        <f aca="false">IF(Time!AN53=1,(AN149+AO150)/(1+AN127),0)</f>
        <v>14.0960170633337</v>
      </c>
      <c r="AO150" s="13" t="n">
        <f aca="false">IF(Time!AO53=1,(AO149+AP150)/(1+AO127),0)</f>
        <v>7.12099262385189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38.6549364939471</v>
      </c>
      <c r="R9" s="13" t="n">
        <f aca="false">IF(Time!R34=1,SUM(Funding!$J$44:$BJ$44),Q13)</f>
        <v>39.1088628611657</v>
      </c>
      <c r="S9" s="13" t="n">
        <f aca="false">IF(Time!S34=1,SUM(Funding!$J$44:$BJ$44),R13)</f>
        <v>38.7531771572321</v>
      </c>
      <c r="T9" s="13" t="n">
        <f aca="false">IF(Time!T34=1,SUM(Funding!$J$44:$BJ$44),S13)</f>
        <v>39.152706854377</v>
      </c>
      <c r="U9" s="13" t="n">
        <f aca="false">IF(Time!U34=1,SUM(Funding!$J$44:$BJ$44),T13)</f>
        <v>38.913481586065</v>
      </c>
      <c r="V9" s="13" t="n">
        <f aca="false">IF(Time!V34=1,SUM(Funding!$J$44:$BJ$44),U13)</f>
        <v>39.6000592177253</v>
      </c>
      <c r="W9" s="13" t="n">
        <f aca="false">IF(Time!W34=1,SUM(Funding!$J$44:$BJ$44),V13)</f>
        <v>39.2661755615212</v>
      </c>
      <c r="X9" s="13" t="n">
        <f aca="false">IF(Time!X34=1,SUM(Funding!$J$44:$BJ$44),W13)</f>
        <v>38.1401873901808</v>
      </c>
      <c r="Y9" s="13" t="n">
        <f aca="false">IF(Time!Y34=1,SUM(Funding!$J$44:$BJ$44),X13)</f>
        <v>37.7162344064747</v>
      </c>
      <c r="Z9" s="13" t="n">
        <f aca="false">IF(Time!Z34=1,SUM(Funding!$J$44:$BJ$44),Y13)</f>
        <v>37.9877378797338</v>
      </c>
      <c r="AA9" s="13" t="n">
        <f aca="false">IF(Time!AA34=1,SUM(Funding!$J$44:$BJ$44),Z13)</f>
        <v>37.622706914473</v>
      </c>
      <c r="AB9" s="13" t="n">
        <f aca="false">IF(Time!AB34=1,SUM(Funding!$J$44:$BJ$44),AA13)</f>
        <v>38.0184062155752</v>
      </c>
      <c r="AC9" s="13" t="n">
        <f aca="false">IF(Time!AC34=1,SUM(Funding!$J$44:$BJ$44),AB13)</f>
        <v>37.1836819729114</v>
      </c>
      <c r="AD9" s="13" t="n">
        <f aca="false">IF(Time!AD34=1,SUM(Funding!$J$44:$BJ$44),AC13)</f>
        <v>37.7291498840575</v>
      </c>
      <c r="AE9" s="13" t="n">
        <f aca="false">IF(Time!AE34=1,SUM(Funding!$J$44:$BJ$44),AD13)</f>
        <v>36.9240462684252</v>
      </c>
      <c r="AF9" s="13" t="n">
        <f aca="false">IF(Time!AF34=1,SUM(Funding!$J$44:$BJ$44),AE13)</f>
        <v>35.9471127721361</v>
      </c>
      <c r="AG9" s="13" t="n">
        <f aca="false">IF(Time!AG34=1,SUM(Funding!$J$44:$BJ$44),AF13)</f>
        <v>34.4170104716727</v>
      </c>
      <c r="AH9" s="13" t="n">
        <f aca="false">IF(Time!AH34=1,SUM(Funding!$J$44:$BJ$44),AG13)</f>
        <v>33.3282124300808</v>
      </c>
      <c r="AI9" s="13" t="n">
        <f aca="false">IF(Time!AI34=1,SUM(Funding!$J$44:$BJ$44),AH13)</f>
        <v>31.3739250452594</v>
      </c>
      <c r="AJ9" s="13" t="n">
        <f aca="false">IF(Time!AJ34=1,SUM(Funding!$J$44:$BJ$44),AI13)</f>
        <v>29.50998788587</v>
      </c>
      <c r="AK9" s="13" t="n">
        <f aca="false">IF(Time!AK34=1,SUM(Funding!$J$44:$BJ$44),AJ13)</f>
        <v>26.7180161366836</v>
      </c>
      <c r="AL9" s="13" t="n">
        <f aca="false">IF(Time!AL34=1,SUM(Funding!$J$44:$BJ$44),AK13)</f>
        <v>23.4927603852108</v>
      </c>
      <c r="AM9" s="13" t="n">
        <f aca="false">IF(Time!AM34=1,SUM(Funding!$J$44:$BJ$44),AL13)</f>
        <v>21.5552079431118</v>
      </c>
      <c r="AN9" s="13" t="n">
        <f aca="false">IF(Time!AN34=1,SUM(Funding!$J$44:$BJ$44),AM13)</f>
        <v>18.7004698483234</v>
      </c>
      <c r="AO9" s="13" t="n">
        <f aca="false">IF(Time!AO34=1,SUM(Funding!$J$44:$BJ$44),AN13)</f>
        <v>17.9603757044177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4.16174543888351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1.40904105735134</v>
      </c>
      <c r="Q11" s="13" t="n">
        <f aca="false">MIN(Waterfall!Q13,MAX(0,Debt!Q125-(Q9-Q10)))</f>
        <v>0.453926367218564</v>
      </c>
      <c r="R11" s="13" t="n">
        <f aca="false">MIN(Waterfall!R13,MAX(0,Debt!R125-(R9-R10)))</f>
        <v>0</v>
      </c>
      <c r="S11" s="13" t="n">
        <f aca="false">MIN(Waterfall!S13,MAX(0,Debt!S125-(S9-S10)))</f>
        <v>0.399529697144928</v>
      </c>
      <c r="T11" s="13" t="n">
        <f aca="false">MIN(Waterfall!T13,MAX(0,Debt!T125-(T9-T10)))</f>
        <v>0</v>
      </c>
      <c r="U11" s="13" t="n">
        <f aca="false">MIN(Waterfall!U13,MAX(0,Debt!U125-(U9-U10)))</f>
        <v>0.686577631660306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0.271503473259095</v>
      </c>
      <c r="Z11" s="13" t="n">
        <f aca="false">MIN(Waterfall!Z13,MAX(0,Debt!Z125-(Z9-Z10)))</f>
        <v>0</v>
      </c>
      <c r="AA11" s="13" t="n">
        <f aca="false">MIN(Waterfall!AA13,MAX(0,Debt!AA125-(AA9-AA10)))</f>
        <v>0.395699301102155</v>
      </c>
      <c r="AB11" s="13" t="n">
        <f aca="false">MIN(Waterfall!AB13,MAX(0,Debt!AB125-(AB9-AB10)))</f>
        <v>0</v>
      </c>
      <c r="AC11" s="13" t="n">
        <f aca="false">MIN(Waterfall!AC13,MAX(0,Debt!AC125-(AC9-AC10)))</f>
        <v>0.545467911146162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41.4076408754783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0.355685703933581</v>
      </c>
      <c r="S12" s="13" t="n">
        <f aca="false">MAX(0,S9-S10-Debt!S125)</f>
        <v>0</v>
      </c>
      <c r="T12" s="13" t="n">
        <f aca="false">MAX(0,T9-T10-Debt!T125)</f>
        <v>0.239225268312048</v>
      </c>
      <c r="U12" s="13" t="n">
        <f aca="false">MAX(0,U9-U10-Debt!U125)</f>
        <v>0</v>
      </c>
      <c r="V12" s="13" t="n">
        <f aca="false">MAX(0,V9-V10-Debt!V125)</f>
        <v>0.33388365620403</v>
      </c>
      <c r="W12" s="13" t="n">
        <f aca="false">MAX(0,W9-W10-Debt!W125)</f>
        <v>1.12598817134045</v>
      </c>
      <c r="X12" s="13" t="n">
        <f aca="false">MAX(0,X9-X10-Debt!X125)</f>
        <v>0.423952983706066</v>
      </c>
      <c r="Y12" s="13" t="n">
        <f aca="false">MAX(0,Y9-Y10-Debt!Y125)</f>
        <v>0</v>
      </c>
      <c r="Z12" s="13" t="n">
        <f aca="false">MAX(0,Z9-Z10-Debt!Z125)</f>
        <v>0.365030965260758</v>
      </c>
      <c r="AA12" s="13" t="n">
        <f aca="false">MAX(0,AA9-AA10-Debt!AA125)</f>
        <v>0</v>
      </c>
      <c r="AB12" s="13" t="n">
        <f aca="false">MAX(0,AB9-AB10-Debt!AB125)</f>
        <v>0.834724242663839</v>
      </c>
      <c r="AC12" s="13" t="n">
        <f aca="false">MAX(0,AC9-AC10-Debt!AC125)</f>
        <v>0</v>
      </c>
      <c r="AD12" s="13" t="n">
        <f aca="false">MAX(0,AD9-AD10-Debt!AD125)</f>
        <v>0.805103615632291</v>
      </c>
      <c r="AE12" s="13" t="n">
        <f aca="false">MAX(0,AE9-AE10-Debt!AE125)</f>
        <v>0.976933496289085</v>
      </c>
      <c r="AF12" s="13" t="n">
        <f aca="false">MAX(0,AF9-AF10-Debt!AF125)</f>
        <v>1.53010230046341</v>
      </c>
      <c r="AG12" s="13" t="n">
        <f aca="false">MAX(0,AG9-AG10-Debt!AG125)</f>
        <v>1.08879804159199</v>
      </c>
      <c r="AH12" s="13" t="n">
        <f aca="false">MAX(0,AH9-AH10-Debt!AH125)</f>
        <v>1.95428738482132</v>
      </c>
      <c r="AI12" s="13" t="n">
        <f aca="false">MAX(0,AI9-AI10-Debt!AI125)</f>
        <v>1.8639371593894</v>
      </c>
      <c r="AJ12" s="13" t="n">
        <f aca="false">MAX(0,AJ9-AJ10-Debt!AJ125)</f>
        <v>2.79197174918639</v>
      </c>
      <c r="AK12" s="13" t="n">
        <f aca="false">MAX(0,AK9-AK10-Debt!AK125)</f>
        <v>3.22525575147283</v>
      </c>
      <c r="AL12" s="13" t="n">
        <f aca="false">MAX(0,AL9-AL10-Debt!AL125)</f>
        <v>1.93755244209905</v>
      </c>
      <c r="AM12" s="13" t="n">
        <f aca="false">MAX(0,AM9-AM10-Debt!AM125)</f>
        <v>2.85473809478837</v>
      </c>
      <c r="AN12" s="13" t="n">
        <f aca="false">MAX(0,AN9-AN10-Debt!AN125)</f>
        <v>0.740094143905644</v>
      </c>
      <c r="AO12" s="13" t="n">
        <f aca="false">MAX(0,AO9-AO10-Debt!AO125)</f>
        <v>17.9603757044177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38.6549364939471</v>
      </c>
      <c r="Q13" s="13" t="n">
        <f aca="false">(1-Time!Q37)*(Q9-Q10+Q11-Q12)</f>
        <v>39.1088628611657</v>
      </c>
      <c r="R13" s="13" t="n">
        <f aca="false">(1-Time!R37)*(R9-R10+R11-R12)</f>
        <v>38.7531771572321</v>
      </c>
      <c r="S13" s="13" t="n">
        <f aca="false">(1-Time!S37)*(S9-S10+S11-S12)</f>
        <v>39.152706854377</v>
      </c>
      <c r="T13" s="13" t="n">
        <f aca="false">(1-Time!T37)*(T9-T10+T11-T12)</f>
        <v>38.913481586065</v>
      </c>
      <c r="U13" s="13" t="n">
        <f aca="false">(1-Time!U37)*(U9-U10+U11-U12)</f>
        <v>39.6000592177253</v>
      </c>
      <c r="V13" s="13" t="n">
        <f aca="false">(1-Time!V37)*(V9-V10+V11-V12)</f>
        <v>39.2661755615212</v>
      </c>
      <c r="W13" s="13" t="n">
        <f aca="false">(1-Time!W37)*(W9-W10+W11-W12)</f>
        <v>38.1401873901808</v>
      </c>
      <c r="X13" s="13" t="n">
        <f aca="false">(1-Time!X37)*(X9-X10+X11-X12)</f>
        <v>37.7162344064747</v>
      </c>
      <c r="Y13" s="13" t="n">
        <f aca="false">(1-Time!Y37)*(Y9-Y10+Y11-Y12)</f>
        <v>37.9877378797338</v>
      </c>
      <c r="Z13" s="13" t="n">
        <f aca="false">(1-Time!Z37)*(Z9-Z10+Z11-Z12)</f>
        <v>37.622706914473</v>
      </c>
      <c r="AA13" s="13" t="n">
        <f aca="false">(1-Time!AA37)*(AA9-AA10+AA11-AA12)</f>
        <v>38.0184062155752</v>
      </c>
      <c r="AB13" s="13" t="n">
        <f aca="false">(1-Time!AB37)*(AB9-AB10+AB11-AB12)</f>
        <v>37.1836819729114</v>
      </c>
      <c r="AC13" s="13" t="n">
        <f aca="false">(1-Time!AC37)*(AC9-AC10+AC11-AC12)</f>
        <v>37.7291498840575</v>
      </c>
      <c r="AD13" s="13" t="n">
        <f aca="false">(1-Time!AD37)*(AD9-AD10+AD11-AD12)</f>
        <v>36.9240462684252</v>
      </c>
      <c r="AE13" s="13" t="n">
        <f aca="false">(1-Time!AE37)*(AE9-AE10+AE11-AE12)</f>
        <v>35.9471127721361</v>
      </c>
      <c r="AF13" s="13" t="n">
        <f aca="false">(1-Time!AF37)*(AF9-AF10+AF11-AF12)</f>
        <v>34.4170104716727</v>
      </c>
      <c r="AG13" s="13" t="n">
        <f aca="false">(1-Time!AG37)*(AG9-AG10+AG11-AG12)</f>
        <v>33.3282124300808</v>
      </c>
      <c r="AH13" s="13" t="n">
        <f aca="false">(1-Time!AH37)*(AH9-AH10+AH11-AH12)</f>
        <v>31.3739250452594</v>
      </c>
      <c r="AI13" s="13" t="n">
        <f aca="false">(1-Time!AI37)*(AI9-AI10+AI11-AI12)</f>
        <v>29.50998788587</v>
      </c>
      <c r="AJ13" s="13" t="n">
        <f aca="false">(1-Time!AJ37)*(AJ9-AJ10+AJ11-AJ12)</f>
        <v>26.7180161366836</v>
      </c>
      <c r="AK13" s="13" t="n">
        <f aca="false">(1-Time!AK37)*(AK9-AK10+AK11-AK12)</f>
        <v>23.4927603852108</v>
      </c>
      <c r="AL13" s="13" t="n">
        <f aca="false">(1-Time!AL37)*(AL9-AL10+AL11-AL12)</f>
        <v>21.5552079431118</v>
      </c>
      <c r="AM13" s="13" t="n">
        <f aca="false">(1-Time!AM37)*(AM9-AM10+AM11-AM12)</f>
        <v>18.7004698483234</v>
      </c>
      <c r="AN13" s="13" t="n">
        <f aca="false">(1-Time!AN37)*(AN9-AN10+AN11-AN12)</f>
        <v>17.9603757044177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2316.04221573652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42.5350486407587</v>
      </c>
      <c r="AP7" s="13" t="n">
        <f aca="false">Operations!AP84-Tax!AP27-Operations!AP96-Reserves!AP7+Operations!AP79+Operations!AP97</f>
        <v>42.0651724960484</v>
      </c>
      <c r="AQ7" s="13" t="n">
        <f aca="false">Operations!AQ84-Tax!AQ27-Operations!AQ96-Reserves!AQ7+Operations!AQ79+Operations!AQ97</f>
        <v>41.1729146177004</v>
      </c>
      <c r="AR7" s="13" t="n">
        <f aca="false">Operations!AR84-Tax!AR27-Operations!AR96-Reserves!AR7+Operations!AR79+Operations!AR97</f>
        <v>41.7692761146622</v>
      </c>
      <c r="AS7" s="13" t="n">
        <f aca="false">Operations!AS84-Tax!AS27-Operations!AS96-Reserves!AS7+Operations!AS79+Operations!AS97</f>
        <v>41.5039281954534</v>
      </c>
      <c r="AT7" s="13" t="n">
        <f aca="false">Operations!AT84-Tax!AT27-Operations!AT96-Reserves!AT7+Operations!AT79+Operations!AT97</f>
        <v>48.2370083149193</v>
      </c>
      <c r="AU7" s="13" t="n">
        <f aca="false">Operations!AU84-Tax!AU27-Operations!AU96-Reserves!AU7+Operations!AU79+Operations!AU97</f>
        <v>43.7998360232506</v>
      </c>
      <c r="AV7" s="13" t="n">
        <f aca="false">Operations!AV84-Tax!AV27-Operations!AV96-Reserves!AV7+Operations!AV79+Operations!AV97</f>
        <v>43.9233348267565</v>
      </c>
      <c r="AW7" s="13" t="n">
        <f aca="false">Operations!AW84-Tax!AW27-Operations!AW96-Reserves!AW7+Operations!AW79+Operations!AW97</f>
        <v>43.4989500388201</v>
      </c>
      <c r="AX7" s="13" t="n">
        <f aca="false">Operations!AX84-Tax!AX27-Operations!AX96-Reserves!AX7+Operations!AX79+Operations!AX97</f>
        <v>44.1737900691598</v>
      </c>
      <c r="AY7" s="13" t="n">
        <f aca="false">Operations!AY84-Tax!AY27-Operations!AY96-Reserves!AY7+Operations!AY79+Operations!AY97</f>
        <v>43.7168675826064</v>
      </c>
      <c r="AZ7" s="13" t="n">
        <f aca="false">Operations!AZ84-Tax!AZ27-Operations!AZ96-Reserves!AZ7+Operations!AZ79+Operations!AZ97</f>
        <v>44.3347577225094</v>
      </c>
      <c r="BA7" s="13" t="n">
        <f aca="false">Operations!BA84-Tax!BA27-Operations!BA96-Reserves!BA7+Operations!BA79+Operations!BA97</f>
        <v>44.037113391057</v>
      </c>
      <c r="BB7" s="13" t="n">
        <f aca="false">Operations!BB84-Tax!BB27-Operations!BB96-Reserves!BB7+Operations!BB79+Operations!BB97</f>
        <v>46.2842752649501</v>
      </c>
      <c r="BC7" s="13" t="n">
        <f aca="false">Operations!BC84-Tax!BC27-Operations!BC96-Reserves!BC7+Operations!BC79+Operations!BC97</f>
        <v>42.8857335930063</v>
      </c>
      <c r="BD7" s="13" t="n">
        <f aca="false">Operations!BD84-Tax!BD27-Operations!BD96-Reserves!BD7+Operations!BD79+Operations!BD97</f>
        <v>36.7876586407353</v>
      </c>
      <c r="BE7" s="13" t="n">
        <f aca="false">Operations!BE84-Tax!BE27-Operations!BE96-Reserves!BE7+Operations!BE79+Operations!BE97</f>
        <v>36.3546812352133</v>
      </c>
      <c r="BF7" s="13" t="n">
        <f aca="false">Operations!BF84-Tax!BF27-Operations!BF96-Reserves!BF7+Operations!BF79+Operations!BF97</f>
        <v>37.0589833603974</v>
      </c>
      <c r="BG7" s="13" t="n">
        <f aca="false">Operations!BG84-Tax!BG27-Operations!BG96-Reserves!BG7+Operations!BG79+Operations!BG97</f>
        <v>36.5913519800296</v>
      </c>
      <c r="BH7" s="13" t="n">
        <f aca="false">Operations!BH84-Tax!BH27-Operations!BH96-Reserves!BH7+Operations!BH79+Operations!BH97</f>
        <v>37.232516100703</v>
      </c>
      <c r="BI7" s="13" t="n">
        <f aca="false">Operations!BI84-Tax!BI27-Operations!BI96-Reserves!BI7+Operations!BI79+Operations!BI97</f>
        <v>36.9714155403391</v>
      </c>
      <c r="BJ7" s="13" t="n">
        <f aca="false">Operations!BJ84-Tax!BJ27-Operations!BJ96-Reserves!BJ7+Operations!BJ79+Operations!BJ97</f>
        <v>44.9952268334876</v>
      </c>
      <c r="BK7" s="13" t="n">
        <f aca="false">Operations!BK84-Tax!BK27-Operations!BK96-Reserves!BK7+Operations!BK79+Operations!BK97</f>
        <v>39.7455843256472</v>
      </c>
      <c r="BL7" s="13" t="n">
        <f aca="false">Operations!BL84-Tax!BL27-Operations!BL96-Reserves!BL7+Operations!BL79+Operations!BL97</f>
        <v>40.4937354487881</v>
      </c>
      <c r="BM7" s="13" t="n">
        <f aca="false">Operations!BM84-Tax!BM27-Operations!BM96-Reserves!BM7+Operations!BM79+Operations!BM97</f>
        <v>36.9077606707716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42.5350486407587</v>
      </c>
      <c r="AP9" s="13" t="n">
        <f aca="false">AP7+AP8</f>
        <v>42.0651724960484</v>
      </c>
      <c r="AQ9" s="13" t="n">
        <f aca="false">AQ7+AQ8</f>
        <v>41.1729146177004</v>
      </c>
      <c r="AR9" s="13" t="n">
        <f aca="false">AR7+AR8</f>
        <v>41.7692761146622</v>
      </c>
      <c r="AS9" s="13" t="n">
        <f aca="false">AS7+AS8</f>
        <v>41.5039281954534</v>
      </c>
      <c r="AT9" s="13" t="n">
        <f aca="false">AT7+AT8</f>
        <v>48.2370083149193</v>
      </c>
      <c r="AU9" s="13" t="n">
        <f aca="false">AU7+AU8</f>
        <v>43.7998360232506</v>
      </c>
      <c r="AV9" s="13" t="n">
        <f aca="false">AV7+AV8</f>
        <v>43.9233348267565</v>
      </c>
      <c r="AW9" s="13" t="n">
        <f aca="false">AW7+AW8</f>
        <v>43.4989500388201</v>
      </c>
      <c r="AX9" s="13" t="n">
        <f aca="false">AX7+AX8</f>
        <v>44.1737900691598</v>
      </c>
      <c r="AY9" s="13" t="n">
        <f aca="false">AY7+AY8</f>
        <v>43.7168675826064</v>
      </c>
      <c r="AZ9" s="13" t="n">
        <f aca="false">AZ7+AZ8</f>
        <v>44.3347577225094</v>
      </c>
      <c r="BA9" s="13" t="n">
        <f aca="false">BA7+BA8</f>
        <v>44.037113391057</v>
      </c>
      <c r="BB9" s="13" t="n">
        <f aca="false">BB7+BB8</f>
        <v>46.2842752649501</v>
      </c>
      <c r="BC9" s="13" t="n">
        <f aca="false">BC7+BC8</f>
        <v>42.8857335930063</v>
      </c>
      <c r="BD9" s="13" t="n">
        <f aca="false">BD7+BD8</f>
        <v>36.7876586407353</v>
      </c>
      <c r="BE9" s="13" t="n">
        <f aca="false">BE7+BE8</f>
        <v>36.3546812352133</v>
      </c>
      <c r="BF9" s="13" t="n">
        <f aca="false">BF7+BF8</f>
        <v>37.0589833603974</v>
      </c>
      <c r="BG9" s="13" t="n">
        <f aca="false">BG7+BG8</f>
        <v>36.5913519800296</v>
      </c>
      <c r="BH9" s="13" t="n">
        <f aca="false">BH7+BH8</f>
        <v>37.232516100703</v>
      </c>
      <c r="BI9" s="13" t="n">
        <f aca="false">BI7+BI8</f>
        <v>36.9714155403391</v>
      </c>
      <c r="BJ9" s="13" t="n">
        <f aca="false">BJ7+BJ8</f>
        <v>44.9952268334876</v>
      </c>
      <c r="BK9" s="13" t="n">
        <f aca="false">BK7+BK8</f>
        <v>39.7455843256472</v>
      </c>
      <c r="BL9" s="13" t="n">
        <f aca="false">BL7+BL8</f>
        <v>40.4937354487881</v>
      </c>
      <c r="BM9" s="13" t="n">
        <f aca="false">BM7+BM8</f>
        <v>36.9077606707716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866.77868963857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38.6549364939471</v>
      </c>
      <c r="R10" s="13" t="n">
        <f aca="false">Debt!R114+Debt!R110</f>
        <v>39.1088628611657</v>
      </c>
      <c r="S10" s="13" t="n">
        <f aca="false">Debt!S114+Debt!S110</f>
        <v>38.7531771572321</v>
      </c>
      <c r="T10" s="13" t="n">
        <f aca="false">Debt!T114+Debt!T110</f>
        <v>39.152706854377</v>
      </c>
      <c r="U10" s="13" t="n">
        <f aca="false">Debt!U114+Debt!U110</f>
        <v>38.9134815860649</v>
      </c>
      <c r="V10" s="13" t="n">
        <f aca="false">Debt!V114+Debt!V110</f>
        <v>39.6000592177253</v>
      </c>
      <c r="W10" s="13" t="n">
        <f aca="false">Debt!W114+Debt!W110</f>
        <v>39.2661755615212</v>
      </c>
      <c r="X10" s="13" t="n">
        <f aca="false">Debt!X114+Debt!X110</f>
        <v>38.1401873901808</v>
      </c>
      <c r="Y10" s="13" t="n">
        <f aca="false">Debt!Y114+Debt!Y110</f>
        <v>37.7162344064747</v>
      </c>
      <c r="Z10" s="13" t="n">
        <f aca="false">Debt!Z114+Debt!Z110</f>
        <v>37.9877378797338</v>
      </c>
      <c r="AA10" s="13" t="n">
        <f aca="false">Debt!AA114+Debt!AA110</f>
        <v>37.622706914473</v>
      </c>
      <c r="AB10" s="13" t="n">
        <f aca="false">Debt!AB114+Debt!AB110</f>
        <v>37.3938525996838</v>
      </c>
      <c r="AC10" s="13" t="n">
        <f aca="false">Debt!AC114+Debt!AC110</f>
        <v>36.4170152920358</v>
      </c>
      <c r="AD10" s="13" t="n">
        <f aca="false">Debt!AD114+Debt!AD110</f>
        <v>36.9229791441699</v>
      </c>
      <c r="AE10" s="13" t="n">
        <f aca="false">Debt!AE114+Debt!AE110</f>
        <v>35.8825176494362</v>
      </c>
      <c r="AF10" s="13" t="n">
        <f aca="false">Debt!AF114+Debt!AF110</f>
        <v>34.7267539681148</v>
      </c>
      <c r="AG10" s="13" t="n">
        <f aca="false">Debt!AG114+Debt!AG110</f>
        <v>32.9497123045147</v>
      </c>
      <c r="AH10" s="13" t="n">
        <f aca="false">Debt!AH114+Debt!AH110</f>
        <v>31.6064681960559</v>
      </c>
      <c r="AI10" s="13" t="n">
        <f aca="false">Debt!AI114+Debt!AI110</f>
        <v>29.1957525194833</v>
      </c>
      <c r="AJ10" s="13" t="n">
        <f aca="false">Debt!AJ114+Debt!AJ110</f>
        <v>26.7729706195202</v>
      </c>
      <c r="AK10" s="13" t="n">
        <f aca="false">Debt!AK114+Debt!AK110</f>
        <v>22.9932779614692</v>
      </c>
      <c r="AL10" s="13" t="n">
        <f aca="false">Debt!AL114+Debt!AL110</f>
        <v>21.5391741287425</v>
      </c>
      <c r="AM10" s="13" t="n">
        <f aca="false">Debt!AM114+Debt!AM110</f>
        <v>21.5552079431118</v>
      </c>
      <c r="AN10" s="13" t="n">
        <f aca="false">Debt!AN114+Debt!AN110</f>
        <v>18.7004698483234</v>
      </c>
      <c r="AO10" s="13" t="n">
        <f aca="false">Debt!AO114+Debt!AO110</f>
        <v>17.9603757044177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11.507035724243</v>
      </c>
      <c r="R13" s="13" t="n">
        <f aca="false">MAX(0,R9-R10)</f>
        <v>11.6845970118936</v>
      </c>
      <c r="S13" s="13" t="n">
        <f aca="false">MAX(0,S9-S10)</f>
        <v>11.6467947114602</v>
      </c>
      <c r="T13" s="13" t="n">
        <f aca="false">MAX(0,T9-T10)</f>
        <v>11.8114371556032</v>
      </c>
      <c r="U13" s="13" t="n">
        <f aca="false">MAX(0,U9-U10)</f>
        <v>11.8069536368183</v>
      </c>
      <c r="V13" s="13" t="n">
        <f aca="false">MAX(0,V9-V10)</f>
        <v>12.0886331040571</v>
      </c>
      <c r="W13" s="13" t="n">
        <f aca="false">MAX(0,W9-W10)</f>
        <v>12.0651814666662</v>
      </c>
      <c r="X13" s="13" t="n">
        <f aca="false">MAX(0,X9-X10)</f>
        <v>11.7109859645017</v>
      </c>
      <c r="Y13" s="13" t="n">
        <f aca="false">MAX(0,Y9-Y10)</f>
        <v>11.6537948566637</v>
      </c>
      <c r="Z13" s="13" t="n">
        <f aca="false">MAX(0,Z9-Z10)</f>
        <v>11.7886023204195</v>
      </c>
      <c r="AA13" s="13" t="n">
        <f aca="false">MAX(0,AA9-AA10)</f>
        <v>11.7525810173203</v>
      </c>
      <c r="AB13" s="13" t="n">
        <f aca="false">MAX(0,AB9-AB10)</f>
        <v>12.5625580567972</v>
      </c>
      <c r="AC13" s="13" t="n">
        <f aca="false">MAX(0,AC9-AC10)</f>
        <v>13.3344391506539</v>
      </c>
      <c r="AD13" s="13" t="n">
        <f aca="false">MAX(0,AD9-AD10)</f>
        <v>14.7395635385693</v>
      </c>
      <c r="AE13" s="13" t="n">
        <f aca="false">MAX(0,AE9-AE10)</f>
        <v>15.8633142882306</v>
      </c>
      <c r="AF13" s="13" t="n">
        <f aca="false">MAX(0,AF9-AF10)</f>
        <v>17.179931684678</v>
      </c>
      <c r="AG13" s="13" t="n">
        <f aca="false">MAX(0,AG9-AG10)</f>
        <v>18.5895668473923</v>
      </c>
      <c r="AH13" s="13" t="n">
        <f aca="false">MAX(0,AH9-AH10)</f>
        <v>20.6022764821274</v>
      </c>
      <c r="AI13" s="13" t="n">
        <f aca="false">MAX(0,AI9-AI10)</f>
        <v>22.6054882310347</v>
      </c>
      <c r="AJ13" s="13" t="n">
        <f aca="false">MAX(0,AJ9-AJ10)</f>
        <v>25.6296276691184</v>
      </c>
      <c r="AK13" s="13" t="n">
        <f aca="false">MAX(0,AK9-AK10)</f>
        <v>29.1712549793064</v>
      </c>
      <c r="AL13" s="13" t="n">
        <f aca="false">MAX(0,AL9-AL10)</f>
        <v>31.7364018826764</v>
      </c>
      <c r="AM13" s="13" t="n">
        <f aca="false">MAX(0,AM9-AM10)</f>
        <v>31.3444970844976</v>
      </c>
      <c r="AN13" s="13" t="n">
        <f aca="false">MAX(0,AN9-AN10)</f>
        <v>32.3631533040582</v>
      </c>
      <c r="AO13" s="13" t="n">
        <f aca="false">MAX(0,AO9-AO10)</f>
        <v>24.5746729363409</v>
      </c>
      <c r="AP13" s="13" t="n">
        <f aca="false">MAX(0,AP9-AP10)</f>
        <v>42.0651724960484</v>
      </c>
      <c r="AQ13" s="13" t="n">
        <f aca="false">MAX(0,AQ9-AQ10)</f>
        <v>41.1729146177004</v>
      </c>
      <c r="AR13" s="13" t="n">
        <f aca="false">MAX(0,AR9-AR10)</f>
        <v>41.7692761146622</v>
      </c>
      <c r="AS13" s="13" t="n">
        <f aca="false">MAX(0,AS9-AS10)</f>
        <v>41.5039281954534</v>
      </c>
      <c r="AT13" s="13" t="n">
        <f aca="false">MAX(0,AT9-AT10)</f>
        <v>48.2370083149193</v>
      </c>
      <c r="AU13" s="13" t="n">
        <f aca="false">MAX(0,AU9-AU10)</f>
        <v>43.7998360232506</v>
      </c>
      <c r="AV13" s="13" t="n">
        <f aca="false">MAX(0,AV9-AV10)</f>
        <v>43.9233348267565</v>
      </c>
      <c r="AW13" s="13" t="n">
        <f aca="false">MAX(0,AW9-AW10)</f>
        <v>43.4989500388201</v>
      </c>
      <c r="AX13" s="13" t="n">
        <f aca="false">MAX(0,AX9-AX10)</f>
        <v>44.1737900691598</v>
      </c>
      <c r="AY13" s="13" t="n">
        <f aca="false">MAX(0,AY9-AY10)</f>
        <v>43.7168675826064</v>
      </c>
      <c r="AZ13" s="13" t="n">
        <f aca="false">MAX(0,AZ9-AZ10)</f>
        <v>44.3347577225094</v>
      </c>
      <c r="BA13" s="13" t="n">
        <f aca="false">MAX(0,BA9-BA10)</f>
        <v>44.037113391057</v>
      </c>
      <c r="BB13" s="13" t="n">
        <f aca="false">MAX(0,BB9-BB10)</f>
        <v>46.2842752649501</v>
      </c>
      <c r="BC13" s="13" t="n">
        <f aca="false">MAX(0,BC9-BC10)</f>
        <v>42.8857335930063</v>
      </c>
      <c r="BD13" s="13" t="n">
        <f aca="false">MAX(0,BD9-BD10)</f>
        <v>36.7876586407353</v>
      </c>
      <c r="BE13" s="13" t="n">
        <f aca="false">MAX(0,BE9-BE10)</f>
        <v>36.3546812352133</v>
      </c>
      <c r="BF13" s="13" t="n">
        <f aca="false">MAX(0,BF9-BF10)</f>
        <v>37.0589833603974</v>
      </c>
      <c r="BG13" s="13" t="n">
        <f aca="false">MAX(0,BG9-BG10)</f>
        <v>36.5913519800296</v>
      </c>
      <c r="BH13" s="13" t="n">
        <f aca="false">MAX(0,BH9-BH10)</f>
        <v>37.232516100703</v>
      </c>
      <c r="BI13" s="13" t="n">
        <f aca="false">MAX(0,BI9-BI10)</f>
        <v>36.9714155403391</v>
      </c>
      <c r="BJ13" s="13" t="n">
        <f aca="false">MAX(0,BJ9-BJ10)</f>
        <v>44.9952268334876</v>
      </c>
      <c r="BK13" s="13" t="n">
        <f aca="false">MAX(0,BK9-BK10)</f>
        <v>39.7455843256472</v>
      </c>
      <c r="BL13" s="13" t="n">
        <f aca="false">MAX(0,BL9-BL10)</f>
        <v>40.4937354487881</v>
      </c>
      <c r="BM13" s="13" t="n">
        <f aca="false">MAX(0,BM9-BM10)</f>
        <v>36.9077606707716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13.4992695484608</v>
      </c>
      <c r="Q14" s="13" t="n">
        <f aca="false">Q13-Reserves!Q11+Reserves!Q12</f>
        <v>11.0531093570244</v>
      </c>
      <c r="R14" s="13" t="n">
        <f aca="false">R13-Reserves!R11+Reserves!R12</f>
        <v>12.0402827158271</v>
      </c>
      <c r="S14" s="13" t="n">
        <f aca="false">S13-Reserves!S11+Reserves!S12</f>
        <v>11.2472650143153</v>
      </c>
      <c r="T14" s="13" t="n">
        <f aca="false">T13-Reserves!T11+Reserves!T12</f>
        <v>12.0506624239152</v>
      </c>
      <c r="U14" s="13" t="n">
        <f aca="false">U13-Reserves!U11+Reserves!U12</f>
        <v>11.120376005158</v>
      </c>
      <c r="V14" s="13" t="n">
        <f aca="false">V13-Reserves!V11+Reserves!V12</f>
        <v>12.4225167602611</v>
      </c>
      <c r="W14" s="13" t="n">
        <f aca="false">W13-Reserves!W11+Reserves!W12</f>
        <v>13.1911696380067</v>
      </c>
      <c r="X14" s="13" t="n">
        <f aca="false">X13-Reserves!X11+Reserves!X12</f>
        <v>12.1349389482078</v>
      </c>
      <c r="Y14" s="13" t="n">
        <f aca="false">Y13-Reserves!Y11+Reserves!Y12</f>
        <v>11.3822913834046</v>
      </c>
      <c r="Z14" s="13" t="n">
        <f aca="false">Z13-Reserves!Z11+Reserves!Z12</f>
        <v>12.1536332856803</v>
      </c>
      <c r="AA14" s="13" t="n">
        <f aca="false">AA13-Reserves!AA11+Reserves!AA12</f>
        <v>11.3568817162181</v>
      </c>
      <c r="AB14" s="13" t="n">
        <f aca="false">AB13-Reserves!AB11+Reserves!AB12</f>
        <v>13.397282299461</v>
      </c>
      <c r="AC14" s="13" t="n">
        <f aca="false">AC13-Reserves!AC11+Reserves!AC12</f>
        <v>12.7889712395078</v>
      </c>
      <c r="AD14" s="13" t="n">
        <f aca="false">AD13-Reserves!AD11+Reserves!AD12</f>
        <v>15.5446671542016</v>
      </c>
      <c r="AE14" s="13" t="n">
        <f aca="false">AE13-Reserves!AE11+Reserves!AE12</f>
        <v>16.8402477845197</v>
      </c>
      <c r="AF14" s="13" t="n">
        <f aca="false">AF13-Reserves!AF11+Reserves!AF12</f>
        <v>18.7100339851414</v>
      </c>
      <c r="AG14" s="13" t="n">
        <f aca="false">AG13-Reserves!AG11+Reserves!AG12</f>
        <v>19.6783648889843</v>
      </c>
      <c r="AH14" s="13" t="n">
        <f aca="false">AH13-Reserves!AH11+Reserves!AH12</f>
        <v>22.5565638669488</v>
      </c>
      <c r="AI14" s="13" t="n">
        <f aca="false">AI13-Reserves!AI11+Reserves!AI12</f>
        <v>24.4694253904241</v>
      </c>
      <c r="AJ14" s="13" t="n">
        <f aca="false">AJ13-Reserves!AJ11+Reserves!AJ12</f>
        <v>28.4215994183048</v>
      </c>
      <c r="AK14" s="13" t="n">
        <f aca="false">AK13-Reserves!AK11+Reserves!AK12</f>
        <v>32.3965107307792</v>
      </c>
      <c r="AL14" s="13" t="n">
        <f aca="false">AL13-Reserves!AL11+Reserves!AL12</f>
        <v>33.6739543247755</v>
      </c>
      <c r="AM14" s="13" t="n">
        <f aca="false">AM13-Reserves!AM11+Reserves!AM12</f>
        <v>34.199235179286</v>
      </c>
      <c r="AN14" s="13" t="n">
        <f aca="false">AN13-Reserves!AN11+Reserves!AN12</f>
        <v>33.1032474479638</v>
      </c>
      <c r="AO14" s="13" t="n">
        <f aca="false">AO13-Reserves!AO11+Reserves!AO12</f>
        <v>42.5350486407587</v>
      </c>
      <c r="AP14" s="13" t="n">
        <f aca="false">AP13-Reserves!AP11+Reserves!AP12</f>
        <v>42.0651724960484</v>
      </c>
      <c r="AQ14" s="13" t="n">
        <f aca="false">AQ13-Reserves!AQ11+Reserves!AQ12</f>
        <v>41.1729146177004</v>
      </c>
      <c r="AR14" s="13" t="n">
        <f aca="false">AR13-Reserves!AR11+Reserves!AR12</f>
        <v>41.7692761146622</v>
      </c>
      <c r="AS14" s="13" t="n">
        <f aca="false">AS13-Reserves!AS11+Reserves!AS12</f>
        <v>41.5039281954534</v>
      </c>
      <c r="AT14" s="13" t="n">
        <f aca="false">AT13-Reserves!AT11+Reserves!AT12</f>
        <v>48.2370083149193</v>
      </c>
      <c r="AU14" s="13" t="n">
        <f aca="false">AU13-Reserves!AU11+Reserves!AU12</f>
        <v>43.7998360232506</v>
      </c>
      <c r="AV14" s="13" t="n">
        <f aca="false">AV13-Reserves!AV11+Reserves!AV12</f>
        <v>43.9233348267565</v>
      </c>
      <c r="AW14" s="13" t="n">
        <f aca="false">AW13-Reserves!AW11+Reserves!AW12</f>
        <v>43.4989500388201</v>
      </c>
      <c r="AX14" s="13" t="n">
        <f aca="false">AX13-Reserves!AX11+Reserves!AX12</f>
        <v>44.1737900691598</v>
      </c>
      <c r="AY14" s="13" t="n">
        <f aca="false">AY13-Reserves!AY11+Reserves!AY12</f>
        <v>43.7168675826064</v>
      </c>
      <c r="AZ14" s="13" t="n">
        <f aca="false">AZ13-Reserves!AZ11+Reserves!AZ12</f>
        <v>44.3347577225094</v>
      </c>
      <c r="BA14" s="13" t="n">
        <f aca="false">BA13-Reserves!BA11+Reserves!BA12</f>
        <v>44.037113391057</v>
      </c>
      <c r="BB14" s="13" t="n">
        <f aca="false">BB13-Reserves!BB11+Reserves!BB12</f>
        <v>46.2842752649501</v>
      </c>
      <c r="BC14" s="13" t="n">
        <f aca="false">BC13-Reserves!BC11+Reserves!BC12</f>
        <v>42.8857335930063</v>
      </c>
      <c r="BD14" s="13" t="n">
        <f aca="false">BD13-Reserves!BD11+Reserves!BD12</f>
        <v>36.7876586407353</v>
      </c>
      <c r="BE14" s="13" t="n">
        <f aca="false">BE13-Reserves!BE11+Reserves!BE12</f>
        <v>36.3546812352133</v>
      </c>
      <c r="BF14" s="13" t="n">
        <f aca="false">BF13-Reserves!BF11+Reserves!BF12</f>
        <v>37.0589833603974</v>
      </c>
      <c r="BG14" s="13" t="n">
        <f aca="false">BG13-Reserves!BG11+Reserves!BG12</f>
        <v>36.5913519800296</v>
      </c>
      <c r="BH14" s="13" t="n">
        <f aca="false">BH13-Reserves!BH11+Reserves!BH12</f>
        <v>37.232516100703</v>
      </c>
      <c r="BI14" s="13" t="n">
        <f aca="false">BI13-Reserves!BI11+Reserves!BI12</f>
        <v>36.9714155403391</v>
      </c>
      <c r="BJ14" s="13" t="n">
        <f aca="false">BJ13-Reserves!BJ11+Reserves!BJ12</f>
        <v>44.9952268334876</v>
      </c>
      <c r="BK14" s="13" t="n">
        <f aca="false">BK13-Reserves!BK11+Reserves!BK12</f>
        <v>39.7455843256472</v>
      </c>
      <c r="BL14" s="13" t="n">
        <f aca="false">BL13-Reserves!BL11+Reserves!BL12</f>
        <v>40.4937354487881</v>
      </c>
      <c r="BM14" s="13" t="n">
        <f aca="false">BM13-Reserves!BM11+Reserves!BM12</f>
        <v>36.9077606707716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13.4992695484608</v>
      </c>
      <c r="Q15" s="13" t="n">
        <f aca="false">Q14-Reserves!Q14+Reserves!Q15</f>
        <v>11.0531093570244</v>
      </c>
      <c r="R15" s="13" t="n">
        <f aca="false">R14-Reserves!R14+Reserves!R15</f>
        <v>12.0402827158271</v>
      </c>
      <c r="S15" s="13" t="n">
        <f aca="false">S14-Reserves!S14+Reserves!S15</f>
        <v>11.2472650143153</v>
      </c>
      <c r="T15" s="13" t="n">
        <f aca="false">T14-Reserves!T14+Reserves!T15</f>
        <v>12.0506624239152</v>
      </c>
      <c r="U15" s="13" t="n">
        <f aca="false">U14-Reserves!U14+Reserves!U15</f>
        <v>11.120376005158</v>
      </c>
      <c r="V15" s="13" t="n">
        <f aca="false">V14-Reserves!V14+Reserves!V15</f>
        <v>12.4225167602611</v>
      </c>
      <c r="W15" s="13" t="n">
        <f aca="false">W14-Reserves!W14+Reserves!W15</f>
        <v>13.1911696380067</v>
      </c>
      <c r="X15" s="13" t="n">
        <f aca="false">X14-Reserves!X14+Reserves!X15</f>
        <v>12.1349389482078</v>
      </c>
      <c r="Y15" s="13" t="n">
        <f aca="false">Y14-Reserves!Y14+Reserves!Y15</f>
        <v>11.3822913834046</v>
      </c>
      <c r="Z15" s="13" t="n">
        <f aca="false">Z14-Reserves!Z14+Reserves!Z15</f>
        <v>12.1536332856803</v>
      </c>
      <c r="AA15" s="13" t="n">
        <f aca="false">AA14-Reserves!AA14+Reserves!AA15</f>
        <v>11.3568817162181</v>
      </c>
      <c r="AB15" s="13" t="n">
        <f aca="false">AB14-Reserves!AB14+Reserves!AB15</f>
        <v>13.397282299461</v>
      </c>
      <c r="AC15" s="13" t="n">
        <f aca="false">AC14-Reserves!AC14+Reserves!AC15</f>
        <v>12.7889712395078</v>
      </c>
      <c r="AD15" s="13" t="n">
        <f aca="false">AD14-Reserves!AD14+Reserves!AD15</f>
        <v>15.5446671542016</v>
      </c>
      <c r="AE15" s="13" t="n">
        <f aca="false">AE14-Reserves!AE14+Reserves!AE15</f>
        <v>16.8402477845197</v>
      </c>
      <c r="AF15" s="13" t="n">
        <f aca="false">AF14-Reserves!AF14+Reserves!AF15</f>
        <v>18.7100339851414</v>
      </c>
      <c r="AG15" s="13" t="n">
        <f aca="false">AG14-Reserves!AG14+Reserves!AG15</f>
        <v>19.6783648889843</v>
      </c>
      <c r="AH15" s="13" t="n">
        <f aca="false">AH14-Reserves!AH14+Reserves!AH15</f>
        <v>22.5565638669488</v>
      </c>
      <c r="AI15" s="13" t="n">
        <f aca="false">AI14-Reserves!AI14+Reserves!AI15</f>
        <v>24.4694253904241</v>
      </c>
      <c r="AJ15" s="13" t="n">
        <f aca="false">AJ14-Reserves!AJ14+Reserves!AJ15</f>
        <v>28.4215994183048</v>
      </c>
      <c r="AK15" s="13" t="n">
        <f aca="false">AK14-Reserves!AK14+Reserves!AK15</f>
        <v>32.3965107307792</v>
      </c>
      <c r="AL15" s="13" t="n">
        <f aca="false">AL14-Reserves!AL14+Reserves!AL15</f>
        <v>33.6739543247755</v>
      </c>
      <c r="AM15" s="13" t="n">
        <f aca="false">AM14-Reserves!AM14+Reserves!AM15</f>
        <v>34.199235179286</v>
      </c>
      <c r="AN15" s="13" t="n">
        <f aca="false">AN14-Reserves!AN14+Reserves!AN15</f>
        <v>33.1032474479638</v>
      </c>
      <c r="AO15" s="13" t="n">
        <f aca="false">AO14-Reserves!AO14+Reserves!AO15</f>
        <v>42.5350486407587</v>
      </c>
      <c r="AP15" s="13" t="n">
        <f aca="false">AP14-Reserves!AP14+Reserves!AP15</f>
        <v>42.0651724960484</v>
      </c>
      <c r="AQ15" s="13" t="n">
        <f aca="false">AQ14-Reserves!AQ14+Reserves!AQ15</f>
        <v>41.1729146177004</v>
      </c>
      <c r="AR15" s="13" t="n">
        <f aca="false">AR14-Reserves!AR14+Reserves!AR15</f>
        <v>41.7692761146622</v>
      </c>
      <c r="AS15" s="13" t="n">
        <f aca="false">AS14-Reserves!AS14+Reserves!AS15</f>
        <v>41.5039281954534</v>
      </c>
      <c r="AT15" s="13" t="n">
        <f aca="false">AT14-Reserves!AT14+Reserves!AT15</f>
        <v>48.2370083149193</v>
      </c>
      <c r="AU15" s="13" t="n">
        <f aca="false">AU14-Reserves!AU14+Reserves!AU15</f>
        <v>43.7998360232506</v>
      </c>
      <c r="AV15" s="13" t="n">
        <f aca="false">AV14-Reserves!AV14+Reserves!AV15</f>
        <v>43.9233348267565</v>
      </c>
      <c r="AW15" s="13" t="n">
        <f aca="false">AW14-Reserves!AW14+Reserves!AW15</f>
        <v>43.4989500388201</v>
      </c>
      <c r="AX15" s="13" t="n">
        <f aca="false">AX14-Reserves!AX14+Reserves!AX15</f>
        <v>44.1737900691598</v>
      </c>
      <c r="AY15" s="13" t="n">
        <f aca="false">AY14-Reserves!AY14+Reserves!AY15</f>
        <v>43.7168675826064</v>
      </c>
      <c r="AZ15" s="13" t="n">
        <f aca="false">AZ14-Reserves!AZ14+Reserves!AZ15</f>
        <v>44.3347577225094</v>
      </c>
      <c r="BA15" s="13" t="n">
        <f aca="false">BA14-Reserves!BA14+Reserves!BA15</f>
        <v>43.5421450044483</v>
      </c>
      <c r="BB15" s="13" t="n">
        <f aca="false">BB14-Reserves!BB14+Reserves!BB15</f>
        <v>44.7831250103057</v>
      </c>
      <c r="BC15" s="13" t="n">
        <f aca="false">BC14-Reserves!BC14+Reserves!BC15</f>
        <v>41.3681605196641</v>
      </c>
      <c r="BD15" s="13" t="n">
        <f aca="false">BD14-Reserves!BD14+Reserves!BD15</f>
        <v>35.2534830804887</v>
      </c>
      <c r="BE15" s="13" t="n">
        <f aca="false">BE14-Reserves!BE14+Reserves!BE15</f>
        <v>34.8037215542576</v>
      </c>
      <c r="BF15" s="13" t="n">
        <f aca="false">BF14-Reserves!BF14+Reserves!BF15</f>
        <v>35.4910559378253</v>
      </c>
      <c r="BG15" s="13" t="n">
        <f aca="false">BG14-Reserves!BG14+Reserves!BG15</f>
        <v>35.0062711860928</v>
      </c>
      <c r="BH15" s="13" t="n">
        <f aca="false">BH14-Reserves!BH14+Reserves!BH15</f>
        <v>35.6300942748344</v>
      </c>
      <c r="BI15" s="13" t="n">
        <f aca="false">BI14-Reserves!BI14+Reserves!BI15</f>
        <v>35.3514629689357</v>
      </c>
      <c r="BJ15" s="13" t="n">
        <f aca="false">BJ14-Reserves!BJ14+Reserves!BJ15</f>
        <v>43.3575517274499</v>
      </c>
      <c r="BK15" s="13" t="n">
        <f aca="false">BK14-Reserves!BK14+Reserves!BK15</f>
        <v>38.0899927976729</v>
      </c>
      <c r="BL15" s="13" t="n">
        <f aca="false">BL14-Reserves!BL14+Reserves!BL15</f>
        <v>38.8200314904175</v>
      </c>
      <c r="BM15" s="13" t="n">
        <f aca="false">BM14-Reserves!BM14+Reserves!BM15</f>
        <v>54.8489408327327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1.29768605947768</v>
      </c>
      <c r="R17" s="3" t="n">
        <f aca="false">IF(Debt!R114&gt;Inputs!$F$253,R7/Debt!R114,0)</f>
        <v>1.2987710753282</v>
      </c>
      <c r="S17" s="3" t="n">
        <f aca="false">IF(Debt!S114&gt;Inputs!$F$253,S7/Debt!S114,0)</f>
        <v>1.30053780272534</v>
      </c>
      <c r="T17" s="3" t="n">
        <f aca="false">IF(Debt!T114&gt;Inputs!$F$253,T7/Debt!T114,0)</f>
        <v>1.30167613185812</v>
      </c>
      <c r="U17" s="3" t="n">
        <f aca="false">IF(Debt!U114&gt;Inputs!$F$253,U7/Debt!U114,0)</f>
        <v>1.30341550423097</v>
      </c>
      <c r="V17" s="3" t="n">
        <f aca="false">IF(Debt!V114&gt;Inputs!$F$253,V7/Debt!V114,0)</f>
        <v>1.30526805623175</v>
      </c>
      <c r="W17" s="3" t="n">
        <f aca="false">IF(Debt!W114&gt;Inputs!$F$253,W7/Debt!W114,0)</f>
        <v>1.30726652886688</v>
      </c>
      <c r="X17" s="3" t="n">
        <f aca="false">IF(Debt!X114&gt;Inputs!$F$253,X7/Debt!X114,0)</f>
        <v>1.30705108616002</v>
      </c>
      <c r="Y17" s="3" t="n">
        <f aca="false">IF(Debt!Y114&gt;Inputs!$F$253,Y7/Debt!Y114,0)</f>
        <v>1.30898617107606</v>
      </c>
      <c r="Z17" s="3" t="n">
        <f aca="false">IF(Debt!Z114&gt;Inputs!$F$253,Z7/Debt!Z114,0)</f>
        <v>1.31032651530189</v>
      </c>
      <c r="AA17" s="3" t="n">
        <f aca="false">IF(Debt!AA114&gt;Inputs!$F$253,AA7/Debt!AA114,0)</f>
        <v>1.31237999551806</v>
      </c>
      <c r="AB17" s="3" t="n">
        <f aca="false">IF(Debt!AB114&gt;Inputs!$F$253,AB7/Debt!AB114,0)</f>
        <v>1.33595249441892</v>
      </c>
      <c r="AC17" s="3" t="n">
        <f aca="false">IF(Debt!AC114&gt;Inputs!$F$253,AC7/Debt!AC114,0)</f>
        <v>1.36615958347279</v>
      </c>
      <c r="AD17" s="3" t="n">
        <f aca="false">IF(Debt!AD114&gt;Inputs!$F$253,AD7/Debt!AD114,0)</f>
        <v>1.39919756964943</v>
      </c>
      <c r="AE17" s="3" t="n">
        <f aca="false">IF(Debt!AE114&gt;Inputs!$F$253,AE7/Debt!AE114,0)</f>
        <v>1.4420903361133</v>
      </c>
      <c r="AF17" s="3" t="n">
        <f aca="false">IF(Debt!AF114&gt;Inputs!$F$253,AF7/Debt!AF114,0)</f>
        <v>1.49471746482416</v>
      </c>
      <c r="AG17" s="3" t="n">
        <f aca="false">IF(Debt!AG114&gt;Inputs!$F$253,AG7/Debt!AG114,0)</f>
        <v>1.56417994414007</v>
      </c>
      <c r="AH17" s="3" t="n">
        <f aca="false">IF(Debt!AH114&gt;Inputs!$F$253,AH7/Debt!AH114,0)</f>
        <v>1.6518373503275</v>
      </c>
      <c r="AI17" s="3" t="n">
        <f aca="false">IF(Debt!AI114&gt;Inputs!$F$253,AI7/Debt!AI114,0)</f>
        <v>1.77427318292102</v>
      </c>
      <c r="AJ17" s="3" t="n">
        <f aca="false">IF(Debt!AJ114&gt;Inputs!$F$253,AJ7/Debt!AJ114,0)</f>
        <v>1.95729487897887</v>
      </c>
      <c r="AK17" s="3" t="n">
        <f aca="false">IF(Debt!AK114&gt;Inputs!$F$253,AK7/Debt!AK114,0)</f>
        <v>2.2686862233471</v>
      </c>
      <c r="AL17" s="3" t="n">
        <f aca="false">IF(Debt!AL114&gt;Inputs!$F$253,AL7/Debt!AL114,0)</f>
        <v>2.47342705402648</v>
      </c>
      <c r="AM17" s="3" t="n">
        <f aca="false">IF(Debt!AM114&gt;Inputs!$F$253,AM7/Debt!AM114,0)</f>
        <v>2.45414960353069</v>
      </c>
      <c r="AN17" s="3" t="n">
        <f aca="false">IF(Debt!AN114&gt;Inputs!$F$253,AN7/Debt!AN114,0)</f>
        <v>2.73060642681979</v>
      </c>
      <c r="AO17" s="3" t="n">
        <f aca="false">IF(Debt!AO114&gt;Inputs!$F$253,AO7/Debt!AO114,0)</f>
        <v>2.3682716520399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1.3233574456034</v>
      </c>
      <c r="R18" s="3" t="n">
        <f aca="false">IF(Debt!R114&gt;Inputs!$F$253,IF(Debt!Q114&gt;Inputs!$F$253,(R7+Q7)/(Debt!R114+Debt!Q114),R17),0)</f>
        <v>1.29823173415474</v>
      </c>
      <c r="S18" s="3" t="n">
        <f aca="false">IF(Debt!S114&gt;Inputs!$F$253,IF(Debt!R114&gt;Inputs!$F$253,(S7+R7)/(Debt!S114+Debt!R114),S17),0)</f>
        <v>1.29965040368633</v>
      </c>
      <c r="T18" s="3" t="n">
        <f aca="false">IF(Debt!T114&gt;Inputs!$F$253,IF(Debt!S114&gt;Inputs!$F$253,(T7+S7)/(Debt!T114+Debt!S114),T17),0)</f>
        <v>1.30110988617455</v>
      </c>
      <c r="U18" s="3" t="n">
        <f aca="false">IF(Debt!U114&gt;Inputs!$F$253,IF(Debt!T114&gt;Inputs!$F$253,(U7+T7)/(Debt!U114+Debt!T114),U17),0)</f>
        <v>1.30254315298665</v>
      </c>
      <c r="V18" s="3" t="n">
        <f aca="false">IF(Debt!V114&gt;Inputs!$F$253,IF(Debt!U114&gt;Inputs!$F$253,(V7+U7)/(Debt!V114+Debt!U114),V17),0)</f>
        <v>1.3043498802403</v>
      </c>
      <c r="W18" s="3" t="n">
        <f aca="false">IF(Debt!W114&gt;Inputs!$F$253,IF(Debt!V114&gt;Inputs!$F$253,(W7+V7)/(Debt!W114+Debt!V114),W17),0)</f>
        <v>1.30626306223864</v>
      </c>
      <c r="X18" s="3" t="n">
        <f aca="false">IF(Debt!X114&gt;Inputs!$F$253,IF(Debt!W114&gt;Inputs!$F$253,(X7+W7)/(Debt!X114+Debt!W114),X17),0)</f>
        <v>1.30716037447727</v>
      </c>
      <c r="Y18" s="3" t="n">
        <f aca="false">IF(Debt!Y114&gt;Inputs!$F$253,IF(Debt!X114&gt;Inputs!$F$253,(Y7+X7)/(Debt!Y114+Debt!X114),Y17),0)</f>
        <v>1.30801322113239</v>
      </c>
      <c r="Z18" s="3" t="n">
        <f aca="false">IF(Debt!Z114&gt;Inputs!$F$253,IF(Debt!Y114&gt;Inputs!$F$253,(Z7+Y7)/(Debt!Z114+Debt!Y114),Z17),0)</f>
        <v>1.30965874668315</v>
      </c>
      <c r="AA18" s="3" t="n">
        <f aca="false">IF(Debt!AA114&gt;Inputs!$F$253,IF(Debt!Z114&gt;Inputs!$F$253,(AA7+Z7)/(Debt!AA114+Debt!Z114),AA17),0)</f>
        <v>1.31134829852956</v>
      </c>
      <c r="AB18" s="3" t="n">
        <f aca="false">IF(Debt!AB114&gt;Inputs!$F$253,IF(Debt!AA114&gt;Inputs!$F$253,(AB7+AA7)/(Debt!AB114+Debt!AA114),AB17),0)</f>
        <v>1.32413028845356</v>
      </c>
      <c r="AC18" s="3" t="n">
        <f aca="false">IF(Debt!AC114&gt;Inputs!$F$253,IF(Debt!AB114&gt;Inputs!$F$253,(AC7+AB7)/(Debt!AC114+Debt!AB114),AC17),0)</f>
        <v>1.35085615366889</v>
      </c>
      <c r="AD18" s="3" t="n">
        <f aca="false">IF(Debt!AD114&gt;Inputs!$F$253,IF(Debt!AC114&gt;Inputs!$F$253,(AD7+AC7)/(Debt!AD114+Debt!AC114),AD17),0)</f>
        <v>1.3827925391192</v>
      </c>
      <c r="AE18" s="3" t="n">
        <f aca="false">IF(Debt!AE114&gt;Inputs!$F$253,IF(Debt!AD114&gt;Inputs!$F$253,(AE7+AD7)/(Debt!AE114+Debt!AD114),AE17),0)</f>
        <v>1.42033746316648</v>
      </c>
      <c r="AF18" s="3" t="n">
        <f aca="false">IF(Debt!AF114&gt;Inputs!$F$253,IF(Debt!AE114&gt;Inputs!$F$253,(AF7+AE7)/(Debt!AF114+Debt!AE114),AF17),0)</f>
        <v>1.46797318844874</v>
      </c>
      <c r="AG18" s="3" t="n">
        <f aca="false">IF(Debt!AG114&gt;Inputs!$F$253,IF(Debt!AF114&gt;Inputs!$F$253,(AG7+AF7)/(Debt!AG114+Debt!AF114),AG17),0)</f>
        <v>1.52853673517727</v>
      </c>
      <c r="AH18" s="3" t="n">
        <f aca="false">IF(Debt!AH114&gt;Inputs!$F$253,IF(Debt!AG114&gt;Inputs!$F$253,(AH7+AG7)/(Debt!AH114+Debt!AG114),AH17),0)</f>
        <v>1.60709668734465</v>
      </c>
      <c r="AI18" s="3" t="n">
        <f aca="false">IF(Debt!AI114&gt;Inputs!$F$253,IF(Debt!AH114&gt;Inputs!$F$253,(AI7+AH7)/(Debt!AI114+Debt!AH114),AI17),0)</f>
        <v>1.71062806924944</v>
      </c>
      <c r="AJ18" s="3" t="n">
        <f aca="false">IF(Debt!AJ114&gt;Inputs!$F$253,IF(Debt!AI114&gt;Inputs!$F$253,(AJ7+AI7)/(Debt!AJ114+Debt!AI114),AJ17),0)</f>
        <v>1.86182269658639</v>
      </c>
      <c r="AK18" s="3" t="n">
        <f aca="false">IF(Debt!AK114&gt;Inputs!$F$253,IF(Debt!AJ114&gt;Inputs!$F$253,(AK7+AJ7)/(Debt!AK114+Debt!AJ114),AK17),0)</f>
        <v>2.10116563355669</v>
      </c>
      <c r="AL18" s="3" t="n">
        <f aca="false">IF(Debt!AL114&gt;Inputs!$F$253,IF(Debt!AK114&gt;Inputs!$F$253,(AL7+AK7)/(Debt!AL114+Debt!AK114),AL17),0)</f>
        <v>2.36771397044562</v>
      </c>
      <c r="AM18" s="3" t="n">
        <f aca="false">IF(Debt!AM114&gt;Inputs!$F$253,IF(Debt!AL114&gt;Inputs!$F$253,(AM7+AL7)/(Debt!AM114+Debt!AL114),AM17),0)</f>
        <v>2.46378474256795</v>
      </c>
      <c r="AN18" s="3" t="n">
        <f aca="false">IF(Debt!AN114&gt;Inputs!$F$253,IF(Debt!AM114&gt;Inputs!$F$253,(AN7+AM7)/(Debt!AN114+Debt!AM114),AN17),0)</f>
        <v>2.58257552434281</v>
      </c>
      <c r="AO18" s="3" t="n">
        <f aca="false">IF(Debt!AO114&gt;Inputs!$F$253,IF(Debt!AN114&gt;Inputs!$F$253,(AO7+AN7)/(Debt!AO114+Debt!AN114),AO17),0)</f>
        <v>2.55309637249057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97.7581482558921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5.67844085810906</v>
      </c>
      <c r="AB29" s="13" t="n">
        <f aca="false">IF(AND(AB24=1,Time!AB52=1,Inputs!$F$52=1),MIN(Inputs!$F$111*AB15,Debt!AB73),0)</f>
        <v>6.69864114973051</v>
      </c>
      <c r="AC29" s="13" t="n">
        <f aca="false">IF(AND(AC24=1,Time!AC52=1,Inputs!$F$52=1),MIN(Inputs!$F$111*AC15,Debt!AC73),0)</f>
        <v>6.39448561975389</v>
      </c>
      <c r="AD29" s="13" t="n">
        <f aca="false">IF(AND(AD24=1,Time!AD52=1,Inputs!$F$52=1),MIN(Inputs!$F$111*AD15,Debt!AD73),0)</f>
        <v>7.77233357710078</v>
      </c>
      <c r="AE29" s="13" t="n">
        <f aca="false">IF(AND(AE24=1,Time!AE52=1,Inputs!$F$52=1),MIN(Inputs!$F$111*AE15,Debt!AE73),0)</f>
        <v>8.42012389225984</v>
      </c>
      <c r="AF29" s="13" t="n">
        <f aca="false">IF(AND(AF24=1,Time!AF52=1,Inputs!$F$52=1),MIN(Inputs!$F$111*AF15,Debt!AF73),0)</f>
        <v>9.3550169925707</v>
      </c>
      <c r="AG29" s="13" t="n">
        <f aca="false">IF(AND(AG24=1,Time!AG52=1,Inputs!$F$52=1),MIN(Inputs!$F$111*AG15,Debt!AG73),0)</f>
        <v>9.83918244449216</v>
      </c>
      <c r="AH29" s="13" t="n">
        <f aca="false">IF(AND(AH24=1,Time!AH52=1,Inputs!$F$52=1),MIN(Inputs!$F$111*AH15,Debt!AH73),0)</f>
        <v>11.2782819334744</v>
      </c>
      <c r="AI29" s="13" t="n">
        <f aca="false">IF(AND(AI24=1,Time!AI52=1,Inputs!$F$52=1),MIN(Inputs!$F$111*AI15,Debt!AI73),0)</f>
        <v>12.234712695212</v>
      </c>
      <c r="AJ29" s="13" t="n">
        <f aca="false">IF(AND(AJ24=1,Time!AJ52=1,Inputs!$F$52=1),MIN(Inputs!$F$111*AJ15,Debt!AJ73),0)</f>
        <v>14.2107997091524</v>
      </c>
      <c r="AK29" s="13" t="n">
        <f aca="false">IF(AND(AK24=1,Time!AK52=1,Inputs!$F$52=1),MIN(Inputs!$F$111*AK15,Debt!AK73),0)</f>
        <v>5.87612938403636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1388.75127327866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13.4992695484608</v>
      </c>
      <c r="Q31" s="13" t="n">
        <f aca="false">IF(Q24=1,Q15-Q29,0)</f>
        <v>11.0531093570244</v>
      </c>
      <c r="R31" s="13" t="n">
        <f aca="false">IF(R24=1,R15-R29,0)</f>
        <v>12.0402827158271</v>
      </c>
      <c r="S31" s="13" t="n">
        <f aca="false">IF(S24=1,S15-S29,0)</f>
        <v>11.2472650143153</v>
      </c>
      <c r="T31" s="13" t="n">
        <f aca="false">IF(T24=1,T15-T29,0)</f>
        <v>12.0506624239152</v>
      </c>
      <c r="U31" s="13" t="n">
        <f aca="false">IF(U24=1,U15-U29,0)</f>
        <v>11.120376005158</v>
      </c>
      <c r="V31" s="13" t="n">
        <f aca="false">IF(V24=1,V15-V29,0)</f>
        <v>12.4225167602611</v>
      </c>
      <c r="W31" s="13" t="n">
        <f aca="false">IF(W24=1,W15-W29,0)</f>
        <v>13.1911696380067</v>
      </c>
      <c r="X31" s="13" t="n">
        <f aca="false">IF(X24=1,X15-X29,0)</f>
        <v>12.1349389482078</v>
      </c>
      <c r="Y31" s="13" t="n">
        <f aca="false">IF(Y24=1,Y15-Y29,0)</f>
        <v>11.3822913834046</v>
      </c>
      <c r="Z31" s="13" t="n">
        <f aca="false">IF(Z24=1,Z15-Z29,0)</f>
        <v>12.1536332856803</v>
      </c>
      <c r="AA31" s="13" t="n">
        <f aca="false">IF(AA24=1,AA15-AA29,0)</f>
        <v>5.67844085810906</v>
      </c>
      <c r="AB31" s="13" t="n">
        <f aca="false">IF(AB24=1,AB15-AB29,0)</f>
        <v>6.69864114973051</v>
      </c>
      <c r="AC31" s="13" t="n">
        <f aca="false">IF(AC24=1,AC15-AC29,0)</f>
        <v>6.39448561975389</v>
      </c>
      <c r="AD31" s="13" t="n">
        <f aca="false">IF(AD24=1,AD15-AD29,0)</f>
        <v>7.77233357710078</v>
      </c>
      <c r="AE31" s="13" t="n">
        <f aca="false">IF(AE24=1,AE15-AE29,0)</f>
        <v>8.42012389225984</v>
      </c>
      <c r="AF31" s="13" t="n">
        <f aca="false">IF(AF24=1,AF15-AF29,0)</f>
        <v>9.3550169925707</v>
      </c>
      <c r="AG31" s="13" t="n">
        <f aca="false">IF(AG24=1,AG15-AG29,0)</f>
        <v>9.83918244449216</v>
      </c>
      <c r="AH31" s="13" t="n">
        <f aca="false">IF(AH24=1,AH15-AH29,0)</f>
        <v>11.2782819334744</v>
      </c>
      <c r="AI31" s="13" t="n">
        <f aca="false">IF(AI24=1,AI15-AI29,0)</f>
        <v>12.234712695212</v>
      </c>
      <c r="AJ31" s="13" t="n">
        <f aca="false">IF(AJ24=1,AJ15-AJ29,0)</f>
        <v>14.2107997091524</v>
      </c>
      <c r="AK31" s="13" t="n">
        <f aca="false">IF(AK24=1,AK15-AK29,0)</f>
        <v>26.5203813467429</v>
      </c>
      <c r="AL31" s="13" t="n">
        <f aca="false">IF(AL24=1,AL15-AL29,0)</f>
        <v>33.6739543247755</v>
      </c>
      <c r="AM31" s="13" t="n">
        <f aca="false">IF(AM24=1,AM15-AM29,0)</f>
        <v>34.199235179286</v>
      </c>
      <c r="AN31" s="13" t="n">
        <f aca="false">IF(AN24=1,AN15-AN29,0)</f>
        <v>33.1032474479638</v>
      </c>
      <c r="AO31" s="13" t="n">
        <f aca="false">IF(AO24=1,AO15-AO29,0)</f>
        <v>42.5350486407587</v>
      </c>
      <c r="AP31" s="13" t="n">
        <f aca="false">IF(AP24=1,AP15-AP29,0)</f>
        <v>42.0651724960484</v>
      </c>
      <c r="AQ31" s="13" t="n">
        <f aca="false">IF(AQ24=1,AQ15-AQ29,0)</f>
        <v>41.1729146177004</v>
      </c>
      <c r="AR31" s="13" t="n">
        <f aca="false">IF(AR24=1,AR15-AR29,0)</f>
        <v>41.7692761146622</v>
      </c>
      <c r="AS31" s="13" t="n">
        <f aca="false">IF(AS24=1,AS15-AS29,0)</f>
        <v>41.5039281954534</v>
      </c>
      <c r="AT31" s="13" t="n">
        <f aca="false">IF(AT24=1,AT15-AT29,0)</f>
        <v>48.2370083149193</v>
      </c>
      <c r="AU31" s="13" t="n">
        <f aca="false">IF(AU24=1,AU15-AU29,0)</f>
        <v>43.7998360232506</v>
      </c>
      <c r="AV31" s="13" t="n">
        <f aca="false">IF(AV24=1,AV15-AV29,0)</f>
        <v>43.9233348267565</v>
      </c>
      <c r="AW31" s="13" t="n">
        <f aca="false">IF(AW24=1,AW15-AW29,0)</f>
        <v>43.4989500388201</v>
      </c>
      <c r="AX31" s="13" t="n">
        <f aca="false">IF(AX24=1,AX15-AX29,0)</f>
        <v>44.1737900691598</v>
      </c>
      <c r="AY31" s="13" t="n">
        <f aca="false">IF(AY24=1,AY15-AY29,0)</f>
        <v>43.7168675826064</v>
      </c>
      <c r="AZ31" s="13" t="n">
        <f aca="false">IF(AZ24=1,AZ15-AZ29,0)</f>
        <v>44.3347577225094</v>
      </c>
      <c r="BA31" s="13" t="n">
        <f aca="false">IF(BA24=1,BA15-BA29,0)</f>
        <v>43.5421450044483</v>
      </c>
      <c r="BB31" s="13" t="n">
        <f aca="false">IF(BB24=1,BB15-BB29,0)</f>
        <v>44.7831250103057</v>
      </c>
      <c r="BC31" s="13" t="n">
        <f aca="false">IF(BC24=1,BC15-BC29,0)</f>
        <v>41.3681605196641</v>
      </c>
      <c r="BD31" s="13" t="n">
        <f aca="false">IF(BD24=1,BD15-BD29,0)</f>
        <v>35.2534830804887</v>
      </c>
      <c r="BE31" s="13" t="n">
        <f aca="false">IF(BE24=1,BE15-BE29,0)</f>
        <v>34.8037215542576</v>
      </c>
      <c r="BF31" s="13" t="n">
        <f aca="false">IF(BF24=1,BF15-BF29,0)</f>
        <v>35.4910559378253</v>
      </c>
      <c r="BG31" s="13" t="n">
        <f aca="false">IF(BG24=1,BG15-BG29,0)</f>
        <v>35.0062711860928</v>
      </c>
      <c r="BH31" s="13" t="n">
        <f aca="false">IF(BH24=1,BH15-BH29,0)</f>
        <v>35.6300942748344</v>
      </c>
      <c r="BI31" s="13" t="n">
        <f aca="false">IF(BI24=1,BI15-BI29,0)</f>
        <v>35.3514629689357</v>
      </c>
      <c r="BJ31" s="13" t="n">
        <f aca="false">IF(BJ24=1,BJ15-BJ29,0)</f>
        <v>43.3575517274499</v>
      </c>
      <c r="BK31" s="13" t="n">
        <f aca="false">IF(BK24=1,BK15-BK29,0)</f>
        <v>38.0899927976729</v>
      </c>
      <c r="BL31" s="13" t="n">
        <f aca="false">IF(BL24=1,BL15-BL29,0)</f>
        <v>38.8200314904175</v>
      </c>
      <c r="BM31" s="13" t="n">
        <f aca="false">IF(BM24=1,BM15-BM29,0)</f>
        <v>54.8489408327327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203.85418200299</v>
      </c>
      <c r="R33" s="13" t="n">
        <f aca="false">IF(Time!R20&lt;Time!$F$12,0,IF(Time!R34=1,INDEX(Funding!$J$72:$BJ$72,1,Time!$F$14),Q36))</f>
        <v>202.404559384435</v>
      </c>
      <c r="S33" s="13" t="n">
        <f aca="false">IF(Time!S20&lt;Time!$F$12,0,IF(Time!S34=1,INDEX(Funding!$J$72:$BJ$72,1,Time!$F$14),R36))</f>
        <v>200.057514197485</v>
      </c>
      <c r="T33" s="13" t="n">
        <f aca="false">IF(Time!T20&lt;Time!$F$12,0,IF(Time!T34=1,INDEX(Funding!$J$72:$BJ$72,1,Time!$F$14),S36))</f>
        <v>198.234876461596</v>
      </c>
      <c r="U33" s="13" t="n">
        <f aca="false">IF(Time!U20&lt;Time!$F$12,0,IF(Time!U34=1,INDEX(Funding!$J$72:$BJ$72,1,Time!$F$14),T36))</f>
        <v>195.677763737814</v>
      </c>
      <c r="V33" s="13" t="n">
        <f aca="false">IF(Time!V20&lt;Time!$F$12,0,IF(Time!V34=1,INDEX(Funding!$J$72:$BJ$72,1,Time!$F$14),U36))</f>
        <v>193.826616595743</v>
      </c>
      <c r="W33" s="13" t="n">
        <f aca="false">IF(Time!W20&lt;Time!$F$12,0,IF(Time!W34=1,INDEX(Funding!$J$72:$BJ$72,1,Time!$F$14),V36))</f>
        <v>190.686536159026</v>
      </c>
      <c r="X33" s="13" t="n">
        <f aca="false">IF(Time!X20&lt;Time!$F$12,0,IF(Time!X34=1,INDEX(Funding!$J$72:$BJ$72,1,Time!$F$14),W36))</f>
        <v>186.478530875142</v>
      </c>
      <c r="Y33" s="13" t="n">
        <f aca="false">IF(Time!Y20&lt;Time!$F$12,0,IF(Time!Y34=1,INDEX(Funding!$J$72:$BJ$72,1,Time!$F$14),X36))</f>
        <v>183.274125405557</v>
      </c>
      <c r="Z33" s="13" t="n">
        <f aca="false">IF(Time!Z20&lt;Time!$F$12,0,IF(Time!Z34=1,INDEX(Funding!$J$72:$BJ$72,1,Time!$F$14),Y36))</f>
        <v>180.525802751875</v>
      </c>
      <c r="AA33" s="13" t="n">
        <f aca="false">IF(Time!AA20&lt;Time!$F$12,0,IF(Time!AA34=1,INDEX(Funding!$J$72:$BJ$72,1,Time!$F$14),Z36))</f>
        <v>177.017624348668</v>
      </c>
      <c r="AB33" s="13" t="n">
        <f aca="false">IF(Time!AB20&lt;Time!$F$12,0,IF(Time!AB34=1,INDEX(Funding!$J$72:$BJ$72,1,Time!$F$14),AA36))</f>
        <v>179.678411026655</v>
      </c>
      <c r="AC33" s="13" t="n">
        <f aca="false">IF(Time!AC20&lt;Time!$F$12,0,IF(Time!AC34=1,INDEX(Funding!$J$72:$BJ$72,1,Time!$F$14),AB36))</f>
        <v>181.584642821434</v>
      </c>
      <c r="AD33" s="13" t="n">
        <f aca="false">IF(Time!AD20&lt;Time!$F$12,0,IF(Time!AD34=1,INDEX(Funding!$J$72:$BJ$72,1,Time!$F$14),AC36))</f>
        <v>183.791796857523</v>
      </c>
      <c r="AE33" s="13" t="n">
        <f aca="false">IF(Time!AE20&lt;Time!$F$12,0,IF(Time!AE34=1,INDEX(Funding!$J$72:$BJ$72,1,Time!$F$14),AD36))</f>
        <v>184.821327962805</v>
      </c>
      <c r="AF33" s="13" t="n">
        <f aca="false">IF(Time!AF20&lt;Time!$F$12,0,IF(Time!AF34=1,INDEX(Funding!$J$72:$BJ$72,1,Time!$F$14),AE36))</f>
        <v>185.108060876902</v>
      </c>
      <c r="AG33" s="13" t="n">
        <f aca="false">IF(Time!AG20&lt;Time!$F$12,0,IF(Time!AG34=1,INDEX(Funding!$J$72:$BJ$72,1,Time!$F$14),AF36))</f>
        <v>184.617944991532</v>
      </c>
      <c r="AH33" s="13" t="n">
        <f aca="false">IF(Time!AH20&lt;Time!$F$12,0,IF(Time!AH34=1,INDEX(Funding!$J$72:$BJ$72,1,Time!$F$14),AG36))</f>
        <v>183.476038065203</v>
      </c>
      <c r="AI33" s="13" t="n">
        <f aca="false">IF(Time!AI20&lt;Time!$F$12,0,IF(Time!AI34=1,INDEX(Funding!$J$72:$BJ$72,1,Time!$F$14),AH36))</f>
        <v>180.984498995782</v>
      </c>
      <c r="AJ33" s="13" t="n">
        <f aca="false">IF(Time!AJ20&lt;Time!$F$12,0,IF(Time!AJ34=1,INDEX(Funding!$J$72:$BJ$72,1,Time!$F$14),AI36))</f>
        <v>177.27589167107</v>
      </c>
      <c r="AK33" s="13" t="n">
        <f aca="false">IF(Time!AK20&lt;Time!$F$12,0,IF(Time!AK34=1,INDEX(Funding!$J$72:$BJ$72,1,Time!$F$14),AJ36))</f>
        <v>171.554907267152</v>
      </c>
      <c r="AL33" s="13" t="n">
        <f aca="false">IF(Time!AL20&lt;Time!$F$12,0,IF(Time!AL34=1,INDEX(Funding!$J$72:$BJ$72,1,Time!$F$14),AK36))</f>
        <v>153.161058376981</v>
      </c>
      <c r="AM33" s="13" t="n">
        <f aca="false">IF(Time!AM20&lt;Time!$F$12,0,IF(Time!AM34=1,INDEX(Funding!$J$72:$BJ$72,1,Time!$F$14),AL36))</f>
        <v>126.82205008078</v>
      </c>
      <c r="AN33" s="13" t="n">
        <f aca="false">IF(Time!AN20&lt;Time!$F$12,0,IF(Time!AN34=1,INDEX(Funding!$J$72:$BJ$72,1,Time!$F$14),AM36))</f>
        <v>98.5973495621492</v>
      </c>
      <c r="AO33" s="13" t="n">
        <f aca="false">IF(Time!AO20&lt;Time!$F$12,0,IF(Time!AO34=1,INDEX(Funding!$J$72:$BJ$72,1,Time!$F$14),AN36))</f>
        <v>70.2159697041754</v>
      </c>
      <c r="AP33" s="13" t="n">
        <f aca="false">IF(Time!AP20&lt;Time!$F$12,0,IF(Time!AP34=1,INDEX(Funding!$J$72:$BJ$72,1,Time!$F$14),AO36))</f>
        <v>30.9887665403025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211.171774186844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9.60348673846963</v>
      </c>
      <c r="R34" s="13" t="n">
        <f aca="false">R24*MIN(R31,Tax!R13)</f>
        <v>9.69323752887652</v>
      </c>
      <c r="S34" s="13" t="n">
        <f aca="false">S24*MIN(S31,Tax!S13)</f>
        <v>9.42462727842671</v>
      </c>
      <c r="T34" s="13" t="n">
        <f aca="false">T24*MIN(T31,Tax!T13)</f>
        <v>9.49354970013342</v>
      </c>
      <c r="U34" s="13" t="n">
        <f aca="false">U24*MIN(U31,Tax!U13)</f>
        <v>9.26922886308715</v>
      </c>
      <c r="V34" s="13" t="n">
        <f aca="false">V24*MIN(V31,Tax!V13)</f>
        <v>9.2824363235441</v>
      </c>
      <c r="W34" s="13" t="n">
        <f aca="false">W24*MIN(W31,Tax!W13)</f>
        <v>8.98316435412181</v>
      </c>
      <c r="X34" s="13" t="n">
        <f aca="false">X24*MIN(X31,Tax!X13)</f>
        <v>8.93053347862322</v>
      </c>
      <c r="Y34" s="13" t="n">
        <f aca="false">Y24*MIN(Y31,Tax!Y13)</f>
        <v>8.63396872972207</v>
      </c>
      <c r="Z34" s="13" t="n">
        <f aca="false">Z24*MIN(Z31,Tax!Z13)</f>
        <v>8.64545488247333</v>
      </c>
      <c r="AA34" s="13" t="n">
        <f aca="false">AA24*MIN(AA31,Tax!AA13)</f>
        <v>5.67844085810906</v>
      </c>
      <c r="AB34" s="13" t="n">
        <f aca="false">AB24*MIN(AB31,Tax!AB13)</f>
        <v>6.69864114973051</v>
      </c>
      <c r="AC34" s="13" t="n">
        <f aca="false">AC24*MIN(AC31,Tax!AC13)</f>
        <v>6.39448561975389</v>
      </c>
      <c r="AD34" s="13" t="n">
        <f aca="false">AD24*MIN(AD31,Tax!AD13)</f>
        <v>7.77233357710078</v>
      </c>
      <c r="AE34" s="13" t="n">
        <f aca="false">AE24*MIN(AE31,Tax!AE13)</f>
        <v>8.42012389225984</v>
      </c>
      <c r="AF34" s="13" t="n">
        <f aca="false">AF24*MIN(AF31,Tax!AF13)</f>
        <v>8.86490110720068</v>
      </c>
      <c r="AG34" s="13" t="n">
        <f aca="false">AG24*MIN(AG31,Tax!AG13)</f>
        <v>8.69727551816273</v>
      </c>
      <c r="AH34" s="13" t="n">
        <f aca="false">AH24*MIN(AH31,Tax!AH13)</f>
        <v>8.78674286405409</v>
      </c>
      <c r="AI34" s="13" t="n">
        <f aca="false">AI24*MIN(AI31,Tax!AI13)</f>
        <v>8.52610537049994</v>
      </c>
      <c r="AJ34" s="13" t="n">
        <f aca="false">AJ24*MIN(AJ31,Tax!AJ13)</f>
        <v>8.48981530523372</v>
      </c>
      <c r="AK34" s="13" t="n">
        <f aca="false">AK24*MIN(AK31,Tax!AK13)</f>
        <v>8.12653245657274</v>
      </c>
      <c r="AL34" s="13" t="n">
        <f aca="false">AL24*MIN(AL31,Tax!AL13)</f>
        <v>7.33494602857434</v>
      </c>
      <c r="AM34" s="13" t="n">
        <f aca="false">AM24*MIN(AM31,Tax!AM13)</f>
        <v>5.97453466065484</v>
      </c>
      <c r="AN34" s="13" t="n">
        <f aca="false">AN24*MIN(AN31,Tax!AN13)</f>
        <v>4.72186758999005</v>
      </c>
      <c r="AO34" s="13" t="n">
        <f aca="false">AO24*MIN(AO31,Tax!AO13)</f>
        <v>3.30784547688574</v>
      </c>
      <c r="AP34" s="13" t="n">
        <f aca="false">AP24*MIN(AP31,Tax!AP13)</f>
        <v>1.48406476472462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215.510458009827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3.56583947860265</v>
      </c>
      <c r="Q35" s="13" t="n">
        <f aca="false">Q24*MIN(Q31-Q34,Q33+Tax!Q13-Q34)</f>
        <v>1.44962261855481</v>
      </c>
      <c r="R35" s="13" t="n">
        <f aca="false">R24*MIN(R31-R34,R33+Tax!R13-R34)</f>
        <v>2.34704518695062</v>
      </c>
      <c r="S35" s="13" t="n">
        <f aca="false">S24*MIN(S31-S34,S33+Tax!S13-S34)</f>
        <v>1.8226377358886</v>
      </c>
      <c r="T35" s="13" t="n">
        <f aca="false">T24*MIN(T31-T34,T33+Tax!T13-T34)</f>
        <v>2.55711272378179</v>
      </c>
      <c r="U35" s="13" t="n">
        <f aca="false">U24*MIN(U31-U34,U33+Tax!U13-U34)</f>
        <v>1.85114714207082</v>
      </c>
      <c r="V35" s="13" t="n">
        <f aca="false">V24*MIN(V31-V34,V33+Tax!V13-V34)</f>
        <v>3.140080436717</v>
      </c>
      <c r="W35" s="13" t="n">
        <f aca="false">W24*MIN(W31-W34,W33+Tax!W13-W34)</f>
        <v>4.20800528388485</v>
      </c>
      <c r="X35" s="13" t="n">
        <f aca="false">X24*MIN(X31-X34,X33+Tax!X13-X34)</f>
        <v>3.20440546958458</v>
      </c>
      <c r="Y35" s="13" t="n">
        <f aca="false">Y24*MIN(Y31-Y34,Y33+Tax!Y13-Y34)</f>
        <v>2.74832265368253</v>
      </c>
      <c r="Z35" s="13" t="n">
        <f aca="false">Z24*MIN(Z31-Z34,Z33+Tax!Z13-Z34)</f>
        <v>3.50817840320695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0.49011588537002</v>
      </c>
      <c r="AG35" s="13" t="n">
        <f aca="false">AG24*MIN(AG31-AG34,AG33+Tax!AG13-AG34)</f>
        <v>1.14190692632944</v>
      </c>
      <c r="AH35" s="13" t="n">
        <f aca="false">AH24*MIN(AH31-AH34,AH33+Tax!AH13-AH34)</f>
        <v>2.49153906942029</v>
      </c>
      <c r="AI35" s="13" t="n">
        <f aca="false">AI24*MIN(AI31-AI34,AI33+Tax!AI13-AI34)</f>
        <v>3.7086073247121</v>
      </c>
      <c r="AJ35" s="13" t="n">
        <f aca="false">AJ24*MIN(AJ31-AJ34,AJ33+Tax!AJ13-AJ34)</f>
        <v>5.72098440391868</v>
      </c>
      <c r="AK35" s="13" t="n">
        <f aca="false">AK24*MIN(AK31-AK34,AK33+Tax!AK13-AK34)</f>
        <v>18.3938488901701</v>
      </c>
      <c r="AL35" s="13" t="n">
        <f aca="false">AL24*MIN(AL31-AL34,AL33+Tax!AL13-AL34)</f>
        <v>26.3390082962012</v>
      </c>
      <c r="AM35" s="13" t="n">
        <f aca="false">AM24*MIN(AM31-AM34,AM33+Tax!AM13-AM34)</f>
        <v>28.2247005186311</v>
      </c>
      <c r="AN35" s="13" t="n">
        <f aca="false">AN24*MIN(AN31-AN34,AN33+Tax!AN13-AN34)</f>
        <v>28.3813798579738</v>
      </c>
      <c r="AO35" s="13" t="n">
        <f aca="false">AO24*MIN(AO31-AO34,AO33+Tax!AO13-AO34)</f>
        <v>39.2272031638729</v>
      </c>
      <c r="AP35" s="13" t="n">
        <f aca="false">AP24*MIN(AP31-AP34,AP33+Tax!AP13-AP34)</f>
        <v>30.9887665403025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203.85418200299</v>
      </c>
      <c r="Q36" s="13" t="n">
        <f aca="false">Q33+Tax!Q13-Q34-Q35</f>
        <v>202.404559384435</v>
      </c>
      <c r="R36" s="13" t="n">
        <f aca="false">R33+Tax!R13-R34-R35</f>
        <v>200.057514197485</v>
      </c>
      <c r="S36" s="13" t="n">
        <f aca="false">S33+Tax!S13-S34-S35</f>
        <v>198.234876461596</v>
      </c>
      <c r="T36" s="13" t="n">
        <f aca="false">T33+Tax!T13-T34-T35</f>
        <v>195.677763737814</v>
      </c>
      <c r="U36" s="13" t="n">
        <f aca="false">U33+Tax!U13-U34-U35</f>
        <v>193.826616595743</v>
      </c>
      <c r="V36" s="13" t="n">
        <f aca="false">V33+Tax!V13-V34-V35</f>
        <v>190.686536159026</v>
      </c>
      <c r="W36" s="13" t="n">
        <f aca="false">W33+Tax!W13-W34-W35</f>
        <v>186.478530875142</v>
      </c>
      <c r="X36" s="13" t="n">
        <f aca="false">X33+Tax!X13-X34-X35</f>
        <v>183.274125405557</v>
      </c>
      <c r="Y36" s="13" t="n">
        <f aca="false">Y33+Tax!Y13-Y34-Y35</f>
        <v>180.525802751875</v>
      </c>
      <c r="Z36" s="13" t="n">
        <f aca="false">Z33+Tax!Z13-Z34-Z35</f>
        <v>177.017624348668</v>
      </c>
      <c r="AA36" s="13" t="n">
        <f aca="false">AA33+Tax!AA13-AA34-AA35</f>
        <v>179.678411026655</v>
      </c>
      <c r="AB36" s="13" t="n">
        <f aca="false">AB33+Tax!AB13-AB34-AB35</f>
        <v>181.584642821434</v>
      </c>
      <c r="AC36" s="13" t="n">
        <f aca="false">AC33+Tax!AC13-AC34-AC35</f>
        <v>183.791796857523</v>
      </c>
      <c r="AD36" s="13" t="n">
        <f aca="false">AD33+Tax!AD13-AD34-AD35</f>
        <v>184.821327962805</v>
      </c>
      <c r="AE36" s="13" t="n">
        <f aca="false">AE33+Tax!AE13-AE34-AE35</f>
        <v>185.108060876902</v>
      </c>
      <c r="AF36" s="13" t="n">
        <f aca="false">AF33+Tax!AF13-AF34-AF35</f>
        <v>184.617944991532</v>
      </c>
      <c r="AG36" s="13" t="n">
        <f aca="false">AG33+Tax!AG13-AG34-AG35</f>
        <v>183.476038065203</v>
      </c>
      <c r="AH36" s="13" t="n">
        <f aca="false">AH33+Tax!AH13-AH34-AH35</f>
        <v>180.984498995782</v>
      </c>
      <c r="AI36" s="13" t="n">
        <f aca="false">AI33+Tax!AI13-AI34-AI35</f>
        <v>177.27589167107</v>
      </c>
      <c r="AJ36" s="13" t="n">
        <f aca="false">AJ33+Tax!AJ13-AJ34-AJ35</f>
        <v>171.554907267152</v>
      </c>
      <c r="AK36" s="13" t="n">
        <f aca="false">AK33+Tax!AK13-AK34-AK35</f>
        <v>153.161058376981</v>
      </c>
      <c r="AL36" s="13" t="n">
        <f aca="false">AL33+Tax!AL13-AL34-AL35</f>
        <v>126.82205008078</v>
      </c>
      <c r="AM36" s="13" t="n">
        <f aca="false">AM33+Tax!AM13-AM34-AM35</f>
        <v>98.5973495621492</v>
      </c>
      <c r="AN36" s="13" t="n">
        <f aca="false">AN33+Tax!AN13-AN34-AN35</f>
        <v>70.2159697041754</v>
      </c>
      <c r="AO36" s="13" t="n">
        <f aca="false">AO33+Tax!AO13-AO34-AO35</f>
        <v>30.9887665403025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24.2327692508757</v>
      </c>
      <c r="R37" s="13" t="n">
        <f aca="false">MAX(0,Q43+Financials!R14)</f>
        <v>31.7081042805157</v>
      </c>
      <c r="S37" s="13" t="n">
        <f aca="false">MAX(0,R43+Financials!S14)</f>
        <v>40.3639883385792</v>
      </c>
      <c r="T37" s="13" t="n">
        <f aca="false">MAX(0,S43+Financials!T14)</f>
        <v>49.393525599732</v>
      </c>
      <c r="U37" s="13" t="n">
        <f aca="false">MAX(0,T43+Financials!U14)</f>
        <v>59.6004301473614</v>
      </c>
      <c r="V37" s="13" t="n">
        <f aca="false">MAX(0,U43+Financials!V14)</f>
        <v>68.0264696540597</v>
      </c>
      <c r="W37" s="13" t="n">
        <f aca="false">MAX(0,V43+Financials!W14)</f>
        <v>80.231270994314</v>
      </c>
      <c r="X37" s="13" t="n">
        <f aca="false">MAX(0,W43+Financials!X14)</f>
        <v>93.0139772346662</v>
      </c>
      <c r="Y37" s="13" t="n">
        <f aca="false">MAX(0,X43+Financials!Y14)</f>
        <v>103.96196888747</v>
      </c>
      <c r="Z37" s="13" t="n">
        <f aca="false">MAX(0,Y43+Financials!Z14)</f>
        <v>110.073203743025</v>
      </c>
      <c r="AA37" s="13" t="n">
        <f aca="false">MAX(0,Z43+Financials!AA14)</f>
        <v>117.133678316802</v>
      </c>
      <c r="AB37" s="13" t="n">
        <f aca="false">MAX(0,AA43+Financials!AB14)</f>
        <v>124.726238952957</v>
      </c>
      <c r="AC37" s="13" t="n">
        <f aca="false">MAX(0,AB43+Financials!AC14)</f>
        <v>133.399220068927</v>
      </c>
      <c r="AD37" s="13" t="n">
        <f aca="false">MAX(0,AC43+Financials!AD14)</f>
        <v>133.377162077865</v>
      </c>
      <c r="AE37" s="13" t="n">
        <f aca="false">MAX(0,AD43+Financials!AE14)</f>
        <v>144.628367258677</v>
      </c>
      <c r="AF37" s="13" t="n">
        <f aca="false">MAX(0,AE43+Financials!AF14)</f>
        <v>156.006083827166</v>
      </c>
      <c r="AG37" s="13" t="n">
        <f aca="false">MAX(0,AF43+Financials!AG14)</f>
        <v>168.523819621994</v>
      </c>
      <c r="AH37" s="13" t="n">
        <f aca="false">MAX(0,AG43+Financials!AH14)</f>
        <v>182.073453217973</v>
      </c>
      <c r="AI37" s="13" t="n">
        <f aca="false">MAX(0,AH43+Financials!AI14)</f>
        <v>197.013399864262</v>
      </c>
      <c r="AJ37" s="13" t="n">
        <f aca="false">MAX(0,AI43+Financials!AJ14)</f>
        <v>213.095765701362</v>
      </c>
      <c r="AK37" s="13" t="n">
        <f aca="false">MAX(0,AJ43+Financials!AK14)</f>
        <v>230.69599173318</v>
      </c>
      <c r="AL37" s="13" t="n">
        <f aca="false">MAX(0,AK43+Financials!AL14)</f>
        <v>247.592995323769</v>
      </c>
      <c r="AM37" s="13" t="n">
        <f aca="false">MAX(0,AL43+Financials!AM14)</f>
        <v>267.902329289486</v>
      </c>
      <c r="AN37" s="13" t="n">
        <f aca="false">MAX(0,AM43+Financials!AN14)</f>
        <v>289.421975903031</v>
      </c>
      <c r="AO37" s="13" t="n">
        <f aca="false">MAX(0,AN43+Financials!AO14)</f>
        <v>312.722104442894</v>
      </c>
      <c r="AP37" s="13" t="n">
        <f aca="false">MAX(0,AO43+Financials!AP14)</f>
        <v>337.718396244262</v>
      </c>
      <c r="AQ37" s="13" t="n">
        <f aca="false">MAX(0,AP43+Financials!AQ14)</f>
        <v>354.241980533542</v>
      </c>
      <c r="AR37" s="13" t="n">
        <f aca="false">MAX(0,AQ43+Financials!AR14)</f>
        <v>339.25301371782</v>
      </c>
      <c r="AS37" s="13" t="n">
        <f aca="false">MAX(0,AR43+Financials!AS14)</f>
        <v>323.847436906415</v>
      </c>
      <c r="AT37" s="13" t="n">
        <f aca="false">MAX(0,AS43+Financials!AT14)</f>
        <v>298.398689873068</v>
      </c>
      <c r="AU37" s="13" t="n">
        <f aca="false">MAX(0,AT43+Financials!AU14)</f>
        <v>276.810174306886</v>
      </c>
      <c r="AV37" s="13" t="n">
        <f aca="false">MAX(0,AU43+Financials!AV14)</f>
        <v>259.588380408997</v>
      </c>
      <c r="AW37" s="13" t="n">
        <f aca="false">MAX(0,AV43+Financials!AW14)</f>
        <v>242.358541190903</v>
      </c>
      <c r="AX37" s="13" t="n">
        <f aca="false">MAX(0,AW43+Financials!AX14)</f>
        <v>225.68780644815</v>
      </c>
      <c r="AY37" s="13" t="n">
        <f aca="false">MAX(0,AX43+Financials!AY14)</f>
        <v>208.42871999728</v>
      </c>
      <c r="AZ37" s="13" t="n">
        <f aca="false">MAX(0,AY43+Financials!AZ14)</f>
        <v>191.699957038711</v>
      </c>
      <c r="BA37" s="13" t="n">
        <f aca="false">MAX(0,AZ43+Financials!BA14)</f>
        <v>174.515170724197</v>
      </c>
      <c r="BB37" s="13" t="n">
        <f aca="false">MAX(0,BA43+Financials!BB14)</f>
        <v>155.872665489246</v>
      </c>
      <c r="BC37" s="13" t="n">
        <f aca="false">MAX(0,BB43+Financials!BC14)</f>
        <v>138.513947314611</v>
      </c>
      <c r="BD37" s="13" t="n">
        <f aca="false">MAX(0,BC43+Financials!BD14)</f>
        <v>124.560577688183</v>
      </c>
      <c r="BE37" s="13" t="n">
        <f aca="false">MAX(0,BD43+Financials!BE14)</f>
        <v>116.846716468886</v>
      </c>
      <c r="BF37" s="13" t="n">
        <f aca="false">MAX(0,BE43+Financials!BF14)</f>
        <v>109.729978355853</v>
      </c>
      <c r="BG37" s="13" t="n">
        <f aca="false">MAX(0,BF43+Financials!BG14)</f>
        <v>102.018501359334</v>
      </c>
      <c r="BH37" s="13" t="n">
        <f aca="false">MAX(0,BG43+Financials!BH14)</f>
        <v>94.8710139507515</v>
      </c>
      <c r="BI37" s="13" t="n">
        <f aca="false">MAX(0,BH43+Financials!BI14)</f>
        <v>87.3143206082603</v>
      </c>
      <c r="BJ37" s="13" t="n">
        <f aca="false">MAX(0,BI43+Financials!BJ14)</f>
        <v>67.8518677439172</v>
      </c>
      <c r="BK37" s="13" t="n">
        <f aca="false">MAX(0,BJ43+Financials!BK14)</f>
        <v>52.9069419419202</v>
      </c>
      <c r="BL37" s="13" t="n">
        <f aca="false">MAX(0,BK43+Financials!BL14)</f>
        <v>43.1377436600457</v>
      </c>
      <c r="BM37" s="13" t="n">
        <f aca="false">MAX(0,BL43+Financials!BM14)</f>
        <v>9.92849691490388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9.59234119102135</v>
      </c>
      <c r="AQ38" s="13" t="n">
        <f aca="false">AQ24*MIN(AQ31-AQ34-AQ35,AQ37)</f>
        <v>41.1729146177004</v>
      </c>
      <c r="AR38" s="13" t="n">
        <f aca="false">AR24*MIN(AR31-AR34-AR35,AR37)</f>
        <v>41.7692761146622</v>
      </c>
      <c r="AS38" s="13" t="n">
        <f aca="false">AS24*MIN(AS31-AS34-AS35,AS37)</f>
        <v>41.5039281954534</v>
      </c>
      <c r="AT38" s="13" t="n">
        <f aca="false">AT24*MIN(AT31-AT34-AT35,AT37)</f>
        <v>48.2370083149193</v>
      </c>
      <c r="AU38" s="13" t="n">
        <f aca="false">AU24*MIN(AU31-AU34-AU35,AU37)</f>
        <v>43.7998360232506</v>
      </c>
      <c r="AV38" s="13" t="n">
        <f aca="false">AV24*MIN(AV31-AV34-AV35,AV37)</f>
        <v>43.9233348267565</v>
      </c>
      <c r="AW38" s="13" t="n">
        <f aca="false">AW24*MIN(AW31-AW34-AW35,AW37)</f>
        <v>43.4989500388201</v>
      </c>
      <c r="AX38" s="13" t="n">
        <f aca="false">AX24*MIN(AX31-AX34-AX35,AX37)</f>
        <v>44.1737900691598</v>
      </c>
      <c r="AY38" s="13" t="n">
        <f aca="false">AY24*MIN(AY31-AY34-AY35,AY37)</f>
        <v>43.7168675826064</v>
      </c>
      <c r="AZ38" s="13" t="n">
        <f aca="false">AZ24*MIN(AZ31-AZ34-AZ35,AZ37)</f>
        <v>44.3347577225094</v>
      </c>
      <c r="BA38" s="13" t="n">
        <f aca="false">BA24*MIN(BA31-BA34-BA35,BA37)</f>
        <v>43.5421450044483</v>
      </c>
      <c r="BB38" s="13" t="n">
        <f aca="false">BB24*MIN(BB31-BB34-BB35,BB37)</f>
        <v>44.7831250103057</v>
      </c>
      <c r="BC38" s="13" t="n">
        <f aca="false">BC24*MIN(BC31-BC34-BC35,BC37)</f>
        <v>41.3681605196641</v>
      </c>
      <c r="BD38" s="13" t="n">
        <f aca="false">BD24*MIN(BD31-BD34-BD35,BD37)</f>
        <v>35.2534830804887</v>
      </c>
      <c r="BE38" s="13" t="n">
        <f aca="false">BE24*MIN(BE31-BE34-BE35,BE37)</f>
        <v>34.8037215542576</v>
      </c>
      <c r="BF38" s="13" t="n">
        <f aca="false">BF24*MIN(BF31-BF34-BF35,BF37)</f>
        <v>35.4910559378253</v>
      </c>
      <c r="BG38" s="13" t="n">
        <f aca="false">BG24*MIN(BG31-BG34-BG35,BG37)</f>
        <v>35.0062711860928</v>
      </c>
      <c r="BH38" s="13" t="n">
        <f aca="false">BH24*MIN(BH31-BH34-BH35,BH37)</f>
        <v>35.6300942748344</v>
      </c>
      <c r="BI38" s="13" t="n">
        <f aca="false">BI24*MIN(BI31-BI34-BI35,BI37)</f>
        <v>35.3514629689357</v>
      </c>
      <c r="BJ38" s="13" t="n">
        <f aca="false">BJ24*MIN(BJ31-BJ34-BJ35,BJ37)</f>
        <v>43.3575517274499</v>
      </c>
      <c r="BK38" s="13" t="n">
        <f aca="false">BK24*MIN(BK31-BK34-BK35,BK37)</f>
        <v>38.0899927976729</v>
      </c>
      <c r="BL38" s="13" t="n">
        <f aca="false">BL24*MIN(BL31-BL34-BL35,BL37)</f>
        <v>38.8200314904175</v>
      </c>
      <c r="BM38" s="13" t="n">
        <f aca="false">BM24*MIN(BM31-BM34-BM35,BM37)</f>
        <v>9.92849691490388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44.9204439178288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44.9204439178288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44.9204439178288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962.069041081985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9.59234119102135</v>
      </c>
      <c r="AQ41" s="13" t="n">
        <f aca="false">AQ38+AQ40</f>
        <v>41.1729146177004</v>
      </c>
      <c r="AR41" s="13" t="n">
        <f aca="false">AR38+AR40</f>
        <v>41.7692761146622</v>
      </c>
      <c r="AS41" s="13" t="n">
        <f aca="false">AS38+AS40</f>
        <v>41.5039281954534</v>
      </c>
      <c r="AT41" s="13" t="n">
        <f aca="false">AT38+AT40</f>
        <v>48.2370083149193</v>
      </c>
      <c r="AU41" s="13" t="n">
        <f aca="false">AU38+AU40</f>
        <v>43.7998360232506</v>
      </c>
      <c r="AV41" s="13" t="n">
        <f aca="false">AV38+AV40</f>
        <v>43.9233348267565</v>
      </c>
      <c r="AW41" s="13" t="n">
        <f aca="false">AW38+AW40</f>
        <v>43.4989500388201</v>
      </c>
      <c r="AX41" s="13" t="n">
        <f aca="false">AX38+AX40</f>
        <v>44.1737900691598</v>
      </c>
      <c r="AY41" s="13" t="n">
        <f aca="false">AY38+AY40</f>
        <v>43.7168675826064</v>
      </c>
      <c r="AZ41" s="13" t="n">
        <f aca="false">AZ38+AZ40</f>
        <v>44.3347577225094</v>
      </c>
      <c r="BA41" s="13" t="n">
        <f aca="false">BA38+BA40</f>
        <v>43.5421450044483</v>
      </c>
      <c r="BB41" s="13" t="n">
        <f aca="false">BB38+BB40</f>
        <v>44.7831250103057</v>
      </c>
      <c r="BC41" s="13" t="n">
        <f aca="false">BC38+BC40</f>
        <v>41.3681605196641</v>
      </c>
      <c r="BD41" s="13" t="n">
        <f aca="false">BD38+BD40</f>
        <v>35.2534830804887</v>
      </c>
      <c r="BE41" s="13" t="n">
        <f aca="false">BE38+BE40</f>
        <v>34.8037215542576</v>
      </c>
      <c r="BF41" s="13" t="n">
        <f aca="false">BF38+BF40</f>
        <v>35.4910559378253</v>
      </c>
      <c r="BG41" s="13" t="n">
        <f aca="false">BG38+BG40</f>
        <v>35.0062711860928</v>
      </c>
      <c r="BH41" s="13" t="n">
        <f aca="false">BH38+BH40</f>
        <v>35.6300942748344</v>
      </c>
      <c r="BI41" s="13" t="n">
        <f aca="false">BI38+BI40</f>
        <v>35.3514629689357</v>
      </c>
      <c r="BJ41" s="13" t="n">
        <f aca="false">BJ38+BJ40</f>
        <v>43.3575517274499</v>
      </c>
      <c r="BK41" s="13" t="n">
        <f aca="false">BK38+BK40</f>
        <v>38.0899927976729</v>
      </c>
      <c r="BL41" s="13" t="n">
        <f aca="false">BL38+BL40</f>
        <v>38.8200314904175</v>
      </c>
      <c r="BM41" s="13" t="n">
        <f aca="false">BM38+BM40</f>
        <v>54.8489408327327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24.2327692508757</v>
      </c>
      <c r="R43" s="13" t="n">
        <f aca="false">IF(Time!R20&lt;Time!$F$12,0,Q43+Financials!R14-R41)</f>
        <v>31.7081042805157</v>
      </c>
      <c r="S43" s="13" t="n">
        <f aca="false">IF(Time!S20&lt;Time!$F$12,0,R43+Financials!S14-S41)</f>
        <v>40.3639883385792</v>
      </c>
      <c r="T43" s="13" t="n">
        <f aca="false">IF(Time!T20&lt;Time!$F$12,0,S43+Financials!T14-T41)</f>
        <v>49.393525599732</v>
      </c>
      <c r="U43" s="13" t="n">
        <f aca="false">IF(Time!U20&lt;Time!$F$12,0,T43+Financials!U14-U41)</f>
        <v>59.6004301473614</v>
      </c>
      <c r="V43" s="13" t="n">
        <f aca="false">IF(Time!V20&lt;Time!$F$12,0,U43+Financials!V14-V41)</f>
        <v>68.0264696540597</v>
      </c>
      <c r="W43" s="13" t="n">
        <f aca="false">IF(Time!W20&lt;Time!$F$12,0,V43+Financials!W14-W41)</f>
        <v>80.231270994314</v>
      </c>
      <c r="X43" s="13" t="n">
        <f aca="false">IF(Time!X20&lt;Time!$F$12,0,W43+Financials!X14-X41)</f>
        <v>93.0139772346662</v>
      </c>
      <c r="Y43" s="13" t="n">
        <f aca="false">IF(Time!Y20&lt;Time!$F$12,0,X43+Financials!Y14-Y41)</f>
        <v>103.96196888747</v>
      </c>
      <c r="Z43" s="13" t="n">
        <f aca="false">IF(Time!Z20&lt;Time!$F$12,0,Y43+Financials!Z14-Z41)</f>
        <v>110.073203743025</v>
      </c>
      <c r="AA43" s="13" t="n">
        <f aca="false">IF(Time!AA20&lt;Time!$F$12,0,Z43+Financials!AA14-AA41)</f>
        <v>117.133678316802</v>
      </c>
      <c r="AB43" s="13" t="n">
        <f aca="false">IF(Time!AB20&lt;Time!$F$12,0,AA43+Financials!AB14-AB41)</f>
        <v>124.726238952957</v>
      </c>
      <c r="AC43" s="13" t="n">
        <f aca="false">IF(Time!AC20&lt;Time!$F$12,0,AB43+Financials!AC14-AC41)</f>
        <v>133.399220068927</v>
      </c>
      <c r="AD43" s="13" t="n">
        <f aca="false">IF(Time!AD20&lt;Time!$F$12,0,AC43+Financials!AD14-AD41)</f>
        <v>133.377162077865</v>
      </c>
      <c r="AE43" s="13" t="n">
        <f aca="false">IF(Time!AE20&lt;Time!$F$12,0,AD43+Financials!AE14-AE41)</f>
        <v>144.628367258677</v>
      </c>
      <c r="AF43" s="13" t="n">
        <f aca="false">IF(Time!AF20&lt;Time!$F$12,0,AE43+Financials!AF14-AF41)</f>
        <v>156.006083827166</v>
      </c>
      <c r="AG43" s="13" t="n">
        <f aca="false">IF(Time!AG20&lt;Time!$F$12,0,AF43+Financials!AG14-AG41)</f>
        <v>168.523819621994</v>
      </c>
      <c r="AH43" s="13" t="n">
        <f aca="false">IF(Time!AH20&lt;Time!$F$12,0,AG43+Financials!AH14-AH41)</f>
        <v>182.073453217973</v>
      </c>
      <c r="AI43" s="13" t="n">
        <f aca="false">IF(Time!AI20&lt;Time!$F$12,0,AH43+Financials!AI14-AI41)</f>
        <v>197.013399864262</v>
      </c>
      <c r="AJ43" s="13" t="n">
        <f aca="false">IF(Time!AJ20&lt;Time!$F$12,0,AI43+Financials!AJ14-AJ41)</f>
        <v>213.095765701362</v>
      </c>
      <c r="AK43" s="13" t="n">
        <f aca="false">IF(Time!AK20&lt;Time!$F$12,0,AJ43+Financials!AK14-AK41)</f>
        <v>230.69599173318</v>
      </c>
      <c r="AL43" s="13" t="n">
        <f aca="false">IF(Time!AL20&lt;Time!$F$12,0,AK43+Financials!AL14-AL41)</f>
        <v>247.592995323769</v>
      </c>
      <c r="AM43" s="13" t="n">
        <f aca="false">IF(Time!AM20&lt;Time!$F$12,0,AL43+Financials!AM14-AM41)</f>
        <v>267.902329289486</v>
      </c>
      <c r="AN43" s="13" t="n">
        <f aca="false">IF(Time!AN20&lt;Time!$F$12,0,AM43+Financials!AN14-AN41)</f>
        <v>289.421975903031</v>
      </c>
      <c r="AO43" s="13" t="n">
        <f aca="false">IF(Time!AO20&lt;Time!$F$12,0,AN43+Financials!AO14-AO41)</f>
        <v>312.722104442894</v>
      </c>
      <c r="AP43" s="13" t="n">
        <f aca="false">IF(Time!AP20&lt;Time!$F$12,0,AO43+Financials!AP14-AP41)</f>
        <v>328.12605505324</v>
      </c>
      <c r="AQ43" s="13" t="n">
        <f aca="false">IF(Time!AQ20&lt;Time!$F$12,0,AP43+Financials!AQ14-AQ41)</f>
        <v>313.069065915841</v>
      </c>
      <c r="AR43" s="13" t="n">
        <f aca="false">IF(Time!AR20&lt;Time!$F$12,0,AQ43+Financials!AR14-AR41)</f>
        <v>297.483737603158</v>
      </c>
      <c r="AS43" s="13" t="n">
        <f aca="false">IF(Time!AS20&lt;Time!$F$12,0,AR43+Financials!AS14-AS41)</f>
        <v>282.343508710961</v>
      </c>
      <c r="AT43" s="13" t="n">
        <f aca="false">IF(Time!AT20&lt;Time!$F$12,0,AS43+Financials!AT14-AT41)</f>
        <v>250.161681558149</v>
      </c>
      <c r="AU43" s="13" t="n">
        <f aca="false">IF(Time!AU20&lt;Time!$F$12,0,AT43+Financials!AU14-AU41)</f>
        <v>233.010338283635</v>
      </c>
      <c r="AV43" s="13" t="n">
        <f aca="false">IF(Time!AV20&lt;Time!$F$12,0,AU43+Financials!AV14-AV41)</f>
        <v>215.665045582241</v>
      </c>
      <c r="AW43" s="13" t="n">
        <f aca="false">IF(Time!AW20&lt;Time!$F$12,0,AV43+Financials!AW14-AW41)</f>
        <v>198.859591152083</v>
      </c>
      <c r="AX43" s="13" t="n">
        <f aca="false">IF(Time!AX20&lt;Time!$F$12,0,AW43+Financials!AX14-AX41)</f>
        <v>181.514016378991</v>
      </c>
      <c r="AY43" s="13" t="n">
        <f aca="false">IF(Time!AY20&lt;Time!$F$12,0,AX43+Financials!AY14-AY41)</f>
        <v>164.711852414674</v>
      </c>
      <c r="AZ43" s="13" t="n">
        <f aca="false">IF(Time!AZ20&lt;Time!$F$12,0,AY43+Financials!AZ14-AZ41)</f>
        <v>147.365199316201</v>
      </c>
      <c r="BA43" s="13" t="n">
        <f aca="false">IF(Time!BA20&lt;Time!$F$12,0,AZ43+Financials!BA14-BA41)</f>
        <v>130.973025719748</v>
      </c>
      <c r="BB43" s="13" t="n">
        <f aca="false">IF(Time!BB20&lt;Time!$F$12,0,BA43+Financials!BB14-BB41)</f>
        <v>111.08954047894</v>
      </c>
      <c r="BC43" s="13" t="n">
        <f aca="false">IF(Time!BC20&lt;Time!$F$12,0,BB43+Financials!BC14-BC41)</f>
        <v>97.1457867949469</v>
      </c>
      <c r="BD43" s="13" t="n">
        <f aca="false">IF(Time!BD20&lt;Time!$F$12,0,BC43+Financials!BD14-BD41)</f>
        <v>89.3070946076939</v>
      </c>
      <c r="BE43" s="13" t="n">
        <f aca="false">IF(Time!BE20&lt;Time!$F$12,0,BD43+Financials!BE14-BE41)</f>
        <v>82.0429949146283</v>
      </c>
      <c r="BF43" s="13" t="n">
        <f aca="false">IF(Time!BF20&lt;Time!$F$12,0,BE43+Financials!BF14-BF41)</f>
        <v>74.2389224180273</v>
      </c>
      <c r="BG43" s="13" t="n">
        <f aca="false">IF(Time!BG20&lt;Time!$F$12,0,BF43+Financials!BG14-BG41)</f>
        <v>67.0122301732414</v>
      </c>
      <c r="BH43" s="13" t="n">
        <f aca="false">IF(Time!BH20&lt;Time!$F$12,0,BG43+Financials!BH14-BH41)</f>
        <v>59.2409196759171</v>
      </c>
      <c r="BI43" s="13" t="n">
        <f aca="false">IF(Time!BI20&lt;Time!$F$12,0,BH43+Financials!BI14-BI41)</f>
        <v>51.9628576393246</v>
      </c>
      <c r="BJ43" s="13" t="n">
        <f aca="false">IF(Time!BJ20&lt;Time!$F$12,0,BI43+Financials!BJ14-BJ41)</f>
        <v>24.4943160164673</v>
      </c>
      <c r="BK43" s="13" t="n">
        <f aca="false">IF(Time!BK20&lt;Time!$F$12,0,BJ43+Financials!BK14-BK41)</f>
        <v>14.8169491442473</v>
      </c>
      <c r="BL43" s="13" t="n">
        <f aca="false">IF(Time!BL20&lt;Time!$F$12,0,BK43+Financials!BL14-BL41)</f>
        <v>4.31771216962815</v>
      </c>
      <c r="BM43" s="13" t="n">
        <f aca="false">IF(Time!BM20&lt;Time!$F$12,0,BL43+Financials!BM14-BM41)</f>
        <v>-44.9204439178288</v>
      </c>
      <c r="BN43" s="13" t="n">
        <f aca="false">IF(Time!BN20&lt;Time!$F$12,0,BM43+Financials!BN14-BN41)</f>
        <v>-44.9204439178288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1388.75127327866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13.4992695484608</v>
      </c>
      <c r="Q44" s="13" t="n">
        <f aca="false">Q34+Q35+Q41</f>
        <v>11.0531093570244</v>
      </c>
      <c r="R44" s="13" t="n">
        <f aca="false">R34+R35+R41</f>
        <v>12.0402827158271</v>
      </c>
      <c r="S44" s="13" t="n">
        <f aca="false">S34+S35+S41</f>
        <v>11.2472650143153</v>
      </c>
      <c r="T44" s="13" t="n">
        <f aca="false">T34+T35+T41</f>
        <v>12.0506624239152</v>
      </c>
      <c r="U44" s="13" t="n">
        <f aca="false">U34+U35+U41</f>
        <v>11.120376005158</v>
      </c>
      <c r="V44" s="13" t="n">
        <f aca="false">V34+V35+V41</f>
        <v>12.4225167602611</v>
      </c>
      <c r="W44" s="13" t="n">
        <f aca="false">W34+W35+W41</f>
        <v>13.1911696380067</v>
      </c>
      <c r="X44" s="13" t="n">
        <f aca="false">X34+X35+X41</f>
        <v>12.1349389482078</v>
      </c>
      <c r="Y44" s="13" t="n">
        <f aca="false">Y34+Y35+Y41</f>
        <v>11.3822913834046</v>
      </c>
      <c r="Z44" s="13" t="n">
        <f aca="false">Z34+Z35+Z41</f>
        <v>12.1536332856803</v>
      </c>
      <c r="AA44" s="13" t="n">
        <f aca="false">AA34+AA35+AA41</f>
        <v>5.67844085810906</v>
      </c>
      <c r="AB44" s="13" t="n">
        <f aca="false">AB34+AB35+AB41</f>
        <v>6.69864114973051</v>
      </c>
      <c r="AC44" s="13" t="n">
        <f aca="false">AC34+AC35+AC41</f>
        <v>6.39448561975389</v>
      </c>
      <c r="AD44" s="13" t="n">
        <f aca="false">AD34+AD35+AD41</f>
        <v>7.77233357710078</v>
      </c>
      <c r="AE44" s="13" t="n">
        <f aca="false">AE34+AE35+AE41</f>
        <v>8.42012389225984</v>
      </c>
      <c r="AF44" s="13" t="n">
        <f aca="false">AF34+AF35+AF41</f>
        <v>9.3550169925707</v>
      </c>
      <c r="AG44" s="13" t="n">
        <f aca="false">AG34+AG35+AG41</f>
        <v>9.83918244449216</v>
      </c>
      <c r="AH44" s="13" t="n">
        <f aca="false">AH34+AH35+AH41</f>
        <v>11.2782819334744</v>
      </c>
      <c r="AI44" s="13" t="n">
        <f aca="false">AI34+AI35+AI41</f>
        <v>12.234712695212</v>
      </c>
      <c r="AJ44" s="13" t="n">
        <f aca="false">AJ34+AJ35+AJ41</f>
        <v>14.2107997091524</v>
      </c>
      <c r="AK44" s="13" t="n">
        <f aca="false">AK34+AK35+AK41</f>
        <v>26.5203813467429</v>
      </c>
      <c r="AL44" s="13" t="n">
        <f aca="false">AL34+AL35+AL41</f>
        <v>33.6739543247755</v>
      </c>
      <c r="AM44" s="13" t="n">
        <f aca="false">AM34+AM35+AM41</f>
        <v>34.199235179286</v>
      </c>
      <c r="AN44" s="13" t="n">
        <f aca="false">AN34+AN35+AN41</f>
        <v>33.1032474479638</v>
      </c>
      <c r="AO44" s="13" t="n">
        <f aca="false">AO34+AO35+AO41</f>
        <v>42.5350486407587</v>
      </c>
      <c r="AP44" s="13" t="n">
        <f aca="false">AP34+AP35+AP41</f>
        <v>42.0651724960484</v>
      </c>
      <c r="AQ44" s="13" t="n">
        <f aca="false">AQ34+AQ35+AQ41</f>
        <v>41.1729146177004</v>
      </c>
      <c r="AR44" s="13" t="n">
        <f aca="false">AR34+AR35+AR41</f>
        <v>41.7692761146622</v>
      </c>
      <c r="AS44" s="13" t="n">
        <f aca="false">AS34+AS35+AS41</f>
        <v>41.5039281954534</v>
      </c>
      <c r="AT44" s="13" t="n">
        <f aca="false">AT34+AT35+AT41</f>
        <v>48.2370083149193</v>
      </c>
      <c r="AU44" s="13" t="n">
        <f aca="false">AU34+AU35+AU41</f>
        <v>43.7998360232506</v>
      </c>
      <c r="AV44" s="13" t="n">
        <f aca="false">AV34+AV35+AV41</f>
        <v>43.9233348267565</v>
      </c>
      <c r="AW44" s="13" t="n">
        <f aca="false">AW34+AW35+AW41</f>
        <v>43.4989500388201</v>
      </c>
      <c r="AX44" s="13" t="n">
        <f aca="false">AX34+AX35+AX41</f>
        <v>44.1737900691598</v>
      </c>
      <c r="AY44" s="13" t="n">
        <f aca="false">AY34+AY35+AY41</f>
        <v>43.7168675826064</v>
      </c>
      <c r="AZ44" s="13" t="n">
        <f aca="false">AZ34+AZ35+AZ41</f>
        <v>44.3347577225094</v>
      </c>
      <c r="BA44" s="13" t="n">
        <f aca="false">BA34+BA35+BA41</f>
        <v>43.5421450044483</v>
      </c>
      <c r="BB44" s="13" t="n">
        <f aca="false">BB34+BB35+BB41</f>
        <v>44.7831250103057</v>
      </c>
      <c r="BC44" s="13" t="n">
        <f aca="false">BC34+BC35+BC41</f>
        <v>41.3681605196641</v>
      </c>
      <c r="BD44" s="13" t="n">
        <f aca="false">BD34+BD35+BD41</f>
        <v>35.2534830804887</v>
      </c>
      <c r="BE44" s="13" t="n">
        <f aca="false">BE34+BE35+BE41</f>
        <v>34.8037215542576</v>
      </c>
      <c r="BF44" s="13" t="n">
        <f aca="false">BF34+BF35+BF41</f>
        <v>35.4910559378253</v>
      </c>
      <c r="BG44" s="13" t="n">
        <f aca="false">BG34+BG35+BG41</f>
        <v>35.0062711860928</v>
      </c>
      <c r="BH44" s="13" t="n">
        <f aca="false">BH34+BH35+BH41</f>
        <v>35.6300942748344</v>
      </c>
      <c r="BI44" s="13" t="n">
        <f aca="false">BI34+BI35+BI41</f>
        <v>35.3514629689357</v>
      </c>
      <c r="BJ44" s="13" t="n">
        <f aca="false">BJ34+BJ35+BJ41</f>
        <v>43.3575517274499</v>
      </c>
      <c r="BK44" s="13" t="n">
        <f aca="false">BK34+BK35+BK41</f>
        <v>38.0899927976729</v>
      </c>
      <c r="BL44" s="13" t="n">
        <f aca="false">BL34+BL35+BL41</f>
        <v>38.8200314904175</v>
      </c>
      <c r="BM44" s="13" t="n">
        <f aca="false">BM34+BM35+BM41</f>
        <v>54.8489408327327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557.091054610189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32.0423425985635</v>
      </c>
      <c r="R9" s="13" t="n">
        <f aca="false">Debt!R112+Debt!R110+Debt!R104-Debt!R103+Tax!R13</f>
        <v>31.8307570944003</v>
      </c>
      <c r="S9" s="13" t="n">
        <f aca="false">Debt!S112+Debt!S110+Debt!S104-Debt!S103+Tax!S13</f>
        <v>30.7443005248281</v>
      </c>
      <c r="T9" s="13" t="n">
        <f aca="false">Debt!T112+Debt!T110+Debt!T104-Debt!T103+Tax!T13</f>
        <v>30.4479866501357</v>
      </c>
      <c r="U9" s="13" t="n">
        <f aca="false">Debt!U112+Debt!U110+Debt!U104-Debt!U103+Tax!U13</f>
        <v>29.4352346270149</v>
      </c>
      <c r="V9" s="13" t="n">
        <f aca="false">Debt!V112+Debt!V110+Debt!V104-Debt!V103+Tax!V13</f>
        <v>28.9385900098134</v>
      </c>
      <c r="W9" s="13" t="n">
        <f aca="false">Debt!W112+Debt!W110+Debt!W104-Debt!W103+Tax!W13</f>
        <v>27.7163099646155</v>
      </c>
      <c r="X9" s="13" t="n">
        <f aca="false">Debt!X112+Debt!X110+Debt!X104-Debt!X103+Tax!X13</f>
        <v>27.1386173021745</v>
      </c>
      <c r="Y9" s="13" t="n">
        <f aca="false">Debt!Y112+Debt!Y110+Debt!Y104-Debt!Y103+Tax!Y13</f>
        <v>26.4551674264483</v>
      </c>
      <c r="Z9" s="13" t="n">
        <f aca="false">Debt!Z112+Debt!Z110+Debt!Z104-Debt!Z103+Tax!Z13</f>
        <v>25.9419824294475</v>
      </c>
      <c r="AA9" s="13" t="n">
        <f aca="false">Debt!AA112+Debt!AA110+Debt!AA104-Debt!AA103+Tax!AA13</f>
        <v>24.6841061708457</v>
      </c>
      <c r="AB9" s="13" t="n">
        <f aca="false">Debt!AB112+Debt!AB110+Debt!AB104-Debt!AB103+Tax!AB13</f>
        <v>24.0046764038937</v>
      </c>
      <c r="AC9" s="13" t="n">
        <f aca="false">Debt!AC112+Debt!AC110+Debt!AC104-Debt!AC103+Tax!AC13</f>
        <v>22.6750194571142</v>
      </c>
      <c r="AD9" s="13" t="n">
        <f aca="false">Debt!AD112+Debt!AD110+Debt!AD104-Debt!AD103+Tax!AD13</f>
        <v>21.7683618707598</v>
      </c>
      <c r="AE9" s="13" t="n">
        <f aca="false">Debt!AE112+Debt!AE110+Debt!AE104-Debt!AE103+Tax!AE13</f>
        <v>20.1905037035521</v>
      </c>
      <c r="AF9" s="13" t="n">
        <f aca="false">Debt!AF112+Debt!AF110+Debt!AF104-Debt!AF103+Tax!AF13</f>
        <v>19.0679514661875</v>
      </c>
      <c r="AG9" s="13" t="n">
        <f aca="false">Debt!AG112+Debt!AG110+Debt!AG104-Debt!AG103+Tax!AG13</f>
        <v>17.5781979829638</v>
      </c>
      <c r="AH9" s="13" t="n">
        <f aca="false">Debt!AH112+Debt!AH110+Debt!AH104-Debt!AH103+Tax!AH13</f>
        <v>16.2627543118368</v>
      </c>
      <c r="AI9" s="13" t="n">
        <f aca="false">Debt!AI112+Debt!AI110+Debt!AI104-Debt!AI103+Tax!AI13</f>
        <v>14.3816433651914</v>
      </c>
      <c r="AJ9" s="13" t="n">
        <f aca="false">Debt!AJ112+Debt!AJ110+Debt!AJ104-Debt!AJ103+Tax!AJ13</f>
        <v>12.8366640265801</v>
      </c>
      <c r="AK9" s="13" t="n">
        <f aca="false">Debt!AK112+Debt!AK110+Debt!AK104-Debt!AK103+Tax!AK13</f>
        <v>10.8615231340246</v>
      </c>
      <c r="AL9" s="13" t="n">
        <f aca="false">Debt!AL112+Debt!AL110+Debt!AL104-Debt!AL103+Tax!AL13</f>
        <v>9.15928479367077</v>
      </c>
      <c r="AM9" s="13" t="n">
        <f aca="false">Debt!AM112+Debt!AM110+Debt!AM104-Debt!AM103+Tax!AM13</f>
        <v>7.31755139338472</v>
      </c>
      <c r="AN9" s="13" t="n">
        <f aca="false">Debt!AN112+Debt!AN110+Debt!AN104-Debt!AN103+Tax!AN13</f>
        <v>5.57853696238808</v>
      </c>
      <c r="AO9" s="13" t="n">
        <f aca="false">Debt!AO112+Debt!AO110+Debt!AO104-Debt!AO103+Tax!AO13</f>
        <v>3.73122615971446</v>
      </c>
      <c r="AP9" s="13" t="n">
        <f aca="false">Debt!AP112+Debt!AP110+Debt!AP104-Debt!AP103+Tax!AP13</f>
        <v>1.48406476472462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-49.3293508118557</v>
      </c>
      <c r="Z12" s="13" t="n">
        <f aca="false">IF(Time!Z20&gt;=Time!$F$12,Inputs!$F$184/100*(Z11-Z10-Tax!Z21),0)</f>
        <v>-46.5578966446145</v>
      </c>
      <c r="AA12" s="13" t="n">
        <f aca="false">IF(Time!AA20&gt;=Time!$F$12,Inputs!$F$184/100*(AA11-AA10-Tax!AA21),0)</f>
        <v>-43.3788647298793</v>
      </c>
      <c r="AB12" s="13" t="n">
        <f aca="false">IF(Time!AB20&gt;=Time!$F$12,Inputs!$F$184/100*(AB11-AB10-Tax!AB21),0)</f>
        <v>-39.9709674494563</v>
      </c>
      <c r="AC12" s="13" t="n">
        <f aca="false">IF(Time!AC20&gt;=Time!$F$12,Inputs!$F$184/100*(AC11-AC10-Tax!AC21),0)</f>
        <v>-36.0996515138349</v>
      </c>
      <c r="AD12" s="13" t="n">
        <f aca="false">IF(Time!AD20&gt;=Time!$F$12,Inputs!$F$184/100*(AD11-AD10-Tax!AD21),0)</f>
        <v>-35.0959084370803</v>
      </c>
      <c r="AE12" s="13" t="n">
        <f aca="false">IF(Time!AE20&gt;=Time!$F$12,Inputs!$F$184/100*(AE11-AE10-Tax!AE21),0)</f>
        <v>-30.9793335203322</v>
      </c>
      <c r="AF12" s="13" t="n">
        <f aca="false">IF(Time!AF20&gt;=Time!$F$12,Inputs!$F$184/100*(AF11-AF10-Tax!AF21),0)</f>
        <v>-25.9463029971988</v>
      </c>
      <c r="AG12" s="13" t="n">
        <f aca="false">IF(Time!AG20&gt;=Time!$F$12,Inputs!$F$184/100*(AG11-AG10-Tax!AG21),0)</f>
        <v>-20.4240043130088</v>
      </c>
      <c r="AH12" s="13" t="n">
        <f aca="false">IF(Time!AH20&gt;=Time!$F$12,Inputs!$F$184/100*(AH11-AH10-Tax!AH21),0)</f>
        <v>-14.4588311646908</v>
      </c>
      <c r="AI12" s="13" t="n">
        <f aca="false">IF(Time!AI20&gt;=Time!$F$12,Inputs!$F$184/100*(AI11-AI10-Tax!AI21),0)</f>
        <v>-7.89698133460073</v>
      </c>
      <c r="AJ12" s="13" t="n">
        <f aca="false">IF(Time!AJ20&gt;=Time!$F$12,Inputs!$F$184/100*(AJ11-AJ10-Tax!AJ21),0)</f>
        <v>-0.844621542363467</v>
      </c>
      <c r="AK12" s="13" t="n">
        <f aca="false">IF(Time!AK20&gt;=Time!$F$12,Inputs!$F$184/100*(AK11-AK10-Tax!AK21),0)</f>
        <v>6.85880315985718</v>
      </c>
      <c r="AL12" s="13" t="n">
        <f aca="false">IF(Time!AL20&gt;=Time!$F$12,Inputs!$F$184/100*(AL11-AL10-Tax!AL21),0)</f>
        <v>14.2611716853697</v>
      </c>
      <c r="AM12" s="13" t="n">
        <f aca="false">IF(Time!AM20&gt;=Time!$F$12,Inputs!$F$184/100*(AM11-AM10-Tax!AM21),0)</f>
        <v>23.1269952491865</v>
      </c>
      <c r="AN12" s="13" t="n">
        <f aca="false">IF(Time!AN20&gt;=Time!$F$12,Inputs!$F$184/100*(AN11-AN10-Tax!AN21),0)</f>
        <v>32.5128022502495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-2.48800722997373</v>
      </c>
      <c r="Z13" s="13" t="n">
        <f aca="false">Z12-Y12</f>
        <v>2.77145416724124</v>
      </c>
      <c r="AA13" s="13" t="n">
        <f aca="false">AA12-Z12</f>
        <v>3.17903191473515</v>
      </c>
      <c r="AB13" s="13" t="n">
        <f aca="false">AB12-AA12</f>
        <v>3.40789728042298</v>
      </c>
      <c r="AC13" s="13" t="n">
        <f aca="false">AC12-AB12</f>
        <v>3.87131593562144</v>
      </c>
      <c r="AD13" s="13" t="n">
        <f aca="false">AD12-AC12</f>
        <v>1.00374307675464</v>
      </c>
      <c r="AE13" s="13" t="n">
        <f aca="false">AE12-AD12</f>
        <v>4.11657491674808</v>
      </c>
      <c r="AF13" s="13" t="n">
        <f aca="false">AF12-AE12</f>
        <v>5.03303052313338</v>
      </c>
      <c r="AG13" s="13" t="n">
        <f aca="false">AG12-AF12</f>
        <v>5.52229868418994</v>
      </c>
      <c r="AH13" s="13" t="n">
        <f aca="false">AH12-AG12</f>
        <v>5.96517314831801</v>
      </c>
      <c r="AI13" s="13" t="n">
        <f aca="false">AI12-AH12</f>
        <v>6.5618498300901</v>
      </c>
      <c r="AJ13" s="13" t="n">
        <f aca="false">AJ12-AI12</f>
        <v>7.05235979223726</v>
      </c>
      <c r="AK13" s="13" t="n">
        <f aca="false">AK12-AJ12</f>
        <v>7.70342470222064</v>
      </c>
      <c r="AL13" s="13" t="n">
        <f aca="false">AL12-AK12</f>
        <v>7.40236852551255</v>
      </c>
      <c r="AM13" s="13" t="n">
        <f aca="false">AM12-AL12</f>
        <v>8.86582356381675</v>
      </c>
      <c r="AN13" s="13" t="n">
        <f aca="false">AN12-AM12</f>
        <v>9.38580700106304</v>
      </c>
      <c r="AO13" s="13" t="n">
        <f aca="false">AO12-AN12</f>
        <v>1.44717184661494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917.148597164156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7.11669506037801</v>
      </c>
      <c r="R14" s="13" t="n">
        <f aca="false">Operations!R84-R8-R9-Tax!R27-R13</f>
        <v>7.47533502964</v>
      </c>
      <c r="S14" s="13" t="n">
        <f aca="false">Operations!S84-S8-S9-Tax!S27-S13</f>
        <v>8.65588405806352</v>
      </c>
      <c r="T14" s="13" t="n">
        <f aca="false">Operations!T84-T8-T9-Tax!T27-T13</f>
        <v>9.0295372611528</v>
      </c>
      <c r="U14" s="13" t="n">
        <f aca="false">Operations!U84-U8-U9-Tax!U27-U13</f>
        <v>10.2069045476294</v>
      </c>
      <c r="V14" s="13" t="n">
        <f aca="false">Operations!V84-V8-V9-Tax!V27-V13</f>
        <v>8.42603950669827</v>
      </c>
      <c r="W14" s="13" t="n">
        <f aca="false">Operations!W84-W8-W9-Tax!W27-W13</f>
        <v>12.2048013402543</v>
      </c>
      <c r="X14" s="13" t="n">
        <f aca="false">Operations!X84-X8-X9-Tax!X27-X13</f>
        <v>12.7827062403523</v>
      </c>
      <c r="Y14" s="13" t="n">
        <f aca="false">Operations!Y84-Y8-Y9-Tax!Y27-Y13</f>
        <v>10.9479916528033</v>
      </c>
      <c r="Z14" s="13" t="n">
        <f aca="false">Operations!Z84-Z8-Z9-Tax!Z27-Z13</f>
        <v>6.11123485555577</v>
      </c>
      <c r="AA14" s="13" t="n">
        <f aca="false">Operations!AA84-AA8-AA9-Tax!AA27-AA13</f>
        <v>7.06047457377626</v>
      </c>
      <c r="AB14" s="13" t="n">
        <f aca="false">Operations!AB84-AB8-AB9-Tax!AB27-AB13</f>
        <v>7.59256063615544</v>
      </c>
      <c r="AC14" s="13" t="n">
        <f aca="false">Operations!AC84-AC8-AC9-Tax!AC27-AC13</f>
        <v>8.67298111597029</v>
      </c>
      <c r="AD14" s="13" t="n">
        <f aca="false">Operations!AD84-AD8-AD9-Tax!AD27-AD13</f>
        <v>-0.0220579910618159</v>
      </c>
      <c r="AE14" s="13" t="n">
        <f aca="false">Operations!AE84-AE8-AE9-Tax!AE27-AE13</f>
        <v>11.2512051808111</v>
      </c>
      <c r="AF14" s="13" t="n">
        <f aca="false">Operations!AF84-AF8-AF9-Tax!AF27-AF13</f>
        <v>11.3777165684895</v>
      </c>
      <c r="AG14" s="13" t="n">
        <f aca="false">Operations!AG84-AG8-AG9-Tax!AG27-AG13</f>
        <v>12.5177357948284</v>
      </c>
      <c r="AH14" s="13" t="n">
        <f aca="false">Operations!AH84-AH8-AH9-Tax!AH27-AH13</f>
        <v>13.5496335959785</v>
      </c>
      <c r="AI14" s="13" t="n">
        <f aca="false">Operations!AI84-AI8-AI9-Tax!AI27-AI13</f>
        <v>14.9399466462895</v>
      </c>
      <c r="AJ14" s="13" t="n">
        <f aca="false">Operations!AJ84-AJ8-AJ9-Tax!AJ27-AJ13</f>
        <v>16.0823658370998</v>
      </c>
      <c r="AK14" s="13" t="n">
        <f aca="false">Operations!AK84-AK8-AK9-Tax!AK27-AK13</f>
        <v>17.6002260318178</v>
      </c>
      <c r="AL14" s="13" t="n">
        <f aca="false">Operations!AL84-AL8-AL9-Tax!AL27-AL13</f>
        <v>16.897003590589</v>
      </c>
      <c r="AM14" s="13" t="n">
        <f aca="false">Operations!AM84-AM8-AM9-Tax!AM27-AM13</f>
        <v>20.3093339657165</v>
      </c>
      <c r="AN14" s="13" t="n">
        <f aca="false">Operations!AN84-AN8-AN9-Tax!AN27-AN13</f>
        <v>21.5196466135459</v>
      </c>
      <c r="AO14" s="13" t="n">
        <f aca="false">Operations!AO84-AO8-AO9-Tax!AO27-AO13</f>
        <v>23.3001285398623</v>
      </c>
      <c r="AP14" s="13" t="n">
        <f aca="false">Operations!AP84-AP8-AP9-Tax!AP27-AP13</f>
        <v>24.9962918013678</v>
      </c>
      <c r="AQ14" s="13" t="n">
        <f aca="false">Operations!AQ84-AQ8-AQ9-Tax!AQ27-AQ13</f>
        <v>26.1159254803014</v>
      </c>
      <c r="AR14" s="13" t="n">
        <f aca="false">Operations!AR84-AR8-AR9-Tax!AR27-AR13</f>
        <v>26.1839478019785</v>
      </c>
      <c r="AS14" s="13" t="n">
        <f aca="false">Operations!AS84-AS8-AS9-Tax!AS27-AS13</f>
        <v>26.3636993032571</v>
      </c>
      <c r="AT14" s="13" t="n">
        <f aca="false">Operations!AT84-AT8-AT9-Tax!AT27-AT13</f>
        <v>16.0551811621068</v>
      </c>
      <c r="AU14" s="13" t="n">
        <f aca="false">Operations!AU84-AU8-AU9-Tax!AU27-AU13</f>
        <v>26.6484927487371</v>
      </c>
      <c r="AV14" s="13" t="n">
        <f aca="false">Operations!AV84-AV8-AV9-Tax!AV27-AV13</f>
        <v>26.578042125362</v>
      </c>
      <c r="AW14" s="13" t="n">
        <f aca="false">Operations!AW84-AW8-AW9-Tax!AW27-AW13</f>
        <v>26.6934956086624</v>
      </c>
      <c r="AX14" s="13" t="n">
        <f aca="false">Operations!AX84-AX8-AX9-Tax!AX27-AX13</f>
        <v>26.8282152960673</v>
      </c>
      <c r="AY14" s="13" t="n">
        <f aca="false">Operations!AY84-AY8-AY9-Tax!AY27-AY13</f>
        <v>26.9147036182896</v>
      </c>
      <c r="AZ14" s="13" t="n">
        <f aca="false">Operations!AZ84-AZ8-AZ9-Tax!AZ27-AZ13</f>
        <v>26.9881046240371</v>
      </c>
      <c r="BA14" s="13" t="n">
        <f aca="false">Operations!BA84-BA8-BA9-Tax!BA27-BA13</f>
        <v>27.1499714079951</v>
      </c>
      <c r="BB14" s="13" t="n">
        <f aca="false">Operations!BB84-BB8-BB9-Tax!BB27-BB13</f>
        <v>24.8996397694974</v>
      </c>
      <c r="BC14" s="13" t="n">
        <f aca="false">Operations!BC84-BC8-BC9-Tax!BC27-BC13</f>
        <v>27.424406835671</v>
      </c>
      <c r="BD14" s="13" t="n">
        <f aca="false">Operations!BD84-BD8-BD9-Tax!BD27-BD13</f>
        <v>27.4147908932357</v>
      </c>
      <c r="BE14" s="13" t="n">
        <f aca="false">Operations!BE84-BE8-BE9-Tax!BE27-BE13</f>
        <v>27.5396218611919</v>
      </c>
      <c r="BF14" s="13" t="n">
        <f aca="false">Operations!BF84-BF8-BF9-Tax!BF27-BF13</f>
        <v>27.6869834412243</v>
      </c>
      <c r="BG14" s="13" t="n">
        <f aca="false">Operations!BG84-BG8-BG9-Tax!BG27-BG13</f>
        <v>27.7795789413069</v>
      </c>
      <c r="BH14" s="13" t="n">
        <f aca="false">Operations!BH84-BH8-BH9-Tax!BH27-BH13</f>
        <v>27.8587837775101</v>
      </c>
      <c r="BI14" s="13" t="n">
        <f aca="false">Operations!BI84-BI8-BI9-Tax!BI27-BI13</f>
        <v>28.0734009323432</v>
      </c>
      <c r="BJ14" s="13" t="n">
        <f aca="false">Operations!BJ84-BJ8-BJ9-Tax!BJ27-BJ13</f>
        <v>15.8890101045926</v>
      </c>
      <c r="BK14" s="13" t="n">
        <f aca="false">Operations!BK84-BK8-BK9-Tax!BK27-BK13</f>
        <v>28.4126259254528</v>
      </c>
      <c r="BL14" s="13" t="n">
        <f aca="false">Operations!BL84-BL8-BL9-Tax!BL27-BL13</f>
        <v>28.3207945157984</v>
      </c>
      <c r="BM14" s="13" t="n">
        <f aca="false">Operations!BM84-BM8-BM9-Tax!BM27-BM13</f>
        <v>5.61078474527573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39.0712047964019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39.9413994660754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40.0019820645966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40.8177800641964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40.9948230983392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42.0976690324544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39.2661755615212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38.1401873901808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39.6889769501082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41.9332229670007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43.5409345453734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45.909376390109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47.0473946910787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49.5656051458583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36.9240462684252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35.9471127721361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34.9124384265886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34.3190683399126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32.8602089100072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31.4916997055337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29.1951559112632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26.4653281147063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21.5552079431118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18.7004698483234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20.3082647899047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49.3293508118557</v>
      </c>
      <c r="Z20" s="13" t="n">
        <f aca="false">MAX(0,-Z12)</f>
        <v>46.5578966446145</v>
      </c>
      <c r="AA20" s="13" t="n">
        <f aca="false">MAX(0,-AA12)</f>
        <v>43.3788647298793</v>
      </c>
      <c r="AB20" s="13" t="n">
        <f aca="false">MAX(0,-AB12)</f>
        <v>39.9709674494563</v>
      </c>
      <c r="AC20" s="13" t="n">
        <f aca="false">MAX(0,-AC12)</f>
        <v>36.0996515138349</v>
      </c>
      <c r="AD20" s="13" t="n">
        <f aca="false">MAX(0,-AD12)</f>
        <v>35.0959084370803</v>
      </c>
      <c r="AE20" s="13" t="n">
        <f aca="false">MAX(0,-AE12)</f>
        <v>30.9793335203322</v>
      </c>
      <c r="AF20" s="13" t="n">
        <f aca="false">MAX(0,-AF12)</f>
        <v>25.9463029971988</v>
      </c>
      <c r="AG20" s="13" t="n">
        <f aca="false">MAX(0,-AG12)</f>
        <v>20.4240043130088</v>
      </c>
      <c r="AH20" s="13" t="n">
        <f aca="false">MAX(0,-AH12)</f>
        <v>14.4588311646908</v>
      </c>
      <c r="AI20" s="13" t="n">
        <f aca="false">MAX(0,-AI12)</f>
        <v>7.89698133460073</v>
      </c>
      <c r="AJ20" s="13" t="n">
        <f aca="false">MAX(0,-AJ12)</f>
        <v>0.844621542363467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904.239159540517</v>
      </c>
      <c r="Q21" s="13" t="n">
        <f aca="false">Q16+Q17+Q18+Q19+Q20</f>
        <v>894.431918178118</v>
      </c>
      <c r="R21" s="13" t="n">
        <f aca="false">R16+R17+R18+R19+R20</f>
        <v>882.104972394661</v>
      </c>
      <c r="S21" s="13" t="n">
        <f aca="false">S16+S17+S18+S19+S20</f>
        <v>872.397262042869</v>
      </c>
      <c r="T21" s="13" t="n">
        <f aca="false">T16+T17+T18+T19+T20</f>
        <v>860.462101904809</v>
      </c>
      <c r="U21" s="13" t="n">
        <f aca="false">U16+U17+U18+U19+U20</f>
        <v>850.524671439383</v>
      </c>
      <c r="V21" s="13" t="n">
        <f aca="false">V16+V17+V18+V19+V20</f>
        <v>835.127125234271</v>
      </c>
      <c r="W21" s="13" t="n">
        <f aca="false">W16+W17+W18+W19+W20</f>
        <v>823.689935521181</v>
      </c>
      <c r="X21" s="13" t="n">
        <f aca="false">X16+X17+X18+X19+X20</f>
        <v>813.500485943877</v>
      </c>
      <c r="Y21" s="13" t="n">
        <f aca="false">Y16+Y17+Y18+Y19+Y20</f>
        <v>802.606604807565</v>
      </c>
      <c r="Z21" s="13" t="n">
        <f aca="false">Z16+Z17+Z18+Z19+Z20</f>
        <v>783.995216519252</v>
      </c>
      <c r="AA21" s="13" t="n">
        <f aca="false">AA16+AA17+AA18+AA19+AA20</f>
        <v>767.724746589447</v>
      </c>
      <c r="AB21" s="13" t="n">
        <f aca="false">AB16+AB17+AB18+AB19+AB20</f>
        <v>748.30457263767</v>
      </c>
      <c r="AC21" s="13" t="n">
        <f aca="false">AC16+AC17+AC18+AC19+AC20</f>
        <v>730.77072700272</v>
      </c>
      <c r="AD21" s="13" t="n">
        <f aca="false">AD16+AD17+AD18+AD19+AD20</f>
        <v>698.927104519912</v>
      </c>
      <c r="AE21" s="13" t="n">
        <f aca="false">AE16+AE17+AE18+AE19+AE20</f>
        <v>678.981536235849</v>
      </c>
      <c r="AF21" s="13" t="n">
        <f aca="false">AF16+AF17+AF18+AF19+AF20</f>
        <v>656.509513542115</v>
      </c>
      <c r="AG21" s="13" t="n">
        <f aca="false">AG16+AG17+AG18+AG19+AG20</f>
        <v>634.843367761018</v>
      </c>
      <c r="AH21" s="13" t="n">
        <f aca="false">AH16+AH17+AH18+AH19+AH20</f>
        <v>609.926963999157</v>
      </c>
      <c r="AI21" s="13" t="n">
        <f aca="false">AI16+AI17+AI18+AI19+AI20</f>
        <v>586.625689878495</v>
      </c>
      <c r="AJ21" s="13" t="n">
        <f aca="false">AJ16+AJ17+AJ18+AJ19+AJ20</f>
        <v>560.105540375735</v>
      </c>
      <c r="AK21" s="13" t="n">
        <f aca="false">AK16+AK17+AK18+AK19+AK20</f>
        <v>540.565989973912</v>
      </c>
      <c r="AL21" s="13" t="n">
        <f aca="false">AL16+AL17+AL18+AL19+AL20</f>
        <v>517.946734197079</v>
      </c>
      <c r="AM21" s="13" t="n">
        <f aca="false">AM16+AM17+AM18+AM19+AM20</f>
        <v>499.96874797669</v>
      </c>
      <c r="AN21" s="13" t="n">
        <f aca="false">AN16+AN17+AN18+AN19+AN20</f>
        <v>484.841435745778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398.828140712521</v>
      </c>
      <c r="AB22" s="13" t="n">
        <f aca="false">IF(Time!AB20&lt;Time!$F$12,SUMIFS(Funding!$J$73:$BJ$73,Construction!$J$12:$BJ$12,"&lt;="&amp;Time!AB20),Debt!AB116)</f>
        <v>370.135450422491</v>
      </c>
      <c r="AC22" s="13" t="n">
        <f aca="false">IF(Time!AC20&lt;Time!$F$12,SUMIFS(Funding!$J$73:$BJ$73,Construction!$J$12:$BJ$12,"&lt;="&amp;Time!AC20),Debt!AC116)</f>
        <v>341.397329311972</v>
      </c>
      <c r="AD22" s="13" t="n">
        <f aca="false">IF(Time!AD20&lt;Time!$F$12,SUMIFS(Funding!$J$73:$BJ$73,Construction!$J$12:$BJ$12,"&lt;="&amp;Time!AD20),Debt!AD116)</f>
        <v>309.668513779079</v>
      </c>
      <c r="AE22" s="13" t="n">
        <f aca="false">IF(Time!AE20&lt;Time!$F$12,SUMIFS(Funding!$J$73:$BJ$73,Construction!$J$12:$BJ$12,"&lt;="&amp;Time!AE20),Debt!AE116)</f>
        <v>276.849519134578</v>
      </c>
      <c r="AF22" s="13" t="n">
        <f aca="false">IF(Time!AF20&lt;Time!$F$12,SUMIFS(Funding!$J$73:$BJ$73,Construction!$J$12:$BJ$12,"&lt;="&amp;Time!AF20),Debt!AF116)</f>
        <v>242.970798532879</v>
      </c>
      <c r="AG22" s="13" t="n">
        <f aca="false">IF(Time!AG20&lt;Time!$F$12,SUMIFS(Funding!$J$73:$BJ$73,Construction!$J$12:$BJ$12,"&lt;="&amp;Time!AG20),Debt!AG116)</f>
        <v>209.062826248674</v>
      </c>
      <c r="AH22" s="13" t="n">
        <f aca="false">IF(Time!AH20&lt;Time!$F$12,SUMIFS(Funding!$J$73:$BJ$73,Construction!$J$12:$BJ$12,"&lt;="&amp;Time!AH20),Debt!AH116)</f>
        <v>173.654087566926</v>
      </c>
      <c r="AI22" s="13" t="n">
        <f aca="false">IF(Time!AI20&lt;Time!$F$12,SUMIFS(Funding!$J$73:$BJ$73,Construction!$J$12:$BJ$12,"&lt;="&amp;Time!AI20),Debt!AI116)</f>
        <v>138.079160346922</v>
      </c>
      <c r="AJ22" s="13" t="n">
        <f aca="false">IF(Time!AJ20&lt;Time!$F$12,SUMIFS(Funding!$J$73:$BJ$73,Construction!$J$12:$BJ$12,"&lt;="&amp;Time!AJ20),Debt!AJ116)</f>
        <v>101.442238739596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203.85418200299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202.404559384435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200.057514197485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198.234876461596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195.677763737814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193.826616595743</v>
      </c>
      <c r="V23" s="13" t="n">
        <f aca="false">IF(Time!V20&lt;Time!$F$12,SUMIFS(Funding!$J$70:$BJ$70,Construction!$J$12:$BJ$12,"&lt;="&amp;Time!V20)+SUMIFS(Funding!$J$71:$BJ$71,Construction!$J$12:$BJ$12,"&lt;="&amp;Time!V20),Waterfall!V36)</f>
        <v>190.686536159026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186.478530875142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183.274125405557</v>
      </c>
      <c r="Y23" s="13" t="n">
        <f aca="false">IF(Time!Y20&lt;Time!$F$12,SUMIFS(Funding!$J$70:$BJ$70,Construction!$J$12:$BJ$12,"&lt;="&amp;Time!Y20)+SUMIFS(Funding!$J$71:$BJ$71,Construction!$J$12:$BJ$12,"&lt;="&amp;Time!Y20),Waterfall!Y36)</f>
        <v>180.525802751875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177.017624348668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179.678411026655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181.584642821434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183.791796857523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184.821327962805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185.108060876902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184.617944991532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183.476038065203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180.984498995782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177.27589167107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171.554907267152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153.161058376981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126.82205008078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98.5973495621492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70.2159697041754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30.9887665403025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6.85880315985718</v>
      </c>
      <c r="AL25" s="13" t="n">
        <f aca="false">MAX(0,AL12)</f>
        <v>14.2611716853697</v>
      </c>
      <c r="AM25" s="13" t="n">
        <f aca="false">MAX(0,AM12)</f>
        <v>23.1269952491865</v>
      </c>
      <c r="AN25" s="13" t="n">
        <f aca="false">MAX(0,AN12)</f>
        <v>32.5128022502495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24.2327692508757</v>
      </c>
      <c r="R27" s="18" t="n">
        <f aca="false">Waterfall!R43</f>
        <v>31.7081042805157</v>
      </c>
      <c r="S27" s="18" t="n">
        <f aca="false">Waterfall!S43</f>
        <v>40.3639883385792</v>
      </c>
      <c r="T27" s="18" t="n">
        <f aca="false">Waterfall!T43</f>
        <v>49.393525599732</v>
      </c>
      <c r="U27" s="18" t="n">
        <f aca="false">Waterfall!U43</f>
        <v>59.6004301473614</v>
      </c>
      <c r="V27" s="18" t="n">
        <f aca="false">Waterfall!V43</f>
        <v>68.0264696540597</v>
      </c>
      <c r="W27" s="18" t="n">
        <f aca="false">Waterfall!W43</f>
        <v>80.231270994314</v>
      </c>
      <c r="X27" s="18" t="n">
        <f aca="false">Waterfall!X43</f>
        <v>93.0139772346662</v>
      </c>
      <c r="Y27" s="18" t="n">
        <f aca="false">Waterfall!Y43</f>
        <v>103.96196888747</v>
      </c>
      <c r="Z27" s="18" t="n">
        <f aca="false">Waterfall!Z43</f>
        <v>110.073203743025</v>
      </c>
      <c r="AA27" s="18" t="n">
        <f aca="false">Waterfall!AA43</f>
        <v>117.133678316802</v>
      </c>
      <c r="AB27" s="18" t="n">
        <f aca="false">Waterfall!AB43</f>
        <v>124.726238952957</v>
      </c>
      <c r="AC27" s="18" t="n">
        <f aca="false">Waterfall!AC43</f>
        <v>133.399220068927</v>
      </c>
      <c r="AD27" s="18" t="n">
        <f aca="false">Waterfall!AD43</f>
        <v>133.377162077865</v>
      </c>
      <c r="AE27" s="18" t="n">
        <f aca="false">Waterfall!AE43</f>
        <v>144.628367258677</v>
      </c>
      <c r="AF27" s="18" t="n">
        <f aca="false">Waterfall!AF43</f>
        <v>156.006083827166</v>
      </c>
      <c r="AG27" s="18" t="n">
        <f aca="false">Waterfall!AG43</f>
        <v>168.523819621994</v>
      </c>
      <c r="AH27" s="18" t="n">
        <f aca="false">Waterfall!AH43</f>
        <v>182.073453217973</v>
      </c>
      <c r="AI27" s="18" t="n">
        <f aca="false">Waterfall!AI43</f>
        <v>197.013399864262</v>
      </c>
      <c r="AJ27" s="18" t="n">
        <f aca="false">Waterfall!AJ43</f>
        <v>213.095765701362</v>
      </c>
      <c r="AK27" s="18" t="n">
        <f aca="false">Waterfall!AK43</f>
        <v>230.69599173318</v>
      </c>
      <c r="AL27" s="18" t="n">
        <f aca="false">Waterfall!AL43</f>
        <v>247.592995323769</v>
      </c>
      <c r="AM27" s="18" t="n">
        <f aca="false">Waterfall!AM43</f>
        <v>267.902329289486</v>
      </c>
      <c r="AN27" s="18" t="n">
        <f aca="false">Waterfall!AN43</f>
        <v>289.421975903031</v>
      </c>
      <c r="AO27" s="18" t="n">
        <f aca="false">Waterfall!AO43</f>
        <v>312.722104442894</v>
      </c>
      <c r="AP27" s="18" t="n">
        <f aca="false">Waterfall!AP43</f>
        <v>328.12605505324</v>
      </c>
      <c r="AQ27" s="18" t="n">
        <f aca="false">Waterfall!AQ43</f>
        <v>313.069065915841</v>
      </c>
      <c r="AR27" s="18" t="n">
        <f aca="false">Waterfall!AR43</f>
        <v>297.483737603158</v>
      </c>
      <c r="AS27" s="18" t="n">
        <f aca="false">Waterfall!AS43</f>
        <v>282.343508710961</v>
      </c>
      <c r="AT27" s="18" t="n">
        <f aca="false">Waterfall!AT43</f>
        <v>250.161681558149</v>
      </c>
      <c r="AU27" s="18" t="n">
        <f aca="false">Waterfall!AU43</f>
        <v>233.010338283635</v>
      </c>
      <c r="AV27" s="18" t="n">
        <f aca="false">Waterfall!AV43</f>
        <v>215.665045582241</v>
      </c>
      <c r="AW27" s="18" t="n">
        <f aca="false">Waterfall!AW43</f>
        <v>198.859591152083</v>
      </c>
      <c r="AX27" s="18" t="n">
        <f aca="false">Waterfall!AX43</f>
        <v>181.514016378991</v>
      </c>
      <c r="AY27" s="18" t="n">
        <f aca="false">Waterfall!AY43</f>
        <v>164.711852414674</v>
      </c>
      <c r="AZ27" s="18" t="n">
        <f aca="false">Waterfall!AZ43</f>
        <v>147.365199316201</v>
      </c>
      <c r="BA27" s="18" t="n">
        <f aca="false">Waterfall!BA43</f>
        <v>130.973025719748</v>
      </c>
      <c r="BB27" s="18" t="n">
        <f aca="false">Waterfall!BB43</f>
        <v>111.08954047894</v>
      </c>
      <c r="BC27" s="18" t="n">
        <f aca="false">Waterfall!BC43</f>
        <v>97.1457867949469</v>
      </c>
      <c r="BD27" s="18" t="n">
        <f aca="false">Waterfall!BD43</f>
        <v>89.3070946076939</v>
      </c>
      <c r="BE27" s="18" t="n">
        <f aca="false">Waterfall!BE43</f>
        <v>82.0429949146283</v>
      </c>
      <c r="BF27" s="18" t="n">
        <f aca="false">Waterfall!BF43</f>
        <v>74.2389224180273</v>
      </c>
      <c r="BG27" s="18" t="n">
        <f aca="false">Waterfall!BG43</f>
        <v>67.0122301732414</v>
      </c>
      <c r="BH27" s="18" t="n">
        <f aca="false">Waterfall!BH43</f>
        <v>59.2409196759171</v>
      </c>
      <c r="BI27" s="18" t="n">
        <f aca="false">Waterfall!BI43</f>
        <v>51.9628576393246</v>
      </c>
      <c r="BJ27" s="18" t="n">
        <f aca="false">Waterfall!BJ43</f>
        <v>24.4943160164673</v>
      </c>
      <c r="BK27" s="18" t="n">
        <f aca="false">Waterfall!BK43</f>
        <v>14.8169491442473</v>
      </c>
      <c r="BL27" s="18" t="n">
        <f aca="false">Waterfall!BL43</f>
        <v>4.31771216962815</v>
      </c>
      <c r="BM27" s="18" t="n">
        <f aca="false">Waterfall!BM43</f>
        <v>-44.9204439178288</v>
      </c>
      <c r="BN27" s="18" t="n">
        <f aca="false">Waterfall!BN43</f>
        <v>-44.9204439178288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904.239159540517</v>
      </c>
      <c r="Q28" s="13" t="n">
        <f aca="false">Q22+Q23+Q24+Q25+Q26+Q27</f>
        <v>894.431918178118</v>
      </c>
      <c r="R28" s="13" t="n">
        <f aca="false">R22+R23+R24+R25+R26+R27</f>
        <v>882.104972394661</v>
      </c>
      <c r="S28" s="13" t="n">
        <f aca="false">S22+S23+S24+S25+S26+S27</f>
        <v>872.39726204287</v>
      </c>
      <c r="T28" s="13" t="n">
        <f aca="false">T22+T23+T24+T25+T26+T27</f>
        <v>860.462101904809</v>
      </c>
      <c r="U28" s="13" t="n">
        <f aca="false">U22+U23+U24+U25+U26+U27</f>
        <v>850.524671439383</v>
      </c>
      <c r="V28" s="13" t="n">
        <f aca="false">V22+V23+V24+V25+V26+V27</f>
        <v>835.127125234271</v>
      </c>
      <c r="W28" s="13" t="n">
        <f aca="false">W22+W23+W24+W25+W26+W27</f>
        <v>823.689935521181</v>
      </c>
      <c r="X28" s="13" t="n">
        <f aca="false">X22+X23+X24+X25+X26+X27</f>
        <v>813.500485943877</v>
      </c>
      <c r="Y28" s="13" t="n">
        <f aca="false">Y22+Y23+Y24+Y25+Y26+Y27</f>
        <v>802.606604807565</v>
      </c>
      <c r="Z28" s="13" t="n">
        <f aca="false">Z22+Z23+Z24+Z25+Z26+Z27</f>
        <v>783.995216519252</v>
      </c>
      <c r="AA28" s="13" t="n">
        <f aca="false">AA22+AA23+AA24+AA25+AA26+AA27</f>
        <v>767.724746589447</v>
      </c>
      <c r="AB28" s="13" t="n">
        <f aca="false">AB22+AB23+AB24+AB25+AB26+AB27</f>
        <v>748.30457263767</v>
      </c>
      <c r="AC28" s="13" t="n">
        <f aca="false">AC22+AC23+AC24+AC25+AC26+AC27</f>
        <v>730.77072700272</v>
      </c>
      <c r="AD28" s="13" t="n">
        <f aca="false">AD22+AD23+AD24+AD25+AD26+AD27</f>
        <v>698.927104519913</v>
      </c>
      <c r="AE28" s="13" t="n">
        <f aca="false">AE22+AE23+AE24+AE25+AE26+AE27</f>
        <v>678.981536235849</v>
      </c>
      <c r="AF28" s="13" t="n">
        <f aca="false">AF22+AF23+AF24+AF25+AF26+AF27</f>
        <v>656.509513542115</v>
      </c>
      <c r="AG28" s="13" t="n">
        <f aca="false">AG22+AG23+AG24+AG25+AG26+AG27</f>
        <v>634.843367761018</v>
      </c>
      <c r="AH28" s="13" t="n">
        <f aca="false">AH22+AH23+AH24+AH25+AH26+AH27</f>
        <v>609.926963999157</v>
      </c>
      <c r="AI28" s="13" t="n">
        <f aca="false">AI22+AI23+AI24+AI25+AI26+AI27</f>
        <v>586.625689878495</v>
      </c>
      <c r="AJ28" s="13" t="n">
        <f aca="false">AJ22+AJ23+AJ24+AJ25+AJ26+AJ27</f>
        <v>560.105540375735</v>
      </c>
      <c r="AK28" s="13" t="n">
        <f aca="false">AK22+AK23+AK24+AK25+AK26+AK27</f>
        <v>540.565989973912</v>
      </c>
      <c r="AL28" s="13" t="n">
        <f aca="false">AL22+AL23+AL24+AL25+AL26+AL27</f>
        <v>517.946734197079</v>
      </c>
      <c r="AM28" s="13" t="n">
        <f aca="false">AM22+AM23+AM24+AM25+AM26+AM27</f>
        <v>499.96874797669</v>
      </c>
      <c r="AN28" s="13" t="n">
        <f aca="false">AN22+AN23+AN24+AN25+AN26+AN27</f>
        <v>484.841435745778</v>
      </c>
      <c r="AO28" s="13" t="n">
        <f aca="false">AO22+AO23+AO24+AO25+AO26+AO27</f>
        <v>453.760223354291</v>
      </c>
      <c r="AP28" s="13" t="n">
        <f aca="false">AP22+AP23+AP24+AP25+AP26+AP27</f>
        <v>438.567427168059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117.681358776587</v>
      </c>
      <c r="BK28" s="13" t="n">
        <f aca="false">BK22+BK23+BK24+BK25+BK26+BK27</f>
        <v>105.057964998365</v>
      </c>
      <c r="BL28" s="13" t="n">
        <f aca="false">BL22+BL23+BL24+BL25+BL26+BL27</f>
        <v>90.5011656317174</v>
      </c>
      <c r="BM28" s="13" t="n">
        <f aca="false">BM22+BM23+BM24+BM25+BM26+BM27</f>
        <v>2.62900812231237E-013</v>
      </c>
      <c r="BN28" s="13" t="n">
        <f aca="false">BN22+BN23+BN24+BN25+BN26+BN27</f>
        <v>2.62900812231237E-013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-2.62900812231237E-013</v>
      </c>
      <c r="BN29" s="13" t="n">
        <f aca="false">BN21-BN28</f>
        <v>-2.62900812231237E-013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-307.161559708383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-8.53859752761174</v>
      </c>
      <c r="AP33" s="13" t="n">
        <f aca="false">-Tax!AP27</f>
        <v>-9.70895340954589</v>
      </c>
      <c r="AQ33" s="13" t="n">
        <f aca="false">-Tax!AQ27</f>
        <v>-10.1887964148031</v>
      </c>
      <c r="AR33" s="13" t="n">
        <f aca="false">-Tax!AR27</f>
        <v>-10.217948838379</v>
      </c>
      <c r="AS33" s="13" t="n">
        <f aca="false">-Tax!AS27</f>
        <v>-10.2949851960699</v>
      </c>
      <c r="AT33" s="13" t="n">
        <f aca="false">-Tax!AT27</f>
        <v>-5.87704884986258</v>
      </c>
      <c r="AU33" s="13" t="n">
        <f aca="false">-Tax!AU27</f>
        <v>-10.417039529847</v>
      </c>
      <c r="AV33" s="13" t="n">
        <f aca="false">-Tax!AV27</f>
        <v>-10.3868464055434</v>
      </c>
      <c r="AW33" s="13" t="n">
        <f aca="false">-Tax!AW27</f>
        <v>-10.436326469815</v>
      </c>
      <c r="AX33" s="13" t="n">
        <f aca="false">-Tax!AX27</f>
        <v>-10.4940634787028</v>
      </c>
      <c r="AY33" s="13" t="n">
        <f aca="false">-Tax!AY27</f>
        <v>-10.5311299025123</v>
      </c>
      <c r="AZ33" s="13" t="n">
        <f aca="false">-Tax!AZ27</f>
        <v>-10.5625874764041</v>
      </c>
      <c r="BA33" s="13" t="n">
        <f aca="false">-Tax!BA27</f>
        <v>-10.6319589552433</v>
      </c>
      <c r="BB33" s="13" t="n">
        <f aca="false">-Tax!BB27</f>
        <v>-9.66753111017286</v>
      </c>
      <c r="BC33" s="13" t="n">
        <f aca="false">-Tax!BC27</f>
        <v>-12.673415035646</v>
      </c>
      <c r="BD33" s="13" t="n">
        <f aca="false">-Tax!BD27</f>
        <v>-16.5169757116854</v>
      </c>
      <c r="BE33" s="13" t="n">
        <f aca="false">-Tax!BE27</f>
        <v>-16.5704746979524</v>
      </c>
      <c r="BF33" s="13" t="n">
        <f aca="false">-Tax!BF27</f>
        <v>-16.6336296608234</v>
      </c>
      <c r="BG33" s="13" t="n">
        <f aca="false">-Tax!BG27</f>
        <v>-16.6733134465731</v>
      </c>
      <c r="BH33" s="13" t="n">
        <f aca="false">-Tax!BH27</f>
        <v>-16.7072583763745</v>
      </c>
      <c r="BI33" s="13" t="n">
        <f aca="false">-Tax!BI27</f>
        <v>-16.7992371570172</v>
      </c>
      <c r="BJ33" s="13" t="n">
        <f aca="false">-Tax!BJ27</f>
        <v>-11.5773553736955</v>
      </c>
      <c r="BK33" s="13" t="n">
        <f aca="false">-Tax!BK27</f>
        <v>-16.9446192969213</v>
      </c>
      <c r="BL33" s="13" t="n">
        <f aca="false">-Tax!BL27</f>
        <v>-16.905262978498</v>
      </c>
      <c r="BM33" s="13" t="n">
        <f aca="false">-Tax!BM27</f>
        <v>-5.58314177674586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2316.04221573652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51.0636231523816</v>
      </c>
      <c r="AO36" s="13" t="n">
        <f aca="false">AO32+AO33+AO34+AO35</f>
        <v>42.5350486407587</v>
      </c>
      <c r="AP36" s="13" t="n">
        <f aca="false">AP32+AP33+AP34+AP35</f>
        <v>42.0651724960484</v>
      </c>
      <c r="AQ36" s="13" t="n">
        <f aca="false">AQ32+AQ33+AQ34+AQ35</f>
        <v>41.1729146177004</v>
      </c>
      <c r="AR36" s="13" t="n">
        <f aca="false">AR32+AR33+AR34+AR35</f>
        <v>41.7692761146622</v>
      </c>
      <c r="AS36" s="13" t="n">
        <f aca="false">AS32+AS33+AS34+AS35</f>
        <v>41.5039281954534</v>
      </c>
      <c r="AT36" s="13" t="n">
        <f aca="false">AT32+AT33+AT34+AT35</f>
        <v>48.2370083149193</v>
      </c>
      <c r="AU36" s="13" t="n">
        <f aca="false">AU32+AU33+AU34+AU35</f>
        <v>43.7998360232506</v>
      </c>
      <c r="AV36" s="13" t="n">
        <f aca="false">AV32+AV33+AV34+AV35</f>
        <v>43.9233348267565</v>
      </c>
      <c r="AW36" s="13" t="n">
        <f aca="false">AW32+AW33+AW34+AW35</f>
        <v>43.4989500388201</v>
      </c>
      <c r="AX36" s="13" t="n">
        <f aca="false">AX32+AX33+AX34+AX35</f>
        <v>44.1737900691598</v>
      </c>
      <c r="AY36" s="13" t="n">
        <f aca="false">AY32+AY33+AY34+AY35</f>
        <v>43.7168675826064</v>
      </c>
      <c r="AZ36" s="13" t="n">
        <f aca="false">AZ32+AZ33+AZ34+AZ35</f>
        <v>44.3347577225094</v>
      </c>
      <c r="BA36" s="13" t="n">
        <f aca="false">BA32+BA33+BA34+BA35</f>
        <v>44.037113391057</v>
      </c>
      <c r="BB36" s="13" t="n">
        <f aca="false">BB32+BB33+BB34+BB35</f>
        <v>46.2842752649501</v>
      </c>
      <c r="BC36" s="13" t="n">
        <f aca="false">BC32+BC33+BC34+BC35</f>
        <v>42.8857335930063</v>
      </c>
      <c r="BD36" s="13" t="n">
        <f aca="false">BD32+BD33+BD34+BD35</f>
        <v>36.7876586407353</v>
      </c>
      <c r="BE36" s="13" t="n">
        <f aca="false">BE32+BE33+BE34+BE35</f>
        <v>36.3546812352133</v>
      </c>
      <c r="BF36" s="13" t="n">
        <f aca="false">BF32+BF33+BF34+BF35</f>
        <v>37.0589833603974</v>
      </c>
      <c r="BG36" s="13" t="n">
        <f aca="false">BG32+BG33+BG34+BG35</f>
        <v>36.5913519800296</v>
      </c>
      <c r="BH36" s="13" t="n">
        <f aca="false">BH32+BH33+BH34+BH35</f>
        <v>37.232516100703</v>
      </c>
      <c r="BI36" s="13" t="n">
        <f aca="false">BI32+BI33+BI34+BI35</f>
        <v>36.9714155403391</v>
      </c>
      <c r="BJ36" s="13" t="n">
        <f aca="false">BJ32+BJ33+BJ34+BJ35</f>
        <v>44.9952268334876</v>
      </c>
      <c r="BK36" s="13" t="n">
        <f aca="false">BK32+BK33+BK34+BK35</f>
        <v>39.7455843256472</v>
      </c>
      <c r="BL36" s="13" t="n">
        <f aca="false">BL32+BL33+BL34+BL35</f>
        <v>40.4937354487881</v>
      </c>
      <c r="BM36" s="13" t="n">
        <f aca="false">BM32+BM33+BM34+BM35</f>
        <v>36.9077606707716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-866.77868963857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-38.6549364939471</v>
      </c>
      <c r="R37" s="13" t="n">
        <f aca="false">-(Debt!R114+Debt!R110)</f>
        <v>-39.1088628611657</v>
      </c>
      <c r="S37" s="13" t="n">
        <f aca="false">-(Debt!S114+Debt!S110)</f>
        <v>-38.7531771572321</v>
      </c>
      <c r="T37" s="13" t="n">
        <f aca="false">-(Debt!T114+Debt!T110)</f>
        <v>-39.152706854377</v>
      </c>
      <c r="U37" s="13" t="n">
        <f aca="false">-(Debt!U114+Debt!U110)</f>
        <v>-38.9134815860649</v>
      </c>
      <c r="V37" s="13" t="n">
        <f aca="false">-(Debt!V114+Debt!V110)</f>
        <v>-39.6000592177253</v>
      </c>
      <c r="W37" s="13" t="n">
        <f aca="false">-(Debt!W114+Debt!W110)</f>
        <v>-39.2661755615212</v>
      </c>
      <c r="X37" s="13" t="n">
        <f aca="false">-(Debt!X114+Debt!X110)</f>
        <v>-38.1401873901808</v>
      </c>
      <c r="Y37" s="13" t="n">
        <f aca="false">-(Debt!Y114+Debt!Y110)</f>
        <v>-37.7162344064747</v>
      </c>
      <c r="Z37" s="13" t="n">
        <f aca="false">-(Debt!Z114+Debt!Z110)</f>
        <v>-37.9877378797338</v>
      </c>
      <c r="AA37" s="13" t="n">
        <f aca="false">-(Debt!AA114+Debt!AA110)</f>
        <v>-37.622706914473</v>
      </c>
      <c r="AB37" s="13" t="n">
        <f aca="false">-(Debt!AB114+Debt!AB110)</f>
        <v>-37.3938525996838</v>
      </c>
      <c r="AC37" s="13" t="n">
        <f aca="false">-(Debt!AC114+Debt!AC110)</f>
        <v>-36.4170152920358</v>
      </c>
      <c r="AD37" s="13" t="n">
        <f aca="false">-(Debt!AD114+Debt!AD110)</f>
        <v>-36.9229791441699</v>
      </c>
      <c r="AE37" s="13" t="n">
        <f aca="false">-(Debt!AE114+Debt!AE110)</f>
        <v>-35.8825176494362</v>
      </c>
      <c r="AF37" s="13" t="n">
        <f aca="false">-(Debt!AF114+Debt!AF110)</f>
        <v>-34.7267539681148</v>
      </c>
      <c r="AG37" s="13" t="n">
        <f aca="false">-(Debt!AG114+Debt!AG110)</f>
        <v>-32.9497123045147</v>
      </c>
      <c r="AH37" s="13" t="n">
        <f aca="false">-(Debt!AH114+Debt!AH110)</f>
        <v>-31.6064681960559</v>
      </c>
      <c r="AI37" s="13" t="n">
        <f aca="false">-(Debt!AI114+Debt!AI110)</f>
        <v>-29.1957525194833</v>
      </c>
      <c r="AJ37" s="13" t="n">
        <f aca="false">-(Debt!AJ114+Debt!AJ110)</f>
        <v>-26.7729706195202</v>
      </c>
      <c r="AK37" s="13" t="n">
        <f aca="false">-(Debt!AK114+Debt!AK110)</f>
        <v>-22.9932779614692</v>
      </c>
      <c r="AL37" s="13" t="n">
        <f aca="false">-(Debt!AL114+Debt!AL110)</f>
        <v>-21.5391741287425</v>
      </c>
      <c r="AM37" s="13" t="n">
        <f aca="false">-(Debt!AM114+Debt!AM110)</f>
        <v>-21.5552079431118</v>
      </c>
      <c r="AN37" s="13" t="n">
        <f aca="false">-(Debt!AN114+Debt!AN110)</f>
        <v>-18.7004698483234</v>
      </c>
      <c r="AO37" s="13" t="n">
        <f aca="false">-(Debt!AO114+Debt!AO110)</f>
        <v>-17.9603757044177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-97.7581482558921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-5.67844085810906</v>
      </c>
      <c r="AB43" s="13" t="n">
        <f aca="false">-(Waterfall!AB28+Waterfall!AB29)</f>
        <v>-6.69864114973051</v>
      </c>
      <c r="AC43" s="13" t="n">
        <f aca="false">-(Waterfall!AC28+Waterfall!AC29)</f>
        <v>-6.39448561975389</v>
      </c>
      <c r="AD43" s="13" t="n">
        <f aca="false">-(Waterfall!AD28+Waterfall!AD29)</f>
        <v>-7.77233357710078</v>
      </c>
      <c r="AE43" s="13" t="n">
        <f aca="false">-(Waterfall!AE28+Waterfall!AE29)</f>
        <v>-8.42012389225984</v>
      </c>
      <c r="AF43" s="13" t="n">
        <f aca="false">-(Waterfall!AF28+Waterfall!AF29)</f>
        <v>-9.3550169925707</v>
      </c>
      <c r="AG43" s="13" t="n">
        <f aca="false">-(Waterfall!AG28+Waterfall!AG29)</f>
        <v>-9.83918244449216</v>
      </c>
      <c r="AH43" s="13" t="n">
        <f aca="false">-(Waterfall!AH28+Waterfall!AH29)</f>
        <v>-11.2782819334744</v>
      </c>
      <c r="AI43" s="13" t="n">
        <f aca="false">-(Waterfall!AI28+Waterfall!AI29)</f>
        <v>-12.234712695212</v>
      </c>
      <c r="AJ43" s="13" t="n">
        <f aca="false">-(Waterfall!AJ28+Waterfall!AJ29)</f>
        <v>-14.2107997091524</v>
      </c>
      <c r="AK43" s="13" t="n">
        <f aca="false">-(Waterfall!AK28+Waterfall!AK29)</f>
        <v>-5.87612938403636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-426.682232196671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-13.4992695484608</v>
      </c>
      <c r="Q44" s="13" t="n">
        <f aca="false">-(Waterfall!Q34+Waterfall!Q35)</f>
        <v>-11.0531093570244</v>
      </c>
      <c r="R44" s="13" t="n">
        <f aca="false">-(Waterfall!R34+Waterfall!R35)</f>
        <v>-12.0402827158271</v>
      </c>
      <c r="S44" s="13" t="n">
        <f aca="false">-(Waterfall!S34+Waterfall!S35)</f>
        <v>-11.2472650143153</v>
      </c>
      <c r="T44" s="13" t="n">
        <f aca="false">-(Waterfall!T34+Waterfall!T35)</f>
        <v>-12.0506624239152</v>
      </c>
      <c r="U44" s="13" t="n">
        <f aca="false">-(Waterfall!U34+Waterfall!U35)</f>
        <v>-11.120376005158</v>
      </c>
      <c r="V44" s="13" t="n">
        <f aca="false">-(Waterfall!V34+Waterfall!V35)</f>
        <v>-12.4225167602611</v>
      </c>
      <c r="W44" s="13" t="n">
        <f aca="false">-(Waterfall!W34+Waterfall!W35)</f>
        <v>-13.1911696380067</v>
      </c>
      <c r="X44" s="13" t="n">
        <f aca="false">-(Waterfall!X34+Waterfall!X35)</f>
        <v>-12.1349389482078</v>
      </c>
      <c r="Y44" s="13" t="n">
        <f aca="false">-(Waterfall!Y34+Waterfall!Y35)</f>
        <v>-11.3822913834046</v>
      </c>
      <c r="Z44" s="13" t="n">
        <f aca="false">-(Waterfall!Z34+Waterfall!Z35)</f>
        <v>-12.1536332856803</v>
      </c>
      <c r="AA44" s="13" t="n">
        <f aca="false">-(Waterfall!AA34+Waterfall!AA35)</f>
        <v>-5.67844085810906</v>
      </c>
      <c r="AB44" s="13" t="n">
        <f aca="false">-(Waterfall!AB34+Waterfall!AB35)</f>
        <v>-6.69864114973051</v>
      </c>
      <c r="AC44" s="13" t="n">
        <f aca="false">-(Waterfall!AC34+Waterfall!AC35)</f>
        <v>-6.39448561975389</v>
      </c>
      <c r="AD44" s="13" t="n">
        <f aca="false">-(Waterfall!AD34+Waterfall!AD35)</f>
        <v>-7.77233357710078</v>
      </c>
      <c r="AE44" s="13" t="n">
        <f aca="false">-(Waterfall!AE34+Waterfall!AE35)</f>
        <v>-8.42012389225984</v>
      </c>
      <c r="AF44" s="13" t="n">
        <f aca="false">-(Waterfall!AF34+Waterfall!AF35)</f>
        <v>-9.3550169925707</v>
      </c>
      <c r="AG44" s="13" t="n">
        <f aca="false">-(Waterfall!AG34+Waterfall!AG35)</f>
        <v>-9.83918244449216</v>
      </c>
      <c r="AH44" s="13" t="n">
        <f aca="false">-(Waterfall!AH34+Waterfall!AH35)</f>
        <v>-11.2782819334744</v>
      </c>
      <c r="AI44" s="13" t="n">
        <f aca="false">-(Waterfall!AI34+Waterfall!AI35)</f>
        <v>-12.234712695212</v>
      </c>
      <c r="AJ44" s="13" t="n">
        <f aca="false">-(Waterfall!AJ34+Waterfall!AJ35)</f>
        <v>-14.2107997091524</v>
      </c>
      <c r="AK44" s="13" t="n">
        <f aca="false">-(Waterfall!AK34+Waterfall!AK35)</f>
        <v>-26.5203813467429</v>
      </c>
      <c r="AL44" s="13" t="n">
        <f aca="false">-(Waterfall!AL34+Waterfall!AL35)</f>
        <v>-33.6739543247755</v>
      </c>
      <c r="AM44" s="13" t="n">
        <f aca="false">-(Waterfall!AM34+Waterfall!AM35)</f>
        <v>-34.199235179286</v>
      </c>
      <c r="AN44" s="13" t="n">
        <f aca="false">-(Waterfall!AN34+Waterfall!AN35)</f>
        <v>-33.1032474479638</v>
      </c>
      <c r="AO44" s="13" t="n">
        <f aca="false">-(Waterfall!AO34+Waterfall!AO35)</f>
        <v>-42.5350486407587</v>
      </c>
      <c r="AP44" s="13" t="n">
        <f aca="false">-(Waterfall!AP34+Waterfall!AP35)</f>
        <v>-32.4728313050271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-962.069041081985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-9.59234119102135</v>
      </c>
      <c r="AQ45" s="13" t="n">
        <f aca="false">-Waterfall!AQ41</f>
        <v>-41.1729146177004</v>
      </c>
      <c r="AR45" s="13" t="n">
        <f aca="false">-Waterfall!AR41</f>
        <v>-41.7692761146622</v>
      </c>
      <c r="AS45" s="13" t="n">
        <f aca="false">-Waterfall!AS41</f>
        <v>-41.5039281954534</v>
      </c>
      <c r="AT45" s="13" t="n">
        <f aca="false">-Waterfall!AT41</f>
        <v>-48.2370083149193</v>
      </c>
      <c r="AU45" s="13" t="n">
        <f aca="false">-Waterfall!AU41</f>
        <v>-43.7998360232506</v>
      </c>
      <c r="AV45" s="13" t="n">
        <f aca="false">-Waterfall!AV41</f>
        <v>-43.9233348267565</v>
      </c>
      <c r="AW45" s="13" t="n">
        <f aca="false">-Waterfall!AW41</f>
        <v>-43.4989500388201</v>
      </c>
      <c r="AX45" s="13" t="n">
        <f aca="false">-Waterfall!AX41</f>
        <v>-44.1737900691598</v>
      </c>
      <c r="AY45" s="13" t="n">
        <f aca="false">-Waterfall!AY41</f>
        <v>-43.7168675826064</v>
      </c>
      <c r="AZ45" s="13" t="n">
        <f aca="false">-Waterfall!AZ41</f>
        <v>-44.3347577225094</v>
      </c>
      <c r="BA45" s="13" t="n">
        <f aca="false">-Waterfall!BA41</f>
        <v>-43.5421450044483</v>
      </c>
      <c r="BB45" s="13" t="n">
        <f aca="false">-Waterfall!BB41</f>
        <v>-44.7831250103057</v>
      </c>
      <c r="BC45" s="13" t="n">
        <f aca="false">-Waterfall!BC41</f>
        <v>-41.3681605196641</v>
      </c>
      <c r="BD45" s="13" t="n">
        <f aca="false">-Waterfall!BD41</f>
        <v>-35.2534830804887</v>
      </c>
      <c r="BE45" s="13" t="n">
        <f aca="false">-Waterfall!BE41</f>
        <v>-34.8037215542576</v>
      </c>
      <c r="BF45" s="13" t="n">
        <f aca="false">-Waterfall!BF41</f>
        <v>-35.4910559378253</v>
      </c>
      <c r="BG45" s="13" t="n">
        <f aca="false">-Waterfall!BG41</f>
        <v>-35.0062711860928</v>
      </c>
      <c r="BH45" s="13" t="n">
        <f aca="false">-Waterfall!BH41</f>
        <v>-35.6300942748344</v>
      </c>
      <c r="BI45" s="13" t="n">
        <f aca="false">-Waterfall!BI41</f>
        <v>-35.3514629689357</v>
      </c>
      <c r="BJ45" s="13" t="n">
        <f aca="false">-Waterfall!BJ41</f>
        <v>-43.3575517274499</v>
      </c>
      <c r="BK45" s="13" t="n">
        <f aca="false">-Waterfall!BK41</f>
        <v>-38.0899927976729</v>
      </c>
      <c r="BL45" s="13" t="n">
        <f aca="false">-Waterfall!BL41</f>
        <v>-38.8200314904175</v>
      </c>
      <c r="BM45" s="13" t="n">
        <f aca="false">-Waterfall!BM41</f>
        <v>-54.8489408327327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39.1181426344178</v>
      </c>
      <c r="P49" s="13" t="n">
        <f aca="false">P36+P37+P38+P39+P40+P41+P42+P43+P44+P45+P46+P47+P48</f>
        <v>-0.0469378380158929</v>
      </c>
      <c r="Q49" s="13" t="n">
        <f aca="false">Q36+Q37+Q38+Q39+Q40+Q41+Q42+Q43+Q44+Q45+Q46+Q47+Q48</f>
        <v>0.870194669673424</v>
      </c>
      <c r="R49" s="13" t="n">
        <f aca="false">R36+R37+R38+R39+R40+R41+R42+R43+R44+R45+R46+R47+R48</f>
        <v>0.0605825985212789</v>
      </c>
      <c r="S49" s="13" t="n">
        <f aca="false">S36+S37+S38+S39+S40+S41+S42+S43+S44+S45+S46+S47+S48</f>
        <v>0.815797999599788</v>
      </c>
      <c r="T49" s="13" t="n">
        <f aca="false">T36+T37+T38+T39+T40+T41+T42+T43+T44+T45+T46+T47+T48</f>
        <v>0.177043034142812</v>
      </c>
      <c r="U49" s="13" t="n">
        <f aca="false">U36+U37+U38+U39+U40+U41+U42+U43+U44+U45+U46+U47+U48</f>
        <v>1.10284593411517</v>
      </c>
      <c r="V49" s="13" t="n">
        <f aca="false">V36+V37+V38+V39+V40+V41+V42+V43+V44+V45+V46+V47+V48</f>
        <v>-2.83149347093319</v>
      </c>
      <c r="W49" s="13" t="n">
        <f aca="false">W36+W37+W38+W39+W40+W41+W42+W43+W44+W45+W46+W47+W48</f>
        <v>-1.12598817134045</v>
      </c>
      <c r="X49" s="13" t="n">
        <f aca="false">X36+X37+X38+X39+X40+X41+X42+X43+X44+X45+X46+X47+X48</f>
        <v>1.54878955992739</v>
      </c>
      <c r="Y49" s="13" t="n">
        <f aca="false">Y36+Y37+Y38+Y39+Y40+Y41+Y42+Y43+Y44+Y45+Y46+Y47+Y48</f>
        <v>2.24424601689256</v>
      </c>
      <c r="Z49" s="13" t="n">
        <f aca="false">Z36+Z37+Z38+Z39+Z40+Z41+Z42+Z43+Z44+Z45+Z46+Z47+Z48</f>
        <v>1.6077115783727</v>
      </c>
      <c r="AA49" s="13" t="n">
        <f aca="false">AA36+AA37+AA38+AA39+AA40+AA41+AA42+AA43+AA44+AA45+AA46+AA47+AA48</f>
        <v>2.36844184473562</v>
      </c>
      <c r="AB49" s="13" t="n">
        <f aca="false">AB36+AB37+AB38+AB39+AB40+AB41+AB42+AB43+AB44+AB45+AB46+AB47+AB48</f>
        <v>1.13801830096962</v>
      </c>
      <c r="AC49" s="13" t="n">
        <f aca="false">AC36+AC37+AC38+AC39+AC40+AC41+AC42+AC43+AC44+AC45+AC46+AC47+AC48</f>
        <v>2.51821045477962</v>
      </c>
      <c r="AD49" s="13" t="n">
        <f aca="false">AD36+AD37+AD38+AD39+AD40+AD41+AD42+AD43+AD44+AD45+AD46+AD47+AD48</f>
        <v>-12.6415588774331</v>
      </c>
      <c r="AE49" s="13" t="n">
        <f aca="false">AE36+AE37+AE38+AE39+AE40+AE41+AE42+AE43+AE44+AE45+AE46+AE47+AE48</f>
        <v>-0.976933496289085</v>
      </c>
      <c r="AF49" s="13" t="n">
        <f aca="false">AF36+AF37+AF38+AF39+AF40+AF41+AF42+AF43+AF44+AF45+AF46+AF47+AF48</f>
        <v>-1.0346743455475</v>
      </c>
      <c r="AG49" s="13" t="n">
        <f aca="false">AG36+AG37+AG38+AG39+AG40+AG41+AG42+AG43+AG44+AG45+AG46+AG47+AG48</f>
        <v>-0.593370086676072</v>
      </c>
      <c r="AH49" s="13" t="n">
        <f aca="false">AH36+AH37+AH38+AH39+AH40+AH41+AH42+AH43+AH44+AH45+AH46+AH47+AH48</f>
        <v>-1.45885942990541</v>
      </c>
      <c r="AI49" s="13" t="n">
        <f aca="false">AI36+AI37+AI38+AI39+AI40+AI41+AI42+AI43+AI44+AI45+AI46+AI47+AI48</f>
        <v>-1.36850920447348</v>
      </c>
      <c r="AJ49" s="13" t="n">
        <f aca="false">AJ36+AJ37+AJ38+AJ39+AJ40+AJ41+AJ42+AJ43+AJ44+AJ45+AJ46+AJ47+AJ48</f>
        <v>-2.29654379427048</v>
      </c>
      <c r="AK49" s="13" t="n">
        <f aca="false">AK36+AK37+AK38+AK39+AK40+AK41+AK42+AK43+AK44+AK45+AK46+AK47+AK48</f>
        <v>-2.72982779655691</v>
      </c>
      <c r="AL49" s="13" t="n">
        <f aca="false">AL36+AL37+AL38+AL39+AL40+AL41+AL42+AL43+AL44+AL45+AL46+AL47+AL48</f>
        <v>-4.91012017159453</v>
      </c>
      <c r="AM49" s="13" t="n">
        <f aca="false">AM36+AM37+AM38+AM39+AM40+AM41+AM42+AM43+AM44+AM45+AM46+AM47+AM48</f>
        <v>-2.85473809478837</v>
      </c>
      <c r="AN49" s="13" t="n">
        <f aca="false">AN36+AN37+AN38+AN39+AN40+AN41+AN42+AN43+AN44+AN45+AN46+AN47+AN48</f>
        <v>1.6077949415813</v>
      </c>
      <c r="AO49" s="13" t="n">
        <f aca="false">AO36+AO37+AO38+AO39+AO40+AO41+AO42+AO43+AO44+AO45+AO46+AO47+AO48</f>
        <v>-15.6124866189308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1.40904105735134</v>
      </c>
      <c r="Q50" s="13" t="n">
        <f aca="false">Reserves!Q11-Reserves!Q10-Reserves!Q12</f>
        <v>0.453926367218564</v>
      </c>
      <c r="R50" s="13" t="n">
        <f aca="false">Reserves!R11-Reserves!R10-Reserves!R12</f>
        <v>-0.355685703933581</v>
      </c>
      <c r="S50" s="13" t="n">
        <f aca="false">Reserves!S11-Reserves!S10-Reserves!S12</f>
        <v>0.399529697144928</v>
      </c>
      <c r="T50" s="13" t="n">
        <f aca="false">Reserves!T11-Reserves!T10-Reserves!T12</f>
        <v>-0.239225268312048</v>
      </c>
      <c r="U50" s="13" t="n">
        <f aca="false">Reserves!U11-Reserves!U10-Reserves!U12</f>
        <v>0.686577631660306</v>
      </c>
      <c r="V50" s="13" t="n">
        <f aca="false">Reserves!V11-Reserves!V10-Reserves!V12</f>
        <v>-0.33388365620403</v>
      </c>
      <c r="W50" s="13" t="n">
        <f aca="false">Reserves!W11-Reserves!W10-Reserves!W12</f>
        <v>-1.12598817134045</v>
      </c>
      <c r="X50" s="13" t="n">
        <f aca="false">Reserves!X11-Reserves!X10-Reserves!X12</f>
        <v>-0.423952983706066</v>
      </c>
      <c r="Y50" s="13" t="n">
        <f aca="false">Reserves!Y11-Reserves!Y10-Reserves!Y12</f>
        <v>0.271503473259095</v>
      </c>
      <c r="Z50" s="13" t="n">
        <f aca="false">Reserves!Z11-Reserves!Z10-Reserves!Z12</f>
        <v>-0.365030965260758</v>
      </c>
      <c r="AA50" s="13" t="n">
        <f aca="false">Reserves!AA11-Reserves!AA10-Reserves!AA12</f>
        <v>0.395699301102155</v>
      </c>
      <c r="AB50" s="13" t="n">
        <f aca="false">Reserves!AB11-Reserves!AB10-Reserves!AB12</f>
        <v>-0.834724242663839</v>
      </c>
      <c r="AC50" s="13" t="n">
        <f aca="false">Reserves!AC11-Reserves!AC10-Reserves!AC12</f>
        <v>0.545467911146162</v>
      </c>
      <c r="AD50" s="13" t="n">
        <f aca="false">Reserves!AD11-Reserves!AD10-Reserves!AD12</f>
        <v>-0.805103615632291</v>
      </c>
      <c r="AE50" s="13" t="n">
        <f aca="false">Reserves!AE11-Reserves!AE10-Reserves!AE12</f>
        <v>-0.976933496289085</v>
      </c>
      <c r="AF50" s="13" t="n">
        <f aca="false">Reserves!AF11-Reserves!AF10-Reserves!AF12</f>
        <v>-1.53010230046341</v>
      </c>
      <c r="AG50" s="13" t="n">
        <f aca="false">Reserves!AG11-Reserves!AG10-Reserves!AG12</f>
        <v>-1.08879804159199</v>
      </c>
      <c r="AH50" s="13" t="n">
        <f aca="false">Reserves!AH11-Reserves!AH10-Reserves!AH12</f>
        <v>-1.95428738482132</v>
      </c>
      <c r="AI50" s="13" t="n">
        <f aca="false">Reserves!AI11-Reserves!AI10-Reserves!AI12</f>
        <v>-1.8639371593894</v>
      </c>
      <c r="AJ50" s="13" t="n">
        <f aca="false">Reserves!AJ11-Reserves!AJ10-Reserves!AJ12</f>
        <v>-2.79197174918639</v>
      </c>
      <c r="AK50" s="13" t="n">
        <f aca="false">Reserves!AK11-Reserves!AK10-Reserves!AK12</f>
        <v>-3.22525575147283</v>
      </c>
      <c r="AL50" s="13" t="n">
        <f aca="false">Reserves!AL11-Reserves!AL10-Reserves!AL12</f>
        <v>-1.93755244209905</v>
      </c>
      <c r="AM50" s="13" t="n">
        <f aca="false">Reserves!AM11-Reserves!AM10-Reserves!AM12</f>
        <v>-2.85473809478837</v>
      </c>
      <c r="AN50" s="13" t="n">
        <f aca="false">Reserves!AN11-Reserves!AN10-Reserves!AN12</f>
        <v>-0.740094143905644</v>
      </c>
      <c r="AO50" s="13" t="n">
        <f aca="false">Reserves!AO11-Reserves!AO10-Reserves!AO12</f>
        <v>-17.9603757044177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-0.0469378380158929</v>
      </c>
      <c r="Q51" s="13" t="n">
        <f aca="false">Q17-P17</f>
        <v>0.870194669673424</v>
      </c>
      <c r="R51" s="13" t="n">
        <f aca="false">R17-Q17</f>
        <v>0.0605825985212789</v>
      </c>
      <c r="S51" s="13" t="n">
        <f aca="false">S17-R17</f>
        <v>0.815797999599788</v>
      </c>
      <c r="T51" s="13" t="n">
        <f aca="false">T17-S17</f>
        <v>0.177043034142812</v>
      </c>
      <c r="U51" s="13" t="n">
        <f aca="false">U17-T17</f>
        <v>1.10284593411517</v>
      </c>
      <c r="V51" s="13" t="n">
        <f aca="false">V17-U17</f>
        <v>-2.83149347093319</v>
      </c>
      <c r="W51" s="13" t="n">
        <f aca="false">W17-V17</f>
        <v>-1.12598817134045</v>
      </c>
      <c r="X51" s="13" t="n">
        <f aca="false">X17-W17</f>
        <v>1.54878955992739</v>
      </c>
      <c r="Y51" s="13" t="n">
        <f aca="false">Y17-X17</f>
        <v>2.24424601689255</v>
      </c>
      <c r="Z51" s="13" t="n">
        <f aca="false">Z17-Y17</f>
        <v>1.60771157837271</v>
      </c>
      <c r="AA51" s="13" t="n">
        <f aca="false">AA17-Z17</f>
        <v>2.36844184473561</v>
      </c>
      <c r="AB51" s="13" t="n">
        <f aca="false">AB17-AA17</f>
        <v>1.13801830096962</v>
      </c>
      <c r="AC51" s="13" t="n">
        <f aca="false">AC17-AB17</f>
        <v>2.51821045477963</v>
      </c>
      <c r="AD51" s="13" t="n">
        <f aca="false">AD17-AC17</f>
        <v>-12.6415588774331</v>
      </c>
      <c r="AE51" s="13" t="n">
        <f aca="false">AE17-AD17</f>
        <v>-0.976933496289085</v>
      </c>
      <c r="AF51" s="13" t="n">
        <f aca="false">AF17-AE17</f>
        <v>-1.0346743455475</v>
      </c>
      <c r="AG51" s="13" t="n">
        <f aca="false">AG17-AF17</f>
        <v>-0.593370086676067</v>
      </c>
      <c r="AH51" s="13" t="n">
        <f aca="false">AH17-AG17</f>
        <v>-1.45885942990542</v>
      </c>
      <c r="AI51" s="13" t="n">
        <f aca="false">AI17-AH17</f>
        <v>-1.36850920447348</v>
      </c>
      <c r="AJ51" s="13" t="n">
        <f aca="false">AJ17-AI17</f>
        <v>-2.29654379427048</v>
      </c>
      <c r="AK51" s="13" t="n">
        <f aca="false">AK17-AJ17</f>
        <v>-2.72982779655691</v>
      </c>
      <c r="AL51" s="13" t="n">
        <f aca="false">AL17-AK17</f>
        <v>-4.91012017159453</v>
      </c>
      <c r="AM51" s="13" t="n">
        <f aca="false">AM17-AL17</f>
        <v>-2.85473809478837</v>
      </c>
      <c r="AN51" s="13" t="n">
        <f aca="false">AN17-AM17</f>
        <v>1.6077949415813</v>
      </c>
      <c r="AO51" s="13" t="n">
        <f aca="false">AO17-AN17</f>
        <v>-15.6124866189308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0.0365247635703604</v>
      </c>
      <c r="R7" s="16" t="n">
        <f aca="false">IF(Debt!R115&gt;Inputs!$F$253,Debt!R112/Debt!R115,0)</f>
        <v>0.0370111997574543</v>
      </c>
      <c r="S7" s="16" t="n">
        <f aca="false">IF(Debt!S115&gt;Inputs!$F$253,Debt!S112/Debt!S115,0)</f>
        <v>0.0366847545671589</v>
      </c>
      <c r="T7" s="16" t="n">
        <f aca="false">IF(Debt!T115&gt;Inputs!$F$253,Debt!T112/Debt!T115,0)</f>
        <v>0.0371713522901392</v>
      </c>
      <c r="U7" s="16" t="n">
        <f aca="false">IF(Debt!U115&gt;Inputs!$F$253,Debt!U112/Debt!U115,0)</f>
        <v>0.0369660886655408</v>
      </c>
      <c r="V7" s="16" t="n">
        <f aca="false">IF(Debt!V115&gt;Inputs!$F$253,Debt!V112/Debt!V115,0)</f>
        <v>0.037313802857254</v>
      </c>
      <c r="W7" s="16" t="n">
        <f aca="false">IF(Debt!W115&gt;Inputs!$F$253,Debt!W112/Debt!W115,0)</f>
        <v>0.036960976319927</v>
      </c>
      <c r="X7" s="16" t="n">
        <f aca="false">IF(Debt!X115&gt;Inputs!$F$253,Debt!X112/Debt!X115,0)</f>
        <v>0.037441868197065</v>
      </c>
      <c r="Y7" s="16" t="n">
        <f aca="false">IF(Debt!Y115&gt;Inputs!$F$253,Debt!Y112/Debt!Y115,0)</f>
        <v>0.0382125214602272</v>
      </c>
      <c r="Z7" s="16" t="n">
        <f aca="false">IF(Debt!Z115&gt;Inputs!$F$253,Debt!Z112/Debt!Z115,0)</f>
        <v>0.0387401389125801</v>
      </c>
      <c r="AA7" s="16" t="n">
        <f aca="false">IF(Debt!AA115&gt;Inputs!$F$253,Debt!AA112/Debt!AA115,0)</f>
        <v>0.0383876869528722</v>
      </c>
      <c r="AB7" s="16" t="n">
        <f aca="false">IF(Debt!AB115&gt;Inputs!$F$253,Debt!AB112/Debt!AB115,0)</f>
        <v>0.0386126300713685</v>
      </c>
      <c r="AC7" s="16" t="n">
        <f aca="false">IF(Debt!AC115&gt;Inputs!$F$253,Debt!AC112/Debt!AC115,0)</f>
        <v>0.0380222423580541</v>
      </c>
      <c r="AD7" s="16" t="n">
        <f aca="false">IF(Debt!AD115&gt;Inputs!$F$253,Debt!AD112/Debt!AD115,0)</f>
        <v>0.0379806638045743</v>
      </c>
      <c r="AE7" s="16" t="n">
        <f aca="false">IF(Debt!AE115&gt;Inputs!$F$253,Debt!AE112/Debt!AE115,0)</f>
        <v>0.0370836762092878</v>
      </c>
      <c r="AF7" s="16" t="n">
        <f aca="false">IF(Debt!AF115&gt;Inputs!$F$253,Debt!AF112/Debt!AF115,0)</f>
        <v>0.036854137911748</v>
      </c>
      <c r="AG7" s="16" t="n">
        <f aca="false">IF(Debt!AG115&gt;Inputs!$F$253,Debt!AG112/Debt!AG115,0)</f>
        <v>0.0365513984331714</v>
      </c>
      <c r="AH7" s="16" t="n">
        <f aca="false">IF(Debt!AH115&gt;Inputs!$F$253,Debt!AH112/Debt!AH115,0)</f>
        <v>0.0357596402092556</v>
      </c>
      <c r="AI7" s="16" t="n">
        <f aca="false">IF(Debt!AI115&gt;Inputs!$F$253,Debt!AI112/Debt!AI115,0)</f>
        <v>0.0337195517637025</v>
      </c>
      <c r="AJ7" s="16" t="n">
        <f aca="false">IF(Debt!AJ115&gt;Inputs!$F$253,Debt!AJ112/Debt!AJ115,0)</f>
        <v>0.0314808455557303</v>
      </c>
      <c r="AK7" s="16" t="n">
        <f aca="false">IF(Debt!AK115&gt;Inputs!$F$253,Debt!AK112/Debt!AK115,0)</f>
        <v>0.0269610638668241</v>
      </c>
      <c r="AL7" s="16" t="n">
        <f aca="false">IF(Debt!AL115&gt;Inputs!$F$253,Debt!AL112/Debt!AL115,0)</f>
        <v>0.0242250899695825</v>
      </c>
      <c r="AM7" s="16" t="n">
        <f aca="false">IF(Debt!AM115&gt;Inputs!$F$253,Debt!AM112/Debt!AM115,0)</f>
        <v>0.0241580244606488</v>
      </c>
      <c r="AN7" s="16" t="n">
        <f aca="false">IF(Debt!AN115&gt;Inputs!$F$253,Debt!AN112/Debt!AN115,0)</f>
        <v>0.0242128352500784</v>
      </c>
      <c r="AO7" s="16" t="n">
        <f aca="false">IF(Debt!AO115&gt;Inputs!$F$253,Debt!AO112/Debt!AO115,0)</f>
        <v>0.024142145350872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0.024142145350872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0.024142145350872</v>
      </c>
      <c r="K10" s="16" t="n">
        <f aca="false">IF(K7&gt;0,K7,$F$9)</f>
        <v>0.024142145350872</v>
      </c>
      <c r="L10" s="16" t="n">
        <f aca="false">IF(L7&gt;0,L7,$F$9)</f>
        <v>0.024142145350872</v>
      </c>
      <c r="M10" s="16" t="n">
        <f aca="false">IF(M7&gt;0,M7,$F$9)</f>
        <v>0.024142145350872</v>
      </c>
      <c r="N10" s="16" t="n">
        <f aca="false">IF(N7&gt;0,N7,$F$9)</f>
        <v>0.024142145350872</v>
      </c>
      <c r="O10" s="16" t="n">
        <f aca="false">IF(O7&gt;0,O7,$F$9)</f>
        <v>0.024142145350872</v>
      </c>
      <c r="P10" s="16" t="n">
        <f aca="false">IF(P7&gt;0,P7,$F$9)</f>
        <v>0.0343560605449481</v>
      </c>
      <c r="Q10" s="16" t="n">
        <f aca="false">IF(Q7&gt;0,Q7,$F$9)</f>
        <v>0.0365247635703604</v>
      </c>
      <c r="R10" s="16" t="n">
        <f aca="false">IF(R7&gt;0,R7,$F$9)</f>
        <v>0.0370111997574543</v>
      </c>
      <c r="S10" s="16" t="n">
        <f aca="false">IF(S7&gt;0,S7,$F$9)</f>
        <v>0.0366847545671589</v>
      </c>
      <c r="T10" s="16" t="n">
        <f aca="false">IF(T7&gt;0,T7,$F$9)</f>
        <v>0.0371713522901392</v>
      </c>
      <c r="U10" s="16" t="n">
        <f aca="false">IF(U7&gt;0,U7,$F$9)</f>
        <v>0.0369660886655408</v>
      </c>
      <c r="V10" s="16" t="n">
        <f aca="false">IF(V7&gt;0,V7,$F$9)</f>
        <v>0.037313802857254</v>
      </c>
      <c r="W10" s="16" t="n">
        <f aca="false">IF(W7&gt;0,W7,$F$9)</f>
        <v>0.036960976319927</v>
      </c>
      <c r="X10" s="16" t="n">
        <f aca="false">IF(X7&gt;0,X7,$F$9)</f>
        <v>0.037441868197065</v>
      </c>
      <c r="Y10" s="16" t="n">
        <f aca="false">IF(Y7&gt;0,Y7,$F$9)</f>
        <v>0.0382125214602272</v>
      </c>
      <c r="Z10" s="16" t="n">
        <f aca="false">IF(Z7&gt;0,Z7,$F$9)</f>
        <v>0.0387401389125801</v>
      </c>
      <c r="AA10" s="16" t="n">
        <f aca="false">IF(AA7&gt;0,AA7,$F$9)</f>
        <v>0.0383876869528722</v>
      </c>
      <c r="AB10" s="16" t="n">
        <f aca="false">IF(AB7&gt;0,AB7,$F$9)</f>
        <v>0.0386126300713685</v>
      </c>
      <c r="AC10" s="16" t="n">
        <f aca="false">IF(AC7&gt;0,AC7,$F$9)</f>
        <v>0.0380222423580541</v>
      </c>
      <c r="AD10" s="16" t="n">
        <f aca="false">IF(AD7&gt;0,AD7,$F$9)</f>
        <v>0.0379806638045743</v>
      </c>
      <c r="AE10" s="16" t="n">
        <f aca="false">IF(AE7&gt;0,AE7,$F$9)</f>
        <v>0.0370836762092878</v>
      </c>
      <c r="AF10" s="16" t="n">
        <f aca="false">IF(AF7&gt;0,AF7,$F$9)</f>
        <v>0.036854137911748</v>
      </c>
      <c r="AG10" s="16" t="n">
        <f aca="false">IF(AG7&gt;0,AG7,$F$9)</f>
        <v>0.0365513984331714</v>
      </c>
      <c r="AH10" s="16" t="n">
        <f aca="false">IF(AH7&gt;0,AH7,$F$9)</f>
        <v>0.0357596402092556</v>
      </c>
      <c r="AI10" s="16" t="n">
        <f aca="false">IF(AI7&gt;0,AI7,$F$9)</f>
        <v>0.0337195517637025</v>
      </c>
      <c r="AJ10" s="16" t="n">
        <f aca="false">IF(AJ7&gt;0,AJ7,$F$9)</f>
        <v>0.0314808455557303</v>
      </c>
      <c r="AK10" s="16" t="n">
        <f aca="false">IF(AK7&gt;0,AK7,$F$9)</f>
        <v>0.0269610638668241</v>
      </c>
      <c r="AL10" s="16" t="n">
        <f aca="false">IF(AL7&gt;0,AL7,$F$9)</f>
        <v>0.0242250899695825</v>
      </c>
      <c r="AM10" s="16" t="n">
        <f aca="false">IF(AM7&gt;0,AM7,$F$9)</f>
        <v>0.0241580244606488</v>
      </c>
      <c r="AN10" s="16" t="n">
        <f aca="false">IF(AN7&gt;0,AN7,$F$9)</f>
        <v>0.0242128352500784</v>
      </c>
      <c r="AO10" s="16" t="n">
        <f aca="false">IF(AO7&gt;0,AO7,$F$9)</f>
        <v>0.024142145350872</v>
      </c>
      <c r="AP10" s="16" t="n">
        <f aca="false">IF(AP7&gt;0,AP7,$F$9)</f>
        <v>0.024142145350872</v>
      </c>
      <c r="AQ10" s="16" t="n">
        <f aca="false">IF(AQ7&gt;0,AQ7,$F$9)</f>
        <v>0.024142145350872</v>
      </c>
      <c r="AR10" s="16" t="n">
        <f aca="false">IF(AR7&gt;0,AR7,$F$9)</f>
        <v>0.024142145350872</v>
      </c>
      <c r="AS10" s="16" t="n">
        <f aca="false">IF(AS7&gt;0,AS7,$F$9)</f>
        <v>0.024142145350872</v>
      </c>
      <c r="AT10" s="16" t="n">
        <f aca="false">IF(AT7&gt;0,AT7,$F$9)</f>
        <v>0.024142145350872</v>
      </c>
      <c r="AU10" s="16" t="n">
        <f aca="false">IF(AU7&gt;0,AU7,$F$9)</f>
        <v>0.024142145350872</v>
      </c>
      <c r="AV10" s="16" t="n">
        <f aca="false">IF(AV7&gt;0,AV7,$F$9)</f>
        <v>0.024142145350872</v>
      </c>
      <c r="AW10" s="16" t="n">
        <f aca="false">IF(AW7&gt;0,AW7,$F$9)</f>
        <v>0.024142145350872</v>
      </c>
      <c r="AX10" s="16" t="n">
        <f aca="false">IF(AX7&gt;0,AX7,$F$9)</f>
        <v>0.024142145350872</v>
      </c>
      <c r="AY10" s="16" t="n">
        <f aca="false">IF(AY7&gt;0,AY7,$F$9)</f>
        <v>0.024142145350872</v>
      </c>
      <c r="AZ10" s="16" t="n">
        <f aca="false">IF(AZ7&gt;0,AZ7,$F$9)</f>
        <v>0.024142145350872</v>
      </c>
      <c r="BA10" s="16" t="n">
        <f aca="false">IF(BA7&gt;0,BA7,$F$9)</f>
        <v>0.024142145350872</v>
      </c>
      <c r="BB10" s="16" t="n">
        <f aca="false">IF(BB7&gt;0,BB7,$F$9)</f>
        <v>0.024142145350872</v>
      </c>
      <c r="BC10" s="16" t="n">
        <f aca="false">IF(BC7&gt;0,BC7,$F$9)</f>
        <v>0.024142145350872</v>
      </c>
      <c r="BD10" s="16" t="n">
        <f aca="false">IF(BD7&gt;0,BD7,$F$9)</f>
        <v>0.024142145350872</v>
      </c>
      <c r="BE10" s="16" t="n">
        <f aca="false">IF(BE7&gt;0,BE7,$F$9)</f>
        <v>0.024142145350872</v>
      </c>
      <c r="BF10" s="16" t="n">
        <f aca="false">IF(BF7&gt;0,BF7,$F$9)</f>
        <v>0.024142145350872</v>
      </c>
      <c r="BG10" s="16" t="n">
        <f aca="false">IF(BG7&gt;0,BG7,$F$9)</f>
        <v>0.024142145350872</v>
      </c>
      <c r="BH10" s="16" t="n">
        <f aca="false">IF(BH7&gt;0,BH7,$F$9)</f>
        <v>0.024142145350872</v>
      </c>
      <c r="BI10" s="16" t="n">
        <f aca="false">IF(BI7&gt;0,BI7,$F$9)</f>
        <v>0.024142145350872</v>
      </c>
      <c r="BJ10" s="16" t="n">
        <f aca="false">IF(BJ7&gt;0,BJ7,$F$9)</f>
        <v>0.024142145350872</v>
      </c>
      <c r="BK10" s="16" t="n">
        <f aca="false">IF(BK7&gt;0,BK7,$F$9)</f>
        <v>0.024142145350872</v>
      </c>
      <c r="BL10" s="16" t="n">
        <f aca="false">IF(BL7&gt;0,BL7,$F$9)</f>
        <v>0.024142145350872</v>
      </c>
      <c r="BM10" s="16" t="n">
        <f aca="false">IF(BM7&gt;0,BM7,$F$9)</f>
        <v>0.024142145350872</v>
      </c>
      <c r="BN10" s="16" t="n">
        <f aca="false">IF(BN7&gt;0,BN7,$F$9)</f>
        <v>0.024142145350872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731.512945863477</v>
      </c>
      <c r="K11" s="13" t="n">
        <f aca="false">IF(Time!K20&lt;=$F$8,(Waterfall!K7+L11)/(1+K10),0)</f>
        <v>749.173237728557</v>
      </c>
      <c r="L11" s="13" t="n">
        <f aca="false">IF(Time!L20&lt;=$F$8,(Waterfall!L7+M11)/(1+L10),0)</f>
        <v>767.259886926784</v>
      </c>
      <c r="M11" s="13" t="n">
        <f aca="false">IF(Time!M20&lt;=$F$8,(Waterfall!M7+N11)/(1+M10),0)</f>
        <v>785.783186638864</v>
      </c>
      <c r="N11" s="13" t="n">
        <f aca="false">IF(Time!N20&lt;=$F$8,(Waterfall!N7+O11)/(1+N10),0)</f>
        <v>804.75367854497</v>
      </c>
      <c r="O11" s="13" t="n">
        <f aca="false">IF(Time!O20&lt;=$F$8,(Waterfall!O7+P11)/(1+O10),0)</f>
        <v>824.182158824052</v>
      </c>
      <c r="P11" s="13" t="n">
        <f aca="false">IF(Time!P20&lt;=$F$8,(Waterfall!P7+Q11)/(1+P10),0)</f>
        <v>842.207437100155</v>
      </c>
      <c r="Q11" s="13" t="n">
        <f aca="false">IF(Time!Q20&lt;=$F$8,(Waterfall!Q7+R11)/(1+Q10),0)</f>
        <v>820.860407955987</v>
      </c>
      <c r="R11" s="13" t="n">
        <f aca="false">IF(Time!R20&lt;=$F$8,(Waterfall!R7+S11)/(1+R10),0)</f>
        <v>800.680168062659</v>
      </c>
      <c r="S11" s="13" t="n">
        <f aca="false">IF(Time!S20&lt;=$F$8,(Waterfall!S7+T11)/(1+S10),0)</f>
        <v>779.520841831599</v>
      </c>
      <c r="T11" s="13" t="n">
        <f aca="false">IF(Time!T20&lt;=$F$8,(Waterfall!T7+U11)/(1+T10),0)</f>
        <v>757.717400725484</v>
      </c>
      <c r="U11" s="13" t="n">
        <f aca="false">IF(Time!U20&lt;=$F$8,(Waterfall!U7+V11)/(1+U10),0)</f>
        <v>734.91863715424</v>
      </c>
      <c r="V11" s="13" t="n">
        <f aca="false">IF(Time!V20&lt;=$F$8,(Waterfall!V7+W11)/(1+V10),0)</f>
        <v>711.365269434358</v>
      </c>
      <c r="W11" s="13" t="n">
        <f aca="false">IF(Time!W20&lt;=$F$8,(Waterfall!W7+X11)/(1+W10),0)</f>
        <v>686.220320535747</v>
      </c>
      <c r="X11" s="13" t="n">
        <f aca="false">IF(Time!X20&lt;=$F$8,(Waterfall!X7+Y11)/(1+X10),0)</f>
        <v>660.252336525134</v>
      </c>
      <c r="Y11" s="13" t="n">
        <f aca="false">IF(Time!Y20&lt;=$F$8,(Waterfall!Y7+Z11)/(1+Y10),0)</f>
        <v>635.12224413143</v>
      </c>
      <c r="Z11" s="13" t="n">
        <f aca="false">IF(Time!Z20&lt;=$F$8,(Waterfall!Z7+AA11)/(1+Z10),0)</f>
        <v>610.021837252031</v>
      </c>
      <c r="AA11" s="13" t="n">
        <f aca="false">IF(Time!AA20&lt;=$F$8,(Waterfall!AA7+AB11)/(1+AA10),0)</f>
        <v>583.877827766729</v>
      </c>
      <c r="AB11" s="13" t="n">
        <f aca="false">IF(Time!AB20&lt;=$F$8,(Waterfall!AB7+AC11)/(1+AB10),0)</f>
        <v>556.916259105968</v>
      </c>
      <c r="AC11" s="13" t="n">
        <f aca="false">IF(Time!AC20&lt;=$F$8,(Waterfall!AC7+AD11)/(1+AC10),0)</f>
        <v>528.463849943076</v>
      </c>
      <c r="AD11" s="13" t="n">
        <f aca="false">IF(Time!AD20&lt;=$F$8,(Waterfall!AD7+AE11)/(1+AD10),0)</f>
        <v>498.805776080392</v>
      </c>
      <c r="AE11" s="13" t="n">
        <f aca="false">IF(Time!AE20&lt;=$F$8,(Waterfall!AE7+AF11)/(1+AE10),0)</f>
        <v>466.088207882742</v>
      </c>
      <c r="AF11" s="13" t="n">
        <f aca="false">IF(Time!AF20&lt;=$F$8,(Waterfall!AF7+AG11)/(1+AF10),0)</f>
        <v>431.626640131166</v>
      </c>
      <c r="AG11" s="13" t="n">
        <f aca="false">IF(Time!AG20&lt;=$F$8,(Waterfall!AG7+AH11)/(1+AG10),0)</f>
        <v>395.627182200152</v>
      </c>
      <c r="AH11" s="13" t="n">
        <f aca="false">IF(Time!AH20&lt;=$F$8,(Waterfall!AH7+AI11)/(1+AH10),0)</f>
        <v>358.548629815836</v>
      </c>
      <c r="AI11" s="13" t="n">
        <f aca="false">IF(Time!AI20&lt;=$F$8,(Waterfall!AI7+AJ11)/(1+AI10),0)</f>
        <v>319.161455137388</v>
      </c>
      <c r="AJ11" s="13" t="n">
        <f aca="false">IF(Time!AJ20&lt;=$F$8,(Waterfall!AJ7+AK11)/(1+AJ10),0)</f>
        <v>278.122195594354</v>
      </c>
      <c r="AK11" s="13" t="n">
        <f aca="false">IF(Time!AK20&lt;=$F$8,(Waterfall!AK7+AL11)/(1+AK10),0)</f>
        <v>234.475119190842</v>
      </c>
      <c r="AL11" s="13" t="n">
        <f aca="false">IF(Time!AL20&lt;=$F$8,(Waterfall!AL7+AM11)/(1+AL10),0)</f>
        <v>188.632284913752</v>
      </c>
      <c r="AM11" s="13" t="n">
        <f aca="false">IF(Time!AM20&lt;=$F$8,(Waterfall!AM7+AN11)/(1+AM10),0)</f>
        <v>139.926342975536</v>
      </c>
      <c r="AN11" s="13" t="n">
        <f aca="false">IF(Time!AN20&lt;=$F$8,(Waterfall!AN7+AO11)/(1+AN10),0)</f>
        <v>90.4069819642192</v>
      </c>
      <c r="AO11" s="13" t="n">
        <f aca="false">IF(Time!AO20&lt;=$F$8,(Waterfall!AO7+AP11)/(1+AO10),0)</f>
        <v>41.5323681715941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1002.29134630226</v>
      </c>
      <c r="K12" s="13" t="n">
        <f aca="false">IF(Time!K20&lt;=Time!$F$15,(Waterfall!K7+L12)/(1+K10),0)</f>
        <v>1026.48880966861</v>
      </c>
      <c r="L12" s="13" t="n">
        <f aca="false">IF(Time!L20&lt;=Time!$F$15,(Waterfall!L7+M12)/(1+L10),0)</f>
        <v>1051.27045171267</v>
      </c>
      <c r="M12" s="13" t="n">
        <f aca="false">IF(Time!M20&lt;=Time!$F$15,(Waterfall!M7+N12)/(1+M10),0)</f>
        <v>1076.650375761</v>
      </c>
      <c r="N12" s="13" t="n">
        <f aca="false">IF(Time!N20&lt;=Time!$F$15,(Waterfall!N7+O12)/(1+N10),0)</f>
        <v>1102.64302562469</v>
      </c>
      <c r="O12" s="13" t="n">
        <f aca="false">IF(Time!O20&lt;=Time!$F$15,(Waterfall!O7+P12)/(1+O10),0)</f>
        <v>1129.26319381945</v>
      </c>
      <c r="P12" s="13" t="n">
        <f aca="false">IF(Time!P20&lt;=Time!$F$15,(Waterfall!P7+Q12)/(1+P10),0)</f>
        <v>1154.6537827862</v>
      </c>
      <c r="Q12" s="13" t="n">
        <f aca="false">IF(Time!Q20&lt;=Time!$F$15,(Waterfall!Q7+R12)/(1+Q10),0)</f>
        <v>1144.04117921147</v>
      </c>
      <c r="R12" s="13" t="n">
        <f aca="false">IF(Time!R20&lt;=Time!$F$15,(Waterfall!R7+S12)/(1+R10),0)</f>
        <v>1135.66504057874</v>
      </c>
      <c r="S12" s="13" t="n">
        <f aca="false">IF(Time!S20&lt;=Time!$F$15,(Waterfall!S7+T12)/(1+S10),0)</f>
        <v>1126.9039063801</v>
      </c>
      <c r="T12" s="13" t="n">
        <f aca="false">IF(Time!T20&lt;=Time!$F$15,(Waterfall!T7+U12)/(1+T10),0)</f>
        <v>1117.84412773773</v>
      </c>
      <c r="U12" s="13" t="n">
        <f aca="false">IF(Time!U20&lt;=Time!$F$15,(Waterfall!U7+V12)/(1+U10),0)</f>
        <v>1108.43176160535</v>
      </c>
      <c r="V12" s="13" t="n">
        <f aca="false">IF(Time!V20&lt;=Time!$F$15,(Waterfall!V7+W12)/(1+V10),0)</f>
        <v>1098.68571316167</v>
      </c>
      <c r="W12" s="13" t="n">
        <f aca="false">IF(Time!W20&lt;=Time!$F$15,(Waterfall!W7+X12)/(1+W10),0)</f>
        <v>1087.99316294289</v>
      </c>
      <c r="X12" s="13" t="n">
        <f aca="false">IF(Time!X20&lt;=Time!$F$15,(Waterfall!X7+Y12)/(1+X10),0)</f>
        <v>1076.87509544647</v>
      </c>
      <c r="Y12" s="13" t="n">
        <f aca="false">IF(Time!Y20&lt;=Time!$F$15,(Waterfall!Y7+Z12)/(1+Y10),0)</f>
        <v>1067.3441374802</v>
      </c>
      <c r="Z12" s="13" t="n">
        <f aca="false">IF(Time!Z20&lt;=Time!$F$15,(Waterfall!Z7+AA12)/(1+Z10),0)</f>
        <v>1058.76001897597</v>
      </c>
      <c r="AA12" s="13" t="n">
        <f aca="false">IF(Time!AA20&lt;=Time!$F$15,(Waterfall!AA7+AB12)/(1+AA10),0)</f>
        <v>1050.00018898603</v>
      </c>
      <c r="AB12" s="13" t="n">
        <f aca="false">IF(Time!AB20&lt;=Time!$F$15,(Waterfall!AB7+AC12)/(1+AB10),0)</f>
        <v>1040.93197960949</v>
      </c>
      <c r="AC12" s="13" t="n">
        <f aca="false">IF(Time!AC20&lt;=Time!$F$15,(Waterfall!AC7+AD12)/(1+AC10),0)</f>
        <v>1031.16869041113</v>
      </c>
      <c r="AD12" s="13" t="n">
        <f aca="false">IF(Time!AD20&lt;=Time!$F$15,(Waterfall!AD7+AE12)/(1+AD10),0)</f>
        <v>1020.62458182729</v>
      </c>
      <c r="AE12" s="13" t="n">
        <f aca="false">IF(Time!AE20&lt;=Time!$F$15,(Waterfall!AE7+AF12)/(1+AE10),0)</f>
        <v>1007.72603825762</v>
      </c>
      <c r="AF12" s="13" t="n">
        <f aca="false">IF(Time!AF20&lt;=Time!$F$15,(Waterfall!AF7+AG12)/(1+AF10),0)</f>
        <v>993.350392430365</v>
      </c>
      <c r="AG12" s="13" t="n">
        <f aca="false">IF(Time!AG20&lt;=Time!$F$15,(Waterfall!AG7+AH12)/(1+AG10),0)</f>
        <v>978.05277913489</v>
      </c>
      <c r="AH12" s="13" t="n">
        <f aca="false">IF(Time!AH20&lt;=Time!$F$15,(Waterfall!AH7+AI12)/(1+AH10),0)</f>
        <v>962.262696801813</v>
      </c>
      <c r="AI12" s="13" t="n">
        <f aca="false">IF(Time!AI20&lt;=Time!$F$15,(Waterfall!AI7+AJ12)/(1+AI10),0)</f>
        <v>944.46411994805</v>
      </c>
      <c r="AJ12" s="13" t="n">
        <f aca="false">IF(Time!AJ20&lt;=Time!$F$15,(Waterfall!AJ7+AK12)/(1+AJ10),0)</f>
        <v>924.509785979081</v>
      </c>
      <c r="AK12" s="13" t="n">
        <f aca="false">IF(Time!AK20&lt;=Time!$F$15,(Waterfall!AK7+AL12)/(1+AK10),0)</f>
        <v>901.211537477611</v>
      </c>
      <c r="AL12" s="13" t="n">
        <f aca="false">IF(Time!AL20&lt;=Time!$F$15,(Waterfall!AL7+AM12)/(1+AL10),0)</f>
        <v>873.344626356288</v>
      </c>
      <c r="AM12" s="13" t="n">
        <f aca="false">IF(Time!AM20&lt;=Time!$F$15,(Waterfall!AM7+AN12)/(1+AM10),0)</f>
        <v>841.225902492801</v>
      </c>
      <c r="AN12" s="13" t="n">
        <f aca="false">IF(Time!AN20&lt;=Time!$F$15,(Waterfall!AN7+AO12)/(1+AN10),0)</f>
        <v>808.648553394544</v>
      </c>
      <c r="AO12" s="13" t="n">
        <f aca="false">IF(Time!AO20&lt;=Time!$F$15,(Waterfall!AO7+AP12)/(1+AO10),0)</f>
        <v>777.164604440719</v>
      </c>
      <c r="AP12" s="13" t="n">
        <f aca="false">IF(Time!AP20&lt;=Time!$F$15,(Waterfall!AP7+AQ12)/(1+AP10),0)</f>
        <v>753.391976641921</v>
      </c>
      <c r="AQ12" s="13" t="n">
        <f aca="false">IF(Time!AQ20&lt;=Time!$F$15,(Waterfall!AQ7+AR12)/(1+AQ10),0)</f>
        <v>729.515302752143</v>
      </c>
      <c r="AR12" s="13" t="n">
        <f aca="false">IF(Time!AR20&lt;=Time!$F$15,(Waterfall!AR7+AS12)/(1+AR10),0)</f>
        <v>705.95445260917</v>
      </c>
      <c r="AS12" s="13" t="n">
        <f aca="false">IF(Time!AS20&lt;=Time!$F$15,(Waterfall!AS7+AT12)/(1+AS10),0)</f>
        <v>681.228431500494</v>
      </c>
      <c r="AT12" s="13" t="n">
        <f aca="false">IF(Time!AT20&lt;=Time!$F$15,(Waterfall!AT7+AU12)/(1+AT10),0)</f>
        <v>656.170819115472</v>
      </c>
      <c r="AU12" s="13" t="n">
        <f aca="false">IF(Time!AU20&lt;=Time!$F$15,(Waterfall!AU7+AV12)/(1+AU10),0)</f>
        <v>623.77518209064</v>
      </c>
      <c r="AV12" s="13" t="n">
        <f aca="false">IF(Time!AV20&lt;=Time!$F$15,(Waterfall!AV7+AW12)/(1+AV10),0)</f>
        <v>595.034617179688</v>
      </c>
      <c r="AW12" s="13" t="n">
        <f aca="false">IF(Time!AW20&lt;=Time!$F$15,(Waterfall!AW7+AX12)/(1+AW10),0)</f>
        <v>565.476694569684</v>
      </c>
      <c r="AX12" s="13" t="n">
        <f aca="false">IF(Time!AX20&lt;=Time!$F$15,(Waterfall!AX7+AY12)/(1+AX10),0)</f>
        <v>535.629565083696</v>
      </c>
      <c r="AY12" s="13" t="n">
        <f aca="false">IF(Time!AY20&lt;=Time!$F$15,(Waterfall!AY7+AZ12)/(1+AY10),0)</f>
        <v>504.387021829011</v>
      </c>
      <c r="AZ12" s="13" t="n">
        <f aca="false">IF(Time!AZ20&lt;=Time!$F$15,(Waterfall!AZ7+BA12)/(1+AZ10),0)</f>
        <v>472.847139040494</v>
      </c>
      <c r="BA12" s="13" t="n">
        <f aca="false">IF(Time!BA20&lt;=Time!$F$15,(Waterfall!BA7+BB12)/(1+BA10),0)</f>
        <v>439.927925677444</v>
      </c>
      <c r="BB12" s="13" t="n">
        <f aca="false">IF(Time!BB20&lt;=Time!$F$15,(Waterfall!BB7+BC12)/(1+BB10),0)</f>
        <v>406.511616212</v>
      </c>
      <c r="BC12" s="13" t="n">
        <f aca="false">IF(Time!BC20&lt;=Time!$F$15,(Waterfall!BC7+BD12)/(1+BC10),0)</f>
        <v>370.041403472458</v>
      </c>
      <c r="BD12" s="13" t="n">
        <f aca="false">IF(Time!BD20&lt;=Time!$F$15,(Waterfall!BD7+BE12)/(1+BD10),0)</f>
        <v>336.089263227924</v>
      </c>
      <c r="BE12" s="13" t="n">
        <f aca="false">IF(Time!BE20&lt;=Time!$F$15,(Waterfall!BE7+BF12)/(1+BE10),0)</f>
        <v>307.415520430905</v>
      </c>
      <c r="BF12" s="13" t="n">
        <f aca="false">IF(Time!BF20&lt;=Time!$F$15,(Waterfall!BF7+BG12)/(1+BF10),0)</f>
        <v>278.482509373048</v>
      </c>
      <c r="BG12" s="13" t="n">
        <f aca="false">IF(Time!BG20&lt;=Time!$F$15,(Waterfall!BG7+BH12)/(1+BG10),0)</f>
        <v>248.146691231611</v>
      </c>
      <c r="BH12" s="13" t="n">
        <f aca="false">IF(Time!BH20&lt;=Time!$F$15,(Waterfall!BH7+BI12)/(1+BH10),0)</f>
        <v>217.546132739633</v>
      </c>
      <c r="BI12" s="13" t="n">
        <f aca="false">IF(Time!BI20&lt;=Time!$F$15,(Waterfall!BI7+BJ12)/(1+BI10),0)</f>
        <v>185.56564699605</v>
      </c>
      <c r="BJ12" s="13" t="n">
        <f aca="false">IF(Time!BJ20&lt;=Time!$F$15,(Waterfall!BJ7+BK12)/(1+BJ10),0)</f>
        <v>153.074184277618</v>
      </c>
      <c r="BK12" s="13" t="n">
        <f aca="false">IF(Time!BK20&lt;=Time!$F$15,(Waterfall!BK7+BL12)/(1+BK10),0)</f>
        <v>111.774496650427</v>
      </c>
      <c r="BL12" s="13" t="n">
        <f aca="false">IF(Time!BL20&lt;=Time!$F$15,(Waterfall!BL7+BM12)/(1+BL10),0)</f>
        <v>74.727388469435</v>
      </c>
      <c r="BM12" s="13" t="n">
        <f aca="false">IF(Time!BM20&lt;=Time!$F$15,(Waterfall!BM7+BN12)/(1+BM10),0)</f>
        <v>36.0377324947671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1.39606919052074</v>
      </c>
      <c r="Q13" s="3" t="n">
        <f aca="false">IF(Debt!Q115&gt;Inputs!$F$253,(Q11+Reserves!Q9)/Debt!Q115,0)</f>
        <v>1.39907288218569</v>
      </c>
      <c r="R13" s="3" t="n">
        <f aca="false">IF(Debt!R115&gt;Inputs!$F$253,(R11+Reserves!R9)/Debt!R115,0)</f>
        <v>1.40402358474009</v>
      </c>
      <c r="S13" s="3" t="n">
        <f aca="false">IF(Debt!S115&gt;Inputs!$F$253,(S11+Reserves!S9)/Debt!S115,0)</f>
        <v>1.40800382859315</v>
      </c>
      <c r="T13" s="3" t="n">
        <f aca="false">IF(Debt!T115&gt;Inputs!$F$253,(T11+Reserves!T9)/Debt!T115,0)</f>
        <v>1.4135784019875</v>
      </c>
      <c r="U13" s="3" t="n">
        <f aca="false">IF(Debt!U115&gt;Inputs!$F$253,(U11+Reserves!U9)/Debt!U115,0)</f>
        <v>1.418503349075</v>
      </c>
      <c r="V13" s="3" t="n">
        <f aca="false">IF(Debt!V115&gt;Inputs!$F$253,(V11+Reserves!V9)/Debt!V115,0)</f>
        <v>1.42557759128283</v>
      </c>
      <c r="W13" s="3" t="n">
        <f aca="false">IF(Debt!W115&gt;Inputs!$F$253,(W11+Reserves!W9)/Debt!W115,0)</f>
        <v>1.43140344714223</v>
      </c>
      <c r="X13" s="3" t="n">
        <f aca="false">IF(Debt!X115&gt;Inputs!$F$253,(X11+Reserves!X9)/Debt!X115,0)</f>
        <v>1.4361270018117</v>
      </c>
      <c r="Y13" s="3" t="n">
        <f aca="false">IF(Debt!Y115&gt;Inputs!$F$253,(Y11+Reserves!Y9)/Debt!Y115,0)</f>
        <v>1.44271186455709</v>
      </c>
      <c r="Z13" s="3" t="n">
        <f aca="false">IF(Debt!Z115&gt;Inputs!$F$253,(Z11+Reserves!Z9)/Debt!Z115,0)</f>
        <v>1.45138848760879</v>
      </c>
      <c r="AA13" s="3" t="n">
        <f aca="false">IF(Debt!AA115&gt;Inputs!$F$253,(AA11+Reserves!AA9)/Debt!AA115,0)</f>
        <v>1.45966014795994</v>
      </c>
      <c r="AB13" s="3" t="n">
        <f aca="false">IF(Debt!AB115&gt;Inputs!$F$253,(AB11+Reserves!AB9)/Debt!AB115,0)</f>
        <v>1.49170683958928</v>
      </c>
      <c r="AC13" s="3" t="n">
        <f aca="false">IF(Debt!AC115&gt;Inputs!$F$253,(AC11+Reserves!AC9)/Debt!AC115,0)</f>
        <v>1.52821765996834</v>
      </c>
      <c r="AD13" s="3" t="n">
        <f aca="false">IF(Debt!AD115&gt;Inputs!$F$253,(AD11+Reserves!AD9)/Debt!AD115,0)</f>
        <v>1.57158501223704</v>
      </c>
      <c r="AE13" s="3" t="n">
        <f aca="false">IF(Debt!AE115&gt;Inputs!$F$253,(AE11+Reserves!AE9)/Debt!AE115,0)</f>
        <v>1.62435711662317</v>
      </c>
      <c r="AF13" s="3" t="n">
        <f aca="false">IF(Debt!AF115&gt;Inputs!$F$253,(AF11+Reserves!AF9)/Debt!AF115,0)</f>
        <v>1.68890939151681</v>
      </c>
      <c r="AG13" s="3" t="n">
        <f aca="false">IF(Debt!AG115&gt;Inputs!$F$253,(AG11+Reserves!AG9)/Debt!AG115,0)</f>
        <v>1.7699418830104</v>
      </c>
      <c r="AH13" s="3" t="n">
        <f aca="false">IF(Debt!AH115&gt;Inputs!$F$253,(AH11+Reserves!AH9)/Debt!AH115,0)</f>
        <v>1.8744453486905</v>
      </c>
      <c r="AI13" s="3" t="n">
        <f aca="false">IF(Debt!AI115&gt;Inputs!$F$253,(AI11+Reserves!AI9)/Debt!AI115,0)</f>
        <v>2.01858410069128</v>
      </c>
      <c r="AJ13" s="3" t="n">
        <f aca="false">IF(Debt!AJ115&gt;Inputs!$F$253,(AJ11+Reserves!AJ9)/Debt!AJ115,0)</f>
        <v>2.22794071681275</v>
      </c>
      <c r="AK13" s="3" t="n">
        <f aca="false">IF(Debt!AK115&gt;Inputs!$F$253,(AK11+Reserves!AK9)/Debt!AK115,0)</f>
        <v>2.57479663868631</v>
      </c>
      <c r="AL13" s="3" t="n">
        <f aca="false">IF(Debt!AL115&gt;Inputs!$F$253,(AL11+Reserves!AL9)/Debt!AL115,0)</f>
        <v>2.81677307169293</v>
      </c>
      <c r="AM13" s="3" t="n">
        <f aca="false">IF(Debt!AM115&gt;Inputs!$F$253,(AM11+Reserves!AM9)/Debt!AM115,0)</f>
        <v>2.90471083640685</v>
      </c>
      <c r="AN13" s="3" t="n">
        <f aca="false">IF(Debt!AN115&gt;Inputs!$F$253,(AN11+Reserves!AN9)/Debt!AN115,0)</f>
        <v>3.08380437122189</v>
      </c>
      <c r="AO13" s="3" t="n">
        <f aca="false">IF(Debt!AO115&gt;Inputs!$F$253,(AO11+Reserves!AO9)/Debt!AO115,0)</f>
        <v>3.39241379739077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1.33694399857632</v>
      </c>
      <c r="Q14" s="3" t="n">
        <f aca="false">IF(Debt!Q115&gt;Inputs!$F$253,Q11/Debt!Q115,0)</f>
        <v>1.33615245410898</v>
      </c>
      <c r="R14" s="3" t="n">
        <f aca="false">IF(Debt!R115&gt;Inputs!$F$253,R11/Debt!R115,0)</f>
        <v>1.33863839416546</v>
      </c>
      <c r="S14" s="3" t="n">
        <f aca="false">IF(Debt!S115&gt;Inputs!$F$253,S11/Debt!S115,0)</f>
        <v>1.34132124972432</v>
      </c>
      <c r="T14" s="3" t="n">
        <f aca="false">IF(Debt!T115&gt;Inputs!$F$253,T11/Debt!T115,0)</f>
        <v>1.34412489850902</v>
      </c>
      <c r="U14" s="3" t="n">
        <f aca="false">IF(Debt!U115&gt;Inputs!$F$253,U11/Debt!U115,0)</f>
        <v>1.34717146375102</v>
      </c>
      <c r="V14" s="3" t="n">
        <f aca="false">IF(Debt!V115&gt;Inputs!$F$253,V11/Debt!V115,0)</f>
        <v>1.35040373853574</v>
      </c>
      <c r="W14" s="3" t="n">
        <f aca="false">IF(Debt!W115&gt;Inputs!$F$253,W11/Debt!W115,0)</f>
        <v>1.35393027657708</v>
      </c>
      <c r="X14" s="3" t="n">
        <f aca="false">IF(Debt!X115&gt;Inputs!$F$253,X11/Debt!X115,0)</f>
        <v>1.35769810818878</v>
      </c>
      <c r="Y14" s="3" t="n">
        <f aca="false">IF(Debt!Y115&gt;Inputs!$F$253,Y11/Debt!Y115,0)</f>
        <v>1.36184006456301</v>
      </c>
      <c r="Z14" s="3" t="n">
        <f aca="false">IF(Debt!Z115&gt;Inputs!$F$253,Z11/Debt!Z115,0)</f>
        <v>1.366304921648</v>
      </c>
      <c r="AA14" s="3" t="n">
        <f aca="false">IF(Debt!AA115&gt;Inputs!$F$253,AA11/Debt!AA115,0)</f>
        <v>1.37129921683121</v>
      </c>
      <c r="AB14" s="3" t="n">
        <f aca="false">IF(Debt!AB115&gt;Inputs!$F$253,AB11/Debt!AB115,0)</f>
        <v>1.39638155449868</v>
      </c>
      <c r="AC14" s="3" t="n">
        <f aca="false">IF(Debt!AC115&gt;Inputs!$F$253,AC11/Debt!AC115,0)</f>
        <v>1.42775799869983</v>
      </c>
      <c r="AD14" s="3" t="n">
        <f aca="false">IF(Debt!AD115&gt;Inputs!$F$253,AD11/Debt!AD115,0)</f>
        <v>1.46107111349011</v>
      </c>
      <c r="AE14" s="3" t="n">
        <f aca="false">IF(Debt!AE115&gt;Inputs!$F$253,AE11/Debt!AE115,0)</f>
        <v>1.5051197882367</v>
      </c>
      <c r="AF14" s="3" t="n">
        <f aca="false">IF(Debt!AF115&gt;Inputs!$F$253,AF11/Debt!AF115,0)</f>
        <v>1.55906588344606</v>
      </c>
      <c r="AG14" s="3" t="n">
        <f aca="false">IF(Debt!AG115&gt;Inputs!$F$253,AG11/Debt!AG115,0)</f>
        <v>1.62829107279167</v>
      </c>
      <c r="AH14" s="3" t="n">
        <f aca="false">IF(Debt!AH115&gt;Inputs!$F$253,AH11/Debt!AH115,0)</f>
        <v>1.71502813890669</v>
      </c>
      <c r="AI14" s="3" t="n">
        <f aca="false">IF(Debt!AI115&gt;Inputs!$F$253,AI11/Debt!AI115,0)</f>
        <v>1.83791501604812</v>
      </c>
      <c r="AJ14" s="3" t="n">
        <f aca="false">IF(Debt!AJ115&gt;Inputs!$F$253,AJ11/Debt!AJ115,0)</f>
        <v>2.01422281896541</v>
      </c>
      <c r="AK14" s="3" t="n">
        <f aca="false">IF(Debt!AK115&gt;Inputs!$F$253,AK11/Debt!AK115,0)</f>
        <v>2.31141506835968</v>
      </c>
      <c r="AL14" s="3" t="n">
        <f aca="false">IF(Debt!AL115&gt;Inputs!$F$253,AL11/Debt!AL115,0)</f>
        <v>2.50481662760811</v>
      </c>
      <c r="AM14" s="3" t="n">
        <f aca="false">IF(Debt!AM115&gt;Inputs!$F$253,AM11/Debt!AM115,0)</f>
        <v>2.51697833237051</v>
      </c>
      <c r="AN14" s="3" t="n">
        <f aca="false">IF(Debt!AN115&gt;Inputs!$F$253,AN11/Debt!AN115,0)</f>
        <v>2.55525577344836</v>
      </c>
      <c r="AO14" s="3" t="n">
        <f aca="false">IF(Debt!AO115&gt;Inputs!$F$253,AO11/Debt!AO115,0)</f>
        <v>2.3682716520399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1.83293019905485</v>
      </c>
      <c r="Q15" s="3" t="n">
        <f aca="false">IF(Debt!Q115&gt;Inputs!$F$253,Q12/Debt!Q115,0)</f>
        <v>1.8622087438856</v>
      </c>
      <c r="R15" s="3" t="n">
        <f aca="false">IF(Debt!R115&gt;Inputs!$F$253,R12/Debt!R115,0)</f>
        <v>1.8986917459297</v>
      </c>
      <c r="S15" s="3" t="n">
        <f aca="false">IF(Debt!S115&gt;Inputs!$F$253,S12/Debt!S115,0)</f>
        <v>1.93906317177279</v>
      </c>
      <c r="T15" s="3" t="n">
        <f aca="false">IF(Debt!T115&gt;Inputs!$F$253,T12/Debt!T115,0)</f>
        <v>1.98295845298759</v>
      </c>
      <c r="U15" s="3" t="n">
        <f aca="false">IF(Debt!U115&gt;Inputs!$F$253,U12/Debt!U115,0)</f>
        <v>2.03185436218106</v>
      </c>
      <c r="V15" s="3" t="n">
        <f aca="false">IF(Debt!V115&gt;Inputs!$F$253,V12/Debt!V115,0)</f>
        <v>2.08566450778384</v>
      </c>
      <c r="W15" s="3" t="n">
        <f aca="false">IF(Debt!W115&gt;Inputs!$F$253,W12/Debt!W115,0)</f>
        <v>2.14663838993748</v>
      </c>
      <c r="X15" s="3" t="n">
        <f aca="false">IF(Debt!X115&gt;Inputs!$F$253,X12/Debt!X115,0)</f>
        <v>2.21441288271402</v>
      </c>
      <c r="Y15" s="3" t="n">
        <f aca="false">IF(Debt!Y115&gt;Inputs!$F$253,Y12/Debt!Y115,0)</f>
        <v>2.28861769923492</v>
      </c>
      <c r="Z15" s="3" t="n">
        <f aca="false">IF(Debt!Z115&gt;Inputs!$F$253,Z12/Debt!Z115,0)</f>
        <v>2.37137252542869</v>
      </c>
      <c r="AA15" s="3" t="n">
        <f aca="false">IF(Debt!AA115&gt;Inputs!$F$253,AA12/Debt!AA115,0)</f>
        <v>2.46603718852709</v>
      </c>
      <c r="AB15" s="3" t="n">
        <f aca="false">IF(Debt!AB115&gt;Inputs!$F$253,AB12/Debt!AB115,0)</f>
        <v>2.60997626132858</v>
      </c>
      <c r="AC15" s="3" t="n">
        <f aca="false">IF(Debt!AC115&gt;Inputs!$F$253,AC12/Debt!AC115,0)</f>
        <v>2.7859225298039</v>
      </c>
      <c r="AD15" s="3" t="n">
        <f aca="false">IF(Debt!AD115&gt;Inputs!$F$253,AD12/Debt!AD115,0)</f>
        <v>2.98955057406039</v>
      </c>
      <c r="AE15" s="3" t="n">
        <f aca="false">IF(Debt!AE115&gt;Inputs!$F$253,AE12/Debt!AE115,0)</f>
        <v>3.25420891507407</v>
      </c>
      <c r="AF15" s="3" t="n">
        <f aca="false">IF(Debt!AF115&gt;Inputs!$F$253,AF12/Debt!AF115,0)</f>
        <v>3.58805171681549</v>
      </c>
      <c r="AG15" s="3" t="n">
        <f aca="false">IF(Debt!AG115&gt;Inputs!$F$253,AG12/Debt!AG115,0)</f>
        <v>4.02539229010493</v>
      </c>
      <c r="AH15" s="3" t="n">
        <f aca="false">IF(Debt!AH115&gt;Inputs!$F$253,AH12/Debt!AH115,0)</f>
        <v>4.60274413231758</v>
      </c>
      <c r="AI15" s="3" t="n">
        <f aca="false">IF(Debt!AI115&gt;Inputs!$F$253,AI12/Debt!AI115,0)</f>
        <v>5.43876699466723</v>
      </c>
      <c r="AJ15" s="3" t="n">
        <f aca="false">IF(Debt!AJ115&gt;Inputs!$F$253,AJ12/Debt!AJ115,0)</f>
        <v>6.69550556113074</v>
      </c>
      <c r="AK15" s="3" t="n">
        <f aca="false">IF(Debt!AK115&gt;Inputs!$F$253,AK12/Debt!AK115,0)</f>
        <v>8.88398707160867</v>
      </c>
      <c r="AL15" s="3" t="n">
        <f aca="false">IF(Debt!AL115&gt;Inputs!$F$253,AL12/Debt!AL115,0)</f>
        <v>11.5969975273832</v>
      </c>
      <c r="AM15" s="3" t="n">
        <f aca="false">IF(Debt!AM115&gt;Inputs!$F$253,AM12/Debt!AM115,0)</f>
        <v>15.1318709842462</v>
      </c>
      <c r="AN15" s="3" t="n">
        <f aca="false">IF(Debt!AN115&gt;Inputs!$F$253,AN12/Debt!AN115,0)</f>
        <v>22.8555786274324</v>
      </c>
      <c r="AO15" s="3" t="n">
        <f aca="false">IF(Debt!AO115&gt;Inputs!$F$253,AO12/Debt!AO115,0)</f>
        <v>44.3157224760563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1.29768605947768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1.52245101538196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1.39606919052074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1.83293019905485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1.3233574456034</v>
      </c>
      <c r="P20" s="3" t="n">
        <f aca="false">IF(Debt!Q114&gt;Inputs!$F$253,(Waterfall!Q7+IF(Debt!R114&gt;Inputs!$F$253,Waterfall!R7,0))/(Debt!Q114+Debt!R114),0)</f>
        <v>1.29823173415474</v>
      </c>
      <c r="Q20" s="3" t="n">
        <f aca="false">IF(Debt!R114&gt;Inputs!$F$253,(Waterfall!R7+IF(Debt!S114&gt;Inputs!$F$253,Waterfall!S7,0))/(Debt!R114+Debt!S114),0)</f>
        <v>1.29965040368633</v>
      </c>
      <c r="R20" s="3" t="n">
        <f aca="false">IF(Debt!S114&gt;Inputs!$F$253,(Waterfall!S7+IF(Debt!T114&gt;Inputs!$F$253,Waterfall!T7,0))/(Debt!S114+Debt!T114),0)</f>
        <v>1.30110988617455</v>
      </c>
      <c r="S20" s="3" t="n">
        <f aca="false">IF(Debt!T114&gt;Inputs!$F$253,(Waterfall!T7+IF(Debt!U114&gt;Inputs!$F$253,Waterfall!U7,0))/(Debt!T114+Debt!U114),0)</f>
        <v>1.30254315298665</v>
      </c>
      <c r="T20" s="3" t="n">
        <f aca="false">IF(Debt!U114&gt;Inputs!$F$253,(Waterfall!U7+IF(Debt!V114&gt;Inputs!$F$253,Waterfall!V7,0))/(Debt!U114+Debt!V114),0)</f>
        <v>1.3043498802403</v>
      </c>
      <c r="U20" s="3" t="n">
        <f aca="false">IF(Debt!V114&gt;Inputs!$F$253,(Waterfall!V7+IF(Debt!W114&gt;Inputs!$F$253,Waterfall!W7,0))/(Debt!V114+Debt!W114),0)</f>
        <v>1.30626306223864</v>
      </c>
      <c r="V20" s="3" t="n">
        <f aca="false">IF(Debt!W114&gt;Inputs!$F$253,(Waterfall!W7+IF(Debt!X114&gt;Inputs!$F$253,Waterfall!X7,0))/(Debt!W114+Debt!X114),0)</f>
        <v>1.30716037447727</v>
      </c>
      <c r="W20" s="3" t="n">
        <f aca="false">IF(Debt!X114&gt;Inputs!$F$253,(Waterfall!X7+IF(Debt!Y114&gt;Inputs!$F$253,Waterfall!Y7,0))/(Debt!X114+Debt!Y114),0)</f>
        <v>1.30801322113239</v>
      </c>
      <c r="X20" s="3" t="n">
        <f aca="false">IF(Debt!Y114&gt;Inputs!$F$253,(Waterfall!Y7+IF(Debt!Z114&gt;Inputs!$F$253,Waterfall!Z7,0))/(Debt!Y114+Debt!Z114),0)</f>
        <v>1.30965874668315</v>
      </c>
      <c r="Y20" s="3" t="n">
        <f aca="false">IF(Debt!Z114&gt;Inputs!$F$253,(Waterfall!Z7+IF(Debt!AA114&gt;Inputs!$F$253,Waterfall!AA7,0))/(Debt!Z114+Debt!AA114),0)</f>
        <v>1.31134829852956</v>
      </c>
      <c r="Z20" s="3" t="n">
        <f aca="false">IF(Debt!AA114&gt;Inputs!$F$253,(Waterfall!AA7+IF(Debt!AB114&gt;Inputs!$F$253,Waterfall!AB7,0))/(Debt!AA114+Debt!AB114),0)</f>
        <v>1.32413028845356</v>
      </c>
      <c r="AA20" s="3" t="n">
        <f aca="false">IF(Debt!AB114&gt;Inputs!$F$253,(Waterfall!AB7+IF(Debt!AC114&gt;Inputs!$F$253,Waterfall!AC7,0))/(Debt!AB114+Debt!AC114),0)</f>
        <v>1.35085615366889</v>
      </c>
      <c r="AB20" s="3" t="n">
        <f aca="false">IF(Debt!AC114&gt;Inputs!$F$253,(Waterfall!AC7+IF(Debt!AD114&gt;Inputs!$F$253,Waterfall!AD7,0))/(Debt!AC114+Debt!AD114),0)</f>
        <v>1.3827925391192</v>
      </c>
      <c r="AC20" s="3" t="n">
        <f aca="false">IF(Debt!AD114&gt;Inputs!$F$253,(Waterfall!AD7+IF(Debt!AE114&gt;Inputs!$F$253,Waterfall!AE7,0))/(Debt!AD114+Debt!AE114),0)</f>
        <v>1.42033746316648</v>
      </c>
      <c r="AD20" s="3" t="n">
        <f aca="false">IF(Debt!AE114&gt;Inputs!$F$253,(Waterfall!AE7+IF(Debt!AF114&gt;Inputs!$F$253,Waterfall!AF7,0))/(Debt!AE114+Debt!AF114),0)</f>
        <v>1.46797318844874</v>
      </c>
      <c r="AE20" s="3" t="n">
        <f aca="false">IF(Debt!AF114&gt;Inputs!$F$253,(Waterfall!AF7+IF(Debt!AG114&gt;Inputs!$F$253,Waterfall!AG7,0))/(Debt!AF114+Debt!AG114),0)</f>
        <v>1.52853673517727</v>
      </c>
      <c r="AF20" s="3" t="n">
        <f aca="false">IF(Debt!AG114&gt;Inputs!$F$253,(Waterfall!AG7+IF(Debt!AH114&gt;Inputs!$F$253,Waterfall!AH7,0))/(Debt!AG114+Debt!AH114),0)</f>
        <v>1.60709668734465</v>
      </c>
      <c r="AG20" s="3" t="n">
        <f aca="false">IF(Debt!AH114&gt;Inputs!$F$253,(Waterfall!AH7+IF(Debt!AI114&gt;Inputs!$F$253,Waterfall!AI7,0))/(Debt!AH114+Debt!AI114),0)</f>
        <v>1.71062806924944</v>
      </c>
      <c r="AH20" s="3" t="n">
        <f aca="false">IF(Debt!AI114&gt;Inputs!$F$253,(Waterfall!AI7+IF(Debt!AJ114&gt;Inputs!$F$253,Waterfall!AJ7,0))/(Debt!AI114+Debt!AJ114),0)</f>
        <v>1.86182269658639</v>
      </c>
      <c r="AI20" s="3" t="n">
        <f aca="false">IF(Debt!AJ114&gt;Inputs!$F$253,(Waterfall!AJ7+IF(Debt!AK114&gt;Inputs!$F$253,Waterfall!AK7,0))/(Debt!AJ114+Debt!AK114),0)</f>
        <v>2.10116563355669</v>
      </c>
      <c r="AJ20" s="3" t="n">
        <f aca="false">IF(Debt!AK114&gt;Inputs!$F$253,(Waterfall!AK7+IF(Debt!AL114&gt;Inputs!$F$253,Waterfall!AL7,0))/(Debt!AK114+Debt!AL114),0)</f>
        <v>2.36771397044562</v>
      </c>
      <c r="AK20" s="3" t="n">
        <f aca="false">IF(Debt!AL114&gt;Inputs!$F$253,(Waterfall!AL7+IF(Debt!AM114&gt;Inputs!$F$253,Waterfall!AM7,0))/(Debt!AL114+Debt!AM114),0)</f>
        <v>2.46378474256795</v>
      </c>
      <c r="AL20" s="3" t="n">
        <f aca="false">IF(Debt!AM114&gt;Inputs!$F$253,(Waterfall!AM7+IF(Debt!AN114&gt;Inputs!$F$253,Waterfall!AN7,0))/(Debt!AM114+Debt!AN114),0)</f>
        <v>2.58257552434281</v>
      </c>
      <c r="AM20" s="3" t="n">
        <f aca="false">IF(Debt!AN114&gt;Inputs!$F$253,(Waterfall!AN7+IF(Debt!AO114&gt;Inputs!$F$253,Waterfall!AO7,0))/(Debt!AN114+Debt!AO114),0)</f>
        <v>2.55309637249057</v>
      </c>
      <c r="AN20" s="3" t="n">
        <f aca="false">IF(Debt!AO114&gt;Inputs!$F$253,(Waterfall!AO7+IF(Debt!AP114&gt;Inputs!$F$253,Waterfall!AP7,0))/(Debt!AO114+Debt!AP114),0)</f>
        <v>2.3682716520399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1164.14905368951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13.4992695484608</v>
      </c>
      <c r="BS8" s="18" t="n">
        <f aca="false">Waterfall!Q44</f>
        <v>11.0531093570244</v>
      </c>
      <c r="BT8" s="18" t="n">
        <f aca="false">Waterfall!R44</f>
        <v>12.0402827158271</v>
      </c>
      <c r="BU8" s="18" t="n">
        <f aca="false">Waterfall!S44</f>
        <v>11.2472650143153</v>
      </c>
      <c r="BV8" s="18" t="n">
        <f aca="false">Waterfall!T44</f>
        <v>12.0506624239152</v>
      </c>
      <c r="BW8" s="18" t="n">
        <f aca="false">Waterfall!U44</f>
        <v>11.120376005158</v>
      </c>
      <c r="BX8" s="18" t="n">
        <f aca="false">Waterfall!V44</f>
        <v>12.4225167602611</v>
      </c>
      <c r="BY8" s="18" t="n">
        <f aca="false">Waterfall!W44</f>
        <v>13.1911696380067</v>
      </c>
      <c r="BZ8" s="18" t="n">
        <f aca="false">Waterfall!X44</f>
        <v>12.1349389482078</v>
      </c>
      <c r="CA8" s="18" t="n">
        <f aca="false">Waterfall!Y44</f>
        <v>11.3822913834046</v>
      </c>
      <c r="CB8" s="18" t="n">
        <f aca="false">Waterfall!Z44</f>
        <v>12.1536332856803</v>
      </c>
      <c r="CC8" s="18" t="n">
        <f aca="false">Waterfall!AA44</f>
        <v>5.67844085810906</v>
      </c>
      <c r="CD8" s="18" t="n">
        <f aca="false">Waterfall!AB44</f>
        <v>6.69864114973051</v>
      </c>
      <c r="CE8" s="18" t="n">
        <f aca="false">Waterfall!AC44</f>
        <v>6.39448561975389</v>
      </c>
      <c r="CF8" s="18" t="n">
        <f aca="false">Waterfall!AD44</f>
        <v>7.77233357710078</v>
      </c>
      <c r="CG8" s="18" t="n">
        <f aca="false">Waterfall!AE44</f>
        <v>8.42012389225984</v>
      </c>
      <c r="CH8" s="18" t="n">
        <f aca="false">Waterfall!AF44</f>
        <v>9.3550169925707</v>
      </c>
      <c r="CI8" s="18" t="n">
        <f aca="false">Waterfall!AG44</f>
        <v>9.83918244449216</v>
      </c>
      <c r="CJ8" s="18" t="n">
        <f aca="false">Waterfall!AH44</f>
        <v>11.2782819334744</v>
      </c>
      <c r="CK8" s="18" t="n">
        <f aca="false">Waterfall!AI44</f>
        <v>12.234712695212</v>
      </c>
      <c r="CL8" s="18" t="n">
        <f aca="false">Waterfall!AJ44</f>
        <v>14.2107997091524</v>
      </c>
      <c r="CM8" s="18" t="n">
        <f aca="false">Waterfall!AK44</f>
        <v>26.5203813467429</v>
      </c>
      <c r="CN8" s="18" t="n">
        <f aca="false">Waterfall!AL44</f>
        <v>33.6739543247755</v>
      </c>
      <c r="CO8" s="18" t="n">
        <f aca="false">Waterfall!AM44</f>
        <v>34.199235179286</v>
      </c>
      <c r="CP8" s="18" t="n">
        <f aca="false">Waterfall!AN44</f>
        <v>33.1032474479638</v>
      </c>
      <c r="CQ8" s="18" t="n">
        <f aca="false">Waterfall!AO44</f>
        <v>42.5350486407587</v>
      </c>
      <c r="CR8" s="18" t="n">
        <f aca="false">Waterfall!AP44</f>
        <v>42.0651724960484</v>
      </c>
      <c r="CS8" s="18" t="n">
        <f aca="false">Waterfall!AQ44</f>
        <v>41.1729146177004</v>
      </c>
      <c r="CT8" s="18" t="n">
        <f aca="false">Waterfall!AR44</f>
        <v>41.7692761146622</v>
      </c>
      <c r="CU8" s="18" t="n">
        <f aca="false">Waterfall!AS44</f>
        <v>41.5039281954534</v>
      </c>
      <c r="CV8" s="18" t="n">
        <f aca="false">Waterfall!AT44</f>
        <v>48.2370083149193</v>
      </c>
      <c r="CW8" s="18" t="n">
        <f aca="false">Waterfall!AU44</f>
        <v>43.7998360232506</v>
      </c>
      <c r="CX8" s="18" t="n">
        <f aca="false">Waterfall!AV44</f>
        <v>43.9233348267565</v>
      </c>
      <c r="CY8" s="18" t="n">
        <f aca="false">Waterfall!AW44</f>
        <v>43.4989500388201</v>
      </c>
      <c r="CZ8" s="18" t="n">
        <f aca="false">Waterfall!AX44</f>
        <v>44.1737900691598</v>
      </c>
      <c r="DA8" s="18" t="n">
        <f aca="false">Waterfall!AY44</f>
        <v>43.7168675826064</v>
      </c>
      <c r="DB8" s="18" t="n">
        <f aca="false">Waterfall!AZ44</f>
        <v>44.3347577225094</v>
      </c>
      <c r="DC8" s="18" t="n">
        <f aca="false">Waterfall!BA44</f>
        <v>43.5421450044483</v>
      </c>
      <c r="DD8" s="18" t="n">
        <f aca="false">Waterfall!BB44</f>
        <v>44.7831250103057</v>
      </c>
      <c r="DE8" s="18" t="n">
        <f aca="false">Waterfall!BC44</f>
        <v>41.3681605196641</v>
      </c>
      <c r="DF8" s="18" t="n">
        <f aca="false">Waterfall!BD44</f>
        <v>35.2534830804887</v>
      </c>
      <c r="DG8" s="18" t="n">
        <f aca="false">Waterfall!BE44</f>
        <v>34.8037215542576</v>
      </c>
      <c r="DH8" s="18" t="n">
        <f aca="false">Waterfall!BF44</f>
        <v>35.4910559378253</v>
      </c>
      <c r="DI8" s="18" t="n">
        <f aca="false">Waterfall!BG44</f>
        <v>35.0062711860928</v>
      </c>
      <c r="DJ8" s="18" t="n">
        <f aca="false">Waterfall!BH44</f>
        <v>35.6300942748344</v>
      </c>
      <c r="DK8" s="18" t="n">
        <f aca="false">Waterfall!BI44</f>
        <v>35.3514629689357</v>
      </c>
      <c r="DL8" s="18" t="n">
        <f aca="false">Waterfall!BJ44</f>
        <v>43.3575517274499</v>
      </c>
      <c r="DM8" s="18" t="n">
        <f aca="false">Waterfall!BK44</f>
        <v>38.0899927976729</v>
      </c>
      <c r="DN8" s="18" t="n">
        <f aca="false">Waterfall!BL44</f>
        <v>38.8200314904175</v>
      </c>
      <c r="DO8" s="18" t="n">
        <f aca="false">Waterfall!BM44</f>
        <v>54.8489408327327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1605.05221573652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42.5350486407587</v>
      </c>
      <c r="CR9" s="18" t="n">
        <f aca="false">Waterfall!AP7</f>
        <v>42.0651724960484</v>
      </c>
      <c r="CS9" s="18" t="n">
        <f aca="false">Waterfall!AQ7</f>
        <v>41.1729146177004</v>
      </c>
      <c r="CT9" s="18" t="n">
        <f aca="false">Waterfall!AR7</f>
        <v>41.7692761146622</v>
      </c>
      <c r="CU9" s="18" t="n">
        <f aca="false">Waterfall!AS7</f>
        <v>41.5039281954534</v>
      </c>
      <c r="CV9" s="18" t="n">
        <f aca="false">Waterfall!AT7</f>
        <v>48.2370083149193</v>
      </c>
      <c r="CW9" s="18" t="n">
        <f aca="false">Waterfall!AU7</f>
        <v>43.7998360232506</v>
      </c>
      <c r="CX9" s="18" t="n">
        <f aca="false">Waterfall!AV7</f>
        <v>43.9233348267565</v>
      </c>
      <c r="CY9" s="18" t="n">
        <f aca="false">Waterfall!AW7</f>
        <v>43.4989500388201</v>
      </c>
      <c r="CZ9" s="18" t="n">
        <f aca="false">Waterfall!AX7</f>
        <v>44.1737900691598</v>
      </c>
      <c r="DA9" s="18" t="n">
        <f aca="false">Waterfall!AY7</f>
        <v>43.7168675826064</v>
      </c>
      <c r="DB9" s="18" t="n">
        <f aca="false">Waterfall!AZ7</f>
        <v>44.3347577225094</v>
      </c>
      <c r="DC9" s="18" t="n">
        <f aca="false">Waterfall!BA7</f>
        <v>44.037113391057</v>
      </c>
      <c r="DD9" s="18" t="n">
        <f aca="false">Waterfall!BB7</f>
        <v>46.2842752649501</v>
      </c>
      <c r="DE9" s="18" t="n">
        <f aca="false">Waterfall!BC7</f>
        <v>42.8857335930063</v>
      </c>
      <c r="DF9" s="18" t="n">
        <f aca="false">Waterfall!BD7</f>
        <v>36.7876586407353</v>
      </c>
      <c r="DG9" s="18" t="n">
        <f aca="false">Waterfall!BE7</f>
        <v>36.3546812352133</v>
      </c>
      <c r="DH9" s="18" t="n">
        <f aca="false">Waterfall!BF7</f>
        <v>37.0589833603974</v>
      </c>
      <c r="DI9" s="18" t="n">
        <f aca="false">Waterfall!BG7</f>
        <v>36.5913519800296</v>
      </c>
      <c r="DJ9" s="18" t="n">
        <f aca="false">Waterfall!BH7</f>
        <v>37.232516100703</v>
      </c>
      <c r="DK9" s="18" t="n">
        <f aca="false">Waterfall!BI7</f>
        <v>36.9714155403391</v>
      </c>
      <c r="DL9" s="18" t="n">
        <f aca="false">Waterfall!BJ7</f>
        <v>44.9952268334876</v>
      </c>
      <c r="DM9" s="18" t="n">
        <f aca="false">Waterfall!BK7</f>
        <v>39.7455843256472</v>
      </c>
      <c r="DN9" s="18" t="n">
        <f aca="false">Waterfall!BL7</f>
        <v>40.4937354487881</v>
      </c>
      <c r="DO9" s="18" t="n">
        <f aca="false">Waterfall!BM7</f>
        <v>36.9077606707716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-211.102950040684</v>
      </c>
      <c r="BS11" s="13" t="n">
        <f aca="false">BR11+BS8</f>
        <v>-200.04984068366</v>
      </c>
      <c r="BT11" s="13" t="n">
        <f aca="false">BS11+BT8</f>
        <v>-188.009557967833</v>
      </c>
      <c r="BU11" s="13" t="n">
        <f aca="false">BT11+BU8</f>
        <v>-176.762292953518</v>
      </c>
      <c r="BV11" s="13" t="n">
        <f aca="false">BU11+BV8</f>
        <v>-164.711630529602</v>
      </c>
      <c r="BW11" s="13" t="n">
        <f aca="false">BV11+BW8</f>
        <v>-153.591254524444</v>
      </c>
      <c r="BX11" s="13" t="n">
        <f aca="false">BW11+BX8</f>
        <v>-141.168737764183</v>
      </c>
      <c r="BY11" s="13" t="n">
        <f aca="false">BX11+BY8</f>
        <v>-127.977568126177</v>
      </c>
      <c r="BZ11" s="13" t="n">
        <f aca="false">BY11+BZ8</f>
        <v>-115.842629177969</v>
      </c>
      <c r="CA11" s="13" t="n">
        <f aca="false">BZ11+CA8</f>
        <v>-104.460337794564</v>
      </c>
      <c r="CB11" s="13" t="n">
        <f aca="false">CA11+CB8</f>
        <v>-92.3067045088839</v>
      </c>
      <c r="CC11" s="13" t="n">
        <f aca="false">CB11+CC8</f>
        <v>-86.6282636507748</v>
      </c>
      <c r="CD11" s="13" t="n">
        <f aca="false">CC11+CD8</f>
        <v>-79.9296225010443</v>
      </c>
      <c r="CE11" s="13" t="n">
        <f aca="false">CD11+CE8</f>
        <v>-73.5351368812904</v>
      </c>
      <c r="CF11" s="13" t="n">
        <f aca="false">CE11+CF8</f>
        <v>-65.7628033041897</v>
      </c>
      <c r="CG11" s="13" t="n">
        <f aca="false">CF11+CG8</f>
        <v>-57.3426794119298</v>
      </c>
      <c r="CH11" s="13" t="n">
        <f aca="false">CG11+CH8</f>
        <v>-47.9876624193591</v>
      </c>
      <c r="CI11" s="13" t="n">
        <f aca="false">CH11+CI8</f>
        <v>-38.148479974867</v>
      </c>
      <c r="CJ11" s="13" t="n">
        <f aca="false">CI11+CJ8</f>
        <v>-26.8701980413926</v>
      </c>
      <c r="CK11" s="13" t="n">
        <f aca="false">CJ11+CK8</f>
        <v>-14.6354853461805</v>
      </c>
      <c r="CL11" s="13" t="n">
        <f aca="false">CK11+CL8</f>
        <v>-0.424685637028137</v>
      </c>
      <c r="CM11" s="13" t="n">
        <f aca="false">CL11+CM8</f>
        <v>26.0956957097147</v>
      </c>
      <c r="CN11" s="13" t="n">
        <f aca="false">CM11+CN8</f>
        <v>59.7696500344902</v>
      </c>
      <c r="CO11" s="13" t="n">
        <f aca="false">CN11+CO8</f>
        <v>93.9688852137762</v>
      </c>
      <c r="CP11" s="13" t="n">
        <f aca="false">CO11+CP8</f>
        <v>127.07213266174</v>
      </c>
      <c r="CQ11" s="13" t="n">
        <f aca="false">CP11+CQ8</f>
        <v>169.607181302499</v>
      </c>
      <c r="CR11" s="13" t="n">
        <f aca="false">CQ11+CR8</f>
        <v>211.672353798547</v>
      </c>
      <c r="CS11" s="13" t="n">
        <f aca="false">CR11+CS8</f>
        <v>252.845268416248</v>
      </c>
      <c r="CT11" s="13" t="n">
        <f aca="false">CS11+CT8</f>
        <v>294.61454453091</v>
      </c>
      <c r="CU11" s="13" t="n">
        <f aca="false">CT11+CU8</f>
        <v>336.118472726363</v>
      </c>
      <c r="CV11" s="13" t="n">
        <f aca="false">CU11+CV8</f>
        <v>384.355481041282</v>
      </c>
      <c r="CW11" s="13" t="n">
        <f aca="false">CV11+CW8</f>
        <v>428.155317064533</v>
      </c>
      <c r="CX11" s="13" t="n">
        <f aca="false">CW11+CX8</f>
        <v>472.07865189129</v>
      </c>
      <c r="CY11" s="13" t="n">
        <f aca="false">CX11+CY8</f>
        <v>515.57760193011</v>
      </c>
      <c r="CZ11" s="13" t="n">
        <f aca="false">CY11+CZ8</f>
        <v>559.75139199927</v>
      </c>
      <c r="DA11" s="13" t="n">
        <f aca="false">CZ11+DA8</f>
        <v>603.468259581876</v>
      </c>
      <c r="DB11" s="13" t="n">
        <f aca="false">DA11+DB8</f>
        <v>647.803017304385</v>
      </c>
      <c r="DC11" s="13" t="n">
        <f aca="false">DB11+DC8</f>
        <v>691.345162308834</v>
      </c>
      <c r="DD11" s="13" t="n">
        <f aca="false">DC11+DD8</f>
        <v>736.128287319139</v>
      </c>
      <c r="DE11" s="13" t="n">
        <f aca="false">DD11+DE8</f>
        <v>777.496447838804</v>
      </c>
      <c r="DF11" s="13" t="n">
        <f aca="false">DE11+DF8</f>
        <v>812.749930919292</v>
      </c>
      <c r="DG11" s="13" t="n">
        <f aca="false">DF11+DG8</f>
        <v>847.55365247355</v>
      </c>
      <c r="DH11" s="13" t="n">
        <f aca="false">DG11+DH8</f>
        <v>883.044708411375</v>
      </c>
      <c r="DI11" s="13" t="n">
        <f aca="false">DH11+DI8</f>
        <v>918.050979597468</v>
      </c>
      <c r="DJ11" s="13" t="n">
        <f aca="false">DI11+DJ8</f>
        <v>953.681073872302</v>
      </c>
      <c r="DK11" s="13" t="n">
        <f aca="false">DJ11+DK8</f>
        <v>989.032536841238</v>
      </c>
      <c r="DL11" s="13" t="n">
        <f aca="false">DK11+DL8</f>
        <v>1032.39008856869</v>
      </c>
      <c r="DM11" s="13" t="n">
        <f aca="false">DL11+DM8</f>
        <v>1070.48008136636</v>
      </c>
      <c r="DN11" s="13" t="n">
        <f aca="false">DM11+DN8</f>
        <v>1109.30011285678</v>
      </c>
      <c r="DO11" s="13" t="n">
        <f aca="false">DN11+DO8</f>
        <v>1164.14905368951</v>
      </c>
      <c r="DP11" s="13" t="n">
        <f aca="false">DO11+DP8</f>
        <v>1164.14905368951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0.12817620169047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0.110013681099238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-51.3901523644317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1.29768605947768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1.52245101538196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1.39606919052074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1.83293019905485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0.12817620169047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0.110013681099238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-51.3901523644317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2026-10-03T23:21:29Z</dcterms:created>
  <dc:creator>openpyxl</dc:creator>
  <dc:description/>
  <dc:language>en-US</dc:language>
  <cp:lastModifiedBy/>
  <dcterms:modified xsi:type="dcterms:W3CDTF">2026-10-03T23:21:30Z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