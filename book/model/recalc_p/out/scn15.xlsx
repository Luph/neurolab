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<sst xmlns="http://schemas.openxmlformats.org/spreadsheetml/2006/main" count="2466" uniqueCount="947">
  <si>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</si>
  <si>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</si>
  <si>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</si>
  <si>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</si>
  <si>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</si>
  <si>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</si>
  <si>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</si>
  <si>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</si>
  <si>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</si>
  <si>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</si>
  <si>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</si>
  <si>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</si>
  <si>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</si>
  <si>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</si>
  <si>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</si>
  <si>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</si>
  <si>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</si>
  <si>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</si>
  <si>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</si>
  <si>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</si>
  <si>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</si>
  <si>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</si>
  <si>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</si>
  <si>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</si>
  <si>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</si>
  <si>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</si>
  <si>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</si>
  <si>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</si>
  <si>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</si>
  <si>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</si>
  <si>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</si>
  <si>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</si>
  <si>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</si>
  <si>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</si>
  <si>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</si>
  <si>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</si>
  <si>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</si>
  <si>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</si>
  <si>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</si>
  <si>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</si>
  <si>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</si>
  <si>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</si>
  <si>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</si>
  <si>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</si>
  <si>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</si>
  <si>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</si>
  <si>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</si>
  <si>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</si>
  <si>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</si>
  <si>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</si>
  <si>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</si>
  <si>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</si>
  <si>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</si>
  <si>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</si>
  <si>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</si>
  <si>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</si>
  <si>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</si>
  <si>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</si>
  <si>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</si>
  <si>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</si>
  <si>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</si>
  <si>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</si>
  <si>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</si>
  <si>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</si>
  <si>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</si>
  <si>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</si>
  <si>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</si>
  <si>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</si>
  <si>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</si>
  <si>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</si>
  <si>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</si>
  <si>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</si>
  <si>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</si>
  <si>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</si>
  <si>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</si>
  <si>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</si>
  <si>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</si>
  <si>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</si>
  <si>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</si>
  <si>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</si>
  <si>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</si>
  <si>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</si>
  <si>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</si>
  <si>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</si>
  <si>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</si>
  <si>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</si>
  <si>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</si>
  <si>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</si>
  <si>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</si>
  <si>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</si>
  <si>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</si>
  <si>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</si>
  <si>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</si>
  <si>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</si>
  <si>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</si>
  <si>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</si>
  <si>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</si>
  <si>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</si>
  <si>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</si>
  <si>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</si>
  <si>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</si>
  <si>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</si>
  <si>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</si>
  <si>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</si>
  <si>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</si>
  <si>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</si>
  <si>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</si>
  <si>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</si>
  <si>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</si>
  <si>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</si>
  <si>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</si>
  <si>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</si>
  <si>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</si>
  <si>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</si>
  <si>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</si>
  <si>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</si>
  <si>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</si>
  <si>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</si>
  <si>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</si>
  <si>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</si>
  <si>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</si>
  <si>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</si>
  <si>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</si>
  <si>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</si>
  <si>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</si>
  <si>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</si>
  <si>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</si>
  <si>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</si>
  <si>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</si>
  <si>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</si>
  <si>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</si>
  <si>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</si>
  <si>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</si>
  <si>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</si>
  <si>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</si>
  <si>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</si>
  <si>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</si>
  <si>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</si>
  <si>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</si>
  <si>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</si>
  <si>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</si>
  <si>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</si>
  <si>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</si>
  <si>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</si>
  <si>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</si>
  <si>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</si>
  <si>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</si>
  <si>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</si>
  <si>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</si>
  <si>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</si>
  <si>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</si>
  <si>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</si>
  <si>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</si>
  <si>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</si>
  <si>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</si>
  <si>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</si>
  <si>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</si>
  <si>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</si>
  <si>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</si>
  <si>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</si>
  <si>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</si>
  <si>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</si>
  <si>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</si>
  <si>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</si>
  <si>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</si>
  <si>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</si>
  <si>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</si>
  <si>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</si>
  <si>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</si>
  <si>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</si>
  <si>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</si>
  <si>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</si>
  <si>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</si>
  <si>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</si>
  <si>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</si>
  <si>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</si>
  <si>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</si>
  <si>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</si>
  <si>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</si>
  <si>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</si>
  <si>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</si>
  <si>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</si>
  <si>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</si>
  <si>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</si>
  <si>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</si>
  <si>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</si>
  <si>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</si>
  <si>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</si>
  <si>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</si>
  <si>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</si>
  <si>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</si>
  <si>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</si>
  <si>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</si>
  <si>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</si>
  <si>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</si>
  <si>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</si>
  <si>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</si>
  <si>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</si>
  <si>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</si>
  <si>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</si>
  <si>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</si>
  <si>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</si>
  <si>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</si>
  <si>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</si>
  <si>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</si>
  <si>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</si>
  <si>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</si>
  <si>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</si>
  <si>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</si>
  <si>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</si>
  <si>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</si>
  <si>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</si>
  <si>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</si>
  <si>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</si>
  <si>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</si>
  <si>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</si>
  <si>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</si>
  <si>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</si>
  <si>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</si>
  <si>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</si>
  <si>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</si>
  <si>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</si>
  <si>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</si>
  <si>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</si>
  <si>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</si>
  <si>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</si>
  <si>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</si>
  <si>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</si>
  <si>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</si>
  <si>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</si>
  <si>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</si>
  <si>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</si>
  <si>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</si>
  <si>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</si>
  <si>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</si>
  <si>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</si>
  <si>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</si>
  <si>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</si>
  <si>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</si>
  <si>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</si>
  <si>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</si>
  <si>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</si>
  <si>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</si>
  <si>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</si>
  <si>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</si>
  <si>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</si>
  <si>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</si>
  <si>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</si>
  <si>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</si>
  <si>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</si>
  <si>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</si>
  <si>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</si>
  <si>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</si>
  <si>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</si>
  <si>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</si>
  <si>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</si>
  <si>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</si>
  <si>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</si>
  <si>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</si>
  <si>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</si>
  <si>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</si>
  <si>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</si>
  <si>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</si>
  <si>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</si>
  <si>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</si>
  <si>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</si>
  <si>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</si>
  <si>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</si>
  <si>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</si>
  <si>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</si>
  <si>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</si>
  <si>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</si>
  <si>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</si>
  <si>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</si>
  <si>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</si>
  <si>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</si>
  <si>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</si>
  <si>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</si>
  <si>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</si>
  <si>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</si>
  <si>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</si>
  <si>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</si>
  <si>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</si>
  <si>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</si>
  <si>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</si>
  <si>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</si>
  <si>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</si>
  <si>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</si>
  <si>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</si>
  <si>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</si>
  <si>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</si>
  <si>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</si>
  <si>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</si>
  <si>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</si>
  <si>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</si>
  <si>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</si>
  <si>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</si>
  <si>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</si>
  <si>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</si>
  <si>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</si>
  <si>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</si>
  <si>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</si>
  <si>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</si>
  <si>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</si>
  <si>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</si>
  <si>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</si>
  <si>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</si>
  <si>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</si>
  <si>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</si>
  <si>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</si>
  <si>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</si>
  <si>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</si>
  <si>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</si>
  <si>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</si>
  <si>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</si>
  <si>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</si>
  <si>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</si>
  <si>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</si>
  <si>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</si>
  <si>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</si>
  <si>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</si>
  <si>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</si>
  <si>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</si>
  <si>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</si>
  <si>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</si>
  <si>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</si>
  <si>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</si>
  <si>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</si>
  <si>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</si>
  <si>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</si>
  <si>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</si>
  <si>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</si>
  <si>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</si>
  <si>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</si>
  <si>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</si>
  <si>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</si>
  <si>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</si>
  <si>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</si>
  <si>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</si>
  <si>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</si>
  <si>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</si>
  <si>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</si>
  <si>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</si>
  <si>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</si>
  <si>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</si>
  <si>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</si>
  <si>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</si>
  <si>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</si>
  <si>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</si>
  <si>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</si>
  <si>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</si>
  <si>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</si>
  <si>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</si>
  <si>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</si>
  <si>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</si>
  <si>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</si>
  <si>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</si>
  <si>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</si>
  <si>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</si>
  <si>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</si>
  <si>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</si>
  <si>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</si>
  <si>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</si>
  <si>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</si>
  <si>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</si>
  <si>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</si>
  <si>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</si>
  <si>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</si>
  <si>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</si>
  <si>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</si>
  <si>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</si>
  <si>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</si>
  <si>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</si>
  <si>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</si>
  <si>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</si>
  <si>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</si>
  <si>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</si>
  <si>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</si>
  <si>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</si>
  <si>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</si>
  <si>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</si>
  <si>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</si>
  <si>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</si>
  <si>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</si>
  <si>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</si>
  <si>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</si>
  <si>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</si>
  <si>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</si>
  <si>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</si>
  <si>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</si>
  <si>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</si>
  <si>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</si>
  <si>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</si>
  <si>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</si>
  <si>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</si>
  <si>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</si>
  <si>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</si>
  <si>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</si>
  <si>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</si>
  <si>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</si>
  <si>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</si>
  <si>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</si>
  <si>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</si>
  <si>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</si>
  <si>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</si>
  <si>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</si>
  <si>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</si>
  <si>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</si>
  <si>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</si>
  <si>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</si>
  <si>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</si>
  <si>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</si>
  <si>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</si>
  <si>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</si>
  <si>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</si>
  <si>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</si>
  <si>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</si>
  <si>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</si>
  <si>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</si>
  <si>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</si>
  <si>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</si>
  <si>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</si>
  <si>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</si>
  <si>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</si>
  <si>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</si>
  <si>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</si>
  <si>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</si>
  <si>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</si>
  <si>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</si>
  <si>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</si>
  <si>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</si>
  <si>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</si>
  <si>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</si>
  <si>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</si>
  <si>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</si>
  <si>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</si>
  <si>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</si>
  <si>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</si>
  <si>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</si>
  <si>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</si>
  <si>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</si>
  <si>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</si>
  <si>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</si>
  <si>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</si>
  <si>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</si>
  <si>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</si>
  <si>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</si>
  <si>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</si>
  <si>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</si>
  <si>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</si>
  <si>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</si>
  <si>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</si>
  <si>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</si>
  <si>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</si>
  <si>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</si>
  <si>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</si>
  <si>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</si>
  <si>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</si>
  <si>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</si>
  <si>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</si>
  <si>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</si>
  <si>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</si>
  <si>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</si>
  <si>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</si>
  <si>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</si>
  <si>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</si>
  <si>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</si>
  <si>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</si>
  <si>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</si>
  <si>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</si>
  <si>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</si>
  <si>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</si>
  <si>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</si>
  <si>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</si>
  <si>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</si>
  <si>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</si>
  <si>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</si>
  <si>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</si>
  <si>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</si>
  <si>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</si>
  <si>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</si>
  <si>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</si>
  <si>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</si>
  <si>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</si>
  <si>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</si>
  <si>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</si>
  <si>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</si>
  <si>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</si>
  <si>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</si>
  <si>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</si>
  <si>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</si>
  <si>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</si>
  <si>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</si>
  <si>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</si>
  <si>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</si>
  <si>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</si>
  <si>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</si>
  <si>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</si>
  <si>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</si>
  <si>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</si>
  <si>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</si>
  <si>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</si>
  <si>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</si>
  <si>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</si>
  <si>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</si>
  <si>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</si>
  <si>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</si>
  <si>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</si>
  <si>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</si>
  <si>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</si>
  <si>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</si>
  <si>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</si>
  <si>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</si>
  <si>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</si>
  <si>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</si>
  <si>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</si>
  <si>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</si>
  <si>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</si>
  <si>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</si>
  <si>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</si>
  <si>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</si>
  <si>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</si>
  <si>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</si>
  <si>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</si>
  <si>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</si>
  <si>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</si>
  <si>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</si>
  <si>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</si>
  <si>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</si>
  <si>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</si>
  <si>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</si>
  <si>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</si>
  <si>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</si>
  <si>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</si>
  <si>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</si>
  <si>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</si>
  <si>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</si>
  <si>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</si>
  <si>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</si>
  <si>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</si>
  <si>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</si>
  <si>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</si>
  <si>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</si>
  <si>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</si>
  <si>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</si>
  <si>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</si>
  <si>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</si>
  <si>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</si>
  <si>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</si>
  <si>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</si>
  <si>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</si>
  <si>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</si>
  <si>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</si>
  <si>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</si>
  <si>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</si>
  <si>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</si>
  <si>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</si>
  <si>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</si>
  <si>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</si>
  <si>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</si>
  <si>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</si>
  <si>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</si>
  <si>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</si>
  <si>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</si>
  <si>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</si>
  <si>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</si>
  <si>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</si>
  <si>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</si>
  <si>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</si>
  <si>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</si>
  <si>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</si>
  <si>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</si>
  <si>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</si>
  <si>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</si>
  <si>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</si>
  <si>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</si>
  <si>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</si>
  <si>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</si>
  <si>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</si>
  <si>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</si>
  <si>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</si>
  <si>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</si>
  <si>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</si>
  <si>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</si>
  <si>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</si>
  <si>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</si>
  <si>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</si>
  <si>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</si>
  <si>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</si>
  <si>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</si>
  <si>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</si>
  <si>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</si>
  <si>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</si>
  <si>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</si>
  <si>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</si>
  <si>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</si>
  <si>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</si>
  <si>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</si>
  <si>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</si>
  <si>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</si>
  <si>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</si>
  <si>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</si>
  <si>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</si>
  <si>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</si>
  <si>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</si>
  <si>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</si>
  <si>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</si>
  <si>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</si>
  <si>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</si>
  <si>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</si>
  <si>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</si>
  <si>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</si>
  <si>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</si>
  <si>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</si>
  <si>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</si>
  <si>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</si>
  <si>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</si>
  <si>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</si>
  <si>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</si>
  <si>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</si>
  <si>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</si>
  <si>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</si>
  <si>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</si>
  <si>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</si>
  <si>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</si>
  <si>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</si>
  <si>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</si>
  <si>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</si>
  <si>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</si>
  <si>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</si>
  <si>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</si>
  <si>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</si>
  <si>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</si>
  <si>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</si>
  <si>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</si>
  <si>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</si>
  <si>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</si>
  <si>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</si>
  <si>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</si>
  <si>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</si>
  <si>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</si>
  <si>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</si>
  <si>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</si>
  <si>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</si>
  <si>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</si>
  <si>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</si>
  <si>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</si>
  <si>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</si>
  <si>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</si>
  <si>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</si>
  <si>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</si>
  <si>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</si>
  <si>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</si>
  <si>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</si>
  <si>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</si>
  <si>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</si>
  <si>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</si>
  <si>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</si>
  <si>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</si>
  <si>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</si>
  <si>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</si>
  <si>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</si>
  <si>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</si>
  <si>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</si>
  <si>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</si>
  <si>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</si>
  <si>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</si>
  <si>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</si>
  <si>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</si>
  <si>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</si>
  <si>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</si>
  <si>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</si>
  <si>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</si>
  <si>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</si>
  <si>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</si>
  <si>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</si>
  <si>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</si>
  <si>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</si>
  <si>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</si>
  <si>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</si>
  <si>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</si>
  <si>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</si>
  <si>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</si>
  <si>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</si>
  <si>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</si>
  <si>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</si>
  <si>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</si>
  <si>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</si>
  <si>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</si>
  <si>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</si>
  <si>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</si>
  <si>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</si>
  <si>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</si>
  <si>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</si>
  <si>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</si>
  <si>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</si>
  <si>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</si>
  <si>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</si>
  <si>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</si>
  <si>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</si>
  <si>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</si>
  <si>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</si>
  <si>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</si>
  <si>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</si>
  <si>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</si>
  <si>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</si>
  <si>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</si>
  <si>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</si>
  <si>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</si>
  <si>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</si>
  <si>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</si>
  <si>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</si>
  <si>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</si>
  <si>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</si>
  <si>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</si>
  <si>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</si>
  <si>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</si>
  <si>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</si>
  <si>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</si>
  <si>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</si>
  <si>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</si>
  <si>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</si>
  <si>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</si>
  <si>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</si>
  <si>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</si>
  <si>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</si>
  <si>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</si>
  <si>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</si>
  <si>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</si>
  <si>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</si>
  <si>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</si>
  <si>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</si>
  <si>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</si>
  <si>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</si>
  <si>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</si>
  <si>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</si>
  <si>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</si>
  <si>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</si>
  <si>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</si>
  <si>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</si>
  <si>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</si>
  <si>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</si>
  <si>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</si>
  <si>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</si>
  <si>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</si>
  <si>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</si>
  <si>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</si>
  <si>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</si>
  <si>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</si>
  <si>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</si>
  <si>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</si>
  <si>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</si>
  <si>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</si>
  <si>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</si>
  <si>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</si>
  <si>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</si>
  <si>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</si>
  <si>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</si>
  <si>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</si>
  <si>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</si>
  <si>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</si>
  <si>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</si>
  <si>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</si>
  <si>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</si>
  <si>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</si>
  <si>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</si>
  <si>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</si>
  <si>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</si>
  <si>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</si>
  <si>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</si>
  <si>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</si>
  <si>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</si>
  <si>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</si>
  <si>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</si>
  <si>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</si>
  <si>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</si>
  <si>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</si>
  <si>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</si>
  <si>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</si>
  <si>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</si>
  <si>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</si>
  <si>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</si>
  <si>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</si>
  <si>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</si>
  <si>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</si>
  <si>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</si>
  <si>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</si>
  <si>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</si>
  <si>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</si>
  <si>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</si>
  <si>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</si>
  <si>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</si>
  <si>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</si>
  <si>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</si>
  <si>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</si>
  <si>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</si>
  <si>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</si>
  <si>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</si>
  <si>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</si>
  <si>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</si>
  <si>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</si>
  <si>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</si>
  <si>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</si>
  <si>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</si>
  <si>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</si>
  <si>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</si>
  <si>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Sculpting rate on scheduled balance</t>
  </si>
  <si>
    <t xml:space="preserve">PV of CFADS to final maturity at the sculpting rate</t>
  </si>
  <si>
    <t xml:space="preserve">Sculpted DSCR = PV(CFADS) / debt</t>
  </si>
  <si>
    <t xml:space="preserve">Debt capacity at the target DSCR</t>
  </si>
  <si>
    <t xml:space="preserve">Debt at the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</si>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</sst>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15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113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INDEX($J$10:$X$10,1,Scenario)</f>
        <v>2</v>
      </c>
    </row>
    <row r="34" customFormat="false" ht="15" hidden="false" customHeight="false" outlineLevel="0" collapsed="false">
      <c r="D34" s="0" t="s">
        <v>125</v>
      </c>
      <c r="E34" s="0" t="s">
        <v>94</v>
      </c>
      <c r="F34" s="6" t="n">
        <f aca="false">INDEX($J$11:$X$11,1,Scenario)</f>
        <v>2</v>
      </c>
    </row>
    <row r="35" customFormat="false" ht="15" hidden="false" customHeight="false" outlineLevel="0" collapsed="false">
      <c r="D35" s="0" t="s">
        <v>126</v>
      </c>
      <c r="E35" s="0" t="s">
        <v>97</v>
      </c>
      <c r="F35" s="6" t="n">
        <f aca="false">INDEX($J$12:$X$12,1,Scenario)</f>
        <v>0</v>
      </c>
    </row>
    <row r="36" customFormat="false" ht="15" hidden="false" customHeight="false" outlineLevel="0" collapsed="false">
      <c r="D36" s="0" t="s">
        <v>127</v>
      </c>
      <c r="E36" s="0" t="s">
        <v>99</v>
      </c>
      <c r="F36" s="6" t="n">
        <f aca="false">INDEX($J$13:$X$13,1,Scenario)</f>
        <v>1</v>
      </c>
    </row>
    <row r="37" customFormat="false" ht="15" hidden="false" customHeight="false" outlineLevel="0" collapsed="false">
      <c r="D37" s="0" t="s">
        <v>128</v>
      </c>
      <c r="E37" s="0" t="s">
        <v>101</v>
      </c>
      <c r="F37" s="6" t="n">
        <f aca="false">INDEX($J$14:$X$14,1,Scenario)</f>
        <v>0</v>
      </c>
    </row>
    <row r="38" customFormat="false" ht="15" hidden="false" customHeight="false" outlineLevel="0" collapsed="false">
      <c r="D38" s="0" t="s">
        <v>129</v>
      </c>
      <c r="E38" s="0" t="s">
        <v>103</v>
      </c>
      <c r="F38" s="6" t="n">
        <f aca="false">INDEX($J$15:$X$15,1,Scenario)</f>
        <v>76.5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INDEX($J$16:$X$16,1,Scenario)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INDEX($J$17:$X$17,1,Scenario)</f>
        <v>1</v>
      </c>
    </row>
    <row r="41" customFormat="false" ht="15" hidden="false" customHeight="false" outlineLevel="0" collapsed="false">
      <c r="D41" s="0" t="s">
        <v>132</v>
      </c>
      <c r="E41" s="0" t="s">
        <v>99</v>
      </c>
      <c r="F41" s="6" t="n">
        <f aca="false">INDEX($J$18:$X$18,1,Scenario)</f>
        <v>1</v>
      </c>
    </row>
    <row r="42" customFormat="false" ht="15" hidden="false" customHeight="false" outlineLevel="0" collapsed="false">
      <c r="D42" s="0" t="s">
        <v>133</v>
      </c>
      <c r="E42" s="0" t="s">
        <v>103</v>
      </c>
      <c r="F42" s="6" t="n">
        <f aca="false">INDEX($J$19:$X$19,1,Scenario)</f>
        <v>0</v>
      </c>
    </row>
    <row r="43" customFormat="false" ht="15" hidden="false" customHeight="false" outlineLevel="0" collapsed="false">
      <c r="D43" s="0" t="s">
        <v>134</v>
      </c>
      <c r="E43" s="0" t="s">
        <v>109</v>
      </c>
      <c r="F43" s="6" t="n">
        <f aca="false">INDEX($J$20:$X$20,1,Scenario)</f>
        <v>0</v>
      </c>
    </row>
    <row r="44" customFormat="false" ht="15" hidden="false" customHeight="false" outlineLevel="0" collapsed="false">
      <c r="D44" s="0" t="s">
        <v>135</v>
      </c>
      <c r="E44" s="0" t="s">
        <v>111</v>
      </c>
      <c r="F44" s="6" t="n">
        <f aca="false">INDEX($J$21:$X$21,1,Scenario)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INDEX($J$22:$X$22,1,Scenario)</f>
        <v>1</v>
      </c>
    </row>
    <row r="46" customFormat="false" ht="15" hidden="false" customHeight="false" outlineLevel="0" collapsed="false">
      <c r="D46" s="0" t="s">
        <v>137</v>
      </c>
      <c r="E46" s="0" t="s">
        <v>113</v>
      </c>
      <c r="F46" s="6" t="n">
        <f aca="false">INDEX($J$23:$X$23,1,Scenario)</f>
        <v>1</v>
      </c>
    </row>
    <row r="47" customFormat="false" ht="15" hidden="false" customHeight="false" outlineLevel="0" collapsed="false">
      <c r="D47" s="0" t="s">
        <v>138</v>
      </c>
      <c r="E47" s="0" t="s">
        <v>94</v>
      </c>
      <c r="F47" s="6" t="n">
        <f aca="false">INDEX($J$24:$X$24,1,Scenario)</f>
        <v>2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INDEX($J$25:$X$25,1,Scenario)</f>
        <v>1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INDEX($J$26:$X$26,1,Scenario)</f>
        <v>1</v>
      </c>
    </row>
    <row r="50" customFormat="false" ht="15" hidden="false" customHeight="false" outlineLevel="0" collapsed="false">
      <c r="D50" s="0" t="s">
        <v>141</v>
      </c>
      <c r="E50" s="0" t="s">
        <v>113</v>
      </c>
      <c r="F50" s="6" t="n">
        <f aca="false">INDEX($J$27:$X$27,1,Scenario)</f>
        <v>1</v>
      </c>
    </row>
    <row r="51" customFormat="false" ht="15" hidden="false" customHeight="false" outlineLevel="0" collapsed="false">
      <c r="D51" s="0" t="s">
        <v>142</v>
      </c>
      <c r="E51" s="0" t="s">
        <v>94</v>
      </c>
      <c r="F51" s="6" t="n">
        <f aca="false">INDEX($J$28:$X$28,1,Scenario)</f>
        <v>1</v>
      </c>
    </row>
    <row r="52" customFormat="false" ht="15" hidden="false" customHeight="false" outlineLevel="0" collapsed="false">
      <c r="D52" s="0" t="s">
        <v>143</v>
      </c>
      <c r="E52" s="0" t="s">
        <v>113</v>
      </c>
      <c r="F52" s="6" t="n">
        <f aca="false">INDEX($J$29:$X$29,1,Scenario)</f>
        <v>1</v>
      </c>
    </row>
    <row r="53" customFormat="false" ht="15" hidden="false" customHeight="false" outlineLevel="0" collapsed="false">
      <c r="D53" s="0" t="s">
        <v>144</v>
      </c>
      <c r="E53" s="0" t="s">
        <v>109</v>
      </c>
      <c r="F53" s="6" t="n">
        <f aca="false">INDEX($J$30:$X$30,1,Scenario)</f>
        <v>0.8</v>
      </c>
    </row>
    <row r="54" customFormat="false" ht="15" hidden="false" customHeight="false" outlineLevel="0" collapsed="false">
      <c r="D54" s="0" t="s">
        <v>145</v>
      </c>
      <c r="E54" s="0" t="s">
        <v>99</v>
      </c>
      <c r="F54" s="6" t="n">
        <f aca="false">INDEX($J$31:$X$31,1,Scenario)</f>
        <v>1</v>
      </c>
    </row>
    <row r="55" customFormat="false" ht="15" hidden="false" customHeight="false" outlineLevel="0" collapsed="false">
      <c r="D55" s="0" t="s">
        <v>146</v>
      </c>
      <c r="E55" s="0" t="s">
        <v>113</v>
      </c>
      <c r="F55" s="6" t="n">
        <f aca="false">INDEX($J$32:$X$32,1,Scenario)</f>
        <v>1</v>
      </c>
    </row>
    <row r="56" customFormat="false" ht="15" hidden="false" customHeight="false" outlineLevel="0" collapsed="false">
      <c r="B56" s="2" t="s">
        <v>147</v>
      </c>
    </row>
    <row r="57" customFormat="false" ht="15" hidden="false" customHeight="false" outlineLevel="0" collapsed="false">
      <c r="D57" s="0" t="s">
        <v>148</v>
      </c>
      <c r="E57" s="0" t="s">
        <v>149</v>
      </c>
      <c r="F57" s="7" t="n">
        <v>571.84</v>
      </c>
    </row>
    <row r="58" customFormat="false" ht="15" hidden="false" customHeight="false" outlineLevel="0" collapsed="false">
      <c r="D58" s="0" t="s">
        <v>150</v>
      </c>
      <c r="E58" s="0" t="s">
        <v>149</v>
      </c>
      <c r="F58" s="7" t="n">
        <v>489.17</v>
      </c>
    </row>
    <row r="59" customFormat="false" ht="15" hidden="false" customHeight="false" outlineLevel="0" collapsed="false">
      <c r="D59" s="0" t="s">
        <v>151</v>
      </c>
      <c r="E59" s="0" t="s">
        <v>149</v>
      </c>
      <c r="F59" s="7" t="n">
        <v>82.67</v>
      </c>
    </row>
    <row r="60" customFormat="false" ht="15" hidden="false" customHeight="false" outlineLevel="0" collapsed="false">
      <c r="D60" s="0" t="s">
        <v>152</v>
      </c>
      <c r="E60" s="0" t="s">
        <v>153</v>
      </c>
      <c r="F60" s="7" t="n">
        <v>519.4</v>
      </c>
    </row>
    <row r="61" customFormat="false" ht="15" hidden="false" customHeight="false" outlineLevel="0" collapsed="false">
      <c r="D61" s="0" t="s">
        <v>154</v>
      </c>
      <c r="E61" s="0" t="s">
        <v>149</v>
      </c>
      <c r="F61" s="7" t="n">
        <v>46.18</v>
      </c>
    </row>
    <row r="62" customFormat="false" ht="15" hidden="false" customHeight="false" outlineLevel="0" collapsed="false">
      <c r="D62" s="0" t="s">
        <v>155</v>
      </c>
      <c r="E62" s="0" t="s">
        <v>149</v>
      </c>
      <c r="F62" s="7" t="n">
        <v>7.62</v>
      </c>
    </row>
    <row r="63" customFormat="false" ht="15" hidden="false" customHeight="false" outlineLevel="0" collapsed="false">
      <c r="D63" s="0" t="s">
        <v>156</v>
      </c>
      <c r="E63" s="0" t="s">
        <v>149</v>
      </c>
      <c r="F63" s="7" t="n">
        <v>21.43</v>
      </c>
    </row>
    <row r="64" customFormat="false" ht="15" hidden="false" customHeight="false" outlineLevel="0" collapsed="false">
      <c r="D64" s="0" t="s">
        <v>157</v>
      </c>
      <c r="E64" s="0" t="s">
        <v>149</v>
      </c>
      <c r="F64" s="7" t="n">
        <v>11.2</v>
      </c>
    </row>
    <row r="65" customFormat="false" ht="15" hidden="false" customHeight="false" outlineLevel="0" collapsed="false">
      <c r="D65" s="0" t="s">
        <v>158</v>
      </c>
      <c r="E65" s="0" t="s">
        <v>149</v>
      </c>
      <c r="F65" s="7" t="n">
        <v>8.97</v>
      </c>
    </row>
    <row r="66" customFormat="false" ht="15" hidden="false" customHeight="false" outlineLevel="0" collapsed="false">
      <c r="D66" s="0" t="s">
        <v>159</v>
      </c>
      <c r="E66" s="0" t="s">
        <v>149</v>
      </c>
      <c r="F66" s="7" t="n">
        <v>38.4</v>
      </c>
    </row>
    <row r="67" customFormat="false" ht="15" hidden="false" customHeight="false" outlineLevel="0" collapsed="false">
      <c r="D67" s="0" t="s">
        <v>160</v>
      </c>
      <c r="E67" s="0" t="s">
        <v>149</v>
      </c>
      <c r="F67" s="7" t="n">
        <v>5.35</v>
      </c>
    </row>
    <row r="68" customFormat="false" ht="15" hidden="false" customHeight="false" outlineLevel="0" collapsed="false">
      <c r="D68" s="0" t="s">
        <v>161</v>
      </c>
      <c r="E68" s="0" t="s">
        <v>149</v>
      </c>
      <c r="F68" s="7" t="n">
        <v>14.2</v>
      </c>
    </row>
    <row r="69" customFormat="false" ht="15" hidden="false" customHeight="false" outlineLevel="0" collapsed="false">
      <c r="D69" s="0" t="s">
        <v>162</v>
      </c>
      <c r="E69" s="0" t="s">
        <v>149</v>
      </c>
      <c r="F69" s="7" t="n">
        <v>6.93</v>
      </c>
    </row>
    <row r="70" customFormat="false" ht="15" hidden="false" customHeight="false" outlineLevel="0" collapsed="false">
      <c r="D70" s="0" t="s">
        <v>163</v>
      </c>
      <c r="E70" s="0" t="s">
        <v>103</v>
      </c>
      <c r="F70" s="7" t="n">
        <v>18</v>
      </c>
    </row>
    <row r="71" customFormat="false" ht="15" hidden="false" customHeight="false" outlineLevel="0" collapsed="false">
      <c r="D71" s="0" t="s">
        <v>164</v>
      </c>
      <c r="E71" s="0" t="s">
        <v>103</v>
      </c>
      <c r="F71" s="7" t="n">
        <v>2.5</v>
      </c>
    </row>
    <row r="72" customFormat="false" ht="15" hidden="false" customHeight="false" outlineLevel="0" collapsed="false">
      <c r="D72" s="0" t="s">
        <v>165</v>
      </c>
      <c r="E72" s="0" t="s">
        <v>166</v>
      </c>
      <c r="F72" s="7" t="n">
        <v>7900</v>
      </c>
    </row>
    <row r="73" customFormat="false" ht="15" hidden="false" customHeight="false" outlineLevel="0" collapsed="false">
      <c r="D73" s="0" t="s">
        <v>167</v>
      </c>
      <c r="E73" s="0" t="s">
        <v>103</v>
      </c>
      <c r="F73" s="7" t="n">
        <v>13.5</v>
      </c>
    </row>
    <row r="74" customFormat="false" ht="15" hidden="false" customHeight="false" outlineLevel="0" collapsed="false">
      <c r="B74" s="2" t="s">
        <v>168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0.3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0.22</v>
      </c>
    </row>
    <row r="77" customFormat="false" ht="15" hidden="false" customHeight="false" outlineLevel="0" collapsed="false">
      <c r="D77" s="0" t="s">
        <v>171</v>
      </c>
      <c r="E77" s="0" t="s">
        <v>109</v>
      </c>
      <c r="F77" s="7" t="n">
        <v>0.1</v>
      </c>
    </row>
    <row r="78" customFormat="false" ht="15" hidden="false" customHeight="false" outlineLevel="0" collapsed="false">
      <c r="D78" s="0" t="s">
        <v>172</v>
      </c>
      <c r="E78" s="0" t="s">
        <v>109</v>
      </c>
      <c r="F78" s="7" t="n">
        <v>0.38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1.35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3.65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3.4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4.1</v>
      </c>
    </row>
    <row r="83" customFormat="false" ht="15" hidden="false" customHeight="false" outlineLevel="0" collapsed="false">
      <c r="D83" s="0" t="s">
        <v>177</v>
      </c>
      <c r="E83" s="0" t="s">
        <v>103</v>
      </c>
      <c r="F83" s="7" t="n">
        <v>4.6</v>
      </c>
    </row>
    <row r="84" customFormat="false" ht="15" hidden="false" customHeight="false" outlineLevel="0" collapsed="false">
      <c r="D84" s="0" t="s">
        <v>178</v>
      </c>
      <c r="E84" s="0" t="s">
        <v>103</v>
      </c>
      <c r="F84" s="7" t="n">
        <v>5.1</v>
      </c>
    </row>
    <row r="85" customFormat="false" ht="15" hidden="false" customHeight="false" outlineLevel="0" collapsed="false">
      <c r="D85" s="0" t="s">
        <v>179</v>
      </c>
      <c r="E85" s="0" t="s">
        <v>180</v>
      </c>
      <c r="F85" s="7" t="n">
        <v>0.45</v>
      </c>
    </row>
    <row r="86" customFormat="false" ht="15" hidden="false" customHeight="false" outlineLevel="0" collapsed="false">
      <c r="D86" s="0" t="s">
        <v>181</v>
      </c>
      <c r="E86" s="0" t="s">
        <v>180</v>
      </c>
      <c r="F86" s="7" t="n">
        <v>0.75</v>
      </c>
    </row>
    <row r="87" customFormat="false" ht="15" hidden="false" customHeight="false" outlineLevel="0" collapsed="false">
      <c r="D87" s="0" t="s">
        <v>182</v>
      </c>
      <c r="E87" s="0" t="s">
        <v>180</v>
      </c>
      <c r="F87" s="7" t="n">
        <v>0.85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40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1.1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1.25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1.5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2.15</v>
      </c>
    </row>
    <row r="93" customFormat="false" ht="15" hidden="false" customHeight="false" outlineLevel="0" collapsed="false">
      <c r="D93" s="0" t="s">
        <v>188</v>
      </c>
      <c r="E93" s="0" t="s">
        <v>103</v>
      </c>
      <c r="F93" s="7" t="n">
        <v>10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10.85</v>
      </c>
    </row>
    <row r="95" customFormat="false" ht="15" hidden="false" customHeight="false" outlineLevel="0" collapsed="false">
      <c r="D95" s="0" t="s">
        <v>190</v>
      </c>
      <c r="E95" s="0" t="s">
        <v>180</v>
      </c>
      <c r="F95" s="7" t="n">
        <v>1.15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90</v>
      </c>
    </row>
    <row r="97" customFormat="false" ht="15" hidden="false" customHeight="false" outlineLevel="0" collapsed="false">
      <c r="D97" s="0" t="s">
        <v>192</v>
      </c>
      <c r="E97" s="0" t="s">
        <v>103</v>
      </c>
      <c r="F97" s="7" t="n">
        <v>2.947</v>
      </c>
    </row>
    <row r="98" customFormat="false" ht="15" hidden="false" customHeight="false" outlineLevel="0" collapsed="false">
      <c r="D98" s="0" t="s">
        <v>193</v>
      </c>
      <c r="E98" s="0" t="s">
        <v>103</v>
      </c>
      <c r="F98" s="7" t="n">
        <v>0.42826</v>
      </c>
    </row>
    <row r="99" customFormat="false" ht="15" hidden="false" customHeight="false" outlineLevel="0" collapsed="false">
      <c r="D99" s="0" t="s">
        <v>194</v>
      </c>
      <c r="E99" s="0" t="s">
        <v>149</v>
      </c>
      <c r="F99" s="7" t="n">
        <v>46</v>
      </c>
    </row>
    <row r="100" customFormat="false" ht="15" hidden="false" customHeight="false" outlineLevel="0" collapsed="false">
      <c r="D100" s="0" t="s">
        <v>195</v>
      </c>
      <c r="E100" s="0" t="s">
        <v>180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103</v>
      </c>
      <c r="F101" s="7" t="n">
        <v>0.25</v>
      </c>
    </row>
    <row r="102" customFormat="false" ht="15" hidden="false" customHeight="false" outlineLevel="0" collapsed="false">
      <c r="D102" s="0" t="s">
        <v>197</v>
      </c>
      <c r="E102" s="0" t="s">
        <v>109</v>
      </c>
      <c r="F102" s="7" t="n">
        <v>0.6</v>
      </c>
    </row>
    <row r="103" customFormat="false" ht="15" hidden="false" customHeight="false" outlineLevel="0" collapsed="false">
      <c r="D103" s="0" t="s">
        <v>198</v>
      </c>
      <c r="E103" s="0" t="s">
        <v>149</v>
      </c>
      <c r="F103" s="7" t="n">
        <v>15.4</v>
      </c>
    </row>
    <row r="104" customFormat="false" ht="15" hidden="false" customHeight="false" outlineLevel="0" collapsed="false">
      <c r="D104" s="0" t="s">
        <v>199</v>
      </c>
      <c r="E104" s="0" t="s">
        <v>180</v>
      </c>
      <c r="F104" s="7" t="n">
        <v>9.5</v>
      </c>
    </row>
    <row r="105" customFormat="false" ht="15" hidden="false" customHeight="false" outlineLevel="0" collapsed="false">
      <c r="D105" s="0" t="s">
        <v>200</v>
      </c>
      <c r="E105" s="0" t="s">
        <v>109</v>
      </c>
      <c r="F105" s="7" t="n">
        <v>0.75</v>
      </c>
    </row>
    <row r="106" customFormat="false" ht="15" hidden="false" customHeight="false" outlineLevel="0" collapsed="false">
      <c r="D106" s="0" t="s">
        <v>201</v>
      </c>
      <c r="E106" s="0" t="s">
        <v>202</v>
      </c>
      <c r="F106" s="7" t="n">
        <v>1.35</v>
      </c>
    </row>
    <row r="107" customFormat="false" ht="15" hidden="false" customHeight="false" outlineLevel="0" collapsed="false">
      <c r="D107" s="0" t="s">
        <v>203</v>
      </c>
      <c r="E107" s="0" t="s">
        <v>204</v>
      </c>
      <c r="F107" s="7" t="n">
        <v>0.255</v>
      </c>
    </row>
    <row r="108" customFormat="false" ht="15" hidden="false" customHeight="false" outlineLevel="0" collapsed="false">
      <c r="D108" s="0" t="s">
        <v>205</v>
      </c>
      <c r="E108" s="0" t="s">
        <v>202</v>
      </c>
      <c r="F108" s="7" t="n">
        <v>1.2</v>
      </c>
    </row>
    <row r="109" customFormat="false" ht="15" hidden="false" customHeight="false" outlineLevel="0" collapsed="false">
      <c r="D109" s="0" t="s">
        <v>206</v>
      </c>
      <c r="E109" s="0" t="s">
        <v>202</v>
      </c>
      <c r="F109" s="7" t="n">
        <v>1.1</v>
      </c>
    </row>
    <row r="110" customFormat="false" ht="15" hidden="false" customHeight="false" outlineLevel="0" collapsed="false">
      <c r="D110" s="0" t="s">
        <v>207</v>
      </c>
      <c r="E110" s="0" t="s">
        <v>202</v>
      </c>
      <c r="F110" s="7" t="n">
        <v>1.25</v>
      </c>
    </row>
    <row r="111" customFormat="false" ht="15" hidden="false" customHeight="false" outlineLevel="0" collapsed="false">
      <c r="D111" s="0" t="s">
        <v>208</v>
      </c>
      <c r="E111" s="0" t="s">
        <v>109</v>
      </c>
      <c r="F111" s="7" t="n">
        <v>0.5</v>
      </c>
    </row>
    <row r="112" customFormat="false" ht="15" hidden="false" customHeight="false" outlineLevel="0" collapsed="false">
      <c r="B112" s="2" t="s">
        <v>209</v>
      </c>
    </row>
    <row r="113" customFormat="false" ht="15" hidden="false" customHeight="false" outlineLevel="0" collapsed="false">
      <c r="D113" s="0" t="s">
        <v>210</v>
      </c>
      <c r="E113" s="0" t="s">
        <v>149</v>
      </c>
      <c r="F113" s="7" t="n">
        <v>633.255975542774</v>
      </c>
    </row>
    <row r="114" customFormat="false" ht="15" hidden="false" customHeight="false" outlineLevel="0" collapsed="false">
      <c r="D114" s="0" t="s">
        <v>211</v>
      </c>
      <c r="E114" s="0" t="s">
        <v>149</v>
      </c>
      <c r="F114" s="7" t="n">
        <v>221.833767584051</v>
      </c>
    </row>
    <row r="115" customFormat="false" ht="15" hidden="false" customHeight="false" outlineLevel="0" collapsed="false">
      <c r="B115" s="2" t="s">
        <v>212</v>
      </c>
    </row>
    <row r="116" customFormat="false" ht="15" hidden="false" customHeight="false" outlineLevel="0" collapsed="false">
      <c r="D116" s="0" t="s">
        <v>213</v>
      </c>
      <c r="E116" s="0" t="s">
        <v>214</v>
      </c>
      <c r="F116" s="7" t="n">
        <v>588.4</v>
      </c>
    </row>
    <row r="117" customFormat="false" ht="15" hidden="false" customHeight="false" outlineLevel="0" collapsed="false">
      <c r="D117" s="0" t="s">
        <v>215</v>
      </c>
      <c r="E117" s="0" t="s">
        <v>214</v>
      </c>
      <c r="F117" s="7" t="n">
        <v>581.9</v>
      </c>
    </row>
    <row r="118" customFormat="false" ht="15" hidden="false" customHeight="false" outlineLevel="0" collapsed="false">
      <c r="D118" s="0" t="s">
        <v>216</v>
      </c>
      <c r="E118" s="0" t="s">
        <v>217</v>
      </c>
      <c r="F118" s="7" t="n">
        <v>6261</v>
      </c>
    </row>
    <row r="119" customFormat="false" ht="15" hidden="false" customHeight="false" outlineLevel="0" collapsed="false">
      <c r="D119" s="0" t="s">
        <v>218</v>
      </c>
      <c r="E119" s="0" t="s">
        <v>217</v>
      </c>
      <c r="F119" s="7" t="n">
        <v>6286</v>
      </c>
    </row>
    <row r="120" customFormat="false" ht="15" hidden="false" customHeight="false" outlineLevel="0" collapsed="false">
      <c r="D120" s="0" t="s">
        <v>219</v>
      </c>
      <c r="E120" s="0" t="s">
        <v>217</v>
      </c>
      <c r="F120" s="7" t="n">
        <v>6323</v>
      </c>
    </row>
    <row r="121" customFormat="false" ht="15" hidden="false" customHeight="false" outlineLevel="0" collapsed="false">
      <c r="D121" s="0" t="s">
        <v>220</v>
      </c>
      <c r="E121" s="0" t="s">
        <v>180</v>
      </c>
      <c r="F121" s="7" t="n">
        <v>0.1</v>
      </c>
    </row>
    <row r="122" customFormat="false" ht="15" hidden="false" customHeight="false" outlineLevel="0" collapsed="false">
      <c r="D122" s="0" t="s">
        <v>221</v>
      </c>
      <c r="E122" s="0" t="s">
        <v>103</v>
      </c>
      <c r="F122" s="7" t="n">
        <v>2.3</v>
      </c>
    </row>
    <row r="123" customFormat="false" ht="15" hidden="false" customHeight="false" outlineLevel="0" collapsed="false">
      <c r="D123" s="0" t="s">
        <v>222</v>
      </c>
      <c r="E123" s="0" t="s">
        <v>99</v>
      </c>
      <c r="F123" s="7" t="n">
        <v>1.108</v>
      </c>
    </row>
    <row r="124" customFormat="false" ht="15" hidden="false" customHeight="false" outlineLevel="0" collapsed="false">
      <c r="D124" s="0" t="s">
        <v>223</v>
      </c>
      <c r="E124" s="0" t="s">
        <v>224</v>
      </c>
      <c r="F124" s="7" t="n">
        <v>1055056</v>
      </c>
    </row>
    <row r="125" customFormat="false" ht="15" hidden="false" customHeight="false" outlineLevel="0" collapsed="false">
      <c r="D125" s="0" t="s">
        <v>225</v>
      </c>
      <c r="E125" s="0" t="s">
        <v>180</v>
      </c>
      <c r="F125" s="7" t="n">
        <v>0.15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1</v>
      </c>
    </row>
    <row r="127" customFormat="false" ht="15" hidden="false" customHeight="false" outlineLevel="0" collapsed="false">
      <c r="D127" s="0" t="s">
        <v>227</v>
      </c>
      <c r="E127" s="0" t="s">
        <v>180</v>
      </c>
      <c r="F127" s="7" t="n">
        <v>0.12</v>
      </c>
    </row>
    <row r="128" customFormat="false" ht="15" hidden="false" customHeight="false" outlineLevel="0" collapsed="false">
      <c r="D128" s="0" t="s">
        <v>228</v>
      </c>
      <c r="E128" s="0" t="s">
        <v>103</v>
      </c>
      <c r="F128" s="7" t="n">
        <v>0.8</v>
      </c>
    </row>
    <row r="129" customFormat="false" ht="15" hidden="false" customHeight="false" outlineLevel="0" collapsed="false">
      <c r="D129" s="0" t="s">
        <v>229</v>
      </c>
      <c r="E129" s="0" t="s">
        <v>230</v>
      </c>
      <c r="F129" s="7" t="n">
        <v>8059</v>
      </c>
    </row>
    <row r="130" customFormat="false" ht="15" hidden="false" customHeight="false" outlineLevel="0" collapsed="false">
      <c r="D130" s="0" t="s">
        <v>231</v>
      </c>
      <c r="E130" s="0" t="s">
        <v>232</v>
      </c>
      <c r="F130" s="7" t="n">
        <v>38</v>
      </c>
    </row>
    <row r="131" customFormat="false" ht="15" hidden="false" customHeight="false" outlineLevel="0" collapsed="false">
      <c r="D131" s="0" t="s">
        <v>233</v>
      </c>
      <c r="E131" s="0" t="s">
        <v>103</v>
      </c>
      <c r="F131" s="7" t="n">
        <v>76.5</v>
      </c>
    </row>
    <row r="132" customFormat="false" ht="15" hidden="false" customHeight="false" outlineLevel="0" collapsed="false">
      <c r="D132" s="0" t="s">
        <v>234</v>
      </c>
      <c r="E132" s="0" t="s">
        <v>230</v>
      </c>
      <c r="F132" s="7" t="n">
        <v>10</v>
      </c>
    </row>
    <row r="133" customFormat="false" ht="15" hidden="false" customHeight="false" outlineLevel="0" collapsed="false">
      <c r="D133" s="0" t="s">
        <v>235</v>
      </c>
      <c r="E133" s="0" t="s">
        <v>103</v>
      </c>
      <c r="F133" s="7" t="n">
        <v>90</v>
      </c>
    </row>
    <row r="134" customFormat="false" ht="15" hidden="false" customHeight="false" outlineLevel="0" collapsed="false">
      <c r="D134" s="0" t="s">
        <v>236</v>
      </c>
      <c r="E134" s="0" t="s">
        <v>237</v>
      </c>
      <c r="F134" s="7" t="n">
        <v>14.36</v>
      </c>
    </row>
    <row r="135" customFormat="false" ht="15" hidden="false" customHeight="false" outlineLevel="0" collapsed="false">
      <c r="D135" s="0" t="s">
        <v>238</v>
      </c>
      <c r="E135" s="0" t="s">
        <v>109</v>
      </c>
      <c r="F135" s="7" t="n">
        <v>0.2</v>
      </c>
    </row>
    <row r="136" customFormat="false" ht="15" hidden="false" customHeight="false" outlineLevel="0" collapsed="false">
      <c r="D136" s="0" t="s">
        <v>239</v>
      </c>
      <c r="E136" s="0" t="s">
        <v>237</v>
      </c>
      <c r="F136" s="7" t="n">
        <v>2.31</v>
      </c>
    </row>
    <row r="137" customFormat="false" ht="15" hidden="false" customHeight="false" outlineLevel="0" collapsed="false">
      <c r="D137" s="0" t="s">
        <v>240</v>
      </c>
      <c r="E137" s="0" t="s">
        <v>109</v>
      </c>
      <c r="F137" s="7" t="n">
        <v>0.62</v>
      </c>
    </row>
    <row r="138" customFormat="false" ht="15" hidden="false" customHeight="false" outlineLevel="0" collapsed="false">
      <c r="D138" s="0" t="s">
        <v>241</v>
      </c>
      <c r="E138" s="0" t="s">
        <v>153</v>
      </c>
      <c r="F138" s="7" t="n">
        <v>462.35</v>
      </c>
    </row>
    <row r="139" customFormat="false" ht="15" hidden="false" customHeight="false" outlineLevel="0" collapsed="false">
      <c r="D139" s="0" t="s">
        <v>242</v>
      </c>
      <c r="E139" s="0" t="s">
        <v>243</v>
      </c>
      <c r="F139" s="7" t="n">
        <v>3.86</v>
      </c>
    </row>
    <row r="140" customFormat="false" ht="15" hidden="false" customHeight="false" outlineLevel="0" collapsed="false">
      <c r="D140" s="0" t="s">
        <v>244</v>
      </c>
      <c r="E140" s="0" t="s">
        <v>109</v>
      </c>
      <c r="F140" s="7" t="n">
        <v>0.7</v>
      </c>
    </row>
    <row r="141" customFormat="false" ht="15" hidden="false" customHeight="false" outlineLevel="0" collapsed="false">
      <c r="B141" s="2" t="s">
        <v>245</v>
      </c>
    </row>
    <row r="142" customFormat="false" ht="15" hidden="false" customHeight="false" outlineLevel="0" collapsed="false">
      <c r="D142" s="0" t="s">
        <v>246</v>
      </c>
      <c r="E142" s="0" t="s">
        <v>247</v>
      </c>
      <c r="F142" s="7" t="n">
        <v>5.86</v>
      </c>
    </row>
    <row r="143" customFormat="false" ht="15" hidden="false" customHeight="false" outlineLevel="0" collapsed="false">
      <c r="D143" s="0" t="s">
        <v>248</v>
      </c>
      <c r="E143" s="0" t="s">
        <v>180</v>
      </c>
      <c r="F143" s="7" t="n">
        <v>2</v>
      </c>
    </row>
    <row r="144" customFormat="false" ht="15" hidden="false" customHeight="false" outlineLevel="0" collapsed="false">
      <c r="D144" s="0" t="s">
        <v>249</v>
      </c>
      <c r="E144" s="0" t="s">
        <v>250</v>
      </c>
      <c r="F144" s="7" t="n">
        <v>72400</v>
      </c>
    </row>
    <row r="145" customFormat="false" ht="15" hidden="false" customHeight="false" outlineLevel="0" collapsed="false">
      <c r="D145" s="0" t="s">
        <v>251</v>
      </c>
      <c r="E145" s="0" t="s">
        <v>109</v>
      </c>
      <c r="F145" s="7" t="n">
        <v>0.8</v>
      </c>
    </row>
    <row r="146" customFormat="false" ht="15" hidden="false" customHeight="false" outlineLevel="0" collapsed="false">
      <c r="D146" s="0" t="s">
        <v>252</v>
      </c>
      <c r="E146" s="0" t="s">
        <v>250</v>
      </c>
      <c r="F146" s="7" t="n">
        <v>96500</v>
      </c>
    </row>
    <row r="147" customFormat="false" ht="15" hidden="false" customHeight="false" outlineLevel="0" collapsed="false">
      <c r="D147" s="0" t="s">
        <v>253</v>
      </c>
      <c r="E147" s="0" t="s">
        <v>247</v>
      </c>
      <c r="F147" s="7" t="n">
        <v>0.62</v>
      </c>
    </row>
    <row r="148" customFormat="false" ht="15" hidden="false" customHeight="false" outlineLevel="0" collapsed="false">
      <c r="D148" s="0" t="s">
        <v>254</v>
      </c>
      <c r="E148" s="0" t="s">
        <v>247</v>
      </c>
      <c r="F148" s="7" t="n">
        <v>0.19</v>
      </c>
    </row>
    <row r="149" customFormat="false" ht="15" hidden="false" customHeight="false" outlineLevel="0" collapsed="false">
      <c r="D149" s="0" t="s">
        <v>255</v>
      </c>
      <c r="E149" s="0" t="s">
        <v>180</v>
      </c>
      <c r="F149" s="7" t="n">
        <v>1.5</v>
      </c>
    </row>
    <row r="150" customFormat="false" ht="15" hidden="false" customHeight="false" outlineLevel="0" collapsed="false">
      <c r="B150" s="2" t="s">
        <v>256</v>
      </c>
    </row>
    <row r="151" customFormat="false" ht="15" hidden="false" customHeight="false" outlineLevel="0" collapsed="false">
      <c r="D151" s="0" t="s">
        <v>257</v>
      </c>
      <c r="E151" s="0" t="s">
        <v>204</v>
      </c>
      <c r="F151" s="7" t="n">
        <v>7.92</v>
      </c>
    </row>
    <row r="152" customFormat="false" ht="15" hidden="false" customHeight="false" outlineLevel="0" collapsed="false">
      <c r="D152" s="0" t="s">
        <v>258</v>
      </c>
      <c r="E152" s="0" t="s">
        <v>109</v>
      </c>
      <c r="F152" s="7" t="n">
        <v>0.65</v>
      </c>
    </row>
    <row r="153" customFormat="false" ht="15" hidden="false" customHeight="false" outlineLevel="0" collapsed="false">
      <c r="D153" s="0" t="s">
        <v>259</v>
      </c>
      <c r="E153" s="0" t="s">
        <v>153</v>
      </c>
      <c r="F153" s="7" t="n">
        <v>516.8</v>
      </c>
    </row>
    <row r="154" customFormat="false" ht="15" hidden="false" customHeight="false" outlineLevel="0" collapsed="false">
      <c r="D154" s="0" t="s">
        <v>260</v>
      </c>
      <c r="E154" s="0" t="s">
        <v>204</v>
      </c>
      <c r="F154" s="7" t="n">
        <v>0.6</v>
      </c>
    </row>
    <row r="155" customFormat="false" ht="15" hidden="false" customHeight="false" outlineLevel="0" collapsed="false">
      <c r="D155" s="0" t="s">
        <v>261</v>
      </c>
      <c r="E155" s="0" t="s">
        <v>204</v>
      </c>
      <c r="F155" s="7" t="n">
        <v>2.64</v>
      </c>
    </row>
    <row r="156" customFormat="false" ht="15" hidden="false" customHeight="false" outlineLevel="0" collapsed="false">
      <c r="D156" s="0" t="s">
        <v>262</v>
      </c>
      <c r="E156" s="0" t="s">
        <v>263</v>
      </c>
      <c r="F156" s="7" t="n">
        <v>486</v>
      </c>
    </row>
    <row r="157" customFormat="false" ht="15" hidden="false" customHeight="false" outlineLevel="0" collapsed="false">
      <c r="D157" s="0" t="s">
        <v>264</v>
      </c>
      <c r="E157" s="0" t="s">
        <v>204</v>
      </c>
      <c r="F157" s="7" t="n">
        <v>4.37</v>
      </c>
    </row>
    <row r="158" customFormat="false" ht="15" hidden="false" customHeight="false" outlineLevel="0" collapsed="false">
      <c r="D158" s="0" t="s">
        <v>265</v>
      </c>
      <c r="E158" s="0" t="s">
        <v>109</v>
      </c>
      <c r="F158" s="7" t="n">
        <v>0.18</v>
      </c>
    </row>
    <row r="159" customFormat="false" ht="15" hidden="false" customHeight="false" outlineLevel="0" collapsed="false">
      <c r="D159" s="0" t="s">
        <v>266</v>
      </c>
      <c r="E159" s="0" t="s">
        <v>204</v>
      </c>
      <c r="F159" s="7" t="n">
        <v>3.18</v>
      </c>
    </row>
    <row r="160" customFormat="false" ht="15" hidden="false" customHeight="false" outlineLevel="0" collapsed="false">
      <c r="D160" s="0" t="s">
        <v>267</v>
      </c>
      <c r="E160" s="0" t="s">
        <v>268</v>
      </c>
      <c r="F160" s="7" t="n">
        <v>368</v>
      </c>
    </row>
    <row r="161" customFormat="false" ht="15" hidden="false" customHeight="false" outlineLevel="0" collapsed="false">
      <c r="D161" s="0" t="s">
        <v>269</v>
      </c>
      <c r="E161" s="0" t="s">
        <v>270</v>
      </c>
      <c r="F161" s="7" t="n">
        <v>0.55</v>
      </c>
    </row>
    <row r="162" customFormat="false" ht="15" hidden="false" customHeight="false" outlineLevel="0" collapsed="false">
      <c r="D162" s="0" t="s">
        <v>271</v>
      </c>
      <c r="E162" s="0" t="s">
        <v>243</v>
      </c>
      <c r="F162" s="7" t="n">
        <v>1.08</v>
      </c>
    </row>
    <row r="163" customFormat="false" ht="15" hidden="false" customHeight="false" outlineLevel="0" collapsed="false">
      <c r="D163" s="0" t="s">
        <v>272</v>
      </c>
      <c r="E163" s="0" t="s">
        <v>204</v>
      </c>
      <c r="F163" s="7" t="n">
        <v>0.31125</v>
      </c>
    </row>
    <row r="164" customFormat="false" ht="15" hidden="false" customHeight="false" outlineLevel="0" collapsed="false">
      <c r="D164" s="0" t="s">
        <v>273</v>
      </c>
      <c r="E164" s="0" t="s">
        <v>149</v>
      </c>
      <c r="F164" s="7" t="n">
        <v>9.47</v>
      </c>
    </row>
    <row r="165" customFormat="false" ht="15" hidden="false" customHeight="false" outlineLevel="0" collapsed="false">
      <c r="D165" s="0" t="s">
        <v>274</v>
      </c>
      <c r="E165" s="0" t="s">
        <v>149</v>
      </c>
      <c r="F165" s="7" t="n">
        <v>2.18</v>
      </c>
    </row>
    <row r="166" customFormat="false" ht="15" hidden="false" customHeight="false" outlineLevel="0" collapsed="false">
      <c r="D166" s="0" t="s">
        <v>275</v>
      </c>
      <c r="E166" s="0" t="s">
        <v>204</v>
      </c>
      <c r="F166" s="7" t="n">
        <v>1.85</v>
      </c>
    </row>
    <row r="167" customFormat="false" ht="15" hidden="false" customHeight="false" outlineLevel="0" collapsed="false">
      <c r="B167" s="2" t="s">
        <v>276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45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45</v>
      </c>
    </row>
    <row r="170" customFormat="false" ht="15" hidden="false" customHeight="false" outlineLevel="0" collapsed="false">
      <c r="D170" s="0" t="s">
        <v>279</v>
      </c>
      <c r="E170" s="0" t="s">
        <v>111</v>
      </c>
      <c r="F170" s="7" t="n">
        <v>30</v>
      </c>
    </row>
    <row r="171" customFormat="false" ht="15" hidden="false" customHeight="false" outlineLevel="0" collapsed="false">
      <c r="D171" s="0" t="s">
        <v>280</v>
      </c>
      <c r="E171" s="0" t="s">
        <v>111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111</v>
      </c>
      <c r="F172" s="7" t="n">
        <v>30</v>
      </c>
    </row>
    <row r="173" customFormat="false" ht="15" hidden="false" customHeight="false" outlineLevel="0" collapsed="false">
      <c r="B173" s="2" t="s">
        <v>282</v>
      </c>
    </row>
    <row r="174" customFormat="false" ht="15" hidden="false" customHeight="false" outlineLevel="0" collapsed="false">
      <c r="D174" s="0" t="s">
        <v>283</v>
      </c>
      <c r="E174" s="0" t="s">
        <v>103</v>
      </c>
      <c r="F174" s="7" t="n">
        <v>30</v>
      </c>
    </row>
    <row r="175" customFormat="false" ht="15" hidden="false" customHeight="false" outlineLevel="0" collapsed="false">
      <c r="D175" s="0" t="s">
        <v>284</v>
      </c>
      <c r="E175" s="0" t="s">
        <v>103</v>
      </c>
      <c r="F175" s="7" t="n">
        <v>15</v>
      </c>
    </row>
    <row r="176" customFormat="false" ht="15" hidden="false" customHeight="false" outlineLevel="0" collapsed="false">
      <c r="D176" s="0" t="s">
        <v>285</v>
      </c>
      <c r="E176" s="0" t="s">
        <v>103</v>
      </c>
      <c r="F176" s="7" t="n">
        <v>0.5</v>
      </c>
    </row>
    <row r="177" customFormat="false" ht="15" hidden="false" customHeight="false" outlineLevel="0" collapsed="false">
      <c r="D177" s="0" t="s">
        <v>286</v>
      </c>
      <c r="E177" s="0" t="s">
        <v>109</v>
      </c>
      <c r="F177" s="7" t="n">
        <v>0.92</v>
      </c>
    </row>
    <row r="178" customFormat="false" ht="15" hidden="false" customHeight="false" outlineLevel="0" collapsed="false">
      <c r="D178" s="0" t="s">
        <v>287</v>
      </c>
      <c r="E178" s="0" t="s">
        <v>97</v>
      </c>
      <c r="F178" s="7" t="n">
        <v>240</v>
      </c>
    </row>
    <row r="179" customFormat="false" ht="15" hidden="false" customHeight="false" outlineLevel="0" collapsed="false">
      <c r="D179" s="0" t="s">
        <v>288</v>
      </c>
      <c r="E179" s="0" t="s">
        <v>109</v>
      </c>
      <c r="F179" s="7" t="n">
        <v>0.05</v>
      </c>
    </row>
    <row r="180" customFormat="false" ht="15" hidden="false" customHeight="false" outlineLevel="0" collapsed="false">
      <c r="D180" s="0" t="s">
        <v>289</v>
      </c>
      <c r="E180" s="0" t="s">
        <v>97</v>
      </c>
      <c r="F180" s="7" t="n">
        <v>300</v>
      </c>
    </row>
    <row r="181" customFormat="false" ht="15" hidden="false" customHeight="false" outlineLevel="0" collapsed="false">
      <c r="D181" s="0" t="s">
        <v>290</v>
      </c>
      <c r="E181" s="0" t="s">
        <v>109</v>
      </c>
      <c r="F181" s="7" t="n">
        <v>0.03</v>
      </c>
    </row>
    <row r="182" customFormat="false" ht="15" hidden="false" customHeight="false" outlineLevel="0" collapsed="false">
      <c r="D182" s="0" t="s">
        <v>291</v>
      </c>
      <c r="E182" s="0" t="s">
        <v>97</v>
      </c>
      <c r="F182" s="7" t="n">
        <v>60</v>
      </c>
    </row>
    <row r="183" customFormat="false" ht="15" hidden="false" customHeight="false" outlineLevel="0" collapsed="false">
      <c r="D183" s="0" t="s">
        <v>292</v>
      </c>
      <c r="E183" s="0" t="s">
        <v>202</v>
      </c>
      <c r="F183" s="7" t="n">
        <v>3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30</v>
      </c>
    </row>
    <row r="185" customFormat="false" ht="15" hidden="false" customHeight="false" outlineLevel="0" collapsed="false">
      <c r="B185" s="2" t="s">
        <v>294</v>
      </c>
    </row>
    <row r="186" customFormat="false" ht="15" hidden="false" customHeight="false" outlineLevel="0" collapsed="false">
      <c r="D186" s="0" t="s">
        <v>295</v>
      </c>
      <c r="E186" s="0" t="s">
        <v>296</v>
      </c>
      <c r="F186" s="8" t="n">
        <v>43136</v>
      </c>
    </row>
    <row r="187" customFormat="false" ht="15" hidden="false" customHeight="false" outlineLevel="0" collapsed="false">
      <c r="D187" s="0" t="s">
        <v>297</v>
      </c>
      <c r="E187" s="0" t="s">
        <v>296</v>
      </c>
      <c r="F187" s="8" t="n">
        <v>43298</v>
      </c>
    </row>
    <row r="188" customFormat="false" ht="15" hidden="false" customHeight="false" outlineLevel="0" collapsed="false">
      <c r="D188" s="0" t="s">
        <v>298</v>
      </c>
      <c r="E188" s="0" t="s">
        <v>296</v>
      </c>
      <c r="F188" s="8" t="n">
        <v>43313</v>
      </c>
    </row>
    <row r="189" customFormat="false" ht="15" hidden="false" customHeight="false" outlineLevel="0" collapsed="false">
      <c r="D189" s="0" t="s">
        <v>299</v>
      </c>
      <c r="E189" s="0" t="s">
        <v>296</v>
      </c>
      <c r="F189" s="8" t="n">
        <v>43282</v>
      </c>
    </row>
    <row r="190" customFormat="false" ht="15" hidden="false" customHeight="false" outlineLevel="0" collapsed="false">
      <c r="D190" s="0" t="s">
        <v>300</v>
      </c>
      <c r="E190" s="0" t="s">
        <v>296</v>
      </c>
      <c r="F190" s="8" t="n">
        <v>44317</v>
      </c>
    </row>
    <row r="191" customFormat="false" ht="15" hidden="false" customHeight="false" outlineLevel="0" collapsed="false">
      <c r="D191" s="0" t="s">
        <v>301</v>
      </c>
      <c r="E191" s="0" t="s">
        <v>296</v>
      </c>
      <c r="F191" s="8" t="n">
        <v>44531</v>
      </c>
    </row>
    <row r="192" customFormat="false" ht="15" hidden="false" customHeight="false" outlineLevel="0" collapsed="false">
      <c r="D192" s="0" t="s">
        <v>302</v>
      </c>
      <c r="E192" s="0" t="s">
        <v>296</v>
      </c>
      <c r="F192" s="8" t="n">
        <v>49125</v>
      </c>
    </row>
    <row r="193" customFormat="false" ht="15" hidden="false" customHeight="false" outlineLevel="0" collapsed="false">
      <c r="D193" s="0" t="s">
        <v>303</v>
      </c>
      <c r="E193" s="0" t="s">
        <v>296</v>
      </c>
      <c r="F193" s="8" t="n">
        <v>44562</v>
      </c>
    </row>
    <row r="194" customFormat="false" ht="15" hidden="false" customHeight="false" outlineLevel="0" collapsed="false">
      <c r="D194" s="0" t="s">
        <v>304</v>
      </c>
      <c r="E194" s="0" t="s">
        <v>296</v>
      </c>
      <c r="F194" s="8" t="n">
        <v>44562</v>
      </c>
    </row>
    <row r="195" customFormat="false" ht="15" hidden="false" customHeight="false" outlineLevel="0" collapsed="false">
      <c r="D195" s="0" t="s">
        <v>305</v>
      </c>
      <c r="E195" s="0" t="s">
        <v>296</v>
      </c>
      <c r="F195" s="8" t="n">
        <v>44743</v>
      </c>
    </row>
    <row r="196" customFormat="false" ht="15" hidden="false" customHeight="false" outlineLevel="0" collapsed="false">
      <c r="D196" s="0" t="s">
        <v>306</v>
      </c>
      <c r="E196" s="0" t="s">
        <v>296</v>
      </c>
      <c r="F196" s="8" t="n">
        <v>44927</v>
      </c>
    </row>
    <row r="197" customFormat="false" ht="15" hidden="false" customHeight="false" outlineLevel="0" collapsed="false">
      <c r="D197" s="0" t="s">
        <v>307</v>
      </c>
      <c r="E197" s="0" t="s">
        <v>296</v>
      </c>
      <c r="F197" s="8" t="n">
        <v>45372</v>
      </c>
    </row>
    <row r="198" customFormat="false" ht="15" hidden="false" customHeight="false" outlineLevel="0" collapsed="false">
      <c r="D198" s="0" t="s">
        <v>308</v>
      </c>
      <c r="E198" s="0" t="s">
        <v>296</v>
      </c>
      <c r="F198" s="8" t="n">
        <v>44742</v>
      </c>
    </row>
    <row r="199" customFormat="false" ht="15" hidden="false" customHeight="false" outlineLevel="0" collapsed="false">
      <c r="D199" s="0" t="s">
        <v>309</v>
      </c>
      <c r="E199" s="0" t="s">
        <v>296</v>
      </c>
      <c r="F199" s="8" t="n">
        <v>45107</v>
      </c>
    </row>
    <row r="200" customFormat="false" ht="15" hidden="false" customHeight="false" outlineLevel="0" collapsed="false">
      <c r="D200" s="0" t="s">
        <v>310</v>
      </c>
      <c r="E200" s="0" t="s">
        <v>296</v>
      </c>
      <c r="F200" s="8" t="n">
        <v>45291</v>
      </c>
    </row>
    <row r="201" customFormat="false" ht="15" hidden="false" customHeight="false" outlineLevel="0" collapsed="false">
      <c r="D201" s="0" t="s">
        <v>311</v>
      </c>
      <c r="E201" s="0" t="s">
        <v>296</v>
      </c>
      <c r="F201" s="8" t="n">
        <v>45108</v>
      </c>
    </row>
    <row r="202" customFormat="false" ht="15" hidden="false" customHeight="false" outlineLevel="0" collapsed="false">
      <c r="D202" s="0" t="s">
        <v>312</v>
      </c>
      <c r="E202" s="0" t="s">
        <v>296</v>
      </c>
      <c r="F202" s="8" t="n">
        <v>45657</v>
      </c>
    </row>
    <row r="203" customFormat="false" ht="15" hidden="false" customHeight="false" outlineLevel="0" collapsed="false">
      <c r="D203" s="0" t="s">
        <v>313</v>
      </c>
      <c r="E203" s="0" t="s">
        <v>296</v>
      </c>
      <c r="F203" s="8" t="n">
        <v>45473</v>
      </c>
    </row>
    <row r="204" customFormat="false" ht="15" hidden="false" customHeight="false" outlineLevel="0" collapsed="false">
      <c r="D204" s="0" t="s">
        <v>314</v>
      </c>
      <c r="E204" s="0" t="s">
        <v>296</v>
      </c>
      <c r="F204" s="8" t="n">
        <v>46022</v>
      </c>
    </row>
    <row r="205" customFormat="false" ht="15" hidden="false" customHeight="false" outlineLevel="0" collapsed="false">
      <c r="D205" s="0" t="s">
        <v>315</v>
      </c>
      <c r="E205" s="0" t="s">
        <v>296</v>
      </c>
      <c r="F205" s="8" t="n">
        <v>45838</v>
      </c>
    </row>
    <row r="206" customFormat="false" ht="15" hidden="false" customHeight="false" outlineLevel="0" collapsed="false">
      <c r="D206" s="0" t="s">
        <v>316</v>
      </c>
      <c r="E206" s="0" t="s">
        <v>296</v>
      </c>
      <c r="F206" s="8" t="n">
        <v>46388</v>
      </c>
    </row>
    <row r="207" customFormat="false" ht="15" hidden="false" customHeight="false" outlineLevel="0" collapsed="false">
      <c r="D207" s="0" t="s">
        <v>317</v>
      </c>
      <c r="E207" s="0" t="s">
        <v>296</v>
      </c>
      <c r="F207" s="8" t="n">
        <v>46023</v>
      </c>
    </row>
    <row r="208" customFormat="false" ht="15" hidden="false" customHeight="false" outlineLevel="0" collapsed="false">
      <c r="D208" s="0" t="s">
        <v>318</v>
      </c>
      <c r="E208" s="0" t="s">
        <v>296</v>
      </c>
      <c r="F208" s="8" t="n">
        <v>47484</v>
      </c>
    </row>
    <row r="209" customFormat="false" ht="15" hidden="false" customHeight="false" outlineLevel="0" collapsed="false">
      <c r="B209" s="2" t="s">
        <v>319</v>
      </c>
    </row>
    <row r="210" customFormat="false" ht="15" hidden="false" customHeight="false" outlineLevel="0" collapsed="false">
      <c r="D210" s="0" t="s">
        <v>320</v>
      </c>
      <c r="E210" s="0" t="s">
        <v>321</v>
      </c>
      <c r="F210" s="7" t="n">
        <v>25</v>
      </c>
    </row>
    <row r="211" customFormat="false" ht="15" hidden="false" customHeight="false" outlineLevel="0" collapsed="false">
      <c r="D211" s="0" t="s">
        <v>322</v>
      </c>
      <c r="E211" s="0" t="s">
        <v>97</v>
      </c>
      <c r="F211" s="7" t="n">
        <v>12</v>
      </c>
    </row>
    <row r="212" customFormat="false" ht="15" hidden="false" customHeight="false" outlineLevel="0" collapsed="false">
      <c r="D212" s="0" t="s">
        <v>323</v>
      </c>
      <c r="E212" s="0" t="s">
        <v>324</v>
      </c>
      <c r="F212" s="7" t="n">
        <v>0.5</v>
      </c>
    </row>
    <row r="213" customFormat="false" ht="15" hidden="false" customHeight="false" outlineLevel="0" collapsed="false">
      <c r="D213" s="0" t="s">
        <v>325</v>
      </c>
      <c r="E213" s="0" t="s">
        <v>103</v>
      </c>
      <c r="F213" s="7" t="n">
        <v>7.5</v>
      </c>
    </row>
    <row r="214" customFormat="false" ht="15" hidden="false" customHeight="false" outlineLevel="0" collapsed="false">
      <c r="D214" s="0" t="s">
        <v>326</v>
      </c>
      <c r="E214" s="0" t="s">
        <v>103</v>
      </c>
      <c r="F214" s="7" t="n">
        <v>2.2</v>
      </c>
    </row>
    <row r="215" customFormat="false" ht="15" hidden="false" customHeight="false" outlineLevel="0" collapsed="false">
      <c r="D215" s="0" t="s">
        <v>327</v>
      </c>
      <c r="E215" s="0" t="s">
        <v>230</v>
      </c>
      <c r="F215" s="7" t="n">
        <v>730</v>
      </c>
    </row>
    <row r="216" customFormat="false" ht="15" hidden="false" customHeight="false" outlineLevel="0" collapsed="false">
      <c r="D216" s="0" t="s">
        <v>328</v>
      </c>
      <c r="E216" s="0" t="s">
        <v>103</v>
      </c>
      <c r="F216" s="7" t="n">
        <v>92</v>
      </c>
    </row>
    <row r="217" customFormat="false" ht="15" hidden="false" customHeight="false" outlineLevel="0" collapsed="false">
      <c r="D217" s="0" t="s">
        <v>329</v>
      </c>
      <c r="E217" s="0" t="s">
        <v>101</v>
      </c>
      <c r="F217" s="7" t="n">
        <v>3</v>
      </c>
    </row>
    <row r="218" customFormat="false" ht="15" hidden="false" customHeight="false" outlineLevel="0" collapsed="false">
      <c r="D218" s="0" t="s">
        <v>330</v>
      </c>
      <c r="E218" s="0" t="s">
        <v>109</v>
      </c>
      <c r="F218" s="7" t="n">
        <v>0.5</v>
      </c>
    </row>
    <row r="219" customFormat="false" ht="15" hidden="false" customHeight="false" outlineLevel="0" collapsed="false">
      <c r="D219" s="0" t="s">
        <v>331</v>
      </c>
      <c r="E219" s="0" t="s">
        <v>109</v>
      </c>
      <c r="F219" s="7" t="n">
        <v>0.7</v>
      </c>
    </row>
    <row r="220" customFormat="false" ht="15" hidden="false" customHeight="false" outlineLevel="0" collapsed="false">
      <c r="D220" s="0" t="s">
        <v>332</v>
      </c>
      <c r="E220" s="0" t="s">
        <v>321</v>
      </c>
      <c r="F220" s="7" t="n">
        <v>8</v>
      </c>
    </row>
    <row r="221" customFormat="false" ht="15" hidden="false" customHeight="false" outlineLevel="0" collapsed="false">
      <c r="D221" s="0" t="s">
        <v>333</v>
      </c>
      <c r="E221" s="0" t="s">
        <v>334</v>
      </c>
      <c r="F221" s="7" t="n">
        <v>7</v>
      </c>
    </row>
    <row r="222" customFormat="false" ht="15" hidden="false" customHeight="false" outlineLevel="0" collapsed="false">
      <c r="D222" s="0" t="s">
        <v>335</v>
      </c>
      <c r="E222" s="0" t="s">
        <v>336</v>
      </c>
      <c r="F222" s="7" t="n">
        <v>24</v>
      </c>
    </row>
    <row r="223" customFormat="false" ht="15" hidden="false" customHeight="false" outlineLevel="0" collapsed="false">
      <c r="D223" s="0" t="s">
        <v>337</v>
      </c>
      <c r="E223" s="0" t="s">
        <v>321</v>
      </c>
      <c r="F223" s="7" t="n">
        <v>8</v>
      </c>
    </row>
    <row r="224" customFormat="false" ht="15" hidden="false" customHeight="false" outlineLevel="0" collapsed="false">
      <c r="D224" s="0" t="s">
        <v>338</v>
      </c>
      <c r="E224" s="0" t="s">
        <v>321</v>
      </c>
      <c r="F224" s="7" t="n">
        <v>4</v>
      </c>
    </row>
    <row r="225" customFormat="false" ht="15" hidden="false" customHeight="false" outlineLevel="0" collapsed="false">
      <c r="D225" s="0" t="s">
        <v>339</v>
      </c>
      <c r="E225" s="0" t="s">
        <v>324</v>
      </c>
      <c r="F225" s="7" t="n">
        <v>6</v>
      </c>
    </row>
    <row r="226" customFormat="false" ht="15" hidden="false" customHeight="false" outlineLevel="0" collapsed="false">
      <c r="D226" s="0" t="s">
        <v>340</v>
      </c>
      <c r="E226" s="0" t="s">
        <v>97</v>
      </c>
      <c r="F226" s="7" t="n">
        <v>6</v>
      </c>
    </row>
    <row r="227" customFormat="false" ht="15" hidden="false" customHeight="false" outlineLevel="0" collapsed="false">
      <c r="D227" s="0" t="s">
        <v>341</v>
      </c>
      <c r="E227" s="0" t="s">
        <v>336</v>
      </c>
      <c r="F227" s="7" t="n">
        <v>20</v>
      </c>
    </row>
    <row r="228" customFormat="false" ht="15" hidden="false" customHeight="false" outlineLevel="0" collapsed="false">
      <c r="D228" s="0" t="s">
        <v>342</v>
      </c>
      <c r="E228" s="0" t="s">
        <v>321</v>
      </c>
      <c r="F228" s="7" t="n">
        <v>5</v>
      </c>
    </row>
    <row r="229" customFormat="false" ht="15" hidden="false" customHeight="false" outlineLevel="0" collapsed="false">
      <c r="D229" s="0" t="s">
        <v>343</v>
      </c>
      <c r="E229" s="0" t="s">
        <v>336</v>
      </c>
      <c r="F229" s="7" t="n">
        <v>8</v>
      </c>
    </row>
    <row r="230" customFormat="false" ht="15" hidden="false" customHeight="false" outlineLevel="0" collapsed="false">
      <c r="D230" s="0" t="s">
        <v>344</v>
      </c>
      <c r="E230" s="0" t="s">
        <v>345</v>
      </c>
      <c r="F230" s="7" t="n">
        <v>2016</v>
      </c>
    </row>
    <row r="231" customFormat="false" ht="15" hidden="false" customHeight="false" outlineLevel="0" collapsed="false">
      <c r="D231" s="0" t="s">
        <v>346</v>
      </c>
      <c r="E231" s="0" t="s">
        <v>334</v>
      </c>
      <c r="F231" s="7" t="n">
        <v>11</v>
      </c>
    </row>
    <row r="232" customFormat="false" ht="15" hidden="false" customHeight="false" outlineLevel="0" collapsed="false">
      <c r="D232" s="0" t="s">
        <v>347</v>
      </c>
      <c r="E232" s="0" t="s">
        <v>91</v>
      </c>
      <c r="F232" s="7" t="n">
        <v>100</v>
      </c>
    </row>
    <row r="233" customFormat="false" ht="15" hidden="false" customHeight="false" outlineLevel="0" collapsed="false">
      <c r="D233" s="0" t="s">
        <v>348</v>
      </c>
      <c r="E233" s="0" t="s">
        <v>334</v>
      </c>
      <c r="F233" s="7" t="n">
        <v>9</v>
      </c>
    </row>
    <row r="234" customFormat="false" ht="15" hidden="false" customHeight="false" outlineLevel="0" collapsed="false">
      <c r="D234" s="0" t="s">
        <v>349</v>
      </c>
      <c r="E234" s="0" t="s">
        <v>334</v>
      </c>
      <c r="F234" s="7" t="n">
        <v>3</v>
      </c>
    </row>
    <row r="235" customFormat="false" ht="15" hidden="false" customHeight="false" outlineLevel="0" collapsed="false">
      <c r="D235" s="0" t="s">
        <v>350</v>
      </c>
      <c r="E235" s="0" t="s">
        <v>334</v>
      </c>
      <c r="F235" s="7" t="n">
        <v>6</v>
      </c>
    </row>
    <row r="236" customFormat="false" ht="15" hidden="false" customHeight="false" outlineLevel="0" collapsed="false">
      <c r="D236" s="0" t="s">
        <v>351</v>
      </c>
      <c r="E236" s="0" t="s">
        <v>97</v>
      </c>
      <c r="F236" s="7" t="n">
        <v>3</v>
      </c>
    </row>
    <row r="237" customFormat="false" ht="15" hidden="false" customHeight="false" outlineLevel="0" collapsed="false">
      <c r="D237" s="0" t="s">
        <v>352</v>
      </c>
      <c r="E237" s="0" t="s">
        <v>97</v>
      </c>
      <c r="F237" s="7" t="n">
        <v>33</v>
      </c>
    </row>
    <row r="238" customFormat="false" ht="15" hidden="false" customHeight="false" outlineLevel="0" collapsed="false">
      <c r="D238" s="0" t="s">
        <v>353</v>
      </c>
      <c r="E238" s="0" t="s">
        <v>354</v>
      </c>
      <c r="F238" s="7" t="n">
        <v>7.5</v>
      </c>
    </row>
    <row r="239" customFormat="false" ht="15" hidden="false" customHeight="false" outlineLevel="0" collapsed="false">
      <c r="D239" s="0" t="s">
        <v>355</v>
      </c>
      <c r="E239" s="0" t="s">
        <v>103</v>
      </c>
      <c r="F239" s="7" t="n">
        <v>2.75</v>
      </c>
    </row>
    <row r="240" customFormat="false" ht="15" hidden="false" customHeight="false" outlineLevel="0" collapsed="false">
      <c r="D240" s="0" t="s">
        <v>356</v>
      </c>
      <c r="E240" s="0" t="s">
        <v>334</v>
      </c>
      <c r="F240" s="7" t="n">
        <v>34</v>
      </c>
    </row>
    <row r="241" customFormat="false" ht="15" hidden="false" customHeight="false" outlineLevel="0" collapsed="false">
      <c r="D241" s="0" t="s">
        <v>357</v>
      </c>
      <c r="E241" s="0" t="s">
        <v>334</v>
      </c>
      <c r="F241" s="7" t="n">
        <v>40</v>
      </c>
    </row>
    <row r="242" customFormat="false" ht="15" hidden="false" customHeight="false" outlineLevel="0" collapsed="false">
      <c r="D242" s="0" t="s">
        <v>358</v>
      </c>
      <c r="E242" s="0" t="s">
        <v>334</v>
      </c>
      <c r="F242" s="7" t="n">
        <v>18</v>
      </c>
    </row>
    <row r="243" customFormat="false" ht="15" hidden="false" customHeight="false" outlineLevel="0" collapsed="false">
      <c r="D243" s="0" t="s">
        <v>359</v>
      </c>
      <c r="E243" s="0" t="s">
        <v>109</v>
      </c>
      <c r="F243" s="7" t="n">
        <v>0.85</v>
      </c>
    </row>
    <row r="244" customFormat="false" ht="15" hidden="false" customHeight="false" outlineLevel="0" collapsed="false">
      <c r="D244" s="0" t="s">
        <v>360</v>
      </c>
      <c r="E244" s="0" t="s">
        <v>109</v>
      </c>
      <c r="F244" s="7" t="n">
        <v>0.7</v>
      </c>
    </row>
    <row r="245" customFormat="false" ht="15" hidden="false" customHeight="false" outlineLevel="0" collapsed="false">
      <c r="D245" s="0" t="s">
        <v>361</v>
      </c>
      <c r="E245" s="0" t="s">
        <v>334</v>
      </c>
      <c r="F245" s="7" t="n">
        <v>40</v>
      </c>
    </row>
    <row r="246" customFormat="false" ht="15" hidden="false" customHeight="false" outlineLevel="0" collapsed="false">
      <c r="D246" s="0" t="s">
        <v>362</v>
      </c>
      <c r="E246" s="0" t="s">
        <v>97</v>
      </c>
      <c r="F246" s="7" t="n">
        <v>9</v>
      </c>
    </row>
    <row r="247" customFormat="false" ht="15" hidden="false" customHeight="false" outlineLevel="0" collapsed="false">
      <c r="D247" s="0" t="s">
        <v>363</v>
      </c>
      <c r="E247" s="0" t="s">
        <v>111</v>
      </c>
      <c r="F247" s="7" t="n">
        <v>360</v>
      </c>
    </row>
    <row r="248" customFormat="false" ht="15" hidden="false" customHeight="false" outlineLevel="0" collapsed="false">
      <c r="D248" s="0" t="s">
        <v>364</v>
      </c>
      <c r="E248" s="0" t="s">
        <v>111</v>
      </c>
      <c r="F248" s="7" t="n">
        <v>365</v>
      </c>
    </row>
    <row r="249" customFormat="false" ht="15" hidden="false" customHeight="false" outlineLevel="0" collapsed="false">
      <c r="D249" s="0" t="s">
        <v>365</v>
      </c>
      <c r="E249" s="0" t="s">
        <v>109</v>
      </c>
      <c r="F249" s="7" t="n">
        <v>0.75</v>
      </c>
    </row>
    <row r="250" customFormat="false" ht="15" hidden="false" customHeight="false" outlineLevel="0" collapsed="false">
      <c r="D250" s="0" t="s">
        <v>366</v>
      </c>
      <c r="E250" s="0" t="s">
        <v>367</v>
      </c>
      <c r="F250" s="7" t="n">
        <v>4</v>
      </c>
    </row>
    <row r="251" customFormat="false" ht="15" hidden="false" customHeight="false" outlineLevel="0" collapsed="false">
      <c r="D251" s="0" t="s">
        <v>368</v>
      </c>
      <c r="E251" s="0" t="s">
        <v>149</v>
      </c>
      <c r="F251" s="7" t="n">
        <v>224.1</v>
      </c>
    </row>
    <row r="252" customFormat="false" ht="15" hidden="false" customHeight="false" outlineLevel="0" collapsed="false">
      <c r="D252" s="0" t="s">
        <v>369</v>
      </c>
      <c r="E252" s="0" t="s">
        <v>103</v>
      </c>
      <c r="F252" s="7" t="n">
        <v>16</v>
      </c>
    </row>
    <row r="253" customFormat="false" ht="15" hidden="false" customHeight="false" outlineLevel="0" collapsed="false">
      <c r="D253" s="0" t="s">
        <v>370</v>
      </c>
      <c r="E253" s="0" t="s">
        <v>149</v>
      </c>
      <c r="F253" s="7" t="n">
        <v>1E-009</v>
      </c>
    </row>
    <row r="254" customFormat="false" ht="15" hidden="false" customHeight="false" outlineLevel="0" collapsed="false">
      <c r="D254" s="0" t="s">
        <v>371</v>
      </c>
      <c r="E254" s="0" t="s">
        <v>149</v>
      </c>
      <c r="F254" s="7" t="n">
        <v>1E-006</v>
      </c>
    </row>
    <row r="255" customFormat="false" ht="15" hidden="false" customHeight="false" outlineLevel="0" collapsed="false">
      <c r="D255" s="0" t="s">
        <v>372</v>
      </c>
      <c r="E255" s="0" t="s">
        <v>109</v>
      </c>
      <c r="F255" s="7" t="n">
        <v>0.1</v>
      </c>
    </row>
    <row r="256" customFormat="false" ht="15" hidden="false" customHeight="false" outlineLevel="0" collapsed="false">
      <c r="D256" s="0" t="s">
        <v>373</v>
      </c>
      <c r="E256" s="0" t="s">
        <v>345</v>
      </c>
      <c r="F256" s="7" t="n">
        <v>2018</v>
      </c>
    </row>
    <row r="257" customFormat="false" ht="15" hidden="false" customHeight="false" outlineLevel="0" collapsed="false">
      <c r="D257" s="0" t="s">
        <v>374</v>
      </c>
      <c r="E257" s="0" t="s">
        <v>367</v>
      </c>
      <c r="F257" s="7" t="n">
        <v>2</v>
      </c>
    </row>
    <row r="258" customFormat="false" ht="15" hidden="false" customHeight="false" outlineLevel="0" collapsed="false">
      <c r="D258" s="0" t="s">
        <v>375</v>
      </c>
      <c r="E258" s="0" t="s">
        <v>367</v>
      </c>
      <c r="F258" s="7" t="n">
        <v>2</v>
      </c>
    </row>
    <row r="259" customFormat="false" ht="15" hidden="false" customHeight="false" outlineLevel="0" collapsed="false">
      <c r="D259" s="0" t="s">
        <v>376</v>
      </c>
      <c r="E259" s="0" t="s">
        <v>109</v>
      </c>
      <c r="F259" s="7" t="n">
        <v>0.75</v>
      </c>
    </row>
    <row r="260" customFormat="false" ht="15" hidden="false" customHeight="false" outlineLevel="0" collapsed="false">
      <c r="D260" s="0" t="s">
        <v>377</v>
      </c>
      <c r="E260" s="0" t="s">
        <v>149</v>
      </c>
      <c r="F260" s="7" t="n">
        <v>0.001</v>
      </c>
    </row>
    <row r="261" customFormat="false" ht="15" hidden="false" customHeight="false" outlineLevel="0" collapsed="false">
      <c r="B261" s="2" t="s">
        <v>378</v>
      </c>
    </row>
    <row r="262" customFormat="false" ht="15" hidden="false" customHeight="false" outlineLevel="0" collapsed="false">
      <c r="D262" s="0" t="s">
        <v>379</v>
      </c>
      <c r="E262" s="0" t="s">
        <v>109</v>
      </c>
      <c r="F262" s="7" t="n">
        <v>0.8</v>
      </c>
    </row>
    <row r="263" customFormat="false" ht="15" hidden="false" customHeight="false" outlineLevel="0" collapsed="false">
      <c r="D263" s="0" t="s">
        <v>380</v>
      </c>
      <c r="E263" s="0" t="s">
        <v>103</v>
      </c>
      <c r="F263" s="7" t="n">
        <v>2</v>
      </c>
    </row>
    <row r="264" customFormat="false" ht="15" hidden="false" customHeight="false" outlineLevel="0" collapsed="false">
      <c r="D264" s="0" t="s">
        <v>381</v>
      </c>
      <c r="E264" s="0" t="s">
        <v>109</v>
      </c>
      <c r="F264" s="7" t="n">
        <v>0.6</v>
      </c>
    </row>
    <row r="265" customFormat="false" ht="15" hidden="false" customHeight="false" outlineLevel="0" collapsed="false">
      <c r="D265" s="0" t="s">
        <v>382</v>
      </c>
      <c r="E265" s="0" t="s">
        <v>149</v>
      </c>
      <c r="F265" s="7" t="n">
        <v>10.1393</v>
      </c>
    </row>
    <row r="266" customFormat="false" ht="15" hidden="false" customHeight="false" outlineLevel="0" collapsed="false">
      <c r="D266" s="0" t="s">
        <v>383</v>
      </c>
      <c r="E266" s="0" t="s">
        <v>149</v>
      </c>
      <c r="F266" s="7" t="n">
        <v>7.0804</v>
      </c>
    </row>
    <row r="267" customFormat="false" ht="15" hidden="false" customHeight="false" outlineLevel="0" collapsed="false">
      <c r="D267" s="0" t="s">
        <v>384</v>
      </c>
      <c r="E267" s="0" t="s">
        <v>149</v>
      </c>
      <c r="F267" s="7" t="n">
        <v>18.485</v>
      </c>
    </row>
    <row r="268" customFormat="false" ht="15" hidden="false" customHeight="false" outlineLevel="0" collapsed="false">
      <c r="D268" s="0" t="s">
        <v>385</v>
      </c>
      <c r="E268" s="0" t="s">
        <v>386</v>
      </c>
      <c r="F268" s="7" t="n">
        <v>0.25</v>
      </c>
    </row>
    <row r="269" customFormat="false" ht="15" hidden="false" customHeight="false" outlineLevel="0" collapsed="false">
      <c r="D269" s="0" t="s">
        <v>387</v>
      </c>
      <c r="E269" s="0" t="s">
        <v>103</v>
      </c>
      <c r="F269" s="7" t="n">
        <v>0.5</v>
      </c>
    </row>
    <row r="270" customFormat="false" ht="15" hidden="false" customHeight="false" outlineLevel="0" collapsed="false">
      <c r="D270" s="0" t="s">
        <v>388</v>
      </c>
      <c r="E270" s="0" t="s">
        <v>109</v>
      </c>
      <c r="F270" s="7" t="n">
        <v>0.6</v>
      </c>
    </row>
    <row r="271" customFormat="false" ht="15" hidden="false" customHeight="false" outlineLevel="0" collapsed="false">
      <c r="D271" s="0" t="s">
        <v>389</v>
      </c>
      <c r="E271" s="0" t="s">
        <v>103</v>
      </c>
      <c r="F271" s="7" t="n">
        <v>7.875</v>
      </c>
    </row>
    <row r="272" customFormat="false" ht="15" hidden="false" customHeight="false" outlineLevel="0" collapsed="false">
      <c r="D272" s="0" t="s">
        <v>390</v>
      </c>
      <c r="E272" s="0" t="s">
        <v>109</v>
      </c>
      <c r="F272" s="7" t="n">
        <v>0.99512</v>
      </c>
    </row>
    <row r="273" customFormat="false" ht="15" hidden="false" customHeight="false" outlineLevel="0" collapsed="false">
      <c r="D273" s="0" t="s">
        <v>391</v>
      </c>
      <c r="E273" s="0" t="s">
        <v>109</v>
      </c>
      <c r="F273" s="7" t="n">
        <v>0.01</v>
      </c>
    </row>
    <row r="274" customFormat="false" ht="15" hidden="false" customHeight="false" outlineLevel="0" collapsed="false">
      <c r="D274" s="0" t="s">
        <v>392</v>
      </c>
      <c r="E274" s="0" t="s">
        <v>149</v>
      </c>
      <c r="F274" s="7" t="n">
        <v>3.1</v>
      </c>
    </row>
    <row r="275" customFormat="false" ht="15" hidden="false" customHeight="false" outlineLevel="0" collapsed="false">
      <c r="D275" s="0" t="s">
        <v>393</v>
      </c>
      <c r="E275" s="0" t="s">
        <v>149</v>
      </c>
      <c r="F275" s="7" t="n">
        <v>95</v>
      </c>
    </row>
    <row r="276" customFormat="false" ht="15" hidden="false" customHeight="false" outlineLevel="0" collapsed="false">
      <c r="D276" s="0" t="s">
        <v>394</v>
      </c>
      <c r="E276" s="0" t="s">
        <v>180</v>
      </c>
      <c r="F276" s="7" t="n">
        <v>1.1</v>
      </c>
    </row>
    <row r="277" customFormat="false" ht="15" hidden="false" customHeight="false" outlineLevel="0" collapsed="false">
      <c r="D277" s="0" t="s">
        <v>395</v>
      </c>
      <c r="E277" s="0" t="s">
        <v>103</v>
      </c>
      <c r="F277" s="7" t="n">
        <v>0.75</v>
      </c>
    </row>
    <row r="278" customFormat="false" ht="15" hidden="false" customHeight="false" outlineLevel="0" collapsed="false">
      <c r="D278" s="0" t="s">
        <v>396</v>
      </c>
      <c r="E278" s="0" t="s">
        <v>103</v>
      </c>
      <c r="F278" s="7" t="n">
        <v>3.68</v>
      </c>
    </row>
    <row r="279" customFormat="false" ht="15" hidden="false" customHeight="false" outlineLevel="0" collapsed="false">
      <c r="D279" s="0" t="s">
        <v>397</v>
      </c>
      <c r="E279" s="0" t="s">
        <v>109</v>
      </c>
      <c r="F279" s="7" t="n">
        <v>0.48</v>
      </c>
    </row>
    <row r="280" customFormat="false" ht="15" hidden="false" customHeight="false" outlineLevel="0" collapsed="false">
      <c r="D280" s="0" t="s">
        <v>398</v>
      </c>
      <c r="E280" s="0" t="s">
        <v>109</v>
      </c>
      <c r="F280" s="7" t="n">
        <v>0.52</v>
      </c>
    </row>
    <row r="281" customFormat="false" ht="15" hidden="false" customHeight="false" outlineLevel="0" collapsed="false">
      <c r="B281" s="2" t="s">
        <v>399</v>
      </c>
    </row>
    <row r="282" customFormat="false" ht="15" hidden="false" customHeight="false" outlineLevel="0" collapsed="false">
      <c r="D282" s="0" t="s">
        <v>400</v>
      </c>
      <c r="E282" s="0" t="s">
        <v>345</v>
      </c>
      <c r="J282" s="5" t="n">
        <v>2015</v>
      </c>
      <c r="K282" s="5" t="n">
        <v>2016</v>
      </c>
      <c r="L282" s="5" t="n">
        <v>2017</v>
      </c>
      <c r="M282" s="5" t="n">
        <v>2018</v>
      </c>
      <c r="N282" s="5" t="n">
        <v>2019</v>
      </c>
      <c r="O282" s="5" t="n">
        <v>2020</v>
      </c>
      <c r="P282" s="5" t="n">
        <v>2021</v>
      </c>
      <c r="Q282" s="5" t="n">
        <v>2022</v>
      </c>
      <c r="R282" s="5" t="n">
        <v>2023</v>
      </c>
      <c r="S282" s="5" t="n">
        <v>2024</v>
      </c>
      <c r="T282" s="5" t="n">
        <v>2025</v>
      </c>
      <c r="U282" s="5" t="n">
        <v>2026</v>
      </c>
      <c r="V282" s="5" t="n">
        <v>2027</v>
      </c>
      <c r="W282" s="5" t="n">
        <v>2028</v>
      </c>
      <c r="X282" s="5" t="n">
        <v>2029</v>
      </c>
      <c r="Y282" s="5" t="n">
        <v>2030</v>
      </c>
      <c r="Z282" s="5" t="n">
        <v>2031</v>
      </c>
      <c r="AA282" s="5" t="n">
        <v>2032</v>
      </c>
      <c r="AB282" s="5" t="n">
        <v>2033</v>
      </c>
      <c r="AC282" s="5" t="n">
        <v>2034</v>
      </c>
      <c r="AD282" s="5" t="n">
        <v>2035</v>
      </c>
      <c r="AE282" s="5" t="n">
        <v>2036</v>
      </c>
      <c r="AF282" s="5" t="n">
        <v>2037</v>
      </c>
      <c r="AG282" s="5" t="n">
        <v>2038</v>
      </c>
      <c r="AH282" s="5" t="n">
        <v>2039</v>
      </c>
      <c r="AI282" s="5" t="n">
        <v>2040</v>
      </c>
      <c r="AJ282" s="5" t="n">
        <v>2041</v>
      </c>
      <c r="AK282" s="5" t="n">
        <v>2042</v>
      </c>
      <c r="AL282" s="5" t="n">
        <v>2043</v>
      </c>
      <c r="AM282" s="5" t="n">
        <v>2044</v>
      </c>
      <c r="AN282" s="5" t="n">
        <v>2045</v>
      </c>
      <c r="AO282" s="5" t="n">
        <v>2046</v>
      </c>
      <c r="AP282" s="5" t="n">
        <v>2047</v>
      </c>
      <c r="AQ282" s="5" t="n">
        <v>2048</v>
      </c>
      <c r="AR282" s="5" t="n">
        <v>2049</v>
      </c>
    </row>
    <row r="283" customFormat="false" ht="15" hidden="false" customHeight="false" outlineLevel="0" collapsed="false">
      <c r="D283" s="0" t="s">
        <v>401</v>
      </c>
      <c r="E283" s="0" t="s">
        <v>103</v>
      </c>
      <c r="J283" s="5" t="n">
        <v>0.1</v>
      </c>
      <c r="K283" s="5" t="n">
        <v>1.3</v>
      </c>
      <c r="L283" s="5" t="n">
        <v>2.1</v>
      </c>
      <c r="M283" s="5" t="n">
        <v>2.2</v>
      </c>
      <c r="N283" s="5" t="n">
        <v>2.2</v>
      </c>
      <c r="O283" s="5" t="n">
        <v>2.2</v>
      </c>
      <c r="P283" s="5" t="n">
        <v>2.2</v>
      </c>
      <c r="Q283" s="5" t="n">
        <v>2.2</v>
      </c>
      <c r="R283" s="5" t="n">
        <v>2.2</v>
      </c>
      <c r="S283" s="5" t="n">
        <v>2.2</v>
      </c>
      <c r="T283" s="5" t="n">
        <v>2.2</v>
      </c>
      <c r="U283" s="5" t="n">
        <v>2.2</v>
      </c>
      <c r="V283" s="5" t="n">
        <v>2.2</v>
      </c>
      <c r="W283" s="5" t="n">
        <v>2.2</v>
      </c>
      <c r="X283" s="5" t="n">
        <v>2.2</v>
      </c>
      <c r="Y283" s="5" t="n">
        <v>2.2</v>
      </c>
      <c r="Z283" s="5" t="n">
        <v>2.2</v>
      </c>
      <c r="AA283" s="5" t="n">
        <v>2.2</v>
      </c>
      <c r="AB283" s="5" t="n">
        <v>2.2</v>
      </c>
      <c r="AC283" s="5" t="n">
        <v>2.2</v>
      </c>
      <c r="AD283" s="5" t="n">
        <v>2.2</v>
      </c>
      <c r="AE283" s="5" t="n">
        <v>2.2</v>
      </c>
      <c r="AF283" s="5" t="n">
        <v>2.2</v>
      </c>
      <c r="AG283" s="5" t="n">
        <v>2.2</v>
      </c>
      <c r="AH283" s="5" t="n">
        <v>2.2</v>
      </c>
      <c r="AI283" s="5" t="n">
        <v>2.2</v>
      </c>
      <c r="AJ283" s="5" t="n">
        <v>2.2</v>
      </c>
      <c r="AK283" s="5" t="n">
        <v>2.2</v>
      </c>
      <c r="AL283" s="5" t="n">
        <v>2.2</v>
      </c>
      <c r="AM283" s="5" t="n">
        <v>2.2</v>
      </c>
      <c r="AN283" s="5" t="n">
        <v>2.2</v>
      </c>
      <c r="AO283" s="5" t="n">
        <v>2.2</v>
      </c>
      <c r="AP283" s="5" t="n">
        <v>2.2</v>
      </c>
      <c r="AQ283" s="5" t="n">
        <v>2.2</v>
      </c>
      <c r="AR283" s="5" t="n">
        <v>2.2</v>
      </c>
    </row>
    <row r="284" customFormat="false" ht="15" hidden="false" customHeight="false" outlineLevel="0" collapsed="false">
      <c r="D284" s="0" t="s">
        <v>402</v>
      </c>
      <c r="E284" s="0" t="s">
        <v>103</v>
      </c>
      <c r="J284" s="5" t="n">
        <v>8.7</v>
      </c>
      <c r="K284" s="5" t="n">
        <v>9.4</v>
      </c>
      <c r="L284" s="5" t="n">
        <v>8.1</v>
      </c>
      <c r="M284" s="5" t="n">
        <v>7.5</v>
      </c>
      <c r="N284" s="5" t="n">
        <v>7.5</v>
      </c>
      <c r="O284" s="5" t="n">
        <v>7.5</v>
      </c>
      <c r="P284" s="5" t="n">
        <v>7.5</v>
      </c>
      <c r="Q284" s="5" t="n">
        <v>7.5</v>
      </c>
      <c r="R284" s="5" t="n">
        <v>7.5</v>
      </c>
      <c r="S284" s="5" t="n">
        <v>7.5</v>
      </c>
      <c r="T284" s="5" t="n">
        <v>7.5</v>
      </c>
      <c r="U284" s="5" t="n">
        <v>7.5</v>
      </c>
      <c r="V284" s="5" t="n">
        <v>7.5</v>
      </c>
      <c r="W284" s="5" t="n">
        <v>7.5</v>
      </c>
      <c r="X284" s="5" t="n">
        <v>7.5</v>
      </c>
      <c r="Y284" s="5" t="n">
        <v>7.5</v>
      </c>
      <c r="Z284" s="5" t="n">
        <v>7.5</v>
      </c>
      <c r="AA284" s="5" t="n">
        <v>7.5</v>
      </c>
      <c r="AB284" s="5" t="n">
        <v>7.5</v>
      </c>
      <c r="AC284" s="5" t="n">
        <v>7.5</v>
      </c>
      <c r="AD284" s="5" t="n">
        <v>7.5</v>
      </c>
      <c r="AE284" s="5" t="n">
        <v>7.5</v>
      </c>
      <c r="AF284" s="5" t="n">
        <v>7.5</v>
      </c>
      <c r="AG284" s="5" t="n">
        <v>7.5</v>
      </c>
      <c r="AH284" s="5" t="n">
        <v>7.5</v>
      </c>
      <c r="AI284" s="5" t="n">
        <v>7.5</v>
      </c>
      <c r="AJ284" s="5" t="n">
        <v>7.5</v>
      </c>
      <c r="AK284" s="5" t="n">
        <v>7.5</v>
      </c>
      <c r="AL284" s="5" t="n">
        <v>7.5</v>
      </c>
      <c r="AM284" s="5" t="n">
        <v>7.5</v>
      </c>
      <c r="AN284" s="5" t="n">
        <v>7.5</v>
      </c>
      <c r="AO284" s="5" t="n">
        <v>7.5</v>
      </c>
      <c r="AP284" s="5" t="n">
        <v>7.5</v>
      </c>
      <c r="AQ284" s="5" t="n">
        <v>7.5</v>
      </c>
      <c r="AR284" s="5" t="n">
        <v>7.5</v>
      </c>
    </row>
    <row r="285" customFormat="false" ht="15" hidden="false" customHeight="false" outlineLevel="0" collapsed="false">
      <c r="D285" s="0" t="s">
        <v>403</v>
      </c>
      <c r="E285" s="0" t="s">
        <v>103</v>
      </c>
      <c r="J285" s="5" t="n">
        <v>0.1</v>
      </c>
      <c r="K285" s="5" t="n">
        <v>1.3</v>
      </c>
      <c r="L285" s="5" t="n">
        <v>2.1</v>
      </c>
      <c r="M285" s="5" t="n">
        <v>2.4</v>
      </c>
      <c r="N285" s="5" t="n">
        <v>1.8</v>
      </c>
      <c r="O285" s="5" t="n">
        <v>1.2</v>
      </c>
      <c r="P285" s="5" t="n">
        <v>4.7</v>
      </c>
      <c r="Q285" s="5" t="n">
        <v>8</v>
      </c>
      <c r="R285" s="5" t="n">
        <v>4.1</v>
      </c>
      <c r="S285" s="5" t="n">
        <v>2.9</v>
      </c>
      <c r="T285" s="5" t="n">
        <v>2.7</v>
      </c>
      <c r="U285" s="5" t="n">
        <v>2.6</v>
      </c>
      <c r="V285" s="5" t="n">
        <v>2.3</v>
      </c>
      <c r="W285" s="5" t="n">
        <v>2.3</v>
      </c>
      <c r="X285" s="5" t="n">
        <v>2.3</v>
      </c>
      <c r="Y285" s="5" t="n">
        <v>2.3</v>
      </c>
      <c r="Z285" s="5" t="n">
        <v>2.3</v>
      </c>
      <c r="AA285" s="5" t="n">
        <v>2.3</v>
      </c>
      <c r="AB285" s="5" t="n">
        <v>2.3</v>
      </c>
      <c r="AC285" s="5" t="n">
        <v>2.3</v>
      </c>
      <c r="AD285" s="5" t="n">
        <v>2.3</v>
      </c>
      <c r="AE285" s="5" t="n">
        <v>2.3</v>
      </c>
      <c r="AF285" s="5" t="n">
        <v>2.3</v>
      </c>
      <c r="AG285" s="5" t="n">
        <v>2.3</v>
      </c>
      <c r="AH285" s="5" t="n">
        <v>2.3</v>
      </c>
      <c r="AI285" s="5" t="n">
        <v>2.3</v>
      </c>
      <c r="AJ285" s="5" t="n">
        <v>2.3</v>
      </c>
      <c r="AK285" s="5" t="n">
        <v>2.3</v>
      </c>
      <c r="AL285" s="5" t="n">
        <v>2.3</v>
      </c>
      <c r="AM285" s="5" t="n">
        <v>2.3</v>
      </c>
      <c r="AN285" s="5" t="n">
        <v>2.3</v>
      </c>
      <c r="AO285" s="5" t="n">
        <v>2.3</v>
      </c>
      <c r="AP285" s="5" t="n">
        <v>2.3</v>
      </c>
      <c r="AQ285" s="5" t="n">
        <v>2.3</v>
      </c>
      <c r="AR285" s="5" t="n">
        <v>2.3</v>
      </c>
    </row>
    <row r="286" customFormat="false" ht="15" hidden="false" customHeight="false" outlineLevel="0" collapsed="false">
      <c r="D286" s="0" t="s">
        <v>404</v>
      </c>
      <c r="E286" s="0" t="s">
        <v>103</v>
      </c>
      <c r="J286" s="5" t="n">
        <v>8.7</v>
      </c>
      <c r="K286" s="5" t="n">
        <v>9.4</v>
      </c>
      <c r="L286" s="5" t="n">
        <v>8.1</v>
      </c>
      <c r="M286" s="5" t="n">
        <v>7.6</v>
      </c>
      <c r="N286" s="5" t="n">
        <v>7.9</v>
      </c>
      <c r="O286" s="5" t="n">
        <v>9.8</v>
      </c>
      <c r="P286" s="5" t="n">
        <v>10.6</v>
      </c>
      <c r="Q286" s="5" t="n">
        <v>26.3</v>
      </c>
      <c r="R286" s="5" t="n">
        <v>34.8</v>
      </c>
      <c r="S286" s="5" t="n">
        <v>19.2</v>
      </c>
      <c r="T286" s="5" t="n">
        <v>12.4</v>
      </c>
      <c r="U286" s="5" t="n">
        <v>9.6</v>
      </c>
      <c r="V286" s="5" t="n">
        <v>8</v>
      </c>
      <c r="W286" s="5" t="n">
        <v>7</v>
      </c>
      <c r="X286" s="5" t="n">
        <v>7</v>
      </c>
      <c r="Y286" s="5" t="n">
        <v>7</v>
      </c>
      <c r="Z286" s="5" t="n">
        <v>7</v>
      </c>
      <c r="AA286" s="5" t="n">
        <v>7</v>
      </c>
      <c r="AB286" s="5" t="n">
        <v>7</v>
      </c>
      <c r="AC286" s="5" t="n">
        <v>7</v>
      </c>
      <c r="AD286" s="5" t="n">
        <v>7</v>
      </c>
      <c r="AE286" s="5" t="n">
        <v>7</v>
      </c>
      <c r="AF286" s="5" t="n">
        <v>7</v>
      </c>
      <c r="AG286" s="5" t="n">
        <v>7</v>
      </c>
      <c r="AH286" s="5" t="n">
        <v>7</v>
      </c>
      <c r="AI286" s="5" t="n">
        <v>7</v>
      </c>
      <c r="AJ286" s="5" t="n">
        <v>7</v>
      </c>
      <c r="AK286" s="5" t="n">
        <v>7</v>
      </c>
      <c r="AL286" s="5" t="n">
        <v>7</v>
      </c>
      <c r="AM286" s="5" t="n">
        <v>7</v>
      </c>
      <c r="AN286" s="5" t="n">
        <v>7</v>
      </c>
      <c r="AO286" s="5" t="n">
        <v>7</v>
      </c>
      <c r="AP286" s="5" t="n">
        <v>7</v>
      </c>
      <c r="AQ286" s="5" t="n">
        <v>7</v>
      </c>
      <c r="AR286" s="5" t="n">
        <v>7</v>
      </c>
    </row>
    <row r="287" customFormat="false" ht="15" hidden="false" customHeight="false" outlineLevel="0" collapsed="false">
      <c r="D287" s="0" t="s">
        <v>405</v>
      </c>
      <c r="E287" s="0" t="s">
        <v>103</v>
      </c>
      <c r="J287" s="5" t="n">
        <v>0.1</v>
      </c>
      <c r="K287" s="5" t="n">
        <v>1.3</v>
      </c>
      <c r="L287" s="5" t="n">
        <v>2.1</v>
      </c>
      <c r="M287" s="5" t="n">
        <v>2.4</v>
      </c>
      <c r="N287" s="5" t="n">
        <v>1.8</v>
      </c>
      <c r="O287" s="5" t="n">
        <v>1.2</v>
      </c>
      <c r="P287" s="5" t="n">
        <v>4.7</v>
      </c>
      <c r="Q287" s="5" t="n">
        <v>2.2</v>
      </c>
      <c r="R287" s="5" t="n">
        <v>2.2</v>
      </c>
      <c r="S287" s="5" t="n">
        <v>2.2</v>
      </c>
      <c r="T287" s="5" t="n">
        <v>2.2</v>
      </c>
      <c r="U287" s="5" t="n">
        <v>2.2</v>
      </c>
      <c r="V287" s="5" t="n">
        <v>2.2</v>
      </c>
      <c r="W287" s="5" t="n">
        <v>2.2</v>
      </c>
      <c r="X287" s="5" t="n">
        <v>2.2</v>
      </c>
      <c r="Y287" s="5" t="n">
        <v>2.2</v>
      </c>
      <c r="Z287" s="5" t="n">
        <v>2.2</v>
      </c>
      <c r="AA287" s="5" t="n">
        <v>2.2</v>
      </c>
      <c r="AB287" s="5" t="n">
        <v>2.2</v>
      </c>
      <c r="AC287" s="5" t="n">
        <v>2.2</v>
      </c>
      <c r="AD287" s="5" t="n">
        <v>2.2</v>
      </c>
      <c r="AE287" s="5" t="n">
        <v>2.2</v>
      </c>
      <c r="AF287" s="5" t="n">
        <v>2.2</v>
      </c>
      <c r="AG287" s="5" t="n">
        <v>2.2</v>
      </c>
      <c r="AH287" s="5" t="n">
        <v>2.2</v>
      </c>
      <c r="AI287" s="5" t="n">
        <v>2.2</v>
      </c>
      <c r="AJ287" s="5" t="n">
        <v>2.2</v>
      </c>
      <c r="AK287" s="5" t="n">
        <v>2.2</v>
      </c>
      <c r="AL287" s="5" t="n">
        <v>2.2</v>
      </c>
      <c r="AM287" s="5" t="n">
        <v>2.2</v>
      </c>
      <c r="AN287" s="5" t="n">
        <v>2.2</v>
      </c>
      <c r="AO287" s="5" t="n">
        <v>2.2</v>
      </c>
      <c r="AP287" s="5" t="n">
        <v>2.2</v>
      </c>
      <c r="AQ287" s="5" t="n">
        <v>2.2</v>
      </c>
      <c r="AR287" s="5" t="n">
        <v>2.2</v>
      </c>
    </row>
    <row r="288" customFormat="false" ht="15" hidden="false" customHeight="false" outlineLevel="0" collapsed="false">
      <c r="D288" s="0" t="s">
        <v>406</v>
      </c>
      <c r="E288" s="0" t="s">
        <v>103</v>
      </c>
      <c r="J288" s="5" t="n">
        <v>8.7</v>
      </c>
      <c r="K288" s="5" t="n">
        <v>9.4</v>
      </c>
      <c r="L288" s="5" t="n">
        <v>8.1</v>
      </c>
      <c r="M288" s="5" t="n">
        <v>7.6</v>
      </c>
      <c r="N288" s="5" t="n">
        <v>7.9</v>
      </c>
      <c r="O288" s="5" t="n">
        <v>9.8</v>
      </c>
      <c r="P288" s="5" t="n">
        <v>10.6</v>
      </c>
      <c r="Q288" s="5" t="n">
        <v>7.5</v>
      </c>
      <c r="R288" s="5" t="n">
        <v>7.5</v>
      </c>
      <c r="S288" s="5" t="n">
        <v>7.5</v>
      </c>
      <c r="T288" s="5" t="n">
        <v>7.5</v>
      </c>
      <c r="U288" s="5" t="n">
        <v>7.5</v>
      </c>
      <c r="V288" s="5" t="n">
        <v>7.5</v>
      </c>
      <c r="W288" s="5" t="n">
        <v>7.5</v>
      </c>
      <c r="X288" s="5" t="n">
        <v>7.5</v>
      </c>
      <c r="Y288" s="5" t="n">
        <v>7.5</v>
      </c>
      <c r="Z288" s="5" t="n">
        <v>7.5</v>
      </c>
      <c r="AA288" s="5" t="n">
        <v>7.5</v>
      </c>
      <c r="AB288" s="5" t="n">
        <v>7.5</v>
      </c>
      <c r="AC288" s="5" t="n">
        <v>7.5</v>
      </c>
      <c r="AD288" s="5" t="n">
        <v>7.5</v>
      </c>
      <c r="AE288" s="5" t="n">
        <v>7.5</v>
      </c>
      <c r="AF288" s="5" t="n">
        <v>7.5</v>
      </c>
      <c r="AG288" s="5" t="n">
        <v>7.5</v>
      </c>
      <c r="AH288" s="5" t="n">
        <v>7.5</v>
      </c>
      <c r="AI288" s="5" t="n">
        <v>7.5</v>
      </c>
      <c r="AJ288" s="5" t="n">
        <v>7.5</v>
      </c>
      <c r="AK288" s="5" t="n">
        <v>7.5</v>
      </c>
      <c r="AL288" s="5" t="n">
        <v>7.5</v>
      </c>
      <c r="AM288" s="5" t="n">
        <v>7.5</v>
      </c>
      <c r="AN288" s="5" t="n">
        <v>7.5</v>
      </c>
      <c r="AO288" s="5" t="n">
        <v>7.5</v>
      </c>
      <c r="AP288" s="5" t="n">
        <v>7.5</v>
      </c>
      <c r="AQ288" s="5" t="n">
        <v>7.5</v>
      </c>
      <c r="AR288" s="5" t="n">
        <v>7.5</v>
      </c>
    </row>
    <row r="289" customFormat="false" ht="15" hidden="false" customHeight="false" outlineLevel="0" collapsed="false">
      <c r="D289" s="0" t="s">
        <v>407</v>
      </c>
      <c r="E289" s="0" t="s">
        <v>103</v>
      </c>
      <c r="J289" s="5" t="n">
        <v>15.5</v>
      </c>
      <c r="K289" s="5" t="n">
        <v>15.5</v>
      </c>
      <c r="L289" s="5" t="n">
        <v>15.5</v>
      </c>
      <c r="M289" s="5" t="n">
        <v>13.5</v>
      </c>
      <c r="N289" s="5" t="n">
        <v>13.5</v>
      </c>
      <c r="O289" s="5" t="n">
        <v>13.5</v>
      </c>
      <c r="P289" s="5" t="n">
        <v>13.5</v>
      </c>
      <c r="Q289" s="5" t="n">
        <v>19</v>
      </c>
      <c r="R289" s="5" t="n">
        <v>27</v>
      </c>
      <c r="S289" s="5" t="n">
        <v>24.5</v>
      </c>
      <c r="T289" s="5" t="n">
        <v>18</v>
      </c>
      <c r="U289" s="5" t="n">
        <v>15.5</v>
      </c>
      <c r="V289" s="5" t="n">
        <v>15.5</v>
      </c>
      <c r="W289" s="5" t="n">
        <v>15.5</v>
      </c>
      <c r="X289" s="5" t="n">
        <v>15.5</v>
      </c>
      <c r="Y289" s="5" t="n">
        <v>15.5</v>
      </c>
      <c r="Z289" s="5" t="n">
        <v>15.5</v>
      </c>
      <c r="AA289" s="5" t="n">
        <v>15.5</v>
      </c>
      <c r="AB289" s="5" t="n">
        <v>15.5</v>
      </c>
      <c r="AC289" s="5" t="n">
        <v>15.5</v>
      </c>
      <c r="AD289" s="5" t="n">
        <v>15.5</v>
      </c>
      <c r="AE289" s="5" t="n">
        <v>15.5</v>
      </c>
      <c r="AF289" s="5" t="n">
        <v>15.5</v>
      </c>
      <c r="AG289" s="5" t="n">
        <v>15.5</v>
      </c>
      <c r="AH289" s="5" t="n">
        <v>15.5</v>
      </c>
      <c r="AI289" s="5" t="n">
        <v>15.5</v>
      </c>
      <c r="AJ289" s="5" t="n">
        <v>15.5</v>
      </c>
      <c r="AK289" s="5" t="n">
        <v>15.5</v>
      </c>
      <c r="AL289" s="5" t="n">
        <v>15.5</v>
      </c>
      <c r="AM289" s="5" t="n">
        <v>15.5</v>
      </c>
      <c r="AN289" s="5" t="n">
        <v>15.5</v>
      </c>
      <c r="AO289" s="5" t="n">
        <v>15.5</v>
      </c>
      <c r="AP289" s="5" t="n">
        <v>15.5</v>
      </c>
      <c r="AQ289" s="5" t="n">
        <v>15.5</v>
      </c>
      <c r="AR289" s="5" t="n">
        <v>15.5</v>
      </c>
    </row>
    <row r="290" customFormat="false" ht="15" hidden="false" customHeight="false" outlineLevel="0" collapsed="false">
      <c r="B290" s="2" t="s">
        <v>408</v>
      </c>
    </row>
    <row r="291" customFormat="false" ht="15" hidden="false" customHeight="false" outlineLevel="0" collapsed="false">
      <c r="D291" s="0" t="s">
        <v>409</v>
      </c>
      <c r="E291" s="0" t="s">
        <v>103</v>
      </c>
      <c r="J291" s="5" t="n">
        <v>2.52</v>
      </c>
      <c r="K291" s="5" t="n">
        <v>2.79</v>
      </c>
      <c r="L291" s="5" t="n">
        <v>2.94</v>
      </c>
      <c r="M291" s="5" t="n">
        <v>3.02</v>
      </c>
      <c r="N291" s="5" t="n">
        <v>3.06</v>
      </c>
      <c r="O291" s="5" t="n">
        <v>3.09</v>
      </c>
      <c r="P291" s="5" t="n">
        <v>3.09</v>
      </c>
      <c r="Q291" s="5" t="n">
        <v>3.11</v>
      </c>
      <c r="R291" s="5" t="n">
        <v>3.11</v>
      </c>
      <c r="S291" s="5" t="n">
        <v>3.12</v>
      </c>
      <c r="T291" s="5" t="n">
        <v>3.12</v>
      </c>
      <c r="U291" s="5" t="n">
        <v>3.12</v>
      </c>
      <c r="V291" s="5" t="n">
        <v>3.12</v>
      </c>
      <c r="W291" s="5" t="n">
        <v>3.12</v>
      </c>
      <c r="X291" s="5" t="n">
        <v>3.12</v>
      </c>
      <c r="Y291" s="5" t="n">
        <v>3.12</v>
      </c>
      <c r="Z291" s="5" t="n">
        <v>3.12</v>
      </c>
      <c r="AA291" s="5" t="n">
        <v>3.12</v>
      </c>
      <c r="AB291" s="5" t="n">
        <v>3.12</v>
      </c>
      <c r="AC291" s="5" t="n">
        <v>3.12</v>
      </c>
      <c r="AD291" s="5" t="n">
        <v>3.12</v>
      </c>
      <c r="AE291" s="5" t="n">
        <v>3.12</v>
      </c>
      <c r="AF291" s="5" t="n">
        <v>3.12</v>
      </c>
      <c r="AG291" s="5" t="n">
        <v>3.12</v>
      </c>
      <c r="AH291" s="5" t="n">
        <v>3.12</v>
      </c>
      <c r="AI291" s="5" t="n">
        <v>3.12</v>
      </c>
      <c r="AJ291" s="5" t="n">
        <v>3.12</v>
      </c>
      <c r="AK291" s="5" t="n">
        <v>3.12</v>
      </c>
      <c r="AL291" s="5" t="n">
        <v>3.12</v>
      </c>
      <c r="AM291" s="5" t="n">
        <v>3.12</v>
      </c>
      <c r="AN291" s="5" t="n">
        <v>3.12</v>
      </c>
      <c r="AO291" s="5" t="n">
        <v>3.12</v>
      </c>
      <c r="AP291" s="5" t="n">
        <v>3.12</v>
      </c>
      <c r="AQ291" s="5" t="n">
        <v>3.12</v>
      </c>
      <c r="AR291" s="5" t="n">
        <v>3.12</v>
      </c>
      <c r="AS291" s="5" t="n">
        <v>3.12</v>
      </c>
      <c r="AT291" s="5" t="n">
        <v>3.12</v>
      </c>
      <c r="AU291" s="5" t="n">
        <v>3.12</v>
      </c>
      <c r="AV291" s="5" t="n">
        <v>3.12</v>
      </c>
      <c r="AW291" s="5" t="n">
        <v>3.12</v>
      </c>
      <c r="AX291" s="5" t="n">
        <v>3.12</v>
      </c>
      <c r="AY291" s="5" t="n">
        <v>3.12</v>
      </c>
      <c r="AZ291" s="5" t="n">
        <v>3.12</v>
      </c>
      <c r="BA291" s="5" t="n">
        <v>3.12</v>
      </c>
      <c r="BB291" s="5" t="n">
        <v>3.12</v>
      </c>
      <c r="BC291" s="5" t="n">
        <v>3.12</v>
      </c>
      <c r="BD291" s="5" t="n">
        <v>3.12</v>
      </c>
      <c r="BE291" s="5" t="n">
        <v>3.12</v>
      </c>
      <c r="BF291" s="5" t="n">
        <v>3.12</v>
      </c>
      <c r="BG291" s="5" t="n">
        <v>3.12</v>
      </c>
      <c r="BH291" s="5" t="n">
        <v>3.12</v>
      </c>
      <c r="BI291" s="5" t="n">
        <v>3.12</v>
      </c>
      <c r="BJ291" s="5" t="n">
        <v>3.12</v>
      </c>
      <c r="BK291" s="5" t="n">
        <v>3.12</v>
      </c>
      <c r="BL291" s="5" t="n">
        <v>3.12</v>
      </c>
      <c r="BM291" s="5" t="n">
        <v>3.12</v>
      </c>
      <c r="BN291" s="5" t="n">
        <v>3.12</v>
      </c>
    </row>
    <row r="292" customFormat="false" ht="15" hidden="false" customHeight="false" outlineLevel="0" collapsed="false">
      <c r="D292" s="0" t="s">
        <v>410</v>
      </c>
      <c r="E292" s="0" t="s">
        <v>103</v>
      </c>
      <c r="J292" s="5" t="n">
        <v>2.52</v>
      </c>
      <c r="K292" s="5" t="n">
        <v>2.87</v>
      </c>
      <c r="L292" s="5" t="n">
        <v>2.2</v>
      </c>
      <c r="M292" s="5" t="n">
        <v>1.91</v>
      </c>
      <c r="N292" s="5" t="n">
        <v>0.37</v>
      </c>
      <c r="O292" s="5" t="n">
        <v>0.25</v>
      </c>
      <c r="P292" s="5" t="n">
        <v>0.16</v>
      </c>
      <c r="Q292" s="5" t="n">
        <v>0.34</v>
      </c>
      <c r="R292" s="5" t="n">
        <v>2.94</v>
      </c>
      <c r="S292" s="5" t="n">
        <v>5.28826</v>
      </c>
      <c r="T292" s="5" t="n">
        <v>5.89826</v>
      </c>
      <c r="U292" s="5" t="n">
        <v>5.58826</v>
      </c>
      <c r="V292" s="5" t="n">
        <v>5.64826</v>
      </c>
      <c r="W292" s="5" t="n">
        <v>4.67826</v>
      </c>
      <c r="X292" s="5" t="n">
        <v>4.59826</v>
      </c>
      <c r="Y292" s="5" t="n">
        <v>4.04826</v>
      </c>
      <c r="Z292" s="5" t="n">
        <v>4.00826</v>
      </c>
      <c r="AA292" s="5" t="n">
        <v>3.87826</v>
      </c>
      <c r="AB292" s="5" t="n">
        <v>3.87826</v>
      </c>
      <c r="AC292" s="5" t="n">
        <v>3.92826</v>
      </c>
      <c r="AD292" s="5" t="n">
        <v>3.92826</v>
      </c>
      <c r="AE292" s="5" t="n">
        <v>3.92826</v>
      </c>
      <c r="AF292" s="5" t="n">
        <v>3.92826</v>
      </c>
      <c r="AG292" s="5" t="n">
        <v>3.92826</v>
      </c>
      <c r="AH292" s="5" t="n">
        <v>3.92826</v>
      </c>
      <c r="AI292" s="5" t="n">
        <v>3.92826</v>
      </c>
      <c r="AJ292" s="5" t="n">
        <v>3.92826</v>
      </c>
      <c r="AK292" s="5" t="n">
        <v>3.92826</v>
      </c>
      <c r="AL292" s="5" t="n">
        <v>3.92826</v>
      </c>
      <c r="AM292" s="5" t="n">
        <v>3.92826</v>
      </c>
      <c r="AN292" s="5" t="n">
        <v>3.92826</v>
      </c>
      <c r="AO292" s="5" t="n">
        <v>3.92826</v>
      </c>
      <c r="AP292" s="5" t="n">
        <v>3.92826</v>
      </c>
      <c r="AQ292" s="5" t="n">
        <v>3.92826</v>
      </c>
      <c r="AR292" s="5" t="n">
        <v>3.92826</v>
      </c>
      <c r="AS292" s="5" t="n">
        <v>3.92826</v>
      </c>
      <c r="AT292" s="5" t="n">
        <v>3.92826</v>
      </c>
      <c r="AU292" s="5" t="n">
        <v>3.92826</v>
      </c>
      <c r="AV292" s="5" t="n">
        <v>3.92826</v>
      </c>
      <c r="AW292" s="5" t="n">
        <v>3.92826</v>
      </c>
      <c r="AX292" s="5" t="n">
        <v>3.92826</v>
      </c>
      <c r="AY292" s="5" t="n">
        <v>3.92826</v>
      </c>
      <c r="AZ292" s="5" t="n">
        <v>3.92826</v>
      </c>
      <c r="BA292" s="5" t="n">
        <v>3.92826</v>
      </c>
      <c r="BB292" s="5" t="n">
        <v>3.92826</v>
      </c>
      <c r="BC292" s="5" t="n">
        <v>3.92826</v>
      </c>
      <c r="BD292" s="5" t="n">
        <v>3.92826</v>
      </c>
      <c r="BE292" s="5" t="n">
        <v>3.92826</v>
      </c>
      <c r="BF292" s="5" t="n">
        <v>3.92826</v>
      </c>
      <c r="BG292" s="5" t="n">
        <v>3.92826</v>
      </c>
      <c r="BH292" s="5" t="n">
        <v>3.92826</v>
      </c>
      <c r="BI292" s="5" t="n">
        <v>3.92826</v>
      </c>
      <c r="BJ292" s="5" t="n">
        <v>3.92826</v>
      </c>
      <c r="BK292" s="5" t="n">
        <v>3.92826</v>
      </c>
      <c r="BL292" s="5" t="n">
        <v>3.92826</v>
      </c>
      <c r="BM292" s="5" t="n">
        <v>3.92826</v>
      </c>
      <c r="BN292" s="5" t="n">
        <v>3.92826</v>
      </c>
    </row>
    <row r="293" customFormat="false" ht="15" hidden="false" customHeight="false" outlineLevel="0" collapsed="false">
      <c r="D293" s="0" t="s">
        <v>411</v>
      </c>
      <c r="E293" s="0" t="s">
        <v>103</v>
      </c>
      <c r="J293" s="5" t="n">
        <v>2.52</v>
      </c>
      <c r="K293" s="5" t="n">
        <v>2.87</v>
      </c>
      <c r="L293" s="5" t="n">
        <v>2.2</v>
      </c>
      <c r="M293" s="5" t="n">
        <v>1.91</v>
      </c>
      <c r="N293" s="5" t="n">
        <v>0.37</v>
      </c>
      <c r="O293" s="5" t="n">
        <v>0.25</v>
      </c>
      <c r="P293" s="5" t="n">
        <v>0.16</v>
      </c>
      <c r="Q293" s="5" t="n">
        <v>3.11</v>
      </c>
      <c r="R293" s="5" t="n">
        <v>3.11</v>
      </c>
      <c r="S293" s="5" t="n">
        <v>3.12</v>
      </c>
      <c r="T293" s="5" t="n">
        <v>3.12</v>
      </c>
      <c r="U293" s="5" t="n">
        <v>3.12</v>
      </c>
      <c r="V293" s="5" t="n">
        <v>3.12</v>
      </c>
      <c r="W293" s="5" t="n">
        <v>3.12</v>
      </c>
      <c r="X293" s="5" t="n">
        <v>3.12</v>
      </c>
      <c r="Y293" s="5" t="n">
        <v>3.12</v>
      </c>
      <c r="Z293" s="5" t="n">
        <v>3.12</v>
      </c>
      <c r="AA293" s="5" t="n">
        <v>3.12</v>
      </c>
      <c r="AB293" s="5" t="n">
        <v>3.12</v>
      </c>
      <c r="AC293" s="5" t="n">
        <v>3.12</v>
      </c>
      <c r="AD293" s="5" t="n">
        <v>3.12</v>
      </c>
      <c r="AE293" s="5" t="n">
        <v>3.12</v>
      </c>
      <c r="AF293" s="5" t="n">
        <v>3.12</v>
      </c>
      <c r="AG293" s="5" t="n">
        <v>3.12</v>
      </c>
      <c r="AH293" s="5" t="n">
        <v>3.12</v>
      </c>
      <c r="AI293" s="5" t="n">
        <v>3.12</v>
      </c>
      <c r="AJ293" s="5" t="n">
        <v>3.12</v>
      </c>
      <c r="AK293" s="5" t="n">
        <v>3.12</v>
      </c>
      <c r="AL293" s="5" t="n">
        <v>3.12</v>
      </c>
      <c r="AM293" s="5" t="n">
        <v>3.12</v>
      </c>
      <c r="AN293" s="5" t="n">
        <v>3.12</v>
      </c>
      <c r="AO293" s="5" t="n">
        <v>3.12</v>
      </c>
      <c r="AP293" s="5" t="n">
        <v>3.12</v>
      </c>
      <c r="AQ293" s="5" t="n">
        <v>3.12</v>
      </c>
      <c r="AR293" s="5" t="n">
        <v>3.12</v>
      </c>
      <c r="AS293" s="5" t="n">
        <v>3.12</v>
      </c>
      <c r="AT293" s="5" t="n">
        <v>3.12</v>
      </c>
      <c r="AU293" s="5" t="n">
        <v>3.12</v>
      </c>
      <c r="AV293" s="5" t="n">
        <v>3.12</v>
      </c>
      <c r="AW293" s="5" t="n">
        <v>3.12</v>
      </c>
      <c r="AX293" s="5" t="n">
        <v>3.12</v>
      </c>
      <c r="AY293" s="5" t="n">
        <v>3.12</v>
      </c>
      <c r="AZ293" s="5" t="n">
        <v>3.12</v>
      </c>
      <c r="BA293" s="5" t="n">
        <v>3.12</v>
      </c>
      <c r="BB293" s="5" t="n">
        <v>3.12</v>
      </c>
      <c r="BC293" s="5" t="n">
        <v>3.12</v>
      </c>
      <c r="BD293" s="5" t="n">
        <v>3.12</v>
      </c>
      <c r="BE293" s="5" t="n">
        <v>3.12</v>
      </c>
      <c r="BF293" s="5" t="n">
        <v>3.12</v>
      </c>
      <c r="BG293" s="5" t="n">
        <v>3.12</v>
      </c>
      <c r="BH293" s="5" t="n">
        <v>3.12</v>
      </c>
      <c r="BI293" s="5" t="n">
        <v>3.12</v>
      </c>
      <c r="BJ293" s="5" t="n">
        <v>3.12</v>
      </c>
      <c r="BK293" s="5" t="n">
        <v>3.12</v>
      </c>
      <c r="BL293" s="5" t="n">
        <v>3.12</v>
      </c>
      <c r="BM293" s="5" t="n">
        <v>3.12</v>
      </c>
      <c r="BN293" s="5" t="n">
        <v>3.12</v>
      </c>
    </row>
    <row r="294" customFormat="false" ht="15" hidden="false" customHeight="false" outlineLevel="0" collapsed="false">
      <c r="D294" s="0" t="s">
        <v>412</v>
      </c>
      <c r="E294" s="0" t="s">
        <v>153</v>
      </c>
      <c r="J294" s="5" t="n">
        <v>524.6</v>
      </c>
      <c r="K294" s="5" t="n">
        <v>539.1</v>
      </c>
      <c r="L294" s="5" t="n">
        <v>551.3</v>
      </c>
      <c r="M294" s="5" t="n">
        <v>566</v>
      </c>
      <c r="N294" s="5" t="n">
        <v>579.8</v>
      </c>
      <c r="O294" s="5" t="n">
        <v>597.4</v>
      </c>
      <c r="P294" s="5" t="n">
        <v>609.6</v>
      </c>
      <c r="Q294" s="5" t="n">
        <v>654.9</v>
      </c>
      <c r="R294" s="5" t="n">
        <v>830.3</v>
      </c>
      <c r="S294" s="5" t="n">
        <v>1052.8</v>
      </c>
      <c r="T294" s="5" t="n">
        <v>1043.8</v>
      </c>
      <c r="U294" s="5" t="n">
        <v>1093.1</v>
      </c>
      <c r="V294" s="5" t="n">
        <v>1050.7</v>
      </c>
      <c r="W294" s="5" t="n">
        <v>1035.6</v>
      </c>
      <c r="X294" s="5" t="n">
        <v>1023.8</v>
      </c>
      <c r="Y294" s="5" t="n">
        <v>1028.9</v>
      </c>
      <c r="Z294" s="5" t="n">
        <v>1043.9</v>
      </c>
    </row>
    <row r="295" customFormat="false" ht="15" hidden="false" customHeight="false" outlineLevel="0" collapsed="false">
      <c r="D295" s="0" t="s">
        <v>413</v>
      </c>
      <c r="E295" s="0" t="s">
        <v>149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18.4</v>
      </c>
      <c r="R295" s="5" t="n">
        <v>68.9</v>
      </c>
      <c r="S295" s="5" t="n">
        <v>112.6</v>
      </c>
      <c r="T295" s="5" t="n">
        <v>71.8</v>
      </c>
      <c r="U295" s="5" t="n">
        <v>34.6</v>
      </c>
      <c r="V295" s="5" t="n">
        <v>12.3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</row>
    <row r="296" customFormat="false" ht="15" hidden="false" customHeight="false" outlineLevel="0" collapsed="false">
      <c r="D296" s="0" t="s">
        <v>414</v>
      </c>
      <c r="E296" s="0" t="s">
        <v>149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1.27</v>
      </c>
      <c r="S296" s="5" t="n">
        <v>3.84</v>
      </c>
      <c r="T296" s="5" t="n">
        <v>1.12</v>
      </c>
      <c r="U296" s="5" t="n">
        <v>0.31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</row>
    <row r="297" customFormat="false" ht="15" hidden="false" customHeight="false" outlineLevel="0" collapsed="false">
      <c r="D297" s="0" t="s">
        <v>415</v>
      </c>
      <c r="E297" s="0" t="s">
        <v>109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0.2</v>
      </c>
      <c r="V297" s="5" t="n">
        <v>0.4</v>
      </c>
      <c r="W297" s="5" t="n">
        <v>0.4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</row>
    <row r="298" customFormat="false" ht="15" hidden="false" customHeight="false" outlineLevel="0" collapsed="false">
      <c r="D298" s="0" t="s">
        <v>416</v>
      </c>
      <c r="E298" s="0" t="s">
        <v>109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0.024460432114308</v>
      </c>
      <c r="Q298" s="5" t="n">
        <v>0.0254956399199363</v>
      </c>
      <c r="R298" s="5" t="n">
        <v>0.0267515222906662</v>
      </c>
      <c r="S298" s="5" t="n">
        <v>0.0275398463746851</v>
      </c>
      <c r="T298" s="5" t="n">
        <v>0.0288066694390464</v>
      </c>
      <c r="U298" s="5" t="n">
        <v>0.0297253648392077</v>
      </c>
      <c r="V298" s="5" t="n">
        <v>0.0316673019225092</v>
      </c>
      <c r="W298" s="5" t="n">
        <v>0.0326353519070817</v>
      </c>
      <c r="X298" s="5" t="n">
        <v>0.0317294685115491</v>
      </c>
      <c r="Y298" s="5" t="n">
        <v>0.0317443987963029</v>
      </c>
      <c r="Z298" s="5" t="n">
        <v>0.0330595043187038</v>
      </c>
      <c r="AA298" s="5" t="n">
        <v>0.0340242635392698</v>
      </c>
      <c r="AB298" s="5" t="n">
        <v>0.035649748512346</v>
      </c>
      <c r="AC298" s="5" t="n">
        <v>0.036830769646369</v>
      </c>
      <c r="AD298" s="5" t="n">
        <v>0.0402165127561107</v>
      </c>
      <c r="AE298" s="5" t="n">
        <v>0.0419450401653678</v>
      </c>
      <c r="AF298" s="5" t="n">
        <v>0.0434165471296656</v>
      </c>
      <c r="AG298" s="5" t="n">
        <v>0.0442268395359645</v>
      </c>
      <c r="AH298" s="5" t="n">
        <v>0.0464470950071792</v>
      </c>
      <c r="AI298" s="5" t="n">
        <v>0.0478108988283702</v>
      </c>
      <c r="AJ298" s="5" t="n">
        <v>0.0501190973065472</v>
      </c>
      <c r="AK298" s="5" t="n">
        <v>0.0517413637371501</v>
      </c>
      <c r="AL298" s="5" t="n">
        <v>0.0548633733406637</v>
      </c>
      <c r="AM298" s="5" t="n">
        <v>0.0560037067338176</v>
      </c>
      <c r="AN298" s="5" t="n">
        <v>0.0462023932183935</v>
      </c>
      <c r="AO298" s="5" t="n">
        <v>0.0468868501087888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</row>
    <row r="299" customFormat="false" ht="15" hidden="false" customHeight="false" outlineLevel="0" collapsed="false">
      <c r="D299" s="0" t="s">
        <v>417</v>
      </c>
      <c r="E299" s="0" t="s">
        <v>109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0.0249212166711209</v>
      </c>
      <c r="R299" s="5" t="n">
        <v>0.0266466004704004</v>
      </c>
      <c r="S299" s="5" t="n">
        <v>0.0275960445846777</v>
      </c>
      <c r="T299" s="5" t="n">
        <v>0.0288882506495965</v>
      </c>
      <c r="U299" s="5" t="n">
        <v>0.0296987112931962</v>
      </c>
      <c r="V299" s="5" t="n">
        <v>0.0310588576856184</v>
      </c>
      <c r="W299" s="5" t="n">
        <v>0.0327770673001025</v>
      </c>
      <c r="X299" s="5" t="n">
        <v>0.034279561122008</v>
      </c>
      <c r="Y299" s="5" t="n">
        <v>0.0318535235124711</v>
      </c>
      <c r="Z299" s="5" t="n">
        <v>0.0333514411257053</v>
      </c>
      <c r="AA299" s="5" t="n">
        <v>0.0340488277867749</v>
      </c>
      <c r="AB299" s="5" t="n">
        <v>0.0357056960010596</v>
      </c>
      <c r="AC299" s="5" t="n">
        <v>0.0367209101989231</v>
      </c>
      <c r="AD299" s="5" t="n">
        <v>0.0384689461355592</v>
      </c>
      <c r="AE299" s="5" t="n">
        <v>0.0415843849261383</v>
      </c>
      <c r="AF299" s="5" t="n">
        <v>0.0438224099131048</v>
      </c>
      <c r="AG299" s="5" t="n">
        <v>0.0441394906135041</v>
      </c>
      <c r="AH299" s="5" t="n">
        <v>0.0464208722331683</v>
      </c>
      <c r="AI299" s="5" t="n">
        <v>0.0478723213739675</v>
      </c>
      <c r="AJ299" s="5" t="n">
        <v>0.0502195640539474</v>
      </c>
      <c r="AK299" s="5" t="n">
        <v>0.0517089180255774</v>
      </c>
      <c r="AL299" s="5" t="n">
        <v>0.0541382044749565</v>
      </c>
      <c r="AM299" s="5" t="n">
        <v>0.0566614938231395</v>
      </c>
      <c r="AN299" s="5" t="n">
        <v>0.0594010445608311</v>
      </c>
      <c r="AO299" s="5" t="n">
        <v>0.0580156414644526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</row>
    <row r="300" customFormat="false" ht="15" hidden="false" customHeight="false" outlineLevel="0" collapsed="false">
      <c r="D300" s="0" t="s">
        <v>418</v>
      </c>
      <c r="E300" s="0" t="s">
        <v>109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0.0110928117058436</v>
      </c>
      <c r="Y300" s="5" t="n">
        <v>0.0161119282116736</v>
      </c>
      <c r="Z300" s="5" t="n">
        <v>0.0176162597995061</v>
      </c>
      <c r="AA300" s="5" t="n">
        <v>0.0175609036508394</v>
      </c>
      <c r="AB300" s="5" t="n">
        <v>0.0188807521848338</v>
      </c>
      <c r="AC300" s="5" t="n">
        <v>0.0189083405972589</v>
      </c>
      <c r="AD300" s="5" t="n">
        <v>0.0200242769192561</v>
      </c>
      <c r="AE300" s="5" t="n">
        <v>0.0220425537786885</v>
      </c>
      <c r="AF300" s="5" t="n">
        <v>0.0235364103397422</v>
      </c>
      <c r="AG300" s="5" t="n">
        <v>0.023762004055041</v>
      </c>
      <c r="AH300" s="5" t="n">
        <v>0.0251440584789066</v>
      </c>
      <c r="AI300" s="5" t="n">
        <v>0.0252274291704193</v>
      </c>
      <c r="AJ300" s="5" t="n">
        <v>0.0264963383554067</v>
      </c>
      <c r="AK300" s="5" t="n">
        <v>0.026611924416587</v>
      </c>
      <c r="AL300" s="5" t="n">
        <v>0.0277342733360669</v>
      </c>
      <c r="AM300" s="5" t="n">
        <v>0.0287404328314695</v>
      </c>
      <c r="AN300" s="5" t="n">
        <v>0.0299976714643956</v>
      </c>
      <c r="AO300" s="5" t="n">
        <v>0.0269687043518038</v>
      </c>
      <c r="AP300" s="5" t="n">
        <v>0.0936767169420366</v>
      </c>
      <c r="AQ300" s="5" t="n">
        <v>0.088961972417656</v>
      </c>
      <c r="AR300" s="5" t="n">
        <v>0.0936145845829308</v>
      </c>
      <c r="AS300" s="5" t="n">
        <v>0.0957636713551492</v>
      </c>
      <c r="AT300" s="5" t="n">
        <v>0.100345200848589</v>
      </c>
      <c r="AU300" s="5" t="n">
        <v>0.121180780205897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</row>
    <row r="301" customFormat="false" ht="15" hidden="false" customHeight="false" outlineLevel="0" collapsed="false">
      <c r="D301" s="0" t="s">
        <v>419</v>
      </c>
      <c r="E301" s="0" t="s">
        <v>149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506.604780058454</v>
      </c>
      <c r="Q301" s="5" t="n">
        <v>494.213008227051</v>
      </c>
      <c r="R301" s="5" t="n">
        <v>481.296795172962</v>
      </c>
      <c r="S301" s="5" t="n">
        <v>467.74434610667</v>
      </c>
      <c r="T301" s="5" t="n">
        <v>453.792528291179</v>
      </c>
      <c r="U301" s="5" t="n">
        <v>439.198931855794</v>
      </c>
      <c r="V301" s="5" t="n">
        <v>424.13991993927</v>
      </c>
      <c r="W301" s="5" t="n">
        <v>408.097113413773</v>
      </c>
      <c r="X301" s="5" t="n">
        <v>391.563888138755</v>
      </c>
      <c r="Y301" s="5" t="n">
        <v>375.48958772209</v>
      </c>
      <c r="Z301" s="5" t="n">
        <v>359.407723551801</v>
      </c>
      <c r="AA301" s="5" t="n">
        <v>342.659620637583</v>
      </c>
      <c r="AB301" s="5" t="n">
        <v>325.42276609062</v>
      </c>
      <c r="AC301" s="5" t="n">
        <v>307.362433086384</v>
      </c>
      <c r="AD301" s="5" t="n">
        <v>288.703789130302</v>
      </c>
      <c r="AE301" s="5" t="n">
        <v>268.329911530774</v>
      </c>
      <c r="AF301" s="5" t="n">
        <v>247.080353683255</v>
      </c>
      <c r="AG301" s="5" t="n">
        <v>225.085323373733</v>
      </c>
      <c r="AH301" s="5" t="n">
        <v>202.679795057935</v>
      </c>
      <c r="AI301" s="5" t="n">
        <v>179.149474707469</v>
      </c>
      <c r="AJ301" s="5" t="n">
        <v>154.928244822126</v>
      </c>
      <c r="AK301" s="5" t="n">
        <v>129.537670554414</v>
      </c>
      <c r="AL301" s="5" t="n">
        <v>103.325248358431</v>
      </c>
      <c r="AM301" s="5" t="n">
        <v>75.5312011739189</v>
      </c>
      <c r="AN301" s="5" t="n">
        <v>47.1594556415751</v>
      </c>
      <c r="AO301" s="5" t="n">
        <v>23.7531023869967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</row>
    <row r="302" customFormat="false" ht="15" hidden="false" customHeight="false" outlineLevel="0" collapsed="false">
      <c r="D302" s="0" t="s">
        <v>420</v>
      </c>
      <c r="E302" s="0" t="s">
        <v>103</v>
      </c>
      <c r="J302" s="5" t="n">
        <v>93.8</v>
      </c>
      <c r="K302" s="5" t="n">
        <v>92.9</v>
      </c>
      <c r="L302" s="5" t="n">
        <v>93.8</v>
      </c>
      <c r="M302" s="5" t="n">
        <v>90.6</v>
      </c>
      <c r="N302" s="5" t="n">
        <v>93.8</v>
      </c>
      <c r="O302" s="5" t="n">
        <v>92.9</v>
      </c>
      <c r="P302" s="5" t="n">
        <v>93.8</v>
      </c>
      <c r="Q302" s="5" t="n">
        <v>88.7</v>
      </c>
    </row>
    <row r="303" customFormat="false" ht="15" hidden="false" customHeight="false" outlineLevel="0" collapsed="false">
      <c r="D303" s="0" t="s">
        <v>421</v>
      </c>
      <c r="E303" s="0" t="s">
        <v>103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84</v>
      </c>
      <c r="R303" s="5" t="n">
        <v>81.5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</row>
    <row r="304" customFormat="false" ht="15" hidden="false" customHeight="false" outlineLevel="0" collapsed="false">
      <c r="B304" s="2" t="s">
        <v>422</v>
      </c>
    </row>
    <row r="305" customFormat="false" ht="15" hidden="false" customHeight="false" outlineLevel="0" collapsed="false">
      <c r="D305" s="0" t="s">
        <v>423</v>
      </c>
      <c r="E305" s="0" t="s">
        <v>103</v>
      </c>
      <c r="J305" s="5" t="n">
        <v>10</v>
      </c>
      <c r="K305" s="5" t="n">
        <v>0.0108</v>
      </c>
      <c r="L305" s="5" t="n">
        <v>0.1133</v>
      </c>
      <c r="M305" s="5" t="n">
        <v>0.3239</v>
      </c>
      <c r="N305" s="5" t="n">
        <v>0.6294</v>
      </c>
      <c r="O305" s="5" t="n">
        <v>1.0114</v>
      </c>
      <c r="P305" s="5" t="n">
        <v>1.4496</v>
      </c>
      <c r="Q305" s="5" t="n">
        <v>1.9236</v>
      </c>
      <c r="R305" s="5" t="n">
        <v>2.4133</v>
      </c>
      <c r="S305" s="5" t="n">
        <v>2.8999</v>
      </c>
      <c r="T305" s="5" t="n">
        <v>3.3659</v>
      </c>
      <c r="U305" s="5" t="n">
        <v>3.7957</v>
      </c>
      <c r="V305" s="5" t="n">
        <v>4.1755</v>
      </c>
      <c r="W305" s="5" t="n">
        <v>4.4935</v>
      </c>
      <c r="X305" s="5" t="n">
        <v>4.7405</v>
      </c>
      <c r="Y305" s="5" t="n">
        <v>4.9091</v>
      </c>
      <c r="Z305" s="5" t="n">
        <v>4.9946</v>
      </c>
      <c r="AA305" s="5" t="n">
        <v>4.9946</v>
      </c>
      <c r="AB305" s="5" t="n">
        <v>4.9091</v>
      </c>
      <c r="AC305" s="5" t="n">
        <v>4.7405</v>
      </c>
      <c r="AD305" s="5" t="n">
        <v>4.4935</v>
      </c>
      <c r="AE305" s="5" t="n">
        <v>4.1755</v>
      </c>
      <c r="AF305" s="5" t="n">
        <v>3.7957</v>
      </c>
      <c r="AG305" s="5" t="n">
        <v>3.3659</v>
      </c>
      <c r="AH305" s="5" t="n">
        <v>2.8999</v>
      </c>
      <c r="AI305" s="5" t="n">
        <v>2.4133</v>
      </c>
      <c r="AJ305" s="5" t="n">
        <v>1.9236</v>
      </c>
      <c r="AK305" s="5" t="n">
        <v>1.4496</v>
      </c>
      <c r="AL305" s="5" t="n">
        <v>1.0114</v>
      </c>
      <c r="AM305" s="5" t="n">
        <v>0.6294</v>
      </c>
      <c r="AN305" s="5" t="n">
        <v>0.3239</v>
      </c>
      <c r="AO305" s="5" t="n">
        <v>0.1133</v>
      </c>
      <c r="AP305" s="5" t="n">
        <v>7.5108</v>
      </c>
    </row>
    <row r="306" customFormat="false" ht="15" hidden="false" customHeight="false" outlineLevel="0" collapsed="false">
      <c r="D306" s="0" t="s">
        <v>424</v>
      </c>
      <c r="E306" s="0" t="s">
        <v>103</v>
      </c>
      <c r="J306" s="5" t="n">
        <v>10</v>
      </c>
      <c r="K306" s="5" t="n">
        <v>0.0102</v>
      </c>
      <c r="L306" s="5" t="n">
        <v>0.0868</v>
      </c>
      <c r="M306" s="5" t="n">
        <v>0.2284</v>
      </c>
      <c r="N306" s="5" t="n">
        <v>0.4235</v>
      </c>
      <c r="O306" s="5" t="n">
        <v>0.6612</v>
      </c>
      <c r="P306" s="5" t="n">
        <v>0.9313</v>
      </c>
      <c r="Q306" s="5" t="n">
        <v>1.2242</v>
      </c>
      <c r="R306" s="5" t="n">
        <v>1.5311</v>
      </c>
      <c r="S306" s="5" t="n">
        <v>1.8437</v>
      </c>
      <c r="T306" s="5" t="n">
        <v>2.1545</v>
      </c>
      <c r="U306" s="5" t="n">
        <v>2.4565</v>
      </c>
      <c r="V306" s="5" t="n">
        <v>2.7436</v>
      </c>
      <c r="W306" s="5" t="n">
        <v>3.01</v>
      </c>
      <c r="X306" s="5" t="n">
        <v>3.2509</v>
      </c>
      <c r="Y306" s="5" t="n">
        <v>3.4619</v>
      </c>
      <c r="Z306" s="5" t="n">
        <v>3.6396</v>
      </c>
      <c r="AA306" s="5" t="n">
        <v>3.7808</v>
      </c>
      <c r="AB306" s="5" t="n">
        <v>3.8833</v>
      </c>
      <c r="AC306" s="5" t="n">
        <v>3.9455</v>
      </c>
      <c r="AD306" s="5" t="n">
        <v>3.966</v>
      </c>
      <c r="AE306" s="5" t="n">
        <v>3.9455</v>
      </c>
      <c r="AF306" s="5" t="n">
        <v>3.8833</v>
      </c>
      <c r="AG306" s="5" t="n">
        <v>3.7808</v>
      </c>
      <c r="AH306" s="5" t="n">
        <v>3.6396</v>
      </c>
      <c r="AI306" s="5" t="n">
        <v>3.4619</v>
      </c>
      <c r="AJ306" s="5" t="n">
        <v>3.2509</v>
      </c>
      <c r="AK306" s="5" t="n">
        <v>3.01</v>
      </c>
      <c r="AL306" s="5" t="n">
        <v>2.7436</v>
      </c>
      <c r="AM306" s="5" t="n">
        <v>2.4565</v>
      </c>
      <c r="AN306" s="5" t="n">
        <v>2.1545</v>
      </c>
      <c r="AO306" s="5" t="n">
        <v>1.8437</v>
      </c>
      <c r="AP306" s="5" t="n">
        <v>1.5311</v>
      </c>
      <c r="AQ306" s="5" t="n">
        <v>1.2242</v>
      </c>
      <c r="AR306" s="5" t="n">
        <v>0.9313</v>
      </c>
      <c r="AS306" s="5" t="n">
        <v>0.6612</v>
      </c>
      <c r="AT306" s="5" t="n">
        <v>0.4235</v>
      </c>
      <c r="AU306" s="5" t="n">
        <v>0.2284</v>
      </c>
      <c r="AV306" s="5" t="n">
        <v>0.0868</v>
      </c>
      <c r="AW306" s="5" t="n">
        <v>7.5102</v>
      </c>
    </row>
    <row r="307" customFormat="false" ht="15" hidden="false" customHeight="false" outlineLevel="0" collapsed="false">
      <c r="D307" s="0" t="s">
        <v>425</v>
      </c>
      <c r="E307" s="0" t="s">
        <v>103</v>
      </c>
      <c r="J307" s="5" t="n">
        <v>12</v>
      </c>
      <c r="K307" s="5" t="n">
        <v>2.75</v>
      </c>
      <c r="L307" s="5" t="n">
        <v>2.75</v>
      </c>
      <c r="M307" s="5" t="n">
        <v>2.75</v>
      </c>
      <c r="N307" s="5" t="n">
        <v>2.75</v>
      </c>
      <c r="O307" s="5" t="n">
        <v>2.75</v>
      </c>
      <c r="P307" s="5" t="n">
        <v>2.75</v>
      </c>
      <c r="Q307" s="5" t="n">
        <v>2.75</v>
      </c>
      <c r="R307" s="5" t="n">
        <v>2.75</v>
      </c>
      <c r="S307" s="5" t="n">
        <v>2.75</v>
      </c>
      <c r="T307" s="5" t="n">
        <v>2.75</v>
      </c>
      <c r="U307" s="5" t="n">
        <v>2.75</v>
      </c>
      <c r="V307" s="5" t="n">
        <v>2.75</v>
      </c>
      <c r="W307" s="5" t="n">
        <v>2.75</v>
      </c>
      <c r="X307" s="5" t="n">
        <v>2.75</v>
      </c>
      <c r="Y307" s="5" t="n">
        <v>2.75</v>
      </c>
      <c r="Z307" s="5" t="n">
        <v>2.75</v>
      </c>
      <c r="AA307" s="5" t="n">
        <v>2.75</v>
      </c>
      <c r="AB307" s="5" t="n">
        <v>2.75</v>
      </c>
      <c r="AC307" s="5" t="n">
        <v>2.75</v>
      </c>
      <c r="AD307" s="5" t="n">
        <v>2.75</v>
      </c>
      <c r="AE307" s="5" t="n">
        <v>2.75</v>
      </c>
      <c r="AF307" s="5" t="n">
        <v>2.75</v>
      </c>
      <c r="AG307" s="5" t="n">
        <v>2.75</v>
      </c>
      <c r="AH307" s="5" t="n">
        <v>2.75</v>
      </c>
      <c r="AI307" s="5" t="n">
        <v>2.75</v>
      </c>
      <c r="AJ307" s="5" t="n">
        <v>2.75</v>
      </c>
      <c r="AK307" s="5" t="n">
        <v>2.75</v>
      </c>
      <c r="AL307" s="5" t="n">
        <v>2.75</v>
      </c>
      <c r="AM307" s="5" t="n">
        <v>2.75</v>
      </c>
      <c r="AN307" s="5" t="n">
        <v>2.75</v>
      </c>
      <c r="AO307" s="5" t="n">
        <v>2.75</v>
      </c>
      <c r="AP307" s="5" t="n">
        <v>2.75</v>
      </c>
    </row>
    <row r="308" customFormat="false" ht="15" hidden="false" customHeight="false" outlineLevel="0" collapsed="false">
      <c r="D308" s="0" t="s">
        <v>426</v>
      </c>
      <c r="E308" s="0" t="s">
        <v>149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0.3425</v>
      </c>
      <c r="AE308" s="5" t="n">
        <v>0.3425</v>
      </c>
      <c r="AF308" s="5" t="n">
        <v>0.3425</v>
      </c>
      <c r="AG308" s="5" t="n">
        <v>0.3425</v>
      </c>
      <c r="AH308" s="5" t="n">
        <v>0.3425</v>
      </c>
      <c r="AI308" s="5" t="n">
        <v>0.3425</v>
      </c>
      <c r="AJ308" s="5" t="n">
        <v>1.90916666666667</v>
      </c>
      <c r="AK308" s="5" t="n">
        <v>1.90916666666667</v>
      </c>
      <c r="AL308" s="5" t="n">
        <v>1.90916666666667</v>
      </c>
      <c r="AM308" s="5" t="n">
        <v>2.45416666666667</v>
      </c>
      <c r="AN308" s="5" t="n">
        <v>2.45416666666667</v>
      </c>
      <c r="AO308" s="5" t="n">
        <v>2.45416666666667</v>
      </c>
      <c r="AP308" s="5" t="n">
        <v>0.545</v>
      </c>
      <c r="AQ308" s="5" t="n">
        <v>8.11214285714286</v>
      </c>
      <c r="AR308" s="5" t="n">
        <v>6.69214285714286</v>
      </c>
      <c r="AS308" s="5" t="n">
        <v>7.14714285714286</v>
      </c>
      <c r="AT308" s="5" t="n">
        <v>6.14714285714286</v>
      </c>
      <c r="AU308" s="5" t="n">
        <v>8.78714285714286</v>
      </c>
      <c r="AV308" s="5" t="n">
        <v>6.83214285714286</v>
      </c>
      <c r="AW308" s="5" t="n">
        <v>15.1021428571429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</row>
    <row r="309" customFormat="false" ht="15" hidden="false" customHeight="false" outlineLevel="0" collapsed="false">
      <c r="D309" s="0" t="s">
        <v>427</v>
      </c>
      <c r="E309" s="0" t="s">
        <v>149</v>
      </c>
      <c r="J309" s="5" t="n">
        <v>0</v>
      </c>
      <c r="K309" s="5" t="n">
        <v>72.038294745219</v>
      </c>
      <c r="L309" s="5" t="n">
        <v>73.5188727634301</v>
      </c>
      <c r="M309" s="5" t="n">
        <v>75.4061755390283</v>
      </c>
      <c r="N309" s="5" t="n">
        <v>78.0742147371756</v>
      </c>
      <c r="O309" s="5" t="n">
        <v>81.9159930804807</v>
      </c>
      <c r="P309" s="5" t="n">
        <v>87.2100026806785</v>
      </c>
      <c r="Q309" s="5" t="n">
        <v>94.1161870320207</v>
      </c>
      <c r="R309" s="5" t="n">
        <v>102.882341590788</v>
      </c>
      <c r="S309" s="5" t="n">
        <v>113.502241333422</v>
      </c>
      <c r="T309" s="5" t="n">
        <v>126.009719559759</v>
      </c>
      <c r="U309" s="5" t="n">
        <v>140.283618220881</v>
      </c>
      <c r="V309" s="5" t="n">
        <v>156.251143836047</v>
      </c>
      <c r="W309" s="5" t="n">
        <v>173.70770245687</v>
      </c>
      <c r="X309" s="5" t="n">
        <v>192.40256095453</v>
      </c>
      <c r="Y309" s="5" t="n">
        <v>212.12249619229</v>
      </c>
      <c r="Z309" s="5" t="n">
        <v>232.524998799284</v>
      </c>
      <c r="AA309" s="5" t="n">
        <v>253.355055082995</v>
      </c>
      <c r="AB309" s="5" t="n">
        <v>274.962511213658</v>
      </c>
      <c r="AC309" s="5" t="n">
        <v>295.573347969675</v>
      </c>
      <c r="AD309" s="5" t="n">
        <v>315.694288641713</v>
      </c>
      <c r="AE309" s="5" t="n">
        <v>334.928570701731</v>
      </c>
      <c r="AF309" s="5" t="n">
        <v>353.076211300926</v>
      </c>
      <c r="AG309" s="5" t="n">
        <v>369.827085578369</v>
      </c>
      <c r="AH309" s="5" t="n">
        <v>385.065863152433</v>
      </c>
      <c r="AI309" s="5" t="n">
        <v>398.61005725205</v>
      </c>
      <c r="AJ309" s="5" t="n">
        <v>410.334188843346</v>
      </c>
      <c r="AK309" s="5" t="n">
        <v>420.301584953568</v>
      </c>
      <c r="AL309" s="5" t="n">
        <v>428.480478068478</v>
      </c>
      <c r="AM309" s="5" t="n">
        <v>435.083252022206</v>
      </c>
      <c r="AN309" s="5" t="n">
        <v>440.274336168893</v>
      </c>
      <c r="AO309" s="5" t="n">
        <v>444.202704163639</v>
      </c>
      <c r="AP309" s="5" t="n">
        <v>447.481635057216</v>
      </c>
      <c r="AQ309" s="5" t="n">
        <v>479.624991969377</v>
      </c>
      <c r="AR309" s="5" t="n">
        <v>504.400258343845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428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430</v>
      </c>
    </row>
    <row r="8" customFormat="false" ht="15" hidden="false" customHeight="false" outlineLevel="0" collapsed="false">
      <c r="D8" s="0" t="s">
        <v>431</v>
      </c>
      <c r="E8" s="0" t="s">
        <v>296</v>
      </c>
      <c r="F8" s="9" t="n">
        <f aca="false">IF(Inputs!$F$34&lt;&gt;1,Inputs!$F$191,EDATE(Inputs!$F$190,Inputs!$F$35))</f>
        <v>44531</v>
      </c>
    </row>
    <row r="9" customFormat="false" ht="15" hidden="false" customHeight="false" outlineLevel="0" collapsed="false">
      <c r="D9" s="0" t="s">
        <v>320</v>
      </c>
      <c r="E9" s="0" t="s">
        <v>97</v>
      </c>
      <c r="F9" s="10" t="n">
        <f aca="false">Inputs!$F$210*12</f>
        <v>300</v>
      </c>
    </row>
    <row r="10" customFormat="false" ht="15" hidden="false" customHeight="false" outlineLevel="0" collapsed="false">
      <c r="D10" s="0" t="s">
        <v>432</v>
      </c>
      <c r="E10" s="0" t="s">
        <v>296</v>
      </c>
      <c r="F10" s="9" t="n">
        <f aca="false">EDATE(Time!$F$8,Time!$F$9)-1</f>
        <v>53661</v>
      </c>
    </row>
    <row r="11" customFormat="false" ht="15" hidden="false" customHeight="false" outlineLevel="0" collapsed="false">
      <c r="D11" s="0" t="s">
        <v>433</v>
      </c>
      <c r="E11" s="0" t="s">
        <v>97</v>
      </c>
      <c r="F11" s="10" t="n">
        <f aca="false">(YEAR(Time!$F$8)-YEAR(Inputs!$F$188))*12+MONTH(Time!$F$8)-MONTH(Inputs!$F$188)</f>
        <v>40</v>
      </c>
    </row>
    <row r="12" customFormat="false" ht="15" hidden="false" customHeight="false" outlineLevel="0" collapsed="false">
      <c r="D12" s="0" t="s">
        <v>434</v>
      </c>
      <c r="E12" s="0" t="s">
        <v>91</v>
      </c>
      <c r="F12" s="10" t="n">
        <f aca="false">MATCH($F$8,$J$22:$BN$22,1)</f>
        <v>7</v>
      </c>
    </row>
    <row r="13" customFormat="false" ht="15" hidden="false" customHeight="false" outlineLevel="0" collapsed="false">
      <c r="D13" s="0" t="s">
        <v>435</v>
      </c>
      <c r="E13" s="0" t="s">
        <v>91</v>
      </c>
      <c r="F13" s="10" t="n">
        <f aca="false">Time!$F$12+1</f>
        <v>8</v>
      </c>
    </row>
    <row r="14" customFormat="false" ht="15" hidden="false" customHeight="false" outlineLevel="0" collapsed="false">
      <c r="D14" s="0" t="s">
        <v>436</v>
      </c>
      <c r="E14" s="0" t="s">
        <v>91</v>
      </c>
      <c r="F14" s="10" t="n">
        <f aca="false">MATCH(INDEX($J$23:$BN$23,1,$F$12),Construction!$J$10:$BJ$10,0)</f>
        <v>41</v>
      </c>
    </row>
    <row r="15" customFormat="false" ht="15" hidden="false" customHeight="false" outlineLevel="0" collapsed="false">
      <c r="D15" s="0" t="s">
        <v>437</v>
      </c>
      <c r="E15" s="0" t="s">
        <v>91</v>
      </c>
      <c r="F15" s="10" t="n">
        <f aca="false">SUMPRODUCT($J$37:$BN$37,$J$20:$BN$20)</f>
        <v>57</v>
      </c>
    </row>
    <row r="16" customFormat="false" ht="15" hidden="false" customHeight="false" outlineLevel="0" collapsed="false">
      <c r="D16" s="0" t="s">
        <v>438</v>
      </c>
      <c r="E16" s="0" t="s">
        <v>99</v>
      </c>
      <c r="F16" s="11" t="n">
        <f aca="false">(1+Inputs!$F$213/100)/(1+Inputs!$F$214/100)</f>
        <v>1.05185909980431</v>
      </c>
    </row>
    <row r="17" customFormat="false" ht="15" hidden="false" customHeight="false" outlineLevel="0" collapsed="false">
      <c r="D17" s="0" t="s">
        <v>439</v>
      </c>
      <c r="E17" s="0" t="s">
        <v>91</v>
      </c>
      <c r="F17" s="10" t="n">
        <f aca="false">MATCH(Inputs!$F$205,$J$23:$BN$23,0)</f>
        <v>14</v>
      </c>
    </row>
    <row r="18" customFormat="false" ht="15" hidden="false" customHeight="false" outlineLevel="0" collapsed="false">
      <c r="D18" s="0" t="s">
        <v>440</v>
      </c>
      <c r="E18" s="0" t="s">
        <v>91</v>
      </c>
      <c r="F18" s="10" t="n">
        <f aca="false">MATCH(Inputs!$F$200,$J$23:$BN$23,0)</f>
        <v>11</v>
      </c>
    </row>
    <row r="19" customFormat="false" ht="15" hidden="false" customHeight="false" outlineLevel="0" collapsed="false">
      <c r="B19" s="2" t="s">
        <v>441</v>
      </c>
    </row>
    <row r="20" customFormat="false" ht="15" hidden="false" customHeight="false" outlineLevel="0" collapsed="false">
      <c r="D20" s="0" t="s">
        <v>442</v>
      </c>
      <c r="E20" s="0" t="s">
        <v>91</v>
      </c>
      <c r="J20" s="10" t="n">
        <f aca="false">I20+1</f>
        <v>1</v>
      </c>
      <c r="K20" s="10" t="n">
        <f aca="false">J20+1</f>
        <v>2</v>
      </c>
      <c r="L20" s="10" t="n">
        <f aca="false">K20+1</f>
        <v>3</v>
      </c>
      <c r="M20" s="10" t="n">
        <f aca="false">L20+1</f>
        <v>4</v>
      </c>
      <c r="N20" s="10" t="n">
        <f aca="false">M20+1</f>
        <v>5</v>
      </c>
      <c r="O20" s="10" t="n">
        <f aca="false">N20+1</f>
        <v>6</v>
      </c>
      <c r="P20" s="10" t="n">
        <f aca="false">O20+1</f>
        <v>7</v>
      </c>
      <c r="Q20" s="10" t="n">
        <f aca="false">P20+1</f>
        <v>8</v>
      </c>
      <c r="R20" s="10" t="n">
        <f aca="false">Q20+1</f>
        <v>9</v>
      </c>
      <c r="S20" s="10" t="n">
        <f aca="false">R20+1</f>
        <v>10</v>
      </c>
      <c r="T20" s="10" t="n">
        <f aca="false">S20+1</f>
        <v>11</v>
      </c>
      <c r="U20" s="10" t="n">
        <f aca="false">T20+1</f>
        <v>12</v>
      </c>
      <c r="V20" s="10" t="n">
        <f aca="false">U20+1</f>
        <v>13</v>
      </c>
      <c r="W20" s="10" t="n">
        <f aca="false">V20+1</f>
        <v>14</v>
      </c>
      <c r="X20" s="10" t="n">
        <f aca="false">W20+1</f>
        <v>15</v>
      </c>
      <c r="Y20" s="10" t="n">
        <f aca="false">X20+1</f>
        <v>16</v>
      </c>
      <c r="Z20" s="10" t="n">
        <f aca="false">Y20+1</f>
        <v>17</v>
      </c>
      <c r="AA20" s="10" t="n">
        <f aca="false">Z20+1</f>
        <v>18</v>
      </c>
      <c r="AB20" s="10" t="n">
        <f aca="false">AA20+1</f>
        <v>19</v>
      </c>
      <c r="AC20" s="10" t="n">
        <f aca="false">AB20+1</f>
        <v>20</v>
      </c>
      <c r="AD20" s="10" t="n">
        <f aca="false">AC20+1</f>
        <v>21</v>
      </c>
      <c r="AE20" s="10" t="n">
        <f aca="false">AD20+1</f>
        <v>22</v>
      </c>
      <c r="AF20" s="10" t="n">
        <f aca="false">AE20+1</f>
        <v>23</v>
      </c>
      <c r="AG20" s="10" t="n">
        <f aca="false">AF20+1</f>
        <v>24</v>
      </c>
      <c r="AH20" s="10" t="n">
        <f aca="false">AG20+1</f>
        <v>25</v>
      </c>
      <c r="AI20" s="10" t="n">
        <f aca="false">AH20+1</f>
        <v>26</v>
      </c>
      <c r="AJ20" s="10" t="n">
        <f aca="false">AI20+1</f>
        <v>27</v>
      </c>
      <c r="AK20" s="10" t="n">
        <f aca="false">AJ20+1</f>
        <v>28</v>
      </c>
      <c r="AL20" s="10" t="n">
        <f aca="false">AK20+1</f>
        <v>29</v>
      </c>
      <c r="AM20" s="10" t="n">
        <f aca="false">AL20+1</f>
        <v>30</v>
      </c>
      <c r="AN20" s="10" t="n">
        <f aca="false">AM20+1</f>
        <v>31</v>
      </c>
      <c r="AO20" s="10" t="n">
        <f aca="false">AN20+1</f>
        <v>32</v>
      </c>
      <c r="AP20" s="10" t="n">
        <f aca="false">AO20+1</f>
        <v>33</v>
      </c>
      <c r="AQ20" s="10" t="n">
        <f aca="false">AP20+1</f>
        <v>34</v>
      </c>
      <c r="AR20" s="10" t="n">
        <f aca="false">AQ20+1</f>
        <v>35</v>
      </c>
      <c r="AS20" s="10" t="n">
        <f aca="false">AR20+1</f>
        <v>36</v>
      </c>
      <c r="AT20" s="10" t="n">
        <f aca="false">AS20+1</f>
        <v>37</v>
      </c>
      <c r="AU20" s="10" t="n">
        <f aca="false">AT20+1</f>
        <v>38</v>
      </c>
      <c r="AV20" s="10" t="n">
        <f aca="false">AU20+1</f>
        <v>39</v>
      </c>
      <c r="AW20" s="10" t="n">
        <f aca="false">AV20+1</f>
        <v>40</v>
      </c>
      <c r="AX20" s="10" t="n">
        <f aca="false">AW20+1</f>
        <v>41</v>
      </c>
      <c r="AY20" s="10" t="n">
        <f aca="false">AX20+1</f>
        <v>42</v>
      </c>
      <c r="AZ20" s="10" t="n">
        <f aca="false">AY20+1</f>
        <v>43</v>
      </c>
      <c r="BA20" s="10" t="n">
        <f aca="false">AZ20+1</f>
        <v>44</v>
      </c>
      <c r="BB20" s="10" t="n">
        <f aca="false">BA20+1</f>
        <v>45</v>
      </c>
      <c r="BC20" s="10" t="n">
        <f aca="false">BB20+1</f>
        <v>46</v>
      </c>
      <c r="BD20" s="10" t="n">
        <f aca="false">BC20+1</f>
        <v>47</v>
      </c>
      <c r="BE20" s="10" t="n">
        <f aca="false">BD20+1</f>
        <v>48</v>
      </c>
      <c r="BF20" s="10" t="n">
        <f aca="false">BE20+1</f>
        <v>49</v>
      </c>
      <c r="BG20" s="10" t="n">
        <f aca="false">BF20+1</f>
        <v>50</v>
      </c>
      <c r="BH20" s="10" t="n">
        <f aca="false">BG20+1</f>
        <v>51</v>
      </c>
      <c r="BI20" s="10" t="n">
        <f aca="false">BH20+1</f>
        <v>52</v>
      </c>
      <c r="BJ20" s="10" t="n">
        <f aca="false">BI20+1</f>
        <v>53</v>
      </c>
      <c r="BK20" s="10" t="n">
        <f aca="false">BJ20+1</f>
        <v>54</v>
      </c>
      <c r="BL20" s="10" t="n">
        <f aca="false">BK20+1</f>
        <v>55</v>
      </c>
      <c r="BM20" s="10" t="n">
        <f aca="false">BL20+1</f>
        <v>56</v>
      </c>
      <c r="BN20" s="10" t="n">
        <f aca="false">BM20+1</f>
        <v>57</v>
      </c>
    </row>
    <row r="21" customFormat="false" ht="15" hidden="false" customHeight="false" outlineLevel="0" collapsed="false">
      <c r="D21" s="0" t="s">
        <v>443</v>
      </c>
      <c r="E21" s="0" t="s">
        <v>97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444</v>
      </c>
      <c r="E22" s="0" t="s">
        <v>296</v>
      </c>
      <c r="J22" s="9" t="n">
        <f aca="false">IF(J20=1,Inputs!$F$189,EDATE(I22,J21))</f>
        <v>43282</v>
      </c>
      <c r="K22" s="9" t="n">
        <f aca="false">IF(K20=1,Inputs!$F$189,EDATE(J22,K21))</f>
        <v>43466</v>
      </c>
      <c r="L22" s="9" t="n">
        <f aca="false">IF(L20=1,Inputs!$F$189,EDATE(K22,L21))</f>
        <v>43647</v>
      </c>
      <c r="M22" s="9" t="n">
        <f aca="false">IF(M20=1,Inputs!$F$189,EDATE(L22,M21))</f>
        <v>43831</v>
      </c>
      <c r="N22" s="9" t="n">
        <f aca="false">IF(N20=1,Inputs!$F$189,EDATE(M22,N21))</f>
        <v>44013</v>
      </c>
      <c r="O22" s="9" t="n">
        <f aca="false">IF(O20=1,Inputs!$F$189,EDATE(N22,O21))</f>
        <v>44197</v>
      </c>
      <c r="P22" s="9" t="n">
        <f aca="false">IF(P20=1,Inputs!$F$189,EDATE(O22,P21))</f>
        <v>44378</v>
      </c>
      <c r="Q22" s="9" t="n">
        <f aca="false">IF(Q20=1,Inputs!$F$189,EDATE(P22,Q21))</f>
        <v>44562</v>
      </c>
      <c r="R22" s="9" t="n">
        <f aca="false">IF(R20=1,Inputs!$F$189,EDATE(Q22,R21))</f>
        <v>44743</v>
      </c>
      <c r="S22" s="9" t="n">
        <f aca="false">IF(S20=1,Inputs!$F$189,EDATE(R22,S21))</f>
        <v>44927</v>
      </c>
      <c r="T22" s="9" t="n">
        <f aca="false">IF(T20=1,Inputs!$F$189,EDATE(S22,T21))</f>
        <v>45108</v>
      </c>
      <c r="U22" s="9" t="n">
        <f aca="false">IF(U20=1,Inputs!$F$189,EDATE(T22,U21))</f>
        <v>45292</v>
      </c>
      <c r="V22" s="9" t="n">
        <f aca="false">IF(V20=1,Inputs!$F$189,EDATE(U22,V21))</f>
        <v>45474</v>
      </c>
      <c r="W22" s="9" t="n">
        <f aca="false">IF(W20=1,Inputs!$F$189,EDATE(V22,W21))</f>
        <v>45658</v>
      </c>
      <c r="X22" s="9" t="n">
        <f aca="false">IF(X20=1,Inputs!$F$189,EDATE(W22,X21))</f>
        <v>45839</v>
      </c>
      <c r="Y22" s="9" t="n">
        <f aca="false">IF(Y20=1,Inputs!$F$189,EDATE(X22,Y21))</f>
        <v>46023</v>
      </c>
      <c r="Z22" s="9" t="n">
        <f aca="false">IF(Z20=1,Inputs!$F$189,EDATE(Y22,Z21))</f>
        <v>46204</v>
      </c>
      <c r="AA22" s="9" t="n">
        <f aca="false">IF(AA20=1,Inputs!$F$189,EDATE(Z22,AA21))</f>
        <v>46388</v>
      </c>
      <c r="AB22" s="9" t="n">
        <f aca="false">IF(AB20=1,Inputs!$F$189,EDATE(AA22,AB21))</f>
        <v>46569</v>
      </c>
      <c r="AC22" s="9" t="n">
        <f aca="false">IF(AC20=1,Inputs!$F$189,EDATE(AB22,AC21))</f>
        <v>46753</v>
      </c>
      <c r="AD22" s="9" t="n">
        <f aca="false">IF(AD20=1,Inputs!$F$189,EDATE(AC22,AD21))</f>
        <v>46935</v>
      </c>
      <c r="AE22" s="9" t="n">
        <f aca="false">IF(AE20=1,Inputs!$F$189,EDATE(AD22,AE21))</f>
        <v>47119</v>
      </c>
      <c r="AF22" s="9" t="n">
        <f aca="false">IF(AF20=1,Inputs!$F$189,EDATE(AE22,AF21))</f>
        <v>47300</v>
      </c>
      <c r="AG22" s="9" t="n">
        <f aca="false">IF(AG20=1,Inputs!$F$189,EDATE(AF22,AG21))</f>
        <v>47484</v>
      </c>
      <c r="AH22" s="9" t="n">
        <f aca="false">IF(AH20=1,Inputs!$F$189,EDATE(AG22,AH21))</f>
        <v>47665</v>
      </c>
      <c r="AI22" s="9" t="n">
        <f aca="false">IF(AI20=1,Inputs!$F$189,EDATE(AH22,AI21))</f>
        <v>47849</v>
      </c>
      <c r="AJ22" s="9" t="n">
        <f aca="false">IF(AJ20=1,Inputs!$F$189,EDATE(AI22,AJ21))</f>
        <v>48030</v>
      </c>
      <c r="AK22" s="9" t="n">
        <f aca="false">IF(AK20=1,Inputs!$F$189,EDATE(AJ22,AK21))</f>
        <v>48214</v>
      </c>
      <c r="AL22" s="9" t="n">
        <f aca="false">IF(AL20=1,Inputs!$F$189,EDATE(AK22,AL21))</f>
        <v>48396</v>
      </c>
      <c r="AM22" s="9" t="n">
        <f aca="false">IF(AM20=1,Inputs!$F$189,EDATE(AL22,AM21))</f>
        <v>48580</v>
      </c>
      <c r="AN22" s="9" t="n">
        <f aca="false">IF(AN20=1,Inputs!$F$189,EDATE(AM22,AN21))</f>
        <v>48761</v>
      </c>
      <c r="AO22" s="9" t="n">
        <f aca="false">IF(AO20=1,Inputs!$F$189,EDATE(AN22,AO21))</f>
        <v>48945</v>
      </c>
      <c r="AP22" s="9" t="n">
        <f aca="false">IF(AP20=1,Inputs!$F$189,EDATE(AO22,AP21))</f>
        <v>49126</v>
      </c>
      <c r="AQ22" s="9" t="n">
        <f aca="false">IF(AQ20=1,Inputs!$F$189,EDATE(AP22,AQ21))</f>
        <v>49310</v>
      </c>
      <c r="AR22" s="9" t="n">
        <f aca="false">IF(AR20=1,Inputs!$F$189,EDATE(AQ22,AR21))</f>
        <v>49491</v>
      </c>
      <c r="AS22" s="9" t="n">
        <f aca="false">IF(AS20=1,Inputs!$F$189,EDATE(AR22,AS21))</f>
        <v>49675</v>
      </c>
      <c r="AT22" s="9" t="n">
        <f aca="false">IF(AT20=1,Inputs!$F$189,EDATE(AS22,AT21))</f>
        <v>49857</v>
      </c>
      <c r="AU22" s="9" t="n">
        <f aca="false">IF(AU20=1,Inputs!$F$189,EDATE(AT22,AU21))</f>
        <v>50041</v>
      </c>
      <c r="AV22" s="9" t="n">
        <f aca="false">IF(AV20=1,Inputs!$F$189,EDATE(AU22,AV21))</f>
        <v>50222</v>
      </c>
      <c r="AW22" s="9" t="n">
        <f aca="false">IF(AW20=1,Inputs!$F$189,EDATE(AV22,AW21))</f>
        <v>50406</v>
      </c>
      <c r="AX22" s="9" t="n">
        <f aca="false">IF(AX20=1,Inputs!$F$189,EDATE(AW22,AX21))</f>
        <v>50587</v>
      </c>
      <c r="AY22" s="9" t="n">
        <f aca="false">IF(AY20=1,Inputs!$F$189,EDATE(AX22,AY21))</f>
        <v>50771</v>
      </c>
      <c r="AZ22" s="9" t="n">
        <f aca="false">IF(AZ20=1,Inputs!$F$189,EDATE(AY22,AZ21))</f>
        <v>50952</v>
      </c>
      <c r="BA22" s="9" t="n">
        <f aca="false">IF(BA20=1,Inputs!$F$189,EDATE(AZ22,BA21))</f>
        <v>51136</v>
      </c>
      <c r="BB22" s="9" t="n">
        <f aca="false">IF(BB20=1,Inputs!$F$189,EDATE(BA22,BB21))</f>
        <v>51318</v>
      </c>
      <c r="BC22" s="9" t="n">
        <f aca="false">IF(BC20=1,Inputs!$F$189,EDATE(BB22,BC21))</f>
        <v>51502</v>
      </c>
      <c r="BD22" s="9" t="n">
        <f aca="false">IF(BD20=1,Inputs!$F$189,EDATE(BC22,BD21))</f>
        <v>51683</v>
      </c>
      <c r="BE22" s="9" t="n">
        <f aca="false">IF(BE20=1,Inputs!$F$189,EDATE(BD22,BE21))</f>
        <v>51867</v>
      </c>
      <c r="BF22" s="9" t="n">
        <f aca="false">IF(BF20=1,Inputs!$F$189,EDATE(BE22,BF21))</f>
        <v>52048</v>
      </c>
      <c r="BG22" s="9" t="n">
        <f aca="false">IF(BG20=1,Inputs!$F$189,EDATE(BF22,BG21))</f>
        <v>52232</v>
      </c>
      <c r="BH22" s="9" t="n">
        <f aca="false">IF(BH20=1,Inputs!$F$189,EDATE(BG22,BH21))</f>
        <v>52413</v>
      </c>
      <c r="BI22" s="9" t="n">
        <f aca="false">IF(BI20=1,Inputs!$F$189,EDATE(BH22,BI21))</f>
        <v>52597</v>
      </c>
      <c r="BJ22" s="9" t="n">
        <f aca="false">IF(BJ20=1,Inputs!$F$189,EDATE(BI22,BJ21))</f>
        <v>52779</v>
      </c>
      <c r="BK22" s="9" t="n">
        <f aca="false">IF(BK20=1,Inputs!$F$189,EDATE(BJ22,BK21))</f>
        <v>52963</v>
      </c>
      <c r="BL22" s="9" t="n">
        <f aca="false">IF(BL20=1,Inputs!$F$189,EDATE(BK22,BL21))</f>
        <v>53144</v>
      </c>
      <c r="BM22" s="9" t="n">
        <f aca="false">IF(BM20=1,Inputs!$F$189,EDATE(BL22,BM21))</f>
        <v>53328</v>
      </c>
      <c r="BN22" s="9" t="n">
        <f aca="false">IF(BN20=1,Inputs!$F$189,EDATE(BM22,BN21))</f>
        <v>53509</v>
      </c>
    </row>
    <row r="23" customFormat="false" ht="15" hidden="false" customHeight="false" outlineLevel="0" collapsed="false">
      <c r="D23" s="0" t="s">
        <v>445</v>
      </c>
      <c r="E23" s="0" t="s">
        <v>296</v>
      </c>
      <c r="J23" s="9" t="n">
        <f aca="false">EOMONTH(J22,J21-1)</f>
        <v>43465</v>
      </c>
      <c r="K23" s="9" t="n">
        <f aca="false">EOMONTH(K22,K21-1)</f>
        <v>43646</v>
      </c>
      <c r="L23" s="9" t="n">
        <f aca="false">EOMONTH(L22,L21-1)</f>
        <v>43830</v>
      </c>
      <c r="M23" s="9" t="n">
        <f aca="false">EOMONTH(M22,M21-1)</f>
        <v>44012</v>
      </c>
      <c r="N23" s="9" t="n">
        <f aca="false">EOMONTH(N22,N21-1)</f>
        <v>44196</v>
      </c>
      <c r="O23" s="9" t="n">
        <f aca="false">EOMONTH(O22,O21-1)</f>
        <v>44377</v>
      </c>
      <c r="P23" s="9" t="n">
        <f aca="false">EOMONTH(P22,P21-1)</f>
        <v>44561</v>
      </c>
      <c r="Q23" s="9" t="n">
        <f aca="false">EOMONTH(Q22,Q21-1)</f>
        <v>44742</v>
      </c>
      <c r="R23" s="9" t="n">
        <f aca="false">EOMONTH(R22,R21-1)</f>
        <v>44926</v>
      </c>
      <c r="S23" s="9" t="n">
        <f aca="false">EOMONTH(S22,S21-1)</f>
        <v>45107</v>
      </c>
      <c r="T23" s="9" t="n">
        <f aca="false">EOMONTH(T22,T21-1)</f>
        <v>45291</v>
      </c>
      <c r="U23" s="9" t="n">
        <f aca="false">EOMONTH(U22,U21-1)</f>
        <v>45473</v>
      </c>
      <c r="V23" s="9" t="n">
        <f aca="false">EOMONTH(V22,V21-1)</f>
        <v>45657</v>
      </c>
      <c r="W23" s="9" t="n">
        <f aca="false">EOMONTH(W22,W21-1)</f>
        <v>45838</v>
      </c>
      <c r="X23" s="9" t="n">
        <f aca="false">EOMONTH(X22,X21-1)</f>
        <v>46022</v>
      </c>
      <c r="Y23" s="9" t="n">
        <f aca="false">EOMONTH(Y22,Y21-1)</f>
        <v>46203</v>
      </c>
      <c r="Z23" s="9" t="n">
        <f aca="false">EOMONTH(Z22,Z21-1)</f>
        <v>46387</v>
      </c>
      <c r="AA23" s="9" t="n">
        <f aca="false">EOMONTH(AA22,AA21-1)</f>
        <v>46568</v>
      </c>
      <c r="AB23" s="9" t="n">
        <f aca="false">EOMONTH(AB22,AB21-1)</f>
        <v>46752</v>
      </c>
      <c r="AC23" s="9" t="n">
        <f aca="false">EOMONTH(AC22,AC21-1)</f>
        <v>46934</v>
      </c>
      <c r="AD23" s="9" t="n">
        <f aca="false">EOMONTH(AD22,AD21-1)</f>
        <v>47118</v>
      </c>
      <c r="AE23" s="9" t="n">
        <f aca="false">EOMONTH(AE22,AE21-1)</f>
        <v>47299</v>
      </c>
      <c r="AF23" s="9" t="n">
        <f aca="false">EOMONTH(AF22,AF21-1)</f>
        <v>47483</v>
      </c>
      <c r="AG23" s="9" t="n">
        <f aca="false">EOMONTH(AG22,AG21-1)</f>
        <v>47664</v>
      </c>
      <c r="AH23" s="9" t="n">
        <f aca="false">EOMONTH(AH22,AH21-1)</f>
        <v>47848</v>
      </c>
      <c r="AI23" s="9" t="n">
        <f aca="false">EOMONTH(AI22,AI21-1)</f>
        <v>48029</v>
      </c>
      <c r="AJ23" s="9" t="n">
        <f aca="false">EOMONTH(AJ22,AJ21-1)</f>
        <v>48213</v>
      </c>
      <c r="AK23" s="9" t="n">
        <f aca="false">EOMONTH(AK22,AK21-1)</f>
        <v>48395</v>
      </c>
      <c r="AL23" s="9" t="n">
        <f aca="false">EOMONTH(AL22,AL21-1)</f>
        <v>48579</v>
      </c>
      <c r="AM23" s="9" t="n">
        <f aca="false">EOMONTH(AM22,AM21-1)</f>
        <v>48760</v>
      </c>
      <c r="AN23" s="9" t="n">
        <f aca="false">EOMONTH(AN22,AN21-1)</f>
        <v>48944</v>
      </c>
      <c r="AO23" s="9" t="n">
        <f aca="false">EOMONTH(AO22,AO21-1)</f>
        <v>49125</v>
      </c>
      <c r="AP23" s="9" t="n">
        <f aca="false">EOMONTH(AP22,AP21-1)</f>
        <v>49309</v>
      </c>
      <c r="AQ23" s="9" t="n">
        <f aca="false">EOMONTH(AQ22,AQ21-1)</f>
        <v>49490</v>
      </c>
      <c r="AR23" s="9" t="n">
        <f aca="false">EOMONTH(AR22,AR21-1)</f>
        <v>49674</v>
      </c>
      <c r="AS23" s="9" t="n">
        <f aca="false">EOMONTH(AS22,AS21-1)</f>
        <v>49856</v>
      </c>
      <c r="AT23" s="9" t="n">
        <f aca="false">EOMONTH(AT22,AT21-1)</f>
        <v>50040</v>
      </c>
      <c r="AU23" s="9" t="n">
        <f aca="false">EOMONTH(AU22,AU21-1)</f>
        <v>50221</v>
      </c>
      <c r="AV23" s="9" t="n">
        <f aca="false">EOMONTH(AV22,AV21-1)</f>
        <v>50405</v>
      </c>
      <c r="AW23" s="9" t="n">
        <f aca="false">EOMONTH(AW22,AW21-1)</f>
        <v>50586</v>
      </c>
      <c r="AX23" s="9" t="n">
        <f aca="false">EOMONTH(AX22,AX21-1)</f>
        <v>50770</v>
      </c>
      <c r="AY23" s="9" t="n">
        <f aca="false">EOMONTH(AY22,AY21-1)</f>
        <v>50951</v>
      </c>
      <c r="AZ23" s="9" t="n">
        <f aca="false">EOMONTH(AZ22,AZ21-1)</f>
        <v>51135</v>
      </c>
      <c r="BA23" s="9" t="n">
        <f aca="false">EOMONTH(BA22,BA21-1)</f>
        <v>51317</v>
      </c>
      <c r="BB23" s="9" t="n">
        <f aca="false">EOMONTH(BB22,BB21-1)</f>
        <v>51501</v>
      </c>
      <c r="BC23" s="9" t="n">
        <f aca="false">EOMONTH(BC22,BC21-1)</f>
        <v>51682</v>
      </c>
      <c r="BD23" s="9" t="n">
        <f aca="false">EOMONTH(BD22,BD21-1)</f>
        <v>51866</v>
      </c>
      <c r="BE23" s="9" t="n">
        <f aca="false">EOMONTH(BE22,BE21-1)</f>
        <v>52047</v>
      </c>
      <c r="BF23" s="9" t="n">
        <f aca="false">EOMONTH(BF22,BF21-1)</f>
        <v>52231</v>
      </c>
      <c r="BG23" s="9" t="n">
        <f aca="false">EOMONTH(BG22,BG21-1)</f>
        <v>52412</v>
      </c>
      <c r="BH23" s="9" t="n">
        <f aca="false">EOMONTH(BH22,BH21-1)</f>
        <v>52596</v>
      </c>
      <c r="BI23" s="9" t="n">
        <f aca="false">EOMONTH(BI22,BI21-1)</f>
        <v>52778</v>
      </c>
      <c r="BJ23" s="9" t="n">
        <f aca="false">EOMONTH(BJ22,BJ21-1)</f>
        <v>52962</v>
      </c>
      <c r="BK23" s="9" t="n">
        <f aca="false">EOMONTH(BK22,BK21-1)</f>
        <v>53143</v>
      </c>
      <c r="BL23" s="9" t="n">
        <f aca="false">EOMONTH(BL22,BL21-1)</f>
        <v>53327</v>
      </c>
      <c r="BM23" s="9" t="n">
        <f aca="false">EOMONTH(BM22,BM21-1)</f>
        <v>53508</v>
      </c>
      <c r="BN23" s="9" t="n">
        <f aca="false">EOMONTH(BN22,BN21-1)</f>
        <v>53692</v>
      </c>
    </row>
    <row r="24" customFormat="false" ht="15" hidden="false" customHeight="false" outlineLevel="0" collapsed="false">
      <c r="D24" s="0" t="s">
        <v>446</v>
      </c>
      <c r="E24" s="0" t="s">
        <v>99</v>
      </c>
      <c r="J24" s="6" t="n">
        <f aca="false">J21/12</f>
        <v>0.5</v>
      </c>
      <c r="K24" s="6" t="n">
        <f aca="false">K21/12</f>
        <v>0.5</v>
      </c>
      <c r="L24" s="6" t="n">
        <f aca="false">L21/12</f>
        <v>0.5</v>
      </c>
      <c r="M24" s="6" t="n">
        <f aca="false">M21/12</f>
        <v>0.5</v>
      </c>
      <c r="N24" s="6" t="n">
        <f aca="false">N21/12</f>
        <v>0.5</v>
      </c>
      <c r="O24" s="6" t="n">
        <f aca="false">O21/12</f>
        <v>0.5</v>
      </c>
      <c r="P24" s="6" t="n">
        <f aca="false">P21/12</f>
        <v>0.5</v>
      </c>
      <c r="Q24" s="6" t="n">
        <f aca="false">Q21/12</f>
        <v>0.5</v>
      </c>
      <c r="R24" s="6" t="n">
        <f aca="false">R21/12</f>
        <v>0.5</v>
      </c>
      <c r="S24" s="6" t="n">
        <f aca="false">S21/12</f>
        <v>0.5</v>
      </c>
      <c r="T24" s="6" t="n">
        <f aca="false">T21/12</f>
        <v>0.5</v>
      </c>
      <c r="U24" s="6" t="n">
        <f aca="false">U21/12</f>
        <v>0.5</v>
      </c>
      <c r="V24" s="6" t="n">
        <f aca="false">V21/12</f>
        <v>0.5</v>
      </c>
      <c r="W24" s="6" t="n">
        <f aca="false">W21/12</f>
        <v>0.5</v>
      </c>
      <c r="X24" s="6" t="n">
        <f aca="false">X21/12</f>
        <v>0.5</v>
      </c>
      <c r="Y24" s="6" t="n">
        <f aca="false">Y21/12</f>
        <v>0.5</v>
      </c>
      <c r="Z24" s="6" t="n">
        <f aca="false">Z21/12</f>
        <v>0.5</v>
      </c>
      <c r="AA24" s="6" t="n">
        <f aca="false">AA21/12</f>
        <v>0.5</v>
      </c>
      <c r="AB24" s="6" t="n">
        <f aca="false">AB21/12</f>
        <v>0.5</v>
      </c>
      <c r="AC24" s="6" t="n">
        <f aca="false">AC21/12</f>
        <v>0.5</v>
      </c>
      <c r="AD24" s="6" t="n">
        <f aca="false">AD21/12</f>
        <v>0.5</v>
      </c>
      <c r="AE24" s="6" t="n">
        <f aca="false">AE21/12</f>
        <v>0.5</v>
      </c>
      <c r="AF24" s="6" t="n">
        <f aca="false">AF21/12</f>
        <v>0.5</v>
      </c>
      <c r="AG24" s="6" t="n">
        <f aca="false">AG21/12</f>
        <v>0.5</v>
      </c>
      <c r="AH24" s="6" t="n">
        <f aca="false">AH21/12</f>
        <v>0.5</v>
      </c>
      <c r="AI24" s="6" t="n">
        <f aca="false">AI21/12</f>
        <v>0.5</v>
      </c>
      <c r="AJ24" s="6" t="n">
        <f aca="false">AJ21/12</f>
        <v>0.5</v>
      </c>
      <c r="AK24" s="6" t="n">
        <f aca="false">AK21/12</f>
        <v>0.5</v>
      </c>
      <c r="AL24" s="6" t="n">
        <f aca="false">AL21/12</f>
        <v>0.5</v>
      </c>
      <c r="AM24" s="6" t="n">
        <f aca="false">AM21/12</f>
        <v>0.5</v>
      </c>
      <c r="AN24" s="6" t="n">
        <f aca="false">AN21/12</f>
        <v>0.5</v>
      </c>
      <c r="AO24" s="6" t="n">
        <f aca="false">AO21/12</f>
        <v>0.5</v>
      </c>
      <c r="AP24" s="6" t="n">
        <f aca="false">AP21/12</f>
        <v>0.5</v>
      </c>
      <c r="AQ24" s="6" t="n">
        <f aca="false">AQ21/12</f>
        <v>0.5</v>
      </c>
      <c r="AR24" s="6" t="n">
        <f aca="false">AR21/12</f>
        <v>0.5</v>
      </c>
      <c r="AS24" s="6" t="n">
        <f aca="false">AS21/12</f>
        <v>0.5</v>
      </c>
      <c r="AT24" s="6" t="n">
        <f aca="false">AT21/12</f>
        <v>0.5</v>
      </c>
      <c r="AU24" s="6" t="n">
        <f aca="false">AU21/12</f>
        <v>0.5</v>
      </c>
      <c r="AV24" s="6" t="n">
        <f aca="false">AV21/12</f>
        <v>0.5</v>
      </c>
      <c r="AW24" s="6" t="n">
        <f aca="false">AW21/12</f>
        <v>0.5</v>
      </c>
      <c r="AX24" s="6" t="n">
        <f aca="false">AX21/12</f>
        <v>0.5</v>
      </c>
      <c r="AY24" s="6" t="n">
        <f aca="false">AY21/12</f>
        <v>0.5</v>
      </c>
      <c r="AZ24" s="6" t="n">
        <f aca="false">AZ21/12</f>
        <v>0.5</v>
      </c>
      <c r="BA24" s="6" t="n">
        <f aca="false">BA21/12</f>
        <v>0.5</v>
      </c>
      <c r="BB24" s="6" t="n">
        <f aca="false">BB21/12</f>
        <v>0.5</v>
      </c>
      <c r="BC24" s="6" t="n">
        <f aca="false">BC21/12</f>
        <v>0.5</v>
      </c>
      <c r="BD24" s="6" t="n">
        <f aca="false">BD21/12</f>
        <v>0.5</v>
      </c>
      <c r="BE24" s="6" t="n">
        <f aca="false">BE21/12</f>
        <v>0.5</v>
      </c>
      <c r="BF24" s="6" t="n">
        <f aca="false">BF21/12</f>
        <v>0.5</v>
      </c>
      <c r="BG24" s="6" t="n">
        <f aca="false">BG21/12</f>
        <v>0.5</v>
      </c>
      <c r="BH24" s="6" t="n">
        <f aca="false">BH21/12</f>
        <v>0.5</v>
      </c>
      <c r="BI24" s="6" t="n">
        <f aca="false">BI21/12</f>
        <v>0.5</v>
      </c>
      <c r="BJ24" s="6" t="n">
        <f aca="false">BJ21/12</f>
        <v>0.5</v>
      </c>
      <c r="BK24" s="6" t="n">
        <f aca="false">BK21/12</f>
        <v>0.5</v>
      </c>
      <c r="BL24" s="6" t="n">
        <f aca="false">BL21/12</f>
        <v>0.5</v>
      </c>
      <c r="BM24" s="6" t="n">
        <f aca="false">BM21/12</f>
        <v>0.5</v>
      </c>
      <c r="BN24" s="6" t="n">
        <f aca="false">BN21/12</f>
        <v>0.5</v>
      </c>
    </row>
    <row r="25" customFormat="false" ht="15" hidden="false" customHeight="false" outlineLevel="0" collapsed="false">
      <c r="D25" s="0" t="s">
        <v>447</v>
      </c>
      <c r="E25" s="0" t="s">
        <v>111</v>
      </c>
      <c r="J25" s="10" t="n">
        <f aca="false">J23-J22+1</f>
        <v>184</v>
      </c>
      <c r="K25" s="10" t="n">
        <f aca="false">K23-K22+1</f>
        <v>181</v>
      </c>
      <c r="L25" s="10" t="n">
        <f aca="false">L23-L22+1</f>
        <v>184</v>
      </c>
      <c r="M25" s="10" t="n">
        <f aca="false">M23-M22+1</f>
        <v>182</v>
      </c>
      <c r="N25" s="10" t="n">
        <f aca="false">N23-N22+1</f>
        <v>184</v>
      </c>
      <c r="O25" s="10" t="n">
        <f aca="false">O23-O22+1</f>
        <v>181</v>
      </c>
      <c r="P25" s="10" t="n">
        <f aca="false">P23-P22+1</f>
        <v>184</v>
      </c>
      <c r="Q25" s="10" t="n">
        <f aca="false">Q23-Q22+1</f>
        <v>181</v>
      </c>
      <c r="R25" s="10" t="n">
        <f aca="false">R23-R22+1</f>
        <v>184</v>
      </c>
      <c r="S25" s="10" t="n">
        <f aca="false">S23-S22+1</f>
        <v>181</v>
      </c>
      <c r="T25" s="10" t="n">
        <f aca="false">T23-T22+1</f>
        <v>184</v>
      </c>
      <c r="U25" s="10" t="n">
        <f aca="false">U23-U22+1</f>
        <v>182</v>
      </c>
      <c r="V25" s="10" t="n">
        <f aca="false">V23-V22+1</f>
        <v>184</v>
      </c>
      <c r="W25" s="10" t="n">
        <f aca="false">W23-W22+1</f>
        <v>181</v>
      </c>
      <c r="X25" s="10" t="n">
        <f aca="false">X23-X22+1</f>
        <v>184</v>
      </c>
      <c r="Y25" s="10" t="n">
        <f aca="false">Y23-Y22+1</f>
        <v>181</v>
      </c>
      <c r="Z25" s="10" t="n">
        <f aca="false">Z23-Z22+1</f>
        <v>184</v>
      </c>
      <c r="AA25" s="10" t="n">
        <f aca="false">AA23-AA22+1</f>
        <v>181</v>
      </c>
      <c r="AB25" s="10" t="n">
        <f aca="false">AB23-AB22+1</f>
        <v>184</v>
      </c>
      <c r="AC25" s="10" t="n">
        <f aca="false">AC23-AC22+1</f>
        <v>182</v>
      </c>
      <c r="AD25" s="10" t="n">
        <f aca="false">AD23-AD22+1</f>
        <v>184</v>
      </c>
      <c r="AE25" s="10" t="n">
        <f aca="false">AE23-AE22+1</f>
        <v>181</v>
      </c>
      <c r="AF25" s="10" t="n">
        <f aca="false">AF23-AF22+1</f>
        <v>184</v>
      </c>
      <c r="AG25" s="10" t="n">
        <f aca="false">AG23-AG22+1</f>
        <v>181</v>
      </c>
      <c r="AH25" s="10" t="n">
        <f aca="false">AH23-AH22+1</f>
        <v>184</v>
      </c>
      <c r="AI25" s="10" t="n">
        <f aca="false">AI23-AI22+1</f>
        <v>181</v>
      </c>
      <c r="AJ25" s="10" t="n">
        <f aca="false">AJ23-AJ22+1</f>
        <v>184</v>
      </c>
      <c r="AK25" s="10" t="n">
        <f aca="false">AK23-AK22+1</f>
        <v>182</v>
      </c>
      <c r="AL25" s="10" t="n">
        <f aca="false">AL23-AL22+1</f>
        <v>184</v>
      </c>
      <c r="AM25" s="10" t="n">
        <f aca="false">AM23-AM22+1</f>
        <v>181</v>
      </c>
      <c r="AN25" s="10" t="n">
        <f aca="false">AN23-AN22+1</f>
        <v>184</v>
      </c>
      <c r="AO25" s="10" t="n">
        <f aca="false">AO23-AO22+1</f>
        <v>181</v>
      </c>
      <c r="AP25" s="10" t="n">
        <f aca="false">AP23-AP22+1</f>
        <v>184</v>
      </c>
      <c r="AQ25" s="10" t="n">
        <f aca="false">AQ23-AQ22+1</f>
        <v>181</v>
      </c>
      <c r="AR25" s="10" t="n">
        <f aca="false">AR23-AR22+1</f>
        <v>184</v>
      </c>
      <c r="AS25" s="10" t="n">
        <f aca="false">AS23-AS22+1</f>
        <v>182</v>
      </c>
      <c r="AT25" s="10" t="n">
        <f aca="false">AT23-AT22+1</f>
        <v>184</v>
      </c>
      <c r="AU25" s="10" t="n">
        <f aca="false">AU23-AU22+1</f>
        <v>181</v>
      </c>
      <c r="AV25" s="10" t="n">
        <f aca="false">AV23-AV22+1</f>
        <v>184</v>
      </c>
      <c r="AW25" s="10" t="n">
        <f aca="false">AW23-AW22+1</f>
        <v>181</v>
      </c>
      <c r="AX25" s="10" t="n">
        <f aca="false">AX23-AX22+1</f>
        <v>184</v>
      </c>
      <c r="AY25" s="10" t="n">
        <f aca="false">AY23-AY22+1</f>
        <v>181</v>
      </c>
      <c r="AZ25" s="10" t="n">
        <f aca="false">AZ23-AZ22+1</f>
        <v>184</v>
      </c>
      <c r="BA25" s="10" t="n">
        <f aca="false">BA23-BA22+1</f>
        <v>182</v>
      </c>
      <c r="BB25" s="10" t="n">
        <f aca="false">BB23-BB22+1</f>
        <v>184</v>
      </c>
      <c r="BC25" s="10" t="n">
        <f aca="false">BC23-BC22+1</f>
        <v>181</v>
      </c>
      <c r="BD25" s="10" t="n">
        <f aca="false">BD23-BD22+1</f>
        <v>184</v>
      </c>
      <c r="BE25" s="10" t="n">
        <f aca="false">BE23-BE22+1</f>
        <v>181</v>
      </c>
      <c r="BF25" s="10" t="n">
        <f aca="false">BF23-BF22+1</f>
        <v>184</v>
      </c>
      <c r="BG25" s="10" t="n">
        <f aca="false">BG23-BG22+1</f>
        <v>181</v>
      </c>
      <c r="BH25" s="10" t="n">
        <f aca="false">BH23-BH22+1</f>
        <v>184</v>
      </c>
      <c r="BI25" s="10" t="n">
        <f aca="false">BI23-BI22+1</f>
        <v>182</v>
      </c>
      <c r="BJ25" s="10" t="n">
        <f aca="false">BJ23-BJ22+1</f>
        <v>184</v>
      </c>
      <c r="BK25" s="10" t="n">
        <f aca="false">BK23-BK22+1</f>
        <v>181</v>
      </c>
      <c r="BL25" s="10" t="n">
        <f aca="false">BL23-BL22+1</f>
        <v>184</v>
      </c>
      <c r="BM25" s="10" t="n">
        <f aca="false">BM23-BM22+1</f>
        <v>181</v>
      </c>
      <c r="BN25" s="10" t="n">
        <f aca="false">BN23-BN22+1</f>
        <v>184</v>
      </c>
    </row>
    <row r="26" customFormat="false" ht="15" hidden="false" customHeight="false" outlineLevel="0" collapsed="false">
      <c r="D26" s="0" t="s">
        <v>400</v>
      </c>
      <c r="E26" s="0" t="s">
        <v>345</v>
      </c>
      <c r="J26" s="10" t="n">
        <f aca="false">YEAR(J22)</f>
        <v>2018</v>
      </c>
      <c r="K26" s="10" t="n">
        <f aca="false">YEAR(K22)</f>
        <v>2019</v>
      </c>
      <c r="L26" s="10" t="n">
        <f aca="false">YEAR(L22)</f>
        <v>2019</v>
      </c>
      <c r="M26" s="10" t="n">
        <f aca="false">YEAR(M22)</f>
        <v>2020</v>
      </c>
      <c r="N26" s="10" t="n">
        <f aca="false">YEAR(N22)</f>
        <v>2020</v>
      </c>
      <c r="O26" s="10" t="n">
        <f aca="false">YEAR(O22)</f>
        <v>2021</v>
      </c>
      <c r="P26" s="10" t="n">
        <f aca="false">YEAR(P22)</f>
        <v>2021</v>
      </c>
      <c r="Q26" s="10" t="n">
        <f aca="false">YEAR(Q22)</f>
        <v>2022</v>
      </c>
      <c r="R26" s="10" t="n">
        <f aca="false">YEAR(R22)</f>
        <v>2022</v>
      </c>
      <c r="S26" s="10" t="n">
        <f aca="false">YEAR(S22)</f>
        <v>2023</v>
      </c>
      <c r="T26" s="10" t="n">
        <f aca="false">YEAR(T22)</f>
        <v>2023</v>
      </c>
      <c r="U26" s="10" t="n">
        <f aca="false">YEAR(U22)</f>
        <v>2024</v>
      </c>
      <c r="V26" s="10" t="n">
        <f aca="false">YEAR(V22)</f>
        <v>2024</v>
      </c>
      <c r="W26" s="10" t="n">
        <f aca="false">YEAR(W22)</f>
        <v>2025</v>
      </c>
      <c r="X26" s="10" t="n">
        <f aca="false">YEAR(X22)</f>
        <v>2025</v>
      </c>
      <c r="Y26" s="10" t="n">
        <f aca="false">YEAR(Y22)</f>
        <v>2026</v>
      </c>
      <c r="Z26" s="10" t="n">
        <f aca="false">YEAR(Z22)</f>
        <v>2026</v>
      </c>
      <c r="AA26" s="10" t="n">
        <f aca="false">YEAR(AA22)</f>
        <v>2027</v>
      </c>
      <c r="AB26" s="10" t="n">
        <f aca="false">YEAR(AB22)</f>
        <v>2027</v>
      </c>
      <c r="AC26" s="10" t="n">
        <f aca="false">YEAR(AC22)</f>
        <v>2028</v>
      </c>
      <c r="AD26" s="10" t="n">
        <f aca="false">YEAR(AD22)</f>
        <v>2028</v>
      </c>
      <c r="AE26" s="10" t="n">
        <f aca="false">YEAR(AE22)</f>
        <v>2029</v>
      </c>
      <c r="AF26" s="10" t="n">
        <f aca="false">YEAR(AF22)</f>
        <v>2029</v>
      </c>
      <c r="AG26" s="10" t="n">
        <f aca="false">YEAR(AG22)</f>
        <v>2030</v>
      </c>
      <c r="AH26" s="10" t="n">
        <f aca="false">YEAR(AH22)</f>
        <v>2030</v>
      </c>
      <c r="AI26" s="10" t="n">
        <f aca="false">YEAR(AI22)</f>
        <v>2031</v>
      </c>
      <c r="AJ26" s="10" t="n">
        <f aca="false">YEAR(AJ22)</f>
        <v>2031</v>
      </c>
      <c r="AK26" s="10" t="n">
        <f aca="false">YEAR(AK22)</f>
        <v>2032</v>
      </c>
      <c r="AL26" s="10" t="n">
        <f aca="false">YEAR(AL22)</f>
        <v>2032</v>
      </c>
      <c r="AM26" s="10" t="n">
        <f aca="false">YEAR(AM22)</f>
        <v>2033</v>
      </c>
      <c r="AN26" s="10" t="n">
        <f aca="false">YEAR(AN22)</f>
        <v>2033</v>
      </c>
      <c r="AO26" s="10" t="n">
        <f aca="false">YEAR(AO22)</f>
        <v>2034</v>
      </c>
      <c r="AP26" s="10" t="n">
        <f aca="false">YEAR(AP22)</f>
        <v>2034</v>
      </c>
      <c r="AQ26" s="10" t="n">
        <f aca="false">YEAR(AQ22)</f>
        <v>2035</v>
      </c>
      <c r="AR26" s="10" t="n">
        <f aca="false">YEAR(AR22)</f>
        <v>2035</v>
      </c>
      <c r="AS26" s="10" t="n">
        <f aca="false">YEAR(AS22)</f>
        <v>2036</v>
      </c>
      <c r="AT26" s="10" t="n">
        <f aca="false">YEAR(AT22)</f>
        <v>2036</v>
      </c>
      <c r="AU26" s="10" t="n">
        <f aca="false">YEAR(AU22)</f>
        <v>2037</v>
      </c>
      <c r="AV26" s="10" t="n">
        <f aca="false">YEAR(AV22)</f>
        <v>2037</v>
      </c>
      <c r="AW26" s="10" t="n">
        <f aca="false">YEAR(AW22)</f>
        <v>2038</v>
      </c>
      <c r="AX26" s="10" t="n">
        <f aca="false">YEAR(AX22)</f>
        <v>2038</v>
      </c>
      <c r="AY26" s="10" t="n">
        <f aca="false">YEAR(AY22)</f>
        <v>2039</v>
      </c>
      <c r="AZ26" s="10" t="n">
        <f aca="false">YEAR(AZ22)</f>
        <v>2039</v>
      </c>
      <c r="BA26" s="10" t="n">
        <f aca="false">YEAR(BA22)</f>
        <v>2040</v>
      </c>
      <c r="BB26" s="10" t="n">
        <f aca="false">YEAR(BB22)</f>
        <v>2040</v>
      </c>
      <c r="BC26" s="10" t="n">
        <f aca="false">YEAR(BC22)</f>
        <v>2041</v>
      </c>
      <c r="BD26" s="10" t="n">
        <f aca="false">YEAR(BD22)</f>
        <v>2041</v>
      </c>
      <c r="BE26" s="10" t="n">
        <f aca="false">YEAR(BE22)</f>
        <v>2042</v>
      </c>
      <c r="BF26" s="10" t="n">
        <f aca="false">YEAR(BF22)</f>
        <v>2042</v>
      </c>
      <c r="BG26" s="10" t="n">
        <f aca="false">YEAR(BG22)</f>
        <v>2043</v>
      </c>
      <c r="BH26" s="10" t="n">
        <f aca="false">YEAR(BH22)</f>
        <v>2043</v>
      </c>
      <c r="BI26" s="10" t="n">
        <f aca="false">YEAR(BI22)</f>
        <v>2044</v>
      </c>
      <c r="BJ26" s="10" t="n">
        <f aca="false">YEAR(BJ22)</f>
        <v>2044</v>
      </c>
      <c r="BK26" s="10" t="n">
        <f aca="false">YEAR(BK22)</f>
        <v>2045</v>
      </c>
      <c r="BL26" s="10" t="n">
        <f aca="false">YEAR(BL22)</f>
        <v>2045</v>
      </c>
      <c r="BM26" s="10" t="n">
        <f aca="false">YEAR(BM22)</f>
        <v>2046</v>
      </c>
      <c r="BN26" s="10" t="n">
        <f aca="false">YEAR(BN22)</f>
        <v>2046</v>
      </c>
    </row>
    <row r="27" customFormat="false" ht="15" hidden="false" customHeight="false" outlineLevel="0" collapsed="false">
      <c r="D27" s="0" t="s">
        <v>448</v>
      </c>
      <c r="E27" s="0" t="s">
        <v>113</v>
      </c>
      <c r="J27" s="10" t="n">
        <f aca="false">IF(MONTH(J22)=1,1,0)</f>
        <v>0</v>
      </c>
      <c r="K27" s="10" t="n">
        <f aca="false">IF(MONTH(K22)=1,1,0)</f>
        <v>1</v>
      </c>
      <c r="L27" s="10" t="n">
        <f aca="false">IF(MONTH(L22)=1,1,0)</f>
        <v>0</v>
      </c>
      <c r="M27" s="10" t="n">
        <f aca="false">IF(MONTH(M22)=1,1,0)</f>
        <v>1</v>
      </c>
      <c r="N27" s="10" t="n">
        <f aca="false">IF(MONTH(N22)=1,1,0)</f>
        <v>0</v>
      </c>
      <c r="O27" s="10" t="n">
        <f aca="false">IF(MONTH(O22)=1,1,0)</f>
        <v>1</v>
      </c>
      <c r="P27" s="10" t="n">
        <f aca="false">IF(MONTH(P22)=1,1,0)</f>
        <v>0</v>
      </c>
      <c r="Q27" s="10" t="n">
        <f aca="false">IF(MONTH(Q22)=1,1,0)</f>
        <v>1</v>
      </c>
      <c r="R27" s="10" t="n">
        <f aca="false">IF(MONTH(R22)=1,1,0)</f>
        <v>0</v>
      </c>
      <c r="S27" s="10" t="n">
        <f aca="false">IF(MONTH(S22)=1,1,0)</f>
        <v>1</v>
      </c>
      <c r="T27" s="10" t="n">
        <f aca="false">IF(MONTH(T22)=1,1,0)</f>
        <v>0</v>
      </c>
      <c r="U27" s="10" t="n">
        <f aca="false">IF(MONTH(U22)=1,1,0)</f>
        <v>1</v>
      </c>
      <c r="V27" s="10" t="n">
        <f aca="false">IF(MONTH(V22)=1,1,0)</f>
        <v>0</v>
      </c>
      <c r="W27" s="10" t="n">
        <f aca="false">IF(MONTH(W22)=1,1,0)</f>
        <v>1</v>
      </c>
      <c r="X27" s="10" t="n">
        <f aca="false">IF(MONTH(X22)=1,1,0)</f>
        <v>0</v>
      </c>
      <c r="Y27" s="10" t="n">
        <f aca="false">IF(MONTH(Y22)=1,1,0)</f>
        <v>1</v>
      </c>
      <c r="Z27" s="10" t="n">
        <f aca="false">IF(MONTH(Z22)=1,1,0)</f>
        <v>0</v>
      </c>
      <c r="AA27" s="10" t="n">
        <f aca="false">IF(MONTH(AA22)=1,1,0)</f>
        <v>1</v>
      </c>
      <c r="AB27" s="10" t="n">
        <f aca="false">IF(MONTH(AB22)=1,1,0)</f>
        <v>0</v>
      </c>
      <c r="AC27" s="10" t="n">
        <f aca="false">IF(MONTH(AC22)=1,1,0)</f>
        <v>1</v>
      </c>
      <c r="AD27" s="10" t="n">
        <f aca="false">IF(MONTH(AD22)=1,1,0)</f>
        <v>0</v>
      </c>
      <c r="AE27" s="10" t="n">
        <f aca="false">IF(MONTH(AE22)=1,1,0)</f>
        <v>1</v>
      </c>
      <c r="AF27" s="10" t="n">
        <f aca="false">IF(MONTH(AF22)=1,1,0)</f>
        <v>0</v>
      </c>
      <c r="AG27" s="10" t="n">
        <f aca="false">IF(MONTH(AG22)=1,1,0)</f>
        <v>1</v>
      </c>
      <c r="AH27" s="10" t="n">
        <f aca="false">IF(MONTH(AH22)=1,1,0)</f>
        <v>0</v>
      </c>
      <c r="AI27" s="10" t="n">
        <f aca="false">IF(MONTH(AI22)=1,1,0)</f>
        <v>1</v>
      </c>
      <c r="AJ27" s="10" t="n">
        <f aca="false">IF(MONTH(AJ22)=1,1,0)</f>
        <v>0</v>
      </c>
      <c r="AK27" s="10" t="n">
        <f aca="false">IF(MONTH(AK22)=1,1,0)</f>
        <v>1</v>
      </c>
      <c r="AL27" s="10" t="n">
        <f aca="false">IF(MONTH(AL22)=1,1,0)</f>
        <v>0</v>
      </c>
      <c r="AM27" s="10" t="n">
        <f aca="false">IF(MONTH(AM22)=1,1,0)</f>
        <v>1</v>
      </c>
      <c r="AN27" s="10" t="n">
        <f aca="false">IF(MONTH(AN22)=1,1,0)</f>
        <v>0</v>
      </c>
      <c r="AO27" s="10" t="n">
        <f aca="false">IF(MONTH(AO22)=1,1,0)</f>
        <v>1</v>
      </c>
      <c r="AP27" s="10" t="n">
        <f aca="false">IF(MONTH(AP22)=1,1,0)</f>
        <v>0</v>
      </c>
      <c r="AQ27" s="10" t="n">
        <f aca="false">IF(MONTH(AQ22)=1,1,0)</f>
        <v>1</v>
      </c>
      <c r="AR27" s="10" t="n">
        <f aca="false">IF(MONTH(AR22)=1,1,0)</f>
        <v>0</v>
      </c>
      <c r="AS27" s="10" t="n">
        <f aca="false">IF(MONTH(AS22)=1,1,0)</f>
        <v>1</v>
      </c>
      <c r="AT27" s="10" t="n">
        <f aca="false">IF(MONTH(AT22)=1,1,0)</f>
        <v>0</v>
      </c>
      <c r="AU27" s="10" t="n">
        <f aca="false">IF(MONTH(AU22)=1,1,0)</f>
        <v>1</v>
      </c>
      <c r="AV27" s="10" t="n">
        <f aca="false">IF(MONTH(AV22)=1,1,0)</f>
        <v>0</v>
      </c>
      <c r="AW27" s="10" t="n">
        <f aca="false">IF(MONTH(AW22)=1,1,0)</f>
        <v>1</v>
      </c>
      <c r="AX27" s="10" t="n">
        <f aca="false">IF(MONTH(AX22)=1,1,0)</f>
        <v>0</v>
      </c>
      <c r="AY27" s="10" t="n">
        <f aca="false">IF(MONTH(AY22)=1,1,0)</f>
        <v>1</v>
      </c>
      <c r="AZ27" s="10" t="n">
        <f aca="false">IF(MONTH(AZ22)=1,1,0)</f>
        <v>0</v>
      </c>
      <c r="BA27" s="10" t="n">
        <f aca="false">IF(MONTH(BA22)=1,1,0)</f>
        <v>1</v>
      </c>
      <c r="BB27" s="10" t="n">
        <f aca="false">IF(MONTH(BB22)=1,1,0)</f>
        <v>0</v>
      </c>
      <c r="BC27" s="10" t="n">
        <f aca="false">IF(MONTH(BC22)=1,1,0)</f>
        <v>1</v>
      </c>
      <c r="BD27" s="10" t="n">
        <f aca="false">IF(MONTH(BD22)=1,1,0)</f>
        <v>0</v>
      </c>
      <c r="BE27" s="10" t="n">
        <f aca="false">IF(MONTH(BE22)=1,1,0)</f>
        <v>1</v>
      </c>
      <c r="BF27" s="10" t="n">
        <f aca="false">IF(MONTH(BF22)=1,1,0)</f>
        <v>0</v>
      </c>
      <c r="BG27" s="10" t="n">
        <f aca="false">IF(MONTH(BG22)=1,1,0)</f>
        <v>1</v>
      </c>
      <c r="BH27" s="10" t="n">
        <f aca="false">IF(MONTH(BH22)=1,1,0)</f>
        <v>0</v>
      </c>
      <c r="BI27" s="10" t="n">
        <f aca="false">IF(MONTH(BI22)=1,1,0)</f>
        <v>1</v>
      </c>
      <c r="BJ27" s="10" t="n">
        <f aca="false">IF(MONTH(BJ22)=1,1,0)</f>
        <v>0</v>
      </c>
      <c r="BK27" s="10" t="n">
        <f aca="false">IF(MONTH(BK22)=1,1,0)</f>
        <v>1</v>
      </c>
      <c r="BL27" s="10" t="n">
        <f aca="false">IF(MONTH(BL22)=1,1,0)</f>
        <v>0</v>
      </c>
      <c r="BM27" s="10" t="n">
        <f aca="false">IF(MONTH(BM22)=1,1,0)</f>
        <v>1</v>
      </c>
      <c r="BN27" s="10" t="n">
        <f aca="false">IF(MONTH(BN22)=1,1,0)</f>
        <v>0</v>
      </c>
    </row>
    <row r="28" customFormat="false" ht="15" hidden="false" customHeight="false" outlineLevel="0" collapsed="false">
      <c r="D28" s="0" t="s">
        <v>449</v>
      </c>
      <c r="E28" s="0" t="s">
        <v>296</v>
      </c>
      <c r="J28" s="9" t="n">
        <f aca="false">MAX(J22,$F$8)</f>
        <v>44531</v>
      </c>
      <c r="K28" s="9" t="n">
        <f aca="false">MAX(K22,$F$8)</f>
        <v>44531</v>
      </c>
      <c r="L28" s="9" t="n">
        <f aca="false">MAX(L22,$F$8)</f>
        <v>44531</v>
      </c>
      <c r="M28" s="9" t="n">
        <f aca="false">MAX(M22,$F$8)</f>
        <v>44531</v>
      </c>
      <c r="N28" s="9" t="n">
        <f aca="false">MAX(N22,$F$8)</f>
        <v>44531</v>
      </c>
      <c r="O28" s="9" t="n">
        <f aca="false">MAX(O22,$F$8)</f>
        <v>44531</v>
      </c>
      <c r="P28" s="9" t="n">
        <f aca="false">MAX(P22,$F$8)</f>
        <v>44531</v>
      </c>
      <c r="Q28" s="9" t="n">
        <f aca="false">MAX(Q22,$F$8)</f>
        <v>44562</v>
      </c>
      <c r="R28" s="9" t="n">
        <f aca="false">MAX(R22,$F$8)</f>
        <v>44743</v>
      </c>
      <c r="S28" s="9" t="n">
        <f aca="false">MAX(S22,$F$8)</f>
        <v>44927</v>
      </c>
      <c r="T28" s="9" t="n">
        <f aca="false">MAX(T22,$F$8)</f>
        <v>45108</v>
      </c>
      <c r="U28" s="9" t="n">
        <f aca="false">MAX(U22,$F$8)</f>
        <v>45292</v>
      </c>
      <c r="V28" s="9" t="n">
        <f aca="false">MAX(V22,$F$8)</f>
        <v>45474</v>
      </c>
      <c r="W28" s="9" t="n">
        <f aca="false">MAX(W22,$F$8)</f>
        <v>45658</v>
      </c>
      <c r="X28" s="9" t="n">
        <f aca="false">MAX(X22,$F$8)</f>
        <v>45839</v>
      </c>
      <c r="Y28" s="9" t="n">
        <f aca="false">MAX(Y22,$F$8)</f>
        <v>46023</v>
      </c>
      <c r="Z28" s="9" t="n">
        <f aca="false">MAX(Z22,$F$8)</f>
        <v>46204</v>
      </c>
      <c r="AA28" s="9" t="n">
        <f aca="false">MAX(AA22,$F$8)</f>
        <v>46388</v>
      </c>
      <c r="AB28" s="9" t="n">
        <f aca="false">MAX(AB22,$F$8)</f>
        <v>46569</v>
      </c>
      <c r="AC28" s="9" t="n">
        <f aca="false">MAX(AC22,$F$8)</f>
        <v>46753</v>
      </c>
      <c r="AD28" s="9" t="n">
        <f aca="false">MAX(AD22,$F$8)</f>
        <v>46935</v>
      </c>
      <c r="AE28" s="9" t="n">
        <f aca="false">MAX(AE22,$F$8)</f>
        <v>47119</v>
      </c>
      <c r="AF28" s="9" t="n">
        <f aca="false">MAX(AF22,$F$8)</f>
        <v>47300</v>
      </c>
      <c r="AG28" s="9" t="n">
        <f aca="false">MAX(AG22,$F$8)</f>
        <v>47484</v>
      </c>
      <c r="AH28" s="9" t="n">
        <f aca="false">MAX(AH22,$F$8)</f>
        <v>47665</v>
      </c>
      <c r="AI28" s="9" t="n">
        <f aca="false">MAX(AI22,$F$8)</f>
        <v>47849</v>
      </c>
      <c r="AJ28" s="9" t="n">
        <f aca="false">MAX(AJ22,$F$8)</f>
        <v>48030</v>
      </c>
      <c r="AK28" s="9" t="n">
        <f aca="false">MAX(AK22,$F$8)</f>
        <v>48214</v>
      </c>
      <c r="AL28" s="9" t="n">
        <f aca="false">MAX(AL22,$F$8)</f>
        <v>48396</v>
      </c>
      <c r="AM28" s="9" t="n">
        <f aca="false">MAX(AM22,$F$8)</f>
        <v>48580</v>
      </c>
      <c r="AN28" s="9" t="n">
        <f aca="false">MAX(AN22,$F$8)</f>
        <v>48761</v>
      </c>
      <c r="AO28" s="9" t="n">
        <f aca="false">MAX(AO22,$F$8)</f>
        <v>48945</v>
      </c>
      <c r="AP28" s="9" t="n">
        <f aca="false">MAX(AP22,$F$8)</f>
        <v>49126</v>
      </c>
      <c r="AQ28" s="9" t="n">
        <f aca="false">MAX(AQ22,$F$8)</f>
        <v>49310</v>
      </c>
      <c r="AR28" s="9" t="n">
        <f aca="false">MAX(AR22,$F$8)</f>
        <v>49491</v>
      </c>
      <c r="AS28" s="9" t="n">
        <f aca="false">MAX(AS22,$F$8)</f>
        <v>49675</v>
      </c>
      <c r="AT28" s="9" t="n">
        <f aca="false">MAX(AT22,$F$8)</f>
        <v>49857</v>
      </c>
      <c r="AU28" s="9" t="n">
        <f aca="false">MAX(AU22,$F$8)</f>
        <v>50041</v>
      </c>
      <c r="AV28" s="9" t="n">
        <f aca="false">MAX(AV22,$F$8)</f>
        <v>50222</v>
      </c>
      <c r="AW28" s="9" t="n">
        <f aca="false">MAX(AW22,$F$8)</f>
        <v>50406</v>
      </c>
      <c r="AX28" s="9" t="n">
        <f aca="false">MAX(AX22,$F$8)</f>
        <v>50587</v>
      </c>
      <c r="AY28" s="9" t="n">
        <f aca="false">MAX(AY22,$F$8)</f>
        <v>50771</v>
      </c>
      <c r="AZ28" s="9" t="n">
        <f aca="false">MAX(AZ22,$F$8)</f>
        <v>50952</v>
      </c>
      <c r="BA28" s="9" t="n">
        <f aca="false">MAX(BA22,$F$8)</f>
        <v>51136</v>
      </c>
      <c r="BB28" s="9" t="n">
        <f aca="false">MAX(BB22,$F$8)</f>
        <v>51318</v>
      </c>
      <c r="BC28" s="9" t="n">
        <f aca="false">MAX(BC22,$F$8)</f>
        <v>51502</v>
      </c>
      <c r="BD28" s="9" t="n">
        <f aca="false">MAX(BD22,$F$8)</f>
        <v>51683</v>
      </c>
      <c r="BE28" s="9" t="n">
        <f aca="false">MAX(BE22,$F$8)</f>
        <v>51867</v>
      </c>
      <c r="BF28" s="9" t="n">
        <f aca="false">MAX(BF22,$F$8)</f>
        <v>52048</v>
      </c>
      <c r="BG28" s="9" t="n">
        <f aca="false">MAX(BG22,$F$8)</f>
        <v>52232</v>
      </c>
      <c r="BH28" s="9" t="n">
        <f aca="false">MAX(BH22,$F$8)</f>
        <v>52413</v>
      </c>
      <c r="BI28" s="9" t="n">
        <f aca="false">MAX(BI22,$F$8)</f>
        <v>52597</v>
      </c>
      <c r="BJ28" s="9" t="n">
        <f aca="false">MAX(BJ22,$F$8)</f>
        <v>52779</v>
      </c>
      <c r="BK28" s="9" t="n">
        <f aca="false">MAX(BK22,$F$8)</f>
        <v>52963</v>
      </c>
      <c r="BL28" s="9" t="n">
        <f aca="false">MAX(BL22,$F$8)</f>
        <v>53144</v>
      </c>
      <c r="BM28" s="9" t="n">
        <f aca="false">MAX(BM22,$F$8)</f>
        <v>53328</v>
      </c>
      <c r="BN28" s="9" t="n">
        <f aca="false">MAX(BN22,$F$8)</f>
        <v>53509</v>
      </c>
    </row>
    <row r="29" customFormat="false" ht="15" hidden="false" customHeight="false" outlineLevel="0" collapsed="false">
      <c r="D29" s="0" t="s">
        <v>450</v>
      </c>
      <c r="E29" s="0" t="s">
        <v>296</v>
      </c>
      <c r="J29" s="9" t="n">
        <f aca="false">MIN(J23,$F$10)</f>
        <v>43465</v>
      </c>
      <c r="K29" s="9" t="n">
        <f aca="false">MIN(K23,$F$10)</f>
        <v>43646</v>
      </c>
      <c r="L29" s="9" t="n">
        <f aca="false">MIN(L23,$F$10)</f>
        <v>43830</v>
      </c>
      <c r="M29" s="9" t="n">
        <f aca="false">MIN(M23,$F$10)</f>
        <v>44012</v>
      </c>
      <c r="N29" s="9" t="n">
        <f aca="false">MIN(N23,$F$10)</f>
        <v>44196</v>
      </c>
      <c r="O29" s="9" t="n">
        <f aca="false">MIN(O23,$F$10)</f>
        <v>44377</v>
      </c>
      <c r="P29" s="9" t="n">
        <f aca="false">MIN(P23,$F$10)</f>
        <v>44561</v>
      </c>
      <c r="Q29" s="9" t="n">
        <f aca="false">MIN(Q23,$F$10)</f>
        <v>44742</v>
      </c>
      <c r="R29" s="9" t="n">
        <f aca="false">MIN(R23,$F$10)</f>
        <v>44926</v>
      </c>
      <c r="S29" s="9" t="n">
        <f aca="false">MIN(S23,$F$10)</f>
        <v>45107</v>
      </c>
      <c r="T29" s="9" t="n">
        <f aca="false">MIN(T23,$F$10)</f>
        <v>45291</v>
      </c>
      <c r="U29" s="9" t="n">
        <f aca="false">MIN(U23,$F$10)</f>
        <v>45473</v>
      </c>
      <c r="V29" s="9" t="n">
        <f aca="false">MIN(V23,$F$10)</f>
        <v>45657</v>
      </c>
      <c r="W29" s="9" t="n">
        <f aca="false">MIN(W23,$F$10)</f>
        <v>45838</v>
      </c>
      <c r="X29" s="9" t="n">
        <f aca="false">MIN(X23,$F$10)</f>
        <v>46022</v>
      </c>
      <c r="Y29" s="9" t="n">
        <f aca="false">MIN(Y23,$F$10)</f>
        <v>46203</v>
      </c>
      <c r="Z29" s="9" t="n">
        <f aca="false">MIN(Z23,$F$10)</f>
        <v>46387</v>
      </c>
      <c r="AA29" s="9" t="n">
        <f aca="false">MIN(AA23,$F$10)</f>
        <v>46568</v>
      </c>
      <c r="AB29" s="9" t="n">
        <f aca="false">MIN(AB23,$F$10)</f>
        <v>46752</v>
      </c>
      <c r="AC29" s="9" t="n">
        <f aca="false">MIN(AC23,$F$10)</f>
        <v>46934</v>
      </c>
      <c r="AD29" s="9" t="n">
        <f aca="false">MIN(AD23,$F$10)</f>
        <v>47118</v>
      </c>
      <c r="AE29" s="9" t="n">
        <f aca="false">MIN(AE23,$F$10)</f>
        <v>47299</v>
      </c>
      <c r="AF29" s="9" t="n">
        <f aca="false">MIN(AF23,$F$10)</f>
        <v>47483</v>
      </c>
      <c r="AG29" s="9" t="n">
        <f aca="false">MIN(AG23,$F$10)</f>
        <v>47664</v>
      </c>
      <c r="AH29" s="9" t="n">
        <f aca="false">MIN(AH23,$F$10)</f>
        <v>47848</v>
      </c>
      <c r="AI29" s="9" t="n">
        <f aca="false">MIN(AI23,$F$10)</f>
        <v>48029</v>
      </c>
      <c r="AJ29" s="9" t="n">
        <f aca="false">MIN(AJ23,$F$10)</f>
        <v>48213</v>
      </c>
      <c r="AK29" s="9" t="n">
        <f aca="false">MIN(AK23,$F$10)</f>
        <v>48395</v>
      </c>
      <c r="AL29" s="9" t="n">
        <f aca="false">MIN(AL23,$F$10)</f>
        <v>48579</v>
      </c>
      <c r="AM29" s="9" t="n">
        <f aca="false">MIN(AM23,$F$10)</f>
        <v>48760</v>
      </c>
      <c r="AN29" s="9" t="n">
        <f aca="false">MIN(AN23,$F$10)</f>
        <v>48944</v>
      </c>
      <c r="AO29" s="9" t="n">
        <f aca="false">MIN(AO23,$F$10)</f>
        <v>49125</v>
      </c>
      <c r="AP29" s="9" t="n">
        <f aca="false">MIN(AP23,$F$10)</f>
        <v>49309</v>
      </c>
      <c r="AQ29" s="9" t="n">
        <f aca="false">MIN(AQ23,$F$10)</f>
        <v>49490</v>
      </c>
      <c r="AR29" s="9" t="n">
        <f aca="false">MIN(AR23,$F$10)</f>
        <v>49674</v>
      </c>
      <c r="AS29" s="9" t="n">
        <f aca="false">MIN(AS23,$F$10)</f>
        <v>49856</v>
      </c>
      <c r="AT29" s="9" t="n">
        <f aca="false">MIN(AT23,$F$10)</f>
        <v>50040</v>
      </c>
      <c r="AU29" s="9" t="n">
        <f aca="false">MIN(AU23,$F$10)</f>
        <v>50221</v>
      </c>
      <c r="AV29" s="9" t="n">
        <f aca="false">MIN(AV23,$F$10)</f>
        <v>50405</v>
      </c>
      <c r="AW29" s="9" t="n">
        <f aca="false">MIN(AW23,$F$10)</f>
        <v>50586</v>
      </c>
      <c r="AX29" s="9" t="n">
        <f aca="false">MIN(AX23,$F$10)</f>
        <v>50770</v>
      </c>
      <c r="AY29" s="9" t="n">
        <f aca="false">MIN(AY23,$F$10)</f>
        <v>50951</v>
      </c>
      <c r="AZ29" s="9" t="n">
        <f aca="false">MIN(AZ23,$F$10)</f>
        <v>51135</v>
      </c>
      <c r="BA29" s="9" t="n">
        <f aca="false">MIN(BA23,$F$10)</f>
        <v>51317</v>
      </c>
      <c r="BB29" s="9" t="n">
        <f aca="false">MIN(BB23,$F$10)</f>
        <v>51501</v>
      </c>
      <c r="BC29" s="9" t="n">
        <f aca="false">MIN(BC23,$F$10)</f>
        <v>51682</v>
      </c>
      <c r="BD29" s="9" t="n">
        <f aca="false">MIN(BD23,$F$10)</f>
        <v>51866</v>
      </c>
      <c r="BE29" s="9" t="n">
        <f aca="false">MIN(BE23,$F$10)</f>
        <v>52047</v>
      </c>
      <c r="BF29" s="9" t="n">
        <f aca="false">MIN(BF23,$F$10)</f>
        <v>52231</v>
      </c>
      <c r="BG29" s="9" t="n">
        <f aca="false">MIN(BG23,$F$10)</f>
        <v>52412</v>
      </c>
      <c r="BH29" s="9" t="n">
        <f aca="false">MIN(BH23,$F$10)</f>
        <v>52596</v>
      </c>
      <c r="BI29" s="9" t="n">
        <f aca="false">MIN(BI23,$F$10)</f>
        <v>52778</v>
      </c>
      <c r="BJ29" s="9" t="n">
        <f aca="false">MIN(BJ23,$F$10)</f>
        <v>52962</v>
      </c>
      <c r="BK29" s="9" t="n">
        <f aca="false">MIN(BK23,$F$10)</f>
        <v>53143</v>
      </c>
      <c r="BL29" s="9" t="n">
        <f aca="false">MIN(BL23,$F$10)</f>
        <v>53327</v>
      </c>
      <c r="BM29" s="9" t="n">
        <f aca="false">MIN(BM23,$F$10)</f>
        <v>53508</v>
      </c>
      <c r="BN29" s="9" t="n">
        <f aca="false">MIN(BN23,$F$10)</f>
        <v>53661</v>
      </c>
    </row>
    <row r="30" customFormat="false" ht="15" hidden="false" customHeight="false" outlineLevel="0" collapsed="false">
      <c r="D30" s="0" t="s">
        <v>451</v>
      </c>
      <c r="E30" s="0" t="s">
        <v>97</v>
      </c>
      <c r="J30" s="10" t="n">
        <f aca="false">IF(J29&gt;=J28,(YEAR(J29)-YEAR(J28))*12+MONTH(J29)-MONTH(J28)+1,0)</f>
        <v>0</v>
      </c>
      <c r="K30" s="10" t="n">
        <f aca="false">IF(K29&gt;=K28,(YEAR(K29)-YEAR(K28))*12+MONTH(K29)-MONTH(K28)+1,0)</f>
        <v>0</v>
      </c>
      <c r="L30" s="10" t="n">
        <f aca="false">IF(L29&gt;=L28,(YEAR(L29)-YEAR(L28))*12+MONTH(L29)-MONTH(L28)+1,0)</f>
        <v>0</v>
      </c>
      <c r="M30" s="10" t="n">
        <f aca="false">IF(M29&gt;=M28,(YEAR(M29)-YEAR(M28))*12+MONTH(M29)-MONTH(M28)+1,0)</f>
        <v>0</v>
      </c>
      <c r="N30" s="10" t="n">
        <f aca="false">IF(N29&gt;=N28,(YEAR(N29)-YEAR(N28))*12+MONTH(N29)-MONTH(N28)+1,0)</f>
        <v>0</v>
      </c>
      <c r="O30" s="10" t="n">
        <f aca="false">IF(O29&gt;=O28,(YEAR(O29)-YEAR(O28))*12+MONTH(O29)-MONTH(O28)+1,0)</f>
        <v>0</v>
      </c>
      <c r="P30" s="10" t="n">
        <f aca="false">IF(P29&gt;=P28,(YEAR(P29)-YEAR(P28))*12+MONTH(P29)-MONTH(P28)+1,0)</f>
        <v>1</v>
      </c>
      <c r="Q30" s="10" t="n">
        <f aca="false">IF(Q29&gt;=Q28,(YEAR(Q29)-YEAR(Q28))*12+MONTH(Q29)-MONTH(Q28)+1,0)</f>
        <v>6</v>
      </c>
      <c r="R30" s="10" t="n">
        <f aca="false">IF(R29&gt;=R28,(YEAR(R29)-YEAR(R28))*12+MONTH(R29)-MONTH(R28)+1,0)</f>
        <v>6</v>
      </c>
      <c r="S30" s="10" t="n">
        <f aca="false">IF(S29&gt;=S28,(YEAR(S29)-YEAR(S28))*12+MONTH(S29)-MONTH(S28)+1,0)</f>
        <v>6</v>
      </c>
      <c r="T30" s="10" t="n">
        <f aca="false">IF(T29&gt;=T28,(YEAR(T29)-YEAR(T28))*12+MONTH(T29)-MONTH(T28)+1,0)</f>
        <v>6</v>
      </c>
      <c r="U30" s="10" t="n">
        <f aca="false">IF(U29&gt;=U28,(YEAR(U29)-YEAR(U28))*12+MONTH(U29)-MONTH(U28)+1,0)</f>
        <v>6</v>
      </c>
      <c r="V30" s="10" t="n">
        <f aca="false">IF(V29&gt;=V28,(YEAR(V29)-YEAR(V28))*12+MONTH(V29)-MONTH(V28)+1,0)</f>
        <v>6</v>
      </c>
      <c r="W30" s="10" t="n">
        <f aca="false">IF(W29&gt;=W28,(YEAR(W29)-YEAR(W28))*12+MONTH(W29)-MONTH(W28)+1,0)</f>
        <v>6</v>
      </c>
      <c r="X30" s="10" t="n">
        <f aca="false">IF(X29&gt;=X28,(YEAR(X29)-YEAR(X28))*12+MONTH(X29)-MONTH(X28)+1,0)</f>
        <v>6</v>
      </c>
      <c r="Y30" s="10" t="n">
        <f aca="false">IF(Y29&gt;=Y28,(YEAR(Y29)-YEAR(Y28))*12+MONTH(Y29)-MONTH(Y28)+1,0)</f>
        <v>6</v>
      </c>
      <c r="Z30" s="10" t="n">
        <f aca="false">IF(Z29&gt;=Z28,(YEAR(Z29)-YEAR(Z28))*12+MONTH(Z29)-MONTH(Z28)+1,0)</f>
        <v>6</v>
      </c>
      <c r="AA30" s="10" t="n">
        <f aca="false">IF(AA29&gt;=AA28,(YEAR(AA29)-YEAR(AA28))*12+MONTH(AA29)-MONTH(AA28)+1,0)</f>
        <v>6</v>
      </c>
      <c r="AB30" s="10" t="n">
        <f aca="false">IF(AB29&gt;=AB28,(YEAR(AB29)-YEAR(AB28))*12+MONTH(AB29)-MONTH(AB28)+1,0)</f>
        <v>6</v>
      </c>
      <c r="AC30" s="10" t="n">
        <f aca="false">IF(AC29&gt;=AC28,(YEAR(AC29)-YEAR(AC28))*12+MONTH(AC29)-MONTH(AC28)+1,0)</f>
        <v>6</v>
      </c>
      <c r="AD30" s="10" t="n">
        <f aca="false">IF(AD29&gt;=AD28,(YEAR(AD29)-YEAR(AD28))*12+MONTH(AD29)-MONTH(AD28)+1,0)</f>
        <v>6</v>
      </c>
      <c r="AE30" s="10" t="n">
        <f aca="false">IF(AE29&gt;=AE28,(YEAR(AE29)-YEAR(AE28))*12+MONTH(AE29)-MONTH(AE28)+1,0)</f>
        <v>6</v>
      </c>
      <c r="AF30" s="10" t="n">
        <f aca="false">IF(AF29&gt;=AF28,(YEAR(AF29)-YEAR(AF28))*12+MONTH(AF29)-MONTH(AF28)+1,0)</f>
        <v>6</v>
      </c>
      <c r="AG30" s="10" t="n">
        <f aca="false">IF(AG29&gt;=AG28,(YEAR(AG29)-YEAR(AG28))*12+MONTH(AG29)-MONTH(AG28)+1,0)</f>
        <v>6</v>
      </c>
      <c r="AH30" s="10" t="n">
        <f aca="false">IF(AH29&gt;=AH28,(YEAR(AH29)-YEAR(AH28))*12+MONTH(AH29)-MONTH(AH28)+1,0)</f>
        <v>6</v>
      </c>
      <c r="AI30" s="10" t="n">
        <f aca="false">IF(AI29&gt;=AI28,(YEAR(AI29)-YEAR(AI28))*12+MONTH(AI29)-MONTH(AI28)+1,0)</f>
        <v>6</v>
      </c>
      <c r="AJ30" s="10" t="n">
        <f aca="false">IF(AJ29&gt;=AJ28,(YEAR(AJ29)-YEAR(AJ28))*12+MONTH(AJ29)-MONTH(AJ28)+1,0)</f>
        <v>6</v>
      </c>
      <c r="AK30" s="10" t="n">
        <f aca="false">IF(AK29&gt;=AK28,(YEAR(AK29)-YEAR(AK28))*12+MONTH(AK29)-MONTH(AK28)+1,0)</f>
        <v>6</v>
      </c>
      <c r="AL30" s="10" t="n">
        <f aca="false">IF(AL29&gt;=AL28,(YEAR(AL29)-YEAR(AL28))*12+MONTH(AL29)-MONTH(AL28)+1,0)</f>
        <v>6</v>
      </c>
      <c r="AM30" s="10" t="n">
        <f aca="false">IF(AM29&gt;=AM28,(YEAR(AM29)-YEAR(AM28))*12+MONTH(AM29)-MONTH(AM28)+1,0)</f>
        <v>6</v>
      </c>
      <c r="AN30" s="10" t="n">
        <f aca="false">IF(AN29&gt;=AN28,(YEAR(AN29)-YEAR(AN28))*12+MONTH(AN29)-MONTH(AN28)+1,0)</f>
        <v>6</v>
      </c>
      <c r="AO30" s="10" t="n">
        <f aca="false">IF(AO29&gt;=AO28,(YEAR(AO29)-YEAR(AO28))*12+MONTH(AO29)-MONTH(AO28)+1,0)</f>
        <v>6</v>
      </c>
      <c r="AP30" s="10" t="n">
        <f aca="false">IF(AP29&gt;=AP28,(YEAR(AP29)-YEAR(AP28))*12+MONTH(AP29)-MONTH(AP28)+1,0)</f>
        <v>6</v>
      </c>
      <c r="AQ30" s="10" t="n">
        <f aca="false">IF(AQ29&gt;=AQ28,(YEAR(AQ29)-YEAR(AQ28))*12+MONTH(AQ29)-MONTH(AQ28)+1,0)</f>
        <v>6</v>
      </c>
      <c r="AR30" s="10" t="n">
        <f aca="false">IF(AR29&gt;=AR28,(YEAR(AR29)-YEAR(AR28))*12+MONTH(AR29)-MONTH(AR28)+1,0)</f>
        <v>6</v>
      </c>
      <c r="AS30" s="10" t="n">
        <f aca="false">IF(AS29&gt;=AS28,(YEAR(AS29)-YEAR(AS28))*12+MONTH(AS29)-MONTH(AS28)+1,0)</f>
        <v>6</v>
      </c>
      <c r="AT30" s="10" t="n">
        <f aca="false">IF(AT29&gt;=AT28,(YEAR(AT29)-YEAR(AT28))*12+MONTH(AT29)-MONTH(AT28)+1,0)</f>
        <v>6</v>
      </c>
      <c r="AU30" s="10" t="n">
        <f aca="false">IF(AU29&gt;=AU28,(YEAR(AU29)-YEAR(AU28))*12+MONTH(AU29)-MONTH(AU28)+1,0)</f>
        <v>6</v>
      </c>
      <c r="AV30" s="10" t="n">
        <f aca="false">IF(AV29&gt;=AV28,(YEAR(AV29)-YEAR(AV28))*12+MONTH(AV29)-MONTH(AV28)+1,0)</f>
        <v>6</v>
      </c>
      <c r="AW30" s="10" t="n">
        <f aca="false">IF(AW29&gt;=AW28,(YEAR(AW29)-YEAR(AW28))*12+MONTH(AW29)-MONTH(AW28)+1,0)</f>
        <v>6</v>
      </c>
      <c r="AX30" s="10" t="n">
        <f aca="false">IF(AX29&gt;=AX28,(YEAR(AX29)-YEAR(AX28))*12+MONTH(AX29)-MONTH(AX28)+1,0)</f>
        <v>6</v>
      </c>
      <c r="AY30" s="10" t="n">
        <f aca="false">IF(AY29&gt;=AY28,(YEAR(AY29)-YEAR(AY28))*12+MONTH(AY29)-MONTH(AY28)+1,0)</f>
        <v>6</v>
      </c>
      <c r="AZ30" s="10" t="n">
        <f aca="false">IF(AZ29&gt;=AZ28,(YEAR(AZ29)-YEAR(AZ28))*12+MONTH(AZ29)-MONTH(AZ28)+1,0)</f>
        <v>6</v>
      </c>
      <c r="BA30" s="10" t="n">
        <f aca="false">IF(BA29&gt;=BA28,(YEAR(BA29)-YEAR(BA28))*12+MONTH(BA29)-MONTH(BA28)+1,0)</f>
        <v>6</v>
      </c>
      <c r="BB30" s="10" t="n">
        <f aca="false">IF(BB29&gt;=BB28,(YEAR(BB29)-YEAR(BB28))*12+MONTH(BB29)-MONTH(BB28)+1,0)</f>
        <v>6</v>
      </c>
      <c r="BC30" s="10" t="n">
        <f aca="false">IF(BC29&gt;=BC28,(YEAR(BC29)-YEAR(BC28))*12+MONTH(BC29)-MONTH(BC28)+1,0)</f>
        <v>6</v>
      </c>
      <c r="BD30" s="10" t="n">
        <f aca="false">IF(BD29&gt;=BD28,(YEAR(BD29)-YEAR(BD28))*12+MONTH(BD29)-MONTH(BD28)+1,0)</f>
        <v>6</v>
      </c>
      <c r="BE30" s="10" t="n">
        <f aca="false">IF(BE29&gt;=BE28,(YEAR(BE29)-YEAR(BE28))*12+MONTH(BE29)-MONTH(BE28)+1,0)</f>
        <v>6</v>
      </c>
      <c r="BF30" s="10" t="n">
        <f aca="false">IF(BF29&gt;=BF28,(YEAR(BF29)-YEAR(BF28))*12+MONTH(BF29)-MONTH(BF28)+1,0)</f>
        <v>6</v>
      </c>
      <c r="BG30" s="10" t="n">
        <f aca="false">IF(BG29&gt;=BG28,(YEAR(BG29)-YEAR(BG28))*12+MONTH(BG29)-MONTH(BG28)+1,0)</f>
        <v>6</v>
      </c>
      <c r="BH30" s="10" t="n">
        <f aca="false">IF(BH29&gt;=BH28,(YEAR(BH29)-YEAR(BH28))*12+MONTH(BH29)-MONTH(BH28)+1,0)</f>
        <v>6</v>
      </c>
      <c r="BI30" s="10" t="n">
        <f aca="false">IF(BI29&gt;=BI28,(YEAR(BI29)-YEAR(BI28))*12+MONTH(BI29)-MONTH(BI28)+1,0)</f>
        <v>6</v>
      </c>
      <c r="BJ30" s="10" t="n">
        <f aca="false">IF(BJ29&gt;=BJ28,(YEAR(BJ29)-YEAR(BJ28))*12+MONTH(BJ29)-MONTH(BJ28)+1,0)</f>
        <v>6</v>
      </c>
      <c r="BK30" s="10" t="n">
        <f aca="false">IF(BK29&gt;=BK28,(YEAR(BK29)-YEAR(BK28))*12+MONTH(BK29)-MONTH(BK28)+1,0)</f>
        <v>6</v>
      </c>
      <c r="BL30" s="10" t="n">
        <f aca="false">IF(BL29&gt;=BL28,(YEAR(BL29)-YEAR(BL28))*12+MONTH(BL29)-MONTH(BL28)+1,0)</f>
        <v>6</v>
      </c>
      <c r="BM30" s="10" t="n">
        <f aca="false">IF(BM29&gt;=BM28,(YEAR(BM29)-YEAR(BM28))*12+MONTH(BM29)-MONTH(BM28)+1,0)</f>
        <v>6</v>
      </c>
      <c r="BN30" s="10" t="n">
        <f aca="false">IF(BN29&gt;=BN28,(YEAR(BN29)-YEAR(BN28))*12+MONTH(BN29)-MONTH(BN28)+1,0)</f>
        <v>5</v>
      </c>
    </row>
    <row r="31" customFormat="false" ht="15" hidden="false" customHeight="false" outlineLevel="0" collapsed="false">
      <c r="D31" s="0" t="s">
        <v>452</v>
      </c>
      <c r="E31" s="0" t="s">
        <v>111</v>
      </c>
      <c r="J31" s="10" t="n">
        <f aca="false">IF(J29&gt;=J28,J29-J28+1,0)</f>
        <v>0</v>
      </c>
      <c r="K31" s="10" t="n">
        <f aca="false">IF(K29&gt;=K28,K29-K28+1,0)</f>
        <v>0</v>
      </c>
      <c r="L31" s="10" t="n">
        <f aca="false">IF(L29&gt;=L28,L29-L28+1,0)</f>
        <v>0</v>
      </c>
      <c r="M31" s="10" t="n">
        <f aca="false">IF(M29&gt;=M28,M29-M28+1,0)</f>
        <v>0</v>
      </c>
      <c r="N31" s="10" t="n">
        <f aca="false">IF(N29&gt;=N28,N29-N28+1,0)</f>
        <v>0</v>
      </c>
      <c r="O31" s="10" t="n">
        <f aca="false">IF(O29&gt;=O28,O29-O28+1,0)</f>
        <v>0</v>
      </c>
      <c r="P31" s="10" t="n">
        <f aca="false">IF(P29&gt;=P28,P29-P28+1,0)</f>
        <v>31</v>
      </c>
      <c r="Q31" s="10" t="n">
        <f aca="false">IF(Q29&gt;=Q28,Q29-Q28+1,0)</f>
        <v>181</v>
      </c>
      <c r="R31" s="10" t="n">
        <f aca="false">IF(R29&gt;=R28,R29-R28+1,0)</f>
        <v>184</v>
      </c>
      <c r="S31" s="10" t="n">
        <f aca="false">IF(S29&gt;=S28,S29-S28+1,0)</f>
        <v>181</v>
      </c>
      <c r="T31" s="10" t="n">
        <f aca="false">IF(T29&gt;=T28,T29-T28+1,0)</f>
        <v>184</v>
      </c>
      <c r="U31" s="10" t="n">
        <f aca="false">IF(U29&gt;=U28,U29-U28+1,0)</f>
        <v>182</v>
      </c>
      <c r="V31" s="10" t="n">
        <f aca="false">IF(V29&gt;=V28,V29-V28+1,0)</f>
        <v>184</v>
      </c>
      <c r="W31" s="10" t="n">
        <f aca="false">IF(W29&gt;=W28,W29-W28+1,0)</f>
        <v>181</v>
      </c>
      <c r="X31" s="10" t="n">
        <f aca="false">IF(X29&gt;=X28,X29-X28+1,0)</f>
        <v>184</v>
      </c>
      <c r="Y31" s="10" t="n">
        <f aca="false">IF(Y29&gt;=Y28,Y29-Y28+1,0)</f>
        <v>181</v>
      </c>
      <c r="Z31" s="10" t="n">
        <f aca="false">IF(Z29&gt;=Z28,Z29-Z28+1,0)</f>
        <v>184</v>
      </c>
      <c r="AA31" s="10" t="n">
        <f aca="false">IF(AA29&gt;=AA28,AA29-AA28+1,0)</f>
        <v>181</v>
      </c>
      <c r="AB31" s="10" t="n">
        <f aca="false">IF(AB29&gt;=AB28,AB29-AB28+1,0)</f>
        <v>184</v>
      </c>
      <c r="AC31" s="10" t="n">
        <f aca="false">IF(AC29&gt;=AC28,AC29-AC28+1,0)</f>
        <v>182</v>
      </c>
      <c r="AD31" s="10" t="n">
        <f aca="false">IF(AD29&gt;=AD28,AD29-AD28+1,0)</f>
        <v>184</v>
      </c>
      <c r="AE31" s="10" t="n">
        <f aca="false">IF(AE29&gt;=AE28,AE29-AE28+1,0)</f>
        <v>181</v>
      </c>
      <c r="AF31" s="10" t="n">
        <f aca="false">IF(AF29&gt;=AF28,AF29-AF28+1,0)</f>
        <v>184</v>
      </c>
      <c r="AG31" s="10" t="n">
        <f aca="false">IF(AG29&gt;=AG28,AG29-AG28+1,0)</f>
        <v>181</v>
      </c>
      <c r="AH31" s="10" t="n">
        <f aca="false">IF(AH29&gt;=AH28,AH29-AH28+1,0)</f>
        <v>184</v>
      </c>
      <c r="AI31" s="10" t="n">
        <f aca="false">IF(AI29&gt;=AI28,AI29-AI28+1,0)</f>
        <v>181</v>
      </c>
      <c r="AJ31" s="10" t="n">
        <f aca="false">IF(AJ29&gt;=AJ28,AJ29-AJ28+1,0)</f>
        <v>184</v>
      </c>
      <c r="AK31" s="10" t="n">
        <f aca="false">IF(AK29&gt;=AK28,AK29-AK28+1,0)</f>
        <v>182</v>
      </c>
      <c r="AL31" s="10" t="n">
        <f aca="false">IF(AL29&gt;=AL28,AL29-AL28+1,0)</f>
        <v>184</v>
      </c>
      <c r="AM31" s="10" t="n">
        <f aca="false">IF(AM29&gt;=AM28,AM29-AM28+1,0)</f>
        <v>181</v>
      </c>
      <c r="AN31" s="10" t="n">
        <f aca="false">IF(AN29&gt;=AN28,AN29-AN28+1,0)</f>
        <v>184</v>
      </c>
      <c r="AO31" s="10" t="n">
        <f aca="false">IF(AO29&gt;=AO28,AO29-AO28+1,0)</f>
        <v>181</v>
      </c>
      <c r="AP31" s="10" t="n">
        <f aca="false">IF(AP29&gt;=AP28,AP29-AP28+1,0)</f>
        <v>184</v>
      </c>
      <c r="AQ31" s="10" t="n">
        <f aca="false">IF(AQ29&gt;=AQ28,AQ29-AQ28+1,0)</f>
        <v>181</v>
      </c>
      <c r="AR31" s="10" t="n">
        <f aca="false">IF(AR29&gt;=AR28,AR29-AR28+1,0)</f>
        <v>184</v>
      </c>
      <c r="AS31" s="10" t="n">
        <f aca="false">IF(AS29&gt;=AS28,AS29-AS28+1,0)</f>
        <v>182</v>
      </c>
      <c r="AT31" s="10" t="n">
        <f aca="false">IF(AT29&gt;=AT28,AT29-AT28+1,0)</f>
        <v>184</v>
      </c>
      <c r="AU31" s="10" t="n">
        <f aca="false">IF(AU29&gt;=AU28,AU29-AU28+1,0)</f>
        <v>181</v>
      </c>
      <c r="AV31" s="10" t="n">
        <f aca="false">IF(AV29&gt;=AV28,AV29-AV28+1,0)</f>
        <v>184</v>
      </c>
      <c r="AW31" s="10" t="n">
        <f aca="false">IF(AW29&gt;=AW28,AW29-AW28+1,0)</f>
        <v>181</v>
      </c>
      <c r="AX31" s="10" t="n">
        <f aca="false">IF(AX29&gt;=AX28,AX29-AX28+1,0)</f>
        <v>184</v>
      </c>
      <c r="AY31" s="10" t="n">
        <f aca="false">IF(AY29&gt;=AY28,AY29-AY28+1,0)</f>
        <v>181</v>
      </c>
      <c r="AZ31" s="10" t="n">
        <f aca="false">IF(AZ29&gt;=AZ28,AZ29-AZ28+1,0)</f>
        <v>184</v>
      </c>
      <c r="BA31" s="10" t="n">
        <f aca="false">IF(BA29&gt;=BA28,BA29-BA28+1,0)</f>
        <v>182</v>
      </c>
      <c r="BB31" s="10" t="n">
        <f aca="false">IF(BB29&gt;=BB28,BB29-BB28+1,0)</f>
        <v>184</v>
      </c>
      <c r="BC31" s="10" t="n">
        <f aca="false">IF(BC29&gt;=BC28,BC29-BC28+1,0)</f>
        <v>181</v>
      </c>
      <c r="BD31" s="10" t="n">
        <f aca="false">IF(BD29&gt;=BD28,BD29-BD28+1,0)</f>
        <v>184</v>
      </c>
      <c r="BE31" s="10" t="n">
        <f aca="false">IF(BE29&gt;=BE28,BE29-BE28+1,0)</f>
        <v>181</v>
      </c>
      <c r="BF31" s="10" t="n">
        <f aca="false">IF(BF29&gt;=BF28,BF29-BF28+1,0)</f>
        <v>184</v>
      </c>
      <c r="BG31" s="10" t="n">
        <f aca="false">IF(BG29&gt;=BG28,BG29-BG28+1,0)</f>
        <v>181</v>
      </c>
      <c r="BH31" s="10" t="n">
        <f aca="false">IF(BH29&gt;=BH28,BH29-BH28+1,0)</f>
        <v>184</v>
      </c>
      <c r="BI31" s="10" t="n">
        <f aca="false">IF(BI29&gt;=BI28,BI29-BI28+1,0)</f>
        <v>182</v>
      </c>
      <c r="BJ31" s="10" t="n">
        <f aca="false">IF(BJ29&gt;=BJ28,BJ29-BJ28+1,0)</f>
        <v>184</v>
      </c>
      <c r="BK31" s="10" t="n">
        <f aca="false">IF(BK29&gt;=BK28,BK29-BK28+1,0)</f>
        <v>181</v>
      </c>
      <c r="BL31" s="10" t="n">
        <f aca="false">IF(BL29&gt;=BL28,BL29-BL28+1,0)</f>
        <v>184</v>
      </c>
      <c r="BM31" s="10" t="n">
        <f aca="false">IF(BM29&gt;=BM28,BM29-BM28+1,0)</f>
        <v>181</v>
      </c>
      <c r="BN31" s="10" t="n">
        <f aca="false">IF(BN29&gt;=BN28,BN29-BN28+1,0)</f>
        <v>153</v>
      </c>
    </row>
    <row r="32" customFormat="false" ht="15" hidden="false" customHeight="false" outlineLevel="0" collapsed="false">
      <c r="D32" s="0" t="s">
        <v>453</v>
      </c>
      <c r="E32" s="0" t="s">
        <v>97</v>
      </c>
      <c r="J32" s="10" t="n">
        <f aca="false">MIN(MAX((YEAR(J22)-YEAR($F$8))*12+MONTH(J22)-MONTH($F$8),0),$F$9)</f>
        <v>0</v>
      </c>
      <c r="K32" s="10" t="n">
        <f aca="false">MIN(MAX((YEAR(K22)-YEAR($F$8))*12+MONTH(K22)-MONTH($F$8),0),$F$9)</f>
        <v>0</v>
      </c>
      <c r="L32" s="10" t="n">
        <f aca="false">MIN(MAX((YEAR(L22)-YEAR($F$8))*12+MONTH(L22)-MONTH($F$8),0),$F$9)</f>
        <v>0</v>
      </c>
      <c r="M32" s="10" t="n">
        <f aca="false">MIN(MAX((YEAR(M22)-YEAR($F$8))*12+MONTH(M22)-MONTH($F$8),0),$F$9)</f>
        <v>0</v>
      </c>
      <c r="N32" s="10" t="n">
        <f aca="false">MIN(MAX((YEAR(N22)-YEAR($F$8))*12+MONTH(N22)-MONTH($F$8),0),$F$9)</f>
        <v>0</v>
      </c>
      <c r="O32" s="10" t="n">
        <f aca="false">MIN(MAX((YEAR(O22)-YEAR($F$8))*12+MONTH(O22)-MONTH($F$8),0),$F$9)</f>
        <v>0</v>
      </c>
      <c r="P32" s="10" t="n">
        <f aca="false">MIN(MAX((YEAR(P22)-YEAR($F$8))*12+MONTH(P22)-MONTH($F$8),0),$F$9)</f>
        <v>0</v>
      </c>
      <c r="Q32" s="10" t="n">
        <f aca="false">MIN(MAX((YEAR(Q22)-YEAR($F$8))*12+MONTH(Q22)-MONTH($F$8),0),$F$9)</f>
        <v>1</v>
      </c>
      <c r="R32" s="10" t="n">
        <f aca="false">MIN(MAX((YEAR(R22)-YEAR($F$8))*12+MONTH(R22)-MONTH($F$8),0),$F$9)</f>
        <v>7</v>
      </c>
      <c r="S32" s="10" t="n">
        <f aca="false">MIN(MAX((YEAR(S22)-YEAR($F$8))*12+MONTH(S22)-MONTH($F$8),0),$F$9)</f>
        <v>13</v>
      </c>
      <c r="T32" s="10" t="n">
        <f aca="false">MIN(MAX((YEAR(T22)-YEAR($F$8))*12+MONTH(T22)-MONTH($F$8),0),$F$9)</f>
        <v>19</v>
      </c>
      <c r="U32" s="10" t="n">
        <f aca="false">MIN(MAX((YEAR(U22)-YEAR($F$8))*12+MONTH(U22)-MONTH($F$8),0),$F$9)</f>
        <v>25</v>
      </c>
      <c r="V32" s="10" t="n">
        <f aca="false">MIN(MAX((YEAR(V22)-YEAR($F$8))*12+MONTH(V22)-MONTH($F$8),0),$F$9)</f>
        <v>31</v>
      </c>
      <c r="W32" s="10" t="n">
        <f aca="false">MIN(MAX((YEAR(W22)-YEAR($F$8))*12+MONTH(W22)-MONTH($F$8),0),$F$9)</f>
        <v>37</v>
      </c>
      <c r="X32" s="10" t="n">
        <f aca="false">MIN(MAX((YEAR(X22)-YEAR($F$8))*12+MONTH(X22)-MONTH($F$8),0),$F$9)</f>
        <v>43</v>
      </c>
      <c r="Y32" s="10" t="n">
        <f aca="false">MIN(MAX((YEAR(Y22)-YEAR($F$8))*12+MONTH(Y22)-MONTH($F$8),0),$F$9)</f>
        <v>49</v>
      </c>
      <c r="Z32" s="10" t="n">
        <f aca="false">MIN(MAX((YEAR(Z22)-YEAR($F$8))*12+MONTH(Z22)-MONTH($F$8),0),$F$9)</f>
        <v>55</v>
      </c>
      <c r="AA32" s="10" t="n">
        <f aca="false">MIN(MAX((YEAR(AA22)-YEAR($F$8))*12+MONTH(AA22)-MONTH($F$8),0),$F$9)</f>
        <v>61</v>
      </c>
      <c r="AB32" s="10" t="n">
        <f aca="false">MIN(MAX((YEAR(AB22)-YEAR($F$8))*12+MONTH(AB22)-MONTH($F$8),0),$F$9)</f>
        <v>67</v>
      </c>
      <c r="AC32" s="10" t="n">
        <f aca="false">MIN(MAX((YEAR(AC22)-YEAR($F$8))*12+MONTH(AC22)-MONTH($F$8),0),$F$9)</f>
        <v>73</v>
      </c>
      <c r="AD32" s="10" t="n">
        <f aca="false">MIN(MAX((YEAR(AD22)-YEAR($F$8))*12+MONTH(AD22)-MONTH($F$8),0),$F$9)</f>
        <v>79</v>
      </c>
      <c r="AE32" s="10" t="n">
        <f aca="false">MIN(MAX((YEAR(AE22)-YEAR($F$8))*12+MONTH(AE22)-MONTH($F$8),0),$F$9)</f>
        <v>85</v>
      </c>
      <c r="AF32" s="10" t="n">
        <f aca="false">MIN(MAX((YEAR(AF22)-YEAR($F$8))*12+MONTH(AF22)-MONTH($F$8),0),$F$9)</f>
        <v>91</v>
      </c>
      <c r="AG32" s="10" t="n">
        <f aca="false">MIN(MAX((YEAR(AG22)-YEAR($F$8))*12+MONTH(AG22)-MONTH($F$8),0),$F$9)</f>
        <v>97</v>
      </c>
      <c r="AH32" s="10" t="n">
        <f aca="false">MIN(MAX((YEAR(AH22)-YEAR($F$8))*12+MONTH(AH22)-MONTH($F$8),0),$F$9)</f>
        <v>103</v>
      </c>
      <c r="AI32" s="10" t="n">
        <f aca="false">MIN(MAX((YEAR(AI22)-YEAR($F$8))*12+MONTH(AI22)-MONTH($F$8),0),$F$9)</f>
        <v>109</v>
      </c>
      <c r="AJ32" s="10" t="n">
        <f aca="false">MIN(MAX((YEAR(AJ22)-YEAR($F$8))*12+MONTH(AJ22)-MONTH($F$8),0),$F$9)</f>
        <v>115</v>
      </c>
      <c r="AK32" s="10" t="n">
        <f aca="false">MIN(MAX((YEAR(AK22)-YEAR($F$8))*12+MONTH(AK22)-MONTH($F$8),0),$F$9)</f>
        <v>121</v>
      </c>
      <c r="AL32" s="10" t="n">
        <f aca="false">MIN(MAX((YEAR(AL22)-YEAR($F$8))*12+MONTH(AL22)-MONTH($F$8),0),$F$9)</f>
        <v>127</v>
      </c>
      <c r="AM32" s="10" t="n">
        <f aca="false">MIN(MAX((YEAR(AM22)-YEAR($F$8))*12+MONTH(AM22)-MONTH($F$8),0),$F$9)</f>
        <v>133</v>
      </c>
      <c r="AN32" s="10" t="n">
        <f aca="false">MIN(MAX((YEAR(AN22)-YEAR($F$8))*12+MONTH(AN22)-MONTH($F$8),0),$F$9)</f>
        <v>139</v>
      </c>
      <c r="AO32" s="10" t="n">
        <f aca="false">MIN(MAX((YEAR(AO22)-YEAR($F$8))*12+MONTH(AO22)-MONTH($F$8),0),$F$9)</f>
        <v>145</v>
      </c>
      <c r="AP32" s="10" t="n">
        <f aca="false">MIN(MAX((YEAR(AP22)-YEAR($F$8))*12+MONTH(AP22)-MONTH($F$8),0),$F$9)</f>
        <v>151</v>
      </c>
      <c r="AQ32" s="10" t="n">
        <f aca="false">MIN(MAX((YEAR(AQ22)-YEAR($F$8))*12+MONTH(AQ22)-MONTH($F$8),0),$F$9)</f>
        <v>157</v>
      </c>
      <c r="AR32" s="10" t="n">
        <f aca="false">MIN(MAX((YEAR(AR22)-YEAR($F$8))*12+MONTH(AR22)-MONTH($F$8),0),$F$9)</f>
        <v>163</v>
      </c>
      <c r="AS32" s="10" t="n">
        <f aca="false">MIN(MAX((YEAR(AS22)-YEAR($F$8))*12+MONTH(AS22)-MONTH($F$8),0),$F$9)</f>
        <v>169</v>
      </c>
      <c r="AT32" s="10" t="n">
        <f aca="false">MIN(MAX((YEAR(AT22)-YEAR($F$8))*12+MONTH(AT22)-MONTH($F$8),0),$F$9)</f>
        <v>175</v>
      </c>
      <c r="AU32" s="10" t="n">
        <f aca="false">MIN(MAX((YEAR(AU22)-YEAR($F$8))*12+MONTH(AU22)-MONTH($F$8),0),$F$9)</f>
        <v>181</v>
      </c>
      <c r="AV32" s="10" t="n">
        <f aca="false">MIN(MAX((YEAR(AV22)-YEAR($F$8))*12+MONTH(AV22)-MONTH($F$8),0),$F$9)</f>
        <v>187</v>
      </c>
      <c r="AW32" s="10" t="n">
        <f aca="false">MIN(MAX((YEAR(AW22)-YEAR($F$8))*12+MONTH(AW22)-MONTH($F$8),0),$F$9)</f>
        <v>193</v>
      </c>
      <c r="AX32" s="10" t="n">
        <f aca="false">MIN(MAX((YEAR(AX22)-YEAR($F$8))*12+MONTH(AX22)-MONTH($F$8),0),$F$9)</f>
        <v>199</v>
      </c>
      <c r="AY32" s="10" t="n">
        <f aca="false">MIN(MAX((YEAR(AY22)-YEAR($F$8))*12+MONTH(AY22)-MONTH($F$8),0),$F$9)</f>
        <v>205</v>
      </c>
      <c r="AZ32" s="10" t="n">
        <f aca="false">MIN(MAX((YEAR(AZ22)-YEAR($F$8))*12+MONTH(AZ22)-MONTH($F$8),0),$F$9)</f>
        <v>211</v>
      </c>
      <c r="BA32" s="10" t="n">
        <f aca="false">MIN(MAX((YEAR(BA22)-YEAR($F$8))*12+MONTH(BA22)-MONTH($F$8),0),$F$9)</f>
        <v>217</v>
      </c>
      <c r="BB32" s="10" t="n">
        <f aca="false">MIN(MAX((YEAR(BB22)-YEAR($F$8))*12+MONTH(BB22)-MONTH($F$8),0),$F$9)</f>
        <v>223</v>
      </c>
      <c r="BC32" s="10" t="n">
        <f aca="false">MIN(MAX((YEAR(BC22)-YEAR($F$8))*12+MONTH(BC22)-MONTH($F$8),0),$F$9)</f>
        <v>229</v>
      </c>
      <c r="BD32" s="10" t="n">
        <f aca="false">MIN(MAX((YEAR(BD22)-YEAR($F$8))*12+MONTH(BD22)-MONTH($F$8),0),$F$9)</f>
        <v>235</v>
      </c>
      <c r="BE32" s="10" t="n">
        <f aca="false">MIN(MAX((YEAR(BE22)-YEAR($F$8))*12+MONTH(BE22)-MONTH($F$8),0),$F$9)</f>
        <v>241</v>
      </c>
      <c r="BF32" s="10" t="n">
        <f aca="false">MIN(MAX((YEAR(BF22)-YEAR($F$8))*12+MONTH(BF22)-MONTH($F$8),0),$F$9)</f>
        <v>247</v>
      </c>
      <c r="BG32" s="10" t="n">
        <f aca="false">MIN(MAX((YEAR(BG22)-YEAR($F$8))*12+MONTH(BG22)-MONTH($F$8),0),$F$9)</f>
        <v>253</v>
      </c>
      <c r="BH32" s="10" t="n">
        <f aca="false">MIN(MAX((YEAR(BH22)-YEAR($F$8))*12+MONTH(BH22)-MONTH($F$8),0),$F$9)</f>
        <v>259</v>
      </c>
      <c r="BI32" s="10" t="n">
        <f aca="false">MIN(MAX((YEAR(BI22)-YEAR($F$8))*12+MONTH(BI22)-MONTH($F$8),0),$F$9)</f>
        <v>265</v>
      </c>
      <c r="BJ32" s="10" t="n">
        <f aca="false">MIN(MAX((YEAR(BJ22)-YEAR($F$8))*12+MONTH(BJ22)-MONTH($F$8),0),$F$9)</f>
        <v>271</v>
      </c>
      <c r="BK32" s="10" t="n">
        <f aca="false">MIN(MAX((YEAR(BK22)-YEAR($F$8))*12+MONTH(BK22)-MONTH($F$8),0),$F$9)</f>
        <v>277</v>
      </c>
      <c r="BL32" s="10" t="n">
        <f aca="false">MIN(MAX((YEAR(BL22)-YEAR($F$8))*12+MONTH(BL22)-MONTH($F$8),0),$F$9)</f>
        <v>283</v>
      </c>
      <c r="BM32" s="10" t="n">
        <f aca="false">MIN(MAX((YEAR(BM22)-YEAR($F$8))*12+MONTH(BM22)-MONTH($F$8),0),$F$9)</f>
        <v>289</v>
      </c>
      <c r="BN32" s="10" t="n">
        <f aca="false">MIN(MAX((YEAR(BN22)-YEAR($F$8))*12+MONTH(BN22)-MONTH($F$8),0),$F$9)</f>
        <v>295</v>
      </c>
    </row>
    <row r="33" customFormat="false" ht="15" hidden="false" customHeight="false" outlineLevel="0" collapsed="false">
      <c r="D33" s="0" t="s">
        <v>454</v>
      </c>
      <c r="E33" s="0" t="s">
        <v>97</v>
      </c>
      <c r="J33" s="10" t="n">
        <f aca="false">J32+J30</f>
        <v>0</v>
      </c>
      <c r="K33" s="10" t="n">
        <f aca="false">K32+K30</f>
        <v>0</v>
      </c>
      <c r="L33" s="10" t="n">
        <f aca="false">L32+L30</f>
        <v>0</v>
      </c>
      <c r="M33" s="10" t="n">
        <f aca="false">M32+M30</f>
        <v>0</v>
      </c>
      <c r="N33" s="10" t="n">
        <f aca="false">N32+N30</f>
        <v>0</v>
      </c>
      <c r="O33" s="10" t="n">
        <f aca="false">O32+O30</f>
        <v>0</v>
      </c>
      <c r="P33" s="10" t="n">
        <f aca="false">P32+P30</f>
        <v>1</v>
      </c>
      <c r="Q33" s="10" t="n">
        <f aca="false">Q32+Q30</f>
        <v>7</v>
      </c>
      <c r="R33" s="10" t="n">
        <f aca="false">R32+R30</f>
        <v>13</v>
      </c>
      <c r="S33" s="10" t="n">
        <f aca="false">S32+S30</f>
        <v>19</v>
      </c>
      <c r="T33" s="10" t="n">
        <f aca="false">T32+T30</f>
        <v>25</v>
      </c>
      <c r="U33" s="10" t="n">
        <f aca="false">U32+U30</f>
        <v>31</v>
      </c>
      <c r="V33" s="10" t="n">
        <f aca="false">V32+V30</f>
        <v>37</v>
      </c>
      <c r="W33" s="10" t="n">
        <f aca="false">W32+W30</f>
        <v>43</v>
      </c>
      <c r="X33" s="10" t="n">
        <f aca="false">X32+X30</f>
        <v>49</v>
      </c>
      <c r="Y33" s="10" t="n">
        <f aca="false">Y32+Y30</f>
        <v>55</v>
      </c>
      <c r="Z33" s="10" t="n">
        <f aca="false">Z32+Z30</f>
        <v>61</v>
      </c>
      <c r="AA33" s="10" t="n">
        <f aca="false">AA32+AA30</f>
        <v>67</v>
      </c>
      <c r="AB33" s="10" t="n">
        <f aca="false">AB32+AB30</f>
        <v>73</v>
      </c>
      <c r="AC33" s="10" t="n">
        <f aca="false">AC32+AC30</f>
        <v>79</v>
      </c>
      <c r="AD33" s="10" t="n">
        <f aca="false">AD32+AD30</f>
        <v>85</v>
      </c>
      <c r="AE33" s="10" t="n">
        <f aca="false">AE32+AE30</f>
        <v>91</v>
      </c>
      <c r="AF33" s="10" t="n">
        <f aca="false">AF32+AF30</f>
        <v>97</v>
      </c>
      <c r="AG33" s="10" t="n">
        <f aca="false">AG32+AG30</f>
        <v>103</v>
      </c>
      <c r="AH33" s="10" t="n">
        <f aca="false">AH32+AH30</f>
        <v>109</v>
      </c>
      <c r="AI33" s="10" t="n">
        <f aca="false">AI32+AI30</f>
        <v>115</v>
      </c>
      <c r="AJ33" s="10" t="n">
        <f aca="false">AJ32+AJ30</f>
        <v>121</v>
      </c>
      <c r="AK33" s="10" t="n">
        <f aca="false">AK32+AK30</f>
        <v>127</v>
      </c>
      <c r="AL33" s="10" t="n">
        <f aca="false">AL32+AL30</f>
        <v>133</v>
      </c>
      <c r="AM33" s="10" t="n">
        <f aca="false">AM32+AM30</f>
        <v>139</v>
      </c>
      <c r="AN33" s="10" t="n">
        <f aca="false">AN32+AN30</f>
        <v>145</v>
      </c>
      <c r="AO33" s="10" t="n">
        <f aca="false">AO32+AO30</f>
        <v>151</v>
      </c>
      <c r="AP33" s="10" t="n">
        <f aca="false">AP32+AP30</f>
        <v>157</v>
      </c>
      <c r="AQ33" s="10" t="n">
        <f aca="false">AQ32+AQ30</f>
        <v>163</v>
      </c>
      <c r="AR33" s="10" t="n">
        <f aca="false">AR32+AR30</f>
        <v>169</v>
      </c>
      <c r="AS33" s="10" t="n">
        <f aca="false">AS32+AS30</f>
        <v>175</v>
      </c>
      <c r="AT33" s="10" t="n">
        <f aca="false">AT32+AT30</f>
        <v>181</v>
      </c>
      <c r="AU33" s="10" t="n">
        <f aca="false">AU32+AU30</f>
        <v>187</v>
      </c>
      <c r="AV33" s="10" t="n">
        <f aca="false">AV32+AV30</f>
        <v>193</v>
      </c>
      <c r="AW33" s="10" t="n">
        <f aca="false">AW32+AW30</f>
        <v>199</v>
      </c>
      <c r="AX33" s="10" t="n">
        <f aca="false">AX32+AX30</f>
        <v>205</v>
      </c>
      <c r="AY33" s="10" t="n">
        <f aca="false">AY32+AY30</f>
        <v>211</v>
      </c>
      <c r="AZ33" s="10" t="n">
        <f aca="false">AZ32+AZ30</f>
        <v>217</v>
      </c>
      <c r="BA33" s="10" t="n">
        <f aca="false">BA32+BA30</f>
        <v>223</v>
      </c>
      <c r="BB33" s="10" t="n">
        <f aca="false">BB32+BB30</f>
        <v>229</v>
      </c>
      <c r="BC33" s="10" t="n">
        <f aca="false">BC32+BC30</f>
        <v>235</v>
      </c>
      <c r="BD33" s="10" t="n">
        <f aca="false">BD32+BD30</f>
        <v>241</v>
      </c>
      <c r="BE33" s="10" t="n">
        <f aca="false">BE32+BE30</f>
        <v>247</v>
      </c>
      <c r="BF33" s="10" t="n">
        <f aca="false">BF32+BF30</f>
        <v>253</v>
      </c>
      <c r="BG33" s="10" t="n">
        <f aca="false">BG32+BG30</f>
        <v>259</v>
      </c>
      <c r="BH33" s="10" t="n">
        <f aca="false">BH32+BH30</f>
        <v>265</v>
      </c>
      <c r="BI33" s="10" t="n">
        <f aca="false">BI32+BI30</f>
        <v>271</v>
      </c>
      <c r="BJ33" s="10" t="n">
        <f aca="false">BJ32+BJ30</f>
        <v>277</v>
      </c>
      <c r="BK33" s="10" t="n">
        <f aca="false">BK32+BK30</f>
        <v>283</v>
      </c>
      <c r="BL33" s="10" t="n">
        <f aca="false">BL32+BL30</f>
        <v>289</v>
      </c>
      <c r="BM33" s="10" t="n">
        <f aca="false">BM32+BM30</f>
        <v>295</v>
      </c>
      <c r="BN33" s="10" t="n">
        <f aca="false">BN32+BN30</f>
        <v>300</v>
      </c>
    </row>
    <row r="34" customFormat="false" ht="15" hidden="false" customHeight="false" outlineLevel="0" collapsed="false">
      <c r="D34" s="0" t="s">
        <v>455</v>
      </c>
      <c r="E34" s="0" t="s">
        <v>113</v>
      </c>
      <c r="J34" s="10" t="n">
        <f aca="false">IF(J20=$F$12,1,0)</f>
        <v>0</v>
      </c>
      <c r="K34" s="10" t="n">
        <f aca="false">IF(K20=$F$12,1,0)</f>
        <v>0</v>
      </c>
      <c r="L34" s="10" t="n">
        <f aca="false">IF(L20=$F$12,1,0)</f>
        <v>0</v>
      </c>
      <c r="M34" s="10" t="n">
        <f aca="false">IF(M20=$F$12,1,0)</f>
        <v>0</v>
      </c>
      <c r="N34" s="10" t="n">
        <f aca="false">IF(N20=$F$12,1,0)</f>
        <v>0</v>
      </c>
      <c r="O34" s="10" t="n">
        <f aca="false">IF(O20=$F$12,1,0)</f>
        <v>0</v>
      </c>
      <c r="P34" s="10" t="n">
        <f aca="false">IF(P20=$F$12,1,0)</f>
        <v>1</v>
      </c>
      <c r="Q34" s="10" t="n">
        <f aca="false">IF(Q20=$F$12,1,0)</f>
        <v>0</v>
      </c>
      <c r="R34" s="10" t="n">
        <f aca="false">IF(R20=$F$12,1,0)</f>
        <v>0</v>
      </c>
      <c r="S34" s="10" t="n">
        <f aca="false">IF(S20=$F$12,1,0)</f>
        <v>0</v>
      </c>
      <c r="T34" s="10" t="n">
        <f aca="false">IF(T20=$F$12,1,0)</f>
        <v>0</v>
      </c>
      <c r="U34" s="10" t="n">
        <f aca="false">IF(U20=$F$12,1,0)</f>
        <v>0</v>
      </c>
      <c r="V34" s="10" t="n">
        <f aca="false">IF(V20=$F$12,1,0)</f>
        <v>0</v>
      </c>
      <c r="W34" s="10" t="n">
        <f aca="false">IF(W20=$F$12,1,0)</f>
        <v>0</v>
      </c>
      <c r="X34" s="10" t="n">
        <f aca="false">IF(X20=$F$12,1,0)</f>
        <v>0</v>
      </c>
      <c r="Y34" s="10" t="n">
        <f aca="false">IF(Y20=$F$12,1,0)</f>
        <v>0</v>
      </c>
      <c r="Z34" s="10" t="n">
        <f aca="false">IF(Z20=$F$12,1,0)</f>
        <v>0</v>
      </c>
      <c r="AA34" s="10" t="n">
        <f aca="false">IF(AA20=$F$12,1,0)</f>
        <v>0</v>
      </c>
      <c r="AB34" s="10" t="n">
        <f aca="false">IF(AB20=$F$12,1,0)</f>
        <v>0</v>
      </c>
      <c r="AC34" s="10" t="n">
        <f aca="false">IF(AC20=$F$12,1,0)</f>
        <v>0</v>
      </c>
      <c r="AD34" s="10" t="n">
        <f aca="false">IF(AD20=$F$12,1,0)</f>
        <v>0</v>
      </c>
      <c r="AE34" s="10" t="n">
        <f aca="false">IF(AE20=$F$12,1,0)</f>
        <v>0</v>
      </c>
      <c r="AF34" s="10" t="n">
        <f aca="false">IF(AF20=$F$12,1,0)</f>
        <v>0</v>
      </c>
      <c r="AG34" s="10" t="n">
        <f aca="false">IF(AG20=$F$12,1,0)</f>
        <v>0</v>
      </c>
      <c r="AH34" s="10" t="n">
        <f aca="false">IF(AH20=$F$12,1,0)</f>
        <v>0</v>
      </c>
      <c r="AI34" s="10" t="n">
        <f aca="false">IF(AI20=$F$12,1,0)</f>
        <v>0</v>
      </c>
      <c r="AJ34" s="10" t="n">
        <f aca="false">IF(AJ20=$F$12,1,0)</f>
        <v>0</v>
      </c>
      <c r="AK34" s="10" t="n">
        <f aca="false">IF(AK20=$F$12,1,0)</f>
        <v>0</v>
      </c>
      <c r="AL34" s="10" t="n">
        <f aca="false">IF(AL20=$F$12,1,0)</f>
        <v>0</v>
      </c>
      <c r="AM34" s="10" t="n">
        <f aca="false">IF(AM20=$F$12,1,0)</f>
        <v>0</v>
      </c>
      <c r="AN34" s="10" t="n">
        <f aca="false">IF(AN20=$F$12,1,0)</f>
        <v>0</v>
      </c>
      <c r="AO34" s="10" t="n">
        <f aca="false">IF(AO20=$F$12,1,0)</f>
        <v>0</v>
      </c>
      <c r="AP34" s="10" t="n">
        <f aca="false">IF(AP20=$F$12,1,0)</f>
        <v>0</v>
      </c>
      <c r="AQ34" s="10" t="n">
        <f aca="false">IF(AQ20=$F$12,1,0)</f>
        <v>0</v>
      </c>
      <c r="AR34" s="10" t="n">
        <f aca="false">IF(AR20=$F$12,1,0)</f>
        <v>0</v>
      </c>
      <c r="AS34" s="10" t="n">
        <f aca="false">IF(AS20=$F$12,1,0)</f>
        <v>0</v>
      </c>
      <c r="AT34" s="10" t="n">
        <f aca="false">IF(AT20=$F$12,1,0)</f>
        <v>0</v>
      </c>
      <c r="AU34" s="10" t="n">
        <f aca="false">IF(AU20=$F$12,1,0)</f>
        <v>0</v>
      </c>
      <c r="AV34" s="10" t="n">
        <f aca="false">IF(AV20=$F$12,1,0)</f>
        <v>0</v>
      </c>
      <c r="AW34" s="10" t="n">
        <f aca="false">IF(AW20=$F$12,1,0)</f>
        <v>0</v>
      </c>
      <c r="AX34" s="10" t="n">
        <f aca="false">IF(AX20=$F$12,1,0)</f>
        <v>0</v>
      </c>
      <c r="AY34" s="10" t="n">
        <f aca="false">IF(AY20=$F$12,1,0)</f>
        <v>0</v>
      </c>
      <c r="AZ34" s="10" t="n">
        <f aca="false">IF(AZ20=$F$12,1,0)</f>
        <v>0</v>
      </c>
      <c r="BA34" s="10" t="n">
        <f aca="false">IF(BA20=$F$12,1,0)</f>
        <v>0</v>
      </c>
      <c r="BB34" s="10" t="n">
        <f aca="false">IF(BB20=$F$12,1,0)</f>
        <v>0</v>
      </c>
      <c r="BC34" s="10" t="n">
        <f aca="false">IF(BC20=$F$12,1,0)</f>
        <v>0</v>
      </c>
      <c r="BD34" s="10" t="n">
        <f aca="false">IF(BD20=$F$12,1,0)</f>
        <v>0</v>
      </c>
      <c r="BE34" s="10" t="n">
        <f aca="false">IF(BE20=$F$12,1,0)</f>
        <v>0</v>
      </c>
      <c r="BF34" s="10" t="n">
        <f aca="false">IF(BF20=$F$12,1,0)</f>
        <v>0</v>
      </c>
      <c r="BG34" s="10" t="n">
        <f aca="false">IF(BG20=$F$12,1,0)</f>
        <v>0</v>
      </c>
      <c r="BH34" s="10" t="n">
        <f aca="false">IF(BH20=$F$12,1,0)</f>
        <v>0</v>
      </c>
      <c r="BI34" s="10" t="n">
        <f aca="false">IF(BI20=$F$12,1,0)</f>
        <v>0</v>
      </c>
      <c r="BJ34" s="10" t="n">
        <f aca="false">IF(BJ20=$F$12,1,0)</f>
        <v>0</v>
      </c>
      <c r="BK34" s="10" t="n">
        <f aca="false">IF(BK20=$F$12,1,0)</f>
        <v>0</v>
      </c>
      <c r="BL34" s="10" t="n">
        <f aca="false">IF(BL20=$F$12,1,0)</f>
        <v>0</v>
      </c>
      <c r="BM34" s="10" t="n">
        <f aca="false">IF(BM20=$F$12,1,0)</f>
        <v>0</v>
      </c>
      <c r="BN34" s="10" t="n">
        <f aca="false">IF(BN20=$F$12,1,0)</f>
        <v>0</v>
      </c>
    </row>
    <row r="35" customFormat="false" ht="15" hidden="false" customHeight="false" outlineLevel="0" collapsed="false">
      <c r="D35" s="0" t="s">
        <v>456</v>
      </c>
      <c r="E35" s="0" t="s">
        <v>113</v>
      </c>
      <c r="J35" s="10" t="n">
        <f aca="false">IF(J20&gt;$F$12,1,0)</f>
        <v>0</v>
      </c>
      <c r="K35" s="10" t="n">
        <f aca="false">IF(K20&gt;$F$12,1,0)</f>
        <v>0</v>
      </c>
      <c r="L35" s="10" t="n">
        <f aca="false">IF(L20&gt;$F$12,1,0)</f>
        <v>0</v>
      </c>
      <c r="M35" s="10" t="n">
        <f aca="false">IF(M20&gt;$F$12,1,0)</f>
        <v>0</v>
      </c>
      <c r="N35" s="10" t="n">
        <f aca="false">IF(N20&gt;$F$12,1,0)</f>
        <v>0</v>
      </c>
      <c r="O35" s="10" t="n">
        <f aca="false">IF(O20&gt;$F$12,1,0)</f>
        <v>0</v>
      </c>
      <c r="P35" s="10" t="n">
        <f aca="false">IF(P20&gt;$F$12,1,0)</f>
        <v>0</v>
      </c>
      <c r="Q35" s="10" t="n">
        <f aca="false">IF(Q20&gt;$F$12,1,0)</f>
        <v>1</v>
      </c>
      <c r="R35" s="10" t="n">
        <f aca="false">IF(R20&gt;$F$12,1,0)</f>
        <v>1</v>
      </c>
      <c r="S35" s="10" t="n">
        <f aca="false">IF(S20&gt;$F$12,1,0)</f>
        <v>1</v>
      </c>
      <c r="T35" s="10" t="n">
        <f aca="false">IF(T20&gt;$F$12,1,0)</f>
        <v>1</v>
      </c>
      <c r="U35" s="10" t="n">
        <f aca="false">IF(U20&gt;$F$12,1,0)</f>
        <v>1</v>
      </c>
      <c r="V35" s="10" t="n">
        <f aca="false">IF(V20&gt;$F$12,1,0)</f>
        <v>1</v>
      </c>
      <c r="W35" s="10" t="n">
        <f aca="false">IF(W20&gt;$F$12,1,0)</f>
        <v>1</v>
      </c>
      <c r="X35" s="10" t="n">
        <f aca="false">IF(X20&gt;$F$12,1,0)</f>
        <v>1</v>
      </c>
      <c r="Y35" s="10" t="n">
        <f aca="false">IF(Y20&gt;$F$12,1,0)</f>
        <v>1</v>
      </c>
      <c r="Z35" s="10" t="n">
        <f aca="false">IF(Z20&gt;$F$12,1,0)</f>
        <v>1</v>
      </c>
      <c r="AA35" s="10" t="n">
        <f aca="false">IF(AA20&gt;$F$12,1,0)</f>
        <v>1</v>
      </c>
      <c r="AB35" s="10" t="n">
        <f aca="false">IF(AB20&gt;$F$12,1,0)</f>
        <v>1</v>
      </c>
      <c r="AC35" s="10" t="n">
        <f aca="false">IF(AC20&gt;$F$12,1,0)</f>
        <v>1</v>
      </c>
      <c r="AD35" s="10" t="n">
        <f aca="false">IF(AD20&gt;$F$12,1,0)</f>
        <v>1</v>
      </c>
      <c r="AE35" s="10" t="n">
        <f aca="false">IF(AE20&gt;$F$12,1,0)</f>
        <v>1</v>
      </c>
      <c r="AF35" s="10" t="n">
        <f aca="false">IF(AF20&gt;$F$12,1,0)</f>
        <v>1</v>
      </c>
      <c r="AG35" s="10" t="n">
        <f aca="false">IF(AG20&gt;$F$12,1,0)</f>
        <v>1</v>
      </c>
      <c r="AH35" s="10" t="n">
        <f aca="false">IF(AH20&gt;$F$12,1,0)</f>
        <v>1</v>
      </c>
      <c r="AI35" s="10" t="n">
        <f aca="false">IF(AI20&gt;$F$12,1,0)</f>
        <v>1</v>
      </c>
      <c r="AJ35" s="10" t="n">
        <f aca="false">IF(AJ20&gt;$F$12,1,0)</f>
        <v>1</v>
      </c>
      <c r="AK35" s="10" t="n">
        <f aca="false">IF(AK20&gt;$F$12,1,0)</f>
        <v>1</v>
      </c>
      <c r="AL35" s="10" t="n">
        <f aca="false">IF(AL20&gt;$F$12,1,0)</f>
        <v>1</v>
      </c>
      <c r="AM35" s="10" t="n">
        <f aca="false">IF(AM20&gt;$F$12,1,0)</f>
        <v>1</v>
      </c>
      <c r="AN35" s="10" t="n">
        <f aca="false">IF(AN20&gt;$F$12,1,0)</f>
        <v>1</v>
      </c>
      <c r="AO35" s="10" t="n">
        <f aca="false">IF(AO20&gt;$F$12,1,0)</f>
        <v>1</v>
      </c>
      <c r="AP35" s="10" t="n">
        <f aca="false">IF(AP20&gt;$F$12,1,0)</f>
        <v>1</v>
      </c>
      <c r="AQ35" s="10" t="n">
        <f aca="false">IF(AQ20&gt;$F$12,1,0)</f>
        <v>1</v>
      </c>
      <c r="AR35" s="10" t="n">
        <f aca="false">IF(AR20&gt;$F$12,1,0)</f>
        <v>1</v>
      </c>
      <c r="AS35" s="10" t="n">
        <f aca="false">IF(AS20&gt;$F$12,1,0)</f>
        <v>1</v>
      </c>
      <c r="AT35" s="10" t="n">
        <f aca="false">IF(AT20&gt;$F$12,1,0)</f>
        <v>1</v>
      </c>
      <c r="AU35" s="10" t="n">
        <f aca="false">IF(AU20&gt;$F$12,1,0)</f>
        <v>1</v>
      </c>
      <c r="AV35" s="10" t="n">
        <f aca="false">IF(AV20&gt;$F$12,1,0)</f>
        <v>1</v>
      </c>
      <c r="AW35" s="10" t="n">
        <f aca="false">IF(AW20&gt;$F$12,1,0)</f>
        <v>1</v>
      </c>
      <c r="AX35" s="10" t="n">
        <f aca="false">IF(AX20&gt;$F$12,1,0)</f>
        <v>1</v>
      </c>
      <c r="AY35" s="10" t="n">
        <f aca="false">IF(AY20&gt;$F$12,1,0)</f>
        <v>1</v>
      </c>
      <c r="AZ35" s="10" t="n">
        <f aca="false">IF(AZ20&gt;$F$12,1,0)</f>
        <v>1</v>
      </c>
      <c r="BA35" s="10" t="n">
        <f aca="false">IF(BA20&gt;$F$12,1,0)</f>
        <v>1</v>
      </c>
      <c r="BB35" s="10" t="n">
        <f aca="false">IF(BB20&gt;$F$12,1,0)</f>
        <v>1</v>
      </c>
      <c r="BC35" s="10" t="n">
        <f aca="false">IF(BC20&gt;$F$12,1,0)</f>
        <v>1</v>
      </c>
      <c r="BD35" s="10" t="n">
        <f aca="false">IF(BD20&gt;$F$12,1,0)</f>
        <v>1</v>
      </c>
      <c r="BE35" s="10" t="n">
        <f aca="false">IF(BE20&gt;$F$12,1,0)</f>
        <v>1</v>
      </c>
      <c r="BF35" s="10" t="n">
        <f aca="false">IF(BF20&gt;$F$12,1,0)</f>
        <v>1</v>
      </c>
      <c r="BG35" s="10" t="n">
        <f aca="false">IF(BG20&gt;$F$12,1,0)</f>
        <v>1</v>
      </c>
      <c r="BH35" s="10" t="n">
        <f aca="false">IF(BH20&gt;$F$12,1,0)</f>
        <v>1</v>
      </c>
      <c r="BI35" s="10" t="n">
        <f aca="false">IF(BI20&gt;$F$12,1,0)</f>
        <v>1</v>
      </c>
      <c r="BJ35" s="10" t="n">
        <f aca="false">IF(BJ20&gt;$F$12,1,0)</f>
        <v>1</v>
      </c>
      <c r="BK35" s="10" t="n">
        <f aca="false">IF(BK20&gt;$F$12,1,0)</f>
        <v>1</v>
      </c>
      <c r="BL35" s="10" t="n">
        <f aca="false">IF(BL20&gt;$F$12,1,0)</f>
        <v>1</v>
      </c>
      <c r="BM35" s="10" t="n">
        <f aca="false">IF(BM20&gt;$F$12,1,0)</f>
        <v>1</v>
      </c>
      <c r="BN35" s="10" t="n">
        <f aca="false">IF(BN20&gt;$F$12,1,0)</f>
        <v>1</v>
      </c>
    </row>
    <row r="36" customFormat="false" ht="15" hidden="false" customHeight="false" outlineLevel="0" collapsed="false">
      <c r="D36" s="0" t="s">
        <v>457</v>
      </c>
      <c r="E36" s="0" t="s">
        <v>113</v>
      </c>
      <c r="J36" s="10" t="n">
        <f aca="false">IF(J30&gt;0,1,0)</f>
        <v>0</v>
      </c>
      <c r="K36" s="10" t="n">
        <f aca="false">IF(K30&gt;0,1,0)</f>
        <v>0</v>
      </c>
      <c r="L36" s="10" t="n">
        <f aca="false">IF(L30&gt;0,1,0)</f>
        <v>0</v>
      </c>
      <c r="M36" s="10" t="n">
        <f aca="false">IF(M30&gt;0,1,0)</f>
        <v>0</v>
      </c>
      <c r="N36" s="10" t="n">
        <f aca="false">IF(N30&gt;0,1,0)</f>
        <v>0</v>
      </c>
      <c r="O36" s="10" t="n">
        <f aca="false">IF(O30&gt;0,1,0)</f>
        <v>0</v>
      </c>
      <c r="P36" s="10" t="n">
        <f aca="false">IF(P30&gt;0,1,0)</f>
        <v>1</v>
      </c>
      <c r="Q36" s="10" t="n">
        <f aca="false">IF(Q30&gt;0,1,0)</f>
        <v>1</v>
      </c>
      <c r="R36" s="10" t="n">
        <f aca="false">IF(R30&gt;0,1,0)</f>
        <v>1</v>
      </c>
      <c r="S36" s="10" t="n">
        <f aca="false">IF(S30&gt;0,1,0)</f>
        <v>1</v>
      </c>
      <c r="T36" s="10" t="n">
        <f aca="false">IF(T30&gt;0,1,0)</f>
        <v>1</v>
      </c>
      <c r="U36" s="10" t="n">
        <f aca="false">IF(U30&gt;0,1,0)</f>
        <v>1</v>
      </c>
      <c r="V36" s="10" t="n">
        <f aca="false">IF(V30&gt;0,1,0)</f>
        <v>1</v>
      </c>
      <c r="W36" s="10" t="n">
        <f aca="false">IF(W30&gt;0,1,0)</f>
        <v>1</v>
      </c>
      <c r="X36" s="10" t="n">
        <f aca="false">IF(X30&gt;0,1,0)</f>
        <v>1</v>
      </c>
      <c r="Y36" s="10" t="n">
        <f aca="false">IF(Y30&gt;0,1,0)</f>
        <v>1</v>
      </c>
      <c r="Z36" s="10" t="n">
        <f aca="false">IF(Z30&gt;0,1,0)</f>
        <v>1</v>
      </c>
      <c r="AA36" s="10" t="n">
        <f aca="false">IF(AA30&gt;0,1,0)</f>
        <v>1</v>
      </c>
      <c r="AB36" s="10" t="n">
        <f aca="false">IF(AB30&gt;0,1,0)</f>
        <v>1</v>
      </c>
      <c r="AC36" s="10" t="n">
        <f aca="false">IF(AC30&gt;0,1,0)</f>
        <v>1</v>
      </c>
      <c r="AD36" s="10" t="n">
        <f aca="false">IF(AD30&gt;0,1,0)</f>
        <v>1</v>
      </c>
      <c r="AE36" s="10" t="n">
        <f aca="false">IF(AE30&gt;0,1,0)</f>
        <v>1</v>
      </c>
      <c r="AF36" s="10" t="n">
        <f aca="false">IF(AF30&gt;0,1,0)</f>
        <v>1</v>
      </c>
      <c r="AG36" s="10" t="n">
        <f aca="false">IF(AG30&gt;0,1,0)</f>
        <v>1</v>
      </c>
      <c r="AH36" s="10" t="n">
        <f aca="false">IF(AH30&gt;0,1,0)</f>
        <v>1</v>
      </c>
      <c r="AI36" s="10" t="n">
        <f aca="false">IF(AI30&gt;0,1,0)</f>
        <v>1</v>
      </c>
      <c r="AJ36" s="10" t="n">
        <f aca="false">IF(AJ30&gt;0,1,0)</f>
        <v>1</v>
      </c>
      <c r="AK36" s="10" t="n">
        <f aca="false">IF(AK30&gt;0,1,0)</f>
        <v>1</v>
      </c>
      <c r="AL36" s="10" t="n">
        <f aca="false">IF(AL30&gt;0,1,0)</f>
        <v>1</v>
      </c>
      <c r="AM36" s="10" t="n">
        <f aca="false">IF(AM30&gt;0,1,0)</f>
        <v>1</v>
      </c>
      <c r="AN36" s="10" t="n">
        <f aca="false">IF(AN30&gt;0,1,0)</f>
        <v>1</v>
      </c>
      <c r="AO36" s="10" t="n">
        <f aca="false">IF(AO30&gt;0,1,0)</f>
        <v>1</v>
      </c>
      <c r="AP36" s="10" t="n">
        <f aca="false">IF(AP30&gt;0,1,0)</f>
        <v>1</v>
      </c>
      <c r="AQ36" s="10" t="n">
        <f aca="false">IF(AQ30&gt;0,1,0)</f>
        <v>1</v>
      </c>
      <c r="AR36" s="10" t="n">
        <f aca="false">IF(AR30&gt;0,1,0)</f>
        <v>1</v>
      </c>
      <c r="AS36" s="10" t="n">
        <f aca="false">IF(AS30&gt;0,1,0)</f>
        <v>1</v>
      </c>
      <c r="AT36" s="10" t="n">
        <f aca="false">IF(AT30&gt;0,1,0)</f>
        <v>1</v>
      </c>
      <c r="AU36" s="10" t="n">
        <f aca="false">IF(AU30&gt;0,1,0)</f>
        <v>1</v>
      </c>
      <c r="AV36" s="10" t="n">
        <f aca="false">IF(AV30&gt;0,1,0)</f>
        <v>1</v>
      </c>
      <c r="AW36" s="10" t="n">
        <f aca="false">IF(AW30&gt;0,1,0)</f>
        <v>1</v>
      </c>
      <c r="AX36" s="10" t="n">
        <f aca="false">IF(AX30&gt;0,1,0)</f>
        <v>1</v>
      </c>
      <c r="AY36" s="10" t="n">
        <f aca="false">IF(AY30&gt;0,1,0)</f>
        <v>1</v>
      </c>
      <c r="AZ36" s="10" t="n">
        <f aca="false">IF(AZ30&gt;0,1,0)</f>
        <v>1</v>
      </c>
      <c r="BA36" s="10" t="n">
        <f aca="false">IF(BA30&gt;0,1,0)</f>
        <v>1</v>
      </c>
      <c r="BB36" s="10" t="n">
        <f aca="false">IF(BB30&gt;0,1,0)</f>
        <v>1</v>
      </c>
      <c r="BC36" s="10" t="n">
        <f aca="false">IF(BC30&gt;0,1,0)</f>
        <v>1</v>
      </c>
      <c r="BD36" s="10" t="n">
        <f aca="false">IF(BD30&gt;0,1,0)</f>
        <v>1</v>
      </c>
      <c r="BE36" s="10" t="n">
        <f aca="false">IF(BE30&gt;0,1,0)</f>
        <v>1</v>
      </c>
      <c r="BF36" s="10" t="n">
        <f aca="false">IF(BF30&gt;0,1,0)</f>
        <v>1</v>
      </c>
      <c r="BG36" s="10" t="n">
        <f aca="false">IF(BG30&gt;0,1,0)</f>
        <v>1</v>
      </c>
      <c r="BH36" s="10" t="n">
        <f aca="false">IF(BH30&gt;0,1,0)</f>
        <v>1</v>
      </c>
      <c r="BI36" s="10" t="n">
        <f aca="false">IF(BI30&gt;0,1,0)</f>
        <v>1</v>
      </c>
      <c r="BJ36" s="10" t="n">
        <f aca="false">IF(BJ30&gt;0,1,0)</f>
        <v>1</v>
      </c>
      <c r="BK36" s="10" t="n">
        <f aca="false">IF(BK30&gt;0,1,0)</f>
        <v>1</v>
      </c>
      <c r="BL36" s="10" t="n">
        <f aca="false">IF(BL30&gt;0,1,0)</f>
        <v>1</v>
      </c>
      <c r="BM36" s="10" t="n">
        <f aca="false">IF(BM30&gt;0,1,0)</f>
        <v>1</v>
      </c>
      <c r="BN36" s="10" t="n">
        <f aca="false">IF(BN30&gt;0,1,0)</f>
        <v>1</v>
      </c>
    </row>
    <row r="37" customFormat="false" ht="15" hidden="false" customHeight="false" outlineLevel="0" collapsed="false">
      <c r="D37" s="0" t="s">
        <v>458</v>
      </c>
      <c r="E37" s="0" t="s">
        <v>113</v>
      </c>
      <c r="J37" s="10" t="n">
        <f aca="false">IF(AND(J30&gt;0,K30=0),1,0)</f>
        <v>0</v>
      </c>
      <c r="K37" s="10" t="n">
        <f aca="false">IF(AND(K30&gt;0,L30=0),1,0)</f>
        <v>0</v>
      </c>
      <c r="L37" s="10" t="n">
        <f aca="false">IF(AND(L30&gt;0,M30=0),1,0)</f>
        <v>0</v>
      </c>
      <c r="M37" s="10" t="n">
        <f aca="false">IF(AND(M30&gt;0,N30=0),1,0)</f>
        <v>0</v>
      </c>
      <c r="N37" s="10" t="n">
        <f aca="false">IF(AND(N30&gt;0,O30=0),1,0)</f>
        <v>0</v>
      </c>
      <c r="O37" s="10" t="n">
        <f aca="false">IF(AND(O30&gt;0,P30=0),1,0)</f>
        <v>0</v>
      </c>
      <c r="P37" s="10" t="n">
        <f aca="false">IF(AND(P30&gt;0,Q30=0),1,0)</f>
        <v>0</v>
      </c>
      <c r="Q37" s="10" t="n">
        <f aca="false">IF(AND(Q30&gt;0,R30=0),1,0)</f>
        <v>0</v>
      </c>
      <c r="R37" s="10" t="n">
        <f aca="false">IF(AND(R30&gt;0,S30=0),1,0)</f>
        <v>0</v>
      </c>
      <c r="S37" s="10" t="n">
        <f aca="false">IF(AND(S30&gt;0,T30=0),1,0)</f>
        <v>0</v>
      </c>
      <c r="T37" s="10" t="n">
        <f aca="false">IF(AND(T30&gt;0,U30=0),1,0)</f>
        <v>0</v>
      </c>
      <c r="U37" s="10" t="n">
        <f aca="false">IF(AND(U30&gt;0,V30=0),1,0)</f>
        <v>0</v>
      </c>
      <c r="V37" s="10" t="n">
        <f aca="false">IF(AND(V30&gt;0,W30=0),1,0)</f>
        <v>0</v>
      </c>
      <c r="W37" s="10" t="n">
        <f aca="false">IF(AND(W30&gt;0,X30=0),1,0)</f>
        <v>0</v>
      </c>
      <c r="X37" s="10" t="n">
        <f aca="false">IF(AND(X30&gt;0,Y30=0),1,0)</f>
        <v>0</v>
      </c>
      <c r="Y37" s="10" t="n">
        <f aca="false">IF(AND(Y30&gt;0,Z30=0),1,0)</f>
        <v>0</v>
      </c>
      <c r="Z37" s="10" t="n">
        <f aca="false">IF(AND(Z30&gt;0,AA30=0),1,0)</f>
        <v>0</v>
      </c>
      <c r="AA37" s="10" t="n">
        <f aca="false">IF(AND(AA30&gt;0,AB30=0),1,0)</f>
        <v>0</v>
      </c>
      <c r="AB37" s="10" t="n">
        <f aca="false">IF(AND(AB30&gt;0,AC30=0),1,0)</f>
        <v>0</v>
      </c>
      <c r="AC37" s="10" t="n">
        <f aca="false">IF(AND(AC30&gt;0,AD30=0),1,0)</f>
        <v>0</v>
      </c>
      <c r="AD37" s="10" t="n">
        <f aca="false">IF(AND(AD30&gt;0,AE30=0),1,0)</f>
        <v>0</v>
      </c>
      <c r="AE37" s="10" t="n">
        <f aca="false">IF(AND(AE30&gt;0,AF30=0),1,0)</f>
        <v>0</v>
      </c>
      <c r="AF37" s="10" t="n">
        <f aca="false">IF(AND(AF30&gt;0,AG30=0),1,0)</f>
        <v>0</v>
      </c>
      <c r="AG37" s="10" t="n">
        <f aca="false">IF(AND(AG30&gt;0,AH30=0),1,0)</f>
        <v>0</v>
      </c>
      <c r="AH37" s="10" t="n">
        <f aca="false">IF(AND(AH30&gt;0,AI30=0),1,0)</f>
        <v>0</v>
      </c>
      <c r="AI37" s="10" t="n">
        <f aca="false">IF(AND(AI30&gt;0,AJ30=0),1,0)</f>
        <v>0</v>
      </c>
      <c r="AJ37" s="10" t="n">
        <f aca="false">IF(AND(AJ30&gt;0,AK30=0),1,0)</f>
        <v>0</v>
      </c>
      <c r="AK37" s="10" t="n">
        <f aca="false">IF(AND(AK30&gt;0,AL30=0),1,0)</f>
        <v>0</v>
      </c>
      <c r="AL37" s="10" t="n">
        <f aca="false">IF(AND(AL30&gt;0,AM30=0),1,0)</f>
        <v>0</v>
      </c>
      <c r="AM37" s="10" t="n">
        <f aca="false">IF(AND(AM30&gt;0,AN30=0),1,0)</f>
        <v>0</v>
      </c>
      <c r="AN37" s="10" t="n">
        <f aca="false">IF(AND(AN30&gt;0,AO30=0),1,0)</f>
        <v>0</v>
      </c>
      <c r="AO37" s="10" t="n">
        <f aca="false">IF(AND(AO30&gt;0,AP30=0),1,0)</f>
        <v>0</v>
      </c>
      <c r="AP37" s="10" t="n">
        <f aca="false">IF(AND(AP30&gt;0,AQ30=0),1,0)</f>
        <v>0</v>
      </c>
      <c r="AQ37" s="10" t="n">
        <f aca="false">IF(AND(AQ30&gt;0,AR30=0),1,0)</f>
        <v>0</v>
      </c>
      <c r="AR37" s="10" t="n">
        <f aca="false">IF(AND(AR30&gt;0,AS30=0),1,0)</f>
        <v>0</v>
      </c>
      <c r="AS37" s="10" t="n">
        <f aca="false">IF(AND(AS30&gt;0,AT30=0),1,0)</f>
        <v>0</v>
      </c>
      <c r="AT37" s="10" t="n">
        <f aca="false">IF(AND(AT30&gt;0,AU30=0),1,0)</f>
        <v>0</v>
      </c>
      <c r="AU37" s="10" t="n">
        <f aca="false">IF(AND(AU30&gt;0,AV30=0),1,0)</f>
        <v>0</v>
      </c>
      <c r="AV37" s="10" t="n">
        <f aca="false">IF(AND(AV30&gt;0,AW30=0),1,0)</f>
        <v>0</v>
      </c>
      <c r="AW37" s="10" t="n">
        <f aca="false">IF(AND(AW30&gt;0,AX30=0),1,0)</f>
        <v>0</v>
      </c>
      <c r="AX37" s="10" t="n">
        <f aca="false">IF(AND(AX30&gt;0,AY30=0),1,0)</f>
        <v>0</v>
      </c>
      <c r="AY37" s="10" t="n">
        <f aca="false">IF(AND(AY30&gt;0,AZ30=0),1,0)</f>
        <v>0</v>
      </c>
      <c r="AZ37" s="10" t="n">
        <f aca="false">IF(AND(AZ30&gt;0,BA30=0),1,0)</f>
        <v>0</v>
      </c>
      <c r="BA37" s="10" t="n">
        <f aca="false">IF(AND(BA30&gt;0,BB30=0),1,0)</f>
        <v>0</v>
      </c>
      <c r="BB37" s="10" t="n">
        <f aca="false">IF(AND(BB30&gt;0,BC30=0),1,0)</f>
        <v>0</v>
      </c>
      <c r="BC37" s="10" t="n">
        <f aca="false">IF(AND(BC30&gt;0,BD30=0),1,0)</f>
        <v>0</v>
      </c>
      <c r="BD37" s="10" t="n">
        <f aca="false">IF(AND(BD30&gt;0,BE30=0),1,0)</f>
        <v>0</v>
      </c>
      <c r="BE37" s="10" t="n">
        <f aca="false">IF(AND(BE30&gt;0,BF30=0),1,0)</f>
        <v>0</v>
      </c>
      <c r="BF37" s="10" t="n">
        <f aca="false">IF(AND(BF30&gt;0,BG30=0),1,0)</f>
        <v>0</v>
      </c>
      <c r="BG37" s="10" t="n">
        <f aca="false">IF(AND(BG30&gt;0,BH30=0),1,0)</f>
        <v>0</v>
      </c>
      <c r="BH37" s="10" t="n">
        <f aca="false">IF(AND(BH30&gt;0,BI30=0),1,0)</f>
        <v>0</v>
      </c>
      <c r="BI37" s="10" t="n">
        <f aca="false">IF(AND(BI30&gt;0,BJ30=0),1,0)</f>
        <v>0</v>
      </c>
      <c r="BJ37" s="10" t="n">
        <f aca="false">IF(AND(BJ30&gt;0,BK30=0),1,0)</f>
        <v>0</v>
      </c>
      <c r="BK37" s="10" t="n">
        <f aca="false">IF(AND(BK30&gt;0,BL30=0),1,0)</f>
        <v>0</v>
      </c>
      <c r="BL37" s="10" t="n">
        <f aca="false">IF(AND(BL30&gt;0,BM30=0),1,0)</f>
        <v>0</v>
      </c>
      <c r="BM37" s="10" t="n">
        <f aca="false">IF(AND(BM30&gt;0,BN30=0),1,0)</f>
        <v>0</v>
      </c>
      <c r="BN37" s="10" t="n">
        <f aca="false">IF(AND(BN30&gt;0,BO30=0),1,0)</f>
        <v>1</v>
      </c>
    </row>
    <row r="38" customFormat="false" ht="15" hidden="false" customHeight="false" outlineLevel="0" collapsed="false">
      <c r="D38" s="0" t="s">
        <v>459</v>
      </c>
      <c r="E38" s="0" t="s">
        <v>113</v>
      </c>
      <c r="J38" s="10" t="n">
        <f aca="false">IF(AND(J22&gt;=Inputs!$F$193,J22&lt;EDATE(Inputs!$F$193,Inputs!$F$211)),1,0)</f>
        <v>0</v>
      </c>
      <c r="K38" s="10" t="n">
        <f aca="false">IF(AND(K22&gt;=Inputs!$F$193,K22&lt;EDATE(Inputs!$F$193,Inputs!$F$211)),1,0)</f>
        <v>0</v>
      </c>
      <c r="L38" s="10" t="n">
        <f aca="false">IF(AND(L22&gt;=Inputs!$F$193,L22&lt;EDATE(Inputs!$F$193,Inputs!$F$211)),1,0)</f>
        <v>0</v>
      </c>
      <c r="M38" s="10" t="n">
        <f aca="false">IF(AND(M22&gt;=Inputs!$F$193,M22&lt;EDATE(Inputs!$F$193,Inputs!$F$211)),1,0)</f>
        <v>0</v>
      </c>
      <c r="N38" s="10" t="n">
        <f aca="false">IF(AND(N22&gt;=Inputs!$F$193,N22&lt;EDATE(Inputs!$F$193,Inputs!$F$211)),1,0)</f>
        <v>0</v>
      </c>
      <c r="O38" s="10" t="n">
        <f aca="false">IF(AND(O22&gt;=Inputs!$F$193,O22&lt;EDATE(Inputs!$F$193,Inputs!$F$211)),1,0)</f>
        <v>0</v>
      </c>
      <c r="P38" s="10" t="n">
        <f aca="false">IF(AND(P22&gt;=Inputs!$F$193,P22&lt;EDATE(Inputs!$F$193,Inputs!$F$211)),1,0)</f>
        <v>0</v>
      </c>
      <c r="Q38" s="10" t="n">
        <f aca="false">IF(AND(Q22&gt;=Inputs!$F$193,Q22&lt;EDATE(Inputs!$F$193,Inputs!$F$211)),1,0)</f>
        <v>1</v>
      </c>
      <c r="R38" s="10" t="n">
        <f aca="false">IF(AND(R22&gt;=Inputs!$F$193,R22&lt;EDATE(Inputs!$F$193,Inputs!$F$211)),1,0)</f>
        <v>1</v>
      </c>
      <c r="S38" s="10" t="n">
        <f aca="false">IF(AND(S22&gt;=Inputs!$F$193,S22&lt;EDATE(Inputs!$F$193,Inputs!$F$211)),1,0)</f>
        <v>0</v>
      </c>
      <c r="T38" s="10" t="n">
        <f aca="false">IF(AND(T22&gt;=Inputs!$F$193,T22&lt;EDATE(Inputs!$F$193,Inputs!$F$211)),1,0)</f>
        <v>0</v>
      </c>
      <c r="U38" s="10" t="n">
        <f aca="false">IF(AND(U22&gt;=Inputs!$F$193,U22&lt;EDATE(Inputs!$F$193,Inputs!$F$211)),1,0)</f>
        <v>0</v>
      </c>
      <c r="V38" s="10" t="n">
        <f aca="false">IF(AND(V22&gt;=Inputs!$F$193,V22&lt;EDATE(Inputs!$F$193,Inputs!$F$211)),1,0)</f>
        <v>0</v>
      </c>
      <c r="W38" s="10" t="n">
        <f aca="false">IF(AND(W22&gt;=Inputs!$F$193,W22&lt;EDATE(Inputs!$F$193,Inputs!$F$211)),1,0)</f>
        <v>0</v>
      </c>
      <c r="X38" s="10" t="n">
        <f aca="false">IF(AND(X22&gt;=Inputs!$F$193,X22&lt;EDATE(Inputs!$F$193,Inputs!$F$211)),1,0)</f>
        <v>0</v>
      </c>
      <c r="Y38" s="10" t="n">
        <f aca="false">IF(AND(Y22&gt;=Inputs!$F$193,Y22&lt;EDATE(Inputs!$F$193,Inputs!$F$211)),1,0)</f>
        <v>0</v>
      </c>
      <c r="Z38" s="10" t="n">
        <f aca="false">IF(AND(Z22&gt;=Inputs!$F$193,Z22&lt;EDATE(Inputs!$F$193,Inputs!$F$211)),1,0)</f>
        <v>0</v>
      </c>
      <c r="AA38" s="10" t="n">
        <f aca="false">IF(AND(AA22&gt;=Inputs!$F$193,AA22&lt;EDATE(Inputs!$F$193,Inputs!$F$211)),1,0)</f>
        <v>0</v>
      </c>
      <c r="AB38" s="10" t="n">
        <f aca="false">IF(AND(AB22&gt;=Inputs!$F$193,AB22&lt;EDATE(Inputs!$F$193,Inputs!$F$211)),1,0)</f>
        <v>0</v>
      </c>
      <c r="AC38" s="10" t="n">
        <f aca="false">IF(AND(AC22&gt;=Inputs!$F$193,AC22&lt;EDATE(Inputs!$F$193,Inputs!$F$211)),1,0)</f>
        <v>0</v>
      </c>
      <c r="AD38" s="10" t="n">
        <f aca="false">IF(AND(AD22&gt;=Inputs!$F$193,AD22&lt;EDATE(Inputs!$F$193,Inputs!$F$211)),1,0)</f>
        <v>0</v>
      </c>
      <c r="AE38" s="10" t="n">
        <f aca="false">IF(AND(AE22&gt;=Inputs!$F$193,AE22&lt;EDATE(Inputs!$F$193,Inputs!$F$211)),1,0)</f>
        <v>0</v>
      </c>
      <c r="AF38" s="10" t="n">
        <f aca="false">IF(AND(AF22&gt;=Inputs!$F$193,AF22&lt;EDATE(Inputs!$F$193,Inputs!$F$211)),1,0)</f>
        <v>0</v>
      </c>
      <c r="AG38" s="10" t="n">
        <f aca="false">IF(AND(AG22&gt;=Inputs!$F$193,AG22&lt;EDATE(Inputs!$F$193,Inputs!$F$211)),1,0)</f>
        <v>0</v>
      </c>
      <c r="AH38" s="10" t="n">
        <f aca="false">IF(AND(AH22&gt;=Inputs!$F$193,AH22&lt;EDATE(Inputs!$F$193,Inputs!$F$211)),1,0)</f>
        <v>0</v>
      </c>
      <c r="AI38" s="10" t="n">
        <f aca="false">IF(AND(AI22&gt;=Inputs!$F$193,AI22&lt;EDATE(Inputs!$F$193,Inputs!$F$211)),1,0)</f>
        <v>0</v>
      </c>
      <c r="AJ38" s="10" t="n">
        <f aca="false">IF(AND(AJ22&gt;=Inputs!$F$193,AJ22&lt;EDATE(Inputs!$F$193,Inputs!$F$211)),1,0)</f>
        <v>0</v>
      </c>
      <c r="AK38" s="10" t="n">
        <f aca="false">IF(AND(AK22&gt;=Inputs!$F$193,AK22&lt;EDATE(Inputs!$F$193,Inputs!$F$211)),1,0)</f>
        <v>0</v>
      </c>
      <c r="AL38" s="10" t="n">
        <f aca="false">IF(AND(AL22&gt;=Inputs!$F$193,AL22&lt;EDATE(Inputs!$F$193,Inputs!$F$211)),1,0)</f>
        <v>0</v>
      </c>
      <c r="AM38" s="10" t="n">
        <f aca="false">IF(AND(AM22&gt;=Inputs!$F$193,AM22&lt;EDATE(Inputs!$F$193,Inputs!$F$211)),1,0)</f>
        <v>0</v>
      </c>
      <c r="AN38" s="10" t="n">
        <f aca="false">IF(AND(AN22&gt;=Inputs!$F$193,AN22&lt;EDATE(Inputs!$F$193,Inputs!$F$211)),1,0)</f>
        <v>0</v>
      </c>
      <c r="AO38" s="10" t="n">
        <f aca="false">IF(AND(AO22&gt;=Inputs!$F$193,AO22&lt;EDATE(Inputs!$F$193,Inputs!$F$211)),1,0)</f>
        <v>0</v>
      </c>
      <c r="AP38" s="10" t="n">
        <f aca="false">IF(AND(AP22&gt;=Inputs!$F$193,AP22&lt;EDATE(Inputs!$F$193,Inputs!$F$211)),1,0)</f>
        <v>0</v>
      </c>
      <c r="AQ38" s="10" t="n">
        <f aca="false">IF(AND(AQ22&gt;=Inputs!$F$193,AQ22&lt;EDATE(Inputs!$F$193,Inputs!$F$211)),1,0)</f>
        <v>0</v>
      </c>
      <c r="AR38" s="10" t="n">
        <f aca="false">IF(AND(AR22&gt;=Inputs!$F$193,AR22&lt;EDATE(Inputs!$F$193,Inputs!$F$211)),1,0)</f>
        <v>0</v>
      </c>
      <c r="AS38" s="10" t="n">
        <f aca="false">IF(AND(AS22&gt;=Inputs!$F$193,AS22&lt;EDATE(Inputs!$F$193,Inputs!$F$211)),1,0)</f>
        <v>0</v>
      </c>
      <c r="AT38" s="10" t="n">
        <f aca="false">IF(AND(AT22&gt;=Inputs!$F$193,AT22&lt;EDATE(Inputs!$F$193,Inputs!$F$211)),1,0)</f>
        <v>0</v>
      </c>
      <c r="AU38" s="10" t="n">
        <f aca="false">IF(AND(AU22&gt;=Inputs!$F$193,AU22&lt;EDATE(Inputs!$F$193,Inputs!$F$211)),1,0)</f>
        <v>0</v>
      </c>
      <c r="AV38" s="10" t="n">
        <f aca="false">IF(AND(AV22&gt;=Inputs!$F$193,AV22&lt;EDATE(Inputs!$F$193,Inputs!$F$211)),1,0)</f>
        <v>0</v>
      </c>
      <c r="AW38" s="10" t="n">
        <f aca="false">IF(AND(AW22&gt;=Inputs!$F$193,AW22&lt;EDATE(Inputs!$F$193,Inputs!$F$211)),1,0)</f>
        <v>0</v>
      </c>
      <c r="AX38" s="10" t="n">
        <f aca="false">IF(AND(AX22&gt;=Inputs!$F$193,AX22&lt;EDATE(Inputs!$F$193,Inputs!$F$211)),1,0)</f>
        <v>0</v>
      </c>
      <c r="AY38" s="10" t="n">
        <f aca="false">IF(AND(AY22&gt;=Inputs!$F$193,AY22&lt;EDATE(Inputs!$F$193,Inputs!$F$211)),1,0)</f>
        <v>0</v>
      </c>
      <c r="AZ38" s="10" t="n">
        <f aca="false">IF(AND(AZ22&gt;=Inputs!$F$193,AZ22&lt;EDATE(Inputs!$F$193,Inputs!$F$211)),1,0)</f>
        <v>0</v>
      </c>
      <c r="BA38" s="10" t="n">
        <f aca="false">IF(AND(BA22&gt;=Inputs!$F$193,BA22&lt;EDATE(Inputs!$F$193,Inputs!$F$211)),1,0)</f>
        <v>0</v>
      </c>
      <c r="BB38" s="10" t="n">
        <f aca="false">IF(AND(BB22&gt;=Inputs!$F$193,BB22&lt;EDATE(Inputs!$F$193,Inputs!$F$211)),1,0)</f>
        <v>0</v>
      </c>
      <c r="BC38" s="10" t="n">
        <f aca="false">IF(AND(BC22&gt;=Inputs!$F$193,BC22&lt;EDATE(Inputs!$F$193,Inputs!$F$211)),1,0)</f>
        <v>0</v>
      </c>
      <c r="BD38" s="10" t="n">
        <f aca="false">IF(AND(BD22&gt;=Inputs!$F$193,BD22&lt;EDATE(Inputs!$F$193,Inputs!$F$211)),1,0)</f>
        <v>0</v>
      </c>
      <c r="BE38" s="10" t="n">
        <f aca="false">IF(AND(BE22&gt;=Inputs!$F$193,BE22&lt;EDATE(Inputs!$F$193,Inputs!$F$211)),1,0)</f>
        <v>0</v>
      </c>
      <c r="BF38" s="10" t="n">
        <f aca="false">IF(AND(BF22&gt;=Inputs!$F$193,BF22&lt;EDATE(Inputs!$F$193,Inputs!$F$211)),1,0)</f>
        <v>0</v>
      </c>
      <c r="BG38" s="10" t="n">
        <f aca="false">IF(AND(BG22&gt;=Inputs!$F$193,BG22&lt;EDATE(Inputs!$F$193,Inputs!$F$211)),1,0)</f>
        <v>0</v>
      </c>
      <c r="BH38" s="10" t="n">
        <f aca="false">IF(AND(BH22&gt;=Inputs!$F$193,BH22&lt;EDATE(Inputs!$F$193,Inputs!$F$211)),1,0)</f>
        <v>0</v>
      </c>
      <c r="BI38" s="10" t="n">
        <f aca="false">IF(AND(BI22&gt;=Inputs!$F$193,BI22&lt;EDATE(Inputs!$F$193,Inputs!$F$211)),1,0)</f>
        <v>0</v>
      </c>
      <c r="BJ38" s="10" t="n">
        <f aca="false">IF(AND(BJ22&gt;=Inputs!$F$193,BJ22&lt;EDATE(Inputs!$F$193,Inputs!$F$211)),1,0)</f>
        <v>0</v>
      </c>
      <c r="BK38" s="10" t="n">
        <f aca="false">IF(AND(BK22&gt;=Inputs!$F$193,BK22&lt;EDATE(Inputs!$F$193,Inputs!$F$211)),1,0)</f>
        <v>0</v>
      </c>
      <c r="BL38" s="10" t="n">
        <f aca="false">IF(AND(BL22&gt;=Inputs!$F$193,BL22&lt;EDATE(Inputs!$F$193,Inputs!$F$211)),1,0)</f>
        <v>0</v>
      </c>
      <c r="BM38" s="10" t="n">
        <f aca="false">IF(AND(BM22&gt;=Inputs!$F$193,BM22&lt;EDATE(Inputs!$F$193,Inputs!$F$211)),1,0)</f>
        <v>0</v>
      </c>
      <c r="BN38" s="10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460</v>
      </c>
      <c r="E39" s="0" t="s">
        <v>113</v>
      </c>
      <c r="J39" s="10" t="n">
        <f aca="false">IF(J22&gt;=Inputs!$F$193,1,0)</f>
        <v>0</v>
      </c>
      <c r="K39" s="10" t="n">
        <f aca="false">IF(K22&gt;=Inputs!$F$193,1,0)</f>
        <v>0</v>
      </c>
      <c r="L39" s="10" t="n">
        <f aca="false">IF(L22&gt;=Inputs!$F$193,1,0)</f>
        <v>0</v>
      </c>
      <c r="M39" s="10" t="n">
        <f aca="false">IF(M22&gt;=Inputs!$F$193,1,0)</f>
        <v>0</v>
      </c>
      <c r="N39" s="10" t="n">
        <f aca="false">IF(N22&gt;=Inputs!$F$193,1,0)</f>
        <v>0</v>
      </c>
      <c r="O39" s="10" t="n">
        <f aca="false">IF(O22&gt;=Inputs!$F$193,1,0)</f>
        <v>0</v>
      </c>
      <c r="P39" s="10" t="n">
        <f aca="false">IF(P22&gt;=Inputs!$F$193,1,0)</f>
        <v>0</v>
      </c>
      <c r="Q39" s="10" t="n">
        <f aca="false">IF(Q22&gt;=Inputs!$F$193,1,0)</f>
        <v>1</v>
      </c>
      <c r="R39" s="10" t="n">
        <f aca="false">IF(R22&gt;=Inputs!$F$193,1,0)</f>
        <v>1</v>
      </c>
      <c r="S39" s="10" t="n">
        <f aca="false">IF(S22&gt;=Inputs!$F$193,1,0)</f>
        <v>1</v>
      </c>
      <c r="T39" s="10" t="n">
        <f aca="false">IF(T22&gt;=Inputs!$F$193,1,0)</f>
        <v>1</v>
      </c>
      <c r="U39" s="10" t="n">
        <f aca="false">IF(U22&gt;=Inputs!$F$193,1,0)</f>
        <v>1</v>
      </c>
      <c r="V39" s="10" t="n">
        <f aca="false">IF(V22&gt;=Inputs!$F$193,1,0)</f>
        <v>1</v>
      </c>
      <c r="W39" s="10" t="n">
        <f aca="false">IF(W22&gt;=Inputs!$F$193,1,0)</f>
        <v>1</v>
      </c>
      <c r="X39" s="10" t="n">
        <f aca="false">IF(X22&gt;=Inputs!$F$193,1,0)</f>
        <v>1</v>
      </c>
      <c r="Y39" s="10" t="n">
        <f aca="false">IF(Y22&gt;=Inputs!$F$193,1,0)</f>
        <v>1</v>
      </c>
      <c r="Z39" s="10" t="n">
        <f aca="false">IF(Z22&gt;=Inputs!$F$193,1,0)</f>
        <v>1</v>
      </c>
      <c r="AA39" s="10" t="n">
        <f aca="false">IF(AA22&gt;=Inputs!$F$193,1,0)</f>
        <v>1</v>
      </c>
      <c r="AB39" s="10" t="n">
        <f aca="false">IF(AB22&gt;=Inputs!$F$193,1,0)</f>
        <v>1</v>
      </c>
      <c r="AC39" s="10" t="n">
        <f aca="false">IF(AC22&gt;=Inputs!$F$193,1,0)</f>
        <v>1</v>
      </c>
      <c r="AD39" s="10" t="n">
        <f aca="false">IF(AD22&gt;=Inputs!$F$193,1,0)</f>
        <v>1</v>
      </c>
      <c r="AE39" s="10" t="n">
        <f aca="false">IF(AE22&gt;=Inputs!$F$193,1,0)</f>
        <v>1</v>
      </c>
      <c r="AF39" s="10" t="n">
        <f aca="false">IF(AF22&gt;=Inputs!$F$193,1,0)</f>
        <v>1</v>
      </c>
      <c r="AG39" s="10" t="n">
        <f aca="false">IF(AG22&gt;=Inputs!$F$193,1,0)</f>
        <v>1</v>
      </c>
      <c r="AH39" s="10" t="n">
        <f aca="false">IF(AH22&gt;=Inputs!$F$193,1,0)</f>
        <v>1</v>
      </c>
      <c r="AI39" s="10" t="n">
        <f aca="false">IF(AI22&gt;=Inputs!$F$193,1,0)</f>
        <v>1</v>
      </c>
      <c r="AJ39" s="10" t="n">
        <f aca="false">IF(AJ22&gt;=Inputs!$F$193,1,0)</f>
        <v>1</v>
      </c>
      <c r="AK39" s="10" t="n">
        <f aca="false">IF(AK22&gt;=Inputs!$F$193,1,0)</f>
        <v>1</v>
      </c>
      <c r="AL39" s="10" t="n">
        <f aca="false">IF(AL22&gt;=Inputs!$F$193,1,0)</f>
        <v>1</v>
      </c>
      <c r="AM39" s="10" t="n">
        <f aca="false">IF(AM22&gt;=Inputs!$F$193,1,0)</f>
        <v>1</v>
      </c>
      <c r="AN39" s="10" t="n">
        <f aca="false">IF(AN22&gt;=Inputs!$F$193,1,0)</f>
        <v>1</v>
      </c>
      <c r="AO39" s="10" t="n">
        <f aca="false">IF(AO22&gt;=Inputs!$F$193,1,0)</f>
        <v>1</v>
      </c>
      <c r="AP39" s="10" t="n">
        <f aca="false">IF(AP22&gt;=Inputs!$F$193,1,0)</f>
        <v>1</v>
      </c>
      <c r="AQ39" s="10" t="n">
        <f aca="false">IF(AQ22&gt;=Inputs!$F$193,1,0)</f>
        <v>1</v>
      </c>
      <c r="AR39" s="10" t="n">
        <f aca="false">IF(AR22&gt;=Inputs!$F$193,1,0)</f>
        <v>1</v>
      </c>
      <c r="AS39" s="10" t="n">
        <f aca="false">IF(AS22&gt;=Inputs!$F$193,1,0)</f>
        <v>1</v>
      </c>
      <c r="AT39" s="10" t="n">
        <f aca="false">IF(AT22&gt;=Inputs!$F$193,1,0)</f>
        <v>1</v>
      </c>
      <c r="AU39" s="10" t="n">
        <f aca="false">IF(AU22&gt;=Inputs!$F$193,1,0)</f>
        <v>1</v>
      </c>
      <c r="AV39" s="10" t="n">
        <f aca="false">IF(AV22&gt;=Inputs!$F$193,1,0)</f>
        <v>1</v>
      </c>
      <c r="AW39" s="10" t="n">
        <f aca="false">IF(AW22&gt;=Inputs!$F$193,1,0)</f>
        <v>1</v>
      </c>
      <c r="AX39" s="10" t="n">
        <f aca="false">IF(AX22&gt;=Inputs!$F$193,1,0)</f>
        <v>1</v>
      </c>
      <c r="AY39" s="10" t="n">
        <f aca="false">IF(AY22&gt;=Inputs!$F$193,1,0)</f>
        <v>1</v>
      </c>
      <c r="AZ39" s="10" t="n">
        <f aca="false">IF(AZ22&gt;=Inputs!$F$193,1,0)</f>
        <v>1</v>
      </c>
      <c r="BA39" s="10" t="n">
        <f aca="false">IF(BA22&gt;=Inputs!$F$193,1,0)</f>
        <v>1</v>
      </c>
      <c r="BB39" s="10" t="n">
        <f aca="false">IF(BB22&gt;=Inputs!$F$193,1,0)</f>
        <v>1</v>
      </c>
      <c r="BC39" s="10" t="n">
        <f aca="false">IF(BC22&gt;=Inputs!$F$193,1,0)</f>
        <v>1</v>
      </c>
      <c r="BD39" s="10" t="n">
        <f aca="false">IF(BD22&gt;=Inputs!$F$193,1,0)</f>
        <v>1</v>
      </c>
      <c r="BE39" s="10" t="n">
        <f aca="false">IF(BE22&gt;=Inputs!$F$193,1,0)</f>
        <v>1</v>
      </c>
      <c r="BF39" s="10" t="n">
        <f aca="false">IF(BF22&gt;=Inputs!$F$193,1,0)</f>
        <v>1</v>
      </c>
      <c r="BG39" s="10" t="n">
        <f aca="false">IF(BG22&gt;=Inputs!$F$193,1,0)</f>
        <v>1</v>
      </c>
      <c r="BH39" s="10" t="n">
        <f aca="false">IF(BH22&gt;=Inputs!$F$193,1,0)</f>
        <v>1</v>
      </c>
      <c r="BI39" s="10" t="n">
        <f aca="false">IF(BI22&gt;=Inputs!$F$193,1,0)</f>
        <v>1</v>
      </c>
      <c r="BJ39" s="10" t="n">
        <f aca="false">IF(BJ22&gt;=Inputs!$F$193,1,0)</f>
        <v>1</v>
      </c>
      <c r="BK39" s="10" t="n">
        <f aca="false">IF(BK22&gt;=Inputs!$F$193,1,0)</f>
        <v>1</v>
      </c>
      <c r="BL39" s="10" t="n">
        <f aca="false">IF(BL22&gt;=Inputs!$F$193,1,0)</f>
        <v>1</v>
      </c>
      <c r="BM39" s="10" t="n">
        <f aca="false">IF(BM22&gt;=Inputs!$F$193,1,0)</f>
        <v>1</v>
      </c>
      <c r="BN39" s="10" t="n">
        <f aca="false">IF(BN22&gt;=Inputs!$F$193,1,0)</f>
        <v>1</v>
      </c>
    </row>
    <row r="40" customFormat="false" ht="15" hidden="false" customHeight="false" outlineLevel="0" collapsed="false">
      <c r="D40" s="0" t="s">
        <v>461</v>
      </c>
      <c r="E40" s="0" t="s">
        <v>113</v>
      </c>
      <c r="J40" s="10" t="n">
        <f aca="false">IF(J22&gt;=Inputs!$F$196,1,0)</f>
        <v>0</v>
      </c>
      <c r="K40" s="10" t="n">
        <f aca="false">IF(K22&gt;=Inputs!$F$196,1,0)</f>
        <v>0</v>
      </c>
      <c r="L40" s="10" t="n">
        <f aca="false">IF(L22&gt;=Inputs!$F$196,1,0)</f>
        <v>0</v>
      </c>
      <c r="M40" s="10" t="n">
        <f aca="false">IF(M22&gt;=Inputs!$F$196,1,0)</f>
        <v>0</v>
      </c>
      <c r="N40" s="10" t="n">
        <f aca="false">IF(N22&gt;=Inputs!$F$196,1,0)</f>
        <v>0</v>
      </c>
      <c r="O40" s="10" t="n">
        <f aca="false">IF(O22&gt;=Inputs!$F$196,1,0)</f>
        <v>0</v>
      </c>
      <c r="P40" s="10" t="n">
        <f aca="false">IF(P22&gt;=Inputs!$F$196,1,0)</f>
        <v>0</v>
      </c>
      <c r="Q40" s="10" t="n">
        <f aca="false">IF(Q22&gt;=Inputs!$F$196,1,0)</f>
        <v>0</v>
      </c>
      <c r="R40" s="10" t="n">
        <f aca="false">IF(R22&gt;=Inputs!$F$196,1,0)</f>
        <v>0</v>
      </c>
      <c r="S40" s="10" t="n">
        <f aca="false">IF(S22&gt;=Inputs!$F$196,1,0)</f>
        <v>1</v>
      </c>
      <c r="T40" s="10" t="n">
        <f aca="false">IF(T22&gt;=Inputs!$F$196,1,0)</f>
        <v>1</v>
      </c>
      <c r="U40" s="10" t="n">
        <f aca="false">IF(U22&gt;=Inputs!$F$196,1,0)</f>
        <v>1</v>
      </c>
      <c r="V40" s="10" t="n">
        <f aca="false">IF(V22&gt;=Inputs!$F$196,1,0)</f>
        <v>1</v>
      </c>
      <c r="W40" s="10" t="n">
        <f aca="false">IF(W22&gt;=Inputs!$F$196,1,0)</f>
        <v>1</v>
      </c>
      <c r="X40" s="10" t="n">
        <f aca="false">IF(X22&gt;=Inputs!$F$196,1,0)</f>
        <v>1</v>
      </c>
      <c r="Y40" s="10" t="n">
        <f aca="false">IF(Y22&gt;=Inputs!$F$196,1,0)</f>
        <v>1</v>
      </c>
      <c r="Z40" s="10" t="n">
        <f aca="false">IF(Z22&gt;=Inputs!$F$196,1,0)</f>
        <v>1</v>
      </c>
      <c r="AA40" s="10" t="n">
        <f aca="false">IF(AA22&gt;=Inputs!$F$196,1,0)</f>
        <v>1</v>
      </c>
      <c r="AB40" s="10" t="n">
        <f aca="false">IF(AB22&gt;=Inputs!$F$196,1,0)</f>
        <v>1</v>
      </c>
      <c r="AC40" s="10" t="n">
        <f aca="false">IF(AC22&gt;=Inputs!$F$196,1,0)</f>
        <v>1</v>
      </c>
      <c r="AD40" s="10" t="n">
        <f aca="false">IF(AD22&gt;=Inputs!$F$196,1,0)</f>
        <v>1</v>
      </c>
      <c r="AE40" s="10" t="n">
        <f aca="false">IF(AE22&gt;=Inputs!$F$196,1,0)</f>
        <v>1</v>
      </c>
      <c r="AF40" s="10" t="n">
        <f aca="false">IF(AF22&gt;=Inputs!$F$196,1,0)</f>
        <v>1</v>
      </c>
      <c r="AG40" s="10" t="n">
        <f aca="false">IF(AG22&gt;=Inputs!$F$196,1,0)</f>
        <v>1</v>
      </c>
      <c r="AH40" s="10" t="n">
        <f aca="false">IF(AH22&gt;=Inputs!$F$196,1,0)</f>
        <v>1</v>
      </c>
      <c r="AI40" s="10" t="n">
        <f aca="false">IF(AI22&gt;=Inputs!$F$196,1,0)</f>
        <v>1</v>
      </c>
      <c r="AJ40" s="10" t="n">
        <f aca="false">IF(AJ22&gt;=Inputs!$F$196,1,0)</f>
        <v>1</v>
      </c>
      <c r="AK40" s="10" t="n">
        <f aca="false">IF(AK22&gt;=Inputs!$F$196,1,0)</f>
        <v>1</v>
      </c>
      <c r="AL40" s="10" t="n">
        <f aca="false">IF(AL22&gt;=Inputs!$F$196,1,0)</f>
        <v>1</v>
      </c>
      <c r="AM40" s="10" t="n">
        <f aca="false">IF(AM22&gt;=Inputs!$F$196,1,0)</f>
        <v>1</v>
      </c>
      <c r="AN40" s="10" t="n">
        <f aca="false">IF(AN22&gt;=Inputs!$F$196,1,0)</f>
        <v>1</v>
      </c>
      <c r="AO40" s="10" t="n">
        <f aca="false">IF(AO22&gt;=Inputs!$F$196,1,0)</f>
        <v>1</v>
      </c>
      <c r="AP40" s="10" t="n">
        <f aca="false">IF(AP22&gt;=Inputs!$F$196,1,0)</f>
        <v>1</v>
      </c>
      <c r="AQ40" s="10" t="n">
        <f aca="false">IF(AQ22&gt;=Inputs!$F$196,1,0)</f>
        <v>1</v>
      </c>
      <c r="AR40" s="10" t="n">
        <f aca="false">IF(AR22&gt;=Inputs!$F$196,1,0)</f>
        <v>1</v>
      </c>
      <c r="AS40" s="10" t="n">
        <f aca="false">IF(AS22&gt;=Inputs!$F$196,1,0)</f>
        <v>1</v>
      </c>
      <c r="AT40" s="10" t="n">
        <f aca="false">IF(AT22&gt;=Inputs!$F$196,1,0)</f>
        <v>1</v>
      </c>
      <c r="AU40" s="10" t="n">
        <f aca="false">IF(AU22&gt;=Inputs!$F$196,1,0)</f>
        <v>1</v>
      </c>
      <c r="AV40" s="10" t="n">
        <f aca="false">IF(AV22&gt;=Inputs!$F$196,1,0)</f>
        <v>1</v>
      </c>
      <c r="AW40" s="10" t="n">
        <f aca="false">IF(AW22&gt;=Inputs!$F$196,1,0)</f>
        <v>1</v>
      </c>
      <c r="AX40" s="10" t="n">
        <f aca="false">IF(AX22&gt;=Inputs!$F$196,1,0)</f>
        <v>1</v>
      </c>
      <c r="AY40" s="10" t="n">
        <f aca="false">IF(AY22&gt;=Inputs!$F$196,1,0)</f>
        <v>1</v>
      </c>
      <c r="AZ40" s="10" t="n">
        <f aca="false">IF(AZ22&gt;=Inputs!$F$196,1,0)</f>
        <v>1</v>
      </c>
      <c r="BA40" s="10" t="n">
        <f aca="false">IF(BA22&gt;=Inputs!$F$196,1,0)</f>
        <v>1</v>
      </c>
      <c r="BB40" s="10" t="n">
        <f aca="false">IF(BB22&gt;=Inputs!$F$196,1,0)</f>
        <v>1</v>
      </c>
      <c r="BC40" s="10" t="n">
        <f aca="false">IF(BC22&gt;=Inputs!$F$196,1,0)</f>
        <v>1</v>
      </c>
      <c r="BD40" s="10" t="n">
        <f aca="false">IF(BD22&gt;=Inputs!$F$196,1,0)</f>
        <v>1</v>
      </c>
      <c r="BE40" s="10" t="n">
        <f aca="false">IF(BE22&gt;=Inputs!$F$196,1,0)</f>
        <v>1</v>
      </c>
      <c r="BF40" s="10" t="n">
        <f aca="false">IF(BF22&gt;=Inputs!$F$196,1,0)</f>
        <v>1</v>
      </c>
      <c r="BG40" s="10" t="n">
        <f aca="false">IF(BG22&gt;=Inputs!$F$196,1,0)</f>
        <v>1</v>
      </c>
      <c r="BH40" s="10" t="n">
        <f aca="false">IF(BH22&gt;=Inputs!$F$196,1,0)</f>
        <v>1</v>
      </c>
      <c r="BI40" s="10" t="n">
        <f aca="false">IF(BI22&gt;=Inputs!$F$196,1,0)</f>
        <v>1</v>
      </c>
      <c r="BJ40" s="10" t="n">
        <f aca="false">IF(BJ22&gt;=Inputs!$F$196,1,0)</f>
        <v>1</v>
      </c>
      <c r="BK40" s="10" t="n">
        <f aca="false">IF(BK22&gt;=Inputs!$F$196,1,0)</f>
        <v>1</v>
      </c>
      <c r="BL40" s="10" t="n">
        <f aca="false">IF(BL22&gt;=Inputs!$F$196,1,0)</f>
        <v>1</v>
      </c>
      <c r="BM40" s="10" t="n">
        <f aca="false">IF(BM22&gt;=Inputs!$F$196,1,0)</f>
        <v>1</v>
      </c>
      <c r="BN40" s="10" t="n">
        <f aca="false">IF(BN22&gt;=Inputs!$F$196,1,0)</f>
        <v>1</v>
      </c>
    </row>
    <row r="41" customFormat="false" ht="15" hidden="false" customHeight="false" outlineLevel="0" collapsed="false">
      <c r="D41" s="0" t="s">
        <v>462</v>
      </c>
      <c r="E41" s="0" t="s">
        <v>113</v>
      </c>
      <c r="J41" s="10" t="n">
        <f aca="false">IF(J22&gt;=Inputs!$F$195,1,0)</f>
        <v>0</v>
      </c>
      <c r="K41" s="10" t="n">
        <f aca="false">IF(K22&gt;=Inputs!$F$195,1,0)</f>
        <v>0</v>
      </c>
      <c r="L41" s="10" t="n">
        <f aca="false">IF(L22&gt;=Inputs!$F$195,1,0)</f>
        <v>0</v>
      </c>
      <c r="M41" s="10" t="n">
        <f aca="false">IF(M22&gt;=Inputs!$F$195,1,0)</f>
        <v>0</v>
      </c>
      <c r="N41" s="10" t="n">
        <f aca="false">IF(N22&gt;=Inputs!$F$195,1,0)</f>
        <v>0</v>
      </c>
      <c r="O41" s="10" t="n">
        <f aca="false">IF(O22&gt;=Inputs!$F$195,1,0)</f>
        <v>0</v>
      </c>
      <c r="P41" s="10" t="n">
        <f aca="false">IF(P22&gt;=Inputs!$F$195,1,0)</f>
        <v>0</v>
      </c>
      <c r="Q41" s="10" t="n">
        <f aca="false">IF(Q22&gt;=Inputs!$F$195,1,0)</f>
        <v>0</v>
      </c>
      <c r="R41" s="10" t="n">
        <f aca="false">IF(R22&gt;=Inputs!$F$195,1,0)</f>
        <v>1</v>
      </c>
      <c r="S41" s="10" t="n">
        <f aca="false">IF(S22&gt;=Inputs!$F$195,1,0)</f>
        <v>1</v>
      </c>
      <c r="T41" s="10" t="n">
        <f aca="false">IF(T22&gt;=Inputs!$F$195,1,0)</f>
        <v>1</v>
      </c>
      <c r="U41" s="10" t="n">
        <f aca="false">IF(U22&gt;=Inputs!$F$195,1,0)</f>
        <v>1</v>
      </c>
      <c r="V41" s="10" t="n">
        <f aca="false">IF(V22&gt;=Inputs!$F$195,1,0)</f>
        <v>1</v>
      </c>
      <c r="W41" s="10" t="n">
        <f aca="false">IF(W22&gt;=Inputs!$F$195,1,0)</f>
        <v>1</v>
      </c>
      <c r="X41" s="10" t="n">
        <f aca="false">IF(X22&gt;=Inputs!$F$195,1,0)</f>
        <v>1</v>
      </c>
      <c r="Y41" s="10" t="n">
        <f aca="false">IF(Y22&gt;=Inputs!$F$195,1,0)</f>
        <v>1</v>
      </c>
      <c r="Z41" s="10" t="n">
        <f aca="false">IF(Z22&gt;=Inputs!$F$195,1,0)</f>
        <v>1</v>
      </c>
      <c r="AA41" s="10" t="n">
        <f aca="false">IF(AA22&gt;=Inputs!$F$195,1,0)</f>
        <v>1</v>
      </c>
      <c r="AB41" s="10" t="n">
        <f aca="false">IF(AB22&gt;=Inputs!$F$195,1,0)</f>
        <v>1</v>
      </c>
      <c r="AC41" s="10" t="n">
        <f aca="false">IF(AC22&gt;=Inputs!$F$195,1,0)</f>
        <v>1</v>
      </c>
      <c r="AD41" s="10" t="n">
        <f aca="false">IF(AD22&gt;=Inputs!$F$195,1,0)</f>
        <v>1</v>
      </c>
      <c r="AE41" s="10" t="n">
        <f aca="false">IF(AE22&gt;=Inputs!$F$195,1,0)</f>
        <v>1</v>
      </c>
      <c r="AF41" s="10" t="n">
        <f aca="false">IF(AF22&gt;=Inputs!$F$195,1,0)</f>
        <v>1</v>
      </c>
      <c r="AG41" s="10" t="n">
        <f aca="false">IF(AG22&gt;=Inputs!$F$195,1,0)</f>
        <v>1</v>
      </c>
      <c r="AH41" s="10" t="n">
        <f aca="false">IF(AH22&gt;=Inputs!$F$195,1,0)</f>
        <v>1</v>
      </c>
      <c r="AI41" s="10" t="n">
        <f aca="false">IF(AI22&gt;=Inputs!$F$195,1,0)</f>
        <v>1</v>
      </c>
      <c r="AJ41" s="10" t="n">
        <f aca="false">IF(AJ22&gt;=Inputs!$F$195,1,0)</f>
        <v>1</v>
      </c>
      <c r="AK41" s="10" t="n">
        <f aca="false">IF(AK22&gt;=Inputs!$F$195,1,0)</f>
        <v>1</v>
      </c>
      <c r="AL41" s="10" t="n">
        <f aca="false">IF(AL22&gt;=Inputs!$F$195,1,0)</f>
        <v>1</v>
      </c>
      <c r="AM41" s="10" t="n">
        <f aca="false">IF(AM22&gt;=Inputs!$F$195,1,0)</f>
        <v>1</v>
      </c>
      <c r="AN41" s="10" t="n">
        <f aca="false">IF(AN22&gt;=Inputs!$F$195,1,0)</f>
        <v>1</v>
      </c>
      <c r="AO41" s="10" t="n">
        <f aca="false">IF(AO22&gt;=Inputs!$F$195,1,0)</f>
        <v>1</v>
      </c>
      <c r="AP41" s="10" t="n">
        <f aca="false">IF(AP22&gt;=Inputs!$F$195,1,0)</f>
        <v>1</v>
      </c>
      <c r="AQ41" s="10" t="n">
        <f aca="false">IF(AQ22&gt;=Inputs!$F$195,1,0)</f>
        <v>1</v>
      </c>
      <c r="AR41" s="10" t="n">
        <f aca="false">IF(AR22&gt;=Inputs!$F$195,1,0)</f>
        <v>1</v>
      </c>
      <c r="AS41" s="10" t="n">
        <f aca="false">IF(AS22&gt;=Inputs!$F$195,1,0)</f>
        <v>1</v>
      </c>
      <c r="AT41" s="10" t="n">
        <f aca="false">IF(AT22&gt;=Inputs!$F$195,1,0)</f>
        <v>1</v>
      </c>
      <c r="AU41" s="10" t="n">
        <f aca="false">IF(AU22&gt;=Inputs!$F$195,1,0)</f>
        <v>1</v>
      </c>
      <c r="AV41" s="10" t="n">
        <f aca="false">IF(AV22&gt;=Inputs!$F$195,1,0)</f>
        <v>1</v>
      </c>
      <c r="AW41" s="10" t="n">
        <f aca="false">IF(AW22&gt;=Inputs!$F$195,1,0)</f>
        <v>1</v>
      </c>
      <c r="AX41" s="10" t="n">
        <f aca="false">IF(AX22&gt;=Inputs!$F$195,1,0)</f>
        <v>1</v>
      </c>
      <c r="AY41" s="10" t="n">
        <f aca="false">IF(AY22&gt;=Inputs!$F$195,1,0)</f>
        <v>1</v>
      </c>
      <c r="AZ41" s="10" t="n">
        <f aca="false">IF(AZ22&gt;=Inputs!$F$195,1,0)</f>
        <v>1</v>
      </c>
      <c r="BA41" s="10" t="n">
        <f aca="false">IF(BA22&gt;=Inputs!$F$195,1,0)</f>
        <v>1</v>
      </c>
      <c r="BB41" s="10" t="n">
        <f aca="false">IF(BB22&gt;=Inputs!$F$195,1,0)</f>
        <v>1</v>
      </c>
      <c r="BC41" s="10" t="n">
        <f aca="false">IF(BC22&gt;=Inputs!$F$195,1,0)</f>
        <v>1</v>
      </c>
      <c r="BD41" s="10" t="n">
        <f aca="false">IF(BD22&gt;=Inputs!$F$195,1,0)</f>
        <v>1</v>
      </c>
      <c r="BE41" s="10" t="n">
        <f aca="false">IF(BE22&gt;=Inputs!$F$195,1,0)</f>
        <v>1</v>
      </c>
      <c r="BF41" s="10" t="n">
        <f aca="false">IF(BF22&gt;=Inputs!$F$195,1,0)</f>
        <v>1</v>
      </c>
      <c r="BG41" s="10" t="n">
        <f aca="false">IF(BG22&gt;=Inputs!$F$195,1,0)</f>
        <v>1</v>
      </c>
      <c r="BH41" s="10" t="n">
        <f aca="false">IF(BH22&gt;=Inputs!$F$195,1,0)</f>
        <v>1</v>
      </c>
      <c r="BI41" s="10" t="n">
        <f aca="false">IF(BI22&gt;=Inputs!$F$195,1,0)</f>
        <v>1</v>
      </c>
      <c r="BJ41" s="10" t="n">
        <f aca="false">IF(BJ22&gt;=Inputs!$F$195,1,0)</f>
        <v>1</v>
      </c>
      <c r="BK41" s="10" t="n">
        <f aca="false">IF(BK22&gt;=Inputs!$F$195,1,0)</f>
        <v>1</v>
      </c>
      <c r="BL41" s="10" t="n">
        <f aca="false">IF(BL22&gt;=Inputs!$F$195,1,0)</f>
        <v>1</v>
      </c>
      <c r="BM41" s="10" t="n">
        <f aca="false">IF(BM22&gt;=Inputs!$F$195,1,0)</f>
        <v>1</v>
      </c>
      <c r="BN41" s="10" t="n">
        <f aca="false">IF(BN22&gt;=Inputs!$F$195,1,0)</f>
        <v>1</v>
      </c>
    </row>
    <row r="42" customFormat="false" ht="15" hidden="false" customHeight="false" outlineLevel="0" collapsed="false">
      <c r="D42" s="0" t="s">
        <v>463</v>
      </c>
      <c r="E42" s="0" t="s">
        <v>113</v>
      </c>
      <c r="J42" s="10" t="n">
        <f aca="false">Inputs!$F$48*IF(J23=Inputs!$F$198,1,0)</f>
        <v>0</v>
      </c>
      <c r="K42" s="10" t="n">
        <f aca="false">Inputs!$F$48*IF(K23=Inputs!$F$198,1,0)</f>
        <v>0</v>
      </c>
      <c r="L42" s="10" t="n">
        <f aca="false">Inputs!$F$48*IF(L23=Inputs!$F$198,1,0)</f>
        <v>0</v>
      </c>
      <c r="M42" s="10" t="n">
        <f aca="false">Inputs!$F$48*IF(M23=Inputs!$F$198,1,0)</f>
        <v>0</v>
      </c>
      <c r="N42" s="10" t="n">
        <f aca="false">Inputs!$F$48*IF(N23=Inputs!$F$198,1,0)</f>
        <v>0</v>
      </c>
      <c r="O42" s="10" t="n">
        <f aca="false">Inputs!$F$48*IF(O23=Inputs!$F$198,1,0)</f>
        <v>0</v>
      </c>
      <c r="P42" s="10" t="n">
        <f aca="false">Inputs!$F$48*IF(P23=Inputs!$F$198,1,0)</f>
        <v>0</v>
      </c>
      <c r="Q42" s="10" t="n">
        <f aca="false">Inputs!$F$48*IF(Q23=Inputs!$F$198,1,0)</f>
        <v>1</v>
      </c>
      <c r="R42" s="10" t="n">
        <f aca="false">Inputs!$F$48*IF(R23=Inputs!$F$198,1,0)</f>
        <v>0</v>
      </c>
      <c r="S42" s="10" t="n">
        <f aca="false">Inputs!$F$48*IF(S23=Inputs!$F$198,1,0)</f>
        <v>0</v>
      </c>
      <c r="T42" s="10" t="n">
        <f aca="false">Inputs!$F$48*IF(T23=Inputs!$F$198,1,0)</f>
        <v>0</v>
      </c>
      <c r="U42" s="10" t="n">
        <f aca="false">Inputs!$F$48*IF(U23=Inputs!$F$198,1,0)</f>
        <v>0</v>
      </c>
      <c r="V42" s="10" t="n">
        <f aca="false">Inputs!$F$48*IF(V23=Inputs!$F$198,1,0)</f>
        <v>0</v>
      </c>
      <c r="W42" s="10" t="n">
        <f aca="false">Inputs!$F$48*IF(W23=Inputs!$F$198,1,0)</f>
        <v>0</v>
      </c>
      <c r="X42" s="10" t="n">
        <f aca="false">Inputs!$F$48*IF(X23=Inputs!$F$198,1,0)</f>
        <v>0</v>
      </c>
      <c r="Y42" s="10" t="n">
        <f aca="false">Inputs!$F$48*IF(Y23=Inputs!$F$198,1,0)</f>
        <v>0</v>
      </c>
      <c r="Z42" s="10" t="n">
        <f aca="false">Inputs!$F$48*IF(Z23=Inputs!$F$198,1,0)</f>
        <v>0</v>
      </c>
      <c r="AA42" s="10" t="n">
        <f aca="false">Inputs!$F$48*IF(AA23=Inputs!$F$198,1,0)</f>
        <v>0</v>
      </c>
      <c r="AB42" s="10" t="n">
        <f aca="false">Inputs!$F$48*IF(AB23=Inputs!$F$198,1,0)</f>
        <v>0</v>
      </c>
      <c r="AC42" s="10" t="n">
        <f aca="false">Inputs!$F$48*IF(AC23=Inputs!$F$198,1,0)</f>
        <v>0</v>
      </c>
      <c r="AD42" s="10" t="n">
        <f aca="false">Inputs!$F$48*IF(AD23=Inputs!$F$198,1,0)</f>
        <v>0</v>
      </c>
      <c r="AE42" s="10" t="n">
        <f aca="false">Inputs!$F$48*IF(AE23=Inputs!$F$198,1,0)</f>
        <v>0</v>
      </c>
      <c r="AF42" s="10" t="n">
        <f aca="false">Inputs!$F$48*IF(AF23=Inputs!$F$198,1,0)</f>
        <v>0</v>
      </c>
      <c r="AG42" s="10" t="n">
        <f aca="false">Inputs!$F$48*IF(AG23=Inputs!$F$198,1,0)</f>
        <v>0</v>
      </c>
      <c r="AH42" s="10" t="n">
        <f aca="false">Inputs!$F$48*IF(AH23=Inputs!$F$198,1,0)</f>
        <v>0</v>
      </c>
      <c r="AI42" s="10" t="n">
        <f aca="false">Inputs!$F$48*IF(AI23=Inputs!$F$198,1,0)</f>
        <v>0</v>
      </c>
      <c r="AJ42" s="10" t="n">
        <f aca="false">Inputs!$F$48*IF(AJ23=Inputs!$F$198,1,0)</f>
        <v>0</v>
      </c>
      <c r="AK42" s="10" t="n">
        <f aca="false">Inputs!$F$48*IF(AK23=Inputs!$F$198,1,0)</f>
        <v>0</v>
      </c>
      <c r="AL42" s="10" t="n">
        <f aca="false">Inputs!$F$48*IF(AL23=Inputs!$F$198,1,0)</f>
        <v>0</v>
      </c>
      <c r="AM42" s="10" t="n">
        <f aca="false">Inputs!$F$48*IF(AM23=Inputs!$F$198,1,0)</f>
        <v>0</v>
      </c>
      <c r="AN42" s="10" t="n">
        <f aca="false">Inputs!$F$48*IF(AN23=Inputs!$F$198,1,0)</f>
        <v>0</v>
      </c>
      <c r="AO42" s="10" t="n">
        <f aca="false">Inputs!$F$48*IF(AO23=Inputs!$F$198,1,0)</f>
        <v>0</v>
      </c>
      <c r="AP42" s="10" t="n">
        <f aca="false">Inputs!$F$48*IF(AP23=Inputs!$F$198,1,0)</f>
        <v>0</v>
      </c>
      <c r="AQ42" s="10" t="n">
        <f aca="false">Inputs!$F$48*IF(AQ23=Inputs!$F$198,1,0)</f>
        <v>0</v>
      </c>
      <c r="AR42" s="10" t="n">
        <f aca="false">Inputs!$F$48*IF(AR23=Inputs!$F$198,1,0)</f>
        <v>0</v>
      </c>
      <c r="AS42" s="10" t="n">
        <f aca="false">Inputs!$F$48*IF(AS23=Inputs!$F$198,1,0)</f>
        <v>0</v>
      </c>
      <c r="AT42" s="10" t="n">
        <f aca="false">Inputs!$F$48*IF(AT23=Inputs!$F$198,1,0)</f>
        <v>0</v>
      </c>
      <c r="AU42" s="10" t="n">
        <f aca="false">Inputs!$F$48*IF(AU23=Inputs!$F$198,1,0)</f>
        <v>0</v>
      </c>
      <c r="AV42" s="10" t="n">
        <f aca="false">Inputs!$F$48*IF(AV23=Inputs!$F$198,1,0)</f>
        <v>0</v>
      </c>
      <c r="AW42" s="10" t="n">
        <f aca="false">Inputs!$F$48*IF(AW23=Inputs!$F$198,1,0)</f>
        <v>0</v>
      </c>
      <c r="AX42" s="10" t="n">
        <f aca="false">Inputs!$F$48*IF(AX23=Inputs!$F$198,1,0)</f>
        <v>0</v>
      </c>
      <c r="AY42" s="10" t="n">
        <f aca="false">Inputs!$F$48*IF(AY23=Inputs!$F$198,1,0)</f>
        <v>0</v>
      </c>
      <c r="AZ42" s="10" t="n">
        <f aca="false">Inputs!$F$48*IF(AZ23=Inputs!$F$198,1,0)</f>
        <v>0</v>
      </c>
      <c r="BA42" s="10" t="n">
        <f aca="false">Inputs!$F$48*IF(BA23=Inputs!$F$198,1,0)</f>
        <v>0</v>
      </c>
      <c r="BB42" s="10" t="n">
        <f aca="false">Inputs!$F$48*IF(BB23=Inputs!$F$198,1,0)</f>
        <v>0</v>
      </c>
      <c r="BC42" s="10" t="n">
        <f aca="false">Inputs!$F$48*IF(BC23=Inputs!$F$198,1,0)</f>
        <v>0</v>
      </c>
      <c r="BD42" s="10" t="n">
        <f aca="false">Inputs!$F$48*IF(BD23=Inputs!$F$198,1,0)</f>
        <v>0</v>
      </c>
      <c r="BE42" s="10" t="n">
        <f aca="false">Inputs!$F$48*IF(BE23=Inputs!$F$198,1,0)</f>
        <v>0</v>
      </c>
      <c r="BF42" s="10" t="n">
        <f aca="false">Inputs!$F$48*IF(BF23=Inputs!$F$198,1,0)</f>
        <v>0</v>
      </c>
      <c r="BG42" s="10" t="n">
        <f aca="false">Inputs!$F$48*IF(BG23=Inputs!$F$198,1,0)</f>
        <v>0</v>
      </c>
      <c r="BH42" s="10" t="n">
        <f aca="false">Inputs!$F$48*IF(BH23=Inputs!$F$198,1,0)</f>
        <v>0</v>
      </c>
      <c r="BI42" s="10" t="n">
        <f aca="false">Inputs!$F$48*IF(BI23=Inputs!$F$198,1,0)</f>
        <v>0</v>
      </c>
      <c r="BJ42" s="10" t="n">
        <f aca="false">Inputs!$F$48*IF(BJ23=Inputs!$F$198,1,0)</f>
        <v>0</v>
      </c>
      <c r="BK42" s="10" t="n">
        <f aca="false">Inputs!$F$48*IF(BK23=Inputs!$F$198,1,0)</f>
        <v>0</v>
      </c>
      <c r="BL42" s="10" t="n">
        <f aca="false">Inputs!$F$48*IF(BL23=Inputs!$F$198,1,0)</f>
        <v>0</v>
      </c>
      <c r="BM42" s="10" t="n">
        <f aca="false">Inputs!$F$48*IF(BM23=Inputs!$F$198,1,0)</f>
        <v>0</v>
      </c>
      <c r="BN42" s="10" t="n">
        <f aca="false">Inputs!$F$48*IF(BN23=Inputs!$F$198,1,0)</f>
        <v>0</v>
      </c>
    </row>
    <row r="43" customFormat="false" ht="15" hidden="false" customHeight="false" outlineLevel="0" collapsed="false">
      <c r="D43" s="0" t="s">
        <v>464</v>
      </c>
      <c r="E43" s="0" t="s">
        <v>113</v>
      </c>
      <c r="J43" s="10" t="n">
        <f aca="false">Inputs!$F$49*IF(J23=Inputs!$F$200,1,0)</f>
        <v>0</v>
      </c>
      <c r="K43" s="10" t="n">
        <f aca="false">Inputs!$F$49*IF(K23=Inputs!$F$200,1,0)</f>
        <v>0</v>
      </c>
      <c r="L43" s="10" t="n">
        <f aca="false">Inputs!$F$49*IF(L23=Inputs!$F$200,1,0)</f>
        <v>0</v>
      </c>
      <c r="M43" s="10" t="n">
        <f aca="false">Inputs!$F$49*IF(M23=Inputs!$F$200,1,0)</f>
        <v>0</v>
      </c>
      <c r="N43" s="10" t="n">
        <f aca="false">Inputs!$F$49*IF(N23=Inputs!$F$200,1,0)</f>
        <v>0</v>
      </c>
      <c r="O43" s="10" t="n">
        <f aca="false">Inputs!$F$49*IF(O23=Inputs!$F$200,1,0)</f>
        <v>0</v>
      </c>
      <c r="P43" s="10" t="n">
        <f aca="false">Inputs!$F$49*IF(P23=Inputs!$F$200,1,0)</f>
        <v>0</v>
      </c>
      <c r="Q43" s="10" t="n">
        <f aca="false">Inputs!$F$49*IF(Q23=Inputs!$F$200,1,0)</f>
        <v>0</v>
      </c>
      <c r="R43" s="10" t="n">
        <f aca="false">Inputs!$F$49*IF(R23=Inputs!$F$200,1,0)</f>
        <v>0</v>
      </c>
      <c r="S43" s="10" t="n">
        <f aca="false">Inputs!$F$49*IF(S23=Inputs!$F$200,1,0)</f>
        <v>0</v>
      </c>
      <c r="T43" s="10" t="n">
        <f aca="false">Inputs!$F$49*IF(T23=Inputs!$F$200,1,0)</f>
        <v>1</v>
      </c>
      <c r="U43" s="10" t="n">
        <f aca="false">Inputs!$F$49*IF(U23=Inputs!$F$200,1,0)</f>
        <v>0</v>
      </c>
      <c r="V43" s="10" t="n">
        <f aca="false">Inputs!$F$49*IF(V23=Inputs!$F$200,1,0)</f>
        <v>0</v>
      </c>
      <c r="W43" s="10" t="n">
        <f aca="false">Inputs!$F$49*IF(W23=Inputs!$F$200,1,0)</f>
        <v>0</v>
      </c>
      <c r="X43" s="10" t="n">
        <f aca="false">Inputs!$F$49*IF(X23=Inputs!$F$200,1,0)</f>
        <v>0</v>
      </c>
      <c r="Y43" s="10" t="n">
        <f aca="false">Inputs!$F$49*IF(Y23=Inputs!$F$200,1,0)</f>
        <v>0</v>
      </c>
      <c r="Z43" s="10" t="n">
        <f aca="false">Inputs!$F$49*IF(Z23=Inputs!$F$200,1,0)</f>
        <v>0</v>
      </c>
      <c r="AA43" s="10" t="n">
        <f aca="false">Inputs!$F$49*IF(AA23=Inputs!$F$200,1,0)</f>
        <v>0</v>
      </c>
      <c r="AB43" s="10" t="n">
        <f aca="false">Inputs!$F$49*IF(AB23=Inputs!$F$200,1,0)</f>
        <v>0</v>
      </c>
      <c r="AC43" s="10" t="n">
        <f aca="false">Inputs!$F$49*IF(AC23=Inputs!$F$200,1,0)</f>
        <v>0</v>
      </c>
      <c r="AD43" s="10" t="n">
        <f aca="false">Inputs!$F$49*IF(AD23=Inputs!$F$200,1,0)</f>
        <v>0</v>
      </c>
      <c r="AE43" s="10" t="n">
        <f aca="false">Inputs!$F$49*IF(AE23=Inputs!$F$200,1,0)</f>
        <v>0</v>
      </c>
      <c r="AF43" s="10" t="n">
        <f aca="false">Inputs!$F$49*IF(AF23=Inputs!$F$200,1,0)</f>
        <v>0</v>
      </c>
      <c r="AG43" s="10" t="n">
        <f aca="false">Inputs!$F$49*IF(AG23=Inputs!$F$200,1,0)</f>
        <v>0</v>
      </c>
      <c r="AH43" s="10" t="n">
        <f aca="false">Inputs!$F$49*IF(AH23=Inputs!$F$200,1,0)</f>
        <v>0</v>
      </c>
      <c r="AI43" s="10" t="n">
        <f aca="false">Inputs!$F$49*IF(AI23=Inputs!$F$200,1,0)</f>
        <v>0</v>
      </c>
      <c r="AJ43" s="10" t="n">
        <f aca="false">Inputs!$F$49*IF(AJ23=Inputs!$F$200,1,0)</f>
        <v>0</v>
      </c>
      <c r="AK43" s="10" t="n">
        <f aca="false">Inputs!$F$49*IF(AK23=Inputs!$F$200,1,0)</f>
        <v>0</v>
      </c>
      <c r="AL43" s="10" t="n">
        <f aca="false">Inputs!$F$49*IF(AL23=Inputs!$F$200,1,0)</f>
        <v>0</v>
      </c>
      <c r="AM43" s="10" t="n">
        <f aca="false">Inputs!$F$49*IF(AM23=Inputs!$F$200,1,0)</f>
        <v>0</v>
      </c>
      <c r="AN43" s="10" t="n">
        <f aca="false">Inputs!$F$49*IF(AN23=Inputs!$F$200,1,0)</f>
        <v>0</v>
      </c>
      <c r="AO43" s="10" t="n">
        <f aca="false">Inputs!$F$49*IF(AO23=Inputs!$F$200,1,0)</f>
        <v>0</v>
      </c>
      <c r="AP43" s="10" t="n">
        <f aca="false">Inputs!$F$49*IF(AP23=Inputs!$F$200,1,0)</f>
        <v>0</v>
      </c>
      <c r="AQ43" s="10" t="n">
        <f aca="false">Inputs!$F$49*IF(AQ23=Inputs!$F$200,1,0)</f>
        <v>0</v>
      </c>
      <c r="AR43" s="10" t="n">
        <f aca="false">Inputs!$F$49*IF(AR23=Inputs!$F$200,1,0)</f>
        <v>0</v>
      </c>
      <c r="AS43" s="10" t="n">
        <f aca="false">Inputs!$F$49*IF(AS23=Inputs!$F$200,1,0)</f>
        <v>0</v>
      </c>
      <c r="AT43" s="10" t="n">
        <f aca="false">Inputs!$F$49*IF(AT23=Inputs!$F$200,1,0)</f>
        <v>0</v>
      </c>
      <c r="AU43" s="10" t="n">
        <f aca="false">Inputs!$F$49*IF(AU23=Inputs!$F$200,1,0)</f>
        <v>0</v>
      </c>
      <c r="AV43" s="10" t="n">
        <f aca="false">Inputs!$F$49*IF(AV23=Inputs!$F$200,1,0)</f>
        <v>0</v>
      </c>
      <c r="AW43" s="10" t="n">
        <f aca="false">Inputs!$F$49*IF(AW23=Inputs!$F$200,1,0)</f>
        <v>0</v>
      </c>
      <c r="AX43" s="10" t="n">
        <f aca="false">Inputs!$F$49*IF(AX23=Inputs!$F$200,1,0)</f>
        <v>0</v>
      </c>
      <c r="AY43" s="10" t="n">
        <f aca="false">Inputs!$F$49*IF(AY23=Inputs!$F$200,1,0)</f>
        <v>0</v>
      </c>
      <c r="AZ43" s="10" t="n">
        <f aca="false">Inputs!$F$49*IF(AZ23=Inputs!$F$200,1,0)</f>
        <v>0</v>
      </c>
      <c r="BA43" s="10" t="n">
        <f aca="false">Inputs!$F$49*IF(BA23=Inputs!$F$200,1,0)</f>
        <v>0</v>
      </c>
      <c r="BB43" s="10" t="n">
        <f aca="false">Inputs!$F$49*IF(BB23=Inputs!$F$200,1,0)</f>
        <v>0</v>
      </c>
      <c r="BC43" s="10" t="n">
        <f aca="false">Inputs!$F$49*IF(BC23=Inputs!$F$200,1,0)</f>
        <v>0</v>
      </c>
      <c r="BD43" s="10" t="n">
        <f aca="false">Inputs!$F$49*IF(BD23=Inputs!$F$200,1,0)</f>
        <v>0</v>
      </c>
      <c r="BE43" s="10" t="n">
        <f aca="false">Inputs!$F$49*IF(BE23=Inputs!$F$200,1,0)</f>
        <v>0</v>
      </c>
      <c r="BF43" s="10" t="n">
        <f aca="false">Inputs!$F$49*IF(BF23=Inputs!$F$200,1,0)</f>
        <v>0</v>
      </c>
      <c r="BG43" s="10" t="n">
        <f aca="false">Inputs!$F$49*IF(BG23=Inputs!$F$200,1,0)</f>
        <v>0</v>
      </c>
      <c r="BH43" s="10" t="n">
        <f aca="false">Inputs!$F$49*IF(BH23=Inputs!$F$200,1,0)</f>
        <v>0</v>
      </c>
      <c r="BI43" s="10" t="n">
        <f aca="false">Inputs!$F$49*IF(BI23=Inputs!$F$200,1,0)</f>
        <v>0</v>
      </c>
      <c r="BJ43" s="10" t="n">
        <f aca="false">Inputs!$F$49*IF(BJ23=Inputs!$F$200,1,0)</f>
        <v>0</v>
      </c>
      <c r="BK43" s="10" t="n">
        <f aca="false">Inputs!$F$49*IF(BK23=Inputs!$F$200,1,0)</f>
        <v>0</v>
      </c>
      <c r="BL43" s="10" t="n">
        <f aca="false">Inputs!$F$49*IF(BL23=Inputs!$F$200,1,0)</f>
        <v>0</v>
      </c>
      <c r="BM43" s="10" t="n">
        <f aca="false">Inputs!$F$49*IF(BM23=Inputs!$F$200,1,0)</f>
        <v>0</v>
      </c>
      <c r="BN43" s="10" t="n">
        <f aca="false">Inputs!$F$49*IF(BN23=Inputs!$F$200,1,0)</f>
        <v>0</v>
      </c>
    </row>
    <row r="44" customFormat="false" ht="15" hidden="false" customHeight="false" outlineLevel="0" collapsed="false">
      <c r="D44" s="0" t="s">
        <v>465</v>
      </c>
      <c r="E44" s="0" t="s">
        <v>113</v>
      </c>
      <c r="J44" s="10" t="n">
        <f aca="false">Inputs!$F$49*IF(AND(J22&gt;=Inputs!$F$201,J23&lt;=Inputs!$F$202),1,0)</f>
        <v>0</v>
      </c>
      <c r="K44" s="10" t="n">
        <f aca="false">Inputs!$F$49*IF(AND(K22&gt;=Inputs!$F$201,K23&lt;=Inputs!$F$202),1,0)</f>
        <v>0</v>
      </c>
      <c r="L44" s="10" t="n">
        <f aca="false">Inputs!$F$49*IF(AND(L22&gt;=Inputs!$F$201,L23&lt;=Inputs!$F$202),1,0)</f>
        <v>0</v>
      </c>
      <c r="M44" s="10" t="n">
        <f aca="false">Inputs!$F$49*IF(AND(M22&gt;=Inputs!$F$201,M23&lt;=Inputs!$F$202),1,0)</f>
        <v>0</v>
      </c>
      <c r="N44" s="10" t="n">
        <f aca="false">Inputs!$F$49*IF(AND(N22&gt;=Inputs!$F$201,N23&lt;=Inputs!$F$202),1,0)</f>
        <v>0</v>
      </c>
      <c r="O44" s="10" t="n">
        <f aca="false">Inputs!$F$49*IF(AND(O22&gt;=Inputs!$F$201,O23&lt;=Inputs!$F$202),1,0)</f>
        <v>0</v>
      </c>
      <c r="P44" s="10" t="n">
        <f aca="false">Inputs!$F$49*IF(AND(P22&gt;=Inputs!$F$201,P23&lt;=Inputs!$F$202),1,0)</f>
        <v>0</v>
      </c>
      <c r="Q44" s="10" t="n">
        <f aca="false">Inputs!$F$49*IF(AND(Q22&gt;=Inputs!$F$201,Q23&lt;=Inputs!$F$202),1,0)</f>
        <v>0</v>
      </c>
      <c r="R44" s="10" t="n">
        <f aca="false">Inputs!$F$49*IF(AND(R22&gt;=Inputs!$F$201,R23&lt;=Inputs!$F$202),1,0)</f>
        <v>0</v>
      </c>
      <c r="S44" s="10" t="n">
        <f aca="false">Inputs!$F$49*IF(AND(S22&gt;=Inputs!$F$201,S23&lt;=Inputs!$F$202),1,0)</f>
        <v>0</v>
      </c>
      <c r="T44" s="10" t="n">
        <f aca="false">Inputs!$F$49*IF(AND(T22&gt;=Inputs!$F$201,T23&lt;=Inputs!$F$202),1,0)</f>
        <v>1</v>
      </c>
      <c r="U44" s="10" t="n">
        <f aca="false">Inputs!$F$49*IF(AND(U22&gt;=Inputs!$F$201,U23&lt;=Inputs!$F$202),1,0)</f>
        <v>1</v>
      </c>
      <c r="V44" s="10" t="n">
        <f aca="false">Inputs!$F$49*IF(AND(V22&gt;=Inputs!$F$201,V23&lt;=Inputs!$F$202),1,0)</f>
        <v>1</v>
      </c>
      <c r="W44" s="10" t="n">
        <f aca="false">Inputs!$F$49*IF(AND(W22&gt;=Inputs!$F$201,W23&lt;=Inputs!$F$202),1,0)</f>
        <v>0</v>
      </c>
      <c r="X44" s="10" t="n">
        <f aca="false">Inputs!$F$49*IF(AND(X22&gt;=Inputs!$F$201,X23&lt;=Inputs!$F$202),1,0)</f>
        <v>0</v>
      </c>
      <c r="Y44" s="10" t="n">
        <f aca="false">Inputs!$F$49*IF(AND(Y22&gt;=Inputs!$F$201,Y23&lt;=Inputs!$F$202),1,0)</f>
        <v>0</v>
      </c>
      <c r="Z44" s="10" t="n">
        <f aca="false">Inputs!$F$49*IF(AND(Z22&gt;=Inputs!$F$201,Z23&lt;=Inputs!$F$202),1,0)</f>
        <v>0</v>
      </c>
      <c r="AA44" s="10" t="n">
        <f aca="false">Inputs!$F$49*IF(AND(AA22&gt;=Inputs!$F$201,AA23&lt;=Inputs!$F$202),1,0)</f>
        <v>0</v>
      </c>
      <c r="AB44" s="10" t="n">
        <f aca="false">Inputs!$F$49*IF(AND(AB22&gt;=Inputs!$F$201,AB23&lt;=Inputs!$F$202),1,0)</f>
        <v>0</v>
      </c>
      <c r="AC44" s="10" t="n">
        <f aca="false">Inputs!$F$49*IF(AND(AC22&gt;=Inputs!$F$201,AC23&lt;=Inputs!$F$202),1,0)</f>
        <v>0</v>
      </c>
      <c r="AD44" s="10" t="n">
        <f aca="false">Inputs!$F$49*IF(AND(AD22&gt;=Inputs!$F$201,AD23&lt;=Inputs!$F$202),1,0)</f>
        <v>0</v>
      </c>
      <c r="AE44" s="10" t="n">
        <f aca="false">Inputs!$F$49*IF(AND(AE22&gt;=Inputs!$F$201,AE23&lt;=Inputs!$F$202),1,0)</f>
        <v>0</v>
      </c>
      <c r="AF44" s="10" t="n">
        <f aca="false">Inputs!$F$49*IF(AND(AF22&gt;=Inputs!$F$201,AF23&lt;=Inputs!$F$202),1,0)</f>
        <v>0</v>
      </c>
      <c r="AG44" s="10" t="n">
        <f aca="false">Inputs!$F$49*IF(AND(AG22&gt;=Inputs!$F$201,AG23&lt;=Inputs!$F$202),1,0)</f>
        <v>0</v>
      </c>
      <c r="AH44" s="10" t="n">
        <f aca="false">Inputs!$F$49*IF(AND(AH22&gt;=Inputs!$F$201,AH23&lt;=Inputs!$F$202),1,0)</f>
        <v>0</v>
      </c>
      <c r="AI44" s="10" t="n">
        <f aca="false">Inputs!$F$49*IF(AND(AI22&gt;=Inputs!$F$201,AI23&lt;=Inputs!$F$202),1,0)</f>
        <v>0</v>
      </c>
      <c r="AJ44" s="10" t="n">
        <f aca="false">Inputs!$F$49*IF(AND(AJ22&gt;=Inputs!$F$201,AJ23&lt;=Inputs!$F$202),1,0)</f>
        <v>0</v>
      </c>
      <c r="AK44" s="10" t="n">
        <f aca="false">Inputs!$F$49*IF(AND(AK22&gt;=Inputs!$F$201,AK23&lt;=Inputs!$F$202),1,0)</f>
        <v>0</v>
      </c>
      <c r="AL44" s="10" t="n">
        <f aca="false">Inputs!$F$49*IF(AND(AL22&gt;=Inputs!$F$201,AL23&lt;=Inputs!$F$202),1,0)</f>
        <v>0</v>
      </c>
      <c r="AM44" s="10" t="n">
        <f aca="false">Inputs!$F$49*IF(AND(AM22&gt;=Inputs!$F$201,AM23&lt;=Inputs!$F$202),1,0)</f>
        <v>0</v>
      </c>
      <c r="AN44" s="10" t="n">
        <f aca="false">Inputs!$F$49*IF(AND(AN22&gt;=Inputs!$F$201,AN23&lt;=Inputs!$F$202),1,0)</f>
        <v>0</v>
      </c>
      <c r="AO44" s="10" t="n">
        <f aca="false">Inputs!$F$49*IF(AND(AO22&gt;=Inputs!$F$201,AO23&lt;=Inputs!$F$202),1,0)</f>
        <v>0</v>
      </c>
      <c r="AP44" s="10" t="n">
        <f aca="false">Inputs!$F$49*IF(AND(AP22&gt;=Inputs!$F$201,AP23&lt;=Inputs!$F$202),1,0)</f>
        <v>0</v>
      </c>
      <c r="AQ44" s="10" t="n">
        <f aca="false">Inputs!$F$49*IF(AND(AQ22&gt;=Inputs!$F$201,AQ23&lt;=Inputs!$F$202),1,0)</f>
        <v>0</v>
      </c>
      <c r="AR44" s="10" t="n">
        <f aca="false">Inputs!$F$49*IF(AND(AR22&gt;=Inputs!$F$201,AR23&lt;=Inputs!$F$202),1,0)</f>
        <v>0</v>
      </c>
      <c r="AS44" s="10" t="n">
        <f aca="false">Inputs!$F$49*IF(AND(AS22&gt;=Inputs!$F$201,AS23&lt;=Inputs!$F$202),1,0)</f>
        <v>0</v>
      </c>
      <c r="AT44" s="10" t="n">
        <f aca="false">Inputs!$F$49*IF(AND(AT22&gt;=Inputs!$F$201,AT23&lt;=Inputs!$F$202),1,0)</f>
        <v>0</v>
      </c>
      <c r="AU44" s="10" t="n">
        <f aca="false">Inputs!$F$49*IF(AND(AU22&gt;=Inputs!$F$201,AU23&lt;=Inputs!$F$202),1,0)</f>
        <v>0</v>
      </c>
      <c r="AV44" s="10" t="n">
        <f aca="false">Inputs!$F$49*IF(AND(AV22&gt;=Inputs!$F$201,AV23&lt;=Inputs!$F$202),1,0)</f>
        <v>0</v>
      </c>
      <c r="AW44" s="10" t="n">
        <f aca="false">Inputs!$F$49*IF(AND(AW22&gt;=Inputs!$F$201,AW23&lt;=Inputs!$F$202),1,0)</f>
        <v>0</v>
      </c>
      <c r="AX44" s="10" t="n">
        <f aca="false">Inputs!$F$49*IF(AND(AX22&gt;=Inputs!$F$201,AX23&lt;=Inputs!$F$202),1,0)</f>
        <v>0</v>
      </c>
      <c r="AY44" s="10" t="n">
        <f aca="false">Inputs!$F$49*IF(AND(AY22&gt;=Inputs!$F$201,AY23&lt;=Inputs!$F$202),1,0)</f>
        <v>0</v>
      </c>
      <c r="AZ44" s="10" t="n">
        <f aca="false">Inputs!$F$49*IF(AND(AZ22&gt;=Inputs!$F$201,AZ23&lt;=Inputs!$F$202),1,0)</f>
        <v>0</v>
      </c>
      <c r="BA44" s="10" t="n">
        <f aca="false">Inputs!$F$49*IF(AND(BA22&gt;=Inputs!$F$201,BA23&lt;=Inputs!$F$202),1,0)</f>
        <v>0</v>
      </c>
      <c r="BB44" s="10" t="n">
        <f aca="false">Inputs!$F$49*IF(AND(BB22&gt;=Inputs!$F$201,BB23&lt;=Inputs!$F$202),1,0)</f>
        <v>0</v>
      </c>
      <c r="BC44" s="10" t="n">
        <f aca="false">Inputs!$F$49*IF(AND(BC22&gt;=Inputs!$F$201,BC23&lt;=Inputs!$F$202),1,0)</f>
        <v>0</v>
      </c>
      <c r="BD44" s="10" t="n">
        <f aca="false">Inputs!$F$49*IF(AND(BD22&gt;=Inputs!$F$201,BD23&lt;=Inputs!$F$202),1,0)</f>
        <v>0</v>
      </c>
      <c r="BE44" s="10" t="n">
        <f aca="false">Inputs!$F$49*IF(AND(BE22&gt;=Inputs!$F$201,BE23&lt;=Inputs!$F$202),1,0)</f>
        <v>0</v>
      </c>
      <c r="BF44" s="10" t="n">
        <f aca="false">Inputs!$F$49*IF(AND(BF22&gt;=Inputs!$F$201,BF23&lt;=Inputs!$F$202),1,0)</f>
        <v>0</v>
      </c>
      <c r="BG44" s="10" t="n">
        <f aca="false">Inputs!$F$49*IF(AND(BG22&gt;=Inputs!$F$201,BG23&lt;=Inputs!$F$202),1,0)</f>
        <v>0</v>
      </c>
      <c r="BH44" s="10" t="n">
        <f aca="false">Inputs!$F$49*IF(AND(BH22&gt;=Inputs!$F$201,BH23&lt;=Inputs!$F$202),1,0)</f>
        <v>0</v>
      </c>
      <c r="BI44" s="10" t="n">
        <f aca="false">Inputs!$F$49*IF(AND(BI22&gt;=Inputs!$F$201,BI23&lt;=Inputs!$F$202),1,0)</f>
        <v>0</v>
      </c>
      <c r="BJ44" s="10" t="n">
        <f aca="false">Inputs!$F$49*IF(AND(BJ22&gt;=Inputs!$F$201,BJ23&lt;=Inputs!$F$202),1,0)</f>
        <v>0</v>
      </c>
      <c r="BK44" s="10" t="n">
        <f aca="false">Inputs!$F$49*IF(AND(BK22&gt;=Inputs!$F$201,BK23&lt;=Inputs!$F$202),1,0)</f>
        <v>0</v>
      </c>
      <c r="BL44" s="10" t="n">
        <f aca="false">Inputs!$F$49*IF(AND(BL22&gt;=Inputs!$F$201,BL23&lt;=Inputs!$F$202),1,0)</f>
        <v>0</v>
      </c>
      <c r="BM44" s="10" t="n">
        <f aca="false">Inputs!$F$49*IF(AND(BM22&gt;=Inputs!$F$201,BM23&lt;=Inputs!$F$202),1,0)</f>
        <v>0</v>
      </c>
      <c r="BN44" s="10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466</v>
      </c>
      <c r="E45" s="0" t="s">
        <v>113</v>
      </c>
      <c r="J45" s="10" t="n">
        <f aca="false">Inputs!$F$49*IF(AND(J23&gt;=Inputs!$F$203,J23&lt;=Inputs!$F$204),1,0)</f>
        <v>0</v>
      </c>
      <c r="K45" s="10" t="n">
        <f aca="false">Inputs!$F$49*IF(AND(K23&gt;=Inputs!$F$203,K23&lt;=Inputs!$F$204),1,0)</f>
        <v>0</v>
      </c>
      <c r="L45" s="10" t="n">
        <f aca="false">Inputs!$F$49*IF(AND(L23&gt;=Inputs!$F$203,L23&lt;=Inputs!$F$204),1,0)</f>
        <v>0</v>
      </c>
      <c r="M45" s="10" t="n">
        <f aca="false">Inputs!$F$49*IF(AND(M23&gt;=Inputs!$F$203,M23&lt;=Inputs!$F$204),1,0)</f>
        <v>0</v>
      </c>
      <c r="N45" s="10" t="n">
        <f aca="false">Inputs!$F$49*IF(AND(N23&gt;=Inputs!$F$203,N23&lt;=Inputs!$F$204),1,0)</f>
        <v>0</v>
      </c>
      <c r="O45" s="10" t="n">
        <f aca="false">Inputs!$F$49*IF(AND(O23&gt;=Inputs!$F$203,O23&lt;=Inputs!$F$204),1,0)</f>
        <v>0</v>
      </c>
      <c r="P45" s="10" t="n">
        <f aca="false">Inputs!$F$49*IF(AND(P23&gt;=Inputs!$F$203,P23&lt;=Inputs!$F$204),1,0)</f>
        <v>0</v>
      </c>
      <c r="Q45" s="10" t="n">
        <f aca="false">Inputs!$F$49*IF(AND(Q23&gt;=Inputs!$F$203,Q23&lt;=Inputs!$F$204),1,0)</f>
        <v>0</v>
      </c>
      <c r="R45" s="10" t="n">
        <f aca="false">Inputs!$F$49*IF(AND(R23&gt;=Inputs!$F$203,R23&lt;=Inputs!$F$204),1,0)</f>
        <v>0</v>
      </c>
      <c r="S45" s="10" t="n">
        <f aca="false">Inputs!$F$49*IF(AND(S23&gt;=Inputs!$F$203,S23&lt;=Inputs!$F$204),1,0)</f>
        <v>0</v>
      </c>
      <c r="T45" s="10" t="n">
        <f aca="false">Inputs!$F$49*IF(AND(T23&gt;=Inputs!$F$203,T23&lt;=Inputs!$F$204),1,0)</f>
        <v>0</v>
      </c>
      <c r="U45" s="10" t="n">
        <f aca="false">Inputs!$F$49*IF(AND(U23&gt;=Inputs!$F$203,U23&lt;=Inputs!$F$204),1,0)</f>
        <v>1</v>
      </c>
      <c r="V45" s="10" t="n">
        <f aca="false">Inputs!$F$49*IF(AND(V23&gt;=Inputs!$F$203,V23&lt;=Inputs!$F$204),1,0)</f>
        <v>1</v>
      </c>
      <c r="W45" s="10" t="n">
        <f aca="false">Inputs!$F$49*IF(AND(W23&gt;=Inputs!$F$203,W23&lt;=Inputs!$F$204),1,0)</f>
        <v>1</v>
      </c>
      <c r="X45" s="10" t="n">
        <f aca="false">Inputs!$F$49*IF(AND(X23&gt;=Inputs!$F$203,X23&lt;=Inputs!$F$204),1,0)</f>
        <v>1</v>
      </c>
      <c r="Y45" s="10" t="n">
        <f aca="false">Inputs!$F$49*IF(AND(Y23&gt;=Inputs!$F$203,Y23&lt;=Inputs!$F$204),1,0)</f>
        <v>0</v>
      </c>
      <c r="Z45" s="10" t="n">
        <f aca="false">Inputs!$F$49*IF(AND(Z23&gt;=Inputs!$F$203,Z23&lt;=Inputs!$F$204),1,0)</f>
        <v>0</v>
      </c>
      <c r="AA45" s="10" t="n">
        <f aca="false">Inputs!$F$49*IF(AND(AA23&gt;=Inputs!$F$203,AA23&lt;=Inputs!$F$204),1,0)</f>
        <v>0</v>
      </c>
      <c r="AB45" s="10" t="n">
        <f aca="false">Inputs!$F$49*IF(AND(AB23&gt;=Inputs!$F$203,AB23&lt;=Inputs!$F$204),1,0)</f>
        <v>0</v>
      </c>
      <c r="AC45" s="10" t="n">
        <f aca="false">Inputs!$F$49*IF(AND(AC23&gt;=Inputs!$F$203,AC23&lt;=Inputs!$F$204),1,0)</f>
        <v>0</v>
      </c>
      <c r="AD45" s="10" t="n">
        <f aca="false">Inputs!$F$49*IF(AND(AD23&gt;=Inputs!$F$203,AD23&lt;=Inputs!$F$204),1,0)</f>
        <v>0</v>
      </c>
      <c r="AE45" s="10" t="n">
        <f aca="false">Inputs!$F$49*IF(AND(AE23&gt;=Inputs!$F$203,AE23&lt;=Inputs!$F$204),1,0)</f>
        <v>0</v>
      </c>
      <c r="AF45" s="10" t="n">
        <f aca="false">Inputs!$F$49*IF(AND(AF23&gt;=Inputs!$F$203,AF23&lt;=Inputs!$F$204),1,0)</f>
        <v>0</v>
      </c>
      <c r="AG45" s="10" t="n">
        <f aca="false">Inputs!$F$49*IF(AND(AG23&gt;=Inputs!$F$203,AG23&lt;=Inputs!$F$204),1,0)</f>
        <v>0</v>
      </c>
      <c r="AH45" s="10" t="n">
        <f aca="false">Inputs!$F$49*IF(AND(AH23&gt;=Inputs!$F$203,AH23&lt;=Inputs!$F$204),1,0)</f>
        <v>0</v>
      </c>
      <c r="AI45" s="10" t="n">
        <f aca="false">Inputs!$F$49*IF(AND(AI23&gt;=Inputs!$F$203,AI23&lt;=Inputs!$F$204),1,0)</f>
        <v>0</v>
      </c>
      <c r="AJ45" s="10" t="n">
        <f aca="false">Inputs!$F$49*IF(AND(AJ23&gt;=Inputs!$F$203,AJ23&lt;=Inputs!$F$204),1,0)</f>
        <v>0</v>
      </c>
      <c r="AK45" s="10" t="n">
        <f aca="false">Inputs!$F$49*IF(AND(AK23&gt;=Inputs!$F$203,AK23&lt;=Inputs!$F$204),1,0)</f>
        <v>0</v>
      </c>
      <c r="AL45" s="10" t="n">
        <f aca="false">Inputs!$F$49*IF(AND(AL23&gt;=Inputs!$F$203,AL23&lt;=Inputs!$F$204),1,0)</f>
        <v>0</v>
      </c>
      <c r="AM45" s="10" t="n">
        <f aca="false">Inputs!$F$49*IF(AND(AM23&gt;=Inputs!$F$203,AM23&lt;=Inputs!$F$204),1,0)</f>
        <v>0</v>
      </c>
      <c r="AN45" s="10" t="n">
        <f aca="false">Inputs!$F$49*IF(AND(AN23&gt;=Inputs!$F$203,AN23&lt;=Inputs!$F$204),1,0)</f>
        <v>0</v>
      </c>
      <c r="AO45" s="10" t="n">
        <f aca="false">Inputs!$F$49*IF(AND(AO23&gt;=Inputs!$F$203,AO23&lt;=Inputs!$F$204),1,0)</f>
        <v>0</v>
      </c>
      <c r="AP45" s="10" t="n">
        <f aca="false">Inputs!$F$49*IF(AND(AP23&gt;=Inputs!$F$203,AP23&lt;=Inputs!$F$204),1,0)</f>
        <v>0</v>
      </c>
      <c r="AQ45" s="10" t="n">
        <f aca="false">Inputs!$F$49*IF(AND(AQ23&gt;=Inputs!$F$203,AQ23&lt;=Inputs!$F$204),1,0)</f>
        <v>0</v>
      </c>
      <c r="AR45" s="10" t="n">
        <f aca="false">Inputs!$F$49*IF(AND(AR23&gt;=Inputs!$F$203,AR23&lt;=Inputs!$F$204),1,0)</f>
        <v>0</v>
      </c>
      <c r="AS45" s="10" t="n">
        <f aca="false">Inputs!$F$49*IF(AND(AS23&gt;=Inputs!$F$203,AS23&lt;=Inputs!$F$204),1,0)</f>
        <v>0</v>
      </c>
      <c r="AT45" s="10" t="n">
        <f aca="false">Inputs!$F$49*IF(AND(AT23&gt;=Inputs!$F$203,AT23&lt;=Inputs!$F$204),1,0)</f>
        <v>0</v>
      </c>
      <c r="AU45" s="10" t="n">
        <f aca="false">Inputs!$F$49*IF(AND(AU23&gt;=Inputs!$F$203,AU23&lt;=Inputs!$F$204),1,0)</f>
        <v>0</v>
      </c>
      <c r="AV45" s="10" t="n">
        <f aca="false">Inputs!$F$49*IF(AND(AV23&gt;=Inputs!$F$203,AV23&lt;=Inputs!$F$204),1,0)</f>
        <v>0</v>
      </c>
      <c r="AW45" s="10" t="n">
        <f aca="false">Inputs!$F$49*IF(AND(AW23&gt;=Inputs!$F$203,AW23&lt;=Inputs!$F$204),1,0)</f>
        <v>0</v>
      </c>
      <c r="AX45" s="10" t="n">
        <f aca="false">Inputs!$F$49*IF(AND(AX23&gt;=Inputs!$F$203,AX23&lt;=Inputs!$F$204),1,0)</f>
        <v>0</v>
      </c>
      <c r="AY45" s="10" t="n">
        <f aca="false">Inputs!$F$49*IF(AND(AY23&gt;=Inputs!$F$203,AY23&lt;=Inputs!$F$204),1,0)</f>
        <v>0</v>
      </c>
      <c r="AZ45" s="10" t="n">
        <f aca="false">Inputs!$F$49*IF(AND(AZ23&gt;=Inputs!$F$203,AZ23&lt;=Inputs!$F$204),1,0)</f>
        <v>0</v>
      </c>
      <c r="BA45" s="10" t="n">
        <f aca="false">Inputs!$F$49*IF(AND(BA23&gt;=Inputs!$F$203,BA23&lt;=Inputs!$F$204),1,0)</f>
        <v>0</v>
      </c>
      <c r="BB45" s="10" t="n">
        <f aca="false">Inputs!$F$49*IF(AND(BB23&gt;=Inputs!$F$203,BB23&lt;=Inputs!$F$204),1,0)</f>
        <v>0</v>
      </c>
      <c r="BC45" s="10" t="n">
        <f aca="false">Inputs!$F$49*IF(AND(BC23&gt;=Inputs!$F$203,BC23&lt;=Inputs!$F$204),1,0)</f>
        <v>0</v>
      </c>
      <c r="BD45" s="10" t="n">
        <f aca="false">Inputs!$F$49*IF(AND(BD23&gt;=Inputs!$F$203,BD23&lt;=Inputs!$F$204),1,0)</f>
        <v>0</v>
      </c>
      <c r="BE45" s="10" t="n">
        <f aca="false">Inputs!$F$49*IF(AND(BE23&gt;=Inputs!$F$203,BE23&lt;=Inputs!$F$204),1,0)</f>
        <v>0</v>
      </c>
      <c r="BF45" s="10" t="n">
        <f aca="false">Inputs!$F$49*IF(AND(BF23&gt;=Inputs!$F$203,BF23&lt;=Inputs!$F$204),1,0)</f>
        <v>0</v>
      </c>
      <c r="BG45" s="10" t="n">
        <f aca="false">Inputs!$F$49*IF(AND(BG23&gt;=Inputs!$F$203,BG23&lt;=Inputs!$F$204),1,0)</f>
        <v>0</v>
      </c>
      <c r="BH45" s="10" t="n">
        <f aca="false">Inputs!$F$49*IF(AND(BH23&gt;=Inputs!$F$203,BH23&lt;=Inputs!$F$204),1,0)</f>
        <v>0</v>
      </c>
      <c r="BI45" s="10" t="n">
        <f aca="false">Inputs!$F$49*IF(AND(BI23&gt;=Inputs!$F$203,BI23&lt;=Inputs!$F$204),1,0)</f>
        <v>0</v>
      </c>
      <c r="BJ45" s="10" t="n">
        <f aca="false">Inputs!$F$49*IF(AND(BJ23&gt;=Inputs!$F$203,BJ23&lt;=Inputs!$F$204),1,0)</f>
        <v>0</v>
      </c>
      <c r="BK45" s="10" t="n">
        <f aca="false">Inputs!$F$49*IF(AND(BK23&gt;=Inputs!$F$203,BK23&lt;=Inputs!$F$204),1,0)</f>
        <v>0</v>
      </c>
      <c r="BL45" s="10" t="n">
        <f aca="false">Inputs!$F$49*IF(AND(BL23&gt;=Inputs!$F$203,BL23&lt;=Inputs!$F$204),1,0)</f>
        <v>0</v>
      </c>
      <c r="BM45" s="10" t="n">
        <f aca="false">Inputs!$F$49*IF(AND(BM23&gt;=Inputs!$F$203,BM23&lt;=Inputs!$F$204),1,0)</f>
        <v>0</v>
      </c>
      <c r="BN45" s="10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467</v>
      </c>
      <c r="E46" s="0" t="s">
        <v>367</v>
      </c>
      <c r="J46" s="10" t="n">
        <f aca="false">SUM(J45:BN45)</f>
        <v>4</v>
      </c>
      <c r="K46" s="10" t="n">
        <f aca="false">SUM(K45:BN45)</f>
        <v>4</v>
      </c>
      <c r="L46" s="10" t="n">
        <f aca="false">SUM(L45:BN45)</f>
        <v>4</v>
      </c>
      <c r="M46" s="10" t="n">
        <f aca="false">SUM(M45:BN45)</f>
        <v>4</v>
      </c>
      <c r="N46" s="10" t="n">
        <f aca="false">SUM(N45:BN45)</f>
        <v>4</v>
      </c>
      <c r="O46" s="10" t="n">
        <f aca="false">SUM(O45:BN45)</f>
        <v>4</v>
      </c>
      <c r="P46" s="10" t="n">
        <f aca="false">SUM(P45:BN45)</f>
        <v>4</v>
      </c>
      <c r="Q46" s="10" t="n">
        <f aca="false">SUM(Q45:BN45)</f>
        <v>4</v>
      </c>
      <c r="R46" s="10" t="n">
        <f aca="false">SUM(R45:BN45)</f>
        <v>4</v>
      </c>
      <c r="S46" s="10" t="n">
        <f aca="false">SUM(S45:BN45)</f>
        <v>4</v>
      </c>
      <c r="T46" s="10" t="n">
        <f aca="false">SUM(T45:BN45)</f>
        <v>4</v>
      </c>
      <c r="U46" s="10" t="n">
        <f aca="false">SUM(U45:BN45)</f>
        <v>4</v>
      </c>
      <c r="V46" s="10" t="n">
        <f aca="false">SUM(V45:BN45)</f>
        <v>3</v>
      </c>
      <c r="W46" s="10" t="n">
        <f aca="false">SUM(W45:BN45)</f>
        <v>2</v>
      </c>
      <c r="X46" s="10" t="n">
        <f aca="false">SUM(X45:BN45)</f>
        <v>1</v>
      </c>
      <c r="Y46" s="10" t="n">
        <f aca="false">SUM(Y45:BN45)</f>
        <v>0</v>
      </c>
      <c r="Z46" s="10" t="n">
        <f aca="false">SUM(Z45:BN45)</f>
        <v>0</v>
      </c>
      <c r="AA46" s="10" t="n">
        <f aca="false">SUM(AA45:BN45)</f>
        <v>0</v>
      </c>
      <c r="AB46" s="10" t="n">
        <f aca="false">SUM(AB45:BN45)</f>
        <v>0</v>
      </c>
      <c r="AC46" s="10" t="n">
        <f aca="false">SUM(AC45:BN45)</f>
        <v>0</v>
      </c>
      <c r="AD46" s="10" t="n">
        <f aca="false">SUM(AD45:BN45)</f>
        <v>0</v>
      </c>
      <c r="AE46" s="10" t="n">
        <f aca="false">SUM(AE45:BN45)</f>
        <v>0</v>
      </c>
      <c r="AF46" s="10" t="n">
        <f aca="false">SUM(AF45:BN45)</f>
        <v>0</v>
      </c>
      <c r="AG46" s="10" t="n">
        <f aca="false">SUM(AG45:BN45)</f>
        <v>0</v>
      </c>
      <c r="AH46" s="10" t="n">
        <f aca="false">SUM(AH45:BN45)</f>
        <v>0</v>
      </c>
      <c r="AI46" s="10" t="n">
        <f aca="false">SUM(AI45:BN45)</f>
        <v>0</v>
      </c>
      <c r="AJ46" s="10" t="n">
        <f aca="false">SUM(AJ45:BN45)</f>
        <v>0</v>
      </c>
      <c r="AK46" s="10" t="n">
        <f aca="false">SUM(AK45:BN45)</f>
        <v>0</v>
      </c>
      <c r="AL46" s="10" t="n">
        <f aca="false">SUM(AL45:BN45)</f>
        <v>0</v>
      </c>
      <c r="AM46" s="10" t="n">
        <f aca="false">SUM(AM45:BN45)</f>
        <v>0</v>
      </c>
      <c r="AN46" s="10" t="n">
        <f aca="false">SUM(AN45:BN45)</f>
        <v>0</v>
      </c>
      <c r="AO46" s="10" t="n">
        <f aca="false">SUM(AO45:BN45)</f>
        <v>0</v>
      </c>
      <c r="AP46" s="10" t="n">
        <f aca="false">SUM(AP45:BN45)</f>
        <v>0</v>
      </c>
      <c r="AQ46" s="10" t="n">
        <f aca="false">SUM(AQ45:BN45)</f>
        <v>0</v>
      </c>
      <c r="AR46" s="10" t="n">
        <f aca="false">SUM(AR45:BN45)</f>
        <v>0</v>
      </c>
      <c r="AS46" s="10" t="n">
        <f aca="false">SUM(AS45:BN45)</f>
        <v>0</v>
      </c>
      <c r="AT46" s="10" t="n">
        <f aca="false">SUM(AT45:BN45)</f>
        <v>0</v>
      </c>
      <c r="AU46" s="10" t="n">
        <f aca="false">SUM(AU45:BN45)</f>
        <v>0</v>
      </c>
      <c r="AV46" s="10" t="n">
        <f aca="false">SUM(AV45:BN45)</f>
        <v>0</v>
      </c>
      <c r="AW46" s="10" t="n">
        <f aca="false">SUM(AW45:BN45)</f>
        <v>0</v>
      </c>
      <c r="AX46" s="10" t="n">
        <f aca="false">SUM(AX45:BN45)</f>
        <v>0</v>
      </c>
      <c r="AY46" s="10" t="n">
        <f aca="false">SUM(AY45:BN45)</f>
        <v>0</v>
      </c>
      <c r="AZ46" s="10" t="n">
        <f aca="false">SUM(AZ45:BN45)</f>
        <v>0</v>
      </c>
      <c r="BA46" s="10" t="n">
        <f aca="false">SUM(BA45:BN45)</f>
        <v>0</v>
      </c>
      <c r="BB46" s="10" t="n">
        <f aca="false">SUM(BB45:BN45)</f>
        <v>0</v>
      </c>
      <c r="BC46" s="10" t="n">
        <f aca="false">SUM(BC45:BN45)</f>
        <v>0</v>
      </c>
      <c r="BD46" s="10" t="n">
        <f aca="false">SUM(BD45:BN45)</f>
        <v>0</v>
      </c>
      <c r="BE46" s="10" t="n">
        <f aca="false">SUM(BE45:BN45)</f>
        <v>0</v>
      </c>
      <c r="BF46" s="10" t="n">
        <f aca="false">SUM(BF45:BN45)</f>
        <v>0</v>
      </c>
      <c r="BG46" s="10" t="n">
        <f aca="false">SUM(BG45:BN45)</f>
        <v>0</v>
      </c>
      <c r="BH46" s="10" t="n">
        <f aca="false">SUM(BH45:BN45)</f>
        <v>0</v>
      </c>
      <c r="BI46" s="10" t="n">
        <f aca="false">SUM(BI45:BN45)</f>
        <v>0</v>
      </c>
      <c r="BJ46" s="10" t="n">
        <f aca="false">SUM(BJ45:BN45)</f>
        <v>0</v>
      </c>
      <c r="BK46" s="10" t="n">
        <f aca="false">SUM(BK45:BN45)</f>
        <v>0</v>
      </c>
      <c r="BL46" s="10" t="n">
        <f aca="false">SUM(BL45:BN45)</f>
        <v>0</v>
      </c>
      <c r="BM46" s="10" t="n">
        <f aca="false">SUM(BM45:BN45)</f>
        <v>0</v>
      </c>
      <c r="BN46" s="10" t="n">
        <f aca="false">SUM(BN45:BN45)</f>
        <v>0</v>
      </c>
    </row>
    <row r="47" customFormat="false" ht="15" hidden="false" customHeight="false" outlineLevel="0" collapsed="false">
      <c r="D47" s="0" t="s">
        <v>468</v>
      </c>
      <c r="E47" s="0" t="s">
        <v>113</v>
      </c>
      <c r="J47" s="10" t="n">
        <f aca="false">Inputs!$F$50*IF(J23=Inputs!$F$205,1,0)</f>
        <v>0</v>
      </c>
      <c r="K47" s="10" t="n">
        <f aca="false">Inputs!$F$50*IF(K23=Inputs!$F$205,1,0)</f>
        <v>0</v>
      </c>
      <c r="L47" s="10" t="n">
        <f aca="false">Inputs!$F$50*IF(L23=Inputs!$F$205,1,0)</f>
        <v>0</v>
      </c>
      <c r="M47" s="10" t="n">
        <f aca="false">Inputs!$F$50*IF(M23=Inputs!$F$205,1,0)</f>
        <v>0</v>
      </c>
      <c r="N47" s="10" t="n">
        <f aca="false">Inputs!$F$50*IF(N23=Inputs!$F$205,1,0)</f>
        <v>0</v>
      </c>
      <c r="O47" s="10" t="n">
        <f aca="false">Inputs!$F$50*IF(O23=Inputs!$F$205,1,0)</f>
        <v>0</v>
      </c>
      <c r="P47" s="10" t="n">
        <f aca="false">Inputs!$F$50*IF(P23=Inputs!$F$205,1,0)</f>
        <v>0</v>
      </c>
      <c r="Q47" s="10" t="n">
        <f aca="false">Inputs!$F$50*IF(Q23=Inputs!$F$205,1,0)</f>
        <v>0</v>
      </c>
      <c r="R47" s="10" t="n">
        <f aca="false">Inputs!$F$50*IF(R23=Inputs!$F$205,1,0)</f>
        <v>0</v>
      </c>
      <c r="S47" s="10" t="n">
        <f aca="false">Inputs!$F$50*IF(S23=Inputs!$F$205,1,0)</f>
        <v>0</v>
      </c>
      <c r="T47" s="10" t="n">
        <f aca="false">Inputs!$F$50*IF(T23=Inputs!$F$205,1,0)</f>
        <v>0</v>
      </c>
      <c r="U47" s="10" t="n">
        <f aca="false">Inputs!$F$50*IF(U23=Inputs!$F$205,1,0)</f>
        <v>0</v>
      </c>
      <c r="V47" s="10" t="n">
        <f aca="false">Inputs!$F$50*IF(V23=Inputs!$F$205,1,0)</f>
        <v>0</v>
      </c>
      <c r="W47" s="10" t="n">
        <f aca="false">Inputs!$F$50*IF(W23=Inputs!$F$205,1,0)</f>
        <v>1</v>
      </c>
      <c r="X47" s="10" t="n">
        <f aca="false">Inputs!$F$50*IF(X23=Inputs!$F$205,1,0)</f>
        <v>0</v>
      </c>
      <c r="Y47" s="10" t="n">
        <f aca="false">Inputs!$F$50*IF(Y23=Inputs!$F$205,1,0)</f>
        <v>0</v>
      </c>
      <c r="Z47" s="10" t="n">
        <f aca="false">Inputs!$F$50*IF(Z23=Inputs!$F$205,1,0)</f>
        <v>0</v>
      </c>
      <c r="AA47" s="10" t="n">
        <f aca="false">Inputs!$F$50*IF(AA23=Inputs!$F$205,1,0)</f>
        <v>0</v>
      </c>
      <c r="AB47" s="10" t="n">
        <f aca="false">Inputs!$F$50*IF(AB23=Inputs!$F$205,1,0)</f>
        <v>0</v>
      </c>
      <c r="AC47" s="10" t="n">
        <f aca="false">Inputs!$F$50*IF(AC23=Inputs!$F$205,1,0)</f>
        <v>0</v>
      </c>
      <c r="AD47" s="10" t="n">
        <f aca="false">Inputs!$F$50*IF(AD23=Inputs!$F$205,1,0)</f>
        <v>0</v>
      </c>
      <c r="AE47" s="10" t="n">
        <f aca="false">Inputs!$F$50*IF(AE23=Inputs!$F$205,1,0)</f>
        <v>0</v>
      </c>
      <c r="AF47" s="10" t="n">
        <f aca="false">Inputs!$F$50*IF(AF23=Inputs!$F$205,1,0)</f>
        <v>0</v>
      </c>
      <c r="AG47" s="10" t="n">
        <f aca="false">Inputs!$F$50*IF(AG23=Inputs!$F$205,1,0)</f>
        <v>0</v>
      </c>
      <c r="AH47" s="10" t="n">
        <f aca="false">Inputs!$F$50*IF(AH23=Inputs!$F$205,1,0)</f>
        <v>0</v>
      </c>
      <c r="AI47" s="10" t="n">
        <f aca="false">Inputs!$F$50*IF(AI23=Inputs!$F$205,1,0)</f>
        <v>0</v>
      </c>
      <c r="AJ47" s="10" t="n">
        <f aca="false">Inputs!$F$50*IF(AJ23=Inputs!$F$205,1,0)</f>
        <v>0</v>
      </c>
      <c r="AK47" s="10" t="n">
        <f aca="false">Inputs!$F$50*IF(AK23=Inputs!$F$205,1,0)</f>
        <v>0</v>
      </c>
      <c r="AL47" s="10" t="n">
        <f aca="false">Inputs!$F$50*IF(AL23=Inputs!$F$205,1,0)</f>
        <v>0</v>
      </c>
      <c r="AM47" s="10" t="n">
        <f aca="false">Inputs!$F$50*IF(AM23=Inputs!$F$205,1,0)</f>
        <v>0</v>
      </c>
      <c r="AN47" s="10" t="n">
        <f aca="false">Inputs!$F$50*IF(AN23=Inputs!$F$205,1,0)</f>
        <v>0</v>
      </c>
      <c r="AO47" s="10" t="n">
        <f aca="false">Inputs!$F$50*IF(AO23=Inputs!$F$205,1,0)</f>
        <v>0</v>
      </c>
      <c r="AP47" s="10" t="n">
        <f aca="false">Inputs!$F$50*IF(AP23=Inputs!$F$205,1,0)</f>
        <v>0</v>
      </c>
      <c r="AQ47" s="10" t="n">
        <f aca="false">Inputs!$F$50*IF(AQ23=Inputs!$F$205,1,0)</f>
        <v>0</v>
      </c>
      <c r="AR47" s="10" t="n">
        <f aca="false">Inputs!$F$50*IF(AR23=Inputs!$F$205,1,0)</f>
        <v>0</v>
      </c>
      <c r="AS47" s="10" t="n">
        <f aca="false">Inputs!$F$50*IF(AS23=Inputs!$F$205,1,0)</f>
        <v>0</v>
      </c>
      <c r="AT47" s="10" t="n">
        <f aca="false">Inputs!$F$50*IF(AT23=Inputs!$F$205,1,0)</f>
        <v>0</v>
      </c>
      <c r="AU47" s="10" t="n">
        <f aca="false">Inputs!$F$50*IF(AU23=Inputs!$F$205,1,0)</f>
        <v>0</v>
      </c>
      <c r="AV47" s="10" t="n">
        <f aca="false">Inputs!$F$50*IF(AV23=Inputs!$F$205,1,0)</f>
        <v>0</v>
      </c>
      <c r="AW47" s="10" t="n">
        <f aca="false">Inputs!$F$50*IF(AW23=Inputs!$F$205,1,0)</f>
        <v>0</v>
      </c>
      <c r="AX47" s="10" t="n">
        <f aca="false">Inputs!$F$50*IF(AX23=Inputs!$F$205,1,0)</f>
        <v>0</v>
      </c>
      <c r="AY47" s="10" t="n">
        <f aca="false">Inputs!$F$50*IF(AY23=Inputs!$F$205,1,0)</f>
        <v>0</v>
      </c>
      <c r="AZ47" s="10" t="n">
        <f aca="false">Inputs!$F$50*IF(AZ23=Inputs!$F$205,1,0)</f>
        <v>0</v>
      </c>
      <c r="BA47" s="10" t="n">
        <f aca="false">Inputs!$F$50*IF(BA23=Inputs!$F$205,1,0)</f>
        <v>0</v>
      </c>
      <c r="BB47" s="10" t="n">
        <f aca="false">Inputs!$F$50*IF(BB23=Inputs!$F$205,1,0)</f>
        <v>0</v>
      </c>
      <c r="BC47" s="10" t="n">
        <f aca="false">Inputs!$F$50*IF(BC23=Inputs!$F$205,1,0)</f>
        <v>0</v>
      </c>
      <c r="BD47" s="10" t="n">
        <f aca="false">Inputs!$F$50*IF(BD23=Inputs!$F$205,1,0)</f>
        <v>0</v>
      </c>
      <c r="BE47" s="10" t="n">
        <f aca="false">Inputs!$F$50*IF(BE23=Inputs!$F$205,1,0)</f>
        <v>0</v>
      </c>
      <c r="BF47" s="10" t="n">
        <f aca="false">Inputs!$F$50*IF(BF23=Inputs!$F$205,1,0)</f>
        <v>0</v>
      </c>
      <c r="BG47" s="10" t="n">
        <f aca="false">Inputs!$F$50*IF(BG23=Inputs!$F$205,1,0)</f>
        <v>0</v>
      </c>
      <c r="BH47" s="10" t="n">
        <f aca="false">Inputs!$F$50*IF(BH23=Inputs!$F$205,1,0)</f>
        <v>0</v>
      </c>
      <c r="BI47" s="10" t="n">
        <f aca="false">Inputs!$F$50*IF(BI23=Inputs!$F$205,1,0)</f>
        <v>0</v>
      </c>
      <c r="BJ47" s="10" t="n">
        <f aca="false">Inputs!$F$50*IF(BJ23=Inputs!$F$205,1,0)</f>
        <v>0</v>
      </c>
      <c r="BK47" s="10" t="n">
        <f aca="false">Inputs!$F$50*IF(BK23=Inputs!$F$205,1,0)</f>
        <v>0</v>
      </c>
      <c r="BL47" s="10" t="n">
        <f aca="false">Inputs!$F$50*IF(BL23=Inputs!$F$205,1,0)</f>
        <v>0</v>
      </c>
      <c r="BM47" s="10" t="n">
        <f aca="false">Inputs!$F$50*IF(BM23=Inputs!$F$205,1,0)</f>
        <v>0</v>
      </c>
      <c r="BN47" s="10" t="n">
        <f aca="false">Inputs!$F$50*IF(BN23=Inputs!$F$205,1,0)</f>
        <v>0</v>
      </c>
    </row>
    <row r="48" customFormat="false" ht="15" hidden="false" customHeight="false" outlineLevel="0" collapsed="false">
      <c r="D48" s="0" t="s">
        <v>469</v>
      </c>
      <c r="E48" s="0" t="s">
        <v>113</v>
      </c>
      <c r="J48" s="10" t="n">
        <f aca="false">Inputs!$F$50*IF(J23&gt;Inputs!$F$205,1,0)</f>
        <v>0</v>
      </c>
      <c r="K48" s="10" t="n">
        <f aca="false">Inputs!$F$50*IF(K23&gt;Inputs!$F$205,1,0)</f>
        <v>0</v>
      </c>
      <c r="L48" s="10" t="n">
        <f aca="false">Inputs!$F$50*IF(L23&gt;Inputs!$F$205,1,0)</f>
        <v>0</v>
      </c>
      <c r="M48" s="10" t="n">
        <f aca="false">Inputs!$F$50*IF(M23&gt;Inputs!$F$205,1,0)</f>
        <v>0</v>
      </c>
      <c r="N48" s="10" t="n">
        <f aca="false">Inputs!$F$50*IF(N23&gt;Inputs!$F$205,1,0)</f>
        <v>0</v>
      </c>
      <c r="O48" s="10" t="n">
        <f aca="false">Inputs!$F$50*IF(O23&gt;Inputs!$F$205,1,0)</f>
        <v>0</v>
      </c>
      <c r="P48" s="10" t="n">
        <f aca="false">Inputs!$F$50*IF(P23&gt;Inputs!$F$205,1,0)</f>
        <v>0</v>
      </c>
      <c r="Q48" s="10" t="n">
        <f aca="false">Inputs!$F$50*IF(Q23&gt;Inputs!$F$205,1,0)</f>
        <v>0</v>
      </c>
      <c r="R48" s="10" t="n">
        <f aca="false">Inputs!$F$50*IF(R23&gt;Inputs!$F$205,1,0)</f>
        <v>0</v>
      </c>
      <c r="S48" s="10" t="n">
        <f aca="false">Inputs!$F$50*IF(S23&gt;Inputs!$F$205,1,0)</f>
        <v>0</v>
      </c>
      <c r="T48" s="10" t="n">
        <f aca="false">Inputs!$F$50*IF(T23&gt;Inputs!$F$205,1,0)</f>
        <v>0</v>
      </c>
      <c r="U48" s="10" t="n">
        <f aca="false">Inputs!$F$50*IF(U23&gt;Inputs!$F$205,1,0)</f>
        <v>0</v>
      </c>
      <c r="V48" s="10" t="n">
        <f aca="false">Inputs!$F$50*IF(V23&gt;Inputs!$F$205,1,0)</f>
        <v>0</v>
      </c>
      <c r="W48" s="10" t="n">
        <f aca="false">Inputs!$F$50*IF(W23&gt;Inputs!$F$205,1,0)</f>
        <v>0</v>
      </c>
      <c r="X48" s="10" t="n">
        <f aca="false">Inputs!$F$50*IF(X23&gt;Inputs!$F$205,1,0)</f>
        <v>1</v>
      </c>
      <c r="Y48" s="10" t="n">
        <f aca="false">Inputs!$F$50*IF(Y23&gt;Inputs!$F$205,1,0)</f>
        <v>1</v>
      </c>
      <c r="Z48" s="10" t="n">
        <f aca="false">Inputs!$F$50*IF(Z23&gt;Inputs!$F$205,1,0)</f>
        <v>1</v>
      </c>
      <c r="AA48" s="10" t="n">
        <f aca="false">Inputs!$F$50*IF(AA23&gt;Inputs!$F$205,1,0)</f>
        <v>1</v>
      </c>
      <c r="AB48" s="10" t="n">
        <f aca="false">Inputs!$F$50*IF(AB23&gt;Inputs!$F$205,1,0)</f>
        <v>1</v>
      </c>
      <c r="AC48" s="10" t="n">
        <f aca="false">Inputs!$F$50*IF(AC23&gt;Inputs!$F$205,1,0)</f>
        <v>1</v>
      </c>
      <c r="AD48" s="10" t="n">
        <f aca="false">Inputs!$F$50*IF(AD23&gt;Inputs!$F$205,1,0)</f>
        <v>1</v>
      </c>
      <c r="AE48" s="10" t="n">
        <f aca="false">Inputs!$F$50*IF(AE23&gt;Inputs!$F$205,1,0)</f>
        <v>1</v>
      </c>
      <c r="AF48" s="10" t="n">
        <f aca="false">Inputs!$F$50*IF(AF23&gt;Inputs!$F$205,1,0)</f>
        <v>1</v>
      </c>
      <c r="AG48" s="10" t="n">
        <f aca="false">Inputs!$F$50*IF(AG23&gt;Inputs!$F$205,1,0)</f>
        <v>1</v>
      </c>
      <c r="AH48" s="10" t="n">
        <f aca="false">Inputs!$F$50*IF(AH23&gt;Inputs!$F$205,1,0)</f>
        <v>1</v>
      </c>
      <c r="AI48" s="10" t="n">
        <f aca="false">Inputs!$F$50*IF(AI23&gt;Inputs!$F$205,1,0)</f>
        <v>1</v>
      </c>
      <c r="AJ48" s="10" t="n">
        <f aca="false">Inputs!$F$50*IF(AJ23&gt;Inputs!$F$205,1,0)</f>
        <v>1</v>
      </c>
      <c r="AK48" s="10" t="n">
        <f aca="false">Inputs!$F$50*IF(AK23&gt;Inputs!$F$205,1,0)</f>
        <v>1</v>
      </c>
      <c r="AL48" s="10" t="n">
        <f aca="false">Inputs!$F$50*IF(AL23&gt;Inputs!$F$205,1,0)</f>
        <v>1</v>
      </c>
      <c r="AM48" s="10" t="n">
        <f aca="false">Inputs!$F$50*IF(AM23&gt;Inputs!$F$205,1,0)</f>
        <v>1</v>
      </c>
      <c r="AN48" s="10" t="n">
        <f aca="false">Inputs!$F$50*IF(AN23&gt;Inputs!$F$205,1,0)</f>
        <v>1</v>
      </c>
      <c r="AO48" s="10" t="n">
        <f aca="false">Inputs!$F$50*IF(AO23&gt;Inputs!$F$205,1,0)</f>
        <v>1</v>
      </c>
      <c r="AP48" s="10" t="n">
        <f aca="false">Inputs!$F$50*IF(AP23&gt;Inputs!$F$205,1,0)</f>
        <v>1</v>
      </c>
      <c r="AQ48" s="10" t="n">
        <f aca="false">Inputs!$F$50*IF(AQ23&gt;Inputs!$F$205,1,0)</f>
        <v>1</v>
      </c>
      <c r="AR48" s="10" t="n">
        <f aca="false">Inputs!$F$50*IF(AR23&gt;Inputs!$F$205,1,0)</f>
        <v>1</v>
      </c>
      <c r="AS48" s="10" t="n">
        <f aca="false">Inputs!$F$50*IF(AS23&gt;Inputs!$F$205,1,0)</f>
        <v>1</v>
      </c>
      <c r="AT48" s="10" t="n">
        <f aca="false">Inputs!$F$50*IF(AT23&gt;Inputs!$F$205,1,0)</f>
        <v>1</v>
      </c>
      <c r="AU48" s="10" t="n">
        <f aca="false">Inputs!$F$50*IF(AU23&gt;Inputs!$F$205,1,0)</f>
        <v>1</v>
      </c>
      <c r="AV48" s="10" t="n">
        <f aca="false">Inputs!$F$50*IF(AV23&gt;Inputs!$F$205,1,0)</f>
        <v>1</v>
      </c>
      <c r="AW48" s="10" t="n">
        <f aca="false">Inputs!$F$50*IF(AW23&gt;Inputs!$F$205,1,0)</f>
        <v>1</v>
      </c>
      <c r="AX48" s="10" t="n">
        <f aca="false">Inputs!$F$50*IF(AX23&gt;Inputs!$F$205,1,0)</f>
        <v>1</v>
      </c>
      <c r="AY48" s="10" t="n">
        <f aca="false">Inputs!$F$50*IF(AY23&gt;Inputs!$F$205,1,0)</f>
        <v>1</v>
      </c>
      <c r="AZ48" s="10" t="n">
        <f aca="false">Inputs!$F$50*IF(AZ23&gt;Inputs!$F$205,1,0)</f>
        <v>1</v>
      </c>
      <c r="BA48" s="10" t="n">
        <f aca="false">Inputs!$F$50*IF(BA23&gt;Inputs!$F$205,1,0)</f>
        <v>1</v>
      </c>
      <c r="BB48" s="10" t="n">
        <f aca="false">Inputs!$F$50*IF(BB23&gt;Inputs!$F$205,1,0)</f>
        <v>1</v>
      </c>
      <c r="BC48" s="10" t="n">
        <f aca="false">Inputs!$F$50*IF(BC23&gt;Inputs!$F$205,1,0)</f>
        <v>1</v>
      </c>
      <c r="BD48" s="10" t="n">
        <f aca="false">Inputs!$F$50*IF(BD23&gt;Inputs!$F$205,1,0)</f>
        <v>1</v>
      </c>
      <c r="BE48" s="10" t="n">
        <f aca="false">Inputs!$F$50*IF(BE23&gt;Inputs!$F$205,1,0)</f>
        <v>1</v>
      </c>
      <c r="BF48" s="10" t="n">
        <f aca="false">Inputs!$F$50*IF(BF23&gt;Inputs!$F$205,1,0)</f>
        <v>1</v>
      </c>
      <c r="BG48" s="10" t="n">
        <f aca="false">Inputs!$F$50*IF(BG23&gt;Inputs!$F$205,1,0)</f>
        <v>1</v>
      </c>
      <c r="BH48" s="10" t="n">
        <f aca="false">Inputs!$F$50*IF(BH23&gt;Inputs!$F$205,1,0)</f>
        <v>1</v>
      </c>
      <c r="BI48" s="10" t="n">
        <f aca="false">Inputs!$F$50*IF(BI23&gt;Inputs!$F$205,1,0)</f>
        <v>1</v>
      </c>
      <c r="BJ48" s="10" t="n">
        <f aca="false">Inputs!$F$50*IF(BJ23&gt;Inputs!$F$205,1,0)</f>
        <v>1</v>
      </c>
      <c r="BK48" s="10" t="n">
        <f aca="false">Inputs!$F$50*IF(BK23&gt;Inputs!$F$205,1,0)</f>
        <v>1</v>
      </c>
      <c r="BL48" s="10" t="n">
        <f aca="false">Inputs!$F$50*IF(BL23&gt;Inputs!$F$205,1,0)</f>
        <v>1</v>
      </c>
      <c r="BM48" s="10" t="n">
        <f aca="false">Inputs!$F$50*IF(BM23&gt;Inputs!$F$205,1,0)</f>
        <v>1</v>
      </c>
      <c r="BN48" s="10" t="n">
        <f aca="false">Inputs!$F$50*IF(BN23&gt;Inputs!$F$205,1,0)</f>
        <v>1</v>
      </c>
    </row>
    <row r="49" customFormat="false" ht="15" hidden="false" customHeight="false" outlineLevel="0" collapsed="false">
      <c r="D49" s="0" t="s">
        <v>470</v>
      </c>
      <c r="E49" s="0" t="s">
        <v>113</v>
      </c>
      <c r="J49" s="10" t="n">
        <f aca="false">Inputs!$F$49*IF(AND(J23&gt;=Inputs!$F$199,J23&lt;=Inputs!$F$200),1,0)</f>
        <v>0</v>
      </c>
      <c r="K49" s="10" t="n">
        <f aca="false">Inputs!$F$49*IF(AND(K23&gt;=Inputs!$F$199,K23&lt;=Inputs!$F$200),1,0)</f>
        <v>0</v>
      </c>
      <c r="L49" s="10" t="n">
        <f aca="false">Inputs!$F$49*IF(AND(L23&gt;=Inputs!$F$199,L23&lt;=Inputs!$F$200),1,0)</f>
        <v>0</v>
      </c>
      <c r="M49" s="10" t="n">
        <f aca="false">Inputs!$F$49*IF(AND(M23&gt;=Inputs!$F$199,M23&lt;=Inputs!$F$200),1,0)</f>
        <v>0</v>
      </c>
      <c r="N49" s="10" t="n">
        <f aca="false">Inputs!$F$49*IF(AND(N23&gt;=Inputs!$F$199,N23&lt;=Inputs!$F$200),1,0)</f>
        <v>0</v>
      </c>
      <c r="O49" s="10" t="n">
        <f aca="false">Inputs!$F$49*IF(AND(O23&gt;=Inputs!$F$199,O23&lt;=Inputs!$F$200),1,0)</f>
        <v>0</v>
      </c>
      <c r="P49" s="10" t="n">
        <f aca="false">Inputs!$F$49*IF(AND(P23&gt;=Inputs!$F$199,P23&lt;=Inputs!$F$200),1,0)</f>
        <v>0</v>
      </c>
      <c r="Q49" s="10" t="n">
        <f aca="false">Inputs!$F$49*IF(AND(Q23&gt;=Inputs!$F$199,Q23&lt;=Inputs!$F$200),1,0)</f>
        <v>0</v>
      </c>
      <c r="R49" s="10" t="n">
        <f aca="false">Inputs!$F$49*IF(AND(R23&gt;=Inputs!$F$199,R23&lt;=Inputs!$F$200),1,0)</f>
        <v>0</v>
      </c>
      <c r="S49" s="10" t="n">
        <f aca="false">Inputs!$F$49*IF(AND(S23&gt;=Inputs!$F$199,S23&lt;=Inputs!$F$200),1,0)</f>
        <v>1</v>
      </c>
      <c r="T49" s="10" t="n">
        <f aca="false">Inputs!$F$49*IF(AND(T23&gt;=Inputs!$F$199,T23&lt;=Inputs!$F$200),1,0)</f>
        <v>1</v>
      </c>
      <c r="U49" s="10" t="n">
        <f aca="false">Inputs!$F$49*IF(AND(U23&gt;=Inputs!$F$199,U23&lt;=Inputs!$F$200),1,0)</f>
        <v>0</v>
      </c>
      <c r="V49" s="10" t="n">
        <f aca="false">Inputs!$F$49*IF(AND(V23&gt;=Inputs!$F$199,V23&lt;=Inputs!$F$200),1,0)</f>
        <v>0</v>
      </c>
      <c r="W49" s="10" t="n">
        <f aca="false">Inputs!$F$49*IF(AND(W23&gt;=Inputs!$F$199,W23&lt;=Inputs!$F$200),1,0)</f>
        <v>0</v>
      </c>
      <c r="X49" s="10" t="n">
        <f aca="false">Inputs!$F$49*IF(AND(X23&gt;=Inputs!$F$199,X23&lt;=Inputs!$F$200),1,0)</f>
        <v>0</v>
      </c>
      <c r="Y49" s="10" t="n">
        <f aca="false">Inputs!$F$49*IF(AND(Y23&gt;=Inputs!$F$199,Y23&lt;=Inputs!$F$200),1,0)</f>
        <v>0</v>
      </c>
      <c r="Z49" s="10" t="n">
        <f aca="false">Inputs!$F$49*IF(AND(Z23&gt;=Inputs!$F$199,Z23&lt;=Inputs!$F$200),1,0)</f>
        <v>0</v>
      </c>
      <c r="AA49" s="10" t="n">
        <f aca="false">Inputs!$F$49*IF(AND(AA23&gt;=Inputs!$F$199,AA23&lt;=Inputs!$F$200),1,0)</f>
        <v>0</v>
      </c>
      <c r="AB49" s="10" t="n">
        <f aca="false">Inputs!$F$49*IF(AND(AB23&gt;=Inputs!$F$199,AB23&lt;=Inputs!$F$200),1,0)</f>
        <v>0</v>
      </c>
      <c r="AC49" s="10" t="n">
        <f aca="false">Inputs!$F$49*IF(AND(AC23&gt;=Inputs!$F$199,AC23&lt;=Inputs!$F$200),1,0)</f>
        <v>0</v>
      </c>
      <c r="AD49" s="10" t="n">
        <f aca="false">Inputs!$F$49*IF(AND(AD23&gt;=Inputs!$F$199,AD23&lt;=Inputs!$F$200),1,0)</f>
        <v>0</v>
      </c>
      <c r="AE49" s="10" t="n">
        <f aca="false">Inputs!$F$49*IF(AND(AE23&gt;=Inputs!$F$199,AE23&lt;=Inputs!$F$200),1,0)</f>
        <v>0</v>
      </c>
      <c r="AF49" s="10" t="n">
        <f aca="false">Inputs!$F$49*IF(AND(AF23&gt;=Inputs!$F$199,AF23&lt;=Inputs!$F$200),1,0)</f>
        <v>0</v>
      </c>
      <c r="AG49" s="10" t="n">
        <f aca="false">Inputs!$F$49*IF(AND(AG23&gt;=Inputs!$F$199,AG23&lt;=Inputs!$F$200),1,0)</f>
        <v>0</v>
      </c>
      <c r="AH49" s="10" t="n">
        <f aca="false">Inputs!$F$49*IF(AND(AH23&gt;=Inputs!$F$199,AH23&lt;=Inputs!$F$200),1,0)</f>
        <v>0</v>
      </c>
      <c r="AI49" s="10" t="n">
        <f aca="false">Inputs!$F$49*IF(AND(AI23&gt;=Inputs!$F$199,AI23&lt;=Inputs!$F$200),1,0)</f>
        <v>0</v>
      </c>
      <c r="AJ49" s="10" t="n">
        <f aca="false">Inputs!$F$49*IF(AND(AJ23&gt;=Inputs!$F$199,AJ23&lt;=Inputs!$F$200),1,0)</f>
        <v>0</v>
      </c>
      <c r="AK49" s="10" t="n">
        <f aca="false">Inputs!$F$49*IF(AND(AK23&gt;=Inputs!$F$199,AK23&lt;=Inputs!$F$200),1,0)</f>
        <v>0</v>
      </c>
      <c r="AL49" s="10" t="n">
        <f aca="false">Inputs!$F$49*IF(AND(AL23&gt;=Inputs!$F$199,AL23&lt;=Inputs!$F$200),1,0)</f>
        <v>0</v>
      </c>
      <c r="AM49" s="10" t="n">
        <f aca="false">Inputs!$F$49*IF(AND(AM23&gt;=Inputs!$F$199,AM23&lt;=Inputs!$F$200),1,0)</f>
        <v>0</v>
      </c>
      <c r="AN49" s="10" t="n">
        <f aca="false">Inputs!$F$49*IF(AND(AN23&gt;=Inputs!$F$199,AN23&lt;=Inputs!$F$200),1,0)</f>
        <v>0</v>
      </c>
      <c r="AO49" s="10" t="n">
        <f aca="false">Inputs!$F$49*IF(AND(AO23&gt;=Inputs!$F$199,AO23&lt;=Inputs!$F$200),1,0)</f>
        <v>0</v>
      </c>
      <c r="AP49" s="10" t="n">
        <f aca="false">Inputs!$F$49*IF(AND(AP23&gt;=Inputs!$F$199,AP23&lt;=Inputs!$F$200),1,0)</f>
        <v>0</v>
      </c>
      <c r="AQ49" s="10" t="n">
        <f aca="false">Inputs!$F$49*IF(AND(AQ23&gt;=Inputs!$F$199,AQ23&lt;=Inputs!$F$200),1,0)</f>
        <v>0</v>
      </c>
      <c r="AR49" s="10" t="n">
        <f aca="false">Inputs!$F$49*IF(AND(AR23&gt;=Inputs!$F$199,AR23&lt;=Inputs!$F$200),1,0)</f>
        <v>0</v>
      </c>
      <c r="AS49" s="10" t="n">
        <f aca="false">Inputs!$F$49*IF(AND(AS23&gt;=Inputs!$F$199,AS23&lt;=Inputs!$F$200),1,0)</f>
        <v>0</v>
      </c>
      <c r="AT49" s="10" t="n">
        <f aca="false">Inputs!$F$49*IF(AND(AT23&gt;=Inputs!$F$199,AT23&lt;=Inputs!$F$200),1,0)</f>
        <v>0</v>
      </c>
      <c r="AU49" s="10" t="n">
        <f aca="false">Inputs!$F$49*IF(AND(AU23&gt;=Inputs!$F$199,AU23&lt;=Inputs!$F$200),1,0)</f>
        <v>0</v>
      </c>
      <c r="AV49" s="10" t="n">
        <f aca="false">Inputs!$F$49*IF(AND(AV23&gt;=Inputs!$F$199,AV23&lt;=Inputs!$F$200),1,0)</f>
        <v>0</v>
      </c>
      <c r="AW49" s="10" t="n">
        <f aca="false">Inputs!$F$49*IF(AND(AW23&gt;=Inputs!$F$199,AW23&lt;=Inputs!$F$200),1,0)</f>
        <v>0</v>
      </c>
      <c r="AX49" s="10" t="n">
        <f aca="false">Inputs!$F$49*IF(AND(AX23&gt;=Inputs!$F$199,AX23&lt;=Inputs!$F$200),1,0)</f>
        <v>0</v>
      </c>
      <c r="AY49" s="10" t="n">
        <f aca="false">Inputs!$F$49*IF(AND(AY23&gt;=Inputs!$F$199,AY23&lt;=Inputs!$F$200),1,0)</f>
        <v>0</v>
      </c>
      <c r="AZ49" s="10" t="n">
        <f aca="false">Inputs!$F$49*IF(AND(AZ23&gt;=Inputs!$F$199,AZ23&lt;=Inputs!$F$200),1,0)</f>
        <v>0</v>
      </c>
      <c r="BA49" s="10" t="n">
        <f aca="false">Inputs!$F$49*IF(AND(BA23&gt;=Inputs!$F$199,BA23&lt;=Inputs!$F$200),1,0)</f>
        <v>0</v>
      </c>
      <c r="BB49" s="10" t="n">
        <f aca="false">Inputs!$F$49*IF(AND(BB23&gt;=Inputs!$F$199,BB23&lt;=Inputs!$F$200),1,0)</f>
        <v>0</v>
      </c>
      <c r="BC49" s="10" t="n">
        <f aca="false">Inputs!$F$49*IF(AND(BC23&gt;=Inputs!$F$199,BC23&lt;=Inputs!$F$200),1,0)</f>
        <v>0</v>
      </c>
      <c r="BD49" s="10" t="n">
        <f aca="false">Inputs!$F$49*IF(AND(BD23&gt;=Inputs!$F$199,BD23&lt;=Inputs!$F$200),1,0)</f>
        <v>0</v>
      </c>
      <c r="BE49" s="10" t="n">
        <f aca="false">Inputs!$F$49*IF(AND(BE23&gt;=Inputs!$F$199,BE23&lt;=Inputs!$F$200),1,0)</f>
        <v>0</v>
      </c>
      <c r="BF49" s="10" t="n">
        <f aca="false">Inputs!$F$49*IF(AND(BF23&gt;=Inputs!$F$199,BF23&lt;=Inputs!$F$200),1,0)</f>
        <v>0</v>
      </c>
      <c r="BG49" s="10" t="n">
        <f aca="false">Inputs!$F$49*IF(AND(BG23&gt;=Inputs!$F$199,BG23&lt;=Inputs!$F$200),1,0)</f>
        <v>0</v>
      </c>
      <c r="BH49" s="10" t="n">
        <f aca="false">Inputs!$F$49*IF(AND(BH23&gt;=Inputs!$F$199,BH23&lt;=Inputs!$F$200),1,0)</f>
        <v>0</v>
      </c>
      <c r="BI49" s="10" t="n">
        <f aca="false">Inputs!$F$49*IF(AND(BI23&gt;=Inputs!$F$199,BI23&lt;=Inputs!$F$200),1,0)</f>
        <v>0</v>
      </c>
      <c r="BJ49" s="10" t="n">
        <f aca="false">Inputs!$F$49*IF(AND(BJ23&gt;=Inputs!$F$199,BJ23&lt;=Inputs!$F$200),1,0)</f>
        <v>0</v>
      </c>
      <c r="BK49" s="10" t="n">
        <f aca="false">Inputs!$F$49*IF(AND(BK23&gt;=Inputs!$F$199,BK23&lt;=Inputs!$F$200),1,0)</f>
        <v>0</v>
      </c>
      <c r="BL49" s="10" t="n">
        <f aca="false">Inputs!$F$49*IF(AND(BL23&gt;=Inputs!$F$199,BL23&lt;=Inputs!$F$200),1,0)</f>
        <v>0</v>
      </c>
      <c r="BM49" s="10" t="n">
        <f aca="false">Inputs!$F$49*IF(AND(BM23&gt;=Inputs!$F$199,BM23&lt;=Inputs!$F$200),1,0)</f>
        <v>0</v>
      </c>
      <c r="BN49" s="10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471</v>
      </c>
      <c r="E50" s="0" t="s">
        <v>113</v>
      </c>
      <c r="J50" s="10" t="n">
        <f aca="false">Inputs!$F$49*IF(J23&gt;=Inputs!$F$199,1,0)</f>
        <v>0</v>
      </c>
      <c r="K50" s="10" t="n">
        <f aca="false">Inputs!$F$49*IF(K23&gt;=Inputs!$F$199,1,0)</f>
        <v>0</v>
      </c>
      <c r="L50" s="10" t="n">
        <f aca="false">Inputs!$F$49*IF(L23&gt;=Inputs!$F$199,1,0)</f>
        <v>0</v>
      </c>
      <c r="M50" s="10" t="n">
        <f aca="false">Inputs!$F$49*IF(M23&gt;=Inputs!$F$199,1,0)</f>
        <v>0</v>
      </c>
      <c r="N50" s="10" t="n">
        <f aca="false">Inputs!$F$49*IF(N23&gt;=Inputs!$F$199,1,0)</f>
        <v>0</v>
      </c>
      <c r="O50" s="10" t="n">
        <f aca="false">Inputs!$F$49*IF(O23&gt;=Inputs!$F$199,1,0)</f>
        <v>0</v>
      </c>
      <c r="P50" s="10" t="n">
        <f aca="false">Inputs!$F$49*IF(P23&gt;=Inputs!$F$199,1,0)</f>
        <v>0</v>
      </c>
      <c r="Q50" s="10" t="n">
        <f aca="false">Inputs!$F$49*IF(Q23&gt;=Inputs!$F$199,1,0)</f>
        <v>0</v>
      </c>
      <c r="R50" s="10" t="n">
        <f aca="false">Inputs!$F$49*IF(R23&gt;=Inputs!$F$199,1,0)</f>
        <v>0</v>
      </c>
      <c r="S50" s="10" t="n">
        <f aca="false">Inputs!$F$49*IF(S23&gt;=Inputs!$F$199,1,0)</f>
        <v>1</v>
      </c>
      <c r="T50" s="10" t="n">
        <f aca="false">Inputs!$F$49*IF(T23&gt;=Inputs!$F$199,1,0)</f>
        <v>1</v>
      </c>
      <c r="U50" s="10" t="n">
        <f aca="false">Inputs!$F$49*IF(U23&gt;=Inputs!$F$199,1,0)</f>
        <v>1</v>
      </c>
      <c r="V50" s="10" t="n">
        <f aca="false">Inputs!$F$49*IF(V23&gt;=Inputs!$F$199,1,0)</f>
        <v>1</v>
      </c>
      <c r="W50" s="10" t="n">
        <f aca="false">Inputs!$F$49*IF(W23&gt;=Inputs!$F$199,1,0)</f>
        <v>1</v>
      </c>
      <c r="X50" s="10" t="n">
        <f aca="false">Inputs!$F$49*IF(X23&gt;=Inputs!$F$199,1,0)</f>
        <v>1</v>
      </c>
      <c r="Y50" s="10" t="n">
        <f aca="false">Inputs!$F$49*IF(Y23&gt;=Inputs!$F$199,1,0)</f>
        <v>1</v>
      </c>
      <c r="Z50" s="10" t="n">
        <f aca="false">Inputs!$F$49*IF(Z23&gt;=Inputs!$F$199,1,0)</f>
        <v>1</v>
      </c>
      <c r="AA50" s="10" t="n">
        <f aca="false">Inputs!$F$49*IF(AA23&gt;=Inputs!$F$199,1,0)</f>
        <v>1</v>
      </c>
      <c r="AB50" s="10" t="n">
        <f aca="false">Inputs!$F$49*IF(AB23&gt;=Inputs!$F$199,1,0)</f>
        <v>1</v>
      </c>
      <c r="AC50" s="10" t="n">
        <f aca="false">Inputs!$F$49*IF(AC23&gt;=Inputs!$F$199,1,0)</f>
        <v>1</v>
      </c>
      <c r="AD50" s="10" t="n">
        <f aca="false">Inputs!$F$49*IF(AD23&gt;=Inputs!$F$199,1,0)</f>
        <v>1</v>
      </c>
      <c r="AE50" s="10" t="n">
        <f aca="false">Inputs!$F$49*IF(AE23&gt;=Inputs!$F$199,1,0)</f>
        <v>1</v>
      </c>
      <c r="AF50" s="10" t="n">
        <f aca="false">Inputs!$F$49*IF(AF23&gt;=Inputs!$F$199,1,0)</f>
        <v>1</v>
      </c>
      <c r="AG50" s="10" t="n">
        <f aca="false">Inputs!$F$49*IF(AG23&gt;=Inputs!$F$199,1,0)</f>
        <v>1</v>
      </c>
      <c r="AH50" s="10" t="n">
        <f aca="false">Inputs!$F$49*IF(AH23&gt;=Inputs!$F$199,1,0)</f>
        <v>1</v>
      </c>
      <c r="AI50" s="10" t="n">
        <f aca="false">Inputs!$F$49*IF(AI23&gt;=Inputs!$F$199,1,0)</f>
        <v>1</v>
      </c>
      <c r="AJ50" s="10" t="n">
        <f aca="false">Inputs!$F$49*IF(AJ23&gt;=Inputs!$F$199,1,0)</f>
        <v>1</v>
      </c>
      <c r="AK50" s="10" t="n">
        <f aca="false">Inputs!$F$49*IF(AK23&gt;=Inputs!$F$199,1,0)</f>
        <v>1</v>
      </c>
      <c r="AL50" s="10" t="n">
        <f aca="false">Inputs!$F$49*IF(AL23&gt;=Inputs!$F$199,1,0)</f>
        <v>1</v>
      </c>
      <c r="AM50" s="10" t="n">
        <f aca="false">Inputs!$F$49*IF(AM23&gt;=Inputs!$F$199,1,0)</f>
        <v>1</v>
      </c>
      <c r="AN50" s="10" t="n">
        <f aca="false">Inputs!$F$49*IF(AN23&gt;=Inputs!$F$199,1,0)</f>
        <v>1</v>
      </c>
      <c r="AO50" s="10" t="n">
        <f aca="false">Inputs!$F$49*IF(AO23&gt;=Inputs!$F$199,1,0)</f>
        <v>1</v>
      </c>
      <c r="AP50" s="10" t="n">
        <f aca="false">Inputs!$F$49*IF(AP23&gt;=Inputs!$F$199,1,0)</f>
        <v>1</v>
      </c>
      <c r="AQ50" s="10" t="n">
        <f aca="false">Inputs!$F$49*IF(AQ23&gt;=Inputs!$F$199,1,0)</f>
        <v>1</v>
      </c>
      <c r="AR50" s="10" t="n">
        <f aca="false">Inputs!$F$49*IF(AR23&gt;=Inputs!$F$199,1,0)</f>
        <v>1</v>
      </c>
      <c r="AS50" s="10" t="n">
        <f aca="false">Inputs!$F$49*IF(AS23&gt;=Inputs!$F$199,1,0)</f>
        <v>1</v>
      </c>
      <c r="AT50" s="10" t="n">
        <f aca="false">Inputs!$F$49*IF(AT23&gt;=Inputs!$F$199,1,0)</f>
        <v>1</v>
      </c>
      <c r="AU50" s="10" t="n">
        <f aca="false">Inputs!$F$49*IF(AU23&gt;=Inputs!$F$199,1,0)</f>
        <v>1</v>
      </c>
      <c r="AV50" s="10" t="n">
        <f aca="false">Inputs!$F$49*IF(AV23&gt;=Inputs!$F$199,1,0)</f>
        <v>1</v>
      </c>
      <c r="AW50" s="10" t="n">
        <f aca="false">Inputs!$F$49*IF(AW23&gt;=Inputs!$F$199,1,0)</f>
        <v>1</v>
      </c>
      <c r="AX50" s="10" t="n">
        <f aca="false">Inputs!$F$49*IF(AX23&gt;=Inputs!$F$199,1,0)</f>
        <v>1</v>
      </c>
      <c r="AY50" s="10" t="n">
        <f aca="false">Inputs!$F$49*IF(AY23&gt;=Inputs!$F$199,1,0)</f>
        <v>1</v>
      </c>
      <c r="AZ50" s="10" t="n">
        <f aca="false">Inputs!$F$49*IF(AZ23&gt;=Inputs!$F$199,1,0)</f>
        <v>1</v>
      </c>
      <c r="BA50" s="10" t="n">
        <f aca="false">Inputs!$F$49*IF(BA23&gt;=Inputs!$F$199,1,0)</f>
        <v>1</v>
      </c>
      <c r="BB50" s="10" t="n">
        <f aca="false">Inputs!$F$49*IF(BB23&gt;=Inputs!$F$199,1,0)</f>
        <v>1</v>
      </c>
      <c r="BC50" s="10" t="n">
        <f aca="false">Inputs!$F$49*IF(BC23&gt;=Inputs!$F$199,1,0)</f>
        <v>1</v>
      </c>
      <c r="BD50" s="10" t="n">
        <f aca="false">Inputs!$F$49*IF(BD23&gt;=Inputs!$F$199,1,0)</f>
        <v>1</v>
      </c>
      <c r="BE50" s="10" t="n">
        <f aca="false">Inputs!$F$49*IF(BE23&gt;=Inputs!$F$199,1,0)</f>
        <v>1</v>
      </c>
      <c r="BF50" s="10" t="n">
        <f aca="false">Inputs!$F$49*IF(BF23&gt;=Inputs!$F$199,1,0)</f>
        <v>1</v>
      </c>
      <c r="BG50" s="10" t="n">
        <f aca="false">Inputs!$F$49*IF(BG23&gt;=Inputs!$F$199,1,0)</f>
        <v>1</v>
      </c>
      <c r="BH50" s="10" t="n">
        <f aca="false">Inputs!$F$49*IF(BH23&gt;=Inputs!$F$199,1,0)</f>
        <v>1</v>
      </c>
      <c r="BI50" s="10" t="n">
        <f aca="false">Inputs!$F$49*IF(BI23&gt;=Inputs!$F$199,1,0)</f>
        <v>1</v>
      </c>
      <c r="BJ50" s="10" t="n">
        <f aca="false">Inputs!$F$49*IF(BJ23&gt;=Inputs!$F$199,1,0)</f>
        <v>1</v>
      </c>
      <c r="BK50" s="10" t="n">
        <f aca="false">Inputs!$F$49*IF(BK23&gt;=Inputs!$F$199,1,0)</f>
        <v>1</v>
      </c>
      <c r="BL50" s="10" t="n">
        <f aca="false">Inputs!$F$49*IF(BL23&gt;=Inputs!$F$199,1,0)</f>
        <v>1</v>
      </c>
      <c r="BM50" s="10" t="n">
        <f aca="false">Inputs!$F$49*IF(BM23&gt;=Inputs!$F$199,1,0)</f>
        <v>1</v>
      </c>
      <c r="BN50" s="10" t="n">
        <f aca="false">Inputs!$F$49*IF(BN23&gt;=Inputs!$F$199,1,0)</f>
        <v>1</v>
      </c>
    </row>
    <row r="51" customFormat="false" ht="15" hidden="false" customHeight="false" outlineLevel="0" collapsed="false">
      <c r="D51" s="0" t="s">
        <v>472</v>
      </c>
      <c r="E51" s="0" t="s">
        <v>113</v>
      </c>
      <c r="J51" s="10" t="n">
        <f aca="false">Inputs!$F$49*IF(J23&gt;Inputs!$F$200,1,0)</f>
        <v>0</v>
      </c>
      <c r="K51" s="10" t="n">
        <f aca="false">Inputs!$F$49*IF(K23&gt;Inputs!$F$200,1,0)</f>
        <v>0</v>
      </c>
      <c r="L51" s="10" t="n">
        <f aca="false">Inputs!$F$49*IF(L23&gt;Inputs!$F$200,1,0)</f>
        <v>0</v>
      </c>
      <c r="M51" s="10" t="n">
        <f aca="false">Inputs!$F$49*IF(M23&gt;Inputs!$F$200,1,0)</f>
        <v>0</v>
      </c>
      <c r="N51" s="10" t="n">
        <f aca="false">Inputs!$F$49*IF(N23&gt;Inputs!$F$200,1,0)</f>
        <v>0</v>
      </c>
      <c r="O51" s="10" t="n">
        <f aca="false">Inputs!$F$49*IF(O23&gt;Inputs!$F$200,1,0)</f>
        <v>0</v>
      </c>
      <c r="P51" s="10" t="n">
        <f aca="false">Inputs!$F$49*IF(P23&gt;Inputs!$F$200,1,0)</f>
        <v>0</v>
      </c>
      <c r="Q51" s="10" t="n">
        <f aca="false">Inputs!$F$49*IF(Q23&gt;Inputs!$F$200,1,0)</f>
        <v>0</v>
      </c>
      <c r="R51" s="10" t="n">
        <f aca="false">Inputs!$F$49*IF(R23&gt;Inputs!$F$200,1,0)</f>
        <v>0</v>
      </c>
      <c r="S51" s="10" t="n">
        <f aca="false">Inputs!$F$49*IF(S23&gt;Inputs!$F$200,1,0)</f>
        <v>0</v>
      </c>
      <c r="T51" s="10" t="n">
        <f aca="false">Inputs!$F$49*IF(T23&gt;Inputs!$F$200,1,0)</f>
        <v>0</v>
      </c>
      <c r="U51" s="10" t="n">
        <f aca="false">Inputs!$F$49*IF(U23&gt;Inputs!$F$200,1,0)</f>
        <v>1</v>
      </c>
      <c r="V51" s="10" t="n">
        <f aca="false">Inputs!$F$49*IF(V23&gt;Inputs!$F$200,1,0)</f>
        <v>1</v>
      </c>
      <c r="W51" s="10" t="n">
        <f aca="false">Inputs!$F$49*IF(W23&gt;Inputs!$F$200,1,0)</f>
        <v>1</v>
      </c>
      <c r="X51" s="10" t="n">
        <f aca="false">Inputs!$F$49*IF(X23&gt;Inputs!$F$200,1,0)</f>
        <v>1</v>
      </c>
      <c r="Y51" s="10" t="n">
        <f aca="false">Inputs!$F$49*IF(Y23&gt;Inputs!$F$200,1,0)</f>
        <v>1</v>
      </c>
      <c r="Z51" s="10" t="n">
        <f aca="false">Inputs!$F$49*IF(Z23&gt;Inputs!$F$200,1,0)</f>
        <v>1</v>
      </c>
      <c r="AA51" s="10" t="n">
        <f aca="false">Inputs!$F$49*IF(AA23&gt;Inputs!$F$200,1,0)</f>
        <v>1</v>
      </c>
      <c r="AB51" s="10" t="n">
        <f aca="false">Inputs!$F$49*IF(AB23&gt;Inputs!$F$200,1,0)</f>
        <v>1</v>
      </c>
      <c r="AC51" s="10" t="n">
        <f aca="false">Inputs!$F$49*IF(AC23&gt;Inputs!$F$200,1,0)</f>
        <v>1</v>
      </c>
      <c r="AD51" s="10" t="n">
        <f aca="false">Inputs!$F$49*IF(AD23&gt;Inputs!$F$200,1,0)</f>
        <v>1</v>
      </c>
      <c r="AE51" s="10" t="n">
        <f aca="false">Inputs!$F$49*IF(AE23&gt;Inputs!$F$200,1,0)</f>
        <v>1</v>
      </c>
      <c r="AF51" s="10" t="n">
        <f aca="false">Inputs!$F$49*IF(AF23&gt;Inputs!$F$200,1,0)</f>
        <v>1</v>
      </c>
      <c r="AG51" s="10" t="n">
        <f aca="false">Inputs!$F$49*IF(AG23&gt;Inputs!$F$200,1,0)</f>
        <v>1</v>
      </c>
      <c r="AH51" s="10" t="n">
        <f aca="false">Inputs!$F$49*IF(AH23&gt;Inputs!$F$200,1,0)</f>
        <v>1</v>
      </c>
      <c r="AI51" s="10" t="n">
        <f aca="false">Inputs!$F$49*IF(AI23&gt;Inputs!$F$200,1,0)</f>
        <v>1</v>
      </c>
      <c r="AJ51" s="10" t="n">
        <f aca="false">Inputs!$F$49*IF(AJ23&gt;Inputs!$F$200,1,0)</f>
        <v>1</v>
      </c>
      <c r="AK51" s="10" t="n">
        <f aca="false">Inputs!$F$49*IF(AK23&gt;Inputs!$F$200,1,0)</f>
        <v>1</v>
      </c>
      <c r="AL51" s="10" t="n">
        <f aca="false">Inputs!$F$49*IF(AL23&gt;Inputs!$F$200,1,0)</f>
        <v>1</v>
      </c>
      <c r="AM51" s="10" t="n">
        <f aca="false">Inputs!$F$49*IF(AM23&gt;Inputs!$F$200,1,0)</f>
        <v>1</v>
      </c>
      <c r="AN51" s="10" t="n">
        <f aca="false">Inputs!$F$49*IF(AN23&gt;Inputs!$F$200,1,0)</f>
        <v>1</v>
      </c>
      <c r="AO51" s="10" t="n">
        <f aca="false">Inputs!$F$49*IF(AO23&gt;Inputs!$F$200,1,0)</f>
        <v>1</v>
      </c>
      <c r="AP51" s="10" t="n">
        <f aca="false">Inputs!$F$49*IF(AP23&gt;Inputs!$F$200,1,0)</f>
        <v>1</v>
      </c>
      <c r="AQ51" s="10" t="n">
        <f aca="false">Inputs!$F$49*IF(AQ23&gt;Inputs!$F$200,1,0)</f>
        <v>1</v>
      </c>
      <c r="AR51" s="10" t="n">
        <f aca="false">Inputs!$F$49*IF(AR23&gt;Inputs!$F$200,1,0)</f>
        <v>1</v>
      </c>
      <c r="AS51" s="10" t="n">
        <f aca="false">Inputs!$F$49*IF(AS23&gt;Inputs!$F$200,1,0)</f>
        <v>1</v>
      </c>
      <c r="AT51" s="10" t="n">
        <f aca="false">Inputs!$F$49*IF(AT23&gt;Inputs!$F$200,1,0)</f>
        <v>1</v>
      </c>
      <c r="AU51" s="10" t="n">
        <f aca="false">Inputs!$F$49*IF(AU23&gt;Inputs!$F$200,1,0)</f>
        <v>1</v>
      </c>
      <c r="AV51" s="10" t="n">
        <f aca="false">Inputs!$F$49*IF(AV23&gt;Inputs!$F$200,1,0)</f>
        <v>1</v>
      </c>
      <c r="AW51" s="10" t="n">
        <f aca="false">Inputs!$F$49*IF(AW23&gt;Inputs!$F$200,1,0)</f>
        <v>1</v>
      </c>
      <c r="AX51" s="10" t="n">
        <f aca="false">Inputs!$F$49*IF(AX23&gt;Inputs!$F$200,1,0)</f>
        <v>1</v>
      </c>
      <c r="AY51" s="10" t="n">
        <f aca="false">Inputs!$F$49*IF(AY23&gt;Inputs!$F$200,1,0)</f>
        <v>1</v>
      </c>
      <c r="AZ51" s="10" t="n">
        <f aca="false">Inputs!$F$49*IF(AZ23&gt;Inputs!$F$200,1,0)</f>
        <v>1</v>
      </c>
      <c r="BA51" s="10" t="n">
        <f aca="false">Inputs!$F$49*IF(BA23&gt;Inputs!$F$200,1,0)</f>
        <v>1</v>
      </c>
      <c r="BB51" s="10" t="n">
        <f aca="false">Inputs!$F$49*IF(BB23&gt;Inputs!$F$200,1,0)</f>
        <v>1</v>
      </c>
      <c r="BC51" s="10" t="n">
        <f aca="false">Inputs!$F$49*IF(BC23&gt;Inputs!$F$200,1,0)</f>
        <v>1</v>
      </c>
      <c r="BD51" s="10" t="n">
        <f aca="false">Inputs!$F$49*IF(BD23&gt;Inputs!$F$200,1,0)</f>
        <v>1</v>
      </c>
      <c r="BE51" s="10" t="n">
        <f aca="false">Inputs!$F$49*IF(BE23&gt;Inputs!$F$200,1,0)</f>
        <v>1</v>
      </c>
      <c r="BF51" s="10" t="n">
        <f aca="false">Inputs!$F$49*IF(BF23&gt;Inputs!$F$200,1,0)</f>
        <v>1</v>
      </c>
      <c r="BG51" s="10" t="n">
        <f aca="false">Inputs!$F$49*IF(BG23&gt;Inputs!$F$200,1,0)</f>
        <v>1</v>
      </c>
      <c r="BH51" s="10" t="n">
        <f aca="false">Inputs!$F$49*IF(BH23&gt;Inputs!$F$200,1,0)</f>
        <v>1</v>
      </c>
      <c r="BI51" s="10" t="n">
        <f aca="false">Inputs!$F$49*IF(BI23&gt;Inputs!$F$200,1,0)</f>
        <v>1</v>
      </c>
      <c r="BJ51" s="10" t="n">
        <f aca="false">Inputs!$F$49*IF(BJ23&gt;Inputs!$F$200,1,0)</f>
        <v>1</v>
      </c>
      <c r="BK51" s="10" t="n">
        <f aca="false">Inputs!$F$49*IF(BK23&gt;Inputs!$F$200,1,0)</f>
        <v>1</v>
      </c>
      <c r="BL51" s="10" t="n">
        <f aca="false">Inputs!$F$49*IF(BL23&gt;Inputs!$F$200,1,0)</f>
        <v>1</v>
      </c>
      <c r="BM51" s="10" t="n">
        <f aca="false">Inputs!$F$49*IF(BM23&gt;Inputs!$F$200,1,0)</f>
        <v>1</v>
      </c>
      <c r="BN51" s="10" t="n">
        <f aca="false">Inputs!$F$49*IF(BN23&gt;Inputs!$F$200,1,0)</f>
        <v>1</v>
      </c>
    </row>
    <row r="52" customFormat="false" ht="15" hidden="false" customHeight="false" outlineLevel="0" collapsed="false">
      <c r="D52" s="0" t="s">
        <v>473</v>
      </c>
      <c r="E52" s="0" t="s">
        <v>113</v>
      </c>
      <c r="J52" s="10" t="n">
        <f aca="false">IF(J22&gt;=Inputs!$F$206,1,0)</f>
        <v>0</v>
      </c>
      <c r="K52" s="10" t="n">
        <f aca="false">IF(K22&gt;=Inputs!$F$206,1,0)</f>
        <v>0</v>
      </c>
      <c r="L52" s="10" t="n">
        <f aca="false">IF(L22&gt;=Inputs!$F$206,1,0)</f>
        <v>0</v>
      </c>
      <c r="M52" s="10" t="n">
        <f aca="false">IF(M22&gt;=Inputs!$F$206,1,0)</f>
        <v>0</v>
      </c>
      <c r="N52" s="10" t="n">
        <f aca="false">IF(N22&gt;=Inputs!$F$206,1,0)</f>
        <v>0</v>
      </c>
      <c r="O52" s="10" t="n">
        <f aca="false">IF(O22&gt;=Inputs!$F$206,1,0)</f>
        <v>0</v>
      </c>
      <c r="P52" s="10" t="n">
        <f aca="false">IF(P22&gt;=Inputs!$F$206,1,0)</f>
        <v>0</v>
      </c>
      <c r="Q52" s="10" t="n">
        <f aca="false">IF(Q22&gt;=Inputs!$F$206,1,0)</f>
        <v>0</v>
      </c>
      <c r="R52" s="10" t="n">
        <f aca="false">IF(R22&gt;=Inputs!$F$206,1,0)</f>
        <v>0</v>
      </c>
      <c r="S52" s="10" t="n">
        <f aca="false">IF(S22&gt;=Inputs!$F$206,1,0)</f>
        <v>0</v>
      </c>
      <c r="T52" s="10" t="n">
        <f aca="false">IF(T22&gt;=Inputs!$F$206,1,0)</f>
        <v>0</v>
      </c>
      <c r="U52" s="10" t="n">
        <f aca="false">IF(U22&gt;=Inputs!$F$206,1,0)</f>
        <v>0</v>
      </c>
      <c r="V52" s="10" t="n">
        <f aca="false">IF(V22&gt;=Inputs!$F$206,1,0)</f>
        <v>0</v>
      </c>
      <c r="W52" s="10" t="n">
        <f aca="false">IF(W22&gt;=Inputs!$F$206,1,0)</f>
        <v>0</v>
      </c>
      <c r="X52" s="10" t="n">
        <f aca="false">IF(X22&gt;=Inputs!$F$206,1,0)</f>
        <v>0</v>
      </c>
      <c r="Y52" s="10" t="n">
        <f aca="false">IF(Y22&gt;=Inputs!$F$206,1,0)</f>
        <v>0</v>
      </c>
      <c r="Z52" s="10" t="n">
        <f aca="false">IF(Z22&gt;=Inputs!$F$206,1,0)</f>
        <v>0</v>
      </c>
      <c r="AA52" s="10" t="n">
        <f aca="false">IF(AA22&gt;=Inputs!$F$206,1,0)</f>
        <v>1</v>
      </c>
      <c r="AB52" s="10" t="n">
        <f aca="false">IF(AB22&gt;=Inputs!$F$206,1,0)</f>
        <v>1</v>
      </c>
      <c r="AC52" s="10" t="n">
        <f aca="false">IF(AC22&gt;=Inputs!$F$206,1,0)</f>
        <v>1</v>
      </c>
      <c r="AD52" s="10" t="n">
        <f aca="false">IF(AD22&gt;=Inputs!$F$206,1,0)</f>
        <v>1</v>
      </c>
      <c r="AE52" s="10" t="n">
        <f aca="false">IF(AE22&gt;=Inputs!$F$206,1,0)</f>
        <v>1</v>
      </c>
      <c r="AF52" s="10" t="n">
        <f aca="false">IF(AF22&gt;=Inputs!$F$206,1,0)</f>
        <v>1</v>
      </c>
      <c r="AG52" s="10" t="n">
        <f aca="false">IF(AG22&gt;=Inputs!$F$206,1,0)</f>
        <v>1</v>
      </c>
      <c r="AH52" s="10" t="n">
        <f aca="false">IF(AH22&gt;=Inputs!$F$206,1,0)</f>
        <v>1</v>
      </c>
      <c r="AI52" s="10" t="n">
        <f aca="false">IF(AI22&gt;=Inputs!$F$206,1,0)</f>
        <v>1</v>
      </c>
      <c r="AJ52" s="10" t="n">
        <f aca="false">IF(AJ22&gt;=Inputs!$F$206,1,0)</f>
        <v>1</v>
      </c>
      <c r="AK52" s="10" t="n">
        <f aca="false">IF(AK22&gt;=Inputs!$F$206,1,0)</f>
        <v>1</v>
      </c>
      <c r="AL52" s="10" t="n">
        <f aca="false">IF(AL22&gt;=Inputs!$F$206,1,0)</f>
        <v>1</v>
      </c>
      <c r="AM52" s="10" t="n">
        <f aca="false">IF(AM22&gt;=Inputs!$F$206,1,0)</f>
        <v>1</v>
      </c>
      <c r="AN52" s="10" t="n">
        <f aca="false">IF(AN22&gt;=Inputs!$F$206,1,0)</f>
        <v>1</v>
      </c>
      <c r="AO52" s="10" t="n">
        <f aca="false">IF(AO22&gt;=Inputs!$F$206,1,0)</f>
        <v>1</v>
      </c>
      <c r="AP52" s="10" t="n">
        <f aca="false">IF(AP22&gt;=Inputs!$F$206,1,0)</f>
        <v>1</v>
      </c>
      <c r="AQ52" s="10" t="n">
        <f aca="false">IF(AQ22&gt;=Inputs!$F$206,1,0)</f>
        <v>1</v>
      </c>
      <c r="AR52" s="10" t="n">
        <f aca="false">IF(AR22&gt;=Inputs!$F$206,1,0)</f>
        <v>1</v>
      </c>
      <c r="AS52" s="10" t="n">
        <f aca="false">IF(AS22&gt;=Inputs!$F$206,1,0)</f>
        <v>1</v>
      </c>
      <c r="AT52" s="10" t="n">
        <f aca="false">IF(AT22&gt;=Inputs!$F$206,1,0)</f>
        <v>1</v>
      </c>
      <c r="AU52" s="10" t="n">
        <f aca="false">IF(AU22&gt;=Inputs!$F$206,1,0)</f>
        <v>1</v>
      </c>
      <c r="AV52" s="10" t="n">
        <f aca="false">IF(AV22&gt;=Inputs!$F$206,1,0)</f>
        <v>1</v>
      </c>
      <c r="AW52" s="10" t="n">
        <f aca="false">IF(AW22&gt;=Inputs!$F$206,1,0)</f>
        <v>1</v>
      </c>
      <c r="AX52" s="10" t="n">
        <f aca="false">IF(AX22&gt;=Inputs!$F$206,1,0)</f>
        <v>1</v>
      </c>
      <c r="AY52" s="10" t="n">
        <f aca="false">IF(AY22&gt;=Inputs!$F$206,1,0)</f>
        <v>1</v>
      </c>
      <c r="AZ52" s="10" t="n">
        <f aca="false">IF(AZ22&gt;=Inputs!$F$206,1,0)</f>
        <v>1</v>
      </c>
      <c r="BA52" s="10" t="n">
        <f aca="false">IF(BA22&gt;=Inputs!$F$206,1,0)</f>
        <v>1</v>
      </c>
      <c r="BB52" s="10" t="n">
        <f aca="false">IF(BB22&gt;=Inputs!$F$206,1,0)</f>
        <v>1</v>
      </c>
      <c r="BC52" s="10" t="n">
        <f aca="false">IF(BC22&gt;=Inputs!$F$206,1,0)</f>
        <v>1</v>
      </c>
      <c r="BD52" s="10" t="n">
        <f aca="false">IF(BD22&gt;=Inputs!$F$206,1,0)</f>
        <v>1</v>
      </c>
      <c r="BE52" s="10" t="n">
        <f aca="false">IF(BE22&gt;=Inputs!$F$206,1,0)</f>
        <v>1</v>
      </c>
      <c r="BF52" s="10" t="n">
        <f aca="false">IF(BF22&gt;=Inputs!$F$206,1,0)</f>
        <v>1</v>
      </c>
      <c r="BG52" s="10" t="n">
        <f aca="false">IF(BG22&gt;=Inputs!$F$206,1,0)</f>
        <v>1</v>
      </c>
      <c r="BH52" s="10" t="n">
        <f aca="false">IF(BH22&gt;=Inputs!$F$206,1,0)</f>
        <v>1</v>
      </c>
      <c r="BI52" s="10" t="n">
        <f aca="false">IF(BI22&gt;=Inputs!$F$206,1,0)</f>
        <v>1</v>
      </c>
      <c r="BJ52" s="10" t="n">
        <f aca="false">IF(BJ22&gt;=Inputs!$F$206,1,0)</f>
        <v>1</v>
      </c>
      <c r="BK52" s="10" t="n">
        <f aca="false">IF(BK22&gt;=Inputs!$F$206,1,0)</f>
        <v>1</v>
      </c>
      <c r="BL52" s="10" t="n">
        <f aca="false">IF(BL22&gt;=Inputs!$F$206,1,0)</f>
        <v>1</v>
      </c>
      <c r="BM52" s="10" t="n">
        <f aca="false">IF(BM22&gt;=Inputs!$F$206,1,0)</f>
        <v>1</v>
      </c>
      <c r="BN52" s="10" t="n">
        <f aca="false">IF(BN22&gt;=Inputs!$F$206,1,0)</f>
        <v>1</v>
      </c>
    </row>
    <row r="53" customFormat="false" ht="15" hidden="false" customHeight="false" outlineLevel="0" collapsed="false">
      <c r="D53" s="0" t="s">
        <v>474</v>
      </c>
      <c r="E53" s="0" t="s">
        <v>113</v>
      </c>
      <c r="J53" s="10" t="n">
        <f aca="false">IF(AND(J20&gt;=$F$13,J23&lt;=Inputs!$F$192),1,0)</f>
        <v>0</v>
      </c>
      <c r="K53" s="10" t="n">
        <f aca="false">IF(AND(K20&gt;=$F$13,K23&lt;=Inputs!$F$192),1,0)</f>
        <v>0</v>
      </c>
      <c r="L53" s="10" t="n">
        <f aca="false">IF(AND(L20&gt;=$F$13,L23&lt;=Inputs!$F$192),1,0)</f>
        <v>0</v>
      </c>
      <c r="M53" s="10" t="n">
        <f aca="false">IF(AND(M20&gt;=$F$13,M23&lt;=Inputs!$F$192),1,0)</f>
        <v>0</v>
      </c>
      <c r="N53" s="10" t="n">
        <f aca="false">IF(AND(N20&gt;=$F$13,N23&lt;=Inputs!$F$192),1,0)</f>
        <v>0</v>
      </c>
      <c r="O53" s="10" t="n">
        <f aca="false">IF(AND(O20&gt;=$F$13,O23&lt;=Inputs!$F$192),1,0)</f>
        <v>0</v>
      </c>
      <c r="P53" s="10" t="n">
        <f aca="false">IF(AND(P20&gt;=$F$13,P23&lt;=Inputs!$F$192),1,0)</f>
        <v>0</v>
      </c>
      <c r="Q53" s="10" t="n">
        <f aca="false">IF(AND(Q20&gt;=$F$13,Q23&lt;=Inputs!$F$192),1,0)</f>
        <v>1</v>
      </c>
      <c r="R53" s="10" t="n">
        <f aca="false">IF(AND(R20&gt;=$F$13,R23&lt;=Inputs!$F$192),1,0)</f>
        <v>1</v>
      </c>
      <c r="S53" s="10" t="n">
        <f aca="false">IF(AND(S20&gt;=$F$13,S23&lt;=Inputs!$F$192),1,0)</f>
        <v>1</v>
      </c>
      <c r="T53" s="10" t="n">
        <f aca="false">IF(AND(T20&gt;=$F$13,T23&lt;=Inputs!$F$192),1,0)</f>
        <v>1</v>
      </c>
      <c r="U53" s="10" t="n">
        <f aca="false">IF(AND(U20&gt;=$F$13,U23&lt;=Inputs!$F$192),1,0)</f>
        <v>1</v>
      </c>
      <c r="V53" s="10" t="n">
        <f aca="false">IF(AND(V20&gt;=$F$13,V23&lt;=Inputs!$F$192),1,0)</f>
        <v>1</v>
      </c>
      <c r="W53" s="10" t="n">
        <f aca="false">IF(AND(W20&gt;=$F$13,W23&lt;=Inputs!$F$192),1,0)</f>
        <v>1</v>
      </c>
      <c r="X53" s="10" t="n">
        <f aca="false">IF(AND(X20&gt;=$F$13,X23&lt;=Inputs!$F$192),1,0)</f>
        <v>1</v>
      </c>
      <c r="Y53" s="10" t="n">
        <f aca="false">IF(AND(Y20&gt;=$F$13,Y23&lt;=Inputs!$F$192),1,0)</f>
        <v>1</v>
      </c>
      <c r="Z53" s="10" t="n">
        <f aca="false">IF(AND(Z20&gt;=$F$13,Z23&lt;=Inputs!$F$192),1,0)</f>
        <v>1</v>
      </c>
      <c r="AA53" s="10" t="n">
        <f aca="false">IF(AND(AA20&gt;=$F$13,AA23&lt;=Inputs!$F$192),1,0)</f>
        <v>1</v>
      </c>
      <c r="AB53" s="10" t="n">
        <f aca="false">IF(AND(AB20&gt;=$F$13,AB23&lt;=Inputs!$F$192),1,0)</f>
        <v>1</v>
      </c>
      <c r="AC53" s="10" t="n">
        <f aca="false">IF(AND(AC20&gt;=$F$13,AC23&lt;=Inputs!$F$192),1,0)</f>
        <v>1</v>
      </c>
      <c r="AD53" s="10" t="n">
        <f aca="false">IF(AND(AD20&gt;=$F$13,AD23&lt;=Inputs!$F$192),1,0)</f>
        <v>1</v>
      </c>
      <c r="AE53" s="10" t="n">
        <f aca="false">IF(AND(AE20&gt;=$F$13,AE23&lt;=Inputs!$F$192),1,0)</f>
        <v>1</v>
      </c>
      <c r="AF53" s="10" t="n">
        <f aca="false">IF(AND(AF20&gt;=$F$13,AF23&lt;=Inputs!$F$192),1,0)</f>
        <v>1</v>
      </c>
      <c r="AG53" s="10" t="n">
        <f aca="false">IF(AND(AG20&gt;=$F$13,AG23&lt;=Inputs!$F$192),1,0)</f>
        <v>1</v>
      </c>
      <c r="AH53" s="10" t="n">
        <f aca="false">IF(AND(AH20&gt;=$F$13,AH23&lt;=Inputs!$F$192),1,0)</f>
        <v>1</v>
      </c>
      <c r="AI53" s="10" t="n">
        <f aca="false">IF(AND(AI20&gt;=$F$13,AI23&lt;=Inputs!$F$192),1,0)</f>
        <v>1</v>
      </c>
      <c r="AJ53" s="10" t="n">
        <f aca="false">IF(AND(AJ20&gt;=$F$13,AJ23&lt;=Inputs!$F$192),1,0)</f>
        <v>1</v>
      </c>
      <c r="AK53" s="10" t="n">
        <f aca="false">IF(AND(AK20&gt;=$F$13,AK23&lt;=Inputs!$F$192),1,0)</f>
        <v>1</v>
      </c>
      <c r="AL53" s="10" t="n">
        <f aca="false">IF(AND(AL20&gt;=$F$13,AL23&lt;=Inputs!$F$192),1,0)</f>
        <v>1</v>
      </c>
      <c r="AM53" s="10" t="n">
        <f aca="false">IF(AND(AM20&gt;=$F$13,AM23&lt;=Inputs!$F$192),1,0)</f>
        <v>1</v>
      </c>
      <c r="AN53" s="10" t="n">
        <f aca="false">IF(AND(AN20&gt;=$F$13,AN23&lt;=Inputs!$F$192),1,0)</f>
        <v>1</v>
      </c>
      <c r="AO53" s="10" t="n">
        <f aca="false">IF(AND(AO20&gt;=$F$13,AO23&lt;=Inputs!$F$192),1,0)</f>
        <v>1</v>
      </c>
      <c r="AP53" s="10" t="n">
        <f aca="false">IF(AND(AP20&gt;=$F$13,AP23&lt;=Inputs!$F$192),1,0)</f>
        <v>0</v>
      </c>
      <c r="AQ53" s="10" t="n">
        <f aca="false">IF(AND(AQ20&gt;=$F$13,AQ23&lt;=Inputs!$F$192),1,0)</f>
        <v>0</v>
      </c>
      <c r="AR53" s="10" t="n">
        <f aca="false">IF(AND(AR20&gt;=$F$13,AR23&lt;=Inputs!$F$192),1,0)</f>
        <v>0</v>
      </c>
      <c r="AS53" s="10" t="n">
        <f aca="false">IF(AND(AS20&gt;=$F$13,AS23&lt;=Inputs!$F$192),1,0)</f>
        <v>0</v>
      </c>
      <c r="AT53" s="10" t="n">
        <f aca="false">IF(AND(AT20&gt;=$F$13,AT23&lt;=Inputs!$F$192),1,0)</f>
        <v>0</v>
      </c>
      <c r="AU53" s="10" t="n">
        <f aca="false">IF(AND(AU20&gt;=$F$13,AU23&lt;=Inputs!$F$192),1,0)</f>
        <v>0</v>
      </c>
      <c r="AV53" s="10" t="n">
        <f aca="false">IF(AND(AV20&gt;=$F$13,AV23&lt;=Inputs!$F$192),1,0)</f>
        <v>0</v>
      </c>
      <c r="AW53" s="10" t="n">
        <f aca="false">IF(AND(AW20&gt;=$F$13,AW23&lt;=Inputs!$F$192),1,0)</f>
        <v>0</v>
      </c>
      <c r="AX53" s="10" t="n">
        <f aca="false">IF(AND(AX20&gt;=$F$13,AX23&lt;=Inputs!$F$192),1,0)</f>
        <v>0</v>
      </c>
      <c r="AY53" s="10" t="n">
        <f aca="false">IF(AND(AY20&gt;=$F$13,AY23&lt;=Inputs!$F$192),1,0)</f>
        <v>0</v>
      </c>
      <c r="AZ53" s="10" t="n">
        <f aca="false">IF(AND(AZ20&gt;=$F$13,AZ23&lt;=Inputs!$F$192),1,0)</f>
        <v>0</v>
      </c>
      <c r="BA53" s="10" t="n">
        <f aca="false">IF(AND(BA20&gt;=$F$13,BA23&lt;=Inputs!$F$192),1,0)</f>
        <v>0</v>
      </c>
      <c r="BB53" s="10" t="n">
        <f aca="false">IF(AND(BB20&gt;=$F$13,BB23&lt;=Inputs!$F$192),1,0)</f>
        <v>0</v>
      </c>
      <c r="BC53" s="10" t="n">
        <f aca="false">IF(AND(BC20&gt;=$F$13,BC23&lt;=Inputs!$F$192),1,0)</f>
        <v>0</v>
      </c>
      <c r="BD53" s="10" t="n">
        <f aca="false">IF(AND(BD20&gt;=$F$13,BD23&lt;=Inputs!$F$192),1,0)</f>
        <v>0</v>
      </c>
      <c r="BE53" s="10" t="n">
        <f aca="false">IF(AND(BE20&gt;=$F$13,BE23&lt;=Inputs!$F$192),1,0)</f>
        <v>0</v>
      </c>
      <c r="BF53" s="10" t="n">
        <f aca="false">IF(AND(BF20&gt;=$F$13,BF23&lt;=Inputs!$F$192),1,0)</f>
        <v>0</v>
      </c>
      <c r="BG53" s="10" t="n">
        <f aca="false">IF(AND(BG20&gt;=$F$13,BG23&lt;=Inputs!$F$192),1,0)</f>
        <v>0</v>
      </c>
      <c r="BH53" s="10" t="n">
        <f aca="false">IF(AND(BH20&gt;=$F$13,BH23&lt;=Inputs!$F$192),1,0)</f>
        <v>0</v>
      </c>
      <c r="BI53" s="10" t="n">
        <f aca="false">IF(AND(BI20&gt;=$F$13,BI23&lt;=Inputs!$F$192),1,0)</f>
        <v>0</v>
      </c>
      <c r="BJ53" s="10" t="n">
        <f aca="false">IF(AND(BJ20&gt;=$F$13,BJ23&lt;=Inputs!$F$192),1,0)</f>
        <v>0</v>
      </c>
      <c r="BK53" s="10" t="n">
        <f aca="false">IF(AND(BK20&gt;=$F$13,BK23&lt;=Inputs!$F$192),1,0)</f>
        <v>0</v>
      </c>
      <c r="BL53" s="10" t="n">
        <f aca="false">IF(AND(BL20&gt;=$F$13,BL23&lt;=Inputs!$F$192),1,0)</f>
        <v>0</v>
      </c>
      <c r="BM53" s="10" t="n">
        <f aca="false">IF(AND(BM20&gt;=$F$13,BM23&lt;=Inputs!$F$192),1,0)</f>
        <v>0</v>
      </c>
      <c r="BN53" s="10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475</v>
      </c>
      <c r="E54" s="0" t="s">
        <v>113</v>
      </c>
      <c r="J54" s="10" t="n">
        <f aca="false">IF(J22&gt;=Inputs!$F$194,1,0)</f>
        <v>0</v>
      </c>
      <c r="K54" s="10" t="n">
        <f aca="false">IF(K22&gt;=Inputs!$F$194,1,0)</f>
        <v>0</v>
      </c>
      <c r="L54" s="10" t="n">
        <f aca="false">IF(L22&gt;=Inputs!$F$194,1,0)</f>
        <v>0</v>
      </c>
      <c r="M54" s="10" t="n">
        <f aca="false">IF(M22&gt;=Inputs!$F$194,1,0)</f>
        <v>0</v>
      </c>
      <c r="N54" s="10" t="n">
        <f aca="false">IF(N22&gt;=Inputs!$F$194,1,0)</f>
        <v>0</v>
      </c>
      <c r="O54" s="10" t="n">
        <f aca="false">IF(O22&gt;=Inputs!$F$194,1,0)</f>
        <v>0</v>
      </c>
      <c r="P54" s="10" t="n">
        <f aca="false">IF(P22&gt;=Inputs!$F$194,1,0)</f>
        <v>0</v>
      </c>
      <c r="Q54" s="10" t="n">
        <f aca="false">IF(Q22&gt;=Inputs!$F$194,1,0)</f>
        <v>1</v>
      </c>
      <c r="R54" s="10" t="n">
        <f aca="false">IF(R22&gt;=Inputs!$F$194,1,0)</f>
        <v>1</v>
      </c>
      <c r="S54" s="10" t="n">
        <f aca="false">IF(S22&gt;=Inputs!$F$194,1,0)</f>
        <v>1</v>
      </c>
      <c r="T54" s="10" t="n">
        <f aca="false">IF(T22&gt;=Inputs!$F$194,1,0)</f>
        <v>1</v>
      </c>
      <c r="U54" s="10" t="n">
        <f aca="false">IF(U22&gt;=Inputs!$F$194,1,0)</f>
        <v>1</v>
      </c>
      <c r="V54" s="10" t="n">
        <f aca="false">IF(V22&gt;=Inputs!$F$194,1,0)</f>
        <v>1</v>
      </c>
      <c r="W54" s="10" t="n">
        <f aca="false">IF(W22&gt;=Inputs!$F$194,1,0)</f>
        <v>1</v>
      </c>
      <c r="X54" s="10" t="n">
        <f aca="false">IF(X22&gt;=Inputs!$F$194,1,0)</f>
        <v>1</v>
      </c>
      <c r="Y54" s="10" t="n">
        <f aca="false">IF(Y22&gt;=Inputs!$F$194,1,0)</f>
        <v>1</v>
      </c>
      <c r="Z54" s="10" t="n">
        <f aca="false">IF(Z22&gt;=Inputs!$F$194,1,0)</f>
        <v>1</v>
      </c>
      <c r="AA54" s="10" t="n">
        <f aca="false">IF(AA22&gt;=Inputs!$F$194,1,0)</f>
        <v>1</v>
      </c>
      <c r="AB54" s="10" t="n">
        <f aca="false">IF(AB22&gt;=Inputs!$F$194,1,0)</f>
        <v>1</v>
      </c>
      <c r="AC54" s="10" t="n">
        <f aca="false">IF(AC22&gt;=Inputs!$F$194,1,0)</f>
        <v>1</v>
      </c>
      <c r="AD54" s="10" t="n">
        <f aca="false">IF(AD22&gt;=Inputs!$F$194,1,0)</f>
        <v>1</v>
      </c>
      <c r="AE54" s="10" t="n">
        <f aca="false">IF(AE22&gt;=Inputs!$F$194,1,0)</f>
        <v>1</v>
      </c>
      <c r="AF54" s="10" t="n">
        <f aca="false">IF(AF22&gt;=Inputs!$F$194,1,0)</f>
        <v>1</v>
      </c>
      <c r="AG54" s="10" t="n">
        <f aca="false">IF(AG22&gt;=Inputs!$F$194,1,0)</f>
        <v>1</v>
      </c>
      <c r="AH54" s="10" t="n">
        <f aca="false">IF(AH22&gt;=Inputs!$F$194,1,0)</f>
        <v>1</v>
      </c>
      <c r="AI54" s="10" t="n">
        <f aca="false">IF(AI22&gt;=Inputs!$F$194,1,0)</f>
        <v>1</v>
      </c>
      <c r="AJ54" s="10" t="n">
        <f aca="false">IF(AJ22&gt;=Inputs!$F$194,1,0)</f>
        <v>1</v>
      </c>
      <c r="AK54" s="10" t="n">
        <f aca="false">IF(AK22&gt;=Inputs!$F$194,1,0)</f>
        <v>1</v>
      </c>
      <c r="AL54" s="10" t="n">
        <f aca="false">IF(AL22&gt;=Inputs!$F$194,1,0)</f>
        <v>1</v>
      </c>
      <c r="AM54" s="10" t="n">
        <f aca="false">IF(AM22&gt;=Inputs!$F$194,1,0)</f>
        <v>1</v>
      </c>
      <c r="AN54" s="10" t="n">
        <f aca="false">IF(AN22&gt;=Inputs!$F$194,1,0)</f>
        <v>1</v>
      </c>
      <c r="AO54" s="10" t="n">
        <f aca="false">IF(AO22&gt;=Inputs!$F$194,1,0)</f>
        <v>1</v>
      </c>
      <c r="AP54" s="10" t="n">
        <f aca="false">IF(AP22&gt;=Inputs!$F$194,1,0)</f>
        <v>1</v>
      </c>
      <c r="AQ54" s="10" t="n">
        <f aca="false">IF(AQ22&gt;=Inputs!$F$194,1,0)</f>
        <v>1</v>
      </c>
      <c r="AR54" s="10" t="n">
        <f aca="false">IF(AR22&gt;=Inputs!$F$194,1,0)</f>
        <v>1</v>
      </c>
      <c r="AS54" s="10" t="n">
        <f aca="false">IF(AS22&gt;=Inputs!$F$194,1,0)</f>
        <v>1</v>
      </c>
      <c r="AT54" s="10" t="n">
        <f aca="false">IF(AT22&gt;=Inputs!$F$194,1,0)</f>
        <v>1</v>
      </c>
      <c r="AU54" s="10" t="n">
        <f aca="false">IF(AU22&gt;=Inputs!$F$194,1,0)</f>
        <v>1</v>
      </c>
      <c r="AV54" s="10" t="n">
        <f aca="false">IF(AV22&gt;=Inputs!$F$194,1,0)</f>
        <v>1</v>
      </c>
      <c r="AW54" s="10" t="n">
        <f aca="false">IF(AW22&gt;=Inputs!$F$194,1,0)</f>
        <v>1</v>
      </c>
      <c r="AX54" s="10" t="n">
        <f aca="false">IF(AX22&gt;=Inputs!$F$194,1,0)</f>
        <v>1</v>
      </c>
      <c r="AY54" s="10" t="n">
        <f aca="false">IF(AY22&gt;=Inputs!$F$194,1,0)</f>
        <v>1</v>
      </c>
      <c r="AZ54" s="10" t="n">
        <f aca="false">IF(AZ22&gt;=Inputs!$F$194,1,0)</f>
        <v>1</v>
      </c>
      <c r="BA54" s="10" t="n">
        <f aca="false">IF(BA22&gt;=Inputs!$F$194,1,0)</f>
        <v>1</v>
      </c>
      <c r="BB54" s="10" t="n">
        <f aca="false">IF(BB22&gt;=Inputs!$F$194,1,0)</f>
        <v>1</v>
      </c>
      <c r="BC54" s="10" t="n">
        <f aca="false">IF(BC22&gt;=Inputs!$F$194,1,0)</f>
        <v>1</v>
      </c>
      <c r="BD54" s="10" t="n">
        <f aca="false">IF(BD22&gt;=Inputs!$F$194,1,0)</f>
        <v>1</v>
      </c>
      <c r="BE54" s="10" t="n">
        <f aca="false">IF(BE22&gt;=Inputs!$F$194,1,0)</f>
        <v>1</v>
      </c>
      <c r="BF54" s="10" t="n">
        <f aca="false">IF(BF22&gt;=Inputs!$F$194,1,0)</f>
        <v>1</v>
      </c>
      <c r="BG54" s="10" t="n">
        <f aca="false">IF(BG22&gt;=Inputs!$F$194,1,0)</f>
        <v>1</v>
      </c>
      <c r="BH54" s="10" t="n">
        <f aca="false">IF(BH22&gt;=Inputs!$F$194,1,0)</f>
        <v>1</v>
      </c>
      <c r="BI54" s="10" t="n">
        <f aca="false">IF(BI22&gt;=Inputs!$F$194,1,0)</f>
        <v>1</v>
      </c>
      <c r="BJ54" s="10" t="n">
        <f aca="false">IF(BJ22&gt;=Inputs!$F$194,1,0)</f>
        <v>1</v>
      </c>
      <c r="BK54" s="10" t="n">
        <f aca="false">IF(BK22&gt;=Inputs!$F$194,1,0)</f>
        <v>1</v>
      </c>
      <c r="BL54" s="10" t="n">
        <f aca="false">IF(BL22&gt;=Inputs!$F$194,1,0)</f>
        <v>1</v>
      </c>
      <c r="BM54" s="10" t="n">
        <f aca="false">IF(BM22&gt;=Inputs!$F$194,1,0)</f>
        <v>1</v>
      </c>
      <c r="BN54" s="10" t="n">
        <f aca="false">IF(BN22&gt;=Inputs!$F$194,1,0)</f>
        <v>1</v>
      </c>
    </row>
    <row r="55" customFormat="false" ht="15" hidden="false" customHeight="false" outlineLevel="0" collapsed="false">
      <c r="D55" s="0" t="s">
        <v>476</v>
      </c>
      <c r="E55" s="0" t="s">
        <v>111</v>
      </c>
      <c r="J55" s="10" t="n">
        <f aca="false">MAX(0,MIN(J25,Inputs!$F$197-J22))</f>
        <v>184</v>
      </c>
      <c r="K55" s="10" t="n">
        <f aca="false">MAX(0,MIN(K25,Inputs!$F$197-K22))</f>
        <v>181</v>
      </c>
      <c r="L55" s="10" t="n">
        <f aca="false">MAX(0,MIN(L25,Inputs!$F$197-L22))</f>
        <v>184</v>
      </c>
      <c r="M55" s="10" t="n">
        <f aca="false">MAX(0,MIN(M25,Inputs!$F$197-M22))</f>
        <v>182</v>
      </c>
      <c r="N55" s="10" t="n">
        <f aca="false">MAX(0,MIN(N25,Inputs!$F$197-N22))</f>
        <v>184</v>
      </c>
      <c r="O55" s="10" t="n">
        <f aca="false">MAX(0,MIN(O25,Inputs!$F$197-O22))</f>
        <v>181</v>
      </c>
      <c r="P55" s="10" t="n">
        <f aca="false">MAX(0,MIN(P25,Inputs!$F$197-P22))</f>
        <v>184</v>
      </c>
      <c r="Q55" s="10" t="n">
        <f aca="false">MAX(0,MIN(Q25,Inputs!$F$197-Q22))</f>
        <v>181</v>
      </c>
      <c r="R55" s="10" t="n">
        <f aca="false">MAX(0,MIN(R25,Inputs!$F$197-R22))</f>
        <v>184</v>
      </c>
      <c r="S55" s="10" t="n">
        <f aca="false">MAX(0,MIN(S25,Inputs!$F$197-S22))</f>
        <v>181</v>
      </c>
      <c r="T55" s="10" t="n">
        <f aca="false">MAX(0,MIN(T25,Inputs!$F$197-T22))</f>
        <v>184</v>
      </c>
      <c r="U55" s="10" t="n">
        <f aca="false">MAX(0,MIN(U25,Inputs!$F$197-U22))</f>
        <v>80</v>
      </c>
      <c r="V55" s="10" t="n">
        <f aca="false">MAX(0,MIN(V25,Inputs!$F$197-V22))</f>
        <v>0</v>
      </c>
      <c r="W55" s="10" t="n">
        <f aca="false">MAX(0,MIN(W25,Inputs!$F$197-W22))</f>
        <v>0</v>
      </c>
      <c r="X55" s="10" t="n">
        <f aca="false">MAX(0,MIN(X25,Inputs!$F$197-X22))</f>
        <v>0</v>
      </c>
      <c r="Y55" s="10" t="n">
        <f aca="false">MAX(0,MIN(Y25,Inputs!$F$197-Y22))</f>
        <v>0</v>
      </c>
      <c r="Z55" s="10" t="n">
        <f aca="false">MAX(0,MIN(Z25,Inputs!$F$197-Z22))</f>
        <v>0</v>
      </c>
      <c r="AA55" s="10" t="n">
        <f aca="false">MAX(0,MIN(AA25,Inputs!$F$197-AA22))</f>
        <v>0</v>
      </c>
      <c r="AB55" s="10" t="n">
        <f aca="false">MAX(0,MIN(AB25,Inputs!$F$197-AB22))</f>
        <v>0</v>
      </c>
      <c r="AC55" s="10" t="n">
        <f aca="false">MAX(0,MIN(AC25,Inputs!$F$197-AC22))</f>
        <v>0</v>
      </c>
      <c r="AD55" s="10" t="n">
        <f aca="false">MAX(0,MIN(AD25,Inputs!$F$197-AD22))</f>
        <v>0</v>
      </c>
      <c r="AE55" s="10" t="n">
        <f aca="false">MAX(0,MIN(AE25,Inputs!$F$197-AE22))</f>
        <v>0</v>
      </c>
      <c r="AF55" s="10" t="n">
        <f aca="false">MAX(0,MIN(AF25,Inputs!$F$197-AF22))</f>
        <v>0</v>
      </c>
      <c r="AG55" s="10" t="n">
        <f aca="false">MAX(0,MIN(AG25,Inputs!$F$197-AG22))</f>
        <v>0</v>
      </c>
      <c r="AH55" s="10" t="n">
        <f aca="false">MAX(0,MIN(AH25,Inputs!$F$197-AH22))</f>
        <v>0</v>
      </c>
      <c r="AI55" s="10" t="n">
        <f aca="false">MAX(0,MIN(AI25,Inputs!$F$197-AI22))</f>
        <v>0</v>
      </c>
      <c r="AJ55" s="10" t="n">
        <f aca="false">MAX(0,MIN(AJ25,Inputs!$F$197-AJ22))</f>
        <v>0</v>
      </c>
      <c r="AK55" s="10" t="n">
        <f aca="false">MAX(0,MIN(AK25,Inputs!$F$197-AK22))</f>
        <v>0</v>
      </c>
      <c r="AL55" s="10" t="n">
        <f aca="false">MAX(0,MIN(AL25,Inputs!$F$197-AL22))</f>
        <v>0</v>
      </c>
      <c r="AM55" s="10" t="n">
        <f aca="false">MAX(0,MIN(AM25,Inputs!$F$197-AM22))</f>
        <v>0</v>
      </c>
      <c r="AN55" s="10" t="n">
        <f aca="false">MAX(0,MIN(AN25,Inputs!$F$197-AN22))</f>
        <v>0</v>
      </c>
      <c r="AO55" s="10" t="n">
        <f aca="false">MAX(0,MIN(AO25,Inputs!$F$197-AO22))</f>
        <v>0</v>
      </c>
      <c r="AP55" s="10" t="n">
        <f aca="false">MAX(0,MIN(AP25,Inputs!$F$197-AP22))</f>
        <v>0</v>
      </c>
      <c r="AQ55" s="10" t="n">
        <f aca="false">MAX(0,MIN(AQ25,Inputs!$F$197-AQ22))</f>
        <v>0</v>
      </c>
      <c r="AR55" s="10" t="n">
        <f aca="false">MAX(0,MIN(AR25,Inputs!$F$197-AR22))</f>
        <v>0</v>
      </c>
      <c r="AS55" s="10" t="n">
        <f aca="false">MAX(0,MIN(AS25,Inputs!$F$197-AS22))</f>
        <v>0</v>
      </c>
      <c r="AT55" s="10" t="n">
        <f aca="false">MAX(0,MIN(AT25,Inputs!$F$197-AT22))</f>
        <v>0</v>
      </c>
      <c r="AU55" s="10" t="n">
        <f aca="false">MAX(0,MIN(AU25,Inputs!$F$197-AU22))</f>
        <v>0</v>
      </c>
      <c r="AV55" s="10" t="n">
        <f aca="false">MAX(0,MIN(AV25,Inputs!$F$197-AV22))</f>
        <v>0</v>
      </c>
      <c r="AW55" s="10" t="n">
        <f aca="false">MAX(0,MIN(AW25,Inputs!$F$197-AW22))</f>
        <v>0</v>
      </c>
      <c r="AX55" s="10" t="n">
        <f aca="false">MAX(0,MIN(AX25,Inputs!$F$197-AX22))</f>
        <v>0</v>
      </c>
      <c r="AY55" s="10" t="n">
        <f aca="false">MAX(0,MIN(AY25,Inputs!$F$197-AY22))</f>
        <v>0</v>
      </c>
      <c r="AZ55" s="10" t="n">
        <f aca="false">MAX(0,MIN(AZ25,Inputs!$F$197-AZ22))</f>
        <v>0</v>
      </c>
      <c r="BA55" s="10" t="n">
        <f aca="false">MAX(0,MIN(BA25,Inputs!$F$197-BA22))</f>
        <v>0</v>
      </c>
      <c r="BB55" s="10" t="n">
        <f aca="false">MAX(0,MIN(BB25,Inputs!$F$197-BB22))</f>
        <v>0</v>
      </c>
      <c r="BC55" s="10" t="n">
        <f aca="false">MAX(0,MIN(BC25,Inputs!$F$197-BC22))</f>
        <v>0</v>
      </c>
      <c r="BD55" s="10" t="n">
        <f aca="false">MAX(0,MIN(BD25,Inputs!$F$197-BD22))</f>
        <v>0</v>
      </c>
      <c r="BE55" s="10" t="n">
        <f aca="false">MAX(0,MIN(BE25,Inputs!$F$197-BE22))</f>
        <v>0</v>
      </c>
      <c r="BF55" s="10" t="n">
        <f aca="false">MAX(0,MIN(BF25,Inputs!$F$197-BF22))</f>
        <v>0</v>
      </c>
      <c r="BG55" s="10" t="n">
        <f aca="false">MAX(0,MIN(BG25,Inputs!$F$197-BG22))</f>
        <v>0</v>
      </c>
      <c r="BH55" s="10" t="n">
        <f aca="false">MAX(0,MIN(BH25,Inputs!$F$197-BH22))</f>
        <v>0</v>
      </c>
      <c r="BI55" s="10" t="n">
        <f aca="false">MAX(0,MIN(BI25,Inputs!$F$197-BI22))</f>
        <v>0</v>
      </c>
      <c r="BJ55" s="10" t="n">
        <f aca="false">MAX(0,MIN(BJ25,Inputs!$F$197-BJ22))</f>
        <v>0</v>
      </c>
      <c r="BK55" s="10" t="n">
        <f aca="false">MAX(0,MIN(BK25,Inputs!$F$197-BK22))</f>
        <v>0</v>
      </c>
      <c r="BL55" s="10" t="n">
        <f aca="false">MAX(0,MIN(BL25,Inputs!$F$197-BL22))</f>
        <v>0</v>
      </c>
      <c r="BM55" s="10" t="n">
        <f aca="false">MAX(0,MIN(BM25,Inputs!$F$197-BM22))</f>
        <v>0</v>
      </c>
      <c r="BN55" s="10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477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532</v>
      </c>
    </row>
    <row r="8" customFormat="false" ht="15" hidden="false" customHeight="false" outlineLevel="0" collapsed="false">
      <c r="D8" s="0" t="s">
        <v>533</v>
      </c>
      <c r="E8" s="0" t="s">
        <v>91</v>
      </c>
      <c r="J8" s="10" t="n">
        <f aca="false">I8+1</f>
        <v>1</v>
      </c>
      <c r="K8" s="10" t="n">
        <f aca="false">J8+1</f>
        <v>2</v>
      </c>
      <c r="L8" s="10" t="n">
        <f aca="false">K8+1</f>
        <v>3</v>
      </c>
      <c r="M8" s="10" t="n">
        <f aca="false">L8+1</f>
        <v>4</v>
      </c>
      <c r="N8" s="10" t="n">
        <f aca="false">M8+1</f>
        <v>5</v>
      </c>
      <c r="O8" s="10" t="n">
        <f aca="false">N8+1</f>
        <v>6</v>
      </c>
      <c r="P8" s="10" t="n">
        <f aca="false">O8+1</f>
        <v>7</v>
      </c>
      <c r="Q8" s="10" t="n">
        <f aca="false">P8+1</f>
        <v>8</v>
      </c>
      <c r="R8" s="10" t="n">
        <f aca="false">Q8+1</f>
        <v>9</v>
      </c>
      <c r="S8" s="10" t="n">
        <f aca="false">R8+1</f>
        <v>10</v>
      </c>
      <c r="T8" s="10" t="n">
        <f aca="false">S8+1</f>
        <v>11</v>
      </c>
      <c r="U8" s="10" t="n">
        <f aca="false">T8+1</f>
        <v>12</v>
      </c>
      <c r="V8" s="10" t="n">
        <f aca="false">U8+1</f>
        <v>13</v>
      </c>
      <c r="W8" s="10" t="n">
        <f aca="false">V8+1</f>
        <v>14</v>
      </c>
      <c r="X8" s="10" t="n">
        <f aca="false">W8+1</f>
        <v>15</v>
      </c>
      <c r="Y8" s="10" t="n">
        <f aca="false">X8+1</f>
        <v>16</v>
      </c>
      <c r="Z8" s="10" t="n">
        <f aca="false">Y8+1</f>
        <v>17</v>
      </c>
      <c r="AA8" s="10" t="n">
        <f aca="false">Z8+1</f>
        <v>18</v>
      </c>
      <c r="AB8" s="10" t="n">
        <f aca="false">AA8+1</f>
        <v>19</v>
      </c>
      <c r="AC8" s="10" t="n">
        <f aca="false">AB8+1</f>
        <v>20</v>
      </c>
      <c r="AD8" s="10" t="n">
        <f aca="false">AC8+1</f>
        <v>21</v>
      </c>
      <c r="AE8" s="10" t="n">
        <f aca="false">AD8+1</f>
        <v>22</v>
      </c>
      <c r="AF8" s="10" t="n">
        <f aca="false">AE8+1</f>
        <v>23</v>
      </c>
      <c r="AG8" s="10" t="n">
        <f aca="false">AF8+1</f>
        <v>24</v>
      </c>
      <c r="AH8" s="10" t="n">
        <f aca="false">AG8+1</f>
        <v>25</v>
      </c>
      <c r="AI8" s="10" t="n">
        <f aca="false">AH8+1</f>
        <v>26</v>
      </c>
      <c r="AJ8" s="10" t="n">
        <f aca="false">AI8+1</f>
        <v>27</v>
      </c>
      <c r="AK8" s="10" t="n">
        <f aca="false">AJ8+1</f>
        <v>28</v>
      </c>
      <c r="AL8" s="10" t="n">
        <f aca="false">AK8+1</f>
        <v>29</v>
      </c>
      <c r="AM8" s="10" t="n">
        <f aca="false">AL8+1</f>
        <v>30</v>
      </c>
      <c r="AN8" s="10" t="n">
        <f aca="false">AM8+1</f>
        <v>31</v>
      </c>
      <c r="AO8" s="10" t="n">
        <f aca="false">AN8+1</f>
        <v>32</v>
      </c>
      <c r="AP8" s="10" t="n">
        <f aca="false">AO8+1</f>
        <v>33</v>
      </c>
      <c r="AQ8" s="10" t="n">
        <f aca="false">AP8+1</f>
        <v>34</v>
      </c>
      <c r="AR8" s="10" t="n">
        <f aca="false">AQ8+1</f>
        <v>35</v>
      </c>
      <c r="AS8" s="10" t="n">
        <f aca="false">AR8+1</f>
        <v>36</v>
      </c>
      <c r="AT8" s="10" t="n">
        <f aca="false">AS8+1</f>
        <v>37</v>
      </c>
      <c r="AU8" s="10" t="n">
        <f aca="false">AT8+1</f>
        <v>38</v>
      </c>
      <c r="AV8" s="10" t="n">
        <f aca="false">AU8+1</f>
        <v>39</v>
      </c>
      <c r="AW8" s="10" t="n">
        <f aca="false">AV8+1</f>
        <v>40</v>
      </c>
      <c r="AX8" s="10" t="n">
        <f aca="false">AW8+1</f>
        <v>41</v>
      </c>
      <c r="AY8" s="10" t="n">
        <f aca="false">AX8+1</f>
        <v>42</v>
      </c>
      <c r="AZ8" s="10" t="n">
        <f aca="false">AY8+1</f>
        <v>43</v>
      </c>
      <c r="BA8" s="10" t="n">
        <f aca="false">AZ8+1</f>
        <v>44</v>
      </c>
      <c r="BB8" s="10" t="n">
        <f aca="false">BA8+1</f>
        <v>45</v>
      </c>
      <c r="BC8" s="10" t="n">
        <f aca="false">BB8+1</f>
        <v>46</v>
      </c>
      <c r="BD8" s="10" t="n">
        <f aca="false">BC8+1</f>
        <v>47</v>
      </c>
      <c r="BE8" s="10" t="n">
        <f aca="false">BD8+1</f>
        <v>48</v>
      </c>
      <c r="BF8" s="10" t="n">
        <f aca="false">BE8+1</f>
        <v>49</v>
      </c>
      <c r="BG8" s="10" t="n">
        <f aca="false">BF8+1</f>
        <v>50</v>
      </c>
      <c r="BH8" s="10" t="n">
        <f aca="false">BG8+1</f>
        <v>51</v>
      </c>
      <c r="BI8" s="10" t="n">
        <f aca="false">BH8+1</f>
        <v>52</v>
      </c>
      <c r="BJ8" s="10" t="n">
        <f aca="false">BI8+1</f>
        <v>53</v>
      </c>
    </row>
    <row r="9" customFormat="false" ht="15" hidden="false" customHeight="false" outlineLevel="0" collapsed="false">
      <c r="D9" s="0" t="s">
        <v>534</v>
      </c>
      <c r="E9" s="0" t="s">
        <v>296</v>
      </c>
      <c r="J9" s="9" t="n">
        <f aca="false">IF(J8=1,Inputs!$F$188,EDATE(I9,1))</f>
        <v>43313</v>
      </c>
      <c r="K9" s="9" t="n">
        <f aca="false">IF(K8=1,Inputs!$F$188,EDATE(J9,1))</f>
        <v>43344</v>
      </c>
      <c r="L9" s="9" t="n">
        <f aca="false">IF(L8=1,Inputs!$F$188,EDATE(K9,1))</f>
        <v>43374</v>
      </c>
      <c r="M9" s="9" t="n">
        <f aca="false">IF(M8=1,Inputs!$F$188,EDATE(L9,1))</f>
        <v>43405</v>
      </c>
      <c r="N9" s="9" t="n">
        <f aca="false">IF(N8=1,Inputs!$F$188,EDATE(M9,1))</f>
        <v>43435</v>
      </c>
      <c r="O9" s="9" t="n">
        <f aca="false">IF(O8=1,Inputs!$F$188,EDATE(N9,1))</f>
        <v>43466</v>
      </c>
      <c r="P9" s="9" t="n">
        <f aca="false">IF(P8=1,Inputs!$F$188,EDATE(O9,1))</f>
        <v>43497</v>
      </c>
      <c r="Q9" s="9" t="n">
        <f aca="false">IF(Q8=1,Inputs!$F$188,EDATE(P9,1))</f>
        <v>43525</v>
      </c>
      <c r="R9" s="9" t="n">
        <f aca="false">IF(R8=1,Inputs!$F$188,EDATE(Q9,1))</f>
        <v>43556</v>
      </c>
      <c r="S9" s="9" t="n">
        <f aca="false">IF(S8=1,Inputs!$F$188,EDATE(R9,1))</f>
        <v>43586</v>
      </c>
      <c r="T9" s="9" t="n">
        <f aca="false">IF(T8=1,Inputs!$F$188,EDATE(S9,1))</f>
        <v>43617</v>
      </c>
      <c r="U9" s="9" t="n">
        <f aca="false">IF(U8=1,Inputs!$F$188,EDATE(T9,1))</f>
        <v>43647</v>
      </c>
      <c r="V9" s="9" t="n">
        <f aca="false">IF(V8=1,Inputs!$F$188,EDATE(U9,1))</f>
        <v>43678</v>
      </c>
      <c r="W9" s="9" t="n">
        <f aca="false">IF(W8=1,Inputs!$F$188,EDATE(V9,1))</f>
        <v>43709</v>
      </c>
      <c r="X9" s="9" t="n">
        <f aca="false">IF(X8=1,Inputs!$F$188,EDATE(W9,1))</f>
        <v>43739</v>
      </c>
      <c r="Y9" s="9" t="n">
        <f aca="false">IF(Y8=1,Inputs!$F$188,EDATE(X9,1))</f>
        <v>43770</v>
      </c>
      <c r="Z9" s="9" t="n">
        <f aca="false">IF(Z8=1,Inputs!$F$188,EDATE(Y9,1))</f>
        <v>43800</v>
      </c>
      <c r="AA9" s="9" t="n">
        <f aca="false">IF(AA8=1,Inputs!$F$188,EDATE(Z9,1))</f>
        <v>43831</v>
      </c>
      <c r="AB9" s="9" t="n">
        <f aca="false">IF(AB8=1,Inputs!$F$188,EDATE(AA9,1))</f>
        <v>43862</v>
      </c>
      <c r="AC9" s="9" t="n">
        <f aca="false">IF(AC8=1,Inputs!$F$188,EDATE(AB9,1))</f>
        <v>43891</v>
      </c>
      <c r="AD9" s="9" t="n">
        <f aca="false">IF(AD8=1,Inputs!$F$188,EDATE(AC9,1))</f>
        <v>43922</v>
      </c>
      <c r="AE9" s="9" t="n">
        <f aca="false">IF(AE8=1,Inputs!$F$188,EDATE(AD9,1))</f>
        <v>43952</v>
      </c>
      <c r="AF9" s="9" t="n">
        <f aca="false">IF(AF8=1,Inputs!$F$188,EDATE(AE9,1))</f>
        <v>43983</v>
      </c>
      <c r="AG9" s="9" t="n">
        <f aca="false">IF(AG8=1,Inputs!$F$188,EDATE(AF9,1))</f>
        <v>44013</v>
      </c>
      <c r="AH9" s="9" t="n">
        <f aca="false">IF(AH8=1,Inputs!$F$188,EDATE(AG9,1))</f>
        <v>44044</v>
      </c>
      <c r="AI9" s="9" t="n">
        <f aca="false">IF(AI8=1,Inputs!$F$188,EDATE(AH9,1))</f>
        <v>44075</v>
      </c>
      <c r="AJ9" s="9" t="n">
        <f aca="false">IF(AJ8=1,Inputs!$F$188,EDATE(AI9,1))</f>
        <v>44105</v>
      </c>
      <c r="AK9" s="9" t="n">
        <f aca="false">IF(AK8=1,Inputs!$F$188,EDATE(AJ9,1))</f>
        <v>44136</v>
      </c>
      <c r="AL9" s="9" t="n">
        <f aca="false">IF(AL8=1,Inputs!$F$188,EDATE(AK9,1))</f>
        <v>44166</v>
      </c>
      <c r="AM9" s="9" t="n">
        <f aca="false">IF(AM8=1,Inputs!$F$188,EDATE(AL9,1))</f>
        <v>44197</v>
      </c>
      <c r="AN9" s="9" t="n">
        <f aca="false">IF(AN8=1,Inputs!$F$188,EDATE(AM9,1))</f>
        <v>44228</v>
      </c>
      <c r="AO9" s="9" t="n">
        <f aca="false">IF(AO8=1,Inputs!$F$188,EDATE(AN9,1))</f>
        <v>44256</v>
      </c>
      <c r="AP9" s="9" t="n">
        <f aca="false">IF(AP8=1,Inputs!$F$188,EDATE(AO9,1))</f>
        <v>44287</v>
      </c>
      <c r="AQ9" s="9" t="n">
        <f aca="false">IF(AQ8=1,Inputs!$F$188,EDATE(AP9,1))</f>
        <v>44317</v>
      </c>
      <c r="AR9" s="9" t="n">
        <f aca="false">IF(AR8=1,Inputs!$F$188,EDATE(AQ9,1))</f>
        <v>44348</v>
      </c>
      <c r="AS9" s="9" t="n">
        <f aca="false">IF(AS8=1,Inputs!$F$188,EDATE(AR9,1))</f>
        <v>44378</v>
      </c>
      <c r="AT9" s="9" t="n">
        <f aca="false">IF(AT8=1,Inputs!$F$188,EDATE(AS9,1))</f>
        <v>44409</v>
      </c>
      <c r="AU9" s="9" t="n">
        <f aca="false">IF(AU8=1,Inputs!$F$188,EDATE(AT9,1))</f>
        <v>44440</v>
      </c>
      <c r="AV9" s="9" t="n">
        <f aca="false">IF(AV8=1,Inputs!$F$188,EDATE(AU9,1))</f>
        <v>44470</v>
      </c>
      <c r="AW9" s="9" t="n">
        <f aca="false">IF(AW8=1,Inputs!$F$188,EDATE(AV9,1))</f>
        <v>44501</v>
      </c>
      <c r="AX9" s="9" t="n">
        <f aca="false">IF(AX8=1,Inputs!$F$188,EDATE(AW9,1))</f>
        <v>44531</v>
      </c>
      <c r="AY9" s="9" t="n">
        <f aca="false">IF(AY8=1,Inputs!$F$188,EDATE(AX9,1))</f>
        <v>44562</v>
      </c>
      <c r="AZ9" s="9" t="n">
        <f aca="false">IF(AZ8=1,Inputs!$F$188,EDATE(AY9,1))</f>
        <v>44593</v>
      </c>
      <c r="BA9" s="9" t="n">
        <f aca="false">IF(BA8=1,Inputs!$F$188,EDATE(AZ9,1))</f>
        <v>44621</v>
      </c>
      <c r="BB9" s="9" t="n">
        <f aca="false">IF(BB8=1,Inputs!$F$188,EDATE(BA9,1))</f>
        <v>44652</v>
      </c>
      <c r="BC9" s="9" t="n">
        <f aca="false">IF(BC8=1,Inputs!$F$188,EDATE(BB9,1))</f>
        <v>44682</v>
      </c>
      <c r="BD9" s="9" t="n">
        <f aca="false">IF(BD8=1,Inputs!$F$188,EDATE(BC9,1))</f>
        <v>44713</v>
      </c>
      <c r="BE9" s="9" t="n">
        <f aca="false">IF(BE8=1,Inputs!$F$188,EDATE(BD9,1))</f>
        <v>44743</v>
      </c>
      <c r="BF9" s="9" t="n">
        <f aca="false">IF(BF8=1,Inputs!$F$188,EDATE(BE9,1))</f>
        <v>44774</v>
      </c>
      <c r="BG9" s="9" t="n">
        <f aca="false">IF(BG8=1,Inputs!$F$188,EDATE(BF9,1))</f>
        <v>44805</v>
      </c>
      <c r="BH9" s="9" t="n">
        <f aca="false">IF(BH8=1,Inputs!$F$188,EDATE(BG9,1))</f>
        <v>44835</v>
      </c>
      <c r="BI9" s="9" t="n">
        <f aca="false">IF(BI8=1,Inputs!$F$188,EDATE(BH9,1))</f>
        <v>44866</v>
      </c>
      <c r="BJ9" s="9" t="n">
        <f aca="false">IF(BJ8=1,Inputs!$F$188,EDATE(BI9,1))</f>
        <v>44896</v>
      </c>
    </row>
    <row r="10" customFormat="false" ht="15" hidden="false" customHeight="false" outlineLevel="0" collapsed="false">
      <c r="D10" s="0" t="s">
        <v>535</v>
      </c>
      <c r="E10" s="0" t="s">
        <v>296</v>
      </c>
      <c r="J10" s="9" t="n">
        <f aca="false">EOMONTH(J9,0)</f>
        <v>43343</v>
      </c>
      <c r="K10" s="9" t="n">
        <f aca="false">EOMONTH(K9,0)</f>
        <v>43373</v>
      </c>
      <c r="L10" s="9" t="n">
        <f aca="false">EOMONTH(L9,0)</f>
        <v>43404</v>
      </c>
      <c r="M10" s="9" t="n">
        <f aca="false">EOMONTH(M9,0)</f>
        <v>43434</v>
      </c>
      <c r="N10" s="9" t="n">
        <f aca="false">EOMONTH(N9,0)</f>
        <v>43465</v>
      </c>
      <c r="O10" s="9" t="n">
        <f aca="false">EOMONTH(O9,0)</f>
        <v>43496</v>
      </c>
      <c r="P10" s="9" t="n">
        <f aca="false">EOMONTH(P9,0)</f>
        <v>43524</v>
      </c>
      <c r="Q10" s="9" t="n">
        <f aca="false">EOMONTH(Q9,0)</f>
        <v>43555</v>
      </c>
      <c r="R10" s="9" t="n">
        <f aca="false">EOMONTH(R9,0)</f>
        <v>43585</v>
      </c>
      <c r="S10" s="9" t="n">
        <f aca="false">EOMONTH(S9,0)</f>
        <v>43616</v>
      </c>
      <c r="T10" s="9" t="n">
        <f aca="false">EOMONTH(T9,0)</f>
        <v>43646</v>
      </c>
      <c r="U10" s="9" t="n">
        <f aca="false">EOMONTH(U9,0)</f>
        <v>43677</v>
      </c>
      <c r="V10" s="9" t="n">
        <f aca="false">EOMONTH(V9,0)</f>
        <v>43708</v>
      </c>
      <c r="W10" s="9" t="n">
        <f aca="false">EOMONTH(W9,0)</f>
        <v>43738</v>
      </c>
      <c r="X10" s="9" t="n">
        <f aca="false">EOMONTH(X9,0)</f>
        <v>43769</v>
      </c>
      <c r="Y10" s="9" t="n">
        <f aca="false">EOMONTH(Y9,0)</f>
        <v>43799</v>
      </c>
      <c r="Z10" s="9" t="n">
        <f aca="false">EOMONTH(Z9,0)</f>
        <v>43830</v>
      </c>
      <c r="AA10" s="9" t="n">
        <f aca="false">EOMONTH(AA9,0)</f>
        <v>43861</v>
      </c>
      <c r="AB10" s="9" t="n">
        <f aca="false">EOMONTH(AB9,0)</f>
        <v>43890</v>
      </c>
      <c r="AC10" s="9" t="n">
        <f aca="false">EOMONTH(AC9,0)</f>
        <v>43921</v>
      </c>
      <c r="AD10" s="9" t="n">
        <f aca="false">EOMONTH(AD9,0)</f>
        <v>43951</v>
      </c>
      <c r="AE10" s="9" t="n">
        <f aca="false">EOMONTH(AE9,0)</f>
        <v>43982</v>
      </c>
      <c r="AF10" s="9" t="n">
        <f aca="false">EOMONTH(AF9,0)</f>
        <v>44012</v>
      </c>
      <c r="AG10" s="9" t="n">
        <f aca="false">EOMONTH(AG9,0)</f>
        <v>44043</v>
      </c>
      <c r="AH10" s="9" t="n">
        <f aca="false">EOMONTH(AH9,0)</f>
        <v>44074</v>
      </c>
      <c r="AI10" s="9" t="n">
        <f aca="false">EOMONTH(AI9,0)</f>
        <v>44104</v>
      </c>
      <c r="AJ10" s="9" t="n">
        <f aca="false">EOMONTH(AJ9,0)</f>
        <v>44135</v>
      </c>
      <c r="AK10" s="9" t="n">
        <f aca="false">EOMONTH(AK9,0)</f>
        <v>44165</v>
      </c>
      <c r="AL10" s="9" t="n">
        <f aca="false">EOMONTH(AL9,0)</f>
        <v>44196</v>
      </c>
      <c r="AM10" s="9" t="n">
        <f aca="false">EOMONTH(AM9,0)</f>
        <v>44227</v>
      </c>
      <c r="AN10" s="9" t="n">
        <f aca="false">EOMONTH(AN9,0)</f>
        <v>44255</v>
      </c>
      <c r="AO10" s="9" t="n">
        <f aca="false">EOMONTH(AO9,0)</f>
        <v>44286</v>
      </c>
      <c r="AP10" s="9" t="n">
        <f aca="false">EOMONTH(AP9,0)</f>
        <v>44316</v>
      </c>
      <c r="AQ10" s="9" t="n">
        <f aca="false">EOMONTH(AQ9,0)</f>
        <v>44347</v>
      </c>
      <c r="AR10" s="9" t="n">
        <f aca="false">EOMONTH(AR9,0)</f>
        <v>44377</v>
      </c>
      <c r="AS10" s="9" t="n">
        <f aca="false">EOMONTH(AS9,0)</f>
        <v>44408</v>
      </c>
      <c r="AT10" s="9" t="n">
        <f aca="false">EOMONTH(AT9,0)</f>
        <v>44439</v>
      </c>
      <c r="AU10" s="9" t="n">
        <f aca="false">EOMONTH(AU9,0)</f>
        <v>44469</v>
      </c>
      <c r="AV10" s="9" t="n">
        <f aca="false">EOMONTH(AV9,0)</f>
        <v>44500</v>
      </c>
      <c r="AW10" s="9" t="n">
        <f aca="false">EOMONTH(AW9,0)</f>
        <v>44530</v>
      </c>
      <c r="AX10" s="9" t="n">
        <f aca="false">EOMONTH(AX9,0)</f>
        <v>44561</v>
      </c>
      <c r="AY10" s="9" t="n">
        <f aca="false">EOMONTH(AY9,0)</f>
        <v>44592</v>
      </c>
      <c r="AZ10" s="9" t="n">
        <f aca="false">EOMONTH(AZ9,0)</f>
        <v>44620</v>
      </c>
      <c r="BA10" s="9" t="n">
        <f aca="false">EOMONTH(BA9,0)</f>
        <v>44651</v>
      </c>
      <c r="BB10" s="9" t="n">
        <f aca="false">EOMONTH(BB9,0)</f>
        <v>44681</v>
      </c>
      <c r="BC10" s="9" t="n">
        <f aca="false">EOMONTH(BC9,0)</f>
        <v>44712</v>
      </c>
      <c r="BD10" s="9" t="n">
        <f aca="false">EOMONTH(BD9,0)</f>
        <v>44742</v>
      </c>
      <c r="BE10" s="9" t="n">
        <f aca="false">EOMONTH(BE9,0)</f>
        <v>44773</v>
      </c>
      <c r="BF10" s="9" t="n">
        <f aca="false">EOMONTH(BF9,0)</f>
        <v>44804</v>
      </c>
      <c r="BG10" s="9" t="n">
        <f aca="false">EOMONTH(BG9,0)</f>
        <v>44834</v>
      </c>
      <c r="BH10" s="9" t="n">
        <f aca="false">EOMONTH(BH9,0)</f>
        <v>44865</v>
      </c>
      <c r="BI10" s="9" t="n">
        <f aca="false">EOMONTH(BI9,0)</f>
        <v>44895</v>
      </c>
      <c r="BJ10" s="9" t="n">
        <f aca="false">EOMONTH(BJ9,0)</f>
        <v>44926</v>
      </c>
    </row>
    <row r="11" customFormat="false" ht="15" hidden="false" customHeight="false" outlineLevel="0" collapsed="false">
      <c r="D11" s="0" t="s">
        <v>536</v>
      </c>
      <c r="E11" s="0" t="s">
        <v>111</v>
      </c>
      <c r="J11" s="10" t="n">
        <f aca="false">J10-J9+1</f>
        <v>31</v>
      </c>
      <c r="K11" s="10" t="n">
        <f aca="false">K10-K9+1</f>
        <v>30</v>
      </c>
      <c r="L11" s="10" t="n">
        <f aca="false">L10-L9+1</f>
        <v>31</v>
      </c>
      <c r="M11" s="10" t="n">
        <f aca="false">M10-M9+1</f>
        <v>30</v>
      </c>
      <c r="N11" s="10" t="n">
        <f aca="false">N10-N9+1</f>
        <v>31</v>
      </c>
      <c r="O11" s="10" t="n">
        <f aca="false">O10-O9+1</f>
        <v>31</v>
      </c>
      <c r="P11" s="10" t="n">
        <f aca="false">P10-P9+1</f>
        <v>28</v>
      </c>
      <c r="Q11" s="10" t="n">
        <f aca="false">Q10-Q9+1</f>
        <v>31</v>
      </c>
      <c r="R11" s="10" t="n">
        <f aca="false">R10-R9+1</f>
        <v>30</v>
      </c>
      <c r="S11" s="10" t="n">
        <f aca="false">S10-S9+1</f>
        <v>31</v>
      </c>
      <c r="T11" s="10" t="n">
        <f aca="false">T10-T9+1</f>
        <v>30</v>
      </c>
      <c r="U11" s="10" t="n">
        <f aca="false">U10-U9+1</f>
        <v>31</v>
      </c>
      <c r="V11" s="10" t="n">
        <f aca="false">V10-V9+1</f>
        <v>31</v>
      </c>
      <c r="W11" s="10" t="n">
        <f aca="false">W10-W9+1</f>
        <v>30</v>
      </c>
      <c r="X11" s="10" t="n">
        <f aca="false">X10-X9+1</f>
        <v>31</v>
      </c>
      <c r="Y11" s="10" t="n">
        <f aca="false">Y10-Y9+1</f>
        <v>30</v>
      </c>
      <c r="Z11" s="10" t="n">
        <f aca="false">Z10-Z9+1</f>
        <v>31</v>
      </c>
      <c r="AA11" s="10" t="n">
        <f aca="false">AA10-AA9+1</f>
        <v>31</v>
      </c>
      <c r="AB11" s="10" t="n">
        <f aca="false">AB10-AB9+1</f>
        <v>29</v>
      </c>
      <c r="AC11" s="10" t="n">
        <f aca="false">AC10-AC9+1</f>
        <v>31</v>
      </c>
      <c r="AD11" s="10" t="n">
        <f aca="false">AD10-AD9+1</f>
        <v>30</v>
      </c>
      <c r="AE11" s="10" t="n">
        <f aca="false">AE10-AE9+1</f>
        <v>31</v>
      </c>
      <c r="AF11" s="10" t="n">
        <f aca="false">AF10-AF9+1</f>
        <v>30</v>
      </c>
      <c r="AG11" s="10" t="n">
        <f aca="false">AG10-AG9+1</f>
        <v>31</v>
      </c>
      <c r="AH11" s="10" t="n">
        <f aca="false">AH10-AH9+1</f>
        <v>31</v>
      </c>
      <c r="AI11" s="10" t="n">
        <f aca="false">AI10-AI9+1</f>
        <v>30</v>
      </c>
      <c r="AJ11" s="10" t="n">
        <f aca="false">AJ10-AJ9+1</f>
        <v>31</v>
      </c>
      <c r="AK11" s="10" t="n">
        <f aca="false">AK10-AK9+1</f>
        <v>30</v>
      </c>
      <c r="AL11" s="10" t="n">
        <f aca="false">AL10-AL9+1</f>
        <v>31</v>
      </c>
      <c r="AM11" s="10" t="n">
        <f aca="false">AM10-AM9+1</f>
        <v>31</v>
      </c>
      <c r="AN11" s="10" t="n">
        <f aca="false">AN10-AN9+1</f>
        <v>28</v>
      </c>
      <c r="AO11" s="10" t="n">
        <f aca="false">AO10-AO9+1</f>
        <v>31</v>
      </c>
      <c r="AP11" s="10" t="n">
        <f aca="false">AP10-AP9+1</f>
        <v>30</v>
      </c>
      <c r="AQ11" s="10" t="n">
        <f aca="false">AQ10-AQ9+1</f>
        <v>31</v>
      </c>
      <c r="AR11" s="10" t="n">
        <f aca="false">AR10-AR9+1</f>
        <v>30</v>
      </c>
      <c r="AS11" s="10" t="n">
        <f aca="false">AS10-AS9+1</f>
        <v>31</v>
      </c>
      <c r="AT11" s="10" t="n">
        <f aca="false">AT10-AT9+1</f>
        <v>31</v>
      </c>
      <c r="AU11" s="10" t="n">
        <f aca="false">AU10-AU9+1</f>
        <v>30</v>
      </c>
      <c r="AV11" s="10" t="n">
        <f aca="false">AV10-AV9+1</f>
        <v>31</v>
      </c>
      <c r="AW11" s="10" t="n">
        <f aca="false">AW10-AW9+1</f>
        <v>30</v>
      </c>
      <c r="AX11" s="10" t="n">
        <f aca="false">AX10-AX9+1</f>
        <v>31</v>
      </c>
      <c r="AY11" s="10" t="n">
        <f aca="false">AY10-AY9+1</f>
        <v>31</v>
      </c>
      <c r="AZ11" s="10" t="n">
        <f aca="false">AZ10-AZ9+1</f>
        <v>28</v>
      </c>
      <c r="BA11" s="10" t="n">
        <f aca="false">BA10-BA9+1</f>
        <v>31</v>
      </c>
      <c r="BB11" s="10" t="n">
        <f aca="false">BB10-BB9+1</f>
        <v>30</v>
      </c>
      <c r="BC11" s="10" t="n">
        <f aca="false">BC10-BC9+1</f>
        <v>31</v>
      </c>
      <c r="BD11" s="10" t="n">
        <f aca="false">BD10-BD9+1</f>
        <v>30</v>
      </c>
      <c r="BE11" s="10" t="n">
        <f aca="false">BE10-BE9+1</f>
        <v>31</v>
      </c>
      <c r="BF11" s="10" t="n">
        <f aca="false">BF10-BF9+1</f>
        <v>31</v>
      </c>
      <c r="BG11" s="10" t="n">
        <f aca="false">BG10-BG9+1</f>
        <v>30</v>
      </c>
      <c r="BH11" s="10" t="n">
        <f aca="false">BH10-BH9+1</f>
        <v>31</v>
      </c>
      <c r="BI11" s="10" t="n">
        <f aca="false">BI10-BI9+1</f>
        <v>30</v>
      </c>
      <c r="BJ11" s="10" t="n">
        <f aca="false">BJ10-BJ9+1</f>
        <v>31</v>
      </c>
    </row>
    <row r="12" customFormat="false" ht="15" hidden="false" customHeight="false" outlineLevel="0" collapsed="false">
      <c r="D12" s="0" t="s">
        <v>537</v>
      </c>
      <c r="E12" s="0" t="s">
        <v>91</v>
      </c>
      <c r="J12" s="10" t="n">
        <f aca="false">MATCH(J9,Time!$J$22:$BN$22,1)</f>
        <v>1</v>
      </c>
      <c r="K12" s="10" t="n">
        <f aca="false">MATCH(K9,Time!$J$22:$BN$22,1)</f>
        <v>1</v>
      </c>
      <c r="L12" s="10" t="n">
        <f aca="false">MATCH(L9,Time!$J$22:$BN$22,1)</f>
        <v>1</v>
      </c>
      <c r="M12" s="10" t="n">
        <f aca="false">MATCH(M9,Time!$J$22:$BN$22,1)</f>
        <v>1</v>
      </c>
      <c r="N12" s="10" t="n">
        <f aca="false">MATCH(N9,Time!$J$22:$BN$22,1)</f>
        <v>1</v>
      </c>
      <c r="O12" s="10" t="n">
        <f aca="false">MATCH(O9,Time!$J$22:$BN$22,1)</f>
        <v>2</v>
      </c>
      <c r="P12" s="10" t="n">
        <f aca="false">MATCH(P9,Time!$J$22:$BN$22,1)</f>
        <v>2</v>
      </c>
      <c r="Q12" s="10" t="n">
        <f aca="false">MATCH(Q9,Time!$J$22:$BN$22,1)</f>
        <v>2</v>
      </c>
      <c r="R12" s="10" t="n">
        <f aca="false">MATCH(R9,Time!$J$22:$BN$22,1)</f>
        <v>2</v>
      </c>
      <c r="S12" s="10" t="n">
        <f aca="false">MATCH(S9,Time!$J$22:$BN$22,1)</f>
        <v>2</v>
      </c>
      <c r="T12" s="10" t="n">
        <f aca="false">MATCH(T9,Time!$J$22:$BN$22,1)</f>
        <v>2</v>
      </c>
      <c r="U12" s="10" t="n">
        <f aca="false">MATCH(U9,Time!$J$22:$BN$22,1)</f>
        <v>3</v>
      </c>
      <c r="V12" s="10" t="n">
        <f aca="false">MATCH(V9,Time!$J$22:$BN$22,1)</f>
        <v>3</v>
      </c>
      <c r="W12" s="10" t="n">
        <f aca="false">MATCH(W9,Time!$J$22:$BN$22,1)</f>
        <v>3</v>
      </c>
      <c r="X12" s="10" t="n">
        <f aca="false">MATCH(X9,Time!$J$22:$BN$22,1)</f>
        <v>3</v>
      </c>
      <c r="Y12" s="10" t="n">
        <f aca="false">MATCH(Y9,Time!$J$22:$BN$22,1)</f>
        <v>3</v>
      </c>
      <c r="Z12" s="10" t="n">
        <f aca="false">MATCH(Z9,Time!$J$22:$BN$22,1)</f>
        <v>3</v>
      </c>
      <c r="AA12" s="10" t="n">
        <f aca="false">MATCH(AA9,Time!$J$22:$BN$22,1)</f>
        <v>4</v>
      </c>
      <c r="AB12" s="10" t="n">
        <f aca="false">MATCH(AB9,Time!$J$22:$BN$22,1)</f>
        <v>4</v>
      </c>
      <c r="AC12" s="10" t="n">
        <f aca="false">MATCH(AC9,Time!$J$22:$BN$22,1)</f>
        <v>4</v>
      </c>
      <c r="AD12" s="10" t="n">
        <f aca="false">MATCH(AD9,Time!$J$22:$BN$22,1)</f>
        <v>4</v>
      </c>
      <c r="AE12" s="10" t="n">
        <f aca="false">MATCH(AE9,Time!$J$22:$BN$22,1)</f>
        <v>4</v>
      </c>
      <c r="AF12" s="10" t="n">
        <f aca="false">MATCH(AF9,Time!$J$22:$BN$22,1)</f>
        <v>4</v>
      </c>
      <c r="AG12" s="10" t="n">
        <f aca="false">MATCH(AG9,Time!$J$22:$BN$22,1)</f>
        <v>5</v>
      </c>
      <c r="AH12" s="10" t="n">
        <f aca="false">MATCH(AH9,Time!$J$22:$BN$22,1)</f>
        <v>5</v>
      </c>
      <c r="AI12" s="10" t="n">
        <f aca="false">MATCH(AI9,Time!$J$22:$BN$22,1)</f>
        <v>5</v>
      </c>
      <c r="AJ12" s="10" t="n">
        <f aca="false">MATCH(AJ9,Time!$J$22:$BN$22,1)</f>
        <v>5</v>
      </c>
      <c r="AK12" s="10" t="n">
        <f aca="false">MATCH(AK9,Time!$J$22:$BN$22,1)</f>
        <v>5</v>
      </c>
      <c r="AL12" s="10" t="n">
        <f aca="false">MATCH(AL9,Time!$J$22:$BN$22,1)</f>
        <v>5</v>
      </c>
      <c r="AM12" s="10" t="n">
        <f aca="false">MATCH(AM9,Time!$J$22:$BN$22,1)</f>
        <v>6</v>
      </c>
      <c r="AN12" s="10" t="n">
        <f aca="false">MATCH(AN9,Time!$J$22:$BN$22,1)</f>
        <v>6</v>
      </c>
      <c r="AO12" s="10" t="n">
        <f aca="false">MATCH(AO9,Time!$J$22:$BN$22,1)</f>
        <v>6</v>
      </c>
      <c r="AP12" s="10" t="n">
        <f aca="false">MATCH(AP9,Time!$J$22:$BN$22,1)</f>
        <v>6</v>
      </c>
      <c r="AQ12" s="10" t="n">
        <f aca="false">MATCH(AQ9,Time!$J$22:$BN$22,1)</f>
        <v>6</v>
      </c>
      <c r="AR12" s="10" t="n">
        <f aca="false">MATCH(AR9,Time!$J$22:$BN$22,1)</f>
        <v>6</v>
      </c>
      <c r="AS12" s="10" t="n">
        <f aca="false">MATCH(AS9,Time!$J$22:$BN$22,1)</f>
        <v>7</v>
      </c>
      <c r="AT12" s="10" t="n">
        <f aca="false">MATCH(AT9,Time!$J$22:$BN$22,1)</f>
        <v>7</v>
      </c>
      <c r="AU12" s="10" t="n">
        <f aca="false">MATCH(AU9,Time!$J$22:$BN$22,1)</f>
        <v>7</v>
      </c>
      <c r="AV12" s="10" t="n">
        <f aca="false">MATCH(AV9,Time!$J$22:$BN$22,1)</f>
        <v>7</v>
      </c>
      <c r="AW12" s="10" t="n">
        <f aca="false">MATCH(AW9,Time!$J$22:$BN$22,1)</f>
        <v>7</v>
      </c>
      <c r="AX12" s="10" t="n">
        <f aca="false">MATCH(AX9,Time!$J$22:$BN$22,1)</f>
        <v>7</v>
      </c>
      <c r="AY12" s="10" t="n">
        <f aca="false">MATCH(AY9,Time!$J$22:$BN$22,1)</f>
        <v>8</v>
      </c>
      <c r="AZ12" s="10" t="n">
        <f aca="false">MATCH(AZ9,Time!$J$22:$BN$22,1)</f>
        <v>8</v>
      </c>
      <c r="BA12" s="10" t="n">
        <f aca="false">MATCH(BA9,Time!$J$22:$BN$22,1)</f>
        <v>8</v>
      </c>
      <c r="BB12" s="10" t="n">
        <f aca="false">MATCH(BB9,Time!$J$22:$BN$22,1)</f>
        <v>8</v>
      </c>
      <c r="BC12" s="10" t="n">
        <f aca="false">MATCH(BC9,Time!$J$22:$BN$22,1)</f>
        <v>8</v>
      </c>
      <c r="BD12" s="10" t="n">
        <f aca="false">MATCH(BD9,Time!$J$22:$BN$22,1)</f>
        <v>8</v>
      </c>
      <c r="BE12" s="10" t="n">
        <f aca="false">MATCH(BE9,Time!$J$22:$BN$22,1)</f>
        <v>9</v>
      </c>
      <c r="BF12" s="10" t="n">
        <f aca="false">MATCH(BF9,Time!$J$22:$BN$22,1)</f>
        <v>9</v>
      </c>
      <c r="BG12" s="10" t="n">
        <f aca="false">MATCH(BG9,Time!$J$22:$BN$22,1)</f>
        <v>9</v>
      </c>
      <c r="BH12" s="10" t="n">
        <f aca="false">MATCH(BH9,Time!$J$22:$BN$22,1)</f>
        <v>9</v>
      </c>
      <c r="BI12" s="10" t="n">
        <f aca="false">MATCH(BI9,Time!$J$22:$BN$22,1)</f>
        <v>9</v>
      </c>
      <c r="BJ12" s="10" t="n">
        <f aca="false">MATCH(BJ9,Time!$J$22:$BN$22,1)</f>
        <v>9</v>
      </c>
    </row>
    <row r="13" customFormat="false" ht="15" hidden="false" customHeight="false" outlineLevel="0" collapsed="false">
      <c r="D13" s="0" t="s">
        <v>538</v>
      </c>
      <c r="E13" s="0" t="s">
        <v>113</v>
      </c>
      <c r="J13" s="10" t="n">
        <f aca="false">IF(J8&lt;=Time!$F$11,1,0)</f>
        <v>1</v>
      </c>
      <c r="K13" s="10" t="n">
        <f aca="false">IF(K8&lt;=Time!$F$11,1,0)</f>
        <v>1</v>
      </c>
      <c r="L13" s="10" t="n">
        <f aca="false">IF(L8&lt;=Time!$F$11,1,0)</f>
        <v>1</v>
      </c>
      <c r="M13" s="10" t="n">
        <f aca="false">IF(M8&lt;=Time!$F$11,1,0)</f>
        <v>1</v>
      </c>
      <c r="N13" s="10" t="n">
        <f aca="false">IF(N8&lt;=Time!$F$11,1,0)</f>
        <v>1</v>
      </c>
      <c r="O13" s="10" t="n">
        <f aca="false">IF(O8&lt;=Time!$F$11,1,0)</f>
        <v>1</v>
      </c>
      <c r="P13" s="10" t="n">
        <f aca="false">IF(P8&lt;=Time!$F$11,1,0)</f>
        <v>1</v>
      </c>
      <c r="Q13" s="10" t="n">
        <f aca="false">IF(Q8&lt;=Time!$F$11,1,0)</f>
        <v>1</v>
      </c>
      <c r="R13" s="10" t="n">
        <f aca="false">IF(R8&lt;=Time!$F$11,1,0)</f>
        <v>1</v>
      </c>
      <c r="S13" s="10" t="n">
        <f aca="false">IF(S8&lt;=Time!$F$11,1,0)</f>
        <v>1</v>
      </c>
      <c r="T13" s="10" t="n">
        <f aca="false">IF(T8&lt;=Time!$F$11,1,0)</f>
        <v>1</v>
      </c>
      <c r="U13" s="10" t="n">
        <f aca="false">IF(U8&lt;=Time!$F$11,1,0)</f>
        <v>1</v>
      </c>
      <c r="V13" s="10" t="n">
        <f aca="false">IF(V8&lt;=Time!$F$11,1,0)</f>
        <v>1</v>
      </c>
      <c r="W13" s="10" t="n">
        <f aca="false">IF(W8&lt;=Time!$F$11,1,0)</f>
        <v>1</v>
      </c>
      <c r="X13" s="10" t="n">
        <f aca="false">IF(X8&lt;=Time!$F$11,1,0)</f>
        <v>1</v>
      </c>
      <c r="Y13" s="10" t="n">
        <f aca="false">IF(Y8&lt;=Time!$F$11,1,0)</f>
        <v>1</v>
      </c>
      <c r="Z13" s="10" t="n">
        <f aca="false">IF(Z8&lt;=Time!$F$11,1,0)</f>
        <v>1</v>
      </c>
      <c r="AA13" s="10" t="n">
        <f aca="false">IF(AA8&lt;=Time!$F$11,1,0)</f>
        <v>1</v>
      </c>
      <c r="AB13" s="10" t="n">
        <f aca="false">IF(AB8&lt;=Time!$F$11,1,0)</f>
        <v>1</v>
      </c>
      <c r="AC13" s="10" t="n">
        <f aca="false">IF(AC8&lt;=Time!$F$11,1,0)</f>
        <v>1</v>
      </c>
      <c r="AD13" s="10" t="n">
        <f aca="false">IF(AD8&lt;=Time!$F$11,1,0)</f>
        <v>1</v>
      </c>
      <c r="AE13" s="10" t="n">
        <f aca="false">IF(AE8&lt;=Time!$F$11,1,0)</f>
        <v>1</v>
      </c>
      <c r="AF13" s="10" t="n">
        <f aca="false">IF(AF8&lt;=Time!$F$11,1,0)</f>
        <v>1</v>
      </c>
      <c r="AG13" s="10" t="n">
        <f aca="false">IF(AG8&lt;=Time!$F$11,1,0)</f>
        <v>1</v>
      </c>
      <c r="AH13" s="10" t="n">
        <f aca="false">IF(AH8&lt;=Time!$F$11,1,0)</f>
        <v>1</v>
      </c>
      <c r="AI13" s="10" t="n">
        <f aca="false">IF(AI8&lt;=Time!$F$11,1,0)</f>
        <v>1</v>
      </c>
      <c r="AJ13" s="10" t="n">
        <f aca="false">IF(AJ8&lt;=Time!$F$11,1,0)</f>
        <v>1</v>
      </c>
      <c r="AK13" s="10" t="n">
        <f aca="false">IF(AK8&lt;=Time!$F$11,1,0)</f>
        <v>1</v>
      </c>
      <c r="AL13" s="10" t="n">
        <f aca="false">IF(AL8&lt;=Time!$F$11,1,0)</f>
        <v>1</v>
      </c>
      <c r="AM13" s="10" t="n">
        <f aca="false">IF(AM8&lt;=Time!$F$11,1,0)</f>
        <v>1</v>
      </c>
      <c r="AN13" s="10" t="n">
        <f aca="false">IF(AN8&lt;=Time!$F$11,1,0)</f>
        <v>1</v>
      </c>
      <c r="AO13" s="10" t="n">
        <f aca="false">IF(AO8&lt;=Time!$F$11,1,0)</f>
        <v>1</v>
      </c>
      <c r="AP13" s="10" t="n">
        <f aca="false">IF(AP8&lt;=Time!$F$11,1,0)</f>
        <v>1</v>
      </c>
      <c r="AQ13" s="10" t="n">
        <f aca="false">IF(AQ8&lt;=Time!$F$11,1,0)</f>
        <v>1</v>
      </c>
      <c r="AR13" s="10" t="n">
        <f aca="false">IF(AR8&lt;=Time!$F$11,1,0)</f>
        <v>1</v>
      </c>
      <c r="AS13" s="10" t="n">
        <f aca="false">IF(AS8&lt;=Time!$F$11,1,0)</f>
        <v>1</v>
      </c>
      <c r="AT13" s="10" t="n">
        <f aca="false">IF(AT8&lt;=Time!$F$11,1,0)</f>
        <v>1</v>
      </c>
      <c r="AU13" s="10" t="n">
        <f aca="false">IF(AU8&lt;=Time!$F$11,1,0)</f>
        <v>1</v>
      </c>
      <c r="AV13" s="10" t="n">
        <f aca="false">IF(AV8&lt;=Time!$F$11,1,0)</f>
        <v>1</v>
      </c>
      <c r="AW13" s="10" t="n">
        <f aca="false">IF(AW8&lt;=Time!$F$11,1,0)</f>
        <v>1</v>
      </c>
      <c r="AX13" s="10" t="n">
        <f aca="false">IF(AX8&lt;=Time!$F$11,1,0)</f>
        <v>0</v>
      </c>
      <c r="AY13" s="10" t="n">
        <f aca="false">IF(AY8&lt;=Time!$F$11,1,0)</f>
        <v>0</v>
      </c>
      <c r="AZ13" s="10" t="n">
        <f aca="false">IF(AZ8&lt;=Time!$F$11,1,0)</f>
        <v>0</v>
      </c>
      <c r="BA13" s="10" t="n">
        <f aca="false">IF(BA8&lt;=Time!$F$11,1,0)</f>
        <v>0</v>
      </c>
      <c r="BB13" s="10" t="n">
        <f aca="false">IF(BB8&lt;=Time!$F$11,1,0)</f>
        <v>0</v>
      </c>
      <c r="BC13" s="10" t="n">
        <f aca="false">IF(BC8&lt;=Time!$F$11,1,0)</f>
        <v>0</v>
      </c>
      <c r="BD13" s="10" t="n">
        <f aca="false">IF(BD8&lt;=Time!$F$11,1,0)</f>
        <v>0</v>
      </c>
      <c r="BE13" s="10" t="n">
        <f aca="false">IF(BE8&lt;=Time!$F$11,1,0)</f>
        <v>0</v>
      </c>
      <c r="BF13" s="10" t="n">
        <f aca="false">IF(BF8&lt;=Time!$F$11,1,0)</f>
        <v>0</v>
      </c>
      <c r="BG13" s="10" t="n">
        <f aca="false">IF(BG8&lt;=Time!$F$11,1,0)</f>
        <v>0</v>
      </c>
      <c r="BH13" s="10" t="n">
        <f aca="false">IF(BH8&lt;=Time!$F$11,1,0)</f>
        <v>0</v>
      </c>
      <c r="BI13" s="10" t="n">
        <f aca="false">IF(BI8&lt;=Time!$F$11,1,0)</f>
        <v>0</v>
      </c>
      <c r="BJ13" s="10" t="n">
        <f aca="false">IF(BJ8&lt;=Time!$F$11,1,0)</f>
        <v>0</v>
      </c>
    </row>
    <row r="14" customFormat="false" ht="15" hidden="false" customHeight="false" outlineLevel="0" collapsed="false">
      <c r="D14" s="0" t="s">
        <v>539</v>
      </c>
      <c r="E14" s="0" t="s">
        <v>113</v>
      </c>
      <c r="J14" s="10" t="n">
        <f aca="false">IF(J8&lt;=Time!$F$14,1,0)</f>
        <v>1</v>
      </c>
      <c r="K14" s="10" t="n">
        <f aca="false">IF(K8&lt;=Time!$F$14,1,0)</f>
        <v>1</v>
      </c>
      <c r="L14" s="10" t="n">
        <f aca="false">IF(L8&lt;=Time!$F$14,1,0)</f>
        <v>1</v>
      </c>
      <c r="M14" s="10" t="n">
        <f aca="false">IF(M8&lt;=Time!$F$14,1,0)</f>
        <v>1</v>
      </c>
      <c r="N14" s="10" t="n">
        <f aca="false">IF(N8&lt;=Time!$F$14,1,0)</f>
        <v>1</v>
      </c>
      <c r="O14" s="10" t="n">
        <f aca="false">IF(O8&lt;=Time!$F$14,1,0)</f>
        <v>1</v>
      </c>
      <c r="P14" s="10" t="n">
        <f aca="false">IF(P8&lt;=Time!$F$14,1,0)</f>
        <v>1</v>
      </c>
      <c r="Q14" s="10" t="n">
        <f aca="false">IF(Q8&lt;=Time!$F$14,1,0)</f>
        <v>1</v>
      </c>
      <c r="R14" s="10" t="n">
        <f aca="false">IF(R8&lt;=Time!$F$14,1,0)</f>
        <v>1</v>
      </c>
      <c r="S14" s="10" t="n">
        <f aca="false">IF(S8&lt;=Time!$F$14,1,0)</f>
        <v>1</v>
      </c>
      <c r="T14" s="10" t="n">
        <f aca="false">IF(T8&lt;=Time!$F$14,1,0)</f>
        <v>1</v>
      </c>
      <c r="U14" s="10" t="n">
        <f aca="false">IF(U8&lt;=Time!$F$14,1,0)</f>
        <v>1</v>
      </c>
      <c r="V14" s="10" t="n">
        <f aca="false">IF(V8&lt;=Time!$F$14,1,0)</f>
        <v>1</v>
      </c>
      <c r="W14" s="10" t="n">
        <f aca="false">IF(W8&lt;=Time!$F$14,1,0)</f>
        <v>1</v>
      </c>
      <c r="X14" s="10" t="n">
        <f aca="false">IF(X8&lt;=Time!$F$14,1,0)</f>
        <v>1</v>
      </c>
      <c r="Y14" s="10" t="n">
        <f aca="false">IF(Y8&lt;=Time!$F$14,1,0)</f>
        <v>1</v>
      </c>
      <c r="Z14" s="10" t="n">
        <f aca="false">IF(Z8&lt;=Time!$F$14,1,0)</f>
        <v>1</v>
      </c>
      <c r="AA14" s="10" t="n">
        <f aca="false">IF(AA8&lt;=Time!$F$14,1,0)</f>
        <v>1</v>
      </c>
      <c r="AB14" s="10" t="n">
        <f aca="false">IF(AB8&lt;=Time!$F$14,1,0)</f>
        <v>1</v>
      </c>
      <c r="AC14" s="10" t="n">
        <f aca="false">IF(AC8&lt;=Time!$F$14,1,0)</f>
        <v>1</v>
      </c>
      <c r="AD14" s="10" t="n">
        <f aca="false">IF(AD8&lt;=Time!$F$14,1,0)</f>
        <v>1</v>
      </c>
      <c r="AE14" s="10" t="n">
        <f aca="false">IF(AE8&lt;=Time!$F$14,1,0)</f>
        <v>1</v>
      </c>
      <c r="AF14" s="10" t="n">
        <f aca="false">IF(AF8&lt;=Time!$F$14,1,0)</f>
        <v>1</v>
      </c>
      <c r="AG14" s="10" t="n">
        <f aca="false">IF(AG8&lt;=Time!$F$14,1,0)</f>
        <v>1</v>
      </c>
      <c r="AH14" s="10" t="n">
        <f aca="false">IF(AH8&lt;=Time!$F$14,1,0)</f>
        <v>1</v>
      </c>
      <c r="AI14" s="10" t="n">
        <f aca="false">IF(AI8&lt;=Time!$F$14,1,0)</f>
        <v>1</v>
      </c>
      <c r="AJ14" s="10" t="n">
        <f aca="false">IF(AJ8&lt;=Time!$F$14,1,0)</f>
        <v>1</v>
      </c>
      <c r="AK14" s="10" t="n">
        <f aca="false">IF(AK8&lt;=Time!$F$14,1,0)</f>
        <v>1</v>
      </c>
      <c r="AL14" s="10" t="n">
        <f aca="false">IF(AL8&lt;=Time!$F$14,1,0)</f>
        <v>1</v>
      </c>
      <c r="AM14" s="10" t="n">
        <f aca="false">IF(AM8&lt;=Time!$F$14,1,0)</f>
        <v>1</v>
      </c>
      <c r="AN14" s="10" t="n">
        <f aca="false">IF(AN8&lt;=Time!$F$14,1,0)</f>
        <v>1</v>
      </c>
      <c r="AO14" s="10" t="n">
        <f aca="false">IF(AO8&lt;=Time!$F$14,1,0)</f>
        <v>1</v>
      </c>
      <c r="AP14" s="10" t="n">
        <f aca="false">IF(AP8&lt;=Time!$F$14,1,0)</f>
        <v>1</v>
      </c>
      <c r="AQ14" s="10" t="n">
        <f aca="false">IF(AQ8&lt;=Time!$F$14,1,0)</f>
        <v>1</v>
      </c>
      <c r="AR14" s="10" t="n">
        <f aca="false">IF(AR8&lt;=Time!$F$14,1,0)</f>
        <v>1</v>
      </c>
      <c r="AS14" s="10" t="n">
        <f aca="false">IF(AS8&lt;=Time!$F$14,1,0)</f>
        <v>1</v>
      </c>
      <c r="AT14" s="10" t="n">
        <f aca="false">IF(AT8&lt;=Time!$F$14,1,0)</f>
        <v>1</v>
      </c>
      <c r="AU14" s="10" t="n">
        <f aca="false">IF(AU8&lt;=Time!$F$14,1,0)</f>
        <v>1</v>
      </c>
      <c r="AV14" s="10" t="n">
        <f aca="false">IF(AV8&lt;=Time!$F$14,1,0)</f>
        <v>1</v>
      </c>
      <c r="AW14" s="10" t="n">
        <f aca="false">IF(AW8&lt;=Time!$F$14,1,0)</f>
        <v>1</v>
      </c>
      <c r="AX14" s="10" t="n">
        <f aca="false">IF(AX8&lt;=Time!$F$14,1,0)</f>
        <v>1</v>
      </c>
      <c r="AY14" s="10" t="n">
        <f aca="false">IF(AY8&lt;=Time!$F$14,1,0)</f>
        <v>0</v>
      </c>
      <c r="AZ14" s="10" t="n">
        <f aca="false">IF(AZ8&lt;=Time!$F$14,1,0)</f>
        <v>0</v>
      </c>
      <c r="BA14" s="10" t="n">
        <f aca="false">IF(BA8&lt;=Time!$F$14,1,0)</f>
        <v>0</v>
      </c>
      <c r="BB14" s="10" t="n">
        <f aca="false">IF(BB8&lt;=Time!$F$14,1,0)</f>
        <v>0</v>
      </c>
      <c r="BC14" s="10" t="n">
        <f aca="false">IF(BC8&lt;=Time!$F$14,1,0)</f>
        <v>0</v>
      </c>
      <c r="BD14" s="10" t="n">
        <f aca="false">IF(BD8&lt;=Time!$F$14,1,0)</f>
        <v>0</v>
      </c>
      <c r="BE14" s="10" t="n">
        <f aca="false">IF(BE8&lt;=Time!$F$14,1,0)</f>
        <v>0</v>
      </c>
      <c r="BF14" s="10" t="n">
        <f aca="false">IF(BF8&lt;=Time!$F$14,1,0)</f>
        <v>0</v>
      </c>
      <c r="BG14" s="10" t="n">
        <f aca="false">IF(BG8&lt;=Time!$F$14,1,0)</f>
        <v>0</v>
      </c>
      <c r="BH14" s="10" t="n">
        <f aca="false">IF(BH8&lt;=Time!$F$14,1,0)</f>
        <v>0</v>
      </c>
      <c r="BI14" s="10" t="n">
        <f aca="false">IF(BI8&lt;=Time!$F$14,1,0)</f>
        <v>0</v>
      </c>
      <c r="BJ14" s="10" t="n">
        <f aca="false">IF(BJ8&lt;=Time!$F$14,1,0)</f>
        <v>0</v>
      </c>
    </row>
    <row r="15" customFormat="false" ht="15" hidden="false" customHeight="false" outlineLevel="0" collapsed="false">
      <c r="D15" s="0" t="s">
        <v>540</v>
      </c>
      <c r="E15" s="0" t="s">
        <v>113</v>
      </c>
      <c r="J15" s="10" t="n">
        <f aca="false">IF(J8=Time!$F$11+1,1,0)</f>
        <v>0</v>
      </c>
      <c r="K15" s="10" t="n">
        <f aca="false">IF(K8=Time!$F$11+1,1,0)</f>
        <v>0</v>
      </c>
      <c r="L15" s="10" t="n">
        <f aca="false">IF(L8=Time!$F$11+1,1,0)</f>
        <v>0</v>
      </c>
      <c r="M15" s="10" t="n">
        <f aca="false">IF(M8=Time!$F$11+1,1,0)</f>
        <v>0</v>
      </c>
      <c r="N15" s="10" t="n">
        <f aca="false">IF(N8=Time!$F$11+1,1,0)</f>
        <v>0</v>
      </c>
      <c r="O15" s="10" t="n">
        <f aca="false">IF(O8=Time!$F$11+1,1,0)</f>
        <v>0</v>
      </c>
      <c r="P15" s="10" t="n">
        <f aca="false">IF(P8=Time!$F$11+1,1,0)</f>
        <v>0</v>
      </c>
      <c r="Q15" s="10" t="n">
        <f aca="false">IF(Q8=Time!$F$11+1,1,0)</f>
        <v>0</v>
      </c>
      <c r="R15" s="10" t="n">
        <f aca="false">IF(R8=Time!$F$11+1,1,0)</f>
        <v>0</v>
      </c>
      <c r="S15" s="10" t="n">
        <f aca="false">IF(S8=Time!$F$11+1,1,0)</f>
        <v>0</v>
      </c>
      <c r="T15" s="10" t="n">
        <f aca="false">IF(T8=Time!$F$11+1,1,0)</f>
        <v>0</v>
      </c>
      <c r="U15" s="10" t="n">
        <f aca="false">IF(U8=Time!$F$11+1,1,0)</f>
        <v>0</v>
      </c>
      <c r="V15" s="10" t="n">
        <f aca="false">IF(V8=Time!$F$11+1,1,0)</f>
        <v>0</v>
      </c>
      <c r="W15" s="10" t="n">
        <f aca="false">IF(W8=Time!$F$11+1,1,0)</f>
        <v>0</v>
      </c>
      <c r="X15" s="10" t="n">
        <f aca="false">IF(X8=Time!$F$11+1,1,0)</f>
        <v>0</v>
      </c>
      <c r="Y15" s="10" t="n">
        <f aca="false">IF(Y8=Time!$F$11+1,1,0)</f>
        <v>0</v>
      </c>
      <c r="Z15" s="10" t="n">
        <f aca="false">IF(Z8=Time!$F$11+1,1,0)</f>
        <v>0</v>
      </c>
      <c r="AA15" s="10" t="n">
        <f aca="false">IF(AA8=Time!$F$11+1,1,0)</f>
        <v>0</v>
      </c>
      <c r="AB15" s="10" t="n">
        <f aca="false">IF(AB8=Time!$F$11+1,1,0)</f>
        <v>0</v>
      </c>
      <c r="AC15" s="10" t="n">
        <f aca="false">IF(AC8=Time!$F$11+1,1,0)</f>
        <v>0</v>
      </c>
      <c r="AD15" s="10" t="n">
        <f aca="false">IF(AD8=Time!$F$11+1,1,0)</f>
        <v>0</v>
      </c>
      <c r="AE15" s="10" t="n">
        <f aca="false">IF(AE8=Time!$F$11+1,1,0)</f>
        <v>0</v>
      </c>
      <c r="AF15" s="10" t="n">
        <f aca="false">IF(AF8=Time!$F$11+1,1,0)</f>
        <v>0</v>
      </c>
      <c r="AG15" s="10" t="n">
        <f aca="false">IF(AG8=Time!$F$11+1,1,0)</f>
        <v>0</v>
      </c>
      <c r="AH15" s="10" t="n">
        <f aca="false">IF(AH8=Time!$F$11+1,1,0)</f>
        <v>0</v>
      </c>
      <c r="AI15" s="10" t="n">
        <f aca="false">IF(AI8=Time!$F$11+1,1,0)</f>
        <v>0</v>
      </c>
      <c r="AJ15" s="10" t="n">
        <f aca="false">IF(AJ8=Time!$F$11+1,1,0)</f>
        <v>0</v>
      </c>
      <c r="AK15" s="10" t="n">
        <f aca="false">IF(AK8=Time!$F$11+1,1,0)</f>
        <v>0</v>
      </c>
      <c r="AL15" s="10" t="n">
        <f aca="false">IF(AL8=Time!$F$11+1,1,0)</f>
        <v>0</v>
      </c>
      <c r="AM15" s="10" t="n">
        <f aca="false">IF(AM8=Time!$F$11+1,1,0)</f>
        <v>0</v>
      </c>
      <c r="AN15" s="10" t="n">
        <f aca="false">IF(AN8=Time!$F$11+1,1,0)</f>
        <v>0</v>
      </c>
      <c r="AO15" s="10" t="n">
        <f aca="false">IF(AO8=Time!$F$11+1,1,0)</f>
        <v>0</v>
      </c>
      <c r="AP15" s="10" t="n">
        <f aca="false">IF(AP8=Time!$F$11+1,1,0)</f>
        <v>0</v>
      </c>
      <c r="AQ15" s="10" t="n">
        <f aca="false">IF(AQ8=Time!$F$11+1,1,0)</f>
        <v>0</v>
      </c>
      <c r="AR15" s="10" t="n">
        <f aca="false">IF(AR8=Time!$F$11+1,1,0)</f>
        <v>0</v>
      </c>
      <c r="AS15" s="10" t="n">
        <f aca="false">IF(AS8=Time!$F$11+1,1,0)</f>
        <v>0</v>
      </c>
      <c r="AT15" s="10" t="n">
        <f aca="false">IF(AT8=Time!$F$11+1,1,0)</f>
        <v>0</v>
      </c>
      <c r="AU15" s="10" t="n">
        <f aca="false">IF(AU8=Time!$F$11+1,1,0)</f>
        <v>0</v>
      </c>
      <c r="AV15" s="10" t="n">
        <f aca="false">IF(AV8=Time!$F$11+1,1,0)</f>
        <v>0</v>
      </c>
      <c r="AW15" s="10" t="n">
        <f aca="false">IF(AW8=Time!$F$11+1,1,0)</f>
        <v>0</v>
      </c>
      <c r="AX15" s="10" t="n">
        <f aca="false">IF(AX8=Time!$F$11+1,1,0)</f>
        <v>1</v>
      </c>
      <c r="AY15" s="10" t="n">
        <f aca="false">IF(AY8=Time!$F$11+1,1,0)</f>
        <v>0</v>
      </c>
      <c r="AZ15" s="10" t="n">
        <f aca="false">IF(AZ8=Time!$F$11+1,1,0)</f>
        <v>0</v>
      </c>
      <c r="BA15" s="10" t="n">
        <f aca="false">IF(BA8=Time!$F$11+1,1,0)</f>
        <v>0</v>
      </c>
      <c r="BB15" s="10" t="n">
        <f aca="false">IF(BB8=Time!$F$11+1,1,0)</f>
        <v>0</v>
      </c>
      <c r="BC15" s="10" t="n">
        <f aca="false">IF(BC8=Time!$F$11+1,1,0)</f>
        <v>0</v>
      </c>
      <c r="BD15" s="10" t="n">
        <f aca="false">IF(BD8=Time!$F$11+1,1,0)</f>
        <v>0</v>
      </c>
      <c r="BE15" s="10" t="n">
        <f aca="false">IF(BE8=Time!$F$11+1,1,0)</f>
        <v>0</v>
      </c>
      <c r="BF15" s="10" t="n">
        <f aca="false">IF(BF8=Time!$F$11+1,1,0)</f>
        <v>0</v>
      </c>
      <c r="BG15" s="10" t="n">
        <f aca="false">IF(BG8=Time!$F$11+1,1,0)</f>
        <v>0</v>
      </c>
      <c r="BH15" s="10" t="n">
        <f aca="false">IF(BH8=Time!$F$11+1,1,0)</f>
        <v>0</v>
      </c>
      <c r="BI15" s="10" t="n">
        <f aca="false">IF(BI8=Time!$F$11+1,1,0)</f>
        <v>0</v>
      </c>
      <c r="BJ15" s="10" t="n">
        <f aca="false">IF(BJ8=Time!$F$11+1,1,0)</f>
        <v>0</v>
      </c>
    </row>
    <row r="16" customFormat="false" ht="15" hidden="false" customHeight="false" outlineLevel="0" collapsed="false">
      <c r="D16" s="0" t="s">
        <v>541</v>
      </c>
      <c r="E16" s="0" t="s">
        <v>153</v>
      </c>
      <c r="J16" s="13" t="n">
        <f aca="false">IF(Inputs!$F$33=1,Inputs!$F$60*Time!$F$16^((J8-Inputs!$F$212)/12),INDEX(Operations!$J$11:$BN$11,1,J12))</f>
        <v>524.6</v>
      </c>
      <c r="K16" s="13" t="n">
        <f aca="false">IF(Inputs!$F$33=1,Inputs!$F$60*Time!$F$16^((K8-Inputs!$F$212)/12),INDEX(Operations!$J$11:$BN$11,1,K12))</f>
        <v>524.6</v>
      </c>
      <c r="L16" s="13" t="n">
        <f aca="false">IF(Inputs!$F$33=1,Inputs!$F$60*Time!$F$16^((L8-Inputs!$F$212)/12),INDEX(Operations!$J$11:$BN$11,1,L12))</f>
        <v>524.6</v>
      </c>
      <c r="M16" s="13" t="n">
        <f aca="false">IF(Inputs!$F$33=1,Inputs!$F$60*Time!$F$16^((M8-Inputs!$F$212)/12),INDEX(Operations!$J$11:$BN$11,1,M12))</f>
        <v>524.6</v>
      </c>
      <c r="N16" s="13" t="n">
        <f aca="false">IF(Inputs!$F$33=1,Inputs!$F$60*Time!$F$16^((N8-Inputs!$F$212)/12),INDEX(Operations!$J$11:$BN$11,1,N12))</f>
        <v>524.6</v>
      </c>
      <c r="O16" s="13" t="n">
        <f aca="false">IF(Inputs!$F$33=1,Inputs!$F$60*Time!$F$16^((O8-Inputs!$F$212)/12),INDEX(Operations!$J$11:$BN$11,1,O12))</f>
        <v>539.1</v>
      </c>
      <c r="P16" s="13" t="n">
        <f aca="false">IF(Inputs!$F$33=1,Inputs!$F$60*Time!$F$16^((P8-Inputs!$F$212)/12),INDEX(Operations!$J$11:$BN$11,1,P12))</f>
        <v>539.1</v>
      </c>
      <c r="Q16" s="13" t="n">
        <f aca="false">IF(Inputs!$F$33=1,Inputs!$F$60*Time!$F$16^((Q8-Inputs!$F$212)/12),INDEX(Operations!$J$11:$BN$11,1,Q12))</f>
        <v>539.1</v>
      </c>
      <c r="R16" s="13" t="n">
        <f aca="false">IF(Inputs!$F$33=1,Inputs!$F$60*Time!$F$16^((R8-Inputs!$F$212)/12),INDEX(Operations!$J$11:$BN$11,1,R12))</f>
        <v>539.1</v>
      </c>
      <c r="S16" s="13" t="n">
        <f aca="false">IF(Inputs!$F$33=1,Inputs!$F$60*Time!$F$16^((S8-Inputs!$F$212)/12),INDEX(Operations!$J$11:$BN$11,1,S12))</f>
        <v>539.1</v>
      </c>
      <c r="T16" s="13" t="n">
        <f aca="false">IF(Inputs!$F$33=1,Inputs!$F$60*Time!$F$16^((T8-Inputs!$F$212)/12),INDEX(Operations!$J$11:$BN$11,1,T12))</f>
        <v>539.1</v>
      </c>
      <c r="U16" s="13" t="n">
        <f aca="false">IF(Inputs!$F$33=1,Inputs!$F$60*Time!$F$16^((U8-Inputs!$F$212)/12),INDEX(Operations!$J$11:$BN$11,1,U12))</f>
        <v>551.3</v>
      </c>
      <c r="V16" s="13" t="n">
        <f aca="false">IF(Inputs!$F$33=1,Inputs!$F$60*Time!$F$16^((V8-Inputs!$F$212)/12),INDEX(Operations!$J$11:$BN$11,1,V12))</f>
        <v>551.3</v>
      </c>
      <c r="W16" s="13" t="n">
        <f aca="false">IF(Inputs!$F$33=1,Inputs!$F$60*Time!$F$16^((W8-Inputs!$F$212)/12),INDEX(Operations!$J$11:$BN$11,1,W12))</f>
        <v>551.3</v>
      </c>
      <c r="X16" s="13" t="n">
        <f aca="false">IF(Inputs!$F$33=1,Inputs!$F$60*Time!$F$16^((X8-Inputs!$F$212)/12),INDEX(Operations!$J$11:$BN$11,1,X12))</f>
        <v>551.3</v>
      </c>
      <c r="Y16" s="13" t="n">
        <f aca="false">IF(Inputs!$F$33=1,Inputs!$F$60*Time!$F$16^((Y8-Inputs!$F$212)/12),INDEX(Operations!$J$11:$BN$11,1,Y12))</f>
        <v>551.3</v>
      </c>
      <c r="Z16" s="13" t="n">
        <f aca="false">IF(Inputs!$F$33=1,Inputs!$F$60*Time!$F$16^((Z8-Inputs!$F$212)/12),INDEX(Operations!$J$11:$BN$11,1,Z12))</f>
        <v>551.3</v>
      </c>
      <c r="AA16" s="13" t="n">
        <f aca="false">IF(Inputs!$F$33=1,Inputs!$F$60*Time!$F$16^((AA8-Inputs!$F$212)/12),INDEX(Operations!$J$11:$BN$11,1,AA12))</f>
        <v>566</v>
      </c>
      <c r="AB16" s="13" t="n">
        <f aca="false">IF(Inputs!$F$33=1,Inputs!$F$60*Time!$F$16^((AB8-Inputs!$F$212)/12),INDEX(Operations!$J$11:$BN$11,1,AB12))</f>
        <v>566</v>
      </c>
      <c r="AC16" s="13" t="n">
        <f aca="false">IF(Inputs!$F$33=1,Inputs!$F$60*Time!$F$16^((AC8-Inputs!$F$212)/12),INDEX(Operations!$J$11:$BN$11,1,AC12))</f>
        <v>566</v>
      </c>
      <c r="AD16" s="13" t="n">
        <f aca="false">IF(Inputs!$F$33=1,Inputs!$F$60*Time!$F$16^((AD8-Inputs!$F$212)/12),INDEX(Operations!$J$11:$BN$11,1,AD12))</f>
        <v>566</v>
      </c>
      <c r="AE16" s="13" t="n">
        <f aca="false">IF(Inputs!$F$33=1,Inputs!$F$60*Time!$F$16^((AE8-Inputs!$F$212)/12),INDEX(Operations!$J$11:$BN$11,1,AE12))</f>
        <v>566</v>
      </c>
      <c r="AF16" s="13" t="n">
        <f aca="false">IF(Inputs!$F$33=1,Inputs!$F$60*Time!$F$16^((AF8-Inputs!$F$212)/12),INDEX(Operations!$J$11:$BN$11,1,AF12))</f>
        <v>566</v>
      </c>
      <c r="AG16" s="13" t="n">
        <f aca="false">IF(Inputs!$F$33=1,Inputs!$F$60*Time!$F$16^((AG8-Inputs!$F$212)/12),INDEX(Operations!$J$11:$BN$11,1,AG12))</f>
        <v>579.8</v>
      </c>
      <c r="AH16" s="13" t="n">
        <f aca="false">IF(Inputs!$F$33=1,Inputs!$F$60*Time!$F$16^((AH8-Inputs!$F$212)/12),INDEX(Operations!$J$11:$BN$11,1,AH12))</f>
        <v>579.8</v>
      </c>
      <c r="AI16" s="13" t="n">
        <f aca="false">IF(Inputs!$F$33=1,Inputs!$F$60*Time!$F$16^((AI8-Inputs!$F$212)/12),INDEX(Operations!$J$11:$BN$11,1,AI12))</f>
        <v>579.8</v>
      </c>
      <c r="AJ16" s="13" t="n">
        <f aca="false">IF(Inputs!$F$33=1,Inputs!$F$60*Time!$F$16^((AJ8-Inputs!$F$212)/12),INDEX(Operations!$J$11:$BN$11,1,AJ12))</f>
        <v>579.8</v>
      </c>
      <c r="AK16" s="13" t="n">
        <f aca="false">IF(Inputs!$F$33=1,Inputs!$F$60*Time!$F$16^((AK8-Inputs!$F$212)/12),INDEX(Operations!$J$11:$BN$11,1,AK12))</f>
        <v>579.8</v>
      </c>
      <c r="AL16" s="13" t="n">
        <f aca="false">IF(Inputs!$F$33=1,Inputs!$F$60*Time!$F$16^((AL8-Inputs!$F$212)/12),INDEX(Operations!$J$11:$BN$11,1,AL12))</f>
        <v>579.8</v>
      </c>
      <c r="AM16" s="13" t="n">
        <f aca="false">IF(Inputs!$F$33=1,Inputs!$F$60*Time!$F$16^((AM8-Inputs!$F$212)/12),INDEX(Operations!$J$11:$BN$11,1,AM12))</f>
        <v>597.4</v>
      </c>
      <c r="AN16" s="13" t="n">
        <f aca="false">IF(Inputs!$F$33=1,Inputs!$F$60*Time!$F$16^((AN8-Inputs!$F$212)/12),INDEX(Operations!$J$11:$BN$11,1,AN12))</f>
        <v>597.4</v>
      </c>
      <c r="AO16" s="13" t="n">
        <f aca="false">IF(Inputs!$F$33=1,Inputs!$F$60*Time!$F$16^((AO8-Inputs!$F$212)/12),INDEX(Operations!$J$11:$BN$11,1,AO12))</f>
        <v>597.4</v>
      </c>
      <c r="AP16" s="13" t="n">
        <f aca="false">IF(Inputs!$F$33=1,Inputs!$F$60*Time!$F$16^((AP8-Inputs!$F$212)/12),INDEX(Operations!$J$11:$BN$11,1,AP12))</f>
        <v>597.4</v>
      </c>
      <c r="AQ16" s="13" t="n">
        <f aca="false">IF(Inputs!$F$33=1,Inputs!$F$60*Time!$F$16^((AQ8-Inputs!$F$212)/12),INDEX(Operations!$J$11:$BN$11,1,AQ12))</f>
        <v>597.4</v>
      </c>
      <c r="AR16" s="13" t="n">
        <f aca="false">IF(Inputs!$F$33=1,Inputs!$F$60*Time!$F$16^((AR8-Inputs!$F$212)/12),INDEX(Operations!$J$11:$BN$11,1,AR12))</f>
        <v>597.4</v>
      </c>
      <c r="AS16" s="13" t="n">
        <f aca="false">IF(Inputs!$F$33=1,Inputs!$F$60*Time!$F$16^((AS8-Inputs!$F$212)/12),INDEX(Operations!$J$11:$BN$11,1,AS12))</f>
        <v>609.6</v>
      </c>
      <c r="AT16" s="13" t="n">
        <f aca="false">IF(Inputs!$F$33=1,Inputs!$F$60*Time!$F$16^((AT8-Inputs!$F$212)/12),INDEX(Operations!$J$11:$BN$11,1,AT12))</f>
        <v>609.6</v>
      </c>
      <c r="AU16" s="13" t="n">
        <f aca="false">IF(Inputs!$F$33=1,Inputs!$F$60*Time!$F$16^((AU8-Inputs!$F$212)/12),INDEX(Operations!$J$11:$BN$11,1,AU12))</f>
        <v>609.6</v>
      </c>
      <c r="AV16" s="13" t="n">
        <f aca="false">IF(Inputs!$F$33=1,Inputs!$F$60*Time!$F$16^((AV8-Inputs!$F$212)/12),INDEX(Operations!$J$11:$BN$11,1,AV12))</f>
        <v>609.6</v>
      </c>
      <c r="AW16" s="13" t="n">
        <f aca="false">IF(Inputs!$F$33=1,Inputs!$F$60*Time!$F$16^((AW8-Inputs!$F$212)/12),INDEX(Operations!$J$11:$BN$11,1,AW12))</f>
        <v>609.6</v>
      </c>
      <c r="AX16" s="13" t="n">
        <f aca="false">IF(Inputs!$F$33=1,Inputs!$F$60*Time!$F$16^((AX8-Inputs!$F$212)/12),INDEX(Operations!$J$11:$BN$11,1,AX12))</f>
        <v>609.6</v>
      </c>
      <c r="AY16" s="13" t="n">
        <f aca="false">IF(Inputs!$F$33=1,Inputs!$F$60*Time!$F$16^((AY8-Inputs!$F$212)/12),INDEX(Operations!$J$11:$BN$11,1,AY12))</f>
        <v>654.9</v>
      </c>
      <c r="AZ16" s="13" t="n">
        <f aca="false">IF(Inputs!$F$33=1,Inputs!$F$60*Time!$F$16^((AZ8-Inputs!$F$212)/12),INDEX(Operations!$J$11:$BN$11,1,AZ12))</f>
        <v>654.9</v>
      </c>
      <c r="BA16" s="13" t="n">
        <f aca="false">IF(Inputs!$F$33=1,Inputs!$F$60*Time!$F$16^((BA8-Inputs!$F$212)/12),INDEX(Operations!$J$11:$BN$11,1,BA12))</f>
        <v>654.9</v>
      </c>
      <c r="BB16" s="13" t="n">
        <f aca="false">IF(Inputs!$F$33=1,Inputs!$F$60*Time!$F$16^((BB8-Inputs!$F$212)/12),INDEX(Operations!$J$11:$BN$11,1,BB12))</f>
        <v>654.9</v>
      </c>
      <c r="BC16" s="13" t="n">
        <f aca="false">IF(Inputs!$F$33=1,Inputs!$F$60*Time!$F$16^((BC8-Inputs!$F$212)/12),INDEX(Operations!$J$11:$BN$11,1,BC12))</f>
        <v>654.9</v>
      </c>
      <c r="BD16" s="13" t="n">
        <f aca="false">IF(Inputs!$F$33=1,Inputs!$F$60*Time!$F$16^((BD8-Inputs!$F$212)/12),INDEX(Operations!$J$11:$BN$11,1,BD12))</f>
        <v>654.9</v>
      </c>
      <c r="BE16" s="13" t="n">
        <f aca="false">IF(Inputs!$F$33=1,Inputs!$F$60*Time!$F$16^((BE8-Inputs!$F$212)/12),INDEX(Operations!$J$11:$BN$11,1,BE12))</f>
        <v>830.3</v>
      </c>
      <c r="BF16" s="13" t="n">
        <f aca="false">IF(Inputs!$F$33=1,Inputs!$F$60*Time!$F$16^((BF8-Inputs!$F$212)/12),INDEX(Operations!$J$11:$BN$11,1,BF12))</f>
        <v>830.3</v>
      </c>
      <c r="BG16" s="13" t="n">
        <f aca="false">IF(Inputs!$F$33=1,Inputs!$F$60*Time!$F$16^((BG8-Inputs!$F$212)/12),INDEX(Operations!$J$11:$BN$11,1,BG12))</f>
        <v>830.3</v>
      </c>
      <c r="BH16" s="13" t="n">
        <f aca="false">IF(Inputs!$F$33=1,Inputs!$F$60*Time!$F$16^((BH8-Inputs!$F$212)/12),INDEX(Operations!$J$11:$BN$11,1,BH12))</f>
        <v>830.3</v>
      </c>
      <c r="BI16" s="13" t="n">
        <f aca="false">IF(Inputs!$F$33=1,Inputs!$F$60*Time!$F$16^((BI8-Inputs!$F$212)/12),INDEX(Operations!$J$11:$BN$11,1,BI12))</f>
        <v>830.3</v>
      </c>
      <c r="BJ16" s="13" t="n">
        <f aca="false">IF(Inputs!$F$33=1,Inputs!$F$60*Time!$F$16^((BJ8-Inputs!$F$212)/12),INDEX(Operations!$J$11:$BN$11,1,BJ12))</f>
        <v>830.3</v>
      </c>
    </row>
    <row r="17" customFormat="false" ht="15" hidden="false" customHeight="false" outlineLevel="0" collapsed="false">
      <c r="D17" s="0" t="s">
        <v>542</v>
      </c>
      <c r="E17" s="0" t="s">
        <v>103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2.87</v>
      </c>
      <c r="P17" s="13" t="n">
        <f aca="false">INDEX(Operations!$J$8:$BN$8,1,P12)</f>
        <v>2.87</v>
      </c>
      <c r="Q17" s="13" t="n">
        <f aca="false">INDEX(Operations!$J$8:$BN$8,1,Q12)</f>
        <v>2.87</v>
      </c>
      <c r="R17" s="13" t="n">
        <f aca="false">INDEX(Operations!$J$8:$BN$8,1,R12)</f>
        <v>2.87</v>
      </c>
      <c r="S17" s="13" t="n">
        <f aca="false">INDEX(Operations!$J$8:$BN$8,1,S12)</f>
        <v>2.87</v>
      </c>
      <c r="T17" s="13" t="n">
        <f aca="false">INDEX(Operations!$J$8:$BN$8,1,T12)</f>
        <v>2.87</v>
      </c>
      <c r="U17" s="13" t="n">
        <f aca="false">INDEX(Operations!$J$8:$BN$8,1,U12)</f>
        <v>2.2</v>
      </c>
      <c r="V17" s="13" t="n">
        <f aca="false">INDEX(Operations!$J$8:$BN$8,1,V12)</f>
        <v>2.2</v>
      </c>
      <c r="W17" s="13" t="n">
        <f aca="false">INDEX(Operations!$J$8:$BN$8,1,W12)</f>
        <v>2.2</v>
      </c>
      <c r="X17" s="13" t="n">
        <f aca="false">INDEX(Operations!$J$8:$BN$8,1,X12)</f>
        <v>2.2</v>
      </c>
      <c r="Y17" s="13" t="n">
        <f aca="false">INDEX(Operations!$J$8:$BN$8,1,Y12)</f>
        <v>2.2</v>
      </c>
      <c r="Z17" s="13" t="n">
        <f aca="false">INDEX(Operations!$J$8:$BN$8,1,Z12)</f>
        <v>2.2</v>
      </c>
      <c r="AA17" s="13" t="n">
        <f aca="false">INDEX(Operations!$J$8:$BN$8,1,AA12)</f>
        <v>1.91</v>
      </c>
      <c r="AB17" s="13" t="n">
        <f aca="false">INDEX(Operations!$J$8:$BN$8,1,AB12)</f>
        <v>1.91</v>
      </c>
      <c r="AC17" s="13" t="n">
        <f aca="false">INDEX(Operations!$J$8:$BN$8,1,AC12)</f>
        <v>1.91</v>
      </c>
      <c r="AD17" s="13" t="n">
        <f aca="false">INDEX(Operations!$J$8:$BN$8,1,AD12)</f>
        <v>1.91</v>
      </c>
      <c r="AE17" s="13" t="n">
        <f aca="false">INDEX(Operations!$J$8:$BN$8,1,AE12)</f>
        <v>1.91</v>
      </c>
      <c r="AF17" s="13" t="n">
        <f aca="false">INDEX(Operations!$J$8:$BN$8,1,AF12)</f>
        <v>1.91</v>
      </c>
      <c r="AG17" s="13" t="n">
        <f aca="false">INDEX(Operations!$J$8:$BN$8,1,AG12)</f>
        <v>0.37</v>
      </c>
      <c r="AH17" s="13" t="n">
        <f aca="false">INDEX(Operations!$J$8:$BN$8,1,AH12)</f>
        <v>0.37</v>
      </c>
      <c r="AI17" s="13" t="n">
        <f aca="false">INDEX(Operations!$J$8:$BN$8,1,AI12)</f>
        <v>0.37</v>
      </c>
      <c r="AJ17" s="13" t="n">
        <f aca="false">INDEX(Operations!$J$8:$BN$8,1,AJ12)</f>
        <v>0.37</v>
      </c>
      <c r="AK17" s="13" t="n">
        <f aca="false">INDEX(Operations!$J$8:$BN$8,1,AK12)</f>
        <v>0.37</v>
      </c>
      <c r="AL17" s="13" t="n">
        <f aca="false">INDEX(Operations!$J$8:$BN$8,1,AL12)</f>
        <v>0.37</v>
      </c>
      <c r="AM17" s="13" t="n">
        <f aca="false">INDEX(Operations!$J$8:$BN$8,1,AM12)</f>
        <v>0.25</v>
      </c>
      <c r="AN17" s="13" t="n">
        <f aca="false">INDEX(Operations!$J$8:$BN$8,1,AN12)</f>
        <v>0.25</v>
      </c>
      <c r="AO17" s="13" t="n">
        <f aca="false">INDEX(Operations!$J$8:$BN$8,1,AO12)</f>
        <v>0.25</v>
      </c>
      <c r="AP17" s="13" t="n">
        <f aca="false">INDEX(Operations!$J$8:$BN$8,1,AP12)</f>
        <v>0.25</v>
      </c>
      <c r="AQ17" s="13" t="n">
        <f aca="false">INDEX(Operations!$J$8:$BN$8,1,AQ12)</f>
        <v>0.25</v>
      </c>
      <c r="AR17" s="13" t="n">
        <f aca="false">INDEX(Operations!$J$8:$BN$8,1,AR12)</f>
        <v>0.25</v>
      </c>
      <c r="AS17" s="13" t="n">
        <f aca="false">INDEX(Operations!$J$8:$BN$8,1,AS12)</f>
        <v>0.16</v>
      </c>
      <c r="AT17" s="13" t="n">
        <f aca="false">INDEX(Operations!$J$8:$BN$8,1,AT12)</f>
        <v>0.16</v>
      </c>
      <c r="AU17" s="13" t="n">
        <f aca="false">INDEX(Operations!$J$8:$BN$8,1,AU12)</f>
        <v>0.16</v>
      </c>
      <c r="AV17" s="13" t="n">
        <f aca="false">INDEX(Operations!$J$8:$BN$8,1,AV12)</f>
        <v>0.16</v>
      </c>
      <c r="AW17" s="13" t="n">
        <f aca="false">INDEX(Operations!$J$8:$BN$8,1,AW12)</f>
        <v>0.16</v>
      </c>
      <c r="AX17" s="13" t="n">
        <f aca="false">INDEX(Operations!$J$8:$BN$8,1,AX12)</f>
        <v>0.16</v>
      </c>
      <c r="AY17" s="13" t="n">
        <f aca="false">INDEX(Operations!$J$8:$BN$8,1,AY12)</f>
        <v>0.34</v>
      </c>
      <c r="AZ17" s="13" t="n">
        <f aca="false">INDEX(Operations!$J$8:$BN$8,1,AZ12)</f>
        <v>0.34</v>
      </c>
      <c r="BA17" s="13" t="n">
        <f aca="false">INDEX(Operations!$J$8:$BN$8,1,BA12)</f>
        <v>0.34</v>
      </c>
      <c r="BB17" s="13" t="n">
        <f aca="false">INDEX(Operations!$J$8:$BN$8,1,BB12)</f>
        <v>0.34</v>
      </c>
      <c r="BC17" s="13" t="n">
        <f aca="false">INDEX(Operations!$J$8:$BN$8,1,BC12)</f>
        <v>0.34</v>
      </c>
      <c r="BD17" s="13" t="n">
        <f aca="false">INDEX(Operations!$J$8:$BN$8,1,BD12)</f>
        <v>0.34</v>
      </c>
      <c r="BE17" s="13" t="n">
        <f aca="false">INDEX(Operations!$J$8:$BN$8,1,BE12)</f>
        <v>2.94</v>
      </c>
      <c r="BF17" s="13" t="n">
        <f aca="false">INDEX(Operations!$J$8:$BN$8,1,BF12)</f>
        <v>2.94</v>
      </c>
      <c r="BG17" s="13" t="n">
        <f aca="false">INDEX(Operations!$J$8:$BN$8,1,BG12)</f>
        <v>2.94</v>
      </c>
      <c r="BH17" s="13" t="n">
        <f aca="false">INDEX(Operations!$J$8:$BN$8,1,BH12)</f>
        <v>2.94</v>
      </c>
      <c r="BI17" s="13" t="n">
        <f aca="false">INDEX(Operations!$J$8:$BN$8,1,BI12)</f>
        <v>2.94</v>
      </c>
      <c r="BJ17" s="13" t="n">
        <f aca="false">INDEX(Operations!$J$8:$BN$8,1,BJ12)</f>
        <v>2.94</v>
      </c>
    </row>
    <row r="18" customFormat="false" ht="15" hidden="false" customHeight="false" outlineLevel="0" collapsed="false">
      <c r="D18" s="0" t="s">
        <v>543</v>
      </c>
      <c r="E18" s="0" t="s">
        <v>103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19</v>
      </c>
      <c r="AZ18" s="13" t="n">
        <f aca="false">IF(Inputs!$F$33=1,Inputs!$F$73,INDEX(Inputs!$J$289:$AR$289,1,MATCH(YEAR(AZ9),Inputs!$J$282:$AR$282,0)))</f>
        <v>19</v>
      </c>
      <c r="BA18" s="13" t="n">
        <f aca="false">IF(Inputs!$F$33=1,Inputs!$F$73,INDEX(Inputs!$J$289:$AR$289,1,MATCH(YEAR(BA9),Inputs!$J$282:$AR$282,0)))</f>
        <v>19</v>
      </c>
      <c r="BB18" s="13" t="n">
        <f aca="false">IF(Inputs!$F$33=1,Inputs!$F$73,INDEX(Inputs!$J$289:$AR$289,1,MATCH(YEAR(BB9),Inputs!$J$282:$AR$282,0)))</f>
        <v>19</v>
      </c>
      <c r="BC18" s="13" t="n">
        <f aca="false">IF(Inputs!$F$33=1,Inputs!$F$73,INDEX(Inputs!$J$289:$AR$289,1,MATCH(YEAR(BC9),Inputs!$J$282:$AR$282,0)))</f>
        <v>19</v>
      </c>
      <c r="BD18" s="13" t="n">
        <f aca="false">IF(Inputs!$F$33=1,Inputs!$F$73,INDEX(Inputs!$J$289:$AR$289,1,MATCH(YEAR(BD9),Inputs!$J$282:$AR$282,0)))</f>
        <v>19</v>
      </c>
      <c r="BE18" s="13" t="n">
        <f aca="false">IF(Inputs!$F$33=1,Inputs!$F$73,INDEX(Inputs!$J$289:$AR$289,1,MATCH(YEAR(BE9),Inputs!$J$282:$AR$282,0)))</f>
        <v>19</v>
      </c>
      <c r="BF18" s="13" t="n">
        <f aca="false">IF(Inputs!$F$33=1,Inputs!$F$73,INDEX(Inputs!$J$289:$AR$289,1,MATCH(YEAR(BF9),Inputs!$J$282:$AR$282,0)))</f>
        <v>19</v>
      </c>
      <c r="BG18" s="13" t="n">
        <f aca="false">IF(Inputs!$F$33=1,Inputs!$F$73,INDEX(Inputs!$J$289:$AR$289,1,MATCH(YEAR(BG9),Inputs!$J$282:$AR$282,0)))</f>
        <v>19</v>
      </c>
      <c r="BH18" s="13" t="n">
        <f aca="false">IF(Inputs!$F$33=1,Inputs!$F$73,INDEX(Inputs!$J$289:$AR$289,1,MATCH(YEAR(BH9),Inputs!$J$282:$AR$282,0)))</f>
        <v>19</v>
      </c>
      <c r="BI18" s="13" t="n">
        <f aca="false">IF(Inputs!$F$33=1,Inputs!$F$73,INDEX(Inputs!$J$289:$AR$289,1,MATCH(YEAR(BI9),Inputs!$J$282:$AR$282,0)))</f>
        <v>19</v>
      </c>
      <c r="BJ18" s="13" t="n">
        <f aca="false">IF(Inputs!$F$33=1,Inputs!$F$73,INDEX(Inputs!$J$289:$AR$289,1,MATCH(YEAR(BJ9),Inputs!$J$282:$AR$282,0)))</f>
        <v>19</v>
      </c>
    </row>
    <row r="19" customFormat="false" ht="15" hidden="false" customHeight="false" outlineLevel="0" collapsed="false">
      <c r="B19" s="2" t="s">
        <v>544</v>
      </c>
    </row>
    <row r="20" customFormat="false" ht="15" hidden="false" customHeight="false" outlineLevel="0" collapsed="false">
      <c r="D20" s="0" t="s">
        <v>545</v>
      </c>
      <c r="E20" s="0" t="s">
        <v>103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0.0102</v>
      </c>
      <c r="L20" s="13" t="n">
        <f aca="false">IF(Inputs!$F$34&lt;&gt;1,Inputs!L306,Inputs!L305+IF(Inputs!$F$35&gt;0,IF(L8=Inputs!$F$237,-Inputs!$F$238,0)+IF(L8=Inputs!$F$237+Inputs!$F$35,Inputs!$F$238,0),0))</f>
        <v>0.0868</v>
      </c>
      <c r="M20" s="13" t="n">
        <f aca="false">IF(Inputs!$F$34&lt;&gt;1,Inputs!M306,Inputs!M305+IF(Inputs!$F$35&gt;0,IF(M8=Inputs!$F$237,-Inputs!$F$238,0)+IF(M8=Inputs!$F$237+Inputs!$F$35,Inputs!$F$238,0),0))</f>
        <v>0.2284</v>
      </c>
      <c r="N20" s="13" t="n">
        <f aca="false">IF(Inputs!$F$34&lt;&gt;1,Inputs!N306,Inputs!N305+IF(Inputs!$F$35&gt;0,IF(N8=Inputs!$F$237,-Inputs!$F$238,0)+IF(N8=Inputs!$F$237+Inputs!$F$35,Inputs!$F$238,0),0))</f>
        <v>0.4235</v>
      </c>
      <c r="O20" s="13" t="n">
        <f aca="false">IF(Inputs!$F$34&lt;&gt;1,Inputs!O306,Inputs!O305+IF(Inputs!$F$35&gt;0,IF(O8=Inputs!$F$237,-Inputs!$F$238,0)+IF(O8=Inputs!$F$237+Inputs!$F$35,Inputs!$F$238,0),0))</f>
        <v>0.6612</v>
      </c>
      <c r="P20" s="13" t="n">
        <f aca="false">IF(Inputs!$F$34&lt;&gt;1,Inputs!P306,Inputs!P305+IF(Inputs!$F$35&gt;0,IF(P8=Inputs!$F$237,-Inputs!$F$238,0)+IF(P8=Inputs!$F$237+Inputs!$F$35,Inputs!$F$238,0),0))</f>
        <v>0.9313</v>
      </c>
      <c r="Q20" s="13" t="n">
        <f aca="false">IF(Inputs!$F$34&lt;&gt;1,Inputs!Q306,Inputs!Q305+IF(Inputs!$F$35&gt;0,IF(Q8=Inputs!$F$237,-Inputs!$F$238,0)+IF(Q8=Inputs!$F$237+Inputs!$F$35,Inputs!$F$238,0),0))</f>
        <v>1.2242</v>
      </c>
      <c r="R20" s="13" t="n">
        <f aca="false">IF(Inputs!$F$34&lt;&gt;1,Inputs!R306,Inputs!R305+IF(Inputs!$F$35&gt;0,IF(R8=Inputs!$F$237,-Inputs!$F$238,0)+IF(R8=Inputs!$F$237+Inputs!$F$35,Inputs!$F$238,0),0))</f>
        <v>1.5311</v>
      </c>
      <c r="S20" s="13" t="n">
        <f aca="false">IF(Inputs!$F$34&lt;&gt;1,Inputs!S306,Inputs!S305+IF(Inputs!$F$35&gt;0,IF(S8=Inputs!$F$237,-Inputs!$F$238,0)+IF(S8=Inputs!$F$237+Inputs!$F$35,Inputs!$F$238,0),0))</f>
        <v>1.8437</v>
      </c>
      <c r="T20" s="13" t="n">
        <f aca="false">IF(Inputs!$F$34&lt;&gt;1,Inputs!T306,Inputs!T305+IF(Inputs!$F$35&gt;0,IF(T8=Inputs!$F$237,-Inputs!$F$238,0)+IF(T8=Inputs!$F$237+Inputs!$F$35,Inputs!$F$238,0),0))</f>
        <v>2.1545</v>
      </c>
      <c r="U20" s="13" t="n">
        <f aca="false">IF(Inputs!$F$34&lt;&gt;1,Inputs!U306,Inputs!U305+IF(Inputs!$F$35&gt;0,IF(U8=Inputs!$F$237,-Inputs!$F$238,0)+IF(U8=Inputs!$F$237+Inputs!$F$35,Inputs!$F$238,0),0))</f>
        <v>2.4565</v>
      </c>
      <c r="V20" s="13" t="n">
        <f aca="false">IF(Inputs!$F$34&lt;&gt;1,Inputs!V306,Inputs!V305+IF(Inputs!$F$35&gt;0,IF(V8=Inputs!$F$237,-Inputs!$F$238,0)+IF(V8=Inputs!$F$237+Inputs!$F$35,Inputs!$F$238,0),0))</f>
        <v>2.7436</v>
      </c>
      <c r="W20" s="13" t="n">
        <f aca="false">IF(Inputs!$F$34&lt;&gt;1,Inputs!W306,Inputs!W305+IF(Inputs!$F$35&gt;0,IF(W8=Inputs!$F$237,-Inputs!$F$238,0)+IF(W8=Inputs!$F$237+Inputs!$F$35,Inputs!$F$238,0),0))</f>
        <v>3.01</v>
      </c>
      <c r="X20" s="13" t="n">
        <f aca="false">IF(Inputs!$F$34&lt;&gt;1,Inputs!X306,Inputs!X305+IF(Inputs!$F$35&gt;0,IF(X8=Inputs!$F$237,-Inputs!$F$238,0)+IF(X8=Inputs!$F$237+Inputs!$F$35,Inputs!$F$238,0),0))</f>
        <v>3.2509</v>
      </c>
      <c r="Y20" s="13" t="n">
        <f aca="false">IF(Inputs!$F$34&lt;&gt;1,Inputs!Y306,Inputs!Y305+IF(Inputs!$F$35&gt;0,IF(Y8=Inputs!$F$237,-Inputs!$F$238,0)+IF(Y8=Inputs!$F$237+Inputs!$F$35,Inputs!$F$238,0),0))</f>
        <v>3.4619</v>
      </c>
      <c r="Z20" s="13" t="n">
        <f aca="false">IF(Inputs!$F$34&lt;&gt;1,Inputs!Z306,Inputs!Z305+IF(Inputs!$F$35&gt;0,IF(Z8=Inputs!$F$237,-Inputs!$F$238,0)+IF(Z8=Inputs!$F$237+Inputs!$F$35,Inputs!$F$238,0),0))</f>
        <v>3.6396</v>
      </c>
      <c r="AA20" s="13" t="n">
        <f aca="false">IF(Inputs!$F$34&lt;&gt;1,Inputs!AA306,Inputs!AA305+IF(Inputs!$F$35&gt;0,IF(AA8=Inputs!$F$237,-Inputs!$F$238,0)+IF(AA8=Inputs!$F$237+Inputs!$F$35,Inputs!$F$238,0),0))</f>
        <v>3.7808</v>
      </c>
      <c r="AB20" s="13" t="n">
        <f aca="false">IF(Inputs!$F$34&lt;&gt;1,Inputs!AB306,Inputs!AB305+IF(Inputs!$F$35&gt;0,IF(AB8=Inputs!$F$237,-Inputs!$F$238,0)+IF(AB8=Inputs!$F$237+Inputs!$F$35,Inputs!$F$238,0),0))</f>
        <v>3.8833</v>
      </c>
      <c r="AC20" s="13" t="n">
        <f aca="false">IF(Inputs!$F$34&lt;&gt;1,Inputs!AC306,Inputs!AC305+IF(Inputs!$F$35&gt;0,IF(AC8=Inputs!$F$237,-Inputs!$F$238,0)+IF(AC8=Inputs!$F$237+Inputs!$F$35,Inputs!$F$238,0),0))</f>
        <v>3.9455</v>
      </c>
      <c r="AD20" s="13" t="n">
        <f aca="false">IF(Inputs!$F$34&lt;&gt;1,Inputs!AD306,Inputs!AD305+IF(Inputs!$F$35&gt;0,IF(AD8=Inputs!$F$237,-Inputs!$F$238,0)+IF(AD8=Inputs!$F$237+Inputs!$F$35,Inputs!$F$238,0),0))</f>
        <v>3.966</v>
      </c>
      <c r="AE20" s="13" t="n">
        <f aca="false">IF(Inputs!$F$34&lt;&gt;1,Inputs!AE306,Inputs!AE305+IF(Inputs!$F$35&gt;0,IF(AE8=Inputs!$F$237,-Inputs!$F$238,0)+IF(AE8=Inputs!$F$237+Inputs!$F$35,Inputs!$F$238,0),0))</f>
        <v>3.9455</v>
      </c>
      <c r="AF20" s="13" t="n">
        <f aca="false">IF(Inputs!$F$34&lt;&gt;1,Inputs!AF306,Inputs!AF305+IF(Inputs!$F$35&gt;0,IF(AF8=Inputs!$F$237,-Inputs!$F$238,0)+IF(AF8=Inputs!$F$237+Inputs!$F$35,Inputs!$F$238,0),0))</f>
        <v>3.8833</v>
      </c>
      <c r="AG20" s="13" t="n">
        <f aca="false">IF(Inputs!$F$34&lt;&gt;1,Inputs!AG306,Inputs!AG305+IF(Inputs!$F$35&gt;0,IF(AG8=Inputs!$F$237,-Inputs!$F$238,0)+IF(AG8=Inputs!$F$237+Inputs!$F$35,Inputs!$F$238,0),0))</f>
        <v>3.7808</v>
      </c>
      <c r="AH20" s="13" t="n">
        <f aca="false">IF(Inputs!$F$34&lt;&gt;1,Inputs!AH306,Inputs!AH305+IF(Inputs!$F$35&gt;0,IF(AH8=Inputs!$F$237,-Inputs!$F$238,0)+IF(AH8=Inputs!$F$237+Inputs!$F$35,Inputs!$F$238,0),0))</f>
        <v>3.6396</v>
      </c>
      <c r="AI20" s="13" t="n">
        <f aca="false">IF(Inputs!$F$34&lt;&gt;1,Inputs!AI306,Inputs!AI305+IF(Inputs!$F$35&gt;0,IF(AI8=Inputs!$F$237,-Inputs!$F$238,0)+IF(AI8=Inputs!$F$237+Inputs!$F$35,Inputs!$F$238,0),0))</f>
        <v>3.4619</v>
      </c>
      <c r="AJ20" s="13" t="n">
        <f aca="false">IF(Inputs!$F$34&lt;&gt;1,Inputs!AJ306,Inputs!AJ305+IF(Inputs!$F$35&gt;0,IF(AJ8=Inputs!$F$237,-Inputs!$F$238,0)+IF(AJ8=Inputs!$F$237+Inputs!$F$35,Inputs!$F$238,0),0))</f>
        <v>3.2509</v>
      </c>
      <c r="AK20" s="13" t="n">
        <f aca="false">IF(Inputs!$F$34&lt;&gt;1,Inputs!AK306,Inputs!AK305+IF(Inputs!$F$35&gt;0,IF(AK8=Inputs!$F$237,-Inputs!$F$238,0)+IF(AK8=Inputs!$F$237+Inputs!$F$35,Inputs!$F$238,0),0))</f>
        <v>3.01</v>
      </c>
      <c r="AL20" s="13" t="n">
        <f aca="false">IF(Inputs!$F$34&lt;&gt;1,Inputs!AL306,Inputs!AL305+IF(Inputs!$F$35&gt;0,IF(AL8=Inputs!$F$237,-Inputs!$F$238,0)+IF(AL8=Inputs!$F$237+Inputs!$F$35,Inputs!$F$238,0),0))</f>
        <v>2.7436</v>
      </c>
      <c r="AM20" s="13" t="n">
        <f aca="false">IF(Inputs!$F$34&lt;&gt;1,Inputs!AM306,Inputs!AM305+IF(Inputs!$F$35&gt;0,IF(AM8=Inputs!$F$237,-Inputs!$F$238,0)+IF(AM8=Inputs!$F$237+Inputs!$F$35,Inputs!$F$238,0),0))</f>
        <v>2.4565</v>
      </c>
      <c r="AN20" s="13" t="n">
        <f aca="false">IF(Inputs!$F$34&lt;&gt;1,Inputs!AN306,Inputs!AN305+IF(Inputs!$F$35&gt;0,IF(AN8=Inputs!$F$237,-Inputs!$F$238,0)+IF(AN8=Inputs!$F$237+Inputs!$F$35,Inputs!$F$238,0),0))</f>
        <v>2.1545</v>
      </c>
      <c r="AO20" s="13" t="n">
        <f aca="false">IF(Inputs!$F$34&lt;&gt;1,Inputs!AO306,Inputs!AO305+IF(Inputs!$F$35&gt;0,IF(AO8=Inputs!$F$237,-Inputs!$F$238,0)+IF(AO8=Inputs!$F$237+Inputs!$F$35,Inputs!$F$238,0),0))</f>
        <v>1.8437</v>
      </c>
      <c r="AP20" s="13" t="n">
        <f aca="false">IF(Inputs!$F$34&lt;&gt;1,Inputs!AP306,Inputs!AP305+IF(Inputs!$F$35&gt;0,IF(AP8=Inputs!$F$237,-Inputs!$F$238,0)+IF(AP8=Inputs!$F$237+Inputs!$F$35,Inputs!$F$238,0),0))</f>
        <v>1.5311</v>
      </c>
      <c r="AQ20" s="13" t="n">
        <f aca="false">IF(Inputs!$F$34&lt;&gt;1,Inputs!AQ306,Inputs!AQ305+IF(Inputs!$F$35&gt;0,IF(AQ8=Inputs!$F$237,-Inputs!$F$238,0)+IF(AQ8=Inputs!$F$237+Inputs!$F$35,Inputs!$F$238,0),0))</f>
        <v>1.2242</v>
      </c>
      <c r="AR20" s="13" t="n">
        <f aca="false">IF(Inputs!$F$34&lt;&gt;1,Inputs!AR306,Inputs!AR305+IF(Inputs!$F$35&gt;0,IF(AR8=Inputs!$F$237,-Inputs!$F$238,0)+IF(AR8=Inputs!$F$237+Inputs!$F$35,Inputs!$F$238,0),0))</f>
        <v>0.9313</v>
      </c>
      <c r="AS20" s="13" t="n">
        <f aca="false">IF(Inputs!$F$34&lt;&gt;1,Inputs!AS306,Inputs!AS305+IF(Inputs!$F$35&gt;0,IF(AS8=Inputs!$F$237,-Inputs!$F$238,0)+IF(AS8=Inputs!$F$237+Inputs!$F$35,Inputs!$F$238,0),0))</f>
        <v>0.6612</v>
      </c>
      <c r="AT20" s="13" t="n">
        <f aca="false">IF(Inputs!$F$34&lt;&gt;1,Inputs!AT306,Inputs!AT305+IF(Inputs!$F$35&gt;0,IF(AT8=Inputs!$F$237,-Inputs!$F$238,0)+IF(AT8=Inputs!$F$237+Inputs!$F$35,Inputs!$F$238,0),0))</f>
        <v>0.4235</v>
      </c>
      <c r="AU20" s="13" t="n">
        <f aca="false">IF(Inputs!$F$34&lt;&gt;1,Inputs!AU306,Inputs!AU305+IF(Inputs!$F$35&gt;0,IF(AU8=Inputs!$F$237,-Inputs!$F$238,0)+IF(AU8=Inputs!$F$237+Inputs!$F$35,Inputs!$F$238,0),0))</f>
        <v>0.2284</v>
      </c>
      <c r="AV20" s="13" t="n">
        <f aca="false">IF(Inputs!$F$34&lt;&gt;1,Inputs!AV306,Inputs!AV305+IF(Inputs!$F$35&gt;0,IF(AV8=Inputs!$F$237,-Inputs!$F$238,0)+IF(AV8=Inputs!$F$237+Inputs!$F$35,Inputs!$F$238,0),0))</f>
        <v>0.0868</v>
      </c>
      <c r="AW20" s="13" t="n">
        <f aca="false">IF(Inputs!$F$34&lt;&gt;1,Inputs!AW306,Inputs!AW305+IF(Inputs!$F$35&gt;0,IF(AW8=Inputs!$F$237,-Inputs!$F$238,0)+IF(AW8=Inputs!$F$237+Inputs!$F$35,Inputs!$F$238,0),0))</f>
        <v>7.5102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546</v>
      </c>
      <c r="E21" s="0" t="s">
        <v>103</v>
      </c>
      <c r="J21" s="13" t="n">
        <f aca="false">IF(J8=1,0,J20)-IF(J8=Time!$F$11,Inputs!$F$238,0)</f>
        <v>0</v>
      </c>
      <c r="K21" s="13" t="n">
        <f aca="false">IF(K8=1,0,K20)-IF(K8=Time!$F$11,Inputs!$F$238,0)</f>
        <v>0.0102</v>
      </c>
      <c r="L21" s="13" t="n">
        <f aca="false">IF(L8=1,0,L20)-IF(L8=Time!$F$11,Inputs!$F$238,0)</f>
        <v>0.0868</v>
      </c>
      <c r="M21" s="13" t="n">
        <f aca="false">IF(M8=1,0,M20)-IF(M8=Time!$F$11,Inputs!$F$238,0)</f>
        <v>0.2284</v>
      </c>
      <c r="N21" s="13" t="n">
        <f aca="false">IF(N8=1,0,N20)-IF(N8=Time!$F$11,Inputs!$F$238,0)</f>
        <v>0.4235</v>
      </c>
      <c r="O21" s="13" t="n">
        <f aca="false">IF(O8=1,0,O20)-IF(O8=Time!$F$11,Inputs!$F$238,0)</f>
        <v>0.6612</v>
      </c>
      <c r="P21" s="13" t="n">
        <f aca="false">IF(P8=1,0,P20)-IF(P8=Time!$F$11,Inputs!$F$238,0)</f>
        <v>0.9313</v>
      </c>
      <c r="Q21" s="13" t="n">
        <f aca="false">IF(Q8=1,0,Q20)-IF(Q8=Time!$F$11,Inputs!$F$238,0)</f>
        <v>1.2242</v>
      </c>
      <c r="R21" s="13" t="n">
        <f aca="false">IF(R8=1,0,R20)-IF(R8=Time!$F$11,Inputs!$F$238,0)</f>
        <v>1.5311</v>
      </c>
      <c r="S21" s="13" t="n">
        <f aca="false">IF(S8=1,0,S20)-IF(S8=Time!$F$11,Inputs!$F$238,0)</f>
        <v>1.8437</v>
      </c>
      <c r="T21" s="13" t="n">
        <f aca="false">IF(T8=1,0,T20)-IF(T8=Time!$F$11,Inputs!$F$238,0)</f>
        <v>2.1545</v>
      </c>
      <c r="U21" s="13" t="n">
        <f aca="false">IF(U8=1,0,U20)-IF(U8=Time!$F$11,Inputs!$F$238,0)</f>
        <v>2.4565</v>
      </c>
      <c r="V21" s="13" t="n">
        <f aca="false">IF(V8=1,0,V20)-IF(V8=Time!$F$11,Inputs!$F$238,0)</f>
        <v>2.7436</v>
      </c>
      <c r="W21" s="13" t="n">
        <f aca="false">IF(W8=1,0,W20)-IF(W8=Time!$F$11,Inputs!$F$238,0)</f>
        <v>3.01</v>
      </c>
      <c r="X21" s="13" t="n">
        <f aca="false">IF(X8=1,0,X20)-IF(X8=Time!$F$11,Inputs!$F$238,0)</f>
        <v>3.2509</v>
      </c>
      <c r="Y21" s="13" t="n">
        <f aca="false">IF(Y8=1,0,Y20)-IF(Y8=Time!$F$11,Inputs!$F$238,0)</f>
        <v>3.4619</v>
      </c>
      <c r="Z21" s="13" t="n">
        <f aca="false">IF(Z8=1,0,Z20)-IF(Z8=Time!$F$11,Inputs!$F$238,0)</f>
        <v>3.6396</v>
      </c>
      <c r="AA21" s="13" t="n">
        <f aca="false">IF(AA8=1,0,AA20)-IF(AA8=Time!$F$11,Inputs!$F$238,0)</f>
        <v>3.7808</v>
      </c>
      <c r="AB21" s="13" t="n">
        <f aca="false">IF(AB8=1,0,AB20)-IF(AB8=Time!$F$11,Inputs!$F$238,0)</f>
        <v>3.8833</v>
      </c>
      <c r="AC21" s="13" t="n">
        <f aca="false">IF(AC8=1,0,AC20)-IF(AC8=Time!$F$11,Inputs!$F$238,0)</f>
        <v>3.9455</v>
      </c>
      <c r="AD21" s="13" t="n">
        <f aca="false">IF(AD8=1,0,AD20)-IF(AD8=Time!$F$11,Inputs!$F$238,0)</f>
        <v>3.966</v>
      </c>
      <c r="AE21" s="13" t="n">
        <f aca="false">IF(AE8=1,0,AE20)-IF(AE8=Time!$F$11,Inputs!$F$238,0)</f>
        <v>3.9455</v>
      </c>
      <c r="AF21" s="13" t="n">
        <f aca="false">IF(AF8=1,0,AF20)-IF(AF8=Time!$F$11,Inputs!$F$238,0)</f>
        <v>3.8833</v>
      </c>
      <c r="AG21" s="13" t="n">
        <f aca="false">IF(AG8=1,0,AG20)-IF(AG8=Time!$F$11,Inputs!$F$238,0)</f>
        <v>3.7808</v>
      </c>
      <c r="AH21" s="13" t="n">
        <f aca="false">IF(AH8=1,0,AH20)-IF(AH8=Time!$F$11,Inputs!$F$238,0)</f>
        <v>3.6396</v>
      </c>
      <c r="AI21" s="13" t="n">
        <f aca="false">IF(AI8=1,0,AI20)-IF(AI8=Time!$F$11,Inputs!$F$238,0)</f>
        <v>3.4619</v>
      </c>
      <c r="AJ21" s="13" t="n">
        <f aca="false">IF(AJ8=1,0,AJ20)-IF(AJ8=Time!$F$11,Inputs!$F$238,0)</f>
        <v>3.2509</v>
      </c>
      <c r="AK21" s="13" t="n">
        <f aca="false">IF(AK8=1,0,AK20)-IF(AK8=Time!$F$11,Inputs!$F$238,0)</f>
        <v>3.01</v>
      </c>
      <c r="AL21" s="13" t="n">
        <f aca="false">IF(AL8=1,0,AL20)-IF(AL8=Time!$F$11,Inputs!$F$238,0)</f>
        <v>2.7436</v>
      </c>
      <c r="AM21" s="13" t="n">
        <f aca="false">IF(AM8=1,0,AM20)-IF(AM8=Time!$F$11,Inputs!$F$238,0)</f>
        <v>2.4565</v>
      </c>
      <c r="AN21" s="13" t="n">
        <f aca="false">IF(AN8=1,0,AN20)-IF(AN8=Time!$F$11,Inputs!$F$238,0)</f>
        <v>2.1545</v>
      </c>
      <c r="AO21" s="13" t="n">
        <f aca="false">IF(AO8=1,0,AO20)-IF(AO8=Time!$F$11,Inputs!$F$238,0)</f>
        <v>1.8437</v>
      </c>
      <c r="AP21" s="13" t="n">
        <f aca="false">IF(AP8=1,0,AP20)-IF(AP8=Time!$F$11,Inputs!$F$238,0)</f>
        <v>1.5311</v>
      </c>
      <c r="AQ21" s="13" t="n">
        <f aca="false">IF(AQ8=1,0,AQ20)-IF(AQ8=Time!$F$11,Inputs!$F$238,0)</f>
        <v>1.2242</v>
      </c>
      <c r="AR21" s="13" t="n">
        <f aca="false">IF(AR8=1,0,AR20)-IF(AR8=Time!$F$11,Inputs!$F$238,0)</f>
        <v>0.9313</v>
      </c>
      <c r="AS21" s="13" t="n">
        <f aca="false">IF(AS8=1,0,AS20)-IF(AS8=Time!$F$11,Inputs!$F$238,0)</f>
        <v>0.6612</v>
      </c>
      <c r="AT21" s="13" t="n">
        <f aca="false">IF(AT8=1,0,AT20)-IF(AT8=Time!$F$11,Inputs!$F$238,0)</f>
        <v>0.4235</v>
      </c>
      <c r="AU21" s="13" t="n">
        <f aca="false">IF(AU8=1,0,AU20)-IF(AU8=Time!$F$11,Inputs!$F$238,0)</f>
        <v>0.2284</v>
      </c>
      <c r="AV21" s="13" t="n">
        <f aca="false">IF(AV8=1,0,AV20)-IF(AV8=Time!$F$11,Inputs!$F$238,0)</f>
        <v>0.0868</v>
      </c>
      <c r="AW21" s="13" t="n">
        <f aca="false">IF(AW8=1,0,AW20)-IF(AW8=Time!$F$11,Inputs!$F$238,0)</f>
        <v>0.0102000000000002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547</v>
      </c>
      <c r="E22" s="0" t="s">
        <v>149</v>
      </c>
      <c r="G22" s="13" t="n">
        <f aca="false">SUM(J22:BJ22)</f>
        <v>565.121630382208</v>
      </c>
      <c r="J22" s="13" t="n">
        <f aca="false">IF(Inputs!$F$34&lt;&gt;1,J20/100*Inputs!$F$58+J20/100*Inputs!$F$59*Inputs!$F$60/J16,Inputs!$F$57*Inputs!$F$36*J20/100)</f>
        <v>57.1020548989707</v>
      </c>
      <c r="K22" s="13" t="n">
        <f aca="false">IF(Inputs!$F$34&lt;&gt;1,K20/100*Inputs!$F$58+K20/100*Inputs!$F$59*Inputs!$F$60/K16,Inputs!$F$57*Inputs!$F$36*K20/100)</f>
        <v>0.0582440959969501</v>
      </c>
      <c r="L22" s="13" t="n">
        <f aca="false">IF(Inputs!$F$34&lt;&gt;1,L20/100*Inputs!$F$58+L20/100*Inputs!$F$59*Inputs!$F$60/L16,Inputs!$F$57*Inputs!$F$36*L20/100)</f>
        <v>0.495645836523065</v>
      </c>
      <c r="M22" s="13" t="n">
        <f aca="false">IF(Inputs!$F$34&lt;&gt;1,M20/100*Inputs!$F$58+M20/100*Inputs!$F$59*Inputs!$F$60/M16,Inputs!$F$57*Inputs!$F$36*M20/100)</f>
        <v>1.30421093389249</v>
      </c>
      <c r="N22" s="13" t="n">
        <f aca="false">IF(Inputs!$F$34&lt;&gt;1,N20/100*Inputs!$F$58+N20/100*Inputs!$F$59*Inputs!$F$60/N16,Inputs!$F$57*Inputs!$F$36*N20/100)</f>
        <v>2.41827202497141</v>
      </c>
      <c r="O22" s="13" t="n">
        <f aca="false">IF(Inputs!$F$34&lt;&gt;1,O20/100*Inputs!$F$58+O20/100*Inputs!$F$59*Inputs!$F$60/O16,Inputs!$F$57*Inputs!$F$36*O20/100)</f>
        <v>3.76103149905398</v>
      </c>
      <c r="P22" s="13" t="n">
        <f aca="false">IF(Inputs!$F$34&lt;&gt;1,P20/100*Inputs!$F$58+P20/100*Inputs!$F$59*Inputs!$F$60/P16,Inputs!$F$57*Inputs!$F$36*P20/100)</f>
        <v>5.29741172877945</v>
      </c>
      <c r="Q22" s="13" t="n">
        <f aca="false">IF(Inputs!$F$34&lt;&gt;1,Q20/100*Inputs!$F$58+Q20/100*Inputs!$F$59*Inputs!$F$60/Q16,Inputs!$F$57*Inputs!$F$36*Q20/100)</f>
        <v>6.9634826998516</v>
      </c>
      <c r="R22" s="13" t="n">
        <f aca="false">IF(Inputs!$F$34&lt;&gt;1,R20/100*Inputs!$F$58+R20/100*Inputs!$F$59*Inputs!$F$60/R16,Inputs!$F$57*Inputs!$F$36*R20/100)</f>
        <v>8.70918833666296</v>
      </c>
      <c r="S22" s="13" t="n">
        <f aca="false">IF(Inputs!$F$34&lt;&gt;1,S20/100*Inputs!$F$58+S20/100*Inputs!$F$59*Inputs!$F$60/S16,Inputs!$F$57*Inputs!$F$36*S20/100)</f>
        <v>10.487316658811</v>
      </c>
      <c r="T22" s="13" t="n">
        <f aca="false">IF(Inputs!$F$34&lt;&gt;1,T20/100*Inputs!$F$58+T20/100*Inputs!$F$59*Inputs!$F$60/T16,Inputs!$F$57*Inputs!$F$36*T20/100)</f>
        <v>12.2552062382211</v>
      </c>
      <c r="U22" s="13" t="n">
        <f aca="false">IF(Inputs!$F$34&lt;&gt;1,U20/100*Inputs!$F$58+U20/100*Inputs!$F$59*Inputs!$F$60/U16,Inputs!$F$57*Inputs!$F$36*U20/100)</f>
        <v>13.9297416102576</v>
      </c>
      <c r="V22" s="13" t="n">
        <f aca="false">IF(Inputs!$F$34&lt;&gt;1,V20/100*Inputs!$F$58+V20/100*Inputs!$F$59*Inputs!$F$60/V16,Inputs!$F$57*Inputs!$F$36*V20/100)</f>
        <v>15.5577606683911</v>
      </c>
      <c r="W22" s="13" t="n">
        <f aca="false">IF(Inputs!$F$34&lt;&gt;1,W20/100*Inputs!$F$58+W20/100*Inputs!$F$59*Inputs!$F$60/W16,Inputs!$F$57*Inputs!$F$36*W20/100)</f>
        <v>17.0683990420824</v>
      </c>
      <c r="X22" s="13" t="n">
        <f aca="false">IF(Inputs!$F$34&lt;&gt;1,X20/100*Inputs!$F$58+X20/100*Inputs!$F$59*Inputs!$F$60/X16,Inputs!$F$57*Inputs!$F$36*X20/100)</f>
        <v>18.4344380218955</v>
      </c>
      <c r="Y22" s="13" t="n">
        <f aca="false">IF(Inputs!$F$34&lt;&gt;1,Y20/100*Inputs!$F$58+Y20/100*Inputs!$F$59*Inputs!$F$60/Y16,Inputs!$F$57*Inputs!$F$36*Y20/100)</f>
        <v>19.630927124181</v>
      </c>
      <c r="Z22" s="13" t="n">
        <f aca="false">IF(Inputs!$F$34&lt;&gt;1,Z20/100*Inputs!$F$58+Z20/100*Inputs!$F$59*Inputs!$F$60/Z16,Inputs!$F$57*Inputs!$F$36*Z20/100)</f>
        <v>20.6385864297551</v>
      </c>
      <c r="AA22" s="13" t="n">
        <f aca="false">IF(Inputs!$F$34&lt;&gt;1,AA20/100*Inputs!$F$58+AA20/100*Inputs!$F$59*Inputs!$F$60/AA16,Inputs!$F$57*Inputs!$F$36*AA20/100)</f>
        <v>21.3627903755194</v>
      </c>
      <c r="AB22" s="13" t="n">
        <f aca="false">IF(Inputs!$F$34&lt;&gt;1,AB20/100*Inputs!$F$58+AB20/100*Inputs!$F$59*Inputs!$F$60/AB16,Inputs!$F$57*Inputs!$F$36*AB20/100)</f>
        <v>21.9419498162438</v>
      </c>
      <c r="AC22" s="13" t="n">
        <f aca="false">IF(Inputs!$F$34&lt;&gt;1,AC20/100*Inputs!$F$58+AC20/100*Inputs!$F$59*Inputs!$F$60/AC16,Inputs!$F$57*Inputs!$F$36*AC20/100)</f>
        <v>22.2934007158834</v>
      </c>
      <c r="AD22" s="13" t="n">
        <f aca="false">IF(Inputs!$F$34&lt;&gt;1,AD20/100*Inputs!$F$58+AD20/100*Inputs!$F$59*Inputs!$F$60/AD16,Inputs!$F$57*Inputs!$F$36*AD20/100)</f>
        <v>22.4092326040283</v>
      </c>
      <c r="AE22" s="13" t="n">
        <f aca="false">IF(Inputs!$F$34&lt;&gt;1,AE20/100*Inputs!$F$58+AE20/100*Inputs!$F$59*Inputs!$F$60/AE16,Inputs!$F$57*Inputs!$F$36*AE20/100)</f>
        <v>22.2934007158834</v>
      </c>
      <c r="AF22" s="13" t="n">
        <f aca="false">IF(Inputs!$F$34&lt;&gt;1,AF20/100*Inputs!$F$58+AF20/100*Inputs!$F$59*Inputs!$F$60/AF16,Inputs!$F$57*Inputs!$F$36*AF20/100)</f>
        <v>21.9419498162438</v>
      </c>
      <c r="AG22" s="13" t="n">
        <f aca="false">IF(Inputs!$F$34&lt;&gt;1,AG20/100*Inputs!$F$58+AG20/100*Inputs!$F$59*Inputs!$F$60/AG16,Inputs!$F$57*Inputs!$F$36*AG20/100)</f>
        <v>21.2945222416557</v>
      </c>
      <c r="AH22" s="13" t="n">
        <f aca="false">IF(Inputs!$F$34&lt;&gt;1,AH20/100*Inputs!$F$58+AH20/100*Inputs!$F$59*Inputs!$F$60/AH16,Inputs!$F$57*Inputs!$F$36*AH20/100)</f>
        <v>20.4992443796896</v>
      </c>
      <c r="AI22" s="13" t="n">
        <f aca="false">IF(Inputs!$F$34&lt;&gt;1,AI20/100*Inputs!$F$58+AI20/100*Inputs!$F$59*Inputs!$F$60/AI16,Inputs!$F$57*Inputs!$F$36*AI20/100)</f>
        <v>19.498388316861</v>
      </c>
      <c r="AJ22" s="13" t="n">
        <f aca="false">IF(Inputs!$F$34&lt;&gt;1,AJ20/100*Inputs!$F$58+AJ20/100*Inputs!$F$59*Inputs!$F$60/AJ16,Inputs!$F$57*Inputs!$F$36*AJ20/100)</f>
        <v>18.3099773474922</v>
      </c>
      <c r="AK22" s="13" t="n">
        <f aca="false">IF(Inputs!$F$34&lt;&gt;1,AK20/100*Inputs!$F$58+AK20/100*Inputs!$F$59*Inputs!$F$60/AK16,Inputs!$F$57*Inputs!$F$36*AK20/100)</f>
        <v>16.9531612218006</v>
      </c>
      <c r="AL22" s="13" t="n">
        <f aca="false">IF(Inputs!$F$34&lt;&gt;1,AL20/100*Inputs!$F$58+AL20/100*Inputs!$F$59*Inputs!$F$60/AL16,Inputs!$F$57*Inputs!$F$36*AL20/100)</f>
        <v>15.4527219694791</v>
      </c>
      <c r="AM22" s="13" t="n">
        <f aca="false">IF(Inputs!$F$34&lt;&gt;1,AM20/100*Inputs!$F$58+AM20/100*Inputs!$F$59*Inputs!$F$60/AM16,Inputs!$F$57*Inputs!$F$36*AM20/100)</f>
        <v>13.7820980986609</v>
      </c>
      <c r="AN22" s="13" t="n">
        <f aca="false">IF(Inputs!$F$34&lt;&gt;1,AN20/100*Inputs!$F$58+AN20/100*Inputs!$F$59*Inputs!$F$60/AN16,Inputs!$F$57*Inputs!$F$36*AN20/100)</f>
        <v>12.0877387964848</v>
      </c>
      <c r="AO22" s="13" t="n">
        <f aca="false">IF(Inputs!$F$34&lt;&gt;1,AO20/100*Inputs!$F$58+AO20/100*Inputs!$F$59*Inputs!$F$60/AO16,Inputs!$F$57*Inputs!$F$36*AO20/100)</f>
        <v>10.3440074351724</v>
      </c>
      <c r="AP22" s="13" t="n">
        <f aca="false">IF(Inputs!$F$34&lt;&gt;1,AP20/100*Inputs!$F$58+AP20/100*Inputs!$F$59*Inputs!$F$60/AP16,Inputs!$F$57*Inputs!$F$36*AP20/100)</f>
        <v>8.59017724358219</v>
      </c>
      <c r="AQ22" s="13" t="n">
        <f aca="false">IF(Inputs!$F$34&lt;&gt;1,AQ20/100*Inputs!$F$58+AQ20/100*Inputs!$F$59*Inputs!$F$60/AQ16,Inputs!$F$57*Inputs!$F$36*AQ20/100)</f>
        <v>6.86832668120522</v>
      </c>
      <c r="AR22" s="13" t="n">
        <f aca="false">IF(Inputs!$F$34&lt;&gt;1,AR20/100*Inputs!$F$58+AR20/100*Inputs!$F$59*Inputs!$F$60/AR16,Inputs!$F$57*Inputs!$F$36*AR20/100)</f>
        <v>5.22502257654503</v>
      </c>
      <c r="AS22" s="13" t="n">
        <f aca="false">IF(Inputs!$F$34&lt;&gt;1,AS20/100*Inputs!$F$58+AS20/100*Inputs!$F$59*Inputs!$F$60/AS16,Inputs!$F$57*Inputs!$F$36*AS20/100)</f>
        <v>3.70012585295276</v>
      </c>
      <c r="AT22" s="13" t="n">
        <f aca="false">IF(Inputs!$F$34&lt;&gt;1,AT20/100*Inputs!$F$58+AT20/100*Inputs!$F$59*Inputs!$F$60/AT16,Inputs!$F$57*Inputs!$F$36*AT20/100)</f>
        <v>2.36993844332349</v>
      </c>
      <c r="AU22" s="13" t="n">
        <f aca="false">IF(Inputs!$F$34&lt;&gt;1,AU20/100*Inputs!$F$58+AU20/100*Inputs!$F$59*Inputs!$F$60/AU16,Inputs!$F$57*Inputs!$F$36*AU20/100)</f>
        <v>1.27814389717848</v>
      </c>
      <c r="AV22" s="13" t="n">
        <f aca="false">IF(Inputs!$F$34&lt;&gt;1,AV20/100*Inputs!$F$58+AV20/100*Inputs!$F$59*Inputs!$F$60/AV16,Inputs!$F$57*Inputs!$F$36*AV20/100)</f>
        <v>0.485739449540683</v>
      </c>
      <c r="AW22" s="13" t="n">
        <f aca="false">IF(Inputs!$F$34&lt;&gt;1,AW20/100*Inputs!$F$58+AW20/100*Inputs!$F$59*Inputs!$F$60/AW16,Inputs!$F$57*Inputs!$F$36*AW20/100)</f>
        <v>42.0276545384843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154</v>
      </c>
      <c r="E23" s="0" t="s">
        <v>149</v>
      </c>
      <c r="G23" s="13" t="n">
        <f aca="false">SUM(J23:BJ23)</f>
        <v>53.11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0.99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0.99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0.99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0.99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0.99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0.99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0.99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155</v>
      </c>
      <c r="E24" s="0" t="s">
        <v>149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548</v>
      </c>
      <c r="E25" s="0" t="s">
        <v>149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158</v>
      </c>
      <c r="E26" s="0" t="s">
        <v>149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0.069</v>
      </c>
      <c r="L26" s="13" t="n">
        <f aca="false">Inputs!$F$65*Inputs!$F$36*(Inputs!$F$244*IF(L8=1,1,0)+(1-Inputs!$F$244)/(Time!$F$11-1)*IF(AND(L8&gt;1,L8&lt;=Time!$F$11),1,0))</f>
        <v>0.069</v>
      </c>
      <c r="M26" s="13" t="n">
        <f aca="false">Inputs!$F$65*Inputs!$F$36*(Inputs!$F$244*IF(M8=1,1,0)+(1-Inputs!$F$244)/(Time!$F$11-1)*IF(AND(M8&gt;1,M8&lt;=Time!$F$11),1,0))</f>
        <v>0.069</v>
      </c>
      <c r="N26" s="13" t="n">
        <f aca="false">Inputs!$F$65*Inputs!$F$36*(Inputs!$F$244*IF(N8=1,1,0)+(1-Inputs!$F$244)/(Time!$F$11-1)*IF(AND(N8&gt;1,N8&lt;=Time!$F$11),1,0))</f>
        <v>0.069</v>
      </c>
      <c r="O26" s="13" t="n">
        <f aca="false">Inputs!$F$65*Inputs!$F$36*(Inputs!$F$244*IF(O8=1,1,0)+(1-Inputs!$F$244)/(Time!$F$11-1)*IF(AND(O8&gt;1,O8&lt;=Time!$F$11),1,0))</f>
        <v>0.069</v>
      </c>
      <c r="P26" s="13" t="n">
        <f aca="false">Inputs!$F$65*Inputs!$F$36*(Inputs!$F$244*IF(P8=1,1,0)+(1-Inputs!$F$244)/(Time!$F$11-1)*IF(AND(P8&gt;1,P8&lt;=Time!$F$11),1,0))</f>
        <v>0.069</v>
      </c>
      <c r="Q26" s="13" t="n">
        <f aca="false">Inputs!$F$65*Inputs!$F$36*(Inputs!$F$244*IF(Q8=1,1,0)+(1-Inputs!$F$244)/(Time!$F$11-1)*IF(AND(Q8&gt;1,Q8&lt;=Time!$F$11),1,0))</f>
        <v>0.069</v>
      </c>
      <c r="R26" s="13" t="n">
        <f aca="false">Inputs!$F$65*Inputs!$F$36*(Inputs!$F$244*IF(R8=1,1,0)+(1-Inputs!$F$244)/(Time!$F$11-1)*IF(AND(R8&gt;1,R8&lt;=Time!$F$11),1,0))</f>
        <v>0.069</v>
      </c>
      <c r="S26" s="13" t="n">
        <f aca="false">Inputs!$F$65*Inputs!$F$36*(Inputs!$F$244*IF(S8=1,1,0)+(1-Inputs!$F$244)/(Time!$F$11-1)*IF(AND(S8&gt;1,S8&lt;=Time!$F$11),1,0))</f>
        <v>0.069</v>
      </c>
      <c r="T26" s="13" t="n">
        <f aca="false">Inputs!$F$65*Inputs!$F$36*(Inputs!$F$244*IF(T8=1,1,0)+(1-Inputs!$F$244)/(Time!$F$11-1)*IF(AND(T8&gt;1,T8&lt;=Time!$F$11),1,0))</f>
        <v>0.069</v>
      </c>
      <c r="U26" s="13" t="n">
        <f aca="false">Inputs!$F$65*Inputs!$F$36*(Inputs!$F$244*IF(U8=1,1,0)+(1-Inputs!$F$244)/(Time!$F$11-1)*IF(AND(U8&gt;1,U8&lt;=Time!$F$11),1,0))</f>
        <v>0.069</v>
      </c>
      <c r="V26" s="13" t="n">
        <f aca="false">Inputs!$F$65*Inputs!$F$36*(Inputs!$F$244*IF(V8=1,1,0)+(1-Inputs!$F$244)/(Time!$F$11-1)*IF(AND(V8&gt;1,V8&lt;=Time!$F$11),1,0))</f>
        <v>0.069</v>
      </c>
      <c r="W26" s="13" t="n">
        <f aca="false">Inputs!$F$65*Inputs!$F$36*(Inputs!$F$244*IF(W8=1,1,0)+(1-Inputs!$F$244)/(Time!$F$11-1)*IF(AND(W8&gt;1,W8&lt;=Time!$F$11),1,0))</f>
        <v>0.069</v>
      </c>
      <c r="X26" s="13" t="n">
        <f aca="false">Inputs!$F$65*Inputs!$F$36*(Inputs!$F$244*IF(X8=1,1,0)+(1-Inputs!$F$244)/(Time!$F$11-1)*IF(AND(X8&gt;1,X8&lt;=Time!$F$11),1,0))</f>
        <v>0.069</v>
      </c>
      <c r="Y26" s="13" t="n">
        <f aca="false">Inputs!$F$65*Inputs!$F$36*(Inputs!$F$244*IF(Y8=1,1,0)+(1-Inputs!$F$244)/(Time!$F$11-1)*IF(AND(Y8&gt;1,Y8&lt;=Time!$F$11),1,0))</f>
        <v>0.069</v>
      </c>
      <c r="Z26" s="13" t="n">
        <f aca="false">Inputs!$F$65*Inputs!$F$36*(Inputs!$F$244*IF(Z8=1,1,0)+(1-Inputs!$F$244)/(Time!$F$11-1)*IF(AND(Z8&gt;1,Z8&lt;=Time!$F$11),1,0))</f>
        <v>0.069</v>
      </c>
      <c r="AA26" s="13" t="n">
        <f aca="false">Inputs!$F$65*Inputs!$F$36*(Inputs!$F$244*IF(AA8=1,1,0)+(1-Inputs!$F$244)/(Time!$F$11-1)*IF(AND(AA8&gt;1,AA8&lt;=Time!$F$11),1,0))</f>
        <v>0.069</v>
      </c>
      <c r="AB26" s="13" t="n">
        <f aca="false">Inputs!$F$65*Inputs!$F$36*(Inputs!$F$244*IF(AB8=1,1,0)+(1-Inputs!$F$244)/(Time!$F$11-1)*IF(AND(AB8&gt;1,AB8&lt;=Time!$F$11),1,0))</f>
        <v>0.069</v>
      </c>
      <c r="AC26" s="13" t="n">
        <f aca="false">Inputs!$F$65*Inputs!$F$36*(Inputs!$F$244*IF(AC8=1,1,0)+(1-Inputs!$F$244)/(Time!$F$11-1)*IF(AND(AC8&gt;1,AC8&lt;=Time!$F$11),1,0))</f>
        <v>0.069</v>
      </c>
      <c r="AD26" s="13" t="n">
        <f aca="false">Inputs!$F$65*Inputs!$F$36*(Inputs!$F$244*IF(AD8=1,1,0)+(1-Inputs!$F$244)/(Time!$F$11-1)*IF(AND(AD8&gt;1,AD8&lt;=Time!$F$11),1,0))</f>
        <v>0.069</v>
      </c>
      <c r="AE26" s="13" t="n">
        <f aca="false">Inputs!$F$65*Inputs!$F$36*(Inputs!$F$244*IF(AE8=1,1,0)+(1-Inputs!$F$244)/(Time!$F$11-1)*IF(AND(AE8&gt;1,AE8&lt;=Time!$F$11),1,0))</f>
        <v>0.069</v>
      </c>
      <c r="AF26" s="13" t="n">
        <f aca="false">Inputs!$F$65*Inputs!$F$36*(Inputs!$F$244*IF(AF8=1,1,0)+(1-Inputs!$F$244)/(Time!$F$11-1)*IF(AND(AF8&gt;1,AF8&lt;=Time!$F$11),1,0))</f>
        <v>0.069</v>
      </c>
      <c r="AG26" s="13" t="n">
        <f aca="false">Inputs!$F$65*Inputs!$F$36*(Inputs!$F$244*IF(AG8=1,1,0)+(1-Inputs!$F$244)/(Time!$F$11-1)*IF(AND(AG8&gt;1,AG8&lt;=Time!$F$11),1,0))</f>
        <v>0.069</v>
      </c>
      <c r="AH26" s="13" t="n">
        <f aca="false">Inputs!$F$65*Inputs!$F$36*(Inputs!$F$244*IF(AH8=1,1,0)+(1-Inputs!$F$244)/(Time!$F$11-1)*IF(AND(AH8&gt;1,AH8&lt;=Time!$F$11),1,0))</f>
        <v>0.069</v>
      </c>
      <c r="AI26" s="13" t="n">
        <f aca="false">Inputs!$F$65*Inputs!$F$36*(Inputs!$F$244*IF(AI8=1,1,0)+(1-Inputs!$F$244)/(Time!$F$11-1)*IF(AND(AI8&gt;1,AI8&lt;=Time!$F$11),1,0))</f>
        <v>0.069</v>
      </c>
      <c r="AJ26" s="13" t="n">
        <f aca="false">Inputs!$F$65*Inputs!$F$36*(Inputs!$F$244*IF(AJ8=1,1,0)+(1-Inputs!$F$244)/(Time!$F$11-1)*IF(AND(AJ8&gt;1,AJ8&lt;=Time!$F$11),1,0))</f>
        <v>0.069</v>
      </c>
      <c r="AK26" s="13" t="n">
        <f aca="false">Inputs!$F$65*Inputs!$F$36*(Inputs!$F$244*IF(AK8=1,1,0)+(1-Inputs!$F$244)/(Time!$F$11-1)*IF(AND(AK8&gt;1,AK8&lt;=Time!$F$11),1,0))</f>
        <v>0.069</v>
      </c>
      <c r="AL26" s="13" t="n">
        <f aca="false">Inputs!$F$65*Inputs!$F$36*(Inputs!$F$244*IF(AL8=1,1,0)+(1-Inputs!$F$244)/(Time!$F$11-1)*IF(AND(AL8&gt;1,AL8&lt;=Time!$F$11),1,0))</f>
        <v>0.069</v>
      </c>
      <c r="AM26" s="13" t="n">
        <f aca="false">Inputs!$F$65*Inputs!$F$36*(Inputs!$F$244*IF(AM8=1,1,0)+(1-Inputs!$F$244)/(Time!$F$11-1)*IF(AND(AM8&gt;1,AM8&lt;=Time!$F$11),1,0))</f>
        <v>0.069</v>
      </c>
      <c r="AN26" s="13" t="n">
        <f aca="false">Inputs!$F$65*Inputs!$F$36*(Inputs!$F$244*IF(AN8=1,1,0)+(1-Inputs!$F$244)/(Time!$F$11-1)*IF(AND(AN8&gt;1,AN8&lt;=Time!$F$11),1,0))</f>
        <v>0.069</v>
      </c>
      <c r="AO26" s="13" t="n">
        <f aca="false">Inputs!$F$65*Inputs!$F$36*(Inputs!$F$244*IF(AO8=1,1,0)+(1-Inputs!$F$244)/(Time!$F$11-1)*IF(AND(AO8&gt;1,AO8&lt;=Time!$F$11),1,0))</f>
        <v>0.069</v>
      </c>
      <c r="AP26" s="13" t="n">
        <f aca="false">Inputs!$F$65*Inputs!$F$36*(Inputs!$F$244*IF(AP8=1,1,0)+(1-Inputs!$F$244)/(Time!$F$11-1)*IF(AND(AP8&gt;1,AP8&lt;=Time!$F$11),1,0))</f>
        <v>0.069</v>
      </c>
      <c r="AQ26" s="13" t="n">
        <f aca="false">Inputs!$F$65*Inputs!$F$36*(Inputs!$F$244*IF(AQ8=1,1,0)+(1-Inputs!$F$244)/(Time!$F$11-1)*IF(AND(AQ8&gt;1,AQ8&lt;=Time!$F$11),1,0))</f>
        <v>0.069</v>
      </c>
      <c r="AR26" s="13" t="n">
        <f aca="false">Inputs!$F$65*Inputs!$F$36*(Inputs!$F$244*IF(AR8=1,1,0)+(1-Inputs!$F$244)/(Time!$F$11-1)*IF(AND(AR8&gt;1,AR8&lt;=Time!$F$11),1,0))</f>
        <v>0.069</v>
      </c>
      <c r="AS26" s="13" t="n">
        <f aca="false">Inputs!$F$65*Inputs!$F$36*(Inputs!$F$244*IF(AS8=1,1,0)+(1-Inputs!$F$244)/(Time!$F$11-1)*IF(AND(AS8&gt;1,AS8&lt;=Time!$F$11),1,0))</f>
        <v>0.069</v>
      </c>
      <c r="AT26" s="13" t="n">
        <f aca="false">Inputs!$F$65*Inputs!$F$36*(Inputs!$F$244*IF(AT8=1,1,0)+(1-Inputs!$F$244)/(Time!$F$11-1)*IF(AND(AT8&gt;1,AT8&lt;=Time!$F$11),1,0))</f>
        <v>0.069</v>
      </c>
      <c r="AU26" s="13" t="n">
        <f aca="false">Inputs!$F$65*Inputs!$F$36*(Inputs!$F$244*IF(AU8=1,1,0)+(1-Inputs!$F$244)/(Time!$F$11-1)*IF(AND(AU8&gt;1,AU8&lt;=Time!$F$11),1,0))</f>
        <v>0.069</v>
      </c>
      <c r="AV26" s="13" t="n">
        <f aca="false">Inputs!$F$65*Inputs!$F$36*(Inputs!$F$244*IF(AV8=1,1,0)+(1-Inputs!$F$244)/(Time!$F$11-1)*IF(AND(AV8&gt;1,AV8&lt;=Time!$F$11),1,0))</f>
        <v>0.069</v>
      </c>
      <c r="AW26" s="13" t="n">
        <f aca="false">Inputs!$F$65*Inputs!$F$36*(Inputs!$F$244*IF(AW8=1,1,0)+(1-Inputs!$F$244)/(Time!$F$11-1)*IF(AND(AW8&gt;1,AW8&lt;=Time!$F$11),1,0))</f>
        <v>0.069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549</v>
      </c>
      <c r="E27" s="0" t="s">
        <v>149</v>
      </c>
      <c r="G27" s="13" t="n">
        <f aca="false">SUM(J27:BJ27)</f>
        <v>0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</v>
      </c>
      <c r="L27" s="13" t="n">
        <f aca="false">IF(Inputs!$F$34=1,Inputs!$F$66*Inputs!$F$36*L21/SUM($J$21:$BJ$21),0)</f>
        <v>0</v>
      </c>
      <c r="M27" s="13" t="n">
        <f aca="false">IF(Inputs!$F$34=1,Inputs!$F$66*Inputs!$F$36*M21/SUM($J$21:$BJ$21),0)</f>
        <v>0</v>
      </c>
      <c r="N27" s="13" t="n">
        <f aca="false">IF(Inputs!$F$34=1,Inputs!$F$66*Inputs!$F$36*N21/SUM($J$21:$BJ$21),0)</f>
        <v>0</v>
      </c>
      <c r="O27" s="13" t="n">
        <f aca="false">IF(Inputs!$F$34=1,Inputs!$F$66*Inputs!$F$36*O21/SUM($J$21:$BJ$21),0)</f>
        <v>0</v>
      </c>
      <c r="P27" s="13" t="n">
        <f aca="false">IF(Inputs!$F$34=1,Inputs!$F$66*Inputs!$F$36*P21/SUM($J$21:$BJ$21),0)</f>
        <v>0</v>
      </c>
      <c r="Q27" s="13" t="n">
        <f aca="false">IF(Inputs!$F$34=1,Inputs!$F$66*Inputs!$F$36*Q21/SUM($J$21:$BJ$21),0)</f>
        <v>0</v>
      </c>
      <c r="R27" s="13" t="n">
        <f aca="false">IF(Inputs!$F$34=1,Inputs!$F$66*Inputs!$F$36*R21/SUM($J$21:$BJ$21),0)</f>
        <v>0</v>
      </c>
      <c r="S27" s="13" t="n">
        <f aca="false">IF(Inputs!$F$34=1,Inputs!$F$66*Inputs!$F$36*S21/SUM($J$21:$BJ$21),0)</f>
        <v>0</v>
      </c>
      <c r="T27" s="13" t="n">
        <f aca="false">IF(Inputs!$F$34=1,Inputs!$F$66*Inputs!$F$36*T21/SUM($J$21:$BJ$21),0)</f>
        <v>0</v>
      </c>
      <c r="U27" s="13" t="n">
        <f aca="false">IF(Inputs!$F$34=1,Inputs!$F$66*Inputs!$F$36*U21/SUM($J$21:$BJ$21),0)</f>
        <v>0</v>
      </c>
      <c r="V27" s="13" t="n">
        <f aca="false">IF(Inputs!$F$34=1,Inputs!$F$66*Inputs!$F$36*V21/SUM($J$21:$BJ$21),0)</f>
        <v>0</v>
      </c>
      <c r="W27" s="13" t="n">
        <f aca="false">IF(Inputs!$F$34=1,Inputs!$F$66*Inputs!$F$36*W21/SUM($J$21:$BJ$21),0)</f>
        <v>0</v>
      </c>
      <c r="X27" s="13" t="n">
        <f aca="false">IF(Inputs!$F$34=1,Inputs!$F$66*Inputs!$F$36*X21/SUM($J$21:$BJ$21),0)</f>
        <v>0</v>
      </c>
      <c r="Y27" s="13" t="n">
        <f aca="false">IF(Inputs!$F$34=1,Inputs!$F$66*Inputs!$F$36*Y21/SUM($J$21:$BJ$21),0)</f>
        <v>0</v>
      </c>
      <c r="Z27" s="13" t="n">
        <f aca="false">IF(Inputs!$F$34=1,Inputs!$F$66*Inputs!$F$36*Z21/SUM($J$21:$BJ$21),0)</f>
        <v>0</v>
      </c>
      <c r="AA27" s="13" t="n">
        <f aca="false">IF(Inputs!$F$34=1,Inputs!$F$66*Inputs!$F$36*AA21/SUM($J$21:$BJ$21),0)</f>
        <v>0</v>
      </c>
      <c r="AB27" s="13" t="n">
        <f aca="false">IF(Inputs!$F$34=1,Inputs!$F$66*Inputs!$F$36*AB21/SUM($J$21:$BJ$21),0)</f>
        <v>0</v>
      </c>
      <c r="AC27" s="13" t="n">
        <f aca="false">IF(Inputs!$F$34=1,Inputs!$F$66*Inputs!$F$36*AC21/SUM($J$21:$BJ$21),0)</f>
        <v>0</v>
      </c>
      <c r="AD27" s="13" t="n">
        <f aca="false">IF(Inputs!$F$34=1,Inputs!$F$66*Inputs!$F$36*AD21/SUM($J$21:$BJ$21),0)</f>
        <v>0</v>
      </c>
      <c r="AE27" s="13" t="n">
        <f aca="false">IF(Inputs!$F$34=1,Inputs!$F$66*Inputs!$F$36*AE21/SUM($J$21:$BJ$21),0)</f>
        <v>0</v>
      </c>
      <c r="AF27" s="13" t="n">
        <f aca="false">IF(Inputs!$F$34=1,Inputs!$F$66*Inputs!$F$36*AF21/SUM($J$21:$BJ$21),0)</f>
        <v>0</v>
      </c>
      <c r="AG27" s="13" t="n">
        <f aca="false">IF(Inputs!$F$34=1,Inputs!$F$66*Inputs!$F$36*AG21/SUM($J$21:$BJ$21),0)</f>
        <v>0</v>
      </c>
      <c r="AH27" s="13" t="n">
        <f aca="false">IF(Inputs!$F$34=1,Inputs!$F$66*Inputs!$F$36*AH21/SUM($J$21:$BJ$21),0)</f>
        <v>0</v>
      </c>
      <c r="AI27" s="13" t="n">
        <f aca="false">IF(Inputs!$F$34=1,Inputs!$F$66*Inputs!$F$36*AI21/SUM($J$21:$BJ$21),0)</f>
        <v>0</v>
      </c>
      <c r="AJ27" s="13" t="n">
        <f aca="false">IF(Inputs!$F$34=1,Inputs!$F$66*Inputs!$F$36*AJ21/SUM($J$21:$BJ$21),0)</f>
        <v>0</v>
      </c>
      <c r="AK27" s="13" t="n">
        <f aca="false">IF(Inputs!$F$34=1,Inputs!$F$66*Inputs!$F$36*AK21/SUM($J$21:$BJ$21),0)</f>
        <v>0</v>
      </c>
      <c r="AL27" s="13" t="n">
        <f aca="false">IF(Inputs!$F$34=1,Inputs!$F$66*Inputs!$F$36*AL21/SUM($J$21:$BJ$21),0)</f>
        <v>0</v>
      </c>
      <c r="AM27" s="13" t="n">
        <f aca="false">IF(Inputs!$F$34=1,Inputs!$F$66*Inputs!$F$36*AM21/SUM($J$21:$BJ$21),0)</f>
        <v>0</v>
      </c>
      <c r="AN27" s="13" t="n">
        <f aca="false">IF(Inputs!$F$34=1,Inputs!$F$66*Inputs!$F$36*AN21/SUM($J$21:$BJ$21),0)</f>
        <v>0</v>
      </c>
      <c r="AO27" s="13" t="n">
        <f aca="false">IF(Inputs!$F$34=1,Inputs!$F$66*Inputs!$F$36*AO21/SUM($J$21:$BJ$21),0)</f>
        <v>0</v>
      </c>
      <c r="AP27" s="13" t="n">
        <f aca="false">IF(Inputs!$F$34=1,Inputs!$F$66*Inputs!$F$36*AP21/SUM($J$21:$BJ$21),0)</f>
        <v>0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550</v>
      </c>
      <c r="E28" s="0" t="s">
        <v>149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0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5.35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551</v>
      </c>
      <c r="E29" s="0" t="s">
        <v>149</v>
      </c>
      <c r="G29" s="13" t="n">
        <f aca="false">SUM(J29:BJ29)</f>
        <v>74.51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0.3425</v>
      </c>
      <c r="AE29" s="13" t="n">
        <f aca="false">IF(Inputs!$F$34&lt;&gt;1,Inputs!AE308,0)</f>
        <v>0.3425</v>
      </c>
      <c r="AF29" s="13" t="n">
        <f aca="false">IF(Inputs!$F$34&lt;&gt;1,Inputs!AF308,0)</f>
        <v>0.3425</v>
      </c>
      <c r="AG29" s="13" t="n">
        <f aca="false">IF(Inputs!$F$34&lt;&gt;1,Inputs!AG308,0)</f>
        <v>0.3425</v>
      </c>
      <c r="AH29" s="13" t="n">
        <f aca="false">IF(Inputs!$F$34&lt;&gt;1,Inputs!AH308,0)</f>
        <v>0.3425</v>
      </c>
      <c r="AI29" s="13" t="n">
        <f aca="false">IF(Inputs!$F$34&lt;&gt;1,Inputs!AI308,0)</f>
        <v>0.3425</v>
      </c>
      <c r="AJ29" s="13" t="n">
        <f aca="false">IF(Inputs!$F$34&lt;&gt;1,Inputs!AJ308,0)</f>
        <v>1.90916666666667</v>
      </c>
      <c r="AK29" s="13" t="n">
        <f aca="false">IF(Inputs!$F$34&lt;&gt;1,Inputs!AK308,0)</f>
        <v>1.90916666666667</v>
      </c>
      <c r="AL29" s="13" t="n">
        <f aca="false">IF(Inputs!$F$34&lt;&gt;1,Inputs!AL308,0)</f>
        <v>1.90916666666667</v>
      </c>
      <c r="AM29" s="13" t="n">
        <f aca="false">IF(Inputs!$F$34&lt;&gt;1,Inputs!AM308,0)</f>
        <v>2.45416666666667</v>
      </c>
      <c r="AN29" s="13" t="n">
        <f aca="false">IF(Inputs!$F$34&lt;&gt;1,Inputs!AN308,0)</f>
        <v>2.45416666666667</v>
      </c>
      <c r="AO29" s="13" t="n">
        <f aca="false">IF(Inputs!$F$34&lt;&gt;1,Inputs!AO308,0)</f>
        <v>2.45416666666667</v>
      </c>
      <c r="AP29" s="13" t="n">
        <f aca="false">IF(Inputs!$F$34&lt;&gt;1,Inputs!AP308,0)</f>
        <v>0.545</v>
      </c>
      <c r="AQ29" s="13" t="n">
        <f aca="false">IF(Inputs!$F$34&lt;&gt;1,Inputs!AQ308,0)</f>
        <v>8.11214285714286</v>
      </c>
      <c r="AR29" s="13" t="n">
        <f aca="false">IF(Inputs!$F$34&lt;&gt;1,Inputs!AR308,0)</f>
        <v>6.69214285714286</v>
      </c>
      <c r="AS29" s="13" t="n">
        <f aca="false">IF(Inputs!$F$34&lt;&gt;1,Inputs!AS308,0)</f>
        <v>7.14714285714286</v>
      </c>
      <c r="AT29" s="13" t="n">
        <f aca="false">IF(Inputs!$F$34&lt;&gt;1,Inputs!AT308,0)</f>
        <v>6.14714285714286</v>
      </c>
      <c r="AU29" s="13" t="n">
        <f aca="false">IF(Inputs!$F$34&lt;&gt;1,Inputs!AU308,0)</f>
        <v>8.78714285714286</v>
      </c>
      <c r="AV29" s="13" t="n">
        <f aca="false">IF(Inputs!$F$34&lt;&gt;1,Inputs!AV308,0)</f>
        <v>6.83214285714286</v>
      </c>
      <c r="AW29" s="13" t="n">
        <f aca="false">IF(Inputs!$F$34&lt;&gt;1,Inputs!AW308,0)</f>
        <v>15.1021428571429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552</v>
      </c>
      <c r="E30" s="0" t="s">
        <v>153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553</v>
      </c>
      <c r="E31" s="0" t="s">
        <v>149</v>
      </c>
      <c r="G31" s="13" t="n">
        <f aca="false">SUM(J31:BJ31)</f>
        <v>4.39743522292355</v>
      </c>
      <c r="J31" s="13" t="n">
        <f aca="false">IF(Inputs!$F$34&lt;&gt;1,Inputs!$F$259*J34*(1/J16-1/J30),0)</f>
        <v>0.0158306969964722</v>
      </c>
      <c r="K31" s="13" t="n">
        <f aca="false">IF(Inputs!$F$34&lt;&gt;1,Inputs!$F$259*K34*(1/K16-1/K30),0)</f>
        <v>6.8157468465398E-005</v>
      </c>
      <c r="L31" s="13" t="n">
        <f aca="false">IF(Inputs!$F$34&lt;&gt;1,Inputs!$F$259*L34*(1/L16-1/L30),0)</f>
        <v>0.0010334843420916</v>
      </c>
      <c r="M31" s="13" t="n">
        <f aca="false">IF(Inputs!$F$34&lt;&gt;1,Inputs!$F$259*M34*(1/M16-1/M30),0)</f>
        <v>0.00386442886384587</v>
      </c>
      <c r="N31" s="13" t="n">
        <f aca="false">IF(Inputs!$F$34&lt;&gt;1,Inputs!$F$259*N34*(1/N16-1/N30),0)</f>
        <v>0.00934066453586027</v>
      </c>
      <c r="O31" s="13" t="n">
        <f aca="false">IF(Inputs!$F$34&lt;&gt;1,Inputs!$F$259*O34*(1/O16-1/O30),0)</f>
        <v>0.00647906929115071</v>
      </c>
      <c r="P31" s="13" t="n">
        <f aca="false">IF(Inputs!$F$34&lt;&gt;1,Inputs!$F$259*P34*(1/P16-1/P30),0)</f>
        <v>0.0132705510653585</v>
      </c>
      <c r="Q31" s="13" t="n">
        <f aca="false">IF(Inputs!$F$34&lt;&gt;1,Inputs!$F$259*Q34*(1/Q16-1/Q30),0)</f>
        <v>0.0234281994833214</v>
      </c>
      <c r="R31" s="13" t="n">
        <f aca="false">IF(Inputs!$F$34&lt;&gt;1,Inputs!$F$259*R34*(1/R16-1/R30),0)</f>
        <v>0.0364844744492641</v>
      </c>
      <c r="S31" s="13" t="n">
        <f aca="false">IF(Inputs!$F$34&lt;&gt;1,Inputs!$F$259*S34*(1/S16-1/S30),0)</f>
        <v>0.0527974774921872</v>
      </c>
      <c r="T31" s="13" t="n">
        <f aca="false">IF(Inputs!$F$34&lt;&gt;1,Inputs!$F$259*T34*(1/T16-1/T30),0)</f>
        <v>0.0716392751804851</v>
      </c>
      <c r="U31" s="13" t="n">
        <f aca="false">IF(Inputs!$F$34&lt;&gt;1,Inputs!$F$259*U34*(1/U16-1/U30),0)</f>
        <v>0.0587415075475079</v>
      </c>
      <c r="V31" s="13" t="n">
        <f aca="false">IF(Inputs!$F$34&lt;&gt;1,Inputs!$F$259*V34*(1/V16-1/V30),0)</f>
        <v>0.0783026931192457</v>
      </c>
      <c r="W31" s="13" t="n">
        <f aca="false">IF(Inputs!$F$34&lt;&gt;1,Inputs!$F$259*W34*(1/W16-1/W30),0)</f>
        <v>0.0992755277143403</v>
      </c>
      <c r="X31" s="13" t="n">
        <f aca="false">IF(Inputs!$F$34&lt;&gt;1,Inputs!$F$259*X34*(1/X16-1/X30),0)</f>
        <v>0.122020699117504</v>
      </c>
      <c r="Y31" s="13" t="n">
        <f aca="false">IF(Inputs!$F$34&lt;&gt;1,Inputs!$F$259*Y34*(1/Y16-1/Y30),0)</f>
        <v>0.145068522285048</v>
      </c>
      <c r="Z31" s="13" t="n">
        <f aca="false">IF(Inputs!$F$34&lt;&gt;1,Inputs!$F$259*Z34*(1/Z16-1/Z30),0)</f>
        <v>0.168816089350321</v>
      </c>
      <c r="AA31" s="13" t="n">
        <f aca="false">IF(Inputs!$F$34&lt;&gt;1,Inputs!$F$259*AA34*(1/AA16-1/AA30),0)</f>
        <v>0.132381671317594</v>
      </c>
      <c r="AB31" s="13" t="n">
        <f aca="false">IF(Inputs!$F$34&lt;&gt;1,Inputs!$F$259*AB34*(1/AB16-1/AB30),0)</f>
        <v>0.151869979882513</v>
      </c>
      <c r="AC31" s="13" t="n">
        <f aca="false">IF(Inputs!$F$34&lt;&gt;1,Inputs!$F$259*AC34*(1/AC16-1/AC30),0)</f>
        <v>0.171433667335836</v>
      </c>
      <c r="AD31" s="13" t="n">
        <f aca="false">IF(Inputs!$F$34&lt;&gt;1,Inputs!$F$259*AD34*(1/AD16-1/AD30),0)</f>
        <v>0.188854696070776</v>
      </c>
      <c r="AE31" s="13" t="n">
        <f aca="false">IF(Inputs!$F$34&lt;&gt;1,Inputs!$F$259*AE34*(1/AE16-1/AE30),0)</f>
        <v>0.204734523507322</v>
      </c>
      <c r="AF31" s="13" t="n">
        <f aca="false">IF(Inputs!$F$34&lt;&gt;1,Inputs!$F$259*AF34*(1/AF16-1/AF30),0)</f>
        <v>0.217432578230647</v>
      </c>
      <c r="AG31" s="13" t="n">
        <f aca="false">IF(Inputs!$F$34&lt;&gt;1,Inputs!$F$259*AG34*(1/AG16-1/AG30),0)</f>
        <v>0.174860513965399</v>
      </c>
      <c r="AH31" s="13" t="n">
        <f aca="false">IF(Inputs!$F$34&lt;&gt;1,Inputs!$F$259*AH34*(1/AH16-1/AH30),0)</f>
        <v>0.183455535856035</v>
      </c>
      <c r="AI31" s="13" t="n">
        <f aca="false">IF(Inputs!$F$34&lt;&gt;1,Inputs!$F$259*AI34*(1/AI16-1/AI30),0)</f>
        <v>0.188309566880255</v>
      </c>
      <c r="AJ31" s="13" t="n">
        <f aca="false">IF(Inputs!$F$34&lt;&gt;1,Inputs!$F$259*AJ34*(1/AJ16-1/AJ30),0)</f>
        <v>0.19012624010373</v>
      </c>
      <c r="AK31" s="13" t="n">
        <f aca="false">IF(Inputs!$F$34&lt;&gt;1,Inputs!$F$259*AK34*(1/AK16-1/AK30),0)</f>
        <v>0.1878535488664</v>
      </c>
      <c r="AL31" s="13" t="n">
        <f aca="false">IF(Inputs!$F$34&lt;&gt;1,Inputs!$F$259*AL34*(1/AL16-1/AL30),0)</f>
        <v>0.182267573513798</v>
      </c>
      <c r="AM31" s="13" t="n">
        <f aca="false">IF(Inputs!$F$34&lt;&gt;1,Inputs!$F$259*AM34*(1/AM16-1/AM30),0)</f>
        <v>0.131918269635502</v>
      </c>
      <c r="AN31" s="13" t="n">
        <f aca="false">IF(Inputs!$F$34&lt;&gt;1,Inputs!$F$259*AN34*(1/AN16-1/AN30),0)</f>
        <v>0.12338916698145</v>
      </c>
      <c r="AO31" s="13" t="n">
        <f aca="false">IF(Inputs!$F$34&lt;&gt;1,Inputs!$F$259*AO34*(1/AO16-1/AO30),0)</f>
        <v>0.11281771815391</v>
      </c>
      <c r="AP31" s="13" t="n">
        <f aca="false">IF(Inputs!$F$34&lt;&gt;1,Inputs!$F$259*AP34*(1/AP16-1/AP30),0)</f>
        <v>0.0994519483292928</v>
      </c>
      <c r="AQ31" s="13" t="n">
        <f aca="false">IF(Inputs!$F$34&lt;&gt;1,Inputs!$F$259*AQ34*(1/AQ16-1/AQ30),0)</f>
        <v>0.0842403058967179</v>
      </c>
      <c r="AR31" s="13" t="n">
        <f aca="false">IF(Inputs!$F$34&lt;&gt;1,Inputs!$F$259*AR34*(1/AR16-1/AR30),0)</f>
        <v>0.0675342939225132</v>
      </c>
      <c r="AS31" s="13" t="n">
        <f aca="false">IF(Inputs!$F$34&lt;&gt;1,Inputs!$F$259*AS34*(1/AS16-1/AS30),0)</f>
        <v>0.0433245295520897</v>
      </c>
      <c r="AT31" s="13" t="n">
        <f aca="false">IF(Inputs!$F$34&lt;&gt;1,Inputs!$F$259*AT34*(1/AT16-1/AT30),0)</f>
        <v>0.0293441588601079</v>
      </c>
      <c r="AU31" s="13" t="n">
        <f aca="false">IF(Inputs!$F$34&lt;&gt;1,Inputs!$F$259*AU34*(1/AU16-1/AU30),0)</f>
        <v>0.0166513935200134</v>
      </c>
      <c r="AV31" s="13" t="n">
        <f aca="false">IF(Inputs!$F$34&lt;&gt;1,Inputs!$F$259*AV34*(1/AV16-1/AV30),0)</f>
        <v>0.00664974875500874</v>
      </c>
      <c r="AW31" s="13" t="n">
        <f aca="false">IF(Inputs!$F$34&lt;&gt;1,Inputs!$F$259*AW34*(1/AW16-1/AW30),0)</f>
        <v>0.60207207548417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-0</v>
      </c>
      <c r="BF31" s="13" t="n">
        <f aca="false">IF(Inputs!$F$34&lt;&gt;1,Inputs!$F$259*BF34*(1/BF16-1/BF30),0)</f>
        <v>-0</v>
      </c>
      <c r="BG31" s="13" t="n">
        <f aca="false">IF(Inputs!$F$34&lt;&gt;1,Inputs!$F$259*BG34*(1/BG16-1/BG30),0)</f>
        <v>-0</v>
      </c>
      <c r="BH31" s="13" t="n">
        <f aca="false">IF(Inputs!$F$34&lt;&gt;1,Inputs!$F$259*BH34*(1/BH16-1/BH30),0)</f>
        <v>-0</v>
      </c>
      <c r="BI31" s="13" t="n">
        <f aca="false">IF(Inputs!$F$34&lt;&gt;1,Inputs!$F$259*BI34*(1/BI16-1/BI30),0)</f>
        <v>-0</v>
      </c>
      <c r="BJ31" s="13" t="n">
        <f aca="false">IF(Inputs!$F$34&lt;&gt;1,Inputs!$F$259*BJ34*(1/BJ16-1/BJ30),0)</f>
        <v>-0</v>
      </c>
    </row>
    <row r="32" customFormat="false" ht="15" hidden="false" customHeight="false" outlineLevel="0" collapsed="false">
      <c r="D32" s="0" t="s">
        <v>554</v>
      </c>
      <c r="E32" s="0" t="s">
        <v>149</v>
      </c>
      <c r="G32" s="13" t="n">
        <f aca="false">SUM(J32:BJ32)</f>
        <v>742.914195159284</v>
      </c>
      <c r="J32" s="13" t="n">
        <f aca="false">J22+J23+J24+J25+J26+J27+J28+J29-J31</f>
        <v>108.013824201974</v>
      </c>
      <c r="K32" s="13" t="n">
        <f aca="false">K22+K23+K24+K25+K26+K27+K28+K29-K31</f>
        <v>1.39712593852848</v>
      </c>
      <c r="L32" s="13" t="n">
        <f aca="false">L22+L23+L24+L25+L26+L27+L28+L29-L31</f>
        <v>1.83356235218097</v>
      </c>
      <c r="M32" s="13" t="n">
        <f aca="false">M22+M23+M24+M25+M26+M27+M28+M29-M31</f>
        <v>2.63929650502864</v>
      </c>
      <c r="N32" s="13" t="n">
        <f aca="false">N22+N23+N24+N25+N26+N27+N28+N29-N31</f>
        <v>3.74788136043555</v>
      </c>
      <c r="O32" s="13" t="n">
        <f aca="false">O22+O23+O24+O25+O26+O27+O28+O29-O31</f>
        <v>5.09350242976283</v>
      </c>
      <c r="P32" s="13" t="n">
        <f aca="false">P22+P23+P24+P25+P26+P27+P28+P29-P31</f>
        <v>6.62309117771409</v>
      </c>
      <c r="Q32" s="13" t="n">
        <f aca="false">Q22+Q23+Q24+Q25+Q26+Q27+Q28+Q29-Q31</f>
        <v>8.27900450036828</v>
      </c>
      <c r="R32" s="13" t="n">
        <f aca="false">R22+R23+R24+R25+R26+R27+R28+R29-R31</f>
        <v>10.0116538622137</v>
      </c>
      <c r="S32" s="13" t="n">
        <f aca="false">S22+S23+S24+S25+S26+S27+S28+S29-S31</f>
        <v>11.7734691813188</v>
      </c>
      <c r="T32" s="13" t="n">
        <f aca="false">T22+T23+T24+T25+T26+T27+T28+T29-T31</f>
        <v>13.5225169630406</v>
      </c>
      <c r="U32" s="13" t="n">
        <f aca="false">U22+U23+U24+U25+U26+U27+U28+U29-U31</f>
        <v>15.2099501027101</v>
      </c>
      <c r="V32" s="13" t="n">
        <f aca="false">V22+V23+V24+V25+V26+V27+V28+V29-V31</f>
        <v>16.8184079752718</v>
      </c>
      <c r="W32" s="13" t="n">
        <f aca="false">W22+W23+W24+W25+W26+W27+W28+W29-W31</f>
        <v>18.308073514368</v>
      </c>
      <c r="X32" s="13" t="n">
        <f aca="false">X22+X23+X24+X25+X26+X27+X28+X29-X31</f>
        <v>19.651367322778</v>
      </c>
      <c r="Y32" s="13" t="n">
        <f aca="false">Y22+Y23+Y24+Y25+Y26+Y27+Y28+Y29-Y31</f>
        <v>20.824808601896</v>
      </c>
      <c r="Z32" s="13" t="n">
        <f aca="false">Z22+Z23+Z24+Z25+Z26+Z27+Z28+Z29-Z31</f>
        <v>21.8087203404048</v>
      </c>
      <c r="AA32" s="13" t="n">
        <f aca="false">AA22+AA23+AA24+AA25+AA26+AA27+AA28+AA29-AA31</f>
        <v>23.7123587042018</v>
      </c>
      <c r="AB32" s="13" t="n">
        <f aca="false">AB22+AB23+AB24+AB25+AB26+AB27+AB28+AB29-AB31</f>
        <v>23.1290298363613</v>
      </c>
      <c r="AC32" s="13" t="n">
        <f aca="false">AC22+AC23+AC24+AC25+AC26+AC27+AC28+AC29-AC31</f>
        <v>23.4609170485476</v>
      </c>
      <c r="AD32" s="13" t="n">
        <f aca="false">AD22+AD23+AD24+AD25+AD26+AD27+AD28+AD29-AD31</f>
        <v>23.9018279079575</v>
      </c>
      <c r="AE32" s="13" t="n">
        <f aca="false">AE22+AE23+AE24+AE25+AE26+AE27+AE28+AE29-AE31</f>
        <v>23.7701161923761</v>
      </c>
      <c r="AF32" s="13" t="n">
        <f aca="false">AF22+AF23+AF24+AF25+AF26+AF27+AF28+AF29-AF31</f>
        <v>23.4059672380132</v>
      </c>
      <c r="AG32" s="13" t="n">
        <f aca="false">AG22+AG23+AG24+AG25+AG26+AG27+AG28+AG29-AG31</f>
        <v>22.8011117276903</v>
      </c>
      <c r="AH32" s="13" t="n">
        <f aca="false">AH22+AH23+AH24+AH25+AH26+AH27+AH28+AH29-AH31</f>
        <v>21.9972388438335</v>
      </c>
      <c r="AI32" s="13" t="n">
        <f aca="false">AI22+AI23+AI24+AI25+AI26+AI27+AI28+AI29-AI31</f>
        <v>20.9915287499807</v>
      </c>
      <c r="AJ32" s="13" t="n">
        <f aca="false">AJ22+AJ23+AJ24+AJ25+AJ26+AJ27+AJ28+AJ29-AJ31</f>
        <v>21.3679677740552</v>
      </c>
      <c r="AK32" s="13" t="n">
        <f aca="false">AK22+AK23+AK24+AK25+AK26+AK27+AK28+AK29-AK31</f>
        <v>20.0134243396009</v>
      </c>
      <c r="AL32" s="13" t="n">
        <f aca="false">AL22+AL23+AL24+AL25+AL26+AL27+AL28+AL29-AL31</f>
        <v>18.518571062632</v>
      </c>
      <c r="AM32" s="13" t="n">
        <f aca="false">AM22+AM23+AM24+AM25+AM26+AM27+AM28+AM29-AM31</f>
        <v>17.443296495692</v>
      </c>
      <c r="AN32" s="13" t="n">
        <f aca="false">AN22+AN23+AN24+AN25+AN26+AN27+AN28+AN29-AN31</f>
        <v>15.75746629617</v>
      </c>
      <c r="AO32" s="13" t="n">
        <f aca="false">AO22+AO23+AO24+AO25+AO26+AO27+AO28+AO29-AO31</f>
        <v>14.0243063836852</v>
      </c>
      <c r="AP32" s="13" t="n">
        <f aca="false">AP22+AP23+AP24+AP25+AP26+AP27+AP28+AP29-AP31</f>
        <v>10.3746752952529</v>
      </c>
      <c r="AQ32" s="13" t="n">
        <f aca="false">AQ22+AQ23+AQ24+AQ25+AQ26+AQ27+AQ28+AQ29-AQ31</f>
        <v>15.9552292324514</v>
      </c>
      <c r="AR32" s="13" t="n">
        <f aca="false">AR22+AR23+AR24+AR25+AR26+AR27+AR28+AR29-AR31</f>
        <v>12.9086311397654</v>
      </c>
      <c r="AS32" s="13" t="n">
        <f aca="false">AS22+AS23+AS24+AS25+AS26+AS27+AS28+AS29-AS31</f>
        <v>11.8629441805435</v>
      </c>
      <c r="AT32" s="13" t="n">
        <f aca="false">AT22+AT23+AT24+AT25+AT26+AT27+AT28+AT29-AT31</f>
        <v>9.54673714160624</v>
      </c>
      <c r="AU32" s="13" t="n">
        <f aca="false">AU22+AU23+AU24+AU25+AU26+AU27+AU28+AU29-AU31</f>
        <v>11.1076353608013</v>
      </c>
      <c r="AV32" s="13" t="n">
        <f aca="false">AV22+AV23+AV24+AV25+AV26+AV27+AV28+AV29-AV31</f>
        <v>8.37023255792853</v>
      </c>
      <c r="AW32" s="13" t="n">
        <f aca="false">AW22+AW23+AW24+AW25+AW26+AW27+AW28+AW29-AW31</f>
        <v>62.936725320143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555</v>
      </c>
    </row>
    <row r="34" customFormat="false" ht="15" hidden="false" customHeight="false" outlineLevel="0" collapsed="false">
      <c r="D34" s="0" t="s">
        <v>556</v>
      </c>
      <c r="E34" s="0" t="s">
        <v>166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4.379757396</v>
      </c>
      <c r="L34" s="13" t="n">
        <f aca="false">L20/100*Inputs!$F$59*Inputs!$F$60*Inputs!$F$36</f>
        <v>37.270876664</v>
      </c>
      <c r="M34" s="13" t="n">
        <f aca="false">M20/100*Inputs!$F$59*Inputs!$F$60*Inputs!$F$36</f>
        <v>98.072214632</v>
      </c>
      <c r="N34" s="13" t="n">
        <f aca="false">N20/100*Inputs!$F$59*Inputs!$F$60*Inputs!$F$36</f>
        <v>181.84580953</v>
      </c>
      <c r="O34" s="13" t="n">
        <f aca="false">O20/100*Inputs!$F$59*Inputs!$F$60*Inputs!$F$36</f>
        <v>283.911332376</v>
      </c>
      <c r="P34" s="13" t="n">
        <f aca="false">P20/100*Inputs!$F$59*Inputs!$F$60*Inputs!$F$36</f>
        <v>399.889025774</v>
      </c>
      <c r="Q34" s="13" t="n">
        <f aca="false">Q20/100*Inputs!$F$59*Inputs!$F$60*Inputs!$F$36</f>
        <v>525.656765116</v>
      </c>
      <c r="R34" s="13" t="n">
        <f aca="false">R20/100*Inputs!$F$59*Inputs!$F$60*Inputs!$F$36</f>
        <v>657.435936178</v>
      </c>
      <c r="S34" s="13" t="n">
        <f aca="false">S20/100*Inputs!$F$59*Inputs!$F$60*Inputs!$F$36</f>
        <v>791.662618726</v>
      </c>
      <c r="T34" s="13" t="n">
        <f aca="false">T20/100*Inputs!$F$59*Inputs!$F$60*Inputs!$F$36</f>
        <v>925.11640291</v>
      </c>
      <c r="U34" s="13" t="n">
        <f aca="false">U20/100*Inputs!$F$59*Inputs!$F$60*Inputs!$F$36</f>
        <v>1054.79157287</v>
      </c>
      <c r="V34" s="13" t="n">
        <f aca="false">V20/100*Inputs!$F$59*Inputs!$F$60*Inputs!$F$36</f>
        <v>1178.068861928</v>
      </c>
      <c r="W34" s="13" t="n">
        <f aca="false">W20/100*Inputs!$F$59*Inputs!$F$60*Inputs!$F$36</f>
        <v>1292.4578198</v>
      </c>
      <c r="X34" s="13" t="n">
        <f aca="false">X20/100*Inputs!$F$59*Inputs!$F$60*Inputs!$F$36</f>
        <v>1395.897384182</v>
      </c>
      <c r="Y34" s="13" t="n">
        <f aca="false">Y20/100*Inputs!$F$59*Inputs!$F$60*Inputs!$F$36</f>
        <v>1486.498247962</v>
      </c>
      <c r="Z34" s="13" t="n">
        <f aca="false">Z20/100*Inputs!$F$59*Inputs!$F$60*Inputs!$F$36</f>
        <v>1562.800492008</v>
      </c>
      <c r="AA34" s="13" t="n">
        <f aca="false">AA20/100*Inputs!$F$59*Inputs!$F$60*Inputs!$F$36</f>
        <v>1623.430074784</v>
      </c>
      <c r="AB34" s="13" t="n">
        <f aca="false">AB20/100*Inputs!$F$59*Inputs!$F$60*Inputs!$F$36</f>
        <v>1667.442342734</v>
      </c>
      <c r="AC34" s="13" t="n">
        <f aca="false">AC20/100*Inputs!$F$59*Inputs!$F$60*Inputs!$F$36</f>
        <v>1694.15027509</v>
      </c>
      <c r="AD34" s="13" t="n">
        <f aca="false">AD20/100*Inputs!$F$59*Inputs!$F$60*Inputs!$F$36</f>
        <v>1702.95272868</v>
      </c>
      <c r="AE34" s="13" t="n">
        <f aca="false">AE20/100*Inputs!$F$59*Inputs!$F$60*Inputs!$F$36</f>
        <v>1694.15027509</v>
      </c>
      <c r="AF34" s="13" t="n">
        <f aca="false">AF20/100*Inputs!$F$59*Inputs!$F$60*Inputs!$F$36</f>
        <v>1667.442342734</v>
      </c>
      <c r="AG34" s="13" t="n">
        <f aca="false">AG20/100*Inputs!$F$59*Inputs!$F$60*Inputs!$F$36</f>
        <v>1623.430074784</v>
      </c>
      <c r="AH34" s="13" t="n">
        <f aca="false">AH20/100*Inputs!$F$59*Inputs!$F$60*Inputs!$F$36</f>
        <v>1562.800492008</v>
      </c>
      <c r="AI34" s="13" t="n">
        <f aca="false">AI20/100*Inputs!$F$59*Inputs!$F$60*Inputs!$F$36</f>
        <v>1486.498247962</v>
      </c>
      <c r="AJ34" s="13" t="n">
        <f aca="false">AJ20/100*Inputs!$F$59*Inputs!$F$60*Inputs!$F$36</f>
        <v>1395.897384182</v>
      </c>
      <c r="AK34" s="13" t="n">
        <f aca="false">AK20/100*Inputs!$F$59*Inputs!$F$60*Inputs!$F$36</f>
        <v>1292.4578198</v>
      </c>
      <c r="AL34" s="13" t="n">
        <f aca="false">AL20/100*Inputs!$F$59*Inputs!$F$60*Inputs!$F$36</f>
        <v>1178.068861928</v>
      </c>
      <c r="AM34" s="13" t="n">
        <f aca="false">AM20/100*Inputs!$F$59*Inputs!$F$60*Inputs!$F$36</f>
        <v>1054.79157287</v>
      </c>
      <c r="AN34" s="13" t="n">
        <f aca="false">AN20/100*Inputs!$F$59*Inputs!$F$60*Inputs!$F$36</f>
        <v>925.11640291</v>
      </c>
      <c r="AO34" s="13" t="n">
        <f aca="false">AO20/100*Inputs!$F$59*Inputs!$F$60*Inputs!$F$36</f>
        <v>791.662618726</v>
      </c>
      <c r="AP34" s="13" t="n">
        <f aca="false">AP20/100*Inputs!$F$59*Inputs!$F$60*Inputs!$F$36</f>
        <v>657.435936178</v>
      </c>
      <c r="AQ34" s="13" t="n">
        <f aca="false">AQ20/100*Inputs!$F$59*Inputs!$F$60*Inputs!$F$36</f>
        <v>525.656765116</v>
      </c>
      <c r="AR34" s="13" t="n">
        <f aca="false">AR20/100*Inputs!$F$59*Inputs!$F$60*Inputs!$F$36</f>
        <v>399.889025774</v>
      </c>
      <c r="AS34" s="13" t="n">
        <f aca="false">AS20/100*Inputs!$F$59*Inputs!$F$60*Inputs!$F$36</f>
        <v>283.911332376</v>
      </c>
      <c r="AT34" s="13" t="n">
        <f aca="false">AT20/100*Inputs!$F$59*Inputs!$F$60*Inputs!$F$36</f>
        <v>181.84580953</v>
      </c>
      <c r="AU34" s="13" t="n">
        <f aca="false">AU20/100*Inputs!$F$59*Inputs!$F$60*Inputs!$F$36</f>
        <v>98.072214632</v>
      </c>
      <c r="AV34" s="13" t="n">
        <f aca="false">AV20/100*Inputs!$F$59*Inputs!$F$60*Inputs!$F$36</f>
        <v>37.270876664</v>
      </c>
      <c r="AW34" s="13" t="n">
        <f aca="false">AW20/100*Inputs!$F$59*Inputs!$F$60*Inputs!$F$36</f>
        <v>3224.789607396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557</v>
      </c>
      <c r="E35" s="0" t="s">
        <v>166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0.78835633128</v>
      </c>
      <c r="L35" s="13" t="n">
        <f aca="false">Inputs!$F$70/100*L34</f>
        <v>6.70875779952</v>
      </c>
      <c r="M35" s="13" t="n">
        <f aca="false">Inputs!$F$70/100*M34</f>
        <v>17.65299863376</v>
      </c>
      <c r="N35" s="13" t="n">
        <f aca="false">Inputs!$F$70/100*N34</f>
        <v>32.7322457154</v>
      </c>
      <c r="O35" s="13" t="n">
        <f aca="false">Inputs!$F$70/100*O34</f>
        <v>51.10403982768</v>
      </c>
      <c r="P35" s="13" t="n">
        <f aca="false">Inputs!$F$70/100*P34</f>
        <v>71.98002463932</v>
      </c>
      <c r="Q35" s="13" t="n">
        <f aca="false">Inputs!$F$70/100*Q34</f>
        <v>94.61821772088</v>
      </c>
      <c r="R35" s="13" t="n">
        <f aca="false">Inputs!$F$70/100*R34</f>
        <v>118.33846851204</v>
      </c>
      <c r="S35" s="13" t="n">
        <f aca="false">Inputs!$F$70/100*S34</f>
        <v>142.49927137068</v>
      </c>
      <c r="T35" s="13" t="n">
        <f aca="false">Inputs!$F$70/100*T34</f>
        <v>166.5209525238</v>
      </c>
      <c r="U35" s="13" t="n">
        <f aca="false">Inputs!$F$70/100*U34</f>
        <v>189.8624831166</v>
      </c>
      <c r="V35" s="13" t="n">
        <f aca="false">Inputs!$F$70/100*V34</f>
        <v>212.05239514704</v>
      </c>
      <c r="W35" s="13" t="n">
        <f aca="false">Inputs!$F$70/100*W34</f>
        <v>232.642407564</v>
      </c>
      <c r="X35" s="13" t="n">
        <f aca="false">Inputs!$F$70/100*X34</f>
        <v>251.26152915276</v>
      </c>
      <c r="Y35" s="13" t="n">
        <f aca="false">Inputs!$F$70/100*Y34</f>
        <v>267.56968463316</v>
      </c>
      <c r="Z35" s="13" t="n">
        <f aca="false">Inputs!$F$70/100*Z34</f>
        <v>281.30408856144</v>
      </c>
      <c r="AA35" s="13" t="n">
        <f aca="false">Inputs!$F$70/100*AA34</f>
        <v>292.21741346112</v>
      </c>
      <c r="AB35" s="13" t="n">
        <f aca="false">Inputs!$F$70/100*AB34</f>
        <v>300.13962169212</v>
      </c>
      <c r="AC35" s="13" t="n">
        <f aca="false">Inputs!$F$70/100*AC34</f>
        <v>304.9470495162</v>
      </c>
      <c r="AD35" s="13" t="n">
        <f aca="false">Inputs!$F$70/100*AD34</f>
        <v>306.5314911624</v>
      </c>
      <c r="AE35" s="13" t="n">
        <f aca="false">Inputs!$F$70/100*AE34</f>
        <v>304.9470495162</v>
      </c>
      <c r="AF35" s="13" t="n">
        <f aca="false">Inputs!$F$70/100*AF34</f>
        <v>300.13962169212</v>
      </c>
      <c r="AG35" s="13" t="n">
        <f aca="false">Inputs!$F$70/100*AG34</f>
        <v>292.21741346112</v>
      </c>
      <c r="AH35" s="13" t="n">
        <f aca="false">Inputs!$F$70/100*AH34</f>
        <v>281.30408856144</v>
      </c>
      <c r="AI35" s="13" t="n">
        <f aca="false">Inputs!$F$70/100*AI34</f>
        <v>267.56968463316</v>
      </c>
      <c r="AJ35" s="13" t="n">
        <f aca="false">Inputs!$F$70/100*AJ34</f>
        <v>251.26152915276</v>
      </c>
      <c r="AK35" s="13" t="n">
        <f aca="false">Inputs!$F$70/100*AK34</f>
        <v>232.642407564</v>
      </c>
      <c r="AL35" s="13" t="n">
        <f aca="false">Inputs!$F$70/100*AL34</f>
        <v>212.05239514704</v>
      </c>
      <c r="AM35" s="13" t="n">
        <f aca="false">Inputs!$F$70/100*AM34</f>
        <v>189.8624831166</v>
      </c>
      <c r="AN35" s="13" t="n">
        <f aca="false">Inputs!$F$70/100*AN34</f>
        <v>166.5209525238</v>
      </c>
      <c r="AO35" s="13" t="n">
        <f aca="false">Inputs!$F$70/100*AO34</f>
        <v>142.49927137068</v>
      </c>
      <c r="AP35" s="13" t="n">
        <f aca="false">Inputs!$F$70/100*AP34</f>
        <v>118.33846851204</v>
      </c>
      <c r="AQ35" s="13" t="n">
        <f aca="false">Inputs!$F$70/100*AQ34</f>
        <v>94.61821772088</v>
      </c>
      <c r="AR35" s="13" t="n">
        <f aca="false">Inputs!$F$70/100*AR34</f>
        <v>71.98002463932</v>
      </c>
      <c r="AS35" s="13" t="n">
        <f aca="false">Inputs!$F$70/100*AS34</f>
        <v>51.10403982768</v>
      </c>
      <c r="AT35" s="13" t="n">
        <f aca="false">Inputs!$F$70/100*AT34</f>
        <v>32.7322457154</v>
      </c>
      <c r="AU35" s="13" t="n">
        <f aca="false">Inputs!$F$70/100*AU34</f>
        <v>17.65299863376</v>
      </c>
      <c r="AV35" s="13" t="n">
        <f aca="false">Inputs!$F$70/100*AV34</f>
        <v>6.70875779952</v>
      </c>
      <c r="AW35" s="13" t="n">
        <f aca="false">Inputs!$F$70/100*AW34</f>
        <v>580.46212933128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558</v>
      </c>
      <c r="E36" s="0" t="s">
        <v>166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0.78835633128</v>
      </c>
      <c r="U36" s="13" t="n">
        <f aca="false">SUMIFS($J$35:$BJ$35,$J$8:$BJ$8,U8-Inputs!$F$246)</f>
        <v>6.70875779952</v>
      </c>
      <c r="V36" s="13" t="n">
        <f aca="false">SUMIFS($J$35:$BJ$35,$J$8:$BJ$8,V8-Inputs!$F$246)</f>
        <v>17.65299863376</v>
      </c>
      <c r="W36" s="13" t="n">
        <f aca="false">SUMIFS($J$35:$BJ$35,$J$8:$BJ$8,W8-Inputs!$F$246)</f>
        <v>32.7322457154</v>
      </c>
      <c r="X36" s="13" t="n">
        <f aca="false">SUMIFS($J$35:$BJ$35,$J$8:$BJ$8,X8-Inputs!$F$246)</f>
        <v>51.10403982768</v>
      </c>
      <c r="Y36" s="13" t="n">
        <f aca="false">SUMIFS($J$35:$BJ$35,$J$8:$BJ$8,Y8-Inputs!$F$246)</f>
        <v>71.98002463932</v>
      </c>
      <c r="Z36" s="13" t="n">
        <f aca="false">SUMIFS($J$35:$BJ$35,$J$8:$BJ$8,Z8-Inputs!$F$246)</f>
        <v>94.61821772088</v>
      </c>
      <c r="AA36" s="13" t="n">
        <f aca="false">SUMIFS($J$35:$BJ$35,$J$8:$BJ$8,AA8-Inputs!$F$246)</f>
        <v>118.33846851204</v>
      </c>
      <c r="AB36" s="13" t="n">
        <f aca="false">SUMIFS($J$35:$BJ$35,$J$8:$BJ$8,AB8-Inputs!$F$246)</f>
        <v>142.49927137068</v>
      </c>
      <c r="AC36" s="13" t="n">
        <f aca="false">SUMIFS($J$35:$BJ$35,$J$8:$BJ$8,AC8-Inputs!$F$246)</f>
        <v>166.5209525238</v>
      </c>
      <c r="AD36" s="13" t="n">
        <f aca="false">SUMIFS($J$35:$BJ$35,$J$8:$BJ$8,AD8-Inputs!$F$246)</f>
        <v>189.8624831166</v>
      </c>
      <c r="AE36" s="13" t="n">
        <f aca="false">SUMIFS($J$35:$BJ$35,$J$8:$BJ$8,AE8-Inputs!$F$246)</f>
        <v>212.05239514704</v>
      </c>
      <c r="AF36" s="13" t="n">
        <f aca="false">SUMIFS($J$35:$BJ$35,$J$8:$BJ$8,AF8-Inputs!$F$246)</f>
        <v>232.642407564</v>
      </c>
      <c r="AG36" s="13" t="n">
        <f aca="false">SUMIFS($J$35:$BJ$35,$J$8:$BJ$8,AG8-Inputs!$F$246)</f>
        <v>251.26152915276</v>
      </c>
      <c r="AH36" s="13" t="n">
        <f aca="false">SUMIFS($J$35:$BJ$35,$J$8:$BJ$8,AH8-Inputs!$F$246)</f>
        <v>267.56968463316</v>
      </c>
      <c r="AI36" s="13" t="n">
        <f aca="false">SUMIFS($J$35:$BJ$35,$J$8:$BJ$8,AI8-Inputs!$F$246)</f>
        <v>281.30408856144</v>
      </c>
      <c r="AJ36" s="13" t="n">
        <f aca="false">SUMIFS($J$35:$BJ$35,$J$8:$BJ$8,AJ8-Inputs!$F$246)</f>
        <v>292.21741346112</v>
      </c>
      <c r="AK36" s="13" t="n">
        <f aca="false">SUMIFS($J$35:$BJ$35,$J$8:$BJ$8,AK8-Inputs!$F$246)</f>
        <v>300.13962169212</v>
      </c>
      <c r="AL36" s="13" t="n">
        <f aca="false">SUMIFS($J$35:$BJ$35,$J$8:$BJ$8,AL8-Inputs!$F$246)</f>
        <v>304.9470495162</v>
      </c>
      <c r="AM36" s="13" t="n">
        <f aca="false">SUMIFS($J$35:$BJ$35,$J$8:$BJ$8,AM8-Inputs!$F$246)</f>
        <v>306.5314911624</v>
      </c>
      <c r="AN36" s="13" t="n">
        <f aca="false">SUMIFS($J$35:$BJ$35,$J$8:$BJ$8,AN8-Inputs!$F$246)</f>
        <v>304.9470495162</v>
      </c>
      <c r="AO36" s="13" t="n">
        <f aca="false">SUMIFS($J$35:$BJ$35,$J$8:$BJ$8,AO8-Inputs!$F$246)</f>
        <v>300.13962169212</v>
      </c>
      <c r="AP36" s="13" t="n">
        <f aca="false">SUMIFS($J$35:$BJ$35,$J$8:$BJ$8,AP8-Inputs!$F$246)</f>
        <v>292.21741346112</v>
      </c>
      <c r="AQ36" s="13" t="n">
        <f aca="false">SUMIFS($J$35:$BJ$35,$J$8:$BJ$8,AQ8-Inputs!$F$246)</f>
        <v>281.30408856144</v>
      </c>
      <c r="AR36" s="13" t="n">
        <f aca="false">SUMIFS($J$35:$BJ$35,$J$8:$BJ$8,AR8-Inputs!$F$246)</f>
        <v>267.56968463316</v>
      </c>
      <c r="AS36" s="13" t="n">
        <f aca="false">SUMIFS($J$35:$BJ$35,$J$8:$BJ$8,AS8-Inputs!$F$246)</f>
        <v>251.26152915276</v>
      </c>
      <c r="AT36" s="13" t="n">
        <f aca="false">SUMIFS($J$35:$BJ$35,$J$8:$BJ$8,AT8-Inputs!$F$246)</f>
        <v>232.642407564</v>
      </c>
      <c r="AU36" s="13" t="n">
        <f aca="false">SUMIFS($J$35:$BJ$35,$J$8:$BJ$8,AU8-Inputs!$F$246)</f>
        <v>212.05239514704</v>
      </c>
      <c r="AV36" s="13" t="n">
        <f aca="false">SUMIFS($J$35:$BJ$35,$J$8:$BJ$8,AV8-Inputs!$F$246)</f>
        <v>189.8624831166</v>
      </c>
      <c r="AW36" s="13" t="n">
        <f aca="false">SUMIFS($J$35:$BJ$35,$J$8:$BJ$8,AW8-Inputs!$F$246)</f>
        <v>166.5209525238</v>
      </c>
      <c r="AX36" s="13" t="n">
        <f aca="false">SUMIFS($J$35:$BJ$35,$J$8:$BJ$8,AX8-Inputs!$F$246)</f>
        <v>142.49927137068</v>
      </c>
      <c r="AY36" s="13" t="n">
        <f aca="false">SUMIFS($J$35:$BJ$35,$J$8:$BJ$8,AY8-Inputs!$F$246)</f>
        <v>118.33846851204</v>
      </c>
      <c r="AZ36" s="13" t="n">
        <f aca="false">SUMIFS($J$35:$BJ$35,$J$8:$BJ$8,AZ8-Inputs!$F$246)</f>
        <v>94.61821772088</v>
      </c>
      <c r="BA36" s="13" t="n">
        <f aca="false">SUMIFS($J$35:$BJ$35,$J$8:$BJ$8,BA8-Inputs!$F$246)</f>
        <v>71.98002463932</v>
      </c>
      <c r="BB36" s="13" t="n">
        <f aca="false">SUMIFS($J$35:$BJ$35,$J$8:$BJ$8,BB8-Inputs!$F$246)</f>
        <v>51.10403982768</v>
      </c>
      <c r="BC36" s="13" t="n">
        <f aca="false">SUMIFS($J$35:$BJ$35,$J$8:$BJ$8,BC8-Inputs!$F$246)</f>
        <v>32.7322457154</v>
      </c>
      <c r="BD36" s="13" t="n">
        <f aca="false">SUMIFS($J$35:$BJ$35,$J$8:$BJ$8,BD8-Inputs!$F$246)</f>
        <v>17.65299863376</v>
      </c>
      <c r="BE36" s="13" t="n">
        <f aca="false">SUMIFS($J$35:$BJ$35,$J$8:$BJ$8,BE8-Inputs!$F$246)</f>
        <v>6.70875779952</v>
      </c>
      <c r="BF36" s="13" t="n">
        <f aca="false">SUMIFS($J$35:$BJ$35,$J$8:$BJ$8,BF8-Inputs!$F$246)</f>
        <v>580.46212933128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559</v>
      </c>
      <c r="E37" s="0" t="s">
        <v>166</v>
      </c>
      <c r="J37" s="13" t="n">
        <f aca="false">I37+J35-J36</f>
        <v>772.898364</v>
      </c>
      <c r="K37" s="13" t="n">
        <f aca="false">J37+K35-K36</f>
        <v>773.68672033128</v>
      </c>
      <c r="L37" s="13" t="n">
        <f aca="false">K37+L35-L36</f>
        <v>780.3954781308</v>
      </c>
      <c r="M37" s="13" t="n">
        <f aca="false">L37+M35-M36</f>
        <v>798.04847676456</v>
      </c>
      <c r="N37" s="13" t="n">
        <f aca="false">M37+N35-N36</f>
        <v>830.78072247996</v>
      </c>
      <c r="O37" s="13" t="n">
        <f aca="false">N37+O35-O36</f>
        <v>881.88476230764</v>
      </c>
      <c r="P37" s="13" t="n">
        <f aca="false">O37+P35-P36</f>
        <v>953.86478694696</v>
      </c>
      <c r="Q37" s="13" t="n">
        <f aca="false">P37+Q35-Q36</f>
        <v>1048.48300466784</v>
      </c>
      <c r="R37" s="13" t="n">
        <f aca="false">Q37+R35-R36</f>
        <v>1166.82147317988</v>
      </c>
      <c r="S37" s="13" t="n">
        <f aca="false">R37+S35-S36</f>
        <v>536.42238055056</v>
      </c>
      <c r="T37" s="13" t="n">
        <f aca="false">S37+T35-T36</f>
        <v>702.15497674308</v>
      </c>
      <c r="U37" s="13" t="n">
        <f aca="false">T37+U35-U36</f>
        <v>885.30870206016</v>
      </c>
      <c r="V37" s="13" t="n">
        <f aca="false">U37+V35-V36</f>
        <v>1079.70809857344</v>
      </c>
      <c r="W37" s="13" t="n">
        <f aca="false">V37+W35-W36</f>
        <v>1279.61826042204</v>
      </c>
      <c r="X37" s="13" t="n">
        <f aca="false">W37+X35-X36</f>
        <v>1479.77574974712</v>
      </c>
      <c r="Y37" s="13" t="n">
        <f aca="false">X37+Y35-Y36</f>
        <v>1675.36540974096</v>
      </c>
      <c r="Z37" s="13" t="n">
        <f aca="false">Y37+Z35-Z36</f>
        <v>1862.05128058152</v>
      </c>
      <c r="AA37" s="13" t="n">
        <f aca="false">Z37+AA35-AA36</f>
        <v>2035.9302255306</v>
      </c>
      <c r="AB37" s="13" t="n">
        <f aca="false">AA37+AB35-AB36</f>
        <v>2193.57057585204</v>
      </c>
      <c r="AC37" s="13" t="n">
        <f aca="false">AB37+AC35-AC36</f>
        <v>2331.99667284444</v>
      </c>
      <c r="AD37" s="13" t="n">
        <f aca="false">AC37+AD35-AD36</f>
        <v>2448.66568089024</v>
      </c>
      <c r="AE37" s="13" t="n">
        <f aca="false">AD37+AE35-AE36</f>
        <v>2541.5603352594</v>
      </c>
      <c r="AF37" s="13" t="n">
        <f aca="false">AE37+AF35-AF36</f>
        <v>2609.05754938752</v>
      </c>
      <c r="AG37" s="13" t="n">
        <f aca="false">AF37+AG35-AG36</f>
        <v>2650.01343369588</v>
      </c>
      <c r="AH37" s="13" t="n">
        <f aca="false">AG37+AH35-AH36</f>
        <v>2663.74783762416</v>
      </c>
      <c r="AI37" s="13" t="n">
        <f aca="false">AH37+AI35-AI36</f>
        <v>2650.01343369588</v>
      </c>
      <c r="AJ37" s="13" t="n">
        <f aca="false">AI37+AJ35-AJ36</f>
        <v>2609.05754938752</v>
      </c>
      <c r="AK37" s="13" t="n">
        <f aca="false">AJ37+AK35-AK36</f>
        <v>2541.5603352594</v>
      </c>
      <c r="AL37" s="13" t="n">
        <f aca="false">AK37+AL35-AL36</f>
        <v>2448.66568089024</v>
      </c>
      <c r="AM37" s="13" t="n">
        <f aca="false">AL37+AM35-AM36</f>
        <v>2331.99667284444</v>
      </c>
      <c r="AN37" s="13" t="n">
        <f aca="false">AM37+AN35-AN36</f>
        <v>2193.57057585204</v>
      </c>
      <c r="AO37" s="13" t="n">
        <f aca="false">AN37+AO35-AO36</f>
        <v>2035.9302255306</v>
      </c>
      <c r="AP37" s="13" t="n">
        <f aca="false">AO37+AP35-AP36</f>
        <v>1862.05128058152</v>
      </c>
      <c r="AQ37" s="13" t="n">
        <f aca="false">AP37+AQ35-AQ36</f>
        <v>1675.36540974096</v>
      </c>
      <c r="AR37" s="13" t="n">
        <f aca="false">AQ37+AR35-AR36</f>
        <v>1479.77574974712</v>
      </c>
      <c r="AS37" s="13" t="n">
        <f aca="false">AR37+AS35-AS36</f>
        <v>1279.61826042204</v>
      </c>
      <c r="AT37" s="13" t="n">
        <f aca="false">AS37+AT35-AT36</f>
        <v>1079.70809857344</v>
      </c>
      <c r="AU37" s="13" t="n">
        <f aca="false">AT37+AU35-AU36</f>
        <v>885.30870206016</v>
      </c>
      <c r="AV37" s="13" t="n">
        <f aca="false">AU37+AV35-AV36</f>
        <v>702.15497674308</v>
      </c>
      <c r="AW37" s="13" t="n">
        <f aca="false">AV37+AW35-AW36</f>
        <v>1116.09615355056</v>
      </c>
      <c r="AX37" s="13" t="n">
        <f aca="false">AW37+AX35-AX36</f>
        <v>973.59688217988</v>
      </c>
      <c r="AY37" s="13" t="n">
        <f aca="false">AX37+AY35-AY36</f>
        <v>855.25841366784</v>
      </c>
      <c r="AZ37" s="13" t="n">
        <f aca="false">AY37+AZ35-AZ36</f>
        <v>760.64019594696</v>
      </c>
      <c r="BA37" s="13" t="n">
        <f aca="false">AZ37+BA35-BA36</f>
        <v>688.66017130764</v>
      </c>
      <c r="BB37" s="13" t="n">
        <f aca="false">BA37+BB35-BB36</f>
        <v>637.55613147996</v>
      </c>
      <c r="BC37" s="13" t="n">
        <f aca="false">BB37+BC35-BC36</f>
        <v>604.82388576456</v>
      </c>
      <c r="BD37" s="13" t="n">
        <f aca="false">BC37+BD35-BD36</f>
        <v>587.1708871308</v>
      </c>
      <c r="BE37" s="13" t="n">
        <f aca="false">BD37+BE35-BE36</f>
        <v>580.46212933128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560</v>
      </c>
      <c r="E38" s="0" t="s">
        <v>149</v>
      </c>
      <c r="G38" s="13" t="n">
        <f aca="false">SUM(J38:BJ38)</f>
        <v>1.6358440014071</v>
      </c>
      <c r="J38" s="13" t="n">
        <f aca="false">I37*(J18+Inputs!$F$71)/100*J11/Inputs!$F$248/J16</f>
        <v>0</v>
      </c>
      <c r="K38" s="13" t="n">
        <f aca="false">J37*(K18+Inputs!$F$71)/100*K11/Inputs!$F$248/K16</f>
        <v>0.0193750340622209</v>
      </c>
      <c r="L38" s="13" t="n">
        <f aca="false">K37*(L18+Inputs!$F$71)/100*L11/Inputs!$F$248/L16</f>
        <v>0.0200412898168632</v>
      </c>
      <c r="M38" s="13" t="n">
        <f aca="false">L37*(M18+Inputs!$F$71)/100*M11/Inputs!$F$248/M16</f>
        <v>0.0195629718926245</v>
      </c>
      <c r="N38" s="13" t="n">
        <f aca="false">M37*(N18+Inputs!$F$71)/100*N11/Inputs!$F$248/N16</f>
        <v>0.0206723475929591</v>
      </c>
      <c r="O38" s="13" t="n">
        <f aca="false">N37*(O18+Inputs!$F$71)/100*O11/Inputs!$F$248/O16</f>
        <v>0.0209414086059241</v>
      </c>
      <c r="P38" s="13" t="n">
        <f aca="false">O37*(P18+Inputs!$F$71)/100*P11/Inputs!$F$248/P16</f>
        <v>0.0200783331688696</v>
      </c>
      <c r="Q38" s="13" t="n">
        <f aca="false">P37*(Q18+Inputs!$F$71)/100*Q11/Inputs!$F$248/Q16</f>
        <v>0.0240439766086904</v>
      </c>
      <c r="R38" s="13" t="n">
        <f aca="false">Q37*(R18+Inputs!$F$71)/100*R11/Inputs!$F$248/R16</f>
        <v>0.0255764601195073</v>
      </c>
      <c r="S38" s="13" t="n">
        <f aca="false">R37*(S18+Inputs!$F$71)/100*S11/Inputs!$F$248/S16</f>
        <v>0.0294119550187512</v>
      </c>
      <c r="T38" s="13" t="n">
        <f aca="false">S37*(T18+Inputs!$F$71)/100*T11/Inputs!$F$248/T16</f>
        <v>0.013085367681004</v>
      </c>
      <c r="U38" s="13" t="n">
        <f aca="false">T37*(U18+Inputs!$F$71)/100*U11/Inputs!$F$248/U16</f>
        <v>0.0173074783868052</v>
      </c>
      <c r="V38" s="13" t="n">
        <f aca="false">U37*(V18+Inputs!$F$71)/100*V11/Inputs!$F$248/V16</f>
        <v>0.0218220503080807</v>
      </c>
      <c r="W38" s="13" t="n">
        <f aca="false">V37*(W18+Inputs!$F$71)/100*W11/Inputs!$F$248/W16</f>
        <v>0.0257553074956206</v>
      </c>
      <c r="X38" s="13" t="n">
        <f aca="false">W37*(X18+Inputs!$F$71)/100*X11/Inputs!$F$248/X16</f>
        <v>0.0315414205113856</v>
      </c>
      <c r="Y38" s="13" t="n">
        <f aca="false">X37*(Y18+Inputs!$F$71)/100*Y11/Inputs!$F$248/Y16</f>
        <v>0.0352985029098652</v>
      </c>
      <c r="Z38" s="13" t="n">
        <f aca="false">Y37*(Z18+Inputs!$F$71)/100*Z11/Inputs!$F$248/Z16</f>
        <v>0.0412962260177819</v>
      </c>
      <c r="AA38" s="13" t="n">
        <f aca="false">Z37*(AA18+Inputs!$F$71)/100*AA11/Inputs!$F$248/AA16</f>
        <v>0.0447058151492538</v>
      </c>
      <c r="AB38" s="13" t="n">
        <f aca="false">AA37*(AB18+Inputs!$F$71)/100*AB11/Inputs!$F$248/AB16</f>
        <v>0.0457268805192022</v>
      </c>
      <c r="AC38" s="13" t="n">
        <f aca="false">AB37*(AC18+Inputs!$F$71)/100*AC11/Inputs!$F$248/AC16</f>
        <v>0.0526652309222427</v>
      </c>
      <c r="AD38" s="13" t="n">
        <f aca="false">AC37*(AD18+Inputs!$F$71)/100*AD11/Inputs!$F$248/AD16</f>
        <v>0.0541826033673136</v>
      </c>
      <c r="AE38" s="13" t="n">
        <f aca="false">AD37*(AE18+Inputs!$F$71)/100*AE11/Inputs!$F$248/AE16</f>
        <v>0.058789785455325</v>
      </c>
      <c r="AF38" s="13" t="n">
        <f aca="false">AE37*(AF18+Inputs!$F$71)/100*AF11/Inputs!$F$248/AF16</f>
        <v>0.0590516947056736</v>
      </c>
      <c r="AG38" s="13" t="n">
        <f aca="false">AF37*(AG18+Inputs!$F$71)/100*AG11/Inputs!$F$248/AG16</f>
        <v>0.061149689996844</v>
      </c>
      <c r="AH38" s="13" t="n">
        <f aca="false">AG37*(AH18+Inputs!$F$71)/100*AH11/Inputs!$F$248/AH16</f>
        <v>0.0621095920233787</v>
      </c>
      <c r="AI38" s="13" t="n">
        <f aca="false">AH37*(AI18+Inputs!$F$71)/100*AI11/Inputs!$F$248/AI16</f>
        <v>0.0604175725242808</v>
      </c>
      <c r="AJ38" s="13" t="n">
        <f aca="false">AI37*(AJ18+Inputs!$F$71)/100*AJ11/Inputs!$F$248/AJ16</f>
        <v>0.0621095920233787</v>
      </c>
      <c r="AK38" s="13" t="n">
        <f aca="false">AJ37*(AK18+Inputs!$F$71)/100*AK11/Inputs!$F$248/AK16</f>
        <v>0.0591771193517845</v>
      </c>
      <c r="AL38" s="13" t="n">
        <f aca="false">AK37*(AL18+Inputs!$F$71)/100*AL11/Inputs!$F$248/AL16</f>
        <v>0.0595677265324681</v>
      </c>
      <c r="AM38" s="13" t="n">
        <f aca="false">AL37*(AM18+Inputs!$F$71)/100*AM11/Inputs!$F$248/AM16</f>
        <v>0.0556997297752159</v>
      </c>
      <c r="AN38" s="13" t="n">
        <f aca="false">AM37*(AN18+Inputs!$F$71)/100*AN11/Inputs!$F$248/AN16</f>
        <v>0.0479123924877349</v>
      </c>
      <c r="AO38" s="13" t="n">
        <f aca="false">AN37*(AO18+Inputs!$F$71)/100*AO11/Inputs!$F$248/AO16</f>
        <v>0.049897088553715</v>
      </c>
      <c r="AP38" s="13" t="n">
        <f aca="false">AO37*(AP18+Inputs!$F$71)/100*AP11/Inputs!$F$248/AP16</f>
        <v>0.0448173366897968</v>
      </c>
      <c r="AQ38" s="13" t="n">
        <f aca="false">AP37*(AQ18+Inputs!$F$71)/100*AQ11/Inputs!$F$248/AQ16</f>
        <v>0.0423560284139231</v>
      </c>
      <c r="AR38" s="13" t="n">
        <f aca="false">AQ37*(AR18+Inputs!$F$71)/100*AR11/Inputs!$F$248/AR16</f>
        <v>0.0368801517386144</v>
      </c>
      <c r="AS38" s="13" t="n">
        <f aca="false">AR37*(AS18+Inputs!$F$71)/100*AS11/Inputs!$F$248/AS16</f>
        <v>0.032986767513149</v>
      </c>
      <c r="AT38" s="13" t="n">
        <f aca="false">AS37*(AT18+Inputs!$F$71)/100*AT11/Inputs!$F$248/AT16</f>
        <v>0.0285249099867567</v>
      </c>
      <c r="AU38" s="13" t="n">
        <f aca="false">AT37*(AU18+Inputs!$F$71)/100*AU11/Inputs!$F$248/AU16</f>
        <v>0.0232921604697107</v>
      </c>
      <c r="AV38" s="13" t="n">
        <f aca="false">AU37*(AV18+Inputs!$F$71)/100*AV11/Inputs!$F$248/AV16</f>
        <v>0.0197350661660842</v>
      </c>
      <c r="AW38" s="13" t="n">
        <f aca="false">AV37*(AW18+Inputs!$F$71)/100*AW11/Inputs!$F$248/AW16</f>
        <v>0.0151473406696814</v>
      </c>
      <c r="AX38" s="13" t="n">
        <f aca="false">AW37*(AX18+Inputs!$F$71)/100*AX11/Inputs!$F$248/AX16</f>
        <v>0.0248797186639826</v>
      </c>
      <c r="AY38" s="13" t="n">
        <f aca="false">AX37*(AY18+Inputs!$F$71)/100*AY11/Inputs!$F$248/AY16</f>
        <v>0.0271463518208527</v>
      </c>
      <c r="AZ38" s="13" t="n">
        <f aca="false">AY37*(AZ18+Inputs!$F$71)/100*AZ11/Inputs!$F$248/AZ16</f>
        <v>0.0215390225854011</v>
      </c>
      <c r="BA38" s="13" t="n">
        <f aca="false">AZ37*(BA18+Inputs!$F$71)/100*BA11/Inputs!$F$248/BA16</f>
        <v>0.0212085789778069</v>
      </c>
      <c r="BB38" s="13" t="n">
        <f aca="false">BA37*(BB18+Inputs!$F$71)/100*BB11/Inputs!$F$248/BB16</f>
        <v>0.0185821869905236</v>
      </c>
      <c r="BC38" s="13" t="n">
        <f aca="false">BB37*(BC18+Inputs!$F$71)/100*BC11/Inputs!$F$248/BC16</f>
        <v>0.0177766829038583</v>
      </c>
      <c r="BD38" s="13" t="n">
        <f aca="false">BC37*(BD18+Inputs!$F$71)/100*BD11/Inputs!$F$248/BD16</f>
        <v>0.0163200240261774</v>
      </c>
      <c r="BE38" s="13" t="n">
        <f aca="false">BD37*(BE18+Inputs!$F$71)/100*BE11/Inputs!$F$248/BE16</f>
        <v>0.0129132858819037</v>
      </c>
      <c r="BF38" s="13" t="n">
        <f aca="false">BE37*(BF18+Inputs!$F$71)/100*BF11/Inputs!$F$248/BF16</f>
        <v>0.0127657443241112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562</v>
      </c>
    </row>
    <row r="8" customFormat="false" ht="15" hidden="false" customHeight="false" outlineLevel="0" collapsed="false">
      <c r="D8" s="0" t="s">
        <v>563</v>
      </c>
      <c r="E8" s="0" t="s">
        <v>103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2.87</v>
      </c>
      <c r="L8" s="13" t="n">
        <f aca="false">CHOOSE(Inputs!$F$33,Inputs!L291,Inputs!L292,Inputs!L293)</f>
        <v>2.2</v>
      </c>
      <c r="M8" s="13" t="n">
        <f aca="false">CHOOSE(Inputs!$F$33,Inputs!M291,Inputs!M292,Inputs!M293)</f>
        <v>1.91</v>
      </c>
      <c r="N8" s="13" t="n">
        <f aca="false">CHOOSE(Inputs!$F$33,Inputs!N291,Inputs!N292,Inputs!N293)</f>
        <v>0.37</v>
      </c>
      <c r="O8" s="13" t="n">
        <f aca="false">CHOOSE(Inputs!$F$33,Inputs!O291,Inputs!O292,Inputs!O293)</f>
        <v>0.25</v>
      </c>
      <c r="P8" s="13" t="n">
        <f aca="false">CHOOSE(Inputs!$F$33,Inputs!P291,Inputs!P292,Inputs!P293)</f>
        <v>0.16</v>
      </c>
      <c r="Q8" s="13" t="n">
        <f aca="false">CHOOSE(Inputs!$F$33,Inputs!Q291,Inputs!Q292,Inputs!Q293)</f>
        <v>0.34</v>
      </c>
      <c r="R8" s="13" t="n">
        <f aca="false">CHOOSE(Inputs!$F$33,Inputs!R291,Inputs!R292,Inputs!R293)</f>
        <v>2.94</v>
      </c>
      <c r="S8" s="13" t="n">
        <f aca="false">CHOOSE(Inputs!$F$33,Inputs!S291,Inputs!S292,Inputs!S293)</f>
        <v>5.28826</v>
      </c>
      <c r="T8" s="13" t="n">
        <f aca="false">CHOOSE(Inputs!$F$33,Inputs!T291,Inputs!T292,Inputs!T293)</f>
        <v>5.89826</v>
      </c>
      <c r="U8" s="13" t="n">
        <f aca="false">CHOOSE(Inputs!$F$33,Inputs!U291,Inputs!U292,Inputs!U293)</f>
        <v>5.58826</v>
      </c>
      <c r="V8" s="13" t="n">
        <f aca="false">CHOOSE(Inputs!$F$33,Inputs!V291,Inputs!V292,Inputs!V293)</f>
        <v>5.64826</v>
      </c>
      <c r="W8" s="13" t="n">
        <f aca="false">CHOOSE(Inputs!$F$33,Inputs!W291,Inputs!W292,Inputs!W293)</f>
        <v>4.67826</v>
      </c>
      <c r="X8" s="13" t="n">
        <f aca="false">CHOOSE(Inputs!$F$33,Inputs!X291,Inputs!X292,Inputs!X293)</f>
        <v>4.59826</v>
      </c>
      <c r="Y8" s="13" t="n">
        <f aca="false">CHOOSE(Inputs!$F$33,Inputs!Y291,Inputs!Y292,Inputs!Y293)</f>
        <v>4.04826</v>
      </c>
      <c r="Z8" s="13" t="n">
        <f aca="false">CHOOSE(Inputs!$F$33,Inputs!Z291,Inputs!Z292,Inputs!Z293)</f>
        <v>4.00826</v>
      </c>
      <c r="AA8" s="13" t="n">
        <f aca="false">CHOOSE(Inputs!$F$33,Inputs!AA291,Inputs!AA292,Inputs!AA293)</f>
        <v>3.87826</v>
      </c>
      <c r="AB8" s="13" t="n">
        <f aca="false">CHOOSE(Inputs!$F$33,Inputs!AB291,Inputs!AB292,Inputs!AB293)</f>
        <v>3.87826</v>
      </c>
      <c r="AC8" s="13" t="n">
        <f aca="false">CHOOSE(Inputs!$F$33,Inputs!AC291,Inputs!AC292,Inputs!AC293)</f>
        <v>3.92826</v>
      </c>
      <c r="AD8" s="13" t="n">
        <f aca="false">CHOOSE(Inputs!$F$33,Inputs!AD291,Inputs!AD292,Inputs!AD293)</f>
        <v>3.92826</v>
      </c>
      <c r="AE8" s="13" t="n">
        <f aca="false">CHOOSE(Inputs!$F$33,Inputs!AE291,Inputs!AE292,Inputs!AE293)</f>
        <v>3.92826</v>
      </c>
      <c r="AF8" s="13" t="n">
        <f aca="false">CHOOSE(Inputs!$F$33,Inputs!AF291,Inputs!AF292,Inputs!AF293)</f>
        <v>3.92826</v>
      </c>
      <c r="AG8" s="13" t="n">
        <f aca="false">CHOOSE(Inputs!$F$33,Inputs!AG291,Inputs!AG292,Inputs!AG293)</f>
        <v>3.92826</v>
      </c>
      <c r="AH8" s="13" t="n">
        <f aca="false">CHOOSE(Inputs!$F$33,Inputs!AH291,Inputs!AH292,Inputs!AH293)</f>
        <v>3.92826</v>
      </c>
      <c r="AI8" s="13" t="n">
        <f aca="false">CHOOSE(Inputs!$F$33,Inputs!AI291,Inputs!AI292,Inputs!AI293)</f>
        <v>3.92826</v>
      </c>
      <c r="AJ8" s="13" t="n">
        <f aca="false">CHOOSE(Inputs!$F$33,Inputs!AJ291,Inputs!AJ292,Inputs!AJ293)</f>
        <v>3.92826</v>
      </c>
      <c r="AK8" s="13" t="n">
        <f aca="false">CHOOSE(Inputs!$F$33,Inputs!AK291,Inputs!AK292,Inputs!AK293)</f>
        <v>3.92826</v>
      </c>
      <c r="AL8" s="13" t="n">
        <f aca="false">CHOOSE(Inputs!$F$33,Inputs!AL291,Inputs!AL292,Inputs!AL293)</f>
        <v>3.92826</v>
      </c>
      <c r="AM8" s="13" t="n">
        <f aca="false">CHOOSE(Inputs!$F$33,Inputs!AM291,Inputs!AM292,Inputs!AM293)</f>
        <v>3.92826</v>
      </c>
      <c r="AN8" s="13" t="n">
        <f aca="false">CHOOSE(Inputs!$F$33,Inputs!AN291,Inputs!AN292,Inputs!AN293)</f>
        <v>3.92826</v>
      </c>
      <c r="AO8" s="13" t="n">
        <f aca="false">CHOOSE(Inputs!$F$33,Inputs!AO291,Inputs!AO292,Inputs!AO293)</f>
        <v>3.92826</v>
      </c>
      <c r="AP8" s="13" t="n">
        <f aca="false">CHOOSE(Inputs!$F$33,Inputs!AP291,Inputs!AP292,Inputs!AP293)</f>
        <v>3.92826</v>
      </c>
      <c r="AQ8" s="13" t="n">
        <f aca="false">CHOOSE(Inputs!$F$33,Inputs!AQ291,Inputs!AQ292,Inputs!AQ293)</f>
        <v>3.92826</v>
      </c>
      <c r="AR8" s="13" t="n">
        <f aca="false">CHOOSE(Inputs!$F$33,Inputs!AR291,Inputs!AR292,Inputs!AR293)</f>
        <v>3.92826</v>
      </c>
      <c r="AS8" s="13" t="n">
        <f aca="false">CHOOSE(Inputs!$F$33,Inputs!AS291,Inputs!AS292,Inputs!AS293)</f>
        <v>3.92826</v>
      </c>
      <c r="AT8" s="13" t="n">
        <f aca="false">CHOOSE(Inputs!$F$33,Inputs!AT291,Inputs!AT292,Inputs!AT293)</f>
        <v>3.92826</v>
      </c>
      <c r="AU8" s="13" t="n">
        <f aca="false">CHOOSE(Inputs!$F$33,Inputs!AU291,Inputs!AU292,Inputs!AU293)</f>
        <v>3.92826</v>
      </c>
      <c r="AV8" s="13" t="n">
        <f aca="false">CHOOSE(Inputs!$F$33,Inputs!AV291,Inputs!AV292,Inputs!AV293)</f>
        <v>3.92826</v>
      </c>
      <c r="AW8" s="13" t="n">
        <f aca="false">CHOOSE(Inputs!$F$33,Inputs!AW291,Inputs!AW292,Inputs!AW293)</f>
        <v>3.92826</v>
      </c>
      <c r="AX8" s="13" t="n">
        <f aca="false">CHOOSE(Inputs!$F$33,Inputs!AX291,Inputs!AX292,Inputs!AX293)</f>
        <v>3.92826</v>
      </c>
      <c r="AY8" s="13" t="n">
        <f aca="false">CHOOSE(Inputs!$F$33,Inputs!AY291,Inputs!AY292,Inputs!AY293)</f>
        <v>3.92826</v>
      </c>
      <c r="AZ8" s="13" t="n">
        <f aca="false">CHOOSE(Inputs!$F$33,Inputs!AZ291,Inputs!AZ292,Inputs!AZ293)</f>
        <v>3.92826</v>
      </c>
      <c r="BA8" s="13" t="n">
        <f aca="false">CHOOSE(Inputs!$F$33,Inputs!BA291,Inputs!BA292,Inputs!BA293)</f>
        <v>3.92826</v>
      </c>
      <c r="BB8" s="13" t="n">
        <f aca="false">CHOOSE(Inputs!$F$33,Inputs!BB291,Inputs!BB292,Inputs!BB293)</f>
        <v>3.92826</v>
      </c>
      <c r="BC8" s="13" t="n">
        <f aca="false">CHOOSE(Inputs!$F$33,Inputs!BC291,Inputs!BC292,Inputs!BC293)</f>
        <v>3.92826</v>
      </c>
      <c r="BD8" s="13" t="n">
        <f aca="false">CHOOSE(Inputs!$F$33,Inputs!BD291,Inputs!BD292,Inputs!BD293)</f>
        <v>3.92826</v>
      </c>
      <c r="BE8" s="13" t="n">
        <f aca="false">CHOOSE(Inputs!$F$33,Inputs!BE291,Inputs!BE292,Inputs!BE293)</f>
        <v>3.92826</v>
      </c>
      <c r="BF8" s="13" t="n">
        <f aca="false">CHOOSE(Inputs!$F$33,Inputs!BF291,Inputs!BF292,Inputs!BF293)</f>
        <v>3.92826</v>
      </c>
      <c r="BG8" s="13" t="n">
        <f aca="false">CHOOSE(Inputs!$F$33,Inputs!BG291,Inputs!BG292,Inputs!BG293)</f>
        <v>3.92826</v>
      </c>
      <c r="BH8" s="13" t="n">
        <f aca="false">CHOOSE(Inputs!$F$33,Inputs!BH291,Inputs!BH292,Inputs!BH293)</f>
        <v>3.92826</v>
      </c>
      <c r="BI8" s="13" t="n">
        <f aca="false">CHOOSE(Inputs!$F$33,Inputs!BI291,Inputs!BI292,Inputs!BI293)</f>
        <v>3.92826</v>
      </c>
      <c r="BJ8" s="13" t="n">
        <f aca="false">CHOOSE(Inputs!$F$33,Inputs!BJ291,Inputs!BJ292,Inputs!BJ293)</f>
        <v>3.92826</v>
      </c>
      <c r="BK8" s="13" t="n">
        <f aca="false">CHOOSE(Inputs!$F$33,Inputs!BK291,Inputs!BK292,Inputs!BK293)</f>
        <v>3.92826</v>
      </c>
      <c r="BL8" s="13" t="n">
        <f aca="false">CHOOSE(Inputs!$F$33,Inputs!BL291,Inputs!BL292,Inputs!BL293)</f>
        <v>3.92826</v>
      </c>
      <c r="BM8" s="13" t="n">
        <f aca="false">CHOOSE(Inputs!$F$33,Inputs!BM291,Inputs!BM292,Inputs!BM293)</f>
        <v>3.92826</v>
      </c>
      <c r="BN8" s="13" t="n">
        <f aca="false">CHOOSE(Inputs!$F$33,Inputs!BN291,Inputs!BN292,Inputs!BN293)</f>
        <v>3.92826</v>
      </c>
    </row>
    <row r="9" customFormat="false" ht="15" hidden="false" customHeight="false" outlineLevel="0" collapsed="false">
      <c r="D9" s="0" t="s">
        <v>564</v>
      </c>
      <c r="E9" s="0" t="s">
        <v>103</v>
      </c>
      <c r="J9" s="13" t="n">
        <f aca="false">J8+Inputs!$F$42*Time!J39</f>
        <v>2.52</v>
      </c>
      <c r="K9" s="13" t="n">
        <f aca="false">K8+Inputs!$F$42*Time!K39</f>
        <v>2.87</v>
      </c>
      <c r="L9" s="13" t="n">
        <f aca="false">L8+Inputs!$F$42*Time!L39</f>
        <v>2.2</v>
      </c>
      <c r="M9" s="13" t="n">
        <f aca="false">M8+Inputs!$F$42*Time!M39</f>
        <v>1.91</v>
      </c>
      <c r="N9" s="13" t="n">
        <f aca="false">N8+Inputs!$F$42*Time!N39</f>
        <v>0.37</v>
      </c>
      <c r="O9" s="13" t="n">
        <f aca="false">O8+Inputs!$F$42*Time!O39</f>
        <v>0.25</v>
      </c>
      <c r="P9" s="13" t="n">
        <f aca="false">P8+Inputs!$F$42*Time!P39</f>
        <v>0.16</v>
      </c>
      <c r="Q9" s="13" t="n">
        <f aca="false">Q8+Inputs!$F$42*Time!Q39</f>
        <v>0.34</v>
      </c>
      <c r="R9" s="13" t="n">
        <f aca="false">R8+Inputs!$F$42*Time!R39</f>
        <v>2.94</v>
      </c>
      <c r="S9" s="13" t="n">
        <f aca="false">S8+Inputs!$F$42*Time!S39</f>
        <v>5.28826</v>
      </c>
      <c r="T9" s="13" t="n">
        <f aca="false">T8+Inputs!$F$42*Time!T39</f>
        <v>5.89826</v>
      </c>
      <c r="U9" s="13" t="n">
        <f aca="false">U8+Inputs!$F$42*Time!U39</f>
        <v>5.58826</v>
      </c>
      <c r="V9" s="13" t="n">
        <f aca="false">V8+Inputs!$F$42*Time!V39</f>
        <v>5.64826</v>
      </c>
      <c r="W9" s="13" t="n">
        <f aca="false">W8+Inputs!$F$42*Time!W39</f>
        <v>4.67826</v>
      </c>
      <c r="X9" s="13" t="n">
        <f aca="false">X8+Inputs!$F$42*Time!X39</f>
        <v>4.59826</v>
      </c>
      <c r="Y9" s="13" t="n">
        <f aca="false">Y8+Inputs!$F$42*Time!Y39</f>
        <v>4.04826</v>
      </c>
      <c r="Z9" s="13" t="n">
        <f aca="false">Z8+Inputs!$F$42*Time!Z39</f>
        <v>4.00826</v>
      </c>
      <c r="AA9" s="13" t="n">
        <f aca="false">AA8+Inputs!$F$42*Time!AA39</f>
        <v>3.87826</v>
      </c>
      <c r="AB9" s="13" t="n">
        <f aca="false">AB8+Inputs!$F$42*Time!AB39</f>
        <v>3.87826</v>
      </c>
      <c r="AC9" s="13" t="n">
        <f aca="false">AC8+Inputs!$F$42*Time!AC39</f>
        <v>3.92826</v>
      </c>
      <c r="AD9" s="13" t="n">
        <f aca="false">AD8+Inputs!$F$42*Time!AD39</f>
        <v>3.92826</v>
      </c>
      <c r="AE9" s="13" t="n">
        <f aca="false">AE8+Inputs!$F$42*Time!AE39</f>
        <v>3.92826</v>
      </c>
      <c r="AF9" s="13" t="n">
        <f aca="false">AF8+Inputs!$F$42*Time!AF39</f>
        <v>3.92826</v>
      </c>
      <c r="AG9" s="13" t="n">
        <f aca="false">AG8+Inputs!$F$42*Time!AG39</f>
        <v>3.92826</v>
      </c>
      <c r="AH9" s="13" t="n">
        <f aca="false">AH8+Inputs!$F$42*Time!AH39</f>
        <v>3.92826</v>
      </c>
      <c r="AI9" s="13" t="n">
        <f aca="false">AI8+Inputs!$F$42*Time!AI39</f>
        <v>3.92826</v>
      </c>
      <c r="AJ9" s="13" t="n">
        <f aca="false">AJ8+Inputs!$F$42*Time!AJ39</f>
        <v>3.92826</v>
      </c>
      <c r="AK9" s="13" t="n">
        <f aca="false">AK8+Inputs!$F$42*Time!AK39</f>
        <v>3.92826</v>
      </c>
      <c r="AL9" s="13" t="n">
        <f aca="false">AL8+Inputs!$F$42*Time!AL39</f>
        <v>3.92826</v>
      </c>
      <c r="AM9" s="13" t="n">
        <f aca="false">AM8+Inputs!$F$42*Time!AM39</f>
        <v>3.92826</v>
      </c>
      <c r="AN9" s="13" t="n">
        <f aca="false">AN8+Inputs!$F$42*Time!AN39</f>
        <v>3.92826</v>
      </c>
      <c r="AO9" s="13" t="n">
        <f aca="false">AO8+Inputs!$F$42*Time!AO39</f>
        <v>3.92826</v>
      </c>
      <c r="AP9" s="13" t="n">
        <f aca="false">AP8+Inputs!$F$42*Time!AP39</f>
        <v>3.92826</v>
      </c>
      <c r="AQ9" s="13" t="n">
        <f aca="false">AQ8+Inputs!$F$42*Time!AQ39</f>
        <v>3.92826</v>
      </c>
      <c r="AR9" s="13" t="n">
        <f aca="false">AR8+Inputs!$F$42*Time!AR39</f>
        <v>3.92826</v>
      </c>
      <c r="AS9" s="13" t="n">
        <f aca="false">AS8+Inputs!$F$42*Time!AS39</f>
        <v>3.92826</v>
      </c>
      <c r="AT9" s="13" t="n">
        <f aca="false">AT8+Inputs!$F$42*Time!AT39</f>
        <v>3.92826</v>
      </c>
      <c r="AU9" s="13" t="n">
        <f aca="false">AU8+Inputs!$F$42*Time!AU39</f>
        <v>3.92826</v>
      </c>
      <c r="AV9" s="13" t="n">
        <f aca="false">AV8+Inputs!$F$42*Time!AV39</f>
        <v>3.92826</v>
      </c>
      <c r="AW9" s="13" t="n">
        <f aca="false">AW8+Inputs!$F$42*Time!AW39</f>
        <v>3.92826</v>
      </c>
      <c r="AX9" s="13" t="n">
        <f aca="false">AX8+Inputs!$F$42*Time!AX39</f>
        <v>3.92826</v>
      </c>
      <c r="AY9" s="13" t="n">
        <f aca="false">AY8+Inputs!$F$42*Time!AY39</f>
        <v>3.92826</v>
      </c>
      <c r="AZ9" s="13" t="n">
        <f aca="false">AZ8+Inputs!$F$42*Time!AZ39</f>
        <v>3.92826</v>
      </c>
      <c r="BA9" s="13" t="n">
        <f aca="false">BA8+Inputs!$F$42*Time!BA39</f>
        <v>3.92826</v>
      </c>
      <c r="BB9" s="13" t="n">
        <f aca="false">BB8+Inputs!$F$42*Time!BB39</f>
        <v>3.92826</v>
      </c>
      <c r="BC9" s="13" t="n">
        <f aca="false">BC8+Inputs!$F$42*Time!BC39</f>
        <v>3.92826</v>
      </c>
      <c r="BD9" s="13" t="n">
        <f aca="false">BD8+Inputs!$F$42*Time!BD39</f>
        <v>3.92826</v>
      </c>
      <c r="BE9" s="13" t="n">
        <f aca="false">BE8+Inputs!$F$42*Time!BE39</f>
        <v>3.92826</v>
      </c>
      <c r="BF9" s="13" t="n">
        <f aca="false">BF8+Inputs!$F$42*Time!BF39</f>
        <v>3.92826</v>
      </c>
      <c r="BG9" s="13" t="n">
        <f aca="false">BG8+Inputs!$F$42*Time!BG39</f>
        <v>3.92826</v>
      </c>
      <c r="BH9" s="13" t="n">
        <f aca="false">BH8+Inputs!$F$42*Time!BH39</f>
        <v>3.92826</v>
      </c>
      <c r="BI9" s="13" t="n">
        <f aca="false">BI8+Inputs!$F$42*Time!BI39</f>
        <v>3.92826</v>
      </c>
      <c r="BJ9" s="13" t="n">
        <f aca="false">BJ8+Inputs!$F$42*Time!BJ39</f>
        <v>3.92826</v>
      </c>
      <c r="BK9" s="13" t="n">
        <f aca="false">BK8+Inputs!$F$42*Time!BK39</f>
        <v>3.92826</v>
      </c>
      <c r="BL9" s="13" t="n">
        <f aca="false">BL8+Inputs!$F$42*Time!BL39</f>
        <v>3.92826</v>
      </c>
      <c r="BM9" s="13" t="n">
        <f aca="false">BM8+Inputs!$F$42*Time!BM39</f>
        <v>3.92826</v>
      </c>
      <c r="BN9" s="13" t="n">
        <f aca="false">BN8+Inputs!$F$42*Time!BN39</f>
        <v>3.92826</v>
      </c>
    </row>
    <row r="10" customFormat="false" ht="15" hidden="false" customHeight="false" outlineLevel="0" collapsed="false">
      <c r="D10" s="0" t="s">
        <v>565</v>
      </c>
      <c r="E10" s="0" t="s">
        <v>153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524.6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539.1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551.3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566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579.8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597.4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609.6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654.9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830.3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1052.8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1043.8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1093.1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1050.7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1035.6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1023.8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1028.9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1043.9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1072.58806090087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1102.06451612903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1127.09647453254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1152.69700122978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1178.87901050813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1205.65570998618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1233.04060727635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1261.04751679884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1289.69056675043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1318.98420623144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1348.94321253467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1379.58269859984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1410.91812063743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1442.96528592555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1475.74036078402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1509.25987872956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1543.54074881613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1578.60026416483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1614.45611068745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1651.12637600818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1688.62955858805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1726.98457705646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1766.21077975485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1806.32795449698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1847.35633855102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1889.31662884826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1932.22999242384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1976.11807709447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2021.0030223788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2066.90747066577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2113.85457863667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2161.8680289466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2210.9720421713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2261.19138902528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2312.55140285756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2365.07799243114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2418.79765499276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2473.73748963961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2529.9252109895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2587.38916316166</v>
      </c>
    </row>
    <row r="11" customFormat="false" ht="15" hidden="false" customHeight="false" outlineLevel="0" collapsed="false">
      <c r="D11" s="0" t="s">
        <v>566</v>
      </c>
      <c r="E11" s="0" t="s">
        <v>153</v>
      </c>
      <c r="J11" s="13" t="n">
        <f aca="false">J10/(1-Inputs!$F$43*Time!J39)</f>
        <v>524.6</v>
      </c>
      <c r="K11" s="13" t="n">
        <f aca="false">K10/(1-Inputs!$F$43*Time!K39)</f>
        <v>539.1</v>
      </c>
      <c r="L11" s="13" t="n">
        <f aca="false">L10/(1-Inputs!$F$43*Time!L39)</f>
        <v>551.3</v>
      </c>
      <c r="M11" s="13" t="n">
        <f aca="false">M10/(1-Inputs!$F$43*Time!M39)</f>
        <v>566</v>
      </c>
      <c r="N11" s="13" t="n">
        <f aca="false">N10/(1-Inputs!$F$43*Time!N39)</f>
        <v>579.8</v>
      </c>
      <c r="O11" s="13" t="n">
        <f aca="false">O10/(1-Inputs!$F$43*Time!O39)</f>
        <v>597.4</v>
      </c>
      <c r="P11" s="13" t="n">
        <f aca="false">P10/(1-Inputs!$F$43*Time!P39)</f>
        <v>609.6</v>
      </c>
      <c r="Q11" s="13" t="n">
        <f aca="false">Q10/(1-Inputs!$F$43*Time!Q39)</f>
        <v>654.9</v>
      </c>
      <c r="R11" s="13" t="n">
        <f aca="false">R10/(1-Inputs!$F$43*Time!R39)</f>
        <v>830.3</v>
      </c>
      <c r="S11" s="13" t="n">
        <f aca="false">S10/(1-Inputs!$F$43*Time!S39)</f>
        <v>1052.8</v>
      </c>
      <c r="T11" s="13" t="n">
        <f aca="false">T10/(1-Inputs!$F$43*Time!T39)</f>
        <v>1043.8</v>
      </c>
      <c r="U11" s="13" t="n">
        <f aca="false">U10/(1-Inputs!$F$43*Time!U39)</f>
        <v>1093.1</v>
      </c>
      <c r="V11" s="13" t="n">
        <f aca="false">V10/(1-Inputs!$F$43*Time!V39)</f>
        <v>1050.7</v>
      </c>
      <c r="W11" s="13" t="n">
        <f aca="false">W10/(1-Inputs!$F$43*Time!W39)</f>
        <v>1035.6</v>
      </c>
      <c r="X11" s="13" t="n">
        <f aca="false">X10/(1-Inputs!$F$43*Time!X39)</f>
        <v>1023.8</v>
      </c>
      <c r="Y11" s="13" t="n">
        <f aca="false">Y10/(1-Inputs!$F$43*Time!Y39)</f>
        <v>1028.9</v>
      </c>
      <c r="Z11" s="13" t="n">
        <f aca="false">Z10/(1-Inputs!$F$43*Time!Z39)</f>
        <v>1043.9</v>
      </c>
      <c r="AA11" s="13" t="n">
        <f aca="false">AA10/(1-Inputs!$F$43*Time!AA39)</f>
        <v>1072.58806090087</v>
      </c>
      <c r="AB11" s="13" t="n">
        <f aca="false">AB10/(1-Inputs!$F$43*Time!AB39)</f>
        <v>1102.06451612903</v>
      </c>
      <c r="AC11" s="13" t="n">
        <f aca="false">AC10/(1-Inputs!$F$43*Time!AC39)</f>
        <v>1127.09647453254</v>
      </c>
      <c r="AD11" s="13" t="n">
        <f aca="false">AD10/(1-Inputs!$F$43*Time!AD39)</f>
        <v>1152.69700122978</v>
      </c>
      <c r="AE11" s="13" t="n">
        <f aca="false">AE10/(1-Inputs!$F$43*Time!AE39)</f>
        <v>1178.87901050813</v>
      </c>
      <c r="AF11" s="13" t="n">
        <f aca="false">AF10/(1-Inputs!$F$43*Time!AF39)</f>
        <v>1205.65570998618</v>
      </c>
      <c r="AG11" s="13" t="n">
        <f aca="false">AG10/(1-Inputs!$F$43*Time!AG39)</f>
        <v>1233.04060727635</v>
      </c>
      <c r="AH11" s="13" t="n">
        <f aca="false">AH10/(1-Inputs!$F$43*Time!AH39)</f>
        <v>1261.04751679884</v>
      </c>
      <c r="AI11" s="13" t="n">
        <f aca="false">AI10/(1-Inputs!$F$43*Time!AI39)</f>
        <v>1289.69056675043</v>
      </c>
      <c r="AJ11" s="13" t="n">
        <f aca="false">AJ10/(1-Inputs!$F$43*Time!AJ39)</f>
        <v>1318.98420623144</v>
      </c>
      <c r="AK11" s="13" t="n">
        <f aca="false">AK10/(1-Inputs!$F$43*Time!AK39)</f>
        <v>1348.94321253467</v>
      </c>
      <c r="AL11" s="13" t="n">
        <f aca="false">AL10/(1-Inputs!$F$43*Time!AL39)</f>
        <v>1379.58269859984</v>
      </c>
      <c r="AM11" s="13" t="n">
        <f aca="false">AM10/(1-Inputs!$F$43*Time!AM39)</f>
        <v>1410.91812063743</v>
      </c>
      <c r="AN11" s="13" t="n">
        <f aca="false">AN10/(1-Inputs!$F$43*Time!AN39)</f>
        <v>1442.96528592555</v>
      </c>
      <c r="AO11" s="13" t="n">
        <f aca="false">AO10/(1-Inputs!$F$43*Time!AO39)</f>
        <v>1475.74036078402</v>
      </c>
      <c r="AP11" s="13" t="n">
        <f aca="false">AP10/(1-Inputs!$F$43*Time!AP39)</f>
        <v>1509.25987872956</v>
      </c>
      <c r="AQ11" s="13" t="n">
        <f aca="false">AQ10/(1-Inputs!$F$43*Time!AQ39)</f>
        <v>1543.54074881613</v>
      </c>
      <c r="AR11" s="13" t="n">
        <f aca="false">AR10/(1-Inputs!$F$43*Time!AR39)</f>
        <v>1578.60026416483</v>
      </c>
      <c r="AS11" s="13" t="n">
        <f aca="false">AS10/(1-Inputs!$F$43*Time!AS39)</f>
        <v>1614.45611068745</v>
      </c>
      <c r="AT11" s="13" t="n">
        <f aca="false">AT10/(1-Inputs!$F$43*Time!AT39)</f>
        <v>1651.12637600818</v>
      </c>
      <c r="AU11" s="13" t="n">
        <f aca="false">AU10/(1-Inputs!$F$43*Time!AU39)</f>
        <v>1688.62955858805</v>
      </c>
      <c r="AV11" s="13" t="n">
        <f aca="false">AV10/(1-Inputs!$F$43*Time!AV39)</f>
        <v>1726.98457705646</v>
      </c>
      <c r="AW11" s="13" t="n">
        <f aca="false">AW10/(1-Inputs!$F$43*Time!AW39)</f>
        <v>1766.21077975485</v>
      </c>
      <c r="AX11" s="13" t="n">
        <f aca="false">AX10/(1-Inputs!$F$43*Time!AX39)</f>
        <v>1806.32795449698</v>
      </c>
      <c r="AY11" s="13" t="n">
        <f aca="false">AY10/(1-Inputs!$F$43*Time!AY39)</f>
        <v>1847.35633855102</v>
      </c>
      <c r="AZ11" s="13" t="n">
        <f aca="false">AZ10/(1-Inputs!$F$43*Time!AZ39)</f>
        <v>1889.31662884826</v>
      </c>
      <c r="BA11" s="13" t="n">
        <f aca="false">BA10/(1-Inputs!$F$43*Time!BA39)</f>
        <v>1932.22999242384</v>
      </c>
      <c r="BB11" s="13" t="n">
        <f aca="false">BB10/(1-Inputs!$F$43*Time!BB39)</f>
        <v>1976.11807709447</v>
      </c>
      <c r="BC11" s="13" t="n">
        <f aca="false">BC10/(1-Inputs!$F$43*Time!BC39)</f>
        <v>2021.0030223788</v>
      </c>
      <c r="BD11" s="13" t="n">
        <f aca="false">BD10/(1-Inputs!$F$43*Time!BD39)</f>
        <v>2066.90747066577</v>
      </c>
      <c r="BE11" s="13" t="n">
        <f aca="false">BE10/(1-Inputs!$F$43*Time!BE39)</f>
        <v>2113.85457863667</v>
      </c>
      <c r="BF11" s="13" t="n">
        <f aca="false">BF10/(1-Inputs!$F$43*Time!BF39)</f>
        <v>2161.8680289466</v>
      </c>
      <c r="BG11" s="13" t="n">
        <f aca="false">BG10/(1-Inputs!$F$43*Time!BG39)</f>
        <v>2210.9720421713</v>
      </c>
      <c r="BH11" s="13" t="n">
        <f aca="false">BH10/(1-Inputs!$F$43*Time!BH39)</f>
        <v>2261.19138902528</v>
      </c>
      <c r="BI11" s="13" t="n">
        <f aca="false">BI10/(1-Inputs!$F$43*Time!BI39)</f>
        <v>2312.55140285756</v>
      </c>
      <c r="BJ11" s="13" t="n">
        <f aca="false">BJ10/(1-Inputs!$F$43*Time!BJ39)</f>
        <v>2365.07799243114</v>
      </c>
      <c r="BK11" s="13" t="n">
        <f aca="false">BK10/(1-Inputs!$F$43*Time!BK39)</f>
        <v>2418.79765499276</v>
      </c>
      <c r="BL11" s="13" t="n">
        <f aca="false">BL10/(1-Inputs!$F$43*Time!BL39)</f>
        <v>2473.73748963961</v>
      </c>
      <c r="BM11" s="13" t="n">
        <f aca="false">BM10/(1-Inputs!$F$43*Time!BM39)</f>
        <v>2529.9252109895</v>
      </c>
      <c r="BN11" s="13" t="n">
        <f aca="false">BN10/(1-Inputs!$F$43*Time!BN39)</f>
        <v>2587.38916316166</v>
      </c>
    </row>
    <row r="12" customFormat="false" ht="15" hidden="false" customHeight="false" outlineLevel="0" collapsed="false">
      <c r="D12" s="0" t="s">
        <v>567</v>
      </c>
      <c r="E12" s="0" t="s">
        <v>103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2.4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1.8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1.8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1.2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1.2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4.7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4.7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8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8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4.1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4.1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2.9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2.9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2.7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2.7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2.6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2.6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2.3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2.3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2.3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2.3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2.3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2.3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2.3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2.3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2.3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2.3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2.3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2.3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2.3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2.3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2.3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2.3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2.3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2.3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2.3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2.3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2.3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2.3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2.3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2.3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2.3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2.3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2.3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2.3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2.3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2.3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2.3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2.3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2.3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2.3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2.3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2.3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2.3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2.3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2.3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2.3</v>
      </c>
    </row>
    <row r="13" customFormat="false" ht="15" hidden="false" customHeight="false" outlineLevel="0" collapsed="false">
      <c r="D13" s="0" t="s">
        <v>568</v>
      </c>
      <c r="E13" s="0" t="s">
        <v>103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7.6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7.9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7.9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9.8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9.8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10.6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10.6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26.3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26.3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34.8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34.8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19.2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19.2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12.4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12.4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9.6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9.6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8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8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</v>
      </c>
    </row>
    <row r="14" customFormat="false" ht="15" hidden="false" customHeight="false" outlineLevel="0" collapsed="false">
      <c r="D14" s="0" t="s">
        <v>569</v>
      </c>
      <c r="E14" s="0" t="s">
        <v>103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2.4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2.4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1.8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1.8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1.2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1.2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4.7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4.7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8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8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4.1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4.1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2.9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2.9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2.7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2.7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2.6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2.6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2.3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2.3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2.3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2.3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2.3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2.3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2.3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2.3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2.3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2.3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2.3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2.3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2.3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2.3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2.3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2.3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2.3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2.3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2.3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2.3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2.3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2.3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2.3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2.3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2.3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2.3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2.3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2.3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2.3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2.3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2.3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2.3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2.3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2.3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2.3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2.3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2.3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2.3</v>
      </c>
    </row>
    <row r="15" customFormat="false" ht="15" hidden="false" customHeight="false" outlineLevel="0" collapsed="false">
      <c r="D15" s="0" t="s">
        <v>570</v>
      </c>
      <c r="E15" s="0" t="s">
        <v>103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7.6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7.6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7.9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7.9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9.8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9.8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10.6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10.6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26.3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26.3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34.8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34.8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19.2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19.2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12.4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12.4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9.6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9.6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8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8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</v>
      </c>
    </row>
    <row r="16" customFormat="false" ht="15" hidden="false" customHeight="false" outlineLevel="0" collapsed="false">
      <c r="D16" s="0" t="s">
        <v>571</v>
      </c>
      <c r="E16" s="0" t="s">
        <v>91</v>
      </c>
      <c r="F16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103.429202060808</v>
      </c>
    </row>
    <row r="17" customFormat="false" ht="15" hidden="false" customHeight="false" outlineLevel="0" collapsed="false">
      <c r="D17" s="0" t="s">
        <v>572</v>
      </c>
      <c r="E17" s="0" t="s">
        <v>91</v>
      </c>
      <c r="F17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104.044269021353</v>
      </c>
    </row>
    <row r="18" customFormat="false" ht="15" hidden="false" customHeight="false" outlineLevel="0" collapsed="false">
      <c r="D18" s="0" t="s">
        <v>573</v>
      </c>
      <c r="E18" s="0" t="s">
        <v>91</v>
      </c>
      <c r="F18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102.817771123367</v>
      </c>
    </row>
    <row r="19" customFormat="false" ht="15" hidden="false" customHeight="false" outlineLevel="0" collapsed="false">
      <c r="D19" s="0" t="s">
        <v>574</v>
      </c>
      <c r="E19" s="0" t="s">
        <v>91</v>
      </c>
      <c r="J19" s="13" t="n">
        <f aca="false">IF(Time!J20=1,$F$17,I19*IF(Time!J27=1,(1+J14/100)^(Inputs!$F$236/12)*(1+J12/100)^((Time!J21-Inputs!$F$236)/12),(1+J12/100)^Time!J24))</f>
        <v>104.044269021353</v>
      </c>
      <c r="K19" s="13" t="n">
        <f aca="false">IF(Time!K20=1,$F$17,J19*IF(Time!K27=1,(1+K14/100)^(Inputs!$F$236/12)*(1+K12/100)^((Time!K21-Inputs!$F$236)/12),(1+K12/100)^Time!K24))</f>
        <v>105.130830933754</v>
      </c>
      <c r="L19" s="13" t="n">
        <f aca="false">IF(Time!L20=1,$F$17,K19*IF(Time!L27=1,(1+L14/100)^(Inputs!$F$236/12)*(1+L12/100)^((Time!L21-Inputs!$F$236)/12),(1+L12/100)^Time!L24))</f>
        <v>106.072788507951</v>
      </c>
      <c r="M19" s="13" t="n">
        <f aca="false">IF(Time!M20=1,$F$17,L19*IF(Time!M27=1,(1+M14/100)^(Inputs!$F$236/12)*(1+M12/100)^((Time!M21-Inputs!$F$236)/12),(1+M12/100)^Time!M24))</f>
        <v>106.86513989817</v>
      </c>
      <c r="N19" s="13" t="n">
        <f aca="false">IF(Time!N20=1,$F$17,M19*IF(Time!N27=1,(1+N14/100)^(Inputs!$F$236/12)*(1+N12/100)^((Time!N21-Inputs!$F$236)/12),(1+N12/100)^Time!N24))</f>
        <v>107.504418620636</v>
      </c>
      <c r="O19" s="13" t="n">
        <f aca="false">IF(Time!O20=1,$F$17,N19*IF(Time!O27=1,(1+O14/100)^(Inputs!$F$236/12)*(1+O12/100)^((Time!O21-Inputs!$F$236)/12),(1+O12/100)^Time!O24))</f>
        <v>109.070703276742</v>
      </c>
      <c r="P19" s="13" t="n">
        <f aca="false">IF(Time!P20=1,$F$17,O19*IF(Time!P27=1,(1+P14/100)^(Inputs!$F$236/12)*(1+P12/100)^((Time!P21-Inputs!$F$236)/12),(1+P12/100)^Time!P24))</f>
        <v>111.604435279282</v>
      </c>
      <c r="Q19" s="13" t="n">
        <f aca="false">IF(Time!Q20=1,$F$17,P19*IF(Time!Q27=1,(1+Q14/100)^(Inputs!$F$236/12)*(1+Q12/100)^((Time!Q21-Inputs!$F$236)/12),(1+Q12/100)^Time!Q24))</f>
        <v>115.086415471788</v>
      </c>
      <c r="R19" s="13" t="n">
        <f aca="false">IF(Time!R20=1,$F$17,Q19*IF(Time!R27=1,(1+R14/100)^(Inputs!$F$236/12)*(1+R12/100)^((Time!R21-Inputs!$F$236)/12),(1+R12/100)^Time!R24))</f>
        <v>119.60131131487</v>
      </c>
      <c r="S19" s="13" t="n">
        <f aca="false">IF(Time!S20=1,$F$17,R19*IF(Time!S27=1,(1+S14/100)^(Inputs!$F$236/12)*(1+S12/100)^((Time!S21-Inputs!$F$236)/12),(1+S12/100)^Time!S24))</f>
        <v>123.155712907472</v>
      </c>
      <c r="T19" s="13" t="n">
        <f aca="false">IF(Time!T20=1,$F$17,S19*IF(Time!T27=1,(1+T14/100)^(Inputs!$F$236/12)*(1+T12/100)^((Time!T21-Inputs!$F$236)/12),(1+T12/100)^Time!T24))</f>
        <v>125.655044213272</v>
      </c>
      <c r="U19" s="13" t="n">
        <f aca="false">IF(Time!U20=1,$F$17,T19*IF(Time!U27=1,(1+U14/100)^(Inputs!$F$236/12)*(1+U12/100)^((Time!U21-Inputs!$F$236)/12),(1+U12/100)^Time!U24))</f>
        <v>127.834022052385</v>
      </c>
      <c r="V19" s="13" t="n">
        <f aca="false">IF(Time!V20=1,$F$17,U19*IF(Time!V27=1,(1+V14/100)^(Inputs!$F$236/12)*(1+V12/100)^((Time!V21-Inputs!$F$236)/12),(1+V12/100)^Time!V24))</f>
        <v>129.674368217926</v>
      </c>
      <c r="W19" s="13" t="n">
        <f aca="false">IF(Time!W20=1,$F$17,V19*IF(Time!W27=1,(1+W14/100)^(Inputs!$F$236/12)*(1+W12/100)^((Time!W21-Inputs!$F$236)/12),(1+W12/100)^Time!W24))</f>
        <v>131.477245041245</v>
      </c>
      <c r="X19" s="13" t="n">
        <f aca="false">IF(Time!X20=1,$F$17,W19*IF(Time!X27=1,(1+X14/100)^(Inputs!$F$236/12)*(1+X12/100)^((Time!X21-Inputs!$F$236)/12),(1+X12/100)^Time!X24))</f>
        <v>133.240366048183</v>
      </c>
      <c r="Y19" s="13" t="n">
        <f aca="false">IF(Time!Y20=1,$F$17,X19*IF(Time!Y27=1,(1+Y14/100)^(Inputs!$F$236/12)*(1+Y12/100)^((Time!Y21-Inputs!$F$236)/12),(1+Y12/100)^Time!Y24))</f>
        <v>134.994249337337</v>
      </c>
      <c r="Z19" s="13" t="n">
        <f aca="false">IF(Time!Z20=1,$F$17,Y19*IF(Time!Z27=1,(1+Z14/100)^(Inputs!$F$236/12)*(1+Z12/100)^((Time!Z21-Inputs!$F$236)/12),(1+Z12/100)^Time!Z24))</f>
        <v>136.737913489124</v>
      </c>
      <c r="AA19" s="13" t="n">
        <f aca="false">IF(Time!AA20=1,$F$17,Z19*IF(Time!AA27=1,(1+AA14/100)^(Inputs!$F$236/12)*(1+AA12/100)^((Time!AA21-Inputs!$F$236)/12),(1+AA12/100)^Time!AA24))</f>
        <v>138.402742928363</v>
      </c>
      <c r="AB19" s="13" t="n">
        <f aca="false">IF(Time!AB20=1,$F$17,AA19*IF(Time!AB27=1,(1+AB14/100)^(Inputs!$F$236/12)*(1+AB12/100)^((Time!AB21-Inputs!$F$236)/12),(1+AB12/100)^Time!AB24))</f>
        <v>139.985326348323</v>
      </c>
      <c r="AC19" s="13" t="n">
        <f aca="false">IF(Time!AC20=1,$F$17,AB19*IF(Time!AC27=1,(1+AC14/100)^(Inputs!$F$236/12)*(1+AC12/100)^((Time!AC21-Inputs!$F$236)/12),(1+AC12/100)^Time!AC24))</f>
        <v>141.586006015715</v>
      </c>
      <c r="AD19" s="13" t="n">
        <f aca="false">IF(Time!AD20=1,$F$17,AC19*IF(Time!AD27=1,(1+AD14/100)^(Inputs!$F$236/12)*(1+AD12/100)^((Time!AD21-Inputs!$F$236)/12),(1+AD12/100)^Time!AD24))</f>
        <v>143.204988854335</v>
      </c>
      <c r="AE19" s="13" t="n">
        <f aca="false">IF(Time!AE20=1,$F$17,AD19*IF(Time!AE27=1,(1+AE14/100)^(Inputs!$F$236/12)*(1+AE12/100)^((Time!AE21-Inputs!$F$236)/12),(1+AE12/100)^Time!AE24))</f>
        <v>144.842484154076</v>
      </c>
      <c r="AF19" s="13" t="n">
        <f aca="false">IF(Time!AF20=1,$F$17,AE19*IF(Time!AF27=1,(1+AF14/100)^(Inputs!$F$236/12)*(1+AF12/100)^((Time!AF21-Inputs!$F$236)/12),(1+AF12/100)^Time!AF24))</f>
        <v>146.498703597984</v>
      </c>
      <c r="AG19" s="13" t="n">
        <f aca="false">IF(Time!AG20=1,$F$17,AF19*IF(Time!AG27=1,(1+AG14/100)^(Inputs!$F$236/12)*(1+AG12/100)^((Time!AG21-Inputs!$F$236)/12),(1+AG12/100)^Time!AG24))</f>
        <v>148.17386128962</v>
      </c>
      <c r="AH19" s="13" t="n">
        <f aca="false">IF(Time!AH20=1,$F$17,AG19*IF(Time!AH27=1,(1+AH14/100)^(Inputs!$F$236/12)*(1+AH12/100)^((Time!AH21-Inputs!$F$236)/12),(1+AH12/100)^Time!AH24))</f>
        <v>149.868173780738</v>
      </c>
      <c r="AI19" s="13" t="n">
        <f aca="false">IF(Time!AI20=1,$F$17,AH19*IF(Time!AI27=1,(1+AI14/100)^(Inputs!$F$236/12)*(1+AI12/100)^((Time!AI21-Inputs!$F$236)/12),(1+AI12/100)^Time!AI24))</f>
        <v>151.581860099281</v>
      </c>
      <c r="AJ19" s="13" t="n">
        <f aca="false">IF(Time!AJ20=1,$F$17,AI19*IF(Time!AJ27=1,(1+AJ14/100)^(Inputs!$F$236/12)*(1+AJ12/100)^((Time!AJ21-Inputs!$F$236)/12),(1+AJ12/100)^Time!AJ24))</f>
        <v>153.315141777695</v>
      </c>
      <c r="AK19" s="13" t="n">
        <f aca="false">IF(Time!AK20=1,$F$17,AJ19*IF(Time!AK27=1,(1+AK14/100)^(Inputs!$F$236/12)*(1+AK12/100)^((Time!AK21-Inputs!$F$236)/12),(1+AK12/100)^Time!AK24))</f>
        <v>155.068242881565</v>
      </c>
      <c r="AL19" s="13" t="n">
        <f aca="false">IF(Time!AL20=1,$F$17,AK19*IF(Time!AL27=1,(1+AL14/100)^(Inputs!$F$236/12)*(1+AL12/100)^((Time!AL21-Inputs!$F$236)/12),(1+AL12/100)^Time!AL24))</f>
        <v>156.841390038582</v>
      </c>
      <c r="AM19" s="13" t="n">
        <f aca="false">IF(Time!AM20=1,$F$17,AL19*IF(Time!AM27=1,(1+AM14/100)^(Inputs!$F$236/12)*(1+AM12/100)^((Time!AM21-Inputs!$F$236)/12),(1+AM12/100)^Time!AM24))</f>
        <v>158.634812467841</v>
      </c>
      <c r="AN19" s="13" t="n">
        <f aca="false">IF(Time!AN20=1,$F$17,AM19*IF(Time!AN27=1,(1+AN14/100)^(Inputs!$F$236/12)*(1+AN12/100)^((Time!AN21-Inputs!$F$236)/12),(1+AN12/100)^Time!AN24))</f>
        <v>160.448742009469</v>
      </c>
      <c r="AO19" s="13" t="n">
        <f aca="false">IF(Time!AO20=1,$F$17,AN19*IF(Time!AO27=1,(1+AO14/100)^(Inputs!$F$236/12)*(1+AO12/100)^((Time!AO21-Inputs!$F$236)/12),(1+AO12/100)^Time!AO24))</f>
        <v>162.283413154601</v>
      </c>
      <c r="AP19" s="13" t="n">
        <f aca="false">IF(Time!AP20=1,$F$17,AO19*IF(Time!AP27=1,(1+AP14/100)^(Inputs!$F$236/12)*(1+AP12/100)^((Time!AP21-Inputs!$F$236)/12),(1+AP12/100)^Time!AP24))</f>
        <v>164.139063075687</v>
      </c>
      <c r="AQ19" s="13" t="n">
        <f aca="false">IF(Time!AQ20=1,$F$17,AP19*IF(Time!AQ27=1,(1+AQ14/100)^(Inputs!$F$236/12)*(1+AQ12/100)^((Time!AQ21-Inputs!$F$236)/12),(1+AQ12/100)^Time!AQ24))</f>
        <v>166.015931657157</v>
      </c>
      <c r="AR19" s="13" t="n">
        <f aca="false">IF(Time!AR20=1,$F$17,AQ19*IF(Time!AR27=1,(1+AR14/100)^(Inputs!$F$236/12)*(1+AR12/100)^((Time!AR21-Inputs!$F$236)/12),(1+AR12/100)^Time!AR24))</f>
        <v>167.914261526428</v>
      </c>
      <c r="AS19" s="13" t="n">
        <f aca="false">IF(Time!AS20=1,$F$17,AR19*IF(Time!AS27=1,(1+AS14/100)^(Inputs!$F$236/12)*(1+AS12/100)^((Time!AS21-Inputs!$F$236)/12),(1+AS12/100)^Time!AS24))</f>
        <v>169.834298085271</v>
      </c>
      <c r="AT19" s="13" t="n">
        <f aca="false">IF(Time!AT20=1,$F$17,AS19*IF(Time!AT27=1,(1+AT14/100)^(Inputs!$F$236/12)*(1+AT12/100)^((Time!AT21-Inputs!$F$236)/12),(1+AT12/100)^Time!AT24))</f>
        <v>171.776289541536</v>
      </c>
      <c r="AU19" s="13" t="n">
        <f aca="false">IF(Time!AU20=1,$F$17,AT19*IF(Time!AU27=1,(1+AU14/100)^(Inputs!$F$236/12)*(1+AU12/100)^((Time!AU21-Inputs!$F$236)/12),(1+AU12/100)^Time!AU24))</f>
        <v>173.740486941233</v>
      </c>
      <c r="AV19" s="13" t="n">
        <f aca="false">IF(Time!AV20=1,$F$17,AU19*IF(Time!AV27=1,(1+AV14/100)^(Inputs!$F$236/12)*(1+AV12/100)^((Time!AV21-Inputs!$F$236)/12),(1+AV12/100)^Time!AV24))</f>
        <v>175.727144200991</v>
      </c>
      <c r="AW19" s="13" t="n">
        <f aca="false">IF(Time!AW20=1,$F$17,AV19*IF(Time!AW27=1,(1+AW14/100)^(Inputs!$F$236/12)*(1+AW12/100)^((Time!AW21-Inputs!$F$236)/12),(1+AW12/100)^Time!AW24))</f>
        <v>177.736518140881</v>
      </c>
      <c r="AX19" s="13" t="n">
        <f aca="false">IF(Time!AX20=1,$F$17,AW19*IF(Time!AX27=1,(1+AX14/100)^(Inputs!$F$236/12)*(1+AX12/100)^((Time!AX21-Inputs!$F$236)/12),(1+AX12/100)^Time!AX24))</f>
        <v>179.768868517614</v>
      </c>
      <c r="AY19" s="13" t="n">
        <f aca="false">IF(Time!AY20=1,$F$17,AX19*IF(Time!AY27=1,(1+AY14/100)^(Inputs!$F$236/12)*(1+AY12/100)^((Time!AY21-Inputs!$F$236)/12),(1+AY12/100)^Time!AY24))</f>
        <v>181.824458058121</v>
      </c>
      <c r="AZ19" s="13" t="n">
        <f aca="false">IF(Time!AZ20=1,$F$17,AY19*IF(Time!AZ27=1,(1+AZ14/100)^(Inputs!$F$236/12)*(1+AZ12/100)^((Time!AZ21-Inputs!$F$236)/12),(1+AZ12/100)^Time!AZ24))</f>
        <v>183.903552493519</v>
      </c>
      <c r="BA19" s="13" t="n">
        <f aca="false">IF(Time!BA20=1,$F$17,AZ19*IF(Time!BA27=1,(1+BA14/100)^(Inputs!$F$236/12)*(1+BA12/100)^((Time!BA21-Inputs!$F$236)/12),(1+BA12/100)^Time!BA24))</f>
        <v>186.006420593458</v>
      </c>
      <c r="BB19" s="13" t="n">
        <f aca="false">IF(Time!BB20=1,$F$17,BA19*IF(Time!BB27=1,(1+BB14/100)^(Inputs!$F$236/12)*(1+BB12/100)^((Time!BB21-Inputs!$F$236)/12),(1+BB12/100)^Time!BB24))</f>
        <v>188.13333420087</v>
      </c>
      <c r="BC19" s="13" t="n">
        <f aca="false">IF(Time!BC20=1,$F$17,BB19*IF(Time!BC27=1,(1+BC14/100)^(Inputs!$F$236/12)*(1+BC12/100)^((Time!BC21-Inputs!$F$236)/12),(1+BC12/100)^Time!BC24))</f>
        <v>190.284568267107</v>
      </c>
      <c r="BD19" s="13" t="n">
        <f aca="false">IF(Time!BD20=1,$F$17,BC19*IF(Time!BD27=1,(1+BD14/100)^(Inputs!$F$236/12)*(1+BD12/100)^((Time!BD21-Inputs!$F$236)/12),(1+BD12/100)^Time!BD24))</f>
        <v>192.46040088749</v>
      </c>
      <c r="BE19" s="13" t="n">
        <f aca="false">IF(Time!BE20=1,$F$17,BD19*IF(Time!BE27=1,(1+BE14/100)^(Inputs!$F$236/12)*(1+BE12/100)^((Time!BE21-Inputs!$F$236)/12),(1+BE12/100)^Time!BE24))</f>
        <v>194.661113337251</v>
      </c>
      <c r="BF19" s="13" t="n">
        <f aca="false">IF(Time!BF20=1,$F$17,BE19*IF(Time!BF27=1,(1+BF14/100)^(Inputs!$F$236/12)*(1+BF12/100)^((Time!BF21-Inputs!$F$236)/12),(1+BF12/100)^Time!BF24))</f>
        <v>196.886990107902</v>
      </c>
      <c r="BG19" s="13" t="n">
        <f aca="false">IF(Time!BG20=1,$F$17,BF19*IF(Time!BG27=1,(1+BG14/100)^(Inputs!$F$236/12)*(1+BG12/100)^((Time!BG21-Inputs!$F$236)/12),(1+BG12/100)^Time!BG24))</f>
        <v>199.138318944007</v>
      </c>
      <c r="BH19" s="13" t="n">
        <f aca="false">IF(Time!BH20=1,$F$17,BG19*IF(Time!BH27=1,(1+BH14/100)^(Inputs!$F$236/12)*(1+BH12/100)^((Time!BH21-Inputs!$F$236)/12),(1+BH12/100)^Time!BH24))</f>
        <v>201.415390880383</v>
      </c>
      <c r="BI19" s="13" t="n">
        <f aca="false">IF(Time!BI20=1,$F$17,BH19*IF(Time!BI27=1,(1+BI14/100)^(Inputs!$F$236/12)*(1+BI12/100)^((Time!BI21-Inputs!$F$236)/12),(1+BI12/100)^Time!BI24))</f>
        <v>203.718500279719</v>
      </c>
      <c r="BJ19" s="13" t="n">
        <f aca="false">IF(Time!BJ20=1,$F$17,BI19*IF(Time!BJ27=1,(1+BJ14/100)^(Inputs!$F$236/12)*(1+BJ12/100)^((Time!BJ21-Inputs!$F$236)/12),(1+BJ12/100)^Time!BJ24))</f>
        <v>206.047944870632</v>
      </c>
      <c r="BK19" s="13" t="n">
        <f aca="false">IF(Time!BK20=1,$F$17,BJ19*IF(Time!BK27=1,(1+BK14/100)^(Inputs!$F$236/12)*(1+BK12/100)^((Time!BK21-Inputs!$F$236)/12),(1+BK12/100)^Time!BK24))</f>
        <v>208.404025786153</v>
      </c>
      <c r="BL19" s="13" t="n">
        <f aca="false">IF(Time!BL20=1,$F$17,BK19*IF(Time!BL27=1,(1+BL14/100)^(Inputs!$F$236/12)*(1+BL12/100)^((Time!BL21-Inputs!$F$236)/12),(1+BL12/100)^Time!BL24))</f>
        <v>210.787047602657</v>
      </c>
      <c r="BM19" s="13" t="n">
        <f aca="false">IF(Time!BM20=1,$F$17,BL19*IF(Time!BM27=1,(1+BM14/100)^(Inputs!$F$236/12)*(1+BM12/100)^((Time!BM21-Inputs!$F$236)/12),(1+BM12/100)^Time!BM24))</f>
        <v>213.197318379234</v>
      </c>
      <c r="BN19" s="13" t="n">
        <f aca="false">IF(Time!BN20=1,$F$17,BM19*IF(Time!BN27=1,(1+BN14/100)^(Inputs!$F$236/12)*(1+BN12/100)^((Time!BN21-Inputs!$F$236)/12),(1+BN12/100)^Time!BN24))</f>
        <v>215.635149697518</v>
      </c>
    </row>
    <row r="20" customFormat="false" ht="15" hidden="false" customHeight="false" outlineLevel="0" collapsed="false">
      <c r="D20" s="0" t="s">
        <v>575</v>
      </c>
      <c r="E20" s="0" t="s">
        <v>91</v>
      </c>
      <c r="J20" s="13" t="n">
        <f aca="false">IF(Time!J20=1,$F$18,I19)</f>
        <v>102.817771123367</v>
      </c>
      <c r="K20" s="13" t="n">
        <f aca="false">IF(Time!K20=1,$F$18,J19)</f>
        <v>104.044269021353</v>
      </c>
      <c r="L20" s="13" t="n">
        <f aca="false">IF(Time!L20=1,$F$18,K19)</f>
        <v>105.130830933754</v>
      </c>
      <c r="M20" s="13" t="n">
        <f aca="false">IF(Time!M20=1,$F$18,L19)</f>
        <v>106.072788507951</v>
      </c>
      <c r="N20" s="13" t="n">
        <f aca="false">IF(Time!N20=1,$F$18,M19)</f>
        <v>106.86513989817</v>
      </c>
      <c r="O20" s="13" t="n">
        <f aca="false">IF(Time!O20=1,$F$18,N19)</f>
        <v>107.504418620636</v>
      </c>
      <c r="P20" s="13" t="n">
        <f aca="false">IF(Time!P20=1,$F$18,O19)</f>
        <v>109.070703276742</v>
      </c>
      <c r="Q20" s="13" t="n">
        <f aca="false">IF(Time!Q20=1,$F$18,P19)</f>
        <v>111.604435279282</v>
      </c>
      <c r="R20" s="13" t="n">
        <f aca="false">IF(Time!R20=1,$F$18,Q19)</f>
        <v>115.086415471788</v>
      </c>
      <c r="S20" s="13" t="n">
        <f aca="false">IF(Time!S20=1,$F$18,R19)</f>
        <v>119.60131131487</v>
      </c>
      <c r="T20" s="13" t="n">
        <f aca="false">IF(Time!T20=1,$F$18,S19)</f>
        <v>123.155712907472</v>
      </c>
      <c r="U20" s="13" t="n">
        <f aca="false">IF(Time!U20=1,$F$18,T19)</f>
        <v>125.655044213272</v>
      </c>
      <c r="V20" s="13" t="n">
        <f aca="false">IF(Time!V20=1,$F$18,U19)</f>
        <v>127.834022052385</v>
      </c>
      <c r="W20" s="13" t="n">
        <f aca="false">IF(Time!W20=1,$F$18,V19)</f>
        <v>129.674368217926</v>
      </c>
      <c r="X20" s="13" t="n">
        <f aca="false">IF(Time!X20=1,$F$18,W19)</f>
        <v>131.477245041245</v>
      </c>
      <c r="Y20" s="13" t="n">
        <f aca="false">IF(Time!Y20=1,$F$18,X19)</f>
        <v>133.240366048183</v>
      </c>
      <c r="Z20" s="13" t="n">
        <f aca="false">IF(Time!Z20=1,$F$18,Y19)</f>
        <v>134.994249337337</v>
      </c>
      <c r="AA20" s="13" t="n">
        <f aca="false">IF(Time!AA20=1,$F$18,Z19)</f>
        <v>136.737913489124</v>
      </c>
      <c r="AB20" s="13" t="n">
        <f aca="false">IF(Time!AB20=1,$F$18,AA19)</f>
        <v>138.402742928363</v>
      </c>
      <c r="AC20" s="13" t="n">
        <f aca="false">IF(Time!AC20=1,$F$18,AB19)</f>
        <v>139.985326348323</v>
      </c>
      <c r="AD20" s="13" t="n">
        <f aca="false">IF(Time!AD20=1,$F$18,AC19)</f>
        <v>141.586006015715</v>
      </c>
      <c r="AE20" s="13" t="n">
        <f aca="false">IF(Time!AE20=1,$F$18,AD19)</f>
        <v>143.204988854335</v>
      </c>
      <c r="AF20" s="13" t="n">
        <f aca="false">IF(Time!AF20=1,$F$18,AE19)</f>
        <v>144.842484154076</v>
      </c>
      <c r="AG20" s="13" t="n">
        <f aca="false">IF(Time!AG20=1,$F$18,AF19)</f>
        <v>146.498703597984</v>
      </c>
      <c r="AH20" s="13" t="n">
        <f aca="false">IF(Time!AH20=1,$F$18,AG19)</f>
        <v>148.17386128962</v>
      </c>
      <c r="AI20" s="13" t="n">
        <f aca="false">IF(Time!AI20=1,$F$18,AH19)</f>
        <v>149.868173780738</v>
      </c>
      <c r="AJ20" s="13" t="n">
        <f aca="false">IF(Time!AJ20=1,$F$18,AI19)</f>
        <v>151.581860099281</v>
      </c>
      <c r="AK20" s="13" t="n">
        <f aca="false">IF(Time!AK20=1,$F$18,AJ19)</f>
        <v>153.315141777695</v>
      </c>
      <c r="AL20" s="13" t="n">
        <f aca="false">IF(Time!AL20=1,$F$18,AK19)</f>
        <v>155.068242881565</v>
      </c>
      <c r="AM20" s="13" t="n">
        <f aca="false">IF(Time!AM20=1,$F$18,AL19)</f>
        <v>156.841390038582</v>
      </c>
      <c r="AN20" s="13" t="n">
        <f aca="false">IF(Time!AN20=1,$F$18,AM19)</f>
        <v>158.634812467841</v>
      </c>
      <c r="AO20" s="13" t="n">
        <f aca="false">IF(Time!AO20=1,$F$18,AN19)</f>
        <v>160.448742009469</v>
      </c>
      <c r="AP20" s="13" t="n">
        <f aca="false">IF(Time!AP20=1,$F$18,AO19)</f>
        <v>162.283413154601</v>
      </c>
      <c r="AQ20" s="13" t="n">
        <f aca="false">IF(Time!AQ20=1,$F$18,AP19)</f>
        <v>164.139063075687</v>
      </c>
      <c r="AR20" s="13" t="n">
        <f aca="false">IF(Time!AR20=1,$F$18,AQ19)</f>
        <v>166.015931657157</v>
      </c>
      <c r="AS20" s="13" t="n">
        <f aca="false">IF(Time!AS20=1,$F$18,AR19)</f>
        <v>167.914261526428</v>
      </c>
      <c r="AT20" s="13" t="n">
        <f aca="false">IF(Time!AT20=1,$F$18,AS19)</f>
        <v>169.834298085271</v>
      </c>
      <c r="AU20" s="13" t="n">
        <f aca="false">IF(Time!AU20=1,$F$18,AT19)</f>
        <v>171.776289541536</v>
      </c>
      <c r="AV20" s="13" t="n">
        <f aca="false">IF(Time!AV20=1,$F$18,AU19)</f>
        <v>173.740486941233</v>
      </c>
      <c r="AW20" s="13" t="n">
        <f aca="false">IF(Time!AW20=1,$F$18,AV19)</f>
        <v>175.727144200991</v>
      </c>
      <c r="AX20" s="13" t="n">
        <f aca="false">IF(Time!AX20=1,$F$18,AW19)</f>
        <v>177.736518140881</v>
      </c>
      <c r="AY20" s="13" t="n">
        <f aca="false">IF(Time!AY20=1,$F$18,AX19)</f>
        <v>179.768868517614</v>
      </c>
      <c r="AZ20" s="13" t="n">
        <f aca="false">IF(Time!AZ20=1,$F$18,AY19)</f>
        <v>181.824458058121</v>
      </c>
      <c r="BA20" s="13" t="n">
        <f aca="false">IF(Time!BA20=1,$F$18,AZ19)</f>
        <v>183.903552493519</v>
      </c>
      <c r="BB20" s="13" t="n">
        <f aca="false">IF(Time!BB20=1,$F$18,BA19)</f>
        <v>186.006420593458</v>
      </c>
      <c r="BC20" s="13" t="n">
        <f aca="false">IF(Time!BC20=1,$F$18,BB19)</f>
        <v>188.13333420087</v>
      </c>
      <c r="BD20" s="13" t="n">
        <f aca="false">IF(Time!BD20=1,$F$18,BC19)</f>
        <v>190.284568267107</v>
      </c>
      <c r="BE20" s="13" t="n">
        <f aca="false">IF(Time!BE20=1,$F$18,BD19)</f>
        <v>192.46040088749</v>
      </c>
      <c r="BF20" s="13" t="n">
        <f aca="false">IF(Time!BF20=1,$F$18,BE19)</f>
        <v>194.661113337251</v>
      </c>
      <c r="BG20" s="13" t="n">
        <f aca="false">IF(Time!BG20=1,$F$18,BF19)</f>
        <v>196.886990107902</v>
      </c>
      <c r="BH20" s="13" t="n">
        <f aca="false">IF(Time!BH20=1,$F$18,BG19)</f>
        <v>199.138318944007</v>
      </c>
      <c r="BI20" s="13" t="n">
        <f aca="false">IF(Time!BI20=1,$F$18,BH19)</f>
        <v>201.415390880383</v>
      </c>
      <c r="BJ20" s="13" t="n">
        <f aca="false">IF(Time!BJ20=1,$F$18,BI19)</f>
        <v>203.718500279719</v>
      </c>
      <c r="BK20" s="13" t="n">
        <f aca="false">IF(Time!BK20=1,$F$18,BJ19)</f>
        <v>206.047944870632</v>
      </c>
      <c r="BL20" s="13" t="n">
        <f aca="false">IF(Time!BL20=1,$F$18,BK19)</f>
        <v>208.404025786153</v>
      </c>
      <c r="BM20" s="13" t="n">
        <f aca="false">IF(Time!BM20=1,$F$18,BL19)</f>
        <v>210.787047602657</v>
      </c>
      <c r="BN20" s="13" t="n">
        <f aca="false">IF(Time!BN20=1,$F$18,BM19)</f>
        <v>213.197318379234</v>
      </c>
    </row>
    <row r="21" customFormat="false" ht="15" hidden="false" customHeight="false" outlineLevel="0" collapsed="false">
      <c r="D21" s="0" t="s">
        <v>576</v>
      </c>
      <c r="E21" s="0" t="s">
        <v>99</v>
      </c>
      <c r="J21" s="13" t="n">
        <f aca="false">J19/$F$16</f>
        <v>1.00594674374635</v>
      </c>
      <c r="K21" s="13" t="n">
        <f aca="false">K19/$F$16</f>
        <v>1.01645211254695</v>
      </c>
      <c r="L21" s="13" t="n">
        <f aca="false">L19/$F$16</f>
        <v>1.02555938162984</v>
      </c>
      <c r="M21" s="13" t="n">
        <f aca="false">M19/$F$16</f>
        <v>1.03322019090258</v>
      </c>
      <c r="N21" s="13" t="n">
        <f aca="false">N19/$F$16</f>
        <v>1.0394010248424</v>
      </c>
      <c r="O21" s="13" t="n">
        <f aca="false">O19/$F$16</f>
        <v>1.0545445686859</v>
      </c>
      <c r="P21" s="13" t="n">
        <f aca="false">P19/$F$16</f>
        <v>1.07904182818376</v>
      </c>
      <c r="Q21" s="13" t="n">
        <f aca="false">Q19/$F$16</f>
        <v>1.11270717726437</v>
      </c>
      <c r="R21" s="13" t="n">
        <f aca="false">R19/$F$16</f>
        <v>1.15635921898106</v>
      </c>
      <c r="S21" s="13" t="n">
        <f aca="false">S19/$F$16</f>
        <v>1.19072477069934</v>
      </c>
      <c r="T21" s="13" t="n">
        <f aca="false">T19/$F$16</f>
        <v>1.21488942880364</v>
      </c>
      <c r="U21" s="13" t="n">
        <f aca="false">U19/$F$16</f>
        <v>1.23595676564563</v>
      </c>
      <c r="V21" s="13" t="n">
        <f aca="false">V19/$F$16</f>
        <v>1.25375005930808</v>
      </c>
      <c r="W21" s="13" t="n">
        <f aca="false">W19/$F$16</f>
        <v>1.2711810825336</v>
      </c>
      <c r="X21" s="13" t="n">
        <f aca="false">X19/$F$16</f>
        <v>1.28822772866262</v>
      </c>
      <c r="Y21" s="13" t="n">
        <f aca="false">Y19/$F$16</f>
        <v>1.30518506038528</v>
      </c>
      <c r="Z21" s="13" t="n">
        <f aca="false">Z19/$F$16</f>
        <v>1.32204358889603</v>
      </c>
      <c r="AA21" s="13" t="n">
        <f aca="false">AA19/$F$16</f>
        <v>1.33813990798259</v>
      </c>
      <c r="AB21" s="13" t="n">
        <f aca="false">AB19/$F$16</f>
        <v>1.35344103559866</v>
      </c>
      <c r="AC21" s="13" t="n">
        <f aca="false">AC19/$F$16</f>
        <v>1.36891712586619</v>
      </c>
      <c r="AD21" s="13" t="n">
        <f aca="false">AD19/$F$16</f>
        <v>1.38457017941743</v>
      </c>
      <c r="AE21" s="13" t="n">
        <f aca="false">AE19/$F$16</f>
        <v>1.40040221976111</v>
      </c>
      <c r="AF21" s="13" t="n">
        <f aca="false">AF19/$F$16</f>
        <v>1.41641529354403</v>
      </c>
      <c r="AG21" s="13" t="n">
        <f aca="false">AG19/$F$16</f>
        <v>1.43261147081562</v>
      </c>
      <c r="AH21" s="13" t="n">
        <f aca="false">AH19/$F$16</f>
        <v>1.44899284529554</v>
      </c>
      <c r="AI21" s="13" t="n">
        <f aca="false">AI19/$F$16</f>
        <v>1.46556153464437</v>
      </c>
      <c r="AJ21" s="13" t="n">
        <f aca="false">AJ19/$F$16</f>
        <v>1.48231968073734</v>
      </c>
      <c r="AK21" s="13" t="n">
        <f aca="false">AK19/$F$16</f>
        <v>1.49926944994119</v>
      </c>
      <c r="AL21" s="13" t="n">
        <f aca="false">AL19/$F$16</f>
        <v>1.5164130333943</v>
      </c>
      <c r="AM21" s="13" t="n">
        <f aca="false">AM19/$F$16</f>
        <v>1.53375264728984</v>
      </c>
      <c r="AN21" s="13" t="n">
        <f aca="false">AN19/$F$16</f>
        <v>1.55129053316236</v>
      </c>
      <c r="AO21" s="13" t="n">
        <f aca="false">AO19/$F$16</f>
        <v>1.56902895817751</v>
      </c>
      <c r="AP21" s="13" t="n">
        <f aca="false">AP19/$F$16</f>
        <v>1.5869702154251</v>
      </c>
      <c r="AQ21" s="13" t="n">
        <f aca="false">AQ19/$F$16</f>
        <v>1.60511662421559</v>
      </c>
      <c r="AR21" s="13" t="n">
        <f aca="false">AR19/$F$16</f>
        <v>1.62347053037988</v>
      </c>
      <c r="AS21" s="13" t="n">
        <f aca="false">AS19/$F$16</f>
        <v>1.64203430657255</v>
      </c>
      <c r="AT21" s="13" t="n">
        <f aca="false">AT19/$F$16</f>
        <v>1.66081035257861</v>
      </c>
      <c r="AU21" s="13" t="n">
        <f aca="false">AU19/$F$16</f>
        <v>1.67980109562372</v>
      </c>
      <c r="AV21" s="13" t="n">
        <f aca="false">AV19/$F$16</f>
        <v>1.69900899068792</v>
      </c>
      <c r="AW21" s="13" t="n">
        <f aca="false">AW19/$F$16</f>
        <v>1.71843652082306</v>
      </c>
      <c r="AX21" s="13" t="n">
        <f aca="false">AX19/$F$16</f>
        <v>1.73808619747374</v>
      </c>
      <c r="AY21" s="13" t="n">
        <f aca="false">AY19/$F$16</f>
        <v>1.75796056080199</v>
      </c>
      <c r="AZ21" s="13" t="n">
        <f aca="false">AZ19/$F$16</f>
        <v>1.77806218001564</v>
      </c>
      <c r="BA21" s="13" t="n">
        <f aca="false">BA19/$F$16</f>
        <v>1.79839365370044</v>
      </c>
      <c r="BB21" s="13" t="n">
        <f aca="false">BB19/$F$16</f>
        <v>1.818957610156</v>
      </c>
      <c r="BC21" s="13" t="n">
        <f aca="false">BC19/$F$16</f>
        <v>1.83975670773555</v>
      </c>
      <c r="BD21" s="13" t="n">
        <f aca="false">BD19/$F$16</f>
        <v>1.86079363518958</v>
      </c>
      <c r="BE21" s="13" t="n">
        <f aca="false">BE19/$F$16</f>
        <v>1.88207111201346</v>
      </c>
      <c r="BF21" s="13" t="n">
        <f aca="false">BF19/$F$16</f>
        <v>1.90359188879894</v>
      </c>
      <c r="BG21" s="13" t="n">
        <f aca="false">BG19/$F$16</f>
        <v>1.92535874758977</v>
      </c>
      <c r="BH21" s="13" t="n">
        <f aca="false">BH19/$F$16</f>
        <v>1.94737450224132</v>
      </c>
      <c r="BI21" s="13" t="n">
        <f aca="false">BI19/$F$16</f>
        <v>1.96964199878434</v>
      </c>
      <c r="BJ21" s="13" t="n">
        <f aca="false">BJ19/$F$16</f>
        <v>1.99216411579287</v>
      </c>
      <c r="BK21" s="13" t="n">
        <f aca="false">BK19/$F$16</f>
        <v>2.01494376475638</v>
      </c>
      <c r="BL21" s="13" t="n">
        <f aca="false">BL19/$F$16</f>
        <v>2.0379838904561</v>
      </c>
      <c r="BM21" s="13" t="n">
        <f aca="false">BM19/$F$16</f>
        <v>2.06128747134577</v>
      </c>
      <c r="BN21" s="13" t="n">
        <f aca="false">BN19/$F$16</f>
        <v>2.08485751993659</v>
      </c>
    </row>
    <row r="22" customFormat="false" ht="15" hidden="false" customHeight="false" outlineLevel="0" collapsed="false">
      <c r="D22" s="0" t="s">
        <v>577</v>
      </c>
      <c r="E22" s="0" t="s">
        <v>91</v>
      </c>
      <c r="F22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112.975240134372</v>
      </c>
    </row>
    <row r="23" customFormat="false" ht="15" hidden="false" customHeight="false" outlineLevel="0" collapsed="false">
      <c r="D23" s="0" t="s">
        <v>578</v>
      </c>
      <c r="E23" s="0" t="s">
        <v>91</v>
      </c>
      <c r="F23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115.063171655127</v>
      </c>
    </row>
    <row r="24" customFormat="false" ht="15" hidden="false" customHeight="false" outlineLevel="0" collapsed="false">
      <c r="D24" s="0" t="s">
        <v>579</v>
      </c>
      <c r="E24" s="0" t="s">
        <v>91</v>
      </c>
      <c r="F24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110.925196132035</v>
      </c>
    </row>
    <row r="25" customFormat="false" ht="15" hidden="false" customHeight="false" outlineLevel="0" collapsed="false">
      <c r="D25" s="0" t="s">
        <v>580</v>
      </c>
      <c r="E25" s="0" t="s">
        <v>91</v>
      </c>
      <c r="J25" s="13" t="n">
        <f aca="false">IF(Time!J20=1,$F$23,I25*IF(Time!J27=1,(1+J15/100)^(Inputs!$F$236/12)*(1+J13/100)^((Time!J21-Inputs!$F$236)/12),(1+J13/100)^Time!J24))</f>
        <v>115.063171655127</v>
      </c>
      <c r="K25" s="13" t="n">
        <f aca="false">IF(Time!K20=1,$F$23,J25*IF(Time!K27=1,(1+K15/100)^(Inputs!$F$236/12)*(1+K13/100)^((Time!K21-Inputs!$F$236)/12),(1+K13/100)^Time!K24))</f>
        <v>119.438618093899</v>
      </c>
      <c r="L25" s="13" t="n">
        <f aca="false">IF(Time!L20=1,$F$23,K25*IF(Time!L27=1,(1+L15/100)^(Inputs!$F$236/12)*(1+L13/100)^((Time!L21-Inputs!$F$236)/12),(1+L13/100)^Time!L24))</f>
        <v>124.066774714516</v>
      </c>
      <c r="M25" s="13" t="n">
        <f aca="false">IF(Time!M20=1,$F$23,L25*IF(Time!M27=1,(1+M15/100)^(Inputs!$F$236/12)*(1+M13/100)^((Time!M21-Inputs!$F$236)/12),(1+M13/100)^Time!M24))</f>
        <v>129.43789408732</v>
      </c>
      <c r="N25" s="13" t="n">
        <f aca="false">IF(Time!N20=1,$F$23,M25*IF(Time!N27=1,(1+N15/100)^(Inputs!$F$236/12)*(1+N13/100)^((Time!N21-Inputs!$F$236)/12),(1+N13/100)^Time!N24))</f>
        <v>135.632138269234</v>
      </c>
      <c r="O25" s="13" t="n">
        <f aca="false">IF(Time!O20=1,$F$23,N25*IF(Time!O27=1,(1+O15/100)^(Inputs!$F$236/12)*(1+O13/100)^((Time!O21-Inputs!$F$236)/12),(1+O13/100)^Time!O24))</f>
        <v>142.380979176357</v>
      </c>
      <c r="P25" s="13" t="n">
        <f aca="false">IF(Time!P20=1,$F$23,O25*IF(Time!P27=1,(1+P15/100)^(Inputs!$F$236/12)*(1+P13/100)^((Time!P21-Inputs!$F$236)/12),(1+P13/100)^Time!P24))</f>
        <v>149.737141730859</v>
      </c>
      <c r="Q25" s="13" t="n">
        <f aca="false">IF(Time!Q20=1,$F$23,P25*IF(Time!Q27=1,(1+Q15/100)^(Inputs!$F$236/12)*(1+Q13/100)^((Time!Q21-Inputs!$F$236)/12),(1+Q13/100)^Time!Q24))</f>
        <v>162.786789552918</v>
      </c>
      <c r="R25" s="13" t="n">
        <f aca="false">IF(Time!R20=1,$F$23,Q25*IF(Time!R27=1,(1+R15/100)^(Inputs!$F$236/12)*(1+R13/100)^((Time!R21-Inputs!$F$236)/12),(1+R13/100)^Time!R24))</f>
        <v>182.945121747673</v>
      </c>
      <c r="S25" s="13" t="n">
        <f aca="false">IF(Time!S20=1,$F$23,R25*IF(Time!S27=1,(1+S15/100)^(Inputs!$F$236/12)*(1+S13/100)^((Time!S21-Inputs!$F$236)/12),(1+S13/100)^Time!S24))</f>
        <v>208.97490869617</v>
      </c>
      <c r="T25" s="13" t="n">
        <f aca="false">IF(Time!T20=1,$F$23,S25*IF(Time!T27=1,(1+T15/100)^(Inputs!$F$236/12)*(1+T13/100)^((Time!T21-Inputs!$F$236)/12),(1+T13/100)^Time!T24))</f>
        <v>242.626978718864</v>
      </c>
      <c r="U25" s="13" t="n">
        <f aca="false">IF(Time!U20=1,$F$23,T25*IF(Time!U27=1,(1+U15/100)^(Inputs!$F$236/12)*(1+U13/100)^((Time!U21-Inputs!$F$236)/12),(1+U13/100)^Time!U24))</f>
        <v>273.168505817987</v>
      </c>
      <c r="V25" s="13" t="n">
        <f aca="false">IF(Time!V20=1,$F$23,U25*IF(Time!V27=1,(1+V15/100)^(Inputs!$F$236/12)*(1+V13/100)^((Time!V21-Inputs!$F$236)/12),(1+V13/100)^Time!V24))</f>
        <v>298.24196690679</v>
      </c>
      <c r="W25" s="13" t="n">
        <f aca="false">IF(Time!W20=1,$F$23,V25*IF(Time!W27=1,(1+W15/100)^(Inputs!$F$236/12)*(1+W13/100)^((Time!W21-Inputs!$F$236)/12),(1+W13/100)^Time!W24))</f>
        <v>320.870208524834</v>
      </c>
      <c r="X25" s="13" t="n">
        <f aca="false">IF(Time!X20=1,$F$23,W25*IF(Time!X27=1,(1+X15/100)^(Inputs!$F$236/12)*(1+X13/100)^((Time!X21-Inputs!$F$236)/12),(1+X13/100)^Time!X24))</f>
        <v>340.182957197885</v>
      </c>
      <c r="Y25" s="13" t="n">
        <f aca="false">IF(Time!Y20=1,$F$23,X25*IF(Time!Y27=1,(1+Y15/100)^(Inputs!$F$236/12)*(1+Y13/100)^((Time!Y21-Inputs!$F$236)/12),(1+Y13/100)^Time!Y24))</f>
        <v>358.390730528705</v>
      </c>
      <c r="Z25" s="13" t="n">
        <f aca="false">IF(Time!Z20=1,$F$23,Y25*IF(Time!Z27=1,(1+Z15/100)^(Inputs!$F$236/12)*(1+Z13/100)^((Time!Z21-Inputs!$F$236)/12),(1+Z13/100)^Time!Z24))</f>
        <v>375.199322545861</v>
      </c>
      <c r="AA25" s="13" t="n">
        <f aca="false">IF(Time!AA20=1,$F$23,Z25*IF(Time!AA27=1,(1+AA15/100)^(Inputs!$F$236/12)*(1+AA13/100)^((Time!AA21-Inputs!$F$236)/12),(1+AA13/100)^Time!AA24))</f>
        <v>391.354762255077</v>
      </c>
      <c r="AB25" s="13" t="n">
        <f aca="false">IF(Time!AB20=1,$F$23,AA25*IF(Time!AB27=1,(1+AB15/100)^(Inputs!$F$236/12)*(1+AB13/100)^((Time!AB21-Inputs!$F$236)/12),(1+AB13/100)^Time!AB24))</f>
        <v>406.707799205899</v>
      </c>
      <c r="AC25" s="13" t="n">
        <f aca="false">IF(Time!AC20=1,$F$23,AB25*IF(Time!AC27=1,(1+AC15/100)^(Inputs!$F$236/12)*(1+AC13/100)^((Time!AC21-Inputs!$F$236)/12),(1+AC13/100)^Time!AC24))</f>
        <v>421.681340686519</v>
      </c>
      <c r="AD25" s="13" t="n">
        <f aca="false">IF(Time!AD20=1,$F$23,AC25*IF(Time!AD27=1,(1+AD15/100)^(Inputs!$F$236/12)*(1+AD13/100)^((Time!AD21-Inputs!$F$236)/12),(1+AD13/100)^Time!AD24))</f>
        <v>436.190570506748</v>
      </c>
      <c r="AE25" s="13" t="n">
        <f aca="false">IF(Time!AE20=1,$F$23,AD25*IF(Time!AE27=1,(1+AE15/100)^(Inputs!$F$236/12)*(1+AE13/100)^((Time!AE21-Inputs!$F$236)/12),(1+AE13/100)^Time!AE24))</f>
        <v>451.199034534575</v>
      </c>
      <c r="AF25" s="13" t="n">
        <f aca="false">IF(Time!AF20=1,$F$23,AE25*IF(Time!AF27=1,(1+AF15/100)^(Inputs!$F$236/12)*(1+AF13/100)^((Time!AF21-Inputs!$F$236)/12),(1+AF13/100)^Time!AF24))</f>
        <v>466.723910442221</v>
      </c>
      <c r="AG25" s="13" t="n">
        <f aca="false">IF(Time!AG20=1,$F$23,AF25*IF(Time!AG27=1,(1+AG15/100)^(Inputs!$F$236/12)*(1+AG13/100)^((Time!AG21-Inputs!$F$236)/12),(1+AG13/100)^Time!AG24))</f>
        <v>482.782966951996</v>
      </c>
      <c r="AH25" s="13" t="n">
        <f aca="false">IF(Time!AH20=1,$F$23,AG25*IF(Time!AH27=1,(1+AH15/100)^(Inputs!$F$236/12)*(1+AH13/100)^((Time!AH21-Inputs!$F$236)/12),(1+AH13/100)^Time!AH24))</f>
        <v>499.394584173176</v>
      </c>
      <c r="AI25" s="13" t="n">
        <f aca="false">IF(Time!AI20=1,$F$23,AH25*IF(Time!AI27=1,(1+AI15/100)^(Inputs!$F$236/12)*(1+AI13/100)^((Time!AI21-Inputs!$F$236)/12),(1+AI13/100)^Time!AI24))</f>
        <v>516.577774638636</v>
      </c>
      <c r="AJ25" s="13" t="n">
        <f aca="false">IF(Time!AJ20=1,$F$23,AI25*IF(Time!AJ27=1,(1+AJ15/100)^(Inputs!$F$236/12)*(1+AJ13/100)^((Time!AJ21-Inputs!$F$236)/12),(1+AJ13/100)^Time!AJ24))</f>
        <v>534.352205065299</v>
      </c>
      <c r="AK25" s="13" t="n">
        <f aca="false">IF(Time!AK20=1,$F$23,AJ25*IF(Time!AK27=1,(1+AK15/100)^(Inputs!$F$236/12)*(1+AK13/100)^((Time!AK21-Inputs!$F$236)/12),(1+AK13/100)^Time!AK24))</f>
        <v>552.73821886334</v>
      </c>
      <c r="AL25" s="13" t="n">
        <f aca="false">IF(Time!AL20=1,$F$23,AK25*IF(Time!AL27=1,(1+AL15/100)^(Inputs!$F$236/12)*(1+AL13/100)^((Time!AL21-Inputs!$F$236)/12),(1+AL13/100)^Time!AL24))</f>
        <v>571.75685941987</v>
      </c>
      <c r="AM25" s="13" t="n">
        <f aca="false">IF(Time!AM20=1,$F$23,AL25*IF(Time!AM27=1,(1+AM15/100)^(Inputs!$F$236/12)*(1+AM13/100)^((Time!AM21-Inputs!$F$236)/12),(1+AM13/100)^Time!AM24))</f>
        <v>591.429894183774</v>
      </c>
      <c r="AN25" s="13" t="n">
        <f aca="false">IF(Time!AN20=1,$F$23,AM25*IF(Time!AN27=1,(1+AN15/100)^(Inputs!$F$236/12)*(1+AN13/100)^((Time!AN21-Inputs!$F$236)/12),(1+AN13/100)^Time!AN24))</f>
        <v>611.779839579261</v>
      </c>
      <c r="AO25" s="13" t="n">
        <f aca="false">IF(Time!AO20=1,$F$23,AN25*IF(Time!AO27=1,(1+AO15/100)^(Inputs!$F$236/12)*(1+AO13/100)^((Time!AO21-Inputs!$F$236)/12),(1+AO13/100)^Time!AO24))</f>
        <v>632.829986776638</v>
      </c>
      <c r="AP25" s="13" t="n">
        <f aca="false">IF(Time!AP20=1,$F$23,AO25*IF(Time!AP27=1,(1+AP15/100)^(Inputs!$F$236/12)*(1+AP13/100)^((Time!AP21-Inputs!$F$236)/12),(1+AP13/100)^Time!AP24))</f>
        <v>654.604428349809</v>
      </c>
      <c r="AQ25" s="13" t="n">
        <f aca="false">IF(Time!AQ20=1,$F$23,AP25*IF(Time!AQ27=1,(1+AQ15/100)^(Inputs!$F$236/12)*(1+AQ13/100)^((Time!AQ21-Inputs!$F$236)/12),(1+AQ13/100)^Time!AQ24))</f>
        <v>677.128085851003</v>
      </c>
      <c r="AR25" s="13" t="n">
        <f aca="false">IF(Time!AR20=1,$F$23,AQ25*IF(Time!AR27=1,(1+AR15/100)^(Inputs!$F$236/12)*(1+AR13/100)^((Time!AR21-Inputs!$F$236)/12),(1+AR13/100)^Time!AR24))</f>
        <v>700.426738334296</v>
      </c>
      <c r="AS25" s="13" t="n">
        <f aca="false">IF(Time!AS20=1,$F$23,AR25*IF(Time!AS27=1,(1+AS15/100)^(Inputs!$F$236/12)*(1+AS13/100)^((Time!AS21-Inputs!$F$236)/12),(1+AS13/100)^Time!AS24))</f>
        <v>724.527051860574</v>
      </c>
      <c r="AT25" s="13" t="n">
        <f aca="false">IF(Time!AT20=1,$F$23,AS25*IF(Time!AT27=1,(1+AT15/100)^(Inputs!$F$236/12)*(1+AT13/100)^((Time!AT21-Inputs!$F$236)/12),(1+AT13/100)^Time!AT24))</f>
        <v>749.456610017697</v>
      </c>
      <c r="AU25" s="13" t="n">
        <f aca="false">IF(Time!AU20=1,$F$23,AT25*IF(Time!AU27=1,(1+AU15/100)^(Inputs!$F$236/12)*(1+AU13/100)^((Time!AU21-Inputs!$F$236)/12),(1+AU13/100)^Time!AU24))</f>
        <v>775.243945490814</v>
      </c>
      <c r="AV25" s="13" t="n">
        <f aca="false">IF(Time!AV20=1,$F$23,AU25*IF(Time!AV27=1,(1+AV15/100)^(Inputs!$F$236/12)*(1+AV13/100)^((Time!AV21-Inputs!$F$236)/12),(1+AV13/100)^Time!AV24))</f>
        <v>801.918572718936</v>
      </c>
      <c r="AW25" s="13" t="n">
        <f aca="false">IF(Time!AW20=1,$F$23,AV25*IF(Time!AW27=1,(1+AW15/100)^(Inputs!$F$236/12)*(1+AW13/100)^((Time!AW21-Inputs!$F$236)/12),(1+AW13/100)^Time!AW24))</f>
        <v>829.511021675171</v>
      </c>
      <c r="AX25" s="13" t="n">
        <f aca="false">IF(Time!AX20=1,$F$23,AW25*IF(Time!AX27=1,(1+AX15/100)^(Inputs!$F$236/12)*(1+AX13/100)^((Time!AX21-Inputs!$F$236)/12),(1+AX13/100)^Time!AX24))</f>
        <v>858.052872809262</v>
      </c>
      <c r="AY25" s="13" t="n">
        <f aca="false">IF(Time!AY20=1,$F$23,AX25*IF(Time!AY27=1,(1+AY15/100)^(Inputs!$F$236/12)*(1+AY13/100)^((Time!AY21-Inputs!$F$236)/12),(1+AY13/100)^Time!AY24))</f>
        <v>887.576793192433</v>
      </c>
      <c r="AZ25" s="13" t="n">
        <f aca="false">IF(Time!AZ20=1,$F$23,AY25*IF(Time!AZ27=1,(1+AZ15/100)^(Inputs!$F$236/12)*(1+AZ13/100)^((Time!AZ21-Inputs!$F$236)/12),(1+AZ13/100)^Time!AZ24))</f>
        <v>918.11657390591</v>
      </c>
      <c r="BA25" s="13" t="n">
        <f aca="false">IF(Time!BA20=1,$F$23,AZ25*IF(Time!BA27=1,(1+BA15/100)^(Inputs!$F$236/12)*(1+BA13/100)^((Time!BA21-Inputs!$F$236)/12),(1+BA13/100)^Time!BA24))</f>
        <v>949.707168715904</v>
      </c>
      <c r="BB25" s="13" t="n">
        <f aca="false">IF(Time!BB20=1,$F$23,BA25*IF(Time!BB27=1,(1+BB15/100)^(Inputs!$F$236/12)*(1+BB13/100)^((Time!BB21-Inputs!$F$236)/12),(1+BB13/100)^Time!BB24))</f>
        <v>982.384734079324</v>
      </c>
      <c r="BC25" s="13" t="n">
        <f aca="false">IF(Time!BC20=1,$F$23,BB25*IF(Time!BC27=1,(1+BC15/100)^(Inputs!$F$236/12)*(1+BC13/100)^((Time!BC21-Inputs!$F$236)/12),(1+BC13/100)^Time!BC24))</f>
        <v>1016.18667052602</v>
      </c>
      <c r="BD25" s="13" t="n">
        <f aca="false">IF(Time!BD20=1,$F$23,BC25*IF(Time!BD27=1,(1+BD15/100)^(Inputs!$F$236/12)*(1+BD13/100)^((Time!BD21-Inputs!$F$236)/12),(1+BD13/100)^Time!BD24))</f>
        <v>1051.15166546488</v>
      </c>
      <c r="BE25" s="13" t="n">
        <f aca="false">IF(Time!BE20=1,$F$23,BD25*IF(Time!BE27=1,(1+BE15/100)^(Inputs!$F$236/12)*(1+BE13/100)^((Time!BE21-Inputs!$F$236)/12),(1+BE13/100)^Time!BE24))</f>
        <v>1087.31973746284</v>
      </c>
      <c r="BF25" s="13" t="n">
        <f aca="false">IF(Time!BF20=1,$F$23,BE25*IF(Time!BF27=1,(1+BF15/100)^(Inputs!$F$236/12)*(1+BF13/100)^((Time!BF21-Inputs!$F$236)/12),(1+BF13/100)^Time!BF24))</f>
        <v>1124.73228204742</v>
      </c>
      <c r="BG25" s="13" t="n">
        <f aca="false">IF(Time!BG20=1,$F$23,BF25*IF(Time!BG27=1,(1+BG15/100)^(Inputs!$F$236/12)*(1+BG13/100)^((Time!BG21-Inputs!$F$236)/12),(1+BG13/100)^Time!BG24))</f>
        <v>1163.43211908524</v>
      </c>
      <c r="BH25" s="13" t="n">
        <f aca="false">IF(Time!BH20=1,$F$23,BG25*IF(Time!BH27=1,(1+BH15/100)^(Inputs!$F$236/12)*(1+BH13/100)^((Time!BH21-Inputs!$F$236)/12),(1+BH13/100)^Time!BH24))</f>
        <v>1203.46354179074</v>
      </c>
      <c r="BI25" s="13" t="n">
        <f aca="false">IF(Time!BI20=1,$F$23,BH25*IF(Time!BI27=1,(1+BI15/100)^(Inputs!$F$236/12)*(1+BI13/100)^((Time!BI21-Inputs!$F$236)/12),(1+BI13/100)^Time!BI24))</f>
        <v>1244.8723674212</v>
      </c>
      <c r="BJ25" s="13" t="n">
        <f aca="false">IF(Time!BJ20=1,$F$23,BI25*IF(Time!BJ27=1,(1+BJ15/100)^(Inputs!$F$236/12)*(1+BJ13/100)^((Time!BJ21-Inputs!$F$236)/12),(1+BJ13/100)^Time!BJ24))</f>
        <v>1287.70598971609</v>
      </c>
      <c r="BK25" s="13" t="n">
        <f aca="false">IF(Time!BK20=1,$F$23,BJ25*IF(Time!BK27=1,(1+BK15/100)^(Inputs!$F$236/12)*(1+BK13/100)^((Time!BK21-Inputs!$F$236)/12),(1+BK13/100)^Time!BK24))</f>
        <v>1332.01343314069</v>
      </c>
      <c r="BL25" s="13" t="n">
        <f aca="false">IF(Time!BL20=1,$F$23,BK25*IF(Time!BL27=1,(1+BL15/100)^(Inputs!$F$236/12)*(1+BL13/100)^((Time!BL21-Inputs!$F$236)/12),(1+BL13/100)^Time!BL24))</f>
        <v>1377.84540899622</v>
      </c>
      <c r="BM25" s="13" t="n">
        <f aca="false">IF(Time!BM20=1,$F$23,BL25*IF(Time!BM27=1,(1+BM15/100)^(Inputs!$F$236/12)*(1+BM13/100)^((Time!BM21-Inputs!$F$236)/12),(1+BM13/100)^Time!BM24))</f>
        <v>1425.25437346054</v>
      </c>
      <c r="BN25" s="13" t="n">
        <f aca="false">IF(Time!BN20=1,$F$23,BM25*IF(Time!BN27=1,(1+BN15/100)^(Inputs!$F$236/12)*(1+BN13/100)^((Time!BN21-Inputs!$F$236)/12),(1+BN13/100)^Time!BN24))</f>
        <v>1474.29458762595</v>
      </c>
    </row>
    <row r="26" customFormat="false" ht="15" hidden="false" customHeight="false" outlineLevel="0" collapsed="false">
      <c r="D26" s="0" t="s">
        <v>581</v>
      </c>
      <c r="E26" s="0" t="s">
        <v>91</v>
      </c>
      <c r="J26" s="13" t="n">
        <f aca="false">IF(Time!J20=1,$F$24,I25)</f>
        <v>110.925196132035</v>
      </c>
      <c r="K26" s="13" t="n">
        <f aca="false">IF(Time!K20=1,$F$24,J25)</f>
        <v>115.063171655127</v>
      </c>
      <c r="L26" s="13" t="n">
        <f aca="false">IF(Time!L20=1,$F$24,K25)</f>
        <v>119.438618093899</v>
      </c>
      <c r="M26" s="13" t="n">
        <f aca="false">IF(Time!M20=1,$F$24,L25)</f>
        <v>124.066774714516</v>
      </c>
      <c r="N26" s="13" t="n">
        <f aca="false">IF(Time!N20=1,$F$24,M25)</f>
        <v>129.43789408732</v>
      </c>
      <c r="O26" s="13" t="n">
        <f aca="false">IF(Time!O20=1,$F$24,N25)</f>
        <v>135.632138269234</v>
      </c>
      <c r="P26" s="13" t="n">
        <f aca="false">IF(Time!P20=1,$F$24,O25)</f>
        <v>142.380979176357</v>
      </c>
      <c r="Q26" s="13" t="n">
        <f aca="false">IF(Time!Q20=1,$F$24,P25)</f>
        <v>149.737141730859</v>
      </c>
      <c r="R26" s="13" t="n">
        <f aca="false">IF(Time!R20=1,$F$24,Q25)</f>
        <v>162.786789552918</v>
      </c>
      <c r="S26" s="13" t="n">
        <f aca="false">IF(Time!S20=1,$F$24,R25)</f>
        <v>182.945121747673</v>
      </c>
      <c r="T26" s="13" t="n">
        <f aca="false">IF(Time!T20=1,$F$24,S25)</f>
        <v>208.97490869617</v>
      </c>
      <c r="U26" s="13" t="n">
        <f aca="false">IF(Time!U20=1,$F$24,T25)</f>
        <v>242.626978718864</v>
      </c>
      <c r="V26" s="13" t="n">
        <f aca="false">IF(Time!V20=1,$F$24,U25)</f>
        <v>273.168505817987</v>
      </c>
      <c r="W26" s="13" t="n">
        <f aca="false">IF(Time!W20=1,$F$24,V25)</f>
        <v>298.24196690679</v>
      </c>
      <c r="X26" s="13" t="n">
        <f aca="false">IF(Time!X20=1,$F$24,W25)</f>
        <v>320.870208524834</v>
      </c>
      <c r="Y26" s="13" t="n">
        <f aca="false">IF(Time!Y20=1,$F$24,X25)</f>
        <v>340.182957197885</v>
      </c>
      <c r="Z26" s="13" t="n">
        <f aca="false">IF(Time!Z20=1,$F$24,Y25)</f>
        <v>358.390730528705</v>
      </c>
      <c r="AA26" s="13" t="n">
        <f aca="false">IF(Time!AA20=1,$F$24,Z25)</f>
        <v>375.199322545861</v>
      </c>
      <c r="AB26" s="13" t="n">
        <f aca="false">IF(Time!AB20=1,$F$24,AA25)</f>
        <v>391.354762255077</v>
      </c>
      <c r="AC26" s="13" t="n">
        <f aca="false">IF(Time!AC20=1,$F$24,AB25)</f>
        <v>406.707799205899</v>
      </c>
      <c r="AD26" s="13" t="n">
        <f aca="false">IF(Time!AD20=1,$F$24,AC25)</f>
        <v>421.681340686519</v>
      </c>
      <c r="AE26" s="13" t="n">
        <f aca="false">IF(Time!AE20=1,$F$24,AD25)</f>
        <v>436.190570506748</v>
      </c>
      <c r="AF26" s="13" t="n">
        <f aca="false">IF(Time!AF20=1,$F$24,AE25)</f>
        <v>451.199034534575</v>
      </c>
      <c r="AG26" s="13" t="n">
        <f aca="false">IF(Time!AG20=1,$F$24,AF25)</f>
        <v>466.723910442221</v>
      </c>
      <c r="AH26" s="13" t="n">
        <f aca="false">IF(Time!AH20=1,$F$24,AG25)</f>
        <v>482.782966951996</v>
      </c>
      <c r="AI26" s="13" t="n">
        <f aca="false">IF(Time!AI20=1,$F$24,AH25)</f>
        <v>499.394584173176</v>
      </c>
      <c r="AJ26" s="13" t="n">
        <f aca="false">IF(Time!AJ20=1,$F$24,AI25)</f>
        <v>516.577774638636</v>
      </c>
      <c r="AK26" s="13" t="n">
        <f aca="false">IF(Time!AK20=1,$F$24,AJ25)</f>
        <v>534.352205065299</v>
      </c>
      <c r="AL26" s="13" t="n">
        <f aca="false">IF(Time!AL20=1,$F$24,AK25)</f>
        <v>552.73821886334</v>
      </c>
      <c r="AM26" s="13" t="n">
        <f aca="false">IF(Time!AM20=1,$F$24,AL25)</f>
        <v>571.75685941987</v>
      </c>
      <c r="AN26" s="13" t="n">
        <f aca="false">IF(Time!AN20=1,$F$24,AM25)</f>
        <v>591.429894183774</v>
      </c>
      <c r="AO26" s="13" t="n">
        <f aca="false">IF(Time!AO20=1,$F$24,AN25)</f>
        <v>611.779839579261</v>
      </c>
      <c r="AP26" s="13" t="n">
        <f aca="false">IF(Time!AP20=1,$F$24,AO25)</f>
        <v>632.829986776638</v>
      </c>
      <c r="AQ26" s="13" t="n">
        <f aca="false">IF(Time!AQ20=1,$F$24,AP25)</f>
        <v>654.604428349809</v>
      </c>
      <c r="AR26" s="13" t="n">
        <f aca="false">IF(Time!AR20=1,$F$24,AQ25)</f>
        <v>677.128085851003</v>
      </c>
      <c r="AS26" s="13" t="n">
        <f aca="false">IF(Time!AS20=1,$F$24,AR25)</f>
        <v>700.426738334296</v>
      </c>
      <c r="AT26" s="13" t="n">
        <f aca="false">IF(Time!AT20=1,$F$24,AS25)</f>
        <v>724.527051860574</v>
      </c>
      <c r="AU26" s="13" t="n">
        <f aca="false">IF(Time!AU20=1,$F$24,AT25)</f>
        <v>749.456610017697</v>
      </c>
      <c r="AV26" s="13" t="n">
        <f aca="false">IF(Time!AV20=1,$F$24,AU25)</f>
        <v>775.243945490814</v>
      </c>
      <c r="AW26" s="13" t="n">
        <f aca="false">IF(Time!AW20=1,$F$24,AV25)</f>
        <v>801.918572718936</v>
      </c>
      <c r="AX26" s="13" t="n">
        <f aca="false">IF(Time!AX20=1,$F$24,AW25)</f>
        <v>829.511021675171</v>
      </c>
      <c r="AY26" s="13" t="n">
        <f aca="false">IF(Time!AY20=1,$F$24,AX25)</f>
        <v>858.052872809262</v>
      </c>
      <c r="AZ26" s="13" t="n">
        <f aca="false">IF(Time!AZ20=1,$F$24,AY25)</f>
        <v>887.576793192433</v>
      </c>
      <c r="BA26" s="13" t="n">
        <f aca="false">IF(Time!BA20=1,$F$24,AZ25)</f>
        <v>918.11657390591</v>
      </c>
      <c r="BB26" s="13" t="n">
        <f aca="false">IF(Time!BB20=1,$F$24,BA25)</f>
        <v>949.707168715904</v>
      </c>
      <c r="BC26" s="13" t="n">
        <f aca="false">IF(Time!BC20=1,$F$24,BB25)</f>
        <v>982.384734079324</v>
      </c>
      <c r="BD26" s="13" t="n">
        <f aca="false">IF(Time!BD20=1,$F$24,BC25)</f>
        <v>1016.18667052602</v>
      </c>
      <c r="BE26" s="13" t="n">
        <f aca="false">IF(Time!BE20=1,$F$24,BD25)</f>
        <v>1051.15166546488</v>
      </c>
      <c r="BF26" s="13" t="n">
        <f aca="false">IF(Time!BF20=1,$F$24,BE25)</f>
        <v>1087.31973746284</v>
      </c>
      <c r="BG26" s="13" t="n">
        <f aca="false">IF(Time!BG20=1,$F$24,BF25)</f>
        <v>1124.73228204742</v>
      </c>
      <c r="BH26" s="13" t="n">
        <f aca="false">IF(Time!BH20=1,$F$24,BG25)</f>
        <v>1163.43211908524</v>
      </c>
      <c r="BI26" s="13" t="n">
        <f aca="false">IF(Time!BI20=1,$F$24,BH25)</f>
        <v>1203.46354179074</v>
      </c>
      <c r="BJ26" s="13" t="n">
        <f aca="false">IF(Time!BJ20=1,$F$24,BI25)</f>
        <v>1244.8723674212</v>
      </c>
      <c r="BK26" s="13" t="n">
        <f aca="false">IF(Time!BK20=1,$F$24,BJ25)</f>
        <v>1287.70598971609</v>
      </c>
      <c r="BL26" s="13" t="n">
        <f aca="false">IF(Time!BL20=1,$F$24,BK25)</f>
        <v>1332.01343314069</v>
      </c>
      <c r="BM26" s="13" t="n">
        <f aca="false">IF(Time!BM20=1,$F$24,BL25)</f>
        <v>1377.84540899622</v>
      </c>
      <c r="BN26" s="13" t="n">
        <f aca="false">IF(Time!BN20=1,$F$24,BM25)</f>
        <v>1425.25437346054</v>
      </c>
    </row>
    <row r="27" customFormat="false" ht="15" hidden="false" customHeight="false" outlineLevel="0" collapsed="false">
      <c r="D27" s="0" t="s">
        <v>582</v>
      </c>
      <c r="E27" s="0" t="s">
        <v>99</v>
      </c>
      <c r="J27" s="13" t="n">
        <f aca="false">J25/$F$22</f>
        <v>1.01848131960836</v>
      </c>
      <c r="K27" s="13" t="n">
        <f aca="false">K25/$F$22</f>
        <v>1.05721057066876</v>
      </c>
      <c r="L27" s="13" t="n">
        <f aca="false">L25/$F$22</f>
        <v>1.09817668514758</v>
      </c>
      <c r="M27" s="13" t="n">
        <f aca="false">M25/$F$22</f>
        <v>1.14571913220426</v>
      </c>
      <c r="N27" s="13" t="n">
        <f aca="false">N25/$F$22</f>
        <v>1.20054746604579</v>
      </c>
      <c r="O27" s="13" t="n">
        <f aca="false">O25/$F$22</f>
        <v>1.26028481114102</v>
      </c>
      <c r="P27" s="13" t="n">
        <f aca="false">P25/$F$22</f>
        <v>1.32539786198076</v>
      </c>
      <c r="Q27" s="13" t="n">
        <f aca="false">Q25/$F$22</f>
        <v>1.44090678062999</v>
      </c>
      <c r="R27" s="13" t="n">
        <f aca="false">R25/$F$22</f>
        <v>1.61933819773323</v>
      </c>
      <c r="S27" s="13" t="n">
        <f aca="false">S25/$F$22</f>
        <v>1.84974077902041</v>
      </c>
      <c r="T27" s="13" t="n">
        <f aca="false">T25/$F$22</f>
        <v>2.1476119761311</v>
      </c>
      <c r="U27" s="13" t="n">
        <f aca="false">U25/$F$22</f>
        <v>2.41795021186131</v>
      </c>
      <c r="V27" s="13" t="n">
        <f aca="false">V25/$F$22</f>
        <v>2.63988787766297</v>
      </c>
      <c r="W27" s="13" t="n">
        <f aca="false">W25/$F$22</f>
        <v>2.84018169063588</v>
      </c>
      <c r="X27" s="13" t="n">
        <f aca="false">X25/$F$22</f>
        <v>3.01112842772695</v>
      </c>
      <c r="Y27" s="13" t="n">
        <f aca="false">Y25/$F$22</f>
        <v>3.17229447888262</v>
      </c>
      <c r="Z27" s="13" t="n">
        <f aca="false">Z25/$F$22</f>
        <v>3.32107568082708</v>
      </c>
      <c r="AA27" s="13" t="n">
        <f aca="false">AA25/$F$22</f>
        <v>3.46407550707219</v>
      </c>
      <c r="AB27" s="13" t="n">
        <f aca="false">AB25/$F$22</f>
        <v>3.59997286770238</v>
      </c>
      <c r="AC27" s="13" t="n">
        <f aca="false">AC25/$F$22</f>
        <v>3.73251112531361</v>
      </c>
      <c r="AD27" s="13" t="n">
        <f aca="false">AD25/$F$22</f>
        <v>3.86093952965223</v>
      </c>
      <c r="AE27" s="13" t="n">
        <f aca="false">AE25/$F$22</f>
        <v>3.99378690408556</v>
      </c>
      <c r="AF27" s="13" t="n">
        <f aca="false">AF25/$F$22</f>
        <v>4.13120529672788</v>
      </c>
      <c r="AG27" s="13" t="n">
        <f aca="false">AG25/$F$22</f>
        <v>4.27335198737155</v>
      </c>
      <c r="AH27" s="13" t="n">
        <f aca="false">AH25/$F$22</f>
        <v>4.42038966749884</v>
      </c>
      <c r="AI27" s="13" t="n">
        <f aca="false">AI25/$F$22</f>
        <v>4.57248662648756</v>
      </c>
      <c r="AJ27" s="13" t="n">
        <f aca="false">AJ25/$F$22</f>
        <v>4.72981694422376</v>
      </c>
      <c r="AK27" s="13" t="n">
        <f aca="false">AK25/$F$22</f>
        <v>4.89256069034169</v>
      </c>
      <c r="AL27" s="13" t="n">
        <f aca="false">AL25/$F$22</f>
        <v>5.06090413031942</v>
      </c>
      <c r="AM27" s="13" t="n">
        <f aca="false">AM25/$F$22</f>
        <v>5.23503993866561</v>
      </c>
      <c r="AN27" s="13" t="n">
        <f aca="false">AN25/$F$22</f>
        <v>5.41516741944178</v>
      </c>
      <c r="AO27" s="13" t="n">
        <f aca="false">AO25/$F$22</f>
        <v>5.60149273437221</v>
      </c>
      <c r="AP27" s="13" t="n">
        <f aca="false">AP25/$F$22</f>
        <v>5.79422913880271</v>
      </c>
      <c r="AQ27" s="13" t="n">
        <f aca="false">AQ25/$F$22</f>
        <v>5.99359722577826</v>
      </c>
      <c r="AR27" s="13" t="n">
        <f aca="false">AR25/$F$22</f>
        <v>6.1998251785189</v>
      </c>
      <c r="AS27" s="13" t="n">
        <f aca="false">AS25/$F$22</f>
        <v>6.41314903158274</v>
      </c>
      <c r="AT27" s="13" t="n">
        <f aca="false">AT25/$F$22</f>
        <v>6.63381294101522</v>
      </c>
      <c r="AU27" s="13" t="n">
        <f aca="false">AU25/$F$22</f>
        <v>6.86206946379354</v>
      </c>
      <c r="AV27" s="13" t="n">
        <f aca="false">AV25/$F$22</f>
        <v>7.09817984688629</v>
      </c>
      <c r="AW27" s="13" t="n">
        <f aca="false">AW25/$F$22</f>
        <v>7.34241432625909</v>
      </c>
      <c r="AX27" s="13" t="n">
        <f aca="false">AX25/$F$22</f>
        <v>7.59505243616833</v>
      </c>
      <c r="AY27" s="13" t="n">
        <f aca="false">AY25/$F$22</f>
        <v>7.85638332909722</v>
      </c>
      <c r="AZ27" s="13" t="n">
        <f aca="false">AZ25/$F$22</f>
        <v>8.12670610670011</v>
      </c>
      <c r="BA27" s="13" t="n">
        <f aca="false">BA25/$F$22</f>
        <v>8.40633016213403</v>
      </c>
      <c r="BB27" s="13" t="n">
        <f aca="false">BB25/$F$22</f>
        <v>8.69557553416913</v>
      </c>
      <c r="BC27" s="13" t="n">
        <f aca="false">BC25/$F$22</f>
        <v>8.99477327348341</v>
      </c>
      <c r="BD27" s="13" t="n">
        <f aca="false">BD25/$F$22</f>
        <v>9.30426582156096</v>
      </c>
      <c r="BE27" s="13" t="n">
        <f aca="false">BE25/$F$22</f>
        <v>9.62440740262725</v>
      </c>
      <c r="BF27" s="13" t="n">
        <f aca="false">BF25/$F$22</f>
        <v>9.95556442907023</v>
      </c>
      <c r="BG27" s="13" t="n">
        <f aca="false">BG25/$F$22</f>
        <v>10.2981159208112</v>
      </c>
      <c r="BH27" s="13" t="n">
        <f aca="false">BH25/$F$22</f>
        <v>10.6524539391052</v>
      </c>
      <c r="BI27" s="13" t="n">
        <f aca="false">BI25/$F$22</f>
        <v>11.018984035268</v>
      </c>
      <c r="BJ27" s="13" t="n">
        <f aca="false">BJ25/$F$22</f>
        <v>11.3981257148425</v>
      </c>
      <c r="BK27" s="13" t="n">
        <f aca="false">BK25/$F$22</f>
        <v>11.7903129177367</v>
      </c>
      <c r="BL27" s="13" t="n">
        <f aca="false">BL25/$F$22</f>
        <v>12.1959945148815</v>
      </c>
      <c r="BM27" s="13" t="n">
        <f aca="false">BM25/$F$22</f>
        <v>12.6156348219783</v>
      </c>
      <c r="BN27" s="13" t="n">
        <f aca="false">BN25/$F$22</f>
        <v>13.0497141309232</v>
      </c>
    </row>
    <row r="28" customFormat="false" ht="15" hidden="false" customHeight="false" outlineLevel="0" collapsed="false">
      <c r="B28" s="2" t="s">
        <v>583</v>
      </c>
    </row>
    <row r="29" customFormat="false" ht="15" hidden="false" customHeight="false" outlineLevel="0" collapsed="false">
      <c r="D29" s="0" t="s">
        <v>584</v>
      </c>
      <c r="E29" s="0" t="s">
        <v>336</v>
      </c>
      <c r="J29" s="10" t="n">
        <f aca="false">INT(Time!J32/12)+1</f>
        <v>1</v>
      </c>
      <c r="K29" s="10" t="n">
        <f aca="false">INT(Time!K32/12)+1</f>
        <v>1</v>
      </c>
      <c r="L29" s="10" t="n">
        <f aca="false">INT(Time!L32/12)+1</f>
        <v>1</v>
      </c>
      <c r="M29" s="10" t="n">
        <f aca="false">INT(Time!M32/12)+1</f>
        <v>1</v>
      </c>
      <c r="N29" s="10" t="n">
        <f aca="false">INT(Time!N32/12)+1</f>
        <v>1</v>
      </c>
      <c r="O29" s="10" t="n">
        <f aca="false">INT(Time!O32/12)+1</f>
        <v>1</v>
      </c>
      <c r="P29" s="10" t="n">
        <f aca="false">INT(Time!P32/12)+1</f>
        <v>1</v>
      </c>
      <c r="Q29" s="10" t="n">
        <f aca="false">INT(Time!Q32/12)+1</f>
        <v>1</v>
      </c>
      <c r="R29" s="10" t="n">
        <f aca="false">INT(Time!R32/12)+1</f>
        <v>1</v>
      </c>
      <c r="S29" s="10" t="n">
        <f aca="false">INT(Time!S32/12)+1</f>
        <v>2</v>
      </c>
      <c r="T29" s="10" t="n">
        <f aca="false">INT(Time!T32/12)+1</f>
        <v>2</v>
      </c>
      <c r="U29" s="10" t="n">
        <f aca="false">INT(Time!U32/12)+1</f>
        <v>3</v>
      </c>
      <c r="V29" s="10" t="n">
        <f aca="false">INT(Time!V32/12)+1</f>
        <v>3</v>
      </c>
      <c r="W29" s="10" t="n">
        <f aca="false">INT(Time!W32/12)+1</f>
        <v>4</v>
      </c>
      <c r="X29" s="10" t="n">
        <f aca="false">INT(Time!X32/12)+1</f>
        <v>4</v>
      </c>
      <c r="Y29" s="10" t="n">
        <f aca="false">INT(Time!Y32/12)+1</f>
        <v>5</v>
      </c>
      <c r="Z29" s="10" t="n">
        <f aca="false">INT(Time!Z32/12)+1</f>
        <v>5</v>
      </c>
      <c r="AA29" s="10" t="n">
        <f aca="false">INT(Time!AA32/12)+1</f>
        <v>6</v>
      </c>
      <c r="AB29" s="10" t="n">
        <f aca="false">INT(Time!AB32/12)+1</f>
        <v>6</v>
      </c>
      <c r="AC29" s="10" t="n">
        <f aca="false">INT(Time!AC32/12)+1</f>
        <v>7</v>
      </c>
      <c r="AD29" s="10" t="n">
        <f aca="false">INT(Time!AD32/12)+1</f>
        <v>7</v>
      </c>
      <c r="AE29" s="10" t="n">
        <f aca="false">INT(Time!AE32/12)+1</f>
        <v>8</v>
      </c>
      <c r="AF29" s="10" t="n">
        <f aca="false">INT(Time!AF32/12)+1</f>
        <v>8</v>
      </c>
      <c r="AG29" s="10" t="n">
        <f aca="false">INT(Time!AG32/12)+1</f>
        <v>9</v>
      </c>
      <c r="AH29" s="10" t="n">
        <f aca="false">INT(Time!AH32/12)+1</f>
        <v>9</v>
      </c>
      <c r="AI29" s="10" t="n">
        <f aca="false">INT(Time!AI32/12)+1</f>
        <v>10</v>
      </c>
      <c r="AJ29" s="10" t="n">
        <f aca="false">INT(Time!AJ32/12)+1</f>
        <v>10</v>
      </c>
      <c r="AK29" s="10" t="n">
        <f aca="false">INT(Time!AK32/12)+1</f>
        <v>11</v>
      </c>
      <c r="AL29" s="10" t="n">
        <f aca="false">INT(Time!AL32/12)+1</f>
        <v>11</v>
      </c>
      <c r="AM29" s="10" t="n">
        <f aca="false">INT(Time!AM32/12)+1</f>
        <v>12</v>
      </c>
      <c r="AN29" s="10" t="n">
        <f aca="false">INT(Time!AN32/12)+1</f>
        <v>12</v>
      </c>
      <c r="AO29" s="10" t="n">
        <f aca="false">INT(Time!AO32/12)+1</f>
        <v>13</v>
      </c>
      <c r="AP29" s="10" t="n">
        <f aca="false">INT(Time!AP32/12)+1</f>
        <v>13</v>
      </c>
      <c r="AQ29" s="10" t="n">
        <f aca="false">INT(Time!AQ32/12)+1</f>
        <v>14</v>
      </c>
      <c r="AR29" s="10" t="n">
        <f aca="false">INT(Time!AR32/12)+1</f>
        <v>14</v>
      </c>
      <c r="AS29" s="10" t="n">
        <f aca="false">INT(Time!AS32/12)+1</f>
        <v>15</v>
      </c>
      <c r="AT29" s="10" t="n">
        <f aca="false">INT(Time!AT32/12)+1</f>
        <v>15</v>
      </c>
      <c r="AU29" s="10" t="n">
        <f aca="false">INT(Time!AU32/12)+1</f>
        <v>16</v>
      </c>
      <c r="AV29" s="10" t="n">
        <f aca="false">INT(Time!AV32/12)+1</f>
        <v>16</v>
      </c>
      <c r="AW29" s="10" t="n">
        <f aca="false">INT(Time!AW32/12)+1</f>
        <v>17</v>
      </c>
      <c r="AX29" s="10" t="n">
        <f aca="false">INT(Time!AX32/12)+1</f>
        <v>17</v>
      </c>
      <c r="AY29" s="10" t="n">
        <f aca="false">INT(Time!AY32/12)+1</f>
        <v>18</v>
      </c>
      <c r="AZ29" s="10" t="n">
        <f aca="false">INT(Time!AZ32/12)+1</f>
        <v>18</v>
      </c>
      <c r="BA29" s="10" t="n">
        <f aca="false">INT(Time!BA32/12)+1</f>
        <v>19</v>
      </c>
      <c r="BB29" s="10" t="n">
        <f aca="false">INT(Time!BB32/12)+1</f>
        <v>19</v>
      </c>
      <c r="BC29" s="10" t="n">
        <f aca="false">INT(Time!BC32/12)+1</f>
        <v>20</v>
      </c>
      <c r="BD29" s="10" t="n">
        <f aca="false">INT(Time!BD32/12)+1</f>
        <v>20</v>
      </c>
      <c r="BE29" s="10" t="n">
        <f aca="false">INT(Time!BE32/12)+1</f>
        <v>21</v>
      </c>
      <c r="BF29" s="10" t="n">
        <f aca="false">INT(Time!BF32/12)+1</f>
        <v>21</v>
      </c>
      <c r="BG29" s="10" t="n">
        <f aca="false">INT(Time!BG32/12)+1</f>
        <v>22</v>
      </c>
      <c r="BH29" s="10" t="n">
        <f aca="false">INT(Time!BH32/12)+1</f>
        <v>22</v>
      </c>
      <c r="BI29" s="10" t="n">
        <f aca="false">INT(Time!BI32/12)+1</f>
        <v>23</v>
      </c>
      <c r="BJ29" s="10" t="n">
        <f aca="false">INT(Time!BJ32/12)+1</f>
        <v>23</v>
      </c>
      <c r="BK29" s="10" t="n">
        <f aca="false">INT(Time!BK32/12)+1</f>
        <v>24</v>
      </c>
      <c r="BL29" s="10" t="n">
        <f aca="false">INT(Time!BL32/12)+1</f>
        <v>24</v>
      </c>
      <c r="BM29" s="10" t="n">
        <f aca="false">INT(Time!BM32/12)+1</f>
        <v>25</v>
      </c>
      <c r="BN29" s="10" t="n">
        <f aca="false">INT(Time!BN32/12)+1</f>
        <v>25</v>
      </c>
    </row>
    <row r="30" customFormat="false" ht="15" hidden="false" customHeight="false" outlineLevel="0" collapsed="false">
      <c r="D30" s="0" t="s">
        <v>585</v>
      </c>
      <c r="E30" s="0" t="s">
        <v>97</v>
      </c>
      <c r="J30" s="10" t="n">
        <f aca="false">MIN(Time!J33,J29*12)-Time!J32</f>
        <v>0</v>
      </c>
      <c r="K30" s="10" t="n">
        <f aca="false">MIN(Time!K33,K29*12)-Time!K32</f>
        <v>0</v>
      </c>
      <c r="L30" s="10" t="n">
        <f aca="false">MIN(Time!L33,L29*12)-Time!L32</f>
        <v>0</v>
      </c>
      <c r="M30" s="10" t="n">
        <f aca="false">MIN(Time!M33,M29*12)-Time!M32</f>
        <v>0</v>
      </c>
      <c r="N30" s="10" t="n">
        <f aca="false">MIN(Time!N33,N29*12)-Time!N32</f>
        <v>0</v>
      </c>
      <c r="O30" s="10" t="n">
        <f aca="false">MIN(Time!O33,O29*12)-Time!O32</f>
        <v>0</v>
      </c>
      <c r="P30" s="10" t="n">
        <f aca="false">MIN(Time!P33,P29*12)-Time!P32</f>
        <v>1</v>
      </c>
      <c r="Q30" s="10" t="n">
        <f aca="false">MIN(Time!Q33,Q29*12)-Time!Q32</f>
        <v>6</v>
      </c>
      <c r="R30" s="10" t="n">
        <f aca="false">MIN(Time!R33,R29*12)-Time!R32</f>
        <v>5</v>
      </c>
      <c r="S30" s="10" t="n">
        <f aca="false">MIN(Time!S33,S29*12)-Time!S32</f>
        <v>6</v>
      </c>
      <c r="T30" s="10" t="n">
        <f aca="false">MIN(Time!T33,T29*12)-Time!T32</f>
        <v>5</v>
      </c>
      <c r="U30" s="10" t="n">
        <f aca="false">MIN(Time!U33,U29*12)-Time!U32</f>
        <v>6</v>
      </c>
      <c r="V30" s="10" t="n">
        <f aca="false">MIN(Time!V33,V29*12)-Time!V32</f>
        <v>5</v>
      </c>
      <c r="W30" s="10" t="n">
        <f aca="false">MIN(Time!W33,W29*12)-Time!W32</f>
        <v>6</v>
      </c>
      <c r="X30" s="10" t="n">
        <f aca="false">MIN(Time!X33,X29*12)-Time!X32</f>
        <v>5</v>
      </c>
      <c r="Y30" s="10" t="n">
        <f aca="false">MIN(Time!Y33,Y29*12)-Time!Y32</f>
        <v>6</v>
      </c>
      <c r="Z30" s="10" t="n">
        <f aca="false">MIN(Time!Z33,Z29*12)-Time!Z32</f>
        <v>5</v>
      </c>
      <c r="AA30" s="10" t="n">
        <f aca="false">MIN(Time!AA33,AA29*12)-Time!AA32</f>
        <v>6</v>
      </c>
      <c r="AB30" s="10" t="n">
        <f aca="false">MIN(Time!AB33,AB29*12)-Time!AB32</f>
        <v>5</v>
      </c>
      <c r="AC30" s="10" t="n">
        <f aca="false">MIN(Time!AC33,AC29*12)-Time!AC32</f>
        <v>6</v>
      </c>
      <c r="AD30" s="10" t="n">
        <f aca="false">MIN(Time!AD33,AD29*12)-Time!AD32</f>
        <v>5</v>
      </c>
      <c r="AE30" s="10" t="n">
        <f aca="false">MIN(Time!AE33,AE29*12)-Time!AE32</f>
        <v>6</v>
      </c>
      <c r="AF30" s="10" t="n">
        <f aca="false">MIN(Time!AF33,AF29*12)-Time!AF32</f>
        <v>5</v>
      </c>
      <c r="AG30" s="10" t="n">
        <f aca="false">MIN(Time!AG33,AG29*12)-Time!AG32</f>
        <v>6</v>
      </c>
      <c r="AH30" s="10" t="n">
        <f aca="false">MIN(Time!AH33,AH29*12)-Time!AH32</f>
        <v>5</v>
      </c>
      <c r="AI30" s="10" t="n">
        <f aca="false">MIN(Time!AI33,AI29*12)-Time!AI32</f>
        <v>6</v>
      </c>
      <c r="AJ30" s="10" t="n">
        <f aca="false">MIN(Time!AJ33,AJ29*12)-Time!AJ32</f>
        <v>5</v>
      </c>
      <c r="AK30" s="10" t="n">
        <f aca="false">MIN(Time!AK33,AK29*12)-Time!AK32</f>
        <v>6</v>
      </c>
      <c r="AL30" s="10" t="n">
        <f aca="false">MIN(Time!AL33,AL29*12)-Time!AL32</f>
        <v>5</v>
      </c>
      <c r="AM30" s="10" t="n">
        <f aca="false">MIN(Time!AM33,AM29*12)-Time!AM32</f>
        <v>6</v>
      </c>
      <c r="AN30" s="10" t="n">
        <f aca="false">MIN(Time!AN33,AN29*12)-Time!AN32</f>
        <v>5</v>
      </c>
      <c r="AO30" s="10" t="n">
        <f aca="false">MIN(Time!AO33,AO29*12)-Time!AO32</f>
        <v>6</v>
      </c>
      <c r="AP30" s="10" t="n">
        <f aca="false">MIN(Time!AP33,AP29*12)-Time!AP32</f>
        <v>5</v>
      </c>
      <c r="AQ30" s="10" t="n">
        <f aca="false">MIN(Time!AQ33,AQ29*12)-Time!AQ32</f>
        <v>6</v>
      </c>
      <c r="AR30" s="10" t="n">
        <f aca="false">MIN(Time!AR33,AR29*12)-Time!AR32</f>
        <v>5</v>
      </c>
      <c r="AS30" s="10" t="n">
        <f aca="false">MIN(Time!AS33,AS29*12)-Time!AS32</f>
        <v>6</v>
      </c>
      <c r="AT30" s="10" t="n">
        <f aca="false">MIN(Time!AT33,AT29*12)-Time!AT32</f>
        <v>5</v>
      </c>
      <c r="AU30" s="10" t="n">
        <f aca="false">MIN(Time!AU33,AU29*12)-Time!AU32</f>
        <v>6</v>
      </c>
      <c r="AV30" s="10" t="n">
        <f aca="false">MIN(Time!AV33,AV29*12)-Time!AV32</f>
        <v>5</v>
      </c>
      <c r="AW30" s="10" t="n">
        <f aca="false">MIN(Time!AW33,AW29*12)-Time!AW32</f>
        <v>6</v>
      </c>
      <c r="AX30" s="10" t="n">
        <f aca="false">MIN(Time!AX33,AX29*12)-Time!AX32</f>
        <v>5</v>
      </c>
      <c r="AY30" s="10" t="n">
        <f aca="false">MIN(Time!AY33,AY29*12)-Time!AY32</f>
        <v>6</v>
      </c>
      <c r="AZ30" s="10" t="n">
        <f aca="false">MIN(Time!AZ33,AZ29*12)-Time!AZ32</f>
        <v>5</v>
      </c>
      <c r="BA30" s="10" t="n">
        <f aca="false">MIN(Time!BA33,BA29*12)-Time!BA32</f>
        <v>6</v>
      </c>
      <c r="BB30" s="10" t="n">
        <f aca="false">MIN(Time!BB33,BB29*12)-Time!BB32</f>
        <v>5</v>
      </c>
      <c r="BC30" s="10" t="n">
        <f aca="false">MIN(Time!BC33,BC29*12)-Time!BC32</f>
        <v>6</v>
      </c>
      <c r="BD30" s="10" t="n">
        <f aca="false">MIN(Time!BD33,BD29*12)-Time!BD32</f>
        <v>5</v>
      </c>
      <c r="BE30" s="10" t="n">
        <f aca="false">MIN(Time!BE33,BE29*12)-Time!BE32</f>
        <v>6</v>
      </c>
      <c r="BF30" s="10" t="n">
        <f aca="false">MIN(Time!BF33,BF29*12)-Time!BF32</f>
        <v>5</v>
      </c>
      <c r="BG30" s="10" t="n">
        <f aca="false">MIN(Time!BG33,BG29*12)-Time!BG32</f>
        <v>6</v>
      </c>
      <c r="BH30" s="10" t="n">
        <f aca="false">MIN(Time!BH33,BH29*12)-Time!BH32</f>
        <v>5</v>
      </c>
      <c r="BI30" s="10" t="n">
        <f aca="false">MIN(Time!BI33,BI29*12)-Time!BI32</f>
        <v>6</v>
      </c>
      <c r="BJ30" s="10" t="n">
        <f aca="false">MIN(Time!BJ33,BJ29*12)-Time!BJ32</f>
        <v>5</v>
      </c>
      <c r="BK30" s="10" t="n">
        <f aca="false">MIN(Time!BK33,BK29*12)-Time!BK32</f>
        <v>6</v>
      </c>
      <c r="BL30" s="10" t="n">
        <f aca="false">MIN(Time!BL33,BL29*12)-Time!BL32</f>
        <v>5</v>
      </c>
      <c r="BM30" s="10" t="n">
        <f aca="false">MIN(Time!BM33,BM29*12)-Time!BM32</f>
        <v>6</v>
      </c>
      <c r="BN30" s="10" t="n">
        <f aca="false">MIN(Time!BN33,BN29*12)-Time!BN32</f>
        <v>5</v>
      </c>
    </row>
    <row r="31" customFormat="false" ht="15" hidden="false" customHeight="false" outlineLevel="0" collapsed="false">
      <c r="D31" s="0" t="s">
        <v>586</v>
      </c>
      <c r="E31" s="0" t="s">
        <v>103</v>
      </c>
      <c r="J31" s="13" t="n">
        <f aca="false">IF(Time!J30&gt;0,(J30*INDEX(Inputs!$J$302:$Q$302,1,MOD(J29-1,Inputs!$F$220)+1)+(Time!J30-J30)*INDEX(Inputs!$J$302:$Q$302,1,MOD(J29,Inputs!$F$220)+1))/Time!J30,0)</f>
        <v>0</v>
      </c>
      <c r="K31" s="13" t="n">
        <f aca="false">IF(Time!K30&gt;0,(K30*INDEX(Inputs!$J$302:$Q$302,1,MOD(K29-1,Inputs!$F$220)+1)+(Time!K30-K30)*INDEX(Inputs!$J$302:$Q$302,1,MOD(K29,Inputs!$F$220)+1))/Time!K30,0)</f>
        <v>0</v>
      </c>
      <c r="L31" s="13" t="n">
        <f aca="false">IF(Time!L30&gt;0,(L30*INDEX(Inputs!$J$302:$Q$302,1,MOD(L29-1,Inputs!$F$220)+1)+(Time!L30-L30)*INDEX(Inputs!$J$302:$Q$302,1,MOD(L29,Inputs!$F$220)+1))/Time!L30,0)</f>
        <v>0</v>
      </c>
      <c r="M31" s="13" t="n">
        <f aca="false">IF(Time!M30&gt;0,(M30*INDEX(Inputs!$J$302:$Q$302,1,MOD(M29-1,Inputs!$F$220)+1)+(Time!M30-M30)*INDEX(Inputs!$J$302:$Q$302,1,MOD(M29,Inputs!$F$220)+1))/Time!M30,0)</f>
        <v>0</v>
      </c>
      <c r="N31" s="13" t="n">
        <f aca="false">IF(Time!N30&gt;0,(N30*INDEX(Inputs!$J$302:$Q$302,1,MOD(N29-1,Inputs!$F$220)+1)+(Time!N30-N30)*INDEX(Inputs!$J$302:$Q$302,1,MOD(N29,Inputs!$F$220)+1))/Time!N30,0)</f>
        <v>0</v>
      </c>
      <c r="O31" s="13" t="n">
        <f aca="false">IF(Time!O30&gt;0,(O30*INDEX(Inputs!$J$302:$Q$302,1,MOD(O29-1,Inputs!$F$220)+1)+(Time!O30-O30)*INDEX(Inputs!$J$302:$Q$302,1,MOD(O29,Inputs!$F$220)+1))/Time!O30,0)</f>
        <v>0</v>
      </c>
      <c r="P31" s="13" t="n">
        <f aca="false">IF(Time!P30&gt;0,(P30*INDEX(Inputs!$J$302:$Q$302,1,MOD(P29-1,Inputs!$F$220)+1)+(Time!P30-P30)*INDEX(Inputs!$J$302:$Q$302,1,MOD(P29,Inputs!$F$220)+1))/Time!P30,0)</f>
        <v>93.8</v>
      </c>
      <c r="Q31" s="13" t="n">
        <f aca="false">IF(Time!Q30&gt;0,(Q30*INDEX(Inputs!$J$302:$Q$302,1,MOD(Q29-1,Inputs!$F$220)+1)+(Time!Q30-Q30)*INDEX(Inputs!$J$302:$Q$302,1,MOD(Q29,Inputs!$F$220)+1))/Time!Q30,0)</f>
        <v>93.8</v>
      </c>
      <c r="R31" s="13" t="n">
        <f aca="false">IF(Time!R30&gt;0,(R30*INDEX(Inputs!$J$302:$Q$302,1,MOD(R29-1,Inputs!$F$220)+1)+(Time!R30-R30)*INDEX(Inputs!$J$302:$Q$302,1,MOD(R29,Inputs!$F$220)+1))/Time!R30,0)</f>
        <v>93.65</v>
      </c>
      <c r="S31" s="13" t="n">
        <f aca="false">IF(Time!S30&gt;0,(S30*INDEX(Inputs!$J$302:$Q$302,1,MOD(S29-1,Inputs!$F$220)+1)+(Time!S30-S30)*INDEX(Inputs!$J$302:$Q$302,1,MOD(S29,Inputs!$F$220)+1))/Time!S30,0)</f>
        <v>92.9</v>
      </c>
      <c r="T31" s="13" t="n">
        <f aca="false">IF(Time!T30&gt;0,(T30*INDEX(Inputs!$J$302:$Q$302,1,MOD(T29-1,Inputs!$F$220)+1)+(Time!T30-T30)*INDEX(Inputs!$J$302:$Q$302,1,MOD(T29,Inputs!$F$220)+1))/Time!T30,0)</f>
        <v>93.05</v>
      </c>
      <c r="U31" s="13" t="n">
        <f aca="false">IF(Time!U30&gt;0,(U30*INDEX(Inputs!$J$302:$Q$302,1,MOD(U29-1,Inputs!$F$220)+1)+(Time!U30-U30)*INDEX(Inputs!$J$302:$Q$302,1,MOD(U29,Inputs!$F$220)+1))/Time!U30,0)</f>
        <v>93.8</v>
      </c>
      <c r="V31" s="13" t="n">
        <f aca="false">IF(Time!V30&gt;0,(V30*INDEX(Inputs!$J$302:$Q$302,1,MOD(V29-1,Inputs!$F$220)+1)+(Time!V30-V30)*INDEX(Inputs!$J$302:$Q$302,1,MOD(V29,Inputs!$F$220)+1))/Time!V30,0)</f>
        <v>93.2666666666667</v>
      </c>
      <c r="W31" s="13" t="n">
        <f aca="false">IF(Time!W30&gt;0,(W30*INDEX(Inputs!$J$302:$Q$302,1,MOD(W29-1,Inputs!$F$220)+1)+(Time!W30-W30)*INDEX(Inputs!$J$302:$Q$302,1,MOD(W29,Inputs!$F$220)+1))/Time!W30,0)</f>
        <v>90.6</v>
      </c>
      <c r="X31" s="13" t="n">
        <f aca="false">IF(Time!X30&gt;0,(X30*INDEX(Inputs!$J$302:$Q$302,1,MOD(X29-1,Inputs!$F$220)+1)+(Time!X30-X30)*INDEX(Inputs!$J$302:$Q$302,1,MOD(X29,Inputs!$F$220)+1))/Time!X30,0)</f>
        <v>91.1333333333333</v>
      </c>
      <c r="Y31" s="13" t="n">
        <f aca="false">IF(Time!Y30&gt;0,(Y30*INDEX(Inputs!$J$302:$Q$302,1,MOD(Y29-1,Inputs!$F$220)+1)+(Time!Y30-Y30)*INDEX(Inputs!$J$302:$Q$302,1,MOD(Y29,Inputs!$F$220)+1))/Time!Y30,0)</f>
        <v>93.8</v>
      </c>
      <c r="Z31" s="13" t="n">
        <f aca="false">IF(Time!Z30&gt;0,(Z30*INDEX(Inputs!$J$302:$Q$302,1,MOD(Z29-1,Inputs!$F$220)+1)+(Time!Z30-Z30)*INDEX(Inputs!$J$302:$Q$302,1,MOD(Z29,Inputs!$F$220)+1))/Time!Z30,0)</f>
        <v>93.65</v>
      </c>
      <c r="AA31" s="13" t="n">
        <f aca="false">IF(Time!AA30&gt;0,(AA30*INDEX(Inputs!$J$302:$Q$302,1,MOD(AA29-1,Inputs!$F$220)+1)+(Time!AA30-AA30)*INDEX(Inputs!$J$302:$Q$302,1,MOD(AA29,Inputs!$F$220)+1))/Time!AA30,0)</f>
        <v>92.9</v>
      </c>
      <c r="AB31" s="13" t="n">
        <f aca="false">IF(Time!AB30&gt;0,(AB30*INDEX(Inputs!$J$302:$Q$302,1,MOD(AB29-1,Inputs!$F$220)+1)+(Time!AB30-AB30)*INDEX(Inputs!$J$302:$Q$302,1,MOD(AB29,Inputs!$F$220)+1))/Time!AB30,0)</f>
        <v>93.05</v>
      </c>
      <c r="AC31" s="13" t="n">
        <f aca="false">IF(Time!AC30&gt;0,(AC30*INDEX(Inputs!$J$302:$Q$302,1,MOD(AC29-1,Inputs!$F$220)+1)+(Time!AC30-AC30)*INDEX(Inputs!$J$302:$Q$302,1,MOD(AC29,Inputs!$F$220)+1))/Time!AC30,0)</f>
        <v>93.8</v>
      </c>
      <c r="AD31" s="13" t="n">
        <f aca="false">IF(Time!AD30&gt;0,(AD30*INDEX(Inputs!$J$302:$Q$302,1,MOD(AD29-1,Inputs!$F$220)+1)+(Time!AD30-AD30)*INDEX(Inputs!$J$302:$Q$302,1,MOD(AD29,Inputs!$F$220)+1))/Time!AD30,0)</f>
        <v>92.95</v>
      </c>
      <c r="AE31" s="13" t="n">
        <f aca="false">IF(Time!AE30&gt;0,(AE30*INDEX(Inputs!$J$302:$Q$302,1,MOD(AE29-1,Inputs!$F$220)+1)+(Time!AE30-AE30)*INDEX(Inputs!$J$302:$Q$302,1,MOD(AE29,Inputs!$F$220)+1))/Time!AE30,0)</f>
        <v>88.7</v>
      </c>
      <c r="AF31" s="13" t="n">
        <f aca="false">IF(Time!AF30&gt;0,(AF30*INDEX(Inputs!$J$302:$Q$302,1,MOD(AF29-1,Inputs!$F$220)+1)+(Time!AF30-AF30)*INDEX(Inputs!$J$302:$Q$302,1,MOD(AF29,Inputs!$F$220)+1))/Time!AF30,0)</f>
        <v>89.55</v>
      </c>
      <c r="AG31" s="13" t="n">
        <f aca="false">IF(Time!AG30&gt;0,(AG30*INDEX(Inputs!$J$302:$Q$302,1,MOD(AG29-1,Inputs!$F$220)+1)+(Time!AG30-AG30)*INDEX(Inputs!$J$302:$Q$302,1,MOD(AG29,Inputs!$F$220)+1))/Time!AG30,0)</f>
        <v>93.8</v>
      </c>
      <c r="AH31" s="13" t="n">
        <f aca="false">IF(Time!AH30&gt;0,(AH30*INDEX(Inputs!$J$302:$Q$302,1,MOD(AH29-1,Inputs!$F$220)+1)+(Time!AH30-AH30)*INDEX(Inputs!$J$302:$Q$302,1,MOD(AH29,Inputs!$F$220)+1))/Time!AH30,0)</f>
        <v>93.65</v>
      </c>
      <c r="AI31" s="13" t="n">
        <f aca="false">IF(Time!AI30&gt;0,(AI30*INDEX(Inputs!$J$302:$Q$302,1,MOD(AI29-1,Inputs!$F$220)+1)+(Time!AI30-AI30)*INDEX(Inputs!$J$302:$Q$302,1,MOD(AI29,Inputs!$F$220)+1))/Time!AI30,0)</f>
        <v>92.9</v>
      </c>
      <c r="AJ31" s="13" t="n">
        <f aca="false">IF(Time!AJ30&gt;0,(AJ30*INDEX(Inputs!$J$302:$Q$302,1,MOD(AJ29-1,Inputs!$F$220)+1)+(Time!AJ30-AJ30)*INDEX(Inputs!$J$302:$Q$302,1,MOD(AJ29,Inputs!$F$220)+1))/Time!AJ30,0)</f>
        <v>93.05</v>
      </c>
      <c r="AK31" s="13" t="n">
        <f aca="false">IF(Time!AK30&gt;0,(AK30*INDEX(Inputs!$J$302:$Q$302,1,MOD(AK29-1,Inputs!$F$220)+1)+(Time!AK30-AK30)*INDEX(Inputs!$J$302:$Q$302,1,MOD(AK29,Inputs!$F$220)+1))/Time!AK30,0)</f>
        <v>93.8</v>
      </c>
      <c r="AL31" s="13" t="n">
        <f aca="false">IF(Time!AL30&gt;0,(AL30*INDEX(Inputs!$J$302:$Q$302,1,MOD(AL29-1,Inputs!$F$220)+1)+(Time!AL30-AL30)*INDEX(Inputs!$J$302:$Q$302,1,MOD(AL29,Inputs!$F$220)+1))/Time!AL30,0)</f>
        <v>93.2666666666667</v>
      </c>
      <c r="AM31" s="13" t="n">
        <f aca="false">IF(Time!AM30&gt;0,(AM30*INDEX(Inputs!$J$302:$Q$302,1,MOD(AM29-1,Inputs!$F$220)+1)+(Time!AM30-AM30)*INDEX(Inputs!$J$302:$Q$302,1,MOD(AM29,Inputs!$F$220)+1))/Time!AM30,0)</f>
        <v>90.6</v>
      </c>
      <c r="AN31" s="13" t="n">
        <f aca="false">IF(Time!AN30&gt;0,(AN30*INDEX(Inputs!$J$302:$Q$302,1,MOD(AN29-1,Inputs!$F$220)+1)+(Time!AN30-AN30)*INDEX(Inputs!$J$302:$Q$302,1,MOD(AN29,Inputs!$F$220)+1))/Time!AN30,0)</f>
        <v>91.1333333333333</v>
      </c>
      <c r="AO31" s="13" t="n">
        <f aca="false">IF(Time!AO30&gt;0,(AO30*INDEX(Inputs!$J$302:$Q$302,1,MOD(AO29-1,Inputs!$F$220)+1)+(Time!AO30-AO30)*INDEX(Inputs!$J$302:$Q$302,1,MOD(AO29,Inputs!$F$220)+1))/Time!AO30,0)</f>
        <v>93.8</v>
      </c>
      <c r="AP31" s="13" t="n">
        <f aca="false">IF(Time!AP30&gt;0,(AP30*INDEX(Inputs!$J$302:$Q$302,1,MOD(AP29-1,Inputs!$F$220)+1)+(Time!AP30-AP30)*INDEX(Inputs!$J$302:$Q$302,1,MOD(AP29,Inputs!$F$220)+1))/Time!AP30,0)</f>
        <v>93.65</v>
      </c>
      <c r="AQ31" s="13" t="n">
        <f aca="false">IF(Time!AQ30&gt;0,(AQ30*INDEX(Inputs!$J$302:$Q$302,1,MOD(AQ29-1,Inputs!$F$220)+1)+(Time!AQ30-AQ30)*INDEX(Inputs!$J$302:$Q$302,1,MOD(AQ29,Inputs!$F$220)+1))/Time!AQ30,0)</f>
        <v>92.9</v>
      </c>
      <c r="AR31" s="13" t="n">
        <f aca="false">IF(Time!AR30&gt;0,(AR30*INDEX(Inputs!$J$302:$Q$302,1,MOD(AR29-1,Inputs!$F$220)+1)+(Time!AR30-AR30)*INDEX(Inputs!$J$302:$Q$302,1,MOD(AR29,Inputs!$F$220)+1))/Time!AR30,0)</f>
        <v>93.05</v>
      </c>
      <c r="AS31" s="13" t="n">
        <f aca="false">IF(Time!AS30&gt;0,(AS30*INDEX(Inputs!$J$302:$Q$302,1,MOD(AS29-1,Inputs!$F$220)+1)+(Time!AS30-AS30)*INDEX(Inputs!$J$302:$Q$302,1,MOD(AS29,Inputs!$F$220)+1))/Time!AS30,0)</f>
        <v>93.8</v>
      </c>
      <c r="AT31" s="13" t="n">
        <f aca="false">IF(Time!AT30&gt;0,(AT30*INDEX(Inputs!$J$302:$Q$302,1,MOD(AT29-1,Inputs!$F$220)+1)+(Time!AT30-AT30)*INDEX(Inputs!$J$302:$Q$302,1,MOD(AT29,Inputs!$F$220)+1))/Time!AT30,0)</f>
        <v>92.95</v>
      </c>
      <c r="AU31" s="13" t="n">
        <f aca="false">IF(Time!AU30&gt;0,(AU30*INDEX(Inputs!$J$302:$Q$302,1,MOD(AU29-1,Inputs!$F$220)+1)+(Time!AU30-AU30)*INDEX(Inputs!$J$302:$Q$302,1,MOD(AU29,Inputs!$F$220)+1))/Time!AU30,0)</f>
        <v>88.7</v>
      </c>
      <c r="AV31" s="13" t="n">
        <f aca="false">IF(Time!AV30&gt;0,(AV30*INDEX(Inputs!$J$302:$Q$302,1,MOD(AV29-1,Inputs!$F$220)+1)+(Time!AV30-AV30)*INDEX(Inputs!$J$302:$Q$302,1,MOD(AV29,Inputs!$F$220)+1))/Time!AV30,0)</f>
        <v>89.55</v>
      </c>
      <c r="AW31" s="13" t="n">
        <f aca="false">IF(Time!AW30&gt;0,(AW30*INDEX(Inputs!$J$302:$Q$302,1,MOD(AW29-1,Inputs!$F$220)+1)+(Time!AW30-AW30)*INDEX(Inputs!$J$302:$Q$302,1,MOD(AW29,Inputs!$F$220)+1))/Time!AW30,0)</f>
        <v>93.8</v>
      </c>
      <c r="AX31" s="13" t="n">
        <f aca="false">IF(Time!AX30&gt;0,(AX30*INDEX(Inputs!$J$302:$Q$302,1,MOD(AX29-1,Inputs!$F$220)+1)+(Time!AX30-AX30)*INDEX(Inputs!$J$302:$Q$302,1,MOD(AX29,Inputs!$F$220)+1))/Time!AX30,0)</f>
        <v>93.65</v>
      </c>
      <c r="AY31" s="13" t="n">
        <f aca="false">IF(Time!AY30&gt;0,(AY30*INDEX(Inputs!$J$302:$Q$302,1,MOD(AY29-1,Inputs!$F$220)+1)+(Time!AY30-AY30)*INDEX(Inputs!$J$302:$Q$302,1,MOD(AY29,Inputs!$F$220)+1))/Time!AY30,0)</f>
        <v>92.9</v>
      </c>
      <c r="AZ31" s="13" t="n">
        <f aca="false">IF(Time!AZ30&gt;0,(AZ30*INDEX(Inputs!$J$302:$Q$302,1,MOD(AZ29-1,Inputs!$F$220)+1)+(Time!AZ30-AZ30)*INDEX(Inputs!$J$302:$Q$302,1,MOD(AZ29,Inputs!$F$220)+1))/Time!AZ30,0)</f>
        <v>93.05</v>
      </c>
      <c r="BA31" s="13" t="n">
        <f aca="false">IF(Time!BA30&gt;0,(BA30*INDEX(Inputs!$J$302:$Q$302,1,MOD(BA29-1,Inputs!$F$220)+1)+(Time!BA30-BA30)*INDEX(Inputs!$J$302:$Q$302,1,MOD(BA29,Inputs!$F$220)+1))/Time!BA30,0)</f>
        <v>93.8</v>
      </c>
      <c r="BB31" s="13" t="n">
        <f aca="false">IF(Time!BB30&gt;0,(BB30*INDEX(Inputs!$J$302:$Q$302,1,MOD(BB29-1,Inputs!$F$220)+1)+(Time!BB30-BB30)*INDEX(Inputs!$J$302:$Q$302,1,MOD(BB29,Inputs!$F$220)+1))/Time!BB30,0)</f>
        <v>93.2666666666667</v>
      </c>
      <c r="BC31" s="13" t="n">
        <f aca="false">IF(Time!BC30&gt;0,(BC30*INDEX(Inputs!$J$302:$Q$302,1,MOD(BC29-1,Inputs!$F$220)+1)+(Time!BC30-BC30)*INDEX(Inputs!$J$302:$Q$302,1,MOD(BC29,Inputs!$F$220)+1))/Time!BC30,0)</f>
        <v>90.6</v>
      </c>
      <c r="BD31" s="13" t="n">
        <f aca="false">IF(Time!BD30&gt;0,(BD30*INDEX(Inputs!$J$302:$Q$302,1,MOD(BD29-1,Inputs!$F$220)+1)+(Time!BD30-BD30)*INDEX(Inputs!$J$302:$Q$302,1,MOD(BD29,Inputs!$F$220)+1))/Time!BD30,0)</f>
        <v>91.1333333333333</v>
      </c>
      <c r="BE31" s="13" t="n">
        <f aca="false">IF(Time!BE30&gt;0,(BE30*INDEX(Inputs!$J$302:$Q$302,1,MOD(BE29-1,Inputs!$F$220)+1)+(Time!BE30-BE30)*INDEX(Inputs!$J$302:$Q$302,1,MOD(BE29,Inputs!$F$220)+1))/Time!BE30,0)</f>
        <v>93.8</v>
      </c>
      <c r="BF31" s="13" t="n">
        <f aca="false">IF(Time!BF30&gt;0,(BF30*INDEX(Inputs!$J$302:$Q$302,1,MOD(BF29-1,Inputs!$F$220)+1)+(Time!BF30-BF30)*INDEX(Inputs!$J$302:$Q$302,1,MOD(BF29,Inputs!$F$220)+1))/Time!BF30,0)</f>
        <v>93.65</v>
      </c>
      <c r="BG31" s="13" t="n">
        <f aca="false">IF(Time!BG30&gt;0,(BG30*INDEX(Inputs!$J$302:$Q$302,1,MOD(BG29-1,Inputs!$F$220)+1)+(Time!BG30-BG30)*INDEX(Inputs!$J$302:$Q$302,1,MOD(BG29,Inputs!$F$220)+1))/Time!BG30,0)</f>
        <v>92.9</v>
      </c>
      <c r="BH31" s="13" t="n">
        <f aca="false">IF(Time!BH30&gt;0,(BH30*INDEX(Inputs!$J$302:$Q$302,1,MOD(BH29-1,Inputs!$F$220)+1)+(Time!BH30-BH30)*INDEX(Inputs!$J$302:$Q$302,1,MOD(BH29,Inputs!$F$220)+1))/Time!BH30,0)</f>
        <v>93.05</v>
      </c>
      <c r="BI31" s="13" t="n">
        <f aca="false">IF(Time!BI30&gt;0,(BI30*INDEX(Inputs!$J$302:$Q$302,1,MOD(BI29-1,Inputs!$F$220)+1)+(Time!BI30-BI30)*INDEX(Inputs!$J$302:$Q$302,1,MOD(BI29,Inputs!$F$220)+1))/Time!BI30,0)</f>
        <v>93.8</v>
      </c>
      <c r="BJ31" s="13" t="n">
        <f aca="false">IF(Time!BJ30&gt;0,(BJ30*INDEX(Inputs!$J$302:$Q$302,1,MOD(BJ29-1,Inputs!$F$220)+1)+(Time!BJ30-BJ30)*INDEX(Inputs!$J$302:$Q$302,1,MOD(BJ29,Inputs!$F$220)+1))/Time!BJ30,0)</f>
        <v>92.95</v>
      </c>
      <c r="BK31" s="13" t="n">
        <f aca="false">IF(Time!BK30&gt;0,(BK30*INDEX(Inputs!$J$302:$Q$302,1,MOD(BK29-1,Inputs!$F$220)+1)+(Time!BK30-BK30)*INDEX(Inputs!$J$302:$Q$302,1,MOD(BK29,Inputs!$F$220)+1))/Time!BK30,0)</f>
        <v>88.7</v>
      </c>
      <c r="BL31" s="13" t="n">
        <f aca="false">IF(Time!BL30&gt;0,(BL30*INDEX(Inputs!$J$302:$Q$302,1,MOD(BL29-1,Inputs!$F$220)+1)+(Time!BL30-BL30)*INDEX(Inputs!$J$302:$Q$302,1,MOD(BL29,Inputs!$F$220)+1))/Time!BL30,0)</f>
        <v>89.55</v>
      </c>
      <c r="BM31" s="13" t="n">
        <f aca="false">IF(Time!BM30&gt;0,(BM30*INDEX(Inputs!$J$302:$Q$302,1,MOD(BM29-1,Inputs!$F$220)+1)+(Time!BM30-BM30)*INDEX(Inputs!$J$302:$Q$302,1,MOD(BM29,Inputs!$F$220)+1))/Time!BM30,0)</f>
        <v>93.8</v>
      </c>
      <c r="BN31" s="13" t="n">
        <f aca="false">IF(Time!BN30&gt;0,(BN30*INDEX(Inputs!$J$302:$Q$302,1,MOD(BN29-1,Inputs!$F$220)+1)+(Time!BN30-BN30)*INDEX(Inputs!$J$302:$Q$302,1,MOD(BN29,Inputs!$F$220)+1))/Time!BN30,0)</f>
        <v>93.8</v>
      </c>
    </row>
    <row r="32" customFormat="false" ht="15" hidden="false" customHeight="false" outlineLevel="0" collapsed="false">
      <c r="D32" s="0" t="s">
        <v>587</v>
      </c>
      <c r="E32" s="0" t="s">
        <v>103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0</v>
      </c>
      <c r="P32" s="13" t="n">
        <f aca="false">IF(Time!P30&gt;0,P31+Inputs!$F$37,0)</f>
        <v>93.8</v>
      </c>
      <c r="Q32" s="13" t="n">
        <f aca="false">IF(Time!Q30&gt;0,Q31+Inputs!$F$37,0)</f>
        <v>93.8</v>
      </c>
      <c r="R32" s="13" t="n">
        <f aca="false">IF(Time!R30&gt;0,R31+Inputs!$F$37,0)</f>
        <v>93.65</v>
      </c>
      <c r="S32" s="13" t="n">
        <f aca="false">IF(Time!S30&gt;0,S31+Inputs!$F$37,0)</f>
        <v>92.9</v>
      </c>
      <c r="T32" s="13" t="n">
        <f aca="false">IF(Time!T30&gt;0,T31+Inputs!$F$37,0)</f>
        <v>93.05</v>
      </c>
      <c r="U32" s="13" t="n">
        <f aca="false">IF(Time!U30&gt;0,U31+Inputs!$F$37,0)</f>
        <v>93.8</v>
      </c>
      <c r="V32" s="13" t="n">
        <f aca="false">IF(Time!V30&gt;0,V31+Inputs!$F$37,0)</f>
        <v>93.2666666666667</v>
      </c>
      <c r="W32" s="13" t="n">
        <f aca="false">IF(Time!W30&gt;0,W31+Inputs!$F$37,0)</f>
        <v>90.6</v>
      </c>
      <c r="X32" s="13" t="n">
        <f aca="false">IF(Time!X30&gt;0,X31+Inputs!$F$37,0)</f>
        <v>91.1333333333333</v>
      </c>
      <c r="Y32" s="13" t="n">
        <f aca="false">IF(Time!Y30&gt;0,Y31+Inputs!$F$37,0)</f>
        <v>93.8</v>
      </c>
      <c r="Z32" s="13" t="n">
        <f aca="false">IF(Time!Z30&gt;0,Z31+Inputs!$F$37,0)</f>
        <v>93.65</v>
      </c>
      <c r="AA32" s="13" t="n">
        <f aca="false">IF(Time!AA30&gt;0,AA31+Inputs!$F$37,0)</f>
        <v>92.9</v>
      </c>
      <c r="AB32" s="13" t="n">
        <f aca="false">IF(Time!AB30&gt;0,AB31+Inputs!$F$37,0)</f>
        <v>93.05</v>
      </c>
      <c r="AC32" s="13" t="n">
        <f aca="false">IF(Time!AC30&gt;0,AC31+Inputs!$F$37,0)</f>
        <v>93.8</v>
      </c>
      <c r="AD32" s="13" t="n">
        <f aca="false">IF(Time!AD30&gt;0,AD31+Inputs!$F$37,0)</f>
        <v>92.95</v>
      </c>
      <c r="AE32" s="13" t="n">
        <f aca="false">IF(Time!AE30&gt;0,AE31+Inputs!$F$37,0)</f>
        <v>88.7</v>
      </c>
      <c r="AF32" s="13" t="n">
        <f aca="false">IF(Time!AF30&gt;0,AF31+Inputs!$F$37,0)</f>
        <v>89.55</v>
      </c>
      <c r="AG32" s="13" t="n">
        <f aca="false">IF(Time!AG30&gt;0,AG31+Inputs!$F$37,0)</f>
        <v>93.8</v>
      </c>
      <c r="AH32" s="13" t="n">
        <f aca="false">IF(Time!AH30&gt;0,AH31+Inputs!$F$37,0)</f>
        <v>93.65</v>
      </c>
      <c r="AI32" s="13" t="n">
        <f aca="false">IF(Time!AI30&gt;0,AI31+Inputs!$F$37,0)</f>
        <v>92.9</v>
      </c>
      <c r="AJ32" s="13" t="n">
        <f aca="false">IF(Time!AJ30&gt;0,AJ31+Inputs!$F$37,0)</f>
        <v>93.05</v>
      </c>
      <c r="AK32" s="13" t="n">
        <f aca="false">IF(Time!AK30&gt;0,AK31+Inputs!$F$37,0)</f>
        <v>93.8</v>
      </c>
      <c r="AL32" s="13" t="n">
        <f aca="false">IF(Time!AL30&gt;0,AL31+Inputs!$F$37,0)</f>
        <v>93.2666666666667</v>
      </c>
      <c r="AM32" s="13" t="n">
        <f aca="false">IF(Time!AM30&gt;0,AM31+Inputs!$F$37,0)</f>
        <v>90.6</v>
      </c>
      <c r="AN32" s="13" t="n">
        <f aca="false">IF(Time!AN30&gt;0,AN31+Inputs!$F$37,0)</f>
        <v>91.1333333333333</v>
      </c>
      <c r="AO32" s="13" t="n">
        <f aca="false">IF(Time!AO30&gt;0,AO31+Inputs!$F$37,0)</f>
        <v>93.8</v>
      </c>
      <c r="AP32" s="13" t="n">
        <f aca="false">IF(Time!AP30&gt;0,AP31+Inputs!$F$37,0)</f>
        <v>93.65</v>
      </c>
      <c r="AQ32" s="13" t="n">
        <f aca="false">IF(Time!AQ30&gt;0,AQ31+Inputs!$F$37,0)</f>
        <v>92.9</v>
      </c>
      <c r="AR32" s="13" t="n">
        <f aca="false">IF(Time!AR30&gt;0,AR31+Inputs!$F$37,0)</f>
        <v>93.05</v>
      </c>
      <c r="AS32" s="13" t="n">
        <f aca="false">IF(Time!AS30&gt;0,AS31+Inputs!$F$37,0)</f>
        <v>93.8</v>
      </c>
      <c r="AT32" s="13" t="n">
        <f aca="false">IF(Time!AT30&gt;0,AT31+Inputs!$F$37,0)</f>
        <v>92.95</v>
      </c>
      <c r="AU32" s="13" t="n">
        <f aca="false">IF(Time!AU30&gt;0,AU31+Inputs!$F$37,0)</f>
        <v>88.7</v>
      </c>
      <c r="AV32" s="13" t="n">
        <f aca="false">IF(Time!AV30&gt;0,AV31+Inputs!$F$37,0)</f>
        <v>89.55</v>
      </c>
      <c r="AW32" s="13" t="n">
        <f aca="false">IF(Time!AW30&gt;0,AW31+Inputs!$F$37,0)</f>
        <v>93.8</v>
      </c>
      <c r="AX32" s="13" t="n">
        <f aca="false">IF(Time!AX30&gt;0,AX31+Inputs!$F$37,0)</f>
        <v>93.65</v>
      </c>
      <c r="AY32" s="13" t="n">
        <f aca="false">IF(Time!AY30&gt;0,AY31+Inputs!$F$37,0)</f>
        <v>92.9</v>
      </c>
      <c r="AZ32" s="13" t="n">
        <f aca="false">IF(Time!AZ30&gt;0,AZ31+Inputs!$F$37,0)</f>
        <v>93.05</v>
      </c>
      <c r="BA32" s="13" t="n">
        <f aca="false">IF(Time!BA30&gt;0,BA31+Inputs!$F$37,0)</f>
        <v>93.8</v>
      </c>
      <c r="BB32" s="13" t="n">
        <f aca="false">IF(Time!BB30&gt;0,BB31+Inputs!$F$37,0)</f>
        <v>93.2666666666667</v>
      </c>
      <c r="BC32" s="13" t="n">
        <f aca="false">IF(Time!BC30&gt;0,BC31+Inputs!$F$37,0)</f>
        <v>90.6</v>
      </c>
      <c r="BD32" s="13" t="n">
        <f aca="false">IF(Time!BD30&gt;0,BD31+Inputs!$F$37,0)</f>
        <v>91.1333333333333</v>
      </c>
      <c r="BE32" s="13" t="n">
        <f aca="false">IF(Time!BE30&gt;0,BE31+Inputs!$F$37,0)</f>
        <v>93.8</v>
      </c>
      <c r="BF32" s="13" t="n">
        <f aca="false">IF(Time!BF30&gt;0,BF31+Inputs!$F$37,0)</f>
        <v>93.65</v>
      </c>
      <c r="BG32" s="13" t="n">
        <f aca="false">IF(Time!BG30&gt;0,BG31+Inputs!$F$37,0)</f>
        <v>92.9</v>
      </c>
      <c r="BH32" s="13" t="n">
        <f aca="false">IF(Time!BH30&gt;0,BH31+Inputs!$F$37,0)</f>
        <v>93.05</v>
      </c>
      <c r="BI32" s="13" t="n">
        <f aca="false">IF(Time!BI30&gt;0,BI31+Inputs!$F$37,0)</f>
        <v>93.8</v>
      </c>
      <c r="BJ32" s="13" t="n">
        <f aca="false">IF(Time!BJ30&gt;0,BJ31+Inputs!$F$37,0)</f>
        <v>92.95</v>
      </c>
      <c r="BK32" s="13" t="n">
        <f aca="false">IF(Time!BK30&gt;0,BK31+Inputs!$F$37,0)</f>
        <v>88.7</v>
      </c>
      <c r="BL32" s="13" t="n">
        <f aca="false">IF(Time!BL30&gt;0,BL31+Inputs!$F$37,0)</f>
        <v>89.55</v>
      </c>
      <c r="BM32" s="13" t="n">
        <f aca="false">IF(Time!BM30&gt;0,BM31+Inputs!$F$37,0)</f>
        <v>93.8</v>
      </c>
      <c r="BN32" s="13" t="n">
        <f aca="false">IF(Time!BN30&gt;0,BN31+Inputs!$F$37,0)</f>
        <v>93.8</v>
      </c>
    </row>
    <row r="33" customFormat="false" ht="15" hidden="false" customHeight="false" outlineLevel="0" collapsed="false">
      <c r="D33" s="0" t="s">
        <v>588</v>
      </c>
      <c r="E33" s="0" t="s">
        <v>321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</v>
      </c>
      <c r="P33" s="13" t="n">
        <f aca="false">IF(Time!P30&gt;0,AVERAGE(Time!P32,Time!P33)/12,0)</f>
        <v>0.0416666666666667</v>
      </c>
      <c r="Q33" s="13" t="n">
        <f aca="false">IF(Time!Q30&gt;0,AVERAGE(Time!Q32,Time!Q33)/12,0)</f>
        <v>0.333333333333333</v>
      </c>
      <c r="R33" s="13" t="n">
        <f aca="false">IF(Time!R30&gt;0,AVERAGE(Time!R32,Time!R33)/12,0)</f>
        <v>0.833333333333333</v>
      </c>
      <c r="S33" s="13" t="n">
        <f aca="false">IF(Time!S30&gt;0,AVERAGE(Time!S32,Time!S33)/12,0)</f>
        <v>1.33333333333333</v>
      </c>
      <c r="T33" s="13" t="n">
        <f aca="false">IF(Time!T30&gt;0,AVERAGE(Time!T32,Time!T33)/12,0)</f>
        <v>1.83333333333333</v>
      </c>
      <c r="U33" s="13" t="n">
        <f aca="false">IF(Time!U30&gt;0,AVERAGE(Time!U32,Time!U33)/12,0)</f>
        <v>2.33333333333333</v>
      </c>
      <c r="V33" s="13" t="n">
        <f aca="false">IF(Time!V30&gt;0,AVERAGE(Time!V32,Time!V33)/12,0)</f>
        <v>2.83333333333333</v>
      </c>
      <c r="W33" s="13" t="n">
        <f aca="false">IF(Time!W30&gt;0,AVERAGE(Time!W32,Time!W33)/12,0)</f>
        <v>3.33333333333333</v>
      </c>
      <c r="X33" s="13" t="n">
        <f aca="false">IF(Time!X30&gt;0,AVERAGE(Time!X32,Time!X33)/12,0)</f>
        <v>3.83333333333333</v>
      </c>
      <c r="Y33" s="13" t="n">
        <f aca="false">IF(Time!Y30&gt;0,AVERAGE(Time!Y32,Time!Y33)/12,0)</f>
        <v>4.33333333333333</v>
      </c>
      <c r="Z33" s="13" t="n">
        <f aca="false">IF(Time!Z30&gt;0,AVERAGE(Time!Z32,Time!Z33)/12,0)</f>
        <v>4.83333333333333</v>
      </c>
      <c r="AA33" s="13" t="n">
        <f aca="false">IF(Time!AA30&gt;0,AVERAGE(Time!AA32,Time!AA33)/12,0)</f>
        <v>5.33333333333333</v>
      </c>
      <c r="AB33" s="13" t="n">
        <f aca="false">IF(Time!AB30&gt;0,AVERAGE(Time!AB32,Time!AB33)/12,0)</f>
        <v>5.83333333333333</v>
      </c>
      <c r="AC33" s="13" t="n">
        <f aca="false">IF(Time!AC30&gt;0,AVERAGE(Time!AC32,Time!AC33)/12,0)</f>
        <v>6.33333333333333</v>
      </c>
      <c r="AD33" s="13" t="n">
        <f aca="false">IF(Time!AD30&gt;0,AVERAGE(Time!AD32,Time!AD33)/12,0)</f>
        <v>6.83333333333333</v>
      </c>
      <c r="AE33" s="13" t="n">
        <f aca="false">IF(Time!AE30&gt;0,AVERAGE(Time!AE32,Time!AE33)/12,0)</f>
        <v>7.33333333333333</v>
      </c>
      <c r="AF33" s="13" t="n">
        <f aca="false">IF(Time!AF30&gt;0,AVERAGE(Time!AF32,Time!AF33)/12,0)</f>
        <v>7.83333333333333</v>
      </c>
      <c r="AG33" s="13" t="n">
        <f aca="false">IF(Time!AG30&gt;0,AVERAGE(Time!AG32,Time!AG33)/12,0)</f>
        <v>8.33333333333333</v>
      </c>
      <c r="AH33" s="13" t="n">
        <f aca="false">IF(Time!AH30&gt;0,AVERAGE(Time!AH32,Time!AH33)/12,0)</f>
        <v>8.83333333333333</v>
      </c>
      <c r="AI33" s="13" t="n">
        <f aca="false">IF(Time!AI30&gt;0,AVERAGE(Time!AI32,Time!AI33)/12,0)</f>
        <v>9.33333333333333</v>
      </c>
      <c r="AJ33" s="13" t="n">
        <f aca="false">IF(Time!AJ30&gt;0,AVERAGE(Time!AJ32,Time!AJ33)/12,0)</f>
        <v>9.83333333333333</v>
      </c>
      <c r="AK33" s="13" t="n">
        <f aca="false">IF(Time!AK30&gt;0,AVERAGE(Time!AK32,Time!AK33)/12,0)</f>
        <v>10.3333333333333</v>
      </c>
      <c r="AL33" s="13" t="n">
        <f aca="false">IF(Time!AL30&gt;0,AVERAGE(Time!AL32,Time!AL33)/12,0)</f>
        <v>10.8333333333333</v>
      </c>
      <c r="AM33" s="13" t="n">
        <f aca="false">IF(Time!AM30&gt;0,AVERAGE(Time!AM32,Time!AM33)/12,0)</f>
        <v>11.3333333333333</v>
      </c>
      <c r="AN33" s="13" t="n">
        <f aca="false">IF(Time!AN30&gt;0,AVERAGE(Time!AN32,Time!AN33)/12,0)</f>
        <v>11.8333333333333</v>
      </c>
      <c r="AO33" s="13" t="n">
        <f aca="false">IF(Time!AO30&gt;0,AVERAGE(Time!AO32,Time!AO33)/12,0)</f>
        <v>12.3333333333333</v>
      </c>
      <c r="AP33" s="13" t="n">
        <f aca="false">IF(Time!AP30&gt;0,AVERAGE(Time!AP32,Time!AP33)/12,0)</f>
        <v>12.8333333333333</v>
      </c>
      <c r="AQ33" s="13" t="n">
        <f aca="false">IF(Time!AQ30&gt;0,AVERAGE(Time!AQ32,Time!AQ33)/12,0)</f>
        <v>13.3333333333333</v>
      </c>
      <c r="AR33" s="13" t="n">
        <f aca="false">IF(Time!AR30&gt;0,AVERAGE(Time!AR32,Time!AR33)/12,0)</f>
        <v>13.8333333333333</v>
      </c>
      <c r="AS33" s="13" t="n">
        <f aca="false">IF(Time!AS30&gt;0,AVERAGE(Time!AS32,Time!AS33)/12,0)</f>
        <v>14.3333333333333</v>
      </c>
      <c r="AT33" s="13" t="n">
        <f aca="false">IF(Time!AT30&gt;0,AVERAGE(Time!AT32,Time!AT33)/12,0)</f>
        <v>14.8333333333333</v>
      </c>
      <c r="AU33" s="13" t="n">
        <f aca="false">IF(Time!AU30&gt;0,AVERAGE(Time!AU32,Time!AU33)/12,0)</f>
        <v>15.3333333333333</v>
      </c>
      <c r="AV33" s="13" t="n">
        <f aca="false">IF(Time!AV30&gt;0,AVERAGE(Time!AV32,Time!AV33)/12,0)</f>
        <v>15.8333333333333</v>
      </c>
      <c r="AW33" s="13" t="n">
        <f aca="false">IF(Time!AW30&gt;0,AVERAGE(Time!AW32,Time!AW33)/12,0)</f>
        <v>16.3333333333333</v>
      </c>
      <c r="AX33" s="13" t="n">
        <f aca="false">IF(Time!AX30&gt;0,AVERAGE(Time!AX32,Time!AX33)/12,0)</f>
        <v>16.8333333333333</v>
      </c>
      <c r="AY33" s="13" t="n">
        <f aca="false">IF(Time!AY30&gt;0,AVERAGE(Time!AY32,Time!AY33)/12,0)</f>
        <v>17.3333333333333</v>
      </c>
      <c r="AZ33" s="13" t="n">
        <f aca="false">IF(Time!AZ30&gt;0,AVERAGE(Time!AZ32,Time!AZ33)/12,0)</f>
        <v>17.8333333333333</v>
      </c>
      <c r="BA33" s="13" t="n">
        <f aca="false">IF(Time!BA30&gt;0,AVERAGE(Time!BA32,Time!BA33)/12,0)</f>
        <v>18.3333333333333</v>
      </c>
      <c r="BB33" s="13" t="n">
        <f aca="false">IF(Time!BB30&gt;0,AVERAGE(Time!BB32,Time!BB33)/12,0)</f>
        <v>18.8333333333333</v>
      </c>
      <c r="BC33" s="13" t="n">
        <f aca="false">IF(Time!BC30&gt;0,AVERAGE(Time!BC32,Time!BC33)/12,0)</f>
        <v>19.3333333333333</v>
      </c>
      <c r="BD33" s="13" t="n">
        <f aca="false">IF(Time!BD30&gt;0,AVERAGE(Time!BD32,Time!BD33)/12,0)</f>
        <v>19.8333333333333</v>
      </c>
      <c r="BE33" s="13" t="n">
        <f aca="false">IF(Time!BE30&gt;0,AVERAGE(Time!BE32,Time!BE33)/12,0)</f>
        <v>20.3333333333333</v>
      </c>
      <c r="BF33" s="13" t="n">
        <f aca="false">IF(Time!BF30&gt;0,AVERAGE(Time!BF32,Time!BF33)/12,0)</f>
        <v>20.8333333333333</v>
      </c>
      <c r="BG33" s="13" t="n">
        <f aca="false">IF(Time!BG30&gt;0,AVERAGE(Time!BG32,Time!BG33)/12,0)</f>
        <v>21.3333333333333</v>
      </c>
      <c r="BH33" s="13" t="n">
        <f aca="false">IF(Time!BH30&gt;0,AVERAGE(Time!BH32,Time!BH33)/12,0)</f>
        <v>21.8333333333333</v>
      </c>
      <c r="BI33" s="13" t="n">
        <f aca="false">IF(Time!BI30&gt;0,AVERAGE(Time!BI32,Time!BI33)/12,0)</f>
        <v>22.3333333333333</v>
      </c>
      <c r="BJ33" s="13" t="n">
        <f aca="false">IF(Time!BJ30&gt;0,AVERAGE(Time!BJ32,Time!BJ33)/12,0)</f>
        <v>22.8333333333333</v>
      </c>
      <c r="BK33" s="13" t="n">
        <f aca="false">IF(Time!BK30&gt;0,AVERAGE(Time!BK32,Time!BK33)/12,0)</f>
        <v>23.3333333333333</v>
      </c>
      <c r="BL33" s="13" t="n">
        <f aca="false">IF(Time!BL30&gt;0,AVERAGE(Time!BL32,Time!BL33)/12,0)</f>
        <v>23.8333333333333</v>
      </c>
      <c r="BM33" s="13" t="n">
        <f aca="false">IF(Time!BM30&gt;0,AVERAGE(Time!BM32,Time!BM33)/12,0)</f>
        <v>24.3333333333333</v>
      </c>
      <c r="BN33" s="13" t="n">
        <f aca="false">IF(Time!BN30&gt;0,AVERAGE(Time!BN32,Time!BN33)/12,0)</f>
        <v>24.7916666666667</v>
      </c>
    </row>
    <row r="34" customFormat="false" ht="15" hidden="false" customHeight="false" outlineLevel="0" collapsed="false">
      <c r="D34" s="0" t="s">
        <v>589</v>
      </c>
      <c r="E34" s="0" t="s">
        <v>214</v>
      </c>
      <c r="F34" s="14" t="n">
        <f aca="false">IF(Inputs!$F$34&lt;&gt;1,Inputs!$F$117,Inputs!$F$116)</f>
        <v>581.9</v>
      </c>
    </row>
    <row r="35" customFormat="false" ht="15" hidden="false" customHeight="false" outlineLevel="0" collapsed="false">
      <c r="D35" s="0" t="s">
        <v>590</v>
      </c>
      <c r="E35" s="0" t="s">
        <v>217</v>
      </c>
      <c r="F35" s="10" t="n">
        <f aca="false">IF(Inputs!$F$34&lt;&gt;1,Inputs!$F$119,Inputs!$F$118)</f>
        <v>6286</v>
      </c>
    </row>
    <row r="36" customFormat="false" ht="15" hidden="false" customHeight="false" outlineLevel="0" collapsed="false">
      <c r="D36" s="0" t="s">
        <v>591</v>
      </c>
      <c r="E36" s="0" t="s">
        <v>99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0.99</v>
      </c>
      <c r="P36" s="13" t="n">
        <f aca="false">(1-Inputs!$F$125/100*P33)*(1-Inputs!$F$126/100)</f>
        <v>0.989938125</v>
      </c>
      <c r="Q36" s="13" t="n">
        <f aca="false">(1-Inputs!$F$125/100*Q33)*(1-Inputs!$F$126/100)</f>
        <v>0.989505</v>
      </c>
      <c r="R36" s="13" t="n">
        <f aca="false">(1-Inputs!$F$125/100*R33)*(1-Inputs!$F$126/100)</f>
        <v>0.9887625</v>
      </c>
      <c r="S36" s="13" t="n">
        <f aca="false">(1-Inputs!$F$125/100*S33)*(1-Inputs!$F$126/100)</f>
        <v>0.98802</v>
      </c>
      <c r="T36" s="13" t="n">
        <f aca="false">(1-Inputs!$F$125/100*T33)*(1-Inputs!$F$126/100)</f>
        <v>0.9872775</v>
      </c>
      <c r="U36" s="13" t="n">
        <f aca="false">(1-Inputs!$F$125/100*U33)*(1-Inputs!$F$126/100)</f>
        <v>0.986535</v>
      </c>
      <c r="V36" s="13" t="n">
        <f aca="false">(1-Inputs!$F$125/100*V33)*(1-Inputs!$F$126/100)</f>
        <v>0.9857925</v>
      </c>
      <c r="W36" s="13" t="n">
        <f aca="false">(1-Inputs!$F$125/100*W33)*(1-Inputs!$F$126/100)</f>
        <v>0.98505</v>
      </c>
      <c r="X36" s="13" t="n">
        <f aca="false">(1-Inputs!$F$125/100*X33)*(1-Inputs!$F$126/100)</f>
        <v>0.9843075</v>
      </c>
      <c r="Y36" s="13" t="n">
        <f aca="false">(1-Inputs!$F$125/100*Y33)*(1-Inputs!$F$126/100)</f>
        <v>0.983565</v>
      </c>
      <c r="Z36" s="13" t="n">
        <f aca="false">(1-Inputs!$F$125/100*Z33)*(1-Inputs!$F$126/100)</f>
        <v>0.9828225</v>
      </c>
      <c r="AA36" s="13" t="n">
        <f aca="false">(1-Inputs!$F$125/100*AA33)*(1-Inputs!$F$126/100)</f>
        <v>0.98208</v>
      </c>
      <c r="AB36" s="13" t="n">
        <f aca="false">(1-Inputs!$F$125/100*AB33)*(1-Inputs!$F$126/100)</f>
        <v>0.9813375</v>
      </c>
      <c r="AC36" s="13" t="n">
        <f aca="false">(1-Inputs!$F$125/100*AC33)*(1-Inputs!$F$126/100)</f>
        <v>0.980595</v>
      </c>
      <c r="AD36" s="13" t="n">
        <f aca="false">(1-Inputs!$F$125/100*AD33)*(1-Inputs!$F$126/100)</f>
        <v>0.9798525</v>
      </c>
      <c r="AE36" s="13" t="n">
        <f aca="false">(1-Inputs!$F$125/100*AE33)*(1-Inputs!$F$126/100)</f>
        <v>0.97911</v>
      </c>
      <c r="AF36" s="13" t="n">
        <f aca="false">(1-Inputs!$F$125/100*AF33)*(1-Inputs!$F$126/100)</f>
        <v>0.9783675</v>
      </c>
      <c r="AG36" s="13" t="n">
        <f aca="false">(1-Inputs!$F$125/100*AG33)*(1-Inputs!$F$126/100)</f>
        <v>0.977625</v>
      </c>
      <c r="AH36" s="13" t="n">
        <f aca="false">(1-Inputs!$F$125/100*AH33)*(1-Inputs!$F$126/100)</f>
        <v>0.9768825</v>
      </c>
      <c r="AI36" s="13" t="n">
        <f aca="false">(1-Inputs!$F$125/100*AI33)*(1-Inputs!$F$126/100)</f>
        <v>0.97614</v>
      </c>
      <c r="AJ36" s="13" t="n">
        <f aca="false">(1-Inputs!$F$125/100*AJ33)*(1-Inputs!$F$126/100)</f>
        <v>0.9753975</v>
      </c>
      <c r="AK36" s="13" t="n">
        <f aca="false">(1-Inputs!$F$125/100*AK33)*(1-Inputs!$F$126/100)</f>
        <v>0.974655</v>
      </c>
      <c r="AL36" s="13" t="n">
        <f aca="false">(1-Inputs!$F$125/100*AL33)*(1-Inputs!$F$126/100)</f>
        <v>0.9739125</v>
      </c>
      <c r="AM36" s="13" t="n">
        <f aca="false">(1-Inputs!$F$125/100*AM33)*(1-Inputs!$F$126/100)</f>
        <v>0.97317</v>
      </c>
      <c r="AN36" s="13" t="n">
        <f aca="false">(1-Inputs!$F$125/100*AN33)*(1-Inputs!$F$126/100)</f>
        <v>0.9724275</v>
      </c>
      <c r="AO36" s="13" t="n">
        <f aca="false">(1-Inputs!$F$125/100*AO33)*(1-Inputs!$F$126/100)</f>
        <v>0.971685</v>
      </c>
      <c r="AP36" s="13" t="n">
        <f aca="false">(1-Inputs!$F$125/100*AP33)*(1-Inputs!$F$126/100)</f>
        <v>0.9709425</v>
      </c>
      <c r="AQ36" s="13" t="n">
        <f aca="false">(1-Inputs!$F$125/100*AQ33)*(1-Inputs!$F$126/100)</f>
        <v>0.9702</v>
      </c>
      <c r="AR36" s="13" t="n">
        <f aca="false">(1-Inputs!$F$125/100*AR33)*(1-Inputs!$F$126/100)</f>
        <v>0.9694575</v>
      </c>
      <c r="AS36" s="13" t="n">
        <f aca="false">(1-Inputs!$F$125/100*AS33)*(1-Inputs!$F$126/100)</f>
        <v>0.968715</v>
      </c>
      <c r="AT36" s="13" t="n">
        <f aca="false">(1-Inputs!$F$125/100*AT33)*(1-Inputs!$F$126/100)</f>
        <v>0.9679725</v>
      </c>
      <c r="AU36" s="13" t="n">
        <f aca="false">(1-Inputs!$F$125/100*AU33)*(1-Inputs!$F$126/100)</f>
        <v>0.96723</v>
      </c>
      <c r="AV36" s="13" t="n">
        <f aca="false">(1-Inputs!$F$125/100*AV33)*(1-Inputs!$F$126/100)</f>
        <v>0.9664875</v>
      </c>
      <c r="AW36" s="13" t="n">
        <f aca="false">(1-Inputs!$F$125/100*AW33)*(1-Inputs!$F$126/100)</f>
        <v>0.965745</v>
      </c>
      <c r="AX36" s="13" t="n">
        <f aca="false">(1-Inputs!$F$125/100*AX33)*(1-Inputs!$F$126/100)</f>
        <v>0.9650025</v>
      </c>
      <c r="AY36" s="13" t="n">
        <f aca="false">(1-Inputs!$F$125/100*AY33)*(1-Inputs!$F$126/100)</f>
        <v>0.96426</v>
      </c>
      <c r="AZ36" s="13" t="n">
        <f aca="false">(1-Inputs!$F$125/100*AZ33)*(1-Inputs!$F$126/100)</f>
        <v>0.9635175</v>
      </c>
      <c r="BA36" s="13" t="n">
        <f aca="false">(1-Inputs!$F$125/100*BA33)*(1-Inputs!$F$126/100)</f>
        <v>0.962775</v>
      </c>
      <c r="BB36" s="13" t="n">
        <f aca="false">(1-Inputs!$F$125/100*BB33)*(1-Inputs!$F$126/100)</f>
        <v>0.9620325</v>
      </c>
      <c r="BC36" s="13" t="n">
        <f aca="false">(1-Inputs!$F$125/100*BC33)*(1-Inputs!$F$126/100)</f>
        <v>0.96129</v>
      </c>
      <c r="BD36" s="13" t="n">
        <f aca="false">(1-Inputs!$F$125/100*BD33)*(1-Inputs!$F$126/100)</f>
        <v>0.9605475</v>
      </c>
      <c r="BE36" s="13" t="n">
        <f aca="false">(1-Inputs!$F$125/100*BE33)*(1-Inputs!$F$126/100)</f>
        <v>0.959805</v>
      </c>
      <c r="BF36" s="13" t="n">
        <f aca="false">(1-Inputs!$F$125/100*BF33)*(1-Inputs!$F$126/100)</f>
        <v>0.9590625</v>
      </c>
      <c r="BG36" s="13" t="n">
        <f aca="false">(1-Inputs!$F$125/100*BG33)*(1-Inputs!$F$126/100)</f>
        <v>0.95832</v>
      </c>
      <c r="BH36" s="13" t="n">
        <f aca="false">(1-Inputs!$F$125/100*BH33)*(1-Inputs!$F$126/100)</f>
        <v>0.9575775</v>
      </c>
      <c r="BI36" s="13" t="n">
        <f aca="false">(1-Inputs!$F$125/100*BI33)*(1-Inputs!$F$126/100)</f>
        <v>0.956835</v>
      </c>
      <c r="BJ36" s="13" t="n">
        <f aca="false">(1-Inputs!$F$125/100*BJ33)*(1-Inputs!$F$126/100)</f>
        <v>0.9560925</v>
      </c>
      <c r="BK36" s="13" t="n">
        <f aca="false">(1-Inputs!$F$125/100*BK33)*(1-Inputs!$F$126/100)</f>
        <v>0.95535</v>
      </c>
      <c r="BL36" s="13" t="n">
        <f aca="false">(1-Inputs!$F$125/100*BL33)*(1-Inputs!$F$126/100)</f>
        <v>0.9546075</v>
      </c>
      <c r="BM36" s="13" t="n">
        <f aca="false">(1-Inputs!$F$125/100*BM33)*(1-Inputs!$F$126/100)</f>
        <v>0.953865</v>
      </c>
      <c r="BN36" s="13" t="n">
        <f aca="false">(1-Inputs!$F$125/100*BN33)*(1-Inputs!$F$126/100)</f>
        <v>0.953184375</v>
      </c>
    </row>
    <row r="37" customFormat="false" ht="15" hidden="false" customHeight="false" outlineLevel="0" collapsed="false">
      <c r="D37" s="0" t="s">
        <v>129</v>
      </c>
      <c r="E37" s="0" t="s">
        <v>103</v>
      </c>
      <c r="J37" s="13" t="n">
        <f aca="false">IF(AND(Inputs!$F$55=1,Inputs!J303&gt;0),Inputs!J303,Inputs!$F$38)</f>
        <v>76.5</v>
      </c>
      <c r="K37" s="13" t="n">
        <f aca="false">IF(AND(Inputs!$F$55=1,Inputs!K303&gt;0),Inputs!K303,Inputs!$F$38)</f>
        <v>76.5</v>
      </c>
      <c r="L37" s="13" t="n">
        <f aca="false">IF(AND(Inputs!$F$55=1,Inputs!L303&gt;0),Inputs!L303,Inputs!$F$38)</f>
        <v>76.5</v>
      </c>
      <c r="M37" s="13" t="n">
        <f aca="false">IF(AND(Inputs!$F$55=1,Inputs!M303&gt;0),Inputs!M303,Inputs!$F$38)</f>
        <v>76.5</v>
      </c>
      <c r="N37" s="13" t="n">
        <f aca="false">IF(AND(Inputs!$F$55=1,Inputs!N303&gt;0),Inputs!N303,Inputs!$F$38)</f>
        <v>76.5</v>
      </c>
      <c r="O37" s="13" t="n">
        <f aca="false">IF(AND(Inputs!$F$55=1,Inputs!O303&gt;0),Inputs!O303,Inputs!$F$38)</f>
        <v>76.5</v>
      </c>
      <c r="P37" s="13" t="n">
        <f aca="false">IF(AND(Inputs!$F$55=1,Inputs!P303&gt;0),Inputs!P303,Inputs!$F$38)</f>
        <v>76.5</v>
      </c>
      <c r="Q37" s="13" t="n">
        <f aca="false">IF(AND(Inputs!$F$55=1,Inputs!Q303&gt;0),Inputs!Q303,Inputs!$F$38)</f>
        <v>84</v>
      </c>
      <c r="R37" s="13" t="n">
        <f aca="false">IF(AND(Inputs!$F$55=1,Inputs!R303&gt;0),Inputs!R303,Inputs!$F$38)</f>
        <v>81.5</v>
      </c>
      <c r="S37" s="13" t="n">
        <f aca="false">IF(AND(Inputs!$F$55=1,Inputs!S303&gt;0),Inputs!S303,Inputs!$F$38)</f>
        <v>76.5</v>
      </c>
      <c r="T37" s="13" t="n">
        <f aca="false">IF(AND(Inputs!$F$55=1,Inputs!T303&gt;0),Inputs!T303,Inputs!$F$38)</f>
        <v>76.5</v>
      </c>
      <c r="U37" s="13" t="n">
        <f aca="false">IF(AND(Inputs!$F$55=1,Inputs!U303&gt;0),Inputs!U303,Inputs!$F$38)</f>
        <v>76.5</v>
      </c>
      <c r="V37" s="13" t="n">
        <f aca="false">IF(AND(Inputs!$F$55=1,Inputs!V303&gt;0),Inputs!V303,Inputs!$F$38)</f>
        <v>76.5</v>
      </c>
      <c r="W37" s="13" t="n">
        <f aca="false">IF(AND(Inputs!$F$55=1,Inputs!W303&gt;0),Inputs!W303,Inputs!$F$38)</f>
        <v>76.5</v>
      </c>
      <c r="X37" s="13" t="n">
        <f aca="false">IF(AND(Inputs!$F$55=1,Inputs!X303&gt;0),Inputs!X303,Inputs!$F$38)</f>
        <v>76.5</v>
      </c>
      <c r="Y37" s="13" t="n">
        <f aca="false">IF(AND(Inputs!$F$55=1,Inputs!Y303&gt;0),Inputs!Y303,Inputs!$F$38)</f>
        <v>76.5</v>
      </c>
      <c r="Z37" s="13" t="n">
        <f aca="false">IF(AND(Inputs!$F$55=1,Inputs!Z303&gt;0),Inputs!Z303,Inputs!$F$38)</f>
        <v>76.5</v>
      </c>
      <c r="AA37" s="13" t="n">
        <f aca="false">IF(AND(Inputs!$F$55=1,Inputs!AA303&gt;0),Inputs!AA303,Inputs!$F$38)</f>
        <v>76.5</v>
      </c>
      <c r="AB37" s="13" t="n">
        <f aca="false">IF(AND(Inputs!$F$55=1,Inputs!AB303&gt;0),Inputs!AB303,Inputs!$F$38)</f>
        <v>76.5</v>
      </c>
      <c r="AC37" s="13" t="n">
        <f aca="false">IF(AND(Inputs!$F$55=1,Inputs!AC303&gt;0),Inputs!AC303,Inputs!$F$38)</f>
        <v>76.5</v>
      </c>
      <c r="AD37" s="13" t="n">
        <f aca="false">IF(AND(Inputs!$F$55=1,Inputs!AD303&gt;0),Inputs!AD303,Inputs!$F$38)</f>
        <v>76.5</v>
      </c>
      <c r="AE37" s="13" t="n">
        <f aca="false">IF(AND(Inputs!$F$55=1,Inputs!AE303&gt;0),Inputs!AE303,Inputs!$F$38)</f>
        <v>76.5</v>
      </c>
      <c r="AF37" s="13" t="n">
        <f aca="false">IF(AND(Inputs!$F$55=1,Inputs!AF303&gt;0),Inputs!AF303,Inputs!$F$38)</f>
        <v>76.5</v>
      </c>
      <c r="AG37" s="13" t="n">
        <f aca="false">IF(AND(Inputs!$F$55=1,Inputs!AG303&gt;0),Inputs!AG303,Inputs!$F$38)</f>
        <v>76.5</v>
      </c>
      <c r="AH37" s="13" t="n">
        <f aca="false">IF(AND(Inputs!$F$55=1,Inputs!AH303&gt;0),Inputs!AH303,Inputs!$F$38)</f>
        <v>76.5</v>
      </c>
      <c r="AI37" s="13" t="n">
        <f aca="false">IF(AND(Inputs!$F$55=1,Inputs!AI303&gt;0),Inputs!AI303,Inputs!$F$38)</f>
        <v>76.5</v>
      </c>
      <c r="AJ37" s="13" t="n">
        <f aca="false">IF(AND(Inputs!$F$55=1,Inputs!AJ303&gt;0),Inputs!AJ303,Inputs!$F$38)</f>
        <v>76.5</v>
      </c>
      <c r="AK37" s="13" t="n">
        <f aca="false">IF(AND(Inputs!$F$55=1,Inputs!AK303&gt;0),Inputs!AK303,Inputs!$F$38)</f>
        <v>76.5</v>
      </c>
      <c r="AL37" s="13" t="n">
        <f aca="false">IF(AND(Inputs!$F$55=1,Inputs!AL303&gt;0),Inputs!AL303,Inputs!$F$38)</f>
        <v>76.5</v>
      </c>
      <c r="AM37" s="13" t="n">
        <f aca="false">IF(AND(Inputs!$F$55=1,Inputs!AM303&gt;0),Inputs!AM303,Inputs!$F$38)</f>
        <v>76.5</v>
      </c>
      <c r="AN37" s="13" t="n">
        <f aca="false">IF(AND(Inputs!$F$55=1,Inputs!AN303&gt;0),Inputs!AN303,Inputs!$F$38)</f>
        <v>76.5</v>
      </c>
      <c r="AO37" s="13" t="n">
        <f aca="false">IF(AND(Inputs!$F$55=1,Inputs!AO303&gt;0),Inputs!AO303,Inputs!$F$38)</f>
        <v>76.5</v>
      </c>
      <c r="AP37" s="13" t="n">
        <f aca="false">IF(AND(Inputs!$F$55=1,Inputs!AP303&gt;0),Inputs!AP303,Inputs!$F$38)</f>
        <v>76.5</v>
      </c>
      <c r="AQ37" s="13" t="n">
        <f aca="false">IF(AND(Inputs!$F$55=1,Inputs!AQ303&gt;0),Inputs!AQ303,Inputs!$F$38)</f>
        <v>76.5</v>
      </c>
      <c r="AR37" s="13" t="n">
        <f aca="false">IF(AND(Inputs!$F$55=1,Inputs!AR303&gt;0),Inputs!AR303,Inputs!$F$38)</f>
        <v>76.5</v>
      </c>
      <c r="AS37" s="13" t="n">
        <f aca="false">IF(AND(Inputs!$F$55=1,Inputs!AS303&gt;0),Inputs!AS303,Inputs!$F$38)</f>
        <v>76.5</v>
      </c>
      <c r="AT37" s="13" t="n">
        <f aca="false">IF(AND(Inputs!$F$55=1,Inputs!AT303&gt;0),Inputs!AT303,Inputs!$F$38)</f>
        <v>76.5</v>
      </c>
      <c r="AU37" s="13" t="n">
        <f aca="false">IF(AND(Inputs!$F$55=1,Inputs!AU303&gt;0),Inputs!AU303,Inputs!$F$38)</f>
        <v>76.5</v>
      </c>
      <c r="AV37" s="13" t="n">
        <f aca="false">IF(AND(Inputs!$F$55=1,Inputs!AV303&gt;0),Inputs!AV303,Inputs!$F$38)</f>
        <v>76.5</v>
      </c>
      <c r="AW37" s="13" t="n">
        <f aca="false">IF(AND(Inputs!$F$55=1,Inputs!AW303&gt;0),Inputs!AW303,Inputs!$F$38)</f>
        <v>76.5</v>
      </c>
      <c r="AX37" s="13" t="n">
        <f aca="false">IF(AND(Inputs!$F$55=1,Inputs!AX303&gt;0),Inputs!AX303,Inputs!$F$38)</f>
        <v>76.5</v>
      </c>
      <c r="AY37" s="13" t="n">
        <f aca="false">IF(AND(Inputs!$F$55=1,Inputs!AY303&gt;0),Inputs!AY303,Inputs!$F$38)</f>
        <v>76.5</v>
      </c>
      <c r="AZ37" s="13" t="n">
        <f aca="false">IF(AND(Inputs!$F$55=1,Inputs!AZ303&gt;0),Inputs!AZ303,Inputs!$F$38)</f>
        <v>76.5</v>
      </c>
      <c r="BA37" s="13" t="n">
        <f aca="false">IF(AND(Inputs!$F$55=1,Inputs!BA303&gt;0),Inputs!BA303,Inputs!$F$38)</f>
        <v>76.5</v>
      </c>
      <c r="BB37" s="13" t="n">
        <f aca="false">IF(AND(Inputs!$F$55=1,Inputs!BB303&gt;0),Inputs!BB303,Inputs!$F$38)</f>
        <v>76.5</v>
      </c>
      <c r="BC37" s="13" t="n">
        <f aca="false">IF(AND(Inputs!$F$55=1,Inputs!BC303&gt;0),Inputs!BC303,Inputs!$F$38)</f>
        <v>76.5</v>
      </c>
      <c r="BD37" s="13" t="n">
        <f aca="false">IF(AND(Inputs!$F$55=1,Inputs!BD303&gt;0),Inputs!BD303,Inputs!$F$38)</f>
        <v>76.5</v>
      </c>
      <c r="BE37" s="13" t="n">
        <f aca="false">IF(AND(Inputs!$F$55=1,Inputs!BE303&gt;0),Inputs!BE303,Inputs!$F$38)</f>
        <v>76.5</v>
      </c>
      <c r="BF37" s="13" t="n">
        <f aca="false">IF(AND(Inputs!$F$55=1,Inputs!BF303&gt;0),Inputs!BF303,Inputs!$F$38)</f>
        <v>76.5</v>
      </c>
      <c r="BG37" s="13" t="n">
        <f aca="false">IF(AND(Inputs!$F$55=1,Inputs!BG303&gt;0),Inputs!BG303,Inputs!$F$38)</f>
        <v>76.5</v>
      </c>
      <c r="BH37" s="13" t="n">
        <f aca="false">IF(AND(Inputs!$F$55=1,Inputs!BH303&gt;0),Inputs!BH303,Inputs!$F$38)</f>
        <v>76.5</v>
      </c>
      <c r="BI37" s="13" t="n">
        <f aca="false">IF(AND(Inputs!$F$55=1,Inputs!BI303&gt;0),Inputs!BI303,Inputs!$F$38)</f>
        <v>76.5</v>
      </c>
      <c r="BJ37" s="13" t="n">
        <f aca="false">IF(AND(Inputs!$F$55=1,Inputs!BJ303&gt;0),Inputs!BJ303,Inputs!$F$38)</f>
        <v>76.5</v>
      </c>
      <c r="BK37" s="13" t="n">
        <f aca="false">IF(AND(Inputs!$F$55=1,Inputs!BK303&gt;0),Inputs!BK303,Inputs!$F$38)</f>
        <v>76.5</v>
      </c>
      <c r="BL37" s="13" t="n">
        <f aca="false">IF(AND(Inputs!$F$55=1,Inputs!BL303&gt;0),Inputs!BL303,Inputs!$F$38)</f>
        <v>76.5</v>
      </c>
      <c r="BM37" s="13" t="n">
        <f aca="false">IF(AND(Inputs!$F$55=1,Inputs!BM303&gt;0),Inputs!BM303,Inputs!$F$38)</f>
        <v>76.5</v>
      </c>
      <c r="BN37" s="13" t="n">
        <f aca="false">IF(AND(Inputs!$F$55=1,Inputs!BN303&gt;0),Inputs!BN303,Inputs!$F$38)</f>
        <v>76.5</v>
      </c>
    </row>
    <row r="38" customFormat="false" ht="15" hidden="false" customHeight="false" outlineLevel="0" collapsed="false">
      <c r="D38" s="0" t="s">
        <v>592</v>
      </c>
      <c r="E38" s="0" t="s">
        <v>593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0</v>
      </c>
      <c r="P38" s="15" t="n">
        <f aca="false">$F$34*Inputs!$F$215*Time!P30*P32/100*P37/100*P36</f>
        <v>301747.40312263</v>
      </c>
      <c r="Q38" s="15" t="n">
        <f aca="false">$F$34*Inputs!$F$215*Time!Q30*Q32/100*Q37/100*Q36</f>
        <v>1987113.09428367</v>
      </c>
      <c r="R38" s="15" t="n">
        <f aca="false">$F$34*Inputs!$F$215*Time!R30*R32/100*R37/100*R36</f>
        <v>1923445.32195087</v>
      </c>
      <c r="S38" s="15" t="n">
        <f aca="false">$F$34*Inputs!$F$215*Time!S30*S32/100*S37/100*S36</f>
        <v>1789638.65940505</v>
      </c>
      <c r="T38" s="15" t="n">
        <f aca="false">$F$34*Inputs!$F$215*Time!T30*T32/100*T37/100*T36</f>
        <v>1791181.19010013</v>
      </c>
      <c r="U38" s="15" t="n">
        <f aca="false">$F$34*Inputs!$F$215*Time!U30*U32/100*U37/100*U36</f>
        <v>1804260.4895508</v>
      </c>
      <c r="V38" s="15" t="n">
        <f aca="false">$F$34*Inputs!$F$215*Time!V30*V32/100*V37/100*V36</f>
        <v>1792651.49635368</v>
      </c>
      <c r="W38" s="15" t="n">
        <f aca="false">$F$34*Inputs!$F$215*Time!W30*W32/100*W37/100*W36</f>
        <v>1740084.64970185</v>
      </c>
      <c r="X38" s="15" t="n">
        <f aca="false">$F$34*Inputs!$F$215*Time!X30*X32/100*X37/100*X36</f>
        <v>1749008.63092106</v>
      </c>
      <c r="Y38" s="15" t="n">
        <f aca="false">$F$34*Inputs!$F$215*Time!Y30*Y32/100*Y37/100*Y36</f>
        <v>1798828.69680755</v>
      </c>
      <c r="Z38" s="15" t="n">
        <f aca="false">$F$34*Inputs!$F$215*Time!Z30*Z32/100*Z37/100*Z36</f>
        <v>1794596.32844803</v>
      </c>
      <c r="AA38" s="15" t="n">
        <f aca="false">$F$34*Inputs!$F$215*Time!AA30*AA32/100*AA37/100*AA36</f>
        <v>1778879.30874731</v>
      </c>
      <c r="AB38" s="15" t="n">
        <f aca="false">$F$34*Inputs!$F$215*Time!AB30*AB32/100*AB37/100*AB36</f>
        <v>1780404.46697092</v>
      </c>
      <c r="AC38" s="15" t="n">
        <f aca="false">$F$34*Inputs!$F$215*Time!AC30*AC32/100*AC37/100*AC36</f>
        <v>1793396.9040643</v>
      </c>
      <c r="AD38" s="15" t="n">
        <f aca="false">$F$34*Inputs!$F$215*Time!AD30*AD32/100*AD37/100*AD36</f>
        <v>1775799.79689664</v>
      </c>
      <c r="AE38" s="15" t="n">
        <f aca="false">$F$34*Inputs!$F$215*Time!AE30*AE32/100*AE37/100*AE36</f>
        <v>1693319.88680533</v>
      </c>
      <c r="AF38" s="15" t="n">
        <f aca="false">$F$34*Inputs!$F$215*Time!AF30*AF32/100*AF37/100*AF36</f>
        <v>1708250.31960383</v>
      </c>
      <c r="AG38" s="15" t="n">
        <f aca="false">$F$34*Inputs!$F$215*Time!AG30*AG32/100*AG37/100*AG36</f>
        <v>1787965.11132104</v>
      </c>
      <c r="AH38" s="15" t="n">
        <f aca="false">$F$34*Inputs!$F$215*Time!AH30*AH32/100*AH37/100*AH36</f>
        <v>1783750.11543299</v>
      </c>
      <c r="AI38" s="15" t="n">
        <f aca="false">$F$34*Inputs!$F$215*Time!AI30*AI32/100*AI37/100*AI36</f>
        <v>1768119.95808956</v>
      </c>
      <c r="AJ38" s="15" t="n">
        <f aca="false">$F$34*Inputs!$F$215*Time!AJ30*AJ32/100*AJ37/100*AJ36</f>
        <v>1769627.74384172</v>
      </c>
      <c r="AK38" s="15" t="n">
        <f aca="false">$F$34*Inputs!$F$215*Time!AK30*AK32/100*AK37/100*AK36</f>
        <v>1782533.31857779</v>
      </c>
      <c r="AL38" s="15" t="n">
        <f aca="false">$F$34*Inputs!$F$215*Time!AL30*AL32/100*AL37/100*AL36</f>
        <v>1771047.86295549</v>
      </c>
      <c r="AM38" s="15" t="n">
        <f aca="false">$F$34*Inputs!$F$215*Time!AM30*AM32/100*AM37/100*AM36</f>
        <v>1719098.70417781</v>
      </c>
      <c r="AN38" s="15" t="n">
        <f aca="false">$F$34*Inputs!$F$215*Time!AN30*AN32/100*AN37/100*AN36</f>
        <v>1727899.14782219</v>
      </c>
      <c r="AO38" s="15" t="n">
        <f aca="false">$F$34*Inputs!$F$215*Time!AO30*AO32/100*AO37/100*AO36</f>
        <v>1777101.52583454</v>
      </c>
      <c r="AP38" s="15" t="n">
        <f aca="false">$F$34*Inputs!$F$215*Time!AP30*AP32/100*AP37/100*AP36</f>
        <v>1772903.90241794</v>
      </c>
      <c r="AQ38" s="15" t="n">
        <f aca="false">$F$34*Inputs!$F$215*Time!AQ30*AQ32/100*AQ37/100*AQ36</f>
        <v>1757360.60743181</v>
      </c>
      <c r="AR38" s="15" t="n">
        <f aca="false">$F$34*Inputs!$F$215*Time!AR30*AR32/100*AR37/100*AR36</f>
        <v>1758851.02071251</v>
      </c>
      <c r="AS38" s="15" t="n">
        <f aca="false">$F$34*Inputs!$F$215*Time!AS30*AS32/100*AS37/100*AS36</f>
        <v>1771669.73309128</v>
      </c>
      <c r="AT38" s="15" t="n">
        <f aca="false">$F$34*Inputs!$F$215*Time!AT30*AT32/100*AT37/100*AT36</f>
        <v>1754269.51393351</v>
      </c>
      <c r="AU38" s="15" t="n">
        <f aca="false">$F$34*Inputs!$F$215*Time!AU30*AU32/100*AU37/100*AU36</f>
        <v>1672774.04389161</v>
      </c>
      <c r="AV38" s="15" t="n">
        <f aca="false">$F$34*Inputs!$F$215*Time!AV30*AV32/100*AV37/100*AV36</f>
        <v>1687507.58868023</v>
      </c>
      <c r="AW38" s="15" t="n">
        <f aca="false">$F$34*Inputs!$F$215*Time!AW30*AW32/100*AW37/100*AW36</f>
        <v>1766237.94034803</v>
      </c>
      <c r="AX38" s="15" t="n">
        <f aca="false">$F$34*Inputs!$F$215*Time!AX30*AX32/100*AX37/100*AX36</f>
        <v>1762057.68940289</v>
      </c>
      <c r="AY38" s="15" t="n">
        <f aca="false">$F$34*Inputs!$F$215*Time!AY30*AY32/100*AY37/100*AY36</f>
        <v>1746601.25677407</v>
      </c>
      <c r="AZ38" s="15" t="n">
        <f aca="false">$F$34*Inputs!$F$215*Time!AZ30*AZ32/100*AZ37/100*AZ36</f>
        <v>1748074.29758331</v>
      </c>
      <c r="BA38" s="15" t="n">
        <f aca="false">$F$34*Inputs!$F$215*Time!BA30*BA32/100*BA37/100*BA36</f>
        <v>1760806.14760477</v>
      </c>
      <c r="BB38" s="15" t="n">
        <f aca="false">$F$34*Inputs!$F$215*Time!BB30*BB32/100*BB37/100*BB36</f>
        <v>1749444.2295573</v>
      </c>
      <c r="BC38" s="15" t="n">
        <f aca="false">$F$34*Inputs!$F$215*Time!BC30*BC32/100*BC37/100*BC36</f>
        <v>1698112.75865376</v>
      </c>
      <c r="BD38" s="15" t="n">
        <f aca="false">$F$34*Inputs!$F$215*Time!BD30*BD32/100*BD37/100*BD36</f>
        <v>1706789.66472332</v>
      </c>
      <c r="BE38" s="15" t="n">
        <f aca="false">$F$34*Inputs!$F$215*Time!BE30*BE32/100*BE37/100*BE36</f>
        <v>1755374.35486152</v>
      </c>
      <c r="BF38" s="15" t="n">
        <f aca="false">$F$34*Inputs!$F$215*Time!BF30*BF32/100*BF37/100*BF36</f>
        <v>1751211.47638785</v>
      </c>
      <c r="BG38" s="15" t="n">
        <f aca="false">$F$34*Inputs!$F$215*Time!BG30*BG32/100*BG37/100*BG36</f>
        <v>1735841.90611632</v>
      </c>
      <c r="BH38" s="15" t="n">
        <f aca="false">$F$34*Inputs!$F$215*Time!BH30*BH32/100*BH37/100*BH36</f>
        <v>1737297.5744541</v>
      </c>
      <c r="BI38" s="15" t="n">
        <f aca="false">$F$34*Inputs!$F$215*Time!BI30*BI32/100*BI37/100*BI36</f>
        <v>1749942.56211827</v>
      </c>
      <c r="BJ38" s="15" t="n">
        <f aca="false">$F$34*Inputs!$F$215*Time!BJ30*BJ32/100*BJ37/100*BJ36</f>
        <v>1732739.23097038</v>
      </c>
      <c r="BK38" s="15" t="n">
        <f aca="false">$F$34*Inputs!$F$215*Time!BK30*BK32/100*BK37/100*BK36</f>
        <v>1652228.2009779</v>
      </c>
      <c r="BL38" s="15" t="n">
        <f aca="false">$F$34*Inputs!$F$215*Time!BL30*BL32/100*BL37/100*BL36</f>
        <v>1666764.85775663</v>
      </c>
      <c r="BM38" s="15" t="n">
        <f aca="false">$F$34*Inputs!$F$215*Time!BM30*BM32/100*BM37/100*BM36</f>
        <v>1744510.76937501</v>
      </c>
      <c r="BN38" s="15" t="n">
        <f aca="false">$F$34*Inputs!$F$215*Time!BN30*BN32/100*BN37/100*BN36</f>
        <v>1452721.65294835</v>
      </c>
    </row>
    <row r="39" customFormat="false" ht="15" hidden="false" customHeight="false" outlineLevel="0" collapsed="false">
      <c r="D39" s="0" t="s">
        <v>594</v>
      </c>
      <c r="E39" s="0" t="s">
        <v>217</v>
      </c>
      <c r="J39" s="13" t="n">
        <f aca="false">$F$35*(1+Inputs!$F$127/100*J33)*(1+Inputs!$F$128/100)*(1+Inputs!$F$122/100)*Inputs!$F$39</f>
        <v>6482.022624</v>
      </c>
      <c r="K39" s="13" t="n">
        <f aca="false">$F$35*(1+Inputs!$F$127/100*K33)*(1+Inputs!$F$128/100)*(1+Inputs!$F$122/100)*Inputs!$F$39</f>
        <v>6482.022624</v>
      </c>
      <c r="L39" s="13" t="n">
        <f aca="false">$F$35*(1+Inputs!$F$127/100*L33)*(1+Inputs!$F$128/100)*(1+Inputs!$F$122/100)*Inputs!$F$39</f>
        <v>6482.022624</v>
      </c>
      <c r="M39" s="13" t="n">
        <f aca="false">$F$35*(1+Inputs!$F$127/100*M33)*(1+Inputs!$F$128/100)*(1+Inputs!$F$122/100)*Inputs!$F$39</f>
        <v>6482.022624</v>
      </c>
      <c r="N39" s="13" t="n">
        <f aca="false">$F$35*(1+Inputs!$F$127/100*N33)*(1+Inputs!$F$128/100)*(1+Inputs!$F$122/100)*Inputs!$F$39</f>
        <v>6482.022624</v>
      </c>
      <c r="O39" s="13" t="n">
        <f aca="false">$F$35*(1+Inputs!$F$127/100*O33)*(1+Inputs!$F$128/100)*(1+Inputs!$F$122/100)*Inputs!$F$39</f>
        <v>6482.022624</v>
      </c>
      <c r="P39" s="13" t="n">
        <f aca="false">$F$35*(1+Inputs!$F$127/100*P33)*(1+Inputs!$F$128/100)*(1+Inputs!$F$122/100)*Inputs!$F$39</f>
        <v>6482.3467251312</v>
      </c>
      <c r="Q39" s="13" t="n">
        <f aca="false">$F$35*(1+Inputs!$F$127/100*Q33)*(1+Inputs!$F$128/100)*(1+Inputs!$F$122/100)*Inputs!$F$39</f>
        <v>6484.6154330496</v>
      </c>
      <c r="R39" s="13" t="n">
        <f aca="false">$F$35*(1+Inputs!$F$127/100*R33)*(1+Inputs!$F$128/100)*(1+Inputs!$F$122/100)*Inputs!$F$39</f>
        <v>6488.504646624</v>
      </c>
      <c r="S39" s="13" t="n">
        <f aca="false">$F$35*(1+Inputs!$F$127/100*S33)*(1+Inputs!$F$128/100)*(1+Inputs!$F$122/100)*Inputs!$F$39</f>
        <v>6492.3938601984</v>
      </c>
      <c r="T39" s="13" t="n">
        <f aca="false">$F$35*(1+Inputs!$F$127/100*T33)*(1+Inputs!$F$128/100)*(1+Inputs!$F$122/100)*Inputs!$F$39</f>
        <v>6496.2830737728</v>
      </c>
      <c r="U39" s="13" t="n">
        <f aca="false">$F$35*(1+Inputs!$F$127/100*U33)*(1+Inputs!$F$128/100)*(1+Inputs!$F$122/100)*Inputs!$F$39</f>
        <v>6500.1722873472</v>
      </c>
      <c r="V39" s="13" t="n">
        <f aca="false">$F$35*(1+Inputs!$F$127/100*V33)*(1+Inputs!$F$128/100)*(1+Inputs!$F$122/100)*Inputs!$F$39</f>
        <v>6504.0615009216</v>
      </c>
      <c r="W39" s="13" t="n">
        <f aca="false">$F$35*(1+Inputs!$F$127/100*W33)*(1+Inputs!$F$128/100)*(1+Inputs!$F$122/100)*Inputs!$F$39</f>
        <v>6507.950714496</v>
      </c>
      <c r="X39" s="13" t="n">
        <f aca="false">$F$35*(1+Inputs!$F$127/100*X33)*(1+Inputs!$F$128/100)*(1+Inputs!$F$122/100)*Inputs!$F$39</f>
        <v>6511.8399280704</v>
      </c>
      <c r="Y39" s="13" t="n">
        <f aca="false">$F$35*(1+Inputs!$F$127/100*Y33)*(1+Inputs!$F$128/100)*(1+Inputs!$F$122/100)*Inputs!$F$39</f>
        <v>6515.7291416448</v>
      </c>
      <c r="Z39" s="13" t="n">
        <f aca="false">$F$35*(1+Inputs!$F$127/100*Z33)*(1+Inputs!$F$128/100)*(1+Inputs!$F$122/100)*Inputs!$F$39</f>
        <v>6519.6183552192</v>
      </c>
      <c r="AA39" s="13" t="n">
        <f aca="false">$F$35*(1+Inputs!$F$127/100*AA33)*(1+Inputs!$F$128/100)*(1+Inputs!$F$122/100)*Inputs!$F$39</f>
        <v>6523.5075687936</v>
      </c>
      <c r="AB39" s="13" t="n">
        <f aca="false">$F$35*(1+Inputs!$F$127/100*AB33)*(1+Inputs!$F$128/100)*(1+Inputs!$F$122/100)*Inputs!$F$39</f>
        <v>6527.396782368</v>
      </c>
      <c r="AC39" s="13" t="n">
        <f aca="false">$F$35*(1+Inputs!$F$127/100*AC33)*(1+Inputs!$F$128/100)*(1+Inputs!$F$122/100)*Inputs!$F$39</f>
        <v>6531.2859959424</v>
      </c>
      <c r="AD39" s="13" t="n">
        <f aca="false">$F$35*(1+Inputs!$F$127/100*AD33)*(1+Inputs!$F$128/100)*(1+Inputs!$F$122/100)*Inputs!$F$39</f>
        <v>6535.1752095168</v>
      </c>
      <c r="AE39" s="13" t="n">
        <f aca="false">$F$35*(1+Inputs!$F$127/100*AE33)*(1+Inputs!$F$128/100)*(1+Inputs!$F$122/100)*Inputs!$F$39</f>
        <v>6539.0644230912</v>
      </c>
      <c r="AF39" s="13" t="n">
        <f aca="false">$F$35*(1+Inputs!$F$127/100*AF33)*(1+Inputs!$F$128/100)*(1+Inputs!$F$122/100)*Inputs!$F$39</f>
        <v>6542.9536366656</v>
      </c>
      <c r="AG39" s="13" t="n">
        <f aca="false">$F$35*(1+Inputs!$F$127/100*AG33)*(1+Inputs!$F$128/100)*(1+Inputs!$F$122/100)*Inputs!$F$39</f>
        <v>6546.84285024</v>
      </c>
      <c r="AH39" s="13" t="n">
        <f aca="false">$F$35*(1+Inputs!$F$127/100*AH33)*(1+Inputs!$F$128/100)*(1+Inputs!$F$122/100)*Inputs!$F$39</f>
        <v>6550.7320638144</v>
      </c>
      <c r="AI39" s="13" t="n">
        <f aca="false">$F$35*(1+Inputs!$F$127/100*AI33)*(1+Inputs!$F$128/100)*(1+Inputs!$F$122/100)*Inputs!$F$39</f>
        <v>6554.6212773888</v>
      </c>
      <c r="AJ39" s="13" t="n">
        <f aca="false">$F$35*(1+Inputs!$F$127/100*AJ33)*(1+Inputs!$F$128/100)*(1+Inputs!$F$122/100)*Inputs!$F$39</f>
        <v>6558.5104909632</v>
      </c>
      <c r="AK39" s="13" t="n">
        <f aca="false">$F$35*(1+Inputs!$F$127/100*AK33)*(1+Inputs!$F$128/100)*(1+Inputs!$F$122/100)*Inputs!$F$39</f>
        <v>6562.3997045376</v>
      </c>
      <c r="AL39" s="13" t="n">
        <f aca="false">$F$35*(1+Inputs!$F$127/100*AL33)*(1+Inputs!$F$128/100)*(1+Inputs!$F$122/100)*Inputs!$F$39</f>
        <v>6566.288918112</v>
      </c>
      <c r="AM39" s="13" t="n">
        <f aca="false">$F$35*(1+Inputs!$F$127/100*AM33)*(1+Inputs!$F$128/100)*(1+Inputs!$F$122/100)*Inputs!$F$39</f>
        <v>6570.1781316864</v>
      </c>
      <c r="AN39" s="13" t="n">
        <f aca="false">$F$35*(1+Inputs!$F$127/100*AN33)*(1+Inputs!$F$128/100)*(1+Inputs!$F$122/100)*Inputs!$F$39</f>
        <v>6574.0673452608</v>
      </c>
      <c r="AO39" s="13" t="n">
        <f aca="false">$F$35*(1+Inputs!$F$127/100*AO33)*(1+Inputs!$F$128/100)*(1+Inputs!$F$122/100)*Inputs!$F$39</f>
        <v>6577.9565588352</v>
      </c>
      <c r="AP39" s="13" t="n">
        <f aca="false">$F$35*(1+Inputs!$F$127/100*AP33)*(1+Inputs!$F$128/100)*(1+Inputs!$F$122/100)*Inputs!$F$39</f>
        <v>6581.8457724096</v>
      </c>
      <c r="AQ39" s="13" t="n">
        <f aca="false">$F$35*(1+Inputs!$F$127/100*AQ33)*(1+Inputs!$F$128/100)*(1+Inputs!$F$122/100)*Inputs!$F$39</f>
        <v>6585.734985984</v>
      </c>
      <c r="AR39" s="13" t="n">
        <f aca="false">$F$35*(1+Inputs!$F$127/100*AR33)*(1+Inputs!$F$128/100)*(1+Inputs!$F$122/100)*Inputs!$F$39</f>
        <v>6589.6241995584</v>
      </c>
      <c r="AS39" s="13" t="n">
        <f aca="false">$F$35*(1+Inputs!$F$127/100*AS33)*(1+Inputs!$F$128/100)*(1+Inputs!$F$122/100)*Inputs!$F$39</f>
        <v>6593.5134131328</v>
      </c>
      <c r="AT39" s="13" t="n">
        <f aca="false">$F$35*(1+Inputs!$F$127/100*AT33)*(1+Inputs!$F$128/100)*(1+Inputs!$F$122/100)*Inputs!$F$39</f>
        <v>6597.4026267072</v>
      </c>
      <c r="AU39" s="13" t="n">
        <f aca="false">$F$35*(1+Inputs!$F$127/100*AU33)*(1+Inputs!$F$128/100)*(1+Inputs!$F$122/100)*Inputs!$F$39</f>
        <v>6601.2918402816</v>
      </c>
      <c r="AV39" s="13" t="n">
        <f aca="false">$F$35*(1+Inputs!$F$127/100*AV33)*(1+Inputs!$F$128/100)*(1+Inputs!$F$122/100)*Inputs!$F$39</f>
        <v>6605.181053856</v>
      </c>
      <c r="AW39" s="13" t="n">
        <f aca="false">$F$35*(1+Inputs!$F$127/100*AW33)*(1+Inputs!$F$128/100)*(1+Inputs!$F$122/100)*Inputs!$F$39</f>
        <v>6609.0702674304</v>
      </c>
      <c r="AX39" s="13" t="n">
        <f aca="false">$F$35*(1+Inputs!$F$127/100*AX33)*(1+Inputs!$F$128/100)*(1+Inputs!$F$122/100)*Inputs!$F$39</f>
        <v>6612.9594810048</v>
      </c>
      <c r="AY39" s="13" t="n">
        <f aca="false">$F$35*(1+Inputs!$F$127/100*AY33)*(1+Inputs!$F$128/100)*(1+Inputs!$F$122/100)*Inputs!$F$39</f>
        <v>6616.8486945792</v>
      </c>
      <c r="AZ39" s="13" t="n">
        <f aca="false">$F$35*(1+Inputs!$F$127/100*AZ33)*(1+Inputs!$F$128/100)*(1+Inputs!$F$122/100)*Inputs!$F$39</f>
        <v>6620.7379081536</v>
      </c>
      <c r="BA39" s="13" t="n">
        <f aca="false">$F$35*(1+Inputs!$F$127/100*BA33)*(1+Inputs!$F$128/100)*(1+Inputs!$F$122/100)*Inputs!$F$39</f>
        <v>6624.627121728</v>
      </c>
      <c r="BB39" s="13" t="n">
        <f aca="false">$F$35*(1+Inputs!$F$127/100*BB33)*(1+Inputs!$F$128/100)*(1+Inputs!$F$122/100)*Inputs!$F$39</f>
        <v>6628.5163353024</v>
      </c>
      <c r="BC39" s="13" t="n">
        <f aca="false">$F$35*(1+Inputs!$F$127/100*BC33)*(1+Inputs!$F$128/100)*(1+Inputs!$F$122/100)*Inputs!$F$39</f>
        <v>6632.4055488768</v>
      </c>
      <c r="BD39" s="13" t="n">
        <f aca="false">$F$35*(1+Inputs!$F$127/100*BD33)*(1+Inputs!$F$128/100)*(1+Inputs!$F$122/100)*Inputs!$F$39</f>
        <v>6636.2947624512</v>
      </c>
      <c r="BE39" s="13" t="n">
        <f aca="false">$F$35*(1+Inputs!$F$127/100*BE33)*(1+Inputs!$F$128/100)*(1+Inputs!$F$122/100)*Inputs!$F$39</f>
        <v>6640.1839760256</v>
      </c>
      <c r="BF39" s="13" t="n">
        <f aca="false">$F$35*(1+Inputs!$F$127/100*BF33)*(1+Inputs!$F$128/100)*(1+Inputs!$F$122/100)*Inputs!$F$39</f>
        <v>6644.0731896</v>
      </c>
      <c r="BG39" s="13" t="n">
        <f aca="false">$F$35*(1+Inputs!$F$127/100*BG33)*(1+Inputs!$F$128/100)*(1+Inputs!$F$122/100)*Inputs!$F$39</f>
        <v>6647.9624031744</v>
      </c>
      <c r="BH39" s="13" t="n">
        <f aca="false">$F$35*(1+Inputs!$F$127/100*BH33)*(1+Inputs!$F$128/100)*(1+Inputs!$F$122/100)*Inputs!$F$39</f>
        <v>6651.8516167488</v>
      </c>
      <c r="BI39" s="13" t="n">
        <f aca="false">$F$35*(1+Inputs!$F$127/100*BI33)*(1+Inputs!$F$128/100)*(1+Inputs!$F$122/100)*Inputs!$F$39</f>
        <v>6655.7408303232</v>
      </c>
      <c r="BJ39" s="13" t="n">
        <f aca="false">$F$35*(1+Inputs!$F$127/100*BJ33)*(1+Inputs!$F$128/100)*(1+Inputs!$F$122/100)*Inputs!$F$39</f>
        <v>6659.6300438976</v>
      </c>
      <c r="BK39" s="13" t="n">
        <f aca="false">$F$35*(1+Inputs!$F$127/100*BK33)*(1+Inputs!$F$128/100)*(1+Inputs!$F$122/100)*Inputs!$F$39</f>
        <v>6663.519257472</v>
      </c>
      <c r="BL39" s="13" t="n">
        <f aca="false">$F$35*(1+Inputs!$F$127/100*BL33)*(1+Inputs!$F$128/100)*(1+Inputs!$F$122/100)*Inputs!$F$39</f>
        <v>6667.4084710464</v>
      </c>
      <c r="BM39" s="13" t="n">
        <f aca="false">$F$35*(1+Inputs!$F$127/100*BM33)*(1+Inputs!$F$128/100)*(1+Inputs!$F$122/100)*Inputs!$F$39</f>
        <v>6671.2976846208</v>
      </c>
      <c r="BN39" s="13" t="n">
        <f aca="false">$F$35*(1+Inputs!$F$127/100*BN33)*(1+Inputs!$F$128/100)*(1+Inputs!$F$122/100)*Inputs!$F$39</f>
        <v>6674.862797064</v>
      </c>
    </row>
    <row r="40" customFormat="false" ht="15" hidden="false" customHeight="false" outlineLevel="0" collapsed="false">
      <c r="D40" s="0" t="s">
        <v>595</v>
      </c>
      <c r="E40" s="0" t="s">
        <v>217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6468.429</v>
      </c>
      <c r="P40" s="13" t="n">
        <f aca="false">Inputs!$F$120*(1+Inputs!$F$121/100*P33)*(1+Inputs!$F$122/100)</f>
        <v>6468.698517875</v>
      </c>
      <c r="Q40" s="13" t="n">
        <f aca="false">Inputs!$F$120*(1+Inputs!$F$121/100*Q33)*(1+Inputs!$F$122/100)</f>
        <v>6470.585143</v>
      </c>
      <c r="R40" s="13" t="n">
        <f aca="false">Inputs!$F$120*(1+Inputs!$F$121/100*R33)*(1+Inputs!$F$122/100)</f>
        <v>6473.8193575</v>
      </c>
      <c r="S40" s="13" t="n">
        <f aca="false">Inputs!$F$120*(1+Inputs!$F$121/100*S33)*(1+Inputs!$F$122/100)</f>
        <v>6477.053572</v>
      </c>
      <c r="T40" s="13" t="n">
        <f aca="false">Inputs!$F$120*(1+Inputs!$F$121/100*T33)*(1+Inputs!$F$122/100)</f>
        <v>6480.2877865</v>
      </c>
      <c r="U40" s="13" t="n">
        <f aca="false">Inputs!$F$120*(1+Inputs!$F$121/100*U33)*(1+Inputs!$F$122/100)</f>
        <v>6483.522001</v>
      </c>
      <c r="V40" s="13" t="n">
        <f aca="false">Inputs!$F$120*(1+Inputs!$F$121/100*V33)*(1+Inputs!$F$122/100)</f>
        <v>6486.7562155</v>
      </c>
      <c r="W40" s="13" t="n">
        <f aca="false">Inputs!$F$120*(1+Inputs!$F$121/100*W33)*(1+Inputs!$F$122/100)</f>
        <v>6489.99043</v>
      </c>
      <c r="X40" s="13" t="n">
        <f aca="false">Inputs!$F$120*(1+Inputs!$F$121/100*X33)*(1+Inputs!$F$122/100)</f>
        <v>6493.2246445</v>
      </c>
      <c r="Y40" s="13" t="n">
        <f aca="false">Inputs!$F$120*(1+Inputs!$F$121/100*Y33)*(1+Inputs!$F$122/100)</f>
        <v>6496.458859</v>
      </c>
      <c r="Z40" s="13" t="n">
        <f aca="false">Inputs!$F$120*(1+Inputs!$F$121/100*Z33)*(1+Inputs!$F$122/100)</f>
        <v>6499.6930735</v>
      </c>
      <c r="AA40" s="13" t="n">
        <f aca="false">Inputs!$F$120*(1+Inputs!$F$121/100*AA33)*(1+Inputs!$F$122/100)</f>
        <v>6502.927288</v>
      </c>
      <c r="AB40" s="13" t="n">
        <f aca="false">Inputs!$F$120*(1+Inputs!$F$121/100*AB33)*(1+Inputs!$F$122/100)</f>
        <v>6506.1615025</v>
      </c>
      <c r="AC40" s="13" t="n">
        <f aca="false">Inputs!$F$120*(1+Inputs!$F$121/100*AC33)*(1+Inputs!$F$122/100)</f>
        <v>6509.395717</v>
      </c>
      <c r="AD40" s="13" t="n">
        <f aca="false">Inputs!$F$120*(1+Inputs!$F$121/100*AD33)*(1+Inputs!$F$122/100)</f>
        <v>6512.6299315</v>
      </c>
      <c r="AE40" s="13" t="n">
        <f aca="false">Inputs!$F$120*(1+Inputs!$F$121/100*AE33)*(1+Inputs!$F$122/100)</f>
        <v>6515.864146</v>
      </c>
      <c r="AF40" s="13" t="n">
        <f aca="false">Inputs!$F$120*(1+Inputs!$F$121/100*AF33)*(1+Inputs!$F$122/100)</f>
        <v>6519.0983605</v>
      </c>
      <c r="AG40" s="13" t="n">
        <f aca="false">Inputs!$F$120*(1+Inputs!$F$121/100*AG33)*(1+Inputs!$F$122/100)</f>
        <v>6522.332575</v>
      </c>
      <c r="AH40" s="13" t="n">
        <f aca="false">Inputs!$F$120*(1+Inputs!$F$121/100*AH33)*(1+Inputs!$F$122/100)</f>
        <v>6525.5667895</v>
      </c>
      <c r="AI40" s="13" t="n">
        <f aca="false">Inputs!$F$120*(1+Inputs!$F$121/100*AI33)*(1+Inputs!$F$122/100)</f>
        <v>6528.801004</v>
      </c>
      <c r="AJ40" s="13" t="n">
        <f aca="false">Inputs!$F$120*(1+Inputs!$F$121/100*AJ33)*(1+Inputs!$F$122/100)</f>
        <v>6532.0352185</v>
      </c>
      <c r="AK40" s="13" t="n">
        <f aca="false">Inputs!$F$120*(1+Inputs!$F$121/100*AK33)*(1+Inputs!$F$122/100)</f>
        <v>6535.269433</v>
      </c>
      <c r="AL40" s="13" t="n">
        <f aca="false">Inputs!$F$120*(1+Inputs!$F$121/100*AL33)*(1+Inputs!$F$122/100)</f>
        <v>6538.5036475</v>
      </c>
      <c r="AM40" s="13" t="n">
        <f aca="false">Inputs!$F$120*(1+Inputs!$F$121/100*AM33)*(1+Inputs!$F$122/100)</f>
        <v>6541.737862</v>
      </c>
      <c r="AN40" s="13" t="n">
        <f aca="false">Inputs!$F$120*(1+Inputs!$F$121/100*AN33)*(1+Inputs!$F$122/100)</f>
        <v>6544.9720765</v>
      </c>
      <c r="AO40" s="13" t="n">
        <f aca="false">Inputs!$F$120*(1+Inputs!$F$121/100*AO33)*(1+Inputs!$F$122/100)</f>
        <v>6548.206291</v>
      </c>
      <c r="AP40" s="13" t="n">
        <f aca="false">Inputs!$F$120*(1+Inputs!$F$121/100*AP33)*(1+Inputs!$F$122/100)</f>
        <v>6551.4405055</v>
      </c>
      <c r="AQ40" s="13" t="n">
        <f aca="false">Inputs!$F$120*(1+Inputs!$F$121/100*AQ33)*(1+Inputs!$F$122/100)</f>
        <v>6554.67472</v>
      </c>
      <c r="AR40" s="13" t="n">
        <f aca="false">Inputs!$F$120*(1+Inputs!$F$121/100*AR33)*(1+Inputs!$F$122/100)</f>
        <v>6557.9089345</v>
      </c>
      <c r="AS40" s="13" t="n">
        <f aca="false">Inputs!$F$120*(1+Inputs!$F$121/100*AS33)*(1+Inputs!$F$122/100)</f>
        <v>6561.143149</v>
      </c>
      <c r="AT40" s="13" t="n">
        <f aca="false">Inputs!$F$120*(1+Inputs!$F$121/100*AT33)*(1+Inputs!$F$122/100)</f>
        <v>6564.3773635</v>
      </c>
      <c r="AU40" s="13" t="n">
        <f aca="false">Inputs!$F$120*(1+Inputs!$F$121/100*AU33)*(1+Inputs!$F$122/100)</f>
        <v>6567.611578</v>
      </c>
      <c r="AV40" s="13" t="n">
        <f aca="false">Inputs!$F$120*(1+Inputs!$F$121/100*AV33)*(1+Inputs!$F$122/100)</f>
        <v>6570.8457925</v>
      </c>
      <c r="AW40" s="13" t="n">
        <f aca="false">Inputs!$F$120*(1+Inputs!$F$121/100*AW33)*(1+Inputs!$F$122/100)</f>
        <v>6574.080007</v>
      </c>
      <c r="AX40" s="13" t="n">
        <f aca="false">Inputs!$F$120*(1+Inputs!$F$121/100*AX33)*(1+Inputs!$F$122/100)</f>
        <v>6577.3142215</v>
      </c>
      <c r="AY40" s="13" t="n">
        <f aca="false">Inputs!$F$120*(1+Inputs!$F$121/100*AY33)*(1+Inputs!$F$122/100)</f>
        <v>6580.548436</v>
      </c>
      <c r="AZ40" s="13" t="n">
        <f aca="false">Inputs!$F$120*(1+Inputs!$F$121/100*AZ33)*(1+Inputs!$F$122/100)</f>
        <v>6583.7826505</v>
      </c>
      <c r="BA40" s="13" t="n">
        <f aca="false">Inputs!$F$120*(1+Inputs!$F$121/100*BA33)*(1+Inputs!$F$122/100)</f>
        <v>6587.016865</v>
      </c>
      <c r="BB40" s="13" t="n">
        <f aca="false">Inputs!$F$120*(1+Inputs!$F$121/100*BB33)*(1+Inputs!$F$122/100)</f>
        <v>6590.2510795</v>
      </c>
      <c r="BC40" s="13" t="n">
        <f aca="false">Inputs!$F$120*(1+Inputs!$F$121/100*BC33)*(1+Inputs!$F$122/100)</f>
        <v>6593.485294</v>
      </c>
      <c r="BD40" s="13" t="n">
        <f aca="false">Inputs!$F$120*(1+Inputs!$F$121/100*BD33)*(1+Inputs!$F$122/100)</f>
        <v>6596.7195085</v>
      </c>
      <c r="BE40" s="13" t="n">
        <f aca="false">Inputs!$F$120*(1+Inputs!$F$121/100*BE33)*(1+Inputs!$F$122/100)</f>
        <v>6599.953723</v>
      </c>
      <c r="BF40" s="13" t="n">
        <f aca="false">Inputs!$F$120*(1+Inputs!$F$121/100*BF33)*(1+Inputs!$F$122/100)</f>
        <v>6603.1879375</v>
      </c>
      <c r="BG40" s="13" t="n">
        <f aca="false">Inputs!$F$120*(1+Inputs!$F$121/100*BG33)*(1+Inputs!$F$122/100)</f>
        <v>6606.422152</v>
      </c>
      <c r="BH40" s="13" t="n">
        <f aca="false">Inputs!$F$120*(1+Inputs!$F$121/100*BH33)*(1+Inputs!$F$122/100)</f>
        <v>6609.6563665</v>
      </c>
      <c r="BI40" s="13" t="n">
        <f aca="false">Inputs!$F$120*(1+Inputs!$F$121/100*BI33)*(1+Inputs!$F$122/100)</f>
        <v>6612.890581</v>
      </c>
      <c r="BJ40" s="13" t="n">
        <f aca="false">Inputs!$F$120*(1+Inputs!$F$121/100*BJ33)*(1+Inputs!$F$122/100)</f>
        <v>6616.1247955</v>
      </c>
      <c r="BK40" s="13" t="n">
        <f aca="false">Inputs!$F$120*(1+Inputs!$F$121/100*BK33)*(1+Inputs!$F$122/100)</f>
        <v>6619.35901</v>
      </c>
      <c r="BL40" s="13" t="n">
        <f aca="false">Inputs!$F$120*(1+Inputs!$F$121/100*BL33)*(1+Inputs!$F$122/100)</f>
        <v>6622.5932245</v>
      </c>
      <c r="BM40" s="13" t="n">
        <f aca="false">Inputs!$F$120*(1+Inputs!$F$121/100*BM33)*(1+Inputs!$F$122/100)</f>
        <v>6625.827439</v>
      </c>
      <c r="BN40" s="13" t="n">
        <f aca="false">Inputs!$F$120*(1+Inputs!$F$121/100*BN33)*(1+Inputs!$F$122/100)</f>
        <v>6628.792135625</v>
      </c>
    </row>
    <row r="41" customFormat="false" ht="15" hidden="false" customHeight="false" outlineLevel="0" collapsed="false">
      <c r="D41" s="0" t="s">
        <v>596</v>
      </c>
      <c r="E41" s="0" t="s">
        <v>247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597</v>
      </c>
      <c r="E42" s="0" t="s">
        <v>598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0</v>
      </c>
      <c r="P42" s="15" t="n">
        <f aca="false">P38*P39*(1000*Inputs!$F$123/Inputs!$F$124)</f>
        <v>2054187.33206323</v>
      </c>
      <c r="Q42" s="15" t="n">
        <f aca="false">Q38*Q39*(1000*Inputs!$F$123/Inputs!$F$124)</f>
        <v>13532282.6240074</v>
      </c>
      <c r="R42" s="15" t="n">
        <f aca="false">R38*R39*(1000*Inputs!$F$123/Inputs!$F$124)</f>
        <v>13106559.8140553</v>
      </c>
      <c r="S42" s="15" t="n">
        <f aca="false">S38*S39*(1000*Inputs!$F$123/Inputs!$F$124)</f>
        <v>12202096.6290689</v>
      </c>
      <c r="T42" s="15" t="n">
        <f aca="false">T38*T39*(1000*Inputs!$F$123/Inputs!$F$124)</f>
        <v>12219929.7595738</v>
      </c>
      <c r="U42" s="15" t="n">
        <f aca="false">U38*U39*(1000*Inputs!$F$123/Inputs!$F$124)</f>
        <v>12316529.6144789</v>
      </c>
      <c r="V42" s="15" t="n">
        <f aca="false">V38*V39*(1000*Inputs!$F$123/Inputs!$F$124)</f>
        <v>12244604.3289264</v>
      </c>
      <c r="W42" s="15" t="n">
        <f aca="false">W38*W39*(1000*Inputs!$F$123/Inputs!$F$124)</f>
        <v>11892656.6308862</v>
      </c>
      <c r="X42" s="15" t="n">
        <f aca="false">X38*X39*(1000*Inputs!$F$123/Inputs!$F$124)</f>
        <v>11960791.4414094</v>
      </c>
      <c r="Y42" s="15" t="n">
        <f aca="false">Y38*Y39*(1000*Inputs!$F$123/Inputs!$F$124)</f>
        <v>12308838.6409465</v>
      </c>
      <c r="Z42" s="15" t="n">
        <f aca="false">Z38*Z39*(1000*Inputs!$F$123/Inputs!$F$124)</f>
        <v>12287207.6409024</v>
      </c>
      <c r="AA42" s="15" t="n">
        <f aca="false">AA38*AA39*(1000*Inputs!$F$123/Inputs!$F$124)</f>
        <v>12186862.2699822</v>
      </c>
      <c r="AB42" s="15" t="n">
        <f aca="false">AB38*AB39*(1000*Inputs!$F$123/Inputs!$F$124)</f>
        <v>12204582.7700461</v>
      </c>
      <c r="AC42" s="15" t="n">
        <f aca="false">AC38*AC39*(1000*Inputs!$F$123/Inputs!$F$124)</f>
        <v>12300970.1834094</v>
      </c>
      <c r="AD42" s="15" t="n">
        <f aca="false">AD38*AD39*(1000*Inputs!$F$123/Inputs!$F$124)</f>
        <v>12187524.0681028</v>
      </c>
      <c r="AE42" s="15" t="n">
        <f aca="false">AE38*AE39*(1000*Inputs!$F$123/Inputs!$F$124)</f>
        <v>11628370.8487734</v>
      </c>
      <c r="AF42" s="15" t="n">
        <f aca="false">AF38*AF39*(1000*Inputs!$F$123/Inputs!$F$124)</f>
        <v>11737878.2986056</v>
      </c>
      <c r="AG42" s="15" t="n">
        <f aca="false">AG38*AG39*(1000*Inputs!$F$123/Inputs!$F$124)</f>
        <v>12292924.2418678</v>
      </c>
      <c r="AH42" s="15" t="n">
        <f aca="false">AH38*AH39*(1000*Inputs!$F$123/Inputs!$F$124)</f>
        <v>12271230.0911984</v>
      </c>
      <c r="AI42" s="15" t="n">
        <f aca="false">AI38*AI39*(1000*Inputs!$F$123/Inputs!$F$124)</f>
        <v>12170924.78663</v>
      </c>
      <c r="AJ42" s="15" t="n">
        <f aca="false">AJ38*AJ39*(1000*Inputs!$F$123/Inputs!$F$124)</f>
        <v>12188531.5209607</v>
      </c>
      <c r="AK42" s="15" t="n">
        <f aca="false">AK38*AK39*(1000*Inputs!$F$123/Inputs!$F$124)</f>
        <v>12284700.8163215</v>
      </c>
      <c r="AL42" s="15" t="n">
        <f aca="false">AL38*AL39*(1000*Inputs!$F$123/Inputs!$F$124)</f>
        <v>12212780.0298898</v>
      </c>
      <c r="AM42" s="15" t="n">
        <f aca="false">AM38*AM39*(1000*Inputs!$F$123/Inputs!$F$124)</f>
        <v>11861570.8183628</v>
      </c>
      <c r="AN42" s="15" t="n">
        <f aca="false">AN38*AN39*(1000*Inputs!$F$123/Inputs!$F$124)</f>
        <v>11929350.1983504</v>
      </c>
      <c r="AO42" s="15" t="n">
        <f aca="false">AO38*AO39*(1000*Inputs!$F$123/Inputs!$F$124)</f>
        <v>12276299.9067707</v>
      </c>
      <c r="AP42" s="15" t="n">
        <f aca="false">AP38*AP39*(1000*Inputs!$F$123/Inputs!$F$124)</f>
        <v>12254543.7407682</v>
      </c>
      <c r="AQ42" s="15" t="n">
        <f aca="false">AQ38*AQ39*(1000*Inputs!$F$123/Inputs!$F$124)</f>
        <v>12154284.1790123</v>
      </c>
      <c r="AR42" s="15" t="n">
        <f aca="false">AR38*AR39*(1000*Inputs!$F$123/Inputs!$F$124)</f>
        <v>12171776.0123176</v>
      </c>
      <c r="AS42" s="15" t="n">
        <f aca="false">AS38*AS39*(1000*Inputs!$F$123/Inputs!$F$124)</f>
        <v>12267721.5132153</v>
      </c>
      <c r="AT42" s="15" t="n">
        <f aca="false">AT38*AT39*(1000*Inputs!$F$123/Inputs!$F$124)</f>
        <v>12154400.8161543</v>
      </c>
      <c r="AU42" s="15" t="n">
        <f aca="false">AU38*AU39*(1000*Inputs!$F$123/Inputs!$F$124)</f>
        <v>11596594.2740545</v>
      </c>
      <c r="AV42" s="15" t="n">
        <f aca="false">AV38*AV39*(1000*Inputs!$F$123/Inputs!$F$124)</f>
        <v>11705627.770954</v>
      </c>
      <c r="AW42" s="15" t="n">
        <f aca="false">AW38*AW39*(1000*Inputs!$F$123/Inputs!$F$124)</f>
        <v>12258965.6356553</v>
      </c>
      <c r="AX42" s="15" t="n">
        <f aca="false">AX38*AX39*(1000*Inputs!$F$123/Inputs!$F$124)</f>
        <v>12237148.5896117</v>
      </c>
      <c r="AY42" s="15" t="n">
        <f aca="false">AY38*AY39*(1000*Inputs!$F$123/Inputs!$F$124)</f>
        <v>12136940.447129</v>
      </c>
      <c r="AZ42" s="15" t="n">
        <f aca="false">AZ38*AZ39*(1000*Inputs!$F$123/Inputs!$F$124)</f>
        <v>12154316.2441168</v>
      </c>
      <c r="BA42" s="15" t="n">
        <f aca="false">BA38*BA39*(1000*Inputs!$F$123/Inputs!$F$124)</f>
        <v>12250032.2740907</v>
      </c>
      <c r="BB42" s="15" t="n">
        <f aca="false">BB38*BB39*(1000*Inputs!$F$123/Inputs!$F$124)</f>
        <v>12178132.1331567</v>
      </c>
      <c r="BC42" s="15" t="n">
        <f aca="false">BC38*BC39*(1000*Inputs!$F$123/Inputs!$F$124)</f>
        <v>11827742.1400286</v>
      </c>
      <c r="BD42" s="15" t="n">
        <f aca="false">BD38*BD39*(1000*Inputs!$F$123/Inputs!$F$124)</f>
        <v>11895149.9431035</v>
      </c>
      <c r="BE42" s="15" t="n">
        <f aca="false">BE38*BE39*(1000*Inputs!$F$123/Inputs!$F$124)</f>
        <v>12240921.4285215</v>
      </c>
      <c r="BF42" s="15" t="n">
        <f aca="false">BF38*BF39*(1000*Inputs!$F$123/Inputs!$F$124)</f>
        <v>12219044.637729</v>
      </c>
      <c r="BG42" s="15" t="n">
        <f aca="false">BG38*BG39*(1000*Inputs!$F$123/Inputs!$F$124)</f>
        <v>12118893.5909802</v>
      </c>
      <c r="BH42" s="15" t="n">
        <f aca="false">BH38*BH39*(1000*Inputs!$F$123/Inputs!$F$124)</f>
        <v>12136152.2163583</v>
      </c>
      <c r="BI42" s="15" t="n">
        <f aca="false">BI38*BI39*(1000*Inputs!$F$123/Inputs!$F$124)</f>
        <v>12231633.0989477</v>
      </c>
      <c r="BJ42" s="15" t="n">
        <f aca="false">BJ38*BJ39*(1000*Inputs!$F$123/Inputs!$F$124)</f>
        <v>12118463.5534207</v>
      </c>
      <c r="BK42" s="15" t="n">
        <f aca="false">BK38*BK39*(1000*Inputs!$F$123/Inputs!$F$124)</f>
        <v>11562132.3549931</v>
      </c>
      <c r="BL42" s="15" t="n">
        <f aca="false">BL38*BL39*(1000*Inputs!$F$123/Inputs!$F$124)</f>
        <v>11670666.1656715</v>
      </c>
      <c r="BM42" s="15" t="n">
        <f aca="false">BM38*BM39*(1000*Inputs!$F$123/Inputs!$F$124)</f>
        <v>12222167.2853693</v>
      </c>
      <c r="BN42" s="15" t="n">
        <f aca="false">BN38*BN39*(1000*Inputs!$F$123/Inputs!$F$124)</f>
        <v>10183310.8660163</v>
      </c>
    </row>
    <row r="43" customFormat="false" ht="15" hidden="false" customHeight="false" outlineLevel="0" collapsed="false">
      <c r="D43" s="0" t="s">
        <v>599</v>
      </c>
      <c r="E43" s="0" t="s">
        <v>598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0</v>
      </c>
      <c r="P43" s="15" t="n">
        <f aca="false">Inputs!$F$145*Inputs!$F$144*Time!P31</f>
        <v>1795520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10483520</v>
      </c>
      <c r="BN43" s="15" t="n">
        <f aca="false">Inputs!$F$145*Inputs!$F$144*Time!BN31</f>
        <v>8861760</v>
      </c>
    </row>
    <row r="44" customFormat="false" ht="15" hidden="false" customHeight="false" outlineLevel="0" collapsed="false">
      <c r="B44" s="2" t="s">
        <v>600</v>
      </c>
    </row>
    <row r="45" customFormat="false" ht="15" hidden="false" customHeight="false" outlineLevel="0" collapsed="false">
      <c r="D45" s="0" t="s">
        <v>601</v>
      </c>
      <c r="E45" s="0" t="s">
        <v>237</v>
      </c>
      <c r="J45" s="13" t="n">
        <f aca="false">Inputs!$F$134*Inputs!$F$54*(1-Inputs!$F$135+Inputs!$F$135*J20/100)</f>
        <v>14.4409263866631</v>
      </c>
      <c r="K45" s="13" t="n">
        <f aca="false">Inputs!$F$134*Inputs!$F$54*(1-Inputs!$F$135+Inputs!$F$135*K20/100)</f>
        <v>14.4761514062933</v>
      </c>
      <c r="L45" s="13" t="n">
        <f aca="false">Inputs!$F$134*Inputs!$F$54*(1-Inputs!$F$135+Inputs!$F$135*L20/100)</f>
        <v>14.5073574644174</v>
      </c>
      <c r="M45" s="13" t="n">
        <f aca="false">Inputs!$F$134*Inputs!$F$54*(1-Inputs!$F$135+Inputs!$F$135*M20/100)</f>
        <v>14.5344104859483</v>
      </c>
      <c r="N45" s="13" t="n">
        <f aca="false">Inputs!$F$134*Inputs!$F$54*(1-Inputs!$F$135+Inputs!$F$135*N20/100)</f>
        <v>14.5571668178754</v>
      </c>
      <c r="O45" s="13" t="n">
        <f aca="false">Inputs!$F$134*Inputs!$F$54*(1-Inputs!$F$135+Inputs!$F$135*O20/100)</f>
        <v>14.5755269027847</v>
      </c>
      <c r="P45" s="13" t="n">
        <f aca="false">Inputs!$F$134*Inputs!$F$54*(1-Inputs!$F$135+Inputs!$F$135*P20/100)</f>
        <v>14.620510598108</v>
      </c>
      <c r="Q45" s="13" t="n">
        <f aca="false">Inputs!$F$134*Inputs!$F$54*(1-Inputs!$F$135+Inputs!$F$135*Q20/100)</f>
        <v>14.693279381221</v>
      </c>
      <c r="R45" s="13" t="n">
        <f aca="false">Inputs!$F$134*Inputs!$F$54*(1-Inputs!$F$135+Inputs!$F$135*R20/100)</f>
        <v>14.7932818523497</v>
      </c>
      <c r="S45" s="13" t="n">
        <f aca="false">Inputs!$F$134*Inputs!$F$54*(1-Inputs!$F$135+Inputs!$F$135*S20/100)</f>
        <v>14.9229496609631</v>
      </c>
      <c r="T45" s="13" t="n">
        <f aca="false">Inputs!$F$134*Inputs!$F$54*(1-Inputs!$F$135+Inputs!$F$135*T20/100)</f>
        <v>15.0250320747026</v>
      </c>
      <c r="U45" s="13" t="n">
        <f aca="false">Inputs!$F$134*Inputs!$F$54*(1-Inputs!$F$135+Inputs!$F$135*U20/100)</f>
        <v>15.0968128698052</v>
      </c>
      <c r="V45" s="13" t="n">
        <f aca="false">Inputs!$F$134*Inputs!$F$54*(1-Inputs!$F$135+Inputs!$F$135*V20/100)</f>
        <v>15.1593931133445</v>
      </c>
      <c r="W45" s="13" t="n">
        <f aca="false">Inputs!$F$134*Inputs!$F$54*(1-Inputs!$F$135+Inputs!$F$135*W20/100)</f>
        <v>15.2122478552188</v>
      </c>
      <c r="X45" s="13" t="n">
        <f aca="false">Inputs!$F$134*Inputs!$F$54*(1-Inputs!$F$135+Inputs!$F$135*X20/100)</f>
        <v>15.2640264775846</v>
      </c>
      <c r="Y45" s="13" t="n">
        <f aca="false">Inputs!$F$134*Inputs!$F$54*(1-Inputs!$F$135+Inputs!$F$135*Y20/100)</f>
        <v>15.3146633129038</v>
      </c>
      <c r="Z45" s="13" t="n">
        <f aca="false">Inputs!$F$134*Inputs!$F$54*(1-Inputs!$F$135+Inputs!$F$135*Z20/100)</f>
        <v>15.3650348409683</v>
      </c>
      <c r="AA45" s="13" t="n">
        <f aca="false">Inputs!$F$134*Inputs!$F$54*(1-Inputs!$F$135+Inputs!$F$135*AA20/100)</f>
        <v>15.4151128754076</v>
      </c>
      <c r="AB45" s="13" t="n">
        <f aca="false">Inputs!$F$134*Inputs!$F$54*(1-Inputs!$F$135+Inputs!$F$135*AB20/100)</f>
        <v>15.4629267769026</v>
      </c>
      <c r="AC45" s="13" t="n">
        <f aca="false">Inputs!$F$134*Inputs!$F$54*(1-Inputs!$F$135+Inputs!$F$135*AC20/100)</f>
        <v>15.5083785727238</v>
      </c>
      <c r="AD45" s="13" t="n">
        <f aca="false">Inputs!$F$134*Inputs!$F$54*(1-Inputs!$F$135+Inputs!$F$135*AD20/100)</f>
        <v>15.5543500927713</v>
      </c>
      <c r="AE45" s="13" t="n">
        <f aca="false">Inputs!$F$134*Inputs!$F$54*(1-Inputs!$F$135+Inputs!$F$135*AE20/100)</f>
        <v>15.6008472798965</v>
      </c>
      <c r="AF45" s="13" t="n">
        <f aca="false">Inputs!$F$134*Inputs!$F$54*(1-Inputs!$F$135+Inputs!$F$135*AF20/100)</f>
        <v>15.6478761449051</v>
      </c>
      <c r="AG45" s="13" t="n">
        <f aca="false">Inputs!$F$134*Inputs!$F$54*(1-Inputs!$F$135+Inputs!$F$135*AG20/100)</f>
        <v>15.6954427673341</v>
      </c>
      <c r="AH45" s="13" t="n">
        <f aca="false">Inputs!$F$134*Inputs!$F$54*(1-Inputs!$F$135+Inputs!$F$135*AH20/100)</f>
        <v>15.7435532962379</v>
      </c>
      <c r="AI45" s="13" t="n">
        <f aca="false">Inputs!$F$134*Inputs!$F$54*(1-Inputs!$F$135+Inputs!$F$135*AI20/100)</f>
        <v>15.7922139509828</v>
      </c>
      <c r="AJ45" s="13" t="n">
        <f aca="false">Inputs!$F$134*Inputs!$F$54*(1-Inputs!$F$135+Inputs!$F$135*AJ20/100)</f>
        <v>15.8414310220514</v>
      </c>
      <c r="AK45" s="13" t="n">
        <f aca="false">Inputs!$F$134*Inputs!$F$54*(1-Inputs!$F$135+Inputs!$F$135*AK20/100)</f>
        <v>15.8912108718554</v>
      </c>
      <c r="AL45" s="13" t="n">
        <f aca="false">Inputs!$F$134*Inputs!$F$54*(1-Inputs!$F$135+Inputs!$F$135*AL20/100)</f>
        <v>15.9415599355585</v>
      </c>
      <c r="AM45" s="13" t="n">
        <f aca="false">Inputs!$F$134*Inputs!$F$54*(1-Inputs!$F$135+Inputs!$F$135*AM20/100)</f>
        <v>15.9924847219081</v>
      </c>
      <c r="AN45" s="13" t="n">
        <f aca="false">Inputs!$F$134*Inputs!$F$54*(1-Inputs!$F$135+Inputs!$F$135*AN20/100)</f>
        <v>16.0439918140764</v>
      </c>
      <c r="AO45" s="13" t="n">
        <f aca="false">Inputs!$F$134*Inputs!$F$54*(1-Inputs!$F$135+Inputs!$F$135*AO20/100)</f>
        <v>16.096087870512</v>
      </c>
      <c r="AP45" s="13" t="n">
        <f aca="false">Inputs!$F$134*Inputs!$F$54*(1-Inputs!$F$135+Inputs!$F$135*AP20/100)</f>
        <v>16.1487796258001</v>
      </c>
      <c r="AQ45" s="13" t="n">
        <f aca="false">Inputs!$F$134*Inputs!$F$54*(1-Inputs!$F$135+Inputs!$F$135*AQ20/100)</f>
        <v>16.2020738915337</v>
      </c>
      <c r="AR45" s="13" t="n">
        <f aca="false">Inputs!$F$134*Inputs!$F$54*(1-Inputs!$F$135+Inputs!$F$135*AR20/100)</f>
        <v>16.2559775571935</v>
      </c>
      <c r="AS45" s="13" t="n">
        <f aca="false">Inputs!$F$134*Inputs!$F$54*(1-Inputs!$F$135+Inputs!$F$135*AS20/100)</f>
        <v>16.310497591039</v>
      </c>
      <c r="AT45" s="13" t="n">
        <f aca="false">Inputs!$F$134*Inputs!$F$54*(1-Inputs!$F$135+Inputs!$F$135*AT20/100)</f>
        <v>16.365641041009</v>
      </c>
      <c r="AU45" s="13" t="n">
        <f aca="false">Inputs!$F$134*Inputs!$F$54*(1-Inputs!$F$135+Inputs!$F$135*AU20/100)</f>
        <v>16.4214150356329</v>
      </c>
      <c r="AV45" s="13" t="n">
        <f aca="false">Inputs!$F$134*Inputs!$F$54*(1-Inputs!$F$135+Inputs!$F$135*AV20/100)</f>
        <v>16.4778267849522</v>
      </c>
      <c r="AW45" s="13" t="n">
        <f aca="false">Inputs!$F$134*Inputs!$F$54*(1-Inputs!$F$135+Inputs!$F$135*AW20/100)</f>
        <v>16.5348835814525</v>
      </c>
      <c r="AX45" s="13" t="n">
        <f aca="false">Inputs!$F$134*Inputs!$F$54*(1-Inputs!$F$135+Inputs!$F$135*AX20/100)</f>
        <v>16.5925928010061</v>
      </c>
      <c r="AY45" s="13" t="n">
        <f aca="false">Inputs!$F$134*Inputs!$F$54*(1-Inputs!$F$135+Inputs!$F$135*AY20/100)</f>
        <v>16.6509619038259</v>
      </c>
      <c r="AZ45" s="13" t="n">
        <f aca="false">Inputs!$F$134*Inputs!$F$54*(1-Inputs!$F$135+Inputs!$F$135*AZ20/100)</f>
        <v>16.7099984354292</v>
      </c>
      <c r="BA45" s="13" t="n">
        <f aca="false">Inputs!$F$134*Inputs!$F$54*(1-Inputs!$F$135+Inputs!$F$135*BA20/100)</f>
        <v>16.7697100276139</v>
      </c>
      <c r="BB45" s="13" t="n">
        <f aca="false">Inputs!$F$134*Inputs!$F$54*(1-Inputs!$F$135+Inputs!$F$135*BB20/100)</f>
        <v>16.8301043994441</v>
      </c>
      <c r="BC45" s="13" t="n">
        <f aca="false">Inputs!$F$134*Inputs!$F$54*(1-Inputs!$F$135+Inputs!$F$135*BC20/100)</f>
        <v>16.891189358249</v>
      </c>
      <c r="BD45" s="13" t="n">
        <f aca="false">Inputs!$F$134*Inputs!$F$54*(1-Inputs!$F$135+Inputs!$F$135*BD20/100)</f>
        <v>16.9529728006313</v>
      </c>
      <c r="BE45" s="13" t="n">
        <f aca="false">Inputs!$F$134*Inputs!$F$54*(1-Inputs!$F$135+Inputs!$F$135*BE20/100)</f>
        <v>17.0154627134887</v>
      </c>
      <c r="BF45" s="13" t="n">
        <f aca="false">Inputs!$F$134*Inputs!$F$54*(1-Inputs!$F$135+Inputs!$F$135*BF20/100)</f>
        <v>17.0786671750458</v>
      </c>
      <c r="BG45" s="13" t="n">
        <f aca="false">Inputs!$F$134*Inputs!$F$54*(1-Inputs!$F$135+Inputs!$F$135*BG20/100)</f>
        <v>17.1425943558989</v>
      </c>
      <c r="BH45" s="13" t="n">
        <f aca="false">Inputs!$F$134*Inputs!$F$54*(1-Inputs!$F$135+Inputs!$F$135*BH20/100)</f>
        <v>17.2072525200719</v>
      </c>
      <c r="BI45" s="13" t="n">
        <f aca="false">Inputs!$F$134*Inputs!$F$54*(1-Inputs!$F$135+Inputs!$F$135*BI20/100)</f>
        <v>17.2726500260846</v>
      </c>
      <c r="BJ45" s="13" t="n">
        <f aca="false">Inputs!$F$134*Inputs!$F$54*(1-Inputs!$F$135+Inputs!$F$135*BJ20/100)</f>
        <v>17.3387953280335</v>
      </c>
      <c r="BK45" s="13" t="n">
        <f aca="false">Inputs!$F$134*Inputs!$F$54*(1-Inputs!$F$135+Inputs!$F$135*BK20/100)</f>
        <v>17.4056969766846</v>
      </c>
      <c r="BL45" s="13" t="n">
        <f aca="false">Inputs!$F$134*Inputs!$F$54*(1-Inputs!$F$135+Inputs!$F$135*BL20/100)</f>
        <v>17.4733636205783</v>
      </c>
      <c r="BM45" s="13" t="n">
        <f aca="false">Inputs!$F$134*Inputs!$F$54*(1-Inputs!$F$135+Inputs!$F$135*BM20/100)</f>
        <v>17.5418040071483</v>
      </c>
      <c r="BN45" s="13" t="n">
        <f aca="false">Inputs!$F$134*Inputs!$F$54*(1-Inputs!$F$135+Inputs!$F$135*BN20/100)</f>
        <v>17.6110269838516</v>
      </c>
    </row>
    <row r="46" customFormat="false" ht="15" hidden="false" customHeight="false" outlineLevel="0" collapsed="false">
      <c r="D46" s="0" t="s">
        <v>602</v>
      </c>
      <c r="E46" s="0" t="s">
        <v>237</v>
      </c>
      <c r="J46" s="13" t="n">
        <f aca="false">Inputs!$F$136*(Inputs!$F$137*J20/100+(1-Inputs!$F$137)*J26/100*Inputs!$F$138/J11)</f>
        <v>2.3307162956518</v>
      </c>
      <c r="K46" s="13" t="n">
        <f aca="false">Inputs!$F$136*(Inputs!$F$137*K20/100+(1-Inputs!$F$137)*K26/100*Inputs!$F$138/K11)</f>
        <v>2.35635247387625</v>
      </c>
      <c r="L46" s="13" t="n">
        <f aca="false">Inputs!$F$136*(Inputs!$F$137*L20/100+(1-Inputs!$F$137)*L26/100*Inputs!$F$138/L11)</f>
        <v>2.38495570490063</v>
      </c>
      <c r="M46" s="13" t="n">
        <f aca="false">Inputs!$F$136*(Inputs!$F$137*M20/100+(1-Inputs!$F$137)*M26/100*Inputs!$F$138/M11)</f>
        <v>2.40879644685733</v>
      </c>
      <c r="N46" s="13" t="n">
        <f aca="false">Inputs!$F$136*(Inputs!$F$137*N20/100+(1-Inputs!$F$137)*N26/100*Inputs!$F$138/N11)</f>
        <v>2.43656732059625</v>
      </c>
      <c r="O46" s="13" t="n">
        <f aca="false">Inputs!$F$136*(Inputs!$F$137*O20/100+(1-Inputs!$F$137)*O26/100*Inputs!$F$138/O11)</f>
        <v>2.46111142528661</v>
      </c>
      <c r="P46" s="13" t="n">
        <f aca="false">Inputs!$F$136*(Inputs!$F$137*P20/100+(1-Inputs!$F$137)*P26/100*Inputs!$F$138/P11)</f>
        <v>2.51003447346692</v>
      </c>
      <c r="Q46" s="13" t="n">
        <f aca="false">Inputs!$F$136*(Inputs!$F$137*Q20/100+(1-Inputs!$F$137)*Q26/100*Inputs!$F$138/Q11)</f>
        <v>2.52634105301043</v>
      </c>
      <c r="R46" s="13" t="n">
        <f aca="false">Inputs!$F$136*(Inputs!$F$137*R20/100+(1-Inputs!$F$137)*R26/100*Inputs!$F$138/R11)</f>
        <v>2.44396984223142</v>
      </c>
      <c r="S46" s="13" t="n">
        <f aca="false">Inputs!$F$136*(Inputs!$F$137*S20/100+(1-Inputs!$F$137)*S26/100*Inputs!$F$138/S11)</f>
        <v>2.41817722139762</v>
      </c>
      <c r="T46" s="13" t="n">
        <f aca="false">Inputs!$F$136*(Inputs!$F$137*T20/100+(1-Inputs!$F$137)*T26/100*Inputs!$F$138/T11)</f>
        <v>2.57637338931154</v>
      </c>
      <c r="U46" s="13" t="n">
        <f aca="false">Inputs!$F$136*(Inputs!$F$137*U20/100+(1-Inputs!$F$137)*U26/100*Inputs!$F$138/U11)</f>
        <v>2.70046733769182</v>
      </c>
      <c r="V46" s="13" t="n">
        <f aca="false">Inputs!$F$136*(Inputs!$F$137*V20/100+(1-Inputs!$F$137)*V26/100*Inputs!$F$138/V11)</f>
        <v>2.88599889825026</v>
      </c>
      <c r="W46" s="13" t="n">
        <f aca="false">Inputs!$F$136*(Inputs!$F$137*W20/100+(1-Inputs!$F$137)*W26/100*Inputs!$F$138/W11)</f>
        <v>3.02600423720958</v>
      </c>
      <c r="X46" s="13" t="n">
        <f aca="false">Inputs!$F$136*(Inputs!$F$137*X20/100+(1-Inputs!$F$137)*X26/100*Inputs!$F$138/X11)</f>
        <v>3.15499835423356</v>
      </c>
      <c r="Y46" s="13" t="n">
        <f aca="false">Inputs!$F$136*(Inputs!$F$137*Y20/100+(1-Inputs!$F$137)*Y26/100*Inputs!$F$138/Y11)</f>
        <v>3.25012424739984</v>
      </c>
      <c r="Z46" s="13" t="n">
        <f aca="false">Inputs!$F$136*(Inputs!$F$137*Z20/100+(1-Inputs!$F$137)*Z26/100*Inputs!$F$138/Z11)</f>
        <v>3.32675075280742</v>
      </c>
      <c r="AA46" s="13" t="n">
        <f aca="false">Inputs!$F$136*(Inputs!$F$137*AA20/100+(1-Inputs!$F$137)*AA26/100*Inputs!$F$138/AA11)</f>
        <v>3.37805694239915</v>
      </c>
      <c r="AB46" s="13" t="n">
        <f aca="false">Inputs!$F$136*(Inputs!$F$137*AB20/100+(1-Inputs!$F$137)*AB26/100*Inputs!$F$138/AB11)</f>
        <v>3.42342329381372</v>
      </c>
      <c r="AC46" s="13" t="n">
        <f aca="false">Inputs!$F$136*(Inputs!$F$137*AC20/100+(1-Inputs!$F$137)*AC26/100*Inputs!$F$138/AC11)</f>
        <v>3.46936469071856</v>
      </c>
      <c r="AD46" s="13" t="n">
        <f aca="false">Inputs!$F$136*(Inputs!$F$137*AD20/100+(1-Inputs!$F$137)*AD26/100*Inputs!$F$138/AD11)</f>
        <v>3.51248435339282</v>
      </c>
      <c r="AE46" s="13" t="n">
        <f aca="false">Inputs!$F$136*(Inputs!$F$137*AE20/100+(1-Inputs!$F$137)*AE26/100*Inputs!$F$138/AE11)</f>
        <v>3.55264829366551</v>
      </c>
      <c r="AF46" s="13" t="n">
        <f aca="false">Inputs!$F$136*(Inputs!$F$137*AF20/100+(1-Inputs!$F$137)*AF26/100*Inputs!$F$138/AF11)</f>
        <v>3.59327149352085</v>
      </c>
      <c r="AG46" s="13" t="n">
        <f aca="false">Inputs!$F$136*(Inputs!$F$137*AG20/100+(1-Inputs!$F$137)*AG26/100*Inputs!$F$138/AG11)</f>
        <v>3.63435920441981</v>
      </c>
      <c r="AH46" s="13" t="n">
        <f aca="false">Inputs!$F$136*(Inputs!$F$137*AH20/100+(1-Inputs!$F$137)*AH26/100*Inputs!$F$138/AH11)</f>
        <v>3.67591673787183</v>
      </c>
      <c r="AI46" s="13" t="n">
        <f aca="false">Inputs!$F$136*(Inputs!$F$137*AI20/100+(1-Inputs!$F$137)*AI26/100*Inputs!$F$138/AI11)</f>
        <v>3.71794946612147</v>
      </c>
      <c r="AJ46" s="13" t="n">
        <f aca="false">Inputs!$F$136*(Inputs!$F$137*AJ20/100+(1-Inputs!$F$137)*AJ26/100*Inputs!$F$138/AJ11)</f>
        <v>3.76046282284288</v>
      </c>
      <c r="AK46" s="13" t="n">
        <f aca="false">Inputs!$F$136*(Inputs!$F$137*AK20/100+(1-Inputs!$F$137)*AK26/100*Inputs!$F$138/AK11)</f>
        <v>3.80346230384226</v>
      </c>
      <c r="AL46" s="13" t="n">
        <f aca="false">Inputs!$F$136*(Inputs!$F$137*AL20/100+(1-Inputs!$F$137)*AL26/100*Inputs!$F$138/AL11)</f>
        <v>3.84695346776827</v>
      </c>
      <c r="AM46" s="13" t="n">
        <f aca="false">Inputs!$F$136*(Inputs!$F$137*AM20/100+(1-Inputs!$F$137)*AM26/100*Inputs!$F$138/AM11)</f>
        <v>3.89094193683063</v>
      </c>
      <c r="AN46" s="13" t="n">
        <f aca="false">Inputs!$F$136*(Inputs!$F$137*AN20/100+(1-Inputs!$F$137)*AN26/100*Inputs!$F$138/AN11)</f>
        <v>3.93543339752694</v>
      </c>
      <c r="AO46" s="13" t="n">
        <f aca="false">Inputs!$F$136*(Inputs!$F$137*AO20/100+(1-Inputs!$F$137)*AO26/100*Inputs!$F$138/AO11)</f>
        <v>3.98043360137774</v>
      </c>
      <c r="AP46" s="13" t="n">
        <f aca="false">Inputs!$F$136*(Inputs!$F$137*AP20/100+(1-Inputs!$F$137)*AP26/100*Inputs!$F$138/AP11)</f>
        <v>4.02594836567006</v>
      </c>
      <c r="AQ46" s="13" t="n">
        <f aca="false">Inputs!$F$136*(Inputs!$F$137*AQ20/100+(1-Inputs!$F$137)*AQ26/100*Inputs!$F$138/AQ11)</f>
        <v>4.07198357420942</v>
      </c>
      <c r="AR46" s="13" t="n">
        <f aca="false">Inputs!$F$136*(Inputs!$F$137*AR20/100+(1-Inputs!$F$137)*AR26/100*Inputs!$F$138/AR11)</f>
        <v>4.11854517808047</v>
      </c>
      <c r="AS46" s="13" t="n">
        <f aca="false">Inputs!$F$136*(Inputs!$F$137*AS20/100+(1-Inputs!$F$137)*AS26/100*Inputs!$F$138/AS11)</f>
        <v>4.16563919641624</v>
      </c>
      <c r="AT46" s="13" t="n">
        <f aca="false">Inputs!$F$136*(Inputs!$F$137*AT20/100+(1-Inputs!$F$137)*AT26/100*Inputs!$F$138/AT11)</f>
        <v>4.21327171717632</v>
      </c>
      <c r="AU46" s="13" t="n">
        <f aca="false">Inputs!$F$136*(Inputs!$F$137*AU20/100+(1-Inputs!$F$137)*AU26/100*Inputs!$F$138/AU11)</f>
        <v>4.26144889793381</v>
      </c>
      <c r="AV46" s="13" t="n">
        <f aca="false">Inputs!$F$136*(Inputs!$F$137*AV20/100+(1-Inputs!$F$137)*AV26/100*Inputs!$F$138/AV11)</f>
        <v>4.31017696667137</v>
      </c>
      <c r="AW46" s="13" t="n">
        <f aca="false">Inputs!$F$136*(Inputs!$F$137*AW20/100+(1-Inputs!$F$137)*AW26/100*Inputs!$F$138/AW11)</f>
        <v>4.35946222258629</v>
      </c>
      <c r="AX46" s="13" t="n">
        <f aca="false">Inputs!$F$136*(Inputs!$F$137*AX20/100+(1-Inputs!$F$137)*AX26/100*Inputs!$F$138/AX11)</f>
        <v>4.40931103690481</v>
      </c>
      <c r="AY46" s="13" t="n">
        <f aca="false">Inputs!$F$136*(Inputs!$F$137*AY20/100+(1-Inputs!$F$137)*AY26/100*Inputs!$F$138/AY11)</f>
        <v>4.45972985370577</v>
      </c>
      <c r="AZ46" s="13" t="n">
        <f aca="false">Inputs!$F$136*(Inputs!$F$137*AZ20/100+(1-Inputs!$F$137)*AZ26/100*Inputs!$F$138/AZ11)</f>
        <v>4.51072519075362</v>
      </c>
      <c r="BA46" s="13" t="n">
        <f aca="false">Inputs!$F$136*(Inputs!$F$137*BA20/100+(1-Inputs!$F$137)*BA26/100*Inputs!$F$138/BA11)</f>
        <v>4.562303640341</v>
      </c>
      <c r="BB46" s="13" t="n">
        <f aca="false">Inputs!$F$136*(Inputs!$F$137*BB20/100+(1-Inputs!$F$137)*BB26/100*Inputs!$F$138/BB11)</f>
        <v>4.61447187014095</v>
      </c>
      <c r="BC46" s="13" t="n">
        <f aca="false">Inputs!$F$136*(Inputs!$F$137*BC20/100+(1-Inputs!$F$137)*BC26/100*Inputs!$F$138/BC11)</f>
        <v>4.66723662406885</v>
      </c>
      <c r="BD46" s="13" t="n">
        <f aca="false">Inputs!$F$136*(Inputs!$F$137*BD20/100+(1-Inputs!$F$137)*BD26/100*Inputs!$F$138/BD11)</f>
        <v>4.7206047231542</v>
      </c>
      <c r="BE46" s="13" t="n">
        <f aca="false">Inputs!$F$136*(Inputs!$F$137*BE20/100+(1-Inputs!$F$137)*BE26/100*Inputs!$F$138/BE11)</f>
        <v>4.77458306642243</v>
      </c>
      <c r="BF46" s="13" t="n">
        <f aca="false">Inputs!$F$136*(Inputs!$F$137*BF20/100+(1-Inputs!$F$137)*BF26/100*Inputs!$F$138/BF11)</f>
        <v>4.82917863178674</v>
      </c>
      <c r="BG46" s="13" t="n">
        <f aca="false">Inputs!$F$136*(Inputs!$F$137*BG20/100+(1-Inputs!$F$137)*BG26/100*Inputs!$F$138/BG11)</f>
        <v>4.88439847695014</v>
      </c>
      <c r="BH46" s="13" t="n">
        <f aca="false">Inputs!$F$136*(Inputs!$F$137*BH20/100+(1-Inputs!$F$137)*BH26/100*Inputs!$F$138/BH11)</f>
        <v>4.94024974031783</v>
      </c>
      <c r="BI46" s="13" t="n">
        <f aca="false">Inputs!$F$136*(Inputs!$F$137*BI20/100+(1-Inputs!$F$137)*BI26/100*Inputs!$F$138/BI11)</f>
        <v>4.99673964191999</v>
      </c>
      <c r="BJ46" s="13" t="n">
        <f aca="false">Inputs!$F$136*(Inputs!$F$137*BJ20/100+(1-Inputs!$F$137)*BJ26/100*Inputs!$F$138/BJ11)</f>
        <v>5.05387548434515</v>
      </c>
      <c r="BK46" s="13" t="n">
        <f aca="false">Inputs!$F$136*(Inputs!$F$137*BK20/100+(1-Inputs!$F$137)*BK26/100*Inputs!$F$138/BK11)</f>
        <v>5.11166465368416</v>
      </c>
      <c r="BL46" s="13" t="n">
        <f aca="false">Inputs!$F$136*(Inputs!$F$137*BL20/100+(1-Inputs!$F$137)*BL26/100*Inputs!$F$138/BL11)</f>
        <v>5.17011462048508</v>
      </c>
      <c r="BM46" s="13" t="n">
        <f aca="false">Inputs!$F$136*(Inputs!$F$137*BM20/100+(1-Inputs!$F$137)*BM26/100*Inputs!$F$138/BM11)</f>
        <v>5.22923294071889</v>
      </c>
      <c r="BN46" s="13" t="n">
        <f aca="false">Inputs!$F$136*(Inputs!$F$137*BN20/100+(1-Inputs!$F$137)*BN26/100*Inputs!$F$138/BN11)</f>
        <v>5.28902725675624</v>
      </c>
    </row>
    <row r="47" customFormat="false" ht="15" hidden="false" customHeight="false" outlineLevel="0" collapsed="false">
      <c r="D47" s="0" t="s">
        <v>603</v>
      </c>
      <c r="E47" s="0" t="s">
        <v>99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0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1</v>
      </c>
      <c r="AE47" s="13" t="n">
        <f aca="false">MIN(1,AE32/Inputs!$F$133)</f>
        <v>0.985555555555556</v>
      </c>
      <c r="AF47" s="13" t="n">
        <f aca="false">MIN(1,AF32/Inputs!$F$133)</f>
        <v>0.995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1</v>
      </c>
      <c r="AU47" s="13" t="n">
        <f aca="false">MIN(1,AU32/Inputs!$F$133)</f>
        <v>0.985555555555556</v>
      </c>
      <c r="AV47" s="13" t="n">
        <f aca="false">MIN(1,AV32/Inputs!$F$133)</f>
        <v>0.995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1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1</v>
      </c>
      <c r="BK47" s="13" t="n">
        <f aca="false">MIN(1,BK32/Inputs!$F$133)</f>
        <v>0.985555555555556</v>
      </c>
      <c r="BL47" s="13" t="n">
        <f aca="false">MIN(1,BL32/Inputs!$F$133)</f>
        <v>0.995</v>
      </c>
      <c r="BM47" s="13" t="n">
        <f aca="false">MIN(1,BM32/Inputs!$F$133)</f>
        <v>1</v>
      </c>
      <c r="BN47" s="13" t="n">
        <f aca="false">MIN(1,BN32/Inputs!$F$133)</f>
        <v>1</v>
      </c>
    </row>
    <row r="48" customFormat="false" ht="15" hidden="false" customHeight="false" outlineLevel="0" collapsed="false">
      <c r="D48" s="0" t="s">
        <v>604</v>
      </c>
      <c r="E48" s="0" t="s">
        <v>149</v>
      </c>
      <c r="G48" s="13" t="n">
        <f aca="false">SUM(J48:BN48)</f>
        <v>3510.02594171799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0</v>
      </c>
      <c r="P48" s="13" t="n">
        <f aca="false">$F$34*1000*Time!P30*(P45+P46)*P47/1000000</f>
        <v>9.96826417714946</v>
      </c>
      <c r="Q48" s="13" t="n">
        <f aca="false">$F$34*1000*Time!Q30*(Q45+Q46)*Q47/1000000</f>
        <v>60.1205827840755</v>
      </c>
      <c r="R48" s="13" t="n">
        <f aca="false">$F$34*1000*Time!R30*(R45+R46)*R47/1000000</f>
        <v>60.1821405664607</v>
      </c>
      <c r="S48" s="13" t="n">
        <f aca="false">$F$34*1000*Time!S30*(S45+S46)*S47/1000000</f>
        <v>60.5448103970742</v>
      </c>
      <c r="T48" s="13" t="n">
        <f aca="false">$F$34*1000*Time!T30*(T45+T46)*T47/1000000</f>
        <v>61.453547037059</v>
      </c>
      <c r="U48" s="13" t="n">
        <f aca="false">$F$34*1000*Time!U30*(U45+U46)*U47/1000000</f>
        <v>62.137424116455</v>
      </c>
      <c r="V48" s="13" t="n">
        <f aca="false">$F$34*1000*Time!V30*(V45+V46)*V47/1000000</f>
        <v>63.0036816692819</v>
      </c>
      <c r="W48" s="13" t="n">
        <f aca="false">$F$34*1000*Time!W30*(W45+W46)*W47/1000000</f>
        <v>63.6770333555045</v>
      </c>
      <c r="X48" s="13" t="n">
        <f aca="false">$F$34*1000*Time!X30*(X45+X46)*X47/1000000</f>
        <v>64.3081832978098</v>
      </c>
      <c r="Y48" s="13" t="n">
        <f aca="false">$F$34*1000*Time!Y30*(Y45+Y46)*Y47/1000000</f>
        <v>64.8170992880442</v>
      </c>
      <c r="Z48" s="13" t="n">
        <f aca="false">$F$34*1000*Time!Z30*(Z45+Z46)*Z47/1000000</f>
        <v>65.2605002221086</v>
      </c>
      <c r="AA48" s="13" t="n">
        <f aca="false">$F$34*1000*Time!AA30*(AA45+AA46)*AA47/1000000</f>
        <v>65.6144731018906</v>
      </c>
      <c r="AB48" s="13" t="n">
        <f aca="false">$F$34*1000*Time!AB30*(AB45+AB46)*AB47/1000000</f>
        <v>65.9398026368989</v>
      </c>
      <c r="AC48" s="13" t="n">
        <f aca="false">$F$34*1000*Time!AC30*(AC45+AC46)*AC47/1000000</f>
        <v>66.2588928299828</v>
      </c>
      <c r="AD48" s="13" t="n">
        <f aca="false">$F$34*1000*Time!AD30*(AD45+AD46)*AD47/1000000</f>
        <v>66.5699457853375</v>
      </c>
      <c r="AE48" s="13" t="n">
        <f aca="false">$F$34*1000*Time!AE30*(AE45+AE46)*AE47/1000000</f>
        <v>65.9065781257656</v>
      </c>
      <c r="AF48" s="13" t="n">
        <f aca="false">$F$34*1000*Time!AF30*(AF45+AF46)*AF47/1000000</f>
        <v>66.8426501504763</v>
      </c>
      <c r="AG48" s="13" t="n">
        <f aca="false">$F$34*1000*Time!AG30*(AG45+AG46)*AG47/1000000</f>
        <v>67.4880706041817</v>
      </c>
      <c r="AH48" s="13" t="n">
        <f aca="false">$F$34*1000*Time!AH30*(AH45+AH46)*AH47/1000000</f>
        <v>67.8011376770907</v>
      </c>
      <c r="AI48" s="13" t="n">
        <f aca="false">$F$34*1000*Time!AI30*(AI45+AI46)*AI47/1000000</f>
        <v>68.1177845544778</v>
      </c>
      <c r="AJ48" s="13" t="n">
        <f aca="false">$F$34*1000*Time!AJ30*(AJ45+AJ46)*AJ47/1000000</f>
        <v>68.4380521700638</v>
      </c>
      <c r="AK48" s="13" t="n">
        <f aca="false">$F$34*1000*Time!AK30*(AK45+AK46)*AK47/1000000</f>
        <v>68.7619819256308</v>
      </c>
      <c r="AL48" s="13" t="n">
        <f aca="false">$F$34*1000*Time!AL30*(AL45+AL46)*AL47/1000000</f>
        <v>69.0896156963752</v>
      </c>
      <c r="AM48" s="13" t="n">
        <f aca="false">$F$34*1000*Time!AM30*(AM45+AM46)*AM47/1000000</f>
        <v>69.4209958363203</v>
      </c>
      <c r="AN48" s="13" t="n">
        <f aca="false">$F$34*1000*Time!AN30*(AN45+AN46)*AN47/1000000</f>
        <v>69.7561651837919</v>
      </c>
      <c r="AO48" s="13" t="n">
        <f aca="false">$F$34*1000*Time!AO30*(AO45+AO46)*AO47/1000000</f>
        <v>70.0951670669557</v>
      </c>
      <c r="AP48" s="13" t="n">
        <f aca="false">$F$34*1000*Time!AP30*(AP45+AP46)*AP47/1000000</f>
        <v>70.438045309419</v>
      </c>
      <c r="AQ48" s="13" t="n">
        <f aca="false">$F$34*1000*Time!AQ30*(AQ45+AQ46)*AQ47/1000000</f>
        <v>70.7848442358957</v>
      </c>
      <c r="AR48" s="13" t="n">
        <f aca="false">$F$34*1000*Time!AR30*(AR45+AR46)*AR47/1000000</f>
        <v>71.1356086779357</v>
      </c>
      <c r="AS48" s="13" t="n">
        <f aca="false">$F$34*1000*Time!AS30*(AS45+AS46)*AS47/1000000</f>
        <v>71.4903839797212</v>
      </c>
      <c r="AT48" s="13" t="n">
        <f aca="false">$F$34*1000*Time!AT30*(AT45+AT46)*AT47/1000000</f>
        <v>71.8492160039282</v>
      </c>
      <c r="AU48" s="13" t="n">
        <f aca="false">$F$34*1000*Time!AU30*(AU45+AU46)*AU47/1000000</f>
        <v>71.1690867323331</v>
      </c>
      <c r="AV48" s="13" t="n">
        <f aca="false">$F$34*1000*Time!AV30*(AV45+AV46)*AV47/1000000</f>
        <v>72.2163401169265</v>
      </c>
      <c r="AW48" s="13" t="n">
        <f aca="false">$F$34*1000*Time!AW30*(AW45+AW46)*AW47/1000000</f>
        <v>72.9505189402209</v>
      </c>
      <c r="AX48" s="13" t="n">
        <f aca="false">$F$34*1000*Time!AX30*(AX45+AX46)*AX47/1000000</f>
        <v>73.3260470596821</v>
      </c>
      <c r="AY48" s="13" t="n">
        <f aca="false">$F$34*1000*Time!AY30*(AY45+AY46)*AY47/1000000</f>
        <v>73.705869202246</v>
      </c>
      <c r="AZ48" s="13" t="n">
        <f aca="false">$F$34*1000*Time!AZ30*(AZ45+AZ46)*AZ47/1000000</f>
        <v>74.0900344684548</v>
      </c>
      <c r="BA48" s="13" t="n">
        <f aca="false">$F$34*1000*Time!BA30*(BA45+BA46)*BA47/1000000</f>
        <v>74.4785925202976</v>
      </c>
      <c r="BB48" s="13" t="n">
        <f aca="false">$F$34*1000*Time!BB30*(BB45+BB46)*BB47/1000000</f>
        <v>74.8715935876293</v>
      </c>
      <c r="BC48" s="13" t="n">
        <f aca="false">$F$34*1000*Time!BC30*(BC45+BC46)*BC47/1000000</f>
        <v>75.2690884746644</v>
      </c>
      <c r="BD48" s="13" t="n">
        <f aca="false">$F$34*1000*Time!BD30*(BD45+BD46)*BD47/1000000</f>
        <v>75.6711285665448</v>
      </c>
      <c r="BE48" s="13" t="n">
        <f aca="false">$F$34*1000*Time!BE30*(BE45+BE46)*BE47/1000000</f>
        <v>76.0777658359817</v>
      </c>
      <c r="BF48" s="13" t="n">
        <f aca="false">$F$34*1000*Time!BF30*(BF45+BF46)*BF47/1000000</f>
        <v>76.4890528499753</v>
      </c>
      <c r="BG48" s="13" t="n">
        <f aca="false">$F$34*1000*Time!BG30*(BG45+BG46)*BG47/1000000</f>
        <v>76.9050427766093</v>
      </c>
      <c r="BH48" s="13" t="n">
        <f aca="false">$F$34*1000*Time!BH30*(BH45+BH46)*BH47/1000000</f>
        <v>77.3257893919247</v>
      </c>
      <c r="BI48" s="13" t="n">
        <f aca="false">$F$34*1000*Time!BI30*(BI45+BI46)*BI47/1000000</f>
        <v>77.7513470868713</v>
      </c>
      <c r="BJ48" s="13" t="n">
        <f aca="false">$F$34*1000*Time!BJ30*(BJ45+BJ46)*BJ47/1000000</f>
        <v>78.181770874339</v>
      </c>
      <c r="BK48" s="13" t="n">
        <f aca="false">$F$34*1000*Time!BK30*(BK45+BK46)*BK47/1000000</f>
        <v>77.481535826101</v>
      </c>
      <c r="BL48" s="13" t="n">
        <f aca="false">$F$34*1000*Time!BL30*(BL45+BL46)*BL47/1000000</f>
        <v>78.6621527311945</v>
      </c>
      <c r="BM48" s="13" t="n">
        <f aca="false">$F$34*1000*Time!BM30*(BM45+BM46)*BM47/1000000</f>
        <v>79.5027983997835</v>
      </c>
      <c r="BN48" s="13" t="n">
        <f aca="false">$F$34*1000*Time!BN30*(BN45+BN46)*BN47/1000000</f>
        <v>66.6277078130485</v>
      </c>
    </row>
    <row r="49" customFormat="false" ht="15" hidden="false" customHeight="false" outlineLevel="0" collapsed="false">
      <c r="D49" s="0" t="s">
        <v>605</v>
      </c>
      <c r="E49" s="0" t="s">
        <v>243</v>
      </c>
      <c r="J49" s="13" t="n">
        <f aca="false">Inputs!$F$139*(Inputs!$F$140*J20/100+(1-Inputs!$F$140)*J26/100*Inputs!$F$138/J11)</f>
        <v>3.91022718246032</v>
      </c>
      <c r="K49" s="13" t="n">
        <f aca="false">Inputs!$F$139*(Inputs!$F$140*K20/100+(1-Inputs!$F$140)*K26/100*Inputs!$F$138/K11)</f>
        <v>3.9540135202476</v>
      </c>
      <c r="L49" s="13" t="n">
        <f aca="false">Inputs!$F$139*(Inputs!$F$140*L20/100+(1-Inputs!$F$140)*L26/100*Inputs!$F$138/L11)</f>
        <v>4.00057685117118</v>
      </c>
      <c r="M49" s="13" t="n">
        <f aca="false">Inputs!$F$139*(Inputs!$F$140*M20/100+(1-Inputs!$F$140)*M26/100*Inputs!$F$138/M11)</f>
        <v>4.03968237214488</v>
      </c>
      <c r="N49" s="13" t="n">
        <f aca="false">Inputs!$F$139*(Inputs!$F$140*N20/100+(1-Inputs!$F$140)*N26/100*Inputs!$F$138/N11)</f>
        <v>4.0827568038087</v>
      </c>
      <c r="O49" s="13" t="n">
        <f aca="false">Inputs!$F$139*(Inputs!$F$140*O20/100+(1-Inputs!$F$140)*O26/100*Inputs!$F$138/O11)</f>
        <v>4.12033054196868</v>
      </c>
      <c r="P49" s="13" t="n">
        <f aca="false">Inputs!$F$139*(Inputs!$F$140*P20/100+(1-Inputs!$F$140)*P26/100*Inputs!$F$138/P11)</f>
        <v>4.1975982986382</v>
      </c>
      <c r="Q49" s="13" t="n">
        <f aca="false">Inputs!$F$139*(Inputs!$F$140*Q20/100+(1-Inputs!$F$140)*Q26/100*Inputs!$F$138/Q11)</f>
        <v>4.2396999606688</v>
      </c>
      <c r="R49" s="13" t="n">
        <f aca="false">Inputs!$F$139*(Inputs!$F$140*R20/100+(1-Inputs!$F$140)*R26/100*Inputs!$F$138/R11)</f>
        <v>4.15933094447549</v>
      </c>
      <c r="S49" s="13" t="n">
        <f aca="false">Inputs!$F$139*(Inputs!$F$140*S20/100+(1-Inputs!$F$140)*S26/100*Inputs!$F$138/S11)</f>
        <v>4.1619946050975</v>
      </c>
      <c r="T49" s="13" t="n">
        <f aca="false">Inputs!$F$139*(Inputs!$F$140*T20/100+(1-Inputs!$F$140)*T26/100*Inputs!$F$138/T11)</f>
        <v>4.3995723041597</v>
      </c>
      <c r="U49" s="13" t="n">
        <f aca="false">Inputs!$F$139*(Inputs!$F$140*U20/100+(1-Inputs!$F$140)*U26/100*Inputs!$F$138/U11)</f>
        <v>4.58358827846067</v>
      </c>
      <c r="V49" s="13" t="n">
        <f aca="false">Inputs!$F$139*(Inputs!$F$140*V20/100+(1-Inputs!$F$140)*V26/100*Inputs!$F$138/V11)</f>
        <v>4.8460498940529</v>
      </c>
      <c r="W49" s="13" t="n">
        <f aca="false">Inputs!$F$139*(Inputs!$F$140*W20/100+(1-Inputs!$F$140)*W26/100*Inputs!$F$138/W11)</f>
        <v>5.04570116656443</v>
      </c>
      <c r="X49" s="13" t="n">
        <f aca="false">Inputs!$F$139*(Inputs!$F$140*X20/100+(1-Inputs!$F$140)*X26/100*Inputs!$F$138/X11)</f>
        <v>5.23052186911629</v>
      </c>
      <c r="Y49" s="13" t="n">
        <f aca="false">Inputs!$F$139*(Inputs!$F$140*Y20/100+(1-Inputs!$F$140)*Y26/100*Inputs!$F$138/Y11)</f>
        <v>5.37034030167829</v>
      </c>
      <c r="Z49" s="13" t="n">
        <f aca="false">Inputs!$F$139*(Inputs!$F$140*Z20/100+(1-Inputs!$F$140)*Z26/100*Inputs!$F$138/Z11)</f>
        <v>5.48567914179088</v>
      </c>
      <c r="AA49" s="13" t="n">
        <f aca="false">Inputs!$F$139*(Inputs!$F$140*AA20/100+(1-Inputs!$F$140)*AA26/100*Inputs!$F$138/AA11)</f>
        <v>5.56753219734782</v>
      </c>
      <c r="AB49" s="13" t="n">
        <f aca="false">Inputs!$F$139*(Inputs!$F$140*AB20/100+(1-Inputs!$F$140)*AB26/100*Inputs!$F$138/AB11)</f>
        <v>5.64090874038769</v>
      </c>
      <c r="AC49" s="13" t="n">
        <f aca="false">Inputs!$F$139*(Inputs!$F$140*AC20/100+(1-Inputs!$F$140)*AC26/100*Inputs!$F$138/AC11)</f>
        <v>5.71437553040107</v>
      </c>
      <c r="AD49" s="13" t="n">
        <f aca="false">Inputs!$F$139*(Inputs!$F$140*AD20/100+(1-Inputs!$F$140)*AD26/100*Inputs!$F$138/AD11)</f>
        <v>5.78426692437989</v>
      </c>
      <c r="AE49" s="13" t="n">
        <f aca="false">Inputs!$F$139*(Inputs!$F$140*AE20/100+(1-Inputs!$F$140)*AE26/100*Inputs!$F$138/AE11)</f>
        <v>5.85040784570461</v>
      </c>
      <c r="AF49" s="13" t="n">
        <f aca="false">Inputs!$F$139*(Inputs!$F$140*AF20/100+(1-Inputs!$F$140)*AF26/100*Inputs!$F$138/AF11)</f>
        <v>5.91730506364062</v>
      </c>
      <c r="AG49" s="13" t="n">
        <f aca="false">Inputs!$F$139*(Inputs!$F$140*AG20/100+(1-Inputs!$F$140)*AG26/100*Inputs!$F$138/AG11)</f>
        <v>5.98496722615582</v>
      </c>
      <c r="AH49" s="13" t="n">
        <f aca="false">Inputs!$F$139*(Inputs!$F$140*AH20/100+(1-Inputs!$F$140)*AH26/100*Inputs!$F$138/AH11)</f>
        <v>6.05340308010436</v>
      </c>
      <c r="AI49" s="13" t="n">
        <f aca="false">Inputs!$F$139*(Inputs!$F$140*AI20/100+(1-Inputs!$F$140)*AI26/100*Inputs!$F$138/AI11)</f>
        <v>6.1226214723574</v>
      </c>
      <c r="AJ49" s="13" t="n">
        <f aca="false">Inputs!$F$139*(Inputs!$F$140*AJ20/100+(1-Inputs!$F$140)*AJ26/100*Inputs!$F$138/AJ11)</f>
        <v>6.19263135094675</v>
      </c>
      <c r="AK49" s="13" t="n">
        <f aca="false">Inputs!$F$139*(Inputs!$F$140*AK20/100+(1-Inputs!$F$140)*AK26/100*Inputs!$F$138/AK11)</f>
        <v>6.26344176622162</v>
      </c>
      <c r="AL49" s="13" t="n">
        <f aca="false">Inputs!$F$139*(Inputs!$F$140*AL20/100+(1-Inputs!$F$140)*AL26/100*Inputs!$F$138/AL11)</f>
        <v>6.33506187201853</v>
      </c>
      <c r="AM49" s="13" t="n">
        <f aca="false">Inputs!$F$139*(Inputs!$F$140*AM20/100+(1-Inputs!$F$140)*AM26/100*Inputs!$F$138/AM11)</f>
        <v>6.40750092684471</v>
      </c>
      <c r="AN49" s="13" t="n">
        <f aca="false">Inputs!$F$139*(Inputs!$F$140*AN20/100+(1-Inputs!$F$140)*AN26/100*Inputs!$F$138/AN11)</f>
        <v>6.48076829507495</v>
      </c>
      <c r="AO49" s="13" t="n">
        <f aca="false">Inputs!$F$139*(Inputs!$F$140*AO20/100+(1-Inputs!$F$140)*AO26/100*Inputs!$F$138/AO11)</f>
        <v>6.55487344816214</v>
      </c>
      <c r="AP49" s="13" t="n">
        <f aca="false">Inputs!$F$139*(Inputs!$F$140*AP20/100+(1-Inputs!$F$140)*AP26/100*Inputs!$F$138/AP11)</f>
        <v>6.62982596586167</v>
      </c>
      <c r="AQ49" s="13" t="n">
        <f aca="false">Inputs!$F$139*(Inputs!$F$140*AQ20/100+(1-Inputs!$F$140)*AQ26/100*Inputs!$F$138/AQ11)</f>
        <v>6.70563553746987</v>
      </c>
      <c r="AR49" s="13" t="n">
        <f aca="false">Inputs!$F$139*(Inputs!$F$140*AR20/100+(1-Inputs!$F$140)*AR26/100*Inputs!$F$138/AR11)</f>
        <v>6.78231196307649</v>
      </c>
      <c r="AS49" s="13" t="n">
        <f aca="false">Inputs!$F$139*(Inputs!$F$140*AS20/100+(1-Inputs!$F$140)*AS26/100*Inputs!$F$138/AS11)</f>
        <v>6.85986515483167</v>
      </c>
      <c r="AT49" s="13" t="n">
        <f aca="false">Inputs!$F$139*(Inputs!$F$140*AT20/100+(1-Inputs!$F$140)*AT26/100*Inputs!$F$138/AT11)</f>
        <v>6.93830513822725</v>
      </c>
      <c r="AU49" s="13" t="n">
        <f aca="false">Inputs!$F$139*(Inputs!$F$140*AU20/100+(1-Inputs!$F$140)*AU26/100*Inputs!$F$138/AU11)</f>
        <v>7.0176420533928</v>
      </c>
      <c r="AV49" s="13" t="n">
        <f aca="false">Inputs!$F$139*(Inputs!$F$140*AV20/100+(1-Inputs!$F$140)*AV26/100*Inputs!$F$138/AV11)</f>
        <v>7.09788615640647</v>
      </c>
      <c r="AW49" s="13" t="n">
        <f aca="false">Inputs!$F$139*(Inputs!$F$140*AW20/100+(1-Inputs!$F$140)*AW26/100*Inputs!$F$138/AW11)</f>
        <v>7.17904782062083</v>
      </c>
      <c r="AX49" s="13" t="n">
        <f aca="false">Inputs!$F$139*(Inputs!$F$140*AX20/100+(1-Inputs!$F$140)*AX26/100*Inputs!$F$138/AX11)</f>
        <v>7.26113753800382</v>
      </c>
      <c r="AY49" s="13" t="n">
        <f aca="false">Inputs!$F$139*(Inputs!$F$140*AY20/100+(1-Inputs!$F$140)*AY26/100*Inputs!$F$138/AY11)</f>
        <v>7.34416592049511</v>
      </c>
      <c r="AZ49" s="13" t="n">
        <f aca="false">Inputs!$F$139*(Inputs!$F$140*AZ20/100+(1-Inputs!$F$140)*AZ26/100*Inputs!$F$138/AZ11)</f>
        <v>7.42814370137791</v>
      </c>
      <c r="BA49" s="13" t="n">
        <f aca="false">Inputs!$F$139*(Inputs!$F$140*BA20/100+(1-Inputs!$F$140)*BA26/100*Inputs!$F$138/BA11)</f>
        <v>7.5130817366665</v>
      </c>
      <c r="BB49" s="13" t="n">
        <f aca="false">Inputs!$F$139*(Inputs!$F$140*BB20/100+(1-Inputs!$F$140)*BB26/100*Inputs!$F$138/BB11)</f>
        <v>7.5989910065096</v>
      </c>
      <c r="BC49" s="13" t="n">
        <f aca="false">Inputs!$F$139*(Inputs!$F$140*BC20/100+(1-Inputs!$F$140)*BC26/100*Inputs!$F$138/BC11)</f>
        <v>7.68588261660982</v>
      </c>
      <c r="BD49" s="13" t="n">
        <f aca="false">Inputs!$F$139*(Inputs!$F$140*BD20/100+(1-Inputs!$F$140)*BD26/100*Inputs!$F$138/BD11)</f>
        <v>7.77376779965932</v>
      </c>
      <c r="BE49" s="13" t="n">
        <f aca="false">Inputs!$F$139*(Inputs!$F$140*BE20/100+(1-Inputs!$F$140)*BE26/100*Inputs!$F$138/BE11)</f>
        <v>7.86265791679185</v>
      </c>
      <c r="BF49" s="13" t="n">
        <f aca="false">Inputs!$F$139*(Inputs!$F$140*BF20/100+(1-Inputs!$F$140)*BF26/100*Inputs!$F$138/BF11)</f>
        <v>7.95256445905148</v>
      </c>
      <c r="BG49" s="13" t="n">
        <f aca="false">Inputs!$F$139*(Inputs!$F$140*BG20/100+(1-Inputs!$F$140)*BG26/100*Inputs!$F$138/BG11)</f>
        <v>8.04349904887806</v>
      </c>
      <c r="BH49" s="13" t="n">
        <f aca="false">Inputs!$F$139*(Inputs!$F$140*BH20/100+(1-Inputs!$F$140)*BH26/100*Inputs!$F$138/BH11)</f>
        <v>8.13547344160966</v>
      </c>
      <c r="BI49" s="13" t="n">
        <f aca="false">Inputs!$F$139*(Inputs!$F$140*BI20/100+(1-Inputs!$F$140)*BI26/100*Inputs!$F$138/BI11)</f>
        <v>8.22849952700225</v>
      </c>
      <c r="BJ49" s="13" t="n">
        <f aca="false">Inputs!$F$139*(Inputs!$F$140*BJ20/100+(1-Inputs!$F$140)*BJ26/100*Inputs!$F$138/BJ11)</f>
        <v>8.32258933076668</v>
      </c>
      <c r="BK49" s="13" t="n">
        <f aca="false">Inputs!$F$139*(Inputs!$F$140*BK20/100+(1-Inputs!$F$140)*BK26/100*Inputs!$F$138/BK11)</f>
        <v>8.4177550161233</v>
      </c>
      <c r="BL49" s="13" t="n">
        <f aca="false">Inputs!$F$139*(Inputs!$F$140*BL20/100+(1-Inputs!$F$140)*BL26/100*Inputs!$F$138/BL11)</f>
        <v>8.51400888537432</v>
      </c>
      <c r="BM49" s="13" t="n">
        <f aca="false">Inputs!$F$139*(Inputs!$F$140*BM20/100+(1-Inputs!$F$140)*BM26/100*Inputs!$F$138/BM11)</f>
        <v>8.61136338149414</v>
      </c>
      <c r="BN49" s="13" t="n">
        <f aca="false">Inputs!$F$139*(Inputs!$F$140*BN20/100+(1-Inputs!$F$140)*BN26/100*Inputs!$F$138/BN11)</f>
        <v>8.70983108973792</v>
      </c>
    </row>
    <row r="50" customFormat="false" ht="15" hidden="false" customHeight="false" outlineLevel="0" collapsed="false">
      <c r="D50" s="0" t="s">
        <v>606</v>
      </c>
      <c r="E50" s="0" t="s">
        <v>149</v>
      </c>
      <c r="G50" s="13" t="n">
        <f aca="false">SUM(J50:BN50)</f>
        <v>575.479732566376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0</v>
      </c>
      <c r="P50" s="13" t="n">
        <f aca="false">P38*P49/1000000</f>
        <v>1.26661438596605</v>
      </c>
      <c r="Q50" s="13" t="n">
        <f aca="false">Q38*Q49/1000000</f>
        <v>8.42476330767893</v>
      </c>
      <c r="R50" s="13" t="n">
        <f aca="false">R38*R49/1000000</f>
        <v>8.00024564759685</v>
      </c>
      <c r="S50" s="13" t="n">
        <f aca="false">S38*S49/1000000</f>
        <v>7.44846644551775</v>
      </c>
      <c r="T50" s="13" t="n">
        <f aca="false">T38*T49/1000000</f>
        <v>7.88043115569634</v>
      </c>
      <c r="U50" s="13" t="n">
        <f aca="false">U38*U49/1000000</f>
        <v>8.26998723119478</v>
      </c>
      <c r="V50" s="13" t="n">
        <f aca="false">V38*V49/1000000</f>
        <v>8.6872785939785</v>
      </c>
      <c r="W50" s="13" t="n">
        <f aca="false">W38*W49/1000000</f>
        <v>8.77994714692147</v>
      </c>
      <c r="X50" s="13" t="n">
        <f aca="false">X38*X49/1000000</f>
        <v>9.14822789330573</v>
      </c>
      <c r="Y50" s="13" t="n">
        <f aca="false">Y38*Y49/1000000</f>
        <v>9.66032224628101</v>
      </c>
      <c r="Z50" s="13" t="n">
        <f aca="false">Z38*Z49/1000000</f>
        <v>9.84457964690187</v>
      </c>
      <c r="AA50" s="13" t="n">
        <f aca="false">AA38*AA49/1000000</f>
        <v>9.90396782664646</v>
      </c>
      <c r="AB50" s="13" t="n">
        <f aca="false">AB38*AB49/1000000</f>
        <v>10.0430991191616</v>
      </c>
      <c r="AC50" s="13" t="n">
        <f aca="false">AC38*AC49/1000000</f>
        <v>10.2481433848821</v>
      </c>
      <c r="AD50" s="13" t="n">
        <f aca="false">AD38*AD49/1000000</f>
        <v>10.2717000295098</v>
      </c>
      <c r="AE50" s="13" t="n">
        <f aca="false">AE38*AE49/1000000</f>
        <v>9.90661195105354</v>
      </c>
      <c r="AF50" s="13" t="n">
        <f aca="false">AF38*AF49/1000000</f>
        <v>10.1082382661574</v>
      </c>
      <c r="AG50" s="13" t="n">
        <f aca="false">AG38*AG49/1000000</f>
        <v>10.7009125927665</v>
      </c>
      <c r="AH50" s="13" t="n">
        <f aca="false">AH38*AH49/1000000</f>
        <v>10.7977584428985</v>
      </c>
      <c r="AI50" s="13" t="n">
        <f aca="false">AI38*AI49/1000000</f>
        <v>10.8255292211028</v>
      </c>
      <c r="AJ50" s="13" t="n">
        <f aca="false">AJ38*AJ49/1000000</f>
        <v>10.9586522460194</v>
      </c>
      <c r="AK50" s="13" t="n">
        <f aca="false">AK38*AK49/1000000</f>
        <v>11.1647936372617</v>
      </c>
      <c r="AL50" s="13" t="n">
        <f aca="false">AL38*AL49/1000000</f>
        <v>11.2196977901292</v>
      </c>
      <c r="AM50" s="13" t="n">
        <f aca="false">AM38*AM49/1000000</f>
        <v>11.0151265403568</v>
      </c>
      <c r="AN50" s="13" t="n">
        <f aca="false">AN38*AN49/1000000</f>
        <v>11.1981140142931</v>
      </c>
      <c r="AO50" s="13" t="n">
        <f aca="false">AO38*AO49/1000000</f>
        <v>11.6486756063812</v>
      </c>
      <c r="AP50" s="13" t="n">
        <f aca="false">AP38*AP49/1000000</f>
        <v>11.7540443272279</v>
      </c>
      <c r="AQ50" s="13" t="n">
        <f aca="false">AQ38*AQ49/1000000</f>
        <v>11.7842197413444</v>
      </c>
      <c r="AR50" s="13" t="n">
        <f aca="false">AR38*AR49/1000000</f>
        <v>11.9290763190478</v>
      </c>
      <c r="AS50" s="13" t="n">
        <f aca="false">AS38*AS49/1000000</f>
        <v>12.1534154679028</v>
      </c>
      <c r="AT50" s="13" t="n">
        <f aca="false">AT38*AT49/1000000</f>
        <v>12.1716571823603</v>
      </c>
      <c r="AU50" s="13" t="n">
        <f aca="false">AU38*AU49/1000000</f>
        <v>11.7389294762377</v>
      </c>
      <c r="AV50" s="13" t="n">
        <f aca="false">AV38*AV49/1000000</f>
        <v>11.9777367525243</v>
      </c>
      <c r="AW50" s="13" t="n">
        <f aca="false">AW38*AW49/1000000</f>
        <v>12.6799066363533</v>
      </c>
      <c r="AX50" s="13" t="n">
        <f aca="false">AX38*AX49/1000000</f>
        <v>12.7945432326516</v>
      </c>
      <c r="AY50" s="13" t="n">
        <f aca="false">AY38*AY49/1000000</f>
        <v>12.827329426694</v>
      </c>
      <c r="AZ50" s="13" t="n">
        <f aca="false">AZ38*AZ49/1000000</f>
        <v>12.984947083134</v>
      </c>
      <c r="BA50" s="13" t="n">
        <f aca="false">BA38*BA49/1000000</f>
        <v>13.2290805093795</v>
      </c>
      <c r="BB50" s="13" t="n">
        <f aca="false">BB38*BB49/1000000</f>
        <v>13.2940109667961</v>
      </c>
      <c r="BC50" s="13" t="n">
        <f aca="false">BC38*BC49/1000000</f>
        <v>13.0514953327803</v>
      </c>
      <c r="BD50" s="13" t="n">
        <f aca="false">BD38*BD49/1000000</f>
        <v>13.2681865364174</v>
      </c>
      <c r="BE50" s="13" t="n">
        <f aca="false">BE38*BE49/1000000</f>
        <v>13.8019080681853</v>
      </c>
      <c r="BF50" s="13" t="n">
        <f aca="false">BF38*BF49/1000000</f>
        <v>13.926622147405</v>
      </c>
      <c r="BG50" s="13" t="n">
        <f aca="false">BG38*BG49/1000000</f>
        <v>13.9622427208493</v>
      </c>
      <c r="BH50" s="13" t="n">
        <f aca="false">BH38*BH49/1000000</f>
        <v>14.1337382771442</v>
      </c>
      <c r="BI50" s="13" t="n">
        <f aca="false">BI38*BI49/1000000</f>
        <v>14.3994015446713</v>
      </c>
      <c r="BJ50" s="13" t="n">
        <f aca="false">BJ38*BJ49/1000000</f>
        <v>14.4208770366749</v>
      </c>
      <c r="BK50" s="13" t="n">
        <f aca="false">BK38*BK49/1000000</f>
        <v>13.9080522265621</v>
      </c>
      <c r="BL50" s="13" t="n">
        <f aca="false">BL38*BL49/1000000</f>
        <v>14.1908508087696</v>
      </c>
      <c r="BM50" s="13" t="n">
        <f aca="false">BM38*BM49/1000000</f>
        <v>15.0226161580181</v>
      </c>
      <c r="BN50" s="13" t="n">
        <f aca="false">BN38*BN49/1000000</f>
        <v>12.652960217585</v>
      </c>
    </row>
    <row r="51" customFormat="false" ht="15" hidden="false" customHeight="false" outlineLevel="0" collapsed="false">
      <c r="D51" s="0" t="s">
        <v>607</v>
      </c>
      <c r="E51" s="0" t="s">
        <v>149</v>
      </c>
      <c r="G51" s="13" t="n">
        <f aca="false">SUM(J51:BN51)</f>
        <v>4901.59159924169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0</v>
      </c>
      <c r="P51" s="13" t="n">
        <f aca="false">P38*P40*(1000*Inputs!$F$123/Inputs!$F$124)*P41/1000000</f>
        <v>12.7474357593207</v>
      </c>
      <c r="Q51" s="13" t="n">
        <f aca="false">Q38*Q40*(1000*Inputs!$F$123/Inputs!$F$124)*Q41/1000000</f>
        <v>85.6502615009521</v>
      </c>
      <c r="R51" s="13" t="n">
        <f aca="false">R38*R40*(1000*Inputs!$F$123/Inputs!$F$124)*R41/1000000</f>
        <v>82.9474374816999</v>
      </c>
      <c r="S51" s="13" t="n">
        <f aca="false">S38*S40*(1000*Inputs!$F$123/Inputs!$F$124)*S41/1000000</f>
        <v>78.7599742483568</v>
      </c>
      <c r="T51" s="13" t="n">
        <f aca="false">T38*T40*(1000*Inputs!$F$123/Inputs!$F$124)*T41/1000000</f>
        <v>78.8672207281559</v>
      </c>
      <c r="U51" s="13" t="n">
        <f aca="false">U38*U40*(1000*Inputs!$F$123/Inputs!$F$124)*U41/1000000</f>
        <v>81.0724174414755</v>
      </c>
      <c r="V51" s="13" t="n">
        <f aca="false">V38*V40*(1000*Inputs!$F$123/Inputs!$F$124)*V41/1000000</f>
        <v>80.5909620115782</v>
      </c>
      <c r="W51" s="13" t="n">
        <f aca="false">W38*W40*(1000*Inputs!$F$123/Inputs!$F$124)*W41/1000000</f>
        <v>79.8320900308212</v>
      </c>
      <c r="X51" s="13" t="n">
        <f aca="false">X38*X40*(1000*Inputs!$F$123/Inputs!$F$124)*X41/1000000</f>
        <v>80.2814943979829</v>
      </c>
      <c r="Y51" s="13" t="n">
        <f aca="false">Y38*Y40*(1000*Inputs!$F$123/Inputs!$F$124)*Y41/1000000</f>
        <v>84.2616072128242</v>
      </c>
      <c r="Z51" s="13" t="n">
        <f aca="false">Z38*Z40*(1000*Inputs!$F$123/Inputs!$F$124)*Z41/1000000</f>
        <v>84.1052028840303</v>
      </c>
      <c r="AA51" s="13" t="n">
        <f aca="false">AA38*AA40*(1000*Inputs!$F$123/Inputs!$F$124)*AA41/1000000</f>
        <v>85.0782978110295</v>
      </c>
      <c r="AB51" s="13" t="n">
        <f aca="false">AB38*AB40*(1000*Inputs!$F$123/Inputs!$F$124)*AB41/1000000</f>
        <v>85.1935911690799</v>
      </c>
      <c r="AC51" s="13" t="n">
        <f aca="false">AC38*AC40*(1000*Inputs!$F$123/Inputs!$F$124)*AC41/1000000</f>
        <v>87.5751060575128</v>
      </c>
      <c r="AD51" s="13" t="n">
        <f aca="false">AD38*AD40*(1000*Inputs!$F$123/Inputs!$F$124)*AD41/1000000</f>
        <v>86.758889656688</v>
      </c>
      <c r="AE51" s="13" t="n">
        <f aca="false">AE38*AE40*(1000*Inputs!$F$123/Inputs!$F$124)*AE41/1000000</f>
        <v>84.4257220958956</v>
      </c>
      <c r="AF51" s="13" t="n">
        <f aca="false">AF38*AF40*(1000*Inputs!$F$123/Inputs!$F$124)*AF41/1000000</f>
        <v>85.212400239831</v>
      </c>
      <c r="AG51" s="13" t="n">
        <f aca="false">AG38*AG40*(1000*Inputs!$F$123/Inputs!$F$124)*AG41/1000000</f>
        <v>91.0177102868353</v>
      </c>
      <c r="AH51" s="13" t="n">
        <f aca="false">AH38*AH40*(1000*Inputs!$F$123/Inputs!$F$124)*AH41/1000000</f>
        <v>90.8481690991381</v>
      </c>
      <c r="AI51" s="13" t="n">
        <f aca="false">AI38*AI40*(1000*Inputs!$F$123/Inputs!$F$124)*AI41/1000000</f>
        <v>91.8986762616863</v>
      </c>
      <c r="AJ51" s="13" t="n">
        <f aca="false">AJ38*AJ40*(1000*Inputs!$F$123/Inputs!$F$124)*AJ41/1000000</f>
        <v>92.0226072379984</v>
      </c>
      <c r="AK51" s="13" t="n">
        <f aca="false">AK38*AK40*(1000*Inputs!$F$123/Inputs!$F$124)*AK41/1000000</f>
        <v>94.5943991409492</v>
      </c>
      <c r="AL51" s="13" t="n">
        <f aca="false">AL38*AL40*(1000*Inputs!$F$123/Inputs!$F$124)*AL41/1000000</f>
        <v>94.031407760169</v>
      </c>
      <c r="AM51" s="13" t="n">
        <f aca="false">AM38*AM40*(1000*Inputs!$F$123/Inputs!$F$124)*AM41/1000000</f>
        <v>93.1447521523658</v>
      </c>
      <c r="AN51" s="13" t="n">
        <f aca="false">AN38*AN40*(1000*Inputs!$F$123/Inputs!$F$124)*AN41/1000000</f>
        <v>93.6678667990417</v>
      </c>
      <c r="AO51" s="13" t="n">
        <f aca="false">AO38*AO40*(1000*Inputs!$F$123/Inputs!$F$124)*AO41/1000000</f>
        <v>98.3103416716607</v>
      </c>
      <c r="AP51" s="13" t="n">
        <f aca="false">AP38*AP40*(1000*Inputs!$F$123/Inputs!$F$124)*AP41/1000000</f>
        <v>98.1265681974824</v>
      </c>
      <c r="AQ51" s="13" t="n">
        <f aca="false">AQ38*AQ40*(1000*Inputs!$F$123/Inputs!$F$124)*AQ41/1000000</f>
        <v>99.2605817716774</v>
      </c>
      <c r="AR51" s="13" t="n">
        <f aca="false">AR38*AR40*(1000*Inputs!$F$123/Inputs!$F$124)*AR41/1000000</f>
        <v>99.3937832292389</v>
      </c>
      <c r="AS51" s="13" t="n">
        <f aca="false">AS38*AS40*(1000*Inputs!$F$123/Inputs!$F$124)*AS41/1000000</f>
        <v>102.17090387996</v>
      </c>
      <c r="AT51" s="13" t="n">
        <f aca="false">AT38*AT40*(1000*Inputs!$F$123/Inputs!$F$124)*AT41/1000000</f>
        <v>101.217314841923</v>
      </c>
      <c r="AU51" s="13" t="n">
        <f aca="false">AU38*AU40*(1000*Inputs!$F$123/Inputs!$F$124)*AU41/1000000</f>
        <v>98.4940212879942</v>
      </c>
      <c r="AV51" s="13" t="n">
        <f aca="false">AV38*AV40*(1000*Inputs!$F$123/Inputs!$F$124)*AV41/1000000</f>
        <v>99.4104724700738</v>
      </c>
      <c r="AW51" s="13" t="n">
        <f aca="false">AW38*AW40*(1000*Inputs!$F$123/Inputs!$F$124)*AW41/1000000</f>
        <v>106.181656117547</v>
      </c>
      <c r="AX51" s="13" t="n">
        <f aca="false">AX38*AX40*(1000*Inputs!$F$123/Inputs!$F$124)*AX41/1000000</f>
        <v>105.982464224198</v>
      </c>
      <c r="AY51" s="13" t="n">
        <f aca="false">AY38*AY40*(1000*Inputs!$F$123/Inputs!$F$124)*AY41/1000000</f>
        <v>107.206552453022</v>
      </c>
      <c r="AZ51" s="13" t="n">
        <f aca="false">AZ38*AZ40*(1000*Inputs!$F$123/Inputs!$F$124)*AZ41/1000000</f>
        <v>107.349702259629</v>
      </c>
      <c r="BA51" s="13" t="n">
        <f aca="false">BA38*BA40*(1000*Inputs!$F$123/Inputs!$F$124)*BA41/1000000</f>
        <v>110.348380761902</v>
      </c>
      <c r="BB51" s="13" t="n">
        <f aca="false">BB38*BB40*(1000*Inputs!$F$123/Inputs!$F$124)*BB41/1000000</f>
        <v>109.690169270263</v>
      </c>
      <c r="BC51" s="13" t="n">
        <f aca="false">BC38*BC40*(1000*Inputs!$F$123/Inputs!$F$124)*BC41/1000000</f>
        <v>108.654416087526</v>
      </c>
      <c r="BD51" s="13" t="n">
        <f aca="false">BD38*BD40*(1000*Inputs!$F$123/Inputs!$F$124)*BD41/1000000</f>
        <v>109.263180487887</v>
      </c>
      <c r="BE51" s="13" t="n">
        <f aca="false">BE38*BE40*(1000*Inputs!$F$123/Inputs!$F$124)*BE41/1000000</f>
        <v>114.677080174812</v>
      </c>
      <c r="BF51" s="13" t="n">
        <f aca="false">BF38*BF40*(1000*Inputs!$F$123/Inputs!$F$124)*BF41/1000000</f>
        <v>114.461185565561</v>
      </c>
      <c r="BG51" s="13" t="n">
        <f aca="false">BG38*BG40*(1000*Inputs!$F$123/Inputs!$F$124)*BG41/1000000</f>
        <v>115.782427124093</v>
      </c>
      <c r="BH51" s="13" t="n">
        <f aca="false">BH38*BH40*(1000*Inputs!$F$123/Inputs!$F$124)*BH41/1000000</f>
        <v>115.936251219054</v>
      </c>
      <c r="BI51" s="13" t="n">
        <f aca="false">BI38*BI40*(1000*Inputs!$F$123/Inputs!$F$124)*BI41/1000000</f>
        <v>119.173984954597</v>
      </c>
      <c r="BJ51" s="13" t="n">
        <f aca="false">BJ38*BJ40*(1000*Inputs!$F$123/Inputs!$F$124)*BJ41/1000000</f>
        <v>118.060121925624</v>
      </c>
      <c r="BK51" s="13" t="n">
        <f aca="false">BK38*BK40*(1000*Inputs!$F$123/Inputs!$F$124)*BK41/1000000</f>
        <v>114.882127395559</v>
      </c>
      <c r="BL51" s="13" t="n">
        <f aca="false">BL38*BL40*(1000*Inputs!$F$123/Inputs!$F$124)*BL41/1000000</f>
        <v>115.949510089741</v>
      </c>
      <c r="BM51" s="13" t="n">
        <f aca="false">BM38*BM40*(1000*Inputs!$F$123/Inputs!$F$124)*BM41/1000000</f>
        <v>123.845562492629</v>
      </c>
      <c r="BN51" s="13" t="n">
        <f aca="false">BN38*BN40*(1000*Inputs!$F$123/Inputs!$F$124)*BN41/1000000</f>
        <v>103.177139822621</v>
      </c>
    </row>
    <row r="52" customFormat="false" ht="15" hidden="false" customHeight="false" outlineLevel="0" collapsed="false">
      <c r="D52" s="0" t="s">
        <v>608</v>
      </c>
      <c r="E52" s="0" t="s">
        <v>149</v>
      </c>
      <c r="G52" s="13" t="n">
        <f aca="false">SUM(J52:BN52)</f>
        <v>696.384199649914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0</v>
      </c>
      <c r="P52" s="13" t="n">
        <f aca="false">Inputs!$F$146*Time!P31*Inputs!$F$147*(1+Inputs!$F$149/100)^(Time!P26-Inputs!$F$256)/1000000</f>
        <v>1.93945105246375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16.4303479493762</v>
      </c>
      <c r="BN52" s="13" t="n">
        <f aca="false">Inputs!$F$146*Time!BN31*Inputs!$F$147*(1+Inputs!$F$149/100)^(Time!BN26-Inputs!$F$256)/1000000</f>
        <v>13.8886366643899</v>
      </c>
    </row>
    <row r="53" customFormat="false" ht="15" hidden="false" customHeight="false" outlineLevel="0" collapsed="false">
      <c r="D53" s="0" t="s">
        <v>609</v>
      </c>
      <c r="E53" s="0" t="s">
        <v>149</v>
      </c>
      <c r="G53" s="13" t="n">
        <f aca="false">SUM(J53:BN53)</f>
        <v>147.06187326324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</v>
      </c>
      <c r="P53" s="13" t="n">
        <f aca="false">P42*Inputs!$F$148*(1+Inputs!$F$149/100)^(Time!P26-Inputs!$F$256)/1000000</f>
        <v>0.408123661554118</v>
      </c>
      <c r="Q53" s="13" t="n">
        <f aca="false">Q42*Inputs!$F$148*(1+Inputs!$F$149/100)^(Time!Q26-Inputs!$F$256)/1000000</f>
        <v>2.72890759143673</v>
      </c>
      <c r="R53" s="13" t="n">
        <f aca="false">R42*Inputs!$F$148*(1+Inputs!$F$149/100)^(Time!R26-Inputs!$F$256)/1000000</f>
        <v>2.64305672353769</v>
      </c>
      <c r="S53" s="13" t="n">
        <f aca="false">S42*Inputs!$F$148*(1+Inputs!$F$149/100)^(Time!S26-Inputs!$F$256)/1000000</f>
        <v>2.497573467346</v>
      </c>
      <c r="T53" s="13" t="n">
        <f aca="false">T42*Inputs!$F$148*(1+Inputs!$F$149/100)^(Time!T26-Inputs!$F$256)/1000000</f>
        <v>2.50122362313011</v>
      </c>
      <c r="U53" s="13" t="n">
        <f aca="false">U42*Inputs!$F$148*(1+Inputs!$F$149/100)^(Time!U26-Inputs!$F$256)/1000000</f>
        <v>2.55881100499938</v>
      </c>
      <c r="V53" s="13" t="n">
        <f aca="false">V42*Inputs!$F$148*(1+Inputs!$F$149/100)^(Time!V26-Inputs!$F$256)/1000000</f>
        <v>2.54386822339043</v>
      </c>
      <c r="W53" s="13" t="n">
        <f aca="false">W42*Inputs!$F$148*(1+Inputs!$F$149/100)^(Time!W26-Inputs!$F$256)/1000000</f>
        <v>2.50781084790856</v>
      </c>
      <c r="X53" s="13" t="n">
        <f aca="false">X42*Inputs!$F$148*(1+Inputs!$F$149/100)^(Time!X26-Inputs!$F$256)/1000000</f>
        <v>2.52217847175019</v>
      </c>
      <c r="Y53" s="13" t="n">
        <f aca="false">Y42*Inputs!$F$148*(1+Inputs!$F$149/100)^(Time!Y26-Inputs!$F$256)/1000000</f>
        <v>2.63450494093857</v>
      </c>
      <c r="Z53" s="13" t="n">
        <f aca="false">Z42*Inputs!$F$148*(1+Inputs!$F$149/100)^(Time!Z26-Inputs!$F$256)/1000000</f>
        <v>2.62987518031242</v>
      </c>
      <c r="AA53" s="13" t="n">
        <f aca="false">AA42*Inputs!$F$148*(1+Inputs!$F$149/100)^(Time!AA26-Inputs!$F$256)/1000000</f>
        <v>2.64752386869151</v>
      </c>
      <c r="AB53" s="13" t="n">
        <f aca="false">AB42*Inputs!$F$148*(1+Inputs!$F$149/100)^(Time!AB26-Inputs!$F$256)/1000000</f>
        <v>2.65137354269658</v>
      </c>
      <c r="AC53" s="13" t="n">
        <f aca="false">AC42*Inputs!$F$148*(1+Inputs!$F$149/100)^(Time!AC26-Inputs!$F$256)/1000000</f>
        <v>2.71239783620011</v>
      </c>
      <c r="AD53" s="13" t="n">
        <f aca="false">AD42*Inputs!$F$148*(1+Inputs!$F$149/100)^(Time!AD26-Inputs!$F$256)/1000000</f>
        <v>2.68738265503187</v>
      </c>
      <c r="AE53" s="13" t="n">
        <f aca="false">AE42*Inputs!$F$148*(1+Inputs!$F$149/100)^(Time!AE26-Inputs!$F$256)/1000000</f>
        <v>2.60254914615226</v>
      </c>
      <c r="AF53" s="13" t="n">
        <f aca="false">AF42*Inputs!$F$148*(1+Inputs!$F$149/100)^(Time!AF26-Inputs!$F$256)/1000000</f>
        <v>2.62705804114404</v>
      </c>
      <c r="AG53" s="13" t="n">
        <f aca="false">AG42*Inputs!$F$148*(1+Inputs!$F$149/100)^(Time!AG26-Inputs!$F$256)/1000000</f>
        <v>2.79255228475565</v>
      </c>
      <c r="AH53" s="13" t="n">
        <f aca="false">AH42*Inputs!$F$148*(1+Inputs!$F$149/100)^(Time!AH26-Inputs!$F$256)/1000000</f>
        <v>2.78762407981226</v>
      </c>
      <c r="AI53" s="13" t="n">
        <f aca="false">AI42*Inputs!$F$148*(1+Inputs!$F$149/100)^(Time!AI26-Inputs!$F$256)/1000000</f>
        <v>2.80631054898283</v>
      </c>
      <c r="AJ53" s="13" t="n">
        <f aca="false">AJ42*Inputs!$F$148*(1+Inputs!$F$149/100)^(Time!AJ26-Inputs!$F$256)/1000000</f>
        <v>2.81037022112372</v>
      </c>
      <c r="AK53" s="13" t="n">
        <f aca="false">AK42*Inputs!$F$148*(1+Inputs!$F$149/100)^(Time!AK26-Inputs!$F$256)/1000000</f>
        <v>2.87503261976931</v>
      </c>
      <c r="AL53" s="13" t="n">
        <f aca="false">AL42*Inputs!$F$148*(1+Inputs!$F$149/100)^(Time!AL26-Inputs!$F$256)/1000000</f>
        <v>2.85820074000908</v>
      </c>
      <c r="AM53" s="13" t="n">
        <f aca="false">AM42*Inputs!$F$148*(1+Inputs!$F$149/100)^(Time!AM26-Inputs!$F$256)/1000000</f>
        <v>2.81764607762169</v>
      </c>
      <c r="AN53" s="13" t="n">
        <f aca="false">AN42*Inputs!$F$148*(1+Inputs!$F$149/100)^(Time!AN26-Inputs!$F$256)/1000000</f>
        <v>2.83374666894219</v>
      </c>
      <c r="AO53" s="13" t="n">
        <f aca="false">AO42*Inputs!$F$148*(1+Inputs!$F$149/100)^(Time!AO26-Inputs!$F$256)/1000000</f>
        <v>2.95990496046848</v>
      </c>
      <c r="AP53" s="13" t="n">
        <f aca="false">AP42*Inputs!$F$148*(1+Inputs!$F$149/100)^(Time!AP26-Inputs!$F$256)/1000000</f>
        <v>2.95465939102487</v>
      </c>
      <c r="AQ53" s="13" t="n">
        <f aca="false">AQ42*Inputs!$F$148*(1+Inputs!$F$149/100)^(Time!AQ26-Inputs!$F$256)/1000000</f>
        <v>2.97444337464817</v>
      </c>
      <c r="AR53" s="13" t="n">
        <f aca="false">AR42*Inputs!$F$148*(1+Inputs!$F$149/100)^(Time!AR26-Inputs!$F$256)/1000000</f>
        <v>2.97872404366323</v>
      </c>
      <c r="AS53" s="13" t="n">
        <f aca="false">AS42*Inputs!$F$148*(1+Inputs!$F$149/100)^(Time!AS26-Inputs!$F$256)/1000000</f>
        <v>3.04723726022646</v>
      </c>
      <c r="AT53" s="13" t="n">
        <f aca="false">AT42*Inputs!$F$148*(1+Inputs!$F$149/100)^(Time!AT26-Inputs!$F$256)/1000000</f>
        <v>3.01908899731821</v>
      </c>
      <c r="AU53" s="13" t="n">
        <f aca="false">AU42*Inputs!$F$148*(1+Inputs!$F$149/100)^(Time!AU26-Inputs!$F$256)/1000000</f>
        <v>2.92374078898384</v>
      </c>
      <c r="AV53" s="13" t="n">
        <f aca="false">AV42*Inputs!$F$148*(1+Inputs!$F$149/100)^(Time!AV26-Inputs!$F$256)/1000000</f>
        <v>2.95123038418024</v>
      </c>
      <c r="AW53" s="13" t="n">
        <f aca="false">AW42*Inputs!$F$148*(1+Inputs!$F$149/100)^(Time!AW26-Inputs!$F$256)/1000000</f>
        <v>3.1370993558864</v>
      </c>
      <c r="AX53" s="13" t="n">
        <f aca="false">AX42*Inputs!$F$148*(1+Inputs!$F$149/100)^(Time!AX26-Inputs!$F$256)/1000000</f>
        <v>3.13151632032495</v>
      </c>
      <c r="AY53" s="13" t="n">
        <f aca="false">AY42*Inputs!$F$148*(1+Inputs!$F$149/100)^(Time!AY26-Inputs!$F$256)/1000000</f>
        <v>3.15246090319439</v>
      </c>
      <c r="AZ53" s="13" t="n">
        <f aca="false">AZ42*Inputs!$F$148*(1+Inputs!$F$149/100)^(Time!AZ26-Inputs!$F$256)/1000000</f>
        <v>3.15697410987151</v>
      </c>
      <c r="BA53" s="13" t="n">
        <f aca="false">BA42*Inputs!$F$148*(1+Inputs!$F$149/100)^(Time!BA26-Inputs!$F$256)/1000000</f>
        <v>3.22956301835661</v>
      </c>
      <c r="BB53" s="13" t="n">
        <f aca="false">BB42*Inputs!$F$148*(1+Inputs!$F$149/100)^(Time!BB26-Inputs!$F$256)/1000000</f>
        <v>3.21060747350747</v>
      </c>
      <c r="BC53" s="13" t="n">
        <f aca="false">BC42*Inputs!$F$148*(1+Inputs!$F$149/100)^(Time!BC26-Inputs!$F$256)/1000000</f>
        <v>3.16500514592022</v>
      </c>
      <c r="BD53" s="13" t="n">
        <f aca="false">BD42*Inputs!$F$148*(1+Inputs!$F$149/100)^(Time!BD26-Inputs!$F$256)/1000000</f>
        <v>3.18304291179991</v>
      </c>
      <c r="BE53" s="13" t="n">
        <f aca="false">BE42*Inputs!$F$148*(1+Inputs!$F$149/100)^(Time!BE26-Inputs!$F$256)/1000000</f>
        <v>3.32470200450799</v>
      </c>
      <c r="BF53" s="13" t="n">
        <f aca="false">BF42*Inputs!$F$148*(1+Inputs!$F$149/100)^(Time!BF26-Inputs!$F$256)/1000000</f>
        <v>3.31876014705678</v>
      </c>
      <c r="BG53" s="13" t="n">
        <f aca="false">BG42*Inputs!$F$148*(1+Inputs!$F$149/100)^(Time!BG26-Inputs!$F$256)/1000000</f>
        <v>3.34093194702467</v>
      </c>
      <c r="BH53" s="13" t="n">
        <f aca="false">BH42*Inputs!$F$148*(1+Inputs!$F$149/100)^(Time!BH26-Inputs!$F$256)/1000000</f>
        <v>3.3456897982637</v>
      </c>
      <c r="BI53" s="13" t="n">
        <f aca="false">BI42*Inputs!$F$148*(1+Inputs!$F$149/100)^(Time!BI26-Inputs!$F$256)/1000000</f>
        <v>3.42259211040503</v>
      </c>
      <c r="BJ53" s="13" t="n">
        <f aca="false">BJ42*Inputs!$F$148*(1+Inputs!$F$149/100)^(Time!BJ26-Inputs!$F$256)/1000000</f>
        <v>3.39092559535138</v>
      </c>
      <c r="BK53" s="13" t="n">
        <f aca="false">BK42*Inputs!$F$148*(1+Inputs!$F$149/100)^(Time!BK26-Inputs!$F$256)/1000000</f>
        <v>3.28378472419834</v>
      </c>
      <c r="BL53" s="13" t="n">
        <f aca="false">BL42*Inputs!$F$148*(1+Inputs!$F$149/100)^(Time!BL26-Inputs!$F$256)/1000000</f>
        <v>3.3146096324957</v>
      </c>
      <c r="BM53" s="13" t="n">
        <f aca="false">BM42*Inputs!$F$148*(1+Inputs!$F$149/100)^(Time!BM26-Inputs!$F$256)/1000000</f>
        <v>3.5233112259024</v>
      </c>
      <c r="BN53" s="13" t="n">
        <f aca="false">BN42*Inputs!$F$148*(1+Inputs!$F$149/100)^(Time!BN26-Inputs!$F$256)/1000000</f>
        <v>2.93556557142191</v>
      </c>
    </row>
    <row r="54" customFormat="false" ht="15" hidden="false" customHeight="false" outlineLevel="0" collapsed="false">
      <c r="D54" s="0" t="s">
        <v>610</v>
      </c>
      <c r="E54" s="0" t="s">
        <v>149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611</v>
      </c>
      <c r="E55" s="0" t="s">
        <v>149</v>
      </c>
      <c r="G55" s="13" t="n">
        <f aca="false">SUM(J55:BN55)</f>
        <v>4085.50567428437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0</v>
      </c>
      <c r="P55" s="13" t="n">
        <f aca="false">P48+P50</f>
        <v>11.2348785631155</v>
      </c>
      <c r="Q55" s="13" t="n">
        <f aca="false">Q48+Q50</f>
        <v>68.5453460917544</v>
      </c>
      <c r="R55" s="13" t="n">
        <f aca="false">R48+R50</f>
        <v>68.1823862140575</v>
      </c>
      <c r="S55" s="13" t="n">
        <f aca="false">S48+S50</f>
        <v>67.9932768425919</v>
      </c>
      <c r="T55" s="13" t="n">
        <f aca="false">T48+T50</f>
        <v>69.3339781927553</v>
      </c>
      <c r="U55" s="13" t="n">
        <f aca="false">U48+U50</f>
        <v>70.4074113476498</v>
      </c>
      <c r="V55" s="13" t="n">
        <f aca="false">V48+V50</f>
        <v>71.6909602632604</v>
      </c>
      <c r="W55" s="13" t="n">
        <f aca="false">W48+W50</f>
        <v>72.456980502426</v>
      </c>
      <c r="X55" s="13" t="n">
        <f aca="false">X48+X50</f>
        <v>73.4564111911155</v>
      </c>
      <c r="Y55" s="13" t="n">
        <f aca="false">Y48+Y50</f>
        <v>74.4774215343252</v>
      </c>
      <c r="Z55" s="13" t="n">
        <f aca="false">Z48+Z50</f>
        <v>75.1050798690105</v>
      </c>
      <c r="AA55" s="13" t="n">
        <f aca="false">AA48+AA50</f>
        <v>75.5184409285371</v>
      </c>
      <c r="AB55" s="13" t="n">
        <f aca="false">AB48+AB50</f>
        <v>75.9829017560604</v>
      </c>
      <c r="AC55" s="13" t="n">
        <f aca="false">AC48+AC50</f>
        <v>76.5070362148649</v>
      </c>
      <c r="AD55" s="13" t="n">
        <f aca="false">AD48+AD50</f>
        <v>76.8416458148473</v>
      </c>
      <c r="AE55" s="13" t="n">
        <f aca="false">AE48+AE50</f>
        <v>75.8131900768191</v>
      </c>
      <c r="AF55" s="13" t="n">
        <f aca="false">AF48+AF50</f>
        <v>76.9508884166337</v>
      </c>
      <c r="AG55" s="13" t="n">
        <f aca="false">AG48+AG50</f>
        <v>78.1889831969481</v>
      </c>
      <c r="AH55" s="13" t="n">
        <f aca="false">AH48+AH50</f>
        <v>78.5988961199892</v>
      </c>
      <c r="AI55" s="13" t="n">
        <f aca="false">AI48+AI50</f>
        <v>78.9433137755806</v>
      </c>
      <c r="AJ55" s="13" t="n">
        <f aca="false">AJ48+AJ50</f>
        <v>79.3967044160832</v>
      </c>
      <c r="AK55" s="13" t="n">
        <f aca="false">AK48+AK50</f>
        <v>79.9267755628926</v>
      </c>
      <c r="AL55" s="13" t="n">
        <f aca="false">AL48+AL50</f>
        <v>80.3093134865044</v>
      </c>
      <c r="AM55" s="13" t="n">
        <f aca="false">AM48+AM50</f>
        <v>80.4361223766772</v>
      </c>
      <c r="AN55" s="13" t="n">
        <f aca="false">AN48+AN50</f>
        <v>80.9542791980849</v>
      </c>
      <c r="AO55" s="13" t="n">
        <f aca="false">AO48+AO50</f>
        <v>81.7438426733369</v>
      </c>
      <c r="AP55" s="13" t="n">
        <f aca="false">AP48+AP50</f>
        <v>82.192089636647</v>
      </c>
      <c r="AQ55" s="13" t="n">
        <f aca="false">AQ48+AQ50</f>
        <v>82.5690639772401</v>
      </c>
      <c r="AR55" s="13" t="n">
        <f aca="false">AR48+AR50</f>
        <v>83.0646849969834</v>
      </c>
      <c r="AS55" s="13" t="n">
        <f aca="false">AS48+AS50</f>
        <v>83.6437994476241</v>
      </c>
      <c r="AT55" s="13" t="n">
        <f aca="false">AT48+AT50</f>
        <v>84.0208731862885</v>
      </c>
      <c r="AU55" s="13" t="n">
        <f aca="false">AU48+AU50</f>
        <v>82.9080162085709</v>
      </c>
      <c r="AV55" s="13" t="n">
        <f aca="false">AV48+AV50</f>
        <v>84.1940768694507</v>
      </c>
      <c r="AW55" s="13" t="n">
        <f aca="false">AW48+AW50</f>
        <v>85.6304255765742</v>
      </c>
      <c r="AX55" s="13" t="n">
        <f aca="false">AX48+AX50</f>
        <v>86.1205902923337</v>
      </c>
      <c r="AY55" s="13" t="n">
        <f aca="false">AY48+AY50</f>
        <v>86.53319862894</v>
      </c>
      <c r="AZ55" s="13" t="n">
        <f aca="false">AZ48+AZ50</f>
        <v>87.0749815515889</v>
      </c>
      <c r="BA55" s="13" t="n">
        <f aca="false">BA48+BA50</f>
        <v>87.7076730296771</v>
      </c>
      <c r="BB55" s="13" t="n">
        <f aca="false">BB48+BB50</f>
        <v>88.1656045544253</v>
      </c>
      <c r="BC55" s="13" t="n">
        <f aca="false">BC48+BC50</f>
        <v>88.3205838074448</v>
      </c>
      <c r="BD55" s="13" t="n">
        <f aca="false">BD48+BD50</f>
        <v>88.9393151029622</v>
      </c>
      <c r="BE55" s="13" t="n">
        <f aca="false">BE48+BE50</f>
        <v>89.879673904167</v>
      </c>
      <c r="BF55" s="13" t="n">
        <f aca="false">BF48+BF50</f>
        <v>90.4156749973803</v>
      </c>
      <c r="BG55" s="13" t="n">
        <f aca="false">BG48+BG50</f>
        <v>90.8672854974586</v>
      </c>
      <c r="BH55" s="13" t="n">
        <f aca="false">BH48+BH50</f>
        <v>91.4595276690689</v>
      </c>
      <c r="BI55" s="13" t="n">
        <f aca="false">BI48+BI50</f>
        <v>92.1507486315425</v>
      </c>
      <c r="BJ55" s="13" t="n">
        <f aca="false">BJ48+BJ50</f>
        <v>92.6026479110139</v>
      </c>
      <c r="BK55" s="13" t="n">
        <f aca="false">BK48+BK50</f>
        <v>91.3895880526631</v>
      </c>
      <c r="BL55" s="13" t="n">
        <f aca="false">BL48+BL50</f>
        <v>92.8530035399641</v>
      </c>
      <c r="BM55" s="13" t="n">
        <f aca="false">BM48+BM50</f>
        <v>94.5254145578016</v>
      </c>
      <c r="BN55" s="13" t="n">
        <f aca="false">BN48+BN50</f>
        <v>79.2806680306335</v>
      </c>
    </row>
    <row r="56" customFormat="false" ht="15" hidden="false" customHeight="false" outlineLevel="0" collapsed="false">
      <c r="D56" s="0" t="s">
        <v>612</v>
      </c>
      <c r="E56" s="0" t="s">
        <v>149</v>
      </c>
      <c r="G56" s="13" t="n">
        <f aca="false">SUM(J56:BN56)</f>
        <v>9830.54334643921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0</v>
      </c>
      <c r="P56" s="13" t="n">
        <f aca="false">P55+P51+P52+P53+P54</f>
        <v>26.3298890364541</v>
      </c>
      <c r="Q56" s="13" t="n">
        <f aca="false">Q55+Q51+Q52+Q53+Q54</f>
        <v>168.418265187478</v>
      </c>
      <c r="R56" s="13" t="n">
        <f aca="false">R55+R51+R52+R53+R54</f>
        <v>165.457134566332</v>
      </c>
      <c r="S56" s="13" t="n">
        <f aca="false">S55+S51+S52+S53+S54</f>
        <v>160.916980811679</v>
      </c>
      <c r="T56" s="13" t="n">
        <f aca="false">T55+T51+T52+T53+T54</f>
        <v>162.561940503283</v>
      </c>
      <c r="U56" s="13" t="n">
        <f aca="false">U55+U51+U52+U53+U54</f>
        <v>165.945209101792</v>
      </c>
      <c r="V56" s="13" t="n">
        <f aca="false">V55+V51+V52+V53+V54</f>
        <v>166.86320122686</v>
      </c>
      <c r="W56" s="13" t="n">
        <f aca="false">W55+W51+W52+W53+W54</f>
        <v>166.815647207299</v>
      </c>
      <c r="X56" s="13" t="n">
        <f aca="false">X55+X51+X52+X53+X54</f>
        <v>168.478055950409</v>
      </c>
      <c r="Y56" s="13" t="n">
        <f aca="false">Y55+Y51+Y52+Y53+Y54</f>
        <v>173.572581001623</v>
      </c>
      <c r="Z56" s="13" t="n">
        <f aca="false">Z55+Z51+Z52+Z53+Z54</f>
        <v>174.241399401257</v>
      </c>
      <c r="AA56" s="13" t="n">
        <f aca="false">AA55+AA51+AA52+AA53+AA54</f>
        <v>175.626295631497</v>
      </c>
      <c r="AB56" s="13" t="n">
        <f aca="false">AB55+AB51+AB52+AB53+AB54</f>
        <v>176.415126557759</v>
      </c>
      <c r="AC56" s="13" t="n">
        <f aca="false">AC55+AC51+AC52+AC53+AC54</f>
        <v>179.431738784726</v>
      </c>
      <c r="AD56" s="13" t="n">
        <f aca="false">AD55+AD51+AD52+AD53+AD54</f>
        <v>179.063987117838</v>
      </c>
      <c r="AE56" s="13" t="n">
        <f aca="false">AE55+AE51+AE52+AE53+AE54</f>
        <v>175.597741290233</v>
      </c>
      <c r="AF56" s="13" t="n">
        <f aca="false">AF55+AF51+AF52+AF53+AF54</f>
        <v>177.758056723749</v>
      </c>
      <c r="AG56" s="13" t="n">
        <f aca="false">AG55+AG51+AG52+AG53+AG54</f>
        <v>184.946869939475</v>
      </c>
      <c r="AH56" s="13" t="n">
        <f aca="false">AH55+AH51+AH52+AH53+AH54</f>
        <v>185.396914975472</v>
      </c>
      <c r="AI56" s="13" t="n">
        <f aca="false">AI55+AI51+AI52+AI53+AI54</f>
        <v>186.79013911975</v>
      </c>
      <c r="AJ56" s="13" t="n">
        <f aca="false">AJ55+AJ51+AJ52+AJ53+AJ54</f>
        <v>187.589340936885</v>
      </c>
      <c r="AK56" s="13" t="n">
        <f aca="false">AK55+AK51+AK52+AK53+AK54</f>
        <v>190.808869380481</v>
      </c>
      <c r="AL56" s="13" t="n">
        <f aca="false">AL55+AL51+AL52+AL53+AL54</f>
        <v>190.758975934288</v>
      </c>
      <c r="AM56" s="13" t="n">
        <f aca="false">AM55+AM51+AM52+AM53+AM54</f>
        <v>189.93757120984</v>
      </c>
      <c r="AN56" s="13" t="n">
        <f aca="false">AN55+AN51+AN52+AN53+AN54</f>
        <v>191.219347422888</v>
      </c>
      <c r="AO56" s="13" t="n">
        <f aca="false">AO55+AO51+AO52+AO53+AO54</f>
        <v>196.756225667689</v>
      </c>
      <c r="AP56" s="13" t="n">
        <f aca="false">AP55+AP51+AP52+AP53+AP54</f>
        <v>197.243223803326</v>
      </c>
      <c r="AQ56" s="13" t="n">
        <f aca="false">AQ55+AQ51+AQ52+AQ53+AQ54</f>
        <v>198.752357531222</v>
      </c>
      <c r="AR56" s="13" t="n">
        <f aca="false">AR55+AR51+AR52+AR53+AR54</f>
        <v>199.61664744673</v>
      </c>
      <c r="AS56" s="13" t="n">
        <f aca="false">AS55+AS51+AS52+AS53+AS54</f>
        <v>203.097651211824</v>
      </c>
      <c r="AT56" s="13" t="n">
        <f aca="false">AT55+AT51+AT52+AT53+AT54</f>
        <v>202.649424030027</v>
      </c>
      <c r="AU56" s="13" t="n">
        <f aca="false">AU55+AU51+AU52+AU53+AU54</f>
        <v>198.695633105827</v>
      </c>
      <c r="AV56" s="13" t="n">
        <f aca="false">AV55+AV51+AV52+AV53+AV54</f>
        <v>201.163808933269</v>
      </c>
      <c r="AW56" s="13" t="n">
        <f aca="false">AW55+AW51+AW52+AW53+AW54</f>
        <v>209.53458369259</v>
      </c>
      <c r="AX56" s="13" t="n">
        <f aca="false">AX55+AX51+AX52+AX53+AX54</f>
        <v>210.061720484565</v>
      </c>
      <c r="AY56" s="13" t="n">
        <f aca="false">AY55+AY51+AY52+AY53+AY54</f>
        <v>211.696395667377</v>
      </c>
      <c r="AZ56" s="13" t="n">
        <f aca="false">AZ55+AZ51+AZ52+AZ53+AZ54</f>
        <v>212.631214813512</v>
      </c>
      <c r="BA56" s="13" t="n">
        <f aca="false">BA55+BA51+BA52+BA53+BA54</f>
        <v>216.394881183508</v>
      </c>
      <c r="BB56" s="13" t="n">
        <f aca="false">BB55+BB51+BB52+BB53+BB54</f>
        <v>216.341681544005</v>
      </c>
      <c r="BC56" s="13" t="n">
        <f aca="false">BC55+BC51+BC52+BC53+BC54</f>
        <v>215.391645174906</v>
      </c>
      <c r="BD56" s="13" t="n">
        <f aca="false">BD55+BD51+BD52+BD53+BD54</f>
        <v>216.889968252146</v>
      </c>
      <c r="BE56" s="13" t="n">
        <f aca="false">BE55+BE51+BE52+BE53+BE54</f>
        <v>223.361870819514</v>
      </c>
      <c r="BF56" s="13" t="n">
        <f aca="false">BF55+BF51+BF52+BF53+BF54</f>
        <v>223.932616905737</v>
      </c>
      <c r="BG56" s="13" t="n">
        <f aca="false">BG55+BG51+BG52+BG53+BG54</f>
        <v>225.703265525642</v>
      </c>
      <c r="BH56" s="13" t="n">
        <f aca="false">BH55+BH51+BH52+BH53+BH54</f>
        <v>226.714519825062</v>
      </c>
      <c r="BI56" s="13" t="n">
        <f aca="false">BI55+BI51+BI52+BI53+BI54</f>
        <v>230.783748179411</v>
      </c>
      <c r="BJ56" s="13" t="n">
        <f aca="false">BJ55+BJ51+BJ52+BJ53+BJ54</f>
        <v>230.266342337745</v>
      </c>
      <c r="BK56" s="13" t="n">
        <f aca="false">BK55+BK51+BK52+BK53+BK54</f>
        <v>225.743035097914</v>
      </c>
      <c r="BL56" s="13" t="n">
        <f aca="false">BL55+BL51+BL52+BL53+BL54</f>
        <v>228.572959871542</v>
      </c>
      <c r="BM56" s="13" t="n">
        <f aca="false">BM55+BM51+BM52+BM53+BM54</f>
        <v>238.324636225709</v>
      </c>
      <c r="BN56" s="13" t="n">
        <f aca="false">BN55+BN51+BN52+BN53+BN54</f>
        <v>199.282010089067</v>
      </c>
    </row>
    <row r="57" customFormat="false" ht="15" hidden="false" customHeight="false" outlineLevel="0" collapsed="false">
      <c r="D57" s="0" t="s">
        <v>613</v>
      </c>
      <c r="E57" s="0" t="s">
        <v>149</v>
      </c>
      <c r="G57" s="13" t="n">
        <f aca="false">SUM(J57:BN57)</f>
        <v>8.70703702777778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0.108238</v>
      </c>
      <c r="R57" s="13" t="n">
        <f aca="false">IF(Inputs!$F$45=1,AVERAGE(Q89,R89)*(R9-Time!R40*Inputs!$F$98+Inputs!$F$263)/100*Time!R55/Inputs!$F$247,0)</f>
        <v>1.102114</v>
      </c>
      <c r="S57" s="13" t="n">
        <f aca="false">IF(Inputs!$F$45=1,AVERAGE(R89,S89)*(S9-Time!S40*Inputs!$F$98+Inputs!$F$263)/100*Time!S55/Inputs!$F$247,0)</f>
        <v>3.13001791666667</v>
      </c>
      <c r="T57" s="13" t="n">
        <f aca="false">IF(Inputs!$F$45=1,AVERAGE(S89,T89)*(T9-Time!T40*Inputs!$F$98+Inputs!$F$263)/100*Time!T55/Inputs!$F$247,0)</f>
        <v>3.520196</v>
      </c>
      <c r="U57" s="13" t="n">
        <f aca="false">IF(Inputs!$F$45=1,AVERAGE(T89,U89)*(U9-Time!U40*Inputs!$F$98+Inputs!$F$263)/100*Time!U55/Inputs!$F$247,0)</f>
        <v>0.846471111111111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614</v>
      </c>
      <c r="E58" s="0" t="s">
        <v>149</v>
      </c>
      <c r="G58" s="13" t="n">
        <f aca="false">SUM(J58:BN58)</f>
        <v>5.22422221666667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1.04484444333333</v>
      </c>
      <c r="V58" s="13" t="n">
        <f aca="false">Inputs!$F$264*SUM($J$57:$BN$57)*Inputs!V297</f>
        <v>2.08968888666667</v>
      </c>
      <c r="W58" s="13" t="n">
        <f aca="false">Inputs!$F$264*SUM($J$57:$BN$57)*Inputs!W297</f>
        <v>2.08968888666667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615</v>
      </c>
    </row>
    <row r="60" customFormat="false" ht="15" hidden="false" customHeight="false" outlineLevel="0" collapsed="false">
      <c r="D60" s="0" t="s">
        <v>257</v>
      </c>
      <c r="E60" s="0" t="s">
        <v>149</v>
      </c>
      <c r="G60" s="13" t="n">
        <f aca="false">SUM(J60:BN60)</f>
        <v>338.881253378071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0</v>
      </c>
      <c r="P60" s="13" t="n">
        <f aca="false">Inputs!$F$151*(Inputs!$F$152*P21+(1-Inputs!$F$152)*P27*Inputs!$F$153/P11)*Time!P30/12*Inputs!$F$40</f>
        <v>0.72246776496267</v>
      </c>
      <c r="Q60" s="13" t="n">
        <f aca="false">Inputs!$F$151*(Inputs!$F$152*Q21+(1-Inputs!$F$152)*Q27*Inputs!$F$153/Q11)*Time!Q30/12*Inputs!$F$40</f>
        <v>4.44007349825496</v>
      </c>
      <c r="R60" s="13" t="n">
        <f aca="false">Inputs!$F$151*(Inputs!$F$152*R21+(1-Inputs!$F$152)*R27*Inputs!$F$153/R11)*Time!R30/12*Inputs!$F$40</f>
        <v>4.37344241876445</v>
      </c>
      <c r="S60" s="13" t="n">
        <f aca="false">Inputs!$F$151*(Inputs!$F$152*S21+(1-Inputs!$F$152)*S27*Inputs!$F$153/S11)*Time!S30/12*Inputs!$F$40</f>
        <v>4.32341834468938</v>
      </c>
      <c r="T60" s="13" t="n">
        <f aca="false">Inputs!$F$151*(Inputs!$F$152*T21+(1-Inputs!$F$152)*T27*Inputs!$F$153/T11)*Time!T30/12*Inputs!$F$40</f>
        <v>4.60087688887899</v>
      </c>
      <c r="U60" s="13" t="n">
        <f aca="false">Inputs!$F$151*(Inputs!$F$152*U21+(1-Inputs!$F$152)*U27*Inputs!$F$153/U11)*Time!U30/12*Inputs!$F$40</f>
        <v>4.76578321876328</v>
      </c>
      <c r="V60" s="13" t="n">
        <f aca="false">Inputs!$F$151*(Inputs!$F$152*V21+(1-Inputs!$F$152)*V27*Inputs!$F$153/V11)*Time!V30/12*Inputs!$F$40</f>
        <v>5.02682102657566</v>
      </c>
      <c r="W60" s="13" t="n">
        <f aca="false">Inputs!$F$151*(Inputs!$F$152*W21+(1-Inputs!$F$152)*W27*Inputs!$F$153/W11)*Time!W30/12*Inputs!$F$40</f>
        <v>5.23646484788682</v>
      </c>
      <c r="X60" s="13" t="n">
        <f aca="false">Inputs!$F$151*(Inputs!$F$152*X21+(1-Inputs!$F$152)*X27*Inputs!$F$153/X11)*Time!X30/12*Inputs!$F$40</f>
        <v>5.42258456118134</v>
      </c>
      <c r="Y60" s="13" t="n">
        <f aca="false">Inputs!$F$151*(Inputs!$F$152*Y21+(1-Inputs!$F$152)*Y27*Inputs!$F$153/Y11)*Time!Y30/12*Inputs!$F$40</f>
        <v>5.56798867835768</v>
      </c>
      <c r="Z60" s="13" t="n">
        <f aca="false">Inputs!$F$151*(Inputs!$F$152*Z21+(1-Inputs!$F$152)*Z27*Inputs!$F$153/Z11)*Time!Z30/12*Inputs!$F$40</f>
        <v>5.68173704600891</v>
      </c>
      <c r="AA60" s="13" t="n">
        <f aca="false">Inputs!$F$151*(Inputs!$F$152*AA21+(1-Inputs!$F$152)*AA27*Inputs!$F$153/AA11)*Time!AA30/12*Inputs!$F$40</f>
        <v>5.75771563517926</v>
      </c>
      <c r="AB60" s="13" t="n">
        <f aca="false">Inputs!$F$151*(Inputs!$F$152*AB21+(1-Inputs!$F$152)*AB27*Inputs!$F$153/AB11)*Time!AB30/12*Inputs!$F$40</f>
        <v>5.82355295247723</v>
      </c>
      <c r="AC60" s="13" t="n">
        <f aca="false">Inputs!$F$151*(Inputs!$F$152*AC21+(1-Inputs!$F$152)*AC27*Inputs!$F$153/AC11)*Time!AC30/12*Inputs!$F$40</f>
        <v>5.89565314468475</v>
      </c>
      <c r="AD60" s="13" t="n">
        <f aca="false">Inputs!$F$151*(Inputs!$F$152*AD21+(1-Inputs!$F$152)*AD27*Inputs!$F$153/AD11)*Time!AD30/12*Inputs!$F$40</f>
        <v>5.96306772563309</v>
      </c>
      <c r="AE60" s="13" t="n">
        <f aca="false">Inputs!$F$151*(Inputs!$F$152*AE21+(1-Inputs!$F$152)*AE27*Inputs!$F$153/AE11)*Time!AE30/12*Inputs!$F$40</f>
        <v>6.03125316701249</v>
      </c>
      <c r="AF60" s="13" t="n">
        <f aca="false">Inputs!$F$151*(Inputs!$F$152*AF21+(1-Inputs!$F$152)*AF27*Inputs!$F$153/AF11)*Time!AF30/12*Inputs!$F$40</f>
        <v>6.10021828332265</v>
      </c>
      <c r="AG60" s="13" t="n">
        <f aca="false">Inputs!$F$151*(Inputs!$F$152*AG21+(1-Inputs!$F$152)*AG27*Inputs!$F$153/AG11)*Time!AG30/12*Inputs!$F$40</f>
        <v>6.16997198985378</v>
      </c>
      <c r="AH60" s="13" t="n">
        <f aca="false">Inputs!$F$151*(Inputs!$F$152*AH21+(1-Inputs!$F$152)*AH27*Inputs!$F$153/AH11)*Time!AH30/12*Inputs!$F$40</f>
        <v>6.24052330383907</v>
      </c>
      <c r="AI60" s="13" t="n">
        <f aca="false">Inputs!$F$151*(Inputs!$F$152*AI21+(1-Inputs!$F$152)*AI27*Inputs!$F$153/AI11)*Time!AI30/12*Inputs!$F$40</f>
        <v>6.31188134562042</v>
      </c>
      <c r="AJ60" s="13" t="n">
        <f aca="false">Inputs!$F$151*(Inputs!$F$152*AJ21+(1-Inputs!$F$152)*AJ27*Inputs!$F$153/AJ11)*Time!AJ30/12*Inputs!$F$40</f>
        <v>6.38405533982737</v>
      </c>
      <c r="AK60" s="13" t="n">
        <f aca="false">Inputs!$F$151*(Inputs!$F$152*AK21+(1-Inputs!$F$152)*AK27*Inputs!$F$153/AK11)*Time!AK30/12*Inputs!$F$40</f>
        <v>6.45705461656968</v>
      </c>
      <c r="AL60" s="13" t="n">
        <f aca="false">Inputs!$F$151*(Inputs!$F$152*AL21+(1-Inputs!$F$152)*AL27*Inputs!$F$153/AL11)*Time!AL30/12*Inputs!$F$40</f>
        <v>6.5308886126434</v>
      </c>
      <c r="AM60" s="13" t="n">
        <f aca="false">Inputs!$F$151*(Inputs!$F$152*AM21+(1-Inputs!$F$152)*AM27*Inputs!$F$153/AM11)*Time!AM30/12*Inputs!$F$40</f>
        <v>6.60556687275078</v>
      </c>
      <c r="AN60" s="13" t="n">
        <f aca="false">Inputs!$F$151*(Inputs!$F$152*AN21+(1-Inputs!$F$152)*AN27*Inputs!$F$153/AN11)*Time!AN30/12*Inputs!$F$40</f>
        <v>6.68109905073419</v>
      </c>
      <c r="AO60" s="13" t="n">
        <f aca="false">Inputs!$F$151*(Inputs!$F$152*AO21+(1-Inputs!$F$152)*AO27*Inputs!$F$153/AO11)*Time!AO30/12*Inputs!$F$40</f>
        <v>6.75749491082405</v>
      </c>
      <c r="AP60" s="13" t="n">
        <f aca="false">Inputs!$F$151*(Inputs!$F$152*AP21+(1-Inputs!$F$152)*AP27*Inputs!$F$153/AP11)*Time!AP30/12*Inputs!$F$40</f>
        <v>6.83476432890108</v>
      </c>
      <c r="AQ60" s="13" t="n">
        <f aca="false">Inputs!$F$151*(Inputs!$F$152*AQ21+(1-Inputs!$F$152)*AQ27*Inputs!$F$153/AQ11)*Time!AQ30/12*Inputs!$F$40</f>
        <v>6.912917293773</v>
      </c>
      <c r="AR60" s="13" t="n">
        <f aca="false">Inputs!$F$151*(Inputs!$F$152*AR21+(1-Inputs!$F$152)*AR27*Inputs!$F$153/AR11)*Time!AR30/12*Inputs!$F$40</f>
        <v>6.9919639084658</v>
      </c>
      <c r="AS60" s="13" t="n">
        <f aca="false">Inputs!$F$151*(Inputs!$F$152*AS21+(1-Inputs!$F$152)*AS27*Inputs!$F$153/AS11)*Time!AS30/12*Inputs!$F$40</f>
        <v>7.07191439152978</v>
      </c>
      <c r="AT60" s="13" t="n">
        <f aca="false">Inputs!$F$151*(Inputs!$F$152*AT21+(1-Inputs!$F$152)*AT27*Inputs!$F$153/AT11)*Time!AT30/12*Inputs!$F$40</f>
        <v>7.15277907836051</v>
      </c>
      <c r="AU60" s="13" t="n">
        <f aca="false">Inputs!$F$151*(Inputs!$F$152*AU21+(1-Inputs!$F$152)*AU27*Inputs!$F$153/AU11)*Time!AU30/12*Inputs!$F$40</f>
        <v>7.23456842253496</v>
      </c>
      <c r="AV60" s="13" t="n">
        <f aca="false">Inputs!$F$151*(Inputs!$F$152*AV21+(1-Inputs!$F$152)*AV27*Inputs!$F$153/AV11)*Time!AV30/12*Inputs!$F$40</f>
        <v>7.31729299716281</v>
      </c>
      <c r="AW60" s="13" t="n">
        <f aca="false">Inputs!$F$151*(Inputs!$F$152*AW21+(1-Inputs!$F$152)*AW27*Inputs!$F$153/AW11)*Time!AW30/12*Inputs!$F$40</f>
        <v>7.40096349625326</v>
      </c>
      <c r="AX60" s="13" t="n">
        <f aca="false">Inputs!$F$151*(Inputs!$F$152*AX21+(1-Inputs!$F$152)*AX27*Inputs!$F$153/AX11)*Time!AX30/12*Inputs!$F$40</f>
        <v>7.48559073609755</v>
      </c>
      <c r="AY60" s="13" t="n">
        <f aca="false">Inputs!$F$151*(Inputs!$F$152*AY21+(1-Inputs!$F$152)*AY27*Inputs!$F$153/AY11)*Time!AY30/12*Inputs!$F$40</f>
        <v>7.57118565666709</v>
      </c>
      <c r="AZ60" s="13" t="n">
        <f aca="false">Inputs!$F$151*(Inputs!$F$152*AZ21+(1-Inputs!$F$152)*AZ27*Inputs!$F$153/AZ11)*Time!AZ30/12*Inputs!$F$40</f>
        <v>7.65775932302779</v>
      </c>
      <c r="BA60" s="13" t="n">
        <f aca="false">Inputs!$F$151*(Inputs!$F$152*BA21+(1-Inputs!$F$152)*BA27*Inputs!$F$153/BA11)*Time!BA30/12*Inputs!$F$40</f>
        <v>7.74532292677043</v>
      </c>
      <c r="BB60" s="13" t="n">
        <f aca="false">Inputs!$F$151*(Inputs!$F$152*BB21+(1-Inputs!$F$152)*BB27*Inputs!$F$153/BB11)*Time!BB30/12*Inputs!$F$40</f>
        <v>7.83388778745743</v>
      </c>
      <c r="BC60" s="13" t="n">
        <f aca="false">Inputs!$F$151*(Inputs!$F$152*BC21+(1-Inputs!$F$152)*BC27*Inputs!$F$153/BC11)*Time!BC30/12*Inputs!$F$40</f>
        <v>7.92346535408615</v>
      </c>
      <c r="BD60" s="13" t="n">
        <f aca="false">Inputs!$F$151*(Inputs!$F$152*BD21+(1-Inputs!$F$152)*BD27*Inputs!$F$153/BD11)*Time!BD30/12*Inputs!$F$40</f>
        <v>8.01406720656895</v>
      </c>
      <c r="BE60" s="13" t="n">
        <f aca="false">Inputs!$F$151*(Inputs!$F$152*BE21+(1-Inputs!$F$152)*BE27*Inputs!$F$153/BE11)*Time!BE30/12*Inputs!$F$40</f>
        <v>8.10570505723013</v>
      </c>
      <c r="BF60" s="13" t="n">
        <f aca="false">Inputs!$F$151*(Inputs!$F$152*BF21+(1-Inputs!$F$152)*BF27*Inputs!$F$153/BF11)*Time!BF30/12*Inputs!$F$40</f>
        <v>8.19839075232003</v>
      </c>
      <c r="BG60" s="13" t="n">
        <f aca="false">Inputs!$F$151*(Inputs!$F$152*BG21+(1-Inputs!$F$152)*BG27*Inputs!$F$153/BG11)*Time!BG30/12*Inputs!$F$40</f>
        <v>8.29213627354642</v>
      </c>
      <c r="BH60" s="13" t="n">
        <f aca="false">Inputs!$F$151*(Inputs!$F$152*BH21+(1-Inputs!$F$152)*BH27*Inputs!$F$153/BH11)*Time!BH30/12*Inputs!$F$40</f>
        <v>8.38695373962339</v>
      </c>
      <c r="BI60" s="13" t="n">
        <f aca="false">Inputs!$F$151*(Inputs!$F$152*BI21+(1-Inputs!$F$152)*BI27*Inputs!$F$153/BI11)*Time!BI30/12*Inputs!$F$40</f>
        <v>8.48285540783799</v>
      </c>
      <c r="BJ60" s="13" t="n">
        <f aca="false">Inputs!$F$151*(Inputs!$F$152*BJ21+(1-Inputs!$F$152)*BJ27*Inputs!$F$153/BJ11)*Time!BJ30/12*Inputs!$F$40</f>
        <v>8.57985367563473</v>
      </c>
      <c r="BK60" s="13" t="n">
        <f aca="false">Inputs!$F$151*(Inputs!$F$152*BK21+(1-Inputs!$F$152)*BK27*Inputs!$F$153/BK11)*Time!BK30/12*Inputs!$F$40</f>
        <v>8.67796108221826</v>
      </c>
      <c r="BL60" s="13" t="n">
        <f aca="false">Inputs!$F$151*(Inputs!$F$152*BL21+(1-Inputs!$F$152)*BL27*Inputs!$F$153/BL11)*Time!BL30/12*Inputs!$F$40</f>
        <v>8.77719031017432</v>
      </c>
      <c r="BM60" s="13" t="n">
        <f aca="false">Inputs!$F$151*(Inputs!$F$152*BM21+(1-Inputs!$F$152)*BM27*Inputs!$F$153/BM11)*Time!BM30/12*Inputs!$F$40</f>
        <v>8.87755418710927</v>
      </c>
      <c r="BN60" s="13" t="n">
        <f aca="false">Inputs!$F$151*(Inputs!$F$152*BN21+(1-Inputs!$F$152)*BN27*Inputs!$F$153/BN11)*Time!BN30/12*Inputs!$F$40</f>
        <v>7.48255473942361</v>
      </c>
    </row>
    <row r="61" customFormat="false" ht="15" hidden="false" customHeight="false" outlineLevel="0" collapsed="false">
      <c r="D61" s="0" t="s">
        <v>616</v>
      </c>
      <c r="E61" s="0" t="s">
        <v>149</v>
      </c>
      <c r="G61" s="13" t="n">
        <f aca="false">SUM(J61:BN61)</f>
        <v>4.59656485532543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</v>
      </c>
      <c r="P61" s="13" t="n">
        <f aca="false">IF(Time!P30&gt;0,Inputs!$F$154*MAX(-1,MIN(1,(P32-Inputs!$F$216)/Inputs!$F$217))*P21*Time!P30/12,0)</f>
        <v>0.0323712548455126</v>
      </c>
      <c r="Q61" s="13" t="n">
        <f aca="false">IF(Time!Q30&gt;0,Inputs!$F$154*MAX(-1,MIN(1,(Q32-Inputs!$F$216)/Inputs!$F$217))*Q21*Time!Q30/12,0)</f>
        <v>0.200287291907586</v>
      </c>
      <c r="R61" s="13" t="n">
        <f aca="false">IF(Time!R30&gt;0,Inputs!$F$154*MAX(-1,MIN(1,(R32-Inputs!$F$216)/Inputs!$F$217))*R21*Time!R30/12,0)</f>
        <v>0.190799271131874</v>
      </c>
      <c r="S61" s="13" t="n">
        <f aca="false">IF(Time!S30&gt;0,Inputs!$F$154*MAX(-1,MIN(1,(S32-Inputs!$F$216)/Inputs!$F$217))*S21*Time!S30/12,0)</f>
        <v>0.107165229362943</v>
      </c>
      <c r="T61" s="13" t="n">
        <f aca="false">IF(Time!T30&gt;0,Inputs!$F$154*MAX(-1,MIN(1,(T32-Inputs!$F$216)/Inputs!$F$217))*T21*Time!T30/12,0)</f>
        <v>0.127563390024382</v>
      </c>
      <c r="U61" s="13" t="n">
        <f aca="false">IF(Time!U30&gt;0,Inputs!$F$154*MAX(-1,MIN(1,(U32-Inputs!$F$216)/Inputs!$F$217))*U21*Time!U30/12,0)</f>
        <v>0.222472217816213</v>
      </c>
      <c r="V61" s="13" t="n">
        <f aca="false">IF(Time!V30&gt;0,Inputs!$F$154*MAX(-1,MIN(1,(V32-Inputs!$F$216)/Inputs!$F$217))*V21*Time!V30/12,0)</f>
        <v>0.15880834084569</v>
      </c>
      <c r="W61" s="13" t="n">
        <f aca="false">IF(Time!W30&gt;0,Inputs!$F$154*MAX(-1,MIN(1,(W32-Inputs!$F$216)/Inputs!$F$217))*W21*Time!W30/12,0)</f>
        <v>-0.177965351554707</v>
      </c>
      <c r="X61" s="13" t="n">
        <f aca="false">IF(Time!X30&gt;0,Inputs!$F$154*MAX(-1,MIN(1,(X32-Inputs!$F$216)/Inputs!$F$217))*X21*Time!X30/12,0)</f>
        <v>-0.111646403150762</v>
      </c>
      <c r="Y61" s="13" t="n">
        <f aca="false">IF(Time!Y30&gt;0,Inputs!$F$154*MAX(-1,MIN(1,(Y32-Inputs!$F$216)/Inputs!$F$217))*Y21*Time!Y30/12,0)</f>
        <v>0.23493331086935</v>
      </c>
      <c r="Z61" s="13" t="n">
        <f aca="false">IF(Time!Z30&gt;0,Inputs!$F$154*MAX(-1,MIN(1,(Z32-Inputs!$F$216)/Inputs!$F$217))*Z21*Time!Z30/12,0)</f>
        <v>0.218137192167844</v>
      </c>
      <c r="AA61" s="13" t="n">
        <f aca="false">IF(Time!AA30&gt;0,Inputs!$F$154*MAX(-1,MIN(1,(AA32-Inputs!$F$216)/Inputs!$F$217))*AA21*Time!AA30/12,0)</f>
        <v>0.120432591718436</v>
      </c>
      <c r="AB61" s="13" t="n">
        <f aca="false">IF(Time!AB30&gt;0,Inputs!$F$154*MAX(-1,MIN(1,(AB32-Inputs!$F$216)/Inputs!$F$217))*AB21*Time!AB30/12,0)</f>
        <v>0.142111308737859</v>
      </c>
      <c r="AC61" s="13" t="n">
        <f aca="false">IF(Time!AC30&gt;0,Inputs!$F$154*MAX(-1,MIN(1,(AC32-Inputs!$F$216)/Inputs!$F$217))*AC21*Time!AC30/12,0)</f>
        <v>0.246405082655914</v>
      </c>
      <c r="AD61" s="13" t="n">
        <f aca="false">IF(Time!AD30&gt;0,Inputs!$F$154*MAX(-1,MIN(1,(AD32-Inputs!$F$216)/Inputs!$F$217))*AD21*Time!AD30/12,0)</f>
        <v>0.131534167044656</v>
      </c>
      <c r="AE61" s="13" t="n">
        <f aca="false">IF(Time!AE30&gt;0,Inputs!$F$154*MAX(-1,MIN(1,(AE32-Inputs!$F$216)/Inputs!$F$217))*AE21*Time!AE30/12,0)</f>
        <v>-0.420120665928333</v>
      </c>
      <c r="AF61" s="13" t="n">
        <f aca="false">IF(Time!AF30&gt;0,Inputs!$F$154*MAX(-1,MIN(1,(AF32-Inputs!$F$216)/Inputs!$F$217))*AF21*Time!AF30/12,0)</f>
        <v>-0.347021746918287</v>
      </c>
      <c r="AG61" s="13" t="n">
        <f aca="false">IF(Time!AG30&gt;0,Inputs!$F$154*MAX(-1,MIN(1,(AG32-Inputs!$F$216)/Inputs!$F$217))*AG21*Time!AG30/12,0)</f>
        <v>0.25787006474681</v>
      </c>
      <c r="AH61" s="13" t="n">
        <f aca="false">IF(Time!AH30&gt;0,Inputs!$F$154*MAX(-1,MIN(1,(AH32-Inputs!$F$216)/Inputs!$F$217))*AH21*Time!AH30/12,0)</f>
        <v>0.239083819473763</v>
      </c>
      <c r="AI61" s="13" t="n">
        <f aca="false">IF(Time!AI30&gt;0,Inputs!$F$154*MAX(-1,MIN(1,(AI32-Inputs!$F$216)/Inputs!$F$217))*AI21*Time!AI30/12,0)</f>
        <v>0.131900538117997</v>
      </c>
      <c r="AJ61" s="13" t="n">
        <f aca="false">IF(Time!AJ30&gt;0,Inputs!$F$154*MAX(-1,MIN(1,(AJ32-Inputs!$F$216)/Inputs!$F$217))*AJ21*Time!AJ30/12,0)</f>
        <v>0.15564356647742</v>
      </c>
      <c r="AK61" s="13" t="n">
        <f aca="false">IF(Time!AK30&gt;0,Inputs!$F$154*MAX(-1,MIN(1,(AK32-Inputs!$F$216)/Inputs!$F$217))*AK21*Time!AK30/12,0)</f>
        <v>0.269868500989415</v>
      </c>
      <c r="AL61" s="13" t="n">
        <f aca="false">IF(Time!AL30&gt;0,Inputs!$F$154*MAX(-1,MIN(1,(AL32-Inputs!$F$216)/Inputs!$F$217))*AL21*Time!AL30/12,0)</f>
        <v>0.192078984229944</v>
      </c>
      <c r="AM61" s="13" t="n">
        <f aca="false">IF(Time!AM30&gt;0,Inputs!$F$154*MAX(-1,MIN(1,(AM32-Inputs!$F$216)/Inputs!$F$217))*AM21*Time!AM30/12,0)</f>
        <v>-0.214725370620581</v>
      </c>
      <c r="AN61" s="13" t="n">
        <f aca="false">IF(Time!AN30&gt;0,Inputs!$F$154*MAX(-1,MIN(1,(AN32-Inputs!$F$216)/Inputs!$F$217))*AN21*Time!AN30/12,0)</f>
        <v>-0.134445179540739</v>
      </c>
      <c r="AO61" s="13" t="n">
        <f aca="false">IF(Time!AO30&gt;0,Inputs!$F$154*MAX(-1,MIN(1,(AO32-Inputs!$F$216)/Inputs!$F$217))*AO21*Time!AO30/12,0)</f>
        <v>0.282425212471951</v>
      </c>
      <c r="AP61" s="13" t="n">
        <f aca="false">IF(Time!AP30&gt;0,Inputs!$F$154*MAX(-1,MIN(1,(AP32-Inputs!$F$216)/Inputs!$F$217))*AP21*Time!AP30/12,0)</f>
        <v>0.26185008554514</v>
      </c>
      <c r="AQ61" s="13" t="n">
        <f aca="false">IF(Time!AQ30&gt;0,Inputs!$F$154*MAX(-1,MIN(1,(AQ32-Inputs!$F$216)/Inputs!$F$217))*AQ21*Time!AQ30/12,0)</f>
        <v>0.144460496179406</v>
      </c>
      <c r="AR61" s="13" t="n">
        <f aca="false">IF(Time!AR30&gt;0,Inputs!$F$154*MAX(-1,MIN(1,(AR32-Inputs!$F$216)/Inputs!$F$217))*AR21*Time!AR30/12,0)</f>
        <v>0.170464405689886</v>
      </c>
      <c r="AS61" s="13" t="n">
        <f aca="false">IF(Time!AS30&gt;0,Inputs!$F$154*MAX(-1,MIN(1,(AS32-Inputs!$F$216)/Inputs!$F$217))*AS21*Time!AS30/12,0)</f>
        <v>0.295566175183058</v>
      </c>
      <c r="AT61" s="13" t="n">
        <f aca="false">IF(Time!AT30&gt;0,Inputs!$F$154*MAX(-1,MIN(1,(AT32-Inputs!$F$216)/Inputs!$F$217))*AT21*Time!AT30/12,0)</f>
        <v>0.157776983494969</v>
      </c>
      <c r="AU61" s="13" t="n">
        <f aca="false">IF(Time!AU30&gt;0,Inputs!$F$154*MAX(-1,MIN(1,(AU32-Inputs!$F$216)/Inputs!$F$217))*AU21*Time!AU30/12,0)</f>
        <v>-0.503940328687115</v>
      </c>
      <c r="AV61" s="13" t="n">
        <f aca="false">IF(Time!AV30&gt;0,Inputs!$F$154*MAX(-1,MIN(1,(AV32-Inputs!$F$216)/Inputs!$F$217))*AV21*Time!AV30/12,0)</f>
        <v>-0.416257202718541</v>
      </c>
      <c r="AW61" s="13" t="n">
        <f aca="false">IF(Time!AW30&gt;0,Inputs!$F$154*MAX(-1,MIN(1,(AW32-Inputs!$F$216)/Inputs!$F$217))*AW21*Time!AW30/12,0)</f>
        <v>0.30931857374815</v>
      </c>
      <c r="AX61" s="13" t="n">
        <f aca="false">IF(Time!AX30&gt;0,Inputs!$F$154*MAX(-1,MIN(1,(AX32-Inputs!$F$216)/Inputs!$F$217))*AX21*Time!AX30/12,0)</f>
        <v>0.286784222583166</v>
      </c>
      <c r="AY61" s="13" t="n">
        <f aca="false">IF(Time!AY30&gt;0,Inputs!$F$154*MAX(-1,MIN(1,(AY32-Inputs!$F$216)/Inputs!$F$217))*AY21*Time!AY30/12,0)</f>
        <v>0.158216450472183</v>
      </c>
      <c r="AZ61" s="13" t="n">
        <f aca="false">IF(Time!AZ30&gt;0,Inputs!$F$154*MAX(-1,MIN(1,(AZ32-Inputs!$F$216)/Inputs!$F$217))*AZ21*Time!AZ30/12,0)</f>
        <v>0.186696528901641</v>
      </c>
      <c r="BA61" s="13" t="n">
        <f aca="false">IF(Time!BA30&gt;0,Inputs!$F$154*MAX(-1,MIN(1,(BA32-Inputs!$F$216)/Inputs!$F$217))*BA21*Time!BA30/12,0)</f>
        <v>0.323710857666078</v>
      </c>
      <c r="BB61" s="13" t="n">
        <f aca="false">IF(Time!BB30&gt;0,Inputs!$F$154*MAX(-1,MIN(1,(BB32-Inputs!$F$216)/Inputs!$F$217))*BB21*Time!BB30/12,0)</f>
        <v>0.230401297286426</v>
      </c>
      <c r="BC61" s="13" t="n">
        <f aca="false">IF(Time!BC30&gt;0,Inputs!$F$154*MAX(-1,MIN(1,(BC32-Inputs!$F$216)/Inputs!$F$217))*BC21*Time!BC30/12,0)</f>
        <v>-0.25756593908298</v>
      </c>
      <c r="BD61" s="13" t="n">
        <f aca="false">IF(Time!BD30&gt;0,Inputs!$F$154*MAX(-1,MIN(1,(BD32-Inputs!$F$216)/Inputs!$F$217))*BD21*Time!BD30/12,0)</f>
        <v>-0.161268781716432</v>
      </c>
      <c r="BE61" s="13" t="n">
        <f aca="false">IF(Time!BE30&gt;0,Inputs!$F$154*MAX(-1,MIN(1,(BE32-Inputs!$F$216)/Inputs!$F$217))*BE21*Time!BE30/12,0)</f>
        <v>0.338772800162423</v>
      </c>
      <c r="BF61" s="13" t="n">
        <f aca="false">IF(Time!BF30&gt;0,Inputs!$F$154*MAX(-1,MIN(1,(BF32-Inputs!$F$216)/Inputs!$F$217))*BF21*Time!BF30/12,0)</f>
        <v>0.314092661651824</v>
      </c>
      <c r="BG61" s="13" t="n">
        <f aca="false">IF(Time!BG30&gt;0,Inputs!$F$154*MAX(-1,MIN(1,(BG32-Inputs!$F$216)/Inputs!$F$217))*BG21*Time!BG30/12,0)</f>
        <v>0.173282287283083</v>
      </c>
      <c r="BH61" s="13" t="n">
        <f aca="false">IF(Time!BH30&gt;0,Inputs!$F$154*MAX(-1,MIN(1,(BH32-Inputs!$F$216)/Inputs!$F$217))*BH21*Time!BH30/12,0)</f>
        <v>0.204474322735338</v>
      </c>
      <c r="BI61" s="13" t="n">
        <f aca="false">IF(Time!BI30&gt;0,Inputs!$F$154*MAX(-1,MIN(1,(BI32-Inputs!$F$216)/Inputs!$F$217))*BI21*Time!BI30/12,0)</f>
        <v>0.35453555978118</v>
      </c>
      <c r="BJ61" s="13" t="n">
        <f aca="false">IF(Time!BJ30&gt;0,Inputs!$F$154*MAX(-1,MIN(1,(BJ32-Inputs!$F$216)/Inputs!$F$217))*BJ21*Time!BJ30/12,0)</f>
        <v>0.189255591000323</v>
      </c>
      <c r="BK61" s="13" t="n">
        <f aca="false">IF(Time!BK30&gt;0,Inputs!$F$154*MAX(-1,MIN(1,(BK32-Inputs!$F$216)/Inputs!$F$217))*BK21*Time!BK30/12,0)</f>
        <v>-0.604483129426913</v>
      </c>
      <c r="BL61" s="13" t="n">
        <f aca="false">IF(Time!BL30&gt;0,Inputs!$F$154*MAX(-1,MIN(1,(BL32-Inputs!$F$216)/Inputs!$F$217))*BL21*Time!BL30/12,0)</f>
        <v>-0.499306053161746</v>
      </c>
      <c r="BM61" s="13" t="n">
        <f aca="false">IF(Time!BM30&gt;0,Inputs!$F$154*MAX(-1,MIN(1,(BM32-Inputs!$F$216)/Inputs!$F$217))*BM21*Time!BM30/12,0)</f>
        <v>0.371031744842238</v>
      </c>
      <c r="BN61" s="13" t="n">
        <f aca="false">IF(Time!BN30&gt;0,Inputs!$F$154*MAX(-1,MIN(1,(BN32-Inputs!$F$216)/Inputs!$F$217))*BN21*Time!BN30/12,0)</f>
        <v>0.312728627990489</v>
      </c>
    </row>
    <row r="62" customFormat="false" ht="15" hidden="false" customHeight="false" outlineLevel="0" collapsed="false">
      <c r="D62" s="0" t="s">
        <v>261</v>
      </c>
      <c r="E62" s="0" t="s">
        <v>149</v>
      </c>
      <c r="G62" s="13" t="n">
        <f aca="false">SUM(J62:BN62)</f>
        <v>105.034312734486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</v>
      </c>
      <c r="P62" s="13" t="n">
        <f aca="false">Inputs!$F$155*P21*Time!P30/12*Inputs!$F$40</f>
        <v>0.237389202200426</v>
      </c>
      <c r="Q62" s="13" t="n">
        <f aca="false">Inputs!$F$155*Q21*Time!Q30/12*Inputs!$F$40</f>
        <v>1.46877347398896</v>
      </c>
      <c r="R62" s="13" t="n">
        <f aca="false">Inputs!$F$155*R21*Time!R30/12*Inputs!$F$40</f>
        <v>1.526394169055</v>
      </c>
      <c r="S62" s="13" t="n">
        <f aca="false">Inputs!$F$155*S21*Time!S30/12*Inputs!$F$40</f>
        <v>1.57175669732314</v>
      </c>
      <c r="T62" s="13" t="n">
        <f aca="false">Inputs!$F$155*T21*Time!T30/12*Inputs!$F$40</f>
        <v>1.60365404602081</v>
      </c>
      <c r="U62" s="13" t="n">
        <f aca="false">Inputs!$F$155*U21*Time!U30/12*Inputs!$F$40</f>
        <v>1.63146293065223</v>
      </c>
      <c r="V62" s="13" t="n">
        <f aca="false">Inputs!$F$155*V21*Time!V30/12*Inputs!$F$40</f>
        <v>1.65495007828667</v>
      </c>
      <c r="W62" s="13" t="n">
        <f aca="false">Inputs!$F$155*W21*Time!W30/12*Inputs!$F$40</f>
        <v>1.67795902894435</v>
      </c>
      <c r="X62" s="13" t="n">
        <f aca="false">Inputs!$F$155*X21*Time!X30/12*Inputs!$F$40</f>
        <v>1.70046060183466</v>
      </c>
      <c r="Y62" s="13" t="n">
        <f aca="false">Inputs!$F$155*Y21*Time!Y30/12*Inputs!$F$40</f>
        <v>1.72284427970857</v>
      </c>
      <c r="Z62" s="13" t="n">
        <f aca="false">Inputs!$F$155*Z21*Time!Z30/12*Inputs!$F$40</f>
        <v>1.74509753734276</v>
      </c>
      <c r="AA62" s="13" t="n">
        <f aca="false">Inputs!$F$155*AA21*Time!AA30/12*Inputs!$F$40</f>
        <v>1.76634467853702</v>
      </c>
      <c r="AB62" s="13" t="n">
        <f aca="false">Inputs!$F$155*AB21*Time!AB30/12*Inputs!$F$40</f>
        <v>1.78654216699023</v>
      </c>
      <c r="AC62" s="13" t="n">
        <f aca="false">Inputs!$F$155*AC21*Time!AC30/12*Inputs!$F$40</f>
        <v>1.80697060614337</v>
      </c>
      <c r="AD62" s="13" t="n">
        <f aca="false">Inputs!$F$155*AD21*Time!AD30/12*Inputs!$F$40</f>
        <v>1.82763263683101</v>
      </c>
      <c r="AE62" s="13" t="n">
        <f aca="false">Inputs!$F$155*AE21*Time!AE30/12*Inputs!$F$40</f>
        <v>1.84853093008467</v>
      </c>
      <c r="AF62" s="13" t="n">
        <f aca="false">Inputs!$F$155*AF21*Time!AF30/12*Inputs!$F$40</f>
        <v>1.86966818747812</v>
      </c>
      <c r="AG62" s="13" t="n">
        <f aca="false">Inputs!$F$155*AG21*Time!AG30/12*Inputs!$F$40</f>
        <v>1.89104714147661</v>
      </c>
      <c r="AH62" s="13" t="n">
        <f aca="false">Inputs!$F$155*AH21*Time!AH30/12*Inputs!$F$40</f>
        <v>1.91267055579011</v>
      </c>
      <c r="AI62" s="13" t="n">
        <f aca="false">Inputs!$F$155*AI21*Time!AI30/12*Inputs!$F$40</f>
        <v>1.93454122573057</v>
      </c>
      <c r="AJ62" s="13" t="n">
        <f aca="false">Inputs!$F$155*AJ21*Time!AJ30/12*Inputs!$F$40</f>
        <v>1.95666197857329</v>
      </c>
      <c r="AK62" s="13" t="n">
        <f aca="false">Inputs!$F$155*AK21*Time!AK30/12*Inputs!$F$40</f>
        <v>1.97903567392238</v>
      </c>
      <c r="AL62" s="13" t="n">
        <f aca="false">Inputs!$F$155*AL21*Time!AL30/12*Inputs!$F$40</f>
        <v>2.00166520408047</v>
      </c>
      <c r="AM62" s="13" t="n">
        <f aca="false">Inputs!$F$155*AM21*Time!AM30/12*Inputs!$F$40</f>
        <v>2.02455349442259</v>
      </c>
      <c r="AN62" s="13" t="n">
        <f aca="false">Inputs!$F$155*AN21*Time!AN30/12*Inputs!$F$40</f>
        <v>2.04770350377432</v>
      </c>
      <c r="AO62" s="13" t="n">
        <f aca="false">Inputs!$F$155*AO21*Time!AO30/12*Inputs!$F$40</f>
        <v>2.07111822479431</v>
      </c>
      <c r="AP62" s="13" t="n">
        <f aca="false">Inputs!$F$155*AP21*Time!AP30/12*Inputs!$F$40</f>
        <v>2.09480068436113</v>
      </c>
      <c r="AQ62" s="13" t="n">
        <f aca="false">Inputs!$F$155*AQ21*Time!AQ30/12*Inputs!$F$40</f>
        <v>2.11875394396458</v>
      </c>
      <c r="AR62" s="13" t="n">
        <f aca="false">Inputs!$F$155*AR21*Time!AR30/12*Inputs!$F$40</f>
        <v>2.14298110010144</v>
      </c>
      <c r="AS62" s="13" t="n">
        <f aca="false">Inputs!$F$155*AS21*Time!AS30/12*Inputs!$F$40</f>
        <v>2.16748528467576</v>
      </c>
      <c r="AT62" s="13" t="n">
        <f aca="false">Inputs!$F$155*AT21*Time!AT30/12*Inputs!$F$40</f>
        <v>2.19226966540377</v>
      </c>
      <c r="AU62" s="13" t="n">
        <f aca="false">Inputs!$F$155*AU21*Time!AU30/12*Inputs!$F$40</f>
        <v>2.21733744622331</v>
      </c>
      <c r="AV62" s="13" t="n">
        <f aca="false">Inputs!$F$155*AV21*Time!AV30/12*Inputs!$F$40</f>
        <v>2.24269186770805</v>
      </c>
      <c r="AW62" s="13" t="n">
        <f aca="false">Inputs!$F$155*AW21*Time!AW30/12*Inputs!$F$40</f>
        <v>2.26833620748644</v>
      </c>
      <c r="AX62" s="13" t="n">
        <f aca="false">Inputs!$F$155*AX21*Time!AX30/12*Inputs!$F$40</f>
        <v>2.29427378066534</v>
      </c>
      <c r="AY62" s="13" t="n">
        <f aca="false">Inputs!$F$155*AY21*Time!AY30/12*Inputs!$F$40</f>
        <v>2.32050794025863</v>
      </c>
      <c r="AZ62" s="13" t="n">
        <f aca="false">Inputs!$F$155*AZ21*Time!AZ30/12*Inputs!$F$40</f>
        <v>2.34704207762064</v>
      </c>
      <c r="BA62" s="13" t="n">
        <f aca="false">Inputs!$F$155*BA21*Time!BA30/12*Inputs!$F$40</f>
        <v>2.37387962288458</v>
      </c>
      <c r="BB62" s="13" t="n">
        <f aca="false">Inputs!$F$155*BB21*Time!BB30/12*Inputs!$F$40</f>
        <v>2.40102404540592</v>
      </c>
      <c r="BC62" s="13" t="n">
        <f aca="false">Inputs!$F$155*BC21*Time!BC30/12*Inputs!$F$40</f>
        <v>2.42847885421092</v>
      </c>
      <c r="BD62" s="13" t="n">
        <f aca="false">Inputs!$F$155*BD21*Time!BD30/12*Inputs!$F$40</f>
        <v>2.45624759845025</v>
      </c>
      <c r="BE62" s="13" t="n">
        <f aca="false">Inputs!$F$155*BE21*Time!BE30/12*Inputs!$F$40</f>
        <v>2.48433386785777</v>
      </c>
      <c r="BF62" s="13" t="n">
        <f aca="false">Inputs!$F$155*BF21*Time!BF30/12*Inputs!$F$40</f>
        <v>2.51274129321461</v>
      </c>
      <c r="BG62" s="13" t="n">
        <f aca="false">Inputs!$F$155*BG21*Time!BG30/12*Inputs!$F$40</f>
        <v>2.5414735468185</v>
      </c>
      <c r="BH62" s="13" t="n">
        <f aca="false">Inputs!$F$155*BH21*Time!BH30/12*Inputs!$F$40</f>
        <v>2.57053434295854</v>
      </c>
      <c r="BI62" s="13" t="n">
        <f aca="false">Inputs!$F$155*BI21*Time!BI30/12*Inputs!$F$40</f>
        <v>2.59992743839532</v>
      </c>
      <c r="BJ62" s="13" t="n">
        <f aca="false">Inputs!$F$155*BJ21*Time!BJ30/12*Inputs!$F$40</f>
        <v>2.62965663284659</v>
      </c>
      <c r="BK62" s="13" t="n">
        <f aca="false">Inputs!$F$155*BK21*Time!BK30/12*Inputs!$F$40</f>
        <v>2.65972576947842</v>
      </c>
      <c r="BL62" s="13" t="n">
        <f aca="false">Inputs!$F$155*BL21*Time!BL30/12*Inputs!$F$40</f>
        <v>2.69013873540206</v>
      </c>
      <c r="BM62" s="13" t="n">
        <f aca="false">Inputs!$F$155*BM21*Time!BM30/12*Inputs!$F$40</f>
        <v>2.72089946217642</v>
      </c>
      <c r="BN62" s="13" t="n">
        <f aca="false">Inputs!$F$155*BN21*Time!BN30/12*Inputs!$F$40</f>
        <v>2.29334327193025</v>
      </c>
    </row>
    <row r="63" customFormat="false" ht="15" hidden="false" customHeight="false" outlineLevel="0" collapsed="false">
      <c r="D63" s="0" t="s">
        <v>617</v>
      </c>
      <c r="E63" s="0" t="s">
        <v>618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0</v>
      </c>
      <c r="P63" s="15" t="n">
        <f aca="false">IF(P31&gt;0,Inputs!$F$258*(Inputs!$F$129*P32/P31*P37/Inputs!$F$131+Inputs!$F$130*Inputs!$F$132)*Time!P30/12,0)</f>
        <v>1406.5</v>
      </c>
      <c r="Q63" s="15" t="n">
        <f aca="false">IF(Q31&gt;0,Inputs!$F$258*(Inputs!$F$129*Q32/Q31*Q37/Inputs!$F$131+Inputs!$F$130*Inputs!$F$132)*Time!Q30/12,0)</f>
        <v>9229.09803921569</v>
      </c>
      <c r="R63" s="15" t="n">
        <f aca="false">IF(R31&gt;0,Inputs!$F$258*(Inputs!$F$129*R32/R31*R37/Inputs!$F$131+Inputs!$F$130*Inputs!$F$132)*Time!R30/12,0)</f>
        <v>8965.73202614379</v>
      </c>
      <c r="S63" s="15" t="n">
        <f aca="false">IF(S31&gt;0,Inputs!$F$258*(Inputs!$F$129*S32/S31*S37/Inputs!$F$131+Inputs!$F$130*Inputs!$F$132)*Time!S30/12,0)</f>
        <v>8439</v>
      </c>
      <c r="T63" s="15" t="n">
        <f aca="false">IF(T31&gt;0,Inputs!$F$258*(Inputs!$F$129*T32/T31*T37/Inputs!$F$131+Inputs!$F$130*Inputs!$F$132)*Time!T30/12,0)</f>
        <v>8439</v>
      </c>
      <c r="U63" s="15" t="n">
        <f aca="false">IF(U31&gt;0,Inputs!$F$258*(Inputs!$F$129*U32/U31*U37/Inputs!$F$131+Inputs!$F$130*Inputs!$F$132)*Time!U30/12,0)</f>
        <v>8439</v>
      </c>
      <c r="V63" s="15" t="n">
        <f aca="false">IF(V31&gt;0,Inputs!$F$258*(Inputs!$F$129*V32/V31*V37/Inputs!$F$131+Inputs!$F$130*Inputs!$F$132)*Time!V30/12,0)</f>
        <v>8439</v>
      </c>
      <c r="W63" s="15" t="n">
        <f aca="false">IF(W31&gt;0,Inputs!$F$258*(Inputs!$F$129*W32/W31*W37/Inputs!$F$131+Inputs!$F$130*Inputs!$F$132)*Time!W30/12,0)</f>
        <v>8439</v>
      </c>
      <c r="X63" s="15" t="n">
        <f aca="false">IF(X31&gt;0,Inputs!$F$258*(Inputs!$F$129*X32/X31*X37/Inputs!$F$131+Inputs!$F$130*Inputs!$F$132)*Time!X30/12,0)</f>
        <v>8439</v>
      </c>
      <c r="Y63" s="15" t="n">
        <f aca="false">IF(Y31&gt;0,Inputs!$F$258*(Inputs!$F$129*Y32/Y31*Y37/Inputs!$F$131+Inputs!$F$130*Inputs!$F$132)*Time!Y30/12,0)</f>
        <v>8439</v>
      </c>
      <c r="Z63" s="15" t="n">
        <f aca="false">IF(Z31&gt;0,Inputs!$F$258*(Inputs!$F$129*Z32/Z31*Z37/Inputs!$F$131+Inputs!$F$130*Inputs!$F$132)*Time!Z30/12,0)</f>
        <v>8439</v>
      </c>
      <c r="AA63" s="15" t="n">
        <f aca="false">IF(AA31&gt;0,Inputs!$F$258*(Inputs!$F$129*AA32/AA31*AA37/Inputs!$F$131+Inputs!$F$130*Inputs!$F$132)*Time!AA30/12,0)</f>
        <v>8439</v>
      </c>
      <c r="AB63" s="15" t="n">
        <f aca="false">IF(AB31&gt;0,Inputs!$F$258*(Inputs!$F$129*AB32/AB31*AB37/Inputs!$F$131+Inputs!$F$130*Inputs!$F$132)*Time!AB30/12,0)</f>
        <v>8439</v>
      </c>
      <c r="AC63" s="15" t="n">
        <f aca="false">IF(AC31&gt;0,Inputs!$F$258*(Inputs!$F$129*AC32/AC31*AC37/Inputs!$F$131+Inputs!$F$130*Inputs!$F$132)*Time!AC30/12,0)</f>
        <v>8439</v>
      </c>
      <c r="AD63" s="15" t="n">
        <f aca="false">IF(AD31&gt;0,Inputs!$F$258*(Inputs!$F$129*AD32/AD31*AD37/Inputs!$F$131+Inputs!$F$130*Inputs!$F$132)*Time!AD30/12,0)</f>
        <v>8439</v>
      </c>
      <c r="AE63" s="15" t="n">
        <f aca="false">IF(AE31&gt;0,Inputs!$F$258*(Inputs!$F$129*AE32/AE31*AE37/Inputs!$F$131+Inputs!$F$130*Inputs!$F$132)*Time!AE30/12,0)</f>
        <v>8439</v>
      </c>
      <c r="AF63" s="15" t="n">
        <f aca="false">IF(AF31&gt;0,Inputs!$F$258*(Inputs!$F$129*AF32/AF31*AF37/Inputs!$F$131+Inputs!$F$130*Inputs!$F$132)*Time!AF30/12,0)</f>
        <v>8439</v>
      </c>
      <c r="AG63" s="15" t="n">
        <f aca="false">IF(AG31&gt;0,Inputs!$F$258*(Inputs!$F$129*AG32/AG31*AG37/Inputs!$F$131+Inputs!$F$130*Inputs!$F$132)*Time!AG30/12,0)</f>
        <v>8439</v>
      </c>
      <c r="AH63" s="15" t="n">
        <f aca="false">IF(AH31&gt;0,Inputs!$F$258*(Inputs!$F$129*AH32/AH31*AH37/Inputs!$F$131+Inputs!$F$130*Inputs!$F$132)*Time!AH30/12,0)</f>
        <v>8439</v>
      </c>
      <c r="AI63" s="15" t="n">
        <f aca="false">IF(AI31&gt;0,Inputs!$F$258*(Inputs!$F$129*AI32/AI31*AI37/Inputs!$F$131+Inputs!$F$130*Inputs!$F$132)*Time!AI30/12,0)</f>
        <v>8439</v>
      </c>
      <c r="AJ63" s="15" t="n">
        <f aca="false">IF(AJ31&gt;0,Inputs!$F$258*(Inputs!$F$129*AJ32/AJ31*AJ37/Inputs!$F$131+Inputs!$F$130*Inputs!$F$132)*Time!AJ30/12,0)</f>
        <v>8439</v>
      </c>
      <c r="AK63" s="15" t="n">
        <f aca="false">IF(AK31&gt;0,Inputs!$F$258*(Inputs!$F$129*AK32/AK31*AK37/Inputs!$F$131+Inputs!$F$130*Inputs!$F$132)*Time!AK30/12,0)</f>
        <v>8439</v>
      </c>
      <c r="AL63" s="15" t="n">
        <f aca="false">IF(AL31&gt;0,Inputs!$F$258*(Inputs!$F$129*AL32/AL31*AL37/Inputs!$F$131+Inputs!$F$130*Inputs!$F$132)*Time!AL30/12,0)</f>
        <v>8439</v>
      </c>
      <c r="AM63" s="15" t="n">
        <f aca="false">IF(AM31&gt;0,Inputs!$F$258*(Inputs!$F$129*AM32/AM31*AM37/Inputs!$F$131+Inputs!$F$130*Inputs!$F$132)*Time!AM30/12,0)</f>
        <v>8439</v>
      </c>
      <c r="AN63" s="15" t="n">
        <f aca="false">IF(AN31&gt;0,Inputs!$F$258*(Inputs!$F$129*AN32/AN31*AN37/Inputs!$F$131+Inputs!$F$130*Inputs!$F$132)*Time!AN30/12,0)</f>
        <v>8439</v>
      </c>
      <c r="AO63" s="15" t="n">
        <f aca="false">IF(AO31&gt;0,Inputs!$F$258*(Inputs!$F$129*AO32/AO31*AO37/Inputs!$F$131+Inputs!$F$130*Inputs!$F$132)*Time!AO30/12,0)</f>
        <v>8439</v>
      </c>
      <c r="AP63" s="15" t="n">
        <f aca="false">IF(AP31&gt;0,Inputs!$F$258*(Inputs!$F$129*AP32/AP31*AP37/Inputs!$F$131+Inputs!$F$130*Inputs!$F$132)*Time!AP30/12,0)</f>
        <v>8439</v>
      </c>
      <c r="AQ63" s="15" t="n">
        <f aca="false">IF(AQ31&gt;0,Inputs!$F$258*(Inputs!$F$129*AQ32/AQ31*AQ37/Inputs!$F$131+Inputs!$F$130*Inputs!$F$132)*Time!AQ30/12,0)</f>
        <v>8439</v>
      </c>
      <c r="AR63" s="15" t="n">
        <f aca="false">IF(AR31&gt;0,Inputs!$F$258*(Inputs!$F$129*AR32/AR31*AR37/Inputs!$F$131+Inputs!$F$130*Inputs!$F$132)*Time!AR30/12,0)</f>
        <v>8439</v>
      </c>
      <c r="AS63" s="15" t="n">
        <f aca="false">IF(AS31&gt;0,Inputs!$F$258*(Inputs!$F$129*AS32/AS31*AS37/Inputs!$F$131+Inputs!$F$130*Inputs!$F$132)*Time!AS30/12,0)</f>
        <v>8439</v>
      </c>
      <c r="AT63" s="15" t="n">
        <f aca="false">IF(AT31&gt;0,Inputs!$F$258*(Inputs!$F$129*AT32/AT31*AT37/Inputs!$F$131+Inputs!$F$130*Inputs!$F$132)*Time!AT30/12,0)</f>
        <v>8439</v>
      </c>
      <c r="AU63" s="15" t="n">
        <f aca="false">IF(AU31&gt;0,Inputs!$F$258*(Inputs!$F$129*AU32/AU31*AU37/Inputs!$F$131+Inputs!$F$130*Inputs!$F$132)*Time!AU30/12,0)</f>
        <v>8439</v>
      </c>
      <c r="AV63" s="15" t="n">
        <f aca="false">IF(AV31&gt;0,Inputs!$F$258*(Inputs!$F$129*AV32/AV31*AV37/Inputs!$F$131+Inputs!$F$130*Inputs!$F$132)*Time!AV30/12,0)</f>
        <v>8439</v>
      </c>
      <c r="AW63" s="15" t="n">
        <f aca="false">IF(AW31&gt;0,Inputs!$F$258*(Inputs!$F$129*AW32/AW31*AW37/Inputs!$F$131+Inputs!$F$130*Inputs!$F$132)*Time!AW30/12,0)</f>
        <v>8439</v>
      </c>
      <c r="AX63" s="15" t="n">
        <f aca="false">IF(AX31&gt;0,Inputs!$F$258*(Inputs!$F$129*AX32/AX31*AX37/Inputs!$F$131+Inputs!$F$130*Inputs!$F$132)*Time!AX30/12,0)</f>
        <v>8439</v>
      </c>
      <c r="AY63" s="15" t="n">
        <f aca="false">IF(AY31&gt;0,Inputs!$F$258*(Inputs!$F$129*AY32/AY31*AY37/Inputs!$F$131+Inputs!$F$130*Inputs!$F$132)*Time!AY30/12,0)</f>
        <v>8439</v>
      </c>
      <c r="AZ63" s="15" t="n">
        <f aca="false">IF(AZ31&gt;0,Inputs!$F$258*(Inputs!$F$129*AZ32/AZ31*AZ37/Inputs!$F$131+Inputs!$F$130*Inputs!$F$132)*Time!AZ30/12,0)</f>
        <v>8439</v>
      </c>
      <c r="BA63" s="15" t="n">
        <f aca="false">IF(BA31&gt;0,Inputs!$F$258*(Inputs!$F$129*BA32/BA31*BA37/Inputs!$F$131+Inputs!$F$130*Inputs!$F$132)*Time!BA30/12,0)</f>
        <v>8439</v>
      </c>
      <c r="BB63" s="15" t="n">
        <f aca="false">IF(BB31&gt;0,Inputs!$F$258*(Inputs!$F$129*BB32/BB31*BB37/Inputs!$F$131+Inputs!$F$130*Inputs!$F$132)*Time!BB30/12,0)</f>
        <v>8439</v>
      </c>
      <c r="BC63" s="15" t="n">
        <f aca="false">IF(BC31&gt;0,Inputs!$F$258*(Inputs!$F$129*BC32/BC31*BC37/Inputs!$F$131+Inputs!$F$130*Inputs!$F$132)*Time!BC30/12,0)</f>
        <v>8439</v>
      </c>
      <c r="BD63" s="15" t="n">
        <f aca="false">IF(BD31&gt;0,Inputs!$F$258*(Inputs!$F$129*BD32/BD31*BD37/Inputs!$F$131+Inputs!$F$130*Inputs!$F$132)*Time!BD30/12,0)</f>
        <v>8439</v>
      </c>
      <c r="BE63" s="15" t="n">
        <f aca="false">IF(BE31&gt;0,Inputs!$F$258*(Inputs!$F$129*BE32/BE31*BE37/Inputs!$F$131+Inputs!$F$130*Inputs!$F$132)*Time!BE30/12,0)</f>
        <v>8439</v>
      </c>
      <c r="BF63" s="15" t="n">
        <f aca="false">IF(BF31&gt;0,Inputs!$F$258*(Inputs!$F$129*BF32/BF31*BF37/Inputs!$F$131+Inputs!$F$130*Inputs!$F$132)*Time!BF30/12,0)</f>
        <v>8439</v>
      </c>
      <c r="BG63" s="15" t="n">
        <f aca="false">IF(BG31&gt;0,Inputs!$F$258*(Inputs!$F$129*BG32/BG31*BG37/Inputs!$F$131+Inputs!$F$130*Inputs!$F$132)*Time!BG30/12,0)</f>
        <v>8439</v>
      </c>
      <c r="BH63" s="15" t="n">
        <f aca="false">IF(BH31&gt;0,Inputs!$F$258*(Inputs!$F$129*BH32/BH31*BH37/Inputs!$F$131+Inputs!$F$130*Inputs!$F$132)*Time!BH30/12,0)</f>
        <v>8439</v>
      </c>
      <c r="BI63" s="15" t="n">
        <f aca="false">IF(BI31&gt;0,Inputs!$F$258*(Inputs!$F$129*BI32/BI31*BI37/Inputs!$F$131+Inputs!$F$130*Inputs!$F$132)*Time!BI30/12,0)</f>
        <v>8439</v>
      </c>
      <c r="BJ63" s="15" t="n">
        <f aca="false">IF(BJ31&gt;0,Inputs!$F$258*(Inputs!$F$129*BJ32/BJ31*BJ37/Inputs!$F$131+Inputs!$F$130*Inputs!$F$132)*Time!BJ30/12,0)</f>
        <v>8439</v>
      </c>
      <c r="BK63" s="15" t="n">
        <f aca="false">IF(BK31&gt;0,Inputs!$F$258*(Inputs!$F$129*BK32/BK31*BK37/Inputs!$F$131+Inputs!$F$130*Inputs!$F$132)*Time!BK30/12,0)</f>
        <v>8439</v>
      </c>
      <c r="BL63" s="15" t="n">
        <f aca="false">IF(BL31&gt;0,Inputs!$F$258*(Inputs!$F$129*BL32/BL31*BL37/Inputs!$F$131+Inputs!$F$130*Inputs!$F$132)*Time!BL30/12,0)</f>
        <v>8439</v>
      </c>
      <c r="BM63" s="15" t="n">
        <f aca="false">IF(BM31&gt;0,Inputs!$F$258*(Inputs!$F$129*BM32/BM31*BM37/Inputs!$F$131+Inputs!$F$130*Inputs!$F$132)*Time!BM30/12,0)</f>
        <v>8439</v>
      </c>
      <c r="BN63" s="15" t="n">
        <f aca="false">IF(BN31&gt;0,Inputs!$F$258*(Inputs!$F$129*BN32/BN31*BN37/Inputs!$F$131+Inputs!$F$130*Inputs!$F$132)*Time!BN30/12,0)</f>
        <v>7032.5</v>
      </c>
    </row>
    <row r="64" customFormat="false" ht="15" hidden="false" customHeight="false" outlineLevel="0" collapsed="false">
      <c r="D64" s="0" t="s">
        <v>262</v>
      </c>
      <c r="E64" s="0" t="s">
        <v>149</v>
      </c>
      <c r="G64" s="13" t="n">
        <f aca="false">SUM(J64:BN64)</f>
        <v>327.073965059202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0</v>
      </c>
      <c r="P64" s="13" t="n">
        <f aca="false">P63*Inputs!$F$156*P21/1000000</f>
        <v>0.73758875303146</v>
      </c>
      <c r="Q64" s="13" t="n">
        <f aca="false">Q63*Inputs!$F$156*Q21/1000000</f>
        <v>4.99087184316513</v>
      </c>
      <c r="R64" s="13" t="n">
        <f aca="false">R63*Inputs!$F$156*R21/1000000</f>
        <v>5.03865694530572</v>
      </c>
      <c r="S64" s="13" t="n">
        <f aca="false">S63*Inputs!$F$156*S21/1000000</f>
        <v>4.88358380120684</v>
      </c>
      <c r="T64" s="13" t="n">
        <f aca="false">T63*Inputs!$F$156*T21/1000000</f>
        <v>4.98269161838154</v>
      </c>
      <c r="U64" s="13" t="n">
        <f aca="false">U63*Inputs!$F$156*U21/1000000</f>
        <v>5.06909622460776</v>
      </c>
      <c r="V64" s="13" t="n">
        <f aca="false">V63*Inputs!$F$156*V21/1000000</f>
        <v>5.14207282074343</v>
      </c>
      <c r="W64" s="13" t="n">
        <f aca="false">W63*Inputs!$F$156*W21/1000000</f>
        <v>5.21356361757352</v>
      </c>
      <c r="X64" s="13" t="n">
        <f aca="false">X63*Inputs!$F$156*X21/1000000</f>
        <v>5.28347794786137</v>
      </c>
      <c r="Y64" s="13" t="n">
        <f aca="false">Y63*Inputs!$F$156*Y21/1000000</f>
        <v>5.3530259681514</v>
      </c>
      <c r="Z64" s="13" t="n">
        <f aca="false">Z63*Inputs!$F$156*Z21/1000000</f>
        <v>5.42216876149309</v>
      </c>
      <c r="AA64" s="13" t="n">
        <f aca="false">AA63*Inputs!$F$156*AA21/1000000</f>
        <v>5.48818546416403</v>
      </c>
      <c r="AB64" s="13" t="n">
        <f aca="false">AB63*Inputs!$F$156*AB21/1000000</f>
        <v>5.55094080511671</v>
      </c>
      <c r="AC64" s="13" t="n">
        <f aca="false">AC63*Inputs!$F$156*AC21/1000000</f>
        <v>5.6144137298398</v>
      </c>
      <c r="AD64" s="13" t="n">
        <f aca="false">AD63*Inputs!$F$156*AD21/1000000</f>
        <v>5.67861244363439</v>
      </c>
      <c r="AE64" s="13" t="n">
        <f aca="false">AE63*Inputs!$F$156*AE21/1000000</f>
        <v>5.74354524562611</v>
      </c>
      <c r="AF64" s="13" t="n">
        <f aca="false">AF63*Inputs!$F$156*AF21/1000000</f>
        <v>5.80922052983798</v>
      </c>
      <c r="AG64" s="13" t="n">
        <f aca="false">AG63*Inputs!$F$156*AG21/1000000</f>
        <v>5.87564678627551</v>
      </c>
      <c r="AH64" s="13" t="n">
        <f aca="false">AH63*Inputs!$F$156*AH21/1000000</f>
        <v>5.94283260202425</v>
      </c>
      <c r="AI64" s="13" t="n">
        <f aca="false">AI63*Inputs!$F$156*AI21/1000000</f>
        <v>6.01078666235984</v>
      </c>
      <c r="AJ64" s="13" t="n">
        <f aca="false">AJ63*Inputs!$F$156*AJ21/1000000</f>
        <v>6.07951775187081</v>
      </c>
      <c r="AK64" s="13" t="n">
        <f aca="false">AK63*Inputs!$F$156*AK21/1000000</f>
        <v>6.14903475559412</v>
      </c>
      <c r="AL64" s="13" t="n">
        <f aca="false">AL63*Inputs!$F$156*AL21/1000000</f>
        <v>6.21934666016383</v>
      </c>
      <c r="AM64" s="13" t="n">
        <f aca="false">AM63*Inputs!$F$156*AM21/1000000</f>
        <v>6.29046255497278</v>
      </c>
      <c r="AN64" s="13" t="n">
        <f aca="false">AN63*Inputs!$F$156*AN21/1000000</f>
        <v>6.3623916333476</v>
      </c>
      <c r="AO64" s="13" t="n">
        <f aca="false">AO63*Inputs!$F$156*AO21/1000000</f>
        <v>6.43514319373715</v>
      </c>
      <c r="AP64" s="13" t="n">
        <f aca="false">AP63*Inputs!$F$156*AP21/1000000</f>
        <v>6.50872664091459</v>
      </c>
      <c r="AQ64" s="13" t="n">
        <f aca="false">AQ63*Inputs!$F$156*AQ21/1000000</f>
        <v>6.58315148719311</v>
      </c>
      <c r="AR64" s="13" t="n">
        <f aca="false">AR63*Inputs!$F$156*AR21/1000000</f>
        <v>6.65842735365563</v>
      </c>
      <c r="AS64" s="13" t="n">
        <f aca="false">AS63*Inputs!$F$156*AS21/1000000</f>
        <v>6.73456397139855</v>
      </c>
      <c r="AT64" s="13" t="n">
        <f aca="false">AT63*Inputs!$F$156*AT21/1000000</f>
        <v>6.8115711827897</v>
      </c>
      <c r="AU64" s="13" t="n">
        <f aca="false">AU63*Inputs!$F$156*AU21/1000000</f>
        <v>6.88945894274071</v>
      </c>
      <c r="AV64" s="13" t="n">
        <f aca="false">AV63*Inputs!$F$156*AV21/1000000</f>
        <v>6.96823731999386</v>
      </c>
      <c r="AW64" s="13" t="n">
        <f aca="false">AW63*Inputs!$F$156*AW21/1000000</f>
        <v>7.04791649842374</v>
      </c>
      <c r="AX64" s="13" t="n">
        <f aca="false">AX63*Inputs!$F$156*AX21/1000000</f>
        <v>7.12850677835372</v>
      </c>
      <c r="AY64" s="13" t="n">
        <f aca="false">AY63*Inputs!$F$156*AY21/1000000</f>
        <v>7.21001857788749</v>
      </c>
      <c r="AZ64" s="13" t="n">
        <f aca="false">AZ63*Inputs!$F$156*AZ21/1000000</f>
        <v>7.29246243425585</v>
      </c>
      <c r="BA64" s="13" t="n">
        <f aca="false">BA63*Inputs!$F$156*BA21/1000000</f>
        <v>7.3758490051789</v>
      </c>
      <c r="BB64" s="13" t="n">
        <f aca="false">BB63*Inputs!$F$156*BB21/1000000</f>
        <v>7.46018907024374</v>
      </c>
      <c r="BC64" s="13" t="n">
        <f aca="false">BC63*Inputs!$F$156*BC21/1000000</f>
        <v>7.54549353229801</v>
      </c>
      <c r="BD64" s="13" t="n">
        <f aca="false">BD63*Inputs!$F$156*BD21/1000000</f>
        <v>7.63177341885934</v>
      </c>
      <c r="BE64" s="13" t="n">
        <f aca="false">BE63*Inputs!$F$156*BE21/1000000</f>
        <v>7.71903988354087</v>
      </c>
      <c r="BF64" s="13" t="n">
        <f aca="false">BF63*Inputs!$F$156*BF21/1000000</f>
        <v>7.80730420749311</v>
      </c>
      <c r="BG64" s="13" t="n">
        <f aca="false">BG63*Inputs!$F$156*BG21/1000000</f>
        <v>7.89657780086231</v>
      </c>
      <c r="BH64" s="13" t="n">
        <f aca="false">BH63*Inputs!$F$156*BH21/1000000</f>
        <v>7.98687220426544</v>
      </c>
      <c r="BI64" s="13" t="n">
        <f aca="false">BI63*Inputs!$F$156*BI21/1000000</f>
        <v>8.07819909028213</v>
      </c>
      <c r="BJ64" s="13" t="n">
        <f aca="false">BJ63*Inputs!$F$156*BJ21/1000000</f>
        <v>8.17057026496355</v>
      </c>
      <c r="BK64" s="13" t="n">
        <f aca="false">BK63*Inputs!$F$156*BK21/1000000</f>
        <v>8.26399766935862</v>
      </c>
      <c r="BL64" s="13" t="n">
        <f aca="false">BL63*Inputs!$F$156*BL21/1000000</f>
        <v>8.3584933810577</v>
      </c>
      <c r="BM64" s="13" t="n">
        <f aca="false">BM63*Inputs!$F$156*BM21/1000000</f>
        <v>8.45406961575386</v>
      </c>
      <c r="BN64" s="13" t="n">
        <f aca="false">BN63*Inputs!$F$156*BN21/1000000</f>
        <v>7.12561560735169</v>
      </c>
    </row>
    <row r="65" customFormat="false" ht="15" hidden="false" customHeight="false" outlineLevel="0" collapsed="false">
      <c r="D65" s="0" t="s">
        <v>264</v>
      </c>
      <c r="E65" s="0" t="s">
        <v>149</v>
      </c>
      <c r="G65" s="13" t="n">
        <f aca="false">SUM(J65:BN65)</f>
        <v>204.650708138469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</v>
      </c>
      <c r="P65" s="13" t="n">
        <f aca="false">Inputs!$F$157*P21*Time!P30/12*(1+Inputs!$F$158*Inputs!$F$46*Time!P41)*Inputs!$F$40</f>
        <v>0.392951065763585</v>
      </c>
      <c r="Q65" s="13" t="n">
        <f aca="false">Inputs!$F$157*Q21*Time!Q30/12*(1+Inputs!$F$158*Inputs!$F$46*Time!Q41)*Inputs!$F$40</f>
        <v>2.43126518232264</v>
      </c>
      <c r="R65" s="13" t="n">
        <f aca="false">Inputs!$F$157*R21*Time!R30/12*(1+Inputs!$F$158*Inputs!$F$46*Time!R41)*Inputs!$F$40</f>
        <v>2.98144097429886</v>
      </c>
      <c r="S65" s="13" t="n">
        <f aca="false">Inputs!$F$157*S21*Time!S30/12*(1+Inputs!$F$158*Inputs!$F$46*Time!S41)*Inputs!$F$40</f>
        <v>3.07004567629412</v>
      </c>
      <c r="T65" s="13" t="n">
        <f aca="false">Inputs!$F$157*T21*Time!T30/12*(1+Inputs!$F$158*Inputs!$F$46*Time!T41)*Inputs!$F$40</f>
        <v>3.13234941428444</v>
      </c>
      <c r="U65" s="13" t="n">
        <f aca="false">Inputs!$F$157*U21*Time!U30/12*(1+Inputs!$F$158*Inputs!$F$46*Time!U41)*Inputs!$F$40</f>
        <v>3.18666732886412</v>
      </c>
      <c r="V65" s="13" t="n">
        <f aca="false">Inputs!$F$157*V21*Time!V30/12*(1+Inputs!$F$158*Inputs!$F$46*Time!V41)*Inputs!$F$40</f>
        <v>3.23254377791402</v>
      </c>
      <c r="W65" s="13" t="n">
        <f aca="false">Inputs!$F$157*W21*Time!W30/12*(1+Inputs!$F$158*Inputs!$F$46*Time!W41)*Inputs!$F$40</f>
        <v>3.27748618509638</v>
      </c>
      <c r="X65" s="13" t="n">
        <f aca="false">Inputs!$F$157*X21*Time!X30/12*(1+Inputs!$F$158*Inputs!$F$46*Time!X41)*Inputs!$F$40</f>
        <v>3.32143755281084</v>
      </c>
      <c r="Y65" s="13" t="n">
        <f aca="false">Inputs!$F$157*Y21*Time!Y30/12*(1+Inputs!$F$158*Inputs!$F$46*Time!Y41)*Inputs!$F$40</f>
        <v>3.36515864119136</v>
      </c>
      <c r="Z65" s="13" t="n">
        <f aca="false">Inputs!$F$157*Z21*Time!Z30/12*(1+Inputs!$F$158*Inputs!$F$46*Time!Z41)*Inputs!$F$40</f>
        <v>3.40862498525064</v>
      </c>
      <c r="AA65" s="13" t="n">
        <f aca="false">Inputs!$F$157*AA21*Time!AA30/12*(1+Inputs!$F$158*Inputs!$F$46*Time!AA41)*Inputs!$F$40</f>
        <v>3.45012612475151</v>
      </c>
      <c r="AB65" s="13" t="n">
        <f aca="false">Inputs!$F$157*AB21*Time!AB30/12*(1+Inputs!$F$158*Inputs!$F$46*Time!AB41)*Inputs!$F$40</f>
        <v>3.48957702208402</v>
      </c>
      <c r="AC65" s="13" t="n">
        <f aca="false">Inputs!$F$157*AC21*Time!AC30/12*(1+Inputs!$F$158*Inputs!$F$46*Time!AC41)*Inputs!$F$40</f>
        <v>3.52947902562079</v>
      </c>
      <c r="AD65" s="13" t="n">
        <f aca="false">Inputs!$F$157*AD21*Time!AD30/12*(1+Inputs!$F$158*Inputs!$F$46*Time!AD41)*Inputs!$F$40</f>
        <v>3.56983729359196</v>
      </c>
      <c r="AE65" s="13" t="n">
        <f aca="false">Inputs!$F$157*AE21*Time!AE30/12*(1+Inputs!$F$158*Inputs!$F$46*Time!AE41)*Inputs!$F$40</f>
        <v>3.61065704321007</v>
      </c>
      <c r="AF65" s="13" t="n">
        <f aca="false">Inputs!$F$157*AF21*Time!AF30/12*(1+Inputs!$F$158*Inputs!$F$46*Time!AF41)*Inputs!$F$40</f>
        <v>3.65194355134457</v>
      </c>
      <c r="AG65" s="13" t="n">
        <f aca="false">Inputs!$F$157*AG21*Time!AG30/12*(1+Inputs!$F$158*Inputs!$F$46*Time!AG41)*Inputs!$F$40</f>
        <v>3.6937021552039</v>
      </c>
      <c r="AH65" s="13" t="n">
        <f aca="false">Inputs!$F$157*AH21*Time!AH30/12*(1+Inputs!$F$158*Inputs!$F$46*Time!AH41)*Inputs!$F$40</f>
        <v>3.73593825302549</v>
      </c>
      <c r="AI65" s="13" t="n">
        <f aca="false">Inputs!$F$157*AI21*Time!AI30/12*(1+Inputs!$F$158*Inputs!$F$46*Time!AI41)*Inputs!$F$40</f>
        <v>3.77865730477359</v>
      </c>
      <c r="AJ65" s="13" t="n">
        <f aca="false">Inputs!$F$157*AJ21*Time!AJ30/12*(1+Inputs!$F$158*Inputs!$F$46*Time!AJ41)*Inputs!$F$40</f>
        <v>3.82186483284508</v>
      </c>
      <c r="AK65" s="13" t="n">
        <f aca="false">Inputs!$F$157*AK21*Time!AK30/12*(1+Inputs!$F$158*Inputs!$F$46*Time!AK41)*Inputs!$F$40</f>
        <v>3.86556642278338</v>
      </c>
      <c r="AL65" s="13" t="n">
        <f aca="false">Inputs!$F$157*AL21*Time!AL30/12*(1+Inputs!$F$158*Inputs!$F$46*Time!AL41)*Inputs!$F$40</f>
        <v>3.90976772400051</v>
      </c>
      <c r="AM65" s="13" t="n">
        <f aca="false">Inputs!$F$157*AM21*Time!AM30/12*(1+Inputs!$F$158*Inputs!$F$46*Time!AM41)*Inputs!$F$40</f>
        <v>3.9544744505074</v>
      </c>
      <c r="AN65" s="13" t="n">
        <f aca="false">Inputs!$F$157*AN21*Time!AN30/12*(1+Inputs!$F$158*Inputs!$F$46*Time!AN41)*Inputs!$F$40</f>
        <v>3.99969238165252</v>
      </c>
      <c r="AO65" s="13" t="n">
        <f aca="false">Inputs!$F$157*AO21*Time!AO30/12*(1+Inputs!$F$158*Inputs!$F$46*Time!AO41)*Inputs!$F$40</f>
        <v>4.04542736286907</v>
      </c>
      <c r="AP65" s="13" t="n">
        <f aca="false">Inputs!$F$157*AP21*Time!AP30/12*(1+Inputs!$F$158*Inputs!$F$46*Time!AP41)*Inputs!$F$40</f>
        <v>4.09168530643053</v>
      </c>
      <c r="AQ65" s="13" t="n">
        <f aca="false">Inputs!$F$157*AQ21*Time!AQ30/12*(1+Inputs!$F$158*Inputs!$F$46*Time!AQ41)*Inputs!$F$40</f>
        <v>4.13847219221506</v>
      </c>
      <c r="AR65" s="13" t="n">
        <f aca="false">Inputs!$F$157*AR21*Time!AR30/12*(1+Inputs!$F$158*Inputs!$F$46*Time!AR41)*Inputs!$F$40</f>
        <v>4.18579406847843</v>
      </c>
      <c r="AS65" s="13" t="n">
        <f aca="false">Inputs!$F$157*AS21*Time!AS30/12*(1+Inputs!$F$158*Inputs!$F$46*Time!AS41)*Inputs!$F$40</f>
        <v>4.233657052636</v>
      </c>
      <c r="AT65" s="13" t="n">
        <f aca="false">Inputs!$F$157*AT21*Time!AT30/12*(1+Inputs!$F$158*Inputs!$F$46*Time!AT41)*Inputs!$F$40</f>
        <v>4.28206733205344</v>
      </c>
      <c r="AU65" s="13" t="n">
        <f aca="false">Inputs!$F$157*AU21*Time!AU30/12*(1+Inputs!$F$158*Inputs!$F$46*Time!AU41)*Inputs!$F$40</f>
        <v>4.33103116484663</v>
      </c>
      <c r="AV65" s="13" t="n">
        <f aca="false">Inputs!$F$157*AV21*Time!AV30/12*(1+Inputs!$F$158*Inputs!$F$46*Time!AV41)*Inputs!$F$40</f>
        <v>4.38055488069066</v>
      </c>
      <c r="AW65" s="13" t="n">
        <f aca="false">Inputs!$F$157*AW21*Time!AW30/12*(1+Inputs!$F$158*Inputs!$F$46*Time!AW41)*Inputs!$F$40</f>
        <v>4.4306448816381</v>
      </c>
      <c r="AX65" s="13" t="n">
        <f aca="false">Inputs!$F$157*AX21*Time!AX30/12*(1+Inputs!$F$158*Inputs!$F$46*Time!AX41)*Inputs!$F$40</f>
        <v>4.48130764294655</v>
      </c>
      <c r="AY65" s="13" t="n">
        <f aca="false">Inputs!$F$157*AY21*Time!AY30/12*(1+Inputs!$F$158*Inputs!$F$46*Time!AY41)*Inputs!$F$40</f>
        <v>4.53254971391577</v>
      </c>
      <c r="AZ65" s="13" t="n">
        <f aca="false">Inputs!$F$157*AZ21*Time!AZ30/12*(1+Inputs!$F$158*Inputs!$F$46*Time!AZ41)*Inputs!$F$40</f>
        <v>4.58437771873432</v>
      </c>
      <c r="BA65" s="13" t="n">
        <f aca="false">Inputs!$F$157*BA21*Time!BA30/12*(1+Inputs!$F$158*Inputs!$F$46*Time!BA41)*Inputs!$F$40</f>
        <v>4.63679835733584</v>
      </c>
      <c r="BB65" s="13" t="n">
        <f aca="false">Inputs!$F$157*BB21*Time!BB30/12*(1+Inputs!$F$158*Inputs!$F$46*Time!BB41)*Inputs!$F$40</f>
        <v>4.68981840626521</v>
      </c>
      <c r="BC65" s="13" t="n">
        <f aca="false">Inputs!$F$157*BC21*Time!BC30/12*(1+Inputs!$F$158*Inputs!$F$46*Time!BC41)*Inputs!$F$40</f>
        <v>4.74344471955456</v>
      </c>
      <c r="BD65" s="13" t="n">
        <f aca="false">Inputs!$F$157*BD21*Time!BD30/12*(1+Inputs!$F$158*Inputs!$F$46*Time!BD41)*Inputs!$F$40</f>
        <v>4.79768422960931</v>
      </c>
      <c r="BE65" s="13" t="n">
        <f aca="false">Inputs!$F$157*BE21*Time!BE30/12*(1+Inputs!$F$158*Inputs!$F$46*Time!BE41)*Inputs!$F$40</f>
        <v>4.85254394810431</v>
      </c>
      <c r="BF65" s="13" t="n">
        <f aca="false">Inputs!$F$157*BF21*Time!BF30/12*(1+Inputs!$F$158*Inputs!$F$46*Time!BF41)*Inputs!$F$40</f>
        <v>4.90803096689032</v>
      </c>
      <c r="BG65" s="13" t="n">
        <f aca="false">Inputs!$F$157*BG21*Time!BG30/12*(1+Inputs!$F$158*Inputs!$F$46*Time!BG41)*Inputs!$F$40</f>
        <v>4.96415245891071</v>
      </c>
      <c r="BH65" s="13" t="n">
        <f aca="false">Inputs!$F$157*BH21*Time!BH30/12*(1+Inputs!$F$158*Inputs!$F$46*Time!BH41)*Inputs!$F$40</f>
        <v>5.02091567912879</v>
      </c>
      <c r="BI65" s="13" t="n">
        <f aca="false">Inputs!$F$157*BI21*Time!BI30/12*(1+Inputs!$F$158*Inputs!$F$46*Time!BI41)*Inputs!$F$40</f>
        <v>5.07832796546565</v>
      </c>
      <c r="BJ65" s="13" t="n">
        <f aca="false">Inputs!$F$157*BJ21*Time!BJ30/12*(1+Inputs!$F$158*Inputs!$F$46*Time!BJ41)*Inputs!$F$40</f>
        <v>5.13639673974875</v>
      </c>
      <c r="BK65" s="13" t="n">
        <f aca="false">Inputs!$F$157*BK21*Time!BK30/12*(1+Inputs!$F$158*Inputs!$F$46*Time!BK41)*Inputs!$F$40</f>
        <v>5.19512950867136</v>
      </c>
      <c r="BL65" s="13" t="n">
        <f aca="false">Inputs!$F$157*BL21*Time!BL30/12*(1+Inputs!$F$158*Inputs!$F$46*Time!BL41)*Inputs!$F$40</f>
        <v>5.25453386476297</v>
      </c>
      <c r="BM65" s="13" t="n">
        <f aca="false">Inputs!$F$157*BM21*Time!BM30/12*(1+Inputs!$F$158*Inputs!$F$46*Time!BM41)*Inputs!$F$40</f>
        <v>5.3146174873708</v>
      </c>
      <c r="BN65" s="13" t="n">
        <f aca="false">Inputs!$F$157*BN21*Time!BN30/12*(1+Inputs!$F$158*Inputs!$F$46*Time!BN41)*Inputs!$F$40</f>
        <v>4.47949011971043</v>
      </c>
    </row>
    <row r="66" customFormat="false" ht="15" hidden="false" customHeight="false" outlineLevel="0" collapsed="false">
      <c r="D66" s="0" t="s">
        <v>619</v>
      </c>
      <c r="E66" s="0" t="s">
        <v>149</v>
      </c>
      <c r="G66" s="13" t="n">
        <f aca="false">SUM(J66:BN66)</f>
        <v>140.157680861502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</v>
      </c>
      <c r="P66" s="13" t="n">
        <f aca="false">Inputs!$F$159*(Inputs!$F$218*P21+(1-Inputs!$F$218)*P27*Inputs!$F$153/P11)*Time!P30/12*Inputs!$F$40</f>
        <v>0.291854183961701</v>
      </c>
      <c r="Q66" s="13" t="n">
        <f aca="false">Inputs!$F$159*(Inputs!$F$218*Q21+(1-Inputs!$F$218)*Q27*Inputs!$F$153/Q11)*Time!Q30/12*Inputs!$F$40</f>
        <v>1.78856494262164</v>
      </c>
      <c r="R66" s="13" t="n">
        <f aca="false">Inputs!$F$159*(Inputs!$F$218*R21+(1-Inputs!$F$218)*R27*Inputs!$F$153/R11)*Time!R30/12*Inputs!$F$40</f>
        <v>1.7206000685129</v>
      </c>
      <c r="S66" s="13" t="n">
        <f aca="false">Inputs!$F$159*(Inputs!$F$218*S21+(1-Inputs!$F$218)*S27*Inputs!$F$153/S11)*Time!S30/12*Inputs!$F$40</f>
        <v>1.66848893729679</v>
      </c>
      <c r="T66" s="13" t="n">
        <f aca="false">Inputs!$F$159*(Inputs!$F$218*T21+(1-Inputs!$F$218)*T27*Inputs!$F$153/T11)*Time!T30/12*Inputs!$F$40</f>
        <v>1.8111707480021</v>
      </c>
      <c r="U66" s="13" t="n">
        <f aca="false">Inputs!$F$159*(Inputs!$F$218*U21+(1-Inputs!$F$218)*U27*Inputs!$F$153/U11)*Time!U30/12*Inputs!$F$40</f>
        <v>1.89140399136734</v>
      </c>
      <c r="V66" s="13" t="n">
        <f aca="false">Inputs!$F$159*(Inputs!$F$218*V21+(1-Inputs!$F$218)*V27*Inputs!$F$153/V11)*Time!V30/12*Inputs!$F$40</f>
        <v>2.02900861119303</v>
      </c>
      <c r="W66" s="13" t="n">
        <f aca="false">Inputs!$F$159*(Inputs!$F$218*W21+(1-Inputs!$F$218)*W27*Inputs!$F$153/W11)*Time!W30/12*Inputs!$F$40</f>
        <v>2.13738085776359</v>
      </c>
      <c r="X66" s="13" t="n">
        <f aca="false">Inputs!$F$159*(Inputs!$F$218*X21+(1-Inputs!$F$218)*X27*Inputs!$F$153/X11)*Time!X30/12*Inputs!$F$40</f>
        <v>2.23252176444911</v>
      </c>
      <c r="Y66" s="13" t="n">
        <f aca="false">Inputs!$F$159*(Inputs!$F$218*Y21+(1-Inputs!$F$218)*Y27*Inputs!$F$153/Y11)*Time!Y30/12*Inputs!$F$40</f>
        <v>2.30436934860236</v>
      </c>
      <c r="Z66" s="13" t="n">
        <f aca="false">Inputs!$F$159*(Inputs!$F$218*Z21+(1-Inputs!$F$218)*Z27*Inputs!$F$153/Z11)*Time!Z30/12*Inputs!$F$40</f>
        <v>2.35812674142016</v>
      </c>
      <c r="AA66" s="13" t="n">
        <f aca="false">Inputs!$F$159*(Inputs!$F$218*AA21+(1-Inputs!$F$218)*AA27*Inputs!$F$153/AA11)*Time!AA30/12*Inputs!$F$40</f>
        <v>2.39073904218923</v>
      </c>
      <c r="AB66" s="13" t="n">
        <f aca="false">Inputs!$F$159*(Inputs!$F$218*AB21+(1-Inputs!$F$218)*AB27*Inputs!$F$153/AB11)*Time!AB30/12*Inputs!$F$40</f>
        <v>2.41807624584263</v>
      </c>
      <c r="AC66" s="13" t="n">
        <f aca="false">Inputs!$F$159*(Inputs!$F$218*AC21+(1-Inputs!$F$218)*AC27*Inputs!$F$153/AC11)*Time!AC30/12*Inputs!$F$40</f>
        <v>2.44888656661529</v>
      </c>
      <c r="AD66" s="13" t="n">
        <f aca="false">Inputs!$F$159*(Inputs!$F$218*AD21+(1-Inputs!$F$218)*AD27*Inputs!$F$153/AD11)*Time!AD30/12*Inputs!$F$40</f>
        <v>2.47688866538653</v>
      </c>
      <c r="AE66" s="13" t="n">
        <f aca="false">Inputs!$F$159*(Inputs!$F$218*AE21+(1-Inputs!$F$218)*AE27*Inputs!$F$153/AE11)*Time!AE30/12*Inputs!$F$40</f>
        <v>2.50521095764744</v>
      </c>
      <c r="AF66" s="13" t="n">
        <f aca="false">Inputs!$F$159*(Inputs!$F$218*AF21+(1-Inputs!$F$218)*AF27*Inputs!$F$153/AF11)*Time!AF30/12*Inputs!$F$40</f>
        <v>2.53385710469042</v>
      </c>
      <c r="AG66" s="13" t="n">
        <f aca="false">Inputs!$F$159*(Inputs!$F$218*AG21+(1-Inputs!$F$218)*AG27*Inputs!$F$153/AG11)*Time!AG30/12*Inputs!$F$40</f>
        <v>2.56283080967333</v>
      </c>
      <c r="AH66" s="13" t="n">
        <f aca="false">Inputs!$F$159*(Inputs!$F$218*AH21+(1-Inputs!$F$218)*AH27*Inputs!$F$153/AH11)*Time!AH30/12*Inputs!$F$40</f>
        <v>2.59213581809829</v>
      </c>
      <c r="AI66" s="13" t="n">
        <f aca="false">Inputs!$F$159*(Inputs!$F$218*AI21+(1-Inputs!$F$218)*AI27*Inputs!$F$153/AI11)*Time!AI30/12*Inputs!$F$40</f>
        <v>2.62177591829582</v>
      </c>
      <c r="AJ66" s="13" t="n">
        <f aca="false">Inputs!$F$159*(Inputs!$F$218*AJ21+(1-Inputs!$F$218)*AJ27*Inputs!$F$153/AJ11)*Time!AJ30/12*Inputs!$F$40</f>
        <v>2.65175494191456</v>
      </c>
      <c r="AK66" s="13" t="n">
        <f aca="false">Inputs!$F$159*(Inputs!$F$218*AK21+(1-Inputs!$F$218)*AK27*Inputs!$F$153/AK11)*Time!AK30/12*Inputs!$F$40</f>
        <v>2.68207676441662</v>
      </c>
      <c r="AL66" s="13" t="n">
        <f aca="false">Inputs!$F$159*(Inputs!$F$218*AL21+(1-Inputs!$F$218)*AL27*Inputs!$F$153/AL11)*Time!AL30/12*Inputs!$F$40</f>
        <v>2.71274530557859</v>
      </c>
      <c r="AM66" s="13" t="n">
        <f aca="false">Inputs!$F$159*(Inputs!$F$218*AM21+(1-Inputs!$F$218)*AM27*Inputs!$F$153/AM11)*Time!AM30/12*Inputs!$F$40</f>
        <v>2.7437645299982</v>
      </c>
      <c r="AN66" s="13" t="n">
        <f aca="false">Inputs!$F$159*(Inputs!$F$218*AN21+(1-Inputs!$F$218)*AN27*Inputs!$F$153/AN11)*Time!AN30/12*Inputs!$F$40</f>
        <v>2.7751384476069</v>
      </c>
      <c r="AO66" s="13" t="n">
        <f aca="false">Inputs!$F$159*(Inputs!$F$218*AO21+(1-Inputs!$F$218)*AO27*Inputs!$F$153/AO11)*Time!AO30/12*Inputs!$F$40</f>
        <v>2.80687111418816</v>
      </c>
      <c r="AP66" s="13" t="n">
        <f aca="false">Inputs!$F$159*(Inputs!$F$218*AP21+(1-Inputs!$F$218)*AP27*Inputs!$F$153/AP11)*Time!AP30/12*Inputs!$F$40</f>
        <v>2.83896663190185</v>
      </c>
      <c r="AQ66" s="13" t="n">
        <f aca="false">Inputs!$F$159*(Inputs!$F$218*AQ21+(1-Inputs!$F$218)*AQ27*Inputs!$F$153/AQ11)*Time!AQ30/12*Inputs!$F$40</f>
        <v>2.87142914981449</v>
      </c>
      <c r="AR66" s="13" t="n">
        <f aca="false">Inputs!$F$159*(Inputs!$F$218*AR21+(1-Inputs!$F$218)*AR27*Inputs!$F$153/AR11)*Time!AR30/12*Inputs!$F$40</f>
        <v>2.9042628644356</v>
      </c>
      <c r="AS66" s="13" t="n">
        <f aca="false">Inputs!$F$159*(Inputs!$F$218*AS21+(1-Inputs!$F$218)*AS27*Inputs!$F$153/AS11)*Time!AS30/12*Inputs!$F$40</f>
        <v>2.93747202026022</v>
      </c>
      <c r="AT66" s="13" t="n">
        <f aca="false">Inputs!$F$159*(Inputs!$F$218*AT21+(1-Inputs!$F$218)*AT27*Inputs!$F$153/AT11)*Time!AT30/12*Inputs!$F$40</f>
        <v>2.97106091031761</v>
      </c>
      <c r="AU66" s="13" t="n">
        <f aca="false">Inputs!$F$159*(Inputs!$F$218*AU21+(1-Inputs!$F$218)*AU27*Inputs!$F$153/AU11)*Time!AU30/12*Inputs!$F$40</f>
        <v>3.00503387672621</v>
      </c>
      <c r="AV66" s="13" t="n">
        <f aca="false">Inputs!$F$159*(Inputs!$F$218*AV21+(1-Inputs!$F$218)*AV27*Inputs!$F$153/AV11)*Time!AV30/12*Inputs!$F$40</f>
        <v>3.03939531125492</v>
      </c>
      <c r="AW66" s="13" t="n">
        <f aca="false">Inputs!$F$159*(Inputs!$F$218*AW21+(1-Inputs!$F$218)*AW27*Inputs!$F$153/AW11)*Time!AW30/12*Inputs!$F$40</f>
        <v>3.07414965589091</v>
      </c>
      <c r="AX66" s="13" t="n">
        <f aca="false">Inputs!$F$159*(Inputs!$F$218*AX21+(1-Inputs!$F$218)*AX27*Inputs!$F$153/AX11)*Time!AX30/12*Inputs!$F$40</f>
        <v>3.10930140341378</v>
      </c>
      <c r="AY66" s="13" t="n">
        <f aca="false">Inputs!$F$159*(Inputs!$F$218*AY21+(1-Inputs!$F$218)*AY27*Inputs!$F$153/AY11)*Time!AY30/12*Inputs!$F$40</f>
        <v>3.1448550979764</v>
      </c>
      <c r="AZ66" s="13" t="n">
        <f aca="false">Inputs!$F$159*(Inputs!$F$218*AZ21+(1-Inputs!$F$218)*AZ27*Inputs!$F$153/AZ11)*Time!AZ30/12*Inputs!$F$40</f>
        <v>3.1808153356923</v>
      </c>
      <c r="BA66" s="13" t="n">
        <f aca="false">Inputs!$F$159*(Inputs!$F$218*BA21+(1-Inputs!$F$218)*BA27*Inputs!$F$153/BA11)*Time!BA30/12*Inputs!$F$40</f>
        <v>3.21718676522985</v>
      </c>
      <c r="BB66" s="13" t="n">
        <f aca="false">Inputs!$F$159*(Inputs!$F$218*BB21+(1-Inputs!$F$218)*BB27*Inputs!$F$153/BB11)*Time!BB30/12*Inputs!$F$40</f>
        <v>3.25397408841322</v>
      </c>
      <c r="BC66" s="13" t="n">
        <f aca="false">Inputs!$F$159*(Inputs!$F$218*BC21+(1-Inputs!$F$218)*BC27*Inputs!$F$153/BC11)*Time!BC30/12*Inputs!$F$40</f>
        <v>3.29118206083014</v>
      </c>
      <c r="BD66" s="13" t="n">
        <f aca="false">Inputs!$F$159*(Inputs!$F$218*BD21+(1-Inputs!$F$218)*BD27*Inputs!$F$153/BD11)*Time!BD30/12*Inputs!$F$40</f>
        <v>3.32881549244672</v>
      </c>
      <c r="BE66" s="13" t="n">
        <f aca="false">Inputs!$F$159*(Inputs!$F$218*BE21+(1-Inputs!$F$218)*BE27*Inputs!$F$153/BE11)*Time!BE30/12*Inputs!$F$40</f>
        <v>3.36687924822923</v>
      </c>
      <c r="BF66" s="13" t="n">
        <f aca="false">Inputs!$F$159*(Inputs!$F$218*BF21+(1-Inputs!$F$218)*BF27*Inputs!$F$153/BF11)*Time!BF30/12*Inputs!$F$40</f>
        <v>3.405378248773</v>
      </c>
      <c r="BG66" s="13" t="n">
        <f aca="false">Inputs!$F$159*(Inputs!$F$218*BG21+(1-Inputs!$F$218)*BG27*Inputs!$F$153/BG11)*Time!BG30/12*Inputs!$F$40</f>
        <v>3.4443174709385</v>
      </c>
      <c r="BH66" s="13" t="n">
        <f aca="false">Inputs!$F$159*(Inputs!$F$218*BH21+(1-Inputs!$F$218)*BH27*Inputs!$F$153/BH11)*Time!BH30/12*Inputs!$F$40</f>
        <v>3.48370194849477</v>
      </c>
      <c r="BI66" s="13" t="n">
        <f aca="false">Inputs!$F$159*(Inputs!$F$218*BI21+(1-Inputs!$F$218)*BI27*Inputs!$F$153/BI11)*Time!BI30/12*Inputs!$F$40</f>
        <v>3.52353677277009</v>
      </c>
      <c r="BJ66" s="13" t="n">
        <f aca="false">Inputs!$F$159*(Inputs!$F$218*BJ21+(1-Inputs!$F$218)*BJ27*Inputs!$F$153/BJ11)*Time!BJ30/12*Inputs!$F$40</f>
        <v>3.56382709331015</v>
      </c>
      <c r="BK66" s="13" t="n">
        <f aca="false">Inputs!$F$159*(Inputs!$F$218*BK21+(1-Inputs!$F$218)*BK27*Inputs!$F$153/BK11)*Time!BK30/12*Inputs!$F$40</f>
        <v>3.6045781185438</v>
      </c>
      <c r="BL66" s="13" t="n">
        <f aca="false">Inputs!$F$159*(Inputs!$F$218*BL21+(1-Inputs!$F$218)*BL27*Inputs!$F$153/BL11)*Time!BL30/12*Inputs!$F$40</f>
        <v>3.64579511645629</v>
      </c>
      <c r="BM66" s="13" t="n">
        <f aca="false">Inputs!$F$159*(Inputs!$F$218*BM21+(1-Inputs!$F$218)*BM27*Inputs!$F$153/BM11)*Time!BM30/12*Inputs!$F$40</f>
        <v>3.68748341527031</v>
      </c>
      <c r="BN66" s="13" t="n">
        <f aca="false">Inputs!$F$159*(Inputs!$F$218*BN21+(1-Inputs!$F$218)*BN27*Inputs!$F$153/BN11)*Time!BN30/12*Inputs!$F$40</f>
        <v>3.10804033677898</v>
      </c>
    </row>
    <row r="67" customFormat="false" ht="15" hidden="false" customHeight="false" outlineLevel="0" collapsed="false">
      <c r="D67" s="0" t="s">
        <v>267</v>
      </c>
      <c r="E67" s="0" t="s">
        <v>149</v>
      </c>
      <c r="G67" s="13" t="n">
        <f aca="false">SUM(J67:BN67)</f>
        <v>34.4385909242128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</v>
      </c>
      <c r="P67" s="13" t="n">
        <f aca="false">Inputs!$F$160*P27/P11*Time!P30/12*Inputs!$F$40</f>
        <v>0.0666757454627242</v>
      </c>
      <c r="Q67" s="13" t="n">
        <f aca="false">Inputs!$F$160*Q27/Q11*Time!Q30/12*Inputs!$F$40</f>
        <v>0.404835620149517</v>
      </c>
      <c r="R67" s="13" t="n">
        <f aca="false">Inputs!$F$160*R27/R11*Time!R30/12*Inputs!$F$40</f>
        <v>0.358856110300994</v>
      </c>
      <c r="S67" s="13" t="n">
        <f aca="false">Inputs!$F$160*S27/S11*Time!S30/12*Inputs!$F$40</f>
        <v>0.323282962898704</v>
      </c>
      <c r="T67" s="13" t="n">
        <f aca="false">Inputs!$F$160*T27/T11*Time!T30/12*Inputs!$F$40</f>
        <v>0.378578849979041</v>
      </c>
      <c r="U67" s="13" t="n">
        <f aca="false">Inputs!$F$160*U27/U11*Time!U30/12*Inputs!$F$40</f>
        <v>0.407010190268486</v>
      </c>
      <c r="V67" s="13" t="n">
        <f aca="false">Inputs!$F$160*V27/V11*Time!V30/12*Inputs!$F$40</f>
        <v>0.462300722841901</v>
      </c>
      <c r="W67" s="13" t="n">
        <f aca="false">Inputs!$F$160*W27/W11*Time!W30/12*Inputs!$F$40</f>
        <v>0.504628651097916</v>
      </c>
      <c r="X67" s="13" t="n">
        <f aca="false">Inputs!$F$160*X27/X11*Time!X30/12*Inputs!$F$40</f>
        <v>0.541167836200194</v>
      </c>
      <c r="Y67" s="13" t="n">
        <f aca="false">Inputs!$F$160*Y27/Y11*Time!Y30/12*Inputs!$F$40</f>
        <v>0.567307011482555</v>
      </c>
      <c r="Z67" s="13" t="n">
        <f aca="false">Inputs!$F$160*Z27/Z11*Time!Z30/12*Inputs!$F$40</f>
        <v>0.585379754068572</v>
      </c>
      <c r="AA67" s="13" t="n">
        <f aca="false">Inputs!$F$160*AA27/AA11*Time!AA30/12*Inputs!$F$40</f>
        <v>0.594254137759035</v>
      </c>
      <c r="AB67" s="13" t="n">
        <f aca="false">Inputs!$F$160*AB27/AB11*Time!AB30/12*Inputs!$F$40</f>
        <v>0.601049210788384</v>
      </c>
      <c r="AC67" s="13" t="n">
        <f aca="false">Inputs!$F$160*AC27/AC11*Time!AC30/12*Inputs!$F$40</f>
        <v>0.609337410395631</v>
      </c>
      <c r="AD67" s="13" t="n">
        <f aca="false">Inputs!$F$160*AD27/AD11*Time!AD30/12*Inputs!$F$40</f>
        <v>0.616304954986514</v>
      </c>
      <c r="AE67" s="13" t="n">
        <f aca="false">Inputs!$F$160*AE27/AE11*Time!AE30/12*Inputs!$F$40</f>
        <v>0.623352170834731</v>
      </c>
      <c r="AF67" s="13" t="n">
        <f aca="false">Inputs!$F$160*AF27/AF11*Time!AF30/12*Inputs!$F$40</f>
        <v>0.630479968951204</v>
      </c>
      <c r="AG67" s="13" t="n">
        <f aca="false">Inputs!$F$160*AG27/AG11*Time!AG30/12*Inputs!$F$40</f>
        <v>0.637689270763929</v>
      </c>
      <c r="AH67" s="13" t="n">
        <f aca="false">Inputs!$F$160*AH27/AH11*Time!AH30/12*Inputs!$F$40</f>
        <v>0.644981008237082</v>
      </c>
      <c r="AI67" s="13" t="n">
        <f aca="false">Inputs!$F$160*AI27/AI11*Time!AI30/12*Inputs!$F$40</f>
        <v>0.652356123991499</v>
      </c>
      <c r="AJ67" s="13" t="n">
        <f aca="false">Inputs!$F$160*AJ27/AJ11*Time!AJ30/12*Inputs!$F$40</f>
        <v>0.659815571426535</v>
      </c>
      <c r="AK67" s="13" t="n">
        <f aca="false">Inputs!$F$160*AK27/AK11*Time!AK30/12*Inputs!$F$40</f>
        <v>0.667360314843304</v>
      </c>
      <c r="AL67" s="13" t="n">
        <f aca="false">Inputs!$F$160*AL27/AL11*Time!AL30/12*Inputs!$F$40</f>
        <v>0.674991329569345</v>
      </c>
      <c r="AM67" s="13" t="n">
        <f aca="false">Inputs!$F$160*AM27/AM11*Time!AM30/12*Inputs!$F$40</f>
        <v>0.6827096020847</v>
      </c>
      <c r="AN67" s="13" t="n">
        <f aca="false">Inputs!$F$160*AN27/AN11*Time!AN30/12*Inputs!$F$40</f>
        <v>0.690516130149439</v>
      </c>
      <c r="AO67" s="13" t="n">
        <f aca="false">Inputs!$F$160*AO27/AO11*Time!AO30/12*Inputs!$F$40</f>
        <v>0.698411922932647</v>
      </c>
      <c r="AP67" s="13" t="n">
        <f aca="false">Inputs!$F$160*AP27/AP11*Time!AP30/12*Inputs!$F$40</f>
        <v>0.706398001142876</v>
      </c>
      <c r="AQ67" s="13" t="n">
        <f aca="false">Inputs!$F$160*AQ27/AQ11*Time!AQ30/12*Inputs!$F$40</f>
        <v>0.714475397160098</v>
      </c>
      <c r="AR67" s="13" t="n">
        <f aca="false">Inputs!$F$160*AR27/AR11*Time!AR30/12*Inputs!$F$40</f>
        <v>0.722645155169162</v>
      </c>
      <c r="AS67" s="13" t="n">
        <f aca="false">Inputs!$F$160*AS27/AS11*Time!AS30/12*Inputs!$F$40</f>
        <v>0.73090833129478</v>
      </c>
      <c r="AT67" s="13" t="n">
        <f aca="false">Inputs!$F$160*AT27/AT11*Time!AT30/12*Inputs!$F$40</f>
        <v>0.739265993738053</v>
      </c>
      <c r="AU67" s="13" t="n">
        <f aca="false">Inputs!$F$160*AU27/AU11*Time!AU30/12*Inputs!$F$40</f>
        <v>0.74771922291456</v>
      </c>
      <c r="AV67" s="13" t="n">
        <f aca="false">Inputs!$F$160*AV27/AV11*Time!AV30/12*Inputs!$F$40</f>
        <v>0.756269111594028</v>
      </c>
      <c r="AW67" s="13" t="n">
        <f aca="false">Inputs!$F$160*AW27/AW11*Time!AW30/12*Inputs!$F$40</f>
        <v>0.764916765041595</v>
      </c>
      <c r="AX67" s="13" t="n">
        <f aca="false">Inputs!$F$160*AX27/AX11*Time!AX30/12*Inputs!$F$40</f>
        <v>0.773663301160691</v>
      </c>
      <c r="AY67" s="13" t="n">
        <f aca="false">Inputs!$F$160*AY27/AY11*Time!AY30/12*Inputs!$F$40</f>
        <v>0.782509850637551</v>
      </c>
      <c r="AZ67" s="13" t="n">
        <f aca="false">Inputs!$F$160*AZ27/AZ11*Time!AZ30/12*Inputs!$F$40</f>
        <v>0.791457557087386</v>
      </c>
      <c r="BA67" s="13" t="n">
        <f aca="false">Inputs!$F$160*BA27/BA11*Time!BA30/12*Inputs!$F$40</f>
        <v>0.800507577202215</v>
      </c>
      <c r="BB67" s="13" t="n">
        <f aca="false">Inputs!$F$160*BB27/BB11*Time!BB30/12*Inputs!$F$40</f>
        <v>0.809661080900396</v>
      </c>
      <c r="BC67" s="13" t="n">
        <f aca="false">Inputs!$F$160*BC27/BC11*Time!BC30/12*Inputs!$F$40</f>
        <v>0.818919251477866</v>
      </c>
      <c r="BD67" s="13" t="n">
        <f aca="false">Inputs!$F$160*BD27/BD11*Time!BD30/12*Inputs!$F$40</f>
        <v>0.828283285761105</v>
      </c>
      <c r="BE67" s="13" t="n">
        <f aca="false">Inputs!$F$160*BE27/BE11*Time!BE30/12*Inputs!$F$40</f>
        <v>0.837754394261857</v>
      </c>
      <c r="BF67" s="13" t="n">
        <f aca="false">Inputs!$F$160*BF27/BF11*Time!BF30/12*Inputs!$F$40</f>
        <v>0.84733380133361</v>
      </c>
      <c r="BG67" s="13" t="n">
        <f aca="false">Inputs!$F$160*BG27/BG11*Time!BG30/12*Inputs!$F$40</f>
        <v>0.857022745329879</v>
      </c>
      <c r="BH67" s="13" t="n">
        <f aca="false">Inputs!$F$160*BH27/BH11*Time!BH30/12*Inputs!$F$40</f>
        <v>0.866822478764283</v>
      </c>
      <c r="BI67" s="13" t="n">
        <f aca="false">Inputs!$F$160*BI27/BI11*Time!BI30/12*Inputs!$F$40</f>
        <v>0.876734268472466</v>
      </c>
      <c r="BJ67" s="13" t="n">
        <f aca="false">Inputs!$F$160*BJ27/BJ11*Time!BJ30/12*Inputs!$F$40</f>
        <v>0.886759395775862</v>
      </c>
      <c r="BK67" s="13" t="n">
        <f aca="false">Inputs!$F$160*BK27/BK11*Time!BK30/12*Inputs!$F$40</f>
        <v>0.896899156647333</v>
      </c>
      <c r="BL67" s="13" t="n">
        <f aca="false">Inputs!$F$160*BL27/BL11*Time!BL30/12*Inputs!$F$40</f>
        <v>0.907154861878707</v>
      </c>
      <c r="BM67" s="13" t="n">
        <f aca="false">Inputs!$F$160*BM27/BM11*Time!BM30/12*Inputs!$F$40</f>
        <v>0.917527837250222</v>
      </c>
      <c r="BN67" s="13" t="n">
        <f aca="false">Inputs!$F$160*BN27/BN11*Time!BN30/12*Inputs!$F$40</f>
        <v>0.773349519751597</v>
      </c>
    </row>
    <row r="68" customFormat="false" ht="15" hidden="false" customHeight="false" outlineLevel="0" collapsed="false">
      <c r="D68" s="0" t="s">
        <v>620</v>
      </c>
      <c r="E68" s="0" t="s">
        <v>149</v>
      </c>
      <c r="G68" s="13" t="n">
        <f aca="false">SUM(J68:BN68)</f>
        <v>22.470281208564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</v>
      </c>
      <c r="P68" s="13" t="n">
        <f aca="false">Inputs!$F$161/100*P55</f>
        <v>0.0617918320971353</v>
      </c>
      <c r="Q68" s="13" t="n">
        <f aca="false">Inputs!$F$161/100*Q55</f>
        <v>0.376999403504649</v>
      </c>
      <c r="R68" s="13" t="n">
        <f aca="false">Inputs!$F$161/100*R55</f>
        <v>0.375003124177316</v>
      </c>
      <c r="S68" s="13" t="n">
        <f aca="false">Inputs!$F$161/100*S55</f>
        <v>0.373963022634255</v>
      </c>
      <c r="T68" s="13" t="n">
        <f aca="false">Inputs!$F$161/100*T55</f>
        <v>0.381336880060154</v>
      </c>
      <c r="U68" s="13" t="n">
        <f aca="false">Inputs!$F$161/100*U55</f>
        <v>0.387240762412074</v>
      </c>
      <c r="V68" s="13" t="n">
        <f aca="false">Inputs!$F$161/100*V55</f>
        <v>0.394300281447932</v>
      </c>
      <c r="W68" s="13" t="n">
        <f aca="false">Inputs!$F$161/100*W55</f>
        <v>0.398513392763343</v>
      </c>
      <c r="X68" s="13" t="n">
        <f aca="false">Inputs!$F$161/100*X55</f>
        <v>0.404010261551135</v>
      </c>
      <c r="Y68" s="13" t="n">
        <f aca="false">Inputs!$F$161/100*Y55</f>
        <v>0.409625818438789</v>
      </c>
      <c r="Z68" s="13" t="n">
        <f aca="false">Inputs!$F$161/100*Z55</f>
        <v>0.413077939279558</v>
      </c>
      <c r="AA68" s="13" t="n">
        <f aca="false">Inputs!$F$161/100*AA55</f>
        <v>0.415351425106954</v>
      </c>
      <c r="AB68" s="13" t="n">
        <f aca="false">Inputs!$F$161/100*AB55</f>
        <v>0.417905959658333</v>
      </c>
      <c r="AC68" s="13" t="n">
        <f aca="false">Inputs!$F$161/100*AC55</f>
        <v>0.420788699181757</v>
      </c>
      <c r="AD68" s="13" t="n">
        <f aca="false">Inputs!$F$161/100*AD55</f>
        <v>0.42262905198166</v>
      </c>
      <c r="AE68" s="13" t="n">
        <f aca="false">Inputs!$F$161/100*AE55</f>
        <v>0.416972545422505</v>
      </c>
      <c r="AF68" s="13" t="n">
        <f aca="false">Inputs!$F$161/100*AF55</f>
        <v>0.423229886291486</v>
      </c>
      <c r="AG68" s="13" t="n">
        <f aca="false">Inputs!$F$161/100*AG55</f>
        <v>0.430039407583215</v>
      </c>
      <c r="AH68" s="13" t="n">
        <f aca="false">Inputs!$F$161/100*AH55</f>
        <v>0.432293928659941</v>
      </c>
      <c r="AI68" s="13" t="n">
        <f aca="false">Inputs!$F$161/100*AI55</f>
        <v>0.434188225765694</v>
      </c>
      <c r="AJ68" s="13" t="n">
        <f aca="false">Inputs!$F$161/100*AJ55</f>
        <v>0.436681874288457</v>
      </c>
      <c r="AK68" s="13" t="n">
        <f aca="false">Inputs!$F$161/100*AK55</f>
        <v>0.439597265595909</v>
      </c>
      <c r="AL68" s="13" t="n">
        <f aca="false">Inputs!$F$161/100*AL55</f>
        <v>0.441701224175774</v>
      </c>
      <c r="AM68" s="13" t="n">
        <f aca="false">Inputs!$F$161/100*AM55</f>
        <v>0.442398673071725</v>
      </c>
      <c r="AN68" s="13" t="n">
        <f aca="false">Inputs!$F$161/100*AN55</f>
        <v>0.445248535589467</v>
      </c>
      <c r="AO68" s="13" t="n">
        <f aca="false">Inputs!$F$161/100*AO55</f>
        <v>0.449591134703353</v>
      </c>
      <c r="AP68" s="13" t="n">
        <f aca="false">Inputs!$F$161/100*AP55</f>
        <v>0.452056493001559</v>
      </c>
      <c r="AQ68" s="13" t="n">
        <f aca="false">Inputs!$F$161/100*AQ55</f>
        <v>0.45412985187482</v>
      </c>
      <c r="AR68" s="13" t="n">
        <f aca="false">Inputs!$F$161/100*AR55</f>
        <v>0.456855767483409</v>
      </c>
      <c r="AS68" s="13" t="n">
        <f aca="false">Inputs!$F$161/100*AS55</f>
        <v>0.460040896961932</v>
      </c>
      <c r="AT68" s="13" t="n">
        <f aca="false">Inputs!$F$161/100*AT55</f>
        <v>0.462114802524587</v>
      </c>
      <c r="AU68" s="13" t="n">
        <f aca="false">Inputs!$F$161/100*AU55</f>
        <v>0.45599408914714</v>
      </c>
      <c r="AV68" s="13" t="n">
        <f aca="false">Inputs!$F$161/100*AV55</f>
        <v>0.463067422781979</v>
      </c>
      <c r="AW68" s="13" t="n">
        <f aca="false">Inputs!$F$161/100*AW55</f>
        <v>0.470967340671158</v>
      </c>
      <c r="AX68" s="13" t="n">
        <f aca="false">Inputs!$F$161/100*AX55</f>
        <v>0.473663246607836</v>
      </c>
      <c r="AY68" s="13" t="n">
        <f aca="false">Inputs!$F$161/100*AY55</f>
        <v>0.47593259245917</v>
      </c>
      <c r="AZ68" s="13" t="n">
        <f aca="false">Inputs!$F$161/100*AZ55</f>
        <v>0.478912398533739</v>
      </c>
      <c r="BA68" s="13" t="n">
        <f aca="false">Inputs!$F$161/100*BA55</f>
        <v>0.482392201663224</v>
      </c>
      <c r="BB68" s="13" t="n">
        <f aca="false">Inputs!$F$161/100*BB55</f>
        <v>0.484910825049339</v>
      </c>
      <c r="BC68" s="13" t="n">
        <f aca="false">Inputs!$F$161/100*BC55</f>
        <v>0.485763210940946</v>
      </c>
      <c r="BD68" s="13" t="n">
        <f aca="false">Inputs!$F$161/100*BD55</f>
        <v>0.489166233066292</v>
      </c>
      <c r="BE68" s="13" t="n">
        <f aca="false">Inputs!$F$161/100*BE55</f>
        <v>0.494338206472919</v>
      </c>
      <c r="BF68" s="13" t="n">
        <f aca="false">Inputs!$F$161/100*BF55</f>
        <v>0.497286212485592</v>
      </c>
      <c r="BG68" s="13" t="n">
        <f aca="false">Inputs!$F$161/100*BG55</f>
        <v>0.499770070236022</v>
      </c>
      <c r="BH68" s="13" t="n">
        <f aca="false">Inputs!$F$161/100*BH55</f>
        <v>0.503027402179879</v>
      </c>
      <c r="BI68" s="13" t="n">
        <f aca="false">Inputs!$F$161/100*BI55</f>
        <v>0.506829117473484</v>
      </c>
      <c r="BJ68" s="13" t="n">
        <f aca="false">Inputs!$F$161/100*BJ55</f>
        <v>0.509314563510577</v>
      </c>
      <c r="BK68" s="13" t="n">
        <f aca="false">Inputs!$F$161/100*BK55</f>
        <v>0.502642734289647</v>
      </c>
      <c r="BL68" s="13" t="n">
        <f aca="false">Inputs!$F$161/100*BL55</f>
        <v>0.510691519469803</v>
      </c>
      <c r="BM68" s="13" t="n">
        <f aca="false">Inputs!$F$161/100*BM55</f>
        <v>0.519889780067909</v>
      </c>
      <c r="BN68" s="13" t="n">
        <f aca="false">Inputs!$F$161/100*BN55</f>
        <v>0.436043674168484</v>
      </c>
    </row>
    <row r="69" customFormat="false" ht="15" hidden="false" customHeight="false" outlineLevel="0" collapsed="false">
      <c r="D69" s="0" t="s">
        <v>271</v>
      </c>
      <c r="E69" s="0" t="s">
        <v>149</v>
      </c>
      <c r="G69" s="13" t="n">
        <f aca="false">SUM(J69:BN69)</f>
        <v>160.427041379098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</v>
      </c>
      <c r="P69" s="13" t="n">
        <f aca="false">Inputs!$F$162*(Inputs!$F$219*P21+(1-Inputs!$F$219)*P27*Inputs!$F$153/P11)*P38/1000000</f>
        <v>0.356005252375428</v>
      </c>
      <c r="Q69" s="13" t="n">
        <f aca="false">Inputs!$F$162*(Inputs!$F$219*Q21+(1-Inputs!$F$219)*Q27*Inputs!$F$153/Q11)*Q38/1000000</f>
        <v>2.40363997932023</v>
      </c>
      <c r="R69" s="13" t="n">
        <f aca="false">Inputs!$F$162*(Inputs!$F$219*R21+(1-Inputs!$F$219)*R27*Inputs!$F$153/R11)*R38/1000000</f>
        <v>2.30962096125699</v>
      </c>
      <c r="S69" s="13" t="n">
        <f aca="false">Inputs!$F$162*(Inputs!$F$219*S21+(1-Inputs!$F$219)*S27*Inputs!$F$153/S11)*S38/1000000</f>
        <v>2.13751049254861</v>
      </c>
      <c r="T69" s="13" t="n">
        <f aca="false">Inputs!$F$162*(Inputs!$F$219*T21+(1-Inputs!$F$219)*T27*Inputs!$F$153/T11)*T38/1000000</f>
        <v>2.26220765204961</v>
      </c>
      <c r="U69" s="13" t="n">
        <f aca="false">Inputs!$F$162*(Inputs!$F$219*U21+(1-Inputs!$F$219)*U27*Inputs!$F$153/U11)*U38/1000000</f>
        <v>2.35414435706886</v>
      </c>
      <c r="V69" s="13" t="n">
        <f aca="false">Inputs!$F$162*(Inputs!$F$219*V21+(1-Inputs!$F$219)*V27*Inputs!$F$153/V11)*V38/1000000</f>
        <v>2.45330943950071</v>
      </c>
      <c r="W69" s="13" t="n">
        <f aca="false">Inputs!$F$162*(Inputs!$F$219*W21+(1-Inputs!$F$219)*W27*Inputs!$F$153/W11)*W38/1000000</f>
        <v>2.47132694222147</v>
      </c>
      <c r="X69" s="13" t="n">
        <f aca="false">Inputs!$F$162*(Inputs!$F$219*X21+(1-Inputs!$F$219)*X27*Inputs!$F$153/X11)*X38/1000000</f>
        <v>2.56469781833309</v>
      </c>
      <c r="Y69" s="13" t="n">
        <f aca="false">Inputs!$F$162*(Inputs!$F$219*Y21+(1-Inputs!$F$219)*Y27*Inputs!$F$153/Y11)*Y38/1000000</f>
        <v>2.70360202987744</v>
      </c>
      <c r="Z69" s="13" t="n">
        <f aca="false">Inputs!$F$162*(Inputs!$F$219*Z21+(1-Inputs!$F$219)*Z27*Inputs!$F$153/Z11)*Z38/1000000</f>
        <v>2.74962793058749</v>
      </c>
      <c r="AA69" s="13" t="n">
        <f aca="false">Inputs!$F$162*(Inputs!$F$219*AA21+(1-Inputs!$F$219)*AA27*Inputs!$F$153/AA11)*AA38/1000000</f>
        <v>2.76155958143079</v>
      </c>
      <c r="AB69" s="13" t="n">
        <f aca="false">Inputs!$F$162*(Inputs!$F$219*AB21+(1-Inputs!$F$219)*AB27*Inputs!$F$153/AB11)*AB38/1000000</f>
        <v>2.7955317313643</v>
      </c>
      <c r="AC69" s="13" t="n">
        <f aca="false">Inputs!$F$162*(Inputs!$F$219*AC21+(1-Inputs!$F$219)*AC27*Inputs!$F$153/AC11)*AC38/1000000</f>
        <v>2.85044115798956</v>
      </c>
      <c r="AD69" s="13" t="n">
        <f aca="false">Inputs!$F$162*(Inputs!$F$219*AD21+(1-Inputs!$F$219)*AD27*Inputs!$F$153/AD11)*AD38/1000000</f>
        <v>2.85474606748907</v>
      </c>
      <c r="AE69" s="13" t="n">
        <f aca="false">Inputs!$F$162*(Inputs!$F$219*AE21+(1-Inputs!$F$219)*AE27*Inputs!$F$153/AE11)*AE38/1000000</f>
        <v>2.75327953777483</v>
      </c>
      <c r="AF69" s="13" t="n">
        <f aca="false">Inputs!$F$162*(Inputs!$F$219*AF21+(1-Inputs!$F$219)*AF27*Inputs!$F$153/AF11)*AF38/1000000</f>
        <v>2.80931621412748</v>
      </c>
      <c r="AG69" s="13" t="n">
        <f aca="false">Inputs!$F$162*(Inputs!$F$219*AG21+(1-Inputs!$F$219)*AG27*Inputs!$F$153/AG11)*AG38/1000000</f>
        <v>2.97403429373729</v>
      </c>
      <c r="AH69" s="13" t="n">
        <f aca="false">Inputs!$F$162*(Inputs!$F$219*AH21+(1-Inputs!$F$219)*AH27*Inputs!$F$153/AH11)*AH38/1000000</f>
        <v>3.00095002424177</v>
      </c>
      <c r="AI69" s="13" t="n">
        <f aca="false">Inputs!$F$162*(Inputs!$F$219*AI21+(1-Inputs!$F$219)*AI27*Inputs!$F$153/AI11)*AI38/1000000</f>
        <v>3.008668174075</v>
      </c>
      <c r="AJ69" s="13" t="n">
        <f aca="false">Inputs!$F$162*(Inputs!$F$219*AJ21+(1-Inputs!$F$219)*AJ27*Inputs!$F$153/AJ11)*AJ38/1000000</f>
        <v>3.04566618129689</v>
      </c>
      <c r="AK69" s="13" t="n">
        <f aca="false">Inputs!$F$162*(Inputs!$F$219*AK21+(1-Inputs!$F$219)*AK27*Inputs!$F$153/AK11)*AK38/1000000</f>
        <v>3.10295770308055</v>
      </c>
      <c r="AL69" s="13" t="n">
        <f aca="false">Inputs!$F$162*(Inputs!$F$219*AL21+(1-Inputs!$F$219)*AL27*Inputs!$F$153/AL11)*AL38/1000000</f>
        <v>3.11821685337085</v>
      </c>
      <c r="AM69" s="13" t="n">
        <f aca="false">Inputs!$F$162*(Inputs!$F$219*AM21+(1-Inputs!$F$219)*AM27*Inputs!$F$153/AM11)*AM38/1000000</f>
        <v>3.06136171068452</v>
      </c>
      <c r="AN69" s="13" t="n">
        <f aca="false">Inputs!$F$162*(Inputs!$F$219*AN21+(1-Inputs!$F$219)*AN27*Inputs!$F$153/AN11)*AN38/1000000</f>
        <v>3.11221821643511</v>
      </c>
      <c r="AO69" s="13" t="n">
        <f aca="false">Inputs!$F$162*(Inputs!$F$219*AO21+(1-Inputs!$F$219)*AO27*Inputs!$F$153/AO11)*AO38/1000000</f>
        <v>3.23743983792718</v>
      </c>
      <c r="AP69" s="13" t="n">
        <f aca="false">Inputs!$F$162*(Inputs!$F$219*AP21+(1-Inputs!$F$219)*AP27*Inputs!$F$153/AP11)*AP38/1000000</f>
        <v>3.26672427386372</v>
      </c>
      <c r="AQ69" s="13" t="n">
        <f aca="false">Inputs!$F$162*(Inputs!$F$219*AQ21+(1-Inputs!$F$219)*AQ27*Inputs!$F$153/AQ11)*AQ38/1000000</f>
        <v>3.27511072834899</v>
      </c>
      <c r="AR69" s="13" t="n">
        <f aca="false">Inputs!$F$162*(Inputs!$F$219*AR21+(1-Inputs!$F$219)*AR27*Inputs!$F$153/AR11)*AR38/1000000</f>
        <v>3.3153697647656</v>
      </c>
      <c r="AS69" s="13" t="n">
        <f aca="false">Inputs!$F$162*(Inputs!$F$219*AS21+(1-Inputs!$F$219)*AS27*Inputs!$F$153/AS11)*AS38/1000000</f>
        <v>3.37771886969837</v>
      </c>
      <c r="AT69" s="13" t="n">
        <f aca="false">Inputs!$F$162*(Inputs!$F$219*AT21+(1-Inputs!$F$219)*AT27*Inputs!$F$153/AT11)*AT38/1000000</f>
        <v>3.3827886694844</v>
      </c>
      <c r="AU69" s="13" t="n">
        <f aca="false">Inputs!$F$162*(Inputs!$F$219*AU21+(1-Inputs!$F$219)*AU27*Inputs!$F$153/AU11)*AU38/1000000</f>
        <v>3.2625235026865</v>
      </c>
      <c r="AV69" s="13" t="n">
        <f aca="false">Inputs!$F$162*(Inputs!$F$219*AV21+(1-Inputs!$F$219)*AV27*Inputs!$F$153/AV11)*AV38/1000000</f>
        <v>3.32889363916909</v>
      </c>
      <c r="AW69" s="13" t="n">
        <f aca="false">Inputs!$F$162*(Inputs!$F$219*AW21+(1-Inputs!$F$219)*AW27*Inputs!$F$153/AW11)*AW38/1000000</f>
        <v>3.52404309922063</v>
      </c>
      <c r="AX69" s="13" t="n">
        <f aca="false">Inputs!$F$162*(Inputs!$F$219*AX21+(1-Inputs!$F$219)*AX27*Inputs!$F$153/AX11)*AX38/1000000</f>
        <v>3.55590329485842</v>
      </c>
      <c r="AY69" s="13" t="n">
        <f aca="false">Inputs!$F$162*(Inputs!$F$219*AY21+(1-Inputs!$F$219)*AY27*Inputs!$F$153/AY11)*AY38/1000000</f>
        <v>3.56501534624638</v>
      </c>
      <c r="AZ69" s="13" t="n">
        <f aca="false">Inputs!$F$162*(Inputs!$F$219*AZ21+(1-Inputs!$F$219)*AZ27*Inputs!$F$153/AZ11)*AZ38/1000000</f>
        <v>3.60882098539046</v>
      </c>
      <c r="BA69" s="13" t="n">
        <f aca="false">Inputs!$F$162*(Inputs!$F$219*BA21+(1-Inputs!$F$219)*BA27*Inputs!$F$153/BA11)*BA38/1000000</f>
        <v>3.67667138371933</v>
      </c>
      <c r="BB69" s="13" t="n">
        <f aca="false">Inputs!$F$162*(Inputs!$F$219*BB21+(1-Inputs!$F$219)*BB27*Inputs!$F$153/BB11)*BB38/1000000</f>
        <v>3.69471707892437</v>
      </c>
      <c r="BC69" s="13" t="n">
        <f aca="false">Inputs!$F$162*(Inputs!$F$219*BC21+(1-Inputs!$F$219)*BC27*Inputs!$F$153/BC11)*BC38/1000000</f>
        <v>3.62731630295524</v>
      </c>
      <c r="BD69" s="13" t="n">
        <f aca="false">Inputs!$F$162*(Inputs!$F$219*BD21+(1-Inputs!$F$219)*BD27*Inputs!$F$153/BD11)*BD38/1000000</f>
        <v>3.68753986474787</v>
      </c>
      <c r="BE69" s="13" t="n">
        <f aca="false">Inputs!$F$162*(Inputs!$F$219*BE21+(1-Inputs!$F$219)*BE27*Inputs!$F$153/BE11)*BE38/1000000</f>
        <v>3.83587358161765</v>
      </c>
      <c r="BF69" s="13" t="n">
        <f aca="false">Inputs!$F$162*(Inputs!$F$219*BF21+(1-Inputs!$F$219)*BF27*Inputs!$F$153/BF11)*BF38/1000000</f>
        <v>3.87053454583878</v>
      </c>
      <c r="BG69" s="13" t="n">
        <f aca="false">Inputs!$F$162*(Inputs!$F$219*BG21+(1-Inputs!$F$219)*BG27*Inputs!$F$153/BG11)*BG38/1000000</f>
        <v>3.88043433766191</v>
      </c>
      <c r="BH69" s="13" t="n">
        <f aca="false">Inputs!$F$162*(Inputs!$F$219*BH21+(1-Inputs!$F$219)*BH27*Inputs!$F$153/BH11)*BH38/1000000</f>
        <v>3.92809697028535</v>
      </c>
      <c r="BI69" s="13" t="n">
        <f aca="false">Inputs!$F$162*(Inputs!$F$219*BI21+(1-Inputs!$F$219)*BI27*Inputs!$F$153/BI11)*BI38/1000000</f>
        <v>4.00193101587374</v>
      </c>
      <c r="BJ69" s="13" t="n">
        <f aca="false">Inputs!$F$162*(Inputs!$F$219*BJ21+(1-Inputs!$F$219)*BJ27*Inputs!$F$153/BJ11)*BJ38/1000000</f>
        <v>4.00789955819573</v>
      </c>
      <c r="BK69" s="13" t="n">
        <f aca="false">Inputs!$F$162*(Inputs!$F$219*BK21+(1-Inputs!$F$219)*BK27*Inputs!$F$153/BK11)*BK38/1000000</f>
        <v>3.86537352980952</v>
      </c>
      <c r="BL69" s="13" t="n">
        <f aca="false">Inputs!$F$162*(Inputs!$F$219*BL21+(1-Inputs!$F$219)*BL27*Inputs!$F$153/BL11)*BL38/1000000</f>
        <v>3.94396988076692</v>
      </c>
      <c r="BM69" s="13" t="n">
        <f aca="false">Inputs!$F$162*(Inputs!$F$219*BM21+(1-Inputs!$F$219)*BM27*Inputs!$F$153/BM11)*BM38/1000000</f>
        <v>4.17513695661797</v>
      </c>
      <c r="BN69" s="13" t="n">
        <f aca="false">Inputs!$F$162*(Inputs!$F$219*BN21+(1-Inputs!$F$219)*BN27*Inputs!$F$153/BN11)*BN38/1000000</f>
        <v>3.51655405818645</v>
      </c>
    </row>
    <row r="70" customFormat="false" ht="15" hidden="false" customHeight="false" outlineLevel="0" collapsed="false">
      <c r="D70" s="0" t="s">
        <v>203</v>
      </c>
      <c r="E70" s="0" t="s">
        <v>149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</v>
      </c>
      <c r="P70" s="13" t="n">
        <f aca="false">Inputs!$F$107*Time!P30/12</f>
        <v>0.02125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0.1275</v>
      </c>
      <c r="BN70" s="13" t="n">
        <f aca="false">Inputs!$F$107*Time!BN30/12</f>
        <v>0.10625</v>
      </c>
    </row>
    <row r="71" customFormat="false" ht="15" hidden="false" customHeight="false" outlineLevel="0" collapsed="false">
      <c r="D71" s="0" t="s">
        <v>621</v>
      </c>
      <c r="E71" s="0" t="s">
        <v>149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</v>
      </c>
      <c r="P71" s="13" t="n">
        <f aca="false">Inputs!$F$163*Time!P30/12</f>
        <v>0.0259375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0.155625</v>
      </c>
      <c r="BN71" s="13" t="n">
        <f aca="false">Inputs!$F$163*Time!BN30/12</f>
        <v>0.1296875</v>
      </c>
    </row>
    <row r="72" customFormat="false" ht="15" hidden="false" customHeight="false" outlineLevel="0" collapsed="false">
      <c r="D72" s="0" t="s">
        <v>622</v>
      </c>
      <c r="E72" s="0" t="s">
        <v>149</v>
      </c>
      <c r="G72" s="13" t="n">
        <f aca="false">SUM(J72:BN72)</f>
        <v>1351.88664853893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0</v>
      </c>
      <c r="P72" s="13" t="n">
        <f aca="false">P60+P61+P62+P64+P65+P66+P67+P68+P69+P70+P71</f>
        <v>2.94628255470064</v>
      </c>
      <c r="Q72" s="13" t="n">
        <f aca="false">Q60+Q61+Q62+Q64+Q65+Q66+Q67+Q68+Q69+Q70+Q71</f>
        <v>18.7884362352353</v>
      </c>
      <c r="R72" s="13" t="n">
        <f aca="false">R60+R61+R62+R64+R65+R66+R67+R68+R69+R70+R71</f>
        <v>19.1579390428041</v>
      </c>
      <c r="S72" s="13" t="n">
        <f aca="false">S60+S61+S62+S64+S65+S66+S67+S68+S69+S70+S71</f>
        <v>18.7423401642548</v>
      </c>
      <c r="T72" s="13" t="n">
        <f aca="false">T60+T61+T62+T64+T65+T66+T67+T68+T69+T70+T71</f>
        <v>19.5635544876811</v>
      </c>
      <c r="U72" s="13" t="n">
        <f aca="false">U60+U61+U62+U64+U65+U66+U67+U68+U69+U70+U71</f>
        <v>20.1984062218204</v>
      </c>
      <c r="V72" s="13" t="n">
        <f aca="false">V60+V61+V62+V64+V65+V66+V67+V68+V69+V70+V71</f>
        <v>20.8372400993491</v>
      </c>
      <c r="W72" s="13" t="n">
        <f aca="false">W60+W61+W62+W64+W65+W66+W67+W68+W69+W70+W71</f>
        <v>21.0224831717927</v>
      </c>
      <c r="X72" s="13" t="n">
        <f aca="false">X60+X61+X62+X64+X65+X66+X67+X68+X69+X70+X71</f>
        <v>21.641836941071</v>
      </c>
      <c r="Y72" s="13" t="n">
        <f aca="false">Y60+Y61+Y62+Y64+Y65+Y66+Y67+Y68+Y69+Y70+Y71</f>
        <v>22.5119800866795</v>
      </c>
      <c r="Z72" s="13" t="n">
        <f aca="false">Z60+Z61+Z62+Z64+Z65+Z66+Z67+Z68+Z69+Z70+Z71</f>
        <v>22.865102887619</v>
      </c>
      <c r="AA72" s="13" t="n">
        <f aca="false">AA60+AA61+AA62+AA64+AA65+AA66+AA67+AA68+AA69+AA70+AA71</f>
        <v>23.0278336808363</v>
      </c>
      <c r="AB72" s="13" t="n">
        <f aca="false">AB60+AB61+AB62+AB64+AB65+AB66+AB67+AB68+AB69+AB70+AB71</f>
        <v>23.3084124030597</v>
      </c>
      <c r="AC72" s="13" t="n">
        <f aca="false">AC60+AC61+AC62+AC64+AC65+AC66+AC67+AC68+AC69+AC70+AC71</f>
        <v>23.7055004231269</v>
      </c>
      <c r="AD72" s="13" t="n">
        <f aca="false">AD60+AD61+AD62+AD64+AD65+AD66+AD67+AD68+AD69+AD70+AD71</f>
        <v>23.8243780065789</v>
      </c>
      <c r="AE72" s="13" t="n">
        <f aca="false">AE60+AE61+AE62+AE64+AE65+AE66+AE67+AE68+AE69+AE70+AE71</f>
        <v>23.3958059316845</v>
      </c>
      <c r="AF72" s="13" t="n">
        <f aca="false">AF60+AF61+AF62+AF64+AF65+AF66+AF67+AF68+AF69+AF70+AF71</f>
        <v>23.7640369791256</v>
      </c>
      <c r="AG72" s="13" t="n">
        <f aca="false">AG60+AG61+AG62+AG64+AG65+AG66+AG67+AG68+AG69+AG70+AG71</f>
        <v>24.7759569193144</v>
      </c>
      <c r="AH72" s="13" t="n">
        <f aca="false">AH60+AH61+AH62+AH64+AH65+AH66+AH67+AH68+AH69+AH70+AH71</f>
        <v>25.0245343133898</v>
      </c>
      <c r="AI72" s="13" t="n">
        <f aca="false">AI60+AI61+AI62+AI64+AI65+AI66+AI67+AI68+AI69+AI70+AI71</f>
        <v>25.1678805187304</v>
      </c>
      <c r="AJ72" s="13" t="n">
        <f aca="false">AJ60+AJ61+AJ62+AJ64+AJ65+AJ66+AJ67+AJ68+AJ69+AJ70+AJ71</f>
        <v>25.4747870385204</v>
      </c>
      <c r="AK72" s="13" t="n">
        <f aca="false">AK60+AK61+AK62+AK64+AK65+AK66+AK67+AK68+AK69+AK70+AK71</f>
        <v>25.8956770177954</v>
      </c>
      <c r="AL72" s="13" t="n">
        <f aca="false">AL60+AL61+AL62+AL64+AL65+AL66+AL67+AL68+AL69+AL70+AL71</f>
        <v>26.0845268978127</v>
      </c>
      <c r="AM72" s="13" t="n">
        <f aca="false">AM60+AM61+AM62+AM64+AM65+AM66+AM67+AM68+AM69+AM70+AM71</f>
        <v>25.8736915178721</v>
      </c>
      <c r="AN72" s="13" t="n">
        <f aca="false">AN60+AN61+AN62+AN64+AN65+AN66+AN67+AN68+AN69+AN70+AN71</f>
        <v>26.2626877197488</v>
      </c>
      <c r="AO72" s="13" t="n">
        <f aca="false">AO60+AO61+AO62+AO64+AO65+AO66+AO67+AO68+AO69+AO70+AO71</f>
        <v>27.0670479144479</v>
      </c>
      <c r="AP72" s="13" t="n">
        <f aca="false">AP60+AP61+AP62+AP64+AP65+AP66+AP67+AP68+AP69+AP70+AP71</f>
        <v>27.3390974460625</v>
      </c>
      <c r="AQ72" s="13" t="n">
        <f aca="false">AQ60+AQ61+AQ62+AQ64+AQ65+AQ66+AQ67+AQ68+AQ69+AQ70+AQ71</f>
        <v>27.4960255405235</v>
      </c>
      <c r="AR72" s="13" t="n">
        <f aca="false">AR60+AR61+AR62+AR64+AR65+AR66+AR67+AR68+AR69+AR70+AR71</f>
        <v>27.831889388245</v>
      </c>
      <c r="AS72" s="13" t="n">
        <f aca="false">AS60+AS61+AS62+AS64+AS65+AS66+AS67+AS68+AS69+AS70+AS71</f>
        <v>28.2924519936384</v>
      </c>
      <c r="AT72" s="13" t="n">
        <f aca="false">AT60+AT61+AT62+AT64+AT65+AT66+AT67+AT68+AT69+AT70+AT71</f>
        <v>28.434819618167</v>
      </c>
      <c r="AU72" s="13" t="n">
        <f aca="false">AU60+AU61+AU62+AU64+AU65+AU66+AU67+AU68+AU69+AU70+AU71</f>
        <v>27.9228513391329</v>
      </c>
      <c r="AV72" s="13" t="n">
        <f aca="false">AV60+AV61+AV62+AV64+AV65+AV66+AV67+AV68+AV69+AV70+AV71</f>
        <v>28.3632703476369</v>
      </c>
      <c r="AW72" s="13" t="n">
        <f aca="false">AW60+AW61+AW62+AW64+AW65+AW66+AW67+AW68+AW69+AW70+AW71</f>
        <v>29.574381518374</v>
      </c>
      <c r="AX72" s="13" t="n">
        <f aca="false">AX60+AX61+AX62+AX64+AX65+AX66+AX67+AX68+AX69+AX70+AX71</f>
        <v>29.8721194066871</v>
      </c>
      <c r="AY72" s="13" t="n">
        <f aca="false">AY60+AY61+AY62+AY64+AY65+AY66+AY67+AY68+AY69+AY70+AY71</f>
        <v>30.0439162265207</v>
      </c>
      <c r="AZ72" s="13" t="n">
        <f aca="false">AZ60+AZ61+AZ62+AZ64+AZ65+AZ66+AZ67+AZ68+AZ69+AZ70+AZ71</f>
        <v>30.4114693592441</v>
      </c>
      <c r="BA72" s="13" t="n">
        <f aca="false">BA60+BA61+BA62+BA64+BA65+BA66+BA67+BA68+BA69+BA70+BA71</f>
        <v>30.9154436976504</v>
      </c>
      <c r="BB72" s="13" t="n">
        <f aca="false">BB60+BB61+BB62+BB64+BB65+BB66+BB67+BB68+BB69+BB70+BB71</f>
        <v>31.141708679946</v>
      </c>
      <c r="BC72" s="13" t="n">
        <f aca="false">BC60+BC61+BC62+BC64+BC65+BC66+BC67+BC68+BC69+BC70+BC71</f>
        <v>30.8896223472709</v>
      </c>
      <c r="BD72" s="13" t="n">
        <f aca="false">BD60+BD61+BD62+BD64+BD65+BD66+BD67+BD68+BD69+BD70+BD71</f>
        <v>31.3554335477934</v>
      </c>
      <c r="BE72" s="13" t="n">
        <f aca="false">BE60+BE61+BE62+BE64+BE65+BE66+BE67+BE68+BE69+BE70+BE71</f>
        <v>32.3183659874772</v>
      </c>
      <c r="BF72" s="13" t="n">
        <f aca="false">BF60+BF61+BF62+BF64+BF65+BF66+BF67+BF68+BF69+BF70+BF71</f>
        <v>32.6442176900009</v>
      </c>
      <c r="BG72" s="13" t="n">
        <f aca="false">BG60+BG61+BG62+BG64+BG65+BG66+BG67+BG68+BG69+BG70+BG71</f>
        <v>32.8322919915873</v>
      </c>
      <c r="BH72" s="13" t="n">
        <f aca="false">BH60+BH61+BH62+BH64+BH65+BH66+BH67+BH68+BH69+BH70+BH71</f>
        <v>33.2345240884358</v>
      </c>
      <c r="BI72" s="13" t="n">
        <f aca="false">BI60+BI61+BI62+BI64+BI65+BI66+BI67+BI68+BI69+BI70+BI71</f>
        <v>33.7860016363521</v>
      </c>
      <c r="BJ72" s="13" t="n">
        <f aca="false">BJ60+BJ61+BJ62+BJ64+BJ65+BJ66+BJ67+BJ68+BJ69+BJ70+BJ71</f>
        <v>33.9566585149863</v>
      </c>
      <c r="BK72" s="13" t="n">
        <f aca="false">BK60+BK61+BK62+BK64+BK65+BK66+BK67+BK68+BK69+BK70+BK71</f>
        <v>33.3449494395901</v>
      </c>
      <c r="BL72" s="13" t="n">
        <f aca="false">BL60+BL61+BL62+BL64+BL65+BL66+BL67+BL68+BL69+BL70+BL71</f>
        <v>33.871786616807</v>
      </c>
      <c r="BM72" s="13" t="n">
        <f aca="false">BM60+BM61+BM62+BM64+BM65+BM66+BM67+BM68+BM69+BM70+BM71</f>
        <v>35.321335486459</v>
      </c>
      <c r="BN72" s="13" t="n">
        <f aca="false">BN60+BN61+BN62+BN64+BN65+BN66+BN67+BN68+BN69+BN70+BN71</f>
        <v>29.763657455292</v>
      </c>
    </row>
    <row r="73" customFormat="false" ht="15" hidden="false" customHeight="false" outlineLevel="0" collapsed="false">
      <c r="D73" s="0" t="s">
        <v>623</v>
      </c>
      <c r="E73" s="0" t="s">
        <v>149</v>
      </c>
      <c r="G73" s="13" t="n">
        <f aca="false">SUM(J73:BN73)</f>
        <v>4924.88335275013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0</v>
      </c>
      <c r="P73" s="13" t="n">
        <f aca="false">P42*P41/1000000</f>
        <v>12.7743313774651</v>
      </c>
      <c r="Q73" s="13" t="n">
        <f aca="false">Q42*Q41/1000000</f>
        <v>85.8359785551481</v>
      </c>
      <c r="R73" s="13" t="n">
        <f aca="false">R42*R41/1000000</f>
        <v>83.1355964392251</v>
      </c>
      <c r="S73" s="13" t="n">
        <f aca="false">S42*S41/1000000</f>
        <v>78.9465097911059</v>
      </c>
      <c r="T73" s="13" t="n">
        <f aca="false">T42*T41/1000000</f>
        <v>79.0618886030274</v>
      </c>
      <c r="U73" s="13" t="n">
        <f aca="false">U42*U41/1000000</f>
        <v>81.2806189352087</v>
      </c>
      <c r="V73" s="13" t="n">
        <f aca="false">V42*V41/1000000</f>
        <v>80.8059615512063</v>
      </c>
      <c r="W73" s="13" t="n">
        <f aca="false">W42*W41/1000000</f>
        <v>80.0530159419344</v>
      </c>
      <c r="X73" s="13" t="n">
        <f aca="false">X42*X41/1000000</f>
        <v>80.5116516565862</v>
      </c>
      <c r="Y73" s="13" t="n">
        <f aca="false">Y42*Y41/1000000</f>
        <v>84.5115503006415</v>
      </c>
      <c r="Z73" s="13" t="n">
        <f aca="false">Z42*Z41/1000000</f>
        <v>84.3630334988862</v>
      </c>
      <c r="AA73" s="13" t="n">
        <f aca="false">AA42*AA41/1000000</f>
        <v>85.3475512073613</v>
      </c>
      <c r="AB73" s="13" t="n">
        <f aca="false">AB42*AB41/1000000</f>
        <v>85.4716521656814</v>
      </c>
      <c r="AC73" s="13" t="n">
        <f aca="false">AC42*AC41/1000000</f>
        <v>87.8696101226141</v>
      </c>
      <c r="AD73" s="13" t="n">
        <f aca="false">AD42*AD41/1000000</f>
        <v>87.0592296588549</v>
      </c>
      <c r="AE73" s="13" t="n">
        <f aca="false">AE42*AE41/1000000</f>
        <v>84.726326912442</v>
      </c>
      <c r="AF73" s="13" t="n">
        <f aca="false">AF42*AF41/1000000</f>
        <v>85.5242171856791</v>
      </c>
      <c r="AG73" s="13" t="n">
        <f aca="false">AG42*AG41/1000000</f>
        <v>91.359745763437</v>
      </c>
      <c r="AH73" s="13" t="n">
        <f aca="false">AH42*AH41/1000000</f>
        <v>91.1985170719793</v>
      </c>
      <c r="AI73" s="13" t="n">
        <f aca="false">AI42*AI41/1000000</f>
        <v>92.262119556051</v>
      </c>
      <c r="AJ73" s="13" t="n">
        <f aca="false">AJ42*AJ41/1000000</f>
        <v>92.3955880193175</v>
      </c>
      <c r="AK73" s="13" t="n">
        <f aca="false">AK42*AK41/1000000</f>
        <v>94.987094769024</v>
      </c>
      <c r="AL73" s="13" t="n">
        <f aca="false">AL42*AL41/1000000</f>
        <v>94.4309927801518</v>
      </c>
      <c r="AM73" s="13" t="n">
        <f aca="false">AM42*AM41/1000000</f>
        <v>93.5496998783324</v>
      </c>
      <c r="AN73" s="13" t="n">
        <f aca="false">AN42*AN41/1000000</f>
        <v>94.0842615104193</v>
      </c>
      <c r="AO73" s="13" t="n">
        <f aca="false">AO42*AO41/1000000</f>
        <v>98.7569920772416</v>
      </c>
      <c r="AP73" s="13" t="n">
        <f aca="false">AP42*AP41/1000000</f>
        <v>98.5819740726427</v>
      </c>
      <c r="AQ73" s="13" t="n">
        <f aca="false">AQ42*AQ41/1000000</f>
        <v>99.730942270597</v>
      </c>
      <c r="AR73" s="13" t="n">
        <f aca="false">AR42*AR41/1000000</f>
        <v>99.874470017018</v>
      </c>
      <c r="AS73" s="13" t="n">
        <f aca="false">AS42*AS41/1000000</f>
        <v>102.674977494904</v>
      </c>
      <c r="AT73" s="13" t="n">
        <f aca="false">AT42*AT41/1000000</f>
        <v>101.726537313252</v>
      </c>
      <c r="AU73" s="13" t="n">
        <f aca="false">AU42*AU41/1000000</f>
        <v>98.9991218760468</v>
      </c>
      <c r="AV73" s="13" t="n">
        <f aca="false">AV42*AV41/1000000</f>
        <v>99.9299314045201</v>
      </c>
      <c r="AW73" s="13" t="n">
        <f aca="false">AW42*AW41/1000000</f>
        <v>106.746803453224</v>
      </c>
      <c r="AX73" s="13" t="n">
        <f aca="false">AX42*AX41/1000000</f>
        <v>106.556828214272</v>
      </c>
      <c r="AY73" s="13" t="n">
        <f aca="false">AY42*AY41/1000000</f>
        <v>107.797935620136</v>
      </c>
      <c r="AZ73" s="13" t="n">
        <f aca="false">AZ42*AZ41/1000000</f>
        <v>107.952264056796</v>
      </c>
      <c r="BA73" s="13" t="n">
        <f aca="false">BA42*BA41/1000000</f>
        <v>110.978443051863</v>
      </c>
      <c r="BB73" s="13" t="n">
        <f aca="false">BB42*BB41/1000000</f>
        <v>110.327067976473</v>
      </c>
      <c r="BC73" s="13" t="n">
        <f aca="false">BC42*BC41/1000000</f>
        <v>109.295785163068</v>
      </c>
      <c r="BD73" s="13" t="n">
        <f aca="false">BD42*BD41/1000000</f>
        <v>109.918675709376</v>
      </c>
      <c r="BE73" s="13" t="n">
        <f aca="false">BE42*BE41/1000000</f>
        <v>115.376098402106</v>
      </c>
      <c r="BF73" s="13" t="n">
        <f aca="false">BF42*BF41/1000000</f>
        <v>115.169899973178</v>
      </c>
      <c r="BG73" s="13" t="n">
        <f aca="false">BG42*BG41/1000000</f>
        <v>116.510450703824</v>
      </c>
      <c r="BH73" s="13" t="n">
        <f aca="false">BH42*BH41/1000000</f>
        <v>116.676374284738</v>
      </c>
      <c r="BI73" s="13" t="n">
        <f aca="false">BI42*BI41/1000000</f>
        <v>119.94620928004</v>
      </c>
      <c r="BJ73" s="13" t="n">
        <f aca="false">BJ42*BJ41/1000000</f>
        <v>118.836442670619</v>
      </c>
      <c r="BK73" s="13" t="n">
        <f aca="false">BK42*BK41/1000000</f>
        <v>115.648549517132</v>
      </c>
      <c r="BL73" s="13" t="n">
        <f aca="false">BL42*BL41/1000000</f>
        <v>116.734143194245</v>
      </c>
      <c r="BM73" s="13" t="n">
        <f aca="false">BM42*BM41/1000000</f>
        <v>124.695462101007</v>
      </c>
      <c r="BN73" s="13" t="n">
        <f aca="false">BN42*BN41/1000000</f>
        <v>103.894229600028</v>
      </c>
    </row>
    <row r="74" customFormat="false" ht="15" hidden="false" customHeight="false" outlineLevel="0" collapsed="false">
      <c r="D74" s="0" t="s">
        <v>624</v>
      </c>
      <c r="E74" s="0" t="s">
        <v>149</v>
      </c>
      <c r="G74" s="13" t="n">
        <f aca="false">SUM(J74:BN74)</f>
        <v>5768.32942566328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0</v>
      </c>
      <c r="P74" s="13" t="n">
        <f aca="false">P73+P52+P53+P54</f>
        <v>15.121906091483</v>
      </c>
      <c r="Q74" s="13" t="n">
        <f aca="false">Q73+Q52+Q53+Q54</f>
        <v>100.05863614992</v>
      </c>
      <c r="R74" s="13" t="n">
        <f aca="false">R73+R52+R53+R54</f>
        <v>97.4629073097992</v>
      </c>
      <c r="S74" s="13" t="n">
        <f aca="false">S73+S52+S53+S54</f>
        <v>93.1102395118367</v>
      </c>
      <c r="T74" s="13" t="n">
        <f aca="false">T73+T52+T53+T54</f>
        <v>93.4226301853995</v>
      </c>
      <c r="U74" s="13" t="n">
        <f aca="false">U73+U52+U53+U54</f>
        <v>95.7459992478753</v>
      </c>
      <c r="V74" s="13" t="n">
        <f aca="false">V73+V52+V53+V54</f>
        <v>95.3872405032273</v>
      </c>
      <c r="W74" s="13" t="n">
        <f aca="false">W73+W52+W53+W54</f>
        <v>94.5795926159863</v>
      </c>
      <c r="X74" s="13" t="n">
        <f aca="false">X73+X52+X53+X54</f>
        <v>95.2518020178965</v>
      </c>
      <c r="Y74" s="13" t="n">
        <f aca="false">Y73+Y52+Y53+Y54</f>
        <v>99.3451025551155</v>
      </c>
      <c r="Z74" s="13" t="n">
        <f aca="false">Z73+Z52+Z53+Z54</f>
        <v>99.3941501471021</v>
      </c>
      <c r="AA74" s="13" t="n">
        <f aca="false">AA73+AA52+AA53+AA54</f>
        <v>100.377108099291</v>
      </c>
      <c r="AB74" s="13" t="n">
        <f aca="false">AB73+AB52+AB53+AB54</f>
        <v>100.7102857983</v>
      </c>
      <c r="AC74" s="13" t="n">
        <f aca="false">AC73+AC52+AC53+AC54</f>
        <v>103.219206634963</v>
      </c>
      <c r="AD74" s="13" t="n">
        <f aca="false">AD73+AD52+AD53+AD54</f>
        <v>102.522681305158</v>
      </c>
      <c r="AE74" s="13" t="n">
        <f aca="false">AE73+AE52+AE53+AE54</f>
        <v>100.08515602996</v>
      </c>
      <c r="AF74" s="13" t="n">
        <f aca="false">AF73+AF52+AF53+AF54</f>
        <v>101.118985252963</v>
      </c>
      <c r="AG74" s="13" t="n">
        <f aca="false">AG73+AG52+AG53+AG54</f>
        <v>107.099922219129</v>
      </c>
      <c r="AH74" s="13" t="n">
        <f aca="false">AH73+AH52+AH53+AH54</f>
        <v>107.148366828324</v>
      </c>
      <c r="AI74" s="13" t="n">
        <f aca="false">AI73+AI52+AI53+AI54</f>
        <v>108.210268638534</v>
      </c>
      <c r="AJ74" s="13" t="n">
        <f aca="false">AJ73+AJ52+AJ53+AJ54</f>
        <v>108.565617302121</v>
      </c>
      <c r="AK74" s="13" t="n">
        <f aca="false">AK73+AK52+AK53+AK54</f>
        <v>111.274789445664</v>
      </c>
      <c r="AL74" s="13" t="n">
        <f aca="false">AL73+AL52+AL53+AL54</f>
        <v>110.849247467766</v>
      </c>
      <c r="AM74" s="13" t="n">
        <f aca="false">AM73+AM52+AM53+AM54</f>
        <v>109.90639655913</v>
      </c>
      <c r="AN74" s="13" t="n">
        <f aca="false">AN73+AN52+AN53+AN54</f>
        <v>110.681462936181</v>
      </c>
      <c r="AO74" s="13" t="n">
        <f aca="false">AO73+AO52+AO53+AO54</f>
        <v>115.459033399933</v>
      </c>
      <c r="AP74" s="13" t="n">
        <f aca="false">AP73+AP52+AP53+AP54</f>
        <v>115.506540041839</v>
      </c>
      <c r="AQ74" s="13" t="n">
        <f aca="false">AQ73+AQ52+AQ53+AQ54</f>
        <v>116.653654052902</v>
      </c>
      <c r="AR74" s="13" t="n">
        <f aca="false">AR73+AR52+AR53+AR54</f>
        <v>117.032649237525</v>
      </c>
      <c r="AS74" s="13" t="n">
        <f aca="false">AS73+AS52+AS53+AS54</f>
        <v>119.957925379144</v>
      </c>
      <c r="AT74" s="13" t="n">
        <f aca="false">AT73+AT52+AT53+AT54</f>
        <v>119.137773315067</v>
      </c>
      <c r="AU74" s="13" t="n">
        <f aca="false">AU73+AU52+AU53+AU54</f>
        <v>116.292717485309</v>
      </c>
      <c r="AV74" s="13" t="n">
        <f aca="false">AV73+AV52+AV53+AV54</f>
        <v>117.489190998265</v>
      </c>
      <c r="AW74" s="13" t="n">
        <f aca="false">AW73+AW52+AW53+AW54</f>
        <v>124.469305451692</v>
      </c>
      <c r="AX74" s="13" t="n">
        <f aca="false">AX73+AX52+AX53+AX54</f>
        <v>124.515494182305</v>
      </c>
      <c r="AY74" s="13" t="n">
        <f aca="false">AY73+AY52+AY53+AY54</f>
        <v>125.754580205551</v>
      </c>
      <c r="AZ74" s="13" t="n">
        <f aca="false">AZ73+AZ52+AZ53+AZ54</f>
        <v>126.158795059091</v>
      </c>
      <c r="BA74" s="13" t="n">
        <f aca="false">BA73+BA52+BA53+BA54</f>
        <v>129.317270443792</v>
      </c>
      <c r="BB74" s="13" t="n">
        <f aca="false">BB73+BB52+BB53+BB54</f>
        <v>128.81297569579</v>
      </c>
      <c r="BC74" s="13" t="n">
        <f aca="false">BC73+BC52+BC53+BC54</f>
        <v>127.712430443004</v>
      </c>
      <c r="BD74" s="13" t="n">
        <f aca="false">BD73+BD52+BD53+BD54</f>
        <v>128.606148370672</v>
      </c>
      <c r="BE74" s="13" t="n">
        <f aca="false">BE73+BE52+BE53+BE54</f>
        <v>134.18121514264</v>
      </c>
      <c r="BF74" s="13" t="n">
        <f aca="false">BF73+BF52+BF53+BF54</f>
        <v>134.225656315974</v>
      </c>
      <c r="BG74" s="13" t="n">
        <f aca="false">BG73+BG52+BG53+BG54</f>
        <v>135.564003607915</v>
      </c>
      <c r="BH74" s="13" t="n">
        <f aca="false">BH73+BH52+BH53+BH54</f>
        <v>135.995115221677</v>
      </c>
      <c r="BI74" s="13" t="n">
        <f aca="false">BI73+BI52+BI53+BI54</f>
        <v>139.405223873312</v>
      </c>
      <c r="BJ74" s="13" t="n">
        <f aca="false">BJ73+BJ52+BJ53+BJ54</f>
        <v>138.440015171726</v>
      </c>
      <c r="BK74" s="13" t="n">
        <f aca="false">BK73+BK52+BK53+BK54</f>
        <v>135.119869166824</v>
      </c>
      <c r="BL74" s="13" t="n">
        <f aca="false">BL73+BL52+BL53+BL54</f>
        <v>136.504589436082</v>
      </c>
      <c r="BM74" s="13" t="n">
        <f aca="false">BM73+BM52+BM53+BM54</f>
        <v>144.649121276285</v>
      </c>
      <c r="BN74" s="13" t="n">
        <f aca="false">BN73+BN52+BN53+BN54</f>
        <v>120.71843183584</v>
      </c>
    </row>
    <row r="75" customFormat="false" ht="15" hidden="false" customHeight="false" outlineLevel="0" collapsed="false">
      <c r="D75" s="0" t="s">
        <v>625</v>
      </c>
      <c r="E75" s="0" t="s">
        <v>149</v>
      </c>
      <c r="G75" s="13" t="n">
        <f aca="false">SUM(J75:BN75)</f>
        <v>0.148251877510635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</v>
      </c>
      <c r="Q75" s="13" t="n">
        <f aca="false">SUMIFS(Construction!$J$38:$BJ$38,Construction!$J$12:$BJ$12,Time!Q20,Construction!$J$8:$BJ$8,"&gt;"&amp;Time!$F$14)</f>
        <v>0.12257284730462</v>
      </c>
      <c r="R75" s="13" t="n">
        <f aca="false">SUMIFS(Construction!$J$38:$BJ$38,Construction!$J$12:$BJ$12,Time!R20,Construction!$J$8:$BJ$8,"&gt;"&amp;Time!$F$14)</f>
        <v>0.0256790302060149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626</v>
      </c>
      <c r="E76" s="0" t="s">
        <v>149</v>
      </c>
      <c r="G76" s="13" t="n">
        <f aca="false">SUM(J76:BN76)</f>
        <v>6.54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1.27</v>
      </c>
      <c r="S76" s="13" t="n">
        <f aca="false">Inputs!$F$45*Inputs!S296</f>
        <v>3.84</v>
      </c>
      <c r="T76" s="13" t="n">
        <f aca="false">Inputs!$F$45*Inputs!T296</f>
        <v>1.12</v>
      </c>
      <c r="U76" s="13" t="n">
        <f aca="false">Inputs!$F$45*Inputs!U296</f>
        <v>0.31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627</v>
      </c>
      <c r="E77" s="0" t="s">
        <v>336</v>
      </c>
      <c r="J77" s="10" t="n">
        <f aca="false">INT((Time!J33-Inputs!$F$221)/12)+1</f>
        <v>0</v>
      </c>
      <c r="K77" s="10" t="n">
        <f aca="false">INT((Time!K33-Inputs!$F$221)/12)+1</f>
        <v>0</v>
      </c>
      <c r="L77" s="10" t="n">
        <f aca="false">INT((Time!L33-Inputs!$F$221)/12)+1</f>
        <v>0</v>
      </c>
      <c r="M77" s="10" t="n">
        <f aca="false">INT((Time!M33-Inputs!$F$221)/12)+1</f>
        <v>0</v>
      </c>
      <c r="N77" s="10" t="n">
        <f aca="false">INT((Time!N33-Inputs!$F$221)/12)+1</f>
        <v>0</v>
      </c>
      <c r="O77" s="10" t="n">
        <f aca="false">INT((Time!O33-Inputs!$F$221)/12)+1</f>
        <v>0</v>
      </c>
      <c r="P77" s="10" t="n">
        <f aca="false">INT((Time!P33-Inputs!$F$221)/12)+1</f>
        <v>0</v>
      </c>
      <c r="Q77" s="10" t="n">
        <f aca="false">INT((Time!Q33-Inputs!$F$221)/12)+1</f>
        <v>1</v>
      </c>
      <c r="R77" s="10" t="n">
        <f aca="false">INT((Time!R33-Inputs!$F$221)/12)+1</f>
        <v>1</v>
      </c>
      <c r="S77" s="10" t="n">
        <f aca="false">INT((Time!S33-Inputs!$F$221)/12)+1</f>
        <v>2</v>
      </c>
      <c r="T77" s="10" t="n">
        <f aca="false">INT((Time!T33-Inputs!$F$221)/12)+1</f>
        <v>2</v>
      </c>
      <c r="U77" s="10" t="n">
        <f aca="false">INT((Time!U33-Inputs!$F$221)/12)+1</f>
        <v>3</v>
      </c>
      <c r="V77" s="10" t="n">
        <f aca="false">INT((Time!V33-Inputs!$F$221)/12)+1</f>
        <v>3</v>
      </c>
      <c r="W77" s="10" t="n">
        <f aca="false">INT((Time!W33-Inputs!$F$221)/12)+1</f>
        <v>4</v>
      </c>
      <c r="X77" s="10" t="n">
        <f aca="false">INT((Time!X33-Inputs!$F$221)/12)+1</f>
        <v>4</v>
      </c>
      <c r="Y77" s="10" t="n">
        <f aca="false">INT((Time!Y33-Inputs!$F$221)/12)+1</f>
        <v>5</v>
      </c>
      <c r="Z77" s="10" t="n">
        <f aca="false">INT((Time!Z33-Inputs!$F$221)/12)+1</f>
        <v>5</v>
      </c>
      <c r="AA77" s="10" t="n">
        <f aca="false">INT((Time!AA33-Inputs!$F$221)/12)+1</f>
        <v>6</v>
      </c>
      <c r="AB77" s="10" t="n">
        <f aca="false">INT((Time!AB33-Inputs!$F$221)/12)+1</f>
        <v>6</v>
      </c>
      <c r="AC77" s="10" t="n">
        <f aca="false">INT((Time!AC33-Inputs!$F$221)/12)+1</f>
        <v>7</v>
      </c>
      <c r="AD77" s="10" t="n">
        <f aca="false">INT((Time!AD33-Inputs!$F$221)/12)+1</f>
        <v>7</v>
      </c>
      <c r="AE77" s="10" t="n">
        <f aca="false">INT((Time!AE33-Inputs!$F$221)/12)+1</f>
        <v>8</v>
      </c>
      <c r="AF77" s="10" t="n">
        <f aca="false">INT((Time!AF33-Inputs!$F$221)/12)+1</f>
        <v>8</v>
      </c>
      <c r="AG77" s="10" t="n">
        <f aca="false">INT((Time!AG33-Inputs!$F$221)/12)+1</f>
        <v>9</v>
      </c>
      <c r="AH77" s="10" t="n">
        <f aca="false">INT((Time!AH33-Inputs!$F$221)/12)+1</f>
        <v>9</v>
      </c>
      <c r="AI77" s="10" t="n">
        <f aca="false">INT((Time!AI33-Inputs!$F$221)/12)+1</f>
        <v>10</v>
      </c>
      <c r="AJ77" s="10" t="n">
        <f aca="false">INT((Time!AJ33-Inputs!$F$221)/12)+1</f>
        <v>10</v>
      </c>
      <c r="AK77" s="10" t="n">
        <f aca="false">INT((Time!AK33-Inputs!$F$221)/12)+1</f>
        <v>11</v>
      </c>
      <c r="AL77" s="10" t="n">
        <f aca="false">INT((Time!AL33-Inputs!$F$221)/12)+1</f>
        <v>11</v>
      </c>
      <c r="AM77" s="10" t="n">
        <f aca="false">INT((Time!AM33-Inputs!$F$221)/12)+1</f>
        <v>12</v>
      </c>
      <c r="AN77" s="10" t="n">
        <f aca="false">INT((Time!AN33-Inputs!$F$221)/12)+1</f>
        <v>12</v>
      </c>
      <c r="AO77" s="10" t="n">
        <f aca="false">INT((Time!AO33-Inputs!$F$221)/12)+1</f>
        <v>13</v>
      </c>
      <c r="AP77" s="10" t="n">
        <f aca="false">INT((Time!AP33-Inputs!$F$221)/12)+1</f>
        <v>13</v>
      </c>
      <c r="AQ77" s="10" t="n">
        <f aca="false">INT((Time!AQ33-Inputs!$F$221)/12)+1</f>
        <v>14</v>
      </c>
      <c r="AR77" s="10" t="n">
        <f aca="false">INT((Time!AR33-Inputs!$F$221)/12)+1</f>
        <v>14</v>
      </c>
      <c r="AS77" s="10" t="n">
        <f aca="false">INT((Time!AS33-Inputs!$F$221)/12)+1</f>
        <v>15</v>
      </c>
      <c r="AT77" s="10" t="n">
        <f aca="false">INT((Time!AT33-Inputs!$F$221)/12)+1</f>
        <v>15</v>
      </c>
      <c r="AU77" s="10" t="n">
        <f aca="false">INT((Time!AU33-Inputs!$F$221)/12)+1</f>
        <v>16</v>
      </c>
      <c r="AV77" s="10" t="n">
        <f aca="false">INT((Time!AV33-Inputs!$F$221)/12)+1</f>
        <v>16</v>
      </c>
      <c r="AW77" s="10" t="n">
        <f aca="false">INT((Time!AW33-Inputs!$F$221)/12)+1</f>
        <v>17</v>
      </c>
      <c r="AX77" s="10" t="n">
        <f aca="false">INT((Time!AX33-Inputs!$F$221)/12)+1</f>
        <v>17</v>
      </c>
      <c r="AY77" s="10" t="n">
        <f aca="false">INT((Time!AY33-Inputs!$F$221)/12)+1</f>
        <v>18</v>
      </c>
      <c r="AZ77" s="10" t="n">
        <f aca="false">INT((Time!AZ33-Inputs!$F$221)/12)+1</f>
        <v>18</v>
      </c>
      <c r="BA77" s="10" t="n">
        <f aca="false">INT((Time!BA33-Inputs!$F$221)/12)+1</f>
        <v>19</v>
      </c>
      <c r="BB77" s="10" t="n">
        <f aca="false">INT((Time!BB33-Inputs!$F$221)/12)+1</f>
        <v>19</v>
      </c>
      <c r="BC77" s="10" t="n">
        <f aca="false">INT((Time!BC33-Inputs!$F$221)/12)+1</f>
        <v>20</v>
      </c>
      <c r="BD77" s="10" t="n">
        <f aca="false">INT((Time!BD33-Inputs!$F$221)/12)+1</f>
        <v>20</v>
      </c>
      <c r="BE77" s="10" t="n">
        <f aca="false">INT((Time!BE33-Inputs!$F$221)/12)+1</f>
        <v>21</v>
      </c>
      <c r="BF77" s="10" t="n">
        <f aca="false">INT((Time!BF33-Inputs!$F$221)/12)+1</f>
        <v>21</v>
      </c>
      <c r="BG77" s="10" t="n">
        <f aca="false">INT((Time!BG33-Inputs!$F$221)/12)+1</f>
        <v>22</v>
      </c>
      <c r="BH77" s="10" t="n">
        <f aca="false">INT((Time!BH33-Inputs!$F$221)/12)+1</f>
        <v>22</v>
      </c>
      <c r="BI77" s="10" t="n">
        <f aca="false">INT((Time!BI33-Inputs!$F$221)/12)+1</f>
        <v>23</v>
      </c>
      <c r="BJ77" s="10" t="n">
        <f aca="false">INT((Time!BJ33-Inputs!$F$221)/12)+1</f>
        <v>23</v>
      </c>
      <c r="BK77" s="10" t="n">
        <f aca="false">INT((Time!BK33-Inputs!$F$221)/12)+1</f>
        <v>24</v>
      </c>
      <c r="BL77" s="10" t="n">
        <f aca="false">INT((Time!BL33-Inputs!$F$221)/12)+1</f>
        <v>24</v>
      </c>
      <c r="BM77" s="10" t="n">
        <f aca="false">INT((Time!BM33-Inputs!$F$221)/12)+1</f>
        <v>25</v>
      </c>
      <c r="BN77" s="10" t="n">
        <f aca="false">INT((Time!BN33-Inputs!$F$221)/12)+1</f>
        <v>25</v>
      </c>
    </row>
    <row r="78" customFormat="false" ht="15" hidden="false" customHeight="false" outlineLevel="0" collapsed="false">
      <c r="D78" s="0" t="s">
        <v>628</v>
      </c>
      <c r="E78" s="0" t="s">
        <v>149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0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2.18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0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9.47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0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2.18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0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9.47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0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2.18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0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9.47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629</v>
      </c>
      <c r="E79" s="0" t="s">
        <v>149</v>
      </c>
      <c r="G79" s="13" t="n">
        <f aca="false">SUM(J79:BN79)</f>
        <v>58.3764680028158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0</v>
      </c>
      <c r="W79" s="13" t="n">
        <f aca="false">W78*W21</f>
        <v>2.77117475992325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0</v>
      </c>
      <c r="AE79" s="13" t="n">
        <f aca="false">AE78*AE21</f>
        <v>13.2618090211377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0</v>
      </c>
      <c r="AM79" s="13" t="n">
        <f aca="false">AM78*AM21</f>
        <v>3.34358077109185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0</v>
      </c>
      <c r="AU79" s="13" t="n">
        <f aca="false">AU78*AU21</f>
        <v>15.9077163755566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0</v>
      </c>
      <c r="BC79" s="13" t="n">
        <f aca="false">BC78*BC21</f>
        <v>4.01066962286349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0</v>
      </c>
      <c r="BK79" s="13" t="n">
        <f aca="false">BK78*BK21</f>
        <v>19.0815174522429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630</v>
      </c>
      <c r="E80" s="0" t="s">
        <v>97</v>
      </c>
      <c r="J80" s="10" t="n">
        <f aca="false">MAX(0,MIN(Time!J33,Time!$F$9)-MAX(Time!J32,(Inputs!$F$227-1)*12))</f>
        <v>0</v>
      </c>
      <c r="K80" s="10" t="n">
        <f aca="false">MAX(0,MIN(Time!K33,Time!$F$9)-MAX(Time!K32,(Inputs!$F$227-1)*12))</f>
        <v>0</v>
      </c>
      <c r="L80" s="10" t="n">
        <f aca="false">MAX(0,MIN(Time!L33,Time!$F$9)-MAX(Time!L32,(Inputs!$F$227-1)*12))</f>
        <v>0</v>
      </c>
      <c r="M80" s="10" t="n">
        <f aca="false">MAX(0,MIN(Time!M33,Time!$F$9)-MAX(Time!M32,(Inputs!$F$227-1)*12))</f>
        <v>0</v>
      </c>
      <c r="N80" s="10" t="n">
        <f aca="false">MAX(0,MIN(Time!N33,Time!$F$9)-MAX(Time!N32,(Inputs!$F$227-1)*12))</f>
        <v>0</v>
      </c>
      <c r="O80" s="10" t="n">
        <f aca="false">MAX(0,MIN(Time!O33,Time!$F$9)-MAX(Time!O32,(Inputs!$F$227-1)*12))</f>
        <v>0</v>
      </c>
      <c r="P80" s="10" t="n">
        <f aca="false">MAX(0,MIN(Time!P33,Time!$F$9)-MAX(Time!P32,(Inputs!$F$227-1)*12))</f>
        <v>0</v>
      </c>
      <c r="Q80" s="10" t="n">
        <f aca="false">MAX(0,MIN(Time!Q33,Time!$F$9)-MAX(Time!Q32,(Inputs!$F$227-1)*12))</f>
        <v>0</v>
      </c>
      <c r="R80" s="10" t="n">
        <f aca="false">MAX(0,MIN(Time!R33,Time!$F$9)-MAX(Time!R32,(Inputs!$F$227-1)*12))</f>
        <v>0</v>
      </c>
      <c r="S80" s="10" t="n">
        <f aca="false">MAX(0,MIN(Time!S33,Time!$F$9)-MAX(Time!S32,(Inputs!$F$227-1)*12))</f>
        <v>0</v>
      </c>
      <c r="T80" s="10" t="n">
        <f aca="false">MAX(0,MIN(Time!T33,Time!$F$9)-MAX(Time!T32,(Inputs!$F$227-1)*12))</f>
        <v>0</v>
      </c>
      <c r="U80" s="10" t="n">
        <f aca="false">MAX(0,MIN(Time!U33,Time!$F$9)-MAX(Time!U32,(Inputs!$F$227-1)*12))</f>
        <v>0</v>
      </c>
      <c r="V80" s="10" t="n">
        <f aca="false">MAX(0,MIN(Time!V33,Time!$F$9)-MAX(Time!V32,(Inputs!$F$227-1)*12))</f>
        <v>0</v>
      </c>
      <c r="W80" s="10" t="n">
        <f aca="false">MAX(0,MIN(Time!W33,Time!$F$9)-MAX(Time!W32,(Inputs!$F$227-1)*12))</f>
        <v>0</v>
      </c>
      <c r="X80" s="10" t="n">
        <f aca="false">MAX(0,MIN(Time!X33,Time!$F$9)-MAX(Time!X32,(Inputs!$F$227-1)*12))</f>
        <v>0</v>
      </c>
      <c r="Y80" s="10" t="n">
        <f aca="false">MAX(0,MIN(Time!Y33,Time!$F$9)-MAX(Time!Y32,(Inputs!$F$227-1)*12))</f>
        <v>0</v>
      </c>
      <c r="Z80" s="10" t="n">
        <f aca="false">MAX(0,MIN(Time!Z33,Time!$F$9)-MAX(Time!Z32,(Inputs!$F$227-1)*12))</f>
        <v>0</v>
      </c>
      <c r="AA80" s="10" t="n">
        <f aca="false">MAX(0,MIN(Time!AA33,Time!$F$9)-MAX(Time!AA32,(Inputs!$F$227-1)*12))</f>
        <v>0</v>
      </c>
      <c r="AB80" s="10" t="n">
        <f aca="false">MAX(0,MIN(Time!AB33,Time!$F$9)-MAX(Time!AB32,(Inputs!$F$227-1)*12))</f>
        <v>0</v>
      </c>
      <c r="AC80" s="10" t="n">
        <f aca="false">MAX(0,MIN(Time!AC33,Time!$F$9)-MAX(Time!AC32,(Inputs!$F$227-1)*12))</f>
        <v>0</v>
      </c>
      <c r="AD80" s="10" t="n">
        <f aca="false">MAX(0,MIN(Time!AD33,Time!$F$9)-MAX(Time!AD32,(Inputs!$F$227-1)*12))</f>
        <v>0</v>
      </c>
      <c r="AE80" s="10" t="n">
        <f aca="false">MAX(0,MIN(Time!AE33,Time!$F$9)-MAX(Time!AE32,(Inputs!$F$227-1)*12))</f>
        <v>0</v>
      </c>
      <c r="AF80" s="10" t="n">
        <f aca="false">MAX(0,MIN(Time!AF33,Time!$F$9)-MAX(Time!AF32,(Inputs!$F$227-1)*12))</f>
        <v>0</v>
      </c>
      <c r="AG80" s="10" t="n">
        <f aca="false">MAX(0,MIN(Time!AG33,Time!$F$9)-MAX(Time!AG32,(Inputs!$F$227-1)*12))</f>
        <v>0</v>
      </c>
      <c r="AH80" s="10" t="n">
        <f aca="false">MAX(0,MIN(Time!AH33,Time!$F$9)-MAX(Time!AH32,(Inputs!$F$227-1)*12))</f>
        <v>0</v>
      </c>
      <c r="AI80" s="10" t="n">
        <f aca="false">MAX(0,MIN(Time!AI33,Time!$F$9)-MAX(Time!AI32,(Inputs!$F$227-1)*12))</f>
        <v>0</v>
      </c>
      <c r="AJ80" s="10" t="n">
        <f aca="false">MAX(0,MIN(Time!AJ33,Time!$F$9)-MAX(Time!AJ32,(Inputs!$F$227-1)*12))</f>
        <v>0</v>
      </c>
      <c r="AK80" s="10" t="n">
        <f aca="false">MAX(0,MIN(Time!AK33,Time!$F$9)-MAX(Time!AK32,(Inputs!$F$227-1)*12))</f>
        <v>0</v>
      </c>
      <c r="AL80" s="10" t="n">
        <f aca="false">MAX(0,MIN(Time!AL33,Time!$F$9)-MAX(Time!AL32,(Inputs!$F$227-1)*12))</f>
        <v>0</v>
      </c>
      <c r="AM80" s="10" t="n">
        <f aca="false">MAX(0,MIN(Time!AM33,Time!$F$9)-MAX(Time!AM32,(Inputs!$F$227-1)*12))</f>
        <v>0</v>
      </c>
      <c r="AN80" s="10" t="n">
        <f aca="false">MAX(0,MIN(Time!AN33,Time!$F$9)-MAX(Time!AN32,(Inputs!$F$227-1)*12))</f>
        <v>0</v>
      </c>
      <c r="AO80" s="10" t="n">
        <f aca="false">MAX(0,MIN(Time!AO33,Time!$F$9)-MAX(Time!AO32,(Inputs!$F$227-1)*12))</f>
        <v>0</v>
      </c>
      <c r="AP80" s="10" t="n">
        <f aca="false">MAX(0,MIN(Time!AP33,Time!$F$9)-MAX(Time!AP32,(Inputs!$F$227-1)*12))</f>
        <v>0</v>
      </c>
      <c r="AQ80" s="10" t="n">
        <f aca="false">MAX(0,MIN(Time!AQ33,Time!$F$9)-MAX(Time!AQ32,(Inputs!$F$227-1)*12))</f>
        <v>0</v>
      </c>
      <c r="AR80" s="10" t="n">
        <f aca="false">MAX(0,MIN(Time!AR33,Time!$F$9)-MAX(Time!AR32,(Inputs!$F$227-1)*12))</f>
        <v>0</v>
      </c>
      <c r="AS80" s="10" t="n">
        <f aca="false">MAX(0,MIN(Time!AS33,Time!$F$9)-MAX(Time!AS32,(Inputs!$F$227-1)*12))</f>
        <v>0</v>
      </c>
      <c r="AT80" s="10" t="n">
        <f aca="false">MAX(0,MIN(Time!AT33,Time!$F$9)-MAX(Time!AT32,(Inputs!$F$227-1)*12))</f>
        <v>0</v>
      </c>
      <c r="AU80" s="10" t="n">
        <f aca="false">MAX(0,MIN(Time!AU33,Time!$F$9)-MAX(Time!AU32,(Inputs!$F$227-1)*12))</f>
        <v>0</v>
      </c>
      <c r="AV80" s="10" t="n">
        <f aca="false">MAX(0,MIN(Time!AV33,Time!$F$9)-MAX(Time!AV32,(Inputs!$F$227-1)*12))</f>
        <v>0</v>
      </c>
      <c r="AW80" s="10" t="n">
        <f aca="false">MAX(0,MIN(Time!AW33,Time!$F$9)-MAX(Time!AW32,(Inputs!$F$227-1)*12))</f>
        <v>0</v>
      </c>
      <c r="AX80" s="10" t="n">
        <f aca="false">MAX(0,MIN(Time!AX33,Time!$F$9)-MAX(Time!AX32,(Inputs!$F$227-1)*12))</f>
        <v>0</v>
      </c>
      <c r="AY80" s="10" t="n">
        <f aca="false">MAX(0,MIN(Time!AY33,Time!$F$9)-MAX(Time!AY32,(Inputs!$F$227-1)*12))</f>
        <v>0</v>
      </c>
      <c r="AZ80" s="10" t="n">
        <f aca="false">MAX(0,MIN(Time!AZ33,Time!$F$9)-MAX(Time!AZ32,(Inputs!$F$227-1)*12))</f>
        <v>0</v>
      </c>
      <c r="BA80" s="10" t="n">
        <f aca="false">MAX(0,MIN(Time!BA33,Time!$F$9)-MAX(Time!BA32,(Inputs!$F$227-1)*12))</f>
        <v>0</v>
      </c>
      <c r="BB80" s="10" t="n">
        <f aca="false">MAX(0,MIN(Time!BB33,Time!$F$9)-MAX(Time!BB32,(Inputs!$F$227-1)*12))</f>
        <v>1</v>
      </c>
      <c r="BC80" s="10" t="n">
        <f aca="false">MAX(0,MIN(Time!BC33,Time!$F$9)-MAX(Time!BC32,(Inputs!$F$227-1)*12))</f>
        <v>6</v>
      </c>
      <c r="BD80" s="10" t="n">
        <f aca="false">MAX(0,MIN(Time!BD33,Time!$F$9)-MAX(Time!BD32,(Inputs!$F$227-1)*12))</f>
        <v>6</v>
      </c>
      <c r="BE80" s="10" t="n">
        <f aca="false">MAX(0,MIN(Time!BE33,Time!$F$9)-MAX(Time!BE32,(Inputs!$F$227-1)*12))</f>
        <v>6</v>
      </c>
      <c r="BF80" s="10" t="n">
        <f aca="false">MAX(0,MIN(Time!BF33,Time!$F$9)-MAX(Time!BF32,(Inputs!$F$227-1)*12))</f>
        <v>6</v>
      </c>
      <c r="BG80" s="10" t="n">
        <f aca="false">MAX(0,MIN(Time!BG33,Time!$F$9)-MAX(Time!BG32,(Inputs!$F$227-1)*12))</f>
        <v>6</v>
      </c>
      <c r="BH80" s="10" t="n">
        <f aca="false">MAX(0,MIN(Time!BH33,Time!$F$9)-MAX(Time!BH32,(Inputs!$F$227-1)*12))</f>
        <v>6</v>
      </c>
      <c r="BI80" s="10" t="n">
        <f aca="false">MAX(0,MIN(Time!BI33,Time!$F$9)-MAX(Time!BI32,(Inputs!$F$227-1)*12))</f>
        <v>6</v>
      </c>
      <c r="BJ80" s="10" t="n">
        <f aca="false">MAX(0,MIN(Time!BJ33,Time!$F$9)-MAX(Time!BJ32,(Inputs!$F$227-1)*12))</f>
        <v>6</v>
      </c>
      <c r="BK80" s="10" t="n">
        <f aca="false">MAX(0,MIN(Time!BK33,Time!$F$9)-MAX(Time!BK32,(Inputs!$F$227-1)*12))</f>
        <v>6</v>
      </c>
      <c r="BL80" s="10" t="n">
        <f aca="false">MAX(0,MIN(Time!BL33,Time!$F$9)-MAX(Time!BL32,(Inputs!$F$227-1)*12))</f>
        <v>6</v>
      </c>
      <c r="BM80" s="10" t="n">
        <f aca="false">MAX(0,MIN(Time!BM33,Time!$F$9)-MAX(Time!BM32,(Inputs!$F$227-1)*12))</f>
        <v>6</v>
      </c>
      <c r="BN80" s="10" t="n">
        <f aca="false">MAX(0,MIN(Time!BN33,Time!$F$9)-MAX(Time!BN32,(Inputs!$F$227-1)*12))</f>
        <v>5</v>
      </c>
    </row>
    <row r="81" customFormat="false" ht="15" hidden="false" customHeight="false" outlineLevel="0" collapsed="false">
      <c r="D81" s="0" t="s">
        <v>631</v>
      </c>
      <c r="E81" s="0" t="s">
        <v>149</v>
      </c>
      <c r="G81" s="13" t="n">
        <f aca="false">SUM(J81:BN81)</f>
        <v>21.7148455502848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</v>
      </c>
      <c r="BB81" s="13" t="n">
        <f aca="false">Inputs!$F$166*BB21*BB80/12</f>
        <v>0.280422631565716</v>
      </c>
      <c r="BC81" s="13" t="n">
        <f aca="false">Inputs!$F$166*BC21*BC80/12</f>
        <v>1.70177495465538</v>
      </c>
      <c r="BD81" s="13" t="n">
        <f aca="false">Inputs!$F$166*BD21*BD80/12</f>
        <v>1.72123411255037</v>
      </c>
      <c r="BE81" s="13" t="n">
        <f aca="false">Inputs!$F$166*BE21*BE80/12</f>
        <v>1.74091577861245</v>
      </c>
      <c r="BF81" s="13" t="n">
        <f aca="false">Inputs!$F$166*BF21*BF80/12</f>
        <v>1.76082249713902</v>
      </c>
      <c r="BG81" s="13" t="n">
        <f aca="false">Inputs!$F$166*BG21*BG80/12</f>
        <v>1.78095684152054</v>
      </c>
      <c r="BH81" s="13" t="n">
        <f aca="false">Inputs!$F$166*BH21*BH80/12</f>
        <v>1.80132141457322</v>
      </c>
      <c r="BI81" s="13" t="n">
        <f aca="false">Inputs!$F$166*BI21*BI80/12</f>
        <v>1.82191884887551</v>
      </c>
      <c r="BJ81" s="13" t="n">
        <f aca="false">Inputs!$F$166*BJ21*BJ80/12</f>
        <v>1.8427518071084</v>
      </c>
      <c r="BK81" s="13" t="n">
        <f aca="false">Inputs!$F$166*BK21*BK80/12</f>
        <v>1.86382298239965</v>
      </c>
      <c r="BL81" s="13" t="n">
        <f aca="false">Inputs!$F$166*BL21*BL80/12</f>
        <v>1.8851350986719</v>
      </c>
      <c r="BM81" s="13" t="n">
        <f aca="false">Inputs!$F$166*BM21*BM80/12</f>
        <v>1.90669091099484</v>
      </c>
      <c r="BN81" s="13" t="n">
        <f aca="false">Inputs!$F$166*BN21*BN80/12</f>
        <v>1.60707767161779</v>
      </c>
    </row>
    <row r="82" customFormat="false" ht="15" hidden="false" customHeight="false" outlineLevel="0" collapsed="false">
      <c r="D82" s="0" t="s">
        <v>632</v>
      </c>
      <c r="E82" s="0" t="s">
        <v>149</v>
      </c>
      <c r="G82" s="13" t="n">
        <f aca="false">SUM(J82:BN82)</f>
        <v>21.7148455502848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0</v>
      </c>
      <c r="BN82" s="13" t="n">
        <f aca="false">Time!BN37*SUM($J$81:$BN$81)</f>
        <v>21.7148455502848</v>
      </c>
    </row>
    <row r="83" customFormat="false" ht="15" hidden="false" customHeight="false" outlineLevel="0" collapsed="false">
      <c r="D83" s="0" t="s">
        <v>633</v>
      </c>
      <c r="E83" s="0" t="s">
        <v>149</v>
      </c>
      <c r="G83" s="13" t="n">
        <f aca="false">SUM(J83:BN83)</f>
        <v>7206.99563963282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0</v>
      </c>
      <c r="P83" s="13" t="n">
        <f aca="false">P72+P74+P75+P76+P79+P82</f>
        <v>18.0681886461837</v>
      </c>
      <c r="Q83" s="13" t="n">
        <f aca="false">Q72+Q74+Q75+Q76+Q79+Q82</f>
        <v>118.96964523246</v>
      </c>
      <c r="R83" s="13" t="n">
        <f aca="false">R72+R74+R75+R76+R79+R82</f>
        <v>117.916525382809</v>
      </c>
      <c r="S83" s="13" t="n">
        <f aca="false">S72+S74+S75+S76+S79+S82</f>
        <v>115.692579676092</v>
      </c>
      <c r="T83" s="13" t="n">
        <f aca="false">T72+T74+T75+T76+T79+T82</f>
        <v>114.106184673081</v>
      </c>
      <c r="U83" s="13" t="n">
        <f aca="false">U72+U74+U75+U76+U79+U82</f>
        <v>116.254405469696</v>
      </c>
      <c r="V83" s="13" t="n">
        <f aca="false">V72+V74+V75+V76+V79+V82</f>
        <v>116.224480602576</v>
      </c>
      <c r="W83" s="13" t="n">
        <f aca="false">W72+W74+W75+W76+W79+W82</f>
        <v>118.373250547702</v>
      </c>
      <c r="X83" s="13" t="n">
        <f aca="false">X72+X74+X75+X76+X79+X82</f>
        <v>116.893638958967</v>
      </c>
      <c r="Y83" s="13" t="n">
        <f aca="false">Y72+Y74+Y75+Y76+Y79+Y82</f>
        <v>121.857082641795</v>
      </c>
      <c r="Z83" s="13" t="n">
        <f aca="false">Z72+Z74+Z75+Z76+Z79+Z82</f>
        <v>122.259253034721</v>
      </c>
      <c r="AA83" s="13" t="n">
        <f aca="false">AA72+AA74+AA75+AA76+AA79+AA82</f>
        <v>123.404941780128</v>
      </c>
      <c r="AB83" s="13" t="n">
        <f aca="false">AB72+AB74+AB75+AB76+AB79+AB82</f>
        <v>124.01869820136</v>
      </c>
      <c r="AC83" s="13" t="n">
        <f aca="false">AC72+AC74+AC75+AC76+AC79+AC82</f>
        <v>126.924707058089</v>
      </c>
      <c r="AD83" s="13" t="n">
        <f aca="false">AD72+AD74+AD75+AD76+AD79+AD82</f>
        <v>126.347059311736</v>
      </c>
      <c r="AE83" s="13" t="n">
        <f aca="false">AE72+AE74+AE75+AE76+AE79+AE82</f>
        <v>136.742770982782</v>
      </c>
      <c r="AF83" s="13" t="n">
        <f aca="false">AF72+AF74+AF75+AF76+AF79+AF82</f>
        <v>124.883022232089</v>
      </c>
      <c r="AG83" s="13" t="n">
        <f aca="false">AG72+AG74+AG75+AG76+AG79+AG82</f>
        <v>131.875879138443</v>
      </c>
      <c r="AH83" s="13" t="n">
        <f aca="false">AH72+AH74+AH75+AH76+AH79+AH82</f>
        <v>132.172901141713</v>
      </c>
      <c r="AI83" s="13" t="n">
        <f aca="false">AI72+AI74+AI75+AI76+AI79+AI82</f>
        <v>133.378149157265</v>
      </c>
      <c r="AJ83" s="13" t="n">
        <f aca="false">AJ72+AJ74+AJ75+AJ76+AJ79+AJ82</f>
        <v>134.040404340642</v>
      </c>
      <c r="AK83" s="13" t="n">
        <f aca="false">AK72+AK74+AK75+AK76+AK79+AK82</f>
        <v>137.170466463459</v>
      </c>
      <c r="AL83" s="13" t="n">
        <f aca="false">AL72+AL74+AL75+AL76+AL79+AL82</f>
        <v>136.933774365579</v>
      </c>
      <c r="AM83" s="13" t="n">
        <f aca="false">AM72+AM74+AM75+AM76+AM79+AM82</f>
        <v>139.123668848094</v>
      </c>
      <c r="AN83" s="13" t="n">
        <f aca="false">AN72+AN74+AN75+AN76+AN79+AN82</f>
        <v>136.94415065593</v>
      </c>
      <c r="AO83" s="13" t="n">
        <f aca="false">AO72+AO74+AO75+AO76+AO79+AO82</f>
        <v>142.526081314381</v>
      </c>
      <c r="AP83" s="13" t="n">
        <f aca="false">AP72+AP74+AP75+AP76+AP79+AP82</f>
        <v>142.845637487902</v>
      </c>
      <c r="AQ83" s="13" t="n">
        <f aca="false">AQ72+AQ74+AQ75+AQ76+AQ79+AQ82</f>
        <v>144.149679593425</v>
      </c>
      <c r="AR83" s="13" t="n">
        <f aca="false">AR72+AR74+AR75+AR76+AR79+AR82</f>
        <v>144.86453862577</v>
      </c>
      <c r="AS83" s="13" t="n">
        <f aca="false">AS72+AS74+AS75+AS76+AS79+AS82</f>
        <v>148.250377372782</v>
      </c>
      <c r="AT83" s="13" t="n">
        <f aca="false">AT72+AT74+AT75+AT76+AT79+AT82</f>
        <v>147.572592933235</v>
      </c>
      <c r="AU83" s="13" t="n">
        <f aca="false">AU72+AU74+AU75+AU76+AU79+AU82</f>
        <v>160.123285199998</v>
      </c>
      <c r="AV83" s="13" t="n">
        <f aca="false">AV72+AV74+AV75+AV76+AV79+AV82</f>
        <v>145.852461345901</v>
      </c>
      <c r="AW83" s="13" t="n">
        <f aca="false">AW72+AW74+AW75+AW76+AW79+AW82</f>
        <v>154.043686970066</v>
      </c>
      <c r="AX83" s="13" t="n">
        <f aca="false">AX72+AX74+AX75+AX76+AX79+AX82</f>
        <v>154.387613588992</v>
      </c>
      <c r="AY83" s="13" t="n">
        <f aca="false">AY72+AY74+AY75+AY76+AY79+AY82</f>
        <v>155.798496432072</v>
      </c>
      <c r="AZ83" s="13" t="n">
        <f aca="false">AZ72+AZ74+AZ75+AZ76+AZ79+AZ82</f>
        <v>156.570264418335</v>
      </c>
      <c r="BA83" s="13" t="n">
        <f aca="false">BA72+BA74+BA75+BA76+BA79+BA82</f>
        <v>160.232714141442</v>
      </c>
      <c r="BB83" s="13" t="n">
        <f aca="false">BB72+BB74+BB75+BB76+BB79+BB82</f>
        <v>159.954684375736</v>
      </c>
      <c r="BC83" s="13" t="n">
        <f aca="false">BC72+BC74+BC75+BC76+BC79+BC82</f>
        <v>162.612722413139</v>
      </c>
      <c r="BD83" s="13" t="n">
        <f aca="false">BD72+BD74+BD75+BD76+BD79+BD82</f>
        <v>159.961581918466</v>
      </c>
      <c r="BE83" s="13" t="n">
        <f aca="false">BE72+BE74+BE75+BE76+BE79+BE82</f>
        <v>166.499581130117</v>
      </c>
      <c r="BF83" s="13" t="n">
        <f aca="false">BF72+BF74+BF75+BF76+BF79+BF82</f>
        <v>166.869874005975</v>
      </c>
      <c r="BG83" s="13" t="n">
        <f aca="false">BG72+BG74+BG75+BG76+BG79+BG82</f>
        <v>168.396295599503</v>
      </c>
      <c r="BH83" s="13" t="n">
        <f aca="false">BH72+BH74+BH75+BH76+BH79+BH82</f>
        <v>169.229639310113</v>
      </c>
      <c r="BI83" s="13" t="n">
        <f aca="false">BI72+BI74+BI75+BI76+BI79+BI82</f>
        <v>173.191225509664</v>
      </c>
      <c r="BJ83" s="13" t="n">
        <f aca="false">BJ72+BJ74+BJ75+BJ76+BJ79+BJ82</f>
        <v>172.396673686712</v>
      </c>
      <c r="BK83" s="13" t="n">
        <f aca="false">BK72+BK74+BK75+BK76+BK79+BK82</f>
        <v>187.546336058657</v>
      </c>
      <c r="BL83" s="13" t="n">
        <f aca="false">BL72+BL74+BL75+BL76+BL79+BL82</f>
        <v>170.376376052889</v>
      </c>
      <c r="BM83" s="13" t="n">
        <f aca="false">BM72+BM74+BM75+BM76+BM79+BM82</f>
        <v>179.970456762744</v>
      </c>
      <c r="BN83" s="13" t="n">
        <f aca="false">BN72+BN74+BN75+BN76+BN79+BN82</f>
        <v>172.196934841417</v>
      </c>
    </row>
    <row r="84" customFormat="false" ht="15" hidden="false" customHeight="false" outlineLevel="0" collapsed="false">
      <c r="D84" s="0" t="s">
        <v>634</v>
      </c>
      <c r="E84" s="0" t="s">
        <v>149</v>
      </c>
      <c r="G84" s="13" t="n">
        <f aca="false">SUM(J84:BN84)</f>
        <v>2628.77192902305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0</v>
      </c>
      <c r="P84" s="13" t="n">
        <f aca="false">P56-P83+P58</f>
        <v>8.26170039027042</v>
      </c>
      <c r="Q84" s="13" t="n">
        <f aca="false">Q56-Q83+Q58</f>
        <v>49.4486199550185</v>
      </c>
      <c r="R84" s="13" t="n">
        <f aca="false">R56-R83+R58</f>
        <v>47.5406091835222</v>
      </c>
      <c r="S84" s="13" t="n">
        <f aca="false">S56-S83+S58</f>
        <v>45.2244011355879</v>
      </c>
      <c r="T84" s="13" t="n">
        <f aca="false">T56-T83+T58</f>
        <v>48.4557558302027</v>
      </c>
      <c r="U84" s="13" t="n">
        <f aca="false">U56-U83+U58</f>
        <v>50.7356480754295</v>
      </c>
      <c r="V84" s="13" t="n">
        <f aca="false">V56-V83+V58</f>
        <v>52.72840951095</v>
      </c>
      <c r="W84" s="13" t="n">
        <f aca="false">W56-W83+W58</f>
        <v>50.5320855462635</v>
      </c>
      <c r="X84" s="13" t="n">
        <f aca="false">X56-X83+X58</f>
        <v>51.5844169914412</v>
      </c>
      <c r="Y84" s="13" t="n">
        <f aca="false">Y56-Y83+Y58</f>
        <v>51.7154983598284</v>
      </c>
      <c r="Z84" s="13" t="n">
        <f aca="false">Z56-Z83+Z58</f>
        <v>51.9821463665356</v>
      </c>
      <c r="AA84" s="13" t="n">
        <f aca="false">AA56-AA83+AA58</f>
        <v>52.221353851369</v>
      </c>
      <c r="AB84" s="13" t="n">
        <f aca="false">AB56-AB83+AB58</f>
        <v>52.3964283563992</v>
      </c>
      <c r="AC84" s="13" t="n">
        <f aca="false">AC56-AC83+AC58</f>
        <v>52.5070317266368</v>
      </c>
      <c r="AD84" s="13" t="n">
        <f aca="false">AD56-AD83+AD58</f>
        <v>52.7169278061015</v>
      </c>
      <c r="AE84" s="13" t="n">
        <f aca="false">AE56-AE83+AE58</f>
        <v>38.8549703074505</v>
      </c>
      <c r="AF84" s="13" t="n">
        <f aca="false">AF56-AF83+AF58</f>
        <v>52.8750344916599</v>
      </c>
      <c r="AG84" s="13" t="n">
        <f aca="false">AG56-AG83+AG58</f>
        <v>53.0709908010321</v>
      </c>
      <c r="AH84" s="13" t="n">
        <f aca="false">AH56-AH83+AH58</f>
        <v>53.2240138337583</v>
      </c>
      <c r="AI84" s="13" t="n">
        <f aca="false">AI56-AI83+AI58</f>
        <v>53.4119899624854</v>
      </c>
      <c r="AJ84" s="13" t="n">
        <f aca="false">AJ56-AJ83+AJ58</f>
        <v>53.5489365962437</v>
      </c>
      <c r="AK84" s="13" t="n">
        <f aca="false">AK56-AK83+AK58</f>
        <v>53.6384029170224</v>
      </c>
      <c r="AL84" s="13" t="n">
        <f aca="false">AL56-AL83+AL58</f>
        <v>53.825201568709</v>
      </c>
      <c r="AM84" s="13" t="n">
        <f aca="false">AM56-AM83+AM58</f>
        <v>50.8139023617466</v>
      </c>
      <c r="AN84" s="13" t="n">
        <f aca="false">AN56-AN83+AN58</f>
        <v>54.2751967669584</v>
      </c>
      <c r="AO84" s="13" t="n">
        <f aca="false">AO56-AO83+AO58</f>
        <v>54.2301443533082</v>
      </c>
      <c r="AP84" s="13" t="n">
        <f aca="false">AP56-AP83+AP58</f>
        <v>54.3975863154242</v>
      </c>
      <c r="AQ84" s="13" t="n">
        <f aca="false">AQ56-AQ83+AQ58</f>
        <v>54.6026779377969</v>
      </c>
      <c r="AR84" s="13" t="n">
        <f aca="false">AR56-AR83+AR58</f>
        <v>54.7521088209594</v>
      </c>
      <c r="AS84" s="13" t="n">
        <f aca="false">AS56-AS83+AS58</f>
        <v>54.8472738390416</v>
      </c>
      <c r="AT84" s="13" t="n">
        <f aca="false">AT56-AT83+AT58</f>
        <v>55.076831096792</v>
      </c>
      <c r="AU84" s="13" t="n">
        <f aca="false">AU56-AU83+AU58</f>
        <v>38.5723479058288</v>
      </c>
      <c r="AV84" s="13" t="n">
        <f aca="false">AV56-AV83+AV58</f>
        <v>55.3113475873675</v>
      </c>
      <c r="AW84" s="13" t="n">
        <f aca="false">AW56-AW83+AW58</f>
        <v>55.4908967225231</v>
      </c>
      <c r="AX84" s="13" t="n">
        <f aca="false">AX56-AX83+AX58</f>
        <v>55.6741068955729</v>
      </c>
      <c r="AY84" s="13" t="n">
        <f aca="false">AY56-AY83+AY58</f>
        <v>55.8978992353053</v>
      </c>
      <c r="AZ84" s="13" t="n">
        <f aca="false">AZ56-AZ83+AZ58</f>
        <v>56.0609503951778</v>
      </c>
      <c r="BA84" s="13" t="n">
        <f aca="false">BA56-BA83+BA58</f>
        <v>56.1621670420655</v>
      </c>
      <c r="BB84" s="13" t="n">
        <f aca="false">BB56-BB83+BB58</f>
        <v>56.3869971682689</v>
      </c>
      <c r="BC84" s="13" t="n">
        <f aca="false">BC56-BC83+BC58</f>
        <v>52.7789227617678</v>
      </c>
      <c r="BD84" s="13" t="n">
        <f aca="false">BD56-BD83+BD58</f>
        <v>56.92838633368</v>
      </c>
      <c r="BE84" s="13" t="n">
        <f aca="false">BE56-BE83+BE58</f>
        <v>56.8622896893965</v>
      </c>
      <c r="BF84" s="13" t="n">
        <f aca="false">BF56-BF83+BF58</f>
        <v>57.0627428997619</v>
      </c>
      <c r="BG84" s="13" t="n">
        <f aca="false">BG56-BG83+BG58</f>
        <v>57.3069699261398</v>
      </c>
      <c r="BH84" s="13" t="n">
        <f aca="false">BH56-BH83+BH58</f>
        <v>57.4848805149485</v>
      </c>
      <c r="BI84" s="13" t="n">
        <f aca="false">BI56-BI83+BI58</f>
        <v>57.5925226697471</v>
      </c>
      <c r="BJ84" s="13" t="n">
        <f aca="false">BJ56-BJ83+BJ58</f>
        <v>57.8696686510322</v>
      </c>
      <c r="BK84" s="13" t="n">
        <f aca="false">BK56-BK83+BK58</f>
        <v>38.1966990392571</v>
      </c>
      <c r="BL84" s="13" t="n">
        <f aca="false">BL56-BL83+BL58</f>
        <v>58.1965838186532</v>
      </c>
      <c r="BM84" s="13" t="n">
        <f aca="false">BM56-BM83+BM58</f>
        <v>58.3541794629647</v>
      </c>
      <c r="BN84" s="13" t="n">
        <f aca="false">BN56-BN83+BN58</f>
        <v>27.0850752476498</v>
      </c>
    </row>
    <row r="85" customFormat="false" ht="15" hidden="false" customHeight="false" outlineLevel="0" collapsed="false">
      <c r="B85" s="2" t="s">
        <v>635</v>
      </c>
    </row>
    <row r="86" customFormat="false" ht="15" hidden="false" customHeight="false" outlineLevel="0" collapsed="false">
      <c r="D86" s="0" t="s">
        <v>636</v>
      </c>
      <c r="E86" s="0" t="s">
        <v>113</v>
      </c>
      <c r="J86" s="10" t="n">
        <f aca="false">IF(Time!J20&gt;=Time!$F$15,1,0)</f>
        <v>0</v>
      </c>
      <c r="K86" s="10" t="n">
        <f aca="false">IF(Time!K20&gt;=Time!$F$15,1,0)</f>
        <v>0</v>
      </c>
      <c r="L86" s="10" t="n">
        <f aca="false">IF(Time!L20&gt;=Time!$F$15,1,0)</f>
        <v>0</v>
      </c>
      <c r="M86" s="10" t="n">
        <f aca="false">IF(Time!M20&gt;=Time!$F$15,1,0)</f>
        <v>0</v>
      </c>
      <c r="N86" s="10" t="n">
        <f aca="false">IF(Time!N20&gt;=Time!$F$15,1,0)</f>
        <v>0</v>
      </c>
      <c r="O86" s="10" t="n">
        <f aca="false">IF(Time!O20&gt;=Time!$F$15,1,0)</f>
        <v>0</v>
      </c>
      <c r="P86" s="10" t="n">
        <f aca="false">IF(Time!P20&gt;=Time!$F$15,1,0)</f>
        <v>0</v>
      </c>
      <c r="Q86" s="10" t="n">
        <f aca="false">IF(Time!Q20&gt;=Time!$F$15,1,0)</f>
        <v>0</v>
      </c>
      <c r="R86" s="10" t="n">
        <f aca="false">IF(Time!R20&gt;=Time!$F$15,1,0)</f>
        <v>0</v>
      </c>
      <c r="S86" s="10" t="n">
        <f aca="false">IF(Time!S20&gt;=Time!$F$15,1,0)</f>
        <v>0</v>
      </c>
      <c r="T86" s="10" t="n">
        <f aca="false">IF(Time!T20&gt;=Time!$F$15,1,0)</f>
        <v>0</v>
      </c>
      <c r="U86" s="10" t="n">
        <f aca="false">IF(Time!U20&gt;=Time!$F$15,1,0)</f>
        <v>0</v>
      </c>
      <c r="V86" s="10" t="n">
        <f aca="false">IF(Time!V20&gt;=Time!$F$15,1,0)</f>
        <v>0</v>
      </c>
      <c r="W86" s="10" t="n">
        <f aca="false">IF(Time!W20&gt;=Time!$F$15,1,0)</f>
        <v>0</v>
      </c>
      <c r="X86" s="10" t="n">
        <f aca="false">IF(Time!X20&gt;=Time!$F$15,1,0)</f>
        <v>0</v>
      </c>
      <c r="Y86" s="10" t="n">
        <f aca="false">IF(Time!Y20&gt;=Time!$F$15,1,0)</f>
        <v>0</v>
      </c>
      <c r="Z86" s="10" t="n">
        <f aca="false">IF(Time!Z20&gt;=Time!$F$15,1,0)</f>
        <v>0</v>
      </c>
      <c r="AA86" s="10" t="n">
        <f aca="false">IF(Time!AA20&gt;=Time!$F$15,1,0)</f>
        <v>0</v>
      </c>
      <c r="AB86" s="10" t="n">
        <f aca="false">IF(Time!AB20&gt;=Time!$F$15,1,0)</f>
        <v>0</v>
      </c>
      <c r="AC86" s="10" t="n">
        <f aca="false">IF(Time!AC20&gt;=Time!$F$15,1,0)</f>
        <v>0</v>
      </c>
      <c r="AD86" s="10" t="n">
        <f aca="false">IF(Time!AD20&gt;=Time!$F$15,1,0)</f>
        <v>0</v>
      </c>
      <c r="AE86" s="10" t="n">
        <f aca="false">IF(Time!AE20&gt;=Time!$F$15,1,0)</f>
        <v>0</v>
      </c>
      <c r="AF86" s="10" t="n">
        <f aca="false">IF(Time!AF20&gt;=Time!$F$15,1,0)</f>
        <v>0</v>
      </c>
      <c r="AG86" s="10" t="n">
        <f aca="false">IF(Time!AG20&gt;=Time!$F$15,1,0)</f>
        <v>0</v>
      </c>
      <c r="AH86" s="10" t="n">
        <f aca="false">IF(Time!AH20&gt;=Time!$F$15,1,0)</f>
        <v>0</v>
      </c>
      <c r="AI86" s="10" t="n">
        <f aca="false">IF(Time!AI20&gt;=Time!$F$15,1,0)</f>
        <v>0</v>
      </c>
      <c r="AJ86" s="10" t="n">
        <f aca="false">IF(Time!AJ20&gt;=Time!$F$15,1,0)</f>
        <v>0</v>
      </c>
      <c r="AK86" s="10" t="n">
        <f aca="false">IF(Time!AK20&gt;=Time!$F$15,1,0)</f>
        <v>0</v>
      </c>
      <c r="AL86" s="10" t="n">
        <f aca="false">IF(Time!AL20&gt;=Time!$F$15,1,0)</f>
        <v>0</v>
      </c>
      <c r="AM86" s="10" t="n">
        <f aca="false">IF(Time!AM20&gt;=Time!$F$15,1,0)</f>
        <v>0</v>
      </c>
      <c r="AN86" s="10" t="n">
        <f aca="false">IF(Time!AN20&gt;=Time!$F$15,1,0)</f>
        <v>0</v>
      </c>
      <c r="AO86" s="10" t="n">
        <f aca="false">IF(Time!AO20&gt;=Time!$F$15,1,0)</f>
        <v>0</v>
      </c>
      <c r="AP86" s="10" t="n">
        <f aca="false">IF(Time!AP20&gt;=Time!$F$15,1,0)</f>
        <v>0</v>
      </c>
      <c r="AQ86" s="10" t="n">
        <f aca="false">IF(Time!AQ20&gt;=Time!$F$15,1,0)</f>
        <v>0</v>
      </c>
      <c r="AR86" s="10" t="n">
        <f aca="false">IF(Time!AR20&gt;=Time!$F$15,1,0)</f>
        <v>0</v>
      </c>
      <c r="AS86" s="10" t="n">
        <f aca="false">IF(Time!AS20&gt;=Time!$F$15,1,0)</f>
        <v>0</v>
      </c>
      <c r="AT86" s="10" t="n">
        <f aca="false">IF(Time!AT20&gt;=Time!$F$15,1,0)</f>
        <v>0</v>
      </c>
      <c r="AU86" s="10" t="n">
        <f aca="false">IF(Time!AU20&gt;=Time!$F$15,1,0)</f>
        <v>0</v>
      </c>
      <c r="AV86" s="10" t="n">
        <f aca="false">IF(Time!AV20&gt;=Time!$F$15,1,0)</f>
        <v>0</v>
      </c>
      <c r="AW86" s="10" t="n">
        <f aca="false">IF(Time!AW20&gt;=Time!$F$15,1,0)</f>
        <v>0</v>
      </c>
      <c r="AX86" s="10" t="n">
        <f aca="false">IF(Time!AX20&gt;=Time!$F$15,1,0)</f>
        <v>0</v>
      </c>
      <c r="AY86" s="10" t="n">
        <f aca="false">IF(Time!AY20&gt;=Time!$F$15,1,0)</f>
        <v>0</v>
      </c>
      <c r="AZ86" s="10" t="n">
        <f aca="false">IF(Time!AZ20&gt;=Time!$F$15,1,0)</f>
        <v>0</v>
      </c>
      <c r="BA86" s="10" t="n">
        <f aca="false">IF(Time!BA20&gt;=Time!$F$15,1,0)</f>
        <v>0</v>
      </c>
      <c r="BB86" s="10" t="n">
        <f aca="false">IF(Time!BB20&gt;=Time!$F$15,1,0)</f>
        <v>0</v>
      </c>
      <c r="BC86" s="10" t="n">
        <f aca="false">IF(Time!BC20&gt;=Time!$F$15,1,0)</f>
        <v>0</v>
      </c>
      <c r="BD86" s="10" t="n">
        <f aca="false">IF(Time!BD20&gt;=Time!$F$15,1,0)</f>
        <v>0</v>
      </c>
      <c r="BE86" s="10" t="n">
        <f aca="false">IF(Time!BE20&gt;=Time!$F$15,1,0)</f>
        <v>0</v>
      </c>
      <c r="BF86" s="10" t="n">
        <f aca="false">IF(Time!BF20&gt;=Time!$F$15,1,0)</f>
        <v>0</v>
      </c>
      <c r="BG86" s="10" t="n">
        <f aca="false">IF(Time!BG20&gt;=Time!$F$15,1,0)</f>
        <v>0</v>
      </c>
      <c r="BH86" s="10" t="n">
        <f aca="false">IF(Time!BH20&gt;=Time!$F$15,1,0)</f>
        <v>0</v>
      </c>
      <c r="BI86" s="10" t="n">
        <f aca="false">IF(Time!BI20&gt;=Time!$F$15,1,0)</f>
        <v>0</v>
      </c>
      <c r="BJ86" s="10" t="n">
        <f aca="false">IF(Time!BJ20&gt;=Time!$F$15,1,0)</f>
        <v>0</v>
      </c>
      <c r="BK86" s="10" t="n">
        <f aca="false">IF(Time!BK20&gt;=Time!$F$15,1,0)</f>
        <v>0</v>
      </c>
      <c r="BL86" s="10" t="n">
        <f aca="false">IF(Time!BL20&gt;=Time!$F$15,1,0)</f>
        <v>0</v>
      </c>
      <c r="BM86" s="10" t="n">
        <f aca="false">IF(Time!BM20&gt;=Time!$F$15,1,0)</f>
        <v>0</v>
      </c>
      <c r="BN86" s="10" t="n">
        <f aca="false">IF(Time!BN20&gt;=Time!$F$15,1,0)</f>
        <v>1</v>
      </c>
    </row>
    <row r="87" customFormat="false" ht="15" hidden="false" customHeight="false" outlineLevel="0" collapsed="false">
      <c r="D87" s="0" t="s">
        <v>637</v>
      </c>
      <c r="E87" s="0" t="s">
        <v>111</v>
      </c>
      <c r="J87" s="10" t="n">
        <f aca="false">Inputs!$F$44*Time!J38</f>
        <v>0</v>
      </c>
      <c r="K87" s="10" t="n">
        <f aca="false">Inputs!$F$44*Time!K38</f>
        <v>0</v>
      </c>
      <c r="L87" s="10" t="n">
        <f aca="false">Inputs!$F$44*Time!L38</f>
        <v>0</v>
      </c>
      <c r="M87" s="10" t="n">
        <f aca="false">Inputs!$F$44*Time!M38</f>
        <v>0</v>
      </c>
      <c r="N87" s="10" t="n">
        <f aca="false">Inputs!$F$44*Time!N38</f>
        <v>0</v>
      </c>
      <c r="O87" s="10" t="n">
        <f aca="false">Inputs!$F$44*Time!O38</f>
        <v>0</v>
      </c>
      <c r="P87" s="10" t="n">
        <f aca="false">Inputs!$F$44*Time!P38</f>
        <v>0</v>
      </c>
      <c r="Q87" s="10" t="n">
        <f aca="false">Inputs!$F$44*Time!Q38</f>
        <v>0</v>
      </c>
      <c r="R87" s="10" t="n">
        <f aca="false">Inputs!$F$44*Time!R38</f>
        <v>0</v>
      </c>
      <c r="S87" s="10" t="n">
        <f aca="false">Inputs!$F$44*Time!S38</f>
        <v>0</v>
      </c>
      <c r="T87" s="10" t="n">
        <f aca="false">Inputs!$F$44*Time!T38</f>
        <v>0</v>
      </c>
      <c r="U87" s="10" t="n">
        <f aca="false">Inputs!$F$44*Time!U38</f>
        <v>0</v>
      </c>
      <c r="V87" s="10" t="n">
        <f aca="false">Inputs!$F$44*Time!V38</f>
        <v>0</v>
      </c>
      <c r="W87" s="10" t="n">
        <f aca="false">Inputs!$F$44*Time!W38</f>
        <v>0</v>
      </c>
      <c r="X87" s="10" t="n">
        <f aca="false">Inputs!$F$44*Time!X38</f>
        <v>0</v>
      </c>
      <c r="Y87" s="10" t="n">
        <f aca="false">Inputs!$F$44*Time!Y38</f>
        <v>0</v>
      </c>
      <c r="Z87" s="10" t="n">
        <f aca="false">Inputs!$F$44*Time!Z38</f>
        <v>0</v>
      </c>
      <c r="AA87" s="10" t="n">
        <f aca="false">Inputs!$F$44*Time!AA38</f>
        <v>0</v>
      </c>
      <c r="AB87" s="10" t="n">
        <f aca="false">Inputs!$F$44*Time!AB38</f>
        <v>0</v>
      </c>
      <c r="AC87" s="10" t="n">
        <f aca="false">Inputs!$F$44*Time!AC38</f>
        <v>0</v>
      </c>
      <c r="AD87" s="10" t="n">
        <f aca="false">Inputs!$F$44*Time!AD38</f>
        <v>0</v>
      </c>
      <c r="AE87" s="10" t="n">
        <f aca="false">Inputs!$F$44*Time!AE38</f>
        <v>0</v>
      </c>
      <c r="AF87" s="10" t="n">
        <f aca="false">Inputs!$F$44*Time!AF38</f>
        <v>0</v>
      </c>
      <c r="AG87" s="10" t="n">
        <f aca="false">Inputs!$F$44*Time!AG38</f>
        <v>0</v>
      </c>
      <c r="AH87" s="10" t="n">
        <f aca="false">Inputs!$F$44*Time!AH38</f>
        <v>0</v>
      </c>
      <c r="AI87" s="10" t="n">
        <f aca="false">Inputs!$F$44*Time!AI38</f>
        <v>0</v>
      </c>
      <c r="AJ87" s="10" t="n">
        <f aca="false">Inputs!$F$44*Time!AJ38</f>
        <v>0</v>
      </c>
      <c r="AK87" s="10" t="n">
        <f aca="false">Inputs!$F$44*Time!AK38</f>
        <v>0</v>
      </c>
      <c r="AL87" s="10" t="n">
        <f aca="false">Inputs!$F$44*Time!AL38</f>
        <v>0</v>
      </c>
      <c r="AM87" s="10" t="n">
        <f aca="false">Inputs!$F$44*Time!AM38</f>
        <v>0</v>
      </c>
      <c r="AN87" s="10" t="n">
        <f aca="false">Inputs!$F$44*Time!AN38</f>
        <v>0</v>
      </c>
      <c r="AO87" s="10" t="n">
        <f aca="false">Inputs!$F$44*Time!AO38</f>
        <v>0</v>
      </c>
      <c r="AP87" s="10" t="n">
        <f aca="false">Inputs!$F$44*Time!AP38</f>
        <v>0</v>
      </c>
      <c r="AQ87" s="10" t="n">
        <f aca="false">Inputs!$F$44*Time!AQ38</f>
        <v>0</v>
      </c>
      <c r="AR87" s="10" t="n">
        <f aca="false">Inputs!$F$44*Time!AR38</f>
        <v>0</v>
      </c>
      <c r="AS87" s="10" t="n">
        <f aca="false">Inputs!$F$44*Time!AS38</f>
        <v>0</v>
      </c>
      <c r="AT87" s="10" t="n">
        <f aca="false">Inputs!$F$44*Time!AT38</f>
        <v>0</v>
      </c>
      <c r="AU87" s="10" t="n">
        <f aca="false">Inputs!$F$44*Time!AU38</f>
        <v>0</v>
      </c>
      <c r="AV87" s="10" t="n">
        <f aca="false">Inputs!$F$44*Time!AV38</f>
        <v>0</v>
      </c>
      <c r="AW87" s="10" t="n">
        <f aca="false">Inputs!$F$44*Time!AW38</f>
        <v>0</v>
      </c>
      <c r="AX87" s="10" t="n">
        <f aca="false">Inputs!$F$44*Time!AX38</f>
        <v>0</v>
      </c>
      <c r="AY87" s="10" t="n">
        <f aca="false">Inputs!$F$44*Time!AY38</f>
        <v>0</v>
      </c>
      <c r="AZ87" s="10" t="n">
        <f aca="false">Inputs!$F$44*Time!AZ38</f>
        <v>0</v>
      </c>
      <c r="BA87" s="10" t="n">
        <f aca="false">Inputs!$F$44*Time!BA38</f>
        <v>0</v>
      </c>
      <c r="BB87" s="10" t="n">
        <f aca="false">Inputs!$F$44*Time!BB38</f>
        <v>0</v>
      </c>
      <c r="BC87" s="10" t="n">
        <f aca="false">Inputs!$F$44*Time!BC38</f>
        <v>0</v>
      </c>
      <c r="BD87" s="10" t="n">
        <f aca="false">Inputs!$F$44*Time!BD38</f>
        <v>0</v>
      </c>
      <c r="BE87" s="10" t="n">
        <f aca="false">Inputs!$F$44*Time!BE38</f>
        <v>0</v>
      </c>
      <c r="BF87" s="10" t="n">
        <f aca="false">Inputs!$F$44*Time!BF38</f>
        <v>0</v>
      </c>
      <c r="BG87" s="10" t="n">
        <f aca="false">Inputs!$F$44*Time!BG38</f>
        <v>0</v>
      </c>
      <c r="BH87" s="10" t="n">
        <f aca="false">Inputs!$F$44*Time!BH38</f>
        <v>0</v>
      </c>
      <c r="BI87" s="10" t="n">
        <f aca="false">Inputs!$F$44*Time!BI38</f>
        <v>0</v>
      </c>
      <c r="BJ87" s="10" t="n">
        <f aca="false">Inputs!$F$44*Time!BJ38</f>
        <v>0</v>
      </c>
      <c r="BK87" s="10" t="n">
        <f aca="false">Inputs!$F$44*Time!BK38</f>
        <v>0</v>
      </c>
      <c r="BL87" s="10" t="n">
        <f aca="false">Inputs!$F$44*Time!BL38</f>
        <v>0</v>
      </c>
      <c r="BM87" s="10" t="n">
        <f aca="false">Inputs!$F$44*Time!BM38</f>
        <v>0</v>
      </c>
      <c r="BN87" s="10" t="n">
        <f aca="false">Inputs!$F$44*Time!BN38</f>
        <v>0</v>
      </c>
    </row>
    <row r="88" customFormat="false" ht="15" hidden="false" customHeight="false" outlineLevel="0" collapsed="false">
      <c r="D88" s="0" t="s">
        <v>638</v>
      </c>
      <c r="E88" s="0" t="s">
        <v>149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0</v>
      </c>
      <c r="P88" s="13" t="n">
        <f aca="false">(1-P86)*(P56/MAX(Time!P31,1)*Inputs!$F$168+P55/MAX(Time!P31,1)*P87)</f>
        <v>38.2208066658204</v>
      </c>
      <c r="Q88" s="13" t="n">
        <f aca="false">(1-Q86)*(Q56/MAX(Time!Q31,1)*Inputs!$F$168+Q55/MAX(Time!Q31,1)*Q87)</f>
        <v>41.8719443836271</v>
      </c>
      <c r="R88" s="13" t="n">
        <f aca="false">(1-R86)*(R56/MAX(Time!R31,1)*Inputs!$F$168+R55/MAX(Time!R31,1)*R87)</f>
        <v>40.4650600841572</v>
      </c>
      <c r="S88" s="13" t="n">
        <f aca="false">(1-S86)*(S56/MAX(Time!S31,1)*Inputs!$F$168+S55/MAX(Time!S31,1)*S87)</f>
        <v>40.0069841796993</v>
      </c>
      <c r="T88" s="13" t="n">
        <f aca="false">(1-T86)*(T56/MAX(Time!T31,1)*Inputs!$F$168+T55/MAX(Time!T31,1)*T87)</f>
        <v>39.7569963187378</v>
      </c>
      <c r="U88" s="13" t="n">
        <f aca="false">(1-U86)*(U56/MAX(Time!U31,1)*Inputs!$F$168+U55/MAX(Time!U31,1)*U87)</f>
        <v>41.0304088438496</v>
      </c>
      <c r="V88" s="13" t="n">
        <f aca="false">(1-V86)*(V56/MAX(Time!V31,1)*Inputs!$F$168+V55/MAX(Time!V31,1)*V87)</f>
        <v>40.8089350826559</v>
      </c>
      <c r="W88" s="13" t="n">
        <f aca="false">(1-W86)*(W56/MAX(Time!W31,1)*Inputs!$F$168+W55/MAX(Time!W31,1)*W87)</f>
        <v>41.4735034493285</v>
      </c>
      <c r="X88" s="13" t="n">
        <f aca="false">(1-X86)*(X56/MAX(Time!X31,1)*Inputs!$F$168+X55/MAX(Time!X31,1)*X87)</f>
        <v>41.203872379176</v>
      </c>
      <c r="Y88" s="13" t="n">
        <f aca="false">(1-Y86)*(Y56/MAX(Time!Y31,1)*Inputs!$F$168+Y55/MAX(Time!Y31,1)*Y87)</f>
        <v>43.1534041164257</v>
      </c>
      <c r="Z88" s="13" t="n">
        <f aca="false">(1-Z86)*(Z56/MAX(Time!Z31,1)*Inputs!$F$168+Z55/MAX(Time!Z31,1)*Z87)</f>
        <v>42.6133857231334</v>
      </c>
      <c r="AA88" s="13" t="n">
        <f aca="false">(1-AA86)*(AA56/MAX(Time!AA31,1)*Inputs!$F$168+AA55/MAX(Time!AA31,1)*AA87)</f>
        <v>43.6639961514771</v>
      </c>
      <c r="AB88" s="13" t="n">
        <f aca="false">(1-AB86)*(AB56/MAX(Time!AB31,1)*Inputs!$F$168+AB55/MAX(Time!AB31,1)*AB87)</f>
        <v>43.1450037777128</v>
      </c>
      <c r="AC88" s="13" t="n">
        <f aca="false">(1-AC86)*(AC56/MAX(Time!AC31,1)*Inputs!$F$168+AC55/MAX(Time!AC31,1)*AC87)</f>
        <v>44.3649903588609</v>
      </c>
      <c r="AD88" s="13" t="n">
        <f aca="false">(1-AD86)*(AD56/MAX(Time!AD31,1)*Inputs!$F$168+AD55/MAX(Time!AD31,1)*AD87)</f>
        <v>43.7928229364278</v>
      </c>
      <c r="AE88" s="13" t="n">
        <f aca="false">(1-AE86)*(AE56/MAX(Time!AE31,1)*Inputs!$F$168+AE55/MAX(Time!AE31,1)*AE87)</f>
        <v>43.656897005859</v>
      </c>
      <c r="AF88" s="13" t="n">
        <f aca="false">(1-AF86)*(AF56/MAX(Time!AF31,1)*Inputs!$F$168+AF55/MAX(Time!AF31,1)*AF87)</f>
        <v>43.4734377856994</v>
      </c>
      <c r="AG88" s="13" t="n">
        <f aca="false">(1-AG86)*(AG56/MAX(Time!AG31,1)*Inputs!$F$168+AG55/MAX(Time!AG31,1)*AG87)</f>
        <v>45.9812660070519</v>
      </c>
      <c r="AH88" s="13" t="n">
        <f aca="false">(1-AH86)*(AH56/MAX(Time!AH31,1)*Inputs!$F$168+AH55/MAX(Time!AH31,1)*AH87)</f>
        <v>45.3416368146534</v>
      </c>
      <c r="AI88" s="13" t="n">
        <f aca="false">(1-AI86)*(AI56/MAX(Time!AI31,1)*Inputs!$F$168+AI55/MAX(Time!AI31,1)*AI87)</f>
        <v>46.4395373502141</v>
      </c>
      <c r="AJ88" s="13" t="n">
        <f aca="false">(1-AJ86)*(AJ56/MAX(Time!AJ31,1)*Inputs!$F$168+AJ55/MAX(Time!AJ31,1)*AJ87)</f>
        <v>45.8778279465209</v>
      </c>
      <c r="AK88" s="13" t="n">
        <f aca="false">(1-AK86)*(AK56/MAX(Time!AK31,1)*Inputs!$F$168+AK55/MAX(Time!AK31,1)*AK87)</f>
        <v>47.1780171545147</v>
      </c>
      <c r="AL88" s="13" t="n">
        <f aca="false">(1-AL86)*(AL56/MAX(Time!AL31,1)*Inputs!$F$168+AL55/MAX(Time!AL31,1)*AL87)</f>
        <v>46.6530104187117</v>
      </c>
      <c r="AM88" s="13" t="n">
        <f aca="false">(1-AM86)*(AM56/MAX(Time!AM31,1)*Inputs!$F$168+AM55/MAX(Time!AM31,1)*AM87)</f>
        <v>47.2220480908442</v>
      </c>
      <c r="AN88" s="13" t="n">
        <f aca="false">(1-AN86)*(AN56/MAX(Time!AN31,1)*Inputs!$F$168+AN55/MAX(Time!AN31,1)*AN87)</f>
        <v>46.765601271902</v>
      </c>
      <c r="AO88" s="13" t="n">
        <f aca="false">(1-AO86)*(AO56/MAX(Time!AO31,1)*Inputs!$F$168+AO55/MAX(Time!AO31,1)*AO87)</f>
        <v>48.9172936742874</v>
      </c>
      <c r="AP88" s="13" t="n">
        <f aca="false">(1-AP86)*(AP56/MAX(Time!AP31,1)*Inputs!$F$168+AP55/MAX(Time!AP31,1)*AP87)</f>
        <v>48.2388319084221</v>
      </c>
      <c r="AQ88" s="13" t="n">
        <f aca="false">(1-AQ86)*(AQ56/MAX(Time!AQ31,1)*Inputs!$F$168+AQ55/MAX(Time!AQ31,1)*AQ87)</f>
        <v>49.4135695519613</v>
      </c>
      <c r="AR88" s="13" t="n">
        <f aca="false">(1-AR86)*(AR56/MAX(Time!AR31,1)*Inputs!$F$168+AR55/MAX(Time!AR31,1)*AR87)</f>
        <v>48.8192887777328</v>
      </c>
      <c r="AS88" s="13" t="n">
        <f aca="false">(1-AS86)*(AS56/MAX(Time!AS31,1)*Inputs!$F$168+AS55/MAX(Time!AS31,1)*AS87)</f>
        <v>50.2164522227038</v>
      </c>
      <c r="AT88" s="13" t="n">
        <f aca="false">(1-AT86)*(AT56/MAX(Time!AT31,1)*Inputs!$F$168+AT55/MAX(Time!AT31,1)*AT87)</f>
        <v>49.5610004421261</v>
      </c>
      <c r="AU88" s="13" t="n">
        <f aca="false">(1-AU86)*(AU56/MAX(Time!AU31,1)*Inputs!$F$168+AU55/MAX(Time!AU31,1)*AU87)</f>
        <v>49.3994667942663</v>
      </c>
      <c r="AV88" s="13" t="n">
        <f aca="false">(1-AV86)*(AV56/MAX(Time!AV31,1)*Inputs!$F$168+AV55/MAX(Time!AV31,1)*AV87)</f>
        <v>49.1976706630277</v>
      </c>
      <c r="AW88" s="13" t="n">
        <f aca="false">(1-AW86)*(AW56/MAX(Time!AW31,1)*Inputs!$F$168+AW55/MAX(Time!AW31,1)*AW87)</f>
        <v>52.0942335147322</v>
      </c>
      <c r="AX88" s="13" t="n">
        <f aca="false">(1-AX86)*(AX56/MAX(Time!AX31,1)*Inputs!$F$168+AX55/MAX(Time!AX31,1)*AX87)</f>
        <v>51.3737903358989</v>
      </c>
      <c r="AY88" s="13" t="n">
        <f aca="false">(1-AY86)*(AY56/MAX(Time!AY31,1)*Inputs!$F$168+AY55/MAX(Time!AY31,1)*AY87)</f>
        <v>52.6317005802872</v>
      </c>
      <c r="AZ88" s="13" t="n">
        <f aca="false">(1-AZ86)*(AZ56/MAX(Time!AZ31,1)*Inputs!$F$168+AZ55/MAX(Time!AZ31,1)*AZ87)</f>
        <v>52.0021992750438</v>
      </c>
      <c r="BA88" s="13" t="n">
        <f aca="false">(1-BA86)*(BA56/MAX(Time!BA31,1)*Inputs!$F$168+BA55/MAX(Time!BA31,1)*BA87)</f>
        <v>53.5042288640541</v>
      </c>
      <c r="BB88" s="13" t="n">
        <f aca="false">(1-BB86)*(BB56/MAX(Time!BB31,1)*Inputs!$F$168+BB55/MAX(Time!BB31,1)*BB87)</f>
        <v>52.9096503776099</v>
      </c>
      <c r="BC88" s="13" t="n">
        <f aca="false">(1-BC86)*(BC56/MAX(Time!BC31,1)*Inputs!$F$168+BC55/MAX(Time!BC31,1)*BC87)</f>
        <v>53.5504090213856</v>
      </c>
      <c r="BD88" s="13" t="n">
        <f aca="false">(1-BD86)*(BD56/MAX(Time!BD31,1)*Inputs!$F$168+BD55/MAX(Time!BD31,1)*BD87)</f>
        <v>53.0437422355791</v>
      </c>
      <c r="BE88" s="13" t="n">
        <f aca="false">(1-BE86)*(BE56/MAX(Time!BE31,1)*Inputs!$F$168+BE55/MAX(Time!BE31,1)*BE87)</f>
        <v>55.5319568335807</v>
      </c>
      <c r="BF88" s="13" t="n">
        <f aca="false">(1-BF86)*(BF56/MAX(Time!BF31,1)*Inputs!$F$168+BF55/MAX(Time!BF31,1)*BF87)</f>
        <v>54.7661291345552</v>
      </c>
      <c r="BG88" s="13" t="n">
        <f aca="false">(1-BG86)*(BG56/MAX(Time!BG31,1)*Inputs!$F$168+BG55/MAX(Time!BG31,1)*BG87)</f>
        <v>56.1140715395244</v>
      </c>
      <c r="BH88" s="13" t="n">
        <f aca="false">(1-BH86)*(BH56/MAX(Time!BH31,1)*Inputs!$F$168+BH55/MAX(Time!BH31,1)*BH87)</f>
        <v>55.4464858267814</v>
      </c>
      <c r="BI88" s="13" t="n">
        <f aca="false">(1-BI86)*(BI56/MAX(Time!BI31,1)*Inputs!$F$168+BI55/MAX(Time!BI31,1)*BI87)</f>
        <v>57.0619157586456</v>
      </c>
      <c r="BJ88" s="13" t="n">
        <f aca="false">(1-BJ86)*(BJ56/MAX(Time!BJ31,1)*Inputs!$F$168+BJ55/MAX(Time!BJ31,1)*BJ87)</f>
        <v>56.315138071731</v>
      </c>
      <c r="BK88" s="13" t="n">
        <f aca="false">(1-BK86)*(BK56/MAX(Time!BK31,1)*Inputs!$F$168+BK55/MAX(Time!BK31,1)*BK87)</f>
        <v>56.1239590022439</v>
      </c>
      <c r="BL88" s="13" t="n">
        <f aca="false">(1-BL86)*(BL56/MAX(Time!BL31,1)*Inputs!$F$168+BL55/MAX(Time!BL31,1)*BL87)</f>
        <v>55.9009956207576</v>
      </c>
      <c r="BM88" s="13" t="n">
        <f aca="false">(1-BM86)*(BM56/MAX(Time!BM31,1)*Inputs!$F$168+BM55/MAX(Time!BM31,1)*BM87)</f>
        <v>59.2519813820824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639</v>
      </c>
      <c r="E89" s="0" t="s">
        <v>149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18.4</v>
      </c>
      <c r="R89" s="13" t="n">
        <f aca="false">Inputs!$F$45*Inputs!R295</f>
        <v>68.9</v>
      </c>
      <c r="S89" s="13" t="n">
        <f aca="false">Inputs!$F$45*Inputs!S295</f>
        <v>112.6</v>
      </c>
      <c r="T89" s="13" t="n">
        <f aca="false">Inputs!$F$45*Inputs!T295</f>
        <v>71.8</v>
      </c>
      <c r="U89" s="13" t="n">
        <f aca="false">Inputs!$F$45*Inputs!U295</f>
        <v>34.6</v>
      </c>
      <c r="V89" s="13" t="n">
        <f aca="false">Inputs!$F$45*Inputs!V295</f>
        <v>12.3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640</v>
      </c>
      <c r="E90" s="0" t="s">
        <v>149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0</v>
      </c>
      <c r="P90" s="13" t="n">
        <f aca="false">(1-P86)*(P73+P54)/MAX(Time!P31,1)*Inputs!$F$169</f>
        <v>18.5433842576107</v>
      </c>
      <c r="Q90" s="13" t="n">
        <f aca="false">(1-Q86)*(Q73+Q54)/MAX(Time!Q31,1)*Inputs!$F$169</f>
        <v>21.3404366573573</v>
      </c>
      <c r="R90" s="13" t="n">
        <f aca="false">(1-R86)*(R73+R54)/MAX(Time!R31,1)*Inputs!$F$169</f>
        <v>20.3320752161148</v>
      </c>
      <c r="S90" s="13" t="n">
        <f aca="false">(1-S86)*(S73+S54)/MAX(Time!S31,1)*Inputs!$F$169</f>
        <v>19.627585307181</v>
      </c>
      <c r="T90" s="13" t="n">
        <f aca="false">(1-T86)*(T73+T54)/MAX(Time!T31,1)*Inputs!$F$169</f>
        <v>19.3357879735665</v>
      </c>
      <c r="U90" s="13" t="n">
        <f aca="false">(1-U86)*(U73+U54)/MAX(Time!U31,1)*Inputs!$F$169</f>
        <v>20.096856330134</v>
      </c>
      <c r="V90" s="13" t="n">
        <f aca="false">(1-V86)*(V73+V54)/MAX(Time!V31,1)*Inputs!$F$169</f>
        <v>19.7623275532841</v>
      </c>
      <c r="W90" s="13" t="n">
        <f aca="false">(1-W86)*(W73+W54)/MAX(Time!W31,1)*Inputs!$F$169</f>
        <v>19.9026835214754</v>
      </c>
      <c r="X90" s="13" t="n">
        <f aca="false">(1-X86)*(X73+X54)/MAX(Time!X31,1)*Inputs!$F$169</f>
        <v>19.690349589926</v>
      </c>
      <c r="Y90" s="13" t="n">
        <f aca="false">(1-Y86)*(Y73+Y54)/MAX(Time!Y31,1)*Inputs!$F$169</f>
        <v>21.0111589145241</v>
      </c>
      <c r="Z90" s="13" t="n">
        <f aca="false">(1-Z86)*(Z73+Z54)/MAX(Time!Z31,1)*Inputs!$F$169</f>
        <v>20.632263627445</v>
      </c>
      <c r="AA90" s="13" t="n">
        <f aca="false">(1-AA86)*(AA73+AA54)/MAX(Time!AA31,1)*Inputs!$F$169</f>
        <v>21.2190044438191</v>
      </c>
      <c r="AB90" s="13" t="n">
        <f aca="false">(1-AB86)*(AB73+AB54)/MAX(Time!AB31,1)*Inputs!$F$169</f>
        <v>20.9033931926938</v>
      </c>
      <c r="AC90" s="13" t="n">
        <f aca="false">(1-AC86)*(AC73+AC54)/MAX(Time!AC31,1)*Inputs!$F$169</f>
        <v>21.7260025028441</v>
      </c>
      <c r="AD90" s="13" t="n">
        <f aca="false">(1-AD86)*(AD73+AD54)/MAX(Time!AD31,1)*Inputs!$F$169</f>
        <v>21.2916594274373</v>
      </c>
      <c r="AE90" s="13" t="n">
        <f aca="false">(1-AE86)*(AE73+AE54)/MAX(Time!AE31,1)*Inputs!$F$169</f>
        <v>21.0645564146955</v>
      </c>
      <c r="AF90" s="13" t="n">
        <f aca="false">(1-AF86)*(AF73+AF54)/MAX(Time!AF31,1)*Inputs!$F$169</f>
        <v>20.9162487682367</v>
      </c>
      <c r="AG90" s="13" t="n">
        <f aca="false">(1-AG86)*(AG73+AG54)/MAX(Time!AG31,1)*Inputs!$F$169</f>
        <v>22.7137489467109</v>
      </c>
      <c r="AH90" s="13" t="n">
        <f aca="false">(1-AH86)*(AH73+AH54)/MAX(Time!AH31,1)*Inputs!$F$169</f>
        <v>22.3039851534732</v>
      </c>
      <c r="AI90" s="13" t="n">
        <f aca="false">(1-AI86)*(AI73+AI54)/MAX(Time!AI31,1)*Inputs!$F$169</f>
        <v>22.9380960222226</v>
      </c>
      <c r="AJ90" s="13" t="n">
        <f aca="false">(1-AJ86)*(AJ73+AJ54)/MAX(Time!AJ31,1)*Inputs!$F$169</f>
        <v>22.5967470699418</v>
      </c>
      <c r="AK90" s="13" t="n">
        <f aca="false">(1-AK86)*(AK73+AK54)/MAX(Time!AK31,1)*Inputs!$F$169</f>
        <v>23.4858201351983</v>
      </c>
      <c r="AL90" s="13" t="n">
        <f aca="false">(1-AL86)*(AL73+AL54)/MAX(Time!AL31,1)*Inputs!$F$169</f>
        <v>23.0945362777545</v>
      </c>
      <c r="AM90" s="13" t="n">
        <f aca="false">(1-AM86)*(AM73+AM54)/MAX(Time!AM31,1)*Inputs!$F$169</f>
        <v>23.2582126769335</v>
      </c>
      <c r="AN90" s="13" t="n">
        <f aca="false">(1-AN86)*(AN73+AN54)/MAX(Time!AN31,1)*Inputs!$F$169</f>
        <v>23.009737869396</v>
      </c>
      <c r="AO90" s="13" t="n">
        <f aca="false">(1-AO86)*(AO73+AO54)/MAX(Time!AO31,1)*Inputs!$F$169</f>
        <v>24.5528433341208</v>
      </c>
      <c r="AP90" s="13" t="n">
        <f aca="false">(1-AP86)*(AP73+AP54)/MAX(Time!AP31,1)*Inputs!$F$169</f>
        <v>24.1097219199398</v>
      </c>
      <c r="AQ90" s="13" t="n">
        <f aca="false">(1-AQ86)*(AQ73+AQ54)/MAX(Time!AQ31,1)*Inputs!$F$169</f>
        <v>24.794985647386</v>
      </c>
      <c r="AR90" s="13" t="n">
        <f aca="false">(1-AR86)*(AR73+AR54)/MAX(Time!AR31,1)*Inputs!$F$169</f>
        <v>24.4258214715533</v>
      </c>
      <c r="AS90" s="13" t="n">
        <f aca="false">(1-AS86)*(AS73+AS54)/MAX(Time!AS31,1)*Inputs!$F$169</f>
        <v>25.3866702597291</v>
      </c>
      <c r="AT90" s="13" t="n">
        <f aca="false">(1-AT86)*(AT73+AT54)/MAX(Time!AT31,1)*Inputs!$F$169</f>
        <v>24.8787727124802</v>
      </c>
      <c r="AU90" s="13" t="n">
        <f aca="false">(1-AU86)*(AU73+AU54)/MAX(Time!AU31,1)*Inputs!$F$169</f>
        <v>24.6130413503984</v>
      </c>
      <c r="AV90" s="13" t="n">
        <f aca="false">(1-AV86)*(AV73+AV54)/MAX(Time!AV31,1)*Inputs!$F$169</f>
        <v>24.4393853978446</v>
      </c>
      <c r="AW90" s="13" t="n">
        <f aca="false">(1-AW86)*(AW73+AW54)/MAX(Time!AW31,1)*Inputs!$F$169</f>
        <v>26.5392605270446</v>
      </c>
      <c r="AX90" s="13" t="n">
        <f aca="false">(1-AX86)*(AX73+AX54)/MAX(Time!AX31,1)*Inputs!$F$169</f>
        <v>26.0600938567513</v>
      </c>
      <c r="AY90" s="13" t="n">
        <f aca="false">(1-AY86)*(AY73+AY54)/MAX(Time!AY31,1)*Inputs!$F$169</f>
        <v>26.8005917287631</v>
      </c>
      <c r="AZ90" s="13" t="n">
        <f aca="false">(1-AZ86)*(AZ73+AZ54)/MAX(Time!AZ31,1)*Inputs!$F$169</f>
        <v>26.4013689269337</v>
      </c>
      <c r="BA90" s="13" t="n">
        <f aca="false">(1-BA86)*(BA73+BA54)/MAX(Time!BA31,1)*Inputs!$F$169</f>
        <v>27.4397249304056</v>
      </c>
      <c r="BB90" s="13" t="n">
        <f aca="false">(1-BB86)*(BB73+BB54)/MAX(Time!BB31,1)*Inputs!$F$169</f>
        <v>26.9821633638113</v>
      </c>
      <c r="BC90" s="13" t="n">
        <f aca="false">(1-BC86)*(BC73+BC54)/MAX(Time!BC31,1)*Inputs!$F$169</f>
        <v>27.1729852615363</v>
      </c>
      <c r="BD90" s="13" t="n">
        <f aca="false">(1-BD86)*(BD73+BD54)/MAX(Time!BD31,1)*Inputs!$F$169</f>
        <v>26.8822848202277</v>
      </c>
      <c r="BE90" s="13" t="n">
        <f aca="false">(1-BE86)*(BE73+BE54)/MAX(Time!BE31,1)*Inputs!$F$169</f>
        <v>28.6846653485898</v>
      </c>
      <c r="BF90" s="13" t="n">
        <f aca="false">(1-BF86)*(BF73+BF54)/MAX(Time!BF31,1)*Inputs!$F$169</f>
        <v>28.1665516238751</v>
      </c>
      <c r="BG90" s="13" t="n">
        <f aca="false">(1-BG86)*(BG73+BG54)/MAX(Time!BG31,1)*Inputs!$F$169</f>
        <v>28.9666866390723</v>
      </c>
      <c r="BH90" s="13" t="n">
        <f aca="false">(1-BH86)*(BH73+BH54)/MAX(Time!BH31,1)*Inputs!$F$169</f>
        <v>28.5349828413762</v>
      </c>
      <c r="BI90" s="13" t="n">
        <f aca="false">(1-BI86)*(BI73+BI54)/MAX(Time!BI31,1)*Inputs!$F$169</f>
        <v>29.6570297670429</v>
      </c>
      <c r="BJ90" s="13" t="n">
        <f aca="false">(1-BJ86)*(BJ73+BJ54)/MAX(Time!BJ31,1)*Inputs!$F$169</f>
        <v>29.0632604357493</v>
      </c>
      <c r="BK90" s="13" t="n">
        <f aca="false">(1-BK86)*(BK73+BK54)/MAX(Time!BK31,1)*Inputs!$F$169</f>
        <v>28.7524018136516</v>
      </c>
      <c r="BL90" s="13" t="n">
        <f aca="false">(1-BL86)*(BL73+BL54)/MAX(Time!BL31,1)*Inputs!$F$169</f>
        <v>28.5491111072881</v>
      </c>
      <c r="BM90" s="13" t="n">
        <f aca="false">(1-BM86)*(BM73+BM54)/MAX(Time!BM31,1)*Inputs!$F$169</f>
        <v>31.0016342240072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641</v>
      </c>
      <c r="E91" s="0" t="s">
        <v>149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0</v>
      </c>
      <c r="P91" s="13" t="n">
        <f aca="false">(1-P86)*(P52+P53)/MAX(Time!P31,1)*Inputs!$F$170</f>
        <v>2.27184649743665</v>
      </c>
      <c r="Q91" s="13" t="n">
        <f aca="false">(1-Q86)*(Q52+Q53)/MAX(Time!Q31,1)*Inputs!$F$170</f>
        <v>2.35734656266931</v>
      </c>
      <c r="R91" s="13" t="n">
        <f aca="false">(1-R86)*(R52+R53)/MAX(Time!R31,1)*Inputs!$F$170</f>
        <v>2.33597459846318</v>
      </c>
      <c r="S91" s="13" t="n">
        <f aca="false">(1-S86)*(S52+S53)/MAX(Time!S31,1)*Inputs!$F$170</f>
        <v>2.34757951172334</v>
      </c>
      <c r="T91" s="13" t="n">
        <f aca="false">(1-T86)*(T52+T53)/MAX(Time!T31,1)*Inputs!$F$170</f>
        <v>2.34142525799545</v>
      </c>
      <c r="U91" s="13" t="n">
        <f aca="false">(1-U86)*(U52+U53)/MAX(Time!U31,1)*Inputs!$F$170</f>
        <v>2.38440334824175</v>
      </c>
      <c r="V91" s="13" t="n">
        <f aca="false">(1-V86)*(V52+V53)/MAX(Time!V31,1)*Inputs!$F$170</f>
        <v>2.37738243782952</v>
      </c>
      <c r="W91" s="13" t="n">
        <f aca="false">(1-W86)*(W52+W53)/MAX(Time!W31,1)*Inputs!$F$170</f>
        <v>2.40771989072683</v>
      </c>
      <c r="X91" s="13" t="n">
        <f aca="false">(1-X86)*(X52+X53)/MAX(Time!X31,1)*Inputs!$F$170</f>
        <v>2.40328538499624</v>
      </c>
      <c r="Y91" s="13" t="n">
        <f aca="false">(1-Y86)*(Y52+Y53)/MAX(Time!Y31,1)*Inputs!$F$170</f>
        <v>2.45859982118354</v>
      </c>
      <c r="Z91" s="13" t="n">
        <f aca="false">(1-Z86)*(Z52+Z53)/MAX(Time!Z31,1)*Inputs!$F$170</f>
        <v>2.45072554046998</v>
      </c>
      <c r="AA91" s="13" t="n">
        <f aca="false">(1-AA86)*(AA52+AA53)/MAX(Time!AA31,1)*Inputs!$F$170</f>
        <v>2.49108677766796</v>
      </c>
      <c r="AB91" s="13" t="n">
        <f aca="false">(1-AB86)*(AB52+AB53)/MAX(Time!AB31,1)*Inputs!$F$170</f>
        <v>2.48455983140521</v>
      </c>
      <c r="AC91" s="13" t="n">
        <f aca="false">(1-AC86)*(AC52+AC53)/MAX(Time!AC31,1)*Inputs!$F$170</f>
        <v>2.53015327126623</v>
      </c>
      <c r="AD91" s="13" t="n">
        <f aca="false">(1-AD86)*(AD52+AD53)/MAX(Time!AD31,1)*Inputs!$F$170</f>
        <v>2.52121494233197</v>
      </c>
      <c r="AE91" s="13" t="n">
        <f aca="false">(1-AE86)*(AE52+AE53)/MAX(Time!AE31,1)*Inputs!$F$170</f>
        <v>2.54566228467152</v>
      </c>
      <c r="AF91" s="13" t="n">
        <f aca="false">(1-AF86)*(AF52+AF53)/MAX(Time!AF31,1)*Inputs!$F$170</f>
        <v>2.54262522836152</v>
      </c>
      <c r="AG91" s="13" t="n">
        <f aca="false">(1-AG86)*(AG52+AG53)/MAX(Time!AG31,1)*Inputs!$F$170</f>
        <v>2.60886902580531</v>
      </c>
      <c r="AH91" s="13" t="n">
        <f aca="false">(1-AH86)*(AH52+AH53)/MAX(Time!AH31,1)*Inputs!$F$170</f>
        <v>2.60051898201265</v>
      </c>
      <c r="AI91" s="13" t="n">
        <f aca="false">(1-AI86)*(AI52+AI53)/MAX(Time!AI31,1)*Inputs!$F$170</f>
        <v>2.64333962693093</v>
      </c>
      <c r="AJ91" s="13" t="n">
        <f aca="false">(1-AJ86)*(AJ52+AJ53)/MAX(Time!AJ31,1)*Inputs!$F$170</f>
        <v>2.63641781784843</v>
      </c>
      <c r="AK91" s="13" t="n">
        <f aca="false">(1-AK86)*(AK52+AK53)/MAX(Time!AK31,1)*Inputs!$F$170</f>
        <v>2.68478483680874</v>
      </c>
      <c r="AL91" s="13" t="n">
        <f aca="false">(1-AL86)*(AL52+AL53)/MAX(Time!AL31,1)*Inputs!$F$170</f>
        <v>2.67688935124146</v>
      </c>
      <c r="AM91" s="13" t="n">
        <f aca="false">(1-AM86)*(AM52+AM53)/MAX(Time!AM31,1)*Inputs!$F$170</f>
        <v>2.71105469847467</v>
      </c>
      <c r="AN91" s="13" t="n">
        <f aca="false">(1-AN86)*(AN52+AN53)/MAX(Time!AN31,1)*Inputs!$F$170</f>
        <v>2.70606544985241</v>
      </c>
      <c r="AO91" s="13" t="n">
        <f aca="false">(1-AO86)*(AO52+AO53)/MAX(Time!AO31,1)*Inputs!$F$170</f>
        <v>2.76829414188258</v>
      </c>
      <c r="AP91" s="13" t="n">
        <f aca="false">(1-AP86)*(AP52+AP53)/MAX(Time!AP31,1)*Inputs!$F$170</f>
        <v>2.75944010367333</v>
      </c>
      <c r="AQ91" s="13" t="n">
        <f aca="false">(1-AQ86)*(AQ52+AQ53)/MAX(Time!AQ31,1)*Inputs!$F$170</f>
        <v>2.80486935618309</v>
      </c>
      <c r="AR91" s="13" t="n">
        <f aca="false">(1-AR86)*(AR52+AR53)/MAX(Time!AR31,1)*Inputs!$F$170</f>
        <v>2.7975292207349</v>
      </c>
      <c r="AS91" s="13" t="n">
        <f aca="false">(1-AS86)*(AS52+AS53)/MAX(Time!AS31,1)*Inputs!$F$170</f>
        <v>2.8488375633362</v>
      </c>
      <c r="AT91" s="13" t="n">
        <f aca="false">(1-AT86)*(AT52+AT53)/MAX(Time!AT31,1)*Inputs!$F$170</f>
        <v>2.83878847855679</v>
      </c>
      <c r="AU91" s="13" t="n">
        <f aca="false">(1-AU86)*(AU52+AU53)/MAX(Time!AU31,1)*Inputs!$F$170</f>
        <v>2.86634181368979</v>
      </c>
      <c r="AV91" s="13" t="n">
        <f aca="false">(1-AV86)*(AV52+AV53)/MAX(Time!AV31,1)*Inputs!$F$170</f>
        <v>2.86292275984964</v>
      </c>
      <c r="AW91" s="13" t="n">
        <f aca="false">(1-AW86)*(AW52+AW53)/MAX(Time!AW31,1)*Inputs!$F$170</f>
        <v>2.93743127046438</v>
      </c>
      <c r="AX91" s="13" t="n">
        <f aca="false">(1-AX86)*(AX52+AX53)/MAX(Time!AX31,1)*Inputs!$F$170</f>
        <v>2.92804336435315</v>
      </c>
      <c r="AY91" s="13" t="n">
        <f aca="false">(1-AY86)*(AY52+AY53)/MAX(Time!AY31,1)*Inputs!$F$170</f>
        <v>2.97623943404671</v>
      </c>
      <c r="AZ91" s="13" t="n">
        <f aca="false">(1-AZ86)*(AZ52+AZ53)/MAX(Time!AZ31,1)*Inputs!$F$170</f>
        <v>2.9684561416785</v>
      </c>
      <c r="BA91" s="13" t="n">
        <f aca="false">(1-BA86)*(BA52+BA53)/MAX(Time!BA31,1)*Inputs!$F$170</f>
        <v>3.02288363603229</v>
      </c>
      <c r="BB91" s="13" t="n">
        <f aca="false">(1-BB86)*(BB52+BB53)/MAX(Time!BB31,1)*Inputs!$F$170</f>
        <v>3.01400669336692</v>
      </c>
      <c r="BC91" s="13" t="n">
        <f aca="false">(1-BC86)*(BC52+BC53)/MAX(Time!BC31,1)*Inputs!$F$170</f>
        <v>3.05248264308333</v>
      </c>
      <c r="BD91" s="13" t="n">
        <f aca="false">(1-BD86)*(BD52+BD53)/MAX(Time!BD31,1)*Inputs!$F$170</f>
        <v>3.04687054260273</v>
      </c>
      <c r="BE91" s="13" t="n">
        <f aca="false">(1-BE86)*(BE52+BE53)/MAX(Time!BE31,1)*Inputs!$F$170</f>
        <v>3.11687017798908</v>
      </c>
      <c r="BF91" s="13" t="n">
        <f aca="false">(1-BF86)*(BF52+BF53)/MAX(Time!BF31,1)*Inputs!$F$170</f>
        <v>3.10691679502109</v>
      </c>
      <c r="BG91" s="13" t="n">
        <f aca="false">(1-BG86)*(BG52+BG53)/MAX(Time!BG31,1)*Inputs!$F$170</f>
        <v>3.15804744266705</v>
      </c>
      <c r="BH91" s="13" t="n">
        <f aca="false">(1-BH86)*(BH52+BH53)/MAX(Time!BH31,1)*Inputs!$F$170</f>
        <v>3.14979471797919</v>
      </c>
      <c r="BI91" s="13" t="n">
        <f aca="false">(1-BI86)*(BI52+BI53)/MAX(Time!BI31,1)*Inputs!$F$170</f>
        <v>3.20752987801185</v>
      </c>
      <c r="BJ91" s="13" t="n">
        <f aca="false">(1-BJ86)*(BJ52+BJ53)/MAX(Time!BJ31,1)*Inputs!$F$170</f>
        <v>3.1962346469196</v>
      </c>
      <c r="BK91" s="13" t="n">
        <f aca="false">(1-BK86)*(BK52+BK53)/MAX(Time!BK31,1)*Inputs!$F$170</f>
        <v>3.22729054967274</v>
      </c>
      <c r="BL91" s="13" t="n">
        <f aca="false">(1-BL86)*(BL52+BL53)/MAX(Time!BL31,1)*Inputs!$F$170</f>
        <v>3.22344232203872</v>
      </c>
      <c r="BM91" s="13" t="n">
        <f aca="false">(1-BM86)*(BM52+BM53)/MAX(Time!BM31,1)*Inputs!$F$170</f>
        <v>3.30723632739425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642</v>
      </c>
      <c r="E92" s="0" t="s">
        <v>149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0</v>
      </c>
      <c r="P92" s="13" t="n">
        <f aca="false">(1-P86)*(P60+P61+P62+P64)/MAX(Time!P31,1)*Inputs!$F$171</f>
        <v>1.67401642745813</v>
      </c>
      <c r="Q92" s="13" t="n">
        <f aca="false">(1-Q86)*(Q60+Q61+Q62+Q64)/MAX(Time!Q31,1)*Inputs!$F$171</f>
        <v>1.83978001778729</v>
      </c>
      <c r="R92" s="13" t="n">
        <f aca="false">(1-R86)*(R60+R61+R62+R64)/MAX(Time!R31,1)*Inputs!$F$171</f>
        <v>1.81455860938973</v>
      </c>
      <c r="S92" s="13" t="n">
        <f aca="false">(1-S86)*(S60+S61+S62+S64)/MAX(Time!S31,1)*Inputs!$F$171</f>
        <v>1.80429680761033</v>
      </c>
      <c r="T92" s="13" t="n">
        <f aca="false">(1-T86)*(T60+T61+T62+T64)/MAX(Time!T31,1)*Inputs!$F$171</f>
        <v>1.84480205597376</v>
      </c>
      <c r="U92" s="13" t="n">
        <f aca="false">(1-U86)*(U60+U61+U62+U64)/MAX(Time!U31,1)*Inputs!$F$171</f>
        <v>1.92672767997354</v>
      </c>
      <c r="V92" s="13" t="n">
        <f aca="false">(1-V86)*(V60+V61+V62+V64)/MAX(Time!V31,1)*Inputs!$F$171</f>
        <v>1.95369330431274</v>
      </c>
      <c r="W92" s="13" t="n">
        <f aca="false">(1-W86)*(W60+W61+W62+W64)/MAX(Time!W31,1)*Inputs!$F$171</f>
        <v>1.98066665351105</v>
      </c>
      <c r="X92" s="13" t="n">
        <f aca="false">(1-X86)*(X60+X61+X62+X64)/MAX(Time!X31,1)*Inputs!$F$171</f>
        <v>2.00459946321629</v>
      </c>
      <c r="Y92" s="13" t="n">
        <f aca="false">(1-Y86)*(Y60+Y61+Y62+Y64)/MAX(Time!Y31,1)*Inputs!$F$171</f>
        <v>2.13460644813597</v>
      </c>
      <c r="Z92" s="13" t="n">
        <f aca="false">(1-Z86)*(Z60+Z61+Z62+Z64)/MAX(Time!Z31,1)*Inputs!$F$171</f>
        <v>2.13051204407814</v>
      </c>
      <c r="AA92" s="13" t="n">
        <f aca="false">(1-AA86)*(AA60+AA61+AA62+AA64)/MAX(Time!AA31,1)*Inputs!$F$171</f>
        <v>2.17668702258543</v>
      </c>
      <c r="AB92" s="13" t="n">
        <f aca="false">(1-AB86)*(AB60+AB61+AB62+AB64)/MAX(Time!AB31,1)*Inputs!$F$171</f>
        <v>2.16899139673729</v>
      </c>
      <c r="AC92" s="13" t="n">
        <f aca="false">(1-AC86)*(AC60+AC61+AC62+AC64)/MAX(Time!AC31,1)*Inputs!$F$171</f>
        <v>2.23573229065777</v>
      </c>
      <c r="AD92" s="13" t="n">
        <f aca="false">(1-AD86)*(AD60+AD61+AD62+AD64)/MAX(Time!AD31,1)*Inputs!$F$171</f>
        <v>2.21752939779508</v>
      </c>
      <c r="AE92" s="13" t="n">
        <f aca="false">(1-AE86)*(AE60+AE61+AE62+AE64)/MAX(Time!AE31,1)*Inputs!$F$171</f>
        <v>2.18837712875054</v>
      </c>
      <c r="AF92" s="13" t="n">
        <f aca="false">(1-AF86)*(AF60+AF61+AF62+AF64)/MAX(Time!AF31,1)*Inputs!$F$171</f>
        <v>2.19001390006312</v>
      </c>
      <c r="AG92" s="13" t="n">
        <f aca="false">(1-AG86)*(AG60+AG61+AG62+AG64)/MAX(Time!AG31,1)*Inputs!$F$171</f>
        <v>2.35268552193691</v>
      </c>
      <c r="AH92" s="13" t="n">
        <f aca="false">(1-AH86)*(AH60+AH61+AH62+AH64)/MAX(Time!AH31,1)*Inputs!$F$171</f>
        <v>2.33724624148813</v>
      </c>
      <c r="AI92" s="13" t="n">
        <f aca="false">(1-AI86)*(AI60+AI61+AI62+AI64)/MAX(Time!AI31,1)*Inputs!$F$171</f>
        <v>2.3849353212976</v>
      </c>
      <c r="AJ92" s="13" t="n">
        <f aca="false">(1-AJ86)*(AJ60+AJ61+AJ62+AJ64)/MAX(Time!AJ31,1)*Inputs!$F$171</f>
        <v>2.37650195164384</v>
      </c>
      <c r="AK92" s="13" t="n">
        <f aca="false">(1-AK86)*(AK60+AK61+AK62+AK64)/MAX(Time!AK31,1)*Inputs!$F$171</f>
        <v>2.44862530995752</v>
      </c>
      <c r="AL92" s="13" t="n">
        <f aca="false">(1-AL86)*(AL60+AL61+AL62+AL64)/MAX(Time!AL31,1)*Inputs!$F$171</f>
        <v>2.43651839039962</v>
      </c>
      <c r="AM92" s="13" t="n">
        <f aca="false">(1-AM86)*(AM60+AM61+AM62+AM64)/MAX(Time!AM31,1)*Inputs!$F$171</f>
        <v>2.43743495329153</v>
      </c>
      <c r="AN92" s="13" t="n">
        <f aca="false">(1-AN86)*(AN60+AN61+AN62+AN64)/MAX(Time!AN31,1)*Inputs!$F$171</f>
        <v>2.43860038179055</v>
      </c>
      <c r="AO92" s="13" t="n">
        <f aca="false">(1-AO86)*(AO60+AO61+AO62+AO64)/MAX(Time!AO31,1)*Inputs!$F$171</f>
        <v>2.57671517267859</v>
      </c>
      <c r="AP92" s="13" t="n">
        <f aca="false">(1-AP86)*(AP60+AP61+AP62+AP64)/MAX(Time!AP31,1)*Inputs!$F$171</f>
        <v>2.55980571843293</v>
      </c>
      <c r="AQ92" s="13" t="n">
        <f aca="false">(1-AQ86)*(AQ60+AQ61+AQ62+AQ64)/MAX(Time!AQ31,1)*Inputs!$F$171</f>
        <v>2.61203589300167</v>
      </c>
      <c r="AR92" s="13" t="n">
        <f aca="false">(1-AR86)*(AR60+AR61+AR62+AR64)/MAX(Time!AR31,1)*Inputs!$F$171</f>
        <v>2.60279947302925</v>
      </c>
      <c r="AS92" s="13" t="n">
        <f aca="false">(1-AS86)*(AS60+AS61+AS62+AS64)/MAX(Time!AS31,1)*Inputs!$F$171</f>
        <v>2.68179063012975</v>
      </c>
      <c r="AT92" s="13" t="n">
        <f aca="false">(1-AT86)*(AT60+AT61+AT62+AT64)/MAX(Time!AT31,1)*Inputs!$F$171</f>
        <v>2.65995601794276</v>
      </c>
      <c r="AU92" s="13" t="n">
        <f aca="false">(1-AU86)*(AU60+AU61+AU62+AU64)/MAX(Time!AU31,1)*Inputs!$F$171</f>
        <v>2.62498748333898</v>
      </c>
      <c r="AV92" s="13" t="n">
        <f aca="false">(1-AV86)*(AV60+AV61+AV62+AV64)/MAX(Time!AV31,1)*Inputs!$F$171</f>
        <v>2.62695081230644</v>
      </c>
      <c r="AW92" s="13" t="n">
        <f aca="false">(1-AW86)*(AW60+AW61+AW62+AW64)/MAX(Time!AW31,1)*Inputs!$F$171</f>
        <v>2.82207758716767</v>
      </c>
      <c r="AX92" s="13" t="n">
        <f aca="false">(1-AX86)*(AX60+AX61+AX62+AX64)/MAX(Time!AX31,1)*Inputs!$F$171</f>
        <v>2.80355796484235</v>
      </c>
      <c r="AY92" s="13" t="n">
        <f aca="false">(1-AY86)*(AY60+AY61+AY62+AY64)/MAX(Time!AY31,1)*Inputs!$F$171</f>
        <v>2.86076165059979</v>
      </c>
      <c r="AZ92" s="13" t="n">
        <f aca="false">(1-AZ86)*(AZ60+AZ61+AZ62+AZ64)/MAX(Time!AZ31,1)*Inputs!$F$171</f>
        <v>2.8506457114901</v>
      </c>
      <c r="BA92" s="13" t="n">
        <f aca="false">(1-BA86)*(BA60+BA61+BA62+BA64)/MAX(Time!BA31,1)*Inputs!$F$171</f>
        <v>2.93715863942307</v>
      </c>
      <c r="BB92" s="13" t="n">
        <f aca="false">(1-BB86)*(BB60+BB61+BB62+BB64)/MAX(Time!BB31,1)*Inputs!$F$171</f>
        <v>2.92263622832503</v>
      </c>
      <c r="BC92" s="13" t="n">
        <f aca="false">(1-BC86)*(BC60+BC61+BC62+BC64)/MAX(Time!BC31,1)*Inputs!$F$171</f>
        <v>2.92373565770919</v>
      </c>
      <c r="BD92" s="13" t="n">
        <f aca="false">(1-BD86)*(BD60+BD61+BD62+BD64)/MAX(Time!BD31,1)*Inputs!$F$171</f>
        <v>2.92513360470034</v>
      </c>
      <c r="BE92" s="13" t="n">
        <f aca="false">(1-BE86)*(BE60+BE61+BE62+BE64)/MAX(Time!BE31,1)*Inputs!$F$171</f>
        <v>3.09080413405379</v>
      </c>
      <c r="BF92" s="13" t="n">
        <f aca="false">(1-BF86)*(BF60+BF61+BF62+BF64)/MAX(Time!BF31,1)*Inputs!$F$171</f>
        <v>3.07052101869776</v>
      </c>
      <c r="BG92" s="13" t="n">
        <f aca="false">(1-BG86)*(BG60+BG61+BG62+BG64)/MAX(Time!BG31,1)*Inputs!$F$171</f>
        <v>3.13317180804038</v>
      </c>
      <c r="BH92" s="13" t="n">
        <f aca="false">(1-BH86)*(BH60+BH61+BH62+BH64)/MAX(Time!BH31,1)*Inputs!$F$171</f>
        <v>3.12209259938849</v>
      </c>
      <c r="BI92" s="13" t="n">
        <f aca="false">(1-BI86)*(BI60+BI61+BI62+BI64)/MAX(Time!BI31,1)*Inputs!$F$171</f>
        <v>3.2168435433456</v>
      </c>
      <c r="BJ92" s="13" t="n">
        <f aca="false">(1-BJ86)*(BJ60+BJ61+BJ62+BJ64)/MAX(Time!BJ31,1)*Inputs!$F$171</f>
        <v>3.19065263550737</v>
      </c>
      <c r="BK92" s="13" t="n">
        <f aca="false">(1-BK86)*(BK60+BK61+BK62+BK64)/MAX(Time!BK31,1)*Inputs!$F$171</f>
        <v>3.14870741297708</v>
      </c>
      <c r="BL92" s="13" t="n">
        <f aca="false">(1-BL86)*(BL60+BL61+BL62+BL64)/MAX(Time!BL31,1)*Inputs!$F$171</f>
        <v>3.15106245219658</v>
      </c>
      <c r="BM92" s="13" t="n">
        <f aca="false">(1-BM86)*(BM60+BM61+BM62+BM64)/MAX(Time!BM31,1)*Inputs!$F$171</f>
        <v>3.38511961489753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643</v>
      </c>
      <c r="E93" s="0" t="s">
        <v>149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0</v>
      </c>
      <c r="P93" s="13" t="n">
        <f aca="false">(1-P86)*(P65+P66+P67+P68+P69+P70+P71)/MAX(Time!P31,1)*Inputs!$F$172</f>
        <v>1.17722475451023</v>
      </c>
      <c r="Q93" s="13" t="n">
        <f aca="false">(1-Q86)*(Q65+Q66+Q67+Q68+Q69+Q70+Q71)/MAX(Time!Q31,1)*Inputs!$F$172</f>
        <v>1.27432543556663</v>
      </c>
      <c r="R93" s="13" t="n">
        <f aca="false">(1-R86)*(R65+R66+R67+R68+R69+R70+R71)/MAX(Time!R31,1)*Inputs!$F$172</f>
        <v>1.30901840845876</v>
      </c>
      <c r="S93" s="13" t="n">
        <f aca="false">(1-S86)*(S65+S66+S67+S68+S69+S70+S71)/MAX(Time!S31,1)*Inputs!$F$172</f>
        <v>1.30216841298439</v>
      </c>
      <c r="T93" s="13" t="n">
        <f aca="false">(1-T86)*(T65+T66+T67+T68+T69+T70+T71)/MAX(Time!T31,1)*Inputs!$F$172</f>
        <v>1.34490791484381</v>
      </c>
      <c r="U93" s="13" t="n">
        <f aca="false">(1-U86)*(U65+U66+U67+U68+U69+U70+U71)/MAX(Time!U31,1)*Inputs!$F$172</f>
        <v>1.40267993900784</v>
      </c>
      <c r="V93" s="13" t="n">
        <f aca="false">(1-V86)*(V65+V66+V67+V68+V69+V70+V71)/MAX(Time!V31,1)*Inputs!$F$172</f>
        <v>1.443682798842</v>
      </c>
      <c r="W93" s="13" t="n">
        <f aca="false">(1-W86)*(W65+W66+W67+W68+W69+W70+W71)/MAX(Time!W31,1)*Inputs!$F$172</f>
        <v>1.50372282247669</v>
      </c>
      <c r="X93" s="13" t="n">
        <f aca="false">(1-X86)*(X65+X66+X67+X68+X69+X70+X71)/MAX(Time!X31,1)*Inputs!$F$172</f>
        <v>1.5239609076105</v>
      </c>
      <c r="Y93" s="13" t="n">
        <f aca="false">(1-Y86)*(Y65+Y66+Y67+Y68+Y69+Y70+Y71)/MAX(Time!Y31,1)*Inputs!$F$172</f>
        <v>1.59666096954572</v>
      </c>
      <c r="Z93" s="13" t="n">
        <f aca="false">(1-Z86)*(Z65+Z66+Z67+Z68+Z69+Z70+Z71)/MAX(Time!Z31,1)*Inputs!$F$172</f>
        <v>1.59749386151192</v>
      </c>
      <c r="AA93" s="13" t="n">
        <f aca="false">(1-AA86)*(AA65+AA66+AA67+AA68+AA69+AA70+AA71)/MAX(Time!AA31,1)*Inputs!$F$172</f>
        <v>1.64008099081285</v>
      </c>
      <c r="AB93" s="13" t="n">
        <f aca="false">(1-AB86)*(AB65+AB66+AB67+AB68+AB69+AB70+AB71)/MAX(Time!AB31,1)*Inputs!$F$172</f>
        <v>1.63129323419636</v>
      </c>
      <c r="AC93" s="13" t="n">
        <f aca="false">(1-AC86)*(AC65+AC66+AC67+AC68+AC69+AC70+AC71)/MAX(Time!AC31,1)*Inputs!$F$172</f>
        <v>1.67176777908841</v>
      </c>
      <c r="AD93" s="13" t="n">
        <f aca="false">(1-AD86)*(AD65+AD66+AD67+AD68+AD69+AD70+AD71)/MAX(Time!AD31,1)*Inputs!$F$172</f>
        <v>1.6668800597993</v>
      </c>
      <c r="AE93" s="13" t="n">
        <f aca="false">(1-AE86)*(AE65+AE66+AE67+AE68+AE69+AE70+AE71)/MAX(Time!AE31,1)*Inputs!$F$172</f>
        <v>1.68938076047894</v>
      </c>
      <c r="AF93" s="13" t="n">
        <f aca="false">(1-AF86)*(AF65+AF66+AF67+AF68+AF69+AF70+AF71)/MAX(Time!AF31,1)*Inputs!$F$172</f>
        <v>1.68455734653345</v>
      </c>
      <c r="AG93" s="13" t="n">
        <f aca="false">(1-AG86)*(AG65+AG66+AG67+AG68+AG69+AG70+AG71)/MAX(Time!AG31,1)*Inputs!$F$172</f>
        <v>1.75382667463453</v>
      </c>
      <c r="AH93" s="13" t="n">
        <f aca="false">(1-AH86)*(AH65+AH66+AH67+AH68+AH69+AH70+AH71)/MAX(Time!AH31,1)*Inputs!$F$172</f>
        <v>1.74284087482542</v>
      </c>
      <c r="AI93" s="13" t="n">
        <f aca="false">(1-AI86)*(AI65+AI66+AI67+AI68+AI69+AI70+AI71)/MAX(Time!AI31,1)*Inputs!$F$172</f>
        <v>1.78653658788424</v>
      </c>
      <c r="AJ93" s="13" t="n">
        <f aca="false">(1-AJ86)*(AJ65+AJ66+AJ67+AJ68+AJ69+AJ70+AJ71)/MAX(Time!AJ31,1)*Inputs!$F$172</f>
        <v>1.77699593507144</v>
      </c>
      <c r="AK93" s="13" t="n">
        <f aca="false">(1-AK86)*(AK65+AK66+AK67+AK68+AK69+AK70+AK71)/MAX(Time!AK31,1)*Inputs!$F$172</f>
        <v>1.81989287978897</v>
      </c>
      <c r="AL93" s="13" t="n">
        <f aca="false">(1-AL86)*(AL65+AL66+AL67+AL68+AL69+AL70+AL71)/MAX(Time!AL31,1)*Inputs!$F$172</f>
        <v>1.81639360380898</v>
      </c>
      <c r="AM93" s="13" t="n">
        <f aca="false">(1-AM86)*(AM65+AM66+AM67+AM68+AM69+AM70+AM71)/MAX(Time!AM31,1)*Inputs!$F$172</f>
        <v>1.85102220436683</v>
      </c>
      <c r="AN93" s="13" t="n">
        <f aca="false">(1-AN86)*(AN65+AN66+AN67+AN68+AN69+AN70+AN71)/MAX(Time!AN31,1)*Inputs!$F$172</f>
        <v>1.84335957251632</v>
      </c>
      <c r="AO93" s="13" t="n">
        <f aca="false">(1-AO86)*(AO65+AO66+AO67+AO68+AO69+AO70+AO71)/MAX(Time!AO31,1)*Inputs!$F$172</f>
        <v>1.90953586286526</v>
      </c>
      <c r="AP93" s="13" t="n">
        <f aca="false">(1-AP86)*(AP65+AP66+AP67+AP68+AP69+AP70+AP71)/MAX(Time!AP31,1)*Inputs!$F$172</f>
        <v>1.89765582168596</v>
      </c>
      <c r="AQ93" s="13" t="n">
        <f aca="false">(1-AQ86)*(AQ65+AQ66+AQ67+AQ68+AQ69+AQ70+AQ71)/MAX(Time!AQ31,1)*Inputs!$F$172</f>
        <v>1.94531640653262</v>
      </c>
      <c r="AR93" s="13" t="n">
        <f aca="false">(1-AR86)*(AR65+AR66+AR67+AR68+AR69+AR70+AR71)/MAX(Time!AR31,1)*Inputs!$F$172</f>
        <v>1.93500857940199</v>
      </c>
      <c r="AS93" s="13" t="n">
        <f aca="false">(1-AS86)*(AS65+AS66+AS67+AS68+AS69+AS70+AS71)/MAX(Time!AS31,1)*Inputs!$F$172</f>
        <v>1.98180035783263</v>
      </c>
      <c r="AT93" s="13" t="n">
        <f aca="false">(1-AT86)*(AT65+AT66+AT67+AT68+AT69+AT70+AT71)/MAX(Time!AT31,1)*Inputs!$F$172</f>
        <v>1.9761558763236</v>
      </c>
      <c r="AU93" s="13" t="n">
        <f aca="false">(1-AU86)*(AU65+AU66+AU67+AU68+AU69+AU70+AU71)/MAX(Time!AU31,1)*Inputs!$F$172</f>
        <v>2.00310942369962</v>
      </c>
      <c r="AV93" s="13" t="n">
        <f aca="false">(1-AV86)*(AV65+AV66+AV67+AV68+AV69+AV70+AV71)/MAX(Time!AV31,1)*Inputs!$F$172</f>
        <v>1.99749544002565</v>
      </c>
      <c r="AW93" s="13" t="n">
        <f aca="false">(1-AW86)*(AW65+AW66+AW67+AW68+AW69+AW70+AW71)/MAX(Time!AW31,1)*Inputs!$F$172</f>
        <v>2.07975360372305</v>
      </c>
      <c r="AX93" s="13" t="n">
        <f aca="false">(1-AX86)*(AX65+AX66+AX67+AX68+AX69+AX70+AX71)/MAX(Time!AX31,1)*Inputs!$F$172</f>
        <v>2.06689628624793</v>
      </c>
      <c r="AY93" s="13" t="n">
        <f aca="false">(1-AY86)*(AY65+AY66+AY67+AY68+AY69+AY70+AY71)/MAX(Time!AY31,1)*Inputs!$F$172</f>
        <v>2.11889297258043</v>
      </c>
      <c r="AZ93" s="13" t="n">
        <f aca="false">(1-AZ86)*(AZ65+AZ66+AZ67+AZ68+AZ69+AZ70+AZ71)/MAX(Time!AZ31,1)*Inputs!$F$172</f>
        <v>2.10774603186492</v>
      </c>
      <c r="BA93" s="13" t="n">
        <f aca="false">(1-BA86)*(BA65+BA66+BA67+BA68+BA69+BA70+BA71)/MAX(Time!BA31,1)*Inputs!$F$172</f>
        <v>2.15879361843139</v>
      </c>
      <c r="BB93" s="13" t="n">
        <f aca="false">(1-BB86)*(BB65+BB66+BB67+BB68+BB69+BB70+BB71)/MAX(Time!BB31,1)*Inputs!$F$172</f>
        <v>2.15481627384009</v>
      </c>
      <c r="BC93" s="13" t="n">
        <f aca="false">(1-BC86)*(BC65+BC66+BC67+BC68+BC69+BC70+BC71)/MAX(Time!BC31,1)*Inputs!$F$172</f>
        <v>2.19609125067825</v>
      </c>
      <c r="BD93" s="13" t="n">
        <f aca="false">(1-BD86)*(BD65+BD66+BD67+BD68+BD69+BD70+BD71)/MAX(Time!BD31,1)*Inputs!$F$172</f>
        <v>2.18716534330945</v>
      </c>
      <c r="BE93" s="13" t="n">
        <f aca="false">(1-BE86)*(BE65+BE66+BE67+BE68+BE69+BE70+BE71)/MAX(Time!BE31,1)*Inputs!$F$172</f>
        <v>2.26583111248939</v>
      </c>
      <c r="BF93" s="13" t="n">
        <f aca="false">(1-BF86)*(BF65+BF66+BF67+BF68+BF69+BF70+BF71)/MAX(Time!BF31,1)*Inputs!$F$172</f>
        <v>2.25190577858499</v>
      </c>
      <c r="BG93" s="13" t="n">
        <f aca="false">(1-BG86)*(BG65+BG66+BG67+BG68+BG69+BG70+BG71)/MAX(Time!BG31,1)*Inputs!$F$172</f>
        <v>2.30864454415641</v>
      </c>
      <c r="BH93" s="13" t="n">
        <f aca="false">(1-BH86)*(BH65+BH66+BH67+BH68+BH69+BH70+BH71)/MAX(Time!BH31,1)*Inputs!$F$172</f>
        <v>2.29657980633474</v>
      </c>
      <c r="BI93" s="13" t="n">
        <f aca="false">(1-BI86)*(BI65+BI66+BI67+BI68+BI69+BI70+BI71)/MAX(Time!BI31,1)*Inputs!$F$172</f>
        <v>2.35227760550364</v>
      </c>
      <c r="BJ93" s="13" t="n">
        <f aca="false">(1-BJ86)*(BJ65+BJ66+BJ67+BJ68+BJ69+BJ70+BJ71)/MAX(Time!BJ31,1)*Inputs!$F$172</f>
        <v>2.34575907889257</v>
      </c>
      <c r="BK93" s="13" t="n">
        <f aca="false">(1-BK86)*(BK65+BK66+BK67+BK68+BK69+BK70+BK71)/MAX(Time!BK31,1)*Inputs!$F$172</f>
        <v>2.37807978695497</v>
      </c>
      <c r="BL93" s="13" t="n">
        <f aca="false">(1-BL86)*(BL65+BL66+BL67+BL68+BL69+BL70+BL71)/MAX(Time!BL31,1)*Inputs!$F$172</f>
        <v>2.37151145271761</v>
      </c>
      <c r="BM93" s="13" t="n">
        <f aca="false">(1-BM86)*(BM65+BM66+BM67+BM68+BM69+BM70+BM71)/MAX(Time!BM31,1)*Inputs!$F$172</f>
        <v>2.4692453828581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644</v>
      </c>
      <c r="E94" s="0" t="s">
        <v>149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14.72</v>
      </c>
      <c r="R94" s="13" t="n">
        <f aca="false">Inputs!$F$262*R89</f>
        <v>55.12</v>
      </c>
      <c r="S94" s="13" t="n">
        <f aca="false">Inputs!$F$262*S89</f>
        <v>90.08</v>
      </c>
      <c r="T94" s="13" t="n">
        <f aca="false">Inputs!$F$262*T89</f>
        <v>57.44</v>
      </c>
      <c r="U94" s="13" t="n">
        <f aca="false">Inputs!$F$262*U89</f>
        <v>27.68</v>
      </c>
      <c r="V94" s="13" t="n">
        <f aca="false">Inputs!$F$262*V89</f>
        <v>9.84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645</v>
      </c>
      <c r="E95" s="0" t="s">
        <v>149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0</v>
      </c>
      <c r="P95" s="13" t="n">
        <f aca="false">P88+P89-P90-P91-P92-P93-P94</f>
        <v>14.5543347288047</v>
      </c>
      <c r="Q95" s="13" t="n">
        <f aca="false">Q88+Q89-Q90-Q91-Q92-Q93-Q94</f>
        <v>18.7400557102466</v>
      </c>
      <c r="R95" s="13" t="n">
        <f aca="false">R88+R89-R90-R91-R92-R93-R94</f>
        <v>28.4534332517307</v>
      </c>
      <c r="S95" s="13" t="n">
        <f aca="false">S88+S89-S90-S91-S92-S93-S94</f>
        <v>37.4453541402003</v>
      </c>
      <c r="T95" s="13" t="n">
        <f aca="false">T88+T89-T90-T91-T92-T93-T94</f>
        <v>29.2500731163583</v>
      </c>
      <c r="U95" s="13" t="n">
        <f aca="false">U88+U89-U90-U91-U92-U93-U94</f>
        <v>22.1397415464925</v>
      </c>
      <c r="V95" s="13" t="n">
        <f aca="false">V88+V89-V90-V91-V92-V93-V94</f>
        <v>17.7318489883875</v>
      </c>
      <c r="W95" s="13" t="n">
        <f aca="false">W88+W89-W90-W91-W92-W93-W94</f>
        <v>15.6787105611385</v>
      </c>
      <c r="X95" s="13" t="n">
        <f aca="false">X88+X89-X90-X91-X92-X93-X94</f>
        <v>15.581677033427</v>
      </c>
      <c r="Y95" s="13" t="n">
        <f aca="false">Y88+Y89-Y90-Y91-Y92-Y93-Y94</f>
        <v>15.9523779630364</v>
      </c>
      <c r="Z95" s="13" t="n">
        <f aca="false">Z88+Z89-Z90-Z91-Z92-Z93-Z94</f>
        <v>15.8023906496284</v>
      </c>
      <c r="AA95" s="13" t="n">
        <f aca="false">AA88+AA89-AA90-AA91-AA92-AA93-AA94</f>
        <v>16.1371369165917</v>
      </c>
      <c r="AB95" s="13" t="n">
        <f aca="false">AB88+AB89-AB90-AB91-AB92-AB93-AB94</f>
        <v>15.9567661226801</v>
      </c>
      <c r="AC95" s="13" t="n">
        <f aca="false">AC88+AC89-AC90-AC91-AC92-AC93-AC94</f>
        <v>16.2013345150043</v>
      </c>
      <c r="AD95" s="13" t="n">
        <f aca="false">AD88+AD89-AD90-AD91-AD92-AD93-AD94</f>
        <v>16.0955391090641</v>
      </c>
      <c r="AE95" s="13" t="n">
        <f aca="false">AE88+AE89-AE90-AE91-AE92-AE93-AE94</f>
        <v>16.1689204172625</v>
      </c>
      <c r="AF95" s="13" t="n">
        <f aca="false">AF88+AF89-AF90-AF91-AF92-AF93-AF94</f>
        <v>16.1399925425046</v>
      </c>
      <c r="AG95" s="13" t="n">
        <f aca="false">AG88+AG89-AG90-AG91-AG92-AG93-AG94</f>
        <v>16.5521358379643</v>
      </c>
      <c r="AH95" s="13" t="n">
        <f aca="false">AH88+AH89-AH90-AH91-AH92-AH93-AH94</f>
        <v>16.357045562854</v>
      </c>
      <c r="AI95" s="13" t="n">
        <f aca="false">AI88+AI89-AI90-AI91-AI92-AI93-AI94</f>
        <v>16.6866297918787</v>
      </c>
      <c r="AJ95" s="13" t="n">
        <f aca="false">AJ88+AJ89-AJ90-AJ91-AJ92-AJ93-AJ94</f>
        <v>16.4911651720154</v>
      </c>
      <c r="AK95" s="13" t="n">
        <f aca="false">AK88+AK89-AK90-AK91-AK92-AK93-AK94</f>
        <v>16.7388939927612</v>
      </c>
      <c r="AL95" s="13" t="n">
        <f aca="false">AL88+AL89-AL90-AL91-AL92-AL93-AL94</f>
        <v>16.6286727955071</v>
      </c>
      <c r="AM95" s="13" t="n">
        <f aca="false">AM88+AM89-AM90-AM91-AM92-AM93-AM94</f>
        <v>16.9643235577777</v>
      </c>
      <c r="AN95" s="13" t="n">
        <f aca="false">AN88+AN89-AN90-AN91-AN92-AN93-AN94</f>
        <v>16.7678379983467</v>
      </c>
      <c r="AO95" s="13" t="n">
        <f aca="false">AO88+AO89-AO90-AO91-AO92-AO93-AO94</f>
        <v>17.1099051627401</v>
      </c>
      <c r="AP95" s="13" t="n">
        <f aca="false">AP88+AP89-AP90-AP91-AP92-AP93-AP94</f>
        <v>16.9122083446901</v>
      </c>
      <c r="AQ95" s="13" t="n">
        <f aca="false">AQ88+AQ89-AQ90-AQ91-AQ92-AQ93-AQ94</f>
        <v>17.2563622488579</v>
      </c>
      <c r="AR95" s="13" t="n">
        <f aca="false">AR88+AR89-AR90-AR91-AR92-AR93-AR94</f>
        <v>17.0581300330134</v>
      </c>
      <c r="AS95" s="13" t="n">
        <f aca="false">AS88+AS89-AS90-AS91-AS92-AS93-AS94</f>
        <v>17.3173534116761</v>
      </c>
      <c r="AT95" s="13" t="n">
        <f aca="false">AT88+AT89-AT90-AT91-AT92-AT93-AT94</f>
        <v>17.2073273568227</v>
      </c>
      <c r="AU95" s="13" t="n">
        <f aca="false">AU88+AU89-AU90-AU91-AU92-AU93-AU94</f>
        <v>17.2919867231396</v>
      </c>
      <c r="AV95" s="13" t="n">
        <f aca="false">AV88+AV89-AV90-AV91-AV92-AV93-AV94</f>
        <v>17.2709162530014</v>
      </c>
      <c r="AW95" s="13" t="n">
        <f aca="false">AW88+AW89-AW90-AW91-AW92-AW93-AW94</f>
        <v>17.7157105263325</v>
      </c>
      <c r="AX95" s="13" t="n">
        <f aca="false">AX88+AX89-AX90-AX91-AX92-AX93-AX94</f>
        <v>17.5151988637042</v>
      </c>
      <c r="AY95" s="13" t="n">
        <f aca="false">AY88+AY89-AY90-AY91-AY92-AY93-AY94</f>
        <v>17.8752147942971</v>
      </c>
      <c r="AZ95" s="13" t="n">
        <f aca="false">AZ88+AZ89-AZ90-AZ91-AZ92-AZ93-AZ94</f>
        <v>17.6739824630766</v>
      </c>
      <c r="BA95" s="13" t="n">
        <f aca="false">BA88+BA89-BA90-BA91-BA92-BA93-BA94</f>
        <v>17.9456680397618</v>
      </c>
      <c r="BB95" s="13" t="n">
        <f aca="false">BB88+BB89-BB90-BB91-BB92-BB93-BB94</f>
        <v>17.8360278182666</v>
      </c>
      <c r="BC95" s="13" t="n">
        <f aca="false">BC88+BC89-BC90-BC91-BC92-BC93-BC94</f>
        <v>18.2051142083785</v>
      </c>
      <c r="BD95" s="13" t="n">
        <f aca="false">BD88+BD89-BD90-BD91-BD92-BD93-BD94</f>
        <v>18.0022879247389</v>
      </c>
      <c r="BE95" s="13" t="n">
        <f aca="false">BE88+BE89-BE90-BE91-BE92-BE93-BE94</f>
        <v>18.3737860604586</v>
      </c>
      <c r="BF95" s="13" t="n">
        <f aca="false">BF88+BF89-BF90-BF91-BF92-BF93-BF94</f>
        <v>18.1702339183763</v>
      </c>
      <c r="BG95" s="13" t="n">
        <f aca="false">BG88+BG89-BG90-BG91-BG92-BG93-BG94</f>
        <v>18.5475211055882</v>
      </c>
      <c r="BH95" s="13" t="n">
        <f aca="false">BH88+BH89-BH90-BH91-BH92-BH93-BH94</f>
        <v>18.3430358617027</v>
      </c>
      <c r="BI95" s="13" t="n">
        <f aca="false">BI88+BI89-BI90-BI91-BI92-BI93-BI94</f>
        <v>18.6282349647416</v>
      </c>
      <c r="BJ95" s="13" t="n">
        <f aca="false">BJ88+BJ89-BJ90-BJ91-BJ92-BJ93-BJ94</f>
        <v>18.5192312746622</v>
      </c>
      <c r="BK95" s="13" t="n">
        <f aca="false">BK88+BK89-BK90-BK91-BK92-BK93-BK94</f>
        <v>18.6174794389875</v>
      </c>
      <c r="BL95" s="13" t="n">
        <f aca="false">BL88+BL89-BL90-BL91-BL92-BL93-BL94</f>
        <v>18.6058682865166</v>
      </c>
      <c r="BM95" s="13" t="n">
        <f aca="false">BM88+BM89-BM90-BM91-BM92-BM93-BM94</f>
        <v>19.0887458329253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646</v>
      </c>
      <c r="E96" s="0" t="s">
        <v>149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0</v>
      </c>
      <c r="P96" s="13" t="n">
        <f aca="false">P95-O95</f>
        <v>14.5543347288047</v>
      </c>
      <c r="Q96" s="13" t="n">
        <f aca="false">Q95-P95</f>
        <v>4.18572098144191</v>
      </c>
      <c r="R96" s="13" t="n">
        <f aca="false">R95-Q95</f>
        <v>9.71337754148403</v>
      </c>
      <c r="S96" s="13" t="n">
        <f aca="false">S95-R95</f>
        <v>8.99192088846959</v>
      </c>
      <c r="T96" s="13" t="n">
        <f aca="false">T95-S95</f>
        <v>-8.19528102384201</v>
      </c>
      <c r="U96" s="13" t="n">
        <f aca="false">U95-T95</f>
        <v>-7.11033156986577</v>
      </c>
      <c r="V96" s="13" t="n">
        <f aca="false">V95-U95</f>
        <v>-4.40789255810498</v>
      </c>
      <c r="W96" s="13" t="n">
        <f aca="false">W95-V95</f>
        <v>-2.05313842724898</v>
      </c>
      <c r="X96" s="13" t="n">
        <f aca="false">X95-W95</f>
        <v>-0.0970335277114973</v>
      </c>
      <c r="Y96" s="13" t="n">
        <f aca="false">Y95-X95</f>
        <v>0.370700929609333</v>
      </c>
      <c r="Z96" s="13" t="n">
        <f aca="false">Z95-Y95</f>
        <v>-0.149987313407944</v>
      </c>
      <c r="AA96" s="13" t="n">
        <f aca="false">AA95-Z95</f>
        <v>0.334746266963307</v>
      </c>
      <c r="AB96" s="13" t="n">
        <f aca="false">AB95-AA95</f>
        <v>-0.180370793911614</v>
      </c>
      <c r="AC96" s="13" t="n">
        <f aca="false">AC95-AB95</f>
        <v>0.244568392324208</v>
      </c>
      <c r="AD96" s="13" t="n">
        <f aca="false">AD95-AC95</f>
        <v>-0.105795405940238</v>
      </c>
      <c r="AE96" s="13" t="n">
        <f aca="false">AE95-AD95</f>
        <v>0.0733813081984103</v>
      </c>
      <c r="AF96" s="13" t="n">
        <f aca="false">AF95-AE95</f>
        <v>-0.0289278747579225</v>
      </c>
      <c r="AG96" s="13" t="n">
        <f aca="false">AG95-AF95</f>
        <v>0.412143295459735</v>
      </c>
      <c r="AH96" s="13" t="n">
        <f aca="false">AH95-AG95</f>
        <v>-0.195090275110317</v>
      </c>
      <c r="AI96" s="13" t="n">
        <f aca="false">AI95-AH95</f>
        <v>0.329584229024736</v>
      </c>
      <c r="AJ96" s="13" t="n">
        <f aca="false">AJ95-AI95</f>
        <v>-0.195464619863358</v>
      </c>
      <c r="AK96" s="13" t="n">
        <f aca="false">AK95-AJ95</f>
        <v>0.247728820745809</v>
      </c>
      <c r="AL96" s="13" t="n">
        <f aca="false">AL95-AK95</f>
        <v>-0.110221197254056</v>
      </c>
      <c r="AM96" s="13" t="n">
        <f aca="false">AM95-AL95</f>
        <v>0.335650762270618</v>
      </c>
      <c r="AN96" s="13" t="n">
        <f aca="false">AN95-AM95</f>
        <v>-0.196485559431071</v>
      </c>
      <c r="AO96" s="13" t="n">
        <f aca="false">AO95-AN95</f>
        <v>0.342067164393455</v>
      </c>
      <c r="AP96" s="13" t="n">
        <f aca="false">AP95-AO95</f>
        <v>-0.197696818050037</v>
      </c>
      <c r="AQ96" s="13" t="n">
        <f aca="false">AQ95-AP95</f>
        <v>0.344153904167836</v>
      </c>
      <c r="AR96" s="13" t="n">
        <f aca="false">AR95-AQ95</f>
        <v>-0.198232215844552</v>
      </c>
      <c r="AS96" s="13" t="n">
        <f aca="false">AS95-AR95</f>
        <v>0.259223378662707</v>
      </c>
      <c r="AT96" s="13" t="n">
        <f aca="false">AT95-AS95</f>
        <v>-0.110026054853407</v>
      </c>
      <c r="AU96" s="13" t="n">
        <f aca="false">AU95-AT95</f>
        <v>0.0846593663168918</v>
      </c>
      <c r="AV96" s="13" t="n">
        <f aca="false">AV95-AU95</f>
        <v>-0.0210704701381488</v>
      </c>
      <c r="AW96" s="13" t="n">
        <f aca="false">AW95-AV95</f>
        <v>0.444794273331066</v>
      </c>
      <c r="AX96" s="13" t="n">
        <f aca="false">AX95-AW95</f>
        <v>-0.200511662628255</v>
      </c>
      <c r="AY96" s="13" t="n">
        <f aca="false">AY95-AX95</f>
        <v>0.360015930592883</v>
      </c>
      <c r="AZ96" s="13" t="n">
        <f aca="false">AZ95-AY95</f>
        <v>-0.201232331220549</v>
      </c>
      <c r="BA96" s="13" t="n">
        <f aca="false">BA95-AZ95</f>
        <v>0.271685576685222</v>
      </c>
      <c r="BB96" s="13" t="n">
        <f aca="false">BB95-BA95</f>
        <v>-0.109640221495216</v>
      </c>
      <c r="BC96" s="13" t="n">
        <f aca="false">BC95-BB95</f>
        <v>0.369086390111971</v>
      </c>
      <c r="BD96" s="13" t="n">
        <f aca="false">BD95-BC95</f>
        <v>-0.202826283639673</v>
      </c>
      <c r="BE96" s="13" t="n">
        <f aca="false">BE95-BD95</f>
        <v>0.371498135719779</v>
      </c>
      <c r="BF96" s="13" t="n">
        <f aca="false">BF95-BE95</f>
        <v>-0.203552142082341</v>
      </c>
      <c r="BG96" s="13" t="n">
        <f aca="false">BG95-BF95</f>
        <v>0.377287187211927</v>
      </c>
      <c r="BH96" s="13" t="n">
        <f aca="false">BH95-BG95</f>
        <v>-0.204485243885479</v>
      </c>
      <c r="BI96" s="13" t="n">
        <f aca="false">BI95-BH95</f>
        <v>0.285199103038902</v>
      </c>
      <c r="BJ96" s="13" t="n">
        <f aca="false">BJ95-BI95</f>
        <v>-0.109003690079433</v>
      </c>
      <c r="BK96" s="13" t="n">
        <f aca="false">BK95-BJ95</f>
        <v>0.0982481643252768</v>
      </c>
      <c r="BL96" s="13" t="n">
        <f aca="false">BL95-BK95</f>
        <v>-0.0116111524708629</v>
      </c>
      <c r="BM96" s="13" t="n">
        <f aca="false">BM95-BL95</f>
        <v>0.482877546408673</v>
      </c>
      <c r="BN96" s="13" t="n">
        <f aca="false">BN95-BM95</f>
        <v>-19.0887458329253</v>
      </c>
    </row>
    <row r="97" customFormat="false" ht="15" hidden="false" customHeight="false" outlineLevel="0" collapsed="false">
      <c r="D97" s="0" t="s">
        <v>647</v>
      </c>
      <c r="E97" s="0" t="s">
        <v>149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0</v>
      </c>
      <c r="BN97" s="13" t="n">
        <f aca="false">Time!BN37*Inputs!$F$67*Inputs!$F$36</f>
        <v>5.35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649</v>
      </c>
      <c r="E7" s="0" t="s">
        <v>97</v>
      </c>
      <c r="J7" s="10" t="n">
        <f aca="false">MAX(0,MIN(Time!J33,Inputs!$F$228*12)-MIN(Time!J32,Inputs!$F$228*12))</f>
        <v>0</v>
      </c>
      <c r="K7" s="10" t="n">
        <f aca="false">MAX(0,MIN(Time!K33,Inputs!$F$228*12)-MIN(Time!K32,Inputs!$F$228*12))</f>
        <v>0</v>
      </c>
      <c r="L7" s="10" t="n">
        <f aca="false">MAX(0,MIN(Time!L33,Inputs!$F$228*12)-MIN(Time!L32,Inputs!$F$228*12))</f>
        <v>0</v>
      </c>
      <c r="M7" s="10" t="n">
        <f aca="false">MAX(0,MIN(Time!M33,Inputs!$F$228*12)-MIN(Time!M32,Inputs!$F$228*12))</f>
        <v>0</v>
      </c>
      <c r="N7" s="10" t="n">
        <f aca="false">MAX(0,MIN(Time!N33,Inputs!$F$228*12)-MIN(Time!N32,Inputs!$F$228*12))</f>
        <v>0</v>
      </c>
      <c r="O7" s="10" t="n">
        <f aca="false">MAX(0,MIN(Time!O33,Inputs!$F$228*12)-MIN(Time!O32,Inputs!$F$228*12))</f>
        <v>0</v>
      </c>
      <c r="P7" s="10" t="n">
        <f aca="false">MAX(0,MIN(Time!P33,Inputs!$F$228*12)-MIN(Time!P32,Inputs!$F$228*12))</f>
        <v>1</v>
      </c>
      <c r="Q7" s="10" t="n">
        <f aca="false">MAX(0,MIN(Time!Q33,Inputs!$F$228*12)-MIN(Time!Q32,Inputs!$F$228*12))</f>
        <v>6</v>
      </c>
      <c r="R7" s="10" t="n">
        <f aca="false">MAX(0,MIN(Time!R33,Inputs!$F$228*12)-MIN(Time!R32,Inputs!$F$228*12))</f>
        <v>6</v>
      </c>
      <c r="S7" s="10" t="n">
        <f aca="false">MAX(0,MIN(Time!S33,Inputs!$F$228*12)-MIN(Time!S32,Inputs!$F$228*12))</f>
        <v>6</v>
      </c>
      <c r="T7" s="10" t="n">
        <f aca="false">MAX(0,MIN(Time!T33,Inputs!$F$228*12)-MIN(Time!T32,Inputs!$F$228*12))</f>
        <v>6</v>
      </c>
      <c r="U7" s="10" t="n">
        <f aca="false">MAX(0,MIN(Time!U33,Inputs!$F$228*12)-MIN(Time!U32,Inputs!$F$228*12))</f>
        <v>6</v>
      </c>
      <c r="V7" s="10" t="n">
        <f aca="false">MAX(0,MIN(Time!V33,Inputs!$F$228*12)-MIN(Time!V32,Inputs!$F$228*12))</f>
        <v>6</v>
      </c>
      <c r="W7" s="10" t="n">
        <f aca="false">MAX(0,MIN(Time!W33,Inputs!$F$228*12)-MIN(Time!W32,Inputs!$F$228*12))</f>
        <v>6</v>
      </c>
      <c r="X7" s="10" t="n">
        <f aca="false">MAX(0,MIN(Time!X33,Inputs!$F$228*12)-MIN(Time!X32,Inputs!$F$228*12))</f>
        <v>6</v>
      </c>
      <c r="Y7" s="10" t="n">
        <f aca="false">MAX(0,MIN(Time!Y33,Inputs!$F$228*12)-MIN(Time!Y32,Inputs!$F$228*12))</f>
        <v>6</v>
      </c>
      <c r="Z7" s="10" t="n">
        <f aca="false">MAX(0,MIN(Time!Z33,Inputs!$F$228*12)-MIN(Time!Z32,Inputs!$F$228*12))</f>
        <v>5</v>
      </c>
      <c r="AA7" s="10" t="n">
        <f aca="false">MAX(0,MIN(Time!AA33,Inputs!$F$228*12)-MIN(Time!AA32,Inputs!$F$228*12))</f>
        <v>0</v>
      </c>
      <c r="AB7" s="10" t="n">
        <f aca="false">MAX(0,MIN(Time!AB33,Inputs!$F$228*12)-MIN(Time!AB32,Inputs!$F$228*12))</f>
        <v>0</v>
      </c>
      <c r="AC7" s="10" t="n">
        <f aca="false">MAX(0,MIN(Time!AC33,Inputs!$F$228*12)-MIN(Time!AC32,Inputs!$F$228*12))</f>
        <v>0</v>
      </c>
      <c r="AD7" s="10" t="n">
        <f aca="false">MAX(0,MIN(Time!AD33,Inputs!$F$228*12)-MIN(Time!AD32,Inputs!$F$228*12))</f>
        <v>0</v>
      </c>
      <c r="AE7" s="10" t="n">
        <f aca="false">MAX(0,MIN(Time!AE33,Inputs!$F$228*12)-MIN(Time!AE32,Inputs!$F$228*12))</f>
        <v>0</v>
      </c>
      <c r="AF7" s="10" t="n">
        <f aca="false">MAX(0,MIN(Time!AF33,Inputs!$F$228*12)-MIN(Time!AF32,Inputs!$F$228*12))</f>
        <v>0</v>
      </c>
      <c r="AG7" s="10" t="n">
        <f aca="false">MAX(0,MIN(Time!AG33,Inputs!$F$228*12)-MIN(Time!AG32,Inputs!$F$228*12))</f>
        <v>0</v>
      </c>
      <c r="AH7" s="10" t="n">
        <f aca="false">MAX(0,MIN(Time!AH33,Inputs!$F$228*12)-MIN(Time!AH32,Inputs!$F$228*12))</f>
        <v>0</v>
      </c>
      <c r="AI7" s="10" t="n">
        <f aca="false">MAX(0,MIN(Time!AI33,Inputs!$F$228*12)-MIN(Time!AI32,Inputs!$F$228*12))</f>
        <v>0</v>
      </c>
      <c r="AJ7" s="10" t="n">
        <f aca="false">MAX(0,MIN(Time!AJ33,Inputs!$F$228*12)-MIN(Time!AJ32,Inputs!$F$228*12))</f>
        <v>0</v>
      </c>
      <c r="AK7" s="10" t="n">
        <f aca="false">MAX(0,MIN(Time!AK33,Inputs!$F$228*12)-MIN(Time!AK32,Inputs!$F$228*12))</f>
        <v>0</v>
      </c>
      <c r="AL7" s="10" t="n">
        <f aca="false">MAX(0,MIN(Time!AL33,Inputs!$F$228*12)-MIN(Time!AL32,Inputs!$F$228*12))</f>
        <v>0</v>
      </c>
      <c r="AM7" s="10" t="n">
        <f aca="false">MAX(0,MIN(Time!AM33,Inputs!$F$228*12)-MIN(Time!AM32,Inputs!$F$228*12))</f>
        <v>0</v>
      </c>
      <c r="AN7" s="10" t="n">
        <f aca="false">MAX(0,MIN(Time!AN33,Inputs!$F$228*12)-MIN(Time!AN32,Inputs!$F$228*12))</f>
        <v>0</v>
      </c>
      <c r="AO7" s="10" t="n">
        <f aca="false">MAX(0,MIN(Time!AO33,Inputs!$F$228*12)-MIN(Time!AO32,Inputs!$F$228*12))</f>
        <v>0</v>
      </c>
      <c r="AP7" s="10" t="n">
        <f aca="false">MAX(0,MIN(Time!AP33,Inputs!$F$228*12)-MIN(Time!AP32,Inputs!$F$228*12))</f>
        <v>0</v>
      </c>
      <c r="AQ7" s="10" t="n">
        <f aca="false">MAX(0,MIN(Time!AQ33,Inputs!$F$228*12)-MIN(Time!AQ32,Inputs!$F$228*12))</f>
        <v>0</v>
      </c>
      <c r="AR7" s="10" t="n">
        <f aca="false">MAX(0,MIN(Time!AR33,Inputs!$F$228*12)-MIN(Time!AR32,Inputs!$F$228*12))</f>
        <v>0</v>
      </c>
      <c r="AS7" s="10" t="n">
        <f aca="false">MAX(0,MIN(Time!AS33,Inputs!$F$228*12)-MIN(Time!AS32,Inputs!$F$228*12))</f>
        <v>0</v>
      </c>
      <c r="AT7" s="10" t="n">
        <f aca="false">MAX(0,MIN(Time!AT33,Inputs!$F$228*12)-MIN(Time!AT32,Inputs!$F$228*12))</f>
        <v>0</v>
      </c>
      <c r="AU7" s="10" t="n">
        <f aca="false">MAX(0,MIN(Time!AU33,Inputs!$F$228*12)-MIN(Time!AU32,Inputs!$F$228*12))</f>
        <v>0</v>
      </c>
      <c r="AV7" s="10" t="n">
        <f aca="false">MAX(0,MIN(Time!AV33,Inputs!$F$228*12)-MIN(Time!AV32,Inputs!$F$228*12))</f>
        <v>0</v>
      </c>
      <c r="AW7" s="10" t="n">
        <f aca="false">MAX(0,MIN(Time!AW33,Inputs!$F$228*12)-MIN(Time!AW32,Inputs!$F$228*12))</f>
        <v>0</v>
      </c>
      <c r="AX7" s="10" t="n">
        <f aca="false">MAX(0,MIN(Time!AX33,Inputs!$F$228*12)-MIN(Time!AX32,Inputs!$F$228*12))</f>
        <v>0</v>
      </c>
      <c r="AY7" s="10" t="n">
        <f aca="false">MAX(0,MIN(Time!AY33,Inputs!$F$228*12)-MIN(Time!AY32,Inputs!$F$228*12))</f>
        <v>0</v>
      </c>
      <c r="AZ7" s="10" t="n">
        <f aca="false">MAX(0,MIN(Time!AZ33,Inputs!$F$228*12)-MIN(Time!AZ32,Inputs!$F$228*12))</f>
        <v>0</v>
      </c>
      <c r="BA7" s="10" t="n">
        <f aca="false">MAX(0,MIN(Time!BA33,Inputs!$F$228*12)-MIN(Time!BA32,Inputs!$F$228*12))</f>
        <v>0</v>
      </c>
      <c r="BB7" s="10" t="n">
        <f aca="false">MAX(0,MIN(Time!BB33,Inputs!$F$228*12)-MIN(Time!BB32,Inputs!$F$228*12))</f>
        <v>0</v>
      </c>
      <c r="BC7" s="10" t="n">
        <f aca="false">MAX(0,MIN(Time!BC33,Inputs!$F$228*12)-MIN(Time!BC32,Inputs!$F$228*12))</f>
        <v>0</v>
      </c>
      <c r="BD7" s="10" t="n">
        <f aca="false">MAX(0,MIN(Time!BD33,Inputs!$F$228*12)-MIN(Time!BD32,Inputs!$F$228*12))</f>
        <v>0</v>
      </c>
      <c r="BE7" s="10" t="n">
        <f aca="false">MAX(0,MIN(Time!BE33,Inputs!$F$228*12)-MIN(Time!BE32,Inputs!$F$228*12))</f>
        <v>0</v>
      </c>
      <c r="BF7" s="10" t="n">
        <f aca="false">MAX(0,MIN(Time!BF33,Inputs!$F$228*12)-MIN(Time!BF32,Inputs!$F$228*12))</f>
        <v>0</v>
      </c>
      <c r="BG7" s="10" t="n">
        <f aca="false">MAX(0,MIN(Time!BG33,Inputs!$F$228*12)-MIN(Time!BG32,Inputs!$F$228*12))</f>
        <v>0</v>
      </c>
      <c r="BH7" s="10" t="n">
        <f aca="false">MAX(0,MIN(Time!BH33,Inputs!$F$228*12)-MIN(Time!BH32,Inputs!$F$228*12))</f>
        <v>0</v>
      </c>
      <c r="BI7" s="10" t="n">
        <f aca="false">MAX(0,MIN(Time!BI33,Inputs!$F$228*12)-MIN(Time!BI32,Inputs!$F$228*12))</f>
        <v>0</v>
      </c>
      <c r="BJ7" s="10" t="n">
        <f aca="false">MAX(0,MIN(Time!BJ33,Inputs!$F$228*12)-MIN(Time!BJ32,Inputs!$F$228*12))</f>
        <v>0</v>
      </c>
      <c r="BK7" s="10" t="n">
        <f aca="false">MAX(0,MIN(Time!BK33,Inputs!$F$228*12)-MIN(Time!BK32,Inputs!$F$228*12))</f>
        <v>0</v>
      </c>
      <c r="BL7" s="10" t="n">
        <f aca="false">MAX(0,MIN(Time!BL33,Inputs!$F$228*12)-MIN(Time!BL32,Inputs!$F$228*12))</f>
        <v>0</v>
      </c>
      <c r="BM7" s="10" t="n">
        <f aca="false">MAX(0,MIN(Time!BM33,Inputs!$F$228*12)-MIN(Time!BM32,Inputs!$F$228*12))</f>
        <v>0</v>
      </c>
      <c r="BN7" s="10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650</v>
      </c>
      <c r="E8" s="0" t="s">
        <v>97</v>
      </c>
      <c r="J8" s="10" t="n">
        <f aca="false">MAX(0,MIN(Time!J33,Inputs!$F$229*12)-MIN(MAX(Time!J32,Inputs!$F$228*12),Inputs!$F$229*12))</f>
        <v>0</v>
      </c>
      <c r="K8" s="10" t="n">
        <f aca="false">MAX(0,MIN(Time!K33,Inputs!$F$229*12)-MIN(MAX(Time!K32,Inputs!$F$228*12),Inputs!$F$229*12))</f>
        <v>0</v>
      </c>
      <c r="L8" s="10" t="n">
        <f aca="false">MAX(0,MIN(Time!L33,Inputs!$F$229*12)-MIN(MAX(Time!L32,Inputs!$F$228*12),Inputs!$F$229*12))</f>
        <v>0</v>
      </c>
      <c r="M8" s="10" t="n">
        <f aca="false">MAX(0,MIN(Time!M33,Inputs!$F$229*12)-MIN(MAX(Time!M32,Inputs!$F$228*12),Inputs!$F$229*12))</f>
        <v>0</v>
      </c>
      <c r="N8" s="10" t="n">
        <f aca="false">MAX(0,MIN(Time!N33,Inputs!$F$229*12)-MIN(MAX(Time!N32,Inputs!$F$228*12),Inputs!$F$229*12))</f>
        <v>0</v>
      </c>
      <c r="O8" s="10" t="n">
        <f aca="false">MAX(0,MIN(Time!O33,Inputs!$F$229*12)-MIN(MAX(Time!O32,Inputs!$F$228*12),Inputs!$F$229*12))</f>
        <v>0</v>
      </c>
      <c r="P8" s="10" t="n">
        <f aca="false">MAX(0,MIN(Time!P33,Inputs!$F$229*12)-MIN(MAX(Time!P32,Inputs!$F$228*12),Inputs!$F$229*12))</f>
        <v>0</v>
      </c>
      <c r="Q8" s="10" t="n">
        <f aca="false">MAX(0,MIN(Time!Q33,Inputs!$F$229*12)-MIN(MAX(Time!Q32,Inputs!$F$228*12),Inputs!$F$229*12))</f>
        <v>0</v>
      </c>
      <c r="R8" s="10" t="n">
        <f aca="false">MAX(0,MIN(Time!R33,Inputs!$F$229*12)-MIN(MAX(Time!R32,Inputs!$F$228*12),Inputs!$F$229*12))</f>
        <v>0</v>
      </c>
      <c r="S8" s="10" t="n">
        <f aca="false">MAX(0,MIN(Time!S33,Inputs!$F$229*12)-MIN(MAX(Time!S32,Inputs!$F$228*12),Inputs!$F$229*12))</f>
        <v>0</v>
      </c>
      <c r="T8" s="10" t="n">
        <f aca="false">MAX(0,MIN(Time!T33,Inputs!$F$229*12)-MIN(MAX(Time!T32,Inputs!$F$228*12),Inputs!$F$229*12))</f>
        <v>0</v>
      </c>
      <c r="U8" s="10" t="n">
        <f aca="false">MAX(0,MIN(Time!U33,Inputs!$F$229*12)-MIN(MAX(Time!U32,Inputs!$F$228*12),Inputs!$F$229*12))</f>
        <v>0</v>
      </c>
      <c r="V8" s="10" t="n">
        <f aca="false">MAX(0,MIN(Time!V33,Inputs!$F$229*12)-MIN(MAX(Time!V32,Inputs!$F$228*12),Inputs!$F$229*12))</f>
        <v>0</v>
      </c>
      <c r="W8" s="10" t="n">
        <f aca="false">MAX(0,MIN(Time!W33,Inputs!$F$229*12)-MIN(MAX(Time!W32,Inputs!$F$228*12),Inputs!$F$229*12))</f>
        <v>0</v>
      </c>
      <c r="X8" s="10" t="n">
        <f aca="false">MAX(0,MIN(Time!X33,Inputs!$F$229*12)-MIN(MAX(Time!X32,Inputs!$F$228*12),Inputs!$F$229*12))</f>
        <v>0</v>
      </c>
      <c r="Y8" s="10" t="n">
        <f aca="false">MAX(0,MIN(Time!Y33,Inputs!$F$229*12)-MIN(MAX(Time!Y32,Inputs!$F$228*12),Inputs!$F$229*12))</f>
        <v>0</v>
      </c>
      <c r="Z8" s="10" t="n">
        <f aca="false">MAX(0,MIN(Time!Z33,Inputs!$F$229*12)-MIN(MAX(Time!Z32,Inputs!$F$228*12),Inputs!$F$229*12))</f>
        <v>1</v>
      </c>
      <c r="AA8" s="10" t="n">
        <f aca="false">MAX(0,MIN(Time!AA33,Inputs!$F$229*12)-MIN(MAX(Time!AA32,Inputs!$F$228*12),Inputs!$F$229*12))</f>
        <v>6</v>
      </c>
      <c r="AB8" s="10" t="n">
        <f aca="false">MAX(0,MIN(Time!AB33,Inputs!$F$229*12)-MIN(MAX(Time!AB32,Inputs!$F$228*12),Inputs!$F$229*12))</f>
        <v>6</v>
      </c>
      <c r="AC8" s="10" t="n">
        <f aca="false">MAX(0,MIN(Time!AC33,Inputs!$F$229*12)-MIN(MAX(Time!AC32,Inputs!$F$228*12),Inputs!$F$229*12))</f>
        <v>6</v>
      </c>
      <c r="AD8" s="10" t="n">
        <f aca="false">MAX(0,MIN(Time!AD33,Inputs!$F$229*12)-MIN(MAX(Time!AD32,Inputs!$F$228*12),Inputs!$F$229*12))</f>
        <v>6</v>
      </c>
      <c r="AE8" s="10" t="n">
        <f aca="false">MAX(0,MIN(Time!AE33,Inputs!$F$229*12)-MIN(MAX(Time!AE32,Inputs!$F$228*12),Inputs!$F$229*12))</f>
        <v>6</v>
      </c>
      <c r="AF8" s="10" t="n">
        <f aca="false">MAX(0,MIN(Time!AF33,Inputs!$F$229*12)-MIN(MAX(Time!AF32,Inputs!$F$228*12),Inputs!$F$229*12))</f>
        <v>5</v>
      </c>
      <c r="AG8" s="10" t="n">
        <f aca="false">MAX(0,MIN(Time!AG33,Inputs!$F$229*12)-MIN(MAX(Time!AG32,Inputs!$F$228*12),Inputs!$F$229*12))</f>
        <v>0</v>
      </c>
      <c r="AH8" s="10" t="n">
        <f aca="false">MAX(0,MIN(Time!AH33,Inputs!$F$229*12)-MIN(MAX(Time!AH32,Inputs!$F$228*12),Inputs!$F$229*12))</f>
        <v>0</v>
      </c>
      <c r="AI8" s="10" t="n">
        <f aca="false">MAX(0,MIN(Time!AI33,Inputs!$F$229*12)-MIN(MAX(Time!AI32,Inputs!$F$228*12),Inputs!$F$229*12))</f>
        <v>0</v>
      </c>
      <c r="AJ8" s="10" t="n">
        <f aca="false">MAX(0,MIN(Time!AJ33,Inputs!$F$229*12)-MIN(MAX(Time!AJ32,Inputs!$F$228*12),Inputs!$F$229*12))</f>
        <v>0</v>
      </c>
      <c r="AK8" s="10" t="n">
        <f aca="false">MAX(0,MIN(Time!AK33,Inputs!$F$229*12)-MIN(MAX(Time!AK32,Inputs!$F$228*12),Inputs!$F$229*12))</f>
        <v>0</v>
      </c>
      <c r="AL8" s="10" t="n">
        <f aca="false">MAX(0,MIN(Time!AL33,Inputs!$F$229*12)-MIN(MAX(Time!AL32,Inputs!$F$228*12),Inputs!$F$229*12))</f>
        <v>0</v>
      </c>
      <c r="AM8" s="10" t="n">
        <f aca="false">MAX(0,MIN(Time!AM33,Inputs!$F$229*12)-MIN(MAX(Time!AM32,Inputs!$F$228*12),Inputs!$F$229*12))</f>
        <v>0</v>
      </c>
      <c r="AN8" s="10" t="n">
        <f aca="false">MAX(0,MIN(Time!AN33,Inputs!$F$229*12)-MIN(MAX(Time!AN32,Inputs!$F$228*12),Inputs!$F$229*12))</f>
        <v>0</v>
      </c>
      <c r="AO8" s="10" t="n">
        <f aca="false">MAX(0,MIN(Time!AO33,Inputs!$F$229*12)-MIN(MAX(Time!AO32,Inputs!$F$228*12),Inputs!$F$229*12))</f>
        <v>0</v>
      </c>
      <c r="AP8" s="10" t="n">
        <f aca="false">MAX(0,MIN(Time!AP33,Inputs!$F$229*12)-MIN(MAX(Time!AP32,Inputs!$F$228*12),Inputs!$F$229*12))</f>
        <v>0</v>
      </c>
      <c r="AQ8" s="10" t="n">
        <f aca="false">MAX(0,MIN(Time!AQ33,Inputs!$F$229*12)-MIN(MAX(Time!AQ32,Inputs!$F$228*12),Inputs!$F$229*12))</f>
        <v>0</v>
      </c>
      <c r="AR8" s="10" t="n">
        <f aca="false">MAX(0,MIN(Time!AR33,Inputs!$F$229*12)-MIN(MAX(Time!AR32,Inputs!$F$228*12),Inputs!$F$229*12))</f>
        <v>0</v>
      </c>
      <c r="AS8" s="10" t="n">
        <f aca="false">MAX(0,MIN(Time!AS33,Inputs!$F$229*12)-MIN(MAX(Time!AS32,Inputs!$F$228*12),Inputs!$F$229*12))</f>
        <v>0</v>
      </c>
      <c r="AT8" s="10" t="n">
        <f aca="false">MAX(0,MIN(Time!AT33,Inputs!$F$229*12)-MIN(MAX(Time!AT32,Inputs!$F$228*12),Inputs!$F$229*12))</f>
        <v>0</v>
      </c>
      <c r="AU8" s="10" t="n">
        <f aca="false">MAX(0,MIN(Time!AU33,Inputs!$F$229*12)-MIN(MAX(Time!AU32,Inputs!$F$228*12),Inputs!$F$229*12))</f>
        <v>0</v>
      </c>
      <c r="AV8" s="10" t="n">
        <f aca="false">MAX(0,MIN(Time!AV33,Inputs!$F$229*12)-MIN(MAX(Time!AV32,Inputs!$F$228*12),Inputs!$F$229*12))</f>
        <v>0</v>
      </c>
      <c r="AW8" s="10" t="n">
        <f aca="false">MAX(0,MIN(Time!AW33,Inputs!$F$229*12)-MIN(MAX(Time!AW32,Inputs!$F$228*12),Inputs!$F$229*12))</f>
        <v>0</v>
      </c>
      <c r="AX8" s="10" t="n">
        <f aca="false">MAX(0,MIN(Time!AX33,Inputs!$F$229*12)-MIN(MAX(Time!AX32,Inputs!$F$228*12),Inputs!$F$229*12))</f>
        <v>0</v>
      </c>
      <c r="AY8" s="10" t="n">
        <f aca="false">MAX(0,MIN(Time!AY33,Inputs!$F$229*12)-MIN(MAX(Time!AY32,Inputs!$F$228*12),Inputs!$F$229*12))</f>
        <v>0</v>
      </c>
      <c r="AZ8" s="10" t="n">
        <f aca="false">MAX(0,MIN(Time!AZ33,Inputs!$F$229*12)-MIN(MAX(Time!AZ32,Inputs!$F$228*12),Inputs!$F$229*12))</f>
        <v>0</v>
      </c>
      <c r="BA8" s="10" t="n">
        <f aca="false">MAX(0,MIN(Time!BA33,Inputs!$F$229*12)-MIN(MAX(Time!BA32,Inputs!$F$228*12),Inputs!$F$229*12))</f>
        <v>0</v>
      </c>
      <c r="BB8" s="10" t="n">
        <f aca="false">MAX(0,MIN(Time!BB33,Inputs!$F$229*12)-MIN(MAX(Time!BB32,Inputs!$F$228*12),Inputs!$F$229*12))</f>
        <v>0</v>
      </c>
      <c r="BC8" s="10" t="n">
        <f aca="false">MAX(0,MIN(Time!BC33,Inputs!$F$229*12)-MIN(MAX(Time!BC32,Inputs!$F$228*12),Inputs!$F$229*12))</f>
        <v>0</v>
      </c>
      <c r="BD8" s="10" t="n">
        <f aca="false">MAX(0,MIN(Time!BD33,Inputs!$F$229*12)-MIN(MAX(Time!BD32,Inputs!$F$228*12),Inputs!$F$229*12))</f>
        <v>0</v>
      </c>
      <c r="BE8" s="10" t="n">
        <f aca="false">MAX(0,MIN(Time!BE33,Inputs!$F$229*12)-MIN(MAX(Time!BE32,Inputs!$F$228*12),Inputs!$F$229*12))</f>
        <v>0</v>
      </c>
      <c r="BF8" s="10" t="n">
        <f aca="false">MAX(0,MIN(Time!BF33,Inputs!$F$229*12)-MIN(MAX(Time!BF32,Inputs!$F$228*12),Inputs!$F$229*12))</f>
        <v>0</v>
      </c>
      <c r="BG8" s="10" t="n">
        <f aca="false">MAX(0,MIN(Time!BG33,Inputs!$F$229*12)-MIN(MAX(Time!BG32,Inputs!$F$228*12),Inputs!$F$229*12))</f>
        <v>0</v>
      </c>
      <c r="BH8" s="10" t="n">
        <f aca="false">MAX(0,MIN(Time!BH33,Inputs!$F$229*12)-MIN(MAX(Time!BH32,Inputs!$F$228*12),Inputs!$F$229*12))</f>
        <v>0</v>
      </c>
      <c r="BI8" s="10" t="n">
        <f aca="false">MAX(0,MIN(Time!BI33,Inputs!$F$229*12)-MIN(MAX(Time!BI32,Inputs!$F$228*12),Inputs!$F$229*12))</f>
        <v>0</v>
      </c>
      <c r="BJ8" s="10" t="n">
        <f aca="false">MAX(0,MIN(Time!BJ33,Inputs!$F$229*12)-MIN(MAX(Time!BJ32,Inputs!$F$228*12),Inputs!$F$229*12))</f>
        <v>0</v>
      </c>
      <c r="BK8" s="10" t="n">
        <f aca="false">MAX(0,MIN(Time!BK33,Inputs!$F$229*12)-MIN(MAX(Time!BK32,Inputs!$F$228*12),Inputs!$F$229*12))</f>
        <v>0</v>
      </c>
      <c r="BL8" s="10" t="n">
        <f aca="false">MAX(0,MIN(Time!BL33,Inputs!$F$229*12)-MIN(MAX(Time!BL32,Inputs!$F$228*12),Inputs!$F$229*12))</f>
        <v>0</v>
      </c>
      <c r="BM8" s="10" t="n">
        <f aca="false">MAX(0,MIN(Time!BM33,Inputs!$F$229*12)-MIN(MAX(Time!BM32,Inputs!$F$228*12),Inputs!$F$229*12))</f>
        <v>0</v>
      </c>
      <c r="BN8" s="10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651</v>
      </c>
      <c r="E9" s="0" t="s">
        <v>97</v>
      </c>
      <c r="J9" s="10" t="n">
        <f aca="false">Time!J30-J7-J8</f>
        <v>0</v>
      </c>
      <c r="K9" s="10" t="n">
        <f aca="false">Time!K30-K7-K8</f>
        <v>0</v>
      </c>
      <c r="L9" s="10" t="n">
        <f aca="false">Time!L30-L7-L8</f>
        <v>0</v>
      </c>
      <c r="M9" s="10" t="n">
        <f aca="false">Time!M30-M7-M8</f>
        <v>0</v>
      </c>
      <c r="N9" s="10" t="n">
        <f aca="false">Time!N30-N7-N8</f>
        <v>0</v>
      </c>
      <c r="O9" s="10" t="n">
        <f aca="false">Time!O30-O7-O8</f>
        <v>0</v>
      </c>
      <c r="P9" s="10" t="n">
        <f aca="false">Time!P30-P7-P8</f>
        <v>0</v>
      </c>
      <c r="Q9" s="10" t="n">
        <f aca="false">Time!Q30-Q7-Q8</f>
        <v>0</v>
      </c>
      <c r="R9" s="10" t="n">
        <f aca="false">Time!R30-R7-R8</f>
        <v>0</v>
      </c>
      <c r="S9" s="10" t="n">
        <f aca="false">Time!S30-S7-S8</f>
        <v>0</v>
      </c>
      <c r="T9" s="10" t="n">
        <f aca="false">Time!T30-T7-T8</f>
        <v>0</v>
      </c>
      <c r="U9" s="10" t="n">
        <f aca="false">Time!U30-U7-U8</f>
        <v>0</v>
      </c>
      <c r="V9" s="10" t="n">
        <f aca="false">Time!V30-V7-V8</f>
        <v>0</v>
      </c>
      <c r="W9" s="10" t="n">
        <f aca="false">Time!W30-W7-W8</f>
        <v>0</v>
      </c>
      <c r="X9" s="10" t="n">
        <f aca="false">Time!X30-X7-X8</f>
        <v>0</v>
      </c>
      <c r="Y9" s="10" t="n">
        <f aca="false">Time!Y30-Y7-Y8</f>
        <v>0</v>
      </c>
      <c r="Z9" s="10" t="n">
        <f aca="false">Time!Z30-Z7-Z8</f>
        <v>0</v>
      </c>
      <c r="AA9" s="10" t="n">
        <f aca="false">Time!AA30-AA7-AA8</f>
        <v>0</v>
      </c>
      <c r="AB9" s="10" t="n">
        <f aca="false">Time!AB30-AB7-AB8</f>
        <v>0</v>
      </c>
      <c r="AC9" s="10" t="n">
        <f aca="false">Time!AC30-AC7-AC8</f>
        <v>0</v>
      </c>
      <c r="AD9" s="10" t="n">
        <f aca="false">Time!AD30-AD7-AD8</f>
        <v>0</v>
      </c>
      <c r="AE9" s="10" t="n">
        <f aca="false">Time!AE30-AE7-AE8</f>
        <v>0</v>
      </c>
      <c r="AF9" s="10" t="n">
        <f aca="false">Time!AF30-AF7-AF8</f>
        <v>1</v>
      </c>
      <c r="AG9" s="10" t="n">
        <f aca="false">Time!AG30-AG7-AG8</f>
        <v>6</v>
      </c>
      <c r="AH9" s="10" t="n">
        <f aca="false">Time!AH30-AH7-AH8</f>
        <v>6</v>
      </c>
      <c r="AI9" s="10" t="n">
        <f aca="false">Time!AI30-AI7-AI8</f>
        <v>6</v>
      </c>
      <c r="AJ9" s="10" t="n">
        <f aca="false">Time!AJ30-AJ7-AJ8</f>
        <v>6</v>
      </c>
      <c r="AK9" s="10" t="n">
        <f aca="false">Time!AK30-AK7-AK8</f>
        <v>6</v>
      </c>
      <c r="AL9" s="10" t="n">
        <f aca="false">Time!AL30-AL7-AL8</f>
        <v>6</v>
      </c>
      <c r="AM9" s="10" t="n">
        <f aca="false">Time!AM30-AM7-AM8</f>
        <v>6</v>
      </c>
      <c r="AN9" s="10" t="n">
        <f aca="false">Time!AN30-AN7-AN8</f>
        <v>6</v>
      </c>
      <c r="AO9" s="10" t="n">
        <f aca="false">Time!AO30-AO7-AO8</f>
        <v>6</v>
      </c>
      <c r="AP9" s="10" t="n">
        <f aca="false">Time!AP30-AP7-AP8</f>
        <v>6</v>
      </c>
      <c r="AQ9" s="10" t="n">
        <f aca="false">Time!AQ30-AQ7-AQ8</f>
        <v>6</v>
      </c>
      <c r="AR9" s="10" t="n">
        <f aca="false">Time!AR30-AR7-AR8</f>
        <v>6</v>
      </c>
      <c r="AS9" s="10" t="n">
        <f aca="false">Time!AS30-AS7-AS8</f>
        <v>6</v>
      </c>
      <c r="AT9" s="10" t="n">
        <f aca="false">Time!AT30-AT7-AT8</f>
        <v>6</v>
      </c>
      <c r="AU9" s="10" t="n">
        <f aca="false">Time!AU30-AU7-AU8</f>
        <v>6</v>
      </c>
      <c r="AV9" s="10" t="n">
        <f aca="false">Time!AV30-AV7-AV8</f>
        <v>6</v>
      </c>
      <c r="AW9" s="10" t="n">
        <f aca="false">Time!AW30-AW7-AW8</f>
        <v>6</v>
      </c>
      <c r="AX9" s="10" t="n">
        <f aca="false">Time!AX30-AX7-AX8</f>
        <v>6</v>
      </c>
      <c r="AY9" s="10" t="n">
        <f aca="false">Time!AY30-AY7-AY8</f>
        <v>6</v>
      </c>
      <c r="AZ9" s="10" t="n">
        <f aca="false">Time!AZ30-AZ7-AZ8</f>
        <v>6</v>
      </c>
      <c r="BA9" s="10" t="n">
        <f aca="false">Time!BA30-BA7-BA8</f>
        <v>6</v>
      </c>
      <c r="BB9" s="10" t="n">
        <f aca="false">Time!BB30-BB7-BB8</f>
        <v>6</v>
      </c>
      <c r="BC9" s="10" t="n">
        <f aca="false">Time!BC30-BC7-BC8</f>
        <v>6</v>
      </c>
      <c r="BD9" s="10" t="n">
        <f aca="false">Time!BD30-BD7-BD8</f>
        <v>6</v>
      </c>
      <c r="BE9" s="10" t="n">
        <f aca="false">Time!BE30-BE7-BE8</f>
        <v>6</v>
      </c>
      <c r="BF9" s="10" t="n">
        <f aca="false">Time!BF30-BF7-BF8</f>
        <v>6</v>
      </c>
      <c r="BG9" s="10" t="n">
        <f aca="false">Time!BG30-BG7-BG8</f>
        <v>6</v>
      </c>
      <c r="BH9" s="10" t="n">
        <f aca="false">Time!BH30-BH7-BH8</f>
        <v>6</v>
      </c>
      <c r="BI9" s="10" t="n">
        <f aca="false">Time!BI30-BI7-BI8</f>
        <v>6</v>
      </c>
      <c r="BJ9" s="10" t="n">
        <f aca="false">Time!BJ30-BJ7-BJ8</f>
        <v>6</v>
      </c>
      <c r="BK9" s="10" t="n">
        <f aca="false">Time!BK30-BK7-BK8</f>
        <v>6</v>
      </c>
      <c r="BL9" s="10" t="n">
        <f aca="false">Time!BL30-BL7-BL8</f>
        <v>6</v>
      </c>
      <c r="BM9" s="10" t="n">
        <f aca="false">Time!BM30-BM7-BM8</f>
        <v>6</v>
      </c>
      <c r="BN9" s="10" t="n">
        <f aca="false">Time!BN30-BN7-BN8</f>
        <v>5</v>
      </c>
    </row>
    <row r="10" customFormat="false" ht="15" hidden="false" customHeight="false" outlineLevel="0" collapsed="false">
      <c r="D10" s="0" t="s">
        <v>652</v>
      </c>
      <c r="E10" s="0" t="s">
        <v>149</v>
      </c>
      <c r="G10" s="13" t="n">
        <f aca="false">SUM(J10:BN10)</f>
        <v>839.637073278006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0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3.77836682975103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22.6702009785062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22.6702009785062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22.6702009785062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22.6702009785062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22.6702009785062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22.6702009785062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22.6702009785062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22.6702009785062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22.6702009785062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22.2503824418671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20.1512897586721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20.1512897586721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20.1512897586721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20.1512897586721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20.1512897586721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20.1512897586721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20.1512897586721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20.1512897586721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20.1512897586721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20.1512897586721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20.1512897586721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20.1512897586721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20.1512897586721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20.1512897586721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20.1512897586721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20.1512897586721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20.1512897586721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20.1512897586721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20.1512897586721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20.1512897586721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20.1512897586721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20.1512897586721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20.1512897586721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20.1512897586721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20.1512897586721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20.1512897586721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20.1512897586721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20.1512897586721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20.1512897586721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16.9326809777731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0.839637073278006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0.839637073278006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0.839637073278006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0.839637073278006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0.839637073278006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0.839637073278006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0.839637073278006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0.839637073278006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0.839637073278006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0.699697561065005</v>
      </c>
    </row>
    <row r="11" customFormat="false" ht="15" hidden="false" customHeight="false" outlineLevel="0" collapsed="false">
      <c r="D11" s="0" t="s">
        <v>653</v>
      </c>
      <c r="E11" s="0" t="s">
        <v>149</v>
      </c>
      <c r="G11" s="13" t="n">
        <f aca="false">SUM(J11:BN11)</f>
        <v>226.702009785061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0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3.77836682975103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22.6702009785062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22.6702009785062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22.6702009785062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22.6702009785062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22.6702009785062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22.6702009785062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22.6702009785062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22.6702009785062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22.6702009785062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18.8918341487551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654</v>
      </c>
      <c r="E12" s="0" t="s">
        <v>149</v>
      </c>
      <c r="G12" s="13" t="n">
        <f aca="false">SUM(J12:BN12)</f>
        <v>612.935063492944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0</v>
      </c>
      <c r="Z12" s="13" t="n">
        <f aca="false">Z10-Z11</f>
        <v>3.35854829311202</v>
      </c>
      <c r="AA12" s="13" t="n">
        <f aca="false">AA10-AA11</f>
        <v>20.1512897586721</v>
      </c>
      <c r="AB12" s="13" t="n">
        <f aca="false">AB10-AB11</f>
        <v>20.1512897586721</v>
      </c>
      <c r="AC12" s="13" t="n">
        <f aca="false">AC10-AC11</f>
        <v>20.1512897586721</v>
      </c>
      <c r="AD12" s="13" t="n">
        <f aca="false">AD10-AD11</f>
        <v>20.1512897586721</v>
      </c>
      <c r="AE12" s="13" t="n">
        <f aca="false">AE10-AE11</f>
        <v>20.1512897586721</v>
      </c>
      <c r="AF12" s="13" t="n">
        <f aca="false">AF10-AF11</f>
        <v>20.1512897586721</v>
      </c>
      <c r="AG12" s="13" t="n">
        <f aca="false">AG10-AG11</f>
        <v>20.1512897586721</v>
      </c>
      <c r="AH12" s="13" t="n">
        <f aca="false">AH10-AH11</f>
        <v>20.1512897586721</v>
      </c>
      <c r="AI12" s="13" t="n">
        <f aca="false">AI10-AI11</f>
        <v>20.1512897586721</v>
      </c>
      <c r="AJ12" s="13" t="n">
        <f aca="false">AJ10-AJ11</f>
        <v>20.1512897586721</v>
      </c>
      <c r="AK12" s="13" t="n">
        <f aca="false">AK10-AK11</f>
        <v>20.1512897586721</v>
      </c>
      <c r="AL12" s="13" t="n">
        <f aca="false">AL10-AL11</f>
        <v>20.1512897586721</v>
      </c>
      <c r="AM12" s="13" t="n">
        <f aca="false">AM10-AM11</f>
        <v>20.1512897586721</v>
      </c>
      <c r="AN12" s="13" t="n">
        <f aca="false">AN10-AN11</f>
        <v>20.1512897586721</v>
      </c>
      <c r="AO12" s="13" t="n">
        <f aca="false">AO10-AO11</f>
        <v>20.1512897586721</v>
      </c>
      <c r="AP12" s="13" t="n">
        <f aca="false">AP10-AP11</f>
        <v>20.1512897586721</v>
      </c>
      <c r="AQ12" s="13" t="n">
        <f aca="false">AQ10-AQ11</f>
        <v>20.1512897586721</v>
      </c>
      <c r="AR12" s="13" t="n">
        <f aca="false">AR10-AR11</f>
        <v>20.1512897586721</v>
      </c>
      <c r="AS12" s="13" t="n">
        <f aca="false">AS10-AS11</f>
        <v>20.1512897586721</v>
      </c>
      <c r="AT12" s="13" t="n">
        <f aca="false">AT10-AT11</f>
        <v>20.1512897586721</v>
      </c>
      <c r="AU12" s="13" t="n">
        <f aca="false">AU10-AU11</f>
        <v>20.1512897586721</v>
      </c>
      <c r="AV12" s="13" t="n">
        <f aca="false">AV10-AV11</f>
        <v>20.1512897586721</v>
      </c>
      <c r="AW12" s="13" t="n">
        <f aca="false">AW10-AW11</f>
        <v>20.1512897586721</v>
      </c>
      <c r="AX12" s="13" t="n">
        <f aca="false">AX10-AX11</f>
        <v>20.1512897586721</v>
      </c>
      <c r="AY12" s="13" t="n">
        <f aca="false">AY10-AY11</f>
        <v>20.1512897586721</v>
      </c>
      <c r="AZ12" s="13" t="n">
        <f aca="false">AZ10-AZ11</f>
        <v>20.1512897586721</v>
      </c>
      <c r="BA12" s="13" t="n">
        <f aca="false">BA10-BA11</f>
        <v>20.1512897586721</v>
      </c>
      <c r="BB12" s="13" t="n">
        <f aca="false">BB10-BB11</f>
        <v>20.1512897586721</v>
      </c>
      <c r="BC12" s="13" t="n">
        <f aca="false">BC10-BC11</f>
        <v>20.1512897586721</v>
      </c>
      <c r="BD12" s="13" t="n">
        <f aca="false">BD10-BD11</f>
        <v>16.9326809777731</v>
      </c>
      <c r="BE12" s="13" t="n">
        <f aca="false">BE10-BE11</f>
        <v>0.839637073278006</v>
      </c>
      <c r="BF12" s="13" t="n">
        <f aca="false">BF10-BF11</f>
        <v>0.839637073278006</v>
      </c>
      <c r="BG12" s="13" t="n">
        <f aca="false">BG10-BG11</f>
        <v>0.839637073278006</v>
      </c>
      <c r="BH12" s="13" t="n">
        <f aca="false">BH10-BH11</f>
        <v>0.839637073278006</v>
      </c>
      <c r="BI12" s="13" t="n">
        <f aca="false">BI10-BI11</f>
        <v>0.839637073278006</v>
      </c>
      <c r="BJ12" s="13" t="n">
        <f aca="false">BJ10-BJ11</f>
        <v>0.839637073278006</v>
      </c>
      <c r="BK12" s="13" t="n">
        <f aca="false">BK10-BK11</f>
        <v>0.839637073278006</v>
      </c>
      <c r="BL12" s="13" t="n">
        <f aca="false">BL10-BL11</f>
        <v>0.839637073278006</v>
      </c>
      <c r="BM12" s="13" t="n">
        <f aca="false">BM10-BM11</f>
        <v>0.839637073278006</v>
      </c>
      <c r="BN12" s="13" t="n">
        <f aca="false">BN10-BN11</f>
        <v>0.699697561065005</v>
      </c>
    </row>
    <row r="13" customFormat="false" ht="15" hidden="false" customHeight="false" outlineLevel="0" collapsed="false">
      <c r="D13" s="0" t="s">
        <v>655</v>
      </c>
      <c r="E13" s="0" t="s">
        <v>149</v>
      </c>
      <c r="G13" s="13" t="n">
        <f aca="false">SUM(J13:BN13)</f>
        <v>197.556562232899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0</v>
      </c>
      <c r="P13" s="13" t="n">
        <f aca="false">IF(Time!P20&gt;=Time!$F$12,Waterfall!P33*Inputs!$F$104/100*Time!P31/Inputs!$F$248,0)</f>
        <v>1.69433558394574</v>
      </c>
      <c r="Q13" s="13" t="n">
        <f aca="false">IF(Time!Q20&gt;=Time!$F$12,Waterfall!Q33*Inputs!$F$104/100*Time!Q31/Inputs!$F$248,0)</f>
        <v>9.97255302383733</v>
      </c>
      <c r="R13" s="13" t="n">
        <f aca="false">IF(Time!R20&gt;=Time!$F$12,Waterfall!R33*Inputs!$F$104/100*Time!R31/Inputs!$F$248,0)</f>
        <v>10.6001912373671</v>
      </c>
      <c r="S13" s="13" t="n">
        <f aca="false">IF(Time!S20&gt;=Time!$F$12,Waterfall!S33*Inputs!$F$104/100*Time!S31/Inputs!$F$248,0)</f>
        <v>10.9267326853594</v>
      </c>
      <c r="T13" s="13" t="n">
        <f aca="false">IF(Time!T20&gt;=Time!$F$12,Waterfall!T33*Inputs!$F$104/100*Time!T31/Inputs!$F$248,0)</f>
        <v>11.6311244707076</v>
      </c>
      <c r="U13" s="13" t="n">
        <f aca="false">IF(Time!U20&gt;=Time!$F$12,Waterfall!U33*Inputs!$F$104/100*Time!U31/Inputs!$F$248,0)</f>
        <v>12.0556639775943</v>
      </c>
      <c r="V13" s="13" t="n">
        <f aca="false">IF(Time!V20&gt;=Time!$F$12,Waterfall!V33*Inputs!$F$104/100*Time!V31/Inputs!$F$248,0)</f>
        <v>12.7654945037934</v>
      </c>
      <c r="W13" s="13" t="n">
        <f aca="false">IF(Time!W20&gt;=Time!$F$12,Waterfall!W33*Inputs!$F$104/100*Time!W31/Inputs!$F$248,0)</f>
        <v>11.1912949159231</v>
      </c>
      <c r="X13" s="13" t="n">
        <f aca="false">IF(Time!X20&gt;=Time!$F$12,Waterfall!X33*Inputs!$F$104/100*Time!X31/Inputs!$F$248,0)</f>
        <v>10.8208511417511</v>
      </c>
      <c r="Y13" s="13" t="n">
        <f aca="false">IF(Time!Y20&gt;=Time!$F$12,Waterfall!Y33*Inputs!$F$104/100*Time!Y31/Inputs!$F$248,0)</f>
        <v>10.177642446045</v>
      </c>
      <c r="Z13" s="13" t="n">
        <f aca="false">IF(Time!Z20&gt;=Time!$F$12,Waterfall!Z33*Inputs!$F$104/100*Time!Z31/Inputs!$F$248,0)</f>
        <v>9.98484989282409</v>
      </c>
      <c r="AA13" s="13" t="n">
        <f aca="false">IF(Time!AA20&gt;=Time!$F$12,Waterfall!AA33*Inputs!$F$104/100*Time!AA31/Inputs!$F$248,0)</f>
        <v>9.4066047772135</v>
      </c>
      <c r="AB13" s="13" t="n">
        <f aca="false">IF(Time!AB20&gt;=Time!$F$12,Waterfall!AB33*Inputs!$F$104/100*Time!AB31/Inputs!$F$248,0)</f>
        <v>9.16008442635953</v>
      </c>
      <c r="AC13" s="13" t="n">
        <f aca="false">IF(Time!AC20&gt;=Time!$F$12,Waterfall!AC33*Inputs!$F$104/100*Time!AC31/Inputs!$F$248,0)</f>
        <v>8.60874154977227</v>
      </c>
      <c r="AD13" s="13" t="n">
        <f aca="false">IF(Time!AD20&gt;=Time!$F$12,Waterfall!AD33*Inputs!$F$104/100*Time!AD31/Inputs!$F$248,0)</f>
        <v>8.25222863191179</v>
      </c>
      <c r="AE13" s="13" t="n">
        <f aca="false">IF(Time!AE20&gt;=Time!$F$12,Waterfall!AE33*Inputs!$F$104/100*Time!AE31/Inputs!$F$248,0)</f>
        <v>7.67343120884361</v>
      </c>
      <c r="AF13" s="13" t="n">
        <f aca="false">IF(Time!AF20&gt;=Time!$F$12,Waterfall!AF33*Inputs!$F$104/100*Time!AF31/Inputs!$F$248,0)</f>
        <v>7.27829680900039</v>
      </c>
      <c r="AG13" s="13" t="n">
        <f aca="false">IF(Time!AG20&gt;=Time!$F$12,Waterfall!AG33*Inputs!$F$104/100*Time!AG31/Inputs!$F$248,0)</f>
        <v>6.56294360995315</v>
      </c>
      <c r="AH13" s="13" t="n">
        <f aca="false">IF(Time!AH20&gt;=Time!$F$12,Waterfall!AH33*Inputs!$F$104/100*Time!AH31/Inputs!$F$248,0)</f>
        <v>6.09248462978507</v>
      </c>
      <c r="AI13" s="13" t="n">
        <f aca="false">IF(Time!AI20&gt;=Time!$F$12,Waterfall!AI33*Inputs!$F$104/100*Time!AI31/Inputs!$F$248,0)</f>
        <v>5.35543255613653</v>
      </c>
      <c r="AJ13" s="13" t="n">
        <f aca="false">IF(Time!AJ20&gt;=Time!$F$12,Waterfall!AJ33*Inputs!$F$104/100*Time!AJ31/Inputs!$F$248,0)</f>
        <v>4.79672100010439</v>
      </c>
      <c r="AK13" s="13" t="n">
        <f aca="false">IF(Time!AK20&gt;=Time!$F$12,Waterfall!AK33*Inputs!$F$104/100*Time!AK31/Inputs!$F$248,0)</f>
        <v>4.03579303608787</v>
      </c>
      <c r="AL13" s="13" t="n">
        <f aca="false">IF(Time!AL20&gt;=Time!$F$12,Waterfall!AL33*Inputs!$F$104/100*Time!AL31/Inputs!$F$248,0)</f>
        <v>3.36056626018871</v>
      </c>
      <c r="AM13" s="13" t="n">
        <f aca="false">IF(Time!AM20&gt;=Time!$F$12,Waterfall!AM33*Inputs!$F$104/100*Time!AM31/Inputs!$F$248,0)</f>
        <v>2.55369594026655</v>
      </c>
      <c r="AN13" s="13" t="n">
        <f aca="false">IF(Time!AN20&gt;=Time!$F$12,Waterfall!AN33*Inputs!$F$104/100*Time!AN31/Inputs!$F$248,0)</f>
        <v>1.79114666919797</v>
      </c>
      <c r="AO13" s="13" t="n">
        <f aca="false">IF(Time!AO20&gt;=Time!$F$12,Waterfall!AO33*Inputs!$F$104/100*Time!AO31/Inputs!$F$248,0)</f>
        <v>0.80765724892988</v>
      </c>
      <c r="AP13" s="13" t="n">
        <f aca="false">IF(Time!AP20&gt;=Time!$F$12,Waterfall!AP33*Inputs!$F$104/100*Time!AP31/Inputs!$F$248,0)</f>
        <v>0</v>
      </c>
      <c r="AQ13" s="13" t="n">
        <f aca="false">IF(Time!AQ20&gt;=Time!$F$12,Waterfall!AQ33*Inputs!$F$104/100*Time!AQ31/Inputs!$F$248,0)</f>
        <v>0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656</v>
      </c>
      <c r="E14" s="0" t="s">
        <v>109</v>
      </c>
      <c r="J14" s="6" t="n">
        <f aca="false">IF(Waterfall!J33&gt;0,MIN(1,Inputs!$F$183*(Waterfall!$F$32+MAX(0,Waterfall!I43))/Waterfall!J33),1)</f>
        <v>1</v>
      </c>
      <c r="K14" s="6" t="n">
        <f aca="false">IF(Waterfall!K33&gt;0,MIN(1,Inputs!$F$183*(Waterfall!$F$32+MAX(0,Waterfall!J43))/Waterfall!K33),1)</f>
        <v>1</v>
      </c>
      <c r="L14" s="6" t="n">
        <f aca="false">IF(Waterfall!L33&gt;0,MIN(1,Inputs!$F$183*(Waterfall!$F$32+MAX(0,Waterfall!K43))/Waterfall!L33),1)</f>
        <v>1</v>
      </c>
      <c r="M14" s="6" t="n">
        <f aca="false">IF(Waterfall!M33&gt;0,MIN(1,Inputs!$F$183*(Waterfall!$F$32+MAX(0,Waterfall!L43))/Waterfall!M33),1)</f>
        <v>1</v>
      </c>
      <c r="N14" s="6" t="n">
        <f aca="false">IF(Waterfall!N33&gt;0,MIN(1,Inputs!$F$183*(Waterfall!$F$32+MAX(0,Waterfall!M43))/Waterfall!N33),1)</f>
        <v>1</v>
      </c>
      <c r="O14" s="6" t="n">
        <f aca="false">IF(Waterfall!O33&gt;0,MIN(1,Inputs!$F$183*(Waterfall!$F$32+MAX(0,Waterfall!N43))/Waterfall!O33),1)</f>
        <v>1</v>
      </c>
      <c r="P14" s="6" t="n">
        <f aca="false">IF(Waterfall!P33&gt;0,MIN(1,Inputs!$F$183*(Waterfall!$F$32+MAX(0,Waterfall!O43))/Waterfall!P33),1)</f>
        <v>0.643345235124165</v>
      </c>
      <c r="Q14" s="6" t="n">
        <f aca="false">IF(Waterfall!Q33&gt;0,MIN(1,Inputs!$F$183*(Waterfall!$F$32+MAX(0,Waterfall!P43))/Waterfall!Q33),1)</f>
        <v>0.703502489022689</v>
      </c>
      <c r="R14" s="6" t="n">
        <f aca="false">IF(Waterfall!R33&gt;0,MIN(1,Inputs!$F$183*(Waterfall!$F$32+MAX(0,Waterfall!Q43))/Waterfall!R33),1)</f>
        <v>0.784471738465493</v>
      </c>
      <c r="S14" s="6" t="n">
        <f aca="false">IF(Waterfall!S33&gt;0,MIN(1,Inputs!$F$183*(Waterfall!$F$32+MAX(0,Waterfall!R43))/Waterfall!S33),1)</f>
        <v>0.804773083536655</v>
      </c>
      <c r="T14" s="6" t="n">
        <f aca="false">IF(Waterfall!T33&gt;0,MIN(1,Inputs!$F$183*(Waterfall!$F$32+MAX(0,Waterfall!S43))/Waterfall!T33),1)</f>
        <v>0.777464687476193</v>
      </c>
      <c r="U14" s="6" t="n">
        <f aca="false">IF(Waterfall!U33&gt;0,MIN(1,Inputs!$F$183*(Waterfall!$F$32+MAX(0,Waterfall!T43))/Waterfall!U33),1)</f>
        <v>0.744468990447791</v>
      </c>
      <c r="V14" s="6" t="n">
        <f aca="false">IF(Waterfall!V33&gt;0,MIN(1,Inputs!$F$183*(Waterfall!$F$32+MAX(0,Waterfall!U43))/Waterfall!V33),1)</f>
        <v>0.756785815917008</v>
      </c>
      <c r="W14" s="6" t="n">
        <f aca="false">IF(Waterfall!W33&gt;0,MIN(1,Inputs!$F$183*(Waterfall!$F$32+MAX(0,Waterfall!V43))/Waterfall!W33),1)</f>
        <v>0.925250690821316</v>
      </c>
      <c r="X14" s="6" t="n">
        <f aca="false">IF(Waterfall!X33&gt;0,MIN(1,Inputs!$F$183*(Waterfall!$F$32+MAX(0,Waterfall!W43))/Waterfall!X33),1)</f>
        <v>1</v>
      </c>
      <c r="Y14" s="6" t="n">
        <f aca="false">IF(Waterfall!Y33&gt;0,MIN(1,Inputs!$F$183*(Waterfall!$F$32+MAX(0,Waterfall!X43))/Waterfall!Y33),1)</f>
        <v>1</v>
      </c>
      <c r="Z14" s="6" t="n">
        <f aca="false">IF(Waterfall!Z33&gt;0,MIN(1,Inputs!$F$183*(Waterfall!$F$32+MAX(0,Waterfall!Y43))/Waterfall!Z33),1)</f>
        <v>1</v>
      </c>
      <c r="AA14" s="6" t="n">
        <f aca="false">IF(Waterfall!AA33&gt;0,MIN(1,Inputs!$F$183*(Waterfall!$F$32+MAX(0,Waterfall!Z43))/Waterfall!AA33),1)</f>
        <v>1</v>
      </c>
      <c r="AB14" s="6" t="n">
        <f aca="false">IF(Waterfall!AB33&gt;0,MIN(1,Inputs!$F$183*(Waterfall!$F$32+MAX(0,Waterfall!AA43))/Waterfall!AB33),1)</f>
        <v>1</v>
      </c>
      <c r="AC14" s="6" t="n">
        <f aca="false">IF(Waterfall!AC33&gt;0,MIN(1,Inputs!$F$183*(Waterfall!$F$32+MAX(0,Waterfall!AB43))/Waterfall!AC33),1)</f>
        <v>1</v>
      </c>
      <c r="AD14" s="6" t="n">
        <f aca="false">IF(Waterfall!AD33&gt;0,MIN(1,Inputs!$F$183*(Waterfall!$F$32+MAX(0,Waterfall!AC43))/Waterfall!AD33),1)</f>
        <v>1</v>
      </c>
      <c r="AE14" s="6" t="n">
        <f aca="false">IF(Waterfall!AE33&gt;0,MIN(1,Inputs!$F$183*(Waterfall!$F$32+MAX(0,Waterfall!AD43))/Waterfall!AE33),1)</f>
        <v>1</v>
      </c>
      <c r="AF14" s="6" t="n">
        <f aca="false">IF(Waterfall!AF33&gt;0,MIN(1,Inputs!$F$183*(Waterfall!$F$32+MAX(0,Waterfall!AE43))/Waterfall!AF33),1)</f>
        <v>1</v>
      </c>
      <c r="AG14" s="6" t="n">
        <f aca="false">IF(Waterfall!AG33&gt;0,MIN(1,Inputs!$F$183*(Waterfall!$F$32+MAX(0,Waterfall!AF43))/Waterfall!AG33),1)</f>
        <v>1</v>
      </c>
      <c r="AH14" s="6" t="n">
        <f aca="false">IF(Waterfall!AH33&gt;0,MIN(1,Inputs!$F$183*(Waterfall!$F$32+MAX(0,Waterfall!AG43))/Waterfall!AH33),1)</f>
        <v>1</v>
      </c>
      <c r="AI14" s="6" t="n">
        <f aca="false">IF(Waterfall!AI33&gt;0,MIN(1,Inputs!$F$183*(Waterfall!$F$32+MAX(0,Waterfall!AH43))/Waterfall!AI33),1)</f>
        <v>1</v>
      </c>
      <c r="AJ14" s="6" t="n">
        <f aca="false">IF(Waterfall!AJ33&gt;0,MIN(1,Inputs!$F$183*(Waterfall!$F$32+MAX(0,Waterfall!AI43))/Waterfall!AJ33),1)</f>
        <v>1</v>
      </c>
      <c r="AK14" s="6" t="n">
        <f aca="false">IF(Waterfall!AK33&gt;0,MIN(1,Inputs!$F$183*(Waterfall!$F$32+MAX(0,Waterfall!AJ43))/Waterfall!AK33),1)</f>
        <v>1</v>
      </c>
      <c r="AL14" s="6" t="n">
        <f aca="false">IF(Waterfall!AL33&gt;0,MIN(1,Inputs!$F$183*(Waterfall!$F$32+MAX(0,Waterfall!AK43))/Waterfall!AL33),1)</f>
        <v>1</v>
      </c>
      <c r="AM14" s="6" t="n">
        <f aca="false">IF(Waterfall!AM33&gt;0,MIN(1,Inputs!$F$183*(Waterfall!$F$32+MAX(0,Waterfall!AL43))/Waterfall!AM33),1)</f>
        <v>1</v>
      </c>
      <c r="AN14" s="6" t="n">
        <f aca="false">IF(Waterfall!AN33&gt;0,MIN(1,Inputs!$F$183*(Waterfall!$F$32+MAX(0,Waterfall!AM43))/Waterfall!AN33),1)</f>
        <v>1</v>
      </c>
      <c r="AO14" s="6" t="n">
        <f aca="false">IF(Waterfall!AO33&gt;0,MIN(1,Inputs!$F$183*(Waterfall!$F$32+MAX(0,Waterfall!AN43))/Waterfall!AO33),1)</f>
        <v>1</v>
      </c>
      <c r="AP14" s="6" t="n">
        <f aca="false">IF(Waterfall!AP33&gt;0,MIN(1,Inputs!$F$183*(Waterfall!$F$32+MAX(0,Waterfall!AO43))/Waterfall!AP33),1)</f>
        <v>1</v>
      </c>
      <c r="AQ14" s="6" t="n">
        <f aca="false">IF(Waterfall!AQ33&gt;0,MIN(1,Inputs!$F$183*(Waterfall!$F$32+MAX(0,Waterfall!AP43))/Waterfall!AQ33),1)</f>
        <v>1</v>
      </c>
      <c r="AR14" s="6" t="n">
        <f aca="false">IF(Waterfall!AR33&gt;0,MIN(1,Inputs!$F$183*(Waterfall!$F$32+MAX(0,Waterfall!AQ43))/Waterfall!AR33),1)</f>
        <v>1</v>
      </c>
      <c r="AS14" s="6" t="n">
        <f aca="false">IF(Waterfall!AS33&gt;0,MIN(1,Inputs!$F$183*(Waterfall!$F$32+MAX(0,Waterfall!AR43))/Waterfall!AS33),1)</f>
        <v>1</v>
      </c>
      <c r="AT14" s="6" t="n">
        <f aca="false">IF(Waterfall!AT33&gt;0,MIN(1,Inputs!$F$183*(Waterfall!$F$32+MAX(0,Waterfall!AS43))/Waterfall!AT33),1)</f>
        <v>1</v>
      </c>
      <c r="AU14" s="6" t="n">
        <f aca="false">IF(Waterfall!AU33&gt;0,MIN(1,Inputs!$F$183*(Waterfall!$F$32+MAX(0,Waterfall!AT43))/Waterfall!AU33),1)</f>
        <v>1</v>
      </c>
      <c r="AV14" s="6" t="n">
        <f aca="false">IF(Waterfall!AV33&gt;0,MIN(1,Inputs!$F$183*(Waterfall!$F$32+MAX(0,Waterfall!AU43))/Waterfall!AV33),1)</f>
        <v>1</v>
      </c>
      <c r="AW14" s="6" t="n">
        <f aca="false">IF(Waterfall!AW33&gt;0,MIN(1,Inputs!$F$183*(Waterfall!$F$32+MAX(0,Waterfall!AV43))/Waterfall!AW33),1)</f>
        <v>1</v>
      </c>
      <c r="AX14" s="6" t="n">
        <f aca="false">IF(Waterfall!AX33&gt;0,MIN(1,Inputs!$F$183*(Waterfall!$F$32+MAX(0,Waterfall!AW43))/Waterfall!AX33),1)</f>
        <v>1</v>
      </c>
      <c r="AY14" s="6" t="n">
        <f aca="false">IF(Waterfall!AY33&gt;0,MIN(1,Inputs!$F$183*(Waterfall!$F$32+MAX(0,Waterfall!AX43))/Waterfall!AY33),1)</f>
        <v>1</v>
      </c>
      <c r="AZ14" s="6" t="n">
        <f aca="false">IF(Waterfall!AZ33&gt;0,MIN(1,Inputs!$F$183*(Waterfall!$F$32+MAX(0,Waterfall!AY43))/Waterfall!AZ33),1)</f>
        <v>1</v>
      </c>
      <c r="BA14" s="6" t="n">
        <f aca="false">IF(Waterfall!BA33&gt;0,MIN(1,Inputs!$F$183*(Waterfall!$F$32+MAX(0,Waterfall!AZ43))/Waterfall!BA33),1)</f>
        <v>1</v>
      </c>
      <c r="BB14" s="6" t="n">
        <f aca="false">IF(Waterfall!BB33&gt;0,MIN(1,Inputs!$F$183*(Waterfall!$F$32+MAX(0,Waterfall!BA43))/Waterfall!BB33),1)</f>
        <v>1</v>
      </c>
      <c r="BC14" s="6" t="n">
        <f aca="false">IF(Waterfall!BC33&gt;0,MIN(1,Inputs!$F$183*(Waterfall!$F$32+MAX(0,Waterfall!BB43))/Waterfall!BC33),1)</f>
        <v>1</v>
      </c>
      <c r="BD14" s="6" t="n">
        <f aca="false">IF(Waterfall!BD33&gt;0,MIN(1,Inputs!$F$183*(Waterfall!$F$32+MAX(0,Waterfall!BC43))/Waterfall!BD33),1)</f>
        <v>1</v>
      </c>
      <c r="BE14" s="6" t="n">
        <f aca="false">IF(Waterfall!BE33&gt;0,MIN(1,Inputs!$F$183*(Waterfall!$F$32+MAX(0,Waterfall!BD43))/Waterfall!BE33),1)</f>
        <v>1</v>
      </c>
      <c r="BF14" s="6" t="n">
        <f aca="false">IF(Waterfall!BF33&gt;0,MIN(1,Inputs!$F$183*(Waterfall!$F$32+MAX(0,Waterfall!BE43))/Waterfall!BF33),1)</f>
        <v>1</v>
      </c>
      <c r="BG14" s="6" t="n">
        <f aca="false">IF(Waterfall!BG33&gt;0,MIN(1,Inputs!$F$183*(Waterfall!$F$32+MAX(0,Waterfall!BF43))/Waterfall!BG33),1)</f>
        <v>1</v>
      </c>
      <c r="BH14" s="6" t="n">
        <f aca="false">IF(Waterfall!BH33&gt;0,MIN(1,Inputs!$F$183*(Waterfall!$F$32+MAX(0,Waterfall!BG43))/Waterfall!BH33),1)</f>
        <v>1</v>
      </c>
      <c r="BI14" s="6" t="n">
        <f aca="false">IF(Waterfall!BI33&gt;0,MIN(1,Inputs!$F$183*(Waterfall!$F$32+MAX(0,Waterfall!BH43))/Waterfall!BI33),1)</f>
        <v>1</v>
      </c>
      <c r="BJ14" s="6" t="n">
        <f aca="false">IF(Waterfall!BJ33&gt;0,MIN(1,Inputs!$F$183*(Waterfall!$F$32+MAX(0,Waterfall!BI43))/Waterfall!BJ33),1)</f>
        <v>1</v>
      </c>
      <c r="BK14" s="6" t="n">
        <f aca="false">IF(Waterfall!BK33&gt;0,MIN(1,Inputs!$F$183*(Waterfall!$F$32+MAX(0,Waterfall!BJ43))/Waterfall!BK33),1)</f>
        <v>1</v>
      </c>
      <c r="BL14" s="6" t="n">
        <f aca="false">IF(Waterfall!BL33&gt;0,MIN(1,Inputs!$F$183*(Waterfall!$F$32+MAX(0,Waterfall!BK43))/Waterfall!BL33),1)</f>
        <v>1</v>
      </c>
      <c r="BM14" s="6" t="n">
        <f aca="false">IF(Waterfall!BM33&gt;0,MIN(1,Inputs!$F$183*(Waterfall!$F$32+MAX(0,Waterfall!BL43))/Waterfall!BM33),1)</f>
        <v>1</v>
      </c>
      <c r="BN14" s="6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657</v>
      </c>
      <c r="E15" s="0" t="s">
        <v>149</v>
      </c>
      <c r="G15" s="13" t="n">
        <f aca="false">SUM(J15:BN15)</f>
        <v>179.967376305379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0</v>
      </c>
      <c r="P15" s="13" t="n">
        <f aca="false">P13*P14</f>
        <v>1.09004272463281</v>
      </c>
      <c r="Q15" s="13" t="n">
        <f aca="false">Q13*Q14</f>
        <v>7.01571587418031</v>
      </c>
      <c r="R15" s="13" t="n">
        <f aca="false">R13*R14</f>
        <v>8.31555044804407</v>
      </c>
      <c r="S15" s="13" t="n">
        <f aca="false">S13*S14</f>
        <v>8.79354035617747</v>
      </c>
      <c r="T15" s="13" t="n">
        <f aca="false">T13*T14</f>
        <v>9.04278855161535</v>
      </c>
      <c r="U15" s="13" t="n">
        <f aca="false">U13*U14</f>
        <v>8.97506799057743</v>
      </c>
      <c r="V15" s="13" t="n">
        <f aca="false">V13*V14</f>
        <v>9.66074517363734</v>
      </c>
      <c r="W15" s="13" t="n">
        <f aca="false">W13*W14</f>
        <v>10.3547533521429</v>
      </c>
      <c r="X15" s="13" t="n">
        <f aca="false">X13*X14</f>
        <v>10.8208511417511</v>
      </c>
      <c r="Y15" s="13" t="n">
        <f aca="false">Y13*Y14</f>
        <v>10.177642446045</v>
      </c>
      <c r="Z15" s="13" t="n">
        <f aca="false">Z13*Z14</f>
        <v>9.98484989282409</v>
      </c>
      <c r="AA15" s="13" t="n">
        <f aca="false">AA13*AA14</f>
        <v>9.4066047772135</v>
      </c>
      <c r="AB15" s="13" t="n">
        <f aca="false">AB13*AB14</f>
        <v>9.16008442635953</v>
      </c>
      <c r="AC15" s="13" t="n">
        <f aca="false">AC13*AC14</f>
        <v>8.60874154977227</v>
      </c>
      <c r="AD15" s="13" t="n">
        <f aca="false">AD13*AD14</f>
        <v>8.25222863191179</v>
      </c>
      <c r="AE15" s="13" t="n">
        <f aca="false">AE13*AE14</f>
        <v>7.67343120884361</v>
      </c>
      <c r="AF15" s="13" t="n">
        <f aca="false">AF13*AF14</f>
        <v>7.27829680900039</v>
      </c>
      <c r="AG15" s="13" t="n">
        <f aca="false">AG13*AG14</f>
        <v>6.56294360995315</v>
      </c>
      <c r="AH15" s="13" t="n">
        <f aca="false">AH13*AH14</f>
        <v>6.09248462978507</v>
      </c>
      <c r="AI15" s="13" t="n">
        <f aca="false">AI13*AI14</f>
        <v>5.35543255613653</v>
      </c>
      <c r="AJ15" s="13" t="n">
        <f aca="false">AJ13*AJ14</f>
        <v>4.79672100010439</v>
      </c>
      <c r="AK15" s="13" t="n">
        <f aca="false">AK13*AK14</f>
        <v>4.03579303608787</v>
      </c>
      <c r="AL15" s="13" t="n">
        <f aca="false">AL13*AL14</f>
        <v>3.36056626018871</v>
      </c>
      <c r="AM15" s="13" t="n">
        <f aca="false">AM13*AM14</f>
        <v>2.55369594026655</v>
      </c>
      <c r="AN15" s="13" t="n">
        <f aca="false">AN13*AN14</f>
        <v>1.79114666919797</v>
      </c>
      <c r="AO15" s="13" t="n">
        <f aca="false">AO13*AO14</f>
        <v>0.80765724892988</v>
      </c>
      <c r="AP15" s="13" t="n">
        <f aca="false">AP13*AP14</f>
        <v>0</v>
      </c>
      <c r="AQ15" s="13" t="n">
        <f aca="false">AQ13*AQ14</f>
        <v>0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658</v>
      </c>
      <c r="E16" s="0" t="s">
        <v>149</v>
      </c>
      <c r="G16" s="13" t="n">
        <f aca="false">SUM(J16:BN16)</f>
        <v>401.678668997769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0</v>
      </c>
      <c r="Q16" s="13" t="n">
        <f aca="false">Debt!Q112+Debt!Q110+Debt!Q104-Debt!Q103</f>
        <v>19.4832288270179</v>
      </c>
      <c r="R16" s="13" t="n">
        <f aca="false">Debt!R112+Debt!R110+Debt!R104-Debt!R103</f>
        <v>20.8440647770752</v>
      </c>
      <c r="S16" s="13" t="n">
        <f aca="false">Debt!S112+Debt!S110+Debt!S104-Debt!S103</f>
        <v>21.8223622898065</v>
      </c>
      <c r="T16" s="13" t="n">
        <f aca="false">Debt!T112+Debt!T110+Debt!T104-Debt!T103</f>
        <v>24.8545923049181</v>
      </c>
      <c r="U16" s="13" t="n">
        <f aca="false">Debt!U112+Debt!U110+Debt!U104-Debt!U103</f>
        <v>22.8389996117261</v>
      </c>
      <c r="V16" s="13" t="n">
        <f aca="false">Debt!V112+Debt!V110+Debt!V104-Debt!V103</f>
        <v>22.1828933400384</v>
      </c>
      <c r="W16" s="13" t="n">
        <f aca="false">Debt!W112+Debt!W110+Debt!W104-Debt!W103</f>
        <v>20.1425744024853</v>
      </c>
      <c r="X16" s="13" t="n">
        <f aca="false">Debt!X112+Debt!X110+Debt!X104-Debt!X103</f>
        <v>17.4901462477335</v>
      </c>
      <c r="Y16" s="13" t="n">
        <f aca="false">Debt!Y112+Debt!Y110+Debt!Y104-Debt!Y103</f>
        <v>16.8123364288892</v>
      </c>
      <c r="Z16" s="13" t="n">
        <f aca="false">Debt!Z112+Debt!Z110+Debt!Z104-Debt!Z103</f>
        <v>16.4204542372745</v>
      </c>
      <c r="AA16" s="13" t="n">
        <f aca="false">Debt!AA112+Debt!AA110+Debt!AA104-Debt!AA103</f>
        <v>15.8580772434486</v>
      </c>
      <c r="AB16" s="13" t="n">
        <f aca="false">Debt!AB112+Debt!AB110+Debt!AB104-Debt!AB103</f>
        <v>15.4375045148287</v>
      </c>
      <c r="AC16" s="13" t="n">
        <f aca="false">Debt!AC112+Debt!AC110+Debt!AC104-Debt!AC103</f>
        <v>14.9066073780107</v>
      </c>
      <c r="AD16" s="13" t="n">
        <f aca="false">Debt!AD112+Debt!AD110+Debt!AD104-Debt!AD103</f>
        <v>14.4255727418401</v>
      </c>
      <c r="AE16" s="13" t="n">
        <f aca="false">Debt!AE112+Debt!AE110+Debt!AE104-Debt!AE103</f>
        <v>13.8385634530416</v>
      </c>
      <c r="AF16" s="13" t="n">
        <f aca="false">Debt!AF112+Debt!AF110+Debt!AF104-Debt!AF103</f>
        <v>13.294699344663</v>
      </c>
      <c r="AG16" s="13" t="n">
        <f aca="false">Debt!AG112+Debt!AG110+Debt!AG104-Debt!AG103</f>
        <v>12.6285636796117</v>
      </c>
      <c r="AH16" s="13" t="n">
        <f aca="false">Debt!AH112+Debt!AH110+Debt!AH104-Debt!AH103</f>
        <v>12.0374245486774</v>
      </c>
      <c r="AI16" s="13" t="n">
        <f aca="false">Debt!AI112+Debt!AI110+Debt!AI104-Debt!AI103</f>
        <v>11.3398810179999</v>
      </c>
      <c r="AJ16" s="13" t="n">
        <f aca="false">Debt!AJ112+Debt!AJ110+Debt!AJ104-Debt!AJ103</f>
        <v>10.6934647921304</v>
      </c>
      <c r="AK16" s="13" t="n">
        <f aca="false">Debt!AK112+Debt!AK110+Debt!AK104-Debt!AK103</f>
        <v>9.96457777412756</v>
      </c>
      <c r="AL16" s="13" t="n">
        <f aca="false">Debt!AL112+Debt!AL110+Debt!AL104-Debt!AL103</f>
        <v>9.25432516133418</v>
      </c>
      <c r="AM16" s="13" t="n">
        <f aca="false">Debt!AM112+Debt!AM110+Debt!AM104-Debt!AM103</f>
        <v>8.47971926368872</v>
      </c>
      <c r="AN16" s="13" t="n">
        <f aca="false">Debt!AN112+Debt!AN110+Debt!AN104-Debt!AN103</f>
        <v>7.70293916772064</v>
      </c>
      <c r="AO16" s="13" t="n">
        <f aca="false">Debt!AO112+Debt!AO110+Debt!AO104-Debt!AO103</f>
        <v>6.84982614315684</v>
      </c>
      <c r="AP16" s="13" t="n">
        <f aca="false">Debt!AP112+Debt!AP110+Debt!AP104-Debt!AP103</f>
        <v>6.05394875536452</v>
      </c>
      <c r="AQ16" s="13" t="n">
        <f aca="false">Debt!AQ112+Debt!AQ110+Debt!AQ104-Debt!AQ103</f>
        <v>5.09847608648243</v>
      </c>
      <c r="AR16" s="13" t="n">
        <f aca="false">Debt!AR112+Debt!AR110+Debt!AR104-Debt!AR103</f>
        <v>4.19109230970568</v>
      </c>
      <c r="AS16" s="13" t="n">
        <f aca="false">Debt!AS112+Debt!AS110+Debt!AS104-Debt!AS103</f>
        <v>3.23625337109209</v>
      </c>
      <c r="AT16" s="13" t="n">
        <f aca="false">Debt!AT112+Debt!AT110+Debt!AT104-Debt!AT103</f>
        <v>2.25949443206706</v>
      </c>
      <c r="AU16" s="13" t="n">
        <f aca="false">Debt!AU112+Debt!AU110+Debt!AU104-Debt!AU103</f>
        <v>1.23600535181209</v>
      </c>
      <c r="AV16" s="13" t="n">
        <f aca="false">Debt!AV112+Debt!AV110+Debt!AV104-Debt!AV103</f>
        <v>2.68342762930963E-014</v>
      </c>
      <c r="AW16" s="13" t="n">
        <f aca="false">Debt!AW112+Debt!AW110+Debt!AW104-Debt!AW103</f>
        <v>2.68342762930963E-014</v>
      </c>
      <c r="AX16" s="13" t="n">
        <f aca="false">Debt!AX112+Debt!AX110+Debt!AX104-Debt!AX103</f>
        <v>2.68342762930963E-014</v>
      </c>
      <c r="AY16" s="13" t="n">
        <f aca="false">Debt!AY112+Debt!AY110+Debt!AY104-Debt!AY103</f>
        <v>2.68342762930963E-014</v>
      </c>
      <c r="AZ16" s="13" t="n">
        <f aca="false">Debt!AZ112+Debt!AZ110+Debt!AZ104-Debt!AZ103</f>
        <v>2.68342762930963E-014</v>
      </c>
      <c r="BA16" s="13" t="n">
        <f aca="false">Debt!BA112+Debt!BA110+Debt!BA104-Debt!BA103</f>
        <v>2.68342762930963E-014</v>
      </c>
      <c r="BB16" s="13" t="n">
        <f aca="false">Debt!BB112+Debt!BB110+Debt!BB104-Debt!BB103</f>
        <v>2.68342762930963E-014</v>
      </c>
      <c r="BC16" s="13" t="n">
        <f aca="false">Debt!BC112+Debt!BC110+Debt!BC104-Debt!BC103</f>
        <v>2.68342762930963E-014</v>
      </c>
      <c r="BD16" s="13" t="n">
        <f aca="false">Debt!BD112+Debt!BD110+Debt!BD104-Debt!BD103</f>
        <v>2.68342762930963E-014</v>
      </c>
      <c r="BE16" s="13" t="n">
        <f aca="false">Debt!BE112+Debt!BE110+Debt!BE104-Debt!BE103</f>
        <v>2.68342762930963E-014</v>
      </c>
      <c r="BF16" s="13" t="n">
        <f aca="false">Debt!BF112+Debt!BF110+Debt!BF104-Debt!BF103</f>
        <v>2.68342762930963E-014</v>
      </c>
      <c r="BG16" s="13" t="n">
        <f aca="false">Debt!BG112+Debt!BG110+Debt!BG104-Debt!BG103</f>
        <v>2.68342762930963E-014</v>
      </c>
      <c r="BH16" s="13" t="n">
        <f aca="false">Debt!BH112+Debt!BH110+Debt!BH104-Debt!BH103</f>
        <v>2.68342762930963E-014</v>
      </c>
      <c r="BI16" s="13" t="n">
        <f aca="false">Debt!BI112+Debt!BI110+Debt!BI104-Debt!BI103</f>
        <v>2.68342762930963E-014</v>
      </c>
      <c r="BJ16" s="13" t="n">
        <f aca="false">Debt!BJ112+Debt!BJ110+Debt!BJ104-Debt!BJ103</f>
        <v>2.68342762930963E-014</v>
      </c>
      <c r="BK16" s="13" t="n">
        <f aca="false">Debt!BK112+Debt!BK110+Debt!BK104-Debt!BK103</f>
        <v>2.68342762930963E-014</v>
      </c>
      <c r="BL16" s="13" t="n">
        <f aca="false">Debt!BL112+Debt!BL110+Debt!BL104-Debt!BL103</f>
        <v>2.68342762930963E-014</v>
      </c>
      <c r="BM16" s="13" t="n">
        <f aca="false">Debt!BM112+Debt!BM110+Debt!BM104-Debt!BM103</f>
        <v>2.68342762930963E-014</v>
      </c>
      <c r="BN16" s="13" t="n">
        <f aca="false">Debt!BN112+Debt!BN110+Debt!BN104-Debt!BN103</f>
        <v>2.68342762930963E-014</v>
      </c>
    </row>
    <row r="17" customFormat="false" ht="15" hidden="false" customHeight="false" outlineLevel="0" collapsed="false">
      <c r="D17" s="0" t="s">
        <v>659</v>
      </c>
      <c r="E17" s="0" t="s">
        <v>109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</v>
      </c>
      <c r="Z17" s="13" t="n">
        <f aca="false">IF(Time!Z30&gt;0,(Time!Z30-Z7)/Time!Z30,0)</f>
        <v>0.166666666666667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1</v>
      </c>
    </row>
    <row r="18" customFormat="false" ht="15" hidden="false" customHeight="false" outlineLevel="0" collapsed="false">
      <c r="D18" s="0" t="s">
        <v>660</v>
      </c>
      <c r="E18" s="0" t="s">
        <v>149</v>
      </c>
      <c r="G18" s="13" t="n">
        <f aca="false">SUM(J18:BN18)</f>
        <v>1227.36753633991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0</v>
      </c>
      <c r="Z18" s="13" t="n">
        <f aca="false">(Operations!Z84-Z16-Z15)*Z17-Z12</f>
        <v>0.904258746294158</v>
      </c>
      <c r="AA18" s="13" t="n">
        <f aca="false">(Operations!AA84-AA16-AA15)*AA17-AA12</f>
        <v>6.80538207203481</v>
      </c>
      <c r="AB18" s="13" t="n">
        <f aca="false">(Operations!AB84-AB16-AB15)*AB17-AB12</f>
        <v>7.64754965653883</v>
      </c>
      <c r="AC18" s="13" t="n">
        <f aca="false">(Operations!AC84-AC16-AC15)*AC17-AC12</f>
        <v>8.84039304018168</v>
      </c>
      <c r="AD18" s="13" t="n">
        <f aca="false">(Operations!AD84-AD16-AD15)*AD17-AD12</f>
        <v>9.88783667367747</v>
      </c>
      <c r="AE18" s="13" t="n">
        <f aca="false">(Operations!AE84-AE16-AE15)*AE17-AE12</f>
        <v>-2.8083141131068</v>
      </c>
      <c r="AF18" s="13" t="n">
        <f aca="false">(Operations!AF84-AF16-AF15)*AF17-AF12</f>
        <v>12.1507485793244</v>
      </c>
      <c r="AG18" s="13" t="n">
        <f aca="false">(Operations!AG84-AG16-AG15)*AG17-AG12</f>
        <v>13.728193752795</v>
      </c>
      <c r="AH18" s="13" t="n">
        <f aca="false">(Operations!AH84-AH16-AH15)*AH17-AH12</f>
        <v>14.9428148966237</v>
      </c>
      <c r="AI18" s="13" t="n">
        <f aca="false">(Operations!AI84-AI16-AI15)*AI17-AI12</f>
        <v>16.5653866296768</v>
      </c>
      <c r="AJ18" s="13" t="n">
        <f aca="false">(Operations!AJ84-AJ16-AJ15)*AJ17-AJ12</f>
        <v>17.9074610453368</v>
      </c>
      <c r="AK18" s="13" t="n">
        <f aca="false">(Operations!AK84-AK16-AK15)*AK17-AK12</f>
        <v>19.4867423481348</v>
      </c>
      <c r="AL18" s="13" t="n">
        <f aca="false">(Operations!AL84-AL16-AL15)*AL17-AL12</f>
        <v>21.0590203885139</v>
      </c>
      <c r="AM18" s="13" t="n">
        <f aca="false">(Operations!AM84-AM16-AM15)*AM17-AM12</f>
        <v>19.6291973991192</v>
      </c>
      <c r="AN18" s="13" t="n">
        <f aca="false">(Operations!AN84-AN16-AN15)*AN17-AN12</f>
        <v>24.6298211713677</v>
      </c>
      <c r="AO18" s="13" t="n">
        <f aca="false">(Operations!AO84-AO16-AO15)*AO17-AO12</f>
        <v>26.4213712025493</v>
      </c>
      <c r="AP18" s="13" t="n">
        <f aca="false">(Operations!AP84-AP16-AP15)*AP17-AP12</f>
        <v>28.1923478013876</v>
      </c>
      <c r="AQ18" s="13" t="n">
        <f aca="false">(Operations!AQ84-AQ16-AQ15)*AQ17-AQ12</f>
        <v>29.3529120926423</v>
      </c>
      <c r="AR18" s="13" t="n">
        <f aca="false">(Operations!AR84-AR16-AR15)*AR17-AR12</f>
        <v>30.4097267525816</v>
      </c>
      <c r="AS18" s="13" t="n">
        <f aca="false">(Operations!AS84-AS16-AS15)*AS17-AS12</f>
        <v>31.4597307092774</v>
      </c>
      <c r="AT18" s="13" t="n">
        <f aca="false">(Operations!AT84-AT16-AT15)*AT17-AT12</f>
        <v>32.6660469060528</v>
      </c>
      <c r="AU18" s="13" t="n">
        <f aca="false">(Operations!AU84-AU16-AU15)*AU17-AU12</f>
        <v>17.1850527953445</v>
      </c>
      <c r="AV18" s="13" t="n">
        <f aca="false">(Operations!AV84-AV16-AV15)*AV17-AV12</f>
        <v>35.1600578286954</v>
      </c>
      <c r="AW18" s="13" t="n">
        <f aca="false">(Operations!AW84-AW16-AW15)*AW17-AW12</f>
        <v>35.339606963851</v>
      </c>
      <c r="AX18" s="13" t="n">
        <f aca="false">(Operations!AX84-AX16-AX15)*AX17-AX12</f>
        <v>35.5228171369007</v>
      </c>
      <c r="AY18" s="13" t="n">
        <f aca="false">(Operations!AY84-AY16-AY15)*AY17-AY12</f>
        <v>35.7466094766331</v>
      </c>
      <c r="AZ18" s="13" t="n">
        <f aca="false">(Operations!AZ84-AZ16-AZ15)*AZ17-AZ12</f>
        <v>35.9096606365056</v>
      </c>
      <c r="BA18" s="13" t="n">
        <f aca="false">(Operations!BA84-BA16-BA15)*BA17-BA12</f>
        <v>36.0108772833934</v>
      </c>
      <c r="BB18" s="13" t="n">
        <f aca="false">(Operations!BB84-BB16-BB15)*BB17-BB12</f>
        <v>36.2357074095967</v>
      </c>
      <c r="BC18" s="13" t="n">
        <f aca="false">(Operations!BC84-BC16-BC15)*BC17-BC12</f>
        <v>32.6276330030957</v>
      </c>
      <c r="BD18" s="13" t="n">
        <f aca="false">(Operations!BD84-BD16-BD15)*BD17-BD12</f>
        <v>39.9957053559068</v>
      </c>
      <c r="BE18" s="13" t="n">
        <f aca="false">(Operations!BE84-BE16-BE15)*BE17-BE12</f>
        <v>56.0226526161185</v>
      </c>
      <c r="BF18" s="13" t="n">
        <f aca="false">(Operations!BF84-BF16-BF15)*BF17-BF12</f>
        <v>56.2231058264838</v>
      </c>
      <c r="BG18" s="13" t="n">
        <f aca="false">(Operations!BG84-BG16-BG15)*BG17-BG12</f>
        <v>56.4673328528618</v>
      </c>
      <c r="BH18" s="13" t="n">
        <f aca="false">(Operations!BH84-BH16-BH15)*BH17-BH12</f>
        <v>56.6452434416705</v>
      </c>
      <c r="BI18" s="13" t="n">
        <f aca="false">(Operations!BI84-BI16-BI15)*BI17-BI12</f>
        <v>56.7528855964691</v>
      </c>
      <c r="BJ18" s="13" t="n">
        <f aca="false">(Operations!BJ84-BJ16-BJ15)*BJ17-BJ12</f>
        <v>57.0300315777542</v>
      </c>
      <c r="BK18" s="13" t="n">
        <f aca="false">(Operations!BK84-BK16-BK15)*BK17-BK12</f>
        <v>37.3570619659791</v>
      </c>
      <c r="BL18" s="13" t="n">
        <f aca="false">(Operations!BL84-BL16-BL15)*BL17-BL12</f>
        <v>57.3569467453752</v>
      </c>
      <c r="BM18" s="13" t="n">
        <f aca="false">(Operations!BM84-BM16-BM15)*BM17-BM12</f>
        <v>57.5145423896867</v>
      </c>
      <c r="BN18" s="13" t="n">
        <f aca="false">(Operations!BN84-BN16-BN15)*BN17-BN12</f>
        <v>26.3853776865848</v>
      </c>
    </row>
    <row r="19" customFormat="false" ht="15" hidden="false" customHeight="false" outlineLevel="0" collapsed="false">
      <c r="D19" s="0" t="s">
        <v>661</v>
      </c>
      <c r="E19" s="0" t="s">
        <v>149</v>
      </c>
      <c r="G19" s="13" t="n">
        <f aca="false">SUM(J19:BN19)</f>
        <v>2.8083141131068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0</v>
      </c>
      <c r="AF19" s="13" t="n">
        <f aca="false">MIN(AE22,MAX(0,AF18))</f>
        <v>2.8083141131068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662</v>
      </c>
      <c r="E20" s="0" t="s">
        <v>149</v>
      </c>
      <c r="G20" s="13" t="n">
        <f aca="false">SUM(J20:BN20)</f>
        <v>226.702009785062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0</v>
      </c>
      <c r="Z20" s="13" t="n">
        <f aca="false">MIN(Y21,MAX(0,Z18-Z19))</f>
        <v>0.904258746294158</v>
      </c>
      <c r="AA20" s="13" t="n">
        <f aca="false">MIN(Z21,MAX(0,AA18-AA19))</f>
        <v>6.80538207203481</v>
      </c>
      <c r="AB20" s="13" t="n">
        <f aca="false">MIN(AA21,MAX(0,AB18-AB19))</f>
        <v>7.64754965653883</v>
      </c>
      <c r="AC20" s="13" t="n">
        <f aca="false">MIN(AB21,MAX(0,AC18-AC19))</f>
        <v>8.84039304018168</v>
      </c>
      <c r="AD20" s="13" t="n">
        <f aca="false">MIN(AC21,MAX(0,AD18-AD19))</f>
        <v>9.88783667367747</v>
      </c>
      <c r="AE20" s="13" t="n">
        <f aca="false">MIN(AD21,MAX(0,AE18-AE19))</f>
        <v>0</v>
      </c>
      <c r="AF20" s="13" t="n">
        <f aca="false">MIN(AE21,MAX(0,AF18-AF19))</f>
        <v>9.34243446621759</v>
      </c>
      <c r="AG20" s="13" t="n">
        <f aca="false">MIN(AF21,MAX(0,AG18-AG19))</f>
        <v>13.728193752795</v>
      </c>
      <c r="AH20" s="13" t="n">
        <f aca="false">MIN(AG21,MAX(0,AH18-AH19))</f>
        <v>14.9428148966237</v>
      </c>
      <c r="AI20" s="13" t="n">
        <f aca="false">MIN(AH21,MAX(0,AI18-AI19))</f>
        <v>16.5653866296768</v>
      </c>
      <c r="AJ20" s="13" t="n">
        <f aca="false">MIN(AI21,MAX(0,AJ18-AJ19))</f>
        <v>17.9074610453368</v>
      </c>
      <c r="AK20" s="13" t="n">
        <f aca="false">MIN(AJ21,MAX(0,AK18-AK19))</f>
        <v>19.4867423481348</v>
      </c>
      <c r="AL20" s="13" t="n">
        <f aca="false">MIN(AK21,MAX(0,AL18-AL19))</f>
        <v>21.0590203885139</v>
      </c>
      <c r="AM20" s="13" t="n">
        <f aca="false">MIN(AL21,MAX(0,AM18-AM19))</f>
        <v>19.6291973991192</v>
      </c>
      <c r="AN20" s="13" t="n">
        <f aca="false">MIN(AM21,MAX(0,AN18-AN19))</f>
        <v>24.6298211713677</v>
      </c>
      <c r="AO20" s="13" t="n">
        <f aca="false">MIN(AN21,MAX(0,AO18-AO19))</f>
        <v>26.4213712025493</v>
      </c>
      <c r="AP20" s="13" t="n">
        <f aca="false">MIN(AO21,MAX(0,AP18-AP19))</f>
        <v>8.90414629599965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663</v>
      </c>
      <c r="E21" s="0" t="s">
        <v>149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0</v>
      </c>
      <c r="P21" s="13" t="n">
        <f aca="false">O21+P11-P20</f>
        <v>3.77836682975103</v>
      </c>
      <c r="Q21" s="13" t="n">
        <f aca="false">P21+Q11-Q20</f>
        <v>26.4485678082572</v>
      </c>
      <c r="R21" s="13" t="n">
        <f aca="false">Q21+R11-R20</f>
        <v>49.1187687867633</v>
      </c>
      <c r="S21" s="13" t="n">
        <f aca="false">R21+S11-S20</f>
        <v>71.7889697652695</v>
      </c>
      <c r="T21" s="13" t="n">
        <f aca="false">S21+T11-T20</f>
        <v>94.4591707437756</v>
      </c>
      <c r="U21" s="13" t="n">
        <f aca="false">T21+U11-U20</f>
        <v>117.129371722282</v>
      </c>
      <c r="V21" s="13" t="n">
        <f aca="false">U21+V11-V20</f>
        <v>139.799572700788</v>
      </c>
      <c r="W21" s="13" t="n">
        <f aca="false">V21+W11-W20</f>
        <v>162.469773679294</v>
      </c>
      <c r="X21" s="13" t="n">
        <f aca="false">W21+X11-X20</f>
        <v>185.1399746578</v>
      </c>
      <c r="Y21" s="13" t="n">
        <f aca="false">X21+Y11-Y20</f>
        <v>207.810175636306</v>
      </c>
      <c r="Z21" s="13" t="n">
        <f aca="false">Y21+Z11-Z20</f>
        <v>225.797751038767</v>
      </c>
      <c r="AA21" s="13" t="n">
        <f aca="false">Z21+AA11-AA20</f>
        <v>218.992368966733</v>
      </c>
      <c r="AB21" s="13" t="n">
        <f aca="false">AA21+AB11-AB20</f>
        <v>211.344819310194</v>
      </c>
      <c r="AC21" s="13" t="n">
        <f aca="false">AB21+AC11-AC20</f>
        <v>202.504426270012</v>
      </c>
      <c r="AD21" s="13" t="n">
        <f aca="false">AC21+AD11-AD20</f>
        <v>192.616589596335</v>
      </c>
      <c r="AE21" s="13" t="n">
        <f aca="false">AD21+AE11-AE20</f>
        <v>192.616589596335</v>
      </c>
      <c r="AF21" s="13" t="n">
        <f aca="false">AE21+AF11-AF20</f>
        <v>183.274155130117</v>
      </c>
      <c r="AG21" s="13" t="n">
        <f aca="false">AF21+AG11-AG20</f>
        <v>169.545961377322</v>
      </c>
      <c r="AH21" s="13" t="n">
        <f aca="false">AG21+AH11-AH20</f>
        <v>154.603146480698</v>
      </c>
      <c r="AI21" s="13" t="n">
        <f aca="false">AH21+AI11-AI20</f>
        <v>138.037759851021</v>
      </c>
      <c r="AJ21" s="13" t="n">
        <f aca="false">AI21+AJ11-AJ20</f>
        <v>120.130298805685</v>
      </c>
      <c r="AK21" s="13" t="n">
        <f aca="false">AJ21+AK11-AK20</f>
        <v>100.64355645755</v>
      </c>
      <c r="AL21" s="13" t="n">
        <f aca="false">AK21+AL11-AL20</f>
        <v>79.5845360690359</v>
      </c>
      <c r="AM21" s="13" t="n">
        <f aca="false">AL21+AM11-AM20</f>
        <v>59.9553386699167</v>
      </c>
      <c r="AN21" s="13" t="n">
        <f aca="false">AM21+AN11-AN20</f>
        <v>35.325517498549</v>
      </c>
      <c r="AO21" s="13" t="n">
        <f aca="false">AN21+AO11-AO20</f>
        <v>8.90414629599965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664</v>
      </c>
      <c r="E22" s="0" t="s">
        <v>149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0</v>
      </c>
      <c r="AE22" s="13" t="n">
        <f aca="false">AD22-AE19+MAX(0,-AE18)</f>
        <v>2.8083141131068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665</v>
      </c>
      <c r="E23" s="0" t="s">
        <v>149</v>
      </c>
      <c r="G23" s="13" t="n">
        <f aca="false">SUM(J23:BN23)</f>
        <v>1000.66552655485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0</v>
      </c>
      <c r="AO23" s="13" t="n">
        <f aca="false">MAX(0,AO18-AO19-AO20)</f>
        <v>0</v>
      </c>
      <c r="AP23" s="13" t="n">
        <f aca="false">MAX(0,AP18-AP19-AP20)</f>
        <v>19.2882015053879</v>
      </c>
      <c r="AQ23" s="13" t="n">
        <f aca="false">MAX(0,AQ18-AQ19-AQ20)</f>
        <v>29.3529120926423</v>
      </c>
      <c r="AR23" s="13" t="n">
        <f aca="false">MAX(0,AR18-AR19-AR20)</f>
        <v>30.4097267525816</v>
      </c>
      <c r="AS23" s="13" t="n">
        <f aca="false">MAX(0,AS18-AS19-AS20)</f>
        <v>31.4597307092774</v>
      </c>
      <c r="AT23" s="13" t="n">
        <f aca="false">MAX(0,AT18-AT19-AT20)</f>
        <v>32.6660469060528</v>
      </c>
      <c r="AU23" s="13" t="n">
        <f aca="false">MAX(0,AU18-AU19-AU20)</f>
        <v>17.1850527953445</v>
      </c>
      <c r="AV23" s="13" t="n">
        <f aca="false">MAX(0,AV18-AV19-AV20)</f>
        <v>35.1600578286954</v>
      </c>
      <c r="AW23" s="13" t="n">
        <f aca="false">MAX(0,AW18-AW19-AW20)</f>
        <v>35.339606963851</v>
      </c>
      <c r="AX23" s="13" t="n">
        <f aca="false">MAX(0,AX18-AX19-AX20)</f>
        <v>35.5228171369007</v>
      </c>
      <c r="AY23" s="13" t="n">
        <f aca="false">MAX(0,AY18-AY19-AY20)</f>
        <v>35.7466094766331</v>
      </c>
      <c r="AZ23" s="13" t="n">
        <f aca="false">MAX(0,AZ18-AZ19-AZ20)</f>
        <v>35.9096606365056</v>
      </c>
      <c r="BA23" s="13" t="n">
        <f aca="false">MAX(0,BA18-BA19-BA20)</f>
        <v>36.0108772833934</v>
      </c>
      <c r="BB23" s="13" t="n">
        <f aca="false">MAX(0,BB18-BB19-BB20)</f>
        <v>36.2357074095967</v>
      </c>
      <c r="BC23" s="13" t="n">
        <f aca="false">MAX(0,BC18-BC19-BC20)</f>
        <v>32.6276330030957</v>
      </c>
      <c r="BD23" s="13" t="n">
        <f aca="false">MAX(0,BD18-BD19-BD20)</f>
        <v>39.9957053559068</v>
      </c>
      <c r="BE23" s="13" t="n">
        <f aca="false">MAX(0,BE18-BE19-BE20)</f>
        <v>56.0226526161185</v>
      </c>
      <c r="BF23" s="13" t="n">
        <f aca="false">MAX(0,BF18-BF19-BF20)</f>
        <v>56.2231058264838</v>
      </c>
      <c r="BG23" s="13" t="n">
        <f aca="false">MAX(0,BG18-BG19-BG20)</f>
        <v>56.4673328528618</v>
      </c>
      <c r="BH23" s="13" t="n">
        <f aca="false">MAX(0,BH18-BH19-BH20)</f>
        <v>56.6452434416705</v>
      </c>
      <c r="BI23" s="13" t="n">
        <f aca="false">MAX(0,BI18-BI19-BI20)</f>
        <v>56.7528855964691</v>
      </c>
      <c r="BJ23" s="13" t="n">
        <f aca="false">MAX(0,BJ18-BJ19-BJ20)</f>
        <v>57.0300315777542</v>
      </c>
      <c r="BK23" s="13" t="n">
        <f aca="false">MAX(0,BK18-BK19-BK20)</f>
        <v>37.3570619659791</v>
      </c>
      <c r="BL23" s="13" t="n">
        <f aca="false">MAX(0,BL18-BL19-BL20)</f>
        <v>57.3569467453752</v>
      </c>
      <c r="BM23" s="13" t="n">
        <f aca="false">MAX(0,BM18-BM19-BM20)</f>
        <v>57.5145423896867</v>
      </c>
      <c r="BN23" s="13" t="n">
        <f aca="false">MAX(0,BN18-BN19-BN20)</f>
        <v>26.3853776865848</v>
      </c>
    </row>
    <row r="24" customFormat="false" ht="15" hidden="false" customHeight="false" outlineLevel="0" collapsed="false">
      <c r="D24" s="0" t="s">
        <v>666</v>
      </c>
      <c r="E24" s="0" t="s">
        <v>103</v>
      </c>
      <c r="J24" s="6" t="n">
        <f aca="false">IF(J8+J9&gt;0,(J8*Inputs!$F$175+J9*Inputs!$F$174)/(J8+J9)/100,0)</f>
        <v>0</v>
      </c>
      <c r="K24" s="6" t="n">
        <f aca="false">IF(K8+K9&gt;0,(K8*Inputs!$F$175+K9*Inputs!$F$174)/(K8+K9)/100,0)</f>
        <v>0</v>
      </c>
      <c r="L24" s="6" t="n">
        <f aca="false">IF(L8+L9&gt;0,(L8*Inputs!$F$175+L9*Inputs!$F$174)/(L8+L9)/100,0)</f>
        <v>0</v>
      </c>
      <c r="M24" s="6" t="n">
        <f aca="false">IF(M8+M9&gt;0,(M8*Inputs!$F$175+M9*Inputs!$F$174)/(M8+M9)/100,0)</f>
        <v>0</v>
      </c>
      <c r="N24" s="6" t="n">
        <f aca="false">IF(N8+N9&gt;0,(N8*Inputs!$F$175+N9*Inputs!$F$174)/(N8+N9)/100,0)</f>
        <v>0</v>
      </c>
      <c r="O24" s="6" t="n">
        <f aca="false">IF(O8+O9&gt;0,(O8*Inputs!$F$175+O9*Inputs!$F$174)/(O8+O9)/100,0)</f>
        <v>0</v>
      </c>
      <c r="P24" s="6" t="n">
        <f aca="false">IF(P8+P9&gt;0,(P8*Inputs!$F$175+P9*Inputs!$F$174)/(P8+P9)/100,0)</f>
        <v>0</v>
      </c>
      <c r="Q24" s="6" t="n">
        <f aca="false">IF(Q8+Q9&gt;0,(Q8*Inputs!$F$175+Q9*Inputs!$F$174)/(Q8+Q9)/100,0)</f>
        <v>0</v>
      </c>
      <c r="R24" s="6" t="n">
        <f aca="false">IF(R8+R9&gt;0,(R8*Inputs!$F$175+R9*Inputs!$F$174)/(R8+R9)/100,0)</f>
        <v>0</v>
      </c>
      <c r="S24" s="6" t="n">
        <f aca="false">IF(S8+S9&gt;0,(S8*Inputs!$F$175+S9*Inputs!$F$174)/(S8+S9)/100,0)</f>
        <v>0</v>
      </c>
      <c r="T24" s="6" t="n">
        <f aca="false">IF(T8+T9&gt;0,(T8*Inputs!$F$175+T9*Inputs!$F$174)/(T8+T9)/100,0)</f>
        <v>0</v>
      </c>
      <c r="U24" s="6" t="n">
        <f aca="false">IF(U8+U9&gt;0,(U8*Inputs!$F$175+U9*Inputs!$F$174)/(U8+U9)/100,0)</f>
        <v>0</v>
      </c>
      <c r="V24" s="6" t="n">
        <f aca="false">IF(V8+V9&gt;0,(V8*Inputs!$F$175+V9*Inputs!$F$174)/(V8+V9)/100,0)</f>
        <v>0</v>
      </c>
      <c r="W24" s="6" t="n">
        <f aca="false">IF(W8+W9&gt;0,(W8*Inputs!$F$175+W9*Inputs!$F$174)/(W8+W9)/100,0)</f>
        <v>0</v>
      </c>
      <c r="X24" s="6" t="n">
        <f aca="false">IF(X8+X9&gt;0,(X8*Inputs!$F$175+X9*Inputs!$F$174)/(X8+X9)/100,0)</f>
        <v>0</v>
      </c>
      <c r="Y24" s="6" t="n">
        <f aca="false">IF(Y8+Y9&gt;0,(Y8*Inputs!$F$175+Y9*Inputs!$F$174)/(Y8+Y9)/100,0)</f>
        <v>0</v>
      </c>
      <c r="Z24" s="6" t="n">
        <f aca="false">IF(Z8+Z9&gt;0,(Z8*Inputs!$F$175+Z9*Inputs!$F$174)/(Z8+Z9)/100,0)</f>
        <v>0.15</v>
      </c>
      <c r="AA24" s="6" t="n">
        <f aca="false">IF(AA8+AA9&gt;0,(AA8*Inputs!$F$175+AA9*Inputs!$F$174)/(AA8+AA9)/100,0)</f>
        <v>0.15</v>
      </c>
      <c r="AB24" s="6" t="n">
        <f aca="false">IF(AB8+AB9&gt;0,(AB8*Inputs!$F$175+AB9*Inputs!$F$174)/(AB8+AB9)/100,0)</f>
        <v>0.15</v>
      </c>
      <c r="AC24" s="6" t="n">
        <f aca="false">IF(AC8+AC9&gt;0,(AC8*Inputs!$F$175+AC9*Inputs!$F$174)/(AC8+AC9)/100,0)</f>
        <v>0.15</v>
      </c>
      <c r="AD24" s="6" t="n">
        <f aca="false">IF(AD8+AD9&gt;0,(AD8*Inputs!$F$175+AD9*Inputs!$F$174)/(AD8+AD9)/100,0)</f>
        <v>0.15</v>
      </c>
      <c r="AE24" s="6" t="n">
        <f aca="false">IF(AE8+AE9&gt;0,(AE8*Inputs!$F$175+AE9*Inputs!$F$174)/(AE8+AE9)/100,0)</f>
        <v>0.15</v>
      </c>
      <c r="AF24" s="6" t="n">
        <f aca="false">IF(AF8+AF9&gt;0,(AF8*Inputs!$F$175+AF9*Inputs!$F$174)/(AF8+AF9)/100,0)</f>
        <v>0.175</v>
      </c>
      <c r="AG24" s="6" t="n">
        <f aca="false">IF(AG8+AG9&gt;0,(AG8*Inputs!$F$175+AG9*Inputs!$F$174)/(AG8+AG9)/100,0)</f>
        <v>0.3</v>
      </c>
      <c r="AH24" s="6" t="n">
        <f aca="false">IF(AH8+AH9&gt;0,(AH8*Inputs!$F$175+AH9*Inputs!$F$174)/(AH8+AH9)/100,0)</f>
        <v>0.3</v>
      </c>
      <c r="AI24" s="6" t="n">
        <f aca="false">IF(AI8+AI9&gt;0,(AI8*Inputs!$F$175+AI9*Inputs!$F$174)/(AI8+AI9)/100,0)</f>
        <v>0.3</v>
      </c>
      <c r="AJ24" s="6" t="n">
        <f aca="false">IF(AJ8+AJ9&gt;0,(AJ8*Inputs!$F$175+AJ9*Inputs!$F$174)/(AJ8+AJ9)/100,0)</f>
        <v>0.3</v>
      </c>
      <c r="AK24" s="6" t="n">
        <f aca="false">IF(AK8+AK9&gt;0,(AK8*Inputs!$F$175+AK9*Inputs!$F$174)/(AK8+AK9)/100,0)</f>
        <v>0.3</v>
      </c>
      <c r="AL24" s="6" t="n">
        <f aca="false">IF(AL8+AL9&gt;0,(AL8*Inputs!$F$175+AL9*Inputs!$F$174)/(AL8+AL9)/100,0)</f>
        <v>0.3</v>
      </c>
      <c r="AM24" s="6" t="n">
        <f aca="false">IF(AM8+AM9&gt;0,(AM8*Inputs!$F$175+AM9*Inputs!$F$174)/(AM8+AM9)/100,0)</f>
        <v>0.3</v>
      </c>
      <c r="AN24" s="6" t="n">
        <f aca="false">IF(AN8+AN9&gt;0,(AN8*Inputs!$F$175+AN9*Inputs!$F$174)/(AN8+AN9)/100,0)</f>
        <v>0.3</v>
      </c>
      <c r="AO24" s="6" t="n">
        <f aca="false">IF(AO8+AO9&gt;0,(AO8*Inputs!$F$175+AO9*Inputs!$F$174)/(AO8+AO9)/100,0)</f>
        <v>0.3</v>
      </c>
      <c r="AP24" s="6" t="n">
        <f aca="false">IF(AP8+AP9&gt;0,(AP8*Inputs!$F$175+AP9*Inputs!$F$174)/(AP8+AP9)/100,0)</f>
        <v>0.3</v>
      </c>
      <c r="AQ24" s="6" t="n">
        <f aca="false">IF(AQ8+AQ9&gt;0,(AQ8*Inputs!$F$175+AQ9*Inputs!$F$174)/(AQ8+AQ9)/100,0)</f>
        <v>0.3</v>
      </c>
      <c r="AR24" s="6" t="n">
        <f aca="false">IF(AR8+AR9&gt;0,(AR8*Inputs!$F$175+AR9*Inputs!$F$174)/(AR8+AR9)/100,0)</f>
        <v>0.3</v>
      </c>
      <c r="AS24" s="6" t="n">
        <f aca="false">IF(AS8+AS9&gt;0,(AS8*Inputs!$F$175+AS9*Inputs!$F$174)/(AS8+AS9)/100,0)</f>
        <v>0.3</v>
      </c>
      <c r="AT24" s="6" t="n">
        <f aca="false">IF(AT8+AT9&gt;0,(AT8*Inputs!$F$175+AT9*Inputs!$F$174)/(AT8+AT9)/100,0)</f>
        <v>0.3</v>
      </c>
      <c r="AU24" s="6" t="n">
        <f aca="false">IF(AU8+AU9&gt;0,(AU8*Inputs!$F$175+AU9*Inputs!$F$174)/(AU8+AU9)/100,0)</f>
        <v>0.3</v>
      </c>
      <c r="AV24" s="6" t="n">
        <f aca="false">IF(AV8+AV9&gt;0,(AV8*Inputs!$F$175+AV9*Inputs!$F$174)/(AV8+AV9)/100,0)</f>
        <v>0.3</v>
      </c>
      <c r="AW24" s="6" t="n">
        <f aca="false">IF(AW8+AW9&gt;0,(AW8*Inputs!$F$175+AW9*Inputs!$F$174)/(AW8+AW9)/100,0)</f>
        <v>0.3</v>
      </c>
      <c r="AX24" s="6" t="n">
        <f aca="false">IF(AX8+AX9&gt;0,(AX8*Inputs!$F$175+AX9*Inputs!$F$174)/(AX8+AX9)/100,0)</f>
        <v>0.3</v>
      </c>
      <c r="AY24" s="6" t="n">
        <f aca="false">IF(AY8+AY9&gt;0,(AY8*Inputs!$F$175+AY9*Inputs!$F$174)/(AY8+AY9)/100,0)</f>
        <v>0.3</v>
      </c>
      <c r="AZ24" s="6" t="n">
        <f aca="false">IF(AZ8+AZ9&gt;0,(AZ8*Inputs!$F$175+AZ9*Inputs!$F$174)/(AZ8+AZ9)/100,0)</f>
        <v>0.3</v>
      </c>
      <c r="BA24" s="6" t="n">
        <f aca="false">IF(BA8+BA9&gt;0,(BA8*Inputs!$F$175+BA9*Inputs!$F$174)/(BA8+BA9)/100,0)</f>
        <v>0.3</v>
      </c>
      <c r="BB24" s="6" t="n">
        <f aca="false">IF(BB8+BB9&gt;0,(BB8*Inputs!$F$175+BB9*Inputs!$F$174)/(BB8+BB9)/100,0)</f>
        <v>0.3</v>
      </c>
      <c r="BC24" s="6" t="n">
        <f aca="false">IF(BC8+BC9&gt;0,(BC8*Inputs!$F$175+BC9*Inputs!$F$174)/(BC8+BC9)/100,0)</f>
        <v>0.3</v>
      </c>
      <c r="BD24" s="6" t="n">
        <f aca="false">IF(BD8+BD9&gt;0,(BD8*Inputs!$F$175+BD9*Inputs!$F$174)/(BD8+BD9)/100,0)</f>
        <v>0.3</v>
      </c>
      <c r="BE24" s="6" t="n">
        <f aca="false">IF(BE8+BE9&gt;0,(BE8*Inputs!$F$175+BE9*Inputs!$F$174)/(BE8+BE9)/100,0)</f>
        <v>0.3</v>
      </c>
      <c r="BF24" s="6" t="n">
        <f aca="false">IF(BF8+BF9&gt;0,(BF8*Inputs!$F$175+BF9*Inputs!$F$174)/(BF8+BF9)/100,0)</f>
        <v>0.3</v>
      </c>
      <c r="BG24" s="6" t="n">
        <f aca="false">IF(BG8+BG9&gt;0,(BG8*Inputs!$F$175+BG9*Inputs!$F$174)/(BG8+BG9)/100,0)</f>
        <v>0.3</v>
      </c>
      <c r="BH24" s="6" t="n">
        <f aca="false">IF(BH8+BH9&gt;0,(BH8*Inputs!$F$175+BH9*Inputs!$F$174)/(BH8+BH9)/100,0)</f>
        <v>0.3</v>
      </c>
      <c r="BI24" s="6" t="n">
        <f aca="false">IF(BI8+BI9&gt;0,(BI8*Inputs!$F$175+BI9*Inputs!$F$174)/(BI8+BI9)/100,0)</f>
        <v>0.3</v>
      </c>
      <c r="BJ24" s="6" t="n">
        <f aca="false">IF(BJ8+BJ9&gt;0,(BJ8*Inputs!$F$175+BJ9*Inputs!$F$174)/(BJ8+BJ9)/100,0)</f>
        <v>0.3</v>
      </c>
      <c r="BK24" s="6" t="n">
        <f aca="false">IF(BK8+BK9&gt;0,(BK8*Inputs!$F$175+BK9*Inputs!$F$174)/(BK8+BK9)/100,0)</f>
        <v>0.3</v>
      </c>
      <c r="BL24" s="6" t="n">
        <f aca="false">IF(BL8+BL9&gt;0,(BL8*Inputs!$F$175+BL9*Inputs!$F$174)/(BL8+BL9)/100,0)</f>
        <v>0.3</v>
      </c>
      <c r="BM24" s="6" t="n">
        <f aca="false">IF(BM8+BM9&gt;0,(BM8*Inputs!$F$175+BM9*Inputs!$F$174)/(BM8+BM9)/100,0)</f>
        <v>0.3</v>
      </c>
      <c r="BN24" s="6" t="n">
        <f aca="false">IF(BN8+BN9&gt;0,(BN8*Inputs!$F$175+BN9*Inputs!$F$174)/(BN8+BN9)/100,0)</f>
        <v>0.3</v>
      </c>
    </row>
    <row r="25" customFormat="false" ht="15" hidden="false" customHeight="false" outlineLevel="0" collapsed="false">
      <c r="D25" s="0" t="s">
        <v>283</v>
      </c>
      <c r="E25" s="0" t="s">
        <v>149</v>
      </c>
      <c r="G25" s="13" t="n">
        <f aca="false">SUM(J25:BN25)</f>
        <v>300.199657966455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0</v>
      </c>
      <c r="AO25" s="13" t="n">
        <f aca="false">AO23*AO24</f>
        <v>0</v>
      </c>
      <c r="AP25" s="13" t="n">
        <f aca="false">AP23*AP24</f>
        <v>5.78646045161637</v>
      </c>
      <c r="AQ25" s="13" t="n">
        <f aca="false">AQ23*AQ24</f>
        <v>8.80587362779269</v>
      </c>
      <c r="AR25" s="13" t="n">
        <f aca="false">AR23*AR24</f>
        <v>9.12291802577448</v>
      </c>
      <c r="AS25" s="13" t="n">
        <f aca="false">AS23*AS24</f>
        <v>9.43791921278323</v>
      </c>
      <c r="AT25" s="13" t="n">
        <f aca="false">AT23*AT24</f>
        <v>9.79981407181584</v>
      </c>
      <c r="AU25" s="13" t="n">
        <f aca="false">AU23*AU24</f>
        <v>5.15551583860336</v>
      </c>
      <c r="AV25" s="13" t="n">
        <f aca="false">AV23*AV24</f>
        <v>10.5480173486086</v>
      </c>
      <c r="AW25" s="13" t="n">
        <f aca="false">AW23*AW24</f>
        <v>10.6018820891553</v>
      </c>
      <c r="AX25" s="13" t="n">
        <f aca="false">AX23*AX24</f>
        <v>10.6568451410702</v>
      </c>
      <c r="AY25" s="13" t="n">
        <f aca="false">AY23*AY24</f>
        <v>10.7239828429899</v>
      </c>
      <c r="AZ25" s="13" t="n">
        <f aca="false">AZ23*AZ24</f>
        <v>10.7728981909517</v>
      </c>
      <c r="BA25" s="13" t="n">
        <f aca="false">BA23*BA24</f>
        <v>10.803263185018</v>
      </c>
      <c r="BB25" s="13" t="n">
        <f aca="false">BB23*BB24</f>
        <v>10.870712222879</v>
      </c>
      <c r="BC25" s="13" t="n">
        <f aca="false">BC23*BC24</f>
        <v>9.7882899009287</v>
      </c>
      <c r="BD25" s="13" t="n">
        <f aca="false">BD23*BD24</f>
        <v>11.998711606772</v>
      </c>
      <c r="BE25" s="13" t="n">
        <f aca="false">BE23*BE24</f>
        <v>16.8067957848355</v>
      </c>
      <c r="BF25" s="13" t="n">
        <f aca="false">BF23*BF24</f>
        <v>16.8669317479452</v>
      </c>
      <c r="BG25" s="13" t="n">
        <f aca="false">BG23*BG24</f>
        <v>16.9401998558585</v>
      </c>
      <c r="BH25" s="13" t="n">
        <f aca="false">BH23*BH24</f>
        <v>16.9935730325011</v>
      </c>
      <c r="BI25" s="13" t="n">
        <f aca="false">BI23*BI24</f>
        <v>17.0258656789407</v>
      </c>
      <c r="BJ25" s="13" t="n">
        <f aca="false">BJ23*BJ24</f>
        <v>17.1090094733263</v>
      </c>
      <c r="BK25" s="13" t="n">
        <f aca="false">BK23*BK24</f>
        <v>11.2071185897937</v>
      </c>
      <c r="BL25" s="13" t="n">
        <f aca="false">BL23*BL24</f>
        <v>17.2070840236125</v>
      </c>
      <c r="BM25" s="13" t="n">
        <f aca="false">BM23*BM24</f>
        <v>17.254362716906</v>
      </c>
      <c r="BN25" s="13" t="n">
        <f aca="false">BN23*BN24</f>
        <v>7.91561330597543</v>
      </c>
    </row>
    <row r="26" customFormat="false" ht="15" hidden="false" customHeight="false" outlineLevel="0" collapsed="false">
      <c r="D26" s="0" t="s">
        <v>667</v>
      </c>
      <c r="E26" s="0" t="s">
        <v>149</v>
      </c>
      <c r="G26" s="13" t="n">
        <f aca="false">SUM(J26:BN26)</f>
        <v>16.875695284919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</v>
      </c>
      <c r="Z26" s="13" t="n">
        <f aca="false">IF(Time!Z30&gt;0,Inputs!$F$176/100*Operations!Z55*(Z8+Z9)/Time!Z30,0)</f>
        <v>0.0625875665575088</v>
      </c>
      <c r="AA26" s="13" t="n">
        <f aca="false">IF(Time!AA30&gt;0,Inputs!$F$176/100*Operations!AA55*(AA8+AA9)/Time!AA30,0)</f>
        <v>0.377592204642685</v>
      </c>
      <c r="AB26" s="13" t="n">
        <f aca="false">IF(Time!AB30&gt;0,Inputs!$F$176/100*Operations!AB55*(AB8+AB9)/Time!AB30,0)</f>
        <v>0.379914508780302</v>
      </c>
      <c r="AC26" s="13" t="n">
        <f aca="false">IF(Time!AC30&gt;0,Inputs!$F$176/100*Operations!AC55*(AC8+AC9)/Time!AC30,0)</f>
        <v>0.382535181074324</v>
      </c>
      <c r="AD26" s="13" t="n">
        <f aca="false">IF(Time!AD30&gt;0,Inputs!$F$176/100*Operations!AD55*(AD8+AD9)/Time!AD30,0)</f>
        <v>0.384208229074236</v>
      </c>
      <c r="AE26" s="13" t="n">
        <f aca="false">IF(Time!AE30&gt;0,Inputs!$F$176/100*Operations!AE55*(AE8+AE9)/Time!AE30,0)</f>
        <v>0.379065950384095</v>
      </c>
      <c r="AF26" s="13" t="n">
        <f aca="false">IF(Time!AF30&gt;0,Inputs!$F$176/100*Operations!AF55*(AF8+AF9)/Time!AF30,0)</f>
        <v>0.384754442083169</v>
      </c>
      <c r="AG26" s="13" t="n">
        <f aca="false">IF(Time!AG30&gt;0,Inputs!$F$176/100*Operations!AG55*(AG8+AG9)/Time!AG30,0)</f>
        <v>0.390944915984741</v>
      </c>
      <c r="AH26" s="13" t="n">
        <f aca="false">IF(Time!AH30&gt;0,Inputs!$F$176/100*Operations!AH55*(AH8+AH9)/Time!AH30,0)</f>
        <v>0.392994480599946</v>
      </c>
      <c r="AI26" s="13" t="n">
        <f aca="false">IF(Time!AI30&gt;0,Inputs!$F$176/100*Operations!AI55*(AI8+AI9)/Time!AI30,0)</f>
        <v>0.394716568877903</v>
      </c>
      <c r="AJ26" s="13" t="n">
        <f aca="false">IF(Time!AJ30&gt;0,Inputs!$F$176/100*Operations!AJ55*(AJ8+AJ9)/Time!AJ30,0)</f>
        <v>0.396983522080416</v>
      </c>
      <c r="AK26" s="13" t="n">
        <f aca="false">IF(Time!AK30&gt;0,Inputs!$F$176/100*Operations!AK55*(AK8+AK9)/Time!AK30,0)</f>
        <v>0.399633877814463</v>
      </c>
      <c r="AL26" s="13" t="n">
        <f aca="false">IF(Time!AL30&gt;0,Inputs!$F$176/100*Operations!AL55*(AL8+AL9)/Time!AL30,0)</f>
        <v>0.401546567432522</v>
      </c>
      <c r="AM26" s="13" t="n">
        <f aca="false">IF(Time!AM30&gt;0,Inputs!$F$176/100*Operations!AM55*(AM8+AM9)/Time!AM30,0)</f>
        <v>0.402180611883386</v>
      </c>
      <c r="AN26" s="13" t="n">
        <f aca="false">IF(Time!AN30&gt;0,Inputs!$F$176/100*Operations!AN55*(AN8+AN9)/Time!AN30,0)</f>
        <v>0.404771395990425</v>
      </c>
      <c r="AO26" s="13" t="n">
        <f aca="false">IF(Time!AO30&gt;0,Inputs!$F$176/100*Operations!AO55*(AO8+AO9)/Time!AO30,0)</f>
        <v>0.408719213366684</v>
      </c>
      <c r="AP26" s="13" t="n">
        <f aca="false">IF(Time!AP30&gt;0,Inputs!$F$176/100*Operations!AP55*(AP8+AP9)/Time!AP30,0)</f>
        <v>0.410960448183235</v>
      </c>
      <c r="AQ26" s="13" t="n">
        <f aca="false">IF(Time!AQ30&gt;0,Inputs!$F$176/100*Operations!AQ55*(AQ8+AQ9)/Time!AQ30,0)</f>
        <v>0.4128453198862</v>
      </c>
      <c r="AR26" s="13" t="n">
        <f aca="false">IF(Time!AR30&gt;0,Inputs!$F$176/100*Operations!AR55*(AR8+AR9)/Time!AR30,0)</f>
        <v>0.415323424984917</v>
      </c>
      <c r="AS26" s="13" t="n">
        <f aca="false">IF(Time!AS30&gt;0,Inputs!$F$176/100*Operations!AS55*(AS8+AS9)/Time!AS30,0)</f>
        <v>0.41821899723812</v>
      </c>
      <c r="AT26" s="13" t="n">
        <f aca="false">IF(Time!AT30&gt;0,Inputs!$F$176/100*Operations!AT55*(AT8+AT9)/Time!AT30,0)</f>
        <v>0.420104365931443</v>
      </c>
      <c r="AU26" s="13" t="n">
        <f aca="false">IF(Time!AU30&gt;0,Inputs!$F$176/100*Operations!AU55*(AU8+AU9)/Time!AU30,0)</f>
        <v>0.414540081042854</v>
      </c>
      <c r="AV26" s="13" t="n">
        <f aca="false">IF(Time!AV30&gt;0,Inputs!$F$176/100*Operations!AV55*(AV8+AV9)/Time!AV30,0)</f>
        <v>0.420970384347254</v>
      </c>
      <c r="AW26" s="13" t="n">
        <f aca="false">IF(Time!AW30&gt;0,Inputs!$F$176/100*Operations!AW55*(AW8+AW9)/Time!AW30,0)</f>
        <v>0.428152127882871</v>
      </c>
      <c r="AX26" s="13" t="n">
        <f aca="false">IF(Time!AX30&gt;0,Inputs!$F$176/100*Operations!AX55*(AX8+AX9)/Time!AX30,0)</f>
        <v>0.430602951461669</v>
      </c>
      <c r="AY26" s="13" t="n">
        <f aca="false">IF(Time!AY30&gt;0,Inputs!$F$176/100*Operations!AY55*(AY8+AY9)/Time!AY30,0)</f>
        <v>0.4326659931447</v>
      </c>
      <c r="AZ26" s="13" t="n">
        <f aca="false">IF(Time!AZ30&gt;0,Inputs!$F$176/100*Operations!AZ55*(AZ8+AZ9)/Time!AZ30,0)</f>
        <v>0.435374907757944</v>
      </c>
      <c r="BA26" s="13" t="n">
        <f aca="false">IF(Time!BA30&gt;0,Inputs!$F$176/100*Operations!BA55*(BA8+BA9)/Time!BA30,0)</f>
        <v>0.438538365148385</v>
      </c>
      <c r="BB26" s="13" t="n">
        <f aca="false">IF(Time!BB30&gt;0,Inputs!$F$176/100*Operations!BB55*(BB8+BB9)/Time!BB30,0)</f>
        <v>0.440828022772127</v>
      </c>
      <c r="BC26" s="13" t="n">
        <f aca="false">IF(Time!BC30&gt;0,Inputs!$F$176/100*Operations!BC55*(BC8+BC9)/Time!BC30,0)</f>
        <v>0.441602919037224</v>
      </c>
      <c r="BD26" s="13" t="n">
        <f aca="false">IF(Time!BD30&gt;0,Inputs!$F$176/100*Operations!BD55*(BD8+BD9)/Time!BD30,0)</f>
        <v>0.444696575514811</v>
      </c>
      <c r="BE26" s="13" t="n">
        <f aca="false">IF(Time!BE30&gt;0,Inputs!$F$176/100*Operations!BE55*(BE8+BE9)/Time!BE30,0)</f>
        <v>0.449398369520835</v>
      </c>
      <c r="BF26" s="13" t="n">
        <f aca="false">IF(Time!BF30&gt;0,Inputs!$F$176/100*Operations!BF55*(BF8+BF9)/Time!BF30,0)</f>
        <v>0.452078374986902</v>
      </c>
      <c r="BG26" s="13" t="n">
        <f aca="false">IF(Time!BG30&gt;0,Inputs!$F$176/100*Operations!BG55*(BG8+BG9)/Time!BG30,0)</f>
        <v>0.454336427487293</v>
      </c>
      <c r="BH26" s="13" t="n">
        <f aca="false">IF(Time!BH30&gt;0,Inputs!$F$176/100*Operations!BH55*(BH8+BH9)/Time!BH30,0)</f>
        <v>0.457297638345345</v>
      </c>
      <c r="BI26" s="13" t="n">
        <f aca="false">IF(Time!BI30&gt;0,Inputs!$F$176/100*Operations!BI55*(BI8+BI9)/Time!BI30,0)</f>
        <v>0.460753743157713</v>
      </c>
      <c r="BJ26" s="13" t="n">
        <f aca="false">IF(Time!BJ30&gt;0,Inputs!$F$176/100*Operations!BJ55*(BJ8+BJ9)/Time!BJ30,0)</f>
        <v>0.463013239555069</v>
      </c>
      <c r="BK26" s="13" t="n">
        <f aca="false">IF(Time!BK30&gt;0,Inputs!$F$176/100*Operations!BK55*(BK8+BK9)/Time!BK30,0)</f>
        <v>0.456947940263315</v>
      </c>
      <c r="BL26" s="13" t="n">
        <f aca="false">IF(Time!BL30&gt;0,Inputs!$F$176/100*Operations!BL55*(BL8+BL9)/Time!BL30,0)</f>
        <v>0.46426501769982</v>
      </c>
      <c r="BM26" s="13" t="n">
        <f aca="false">IF(Time!BM30&gt;0,Inputs!$F$176/100*Operations!BM55*(BM8+BM9)/Time!BM30,0)</f>
        <v>0.472627072789008</v>
      </c>
      <c r="BN26" s="13" t="n">
        <f aca="false">IF(Time!BN30&gt;0,Inputs!$F$176/100*Operations!BN55*(BN8+BN9)/Time!BN30,0)</f>
        <v>0.396403340153168</v>
      </c>
    </row>
    <row r="27" customFormat="false" ht="15" hidden="false" customHeight="false" outlineLevel="0" collapsed="false">
      <c r="D27" s="0" t="s">
        <v>668</v>
      </c>
      <c r="E27" s="0" t="s">
        <v>149</v>
      </c>
      <c r="G27" s="13" t="n">
        <f aca="false">SUM(J27:BN27)</f>
        <v>306.142807203081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</v>
      </c>
      <c r="Z27" s="13" t="n">
        <f aca="false">MAX(Z25,Z26)</f>
        <v>0.0625875665575088</v>
      </c>
      <c r="AA27" s="13" t="n">
        <f aca="false">MAX(AA25,AA26)</f>
        <v>0.377592204642685</v>
      </c>
      <c r="AB27" s="13" t="n">
        <f aca="false">MAX(AB25,AB26)</f>
        <v>0.379914508780302</v>
      </c>
      <c r="AC27" s="13" t="n">
        <f aca="false">MAX(AC25,AC26)</f>
        <v>0.382535181074324</v>
      </c>
      <c r="AD27" s="13" t="n">
        <f aca="false">MAX(AD25,AD26)</f>
        <v>0.384208229074236</v>
      </c>
      <c r="AE27" s="13" t="n">
        <f aca="false">MAX(AE25,AE26)</f>
        <v>0.379065950384095</v>
      </c>
      <c r="AF27" s="13" t="n">
        <f aca="false">MAX(AF25,AF26)</f>
        <v>0.384754442083169</v>
      </c>
      <c r="AG27" s="13" t="n">
        <f aca="false">MAX(AG25,AG26)</f>
        <v>0.390944915984741</v>
      </c>
      <c r="AH27" s="13" t="n">
        <f aca="false">MAX(AH25,AH26)</f>
        <v>0.392994480599946</v>
      </c>
      <c r="AI27" s="13" t="n">
        <f aca="false">MAX(AI25,AI26)</f>
        <v>0.394716568877903</v>
      </c>
      <c r="AJ27" s="13" t="n">
        <f aca="false">MAX(AJ25,AJ26)</f>
        <v>0.396983522080416</v>
      </c>
      <c r="AK27" s="13" t="n">
        <f aca="false">MAX(AK25,AK26)</f>
        <v>0.399633877814463</v>
      </c>
      <c r="AL27" s="13" t="n">
        <f aca="false">MAX(AL25,AL26)</f>
        <v>0.401546567432522</v>
      </c>
      <c r="AM27" s="13" t="n">
        <f aca="false">MAX(AM25,AM26)</f>
        <v>0.402180611883386</v>
      </c>
      <c r="AN27" s="13" t="n">
        <f aca="false">MAX(AN25,AN26)</f>
        <v>0.404771395990425</v>
      </c>
      <c r="AO27" s="13" t="n">
        <f aca="false">MAX(AO25,AO26)</f>
        <v>0.408719213366684</v>
      </c>
      <c r="AP27" s="13" t="n">
        <f aca="false">MAX(AP25,AP26)</f>
        <v>5.78646045161637</v>
      </c>
      <c r="AQ27" s="13" t="n">
        <f aca="false">MAX(AQ25,AQ26)</f>
        <v>8.80587362779269</v>
      </c>
      <c r="AR27" s="13" t="n">
        <f aca="false">MAX(AR25,AR26)</f>
        <v>9.12291802577448</v>
      </c>
      <c r="AS27" s="13" t="n">
        <f aca="false">MAX(AS25,AS26)</f>
        <v>9.43791921278323</v>
      </c>
      <c r="AT27" s="13" t="n">
        <f aca="false">MAX(AT25,AT26)</f>
        <v>9.79981407181584</v>
      </c>
      <c r="AU27" s="13" t="n">
        <f aca="false">MAX(AU25,AU26)</f>
        <v>5.15551583860336</v>
      </c>
      <c r="AV27" s="13" t="n">
        <f aca="false">MAX(AV25,AV26)</f>
        <v>10.5480173486086</v>
      </c>
      <c r="AW27" s="13" t="n">
        <f aca="false">MAX(AW25,AW26)</f>
        <v>10.6018820891553</v>
      </c>
      <c r="AX27" s="13" t="n">
        <f aca="false">MAX(AX25,AX26)</f>
        <v>10.6568451410702</v>
      </c>
      <c r="AY27" s="13" t="n">
        <f aca="false">MAX(AY25,AY26)</f>
        <v>10.7239828429899</v>
      </c>
      <c r="AZ27" s="13" t="n">
        <f aca="false">MAX(AZ25,AZ26)</f>
        <v>10.7728981909517</v>
      </c>
      <c r="BA27" s="13" t="n">
        <f aca="false">MAX(BA25,BA26)</f>
        <v>10.803263185018</v>
      </c>
      <c r="BB27" s="13" t="n">
        <f aca="false">MAX(BB25,BB26)</f>
        <v>10.870712222879</v>
      </c>
      <c r="BC27" s="13" t="n">
        <f aca="false">MAX(BC25,BC26)</f>
        <v>9.7882899009287</v>
      </c>
      <c r="BD27" s="13" t="n">
        <f aca="false">MAX(BD25,BD26)</f>
        <v>11.998711606772</v>
      </c>
      <c r="BE27" s="13" t="n">
        <f aca="false">MAX(BE25,BE26)</f>
        <v>16.8067957848355</v>
      </c>
      <c r="BF27" s="13" t="n">
        <f aca="false">MAX(BF25,BF26)</f>
        <v>16.8669317479452</v>
      </c>
      <c r="BG27" s="13" t="n">
        <f aca="false">MAX(BG25,BG26)</f>
        <v>16.9401998558585</v>
      </c>
      <c r="BH27" s="13" t="n">
        <f aca="false">MAX(BH25,BH26)</f>
        <v>16.9935730325011</v>
      </c>
      <c r="BI27" s="13" t="n">
        <f aca="false">MAX(BI25,BI26)</f>
        <v>17.0258656789407</v>
      </c>
      <c r="BJ27" s="13" t="n">
        <f aca="false">MAX(BJ25,BJ26)</f>
        <v>17.1090094733263</v>
      </c>
      <c r="BK27" s="13" t="n">
        <f aca="false">MAX(BK25,BK26)</f>
        <v>11.2071185897937</v>
      </c>
      <c r="BL27" s="13" t="n">
        <f aca="false">MAX(BL25,BL26)</f>
        <v>17.2070840236125</v>
      </c>
      <c r="BM27" s="13" t="n">
        <f aca="false">MAX(BM25,BM26)</f>
        <v>17.254362716906</v>
      </c>
      <c r="BN27" s="13" t="n">
        <f aca="false">MAX(BN25,BN26)</f>
        <v>7.91561330597543</v>
      </c>
    </row>
    <row r="28" customFormat="false" ht="15" hidden="false" customHeight="false" outlineLevel="0" collapsed="false">
      <c r="D28" s="0" t="s">
        <v>669</v>
      </c>
      <c r="E28" s="0" t="s">
        <v>149</v>
      </c>
      <c r="G28" s="13" t="n">
        <f aca="false">SUM(J28:BN28)</f>
        <v>17.5891859275202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0</v>
      </c>
      <c r="P28" s="13" t="n">
        <f aca="false">P13-P15</f>
        <v>0.604292859312927</v>
      </c>
      <c r="Q28" s="13" t="n">
        <f aca="false">Q13-Q15</f>
        <v>2.95683714965702</v>
      </c>
      <c r="R28" s="13" t="n">
        <f aca="false">R13-R15</f>
        <v>2.28464078932305</v>
      </c>
      <c r="S28" s="13" t="n">
        <f aca="false">S13-S15</f>
        <v>2.13319232918197</v>
      </c>
      <c r="T28" s="13" t="n">
        <f aca="false">T13-T15</f>
        <v>2.58833591909221</v>
      </c>
      <c r="U28" s="13" t="n">
        <f aca="false">U13-U15</f>
        <v>3.08059598701688</v>
      </c>
      <c r="V28" s="13" t="n">
        <f aca="false">V13-V15</f>
        <v>3.10474933015602</v>
      </c>
      <c r="W28" s="13" t="n">
        <f aca="false">W13-W15</f>
        <v>0.836541563780166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671</v>
      </c>
    </row>
    <row r="8" customFormat="false" ht="15" hidden="false" customHeight="false" outlineLevel="0" collapsed="false">
      <c r="D8" s="0" t="s">
        <v>672</v>
      </c>
      <c r="E8" s="0" t="s">
        <v>109</v>
      </c>
      <c r="F8" s="11" t="n">
        <f aca="false">Inputs!$F$113/(Inputs!$F$113+Inputs!$F$114)</f>
        <v>0.740572531284416</v>
      </c>
    </row>
    <row r="9" customFormat="false" ht="15" hidden="false" customHeight="false" outlineLevel="0" collapsed="false">
      <c r="D9" s="0" t="s">
        <v>673</v>
      </c>
      <c r="E9" s="0" t="s">
        <v>109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674</v>
      </c>
      <c r="E10" s="0" t="s">
        <v>99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675</v>
      </c>
      <c r="E11" s="0" t="s">
        <v>109</v>
      </c>
      <c r="F11" s="11" t="n">
        <f aca="false">INDEX(Debt!$J$17:$BN$17,1,Time!$F$13)/INDEX(Debt!$J$18:$BN$18,1,Time!$F$13)</f>
        <v>0.0249212166711209</v>
      </c>
    </row>
    <row r="12" customFormat="false" ht="15" hidden="false" customHeight="false" outlineLevel="0" collapsed="false">
      <c r="D12" s="0" t="s">
        <v>676</v>
      </c>
      <c r="E12" s="0" t="s">
        <v>99</v>
      </c>
      <c r="F12" s="11" t="n">
        <f aca="false">$F$11+(INDEX(Operations!$J$9:$BN$9,1,Time!$F$13)+Inputs!$F$79)/100*INDEX(Time!$J$25:$BN$25,1,Time!$F$13)/Inputs!$F$247*1</f>
        <v>0.0334181611155653</v>
      </c>
    </row>
    <row r="13" customFormat="false" ht="15" hidden="false" customHeight="false" outlineLevel="0" collapsed="false">
      <c r="D13" s="0" t="s">
        <v>677</v>
      </c>
      <c r="E13" s="0" t="s">
        <v>99</v>
      </c>
      <c r="F13" s="11" t="n">
        <f aca="false">$F$11+(INDEX(Operations!$J$9:$BN$9,1,Time!$F$13)+Inputs!$F$80)/100*INDEX(Time!$J$25:$BN$25,1,Time!$F$13)/Inputs!$F$247*1</f>
        <v>0.0449820500044542</v>
      </c>
    </row>
    <row r="14" customFormat="false" ht="15" hidden="false" customHeight="false" outlineLevel="0" collapsed="false">
      <c r="D14" s="0" t="s">
        <v>678</v>
      </c>
      <c r="E14" s="0" t="s">
        <v>99</v>
      </c>
      <c r="F14" s="11" t="n">
        <f aca="false">$F$11+(INDEX(Operations!$J$9:$BN$9,1,Time!$F$13)+Inputs!$F$81)/100*INDEX(Time!$J$25:$BN$25,1,Time!$F$13)/Inputs!$F$247*1</f>
        <v>0.0437251055600097</v>
      </c>
    </row>
    <row r="15" customFormat="false" ht="15" hidden="false" customHeight="false" outlineLevel="0" collapsed="false">
      <c r="D15" s="0" t="s">
        <v>679</v>
      </c>
      <c r="E15" s="0" t="s">
        <v>99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0.0548573861282492</v>
      </c>
    </row>
    <row r="16" customFormat="false" ht="15" hidden="false" customHeight="false" outlineLevel="0" collapsed="false">
      <c r="D16" s="0" t="s">
        <v>680</v>
      </c>
      <c r="E16" s="0" t="s">
        <v>99</v>
      </c>
      <c r="F16" s="11" t="n">
        <f aca="false">$F$11+INDEX(Debt!$J$14:$BN$14,1,Time!$F$13)</f>
        <v>0.0491685129674171</v>
      </c>
    </row>
    <row r="17" customFormat="false" ht="15" hidden="false" customHeight="false" outlineLevel="0" collapsed="false">
      <c r="D17" s="0" t="s">
        <v>681</v>
      </c>
      <c r="E17" s="0" t="s">
        <v>149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6.43739899493968</v>
      </c>
    </row>
    <row r="18" customFormat="false" ht="15" hidden="false" customHeight="false" outlineLevel="0" collapsed="false">
      <c r="B18" s="2" t="s">
        <v>682</v>
      </c>
    </row>
    <row r="19" customFormat="false" ht="15" hidden="false" customHeight="false" outlineLevel="0" collapsed="false">
      <c r="D19" s="0" t="s">
        <v>683</v>
      </c>
      <c r="E19" s="0" t="s">
        <v>99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0.00573345104853712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0.00517860094706579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0.00573345104853712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0.00554850101471334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0.00573345104853712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0.00554850101471334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0.00513214672754947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0.00513214672754947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0.00496659360730594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0.00513214672754947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0.00496659360730594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0.00513214672754947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0.00487188067816675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0.00455756579570438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0.00487188067816675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0.00471472323693557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0.00487188067816675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0.00471472323693557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0.00348977820903095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0.00348977820903095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0.00337720471841705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0.00348977820903095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0.00337720471841705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0.00348977820903095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0.00338208191273465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0.00305478366311517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0.00338208191273465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0.00327298249619483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0.00338208191273465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0.00327298249619483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0.00330130969051243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0.00330130969051243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0.00319481582952816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0.00330130969051243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0.00319481582952816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0.00330130969051243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0.00346285413495687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0.00312773921867073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0.00346285413495687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0.00335114916286149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0.00346285413495687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0.00335114916286149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0.00579627388804329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0.00579627388804329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0.00560929731100964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0.00579627388804329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0.00560929731100964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0.00579627388804329</v>
      </c>
    </row>
    <row r="20" customFormat="false" ht="15" hidden="false" customHeight="false" outlineLevel="0" collapsed="false">
      <c r="D20" s="0" t="s">
        <v>684</v>
      </c>
      <c r="E20" s="0" t="s">
        <v>99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685</v>
      </c>
      <c r="E21" s="0" t="s">
        <v>149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108.058840868641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1.48638459913755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1.91963445312938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2.72994150771724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3.83588658774088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5.15818625625417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6.70538730314906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8.34660111406759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10.0880819392519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11.8461322125835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13.5879379543934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15.3510279123259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16.9729643482723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18.486211866643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19.8359380698697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21.0364033586855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22.0255701838041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24.0075802862517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23.470441775777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23.798341772823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24.273072992426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24.1455869296228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23.8143856253181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23.6976807500316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22.9273364222721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21.9522114204538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22.3520693796788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21.0194491126405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19.5389134553475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18.5188410895814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16.8437268471997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15.1144809755122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11.4694576067338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17.1172283678722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14.1234008721318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11.9409476147233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9.62027871825967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11.175177521271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8.43498429076128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62.9961226608126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6.50729538027033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686</v>
      </c>
      <c r="E22" s="0" t="s">
        <v>149</v>
      </c>
      <c r="J22" s="13" t="n">
        <f aca="false">I22+Construction!J14*$F$9/$F$10*(J21+(J19-J20)*I22)</f>
        <v>83.0721290007105</v>
      </c>
      <c r="K22" s="13" t="n">
        <f aca="false">J22+Construction!K14*$F$9/$F$10*(K21+(K19-K20)*J22)</f>
        <v>84.4960891031873</v>
      </c>
      <c r="L22" s="13" t="n">
        <f aca="false">K22+Construction!L14*$F$9/$F$10*(L21+(L19-L20)*K22)</f>
        <v>86.2674756255083</v>
      </c>
      <c r="M22" s="13" t="n">
        <f aca="false">L22+Construction!M14*$F$9/$F$10*(M21+(M19-M20)*L22)</f>
        <v>88.6582611095984</v>
      </c>
      <c r="N22" s="13" t="n">
        <f aca="false">M22+Construction!N14*$F$9/$F$10*(N21+(N19-N20)*M22)</f>
        <v>91.9173626225989</v>
      </c>
      <c r="O22" s="13" t="n">
        <f aca="false">N22+Construction!O14*$F$9/$F$10*(O21+(O19-O20)*N22)</f>
        <v>96.2266043777407</v>
      </c>
      <c r="P22" s="13" t="n">
        <f aca="false">O22+Construction!P14*$F$9/$F$10*(P21+(P19-P20)*O22)</f>
        <v>101.706571470362</v>
      </c>
      <c r="Q22" s="13" t="n">
        <f aca="false">P22+Construction!Q14*$F$9/$F$10*(Q21+(Q19-Q20)*P22)</f>
        <v>108.50357733304</v>
      </c>
      <c r="R22" s="13" t="n">
        <f aca="false">Q22+Construction!R14*$F$9/$F$10*(R21+(R19-R20)*Q22)</f>
        <v>116.651708376612</v>
      </c>
      <c r="S22" s="13" t="n">
        <f aca="false">R22+Construction!S14*$F$9/$F$10*(S21+(S19-S20)*R22)</f>
        <v>126.194938967975</v>
      </c>
      <c r="T22" s="13" t="n">
        <f aca="false">S22+Construction!T14*$F$9/$F$10*(T21+(T19-T20)*S22)</f>
        <v>137.097681612858</v>
      </c>
      <c r="U22" s="13" t="n">
        <f aca="false">T22+Construction!U14*$F$9/$F$10*(U21+(U19-U20)*T22)</f>
        <v>149.348460449812</v>
      </c>
      <c r="V22" s="13" t="n">
        <f aca="false">U22+Construction!V14*$F$9/$F$10*(V21+(V19-V20)*U22)</f>
        <v>162.886289483117</v>
      </c>
      <c r="W22" s="13" t="n">
        <f aca="false">V22+Construction!W14*$F$9/$F$10*(W21+(W19-W20)*V22)</f>
        <v>177.614607219733</v>
      </c>
      <c r="X22" s="13" t="n">
        <f aca="false">W22+Construction!X14*$F$9/$F$10*(X21+(X19-X20)*W22)</f>
        <v>193.446054086489</v>
      </c>
      <c r="Y22" s="13" t="n">
        <f aca="false">X22+Construction!Y14*$F$9/$F$10*(Y21+(Y19-Y20)*X22)</f>
        <v>210.231819869539</v>
      </c>
      <c r="Z22" s="13" t="n">
        <f aca="false">Y22+Construction!Z14*$F$9/$F$10*(Z21+(Z19-Z20)*Y22)</f>
        <v>227.853504216614</v>
      </c>
      <c r="AA22" s="13" t="n">
        <f aca="false">Z22+Construction!AA14*$F$9/$F$10*(AA21+(AA19-AA20)*Z22)</f>
        <v>247.011067701027</v>
      </c>
      <c r="AB22" s="13" t="n">
        <f aca="false">AA22+Construction!AB14*$F$9/$F$10*(AB21+(AB19-AB20)*AA22)</f>
        <v>265.765611644465</v>
      </c>
      <c r="AC22" s="13" t="n">
        <f aca="false">AB22+Construction!AC14*$F$9/$F$10*(AC21+(AC19-AC20)*AB22)</f>
        <v>284.879009827198</v>
      </c>
      <c r="AD22" s="13" t="n">
        <f aca="false">AC22+Construction!AD14*$F$9/$F$10*(AD21+(AD19-AD20)*AC22)</f>
        <v>304.387910488351</v>
      </c>
      <c r="AE22" s="13" t="n">
        <f aca="false">AD22+Construction!AE14*$F$9/$F$10*(AE21+(AE19-AE20)*AD22)</f>
        <v>323.887135863368</v>
      </c>
      <c r="AF22" s="13" t="n">
        <f aca="false">AE22+Construction!AF14*$F$9/$F$10*(AF21+(AF19-AF20)*AE22)</f>
        <v>343.15960347053</v>
      </c>
      <c r="AG22" s="13" t="n">
        <f aca="false">AF22+Construction!AG14*$F$9/$F$10*(AG21+(AG19-AG20)*AF22)</f>
        <v>362.06921692467</v>
      </c>
      <c r="AH22" s="13" t="n">
        <f aca="false">AG22+Construction!AH14*$F$9/$F$10*(AH21+(AH19-AH20)*AG22)</f>
        <v>380.424725207372</v>
      </c>
      <c r="AI22" s="13" t="n">
        <f aca="false">AH22+Construction!AI14*$F$9/$F$10*(AI21+(AI19-AI20)*AH22)</f>
        <v>398.042850253151</v>
      </c>
      <c r="AJ22" s="13" t="n">
        <f aca="false">AI22+Construction!AJ14*$F$9/$F$10*(AJ21+(AJ19-AJ20)*AI22)</f>
        <v>416.028613369408</v>
      </c>
      <c r="AK22" s="13" t="n">
        <f aca="false">AJ22+Construction!AK14*$F$9/$F$10*(AK21+(AK19-AK20)*AJ22)</f>
        <v>432.999102589014</v>
      </c>
      <c r="AL22" s="13" t="n">
        <f aca="false">AK22+Construction!AL14*$F$9/$F$10*(AL21+(AL19-AL20)*AK22)</f>
        <v>448.892653778664</v>
      </c>
      <c r="AM22" s="13" t="n">
        <f aca="false">AL22+Construction!AM14*$F$9/$F$10*(AM21+(AM19-AM20)*AL22)</f>
        <v>463.996873042889</v>
      </c>
      <c r="AN22" s="13" t="n">
        <f aca="false">AM22+Construction!AN14*$F$9/$F$10*(AN21+(AN19-AN20)*AM22)</f>
        <v>477.755729518308</v>
      </c>
      <c r="AO22" s="13" t="n">
        <f aca="false">AN22+Construction!AO14*$F$9/$F$10*(AO21+(AO19-AO20)*AN22)</f>
        <v>490.29856837206</v>
      </c>
      <c r="AP22" s="13" t="n">
        <f aca="false">AO22+Construction!AP14*$F$9/$F$10*(AP21+(AP19-AP20)*AO22)</f>
        <v>500.032905675273</v>
      </c>
      <c r="AQ22" s="13" t="n">
        <f aca="false">AP22+Construction!AQ14*$F$9/$F$10*(AQ21+(AQ19-AQ20)*AP22)</f>
        <v>514.158444851685</v>
      </c>
      <c r="AR22" s="13" t="n">
        <f aca="false">AQ22+Construction!AR14*$F$9/$F$10*(AR21+(AR19-AR20)*AQ22)</f>
        <v>525.977671990962</v>
      </c>
      <c r="AS22" s="13" t="n">
        <f aca="false">AR22+Construction!AS14*$F$9/$F$10*(AS21+(AS19-AS20)*AR22)</f>
        <v>536.141335113897</v>
      </c>
      <c r="AT22" s="13" t="n">
        <f aca="false">AS22+Construction!AT14*$F$9/$F$10*(AT21+(AT19-AT20)*AS22)</f>
        <v>544.539954629592</v>
      </c>
      <c r="AU22" s="13" t="n">
        <f aca="false">AT22+Construction!AU14*$F$9/$F$10*(AU21+(AU19-AU20)*AT22)</f>
        <v>554.116782491971</v>
      </c>
      <c r="AV22" s="13" t="n">
        <f aca="false">AU22+Construction!AV14*$F$9/$F$10*(AV21+(AV19-AV20)*AU22)</f>
        <v>561.637809511114</v>
      </c>
      <c r="AW22" s="13" t="n">
        <f aca="false">AV22+Construction!AW14*$F$9/$F$10*(AW21+(AW19-AW20)*AV22)</f>
        <v>611.083847917825</v>
      </c>
      <c r="AX22" s="13" t="n">
        <f aca="false">AW22+Construction!AX14*$F$9/$F$10*(AX21+(AX19-AX20)*AW22)</f>
        <v>617.229488150177</v>
      </c>
      <c r="AY22" s="13" t="n">
        <f aca="false">AX22+Construction!AY14*$F$9/$F$10*(AY21+(AY19-AY20)*AX22)</f>
        <v>617.229488150177</v>
      </c>
      <c r="AZ22" s="13" t="n">
        <f aca="false">AY22+Construction!AZ14*$F$9/$F$10*(AZ21+(AZ19-AZ20)*AY22)</f>
        <v>617.229488150177</v>
      </c>
      <c r="BA22" s="13" t="n">
        <f aca="false">AZ22+Construction!BA14*$F$9/$F$10*(BA21+(BA19-BA20)*AZ22)</f>
        <v>617.229488150177</v>
      </c>
      <c r="BB22" s="13" t="n">
        <f aca="false">BA22+Construction!BB14*$F$9/$F$10*(BB21+(BB19-BB20)*BA22)</f>
        <v>617.229488150177</v>
      </c>
      <c r="BC22" s="13" t="n">
        <f aca="false">BB22+Construction!BC14*$F$9/$F$10*(BC21+(BC19-BC20)*BB22)</f>
        <v>617.229488150177</v>
      </c>
      <c r="BD22" s="13" t="n">
        <f aca="false">BC22+Construction!BD14*$F$9/$F$10*(BD21+(BD19-BD20)*BC22)</f>
        <v>617.229488150177</v>
      </c>
      <c r="BE22" s="13" t="n">
        <f aca="false">BD22+Construction!BE14*$F$9/$F$10*(BE21+(BE19-BE20)*BD22)</f>
        <v>617.229488150177</v>
      </c>
      <c r="BF22" s="13" t="n">
        <f aca="false">BE22+Construction!BF14*$F$9/$F$10*(BF21+(BF19-BF20)*BE22)</f>
        <v>617.229488150177</v>
      </c>
      <c r="BG22" s="13" t="n">
        <f aca="false">BF22+Construction!BG14*$F$9/$F$10*(BG21+(BG19-BG20)*BF22)</f>
        <v>617.229488150177</v>
      </c>
      <c r="BH22" s="13" t="n">
        <f aca="false">BG22+Construction!BH14*$F$9/$F$10*(BH21+(BH19-BH20)*BG22)</f>
        <v>617.229488150177</v>
      </c>
      <c r="BI22" s="13" t="n">
        <f aca="false">BH22+Construction!BI14*$F$9/$F$10*(BI21+(BI19-BI20)*BH22)</f>
        <v>617.229488150177</v>
      </c>
      <c r="BJ22" s="13" t="n">
        <f aca="false">BI22+Construction!BJ14*$F$9/$F$10*(BJ21+(BJ19-BJ20)*BI22)</f>
        <v>617.229488150177</v>
      </c>
    </row>
    <row r="23" customFormat="false" ht="15" hidden="false" customHeight="false" outlineLevel="0" collapsed="false">
      <c r="D23" s="0" t="s">
        <v>687</v>
      </c>
      <c r="E23" s="0" t="s">
        <v>99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0.0122211224563974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0.0127145341610811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0.0132626568977709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0.0137950822489194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0.0143472465255011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0.0148835976731039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0.0154329531494392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0.0159841094158718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0.0165192348605775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0.0170739519640867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0.0176125346760688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0.018170835622037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0.0187273309862905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0.019249525766261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0.0198093412536596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0.0203527656620087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0.0209159768347504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0.0214626975047072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0.0220065205110532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0.02255143954132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0.0230798433443398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0.0236269255554327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0.0241574269783035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0.024706680957464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0.0252549963556312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0.0257512061045631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0.0263015401647335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0.0268351507864771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0.027387579691323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0.0279232215000323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0.0284760193293918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0.029029851176544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0.0295668200143757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0.0301226922228618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0.0306616392973366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0.057246078634174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0.057246078634174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0.057246078634174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0.057246078634174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0.057246078634174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0.057246078634174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0.057246078634174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0.057246078634174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0.057246078634174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0.057246078634174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0.057246078634174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0.057246078634174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0.057246078634174</v>
      </c>
    </row>
    <row r="24" customFormat="false" ht="15" hidden="false" customHeight="false" outlineLevel="0" collapsed="false">
      <c r="D24" s="0" t="s">
        <v>688</v>
      </c>
      <c r="E24" s="0" t="s">
        <v>149</v>
      </c>
      <c r="F24" s="17" t="n">
        <f aca="false">INDEX(Funding!$J$22:$BJ$22,1,Time!$F$14)/(Funding!$F$9-INDEX(Funding!$J$23:$BJ$23,1,Time!$F$14))</f>
        <v>890.979421571882</v>
      </c>
    </row>
    <row r="25" customFormat="false" ht="15" hidden="false" customHeight="false" outlineLevel="0" collapsed="false">
      <c r="D25" s="0" t="s">
        <v>689</v>
      </c>
      <c r="E25" s="0" t="s">
        <v>149</v>
      </c>
      <c r="F25" s="17" t="n">
        <f aca="false">IF(Inputs!$F$51&lt;&gt;1,Funding!$F$8*Funding!$F$24,Inputs!$F$113)</f>
        <v>633.255975542774</v>
      </c>
    </row>
    <row r="26" customFormat="false" ht="15" hidden="false" customHeight="false" outlineLevel="0" collapsed="false">
      <c r="D26" s="0" t="s">
        <v>690</v>
      </c>
      <c r="E26" s="0" t="s">
        <v>109</v>
      </c>
      <c r="F26" s="11" t="n">
        <f aca="false">$F$8</f>
        <v>0.740572531284416</v>
      </c>
    </row>
    <row r="27" customFormat="false" ht="15" hidden="false" customHeight="false" outlineLevel="0" collapsed="false">
      <c r="B27" s="2" t="s">
        <v>691</v>
      </c>
    </row>
    <row r="28" customFormat="false" ht="15" hidden="false" customHeight="false" outlineLevel="0" collapsed="false">
      <c r="D28" s="0" t="s">
        <v>692</v>
      </c>
      <c r="E28" s="0" t="s">
        <v>149</v>
      </c>
      <c r="J28" s="13" t="n">
        <f aca="false">I61</f>
        <v>0</v>
      </c>
      <c r="K28" s="13" t="n">
        <f aca="false">J61</f>
        <v>26.9921009455809</v>
      </c>
      <c r="L28" s="13" t="n">
        <f aca="false">K61</f>
        <v>27.5418308944265</v>
      </c>
      <c r="M28" s="13" t="n">
        <f aca="false">L61</f>
        <v>28.1991376354118</v>
      </c>
      <c r="N28" s="13" t="n">
        <f aca="false">M61</f>
        <v>29.0360095944531</v>
      </c>
      <c r="O28" s="13" t="n">
        <f aca="false">N61</f>
        <v>30.1347300834608</v>
      </c>
      <c r="P28" s="13" t="n">
        <f aca="false">O61</f>
        <v>31.5454627415991</v>
      </c>
      <c r="Q28" s="13" t="n">
        <f aca="false">P61</f>
        <v>33.2902556016619</v>
      </c>
      <c r="R28" s="13" t="n">
        <f aca="false">Q61</f>
        <v>35.4385121285491</v>
      </c>
      <c r="S28" s="13" t="n">
        <f aca="false">R61</f>
        <v>37.9829069238437</v>
      </c>
      <c r="T28" s="13" t="n">
        <f aca="false">S61</f>
        <v>40.9451911407762</v>
      </c>
      <c r="U28" s="13" t="n">
        <f aca="false">T61</f>
        <v>44.3060372176439</v>
      </c>
      <c r="V28" s="13" t="n">
        <f aca="false">U61</f>
        <v>48.0693730590627</v>
      </c>
      <c r="W28" s="13" t="n">
        <f aca="false">V61</f>
        <v>52.2141357033549</v>
      </c>
      <c r="X28" s="13" t="n">
        <f aca="false">W61</f>
        <v>56.7073276964352</v>
      </c>
      <c r="Y28" s="13" t="n">
        <f aca="false">X61</f>
        <v>61.5318244536215</v>
      </c>
      <c r="Z28" s="13" t="n">
        <f aca="false">Y61</f>
        <v>66.6347695607226</v>
      </c>
      <c r="AA28" s="13" t="n">
        <f aca="false">Z61</f>
        <v>71.9898802238079</v>
      </c>
      <c r="AB28" s="13" t="n">
        <f aca="false">AA61</f>
        <v>77.7993240695943</v>
      </c>
      <c r="AC28" s="13" t="n">
        <f aca="false">AB61</f>
        <v>83.4808088524267</v>
      </c>
      <c r="AD28" s="13" t="n">
        <f aca="false">AC61</f>
        <v>89.2775301472409</v>
      </c>
      <c r="AE28" s="13" t="n">
        <f aca="false">AD61</f>
        <v>95.1871531550242</v>
      </c>
      <c r="AF28" s="13" t="n">
        <f aca="false">AE61</f>
        <v>101.098495263058</v>
      </c>
      <c r="AG28" s="13" t="n">
        <f aca="false">AF61</f>
        <v>106.938450465807</v>
      </c>
      <c r="AH28" s="13" t="n">
        <f aca="false">AG61</f>
        <v>112.671365862638</v>
      </c>
      <c r="AI28" s="13" t="n">
        <f aca="false">AH61</f>
        <v>118.240310274343</v>
      </c>
      <c r="AJ28" s="13" t="n">
        <f aca="false">AI61</f>
        <v>123.586711569923</v>
      </c>
      <c r="AK28" s="13" t="n">
        <f aca="false">AJ61</f>
        <v>129.046406387509</v>
      </c>
      <c r="AL28" s="13" t="n">
        <f aca="false">AK61</f>
        <v>134.201260010851</v>
      </c>
      <c r="AM28" s="13" t="n">
        <f aca="false">AL61</f>
        <v>139.041629837665</v>
      </c>
      <c r="AN28" s="13" t="n">
        <f aca="false">AM61</f>
        <v>143.648036557453</v>
      </c>
      <c r="AO28" s="13" t="n">
        <f aca="false">AN61</f>
        <v>147.843242674709</v>
      </c>
      <c r="AP28" s="13" t="n">
        <f aca="false">AO61</f>
        <v>151.691405003511</v>
      </c>
      <c r="AQ28" s="13" t="n">
        <f aca="false">AP61</f>
        <v>154.703711378961</v>
      </c>
      <c r="AR28" s="13" t="n">
        <f aca="false">AQ61</f>
        <v>159.020906305857</v>
      </c>
      <c r="AS28" s="13" t="n">
        <f aca="false">AR61</f>
        <v>162.650940027188</v>
      </c>
      <c r="AT28" s="13" t="n">
        <f aca="false">AS61</f>
        <v>165.794896093503</v>
      </c>
      <c r="AU28" s="13" t="n">
        <f aca="false">AT61</f>
        <v>168.416334590757</v>
      </c>
      <c r="AV28" s="13" t="n">
        <f aca="false">AU61</f>
        <v>171.382532379665</v>
      </c>
      <c r="AW28" s="13" t="n">
        <f aca="false">AV61</f>
        <v>173.744444320267</v>
      </c>
      <c r="AX28" s="13" t="n">
        <f aca="false">AW61</f>
        <v>188.517700408599</v>
      </c>
      <c r="AY28" s="13" t="n">
        <f aca="false">AX61</f>
        <v>189.976792662832</v>
      </c>
      <c r="AZ28" s="13" t="n">
        <f aca="false">AY61</f>
        <v>189.976792662832</v>
      </c>
      <c r="BA28" s="13" t="n">
        <f aca="false">AZ61</f>
        <v>189.976792662832</v>
      </c>
      <c r="BB28" s="13" t="n">
        <f aca="false">BA61</f>
        <v>189.976792662832</v>
      </c>
      <c r="BC28" s="13" t="n">
        <f aca="false">BB61</f>
        <v>189.976792662832</v>
      </c>
      <c r="BD28" s="13" t="n">
        <f aca="false">BC61</f>
        <v>189.976792662832</v>
      </c>
      <c r="BE28" s="13" t="n">
        <f aca="false">BD61</f>
        <v>189.976792662832</v>
      </c>
      <c r="BF28" s="13" t="n">
        <f aca="false">BE61</f>
        <v>189.976792662832</v>
      </c>
      <c r="BG28" s="13" t="n">
        <f aca="false">BF61</f>
        <v>189.976792662832</v>
      </c>
      <c r="BH28" s="13" t="n">
        <f aca="false">BG61</f>
        <v>189.976792662832</v>
      </c>
      <c r="BI28" s="13" t="n">
        <f aca="false">BH61</f>
        <v>189.976792662832</v>
      </c>
      <c r="BJ28" s="13" t="n">
        <f aca="false">BI61</f>
        <v>189.976792662832</v>
      </c>
    </row>
    <row r="29" customFormat="false" ht="15" hidden="false" customHeight="false" outlineLevel="0" collapsed="false">
      <c r="D29" s="0" t="s">
        <v>693</v>
      </c>
      <c r="E29" s="0" t="s">
        <v>149</v>
      </c>
      <c r="J29" s="13" t="n">
        <f aca="false">I62</f>
        <v>0</v>
      </c>
      <c r="K29" s="13" t="n">
        <f aca="false">J62</f>
        <v>19.7942073600927</v>
      </c>
      <c r="L29" s="13" t="n">
        <f aca="false">K62</f>
        <v>20.1973426559128</v>
      </c>
      <c r="M29" s="13" t="n">
        <f aca="false">L62</f>
        <v>20.679367599302</v>
      </c>
      <c r="N29" s="13" t="n">
        <f aca="false">M62</f>
        <v>21.2930737025989</v>
      </c>
      <c r="O29" s="13" t="n">
        <f aca="false">N62</f>
        <v>22.0988020612046</v>
      </c>
      <c r="P29" s="13" t="n">
        <f aca="false">O62</f>
        <v>23.1333393438393</v>
      </c>
      <c r="Q29" s="13" t="n">
        <f aca="false">P62</f>
        <v>24.4128541078854</v>
      </c>
      <c r="R29" s="13" t="n">
        <f aca="false">Q62</f>
        <v>25.9882422276026</v>
      </c>
      <c r="S29" s="13" t="n">
        <f aca="false">R62</f>
        <v>27.854131744152</v>
      </c>
      <c r="T29" s="13" t="n">
        <f aca="false">S62</f>
        <v>30.0264735032359</v>
      </c>
      <c r="U29" s="13" t="n">
        <f aca="false">T62</f>
        <v>32.4910939596055</v>
      </c>
      <c r="V29" s="13" t="n">
        <f aca="false">U62</f>
        <v>35.250873576646</v>
      </c>
      <c r="W29" s="13" t="n">
        <f aca="false">V62</f>
        <v>38.2903661824603</v>
      </c>
      <c r="X29" s="13" t="n">
        <f aca="false">W62</f>
        <v>41.5853736440525</v>
      </c>
      <c r="Y29" s="13" t="n">
        <f aca="false">X62</f>
        <v>45.1233379326558</v>
      </c>
      <c r="Z29" s="13" t="n">
        <f aca="false">Y62</f>
        <v>48.8654976778633</v>
      </c>
      <c r="AA29" s="13" t="n">
        <f aca="false">Z62</f>
        <v>52.7925788307925</v>
      </c>
      <c r="AB29" s="13" t="n">
        <f aca="false">AA62</f>
        <v>57.0528376510358</v>
      </c>
      <c r="AC29" s="13" t="n">
        <f aca="false">AB62</f>
        <v>61.219259825113</v>
      </c>
      <c r="AD29" s="13" t="n">
        <f aca="false">AC62</f>
        <v>65.4701887746433</v>
      </c>
      <c r="AE29" s="13" t="n">
        <f aca="false">AD62</f>
        <v>69.8039123136844</v>
      </c>
      <c r="AF29" s="13" t="n">
        <f aca="false">AE62</f>
        <v>74.1388965262424</v>
      </c>
      <c r="AG29" s="13" t="n">
        <f aca="false">AF62</f>
        <v>78.421530341592</v>
      </c>
      <c r="AH29" s="13" t="n">
        <f aca="false">AG62</f>
        <v>82.625668299268</v>
      </c>
      <c r="AI29" s="13" t="n">
        <f aca="false">AH62</f>
        <v>86.7095608678512</v>
      </c>
      <c r="AJ29" s="13" t="n">
        <f aca="false">AI62</f>
        <v>90.6302551512767</v>
      </c>
      <c r="AK29" s="13" t="n">
        <f aca="false">AJ62</f>
        <v>94.6340313508397</v>
      </c>
      <c r="AL29" s="13" t="n">
        <f aca="false">AK62</f>
        <v>98.4142573412907</v>
      </c>
      <c r="AM29" s="13" t="n">
        <f aca="false">AL62</f>
        <v>101.963861880954</v>
      </c>
      <c r="AN29" s="13" t="n">
        <f aca="false">AM62</f>
        <v>105.341893475466</v>
      </c>
      <c r="AO29" s="13" t="n">
        <f aca="false">AN62</f>
        <v>108.418377961453</v>
      </c>
      <c r="AP29" s="13" t="n">
        <f aca="false">AO62</f>
        <v>111.240363669242</v>
      </c>
      <c r="AQ29" s="13" t="n">
        <f aca="false">AP62</f>
        <v>113.449388344571</v>
      </c>
      <c r="AR29" s="13" t="n">
        <f aca="false">AQ62</f>
        <v>116.615331290962</v>
      </c>
      <c r="AS29" s="13" t="n">
        <f aca="false">AR62</f>
        <v>119.277356019938</v>
      </c>
      <c r="AT29" s="13" t="n">
        <f aca="false">AS62</f>
        <v>121.582923801902</v>
      </c>
      <c r="AU29" s="13" t="n">
        <f aca="false">AT62</f>
        <v>123.505312033222</v>
      </c>
      <c r="AV29" s="13" t="n">
        <f aca="false">AU62</f>
        <v>125.680523745088</v>
      </c>
      <c r="AW29" s="13" t="n">
        <f aca="false">AV62</f>
        <v>127.412592501529</v>
      </c>
      <c r="AX29" s="13" t="n">
        <f aca="false">AW62</f>
        <v>138.246313632972</v>
      </c>
      <c r="AY29" s="13" t="n">
        <f aca="false">AX62</f>
        <v>139.31631461941</v>
      </c>
      <c r="AZ29" s="13" t="n">
        <f aca="false">AY62</f>
        <v>139.31631461941</v>
      </c>
      <c r="BA29" s="13" t="n">
        <f aca="false">AZ62</f>
        <v>139.31631461941</v>
      </c>
      <c r="BB29" s="13" t="n">
        <f aca="false">BA62</f>
        <v>139.31631461941</v>
      </c>
      <c r="BC29" s="13" t="n">
        <f aca="false">BB62</f>
        <v>139.31631461941</v>
      </c>
      <c r="BD29" s="13" t="n">
        <f aca="false">BC62</f>
        <v>139.31631461941</v>
      </c>
      <c r="BE29" s="13" t="n">
        <f aca="false">BD62</f>
        <v>139.31631461941</v>
      </c>
      <c r="BF29" s="13" t="n">
        <f aca="false">BE62</f>
        <v>139.31631461941</v>
      </c>
      <c r="BG29" s="13" t="n">
        <f aca="false">BF62</f>
        <v>139.31631461941</v>
      </c>
      <c r="BH29" s="13" t="n">
        <f aca="false">BG62</f>
        <v>139.31631461941</v>
      </c>
      <c r="BI29" s="13" t="n">
        <f aca="false">BH62</f>
        <v>139.31631461941</v>
      </c>
      <c r="BJ29" s="13" t="n">
        <f aca="false">BI62</f>
        <v>139.31631461941</v>
      </c>
    </row>
    <row r="30" customFormat="false" ht="15" hidden="false" customHeight="false" outlineLevel="0" collapsed="false">
      <c r="D30" s="0" t="s">
        <v>694</v>
      </c>
      <c r="E30" s="0" t="s">
        <v>149</v>
      </c>
      <c r="J30" s="13" t="n">
        <f aca="false">I63</f>
        <v>0</v>
      </c>
      <c r="K30" s="13" t="n">
        <f aca="false">J63</f>
        <v>8.99736698186031</v>
      </c>
      <c r="L30" s="13" t="n">
        <f aca="false">K63</f>
        <v>9.18061029814216</v>
      </c>
      <c r="M30" s="13" t="n">
        <f aca="false">L63</f>
        <v>9.39971254513727</v>
      </c>
      <c r="N30" s="13" t="n">
        <f aca="false">M63</f>
        <v>9.67866986481769</v>
      </c>
      <c r="O30" s="13" t="n">
        <f aca="false">N63</f>
        <v>10.0449100278203</v>
      </c>
      <c r="P30" s="13" t="n">
        <f aca="false">O63</f>
        <v>10.5151542471997</v>
      </c>
      <c r="Q30" s="13" t="n">
        <f aca="false">P63</f>
        <v>11.0967518672206</v>
      </c>
      <c r="R30" s="13" t="n">
        <f aca="false">Q63</f>
        <v>11.812837376183</v>
      </c>
      <c r="S30" s="13" t="n">
        <f aca="false">R63</f>
        <v>12.6609689746146</v>
      </c>
      <c r="T30" s="13" t="n">
        <f aca="false">S63</f>
        <v>13.6483970469254</v>
      </c>
      <c r="U30" s="13" t="n">
        <f aca="false">T63</f>
        <v>14.768679072548</v>
      </c>
      <c r="V30" s="13" t="n">
        <f aca="false">U63</f>
        <v>16.0231243530209</v>
      </c>
      <c r="W30" s="13" t="n">
        <f aca="false">V63</f>
        <v>17.4047119011183</v>
      </c>
      <c r="X30" s="13" t="n">
        <f aca="false">W63</f>
        <v>18.9024425654784</v>
      </c>
      <c r="Y30" s="13" t="n">
        <f aca="false">X63</f>
        <v>20.5106081512072</v>
      </c>
      <c r="Z30" s="13" t="n">
        <f aca="false">Y63</f>
        <v>22.2115898535742</v>
      </c>
      <c r="AA30" s="13" t="n">
        <f aca="false">Z63</f>
        <v>23.9966267412693</v>
      </c>
      <c r="AB30" s="13" t="n">
        <f aca="false">AA63</f>
        <v>25.9331080231981</v>
      </c>
      <c r="AC30" s="13" t="n">
        <f aca="false">AB63</f>
        <v>27.8269362841422</v>
      </c>
      <c r="AD30" s="13" t="n">
        <f aca="false">AC63</f>
        <v>29.759176715747</v>
      </c>
      <c r="AE30" s="13" t="n">
        <f aca="false">AD63</f>
        <v>31.7290510516747</v>
      </c>
      <c r="AF30" s="13" t="n">
        <f aca="false">AE63</f>
        <v>33.6994984210193</v>
      </c>
      <c r="AG30" s="13" t="n">
        <f aca="false">AF63</f>
        <v>35.6461501552691</v>
      </c>
      <c r="AH30" s="13" t="n">
        <f aca="false">AG63</f>
        <v>37.5571219542127</v>
      </c>
      <c r="AI30" s="13" t="n">
        <f aca="false">AH63</f>
        <v>39.4134367581142</v>
      </c>
      <c r="AJ30" s="13" t="n">
        <f aca="false">AI63</f>
        <v>41.1955705233076</v>
      </c>
      <c r="AK30" s="13" t="n">
        <f aca="false">AJ63</f>
        <v>43.0154687958362</v>
      </c>
      <c r="AL30" s="13" t="n">
        <f aca="false">AK63</f>
        <v>44.7337533369503</v>
      </c>
      <c r="AM30" s="13" t="n">
        <f aca="false">AL63</f>
        <v>46.3472099458884</v>
      </c>
      <c r="AN30" s="13" t="n">
        <f aca="false">AM63</f>
        <v>47.8826788524845</v>
      </c>
      <c r="AO30" s="13" t="n">
        <f aca="false">AN63</f>
        <v>49.2810808915698</v>
      </c>
      <c r="AP30" s="13" t="n">
        <f aca="false">AO63</f>
        <v>50.5638016678371</v>
      </c>
      <c r="AQ30" s="13" t="n">
        <f aca="false">AP63</f>
        <v>51.567903792987</v>
      </c>
      <c r="AR30" s="13" t="n">
        <f aca="false">AQ63</f>
        <v>53.0069687686191</v>
      </c>
      <c r="AS30" s="13" t="n">
        <f aca="false">AR63</f>
        <v>54.2169800090627</v>
      </c>
      <c r="AT30" s="13" t="n">
        <f aca="false">AS63</f>
        <v>55.2649653645011</v>
      </c>
      <c r="AU30" s="13" t="n">
        <f aca="false">AT63</f>
        <v>56.138778196919</v>
      </c>
      <c r="AV30" s="13" t="n">
        <f aca="false">AU63</f>
        <v>57.1275107932216</v>
      </c>
      <c r="AW30" s="13" t="n">
        <f aca="false">AV63</f>
        <v>57.9148147734224</v>
      </c>
      <c r="AX30" s="13" t="n">
        <f aca="false">AW63</f>
        <v>62.8392334695329</v>
      </c>
      <c r="AY30" s="13" t="n">
        <f aca="false">AX63</f>
        <v>63.3255975542774</v>
      </c>
      <c r="AZ30" s="13" t="n">
        <f aca="false">AY63</f>
        <v>63.3255975542774</v>
      </c>
      <c r="BA30" s="13" t="n">
        <f aca="false">AZ63</f>
        <v>63.3255975542774</v>
      </c>
      <c r="BB30" s="13" t="n">
        <f aca="false">BA63</f>
        <v>63.3255975542774</v>
      </c>
      <c r="BC30" s="13" t="n">
        <f aca="false">BB63</f>
        <v>63.3255975542774</v>
      </c>
      <c r="BD30" s="13" t="n">
        <f aca="false">BC63</f>
        <v>63.3255975542774</v>
      </c>
      <c r="BE30" s="13" t="n">
        <f aca="false">BD63</f>
        <v>63.3255975542774</v>
      </c>
      <c r="BF30" s="13" t="n">
        <f aca="false">BE63</f>
        <v>63.3255975542774</v>
      </c>
      <c r="BG30" s="13" t="n">
        <f aca="false">BF63</f>
        <v>63.3255975542774</v>
      </c>
      <c r="BH30" s="13" t="n">
        <f aca="false">BG63</f>
        <v>63.3255975542774</v>
      </c>
      <c r="BI30" s="13" t="n">
        <f aca="false">BH63</f>
        <v>63.3255975542774</v>
      </c>
      <c r="BJ30" s="13" t="n">
        <f aca="false">BI63</f>
        <v>63.3255975542774</v>
      </c>
    </row>
    <row r="31" customFormat="false" ht="15" hidden="false" customHeight="false" outlineLevel="0" collapsed="false">
      <c r="D31" s="0" t="s">
        <v>695</v>
      </c>
      <c r="E31" s="0" t="s">
        <v>149</v>
      </c>
      <c r="J31" s="13" t="n">
        <f aca="false">I64</f>
        <v>0</v>
      </c>
      <c r="K31" s="13" t="n">
        <f aca="false">J64</f>
        <v>34.1899945310692</v>
      </c>
      <c r="L31" s="13" t="n">
        <f aca="false">K64</f>
        <v>34.8863191329402</v>
      </c>
      <c r="M31" s="13" t="n">
        <f aca="false">L64</f>
        <v>35.7189076715216</v>
      </c>
      <c r="N31" s="13" t="n">
        <f aca="false">M64</f>
        <v>36.7789454863072</v>
      </c>
      <c r="O31" s="13" t="n">
        <f aca="false">N64</f>
        <v>38.170658105717</v>
      </c>
      <c r="P31" s="13" t="n">
        <f aca="false">O64</f>
        <v>39.9575861393589</v>
      </c>
      <c r="Q31" s="13" t="n">
        <f aca="false">P64</f>
        <v>42.1676570954384</v>
      </c>
      <c r="R31" s="13" t="n">
        <f aca="false">Q64</f>
        <v>44.8887820294955</v>
      </c>
      <c r="S31" s="13" t="n">
        <f aca="false">R64</f>
        <v>48.1116821035353</v>
      </c>
      <c r="T31" s="13" t="n">
        <f aca="false">S64</f>
        <v>51.8639087783165</v>
      </c>
      <c r="U31" s="13" t="n">
        <f aca="false">T64</f>
        <v>56.1209804756823</v>
      </c>
      <c r="V31" s="13" t="n">
        <f aca="false">U64</f>
        <v>60.8878725414794</v>
      </c>
      <c r="W31" s="13" t="n">
        <f aca="false">V64</f>
        <v>66.1379052242495</v>
      </c>
      <c r="X31" s="13" t="n">
        <f aca="false">W64</f>
        <v>71.8292817488179</v>
      </c>
      <c r="Y31" s="13" t="n">
        <f aca="false">X64</f>
        <v>77.9403109745872</v>
      </c>
      <c r="Z31" s="13" t="n">
        <f aca="false">Y64</f>
        <v>84.404041443582</v>
      </c>
      <c r="AA31" s="13" t="n">
        <f aca="false">Z64</f>
        <v>91.1871816168234</v>
      </c>
      <c r="AB31" s="13" t="n">
        <f aca="false">AA64</f>
        <v>98.5458104881528</v>
      </c>
      <c r="AC31" s="13" t="n">
        <f aca="false">AB64</f>
        <v>105.742357879741</v>
      </c>
      <c r="AD31" s="13" t="n">
        <f aca="false">AC64</f>
        <v>113.084871519838</v>
      </c>
      <c r="AE31" s="13" t="n">
        <f aca="false">AD64</f>
        <v>120.570393996364</v>
      </c>
      <c r="AF31" s="13" t="n">
        <f aca="false">AE64</f>
        <v>128.058093999873</v>
      </c>
      <c r="AG31" s="13" t="n">
        <f aca="false">AF64</f>
        <v>135.455370590023</v>
      </c>
      <c r="AH31" s="13" t="n">
        <f aca="false">AG64</f>
        <v>142.717063426008</v>
      </c>
      <c r="AI31" s="13" t="n">
        <f aca="false">AH64</f>
        <v>149.771059680834</v>
      </c>
      <c r="AJ31" s="13" t="n">
        <f aca="false">AI64</f>
        <v>156.543167988569</v>
      </c>
      <c r="AK31" s="13" t="n">
        <f aca="false">AJ64</f>
        <v>163.458781424178</v>
      </c>
      <c r="AL31" s="13" t="n">
        <f aca="false">AK64</f>
        <v>169.988262680411</v>
      </c>
      <c r="AM31" s="13" t="n">
        <f aca="false">AL64</f>
        <v>176.119397794376</v>
      </c>
      <c r="AN31" s="13" t="n">
        <f aca="false">AM64</f>
        <v>181.954179639441</v>
      </c>
      <c r="AO31" s="13" t="n">
        <f aca="false">AN64</f>
        <v>187.268107387965</v>
      </c>
      <c r="AP31" s="13" t="n">
        <f aca="false">AO64</f>
        <v>192.142446337781</v>
      </c>
      <c r="AQ31" s="13" t="n">
        <f aca="false">AP64</f>
        <v>195.958034413351</v>
      </c>
      <c r="AR31" s="13" t="n">
        <f aca="false">AQ64</f>
        <v>201.426481320753</v>
      </c>
      <c r="AS31" s="13" t="n">
        <f aca="false">AR64</f>
        <v>206.024524034438</v>
      </c>
      <c r="AT31" s="13" t="n">
        <f aca="false">AS64</f>
        <v>210.006868385104</v>
      </c>
      <c r="AU31" s="13" t="n">
        <f aca="false">AT64</f>
        <v>213.327357148292</v>
      </c>
      <c r="AV31" s="13" t="n">
        <f aca="false">AU64</f>
        <v>217.084541014242</v>
      </c>
      <c r="AW31" s="13" t="n">
        <f aca="false">AV64</f>
        <v>220.076296139005</v>
      </c>
      <c r="AX31" s="13" t="n">
        <f aca="false">AW64</f>
        <v>238.789087184225</v>
      </c>
      <c r="AY31" s="13" t="n">
        <f aca="false">AX64</f>
        <v>240.637270706254</v>
      </c>
      <c r="AZ31" s="13" t="n">
        <f aca="false">AY64</f>
        <v>240.637270706254</v>
      </c>
      <c r="BA31" s="13" t="n">
        <f aca="false">AZ64</f>
        <v>240.637270706254</v>
      </c>
      <c r="BB31" s="13" t="n">
        <f aca="false">BA64</f>
        <v>240.637270706254</v>
      </c>
      <c r="BC31" s="13" t="n">
        <f aca="false">BB64</f>
        <v>240.637270706254</v>
      </c>
      <c r="BD31" s="13" t="n">
        <f aca="false">BC64</f>
        <v>240.637270706254</v>
      </c>
      <c r="BE31" s="13" t="n">
        <f aca="false">BD64</f>
        <v>240.637270706254</v>
      </c>
      <c r="BF31" s="13" t="n">
        <f aca="false">BE64</f>
        <v>240.637270706254</v>
      </c>
      <c r="BG31" s="13" t="n">
        <f aca="false">BF64</f>
        <v>240.637270706254</v>
      </c>
      <c r="BH31" s="13" t="n">
        <f aca="false">BG64</f>
        <v>240.637270706254</v>
      </c>
      <c r="BI31" s="13" t="n">
        <f aca="false">BH64</f>
        <v>240.637270706254</v>
      </c>
      <c r="BJ31" s="13" t="n">
        <f aca="false">BI64</f>
        <v>240.637270706254</v>
      </c>
    </row>
    <row r="32" customFormat="false" ht="15" hidden="false" customHeight="false" outlineLevel="0" collapsed="false">
      <c r="D32" s="0" t="s">
        <v>696</v>
      </c>
      <c r="E32" s="0" t="s">
        <v>149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0</v>
      </c>
      <c r="AT32" s="13" t="n">
        <f aca="false">AS65</f>
        <v>0</v>
      </c>
      <c r="AU32" s="13" t="n">
        <f aca="false">AT65</f>
        <v>0</v>
      </c>
      <c r="AV32" s="13" t="n">
        <f aca="false">AU65</f>
        <v>0</v>
      </c>
      <c r="AW32" s="13" t="n">
        <f aca="false">AV65</f>
        <v>0</v>
      </c>
      <c r="AX32" s="13" t="n">
        <f aca="false">AW65</f>
        <v>0</v>
      </c>
      <c r="AY32" s="13" t="n">
        <f aca="false">AX65</f>
        <v>9.99206650247323</v>
      </c>
      <c r="AZ32" s="13" t="n">
        <f aca="false">AY65</f>
        <v>9.99206650247323</v>
      </c>
      <c r="BA32" s="13" t="n">
        <f aca="false">AZ65</f>
        <v>9.99206650247323</v>
      </c>
      <c r="BB32" s="13" t="n">
        <f aca="false">BA65</f>
        <v>9.99206650247323</v>
      </c>
      <c r="BC32" s="13" t="n">
        <f aca="false">BB65</f>
        <v>9.99206650247323</v>
      </c>
      <c r="BD32" s="13" t="n">
        <f aca="false">BC65</f>
        <v>9.99206650247323</v>
      </c>
      <c r="BE32" s="13" t="n">
        <f aca="false">BD65</f>
        <v>9.99206650247323</v>
      </c>
      <c r="BF32" s="13" t="n">
        <f aca="false">BE65</f>
        <v>9.99206650247323</v>
      </c>
      <c r="BG32" s="13" t="n">
        <f aca="false">BF65</f>
        <v>9.99206650247323</v>
      </c>
      <c r="BH32" s="13" t="n">
        <f aca="false">BG65</f>
        <v>9.99206650247323</v>
      </c>
      <c r="BI32" s="13" t="n">
        <f aca="false">BH65</f>
        <v>9.99206650247323</v>
      </c>
      <c r="BJ32" s="13" t="n">
        <f aca="false">BI65</f>
        <v>9.99206650247323</v>
      </c>
    </row>
    <row r="33" customFormat="false" ht="15" hidden="false" customHeight="false" outlineLevel="0" collapsed="false">
      <c r="D33" s="0" t="s">
        <v>697</v>
      </c>
      <c r="E33" s="0" t="s">
        <v>149</v>
      </c>
      <c r="G33" s="13" t="n">
        <f aca="false">SUM(J33:BJ33)</f>
        <v>7.11685558521203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0.0870495255494985</v>
      </c>
      <c r="L33" s="13" t="n">
        <f aca="false">Construction!L14*L28*(Construction!L17+Inputs!$F$79)/100*Construction!L11/Inputs!$F$247*1</f>
        <v>0.0917831514556763</v>
      </c>
      <c r="M33" s="13" t="n">
        <f aca="false">Construction!M14*M28*(Construction!M17+Inputs!$F$79)/100*Construction!M11/Inputs!$F$247*1</f>
        <v>0.0909422188742031</v>
      </c>
      <c r="N33" s="13" t="n">
        <f aca="false">Construction!N14*N28*(Construction!N17+Inputs!$F$79)/100*Construction!N11/Inputs!$F$247*1</f>
        <v>0.0967625019735149</v>
      </c>
      <c r="O33" s="13" t="n">
        <f aca="false">Construction!O14*O28*(Construction!O17+Inputs!$F$79)/100*Construction!O11/Inputs!$F$247*1</f>
        <v>0.109506260819954</v>
      </c>
      <c r="P33" s="13" t="n">
        <f aca="false">Construction!P14*P28*(Construction!P17+Inputs!$F$79)/100*Construction!P11/Inputs!$F$247*1</f>
        <v>0.10353921882076</v>
      </c>
      <c r="Q33" s="13" t="n">
        <f aca="false">Construction!Q14*Q28*(Construction!Q17+Inputs!$F$79)/100*Construction!Q11/Inputs!$F$247*1</f>
        <v>0.12097308993915</v>
      </c>
      <c r="R33" s="13" t="n">
        <f aca="false">Construction!R14*R28*(Construction!R17+Inputs!$F$79)/100*Construction!R11/Inputs!$F$247*1</f>
        <v>0.124625434318731</v>
      </c>
      <c r="S33" s="13" t="n">
        <f aca="false">Construction!S14*S28*(Construction!S17+Inputs!$F$79)/100*Construction!S11/Inputs!$F$247*1</f>
        <v>0.138025663438256</v>
      </c>
      <c r="T33" s="13" t="n">
        <f aca="false">Construction!T14*T28*(Construction!T17+Inputs!$F$79)/100*Construction!T11/Inputs!$F$247*1</f>
        <v>0.143990588845063</v>
      </c>
      <c r="U33" s="13" t="n">
        <f aca="false">Construction!U14*U28*(Construction!U17+Inputs!$F$79)/100*Construction!U11/Inputs!$F$247*1</f>
        <v>0.135441094327825</v>
      </c>
      <c r="V33" s="13" t="n">
        <f aca="false">Construction!V14*V28*(Construction!V17+Inputs!$F$79)/100*Construction!V11/Inputs!$F$247*1</f>
        <v>0.146945402920829</v>
      </c>
      <c r="W33" s="13" t="n">
        <f aca="false">Construction!W14*W28*(Construction!W17+Inputs!$F$79)/100*Construction!W11/Inputs!$F$247*1</f>
        <v>0.154466818122425</v>
      </c>
      <c r="X33" s="13" t="n">
        <f aca="false">Construction!X14*X28*(Construction!X17+Inputs!$F$79)/100*Construction!X11/Inputs!$F$247*1</f>
        <v>0.173351150360908</v>
      </c>
      <c r="Y33" s="13" t="n">
        <f aca="false">Construction!Y14*Y28*(Construction!Y17+Inputs!$F$79)/100*Construction!Y11/Inputs!$F$247*1</f>
        <v>0.182031647341964</v>
      </c>
      <c r="Z33" s="13" t="n">
        <f aca="false">Construction!Z14*Z28*(Construction!Z17+Inputs!$F$79)/100*Construction!Z11/Inputs!$F$247*1</f>
        <v>0.203698788615487</v>
      </c>
      <c r="AA33" s="13" t="n">
        <f aca="false">Construction!AA14*AA28*(Construction!AA17+Inputs!$F$79)/100*Construction!AA11/Inputs!$F$247*1</f>
        <v>0.20209159153939</v>
      </c>
      <c r="AB33" s="13" t="n">
        <f aca="false">Construction!AB14*AB28*(Construction!AB17+Inputs!$F$79)/100*Construction!AB11/Inputs!$F$247*1</f>
        <v>0.204309669376096</v>
      </c>
      <c r="AC33" s="13" t="n">
        <f aca="false">Construction!AC14*AC28*(Construction!AC17+Inputs!$F$79)/100*Construction!AC11/Inputs!$F$247*1</f>
        <v>0.234349181739618</v>
      </c>
      <c r="AD33" s="13" t="n">
        <f aca="false">Construction!AD14*AD28*(Construction!AD17+Inputs!$F$79)/100*Construction!AD11/Inputs!$F$247*1</f>
        <v>0.242537290233338</v>
      </c>
      <c r="AE33" s="13" t="n">
        <f aca="false">Construction!AE14*AE28*(Construction!AE17+Inputs!$F$79)/100*Construction!AE11/Inputs!$F$247*1</f>
        <v>0.267211491606854</v>
      </c>
      <c r="AF33" s="13" t="n">
        <f aca="false">Construction!AF14*AF28*(Construction!AF17+Inputs!$F$79)/100*Construction!AF11/Inputs!$F$247*1</f>
        <v>0.274650912131307</v>
      </c>
      <c r="AG33" s="13" t="n">
        <f aca="false">Construction!AG14*AG28*(Construction!AG17+Inputs!$F$79)/100*Construction!AG11/Inputs!$F$247*1</f>
        <v>0.158387727189912</v>
      </c>
      <c r="AH33" s="13" t="n">
        <f aca="false">Construction!AH14*AH28*(Construction!AH17+Inputs!$F$79)/100*Construction!AH11/Inputs!$F$247*1</f>
        <v>0.166878811883218</v>
      </c>
      <c r="AI33" s="13" t="n">
        <f aca="false">Construction!AI14*AI28*(Construction!AI17+Inputs!$F$79)/100*Construction!AI11/Inputs!$F$247*1</f>
        <v>0.169477778059891</v>
      </c>
      <c r="AJ33" s="13" t="n">
        <f aca="false">Construction!AJ14*AJ28*(Construction!AJ17+Inputs!$F$79)/100*Construction!AJ11/Inputs!$F$247*1</f>
        <v>0.183045651691897</v>
      </c>
      <c r="AK33" s="13" t="n">
        <f aca="false">Construction!AK14*AK28*(Construction!AK17+Inputs!$F$79)/100*Construction!AK11/Inputs!$F$247*1</f>
        <v>0.184966515822096</v>
      </c>
      <c r="AL33" s="13" t="n">
        <f aca="false">Construction!AL14*AL28*(Construction!AL17+Inputs!$F$79)/100*Construction!AL11/Inputs!$F$247*1</f>
        <v>0.198766977327183</v>
      </c>
      <c r="AM33" s="13" t="n">
        <f aca="false">Construction!AM14*AM28*(Construction!AM17+Inputs!$F$79)/100*Construction!AM11/Inputs!$F$247*1</f>
        <v>0.191568467776339</v>
      </c>
      <c r="AN33" s="13" t="n">
        <f aca="false">Construction!AN14*AN28*(Construction!AN17+Inputs!$F$79)/100*Construction!AN11/Inputs!$F$247*1</f>
        <v>0.178762001049275</v>
      </c>
      <c r="AO33" s="13" t="n">
        <f aca="false">Construction!AO14*AO28*(Construction!AO17+Inputs!$F$79)/100*Construction!AO11/Inputs!$F$247*1</f>
        <v>0.203695134351822</v>
      </c>
      <c r="AP33" s="13" t="n">
        <f aca="false">Construction!AP14*AP28*(Construction!AP17+Inputs!$F$79)/100*Construction!AP11/Inputs!$F$247*1</f>
        <v>0.202255206671348</v>
      </c>
      <c r="AQ33" s="13" t="n">
        <f aca="false">Construction!AQ14*AQ28*(Construction!AQ17+Inputs!$F$79)/100*Construction!AQ11/Inputs!$F$247*1</f>
        <v>0.21314733567768</v>
      </c>
      <c r="AR33" s="13" t="n">
        <f aca="false">Construction!AR14*AR28*(Construction!AR17+Inputs!$F$79)/100*Construction!AR11/Inputs!$F$247*1</f>
        <v>0.212027875074476</v>
      </c>
      <c r="AS33" s="13" t="n">
        <f aca="false">Construction!AS14*AS28*(Construction!AS17+Inputs!$F$79)/100*Construction!AS11/Inputs!$F$247*1</f>
        <v>0.211491402852019</v>
      </c>
      <c r="AT33" s="13" t="n">
        <f aca="false">Construction!AT14*AT28*(Construction!AT17+Inputs!$F$79)/100*Construction!AT11/Inputs!$F$247*1</f>
        <v>0.215579419059358</v>
      </c>
      <c r="AU33" s="13" t="n">
        <f aca="false">Construction!AU14*AU28*(Construction!AU17+Inputs!$F$79)/100*Construction!AU11/Inputs!$F$247*1</f>
        <v>0.211923887693369</v>
      </c>
      <c r="AV33" s="13" t="n">
        <f aca="false">Construction!AV14*AV28*(Construction!AV17+Inputs!$F$79)/100*Construction!AV11/Inputs!$F$247*1</f>
        <v>0.222844898352559</v>
      </c>
      <c r="AW33" s="13" t="n">
        <f aca="false">Construction!AW14*AW28*(Construction!AW17+Inputs!$F$79)/100*Construction!AW11/Inputs!$F$247*1</f>
        <v>0.218628425769669</v>
      </c>
      <c r="AX33" s="13" t="n">
        <f aca="false">Construction!AX14*AX28*(Construction!AX17+Inputs!$F$79)/100*Construction!AX11/Inputs!$F$247*1</f>
        <v>0.245125376559069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698</v>
      </c>
      <c r="E34" s="0" t="s">
        <v>149</v>
      </c>
      <c r="G34" s="13" t="n">
        <f aca="false">SUM(J34:BJ34)</f>
        <v>10.6735106344236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0.101775216176477</v>
      </c>
      <c r="L34" s="13" t="n">
        <f aca="false">Construction!L14*L29*(Construction!L17+Inputs!$F$80)/100*Construction!L11/Inputs!$F$247*1</f>
        <v>0.107309603605456</v>
      </c>
      <c r="M34" s="13" t="n">
        <f aca="false">Construction!M14*M29*(Construction!M17+Inputs!$F$80)/100*Construction!M11/Inputs!$F$247*1</f>
        <v>0.106326415073078</v>
      </c>
      <c r="N34" s="13" t="n">
        <f aca="false">Construction!N14*N29*(Construction!N17+Inputs!$F$80)/100*Construction!N11/Inputs!$F$247*1</f>
        <v>0.113131283530447</v>
      </c>
      <c r="O34" s="13" t="n">
        <f aca="false">Construction!O14*O29*(Construction!O17+Inputs!$F$80)/100*Construction!O11/Inputs!$F$247*1</f>
        <v>0.124072496461407</v>
      </c>
      <c r="P34" s="13" t="n">
        <f aca="false">Construction!P14*P29*(Construction!P17+Inputs!$F$80)/100*Construction!P11/Inputs!$F$247*1</f>
        <v>0.117311734183648</v>
      </c>
      <c r="Q34" s="13" t="n">
        <f aca="false">Construction!Q14*Q29*(Construction!Q17+Inputs!$F$80)/100*Construction!Q11/Inputs!$F$247*1</f>
        <v>0.13706461311905</v>
      </c>
      <c r="R34" s="13" t="n">
        <f aca="false">Construction!R14*R29*(Construction!R17+Inputs!$F$80)/100*Construction!R11/Inputs!$F$247*1</f>
        <v>0.141202782769974</v>
      </c>
      <c r="S34" s="13" t="n">
        <f aca="false">Construction!S14*S29*(Construction!S17+Inputs!$F$80)/100*Construction!S11/Inputs!$F$247*1</f>
        <v>0.156385475225778</v>
      </c>
      <c r="T34" s="13" t="n">
        <f aca="false">Construction!T14*T29*(Construction!T17+Inputs!$F$80)/100*Construction!T11/Inputs!$F$247*1</f>
        <v>0.163143839367581</v>
      </c>
      <c r="U34" s="13" t="n">
        <f aca="false">Construction!U14*U29*(Construction!U17+Inputs!$F$80)/100*Construction!U11/Inputs!$F$247*1</f>
        <v>0.163673885821513</v>
      </c>
      <c r="V34" s="13" t="n">
        <f aca="false">Construction!V14*V29*(Construction!V17+Inputs!$F$80)/100*Construction!V11/Inputs!$F$247*1</f>
        <v>0.177576275642354</v>
      </c>
      <c r="W34" s="13" t="n">
        <f aca="false">Construction!W14*W29*(Construction!W17+Inputs!$F$80)/100*Construction!W11/Inputs!$F$247*1</f>
        <v>0.186665535139494</v>
      </c>
      <c r="X34" s="13" t="n">
        <f aca="false">Construction!X14*X29*(Construction!X17+Inputs!$F$80)/100*Construction!X11/Inputs!$F$247*1</f>
        <v>0.209486319731914</v>
      </c>
      <c r="Y34" s="13" t="n">
        <f aca="false">Construction!Y14*Y29*(Construction!Y17+Inputs!$F$80)/100*Construction!Y11/Inputs!$F$247*1</f>
        <v>0.219976272421697</v>
      </c>
      <c r="Z34" s="13" t="n">
        <f aca="false">Construction!Z14*Z29*(Construction!Z17+Inputs!$F$80)/100*Construction!Z11/Inputs!$F$247*1</f>
        <v>0.246159944552236</v>
      </c>
      <c r="AA34" s="13" t="n">
        <f aca="false">Construction!AA14*AA29*(Construction!AA17+Inputs!$F$80)/100*Construction!AA11/Inputs!$F$247*1</f>
        <v>0.25275913575765</v>
      </c>
      <c r="AB34" s="13" t="n">
        <f aca="false">Construction!AB14*AB29*(Construction!AB17+Inputs!$F$80)/100*Construction!AB11/Inputs!$F$247*1</f>
        <v>0.255533320634806</v>
      </c>
      <c r="AC34" s="13" t="n">
        <f aca="false">Construction!AC14*AC29*(Construction!AC17+Inputs!$F$80)/100*Construction!AC11/Inputs!$F$247*1</f>
        <v>0.29310421176268</v>
      </c>
      <c r="AD34" s="13" t="n">
        <f aca="false">Construction!AD14*AD29*(Construction!AD17+Inputs!$F$80)/100*Construction!AD11/Inputs!$F$247*1</f>
        <v>0.303345207989181</v>
      </c>
      <c r="AE34" s="13" t="n">
        <f aca="false">Construction!AE14*AE29*(Construction!AE17+Inputs!$F$80)/100*Construction!AE11/Inputs!$F$247*1</f>
        <v>0.334205620177407</v>
      </c>
      <c r="AF34" s="13" t="n">
        <f aca="false">Construction!AF14*AF29*(Construction!AF17+Inputs!$F$80)/100*Construction!AF11/Inputs!$F$247*1</f>
        <v>0.34351022057159</v>
      </c>
      <c r="AG34" s="13" t="n">
        <f aca="false">Construction!AG14*AG29*(Construction!AG17+Inputs!$F$80)/100*Construction!AG11/Inputs!$F$247*1</f>
        <v>0.271469197532478</v>
      </c>
      <c r="AH34" s="13" t="n">
        <f aca="false">Construction!AH14*AH29*(Construction!AH17+Inputs!$F$80)/100*Construction!AH11/Inputs!$F$247*1</f>
        <v>0.286022521762633</v>
      </c>
      <c r="AI34" s="13" t="n">
        <f aca="false">Construction!AI14*AI29*(Construction!AI17+Inputs!$F$80)/100*Construction!AI11/Inputs!$F$247*1</f>
        <v>0.290477028907302</v>
      </c>
      <c r="AJ34" s="13" t="n">
        <f aca="false">Construction!AJ14*AJ29*(Construction!AJ17+Inputs!$F$80)/100*Construction!AJ11/Inputs!$F$247*1</f>
        <v>0.31373173324867</v>
      </c>
      <c r="AK34" s="13" t="n">
        <f aca="false">Construction!AK14*AK29*(Construction!AK17+Inputs!$F$80)/100*Construction!AK11/Inputs!$F$247*1</f>
        <v>0.317024005025313</v>
      </c>
      <c r="AL34" s="13" t="n">
        <f aca="false">Construction!AL14*AL29*(Construction!AL17+Inputs!$F$80)/100*Construction!AL11/Inputs!$F$247*1</f>
        <v>0.340677354163101</v>
      </c>
      <c r="AM34" s="13" t="n">
        <f aca="false">Construction!AM14*AM29*(Construction!AM17+Inputs!$F$80)/100*Construction!AM11/Inputs!$F$247*1</f>
        <v>0.342428636150205</v>
      </c>
      <c r="AN34" s="13" t="n">
        <f aca="false">Construction!AN14*AN29*(Construction!AN17+Inputs!$F$80)/100*Construction!AN11/Inputs!$F$247*1</f>
        <v>0.31953707687558</v>
      </c>
      <c r="AO34" s="13" t="n">
        <f aca="false">Construction!AO14*AO29*(Construction!AO17+Inputs!$F$80)/100*Construction!AO11/Inputs!$F$247*1</f>
        <v>0.364105052653881</v>
      </c>
      <c r="AP34" s="13" t="n">
        <f aca="false">Construction!AP14*AP29*(Construction!AP17+Inputs!$F$80)/100*Construction!AP11/Inputs!$F$247*1</f>
        <v>0.361531181925035</v>
      </c>
      <c r="AQ34" s="13" t="n">
        <f aca="false">Construction!AQ14*AQ29*(Construction!AQ17+Inputs!$F$80)/100*Construction!AQ11/Inputs!$F$247*1</f>
        <v>0.381000862523852</v>
      </c>
      <c r="AR34" s="13" t="n">
        <f aca="false">Construction!AR14*AR29*(Construction!AR17+Inputs!$F$80)/100*Construction!AR11/Inputs!$F$247*1</f>
        <v>0.378999826695627</v>
      </c>
      <c r="AS34" s="13" t="n">
        <f aca="false">Construction!AS14*AS29*(Construction!AS17+Inputs!$F$80)/100*Construction!AS11/Inputs!$F$247*1</f>
        <v>0.39132912554208</v>
      </c>
      <c r="AT34" s="13" t="n">
        <f aca="false">Construction!AT14*AT29*(Construction!AT17+Inputs!$F$80)/100*Construction!AT11/Inputs!$F$247*1</f>
        <v>0.398893309173408</v>
      </c>
      <c r="AU34" s="13" t="n">
        <f aca="false">Construction!AU14*AU29*(Construction!AU17+Inputs!$F$80)/100*Construction!AU11/Inputs!$F$247*1</f>
        <v>0.392129365705479</v>
      </c>
      <c r="AV34" s="13" t="n">
        <f aca="false">Construction!AV14*AV29*(Construction!AV17+Inputs!$F$80)/100*Construction!AV11/Inputs!$F$247*1</f>
        <v>0.412336851653675</v>
      </c>
      <c r="AW34" s="13" t="n">
        <f aca="false">Construction!AW14*AW29*(Construction!AW17+Inputs!$F$80)/100*Construction!AW11/Inputs!$F$247*1</f>
        <v>0.404534981192356</v>
      </c>
      <c r="AX34" s="13" t="n">
        <f aca="false">Construction!AX14*AX29*(Construction!AX17+Inputs!$F$80)/100*Construction!AX11/Inputs!$F$247*1</f>
        <v>0.45356311397751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699</v>
      </c>
      <c r="E35" s="0" t="s">
        <v>149</v>
      </c>
      <c r="G35" s="13" t="n">
        <f aca="false">SUM(J35:BJ35)</f>
        <v>4.58210546597969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0.0443870104438442</v>
      </c>
      <c r="L35" s="13" t="n">
        <f aca="false">Construction!L14*L30*(Construction!L17+Inputs!$F$81)/100*Construction!L11/Inputs!$F$247*1</f>
        <v>0.0468007111643069</v>
      </c>
      <c r="M35" s="13" t="n">
        <f aca="false">Construction!M14*M30*(Construction!M17+Inputs!$F$81)/100*Construction!M11/Inputs!$F$247*1</f>
        <v>0.0463719152226772</v>
      </c>
      <c r="N35" s="13" t="n">
        <f aca="false">Construction!N14*N30*(Construction!N17+Inputs!$F$81)/100*Construction!N11/Inputs!$F$247*1</f>
        <v>0.0493397081553151</v>
      </c>
      <c r="O35" s="13" t="n">
        <f aca="false">Construction!O14*O30*(Construction!O17+Inputs!$F$81)/100*Construction!O11/Inputs!$F$247*1</f>
        <v>0.0542341433918729</v>
      </c>
      <c r="P35" s="13" t="n">
        <f aca="false">Construction!P14*P30*(Construction!P17+Inputs!$F$81)/100*Construction!P11/Inputs!$F$247*1</f>
        <v>0.0512789022121772</v>
      </c>
      <c r="Q35" s="13" t="n">
        <f aca="false">Construction!Q14*Q30*(Construction!Q17+Inputs!$F$81)/100*Construction!Q11/Inputs!$F$247*1</f>
        <v>0.0599132127897687</v>
      </c>
      <c r="R35" s="13" t="n">
        <f aca="false">Construction!R14*R30*(Construction!R17+Inputs!$F$81)/100*Construction!R11/Inputs!$F$247*1</f>
        <v>0.0617220752905563</v>
      </c>
      <c r="S35" s="13" t="n">
        <f aca="false">Construction!S14*S30*(Construction!S17+Inputs!$F$81)/100*Construction!S11/Inputs!$F$247*1</f>
        <v>0.0683586816554397</v>
      </c>
      <c r="T35" s="13" t="n">
        <f aca="false">Construction!T14*T30*(Construction!T17+Inputs!$F$81)/100*Construction!T11/Inputs!$F$247*1</f>
        <v>0.0713128745701852</v>
      </c>
      <c r="U35" s="13" t="n">
        <f aca="false">Construction!U14*U30*(Construction!U17+Inputs!$F$81)/100*Construction!U11/Inputs!$F$247*1</f>
        <v>0.0712178524165091</v>
      </c>
      <c r="V35" s="13" t="n">
        <f aca="false">Construction!V14*V30*(Construction!V17+Inputs!$F$81)/100*Construction!V11/Inputs!$F$247*1</f>
        <v>0.0772670663245674</v>
      </c>
      <c r="W35" s="13" t="n">
        <f aca="false">Construction!W14*W30*(Construction!W17+Inputs!$F$81)/100*Construction!W11/Inputs!$F$247*1</f>
        <v>0.0812219888718854</v>
      </c>
      <c r="X35" s="13" t="n">
        <f aca="false">Construction!X14*X30*(Construction!X17+Inputs!$F$81)/100*Construction!X11/Inputs!$F$247*1</f>
        <v>0.0911517785935291</v>
      </c>
      <c r="Y35" s="13" t="n">
        <f aca="false">Construction!Y14*Y30*(Construction!Y17+Inputs!$F$81)/100*Construction!Y11/Inputs!$F$247*1</f>
        <v>0.0957161713723001</v>
      </c>
      <c r="Z35" s="13" t="n">
        <f aca="false">Construction!Z14*Z30*(Construction!Z17+Inputs!$F$81)/100*Construction!Z11/Inputs!$F$247*1</f>
        <v>0.107109222182791</v>
      </c>
      <c r="AA35" s="13" t="n">
        <f aca="false">Construction!AA14*AA30*(Construction!AA17+Inputs!$F$81)/100*Construction!AA11/Inputs!$F$247*1</f>
        <v>0.109724575774454</v>
      </c>
      <c r="AB35" s="13" t="n">
        <f aca="false">Construction!AB14*AB30*(Construction!AB17+Inputs!$F$81)/100*Construction!AB11/Inputs!$F$247*1</f>
        <v>0.11092886956923</v>
      </c>
      <c r="AC35" s="13" t="n">
        <f aca="false">Construction!AC14*AC30*(Construction!AC17+Inputs!$F$81)/100*Construction!AC11/Inputs!$F$247*1</f>
        <v>0.12723866615924</v>
      </c>
      <c r="AD35" s="13" t="n">
        <f aca="false">Construction!AD14*AD30*(Construction!AD17+Inputs!$F$81)/100*Construction!AD11/Inputs!$F$247*1</f>
        <v>0.13168435696718</v>
      </c>
      <c r="AE35" s="13" t="n">
        <f aca="false">Construction!AE14*AE30*(Construction!AE17+Inputs!$F$81)/100*Construction!AE11/Inputs!$F$247*1</f>
        <v>0.145081085933783</v>
      </c>
      <c r="AF35" s="13" t="n">
        <f aca="false">Construction!AF14*AF30*(Construction!AF17+Inputs!$F$81)/100*Construction!AF11/Inputs!$F$247*1</f>
        <v>0.14912028051301</v>
      </c>
      <c r="AG35" s="13" t="n">
        <f aca="false">Construction!AG14*AG30*(Construction!AG17+Inputs!$F$81)/100*Construction!AG11/Inputs!$F$247*1</f>
        <v>0.115721265795731</v>
      </c>
      <c r="AH35" s="13" t="n">
        <f aca="false">Construction!AH14*AH30*(Construction!AH17+Inputs!$F$81)/100*Construction!AH11/Inputs!$F$247*1</f>
        <v>0.121925023410801</v>
      </c>
      <c r="AI35" s="13" t="n">
        <f aca="false">Construction!AI14*AI30*(Construction!AI17+Inputs!$F$81)/100*Construction!AI11/Inputs!$F$247*1</f>
        <v>0.123823880481742</v>
      </c>
      <c r="AJ35" s="13" t="n">
        <f aca="false">Construction!AJ14*AJ30*(Construction!AJ17+Inputs!$F$81)/100*Construction!AJ11/Inputs!$F$247*1</f>
        <v>0.133736842418304</v>
      </c>
      <c r="AK35" s="13" t="n">
        <f aca="false">Construction!AK14*AK30*(Construction!AK17+Inputs!$F$81)/100*Construction!AK11/Inputs!$F$247*1</f>
        <v>0.135140264466919</v>
      </c>
      <c r="AL35" s="13" t="n">
        <f aca="false">Construction!AL14*AL30*(Construction!AL17+Inputs!$F$81)/100*Construction!AL11/Inputs!$F$247*1</f>
        <v>0.145223159791372</v>
      </c>
      <c r="AM35" s="13" t="n">
        <f aca="false">Construction!AM14*AM30*(Construction!AM17+Inputs!$F$81)/100*Construction!AM11/Inputs!$F$247*1</f>
        <v>0.145671855704924</v>
      </c>
      <c r="AN35" s="13" t="n">
        <f aca="false">Construction!AN14*AN30*(Construction!AN17+Inputs!$F$81)/100*Construction!AN11/Inputs!$F$247*1</f>
        <v>0.135933604964553</v>
      </c>
      <c r="AO35" s="13" t="n">
        <f aca="false">Construction!AO14*AO30*(Construction!AO17+Inputs!$F$81)/100*Construction!AO11/Inputs!$F$247*1</f>
        <v>0.154893175080031</v>
      </c>
      <c r="AP35" s="13" t="n">
        <f aca="false">Construction!AP14*AP30*(Construction!AP17+Inputs!$F$81)/100*Construction!AP11/Inputs!$F$247*1</f>
        <v>0.153798230073004</v>
      </c>
      <c r="AQ35" s="13" t="n">
        <f aca="false">Construction!AQ14*AQ30*(Construction!AQ17+Inputs!$F$81)/100*Construction!AQ11/Inputs!$F$247*1</f>
        <v>0.162080786504902</v>
      </c>
      <c r="AR35" s="13" t="n">
        <f aca="false">Construction!AR14*AR30*(Construction!AR17+Inputs!$F$81)/100*Construction!AR11/Inputs!$F$247*1</f>
        <v>0.16122953000455</v>
      </c>
      <c r="AS35" s="13" t="n">
        <f aca="false">Construction!AS14*AS30*(Construction!AS17+Inputs!$F$81)/100*Construction!AS11/Inputs!$F$247*1</f>
        <v>0.166205164272227</v>
      </c>
      <c r="AT35" s="13" t="n">
        <f aca="false">Construction!AT14*AT30*(Construction!AT17+Inputs!$F$81)/100*Construction!AT11/Inputs!$F$247*1</f>
        <v>0.169417821600732</v>
      </c>
      <c r="AU35" s="13" t="n">
        <f aca="false">Construction!AU14*AU30*(Construction!AU17+Inputs!$F$81)/100*Construction!AU11/Inputs!$F$247*1</f>
        <v>0.166545041984193</v>
      </c>
      <c r="AV35" s="13" t="n">
        <f aca="false">Construction!AV14*AV30*(Construction!AV17+Inputs!$F$81)/100*Construction!AV11/Inputs!$F$247*1</f>
        <v>0.175127558087221</v>
      </c>
      <c r="AW35" s="13" t="n">
        <f aca="false">Construction!AW14*AW30*(Construction!AW17+Inputs!$F$81)/100*Construction!AW11/Inputs!$F$247*1</f>
        <v>0.171813950494486</v>
      </c>
      <c r="AX35" s="13" t="n">
        <f aca="false">Construction!AX14*AX30*(Construction!AX17+Inputs!$F$81)/100*Construction!AX11/Inputs!$F$247*1</f>
        <v>0.192637161269379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700</v>
      </c>
      <c r="E36" s="0" t="s">
        <v>149</v>
      </c>
      <c r="G36" s="13" t="n">
        <f aca="false">SUM(J36:BJ36)</f>
        <v>22.5326414637397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0.209572003514517</v>
      </c>
      <c r="L36" s="13" t="n">
        <f aca="false">Construction!L14*L31*(Construction!L17+Inputs!$F$82)/100*Construction!L11/Inputs!$F$247*(1/(1-Inputs!$F$93/100))</f>
        <v>0.220968222606852</v>
      </c>
      <c r="M36" s="13" t="n">
        <f aca="false">Construction!M14*M31*(Construction!M17+Inputs!$F$82)/100*Construction!M11/Inputs!$F$247*(1/(1-Inputs!$F$93/100))</f>
        <v>0.218943674801364</v>
      </c>
      <c r="N36" s="13" t="n">
        <f aca="false">Construction!N14*N31*(Construction!N17+Inputs!$F$82)/100*Construction!N11/Inputs!$F$247*(1/(1-Inputs!$F$93/100))</f>
        <v>0.232956024466049</v>
      </c>
      <c r="O36" s="13" t="n">
        <f aca="false">Construction!O14*O31*(Construction!O17+Inputs!$F$82)/100*Construction!O11/Inputs!$F$247*(1/(1-Inputs!$F$93/100))</f>
        <v>0.254553521509329</v>
      </c>
      <c r="P36" s="13" t="n">
        <f aca="false">Construction!P14*P31*(Construction!P17+Inputs!$F$82)/100*Construction!P11/Inputs!$F$247*(1/(1-Inputs!$F$93/100))</f>
        <v>0.240682793548064</v>
      </c>
      <c r="Q36" s="13" t="n">
        <f aca="false">Construction!Q14*Q31*(Construction!Q17+Inputs!$F$82)/100*Construction!Q11/Inputs!$F$247*(1/(1-Inputs!$F$93/100))</f>
        <v>0.28120881693245</v>
      </c>
      <c r="R36" s="13" t="n">
        <f aca="false">Construction!R14*R31*(Construction!R17+Inputs!$F$82)/100*Construction!R11/Inputs!$F$247*(1/(1-Inputs!$F$93/100))</f>
        <v>0.289698898838503</v>
      </c>
      <c r="S36" s="13" t="n">
        <f aca="false">Construction!S14*S31*(Construction!S17+Inputs!$F$82)/100*Construction!S11/Inputs!$F$247*(1/(1-Inputs!$F$93/100))</f>
        <v>0.320848492349101</v>
      </c>
      <c r="T36" s="13" t="n">
        <f aca="false">Construction!T14*T31*(Construction!T17+Inputs!$F$82)/100*Construction!T11/Inputs!$F$247*(1/(1-Inputs!$F$93/100))</f>
        <v>0.334714300171172</v>
      </c>
      <c r="U36" s="13" t="n">
        <f aca="false">Construction!U14*U31*(Construction!U17+Inputs!$F$82)/100*Construction!U11/Inputs!$F$247*(1/(1-Inputs!$F$93/100))</f>
        <v>0.338284798978418</v>
      </c>
      <c r="V36" s="13" t="n">
        <f aca="false">Construction!V14*V31*(Construction!V17+Inputs!$F$82)/100*Construction!V11/Inputs!$F$247*(1/(1-Inputs!$F$93/100))</f>
        <v>0.367018565041696</v>
      </c>
      <c r="W36" s="13" t="n">
        <f aca="false">Construction!W14*W31*(Construction!W17+Inputs!$F$82)/100*Construction!W11/Inputs!$F$247*(1/(1-Inputs!$F$93/100))</f>
        <v>0.385804447141456</v>
      </c>
      <c r="X36" s="13" t="n">
        <f aca="false">Construction!X14*X31*(Construction!X17+Inputs!$F$82)/100*Construction!X11/Inputs!$F$247*(1/(1-Inputs!$F$93/100))</f>
        <v>0.432970948319263</v>
      </c>
      <c r="Y36" s="13" t="n">
        <f aca="false">Construction!Y14*Y31*(Construction!Y17+Inputs!$F$82)/100*Construction!Y11/Inputs!$F$247*(1/(1-Inputs!$F$93/100))</f>
        <v>0.454651814018426</v>
      </c>
      <c r="Z36" s="13" t="n">
        <f aca="false">Construction!Z14*Z31*(Construction!Z17+Inputs!$F$82)/100*Construction!Z11/Inputs!$F$247*(1/(1-Inputs!$F$93/100))</f>
        <v>0.508768805368258</v>
      </c>
      <c r="AA36" s="13" t="n">
        <f aca="false">Construction!AA14*AA31*(Construction!AA17+Inputs!$F$82)/100*Construction!AA11/Inputs!$F$247*(1/(1-Inputs!$F$93/100))</f>
        <v>0.524354438488591</v>
      </c>
      <c r="AB36" s="13" t="n">
        <f aca="false">Construction!AB14*AB31*(Construction!AB17+Inputs!$F$82)/100*Construction!AB11/Inputs!$F$247*(1/(1-Inputs!$F$93/100))</f>
        <v>0.530109546604326</v>
      </c>
      <c r="AC36" s="13" t="n">
        <f aca="false">Construction!AC14*AC31*(Construction!AC17+Inputs!$F$82)/100*Construction!AC11/Inputs!$F$247*(1/(1-Inputs!$F$93/100))</f>
        <v>0.608051194338718</v>
      </c>
      <c r="AD36" s="13" t="n">
        <f aca="false">Construction!AD14*AD31*(Construction!AD17+Inputs!$F$82)/100*Construction!AD11/Inputs!$F$247*(1/(1-Inputs!$F$93/100))</f>
        <v>0.629296368365027</v>
      </c>
      <c r="AE36" s="13" t="n">
        <f aca="false">Construction!AE14*AE31*(Construction!AE17+Inputs!$F$82)/100*Construction!AE11/Inputs!$F$247*(1/(1-Inputs!$F$93/100))</f>
        <v>0.69331697856366</v>
      </c>
      <c r="AF36" s="13" t="n">
        <f aca="false">Construction!AF14*AF31*(Construction!AF17+Inputs!$F$82)/100*Construction!AF11/Inputs!$F$247*(1/(1-Inputs!$F$93/100))</f>
        <v>0.712619578647443</v>
      </c>
      <c r="AG36" s="13" t="n">
        <f aca="false">Construction!AG14*AG31*(Construction!AG17+Inputs!$F$82)/100*Construction!AG11/Inputs!$F$247*(1/(1-Inputs!$F$93/100))</f>
        <v>0.579322552551217</v>
      </c>
      <c r="AH36" s="13" t="n">
        <f aca="false">Construction!AH14*AH31*(Construction!AH17+Inputs!$F$82)/100*Construction!AH11/Inputs!$F$247*(1/(1-Inputs!$F$93/100))</f>
        <v>0.610379737004382</v>
      </c>
      <c r="AI36" s="13" t="n">
        <f aca="false">Construction!AI14*AI31*(Construction!AI17+Inputs!$F$82)/100*Construction!AI11/Inputs!$F$247*(1/(1-Inputs!$F$93/100))</f>
        <v>0.619885774790118</v>
      </c>
      <c r="AJ36" s="13" t="n">
        <f aca="false">Construction!AJ14*AJ31*(Construction!AJ17+Inputs!$F$82)/100*Construction!AJ11/Inputs!$F$247*(1/(1-Inputs!$F$93/100))</f>
        <v>0.669511937906666</v>
      </c>
      <c r="AK36" s="13" t="n">
        <f aca="false">Construction!AK14*AK31*(Construction!AK17+Inputs!$F$82)/100*Construction!AK11/Inputs!$F$247*(1/(1-Inputs!$F$93/100))</f>
        <v>0.676537734227846</v>
      </c>
      <c r="AL36" s="13" t="n">
        <f aca="false">Construction!AL14*AL31*(Construction!AL17+Inputs!$F$82)/100*Construction!AL11/Inputs!$F$247*(1/(1-Inputs!$F$93/100))</f>
        <v>0.727014616037796</v>
      </c>
      <c r="AM36" s="13" t="n">
        <f aca="false">Construction!AM14*AM31*(Construction!AM17+Inputs!$F$82)/100*Construction!AM11/Inputs!$F$247*(1/(1-Inputs!$F$93/100))</f>
        <v>0.733015456560851</v>
      </c>
      <c r="AN36" s="13" t="n">
        <f aca="false">Construction!AN14*AN31*(Construction!AN17+Inputs!$F$82)/100*Construction!AN11/Inputs!$F$247*(1/(1-Inputs!$F$93/100))</f>
        <v>0.684012934570491</v>
      </c>
      <c r="AO36" s="13" t="n">
        <f aca="false">Construction!AO14*AO31*(Construction!AO17+Inputs!$F$82)/100*Construction!AO11/Inputs!$F$247*(1/(1-Inputs!$F$93/100))</f>
        <v>0.77941679880454</v>
      </c>
      <c r="AP36" s="13" t="n">
        <f aca="false">Construction!AP14*AP31*(Construction!AP17+Inputs!$F$82)/100*Construction!AP11/Inputs!$F$247*(1/(1-Inputs!$F$93/100))</f>
        <v>0.773907075527173</v>
      </c>
      <c r="AQ36" s="13" t="n">
        <f aca="false">Construction!AQ14*AQ31*(Construction!AQ17+Inputs!$F$82)/100*Construction!AQ11/Inputs!$F$247*(1/(1-Inputs!$F$93/100))</f>
        <v>0.815584596933343</v>
      </c>
      <c r="AR36" s="13" t="n">
        <f aca="false">Construction!AR14*AR31*(Construction!AR17+Inputs!$F$82)/100*Construction!AR11/Inputs!$F$247*(1/(1-Inputs!$F$93/100))</f>
        <v>0.811301105319698</v>
      </c>
      <c r="AS36" s="13" t="n">
        <f aca="false">Construction!AS14*AS31*(Construction!AS17+Inputs!$F$82)/100*Construction!AS11/Inputs!$F$247*(1/(1-Inputs!$F$93/100))</f>
        <v>0.839740698888516</v>
      </c>
      <c r="AT36" s="13" t="n">
        <f aca="false">Construction!AT14*AT31*(Construction!AT17+Inputs!$F$82)/100*Construction!AT11/Inputs!$F$247*(1/(1-Inputs!$F$93/100))</f>
        <v>0.85597243947336</v>
      </c>
      <c r="AU36" s="13" t="n">
        <f aca="false">Construction!AU14*AU31*(Construction!AU17+Inputs!$F$82)/100*Construction!AU11/Inputs!$F$247*(1/(1-Inputs!$F$93/100))</f>
        <v>0.841457908751597</v>
      </c>
      <c r="AV36" s="13" t="n">
        <f aca="false">Construction!AV14*AV31*(Construction!AV17+Inputs!$F$82)/100*Construction!AV11/Inputs!$F$247*(1/(1-Inputs!$F$93/100))</f>
        <v>0.88482050883768</v>
      </c>
      <c r="AW36" s="13" t="n">
        <f aca="false">Construction!AW14*AW31*(Construction!AW17+Inputs!$F$82)/100*Construction!AW11/Inputs!$F$247*(1/(1-Inputs!$F$93/100))</f>
        <v>0.868078723659409</v>
      </c>
      <c r="AX36" s="13" t="n">
        <f aca="false">Construction!AX14*AX31*(Construction!AX17+Inputs!$F$82)/100*Construction!AX11/Inputs!$F$247*(1/(1-Inputs!$F$93/100))</f>
        <v>0.973286631282369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701</v>
      </c>
      <c r="E37" s="0" t="s">
        <v>149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702</v>
      </c>
      <c r="E38" s="0" t="s">
        <v>149</v>
      </c>
      <c r="G38" s="13" t="n">
        <f aca="false">SUM(J38:BJ38)</f>
        <v>4.18154403631762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0.0290849131558821</v>
      </c>
      <c r="L38" s="13" t="n">
        <f aca="false">Construction!L14*(Inputs!$F$95/100*Inputs!$F$96/100)*L31*Construction!L11/Inputs!$F$248</f>
        <v>0.0306665082022024</v>
      </c>
      <c r="M38" s="13" t="n">
        <f aca="false">Construction!M14*(Inputs!$F$95/100*Inputs!$F$96/100)*M31*Construction!M11/Inputs!$F$248</f>
        <v>0.0303855365260479</v>
      </c>
      <c r="N38" s="13" t="n">
        <f aca="false">Construction!N14*(Inputs!$F$95/100*Inputs!$F$96/100)*N31*Construction!N11/Inputs!$F$248</f>
        <v>0.0323302045459772</v>
      </c>
      <c r="O38" s="13" t="n">
        <f aca="false">Construction!O14*(Inputs!$F$95/100*Inputs!$F$96/100)*O31*Construction!O11/Inputs!$F$248</f>
        <v>0.0335535771321076</v>
      </c>
      <c r="P38" s="13" t="n">
        <f aca="false">Construction!P14*(Inputs!$F$95/100*Inputs!$F$96/100)*P31*Construction!P11/Inputs!$F$248</f>
        <v>0.0317252286662636</v>
      </c>
      <c r="Q38" s="13" t="n">
        <f aca="false">Construction!Q14*(Inputs!$F$95/100*Inputs!$F$96/100)*Q31*Construction!Q11/Inputs!$F$248</f>
        <v>0.0370671035043052</v>
      </c>
      <c r="R38" s="13" t="n">
        <f aca="false">Construction!R14*(Inputs!$F$95/100*Inputs!$F$96/100)*R31*Construction!R11/Inputs!$F$248</f>
        <v>0.0381862104661873</v>
      </c>
      <c r="S38" s="13" t="n">
        <f aca="false">Construction!S14*(Inputs!$F$95/100*Inputs!$F$96/100)*S31*Construction!S11/Inputs!$F$248</f>
        <v>0.0422921457614228</v>
      </c>
      <c r="T38" s="13" t="n">
        <f aca="false">Construction!T14*(Inputs!$F$95/100*Inputs!$F$96/100)*T31*Construction!T11/Inputs!$F$248</f>
        <v>0.0441198456867596</v>
      </c>
      <c r="U38" s="13" t="n">
        <f aca="false">Construction!U14*(Inputs!$F$95/100*Inputs!$F$96/100)*U31*Construction!U11/Inputs!$F$248</f>
        <v>0.0493326481797881</v>
      </c>
      <c r="V38" s="13" t="n">
        <f aca="false">Construction!V14*(Inputs!$F$95/100*Inputs!$F$96/100)*V31*Construction!V11/Inputs!$F$248</f>
        <v>0.0535229422052978</v>
      </c>
      <c r="W38" s="13" t="n">
        <f aca="false">Construction!W14*(Inputs!$F$95/100*Inputs!$F$96/100)*W31*Construction!W11/Inputs!$F$248</f>
        <v>0.0562625193756972</v>
      </c>
      <c r="X38" s="13" t="n">
        <f aca="false">Construction!X14*(Inputs!$F$95/100*Inputs!$F$96/100)*X31*Construction!X11/Inputs!$F$248</f>
        <v>0.063140890545502</v>
      </c>
      <c r="Y38" s="13" t="n">
        <f aca="false">Construction!Y14*(Inputs!$F$95/100*Inputs!$F$96/100)*Y31*Construction!Y11/Inputs!$F$248</f>
        <v>0.0663026481030393</v>
      </c>
      <c r="Z38" s="13" t="n">
        <f aca="false">Construction!Z14*(Inputs!$F$95/100*Inputs!$F$96/100)*Z31*Construction!Z11/Inputs!$F$248</f>
        <v>0.074194621088146</v>
      </c>
      <c r="AA38" s="13" t="n">
        <f aca="false">Construction!AA14*(Inputs!$F$95/100*Inputs!$F$96/100)*AA31*Construction!AA11/Inputs!$F$248</f>
        <v>0.0801572800596103</v>
      </c>
      <c r="AB38" s="13" t="n">
        <f aca="false">Construction!AB14*(Inputs!$F$95/100*Inputs!$F$96/100)*AB31*Construction!AB11/Inputs!$F$248</f>
        <v>0.0810370548438878</v>
      </c>
      <c r="AC38" s="13" t="n">
        <f aca="false">Construction!AC14*(Inputs!$F$95/100*Inputs!$F$96/100)*AC31*Construction!AC11/Inputs!$F$248</f>
        <v>0.0929518781526432</v>
      </c>
      <c r="AD38" s="13" t="n">
        <f aca="false">Construction!AD14*(Inputs!$F$95/100*Inputs!$F$96/100)*AD31*Construction!AD11/Inputs!$F$248</f>
        <v>0.0961995961833146</v>
      </c>
      <c r="AE38" s="13" t="n">
        <f aca="false">Construction!AE14*(Inputs!$F$95/100*Inputs!$F$96/100)*AE31*Construction!AE11/Inputs!$F$248</f>
        <v>0.105986331270502</v>
      </c>
      <c r="AF38" s="13" t="n">
        <f aca="false">Construction!AF14*(Inputs!$F$95/100*Inputs!$F$96/100)*AF31*Construction!AF11/Inputs!$F$248</f>
        <v>0.10893709092318</v>
      </c>
      <c r="AG38" s="13" t="n">
        <f aca="false">Construction!AG14*(Inputs!$F$95/100*Inputs!$F$96/100)*AG31*Construction!AG11/Inputs!$F$248</f>
        <v>0.119070837407695</v>
      </c>
      <c r="AH38" s="13" t="n">
        <f aca="false">Construction!AH14*(Inputs!$F$95/100*Inputs!$F$96/100)*AH31*Construction!AH11/Inputs!$F$248</f>
        <v>0.12545416383626</v>
      </c>
      <c r="AI38" s="13" t="n">
        <f aca="false">Construction!AI14*(Inputs!$F$95/100*Inputs!$F$96/100)*AI31*Construction!AI11/Inputs!$F$248</f>
        <v>0.127407983646298</v>
      </c>
      <c r="AJ38" s="13" t="n">
        <f aca="false">Construction!AJ14*(Inputs!$F$95/100*Inputs!$F$96/100)*AJ31*Construction!AJ11/Inputs!$F$248</f>
        <v>0.137607877942828</v>
      </c>
      <c r="AK38" s="13" t="n">
        <f aca="false">Construction!AK14*(Inputs!$F$95/100*Inputs!$F$96/100)*AK31*Construction!AK11/Inputs!$F$248</f>
        <v>0.13905192228002</v>
      </c>
      <c r="AL38" s="13" t="n">
        <f aca="false">Construction!AL14*(Inputs!$F$95/100*Inputs!$F$96/100)*AL31*Construction!AL11/Inputs!$F$248</f>
        <v>0.149426668715096</v>
      </c>
      <c r="AM38" s="13" t="n">
        <f aca="false">Construction!AM14*(Inputs!$F$95/100*Inputs!$F$96/100)*AM31*Construction!AM11/Inputs!$F$248</f>
        <v>0.154816188444727</v>
      </c>
      <c r="AN38" s="13" t="n">
        <f aca="false">Construction!AN14*(Inputs!$F$95/100*Inputs!$F$96/100)*AN31*Construction!AN11/Inputs!$F$248</f>
        <v>0.144466633587699</v>
      </c>
      <c r="AO38" s="13" t="n">
        <f aca="false">Construction!AO14*(Inputs!$F$95/100*Inputs!$F$96/100)*AO31*Construction!AO11/Inputs!$F$248</f>
        <v>0.16461636234364</v>
      </c>
      <c r="AP38" s="13" t="n">
        <f aca="false">Construction!AP14*(Inputs!$F$95/100*Inputs!$F$96/100)*AP31*Construction!AP11/Inputs!$F$248</f>
        <v>0.163452683802414</v>
      </c>
      <c r="AQ38" s="13" t="n">
        <f aca="false">Construction!AQ14*(Inputs!$F$95/100*Inputs!$F$96/100)*AQ31*Construction!AQ11/Inputs!$F$248</f>
        <v>0.172255165319243</v>
      </c>
      <c r="AR38" s="13" t="n">
        <f aca="false">Construction!AR14*(Inputs!$F$95/100*Inputs!$F$96/100)*AR31*Construction!AR11/Inputs!$F$248</f>
        <v>0.17135047246601</v>
      </c>
      <c r="AS38" s="13" t="n">
        <f aca="false">Construction!AS14*(Inputs!$F$95/100*Inputs!$F$96/100)*AS31*Construction!AS11/Inputs!$F$248</f>
        <v>0.181104023387533</v>
      </c>
      <c r="AT38" s="13" t="n">
        <f aca="false">Construction!AT14*(Inputs!$F$95/100*Inputs!$F$96/100)*AT31*Construction!AT11/Inputs!$F$248</f>
        <v>0.184604667729755</v>
      </c>
      <c r="AU38" s="13" t="n">
        <f aca="false">Construction!AU14*(Inputs!$F$95/100*Inputs!$F$96/100)*AU31*Construction!AU11/Inputs!$F$248</f>
        <v>0.181474368204232</v>
      </c>
      <c r="AV38" s="13" t="n">
        <f aca="false">Construction!AV14*(Inputs!$F$95/100*Inputs!$F$96/100)*AV31*Construction!AV11/Inputs!$F$248</f>
        <v>0.190826232834026</v>
      </c>
      <c r="AW38" s="13" t="n">
        <f aca="false">Construction!AW14*(Inputs!$F$95/100*Inputs!$F$96/100)*AW31*Construction!AW11/Inputs!$F$248</f>
        <v>0.187215588907291</v>
      </c>
      <c r="AX38" s="13" t="n">
        <f aca="false">Construction!AX14*(Inputs!$F$95/100*Inputs!$F$96/100)*AX31*Construction!AX11/Inputs!$F$248</f>
        <v>0.209905420885092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703</v>
      </c>
      <c r="E39" s="0" t="s">
        <v>149</v>
      </c>
      <c r="G39" s="13" t="n">
        <f aca="false">SUM(J39:BJ39)</f>
        <v>13.6621394586511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0.0256336265468404</v>
      </c>
      <c r="L39" s="13" t="n">
        <f aca="false">Construction!L14*Inputs!L309*(Inputs!$F$97/100/12-Construction!L17/100*Construction!L11/Inputs!$F$247)</f>
        <v>0.0210141444648804</v>
      </c>
      <c r="M39" s="13" t="n">
        <f aca="false">Construction!M14*Inputs!M309*(Inputs!$F$97/100/12-Construction!M17/100*Construction!M11/Inputs!$F$247)</f>
        <v>0.0268320307959709</v>
      </c>
      <c r="N39" s="13" t="n">
        <f aca="false">Construction!N14*Inputs!N309*(Inputs!$F$97/100/12-Construction!N17/100*Construction!N11/Inputs!$F$247)</f>
        <v>0.0223162130457094</v>
      </c>
      <c r="O39" s="13" t="n">
        <f aca="false">Construction!O14*Inputs!O309*(Inputs!$F$97/100/12-Construction!O17/100*Construction!O11/Inputs!$F$247)</f>
        <v>-0.00127424878125192</v>
      </c>
      <c r="P39" s="13" t="n">
        <f aca="false">Construction!P14*Inputs!P309*(Inputs!$F$97/100/12-Construction!P17/100*Construction!P11/Inputs!$F$247)</f>
        <v>0.0195011255994295</v>
      </c>
      <c r="Q39" s="13" t="n">
        <f aca="false">Construction!Q14*Inputs!Q309*(Inputs!$F$97/100/12-Construction!Q17/100*Construction!Q11/Inputs!$F$247)</f>
        <v>-0.00146402957605366</v>
      </c>
      <c r="R39" s="13" t="n">
        <f aca="false">Construction!R14*Inputs!R309*(Inputs!$F$97/100/12-Construction!R17/100*Construction!R11/Inputs!$F$247)</f>
        <v>0.00660161691874227</v>
      </c>
      <c r="S39" s="13" t="n">
        <f aca="false">Construction!S14*Inputs!S309*(Inputs!$F$97/100/12-Construction!S17/100*Construction!S11/Inputs!$F$247)</f>
        <v>-0.00176559042074211</v>
      </c>
      <c r="T39" s="13" t="n">
        <f aca="false">Construction!T14*Inputs!T309*(Inputs!$F$97/100/12-Construction!T17/100*Construction!T11/Inputs!$F$247)</f>
        <v>0.00808562367175125</v>
      </c>
      <c r="U39" s="13" t="n">
        <f aca="false">Construction!U14*Inputs!U309*(Inputs!$F$97/100/12-Construction!U17/100*Construction!U11/Inputs!$F$247)</f>
        <v>0.0787536645623332</v>
      </c>
      <c r="V39" s="13" t="n">
        <f aca="false">Construction!V14*Inputs!V309*(Inputs!$F$97/100/12-Construction!V17/100*Construction!V11/Inputs!$F$247)</f>
        <v>0.0877176560257361</v>
      </c>
      <c r="W39" s="13" t="n">
        <f aca="false">Construction!W14*Inputs!W309*(Inputs!$F$97/100/12-Construction!W17/100*Construction!W11/Inputs!$F$247)</f>
        <v>0.108133044779402</v>
      </c>
      <c r="X39" s="13" t="n">
        <f aca="false">Construction!X14*Inputs!X309*(Inputs!$F$97/100/12-Construction!X17/100*Construction!X11/Inputs!$F$247)</f>
        <v>0.10801265991364</v>
      </c>
      <c r="Y39" s="13" t="n">
        <f aca="false">Construction!Y14*Inputs!Y309*(Inputs!$F$97/100/12-Construction!Y17/100*Construction!Y11/Inputs!$F$247)</f>
        <v>0.1320462538797</v>
      </c>
      <c r="Z39" s="13" t="n">
        <f aca="false">Construction!Z14*Inputs!Z309*(Inputs!$F$97/100/12-Construction!Z17/100*Construction!Z11/Inputs!$F$247)</f>
        <v>0.13053695071482</v>
      </c>
      <c r="AA39" s="13" t="n">
        <f aca="false">Construction!AA14*Inputs!AA309*(Inputs!$F$97/100/12-Construction!AA17/100*Construction!AA11/Inputs!$F$247)</f>
        <v>0.205499100233985</v>
      </c>
      <c r="AB39" s="13" t="n">
        <f aca="false">Construction!AB14*Inputs!AB309*(Inputs!$F$97/100/12-Construction!AB17/100*Construction!AB11/Inputs!$F$247)</f>
        <v>0.252201725563194</v>
      </c>
      <c r="AC39" s="13" t="n">
        <f aca="false">Construction!AC14*Inputs!AC309*(Inputs!$F$97/100/12-Construction!AC17/100*Construction!AC11/Inputs!$F$247)</f>
        <v>0.239742826686514</v>
      </c>
      <c r="AD39" s="13" t="n">
        <f aca="false">Construction!AD14*Inputs!AD309*(Inputs!$F$97/100/12-Construction!AD17/100*Construction!AD11/Inputs!$F$247)</f>
        <v>0.272812481101214</v>
      </c>
      <c r="AE39" s="13" t="n">
        <f aca="false">Construction!AE14*Inputs!AE309*(Inputs!$F$97/100/12-Construction!AE17/100*Construction!AE11/Inputs!$F$247)</f>
        <v>0.271664285124737</v>
      </c>
      <c r="AF39" s="13" t="n">
        <f aca="false">Construction!AF14*Inputs!AF309*(Inputs!$F$97/100/12-Construction!AF17/100*Construction!AF11/Inputs!$F$247)</f>
        <v>0.305116692599217</v>
      </c>
      <c r="AG39" s="13" t="n">
        <f aca="false">Construction!AG14*Inputs!AG309*(Inputs!$F$97/100/12-Construction!AG17/100*Construction!AG11/Inputs!$F$247)</f>
        <v>0.79040266567777</v>
      </c>
      <c r="AH39" s="13" t="n">
        <f aca="false">Construction!AH14*Inputs!AH309*(Inputs!$F$97/100/12-Construction!AH17/100*Construction!AH11/Inputs!$F$247)</f>
        <v>0.822971319748561</v>
      </c>
      <c r="AI39" s="13" t="n">
        <f aca="false">Construction!AI14*Inputs!AI309*(Inputs!$F$97/100/12-Construction!AI17/100*Construction!AI11/Inputs!$F$247)</f>
        <v>0.856015097948777</v>
      </c>
      <c r="AJ39" s="13" t="n">
        <f aca="false">Construction!AJ14*Inputs!AJ309*(Inputs!$F$97/100/12-Construction!AJ17/100*Construction!AJ11/Inputs!$F$247)</f>
        <v>0.876975346933529</v>
      </c>
      <c r="AK39" s="13" t="n">
        <f aca="false">Construction!AK14*Inputs!AK309*(Inputs!$F$97/100/12-Construction!AK17/100*Construction!AK11/Inputs!$F$247)</f>
        <v>0.902597653687788</v>
      </c>
      <c r="AL39" s="13" t="n">
        <f aca="false">Construction!AL14*Inputs!AL309*(Inputs!$F$97/100/12-Construction!AL17/100*Construction!AL11/Inputs!$F$247)</f>
        <v>0.915757999516353</v>
      </c>
      <c r="AM39" s="13" t="n">
        <f aca="false">Construction!AM14*Inputs!AM309*(Inputs!$F$97/100/12-Construction!AM17/100*Construction!AM11/Inputs!$F$247)</f>
        <v>0.974828197447532</v>
      </c>
      <c r="AN39" s="13" t="n">
        <f aca="false">Construction!AN14*Inputs!AN309*(Inputs!$F$97/100/12-Construction!AN17/100*Construction!AN11/Inputs!$F$247)</f>
        <v>0.995631491875265</v>
      </c>
      <c r="AO39" s="13" t="n">
        <f aca="false">Construction!AO14*Inputs!AO309*(Inputs!$F$97/100/12-Construction!AO17/100*Construction!AO11/Inputs!$F$247)</f>
        <v>0.995260836606642</v>
      </c>
      <c r="AP39" s="13" t="n">
        <f aca="false">Construction!AP14*Inputs!AP309*(Inputs!$F$97/100/12-Construction!AP17/100*Construction!AP11/Inputs!$F$247)</f>
        <v>1.00571497479109</v>
      </c>
      <c r="AQ39" s="13" t="n">
        <f aca="false">Construction!AQ14*Inputs!AQ309*(Inputs!$F$97/100/12-Construction!AQ17/100*Construction!AQ11/Inputs!$F$247)</f>
        <v>1.07462644034028</v>
      </c>
      <c r="AR39" s="13" t="n">
        <f aca="false">Construction!AR14*Inputs!AR309*(Inputs!$F$97/100/12-Construction!AR17/100*Construction!AR11/Inputs!$F$247)</f>
        <v>1.13363958062779</v>
      </c>
      <c r="AS39" s="13" t="n">
        <f aca="false">Construction!AS14*Inputs!AS309*(Inputs!$F$97/100/12-Construction!AS17/100*Construction!AS11/Inputs!$F$247)</f>
        <v>0</v>
      </c>
      <c r="AT39" s="13" t="n">
        <f aca="false">Construction!AT14*Inputs!AT309*(Inputs!$F$97/100/12-Construction!AT17/100*Construction!AT11/Inputs!$F$247)</f>
        <v>0</v>
      </c>
      <c r="AU39" s="13" t="n">
        <f aca="false">Construction!AU14*Inputs!AU309*(Inputs!$F$97/100/12-Construction!AU17/100*Construction!AU11/Inputs!$F$247)</f>
        <v>0</v>
      </c>
      <c r="AV39" s="13" t="n">
        <f aca="false">Construction!AV14*Inputs!AV309*(Inputs!$F$97/100/12-Construction!AV17/100*Construction!AV11/Inputs!$F$247)</f>
        <v>0</v>
      </c>
      <c r="AW39" s="13" t="n">
        <f aca="false">Construction!AW14*Inputs!AW309*(Inputs!$F$97/100/12-Construction!AW17/100*Construction!AW11/Inputs!$F$247)</f>
        <v>0</v>
      </c>
      <c r="AX39" s="13" t="n">
        <f aca="false">Construction!AX14*Inputs!AX309*(Inputs!$F$97/100/12-Construction!AX17/100*Construction!AX11/Inputs!$F$247)</f>
        <v>0</v>
      </c>
      <c r="AY39" s="13" t="n">
        <f aca="false">Construction!AY14*Inputs!AY309*(Inputs!$F$97/100/12-Construction!AY17/100*Construction!AY11/Inputs!$F$247)</f>
        <v>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0</v>
      </c>
      <c r="BB39" s="13" t="n">
        <f aca="false">Construction!BB14*Inputs!BB309*(Inputs!$F$97/100/12-Construction!BB17/100*Construction!BB11/Inputs!$F$247)</f>
        <v>0</v>
      </c>
      <c r="BC39" s="13" t="n">
        <f aca="false">Construction!BC14*Inputs!BC309*(Inputs!$F$97/100/12-Construction!BC17/100*Construction!BC11/Inputs!$F$247)</f>
        <v>0</v>
      </c>
      <c r="BD39" s="13" t="n">
        <f aca="false">Construction!BD14*Inputs!BD309*(Inputs!$F$97/100/12-Construction!BD17/100*Construction!BD11/Inputs!$F$247)</f>
        <v>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704</v>
      </c>
      <c r="E40" s="0" t="s">
        <v>149</v>
      </c>
      <c r="G40" s="13" t="n">
        <f aca="false">SUM(J40:BJ40)</f>
        <v>11.2826181810931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0.549775247522472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0.456447683859258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0.470071739083528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0.453067310551792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0.465747724275531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0.462568128913722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0.414116025105967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0.453436330242336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0.43279304009629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0.439856231820694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0.417371279595936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0.421557678225463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0.41066693275742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0.385811974295959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0.385669491847479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0.359717269301462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0.356940394299811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0.341443199884422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0.30368725844772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0.308189516408072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0.282013879078387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0.274312439917124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0.248908609551257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0.240305273582802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0.223714747249873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0.200902004289098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0.192126747453149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0.170638931785503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0.161409227093662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0.147401644997254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0.121096504940037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0.121930592410999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0.10722035510591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0.102077031209479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0.0866936795141728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0.0790784873560136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0.0699801696071408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0.0603812606340732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0.0538100675687195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0.0454595933304836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0.0042224778826175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705</v>
      </c>
      <c r="E41" s="0" t="s">
        <v>149</v>
      </c>
      <c r="G41" s="13" t="n">
        <f aca="false">SUM(J41:BJ41)</f>
        <v>0.957566666666667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0.0237666666666667</v>
      </c>
      <c r="AT41" s="13" t="n">
        <f aca="false">Construction!AT14*(Inputs!$F$99-AT32)*Inputs!$F$100/100*Construction!AT11/Inputs!$F$247</f>
        <v>0.0237666666666667</v>
      </c>
      <c r="AU41" s="13" t="n">
        <f aca="false">Construction!AU14*(Inputs!$F$99-AU32)*Inputs!$F$100/100*Construction!AU11/Inputs!$F$247</f>
        <v>0.023</v>
      </c>
      <c r="AV41" s="13" t="n">
        <f aca="false">Construction!AV14*(Inputs!$F$99-AV32)*Inputs!$F$100/100*Construction!AV11/Inputs!$F$247</f>
        <v>0.0237666666666667</v>
      </c>
      <c r="AW41" s="13" t="n">
        <f aca="false">Construction!AW14*(Inputs!$F$99-AW32)*Inputs!$F$100/100*Construction!AW11/Inputs!$F$247</f>
        <v>0.023</v>
      </c>
      <c r="AX41" s="13" t="n">
        <f aca="false">Construction!AX14*(Inputs!$F$99-AX32)*Inputs!$F$100/100*Construction!AX11/Inputs!$F$247</f>
        <v>0.0237666666666667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706</v>
      </c>
      <c r="E42" s="0" t="s">
        <v>149</v>
      </c>
      <c r="G42" s="13" t="n">
        <f aca="false">SUM(J42:BJ42)</f>
        <v>9.95478393553241</v>
      </c>
      <c r="J42" s="13" t="n">
        <f aca="false">IF(Construction!J8=1,Inputs!$F$75*$F$25*Inputs!$F$89/100+Inputs!$F$76*$F$25*Inputs!$F$90/100+Inputs!$F$77*$F$25*Inputs!$F$91/100+Inputs!$F$78*$F$25*Inputs!$F$92/100,0)</f>
        <v>9.95478393553241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707</v>
      </c>
      <c r="E43" s="0" t="s">
        <v>149</v>
      </c>
      <c r="G43" s="13" t="n">
        <f aca="false">SUM(J43:BJ43)</f>
        <v>0.87125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0.02125</v>
      </c>
      <c r="AT43" s="13" t="n">
        <f aca="false">Construction!AT14*Inputs!$F$107/12</f>
        <v>0.02125</v>
      </c>
      <c r="AU43" s="13" t="n">
        <f aca="false">Construction!AU14*Inputs!$F$107/12</f>
        <v>0.02125</v>
      </c>
      <c r="AV43" s="13" t="n">
        <f aca="false">Construction!AV14*Inputs!$F$107/12</f>
        <v>0.02125</v>
      </c>
      <c r="AW43" s="13" t="n">
        <f aca="false">Construction!AW14*Inputs!$F$107/12</f>
        <v>0.02125</v>
      </c>
      <c r="AX43" s="13" t="n">
        <f aca="false">Construction!AX14*Inputs!$F$107/12</f>
        <v>0.02125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708</v>
      </c>
      <c r="E44" s="0" t="s">
        <v>149</v>
      </c>
      <c r="G44" s="13" t="n">
        <f aca="false">SUM(J44:BJ44)</f>
        <v>34.8029137487425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0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34.8029137487425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709</v>
      </c>
      <c r="E45" s="0" t="s">
        <v>149</v>
      </c>
      <c r="J45" s="13" t="n">
        <f aca="false">Construction!J14*(Construction!J32+Construction!J38)+J33+J34+J35+J36+J37+J38+J39+J40+J41+J42+J43+J44</f>
        <v>118.563400051696</v>
      </c>
      <c r="K45" s="13" t="n">
        <f aca="false">Construction!K14*(Construction!K32+Construction!K38)+K33+K34+K35+K36+K37+K38+K39+K40+K41+K42+K43+K44</f>
        <v>2.41470095183702</v>
      </c>
      <c r="L45" s="13" t="n">
        <f aca="false">Construction!L14*(Construction!L32+Construction!L38)+L33+L34+L35+L36+L37+L38+L39+L40+L41+L42+L43+L44</f>
        <v>2.88723438924741</v>
      </c>
      <c r="M45" s="13" t="n">
        <f aca="false">Construction!M14*(Construction!M32+Construction!M38)+M33+M34+M35+M36+M37+M38+M39+M40+M41+M42+M43+M44</f>
        <v>3.6759785787664</v>
      </c>
      <c r="N45" s="13" t="n">
        <f aca="false">Construction!N14*(Construction!N32+Construction!N38)+N33+N34+N35+N36+N37+N38+N39+N40+N41+N42+N43+N44</f>
        <v>4.82615403468772</v>
      </c>
      <c r="O45" s="13" t="n">
        <f aca="false">Construction!O14*(Construction!O32+Construction!O38)+O33+O34+O35+O36+O37+O38+O39+O40+O41+O42+O43+O44</f>
        <v>6.19667438448256</v>
      </c>
      <c r="P45" s="13" t="n">
        <f aca="false">Construction!P14*(Construction!P32+Construction!P38)+P33+P34+P35+P36+P37+P38+P39+P40+P41+P42+P43+P44</f>
        <v>7.66404120568593</v>
      </c>
      <c r="Q45" s="13" t="n">
        <f aca="false">Construction!Q14*(Construction!Q32+Construction!Q38)+Q33+Q34+Q35+Q36+Q37+Q38+Q39+Q40+Q41+Q42+Q43+Q44</f>
        <v>9.43626428059465</v>
      </c>
      <c r="R45" s="13" t="n">
        <f aca="false">Construction!R14*(Construction!R32+Construction!R38)+R33+R34+R35+R36+R37+R38+R39+R40+R41+R42+R43+R44</f>
        <v>11.1763103810322</v>
      </c>
      <c r="S45" s="13" t="n">
        <f aca="false">Construction!S14*(Construction!S32+Construction!S38)+S33+S34+S35+S36+S37+S38+S39+S40+S41+S42+S43+S44</f>
        <v>13.0118989028342</v>
      </c>
      <c r="T45" s="13" t="n">
        <f aca="false">Construction!T14*(Construction!T32+Construction!T38)+T33+T34+T35+T36+T37+T38+T39+T40+T41+T42+T43+T44</f>
        <v>14.7625906826301</v>
      </c>
      <c r="U45" s="13" t="n">
        <f aca="false">Construction!U14*(Construction!U32+Construction!U38)+U33+U34+U35+U36+U37+U38+U39+U40+U41+U42+U43+U44</f>
        <v>16.5305358702754</v>
      </c>
      <c r="V45" s="13" t="n">
        <f aca="false">Construction!V14*(Construction!V32+Construction!V38)+V33+V34+V35+V36+V37+V38+V39+V40+V41+V42+V43+V44</f>
        <v>18.2059615331645</v>
      </c>
      <c r="W45" s="13" t="n">
        <f aca="false">Construction!W14*(Construction!W32+Construction!W38)+W33+W34+W35+W36+W37+W38+W39+W40+W41+W42+W43+W44</f>
        <v>19.7364451495899</v>
      </c>
      <c r="X45" s="13" t="n">
        <f aca="false">Construction!X14*(Construction!X32+Construction!X38)+X33+X34+X35+X36+X37+X38+X39+X40+X41+X42+X43+X44</f>
        <v>21.1917086492683</v>
      </c>
      <c r="Y45" s="13" t="n">
        <f aca="false">Construction!Y14*(Construction!Y32+Construction!Y38)+Y33+Y34+Y35+Y36+Y37+Y38+Y39+Y40+Y41+Y42+Y43+Y44</f>
        <v>22.4147991812444</v>
      </c>
      <c r="Z45" s="13" t="n">
        <f aca="false">Construction!Z14*(Construction!Z32+Construction!Z38)+Z33+Z34+Z35+Z36+Z37+Z38+Z39+Z40+Z41+Z42+Z43+Z44</f>
        <v>23.5224419599108</v>
      </c>
      <c r="AA45" s="13" t="n">
        <f aca="false">Construction!AA14*(Construction!AA32+Construction!AA38)+AA33+AA34+AA35+AA36+AA37+AA38+AA39+AA40+AA41+AA42+AA43+AA44</f>
        <v>25.5181105077559</v>
      </c>
      <c r="AB45" s="13" t="n">
        <f aca="false">Construction!AB14*(Construction!AB32+Construction!AB38)+AB33+AB34+AB35+AB36+AB37+AB38+AB39+AB40+AB41+AB42+AB43+AB44</f>
        <v>24.9560474952531</v>
      </c>
      <c r="AC45" s="13" t="n">
        <f aca="false">Construction!AC14*(Construction!AC32+Construction!AC38)+AC33+AC34+AC35+AC36+AC37+AC38+AC39+AC40+AC41+AC42+AC43+AC44</f>
        <v>25.4622264213839</v>
      </c>
      <c r="AD45" s="13" t="n">
        <f aca="false">Construction!AD14*(Construction!AD32+Construction!AD38)+AD33+AD34+AD35+AD36+AD37+AD38+AD39+AD40+AD41+AD42+AD43+AD44</f>
        <v>25.9581496912424</v>
      </c>
      <c r="AE45" s="13" t="n">
        <f aca="false">Construction!AE14*(Construction!AE32+Construction!AE38)+AE33+AE34+AE35+AE36+AE37+AE38+AE39+AE40+AE41+AE42+AE43+AE44</f>
        <v>25.9657008770921</v>
      </c>
      <c r="AF45" s="13" t="n">
        <f aca="false">Construction!AF14*(Construction!AF32+Construction!AF38)+AF33+AF34+AF35+AF36+AF37+AF38+AF39+AF40+AF41+AF42+AF43+AF44</f>
        <v>25.6521323176559</v>
      </c>
      <c r="AG45" s="13" t="n">
        <f aca="false">Construction!AG14*(Construction!AG32+Construction!AG38)+AG33+AG34+AG35+AG36+AG37+AG38+AG39+AG40+AG41+AG42+AG43+AG44</f>
        <v>25.1819576040915</v>
      </c>
      <c r="AH45" s="13" t="n">
        <f aca="false">Construction!AH14*(Construction!AH32+Construction!AH38)+AH33+AH34+AH35+AH36+AH37+AH38+AH39+AH40+AH41+AH42+AH43+AH44</f>
        <v>24.4617114274193</v>
      </c>
      <c r="AI45" s="13" t="n">
        <f aca="false">Construction!AI14*(Construction!AI32+Construction!AI38)+AI33+AI34+AI35+AI36+AI37+AI38+AI39+AI40+AI41+AI42+AI43+AI44</f>
        <v>23.4841858706282</v>
      </c>
      <c r="AJ45" s="13" t="n">
        <f aca="false">Construction!AJ14*(Construction!AJ32+Construction!AJ38)+AJ33+AJ34+AJ35+AJ36+AJ37+AJ38+AJ39+AJ40+AJ41+AJ42+AJ43+AJ44</f>
        <v>23.9818301703403</v>
      </c>
      <c r="AK45" s="13" t="n">
        <f aca="false">Construction!AK14*(Construction!AK32+Construction!AK38)+AK33+AK34+AK35+AK36+AK37+AK38+AK39+AK40+AK41+AK42+AK43+AK44</f>
        <v>22.6428084862482</v>
      </c>
      <c r="AL45" s="13" t="n">
        <f aca="false">Construction!AL14*(Construction!AL32+Construction!AL38)+AL33+AL34+AL35+AL36+AL37+AL38+AL39+AL40+AL41+AL42+AL43+AL44</f>
        <v>21.2614314584757</v>
      </c>
      <c r="AM45" s="13" t="n">
        <f aca="false">Construction!AM14*(Construction!AM32+Construction!AM38)+AM33+AM34+AM35+AM36+AM37+AM38+AM39+AM40+AM41+AM42+AM43+AM44</f>
        <v>20.2337433392157</v>
      </c>
      <c r="AN45" s="13" t="n">
        <f aca="false">Construction!AN14*(Construction!AN32+Construction!AN38)+AN33+AN34+AN35+AN36+AN37+AN38+AN39+AN40+AN41+AN42+AN43+AN44</f>
        <v>18.4275356031873</v>
      </c>
      <c r="AO45" s="13" t="n">
        <f aca="false">Construction!AO14*(Construction!AO32+Construction!AO38)+AO33+AO34+AO35+AO36+AO37+AO38+AO39+AO40+AO41+AO42+AO43+AO44</f>
        <v>16.9031380911571</v>
      </c>
      <c r="AP45" s="13" t="n">
        <f aca="false">Construction!AP14*(Construction!AP32+Construction!AP38)+AP33+AP34+AP35+AP36+AP37+AP38+AP39+AP40+AP41+AP42+AP43+AP44</f>
        <v>13.2316223398387</v>
      </c>
      <c r="AQ45" s="13" t="n">
        <f aca="false">Construction!AQ14*(Construction!AQ32+Construction!AQ38)+AQ33+AQ34+AQ35+AQ36+AQ37+AQ38+AQ39+AQ40+AQ41+AQ42+AQ43+AQ44</f>
        <v>18.9633741460407</v>
      </c>
      <c r="AR45" s="13" t="n">
        <f aca="false">Construction!AR14*(Construction!AR32+Construction!AR38)+AR33+AR34+AR35+AR36+AR37+AR38+AR39+AR40+AR41+AR42+AR43+AR44</f>
        <v>15.9450033612063</v>
      </c>
      <c r="AS45" s="13" t="n">
        <f aca="false">Construction!AS14*(Construction!AS32+Construction!AS38)+AS33+AS34+AS35+AS36+AS37+AS38+AS39+AS40+AS41+AS42+AS43+AS44</f>
        <v>13.8098965170217</v>
      </c>
      <c r="AT45" s="13" t="n">
        <f aca="false">Construction!AT14*(Construction!AT32+Construction!AT38)+AT33+AT34+AT35+AT36+AT37+AT38+AT39+AT40+AT41+AT42+AT43+AT44</f>
        <v>11.5147265449034</v>
      </c>
      <c r="AU45" s="13" t="n">
        <f aca="false">Construction!AU14*(Construction!AU32+Construction!AU38)+AU33+AU34+AU35+AU36+AU37+AU38+AU39+AU40+AU41+AU42+AU43+AU44</f>
        <v>13.029089354244</v>
      </c>
      <c r="AV45" s="13" t="n">
        <f aca="false">Construction!AV14*(Construction!AV32+Construction!AV38)+AV33+AV34+AV35+AV36+AV37+AV38+AV39+AV40+AV41+AV42+AV43+AV44</f>
        <v>10.3747504080952</v>
      </c>
      <c r="AW45" s="13" t="n">
        <f aca="false">Construction!AW14*(Construction!AW32+Construction!AW38)+AW33+AW34+AW35+AW36+AW37+AW38+AW39+AW40+AW41+AW42+AW43+AW44</f>
        <v>64.8918539241663</v>
      </c>
      <c r="AX45" s="13" t="n">
        <f aca="false">Construction!AX14*(Construction!AX32+Construction!AX38)+AX33+AX34+AX35+AX36+AX37+AX38+AX39+AX40+AX41+AX42+AX43+AX44</f>
        <v>36.9515503159292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710</v>
      </c>
      <c r="E46" s="0" t="s">
        <v>149</v>
      </c>
      <c r="J46" s="13" t="n">
        <f aca="false">$F$25-J28-J29-J30-J31</f>
        <v>633.255975542774</v>
      </c>
      <c r="K46" s="13" t="n">
        <f aca="false">$F$25-K28-K29-K30-K31</f>
        <v>543.282305724171</v>
      </c>
      <c r="L46" s="13" t="n">
        <f aca="false">$F$25-L28-L29-L30-L31</f>
        <v>541.449872561353</v>
      </c>
      <c r="M46" s="13" t="n">
        <f aca="false">$F$25-M28-M29-M30-M31</f>
        <v>539.258850091402</v>
      </c>
      <c r="N46" s="13" t="n">
        <f aca="false">$F$25-N28-N29-N30-N31</f>
        <v>536.469276894597</v>
      </c>
      <c r="O46" s="13" t="n">
        <f aca="false">$F$25-O28-O29-O30-O31</f>
        <v>532.806875264572</v>
      </c>
      <c r="P46" s="13" t="n">
        <f aca="false">$F$25-P28-P29-P30-P31</f>
        <v>528.104433070777</v>
      </c>
      <c r="Q46" s="13" t="n">
        <f aca="false">$F$25-Q28-Q29-Q30-Q31</f>
        <v>522.288456870568</v>
      </c>
      <c r="R46" s="13" t="n">
        <f aca="false">$F$25-R28-R29-R30-R31</f>
        <v>515.127601780944</v>
      </c>
      <c r="S46" s="13" t="n">
        <f aca="false">$F$25-S28-S29-S30-S31</f>
        <v>506.646285796629</v>
      </c>
      <c r="T46" s="13" t="n">
        <f aca="false">$F$25-T28-T29-T30-T31</f>
        <v>496.77200507352</v>
      </c>
      <c r="U46" s="13" t="n">
        <f aca="false">$F$25-U28-U29-U30-U31</f>
        <v>485.569184817294</v>
      </c>
      <c r="V46" s="13" t="n">
        <f aca="false">$F$25-V28-V29-V30-V31</f>
        <v>473.024732012565</v>
      </c>
      <c r="W46" s="13" t="n">
        <f aca="false">$F$25-W28-W29-W30-W31</f>
        <v>459.208856531591</v>
      </c>
      <c r="X46" s="13" t="n">
        <f aca="false">$F$25-X28-X29-X30-X31</f>
        <v>444.23154988799</v>
      </c>
      <c r="Y46" s="13" t="n">
        <f aca="false">$F$25-Y28-Y29-Y30-Y31</f>
        <v>428.149894030702</v>
      </c>
      <c r="Z46" s="13" t="n">
        <f aca="false">$F$25-Z28-Z29-Z30-Z31</f>
        <v>411.140077007032</v>
      </c>
      <c r="AA46" s="13" t="n">
        <f aca="false">$F$25-AA28-AA29-AA30-AA31</f>
        <v>393.289708130081</v>
      </c>
      <c r="AB46" s="13" t="n">
        <f aca="false">$F$25-AB28-AB29-AB30-AB31</f>
        <v>373.924895310793</v>
      </c>
      <c r="AC46" s="13" t="n">
        <f aca="false">$F$25-AC28-AC29-AC30-AC31</f>
        <v>354.986612701352</v>
      </c>
      <c r="AD46" s="13" t="n">
        <f aca="false">$F$25-AD28-AD29-AD30-AD31</f>
        <v>335.664208385305</v>
      </c>
      <c r="AE46" s="13" t="n">
        <f aca="false">$F$25-AE28-AE29-AE30-AE31</f>
        <v>315.965465026027</v>
      </c>
      <c r="AF46" s="13" t="n">
        <f aca="false">$F$25-AF28-AF29-AF30-AF31</f>
        <v>296.260991332581</v>
      </c>
      <c r="AG46" s="13" t="n">
        <f aca="false">$F$25-AG28-AG29-AG30-AG31</f>
        <v>276.794473990083</v>
      </c>
      <c r="AH46" s="13" t="n">
        <f aca="false">$F$25-AH28-AH29-AH30-AH31</f>
        <v>257.684756000647</v>
      </c>
      <c r="AI46" s="13" t="n">
        <f aca="false">$F$25-AI28-AI29-AI30-AI31</f>
        <v>239.121607961632</v>
      </c>
      <c r="AJ46" s="13" t="n">
        <f aca="false">$F$25-AJ28-AJ29-AJ30-AJ31</f>
        <v>221.300270309698</v>
      </c>
      <c r="AK46" s="13" t="n">
        <f aca="false">$F$25-AK28-AK29-AK30-AK31</f>
        <v>203.101287584412</v>
      </c>
      <c r="AL46" s="13" t="n">
        <f aca="false">$F$25-AL28-AL29-AL30-AL31</f>
        <v>185.918442173271</v>
      </c>
      <c r="AM46" s="13" t="n">
        <f aca="false">$F$25-AM28-AM29-AM30-AM31</f>
        <v>169.78387608389</v>
      </c>
      <c r="AN46" s="13" t="n">
        <f aca="false">$F$25-AN28-AN29-AN30-AN31</f>
        <v>154.429187017929</v>
      </c>
      <c r="AO46" s="13" t="n">
        <f aca="false">$F$25-AO28-AO29-AO30-AO31</f>
        <v>140.445166627077</v>
      </c>
      <c r="AP46" s="13" t="n">
        <f aca="false">$F$25-AP28-AP29-AP30-AP31</f>
        <v>127.617958864404</v>
      </c>
      <c r="AQ46" s="13" t="n">
        <f aca="false">$F$25-AQ28-AQ29-AQ30-AQ31</f>
        <v>117.576937612904</v>
      </c>
      <c r="AR46" s="13" t="n">
        <f aca="false">$F$25-AR28-AR29-AR30-AR31</f>
        <v>103.186287856583</v>
      </c>
      <c r="AS46" s="13" t="n">
        <f aca="false">$F$25-AS28-AS29-AS30-AS31</f>
        <v>91.0861754521469</v>
      </c>
      <c r="AT46" s="13" t="n">
        <f aca="false">$F$25-AT28-AT29-AT30-AT31</f>
        <v>80.6063218977632</v>
      </c>
      <c r="AU46" s="13" t="n">
        <f aca="false">$F$25-AU28-AU29-AU30-AU31</f>
        <v>71.8681935735846</v>
      </c>
      <c r="AV46" s="13" t="n">
        <f aca="false">$F$25-AV28-AV29-AV30-AV31</f>
        <v>61.980867610558</v>
      </c>
      <c r="AW46" s="13" t="n">
        <f aca="false">$F$25-AW28-AW29-AW30-AW31</f>
        <v>54.1078278085503</v>
      </c>
      <c r="AX46" s="13" t="n">
        <f aca="false">$F$25-AX28-AX29-AX30-AX31</f>
        <v>4.86364084744548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711</v>
      </c>
      <c r="E47" s="0" t="s">
        <v>149</v>
      </c>
      <c r="G47" s="13" t="n">
        <f aca="false">SUM(J47:BJ47)</f>
        <v>633.255975542774</v>
      </c>
      <c r="J47" s="13" t="n">
        <f aca="false">MIN($F$26*J45/(1-Inputs!$F$94/100*Inputs!$F$75*$F$26),J46)</f>
        <v>89.9736698186031</v>
      </c>
      <c r="K47" s="13" t="n">
        <f aca="false">MIN($F$26*K45/(1-Inputs!$F$94/100*Inputs!$F$75*$F$26),K46)</f>
        <v>1.83243316281856</v>
      </c>
      <c r="L47" s="13" t="n">
        <f aca="false">MIN($F$26*L45/(1-Inputs!$F$94/100*Inputs!$F$75*$F$26),L46)</f>
        <v>2.19102246995106</v>
      </c>
      <c r="M47" s="13" t="n">
        <f aca="false">MIN($F$26*M45/(1-Inputs!$F$94/100*Inputs!$F$75*$F$26),M46)</f>
        <v>2.78957319680422</v>
      </c>
      <c r="N47" s="13" t="n">
        <f aca="false">MIN($F$26*N45/(1-Inputs!$F$94/100*Inputs!$F$75*$F$26),N46)</f>
        <v>3.66240163002563</v>
      </c>
      <c r="O47" s="13" t="n">
        <f aca="false">MIN($F$26*O45/(1-Inputs!$F$94/100*Inputs!$F$75*$F$26),O46)</f>
        <v>4.70244219379449</v>
      </c>
      <c r="P47" s="13" t="n">
        <f aca="false">MIN($F$26*P45/(1-Inputs!$F$94/100*Inputs!$F$75*$F$26),P46)</f>
        <v>5.81597620020929</v>
      </c>
      <c r="Q47" s="13" t="n">
        <f aca="false">MIN($F$26*Q45/(1-Inputs!$F$94/100*Inputs!$F$75*$F$26),Q46)</f>
        <v>7.16085508962391</v>
      </c>
      <c r="R47" s="13" t="n">
        <f aca="false">MIN($F$26*R45/(1-Inputs!$F$94/100*Inputs!$F$75*$F$26),R46)</f>
        <v>8.4813159843153</v>
      </c>
      <c r="S47" s="13" t="n">
        <f aca="false">MIN($F$26*S45/(1-Inputs!$F$94/100*Inputs!$F$75*$F$26),S46)</f>
        <v>9.87428072310837</v>
      </c>
      <c r="T47" s="13" t="n">
        <f aca="false">MIN($F$26*T45/(1-Inputs!$F$94/100*Inputs!$F$75*$F$26),T46)</f>
        <v>11.2028202562258</v>
      </c>
      <c r="U47" s="13" t="n">
        <f aca="false">MIN($F$26*U45/(1-Inputs!$F$94/100*Inputs!$F$75*$F$26),U46)</f>
        <v>12.5444528047293</v>
      </c>
      <c r="V47" s="13" t="n">
        <f aca="false">MIN($F$26*V45/(1-Inputs!$F$94/100*Inputs!$F$75*$F$26),V46)</f>
        <v>13.815875480974</v>
      </c>
      <c r="W47" s="13" t="n">
        <f aca="false">MIN($F$26*W45/(1-Inputs!$F$94/100*Inputs!$F$75*$F$26),W46)</f>
        <v>14.9773066436009</v>
      </c>
      <c r="X47" s="13" t="n">
        <f aca="false">MIN($F$26*X45/(1-Inputs!$F$94/100*Inputs!$F$75*$F$26),X46)</f>
        <v>16.0816558572877</v>
      </c>
      <c r="Y47" s="13" t="n">
        <f aca="false">MIN($F$26*Y45/(1-Inputs!$F$94/100*Inputs!$F$75*$F$26),Y46)</f>
        <v>17.0098170236704</v>
      </c>
      <c r="Z47" s="13" t="n">
        <f aca="false">MIN($F$26*Z45/(1-Inputs!$F$94/100*Inputs!$F$75*$F$26),Z46)</f>
        <v>17.8503688769509</v>
      </c>
      <c r="AA47" s="13" t="n">
        <f aca="false">MIN($F$26*AA45/(1-Inputs!$F$94/100*Inputs!$F$75*$F$26),AA46)</f>
        <v>19.364812819288</v>
      </c>
      <c r="AB47" s="13" t="n">
        <f aca="false">MIN($F$26*AB45/(1-Inputs!$F$94/100*Inputs!$F$75*$F$26),AB46)</f>
        <v>18.9382826094414</v>
      </c>
      <c r="AC47" s="13" t="n">
        <f aca="false">MIN($F$26*AC45/(1-Inputs!$F$94/100*Inputs!$F$75*$F$26),AC46)</f>
        <v>19.3224043160471</v>
      </c>
      <c r="AD47" s="13" t="n">
        <f aca="false">MIN($F$26*AD45/(1-Inputs!$F$94/100*Inputs!$F$75*$F$26),AD46)</f>
        <v>19.6987433592777</v>
      </c>
      <c r="AE47" s="13" t="n">
        <f aca="false">MIN($F$26*AE45/(1-Inputs!$F$94/100*Inputs!$F$75*$F$26),AE46)</f>
        <v>19.7044736934456</v>
      </c>
      <c r="AF47" s="13" t="n">
        <f aca="false">MIN($F$26*AF45/(1-Inputs!$F$94/100*Inputs!$F$75*$F$26),AF46)</f>
        <v>19.4665173424982</v>
      </c>
      <c r="AG47" s="13" t="n">
        <f aca="false">MIN($F$26*AG45/(1-Inputs!$F$94/100*Inputs!$F$75*$F$26),AG46)</f>
        <v>19.109717989436</v>
      </c>
      <c r="AH47" s="13" t="n">
        <f aca="false">MIN($F$26*AH45/(1-Inputs!$F$94/100*Inputs!$F$75*$F$26),AH46)</f>
        <v>18.5631480390149</v>
      </c>
      <c r="AI47" s="13" t="n">
        <f aca="false">MIN($F$26*AI45/(1-Inputs!$F$94/100*Inputs!$F$75*$F$26),AI46)</f>
        <v>17.8213376519341</v>
      </c>
      <c r="AJ47" s="13" t="n">
        <f aca="false">MIN($F$26*AJ45/(1-Inputs!$F$94/100*Inputs!$F$75*$F$26),AJ46)</f>
        <v>18.1989827252862</v>
      </c>
      <c r="AK47" s="13" t="n">
        <f aca="false">MIN($F$26*AK45/(1-Inputs!$F$94/100*Inputs!$F$75*$F$26),AK46)</f>
        <v>17.182845411141</v>
      </c>
      <c r="AL47" s="13" t="n">
        <f aca="false">MIN($F$26*AL45/(1-Inputs!$F$94/100*Inputs!$F$75*$F$26),AL46)</f>
        <v>16.1345660893806</v>
      </c>
      <c r="AM47" s="13" t="n">
        <f aca="false">MIN($F$26*AM45/(1-Inputs!$F$94/100*Inputs!$F$75*$F$26),AM46)</f>
        <v>15.3546890659612</v>
      </c>
      <c r="AN47" s="13" t="n">
        <f aca="false">MIN($F$26*AN45/(1-Inputs!$F$94/100*Inputs!$F$75*$F$26),AN46)</f>
        <v>13.9840203908526</v>
      </c>
      <c r="AO47" s="13" t="n">
        <f aca="false">MIN($F$26*AO45/(1-Inputs!$F$94/100*Inputs!$F$75*$F$26),AO46)</f>
        <v>12.8272077626731</v>
      </c>
      <c r="AP47" s="13" t="n">
        <f aca="false">MIN($F$26*AP45/(1-Inputs!$F$94/100*Inputs!$F$75*$F$26),AP46)</f>
        <v>10.0410212514994</v>
      </c>
      <c r="AQ47" s="13" t="n">
        <f aca="false">MIN($F$26*AQ45/(1-Inputs!$F$94/100*Inputs!$F$75*$F$26),AQ46)</f>
        <v>14.3906497563208</v>
      </c>
      <c r="AR47" s="13" t="n">
        <f aca="false">MIN($F$26*AR45/(1-Inputs!$F$94/100*Inputs!$F$75*$F$26),AR46)</f>
        <v>12.1001124044365</v>
      </c>
      <c r="AS47" s="13" t="n">
        <f aca="false">MIN($F$26*AS45/(1-Inputs!$F$94/100*Inputs!$F$75*$F$26),AS46)</f>
        <v>10.4798535543838</v>
      </c>
      <c r="AT47" s="13" t="n">
        <f aca="false">MIN($F$26*AT45/(1-Inputs!$F$94/100*Inputs!$F$75*$F$26),AT46)</f>
        <v>8.73812832417863</v>
      </c>
      <c r="AU47" s="13" t="n">
        <f aca="false">MIN($F$26*AU45/(1-Inputs!$F$94/100*Inputs!$F$75*$F$26),AU46)</f>
        <v>9.88732596302646</v>
      </c>
      <c r="AV47" s="13" t="n">
        <f aca="false">MIN($F$26*AV45/(1-Inputs!$F$94/100*Inputs!$F$75*$F$26),AV46)</f>
        <v>7.87303980200778</v>
      </c>
      <c r="AW47" s="13" t="n">
        <f aca="false">MIN($F$26*AW45/(1-Inputs!$F$94/100*Inputs!$F$75*$F$26),AW46)</f>
        <v>49.2441869611048</v>
      </c>
      <c r="AX47" s="13" t="n">
        <f aca="false">MIN($F$26*AX45/(1-Inputs!$F$94/100*Inputs!$F$75*$F$26),AX46)</f>
        <v>4.86364084744548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712</v>
      </c>
      <c r="E48" s="0" t="s">
        <v>149</v>
      </c>
      <c r="G48" s="13" t="n">
        <f aca="false">SUM(J48:BJ48)</f>
        <v>20.6124820039173</v>
      </c>
      <c r="J48" s="13" t="n">
        <f aca="false">Inputs!$F$94/100*Inputs!$F$75*J47</f>
        <v>2.92864295259553</v>
      </c>
      <c r="K48" s="13" t="n">
        <f aca="false">Inputs!$F$94/100*Inputs!$F$75*K47</f>
        <v>0.0596456994497441</v>
      </c>
      <c r="L48" s="13" t="n">
        <f aca="false">Inputs!$F$94/100*Inputs!$F$75*L47</f>
        <v>0.0713177813969071</v>
      </c>
      <c r="M48" s="13" t="n">
        <f aca="false">Inputs!$F$94/100*Inputs!$F$75*M47</f>
        <v>0.0908006075559773</v>
      </c>
      <c r="N48" s="13" t="n">
        <f aca="false">Inputs!$F$94/100*Inputs!$F$75*N47</f>
        <v>0.119211173057334</v>
      </c>
      <c r="O48" s="13" t="n">
        <f aca="false">Inputs!$F$94/100*Inputs!$F$75*O47</f>
        <v>0.153064493408011</v>
      </c>
      <c r="P48" s="13" t="n">
        <f aca="false">Inputs!$F$94/100*Inputs!$F$75*P47</f>
        <v>0.189310025316812</v>
      </c>
      <c r="Q48" s="13" t="n">
        <f aca="false">Inputs!$F$94/100*Inputs!$F$75*Q47</f>
        <v>0.233085833167258</v>
      </c>
      <c r="R48" s="13" t="n">
        <f aca="false">Inputs!$F$94/100*Inputs!$F$75*R47</f>
        <v>0.276066835289463</v>
      </c>
      <c r="S48" s="13" t="n">
        <f aca="false">Inputs!$F$94/100*Inputs!$F$75*S47</f>
        <v>0.321407837537177</v>
      </c>
      <c r="T48" s="13" t="n">
        <f aca="false">Inputs!$F$94/100*Inputs!$F$75*T47</f>
        <v>0.364651799340151</v>
      </c>
      <c r="U48" s="13" t="n">
        <f aca="false">Inputs!$F$94/100*Inputs!$F$75*U47</f>
        <v>0.408321938793938</v>
      </c>
      <c r="V48" s="13" t="n">
        <f aca="false">Inputs!$F$94/100*Inputs!$F$75*V47</f>
        <v>0.449706746905702</v>
      </c>
      <c r="W48" s="13" t="n">
        <f aca="false">Inputs!$F$94/100*Inputs!$F$75*W47</f>
        <v>0.48751133124921</v>
      </c>
      <c r="X48" s="13" t="n">
        <f aca="false">Inputs!$F$94/100*Inputs!$F$75*X47</f>
        <v>0.523457898154716</v>
      </c>
      <c r="Y48" s="13" t="n">
        <f aca="false">Inputs!$F$94/100*Inputs!$F$75*Y47</f>
        <v>0.553669544120472</v>
      </c>
      <c r="Z48" s="13" t="n">
        <f aca="false">Inputs!$F$94/100*Inputs!$F$75*Z47</f>
        <v>0.581029506944752</v>
      </c>
      <c r="AA48" s="13" t="n">
        <f aca="false">Inputs!$F$94/100*Inputs!$F$75*AA47</f>
        <v>0.630324657267825</v>
      </c>
      <c r="AB48" s="13" t="n">
        <f aca="false">Inputs!$F$94/100*Inputs!$F$75*AB47</f>
        <v>0.616441098937319</v>
      </c>
      <c r="AC48" s="13" t="n">
        <f aca="false">Inputs!$F$94/100*Inputs!$F$75*AC47</f>
        <v>0.628944260487335</v>
      </c>
      <c r="AD48" s="13" t="n">
        <f aca="false">Inputs!$F$94/100*Inputs!$F$75*AD47</f>
        <v>0.641194096344488</v>
      </c>
      <c r="AE48" s="13" t="n">
        <f aca="false">Inputs!$F$94/100*Inputs!$F$75*AE47</f>
        <v>0.641380618721653</v>
      </c>
      <c r="AF48" s="13" t="n">
        <f aca="false">Inputs!$F$94/100*Inputs!$F$75*AF47</f>
        <v>0.633635139498316</v>
      </c>
      <c r="AG48" s="13" t="n">
        <f aca="false">Inputs!$F$94/100*Inputs!$F$75*AG47</f>
        <v>0.622021320556142</v>
      </c>
      <c r="AH48" s="13" t="n">
        <f aca="false">Inputs!$F$94/100*Inputs!$F$75*AH47</f>
        <v>0.604230468669935</v>
      </c>
      <c r="AI48" s="13" t="n">
        <f aca="false">Inputs!$F$94/100*Inputs!$F$75*AI47</f>
        <v>0.580084540570454</v>
      </c>
      <c r="AJ48" s="13" t="n">
        <f aca="false">Inputs!$F$94/100*Inputs!$F$75*AJ47</f>
        <v>0.592376887708066</v>
      </c>
      <c r="AK48" s="13" t="n">
        <f aca="false">Inputs!$F$94/100*Inputs!$F$75*AK47</f>
        <v>0.55930161813264</v>
      </c>
      <c r="AL48" s="13" t="n">
        <f aca="false">Inputs!$F$94/100*Inputs!$F$75*AL47</f>
        <v>0.525180126209338</v>
      </c>
      <c r="AM48" s="13" t="n">
        <f aca="false">Inputs!$F$94/100*Inputs!$F$75*AM47</f>
        <v>0.499795129097037</v>
      </c>
      <c r="AN48" s="13" t="n">
        <f aca="false">Inputs!$F$94/100*Inputs!$F$75*AN47</f>
        <v>0.455179863722252</v>
      </c>
      <c r="AO48" s="13" t="n">
        <f aca="false">Inputs!$F$94/100*Inputs!$F$75*AO47</f>
        <v>0.417525612675008</v>
      </c>
      <c r="AP48" s="13" t="n">
        <f aca="false">Inputs!$F$94/100*Inputs!$F$75*AP47</f>
        <v>0.326835241736304</v>
      </c>
      <c r="AQ48" s="13" t="n">
        <f aca="false">Inputs!$F$94/100*Inputs!$F$75*AQ47</f>
        <v>0.468415649568243</v>
      </c>
      <c r="AR48" s="13" t="n">
        <f aca="false">Inputs!$F$94/100*Inputs!$F$75*AR47</f>
        <v>0.393858658764409</v>
      </c>
      <c r="AS48" s="13" t="n">
        <f aca="false">Inputs!$F$94/100*Inputs!$F$75*AS47</f>
        <v>0.341119233195192</v>
      </c>
      <c r="AT48" s="13" t="n">
        <f aca="false">Inputs!$F$94/100*Inputs!$F$75*AT47</f>
        <v>0.284426076952014</v>
      </c>
      <c r="AU48" s="13" t="n">
        <f aca="false">Inputs!$F$94/100*Inputs!$F$75*AU47</f>
        <v>0.321832460096511</v>
      </c>
      <c r="AV48" s="13" t="n">
        <f aca="false">Inputs!$F$94/100*Inputs!$F$75*AV47</f>
        <v>0.256267445555353</v>
      </c>
      <c r="AW48" s="13" t="n">
        <f aca="false">Inputs!$F$94/100*Inputs!$F$75*AW47</f>
        <v>1.60289828558396</v>
      </c>
      <c r="AX48" s="13" t="n">
        <f aca="false">Inputs!$F$94/100*Inputs!$F$75*AX47</f>
        <v>0.15831150958435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713</v>
      </c>
      <c r="E49" s="0" t="s">
        <v>149</v>
      </c>
      <c r="G49" s="13" t="n">
        <f aca="false">SUM(J49:BJ49)</f>
        <v>885.632198463457</v>
      </c>
      <c r="J49" s="13" t="n">
        <f aca="false">J45+J48</f>
        <v>121.492043004291</v>
      </c>
      <c r="K49" s="13" t="n">
        <f aca="false">K45+K48</f>
        <v>2.47434665128677</v>
      </c>
      <c r="L49" s="13" t="n">
        <f aca="false">L45+L48</f>
        <v>2.95855217064431</v>
      </c>
      <c r="M49" s="13" t="n">
        <f aca="false">M45+M48</f>
        <v>3.76677918632238</v>
      </c>
      <c r="N49" s="13" t="n">
        <f aca="false">N45+N48</f>
        <v>4.94536520774505</v>
      </c>
      <c r="O49" s="13" t="n">
        <f aca="false">O45+O48</f>
        <v>6.34973887789057</v>
      </c>
      <c r="P49" s="13" t="n">
        <f aca="false">P45+P48</f>
        <v>7.85335123100275</v>
      </c>
      <c r="Q49" s="13" t="n">
        <f aca="false">Q45+Q48</f>
        <v>9.66935011376191</v>
      </c>
      <c r="R49" s="13" t="n">
        <f aca="false">R45+R48</f>
        <v>11.4523772163216</v>
      </c>
      <c r="S49" s="13" t="n">
        <f aca="false">S45+S48</f>
        <v>13.3333067403713</v>
      </c>
      <c r="T49" s="13" t="n">
        <f aca="false">T45+T48</f>
        <v>15.1272424819702</v>
      </c>
      <c r="U49" s="13" t="n">
        <f aca="false">U45+U48</f>
        <v>16.9388578090693</v>
      </c>
      <c r="V49" s="13" t="n">
        <f aca="false">V45+V48</f>
        <v>18.6556682800702</v>
      </c>
      <c r="W49" s="13" t="n">
        <f aca="false">W45+W48</f>
        <v>20.2239564808392</v>
      </c>
      <c r="X49" s="13" t="n">
        <f aca="false">X45+X48</f>
        <v>21.715166547423</v>
      </c>
      <c r="Y49" s="13" t="n">
        <f aca="false">Y45+Y48</f>
        <v>22.9684687253649</v>
      </c>
      <c r="Z49" s="13" t="n">
        <f aca="false">Z45+Z48</f>
        <v>24.1034714668556</v>
      </c>
      <c r="AA49" s="13" t="n">
        <f aca="false">AA45+AA48</f>
        <v>26.1484351650237</v>
      </c>
      <c r="AB49" s="13" t="n">
        <f aca="false">AB45+AB48</f>
        <v>25.5724885941904</v>
      </c>
      <c r="AC49" s="13" t="n">
        <f aca="false">AC45+AC48</f>
        <v>26.0911706818713</v>
      </c>
      <c r="AD49" s="13" t="n">
        <f aca="false">AD45+AD48</f>
        <v>26.5993437875869</v>
      </c>
      <c r="AE49" s="13" t="n">
        <f aca="false">AE45+AE48</f>
        <v>26.6070814958138</v>
      </c>
      <c r="AF49" s="13" t="n">
        <f aca="false">AF45+AF48</f>
        <v>26.2857674571542</v>
      </c>
      <c r="AG49" s="13" t="n">
        <f aca="false">AG45+AG48</f>
        <v>25.8039789246476</v>
      </c>
      <c r="AH49" s="13" t="n">
        <f aca="false">AH45+AH48</f>
        <v>25.0659418960892</v>
      </c>
      <c r="AI49" s="13" t="n">
        <f aca="false">AI45+AI48</f>
        <v>24.0642704111987</v>
      </c>
      <c r="AJ49" s="13" t="n">
        <f aca="false">AJ45+AJ48</f>
        <v>24.5742070580483</v>
      </c>
      <c r="AK49" s="13" t="n">
        <f aca="false">AK45+AK48</f>
        <v>23.2021101043808</v>
      </c>
      <c r="AL49" s="13" t="n">
        <f aca="false">AL45+AL48</f>
        <v>21.786611584685</v>
      </c>
      <c r="AM49" s="13" t="n">
        <f aca="false">AM45+AM48</f>
        <v>20.7335384683128</v>
      </c>
      <c r="AN49" s="13" t="n">
        <f aca="false">AN45+AN48</f>
        <v>18.8827154669095</v>
      </c>
      <c r="AO49" s="13" t="n">
        <f aca="false">AO45+AO48</f>
        <v>17.3206637038321</v>
      </c>
      <c r="AP49" s="13" t="n">
        <f aca="false">AP45+AP48</f>
        <v>13.558457581575</v>
      </c>
      <c r="AQ49" s="13" t="n">
        <f aca="false">AQ45+AQ48</f>
        <v>19.431789795609</v>
      </c>
      <c r="AR49" s="13" t="n">
        <f aca="false">AR45+AR48</f>
        <v>16.3388620199707</v>
      </c>
      <c r="AS49" s="13" t="n">
        <f aca="false">AS45+AS48</f>
        <v>14.1510157502169</v>
      </c>
      <c r="AT49" s="13" t="n">
        <f aca="false">AT45+AT48</f>
        <v>11.7991526218554</v>
      </c>
      <c r="AU49" s="13" t="n">
        <f aca="false">AU45+AU48</f>
        <v>13.3509218143405</v>
      </c>
      <c r="AV49" s="13" t="n">
        <f aca="false">AV45+AV48</f>
        <v>10.6310178536505</v>
      </c>
      <c r="AW49" s="13" t="n">
        <f aca="false">AW45+AW48</f>
        <v>66.4947522097503</v>
      </c>
      <c r="AX49" s="13" t="n">
        <f aca="false">AX45+AX48</f>
        <v>37.1098618255136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714</v>
      </c>
      <c r="E50" s="0" t="s">
        <v>149</v>
      </c>
      <c r="G50" s="13" t="n">
        <f aca="false">SUM(J50:BJ50)</f>
        <v>855.089743126826</v>
      </c>
      <c r="J50" s="13" t="n">
        <f aca="false">J47/$F$26</f>
        <v>121.492043004291</v>
      </c>
      <c r="K50" s="13" t="n">
        <f aca="false">K47/$F$26</f>
        <v>2.47434665128677</v>
      </c>
      <c r="L50" s="13" t="n">
        <f aca="false">L47/$F$26</f>
        <v>2.95855217064431</v>
      </c>
      <c r="M50" s="13" t="n">
        <f aca="false">M47/$F$26</f>
        <v>3.76677918632238</v>
      </c>
      <c r="N50" s="13" t="n">
        <f aca="false">N47/$F$26</f>
        <v>4.94536520774505</v>
      </c>
      <c r="O50" s="13" t="n">
        <f aca="false">O47/$F$26</f>
        <v>6.34973887789057</v>
      </c>
      <c r="P50" s="13" t="n">
        <f aca="false">P47/$F$26</f>
        <v>7.85335123100275</v>
      </c>
      <c r="Q50" s="13" t="n">
        <f aca="false">Q47/$F$26</f>
        <v>9.6693501137619</v>
      </c>
      <c r="R50" s="13" t="n">
        <f aca="false">R47/$F$26</f>
        <v>11.4523772163216</v>
      </c>
      <c r="S50" s="13" t="n">
        <f aca="false">S47/$F$26</f>
        <v>13.3333067403713</v>
      </c>
      <c r="T50" s="13" t="n">
        <f aca="false">T47/$F$26</f>
        <v>15.1272424819702</v>
      </c>
      <c r="U50" s="13" t="n">
        <f aca="false">U47/$F$26</f>
        <v>16.9388578090693</v>
      </c>
      <c r="V50" s="13" t="n">
        <f aca="false">V47/$F$26</f>
        <v>18.6556682800702</v>
      </c>
      <c r="W50" s="13" t="n">
        <f aca="false">W47/$F$26</f>
        <v>20.2239564808392</v>
      </c>
      <c r="X50" s="13" t="n">
        <f aca="false">X47/$F$26</f>
        <v>21.715166547423</v>
      </c>
      <c r="Y50" s="13" t="n">
        <f aca="false">Y47/$F$26</f>
        <v>22.9684687253649</v>
      </c>
      <c r="Z50" s="13" t="n">
        <f aca="false">Z47/$F$26</f>
        <v>24.1034714668556</v>
      </c>
      <c r="AA50" s="13" t="n">
        <f aca="false">AA47/$F$26</f>
        <v>26.1484351650237</v>
      </c>
      <c r="AB50" s="13" t="n">
        <f aca="false">AB47/$F$26</f>
        <v>25.5724885941904</v>
      </c>
      <c r="AC50" s="13" t="n">
        <f aca="false">AC47/$F$26</f>
        <v>26.0911706818713</v>
      </c>
      <c r="AD50" s="13" t="n">
        <f aca="false">AD47/$F$26</f>
        <v>26.5993437875869</v>
      </c>
      <c r="AE50" s="13" t="n">
        <f aca="false">AE47/$F$26</f>
        <v>26.6070814958138</v>
      </c>
      <c r="AF50" s="13" t="n">
        <f aca="false">AF47/$F$26</f>
        <v>26.2857674571542</v>
      </c>
      <c r="AG50" s="13" t="n">
        <f aca="false">AG47/$F$26</f>
        <v>25.8039789246476</v>
      </c>
      <c r="AH50" s="13" t="n">
        <f aca="false">AH47/$F$26</f>
        <v>25.0659418960892</v>
      </c>
      <c r="AI50" s="13" t="n">
        <f aca="false">AI47/$F$26</f>
        <v>24.0642704111987</v>
      </c>
      <c r="AJ50" s="13" t="n">
        <f aca="false">AJ47/$F$26</f>
        <v>24.5742070580483</v>
      </c>
      <c r="AK50" s="13" t="n">
        <f aca="false">AK47/$F$26</f>
        <v>23.2021101043808</v>
      </c>
      <c r="AL50" s="13" t="n">
        <f aca="false">AL47/$F$26</f>
        <v>21.786611584685</v>
      </c>
      <c r="AM50" s="13" t="n">
        <f aca="false">AM47/$F$26</f>
        <v>20.7335384683128</v>
      </c>
      <c r="AN50" s="13" t="n">
        <f aca="false">AN47/$F$26</f>
        <v>18.8827154669095</v>
      </c>
      <c r="AO50" s="13" t="n">
        <f aca="false">AO47/$F$26</f>
        <v>17.3206637038321</v>
      </c>
      <c r="AP50" s="13" t="n">
        <f aca="false">AP47/$F$26</f>
        <v>13.558457581575</v>
      </c>
      <c r="AQ50" s="13" t="n">
        <f aca="false">AQ47/$F$26</f>
        <v>19.431789795609</v>
      </c>
      <c r="AR50" s="13" t="n">
        <f aca="false">AR47/$F$26</f>
        <v>16.3388620199707</v>
      </c>
      <c r="AS50" s="13" t="n">
        <f aca="false">AS47/$F$26</f>
        <v>14.1510157502169</v>
      </c>
      <c r="AT50" s="13" t="n">
        <f aca="false">AT47/$F$26</f>
        <v>11.7991526218554</v>
      </c>
      <c r="AU50" s="13" t="n">
        <f aca="false">AU47/$F$26</f>
        <v>13.3509218143405</v>
      </c>
      <c r="AV50" s="13" t="n">
        <f aca="false">AV47/$F$26</f>
        <v>10.6310178536505</v>
      </c>
      <c r="AW50" s="13" t="n">
        <f aca="false">AW47/$F$26</f>
        <v>66.4947522097503</v>
      </c>
      <c r="AX50" s="13" t="n">
        <f aca="false">AX47/$F$26</f>
        <v>6.56740648888259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715</v>
      </c>
      <c r="E51" s="0" t="s">
        <v>149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0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30.542455336631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716</v>
      </c>
      <c r="E52" s="0" t="s">
        <v>149</v>
      </c>
      <c r="G52" s="13" t="n">
        <f aca="false">SUM(J52:BJ52)</f>
        <v>17.2197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17.2197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717</v>
      </c>
      <c r="E53" s="0" t="s">
        <v>149</v>
      </c>
      <c r="G53" s="13" t="n">
        <f aca="false">SUM(J53:BJ53)</f>
        <v>17.2197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17.2197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718</v>
      </c>
      <c r="E54" s="0" t="s">
        <v>149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17.2197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719</v>
      </c>
      <c r="E55" s="0" t="s">
        <v>149</v>
      </c>
      <c r="G55" s="13" t="n">
        <f aca="false">SUM(J55:BJ55)</f>
        <v>9.99206650247323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0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9.99206650247323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720</v>
      </c>
      <c r="E56" s="0" t="s">
        <v>149</v>
      </c>
      <c r="G56" s="13" t="n">
        <f aca="false">SUM(J56:BJ56)</f>
        <v>3.33068883415774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0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3.33068883415774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721</v>
      </c>
      <c r="E57" s="0" t="s">
        <v>149</v>
      </c>
      <c r="G57" s="13" t="n">
        <f aca="false">SUM(J57:BJ57)</f>
        <v>189.976792662832</v>
      </c>
      <c r="J57" s="13" t="n">
        <f aca="false">Inputs!$F$75*J47</f>
        <v>26.9921009455809</v>
      </c>
      <c r="K57" s="13" t="n">
        <f aca="false">Inputs!$F$75*K47</f>
        <v>0.549729948845568</v>
      </c>
      <c r="L57" s="13" t="n">
        <f aca="false">Inputs!$F$75*L47</f>
        <v>0.657306740985319</v>
      </c>
      <c r="M57" s="13" t="n">
        <f aca="false">Inputs!$F$75*M47</f>
        <v>0.836871959041265</v>
      </c>
      <c r="N57" s="13" t="n">
        <f aca="false">Inputs!$F$75*N47</f>
        <v>1.09872048900769</v>
      </c>
      <c r="O57" s="13" t="n">
        <f aca="false">Inputs!$F$75*O47</f>
        <v>1.41073265813835</v>
      </c>
      <c r="P57" s="13" t="n">
        <f aca="false">Inputs!$F$75*P47</f>
        <v>1.74479286006279</v>
      </c>
      <c r="Q57" s="13" t="n">
        <f aca="false">Inputs!$F$75*Q47</f>
        <v>2.14825652688717</v>
      </c>
      <c r="R57" s="13" t="n">
        <f aca="false">Inputs!$F$75*R47</f>
        <v>2.54439479529459</v>
      </c>
      <c r="S57" s="13" t="n">
        <f aca="false">Inputs!$F$75*S47</f>
        <v>2.96228421693251</v>
      </c>
      <c r="T57" s="13" t="n">
        <f aca="false">Inputs!$F$75*T47</f>
        <v>3.36084607686775</v>
      </c>
      <c r="U57" s="13" t="n">
        <f aca="false">Inputs!$F$75*U47</f>
        <v>3.76333584141878</v>
      </c>
      <c r="V57" s="13" t="n">
        <f aca="false">Inputs!$F$75*V47</f>
        <v>4.14476264429219</v>
      </c>
      <c r="W57" s="13" t="n">
        <f aca="false">Inputs!$F$75*W47</f>
        <v>4.49319199308028</v>
      </c>
      <c r="X57" s="13" t="n">
        <f aca="false">Inputs!$F$75*X47</f>
        <v>4.82449675718632</v>
      </c>
      <c r="Y57" s="13" t="n">
        <f aca="false">Inputs!$F$75*Y47</f>
        <v>5.10294510710113</v>
      </c>
      <c r="Z57" s="13" t="n">
        <f aca="false">Inputs!$F$75*Z47</f>
        <v>5.35511066308527</v>
      </c>
      <c r="AA57" s="13" t="n">
        <f aca="false">Inputs!$F$75*AA47</f>
        <v>5.80944384578641</v>
      </c>
      <c r="AB57" s="13" t="n">
        <f aca="false">Inputs!$F$75*AB47</f>
        <v>5.68148478283243</v>
      </c>
      <c r="AC57" s="13" t="n">
        <f aca="false">Inputs!$F$75*AC47</f>
        <v>5.79672129481414</v>
      </c>
      <c r="AD57" s="13" t="n">
        <f aca="false">Inputs!$F$75*AD47</f>
        <v>5.9096230077833</v>
      </c>
      <c r="AE57" s="13" t="n">
        <f aca="false">Inputs!$F$75*AE47</f>
        <v>5.91134210803367</v>
      </c>
      <c r="AF57" s="13" t="n">
        <f aca="false">Inputs!$F$75*AF47</f>
        <v>5.83995520274945</v>
      </c>
      <c r="AG57" s="13" t="n">
        <f aca="false">Inputs!$F$75*AG47</f>
        <v>5.7329153968308</v>
      </c>
      <c r="AH57" s="13" t="n">
        <f aca="false">Inputs!$F$75*AH47</f>
        <v>5.56894441170447</v>
      </c>
      <c r="AI57" s="13" t="n">
        <f aca="false">Inputs!$F$75*AI47</f>
        <v>5.34640129558022</v>
      </c>
      <c r="AJ57" s="13" t="n">
        <f aca="false">Inputs!$F$75*AJ47</f>
        <v>5.45969481758586</v>
      </c>
      <c r="AK57" s="13" t="n">
        <f aca="false">Inputs!$F$75*AK47</f>
        <v>5.1548536233423</v>
      </c>
      <c r="AL57" s="13" t="n">
        <f aca="false">Inputs!$F$75*AL47</f>
        <v>4.84036982681417</v>
      </c>
      <c r="AM57" s="13" t="n">
        <f aca="false">Inputs!$F$75*AM47</f>
        <v>4.60640671978836</v>
      </c>
      <c r="AN57" s="13" t="n">
        <f aca="false">Inputs!$F$75*AN47</f>
        <v>4.19520611725578</v>
      </c>
      <c r="AO57" s="13" t="n">
        <f aca="false">Inputs!$F$75*AO47</f>
        <v>3.84816232880192</v>
      </c>
      <c r="AP57" s="13" t="n">
        <f aca="false">Inputs!$F$75*AP47</f>
        <v>3.01230637544981</v>
      </c>
      <c r="AQ57" s="13" t="n">
        <f aca="false">Inputs!$F$75*AQ47</f>
        <v>4.31719492689625</v>
      </c>
      <c r="AR57" s="13" t="n">
        <f aca="false">Inputs!$F$75*AR47</f>
        <v>3.63003372133096</v>
      </c>
      <c r="AS57" s="13" t="n">
        <f aca="false">Inputs!$F$75*AS47</f>
        <v>3.14395606631514</v>
      </c>
      <c r="AT57" s="13" t="n">
        <f aca="false">Inputs!$F$75*AT47</f>
        <v>2.62143849725359</v>
      </c>
      <c r="AU57" s="13" t="n">
        <f aca="false">Inputs!$F$75*AU47</f>
        <v>2.96619778890794</v>
      </c>
      <c r="AV57" s="13" t="n">
        <f aca="false">Inputs!$F$75*AV47</f>
        <v>2.36191194060233</v>
      </c>
      <c r="AW57" s="13" t="n">
        <f aca="false">Inputs!$F$75*AW47</f>
        <v>14.7732560883314</v>
      </c>
      <c r="AX57" s="13" t="n">
        <f aca="false">Inputs!$F$75*AX47</f>
        <v>1.45909225423364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722</v>
      </c>
      <c r="E58" s="0" t="s">
        <v>149</v>
      </c>
      <c r="G58" s="13" t="n">
        <f aca="false">SUM(J58:BJ58)</f>
        <v>139.31631461941</v>
      </c>
      <c r="J58" s="13" t="n">
        <f aca="false">Inputs!$F$76*J47</f>
        <v>19.7942073600927</v>
      </c>
      <c r="K58" s="13" t="n">
        <f aca="false">Inputs!$F$76*K47</f>
        <v>0.403135295820083</v>
      </c>
      <c r="L58" s="13" t="n">
        <f aca="false">Inputs!$F$76*L47</f>
        <v>0.482024943389234</v>
      </c>
      <c r="M58" s="13" t="n">
        <f aca="false">Inputs!$F$76*M47</f>
        <v>0.613706103296928</v>
      </c>
      <c r="N58" s="13" t="n">
        <f aca="false">Inputs!$F$76*N47</f>
        <v>0.805728358605639</v>
      </c>
      <c r="O58" s="13" t="n">
        <f aca="false">Inputs!$F$76*O47</f>
        <v>1.03453728263479</v>
      </c>
      <c r="P58" s="13" t="n">
        <f aca="false">Inputs!$F$76*P47</f>
        <v>1.27951476404604</v>
      </c>
      <c r="Q58" s="13" t="n">
        <f aca="false">Inputs!$F$76*Q47</f>
        <v>1.57538811971726</v>
      </c>
      <c r="R58" s="13" t="n">
        <f aca="false">Inputs!$F$76*R47</f>
        <v>1.86588951654937</v>
      </c>
      <c r="S58" s="13" t="n">
        <f aca="false">Inputs!$F$76*S47</f>
        <v>2.17234175908384</v>
      </c>
      <c r="T58" s="13" t="n">
        <f aca="false">Inputs!$F$76*T47</f>
        <v>2.46462045636969</v>
      </c>
      <c r="U58" s="13" t="n">
        <f aca="false">Inputs!$F$76*U47</f>
        <v>2.75977961704044</v>
      </c>
      <c r="V58" s="13" t="n">
        <f aca="false">Inputs!$F$76*V47</f>
        <v>3.03949260581427</v>
      </c>
      <c r="W58" s="13" t="n">
        <f aca="false">Inputs!$F$76*W47</f>
        <v>3.2950074615922</v>
      </c>
      <c r="X58" s="13" t="n">
        <f aca="false">Inputs!$F$76*X47</f>
        <v>3.5379642886033</v>
      </c>
      <c r="Y58" s="13" t="n">
        <f aca="false">Inputs!$F$76*Y47</f>
        <v>3.74215974520749</v>
      </c>
      <c r="Z58" s="13" t="n">
        <f aca="false">Inputs!$F$76*Z47</f>
        <v>3.9270811529292</v>
      </c>
      <c r="AA58" s="13" t="n">
        <f aca="false">Inputs!$F$76*AA47</f>
        <v>4.26025882024337</v>
      </c>
      <c r="AB58" s="13" t="n">
        <f aca="false">Inputs!$F$76*AB47</f>
        <v>4.16642217407712</v>
      </c>
      <c r="AC58" s="13" t="n">
        <f aca="false">Inputs!$F$76*AC47</f>
        <v>4.25092894953037</v>
      </c>
      <c r="AD58" s="13" t="n">
        <f aca="false">Inputs!$F$76*AD47</f>
        <v>4.33372353904109</v>
      </c>
      <c r="AE58" s="13" t="n">
        <f aca="false">Inputs!$F$76*AE47</f>
        <v>4.33498421255802</v>
      </c>
      <c r="AF58" s="13" t="n">
        <f aca="false">Inputs!$F$76*AF47</f>
        <v>4.2826338153496</v>
      </c>
      <c r="AG58" s="13" t="n">
        <f aca="false">Inputs!$F$76*AG47</f>
        <v>4.20413795767592</v>
      </c>
      <c r="AH58" s="13" t="n">
        <f aca="false">Inputs!$F$76*AH47</f>
        <v>4.08389256858328</v>
      </c>
      <c r="AI58" s="13" t="n">
        <f aca="false">Inputs!$F$76*AI47</f>
        <v>3.9206942834255</v>
      </c>
      <c r="AJ58" s="13" t="n">
        <f aca="false">Inputs!$F$76*AJ47</f>
        <v>4.00377619956297</v>
      </c>
      <c r="AK58" s="13" t="n">
        <f aca="false">Inputs!$F$76*AK47</f>
        <v>3.78022599045102</v>
      </c>
      <c r="AL58" s="13" t="n">
        <f aca="false">Inputs!$F$76*AL47</f>
        <v>3.54960453966373</v>
      </c>
      <c r="AM58" s="13" t="n">
        <f aca="false">Inputs!$F$76*AM47</f>
        <v>3.37803159451147</v>
      </c>
      <c r="AN58" s="13" t="n">
        <f aca="false">Inputs!$F$76*AN47</f>
        <v>3.07648448598757</v>
      </c>
      <c r="AO58" s="13" t="n">
        <f aca="false">Inputs!$F$76*AO47</f>
        <v>2.82198570778807</v>
      </c>
      <c r="AP58" s="13" t="n">
        <f aca="false">Inputs!$F$76*AP47</f>
        <v>2.20902467532986</v>
      </c>
      <c r="AQ58" s="13" t="n">
        <f aca="false">Inputs!$F$76*AQ47</f>
        <v>3.16594294639058</v>
      </c>
      <c r="AR58" s="13" t="n">
        <f aca="false">Inputs!$F$76*AR47</f>
        <v>2.66202472897604</v>
      </c>
      <c r="AS58" s="13" t="n">
        <f aca="false">Inputs!$F$76*AS47</f>
        <v>2.30556778196443</v>
      </c>
      <c r="AT58" s="13" t="n">
        <f aca="false">Inputs!$F$76*AT47</f>
        <v>1.9223882313193</v>
      </c>
      <c r="AU58" s="13" t="n">
        <f aca="false">Inputs!$F$76*AU47</f>
        <v>2.17521171186582</v>
      </c>
      <c r="AV58" s="13" t="n">
        <f aca="false">Inputs!$F$76*AV47</f>
        <v>1.73206875644171</v>
      </c>
      <c r="AW58" s="13" t="n">
        <f aca="false">Inputs!$F$76*AW47</f>
        <v>10.8337211314431</v>
      </c>
      <c r="AX58" s="13" t="n">
        <f aca="false">Inputs!$F$76*AX47</f>
        <v>1.07000098643801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723</v>
      </c>
      <c r="E59" s="0" t="s">
        <v>149</v>
      </c>
      <c r="G59" s="13" t="n">
        <f aca="false">SUM(J59:BJ59)</f>
        <v>63.3255975542774</v>
      </c>
      <c r="J59" s="13" t="n">
        <f aca="false">Inputs!$F$77*J47</f>
        <v>8.99736698186031</v>
      </c>
      <c r="K59" s="13" t="n">
        <f aca="false">Inputs!$F$77*K47</f>
        <v>0.183243316281856</v>
      </c>
      <c r="L59" s="13" t="n">
        <f aca="false">Inputs!$F$77*L47</f>
        <v>0.219102246995106</v>
      </c>
      <c r="M59" s="13" t="n">
        <f aca="false">Inputs!$F$77*M47</f>
        <v>0.278957319680422</v>
      </c>
      <c r="N59" s="13" t="n">
        <f aca="false">Inputs!$F$77*N47</f>
        <v>0.366240163002563</v>
      </c>
      <c r="O59" s="13" t="n">
        <f aca="false">Inputs!$F$77*O47</f>
        <v>0.470244219379449</v>
      </c>
      <c r="P59" s="13" t="n">
        <f aca="false">Inputs!$F$77*P47</f>
        <v>0.581597620020929</v>
      </c>
      <c r="Q59" s="13" t="n">
        <f aca="false">Inputs!$F$77*Q47</f>
        <v>0.716085508962391</v>
      </c>
      <c r="R59" s="13" t="n">
        <f aca="false">Inputs!$F$77*R47</f>
        <v>0.84813159843153</v>
      </c>
      <c r="S59" s="13" t="n">
        <f aca="false">Inputs!$F$77*S47</f>
        <v>0.987428072310837</v>
      </c>
      <c r="T59" s="13" t="n">
        <f aca="false">Inputs!$F$77*T47</f>
        <v>1.12028202562258</v>
      </c>
      <c r="U59" s="13" t="n">
        <f aca="false">Inputs!$F$77*U47</f>
        <v>1.25444528047293</v>
      </c>
      <c r="V59" s="13" t="n">
        <f aca="false">Inputs!$F$77*V47</f>
        <v>1.3815875480974</v>
      </c>
      <c r="W59" s="13" t="n">
        <f aca="false">Inputs!$F$77*W47</f>
        <v>1.49773066436009</v>
      </c>
      <c r="X59" s="13" t="n">
        <f aca="false">Inputs!$F$77*X47</f>
        <v>1.60816558572877</v>
      </c>
      <c r="Y59" s="13" t="n">
        <f aca="false">Inputs!$F$77*Y47</f>
        <v>1.70098170236704</v>
      </c>
      <c r="Z59" s="13" t="n">
        <f aca="false">Inputs!$F$77*Z47</f>
        <v>1.78503688769509</v>
      </c>
      <c r="AA59" s="13" t="n">
        <f aca="false">Inputs!$F$77*AA47</f>
        <v>1.9364812819288</v>
      </c>
      <c r="AB59" s="13" t="n">
        <f aca="false">Inputs!$F$77*AB47</f>
        <v>1.89382826094414</v>
      </c>
      <c r="AC59" s="13" t="n">
        <f aca="false">Inputs!$F$77*AC47</f>
        <v>1.93224043160471</v>
      </c>
      <c r="AD59" s="13" t="n">
        <f aca="false">Inputs!$F$77*AD47</f>
        <v>1.96987433592777</v>
      </c>
      <c r="AE59" s="13" t="n">
        <f aca="false">Inputs!$F$77*AE47</f>
        <v>1.97044736934456</v>
      </c>
      <c r="AF59" s="13" t="n">
        <f aca="false">Inputs!$F$77*AF47</f>
        <v>1.94665173424982</v>
      </c>
      <c r="AG59" s="13" t="n">
        <f aca="false">Inputs!$F$77*AG47</f>
        <v>1.9109717989436</v>
      </c>
      <c r="AH59" s="13" t="n">
        <f aca="false">Inputs!$F$77*AH47</f>
        <v>1.85631480390149</v>
      </c>
      <c r="AI59" s="13" t="n">
        <f aca="false">Inputs!$F$77*AI47</f>
        <v>1.78213376519341</v>
      </c>
      <c r="AJ59" s="13" t="n">
        <f aca="false">Inputs!$F$77*AJ47</f>
        <v>1.81989827252862</v>
      </c>
      <c r="AK59" s="13" t="n">
        <f aca="false">Inputs!$F$77*AK47</f>
        <v>1.7182845411141</v>
      </c>
      <c r="AL59" s="13" t="n">
        <f aca="false">Inputs!$F$77*AL47</f>
        <v>1.61345660893806</v>
      </c>
      <c r="AM59" s="13" t="n">
        <f aca="false">Inputs!$F$77*AM47</f>
        <v>1.53546890659612</v>
      </c>
      <c r="AN59" s="13" t="n">
        <f aca="false">Inputs!$F$77*AN47</f>
        <v>1.39840203908526</v>
      </c>
      <c r="AO59" s="13" t="n">
        <f aca="false">Inputs!$F$77*AO47</f>
        <v>1.28272077626731</v>
      </c>
      <c r="AP59" s="13" t="n">
        <f aca="false">Inputs!$F$77*AP47</f>
        <v>1.00410212514994</v>
      </c>
      <c r="AQ59" s="13" t="n">
        <f aca="false">Inputs!$F$77*AQ47</f>
        <v>1.43906497563208</v>
      </c>
      <c r="AR59" s="13" t="n">
        <f aca="false">Inputs!$F$77*AR47</f>
        <v>1.21001124044365</v>
      </c>
      <c r="AS59" s="13" t="n">
        <f aca="false">Inputs!$F$77*AS47</f>
        <v>1.04798535543838</v>
      </c>
      <c r="AT59" s="13" t="n">
        <f aca="false">Inputs!$F$77*AT47</f>
        <v>0.873812832417863</v>
      </c>
      <c r="AU59" s="13" t="n">
        <f aca="false">Inputs!$F$77*AU47</f>
        <v>0.988732596302646</v>
      </c>
      <c r="AV59" s="13" t="n">
        <f aca="false">Inputs!$F$77*AV47</f>
        <v>0.787303980200778</v>
      </c>
      <c r="AW59" s="13" t="n">
        <f aca="false">Inputs!$F$77*AW47</f>
        <v>4.92441869611048</v>
      </c>
      <c r="AX59" s="13" t="n">
        <f aca="false">Inputs!$F$77*AX47</f>
        <v>0.486364084744548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724</v>
      </c>
      <c r="E60" s="0" t="s">
        <v>149</v>
      </c>
      <c r="G60" s="13" t="n">
        <f aca="false">SUM(J60:BJ60)</f>
        <v>240.637270706254</v>
      </c>
      <c r="J60" s="13" t="n">
        <f aca="false">Inputs!$F$78*J47</f>
        <v>34.1899945310692</v>
      </c>
      <c r="K60" s="13" t="n">
        <f aca="false">Inputs!$F$78*K47</f>
        <v>0.696324601871052</v>
      </c>
      <c r="L60" s="13" t="n">
        <f aca="false">Inputs!$F$78*L47</f>
        <v>0.832588538581404</v>
      </c>
      <c r="M60" s="13" t="n">
        <f aca="false">Inputs!$F$78*M47</f>
        <v>1.0600378147856</v>
      </c>
      <c r="N60" s="13" t="n">
        <f aca="false">Inputs!$F$78*N47</f>
        <v>1.39171261940974</v>
      </c>
      <c r="O60" s="13" t="n">
        <f aca="false">Inputs!$F$78*O47</f>
        <v>1.78692803364191</v>
      </c>
      <c r="P60" s="13" t="n">
        <f aca="false">Inputs!$F$78*P47</f>
        <v>2.21007095607953</v>
      </c>
      <c r="Q60" s="13" t="n">
        <f aca="false">Inputs!$F$78*Q47</f>
        <v>2.72112493405709</v>
      </c>
      <c r="R60" s="13" t="n">
        <f aca="false">Inputs!$F$78*R47</f>
        <v>3.22290007403981</v>
      </c>
      <c r="S60" s="13" t="n">
        <f aca="false">Inputs!$F$78*S47</f>
        <v>3.75222667478118</v>
      </c>
      <c r="T60" s="13" t="n">
        <f aca="false">Inputs!$F$78*T47</f>
        <v>4.25707169736582</v>
      </c>
      <c r="U60" s="13" t="n">
        <f aca="false">Inputs!$F$78*U47</f>
        <v>4.76689206579712</v>
      </c>
      <c r="V60" s="13" t="n">
        <f aca="false">Inputs!$F$78*V47</f>
        <v>5.2500326827701</v>
      </c>
      <c r="W60" s="13" t="n">
        <f aca="false">Inputs!$F$78*W47</f>
        <v>5.69137652456835</v>
      </c>
      <c r="X60" s="13" t="n">
        <f aca="false">Inputs!$F$78*X47</f>
        <v>6.11102922576934</v>
      </c>
      <c r="Y60" s="13" t="n">
        <f aca="false">Inputs!$F$78*Y47</f>
        <v>6.46373046899476</v>
      </c>
      <c r="Z60" s="13" t="n">
        <f aca="false">Inputs!$F$78*Z47</f>
        <v>6.78314017324135</v>
      </c>
      <c r="AA60" s="13" t="n">
        <f aca="false">Inputs!$F$78*AA47</f>
        <v>7.35862887132945</v>
      </c>
      <c r="AB60" s="13" t="n">
        <f aca="false">Inputs!$F$78*AB47</f>
        <v>7.19654739158775</v>
      </c>
      <c r="AC60" s="13" t="n">
        <f aca="false">Inputs!$F$78*AC47</f>
        <v>7.34251364009792</v>
      </c>
      <c r="AD60" s="13" t="n">
        <f aca="false">Inputs!$F$78*AD47</f>
        <v>7.48552247652551</v>
      </c>
      <c r="AE60" s="13" t="n">
        <f aca="false">Inputs!$F$78*AE47</f>
        <v>7.48770000350931</v>
      </c>
      <c r="AF60" s="13" t="n">
        <f aca="false">Inputs!$F$78*AF47</f>
        <v>7.39727659014931</v>
      </c>
      <c r="AG60" s="13" t="n">
        <f aca="false">Inputs!$F$78*AG47</f>
        <v>7.26169283598568</v>
      </c>
      <c r="AH60" s="13" t="n">
        <f aca="false">Inputs!$F$78*AH47</f>
        <v>7.05399625482566</v>
      </c>
      <c r="AI60" s="13" t="n">
        <f aca="false">Inputs!$F$78*AI47</f>
        <v>6.77210830773495</v>
      </c>
      <c r="AJ60" s="13" t="n">
        <f aca="false">Inputs!$F$78*AJ47</f>
        <v>6.91561343560876</v>
      </c>
      <c r="AK60" s="13" t="n">
        <f aca="false">Inputs!$F$78*AK47</f>
        <v>6.52948125623358</v>
      </c>
      <c r="AL60" s="13" t="n">
        <f aca="false">Inputs!$F$78*AL47</f>
        <v>6.13113511396462</v>
      </c>
      <c r="AM60" s="13" t="n">
        <f aca="false">Inputs!$F$78*AM47</f>
        <v>5.83478184506526</v>
      </c>
      <c r="AN60" s="13" t="n">
        <f aca="false">Inputs!$F$78*AN47</f>
        <v>5.31392774852398</v>
      </c>
      <c r="AO60" s="13" t="n">
        <f aca="false">Inputs!$F$78*AO47</f>
        <v>4.87433894981576</v>
      </c>
      <c r="AP60" s="13" t="n">
        <f aca="false">Inputs!$F$78*AP47</f>
        <v>3.81558807556976</v>
      </c>
      <c r="AQ60" s="13" t="n">
        <f aca="false">Inputs!$F$78*AQ47</f>
        <v>5.46844690740191</v>
      </c>
      <c r="AR60" s="13" t="n">
        <f aca="false">Inputs!$F$78*AR47</f>
        <v>4.59804271368588</v>
      </c>
      <c r="AS60" s="13" t="n">
        <f aca="false">Inputs!$F$78*AS47</f>
        <v>3.98234435066584</v>
      </c>
      <c r="AT60" s="13" t="n">
        <f aca="false">Inputs!$F$78*AT47</f>
        <v>3.32048876318788</v>
      </c>
      <c r="AU60" s="13" t="n">
        <f aca="false">Inputs!$F$78*AU47</f>
        <v>3.75718386595006</v>
      </c>
      <c r="AV60" s="13" t="n">
        <f aca="false">Inputs!$F$78*AV47</f>
        <v>2.99175512476296</v>
      </c>
      <c r="AW60" s="13" t="n">
        <f aca="false">Inputs!$F$78*AW47</f>
        <v>18.7127910452198</v>
      </c>
      <c r="AX60" s="13" t="n">
        <f aca="false">Inputs!$F$78*AX47</f>
        <v>1.84818352202928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725</v>
      </c>
      <c r="E61" s="0" t="s">
        <v>149</v>
      </c>
      <c r="J61" s="13" t="n">
        <f aca="false">J28+J57</f>
        <v>26.9921009455809</v>
      </c>
      <c r="K61" s="13" t="n">
        <f aca="false">K28+K57</f>
        <v>27.5418308944265</v>
      </c>
      <c r="L61" s="13" t="n">
        <f aca="false">L28+L57</f>
        <v>28.1991376354118</v>
      </c>
      <c r="M61" s="13" t="n">
        <f aca="false">M28+M57</f>
        <v>29.0360095944531</v>
      </c>
      <c r="N61" s="13" t="n">
        <f aca="false">N28+N57</f>
        <v>30.1347300834608</v>
      </c>
      <c r="O61" s="13" t="n">
        <f aca="false">O28+O57</f>
        <v>31.5454627415991</v>
      </c>
      <c r="P61" s="13" t="n">
        <f aca="false">P28+P57</f>
        <v>33.2902556016619</v>
      </c>
      <c r="Q61" s="13" t="n">
        <f aca="false">Q28+Q57</f>
        <v>35.4385121285491</v>
      </c>
      <c r="R61" s="13" t="n">
        <f aca="false">R28+R57</f>
        <v>37.9829069238437</v>
      </c>
      <c r="S61" s="13" t="n">
        <f aca="false">S28+S57</f>
        <v>40.9451911407762</v>
      </c>
      <c r="T61" s="13" t="n">
        <f aca="false">T28+T57</f>
        <v>44.3060372176439</v>
      </c>
      <c r="U61" s="13" t="n">
        <f aca="false">U28+U57</f>
        <v>48.0693730590627</v>
      </c>
      <c r="V61" s="13" t="n">
        <f aca="false">V28+V57</f>
        <v>52.2141357033549</v>
      </c>
      <c r="W61" s="13" t="n">
        <f aca="false">W28+W57</f>
        <v>56.7073276964352</v>
      </c>
      <c r="X61" s="13" t="n">
        <f aca="false">X28+X57</f>
        <v>61.5318244536215</v>
      </c>
      <c r="Y61" s="13" t="n">
        <f aca="false">Y28+Y57</f>
        <v>66.6347695607226</v>
      </c>
      <c r="Z61" s="13" t="n">
        <f aca="false">Z28+Z57</f>
        <v>71.9898802238079</v>
      </c>
      <c r="AA61" s="13" t="n">
        <f aca="false">AA28+AA57</f>
        <v>77.7993240695943</v>
      </c>
      <c r="AB61" s="13" t="n">
        <f aca="false">AB28+AB57</f>
        <v>83.4808088524267</v>
      </c>
      <c r="AC61" s="13" t="n">
        <f aca="false">AC28+AC57</f>
        <v>89.2775301472409</v>
      </c>
      <c r="AD61" s="13" t="n">
        <f aca="false">AD28+AD57</f>
        <v>95.1871531550242</v>
      </c>
      <c r="AE61" s="13" t="n">
        <f aca="false">AE28+AE57</f>
        <v>101.098495263058</v>
      </c>
      <c r="AF61" s="13" t="n">
        <f aca="false">AF28+AF57</f>
        <v>106.938450465807</v>
      </c>
      <c r="AG61" s="13" t="n">
        <f aca="false">AG28+AG57</f>
        <v>112.671365862638</v>
      </c>
      <c r="AH61" s="13" t="n">
        <f aca="false">AH28+AH57</f>
        <v>118.240310274343</v>
      </c>
      <c r="AI61" s="13" t="n">
        <f aca="false">AI28+AI57</f>
        <v>123.586711569923</v>
      </c>
      <c r="AJ61" s="13" t="n">
        <f aca="false">AJ28+AJ57</f>
        <v>129.046406387509</v>
      </c>
      <c r="AK61" s="13" t="n">
        <f aca="false">AK28+AK57</f>
        <v>134.201260010851</v>
      </c>
      <c r="AL61" s="13" t="n">
        <f aca="false">AL28+AL57</f>
        <v>139.041629837665</v>
      </c>
      <c r="AM61" s="13" t="n">
        <f aca="false">AM28+AM57</f>
        <v>143.648036557453</v>
      </c>
      <c r="AN61" s="13" t="n">
        <f aca="false">AN28+AN57</f>
        <v>147.843242674709</v>
      </c>
      <c r="AO61" s="13" t="n">
        <f aca="false">AO28+AO57</f>
        <v>151.691405003511</v>
      </c>
      <c r="AP61" s="13" t="n">
        <f aca="false">AP28+AP57</f>
        <v>154.703711378961</v>
      </c>
      <c r="AQ61" s="13" t="n">
        <f aca="false">AQ28+AQ57</f>
        <v>159.020906305857</v>
      </c>
      <c r="AR61" s="13" t="n">
        <f aca="false">AR28+AR57</f>
        <v>162.650940027188</v>
      </c>
      <c r="AS61" s="13" t="n">
        <f aca="false">AS28+AS57</f>
        <v>165.794896093503</v>
      </c>
      <c r="AT61" s="13" t="n">
        <f aca="false">AT28+AT57</f>
        <v>168.416334590757</v>
      </c>
      <c r="AU61" s="13" t="n">
        <f aca="false">AU28+AU57</f>
        <v>171.382532379665</v>
      </c>
      <c r="AV61" s="13" t="n">
        <f aca="false">AV28+AV57</f>
        <v>173.744444320267</v>
      </c>
      <c r="AW61" s="13" t="n">
        <f aca="false">AW28+AW57</f>
        <v>188.517700408599</v>
      </c>
      <c r="AX61" s="13" t="n">
        <f aca="false">AX28+AX57</f>
        <v>189.976792662832</v>
      </c>
      <c r="AY61" s="13" t="n">
        <f aca="false">AY28+AY57</f>
        <v>189.976792662832</v>
      </c>
      <c r="AZ61" s="13" t="n">
        <f aca="false">AZ28+AZ57</f>
        <v>189.976792662832</v>
      </c>
      <c r="BA61" s="13" t="n">
        <f aca="false">BA28+BA57</f>
        <v>189.976792662832</v>
      </c>
      <c r="BB61" s="13" t="n">
        <f aca="false">BB28+BB57</f>
        <v>189.976792662832</v>
      </c>
      <c r="BC61" s="13" t="n">
        <f aca="false">BC28+BC57</f>
        <v>189.976792662832</v>
      </c>
      <c r="BD61" s="13" t="n">
        <f aca="false">BD28+BD57</f>
        <v>189.976792662832</v>
      </c>
      <c r="BE61" s="13" t="n">
        <f aca="false">BE28+BE57</f>
        <v>189.976792662832</v>
      </c>
      <c r="BF61" s="13" t="n">
        <f aca="false">BF28+BF57</f>
        <v>189.976792662832</v>
      </c>
      <c r="BG61" s="13" t="n">
        <f aca="false">BG28+BG57</f>
        <v>189.976792662832</v>
      </c>
      <c r="BH61" s="13" t="n">
        <f aca="false">BH28+BH57</f>
        <v>189.976792662832</v>
      </c>
      <c r="BI61" s="13" t="n">
        <f aca="false">BI28+BI57</f>
        <v>189.976792662832</v>
      </c>
      <c r="BJ61" s="13" t="n">
        <f aca="false">BJ28+BJ57</f>
        <v>189.976792662832</v>
      </c>
    </row>
    <row r="62" customFormat="false" ht="15" hidden="false" customHeight="false" outlineLevel="0" collapsed="false">
      <c r="D62" s="0" t="s">
        <v>726</v>
      </c>
      <c r="E62" s="0" t="s">
        <v>149</v>
      </c>
      <c r="J62" s="13" t="n">
        <f aca="false">J29+J58</f>
        <v>19.7942073600927</v>
      </c>
      <c r="K62" s="13" t="n">
        <f aca="false">K29+K58</f>
        <v>20.1973426559128</v>
      </c>
      <c r="L62" s="13" t="n">
        <f aca="false">L29+L58</f>
        <v>20.679367599302</v>
      </c>
      <c r="M62" s="13" t="n">
        <f aca="false">M29+M58</f>
        <v>21.2930737025989</v>
      </c>
      <c r="N62" s="13" t="n">
        <f aca="false">N29+N58</f>
        <v>22.0988020612046</v>
      </c>
      <c r="O62" s="13" t="n">
        <f aca="false">O29+O58</f>
        <v>23.1333393438393</v>
      </c>
      <c r="P62" s="13" t="n">
        <f aca="false">P29+P58</f>
        <v>24.4128541078854</v>
      </c>
      <c r="Q62" s="13" t="n">
        <f aca="false">Q29+Q58</f>
        <v>25.9882422276026</v>
      </c>
      <c r="R62" s="13" t="n">
        <f aca="false">R29+R58</f>
        <v>27.854131744152</v>
      </c>
      <c r="S62" s="13" t="n">
        <f aca="false">S29+S58</f>
        <v>30.0264735032359</v>
      </c>
      <c r="T62" s="13" t="n">
        <f aca="false">T29+T58</f>
        <v>32.4910939596055</v>
      </c>
      <c r="U62" s="13" t="n">
        <f aca="false">U29+U58</f>
        <v>35.250873576646</v>
      </c>
      <c r="V62" s="13" t="n">
        <f aca="false">V29+V58</f>
        <v>38.2903661824603</v>
      </c>
      <c r="W62" s="13" t="n">
        <f aca="false">W29+W58</f>
        <v>41.5853736440525</v>
      </c>
      <c r="X62" s="13" t="n">
        <f aca="false">X29+X58</f>
        <v>45.1233379326558</v>
      </c>
      <c r="Y62" s="13" t="n">
        <f aca="false">Y29+Y58</f>
        <v>48.8654976778633</v>
      </c>
      <c r="Z62" s="13" t="n">
        <f aca="false">Z29+Z58</f>
        <v>52.7925788307925</v>
      </c>
      <c r="AA62" s="13" t="n">
        <f aca="false">AA29+AA58</f>
        <v>57.0528376510358</v>
      </c>
      <c r="AB62" s="13" t="n">
        <f aca="false">AB29+AB58</f>
        <v>61.219259825113</v>
      </c>
      <c r="AC62" s="13" t="n">
        <f aca="false">AC29+AC58</f>
        <v>65.4701887746433</v>
      </c>
      <c r="AD62" s="13" t="n">
        <f aca="false">AD29+AD58</f>
        <v>69.8039123136844</v>
      </c>
      <c r="AE62" s="13" t="n">
        <f aca="false">AE29+AE58</f>
        <v>74.1388965262424</v>
      </c>
      <c r="AF62" s="13" t="n">
        <f aca="false">AF29+AF58</f>
        <v>78.421530341592</v>
      </c>
      <c r="AG62" s="13" t="n">
        <f aca="false">AG29+AG58</f>
        <v>82.625668299268</v>
      </c>
      <c r="AH62" s="13" t="n">
        <f aca="false">AH29+AH58</f>
        <v>86.7095608678512</v>
      </c>
      <c r="AI62" s="13" t="n">
        <f aca="false">AI29+AI58</f>
        <v>90.6302551512767</v>
      </c>
      <c r="AJ62" s="13" t="n">
        <f aca="false">AJ29+AJ58</f>
        <v>94.6340313508397</v>
      </c>
      <c r="AK62" s="13" t="n">
        <f aca="false">AK29+AK58</f>
        <v>98.4142573412907</v>
      </c>
      <c r="AL62" s="13" t="n">
        <f aca="false">AL29+AL58</f>
        <v>101.963861880954</v>
      </c>
      <c r="AM62" s="13" t="n">
        <f aca="false">AM29+AM58</f>
        <v>105.341893475466</v>
      </c>
      <c r="AN62" s="13" t="n">
        <f aca="false">AN29+AN58</f>
        <v>108.418377961453</v>
      </c>
      <c r="AO62" s="13" t="n">
        <f aca="false">AO29+AO58</f>
        <v>111.240363669242</v>
      </c>
      <c r="AP62" s="13" t="n">
        <f aca="false">AP29+AP58</f>
        <v>113.449388344571</v>
      </c>
      <c r="AQ62" s="13" t="n">
        <f aca="false">AQ29+AQ58</f>
        <v>116.615331290962</v>
      </c>
      <c r="AR62" s="13" t="n">
        <f aca="false">AR29+AR58</f>
        <v>119.277356019938</v>
      </c>
      <c r="AS62" s="13" t="n">
        <f aca="false">AS29+AS58</f>
        <v>121.582923801902</v>
      </c>
      <c r="AT62" s="13" t="n">
        <f aca="false">AT29+AT58</f>
        <v>123.505312033222</v>
      </c>
      <c r="AU62" s="13" t="n">
        <f aca="false">AU29+AU58</f>
        <v>125.680523745088</v>
      </c>
      <c r="AV62" s="13" t="n">
        <f aca="false">AV29+AV58</f>
        <v>127.412592501529</v>
      </c>
      <c r="AW62" s="13" t="n">
        <f aca="false">AW29+AW58</f>
        <v>138.246313632972</v>
      </c>
      <c r="AX62" s="13" t="n">
        <f aca="false">AX29+AX58</f>
        <v>139.31631461941</v>
      </c>
      <c r="AY62" s="13" t="n">
        <f aca="false">AY29+AY58</f>
        <v>139.31631461941</v>
      </c>
      <c r="AZ62" s="13" t="n">
        <f aca="false">AZ29+AZ58</f>
        <v>139.31631461941</v>
      </c>
      <c r="BA62" s="13" t="n">
        <f aca="false">BA29+BA58</f>
        <v>139.31631461941</v>
      </c>
      <c r="BB62" s="13" t="n">
        <f aca="false">BB29+BB58</f>
        <v>139.31631461941</v>
      </c>
      <c r="BC62" s="13" t="n">
        <f aca="false">BC29+BC58</f>
        <v>139.31631461941</v>
      </c>
      <c r="BD62" s="13" t="n">
        <f aca="false">BD29+BD58</f>
        <v>139.31631461941</v>
      </c>
      <c r="BE62" s="13" t="n">
        <f aca="false">BE29+BE58</f>
        <v>139.31631461941</v>
      </c>
      <c r="BF62" s="13" t="n">
        <f aca="false">BF29+BF58</f>
        <v>139.31631461941</v>
      </c>
      <c r="BG62" s="13" t="n">
        <f aca="false">BG29+BG58</f>
        <v>139.31631461941</v>
      </c>
      <c r="BH62" s="13" t="n">
        <f aca="false">BH29+BH58</f>
        <v>139.31631461941</v>
      </c>
      <c r="BI62" s="13" t="n">
        <f aca="false">BI29+BI58</f>
        <v>139.31631461941</v>
      </c>
      <c r="BJ62" s="13" t="n">
        <f aca="false">BJ29+BJ58</f>
        <v>139.31631461941</v>
      </c>
    </row>
    <row r="63" customFormat="false" ht="15" hidden="false" customHeight="false" outlineLevel="0" collapsed="false">
      <c r="D63" s="0" t="s">
        <v>727</v>
      </c>
      <c r="E63" s="0" t="s">
        <v>149</v>
      </c>
      <c r="J63" s="13" t="n">
        <f aca="false">J30+J59</f>
        <v>8.99736698186031</v>
      </c>
      <c r="K63" s="13" t="n">
        <f aca="false">K30+K59</f>
        <v>9.18061029814216</v>
      </c>
      <c r="L63" s="13" t="n">
        <f aca="false">L30+L59</f>
        <v>9.39971254513727</v>
      </c>
      <c r="M63" s="13" t="n">
        <f aca="false">M30+M59</f>
        <v>9.67866986481769</v>
      </c>
      <c r="N63" s="13" t="n">
        <f aca="false">N30+N59</f>
        <v>10.0449100278203</v>
      </c>
      <c r="O63" s="13" t="n">
        <f aca="false">O30+O59</f>
        <v>10.5151542471997</v>
      </c>
      <c r="P63" s="13" t="n">
        <f aca="false">P30+P59</f>
        <v>11.0967518672206</v>
      </c>
      <c r="Q63" s="13" t="n">
        <f aca="false">Q30+Q59</f>
        <v>11.812837376183</v>
      </c>
      <c r="R63" s="13" t="n">
        <f aca="false">R30+R59</f>
        <v>12.6609689746146</v>
      </c>
      <c r="S63" s="13" t="n">
        <f aca="false">S30+S59</f>
        <v>13.6483970469254</v>
      </c>
      <c r="T63" s="13" t="n">
        <f aca="false">T30+T59</f>
        <v>14.768679072548</v>
      </c>
      <c r="U63" s="13" t="n">
        <f aca="false">U30+U59</f>
        <v>16.0231243530209</v>
      </c>
      <c r="V63" s="13" t="n">
        <f aca="false">V30+V59</f>
        <v>17.4047119011183</v>
      </c>
      <c r="W63" s="13" t="n">
        <f aca="false">W30+W59</f>
        <v>18.9024425654784</v>
      </c>
      <c r="X63" s="13" t="n">
        <f aca="false">X30+X59</f>
        <v>20.5106081512072</v>
      </c>
      <c r="Y63" s="13" t="n">
        <f aca="false">Y30+Y59</f>
        <v>22.2115898535742</v>
      </c>
      <c r="Z63" s="13" t="n">
        <f aca="false">Z30+Z59</f>
        <v>23.9966267412693</v>
      </c>
      <c r="AA63" s="13" t="n">
        <f aca="false">AA30+AA59</f>
        <v>25.9331080231981</v>
      </c>
      <c r="AB63" s="13" t="n">
        <f aca="false">AB30+AB59</f>
        <v>27.8269362841422</v>
      </c>
      <c r="AC63" s="13" t="n">
        <f aca="false">AC30+AC59</f>
        <v>29.759176715747</v>
      </c>
      <c r="AD63" s="13" t="n">
        <f aca="false">AD30+AD59</f>
        <v>31.7290510516747</v>
      </c>
      <c r="AE63" s="13" t="n">
        <f aca="false">AE30+AE59</f>
        <v>33.6994984210193</v>
      </c>
      <c r="AF63" s="13" t="n">
        <f aca="false">AF30+AF59</f>
        <v>35.6461501552691</v>
      </c>
      <c r="AG63" s="13" t="n">
        <f aca="false">AG30+AG59</f>
        <v>37.5571219542127</v>
      </c>
      <c r="AH63" s="13" t="n">
        <f aca="false">AH30+AH59</f>
        <v>39.4134367581142</v>
      </c>
      <c r="AI63" s="13" t="n">
        <f aca="false">AI30+AI59</f>
        <v>41.1955705233076</v>
      </c>
      <c r="AJ63" s="13" t="n">
        <f aca="false">AJ30+AJ59</f>
        <v>43.0154687958362</v>
      </c>
      <c r="AK63" s="13" t="n">
        <f aca="false">AK30+AK59</f>
        <v>44.7337533369503</v>
      </c>
      <c r="AL63" s="13" t="n">
        <f aca="false">AL30+AL59</f>
        <v>46.3472099458884</v>
      </c>
      <c r="AM63" s="13" t="n">
        <f aca="false">AM30+AM59</f>
        <v>47.8826788524845</v>
      </c>
      <c r="AN63" s="13" t="n">
        <f aca="false">AN30+AN59</f>
        <v>49.2810808915698</v>
      </c>
      <c r="AO63" s="13" t="n">
        <f aca="false">AO30+AO59</f>
        <v>50.5638016678371</v>
      </c>
      <c r="AP63" s="13" t="n">
        <f aca="false">AP30+AP59</f>
        <v>51.567903792987</v>
      </c>
      <c r="AQ63" s="13" t="n">
        <f aca="false">AQ30+AQ59</f>
        <v>53.0069687686191</v>
      </c>
      <c r="AR63" s="13" t="n">
        <f aca="false">AR30+AR59</f>
        <v>54.2169800090627</v>
      </c>
      <c r="AS63" s="13" t="n">
        <f aca="false">AS30+AS59</f>
        <v>55.2649653645011</v>
      </c>
      <c r="AT63" s="13" t="n">
        <f aca="false">AT30+AT59</f>
        <v>56.138778196919</v>
      </c>
      <c r="AU63" s="13" t="n">
        <f aca="false">AU30+AU59</f>
        <v>57.1275107932216</v>
      </c>
      <c r="AV63" s="13" t="n">
        <f aca="false">AV30+AV59</f>
        <v>57.9148147734224</v>
      </c>
      <c r="AW63" s="13" t="n">
        <f aca="false">AW30+AW59</f>
        <v>62.8392334695329</v>
      </c>
      <c r="AX63" s="13" t="n">
        <f aca="false">AX30+AX59</f>
        <v>63.3255975542774</v>
      </c>
      <c r="AY63" s="13" t="n">
        <f aca="false">AY30+AY59</f>
        <v>63.3255975542774</v>
      </c>
      <c r="AZ63" s="13" t="n">
        <f aca="false">AZ30+AZ59</f>
        <v>63.3255975542774</v>
      </c>
      <c r="BA63" s="13" t="n">
        <f aca="false">BA30+BA59</f>
        <v>63.3255975542774</v>
      </c>
      <c r="BB63" s="13" t="n">
        <f aca="false">BB30+BB59</f>
        <v>63.3255975542774</v>
      </c>
      <c r="BC63" s="13" t="n">
        <f aca="false">BC30+BC59</f>
        <v>63.3255975542774</v>
      </c>
      <c r="BD63" s="13" t="n">
        <f aca="false">BD30+BD59</f>
        <v>63.3255975542774</v>
      </c>
      <c r="BE63" s="13" t="n">
        <f aca="false">BE30+BE59</f>
        <v>63.3255975542774</v>
      </c>
      <c r="BF63" s="13" t="n">
        <f aca="false">BF30+BF59</f>
        <v>63.3255975542774</v>
      </c>
      <c r="BG63" s="13" t="n">
        <f aca="false">BG30+BG59</f>
        <v>63.3255975542774</v>
      </c>
      <c r="BH63" s="13" t="n">
        <f aca="false">BH30+BH59</f>
        <v>63.3255975542774</v>
      </c>
      <c r="BI63" s="13" t="n">
        <f aca="false">BI30+BI59</f>
        <v>63.3255975542774</v>
      </c>
      <c r="BJ63" s="13" t="n">
        <f aca="false">BJ30+BJ59</f>
        <v>63.3255975542774</v>
      </c>
    </row>
    <row r="64" customFormat="false" ht="15" hidden="false" customHeight="false" outlineLevel="0" collapsed="false">
      <c r="D64" s="0" t="s">
        <v>728</v>
      </c>
      <c r="E64" s="0" t="s">
        <v>149</v>
      </c>
      <c r="J64" s="13" t="n">
        <f aca="false">J31+J60</f>
        <v>34.1899945310692</v>
      </c>
      <c r="K64" s="13" t="n">
        <f aca="false">K31+K60</f>
        <v>34.8863191329402</v>
      </c>
      <c r="L64" s="13" t="n">
        <f aca="false">L31+L60</f>
        <v>35.7189076715216</v>
      </c>
      <c r="M64" s="13" t="n">
        <f aca="false">M31+M60</f>
        <v>36.7789454863072</v>
      </c>
      <c r="N64" s="13" t="n">
        <f aca="false">N31+N60</f>
        <v>38.170658105717</v>
      </c>
      <c r="O64" s="13" t="n">
        <f aca="false">O31+O60</f>
        <v>39.9575861393589</v>
      </c>
      <c r="P64" s="13" t="n">
        <f aca="false">P31+P60</f>
        <v>42.1676570954384</v>
      </c>
      <c r="Q64" s="13" t="n">
        <f aca="false">Q31+Q60</f>
        <v>44.8887820294955</v>
      </c>
      <c r="R64" s="13" t="n">
        <f aca="false">R31+R60</f>
        <v>48.1116821035353</v>
      </c>
      <c r="S64" s="13" t="n">
        <f aca="false">S31+S60</f>
        <v>51.8639087783165</v>
      </c>
      <c r="T64" s="13" t="n">
        <f aca="false">T31+T60</f>
        <v>56.1209804756823</v>
      </c>
      <c r="U64" s="13" t="n">
        <f aca="false">U31+U60</f>
        <v>60.8878725414794</v>
      </c>
      <c r="V64" s="13" t="n">
        <f aca="false">V31+V60</f>
        <v>66.1379052242495</v>
      </c>
      <c r="W64" s="13" t="n">
        <f aca="false">W31+W60</f>
        <v>71.8292817488179</v>
      </c>
      <c r="X64" s="13" t="n">
        <f aca="false">X31+X60</f>
        <v>77.9403109745872</v>
      </c>
      <c r="Y64" s="13" t="n">
        <f aca="false">Y31+Y60</f>
        <v>84.404041443582</v>
      </c>
      <c r="Z64" s="13" t="n">
        <f aca="false">Z31+Z60</f>
        <v>91.1871816168234</v>
      </c>
      <c r="AA64" s="13" t="n">
        <f aca="false">AA31+AA60</f>
        <v>98.5458104881528</v>
      </c>
      <c r="AB64" s="13" t="n">
        <f aca="false">AB31+AB60</f>
        <v>105.742357879741</v>
      </c>
      <c r="AC64" s="13" t="n">
        <f aca="false">AC31+AC60</f>
        <v>113.084871519838</v>
      </c>
      <c r="AD64" s="13" t="n">
        <f aca="false">AD31+AD60</f>
        <v>120.570393996364</v>
      </c>
      <c r="AE64" s="13" t="n">
        <f aca="false">AE31+AE60</f>
        <v>128.058093999873</v>
      </c>
      <c r="AF64" s="13" t="n">
        <f aca="false">AF31+AF60</f>
        <v>135.455370590023</v>
      </c>
      <c r="AG64" s="13" t="n">
        <f aca="false">AG31+AG60</f>
        <v>142.717063426008</v>
      </c>
      <c r="AH64" s="13" t="n">
        <f aca="false">AH31+AH60</f>
        <v>149.771059680834</v>
      </c>
      <c r="AI64" s="13" t="n">
        <f aca="false">AI31+AI60</f>
        <v>156.543167988569</v>
      </c>
      <c r="AJ64" s="13" t="n">
        <f aca="false">AJ31+AJ60</f>
        <v>163.458781424178</v>
      </c>
      <c r="AK64" s="13" t="n">
        <f aca="false">AK31+AK60</f>
        <v>169.988262680411</v>
      </c>
      <c r="AL64" s="13" t="n">
        <f aca="false">AL31+AL60</f>
        <v>176.119397794376</v>
      </c>
      <c r="AM64" s="13" t="n">
        <f aca="false">AM31+AM60</f>
        <v>181.954179639441</v>
      </c>
      <c r="AN64" s="13" t="n">
        <f aca="false">AN31+AN60</f>
        <v>187.268107387965</v>
      </c>
      <c r="AO64" s="13" t="n">
        <f aca="false">AO31+AO60</f>
        <v>192.142446337781</v>
      </c>
      <c r="AP64" s="13" t="n">
        <f aca="false">AP31+AP60</f>
        <v>195.958034413351</v>
      </c>
      <c r="AQ64" s="13" t="n">
        <f aca="false">AQ31+AQ60</f>
        <v>201.426481320753</v>
      </c>
      <c r="AR64" s="13" t="n">
        <f aca="false">AR31+AR60</f>
        <v>206.024524034438</v>
      </c>
      <c r="AS64" s="13" t="n">
        <f aca="false">AS31+AS60</f>
        <v>210.006868385104</v>
      </c>
      <c r="AT64" s="13" t="n">
        <f aca="false">AT31+AT60</f>
        <v>213.327357148292</v>
      </c>
      <c r="AU64" s="13" t="n">
        <f aca="false">AU31+AU60</f>
        <v>217.084541014242</v>
      </c>
      <c r="AV64" s="13" t="n">
        <f aca="false">AV31+AV60</f>
        <v>220.076296139005</v>
      </c>
      <c r="AW64" s="13" t="n">
        <f aca="false">AW31+AW60</f>
        <v>238.789087184225</v>
      </c>
      <c r="AX64" s="13" t="n">
        <f aca="false">AX31+AX60</f>
        <v>240.637270706254</v>
      </c>
      <c r="AY64" s="13" t="n">
        <f aca="false">AY31+AY60</f>
        <v>240.637270706254</v>
      </c>
      <c r="AZ64" s="13" t="n">
        <f aca="false">AZ31+AZ60</f>
        <v>240.637270706254</v>
      </c>
      <c r="BA64" s="13" t="n">
        <f aca="false">BA31+BA60</f>
        <v>240.637270706254</v>
      </c>
      <c r="BB64" s="13" t="n">
        <f aca="false">BB31+BB60</f>
        <v>240.637270706254</v>
      </c>
      <c r="BC64" s="13" t="n">
        <f aca="false">BC31+BC60</f>
        <v>240.637270706254</v>
      </c>
      <c r="BD64" s="13" t="n">
        <f aca="false">BD31+BD60</f>
        <v>240.637270706254</v>
      </c>
      <c r="BE64" s="13" t="n">
        <f aca="false">BE31+BE60</f>
        <v>240.637270706254</v>
      </c>
      <c r="BF64" s="13" t="n">
        <f aca="false">BF31+BF60</f>
        <v>240.637270706254</v>
      </c>
      <c r="BG64" s="13" t="n">
        <f aca="false">BG31+BG60</f>
        <v>240.637270706254</v>
      </c>
      <c r="BH64" s="13" t="n">
        <f aca="false">BH31+BH60</f>
        <v>240.637270706254</v>
      </c>
      <c r="BI64" s="13" t="n">
        <f aca="false">BI31+BI60</f>
        <v>240.637270706254</v>
      </c>
      <c r="BJ64" s="13" t="n">
        <f aca="false">BJ31+BJ60</f>
        <v>240.637270706254</v>
      </c>
    </row>
    <row r="65" customFormat="false" ht="15" hidden="false" customHeight="false" outlineLevel="0" collapsed="false">
      <c r="D65" s="0" t="s">
        <v>729</v>
      </c>
      <c r="E65" s="0" t="s">
        <v>149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0</v>
      </c>
      <c r="AS65" s="13" t="n">
        <f aca="false">AS32+AS55</f>
        <v>0</v>
      </c>
      <c r="AT65" s="13" t="n">
        <f aca="false">AT32+AT55</f>
        <v>0</v>
      </c>
      <c r="AU65" s="13" t="n">
        <f aca="false">AU32+AU55</f>
        <v>0</v>
      </c>
      <c r="AV65" s="13" t="n">
        <f aca="false">AV32+AV55</f>
        <v>0</v>
      </c>
      <c r="AW65" s="13" t="n">
        <f aca="false">AW32+AW55</f>
        <v>0</v>
      </c>
      <c r="AX65" s="13" t="n">
        <f aca="false">AX32+AX55</f>
        <v>9.99206650247323</v>
      </c>
      <c r="AY65" s="13" t="n">
        <f aca="false">AY32+AY55</f>
        <v>9.99206650247323</v>
      </c>
      <c r="AZ65" s="13" t="n">
        <f aca="false">AZ32+AZ55</f>
        <v>9.99206650247323</v>
      </c>
      <c r="BA65" s="13" t="n">
        <f aca="false">BA32+BA55</f>
        <v>9.99206650247323</v>
      </c>
      <c r="BB65" s="13" t="n">
        <f aca="false">BB32+BB55</f>
        <v>9.99206650247323</v>
      </c>
      <c r="BC65" s="13" t="n">
        <f aca="false">BC32+BC55</f>
        <v>9.99206650247323</v>
      </c>
      <c r="BD65" s="13" t="n">
        <f aca="false">BD32+BD55</f>
        <v>9.99206650247323</v>
      </c>
      <c r="BE65" s="13" t="n">
        <f aca="false">BE32+BE55</f>
        <v>9.99206650247323</v>
      </c>
      <c r="BF65" s="13" t="n">
        <f aca="false">BF32+BF55</f>
        <v>9.99206650247323</v>
      </c>
      <c r="BG65" s="13" t="n">
        <f aca="false">BG32+BG55</f>
        <v>9.99206650247323</v>
      </c>
      <c r="BH65" s="13" t="n">
        <f aca="false">BH32+BH55</f>
        <v>9.99206650247323</v>
      </c>
      <c r="BI65" s="13" t="n">
        <f aca="false">BI32+BI55</f>
        <v>9.99206650247323</v>
      </c>
      <c r="BJ65" s="13" t="n">
        <f aca="false">BJ32+BJ55</f>
        <v>9.99206650247323</v>
      </c>
    </row>
    <row r="66" customFormat="false" ht="15" hidden="false" customHeight="false" outlineLevel="0" collapsed="false">
      <c r="B66" s="2" t="s">
        <v>730</v>
      </c>
    </row>
    <row r="67" customFormat="false" ht="15" hidden="false" customHeight="false" outlineLevel="0" collapsed="false">
      <c r="D67" s="0" t="s">
        <v>731</v>
      </c>
      <c r="E67" s="0" t="s">
        <v>149</v>
      </c>
      <c r="G67" s="13" t="n">
        <f aca="false">SUM(J67:BJ67)</f>
        <v>225.164456418209</v>
      </c>
      <c r="J67" s="13" t="n">
        <f aca="false">J50-J47+J56</f>
        <v>31.5183731856882</v>
      </c>
      <c r="K67" s="13" t="n">
        <f aca="false">K50-K47+K56</f>
        <v>0.641913488468208</v>
      </c>
      <c r="L67" s="13" t="n">
        <f aca="false">L50-L47+L56</f>
        <v>0.767529700693251</v>
      </c>
      <c r="M67" s="13" t="n">
        <f aca="false">M50-M47+M56</f>
        <v>0.977205989518163</v>
      </c>
      <c r="N67" s="13" t="n">
        <f aca="false">N50-N47+N56</f>
        <v>1.28296357771942</v>
      </c>
      <c r="O67" s="13" t="n">
        <f aca="false">O50-O47+O56</f>
        <v>1.64729668409608</v>
      </c>
      <c r="P67" s="13" t="n">
        <f aca="false">P50-P47+P56</f>
        <v>2.03737503079346</v>
      </c>
      <c r="Q67" s="13" t="n">
        <f aca="false">Q50-Q47+Q56</f>
        <v>2.508495024138</v>
      </c>
      <c r="R67" s="13" t="n">
        <f aca="false">R50-R47+R56</f>
        <v>2.97106123200635</v>
      </c>
      <c r="S67" s="13" t="n">
        <f aca="false">S50-S47+S56</f>
        <v>3.45902601726297</v>
      </c>
      <c r="T67" s="13" t="n">
        <f aca="false">T50-T47+T56</f>
        <v>3.92442222574439</v>
      </c>
      <c r="U67" s="13" t="n">
        <f aca="false">U50-U47+U56</f>
        <v>4.39440500434006</v>
      </c>
      <c r="V67" s="13" t="n">
        <f aca="false">V50-V47+V56</f>
        <v>4.83979279909622</v>
      </c>
      <c r="W67" s="13" t="n">
        <f aca="false">W50-W47+W56</f>
        <v>5.24664983723823</v>
      </c>
      <c r="X67" s="13" t="n">
        <f aca="false">X50-X47+X56</f>
        <v>5.63351069013529</v>
      </c>
      <c r="Y67" s="13" t="n">
        <f aca="false">Y50-Y47+Y56</f>
        <v>5.95865170169448</v>
      </c>
      <c r="Z67" s="13" t="n">
        <f aca="false">Z50-Z47+Z56</f>
        <v>6.25310258990464</v>
      </c>
      <c r="AA67" s="13" t="n">
        <f aca="false">AA50-AA47+AA56</f>
        <v>6.78362234573566</v>
      </c>
      <c r="AB67" s="13" t="n">
        <f aca="false">AB50-AB47+AB56</f>
        <v>6.63420598474896</v>
      </c>
      <c r="AC67" s="13" t="n">
        <f aca="false">AC50-AC47+AC56</f>
        <v>6.76876636582412</v>
      </c>
      <c r="AD67" s="13" t="n">
        <f aca="false">AD50-AD47+AD56</f>
        <v>6.90060042830928</v>
      </c>
      <c r="AE67" s="13" t="n">
        <f aca="false">AE50-AE47+AE56</f>
        <v>6.90260780236822</v>
      </c>
      <c r="AF67" s="13" t="n">
        <f aca="false">AF50-AF47+AF56</f>
        <v>6.81925011465598</v>
      </c>
      <c r="AG67" s="13" t="n">
        <f aca="false">AG50-AG47+AG56</f>
        <v>6.69426093521161</v>
      </c>
      <c r="AH67" s="13" t="n">
        <f aca="false">AH50-AH47+AH56</f>
        <v>6.50279385707434</v>
      </c>
      <c r="AI67" s="13" t="n">
        <f aca="false">AI50-AI47+AI56</f>
        <v>6.24293275926461</v>
      </c>
      <c r="AJ67" s="13" t="n">
        <f aca="false">AJ50-AJ47+AJ56</f>
        <v>6.37522433276212</v>
      </c>
      <c r="AK67" s="13" t="n">
        <f aca="false">AK50-AK47+AK56</f>
        <v>6.01926469323979</v>
      </c>
      <c r="AL67" s="13" t="n">
        <f aca="false">AL50-AL47+AL56</f>
        <v>5.65204549530446</v>
      </c>
      <c r="AM67" s="13" t="n">
        <f aca="false">AM50-AM47+AM56</f>
        <v>5.37884940235157</v>
      </c>
      <c r="AN67" s="13" t="n">
        <f aca="false">AN50-AN47+AN56</f>
        <v>4.89869507605695</v>
      </c>
      <c r="AO67" s="13" t="n">
        <f aca="false">AO50-AO47+AO56</f>
        <v>4.49345594115906</v>
      </c>
      <c r="AP67" s="13" t="n">
        <f aca="false">AP50-AP47+AP56</f>
        <v>3.51743633007562</v>
      </c>
      <c r="AQ67" s="13" t="n">
        <f aca="false">AQ50-AQ47+AQ56</f>
        <v>5.04114003928815</v>
      </c>
      <c r="AR67" s="13" t="n">
        <f aca="false">AR50-AR47+AR56</f>
        <v>4.2387496155342</v>
      </c>
      <c r="AS67" s="13" t="n">
        <f aca="false">AS50-AS47+AS56</f>
        <v>3.67116219583314</v>
      </c>
      <c r="AT67" s="13" t="n">
        <f aca="false">AT50-AT47+AT56</f>
        <v>3.0610242976768</v>
      </c>
      <c r="AU67" s="13" t="n">
        <f aca="false">AU50-AU47+AU56</f>
        <v>3.46359585131403</v>
      </c>
      <c r="AV67" s="13" t="n">
        <f aca="false">AV50-AV47+AV56</f>
        <v>2.75797805164274</v>
      </c>
      <c r="AW67" s="13" t="n">
        <f aca="false">AW50-AW47+AW56</f>
        <v>17.2505652486455</v>
      </c>
      <c r="AX67" s="13" t="n">
        <f aca="false">AX50-AX47+AX56</f>
        <v>5.03445447559486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732</v>
      </c>
      <c r="E68" s="0" t="s">
        <v>149</v>
      </c>
      <c r="G68" s="13" t="n">
        <f aca="false">SUM(J68:BJ68)</f>
        <v>210.964456418209</v>
      </c>
      <c r="J68" s="13" t="n">
        <f aca="false">J67-IF(Construction!J8=1,Inputs!$F$68,0)</f>
        <v>17.3183731856882</v>
      </c>
      <c r="K68" s="13" t="n">
        <f aca="false">K67-IF(Construction!K8=1,Inputs!$F$68,0)</f>
        <v>0.641913488468208</v>
      </c>
      <c r="L68" s="13" t="n">
        <f aca="false">L67-IF(Construction!L8=1,Inputs!$F$68,0)</f>
        <v>0.767529700693251</v>
      </c>
      <c r="M68" s="13" t="n">
        <f aca="false">M67-IF(Construction!M8=1,Inputs!$F$68,0)</f>
        <v>0.977205989518163</v>
      </c>
      <c r="N68" s="13" t="n">
        <f aca="false">N67-IF(Construction!N8=1,Inputs!$F$68,0)</f>
        <v>1.28296357771942</v>
      </c>
      <c r="O68" s="13" t="n">
        <f aca="false">O67-IF(Construction!O8=1,Inputs!$F$68,0)</f>
        <v>1.64729668409608</v>
      </c>
      <c r="P68" s="13" t="n">
        <f aca="false">P67-IF(Construction!P8=1,Inputs!$F$68,0)</f>
        <v>2.03737503079346</v>
      </c>
      <c r="Q68" s="13" t="n">
        <f aca="false">Q67-IF(Construction!Q8=1,Inputs!$F$68,0)</f>
        <v>2.508495024138</v>
      </c>
      <c r="R68" s="13" t="n">
        <f aca="false">R67-IF(Construction!R8=1,Inputs!$F$68,0)</f>
        <v>2.97106123200635</v>
      </c>
      <c r="S68" s="13" t="n">
        <f aca="false">S67-IF(Construction!S8=1,Inputs!$F$68,0)</f>
        <v>3.45902601726297</v>
      </c>
      <c r="T68" s="13" t="n">
        <f aca="false">T67-IF(Construction!T8=1,Inputs!$F$68,0)</f>
        <v>3.92442222574439</v>
      </c>
      <c r="U68" s="13" t="n">
        <f aca="false">U67-IF(Construction!U8=1,Inputs!$F$68,0)</f>
        <v>4.39440500434006</v>
      </c>
      <c r="V68" s="13" t="n">
        <f aca="false">V67-IF(Construction!V8=1,Inputs!$F$68,0)</f>
        <v>4.83979279909622</v>
      </c>
      <c r="W68" s="13" t="n">
        <f aca="false">W67-IF(Construction!W8=1,Inputs!$F$68,0)</f>
        <v>5.24664983723823</v>
      </c>
      <c r="X68" s="13" t="n">
        <f aca="false">X67-IF(Construction!X8=1,Inputs!$F$68,0)</f>
        <v>5.63351069013529</v>
      </c>
      <c r="Y68" s="13" t="n">
        <f aca="false">Y67-IF(Construction!Y8=1,Inputs!$F$68,0)</f>
        <v>5.95865170169448</v>
      </c>
      <c r="Z68" s="13" t="n">
        <f aca="false">Z67-IF(Construction!Z8=1,Inputs!$F$68,0)</f>
        <v>6.25310258990464</v>
      </c>
      <c r="AA68" s="13" t="n">
        <f aca="false">AA67-IF(Construction!AA8=1,Inputs!$F$68,0)</f>
        <v>6.78362234573566</v>
      </c>
      <c r="AB68" s="13" t="n">
        <f aca="false">AB67-IF(Construction!AB8=1,Inputs!$F$68,0)</f>
        <v>6.63420598474896</v>
      </c>
      <c r="AC68" s="13" t="n">
        <f aca="false">AC67-IF(Construction!AC8=1,Inputs!$F$68,0)</f>
        <v>6.76876636582412</v>
      </c>
      <c r="AD68" s="13" t="n">
        <f aca="false">AD67-IF(Construction!AD8=1,Inputs!$F$68,0)</f>
        <v>6.90060042830928</v>
      </c>
      <c r="AE68" s="13" t="n">
        <f aca="false">AE67-IF(Construction!AE8=1,Inputs!$F$68,0)</f>
        <v>6.90260780236822</v>
      </c>
      <c r="AF68" s="13" t="n">
        <f aca="false">AF67-IF(Construction!AF8=1,Inputs!$F$68,0)</f>
        <v>6.81925011465598</v>
      </c>
      <c r="AG68" s="13" t="n">
        <f aca="false">AG67-IF(Construction!AG8=1,Inputs!$F$68,0)</f>
        <v>6.69426093521161</v>
      </c>
      <c r="AH68" s="13" t="n">
        <f aca="false">AH67-IF(Construction!AH8=1,Inputs!$F$68,0)</f>
        <v>6.50279385707434</v>
      </c>
      <c r="AI68" s="13" t="n">
        <f aca="false">AI67-IF(Construction!AI8=1,Inputs!$F$68,0)</f>
        <v>6.24293275926461</v>
      </c>
      <c r="AJ68" s="13" t="n">
        <f aca="false">AJ67-IF(Construction!AJ8=1,Inputs!$F$68,0)</f>
        <v>6.37522433276212</v>
      </c>
      <c r="AK68" s="13" t="n">
        <f aca="false">AK67-IF(Construction!AK8=1,Inputs!$F$68,0)</f>
        <v>6.01926469323979</v>
      </c>
      <c r="AL68" s="13" t="n">
        <f aca="false">AL67-IF(Construction!AL8=1,Inputs!$F$68,0)</f>
        <v>5.65204549530446</v>
      </c>
      <c r="AM68" s="13" t="n">
        <f aca="false">AM67-IF(Construction!AM8=1,Inputs!$F$68,0)</f>
        <v>5.37884940235157</v>
      </c>
      <c r="AN68" s="13" t="n">
        <f aca="false">AN67-IF(Construction!AN8=1,Inputs!$F$68,0)</f>
        <v>4.89869507605695</v>
      </c>
      <c r="AO68" s="13" t="n">
        <f aca="false">AO67-IF(Construction!AO8=1,Inputs!$F$68,0)</f>
        <v>4.49345594115906</v>
      </c>
      <c r="AP68" s="13" t="n">
        <f aca="false">AP67-IF(Construction!AP8=1,Inputs!$F$68,0)</f>
        <v>3.51743633007562</v>
      </c>
      <c r="AQ68" s="13" t="n">
        <f aca="false">AQ67-IF(Construction!AQ8=1,Inputs!$F$68,0)</f>
        <v>5.04114003928815</v>
      </c>
      <c r="AR68" s="13" t="n">
        <f aca="false">AR67-IF(Construction!AR8=1,Inputs!$F$68,0)</f>
        <v>4.2387496155342</v>
      </c>
      <c r="AS68" s="13" t="n">
        <f aca="false">AS67-IF(Construction!AS8=1,Inputs!$F$68,0)</f>
        <v>3.67116219583314</v>
      </c>
      <c r="AT68" s="13" t="n">
        <f aca="false">AT67-IF(Construction!AT8=1,Inputs!$F$68,0)</f>
        <v>3.0610242976768</v>
      </c>
      <c r="AU68" s="13" t="n">
        <f aca="false">AU67-IF(Construction!AU8=1,Inputs!$F$68,0)</f>
        <v>3.46359585131403</v>
      </c>
      <c r="AV68" s="13" t="n">
        <f aca="false">AV67-IF(Construction!AV8=1,Inputs!$F$68,0)</f>
        <v>2.75797805164274</v>
      </c>
      <c r="AW68" s="13" t="n">
        <f aca="false">AW67-IF(Construction!AW8=1,Inputs!$F$68,0)</f>
        <v>17.2505652486455</v>
      </c>
      <c r="AX68" s="13" t="n">
        <f aca="false">AX67-IF(Construction!AX8=1,Inputs!$F$68,0)</f>
        <v>5.03445447559486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733</v>
      </c>
      <c r="E69" s="0" t="s">
        <v>149</v>
      </c>
      <c r="G69" s="13" t="n">
        <f aca="false">SUM(J69:BJ69)</f>
        <v>45.0328912836418</v>
      </c>
      <c r="J69" s="13" t="n">
        <f aca="false">(1-Inputs!$F$53)*J67</f>
        <v>6.30367463713763</v>
      </c>
      <c r="K69" s="13" t="n">
        <f aca="false">(1-Inputs!$F$53)*K67</f>
        <v>0.128382697693642</v>
      </c>
      <c r="L69" s="13" t="n">
        <f aca="false">(1-Inputs!$F$53)*L67</f>
        <v>0.15350594013865</v>
      </c>
      <c r="M69" s="13" t="n">
        <f aca="false">(1-Inputs!$F$53)*M67</f>
        <v>0.195441197903632</v>
      </c>
      <c r="N69" s="13" t="n">
        <f aca="false">(1-Inputs!$F$53)*N67</f>
        <v>0.256592715543883</v>
      </c>
      <c r="O69" s="13" t="n">
        <f aca="false">(1-Inputs!$F$53)*O67</f>
        <v>0.329459336819217</v>
      </c>
      <c r="P69" s="13" t="n">
        <f aca="false">(1-Inputs!$F$53)*P67</f>
        <v>0.407475006158692</v>
      </c>
      <c r="Q69" s="13" t="n">
        <f aca="false">(1-Inputs!$F$53)*Q67</f>
        <v>0.501699004827599</v>
      </c>
      <c r="R69" s="13" t="n">
        <f aca="false">(1-Inputs!$F$53)*R67</f>
        <v>0.59421224640127</v>
      </c>
      <c r="S69" s="13" t="n">
        <f aca="false">(1-Inputs!$F$53)*S67</f>
        <v>0.691805203452594</v>
      </c>
      <c r="T69" s="13" t="n">
        <f aca="false">(1-Inputs!$F$53)*T67</f>
        <v>0.784884445148877</v>
      </c>
      <c r="U69" s="13" t="n">
        <f aca="false">(1-Inputs!$F$53)*U67</f>
        <v>0.878881000868012</v>
      </c>
      <c r="V69" s="13" t="n">
        <f aca="false">(1-Inputs!$F$53)*V67</f>
        <v>0.967958559819244</v>
      </c>
      <c r="W69" s="13" t="n">
        <f aca="false">(1-Inputs!$F$53)*W67</f>
        <v>1.04932996744765</v>
      </c>
      <c r="X69" s="13" t="n">
        <f aca="false">(1-Inputs!$F$53)*X67</f>
        <v>1.12670213802706</v>
      </c>
      <c r="Y69" s="13" t="n">
        <f aca="false">(1-Inputs!$F$53)*Y67</f>
        <v>1.19173034033889</v>
      </c>
      <c r="Z69" s="13" t="n">
        <f aca="false">(1-Inputs!$F$53)*Z67</f>
        <v>1.25062051798093</v>
      </c>
      <c r="AA69" s="13" t="n">
        <f aca="false">(1-Inputs!$F$53)*AA67</f>
        <v>1.35672446914713</v>
      </c>
      <c r="AB69" s="13" t="n">
        <f aca="false">(1-Inputs!$F$53)*AB67</f>
        <v>1.32684119694979</v>
      </c>
      <c r="AC69" s="13" t="n">
        <f aca="false">(1-Inputs!$F$53)*AC67</f>
        <v>1.35375327316482</v>
      </c>
      <c r="AD69" s="13" t="n">
        <f aca="false">(1-Inputs!$F$53)*AD67</f>
        <v>1.38012008566185</v>
      </c>
      <c r="AE69" s="13" t="n">
        <f aca="false">(1-Inputs!$F$53)*AE67</f>
        <v>1.38052156047364</v>
      </c>
      <c r="AF69" s="13" t="n">
        <f aca="false">(1-Inputs!$F$53)*AF67</f>
        <v>1.3638500229312</v>
      </c>
      <c r="AG69" s="13" t="n">
        <f aca="false">(1-Inputs!$F$53)*AG67</f>
        <v>1.33885218704232</v>
      </c>
      <c r="AH69" s="13" t="n">
        <f aca="false">(1-Inputs!$F$53)*AH67</f>
        <v>1.30055877141487</v>
      </c>
      <c r="AI69" s="13" t="n">
        <f aca="false">(1-Inputs!$F$53)*AI67</f>
        <v>1.24858655185292</v>
      </c>
      <c r="AJ69" s="13" t="n">
        <f aca="false">(1-Inputs!$F$53)*AJ67</f>
        <v>1.27504486655242</v>
      </c>
      <c r="AK69" s="13" t="n">
        <f aca="false">(1-Inputs!$F$53)*AK67</f>
        <v>1.20385293864796</v>
      </c>
      <c r="AL69" s="13" t="n">
        <f aca="false">(1-Inputs!$F$53)*AL67</f>
        <v>1.13040909906089</v>
      </c>
      <c r="AM69" s="13" t="n">
        <f aca="false">(1-Inputs!$F$53)*AM67</f>
        <v>1.07576988047031</v>
      </c>
      <c r="AN69" s="13" t="n">
        <f aca="false">(1-Inputs!$F$53)*AN67</f>
        <v>0.97973901521139</v>
      </c>
      <c r="AO69" s="13" t="n">
        <f aca="false">(1-Inputs!$F$53)*AO67</f>
        <v>0.898691188231812</v>
      </c>
      <c r="AP69" s="13" t="n">
        <f aca="false">(1-Inputs!$F$53)*AP67</f>
        <v>0.703487266015123</v>
      </c>
      <c r="AQ69" s="13" t="n">
        <f aca="false">(1-Inputs!$F$53)*AQ67</f>
        <v>1.00822800785763</v>
      </c>
      <c r="AR69" s="13" t="n">
        <f aca="false">(1-Inputs!$F$53)*AR67</f>
        <v>0.84774992310684</v>
      </c>
      <c r="AS69" s="13" t="n">
        <f aca="false">(1-Inputs!$F$53)*AS67</f>
        <v>0.734232439166628</v>
      </c>
      <c r="AT69" s="13" t="n">
        <f aca="false">(1-Inputs!$F$53)*AT67</f>
        <v>0.61220485953536</v>
      </c>
      <c r="AU69" s="13" t="n">
        <f aca="false">(1-Inputs!$F$53)*AU67</f>
        <v>0.692719170262805</v>
      </c>
      <c r="AV69" s="13" t="n">
        <f aca="false">(1-Inputs!$F$53)*AV67</f>
        <v>0.551595610328547</v>
      </c>
      <c r="AW69" s="13" t="n">
        <f aca="false">(1-Inputs!$F$53)*AW67</f>
        <v>3.4501130497291</v>
      </c>
      <c r="AX69" s="13" t="n">
        <f aca="false">(1-Inputs!$F$53)*AX67</f>
        <v>1.00689089511897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734</v>
      </c>
      <c r="E70" s="0" t="s">
        <v>149</v>
      </c>
      <c r="G70" s="13" t="n">
        <f aca="false">SUM(J70:BJ70)</f>
        <v>180.131565134567</v>
      </c>
      <c r="J70" s="13" t="n">
        <f aca="false">Inputs!$F$53*J67</f>
        <v>25.2146985485505</v>
      </c>
      <c r="K70" s="13" t="n">
        <f aca="false">Inputs!$F$53*K67</f>
        <v>0.513530790774566</v>
      </c>
      <c r="L70" s="13" t="n">
        <f aca="false">Inputs!$F$53*L67</f>
        <v>0.614023760554601</v>
      </c>
      <c r="M70" s="13" t="n">
        <f aca="false">Inputs!$F$53*M67</f>
        <v>0.78176479161453</v>
      </c>
      <c r="N70" s="13" t="n">
        <f aca="false">Inputs!$F$53*N67</f>
        <v>1.02637086217553</v>
      </c>
      <c r="O70" s="13" t="n">
        <f aca="false">Inputs!$F$53*O67</f>
        <v>1.31783734727687</v>
      </c>
      <c r="P70" s="13" t="n">
        <f aca="false">Inputs!$F$53*P67</f>
        <v>1.62990002463477</v>
      </c>
      <c r="Q70" s="13" t="n">
        <f aca="false">Inputs!$F$53*Q67</f>
        <v>2.0067960193104</v>
      </c>
      <c r="R70" s="13" t="n">
        <f aca="false">Inputs!$F$53*R67</f>
        <v>2.37684898560508</v>
      </c>
      <c r="S70" s="13" t="n">
        <f aca="false">Inputs!$F$53*S67</f>
        <v>2.76722081381038</v>
      </c>
      <c r="T70" s="13" t="n">
        <f aca="false">Inputs!$F$53*T67</f>
        <v>3.13953778059551</v>
      </c>
      <c r="U70" s="13" t="n">
        <f aca="false">Inputs!$F$53*U67</f>
        <v>3.51552400347205</v>
      </c>
      <c r="V70" s="13" t="n">
        <f aca="false">Inputs!$F$53*V67</f>
        <v>3.87183423927698</v>
      </c>
      <c r="W70" s="13" t="n">
        <f aca="false">Inputs!$F$53*W67</f>
        <v>4.19731986979059</v>
      </c>
      <c r="X70" s="13" t="n">
        <f aca="false">Inputs!$F$53*X67</f>
        <v>4.50680855210823</v>
      </c>
      <c r="Y70" s="13" t="n">
        <f aca="false">Inputs!$F$53*Y67</f>
        <v>4.76692136135558</v>
      </c>
      <c r="Z70" s="13" t="n">
        <f aca="false">Inputs!$F$53*Z67</f>
        <v>5.00248207192372</v>
      </c>
      <c r="AA70" s="13" t="n">
        <f aca="false">Inputs!$F$53*AA67</f>
        <v>5.42689787658853</v>
      </c>
      <c r="AB70" s="13" t="n">
        <f aca="false">Inputs!$F$53*AB67</f>
        <v>5.30736478779917</v>
      </c>
      <c r="AC70" s="13" t="n">
        <f aca="false">Inputs!$F$53*AC67</f>
        <v>5.4150130926593</v>
      </c>
      <c r="AD70" s="13" t="n">
        <f aca="false">Inputs!$F$53*AD67</f>
        <v>5.52048034264742</v>
      </c>
      <c r="AE70" s="13" t="n">
        <f aca="false">Inputs!$F$53*AE67</f>
        <v>5.52208624189458</v>
      </c>
      <c r="AF70" s="13" t="n">
        <f aca="false">Inputs!$F$53*AF67</f>
        <v>5.45540009172478</v>
      </c>
      <c r="AG70" s="13" t="n">
        <f aca="false">Inputs!$F$53*AG67</f>
        <v>5.35540874816929</v>
      </c>
      <c r="AH70" s="13" t="n">
        <f aca="false">Inputs!$F$53*AH67</f>
        <v>5.20223508565947</v>
      </c>
      <c r="AI70" s="13" t="n">
        <f aca="false">Inputs!$F$53*AI67</f>
        <v>4.99434620741168</v>
      </c>
      <c r="AJ70" s="13" t="n">
        <f aca="false">Inputs!$F$53*AJ67</f>
        <v>5.1001794662097</v>
      </c>
      <c r="AK70" s="13" t="n">
        <f aca="false">Inputs!$F$53*AK67</f>
        <v>4.81541175459183</v>
      </c>
      <c r="AL70" s="13" t="n">
        <f aca="false">Inputs!$F$53*AL67</f>
        <v>4.52163639624357</v>
      </c>
      <c r="AM70" s="13" t="n">
        <f aca="false">Inputs!$F$53*AM67</f>
        <v>4.30307952188126</v>
      </c>
      <c r="AN70" s="13" t="n">
        <f aca="false">Inputs!$F$53*AN67</f>
        <v>3.91895606084556</v>
      </c>
      <c r="AO70" s="13" t="n">
        <f aca="false">Inputs!$F$53*AO67</f>
        <v>3.59476475292725</v>
      </c>
      <c r="AP70" s="13" t="n">
        <f aca="false">Inputs!$F$53*AP67</f>
        <v>2.81394906406049</v>
      </c>
      <c r="AQ70" s="13" t="n">
        <f aca="false">Inputs!$F$53*AQ67</f>
        <v>4.03291203143052</v>
      </c>
      <c r="AR70" s="13" t="n">
        <f aca="false">Inputs!$F$53*AR67</f>
        <v>3.39099969242736</v>
      </c>
      <c r="AS70" s="13" t="n">
        <f aca="false">Inputs!$F$53*AS67</f>
        <v>2.93692975666651</v>
      </c>
      <c r="AT70" s="13" t="n">
        <f aca="false">Inputs!$F$53*AT67</f>
        <v>2.44881943814144</v>
      </c>
      <c r="AU70" s="13" t="n">
        <f aca="false">Inputs!$F$53*AU67</f>
        <v>2.77087668105122</v>
      </c>
      <c r="AV70" s="13" t="n">
        <f aca="false">Inputs!$F$53*AV67</f>
        <v>2.20638244131419</v>
      </c>
      <c r="AW70" s="13" t="n">
        <f aca="false">Inputs!$F$53*AW67</f>
        <v>13.8004521989164</v>
      </c>
      <c r="AX70" s="13" t="n">
        <f aca="false">Inputs!$F$53*AX67</f>
        <v>4.02756358047589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735</v>
      </c>
      <c r="E71" s="0" t="s">
        <v>149</v>
      </c>
      <c r="G71" s="13" t="n">
        <f aca="false">SUM(J71:BJ71)</f>
        <v>29.8624885632915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0.196881892776353</v>
      </c>
      <c r="L71" s="13" t="n">
        <f aca="false">IF(Construction!L8&lt;=Time!$F$11,K72*Inputs!$F$104/100*Construction!L11/Inputs!$F$248,0)</f>
        <v>0.209176582406956</v>
      </c>
      <c r="M71" s="13" t="n">
        <f aca="false">IF(Construction!M8&lt;=Time!$F$11,L72*Inputs!$F$104/100*Construction!M11/Inputs!$F$248,0)</f>
        <v>0.208856679421725</v>
      </c>
      <c r="N71" s="13" t="n">
        <f aca="false">IF(Construction!N8&lt;=Time!$F$11,M72*Inputs!$F$104/100*Construction!N11/Inputs!$F$248,0)</f>
        <v>0.22381139128976</v>
      </c>
      <c r="O71" s="13" t="n">
        <f aca="false">IF(Construction!O8&lt;=Time!$F$11,N72*Inputs!$F$104/100*Construction!O11/Inputs!$F$248,0)</f>
        <v>0.233898478238952</v>
      </c>
      <c r="P71" s="13" t="n">
        <f aca="false">IF(Construction!P8&lt;=Time!$F$11,O72*Inputs!$F$104/100*Construction!P11/Inputs!$F$248,0)</f>
        <v>0.222571682171819</v>
      </c>
      <c r="Q71" s="13" t="n">
        <f aca="false">IF(Construction!Q8&lt;=Time!$F$11,P72*Inputs!$F$104/100*Construction!Q11/Inputs!$F$248,0)</f>
        <v>0.261365303397006</v>
      </c>
      <c r="R71" s="13" t="n">
        <f aca="false">IF(Construction!R8&lt;=Time!$F$11,Q72*Inputs!$F$104/100*Construction!R11/Inputs!$F$248,0)</f>
        <v>0.270644465316696</v>
      </c>
      <c r="S71" s="13" t="n">
        <f aca="false">IF(Construction!S8&lt;=Time!$F$11,R72*Inputs!$F$104/100*Construction!S11/Inputs!$F$248,0)</f>
        <v>0.301027230269164</v>
      </c>
      <c r="T71" s="13" t="n">
        <f aca="false">IF(Construction!T8&lt;=Time!$F$11,S72*Inputs!$F$104/100*Construction!T11/Inputs!$F$248,0)</f>
        <v>0.315274227674925</v>
      </c>
      <c r="U71" s="13" t="n">
        <f aca="false">IF(Construction!U8&lt;=Time!$F$11,T72*Inputs!$F$104/100*Construction!U11/Inputs!$F$248,0)</f>
        <v>0.353658495623057</v>
      </c>
      <c r="V71" s="13" t="n">
        <f aca="false">IF(Construction!V8&lt;=Time!$F$11,U72*Inputs!$F$104/100*Construction!V11/Inputs!$F$248,0)</f>
        <v>0.384876968115756</v>
      </c>
      <c r="W71" s="13" t="n">
        <f aca="false">IF(Construction!W8&lt;=Time!$F$11,V72*Inputs!$F$104/100*Construction!W11/Inputs!$F$248,0)</f>
        <v>0.405698916132627</v>
      </c>
      <c r="X71" s="13" t="n">
        <f aca="false">IF(Construction!X8&lt;=Time!$F$11,W72*Inputs!$F$104/100*Construction!X11/Inputs!$F$248,0)</f>
        <v>0.456361638883743</v>
      </c>
      <c r="Y71" s="13" t="n">
        <f aca="false">IF(Construction!Y8&lt;=Time!$F$11,X72*Inputs!$F$104/100*Construction!Y11/Inputs!$F$248,0)</f>
        <v>0.480393816363334</v>
      </c>
      <c r="Z71" s="13" t="n">
        <f aca="false">IF(Construction!Z8&lt;=Time!$F$11,Y72*Inputs!$F$104/100*Construction!Z11/Inputs!$F$248,0)</f>
        <v>0.538744870146356</v>
      </c>
      <c r="AA71" s="13" t="n">
        <f aca="false">IF(Construction!AA8&lt;=Time!$F$11,Z72*Inputs!$F$104/100*Construction!AA11/Inputs!$F$248,0)</f>
        <v>0.583454221774839</v>
      </c>
      <c r="AB71" s="13" t="n">
        <f aca="false">IF(Construction!AB8&lt;=Time!$F$11,AA72*Inputs!$F$104/100*Construction!AB11/Inputs!$F$248,0)</f>
        <v>0.591177822222483</v>
      </c>
      <c r="AC71" s="13" t="n">
        <f aca="false">IF(Construction!AC8&lt;=Time!$F$11,AB72*Inputs!$F$104/100*Construction!AC11/Inputs!$F$248,0)</f>
        <v>0.679541057161671</v>
      </c>
      <c r="AD71" s="13" t="n">
        <f aca="false">IF(Construction!AD8&lt;=Time!$F$11,AC72*Inputs!$F$104/100*Construction!AD11/Inputs!$F$248,0)</f>
        <v>0.705207992492884</v>
      </c>
      <c r="AE71" s="13" t="n">
        <f aca="false">IF(Construction!AE8&lt;=Time!$F$11,AD72*Inputs!$F$104/100*Construction!AE11/Inputs!$F$248,0)</f>
        <v>0.778946849266359</v>
      </c>
      <c r="AF71" s="13" t="n">
        <f aca="false">IF(Construction!AF8&lt;=Time!$F$11,AE72*Inputs!$F$104/100*Construction!AF11/Inputs!$F$248,0)</f>
        <v>0.803019378972223</v>
      </c>
      <c r="AG71" s="13" t="n">
        <f aca="false">IF(Construction!AG8&lt;=Time!$F$11,AF72*Inputs!$F$104/100*Construction!AG11/Inputs!$F$248,0)</f>
        <v>0.880282706238062</v>
      </c>
      <c r="AH71" s="13" t="n">
        <f aca="false">IF(Construction!AH8&lt;=Time!$F$11,AG72*Inputs!$F$104/100*Construction!AH11/Inputs!$F$248,0)</f>
        <v>0.930595340027732</v>
      </c>
      <c r="AI71" s="13" t="n">
        <f aca="false">IF(Construction!AI8&lt;=Time!$F$11,AH72*Inputs!$F$104/100*Construction!AI11/Inputs!$F$248,0)</f>
        <v>0.948462619656485</v>
      </c>
      <c r="AJ71" s="13" t="n">
        <f aca="false">IF(Construction!AJ8&lt;=Time!$F$11,AI72*Inputs!$F$104/100*Construction!AJ11/Inputs!$F$248,0)</f>
        <v>1.02802755262873</v>
      </c>
      <c r="AK71" s="13" t="n">
        <f aca="false">IF(Construction!AK8&lt;=Time!$F$11,AJ72*Inputs!$F$104/100*Construction!AK11/Inputs!$F$248,0)</f>
        <v>1.04271575708343</v>
      </c>
      <c r="AL71" s="13" t="n">
        <f aca="false">IF(Construction!AL8&lt;=Time!$F$11,AK72*Inputs!$F$104/100*Construction!AL11/Inputs!$F$248,0)</f>
        <v>1.12473921069</v>
      </c>
      <c r="AM71" s="13" t="n">
        <f aca="false">IF(Construction!AM8&lt;=Time!$F$11,AL72*Inputs!$F$104/100*Construction!AM11/Inputs!$F$248,0)</f>
        <v>1.17029695360074</v>
      </c>
      <c r="AN71" s="13" t="n">
        <f aca="false">IF(Construction!AN8&lt;=Time!$F$11,AM72*Inputs!$F$104/100*Construction!AN11/Inputs!$F$248,0)</f>
        <v>1.09693057799097</v>
      </c>
      <c r="AO71" s="13" t="n">
        <f aca="false">IF(Construction!AO8&lt;=Time!$F$11,AN72*Inputs!$F$104/100*Construction!AO11/Inputs!$F$248,0)</f>
        <v>1.25492950119435</v>
      </c>
      <c r="AP71" s="13" t="n">
        <f aca="false">IF(Construction!AP8&lt;=Time!$F$11,AO72*Inputs!$F$104/100*Construction!AP11/Inputs!$F$248,0)</f>
        <v>1.25231538006449</v>
      </c>
      <c r="AQ71" s="13" t="n">
        <f aca="false">IF(Construction!AQ8&lt;=Time!$F$11,AP72*Inputs!$F$104/100*Construction!AQ11/Inputs!$F$248,0)</f>
        <v>1.32686785288294</v>
      </c>
      <c r="AR71" s="13" t="n">
        <f aca="false">IF(Construction!AR8&lt;=Time!$F$11,AQ72*Inputs!$F$104/100*Construction!AR11/Inputs!$F$248,0)</f>
        <v>1.32591600016326</v>
      </c>
      <c r="AS71" s="13" t="n">
        <f aca="false">IF(Construction!AS8&lt;=Time!$F$11,AR72*Inputs!$F$104/100*Construction!AS11/Inputs!$F$248,0)</f>
        <v>1.40817160212673</v>
      </c>
      <c r="AT71" s="13" t="n">
        <f aca="false">IF(Construction!AT8&lt;=Time!$F$11,AS72*Inputs!$F$104/100*Construction!AT11/Inputs!$F$248,0)</f>
        <v>1.44323002267918</v>
      </c>
      <c r="AU71" s="13" t="n">
        <f aca="false">IF(Construction!AU8&lt;=Time!$F$11,AT72*Inputs!$F$104/100*Construction!AU11/Inputs!$F$248,0)</f>
        <v>1.42706419073801</v>
      </c>
      <c r="AV71" s="13" t="n">
        <f aca="false">IF(Construction!AV8&lt;=Time!$F$11,AU72*Inputs!$F$104/100*Construction!AV11/Inputs!$F$248,0)</f>
        <v>1.50850405426695</v>
      </c>
      <c r="AW71" s="13" t="n">
        <f aca="false">IF(Construction!AW8&lt;=Time!$F$11,AV72*Inputs!$F$104/100*Construction!AW11/Inputs!$F$248,0)</f>
        <v>1.48884928114076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736</v>
      </c>
      <c r="E72" s="0" t="s">
        <v>149</v>
      </c>
      <c r="J72" s="13" t="n">
        <f aca="false">I72+J71+J70</f>
        <v>25.2146985485505</v>
      </c>
      <c r="K72" s="13" t="n">
        <f aca="false">J72+K71+K70</f>
        <v>25.9251112321015</v>
      </c>
      <c r="L72" s="13" t="n">
        <f aca="false">K72+L71+L70</f>
        <v>26.748311575063</v>
      </c>
      <c r="M72" s="13" t="n">
        <f aca="false">L72+M71+M70</f>
        <v>27.7389330460993</v>
      </c>
      <c r="N72" s="13" t="n">
        <f aca="false">M72+N71+N70</f>
        <v>28.9891152995646</v>
      </c>
      <c r="O72" s="13" t="n">
        <f aca="false">N72+O71+O70</f>
        <v>30.5408511250804</v>
      </c>
      <c r="P72" s="13" t="n">
        <f aca="false">O72+P71+P70</f>
        <v>32.393322831887</v>
      </c>
      <c r="Q72" s="13" t="n">
        <f aca="false">P72+Q71+Q70</f>
        <v>34.6614841545944</v>
      </c>
      <c r="R72" s="13" t="n">
        <f aca="false">Q72+R71+R70</f>
        <v>37.3089776055161</v>
      </c>
      <c r="S72" s="13" t="n">
        <f aca="false">R72+S71+S70</f>
        <v>40.3772256495957</v>
      </c>
      <c r="T72" s="13" t="n">
        <f aca="false">S72+T71+T70</f>
        <v>43.8320376578661</v>
      </c>
      <c r="U72" s="13" t="n">
        <f aca="false">T72+U71+U70</f>
        <v>47.7012201569612</v>
      </c>
      <c r="V72" s="13" t="n">
        <f aca="false">U72+V71+V70</f>
        <v>51.9579313643539</v>
      </c>
      <c r="W72" s="13" t="n">
        <f aca="false">V72+W71+W70</f>
        <v>56.5609501502772</v>
      </c>
      <c r="X72" s="13" t="n">
        <f aca="false">W72+X71+X70</f>
        <v>61.5241203412691</v>
      </c>
      <c r="Y72" s="13" t="n">
        <f aca="false">X72+Y71+Y70</f>
        <v>66.771435518988</v>
      </c>
      <c r="Z72" s="13" t="n">
        <f aca="false">Y72+Z71+Z70</f>
        <v>72.3126624610581</v>
      </c>
      <c r="AA72" s="13" t="n">
        <f aca="false">Z72+AA71+AA70</f>
        <v>78.3230145594215</v>
      </c>
      <c r="AB72" s="13" t="n">
        <f aca="false">AA72+AB71+AB70</f>
        <v>84.2215571694431</v>
      </c>
      <c r="AC72" s="13" t="n">
        <f aca="false">AB72+AC71+AC70</f>
        <v>90.3161113192641</v>
      </c>
      <c r="AD72" s="13" t="n">
        <f aca="false">AC72+AD71+AD70</f>
        <v>96.5417996544044</v>
      </c>
      <c r="AE72" s="13" t="n">
        <f aca="false">AD72+AE71+AE70</f>
        <v>102.842832745565</v>
      </c>
      <c r="AF72" s="13" t="n">
        <f aca="false">AE72+AF71+AF70</f>
        <v>109.101252216262</v>
      </c>
      <c r="AG72" s="13" t="n">
        <f aca="false">AF72+AG71+AG70</f>
        <v>115.33694367067</v>
      </c>
      <c r="AH72" s="13" t="n">
        <f aca="false">AG72+AH71+AH70</f>
        <v>121.469774096357</v>
      </c>
      <c r="AI72" s="13" t="n">
        <f aca="false">AH72+AI71+AI70</f>
        <v>127.412582923425</v>
      </c>
      <c r="AJ72" s="13" t="n">
        <f aca="false">AI72+AJ71+AJ70</f>
        <v>133.540789942263</v>
      </c>
      <c r="AK72" s="13" t="n">
        <f aca="false">AJ72+AK71+AK70</f>
        <v>139.398917453939</v>
      </c>
      <c r="AL72" s="13" t="n">
        <f aca="false">AK72+AL71+AL70</f>
        <v>145.045293060872</v>
      </c>
      <c r="AM72" s="13" t="n">
        <f aca="false">AL72+AM71+AM70</f>
        <v>150.518669536354</v>
      </c>
      <c r="AN72" s="13" t="n">
        <f aca="false">AM72+AN71+AN70</f>
        <v>155.534556175191</v>
      </c>
      <c r="AO72" s="13" t="n">
        <f aca="false">AN72+AO71+AO70</f>
        <v>160.384250429312</v>
      </c>
      <c r="AP72" s="13" t="n">
        <f aca="false">AO72+AP71+AP70</f>
        <v>164.450514873437</v>
      </c>
      <c r="AQ72" s="13" t="n">
        <f aca="false">AP72+AQ71+AQ70</f>
        <v>169.810294757751</v>
      </c>
      <c r="AR72" s="13" t="n">
        <f aca="false">AQ72+AR71+AR70</f>
        <v>174.527210450341</v>
      </c>
      <c r="AS72" s="13" t="n">
        <f aca="false">AR72+AS71+AS70</f>
        <v>178.872311809135</v>
      </c>
      <c r="AT72" s="13" t="n">
        <f aca="false">AS72+AT71+AT70</f>
        <v>182.764361269955</v>
      </c>
      <c r="AU72" s="13" t="n">
        <f aca="false">AT72+AU71+AU70</f>
        <v>186.962302141745</v>
      </c>
      <c r="AV72" s="13" t="n">
        <f aca="false">AU72+AV71+AV70</f>
        <v>190.677188637326</v>
      </c>
      <c r="AW72" s="13" t="n">
        <f aca="false">AV72+AW71+AW70</f>
        <v>205.966490117383</v>
      </c>
      <c r="AX72" s="13" t="n">
        <f aca="false">AW72+AX71+AX70</f>
        <v>209.994053697859</v>
      </c>
      <c r="AY72" s="13" t="n">
        <f aca="false">AX72+AY71+AY70</f>
        <v>209.994053697859</v>
      </c>
      <c r="AZ72" s="13" t="n">
        <f aca="false">AY72+AZ71+AZ70</f>
        <v>209.994053697859</v>
      </c>
      <c r="BA72" s="13" t="n">
        <f aca="false">AZ72+BA71+BA70</f>
        <v>209.994053697859</v>
      </c>
      <c r="BB72" s="13" t="n">
        <f aca="false">BA72+BB71+BB70</f>
        <v>209.994053697859</v>
      </c>
      <c r="BC72" s="13" t="n">
        <f aca="false">BB72+BC71+BC70</f>
        <v>209.994053697859</v>
      </c>
      <c r="BD72" s="13" t="n">
        <f aca="false">BC72+BD71+BD70</f>
        <v>209.994053697859</v>
      </c>
      <c r="BE72" s="13" t="n">
        <f aca="false">BD72+BE71+BE70</f>
        <v>209.994053697859</v>
      </c>
      <c r="BF72" s="13" t="n">
        <f aca="false">BE72+BF71+BF70</f>
        <v>209.994053697859</v>
      </c>
      <c r="BG72" s="13" t="n">
        <f aca="false">BF72+BG71+BG70</f>
        <v>209.994053697859</v>
      </c>
      <c r="BH72" s="13" t="n">
        <f aca="false">BG72+BH71+BH70</f>
        <v>209.994053697859</v>
      </c>
      <c r="BI72" s="13" t="n">
        <f aca="false">BH72+BI71+BI70</f>
        <v>209.994053697859</v>
      </c>
      <c r="BJ72" s="13" t="n">
        <f aca="false">BI72+BJ71+BJ70</f>
        <v>209.994053697859</v>
      </c>
    </row>
    <row r="73" customFormat="false" ht="15" hidden="false" customHeight="false" outlineLevel="0" collapsed="false">
      <c r="D73" s="0" t="s">
        <v>737</v>
      </c>
      <c r="E73" s="0" t="s">
        <v>149</v>
      </c>
      <c r="G73" s="13" t="n">
        <f aca="false">SUM(J73:BJ73)</f>
        <v>643.248042045247</v>
      </c>
      <c r="J73" s="13" t="n">
        <f aca="false">J47+J55</f>
        <v>89.9736698186031</v>
      </c>
      <c r="K73" s="13" t="n">
        <f aca="false">K47+K55</f>
        <v>1.83243316281856</v>
      </c>
      <c r="L73" s="13" t="n">
        <f aca="false">L47+L55</f>
        <v>2.19102246995106</v>
      </c>
      <c r="M73" s="13" t="n">
        <f aca="false">M47+M55</f>
        <v>2.78957319680422</v>
      </c>
      <c r="N73" s="13" t="n">
        <f aca="false">N47+N55</f>
        <v>3.66240163002563</v>
      </c>
      <c r="O73" s="13" t="n">
        <f aca="false">O47+O55</f>
        <v>4.70244219379449</v>
      </c>
      <c r="P73" s="13" t="n">
        <f aca="false">P47+P55</f>
        <v>5.81597620020929</v>
      </c>
      <c r="Q73" s="13" t="n">
        <f aca="false">Q47+Q55</f>
        <v>7.16085508962391</v>
      </c>
      <c r="R73" s="13" t="n">
        <f aca="false">R47+R55</f>
        <v>8.4813159843153</v>
      </c>
      <c r="S73" s="13" t="n">
        <f aca="false">S47+S55</f>
        <v>9.87428072310837</v>
      </c>
      <c r="T73" s="13" t="n">
        <f aca="false">T47+T55</f>
        <v>11.2028202562258</v>
      </c>
      <c r="U73" s="13" t="n">
        <f aca="false">U47+U55</f>
        <v>12.5444528047293</v>
      </c>
      <c r="V73" s="13" t="n">
        <f aca="false">V47+V55</f>
        <v>13.815875480974</v>
      </c>
      <c r="W73" s="13" t="n">
        <f aca="false">W47+W55</f>
        <v>14.9773066436009</v>
      </c>
      <c r="X73" s="13" t="n">
        <f aca="false">X47+X55</f>
        <v>16.0816558572877</v>
      </c>
      <c r="Y73" s="13" t="n">
        <f aca="false">Y47+Y55</f>
        <v>17.0098170236704</v>
      </c>
      <c r="Z73" s="13" t="n">
        <f aca="false">Z47+Z55</f>
        <v>17.8503688769509</v>
      </c>
      <c r="AA73" s="13" t="n">
        <f aca="false">AA47+AA55</f>
        <v>19.364812819288</v>
      </c>
      <c r="AB73" s="13" t="n">
        <f aca="false">AB47+AB55</f>
        <v>18.9382826094414</v>
      </c>
      <c r="AC73" s="13" t="n">
        <f aca="false">AC47+AC55</f>
        <v>19.3224043160471</v>
      </c>
      <c r="AD73" s="13" t="n">
        <f aca="false">AD47+AD55</f>
        <v>19.6987433592777</v>
      </c>
      <c r="AE73" s="13" t="n">
        <f aca="false">AE47+AE55</f>
        <v>19.7044736934456</v>
      </c>
      <c r="AF73" s="13" t="n">
        <f aca="false">AF47+AF55</f>
        <v>19.4665173424982</v>
      </c>
      <c r="AG73" s="13" t="n">
        <f aca="false">AG47+AG55</f>
        <v>19.109717989436</v>
      </c>
      <c r="AH73" s="13" t="n">
        <f aca="false">AH47+AH55</f>
        <v>18.5631480390149</v>
      </c>
      <c r="AI73" s="13" t="n">
        <f aca="false">AI47+AI55</f>
        <v>17.8213376519341</v>
      </c>
      <c r="AJ73" s="13" t="n">
        <f aca="false">AJ47+AJ55</f>
        <v>18.1989827252862</v>
      </c>
      <c r="AK73" s="13" t="n">
        <f aca="false">AK47+AK55</f>
        <v>17.182845411141</v>
      </c>
      <c r="AL73" s="13" t="n">
        <f aca="false">AL47+AL55</f>
        <v>16.1345660893806</v>
      </c>
      <c r="AM73" s="13" t="n">
        <f aca="false">AM47+AM55</f>
        <v>15.3546890659612</v>
      </c>
      <c r="AN73" s="13" t="n">
        <f aca="false">AN47+AN55</f>
        <v>13.9840203908526</v>
      </c>
      <c r="AO73" s="13" t="n">
        <f aca="false">AO47+AO55</f>
        <v>12.8272077626731</v>
      </c>
      <c r="AP73" s="13" t="n">
        <f aca="false">AP47+AP55</f>
        <v>10.0410212514994</v>
      </c>
      <c r="AQ73" s="13" t="n">
        <f aca="false">AQ47+AQ55</f>
        <v>14.3906497563208</v>
      </c>
      <c r="AR73" s="13" t="n">
        <f aca="false">AR47+AR55</f>
        <v>12.1001124044365</v>
      </c>
      <c r="AS73" s="13" t="n">
        <f aca="false">AS47+AS55</f>
        <v>10.4798535543838</v>
      </c>
      <c r="AT73" s="13" t="n">
        <f aca="false">AT47+AT55</f>
        <v>8.73812832417863</v>
      </c>
      <c r="AU73" s="13" t="n">
        <f aca="false">AU47+AU55</f>
        <v>9.88732596302646</v>
      </c>
      <c r="AV73" s="13" t="n">
        <f aca="false">AV47+AV55</f>
        <v>7.87303980200778</v>
      </c>
      <c r="AW73" s="13" t="n">
        <f aca="false">AW47+AW55</f>
        <v>49.2441869611048</v>
      </c>
      <c r="AX73" s="13" t="n">
        <f aca="false">AX47+AX55</f>
        <v>14.8557073499187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738</v>
      </c>
      <c r="E74" s="0" t="s">
        <v>149</v>
      </c>
      <c r="G74" s="13" t="n">
        <f aca="false">SUM(J74:BJ74)</f>
        <v>107.91508955543</v>
      </c>
      <c r="J74" s="13" t="n">
        <f aca="false">J33+J34+J35+J36+J37+J38+J39+J40+J41+J42+J43+J48+Construction!J14*Construction!J38</f>
        <v>13.4782188023171</v>
      </c>
      <c r="K74" s="13" t="n">
        <f aca="false">K33+K34+K35+K36+K37+K38+K39+K40+K41+K42+K43+K48+Construction!K14*Construction!K38</f>
        <v>1.07722071275828</v>
      </c>
      <c r="L74" s="13" t="n">
        <f aca="false">L33+L34+L35+L36+L37+L38+L39+L40+L41+L42+L43+L48+Construction!L14*Construction!L38</f>
        <v>1.12498981846334</v>
      </c>
      <c r="M74" s="13" t="n">
        <f aca="false">M33+M34+M35+M36+M37+M38+M39+M40+M41+M42+M43+M48+Construction!M14*Construction!M38</f>
        <v>1.12748268129374</v>
      </c>
      <c r="N74" s="13" t="n">
        <f aca="false">N33+N34+N35+N36+N37+N38+N39+N40+N41+N42+N43+N48+Construction!N14*Construction!N38</f>
        <v>1.1974838473095</v>
      </c>
      <c r="O74" s="13" t="n">
        <f aca="false">O33+O34+O35+O36+O37+O38+O39+O40+O41+O42+O43+O48+Construction!O14*Construction!O38</f>
        <v>1.25623644812774</v>
      </c>
      <c r="P74" s="13" t="n">
        <f aca="false">P33+P34+P35+P36+P37+P38+P39+P40+P41+P42+P43+P48+Construction!P14*Construction!P38</f>
        <v>1.23026005328866</v>
      </c>
      <c r="Q74" s="13" t="n">
        <f aca="false">Q33+Q34+Q35+Q36+Q37+Q38+Q39+Q40+Q41+Q42+Q43+Q48+Construction!Q14*Construction!Q38</f>
        <v>1.39034561339362</v>
      </c>
      <c r="R74" s="13" t="n">
        <f aca="false">R33+R34+R35+R36+R37+R38+R39+R40+R41+R42+R43+R48+Construction!R14*Construction!R38</f>
        <v>1.44072335410795</v>
      </c>
      <c r="S74" s="13" t="n">
        <f aca="false">S33+S34+S35+S36+S37+S38+S39+S40+S41+S42+S43+S48+Construction!S14*Construction!S38</f>
        <v>1.55983755905255</v>
      </c>
      <c r="T74" s="13" t="n">
        <f aca="false">T33+T34+T35+T36+T37+T38+T39+T40+T41+T42+T43+T48+Construction!T14*Construction!T38</f>
        <v>1.6047255189296</v>
      </c>
      <c r="U74" s="13" t="n">
        <f aca="false">U33+U34+U35+U36+U37+U38+U39+U40+U41+U42+U43+U48+Construction!U14*Construction!U38</f>
        <v>1.72890770635926</v>
      </c>
      <c r="V74" s="13" t="n">
        <f aca="false">V33+V34+V35+V36+V37+V38+V39+V40+V41+V42+V43+V48+Construction!V14*Construction!V38</f>
        <v>1.83726030479835</v>
      </c>
      <c r="W74" s="13" t="n">
        <f aca="false">W33+W34+W35+W36+W37+W38+W39+W40+W41+W42+W43+W48+Construction!W14*Construction!W38</f>
        <v>1.91588296647115</v>
      </c>
      <c r="X74" s="13" t="n">
        <f aca="false">X33+X34+X35+X36+X37+X38+X39+X40+X41+X42+X43+X48+Construction!X14*Construction!X38</f>
        <v>2.063799224645</v>
      </c>
      <c r="Y74" s="13" t="n">
        <f aca="false">Y33+Y34+Y35+Y36+Y37+Y38+Y39+Y40+Y41+Y42+Y43+Y48+Construction!Y14*Construction!Y38</f>
        <v>2.14366012346893</v>
      </c>
      <c r="Z74" s="13" t="n">
        <f aca="false">Z33+Z34+Z35+Z36+Z37+Z38+Z39+Z40+Z41+Z42+Z43+Z48+Construction!Z14*Construction!Z38</f>
        <v>2.29475112645075</v>
      </c>
      <c r="AA74" s="13" t="n">
        <f aca="false">AA33+AA34+AA35+AA36+AA37+AA38+AA39+AA40+AA41+AA42+AA43+AA48+Construction!AA14*Construction!AA38</f>
        <v>2.43607646082185</v>
      </c>
      <c r="AB74" s="13" t="n">
        <f aca="false">AB33+AB34+AB35+AB36+AB37+AB38+AB39+AB40+AB41+AB42+AB43+AB48+Construction!AB14*Construction!AB38</f>
        <v>2.44345875782911</v>
      </c>
      <c r="AC74" s="13" t="n">
        <f aca="false">AC33+AC34+AC35+AC36+AC37+AC38+AC39+AC40+AC41+AC42+AC43+AC48+Construction!AC14*Construction!AC38</f>
        <v>2.63025363332373</v>
      </c>
      <c r="AD74" s="13" t="n">
        <f aca="false">AD33+AD34+AD35+AD36+AD37+AD38+AD39+AD40+AD41+AD42+AD43+AD48+Construction!AD14*Construction!AD38</f>
        <v>2.69751587962944</v>
      </c>
      <c r="AE74" s="13" t="n">
        <f aca="false">AE33+AE34+AE35+AE36+AE37+AE38+AE39+AE40+AE41+AE42+AE43+AE48+Construction!AE14*Construction!AE38</f>
        <v>2.83696530343771</v>
      </c>
      <c r="AF74" s="13" t="n">
        <f aca="false">AF33+AF34+AF35+AF36+AF37+AF38+AF39+AF40+AF41+AF42+AF43+AF48+Construction!AF14*Construction!AF38</f>
        <v>2.87980021914099</v>
      </c>
      <c r="AG74" s="13" t="n">
        <f aca="false">AG33+AG34+AG35+AG36+AG37+AG38+AG39+AG40+AG41+AG42+AG43+AG48+Construction!AG14*Construction!AG38</f>
        <v>3.00286719695726</v>
      </c>
      <c r="AH74" s="13" t="n">
        <f aca="false">AH33+AH34+AH35+AH36+AH37+AH38+AH39+AH40+AH41+AH42+AH43+AH48+Construction!AH14*Construction!AH38</f>
        <v>3.06870305225571</v>
      </c>
      <c r="AI74" s="13" t="n">
        <f aca="false">AI33+AI34+AI35+AI36+AI37+AI38+AI39+AI40+AI41+AI42+AI43+AI48+Construction!AI14*Construction!AI38</f>
        <v>3.07274166121796</v>
      </c>
      <c r="AJ74" s="13" t="n">
        <f aca="false">AJ33+AJ34+AJ35+AJ36+AJ37+AJ38+AJ39+AJ40+AJ41+AJ42+AJ43+AJ48+Construction!AJ14*Construction!AJ38</f>
        <v>3.20623928399315</v>
      </c>
      <c r="AK74" s="13" t="n">
        <f aca="false">AK33+AK34+AK35+AK36+AK37+AK38+AK39+AK40+AK41+AK42+AK43+AK48+Construction!AK14*Construction!AK38</f>
        <v>3.18868576477991</v>
      </c>
      <c r="AL74" s="13" t="n">
        <f aca="false">AL33+AL34+AL35+AL36+AL37+AL38+AL39+AL40+AL41+AL42+AL43+AL48+Construction!AL14*Construction!AL38</f>
        <v>3.26804052205303</v>
      </c>
      <c r="AM74" s="13" t="n">
        <f aca="false">AM33+AM34+AM35+AM36+AM37+AM38+AM39+AM40+AM41+AM42+AM43+AM48+Construction!AM14*Construction!AM38</f>
        <v>3.29024197262075</v>
      </c>
      <c r="AN74" s="13" t="n">
        <f aca="false">AN33+AN34+AN35+AN36+AN37+AN38+AN39+AN40+AN41+AN42+AN43+AN48+Construction!AN14*Construction!AN38</f>
        <v>3.12524917073955</v>
      </c>
      <c r="AO74" s="13" t="n">
        <f aca="false">AO33+AO34+AO35+AO36+AO37+AO38+AO39+AO40+AO41+AO42+AO43+AO48+Construction!AO14*Construction!AO38</f>
        <v>3.29635732014694</v>
      </c>
      <c r="AP74" s="13" t="n">
        <f aca="false">AP33+AP34+AP35+AP36+AP37+AP38+AP39+AP40+AP41+AP42+AP43+AP48+Construction!AP14*Construction!AP38</f>
        <v>3.18378228632208</v>
      </c>
      <c r="AQ74" s="13" t="n">
        <f aca="false">AQ33+AQ34+AQ35+AQ36+AQ37+AQ38+AQ39+AQ40+AQ41+AQ42+AQ43+AQ48+Construction!AQ14*Construction!AQ38</f>
        <v>3.47656056315761</v>
      </c>
      <c r="AR74" s="13" t="n">
        <f aca="false">AR33+AR34+AR35+AR36+AR37+AR38+AR39+AR40+AR41+AR42+AR43+AR48+Construction!AR14*Construction!AR38</f>
        <v>3.43023088020535</v>
      </c>
      <c r="AS74" s="13" t="n">
        <f aca="false">AS33+AS34+AS35+AS36+AS37+AS38+AS39+AS40+AS41+AS42+AS43+AS48+Construction!AS14*Construction!AS38</f>
        <v>2.2880715696734</v>
      </c>
      <c r="AT74" s="13" t="n">
        <f aca="false">AT33+AT34+AT35+AT36+AT37+AT38+AT39+AT40+AT41+AT42+AT43+AT48+Construction!AT14*Construction!AT38</f>
        <v>2.25241548024919</v>
      </c>
      <c r="AU74" s="13" t="n">
        <f aca="false">AU33+AU34+AU35+AU36+AU37+AU38+AU39+AU40+AU41+AU42+AU43+AU48+Construction!AU14*Construction!AU38</f>
        <v>2.24328645353917</v>
      </c>
      <c r="AV74" s="13" t="n">
        <f aca="false">AV33+AV34+AV35+AV36+AV37+AV38+AV39+AV40+AV41+AV42+AV43+AV48+Construction!AV14*Construction!AV38</f>
        <v>2.26078529572198</v>
      </c>
      <c r="AW74" s="13" t="n">
        <f aca="false">AW33+AW34+AW35+AW36+AW37+AW38+AW39+AW40+AW41+AW42+AW43+AW48+Construction!AW14*Construction!AW38</f>
        <v>3.55802688960734</v>
      </c>
      <c r="AX74" s="13" t="n">
        <f aca="false">AX33+AX34+AX35+AX36+AX37+AX38+AX39+AX40+AX41+AX42+AX43+AX48+Construction!AX14*Construction!AX38</f>
        <v>2.30694807677104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739</v>
      </c>
      <c r="E75" s="0" t="s">
        <v>149</v>
      </c>
      <c r="F75" s="17" t="n">
        <f aca="false">SUM(Funding!$J$49:$BJ$49)</f>
        <v>885.632198463457</v>
      </c>
    </row>
    <row r="76" customFormat="false" ht="15" hidden="false" customHeight="false" outlineLevel="0" collapsed="false">
      <c r="D76" s="0" t="s">
        <v>740</v>
      </c>
      <c r="E76" s="0" t="s">
        <v>149</v>
      </c>
      <c r="F76" s="17" t="n">
        <f aca="false">SUM(Funding!$J$49:$BJ$49)-SUM(Funding!$J$44:$BJ$44)-SUM(Construction!$J$28:$BJ$28)+SUM(Funding!$J$71:$BJ$71)-SUM(Funding!$J$52:$BJ$52)-Inputs!$F$48*Inputs!$F$267</f>
        <v>839.637073278006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742</v>
      </c>
    </row>
    <row r="8" customFormat="false" ht="15" hidden="false" customHeight="false" outlineLevel="0" collapsed="false">
      <c r="D8" s="0" t="s">
        <v>743</v>
      </c>
      <c r="E8" s="0" t="s">
        <v>103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744</v>
      </c>
      <c r="E9" s="0" t="s">
        <v>103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0.5</v>
      </c>
      <c r="U9" s="13" t="n">
        <f aca="false">Time!U44*Inputs!$F$269</f>
        <v>0.5</v>
      </c>
      <c r="V9" s="13" t="n">
        <f aca="false">Time!V44*Inputs!$F$269</f>
        <v>0.5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745</v>
      </c>
      <c r="E10" s="0" t="s">
        <v>99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0.0212172222222222</v>
      </c>
      <c r="L10" s="16" t="n">
        <f aca="false">(Operations!L9+Inputs!$F$79+L9)/100*Time!L25/Inputs!$F$247</f>
        <v>0.0181444444444444</v>
      </c>
      <c r="M10" s="16" t="n">
        <f aca="false">(Operations!M9+Inputs!$F$79+M9)/100*Time!M25/Inputs!$F$247</f>
        <v>0.0164811111111111</v>
      </c>
      <c r="N10" s="16" t="n">
        <f aca="false">(Operations!N9+Inputs!$F$79+N9)/100*Time!N25/Inputs!$F$247</f>
        <v>0.00879111111111111</v>
      </c>
      <c r="O10" s="16" t="n">
        <f aca="false">(Operations!O9+Inputs!$F$79+O9)/100*Time!O25/Inputs!$F$247</f>
        <v>0.00804444444444444</v>
      </c>
      <c r="P10" s="16" t="n">
        <f aca="false">(Operations!P9+Inputs!$F$79+P9)/100*Time!P25/Inputs!$F$247</f>
        <v>0.00771777777777778</v>
      </c>
      <c r="Q10" s="16" t="n">
        <f aca="false">(Operations!Q9+Inputs!$F$79+Q9)/100*Time!Q25/Inputs!$F$247</f>
        <v>0.00849694444444445</v>
      </c>
      <c r="R10" s="16" t="n">
        <f aca="false">(Operations!R9+Inputs!$F$79+R9)/100*Time!R25/Inputs!$F$247</f>
        <v>0.0219266666666667</v>
      </c>
      <c r="S10" s="16" t="n">
        <f aca="false">(Operations!S9+Inputs!$F$79+S9)/100*Time!S25/Inputs!$F$247</f>
        <v>0.0333756961111111</v>
      </c>
      <c r="T10" s="16" t="n">
        <f aca="false">(Operations!T9+Inputs!$F$79+T9)/100*Time!T25/Inputs!$F$247</f>
        <v>0.0396022177777778</v>
      </c>
      <c r="U10" s="16" t="n">
        <f aca="false">(Operations!U9+Inputs!$F$79+U9)/100*Time!U25/Inputs!$F$247</f>
        <v>0.0376045366666667</v>
      </c>
      <c r="V10" s="16" t="n">
        <f aca="false">(Operations!V9+Inputs!$F$79+V9)/100*Time!V25/Inputs!$F$247</f>
        <v>0.03832444</v>
      </c>
      <c r="W10" s="16" t="n">
        <f aca="false">(Operations!W9+Inputs!$F$79+W9)/100*Time!W25/Inputs!$F$247</f>
        <v>0.0303087516666667</v>
      </c>
      <c r="X10" s="16" t="n">
        <f aca="false">(Operations!X9+Inputs!$F$79+X9)/100*Time!X25/Inputs!$F$247</f>
        <v>0.0304022177777778</v>
      </c>
      <c r="Y10" s="16" t="n">
        <f aca="false">(Operations!Y9+Inputs!$F$79+Y9)/100*Time!Y25/Inputs!$F$247</f>
        <v>0.0271412516666667</v>
      </c>
      <c r="Z10" s="16" t="n">
        <f aca="false">(Operations!Z9+Inputs!$F$79+Z9)/100*Time!Z25/Inputs!$F$247</f>
        <v>0.0273866622222222</v>
      </c>
      <c r="AA10" s="16" t="n">
        <f aca="false">(Operations!AA9+Inputs!$F$79+AA9)/100*Time!AA25/Inputs!$F$247</f>
        <v>0.0262865294444444</v>
      </c>
      <c r="AB10" s="16" t="n">
        <f aca="false">(Operations!AB9+Inputs!$F$79+AB9)/100*Time!AB25/Inputs!$F$247</f>
        <v>0.0267222177777778</v>
      </c>
      <c r="AC10" s="16" t="n">
        <f aca="false">(Operations!AC9+Inputs!$F$79+AC9)/100*Time!AC25/Inputs!$F$247</f>
        <v>0.0266845366666667</v>
      </c>
      <c r="AD10" s="16" t="n">
        <f aca="false">(Operations!AD9+Inputs!$F$79+AD9)/100*Time!AD25/Inputs!$F$247</f>
        <v>0.0269777733333333</v>
      </c>
      <c r="AE10" s="16" t="n">
        <f aca="false">(Operations!AE9+Inputs!$F$79+AE9)/100*Time!AE25/Inputs!$F$247</f>
        <v>0.0265379183333333</v>
      </c>
      <c r="AF10" s="16" t="n">
        <f aca="false">(Operations!AF9+Inputs!$F$79+AF9)/100*Time!AF25/Inputs!$F$247</f>
        <v>0.0269777733333333</v>
      </c>
      <c r="AG10" s="16" t="n">
        <f aca="false">(Operations!AG9+Inputs!$F$79+AG9)/100*Time!AG25/Inputs!$F$247</f>
        <v>0.0265379183333333</v>
      </c>
      <c r="AH10" s="16" t="n">
        <f aca="false">(Operations!AH9+Inputs!$F$79+AH9)/100*Time!AH25/Inputs!$F$247</f>
        <v>0.0269777733333333</v>
      </c>
      <c r="AI10" s="16" t="n">
        <f aca="false">(Operations!AI9+Inputs!$F$79+AI9)/100*Time!AI25/Inputs!$F$247</f>
        <v>0.0265379183333333</v>
      </c>
      <c r="AJ10" s="16" t="n">
        <f aca="false">(Operations!AJ9+Inputs!$F$79+AJ9)/100*Time!AJ25/Inputs!$F$247</f>
        <v>0.0269777733333333</v>
      </c>
      <c r="AK10" s="16" t="n">
        <f aca="false">(Operations!AK9+Inputs!$F$79+AK9)/100*Time!AK25/Inputs!$F$247</f>
        <v>0.0266845366666667</v>
      </c>
      <c r="AL10" s="16" t="n">
        <f aca="false">(Operations!AL9+Inputs!$F$79+AL9)/100*Time!AL25/Inputs!$F$247</f>
        <v>0.0269777733333333</v>
      </c>
      <c r="AM10" s="16" t="n">
        <f aca="false">(Operations!AM9+Inputs!$F$79+AM9)/100*Time!AM25/Inputs!$F$247</f>
        <v>0.0265379183333333</v>
      </c>
      <c r="AN10" s="16" t="n">
        <f aca="false">(Operations!AN9+Inputs!$F$79+AN9)/100*Time!AN25/Inputs!$F$247</f>
        <v>0.0269777733333333</v>
      </c>
      <c r="AO10" s="16" t="n">
        <f aca="false">(Operations!AO9+Inputs!$F$79+AO9)/100*Time!AO25/Inputs!$F$247</f>
        <v>0.0265379183333333</v>
      </c>
      <c r="AP10" s="16" t="n">
        <f aca="false">(Operations!AP9+Inputs!$F$79+AP9)/100*Time!AP25/Inputs!$F$247</f>
        <v>0.0269777733333333</v>
      </c>
      <c r="AQ10" s="16" t="n">
        <f aca="false">(Operations!AQ9+Inputs!$F$79+AQ9)/100*Time!AQ25/Inputs!$F$247</f>
        <v>0.0265379183333333</v>
      </c>
      <c r="AR10" s="16" t="n">
        <f aca="false">(Operations!AR9+Inputs!$F$79+AR9)/100*Time!AR25/Inputs!$F$247</f>
        <v>0.0269777733333333</v>
      </c>
      <c r="AS10" s="16" t="n">
        <f aca="false">(Operations!AS9+Inputs!$F$79+AS9)/100*Time!AS25/Inputs!$F$247</f>
        <v>0.0266845366666667</v>
      </c>
      <c r="AT10" s="16" t="n">
        <f aca="false">(Operations!AT9+Inputs!$F$79+AT9)/100*Time!AT25/Inputs!$F$247</f>
        <v>0.0269777733333333</v>
      </c>
      <c r="AU10" s="16" t="n">
        <f aca="false">(Operations!AU9+Inputs!$F$79+AU9)/100*Time!AU25/Inputs!$F$247</f>
        <v>0.0265379183333333</v>
      </c>
      <c r="AV10" s="16" t="n">
        <f aca="false">(Operations!AV9+Inputs!$F$79+AV9)/100*Time!AV25/Inputs!$F$247</f>
        <v>0.0269777733333333</v>
      </c>
      <c r="AW10" s="16" t="n">
        <f aca="false">(Operations!AW9+Inputs!$F$79+AW9)/100*Time!AW25/Inputs!$F$247</f>
        <v>0.0265379183333333</v>
      </c>
      <c r="AX10" s="16" t="n">
        <f aca="false">(Operations!AX9+Inputs!$F$79+AX9)/100*Time!AX25/Inputs!$F$247</f>
        <v>0.0269777733333333</v>
      </c>
      <c r="AY10" s="16" t="n">
        <f aca="false">(Operations!AY9+Inputs!$F$79+AY9)/100*Time!AY25/Inputs!$F$247</f>
        <v>0.0265379183333333</v>
      </c>
      <c r="AZ10" s="16" t="n">
        <f aca="false">(Operations!AZ9+Inputs!$F$79+AZ9)/100*Time!AZ25/Inputs!$F$247</f>
        <v>0.0269777733333333</v>
      </c>
      <c r="BA10" s="16" t="n">
        <f aca="false">(Operations!BA9+Inputs!$F$79+BA9)/100*Time!BA25/Inputs!$F$247</f>
        <v>0.0266845366666667</v>
      </c>
      <c r="BB10" s="16" t="n">
        <f aca="false">(Operations!BB9+Inputs!$F$79+BB9)/100*Time!BB25/Inputs!$F$247</f>
        <v>0.0269777733333333</v>
      </c>
      <c r="BC10" s="16" t="n">
        <f aca="false">(Operations!BC9+Inputs!$F$79+BC9)/100*Time!BC25/Inputs!$F$247</f>
        <v>0.0265379183333333</v>
      </c>
      <c r="BD10" s="16" t="n">
        <f aca="false">(Operations!BD9+Inputs!$F$79+BD9)/100*Time!BD25/Inputs!$F$247</f>
        <v>0.0269777733333333</v>
      </c>
      <c r="BE10" s="16" t="n">
        <f aca="false">(Operations!BE9+Inputs!$F$79+BE9)/100*Time!BE25/Inputs!$F$247</f>
        <v>0.0265379183333333</v>
      </c>
      <c r="BF10" s="16" t="n">
        <f aca="false">(Operations!BF9+Inputs!$F$79+BF9)/100*Time!BF25/Inputs!$F$247</f>
        <v>0.0269777733333333</v>
      </c>
      <c r="BG10" s="16" t="n">
        <f aca="false">(Operations!BG9+Inputs!$F$79+BG9)/100*Time!BG25/Inputs!$F$247</f>
        <v>0.0265379183333333</v>
      </c>
      <c r="BH10" s="16" t="n">
        <f aca="false">(Operations!BH9+Inputs!$F$79+BH9)/100*Time!BH25/Inputs!$F$247</f>
        <v>0.0269777733333333</v>
      </c>
      <c r="BI10" s="16" t="n">
        <f aca="false">(Operations!BI9+Inputs!$F$79+BI9)/100*Time!BI25/Inputs!$F$247</f>
        <v>0.0266845366666667</v>
      </c>
      <c r="BJ10" s="16" t="n">
        <f aca="false">(Operations!BJ9+Inputs!$F$79+BJ9)/100*Time!BJ25/Inputs!$F$247</f>
        <v>0.0269777733333333</v>
      </c>
      <c r="BK10" s="16" t="n">
        <f aca="false">(Operations!BK9+Inputs!$F$79+BK9)/100*Time!BK25/Inputs!$F$247</f>
        <v>0.0265379183333333</v>
      </c>
      <c r="BL10" s="16" t="n">
        <f aca="false">(Operations!BL9+Inputs!$F$79+BL9)/100*Time!BL25/Inputs!$F$247</f>
        <v>0.0269777733333333</v>
      </c>
      <c r="BM10" s="16" t="n">
        <f aca="false">(Operations!BM9+Inputs!$F$79+BM9)/100*Time!BM25/Inputs!$F$247</f>
        <v>0.0265379183333333</v>
      </c>
      <c r="BN10" s="16" t="n">
        <f aca="false">(Operations!BN9+Inputs!$F$79+BN9)/100*Time!BN25/Inputs!$F$247</f>
        <v>0.0269777733333333</v>
      </c>
    </row>
    <row r="11" customFormat="false" ht="15" hidden="false" customHeight="false" outlineLevel="0" collapsed="false">
      <c r="D11" s="0" t="s">
        <v>746</v>
      </c>
      <c r="E11" s="0" t="s">
        <v>99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0.0327811111111111</v>
      </c>
      <c r="L11" s="16" t="n">
        <f aca="false">(Operations!L9+Inputs!$F$80+L9)/100*Time!L25/Inputs!$F$247</f>
        <v>0.0299</v>
      </c>
      <c r="M11" s="16" t="n">
        <f aca="false">(Operations!M9+Inputs!$F$80+M9)/100*Time!M25/Inputs!$F$247</f>
        <v>0.0281088888888889</v>
      </c>
      <c r="N11" s="16" t="n">
        <f aca="false">(Operations!N9+Inputs!$F$80+N9)/100*Time!N25/Inputs!$F$247</f>
        <v>0.0205466666666667</v>
      </c>
      <c r="O11" s="16" t="n">
        <f aca="false">(Operations!O9+Inputs!$F$80+O9)/100*Time!O25/Inputs!$F$247</f>
        <v>0.0196083333333333</v>
      </c>
      <c r="P11" s="16" t="n">
        <f aca="false">(Operations!P9+Inputs!$F$80+P9)/100*Time!P25/Inputs!$F$247</f>
        <v>0.0194733333333333</v>
      </c>
      <c r="Q11" s="16" t="n">
        <f aca="false">(Operations!Q9+Inputs!$F$80+Q9)/100*Time!Q25/Inputs!$F$247</f>
        <v>0.0200608333333333</v>
      </c>
      <c r="R11" s="16" t="n">
        <f aca="false">(Operations!R9+Inputs!$F$80+R9)/100*Time!R25/Inputs!$F$247</f>
        <v>0.0336822222222222</v>
      </c>
      <c r="S11" s="16" t="n">
        <f aca="false">(Operations!S9+Inputs!$F$80+S9)/100*Time!S25/Inputs!$F$247</f>
        <v>0.044939585</v>
      </c>
      <c r="T11" s="16" t="n">
        <f aca="false">(Operations!T9+Inputs!$F$80+T9)/100*Time!T25/Inputs!$F$247</f>
        <v>0.0513577733333333</v>
      </c>
      <c r="U11" s="16" t="n">
        <f aca="false">(Operations!U9+Inputs!$F$80+U9)/100*Time!U25/Inputs!$F$247</f>
        <v>0.0492323144444444</v>
      </c>
      <c r="V11" s="16" t="n">
        <f aca="false">(Operations!V9+Inputs!$F$80+V9)/100*Time!V25/Inputs!$F$247</f>
        <v>0.0500799955555556</v>
      </c>
      <c r="W11" s="16" t="n">
        <f aca="false">(Operations!W9+Inputs!$F$80+W9)/100*Time!W25/Inputs!$F$247</f>
        <v>0.0418726405555556</v>
      </c>
      <c r="X11" s="16" t="n">
        <f aca="false">(Operations!X9+Inputs!$F$80+X9)/100*Time!X25/Inputs!$F$247</f>
        <v>0.0421577733333333</v>
      </c>
      <c r="Y11" s="16" t="n">
        <f aca="false">(Operations!Y9+Inputs!$F$80+Y9)/100*Time!Y25/Inputs!$F$247</f>
        <v>0.0387051405555556</v>
      </c>
      <c r="Z11" s="16" t="n">
        <f aca="false">(Operations!Z9+Inputs!$F$80+Z9)/100*Time!Z25/Inputs!$F$247</f>
        <v>0.0391422177777778</v>
      </c>
      <c r="AA11" s="16" t="n">
        <f aca="false">(Operations!AA9+Inputs!$F$80+AA9)/100*Time!AA25/Inputs!$F$247</f>
        <v>0.0378504183333333</v>
      </c>
      <c r="AB11" s="16" t="n">
        <f aca="false">(Operations!AB9+Inputs!$F$80+AB9)/100*Time!AB25/Inputs!$F$247</f>
        <v>0.0384777733333333</v>
      </c>
      <c r="AC11" s="16" t="n">
        <f aca="false">(Operations!AC9+Inputs!$F$80+AC9)/100*Time!AC25/Inputs!$F$247</f>
        <v>0.0383123144444445</v>
      </c>
      <c r="AD11" s="16" t="n">
        <f aca="false">(Operations!AD9+Inputs!$F$80+AD9)/100*Time!AD25/Inputs!$F$247</f>
        <v>0.0387333288888889</v>
      </c>
      <c r="AE11" s="16" t="n">
        <f aca="false">(Operations!AE9+Inputs!$F$80+AE9)/100*Time!AE25/Inputs!$F$247</f>
        <v>0.0381018072222222</v>
      </c>
      <c r="AF11" s="16" t="n">
        <f aca="false">(Operations!AF9+Inputs!$F$80+AF9)/100*Time!AF25/Inputs!$F$247</f>
        <v>0.0387333288888889</v>
      </c>
      <c r="AG11" s="16" t="n">
        <f aca="false">(Operations!AG9+Inputs!$F$80+AG9)/100*Time!AG25/Inputs!$F$247</f>
        <v>0.0381018072222222</v>
      </c>
      <c r="AH11" s="16" t="n">
        <f aca="false">(Operations!AH9+Inputs!$F$80+AH9)/100*Time!AH25/Inputs!$F$247</f>
        <v>0.0387333288888889</v>
      </c>
      <c r="AI11" s="16" t="n">
        <f aca="false">(Operations!AI9+Inputs!$F$80+AI9)/100*Time!AI25/Inputs!$F$247</f>
        <v>0.0381018072222222</v>
      </c>
      <c r="AJ11" s="16" t="n">
        <f aca="false">(Operations!AJ9+Inputs!$F$80+AJ9)/100*Time!AJ25/Inputs!$F$247</f>
        <v>0.0387333288888889</v>
      </c>
      <c r="AK11" s="16" t="n">
        <f aca="false">(Operations!AK9+Inputs!$F$80+AK9)/100*Time!AK25/Inputs!$F$247</f>
        <v>0.0383123144444445</v>
      </c>
      <c r="AL11" s="16" t="n">
        <f aca="false">(Operations!AL9+Inputs!$F$80+AL9)/100*Time!AL25/Inputs!$F$247</f>
        <v>0.0387333288888889</v>
      </c>
      <c r="AM11" s="16" t="n">
        <f aca="false">(Operations!AM9+Inputs!$F$80+AM9)/100*Time!AM25/Inputs!$F$247</f>
        <v>0.0381018072222222</v>
      </c>
      <c r="AN11" s="16" t="n">
        <f aca="false">(Operations!AN9+Inputs!$F$80+AN9)/100*Time!AN25/Inputs!$F$247</f>
        <v>0.0387333288888889</v>
      </c>
      <c r="AO11" s="16" t="n">
        <f aca="false">(Operations!AO9+Inputs!$F$80+AO9)/100*Time!AO25/Inputs!$F$247</f>
        <v>0.0381018072222222</v>
      </c>
      <c r="AP11" s="16" t="n">
        <f aca="false">(Operations!AP9+Inputs!$F$80+AP9)/100*Time!AP25/Inputs!$F$247</f>
        <v>0.0387333288888889</v>
      </c>
      <c r="AQ11" s="16" t="n">
        <f aca="false">(Operations!AQ9+Inputs!$F$80+AQ9)/100*Time!AQ25/Inputs!$F$247</f>
        <v>0.0381018072222222</v>
      </c>
      <c r="AR11" s="16" t="n">
        <f aca="false">(Operations!AR9+Inputs!$F$80+AR9)/100*Time!AR25/Inputs!$F$247</f>
        <v>0.0387333288888889</v>
      </c>
      <c r="AS11" s="16" t="n">
        <f aca="false">(Operations!AS9+Inputs!$F$80+AS9)/100*Time!AS25/Inputs!$F$247</f>
        <v>0.0383123144444445</v>
      </c>
      <c r="AT11" s="16" t="n">
        <f aca="false">(Operations!AT9+Inputs!$F$80+AT9)/100*Time!AT25/Inputs!$F$247</f>
        <v>0.0387333288888889</v>
      </c>
      <c r="AU11" s="16" t="n">
        <f aca="false">(Operations!AU9+Inputs!$F$80+AU9)/100*Time!AU25/Inputs!$F$247</f>
        <v>0.0381018072222222</v>
      </c>
      <c r="AV11" s="16" t="n">
        <f aca="false">(Operations!AV9+Inputs!$F$80+AV9)/100*Time!AV25/Inputs!$F$247</f>
        <v>0.0387333288888889</v>
      </c>
      <c r="AW11" s="16" t="n">
        <f aca="false">(Operations!AW9+Inputs!$F$80+AW9)/100*Time!AW25/Inputs!$F$247</f>
        <v>0.0381018072222222</v>
      </c>
      <c r="AX11" s="16" t="n">
        <f aca="false">(Operations!AX9+Inputs!$F$80+AX9)/100*Time!AX25/Inputs!$F$247</f>
        <v>0.0387333288888889</v>
      </c>
      <c r="AY11" s="16" t="n">
        <f aca="false">(Operations!AY9+Inputs!$F$80+AY9)/100*Time!AY25/Inputs!$F$247</f>
        <v>0.0381018072222222</v>
      </c>
      <c r="AZ11" s="16" t="n">
        <f aca="false">(Operations!AZ9+Inputs!$F$80+AZ9)/100*Time!AZ25/Inputs!$F$247</f>
        <v>0.0387333288888889</v>
      </c>
      <c r="BA11" s="16" t="n">
        <f aca="false">(Operations!BA9+Inputs!$F$80+BA9)/100*Time!BA25/Inputs!$F$247</f>
        <v>0.0383123144444445</v>
      </c>
      <c r="BB11" s="16" t="n">
        <f aca="false">(Operations!BB9+Inputs!$F$80+BB9)/100*Time!BB25/Inputs!$F$247</f>
        <v>0.0387333288888889</v>
      </c>
      <c r="BC11" s="16" t="n">
        <f aca="false">(Operations!BC9+Inputs!$F$80+BC9)/100*Time!BC25/Inputs!$F$247</f>
        <v>0.0381018072222222</v>
      </c>
      <c r="BD11" s="16" t="n">
        <f aca="false">(Operations!BD9+Inputs!$F$80+BD9)/100*Time!BD25/Inputs!$F$247</f>
        <v>0.0387333288888889</v>
      </c>
      <c r="BE11" s="16" t="n">
        <f aca="false">(Operations!BE9+Inputs!$F$80+BE9)/100*Time!BE25/Inputs!$F$247</f>
        <v>0.0381018072222222</v>
      </c>
      <c r="BF11" s="16" t="n">
        <f aca="false">(Operations!BF9+Inputs!$F$80+BF9)/100*Time!BF25/Inputs!$F$247</f>
        <v>0.0387333288888889</v>
      </c>
      <c r="BG11" s="16" t="n">
        <f aca="false">(Operations!BG9+Inputs!$F$80+BG9)/100*Time!BG25/Inputs!$F$247</f>
        <v>0.0381018072222222</v>
      </c>
      <c r="BH11" s="16" t="n">
        <f aca="false">(Operations!BH9+Inputs!$F$80+BH9)/100*Time!BH25/Inputs!$F$247</f>
        <v>0.0387333288888889</v>
      </c>
      <c r="BI11" s="16" t="n">
        <f aca="false">(Operations!BI9+Inputs!$F$80+BI9)/100*Time!BI25/Inputs!$F$247</f>
        <v>0.0383123144444445</v>
      </c>
      <c r="BJ11" s="16" t="n">
        <f aca="false">(Operations!BJ9+Inputs!$F$80+BJ9)/100*Time!BJ25/Inputs!$F$247</f>
        <v>0.0387333288888889</v>
      </c>
      <c r="BK11" s="16" t="n">
        <f aca="false">(Operations!BK9+Inputs!$F$80+BK9)/100*Time!BK25/Inputs!$F$247</f>
        <v>0.0381018072222222</v>
      </c>
      <c r="BL11" s="16" t="n">
        <f aca="false">(Operations!BL9+Inputs!$F$80+BL9)/100*Time!BL25/Inputs!$F$247</f>
        <v>0.0387333288888889</v>
      </c>
      <c r="BM11" s="16" t="n">
        <f aca="false">(Operations!BM9+Inputs!$F$80+BM9)/100*Time!BM25/Inputs!$F$247</f>
        <v>0.0381018072222222</v>
      </c>
      <c r="BN11" s="16" t="n">
        <f aca="false">(Operations!BN9+Inputs!$F$80+BN9)/100*Time!BN25/Inputs!$F$247</f>
        <v>0.0387333288888889</v>
      </c>
    </row>
    <row r="12" customFormat="false" ht="15" hidden="false" customHeight="false" outlineLevel="0" collapsed="false">
      <c r="D12" s="0" t="s">
        <v>747</v>
      </c>
      <c r="E12" s="0" t="s">
        <v>99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0.0315241666666667</v>
      </c>
      <c r="L12" s="16" t="n">
        <f aca="false">(Operations!L9+Inputs!$F$81+L9)/100*Time!L25/Inputs!$F$247</f>
        <v>0.0286222222222222</v>
      </c>
      <c r="M12" s="16" t="n">
        <f aca="false">(Operations!M9+Inputs!$F$81+M9)/100*Time!M25/Inputs!$F$247</f>
        <v>0.026845</v>
      </c>
      <c r="N12" s="16" t="n">
        <f aca="false">(Operations!N9+Inputs!$F$81+N9)/100*Time!N25/Inputs!$F$247</f>
        <v>0.0192688888888889</v>
      </c>
      <c r="O12" s="16" t="n">
        <f aca="false">(Operations!O9+Inputs!$F$81+O9)/100*Time!O25/Inputs!$F$247</f>
        <v>0.0183513888888889</v>
      </c>
      <c r="P12" s="16" t="n">
        <f aca="false">(Operations!P9+Inputs!$F$81+P9)/100*Time!P25/Inputs!$F$247</f>
        <v>0.0181955555555556</v>
      </c>
      <c r="Q12" s="16" t="n">
        <f aca="false">(Operations!Q9+Inputs!$F$81+Q9)/100*Time!Q25/Inputs!$F$247</f>
        <v>0.0188038888888889</v>
      </c>
      <c r="R12" s="16" t="n">
        <f aca="false">(Operations!R9+Inputs!$F$81+R9)/100*Time!R25/Inputs!$F$247</f>
        <v>0.0324044444444444</v>
      </c>
      <c r="S12" s="16" t="n">
        <f aca="false">(Operations!S9+Inputs!$F$81+S9)/100*Time!S25/Inputs!$F$247</f>
        <v>0.0436826405555556</v>
      </c>
      <c r="T12" s="16" t="n">
        <f aca="false">(Operations!T9+Inputs!$F$81+T9)/100*Time!T25/Inputs!$F$247</f>
        <v>0.0500799955555556</v>
      </c>
      <c r="U12" s="16" t="n">
        <f aca="false">(Operations!U9+Inputs!$F$81+U9)/100*Time!U25/Inputs!$F$247</f>
        <v>0.0479684255555556</v>
      </c>
      <c r="V12" s="16" t="n">
        <f aca="false">(Operations!V9+Inputs!$F$81+V9)/100*Time!V25/Inputs!$F$247</f>
        <v>0.0488022177777778</v>
      </c>
      <c r="W12" s="16" t="n">
        <f aca="false">(Operations!W9+Inputs!$F$81+W9)/100*Time!W25/Inputs!$F$247</f>
        <v>0.0406156961111111</v>
      </c>
      <c r="X12" s="16" t="n">
        <f aca="false">(Operations!X9+Inputs!$F$81+X9)/100*Time!X25/Inputs!$F$247</f>
        <v>0.0408799955555556</v>
      </c>
      <c r="Y12" s="16" t="n">
        <f aca="false">(Operations!Y9+Inputs!$F$81+Y9)/100*Time!Y25/Inputs!$F$247</f>
        <v>0.0374481961111111</v>
      </c>
      <c r="Z12" s="16" t="n">
        <f aca="false">(Operations!Z9+Inputs!$F$81+Z9)/100*Time!Z25/Inputs!$F$247</f>
        <v>0.03786444</v>
      </c>
      <c r="AA12" s="16" t="n">
        <f aca="false">(Operations!AA9+Inputs!$F$81+AA9)/100*Time!AA25/Inputs!$F$247</f>
        <v>0.0365934738888889</v>
      </c>
      <c r="AB12" s="16" t="n">
        <f aca="false">(Operations!AB9+Inputs!$F$81+AB9)/100*Time!AB25/Inputs!$F$247</f>
        <v>0.0371999955555556</v>
      </c>
      <c r="AC12" s="16" t="n">
        <f aca="false">(Operations!AC9+Inputs!$F$81+AC9)/100*Time!AC25/Inputs!$F$247</f>
        <v>0.0370484255555556</v>
      </c>
      <c r="AD12" s="16" t="n">
        <f aca="false">(Operations!AD9+Inputs!$F$81+AD9)/100*Time!AD25/Inputs!$F$247</f>
        <v>0.0374555511111111</v>
      </c>
      <c r="AE12" s="16" t="n">
        <f aca="false">(Operations!AE9+Inputs!$F$81+AE9)/100*Time!AE25/Inputs!$F$247</f>
        <v>0.0368448627777778</v>
      </c>
      <c r="AF12" s="16" t="n">
        <f aca="false">(Operations!AF9+Inputs!$F$81+AF9)/100*Time!AF25/Inputs!$F$247</f>
        <v>0.0374555511111111</v>
      </c>
      <c r="AG12" s="16" t="n">
        <f aca="false">(Operations!AG9+Inputs!$F$81+AG9)/100*Time!AG25/Inputs!$F$247</f>
        <v>0.0368448627777778</v>
      </c>
      <c r="AH12" s="16" t="n">
        <f aca="false">(Operations!AH9+Inputs!$F$81+AH9)/100*Time!AH25/Inputs!$F$247</f>
        <v>0.0374555511111111</v>
      </c>
      <c r="AI12" s="16" t="n">
        <f aca="false">(Operations!AI9+Inputs!$F$81+AI9)/100*Time!AI25/Inputs!$F$247</f>
        <v>0.0368448627777778</v>
      </c>
      <c r="AJ12" s="16" t="n">
        <f aca="false">(Operations!AJ9+Inputs!$F$81+AJ9)/100*Time!AJ25/Inputs!$F$247</f>
        <v>0.0374555511111111</v>
      </c>
      <c r="AK12" s="16" t="n">
        <f aca="false">(Operations!AK9+Inputs!$F$81+AK9)/100*Time!AK25/Inputs!$F$247</f>
        <v>0.0370484255555556</v>
      </c>
      <c r="AL12" s="16" t="n">
        <f aca="false">(Operations!AL9+Inputs!$F$81+AL9)/100*Time!AL25/Inputs!$F$247</f>
        <v>0.0374555511111111</v>
      </c>
      <c r="AM12" s="16" t="n">
        <f aca="false">(Operations!AM9+Inputs!$F$81+AM9)/100*Time!AM25/Inputs!$F$247</f>
        <v>0.0368448627777778</v>
      </c>
      <c r="AN12" s="16" t="n">
        <f aca="false">(Operations!AN9+Inputs!$F$81+AN9)/100*Time!AN25/Inputs!$F$247</f>
        <v>0.0374555511111111</v>
      </c>
      <c r="AO12" s="16" t="n">
        <f aca="false">(Operations!AO9+Inputs!$F$81+AO9)/100*Time!AO25/Inputs!$F$247</f>
        <v>0.0368448627777778</v>
      </c>
      <c r="AP12" s="16" t="n">
        <f aca="false">(Operations!AP9+Inputs!$F$81+AP9)/100*Time!AP25/Inputs!$F$247</f>
        <v>0.0374555511111111</v>
      </c>
      <c r="AQ12" s="16" t="n">
        <f aca="false">(Operations!AQ9+Inputs!$F$81+AQ9)/100*Time!AQ25/Inputs!$F$247</f>
        <v>0.0368448627777778</v>
      </c>
      <c r="AR12" s="16" t="n">
        <f aca="false">(Operations!AR9+Inputs!$F$81+AR9)/100*Time!AR25/Inputs!$F$247</f>
        <v>0.0374555511111111</v>
      </c>
      <c r="AS12" s="16" t="n">
        <f aca="false">(Operations!AS9+Inputs!$F$81+AS9)/100*Time!AS25/Inputs!$F$247</f>
        <v>0.0370484255555556</v>
      </c>
      <c r="AT12" s="16" t="n">
        <f aca="false">(Operations!AT9+Inputs!$F$81+AT9)/100*Time!AT25/Inputs!$F$247</f>
        <v>0.0374555511111111</v>
      </c>
      <c r="AU12" s="16" t="n">
        <f aca="false">(Operations!AU9+Inputs!$F$81+AU9)/100*Time!AU25/Inputs!$F$247</f>
        <v>0.0368448627777778</v>
      </c>
      <c r="AV12" s="16" t="n">
        <f aca="false">(Operations!AV9+Inputs!$F$81+AV9)/100*Time!AV25/Inputs!$F$247</f>
        <v>0.0374555511111111</v>
      </c>
      <c r="AW12" s="16" t="n">
        <f aca="false">(Operations!AW9+Inputs!$F$81+AW9)/100*Time!AW25/Inputs!$F$247</f>
        <v>0.0368448627777778</v>
      </c>
      <c r="AX12" s="16" t="n">
        <f aca="false">(Operations!AX9+Inputs!$F$81+AX9)/100*Time!AX25/Inputs!$F$247</f>
        <v>0.0374555511111111</v>
      </c>
      <c r="AY12" s="16" t="n">
        <f aca="false">(Operations!AY9+Inputs!$F$81+AY9)/100*Time!AY25/Inputs!$F$247</f>
        <v>0.0368448627777778</v>
      </c>
      <c r="AZ12" s="16" t="n">
        <f aca="false">(Operations!AZ9+Inputs!$F$81+AZ9)/100*Time!AZ25/Inputs!$F$247</f>
        <v>0.0374555511111111</v>
      </c>
      <c r="BA12" s="16" t="n">
        <f aca="false">(Operations!BA9+Inputs!$F$81+BA9)/100*Time!BA25/Inputs!$F$247</f>
        <v>0.0370484255555556</v>
      </c>
      <c r="BB12" s="16" t="n">
        <f aca="false">(Operations!BB9+Inputs!$F$81+BB9)/100*Time!BB25/Inputs!$F$247</f>
        <v>0.0374555511111111</v>
      </c>
      <c r="BC12" s="16" t="n">
        <f aca="false">(Operations!BC9+Inputs!$F$81+BC9)/100*Time!BC25/Inputs!$F$247</f>
        <v>0.0368448627777778</v>
      </c>
      <c r="BD12" s="16" t="n">
        <f aca="false">(Operations!BD9+Inputs!$F$81+BD9)/100*Time!BD25/Inputs!$F$247</f>
        <v>0.0374555511111111</v>
      </c>
      <c r="BE12" s="16" t="n">
        <f aca="false">(Operations!BE9+Inputs!$F$81+BE9)/100*Time!BE25/Inputs!$F$247</f>
        <v>0.0368448627777778</v>
      </c>
      <c r="BF12" s="16" t="n">
        <f aca="false">(Operations!BF9+Inputs!$F$81+BF9)/100*Time!BF25/Inputs!$F$247</f>
        <v>0.0374555511111111</v>
      </c>
      <c r="BG12" s="16" t="n">
        <f aca="false">(Operations!BG9+Inputs!$F$81+BG9)/100*Time!BG25/Inputs!$F$247</f>
        <v>0.0368448627777778</v>
      </c>
      <c r="BH12" s="16" t="n">
        <f aca="false">(Operations!BH9+Inputs!$F$81+BH9)/100*Time!BH25/Inputs!$F$247</f>
        <v>0.0374555511111111</v>
      </c>
      <c r="BI12" s="16" t="n">
        <f aca="false">(Operations!BI9+Inputs!$F$81+BI9)/100*Time!BI25/Inputs!$F$247</f>
        <v>0.0370484255555556</v>
      </c>
      <c r="BJ12" s="16" t="n">
        <f aca="false">(Operations!BJ9+Inputs!$F$81+BJ9)/100*Time!BJ25/Inputs!$F$247</f>
        <v>0.0374555511111111</v>
      </c>
      <c r="BK12" s="16" t="n">
        <f aca="false">(Operations!BK9+Inputs!$F$81+BK9)/100*Time!BK25/Inputs!$F$247</f>
        <v>0.0368448627777778</v>
      </c>
      <c r="BL12" s="16" t="n">
        <f aca="false">(Operations!BL9+Inputs!$F$81+BL9)/100*Time!BL25/Inputs!$F$247</f>
        <v>0.0374555511111111</v>
      </c>
      <c r="BM12" s="16" t="n">
        <f aca="false">(Operations!BM9+Inputs!$F$81+BM9)/100*Time!BM25/Inputs!$F$247</f>
        <v>0.0368448627777778</v>
      </c>
      <c r="BN12" s="16" t="n">
        <f aca="false">(Operations!BN9+Inputs!$F$81+BN9)/100*Time!BN25/Inputs!$F$247</f>
        <v>0.0374555511111111</v>
      </c>
    </row>
    <row r="13" customFormat="false" ht="15" hidden="false" customHeight="false" outlineLevel="0" collapsed="false">
      <c r="D13" s="0" t="s">
        <v>748</v>
      </c>
      <c r="E13" s="0" t="s">
        <v>99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0.0389373456790123</v>
      </c>
      <c r="L13" s="16" t="n">
        <f aca="false">(Operations!L9+L8+L9)/100*Time!L25/Inputs!$F$247/(1-Inputs!$F$93/100)</f>
        <v>0.0357777777777778</v>
      </c>
      <c r="M13" s="16" t="n">
        <f aca="false">(Operations!M9+M8+M9)/100*Time!M25/Inputs!$F$247/(1-Inputs!$F$93/100)</f>
        <v>0.0337598765432099</v>
      </c>
      <c r="N13" s="16" t="n">
        <f aca="false">(Operations!N9+N8+N9)/100*Time!N25/Inputs!$F$247/(1-Inputs!$F$93/100)</f>
        <v>0.0253851851851852</v>
      </c>
      <c r="O13" s="16" t="n">
        <f aca="false">(Operations!O9+O8+O9)/100*Time!O25/Inputs!$F$247/(1-Inputs!$F$93/100)</f>
        <v>0.0243009259259259</v>
      </c>
      <c r="P13" s="16" t="n">
        <f aca="false">(Operations!P9+P8+P9)/100*Time!P25/Inputs!$F$247/(1-Inputs!$F$93/100)</f>
        <v>0.0241925925925926</v>
      </c>
      <c r="Q13" s="16" t="n">
        <f aca="false">(Operations!Q9+Q8+Q9)/100*Time!Q25/Inputs!$F$247/(1-Inputs!$F$93/100)</f>
        <v>0.0248037037037037</v>
      </c>
      <c r="R13" s="16" t="n">
        <f aca="false">(Operations!R9+R8+R9)/100*Time!R25/Inputs!$F$247/(1-Inputs!$F$93/100)</f>
        <v>0.0399802469135802</v>
      </c>
      <c r="S13" s="16" t="n">
        <f aca="false">(Operations!S9+S8+S9)/100*Time!S25/Inputs!$F$247/(1-Inputs!$F$93/100)</f>
        <v>0.0524467611111111</v>
      </c>
      <c r="T13" s="16" t="n">
        <f aca="false">(Operations!T9+T8+T9)/100*Time!T25/Inputs!$F$247/(1-Inputs!$F$93/100)</f>
        <v>0.0596197481481481</v>
      </c>
      <c r="U13" s="16" t="n">
        <f aca="false">(Operations!U9+U8+U9)/100*Time!U25/Inputs!$F$247/(1-Inputs!$F$93/100)</f>
        <v>0.057230349382716</v>
      </c>
      <c r="V13" s="16" t="n">
        <f aca="false">(Operations!V9+V8+V9)/100*Time!V25/Inputs!$F$247/(1-Inputs!$F$93/100)</f>
        <v>0.0581999950617284</v>
      </c>
      <c r="W13" s="16" t="n">
        <f aca="false">(Operations!W9+W8+W9)/100*Time!W25/Inputs!$F$247/(1-Inputs!$F$93/100)</f>
        <v>0.0490390450617284</v>
      </c>
      <c r="X13" s="16" t="n">
        <f aca="false">(Operations!X9+X8+X9)/100*Time!X25/Inputs!$F$247/(1-Inputs!$F$93/100)</f>
        <v>0.0493975259259259</v>
      </c>
      <c r="Y13" s="16" t="n">
        <f aca="false">(Operations!Y9+Y8+Y9)/100*Time!Y25/Inputs!$F$247/(1-Inputs!$F$93/100)</f>
        <v>0.0483128104938272</v>
      </c>
      <c r="Z13" s="16" t="n">
        <f aca="false">(Operations!Z9+Z8+Z9)/100*Time!Z25/Inputs!$F$247/(1-Inputs!$F$93/100)</f>
        <v>0.0488864148148148</v>
      </c>
      <c r="AA13" s="16" t="n">
        <f aca="false">(Operations!AA9+AA8+AA9)/100*Time!AA25/Inputs!$F$247/(1-Inputs!$F$93/100)</f>
        <v>0.0473631191358025</v>
      </c>
      <c r="AB13" s="16" t="n">
        <f aca="false">(Operations!AB9+AB8+AB9)/100*Time!AB25/Inputs!$F$247/(1-Inputs!$F$93/100)</f>
        <v>0.0481481432098765</v>
      </c>
      <c r="AC13" s="16" t="n">
        <f aca="false">(Operations!AC9+AC8+AC9)/100*Time!AC25/Inputs!$F$247/(1-Inputs!$F$93/100)</f>
        <v>0.0479056580246914</v>
      </c>
      <c r="AD13" s="16" t="n">
        <f aca="false">(Operations!AD9+AD8+AD9)/100*Time!AD25/Inputs!$F$247/(1-Inputs!$F$93/100)</f>
        <v>0.0484320938271605</v>
      </c>
      <c r="AE13" s="16" t="n">
        <f aca="false">(Operations!AE9+AE8+AE9)/100*Time!AE25/Inputs!$F$247/(1-Inputs!$F$93/100)</f>
        <v>0.0476424401234568</v>
      </c>
      <c r="AF13" s="16" t="n">
        <f aca="false">(Operations!AF9+AF8+AF9)/100*Time!AF25/Inputs!$F$247/(1-Inputs!$F$93/100)</f>
        <v>0.0484320938271605</v>
      </c>
      <c r="AG13" s="16" t="n">
        <f aca="false">(Operations!AG9+AG8+AG9)/100*Time!AG25/Inputs!$F$247/(1-Inputs!$F$93/100)</f>
        <v>0.05043565</v>
      </c>
      <c r="AH13" s="16" t="n">
        <f aca="false">(Operations!AH9+AH8+AH9)/100*Time!AH25/Inputs!$F$247/(1-Inputs!$F$93/100)</f>
        <v>0.0512716</v>
      </c>
      <c r="AI13" s="16" t="n">
        <f aca="false">(Operations!AI9+AI8+AI9)/100*Time!AI25/Inputs!$F$247/(1-Inputs!$F$93/100)</f>
        <v>0.05043565</v>
      </c>
      <c r="AJ13" s="16" t="n">
        <f aca="false">(Operations!AJ9+AJ8+AJ9)/100*Time!AJ25/Inputs!$F$247/(1-Inputs!$F$93/100)</f>
        <v>0.0512716</v>
      </c>
      <c r="AK13" s="16" t="n">
        <f aca="false">(Operations!AK9+AK8+AK9)/100*Time!AK25/Inputs!$F$247/(1-Inputs!$F$93/100)</f>
        <v>0.0507143</v>
      </c>
      <c r="AL13" s="16" t="n">
        <f aca="false">(Operations!AL9+AL8+AL9)/100*Time!AL25/Inputs!$F$247/(1-Inputs!$F$93/100)</f>
        <v>0.0512716</v>
      </c>
      <c r="AM13" s="16" t="n">
        <f aca="false">(Operations!AM9+AM8+AM9)/100*Time!AM25/Inputs!$F$247/(1-Inputs!$F$93/100)</f>
        <v>0.05043565</v>
      </c>
      <c r="AN13" s="16" t="n">
        <f aca="false">(Operations!AN9+AN8+AN9)/100*Time!AN25/Inputs!$F$247/(1-Inputs!$F$93/100)</f>
        <v>0.0512716</v>
      </c>
      <c r="AO13" s="16" t="n">
        <f aca="false">(Operations!AO9+AO8+AO9)/100*Time!AO25/Inputs!$F$247/(1-Inputs!$F$93/100)</f>
        <v>0.05043565</v>
      </c>
      <c r="AP13" s="16" t="n">
        <f aca="false">(Operations!AP9+AP8+AP9)/100*Time!AP25/Inputs!$F$247/(1-Inputs!$F$93/100)</f>
        <v>0.0512716</v>
      </c>
      <c r="AQ13" s="16" t="n">
        <f aca="false">(Operations!AQ9+AQ8+AQ9)/100*Time!AQ25/Inputs!$F$247/(1-Inputs!$F$93/100)</f>
        <v>0.05043565</v>
      </c>
      <c r="AR13" s="16" t="n">
        <f aca="false">(Operations!AR9+AR8+AR9)/100*Time!AR25/Inputs!$F$247/(1-Inputs!$F$93/100)</f>
        <v>0.0512716</v>
      </c>
      <c r="AS13" s="16" t="n">
        <f aca="false">(Operations!AS9+AS8+AS9)/100*Time!AS25/Inputs!$F$247/(1-Inputs!$F$93/100)</f>
        <v>0.0507143</v>
      </c>
      <c r="AT13" s="16" t="n">
        <f aca="false">(Operations!AT9+AT8+AT9)/100*Time!AT25/Inputs!$F$247/(1-Inputs!$F$93/100)</f>
        <v>0.0512716</v>
      </c>
      <c r="AU13" s="16" t="n">
        <f aca="false">(Operations!AU9+AU8+AU9)/100*Time!AU25/Inputs!$F$247/(1-Inputs!$F$93/100)</f>
        <v>0.05043565</v>
      </c>
      <c r="AV13" s="16" t="n">
        <f aca="false">(Operations!AV9+AV8+AV9)/100*Time!AV25/Inputs!$F$247/(1-Inputs!$F$93/100)</f>
        <v>0.0512716</v>
      </c>
      <c r="AW13" s="16" t="n">
        <f aca="false">(Operations!AW9+AW8+AW9)/100*Time!AW25/Inputs!$F$247/(1-Inputs!$F$93/100)</f>
        <v>0.05043565</v>
      </c>
      <c r="AX13" s="16" t="n">
        <f aca="false">(Operations!AX9+AX8+AX9)/100*Time!AX25/Inputs!$F$247/(1-Inputs!$F$93/100)</f>
        <v>0.0512716</v>
      </c>
      <c r="AY13" s="16" t="n">
        <f aca="false">(Operations!AY9+AY8+AY9)/100*Time!AY25/Inputs!$F$247/(1-Inputs!$F$93/100)</f>
        <v>0.05043565</v>
      </c>
      <c r="AZ13" s="16" t="n">
        <f aca="false">(Operations!AZ9+AZ8+AZ9)/100*Time!AZ25/Inputs!$F$247/(1-Inputs!$F$93/100)</f>
        <v>0.0512716</v>
      </c>
      <c r="BA13" s="16" t="n">
        <f aca="false">(Operations!BA9+BA8+BA9)/100*Time!BA25/Inputs!$F$247/(1-Inputs!$F$93/100)</f>
        <v>0.0507143</v>
      </c>
      <c r="BB13" s="16" t="n">
        <f aca="false">(Operations!BB9+BB8+BB9)/100*Time!BB25/Inputs!$F$247/(1-Inputs!$F$93/100)</f>
        <v>0.0512716</v>
      </c>
      <c r="BC13" s="16" t="n">
        <f aca="false">(Operations!BC9+BC8+BC9)/100*Time!BC25/Inputs!$F$247/(1-Inputs!$F$93/100)</f>
        <v>0.05043565</v>
      </c>
      <c r="BD13" s="16" t="n">
        <f aca="false">(Operations!BD9+BD8+BD9)/100*Time!BD25/Inputs!$F$247/(1-Inputs!$F$93/100)</f>
        <v>0.0512716</v>
      </c>
      <c r="BE13" s="16" t="n">
        <f aca="false">(Operations!BE9+BE8+BE9)/100*Time!BE25/Inputs!$F$247/(1-Inputs!$F$93/100)</f>
        <v>0.05043565</v>
      </c>
      <c r="BF13" s="16" t="n">
        <f aca="false">(Operations!BF9+BF8+BF9)/100*Time!BF25/Inputs!$F$247/(1-Inputs!$F$93/100)</f>
        <v>0.0512716</v>
      </c>
      <c r="BG13" s="16" t="n">
        <f aca="false">(Operations!BG9+BG8+BG9)/100*Time!BG25/Inputs!$F$247/(1-Inputs!$F$93/100)</f>
        <v>0.05043565</v>
      </c>
      <c r="BH13" s="16" t="n">
        <f aca="false">(Operations!BH9+BH8+BH9)/100*Time!BH25/Inputs!$F$247/(1-Inputs!$F$93/100)</f>
        <v>0.0512716</v>
      </c>
      <c r="BI13" s="16" t="n">
        <f aca="false">(Operations!BI9+BI8+BI9)/100*Time!BI25/Inputs!$F$247/(1-Inputs!$F$93/100)</f>
        <v>0.0507143</v>
      </c>
      <c r="BJ13" s="16" t="n">
        <f aca="false">(Operations!BJ9+BJ8+BJ9)/100*Time!BJ25/Inputs!$F$247/(1-Inputs!$F$93/100)</f>
        <v>0.0512716</v>
      </c>
      <c r="BK13" s="16" t="n">
        <f aca="false">(Operations!BK9+BK8+BK9)/100*Time!BK25/Inputs!$F$247/(1-Inputs!$F$93/100)</f>
        <v>0.05043565</v>
      </c>
      <c r="BL13" s="16" t="n">
        <f aca="false">(Operations!BL9+BL8+BL9)/100*Time!BL25/Inputs!$F$247/(1-Inputs!$F$93/100)</f>
        <v>0.0512716</v>
      </c>
      <c r="BM13" s="16" t="n">
        <f aca="false">(Operations!BM9+BM8+BM9)/100*Time!BM25/Inputs!$F$247/(1-Inputs!$F$93/100)</f>
        <v>0.05043565</v>
      </c>
      <c r="BN13" s="16" t="n">
        <f aca="false">(Operations!BN9+BN8+BN9)/100*Time!BN25/Inputs!$F$247/(1-Inputs!$F$93/100)</f>
        <v>0.0512716</v>
      </c>
    </row>
    <row r="14" customFormat="false" ht="15" hidden="false" customHeight="false" outlineLevel="0" collapsed="false">
      <c r="D14" s="0" t="s">
        <v>749</v>
      </c>
      <c r="E14" s="0" t="s">
        <v>99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0.0378155925925926</v>
      </c>
      <c r="L14" s="16" t="n">
        <f aca="false">(Inputs!$F$102*(Operations!L9+L8+Inputs!$F$101+L9)/(1-Inputs!$F$93/100)+(1-Inputs!$F$102)*(Operations!L9+Inputs!$F$80+Inputs!$F$101+L9))/100*Time!L25/Inputs!$F$247</f>
        <v>0.0347896296296296</v>
      </c>
      <c r="M14" s="16" t="n">
        <f aca="false">(Inputs!$F$102*(Operations!M9+M8+Inputs!$F$101+M9)/(1-Inputs!$F$93/100)+(1-Inputs!$F$102)*(Operations!M9+Inputs!$F$80+Inputs!$F$101+M9))/100*Time!M25/Inputs!$F$247</f>
        <v>0.0328476296296296</v>
      </c>
      <c r="N14" s="16" t="n">
        <f aca="false">(Inputs!$F$102*(Operations!N9+N8+Inputs!$F$101+N9)/(1-Inputs!$F$93/100)+(1-Inputs!$F$102)*(Operations!N9+Inputs!$F$80+Inputs!$F$101+N9))/100*Time!N25/Inputs!$F$247</f>
        <v>0.0248127407407407</v>
      </c>
      <c r="O14" s="16" t="n">
        <f aca="false">(Inputs!$F$102*(Operations!O9+O8+Inputs!$F$101+O9)/(1-Inputs!$F$93/100)+(1-Inputs!$F$102)*(Operations!O9+Inputs!$F$80+Inputs!$F$101+O9))/100*Time!O25/Inputs!$F$247</f>
        <v>0.0237646296296296</v>
      </c>
      <c r="P14" s="16" t="n">
        <f aca="false">(Inputs!$F$102*(Operations!P9+P8+Inputs!$F$101+P9)/(1-Inputs!$F$93/100)+(1-Inputs!$F$102)*(Operations!P9+Inputs!$F$80+Inputs!$F$101+P9))/100*Time!P25/Inputs!$F$247</f>
        <v>0.0236678518518519</v>
      </c>
      <c r="Q14" s="16" t="n">
        <f aca="false">(Inputs!$F$102*(Operations!Q9+Q8+Inputs!$F$101+Q9)/(1-Inputs!$F$93/100)+(1-Inputs!$F$102)*(Operations!Q9+Inputs!$F$80+Inputs!$F$101+Q9))/100*Time!Q25/Inputs!$F$247</f>
        <v>0.0242472962962963</v>
      </c>
      <c r="R14" s="16" t="n">
        <f aca="false">(Inputs!$F$102*(Operations!R9+R8+Inputs!$F$101+R9)/(1-Inputs!$F$93/100)+(1-Inputs!$F$102)*(Operations!R9+Inputs!$F$80+Inputs!$F$101+R9))/100*Time!R25/Inputs!$F$247</f>
        <v>0.038824</v>
      </c>
      <c r="S14" s="16" t="n">
        <f aca="false">(Inputs!$F$102*(Operations!S9+S8+Inputs!$F$101+S9)/(1-Inputs!$F$93/100)+(1-Inputs!$F$102)*(Operations!S9+Inputs!$F$80+Inputs!$F$101+S9))/100*Time!S25/Inputs!$F$247</f>
        <v>0.0507846314074074</v>
      </c>
      <c r="T14" s="16" t="n">
        <f aca="false">(Inputs!$F$102*(Operations!T9+T8+Inputs!$F$101+T9)/(1-Inputs!$F$93/100)+(1-Inputs!$F$102)*(Operations!T9+Inputs!$F$80+Inputs!$F$101+T9))/100*Time!T25/Inputs!$F$247</f>
        <v>0.0576779211851852</v>
      </c>
      <c r="U14" s="16" t="n">
        <f aca="false">(Inputs!$F$102*(Operations!U9+U8+Inputs!$F$101+U9)/(1-Inputs!$F$93/100)+(1-Inputs!$F$102)*(Operations!U9+Inputs!$F$80+Inputs!$F$101+U9))/100*Time!U25/Inputs!$F$247</f>
        <v>0.0553792835555556</v>
      </c>
      <c r="V14" s="16" t="n">
        <f aca="false">(Inputs!$F$102*(Operations!V9+V8+Inputs!$F$101+V9)/(1-Inputs!$F$93/100)+(1-Inputs!$F$102)*(Operations!V9+Inputs!$F$80+Inputs!$F$101+V9))/100*Time!V25/Inputs!$F$247</f>
        <v>0.0563149582222222</v>
      </c>
      <c r="W14" s="16" t="n">
        <f aca="false">(Inputs!$F$102*(Operations!W9+W8+Inputs!$F$101+W9)/(1-Inputs!$F$93/100)+(1-Inputs!$F$102)*(Operations!W9+Inputs!$F$80+Inputs!$F$101+W9))/100*Time!W25/Inputs!$F$247</f>
        <v>0.047513224</v>
      </c>
      <c r="X14" s="16" t="n">
        <f aca="false">(Inputs!$F$102*(Operations!X9+X8+Inputs!$F$101+X9)/(1-Inputs!$F$93/100)+(1-Inputs!$F$102)*(Operations!X9+Inputs!$F$80+Inputs!$F$101+X9))/100*Time!X25/Inputs!$F$247</f>
        <v>0.0478645878518519</v>
      </c>
      <c r="Y14" s="16" t="n">
        <f aca="false">(Inputs!$F$102*(Operations!Y9+Y8+Inputs!$F$101+Y9)/(1-Inputs!$F$93/100)+(1-Inputs!$F$102)*(Operations!Y9+Inputs!$F$80+Inputs!$F$101+Y9))/100*Time!Y25/Inputs!$F$247</f>
        <v>0.0458104832592593</v>
      </c>
      <c r="Z14" s="16" t="n">
        <f aca="false">(Inputs!$F$102*(Operations!Z9+Z8+Inputs!$F$101+Z9)/(1-Inputs!$F$93/100)+(1-Inputs!$F$102)*(Operations!Z9+Inputs!$F$80+Inputs!$F$101+Z9))/100*Time!Z25/Inputs!$F$247</f>
        <v>0.046351698962963</v>
      </c>
      <c r="AA14" s="16" t="n">
        <f aca="false">(Inputs!$F$102*(Operations!AA9+AA8+Inputs!$F$101+AA9)/(1-Inputs!$F$93/100)+(1-Inputs!$F$102)*(Operations!AA9+Inputs!$F$80+Inputs!$F$101+AA9))/100*Time!AA25/Inputs!$F$247</f>
        <v>0.0448987795555555</v>
      </c>
      <c r="AB14" s="16" t="n">
        <f aca="false">(Inputs!$F$102*(Operations!AB9+AB8+Inputs!$F$101+AB9)/(1-Inputs!$F$93/100)+(1-Inputs!$F$102)*(Operations!AB9+Inputs!$F$80+Inputs!$F$101+AB9))/100*Time!AB25/Inputs!$F$247</f>
        <v>0.0456429582222222</v>
      </c>
      <c r="AC14" s="16" t="n">
        <f aca="false">(Inputs!$F$102*(Operations!AC9+AC8+Inputs!$F$101+AC9)/(1-Inputs!$F$93/100)+(1-Inputs!$F$102)*(Operations!AC9+Inputs!$F$80+Inputs!$F$101+AC9))/100*Time!AC25/Inputs!$F$247</f>
        <v>0.0454164687407407</v>
      </c>
      <c r="AD14" s="16" t="n">
        <f aca="false">(Inputs!$F$102*(Operations!AD9+AD8+Inputs!$F$101+AD9)/(1-Inputs!$F$93/100)+(1-Inputs!$F$102)*(Operations!AD9+Inputs!$F$80+Inputs!$F$101+AD9))/100*Time!AD25/Inputs!$F$247</f>
        <v>0.0459155508148148</v>
      </c>
      <c r="AE14" s="16" t="n">
        <f aca="false">(Inputs!$F$102*(Operations!AE9+AE8+Inputs!$F$101+AE9)/(1-Inputs!$F$93/100)+(1-Inputs!$F$102)*(Operations!AE9+Inputs!$F$80+Inputs!$F$101+AE9))/100*Time!AE25/Inputs!$F$247</f>
        <v>0.0451669277037037</v>
      </c>
      <c r="AF14" s="16" t="n">
        <f aca="false">(Inputs!$F$102*(Operations!AF9+AF8+Inputs!$F$101+AF9)/(1-Inputs!$F$93/100)+(1-Inputs!$F$102)*(Operations!AF9+Inputs!$F$80+Inputs!$F$101+AF9))/100*Time!AF25/Inputs!$F$247</f>
        <v>0.0459155508148148</v>
      </c>
      <c r="AG14" s="16" t="n">
        <f aca="false">(Inputs!$F$102*(Operations!AG9+AG8+Inputs!$F$101+AG9)/(1-Inputs!$F$93/100)+(1-Inputs!$F$102)*(Operations!AG9+Inputs!$F$80+Inputs!$F$101+AG9))/100*Time!AG25/Inputs!$F$247</f>
        <v>0.0468428536296296</v>
      </c>
      <c r="AH14" s="16" t="n">
        <f aca="false">(Inputs!$F$102*(Operations!AH9+AH8+Inputs!$F$101+AH9)/(1-Inputs!$F$93/100)+(1-Inputs!$F$102)*(Operations!AH9+Inputs!$F$80+Inputs!$F$101+AH9))/100*Time!AH25/Inputs!$F$247</f>
        <v>0.0476192545185185</v>
      </c>
      <c r="AI14" s="16" t="n">
        <f aca="false">(Inputs!$F$102*(Operations!AI9+AI8+Inputs!$F$101+AI9)/(1-Inputs!$F$93/100)+(1-Inputs!$F$102)*(Operations!AI9+Inputs!$F$80+Inputs!$F$101+AI9))/100*Time!AI25/Inputs!$F$247</f>
        <v>0.0468428536296296</v>
      </c>
      <c r="AJ14" s="16" t="n">
        <f aca="false">(Inputs!$F$102*(Operations!AJ9+AJ8+Inputs!$F$101+AJ9)/(1-Inputs!$F$93/100)+(1-Inputs!$F$102)*(Operations!AJ9+Inputs!$F$80+Inputs!$F$101+AJ9))/100*Time!AJ25/Inputs!$F$247</f>
        <v>0.0476192545185185</v>
      </c>
      <c r="AK14" s="16" t="n">
        <f aca="false">(Inputs!$F$102*(Operations!AK9+AK8+Inputs!$F$101+AK9)/(1-Inputs!$F$93/100)+(1-Inputs!$F$102)*(Operations!AK9+Inputs!$F$80+Inputs!$F$101+AK9))/100*Time!AK25/Inputs!$F$247</f>
        <v>0.0471016539259259</v>
      </c>
      <c r="AL14" s="16" t="n">
        <f aca="false">(Inputs!$F$102*(Operations!AL9+AL8+Inputs!$F$101+AL9)/(1-Inputs!$F$93/100)+(1-Inputs!$F$102)*(Operations!AL9+Inputs!$F$80+Inputs!$F$101+AL9))/100*Time!AL25/Inputs!$F$247</f>
        <v>0.0476192545185185</v>
      </c>
      <c r="AM14" s="16" t="n">
        <f aca="false">(Inputs!$F$102*(Operations!AM9+AM8+Inputs!$F$101+AM9)/(1-Inputs!$F$93/100)+(1-Inputs!$F$102)*(Operations!AM9+Inputs!$F$80+Inputs!$F$101+AM9))/100*Time!AM25/Inputs!$F$247</f>
        <v>0.0468428536296296</v>
      </c>
      <c r="AN14" s="16" t="n">
        <f aca="false">(Inputs!$F$102*(Operations!AN9+AN8+Inputs!$F$101+AN9)/(1-Inputs!$F$93/100)+(1-Inputs!$F$102)*(Operations!AN9+Inputs!$F$80+Inputs!$F$101+AN9))/100*Time!AN25/Inputs!$F$247</f>
        <v>0.0476192545185185</v>
      </c>
      <c r="AO14" s="16" t="n">
        <f aca="false">(Inputs!$F$102*(Operations!AO9+AO8+Inputs!$F$101+AO9)/(1-Inputs!$F$93/100)+(1-Inputs!$F$102)*(Operations!AO9+Inputs!$F$80+Inputs!$F$101+AO9))/100*Time!AO25/Inputs!$F$247</f>
        <v>0.0468428536296296</v>
      </c>
      <c r="AP14" s="16" t="n">
        <f aca="false">(Inputs!$F$102*(Operations!AP9+AP8+Inputs!$F$101+AP9)/(1-Inputs!$F$93/100)+(1-Inputs!$F$102)*(Operations!AP9+Inputs!$F$80+Inputs!$F$101+AP9))/100*Time!AP25/Inputs!$F$247</f>
        <v>0.0476192545185185</v>
      </c>
      <c r="AQ14" s="16" t="n">
        <f aca="false">(Inputs!$F$102*(Operations!AQ9+AQ8+Inputs!$F$101+AQ9)/(1-Inputs!$F$93/100)+(1-Inputs!$F$102)*(Operations!AQ9+Inputs!$F$80+Inputs!$F$101+AQ9))/100*Time!AQ25/Inputs!$F$247</f>
        <v>0.0468428536296296</v>
      </c>
      <c r="AR14" s="16" t="n">
        <f aca="false">(Inputs!$F$102*(Operations!AR9+AR8+Inputs!$F$101+AR9)/(1-Inputs!$F$93/100)+(1-Inputs!$F$102)*(Operations!AR9+Inputs!$F$80+Inputs!$F$101+AR9))/100*Time!AR25/Inputs!$F$247</f>
        <v>0.0476192545185185</v>
      </c>
      <c r="AS14" s="16" t="n">
        <f aca="false">(Inputs!$F$102*(Operations!AS9+AS8+Inputs!$F$101+AS9)/(1-Inputs!$F$93/100)+(1-Inputs!$F$102)*(Operations!AS9+Inputs!$F$80+Inputs!$F$101+AS9))/100*Time!AS25/Inputs!$F$247</f>
        <v>0.0471016539259259</v>
      </c>
      <c r="AT14" s="16" t="n">
        <f aca="false">(Inputs!$F$102*(Operations!AT9+AT8+Inputs!$F$101+AT9)/(1-Inputs!$F$93/100)+(1-Inputs!$F$102)*(Operations!AT9+Inputs!$F$80+Inputs!$F$101+AT9))/100*Time!AT25/Inputs!$F$247</f>
        <v>0.0476192545185185</v>
      </c>
      <c r="AU14" s="16" t="n">
        <f aca="false">(Inputs!$F$102*(Operations!AU9+AU8+Inputs!$F$101+AU9)/(1-Inputs!$F$93/100)+(1-Inputs!$F$102)*(Operations!AU9+Inputs!$F$80+Inputs!$F$101+AU9))/100*Time!AU25/Inputs!$F$247</f>
        <v>0.0468428536296296</v>
      </c>
      <c r="AV14" s="16" t="n">
        <f aca="false">(Inputs!$F$102*(Operations!AV9+AV8+Inputs!$F$101+AV9)/(1-Inputs!$F$93/100)+(1-Inputs!$F$102)*(Operations!AV9+Inputs!$F$80+Inputs!$F$101+AV9))/100*Time!AV25/Inputs!$F$247</f>
        <v>0.0476192545185185</v>
      </c>
      <c r="AW14" s="16" t="n">
        <f aca="false">(Inputs!$F$102*(Operations!AW9+AW8+Inputs!$F$101+AW9)/(1-Inputs!$F$93/100)+(1-Inputs!$F$102)*(Operations!AW9+Inputs!$F$80+Inputs!$F$101+AW9))/100*Time!AW25/Inputs!$F$247</f>
        <v>0.0468428536296296</v>
      </c>
      <c r="AX14" s="16" t="n">
        <f aca="false">(Inputs!$F$102*(Operations!AX9+AX8+Inputs!$F$101+AX9)/(1-Inputs!$F$93/100)+(1-Inputs!$F$102)*(Operations!AX9+Inputs!$F$80+Inputs!$F$101+AX9))/100*Time!AX25/Inputs!$F$247</f>
        <v>0.0476192545185185</v>
      </c>
      <c r="AY14" s="16" t="n">
        <f aca="false">(Inputs!$F$102*(Operations!AY9+AY8+Inputs!$F$101+AY9)/(1-Inputs!$F$93/100)+(1-Inputs!$F$102)*(Operations!AY9+Inputs!$F$80+Inputs!$F$101+AY9))/100*Time!AY25/Inputs!$F$247</f>
        <v>0.0468428536296296</v>
      </c>
      <c r="AZ14" s="16" t="n">
        <f aca="false">(Inputs!$F$102*(Operations!AZ9+AZ8+Inputs!$F$101+AZ9)/(1-Inputs!$F$93/100)+(1-Inputs!$F$102)*(Operations!AZ9+Inputs!$F$80+Inputs!$F$101+AZ9))/100*Time!AZ25/Inputs!$F$247</f>
        <v>0.0476192545185185</v>
      </c>
      <c r="BA14" s="16" t="n">
        <f aca="false">(Inputs!$F$102*(Operations!BA9+BA8+Inputs!$F$101+BA9)/(1-Inputs!$F$93/100)+(1-Inputs!$F$102)*(Operations!BA9+Inputs!$F$80+Inputs!$F$101+BA9))/100*Time!BA25/Inputs!$F$247</f>
        <v>0.0471016539259259</v>
      </c>
      <c r="BB14" s="16" t="n">
        <f aca="false">(Inputs!$F$102*(Operations!BB9+BB8+Inputs!$F$101+BB9)/(1-Inputs!$F$93/100)+(1-Inputs!$F$102)*(Operations!BB9+Inputs!$F$80+Inputs!$F$101+BB9))/100*Time!BB25/Inputs!$F$247</f>
        <v>0.0476192545185185</v>
      </c>
      <c r="BC14" s="16" t="n">
        <f aca="false">(Inputs!$F$102*(Operations!BC9+BC8+Inputs!$F$101+BC9)/(1-Inputs!$F$93/100)+(1-Inputs!$F$102)*(Operations!BC9+Inputs!$F$80+Inputs!$F$101+BC9))/100*Time!BC25/Inputs!$F$247</f>
        <v>0.0468428536296296</v>
      </c>
      <c r="BD14" s="16" t="n">
        <f aca="false">(Inputs!$F$102*(Operations!BD9+BD8+Inputs!$F$101+BD9)/(1-Inputs!$F$93/100)+(1-Inputs!$F$102)*(Operations!BD9+Inputs!$F$80+Inputs!$F$101+BD9))/100*Time!BD25/Inputs!$F$247</f>
        <v>0.0476192545185185</v>
      </c>
      <c r="BE14" s="16" t="n">
        <f aca="false">(Inputs!$F$102*(Operations!BE9+BE8+Inputs!$F$101+BE9)/(1-Inputs!$F$93/100)+(1-Inputs!$F$102)*(Operations!BE9+Inputs!$F$80+Inputs!$F$101+BE9))/100*Time!BE25/Inputs!$F$247</f>
        <v>0.0468428536296296</v>
      </c>
      <c r="BF14" s="16" t="n">
        <f aca="false">(Inputs!$F$102*(Operations!BF9+BF8+Inputs!$F$101+BF9)/(1-Inputs!$F$93/100)+(1-Inputs!$F$102)*(Operations!BF9+Inputs!$F$80+Inputs!$F$101+BF9))/100*Time!BF25/Inputs!$F$247</f>
        <v>0.0476192545185185</v>
      </c>
      <c r="BG14" s="16" t="n">
        <f aca="false">(Inputs!$F$102*(Operations!BG9+BG8+Inputs!$F$101+BG9)/(1-Inputs!$F$93/100)+(1-Inputs!$F$102)*(Operations!BG9+Inputs!$F$80+Inputs!$F$101+BG9))/100*Time!BG25/Inputs!$F$247</f>
        <v>0.0468428536296296</v>
      </c>
      <c r="BH14" s="16" t="n">
        <f aca="false">(Inputs!$F$102*(Operations!BH9+BH8+Inputs!$F$101+BH9)/(1-Inputs!$F$93/100)+(1-Inputs!$F$102)*(Operations!BH9+Inputs!$F$80+Inputs!$F$101+BH9))/100*Time!BH25/Inputs!$F$247</f>
        <v>0.0476192545185185</v>
      </c>
      <c r="BI14" s="16" t="n">
        <f aca="false">(Inputs!$F$102*(Operations!BI9+BI8+Inputs!$F$101+BI9)/(1-Inputs!$F$93/100)+(1-Inputs!$F$102)*(Operations!BI9+Inputs!$F$80+Inputs!$F$101+BI9))/100*Time!BI25/Inputs!$F$247</f>
        <v>0.0471016539259259</v>
      </c>
      <c r="BJ14" s="16" t="n">
        <f aca="false">(Inputs!$F$102*(Operations!BJ9+BJ8+Inputs!$F$101+BJ9)/(1-Inputs!$F$93/100)+(1-Inputs!$F$102)*(Operations!BJ9+Inputs!$F$80+Inputs!$F$101+BJ9))/100*Time!BJ25/Inputs!$F$247</f>
        <v>0.0476192545185185</v>
      </c>
      <c r="BK14" s="16" t="n">
        <f aca="false">(Inputs!$F$102*(Operations!BK9+BK8+Inputs!$F$101+BK9)/(1-Inputs!$F$93/100)+(1-Inputs!$F$102)*(Operations!BK9+Inputs!$F$80+Inputs!$F$101+BK9))/100*Time!BK25/Inputs!$F$247</f>
        <v>0.0468428536296296</v>
      </c>
      <c r="BL14" s="16" t="n">
        <f aca="false">(Inputs!$F$102*(Operations!BL9+BL8+Inputs!$F$101+BL9)/(1-Inputs!$F$93/100)+(1-Inputs!$F$102)*(Operations!BL9+Inputs!$F$80+Inputs!$F$101+BL9))/100*Time!BL25/Inputs!$F$247</f>
        <v>0.0476192545185185</v>
      </c>
      <c r="BM14" s="16" t="n">
        <f aca="false">(Inputs!$F$102*(Operations!BM9+BM8+Inputs!$F$101+BM9)/(1-Inputs!$F$93/100)+(1-Inputs!$F$102)*(Operations!BM9+Inputs!$F$80+Inputs!$F$101+BM9))/100*Time!BM25/Inputs!$F$247</f>
        <v>0.0468428536296296</v>
      </c>
      <c r="BN14" s="16" t="n">
        <f aca="false">(Inputs!$F$102*(Operations!BN9+BN8+Inputs!$F$101+BN9)/(1-Inputs!$F$93/100)+(1-Inputs!$F$102)*(Operations!BN9+Inputs!$F$80+Inputs!$F$101+BN9))/100*Time!BN25/Inputs!$F$247</f>
        <v>0.0476192545185185</v>
      </c>
    </row>
    <row r="15" customFormat="false" ht="15" hidden="false" customHeight="false" outlineLevel="0" collapsed="false">
      <c r="D15" s="0" t="s">
        <v>750</v>
      </c>
      <c r="E15" s="0" t="s">
        <v>99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751</v>
      </c>
    </row>
    <row r="17" customFormat="false" ht="15" hidden="false" customHeight="false" outlineLevel="0" collapsed="false">
      <c r="D17" s="0" t="s">
        <v>752</v>
      </c>
      <c r="E17" s="0" t="s">
        <v>109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</v>
      </c>
      <c r="Q17" s="11" t="n">
        <f aca="false">IF(Inputs!$F$47=1,Inputs!Q298,Inputs!Q299)</f>
        <v>0.0249212166711209</v>
      </c>
      <c r="R17" s="11" t="n">
        <f aca="false">IF(Inputs!$F$47=1,Inputs!R298,Inputs!R299)</f>
        <v>0.0266466004704004</v>
      </c>
      <c r="S17" s="11" t="n">
        <f aca="false">IF(Inputs!$F$47=1,Inputs!S298,Inputs!S299)</f>
        <v>0.0275960445846777</v>
      </c>
      <c r="T17" s="11" t="n">
        <f aca="false">IF(Inputs!$F$47=1,Inputs!T298,Inputs!T299)</f>
        <v>0.0288882506495965</v>
      </c>
      <c r="U17" s="11" t="n">
        <f aca="false">IF(Inputs!$F$47=1,Inputs!U298,Inputs!U299)</f>
        <v>0.0296987112931962</v>
      </c>
      <c r="V17" s="11" t="n">
        <f aca="false">IF(Inputs!$F$47=1,Inputs!V298,Inputs!V299)</f>
        <v>0.0310588576856184</v>
      </c>
      <c r="W17" s="11" t="n">
        <f aca="false">IF(Inputs!$F$47=1,Inputs!W298,Inputs!W299)</f>
        <v>0.0327770673001025</v>
      </c>
      <c r="X17" s="11" t="n">
        <f aca="false">IF(Inputs!$F$47=1,Inputs!X298,Inputs!X299)</f>
        <v>0.034279561122008</v>
      </c>
      <c r="Y17" s="11" t="n">
        <f aca="false">IF(Inputs!$F$47=1,Inputs!Y298,Inputs!Y299)</f>
        <v>0.0318535235124711</v>
      </c>
      <c r="Z17" s="11" t="n">
        <f aca="false">IF(Inputs!$F$47=1,Inputs!Z298,Inputs!Z299)</f>
        <v>0.0333514411257053</v>
      </c>
      <c r="AA17" s="11" t="n">
        <f aca="false">IF(Inputs!$F$47=1,Inputs!AA298,Inputs!AA299)</f>
        <v>0.0340488277867749</v>
      </c>
      <c r="AB17" s="11" t="n">
        <f aca="false">IF(Inputs!$F$47=1,Inputs!AB298,Inputs!AB299)</f>
        <v>0.0357056960010596</v>
      </c>
      <c r="AC17" s="11" t="n">
        <f aca="false">IF(Inputs!$F$47=1,Inputs!AC298,Inputs!AC299)</f>
        <v>0.0367209101989231</v>
      </c>
      <c r="AD17" s="11" t="n">
        <f aca="false">IF(Inputs!$F$47=1,Inputs!AD298,Inputs!AD299)</f>
        <v>0.0384689461355592</v>
      </c>
      <c r="AE17" s="11" t="n">
        <f aca="false">IF(Inputs!$F$47=1,Inputs!AE298,Inputs!AE299)</f>
        <v>0.0415843849261383</v>
      </c>
      <c r="AF17" s="11" t="n">
        <f aca="false">IF(Inputs!$F$47=1,Inputs!AF298,Inputs!AF299)</f>
        <v>0.0438224099131048</v>
      </c>
      <c r="AG17" s="11" t="n">
        <f aca="false">IF(Inputs!$F$47=1,Inputs!AG298,Inputs!AG299)</f>
        <v>0.0441394906135041</v>
      </c>
      <c r="AH17" s="11" t="n">
        <f aca="false">IF(Inputs!$F$47=1,Inputs!AH298,Inputs!AH299)</f>
        <v>0.0464208722331683</v>
      </c>
      <c r="AI17" s="11" t="n">
        <f aca="false">IF(Inputs!$F$47=1,Inputs!AI298,Inputs!AI299)</f>
        <v>0.0478723213739675</v>
      </c>
      <c r="AJ17" s="11" t="n">
        <f aca="false">IF(Inputs!$F$47=1,Inputs!AJ298,Inputs!AJ299)</f>
        <v>0.0502195640539474</v>
      </c>
      <c r="AK17" s="11" t="n">
        <f aca="false">IF(Inputs!$F$47=1,Inputs!AK298,Inputs!AK299)</f>
        <v>0.0517089180255774</v>
      </c>
      <c r="AL17" s="11" t="n">
        <f aca="false">IF(Inputs!$F$47=1,Inputs!AL298,Inputs!AL299)</f>
        <v>0.0541382044749565</v>
      </c>
      <c r="AM17" s="11" t="n">
        <f aca="false">IF(Inputs!$F$47=1,Inputs!AM298,Inputs!AM299)</f>
        <v>0.0566614938231395</v>
      </c>
      <c r="AN17" s="11" t="n">
        <f aca="false">IF(Inputs!$F$47=1,Inputs!AN298,Inputs!AN299)</f>
        <v>0.0594010445608311</v>
      </c>
      <c r="AO17" s="11" t="n">
        <f aca="false">IF(Inputs!$F$47=1,Inputs!AO298,Inputs!AO299)</f>
        <v>0.0580156414644526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753</v>
      </c>
      <c r="E18" s="0" t="s">
        <v>109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1</v>
      </c>
      <c r="R18" s="11" t="n">
        <f aca="false">SUM(R17:BN17)</f>
        <v>0.97507878332888</v>
      </c>
      <c r="S18" s="11" t="n">
        <f aca="false">SUM(S17:BN17)</f>
        <v>0.94843218285848</v>
      </c>
      <c r="T18" s="11" t="n">
        <f aca="false">SUM(T17:BN17)</f>
        <v>0.920836138273802</v>
      </c>
      <c r="U18" s="11" t="n">
        <f aca="false">SUM(U17:BN17)</f>
        <v>0.891947887624206</v>
      </c>
      <c r="V18" s="11" t="n">
        <f aca="false">SUM(V17:BN17)</f>
        <v>0.86224917633101</v>
      </c>
      <c r="W18" s="11" t="n">
        <f aca="false">SUM(W17:BN17)</f>
        <v>0.831190318645391</v>
      </c>
      <c r="X18" s="11" t="n">
        <f aca="false">SUM(X17:BN17)</f>
        <v>0.798413251345289</v>
      </c>
      <c r="Y18" s="11" t="n">
        <f aca="false">SUM(Y17:BN17)</f>
        <v>0.764133690223281</v>
      </c>
      <c r="Z18" s="11" t="n">
        <f aca="false">SUM(Z17:BN17)</f>
        <v>0.73228016671081</v>
      </c>
      <c r="AA18" s="11" t="n">
        <f aca="false">SUM(AA17:BN17)</f>
        <v>0.698928725585104</v>
      </c>
      <c r="AB18" s="11" t="n">
        <f aca="false">SUM(AB17:BN17)</f>
        <v>0.66487989779833</v>
      </c>
      <c r="AC18" s="11" t="n">
        <f aca="false">SUM(AC17:BN17)</f>
        <v>0.62917420179727</v>
      </c>
      <c r="AD18" s="11" t="n">
        <f aca="false">SUM(AD17:BN17)</f>
        <v>0.592453291598347</v>
      </c>
      <c r="AE18" s="11" t="n">
        <f aca="false">SUM(AE17:BN17)</f>
        <v>0.553984345462788</v>
      </c>
      <c r="AF18" s="11" t="n">
        <f aca="false">SUM(AF17:BN17)</f>
        <v>0.512399960536649</v>
      </c>
      <c r="AG18" s="11" t="n">
        <f aca="false">SUM(AG17:BN17)</f>
        <v>0.468577550623544</v>
      </c>
      <c r="AH18" s="11" t="n">
        <f aca="false">SUM(AH17:BN17)</f>
        <v>0.42443806001004</v>
      </c>
      <c r="AI18" s="11" t="n">
        <f aca="false">SUM(AI17:BN17)</f>
        <v>0.378017187776872</v>
      </c>
      <c r="AJ18" s="11" t="n">
        <f aca="false">SUM(AJ17:BN17)</f>
        <v>0.330144866402904</v>
      </c>
      <c r="AK18" s="11" t="n">
        <f aca="false">SUM(AK17:BN17)</f>
        <v>0.279925302348957</v>
      </c>
      <c r="AL18" s="11" t="n">
        <f aca="false">SUM(AL17:BN17)</f>
        <v>0.22821638432338</v>
      </c>
      <c r="AM18" s="11" t="n">
        <f aca="false">SUM(AM17:BN17)</f>
        <v>0.174078179848423</v>
      </c>
      <c r="AN18" s="11" t="n">
        <f aca="false">SUM(AN17:BN17)</f>
        <v>0.117416686025284</v>
      </c>
      <c r="AO18" s="11" t="n">
        <f aca="false">SUM(AO17:BN17)</f>
        <v>0.0580156414644526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754</v>
      </c>
      <c r="E19" s="0" t="s">
        <v>109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</v>
      </c>
      <c r="Q19" s="11" t="n">
        <f aca="false">IF(Q18&gt;Inputs!$F$253,Q17/Q18,0)</f>
        <v>0.0249212166711209</v>
      </c>
      <c r="R19" s="11" t="n">
        <f aca="false">IF(R18&gt;Inputs!$F$253,R17/R18,0)</f>
        <v>0.0273276384698168</v>
      </c>
      <c r="S19" s="11" t="n">
        <f aca="false">IF(S18&gt;Inputs!$F$253,S17/S18,0)</f>
        <v>0.02909648690063</v>
      </c>
      <c r="T19" s="11" t="n">
        <f aca="false">IF(T18&gt;Inputs!$F$253,T17/T18,0)</f>
        <v>0.0313717603478838</v>
      </c>
      <c r="U19" s="11" t="n">
        <f aca="false">IF(U18&gt;Inputs!$F$253,U17/U18,0)</f>
        <v>0.0332964646312485</v>
      </c>
      <c r="V19" s="11" t="n">
        <f aca="false">IF(V18&gt;Inputs!$F$253,V17/V18,0)</f>
        <v>0.0360207449751105</v>
      </c>
      <c r="W19" s="11" t="n">
        <f aca="false">IF(W18&gt;Inputs!$F$253,W17/W18,0)</f>
        <v>0.0394338896457793</v>
      </c>
      <c r="X19" s="11" t="n">
        <f aca="false">IF(X18&gt;Inputs!$F$253,X17/X18,0)</f>
        <v>0.0429346094447312</v>
      </c>
      <c r="Y19" s="11" t="n">
        <f aca="false">IF(Y18&gt;Inputs!$F$253,Y17/Y18,0)</f>
        <v>0.0416857991213074</v>
      </c>
      <c r="Z19" s="11" t="n">
        <f aca="false">IF(Z18&gt;Inputs!$F$253,Z17/Z18,0)</f>
        <v>0.0455446462185509</v>
      </c>
      <c r="AA19" s="11" t="n">
        <f aca="false">IF(AA18&gt;Inputs!$F$253,AA17/AA18,0)</f>
        <v>0.0487157367273339</v>
      </c>
      <c r="AB19" s="11" t="n">
        <f aca="false">IF(AB18&gt;Inputs!$F$253,AB17/AB18,0)</f>
        <v>0.0537024748669569</v>
      </c>
      <c r="AC19" s="11" t="n">
        <f aca="false">IF(AC18&gt;Inputs!$F$253,AC17/AC18,0)</f>
        <v>0.0583636615964671</v>
      </c>
      <c r="AD19" s="11" t="n">
        <f aca="false">IF(AD18&gt;Inputs!$F$253,AD17/AD18,0)</f>
        <v>0.0649316101051207</v>
      </c>
      <c r="AE19" s="11" t="n">
        <f aca="false">IF(AE18&gt;Inputs!$F$253,AE17/AE18,0)</f>
        <v>0.0750641877640053</v>
      </c>
      <c r="AF19" s="11" t="n">
        <f aca="false">IF(AF18&gt;Inputs!$F$253,AF17/AF18,0)</f>
        <v>0.0855238354569905</v>
      </c>
      <c r="AG19" s="11" t="n">
        <f aca="false">IF(AG18&gt;Inputs!$F$253,AG17/AG18,0)</f>
        <v>0.0941989016647659</v>
      </c>
      <c r="AH19" s="11" t="n">
        <f aca="false">IF(AH18&gt;Inputs!$F$253,AH17/AH18,0)</f>
        <v>0.109370192277456</v>
      </c>
      <c r="AI19" s="11" t="n">
        <f aca="false">IF(AI18&gt;Inputs!$F$253,AI17/AI18,0)</f>
        <v>0.126640594454199</v>
      </c>
      <c r="AJ19" s="11" t="n">
        <f aca="false">IF(AJ18&gt;Inputs!$F$253,AJ17/AJ18,0)</f>
        <v>0.152113720867797</v>
      </c>
      <c r="AK19" s="11" t="n">
        <f aca="false">IF(AK18&gt;Inputs!$F$253,AK17/AK18,0)</f>
        <v>0.184723987405457</v>
      </c>
      <c r="AL19" s="11" t="n">
        <f aca="false">IF(AL18&gt;Inputs!$F$253,AL17/AL18,0)</f>
        <v>0.237223127670989</v>
      </c>
      <c r="AM19" s="11" t="n">
        <f aca="false">IF(AM18&gt;Inputs!$F$253,AM17/AM18,0)</f>
        <v>0.325494521326435</v>
      </c>
      <c r="AN19" s="11" t="n">
        <f aca="false">IF(AN18&gt;Inputs!$F$253,AN17/AN18,0)</f>
        <v>0.505899515406525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755</v>
      </c>
    </row>
    <row r="21" customFormat="false" ht="15" hidden="false" customHeight="false" outlineLevel="0" collapsed="false">
      <c r="D21" s="0" t="s">
        <v>756</v>
      </c>
      <c r="E21" s="0" t="s">
        <v>149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0</v>
      </c>
      <c r="Q21" s="13" t="n">
        <f aca="false">Time!Q35*P33</f>
        <v>189.976792662832</v>
      </c>
      <c r="R21" s="13" t="n">
        <f aca="false">Time!R35*Q33</f>
        <v>179.782982366461</v>
      </c>
      <c r="S21" s="13" t="n">
        <f aca="false">Time!S35*R33</f>
        <v>174.869938021325</v>
      </c>
      <c r="T21" s="13" t="n">
        <f aca="false">Time!T35*S33</f>
        <v>169.781837160374</v>
      </c>
      <c r="U21" s="13" t="n">
        <f aca="false">Time!U35*T33</f>
        <v>167.651295117646</v>
      </c>
      <c r="V21" s="13" t="n">
        <f aca="false">Time!V35*U33</f>
        <v>161.376555710012</v>
      </c>
      <c r="W21" s="13" t="n">
        <f aca="false">Time!W35*V33</f>
        <v>154.851035361325</v>
      </c>
      <c r="X21" s="13" t="n">
        <f aca="false">Time!X35*W33</f>
        <v>148.008715125178</v>
      </c>
      <c r="Y21" s="13" t="n">
        <f aca="false">Time!Y35*X33</f>
        <v>140.88936822728</v>
      </c>
      <c r="Z21" s="13" t="n">
        <f aca="false">Time!Z35*Y33</f>
        <v>135.01628232503</v>
      </c>
      <c r="AA21" s="13" t="n">
        <f aca="false">Time!AA35*Z33</f>
        <v>128.867013512792</v>
      </c>
      <c r="AB21" s="13" t="n">
        <f aca="false">Time!AB35*AA33</f>
        <v>122.589162009665</v>
      </c>
      <c r="AC21" s="13" t="n">
        <f aca="false">Time!AC35*AB33</f>
        <v>116.00582061788</v>
      </c>
      <c r="AD21" s="13" t="n">
        <f aca="false">Time!AD35*AC33</f>
        <v>109.235296160118</v>
      </c>
      <c r="AE21" s="13" t="n">
        <f aca="false">Time!AE35*AD33</f>
        <v>102.142472500132</v>
      </c>
      <c r="AF21" s="13" t="n">
        <f aca="false">Time!AF35*AE33</f>
        <v>94.4752307657019</v>
      </c>
      <c r="AG21" s="13" t="n">
        <f aca="false">Time!AG35*AF33</f>
        <v>86.3953466749348</v>
      </c>
      <c r="AH21" s="13" t="n">
        <f aca="false">Time!AH35*AG33</f>
        <v>78.2569999092093</v>
      </c>
      <c r="AI21" s="13" t="n">
        <f aca="false">Time!AI35*AH33</f>
        <v>69.6980167820823</v>
      </c>
      <c r="AJ21" s="13" t="n">
        <f aca="false">Time!AJ35*AI33</f>
        <v>60.8714185045207</v>
      </c>
      <c r="AK21" s="13" t="n">
        <f aca="false">Time!AK35*AJ33</f>
        <v>51.6120405412972</v>
      </c>
      <c r="AL21" s="13" t="n">
        <f aca="false">Time!AL35*AK33</f>
        <v>42.0780586143767</v>
      </c>
      <c r="AM21" s="13" t="n">
        <f aca="false">Time!AM35*AL33</f>
        <v>32.096169943551</v>
      </c>
      <c r="AN21" s="13" t="n">
        <f aca="false">Time!AN35*AM33</f>
        <v>21.649042471363</v>
      </c>
      <c r="AO21" s="13" t="n">
        <f aca="false">Time!AO35*AN33</f>
        <v>10.6968023760852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757</v>
      </c>
      <c r="E22" s="0" t="s">
        <v>149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3.1958130640912</v>
      </c>
      <c r="V22" s="13" t="n">
        <f aca="false">U30</f>
        <v>2.3968597980684</v>
      </c>
      <c r="W22" s="13" t="n">
        <f aca="false">V30</f>
        <v>1.5979065320456</v>
      </c>
      <c r="X22" s="13" t="n">
        <f aca="false">W30</f>
        <v>0.798953266022801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758</v>
      </c>
      <c r="E23" s="0" t="s">
        <v>149</v>
      </c>
      <c r="G23" s="13" t="n">
        <f aca="false">SUM(J23:BN23)</f>
        <v>77.4132666334019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0</v>
      </c>
      <c r="Q23" s="13" t="n">
        <f aca="false">Q21*Q10</f>
        <v>1.61422225298983</v>
      </c>
      <c r="R23" s="13" t="n">
        <f aca="false">R21*R10</f>
        <v>3.94204152668861</v>
      </c>
      <c r="S23" s="13" t="n">
        <f aca="false">S21*S10</f>
        <v>5.83640591036858</v>
      </c>
      <c r="T23" s="13" t="n">
        <f aca="false">T21*T10</f>
        <v>6.72373728993632</v>
      </c>
      <c r="U23" s="13" t="n">
        <f aca="false">U21*U10</f>
        <v>6.30444927446568</v>
      </c>
      <c r="V23" s="13" t="n">
        <f aca="false">V21*V10</f>
        <v>6.18466612671503</v>
      </c>
      <c r="W23" s="13" t="n">
        <f aca="false">W21*W10</f>
        <v>4.69334157609261</v>
      </c>
      <c r="X23" s="13" t="n">
        <f aca="false">X21*X10</f>
        <v>4.49979319024473</v>
      </c>
      <c r="Y23" s="13" t="n">
        <f aca="false">Y21*Y10</f>
        <v>3.82391380021428</v>
      </c>
      <c r="Z23" s="13" t="n">
        <f aca="false">Z21*Z10</f>
        <v>3.69764531853579</v>
      </c>
      <c r="AA23" s="13" t="n">
        <f aca="false">AA21*AA10</f>
        <v>3.38746654512164</v>
      </c>
      <c r="AB23" s="13" t="n">
        <f aca="false">AB21*AB10</f>
        <v>3.27585428441756</v>
      </c>
      <c r="AC23" s="13" t="n">
        <f aca="false">AC21*AC10</f>
        <v>3.09556157382458</v>
      </c>
      <c r="AD23" s="13" t="n">
        <f aca="false">AD21*AD10</f>
        <v>2.94692505980719</v>
      </c>
      <c r="AE23" s="13" t="n">
        <f aca="false">AE21*AE10</f>
        <v>2.71064859357324</v>
      </c>
      <c r="AF23" s="13" t="n">
        <f aca="false">AF21*AF10</f>
        <v>2.54873136121147</v>
      </c>
      <c r="AG23" s="13" t="n">
        <f aca="false">AG21*AG10</f>
        <v>2.29275265443944</v>
      </c>
      <c r="AH23" s="13" t="n">
        <f aca="false">AH21*AH10</f>
        <v>2.11119960529734</v>
      </c>
      <c r="AI23" s="13" t="n">
        <f aca="false">AI21*AI10</f>
        <v>1.84964027735819</v>
      </c>
      <c r="AJ23" s="13" t="n">
        <f aca="false">AJ21*AJ10</f>
        <v>1.64217533089343</v>
      </c>
      <c r="AK23" s="13" t="n">
        <f aca="false">AK21*AK10</f>
        <v>1.37724338826573</v>
      </c>
      <c r="AL23" s="13" t="n">
        <f aca="false">AL21*AL10</f>
        <v>1.13517232760537</v>
      </c>
      <c r="AM23" s="13" t="n">
        <f aca="false">AM21*AM10</f>
        <v>0.851765536774745</v>
      </c>
      <c r="AN23" s="13" t="n">
        <f aca="false">AN21*AN10</f>
        <v>0.584042960676137</v>
      </c>
      <c r="AO23" s="13" t="n">
        <f aca="false">AO21*AO10</f>
        <v>0.283870867884354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759</v>
      </c>
      <c r="E24" s="0" t="s">
        <v>149</v>
      </c>
      <c r="G24" s="13" t="n">
        <f aca="false">SUM(J24:BN24)</f>
        <v>184.517435178896</v>
      </c>
      <c r="J24" s="13" t="n">
        <f aca="false">Time!J35*(J21-J22)*J19</f>
        <v>0</v>
      </c>
      <c r="K24" s="13" t="n">
        <f aca="false">Time!K35*(K21-K22)*K19</f>
        <v>0</v>
      </c>
      <c r="L24" s="13" t="n">
        <f aca="false">Time!L35*(L21-L22)*L19</f>
        <v>0</v>
      </c>
      <c r="M24" s="13" t="n">
        <f aca="false">Time!M35*(M21-M22)*M19</f>
        <v>0</v>
      </c>
      <c r="N24" s="13" t="n">
        <f aca="false">Time!N35*(N21-N22)*N19</f>
        <v>0</v>
      </c>
      <c r="O24" s="13" t="n">
        <f aca="false">Time!O35*(O21-O22)*O19</f>
        <v>0</v>
      </c>
      <c r="P24" s="13" t="n">
        <f aca="false">Time!P35*(P21-P22)*P19</f>
        <v>0</v>
      </c>
      <c r="Q24" s="13" t="n">
        <f aca="false">Time!Q35*(Q21-Q22)*Q19</f>
        <v>4.73445281243504</v>
      </c>
      <c r="R24" s="13" t="n">
        <f aca="false">Time!R35*(R21-R22)*R19</f>
        <v>4.91304434513609</v>
      </c>
      <c r="S24" s="13" t="n">
        <f aca="false">Time!S35*(S21-S22)*S19</f>
        <v>5.08810086095146</v>
      </c>
      <c r="T24" s="13" t="n">
        <f aca="false">Time!T35*(T21-T22)*T19</f>
        <v>5.32635510681867</v>
      </c>
      <c r="U24" s="13" t="n">
        <f aca="false">Time!U35*(U21-U22)*U19</f>
        <v>5.47578614161112</v>
      </c>
      <c r="V24" s="13" t="n">
        <f aca="false">Time!V35*(V21-V22)*V19</f>
        <v>5.72656708266476</v>
      </c>
      <c r="W24" s="13" t="n">
        <f aca="false">Time!W35*(W21-W22)*W19</f>
        <v>6.04336697012419</v>
      </c>
      <c r="X24" s="13" t="n">
        <f aca="false">Time!X35*(X21-X22)*X19</f>
        <v>6.3203936318747</v>
      </c>
      <c r="Y24" s="13" t="n">
        <f aca="false">Time!Y35*(Y21-Y22)*Y19</f>
        <v>5.87308590225032</v>
      </c>
      <c r="Z24" s="13" t="n">
        <f aca="false">Time!Z35*(Z21-Z22)*Z19</f>
        <v>6.14926881223748</v>
      </c>
      <c r="AA24" s="13" t="n">
        <f aca="false">Time!AA35*(AA21-AA22)*AA19</f>
        <v>6.27785150312697</v>
      </c>
      <c r="AB24" s="13" t="n">
        <f aca="false">Time!AB35*(AB21-AB22)*AB19</f>
        <v>6.58334139178536</v>
      </c>
      <c r="AC24" s="13" t="n">
        <f aca="false">Time!AC35*(AC21-AC22)*AC19</f>
        <v>6.77052445776242</v>
      </c>
      <c r="AD24" s="13" t="n">
        <f aca="false">Time!AD35*(AD21-AD22)*AD19</f>
        <v>7.09282365998615</v>
      </c>
      <c r="AE24" s="13" t="n">
        <f aca="false">Time!AE35*(AE21-AE22)*AE19</f>
        <v>7.66724173442963</v>
      </c>
      <c r="AF24" s="13" t="n">
        <f aca="false">Time!AF35*(AF21-AF22)*AF19</f>
        <v>8.0798840907671</v>
      </c>
      <c r="AG24" s="13" t="n">
        <f aca="false">Time!AG35*(AG21-AG22)*AG19</f>
        <v>8.13834676572555</v>
      </c>
      <c r="AH24" s="13" t="n">
        <f aca="false">Time!AH35*(AH21-AH22)*AH19</f>
        <v>8.55898312712704</v>
      </c>
      <c r="AI24" s="13" t="n">
        <f aca="false">Time!AI35*(AI21-AI22)*AI19</f>
        <v>8.8265982775616</v>
      </c>
      <c r="AJ24" s="13" t="n">
        <f aca="false">Time!AJ35*(AJ21-AJ22)*AJ19</f>
        <v>9.25937796322348</v>
      </c>
      <c r="AK24" s="13" t="n">
        <f aca="false">Time!AK35*(AK21-AK22)*AK19</f>
        <v>9.5339819269205</v>
      </c>
      <c r="AL24" s="13" t="n">
        <f aca="false">Time!AL35*(AL21-AL22)*AL19</f>
        <v>9.98188867082562</v>
      </c>
      <c r="AM24" s="13" t="n">
        <f aca="false">Time!AM35*(AM21-AM22)*AM19</f>
        <v>10.4471274721881</v>
      </c>
      <c r="AN24" s="13" t="n">
        <f aca="false">Time!AN35*(AN21-AN22)*AN19</f>
        <v>10.9522400952778</v>
      </c>
      <c r="AO24" s="13" t="n">
        <f aca="false">Time!AO35*(AO21-AO22)*AO19</f>
        <v>10.6968023760852</v>
      </c>
      <c r="AP24" s="13" t="n">
        <f aca="false">Time!AP35*(AP21-AP22)*AP19</f>
        <v>0</v>
      </c>
      <c r="AQ24" s="13" t="n">
        <f aca="false">Time!AQ35*(AQ21-AQ22)*AQ19</f>
        <v>0</v>
      </c>
      <c r="AR24" s="13" t="n">
        <f aca="false">Time!AR35*(AR21-AR22)*AR19</f>
        <v>0</v>
      </c>
      <c r="AS24" s="13" t="n">
        <f aca="false">Time!AS35*(AS21-AS22)*AS19</f>
        <v>0</v>
      </c>
      <c r="AT24" s="13" t="n">
        <f aca="false">Time!AT35*(AT21-AT22)*AT19</f>
        <v>0</v>
      </c>
      <c r="AU24" s="13" t="n">
        <f aca="false">Time!AU35*(AU21-AU22)*AU19</f>
        <v>0</v>
      </c>
      <c r="AV24" s="13" t="n">
        <f aca="false">Time!AV35*(AV21-AV22)*AV19</f>
        <v>0</v>
      </c>
      <c r="AW24" s="13" t="n">
        <f aca="false">Time!AW35*(AW21-AW22)*AW19</f>
        <v>0</v>
      </c>
      <c r="AX24" s="13" t="n">
        <f aca="false">Time!AX35*(AX21-AX22)*AX19</f>
        <v>0</v>
      </c>
      <c r="AY24" s="13" t="n">
        <f aca="false">Time!AY35*(AY21-AY22)*AY19</f>
        <v>0</v>
      </c>
      <c r="AZ24" s="13" t="n">
        <f aca="false">Time!AZ35*(AZ21-AZ22)*AZ19</f>
        <v>0</v>
      </c>
      <c r="BA24" s="13" t="n">
        <f aca="false">Time!BA35*(BA21-BA22)*BA19</f>
        <v>0</v>
      </c>
      <c r="BB24" s="13" t="n">
        <f aca="false">Time!BB35*(BB21-BB22)*BB19</f>
        <v>0</v>
      </c>
      <c r="BC24" s="13" t="n">
        <f aca="false">Time!BC35*(BC21-BC22)*BC19</f>
        <v>0</v>
      </c>
      <c r="BD24" s="13" t="n">
        <f aca="false">Time!BD35*(BD21-BD22)*BD19</f>
        <v>0</v>
      </c>
      <c r="BE24" s="13" t="n">
        <f aca="false">Time!BE35*(BE21-BE22)*BE19</f>
        <v>0</v>
      </c>
      <c r="BF24" s="13" t="n">
        <f aca="false">Time!BF35*(BF21-BF22)*BF19</f>
        <v>0</v>
      </c>
      <c r="BG24" s="13" t="n">
        <f aca="false">Time!BG35*(BG21-BG22)*BG19</f>
        <v>0</v>
      </c>
      <c r="BH24" s="13" t="n">
        <f aca="false">Time!BH35*(BH21-BH22)*BH19</f>
        <v>0</v>
      </c>
      <c r="BI24" s="13" t="n">
        <f aca="false">Time!BI35*(BI21-BI22)*BI19</f>
        <v>0</v>
      </c>
      <c r="BJ24" s="13" t="n">
        <f aca="false">Time!BJ35*(BJ21-BJ22)*BJ19</f>
        <v>0</v>
      </c>
      <c r="BK24" s="13" t="n">
        <f aca="false">Time!BK35*(BK21-BK22)*BK19</f>
        <v>0</v>
      </c>
      <c r="BL24" s="13" t="n">
        <f aca="false">Time!BL35*(BL21-BL22)*BL19</f>
        <v>0</v>
      </c>
      <c r="BM24" s="13" t="n">
        <f aca="false">Time!BM35*(BM21-BM22)*BM19</f>
        <v>0</v>
      </c>
      <c r="BN24" s="13" t="n">
        <f aca="false">Time!BN35*(BN21-BN22)*BN19</f>
        <v>0</v>
      </c>
    </row>
    <row r="25" customFormat="false" ht="15" hidden="false" customHeight="false" outlineLevel="0" collapsed="false">
      <c r="D25" s="0" t="s">
        <v>760</v>
      </c>
      <c r="E25" s="0" t="s">
        <v>149</v>
      </c>
      <c r="G25" s="13" t="n">
        <f aca="false">SUM(J25:BN25)</f>
        <v>3.1958130640912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3.1958130640912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761</v>
      </c>
      <c r="E26" s="0" t="s">
        <v>149</v>
      </c>
      <c r="G26" s="13" t="n">
        <f aca="false">SUM(J26:BN26)</f>
        <v>3.1958130640912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0.7989532660228</v>
      </c>
      <c r="V26" s="13" t="n">
        <f aca="false">IF(Time!V46&gt;0,Time!V45*V22/Time!V46,0)</f>
        <v>0.7989532660228</v>
      </c>
      <c r="W26" s="13" t="n">
        <f aca="false">IF(Time!W46&gt;0,Time!W45*W22/Time!W46,0)</f>
        <v>0.798953266022801</v>
      </c>
      <c r="X26" s="13" t="n">
        <f aca="false">IF(Time!X46&gt;0,Time!X45*X22/Time!X46,0)</f>
        <v>0.798953266022801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762</v>
      </c>
      <c r="E27" s="0" t="s">
        <v>149</v>
      </c>
      <c r="G27" s="13" t="n">
        <f aca="false">SUM(J27:BN27)</f>
        <v>184.517435178896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0</v>
      </c>
      <c r="Q27" s="13" t="n">
        <f aca="false">Q24-Q25+Q26</f>
        <v>4.73445281243504</v>
      </c>
      <c r="R27" s="13" t="n">
        <f aca="false">R24-R25+R26</f>
        <v>4.91304434513609</v>
      </c>
      <c r="S27" s="13" t="n">
        <f aca="false">S24-S25+S26</f>
        <v>5.08810086095146</v>
      </c>
      <c r="T27" s="13" t="n">
        <f aca="false">T24-T25+T26</f>
        <v>2.13054204272747</v>
      </c>
      <c r="U27" s="13" t="n">
        <f aca="false">U24-U25+U26</f>
        <v>6.27473940763392</v>
      </c>
      <c r="V27" s="13" t="n">
        <f aca="false">V24-V25+V26</f>
        <v>6.52552034868756</v>
      </c>
      <c r="W27" s="13" t="n">
        <f aca="false">W24-W25+W26</f>
        <v>6.84232023614699</v>
      </c>
      <c r="X27" s="13" t="n">
        <f aca="false">X24-X25+X26</f>
        <v>7.1193468978975</v>
      </c>
      <c r="Y27" s="13" t="n">
        <f aca="false">Y24-Y25+Y26</f>
        <v>5.87308590225032</v>
      </c>
      <c r="Z27" s="13" t="n">
        <f aca="false">Z24-Z25+Z26</f>
        <v>6.14926881223748</v>
      </c>
      <c r="AA27" s="13" t="n">
        <f aca="false">AA24-AA25+AA26</f>
        <v>6.27785150312697</v>
      </c>
      <c r="AB27" s="13" t="n">
        <f aca="false">AB24-AB25+AB26</f>
        <v>6.58334139178536</v>
      </c>
      <c r="AC27" s="13" t="n">
        <f aca="false">AC24-AC25+AC26</f>
        <v>6.77052445776242</v>
      </c>
      <c r="AD27" s="13" t="n">
        <f aca="false">AD24-AD25+AD26</f>
        <v>7.09282365998615</v>
      </c>
      <c r="AE27" s="13" t="n">
        <f aca="false">AE24-AE25+AE26</f>
        <v>7.66724173442963</v>
      </c>
      <c r="AF27" s="13" t="n">
        <f aca="false">AF24-AF25+AF26</f>
        <v>8.0798840907671</v>
      </c>
      <c r="AG27" s="13" t="n">
        <f aca="false">AG24-AG25+AG26</f>
        <v>8.13834676572555</v>
      </c>
      <c r="AH27" s="13" t="n">
        <f aca="false">AH24-AH25+AH26</f>
        <v>8.55898312712704</v>
      </c>
      <c r="AI27" s="13" t="n">
        <f aca="false">AI24-AI25+AI26</f>
        <v>8.8265982775616</v>
      </c>
      <c r="AJ27" s="13" t="n">
        <f aca="false">AJ24-AJ25+AJ26</f>
        <v>9.25937796322348</v>
      </c>
      <c r="AK27" s="13" t="n">
        <f aca="false">AK24-AK25+AK26</f>
        <v>9.5339819269205</v>
      </c>
      <c r="AL27" s="13" t="n">
        <f aca="false">AL24-AL25+AL26</f>
        <v>9.98188867082562</v>
      </c>
      <c r="AM27" s="13" t="n">
        <f aca="false">AM24-AM25+AM26</f>
        <v>10.4471274721881</v>
      </c>
      <c r="AN27" s="13" t="n">
        <f aca="false">AN24-AN25+AN26</f>
        <v>10.9522400952778</v>
      </c>
      <c r="AO27" s="13" t="n">
        <f aca="false">AO24-AO25+AO26</f>
        <v>10.6968023760852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763</v>
      </c>
      <c r="E28" s="0" t="s">
        <v>149</v>
      </c>
      <c r="G28" s="13" t="n">
        <f aca="false">SUM(J28:BN28)</f>
        <v>5.45935748393593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5.45935748393593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764</v>
      </c>
      <c r="E29" s="0" t="s">
        <v>149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765</v>
      </c>
      <c r="E30" s="0" t="s">
        <v>149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3.1958130640912</v>
      </c>
      <c r="U30" s="13" t="n">
        <f aca="false">U22+U25-U26</f>
        <v>2.3968597980684</v>
      </c>
      <c r="V30" s="13" t="n">
        <f aca="false">V22+V25-V26</f>
        <v>1.5979065320456</v>
      </c>
      <c r="W30" s="13" t="n">
        <f aca="false">W22+W25-W26</f>
        <v>0.798953266022801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766</v>
      </c>
      <c r="E31" s="0" t="s">
        <v>149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0</v>
      </c>
      <c r="Q31" s="13" t="n">
        <f aca="false">Q21-Q27-Q28-Q29</f>
        <v>179.782982366461</v>
      </c>
      <c r="R31" s="13" t="n">
        <f aca="false">R21-R27-R28-R29</f>
        <v>174.869938021325</v>
      </c>
      <c r="S31" s="13" t="n">
        <f aca="false">S21-S27-S28-S29</f>
        <v>169.781837160374</v>
      </c>
      <c r="T31" s="13" t="n">
        <f aca="false">T21-T27-T28-T29</f>
        <v>167.651295117646</v>
      </c>
      <c r="U31" s="13" t="n">
        <f aca="false">U21-U27-U28-U29</f>
        <v>161.376555710012</v>
      </c>
      <c r="V31" s="13" t="n">
        <f aca="false">V21-V27-V28-V29</f>
        <v>154.851035361325</v>
      </c>
      <c r="W31" s="13" t="n">
        <f aca="false">W21-W27-W28-W29</f>
        <v>148.008715125178</v>
      </c>
      <c r="X31" s="13" t="n">
        <f aca="false">X21-X27-X28-X29</f>
        <v>140.88936822728</v>
      </c>
      <c r="Y31" s="13" t="n">
        <f aca="false">Y21-Y27-Y28-Y29</f>
        <v>135.01628232503</v>
      </c>
      <c r="Z31" s="13" t="n">
        <f aca="false">Z21-Z27-Z28-Z29</f>
        <v>128.867013512792</v>
      </c>
      <c r="AA31" s="13" t="n">
        <f aca="false">AA21-AA27-AA28-AA29</f>
        <v>122.589162009665</v>
      </c>
      <c r="AB31" s="13" t="n">
        <f aca="false">AB21-AB27-AB28-AB29</f>
        <v>116.00582061788</v>
      </c>
      <c r="AC31" s="13" t="n">
        <f aca="false">AC21-AC27-AC28-AC29</f>
        <v>109.235296160118</v>
      </c>
      <c r="AD31" s="13" t="n">
        <f aca="false">AD21-AD27-AD28-AD29</f>
        <v>102.142472500132</v>
      </c>
      <c r="AE31" s="13" t="n">
        <f aca="false">AE21-AE27-AE28-AE29</f>
        <v>94.4752307657019</v>
      </c>
      <c r="AF31" s="13" t="n">
        <f aca="false">AF21-AF27-AF28-AF29</f>
        <v>86.3953466749348</v>
      </c>
      <c r="AG31" s="13" t="n">
        <f aca="false">AG21-AG27-AG28-AG29</f>
        <v>78.2569999092093</v>
      </c>
      <c r="AH31" s="13" t="n">
        <f aca="false">AH21-AH27-AH28-AH29</f>
        <v>69.6980167820823</v>
      </c>
      <c r="AI31" s="13" t="n">
        <f aca="false">AI21-AI27-AI28-AI29</f>
        <v>60.8714185045207</v>
      </c>
      <c r="AJ31" s="13" t="n">
        <f aca="false">AJ21-AJ27-AJ28-AJ29</f>
        <v>51.6120405412972</v>
      </c>
      <c r="AK31" s="13" t="n">
        <f aca="false">AK21-AK27-AK28-AK29</f>
        <v>42.0780586143767</v>
      </c>
      <c r="AL31" s="13" t="n">
        <f aca="false">AL21-AL27-AL28-AL29</f>
        <v>32.096169943551</v>
      </c>
      <c r="AM31" s="13" t="n">
        <f aca="false">AM21-AM27-AM28-AM29</f>
        <v>21.649042471363</v>
      </c>
      <c r="AN31" s="13" t="n">
        <f aca="false">AN21-AN27-AN28-AN29</f>
        <v>10.6968023760852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767</v>
      </c>
      <c r="E32" s="0" t="s">
        <v>149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768</v>
      </c>
      <c r="E33" s="0" t="s">
        <v>149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0</v>
      </c>
      <c r="P33" s="13" t="n">
        <f aca="false">IF(Time!P34=1,INDEX(Funding!$J$61:$BJ$61,1,Time!$F$14),Time!P35*(P31-P32))</f>
        <v>189.976792662832</v>
      </c>
      <c r="Q33" s="13" t="n">
        <f aca="false">IF(Time!Q34=1,INDEX(Funding!$J$61:$BJ$61,1,Time!$F$14),Time!Q35*(Q31-Q32))</f>
        <v>179.782982366461</v>
      </c>
      <c r="R33" s="13" t="n">
        <f aca="false">IF(Time!R34=1,INDEX(Funding!$J$61:$BJ$61,1,Time!$F$14),Time!R35*(R31-R32))</f>
        <v>174.869938021325</v>
      </c>
      <c r="S33" s="13" t="n">
        <f aca="false">IF(Time!S34=1,INDEX(Funding!$J$61:$BJ$61,1,Time!$F$14),Time!S35*(S31-S32))</f>
        <v>169.781837160374</v>
      </c>
      <c r="T33" s="13" t="n">
        <f aca="false">IF(Time!T34=1,INDEX(Funding!$J$61:$BJ$61,1,Time!$F$14),Time!T35*(T31-T32))</f>
        <v>167.651295117646</v>
      </c>
      <c r="U33" s="13" t="n">
        <f aca="false">IF(Time!U34=1,INDEX(Funding!$J$61:$BJ$61,1,Time!$F$14),Time!U35*(U31-U32))</f>
        <v>161.376555710012</v>
      </c>
      <c r="V33" s="13" t="n">
        <f aca="false">IF(Time!V34=1,INDEX(Funding!$J$61:$BJ$61,1,Time!$F$14),Time!V35*(V31-V32))</f>
        <v>154.851035361325</v>
      </c>
      <c r="W33" s="13" t="n">
        <f aca="false">IF(Time!W34=1,INDEX(Funding!$J$61:$BJ$61,1,Time!$F$14),Time!W35*(W31-W32))</f>
        <v>148.008715125178</v>
      </c>
      <c r="X33" s="13" t="n">
        <f aca="false">IF(Time!X34=1,INDEX(Funding!$J$61:$BJ$61,1,Time!$F$14),Time!X35*(X31-X32))</f>
        <v>140.88936822728</v>
      </c>
      <c r="Y33" s="13" t="n">
        <f aca="false">IF(Time!Y34=1,INDEX(Funding!$J$61:$BJ$61,1,Time!$F$14),Time!Y35*(Y31-Y32))</f>
        <v>135.01628232503</v>
      </c>
      <c r="Z33" s="13" t="n">
        <f aca="false">IF(Time!Z34=1,INDEX(Funding!$J$61:$BJ$61,1,Time!$F$14),Time!Z35*(Z31-Z32))</f>
        <v>128.867013512792</v>
      </c>
      <c r="AA33" s="13" t="n">
        <f aca="false">IF(Time!AA34=1,INDEX(Funding!$J$61:$BJ$61,1,Time!$F$14),Time!AA35*(AA31-AA32))</f>
        <v>122.589162009665</v>
      </c>
      <c r="AB33" s="13" t="n">
        <f aca="false">IF(Time!AB34=1,INDEX(Funding!$J$61:$BJ$61,1,Time!$F$14),Time!AB35*(AB31-AB32))</f>
        <v>116.00582061788</v>
      </c>
      <c r="AC33" s="13" t="n">
        <f aca="false">IF(Time!AC34=1,INDEX(Funding!$J$61:$BJ$61,1,Time!$F$14),Time!AC35*(AC31-AC32))</f>
        <v>109.235296160118</v>
      </c>
      <c r="AD33" s="13" t="n">
        <f aca="false">IF(Time!AD34=1,INDEX(Funding!$J$61:$BJ$61,1,Time!$F$14),Time!AD35*(AD31-AD32))</f>
        <v>102.142472500132</v>
      </c>
      <c r="AE33" s="13" t="n">
        <f aca="false">IF(Time!AE34=1,INDEX(Funding!$J$61:$BJ$61,1,Time!$F$14),Time!AE35*(AE31-AE32))</f>
        <v>94.4752307657019</v>
      </c>
      <c r="AF33" s="13" t="n">
        <f aca="false">IF(Time!AF34=1,INDEX(Funding!$J$61:$BJ$61,1,Time!$F$14),Time!AF35*(AF31-AF32))</f>
        <v>86.3953466749348</v>
      </c>
      <c r="AG33" s="13" t="n">
        <f aca="false">IF(Time!AG34=1,INDEX(Funding!$J$61:$BJ$61,1,Time!$F$14),Time!AG35*(AG31-AG32))</f>
        <v>78.2569999092093</v>
      </c>
      <c r="AH33" s="13" t="n">
        <f aca="false">IF(Time!AH34=1,INDEX(Funding!$J$61:$BJ$61,1,Time!$F$14),Time!AH35*(AH31-AH32))</f>
        <v>69.6980167820823</v>
      </c>
      <c r="AI33" s="13" t="n">
        <f aca="false">IF(Time!AI34=1,INDEX(Funding!$J$61:$BJ$61,1,Time!$F$14),Time!AI35*(AI31-AI32))</f>
        <v>60.8714185045207</v>
      </c>
      <c r="AJ33" s="13" t="n">
        <f aca="false">IF(Time!AJ34=1,INDEX(Funding!$J$61:$BJ$61,1,Time!$F$14),Time!AJ35*(AJ31-AJ32))</f>
        <v>51.6120405412972</v>
      </c>
      <c r="AK33" s="13" t="n">
        <f aca="false">IF(Time!AK34=1,INDEX(Funding!$J$61:$BJ$61,1,Time!$F$14),Time!AK35*(AK31-AK32))</f>
        <v>42.0780586143767</v>
      </c>
      <c r="AL33" s="13" t="n">
        <f aca="false">IF(Time!AL34=1,INDEX(Funding!$J$61:$BJ$61,1,Time!$F$14),Time!AL35*(AL31-AL32))</f>
        <v>32.096169943551</v>
      </c>
      <c r="AM33" s="13" t="n">
        <f aca="false">IF(Time!AM34=1,INDEX(Funding!$J$61:$BJ$61,1,Time!$F$14),Time!AM35*(AM31-AM32))</f>
        <v>21.649042471363</v>
      </c>
      <c r="AN33" s="13" t="n">
        <f aca="false">IF(Time!AN34=1,INDEX(Funding!$J$61:$BJ$61,1,Time!$F$14),Time!AN35*(AN31-AN32))</f>
        <v>10.6968023760852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769</v>
      </c>
    </row>
    <row r="35" customFormat="false" ht="15" hidden="false" customHeight="false" outlineLevel="0" collapsed="false">
      <c r="D35" s="0" t="s">
        <v>756</v>
      </c>
      <c r="E35" s="0" t="s">
        <v>149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0</v>
      </c>
      <c r="Q35" s="13" t="n">
        <f aca="false">Time!Q35*P47</f>
        <v>139.31631461941</v>
      </c>
      <c r="R35" s="13" t="n">
        <f aca="false">Time!R35*Q47</f>
        <v>131.840853735405</v>
      </c>
      <c r="S35" s="13" t="n">
        <f aca="false">Time!S35*R47</f>
        <v>128.237954548972</v>
      </c>
      <c r="T35" s="13" t="n">
        <f aca="false">Time!T35*S47</f>
        <v>124.506680584274</v>
      </c>
      <c r="U35" s="13" t="n">
        <f aca="false">Time!U35*T47</f>
        <v>122.944283086274</v>
      </c>
      <c r="V35" s="13" t="n">
        <f aca="false">Time!V35*U47</f>
        <v>118.342807520676</v>
      </c>
      <c r="W35" s="13" t="n">
        <f aca="false">Time!W35*V47</f>
        <v>113.557425931638</v>
      </c>
      <c r="X35" s="13" t="n">
        <f aca="false">Time!X35*W47</f>
        <v>108.53972442513</v>
      </c>
      <c r="Y35" s="13" t="n">
        <f aca="false">Time!Y35*X47</f>
        <v>103.318870033339</v>
      </c>
      <c r="Z35" s="13" t="n">
        <f aca="false">Time!Z35*Y47</f>
        <v>99.0119403716887</v>
      </c>
      <c r="AA35" s="13" t="n">
        <f aca="false">Time!AA35*Z47</f>
        <v>94.5024765760478</v>
      </c>
      <c r="AB35" s="13" t="n">
        <f aca="false">Time!AB35*AA47</f>
        <v>89.8987188070881</v>
      </c>
      <c r="AC35" s="13" t="n">
        <f aca="false">Time!AC35*AB47</f>
        <v>85.0709351197788</v>
      </c>
      <c r="AD35" s="13" t="n">
        <f aca="false">Time!AD35*AC47</f>
        <v>80.105883850753</v>
      </c>
      <c r="AE35" s="13" t="n">
        <f aca="false">Time!AE35*AD47</f>
        <v>74.9044798334299</v>
      </c>
      <c r="AF35" s="13" t="n">
        <f aca="false">Time!AF35*AE47</f>
        <v>69.2818358948481</v>
      </c>
      <c r="AG35" s="13" t="n">
        <f aca="false">Time!AG35*AF47</f>
        <v>63.3565875616189</v>
      </c>
      <c r="AH35" s="13" t="n">
        <f aca="false">Time!AH35*AG47</f>
        <v>57.3884666000868</v>
      </c>
      <c r="AI35" s="13" t="n">
        <f aca="false">Time!AI35*AH47</f>
        <v>51.111878973527</v>
      </c>
      <c r="AJ35" s="13" t="n">
        <f aca="false">Time!AJ35*AI47</f>
        <v>44.6390402366485</v>
      </c>
      <c r="AK35" s="13" t="n">
        <f aca="false">Time!AK35*AJ47</f>
        <v>37.8488297302846</v>
      </c>
      <c r="AL35" s="13" t="n">
        <f aca="false">Time!AL35*AK47</f>
        <v>30.8572429838762</v>
      </c>
      <c r="AM35" s="13" t="n">
        <f aca="false">Time!AM35*AL47</f>
        <v>23.5371912919374</v>
      </c>
      <c r="AN35" s="13" t="n">
        <f aca="false">Time!AN35*AM47</f>
        <v>15.8759644789995</v>
      </c>
      <c r="AO35" s="13" t="n">
        <f aca="false">Time!AO35*AN47</f>
        <v>7.84432174246247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757</v>
      </c>
      <c r="E36" s="0" t="s">
        <v>149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2.34359624700022</v>
      </c>
      <c r="V36" s="13" t="n">
        <f aca="false">U44</f>
        <v>1.75769718525016</v>
      </c>
      <c r="W36" s="13" t="n">
        <f aca="false">V44</f>
        <v>1.17179812350011</v>
      </c>
      <c r="X36" s="13" t="n">
        <f aca="false">W44</f>
        <v>0.585899061750054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758</v>
      </c>
      <c r="E37" s="0" t="s">
        <v>149</v>
      </c>
      <c r="G37" s="13" t="n">
        <f aca="false">SUM(J37:BN37)</f>
        <v>80.282366905472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0</v>
      </c>
      <c r="Q37" s="13" t="n">
        <f aca="false">Q35*Q11</f>
        <v>2.79480136819422</v>
      </c>
      <c r="R37" s="13" t="n">
        <f aca="false">R35*R11</f>
        <v>4.44069293348341</v>
      </c>
      <c r="S37" s="13" t="n">
        <f aca="false">S35*S11</f>
        <v>5.76296045867966</v>
      </c>
      <c r="T37" s="13" t="n">
        <f aca="false">T35*T11</f>
        <v>6.39438587993288</v>
      </c>
      <c r="U37" s="13" t="n">
        <f aca="false">U35*U11</f>
        <v>6.05283160405023</v>
      </c>
      <c r="V37" s="13" t="n">
        <f aca="false">V35*V11</f>
        <v>5.92660727466741</v>
      </c>
      <c r="W37" s="13" t="n">
        <f aca="false">W35*W11</f>
        <v>4.75494927844961</v>
      </c>
      <c r="X37" s="13" t="n">
        <f aca="false">X35*X11</f>
        <v>4.57579309997711</v>
      </c>
      <c r="Y37" s="13" t="n">
        <f aca="false">Y35*Y11</f>
        <v>3.99897138668156</v>
      </c>
      <c r="Z37" s="13" t="n">
        <f aca="false">Z35*Z11</f>
        <v>3.87554693262899</v>
      </c>
      <c r="AA37" s="13" t="n">
        <f aca="false">AA35*AA11</f>
        <v>3.57695827193944</v>
      </c>
      <c r="AB37" s="13" t="n">
        <f aca="false">AB35*AB11</f>
        <v>3.4591025252162</v>
      </c>
      <c r="AC37" s="13" t="n">
        <f aca="false">AC35*AC11</f>
        <v>3.2592644163919</v>
      </c>
      <c r="AD37" s="13" t="n">
        <f aca="false">AD35*AD11</f>
        <v>3.10276754512635</v>
      </c>
      <c r="AE37" s="13" t="n">
        <f aca="false">AE35*AE11</f>
        <v>2.85399605069418</v>
      </c>
      <c r="AF37" s="13" t="n">
        <f aca="false">AF35*AF11</f>
        <v>2.68351613574118</v>
      </c>
      <c r="AG37" s="13" t="n">
        <f aca="false">AG35*AG11</f>
        <v>2.41400048553065</v>
      </c>
      <c r="AH37" s="13" t="n">
        <f aca="false">AH35*AH11</f>
        <v>2.22284635125018</v>
      </c>
      <c r="AI37" s="13" t="n">
        <f aca="false">AI35*AI11</f>
        <v>1.94745495941488</v>
      </c>
      <c r="AJ37" s="13" t="n">
        <f aca="false">AJ35*AJ11</f>
        <v>1.72901862677045</v>
      </c>
      <c r="AK37" s="13" t="n">
        <f aca="false">AK35*AK11</f>
        <v>1.4500762659809</v>
      </c>
      <c r="AL37" s="13" t="n">
        <f aca="false">AL35*AL11</f>
        <v>1.19520374109884</v>
      </c>
      <c r="AM37" s="13" t="n">
        <f aca="false">AM35*AM11</f>
        <v>0.896809525157968</v>
      </c>
      <c r="AN37" s="13" t="n">
        <f aca="false">AN35*AN11</f>
        <v>0.614928953593407</v>
      </c>
      <c r="AO37" s="13" t="n">
        <f aca="false">AO35*AO11</f>
        <v>0.298882834820391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759</v>
      </c>
      <c r="E38" s="0" t="s">
        <v>149</v>
      </c>
      <c r="G38" s="13" t="n">
        <f aca="false">SUM(J38:BN38)</f>
        <v>135.312785797857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0</v>
      </c>
      <c r="Q38" s="13" t="n">
        <f aca="false">Time!Q35*(Q35-Q36)*Q19</f>
        <v>3.47193206245237</v>
      </c>
      <c r="R38" s="13" t="n">
        <f aca="false">Time!R35*(R35-R36)*R19</f>
        <v>3.60289918643314</v>
      </c>
      <c r="S38" s="13" t="n">
        <f aca="false">Time!S35*(S35-S36)*S19</f>
        <v>3.73127396469774</v>
      </c>
      <c r="T38" s="13" t="n">
        <f aca="false">Time!T35*(T35-T36)*T19</f>
        <v>3.90599374500036</v>
      </c>
      <c r="U38" s="13" t="n">
        <f aca="false">Time!U35*(U35-U36)*U19</f>
        <v>4.01557650384816</v>
      </c>
      <c r="V38" s="13" t="n">
        <f aca="false">Time!V35*(V35-V36)*V19</f>
        <v>4.19948252728749</v>
      </c>
      <c r="W38" s="13" t="n">
        <f aca="false">Time!W35*(W35-W36)*W19</f>
        <v>4.43180244475774</v>
      </c>
      <c r="X38" s="13" t="n">
        <f aca="false">Time!X35*(X35-X36)*X19</f>
        <v>4.63495533004145</v>
      </c>
      <c r="Y38" s="13" t="n">
        <f aca="false">Time!Y35*(Y35-Y36)*Y19</f>
        <v>4.30692966165024</v>
      </c>
      <c r="Z38" s="13" t="n">
        <f aca="false">Time!Z35*(Z35-Z36)*Z19</f>
        <v>4.50946379564082</v>
      </c>
      <c r="AA38" s="13" t="n">
        <f aca="false">Time!AA35*(AA35-AA36)*AA19</f>
        <v>4.60375776895978</v>
      </c>
      <c r="AB38" s="13" t="n">
        <f aca="false">Time!AB35*(AB35-AB36)*AB19</f>
        <v>4.82778368730927</v>
      </c>
      <c r="AC38" s="13" t="n">
        <f aca="false">Time!AC35*(AC35-AC36)*AC19</f>
        <v>4.96505126902577</v>
      </c>
      <c r="AD38" s="13" t="n">
        <f aca="false">Time!AD35*(AD35-AD36)*AD19</f>
        <v>5.20140401732318</v>
      </c>
      <c r="AE38" s="13" t="n">
        <f aca="false">Time!AE35*(AE35-AE36)*AE19</f>
        <v>5.62264393858173</v>
      </c>
      <c r="AF38" s="13" t="n">
        <f aca="false">Time!AF35*(AF35-AF36)*AF19</f>
        <v>5.92524833322921</v>
      </c>
      <c r="AG38" s="13" t="n">
        <f aca="false">Time!AG35*(AG35-AG36)*AG19</f>
        <v>5.96812096153207</v>
      </c>
      <c r="AH38" s="13" t="n">
        <f aca="false">Time!AH35*(AH35-AH36)*AH19</f>
        <v>6.27658762655983</v>
      </c>
      <c r="AI38" s="13" t="n">
        <f aca="false">Time!AI35*(AI35-AI36)*AI19</f>
        <v>6.47283873687851</v>
      </c>
      <c r="AJ38" s="13" t="n">
        <f aca="false">Time!AJ35*(AJ35-AJ36)*AJ19</f>
        <v>6.79021050636389</v>
      </c>
      <c r="AK38" s="13" t="n">
        <f aca="false">Time!AK35*(AK35-AK36)*AK19</f>
        <v>6.99158674640837</v>
      </c>
      <c r="AL38" s="13" t="n">
        <f aca="false">Time!AL35*(AL35-AL36)*AL19</f>
        <v>7.32005169193879</v>
      </c>
      <c r="AM38" s="13" t="n">
        <f aca="false">Time!AM35*(AM35-AM36)*AM19</f>
        <v>7.66122681293791</v>
      </c>
      <c r="AN38" s="13" t="n">
        <f aca="false">Time!AN35*(AN35-AN36)*AN19</f>
        <v>8.03164273653707</v>
      </c>
      <c r="AO38" s="13" t="n">
        <f aca="false">Time!AO35*(AO35-AO36)*AO19</f>
        <v>7.84432174246247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760</v>
      </c>
      <c r="E39" s="0" t="s">
        <v>149</v>
      </c>
      <c r="G39" s="13" t="n">
        <f aca="false">SUM(J39:BN39)</f>
        <v>2.34359624700022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2.34359624700022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761</v>
      </c>
      <c r="E40" s="0" t="s">
        <v>149</v>
      </c>
      <c r="G40" s="13" t="n">
        <f aca="false">SUM(J40:BN40)</f>
        <v>2.34359624700022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0.585899061750054</v>
      </c>
      <c r="V40" s="13" t="n">
        <f aca="false">IF(Time!V46&gt;0,Time!V45*V36/Time!V46,0)</f>
        <v>0.585899061750054</v>
      </c>
      <c r="W40" s="13" t="n">
        <f aca="false">IF(Time!W46&gt;0,Time!W45*W36/Time!W46,0)</f>
        <v>0.585899061750054</v>
      </c>
      <c r="X40" s="13" t="n">
        <f aca="false">IF(Time!X46&gt;0,Time!X45*X36/Time!X46,0)</f>
        <v>0.585899061750054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762</v>
      </c>
      <c r="E41" s="0" t="s">
        <v>149</v>
      </c>
      <c r="G41" s="13" t="n">
        <f aca="false">SUM(J41:BN41)</f>
        <v>135.312785797857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0</v>
      </c>
      <c r="Q41" s="13" t="n">
        <f aca="false">Q38-Q39+Q40</f>
        <v>3.47193206245237</v>
      </c>
      <c r="R41" s="13" t="n">
        <f aca="false">R38-R39+R40</f>
        <v>3.60289918643314</v>
      </c>
      <c r="S41" s="13" t="n">
        <f aca="false">S38-S39+S40</f>
        <v>3.73127396469774</v>
      </c>
      <c r="T41" s="13" t="n">
        <f aca="false">T38-T39+T40</f>
        <v>1.56239749800014</v>
      </c>
      <c r="U41" s="13" t="n">
        <f aca="false">U38-U39+U40</f>
        <v>4.60147556559821</v>
      </c>
      <c r="V41" s="13" t="n">
        <f aca="false">V38-V39+V40</f>
        <v>4.78538158903754</v>
      </c>
      <c r="W41" s="13" t="n">
        <f aca="false">W38-W39+W40</f>
        <v>5.01770150650779</v>
      </c>
      <c r="X41" s="13" t="n">
        <f aca="false">X38-X39+X40</f>
        <v>5.2208543917915</v>
      </c>
      <c r="Y41" s="13" t="n">
        <f aca="false">Y38-Y39+Y40</f>
        <v>4.30692966165024</v>
      </c>
      <c r="Z41" s="13" t="n">
        <f aca="false">Z38-Z39+Z40</f>
        <v>4.50946379564082</v>
      </c>
      <c r="AA41" s="13" t="n">
        <f aca="false">AA38-AA39+AA40</f>
        <v>4.60375776895978</v>
      </c>
      <c r="AB41" s="13" t="n">
        <f aca="false">AB38-AB39+AB40</f>
        <v>4.82778368730927</v>
      </c>
      <c r="AC41" s="13" t="n">
        <f aca="false">AC38-AC39+AC40</f>
        <v>4.96505126902577</v>
      </c>
      <c r="AD41" s="13" t="n">
        <f aca="false">AD38-AD39+AD40</f>
        <v>5.20140401732318</v>
      </c>
      <c r="AE41" s="13" t="n">
        <f aca="false">AE38-AE39+AE40</f>
        <v>5.62264393858173</v>
      </c>
      <c r="AF41" s="13" t="n">
        <f aca="false">AF38-AF39+AF40</f>
        <v>5.92524833322921</v>
      </c>
      <c r="AG41" s="13" t="n">
        <f aca="false">AG38-AG39+AG40</f>
        <v>5.96812096153207</v>
      </c>
      <c r="AH41" s="13" t="n">
        <f aca="false">AH38-AH39+AH40</f>
        <v>6.27658762655983</v>
      </c>
      <c r="AI41" s="13" t="n">
        <f aca="false">AI38-AI39+AI40</f>
        <v>6.47283873687851</v>
      </c>
      <c r="AJ41" s="13" t="n">
        <f aca="false">AJ38-AJ39+AJ40</f>
        <v>6.79021050636389</v>
      </c>
      <c r="AK41" s="13" t="n">
        <f aca="false">AK38-AK39+AK40</f>
        <v>6.99158674640837</v>
      </c>
      <c r="AL41" s="13" t="n">
        <f aca="false">AL38-AL39+AL40</f>
        <v>7.32005169193879</v>
      </c>
      <c r="AM41" s="13" t="n">
        <f aca="false">AM38-AM39+AM40</f>
        <v>7.66122681293791</v>
      </c>
      <c r="AN41" s="13" t="n">
        <f aca="false">AN38-AN39+AN40</f>
        <v>8.03164273653707</v>
      </c>
      <c r="AO41" s="13" t="n">
        <f aca="false">AO38-AO39+AO40</f>
        <v>7.84432174246247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763</v>
      </c>
      <c r="E42" s="0" t="s">
        <v>149</v>
      </c>
      <c r="G42" s="13" t="n">
        <f aca="false">SUM(J42:BN42)</f>
        <v>4.00352882155302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4.00352882155302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764</v>
      </c>
      <c r="E43" s="0" t="s">
        <v>149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765</v>
      </c>
      <c r="E44" s="0" t="s">
        <v>149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2.34359624700022</v>
      </c>
      <c r="U44" s="13" t="n">
        <f aca="false">U36+U39-U40</f>
        <v>1.75769718525016</v>
      </c>
      <c r="V44" s="13" t="n">
        <f aca="false">V36+V39-V40</f>
        <v>1.17179812350011</v>
      </c>
      <c r="W44" s="13" t="n">
        <f aca="false">W36+W39-W40</f>
        <v>0.585899061750054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766</v>
      </c>
      <c r="E45" s="0" t="s">
        <v>149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0</v>
      </c>
      <c r="Q45" s="13" t="n">
        <f aca="false">Q35-Q41-Q42-Q43</f>
        <v>131.840853735405</v>
      </c>
      <c r="R45" s="13" t="n">
        <f aca="false">R35-R41-R42-R43</f>
        <v>128.237954548972</v>
      </c>
      <c r="S45" s="13" t="n">
        <f aca="false">S35-S41-S42-S43</f>
        <v>124.506680584274</v>
      </c>
      <c r="T45" s="13" t="n">
        <f aca="false">T35-T41-T42-T43</f>
        <v>122.944283086274</v>
      </c>
      <c r="U45" s="13" t="n">
        <f aca="false">U35-U41-U42-U43</f>
        <v>118.342807520676</v>
      </c>
      <c r="V45" s="13" t="n">
        <f aca="false">V35-V41-V42-V43</f>
        <v>113.557425931638</v>
      </c>
      <c r="W45" s="13" t="n">
        <f aca="false">W35-W41-W42-W43</f>
        <v>108.53972442513</v>
      </c>
      <c r="X45" s="13" t="n">
        <f aca="false">X35-X41-X42-X43</f>
        <v>103.318870033339</v>
      </c>
      <c r="Y45" s="13" t="n">
        <f aca="false">Y35-Y41-Y42-Y43</f>
        <v>99.0119403716887</v>
      </c>
      <c r="Z45" s="13" t="n">
        <f aca="false">Z35-Z41-Z42-Z43</f>
        <v>94.5024765760478</v>
      </c>
      <c r="AA45" s="13" t="n">
        <f aca="false">AA35-AA41-AA42-AA43</f>
        <v>89.8987188070881</v>
      </c>
      <c r="AB45" s="13" t="n">
        <f aca="false">AB35-AB41-AB42-AB43</f>
        <v>85.0709351197788</v>
      </c>
      <c r="AC45" s="13" t="n">
        <f aca="false">AC35-AC41-AC42-AC43</f>
        <v>80.105883850753</v>
      </c>
      <c r="AD45" s="13" t="n">
        <f aca="false">AD35-AD41-AD42-AD43</f>
        <v>74.9044798334299</v>
      </c>
      <c r="AE45" s="13" t="n">
        <f aca="false">AE35-AE41-AE42-AE43</f>
        <v>69.2818358948481</v>
      </c>
      <c r="AF45" s="13" t="n">
        <f aca="false">AF35-AF41-AF42-AF43</f>
        <v>63.3565875616189</v>
      </c>
      <c r="AG45" s="13" t="n">
        <f aca="false">AG35-AG41-AG42-AG43</f>
        <v>57.3884666000868</v>
      </c>
      <c r="AH45" s="13" t="n">
        <f aca="false">AH35-AH41-AH42-AH43</f>
        <v>51.111878973527</v>
      </c>
      <c r="AI45" s="13" t="n">
        <f aca="false">AI35-AI41-AI42-AI43</f>
        <v>44.6390402366485</v>
      </c>
      <c r="AJ45" s="13" t="n">
        <f aca="false">AJ35-AJ41-AJ42-AJ43</f>
        <v>37.8488297302846</v>
      </c>
      <c r="AK45" s="13" t="n">
        <f aca="false">AK35-AK41-AK42-AK43</f>
        <v>30.8572429838762</v>
      </c>
      <c r="AL45" s="13" t="n">
        <f aca="false">AL35-AL41-AL42-AL43</f>
        <v>23.5371912919374</v>
      </c>
      <c r="AM45" s="13" t="n">
        <f aca="false">AM35-AM41-AM42-AM43</f>
        <v>15.8759644789995</v>
      </c>
      <c r="AN45" s="13" t="n">
        <f aca="false">AN35-AN41-AN42-AN43</f>
        <v>7.84432174246247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767</v>
      </c>
      <c r="E46" s="0" t="s">
        <v>149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768</v>
      </c>
      <c r="E47" s="0" t="s">
        <v>149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0</v>
      </c>
      <c r="P47" s="13" t="n">
        <f aca="false">IF(Time!P34=1,INDEX(Funding!$J$62:$BJ$62,1,Time!$F$14),Time!P35*(P45-P46))</f>
        <v>139.31631461941</v>
      </c>
      <c r="Q47" s="13" t="n">
        <f aca="false">IF(Time!Q34=1,INDEX(Funding!$J$62:$BJ$62,1,Time!$F$14),Time!Q35*(Q45-Q46))</f>
        <v>131.840853735405</v>
      </c>
      <c r="R47" s="13" t="n">
        <f aca="false">IF(Time!R34=1,INDEX(Funding!$J$62:$BJ$62,1,Time!$F$14),Time!R35*(R45-R46))</f>
        <v>128.237954548972</v>
      </c>
      <c r="S47" s="13" t="n">
        <f aca="false">IF(Time!S34=1,INDEX(Funding!$J$62:$BJ$62,1,Time!$F$14),Time!S35*(S45-S46))</f>
        <v>124.506680584274</v>
      </c>
      <c r="T47" s="13" t="n">
        <f aca="false">IF(Time!T34=1,INDEX(Funding!$J$62:$BJ$62,1,Time!$F$14),Time!T35*(T45-T46))</f>
        <v>122.944283086274</v>
      </c>
      <c r="U47" s="13" t="n">
        <f aca="false">IF(Time!U34=1,INDEX(Funding!$J$62:$BJ$62,1,Time!$F$14),Time!U35*(U45-U46))</f>
        <v>118.342807520676</v>
      </c>
      <c r="V47" s="13" t="n">
        <f aca="false">IF(Time!V34=1,INDEX(Funding!$J$62:$BJ$62,1,Time!$F$14),Time!V35*(V45-V46))</f>
        <v>113.557425931638</v>
      </c>
      <c r="W47" s="13" t="n">
        <f aca="false">IF(Time!W34=1,INDEX(Funding!$J$62:$BJ$62,1,Time!$F$14),Time!W35*(W45-W46))</f>
        <v>108.53972442513</v>
      </c>
      <c r="X47" s="13" t="n">
        <f aca="false">IF(Time!X34=1,INDEX(Funding!$J$62:$BJ$62,1,Time!$F$14),Time!X35*(X45-X46))</f>
        <v>103.318870033339</v>
      </c>
      <c r="Y47" s="13" t="n">
        <f aca="false">IF(Time!Y34=1,INDEX(Funding!$J$62:$BJ$62,1,Time!$F$14),Time!Y35*(Y45-Y46))</f>
        <v>99.0119403716887</v>
      </c>
      <c r="Z47" s="13" t="n">
        <f aca="false">IF(Time!Z34=1,INDEX(Funding!$J$62:$BJ$62,1,Time!$F$14),Time!Z35*(Z45-Z46))</f>
        <v>94.5024765760478</v>
      </c>
      <c r="AA47" s="13" t="n">
        <f aca="false">IF(Time!AA34=1,INDEX(Funding!$J$62:$BJ$62,1,Time!$F$14),Time!AA35*(AA45-AA46))</f>
        <v>89.8987188070881</v>
      </c>
      <c r="AB47" s="13" t="n">
        <f aca="false">IF(Time!AB34=1,INDEX(Funding!$J$62:$BJ$62,1,Time!$F$14),Time!AB35*(AB45-AB46))</f>
        <v>85.0709351197788</v>
      </c>
      <c r="AC47" s="13" t="n">
        <f aca="false">IF(Time!AC34=1,INDEX(Funding!$J$62:$BJ$62,1,Time!$F$14),Time!AC35*(AC45-AC46))</f>
        <v>80.105883850753</v>
      </c>
      <c r="AD47" s="13" t="n">
        <f aca="false">IF(Time!AD34=1,INDEX(Funding!$J$62:$BJ$62,1,Time!$F$14),Time!AD35*(AD45-AD46))</f>
        <v>74.9044798334299</v>
      </c>
      <c r="AE47" s="13" t="n">
        <f aca="false">IF(Time!AE34=1,INDEX(Funding!$J$62:$BJ$62,1,Time!$F$14),Time!AE35*(AE45-AE46))</f>
        <v>69.2818358948481</v>
      </c>
      <c r="AF47" s="13" t="n">
        <f aca="false">IF(Time!AF34=1,INDEX(Funding!$J$62:$BJ$62,1,Time!$F$14),Time!AF35*(AF45-AF46))</f>
        <v>63.3565875616189</v>
      </c>
      <c r="AG47" s="13" t="n">
        <f aca="false">IF(Time!AG34=1,INDEX(Funding!$J$62:$BJ$62,1,Time!$F$14),Time!AG35*(AG45-AG46))</f>
        <v>57.3884666000868</v>
      </c>
      <c r="AH47" s="13" t="n">
        <f aca="false">IF(Time!AH34=1,INDEX(Funding!$J$62:$BJ$62,1,Time!$F$14),Time!AH35*(AH45-AH46))</f>
        <v>51.111878973527</v>
      </c>
      <c r="AI47" s="13" t="n">
        <f aca="false">IF(Time!AI34=1,INDEX(Funding!$J$62:$BJ$62,1,Time!$F$14),Time!AI35*(AI45-AI46))</f>
        <v>44.6390402366485</v>
      </c>
      <c r="AJ47" s="13" t="n">
        <f aca="false">IF(Time!AJ34=1,INDEX(Funding!$J$62:$BJ$62,1,Time!$F$14),Time!AJ35*(AJ45-AJ46))</f>
        <v>37.8488297302846</v>
      </c>
      <c r="AK47" s="13" t="n">
        <f aca="false">IF(Time!AK34=1,INDEX(Funding!$J$62:$BJ$62,1,Time!$F$14),Time!AK35*(AK45-AK46))</f>
        <v>30.8572429838762</v>
      </c>
      <c r="AL47" s="13" t="n">
        <f aca="false">IF(Time!AL34=1,INDEX(Funding!$J$62:$BJ$62,1,Time!$F$14),Time!AL35*(AL45-AL46))</f>
        <v>23.5371912919374</v>
      </c>
      <c r="AM47" s="13" t="n">
        <f aca="false">IF(Time!AM34=1,INDEX(Funding!$J$62:$BJ$62,1,Time!$F$14),Time!AM35*(AM45-AM46))</f>
        <v>15.8759644789995</v>
      </c>
      <c r="AN47" s="13" t="n">
        <f aca="false">IF(Time!AN34=1,INDEX(Funding!$J$62:$BJ$62,1,Time!$F$14),Time!AN35*(AN45-AN46))</f>
        <v>7.84432174246247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770</v>
      </c>
    </row>
    <row r="49" customFormat="false" ht="15" hidden="false" customHeight="false" outlineLevel="0" collapsed="false">
      <c r="D49" s="0" t="s">
        <v>756</v>
      </c>
      <c r="E49" s="0" t="s">
        <v>149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0</v>
      </c>
      <c r="Q49" s="13" t="n">
        <f aca="false">Time!Q35*P61</f>
        <v>63.3255975542774</v>
      </c>
      <c r="R49" s="13" t="n">
        <f aca="false">Time!R35*Q61</f>
        <v>59.9276607888204</v>
      </c>
      <c r="S49" s="13" t="n">
        <f aca="false">Time!S35*R61</f>
        <v>58.2899793404417</v>
      </c>
      <c r="T49" s="13" t="n">
        <f aca="false">Time!T35*S61</f>
        <v>56.5939457201246</v>
      </c>
      <c r="U49" s="13" t="n">
        <f aca="false">Time!U35*T61</f>
        <v>55.8837650392154</v>
      </c>
      <c r="V49" s="13" t="n">
        <f aca="false">Time!V35*U61</f>
        <v>53.7921852366708</v>
      </c>
      <c r="W49" s="13" t="n">
        <f aca="false">Time!W35*V61</f>
        <v>51.6170117871083</v>
      </c>
      <c r="X49" s="13" t="n">
        <f aca="false">Time!X35*W61</f>
        <v>0</v>
      </c>
      <c r="Y49" s="13" t="n">
        <f aca="false">Time!Y35*X61</f>
        <v>0</v>
      </c>
      <c r="Z49" s="13" t="n">
        <f aca="false">Time!Z35*Y61</f>
        <v>0</v>
      </c>
      <c r="AA49" s="13" t="n">
        <f aca="false">Time!AA35*Z61</f>
        <v>0</v>
      </c>
      <c r="AB49" s="13" t="n">
        <f aca="false">Time!AB35*AA61</f>
        <v>0</v>
      </c>
      <c r="AC49" s="13" t="n">
        <f aca="false">Time!AC35*AB61</f>
        <v>0</v>
      </c>
      <c r="AD49" s="13" t="n">
        <f aca="false">Time!AD35*AC61</f>
        <v>0</v>
      </c>
      <c r="AE49" s="13" t="n">
        <f aca="false">Time!AE35*AD61</f>
        <v>0</v>
      </c>
      <c r="AF49" s="13" t="n">
        <f aca="false">Time!AF35*AE61</f>
        <v>0</v>
      </c>
      <c r="AG49" s="13" t="n">
        <f aca="false">Time!AG35*AF61</f>
        <v>0</v>
      </c>
      <c r="AH49" s="13" t="n">
        <f aca="false">Time!AH35*AG61</f>
        <v>0</v>
      </c>
      <c r="AI49" s="13" t="n">
        <f aca="false">Time!AI35*AH61</f>
        <v>0</v>
      </c>
      <c r="AJ49" s="13" t="n">
        <f aca="false">Time!AJ35*AI61</f>
        <v>0</v>
      </c>
      <c r="AK49" s="13" t="n">
        <f aca="false">Time!AK35*AJ61</f>
        <v>0</v>
      </c>
      <c r="AL49" s="13" t="n">
        <f aca="false">Time!AL35*AK61</f>
        <v>0</v>
      </c>
      <c r="AM49" s="13" t="n">
        <f aca="false">Time!AM35*AL61</f>
        <v>0</v>
      </c>
      <c r="AN49" s="13" t="n">
        <f aca="false">Time!AN35*AM61</f>
        <v>0</v>
      </c>
      <c r="AO49" s="13" t="n">
        <f aca="false">Time!AO35*AN61</f>
        <v>0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757</v>
      </c>
      <c r="E50" s="0" t="s">
        <v>149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1.06527102136373</v>
      </c>
      <c r="V50" s="13" t="n">
        <f aca="false">U58</f>
        <v>0.798953266022801</v>
      </c>
      <c r="W50" s="13" t="n">
        <f aca="false">V58</f>
        <v>0.532635510681867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758</v>
      </c>
      <c r="E51" s="0" t="s">
        <v>149</v>
      </c>
      <c r="G51" s="13" t="n">
        <f aca="false">SUM(J51:BN51)</f>
        <v>15.9154698472236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0</v>
      </c>
      <c r="Q51" s="13" t="n">
        <f aca="false">Q49*Q12</f>
        <v>1.19076750023313</v>
      </c>
      <c r="R51" s="13" t="n">
        <f aca="false">R49*R12</f>
        <v>1.94192255471684</v>
      </c>
      <c r="S51" s="13" t="n">
        <f aca="false">S49*S12</f>
        <v>2.54626021551927</v>
      </c>
      <c r="T51" s="13" t="n">
        <f aca="false">T49*T12</f>
        <v>2.83422455013519</v>
      </c>
      <c r="U51" s="13" t="n">
        <f aca="false">U49*U12</f>
        <v>2.68065622304776</v>
      </c>
      <c r="V51" s="13" t="n">
        <f aca="false">V49*V12</f>
        <v>2.62517793866257</v>
      </c>
      <c r="W51" s="13" t="n">
        <f aca="false">W49*W12</f>
        <v>2.09646086490883</v>
      </c>
      <c r="X51" s="13" t="n">
        <f aca="false">X49*X12</f>
        <v>0</v>
      </c>
      <c r="Y51" s="13" t="n">
        <f aca="false">Y49*Y12</f>
        <v>0</v>
      </c>
      <c r="Z51" s="13" t="n">
        <f aca="false">Z49*Z12</f>
        <v>0</v>
      </c>
      <c r="AA51" s="13" t="n">
        <f aca="false">AA49*AA12</f>
        <v>0</v>
      </c>
      <c r="AB51" s="13" t="n">
        <f aca="false">AB49*AB12</f>
        <v>0</v>
      </c>
      <c r="AC51" s="13" t="n">
        <f aca="false">AC49*AC12</f>
        <v>0</v>
      </c>
      <c r="AD51" s="13" t="n">
        <f aca="false">AD49*AD12</f>
        <v>0</v>
      </c>
      <c r="AE51" s="13" t="n">
        <f aca="false">AE49*AE12</f>
        <v>0</v>
      </c>
      <c r="AF51" s="13" t="n">
        <f aca="false">AF49*AF12</f>
        <v>0</v>
      </c>
      <c r="AG51" s="13" t="n">
        <f aca="false">AG49*AG12</f>
        <v>0</v>
      </c>
      <c r="AH51" s="13" t="n">
        <f aca="false">AH49*AH12</f>
        <v>0</v>
      </c>
      <c r="AI51" s="13" t="n">
        <f aca="false">AI49*AI12</f>
        <v>0</v>
      </c>
      <c r="AJ51" s="13" t="n">
        <f aca="false">AJ49*AJ12</f>
        <v>0</v>
      </c>
      <c r="AK51" s="13" t="n">
        <f aca="false">AK49*AK12</f>
        <v>0</v>
      </c>
      <c r="AL51" s="13" t="n">
        <f aca="false">AL49*AL12</f>
        <v>0</v>
      </c>
      <c r="AM51" s="13" t="n">
        <f aca="false">AM49*AM12</f>
        <v>0</v>
      </c>
      <c r="AN51" s="13" t="n">
        <f aca="false">AN49*AN12</f>
        <v>0</v>
      </c>
      <c r="AO51" s="13" t="n">
        <f aca="false">AO49*AO12</f>
        <v>0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759</v>
      </c>
      <c r="E52" s="0" t="s">
        <v>149</v>
      </c>
      <c r="G52" s="13" t="n">
        <f aca="false">SUM(J52:BN52)</f>
        <v>12.4358911065804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0</v>
      </c>
      <c r="Q52" s="13" t="n">
        <f aca="false">Time!Q35*(Q49-Q50)*Q19</f>
        <v>1.57815093747835</v>
      </c>
      <c r="R52" s="13" t="n">
        <f aca="false">Time!R35*(R49-R50)*R19</f>
        <v>1.6376814483787</v>
      </c>
      <c r="S52" s="13" t="n">
        <f aca="false">Time!S35*(S49-S50)*S19</f>
        <v>1.69603362031715</v>
      </c>
      <c r="T52" s="13" t="n">
        <f aca="false">Time!T35*(T49-T50)*T19</f>
        <v>1.77545170227289</v>
      </c>
      <c r="U52" s="13" t="n">
        <f aca="false">Time!U35*(U49-U50)*U19</f>
        <v>1.82526204720371</v>
      </c>
      <c r="V52" s="13" t="n">
        <f aca="false">Time!V35*(V49-V50)*V19</f>
        <v>1.90885569422159</v>
      </c>
      <c r="W52" s="13" t="n">
        <f aca="false">Time!W35*(W49-W50)*W19</f>
        <v>2.01445565670806</v>
      </c>
      <c r="X52" s="13" t="n">
        <f aca="false">Time!X35*(X49-X50)*X19</f>
        <v>0</v>
      </c>
      <c r="Y52" s="13" t="n">
        <f aca="false">Time!Y35*(Y49-Y50)*Y19</f>
        <v>0</v>
      </c>
      <c r="Z52" s="13" t="n">
        <f aca="false">Time!Z35*(Z49-Z50)*Z19</f>
        <v>0</v>
      </c>
      <c r="AA52" s="13" t="n">
        <f aca="false">Time!AA35*(AA49-AA50)*AA19</f>
        <v>0</v>
      </c>
      <c r="AB52" s="13" t="n">
        <f aca="false">Time!AB35*(AB49-AB50)*AB19</f>
        <v>0</v>
      </c>
      <c r="AC52" s="13" t="n">
        <f aca="false">Time!AC35*(AC49-AC50)*AC19</f>
        <v>0</v>
      </c>
      <c r="AD52" s="13" t="n">
        <f aca="false">Time!AD35*(AD49-AD50)*AD19</f>
        <v>0</v>
      </c>
      <c r="AE52" s="13" t="n">
        <f aca="false">Time!AE35*(AE49-AE50)*AE19</f>
        <v>0</v>
      </c>
      <c r="AF52" s="13" t="n">
        <f aca="false">Time!AF35*(AF49-AF50)*AF19</f>
        <v>0</v>
      </c>
      <c r="AG52" s="13" t="n">
        <f aca="false">Time!AG35*(AG49-AG50)*AG19</f>
        <v>0</v>
      </c>
      <c r="AH52" s="13" t="n">
        <f aca="false">Time!AH35*(AH49-AH50)*AH19</f>
        <v>0</v>
      </c>
      <c r="AI52" s="13" t="n">
        <f aca="false">Time!AI35*(AI49-AI50)*AI19</f>
        <v>0</v>
      </c>
      <c r="AJ52" s="13" t="n">
        <f aca="false">Time!AJ35*(AJ49-AJ50)*AJ19</f>
        <v>0</v>
      </c>
      <c r="AK52" s="13" t="n">
        <f aca="false">Time!AK35*(AK49-AK50)*AK19</f>
        <v>0</v>
      </c>
      <c r="AL52" s="13" t="n">
        <f aca="false">Time!AL35*(AL49-AL50)*AL19</f>
        <v>0</v>
      </c>
      <c r="AM52" s="13" t="n">
        <f aca="false">Time!AM35*(AM49-AM50)*AM19</f>
        <v>0</v>
      </c>
      <c r="AN52" s="13" t="n">
        <f aca="false">Time!AN35*(AN49-AN50)*AN19</f>
        <v>0</v>
      </c>
      <c r="AO52" s="13" t="n">
        <f aca="false">Time!AO35*(AO49-AO50)*AO19</f>
        <v>0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760</v>
      </c>
      <c r="E53" s="0" t="s">
        <v>149</v>
      </c>
      <c r="G53" s="13" t="n">
        <f aca="false">SUM(J53:BN53)</f>
        <v>1.06527102136373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1.06527102136373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761</v>
      </c>
      <c r="E54" s="0" t="s">
        <v>149</v>
      </c>
      <c r="G54" s="13" t="n">
        <f aca="false">SUM(J54:BN54)</f>
        <v>0.798953266022801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0.266317755340934</v>
      </c>
      <c r="V54" s="13" t="n">
        <f aca="false">IF(Time!V46&gt;0,Time!V45*V50/Time!V46,0)</f>
        <v>0.266317755340934</v>
      </c>
      <c r="W54" s="13" t="n">
        <f aca="false">IF(Time!W46&gt;0,Time!W45*W50/Time!W46,0)</f>
        <v>0.266317755340934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762</v>
      </c>
      <c r="E55" s="0" t="s">
        <v>149</v>
      </c>
      <c r="G55" s="13" t="n">
        <f aca="false">SUM(J55:BN55)</f>
        <v>12.1695733512395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0</v>
      </c>
      <c r="Q55" s="13" t="n">
        <f aca="false">Q52-Q53+Q54</f>
        <v>1.57815093747835</v>
      </c>
      <c r="R55" s="13" t="n">
        <f aca="false">R52-R53+R54</f>
        <v>1.6376814483787</v>
      </c>
      <c r="S55" s="13" t="n">
        <f aca="false">S52-S53+S54</f>
        <v>1.69603362031715</v>
      </c>
      <c r="T55" s="13" t="n">
        <f aca="false">T52-T53+T54</f>
        <v>0.710180680909156</v>
      </c>
      <c r="U55" s="13" t="n">
        <f aca="false">U52-U53+U54</f>
        <v>2.09157980254464</v>
      </c>
      <c r="V55" s="13" t="n">
        <f aca="false">V52-V53+V54</f>
        <v>2.17517344956252</v>
      </c>
      <c r="W55" s="13" t="n">
        <f aca="false">W52-W53+W54</f>
        <v>2.280773412049</v>
      </c>
      <c r="X55" s="13" t="n">
        <f aca="false">X52-X53+X54</f>
        <v>0</v>
      </c>
      <c r="Y55" s="13" t="n">
        <f aca="false">Y52-Y53+Y54</f>
        <v>0</v>
      </c>
      <c r="Z55" s="13" t="n">
        <f aca="false">Z52-Z53+Z54</f>
        <v>0</v>
      </c>
      <c r="AA55" s="13" t="n">
        <f aca="false">AA52-AA53+AA54</f>
        <v>0</v>
      </c>
      <c r="AB55" s="13" t="n">
        <f aca="false">AB52-AB53+AB54</f>
        <v>0</v>
      </c>
      <c r="AC55" s="13" t="n">
        <f aca="false">AC52-AC53+AC54</f>
        <v>0</v>
      </c>
      <c r="AD55" s="13" t="n">
        <f aca="false">AD52-AD53+AD54</f>
        <v>0</v>
      </c>
      <c r="AE55" s="13" t="n">
        <f aca="false">AE52-AE53+AE54</f>
        <v>0</v>
      </c>
      <c r="AF55" s="13" t="n">
        <f aca="false">AF52-AF53+AF54</f>
        <v>0</v>
      </c>
      <c r="AG55" s="13" t="n">
        <f aca="false">AG52-AG53+AG54</f>
        <v>0</v>
      </c>
      <c r="AH55" s="13" t="n">
        <f aca="false">AH52-AH53+AH54</f>
        <v>0</v>
      </c>
      <c r="AI55" s="13" t="n">
        <f aca="false">AI52-AI53+AI54</f>
        <v>0</v>
      </c>
      <c r="AJ55" s="13" t="n">
        <f aca="false">AJ52-AJ53+AJ54</f>
        <v>0</v>
      </c>
      <c r="AK55" s="13" t="n">
        <f aca="false">AK52-AK53+AK54</f>
        <v>0</v>
      </c>
      <c r="AL55" s="13" t="n">
        <f aca="false">AL52-AL53+AL54</f>
        <v>0</v>
      </c>
      <c r="AM55" s="13" t="n">
        <f aca="false">AM52-AM53+AM54</f>
        <v>0</v>
      </c>
      <c r="AN55" s="13" t="n">
        <f aca="false">AN52-AN53+AN54</f>
        <v>0</v>
      </c>
      <c r="AO55" s="13" t="n">
        <f aca="false">AO52-AO53+AO54</f>
        <v>0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763</v>
      </c>
      <c r="E56" s="0" t="s">
        <v>149</v>
      </c>
      <c r="G56" s="13" t="n">
        <f aca="false">SUM(J56:BN56)</f>
        <v>1.81978582797864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1.81978582797864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771</v>
      </c>
      <c r="E57" s="0" t="s">
        <v>149</v>
      </c>
      <c r="G57" s="13" t="n">
        <f aca="false">SUM(J57:BN57)</f>
        <v>49.3362383750593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49.3362383750593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765</v>
      </c>
      <c r="E58" s="0" t="s">
        <v>149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1.06527102136373</v>
      </c>
      <c r="U58" s="13" t="n">
        <f aca="false">(1-Time!U47)*(U50+U53-U54)</f>
        <v>0.798953266022801</v>
      </c>
      <c r="V58" s="13" t="n">
        <f aca="false">(1-Time!V47)*(V50+V53-V54)</f>
        <v>0.532635510681867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766</v>
      </c>
      <c r="E59" s="0" t="s">
        <v>149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0</v>
      </c>
      <c r="Q59" s="13" t="n">
        <f aca="false">Q49-Q55-Q56-Q57</f>
        <v>59.9276607888204</v>
      </c>
      <c r="R59" s="13" t="n">
        <f aca="false">R49-R55-R56-R57</f>
        <v>58.2899793404417</v>
      </c>
      <c r="S59" s="13" t="n">
        <f aca="false">S49-S55-S56-S57</f>
        <v>56.5939457201246</v>
      </c>
      <c r="T59" s="13" t="n">
        <f aca="false">T49-T55-T56-T57</f>
        <v>55.8837650392154</v>
      </c>
      <c r="U59" s="13" t="n">
        <f aca="false">U49-U55-U56-U57</f>
        <v>53.7921852366708</v>
      </c>
      <c r="V59" s="13" t="n">
        <f aca="false">V49-V55-V56-V57</f>
        <v>51.6170117871083</v>
      </c>
      <c r="W59" s="13" t="n">
        <f aca="false">W49-W55-W56-W57</f>
        <v>0</v>
      </c>
      <c r="X59" s="13" t="n">
        <f aca="false">X49-X55-X56-X57</f>
        <v>0</v>
      </c>
      <c r="Y59" s="13" t="n">
        <f aca="false">Y49-Y55-Y56-Y57</f>
        <v>0</v>
      </c>
      <c r="Z59" s="13" t="n">
        <f aca="false">Z49-Z55-Z56-Z57</f>
        <v>0</v>
      </c>
      <c r="AA59" s="13" t="n">
        <f aca="false">AA49-AA55-AA56-AA57</f>
        <v>0</v>
      </c>
      <c r="AB59" s="13" t="n">
        <f aca="false">AB49-AB55-AB56-AB57</f>
        <v>0</v>
      </c>
      <c r="AC59" s="13" t="n">
        <f aca="false">AC49-AC55-AC56-AC57</f>
        <v>0</v>
      </c>
      <c r="AD59" s="13" t="n">
        <f aca="false">AD49-AD55-AD56-AD57</f>
        <v>0</v>
      </c>
      <c r="AE59" s="13" t="n">
        <f aca="false">AE49-AE55-AE56-AE57</f>
        <v>0</v>
      </c>
      <c r="AF59" s="13" t="n">
        <f aca="false">AF49-AF55-AF56-AF57</f>
        <v>0</v>
      </c>
      <c r="AG59" s="13" t="n">
        <f aca="false">AG49-AG55-AG56-AG57</f>
        <v>0</v>
      </c>
      <c r="AH59" s="13" t="n">
        <f aca="false">AH49-AH55-AH56-AH57</f>
        <v>0</v>
      </c>
      <c r="AI59" s="13" t="n">
        <f aca="false">AI49-AI55-AI56-AI57</f>
        <v>0</v>
      </c>
      <c r="AJ59" s="13" t="n">
        <f aca="false">AJ49-AJ55-AJ56-AJ57</f>
        <v>0</v>
      </c>
      <c r="AK59" s="13" t="n">
        <f aca="false">AK49-AK55-AK56-AK57</f>
        <v>0</v>
      </c>
      <c r="AL59" s="13" t="n">
        <f aca="false">AL49-AL55-AL56-AL57</f>
        <v>0</v>
      </c>
      <c r="AM59" s="13" t="n">
        <f aca="false">AM49-AM55-AM56-AM57</f>
        <v>0</v>
      </c>
      <c r="AN59" s="13" t="n">
        <f aca="false">AN49-AN55-AN56-AN57</f>
        <v>0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767</v>
      </c>
      <c r="E60" s="0" t="s">
        <v>149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768</v>
      </c>
      <c r="E61" s="0" t="s">
        <v>149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0</v>
      </c>
      <c r="P61" s="13" t="n">
        <f aca="false">IF(Time!P34=1,INDEX(Funding!$J$63:$BJ$63,1,Time!$F$14),Time!P35*(P59-P60))</f>
        <v>63.3255975542774</v>
      </c>
      <c r="Q61" s="13" t="n">
        <f aca="false">IF(Time!Q34=1,INDEX(Funding!$J$63:$BJ$63,1,Time!$F$14),Time!Q35*(Q59-Q60))</f>
        <v>59.9276607888204</v>
      </c>
      <c r="R61" s="13" t="n">
        <f aca="false">IF(Time!R34=1,INDEX(Funding!$J$63:$BJ$63,1,Time!$F$14),Time!R35*(R59-R60))</f>
        <v>58.2899793404417</v>
      </c>
      <c r="S61" s="13" t="n">
        <f aca="false">IF(Time!S34=1,INDEX(Funding!$J$63:$BJ$63,1,Time!$F$14),Time!S35*(S59-S60))</f>
        <v>56.5939457201246</v>
      </c>
      <c r="T61" s="13" t="n">
        <f aca="false">IF(Time!T34=1,INDEX(Funding!$J$63:$BJ$63,1,Time!$F$14),Time!T35*(T59-T60))</f>
        <v>55.8837650392154</v>
      </c>
      <c r="U61" s="13" t="n">
        <f aca="false">IF(Time!U34=1,INDEX(Funding!$J$63:$BJ$63,1,Time!$F$14),Time!U35*(U59-U60))</f>
        <v>53.7921852366708</v>
      </c>
      <c r="V61" s="13" t="n">
        <f aca="false">IF(Time!V34=1,INDEX(Funding!$J$63:$BJ$63,1,Time!$F$14),Time!V35*(V59-V60))</f>
        <v>51.6170117871083</v>
      </c>
      <c r="W61" s="13" t="n">
        <f aca="false">IF(Time!W34=1,INDEX(Funding!$J$63:$BJ$63,1,Time!$F$14),Time!W35*(W59-W60))</f>
        <v>0</v>
      </c>
      <c r="X61" s="13" t="n">
        <f aca="false">IF(Time!X34=1,INDEX(Funding!$J$63:$BJ$63,1,Time!$F$14),Time!X35*(X59-X60))</f>
        <v>0</v>
      </c>
      <c r="Y61" s="13" t="n">
        <f aca="false">IF(Time!Y34=1,INDEX(Funding!$J$63:$BJ$63,1,Time!$F$14),Time!Y35*(Y59-Y60))</f>
        <v>0</v>
      </c>
      <c r="Z61" s="13" t="n">
        <f aca="false">IF(Time!Z34=1,INDEX(Funding!$J$63:$BJ$63,1,Time!$F$14),Time!Z35*(Z59-Z60))</f>
        <v>0</v>
      </c>
      <c r="AA61" s="13" t="n">
        <f aca="false">IF(Time!AA34=1,INDEX(Funding!$J$63:$BJ$63,1,Time!$F$14),Time!AA35*(AA59-AA60))</f>
        <v>0</v>
      </c>
      <c r="AB61" s="13" t="n">
        <f aca="false">IF(Time!AB34=1,INDEX(Funding!$J$63:$BJ$63,1,Time!$F$14),Time!AB35*(AB59-AB60))</f>
        <v>0</v>
      </c>
      <c r="AC61" s="13" t="n">
        <f aca="false">IF(Time!AC34=1,INDEX(Funding!$J$63:$BJ$63,1,Time!$F$14),Time!AC35*(AC59-AC60))</f>
        <v>0</v>
      </c>
      <c r="AD61" s="13" t="n">
        <f aca="false">IF(Time!AD34=1,INDEX(Funding!$J$63:$BJ$63,1,Time!$F$14),Time!AD35*(AD59-AD60))</f>
        <v>0</v>
      </c>
      <c r="AE61" s="13" t="n">
        <f aca="false">IF(Time!AE34=1,INDEX(Funding!$J$63:$BJ$63,1,Time!$F$14),Time!AE35*(AE59-AE60))</f>
        <v>0</v>
      </c>
      <c r="AF61" s="13" t="n">
        <f aca="false">IF(Time!AF34=1,INDEX(Funding!$J$63:$BJ$63,1,Time!$F$14),Time!AF35*(AF59-AF60))</f>
        <v>0</v>
      </c>
      <c r="AG61" s="13" t="n">
        <f aca="false">IF(Time!AG34=1,INDEX(Funding!$J$63:$BJ$63,1,Time!$F$14),Time!AG35*(AG59-AG60))</f>
        <v>0</v>
      </c>
      <c r="AH61" s="13" t="n">
        <f aca="false">IF(Time!AH34=1,INDEX(Funding!$J$63:$BJ$63,1,Time!$F$14),Time!AH35*(AH59-AH60))</f>
        <v>0</v>
      </c>
      <c r="AI61" s="13" t="n">
        <f aca="false">IF(Time!AI34=1,INDEX(Funding!$J$63:$BJ$63,1,Time!$F$14),Time!AI35*(AI59-AI60))</f>
        <v>0</v>
      </c>
      <c r="AJ61" s="13" t="n">
        <f aca="false">IF(Time!AJ34=1,INDEX(Funding!$J$63:$BJ$63,1,Time!$F$14),Time!AJ35*(AJ59-AJ60))</f>
        <v>0</v>
      </c>
      <c r="AK61" s="13" t="n">
        <f aca="false">IF(Time!AK34=1,INDEX(Funding!$J$63:$BJ$63,1,Time!$F$14),Time!AK35*(AK59-AK60))</f>
        <v>0</v>
      </c>
      <c r="AL61" s="13" t="n">
        <f aca="false">IF(Time!AL34=1,INDEX(Funding!$J$63:$BJ$63,1,Time!$F$14),Time!AL35*(AL59-AL60))</f>
        <v>0</v>
      </c>
      <c r="AM61" s="13" t="n">
        <f aca="false">IF(Time!AM34=1,INDEX(Funding!$J$63:$BJ$63,1,Time!$F$14),Time!AM35*(AM59-AM60))</f>
        <v>0</v>
      </c>
      <c r="AN61" s="13" t="n">
        <f aca="false">IF(Time!AN34=1,INDEX(Funding!$J$63:$BJ$63,1,Time!$F$14),Time!AN35*(AN59-AN60))</f>
        <v>0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772</v>
      </c>
    </row>
    <row r="63" customFormat="false" ht="15" hidden="false" customHeight="false" outlineLevel="0" collapsed="false">
      <c r="D63" s="0" t="s">
        <v>756</v>
      </c>
      <c r="E63" s="0" t="s">
        <v>149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0</v>
      </c>
      <c r="Q63" s="13" t="n">
        <f aca="false">Time!Q35*P75</f>
        <v>240.637270706254</v>
      </c>
      <c r="R63" s="13" t="n">
        <f aca="false">Time!R35*Q75</f>
        <v>227.725110997518</v>
      </c>
      <c r="S63" s="13" t="n">
        <f aca="false">Time!S35*R75</f>
        <v>221.501921493679</v>
      </c>
      <c r="T63" s="13" t="n">
        <f aca="false">Time!T35*S75</f>
        <v>215.056993736473</v>
      </c>
      <c r="U63" s="13" t="n">
        <f aca="false">Time!U35*T75</f>
        <v>212.358307149019</v>
      </c>
      <c r="V63" s="13" t="n">
        <f aca="false">Time!V35*U75</f>
        <v>204.410303899349</v>
      </c>
      <c r="W63" s="13" t="n">
        <f aca="false">Time!W35*V75</f>
        <v>196.144644791011</v>
      </c>
      <c r="X63" s="13" t="n">
        <f aca="false">Time!X35*W75</f>
        <v>0</v>
      </c>
      <c r="Y63" s="13" t="n">
        <f aca="false">Time!Y35*X75</f>
        <v>0</v>
      </c>
      <c r="Z63" s="13" t="n">
        <f aca="false">Time!Z35*Y75</f>
        <v>0</v>
      </c>
      <c r="AA63" s="13" t="n">
        <f aca="false">Time!AA35*Z75</f>
        <v>0</v>
      </c>
      <c r="AB63" s="13" t="n">
        <f aca="false">Time!AB35*AA75</f>
        <v>0</v>
      </c>
      <c r="AC63" s="13" t="n">
        <f aca="false">Time!AC35*AB75</f>
        <v>0</v>
      </c>
      <c r="AD63" s="13" t="n">
        <f aca="false">Time!AD35*AC75</f>
        <v>0</v>
      </c>
      <c r="AE63" s="13" t="n">
        <f aca="false">Time!AE35*AD75</f>
        <v>0</v>
      </c>
      <c r="AF63" s="13" t="n">
        <f aca="false">Time!AF35*AE75</f>
        <v>0</v>
      </c>
      <c r="AG63" s="13" t="n">
        <f aca="false">Time!AG35*AF75</f>
        <v>0</v>
      </c>
      <c r="AH63" s="13" t="n">
        <f aca="false">Time!AH35*AG75</f>
        <v>0</v>
      </c>
      <c r="AI63" s="13" t="n">
        <f aca="false">Time!AI35*AH75</f>
        <v>0</v>
      </c>
      <c r="AJ63" s="13" t="n">
        <f aca="false">Time!AJ35*AI75</f>
        <v>0</v>
      </c>
      <c r="AK63" s="13" t="n">
        <f aca="false">Time!AK35*AJ75</f>
        <v>0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757</v>
      </c>
      <c r="E64" s="0" t="s">
        <v>149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4.04802988118219</v>
      </c>
      <c r="V64" s="13" t="n">
        <f aca="false">U72</f>
        <v>3.03602241088664</v>
      </c>
      <c r="W64" s="13" t="n">
        <f aca="false">V72</f>
        <v>2.02401494059109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758</v>
      </c>
      <c r="E65" s="0" t="s">
        <v>149</v>
      </c>
      <c r="G65" s="13" t="n">
        <f aca="false">SUM(J65:BN65)</f>
        <v>73.1806687595586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0</v>
      </c>
      <c r="Q65" s="13" t="n">
        <f aca="false">Q63*Q13</f>
        <v>5.96869556266587</v>
      </c>
      <c r="R65" s="13" t="n">
        <f aca="false">R63*R13</f>
        <v>9.10450616610322</v>
      </c>
      <c r="S65" s="13" t="n">
        <f aca="false">S63*S13</f>
        <v>11.617058362231</v>
      </c>
      <c r="T65" s="13" t="n">
        <f aca="false">T63*T13</f>
        <v>12.8216438040664</v>
      </c>
      <c r="U65" s="13" t="n">
        <f aca="false">U63*U13</f>
        <v>12.1533401124605</v>
      </c>
      <c r="V65" s="13" t="n">
        <f aca="false">V63*V13</f>
        <v>11.8966786775085</v>
      </c>
      <c r="W65" s="13" t="n">
        <f aca="false">W63*W13</f>
        <v>9.61874607452312</v>
      </c>
      <c r="X65" s="13" t="n">
        <f aca="false">X63*X13</f>
        <v>0</v>
      </c>
      <c r="Y65" s="13" t="n">
        <f aca="false">Y63*Y13</f>
        <v>0</v>
      </c>
      <c r="Z65" s="13" t="n">
        <f aca="false">Z63*Z13</f>
        <v>0</v>
      </c>
      <c r="AA65" s="13" t="n">
        <f aca="false">AA63*AA13</f>
        <v>0</v>
      </c>
      <c r="AB65" s="13" t="n">
        <f aca="false">AB63*AB13</f>
        <v>0</v>
      </c>
      <c r="AC65" s="13" t="n">
        <f aca="false">AC63*AC13</f>
        <v>0</v>
      </c>
      <c r="AD65" s="13" t="n">
        <f aca="false">AD63*AD13</f>
        <v>0</v>
      </c>
      <c r="AE65" s="13" t="n">
        <f aca="false">AE63*AE13</f>
        <v>0</v>
      </c>
      <c r="AF65" s="13" t="n">
        <f aca="false">AF63*AF13</f>
        <v>0</v>
      </c>
      <c r="AG65" s="13" t="n">
        <f aca="false">AG63*AG13</f>
        <v>0</v>
      </c>
      <c r="AH65" s="13" t="n">
        <f aca="false">AH63*AH13</f>
        <v>0</v>
      </c>
      <c r="AI65" s="13" t="n">
        <f aca="false">AI63*AI13</f>
        <v>0</v>
      </c>
      <c r="AJ65" s="13" t="n">
        <f aca="false">AJ63*AJ13</f>
        <v>0</v>
      </c>
      <c r="AK65" s="13" t="n">
        <f aca="false">AK63*AK13</f>
        <v>0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759</v>
      </c>
      <c r="E66" s="0" t="s">
        <v>149</v>
      </c>
      <c r="G66" s="13" t="n">
        <f aca="false">SUM(J66:BN66)</f>
        <v>47.2563862050057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0</v>
      </c>
      <c r="Q66" s="13" t="n">
        <f aca="false">Time!Q35*(Q63-Q64)*Q19</f>
        <v>5.99697356241772</v>
      </c>
      <c r="R66" s="13" t="n">
        <f aca="false">Time!R35*(R63-R64)*R19</f>
        <v>6.22318950383905</v>
      </c>
      <c r="S66" s="13" t="n">
        <f aca="false">Time!S35*(S63-S64)*S19</f>
        <v>6.44492775720519</v>
      </c>
      <c r="T66" s="13" t="n">
        <f aca="false">Time!T35*(T63-T64)*T19</f>
        <v>6.74671646863698</v>
      </c>
      <c r="U66" s="13" t="n">
        <f aca="false">Time!U35*(U63-U64)*U19</f>
        <v>6.93599577937408</v>
      </c>
      <c r="V66" s="13" t="n">
        <f aca="false">Time!V35*(V63-V64)*V19</f>
        <v>7.25365163804202</v>
      </c>
      <c r="W66" s="13" t="n">
        <f aca="false">Time!W35*(W63-W64)*W19</f>
        <v>7.65493149549064</v>
      </c>
      <c r="X66" s="13" t="n">
        <f aca="false">Time!X35*(X63-X64)*X19</f>
        <v>0</v>
      </c>
      <c r="Y66" s="13" t="n">
        <f aca="false">Time!Y35*(Y63-Y64)*Y19</f>
        <v>0</v>
      </c>
      <c r="Z66" s="13" t="n">
        <f aca="false">Time!Z35*(Z63-Z64)*Z19</f>
        <v>0</v>
      </c>
      <c r="AA66" s="13" t="n">
        <f aca="false">Time!AA35*(AA63-AA64)*AA19</f>
        <v>0</v>
      </c>
      <c r="AB66" s="13" t="n">
        <f aca="false">Time!AB35*(AB63-AB64)*AB19</f>
        <v>0</v>
      </c>
      <c r="AC66" s="13" t="n">
        <f aca="false">Time!AC35*(AC63-AC64)*AC19</f>
        <v>0</v>
      </c>
      <c r="AD66" s="13" t="n">
        <f aca="false">Time!AD35*(AD63-AD64)*AD19</f>
        <v>0</v>
      </c>
      <c r="AE66" s="13" t="n">
        <f aca="false">Time!AE35*(AE63-AE64)*AE19</f>
        <v>0</v>
      </c>
      <c r="AF66" s="13" t="n">
        <f aca="false">Time!AF35*(AF63-AF64)*AF19</f>
        <v>0</v>
      </c>
      <c r="AG66" s="13" t="n">
        <f aca="false">Time!AG35*(AG63-AG64)*AG19</f>
        <v>0</v>
      </c>
      <c r="AH66" s="13" t="n">
        <f aca="false">Time!AH35*(AH63-AH64)*AH19</f>
        <v>0</v>
      </c>
      <c r="AI66" s="13" t="n">
        <f aca="false">Time!AI35*(AI63-AI64)*AI19</f>
        <v>0</v>
      </c>
      <c r="AJ66" s="13" t="n">
        <f aca="false">Time!AJ35*(AJ63-AJ64)*AJ19</f>
        <v>0</v>
      </c>
      <c r="AK66" s="13" t="n">
        <f aca="false">Time!AK35*(AK63-AK64)*AK19</f>
        <v>0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760</v>
      </c>
      <c r="E67" s="0" t="s">
        <v>149</v>
      </c>
      <c r="G67" s="13" t="n">
        <f aca="false">SUM(J67:BN67)</f>
        <v>4.04802988118219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4.04802988118219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761</v>
      </c>
      <c r="E68" s="0" t="s">
        <v>149</v>
      </c>
      <c r="G68" s="13" t="n">
        <f aca="false">SUM(J68:BN68)</f>
        <v>3.03602241088664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1.01200747029555</v>
      </c>
      <c r="V68" s="13" t="n">
        <f aca="false">IF(Time!V46&gt;0,Time!V45*V64/Time!V46,0)</f>
        <v>1.01200747029555</v>
      </c>
      <c r="W68" s="13" t="n">
        <f aca="false">IF(Time!W46&gt;0,Time!W45*W64/Time!W46,0)</f>
        <v>1.01200747029555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762</v>
      </c>
      <c r="E69" s="0" t="s">
        <v>149</v>
      </c>
      <c r="G69" s="13" t="n">
        <f aca="false">SUM(J69:BN69)</f>
        <v>46.2443787347101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0</v>
      </c>
      <c r="Q69" s="13" t="n">
        <f aca="false">Q66-Q67+Q68</f>
        <v>5.99697356241772</v>
      </c>
      <c r="R69" s="13" t="n">
        <f aca="false">R66-R67+R68</f>
        <v>6.22318950383905</v>
      </c>
      <c r="S69" s="13" t="n">
        <f aca="false">S66-S67+S68</f>
        <v>6.44492775720519</v>
      </c>
      <c r="T69" s="13" t="n">
        <f aca="false">T66-T67+T68</f>
        <v>2.69868658745479</v>
      </c>
      <c r="U69" s="13" t="n">
        <f aca="false">U66-U67+U68</f>
        <v>7.94800324966963</v>
      </c>
      <c r="V69" s="13" t="n">
        <f aca="false">V66-V67+V68</f>
        <v>8.26565910833757</v>
      </c>
      <c r="W69" s="13" t="n">
        <f aca="false">W66-W67+W68</f>
        <v>8.66693896578618</v>
      </c>
      <c r="X69" s="13" t="n">
        <f aca="false">X66-X67+X68</f>
        <v>0</v>
      </c>
      <c r="Y69" s="13" t="n">
        <f aca="false">Y66-Y67+Y68</f>
        <v>0</v>
      </c>
      <c r="Z69" s="13" t="n">
        <f aca="false">Z66-Z67+Z68</f>
        <v>0</v>
      </c>
      <c r="AA69" s="13" t="n">
        <f aca="false">AA66-AA67+AA68</f>
        <v>0</v>
      </c>
      <c r="AB69" s="13" t="n">
        <f aca="false">AB66-AB67+AB68</f>
        <v>0</v>
      </c>
      <c r="AC69" s="13" t="n">
        <f aca="false">AC66-AC67+AC68</f>
        <v>0</v>
      </c>
      <c r="AD69" s="13" t="n">
        <f aca="false">AD66-AD67+AD68</f>
        <v>0</v>
      </c>
      <c r="AE69" s="13" t="n">
        <f aca="false">AE66-AE67+AE68</f>
        <v>0</v>
      </c>
      <c r="AF69" s="13" t="n">
        <f aca="false">AF66-AF67+AF68</f>
        <v>0</v>
      </c>
      <c r="AG69" s="13" t="n">
        <f aca="false">AG66-AG67+AG68</f>
        <v>0</v>
      </c>
      <c r="AH69" s="13" t="n">
        <f aca="false">AH66-AH67+AH68</f>
        <v>0</v>
      </c>
      <c r="AI69" s="13" t="n">
        <f aca="false">AI66-AI67+AI68</f>
        <v>0</v>
      </c>
      <c r="AJ69" s="13" t="n">
        <f aca="false">AJ66-AJ67+AJ68</f>
        <v>0</v>
      </c>
      <c r="AK69" s="13" t="n">
        <f aca="false">AK66-AK67+AK68</f>
        <v>0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763</v>
      </c>
      <c r="E70" s="0" t="s">
        <v>149</v>
      </c>
      <c r="G70" s="13" t="n">
        <f aca="false">SUM(J70:BN70)</f>
        <v>6.91518614631885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6.91518614631885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771</v>
      </c>
      <c r="E71" s="0" t="s">
        <v>149</v>
      </c>
      <c r="G71" s="13" t="n">
        <f aca="false">SUM(J71:BN71)</f>
        <v>187.477705825225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187.477705825225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765</v>
      </c>
      <c r="E72" s="0" t="s">
        <v>149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4.04802988118219</v>
      </c>
      <c r="U72" s="13" t="n">
        <f aca="false">(1-Time!U47)*(U64+U67-U68)</f>
        <v>3.03602241088664</v>
      </c>
      <c r="V72" s="13" t="n">
        <f aca="false">(1-Time!V47)*(V64+V67-V68)</f>
        <v>2.02401494059109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766</v>
      </c>
      <c r="E73" s="0" t="s">
        <v>149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0</v>
      </c>
      <c r="Q73" s="13" t="n">
        <f aca="false">Q63-Q69-Q70-Q71</f>
        <v>227.725110997518</v>
      </c>
      <c r="R73" s="13" t="n">
        <f aca="false">R63-R69-R70-R71</f>
        <v>221.501921493679</v>
      </c>
      <c r="S73" s="13" t="n">
        <f aca="false">S63-S69-S70-S71</f>
        <v>215.056993736473</v>
      </c>
      <c r="T73" s="13" t="n">
        <f aca="false">T63-T69-T70-T71</f>
        <v>212.358307149019</v>
      </c>
      <c r="U73" s="13" t="n">
        <f aca="false">U63-U69-U70-U71</f>
        <v>204.410303899349</v>
      </c>
      <c r="V73" s="13" t="n">
        <f aca="false">V63-V69-V70-V71</f>
        <v>196.144644791011</v>
      </c>
      <c r="W73" s="13" t="n">
        <f aca="false">W63-W69-W70-W71</f>
        <v>0</v>
      </c>
      <c r="X73" s="13" t="n">
        <f aca="false">X63-X69-X70-X71</f>
        <v>0</v>
      </c>
      <c r="Y73" s="13" t="n">
        <f aca="false">Y63-Y69-Y70-Y71</f>
        <v>0</v>
      </c>
      <c r="Z73" s="13" t="n">
        <f aca="false">Z63-Z69-Z70-Z71</f>
        <v>0</v>
      </c>
      <c r="AA73" s="13" t="n">
        <f aca="false">AA63-AA69-AA70-AA71</f>
        <v>0</v>
      </c>
      <c r="AB73" s="13" t="n">
        <f aca="false">AB63-AB69-AB70-AB71</f>
        <v>0</v>
      </c>
      <c r="AC73" s="13" t="n">
        <f aca="false">AC63-AC69-AC70-AC71</f>
        <v>0</v>
      </c>
      <c r="AD73" s="13" t="n">
        <f aca="false">AD63-AD69-AD70-AD71</f>
        <v>0</v>
      </c>
      <c r="AE73" s="13" t="n">
        <f aca="false">AE63-AE69-AE70-AE71</f>
        <v>0</v>
      </c>
      <c r="AF73" s="13" t="n">
        <f aca="false">AF63-AF69-AF70-AF71</f>
        <v>0</v>
      </c>
      <c r="AG73" s="13" t="n">
        <f aca="false">AG63-AG69-AG70-AG71</f>
        <v>0</v>
      </c>
      <c r="AH73" s="13" t="n">
        <f aca="false">AH63-AH69-AH70-AH71</f>
        <v>0</v>
      </c>
      <c r="AI73" s="13" t="n">
        <f aca="false">AI63-AI69-AI70-AI71</f>
        <v>0</v>
      </c>
      <c r="AJ73" s="13" t="n">
        <f aca="false">AJ63-AJ69-AJ70-AJ71</f>
        <v>0</v>
      </c>
      <c r="AK73" s="13" t="n">
        <f aca="false">AK63-AK69-AK70-AK71</f>
        <v>0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767</v>
      </c>
      <c r="E74" s="0" t="s">
        <v>149</v>
      </c>
      <c r="G74" s="13" t="n">
        <f aca="false">SUM(J74:BN74)</f>
        <v>0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0</v>
      </c>
      <c r="AB74" s="13" t="n">
        <f aca="false">Waterfall!AB28*AB73/(AB31+AB45+AB59+AB73+AB87+Inputs!$F$253)+Waterfall!AB29</f>
        <v>0</v>
      </c>
      <c r="AC74" s="13" t="n">
        <f aca="false">Waterfall!AC28*AC73/(AC31+AC45+AC59+AC73+AC87+Inputs!$F$253)+Waterfall!AC29</f>
        <v>0</v>
      </c>
      <c r="AD74" s="13" t="n">
        <f aca="false">Waterfall!AD28*AD73/(AD31+AD45+AD59+AD73+AD87+Inputs!$F$253)+Waterfall!AD29</f>
        <v>0</v>
      </c>
      <c r="AE74" s="13" t="n">
        <f aca="false">Waterfall!AE28*AE73/(AE31+AE45+AE59+AE73+AE87+Inputs!$F$253)+Waterfall!AE29</f>
        <v>0</v>
      </c>
      <c r="AF74" s="13" t="n">
        <f aca="false">Waterfall!AF28*AF73/(AF31+AF45+AF59+AF73+AF87+Inputs!$F$253)+Waterfall!AF29</f>
        <v>0</v>
      </c>
      <c r="AG74" s="13" t="n">
        <f aca="false">Waterfall!AG28*AG73/(AG31+AG45+AG59+AG73+AG87+Inputs!$F$253)+Waterfall!AG29</f>
        <v>0</v>
      </c>
      <c r="AH74" s="13" t="n">
        <f aca="false">Waterfall!AH28*AH73/(AH31+AH45+AH59+AH73+AH87+Inputs!$F$253)+Waterfall!AH29</f>
        <v>0</v>
      </c>
      <c r="AI74" s="13" t="n">
        <f aca="false">Waterfall!AI28*AI73/(AI31+AI45+AI59+AI73+AI87+Inputs!$F$253)+Waterfall!AI29</f>
        <v>0</v>
      </c>
      <c r="AJ74" s="13" t="n">
        <f aca="false">Waterfall!AJ28*AJ73/(AJ31+AJ45+AJ59+AJ73+AJ87+Inputs!$F$253)+Waterfall!AJ29</f>
        <v>0</v>
      </c>
      <c r="AK74" s="13" t="n">
        <f aca="false">Waterfall!AK28*AK73/(AK31+AK45+AK59+AK73+AK87+Inputs!$F$253)+Waterfall!AK29</f>
        <v>0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768</v>
      </c>
      <c r="E75" s="0" t="s">
        <v>149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0</v>
      </c>
      <c r="P75" s="13" t="n">
        <f aca="false">IF(Time!P34=1,INDEX(Funding!$J$64:$BJ$64,1,Time!$F$14),Time!P35*(P73-P74))</f>
        <v>240.637270706254</v>
      </c>
      <c r="Q75" s="13" t="n">
        <f aca="false">IF(Time!Q34=1,INDEX(Funding!$J$64:$BJ$64,1,Time!$F$14),Time!Q35*(Q73-Q74))</f>
        <v>227.725110997518</v>
      </c>
      <c r="R75" s="13" t="n">
        <f aca="false">IF(Time!R34=1,INDEX(Funding!$J$64:$BJ$64,1,Time!$F$14),Time!R35*(R73-R74))</f>
        <v>221.501921493679</v>
      </c>
      <c r="S75" s="13" t="n">
        <f aca="false">IF(Time!S34=1,INDEX(Funding!$J$64:$BJ$64,1,Time!$F$14),Time!S35*(S73-S74))</f>
        <v>215.056993736473</v>
      </c>
      <c r="T75" s="13" t="n">
        <f aca="false">IF(Time!T34=1,INDEX(Funding!$J$64:$BJ$64,1,Time!$F$14),Time!T35*(T73-T74))</f>
        <v>212.358307149019</v>
      </c>
      <c r="U75" s="13" t="n">
        <f aca="false">IF(Time!U34=1,INDEX(Funding!$J$64:$BJ$64,1,Time!$F$14),Time!U35*(U73-U74))</f>
        <v>204.410303899349</v>
      </c>
      <c r="V75" s="13" t="n">
        <f aca="false">IF(Time!V34=1,INDEX(Funding!$J$64:$BJ$64,1,Time!$F$14),Time!V35*(V73-V74))</f>
        <v>196.144644791011</v>
      </c>
      <c r="W75" s="13" t="n">
        <f aca="false">IF(Time!W34=1,INDEX(Funding!$J$64:$BJ$64,1,Time!$F$14),Time!W35*(W73-W74))</f>
        <v>0</v>
      </c>
      <c r="X75" s="13" t="n">
        <f aca="false">IF(Time!X34=1,INDEX(Funding!$J$64:$BJ$64,1,Time!$F$14),Time!X35*(X73-X74))</f>
        <v>0</v>
      </c>
      <c r="Y75" s="13" t="n">
        <f aca="false">IF(Time!Y34=1,INDEX(Funding!$J$64:$BJ$64,1,Time!$F$14),Time!Y35*(Y73-Y74))</f>
        <v>0</v>
      </c>
      <c r="Z75" s="13" t="n">
        <f aca="false">IF(Time!Z34=1,INDEX(Funding!$J$64:$BJ$64,1,Time!$F$14),Time!Z35*(Z73-Z74))</f>
        <v>0</v>
      </c>
      <c r="AA75" s="13" t="n">
        <f aca="false">IF(Time!AA34=1,INDEX(Funding!$J$64:$BJ$64,1,Time!$F$14),Time!AA35*(AA73-AA74))</f>
        <v>0</v>
      </c>
      <c r="AB75" s="13" t="n">
        <f aca="false">IF(Time!AB34=1,INDEX(Funding!$J$64:$BJ$64,1,Time!$F$14),Time!AB35*(AB73-AB74))</f>
        <v>0</v>
      </c>
      <c r="AC75" s="13" t="n">
        <f aca="false">IF(Time!AC34=1,INDEX(Funding!$J$64:$BJ$64,1,Time!$F$14),Time!AC35*(AC73-AC74))</f>
        <v>0</v>
      </c>
      <c r="AD75" s="13" t="n">
        <f aca="false">IF(Time!AD34=1,INDEX(Funding!$J$64:$BJ$64,1,Time!$F$14),Time!AD35*(AD73-AD74))</f>
        <v>0</v>
      </c>
      <c r="AE75" s="13" t="n">
        <f aca="false">IF(Time!AE34=1,INDEX(Funding!$J$64:$BJ$64,1,Time!$F$14),Time!AE35*(AE73-AE74))</f>
        <v>0</v>
      </c>
      <c r="AF75" s="13" t="n">
        <f aca="false">IF(Time!AF34=1,INDEX(Funding!$J$64:$BJ$64,1,Time!$F$14),Time!AF35*(AF73-AF74))</f>
        <v>0</v>
      </c>
      <c r="AG75" s="13" t="n">
        <f aca="false">IF(Time!AG34=1,INDEX(Funding!$J$64:$BJ$64,1,Time!$F$14),Time!AG35*(AG73-AG74))</f>
        <v>0</v>
      </c>
      <c r="AH75" s="13" t="n">
        <f aca="false">IF(Time!AH34=1,INDEX(Funding!$J$64:$BJ$64,1,Time!$F$14),Time!AH35*(AH73-AH74))</f>
        <v>0</v>
      </c>
      <c r="AI75" s="13" t="n">
        <f aca="false">IF(Time!AI34=1,INDEX(Funding!$J$64:$BJ$64,1,Time!$F$14),Time!AI35*(AI73-AI74))</f>
        <v>0</v>
      </c>
      <c r="AJ75" s="13" t="n">
        <f aca="false">IF(Time!AJ34=1,INDEX(Funding!$J$64:$BJ$64,1,Time!$F$14),Time!AJ35*(AJ73-AJ74))</f>
        <v>0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194</v>
      </c>
    </row>
    <row r="77" customFormat="false" ht="15" hidden="false" customHeight="false" outlineLevel="0" collapsed="false">
      <c r="D77" s="0" t="s">
        <v>756</v>
      </c>
      <c r="E77" s="0" t="s">
        <v>149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0</v>
      </c>
      <c r="Q77" s="13" t="n">
        <f aca="false">Time!Q35*P89</f>
        <v>9.99206650247323</v>
      </c>
      <c r="R77" s="13" t="n">
        <f aca="false">Time!R35*Q89</f>
        <v>9.45591032798875</v>
      </c>
      <c r="S77" s="13" t="n">
        <f aca="false">Time!S35*R89</f>
        <v>9.19750262914247</v>
      </c>
      <c r="T77" s="13" t="n">
        <f aca="false">Time!T35*S89</f>
        <v>8.92988761437512</v>
      </c>
      <c r="U77" s="13" t="n">
        <f aca="false">Time!U35*T89</f>
        <v>8.81782909670643</v>
      </c>
      <c r="V77" s="13" t="n">
        <f aca="false">Time!V35*U89</f>
        <v>8.48780134664307</v>
      </c>
      <c r="W77" s="13" t="n">
        <f aca="false">Time!W35*V89</f>
        <v>8.14458346000862</v>
      </c>
      <c r="X77" s="13" t="n">
        <f aca="false">Time!X35*W89</f>
        <v>0</v>
      </c>
      <c r="Y77" s="13" t="n">
        <f aca="false">Time!Y35*X89</f>
        <v>0</v>
      </c>
      <c r="Z77" s="13" t="n">
        <f aca="false">Time!Z35*Y89</f>
        <v>0</v>
      </c>
      <c r="AA77" s="13" t="n">
        <f aca="false">Time!AA35*Z89</f>
        <v>0</v>
      </c>
      <c r="AB77" s="13" t="n">
        <f aca="false">Time!AB35*AA89</f>
        <v>0</v>
      </c>
      <c r="AC77" s="13" t="n">
        <f aca="false">Time!AC35*AB89</f>
        <v>0</v>
      </c>
      <c r="AD77" s="13" t="n">
        <f aca="false">Time!AD35*AC89</f>
        <v>0</v>
      </c>
      <c r="AE77" s="13" t="n">
        <f aca="false">Time!AE35*AD89</f>
        <v>0</v>
      </c>
      <c r="AF77" s="13" t="n">
        <f aca="false">Time!AF35*AE89</f>
        <v>0</v>
      </c>
      <c r="AG77" s="13" t="n">
        <f aca="false">Time!AG35*AF89</f>
        <v>0</v>
      </c>
      <c r="AH77" s="13" t="n">
        <f aca="false">Time!AH35*AG89</f>
        <v>0</v>
      </c>
      <c r="AI77" s="13" t="n">
        <f aca="false">Time!AI35*AH89</f>
        <v>0</v>
      </c>
      <c r="AJ77" s="13" t="n">
        <f aca="false">Time!AJ35*AI89</f>
        <v>0</v>
      </c>
      <c r="AK77" s="13" t="n">
        <f aca="false">Time!AK35*AJ89</f>
        <v>0</v>
      </c>
      <c r="AL77" s="13" t="n">
        <f aca="false">Time!AL35*AK89</f>
        <v>0</v>
      </c>
      <c r="AM77" s="13" t="n">
        <f aca="false">Time!AM35*AL89</f>
        <v>0</v>
      </c>
      <c r="AN77" s="13" t="n">
        <f aca="false">Time!AN35*AM89</f>
        <v>0</v>
      </c>
      <c r="AO77" s="13" t="n">
        <f aca="false">Time!AO35*AN89</f>
        <v>0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757</v>
      </c>
      <c r="E78" s="0" t="s">
        <v>149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0.168087776503027</v>
      </c>
      <c r="V78" s="13" t="n">
        <f aca="false">U86</f>
        <v>0.12606583237727</v>
      </c>
      <c r="W78" s="13" t="n">
        <f aca="false">V86</f>
        <v>0.0840438882515135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758</v>
      </c>
      <c r="E79" s="0" t="s">
        <v>149</v>
      </c>
      <c r="G79" s="13" t="n">
        <f aca="false">SUM(J79:BN79)</f>
        <v>2.9448366490235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0</v>
      </c>
      <c r="Q79" s="13" t="n">
        <f aca="false">Q77*Q14</f>
        <v>0.242280597097765</v>
      </c>
      <c r="R79" s="13" t="n">
        <f aca="false">R77*R14</f>
        <v>0.367116262573835</v>
      </c>
      <c r="S79" s="13" t="n">
        <f aca="false">S77*S14</f>
        <v>0.467091780889661</v>
      </c>
      <c r="T79" s="13" t="n">
        <f aca="false">T77*T14</f>
        <v>0.515057354014489</v>
      </c>
      <c r="U79" s="13" t="n">
        <f aca="false">U77*U14</f>
        <v>0.488325057890934</v>
      </c>
      <c r="V79" s="13" t="n">
        <f aca="false">V77*V14</f>
        <v>0.477990178234726</v>
      </c>
      <c r="W79" s="13" t="n">
        <f aca="false">W77*W14</f>
        <v>0.386975418322085</v>
      </c>
      <c r="X79" s="13" t="n">
        <f aca="false">X77*X14</f>
        <v>0</v>
      </c>
      <c r="Y79" s="13" t="n">
        <f aca="false">Y77*Y14</f>
        <v>0</v>
      </c>
      <c r="Z79" s="13" t="n">
        <f aca="false">Z77*Z14</f>
        <v>0</v>
      </c>
      <c r="AA79" s="13" t="n">
        <f aca="false">AA77*AA14</f>
        <v>0</v>
      </c>
      <c r="AB79" s="13" t="n">
        <f aca="false">AB77*AB14</f>
        <v>0</v>
      </c>
      <c r="AC79" s="13" t="n">
        <f aca="false">AC77*AC14</f>
        <v>0</v>
      </c>
      <c r="AD79" s="13" t="n">
        <f aca="false">AD77*AD14</f>
        <v>0</v>
      </c>
      <c r="AE79" s="13" t="n">
        <f aca="false">AE77*AE14</f>
        <v>0</v>
      </c>
      <c r="AF79" s="13" t="n">
        <f aca="false">AF77*AF14</f>
        <v>0</v>
      </c>
      <c r="AG79" s="13" t="n">
        <f aca="false">AG77*AG14</f>
        <v>0</v>
      </c>
      <c r="AH79" s="13" t="n">
        <f aca="false">AH77*AH14</f>
        <v>0</v>
      </c>
      <c r="AI79" s="13" t="n">
        <f aca="false">AI77*AI14</f>
        <v>0</v>
      </c>
      <c r="AJ79" s="13" t="n">
        <f aca="false">AJ77*AJ14</f>
        <v>0</v>
      </c>
      <c r="AK79" s="13" t="n">
        <f aca="false">AK77*AK14</f>
        <v>0</v>
      </c>
      <c r="AL79" s="13" t="n">
        <f aca="false">AL77*AL14</f>
        <v>0</v>
      </c>
      <c r="AM79" s="13" t="n">
        <f aca="false">AM77*AM14</f>
        <v>0</v>
      </c>
      <c r="AN79" s="13" t="n">
        <f aca="false">AN77*AN14</f>
        <v>0</v>
      </c>
      <c r="AO79" s="13" t="n">
        <f aca="false">AO77*AO14</f>
        <v>0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759</v>
      </c>
      <c r="E80" s="0" t="s">
        <v>149</v>
      </c>
      <c r="G80" s="13" t="n">
        <f aca="false">SUM(J80:BN80)</f>
        <v>1.96224363849013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0</v>
      </c>
      <c r="Q80" s="13" t="n">
        <f aca="false">Time!Q35*(Q77-Q78)*Q19</f>
        <v>0.249014454300384</v>
      </c>
      <c r="R80" s="13" t="n">
        <f aca="false">Time!R35*(R77-R78)*R19</f>
        <v>0.258407698846283</v>
      </c>
      <c r="S80" s="13" t="n">
        <f aca="false">Time!S35*(S77-S78)*S19</f>
        <v>0.267615014767354</v>
      </c>
      <c r="T80" s="13" t="n">
        <f aca="false">Time!T35*(T77-T78)*T19</f>
        <v>0.280146294171712</v>
      </c>
      <c r="U80" s="13" t="n">
        <f aca="false">Time!U35*(U77-U78)*U19</f>
        <v>0.288005805937602</v>
      </c>
      <c r="V80" s="13" t="n">
        <f aca="false">Time!V35*(V77-V78)*V19</f>
        <v>0.301195942508693</v>
      </c>
      <c r="W80" s="13" t="n">
        <f aca="false">Time!W35*(W77-W78)*W19</f>
        <v>0.317858427958107</v>
      </c>
      <c r="X80" s="13" t="n">
        <f aca="false">Time!X35*(X77-X78)*X19</f>
        <v>0</v>
      </c>
      <c r="Y80" s="13" t="n">
        <f aca="false">Time!Y35*(Y77-Y78)*Y19</f>
        <v>0</v>
      </c>
      <c r="Z80" s="13" t="n">
        <f aca="false">Time!Z35*(Z77-Z78)*Z19</f>
        <v>0</v>
      </c>
      <c r="AA80" s="13" t="n">
        <f aca="false">Time!AA35*(AA77-AA78)*AA19</f>
        <v>0</v>
      </c>
      <c r="AB80" s="13" t="n">
        <f aca="false">Time!AB35*(AB77-AB78)*AB19</f>
        <v>0</v>
      </c>
      <c r="AC80" s="13" t="n">
        <f aca="false">Time!AC35*(AC77-AC78)*AC19</f>
        <v>0</v>
      </c>
      <c r="AD80" s="13" t="n">
        <f aca="false">Time!AD35*(AD77-AD78)*AD19</f>
        <v>0</v>
      </c>
      <c r="AE80" s="13" t="n">
        <f aca="false">Time!AE35*(AE77-AE78)*AE19</f>
        <v>0</v>
      </c>
      <c r="AF80" s="13" t="n">
        <f aca="false">Time!AF35*(AF77-AF78)*AF19</f>
        <v>0</v>
      </c>
      <c r="AG80" s="13" t="n">
        <f aca="false">Time!AG35*(AG77-AG78)*AG19</f>
        <v>0</v>
      </c>
      <c r="AH80" s="13" t="n">
        <f aca="false">Time!AH35*(AH77-AH78)*AH19</f>
        <v>0</v>
      </c>
      <c r="AI80" s="13" t="n">
        <f aca="false">Time!AI35*(AI77-AI78)*AI19</f>
        <v>0</v>
      </c>
      <c r="AJ80" s="13" t="n">
        <f aca="false">Time!AJ35*(AJ77-AJ78)*AJ19</f>
        <v>0</v>
      </c>
      <c r="AK80" s="13" t="n">
        <f aca="false">Time!AK35*(AK77-AK78)*AK19</f>
        <v>0</v>
      </c>
      <c r="AL80" s="13" t="n">
        <f aca="false">Time!AL35*(AL77-AL78)*AL19</f>
        <v>0</v>
      </c>
      <c r="AM80" s="13" t="n">
        <f aca="false">Time!AM35*(AM77-AM78)*AM19</f>
        <v>0</v>
      </c>
      <c r="AN80" s="13" t="n">
        <f aca="false">Time!AN35*(AN77-AN78)*AN19</f>
        <v>0</v>
      </c>
      <c r="AO80" s="13" t="n">
        <f aca="false">Time!AO35*(AO77-AO78)*AO19</f>
        <v>0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760</v>
      </c>
      <c r="E81" s="0" t="s">
        <v>149</v>
      </c>
      <c r="G81" s="13" t="n">
        <f aca="false">SUM(J81:BN81)</f>
        <v>0.168087776503027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0.168087776503027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761</v>
      </c>
      <c r="E82" s="0" t="s">
        <v>149</v>
      </c>
      <c r="G82" s="13" t="n">
        <f aca="false">SUM(J82:BN82)</f>
        <v>0.12606583237727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0.0420219441257567</v>
      </c>
      <c r="V82" s="13" t="n">
        <f aca="false">IF(Time!V46&gt;0,Time!V45*V78/Time!V46,0)</f>
        <v>0.0420219441257567</v>
      </c>
      <c r="W82" s="13" t="n">
        <f aca="false">IF(Time!W46&gt;0,Time!W45*W78/Time!W46,0)</f>
        <v>0.0420219441257567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762</v>
      </c>
      <c r="E83" s="0" t="s">
        <v>149</v>
      </c>
      <c r="G83" s="13" t="n">
        <f aca="false">SUM(J83:BN83)</f>
        <v>1.92022169436438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0</v>
      </c>
      <c r="Q83" s="13" t="n">
        <f aca="false">Q80-Q81+Q82</f>
        <v>0.249014454300384</v>
      </c>
      <c r="R83" s="13" t="n">
        <f aca="false">R80-R81+R82</f>
        <v>0.258407698846283</v>
      </c>
      <c r="S83" s="13" t="n">
        <f aca="false">S80-S81+S82</f>
        <v>0.267615014767354</v>
      </c>
      <c r="T83" s="13" t="n">
        <f aca="false">T80-T81+T82</f>
        <v>0.112058517668685</v>
      </c>
      <c r="U83" s="13" t="n">
        <f aca="false">U80-U81+U82</f>
        <v>0.330027750063358</v>
      </c>
      <c r="V83" s="13" t="n">
        <f aca="false">V80-V81+V82</f>
        <v>0.34321788663445</v>
      </c>
      <c r="W83" s="13" t="n">
        <f aca="false">W80-W81+W82</f>
        <v>0.359880372083864</v>
      </c>
      <c r="X83" s="13" t="n">
        <f aca="false">X80-X81+X82</f>
        <v>0</v>
      </c>
      <c r="Y83" s="13" t="n">
        <f aca="false">Y80-Y81+Y82</f>
        <v>0</v>
      </c>
      <c r="Z83" s="13" t="n">
        <f aca="false">Z80-Z81+Z82</f>
        <v>0</v>
      </c>
      <c r="AA83" s="13" t="n">
        <f aca="false">AA80-AA81+AA82</f>
        <v>0</v>
      </c>
      <c r="AB83" s="13" t="n">
        <f aca="false">AB80-AB81+AB82</f>
        <v>0</v>
      </c>
      <c r="AC83" s="13" t="n">
        <f aca="false">AC80-AC81+AC82</f>
        <v>0</v>
      </c>
      <c r="AD83" s="13" t="n">
        <f aca="false">AD80-AD81+AD82</f>
        <v>0</v>
      </c>
      <c r="AE83" s="13" t="n">
        <f aca="false">AE80-AE81+AE82</f>
        <v>0</v>
      </c>
      <c r="AF83" s="13" t="n">
        <f aca="false">AF80-AF81+AF82</f>
        <v>0</v>
      </c>
      <c r="AG83" s="13" t="n">
        <f aca="false">AG80-AG81+AG82</f>
        <v>0</v>
      </c>
      <c r="AH83" s="13" t="n">
        <f aca="false">AH80-AH81+AH82</f>
        <v>0</v>
      </c>
      <c r="AI83" s="13" t="n">
        <f aca="false">AI80-AI81+AI82</f>
        <v>0</v>
      </c>
      <c r="AJ83" s="13" t="n">
        <f aca="false">AJ80-AJ81+AJ82</f>
        <v>0</v>
      </c>
      <c r="AK83" s="13" t="n">
        <f aca="false">AK80-AK81+AK82</f>
        <v>0</v>
      </c>
      <c r="AL83" s="13" t="n">
        <f aca="false">AL80-AL81+AL82</f>
        <v>0</v>
      </c>
      <c r="AM83" s="13" t="n">
        <f aca="false">AM80-AM81+AM82</f>
        <v>0</v>
      </c>
      <c r="AN83" s="13" t="n">
        <f aca="false">AN80-AN81+AN82</f>
        <v>0</v>
      </c>
      <c r="AO83" s="13" t="n">
        <f aca="false">AO80-AO81+AO82</f>
        <v>0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763</v>
      </c>
      <c r="E84" s="0" t="s">
        <v>149</v>
      </c>
      <c r="G84" s="13" t="n">
        <f aca="false">SUM(J84:BN84)</f>
        <v>0.287141720184095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0.287141720184095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771</v>
      </c>
      <c r="E85" s="0" t="s">
        <v>149</v>
      </c>
      <c r="G85" s="13" t="n">
        <f aca="false">SUM(J85:BN85)</f>
        <v>7.78470308792476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7.78470308792476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765</v>
      </c>
      <c r="E86" s="0" t="s">
        <v>149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0.168087776503027</v>
      </c>
      <c r="U86" s="13" t="n">
        <f aca="false">(1-Time!U47)*(U78+U81-U82)</f>
        <v>0.12606583237727</v>
      </c>
      <c r="V86" s="13" t="n">
        <f aca="false">(1-Time!V47)*(V78+V81-V82)</f>
        <v>0.0840438882515135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766</v>
      </c>
      <c r="E87" s="0" t="s">
        <v>149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0</v>
      </c>
      <c r="Q87" s="13" t="n">
        <f aca="false">Q77-Q83-Q84-Q85</f>
        <v>9.45591032798875</v>
      </c>
      <c r="R87" s="13" t="n">
        <f aca="false">R77-R83-R84-R85</f>
        <v>9.19750262914247</v>
      </c>
      <c r="S87" s="13" t="n">
        <f aca="false">S77-S83-S84-S85</f>
        <v>8.92988761437512</v>
      </c>
      <c r="T87" s="13" t="n">
        <f aca="false">T77-T83-T84-T85</f>
        <v>8.81782909670643</v>
      </c>
      <c r="U87" s="13" t="n">
        <f aca="false">U77-U83-U84-U85</f>
        <v>8.48780134664307</v>
      </c>
      <c r="V87" s="13" t="n">
        <f aca="false">V77-V83-V84-V85</f>
        <v>8.14458346000862</v>
      </c>
      <c r="W87" s="13" t="n">
        <f aca="false">W77-W83-W84-W85</f>
        <v>0</v>
      </c>
      <c r="X87" s="13" t="n">
        <f aca="false">X77-X83-X84-X85</f>
        <v>0</v>
      </c>
      <c r="Y87" s="13" t="n">
        <f aca="false">Y77-Y83-Y84-Y85</f>
        <v>0</v>
      </c>
      <c r="Z87" s="13" t="n">
        <f aca="false">Z77-Z83-Z84-Z85</f>
        <v>0</v>
      </c>
      <c r="AA87" s="13" t="n">
        <f aca="false">AA77-AA83-AA84-AA85</f>
        <v>0</v>
      </c>
      <c r="AB87" s="13" t="n">
        <f aca="false">AB77-AB83-AB84-AB85</f>
        <v>0</v>
      </c>
      <c r="AC87" s="13" t="n">
        <f aca="false">AC77-AC83-AC84-AC85</f>
        <v>0</v>
      </c>
      <c r="AD87" s="13" t="n">
        <f aca="false">AD77-AD83-AD84-AD85</f>
        <v>0</v>
      </c>
      <c r="AE87" s="13" t="n">
        <f aca="false">AE77-AE83-AE84-AE85</f>
        <v>0</v>
      </c>
      <c r="AF87" s="13" t="n">
        <f aca="false">AF77-AF83-AF84-AF85</f>
        <v>0</v>
      </c>
      <c r="AG87" s="13" t="n">
        <f aca="false">AG77-AG83-AG84-AG85</f>
        <v>0</v>
      </c>
      <c r="AH87" s="13" t="n">
        <f aca="false">AH77-AH83-AH84-AH85</f>
        <v>0</v>
      </c>
      <c r="AI87" s="13" t="n">
        <f aca="false">AI77-AI83-AI84-AI85</f>
        <v>0</v>
      </c>
      <c r="AJ87" s="13" t="n">
        <f aca="false">AJ77-AJ83-AJ84-AJ85</f>
        <v>0</v>
      </c>
      <c r="AK87" s="13" t="n">
        <f aca="false">AK77-AK83-AK84-AK85</f>
        <v>0</v>
      </c>
      <c r="AL87" s="13" t="n">
        <f aca="false">AL77-AL83-AL84-AL85</f>
        <v>0</v>
      </c>
      <c r="AM87" s="13" t="n">
        <f aca="false">AM77-AM83-AM84-AM85</f>
        <v>0</v>
      </c>
      <c r="AN87" s="13" t="n">
        <f aca="false">AN77-AN83-AN84-AN85</f>
        <v>0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767</v>
      </c>
      <c r="E88" s="0" t="s">
        <v>149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768</v>
      </c>
      <c r="E89" s="0" t="s">
        <v>149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0</v>
      </c>
      <c r="P89" s="13" t="n">
        <f aca="false">IF(Time!P34=1,INDEX(Funding!$J$65:$BJ$65,1,Time!$F$14),Time!P35*(P87-P88))</f>
        <v>9.99206650247323</v>
      </c>
      <c r="Q89" s="13" t="n">
        <f aca="false">IF(Time!Q34=1,INDEX(Funding!$J$65:$BJ$65,1,Time!$F$14),Time!Q35*(Q87-Q88))</f>
        <v>9.45591032798875</v>
      </c>
      <c r="R89" s="13" t="n">
        <f aca="false">IF(Time!R34=1,INDEX(Funding!$J$65:$BJ$65,1,Time!$F$14),Time!R35*(R87-R88))</f>
        <v>9.19750262914247</v>
      </c>
      <c r="S89" s="13" t="n">
        <f aca="false">IF(Time!S34=1,INDEX(Funding!$J$65:$BJ$65,1,Time!$F$14),Time!S35*(S87-S88))</f>
        <v>8.92988761437512</v>
      </c>
      <c r="T89" s="13" t="n">
        <f aca="false">IF(Time!T34=1,INDEX(Funding!$J$65:$BJ$65,1,Time!$F$14),Time!T35*(T87-T88))</f>
        <v>8.81782909670643</v>
      </c>
      <c r="U89" s="13" t="n">
        <f aca="false">IF(Time!U34=1,INDEX(Funding!$J$65:$BJ$65,1,Time!$F$14),Time!U35*(U87-U88))</f>
        <v>8.48780134664307</v>
      </c>
      <c r="V89" s="13" t="n">
        <f aca="false">IF(Time!V34=1,INDEX(Funding!$J$65:$BJ$65,1,Time!$F$14),Time!V35*(V87-V88))</f>
        <v>8.14458346000862</v>
      </c>
      <c r="W89" s="13" t="n">
        <f aca="false">IF(Time!W34=1,INDEX(Funding!$J$65:$BJ$65,1,Time!$F$14),Time!W35*(W87-W88))</f>
        <v>0</v>
      </c>
      <c r="X89" s="13" t="n">
        <f aca="false">IF(Time!X34=1,INDEX(Funding!$J$65:$BJ$65,1,Time!$F$14),Time!X35*(X87-X88))</f>
        <v>0</v>
      </c>
      <c r="Y89" s="13" t="n">
        <f aca="false">IF(Time!Y34=1,INDEX(Funding!$J$65:$BJ$65,1,Time!$F$14),Time!Y35*(Y87-Y88))</f>
        <v>0</v>
      </c>
      <c r="Z89" s="13" t="n">
        <f aca="false">IF(Time!Z34=1,INDEX(Funding!$J$65:$BJ$65,1,Time!$F$14),Time!Z35*(Z87-Z88))</f>
        <v>0</v>
      </c>
      <c r="AA89" s="13" t="n">
        <f aca="false">IF(Time!AA34=1,INDEX(Funding!$J$65:$BJ$65,1,Time!$F$14),Time!AA35*(AA87-AA88))</f>
        <v>0</v>
      </c>
      <c r="AB89" s="13" t="n">
        <f aca="false">IF(Time!AB34=1,INDEX(Funding!$J$65:$BJ$65,1,Time!$F$14),Time!AB35*(AB87-AB88))</f>
        <v>0</v>
      </c>
      <c r="AC89" s="13" t="n">
        <f aca="false">IF(Time!AC34=1,INDEX(Funding!$J$65:$BJ$65,1,Time!$F$14),Time!AC35*(AC87-AC88))</f>
        <v>0</v>
      </c>
      <c r="AD89" s="13" t="n">
        <f aca="false">IF(Time!AD34=1,INDEX(Funding!$J$65:$BJ$65,1,Time!$F$14),Time!AD35*(AD87-AD88))</f>
        <v>0</v>
      </c>
      <c r="AE89" s="13" t="n">
        <f aca="false">IF(Time!AE34=1,INDEX(Funding!$J$65:$BJ$65,1,Time!$F$14),Time!AE35*(AE87-AE88))</f>
        <v>0</v>
      </c>
      <c r="AF89" s="13" t="n">
        <f aca="false">IF(Time!AF34=1,INDEX(Funding!$J$65:$BJ$65,1,Time!$F$14),Time!AF35*(AF87-AF88))</f>
        <v>0</v>
      </c>
      <c r="AG89" s="13" t="n">
        <f aca="false">IF(Time!AG34=1,INDEX(Funding!$J$65:$BJ$65,1,Time!$F$14),Time!AG35*(AG87-AG88))</f>
        <v>0</v>
      </c>
      <c r="AH89" s="13" t="n">
        <f aca="false">IF(Time!AH34=1,INDEX(Funding!$J$65:$BJ$65,1,Time!$F$14),Time!AH35*(AH87-AH88))</f>
        <v>0</v>
      </c>
      <c r="AI89" s="13" t="n">
        <f aca="false">IF(Time!AI34=1,INDEX(Funding!$J$65:$BJ$65,1,Time!$F$14),Time!AI35*(AI87-AI88))</f>
        <v>0</v>
      </c>
      <c r="AJ89" s="13" t="n">
        <f aca="false">IF(Time!AJ34=1,INDEX(Funding!$J$65:$BJ$65,1,Time!$F$14),Time!AJ35*(AJ87-AJ88))</f>
        <v>0</v>
      </c>
      <c r="AK89" s="13" t="n">
        <f aca="false">IF(Time!AK34=1,INDEX(Funding!$J$65:$BJ$65,1,Time!$F$14),Time!AK35*(AK87-AK88))</f>
        <v>0</v>
      </c>
      <c r="AL89" s="13" t="n">
        <f aca="false">IF(Time!AL34=1,INDEX(Funding!$J$65:$BJ$65,1,Time!$F$14),Time!AL35*(AL87-AL88))</f>
        <v>0</v>
      </c>
      <c r="AM89" s="13" t="n">
        <f aca="false">IF(Time!AM34=1,INDEX(Funding!$J$65:$BJ$65,1,Time!$F$14),Time!AM35*(AM87-AM88))</f>
        <v>0</v>
      </c>
      <c r="AN89" s="13" t="n">
        <f aca="false">IF(Time!AN34=1,INDEX(Funding!$J$65:$BJ$65,1,Time!$F$14),Time!AN35*(AN87-AN88))</f>
        <v>0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773</v>
      </c>
    </row>
    <row r="91" customFormat="false" ht="15" hidden="false" customHeight="false" outlineLevel="0" collapsed="false">
      <c r="D91" s="0" t="s">
        <v>756</v>
      </c>
      <c r="E91" s="0" t="s">
        <v>149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245.769686749184</v>
      </c>
      <c r="Y91" s="13" t="n">
        <f aca="false">Time!Y35*X95</f>
        <v>243.043409891072</v>
      </c>
      <c r="Z91" s="13" t="n">
        <f aca="false">Time!Z35*Y95</f>
        <v>239.083586341563</v>
      </c>
      <c r="AA91" s="13" t="n">
        <f aca="false">Time!AA35*Z95</f>
        <v>234.754043688946</v>
      </c>
      <c r="AB91" s="13" t="n">
        <f aca="false">Time!AB35*AA95</f>
        <v>230.438105899647</v>
      </c>
      <c r="AC91" s="13" t="n">
        <f aca="false">Time!AC35*AB95</f>
        <v>225.797789349591</v>
      </c>
      <c r="AD91" s="13" t="n">
        <f aca="false">Time!AD35*AC95</f>
        <v>221.150692404056</v>
      </c>
      <c r="AE91" s="13" t="n">
        <f aca="false">Time!AE35*AD95</f>
        <v>216.229332138232</v>
      </c>
      <c r="AF91" s="13" t="n">
        <f aca="false">Time!AF35*AE95</f>
        <v>210.811940600891</v>
      </c>
      <c r="AG91" s="13" t="n">
        <f aca="false">Time!AG35*AF95</f>
        <v>205.027404404493</v>
      </c>
      <c r="AH91" s="13" t="n">
        <f aca="false">Time!AH35*AG95</f>
        <v>199.187424111352</v>
      </c>
      <c r="AI91" s="13" t="n">
        <f aca="false">Time!AI35*AH95</f>
        <v>193.007776735388</v>
      </c>
      <c r="AJ91" s="13" t="n">
        <f aca="false">Time!AJ35*AI95</f>
        <v>186.807639370687</v>
      </c>
      <c r="AK91" s="13" t="n">
        <f aca="false">Time!AK35*AJ95</f>
        <v>180.295642593078</v>
      </c>
      <c r="AL91" s="13" t="n">
        <f aca="false">Time!AL35*AK95</f>
        <v>173.755238265421</v>
      </c>
      <c r="AM91" s="13" t="n">
        <f aca="false">Time!AM35*AL95</f>
        <v>166.938994595399</v>
      </c>
      <c r="AN91" s="13" t="n">
        <f aca="false">Time!AN35*AM95</f>
        <v>159.875467421373</v>
      </c>
      <c r="AO91" s="13" t="n">
        <f aca="false">Time!AO35*AN95</f>
        <v>152.502949102364</v>
      </c>
      <c r="AP91" s="13" t="n">
        <f aca="false">Time!AP35*AO95</f>
        <v>145.874859081789</v>
      </c>
      <c r="AQ91" s="13" t="n">
        <f aca="false">Time!AQ35*AP95</f>
        <v>122.851961703253</v>
      </c>
      <c r="AR91" s="13" t="n">
        <f aca="false">Time!AR35*AQ95</f>
        <v>100.987805609576</v>
      </c>
      <c r="AS91" s="13" t="n">
        <f aca="false">Time!AS35*AR95</f>
        <v>77.9801784814743</v>
      </c>
      <c r="AT91" s="13" t="n">
        <f aca="false">Time!AT35*AS95</f>
        <v>54.4443709705674</v>
      </c>
      <c r="AU91" s="13" t="n">
        <f aca="false">Time!AU35*AT95</f>
        <v>29.7825623912257</v>
      </c>
      <c r="AV91" s="13" t="n">
        <f aca="false">Time!AV35*AU95</f>
        <v>6.46593889541691E-013</v>
      </c>
      <c r="AW91" s="13" t="n">
        <f aca="false">Time!AW35*AV95</f>
        <v>6.46593889541691E-013</v>
      </c>
      <c r="AX91" s="13" t="n">
        <f aca="false">Time!AX35*AW95</f>
        <v>6.46593889541691E-013</v>
      </c>
      <c r="AY91" s="13" t="n">
        <f aca="false">Time!AY35*AX95</f>
        <v>6.46593889541691E-013</v>
      </c>
      <c r="AZ91" s="13" t="n">
        <f aca="false">Time!AZ35*AY95</f>
        <v>6.46593889541691E-013</v>
      </c>
      <c r="BA91" s="13" t="n">
        <f aca="false">Time!BA35*AZ95</f>
        <v>6.46593889541691E-013</v>
      </c>
      <c r="BB91" s="13" t="n">
        <f aca="false">Time!BB35*BA95</f>
        <v>6.46593889541691E-013</v>
      </c>
      <c r="BC91" s="13" t="n">
        <f aca="false">Time!BC35*BB95</f>
        <v>6.46593889541691E-013</v>
      </c>
      <c r="BD91" s="13" t="n">
        <f aca="false">Time!BD35*BC95</f>
        <v>6.46593889541691E-013</v>
      </c>
      <c r="BE91" s="13" t="n">
        <f aca="false">Time!BE35*BD95</f>
        <v>6.46593889541691E-013</v>
      </c>
      <c r="BF91" s="13" t="n">
        <f aca="false">Time!BF35*BE95</f>
        <v>6.46593889541691E-013</v>
      </c>
      <c r="BG91" s="13" t="n">
        <f aca="false">Time!BG35*BF95</f>
        <v>6.46593889541691E-013</v>
      </c>
      <c r="BH91" s="13" t="n">
        <f aca="false">Time!BH35*BG95</f>
        <v>6.46593889541691E-013</v>
      </c>
      <c r="BI91" s="13" t="n">
        <f aca="false">Time!BI35*BH95</f>
        <v>6.46593889541691E-013</v>
      </c>
      <c r="BJ91" s="13" t="n">
        <f aca="false">Time!BJ35*BI95</f>
        <v>6.46593889541691E-013</v>
      </c>
      <c r="BK91" s="13" t="n">
        <f aca="false">Time!BK35*BJ95</f>
        <v>6.46593889541691E-013</v>
      </c>
      <c r="BL91" s="13" t="n">
        <f aca="false">Time!BL35*BK95</f>
        <v>6.46593889541691E-013</v>
      </c>
      <c r="BM91" s="13" t="n">
        <f aca="false">Time!BM35*BL95</f>
        <v>6.46593889541691E-013</v>
      </c>
      <c r="BN91" s="13" t="n">
        <f aca="false">Time!BN35*BM95</f>
        <v>6.46593889541691E-013</v>
      </c>
    </row>
    <row r="92" customFormat="false" ht="15" hidden="false" customHeight="false" outlineLevel="0" collapsed="false">
      <c r="D92" s="0" t="s">
        <v>758</v>
      </c>
      <c r="E92" s="0" t="s">
        <v>149</v>
      </c>
      <c r="G92" s="13" t="n">
        <f aca="false">SUM(J92:BN92)</f>
        <v>166.020705187338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9.67718141574914</v>
      </c>
      <c r="Y92" s="13" t="n">
        <f aca="false">Y91*Y15</f>
        <v>9.56983426446094</v>
      </c>
      <c r="Z92" s="13" t="n">
        <f aca="false">Z91*Z15</f>
        <v>9.41391621219905</v>
      </c>
      <c r="AA92" s="13" t="n">
        <f aca="false">AA91*AA15</f>
        <v>9.24344047025226</v>
      </c>
      <c r="AB92" s="13" t="n">
        <f aca="false">AB91*AB15</f>
        <v>9.0735004197986</v>
      </c>
      <c r="AC92" s="13" t="n">
        <f aca="false">AC91*AC15</f>
        <v>8.89078795564016</v>
      </c>
      <c r="AD92" s="13" t="n">
        <f aca="false">AD91*AD15</f>
        <v>8.70780851340971</v>
      </c>
      <c r="AE92" s="13" t="n">
        <f aca="false">AE91*AE15</f>
        <v>8.51402995294287</v>
      </c>
      <c r="AF92" s="13" t="n">
        <f aca="false">AF91*AF15</f>
        <v>8.30072016116009</v>
      </c>
      <c r="AG92" s="13" t="n">
        <f aca="false">AG91*AG15</f>
        <v>8.07295404842689</v>
      </c>
      <c r="AH92" s="13" t="n">
        <f aca="false">AH91*AH15</f>
        <v>7.84300482438449</v>
      </c>
      <c r="AI92" s="13" t="n">
        <f aca="false">AI91*AI15</f>
        <v>7.59968120895591</v>
      </c>
      <c r="AJ92" s="13" t="n">
        <f aca="false">AJ91*AJ15</f>
        <v>7.3555508002208</v>
      </c>
      <c r="AK92" s="13" t="n">
        <f aca="false">AK91*AK15</f>
        <v>7.09914092710246</v>
      </c>
      <c r="AL92" s="13" t="n">
        <f aca="false">AL91*AL15</f>
        <v>6.84161250670094</v>
      </c>
      <c r="AM92" s="13" t="n">
        <f aca="false">AM91*AM15</f>
        <v>6.57322291219385</v>
      </c>
      <c r="AN92" s="13" t="n">
        <f aca="false">AN91*AN15</f>
        <v>6.29509652971657</v>
      </c>
      <c r="AO92" s="13" t="n">
        <f aca="false">AO91*AO15</f>
        <v>6.00480362090557</v>
      </c>
      <c r="AP92" s="13" t="n">
        <f aca="false">AP91*AP15</f>
        <v>5.74382257634546</v>
      </c>
      <c r="AQ92" s="13" t="n">
        <f aca="false">AQ91*AQ15</f>
        <v>4.83729599206559</v>
      </c>
      <c r="AR92" s="13" t="n">
        <f aca="false">AR91*AR15</f>
        <v>3.97639484587706</v>
      </c>
      <c r="AS92" s="13" t="n">
        <f aca="false">AS91*AS15</f>
        <v>3.07046952770805</v>
      </c>
      <c r="AT92" s="13" t="n">
        <f aca="false">AT91*AT15</f>
        <v>2.14374710696609</v>
      </c>
      <c r="AU92" s="13" t="n">
        <f aca="false">AU91*AU15</f>
        <v>1.17268839415451</v>
      </c>
      <c r="AV92" s="13" t="n">
        <f aca="false">AV91*AV15</f>
        <v>2.54596344007041E-014</v>
      </c>
      <c r="AW92" s="13" t="n">
        <f aca="false">AW91*AW15</f>
        <v>2.54596344007041E-014</v>
      </c>
      <c r="AX92" s="13" t="n">
        <f aca="false">AX91*AX15</f>
        <v>2.54596344007041E-014</v>
      </c>
      <c r="AY92" s="13" t="n">
        <f aca="false">AY91*AY15</f>
        <v>2.54596344007041E-014</v>
      </c>
      <c r="AZ92" s="13" t="n">
        <f aca="false">AZ91*AZ15</f>
        <v>2.54596344007041E-014</v>
      </c>
      <c r="BA92" s="13" t="n">
        <f aca="false">BA91*BA15</f>
        <v>2.54596344007041E-014</v>
      </c>
      <c r="BB92" s="13" t="n">
        <f aca="false">BB91*BB15</f>
        <v>2.54596344007041E-014</v>
      </c>
      <c r="BC92" s="13" t="n">
        <f aca="false">BC91*BC15</f>
        <v>2.54596344007041E-014</v>
      </c>
      <c r="BD92" s="13" t="n">
        <f aca="false">BD91*BD15</f>
        <v>2.54596344007041E-014</v>
      </c>
      <c r="BE92" s="13" t="n">
        <f aca="false">BE91*BE15</f>
        <v>2.54596344007041E-014</v>
      </c>
      <c r="BF92" s="13" t="n">
        <f aca="false">BF91*BF15</f>
        <v>2.54596344007041E-014</v>
      </c>
      <c r="BG92" s="13" t="n">
        <f aca="false">BG91*BG15</f>
        <v>2.54596344007041E-014</v>
      </c>
      <c r="BH92" s="13" t="n">
        <f aca="false">BH91*BH15</f>
        <v>2.54596344007041E-014</v>
      </c>
      <c r="BI92" s="13" t="n">
        <f aca="false">BI91*BI15</f>
        <v>2.54596344007041E-014</v>
      </c>
      <c r="BJ92" s="13" t="n">
        <f aca="false">BJ91*BJ15</f>
        <v>2.54596344007041E-014</v>
      </c>
      <c r="BK92" s="13" t="n">
        <f aca="false">BK91*BK15</f>
        <v>2.54596344007041E-014</v>
      </c>
      <c r="BL92" s="13" t="n">
        <f aca="false">BL91*BL15</f>
        <v>2.54596344007041E-014</v>
      </c>
      <c r="BM92" s="13" t="n">
        <f aca="false">BM91*BM15</f>
        <v>2.54596344007041E-014</v>
      </c>
      <c r="BN92" s="13" t="n">
        <f aca="false">BN91*BN15</f>
        <v>2.54596344007041E-014</v>
      </c>
    </row>
    <row r="93" customFormat="false" ht="15" hidden="false" customHeight="false" outlineLevel="0" collapsed="false">
      <c r="D93" s="0" t="s">
        <v>762</v>
      </c>
      <c r="E93" s="0" t="s">
        <v>149</v>
      </c>
      <c r="G93" s="13" t="n">
        <f aca="false">SUM(J93:BN93)</f>
        <v>245.769686749184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2.72627685811286</v>
      </c>
      <c r="Y93" s="13" t="n">
        <f aca="false">IF(Y91&gt;0,MIN(X101*Inputs!Y300,Y91),0)</f>
        <v>3.95982354950837</v>
      </c>
      <c r="Z93" s="13" t="n">
        <f aca="false">IF(Z91&gt;0,MIN(Y101*Inputs!Z300,Z91),0)</f>
        <v>4.32954265261687</v>
      </c>
      <c r="AA93" s="13" t="n">
        <f aca="false">IF(AA91&gt;0,MIN(Z101*Inputs!AA300,AA91),0)</f>
        <v>4.31593778929942</v>
      </c>
      <c r="AB93" s="13" t="n">
        <f aca="false">IF(AB91&gt;0,MIN(AA101*Inputs!AB300,AB91),0)</f>
        <v>4.64031655005558</v>
      </c>
      <c r="AC93" s="13" t="n">
        <f aca="false">IF(AC91&gt;0,MIN(AB101*Inputs!AC300,AC91),0)</f>
        <v>4.64709694553521</v>
      </c>
      <c r="AD93" s="13" t="n">
        <f aca="false">IF(AD91&gt;0,MIN(AC101*Inputs!AD300,AD91),0)</f>
        <v>4.9213602658245</v>
      </c>
      <c r="AE93" s="13" t="n">
        <f aca="false">IF(AE91&gt;0,MIN(AD101*Inputs!AE300,AE91),0)</f>
        <v>5.41739153734032</v>
      </c>
      <c r="AF93" s="13" t="n">
        <f aca="false">IF(AF91&gt;0,MIN(AE101*Inputs!AF300,AF91),0)</f>
        <v>5.7845361963987</v>
      </c>
      <c r="AG93" s="13" t="n">
        <f aca="false">IF(AG91&gt;0,MIN(AF101*Inputs!AG300,AG91),0)</f>
        <v>5.83998029314027</v>
      </c>
      <c r="AH93" s="13" t="n">
        <f aca="false">IF(AH91&gt;0,MIN(AG101*Inputs!AH300,AH91),0)</f>
        <v>6.17964737596405</v>
      </c>
      <c r="AI93" s="13" t="n">
        <f aca="false">IF(AI91&gt;0,MIN(AH101*Inputs!AI300,AI91),0)</f>
        <v>6.20013736470118</v>
      </c>
      <c r="AJ93" s="13" t="n">
        <f aca="false">IF(AJ91&gt;0,MIN(AI101*Inputs!AJ300,AJ91),0)</f>
        <v>6.51199677760869</v>
      </c>
      <c r="AK93" s="13" t="n">
        <f aca="false">IF(AK91&gt;0,MIN(AJ101*Inputs!AK300,AK91),0)</f>
        <v>6.54040432765757</v>
      </c>
      <c r="AL93" s="13" t="n">
        <f aca="false">IF(AL91&gt;0,MIN(AK101*Inputs!AL300,AL91),0)</f>
        <v>6.81624367002143</v>
      </c>
      <c r="AM93" s="13" t="n">
        <f aca="false">IF(AM91&gt;0,MIN(AL101*Inputs!AM300,AM91),0)</f>
        <v>7.06352717402623</v>
      </c>
      <c r="AN93" s="13" t="n">
        <f aca="false">IF(AN91&gt;0,MIN(AM101*Inputs!AN300,AN91),0)</f>
        <v>7.37251831900945</v>
      </c>
      <c r="AO93" s="13" t="n">
        <f aca="false">IF(AO91&gt;0,MIN(AN101*Inputs!AO300,AO91),0)</f>
        <v>6.62809002057419</v>
      </c>
      <c r="AP93" s="13" t="n">
        <f aca="false">IF(AP91&gt;0,MIN(AO101*Inputs!AP300,AP91),0)</f>
        <v>23.0228973785364</v>
      </c>
      <c r="AQ93" s="13" t="n">
        <f aca="false">IF(AQ91&gt;0,MIN(AP101*Inputs!AQ300,AQ91),0)</f>
        <v>21.8641560936769</v>
      </c>
      <c r="AR93" s="13" t="n">
        <f aca="false">IF(AR91&gt;0,MIN(AQ101*Inputs!AR300,AR91),0)</f>
        <v>23.0076271281019</v>
      </c>
      <c r="AS93" s="13" t="n">
        <f aca="false">IF(AS91&gt;0,MIN(AR101*Inputs!AS300,AS91),0)</f>
        <v>23.5358075109069</v>
      </c>
      <c r="AT93" s="13" t="n">
        <f aca="false">IF(AT91&gt;0,MIN(AS101*Inputs!AT300,AT91),0)</f>
        <v>24.6618085793418</v>
      </c>
      <c r="AU93" s="13" t="n">
        <f aca="false">IF(AU91&gt;0,MIN(AT101*Inputs!AU300,AU91),0)</f>
        <v>29.782562391225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774</v>
      </c>
      <c r="E94" s="0" t="s">
        <v>149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243.043409891072</v>
      </c>
      <c r="Y94" s="13" t="n">
        <f aca="false">Y91-Y93</f>
        <v>239.083586341563</v>
      </c>
      <c r="Z94" s="13" t="n">
        <f aca="false">Z91-Z93</f>
        <v>234.754043688946</v>
      </c>
      <c r="AA94" s="13" t="n">
        <f aca="false">AA91-AA93</f>
        <v>230.438105899647</v>
      </c>
      <c r="AB94" s="13" t="n">
        <f aca="false">AB91-AB93</f>
        <v>225.797789349591</v>
      </c>
      <c r="AC94" s="13" t="n">
        <f aca="false">AC91-AC93</f>
        <v>221.150692404056</v>
      </c>
      <c r="AD94" s="13" t="n">
        <f aca="false">AD91-AD93</f>
        <v>216.229332138232</v>
      </c>
      <c r="AE94" s="13" t="n">
        <f aca="false">AE91-AE93</f>
        <v>210.811940600891</v>
      </c>
      <c r="AF94" s="13" t="n">
        <f aca="false">AF91-AF93</f>
        <v>205.027404404493</v>
      </c>
      <c r="AG94" s="13" t="n">
        <f aca="false">AG91-AG93</f>
        <v>199.187424111352</v>
      </c>
      <c r="AH94" s="13" t="n">
        <f aca="false">AH91-AH93</f>
        <v>193.007776735388</v>
      </c>
      <c r="AI94" s="13" t="n">
        <f aca="false">AI91-AI93</f>
        <v>186.807639370687</v>
      </c>
      <c r="AJ94" s="13" t="n">
        <f aca="false">AJ91-AJ93</f>
        <v>180.295642593078</v>
      </c>
      <c r="AK94" s="13" t="n">
        <f aca="false">AK91-AK93</f>
        <v>173.755238265421</v>
      </c>
      <c r="AL94" s="13" t="n">
        <f aca="false">AL91-AL93</f>
        <v>166.938994595399</v>
      </c>
      <c r="AM94" s="13" t="n">
        <f aca="false">AM91-AM93</f>
        <v>159.875467421373</v>
      </c>
      <c r="AN94" s="13" t="n">
        <f aca="false">AN91-AN93</f>
        <v>152.502949102364</v>
      </c>
      <c r="AO94" s="13" t="n">
        <f aca="false">AO91-AO93</f>
        <v>145.874859081789</v>
      </c>
      <c r="AP94" s="13" t="n">
        <f aca="false">AP91-AP93</f>
        <v>122.851961703253</v>
      </c>
      <c r="AQ94" s="13" t="n">
        <f aca="false">AQ91-AQ93</f>
        <v>100.987805609576</v>
      </c>
      <c r="AR94" s="13" t="n">
        <f aca="false">AR91-AR93</f>
        <v>77.9801784814743</v>
      </c>
      <c r="AS94" s="13" t="n">
        <f aca="false">AS91-AS93</f>
        <v>54.4443709705674</v>
      </c>
      <c r="AT94" s="13" t="n">
        <f aca="false">AT91-AT93</f>
        <v>29.7825623912257</v>
      </c>
      <c r="AU94" s="13" t="n">
        <f aca="false">AU91-AU93</f>
        <v>6.46593889541691E-013</v>
      </c>
      <c r="AV94" s="13" t="n">
        <f aca="false">AV91-AV93</f>
        <v>6.46593889541691E-013</v>
      </c>
      <c r="AW94" s="13" t="n">
        <f aca="false">AW91-AW93</f>
        <v>6.46593889541691E-013</v>
      </c>
      <c r="AX94" s="13" t="n">
        <f aca="false">AX91-AX93</f>
        <v>6.46593889541691E-013</v>
      </c>
      <c r="AY94" s="13" t="n">
        <f aca="false">AY91-AY93</f>
        <v>6.46593889541691E-013</v>
      </c>
      <c r="AZ94" s="13" t="n">
        <f aca="false">AZ91-AZ93</f>
        <v>6.46593889541691E-013</v>
      </c>
      <c r="BA94" s="13" t="n">
        <f aca="false">BA91-BA93</f>
        <v>6.46593889541691E-013</v>
      </c>
      <c r="BB94" s="13" t="n">
        <f aca="false">BB91-BB93</f>
        <v>6.46593889541691E-013</v>
      </c>
      <c r="BC94" s="13" t="n">
        <f aca="false">BC91-BC93</f>
        <v>6.46593889541691E-013</v>
      </c>
      <c r="BD94" s="13" t="n">
        <f aca="false">BD91-BD93</f>
        <v>6.46593889541691E-013</v>
      </c>
      <c r="BE94" s="13" t="n">
        <f aca="false">BE91-BE93</f>
        <v>6.46593889541691E-013</v>
      </c>
      <c r="BF94" s="13" t="n">
        <f aca="false">BF91-BF93</f>
        <v>6.46593889541691E-013</v>
      </c>
      <c r="BG94" s="13" t="n">
        <f aca="false">BG91-BG93</f>
        <v>6.46593889541691E-013</v>
      </c>
      <c r="BH94" s="13" t="n">
        <f aca="false">BH91-BH93</f>
        <v>6.46593889541691E-013</v>
      </c>
      <c r="BI94" s="13" t="n">
        <f aca="false">BI91-BI93</f>
        <v>6.46593889541691E-013</v>
      </c>
      <c r="BJ94" s="13" t="n">
        <f aca="false">BJ91-BJ93</f>
        <v>6.46593889541691E-013</v>
      </c>
      <c r="BK94" s="13" t="n">
        <f aca="false">BK91-BK93</f>
        <v>6.46593889541691E-013</v>
      </c>
      <c r="BL94" s="13" t="n">
        <f aca="false">BL91-BL93</f>
        <v>6.46593889541691E-013</v>
      </c>
      <c r="BM94" s="13" t="n">
        <f aca="false">BM91-BM93</f>
        <v>6.46593889541691E-013</v>
      </c>
      <c r="BN94" s="13" t="n">
        <f aca="false">BN91-BN93</f>
        <v>6.46593889541691E-013</v>
      </c>
    </row>
    <row r="95" customFormat="false" ht="15" hidden="false" customHeight="false" outlineLevel="0" collapsed="false">
      <c r="D95" s="0" t="s">
        <v>775</v>
      </c>
      <c r="E95" s="0" t="s">
        <v>149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245.769686749184</v>
      </c>
      <c r="X95" s="13" t="n">
        <f aca="false">X94+X100</f>
        <v>243.043409891072</v>
      </c>
      <c r="Y95" s="13" t="n">
        <f aca="false">Y94+Y100</f>
        <v>239.083586341563</v>
      </c>
      <c r="Z95" s="13" t="n">
        <f aca="false">Z94+Z100</f>
        <v>234.754043688946</v>
      </c>
      <c r="AA95" s="13" t="n">
        <f aca="false">AA94+AA100</f>
        <v>230.438105899647</v>
      </c>
      <c r="AB95" s="13" t="n">
        <f aca="false">AB94+AB100</f>
        <v>225.797789349591</v>
      </c>
      <c r="AC95" s="13" t="n">
        <f aca="false">AC94+AC100</f>
        <v>221.150692404056</v>
      </c>
      <c r="AD95" s="13" t="n">
        <f aca="false">AD94+AD100</f>
        <v>216.229332138232</v>
      </c>
      <c r="AE95" s="13" t="n">
        <f aca="false">AE94+AE100</f>
        <v>210.811940600891</v>
      </c>
      <c r="AF95" s="13" t="n">
        <f aca="false">AF94+AF100</f>
        <v>205.027404404493</v>
      </c>
      <c r="AG95" s="13" t="n">
        <f aca="false">AG94+AG100</f>
        <v>199.187424111352</v>
      </c>
      <c r="AH95" s="13" t="n">
        <f aca="false">AH94+AH100</f>
        <v>193.007776735388</v>
      </c>
      <c r="AI95" s="13" t="n">
        <f aca="false">AI94+AI100</f>
        <v>186.807639370687</v>
      </c>
      <c r="AJ95" s="13" t="n">
        <f aca="false">AJ94+AJ100</f>
        <v>180.295642593078</v>
      </c>
      <c r="AK95" s="13" t="n">
        <f aca="false">AK94+AK100</f>
        <v>173.755238265421</v>
      </c>
      <c r="AL95" s="13" t="n">
        <f aca="false">AL94+AL100</f>
        <v>166.938994595399</v>
      </c>
      <c r="AM95" s="13" t="n">
        <f aca="false">AM94+AM100</f>
        <v>159.875467421373</v>
      </c>
      <c r="AN95" s="13" t="n">
        <f aca="false">AN94+AN100</f>
        <v>152.502949102364</v>
      </c>
      <c r="AO95" s="13" t="n">
        <f aca="false">AO94+AO100</f>
        <v>145.874859081789</v>
      </c>
      <c r="AP95" s="13" t="n">
        <f aca="false">AP94+AP100</f>
        <v>122.851961703253</v>
      </c>
      <c r="AQ95" s="13" t="n">
        <f aca="false">AQ94+AQ100</f>
        <v>100.987805609576</v>
      </c>
      <c r="AR95" s="13" t="n">
        <f aca="false">AR94+AR100</f>
        <v>77.9801784814743</v>
      </c>
      <c r="AS95" s="13" t="n">
        <f aca="false">AS94+AS100</f>
        <v>54.4443709705674</v>
      </c>
      <c r="AT95" s="13" t="n">
        <f aca="false">AT94+AT100</f>
        <v>29.7825623912257</v>
      </c>
      <c r="AU95" s="13" t="n">
        <f aca="false">AU94+AU100</f>
        <v>6.46593889541691E-013</v>
      </c>
      <c r="AV95" s="13" t="n">
        <f aca="false">AV94+AV100</f>
        <v>6.46593889541691E-013</v>
      </c>
      <c r="AW95" s="13" t="n">
        <f aca="false">AW94+AW100</f>
        <v>6.46593889541691E-013</v>
      </c>
      <c r="AX95" s="13" t="n">
        <f aca="false">AX94+AX100</f>
        <v>6.46593889541691E-013</v>
      </c>
      <c r="AY95" s="13" t="n">
        <f aca="false">AY94+AY100</f>
        <v>6.46593889541691E-013</v>
      </c>
      <c r="AZ95" s="13" t="n">
        <f aca="false">AZ94+AZ100</f>
        <v>6.46593889541691E-013</v>
      </c>
      <c r="BA95" s="13" t="n">
        <f aca="false">BA94+BA100</f>
        <v>6.46593889541691E-013</v>
      </c>
      <c r="BB95" s="13" t="n">
        <f aca="false">BB94+BB100</f>
        <v>6.46593889541691E-013</v>
      </c>
      <c r="BC95" s="13" t="n">
        <f aca="false">BC94+BC100</f>
        <v>6.46593889541691E-013</v>
      </c>
      <c r="BD95" s="13" t="n">
        <f aca="false">BD94+BD100</f>
        <v>6.46593889541691E-013</v>
      </c>
      <c r="BE95" s="13" t="n">
        <f aca="false">BE94+BE100</f>
        <v>6.46593889541691E-013</v>
      </c>
      <c r="BF95" s="13" t="n">
        <f aca="false">BF94+BF100</f>
        <v>6.46593889541691E-013</v>
      </c>
      <c r="BG95" s="13" t="n">
        <f aca="false">BG94+BG100</f>
        <v>6.46593889541691E-013</v>
      </c>
      <c r="BH95" s="13" t="n">
        <f aca="false">BH94+BH100</f>
        <v>6.46593889541691E-013</v>
      </c>
      <c r="BI95" s="13" t="n">
        <f aca="false">BI94+BI100</f>
        <v>6.46593889541691E-013</v>
      </c>
      <c r="BJ95" s="13" t="n">
        <f aca="false">BJ94+BJ100</f>
        <v>6.46593889541691E-013</v>
      </c>
      <c r="BK95" s="13" t="n">
        <f aca="false">BK94+BK100</f>
        <v>6.46593889541691E-013</v>
      </c>
      <c r="BL95" s="13" t="n">
        <f aca="false">BL94+BL100</f>
        <v>6.46593889541691E-013</v>
      </c>
      <c r="BM95" s="13" t="n">
        <f aca="false">BM94+BM100</f>
        <v>6.46593889541691E-013</v>
      </c>
      <c r="BN95" s="13" t="n">
        <f aca="false">BN94+BN100</f>
        <v>6.46593889541691E-013</v>
      </c>
    </row>
    <row r="96" customFormat="false" ht="15" hidden="false" customHeight="false" outlineLevel="0" collapsed="false">
      <c r="B96" s="2" t="s">
        <v>776</v>
      </c>
    </row>
    <row r="97" customFormat="false" ht="15" hidden="false" customHeight="false" outlineLevel="0" collapsed="false">
      <c r="D97" s="0" t="s">
        <v>777</v>
      </c>
      <c r="E97" s="0" t="s">
        <v>99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778</v>
      </c>
      <c r="E98" s="0" t="s">
        <v>149</v>
      </c>
      <c r="F98" s="17" t="n">
        <f aca="false">Inputs!$F$50*Inputs!$F$279*(Inputs!$F$278-Inputs!$F$97)/100*SUMPRODUCT(Inputs!$J$301:$BN$301,$J$97:$BN$97,Time!$J$24:$BN$24)</f>
        <v>6.29851347785266</v>
      </c>
    </row>
    <row r="99" customFormat="false" ht="15" hidden="false" customHeight="false" outlineLevel="0" collapsed="false">
      <c r="D99" s="0" t="s">
        <v>779</v>
      </c>
      <c r="E99" s="0" t="s">
        <v>149</v>
      </c>
      <c r="G99" s="13" t="n">
        <f aca="false">SUM(J99:BN99)</f>
        <v>244.598647288209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244.598647288209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780</v>
      </c>
      <c r="E100" s="0" t="s">
        <v>149</v>
      </c>
      <c r="G100" s="13" t="n">
        <f aca="false">SUM(J100:BN100)</f>
        <v>245.769686749184</v>
      </c>
      <c r="J100" s="13" t="n">
        <f aca="false">Time!J47*(J99+Inputs!$F$274+Inputs!$F$277/100*Inputs!$F$275-$F$98)/(Inputs!$F$272-Inputs!$F$273)</f>
        <v>-0</v>
      </c>
      <c r="K100" s="13" t="n">
        <f aca="false">Time!K47*(K99+Inputs!$F$274+Inputs!$F$277/100*Inputs!$F$275-$F$98)/(Inputs!$F$272-Inputs!$F$273)</f>
        <v>-0</v>
      </c>
      <c r="L100" s="13" t="n">
        <f aca="false">Time!L47*(L99+Inputs!$F$274+Inputs!$F$277/100*Inputs!$F$275-$F$98)/(Inputs!$F$272-Inputs!$F$273)</f>
        <v>-0</v>
      </c>
      <c r="M100" s="13" t="n">
        <f aca="false">Time!M47*(M99+Inputs!$F$274+Inputs!$F$277/100*Inputs!$F$275-$F$98)/(Inputs!$F$272-Inputs!$F$273)</f>
        <v>-0</v>
      </c>
      <c r="N100" s="13" t="n">
        <f aca="false">Time!N47*(N99+Inputs!$F$274+Inputs!$F$277/100*Inputs!$F$275-$F$98)/(Inputs!$F$272-Inputs!$F$273)</f>
        <v>-0</v>
      </c>
      <c r="O100" s="13" t="n">
        <f aca="false">Time!O47*(O99+Inputs!$F$274+Inputs!$F$277/100*Inputs!$F$275-$F$98)/(Inputs!$F$272-Inputs!$F$273)</f>
        <v>-0</v>
      </c>
      <c r="P100" s="13" t="n">
        <f aca="false">Time!P47*(P99+Inputs!$F$274+Inputs!$F$277/100*Inputs!$F$275-$F$98)/(Inputs!$F$272-Inputs!$F$273)</f>
        <v>-0</v>
      </c>
      <c r="Q100" s="13" t="n">
        <f aca="false">Time!Q47*(Q99+Inputs!$F$274+Inputs!$F$277/100*Inputs!$F$275-$F$98)/(Inputs!$F$272-Inputs!$F$273)</f>
        <v>-0</v>
      </c>
      <c r="R100" s="13" t="n">
        <f aca="false">Time!R47*(R99+Inputs!$F$274+Inputs!$F$277/100*Inputs!$F$275-$F$98)/(Inputs!$F$272-Inputs!$F$273)</f>
        <v>-0</v>
      </c>
      <c r="S100" s="13" t="n">
        <f aca="false">Time!S47*(S99+Inputs!$F$274+Inputs!$F$277/100*Inputs!$F$275-$F$98)/(Inputs!$F$272-Inputs!$F$273)</f>
        <v>-0</v>
      </c>
      <c r="T100" s="13" t="n">
        <f aca="false">Time!T47*(T99+Inputs!$F$274+Inputs!$F$277/100*Inputs!$F$275-$F$98)/(Inputs!$F$272-Inputs!$F$273)</f>
        <v>-0</v>
      </c>
      <c r="U100" s="13" t="n">
        <f aca="false">Time!U47*(U99+Inputs!$F$274+Inputs!$F$277/100*Inputs!$F$275-$F$98)/(Inputs!$F$272-Inputs!$F$273)</f>
        <v>-0</v>
      </c>
      <c r="V100" s="13" t="n">
        <f aca="false">Time!V47*(V99+Inputs!$F$274+Inputs!$F$277/100*Inputs!$F$275-$F$98)/(Inputs!$F$272-Inputs!$F$273)</f>
        <v>-0</v>
      </c>
      <c r="W100" s="13" t="n">
        <f aca="false">Time!W47*(W99+Inputs!$F$274+Inputs!$F$277/100*Inputs!$F$275-$F$98)/(Inputs!$F$272-Inputs!$F$273)</f>
        <v>245.769686749184</v>
      </c>
      <c r="X100" s="13" t="n">
        <f aca="false">Time!X47*(X99+Inputs!$F$274+Inputs!$F$277/100*Inputs!$F$275-$F$98)/(Inputs!$F$272-Inputs!$F$273)</f>
        <v>-0</v>
      </c>
      <c r="Y100" s="13" t="n">
        <f aca="false">Time!Y47*(Y99+Inputs!$F$274+Inputs!$F$277/100*Inputs!$F$275-$F$98)/(Inputs!$F$272-Inputs!$F$273)</f>
        <v>-0</v>
      </c>
      <c r="Z100" s="13" t="n">
        <f aca="false">Time!Z47*(Z99+Inputs!$F$274+Inputs!$F$277/100*Inputs!$F$275-$F$98)/(Inputs!$F$272-Inputs!$F$273)</f>
        <v>-0</v>
      </c>
      <c r="AA100" s="13" t="n">
        <f aca="false">Time!AA47*(AA99+Inputs!$F$274+Inputs!$F$277/100*Inputs!$F$275-$F$98)/(Inputs!$F$272-Inputs!$F$273)</f>
        <v>-0</v>
      </c>
      <c r="AB100" s="13" t="n">
        <f aca="false">Time!AB47*(AB99+Inputs!$F$274+Inputs!$F$277/100*Inputs!$F$275-$F$98)/(Inputs!$F$272-Inputs!$F$273)</f>
        <v>-0</v>
      </c>
      <c r="AC100" s="13" t="n">
        <f aca="false">Time!AC47*(AC99+Inputs!$F$274+Inputs!$F$277/100*Inputs!$F$275-$F$98)/(Inputs!$F$272-Inputs!$F$273)</f>
        <v>-0</v>
      </c>
      <c r="AD100" s="13" t="n">
        <f aca="false">Time!AD47*(AD99+Inputs!$F$274+Inputs!$F$277/100*Inputs!$F$275-$F$98)/(Inputs!$F$272-Inputs!$F$273)</f>
        <v>-0</v>
      </c>
      <c r="AE100" s="13" t="n">
        <f aca="false">Time!AE47*(AE99+Inputs!$F$274+Inputs!$F$277/100*Inputs!$F$275-$F$98)/(Inputs!$F$272-Inputs!$F$273)</f>
        <v>-0</v>
      </c>
      <c r="AF100" s="13" t="n">
        <f aca="false">Time!AF47*(AF99+Inputs!$F$274+Inputs!$F$277/100*Inputs!$F$275-$F$98)/(Inputs!$F$272-Inputs!$F$273)</f>
        <v>-0</v>
      </c>
      <c r="AG100" s="13" t="n">
        <f aca="false">Time!AG47*(AG99+Inputs!$F$274+Inputs!$F$277/100*Inputs!$F$275-$F$98)/(Inputs!$F$272-Inputs!$F$273)</f>
        <v>-0</v>
      </c>
      <c r="AH100" s="13" t="n">
        <f aca="false">Time!AH47*(AH99+Inputs!$F$274+Inputs!$F$277/100*Inputs!$F$275-$F$98)/(Inputs!$F$272-Inputs!$F$273)</f>
        <v>-0</v>
      </c>
      <c r="AI100" s="13" t="n">
        <f aca="false">Time!AI47*(AI99+Inputs!$F$274+Inputs!$F$277/100*Inputs!$F$275-$F$98)/(Inputs!$F$272-Inputs!$F$273)</f>
        <v>-0</v>
      </c>
      <c r="AJ100" s="13" t="n">
        <f aca="false">Time!AJ47*(AJ99+Inputs!$F$274+Inputs!$F$277/100*Inputs!$F$275-$F$98)/(Inputs!$F$272-Inputs!$F$273)</f>
        <v>-0</v>
      </c>
      <c r="AK100" s="13" t="n">
        <f aca="false">Time!AK47*(AK99+Inputs!$F$274+Inputs!$F$277/100*Inputs!$F$275-$F$98)/(Inputs!$F$272-Inputs!$F$273)</f>
        <v>-0</v>
      </c>
      <c r="AL100" s="13" t="n">
        <f aca="false">Time!AL47*(AL99+Inputs!$F$274+Inputs!$F$277/100*Inputs!$F$275-$F$98)/(Inputs!$F$272-Inputs!$F$273)</f>
        <v>-0</v>
      </c>
      <c r="AM100" s="13" t="n">
        <f aca="false">Time!AM47*(AM99+Inputs!$F$274+Inputs!$F$277/100*Inputs!$F$275-$F$98)/(Inputs!$F$272-Inputs!$F$273)</f>
        <v>-0</v>
      </c>
      <c r="AN100" s="13" t="n">
        <f aca="false">Time!AN47*(AN99+Inputs!$F$274+Inputs!$F$277/100*Inputs!$F$275-$F$98)/(Inputs!$F$272-Inputs!$F$273)</f>
        <v>-0</v>
      </c>
      <c r="AO100" s="13" t="n">
        <f aca="false">Time!AO47*(AO99+Inputs!$F$274+Inputs!$F$277/100*Inputs!$F$275-$F$98)/(Inputs!$F$272-Inputs!$F$273)</f>
        <v>-0</v>
      </c>
      <c r="AP100" s="13" t="n">
        <f aca="false">Time!AP47*(AP99+Inputs!$F$274+Inputs!$F$277/100*Inputs!$F$275-$F$98)/(Inputs!$F$272-Inputs!$F$273)</f>
        <v>-0</v>
      </c>
      <c r="AQ100" s="13" t="n">
        <f aca="false">Time!AQ47*(AQ99+Inputs!$F$274+Inputs!$F$277/100*Inputs!$F$275-$F$98)/(Inputs!$F$272-Inputs!$F$273)</f>
        <v>-0</v>
      </c>
      <c r="AR100" s="13" t="n">
        <f aca="false">Time!AR47*(AR99+Inputs!$F$274+Inputs!$F$277/100*Inputs!$F$275-$F$98)/(Inputs!$F$272-Inputs!$F$273)</f>
        <v>-0</v>
      </c>
      <c r="AS100" s="13" t="n">
        <f aca="false">Time!AS47*(AS99+Inputs!$F$274+Inputs!$F$277/100*Inputs!$F$275-$F$98)/(Inputs!$F$272-Inputs!$F$273)</f>
        <v>-0</v>
      </c>
      <c r="AT100" s="13" t="n">
        <f aca="false">Time!AT47*(AT99+Inputs!$F$274+Inputs!$F$277/100*Inputs!$F$275-$F$98)/(Inputs!$F$272-Inputs!$F$273)</f>
        <v>-0</v>
      </c>
      <c r="AU100" s="13" t="n">
        <f aca="false">Time!AU47*(AU99+Inputs!$F$274+Inputs!$F$277/100*Inputs!$F$275-$F$98)/(Inputs!$F$272-Inputs!$F$273)</f>
        <v>-0</v>
      </c>
      <c r="AV100" s="13" t="n">
        <f aca="false">Time!AV47*(AV99+Inputs!$F$274+Inputs!$F$277/100*Inputs!$F$275-$F$98)/(Inputs!$F$272-Inputs!$F$273)</f>
        <v>-0</v>
      </c>
      <c r="AW100" s="13" t="n">
        <f aca="false">Time!AW47*(AW99+Inputs!$F$274+Inputs!$F$277/100*Inputs!$F$275-$F$98)/(Inputs!$F$272-Inputs!$F$273)</f>
        <v>-0</v>
      </c>
      <c r="AX100" s="13" t="n">
        <f aca="false">Time!AX47*(AX99+Inputs!$F$274+Inputs!$F$277/100*Inputs!$F$275-$F$98)/(Inputs!$F$272-Inputs!$F$273)</f>
        <v>-0</v>
      </c>
      <c r="AY100" s="13" t="n">
        <f aca="false">Time!AY47*(AY99+Inputs!$F$274+Inputs!$F$277/100*Inputs!$F$275-$F$98)/(Inputs!$F$272-Inputs!$F$273)</f>
        <v>-0</v>
      </c>
      <c r="AZ100" s="13" t="n">
        <f aca="false">Time!AZ47*(AZ99+Inputs!$F$274+Inputs!$F$277/100*Inputs!$F$275-$F$98)/(Inputs!$F$272-Inputs!$F$273)</f>
        <v>-0</v>
      </c>
      <c r="BA100" s="13" t="n">
        <f aca="false">Time!BA47*(BA99+Inputs!$F$274+Inputs!$F$277/100*Inputs!$F$275-$F$98)/(Inputs!$F$272-Inputs!$F$273)</f>
        <v>-0</v>
      </c>
      <c r="BB100" s="13" t="n">
        <f aca="false">Time!BB47*(BB99+Inputs!$F$274+Inputs!$F$277/100*Inputs!$F$275-$F$98)/(Inputs!$F$272-Inputs!$F$273)</f>
        <v>-0</v>
      </c>
      <c r="BC100" s="13" t="n">
        <f aca="false">Time!BC47*(BC99+Inputs!$F$274+Inputs!$F$277/100*Inputs!$F$275-$F$98)/(Inputs!$F$272-Inputs!$F$273)</f>
        <v>-0</v>
      </c>
      <c r="BD100" s="13" t="n">
        <f aca="false">Time!BD47*(BD99+Inputs!$F$274+Inputs!$F$277/100*Inputs!$F$275-$F$98)/(Inputs!$F$272-Inputs!$F$273)</f>
        <v>-0</v>
      </c>
      <c r="BE100" s="13" t="n">
        <f aca="false">Time!BE47*(BE99+Inputs!$F$274+Inputs!$F$277/100*Inputs!$F$275-$F$98)/(Inputs!$F$272-Inputs!$F$273)</f>
        <v>-0</v>
      </c>
      <c r="BF100" s="13" t="n">
        <f aca="false">Time!BF47*(BF99+Inputs!$F$274+Inputs!$F$277/100*Inputs!$F$275-$F$98)/(Inputs!$F$272-Inputs!$F$273)</f>
        <v>-0</v>
      </c>
      <c r="BG100" s="13" t="n">
        <f aca="false">Time!BG47*(BG99+Inputs!$F$274+Inputs!$F$277/100*Inputs!$F$275-$F$98)/(Inputs!$F$272-Inputs!$F$273)</f>
        <v>-0</v>
      </c>
      <c r="BH100" s="13" t="n">
        <f aca="false">Time!BH47*(BH99+Inputs!$F$274+Inputs!$F$277/100*Inputs!$F$275-$F$98)/(Inputs!$F$272-Inputs!$F$273)</f>
        <v>-0</v>
      </c>
      <c r="BI100" s="13" t="n">
        <f aca="false">Time!BI47*(BI99+Inputs!$F$274+Inputs!$F$277/100*Inputs!$F$275-$F$98)/(Inputs!$F$272-Inputs!$F$273)</f>
        <v>-0</v>
      </c>
      <c r="BJ100" s="13" t="n">
        <f aca="false">Time!BJ47*(BJ99+Inputs!$F$274+Inputs!$F$277/100*Inputs!$F$275-$F$98)/(Inputs!$F$272-Inputs!$F$273)</f>
        <v>-0</v>
      </c>
      <c r="BK100" s="13" t="n">
        <f aca="false">Time!BK47*(BK99+Inputs!$F$274+Inputs!$F$277/100*Inputs!$F$275-$F$98)/(Inputs!$F$272-Inputs!$F$273)</f>
        <v>-0</v>
      </c>
      <c r="BL100" s="13" t="n">
        <f aca="false">Time!BL47*(BL99+Inputs!$F$274+Inputs!$F$277/100*Inputs!$F$275-$F$98)/(Inputs!$F$272-Inputs!$F$273)</f>
        <v>-0</v>
      </c>
      <c r="BM100" s="13" t="n">
        <f aca="false">Time!BM47*(BM99+Inputs!$F$274+Inputs!$F$277/100*Inputs!$F$275-$F$98)/(Inputs!$F$272-Inputs!$F$273)</f>
        <v>-0</v>
      </c>
      <c r="BN100" s="13" t="n">
        <f aca="false">Time!BN47*(BN99+Inputs!$F$274+Inputs!$F$277/100*Inputs!$F$275-$F$98)/(Inputs!$F$272-Inputs!$F$273)</f>
        <v>-0</v>
      </c>
    </row>
    <row r="101" customFormat="false" ht="15" hidden="false" customHeight="false" outlineLevel="0" collapsed="false">
      <c r="D101" s="0" t="s">
        <v>781</v>
      </c>
      <c r="E101" s="0" t="s">
        <v>149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245.769686749184</v>
      </c>
      <c r="X101" s="13" t="n">
        <f aca="false">W101+X100</f>
        <v>245.769686749184</v>
      </c>
      <c r="Y101" s="13" t="n">
        <f aca="false">X101+Y100</f>
        <v>245.769686749184</v>
      </c>
      <c r="Z101" s="13" t="n">
        <f aca="false">Y101+Z100</f>
        <v>245.769686749184</v>
      </c>
      <c r="AA101" s="13" t="n">
        <f aca="false">Z101+AA100</f>
        <v>245.769686749184</v>
      </c>
      <c r="AB101" s="13" t="n">
        <f aca="false">AA101+AB100</f>
        <v>245.769686749184</v>
      </c>
      <c r="AC101" s="13" t="n">
        <f aca="false">AB101+AC100</f>
        <v>245.769686749184</v>
      </c>
      <c r="AD101" s="13" t="n">
        <f aca="false">AC101+AD100</f>
        <v>245.769686749184</v>
      </c>
      <c r="AE101" s="13" t="n">
        <f aca="false">AD101+AE100</f>
        <v>245.769686749184</v>
      </c>
      <c r="AF101" s="13" t="n">
        <f aca="false">AE101+AF100</f>
        <v>245.769686749184</v>
      </c>
      <c r="AG101" s="13" t="n">
        <f aca="false">AF101+AG100</f>
        <v>245.769686749184</v>
      </c>
      <c r="AH101" s="13" t="n">
        <f aca="false">AG101+AH100</f>
        <v>245.769686749184</v>
      </c>
      <c r="AI101" s="13" t="n">
        <f aca="false">AH101+AI100</f>
        <v>245.769686749184</v>
      </c>
      <c r="AJ101" s="13" t="n">
        <f aca="false">AI101+AJ100</f>
        <v>245.769686749184</v>
      </c>
      <c r="AK101" s="13" t="n">
        <f aca="false">AJ101+AK100</f>
        <v>245.769686749184</v>
      </c>
      <c r="AL101" s="13" t="n">
        <f aca="false">AK101+AL100</f>
        <v>245.769686749184</v>
      </c>
      <c r="AM101" s="13" t="n">
        <f aca="false">AL101+AM100</f>
        <v>245.769686749184</v>
      </c>
      <c r="AN101" s="13" t="n">
        <f aca="false">AM101+AN100</f>
        <v>245.769686749184</v>
      </c>
      <c r="AO101" s="13" t="n">
        <f aca="false">AN101+AO100</f>
        <v>245.769686749184</v>
      </c>
      <c r="AP101" s="13" t="n">
        <f aca="false">AO101+AP100</f>
        <v>245.769686749184</v>
      </c>
      <c r="AQ101" s="13" t="n">
        <f aca="false">AP101+AQ100</f>
        <v>245.769686749184</v>
      </c>
      <c r="AR101" s="13" t="n">
        <f aca="false">AQ101+AR100</f>
        <v>245.769686749184</v>
      </c>
      <c r="AS101" s="13" t="n">
        <f aca="false">AR101+AS100</f>
        <v>245.769686749184</v>
      </c>
      <c r="AT101" s="13" t="n">
        <f aca="false">AS101+AT100</f>
        <v>245.769686749184</v>
      </c>
      <c r="AU101" s="13" t="n">
        <f aca="false">AT101+AU100</f>
        <v>245.769686749184</v>
      </c>
      <c r="AV101" s="13" t="n">
        <f aca="false">AU101+AV100</f>
        <v>245.769686749184</v>
      </c>
      <c r="AW101" s="13" t="n">
        <f aca="false">AV101+AW100</f>
        <v>245.769686749184</v>
      </c>
      <c r="AX101" s="13" t="n">
        <f aca="false">AW101+AX100</f>
        <v>245.769686749184</v>
      </c>
      <c r="AY101" s="13" t="n">
        <f aca="false">AX101+AY100</f>
        <v>245.769686749184</v>
      </c>
      <c r="AZ101" s="13" t="n">
        <f aca="false">AY101+AZ100</f>
        <v>245.769686749184</v>
      </c>
      <c r="BA101" s="13" t="n">
        <f aca="false">AZ101+BA100</f>
        <v>245.769686749184</v>
      </c>
      <c r="BB101" s="13" t="n">
        <f aca="false">BA101+BB100</f>
        <v>245.769686749184</v>
      </c>
      <c r="BC101" s="13" t="n">
        <f aca="false">BB101+BC100</f>
        <v>245.769686749184</v>
      </c>
      <c r="BD101" s="13" t="n">
        <f aca="false">BC101+BD100</f>
        <v>245.769686749184</v>
      </c>
      <c r="BE101" s="13" t="n">
        <f aca="false">BD101+BE100</f>
        <v>245.769686749184</v>
      </c>
      <c r="BF101" s="13" t="n">
        <f aca="false">BE101+BF100</f>
        <v>245.769686749184</v>
      </c>
      <c r="BG101" s="13" t="n">
        <f aca="false">BF101+BG100</f>
        <v>245.769686749184</v>
      </c>
      <c r="BH101" s="13" t="n">
        <f aca="false">BG101+BH100</f>
        <v>245.769686749184</v>
      </c>
      <c r="BI101" s="13" t="n">
        <f aca="false">BH101+BI100</f>
        <v>245.769686749184</v>
      </c>
      <c r="BJ101" s="13" t="n">
        <f aca="false">BI101+BJ100</f>
        <v>245.769686749184</v>
      </c>
      <c r="BK101" s="13" t="n">
        <f aca="false">BJ101+BK100</f>
        <v>245.769686749184</v>
      </c>
      <c r="BL101" s="13" t="n">
        <f aca="false">BK101+BL100</f>
        <v>245.769686749184</v>
      </c>
      <c r="BM101" s="13" t="n">
        <f aca="false">BL101+BM100</f>
        <v>245.769686749184</v>
      </c>
      <c r="BN101" s="13" t="n">
        <f aca="false">BM101+BN100</f>
        <v>245.769686749184</v>
      </c>
    </row>
    <row r="102" customFormat="false" ht="15" hidden="false" customHeight="false" outlineLevel="0" collapsed="false">
      <c r="D102" s="0" t="s">
        <v>782</v>
      </c>
      <c r="E102" s="0" t="s">
        <v>149</v>
      </c>
      <c r="F102" s="17" t="n">
        <f aca="false">SUM($J$100:$BN$100)</f>
        <v>245.769686749184</v>
      </c>
    </row>
    <row r="103" customFormat="false" ht="15" hidden="false" customHeight="false" outlineLevel="0" collapsed="false">
      <c r="D103" s="0" t="s">
        <v>783</v>
      </c>
      <c r="E103" s="0" t="s">
        <v>149</v>
      </c>
      <c r="G103" s="13" t="n">
        <f aca="false">SUM(J103:BN103)</f>
        <v>6.29851347785266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6.29851347785266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784</v>
      </c>
      <c r="E104" s="0" t="s">
        <v>149</v>
      </c>
      <c r="G104" s="13" t="n">
        <f aca="false">SUM(J104:BN104)</f>
        <v>7.46955293882786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7.46955293882786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785</v>
      </c>
    </row>
    <row r="106" customFormat="false" ht="15" hidden="false" customHeight="false" outlineLevel="0" collapsed="false">
      <c r="D106" s="0" t="s">
        <v>786</v>
      </c>
      <c r="E106" s="0" t="s">
        <v>109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0.52</v>
      </c>
      <c r="Y106" s="13" t="n">
        <f aca="false">IF(Time!Y48=1,Inputs!$F$280,1)</f>
        <v>0.52</v>
      </c>
      <c r="Z106" s="13" t="n">
        <f aca="false">IF(Time!Z48=1,Inputs!$F$280,1)</f>
        <v>0.52</v>
      </c>
      <c r="AA106" s="13" t="n">
        <f aca="false">IF(Time!AA48=1,Inputs!$F$280,1)</f>
        <v>0.52</v>
      </c>
      <c r="AB106" s="13" t="n">
        <f aca="false">IF(Time!AB48=1,Inputs!$F$280,1)</f>
        <v>0.52</v>
      </c>
      <c r="AC106" s="13" t="n">
        <f aca="false">IF(Time!AC48=1,Inputs!$F$280,1)</f>
        <v>0.52</v>
      </c>
      <c r="AD106" s="13" t="n">
        <f aca="false">IF(Time!AD48=1,Inputs!$F$280,1)</f>
        <v>0.52</v>
      </c>
      <c r="AE106" s="13" t="n">
        <f aca="false">IF(Time!AE48=1,Inputs!$F$280,1)</f>
        <v>0.52</v>
      </c>
      <c r="AF106" s="13" t="n">
        <f aca="false">IF(Time!AF48=1,Inputs!$F$280,1)</f>
        <v>0.52</v>
      </c>
      <c r="AG106" s="13" t="n">
        <f aca="false">IF(Time!AG48=1,Inputs!$F$280,1)</f>
        <v>0.52</v>
      </c>
      <c r="AH106" s="13" t="n">
        <f aca="false">IF(Time!AH48=1,Inputs!$F$280,1)</f>
        <v>0.52</v>
      </c>
      <c r="AI106" s="13" t="n">
        <f aca="false">IF(Time!AI48=1,Inputs!$F$280,1)</f>
        <v>0.52</v>
      </c>
      <c r="AJ106" s="13" t="n">
        <f aca="false">IF(Time!AJ48=1,Inputs!$F$280,1)</f>
        <v>0.52</v>
      </c>
      <c r="AK106" s="13" t="n">
        <f aca="false">IF(Time!AK48=1,Inputs!$F$280,1)</f>
        <v>0.52</v>
      </c>
      <c r="AL106" s="13" t="n">
        <f aca="false">IF(Time!AL48=1,Inputs!$F$280,1)</f>
        <v>0.52</v>
      </c>
      <c r="AM106" s="13" t="n">
        <f aca="false">IF(Time!AM48=1,Inputs!$F$280,1)</f>
        <v>0.52</v>
      </c>
      <c r="AN106" s="13" t="n">
        <f aca="false">IF(Time!AN48=1,Inputs!$F$280,1)</f>
        <v>0.52</v>
      </c>
      <c r="AO106" s="13" t="n">
        <f aca="false">IF(Time!AO48=1,Inputs!$F$280,1)</f>
        <v>0.52</v>
      </c>
      <c r="AP106" s="13" t="n">
        <f aca="false">IF(Time!AP48=1,Inputs!$F$280,1)</f>
        <v>0.52</v>
      </c>
      <c r="AQ106" s="13" t="n">
        <f aca="false">IF(Time!AQ48=1,Inputs!$F$280,1)</f>
        <v>0.52</v>
      </c>
      <c r="AR106" s="13" t="n">
        <f aca="false">IF(Time!AR48=1,Inputs!$F$280,1)</f>
        <v>0.52</v>
      </c>
      <c r="AS106" s="13" t="n">
        <f aca="false">IF(Time!AS48=1,Inputs!$F$280,1)</f>
        <v>0.52</v>
      </c>
      <c r="AT106" s="13" t="n">
        <f aca="false">IF(Time!AT48=1,Inputs!$F$280,1)</f>
        <v>0.52</v>
      </c>
      <c r="AU106" s="13" t="n">
        <f aca="false">IF(Time!AU48=1,Inputs!$F$280,1)</f>
        <v>0.52</v>
      </c>
      <c r="AV106" s="13" t="n">
        <f aca="false">IF(Time!AV48=1,Inputs!$F$280,1)</f>
        <v>0.52</v>
      </c>
      <c r="AW106" s="13" t="n">
        <f aca="false">IF(Time!AW48=1,Inputs!$F$280,1)</f>
        <v>0.52</v>
      </c>
      <c r="AX106" s="13" t="n">
        <f aca="false">IF(Time!AX48=1,Inputs!$F$280,1)</f>
        <v>0.52</v>
      </c>
      <c r="AY106" s="13" t="n">
        <f aca="false">IF(Time!AY48=1,Inputs!$F$280,1)</f>
        <v>0.52</v>
      </c>
      <c r="AZ106" s="13" t="n">
        <f aca="false">IF(Time!AZ48=1,Inputs!$F$280,1)</f>
        <v>0.52</v>
      </c>
      <c r="BA106" s="13" t="n">
        <f aca="false">IF(Time!BA48=1,Inputs!$F$280,1)</f>
        <v>0.52</v>
      </c>
      <c r="BB106" s="13" t="n">
        <f aca="false">IF(Time!BB48=1,Inputs!$F$280,1)</f>
        <v>0.52</v>
      </c>
      <c r="BC106" s="13" t="n">
        <f aca="false">IF(Time!BC48=1,Inputs!$F$280,1)</f>
        <v>0.52</v>
      </c>
      <c r="BD106" s="13" t="n">
        <f aca="false">IF(Time!BD48=1,Inputs!$F$280,1)</f>
        <v>0.52</v>
      </c>
      <c r="BE106" s="13" t="n">
        <f aca="false">IF(Time!BE48=1,Inputs!$F$280,1)</f>
        <v>0.52</v>
      </c>
      <c r="BF106" s="13" t="n">
        <f aca="false">IF(Time!BF48=1,Inputs!$F$280,1)</f>
        <v>0.52</v>
      </c>
      <c r="BG106" s="13" t="n">
        <f aca="false">IF(Time!BG48=1,Inputs!$F$280,1)</f>
        <v>0.52</v>
      </c>
      <c r="BH106" s="13" t="n">
        <f aca="false">IF(Time!BH48=1,Inputs!$F$280,1)</f>
        <v>0.52</v>
      </c>
      <c r="BI106" s="13" t="n">
        <f aca="false">IF(Time!BI48=1,Inputs!$F$280,1)</f>
        <v>0.52</v>
      </c>
      <c r="BJ106" s="13" t="n">
        <f aca="false">IF(Time!BJ48=1,Inputs!$F$280,1)</f>
        <v>0.52</v>
      </c>
      <c r="BK106" s="13" t="n">
        <f aca="false">IF(Time!BK48=1,Inputs!$F$280,1)</f>
        <v>0.52</v>
      </c>
      <c r="BL106" s="13" t="n">
        <f aca="false">IF(Time!BL48=1,Inputs!$F$280,1)</f>
        <v>0.52</v>
      </c>
      <c r="BM106" s="13" t="n">
        <f aca="false">IF(Time!BM48=1,Inputs!$F$280,1)</f>
        <v>0.52</v>
      </c>
      <c r="BN106" s="13" t="n">
        <f aca="false">IF(Time!BN48=1,Inputs!$F$280,1)</f>
        <v>0.52</v>
      </c>
    </row>
    <row r="107" customFormat="false" ht="15" hidden="false" customHeight="false" outlineLevel="0" collapsed="false">
      <c r="D107" s="0" t="s">
        <v>787</v>
      </c>
      <c r="E107" s="0" t="s">
        <v>149</v>
      </c>
      <c r="G107" s="13" t="n">
        <f aca="false">SUM(J107:BN107)</f>
        <v>-33.5021239901351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0</v>
      </c>
      <c r="M107" s="13" t="n">
        <f aca="false">Time!M35*Inputs!M301*M106*(Inputs!$F$97/100*Time!M24-Operations!M9/100*Time!M25/Inputs!$F$247)</f>
        <v>0</v>
      </c>
      <c r="N107" s="13" t="n">
        <f aca="false">Time!N35*Inputs!N301*N106*(Inputs!$F$97/100*Time!N24-Operations!N9/100*Time!N25/Inputs!$F$247)</f>
        <v>0</v>
      </c>
      <c r="O107" s="13" t="n">
        <f aca="false">Time!O35*Inputs!O301*O106*(Inputs!$F$97/100*Time!O24-Operations!O9/100*Time!O25/Inputs!$F$247)</f>
        <v>0</v>
      </c>
      <c r="P107" s="13" t="n">
        <f aca="false">Time!P35*Inputs!P301*P106*(Inputs!$F$97/100*Time!P24-Operations!P9/100*Time!P25/Inputs!$F$247)</f>
        <v>0</v>
      </c>
      <c r="Q107" s="13" t="n">
        <f aca="false">Time!Q35*Inputs!Q301*Q106*(Inputs!$F$97/100*Time!Q24-Operations!Q9/100*Time!Q25/Inputs!$F$247)</f>
        <v>6.43739899493968</v>
      </c>
      <c r="R107" s="13" t="n">
        <f aca="false">Time!R35*Inputs!R301*R106*(Inputs!$F$97/100*Time!R24-Operations!R9/100*Time!R25/Inputs!$F$247)</f>
        <v>-0.140378231925448</v>
      </c>
      <c r="S107" s="13" t="n">
        <f aca="false">Time!S35*Inputs!S301*S106*(Inputs!$F$97/100*Time!S24-Operations!S9/100*Time!S25/Inputs!$F$247)</f>
        <v>-5.54426546426579</v>
      </c>
      <c r="T107" s="13" t="n">
        <f aca="false">Time!T35*Inputs!T301*T106*(Inputs!$F$97/100*Time!T24-Operations!T9/100*Time!T25/Inputs!$F$247)</f>
        <v>-6.99369716499187</v>
      </c>
      <c r="U107" s="13" t="n">
        <f aca="false">Time!U35*Inputs!U301*U106*(Inputs!$F$97/100*Time!U24-Operations!U9/100*Time!U25/Inputs!$F$247)</f>
        <v>-5.93654606615231</v>
      </c>
      <c r="V107" s="13" t="n">
        <f aca="false">Time!V35*Inputs!V301*V106*(Inputs!$F$97/100*Time!V24-Operations!V9/100*Time!V25/Inputs!$F$247)</f>
        <v>-5.99474461669756</v>
      </c>
      <c r="W107" s="13" t="n">
        <f aca="false">Time!W35*Inputs!W301*W106*(Inputs!$F$97/100*Time!W24-Operations!W9/100*Time!W25/Inputs!$F$247)</f>
        <v>-3.58564394289362</v>
      </c>
      <c r="X107" s="13" t="n">
        <f aca="false">Time!X35*Inputs!X301*X106*(Inputs!$F$97/100*Time!X24-Operations!X9/100*Time!X25/Inputs!$F$247)</f>
        <v>-1.78512145823746</v>
      </c>
      <c r="Y107" s="13" t="n">
        <f aca="false">Time!Y35*Inputs!Y301*Y106*(Inputs!$F$97/100*Time!Y24-Operations!Y9/100*Time!Y25/Inputs!$F$247)</f>
        <v>-1.09708702835133</v>
      </c>
      <c r="Z107" s="13" t="n">
        <f aca="false">Time!Z35*Inputs!Z301*Z106*(Inputs!$F$97/100*Time!Z24-Operations!Z9/100*Time!Z25/Inputs!$F$247)</f>
        <v>-1.07493974948245</v>
      </c>
      <c r="AA107" s="13" t="n">
        <f aca="false">Time!AA35*Inputs!AA301*AA106*(Inputs!$F$97/100*Time!AA24-Operations!AA9/100*Time!AA25/Inputs!$F$247)</f>
        <v>-0.848869071512596</v>
      </c>
      <c r="AB107" s="13" t="n">
        <f aca="false">Time!AB35*Inputs!AB301*AB106*(Inputs!$F$97/100*Time!AB24-Operations!AB9/100*Time!AB25/Inputs!$F$247)</f>
        <v>-0.860858170093908</v>
      </c>
      <c r="AC107" s="13" t="n">
        <f aca="false">Time!AC35*Inputs!AC301*AC106*(Inputs!$F$97/100*Time!AC24-Operations!AC9/100*Time!AC25/Inputs!$F$247)</f>
        <v>-0.819046830319668</v>
      </c>
      <c r="AD107" s="13" t="n">
        <f aca="false">Time!AD35*Inputs!AD301*AD106*(Inputs!$F$97/100*Time!AD24-Operations!AD9/100*Time!AD25/Inputs!$F$247)</f>
        <v>-0.802089031014786</v>
      </c>
      <c r="AE107" s="13" t="n">
        <f aca="false">Time!AE35*Inputs!AE301*AE106*(Inputs!$F$97/100*Time!AE24-Operations!AE9/100*Time!AE25/Inputs!$F$247)</f>
        <v>-0.699809113990041</v>
      </c>
      <c r="AF107" s="13" t="n">
        <f aca="false">Time!AF35*Inputs!AF301*AF106*(Inputs!$F$97/100*Time!AF24-Operations!AF9/100*Time!AF25/Inputs!$F$247)</f>
        <v>-0.686449048921721</v>
      </c>
      <c r="AG107" s="13" t="n">
        <f aca="false">Time!AG35*Inputs!AG301*AG106*(Inputs!$F$97/100*Time!AG24-Operations!AG9/100*Time!AG25/Inputs!$F$247)</f>
        <v>-0.587026469854699</v>
      </c>
      <c r="AH107" s="13" t="n">
        <f aca="false">Time!AH35*Inputs!AH301*AH106*(Inputs!$F$97/100*Time!AH24-Operations!AH9/100*Time!AH25/Inputs!$F$247)</f>
        <v>-0.563093546205321</v>
      </c>
      <c r="AI107" s="13" t="n">
        <f aca="false">Time!AI35*Inputs!AI301*AI106*(Inputs!$F$97/100*Time!AI24-Operations!AI9/100*Time!AI25/Inputs!$F$247)</f>
        <v>-0.467224971124536</v>
      </c>
      <c r="AJ107" s="13" t="n">
        <f aca="false">Time!AJ35*Inputs!AJ301*AJ106*(Inputs!$F$97/100*Time!AJ24-Operations!AJ9/100*Time!AJ25/Inputs!$F$247)</f>
        <v>-0.430428177408211</v>
      </c>
      <c r="AK107" s="13" t="n">
        <f aca="false">Time!AK35*Inputs!AK301*AK106*(Inputs!$F$97/100*Time!AK24-Operations!AK9/100*Time!AK25/Inputs!$F$247)</f>
        <v>-0.345186682084755</v>
      </c>
      <c r="AL107" s="13" t="n">
        <f aca="false">Time!AL35*Inputs!AL301*AL106*(Inputs!$F$97/100*Time!AL24-Operations!AL9/100*Time!AL25/Inputs!$F$247)</f>
        <v>-0.287062558426523</v>
      </c>
      <c r="AM107" s="13" t="n">
        <f aca="false">Time!AM35*Inputs!AM301*AM106*(Inputs!$F$97/100*Time!AM24-Operations!AM9/100*Time!AM25/Inputs!$F$247)</f>
        <v>-0.196986696975308</v>
      </c>
      <c r="AN107" s="13" t="n">
        <f aca="false">Time!AN35*Inputs!AN301*AN106*(Inputs!$F$97/100*Time!AN24-Operations!AN9/100*Time!AN25/Inputs!$F$247)</f>
        <v>-0.131020386648488</v>
      </c>
      <c r="AO107" s="13" t="n">
        <f aca="false">Time!AO35*Inputs!AO301*AO106*(Inputs!$F$97/100*Time!AO24-Operations!AO9/100*Time!AO25/Inputs!$F$247)</f>
        <v>-0.0619485074963492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788</v>
      </c>
      <c r="E108" s="0" t="s">
        <v>149</v>
      </c>
      <c r="G108" s="13" t="n">
        <f aca="false">SUM(J108:BN108)</f>
        <v>7.85131121152034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0</v>
      </c>
      <c r="Q108" s="13" t="n">
        <f aca="false">(Inputs!$F$95/100*Inputs!$F$96/100)*Q63*Time!Q25/Inputs!$F$248</f>
        <v>1.23506255089743</v>
      </c>
      <c r="R108" s="13" t="n">
        <f aca="false">(Inputs!$F$95/100*Inputs!$F$96/100)*R63*Time!R25/Inputs!$F$248</f>
        <v>1.18816356543472</v>
      </c>
      <c r="S108" s="13" t="n">
        <f aca="false">(Inputs!$F$95/100*Inputs!$F$96/100)*S63*Time!S25/Inputs!$F$248</f>
        <v>1.13685102638406</v>
      </c>
      <c r="T108" s="13" t="n">
        <f aca="false">(Inputs!$F$95/100*Inputs!$F$96/100)*T63*Time!T25/Inputs!$F$248</f>
        <v>1.12206722978559</v>
      </c>
      <c r="U108" s="13" t="n">
        <f aca="false">(Inputs!$F$95/100*Inputs!$F$96/100)*U63*Time!U25/Inputs!$F$248</f>
        <v>1.0959434059633</v>
      </c>
      <c r="V108" s="13" t="n">
        <f aca="false">(Inputs!$F$95/100*Inputs!$F$96/100)*V63*Time!V25/Inputs!$F$248</f>
        <v>1.06651776094773</v>
      </c>
      <c r="W108" s="13" t="n">
        <f aca="false">(Inputs!$F$95/100*Inputs!$F$96/100)*W63*Time!W25/Inputs!$F$248</f>
        <v>1.00670567210751</v>
      </c>
      <c r="X108" s="13" t="n">
        <f aca="false">(Inputs!$F$95/100*Inputs!$F$96/100)*X63*Time!X25/Inputs!$F$248</f>
        <v>0</v>
      </c>
      <c r="Y108" s="13" t="n">
        <f aca="false">(Inputs!$F$95/100*Inputs!$F$96/100)*Y63*Time!Y25/Inputs!$F$248</f>
        <v>0</v>
      </c>
      <c r="Z108" s="13" t="n">
        <f aca="false">(Inputs!$F$95/100*Inputs!$F$96/100)*Z63*Time!Z25/Inputs!$F$248</f>
        <v>0</v>
      </c>
      <c r="AA108" s="13" t="n">
        <f aca="false">(Inputs!$F$95/100*Inputs!$F$96/100)*AA63*Time!AA25/Inputs!$F$248</f>
        <v>0</v>
      </c>
      <c r="AB108" s="13" t="n">
        <f aca="false">(Inputs!$F$95/100*Inputs!$F$96/100)*AB63*Time!AB25/Inputs!$F$248</f>
        <v>0</v>
      </c>
      <c r="AC108" s="13" t="n">
        <f aca="false">(Inputs!$F$95/100*Inputs!$F$96/100)*AC63*Time!AC25/Inputs!$F$248</f>
        <v>0</v>
      </c>
      <c r="AD108" s="13" t="n">
        <f aca="false">(Inputs!$F$95/100*Inputs!$F$96/100)*AD63*Time!AD25/Inputs!$F$248</f>
        <v>0</v>
      </c>
      <c r="AE108" s="13" t="n">
        <f aca="false">(Inputs!$F$95/100*Inputs!$F$96/100)*AE63*Time!AE25/Inputs!$F$248</f>
        <v>0</v>
      </c>
      <c r="AF108" s="13" t="n">
        <f aca="false">(Inputs!$F$95/100*Inputs!$F$96/100)*AF63*Time!AF25/Inputs!$F$248</f>
        <v>0</v>
      </c>
      <c r="AG108" s="13" t="n">
        <f aca="false">(Inputs!$F$95/100*Inputs!$F$96/100)*AG63*Time!AG25/Inputs!$F$248</f>
        <v>0</v>
      </c>
      <c r="AH108" s="13" t="n">
        <f aca="false">(Inputs!$F$95/100*Inputs!$F$96/100)*AH63*Time!AH25/Inputs!$F$248</f>
        <v>0</v>
      </c>
      <c r="AI108" s="13" t="n">
        <f aca="false">(Inputs!$F$95/100*Inputs!$F$96/100)*AI63*Time!AI25/Inputs!$F$248</f>
        <v>0</v>
      </c>
      <c r="AJ108" s="13" t="n">
        <f aca="false">(Inputs!$F$95/100*Inputs!$F$96/100)*AJ63*Time!AJ25/Inputs!$F$248</f>
        <v>0</v>
      </c>
      <c r="AK108" s="13" t="n">
        <f aca="false">(Inputs!$F$95/100*Inputs!$F$96/100)*AK63*Time!AK25/Inputs!$F$248</f>
        <v>0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789</v>
      </c>
      <c r="E109" s="0" t="s">
        <v>149</v>
      </c>
      <c r="G109" s="13" t="n">
        <f aca="false">SUM(J109:BN109)</f>
        <v>8.96395497135244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0.5225</v>
      </c>
      <c r="Y109" s="13" t="n">
        <f aca="false">IF(X101&gt;0,Inputs!$F$276/100*Time!Y24*Y91*Inputs!$F$275/X101,0)</f>
        <v>0.516704005883697</v>
      </c>
      <c r="Z109" s="13" t="n">
        <f aca="false">IF(Y101&gt;0,Inputs!$F$276/100*Time!Z24*Z91*Inputs!$F$275/Y101,0)</f>
        <v>0.508285523393097</v>
      </c>
      <c r="AA109" s="13" t="n">
        <f aca="false">IF(Z101&gt;0,Inputs!$F$276/100*Time!AA24*AA91*Inputs!$F$275/Z101,0)</f>
        <v>0.499081027647855</v>
      </c>
      <c r="AB109" s="13" t="n">
        <f aca="false">IF(AA101&gt;0,Inputs!$F$276/100*Time!AB24*AB91*Inputs!$F$275/AA101,0)</f>
        <v>0.489905455490292</v>
      </c>
      <c r="AC109" s="13" t="n">
        <f aca="false">IF(AB101&gt;0,Inputs!$F$276/100*Time!AC24*AC91*Inputs!$F$275/AB101,0)</f>
        <v>0.480040262473716</v>
      </c>
      <c r="AD109" s="13" t="n">
        <f aca="false">IF(AC101&gt;0,Inputs!$F$276/100*Time!AD24*AD91*Inputs!$F$275/AC101,0)</f>
        <v>0.470160654511648</v>
      </c>
      <c r="AE109" s="13" t="n">
        <f aca="false">IF(AD101&gt;0,Inputs!$F$276/100*Time!AE24*AE91*Inputs!$F$275/AD101,0)</f>
        <v>0.459697969821337</v>
      </c>
      <c r="AF109" s="13" t="n">
        <f aca="false">IF(AE101&gt;0,Inputs!$F$276/100*Time!AF24*AF91*Inputs!$F$275/AE101,0)</f>
        <v>0.448180735471972</v>
      </c>
      <c r="AG109" s="13" t="n">
        <f aca="false">IF(AF101&gt;0,Inputs!$F$276/100*Time!AG24*AG91*Inputs!$F$275/AF101,0)</f>
        <v>0.435882961069457</v>
      </c>
      <c r="AH109" s="13" t="n">
        <f aca="false">IF(AG101&gt;0,Inputs!$F$276/100*Time!AH24*AH91*Inputs!$F$275/AG101,0)</f>
        <v>0.423467313950698</v>
      </c>
      <c r="AI109" s="13" t="n">
        <f aca="false">IF(AH101&gt;0,Inputs!$F$276/100*Time!AI24*AI91*Inputs!$F$275/AH101,0)</f>
        <v>0.410329543395469</v>
      </c>
      <c r="AJ109" s="13" t="n">
        <f aca="false">IF(AI101&gt;0,Inputs!$F$276/100*Time!AJ24*AJ91*Inputs!$F$275/AI101,0)</f>
        <v>0.397148211653925</v>
      </c>
      <c r="AK109" s="13" t="n">
        <f aca="false">IF(AJ101&gt;0,Inputs!$F$276/100*Time!AK24*AK91*Inputs!$F$275/AJ101,0)</f>
        <v>0.383303874863225</v>
      </c>
      <c r="AL109" s="13" t="n">
        <f aca="false">IF(AK101&gt;0,Inputs!$F$276/100*Time!AL24*AL91*Inputs!$F$275/AK101,0)</f>
        <v>0.369399144355559</v>
      </c>
      <c r="AM109" s="13" t="n">
        <f aca="false">IF(AL101&gt;0,Inputs!$F$276/100*Time!AM24*AM91*Inputs!$F$275/AL101,0)</f>
        <v>0.354907986537464</v>
      </c>
      <c r="AN109" s="13" t="n">
        <f aca="false">IF(AM101&gt;0,Inputs!$F$276/100*Time!AN24*AN91*Inputs!$F$275/AM101,0)</f>
        <v>0.339891110383021</v>
      </c>
      <c r="AO109" s="13" t="n">
        <f aca="false">IF(AN101&gt;0,Inputs!$F$276/100*Time!AO24*AO91*Inputs!$F$275/AN101,0)</f>
        <v>0.324217327042874</v>
      </c>
      <c r="AP109" s="13" t="n">
        <f aca="false">IF(AO101&gt;0,Inputs!$F$276/100*Time!AP24*AP91*Inputs!$F$275/AO101,0)</f>
        <v>0.310126179019057</v>
      </c>
      <c r="AQ109" s="13" t="n">
        <f aca="false">IF(AP101&gt;0,Inputs!$F$276/100*Time!AQ24*AQ91*Inputs!$F$275/AP101,0)</f>
        <v>0.261180094416842</v>
      </c>
      <c r="AR109" s="13" t="n">
        <f aca="false">IF(AQ101&gt;0,Inputs!$F$276/100*Time!AR24*AR91*Inputs!$F$275/AQ101,0)</f>
        <v>0.214697463828617</v>
      </c>
      <c r="AS109" s="13" t="n">
        <f aca="false">IF(AR101&gt;0,Inputs!$F$276/100*Time!AS24*AS91*Inputs!$F$275/AR101,0)</f>
        <v>0.165783843384036</v>
      </c>
      <c r="AT109" s="13" t="n">
        <f aca="false">IF(AS101&gt;0,Inputs!$F$276/100*Time!AT24*AT91*Inputs!$F$275/AS101,0)</f>
        <v>0.11574732510097</v>
      </c>
      <c r="AU109" s="13" t="n">
        <f aca="false">IF(AT101&gt;0,Inputs!$F$276/100*Time!AU24*AU91*Inputs!$F$275/AT101,0)</f>
        <v>0.0633169576575825</v>
      </c>
      <c r="AV109" s="13" t="n">
        <f aca="false">IF(AU101&gt;0,Inputs!$F$276/100*Time!AV24*AV91*Inputs!$F$275/AU101,0)</f>
        <v>1.37464189239219E-015</v>
      </c>
      <c r="AW109" s="13" t="n">
        <f aca="false">IF(AV101&gt;0,Inputs!$F$276/100*Time!AW24*AW91*Inputs!$F$275/AV101,0)</f>
        <v>1.37464189239219E-015</v>
      </c>
      <c r="AX109" s="13" t="n">
        <f aca="false">IF(AW101&gt;0,Inputs!$F$276/100*Time!AX24*AX91*Inputs!$F$275/AW101,0)</f>
        <v>1.37464189239219E-015</v>
      </c>
      <c r="AY109" s="13" t="n">
        <f aca="false">IF(AX101&gt;0,Inputs!$F$276/100*Time!AY24*AY91*Inputs!$F$275/AX101,0)</f>
        <v>1.37464189239219E-015</v>
      </c>
      <c r="AZ109" s="13" t="n">
        <f aca="false">IF(AY101&gt;0,Inputs!$F$276/100*Time!AZ24*AZ91*Inputs!$F$275/AY101,0)</f>
        <v>1.37464189239219E-015</v>
      </c>
      <c r="BA109" s="13" t="n">
        <f aca="false">IF(AZ101&gt;0,Inputs!$F$276/100*Time!BA24*BA91*Inputs!$F$275/AZ101,0)</f>
        <v>1.37464189239219E-015</v>
      </c>
      <c r="BB109" s="13" t="n">
        <f aca="false">IF(BA101&gt;0,Inputs!$F$276/100*Time!BB24*BB91*Inputs!$F$275/BA101,0)</f>
        <v>1.37464189239219E-015</v>
      </c>
      <c r="BC109" s="13" t="n">
        <f aca="false">IF(BB101&gt;0,Inputs!$F$276/100*Time!BC24*BC91*Inputs!$F$275/BB101,0)</f>
        <v>1.37464189239219E-015</v>
      </c>
      <c r="BD109" s="13" t="n">
        <f aca="false">IF(BC101&gt;0,Inputs!$F$276/100*Time!BD24*BD91*Inputs!$F$275/BC101,0)</f>
        <v>1.37464189239219E-015</v>
      </c>
      <c r="BE109" s="13" t="n">
        <f aca="false">IF(BD101&gt;0,Inputs!$F$276/100*Time!BE24*BE91*Inputs!$F$275/BD101,0)</f>
        <v>1.37464189239219E-015</v>
      </c>
      <c r="BF109" s="13" t="n">
        <f aca="false">IF(BE101&gt;0,Inputs!$F$276/100*Time!BF24*BF91*Inputs!$F$275/BE101,0)</f>
        <v>1.37464189239219E-015</v>
      </c>
      <c r="BG109" s="13" t="n">
        <f aca="false">IF(BF101&gt;0,Inputs!$F$276/100*Time!BG24*BG91*Inputs!$F$275/BF101,0)</f>
        <v>1.37464189239219E-015</v>
      </c>
      <c r="BH109" s="13" t="n">
        <f aca="false">IF(BG101&gt;0,Inputs!$F$276/100*Time!BH24*BH91*Inputs!$F$275/BG101,0)</f>
        <v>1.37464189239219E-015</v>
      </c>
      <c r="BI109" s="13" t="n">
        <f aca="false">IF(BH101&gt;0,Inputs!$F$276/100*Time!BI24*BI91*Inputs!$F$275/BH101,0)</f>
        <v>1.37464189239219E-015</v>
      </c>
      <c r="BJ109" s="13" t="n">
        <f aca="false">IF(BI101&gt;0,Inputs!$F$276/100*Time!BJ24*BJ91*Inputs!$F$275/BI101,0)</f>
        <v>1.37464189239219E-015</v>
      </c>
      <c r="BK109" s="13" t="n">
        <f aca="false">IF(BJ101&gt;0,Inputs!$F$276/100*Time!BK24*BK91*Inputs!$F$275/BJ101,0)</f>
        <v>1.37464189239219E-015</v>
      </c>
      <c r="BL109" s="13" t="n">
        <f aca="false">IF(BK101&gt;0,Inputs!$F$276/100*Time!BL24*BL91*Inputs!$F$275/BK101,0)</f>
        <v>1.37464189239219E-015</v>
      </c>
      <c r="BM109" s="13" t="n">
        <f aca="false">IF(BL101&gt;0,Inputs!$F$276/100*Time!BM24*BM91*Inputs!$F$275/BL101,0)</f>
        <v>1.37464189239219E-015</v>
      </c>
      <c r="BN109" s="13" t="n">
        <f aca="false">IF(BM101&gt;0,Inputs!$F$276/100*Time!BN24*BN91*Inputs!$F$275/BM101,0)</f>
        <v>1.37464189239219E-015</v>
      </c>
    </row>
    <row r="110" customFormat="false" ht="15" hidden="false" customHeight="false" outlineLevel="0" collapsed="false">
      <c r="D110" s="0" t="s">
        <v>385</v>
      </c>
      <c r="E110" s="0" t="s">
        <v>149</v>
      </c>
      <c r="G110" s="13" t="n">
        <f aca="false">SUM(J110:BN110)</f>
        <v>1.43717336203905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1.43717336203905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790</v>
      </c>
      <c r="E111" s="0" t="s">
        <v>149</v>
      </c>
      <c r="G111" s="13" t="n">
        <f aca="false">SUM(J111:BN111)</f>
        <v>415.757313982017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0</v>
      </c>
      <c r="Q111" s="13" t="n">
        <f aca="false">Q23+Q37+Q51+Q65+Q79+Q92</f>
        <v>11.8107672811808</v>
      </c>
      <c r="R111" s="13" t="n">
        <f aca="false">R23+R37+R51+R65+R79+R92</f>
        <v>19.7962794435659</v>
      </c>
      <c r="S111" s="13" t="n">
        <f aca="false">S23+S37+S51+S65+S79+S92</f>
        <v>26.2297767276882</v>
      </c>
      <c r="T111" s="13" t="n">
        <f aca="false">T23+T37+T51+T65+T79+T92</f>
        <v>29.2890488780853</v>
      </c>
      <c r="U111" s="13" t="n">
        <f aca="false">U23+U37+U51+U65+U79+U92</f>
        <v>27.6796022719151</v>
      </c>
      <c r="V111" s="13" t="n">
        <f aca="false">V23+V37+V51+V65+V79+V92</f>
        <v>27.1111201957882</v>
      </c>
      <c r="W111" s="13" t="n">
        <f aca="false">W23+W37+W51+W65+W79+W92</f>
        <v>21.5504732122963</v>
      </c>
      <c r="X111" s="13" t="n">
        <f aca="false">X23+X37+X51+X65+X79+X92</f>
        <v>18.752767705971</v>
      </c>
      <c r="Y111" s="13" t="n">
        <f aca="false">Y23+Y37+Y51+Y65+Y79+Y92</f>
        <v>17.3927194513568</v>
      </c>
      <c r="Z111" s="13" t="n">
        <f aca="false">Z23+Z37+Z51+Z65+Z79+Z92</f>
        <v>16.9871084633638</v>
      </c>
      <c r="AA111" s="13" t="n">
        <f aca="false">AA23+AA37+AA51+AA65+AA79+AA92</f>
        <v>16.2078652873133</v>
      </c>
      <c r="AB111" s="13" t="n">
        <f aca="false">AB23+AB37+AB51+AB65+AB79+AB92</f>
        <v>15.8084572294324</v>
      </c>
      <c r="AC111" s="13" t="n">
        <f aca="false">AC23+AC37+AC51+AC65+AC79+AC92</f>
        <v>15.2456139458566</v>
      </c>
      <c r="AD111" s="13" t="n">
        <f aca="false">AD23+AD37+AD51+AD65+AD79+AD92</f>
        <v>14.7575011183432</v>
      </c>
      <c r="AE111" s="13" t="n">
        <f aca="false">AE23+AE37+AE51+AE65+AE79+AE92</f>
        <v>14.0786745972103</v>
      </c>
      <c r="AF111" s="13" t="n">
        <f aca="false">AF23+AF37+AF51+AF65+AF79+AF92</f>
        <v>13.5329676581127</v>
      </c>
      <c r="AG111" s="13" t="n">
        <f aca="false">AG23+AG37+AG51+AG65+AG79+AG92</f>
        <v>12.779707188397</v>
      </c>
      <c r="AH111" s="13" t="n">
        <f aca="false">AH23+AH37+AH51+AH65+AH79+AH92</f>
        <v>12.177050780932</v>
      </c>
      <c r="AI111" s="13" t="n">
        <f aca="false">AI23+AI37+AI51+AI65+AI79+AI92</f>
        <v>11.396776445729</v>
      </c>
      <c r="AJ111" s="13" t="n">
        <f aca="false">AJ23+AJ37+AJ51+AJ65+AJ79+AJ92</f>
        <v>10.7267447578847</v>
      </c>
      <c r="AK111" s="13" t="n">
        <f aca="false">AK23+AK37+AK51+AK65+AK79+AK92</f>
        <v>9.92646058134909</v>
      </c>
      <c r="AL111" s="13" t="n">
        <f aca="false">AL23+AL37+AL51+AL65+AL79+AL92</f>
        <v>9.17198857540515</v>
      </c>
      <c r="AM111" s="13" t="n">
        <f aca="false">AM23+AM37+AM51+AM65+AM79+AM92</f>
        <v>8.32179797412656</v>
      </c>
      <c r="AN111" s="13" t="n">
        <f aca="false">AN23+AN37+AN51+AN65+AN79+AN92</f>
        <v>7.49406844398611</v>
      </c>
      <c r="AO111" s="13" t="n">
        <f aca="false">AO23+AO37+AO51+AO65+AO79+AO92</f>
        <v>6.58755732361032</v>
      </c>
      <c r="AP111" s="13" t="n">
        <f aca="false">AP23+AP37+AP51+AP65+AP79+AP92</f>
        <v>5.74382257634546</v>
      </c>
      <c r="AQ111" s="13" t="n">
        <f aca="false">AQ23+AQ37+AQ51+AQ65+AQ79+AQ92</f>
        <v>4.83729599206559</v>
      </c>
      <c r="AR111" s="13" t="n">
        <f aca="false">AR23+AR37+AR51+AR65+AR79+AR92</f>
        <v>3.97639484587706</v>
      </c>
      <c r="AS111" s="13" t="n">
        <f aca="false">AS23+AS37+AS51+AS65+AS79+AS92</f>
        <v>3.07046952770805</v>
      </c>
      <c r="AT111" s="13" t="n">
        <f aca="false">AT23+AT37+AT51+AT65+AT79+AT92</f>
        <v>2.14374710696609</v>
      </c>
      <c r="AU111" s="13" t="n">
        <f aca="false">AU23+AU37+AU51+AU65+AU79+AU92</f>
        <v>1.17268839415451</v>
      </c>
      <c r="AV111" s="13" t="n">
        <f aca="false">AV23+AV37+AV51+AV65+AV79+AV92</f>
        <v>2.54596344007041E-014</v>
      </c>
      <c r="AW111" s="13" t="n">
        <f aca="false">AW23+AW37+AW51+AW65+AW79+AW92</f>
        <v>2.54596344007041E-014</v>
      </c>
      <c r="AX111" s="13" t="n">
        <f aca="false">AX23+AX37+AX51+AX65+AX79+AX92</f>
        <v>2.54596344007041E-014</v>
      </c>
      <c r="AY111" s="13" t="n">
        <f aca="false">AY23+AY37+AY51+AY65+AY79+AY92</f>
        <v>2.54596344007041E-014</v>
      </c>
      <c r="AZ111" s="13" t="n">
        <f aca="false">AZ23+AZ37+AZ51+AZ65+AZ79+AZ92</f>
        <v>2.54596344007041E-014</v>
      </c>
      <c r="BA111" s="13" t="n">
        <f aca="false">BA23+BA37+BA51+BA65+BA79+BA92</f>
        <v>2.54596344007041E-014</v>
      </c>
      <c r="BB111" s="13" t="n">
        <f aca="false">BB23+BB37+BB51+BB65+BB79+BB92</f>
        <v>2.54596344007041E-014</v>
      </c>
      <c r="BC111" s="13" t="n">
        <f aca="false">BC23+BC37+BC51+BC65+BC79+BC92</f>
        <v>2.54596344007041E-014</v>
      </c>
      <c r="BD111" s="13" t="n">
        <f aca="false">BD23+BD37+BD51+BD65+BD79+BD92</f>
        <v>2.54596344007041E-014</v>
      </c>
      <c r="BE111" s="13" t="n">
        <f aca="false">BE23+BE37+BE51+BE65+BE79+BE92</f>
        <v>2.54596344007041E-014</v>
      </c>
      <c r="BF111" s="13" t="n">
        <f aca="false">BF23+BF37+BF51+BF65+BF79+BF92</f>
        <v>2.54596344007041E-014</v>
      </c>
      <c r="BG111" s="13" t="n">
        <f aca="false">BG23+BG37+BG51+BG65+BG79+BG92</f>
        <v>2.54596344007041E-014</v>
      </c>
      <c r="BH111" s="13" t="n">
        <f aca="false">BH23+BH37+BH51+BH65+BH79+BH92</f>
        <v>2.54596344007041E-014</v>
      </c>
      <c r="BI111" s="13" t="n">
        <f aca="false">BI23+BI37+BI51+BI65+BI79+BI92</f>
        <v>2.54596344007041E-014</v>
      </c>
      <c r="BJ111" s="13" t="n">
        <f aca="false">BJ23+BJ37+BJ51+BJ65+BJ79+BJ92</f>
        <v>2.54596344007041E-014</v>
      </c>
      <c r="BK111" s="13" t="n">
        <f aca="false">BK23+BK37+BK51+BK65+BK79+BK92</f>
        <v>2.54596344007041E-014</v>
      </c>
      <c r="BL111" s="13" t="n">
        <f aca="false">BL23+BL37+BL51+BL65+BL79+BL92</f>
        <v>2.54596344007041E-014</v>
      </c>
      <c r="BM111" s="13" t="n">
        <f aca="false">BM23+BM37+BM51+BM65+BM79+BM92</f>
        <v>2.54596344007041E-014</v>
      </c>
      <c r="BN111" s="13" t="n">
        <f aca="false">BN23+BN37+BN51+BN65+BN79+BN92</f>
        <v>2.54596344007041E-014</v>
      </c>
    </row>
    <row r="112" customFormat="false" ht="15" hidden="false" customHeight="false" outlineLevel="0" collapsed="false">
      <c r="D112" s="0" t="s">
        <v>791</v>
      </c>
      <c r="E112" s="0" t="s">
        <v>149</v>
      </c>
      <c r="G112" s="13" t="n">
        <f aca="false">SUM(J112:BN112)</f>
        <v>399.070456174755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0</v>
      </c>
      <c r="Q112" s="13" t="n">
        <f aca="false">Q111+Q107+Q108+Q109</f>
        <v>19.4832288270179</v>
      </c>
      <c r="R112" s="13" t="n">
        <f aca="false">R111+R107+R108+R109</f>
        <v>20.8440647770752</v>
      </c>
      <c r="S112" s="13" t="n">
        <f aca="false">S111+S107+S108+S109</f>
        <v>21.8223622898065</v>
      </c>
      <c r="T112" s="13" t="n">
        <f aca="false">T111+T107+T108+T109</f>
        <v>23.417418942879</v>
      </c>
      <c r="U112" s="13" t="n">
        <f aca="false">U111+U107+U108+U109</f>
        <v>22.8389996117261</v>
      </c>
      <c r="V112" s="13" t="n">
        <f aca="false">V111+V107+V108+V109</f>
        <v>22.1828933400384</v>
      </c>
      <c r="W112" s="13" t="n">
        <f aca="false">W111+W107+W108+W109</f>
        <v>18.9715349415101</v>
      </c>
      <c r="X112" s="13" t="n">
        <f aca="false">X111+X107+X108+X109</f>
        <v>17.4901462477335</v>
      </c>
      <c r="Y112" s="13" t="n">
        <f aca="false">Y111+Y107+Y108+Y109</f>
        <v>16.8123364288892</v>
      </c>
      <c r="Z112" s="13" t="n">
        <f aca="false">Z111+Z107+Z108+Z109</f>
        <v>16.4204542372745</v>
      </c>
      <c r="AA112" s="13" t="n">
        <f aca="false">AA111+AA107+AA108+AA109</f>
        <v>15.8580772434486</v>
      </c>
      <c r="AB112" s="13" t="n">
        <f aca="false">AB111+AB107+AB108+AB109</f>
        <v>15.4375045148287</v>
      </c>
      <c r="AC112" s="13" t="n">
        <f aca="false">AC111+AC107+AC108+AC109</f>
        <v>14.9066073780107</v>
      </c>
      <c r="AD112" s="13" t="n">
        <f aca="false">AD111+AD107+AD108+AD109</f>
        <v>14.4255727418401</v>
      </c>
      <c r="AE112" s="13" t="n">
        <f aca="false">AE111+AE107+AE108+AE109</f>
        <v>13.8385634530416</v>
      </c>
      <c r="AF112" s="13" t="n">
        <f aca="false">AF111+AF107+AF108+AF109</f>
        <v>13.294699344663</v>
      </c>
      <c r="AG112" s="13" t="n">
        <f aca="false">AG111+AG107+AG108+AG109</f>
        <v>12.6285636796117</v>
      </c>
      <c r="AH112" s="13" t="n">
        <f aca="false">AH111+AH107+AH108+AH109</f>
        <v>12.0374245486774</v>
      </c>
      <c r="AI112" s="13" t="n">
        <f aca="false">AI111+AI107+AI108+AI109</f>
        <v>11.3398810179999</v>
      </c>
      <c r="AJ112" s="13" t="n">
        <f aca="false">AJ111+AJ107+AJ108+AJ109</f>
        <v>10.6934647921304</v>
      </c>
      <c r="AK112" s="13" t="n">
        <f aca="false">AK111+AK107+AK108+AK109</f>
        <v>9.96457777412756</v>
      </c>
      <c r="AL112" s="13" t="n">
        <f aca="false">AL111+AL107+AL108+AL109</f>
        <v>9.25432516133418</v>
      </c>
      <c r="AM112" s="13" t="n">
        <f aca="false">AM111+AM107+AM108+AM109</f>
        <v>8.47971926368872</v>
      </c>
      <c r="AN112" s="13" t="n">
        <f aca="false">AN111+AN107+AN108+AN109</f>
        <v>7.70293916772064</v>
      </c>
      <c r="AO112" s="13" t="n">
        <f aca="false">AO111+AO107+AO108+AO109</f>
        <v>6.84982614315684</v>
      </c>
      <c r="AP112" s="13" t="n">
        <f aca="false">AP111+AP107+AP108+AP109</f>
        <v>6.05394875536452</v>
      </c>
      <c r="AQ112" s="13" t="n">
        <f aca="false">AQ111+AQ107+AQ108+AQ109</f>
        <v>5.09847608648243</v>
      </c>
      <c r="AR112" s="13" t="n">
        <f aca="false">AR111+AR107+AR108+AR109</f>
        <v>4.19109230970568</v>
      </c>
      <c r="AS112" s="13" t="n">
        <f aca="false">AS111+AS107+AS108+AS109</f>
        <v>3.23625337109209</v>
      </c>
      <c r="AT112" s="13" t="n">
        <f aca="false">AT111+AT107+AT108+AT109</f>
        <v>2.25949443206706</v>
      </c>
      <c r="AU112" s="13" t="n">
        <f aca="false">AU111+AU107+AU108+AU109</f>
        <v>1.23600535181209</v>
      </c>
      <c r="AV112" s="13" t="n">
        <f aca="false">AV111+AV107+AV108+AV109</f>
        <v>2.68342762930963E-014</v>
      </c>
      <c r="AW112" s="13" t="n">
        <f aca="false">AW111+AW107+AW108+AW109</f>
        <v>2.68342762930963E-014</v>
      </c>
      <c r="AX112" s="13" t="n">
        <f aca="false">AX111+AX107+AX108+AX109</f>
        <v>2.68342762930963E-014</v>
      </c>
      <c r="AY112" s="13" t="n">
        <f aca="false">AY111+AY107+AY108+AY109</f>
        <v>2.68342762930963E-014</v>
      </c>
      <c r="AZ112" s="13" t="n">
        <f aca="false">AZ111+AZ107+AZ108+AZ109</f>
        <v>2.68342762930963E-014</v>
      </c>
      <c r="BA112" s="13" t="n">
        <f aca="false">BA111+BA107+BA108+BA109</f>
        <v>2.68342762930963E-014</v>
      </c>
      <c r="BB112" s="13" t="n">
        <f aca="false">BB111+BB107+BB108+BB109</f>
        <v>2.68342762930963E-014</v>
      </c>
      <c r="BC112" s="13" t="n">
        <f aca="false">BC111+BC107+BC108+BC109</f>
        <v>2.68342762930963E-014</v>
      </c>
      <c r="BD112" s="13" t="n">
        <f aca="false">BD111+BD107+BD108+BD109</f>
        <v>2.68342762930963E-014</v>
      </c>
      <c r="BE112" s="13" t="n">
        <f aca="false">BE111+BE107+BE108+BE109</f>
        <v>2.68342762930963E-014</v>
      </c>
      <c r="BF112" s="13" t="n">
        <f aca="false">BF111+BF107+BF108+BF109</f>
        <v>2.68342762930963E-014</v>
      </c>
      <c r="BG112" s="13" t="n">
        <f aca="false">BG111+BG107+BG108+BG109</f>
        <v>2.68342762930963E-014</v>
      </c>
      <c r="BH112" s="13" t="n">
        <f aca="false">BH111+BH107+BH108+BH109</f>
        <v>2.68342762930963E-014</v>
      </c>
      <c r="BI112" s="13" t="n">
        <f aca="false">BI111+BI107+BI108+BI109</f>
        <v>2.68342762930963E-014</v>
      </c>
      <c r="BJ112" s="13" t="n">
        <f aca="false">BJ111+BJ107+BJ108+BJ109</f>
        <v>2.68342762930963E-014</v>
      </c>
      <c r="BK112" s="13" t="n">
        <f aca="false">BK111+BK107+BK108+BK109</f>
        <v>2.68342762930963E-014</v>
      </c>
      <c r="BL112" s="13" t="n">
        <f aca="false">BL111+BL107+BL108+BL109</f>
        <v>2.68342762930963E-014</v>
      </c>
      <c r="BM112" s="13" t="n">
        <f aca="false">BM111+BM107+BM108+BM109</f>
        <v>2.68342762930963E-014</v>
      </c>
      <c r="BN112" s="13" t="n">
        <f aca="false">BN111+BN107+BN108+BN109</f>
        <v>2.68342762930963E-014</v>
      </c>
    </row>
    <row r="113" customFormat="false" ht="15" hidden="false" customHeight="false" outlineLevel="0" collapsed="false">
      <c r="D113" s="0" t="s">
        <v>792</v>
      </c>
      <c r="E113" s="0" t="s">
        <v>149</v>
      </c>
      <c r="G113" s="13" t="n">
        <f aca="false">SUM(J113:BN113)</f>
        <v>625.934081506251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0</v>
      </c>
      <c r="Q113" s="13" t="n">
        <f aca="false">Q27+Q41+Q55+Q69+Q83+Q93</f>
        <v>16.0305238290839</v>
      </c>
      <c r="R113" s="13" t="n">
        <f aca="false">R27+R41+R55+R69+R83+R93</f>
        <v>16.6352221826333</v>
      </c>
      <c r="S113" s="13" t="n">
        <f aca="false">S27+S41+S55+S69+S83+S93</f>
        <v>17.2279512179389</v>
      </c>
      <c r="T113" s="13" t="n">
        <f aca="false">T27+T41+T55+T69+T83+T93</f>
        <v>7.21386532676025</v>
      </c>
      <c r="U113" s="13" t="n">
        <f aca="false">U27+U41+U55+U69+U83+U93</f>
        <v>21.2458257755098</v>
      </c>
      <c r="V113" s="13" t="n">
        <f aca="false">V27+V41+V55+V69+V83+V93</f>
        <v>22.0949523822596</v>
      </c>
      <c r="W113" s="13" t="n">
        <f aca="false">W27+W41+W55+W69+W83+W93</f>
        <v>23.1676144925738</v>
      </c>
      <c r="X113" s="13" t="n">
        <f aca="false">X27+X41+X55+X69+X83+X93</f>
        <v>15.0664781478019</v>
      </c>
      <c r="Y113" s="13" t="n">
        <f aca="false">Y27+Y41+Y55+Y69+Y83+Y93</f>
        <v>14.1398391134089</v>
      </c>
      <c r="Z113" s="13" t="n">
        <f aca="false">Z27+Z41+Z55+Z69+Z83+Z93</f>
        <v>14.9882752604952</v>
      </c>
      <c r="AA113" s="13" t="n">
        <f aca="false">AA27+AA41+AA55+AA69+AA83+AA93</f>
        <v>15.1975470613862</v>
      </c>
      <c r="AB113" s="13" t="n">
        <f aca="false">AB27+AB41+AB55+AB69+AB83+AB93</f>
        <v>16.0514416291502</v>
      </c>
      <c r="AC113" s="13" t="n">
        <f aca="false">AC27+AC41+AC55+AC69+AC83+AC93</f>
        <v>16.3826726723234</v>
      </c>
      <c r="AD113" s="13" t="n">
        <f aca="false">AD27+AD41+AD55+AD69+AD83+AD93</f>
        <v>17.2155879431338</v>
      </c>
      <c r="AE113" s="13" t="n">
        <f aca="false">AE27+AE41+AE55+AE69+AE83+AE93</f>
        <v>18.7072772103517</v>
      </c>
      <c r="AF113" s="13" t="n">
        <f aca="false">AF27+AF41+AF55+AF69+AF83+AF93</f>
        <v>19.789668620395</v>
      </c>
      <c r="AG113" s="13" t="n">
        <f aca="false">AG27+AG41+AG55+AG69+AG83+AG93</f>
        <v>19.9464480203979</v>
      </c>
      <c r="AH113" s="13" t="n">
        <f aca="false">AH27+AH41+AH55+AH69+AH83+AH93</f>
        <v>21.0152181296509</v>
      </c>
      <c r="AI113" s="13" t="n">
        <f aca="false">AI27+AI41+AI55+AI69+AI83+AI93</f>
        <v>21.4995743791413</v>
      </c>
      <c r="AJ113" s="13" t="n">
        <f aca="false">AJ27+AJ41+AJ55+AJ69+AJ83+AJ93</f>
        <v>22.5615852471961</v>
      </c>
      <c r="AK113" s="13" t="n">
        <f aca="false">AK27+AK41+AK55+AK69+AK83+AK93</f>
        <v>23.0659730009864</v>
      </c>
      <c r="AL113" s="13" t="n">
        <f aca="false">AL27+AL41+AL55+AL69+AL83+AL93</f>
        <v>24.1181840327858</v>
      </c>
      <c r="AM113" s="13" t="n">
        <f aca="false">AM27+AM41+AM55+AM69+AM83+AM93</f>
        <v>25.1718814591522</v>
      </c>
      <c r="AN113" s="13" t="n">
        <f aca="false">AN27+AN41+AN55+AN69+AN83+AN93</f>
        <v>26.3564011508243</v>
      </c>
      <c r="AO113" s="13" t="n">
        <f aca="false">AO27+AO41+AO55+AO69+AO83+AO93</f>
        <v>25.1692141391218</v>
      </c>
      <c r="AP113" s="13" t="n">
        <f aca="false">AP27+AP41+AP55+AP69+AP83+AP93</f>
        <v>23.0228973785364</v>
      </c>
      <c r="AQ113" s="13" t="n">
        <f aca="false">AQ27+AQ41+AQ55+AQ69+AQ83+AQ93</f>
        <v>21.8641560936769</v>
      </c>
      <c r="AR113" s="13" t="n">
        <f aca="false">AR27+AR41+AR55+AR69+AR83+AR93</f>
        <v>23.0076271281019</v>
      </c>
      <c r="AS113" s="13" t="n">
        <f aca="false">AS27+AS41+AS55+AS69+AS83+AS93</f>
        <v>23.5358075109069</v>
      </c>
      <c r="AT113" s="13" t="n">
        <f aca="false">AT27+AT41+AT55+AT69+AT83+AT93</f>
        <v>24.6618085793418</v>
      </c>
      <c r="AU113" s="13" t="n">
        <f aca="false">AU27+AU41+AU55+AU69+AU83+AU93</f>
        <v>29.782562391225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793</v>
      </c>
      <c r="E114" s="0" t="s">
        <v>149</v>
      </c>
      <c r="G114" s="13" t="n">
        <f aca="false">SUM(J114:BN114)</f>
        <v>1025.00453768101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0</v>
      </c>
      <c r="Q114" s="13" t="n">
        <f aca="false">Q112+Q113</f>
        <v>35.5137526561018</v>
      </c>
      <c r="R114" s="13" t="n">
        <f aca="false">R112+R113</f>
        <v>37.4792869597084</v>
      </c>
      <c r="S114" s="13" t="n">
        <f aca="false">S112+S113</f>
        <v>39.0503135077454</v>
      </c>
      <c r="T114" s="13" t="n">
        <f aca="false">T112+T113</f>
        <v>30.6312842696393</v>
      </c>
      <c r="U114" s="13" t="n">
        <f aca="false">U112+U113</f>
        <v>44.0848253872358</v>
      </c>
      <c r="V114" s="13" t="n">
        <f aca="false">V112+V113</f>
        <v>44.277845722298</v>
      </c>
      <c r="W114" s="13" t="n">
        <f aca="false">W112+W113</f>
        <v>42.139149434084</v>
      </c>
      <c r="X114" s="13" t="n">
        <f aca="false">X112+X113</f>
        <v>32.5566243955354</v>
      </c>
      <c r="Y114" s="13" t="n">
        <f aca="false">Y112+Y113</f>
        <v>30.9521755422981</v>
      </c>
      <c r="Z114" s="13" t="n">
        <f aca="false">Z112+Z113</f>
        <v>31.4087294977697</v>
      </c>
      <c r="AA114" s="13" t="n">
        <f aca="false">AA112+AA113</f>
        <v>31.0556243048348</v>
      </c>
      <c r="AB114" s="13" t="n">
        <f aca="false">AB112+AB113</f>
        <v>31.488946143979</v>
      </c>
      <c r="AC114" s="13" t="n">
        <f aca="false">AC112+AC113</f>
        <v>31.2892800503341</v>
      </c>
      <c r="AD114" s="13" t="n">
        <f aca="false">AD112+AD113</f>
        <v>31.6411606849739</v>
      </c>
      <c r="AE114" s="13" t="n">
        <f aca="false">AE112+AE113</f>
        <v>32.5458406633933</v>
      </c>
      <c r="AF114" s="13" t="n">
        <f aca="false">AF112+AF113</f>
        <v>33.084367965058</v>
      </c>
      <c r="AG114" s="13" t="n">
        <f aca="false">AG112+AG113</f>
        <v>32.5750117000096</v>
      </c>
      <c r="AH114" s="13" t="n">
        <f aca="false">AH112+AH113</f>
        <v>33.0526426783283</v>
      </c>
      <c r="AI114" s="13" t="n">
        <f aca="false">AI112+AI113</f>
        <v>32.8394553971412</v>
      </c>
      <c r="AJ114" s="13" t="n">
        <f aca="false">AJ112+AJ113</f>
        <v>33.2550500393265</v>
      </c>
      <c r="AK114" s="13" t="n">
        <f aca="false">AK112+AK113</f>
        <v>33.030550775114</v>
      </c>
      <c r="AL114" s="13" t="n">
        <f aca="false">AL112+AL113</f>
        <v>33.37250919412</v>
      </c>
      <c r="AM114" s="13" t="n">
        <f aca="false">AM112+AM113</f>
        <v>33.6516007228409</v>
      </c>
      <c r="AN114" s="13" t="n">
        <f aca="false">AN112+AN113</f>
        <v>34.059340318545</v>
      </c>
      <c r="AO114" s="13" t="n">
        <f aca="false">AO112+AO113</f>
        <v>32.0190402822787</v>
      </c>
      <c r="AP114" s="13" t="n">
        <f aca="false">AP112+AP113</f>
        <v>29.0768461339009</v>
      </c>
      <c r="AQ114" s="13" t="n">
        <f aca="false">AQ112+AQ113</f>
        <v>26.9626321801593</v>
      </c>
      <c r="AR114" s="13" t="n">
        <f aca="false">AR112+AR113</f>
        <v>27.1987194378076</v>
      </c>
      <c r="AS114" s="13" t="n">
        <f aca="false">AS112+AS113</f>
        <v>26.772060881999</v>
      </c>
      <c r="AT114" s="13" t="n">
        <f aca="false">AT112+AT113</f>
        <v>26.9213030114088</v>
      </c>
      <c r="AU114" s="13" t="n">
        <f aca="false">AU112+AU113</f>
        <v>31.0185677430371</v>
      </c>
      <c r="AV114" s="13" t="n">
        <f aca="false">AV112+AV113</f>
        <v>2.68342762930963E-014</v>
      </c>
      <c r="AW114" s="13" t="n">
        <f aca="false">AW112+AW113</f>
        <v>2.68342762930963E-014</v>
      </c>
      <c r="AX114" s="13" t="n">
        <f aca="false">AX112+AX113</f>
        <v>2.68342762930963E-014</v>
      </c>
      <c r="AY114" s="13" t="n">
        <f aca="false">AY112+AY113</f>
        <v>2.68342762930963E-014</v>
      </c>
      <c r="AZ114" s="13" t="n">
        <f aca="false">AZ112+AZ113</f>
        <v>2.68342762930963E-014</v>
      </c>
      <c r="BA114" s="13" t="n">
        <f aca="false">BA112+BA113</f>
        <v>2.68342762930963E-014</v>
      </c>
      <c r="BB114" s="13" t="n">
        <f aca="false">BB112+BB113</f>
        <v>2.68342762930963E-014</v>
      </c>
      <c r="BC114" s="13" t="n">
        <f aca="false">BC112+BC113</f>
        <v>2.68342762930963E-014</v>
      </c>
      <c r="BD114" s="13" t="n">
        <f aca="false">BD112+BD113</f>
        <v>2.68342762930963E-014</v>
      </c>
      <c r="BE114" s="13" t="n">
        <f aca="false">BE112+BE113</f>
        <v>2.68342762930963E-014</v>
      </c>
      <c r="BF114" s="13" t="n">
        <f aca="false">BF112+BF113</f>
        <v>2.68342762930963E-014</v>
      </c>
      <c r="BG114" s="13" t="n">
        <f aca="false">BG112+BG113</f>
        <v>2.68342762930963E-014</v>
      </c>
      <c r="BH114" s="13" t="n">
        <f aca="false">BH112+BH113</f>
        <v>2.68342762930963E-014</v>
      </c>
      <c r="BI114" s="13" t="n">
        <f aca="false">BI112+BI113</f>
        <v>2.68342762930963E-014</v>
      </c>
      <c r="BJ114" s="13" t="n">
        <f aca="false">BJ112+BJ113</f>
        <v>2.68342762930963E-014</v>
      </c>
      <c r="BK114" s="13" t="n">
        <f aca="false">BK112+BK113</f>
        <v>2.68342762930963E-014</v>
      </c>
      <c r="BL114" s="13" t="n">
        <f aca="false">BL112+BL113</f>
        <v>2.68342762930963E-014</v>
      </c>
      <c r="BM114" s="13" t="n">
        <f aca="false">BM112+BM113</f>
        <v>2.68342762930963E-014</v>
      </c>
      <c r="BN114" s="13" t="n">
        <f aca="false">BN112+BN113</f>
        <v>2.68342762930963E-014</v>
      </c>
    </row>
    <row r="115" customFormat="false" ht="15" hidden="false" customHeight="false" outlineLevel="0" collapsed="false">
      <c r="D115" s="0" t="s">
        <v>794</v>
      </c>
      <c r="E115" s="0" t="s">
        <v>149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0</v>
      </c>
      <c r="Q115" s="13" t="n">
        <f aca="false">Q21+Q35+Q49+Q63+Q77+Q91</f>
        <v>643.248042045247</v>
      </c>
      <c r="R115" s="13" t="n">
        <f aca="false">R21+R35+R49+R63+R77+R91</f>
        <v>608.732518216193</v>
      </c>
      <c r="S115" s="13" t="n">
        <f aca="false">S21+S35+S49+S63+S77+S91</f>
        <v>592.09729603356</v>
      </c>
      <c r="T115" s="13" t="n">
        <f aca="false">T21+T35+T49+T63+T77+T91</f>
        <v>574.869344815621</v>
      </c>
      <c r="U115" s="13" t="n">
        <f aca="false">U21+U35+U49+U63+U77+U91</f>
        <v>567.655479488861</v>
      </c>
      <c r="V115" s="13" t="n">
        <f aca="false">V21+V35+V49+V63+V77+V91</f>
        <v>546.409653713351</v>
      </c>
      <c r="W115" s="13" t="n">
        <f aca="false">W21+W35+W49+W63+W77+W91</f>
        <v>524.314701331091</v>
      </c>
      <c r="X115" s="13" t="n">
        <f aca="false">X21+X35+X49+X63+X77+X91</f>
        <v>502.318126299493</v>
      </c>
      <c r="Y115" s="13" t="n">
        <f aca="false">Y21+Y35+Y49+Y63+Y77+Y91</f>
        <v>487.251648151691</v>
      </c>
      <c r="Z115" s="13" t="n">
        <f aca="false">Z21+Z35+Z49+Z63+Z77+Z91</f>
        <v>473.111809038282</v>
      </c>
      <c r="AA115" s="13" t="n">
        <f aca="false">AA21+AA35+AA49+AA63+AA77+AA91</f>
        <v>458.123533777787</v>
      </c>
      <c r="AB115" s="13" t="n">
        <f aca="false">AB21+AB35+AB49+AB63+AB77+AB91</f>
        <v>442.9259867164</v>
      </c>
      <c r="AC115" s="13" t="n">
        <f aca="false">AC21+AC35+AC49+AC63+AC77+AC91</f>
        <v>426.87454508725</v>
      </c>
      <c r="AD115" s="13" t="n">
        <f aca="false">AD21+AD35+AD49+AD63+AD77+AD91</f>
        <v>410.491872414927</v>
      </c>
      <c r="AE115" s="13" t="n">
        <f aca="false">AE21+AE35+AE49+AE63+AE77+AE91</f>
        <v>393.276284471793</v>
      </c>
      <c r="AF115" s="13" t="n">
        <f aca="false">AF21+AF35+AF49+AF63+AF77+AF91</f>
        <v>374.569007261441</v>
      </c>
      <c r="AG115" s="13" t="n">
        <f aca="false">AG21+AG35+AG49+AG63+AG77+AG91</f>
        <v>354.779338641046</v>
      </c>
      <c r="AH115" s="13" t="n">
        <f aca="false">AH21+AH35+AH49+AH63+AH77+AH91</f>
        <v>334.832890620648</v>
      </c>
      <c r="AI115" s="13" t="n">
        <f aca="false">AI21+AI35+AI49+AI63+AI77+AI91</f>
        <v>313.817672490997</v>
      </c>
      <c r="AJ115" s="13" t="n">
        <f aca="false">AJ21+AJ35+AJ49+AJ63+AJ77+AJ91</f>
        <v>292.318098111856</v>
      </c>
      <c r="AK115" s="13" t="n">
        <f aca="false">AK21+AK35+AK49+AK63+AK77+AK91</f>
        <v>269.75651286466</v>
      </c>
      <c r="AL115" s="13" t="n">
        <f aca="false">AL21+AL35+AL49+AL63+AL77+AL91</f>
        <v>246.690539863674</v>
      </c>
      <c r="AM115" s="13" t="n">
        <f aca="false">AM21+AM35+AM49+AM63+AM77+AM91</f>
        <v>222.572355830888</v>
      </c>
      <c r="AN115" s="13" t="n">
        <f aca="false">AN21+AN35+AN49+AN63+AN77+AN91</f>
        <v>197.400474371736</v>
      </c>
      <c r="AO115" s="13" t="n">
        <f aca="false">AO21+AO35+AO49+AO63+AO77+AO91</f>
        <v>171.044073220911</v>
      </c>
      <c r="AP115" s="13" t="n">
        <f aca="false">AP21+AP35+AP49+AP63+AP77+AP91</f>
        <v>145.874859081789</v>
      </c>
      <c r="AQ115" s="13" t="n">
        <f aca="false">AQ21+AQ35+AQ49+AQ63+AQ77+AQ91</f>
        <v>122.851961703253</v>
      </c>
      <c r="AR115" s="13" t="n">
        <f aca="false">AR21+AR35+AR49+AR63+AR77+AR91</f>
        <v>100.987805609576</v>
      </c>
      <c r="AS115" s="13" t="n">
        <f aca="false">AS21+AS35+AS49+AS63+AS77+AS91</f>
        <v>77.9801784814743</v>
      </c>
      <c r="AT115" s="13" t="n">
        <f aca="false">AT21+AT35+AT49+AT63+AT77+AT91</f>
        <v>54.4443709705674</v>
      </c>
      <c r="AU115" s="13" t="n">
        <f aca="false">AU21+AU35+AU49+AU63+AU77+AU91</f>
        <v>29.7825623912257</v>
      </c>
      <c r="AV115" s="13" t="n">
        <f aca="false">AV21+AV35+AV49+AV63+AV77+AV91</f>
        <v>6.46593889541691E-013</v>
      </c>
      <c r="AW115" s="13" t="n">
        <f aca="false">AW21+AW35+AW49+AW63+AW77+AW91</f>
        <v>6.46593889541691E-013</v>
      </c>
      <c r="AX115" s="13" t="n">
        <f aca="false">AX21+AX35+AX49+AX63+AX77+AX91</f>
        <v>6.46593889541691E-013</v>
      </c>
      <c r="AY115" s="13" t="n">
        <f aca="false">AY21+AY35+AY49+AY63+AY77+AY91</f>
        <v>6.46593889541691E-013</v>
      </c>
      <c r="AZ115" s="13" t="n">
        <f aca="false">AZ21+AZ35+AZ49+AZ63+AZ77+AZ91</f>
        <v>6.46593889541691E-013</v>
      </c>
      <c r="BA115" s="13" t="n">
        <f aca="false">BA21+BA35+BA49+BA63+BA77+BA91</f>
        <v>6.46593889541691E-013</v>
      </c>
      <c r="BB115" s="13" t="n">
        <f aca="false">BB21+BB35+BB49+BB63+BB77+BB91</f>
        <v>6.46593889541691E-013</v>
      </c>
      <c r="BC115" s="13" t="n">
        <f aca="false">BC21+BC35+BC49+BC63+BC77+BC91</f>
        <v>6.46593889541691E-013</v>
      </c>
      <c r="BD115" s="13" t="n">
        <f aca="false">BD21+BD35+BD49+BD63+BD77+BD91</f>
        <v>6.46593889541691E-013</v>
      </c>
      <c r="BE115" s="13" t="n">
        <f aca="false">BE21+BE35+BE49+BE63+BE77+BE91</f>
        <v>6.46593889541691E-013</v>
      </c>
      <c r="BF115" s="13" t="n">
        <f aca="false">BF21+BF35+BF49+BF63+BF77+BF91</f>
        <v>6.46593889541691E-013</v>
      </c>
      <c r="BG115" s="13" t="n">
        <f aca="false">BG21+BG35+BG49+BG63+BG77+BG91</f>
        <v>6.46593889541691E-013</v>
      </c>
      <c r="BH115" s="13" t="n">
        <f aca="false">BH21+BH35+BH49+BH63+BH77+BH91</f>
        <v>6.46593889541691E-013</v>
      </c>
      <c r="BI115" s="13" t="n">
        <f aca="false">BI21+BI35+BI49+BI63+BI77+BI91</f>
        <v>6.46593889541691E-013</v>
      </c>
      <c r="BJ115" s="13" t="n">
        <f aca="false">BJ21+BJ35+BJ49+BJ63+BJ77+BJ91</f>
        <v>6.46593889541691E-013</v>
      </c>
      <c r="BK115" s="13" t="n">
        <f aca="false">BK21+BK35+BK49+BK63+BK77+BK91</f>
        <v>6.46593889541691E-013</v>
      </c>
      <c r="BL115" s="13" t="n">
        <f aca="false">BL21+BL35+BL49+BL63+BL77+BL91</f>
        <v>6.46593889541691E-013</v>
      </c>
      <c r="BM115" s="13" t="n">
        <f aca="false">BM21+BM35+BM49+BM63+BM77+BM91</f>
        <v>6.46593889541691E-013</v>
      </c>
      <c r="BN115" s="13" t="n">
        <f aca="false">BN21+BN35+BN49+BN63+BN77+BN91</f>
        <v>6.46593889541691E-013</v>
      </c>
    </row>
    <row r="116" customFormat="false" ht="15" hidden="false" customHeight="false" outlineLevel="0" collapsed="false">
      <c r="D116" s="0" t="s">
        <v>795</v>
      </c>
      <c r="E116" s="0" t="s">
        <v>149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0</v>
      </c>
      <c r="P116" s="13" t="n">
        <f aca="false">P33+P47+P61+P75+P89+P95</f>
        <v>643.248042045247</v>
      </c>
      <c r="Q116" s="13" t="n">
        <f aca="false">Q33+Q47+Q61+Q75+Q89+Q95</f>
        <v>608.732518216193</v>
      </c>
      <c r="R116" s="13" t="n">
        <f aca="false">R33+R47+R61+R75+R89+R95</f>
        <v>592.09729603356</v>
      </c>
      <c r="S116" s="13" t="n">
        <f aca="false">S33+S47+S61+S75+S89+S95</f>
        <v>574.869344815621</v>
      </c>
      <c r="T116" s="13" t="n">
        <f aca="false">T33+T47+T61+T75+T89+T95</f>
        <v>567.655479488861</v>
      </c>
      <c r="U116" s="13" t="n">
        <f aca="false">U33+U47+U61+U75+U89+U95</f>
        <v>546.409653713351</v>
      </c>
      <c r="V116" s="13" t="n">
        <f aca="false">V33+V47+V61+V75+V89+V95</f>
        <v>524.314701331091</v>
      </c>
      <c r="W116" s="13" t="n">
        <f aca="false">W33+W47+W61+W75+W89+W95</f>
        <v>502.318126299493</v>
      </c>
      <c r="X116" s="13" t="n">
        <f aca="false">X33+X47+X61+X75+X89+X95</f>
        <v>487.251648151691</v>
      </c>
      <c r="Y116" s="13" t="n">
        <f aca="false">Y33+Y47+Y61+Y75+Y89+Y95</f>
        <v>473.111809038282</v>
      </c>
      <c r="Z116" s="13" t="n">
        <f aca="false">Z33+Z47+Z61+Z75+Z89+Z95</f>
        <v>458.123533777787</v>
      </c>
      <c r="AA116" s="13" t="n">
        <f aca="false">AA33+AA47+AA61+AA75+AA89+AA95</f>
        <v>442.9259867164</v>
      </c>
      <c r="AB116" s="13" t="n">
        <f aca="false">AB33+AB47+AB61+AB75+AB89+AB95</f>
        <v>426.87454508725</v>
      </c>
      <c r="AC116" s="13" t="n">
        <f aca="false">AC33+AC47+AC61+AC75+AC89+AC95</f>
        <v>410.491872414927</v>
      </c>
      <c r="AD116" s="13" t="n">
        <f aca="false">AD33+AD47+AD61+AD75+AD89+AD95</f>
        <v>393.276284471793</v>
      </c>
      <c r="AE116" s="13" t="n">
        <f aca="false">AE33+AE47+AE61+AE75+AE89+AE95</f>
        <v>374.569007261441</v>
      </c>
      <c r="AF116" s="13" t="n">
        <f aca="false">AF33+AF47+AF61+AF75+AF89+AF95</f>
        <v>354.779338641046</v>
      </c>
      <c r="AG116" s="13" t="n">
        <f aca="false">AG33+AG47+AG61+AG75+AG89+AG95</f>
        <v>334.832890620648</v>
      </c>
      <c r="AH116" s="13" t="n">
        <f aca="false">AH33+AH47+AH61+AH75+AH89+AH95</f>
        <v>313.817672490997</v>
      </c>
      <c r="AI116" s="13" t="n">
        <f aca="false">AI33+AI47+AI61+AI75+AI89+AI95</f>
        <v>292.318098111856</v>
      </c>
      <c r="AJ116" s="13" t="n">
        <f aca="false">AJ33+AJ47+AJ61+AJ75+AJ89+AJ95</f>
        <v>269.75651286466</v>
      </c>
      <c r="AK116" s="13" t="n">
        <f aca="false">AK33+AK47+AK61+AK75+AK89+AK95</f>
        <v>246.690539863674</v>
      </c>
      <c r="AL116" s="13" t="n">
        <f aca="false">AL33+AL47+AL61+AL75+AL89+AL95</f>
        <v>222.572355830888</v>
      </c>
      <c r="AM116" s="13" t="n">
        <f aca="false">AM33+AM47+AM61+AM75+AM89+AM95</f>
        <v>197.400474371736</v>
      </c>
      <c r="AN116" s="13" t="n">
        <f aca="false">AN33+AN47+AN61+AN75+AN89+AN95</f>
        <v>171.044073220911</v>
      </c>
      <c r="AO116" s="13" t="n">
        <f aca="false">AO33+AO47+AO61+AO75+AO89+AO95</f>
        <v>145.874859081789</v>
      </c>
      <c r="AP116" s="13" t="n">
        <f aca="false">AP33+AP47+AP61+AP75+AP89+AP95</f>
        <v>122.851961703253</v>
      </c>
      <c r="AQ116" s="13" t="n">
        <f aca="false">AQ33+AQ47+AQ61+AQ75+AQ89+AQ95</f>
        <v>100.987805609576</v>
      </c>
      <c r="AR116" s="13" t="n">
        <f aca="false">AR33+AR47+AR61+AR75+AR89+AR95</f>
        <v>77.9801784814743</v>
      </c>
      <c r="AS116" s="13" t="n">
        <f aca="false">AS33+AS47+AS61+AS75+AS89+AS95</f>
        <v>54.4443709705674</v>
      </c>
      <c r="AT116" s="13" t="n">
        <f aca="false">AT33+AT47+AT61+AT75+AT89+AT95</f>
        <v>29.7825623912257</v>
      </c>
      <c r="AU116" s="13" t="n">
        <f aca="false">AU33+AU47+AU61+AU75+AU89+AU95</f>
        <v>6.46593889541691E-013</v>
      </c>
      <c r="AV116" s="13" t="n">
        <f aca="false">AV33+AV47+AV61+AV75+AV89+AV95</f>
        <v>6.46593889541691E-013</v>
      </c>
      <c r="AW116" s="13" t="n">
        <f aca="false">AW33+AW47+AW61+AW75+AW89+AW95</f>
        <v>6.46593889541691E-013</v>
      </c>
      <c r="AX116" s="13" t="n">
        <f aca="false">AX33+AX47+AX61+AX75+AX89+AX95</f>
        <v>6.46593889541691E-013</v>
      </c>
      <c r="AY116" s="13" t="n">
        <f aca="false">AY33+AY47+AY61+AY75+AY89+AY95</f>
        <v>6.46593889541691E-013</v>
      </c>
      <c r="AZ116" s="13" t="n">
        <f aca="false">AZ33+AZ47+AZ61+AZ75+AZ89+AZ95</f>
        <v>6.46593889541691E-013</v>
      </c>
      <c r="BA116" s="13" t="n">
        <f aca="false">BA33+BA47+BA61+BA75+BA89+BA95</f>
        <v>6.46593889541691E-013</v>
      </c>
      <c r="BB116" s="13" t="n">
        <f aca="false">BB33+BB47+BB61+BB75+BB89+BB95</f>
        <v>6.46593889541691E-013</v>
      </c>
      <c r="BC116" s="13" t="n">
        <f aca="false">BC33+BC47+BC61+BC75+BC89+BC95</f>
        <v>6.46593889541691E-013</v>
      </c>
      <c r="BD116" s="13" t="n">
        <f aca="false">BD33+BD47+BD61+BD75+BD89+BD95</f>
        <v>6.46593889541691E-013</v>
      </c>
      <c r="BE116" s="13" t="n">
        <f aca="false">BE33+BE47+BE61+BE75+BE89+BE95</f>
        <v>6.46593889541691E-013</v>
      </c>
      <c r="BF116" s="13" t="n">
        <f aca="false">BF33+BF47+BF61+BF75+BF89+BF95</f>
        <v>6.46593889541691E-013</v>
      </c>
      <c r="BG116" s="13" t="n">
        <f aca="false">BG33+BG47+BG61+BG75+BG89+BG95</f>
        <v>6.46593889541691E-013</v>
      </c>
      <c r="BH116" s="13" t="n">
        <f aca="false">BH33+BH47+BH61+BH75+BH89+BH95</f>
        <v>6.46593889541691E-013</v>
      </c>
      <c r="BI116" s="13" t="n">
        <f aca="false">BI33+BI47+BI61+BI75+BI89+BI95</f>
        <v>6.46593889541691E-013</v>
      </c>
      <c r="BJ116" s="13" t="n">
        <f aca="false">BJ33+BJ47+BJ61+BJ75+BJ89+BJ95</f>
        <v>6.46593889541691E-013</v>
      </c>
      <c r="BK116" s="13" t="n">
        <f aca="false">BK33+BK47+BK61+BK75+BK89+BK95</f>
        <v>6.46593889541691E-013</v>
      </c>
      <c r="BL116" s="13" t="n">
        <f aca="false">BL33+BL47+BL61+BL75+BL89+BL95</f>
        <v>6.46593889541691E-013</v>
      </c>
      <c r="BM116" s="13" t="n">
        <f aca="false">BM33+BM47+BM61+BM75+BM89+BM95</f>
        <v>6.46593889541691E-013</v>
      </c>
      <c r="BN116" s="13" t="n">
        <f aca="false">BN33+BN47+BN61+BN75+BN89+BN95</f>
        <v>6.46593889541691E-013</v>
      </c>
    </row>
    <row r="117" customFormat="false" ht="15" hidden="false" customHeight="false" outlineLevel="0" collapsed="false">
      <c r="B117" s="2" t="s">
        <v>796</v>
      </c>
    </row>
    <row r="118" customFormat="false" ht="15" hidden="false" customHeight="false" outlineLevel="0" collapsed="false">
      <c r="D118" s="0" t="s">
        <v>797</v>
      </c>
      <c r="E118" s="0" t="s">
        <v>149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0</v>
      </c>
      <c r="P118" s="13" t="n">
        <f aca="false">IF(Time!P34=1,P75,P73)</f>
        <v>240.637270706254</v>
      </c>
      <c r="Q118" s="13" t="n">
        <f aca="false">IF(Time!Q34=1,Q75,Q73)</f>
        <v>227.725110997518</v>
      </c>
      <c r="R118" s="13" t="n">
        <f aca="false">IF(Time!R34=1,R75,R73)</f>
        <v>221.501921493679</v>
      </c>
      <c r="S118" s="13" t="n">
        <f aca="false">IF(Time!S34=1,S75,S73)</f>
        <v>215.056993736473</v>
      </c>
      <c r="T118" s="13" t="n">
        <f aca="false">IF(Time!T34=1,T75,T73)</f>
        <v>212.358307149019</v>
      </c>
      <c r="U118" s="13" t="n">
        <f aca="false">IF(Time!U34=1,U75,U73)</f>
        <v>204.410303899349</v>
      </c>
      <c r="V118" s="13" t="n">
        <f aca="false">IF(Time!V34=1,V75,V73)</f>
        <v>196.144644791011</v>
      </c>
      <c r="W118" s="13" t="n">
        <f aca="false">IF(Time!W34=1,W75,W73)</f>
        <v>0</v>
      </c>
      <c r="X118" s="13" t="n">
        <f aca="false">IF(Time!X34=1,X75,X73)</f>
        <v>0</v>
      </c>
      <c r="Y118" s="13" t="n">
        <f aca="false">IF(Time!Y34=1,Y75,Y73)</f>
        <v>0</v>
      </c>
      <c r="Z118" s="13" t="n">
        <f aca="false">IF(Time!Z34=1,Z75,Z73)</f>
        <v>0</v>
      </c>
      <c r="AA118" s="13" t="n">
        <f aca="false">IF(Time!AA34=1,AA75,AA73)</f>
        <v>0</v>
      </c>
      <c r="AB118" s="13" t="n">
        <f aca="false">IF(Time!AB34=1,AB75,AB73)</f>
        <v>0</v>
      </c>
      <c r="AC118" s="13" t="n">
        <f aca="false">IF(Time!AC34=1,AC75,AC73)</f>
        <v>0</v>
      </c>
      <c r="AD118" s="13" t="n">
        <f aca="false">IF(Time!AD34=1,AD75,AD73)</f>
        <v>0</v>
      </c>
      <c r="AE118" s="13" t="n">
        <f aca="false">IF(Time!AE34=1,AE75,AE73)</f>
        <v>0</v>
      </c>
      <c r="AF118" s="13" t="n">
        <f aca="false">IF(Time!AF34=1,AF75,AF73)</f>
        <v>0</v>
      </c>
      <c r="AG118" s="13" t="n">
        <f aca="false">IF(Time!AG34=1,AG75,AG73)</f>
        <v>0</v>
      </c>
      <c r="AH118" s="13" t="n">
        <f aca="false">IF(Time!AH34=1,AH75,AH73)</f>
        <v>0</v>
      </c>
      <c r="AI118" s="13" t="n">
        <f aca="false">IF(Time!AI34=1,AI75,AI73)</f>
        <v>0</v>
      </c>
      <c r="AJ118" s="13" t="n">
        <f aca="false">IF(Time!AJ34=1,AJ75,AJ73)</f>
        <v>0</v>
      </c>
      <c r="AK118" s="13" t="n">
        <f aca="false">IF(Time!AK34=1,AK75,AK73)</f>
        <v>0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798</v>
      </c>
      <c r="E119" s="0" t="s">
        <v>149</v>
      </c>
      <c r="J119" s="13" t="n">
        <f aca="false">IF(AND(Time!J20&gt;=Time!$F$12,Time!K20&gt;0),(IF(Time!J34=1,J33,J31)-J30)*K19+IF(Time!K46&gt;0,Time!K45*J30/Time!K46,0)+IF(Time!J34=1,J33,J31)*K10,0)</f>
        <v>0</v>
      </c>
      <c r="K119" s="13" t="n">
        <f aca="false">IF(AND(Time!K20&gt;=Time!$F$12,Time!L20&gt;0),(IF(Time!K34=1,K33,K31)-K30)*L19+IF(Time!L46&gt;0,Time!L45*K30/Time!L46,0)+IF(Time!K34=1,K33,K31)*L10,0)</f>
        <v>0</v>
      </c>
      <c r="L119" s="13" t="n">
        <f aca="false">IF(AND(Time!L20&gt;=Time!$F$12,Time!M20&gt;0),(IF(Time!L34=1,L33,L31)-L30)*M19+IF(Time!M46&gt;0,Time!M45*L30/Time!M46,0)+IF(Time!L34=1,L33,L31)*M10,0)</f>
        <v>0</v>
      </c>
      <c r="M119" s="13" t="n">
        <f aca="false">IF(AND(Time!M20&gt;=Time!$F$12,Time!N20&gt;0),(IF(Time!M34=1,M33,M31)-M30)*N19+IF(Time!N46&gt;0,Time!N45*M30/Time!N46,0)+IF(Time!M34=1,M33,M31)*N10,0)</f>
        <v>0</v>
      </c>
      <c r="N119" s="13" t="n">
        <f aca="false">IF(AND(Time!N20&gt;=Time!$F$12,Time!O20&gt;0),(IF(Time!N34=1,N33,N31)-N30)*O19+IF(Time!O46&gt;0,Time!O45*N30/Time!O46,0)+IF(Time!N34=1,N33,N31)*O10,0)</f>
        <v>0</v>
      </c>
      <c r="O119" s="13" t="n">
        <f aca="false">IF(AND(Time!O20&gt;=Time!$F$12,Time!P20&gt;0),(IF(Time!O34=1,O33,O31)-O30)*P19+IF(Time!P46&gt;0,Time!P45*O30/Time!P46,0)+IF(Time!O34=1,O33,O31)*P10,0)</f>
        <v>0</v>
      </c>
      <c r="P119" s="13" t="n">
        <f aca="false">IF(AND(Time!P20&gt;=Time!$F$12,Time!Q20&gt;0),(IF(Time!P34=1,P33,P31)-P30)*Q19+IF(Time!Q46&gt;0,Time!Q45*P30/Time!Q46,0)+IF(Time!P34=1,P33,P31)*Q10,0)</f>
        <v>6.34867506542487</v>
      </c>
      <c r="Q119" s="13" t="n">
        <f aca="false">IF(AND(Time!Q20&gt;=Time!$F$12,Time!R20&gt;0),(IF(Time!Q34=1,Q33,Q31)-Q30)*R19+IF(Time!R46&gt;0,Time!R45*Q30/Time!R46,0)+IF(Time!Q34=1,Q33,Q31)*R10,0)</f>
        <v>8.8550858718247</v>
      </c>
      <c r="R119" s="13" t="n">
        <f aca="false">IF(AND(Time!R20&gt;=Time!$F$12,Time!S20&gt;0),(IF(Time!R34=1,R33,R31)-R30)*S19+IF(Time!S46&gt;0,Time!S45*R30/Time!S46,0)+IF(Time!R34=1,R33,R31)*S10,0)</f>
        <v>10.92450677132</v>
      </c>
      <c r="S119" s="13" t="n">
        <f aca="false">IF(AND(Time!S20&gt;=Time!$F$12,Time!T20&gt;0),(IF(Time!S34=1,S33,S31)-S30)*T19+IF(Time!T46&gt;0,Time!T45*S30/Time!T46,0)+IF(Time!S34=1,S33,S31)*T10,0)</f>
        <v>12.050092396755</v>
      </c>
      <c r="T119" s="13" t="n">
        <f aca="false">IF(AND(Time!T20&gt;=Time!$F$12,Time!U20&gt;0),(IF(Time!T34=1,T33,T31)-T30)*U19+IF(Time!U46&gt;0,Time!U45*T30/Time!U46,0)+IF(Time!T34=1,T33,T31)*U10,0)</f>
        <v>12.5791886820996</v>
      </c>
      <c r="U119" s="13" t="n">
        <f aca="false">IF(AND(Time!U20&gt;=Time!$F$12,Time!V20&gt;0),(IF(Time!U34=1,U33,U31)-U30)*V19+IF(Time!V46&gt;0,Time!V45*U30/Time!V46,0)+IF(Time!U34=1,U33,U31)*V10,0)</f>
        <v>12.7101864754026</v>
      </c>
      <c r="V119" s="13" t="n">
        <f aca="false">IF(AND(Time!V20&gt;=Time!$F$12,Time!W20&gt;0),(IF(Time!V34=1,V33,V31)-V30)*W19+IF(Time!W46&gt;0,Time!W45*V30/Time!W46,0)+IF(Time!V34=1,V33,V31)*W10,0)</f>
        <v>11.5356618122396</v>
      </c>
      <c r="W119" s="13" t="n">
        <f aca="false">IF(AND(Time!W20&gt;=Time!$F$12,Time!X20&gt;0),(IF(Time!W34=1,W33,W31)-W30)*X19+IF(Time!X46&gt;0,Time!X45*W30/Time!X46,0)+IF(Time!W34=1,W33,W31)*X10,0)</f>
        <v>11.6191400881422</v>
      </c>
      <c r="X119" s="13" t="n">
        <f aca="false">IF(AND(Time!X20&gt;=Time!$F$12,Time!Y20&gt;0),(IF(Time!X34=1,X33,X31)-X30)*Y19+IF(Time!Y46&gt;0,Time!Y45*X30/Time!Y46,0)+IF(Time!X34=1,X33,X31)*Y10,0)</f>
        <v>9.69699970246461</v>
      </c>
      <c r="Y119" s="13" t="n">
        <f aca="false">IF(AND(Time!Y20&gt;=Time!$F$12,Time!Z20&gt;0),(IF(Time!Y34=1,Y33,Y31)-Y30)*Z19+IF(Time!Z46&gt;0,Time!Z45*Y30/Time!Z46,0)+IF(Time!Y34=1,Y33,Y31)*Z10,0)</f>
        <v>9.84691413077327</v>
      </c>
      <c r="Z119" s="13" t="n">
        <f aca="false">IF(AND(Time!Z20&gt;=Time!$F$12,Time!AA20&gt;0),(IF(Time!Z34=1,Z33,Z31)-Z30)*AA19+IF(Time!AA46&gt;0,Time!AA45*Z30/Time!AA46,0)+IF(Time!Z34=1,Z33,Z31)*AA10,0)</f>
        <v>9.66531804824861</v>
      </c>
      <c r="AA119" s="13" t="n">
        <f aca="false">IF(AND(Time!AA20&gt;=Time!$F$12,Time!AB20&gt;0),(IF(Time!AA34=1,AA33,AA31)-AA30)*AB19+IF(Time!AB46&gt;0,Time!AB45*AA30/Time!AB46,0)+IF(Time!AA34=1,AA33,AA31)*AB10,0)</f>
        <v>9.85919567620293</v>
      </c>
      <c r="AB119" s="13" t="n">
        <f aca="false">IF(AND(Time!AB20&gt;=Time!$F$12,Time!AC20&gt;0),(IF(Time!AB34=1,AB33,AB31)-AB30)*AC19+IF(Time!AC46&gt;0,Time!AC45*AB30/Time!AC46,0)+IF(Time!AB34=1,AB33,AB31)*AC10,0)</f>
        <v>9.86608603158699</v>
      </c>
      <c r="AC119" s="13" t="n">
        <f aca="false">IF(AND(Time!AC20&gt;=Time!$F$12,Time!AD20&gt;0),(IF(Time!AC34=1,AC33,AC31)-AC30)*AD19+IF(Time!AD46&gt;0,Time!AD45*AC30/Time!AD46,0)+IF(Time!AC34=1,AC33,AC31)*AD10,0)</f>
        <v>10.0397487197933</v>
      </c>
      <c r="AD119" s="13" t="n">
        <f aca="false">IF(AND(Time!AD20&gt;=Time!$F$12,Time!AE20&gt;0),(IF(Time!AD34=1,AD33,AD31)-AD30)*AE19+IF(Time!AE46&gt;0,Time!AE45*AD30/Time!AE46,0)+IF(Time!AD34=1,AD33,AD31)*AE10,0)</f>
        <v>10.3778903280029</v>
      </c>
      <c r="AE119" s="13" t="n">
        <f aca="false">IF(AND(Time!AE20&gt;=Time!$F$12,Time!AF20&gt;0),(IF(Time!AE34=1,AE33,AE31)-AE30)*AF19+IF(Time!AF46&gt;0,Time!AF45*AE30/Time!AF46,0)+IF(Time!AE34=1,AE33,AE31)*AF10,0)</f>
        <v>10.6286154519786</v>
      </c>
      <c r="AF119" s="13" t="n">
        <f aca="false">IF(AND(Time!AF20&gt;=Time!$F$12,Time!AG20&gt;0),(IF(Time!AF34=1,AF33,AF31)-AF30)*AG19+IF(Time!AG46&gt;0,Time!AG45*AF30/Time!AG46,0)+IF(Time!AF34=1,AF33,AF31)*AG10,0)</f>
        <v>10.431099420165</v>
      </c>
      <c r="AG119" s="13" t="n">
        <f aca="false">IF(AND(Time!AG20&gt;=Time!$F$12,Time!AH20&gt;0),(IF(Time!AG34=1,AG33,AG31)-AG30)*AH19+IF(Time!AH46&gt;0,Time!AH45*AG30/Time!AH46,0)+IF(Time!AG34=1,AG33,AG31)*AH10,0)</f>
        <v>10.6701827324244</v>
      </c>
      <c r="AH119" s="13" t="n">
        <f aca="false">IF(AND(Time!AH20&gt;=Time!$F$12,Time!AI20&gt;0),(IF(Time!AH34=1,AH33,AH31)-AH30)*AI19+IF(Time!AI46&gt;0,Time!AI45*AH30/Time!AI46,0)+IF(Time!AH34=1,AH33,AH31)*AI10,0)</f>
        <v>10.6762385549198</v>
      </c>
      <c r="AI119" s="13" t="n">
        <f aca="false">IF(AND(Time!AI20&gt;=Time!$F$12,Time!AJ20&gt;0),(IF(Time!AI34=1,AI33,AI31)-AI30)*AJ19+IF(Time!AJ46&gt;0,Time!AJ45*AI30/Time!AJ46,0)+IF(Time!AI34=1,AI33,AI31)*AJ10,0)</f>
        <v>10.9015532941169</v>
      </c>
      <c r="AJ119" s="13" t="n">
        <f aca="false">IF(AND(Time!AJ20&gt;=Time!$F$12,Time!AK20&gt;0),(IF(Time!AJ34=1,AJ33,AJ31)-AJ30)*AK19+IF(Time!AK46&gt;0,Time!AK45*AJ30/Time!AK46,0)+IF(Time!AJ34=1,AJ33,AJ31)*AK10,0)</f>
        <v>10.9112253151862</v>
      </c>
      <c r="AK119" s="13" t="n">
        <f aca="false">IF(AND(Time!AK20&gt;=Time!$F$12,Time!AL20&gt;0),(IF(Time!AK34=1,AK33,AK31)-AK30)*AL19+IF(Time!AL46&gt;0,Time!AL45*AK30/Time!AL46,0)+IF(Time!AK34=1,AK33,AK31)*AL10,0)</f>
        <v>11.117060998431</v>
      </c>
      <c r="AL119" s="13" t="n">
        <f aca="false">IF(AND(Time!AL20&gt;=Time!$F$12,Time!AM20&gt;0),(IF(Time!AL34=1,AL33,AL31)-AL30)*AM19+IF(Time!AM46&gt;0,Time!AM45*AL30/Time!AM46,0)+IF(Time!AL34=1,AL33,AL31)*AM10,0)</f>
        <v>11.2988930089628</v>
      </c>
      <c r="AM119" s="13" t="n">
        <f aca="false">IF(AND(Time!AM20&gt;=Time!$F$12,Time!AN20&gt;0),(IF(Time!AM34=1,AM33,AM31)-AM30)*AN19+IF(Time!AN46&gt;0,Time!AN45*AM30/Time!AN46,0)+IF(Time!AM34=1,AM33,AM31)*AN10,0)</f>
        <v>11.536283055954</v>
      </c>
      <c r="AN119" s="13" t="n">
        <f aca="false">IF(AND(Time!AN20&gt;=Time!$F$12,Time!AO20&gt;0),(IF(Time!AN34=1,AN33,AN31)-AN30)*AO19+IF(Time!AO46&gt;0,Time!AO45*AN30/Time!AO46,0)+IF(Time!AN34=1,AN33,AN31)*AO10,0)</f>
        <v>10.9806732439695</v>
      </c>
      <c r="AO119" s="13" t="n">
        <f aca="false">IF(AND(Time!AO20&gt;=Time!$F$12,Time!AP20&gt;0),(IF(Time!AO34=1,AO33,AO31)-AO30)*AP19+IF(Time!AP46&gt;0,Time!AP45*AO30/Time!AP46,0)+IF(Time!AO34=1,AO33,AO31)*AP10,0)</f>
        <v>0</v>
      </c>
      <c r="AP119" s="13" t="n">
        <f aca="false">IF(AND(Time!AP20&gt;=Time!$F$12,Time!AQ20&gt;0),(IF(Time!AP34=1,AP33,AP31)-AP30)*AQ19+IF(Time!AQ46&gt;0,Time!AQ45*AP30/Time!AQ46,0)+IF(Time!AP34=1,AP33,AP31)*AQ10,0)</f>
        <v>0</v>
      </c>
      <c r="AQ119" s="13" t="n">
        <f aca="false">IF(AND(Time!AQ20&gt;=Time!$F$12,Time!AR20&gt;0),(IF(Time!AQ34=1,AQ33,AQ31)-AQ30)*AR19+IF(Time!AR46&gt;0,Time!AR45*AQ30/Time!AR46,0)+IF(Time!AQ34=1,AQ33,AQ31)*AR10,0)</f>
        <v>0</v>
      </c>
      <c r="AR119" s="13" t="n">
        <f aca="false">IF(AND(Time!AR20&gt;=Time!$F$12,Time!AS20&gt;0),(IF(Time!AR34=1,AR33,AR31)-AR30)*AS19+IF(Time!AS46&gt;0,Time!AS45*AR30/Time!AS46,0)+IF(Time!AR34=1,AR33,AR31)*AS10,0)</f>
        <v>0</v>
      </c>
      <c r="AS119" s="13" t="n">
        <f aca="false">IF(AND(Time!AS20&gt;=Time!$F$12,Time!AT20&gt;0),(IF(Time!AS34=1,AS33,AS31)-AS30)*AT19+IF(Time!AT46&gt;0,Time!AT45*AS30/Time!AT46,0)+IF(Time!AS34=1,AS33,AS31)*AT10,0)</f>
        <v>0</v>
      </c>
      <c r="AT119" s="13" t="n">
        <f aca="false">IF(AND(Time!AT20&gt;=Time!$F$12,Time!AU20&gt;0),(IF(Time!AT34=1,AT33,AT31)-AT30)*AU19+IF(Time!AU46&gt;0,Time!AU45*AT30/Time!AU46,0)+IF(Time!AT34=1,AT33,AT31)*AU10,0)</f>
        <v>0</v>
      </c>
      <c r="AU119" s="13" t="n">
        <f aca="false">IF(AND(Time!AU20&gt;=Time!$F$12,Time!AV20&gt;0),(IF(Time!AU34=1,AU33,AU31)-AU30)*AV19+IF(Time!AV46&gt;0,Time!AV45*AU30/Time!AV46,0)+IF(Time!AU34=1,AU33,AU31)*AV10,0)</f>
        <v>0</v>
      </c>
      <c r="AV119" s="13" t="n">
        <f aca="false">IF(AND(Time!AV20&gt;=Time!$F$12,Time!AW20&gt;0),(IF(Time!AV34=1,AV33,AV31)-AV30)*AW19+IF(Time!AW46&gt;0,Time!AW45*AV30/Time!AW46,0)+IF(Time!AV34=1,AV33,AV31)*AW10,0)</f>
        <v>0</v>
      </c>
      <c r="AW119" s="13" t="n">
        <f aca="false">IF(AND(Time!AW20&gt;=Time!$F$12,Time!AX20&gt;0),(IF(Time!AW34=1,AW33,AW31)-AW30)*AX19+IF(Time!AX46&gt;0,Time!AX45*AW30/Time!AX46,0)+IF(Time!AW34=1,AW33,AW31)*AX10,0)</f>
        <v>0</v>
      </c>
      <c r="AX119" s="13" t="n">
        <f aca="false">IF(AND(Time!AX20&gt;=Time!$F$12,Time!AY20&gt;0),(IF(Time!AX34=1,AX33,AX31)-AX30)*AY19+IF(Time!AY46&gt;0,Time!AY45*AX30/Time!AY46,0)+IF(Time!AX34=1,AX33,AX31)*AY10,0)</f>
        <v>0</v>
      </c>
      <c r="AY119" s="13" t="n">
        <f aca="false">IF(AND(Time!AY20&gt;=Time!$F$12,Time!AZ20&gt;0),(IF(Time!AY34=1,AY33,AY31)-AY30)*AZ19+IF(Time!AZ46&gt;0,Time!AZ45*AY30/Time!AZ46,0)+IF(Time!AY34=1,AY33,AY31)*AZ10,0)</f>
        <v>0</v>
      </c>
      <c r="AZ119" s="13" t="n">
        <f aca="false">IF(AND(Time!AZ20&gt;=Time!$F$12,Time!BA20&gt;0),(IF(Time!AZ34=1,AZ33,AZ31)-AZ30)*BA19+IF(Time!BA46&gt;0,Time!BA45*AZ30/Time!BA46,0)+IF(Time!AZ34=1,AZ33,AZ31)*BA10,0)</f>
        <v>0</v>
      </c>
      <c r="BA119" s="13" t="n">
        <f aca="false">IF(AND(Time!BA20&gt;=Time!$F$12,Time!BB20&gt;0),(IF(Time!BA34=1,BA33,BA31)-BA30)*BB19+IF(Time!BB46&gt;0,Time!BB45*BA30/Time!BB46,0)+IF(Time!BA34=1,BA33,BA31)*BB10,0)</f>
        <v>0</v>
      </c>
      <c r="BB119" s="13" t="n">
        <f aca="false">IF(AND(Time!BB20&gt;=Time!$F$12,Time!BC20&gt;0),(IF(Time!BB34=1,BB33,BB31)-BB30)*BC19+IF(Time!BC46&gt;0,Time!BC45*BB30/Time!BC46,0)+IF(Time!BB34=1,BB33,BB31)*BC10,0)</f>
        <v>0</v>
      </c>
      <c r="BC119" s="13" t="n">
        <f aca="false">IF(AND(Time!BC20&gt;=Time!$F$12,Time!BD20&gt;0),(IF(Time!BC34=1,BC33,BC31)-BC30)*BD19+IF(Time!BD46&gt;0,Time!BD45*BC30/Time!BD46,0)+IF(Time!BC34=1,BC33,BC31)*BD10,0)</f>
        <v>0</v>
      </c>
      <c r="BD119" s="13" t="n">
        <f aca="false">IF(AND(Time!BD20&gt;=Time!$F$12,Time!BE20&gt;0),(IF(Time!BD34=1,BD33,BD31)-BD30)*BE19+IF(Time!BE46&gt;0,Time!BE45*BD30/Time!BE46,0)+IF(Time!BD34=1,BD33,BD31)*BE10,0)</f>
        <v>0</v>
      </c>
      <c r="BE119" s="13" t="n">
        <f aca="false">IF(AND(Time!BE20&gt;=Time!$F$12,Time!BF20&gt;0),(IF(Time!BE34=1,BE33,BE31)-BE30)*BF19+IF(Time!BF46&gt;0,Time!BF45*BE30/Time!BF46,0)+IF(Time!BE34=1,BE33,BE31)*BF10,0)</f>
        <v>0</v>
      </c>
      <c r="BF119" s="13" t="n">
        <f aca="false">IF(AND(Time!BF20&gt;=Time!$F$12,Time!BG20&gt;0),(IF(Time!BF34=1,BF33,BF31)-BF30)*BG19+IF(Time!BG46&gt;0,Time!BG45*BF30/Time!BG46,0)+IF(Time!BF34=1,BF33,BF31)*BG10,0)</f>
        <v>0</v>
      </c>
      <c r="BG119" s="13" t="n">
        <f aca="false">IF(AND(Time!BG20&gt;=Time!$F$12,Time!BH20&gt;0),(IF(Time!BG34=1,BG33,BG31)-BG30)*BH19+IF(Time!BH46&gt;0,Time!BH45*BG30/Time!BH46,0)+IF(Time!BG34=1,BG33,BG31)*BH10,0)</f>
        <v>0</v>
      </c>
      <c r="BH119" s="13" t="n">
        <f aca="false">IF(AND(Time!BH20&gt;=Time!$F$12,Time!BI20&gt;0),(IF(Time!BH34=1,BH33,BH31)-BH30)*BI19+IF(Time!BI46&gt;0,Time!BI45*BH30/Time!BI46,0)+IF(Time!BH34=1,BH33,BH31)*BI10,0)</f>
        <v>0</v>
      </c>
      <c r="BI119" s="13" t="n">
        <f aca="false">IF(AND(Time!BI20&gt;=Time!$F$12,Time!BJ20&gt;0),(IF(Time!BI34=1,BI33,BI31)-BI30)*BJ19+IF(Time!BJ46&gt;0,Time!BJ45*BI30/Time!BJ46,0)+IF(Time!BI34=1,BI33,BI31)*BJ10,0)</f>
        <v>0</v>
      </c>
      <c r="BJ119" s="13" t="n">
        <f aca="false">IF(AND(Time!BJ20&gt;=Time!$F$12,Time!BK20&gt;0),(IF(Time!BJ34=1,BJ33,BJ31)-BJ30)*BK19+IF(Time!BK46&gt;0,Time!BK45*BJ30/Time!BK46,0)+IF(Time!BJ34=1,BJ33,BJ31)*BK10,0)</f>
        <v>0</v>
      </c>
      <c r="BK119" s="13" t="n">
        <f aca="false">IF(AND(Time!BK20&gt;=Time!$F$12,Time!BL20&gt;0),(IF(Time!BK34=1,BK33,BK31)-BK30)*BL19+IF(Time!BL46&gt;0,Time!BL45*BK30/Time!BL46,0)+IF(Time!BK34=1,BK33,BK31)*BL10,0)</f>
        <v>0</v>
      </c>
      <c r="BL119" s="13" t="n">
        <f aca="false">IF(AND(Time!BL20&gt;=Time!$F$12,Time!BM20&gt;0),(IF(Time!BL34=1,BL33,BL31)-BL30)*BM19+IF(Time!BM46&gt;0,Time!BM45*BL30/Time!BM46,0)+IF(Time!BL34=1,BL33,BL31)*BM10,0)</f>
        <v>0</v>
      </c>
      <c r="BM119" s="13" t="n">
        <f aca="false">IF(AND(Time!BM20&gt;=Time!$F$12,Time!BN20&gt;0),(IF(Time!BM34=1,BM33,BM31)-BM30)*BN19+IF(Time!BN46&gt;0,Time!BN45*BM30/Time!BN46,0)+IF(Time!BM34=1,BM33,BM31)*BN10,0)</f>
        <v>0</v>
      </c>
      <c r="BN119" s="13" t="n">
        <f aca="false">IF(AND(Time!BN20&gt;=Time!$F$12,Time!BO20&gt;0),(IF(Time!BN34=1,BN33,BN31)-BN30)*BO19+IF(Time!BO46&gt;0,Time!BO45*BN30/Time!BO46,0)+IF(Time!BN34=1,BN33,BN31)*BO10,0)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799</v>
      </c>
      <c r="E120" s="0" t="s">
        <v>149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0</v>
      </c>
      <c r="P120" s="13" t="n">
        <f aca="false">IF(AND(Time!P20&gt;=Time!$F$12,Time!Q20&gt;0),(IF(Time!P34=1,P47,P45)-P44)*Q19+IF(Time!Q46&gt;0,Time!Q45*P44/Time!Q46,0)+IF(Time!P34=1,P47,P45)*Q11,0)</f>
        <v>6.26673343064659</v>
      </c>
      <c r="Q120" s="13" t="n">
        <f aca="false">IF(AND(Time!Q20&gt;=Time!$F$12,Time!R20&gt;0),(IF(Time!Q34=1,Q47,Q45)-Q44)*R19+IF(Time!R46&gt;0,Time!R45*Q44/Time!R46,0)+IF(Time!Q34=1,Q47,Q45)*R11,0)</f>
        <v>8.04359211991654</v>
      </c>
      <c r="R120" s="13" t="n">
        <f aca="false">IF(AND(Time!R20&gt;=Time!$F$12,Time!S20&gt;0),(IF(Time!R34=1,R47,R45)-R44)*S19+IF(Time!S46&gt;0,Time!S45*R44/Time!S46,0)+IF(Time!R34=1,R47,R45)*S11,0)</f>
        <v>9.4942344233774</v>
      </c>
      <c r="S120" s="13" t="n">
        <f aca="false">IF(AND(Time!S20&gt;=Time!$F$12,Time!T20&gt;0),(IF(Time!S34=1,S47,S45)-S44)*T19+IF(Time!T46&gt;0,Time!T45*S44/Time!T46,0)+IF(Time!S34=1,S47,S45)*T11,0)</f>
        <v>10.3003796249332</v>
      </c>
      <c r="T120" s="13" t="n">
        <f aca="false">IF(AND(Time!T20&gt;=Time!$F$12,Time!U20&gt;0),(IF(Time!T34=1,T47,T45)-T44)*U19+IF(Time!U46&gt;0,Time!U45*T44/Time!U46,0)+IF(Time!T34=1,T47,T45)*U11,0)</f>
        <v>10.6543071696484</v>
      </c>
      <c r="U120" s="13" t="n">
        <f aca="false">IF(AND(Time!U20&gt;=Time!$F$12,Time!V20&gt;0),(IF(Time!U34=1,U47,U45)-U44)*V19+IF(Time!V46&gt;0,Time!V45*U44/Time!V46,0)+IF(Time!U34=1,U47,U45)*V11,0)</f>
        <v>10.711988863705</v>
      </c>
      <c r="V120" s="13" t="n">
        <f aca="false">IF(AND(Time!V20&gt;=Time!$F$12,Time!W20&gt;0),(IF(Time!V34=1,V47,V45)-V44)*W19+IF(Time!W46&gt;0,Time!W45*V44/Time!W46,0)+IF(Time!V34=1,V47,V45)*W11,0)</f>
        <v>9.7726507849574</v>
      </c>
      <c r="W120" s="13" t="n">
        <f aca="false">IF(AND(Time!W20&gt;=Time!$F$12,Time!X20&gt;0),(IF(Time!W34=1,W47,W45)-W44)*X19+IF(Time!X46&gt;0,Time!X45*W44/Time!X46,0)+IF(Time!W34=1,W47,W45)*X11,0)</f>
        <v>9.79664749176862</v>
      </c>
      <c r="X120" s="13" t="n">
        <f aca="false">IF(AND(Time!X20&gt;=Time!$F$12,Time!Y20&gt;0),(IF(Time!X34=1,X47,X45)-X44)*Y19+IF(Time!Y46&gt;0,Time!Y45*X44/Time!Y46,0)+IF(Time!X34=1,X47,X45)*Y11,0)</f>
        <v>8.3059010483318</v>
      </c>
      <c r="Y120" s="13" t="n">
        <f aca="false">IF(AND(Time!Y20&gt;=Time!$F$12,Time!Z20&gt;0),(IF(Time!Y34=1,Y47,Y45)-Y44)*Z19+IF(Time!Z46&gt;0,Time!Z45*Y44/Time!Z46,0)+IF(Time!Y34=1,Y47,Y45)*Z11,0)</f>
        <v>8.38501072826981</v>
      </c>
      <c r="Z120" s="13" t="n">
        <f aca="false">IF(AND(Time!Z20&gt;=Time!$F$12,Time!AA20&gt;0),(IF(Time!Z34=1,Z47,Z45)-Z44)*AA19+IF(Time!AA46&gt;0,Time!AA45*Z44/Time!AA46,0)+IF(Time!Z34=1,Z47,Z45)*AA11,0)</f>
        <v>8.18071604089923</v>
      </c>
      <c r="AA120" s="13" t="n">
        <f aca="false">IF(AND(Time!AA20&gt;=Time!$F$12,Time!AB20&gt;0),(IF(Time!AA34=1,AA47,AA45)-AA44)*AB19+IF(Time!AB46&gt;0,Time!AB45*AA44/Time!AB46,0)+IF(Time!AA34=1,AA47,AA45)*AB11,0)</f>
        <v>8.28688621252547</v>
      </c>
      <c r="AB120" s="13" t="n">
        <f aca="false">IF(AND(Time!AB20&gt;=Time!$F$12,Time!AC20&gt;0),(IF(Time!AB34=1,AB47,AB45)-AB44)*AC19+IF(Time!AC46&gt;0,Time!AC45*AB44/Time!AC46,0)+IF(Time!AB34=1,AB47,AB45)*AC11,0)</f>
        <v>8.22431568541767</v>
      </c>
      <c r="AC120" s="13" t="n">
        <f aca="false">IF(AND(Time!AC20&gt;=Time!$F$12,Time!AD20&gt;0),(IF(Time!AC34=1,AC47,AC45)-AC44)*AD19+IF(Time!AD46&gt;0,Time!AD45*AC44/Time!AD46,0)+IF(Time!AC34=1,AC47,AC45)*AD11,0)</f>
        <v>8.30417156244953</v>
      </c>
      <c r="AD120" s="13" t="n">
        <f aca="false">IF(AND(Time!AD20&gt;=Time!$F$12,Time!AE20&gt;0),(IF(Time!AD34=1,AD47,AD45)-AD44)*AE19+IF(Time!AE46&gt;0,Time!AE45*AD44/Time!AE46,0)+IF(Time!AD34=1,AD47,AD45)*AE11,0)</f>
        <v>8.4766399892759</v>
      </c>
      <c r="AE120" s="13" t="n">
        <f aca="false">IF(AND(Time!AE20&gt;=Time!$F$12,Time!AF20&gt;0),(IF(Time!AE34=1,AE47,AE45)-AE44)*AF19+IF(Time!AF46&gt;0,Time!AF45*AE44/Time!AF46,0)+IF(Time!AE34=1,AE47,AE45)*AF11,0)</f>
        <v>8.60876446897039</v>
      </c>
      <c r="AF120" s="13" t="n">
        <f aca="false">IF(AND(Time!AF20&gt;=Time!$F$12,Time!AG20&gt;0),(IF(Time!AF34=1,AF47,AF45)-AF44)*AG19+IF(Time!AG46&gt;0,Time!AG45*AF44/Time!AG46,0)+IF(Time!AF34=1,AF47,AF45)*AG11,0)</f>
        <v>8.38212144706272</v>
      </c>
      <c r="AG120" s="13" t="n">
        <f aca="false">IF(AND(Time!AG20&gt;=Time!$F$12,Time!AH20&gt;0),(IF(Time!AG34=1,AG47,AG45)-AG44)*AH19+IF(Time!AH46&gt;0,Time!AH45*AG44/Time!AH46,0)+IF(Time!AG34=1,AG47,AG45)*AH11,0)</f>
        <v>8.49943397781001</v>
      </c>
      <c r="AH120" s="13" t="n">
        <f aca="false">IF(AND(Time!AH20&gt;=Time!$F$12,Time!AI20&gt;0),(IF(Time!AH34=1,AH47,AH45)-AH44)*AI19+IF(Time!AI46&gt;0,Time!AI45*AH44/Time!AI46,0)+IF(Time!AH34=1,AH47,AH45)*AI11,0)</f>
        <v>8.42029369629339</v>
      </c>
      <c r="AI120" s="13" t="n">
        <f aca="false">IF(AND(Time!AI20&gt;=Time!$F$12,Time!AJ20&gt;0),(IF(Time!AI34=1,AI47,AI45)-AI44)*AJ19+IF(Time!AJ46&gt;0,Time!AJ45*AI44/Time!AJ46,0)+IF(Time!AI34=1,AI47,AI45)*AJ11,0)</f>
        <v>8.51922913313434</v>
      </c>
      <c r="AJ120" s="13" t="n">
        <f aca="false">IF(AND(Time!AJ20&gt;=Time!$F$12,Time!AK20&gt;0),(IF(Time!AJ34=1,AJ47,AJ45)-AJ44)*AK19+IF(Time!AK46&gt;0,Time!AK45*AJ44/Time!AK46,0)+IF(Time!AJ34=1,AJ47,AJ45)*AK11,0)</f>
        <v>8.44166301238927</v>
      </c>
      <c r="AK120" s="13" t="n">
        <f aca="false">IF(AND(Time!AK20&gt;=Time!$F$12,Time!AL20&gt;0),(IF(Time!AK34=1,AK47,AK45)-AK44)*AL19+IF(Time!AL46&gt;0,Time!AL45*AK44/Time!AL46,0)+IF(Time!AK34=1,AK47,AK45)*AL11,0)</f>
        <v>8.51525543303763</v>
      </c>
      <c r="AL120" s="13" t="n">
        <f aca="false">IF(AND(Time!AL20&gt;=Time!$F$12,Time!AM20&gt;0),(IF(Time!AL34=1,AL47,AL45)-AL44)*AM19+IF(Time!AM46&gt;0,Time!AM45*AL44/Time!AM46,0)+IF(Time!AL34=1,AL47,AL45)*AM11,0)</f>
        <v>8.55803633809587</v>
      </c>
      <c r="AM120" s="13" t="n">
        <f aca="false">IF(AND(Time!AM20&gt;=Time!$F$12,Time!AN20&gt;0),(IF(Time!AM34=1,AM47,AM45)-AM44)*AN19+IF(Time!AN46&gt;0,Time!AN45*AM44/Time!AN46,0)+IF(Time!AM34=1,AM47,AM45)*AN11,0)</f>
        <v>8.64657169013047</v>
      </c>
      <c r="AN120" s="13" t="n">
        <f aca="false">IF(AND(Time!AN20&gt;=Time!$F$12,Time!AO20&gt;0),(IF(Time!AN34=1,AN47,AN45)-AN44)*AO19+IF(Time!AO46&gt;0,Time!AO45*AN44/Time!AO46,0)+IF(Time!AN34=1,AN47,AN45)*AO11,0)</f>
        <v>8.14320457728286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800</v>
      </c>
      <c r="E121" s="0" t="s">
        <v>149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0</v>
      </c>
      <c r="P121" s="13" t="n">
        <f aca="false">IF(AND(Time!P20&gt;=Time!$F$12,Time!Q20&gt;0),(IF(Time!P34=1,P61,P59)-P58)*Q19+IF(Time!Q46&gt;0,Time!Q45*P58/Time!Q46,0)+IF(Time!P34=1,P61,P59)*Q12,0)</f>
        <v>2.76891843771147</v>
      </c>
      <c r="Q121" s="13" t="n">
        <f aca="false">IF(AND(Time!Q20&gt;=Time!$F$12,Time!R20&gt;0),(IF(Time!Q34=1,Q61,Q59)-Q58)*R19+IF(Time!R46&gt;0,Time!R45*Q58/Time!R46,0)+IF(Time!Q34=1,Q61,Q59)*R12,0)</f>
        <v>3.57960400309554</v>
      </c>
      <c r="R121" s="13" t="n">
        <f aca="false">IF(AND(Time!R20&gt;=Time!$F$12,Time!S20&gt;0),(IF(Time!R34=1,R61,R59)-R58)*S19+IF(Time!S46&gt;0,Time!S45*R58/Time!S46,0)+IF(Time!R34=1,R61,R59)*S12,0)</f>
        <v>4.24229383583643</v>
      </c>
      <c r="S121" s="13" t="n">
        <f aca="false">IF(AND(Time!S20&gt;=Time!$F$12,Time!T20&gt;0),(IF(Time!S34=1,S61,S59)-S58)*T19+IF(Time!T46&gt;0,Time!T45*S58/Time!T46,0)+IF(Time!S34=1,S61,S59)*T12,0)</f>
        <v>4.60967625240808</v>
      </c>
      <c r="T121" s="13" t="n">
        <f aca="false">IF(AND(Time!T20&gt;=Time!$F$12,Time!U20&gt;0),(IF(Time!T34=1,T61,T59)-T58)*U19+IF(Time!U46&gt;0,Time!U45*T58/Time!U46,0)+IF(Time!T34=1,T61,T59)*U12,0)</f>
        <v>4.7722360255924</v>
      </c>
      <c r="U121" s="13" t="n">
        <f aca="false">IF(AND(Time!U20&gt;=Time!$F$12,Time!V20&gt;0),(IF(Time!U34=1,U61,U59)-U58)*V19+IF(Time!V46&gt;0,Time!V45*U58/Time!V46,0)+IF(Time!U34=1,U61,U59)*V12,0)</f>
        <v>4.80035138822509</v>
      </c>
      <c r="V121" s="13" t="n">
        <f aca="false">IF(AND(Time!V20&gt;=Time!$F$12,Time!W20&gt;0),(IF(Time!V34=1,V61,V59)-V58)*W19+IF(Time!W46&gt;0,Time!W45*V58/Time!W46,0)+IF(Time!V34=1,V61,V59)*W12,0)</f>
        <v>4.37723427695783</v>
      </c>
      <c r="W121" s="13" t="n">
        <f aca="false">IF(AND(Time!W20&gt;=Time!$F$12,Time!X20&gt;0),(IF(Time!W34=1,W61,W59)-W58)*X19+IF(Time!X46&gt;0,Time!X45*W58/Time!X46,0)+IF(Time!W34=1,W61,W59)*X12,0)</f>
        <v>0</v>
      </c>
      <c r="X121" s="13" t="n">
        <f aca="false">IF(AND(Time!X20&gt;=Time!$F$12,Time!Y20&gt;0),(IF(Time!X34=1,X61,X59)-X58)*Y19+IF(Time!Y46&gt;0,Time!Y45*X58/Time!Y46,0)+IF(Time!X34=1,X61,X59)*Y12,0)</f>
        <v>0</v>
      </c>
      <c r="Y121" s="13" t="n">
        <f aca="false">IF(AND(Time!Y20&gt;=Time!$F$12,Time!Z20&gt;0),(IF(Time!Y34=1,Y61,Y59)-Y58)*Z19+IF(Time!Z46&gt;0,Time!Z45*Y58/Time!Z46,0)+IF(Time!Y34=1,Y61,Y59)*Z12,0)</f>
        <v>0</v>
      </c>
      <c r="Z121" s="13" t="n">
        <f aca="false">IF(AND(Time!Z20&gt;=Time!$F$12,Time!AA20&gt;0),(IF(Time!Z34=1,Z61,Z59)-Z58)*AA19+IF(Time!AA46&gt;0,Time!AA45*Z58/Time!AA46,0)+IF(Time!Z34=1,Z61,Z59)*AA12,0)</f>
        <v>0</v>
      </c>
      <c r="AA121" s="13" t="n">
        <f aca="false">IF(AND(Time!AA20&gt;=Time!$F$12,Time!AB20&gt;0),(IF(Time!AA34=1,AA61,AA59)-AA58)*AB19+IF(Time!AB46&gt;0,Time!AB45*AA58/Time!AB46,0)+IF(Time!AA34=1,AA61,AA59)*AB12,0)</f>
        <v>0</v>
      </c>
      <c r="AB121" s="13" t="n">
        <f aca="false">IF(AND(Time!AB20&gt;=Time!$F$12,Time!AC20&gt;0),(IF(Time!AB34=1,AB61,AB59)-AB58)*AC19+IF(Time!AC46&gt;0,Time!AC45*AB58/Time!AC46,0)+IF(Time!AB34=1,AB61,AB59)*AC12,0)</f>
        <v>0</v>
      </c>
      <c r="AC121" s="13" t="n">
        <f aca="false">IF(AND(Time!AC20&gt;=Time!$F$12,Time!AD20&gt;0),(IF(Time!AC34=1,AC61,AC59)-AC58)*AD19+IF(Time!AD46&gt;0,Time!AD45*AC58/Time!AD46,0)+IF(Time!AC34=1,AC61,AC59)*AD12,0)</f>
        <v>0</v>
      </c>
      <c r="AD121" s="13" t="n">
        <f aca="false">IF(AND(Time!AD20&gt;=Time!$F$12,Time!AE20&gt;0),(IF(Time!AD34=1,AD61,AD59)-AD58)*AE19+IF(Time!AE46&gt;0,Time!AE45*AD58/Time!AE46,0)+IF(Time!AD34=1,AD61,AD59)*AE12,0)</f>
        <v>0</v>
      </c>
      <c r="AE121" s="13" t="n">
        <f aca="false">IF(AND(Time!AE20&gt;=Time!$F$12,Time!AF20&gt;0),(IF(Time!AE34=1,AE61,AE59)-AE58)*AF19+IF(Time!AF46&gt;0,Time!AF45*AE58/Time!AF46,0)+IF(Time!AE34=1,AE61,AE59)*AF12,0)</f>
        <v>0</v>
      </c>
      <c r="AF121" s="13" t="n">
        <f aca="false">IF(AND(Time!AF20&gt;=Time!$F$12,Time!AG20&gt;0),(IF(Time!AF34=1,AF61,AF59)-AF58)*AG19+IF(Time!AG46&gt;0,Time!AG45*AF58/Time!AG46,0)+IF(Time!AF34=1,AF61,AF59)*AG12,0)</f>
        <v>0</v>
      </c>
      <c r="AG121" s="13" t="n">
        <f aca="false">IF(AND(Time!AG20&gt;=Time!$F$12,Time!AH20&gt;0),(IF(Time!AG34=1,AG61,AG59)-AG58)*AH19+IF(Time!AH46&gt;0,Time!AH45*AG58/Time!AH46,0)+IF(Time!AG34=1,AG61,AG59)*AH12,0)</f>
        <v>0</v>
      </c>
      <c r="AH121" s="13" t="n">
        <f aca="false">IF(AND(Time!AH20&gt;=Time!$F$12,Time!AI20&gt;0),(IF(Time!AH34=1,AH61,AH59)-AH58)*AI19+IF(Time!AI46&gt;0,Time!AI45*AH58/Time!AI46,0)+IF(Time!AH34=1,AH61,AH59)*AI12,0)</f>
        <v>0</v>
      </c>
      <c r="AI121" s="13" t="n">
        <f aca="false">IF(AND(Time!AI20&gt;=Time!$F$12,Time!AJ20&gt;0),(IF(Time!AI34=1,AI61,AI59)-AI58)*AJ19+IF(Time!AJ46&gt;0,Time!AJ45*AI58/Time!AJ46,0)+IF(Time!AI34=1,AI61,AI59)*AJ12,0)</f>
        <v>0</v>
      </c>
      <c r="AJ121" s="13" t="n">
        <f aca="false">IF(AND(Time!AJ20&gt;=Time!$F$12,Time!AK20&gt;0),(IF(Time!AJ34=1,AJ61,AJ59)-AJ58)*AK19+IF(Time!AK46&gt;0,Time!AK45*AJ58/Time!AK46,0)+IF(Time!AJ34=1,AJ61,AJ59)*AK12,0)</f>
        <v>0</v>
      </c>
      <c r="AK121" s="13" t="n">
        <f aca="false">IF(AND(Time!AK20&gt;=Time!$F$12,Time!AL20&gt;0),(IF(Time!AK34=1,AK61,AK59)-AK58)*AL19+IF(Time!AL46&gt;0,Time!AL45*AK58/Time!AL46,0)+IF(Time!AK34=1,AK61,AK59)*AL12,0)</f>
        <v>0</v>
      </c>
      <c r="AL121" s="13" t="n">
        <f aca="false">IF(AND(Time!AL20&gt;=Time!$F$12,Time!AM20&gt;0),(IF(Time!AL34=1,AL61,AL59)-AL58)*AM19+IF(Time!AM46&gt;0,Time!AM45*AL58/Time!AM46,0)+IF(Time!AL34=1,AL61,AL59)*AM12,0)</f>
        <v>0</v>
      </c>
      <c r="AM121" s="13" t="n">
        <f aca="false">IF(AND(Time!AM20&gt;=Time!$F$12,Time!AN20&gt;0),(IF(Time!AM34=1,AM61,AM59)-AM58)*AN19+IF(Time!AN46&gt;0,Time!AN45*AM58/Time!AN46,0)+IF(Time!AM34=1,AM61,AM59)*AN12,0)</f>
        <v>0</v>
      </c>
      <c r="AN121" s="13" t="n">
        <f aca="false">IF(AND(Time!AN20&gt;=Time!$F$12,Time!AO20&gt;0),(IF(Time!AN34=1,AN61,AN59)-AN58)*AO19+IF(Time!AO46&gt;0,Time!AO45*AN58/Time!AO46,0)+IF(Time!AN34=1,AN61,AN59)*AO12,0)</f>
        <v>0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801</v>
      </c>
      <c r="E122" s="0" t="s">
        <v>149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0</v>
      </c>
      <c r="P122" s="13" t="n">
        <f aca="false">IF(AND(Time!P20&gt;=Time!$F$12,Time!Q20&gt;0),(IF(Time!P34=1,P75,P73)-P72)*Q19+IF(Time!Q46&gt;0,Time!Q45*P72/Time!Q46,0)+IF(Time!P34=1,P75,P73)*Q13,0)</f>
        <v>11.9656691250836</v>
      </c>
      <c r="Q122" s="13" t="n">
        <f aca="false">IF(AND(Time!Q20&gt;=Time!$F$12,Time!R20&gt;0),(IF(Time!Q34=1,Q75,Q73)-Q72)*R19+IF(Time!R46&gt;0,Time!R45*Q72/Time!R46,0)+IF(Time!Q34=1,Q75,Q73)*R13,0)</f>
        <v>15.3276956699423</v>
      </c>
      <c r="R122" s="13" t="n">
        <f aca="false">IF(AND(Time!R20&gt;=Time!$F$12,Time!S20&gt;0),(IF(Time!R34=1,R75,R73)-R72)*S19+IF(Time!S46&gt;0,Time!S45*R72/Time!S46,0)+IF(Time!R34=1,R75,R73)*S13,0)</f>
        <v>18.0619861194362</v>
      </c>
      <c r="S122" s="13" t="n">
        <f aca="false">IF(AND(Time!S20&gt;=Time!$F$12,Time!T20&gt;0),(IF(Time!S34=1,S75,S73)-S72)*T19+IF(Time!T46&gt;0,Time!T45*S72/Time!T46,0)+IF(Time!S34=1,S75,S73)*T13,0)</f>
        <v>19.5683602727034</v>
      </c>
      <c r="T122" s="13" t="n">
        <f aca="false">IF(AND(Time!T20&gt;=Time!$F$12,Time!U20&gt;0),(IF(Time!T34=1,T75,T73)-T72)*U19+IF(Time!U46&gt;0,Time!U45*T72/Time!U46,0)+IF(Time!T34=1,T75,T73)*U13,0)</f>
        <v>20.1013433621301</v>
      </c>
      <c r="U122" s="13" t="n">
        <f aca="false">IF(AND(Time!U20&gt;=Time!$F$12,Time!V20&gt;0),(IF(Time!U34=1,U75,U73)-U72)*V19+IF(Time!V46&gt;0,Time!V45*U72/Time!V46,0)+IF(Time!U34=1,U75,U73)*V13,0)</f>
        <v>20.1623377858461</v>
      </c>
      <c r="V122" s="13" t="n">
        <f aca="false">IF(AND(Time!V20&gt;=Time!$F$12,Time!W20&gt;0),(IF(Time!V34=1,V75,V73)-V72)*W19+IF(Time!W46&gt;0,Time!W45*V72/Time!W46,0)+IF(Time!V34=1,V75,V73)*W13,0)</f>
        <v>18.2856850403093</v>
      </c>
      <c r="W122" s="13" t="n">
        <f aca="false">IF(AND(Time!W20&gt;=Time!$F$12,Time!X20&gt;0),(IF(Time!W34=1,W75,W73)-W72)*X19+IF(Time!X46&gt;0,Time!X45*W72/Time!X46,0)+IF(Time!W34=1,W75,W73)*X13,0)</f>
        <v>0</v>
      </c>
      <c r="X122" s="13" t="n">
        <f aca="false">IF(AND(Time!X20&gt;=Time!$F$12,Time!Y20&gt;0),(IF(Time!X34=1,X75,X73)-X72)*Y19+IF(Time!Y46&gt;0,Time!Y45*X72/Time!Y46,0)+IF(Time!X34=1,X75,X73)*Y13,0)</f>
        <v>0</v>
      </c>
      <c r="Y122" s="13" t="n">
        <f aca="false">IF(AND(Time!Y20&gt;=Time!$F$12,Time!Z20&gt;0),(IF(Time!Y34=1,Y75,Y73)-Y72)*Z19+IF(Time!Z46&gt;0,Time!Z45*Y72/Time!Z46,0)+IF(Time!Y34=1,Y75,Y73)*Z13,0)</f>
        <v>0</v>
      </c>
      <c r="Z122" s="13" t="n">
        <f aca="false">IF(AND(Time!Z20&gt;=Time!$F$12,Time!AA20&gt;0),(IF(Time!Z34=1,Z75,Z73)-Z72)*AA19+IF(Time!AA46&gt;0,Time!AA45*Z72/Time!AA46,0)+IF(Time!Z34=1,Z75,Z73)*AA13,0)</f>
        <v>0</v>
      </c>
      <c r="AA122" s="13" t="n">
        <f aca="false">IF(AND(Time!AA20&gt;=Time!$F$12,Time!AB20&gt;0),(IF(Time!AA34=1,AA75,AA73)-AA72)*AB19+IF(Time!AB46&gt;0,Time!AB45*AA72/Time!AB46,0)+IF(Time!AA34=1,AA75,AA73)*AB13,0)</f>
        <v>0</v>
      </c>
      <c r="AB122" s="13" t="n">
        <f aca="false">IF(AND(Time!AB20&gt;=Time!$F$12,Time!AC20&gt;0),(IF(Time!AB34=1,AB75,AB73)-AB72)*AC19+IF(Time!AC46&gt;0,Time!AC45*AB72/Time!AC46,0)+IF(Time!AB34=1,AB75,AB73)*AC13,0)</f>
        <v>0</v>
      </c>
      <c r="AC122" s="13" t="n">
        <f aca="false">IF(AND(Time!AC20&gt;=Time!$F$12,Time!AD20&gt;0),(IF(Time!AC34=1,AC75,AC73)-AC72)*AD19+IF(Time!AD46&gt;0,Time!AD45*AC72/Time!AD46,0)+IF(Time!AC34=1,AC75,AC73)*AD13,0)</f>
        <v>0</v>
      </c>
      <c r="AD122" s="13" t="n">
        <f aca="false">IF(AND(Time!AD20&gt;=Time!$F$12,Time!AE20&gt;0),(IF(Time!AD34=1,AD75,AD73)-AD72)*AE19+IF(Time!AE46&gt;0,Time!AE45*AD72/Time!AE46,0)+IF(Time!AD34=1,AD75,AD73)*AE13,0)</f>
        <v>0</v>
      </c>
      <c r="AE122" s="13" t="n">
        <f aca="false">IF(AND(Time!AE20&gt;=Time!$F$12,Time!AF20&gt;0),(IF(Time!AE34=1,AE75,AE73)-AE72)*AF19+IF(Time!AF46&gt;0,Time!AF45*AE72/Time!AF46,0)+IF(Time!AE34=1,AE75,AE73)*AF13,0)</f>
        <v>0</v>
      </c>
      <c r="AF122" s="13" t="n">
        <f aca="false">IF(AND(Time!AF20&gt;=Time!$F$12,Time!AG20&gt;0),(IF(Time!AF34=1,AF75,AF73)-AF72)*AG19+IF(Time!AG46&gt;0,Time!AG45*AF72/Time!AG46,0)+IF(Time!AF34=1,AF75,AF73)*AG13,0)</f>
        <v>0</v>
      </c>
      <c r="AG122" s="13" t="n">
        <f aca="false">IF(AND(Time!AG20&gt;=Time!$F$12,Time!AH20&gt;0),(IF(Time!AG34=1,AG75,AG73)-AG72)*AH19+IF(Time!AH46&gt;0,Time!AH45*AG72/Time!AH46,0)+IF(Time!AG34=1,AG75,AG73)*AH13,0)</f>
        <v>0</v>
      </c>
      <c r="AH122" s="13" t="n">
        <f aca="false">IF(AND(Time!AH20&gt;=Time!$F$12,Time!AI20&gt;0),(IF(Time!AH34=1,AH75,AH73)-AH72)*AI19+IF(Time!AI46&gt;0,Time!AI45*AH72/Time!AI46,0)+IF(Time!AH34=1,AH75,AH73)*AI13,0)</f>
        <v>0</v>
      </c>
      <c r="AI122" s="13" t="n">
        <f aca="false">IF(AND(Time!AI20&gt;=Time!$F$12,Time!AJ20&gt;0),(IF(Time!AI34=1,AI75,AI73)-AI72)*AJ19+IF(Time!AJ46&gt;0,Time!AJ45*AI72/Time!AJ46,0)+IF(Time!AI34=1,AI75,AI73)*AJ13,0)</f>
        <v>0</v>
      </c>
      <c r="AJ122" s="13" t="n">
        <f aca="false">IF(AND(Time!AJ20&gt;=Time!$F$12,Time!AK20&gt;0),(IF(Time!AJ34=1,AJ75,AJ73)-AJ72)*AK19+IF(Time!AK46&gt;0,Time!AK45*AJ72/Time!AK46,0)+IF(Time!AJ34=1,AJ75,AJ73)*AK13,0)</f>
        <v>0</v>
      </c>
      <c r="AK122" s="13" t="n">
        <f aca="false">IF(AND(Time!AK20&gt;=Time!$F$12,Time!AL20&gt;0),(IF(Time!AK34=1,AK75,AK73)-AK72)*AL19+IF(Time!AL46&gt;0,Time!AL45*AK72/Time!AL46,0)+IF(Time!AK34=1,AK75,AK73)*AL13,0)</f>
        <v>0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802</v>
      </c>
      <c r="E123" s="0" t="s">
        <v>149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0</v>
      </c>
      <c r="P123" s="13" t="n">
        <f aca="false">IF(AND(Time!P20&gt;=Time!$F$12,Time!Q20&gt;0),(IF(Time!P34=1,P89,P87)-P86)*Q19+IF(Time!Q46&gt;0,Time!Q45*P86/Time!Q46,0)+IF(Time!P34=1,P89,P87)*Q14,0)</f>
        <v>0.49129505139815</v>
      </c>
      <c r="Q123" s="13" t="n">
        <f aca="false">IF(AND(Time!Q20&gt;=Time!$F$12,Time!R20&gt;0),(IF(Time!Q34=1,Q89,Q87)-Q86)*R19+IF(Time!R46&gt;0,Time!R45*Q86/Time!R46,0)+IF(Time!Q34=1,Q89,Q87)*R14,0)</f>
        <v>0.625523961420118</v>
      </c>
      <c r="R123" s="13" t="n">
        <f aca="false">IF(AND(Time!R20&gt;=Time!$F$12,Time!S20&gt;0),(IF(Time!R34=1,R89,R87)-R86)*S19+IF(Time!S46&gt;0,Time!S45*R86/Time!S46,0)+IF(Time!R34=1,R89,R87)*S14,0)</f>
        <v>0.734706795657014</v>
      </c>
      <c r="S123" s="13" t="n">
        <f aca="false">IF(AND(Time!S20&gt;=Time!$F$12,Time!T20&gt;0),(IF(Time!S34=1,S89,S87)-S86)*T19+IF(Time!T46&gt;0,Time!T45*S86/Time!T46,0)+IF(Time!S34=1,S89,S87)*T14,0)</f>
        <v>0.795203648186201</v>
      </c>
      <c r="T123" s="13" t="n">
        <f aca="false">IF(AND(Time!T20&gt;=Time!$F$12,Time!U20&gt;0),(IF(Time!T34=1,T89,T87)-T86)*U19+IF(Time!U46&gt;0,Time!U45*T86/Time!U46,0)+IF(Time!T34=1,T89,T87)*U14,0)</f>
        <v>0.818352807954292</v>
      </c>
      <c r="U123" s="13" t="n">
        <f aca="false">IF(AND(Time!U20&gt;=Time!$F$12,Time!V20&gt;0),(IF(Time!U34=1,U89,U87)-U86)*V19+IF(Time!V46&gt;0,Time!V45*U86/Time!V46,0)+IF(Time!U34=1,U89,U87)*V14,0)</f>
        <v>0.821208064869176</v>
      </c>
      <c r="V123" s="13" t="n">
        <f aca="false">IF(AND(Time!V20&gt;=Time!$F$12,Time!W20&gt;0),(IF(Time!V34=1,V89,V87)-V86)*W19+IF(Time!W46&gt;0,Time!W45*V86/Time!W46,0)+IF(Time!V34=1,V89,V87)*W14,0)</f>
        <v>0.746855790405948</v>
      </c>
      <c r="W123" s="13" t="n">
        <f aca="false">IF(AND(Time!W20&gt;=Time!$F$12,Time!X20&gt;0),(IF(Time!W34=1,W89,W87)-W86)*X19+IF(Time!X46&gt;0,Time!X45*W86/Time!X46,0)+IF(Time!W34=1,W89,W87)*X14,0)</f>
        <v>0</v>
      </c>
      <c r="X123" s="13" t="n">
        <f aca="false">IF(AND(Time!X20&gt;=Time!$F$12,Time!Y20&gt;0),(IF(Time!X34=1,X89,X87)-X86)*Y19+IF(Time!Y46&gt;0,Time!Y45*X86/Time!Y46,0)+IF(Time!X34=1,X89,X87)*Y14,0)</f>
        <v>0</v>
      </c>
      <c r="Y123" s="13" t="n">
        <f aca="false">IF(AND(Time!Y20&gt;=Time!$F$12,Time!Z20&gt;0),(IF(Time!Y34=1,Y89,Y87)-Y86)*Z19+IF(Time!Z46&gt;0,Time!Z45*Y86/Time!Z46,0)+IF(Time!Y34=1,Y89,Y87)*Z14,0)</f>
        <v>0</v>
      </c>
      <c r="Z123" s="13" t="n">
        <f aca="false">IF(AND(Time!Z20&gt;=Time!$F$12,Time!AA20&gt;0),(IF(Time!Z34=1,Z89,Z87)-Z86)*AA19+IF(Time!AA46&gt;0,Time!AA45*Z86/Time!AA46,0)+IF(Time!Z34=1,Z89,Z87)*AA14,0)</f>
        <v>0</v>
      </c>
      <c r="AA123" s="13" t="n">
        <f aca="false">IF(AND(Time!AA20&gt;=Time!$F$12,Time!AB20&gt;0),(IF(Time!AA34=1,AA89,AA87)-AA86)*AB19+IF(Time!AB46&gt;0,Time!AB45*AA86/Time!AB46,0)+IF(Time!AA34=1,AA89,AA87)*AB14,0)</f>
        <v>0</v>
      </c>
      <c r="AB123" s="13" t="n">
        <f aca="false">IF(AND(Time!AB20&gt;=Time!$F$12,Time!AC20&gt;0),(IF(Time!AB34=1,AB89,AB87)-AB86)*AC19+IF(Time!AC46&gt;0,Time!AC45*AB86/Time!AC46,0)+IF(Time!AB34=1,AB89,AB87)*AC14,0)</f>
        <v>0</v>
      </c>
      <c r="AC123" s="13" t="n">
        <f aca="false">IF(AND(Time!AC20&gt;=Time!$F$12,Time!AD20&gt;0),(IF(Time!AC34=1,AC89,AC87)-AC86)*AD19+IF(Time!AD46&gt;0,Time!AD45*AC86/Time!AD46,0)+IF(Time!AC34=1,AC89,AC87)*AD14,0)</f>
        <v>0</v>
      </c>
      <c r="AD123" s="13" t="n">
        <f aca="false">IF(AND(Time!AD20&gt;=Time!$F$12,Time!AE20&gt;0),(IF(Time!AD34=1,AD89,AD87)-AD86)*AE19+IF(Time!AE46&gt;0,Time!AE45*AD86/Time!AE46,0)+IF(Time!AD34=1,AD89,AD87)*AE14,0)</f>
        <v>0</v>
      </c>
      <c r="AE123" s="13" t="n">
        <f aca="false">IF(AND(Time!AE20&gt;=Time!$F$12,Time!AF20&gt;0),(IF(Time!AE34=1,AE89,AE87)-AE86)*AF19+IF(Time!AF46&gt;0,Time!AF45*AE86/Time!AF46,0)+IF(Time!AE34=1,AE89,AE87)*AF14,0)</f>
        <v>0</v>
      </c>
      <c r="AF123" s="13" t="n">
        <f aca="false">IF(AND(Time!AF20&gt;=Time!$F$12,Time!AG20&gt;0),(IF(Time!AF34=1,AF89,AF87)-AF86)*AG19+IF(Time!AG46&gt;0,Time!AG45*AF86/Time!AG46,0)+IF(Time!AF34=1,AF89,AF87)*AG14,0)</f>
        <v>0</v>
      </c>
      <c r="AG123" s="13" t="n">
        <f aca="false">IF(AND(Time!AG20&gt;=Time!$F$12,Time!AH20&gt;0),(IF(Time!AG34=1,AG89,AG87)-AG86)*AH19+IF(Time!AH46&gt;0,Time!AH45*AG86/Time!AH46,0)+IF(Time!AG34=1,AG89,AG87)*AH14,0)</f>
        <v>0</v>
      </c>
      <c r="AH123" s="13" t="n">
        <f aca="false">IF(AND(Time!AH20&gt;=Time!$F$12,Time!AI20&gt;0),(IF(Time!AH34=1,AH89,AH87)-AH86)*AI19+IF(Time!AI46&gt;0,Time!AI45*AH86/Time!AI46,0)+IF(Time!AH34=1,AH89,AH87)*AI14,0)</f>
        <v>0</v>
      </c>
      <c r="AI123" s="13" t="n">
        <f aca="false">IF(AND(Time!AI20&gt;=Time!$F$12,Time!AJ20&gt;0),(IF(Time!AI34=1,AI89,AI87)-AI86)*AJ19+IF(Time!AJ46&gt;0,Time!AJ45*AI86/Time!AJ46,0)+IF(Time!AI34=1,AI89,AI87)*AJ14,0)</f>
        <v>0</v>
      </c>
      <c r="AJ123" s="13" t="n">
        <f aca="false">IF(AND(Time!AJ20&gt;=Time!$F$12,Time!AK20&gt;0),(IF(Time!AJ34=1,AJ89,AJ87)-AJ86)*AK19+IF(Time!AK46&gt;0,Time!AK45*AJ86/Time!AK46,0)+IF(Time!AJ34=1,AJ89,AJ87)*AK14,0)</f>
        <v>0</v>
      </c>
      <c r="AK123" s="13" t="n">
        <f aca="false">IF(AND(Time!AK20&gt;=Time!$F$12,Time!AL20&gt;0),(IF(Time!AK34=1,AK89,AK87)-AK86)*AL19+IF(Time!AL46&gt;0,Time!AL45*AK86/Time!AL46,0)+IF(Time!AK34=1,AK89,AK87)*AL14,0)</f>
        <v>0</v>
      </c>
      <c r="AL123" s="13" t="n">
        <f aca="false">IF(AND(Time!AL20&gt;=Time!$F$12,Time!AM20&gt;0),(IF(Time!AL34=1,AL89,AL87)-AL86)*AM19+IF(Time!AM46&gt;0,Time!AM45*AL86/Time!AM46,0)+IF(Time!AL34=1,AL89,AL87)*AM14,0)</f>
        <v>0</v>
      </c>
      <c r="AM123" s="13" t="n">
        <f aca="false">IF(AND(Time!AM20&gt;=Time!$F$12,Time!AN20&gt;0),(IF(Time!AM34=1,AM89,AM87)-AM86)*AN19+IF(Time!AN46&gt;0,Time!AN45*AM86/Time!AN46,0)+IF(Time!AM34=1,AM89,AM87)*AN14,0)</f>
        <v>0</v>
      </c>
      <c r="AN123" s="13" t="n">
        <f aca="false">IF(AND(Time!AN20&gt;=Time!$F$12,Time!AO20&gt;0),(IF(Time!AN34=1,AN89,AN87)-AN86)*AO19+IF(Time!AO46&gt;0,Time!AO45*AN86/Time!AO46,0)+IF(Time!AN34=1,AN89,AN87)*AO14,0)</f>
        <v>0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803</v>
      </c>
      <c r="E124" s="0" t="s">
        <v>149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12.925958273862</v>
      </c>
      <c r="X124" s="13" t="n">
        <f aca="false">IF(AND(AND(Time!X20&gt;=Time!$F$12,Time!Y20&gt;0),(X94+X100)&gt;Inputs!$F$253),MIN(X101*Inputs!Y300,(X94+X100))+(X94+X100)*(Y15+Inputs!$F$276/100*Time!Y24*Inputs!$F$275/X101),0)</f>
        <v>14.046361819853</v>
      </c>
      <c r="Y124" s="13" t="n">
        <f aca="false">IF(AND(AND(Time!Y20&gt;=Time!$F$12,Time!Z20&gt;0),(Y94+Y100)&gt;Inputs!$F$253),MIN(Y101*Inputs!Z300,(Y94+Y100))+(Y94+Y100)*(Z15+Inputs!$F$276/100*Time!Z24*Inputs!$F$275/Y101),0)</f>
        <v>14.251744388209</v>
      </c>
      <c r="Z124" s="13" t="n">
        <f aca="false">IF(AND(AND(Time!Z20&gt;=Time!$F$12,Time!AA20&gt;0),(Z94+Z100)&gt;Inputs!$F$253),MIN(Z101*Inputs!AA300,(Z94+Z100))+(Z94+Z100)*(AA15+Inputs!$F$276/100*Time!AA24*Inputs!$F$275/Z101),0)</f>
        <v>14.0584592871995</v>
      </c>
      <c r="AA124" s="13" t="n">
        <f aca="false">IF(AND(AND(Time!AA20&gt;=Time!$F$12,Time!AB20&gt;0),(AA94+AA100)&gt;Inputs!$F$253),MIN(AA101*Inputs!AB300,(AA94+AA100))+(AA94+AA100)*(AB15+Inputs!$F$276/100*Time!AB24*Inputs!$F$275/AA101),0)</f>
        <v>14.2037224253445</v>
      </c>
      <c r="AB124" s="13" t="n">
        <f aca="false">IF(AND(AND(Time!AB20&gt;=Time!$F$12,Time!AC20&gt;0),(AB94+AB100)&gt;Inputs!$F$253),MIN(AB101*Inputs!AC300,(AB94+AB100))+(AB94+AB100)*(AC15+Inputs!$F$276/100*Time!AC24*Inputs!$F$275/AB101),0)</f>
        <v>14.0179251636491</v>
      </c>
      <c r="AC124" s="13" t="n">
        <f aca="false">IF(AND(AND(Time!AC20&gt;=Time!$F$12,Time!AD20&gt;0),(AC94+AC100)&gt;Inputs!$F$253),MIN(AC101*Inputs!AD300,(AC94+AC100))+(AC94+AC100)*(AD15+Inputs!$F$276/100*Time!AD24*Inputs!$F$275/AC101),0)</f>
        <v>14.0993294337459</v>
      </c>
      <c r="AD124" s="13" t="n">
        <f aca="false">IF(AND(AND(Time!AD20&gt;=Time!$F$12,Time!AE20&gt;0),(AD94+AD100)&gt;Inputs!$F$253),MIN(AD101*Inputs!AE300,(AD94+AD100))+(AD94+AD100)*(AE15+Inputs!$F$276/100*Time!AE24*Inputs!$F$275/AD101),0)</f>
        <v>14.3911194601045</v>
      </c>
      <c r="AE124" s="13" t="n">
        <f aca="false">IF(AND(AND(Time!AE20&gt;=Time!$F$12,Time!AF20&gt;0),(AE94+AE100)&gt;Inputs!$F$253),MIN(AE101*Inputs!AF300,(AE94+AE100))+(AE94+AE100)*(AF15+Inputs!$F$276/100*Time!AF24*Inputs!$F$275/AE101),0)</f>
        <v>14.5334370930308</v>
      </c>
      <c r="AF124" s="13" t="n">
        <f aca="false">IF(AND(AND(Time!AF20&gt;=Time!$F$12,Time!AG20&gt;0),(AF94+AF100)&gt;Inputs!$F$253),MIN(AF101*Inputs!AG300,(AF94+AF100))+(AF94+AF100)*(AG15+Inputs!$F$276/100*Time!AG24*Inputs!$F$275/AF101),0)</f>
        <v>14.3488173026366</v>
      </c>
      <c r="AG124" s="13" t="n">
        <f aca="false">IF(AND(AND(Time!AG20&gt;=Time!$F$12,Time!AH20&gt;0),(AG94+AG100)&gt;Inputs!$F$253),MIN(AG101*Inputs!AH300,(AG94+AG100))+(AG94+AG100)*(AH15+Inputs!$F$276/100*Time!AH24*Inputs!$F$275/AG101),0)</f>
        <v>14.4461195142992</v>
      </c>
      <c r="AH124" s="13" t="n">
        <f aca="false">IF(AND(AND(Time!AH20&gt;=Time!$F$12,Time!AI20&gt;0),(AH94+AH100)&gt;Inputs!$F$253),MIN(AH101*Inputs!AI300,(AH94+AH100))+(AH94+AH100)*(AI15+Inputs!$F$276/100*Time!AI24*Inputs!$F$275/AH101),0)</f>
        <v>14.2101481170526</v>
      </c>
      <c r="AI124" s="13" t="n">
        <f aca="false">IF(AND(AND(Time!AI20&gt;=Time!$F$12,Time!AJ20&gt;0),(AI94+AI100)&gt;Inputs!$F$253),MIN(AI101*Inputs!AJ300,(AI94+AI100))+(AI94+AI100)*(AJ15+Inputs!$F$276/100*Time!AJ24*Inputs!$F$275/AI101),0)</f>
        <v>14.2646957894834</v>
      </c>
      <c r="AJ124" s="13" t="n">
        <f aca="false">IF(AND(AND(Time!AJ20&gt;=Time!$F$12,Time!AK20&gt;0),(AJ94+AJ100)&gt;Inputs!$F$253),MIN(AJ101*Inputs!AK300,(AJ94+AJ100))+(AJ94+AJ100)*(AK15+Inputs!$F$276/100*Time!AK24*Inputs!$F$275/AJ101),0)</f>
        <v>14.0228491296233</v>
      </c>
      <c r="AK124" s="13" t="n">
        <f aca="false">IF(AND(AND(Time!AK20&gt;=Time!$F$12,Time!AL20&gt;0),(AK94+AK100)&gt;Inputs!$F$253),MIN(AK101*Inputs!AL300,(AK94+AK100))+(AK94+AK100)*(AL15+Inputs!$F$276/100*Time!AL24*Inputs!$F$275/AK101),0)</f>
        <v>14.0272553210779</v>
      </c>
      <c r="AL124" s="13" t="n">
        <f aca="false">IF(AND(AND(Time!AL20&gt;=Time!$F$12,Time!AM20&gt;0),(AL94+AL100)&gt;Inputs!$F$253),MIN(AL101*Inputs!AM300,(AL94+AL100))+(AL94+AL100)*(AM15+Inputs!$F$276/100*Time!AM24*Inputs!$F$275/AL101),0)</f>
        <v>13.9916580727575</v>
      </c>
      <c r="AM124" s="13" t="n">
        <f aca="false">IF(AND(AND(Time!AM20&gt;=Time!$F$12,Time!AN20&gt;0),(AM94+AM100)&gt;Inputs!$F$253),MIN(AM101*Inputs!AN300,(AM94+AM100))+(AM94+AM100)*(AN15+Inputs!$F$276/100*Time!AN24*Inputs!$F$275/AM101),0)</f>
        <v>14.007505959109</v>
      </c>
      <c r="AN124" s="13" t="n">
        <f aca="false">IF(AND(AND(Time!AN20&gt;=Time!$F$12,Time!AO20&gt;0),(AN94+AN100)&gt;Inputs!$F$253),MIN(AN101*Inputs!AO300,(AN94+AN100))+(AN94+AN100)*(AO15+Inputs!$F$276/100*Time!AO24*Inputs!$F$275/AN101),0)</f>
        <v>12.9571109685226</v>
      </c>
      <c r="AO124" s="13" t="n">
        <f aca="false">IF(AND(AND(Time!AO20&gt;=Time!$F$12,Time!AP20&gt;0),(AO94+AO100)&gt;Inputs!$F$253),MIN(AO101*Inputs!AP300,(AO94+AO100))+(AO94+AO100)*(AP15+Inputs!$F$276/100*Time!AP24*Inputs!$F$275/AO101),0)</f>
        <v>29.0768461339009</v>
      </c>
      <c r="AP124" s="13" t="n">
        <f aca="false">IF(AND(AND(Time!AP20&gt;=Time!$F$12,Time!AQ20&gt;0),(AP94+AP100)&gt;Inputs!$F$253),MIN(AP101*Inputs!AQ300,(AP94+AP100))+(AP94+AP100)*(AQ15+Inputs!$F$276/100*Time!AQ24*Inputs!$F$275/AP101),0)</f>
        <v>26.9626321801593</v>
      </c>
      <c r="AQ124" s="13" t="n">
        <f aca="false">IF(AND(AND(Time!AQ20&gt;=Time!$F$12,Time!AR20&gt;0),(AQ94+AQ100)&gt;Inputs!$F$253),MIN(AQ101*Inputs!AR300,(AQ94+AQ100))+(AQ94+AQ100)*(AR15+Inputs!$F$276/100*Time!AR24*Inputs!$F$275/AQ101),0)</f>
        <v>27.1987194378076</v>
      </c>
      <c r="AR124" s="13" t="n">
        <f aca="false">IF(AND(AND(Time!AR20&gt;=Time!$F$12,Time!AS20&gt;0),(AR94+AR100)&gt;Inputs!$F$253),MIN(AR101*Inputs!AS300,(AR94+AR100))+(AR94+AR100)*(AS15+Inputs!$F$276/100*Time!AS24*Inputs!$F$275/AR101),0)</f>
        <v>26.772060881999</v>
      </c>
      <c r="AS124" s="13" t="n">
        <f aca="false">IF(AND(AND(Time!AS20&gt;=Time!$F$12,Time!AT20&gt;0),(AS94+AS100)&gt;Inputs!$F$253),MIN(AS101*Inputs!AT300,(AS94+AS100))+(AS94+AS100)*(AT15+Inputs!$F$276/100*Time!AT24*Inputs!$F$275/AS101),0)</f>
        <v>26.9213030114088</v>
      </c>
      <c r="AT124" s="13" t="n">
        <f aca="false">IF(AND(AND(Time!AT20&gt;=Time!$F$12,Time!AU20&gt;0),(AT94+AT100)&gt;Inputs!$F$253),MIN(AT101*Inputs!AU300,(AT94+AT100))+(AT94+AT100)*(AU15+Inputs!$F$276/100*Time!AU24*Inputs!$F$275/AT101),0)</f>
        <v>31.0185677430371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804</v>
      </c>
      <c r="E125" s="0" t="s">
        <v>149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0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35.5137526561018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37.4792869597084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39.0503135077454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41.4520822597796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44.0848253872358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44.277845722298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42.139149434084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32.5566243955354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30.9521755422981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31.4087294977697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31.0556243048348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31.488946143979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31.2892800503341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31.6411606849739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32.5458406633933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33.084367965058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32.5750117000096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33.0526426783283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32.8394553971412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33.2550500393265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33.030550775114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33.37250919412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33.6516007228409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34.059340318545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32.0190402822787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29.0768461339009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26.9626321801593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27.1987194378076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26.772060881999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26.9213030114088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31.0185677430371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805</v>
      </c>
    </row>
    <row r="127" customFormat="false" ht="15" hidden="false" customHeight="false" outlineLevel="0" collapsed="false">
      <c r="D127" s="0" t="s">
        <v>806</v>
      </c>
      <c r="E127" s="0" t="s">
        <v>99</v>
      </c>
      <c r="J127" s="16" t="n">
        <f aca="false">IF(Time!J53=1,Inputs!$F$75*J10+Inputs!$F$76*J11+Inputs!$F$77*J12+Inputs!$F$78*(J13+(Inputs!$F$95/100*Inputs!$F$96/100)*Time!J25/Inputs!$F$248)+Inputs!J301/(Funding!$F$25*J18)*(Inputs!$F$97/100*Time!J24-Operations!J9/100*Time!J25/Inputs!$F$247),0)</f>
        <v>0</v>
      </c>
      <c r="K127" s="16" t="n">
        <f aca="false">IF(Time!K53=1,Inputs!$F$75*K10+Inputs!$F$76*K11+Inputs!$F$77*K12+Inputs!$F$78*(K13+(Inputs!$F$95/100*Inputs!$F$96/100)*Time!K25/Inputs!$F$248)+Inputs!K301/(Funding!$F$25*K18)*(Inputs!$F$97/100*Time!K24-Operations!K9/100*Time!K25/Inputs!$F$247),0)</f>
        <v>0</v>
      </c>
      <c r="L127" s="16" t="n">
        <f aca="false">IF(Time!L53=1,Inputs!$F$75*L10+Inputs!$F$76*L11+Inputs!$F$77*L12+Inputs!$F$78*(L13+(Inputs!$F$95/100*Inputs!$F$96/100)*Time!L25/Inputs!$F$248)+Inputs!L301/(Funding!$F$25*L18)*(Inputs!$F$97/100*Time!L24-Operations!L9/100*Time!L25/Inputs!$F$247),0)</f>
        <v>0</v>
      </c>
      <c r="M127" s="16" t="n">
        <f aca="false">IF(Time!M53=1,Inputs!$F$75*M10+Inputs!$F$76*M11+Inputs!$F$77*M12+Inputs!$F$78*(M13+(Inputs!$F$95/100*Inputs!$F$96/100)*Time!M25/Inputs!$F$248)+Inputs!M301/(Funding!$F$25*M18)*(Inputs!$F$97/100*Time!M24-Operations!M9/100*Time!M25/Inputs!$F$247),0)</f>
        <v>0</v>
      </c>
      <c r="N127" s="16" t="n">
        <f aca="false">IF(Time!N53=1,Inputs!$F$75*N10+Inputs!$F$76*N11+Inputs!$F$77*N12+Inputs!$F$78*(N13+(Inputs!$F$95/100*Inputs!$F$96/100)*Time!N25/Inputs!$F$248)+Inputs!N301/(Funding!$F$25*N18)*(Inputs!$F$97/100*Time!N24-Operations!N9/100*Time!N25/Inputs!$F$247),0)</f>
        <v>0</v>
      </c>
      <c r="O127" s="16" t="n">
        <f aca="false">IF(Time!O53=1,Inputs!$F$75*O10+Inputs!$F$76*O11+Inputs!$F$77*O12+Inputs!$F$78*(O13+(Inputs!$F$95/100*Inputs!$F$96/100)*Time!O25/Inputs!$F$248)+Inputs!O301/(Funding!$F$25*O18)*(Inputs!$F$97/100*Time!O24-Operations!O9/100*Time!O25/Inputs!$F$247),0)</f>
        <v>0</v>
      </c>
      <c r="P127" s="16" t="n">
        <f aca="false">IF(Time!P53=1,Inputs!$F$75*P10+Inputs!$F$76*P11+Inputs!$F$77*P12+Inputs!$F$78*(P13+(Inputs!$F$95/100*Inputs!$F$96/100)*Time!P25/Inputs!$F$248)+Inputs!P301/(Funding!$F$25*P18)*(Inputs!$F$97/100*Time!P24-Operations!P9/100*Time!P25/Inputs!$F$247),0)</f>
        <v>0</v>
      </c>
      <c r="Q127" s="16" t="n">
        <f aca="false">IF(Time!Q53=1,Inputs!$F$75*Q10+Inputs!$F$76*Q11+Inputs!$F$77*Q12+Inputs!$F$78*(Q13+(Inputs!$F$95/100*Inputs!$F$96/100)*Time!Q25/Inputs!$F$248)+Inputs!Q301/(Funding!$F$25*Q18)*(Inputs!$F$97/100*Time!Q24-Operations!Q9/100*Time!Q25/Inputs!$F$247),0)</f>
        <v>0.0303841558122344</v>
      </c>
      <c r="R127" s="16" t="n">
        <f aca="false">IF(Time!R53=1,Inputs!$F$75*R10+Inputs!$F$76*R11+Inputs!$F$77*R12+Inputs!$F$78*(R13+(Inputs!$F$95/100*Inputs!$F$96/100)*Time!R25/Inputs!$F$248)+Inputs!R301/(Funding!$F$25*R18)*(Inputs!$F$97/100*Time!R24-Operations!R9/100*Time!R25/Inputs!$F$247),0)</f>
        <v>0.0341763476043909</v>
      </c>
      <c r="S127" s="16" t="n">
        <f aca="false">IF(Time!S53=1,Inputs!$F$75*S10+Inputs!$F$76*S11+Inputs!$F$77*S12+Inputs!$F$78*(S13+(Inputs!$F$95/100*Inputs!$F$96/100)*Time!S25/Inputs!$F$248)+Inputs!S301/(Funding!$F$25*S18)*(Inputs!$F$97/100*Time!S24-Operations!S9/100*Time!S25/Inputs!$F$247),0)</f>
        <v>0.0369165819045337</v>
      </c>
      <c r="T127" s="16" t="n">
        <f aca="false">IF(Time!T53=1,Inputs!$F$75*T10+Inputs!$F$76*T11+Inputs!$F$77*T12+Inputs!$F$78*(T13+(Inputs!$F$95/100*Inputs!$F$96/100)*Time!T25/Inputs!$F$248)+Inputs!T301/(Funding!$F$25*T18)*(Inputs!$F$97/100*Time!T24-Operations!T9/100*Time!T25/Inputs!$F$247),0)</f>
        <v>0.0408320635408498</v>
      </c>
      <c r="U127" s="16" t="n">
        <f aca="false">IF(Time!U53=1,Inputs!$F$75*U10+Inputs!$F$76*U11+Inputs!$F$77*U12+Inputs!$F$78*(U13+(Inputs!$F$95/100*Inputs!$F$96/100)*Time!U25/Inputs!$F$248)+Inputs!U301/(Funding!$F$25*U18)*(Inputs!$F$97/100*Time!U24-Operations!U9/100*Time!U25/Inputs!$F$247),0)</f>
        <v>0.0401076589933796</v>
      </c>
      <c r="V127" s="16" t="n">
        <f aca="false">IF(Time!V53=1,Inputs!$F$75*V10+Inputs!$F$76*V11+Inputs!$F$77*V12+Inputs!$F$78*(V13+(Inputs!$F$95/100*Inputs!$F$96/100)*Time!V25/Inputs!$F$248)+Inputs!V301/(Funding!$F$25*V18)*(Inputs!$F$97/100*Time!V24-Operations!V9/100*Time!V25/Inputs!$F$247),0)</f>
        <v>0.0405149196952334</v>
      </c>
      <c r="W127" s="16" t="n">
        <f aca="false">IF(Time!W53=1,Inputs!$F$75*W10+Inputs!$F$76*W11+Inputs!$F$77*W12+Inputs!$F$78*(W13+(Inputs!$F$95/100*Inputs!$F$96/100)*Time!W25/Inputs!$F$248)+Inputs!W301/(Funding!$F$25*W18)*(Inputs!$F$97/100*Time!W24-Operations!W9/100*Time!W25/Inputs!$F$247),0)</f>
        <v>0.0361391501594989</v>
      </c>
      <c r="X127" s="16" t="n">
        <f aca="false">IF(Time!X53=1,Inputs!$F$75*X10+Inputs!$F$76*X11+Inputs!$F$77*X12+Inputs!$F$78*(X13+(Inputs!$F$95/100*Inputs!$F$96/100)*Time!X25/Inputs!$F$248)+Inputs!X301/(Funding!$F$25*X18)*(Inputs!$F$97/100*Time!X24-Operations!X9/100*Time!X25/Inputs!$F$247),0)</f>
        <v>0.0364472914464217</v>
      </c>
      <c r="Y127" s="16" t="n">
        <f aca="false">IF(Time!Y53=1,Inputs!$F$75*Y10+Inputs!$F$76*Y11+Inputs!$F$77*Y12+Inputs!$F$78*(Y13+(Inputs!$F$95/100*Inputs!$F$96/100)*Time!Y25/Inputs!$F$248)+Inputs!Y301/(Funding!$F$25*Y18)*(Inputs!$F$97/100*Time!Y24-Operations!Y9/100*Time!Y25/Inputs!$F$247),0)</f>
        <v>0.0363515048777545</v>
      </c>
      <c r="Z127" s="16" t="n">
        <f aca="false">IF(Time!Z53=1,Inputs!$F$75*Z10+Inputs!$F$76*Z11+Inputs!$F$77*Z12+Inputs!$F$78*(Z13+(Inputs!$F$95/100*Inputs!$F$96/100)*Time!Z25/Inputs!$F$248)+Inputs!Z301/(Funding!$F$25*Z18)*(Inputs!$F$97/100*Time!Z24-Operations!Z9/100*Time!Z25/Inputs!$F$247),0)</f>
        <v>0.0367153939523705</v>
      </c>
      <c r="AA127" s="16" t="n">
        <f aca="false">IF(Time!AA53=1,Inputs!$F$75*AA10+Inputs!$F$76*AA11+Inputs!$F$77*AA12+Inputs!$F$78*(AA13+(Inputs!$F$95/100*Inputs!$F$96/100)*Time!AA25/Inputs!$F$248)+Inputs!AA301/(Funding!$F$25*AA18)*(Inputs!$F$97/100*Time!AA24-Operations!AA9/100*Time!AA25/Inputs!$F$247),0)</f>
        <v>0.0361324295031181</v>
      </c>
      <c r="AB127" s="16" t="n">
        <f aca="false">IF(Time!AB53=1,Inputs!$F$75*AB10+Inputs!$F$76*AB11+Inputs!$F$77*AB12+Inputs!$F$78*(AB13+(Inputs!$F$95/100*Inputs!$F$96/100)*Time!AB25/Inputs!$F$248)+Inputs!AB301/(Funding!$F$25*AB18)*(Inputs!$F$97/100*Time!AB24-Operations!AB9/100*Time!AB25/Inputs!$F$247),0)</f>
        <v>0.0365488025888214</v>
      </c>
      <c r="AC127" s="16" t="n">
        <f aca="false">IF(Time!AC53=1,Inputs!$F$75*AC10+Inputs!$F$76*AC11+Inputs!$F$77*AC12+Inputs!$F$78*(AC13+(Inputs!$F$95/100*Inputs!$F$96/100)*Time!AC25/Inputs!$F$248)+Inputs!AC301/(Funding!$F$25*AC18)*(Inputs!$F$97/100*Time!AC24-Operations!AC9/100*Time!AC25/Inputs!$F$247),0)</f>
        <v>0.0363509168524748</v>
      </c>
      <c r="AD127" s="16" t="n">
        <f aca="false">IF(Time!AD53=1,Inputs!$F$75*AD10+Inputs!$F$76*AD11+Inputs!$F$77*AD12+Inputs!$F$78*(AD13+(Inputs!$F$95/100*Inputs!$F$96/100)*Time!AD25/Inputs!$F$248)+Inputs!AD301/(Funding!$F$25*AD18)*(Inputs!$F$97/100*Time!AD24-Operations!AD9/100*Time!AD25/Inputs!$F$247),0)</f>
        <v>0.0366357151621081</v>
      </c>
      <c r="AE127" s="16" t="n">
        <f aca="false">IF(Time!AE53=1,Inputs!$F$75*AE10+Inputs!$F$76*AE11+Inputs!$F$77*AE12+Inputs!$F$78*(AE13+(Inputs!$F$95/100*Inputs!$F$96/100)*Time!AE25/Inputs!$F$248)+Inputs!AE301/(Funding!$F$25*AE18)*(Inputs!$F$97/100*Time!AE24-Operations!AE9/100*Time!AE25/Inputs!$F$247),0)</f>
        <v>0.0362465393189402</v>
      </c>
      <c r="AF127" s="16" t="n">
        <f aca="false">IF(Time!AF53=1,Inputs!$F$75*AF10+Inputs!$F$76*AF11+Inputs!$F$77*AF12+Inputs!$F$78*(AF13+(Inputs!$F$95/100*Inputs!$F$96/100)*Time!AF25/Inputs!$F$248)+Inputs!AF301/(Funding!$F$25*AF18)*(Inputs!$F$97/100*Time!AF24-Operations!AF9/100*Time!AF25/Inputs!$F$247),0)</f>
        <v>0.036678744325766</v>
      </c>
      <c r="AG127" s="16" t="n">
        <f aca="false">IF(Time!AG53=1,Inputs!$F$75*AG10+Inputs!$F$76*AG11+Inputs!$F$77*AG12+Inputs!$F$78*(AG13+(Inputs!$F$95/100*Inputs!$F$96/100)*Time!AG25/Inputs!$F$248)+Inputs!AG301/(Funding!$F$25*AG18)*(Inputs!$F$97/100*Time!AG24-Operations!AG9/100*Time!AG25/Inputs!$F$247),0)</f>
        <v>0.0373396785852296</v>
      </c>
      <c r="AH127" s="16" t="n">
        <f aca="false">IF(Time!AH53=1,Inputs!$F$75*AH10+Inputs!$F$76*AH11+Inputs!$F$77*AH12+Inputs!$F$78*(AH13+(Inputs!$F$95/100*Inputs!$F$96/100)*Time!AH25/Inputs!$F$248)+Inputs!AH301/(Funding!$F$25*AH18)*(Inputs!$F$97/100*Time!AH24-Operations!AH9/100*Time!AH25/Inputs!$F$247),0)</f>
        <v>0.0377972173767563</v>
      </c>
      <c r="AI127" s="16" t="n">
        <f aca="false">IF(Time!AI53=1,Inputs!$F$75*AI10+Inputs!$F$76*AI11+Inputs!$F$77*AI12+Inputs!$F$78*(AI13+(Inputs!$F$95/100*Inputs!$F$96/100)*Time!AI25/Inputs!$F$248)+Inputs!AI301/(Funding!$F$25*AI18)*(Inputs!$F$97/100*Time!AI24-Operations!AI9/100*Time!AI25/Inputs!$F$247),0)</f>
        <v>0.0373906827762567</v>
      </c>
      <c r="AJ127" s="16" t="n">
        <f aca="false">IF(Time!AJ53=1,Inputs!$F$75*AJ10+Inputs!$F$76*AJ11+Inputs!$F$77*AJ12+Inputs!$F$78*(AJ13+(Inputs!$F$95/100*Inputs!$F$96/100)*Time!AJ25/Inputs!$F$248)+Inputs!AJ301/(Funding!$F$25*AJ18)*(Inputs!$F$97/100*Time!AJ24-Operations!AJ9/100*Time!AJ25/Inputs!$F$247),0)</f>
        <v>0.0378668351936525</v>
      </c>
      <c r="AK127" s="16" t="n">
        <f aca="false">IF(Time!AK53=1,Inputs!$F$75*AK10+Inputs!$F$76*AK11+Inputs!$F$77*AK12+Inputs!$F$78*(AK13+(Inputs!$F$95/100*Inputs!$F$96/100)*Time!AK25/Inputs!$F$248)+Inputs!AK301/(Funding!$F$25*AK18)*(Inputs!$F$97/100*Time!AK24-Operations!AK9/100*Time!AK25/Inputs!$F$247),0)</f>
        <v>0.0376266538262541</v>
      </c>
      <c r="AL127" s="16" t="n">
        <f aca="false">IF(Time!AL53=1,Inputs!$F$75*AL10+Inputs!$F$76*AL11+Inputs!$F$77*AL12+Inputs!$F$78*(AL13+(Inputs!$F$95/100*Inputs!$F$96/100)*Time!AL25/Inputs!$F$248)+Inputs!AL301/(Funding!$F$25*AL18)*(Inputs!$F$97/100*Time!AL24-Operations!AL9/100*Time!AL25/Inputs!$F$247),0)</f>
        <v>0.0380062336080987</v>
      </c>
      <c r="AM127" s="16" t="n">
        <f aca="false">IF(Time!AM53=1,Inputs!$F$75*AM10+Inputs!$F$76*AM11+Inputs!$F$77*AM12+Inputs!$F$78*(AM13+(Inputs!$F$95/100*Inputs!$F$96/100)*Time!AM25/Inputs!$F$248)+Inputs!AM301/(Funding!$F$25*AM18)*(Inputs!$F$97/100*Time!AM24-Operations!AM9/100*Time!AM25/Inputs!$F$247),0)</f>
        <v>0.0377076942117688</v>
      </c>
      <c r="AN127" s="16" t="n">
        <f aca="false">IF(Time!AN53=1,Inputs!$F$75*AN10+Inputs!$F$76*AN11+Inputs!$F$77*AN12+Inputs!$F$78*(AN13+(Inputs!$F$95/100*Inputs!$F$96/100)*Time!AN25/Inputs!$F$248)+Inputs!AN301/(Funding!$F$25*AN18)*(Inputs!$F$97/100*Time!AN24-Operations!AN9/100*Time!AN25/Inputs!$F$247),0)</f>
        <v>0.0384374427960479</v>
      </c>
      <c r="AO127" s="16" t="n">
        <f aca="false">IF(Time!AO53=1,Inputs!$F$75*AO10+Inputs!$F$76*AO11+Inputs!$F$77*AO12+Inputs!$F$78*(AO13+(Inputs!$F$95/100*Inputs!$F$96/100)*Time!AO25/Inputs!$F$248)+Inputs!AO301/(Funding!$F$25*AO18)*(Inputs!$F$97/100*Time!AO24-Operations!AO9/100*Time!AO25/Inputs!$F$247),0)</f>
        <v>0.037901470701007</v>
      </c>
      <c r="AP127" s="16" t="n">
        <f aca="false">IF(Time!AP53=1,Inputs!$F$75*AP10+Inputs!$F$76*AP11+Inputs!$F$77*AP12+Inputs!$F$78*(AP13+(Inputs!$F$95/100*Inputs!$F$96/100)*Time!AP25/Inputs!$F$248)+Inputs!AP301/(Funding!$F$25*AP18)*(Inputs!$F$97/100*Time!AP24-Operations!AP9/100*Time!AP25/Inputs!$F$247),0)</f>
        <v>0</v>
      </c>
      <c r="AQ127" s="16" t="n">
        <f aca="false">IF(Time!AQ53=1,Inputs!$F$75*AQ10+Inputs!$F$76*AQ11+Inputs!$F$77*AQ12+Inputs!$F$78*(AQ13+(Inputs!$F$95/100*Inputs!$F$96/100)*Time!AQ25/Inputs!$F$248)+Inputs!AQ301/(Funding!$F$25*AQ18)*(Inputs!$F$97/100*Time!AQ24-Operations!AQ9/100*Time!AQ25/Inputs!$F$247),0)</f>
        <v>0</v>
      </c>
      <c r="AR127" s="16" t="n">
        <f aca="false">IF(Time!AR53=1,Inputs!$F$75*AR10+Inputs!$F$76*AR11+Inputs!$F$77*AR12+Inputs!$F$78*(AR13+(Inputs!$F$95/100*Inputs!$F$96/100)*Time!AR25/Inputs!$F$248)+Inputs!AR301/(Funding!$F$25*AR18)*(Inputs!$F$97/100*Time!AR24-Operations!AR9/100*Time!AR25/Inputs!$F$247),0)</f>
        <v>0</v>
      </c>
      <c r="AS127" s="16" t="n">
        <f aca="false">IF(Time!AS53=1,Inputs!$F$75*AS10+Inputs!$F$76*AS11+Inputs!$F$77*AS12+Inputs!$F$78*(AS13+(Inputs!$F$95/100*Inputs!$F$96/100)*Time!AS25/Inputs!$F$248)+Inputs!AS301/(Funding!$F$25*AS18)*(Inputs!$F$97/100*Time!AS24-Operations!AS9/100*Time!AS25/Inputs!$F$247),0)</f>
        <v>0</v>
      </c>
      <c r="AT127" s="16" t="n">
        <f aca="false">IF(Time!AT53=1,Inputs!$F$75*AT10+Inputs!$F$76*AT11+Inputs!$F$77*AT12+Inputs!$F$78*(AT13+(Inputs!$F$95/100*Inputs!$F$96/100)*Time!AT25/Inputs!$F$248)+Inputs!AT301/(Funding!$F$25*AT18)*(Inputs!$F$97/100*Time!AT24-Operations!AT9/100*Time!AT25/Inputs!$F$247),0)</f>
        <v>0</v>
      </c>
      <c r="AU127" s="16" t="n">
        <f aca="false">IF(Time!AU53=1,Inputs!$F$75*AU10+Inputs!$F$76*AU11+Inputs!$F$77*AU12+Inputs!$F$78*(AU13+(Inputs!$F$95/100*Inputs!$F$96/100)*Time!AU25/Inputs!$F$248)+Inputs!AU301/(Funding!$F$25*AU18)*(Inputs!$F$97/100*Time!AU24-Operations!AU9/100*Time!AU25/Inputs!$F$247),0)</f>
        <v>0</v>
      </c>
      <c r="AV127" s="16" t="n">
        <f aca="false">IF(Time!AV53=1,Inputs!$F$75*AV10+Inputs!$F$76*AV11+Inputs!$F$77*AV12+Inputs!$F$78*(AV13+(Inputs!$F$95/100*Inputs!$F$96/100)*Time!AV25/Inputs!$F$248)+Inputs!AV301/(Funding!$F$25*AV18)*(Inputs!$F$97/100*Time!AV24-Operations!AV9/100*Time!AV25/Inputs!$F$247),0)</f>
        <v>0</v>
      </c>
      <c r="AW127" s="16" t="n">
        <f aca="false">IF(Time!AW53=1,Inputs!$F$75*AW10+Inputs!$F$76*AW11+Inputs!$F$77*AW12+Inputs!$F$78*(AW13+(Inputs!$F$95/100*Inputs!$F$96/100)*Time!AW25/Inputs!$F$248)+Inputs!AW301/(Funding!$F$25*AW18)*(Inputs!$F$97/100*Time!AW24-Operations!AW9/100*Time!AW25/Inputs!$F$247),0)</f>
        <v>0</v>
      </c>
      <c r="AX127" s="16" t="n">
        <f aca="false">IF(Time!AX53=1,Inputs!$F$75*AX10+Inputs!$F$76*AX11+Inputs!$F$77*AX12+Inputs!$F$78*(AX13+(Inputs!$F$95/100*Inputs!$F$96/100)*Time!AX25/Inputs!$F$248)+Inputs!AX301/(Funding!$F$25*AX18)*(Inputs!$F$97/100*Time!AX24-Operations!AX9/100*Time!AX25/Inputs!$F$247),0)</f>
        <v>0</v>
      </c>
      <c r="AY127" s="16" t="n">
        <f aca="false">IF(Time!AY53=1,Inputs!$F$75*AY10+Inputs!$F$76*AY11+Inputs!$F$77*AY12+Inputs!$F$78*(AY13+(Inputs!$F$95/100*Inputs!$F$96/100)*Time!AY25/Inputs!$F$248)+Inputs!AY301/(Funding!$F$25*AY18)*(Inputs!$F$97/100*Time!AY24-Operations!AY9/100*Time!AY25/Inputs!$F$247),0)</f>
        <v>0</v>
      </c>
      <c r="AZ127" s="16" t="n">
        <f aca="false">IF(Time!AZ53=1,Inputs!$F$75*AZ10+Inputs!$F$76*AZ11+Inputs!$F$77*AZ12+Inputs!$F$78*(AZ13+(Inputs!$F$95/100*Inputs!$F$96/100)*Time!AZ25/Inputs!$F$248)+Inputs!AZ301/(Funding!$F$25*AZ18)*(Inputs!$F$97/100*Time!AZ24-Operations!AZ9/100*Time!AZ25/Inputs!$F$247),0)</f>
        <v>0</v>
      </c>
      <c r="BA127" s="16" t="n">
        <f aca="false">IF(Time!BA53=1,Inputs!$F$75*BA10+Inputs!$F$76*BA11+Inputs!$F$77*BA12+Inputs!$F$78*(BA13+(Inputs!$F$95/100*Inputs!$F$96/100)*Time!BA25/Inputs!$F$248)+Inputs!BA301/(Funding!$F$25*BA18)*(Inputs!$F$97/100*Time!BA24-Operations!BA9/100*Time!BA25/Inputs!$F$247),0)</f>
        <v>0</v>
      </c>
      <c r="BB127" s="16" t="n">
        <f aca="false">IF(Time!BB53=1,Inputs!$F$75*BB10+Inputs!$F$76*BB11+Inputs!$F$77*BB12+Inputs!$F$78*(BB13+(Inputs!$F$95/100*Inputs!$F$96/100)*Time!BB25/Inputs!$F$248)+Inputs!BB301/(Funding!$F$25*BB18)*(Inputs!$F$97/100*Time!BB24-Operations!BB9/100*Time!BB25/Inputs!$F$247),0)</f>
        <v>0</v>
      </c>
      <c r="BC127" s="16" t="n">
        <f aca="false">IF(Time!BC53=1,Inputs!$F$75*BC10+Inputs!$F$76*BC11+Inputs!$F$77*BC12+Inputs!$F$78*(BC13+(Inputs!$F$95/100*Inputs!$F$96/100)*Time!BC25/Inputs!$F$248)+Inputs!BC301/(Funding!$F$25*BC18)*(Inputs!$F$97/100*Time!BC24-Operations!BC9/100*Time!BC25/Inputs!$F$247),0)</f>
        <v>0</v>
      </c>
      <c r="BD127" s="16" t="n">
        <f aca="false">IF(Time!BD53=1,Inputs!$F$75*BD10+Inputs!$F$76*BD11+Inputs!$F$77*BD12+Inputs!$F$78*(BD13+(Inputs!$F$95/100*Inputs!$F$96/100)*Time!BD25/Inputs!$F$248)+Inputs!BD301/(Funding!$F$25*BD18)*(Inputs!$F$97/100*Time!BD24-Operations!BD9/100*Time!BD25/Inputs!$F$247),0)</f>
        <v>0</v>
      </c>
      <c r="BE127" s="16" t="n">
        <f aca="false">IF(Time!BE53=1,Inputs!$F$75*BE10+Inputs!$F$76*BE11+Inputs!$F$77*BE12+Inputs!$F$78*(BE13+(Inputs!$F$95/100*Inputs!$F$96/100)*Time!BE25/Inputs!$F$248)+Inputs!BE301/(Funding!$F$25*BE18)*(Inputs!$F$97/100*Time!BE24-Operations!BE9/100*Time!BE25/Inputs!$F$247),0)</f>
        <v>0</v>
      </c>
      <c r="BF127" s="16" t="n">
        <f aca="false">IF(Time!BF53=1,Inputs!$F$75*BF10+Inputs!$F$76*BF11+Inputs!$F$77*BF12+Inputs!$F$78*(BF13+(Inputs!$F$95/100*Inputs!$F$96/100)*Time!BF25/Inputs!$F$248)+Inputs!BF301/(Funding!$F$25*BF18)*(Inputs!$F$97/100*Time!BF24-Operations!BF9/100*Time!BF25/Inputs!$F$247),0)</f>
        <v>0</v>
      </c>
      <c r="BG127" s="16" t="n">
        <f aca="false">IF(Time!BG53=1,Inputs!$F$75*BG10+Inputs!$F$76*BG11+Inputs!$F$77*BG12+Inputs!$F$78*(BG13+(Inputs!$F$95/100*Inputs!$F$96/100)*Time!BG25/Inputs!$F$248)+Inputs!BG301/(Funding!$F$25*BG18)*(Inputs!$F$97/100*Time!BG24-Operations!BG9/100*Time!BG25/Inputs!$F$247),0)</f>
        <v>0</v>
      </c>
      <c r="BH127" s="16" t="n">
        <f aca="false">IF(Time!BH53=1,Inputs!$F$75*BH10+Inputs!$F$76*BH11+Inputs!$F$77*BH12+Inputs!$F$78*(BH13+(Inputs!$F$95/100*Inputs!$F$96/100)*Time!BH25/Inputs!$F$248)+Inputs!BH301/(Funding!$F$25*BH18)*(Inputs!$F$97/100*Time!BH24-Operations!BH9/100*Time!BH25/Inputs!$F$247),0)</f>
        <v>0</v>
      </c>
      <c r="BI127" s="16" t="n">
        <f aca="false">IF(Time!BI53=1,Inputs!$F$75*BI10+Inputs!$F$76*BI11+Inputs!$F$77*BI12+Inputs!$F$78*(BI13+(Inputs!$F$95/100*Inputs!$F$96/100)*Time!BI25/Inputs!$F$248)+Inputs!BI301/(Funding!$F$25*BI18)*(Inputs!$F$97/100*Time!BI24-Operations!BI9/100*Time!BI25/Inputs!$F$247),0)</f>
        <v>0</v>
      </c>
      <c r="BJ127" s="16" t="n">
        <f aca="false">IF(Time!BJ53=1,Inputs!$F$75*BJ10+Inputs!$F$76*BJ11+Inputs!$F$77*BJ12+Inputs!$F$78*(BJ13+(Inputs!$F$95/100*Inputs!$F$96/100)*Time!BJ25/Inputs!$F$248)+Inputs!BJ301/(Funding!$F$25*BJ18)*(Inputs!$F$97/100*Time!BJ24-Operations!BJ9/100*Time!BJ25/Inputs!$F$247),0)</f>
        <v>0</v>
      </c>
      <c r="BK127" s="16" t="n">
        <f aca="false">IF(Time!BK53=1,Inputs!$F$75*BK10+Inputs!$F$76*BK11+Inputs!$F$77*BK12+Inputs!$F$78*(BK13+(Inputs!$F$95/100*Inputs!$F$96/100)*Time!BK25/Inputs!$F$248)+Inputs!BK301/(Funding!$F$25*BK18)*(Inputs!$F$97/100*Time!BK24-Operations!BK9/100*Time!BK25/Inputs!$F$247),0)</f>
        <v>0</v>
      </c>
      <c r="BL127" s="16" t="n">
        <f aca="false">IF(Time!BL53=1,Inputs!$F$75*BL10+Inputs!$F$76*BL11+Inputs!$F$77*BL12+Inputs!$F$78*(BL13+(Inputs!$F$95/100*Inputs!$F$96/100)*Time!BL25/Inputs!$F$248)+Inputs!BL301/(Funding!$F$25*BL18)*(Inputs!$F$97/100*Time!BL24-Operations!BL9/100*Time!BL25/Inputs!$F$247),0)</f>
        <v>0</v>
      </c>
      <c r="BM127" s="16" t="n">
        <f aca="false">IF(Time!BM53=1,Inputs!$F$75*BM10+Inputs!$F$76*BM11+Inputs!$F$77*BM12+Inputs!$F$78*(BM13+(Inputs!$F$95/100*Inputs!$F$96/100)*Time!BM25/Inputs!$F$248)+Inputs!BM301/(Funding!$F$25*BM18)*(Inputs!$F$97/100*Time!BM24-Operations!BM9/100*Time!BM25/Inputs!$F$247),0)</f>
        <v>0</v>
      </c>
      <c r="BN127" s="16" t="n">
        <f aca="false">IF(Time!BN53=1,Inputs!$F$75*BN10+Inputs!$F$76*BN11+Inputs!$F$77*BN12+Inputs!$F$78*(BN13+(Inputs!$F$95/100*Inputs!$F$96/100)*Time!BN25/Inputs!$F$248)+Inputs!BN301/(Funding!$F$25*BN18)*(Inputs!$F$97/100*Time!BN24-Operations!BN9/100*Time!BN25/Inputs!$F$247),0)</f>
        <v>0</v>
      </c>
    </row>
    <row r="128" customFormat="false" ht="15" hidden="false" customHeight="false" outlineLevel="0" collapsed="false">
      <c r="D128" s="0" t="s">
        <v>807</v>
      </c>
      <c r="E128" s="0" t="s">
        <v>149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0</v>
      </c>
      <c r="Q128" s="13" t="n">
        <f aca="false">IF(Time!Q53=1,(Waterfall!Q7+R128)/(1+Q127),0)</f>
        <v>813.310310835415</v>
      </c>
      <c r="R128" s="13" t="n">
        <f aca="false">IF(Time!R53=1,(Waterfall!R7+S128)/(1+R127),0)</f>
        <v>793.221021529945</v>
      </c>
      <c r="S128" s="13" t="n">
        <f aca="false">IF(Time!S53=1,(Waterfall!S7+T128)/(1+S127),0)</f>
        <v>782.965049706812</v>
      </c>
      <c r="T128" s="13" t="n">
        <f aca="false">IF(Time!T53=1,(Waterfall!T7+U128)/(1+T127),0)</f>
        <v>776.098825305569</v>
      </c>
      <c r="U128" s="13" t="n">
        <f aca="false">IF(Time!U53=1,(Waterfall!U7+V128)/(1+U127),0)</f>
        <v>751.599367460368</v>
      </c>
      <c r="V128" s="13" t="n">
        <f aca="false">IF(Time!V53=1,(Waterfall!V7+W128)/(1+V127),0)</f>
        <v>724.3601414048</v>
      </c>
      <c r="W128" s="13" t="n">
        <f aca="false">IF(Time!W53=1,(Waterfall!W7+X128)/(1+W127),0)</f>
        <v>697.033094755176</v>
      </c>
      <c r="X128" s="13" t="n">
        <f aca="false">IF(Time!X53=1,(Waterfall!X7+Y128)/(1+X127),0)</f>
        <v>666.866879699238</v>
      </c>
      <c r="Y128" s="13" t="n">
        <f aca="false">IF(Time!Y53=1,(Waterfall!Y7+Z128)/(1+Y127),0)</f>
        <v>639.490920700449</v>
      </c>
      <c r="Z128" s="13" t="n">
        <f aca="false">IF(Time!Z53=1,(Waterfall!Z7+AA128)/(1+Z127),0)</f>
        <v>613.602882096875</v>
      </c>
      <c r="AA128" s="13" t="n">
        <f aca="false">IF(Time!AA53=1,(Waterfall!AA7+AB128)/(1+AA127),0)</f>
        <v>586.272309033508</v>
      </c>
      <c r="AB128" s="13" t="n">
        <f aca="false">IF(Time!AB53=1,(Waterfall!AB7+AC128)/(1+AB127),0)</f>
        <v>558.157038033052</v>
      </c>
      <c r="AC128" s="13" t="n">
        <f aca="false">IF(Time!AC53=1,(Waterfall!AC7+AD128)/(1+AC127),0)</f>
        <v>528.570426291675</v>
      </c>
      <c r="AD128" s="13" t="n">
        <f aca="false">IF(Time!AD53=1,(Waterfall!AD7+AE128)/(1+AD127),0)</f>
        <v>498.114819258766</v>
      </c>
      <c r="AE128" s="13" t="n">
        <f aca="false">IF(Time!AE53=1,(Waterfall!AE7+AF128)/(1+AE127),0)</f>
        <v>466.135398415711</v>
      </c>
      <c r="AF128" s="13" t="n">
        <f aca="false">IF(Time!AF53=1,(Waterfall!AF7+AG128)/(1+AF127),0)</f>
        <v>431.36686139233</v>
      </c>
      <c r="AG128" s="13" t="n">
        <f aca="false">IF(Time!AG53=1,(Waterfall!AG7+AH128)/(1+AG127),0)</f>
        <v>394.669648287612</v>
      </c>
      <c r="AH128" s="13" t="n">
        <f aca="false">IF(Time!AH53=1,(Waterfall!AH7+AI128)/(1+AH127),0)</f>
        <v>357.695846974279</v>
      </c>
      <c r="AI128" s="13" t="n">
        <f aca="false">IF(Time!AI53=1,(Waterfall!AI7+AJ128)/(1+AI127),0)</f>
        <v>318.746908490708</v>
      </c>
      <c r="AJ128" s="13" t="n">
        <f aca="false">IF(Time!AJ53=1,(Waterfall!AJ7+AK128)/(1+AJ127),0)</f>
        <v>278.534647329263</v>
      </c>
      <c r="AK128" s="13" t="n">
        <f aca="false">IF(Time!AK53=1,(Waterfall!AK7+AL128)/(1+AK127),0)</f>
        <v>236.291718683224</v>
      </c>
      <c r="AL128" s="13" t="n">
        <f aca="false">IF(Time!AL53=1,(Waterfall!AL7+AM128)/(1+AL127),0)</f>
        <v>192.748808627515</v>
      </c>
      <c r="AM128" s="13" t="n">
        <f aca="false">IF(Time!AM53=1,(Waterfall!AM7+AN128)/(1+AM127),0)</f>
        <v>147.097852139213</v>
      </c>
      <c r="AN128" s="13" t="n">
        <f aca="false">IF(Time!AN53=1,(Waterfall!AN7+AO128)/(1+AN127),0)</f>
        <v>99.2249212082022</v>
      </c>
      <c r="AO128" s="13" t="n">
        <f aca="false">IF(Time!AO53=1,(Waterfall!AO7+AP128)/(1+AO127),0)</f>
        <v>48.9719625106857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808</v>
      </c>
      <c r="E129" s="0" t="s">
        <v>202</v>
      </c>
      <c r="F129" s="11" t="n">
        <f aca="false">INDEX($J$128:$BN$128,1,Time!$F$13)/Funding!$F$25</f>
        <v>1.2843310481805</v>
      </c>
    </row>
    <row r="130" customFormat="false" ht="15" hidden="false" customHeight="false" outlineLevel="0" collapsed="false">
      <c r="D130" s="0" t="s">
        <v>809</v>
      </c>
      <c r="E130" s="0" t="s">
        <v>149</v>
      </c>
      <c r="F130" s="17" t="n">
        <f aca="false">INDEX($J$128:$BN$128,1,Time!$F$13)/Inputs!$F$106</f>
        <v>602.452082100307</v>
      </c>
    </row>
    <row r="131" customFormat="false" ht="15" hidden="false" customHeight="false" outlineLevel="0" collapsed="false">
      <c r="D131" s="0" t="s">
        <v>810</v>
      </c>
      <c r="E131" s="0" t="s">
        <v>149</v>
      </c>
      <c r="F131" s="17" t="n">
        <f aca="false">Inputs!$F$105*Funding!$F$24</f>
        <v>668.234566178911</v>
      </c>
    </row>
    <row r="132" customFormat="false" ht="15" hidden="false" customHeight="false" outlineLevel="0" collapsed="false">
      <c r="D132" s="0" t="s">
        <v>811</v>
      </c>
      <c r="E132" s="0" t="s">
        <v>149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0</v>
      </c>
      <c r="Q132" s="13" t="n">
        <f aca="false">IF(Time!Q53=1,(Waterfall!Q7)/$F$129,0)</f>
        <v>34.8827793091654</v>
      </c>
      <c r="R132" s="13" t="n">
        <f aca="false">IF(Time!R53=1,(Waterfall!R7)/$F$129,0)</f>
        <v>29.093253826563</v>
      </c>
      <c r="S132" s="13" t="n">
        <f aca="false">IF(Time!S53=1,(Waterfall!S7)/$F$129,0)</f>
        <v>27.8515557478791</v>
      </c>
      <c r="T132" s="13" t="n">
        <f aca="false">IF(Time!T53=1,(Waterfall!T7)/$F$129,0)</f>
        <v>43.7497594359806</v>
      </c>
      <c r="U132" s="13" t="n">
        <f aca="false">IF(Time!U53=1,(Waterfall!U7)/$F$129,0)</f>
        <v>44.6801603578795</v>
      </c>
      <c r="V132" s="13" t="n">
        <f aca="false">IF(Time!V53=1,(Waterfall!V7)/$F$129,0)</f>
        <v>44.127594430858</v>
      </c>
      <c r="W132" s="13" t="n">
        <f aca="false">IF(Time!W53=1,(Waterfall!W7)/$F$129,0)</f>
        <v>43.1013474383094</v>
      </c>
      <c r="X132" s="13" t="n">
        <f aca="false">IF(Time!X53=1,(Waterfall!X7)/$F$129,0)</f>
        <v>40.2399759722148</v>
      </c>
      <c r="Y132" s="13" t="n">
        <f aca="false">IF(Time!Y53=1,(Waterfall!Y7)/$F$129,0)</f>
        <v>38.256877770186</v>
      </c>
      <c r="Z132" s="13" t="n">
        <f aca="false">IF(Time!Z53=1,(Waterfall!Z7)/$F$129,0)</f>
        <v>38.821178293944</v>
      </c>
      <c r="AA132" s="13" t="n">
        <f aca="false">IF(Time!AA53=1,(Waterfall!AA7)/$F$129,0)</f>
        <v>38.3847404032482</v>
      </c>
      <c r="AB132" s="13" t="n">
        <f aca="false">IF(Time!AB53=1,(Waterfall!AB7)/$F$129,0)</f>
        <v>38.9203260396323</v>
      </c>
      <c r="AC132" s="13" t="n">
        <f aca="false">IF(Time!AC53=1,(Waterfall!AC7)/$F$129,0)</f>
        <v>38.6735388201367</v>
      </c>
      <c r="AD132" s="13" t="n">
        <f aca="false">IF(Time!AD53=1,(Waterfall!AD7)/$F$129,0)</f>
        <v>39.108463157223</v>
      </c>
      <c r="AE132" s="13" t="n">
        <f aca="false">IF(Time!AE53=1,(Waterfall!AE7)/$F$129,0)</f>
        <v>40.2266472831893</v>
      </c>
      <c r="AF132" s="13" t="n">
        <f aca="false">IF(Time!AF53=1,(Waterfall!AF7)/$F$129,0)</f>
        <v>40.89226683318</v>
      </c>
      <c r="AG132" s="13" t="n">
        <f aca="false">IF(Time!AG53=1,(Waterfall!AG7)/$F$129,0)</f>
        <v>40.2627026738916</v>
      </c>
      <c r="AH132" s="13" t="n">
        <f aca="false">IF(Time!AH53=1,(Waterfall!AH7)/$F$129,0)</f>
        <v>40.853054390262</v>
      </c>
      <c r="AI132" s="13" t="n">
        <f aca="false">IF(Time!AI53=1,(Waterfall!AI7)/$F$129,0)</f>
        <v>40.5895549878569</v>
      </c>
      <c r="AJ132" s="13" t="n">
        <f aca="false">IF(Time!AJ53=1,(Waterfall!AJ7)/$F$129,0)</f>
        <v>41.1032298152142</v>
      </c>
      <c r="AK132" s="13" t="n">
        <f aca="false">IF(Time!AK53=1,(Waterfall!AK7)/$F$129,0)</f>
        <v>40.8257488058831</v>
      </c>
      <c r="AL132" s="13" t="n">
        <f aca="false">IF(Time!AL53=1,(Waterfall!AL7)/$F$129,0)</f>
        <v>41.2484092880363</v>
      </c>
      <c r="AM132" s="13" t="n">
        <f aca="false">IF(Time!AM53=1,(Waterfall!AM7)/$F$129,0)</f>
        <v>41.5933663165456</v>
      </c>
      <c r="AN132" s="13" t="n">
        <f aca="false">IF(Time!AN53=1,(Waterfall!AN7)/$F$129,0)</f>
        <v>42.0973323092946</v>
      </c>
      <c r="AO132" s="13" t="n">
        <f aca="false">IF(Time!AO53=1,(Waterfall!AO7)/$F$129,0)</f>
        <v>39.5755222027553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812</v>
      </c>
      <c r="E133" s="0" t="s">
        <v>149</v>
      </c>
      <c r="J133" s="13" t="n">
        <f aca="false">IF(Time!J53=1,IF(Time!J20=Time!$F$13,Funding!$F$25,I133-I134),0)</f>
        <v>0</v>
      </c>
      <c r="K133" s="13" t="n">
        <f aca="false">IF(Time!K53=1,IF(Time!K20=Time!$F$13,Funding!$F$25,J133-J134),0)</f>
        <v>0</v>
      </c>
      <c r="L133" s="13" t="n">
        <f aca="false">IF(Time!L53=1,IF(Time!L20=Time!$F$13,Funding!$F$25,K133-K134),0)</f>
        <v>0</v>
      </c>
      <c r="M133" s="13" t="n">
        <f aca="false">IF(Time!M53=1,IF(Time!M20=Time!$F$13,Funding!$F$25,L133-L134),0)</f>
        <v>0</v>
      </c>
      <c r="N133" s="13" t="n">
        <f aca="false">IF(Time!N53=1,IF(Time!N20=Time!$F$13,Funding!$F$25,M133-M134),0)</f>
        <v>0</v>
      </c>
      <c r="O133" s="13" t="n">
        <f aca="false">IF(Time!O53=1,IF(Time!O20=Time!$F$13,Funding!$F$25,N133-N134),0)</f>
        <v>0</v>
      </c>
      <c r="P133" s="13" t="n">
        <f aca="false">IF(Time!P53=1,IF(Time!P20=Time!$F$13,Funding!$F$25,O133-O134),0)</f>
        <v>0</v>
      </c>
      <c r="Q133" s="13" t="n">
        <f aca="false">IF(Time!Q53=1,IF(Time!Q20=Time!$F$13,Funding!$F$25,P133-P134),0)</f>
        <v>633.255975542774</v>
      </c>
      <c r="R133" s="13" t="n">
        <f aca="false">IF(Time!R53=1,IF(Time!R20=Time!$F$13,Funding!$F$25,Q133-Q134),0)</f>
        <v>617.614144463529</v>
      </c>
      <c r="S133" s="13" t="n">
        <f aca="false">IF(Time!S53=1,IF(Time!S20=Time!$F$13,Funding!$F$25,R133-R134),0)</f>
        <v>609.62868632354</v>
      </c>
      <c r="T133" s="13" t="n">
        <f aca="false">IF(Time!T53=1,IF(Time!T20=Time!$F$13,Funding!$F$25,S133-S134),0)</f>
        <v>604.282537905677</v>
      </c>
      <c r="U133" s="13" t="n">
        <f aca="false">IF(Time!U53=1,IF(Time!U20=Time!$F$13,Funding!$F$25,T133-T134),0)</f>
        <v>585.206881454087</v>
      </c>
      <c r="V133" s="13" t="n">
        <f aca="false">IF(Time!V53=1,IF(Time!V20=Time!$F$13,Funding!$F$25,U133-U134),0)</f>
        <v>563.997999138147</v>
      </c>
      <c r="W133" s="13" t="n">
        <f aca="false">IF(Time!W53=1,IF(Time!W20=Time!$F$13,Funding!$F$25,V133-V134),0)</f>
        <v>542.720738350644</v>
      </c>
      <c r="X133" s="13" t="n">
        <f aca="false">IF(Time!X53=1,IF(Time!X20=Time!$F$13,Funding!$F$25,W133-W134),0)</f>
        <v>519.232857170262</v>
      </c>
      <c r="Y133" s="13" t="n">
        <f aca="false">IF(Time!Y53=1,IF(Time!Y20=Time!$F$13,Funding!$F$25,X133-X134),0)</f>
        <v>497.91751247189</v>
      </c>
      <c r="Z133" s="13" t="n">
        <f aca="false">IF(Time!Z53=1,IF(Time!Z20=Time!$F$13,Funding!$F$25,Y133-Y134),0)</f>
        <v>477.760685585045</v>
      </c>
      <c r="AA133" s="13" t="n">
        <f aca="false">IF(Time!AA53=1,IF(Time!AA20=Time!$F$13,Funding!$F$25,Z133-Z134),0)</f>
        <v>456.480679077311</v>
      </c>
      <c r="AB133" s="13" t="n">
        <f aca="false">IF(Time!AB53=1,IF(Time!AB20=Time!$F$13,Funding!$F$25,AA133-AA134),0)</f>
        <v>434.589694630359</v>
      </c>
      <c r="AC133" s="13" t="n">
        <f aca="false">IF(Time!AC53=1,IF(Time!AC20=Time!$F$13,Funding!$F$25,AB133-AB134),0)</f>
        <v>411.553101546908</v>
      </c>
      <c r="AD133" s="13" t="n">
        <f aca="false">IF(Time!AD53=1,IF(Time!AD20=Time!$F$13,Funding!$F$25,AC133-AC134),0)</f>
        <v>387.839895301481</v>
      </c>
      <c r="AE133" s="13" t="n">
        <f aca="false">IF(Time!AE53=1,IF(Time!AE20=Time!$F$13,Funding!$F$25,AD133-AD134),0)</f>
        <v>362.940224077025</v>
      </c>
      <c r="AF133" s="13" t="n">
        <f aca="false">IF(Time!AF53=1,IF(Time!AF20=Time!$F$13,Funding!$F$25,AE133-AE134),0)</f>
        <v>335.868903896269</v>
      </c>
      <c r="AG133" s="13" t="n">
        <f aca="false">IF(Time!AG53=1,IF(Time!AG20=Time!$F$13,Funding!$F$25,AF133-AF134),0)</f>
        <v>307.295886716075</v>
      </c>
      <c r="AH133" s="13" t="n">
        <f aca="false">IF(Time!AH53=1,IF(Time!AH20=Time!$F$13,Funding!$F$25,AG133-AG134),0)</f>
        <v>278.507513682725</v>
      </c>
      <c r="AI133" s="13" t="n">
        <f aca="false">IF(Time!AI53=1,IF(Time!AI20=Time!$F$13,Funding!$F$25,AH133-AH134),0)</f>
        <v>248.181268328189</v>
      </c>
      <c r="AJ133" s="13" t="n">
        <f aca="false">IF(Time!AJ53=1,IF(Time!AJ20=Time!$F$13,Funding!$F$25,AI133-AI134),0)</f>
        <v>216.8713804154</v>
      </c>
      <c r="AK133" s="13" t="n">
        <f aca="false">IF(Time!AK53=1,IF(Time!AK20=Time!$F$13,Funding!$F$25,AJ133-AJ134),0)</f>
        <v>183.980383420596</v>
      </c>
      <c r="AL133" s="13" t="n">
        <f aca="false">IF(Time!AL53=1,IF(Time!AL20=Time!$F$13,Funding!$F$25,AK133-AK134),0)</f>
        <v>150.077200812501</v>
      </c>
      <c r="AM133" s="13" t="n">
        <f aca="false">IF(Time!AM53=1,IF(Time!AM20=Time!$F$13,Funding!$F$25,AL133-AL134),0)</f>
        <v>114.532660677794</v>
      </c>
      <c r="AN133" s="13" t="n">
        <f aca="false">IF(Time!AN53=1,IF(Time!AN20=Time!$F$13,Funding!$F$25,AM133-AM134),0)</f>
        <v>77.2580569073471</v>
      </c>
      <c r="AO133" s="13" t="n">
        <f aca="false">IF(Time!AO53=1,IF(Time!AO20=Time!$F$13,Funding!$F$25,AN133-AN134),0)</f>
        <v>38.1303267409624</v>
      </c>
      <c r="AP133" s="13" t="n">
        <f aca="false">IF(Time!AP53=1,IF(Time!AP20=Time!$F$13,Funding!$F$25,AO133-AO134),0)</f>
        <v>0</v>
      </c>
      <c r="AQ133" s="13" t="n">
        <f aca="false">IF(Time!AQ53=1,IF(Time!AQ20=Time!$F$13,Funding!$F$25,AP133-AP134),0)</f>
        <v>0</v>
      </c>
      <c r="AR133" s="13" t="n">
        <f aca="false">IF(Time!AR53=1,IF(Time!AR20=Time!$F$13,Funding!$F$25,AQ133-AQ134),0)</f>
        <v>0</v>
      </c>
      <c r="AS133" s="13" t="n">
        <f aca="false">IF(Time!AS53=1,IF(Time!AS20=Time!$F$13,Funding!$F$25,AR133-AR134),0)</f>
        <v>0</v>
      </c>
      <c r="AT133" s="13" t="n">
        <f aca="false">IF(Time!AT53=1,IF(Time!AT20=Time!$F$13,Funding!$F$25,AS133-AS134),0)</f>
        <v>0</v>
      </c>
      <c r="AU133" s="13" t="n">
        <f aca="false">IF(Time!AU53=1,IF(Time!AU20=Time!$F$13,Funding!$F$25,AT133-AT134),0)</f>
        <v>0</v>
      </c>
      <c r="AV133" s="13" t="n">
        <f aca="false">IF(Time!AV53=1,IF(Time!AV20=Time!$F$13,Funding!$F$25,AU133-AU134),0)</f>
        <v>0</v>
      </c>
      <c r="AW133" s="13" t="n">
        <f aca="false">IF(Time!AW53=1,IF(Time!AW20=Time!$F$13,Funding!$F$25,AV133-AV134),0)</f>
        <v>0</v>
      </c>
      <c r="AX133" s="13" t="n">
        <f aca="false">IF(Time!AX53=1,IF(Time!AX20=Time!$F$13,Funding!$F$25,AW133-AW134),0)</f>
        <v>0</v>
      </c>
      <c r="AY133" s="13" t="n">
        <f aca="false">IF(Time!AY53=1,IF(Time!AY20=Time!$F$13,Funding!$F$25,AX133-AX134),0)</f>
        <v>0</v>
      </c>
      <c r="AZ133" s="13" t="n">
        <f aca="false">IF(Time!AZ53=1,IF(Time!AZ20=Time!$F$13,Funding!$F$25,AY133-AY134),0)</f>
        <v>0</v>
      </c>
      <c r="BA133" s="13" t="n">
        <f aca="false">IF(Time!BA53=1,IF(Time!BA20=Time!$F$13,Funding!$F$25,AZ133-AZ134),0)</f>
        <v>0</v>
      </c>
      <c r="BB133" s="13" t="n">
        <f aca="false">IF(Time!BB53=1,IF(Time!BB20=Time!$F$13,Funding!$F$25,BA133-BA134),0)</f>
        <v>0</v>
      </c>
      <c r="BC133" s="13" t="n">
        <f aca="false">IF(Time!BC53=1,IF(Time!BC20=Time!$F$13,Funding!$F$25,BB133-BB134),0)</f>
        <v>0</v>
      </c>
      <c r="BD133" s="13" t="n">
        <f aca="false">IF(Time!BD53=1,IF(Time!BD20=Time!$F$13,Funding!$F$25,BC133-BC134),0)</f>
        <v>0</v>
      </c>
      <c r="BE133" s="13" t="n">
        <f aca="false">IF(Time!BE53=1,IF(Time!BE20=Time!$F$13,Funding!$F$25,BD133-BD134),0)</f>
        <v>0</v>
      </c>
      <c r="BF133" s="13" t="n">
        <f aca="false">IF(Time!BF53=1,IF(Time!BF20=Time!$F$13,Funding!$F$25,BE133-BE134),0)</f>
        <v>0</v>
      </c>
      <c r="BG133" s="13" t="n">
        <f aca="false">IF(Time!BG53=1,IF(Time!BG20=Time!$F$13,Funding!$F$25,BF133-BF134),0)</f>
        <v>0</v>
      </c>
      <c r="BH133" s="13" t="n">
        <f aca="false">IF(Time!BH53=1,IF(Time!BH20=Time!$F$13,Funding!$F$25,BG133-BG134),0)</f>
        <v>0</v>
      </c>
      <c r="BI133" s="13" t="n">
        <f aca="false">IF(Time!BI53=1,IF(Time!BI20=Time!$F$13,Funding!$F$25,BH133-BH134),0)</f>
        <v>0</v>
      </c>
      <c r="BJ133" s="13" t="n">
        <f aca="false">IF(Time!BJ53=1,IF(Time!BJ20=Time!$F$13,Funding!$F$25,BI133-BI134),0)</f>
        <v>0</v>
      </c>
      <c r="BK133" s="13" t="n">
        <f aca="false">IF(Time!BK53=1,IF(Time!BK20=Time!$F$13,Funding!$F$25,BJ133-BJ134),0)</f>
        <v>0</v>
      </c>
      <c r="BL133" s="13" t="n">
        <f aca="false">IF(Time!BL53=1,IF(Time!BL20=Time!$F$13,Funding!$F$25,BK133-BK134),0)</f>
        <v>0</v>
      </c>
      <c r="BM133" s="13" t="n">
        <f aca="false">IF(Time!BM53=1,IF(Time!BM20=Time!$F$13,Funding!$F$25,BL133-BL134),0)</f>
        <v>0</v>
      </c>
      <c r="BN133" s="13" t="n">
        <f aca="false">IF(Time!BN53=1,IF(Time!BN20=Time!$F$13,Funding!$F$25,BM133-BM134),0)</f>
        <v>0</v>
      </c>
    </row>
    <row r="134" customFormat="false" ht="15" hidden="false" customHeight="false" outlineLevel="0" collapsed="false">
      <c r="D134" s="0" t="s">
        <v>813</v>
      </c>
      <c r="E134" s="0" t="s">
        <v>149</v>
      </c>
      <c r="J134" s="13" t="n">
        <f aca="false">J132-J133*J127</f>
        <v>0</v>
      </c>
      <c r="K134" s="13" t="n">
        <f aca="false">K132-K133*K127</f>
        <v>0</v>
      </c>
      <c r="L134" s="13" t="n">
        <f aca="false">L132-L133*L127</f>
        <v>0</v>
      </c>
      <c r="M134" s="13" t="n">
        <f aca="false">M132-M133*M127</f>
        <v>0</v>
      </c>
      <c r="N134" s="13" t="n">
        <f aca="false">N132-N133*N127</f>
        <v>0</v>
      </c>
      <c r="O134" s="13" t="n">
        <f aca="false">O132-O133*O127</f>
        <v>0</v>
      </c>
      <c r="P134" s="13" t="n">
        <f aca="false">P132-P133*P127</f>
        <v>0</v>
      </c>
      <c r="Q134" s="13" t="n">
        <f aca="false">Q132-Q133*Q127</f>
        <v>15.6418310792453</v>
      </c>
      <c r="R134" s="13" t="n">
        <f aca="false">R132-R133*R127</f>
        <v>7.98545813998895</v>
      </c>
      <c r="S134" s="13" t="n">
        <f aca="false">S132-S133*S127</f>
        <v>5.3461484178629</v>
      </c>
      <c r="T134" s="13" t="n">
        <f aca="false">T132-T133*T127</f>
        <v>19.07565645159</v>
      </c>
      <c r="U134" s="13" t="n">
        <f aca="false">U132-U133*U127</f>
        <v>21.2088823159398</v>
      </c>
      <c r="V134" s="13" t="n">
        <f aca="false">V132-V133*V127</f>
        <v>21.2772607875037</v>
      </c>
      <c r="W134" s="13" t="n">
        <f aca="false">W132-W133*W127</f>
        <v>23.4878811803814</v>
      </c>
      <c r="X134" s="13" t="n">
        <f aca="false">X132-X133*X127</f>
        <v>21.3153446983721</v>
      </c>
      <c r="Y134" s="13" t="n">
        <f aca="false">Y132-Y133*Y127</f>
        <v>20.1568268868447</v>
      </c>
      <c r="Z134" s="13" t="n">
        <f aca="false">Z132-Z133*Z127</f>
        <v>21.2800065077345</v>
      </c>
      <c r="AA134" s="13" t="n">
        <f aca="false">AA132-AA133*AA127</f>
        <v>21.8909844469518</v>
      </c>
      <c r="AB134" s="13" t="n">
        <f aca="false">AB132-AB133*AB127</f>
        <v>23.0365930834511</v>
      </c>
      <c r="AC134" s="13" t="n">
        <f aca="false">AC132-AC133*AC127</f>
        <v>23.7132062454269</v>
      </c>
      <c r="AD134" s="13" t="n">
        <f aca="false">AD132-AD133*AD127</f>
        <v>24.8996712244561</v>
      </c>
      <c r="AE134" s="13" t="n">
        <f aca="false">AE132-AE133*AE127</f>
        <v>27.0713201807565</v>
      </c>
      <c r="AF134" s="13" t="n">
        <f aca="false">AF132-AF133*AF127</f>
        <v>28.5730171801935</v>
      </c>
      <c r="AG134" s="13" t="n">
        <f aca="false">AG132-AG133*AG127</f>
        <v>28.7883730333503</v>
      </c>
      <c r="AH134" s="13" t="n">
        <f aca="false">AH132-AH133*AH127</f>
        <v>30.3262453545361</v>
      </c>
      <c r="AI134" s="13" t="n">
        <f aca="false">AI132-AI133*AI127</f>
        <v>31.3098879127885</v>
      </c>
      <c r="AJ134" s="13" t="n">
        <f aca="false">AJ132-AJ133*AJ127</f>
        <v>32.8909969948044</v>
      </c>
      <c r="AK134" s="13" t="n">
        <f aca="false">AK132-AK133*AK127</f>
        <v>33.9031826080948</v>
      </c>
      <c r="AL134" s="13" t="n">
        <f aca="false">AL132-AL133*AL127</f>
        <v>35.5445401347069</v>
      </c>
      <c r="AM134" s="13" t="n">
        <f aca="false">AM132-AM133*AM127</f>
        <v>37.2746037704471</v>
      </c>
      <c r="AN134" s="13" t="n">
        <f aca="false">AN132-AN133*AN127</f>
        <v>39.1277301663847</v>
      </c>
      <c r="AO134" s="13" t="n">
        <f aca="false">AO132-AO133*AO127</f>
        <v>38.1303267409629</v>
      </c>
      <c r="AP134" s="13" t="n">
        <f aca="false">AP132-AP133*AP127</f>
        <v>0</v>
      </c>
      <c r="AQ134" s="13" t="n">
        <f aca="false">AQ132-AQ133*AQ127</f>
        <v>0</v>
      </c>
      <c r="AR134" s="13" t="n">
        <f aca="false">AR132-AR133*AR127</f>
        <v>0</v>
      </c>
      <c r="AS134" s="13" t="n">
        <f aca="false">AS132-AS133*AS127</f>
        <v>0</v>
      </c>
      <c r="AT134" s="13" t="n">
        <f aca="false">AT132-AT133*AT127</f>
        <v>0</v>
      </c>
      <c r="AU134" s="13" t="n">
        <f aca="false">AU132-AU133*AU127</f>
        <v>0</v>
      </c>
      <c r="AV134" s="13" t="n">
        <f aca="false">AV132-AV133*AV127</f>
        <v>0</v>
      </c>
      <c r="AW134" s="13" t="n">
        <f aca="false">AW132-AW133*AW127</f>
        <v>0</v>
      </c>
      <c r="AX134" s="13" t="n">
        <f aca="false">AX132-AX133*AX127</f>
        <v>0</v>
      </c>
      <c r="AY134" s="13" t="n">
        <f aca="false">AY132-AY133*AY127</f>
        <v>0</v>
      </c>
      <c r="AZ134" s="13" t="n">
        <f aca="false">AZ132-AZ133*AZ127</f>
        <v>0</v>
      </c>
      <c r="BA134" s="13" t="n">
        <f aca="false">BA132-BA133*BA127</f>
        <v>0</v>
      </c>
      <c r="BB134" s="13" t="n">
        <f aca="false">BB132-BB133*BB127</f>
        <v>0</v>
      </c>
      <c r="BC134" s="13" t="n">
        <f aca="false">BC132-BC133*BC127</f>
        <v>0</v>
      </c>
      <c r="BD134" s="13" t="n">
        <f aca="false">BD132-BD133*BD127</f>
        <v>0</v>
      </c>
      <c r="BE134" s="13" t="n">
        <f aca="false">BE132-BE133*BE127</f>
        <v>0</v>
      </c>
      <c r="BF134" s="13" t="n">
        <f aca="false">BF132-BF133*BF127</f>
        <v>0</v>
      </c>
      <c r="BG134" s="13" t="n">
        <f aca="false">BG132-BG133*BG127</f>
        <v>0</v>
      </c>
      <c r="BH134" s="13" t="n">
        <f aca="false">BH132-BH133*BH127</f>
        <v>0</v>
      </c>
      <c r="BI134" s="13" t="n">
        <f aca="false">BI132-BI133*BI127</f>
        <v>0</v>
      </c>
      <c r="BJ134" s="13" t="n">
        <f aca="false">BJ132-BJ133*BJ127</f>
        <v>0</v>
      </c>
      <c r="BK134" s="13" t="n">
        <f aca="false">BK132-BK133*BK127</f>
        <v>0</v>
      </c>
      <c r="BL134" s="13" t="n">
        <f aca="false">BL132-BL133*BL127</f>
        <v>0</v>
      </c>
      <c r="BM134" s="13" t="n">
        <f aca="false">BM132-BM133*BM127</f>
        <v>0</v>
      </c>
      <c r="BN134" s="13" t="n">
        <f aca="false">BN132-BN133*BN127</f>
        <v>0</v>
      </c>
    </row>
    <row r="135" customFormat="false" ht="15" hidden="false" customHeight="false" outlineLevel="0" collapsed="false">
      <c r="D135" s="0" t="s">
        <v>814</v>
      </c>
      <c r="E135" s="0" t="s">
        <v>149</v>
      </c>
      <c r="J135" s="13" t="n">
        <f aca="false">IF(Inputs!$F$8=1,J134-Time!J53*Inputs!J298*Funding!$F$25,0)</f>
        <v>0</v>
      </c>
      <c r="K135" s="13" t="n">
        <f aca="false">IF(Inputs!$F$8=1,K134-Time!K53*Inputs!K298*Funding!$F$25,0)</f>
        <v>0</v>
      </c>
      <c r="L135" s="13" t="n">
        <f aca="false">IF(Inputs!$F$8=1,L134-Time!L53*Inputs!L298*Funding!$F$25,0)</f>
        <v>0</v>
      </c>
      <c r="M135" s="13" t="n">
        <f aca="false">IF(Inputs!$F$8=1,M134-Time!M53*Inputs!M298*Funding!$F$25,0)</f>
        <v>0</v>
      </c>
      <c r="N135" s="13" t="n">
        <f aca="false">IF(Inputs!$F$8=1,N134-Time!N53*Inputs!N298*Funding!$F$25,0)</f>
        <v>0</v>
      </c>
      <c r="O135" s="13" t="n">
        <f aca="false">IF(Inputs!$F$8=1,O134-Time!O53*Inputs!O298*Funding!$F$25,0)</f>
        <v>0</v>
      </c>
      <c r="P135" s="13" t="n">
        <f aca="false">IF(Inputs!$F$8=1,P134-Time!P53*Inputs!P298*Funding!$F$25,0)</f>
        <v>0</v>
      </c>
      <c r="Q135" s="13" t="n">
        <f aca="false">IF(Inputs!$F$8=1,Q134-Time!Q53*Inputs!Q298*Funding!$F$25,0)</f>
        <v>0</v>
      </c>
      <c r="R135" s="13" t="n">
        <f aca="false">IF(Inputs!$F$8=1,R134-Time!R53*Inputs!R298*Funding!$F$25,0)</f>
        <v>0</v>
      </c>
      <c r="S135" s="13" t="n">
        <f aca="false">IF(Inputs!$F$8=1,S134-Time!S53*Inputs!S298*Funding!$F$25,0)</f>
        <v>0</v>
      </c>
      <c r="T135" s="13" t="n">
        <f aca="false">IF(Inputs!$F$8=1,T134-Time!T53*Inputs!T298*Funding!$F$25,0)</f>
        <v>0</v>
      </c>
      <c r="U135" s="13" t="n">
        <f aca="false">IF(Inputs!$F$8=1,U134-Time!U53*Inputs!U298*Funding!$F$25,0)</f>
        <v>0</v>
      </c>
      <c r="V135" s="13" t="n">
        <f aca="false">IF(Inputs!$F$8=1,V134-Time!V53*Inputs!V298*Funding!$F$25,0)</f>
        <v>0</v>
      </c>
      <c r="W135" s="13" t="n">
        <f aca="false">IF(Inputs!$F$8=1,W134-Time!W53*Inputs!W298*Funding!$F$25,0)</f>
        <v>0</v>
      </c>
      <c r="X135" s="13" t="n">
        <f aca="false">IF(Inputs!$F$8=1,X134-Time!X53*Inputs!X298*Funding!$F$25,0)</f>
        <v>0</v>
      </c>
      <c r="Y135" s="13" t="n">
        <f aca="false">IF(Inputs!$F$8=1,Y134-Time!Y53*Inputs!Y298*Funding!$F$25,0)</f>
        <v>0</v>
      </c>
      <c r="Z135" s="13" t="n">
        <f aca="false">IF(Inputs!$F$8=1,Z134-Time!Z53*Inputs!Z298*Funding!$F$25,0)</f>
        <v>0</v>
      </c>
      <c r="AA135" s="13" t="n">
        <f aca="false">IF(Inputs!$F$8=1,AA134-Time!AA53*Inputs!AA298*Funding!$F$25,0)</f>
        <v>0</v>
      </c>
      <c r="AB135" s="13" t="n">
        <f aca="false">IF(Inputs!$F$8=1,AB134-Time!AB53*Inputs!AB298*Funding!$F$25,0)</f>
        <v>0</v>
      </c>
      <c r="AC135" s="13" t="n">
        <f aca="false">IF(Inputs!$F$8=1,AC134-Time!AC53*Inputs!AC298*Funding!$F$25,0)</f>
        <v>0</v>
      </c>
      <c r="AD135" s="13" t="n">
        <f aca="false">IF(Inputs!$F$8=1,AD134-Time!AD53*Inputs!AD298*Funding!$F$25,0)</f>
        <v>0</v>
      </c>
      <c r="AE135" s="13" t="n">
        <f aca="false">IF(Inputs!$F$8=1,AE134-Time!AE53*Inputs!AE298*Funding!$F$25,0)</f>
        <v>0</v>
      </c>
      <c r="AF135" s="13" t="n">
        <f aca="false">IF(Inputs!$F$8=1,AF134-Time!AF53*Inputs!AF298*Funding!$F$25,0)</f>
        <v>0</v>
      </c>
      <c r="AG135" s="13" t="n">
        <f aca="false">IF(Inputs!$F$8=1,AG134-Time!AG53*Inputs!AG298*Funding!$F$25,0)</f>
        <v>0</v>
      </c>
      <c r="AH135" s="13" t="n">
        <f aca="false">IF(Inputs!$F$8=1,AH134-Time!AH53*Inputs!AH298*Funding!$F$25,0)</f>
        <v>0</v>
      </c>
      <c r="AI135" s="13" t="n">
        <f aca="false">IF(Inputs!$F$8=1,AI134-Time!AI53*Inputs!AI298*Funding!$F$25,0)</f>
        <v>0</v>
      </c>
      <c r="AJ135" s="13" t="n">
        <f aca="false">IF(Inputs!$F$8=1,AJ134-Time!AJ53*Inputs!AJ298*Funding!$F$25,0)</f>
        <v>0</v>
      </c>
      <c r="AK135" s="13" t="n">
        <f aca="false">IF(Inputs!$F$8=1,AK134-Time!AK53*Inputs!AK298*Funding!$F$25,0)</f>
        <v>0</v>
      </c>
      <c r="AL135" s="13" t="n">
        <f aca="false">IF(Inputs!$F$8=1,AL134-Time!AL53*Inputs!AL298*Funding!$F$25,0)</f>
        <v>0</v>
      </c>
      <c r="AM135" s="13" t="n">
        <f aca="false">IF(Inputs!$F$8=1,AM134-Time!AM53*Inputs!AM298*Funding!$F$25,0)</f>
        <v>0</v>
      </c>
      <c r="AN135" s="13" t="n">
        <f aca="false">IF(Inputs!$F$8=1,AN134-Time!AN53*Inputs!AN298*Funding!$F$25,0)</f>
        <v>0</v>
      </c>
      <c r="AO135" s="13" t="n">
        <f aca="false">IF(Inputs!$F$8=1,AO134-Time!AO53*Inputs!AO298*Funding!$F$25,0)</f>
        <v>0</v>
      </c>
      <c r="AP135" s="13" t="n">
        <f aca="false">IF(Inputs!$F$8=1,AP134-Time!AP53*Inputs!AP298*Funding!$F$25,0)</f>
        <v>0</v>
      </c>
      <c r="AQ135" s="13" t="n">
        <f aca="false">IF(Inputs!$F$8=1,AQ134-Time!AQ53*Inputs!AQ298*Funding!$F$25,0)</f>
        <v>0</v>
      </c>
      <c r="AR135" s="13" t="n">
        <f aca="false">IF(Inputs!$F$8=1,AR134-Time!AR53*Inputs!AR298*Funding!$F$25,0)</f>
        <v>0</v>
      </c>
      <c r="AS135" s="13" t="n">
        <f aca="false">IF(Inputs!$F$8=1,AS134-Time!AS53*Inputs!AS298*Funding!$F$25,0)</f>
        <v>0</v>
      </c>
      <c r="AT135" s="13" t="n">
        <f aca="false">IF(Inputs!$F$8=1,AT134-Time!AT53*Inputs!AT298*Funding!$F$25,0)</f>
        <v>0</v>
      </c>
      <c r="AU135" s="13" t="n">
        <f aca="false">IF(Inputs!$F$8=1,AU134-Time!AU53*Inputs!AU298*Funding!$F$25,0)</f>
        <v>0</v>
      </c>
      <c r="AV135" s="13" t="n">
        <f aca="false">IF(Inputs!$F$8=1,AV134-Time!AV53*Inputs!AV298*Funding!$F$25,0)</f>
        <v>0</v>
      </c>
      <c r="AW135" s="13" t="n">
        <f aca="false">IF(Inputs!$F$8=1,AW134-Time!AW53*Inputs!AW298*Funding!$F$25,0)</f>
        <v>0</v>
      </c>
      <c r="AX135" s="13" t="n">
        <f aca="false">IF(Inputs!$F$8=1,AX134-Time!AX53*Inputs!AX298*Funding!$F$25,0)</f>
        <v>0</v>
      </c>
      <c r="AY135" s="13" t="n">
        <f aca="false">IF(Inputs!$F$8=1,AY134-Time!AY53*Inputs!AY298*Funding!$F$25,0)</f>
        <v>0</v>
      </c>
      <c r="AZ135" s="13" t="n">
        <f aca="false">IF(Inputs!$F$8=1,AZ134-Time!AZ53*Inputs!AZ298*Funding!$F$25,0)</f>
        <v>0</v>
      </c>
      <c r="BA135" s="13" t="n">
        <f aca="false">IF(Inputs!$F$8=1,BA134-Time!BA53*Inputs!BA298*Funding!$F$25,0)</f>
        <v>0</v>
      </c>
      <c r="BB135" s="13" t="n">
        <f aca="false">IF(Inputs!$F$8=1,BB134-Time!BB53*Inputs!BB298*Funding!$F$25,0)</f>
        <v>0</v>
      </c>
      <c r="BC135" s="13" t="n">
        <f aca="false">IF(Inputs!$F$8=1,BC134-Time!BC53*Inputs!BC298*Funding!$F$25,0)</f>
        <v>0</v>
      </c>
      <c r="BD135" s="13" t="n">
        <f aca="false">IF(Inputs!$F$8=1,BD134-Time!BD53*Inputs!BD298*Funding!$F$25,0)</f>
        <v>0</v>
      </c>
      <c r="BE135" s="13" t="n">
        <f aca="false">IF(Inputs!$F$8=1,BE134-Time!BE53*Inputs!BE298*Funding!$F$25,0)</f>
        <v>0</v>
      </c>
      <c r="BF135" s="13" t="n">
        <f aca="false">IF(Inputs!$F$8=1,BF134-Time!BF53*Inputs!BF298*Funding!$F$25,0)</f>
        <v>0</v>
      </c>
      <c r="BG135" s="13" t="n">
        <f aca="false">IF(Inputs!$F$8=1,BG134-Time!BG53*Inputs!BG298*Funding!$F$25,0)</f>
        <v>0</v>
      </c>
      <c r="BH135" s="13" t="n">
        <f aca="false">IF(Inputs!$F$8=1,BH134-Time!BH53*Inputs!BH298*Funding!$F$25,0)</f>
        <v>0</v>
      </c>
      <c r="BI135" s="13" t="n">
        <f aca="false">IF(Inputs!$F$8=1,BI134-Time!BI53*Inputs!BI298*Funding!$F$25,0)</f>
        <v>0</v>
      </c>
      <c r="BJ135" s="13" t="n">
        <f aca="false">IF(Inputs!$F$8=1,BJ134-Time!BJ53*Inputs!BJ298*Funding!$F$25,0)</f>
        <v>0</v>
      </c>
      <c r="BK135" s="13" t="n">
        <f aca="false">IF(Inputs!$F$8=1,BK134-Time!BK53*Inputs!BK298*Funding!$F$25,0)</f>
        <v>0</v>
      </c>
      <c r="BL135" s="13" t="n">
        <f aca="false">IF(Inputs!$F$8=1,BL134-Time!BL53*Inputs!BL298*Funding!$F$25,0)</f>
        <v>0</v>
      </c>
      <c r="BM135" s="13" t="n">
        <f aca="false">IF(Inputs!$F$8=1,BM134-Time!BM53*Inputs!BM298*Funding!$F$25,0)</f>
        <v>0</v>
      </c>
      <c r="BN135" s="13" t="n">
        <f aca="false">IF(Inputs!$F$8=1,BN134-Time!BN53*Inputs!BN298*Funding!$F$25,0)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816</v>
      </c>
      <c r="E7" s="0" t="s">
        <v>149</v>
      </c>
      <c r="G7" s="13" t="n">
        <f aca="false">SUM(J7:BN7)</f>
        <v>58.3764680028158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</v>
      </c>
      <c r="Q7" s="13" t="n">
        <f aca="false">SUM(Operations!R79:W79)/Inputs!$F$225</f>
        <v>0.461862459987209</v>
      </c>
      <c r="R7" s="13" t="n">
        <f aca="false">SUM(Operations!S79:X79)/Inputs!$F$225</f>
        <v>0.461862459987209</v>
      </c>
      <c r="S7" s="13" t="n">
        <f aca="false">SUM(Operations!T79:Y79)/Inputs!$F$225</f>
        <v>0.461862459987209</v>
      </c>
      <c r="T7" s="13" t="n">
        <f aca="false">SUM(Operations!U79:Z79)/Inputs!$F$225</f>
        <v>0.461862459987209</v>
      </c>
      <c r="U7" s="13" t="n">
        <f aca="false">SUM(Operations!V79:AA79)/Inputs!$F$225</f>
        <v>0.461862459987209</v>
      </c>
      <c r="V7" s="13" t="n">
        <f aca="false">SUM(Operations!W79:AB79)/Inputs!$F$225</f>
        <v>0.461862459987209</v>
      </c>
      <c r="W7" s="13" t="n">
        <f aca="false">SUM(Operations!X79:AC79)/Inputs!$F$225</f>
        <v>0</v>
      </c>
      <c r="X7" s="13" t="n">
        <f aca="false">SUM(Operations!Y79:AD79)/Inputs!$F$225</f>
        <v>0</v>
      </c>
      <c r="Y7" s="13" t="n">
        <f aca="false">SUM(Operations!Z79:AE79)/Inputs!$F$225</f>
        <v>2.21030150352295</v>
      </c>
      <c r="Z7" s="13" t="n">
        <f aca="false">SUM(Operations!AA79:AF79)/Inputs!$F$225</f>
        <v>2.21030150352295</v>
      </c>
      <c r="AA7" s="13" t="n">
        <f aca="false">SUM(Operations!AB79:AG79)/Inputs!$F$225</f>
        <v>2.21030150352295</v>
      </c>
      <c r="AB7" s="13" t="n">
        <f aca="false">SUM(Operations!AC79:AH79)/Inputs!$F$225</f>
        <v>2.21030150352295</v>
      </c>
      <c r="AC7" s="13" t="n">
        <f aca="false">SUM(Operations!AD79:AI79)/Inputs!$F$225</f>
        <v>2.21030150352295</v>
      </c>
      <c r="AD7" s="13" t="n">
        <f aca="false">SUM(Operations!AE79:AJ79)/Inputs!$F$225</f>
        <v>2.21030150352295</v>
      </c>
      <c r="AE7" s="13" t="n">
        <f aca="false">SUM(Operations!AF79:AK79)/Inputs!$F$225</f>
        <v>0</v>
      </c>
      <c r="AF7" s="13" t="n">
        <f aca="false">SUM(Operations!AG79:AL79)/Inputs!$F$225</f>
        <v>0</v>
      </c>
      <c r="AG7" s="13" t="n">
        <f aca="false">SUM(Operations!AH79:AM79)/Inputs!$F$225</f>
        <v>0.557263461848642</v>
      </c>
      <c r="AH7" s="13" t="n">
        <f aca="false">SUM(Operations!AI79:AN79)/Inputs!$F$225</f>
        <v>0.557263461848642</v>
      </c>
      <c r="AI7" s="13" t="n">
        <f aca="false">SUM(Operations!AJ79:AO79)/Inputs!$F$225</f>
        <v>0.557263461848642</v>
      </c>
      <c r="AJ7" s="13" t="n">
        <f aca="false">SUM(Operations!AK79:AP79)/Inputs!$F$225</f>
        <v>0.557263461848642</v>
      </c>
      <c r="AK7" s="13" t="n">
        <f aca="false">SUM(Operations!AL79:AQ79)/Inputs!$F$225</f>
        <v>0.557263461848642</v>
      </c>
      <c r="AL7" s="13" t="n">
        <f aca="false">SUM(Operations!AM79:AR79)/Inputs!$F$225</f>
        <v>0.557263461848642</v>
      </c>
      <c r="AM7" s="13" t="n">
        <f aca="false">SUM(Operations!AN79:AS79)/Inputs!$F$225</f>
        <v>0</v>
      </c>
      <c r="AN7" s="13" t="n">
        <f aca="false">SUM(Operations!AO79:AT79)/Inputs!$F$225</f>
        <v>0</v>
      </c>
      <c r="AO7" s="13" t="n">
        <f aca="false">SUM(Operations!AP79:AU79)/Inputs!$F$225</f>
        <v>2.65128606259277</v>
      </c>
      <c r="AP7" s="13" t="n">
        <f aca="false">SUM(Operations!AQ79:AV79)/Inputs!$F$225</f>
        <v>2.65128606259277</v>
      </c>
      <c r="AQ7" s="13" t="n">
        <f aca="false">SUM(Operations!AR79:AW79)/Inputs!$F$225</f>
        <v>2.65128606259277</v>
      </c>
      <c r="AR7" s="13" t="n">
        <f aca="false">SUM(Operations!AS79:AX79)/Inputs!$F$225</f>
        <v>2.65128606259277</v>
      </c>
      <c r="AS7" s="13" t="n">
        <f aca="false">SUM(Operations!AT79:AY79)/Inputs!$F$225</f>
        <v>2.65128606259277</v>
      </c>
      <c r="AT7" s="13" t="n">
        <f aca="false">SUM(Operations!AU79:AZ79)/Inputs!$F$225</f>
        <v>2.65128606259277</v>
      </c>
      <c r="AU7" s="13" t="n">
        <f aca="false">SUM(Operations!AV79:BA79)/Inputs!$F$225</f>
        <v>0</v>
      </c>
      <c r="AV7" s="13" t="n">
        <f aca="false">SUM(Operations!AW79:BB79)/Inputs!$F$225</f>
        <v>0</v>
      </c>
      <c r="AW7" s="13" t="n">
        <f aca="false">SUM(Operations!AX79:BC79)/Inputs!$F$225</f>
        <v>0.668444937143915</v>
      </c>
      <c r="AX7" s="13" t="n">
        <f aca="false">SUM(Operations!AY79:BD79)/Inputs!$F$225</f>
        <v>0.668444937143915</v>
      </c>
      <c r="AY7" s="13" t="n">
        <f aca="false">SUM(Operations!AZ79:BE79)/Inputs!$F$225</f>
        <v>0.668444937143915</v>
      </c>
      <c r="AZ7" s="13" t="n">
        <f aca="false">SUM(Operations!BA79:BF79)/Inputs!$F$225</f>
        <v>0.668444937143915</v>
      </c>
      <c r="BA7" s="13" t="n">
        <f aca="false">SUM(Operations!BB79:BG79)/Inputs!$F$225</f>
        <v>0.668444937143915</v>
      </c>
      <c r="BB7" s="13" t="n">
        <f aca="false">SUM(Operations!BC79:BH79)/Inputs!$F$225</f>
        <v>0.668444937143915</v>
      </c>
      <c r="BC7" s="13" t="n">
        <f aca="false">SUM(Operations!BD79:BI79)/Inputs!$F$225</f>
        <v>0</v>
      </c>
      <c r="BD7" s="13" t="n">
        <f aca="false">SUM(Operations!BE79:BJ79)/Inputs!$F$225</f>
        <v>0</v>
      </c>
      <c r="BE7" s="13" t="n">
        <f aca="false">SUM(Operations!BF79:BK79)/Inputs!$F$225</f>
        <v>3.18025290870715</v>
      </c>
      <c r="BF7" s="13" t="n">
        <f aca="false">SUM(Operations!BG79:BL79)/Inputs!$F$225</f>
        <v>3.18025290870715</v>
      </c>
      <c r="BG7" s="13" t="n">
        <f aca="false">SUM(Operations!BH79:BM79)/Inputs!$F$225</f>
        <v>3.18025290870715</v>
      </c>
      <c r="BH7" s="13" t="n">
        <f aca="false">SUM(Operations!BI79:BN79)/Inputs!$F$225</f>
        <v>3.18025290870715</v>
      </c>
      <c r="BI7" s="13" t="n">
        <f aca="false">SUM(Operations!BJ79:BO79)/Inputs!$F$225</f>
        <v>3.18025290870715</v>
      </c>
      <c r="BJ7" s="13" t="n">
        <f aca="false">SUM(Operations!BK79:BP79)/Inputs!$F$225</f>
        <v>3.18025290870715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817</v>
      </c>
      <c r="E8" s="0" t="s">
        <v>149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</v>
      </c>
      <c r="Q8" s="13" t="n">
        <f aca="false">P8+Q7-Operations!Q79</f>
        <v>0.461862459987209</v>
      </c>
      <c r="R8" s="13" t="n">
        <f aca="false">Q8+R7-Operations!R79</f>
        <v>0.923724919974417</v>
      </c>
      <c r="S8" s="13" t="n">
        <f aca="false">R8+S7-Operations!S79</f>
        <v>1.38558737996163</v>
      </c>
      <c r="T8" s="13" t="n">
        <f aca="false">S8+T7-Operations!T79</f>
        <v>1.84744983994883</v>
      </c>
      <c r="U8" s="13" t="n">
        <f aca="false">T8+U7-Operations!U79</f>
        <v>2.30931229993604</v>
      </c>
      <c r="V8" s="13" t="n">
        <f aca="false">U8+V7-Operations!V79</f>
        <v>2.77117475992325</v>
      </c>
      <c r="W8" s="13" t="n">
        <f aca="false">V8+W7-Operations!W79</f>
        <v>0</v>
      </c>
      <c r="X8" s="13" t="n">
        <f aca="false">W8+X7-Operations!X79</f>
        <v>0</v>
      </c>
      <c r="Y8" s="13" t="n">
        <f aca="false">X8+Y7-Operations!Y79</f>
        <v>2.21030150352295</v>
      </c>
      <c r="Z8" s="13" t="n">
        <f aca="false">Y8+Z7-Operations!Z79</f>
        <v>4.42060300704591</v>
      </c>
      <c r="AA8" s="13" t="n">
        <f aca="false">Z8+AA7-Operations!AA79</f>
        <v>6.63090451056886</v>
      </c>
      <c r="AB8" s="13" t="n">
        <f aca="false">AA8+AB7-Operations!AB79</f>
        <v>8.84120601409181</v>
      </c>
      <c r="AC8" s="13" t="n">
        <f aca="false">AB8+AC7-Operations!AC79</f>
        <v>11.0515075176148</v>
      </c>
      <c r="AD8" s="13" t="n">
        <f aca="false">AC8+AD7-Operations!AD79</f>
        <v>13.2618090211377</v>
      </c>
      <c r="AE8" s="13" t="n">
        <f aca="false">AD8+AE7-Operations!AE79</f>
        <v>0</v>
      </c>
      <c r="AF8" s="13" t="n">
        <f aca="false">AE8+AF7-Operations!AF79</f>
        <v>0</v>
      </c>
      <c r="AG8" s="13" t="n">
        <f aca="false">AF8+AG7-Operations!AG79</f>
        <v>0.557263461848642</v>
      </c>
      <c r="AH8" s="13" t="n">
        <f aca="false">AG8+AH7-Operations!AH79</f>
        <v>1.11452692369728</v>
      </c>
      <c r="AI8" s="13" t="n">
        <f aca="false">AH8+AI7-Operations!AI79</f>
        <v>1.67179038554593</v>
      </c>
      <c r="AJ8" s="13" t="n">
        <f aca="false">AI8+AJ7-Operations!AJ79</f>
        <v>2.22905384739457</v>
      </c>
      <c r="AK8" s="13" t="n">
        <f aca="false">AJ8+AK7-Operations!AK79</f>
        <v>2.78631730924321</v>
      </c>
      <c r="AL8" s="13" t="n">
        <f aca="false">AK8+AL7-Operations!AL79</f>
        <v>3.34358077109185</v>
      </c>
      <c r="AM8" s="13" t="n">
        <f aca="false">AL8+AM7-Operations!AM79</f>
        <v>0</v>
      </c>
      <c r="AN8" s="13" t="n">
        <f aca="false">AM8+AN7-Operations!AN79</f>
        <v>0</v>
      </c>
      <c r="AO8" s="13" t="n">
        <f aca="false">AN8+AO7-Operations!AO79</f>
        <v>2.65128606259277</v>
      </c>
      <c r="AP8" s="13" t="n">
        <f aca="false">AO8+AP7-Operations!AP79</f>
        <v>5.30257212518553</v>
      </c>
      <c r="AQ8" s="13" t="n">
        <f aca="false">AP8+AQ7-Operations!AQ79</f>
        <v>7.9538581877783</v>
      </c>
      <c r="AR8" s="13" t="n">
        <f aca="false">AQ8+AR7-Operations!AR79</f>
        <v>10.6051442503711</v>
      </c>
      <c r="AS8" s="13" t="n">
        <f aca="false">AR8+AS7-Operations!AS79</f>
        <v>13.2564303129638</v>
      </c>
      <c r="AT8" s="13" t="n">
        <f aca="false">AS8+AT7-Operations!AT79</f>
        <v>15.9077163755566</v>
      </c>
      <c r="AU8" s="13" t="n">
        <f aca="false">AT8+AU7-Operations!AU79</f>
        <v>0</v>
      </c>
      <c r="AV8" s="13" t="n">
        <f aca="false">AU8+AV7-Operations!AV79</f>
        <v>0</v>
      </c>
      <c r="AW8" s="13" t="n">
        <f aca="false">AV8+AW7-Operations!AW79</f>
        <v>0.668444937143915</v>
      </c>
      <c r="AX8" s="13" t="n">
        <f aca="false">AW8+AX7-Operations!AX79</f>
        <v>1.33688987428783</v>
      </c>
      <c r="AY8" s="13" t="n">
        <f aca="false">AX8+AY7-Operations!AY79</f>
        <v>2.00533481143175</v>
      </c>
      <c r="AZ8" s="13" t="n">
        <f aca="false">AY8+AZ7-Operations!AZ79</f>
        <v>2.67377974857566</v>
      </c>
      <c r="BA8" s="13" t="n">
        <f aca="false">AZ8+BA7-Operations!BA79</f>
        <v>3.34222468571958</v>
      </c>
      <c r="BB8" s="13" t="n">
        <f aca="false">BA8+BB7-Operations!BB79</f>
        <v>4.01066962286349</v>
      </c>
      <c r="BC8" s="13" t="n">
        <f aca="false">BB8+BC7-Operations!BC79</f>
        <v>0</v>
      </c>
      <c r="BD8" s="13" t="n">
        <f aca="false">BC8+BD7-Operations!BD79</f>
        <v>0</v>
      </c>
      <c r="BE8" s="13" t="n">
        <f aca="false">BD8+BE7-Operations!BE79</f>
        <v>3.18025290870715</v>
      </c>
      <c r="BF8" s="13" t="n">
        <f aca="false">BE8+BF7-Operations!BF79</f>
        <v>6.36050581741429</v>
      </c>
      <c r="BG8" s="13" t="n">
        <f aca="false">BF8+BG7-Operations!BG79</f>
        <v>9.54075872612144</v>
      </c>
      <c r="BH8" s="13" t="n">
        <f aca="false">BG8+BH7-Operations!BH79</f>
        <v>12.7210116348286</v>
      </c>
      <c r="BI8" s="13" t="n">
        <f aca="false">BH8+BI7-Operations!BI79</f>
        <v>15.9012645435357</v>
      </c>
      <c r="BJ8" s="13" t="n">
        <f aca="false">BI8+BJ7-Operations!BJ79</f>
        <v>19.0815174522429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818</v>
      </c>
      <c r="E9" s="0" t="s">
        <v>149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0</v>
      </c>
      <c r="P9" s="13" t="n">
        <f aca="false">IF(Time!P34=1,SUM(Funding!$J$44:$BJ$44),O13)</f>
        <v>34.8029137487425</v>
      </c>
      <c r="Q9" s="13" t="n">
        <f aca="false">IF(Time!Q34=1,SUM(Funding!$J$44:$BJ$44),P13)</f>
        <v>28.5102794102082</v>
      </c>
      <c r="R9" s="13" t="n">
        <f aca="false">IF(Time!R34=1,SUM(Funding!$J$44:$BJ$44),Q13)</f>
        <v>37.4792869597084</v>
      </c>
      <c r="S9" s="13" t="n">
        <f aca="false">IF(Time!S34=1,SUM(Funding!$J$44:$BJ$44),R13)</f>
        <v>37.365369182051</v>
      </c>
      <c r="T9" s="13" t="n">
        <f aca="false">IF(Time!T34=1,SUM(Funding!$J$44:$BJ$44),S13)</f>
        <v>34.0856734614367</v>
      </c>
      <c r="U9" s="13" t="n">
        <f aca="false">IF(Time!U34=1,SUM(Funding!$J$44:$BJ$44),T13)</f>
        <v>44.0848253872358</v>
      </c>
      <c r="V9" s="13" t="n">
        <f aca="false">IF(Time!V34=1,SUM(Funding!$J$44:$BJ$44),U13)</f>
        <v>44.277845722298</v>
      </c>
      <c r="W9" s="13" t="n">
        <f aca="false">IF(Time!W34=1,SUM(Funding!$J$44:$BJ$44),V13)</f>
        <v>42.139149434084</v>
      </c>
      <c r="X9" s="13" t="n">
        <f aca="false">IF(Time!X34=1,SUM(Funding!$J$44:$BJ$44),W13)</f>
        <v>32.5566243955354</v>
      </c>
      <c r="Y9" s="13" t="n">
        <f aca="false">IF(Time!Y34=1,SUM(Funding!$J$44:$BJ$44),X13)</f>
        <v>30.9521755422981</v>
      </c>
      <c r="Z9" s="13" t="n">
        <f aca="false">IF(Time!Z34=1,SUM(Funding!$J$44:$BJ$44),Y13)</f>
        <v>31.4087294977697</v>
      </c>
      <c r="AA9" s="13" t="n">
        <f aca="false">IF(Time!AA34=1,SUM(Funding!$J$44:$BJ$44),Z13)</f>
        <v>31.0556243048348</v>
      </c>
      <c r="AB9" s="13" t="n">
        <f aca="false">IF(Time!AB34=1,SUM(Funding!$J$44:$BJ$44),AA13)</f>
        <v>31.488946143979</v>
      </c>
      <c r="AC9" s="13" t="n">
        <f aca="false">IF(Time!AC34=1,SUM(Funding!$J$44:$BJ$44),AB13)</f>
        <v>31.2892800503341</v>
      </c>
      <c r="AD9" s="13" t="n">
        <f aca="false">IF(Time!AD34=1,SUM(Funding!$J$44:$BJ$44),AC13)</f>
        <v>31.6411606849739</v>
      </c>
      <c r="AE9" s="13" t="n">
        <f aca="false">IF(Time!AE34=1,SUM(Funding!$J$44:$BJ$44),AD13)</f>
        <v>32.5458406633933</v>
      </c>
      <c r="AF9" s="13" t="n">
        <f aca="false">IF(Time!AF34=1,SUM(Funding!$J$44:$BJ$44),AE13)</f>
        <v>33.084367965058</v>
      </c>
      <c r="AG9" s="13" t="n">
        <f aca="false">IF(Time!AG34=1,SUM(Funding!$J$44:$BJ$44),AF13)</f>
        <v>32.5750117000096</v>
      </c>
      <c r="AH9" s="13" t="n">
        <f aca="false">IF(Time!AH34=1,SUM(Funding!$J$44:$BJ$44),AG13)</f>
        <v>33.0526426783283</v>
      </c>
      <c r="AI9" s="13" t="n">
        <f aca="false">IF(Time!AI34=1,SUM(Funding!$J$44:$BJ$44),AH13)</f>
        <v>32.8394553971412</v>
      </c>
      <c r="AJ9" s="13" t="n">
        <f aca="false">IF(Time!AJ34=1,SUM(Funding!$J$44:$BJ$44),AI13)</f>
        <v>33.2550500393265</v>
      </c>
      <c r="AK9" s="13" t="n">
        <f aca="false">IF(Time!AK34=1,SUM(Funding!$J$44:$BJ$44),AJ13)</f>
        <v>33.030550775114</v>
      </c>
      <c r="AL9" s="13" t="n">
        <f aca="false">IF(Time!AL34=1,SUM(Funding!$J$44:$BJ$44),AK13)</f>
        <v>33.37250919412</v>
      </c>
      <c r="AM9" s="13" t="n">
        <f aca="false">IF(Time!AM34=1,SUM(Funding!$J$44:$BJ$44),AL13)</f>
        <v>33.6516007228409</v>
      </c>
      <c r="AN9" s="13" t="n">
        <f aca="false">IF(Time!AN34=1,SUM(Funding!$J$44:$BJ$44),AM13)</f>
        <v>34.059340318545</v>
      </c>
      <c r="AO9" s="13" t="n">
        <f aca="false">IF(Time!AO34=1,SUM(Funding!$J$44:$BJ$44),AN13)</f>
        <v>32.0190402822787</v>
      </c>
      <c r="AP9" s="13" t="n">
        <f aca="false">IF(Time!AP34=1,SUM(Funding!$J$44:$BJ$44),AO13)</f>
        <v>29.0768461339009</v>
      </c>
      <c r="AQ9" s="13" t="n">
        <f aca="false">IF(Time!AQ34=1,SUM(Funding!$J$44:$BJ$44),AP13)</f>
        <v>26.9626321801593</v>
      </c>
      <c r="AR9" s="13" t="n">
        <f aca="false">IF(Time!AR34=1,SUM(Funding!$J$44:$BJ$44),AQ13)</f>
        <v>27.1987194378076</v>
      </c>
      <c r="AS9" s="13" t="n">
        <f aca="false">IF(Time!AS34=1,SUM(Funding!$J$44:$BJ$44),AR13)</f>
        <v>26.772060881999</v>
      </c>
      <c r="AT9" s="13" t="n">
        <f aca="false">IF(Time!AT34=1,SUM(Funding!$J$44:$BJ$44),AS13)</f>
        <v>26.9213030114088</v>
      </c>
      <c r="AU9" s="13" t="n">
        <f aca="false">IF(Time!AU34=1,SUM(Funding!$J$44:$BJ$44),AT13)</f>
        <v>31.0185677430371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819</v>
      </c>
      <c r="E10" s="0" t="s">
        <v>149</v>
      </c>
      <c r="G10" s="13" t="n">
        <f aca="false">SUM(J10:BN10)</f>
        <v>9.68624783680604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6.29263433853431</v>
      </c>
      <c r="Q10" s="13" t="n">
        <f aca="false">MIN(Q9,Waterfall!Q11)</f>
        <v>0</v>
      </c>
      <c r="R10" s="13" t="n">
        <f aca="false">MIN(R9,Waterfall!R11)</f>
        <v>0.113917777657477</v>
      </c>
      <c r="S10" s="13" t="n">
        <f aca="false">MIN(S9,Waterfall!S11)</f>
        <v>3.27969572061425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820</v>
      </c>
      <c r="E11" s="0" t="s">
        <v>149</v>
      </c>
      <c r="G11" s="13" t="n">
        <f aca="false">SUM(J11:BN11)</f>
        <v>28.2507528023226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0</v>
      </c>
      <c r="P11" s="13" t="n">
        <f aca="false">MIN(Waterfall!P13,MAX(0,Debt!P125-(P9-P10)))</f>
        <v>0</v>
      </c>
      <c r="Q11" s="13" t="n">
        <f aca="false">MIN(Waterfall!Q13,MAX(0,Debt!Q125-(Q9-Q10)))</f>
        <v>8.96900754950022</v>
      </c>
      <c r="R11" s="13" t="n">
        <f aca="false">MIN(Waterfall!R13,MAX(0,Debt!R125-(R9-R10)))</f>
        <v>0</v>
      </c>
      <c r="S11" s="13" t="n">
        <f aca="false">MIN(Waterfall!S13,MAX(0,Debt!S125-(S9-S10)))</f>
        <v>0</v>
      </c>
      <c r="T11" s="13" t="n">
        <f aca="false">MIN(Waterfall!T13,MAX(0,Debt!T125-(T9-T10)))</f>
        <v>9.9991519257991</v>
      </c>
      <c r="U11" s="13" t="n">
        <f aca="false">MIN(Waterfall!U13,MAX(0,Debt!U125-(U9-U10)))</f>
        <v>0.193020335062222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0.45655395547157</v>
      </c>
      <c r="Z11" s="13" t="n">
        <f aca="false">MIN(Waterfall!Z13,MAX(0,Debt!Z125-(Z9-Z10)))</f>
        <v>0</v>
      </c>
      <c r="AA11" s="13" t="n">
        <f aca="false">MIN(Waterfall!AA13,MAX(0,Debt!AA125-(AA9-AA10)))</f>
        <v>0.433321839144181</v>
      </c>
      <c r="AB11" s="13" t="n">
        <f aca="false">MIN(Waterfall!AB13,MAX(0,Debt!AB125-(AB9-AB10)))</f>
        <v>0</v>
      </c>
      <c r="AC11" s="13" t="n">
        <f aca="false">MIN(Waterfall!AC13,MAX(0,Debt!AC125-(AC9-AC10)))</f>
        <v>0.351880634639858</v>
      </c>
      <c r="AD11" s="13" t="n">
        <f aca="false">MIN(Waterfall!AD13,MAX(0,Debt!AD125-(AD9-AD10)))</f>
        <v>0.904679978419317</v>
      </c>
      <c r="AE11" s="13" t="n">
        <f aca="false">MIN(Waterfall!AE13,MAX(0,Debt!AE125-(AE9-AE10)))</f>
        <v>0.53852730166475</v>
      </c>
      <c r="AF11" s="13" t="n">
        <f aca="false">MIN(Waterfall!AF13,MAX(0,Debt!AF125-(AF9-AF10)))</f>
        <v>0</v>
      </c>
      <c r="AG11" s="13" t="n">
        <f aca="false">MIN(Waterfall!AG13,MAX(0,Debt!AG125-(AG9-AG10)))</f>
        <v>0.477630978318686</v>
      </c>
      <c r="AH11" s="13" t="n">
        <f aca="false">MIN(Waterfall!AH13,MAX(0,Debt!AH125-(AH9-AH10)))</f>
        <v>0</v>
      </c>
      <c r="AI11" s="13" t="n">
        <f aca="false">MIN(Waterfall!AI13,MAX(0,Debt!AI125-(AI9-AI10)))</f>
        <v>0.415594642185248</v>
      </c>
      <c r="AJ11" s="13" t="n">
        <f aca="false">MIN(Waterfall!AJ13,MAX(0,Debt!AJ125-(AJ9-AJ10)))</f>
        <v>0</v>
      </c>
      <c r="AK11" s="13" t="n">
        <f aca="false">MIN(Waterfall!AK13,MAX(0,Debt!AK125-(AK9-AK10)))</f>
        <v>0.341958419006019</v>
      </c>
      <c r="AL11" s="13" t="n">
        <f aca="false">MIN(Waterfall!AL13,MAX(0,Debt!AL125-(AL9-AL10)))</f>
        <v>0.279091528720883</v>
      </c>
      <c r="AM11" s="13" t="n">
        <f aca="false">MIN(Waterfall!AM13,MAX(0,Debt!AM125-(AM9-AM10)))</f>
        <v>0.407739595704072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0.236087257648297</v>
      </c>
      <c r="AR11" s="13" t="n">
        <f aca="false">MIN(Waterfall!AR13,MAX(0,Debt!AR125-(AR9-AR10)))</f>
        <v>0</v>
      </c>
      <c r="AS11" s="13" t="n">
        <f aca="false">MIN(Waterfall!AS13,MAX(0,Debt!AS125-(AS9-AS10)))</f>
        <v>0.149242129409863</v>
      </c>
      <c r="AT11" s="13" t="n">
        <f aca="false">MIN(Waterfall!AT13,MAX(0,Debt!AT125-(AT9-AT10)))</f>
        <v>4.09726473162829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821</v>
      </c>
      <c r="E12" s="0" t="s">
        <v>149</v>
      </c>
      <c r="G12" s="13" t="n">
        <f aca="false">SUM(J12:BN12)</f>
        <v>53.3674187142591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</v>
      </c>
      <c r="Q12" s="13" t="n">
        <f aca="false">MAX(0,Q9-Q10-Debt!Q125)</f>
        <v>0</v>
      </c>
      <c r="R12" s="13" t="n">
        <f aca="false">MAX(0,R9-R10-Debt!R125)</f>
        <v>0</v>
      </c>
      <c r="S12" s="13" t="n">
        <f aca="false">MAX(0,S9-S10-Debt!S125)</f>
        <v>0</v>
      </c>
      <c r="T12" s="13" t="n">
        <f aca="false">MAX(0,T9-T10-Debt!T125)</f>
        <v>0</v>
      </c>
      <c r="U12" s="13" t="n">
        <f aca="false">MAX(0,U9-U10-Debt!U125)</f>
        <v>0</v>
      </c>
      <c r="V12" s="13" t="n">
        <f aca="false">MAX(0,V9-V10-Debt!V125)</f>
        <v>2.13869628821409</v>
      </c>
      <c r="W12" s="13" t="n">
        <f aca="false">MAX(0,W9-W10-Debt!W125)</f>
        <v>9.58252503854858</v>
      </c>
      <c r="X12" s="13" t="n">
        <f aca="false">MAX(0,X9-X10-Debt!X125)</f>
        <v>1.60444885323729</v>
      </c>
      <c r="Y12" s="13" t="n">
        <f aca="false">MAX(0,Y9-Y10-Debt!Y125)</f>
        <v>0</v>
      </c>
      <c r="Z12" s="13" t="n">
        <f aca="false">MAX(0,Z9-Z10-Debt!Z125)</f>
        <v>0.353105192934876</v>
      </c>
      <c r="AA12" s="13" t="n">
        <f aca="false">MAX(0,AA9-AA10-Debt!AA125)</f>
        <v>0</v>
      </c>
      <c r="AB12" s="13" t="n">
        <f aca="false">MAX(0,AB9-AB10-Debt!AB125)</f>
        <v>0.199666093644879</v>
      </c>
      <c r="AC12" s="13" t="n">
        <f aca="false">MAX(0,AC9-AC10-Debt!AC125)</f>
        <v>0</v>
      </c>
      <c r="AD12" s="13" t="n">
        <f aca="false">MAX(0,AD9-AD10-Debt!AD125)</f>
        <v>0</v>
      </c>
      <c r="AE12" s="13" t="n">
        <f aca="false">MAX(0,AE9-AE10-Debt!AE125)</f>
        <v>0</v>
      </c>
      <c r="AF12" s="13" t="n">
        <f aca="false">MAX(0,AF9-AF10-Debt!AF125)</f>
        <v>0.509356265048375</v>
      </c>
      <c r="AG12" s="13" t="n">
        <f aca="false">MAX(0,AG9-AG10-Debt!AG125)</f>
        <v>0</v>
      </c>
      <c r="AH12" s="13" t="n">
        <f aca="false">MAX(0,AH9-AH10-Debt!AH125)</f>
        <v>0.213187281187103</v>
      </c>
      <c r="AI12" s="13" t="n">
        <f aca="false">MAX(0,AI9-AI10-Debt!AI125)</f>
        <v>0</v>
      </c>
      <c r="AJ12" s="13" t="n">
        <f aca="false">MAX(0,AJ9-AJ10-Debt!AJ125)</f>
        <v>0.224499264212454</v>
      </c>
      <c r="AK12" s="13" t="n">
        <f aca="false">MAX(0,AK9-AK10-Debt!AK125)</f>
        <v>0</v>
      </c>
      <c r="AL12" s="13" t="n">
        <f aca="false">MAX(0,AL9-AL10-Debt!AL125)</f>
        <v>0</v>
      </c>
      <c r="AM12" s="13" t="n">
        <f aca="false">MAX(0,AM9-AM10-Debt!AM125)</f>
        <v>0</v>
      </c>
      <c r="AN12" s="13" t="n">
        <f aca="false">MAX(0,AN9-AN10-Debt!AN125)</f>
        <v>2.0403000362663</v>
      </c>
      <c r="AO12" s="13" t="n">
        <f aca="false">MAX(0,AO9-AO10-Debt!AO125)</f>
        <v>2.9421941483778</v>
      </c>
      <c r="AP12" s="13" t="n">
        <f aca="false">MAX(0,AP9-AP10-Debt!AP125)</f>
        <v>2.11421395374155</v>
      </c>
      <c r="AQ12" s="13" t="n">
        <f aca="false">MAX(0,AQ9-AQ10-Debt!AQ125)</f>
        <v>0</v>
      </c>
      <c r="AR12" s="13" t="n">
        <f aca="false">MAX(0,AR9-AR10-Debt!AR125)</f>
        <v>0.426658555808661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31.0185677430371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822</v>
      </c>
      <c r="E13" s="0" t="s">
        <v>149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0</v>
      </c>
      <c r="P13" s="13" t="n">
        <f aca="false">(1-Time!P37)*(P9-P10+P11-P12)</f>
        <v>28.5102794102082</v>
      </c>
      <c r="Q13" s="13" t="n">
        <f aca="false">(1-Time!Q37)*(Q9-Q10+Q11-Q12)</f>
        <v>37.4792869597084</v>
      </c>
      <c r="R13" s="13" t="n">
        <f aca="false">(1-Time!R37)*(R9-R10+R11-R12)</f>
        <v>37.365369182051</v>
      </c>
      <c r="S13" s="13" t="n">
        <f aca="false">(1-Time!S37)*(S9-S10+S11-S12)</f>
        <v>34.0856734614367</v>
      </c>
      <c r="T13" s="13" t="n">
        <f aca="false">(1-Time!T37)*(T9-T10+T11-T12)</f>
        <v>44.0848253872358</v>
      </c>
      <c r="U13" s="13" t="n">
        <f aca="false">(1-Time!U37)*(U9-U10+U11-U12)</f>
        <v>44.277845722298</v>
      </c>
      <c r="V13" s="13" t="n">
        <f aca="false">(1-Time!V37)*(V9-V10+V11-V12)</f>
        <v>42.139149434084</v>
      </c>
      <c r="W13" s="13" t="n">
        <f aca="false">(1-Time!W37)*(W9-W10+W11-W12)</f>
        <v>32.5566243955354</v>
      </c>
      <c r="X13" s="13" t="n">
        <f aca="false">(1-Time!X37)*(X9-X10+X11-X12)</f>
        <v>30.9521755422981</v>
      </c>
      <c r="Y13" s="13" t="n">
        <f aca="false">(1-Time!Y37)*(Y9-Y10+Y11-Y12)</f>
        <v>31.4087294977697</v>
      </c>
      <c r="Z13" s="13" t="n">
        <f aca="false">(1-Time!Z37)*(Z9-Z10+Z11-Z12)</f>
        <v>31.0556243048348</v>
      </c>
      <c r="AA13" s="13" t="n">
        <f aca="false">(1-Time!AA37)*(AA9-AA10+AA11-AA12)</f>
        <v>31.488946143979</v>
      </c>
      <c r="AB13" s="13" t="n">
        <f aca="false">(1-Time!AB37)*(AB9-AB10+AB11-AB12)</f>
        <v>31.2892800503341</v>
      </c>
      <c r="AC13" s="13" t="n">
        <f aca="false">(1-Time!AC37)*(AC9-AC10+AC11-AC12)</f>
        <v>31.6411606849739</v>
      </c>
      <c r="AD13" s="13" t="n">
        <f aca="false">(1-Time!AD37)*(AD9-AD10+AD11-AD12)</f>
        <v>32.5458406633933</v>
      </c>
      <c r="AE13" s="13" t="n">
        <f aca="false">(1-Time!AE37)*(AE9-AE10+AE11-AE12)</f>
        <v>33.084367965058</v>
      </c>
      <c r="AF13" s="13" t="n">
        <f aca="false">(1-Time!AF37)*(AF9-AF10+AF11-AF12)</f>
        <v>32.5750117000096</v>
      </c>
      <c r="AG13" s="13" t="n">
        <f aca="false">(1-Time!AG37)*(AG9-AG10+AG11-AG12)</f>
        <v>33.0526426783283</v>
      </c>
      <c r="AH13" s="13" t="n">
        <f aca="false">(1-Time!AH37)*(AH9-AH10+AH11-AH12)</f>
        <v>32.8394553971412</v>
      </c>
      <c r="AI13" s="13" t="n">
        <f aca="false">(1-Time!AI37)*(AI9-AI10+AI11-AI12)</f>
        <v>33.2550500393265</v>
      </c>
      <c r="AJ13" s="13" t="n">
        <f aca="false">(1-Time!AJ37)*(AJ9-AJ10+AJ11-AJ12)</f>
        <v>33.030550775114</v>
      </c>
      <c r="AK13" s="13" t="n">
        <f aca="false">(1-Time!AK37)*(AK9-AK10+AK11-AK12)</f>
        <v>33.37250919412</v>
      </c>
      <c r="AL13" s="13" t="n">
        <f aca="false">(1-Time!AL37)*(AL9-AL10+AL11-AL12)</f>
        <v>33.6516007228409</v>
      </c>
      <c r="AM13" s="13" t="n">
        <f aca="false">(1-Time!AM37)*(AM9-AM10+AM11-AM12)</f>
        <v>34.059340318545</v>
      </c>
      <c r="AN13" s="13" t="n">
        <f aca="false">(1-Time!AN37)*(AN9-AN10+AN11-AN12)</f>
        <v>32.0190402822787</v>
      </c>
      <c r="AO13" s="13" t="n">
        <f aca="false">(1-Time!AO37)*(AO9-AO10+AO11-AO12)</f>
        <v>29.0768461339009</v>
      </c>
      <c r="AP13" s="13" t="n">
        <f aca="false">(1-Time!AP37)*(AP9-AP10+AP11-AP12)</f>
        <v>26.9626321801593</v>
      </c>
      <c r="AQ13" s="13" t="n">
        <f aca="false">(1-Time!AQ37)*(AQ9-AQ10+AQ11-AQ12)</f>
        <v>27.1987194378076</v>
      </c>
      <c r="AR13" s="13" t="n">
        <f aca="false">(1-Time!AR37)*(AR9-AR10+AR11-AR12)</f>
        <v>26.772060881999</v>
      </c>
      <c r="AS13" s="13" t="n">
        <f aca="false">(1-Time!AS37)*(AS9-AS10+AS11-AS12)</f>
        <v>26.9213030114088</v>
      </c>
      <c r="AT13" s="13" t="n">
        <f aca="false">(1-Time!AT37)*(AT9-AT10+AT11-AT12)</f>
        <v>31.0185677430371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823</v>
      </c>
      <c r="E14" s="0" t="s">
        <v>149</v>
      </c>
      <c r="G14" s="13" t="n">
        <f aca="false">SUM(J14:BN14)</f>
        <v>21.7148455502848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</v>
      </c>
      <c r="BB14" s="13" t="n">
        <f aca="false">MIN(Waterfall!BB14,Operations!BB81)</f>
        <v>0.280422631565716</v>
      </c>
      <c r="BC14" s="13" t="n">
        <f aca="false">MIN(Waterfall!BC14,Operations!BC81)</f>
        <v>1.70177495465538</v>
      </c>
      <c r="BD14" s="13" t="n">
        <f aca="false">MIN(Waterfall!BD14,Operations!BD81)</f>
        <v>1.72123411255037</v>
      </c>
      <c r="BE14" s="13" t="n">
        <f aca="false">MIN(Waterfall!BE14,Operations!BE81)</f>
        <v>1.74091577861245</v>
      </c>
      <c r="BF14" s="13" t="n">
        <f aca="false">MIN(Waterfall!BF14,Operations!BF81)</f>
        <v>1.76082249713902</v>
      </c>
      <c r="BG14" s="13" t="n">
        <f aca="false">MIN(Waterfall!BG14,Operations!BG81)</f>
        <v>1.78095684152054</v>
      </c>
      <c r="BH14" s="13" t="n">
        <f aca="false">MIN(Waterfall!BH14,Operations!BH81)</f>
        <v>1.80132141457322</v>
      </c>
      <c r="BI14" s="13" t="n">
        <f aca="false">MIN(Waterfall!BI14,Operations!BI81)</f>
        <v>1.82191884887551</v>
      </c>
      <c r="BJ14" s="13" t="n">
        <f aca="false">MIN(Waterfall!BJ14,Operations!BJ81)</f>
        <v>1.8427518071084</v>
      </c>
      <c r="BK14" s="13" t="n">
        <f aca="false">MIN(Waterfall!BK14,Operations!BK81)</f>
        <v>1.86382298239965</v>
      </c>
      <c r="BL14" s="13" t="n">
        <f aca="false">MIN(Waterfall!BL14,Operations!BL81)</f>
        <v>1.8851350986719</v>
      </c>
      <c r="BM14" s="13" t="n">
        <f aca="false">MIN(Waterfall!BM14,Operations!BM81)</f>
        <v>1.90669091099484</v>
      </c>
      <c r="BN14" s="13" t="n">
        <f aca="false">MIN(Waterfall!BN14,Operations!BN81)</f>
        <v>1.60707767161779</v>
      </c>
    </row>
    <row r="15" customFormat="false" ht="15" hidden="false" customHeight="false" outlineLevel="0" collapsed="false">
      <c r="D15" s="0" t="s">
        <v>824</v>
      </c>
      <c r="E15" s="0" t="s">
        <v>149</v>
      </c>
      <c r="G15" s="13" t="n">
        <f aca="false">SUM(J15:BN15)</f>
        <v>21.7148455502848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0</v>
      </c>
      <c r="BN15" s="13" t="n">
        <f aca="false">Time!BN37*(BM16+BN14)</f>
        <v>21.7148455502848</v>
      </c>
    </row>
    <row r="16" customFormat="false" ht="15" hidden="false" customHeight="false" outlineLevel="0" collapsed="false">
      <c r="D16" s="0" t="s">
        <v>825</v>
      </c>
      <c r="E16" s="0" t="s">
        <v>149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</v>
      </c>
      <c r="BB16" s="13" t="n">
        <f aca="false">BA16+BB14-BB15</f>
        <v>0.280422631565716</v>
      </c>
      <c r="BC16" s="13" t="n">
        <f aca="false">BB16+BC14-BC15</f>
        <v>1.9821975862211</v>
      </c>
      <c r="BD16" s="13" t="n">
        <f aca="false">BC16+BD14-BD15</f>
        <v>3.70343169877146</v>
      </c>
      <c r="BE16" s="13" t="n">
        <f aca="false">BD16+BE14-BE15</f>
        <v>5.44434747738392</v>
      </c>
      <c r="BF16" s="13" t="n">
        <f aca="false">BE16+BF14-BF15</f>
        <v>7.20516997452294</v>
      </c>
      <c r="BG16" s="13" t="n">
        <f aca="false">BF16+BG14-BG15</f>
        <v>8.98612681604348</v>
      </c>
      <c r="BH16" s="13" t="n">
        <f aca="false">BG16+BH14-BH15</f>
        <v>10.7874482306167</v>
      </c>
      <c r="BI16" s="13" t="n">
        <f aca="false">BH16+BI14-BI15</f>
        <v>12.6093670794922</v>
      </c>
      <c r="BJ16" s="13" t="n">
        <f aca="false">BI16+BJ14-BJ15</f>
        <v>14.4521188866006</v>
      </c>
      <c r="BK16" s="13" t="n">
        <f aca="false">BJ16+BK14-BK15</f>
        <v>16.3159418690003</v>
      </c>
      <c r="BL16" s="13" t="n">
        <f aca="false">BK16+BL14-BL15</f>
        <v>18.2010769676722</v>
      </c>
      <c r="BM16" s="13" t="n">
        <f aca="false">BL16+BM14-BM15</f>
        <v>20.107767878667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826</v>
      </c>
      <c r="E17" s="0" t="s">
        <v>149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18.485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828</v>
      </c>
      <c r="E7" s="0" t="s">
        <v>149</v>
      </c>
      <c r="G7" s="13" t="n">
        <f aca="false">SUM(J7:BN7)</f>
        <v>2327.97912181997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0</v>
      </c>
      <c r="P7" s="13" t="n">
        <f aca="false">Operations!P84-Tax!P27-Operations!P96-Reserves!P7+Operations!P79+Operations!P97</f>
        <v>-6.29263433853431</v>
      </c>
      <c r="Q7" s="13" t="n">
        <f aca="false">Operations!Q84-Tax!Q27-Operations!Q96-Reserves!Q7+Operations!Q79+Operations!Q97</f>
        <v>44.8010365135894</v>
      </c>
      <c r="R7" s="13" t="n">
        <f aca="false">Operations!R84-Tax!R27-Operations!R96-Reserves!R7+Operations!R79+Operations!R97</f>
        <v>37.365369182051</v>
      </c>
      <c r="S7" s="13" t="n">
        <f aca="false">Operations!S84-Tax!S27-Operations!S96-Reserves!S7+Operations!S79+Operations!S97</f>
        <v>35.7706177871311</v>
      </c>
      <c r="T7" s="13" t="n">
        <f aca="false">Operations!T84-Tax!T27-Operations!T96-Reserves!T7+Operations!T79+Operations!T97</f>
        <v>56.1891743940575</v>
      </c>
      <c r="U7" s="13" t="n">
        <f aca="false">Operations!U84-Tax!U27-Operations!U96-Reserves!U7+Operations!U79+Operations!U97</f>
        <v>57.3841171853081</v>
      </c>
      <c r="V7" s="13" t="n">
        <f aca="false">Operations!V84-Tax!V27-Operations!V96-Reserves!V7+Operations!V79+Operations!V97</f>
        <v>56.6744396090678</v>
      </c>
      <c r="W7" s="13" t="n">
        <f aca="false">Operations!W84-Tax!W27-Operations!W96-Reserves!W7+Operations!W79+Operations!W97</f>
        <v>55.3563987334357</v>
      </c>
      <c r="X7" s="13" t="n">
        <f aca="false">Operations!X84-Tax!X27-Operations!X96-Reserves!X7+Operations!X79+Operations!X97</f>
        <v>51.6814505191527</v>
      </c>
      <c r="Y7" s="13" t="n">
        <f aca="false">Operations!Y84-Tax!Y27-Operations!Y96-Reserves!Y7+Operations!Y79+Operations!Y97</f>
        <v>49.1344959266961</v>
      </c>
      <c r="Z7" s="13" t="n">
        <f aca="false">Operations!Z84-Tax!Z27-Operations!Z96-Reserves!Z7+Operations!Z79+Operations!Z97</f>
        <v>49.8592446098631</v>
      </c>
      <c r="AA7" s="13" t="n">
        <f aca="false">Operations!AA84-Tax!AA27-Operations!AA96-Reserves!AA7+Operations!AA79+Operations!AA97</f>
        <v>49.2987138762401</v>
      </c>
      <c r="AB7" s="13" t="n">
        <f aca="false">Operations!AB84-Tax!AB27-Operations!AB96-Reserves!AB7+Operations!AB79+Operations!AB97</f>
        <v>49.9865831380076</v>
      </c>
      <c r="AC7" s="13" t="n">
        <f aca="false">Operations!AC84-Tax!AC27-Operations!AC96-Reserves!AC7+Operations!AC79+Operations!AC97</f>
        <v>49.6696266497153</v>
      </c>
      <c r="AD7" s="13" t="n">
        <f aca="false">Operations!AD84-Tax!AD27-Operations!AD96-Reserves!AD7+Operations!AD79+Operations!AD97</f>
        <v>50.2282134794445</v>
      </c>
      <c r="AE7" s="13" t="n">
        <f aca="false">Operations!AE84-Tax!AE27-Operations!AE96-Reserves!AE7+Operations!AE79+Operations!AE97</f>
        <v>51.6643320700057</v>
      </c>
      <c r="AF7" s="13" t="n">
        <f aca="false">Operations!AF84-Tax!AF27-Operations!AF96-Reserves!AF7+Operations!AF79+Operations!AF97</f>
        <v>52.5192079243347</v>
      </c>
      <c r="AG7" s="13" t="n">
        <f aca="false">Operations!AG84-Tax!AG27-Operations!AG96-Reserves!AG7+Operations!AG79+Operations!AG97</f>
        <v>51.7106391277389</v>
      </c>
      <c r="AH7" s="13" t="n">
        <f aca="false">Operations!AH84-Tax!AH27-Operations!AH96-Reserves!AH7+Operations!AH79+Operations!AH97</f>
        <v>52.46884616642</v>
      </c>
      <c r="AI7" s="13" t="n">
        <f aca="false">Operations!AI84-Tax!AI27-Operations!AI96-Reserves!AI7+Operations!AI79+Operations!AI97</f>
        <v>52.1304257027341</v>
      </c>
      <c r="AJ7" s="13" t="n">
        <f aca="false">Operations!AJ84-Tax!AJ27-Operations!AJ96-Reserves!AJ7+Operations!AJ79+Operations!AJ97</f>
        <v>52.790154232178</v>
      </c>
      <c r="AK7" s="13" t="n">
        <f aca="false">Operations!AK84-Tax!AK27-Operations!AK96-Reserves!AK7+Operations!AK79+Operations!AK97</f>
        <v>52.4337767566135</v>
      </c>
      <c r="AL7" s="13" t="n">
        <f aca="false">Operations!AL84-Tax!AL27-Operations!AL96-Reserves!AL7+Operations!AL79+Operations!AL97</f>
        <v>52.9766127366819</v>
      </c>
      <c r="AM7" s="13" t="n">
        <f aca="false">Operations!AM84-Tax!AM27-Operations!AM96-Reserves!AM7+Operations!AM79+Operations!AM97</f>
        <v>53.4196517586844</v>
      </c>
      <c r="AN7" s="13" t="n">
        <f aca="false">Operations!AN84-Tax!AN27-Operations!AN96-Reserves!AN7+Operations!AN79+Operations!AN97</f>
        <v>54.0669109303991</v>
      </c>
      <c r="AO7" s="13" t="n">
        <f aca="false">Operations!AO84-Tax!AO27-Operations!AO96-Reserves!AO7+Operations!AO79+Operations!AO97</f>
        <v>50.8280719129553</v>
      </c>
      <c r="AP7" s="13" t="n">
        <f aca="false">Operations!AP84-Tax!AP27-Operations!AP96-Reserves!AP7+Operations!AP79+Operations!AP97</f>
        <v>46.1575366192651</v>
      </c>
      <c r="AQ7" s="13" t="n">
        <f aca="false">Operations!AQ84-Tax!AQ27-Operations!AQ96-Reserves!AQ7+Operations!AQ79+Operations!AQ97</f>
        <v>42.8013643432436</v>
      </c>
      <c r="AR7" s="13" t="n">
        <f aca="false">Operations!AR84-Tax!AR27-Operations!AR96-Reserves!AR7+Operations!AR79+Operations!AR97</f>
        <v>43.1761369484367</v>
      </c>
      <c r="AS7" s="13" t="n">
        <f aca="false">Operations!AS84-Tax!AS27-Operations!AS96-Reserves!AS7+Operations!AS79+Operations!AS97</f>
        <v>42.4988451850029</v>
      </c>
      <c r="AT7" s="13" t="n">
        <f aca="false">Operations!AT84-Tax!AT27-Operations!AT96-Reserves!AT7+Operations!AT79+Operations!AT97</f>
        <v>42.7357570172368</v>
      </c>
      <c r="AU7" s="13" t="n">
        <f aca="false">Operations!AU84-Tax!AU27-Operations!AU96-Reserves!AU7+Operations!AU79+Operations!AU97</f>
        <v>49.2398890764651</v>
      </c>
      <c r="AV7" s="13" t="n">
        <f aca="false">Operations!AV84-Tax!AV27-Operations!AV96-Reserves!AV7+Operations!AV79+Operations!AV97</f>
        <v>44.7844007088971</v>
      </c>
      <c r="AW7" s="13" t="n">
        <f aca="false">Operations!AW84-Tax!AW27-Operations!AW96-Reserves!AW7+Operations!AW79+Operations!AW97</f>
        <v>43.7757754228929</v>
      </c>
      <c r="AX7" s="13" t="n">
        <f aca="false">Operations!AX84-Tax!AX27-Operations!AX96-Reserves!AX7+Operations!AX79+Operations!AX97</f>
        <v>44.549328479987</v>
      </c>
      <c r="AY7" s="13" t="n">
        <f aca="false">Operations!AY84-Tax!AY27-Operations!AY96-Reserves!AY7+Operations!AY79+Operations!AY97</f>
        <v>44.1454555245786</v>
      </c>
      <c r="AZ7" s="13" t="n">
        <f aca="false">Operations!AZ84-Tax!AZ27-Operations!AZ96-Reserves!AZ7+Operations!AZ79+Operations!AZ97</f>
        <v>44.8208395983027</v>
      </c>
      <c r="BA7" s="13" t="n">
        <f aca="false">Operations!BA84-Tax!BA27-Operations!BA96-Reserves!BA7+Operations!BA79+Operations!BA97</f>
        <v>44.4187733432184</v>
      </c>
      <c r="BB7" s="13" t="n">
        <f aca="false">Operations!BB84-Tax!BB27-Operations!BB96-Reserves!BB7+Operations!BB79+Operations!BB97</f>
        <v>44.9574802297412</v>
      </c>
      <c r="BC7" s="13" t="n">
        <f aca="false">Operations!BC84-Tax!BC27-Operations!BC96-Reserves!BC7+Operations!BC79+Operations!BC97</f>
        <v>46.6322160935906</v>
      </c>
      <c r="BD7" s="13" t="n">
        <f aca="false">Operations!BD84-Tax!BD27-Operations!BD96-Reserves!BD7+Operations!BD79+Operations!BD97</f>
        <v>45.1325010105476</v>
      </c>
      <c r="BE7" s="13" t="n">
        <f aca="false">Operations!BE84-Tax!BE27-Operations!BE96-Reserves!BE7+Operations!BE79+Operations!BE97</f>
        <v>36.503742860134</v>
      </c>
      <c r="BF7" s="13" t="n">
        <f aca="false">Operations!BF84-Tax!BF27-Operations!BF96-Reserves!BF7+Operations!BF79+Operations!BF97</f>
        <v>37.2191103851919</v>
      </c>
      <c r="BG7" s="13" t="n">
        <f aca="false">Operations!BG84-Tax!BG27-Operations!BG96-Reserves!BG7+Operations!BG79+Operations!BG97</f>
        <v>36.8092299743622</v>
      </c>
      <c r="BH7" s="13" t="n">
        <f aca="false">Operations!BH84-Tax!BH27-Operations!BH96-Reserves!BH7+Operations!BH79+Operations!BH97</f>
        <v>37.5155398176257</v>
      </c>
      <c r="BI7" s="13" t="n">
        <f aca="false">Operations!BI84-Tax!BI27-Operations!BI96-Reserves!BI7+Operations!BI79+Operations!BI97</f>
        <v>37.1012049790603</v>
      </c>
      <c r="BJ7" s="13" t="n">
        <f aca="false">Operations!BJ84-Tax!BJ27-Operations!BJ96-Reserves!BJ7+Operations!BJ79+Operations!BJ97</f>
        <v>37.6894099590783</v>
      </c>
      <c r="BK7" s="13" t="n">
        <f aca="false">Operations!BK84-Tax!BK27-Operations!BK96-Reserves!BK7+Operations!BK79+Operations!BK97</f>
        <v>45.972849737381</v>
      </c>
      <c r="BL7" s="13" t="n">
        <f aca="false">Operations!BL84-Tax!BL27-Operations!BL96-Reserves!BL7+Operations!BL79+Operations!BL97</f>
        <v>41.0011109475115</v>
      </c>
      <c r="BM7" s="13" t="n">
        <f aca="false">Operations!BM84-Tax!BM27-Operations!BM96-Reserves!BM7+Operations!BM79+Operations!BM97</f>
        <v>40.6169391996501</v>
      </c>
      <c r="BN7" s="13" t="n">
        <f aca="false">Operations!BN84-Tax!BN27-Operations!BN96-Reserves!BN7+Operations!BN79+Operations!BN97</f>
        <v>43.6082077745997</v>
      </c>
    </row>
    <row r="8" customFormat="false" ht="15" hidden="false" customHeight="false" outlineLevel="0" collapsed="false">
      <c r="D8" s="0" t="s">
        <v>829</v>
      </c>
      <c r="E8" s="0" t="s">
        <v>149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0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14.1215648365801</v>
      </c>
      <c r="V8" s="13" t="n">
        <f aca="false">IF(Time!V34=1,INDEX(Funding!$J$54:$BJ$54,1,Time!$F$14),0)+U30+U42</f>
        <v>27.2278362995901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830</v>
      </c>
      <c r="E9" s="0" t="s">
        <v>149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0</v>
      </c>
      <c r="P9" s="13" t="n">
        <f aca="false">P7+P8</f>
        <v>-6.29263433853431</v>
      </c>
      <c r="Q9" s="13" t="n">
        <f aca="false">Q7+Q8</f>
        <v>44.8010365135894</v>
      </c>
      <c r="R9" s="13" t="n">
        <f aca="false">R7+R8</f>
        <v>37.365369182051</v>
      </c>
      <c r="S9" s="13" t="n">
        <f aca="false">S7+S8</f>
        <v>35.7706177871311</v>
      </c>
      <c r="T9" s="13" t="n">
        <f aca="false">T7+T8</f>
        <v>56.1891743940575</v>
      </c>
      <c r="U9" s="13" t="n">
        <f aca="false">U7+U8</f>
        <v>71.5056820218882</v>
      </c>
      <c r="V9" s="13" t="n">
        <f aca="false">V7+V8</f>
        <v>83.9022759086579</v>
      </c>
      <c r="W9" s="13" t="n">
        <f aca="false">W7+W8</f>
        <v>55.3563987334357</v>
      </c>
      <c r="X9" s="13" t="n">
        <f aca="false">X7+X8</f>
        <v>51.6814505191527</v>
      </c>
      <c r="Y9" s="13" t="n">
        <f aca="false">Y7+Y8</f>
        <v>49.1344959266961</v>
      </c>
      <c r="Z9" s="13" t="n">
        <f aca="false">Z7+Z8</f>
        <v>49.8592446098631</v>
      </c>
      <c r="AA9" s="13" t="n">
        <f aca="false">AA7+AA8</f>
        <v>49.2987138762401</v>
      </c>
      <c r="AB9" s="13" t="n">
        <f aca="false">AB7+AB8</f>
        <v>49.9865831380076</v>
      </c>
      <c r="AC9" s="13" t="n">
        <f aca="false">AC7+AC8</f>
        <v>49.6696266497153</v>
      </c>
      <c r="AD9" s="13" t="n">
        <f aca="false">AD7+AD8</f>
        <v>50.2282134794445</v>
      </c>
      <c r="AE9" s="13" t="n">
        <f aca="false">AE7+AE8</f>
        <v>51.6643320700057</v>
      </c>
      <c r="AF9" s="13" t="n">
        <f aca="false">AF7+AF8</f>
        <v>52.5192079243347</v>
      </c>
      <c r="AG9" s="13" t="n">
        <f aca="false">AG7+AG8</f>
        <v>51.7106391277389</v>
      </c>
      <c r="AH9" s="13" t="n">
        <f aca="false">AH7+AH8</f>
        <v>52.46884616642</v>
      </c>
      <c r="AI9" s="13" t="n">
        <f aca="false">AI7+AI8</f>
        <v>52.1304257027341</v>
      </c>
      <c r="AJ9" s="13" t="n">
        <f aca="false">AJ7+AJ8</f>
        <v>52.790154232178</v>
      </c>
      <c r="AK9" s="13" t="n">
        <f aca="false">AK7+AK8</f>
        <v>52.4337767566135</v>
      </c>
      <c r="AL9" s="13" t="n">
        <f aca="false">AL7+AL8</f>
        <v>52.9766127366819</v>
      </c>
      <c r="AM9" s="13" t="n">
        <f aca="false">AM7+AM8</f>
        <v>53.4196517586844</v>
      </c>
      <c r="AN9" s="13" t="n">
        <f aca="false">AN7+AN8</f>
        <v>54.0669109303991</v>
      </c>
      <c r="AO9" s="13" t="n">
        <f aca="false">AO7+AO8</f>
        <v>50.8280719129553</v>
      </c>
      <c r="AP9" s="13" t="n">
        <f aca="false">AP7+AP8</f>
        <v>46.1575366192651</v>
      </c>
      <c r="AQ9" s="13" t="n">
        <f aca="false">AQ7+AQ8</f>
        <v>42.8013643432436</v>
      </c>
      <c r="AR9" s="13" t="n">
        <f aca="false">AR7+AR8</f>
        <v>43.1761369484367</v>
      </c>
      <c r="AS9" s="13" t="n">
        <f aca="false">AS7+AS8</f>
        <v>42.4988451850029</v>
      </c>
      <c r="AT9" s="13" t="n">
        <f aca="false">AT7+AT8</f>
        <v>42.7357570172368</v>
      </c>
      <c r="AU9" s="13" t="n">
        <f aca="false">AU7+AU8</f>
        <v>49.2398890764651</v>
      </c>
      <c r="AV9" s="13" t="n">
        <f aca="false">AV7+AV8</f>
        <v>44.7844007088971</v>
      </c>
      <c r="AW9" s="13" t="n">
        <f aca="false">AW7+AW8</f>
        <v>43.7757754228929</v>
      </c>
      <c r="AX9" s="13" t="n">
        <f aca="false">AX7+AX8</f>
        <v>44.549328479987</v>
      </c>
      <c r="AY9" s="13" t="n">
        <f aca="false">AY7+AY8</f>
        <v>44.1454555245786</v>
      </c>
      <c r="AZ9" s="13" t="n">
        <f aca="false">AZ7+AZ8</f>
        <v>44.8208395983027</v>
      </c>
      <c r="BA9" s="13" t="n">
        <f aca="false">BA7+BA8</f>
        <v>44.4187733432184</v>
      </c>
      <c r="BB9" s="13" t="n">
        <f aca="false">BB7+BB8</f>
        <v>44.9574802297412</v>
      </c>
      <c r="BC9" s="13" t="n">
        <f aca="false">BC7+BC8</f>
        <v>46.6322160935906</v>
      </c>
      <c r="BD9" s="13" t="n">
        <f aca="false">BD7+BD8</f>
        <v>45.1325010105476</v>
      </c>
      <c r="BE9" s="13" t="n">
        <f aca="false">BE7+BE8</f>
        <v>36.503742860134</v>
      </c>
      <c r="BF9" s="13" t="n">
        <f aca="false">BF7+BF8</f>
        <v>37.2191103851919</v>
      </c>
      <c r="BG9" s="13" t="n">
        <f aca="false">BG7+BG8</f>
        <v>36.8092299743622</v>
      </c>
      <c r="BH9" s="13" t="n">
        <f aca="false">BH7+BH8</f>
        <v>37.5155398176257</v>
      </c>
      <c r="BI9" s="13" t="n">
        <f aca="false">BI7+BI8</f>
        <v>37.1012049790603</v>
      </c>
      <c r="BJ9" s="13" t="n">
        <f aca="false">BJ7+BJ8</f>
        <v>37.6894099590783</v>
      </c>
      <c r="BK9" s="13" t="n">
        <f aca="false">BK7+BK8</f>
        <v>45.972849737381</v>
      </c>
      <c r="BL9" s="13" t="n">
        <f aca="false">BL7+BL8</f>
        <v>41.0011109475115</v>
      </c>
      <c r="BM9" s="13" t="n">
        <f aca="false">BM7+BM8</f>
        <v>40.6169391996501</v>
      </c>
      <c r="BN9" s="13" t="n">
        <f aca="false">BN7+BN8</f>
        <v>43.6082077745997</v>
      </c>
    </row>
    <row r="10" customFormat="false" ht="15" hidden="false" customHeight="false" outlineLevel="0" collapsed="false">
      <c r="D10" s="0" t="s">
        <v>831</v>
      </c>
      <c r="E10" s="0" t="s">
        <v>149</v>
      </c>
      <c r="G10" s="13" t="n">
        <f aca="false">SUM(J10:BN10)</f>
        <v>1026.44171104305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0</v>
      </c>
      <c r="Q10" s="13" t="n">
        <f aca="false">Debt!Q114+Debt!Q110</f>
        <v>35.5137526561018</v>
      </c>
      <c r="R10" s="13" t="n">
        <f aca="false">Debt!R114+Debt!R110</f>
        <v>37.4792869597084</v>
      </c>
      <c r="S10" s="13" t="n">
        <f aca="false">Debt!S114+Debt!S110</f>
        <v>39.0503135077454</v>
      </c>
      <c r="T10" s="13" t="n">
        <f aca="false">Debt!T114+Debt!T110</f>
        <v>32.0684576316783</v>
      </c>
      <c r="U10" s="13" t="n">
        <f aca="false">Debt!U114+Debt!U110</f>
        <v>44.0848253872358</v>
      </c>
      <c r="V10" s="13" t="n">
        <f aca="false">Debt!V114+Debt!V110</f>
        <v>44.277845722298</v>
      </c>
      <c r="W10" s="13" t="n">
        <f aca="false">Debt!W114+Debt!W110</f>
        <v>42.139149434084</v>
      </c>
      <c r="X10" s="13" t="n">
        <f aca="false">Debt!X114+Debt!X110</f>
        <v>32.5566243955354</v>
      </c>
      <c r="Y10" s="13" t="n">
        <f aca="false">Debt!Y114+Debt!Y110</f>
        <v>30.9521755422981</v>
      </c>
      <c r="Z10" s="13" t="n">
        <f aca="false">Debt!Z114+Debt!Z110</f>
        <v>31.4087294977697</v>
      </c>
      <c r="AA10" s="13" t="n">
        <f aca="false">Debt!AA114+Debt!AA110</f>
        <v>31.0556243048348</v>
      </c>
      <c r="AB10" s="13" t="n">
        <f aca="false">Debt!AB114+Debt!AB110</f>
        <v>31.488946143979</v>
      </c>
      <c r="AC10" s="13" t="n">
        <f aca="false">Debt!AC114+Debt!AC110</f>
        <v>31.2892800503341</v>
      </c>
      <c r="AD10" s="13" t="n">
        <f aca="false">Debt!AD114+Debt!AD110</f>
        <v>31.6411606849739</v>
      </c>
      <c r="AE10" s="13" t="n">
        <f aca="false">Debt!AE114+Debt!AE110</f>
        <v>32.5458406633933</v>
      </c>
      <c r="AF10" s="13" t="n">
        <f aca="false">Debt!AF114+Debt!AF110</f>
        <v>33.084367965058</v>
      </c>
      <c r="AG10" s="13" t="n">
        <f aca="false">Debt!AG114+Debt!AG110</f>
        <v>32.5750117000096</v>
      </c>
      <c r="AH10" s="13" t="n">
        <f aca="false">Debt!AH114+Debt!AH110</f>
        <v>33.0526426783283</v>
      </c>
      <c r="AI10" s="13" t="n">
        <f aca="false">Debt!AI114+Debt!AI110</f>
        <v>32.8394553971412</v>
      </c>
      <c r="AJ10" s="13" t="n">
        <f aca="false">Debt!AJ114+Debt!AJ110</f>
        <v>33.2550500393265</v>
      </c>
      <c r="AK10" s="13" t="n">
        <f aca="false">Debt!AK114+Debt!AK110</f>
        <v>33.030550775114</v>
      </c>
      <c r="AL10" s="13" t="n">
        <f aca="false">Debt!AL114+Debt!AL110</f>
        <v>33.37250919412</v>
      </c>
      <c r="AM10" s="13" t="n">
        <f aca="false">Debt!AM114+Debt!AM110</f>
        <v>33.6516007228409</v>
      </c>
      <c r="AN10" s="13" t="n">
        <f aca="false">Debt!AN114+Debt!AN110</f>
        <v>34.059340318545</v>
      </c>
      <c r="AO10" s="13" t="n">
        <f aca="false">Debt!AO114+Debt!AO110</f>
        <v>32.0190402822787</v>
      </c>
      <c r="AP10" s="13" t="n">
        <f aca="false">Debt!AP114+Debt!AP110</f>
        <v>29.0768461339009</v>
      </c>
      <c r="AQ10" s="13" t="n">
        <f aca="false">Debt!AQ114+Debt!AQ110</f>
        <v>26.9626321801593</v>
      </c>
      <c r="AR10" s="13" t="n">
        <f aca="false">Debt!AR114+Debt!AR110</f>
        <v>27.1987194378076</v>
      </c>
      <c r="AS10" s="13" t="n">
        <f aca="false">Debt!AS114+Debt!AS110</f>
        <v>26.772060881999</v>
      </c>
      <c r="AT10" s="13" t="n">
        <f aca="false">Debt!AT114+Debt!AT110</f>
        <v>26.9213030114088</v>
      </c>
      <c r="AU10" s="13" t="n">
        <f aca="false">Debt!AU114+Debt!AU110</f>
        <v>31.0185677430371</v>
      </c>
      <c r="AV10" s="13" t="n">
        <f aca="false">Debt!AV114+Debt!AV110</f>
        <v>2.68342762930963E-014</v>
      </c>
      <c r="AW10" s="13" t="n">
        <f aca="false">Debt!AW114+Debt!AW110</f>
        <v>2.68342762930963E-014</v>
      </c>
      <c r="AX10" s="13" t="n">
        <f aca="false">Debt!AX114+Debt!AX110</f>
        <v>2.68342762930963E-014</v>
      </c>
      <c r="AY10" s="13" t="n">
        <f aca="false">Debt!AY114+Debt!AY110</f>
        <v>2.68342762930963E-014</v>
      </c>
      <c r="AZ10" s="13" t="n">
        <f aca="false">Debt!AZ114+Debt!AZ110</f>
        <v>2.68342762930963E-014</v>
      </c>
      <c r="BA10" s="13" t="n">
        <f aca="false">Debt!BA114+Debt!BA110</f>
        <v>2.68342762930963E-014</v>
      </c>
      <c r="BB10" s="13" t="n">
        <f aca="false">Debt!BB114+Debt!BB110</f>
        <v>2.68342762930963E-014</v>
      </c>
      <c r="BC10" s="13" t="n">
        <f aca="false">Debt!BC114+Debt!BC110</f>
        <v>2.68342762930963E-014</v>
      </c>
      <c r="BD10" s="13" t="n">
        <f aca="false">Debt!BD114+Debt!BD110</f>
        <v>2.68342762930963E-014</v>
      </c>
      <c r="BE10" s="13" t="n">
        <f aca="false">Debt!BE114+Debt!BE110</f>
        <v>2.68342762930963E-014</v>
      </c>
      <c r="BF10" s="13" t="n">
        <f aca="false">Debt!BF114+Debt!BF110</f>
        <v>2.68342762930963E-014</v>
      </c>
      <c r="BG10" s="13" t="n">
        <f aca="false">Debt!BG114+Debt!BG110</f>
        <v>2.68342762930963E-014</v>
      </c>
      <c r="BH10" s="13" t="n">
        <f aca="false">Debt!BH114+Debt!BH110</f>
        <v>2.68342762930963E-014</v>
      </c>
      <c r="BI10" s="13" t="n">
        <f aca="false">Debt!BI114+Debt!BI110</f>
        <v>2.68342762930963E-014</v>
      </c>
      <c r="BJ10" s="13" t="n">
        <f aca="false">Debt!BJ114+Debt!BJ110</f>
        <v>2.68342762930963E-014</v>
      </c>
      <c r="BK10" s="13" t="n">
        <f aca="false">Debt!BK114+Debt!BK110</f>
        <v>2.68342762930963E-014</v>
      </c>
      <c r="BL10" s="13" t="n">
        <f aca="false">Debt!BL114+Debt!BL110</f>
        <v>2.68342762930963E-014</v>
      </c>
      <c r="BM10" s="13" t="n">
        <f aca="false">Debt!BM114+Debt!BM110</f>
        <v>2.68342762930963E-014</v>
      </c>
      <c r="BN10" s="13" t="n">
        <f aca="false">Debt!BN114+Debt!BN110</f>
        <v>2.68342762930963E-014</v>
      </c>
    </row>
    <row r="11" customFormat="false" ht="15" hidden="false" customHeight="false" outlineLevel="0" collapsed="false">
      <c r="D11" s="0" t="s">
        <v>832</v>
      </c>
      <c r="E11" s="0" t="s">
        <v>149</v>
      </c>
      <c r="G11" s="13" t="n">
        <f aca="false">SUM(J11:BN11)</f>
        <v>9.68624783680604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6.29263433853431</v>
      </c>
      <c r="Q11" s="13" t="n">
        <f aca="false">MAX(0,Q10-Q9)</f>
        <v>0</v>
      </c>
      <c r="R11" s="13" t="n">
        <f aca="false">MAX(0,R10-R9)</f>
        <v>0.113917777657477</v>
      </c>
      <c r="S11" s="13" t="n">
        <f aca="false">MAX(0,S10-S9)</f>
        <v>3.27969572061425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833</v>
      </c>
      <c r="E12" s="0" t="s">
        <v>149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834</v>
      </c>
      <c r="E13" s="0" t="s">
        <v>149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0</v>
      </c>
      <c r="P13" s="13" t="n">
        <f aca="false">MAX(0,P9-P10)</f>
        <v>0</v>
      </c>
      <c r="Q13" s="13" t="n">
        <f aca="false">MAX(0,Q9-Q10)</f>
        <v>9.28728385748758</v>
      </c>
      <c r="R13" s="13" t="n">
        <f aca="false">MAX(0,R9-R10)</f>
        <v>0</v>
      </c>
      <c r="S13" s="13" t="n">
        <f aca="false">MAX(0,S9-S10)</f>
        <v>0</v>
      </c>
      <c r="T13" s="13" t="n">
        <f aca="false">MAX(0,T9-T10)</f>
        <v>24.1207167623792</v>
      </c>
      <c r="U13" s="13" t="n">
        <f aca="false">MAX(0,U9-U10)</f>
        <v>27.4208566346523</v>
      </c>
      <c r="V13" s="13" t="n">
        <f aca="false">MAX(0,V9-V10)</f>
        <v>39.6244301863598</v>
      </c>
      <c r="W13" s="13" t="n">
        <f aca="false">MAX(0,W9-W10)</f>
        <v>13.2172492993518</v>
      </c>
      <c r="X13" s="13" t="n">
        <f aca="false">MAX(0,X9-X10)</f>
        <v>19.1248261236173</v>
      </c>
      <c r="Y13" s="13" t="n">
        <f aca="false">MAX(0,Y9-Y10)</f>
        <v>18.182320384398</v>
      </c>
      <c r="Z13" s="13" t="n">
        <f aca="false">MAX(0,Z9-Z10)</f>
        <v>18.4505151120935</v>
      </c>
      <c r="AA13" s="13" t="n">
        <f aca="false">MAX(0,AA9-AA10)</f>
        <v>18.2430895714053</v>
      </c>
      <c r="AB13" s="13" t="n">
        <f aca="false">MAX(0,AB9-AB10)</f>
        <v>18.4976369940287</v>
      </c>
      <c r="AC13" s="13" t="n">
        <f aca="false">MAX(0,AC9-AC10)</f>
        <v>18.3803465993812</v>
      </c>
      <c r="AD13" s="13" t="n">
        <f aca="false">MAX(0,AD9-AD10)</f>
        <v>18.5870527944706</v>
      </c>
      <c r="AE13" s="13" t="n">
        <f aca="false">MAX(0,AE9-AE10)</f>
        <v>19.1184914066125</v>
      </c>
      <c r="AF13" s="13" t="n">
        <f aca="false">MAX(0,AF9-AF10)</f>
        <v>19.4348399592767</v>
      </c>
      <c r="AG13" s="13" t="n">
        <f aca="false">MAX(0,AG9-AG10)</f>
        <v>19.1356274277293</v>
      </c>
      <c r="AH13" s="13" t="n">
        <f aca="false">MAX(0,AH9-AH10)</f>
        <v>19.4162034880917</v>
      </c>
      <c r="AI13" s="13" t="n">
        <f aca="false">MAX(0,AI9-AI10)</f>
        <v>19.2909703055929</v>
      </c>
      <c r="AJ13" s="13" t="n">
        <f aca="false">MAX(0,AJ9-AJ10)</f>
        <v>19.5351041928515</v>
      </c>
      <c r="AK13" s="13" t="n">
        <f aca="false">MAX(0,AK9-AK10)</f>
        <v>19.4032259814995</v>
      </c>
      <c r="AL13" s="13" t="n">
        <f aca="false">MAX(0,AL9-AL10)</f>
        <v>19.6041035425618</v>
      </c>
      <c r="AM13" s="13" t="n">
        <f aca="false">MAX(0,AM9-AM10)</f>
        <v>19.7680510358435</v>
      </c>
      <c r="AN13" s="13" t="n">
        <f aca="false">MAX(0,AN9-AN10)</f>
        <v>20.0075706118541</v>
      </c>
      <c r="AO13" s="13" t="n">
        <f aca="false">MAX(0,AO9-AO10)</f>
        <v>18.8090316306766</v>
      </c>
      <c r="AP13" s="13" t="n">
        <f aca="false">MAX(0,AP9-AP10)</f>
        <v>17.0806904853642</v>
      </c>
      <c r="AQ13" s="13" t="n">
        <f aca="false">MAX(0,AQ9-AQ10)</f>
        <v>15.8387321630842</v>
      </c>
      <c r="AR13" s="13" t="n">
        <f aca="false">MAX(0,AR9-AR10)</f>
        <v>15.9774175106291</v>
      </c>
      <c r="AS13" s="13" t="n">
        <f aca="false">MAX(0,AS9-AS10)</f>
        <v>15.726784303004</v>
      </c>
      <c r="AT13" s="13" t="n">
        <f aca="false">MAX(0,AT9-AT10)</f>
        <v>15.814454005828</v>
      </c>
      <c r="AU13" s="13" t="n">
        <f aca="false">MAX(0,AU9-AU10)</f>
        <v>18.221321333428</v>
      </c>
      <c r="AV13" s="13" t="n">
        <f aca="false">MAX(0,AV9-AV10)</f>
        <v>44.784400708897</v>
      </c>
      <c r="AW13" s="13" t="n">
        <f aca="false">MAX(0,AW9-AW10)</f>
        <v>43.7757754228928</v>
      </c>
      <c r="AX13" s="13" t="n">
        <f aca="false">MAX(0,AX9-AX10)</f>
        <v>44.549328479987</v>
      </c>
      <c r="AY13" s="13" t="n">
        <f aca="false">MAX(0,AY9-AY10)</f>
        <v>44.1454555245785</v>
      </c>
      <c r="AZ13" s="13" t="n">
        <f aca="false">MAX(0,AZ9-AZ10)</f>
        <v>44.8208395983027</v>
      </c>
      <c r="BA13" s="13" t="n">
        <f aca="false">MAX(0,BA9-BA10)</f>
        <v>44.4187733432184</v>
      </c>
      <c r="BB13" s="13" t="n">
        <f aca="false">MAX(0,BB9-BB10)</f>
        <v>44.9574802297411</v>
      </c>
      <c r="BC13" s="13" t="n">
        <f aca="false">MAX(0,BC9-BC10)</f>
        <v>46.6322160935906</v>
      </c>
      <c r="BD13" s="13" t="n">
        <f aca="false">MAX(0,BD9-BD10)</f>
        <v>45.1325010105476</v>
      </c>
      <c r="BE13" s="13" t="n">
        <f aca="false">MAX(0,BE9-BE10)</f>
        <v>36.503742860134</v>
      </c>
      <c r="BF13" s="13" t="n">
        <f aca="false">MAX(0,BF9-BF10)</f>
        <v>37.2191103851919</v>
      </c>
      <c r="BG13" s="13" t="n">
        <f aca="false">MAX(0,BG9-BG10)</f>
        <v>36.8092299743622</v>
      </c>
      <c r="BH13" s="13" t="n">
        <f aca="false">MAX(0,BH9-BH10)</f>
        <v>37.5155398176257</v>
      </c>
      <c r="BI13" s="13" t="n">
        <f aca="false">MAX(0,BI9-BI10)</f>
        <v>37.1012049790603</v>
      </c>
      <c r="BJ13" s="13" t="n">
        <f aca="false">MAX(0,BJ9-BJ10)</f>
        <v>37.6894099590782</v>
      </c>
      <c r="BK13" s="13" t="n">
        <f aca="false">MAX(0,BK9-BK10)</f>
        <v>45.972849737381</v>
      </c>
      <c r="BL13" s="13" t="n">
        <f aca="false">MAX(0,BL9-BL10)</f>
        <v>41.0011109475115</v>
      </c>
      <c r="BM13" s="13" t="n">
        <f aca="false">MAX(0,BM9-BM10)</f>
        <v>40.61693919965</v>
      </c>
      <c r="BN13" s="13" t="n">
        <f aca="false">MAX(0,BN9-BN10)</f>
        <v>43.6082077745996</v>
      </c>
    </row>
    <row r="14" customFormat="false" ht="15" hidden="false" customHeight="false" outlineLevel="0" collapsed="false">
      <c r="D14" s="0" t="s">
        <v>835</v>
      </c>
      <c r="E14" s="0" t="s">
        <v>149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0</v>
      </c>
      <c r="P14" s="13" t="n">
        <f aca="false">P13-Reserves!P11+Reserves!P12</f>
        <v>0</v>
      </c>
      <c r="Q14" s="13" t="n">
        <f aca="false">Q13-Reserves!Q11+Reserves!Q12</f>
        <v>0.318276307987357</v>
      </c>
      <c r="R14" s="13" t="n">
        <f aca="false">R13-Reserves!R11+Reserves!R12</f>
        <v>0</v>
      </c>
      <c r="S14" s="13" t="n">
        <f aca="false">S13-Reserves!S11+Reserves!S12</f>
        <v>0</v>
      </c>
      <c r="T14" s="13" t="n">
        <f aca="false">T13-Reserves!T11+Reserves!T12</f>
        <v>14.1215648365801</v>
      </c>
      <c r="U14" s="13" t="n">
        <f aca="false">U13-Reserves!U11+Reserves!U12</f>
        <v>27.2278362995901</v>
      </c>
      <c r="V14" s="13" t="n">
        <f aca="false">V13-Reserves!V11+Reserves!V12</f>
        <v>41.7631264745739</v>
      </c>
      <c r="W14" s="13" t="n">
        <f aca="false">W13-Reserves!W11+Reserves!W12</f>
        <v>22.7997743379003</v>
      </c>
      <c r="X14" s="13" t="n">
        <f aca="false">X13-Reserves!X11+Reserves!X12</f>
        <v>20.7292749768546</v>
      </c>
      <c r="Y14" s="13" t="n">
        <f aca="false">Y13-Reserves!Y11+Reserves!Y12</f>
        <v>17.7257664289265</v>
      </c>
      <c r="Z14" s="13" t="n">
        <f aca="false">Z13-Reserves!Z11+Reserves!Z12</f>
        <v>18.8036203050284</v>
      </c>
      <c r="AA14" s="13" t="n">
        <f aca="false">AA13-Reserves!AA11+Reserves!AA12</f>
        <v>17.8097677322611</v>
      </c>
      <c r="AB14" s="13" t="n">
        <f aca="false">AB13-Reserves!AB11+Reserves!AB12</f>
        <v>18.6973030876735</v>
      </c>
      <c r="AC14" s="13" t="n">
        <f aca="false">AC13-Reserves!AC11+Reserves!AC12</f>
        <v>18.0284659647414</v>
      </c>
      <c r="AD14" s="13" t="n">
        <f aca="false">AD13-Reserves!AD11+Reserves!AD12</f>
        <v>17.6823728160513</v>
      </c>
      <c r="AE14" s="13" t="n">
        <f aca="false">AE13-Reserves!AE11+Reserves!AE12</f>
        <v>18.5799641049477</v>
      </c>
      <c r="AF14" s="13" t="n">
        <f aca="false">AF13-Reserves!AF11+Reserves!AF12</f>
        <v>19.944196224325</v>
      </c>
      <c r="AG14" s="13" t="n">
        <f aca="false">AG13-Reserves!AG11+Reserves!AG12</f>
        <v>18.6579964494106</v>
      </c>
      <c r="AH14" s="13" t="n">
        <f aca="false">AH13-Reserves!AH11+Reserves!AH12</f>
        <v>19.6293907692788</v>
      </c>
      <c r="AI14" s="13" t="n">
        <f aca="false">AI13-Reserves!AI11+Reserves!AI12</f>
        <v>18.8753756634077</v>
      </c>
      <c r="AJ14" s="13" t="n">
        <f aca="false">AJ13-Reserves!AJ11+Reserves!AJ12</f>
        <v>19.759603457064</v>
      </c>
      <c r="AK14" s="13" t="n">
        <f aca="false">AK13-Reserves!AK11+Reserves!AK12</f>
        <v>19.0612675624935</v>
      </c>
      <c r="AL14" s="13" t="n">
        <f aca="false">AL13-Reserves!AL11+Reserves!AL12</f>
        <v>19.325012013841</v>
      </c>
      <c r="AM14" s="13" t="n">
        <f aca="false">AM13-Reserves!AM11+Reserves!AM12</f>
        <v>19.3603114401395</v>
      </c>
      <c r="AN14" s="13" t="n">
        <f aca="false">AN13-Reserves!AN11+Reserves!AN12</f>
        <v>22.0478706481204</v>
      </c>
      <c r="AO14" s="13" t="n">
        <f aca="false">AO13-Reserves!AO11+Reserves!AO12</f>
        <v>21.7512257790544</v>
      </c>
      <c r="AP14" s="13" t="n">
        <f aca="false">AP13-Reserves!AP11+Reserves!AP12</f>
        <v>19.1949044391058</v>
      </c>
      <c r="AQ14" s="13" t="n">
        <f aca="false">AQ13-Reserves!AQ11+Reserves!AQ12</f>
        <v>15.602644905436</v>
      </c>
      <c r="AR14" s="13" t="n">
        <f aca="false">AR13-Reserves!AR11+Reserves!AR12</f>
        <v>16.4040760664378</v>
      </c>
      <c r="AS14" s="13" t="n">
        <f aca="false">AS13-Reserves!AS11+Reserves!AS12</f>
        <v>15.5775421735941</v>
      </c>
      <c r="AT14" s="13" t="n">
        <f aca="false">AT13-Reserves!AT11+Reserves!AT12</f>
        <v>11.7171892741997</v>
      </c>
      <c r="AU14" s="13" t="n">
        <f aca="false">AU13-Reserves!AU11+Reserves!AU12</f>
        <v>49.2398890764651</v>
      </c>
      <c r="AV14" s="13" t="n">
        <f aca="false">AV13-Reserves!AV11+Reserves!AV12</f>
        <v>44.784400708897</v>
      </c>
      <c r="AW14" s="13" t="n">
        <f aca="false">AW13-Reserves!AW11+Reserves!AW12</f>
        <v>43.7757754228928</v>
      </c>
      <c r="AX14" s="13" t="n">
        <f aca="false">AX13-Reserves!AX11+Reserves!AX12</f>
        <v>44.549328479987</v>
      </c>
      <c r="AY14" s="13" t="n">
        <f aca="false">AY13-Reserves!AY11+Reserves!AY12</f>
        <v>44.1454555245785</v>
      </c>
      <c r="AZ14" s="13" t="n">
        <f aca="false">AZ13-Reserves!AZ11+Reserves!AZ12</f>
        <v>44.8208395983027</v>
      </c>
      <c r="BA14" s="13" t="n">
        <f aca="false">BA13-Reserves!BA11+Reserves!BA12</f>
        <v>44.4187733432184</v>
      </c>
      <c r="BB14" s="13" t="n">
        <f aca="false">BB13-Reserves!BB11+Reserves!BB12</f>
        <v>44.9574802297411</v>
      </c>
      <c r="BC14" s="13" t="n">
        <f aca="false">BC13-Reserves!BC11+Reserves!BC12</f>
        <v>46.6322160935906</v>
      </c>
      <c r="BD14" s="13" t="n">
        <f aca="false">BD13-Reserves!BD11+Reserves!BD12</f>
        <v>45.1325010105476</v>
      </c>
      <c r="BE14" s="13" t="n">
        <f aca="false">BE13-Reserves!BE11+Reserves!BE12</f>
        <v>36.503742860134</v>
      </c>
      <c r="BF14" s="13" t="n">
        <f aca="false">BF13-Reserves!BF11+Reserves!BF12</f>
        <v>37.2191103851919</v>
      </c>
      <c r="BG14" s="13" t="n">
        <f aca="false">BG13-Reserves!BG11+Reserves!BG12</f>
        <v>36.8092299743622</v>
      </c>
      <c r="BH14" s="13" t="n">
        <f aca="false">BH13-Reserves!BH11+Reserves!BH12</f>
        <v>37.5155398176257</v>
      </c>
      <c r="BI14" s="13" t="n">
        <f aca="false">BI13-Reserves!BI11+Reserves!BI12</f>
        <v>37.1012049790603</v>
      </c>
      <c r="BJ14" s="13" t="n">
        <f aca="false">BJ13-Reserves!BJ11+Reserves!BJ12</f>
        <v>37.6894099590782</v>
      </c>
      <c r="BK14" s="13" t="n">
        <f aca="false">BK13-Reserves!BK11+Reserves!BK12</f>
        <v>45.972849737381</v>
      </c>
      <c r="BL14" s="13" t="n">
        <f aca="false">BL13-Reserves!BL11+Reserves!BL12</f>
        <v>41.0011109475115</v>
      </c>
      <c r="BM14" s="13" t="n">
        <f aca="false">BM13-Reserves!BM11+Reserves!BM12</f>
        <v>40.61693919965</v>
      </c>
      <c r="BN14" s="13" t="n">
        <f aca="false">BN13-Reserves!BN11+Reserves!BN12</f>
        <v>43.6082077745996</v>
      </c>
    </row>
    <row r="15" customFormat="false" ht="15" hidden="false" customHeight="false" outlineLevel="0" collapsed="false">
      <c r="D15" s="0" t="s">
        <v>836</v>
      </c>
      <c r="E15" s="0" t="s">
        <v>149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0</v>
      </c>
      <c r="P15" s="13" t="n">
        <f aca="false">P14-Reserves!P14+Reserves!P15</f>
        <v>0</v>
      </c>
      <c r="Q15" s="13" t="n">
        <f aca="false">Q14-Reserves!Q14+Reserves!Q15</f>
        <v>0.318276307987357</v>
      </c>
      <c r="R15" s="13" t="n">
        <f aca="false">R14-Reserves!R14+Reserves!R15</f>
        <v>0</v>
      </c>
      <c r="S15" s="13" t="n">
        <f aca="false">S14-Reserves!S14+Reserves!S15</f>
        <v>0</v>
      </c>
      <c r="T15" s="13" t="n">
        <f aca="false">T14-Reserves!T14+Reserves!T15</f>
        <v>14.1215648365801</v>
      </c>
      <c r="U15" s="13" t="n">
        <f aca="false">U14-Reserves!U14+Reserves!U15</f>
        <v>27.2278362995901</v>
      </c>
      <c r="V15" s="13" t="n">
        <f aca="false">V14-Reserves!V14+Reserves!V15</f>
        <v>41.7631264745739</v>
      </c>
      <c r="W15" s="13" t="n">
        <f aca="false">W14-Reserves!W14+Reserves!W15</f>
        <v>22.7997743379003</v>
      </c>
      <c r="X15" s="13" t="n">
        <f aca="false">X14-Reserves!X14+Reserves!X15</f>
        <v>20.7292749768546</v>
      </c>
      <c r="Y15" s="13" t="n">
        <f aca="false">Y14-Reserves!Y14+Reserves!Y15</f>
        <v>17.7257664289265</v>
      </c>
      <c r="Z15" s="13" t="n">
        <f aca="false">Z14-Reserves!Z14+Reserves!Z15</f>
        <v>18.8036203050284</v>
      </c>
      <c r="AA15" s="13" t="n">
        <f aca="false">AA14-Reserves!AA14+Reserves!AA15</f>
        <v>17.8097677322611</v>
      </c>
      <c r="AB15" s="13" t="n">
        <f aca="false">AB14-Reserves!AB14+Reserves!AB15</f>
        <v>18.6973030876735</v>
      </c>
      <c r="AC15" s="13" t="n">
        <f aca="false">AC14-Reserves!AC14+Reserves!AC15</f>
        <v>18.0284659647414</v>
      </c>
      <c r="AD15" s="13" t="n">
        <f aca="false">AD14-Reserves!AD14+Reserves!AD15</f>
        <v>17.6823728160513</v>
      </c>
      <c r="AE15" s="13" t="n">
        <f aca="false">AE14-Reserves!AE14+Reserves!AE15</f>
        <v>18.5799641049477</v>
      </c>
      <c r="AF15" s="13" t="n">
        <f aca="false">AF14-Reserves!AF14+Reserves!AF15</f>
        <v>19.944196224325</v>
      </c>
      <c r="AG15" s="13" t="n">
        <f aca="false">AG14-Reserves!AG14+Reserves!AG15</f>
        <v>18.6579964494106</v>
      </c>
      <c r="AH15" s="13" t="n">
        <f aca="false">AH14-Reserves!AH14+Reserves!AH15</f>
        <v>19.6293907692788</v>
      </c>
      <c r="AI15" s="13" t="n">
        <f aca="false">AI14-Reserves!AI14+Reserves!AI15</f>
        <v>18.8753756634077</v>
      </c>
      <c r="AJ15" s="13" t="n">
        <f aca="false">AJ14-Reserves!AJ14+Reserves!AJ15</f>
        <v>19.759603457064</v>
      </c>
      <c r="AK15" s="13" t="n">
        <f aca="false">AK14-Reserves!AK14+Reserves!AK15</f>
        <v>19.0612675624935</v>
      </c>
      <c r="AL15" s="13" t="n">
        <f aca="false">AL14-Reserves!AL14+Reserves!AL15</f>
        <v>19.325012013841</v>
      </c>
      <c r="AM15" s="13" t="n">
        <f aca="false">AM14-Reserves!AM14+Reserves!AM15</f>
        <v>19.3603114401395</v>
      </c>
      <c r="AN15" s="13" t="n">
        <f aca="false">AN14-Reserves!AN14+Reserves!AN15</f>
        <v>22.0478706481204</v>
      </c>
      <c r="AO15" s="13" t="n">
        <f aca="false">AO14-Reserves!AO14+Reserves!AO15</f>
        <v>21.7512257790544</v>
      </c>
      <c r="AP15" s="13" t="n">
        <f aca="false">AP14-Reserves!AP14+Reserves!AP15</f>
        <v>19.1949044391058</v>
      </c>
      <c r="AQ15" s="13" t="n">
        <f aca="false">AQ14-Reserves!AQ14+Reserves!AQ15</f>
        <v>15.602644905436</v>
      </c>
      <c r="AR15" s="13" t="n">
        <f aca="false">AR14-Reserves!AR14+Reserves!AR15</f>
        <v>16.4040760664378</v>
      </c>
      <c r="AS15" s="13" t="n">
        <f aca="false">AS14-Reserves!AS14+Reserves!AS15</f>
        <v>15.5775421735941</v>
      </c>
      <c r="AT15" s="13" t="n">
        <f aca="false">AT14-Reserves!AT14+Reserves!AT15</f>
        <v>11.7171892741997</v>
      </c>
      <c r="AU15" s="13" t="n">
        <f aca="false">AU14-Reserves!AU14+Reserves!AU15</f>
        <v>49.2398890764651</v>
      </c>
      <c r="AV15" s="13" t="n">
        <f aca="false">AV14-Reserves!AV14+Reserves!AV15</f>
        <v>44.784400708897</v>
      </c>
      <c r="AW15" s="13" t="n">
        <f aca="false">AW14-Reserves!AW14+Reserves!AW15</f>
        <v>43.7757754228928</v>
      </c>
      <c r="AX15" s="13" t="n">
        <f aca="false">AX14-Reserves!AX14+Reserves!AX15</f>
        <v>44.549328479987</v>
      </c>
      <c r="AY15" s="13" t="n">
        <f aca="false">AY14-Reserves!AY14+Reserves!AY15</f>
        <v>44.1454555245785</v>
      </c>
      <c r="AZ15" s="13" t="n">
        <f aca="false">AZ14-Reserves!AZ14+Reserves!AZ15</f>
        <v>44.8208395983027</v>
      </c>
      <c r="BA15" s="13" t="n">
        <f aca="false">BA14-Reserves!BA14+Reserves!BA15</f>
        <v>44.4187733432184</v>
      </c>
      <c r="BB15" s="13" t="n">
        <f aca="false">BB14-Reserves!BB14+Reserves!BB15</f>
        <v>44.6770575981754</v>
      </c>
      <c r="BC15" s="13" t="n">
        <f aca="false">BC14-Reserves!BC14+Reserves!BC15</f>
        <v>44.9304411389352</v>
      </c>
      <c r="BD15" s="13" t="n">
        <f aca="false">BD14-Reserves!BD14+Reserves!BD15</f>
        <v>43.4112668979972</v>
      </c>
      <c r="BE15" s="13" t="n">
        <f aca="false">BE14-Reserves!BE14+Reserves!BE15</f>
        <v>34.7628270815216</v>
      </c>
      <c r="BF15" s="13" t="n">
        <f aca="false">BF14-Reserves!BF14+Reserves!BF15</f>
        <v>35.4582878880529</v>
      </c>
      <c r="BG15" s="13" t="n">
        <f aca="false">BG14-Reserves!BG14+Reserves!BG15</f>
        <v>35.0282731328416</v>
      </c>
      <c r="BH15" s="13" t="n">
        <f aca="false">BH14-Reserves!BH14+Reserves!BH15</f>
        <v>35.7142184030524</v>
      </c>
      <c r="BI15" s="13" t="n">
        <f aca="false">BI14-Reserves!BI14+Reserves!BI15</f>
        <v>35.2792861301848</v>
      </c>
      <c r="BJ15" s="13" t="n">
        <f aca="false">BJ14-Reserves!BJ14+Reserves!BJ15</f>
        <v>35.8466581519698</v>
      </c>
      <c r="BK15" s="13" t="n">
        <f aca="false">BK14-Reserves!BK14+Reserves!BK15</f>
        <v>44.1090267549813</v>
      </c>
      <c r="BL15" s="13" t="n">
        <f aca="false">BL14-Reserves!BL14+Reserves!BL15</f>
        <v>39.1159758488396</v>
      </c>
      <c r="BM15" s="13" t="n">
        <f aca="false">BM14-Reserves!BM14+Reserves!BM15</f>
        <v>38.7102482886552</v>
      </c>
      <c r="BN15" s="13" t="n">
        <f aca="false">BN14-Reserves!BN14+Reserves!BN15</f>
        <v>63.7159756532666</v>
      </c>
    </row>
    <row r="16" customFormat="false" ht="15" hidden="false" customHeight="false" outlineLevel="0" collapsed="false">
      <c r="B16" s="2" t="s">
        <v>837</v>
      </c>
    </row>
    <row r="17" customFormat="false" ht="15" hidden="false" customHeight="false" outlineLevel="0" collapsed="false">
      <c r="D17" s="0" t="s">
        <v>838</v>
      </c>
      <c r="E17" s="0" t="s">
        <v>202</v>
      </c>
      <c r="J17" s="6" t="n">
        <f aca="false">IF(Debt!J114&gt;Inputs!$F$253,J7/Debt!J114,0)</f>
        <v>0</v>
      </c>
      <c r="K17" s="6" t="n">
        <f aca="false">IF(Debt!K114&gt;Inputs!$F$253,K7/Debt!K114,0)</f>
        <v>0</v>
      </c>
      <c r="L17" s="6" t="n">
        <f aca="false">IF(Debt!L114&gt;Inputs!$F$253,L7/Debt!L114,0)</f>
        <v>0</v>
      </c>
      <c r="M17" s="6" t="n">
        <f aca="false">IF(Debt!M114&gt;Inputs!$F$253,M7/Debt!M114,0)</f>
        <v>0</v>
      </c>
      <c r="N17" s="6" t="n">
        <f aca="false">IF(Debt!N114&gt;Inputs!$F$253,N7/Debt!N114,0)</f>
        <v>0</v>
      </c>
      <c r="O17" s="6" t="n">
        <f aca="false">IF(Debt!O114&gt;Inputs!$F$253,O7/Debt!O114,0)</f>
        <v>0</v>
      </c>
      <c r="P17" s="6" t="n">
        <f aca="false">IF(Debt!P114&gt;Inputs!$F$253,P7/Debt!P114,0)</f>
        <v>0</v>
      </c>
      <c r="Q17" s="6" t="n">
        <f aca="false">IF(Debt!Q114&gt;Inputs!$F$253,Q7/Debt!Q114,0)</f>
        <v>1.2615123202389</v>
      </c>
      <c r="R17" s="6" t="n">
        <f aca="false">IF(Debt!R114&gt;Inputs!$F$253,R7/Debt!R114,0)</f>
        <v>0.996960513742432</v>
      </c>
      <c r="S17" s="6" t="n">
        <f aca="false">IF(Debt!S114&gt;Inputs!$F$253,S7/Debt!S114,0)</f>
        <v>0.916013587958423</v>
      </c>
      <c r="T17" s="6" t="n">
        <f aca="false">IF(Debt!T114&gt;Inputs!$F$253,T7/Debt!T114,0)</f>
        <v>1.83437213730377</v>
      </c>
      <c r="U17" s="6" t="n">
        <f aca="false">IF(Debt!U114&gt;Inputs!$F$253,U7/Debt!U114,0)</f>
        <v>1.30167504762133</v>
      </c>
      <c r="V17" s="6" t="n">
        <f aca="false">IF(Debt!V114&gt;Inputs!$F$253,V7/Debt!V114,0)</f>
        <v>1.27997283256549</v>
      </c>
      <c r="W17" s="6" t="n">
        <f aca="false">IF(Debt!W114&gt;Inputs!$F$253,W7/Debt!W114,0)</f>
        <v>1.313657239808</v>
      </c>
      <c r="X17" s="6" t="n">
        <f aca="false">IF(Debt!X114&gt;Inputs!$F$253,X7/Debt!X114,0)</f>
        <v>1.58743271081384</v>
      </c>
      <c r="Y17" s="6" t="n">
        <f aca="false">IF(Debt!Y114&gt;Inputs!$F$253,Y7/Debt!Y114,0)</f>
        <v>1.58743271081384</v>
      </c>
      <c r="Z17" s="6" t="n">
        <f aca="false">IF(Debt!Z114&gt;Inputs!$F$253,Z7/Debt!Z114,0)</f>
        <v>1.58743271081384</v>
      </c>
      <c r="AA17" s="6" t="n">
        <f aca="false">IF(Debt!AA114&gt;Inputs!$F$253,AA7/Debt!AA114,0)</f>
        <v>1.58743271081384</v>
      </c>
      <c r="AB17" s="6" t="n">
        <f aca="false">IF(Debt!AB114&gt;Inputs!$F$253,AB7/Debt!AB114,0)</f>
        <v>1.58743271081384</v>
      </c>
      <c r="AC17" s="6" t="n">
        <f aca="false">IF(Debt!AC114&gt;Inputs!$F$253,AC7/Debt!AC114,0)</f>
        <v>1.58743271081384</v>
      </c>
      <c r="AD17" s="6" t="n">
        <f aca="false">IF(Debt!AD114&gt;Inputs!$F$253,AD7/Debt!AD114,0)</f>
        <v>1.58743271081384</v>
      </c>
      <c r="AE17" s="6" t="n">
        <f aca="false">IF(Debt!AE114&gt;Inputs!$F$253,AE7/Debt!AE114,0)</f>
        <v>1.58743271081384</v>
      </c>
      <c r="AF17" s="6" t="n">
        <f aca="false">IF(Debt!AF114&gt;Inputs!$F$253,AF7/Debt!AF114,0)</f>
        <v>1.58743271081384</v>
      </c>
      <c r="AG17" s="6" t="n">
        <f aca="false">IF(Debt!AG114&gt;Inputs!$F$253,AG7/Debt!AG114,0)</f>
        <v>1.58743271081384</v>
      </c>
      <c r="AH17" s="6" t="n">
        <f aca="false">IF(Debt!AH114&gt;Inputs!$F$253,AH7/Debt!AH114,0)</f>
        <v>1.58743271081384</v>
      </c>
      <c r="AI17" s="6" t="n">
        <f aca="false">IF(Debt!AI114&gt;Inputs!$F$253,AI7/Debt!AI114,0)</f>
        <v>1.58743271081384</v>
      </c>
      <c r="AJ17" s="6" t="n">
        <f aca="false">IF(Debt!AJ114&gt;Inputs!$F$253,AJ7/Debt!AJ114,0)</f>
        <v>1.58743271081384</v>
      </c>
      <c r="AK17" s="6" t="n">
        <f aca="false">IF(Debt!AK114&gt;Inputs!$F$253,AK7/Debt!AK114,0)</f>
        <v>1.58743271081384</v>
      </c>
      <c r="AL17" s="6" t="n">
        <f aca="false">IF(Debt!AL114&gt;Inputs!$F$253,AL7/Debt!AL114,0)</f>
        <v>1.58743271081384</v>
      </c>
      <c r="AM17" s="6" t="n">
        <f aca="false">IF(Debt!AM114&gt;Inputs!$F$253,AM7/Debt!AM114,0)</f>
        <v>1.58743271081384</v>
      </c>
      <c r="AN17" s="6" t="n">
        <f aca="false">IF(Debt!AN114&gt;Inputs!$F$253,AN7/Debt!AN114,0)</f>
        <v>1.58743271081384</v>
      </c>
      <c r="AO17" s="6" t="n">
        <f aca="false">IF(Debt!AO114&gt;Inputs!$F$253,AO7/Debt!AO114,0)</f>
        <v>1.58743271081384</v>
      </c>
      <c r="AP17" s="6" t="n">
        <f aca="false">IF(Debt!AP114&gt;Inputs!$F$253,AP7/Debt!AP114,0)</f>
        <v>1.58743270871629</v>
      </c>
      <c r="AQ17" s="6" t="n">
        <f aca="false">IF(Debt!AQ114&gt;Inputs!$F$253,AQ7/Debt!AQ114,0)</f>
        <v>1.58743271269855</v>
      </c>
      <c r="AR17" s="6" t="n">
        <f aca="false">IF(Debt!AR114&gt;Inputs!$F$253,AR7/Debt!AR114,0)</f>
        <v>1.5874327115717</v>
      </c>
      <c r="AS17" s="6" t="n">
        <f aca="false">IF(Debt!AS114&gt;Inputs!$F$253,AS7/Debt!AS114,0)</f>
        <v>1.58743271100128</v>
      </c>
      <c r="AT17" s="6" t="n">
        <f aca="false">IF(Debt!AT114&gt;Inputs!$F$253,AT7/Debt!AT114,0)</f>
        <v>1.58743271078395</v>
      </c>
      <c r="AU17" s="6" t="n">
        <f aca="false">IF(Debt!AU114&gt;Inputs!$F$253,AU7/Debt!AU114,0)</f>
        <v>1.58743271076783</v>
      </c>
      <c r="AV17" s="6" t="n">
        <f aca="false">IF(Debt!AV114&gt;Inputs!$F$253,AV7/Debt!AV114,0)</f>
        <v>0</v>
      </c>
      <c r="AW17" s="6" t="n">
        <f aca="false">IF(Debt!AW114&gt;Inputs!$F$253,AW7/Debt!AW114,0)</f>
        <v>0</v>
      </c>
      <c r="AX17" s="6" t="n">
        <f aca="false">IF(Debt!AX114&gt;Inputs!$F$253,AX7/Debt!AX114,0)</f>
        <v>0</v>
      </c>
      <c r="AY17" s="6" t="n">
        <f aca="false">IF(Debt!AY114&gt;Inputs!$F$253,AY7/Debt!AY114,0)</f>
        <v>0</v>
      </c>
      <c r="AZ17" s="6" t="n">
        <f aca="false">IF(Debt!AZ114&gt;Inputs!$F$253,AZ7/Debt!AZ114,0)</f>
        <v>0</v>
      </c>
      <c r="BA17" s="6" t="n">
        <f aca="false">IF(Debt!BA114&gt;Inputs!$F$253,BA7/Debt!BA114,0)</f>
        <v>0</v>
      </c>
      <c r="BB17" s="6" t="n">
        <f aca="false">IF(Debt!BB114&gt;Inputs!$F$253,BB7/Debt!BB114,0)</f>
        <v>0</v>
      </c>
      <c r="BC17" s="6" t="n">
        <f aca="false">IF(Debt!BC114&gt;Inputs!$F$253,BC7/Debt!BC114,0)</f>
        <v>0</v>
      </c>
      <c r="BD17" s="6" t="n">
        <f aca="false">IF(Debt!BD114&gt;Inputs!$F$253,BD7/Debt!BD114,0)</f>
        <v>0</v>
      </c>
      <c r="BE17" s="6" t="n">
        <f aca="false">IF(Debt!BE114&gt;Inputs!$F$253,BE7/Debt!BE114,0)</f>
        <v>0</v>
      </c>
      <c r="BF17" s="6" t="n">
        <f aca="false">IF(Debt!BF114&gt;Inputs!$F$253,BF7/Debt!BF114,0)</f>
        <v>0</v>
      </c>
      <c r="BG17" s="6" t="n">
        <f aca="false">IF(Debt!BG114&gt;Inputs!$F$253,BG7/Debt!BG114,0)</f>
        <v>0</v>
      </c>
      <c r="BH17" s="6" t="n">
        <f aca="false">IF(Debt!BH114&gt;Inputs!$F$253,BH7/Debt!BH114,0)</f>
        <v>0</v>
      </c>
      <c r="BI17" s="6" t="n">
        <f aca="false">IF(Debt!BI114&gt;Inputs!$F$253,BI7/Debt!BI114,0)</f>
        <v>0</v>
      </c>
      <c r="BJ17" s="6" t="n">
        <f aca="false">IF(Debt!BJ114&gt;Inputs!$F$253,BJ7/Debt!BJ114,0)</f>
        <v>0</v>
      </c>
      <c r="BK17" s="6" t="n">
        <f aca="false">IF(Debt!BK114&gt;Inputs!$F$253,BK7/Debt!BK114,0)</f>
        <v>0</v>
      </c>
      <c r="BL17" s="6" t="n">
        <f aca="false">IF(Debt!BL114&gt;Inputs!$F$253,BL7/Debt!BL114,0)</f>
        <v>0</v>
      </c>
      <c r="BM17" s="6" t="n">
        <f aca="false">IF(Debt!BM114&gt;Inputs!$F$253,BM7/Debt!BM114,0)</f>
        <v>0</v>
      </c>
      <c r="BN17" s="6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839</v>
      </c>
      <c r="E18" s="0" t="s">
        <v>202</v>
      </c>
      <c r="J18" s="6" t="n">
        <f aca="false">IF(Debt!J114&gt;Inputs!$F$253,IF(Debt!I114&gt;Inputs!$F$253,(J7+I7)/(Debt!J114+Debt!I114),J17),0)</f>
        <v>0</v>
      </c>
      <c r="K18" s="6" t="n">
        <f aca="false">IF(Debt!K114&gt;Inputs!$F$253,IF(Debt!J114&gt;Inputs!$F$253,(K7+J7)/(Debt!K114+Debt!J114),K17),0)</f>
        <v>0</v>
      </c>
      <c r="L18" s="6" t="n">
        <f aca="false">IF(Debt!L114&gt;Inputs!$F$253,IF(Debt!K114&gt;Inputs!$F$253,(L7+K7)/(Debt!L114+Debt!K114),L17),0)</f>
        <v>0</v>
      </c>
      <c r="M18" s="6" t="n">
        <f aca="false">IF(Debt!M114&gt;Inputs!$F$253,IF(Debt!L114&gt;Inputs!$F$253,(M7+L7)/(Debt!M114+Debt!L114),M17),0)</f>
        <v>0</v>
      </c>
      <c r="N18" s="6" t="n">
        <f aca="false">IF(Debt!N114&gt;Inputs!$F$253,IF(Debt!M114&gt;Inputs!$F$253,(N7+M7)/(Debt!N114+Debt!M114),N17),0)</f>
        <v>0</v>
      </c>
      <c r="O18" s="6" t="n">
        <f aca="false">IF(Debt!O114&gt;Inputs!$F$253,IF(Debt!N114&gt;Inputs!$F$253,(O7+N7)/(Debt!O114+Debt!N114),O17),0)</f>
        <v>0</v>
      </c>
      <c r="P18" s="6" t="n">
        <f aca="false">IF(Debt!P114&gt;Inputs!$F$253,IF(Debt!O114&gt;Inputs!$F$253,(P7+O7)/(Debt!P114+Debt!O114),P17),0)</f>
        <v>0</v>
      </c>
      <c r="Q18" s="6" t="n">
        <f aca="false">IF(Debt!Q114&gt;Inputs!$F$253,IF(Debt!P114&gt;Inputs!$F$253,(Q7+P7)/(Debt!Q114+Debt!P114),Q17),0)</f>
        <v>1.2615123202389</v>
      </c>
      <c r="R18" s="6" t="n">
        <f aca="false">IF(Debt!R114&gt;Inputs!$F$253,IF(Debt!Q114&gt;Inputs!$F$253,(R7+Q7)/(Debt!R114+Debt!Q114),R17),0)</f>
        <v>1.12567453181992</v>
      </c>
      <c r="S18" s="6" t="n">
        <f aca="false">IF(Debt!S114&gt;Inputs!$F$253,IF(Debt!R114&gt;Inputs!$F$253,(S7+R7)/(Debt!S114+Debt!R114),S17),0)</f>
        <v>0.955656197372742</v>
      </c>
      <c r="T18" s="6" t="n">
        <f aca="false">IF(Debt!T114&gt;Inputs!$F$253,IF(Debt!S114&gt;Inputs!$F$253,(T7+S7)/(Debt!T114+Debt!S114),T17),0)</f>
        <v>1.31971417295822</v>
      </c>
      <c r="U18" s="6" t="n">
        <f aca="false">IF(Debt!U114&gt;Inputs!$F$253,IF(Debt!T114&gt;Inputs!$F$253,(U7+T7)/(Debt!U114+Debt!T114),U17),0)</f>
        <v>1.52006430876738</v>
      </c>
      <c r="V18" s="6" t="n">
        <f aca="false">IF(Debt!V114&gt;Inputs!$F$253,IF(Debt!U114&gt;Inputs!$F$253,(V7+U7)/(Debt!V114+Debt!U114),V17),0)</f>
        <v>1.2908002368216</v>
      </c>
      <c r="W18" s="6" t="n">
        <f aca="false">IF(Debt!W114&gt;Inputs!$F$253,IF(Debt!V114&gt;Inputs!$F$253,(W7+V7)/(Debt!W114+Debt!V114),W17),0)</f>
        <v>1.29639821588069</v>
      </c>
      <c r="X18" s="6" t="n">
        <f aca="false">IF(Debt!X114&gt;Inputs!$F$253,IF(Debt!W114&gt;Inputs!$F$253,(X7+W7)/(Debt!X114+Debt!W114),X17),0)</f>
        <v>1.43298400652146</v>
      </c>
      <c r="Y18" s="6" t="n">
        <f aca="false">IF(Debt!Y114&gt;Inputs!$F$253,IF(Debt!X114&gt;Inputs!$F$253,(Y7+X7)/(Debt!Y114+Debt!X114),Y17),0)</f>
        <v>1.58743271081384</v>
      </c>
      <c r="Z18" s="6" t="n">
        <f aca="false">IF(Debt!Z114&gt;Inputs!$F$253,IF(Debt!Y114&gt;Inputs!$F$253,(Z7+Y7)/(Debt!Z114+Debt!Y114),Z17),0)</f>
        <v>1.58743271081384</v>
      </c>
      <c r="AA18" s="6" t="n">
        <f aca="false">IF(Debt!AA114&gt;Inputs!$F$253,IF(Debt!Z114&gt;Inputs!$F$253,(AA7+Z7)/(Debt!AA114+Debt!Z114),AA17),0)</f>
        <v>1.58743271081384</v>
      </c>
      <c r="AB18" s="6" t="n">
        <f aca="false">IF(Debt!AB114&gt;Inputs!$F$253,IF(Debt!AA114&gt;Inputs!$F$253,(AB7+AA7)/(Debt!AB114+Debt!AA114),AB17),0)</f>
        <v>1.58743271081384</v>
      </c>
      <c r="AC18" s="6" t="n">
        <f aca="false">IF(Debt!AC114&gt;Inputs!$F$253,IF(Debt!AB114&gt;Inputs!$F$253,(AC7+AB7)/(Debt!AC114+Debt!AB114),AC17),0)</f>
        <v>1.58743271081384</v>
      </c>
      <c r="AD18" s="6" t="n">
        <f aca="false">IF(Debt!AD114&gt;Inputs!$F$253,IF(Debt!AC114&gt;Inputs!$F$253,(AD7+AC7)/(Debt!AD114+Debt!AC114),AD17),0)</f>
        <v>1.58743271081384</v>
      </c>
      <c r="AE18" s="6" t="n">
        <f aca="false">IF(Debt!AE114&gt;Inputs!$F$253,IF(Debt!AD114&gt;Inputs!$F$253,(AE7+AD7)/(Debt!AE114+Debt!AD114),AE17),0)</f>
        <v>1.58743271081384</v>
      </c>
      <c r="AF18" s="6" t="n">
        <f aca="false">IF(Debt!AF114&gt;Inputs!$F$253,IF(Debt!AE114&gt;Inputs!$F$253,(AF7+AE7)/(Debt!AF114+Debt!AE114),AF17),0)</f>
        <v>1.58743271081384</v>
      </c>
      <c r="AG18" s="6" t="n">
        <f aca="false">IF(Debt!AG114&gt;Inputs!$F$253,IF(Debt!AF114&gt;Inputs!$F$253,(AG7+AF7)/(Debt!AG114+Debt!AF114),AG17),0)</f>
        <v>1.58743271081384</v>
      </c>
      <c r="AH18" s="6" t="n">
        <f aca="false">IF(Debt!AH114&gt;Inputs!$F$253,IF(Debt!AG114&gt;Inputs!$F$253,(AH7+AG7)/(Debt!AH114+Debt!AG114),AH17),0)</f>
        <v>1.58743271081384</v>
      </c>
      <c r="AI18" s="6" t="n">
        <f aca="false">IF(Debt!AI114&gt;Inputs!$F$253,IF(Debt!AH114&gt;Inputs!$F$253,(AI7+AH7)/(Debt!AI114+Debt!AH114),AI17),0)</f>
        <v>1.58743271081384</v>
      </c>
      <c r="AJ18" s="6" t="n">
        <f aca="false">IF(Debt!AJ114&gt;Inputs!$F$253,IF(Debt!AI114&gt;Inputs!$F$253,(AJ7+AI7)/(Debt!AJ114+Debt!AI114),AJ17),0)</f>
        <v>1.58743271081384</v>
      </c>
      <c r="AK18" s="6" t="n">
        <f aca="false">IF(Debt!AK114&gt;Inputs!$F$253,IF(Debt!AJ114&gt;Inputs!$F$253,(AK7+AJ7)/(Debt!AK114+Debt!AJ114),AK17),0)</f>
        <v>1.58743271081384</v>
      </c>
      <c r="AL18" s="6" t="n">
        <f aca="false">IF(Debt!AL114&gt;Inputs!$F$253,IF(Debt!AK114&gt;Inputs!$F$253,(AL7+AK7)/(Debt!AL114+Debt!AK114),AL17),0)</f>
        <v>1.58743271081384</v>
      </c>
      <c r="AM18" s="6" t="n">
        <f aca="false">IF(Debt!AM114&gt;Inputs!$F$253,IF(Debt!AL114&gt;Inputs!$F$253,(AM7+AL7)/(Debt!AM114+Debt!AL114),AM17),0)</f>
        <v>1.58743271081384</v>
      </c>
      <c r="AN18" s="6" t="n">
        <f aca="false">IF(Debt!AN114&gt;Inputs!$F$253,IF(Debt!AM114&gt;Inputs!$F$253,(AN7+AM7)/(Debt!AN114+Debt!AM114),AN17),0)</f>
        <v>1.58743271081384</v>
      </c>
      <c r="AO18" s="6" t="n">
        <f aca="false">IF(Debt!AO114&gt;Inputs!$F$253,IF(Debt!AN114&gt;Inputs!$F$253,(AO7+AN7)/(Debt!AO114+Debt!AN114),AO17),0)</f>
        <v>1.58743271081384</v>
      </c>
      <c r="AP18" s="6" t="n">
        <f aca="false">IF(Debt!AP114&gt;Inputs!$F$253,IF(Debt!AO114&gt;Inputs!$F$253,(AP7+AO7)/(Debt!AP114+Debt!AO114),AP17),0)</f>
        <v>1.58743270981557</v>
      </c>
      <c r="AQ18" s="6" t="n">
        <f aca="false">IF(Debt!AQ114&gt;Inputs!$F$253,IF(Debt!AP114&gt;Inputs!$F$253,(AQ7+AP7)/(Debt!AQ114+Debt!AP114),AQ17),0)</f>
        <v>1.5874327106323</v>
      </c>
      <c r="AR18" s="6" t="n">
        <f aca="false">IF(Debt!AR114&gt;Inputs!$F$253,IF(Debt!AQ114&gt;Inputs!$F$253,(AR7+AQ7)/(Debt!AR114+Debt!AQ114),AR17),0)</f>
        <v>1.58743271213267</v>
      </c>
      <c r="AS18" s="6" t="n">
        <f aca="false">IF(Debt!AS114&gt;Inputs!$F$253,IF(Debt!AR114&gt;Inputs!$F$253,(AS7+AR7)/(Debt!AS114+Debt!AR114),AS17),0)</f>
        <v>1.58743271128874</v>
      </c>
      <c r="AT18" s="6" t="n">
        <f aca="false">IF(Debt!AT114&gt;Inputs!$F$253,IF(Debt!AS114&gt;Inputs!$F$253,(AT7+AS7)/(Debt!AT114+Debt!AS114),AT17),0)</f>
        <v>1.58743271089231</v>
      </c>
      <c r="AU18" s="6" t="n">
        <f aca="false">IF(Debt!AU114&gt;Inputs!$F$253,IF(Debt!AT114&gt;Inputs!$F$253,(AU7+AT7)/(Debt!AU114+Debt!AT114),AU17),0)</f>
        <v>1.58743271077532</v>
      </c>
      <c r="AV18" s="6" t="n">
        <f aca="false">IF(Debt!AV114&gt;Inputs!$F$253,IF(Debt!AU114&gt;Inputs!$F$253,(AV7+AU7)/(Debt!AV114+Debt!AU114),AV17),0)</f>
        <v>0</v>
      </c>
      <c r="AW18" s="6" t="n">
        <f aca="false">IF(Debt!AW114&gt;Inputs!$F$253,IF(Debt!AV114&gt;Inputs!$F$253,(AW7+AV7)/(Debt!AW114+Debt!AV114),AW17),0)</f>
        <v>0</v>
      </c>
      <c r="AX18" s="6" t="n">
        <f aca="false">IF(Debt!AX114&gt;Inputs!$F$253,IF(Debt!AW114&gt;Inputs!$F$253,(AX7+AW7)/(Debt!AX114+Debt!AW114),AX17),0)</f>
        <v>0</v>
      </c>
      <c r="AY18" s="6" t="n">
        <f aca="false">IF(Debt!AY114&gt;Inputs!$F$253,IF(Debt!AX114&gt;Inputs!$F$253,(AY7+AX7)/(Debt!AY114+Debt!AX114),AY17),0)</f>
        <v>0</v>
      </c>
      <c r="AZ18" s="6" t="n">
        <f aca="false">IF(Debt!AZ114&gt;Inputs!$F$253,IF(Debt!AY114&gt;Inputs!$F$253,(AZ7+AY7)/(Debt!AZ114+Debt!AY114),AZ17),0)</f>
        <v>0</v>
      </c>
      <c r="BA18" s="6" t="n">
        <f aca="false">IF(Debt!BA114&gt;Inputs!$F$253,IF(Debt!AZ114&gt;Inputs!$F$253,(BA7+AZ7)/(Debt!BA114+Debt!AZ114),BA17),0)</f>
        <v>0</v>
      </c>
      <c r="BB18" s="6" t="n">
        <f aca="false">IF(Debt!BB114&gt;Inputs!$F$253,IF(Debt!BA114&gt;Inputs!$F$253,(BB7+BA7)/(Debt!BB114+Debt!BA114),BB17),0)</f>
        <v>0</v>
      </c>
      <c r="BC18" s="6" t="n">
        <f aca="false">IF(Debt!BC114&gt;Inputs!$F$253,IF(Debt!BB114&gt;Inputs!$F$253,(BC7+BB7)/(Debt!BC114+Debt!BB114),BC17),0)</f>
        <v>0</v>
      </c>
      <c r="BD18" s="6" t="n">
        <f aca="false">IF(Debt!BD114&gt;Inputs!$F$253,IF(Debt!BC114&gt;Inputs!$F$253,(BD7+BC7)/(Debt!BD114+Debt!BC114),BD17),0)</f>
        <v>0</v>
      </c>
      <c r="BE18" s="6" t="n">
        <f aca="false">IF(Debt!BE114&gt;Inputs!$F$253,IF(Debt!BD114&gt;Inputs!$F$253,(BE7+BD7)/(Debt!BE114+Debt!BD114),BE17),0)</f>
        <v>0</v>
      </c>
      <c r="BF18" s="6" t="n">
        <f aca="false">IF(Debt!BF114&gt;Inputs!$F$253,IF(Debt!BE114&gt;Inputs!$F$253,(BF7+BE7)/(Debt!BF114+Debt!BE114),BF17),0)</f>
        <v>0</v>
      </c>
      <c r="BG18" s="6" t="n">
        <f aca="false">IF(Debt!BG114&gt;Inputs!$F$253,IF(Debt!BF114&gt;Inputs!$F$253,(BG7+BF7)/(Debt!BG114+Debt!BF114),BG17),0)</f>
        <v>0</v>
      </c>
      <c r="BH18" s="6" t="n">
        <f aca="false">IF(Debt!BH114&gt;Inputs!$F$253,IF(Debt!BG114&gt;Inputs!$F$253,(BH7+BG7)/(Debt!BH114+Debt!BG114),BH17),0)</f>
        <v>0</v>
      </c>
      <c r="BI18" s="6" t="n">
        <f aca="false">IF(Debt!BI114&gt;Inputs!$F$253,IF(Debt!BH114&gt;Inputs!$F$253,(BI7+BH7)/(Debt!BI114+Debt!BH114),BI17),0)</f>
        <v>0</v>
      </c>
      <c r="BJ18" s="6" t="n">
        <f aca="false">IF(Debt!BJ114&gt;Inputs!$F$253,IF(Debt!BI114&gt;Inputs!$F$253,(BJ7+BI7)/(Debt!BJ114+Debt!BI114),BJ17),0)</f>
        <v>0</v>
      </c>
      <c r="BK18" s="6" t="n">
        <f aca="false">IF(Debt!BK114&gt;Inputs!$F$253,IF(Debt!BJ114&gt;Inputs!$F$253,(BK7+BJ7)/(Debt!BK114+Debt!BJ114),BK17),0)</f>
        <v>0</v>
      </c>
      <c r="BL18" s="6" t="n">
        <f aca="false">IF(Debt!BL114&gt;Inputs!$F$253,IF(Debt!BK114&gt;Inputs!$F$253,(BL7+BK7)/(Debt!BL114+Debt!BK114),BL17),0)</f>
        <v>0</v>
      </c>
      <c r="BM18" s="6" t="n">
        <f aca="false">IF(Debt!BM114&gt;Inputs!$F$253,IF(Debt!BL114&gt;Inputs!$F$253,(BM7+BL7)/(Debt!BM114+Debt!BL114),BM17),0)</f>
        <v>0</v>
      </c>
      <c r="BN18" s="6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840</v>
      </c>
      <c r="E19" s="0" t="s">
        <v>113</v>
      </c>
      <c r="J19" s="10" t="n">
        <f aca="false">IF(SUM(Debt!J$113:J$113)&gt;Inputs!$F$253,1,0)</f>
        <v>0</v>
      </c>
      <c r="K19" s="10" t="n">
        <f aca="false">IF(SUM(Debt!$J$113:K$113)&gt;Inputs!$F$253,1,0)</f>
        <v>0</v>
      </c>
      <c r="L19" s="10" t="n">
        <f aca="false">IF(SUM(Debt!$J$113:L$113)&gt;Inputs!$F$253,1,0)</f>
        <v>0</v>
      </c>
      <c r="M19" s="10" t="n">
        <f aca="false">IF(SUM(Debt!$J$113:M$113)&gt;Inputs!$F$253,1,0)</f>
        <v>0</v>
      </c>
      <c r="N19" s="10" t="n">
        <f aca="false">IF(SUM(Debt!$J$113:N$113)&gt;Inputs!$F$253,1,0)</f>
        <v>0</v>
      </c>
      <c r="O19" s="10" t="n">
        <f aca="false">IF(SUM(Debt!$J$113:O$113)&gt;Inputs!$F$253,1,0)</f>
        <v>0</v>
      </c>
      <c r="P19" s="10" t="n">
        <f aca="false">IF(SUM(Debt!$J$113:P$113)&gt;Inputs!$F$253,1,0)</f>
        <v>0</v>
      </c>
      <c r="Q19" s="10" t="n">
        <f aca="false">IF(SUM(Debt!$J$113:Q$113)&gt;Inputs!$F$253,1,0)</f>
        <v>1</v>
      </c>
      <c r="R19" s="10" t="n">
        <f aca="false">IF(SUM(Debt!$J$113:R$113)&gt;Inputs!$F$253,1,0)</f>
        <v>1</v>
      </c>
      <c r="S19" s="10" t="n">
        <f aca="false">IF(SUM(Debt!$J$113:S$113)&gt;Inputs!$F$253,1,0)</f>
        <v>1</v>
      </c>
      <c r="T19" s="10" t="n">
        <f aca="false">IF(SUM(Debt!$J$113:T$113)&gt;Inputs!$F$253,1,0)</f>
        <v>1</v>
      </c>
      <c r="U19" s="10" t="n">
        <f aca="false">IF(SUM(Debt!$J$113:U$113)&gt;Inputs!$F$253,1,0)</f>
        <v>1</v>
      </c>
      <c r="V19" s="10" t="n">
        <f aca="false">IF(SUM(Debt!$J$113:V$113)&gt;Inputs!$F$253,1,0)</f>
        <v>1</v>
      </c>
      <c r="W19" s="10" t="n">
        <f aca="false">IF(SUM(Debt!$J$113:W$113)&gt;Inputs!$F$253,1,0)</f>
        <v>1</v>
      </c>
      <c r="X19" s="10" t="n">
        <f aca="false">IF(SUM(Debt!$J$113:X$113)&gt;Inputs!$F$253,1,0)</f>
        <v>1</v>
      </c>
      <c r="Y19" s="10" t="n">
        <f aca="false">IF(SUM(Debt!$J$113:Y$113)&gt;Inputs!$F$253,1,0)</f>
        <v>1</v>
      </c>
      <c r="Z19" s="10" t="n">
        <f aca="false">IF(SUM(Debt!$J$113:Z$113)&gt;Inputs!$F$253,1,0)</f>
        <v>1</v>
      </c>
      <c r="AA19" s="10" t="n">
        <f aca="false">IF(SUM(Debt!$J$113:AA$113)&gt;Inputs!$F$253,1,0)</f>
        <v>1</v>
      </c>
      <c r="AB19" s="10" t="n">
        <f aca="false">IF(SUM(Debt!$J$113:AB$113)&gt;Inputs!$F$253,1,0)</f>
        <v>1</v>
      </c>
      <c r="AC19" s="10" t="n">
        <f aca="false">IF(SUM(Debt!$J$113:AC$113)&gt;Inputs!$F$253,1,0)</f>
        <v>1</v>
      </c>
      <c r="AD19" s="10" t="n">
        <f aca="false">IF(SUM(Debt!$J$113:AD$113)&gt;Inputs!$F$253,1,0)</f>
        <v>1</v>
      </c>
      <c r="AE19" s="10" t="n">
        <f aca="false">IF(SUM(Debt!$J$113:AE$113)&gt;Inputs!$F$253,1,0)</f>
        <v>1</v>
      </c>
      <c r="AF19" s="10" t="n">
        <f aca="false">IF(SUM(Debt!$J$113:AF$113)&gt;Inputs!$F$253,1,0)</f>
        <v>1</v>
      </c>
      <c r="AG19" s="10" t="n">
        <f aca="false">IF(SUM(Debt!$J$113:AG$113)&gt;Inputs!$F$253,1,0)</f>
        <v>1</v>
      </c>
      <c r="AH19" s="10" t="n">
        <f aca="false">IF(SUM(Debt!$J$113:AH$113)&gt;Inputs!$F$253,1,0)</f>
        <v>1</v>
      </c>
      <c r="AI19" s="10" t="n">
        <f aca="false">IF(SUM(Debt!$J$113:AI$113)&gt;Inputs!$F$253,1,0)</f>
        <v>1</v>
      </c>
      <c r="AJ19" s="10" t="n">
        <f aca="false">IF(SUM(Debt!$J$113:AJ$113)&gt;Inputs!$F$253,1,0)</f>
        <v>1</v>
      </c>
      <c r="AK19" s="10" t="n">
        <f aca="false">IF(SUM(Debt!$J$113:AK$113)&gt;Inputs!$F$253,1,0)</f>
        <v>1</v>
      </c>
      <c r="AL19" s="10" t="n">
        <f aca="false">IF(SUM(Debt!$J$113:AL$113)&gt;Inputs!$F$253,1,0)</f>
        <v>1</v>
      </c>
      <c r="AM19" s="10" t="n">
        <f aca="false">IF(SUM(Debt!$J$113:AM$113)&gt;Inputs!$F$253,1,0)</f>
        <v>1</v>
      </c>
      <c r="AN19" s="10" t="n">
        <f aca="false">IF(SUM(Debt!$J$113:AN$113)&gt;Inputs!$F$253,1,0)</f>
        <v>1</v>
      </c>
      <c r="AO19" s="10" t="n">
        <f aca="false">IF(SUM(Debt!$J$113:AO$113)&gt;Inputs!$F$253,1,0)</f>
        <v>1</v>
      </c>
      <c r="AP19" s="10" t="n">
        <f aca="false">IF(SUM(Debt!$J$113:AP$113)&gt;Inputs!$F$253,1,0)</f>
        <v>1</v>
      </c>
      <c r="AQ19" s="10" t="n">
        <f aca="false">IF(SUM(Debt!$J$113:AQ$113)&gt;Inputs!$F$253,1,0)</f>
        <v>1</v>
      </c>
      <c r="AR19" s="10" t="n">
        <f aca="false">IF(SUM(Debt!$J$113:AR$113)&gt;Inputs!$F$253,1,0)</f>
        <v>1</v>
      </c>
      <c r="AS19" s="10" t="n">
        <f aca="false">IF(SUM(Debt!$J$113:AS$113)&gt;Inputs!$F$253,1,0)</f>
        <v>1</v>
      </c>
      <c r="AT19" s="10" t="n">
        <f aca="false">IF(SUM(Debt!$J$113:AT$113)&gt;Inputs!$F$253,1,0)</f>
        <v>1</v>
      </c>
      <c r="AU19" s="10" t="n">
        <f aca="false">IF(SUM(Debt!$J$113:AU$113)&gt;Inputs!$F$253,1,0)</f>
        <v>1</v>
      </c>
      <c r="AV19" s="10" t="n">
        <f aca="false">IF(SUM(Debt!$J$113:AV$113)&gt;Inputs!$F$253,1,0)</f>
        <v>1</v>
      </c>
      <c r="AW19" s="10" t="n">
        <f aca="false">IF(SUM(Debt!$J$113:AW$113)&gt;Inputs!$F$253,1,0)</f>
        <v>1</v>
      </c>
      <c r="AX19" s="10" t="n">
        <f aca="false">IF(SUM(Debt!$J$113:AX$113)&gt;Inputs!$F$253,1,0)</f>
        <v>1</v>
      </c>
      <c r="AY19" s="10" t="n">
        <f aca="false">IF(SUM(Debt!$J$113:AY$113)&gt;Inputs!$F$253,1,0)</f>
        <v>1</v>
      </c>
      <c r="AZ19" s="10" t="n">
        <f aca="false">IF(SUM(Debt!$J$113:AZ$113)&gt;Inputs!$F$253,1,0)</f>
        <v>1</v>
      </c>
      <c r="BA19" s="10" t="n">
        <f aca="false">IF(SUM(Debt!$J$113:BA$113)&gt;Inputs!$F$253,1,0)</f>
        <v>1</v>
      </c>
      <c r="BB19" s="10" t="n">
        <f aca="false">IF(SUM(Debt!$J$113:BB$113)&gt;Inputs!$F$253,1,0)</f>
        <v>1</v>
      </c>
      <c r="BC19" s="10" t="n">
        <f aca="false">IF(SUM(Debt!$J$113:BC$113)&gt;Inputs!$F$253,1,0)</f>
        <v>1</v>
      </c>
      <c r="BD19" s="10" t="n">
        <f aca="false">IF(SUM(Debt!$J$113:BD$113)&gt;Inputs!$F$253,1,0)</f>
        <v>1</v>
      </c>
      <c r="BE19" s="10" t="n">
        <f aca="false">IF(SUM(Debt!$J$113:BE$113)&gt;Inputs!$F$253,1,0)</f>
        <v>1</v>
      </c>
      <c r="BF19" s="10" t="n">
        <f aca="false">IF(SUM(Debt!$J$113:BF$113)&gt;Inputs!$F$253,1,0)</f>
        <v>1</v>
      </c>
      <c r="BG19" s="10" t="n">
        <f aca="false">IF(SUM(Debt!$J$113:BG$113)&gt;Inputs!$F$253,1,0)</f>
        <v>1</v>
      </c>
      <c r="BH19" s="10" t="n">
        <f aca="false">IF(SUM(Debt!$J$113:BH$113)&gt;Inputs!$F$253,1,0)</f>
        <v>1</v>
      </c>
      <c r="BI19" s="10" t="n">
        <f aca="false">IF(SUM(Debt!$J$113:BI$113)&gt;Inputs!$F$253,1,0)</f>
        <v>1</v>
      </c>
      <c r="BJ19" s="10" t="n">
        <f aca="false">IF(SUM(Debt!$J$113:BJ$113)&gt;Inputs!$F$253,1,0)</f>
        <v>1</v>
      </c>
      <c r="BK19" s="10" t="n">
        <f aca="false">IF(SUM(Debt!$J$113:BK$113)&gt;Inputs!$F$253,1,0)</f>
        <v>1</v>
      </c>
      <c r="BL19" s="10" t="n">
        <f aca="false">IF(SUM(Debt!$J$113:BL$113)&gt;Inputs!$F$253,1,0)</f>
        <v>1</v>
      </c>
      <c r="BM19" s="10" t="n">
        <f aca="false">IF(SUM(Debt!$J$113:BM$113)&gt;Inputs!$F$253,1,0)</f>
        <v>1</v>
      </c>
      <c r="BN19" s="10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841</v>
      </c>
      <c r="E20" s="0" t="s">
        <v>113</v>
      </c>
      <c r="J20" s="10" t="n">
        <f aca="false">IF(AND(Debt!J114&gt;Inputs!$F$253,J18&lt;Inputs!$F$109),1,0)</f>
        <v>0</v>
      </c>
      <c r="K20" s="10" t="n">
        <f aca="false">IF(AND(Debt!K114&gt;Inputs!$F$253,K18&lt;Inputs!$F$109),1,0)</f>
        <v>0</v>
      </c>
      <c r="L20" s="10" t="n">
        <f aca="false">IF(AND(Debt!L114&gt;Inputs!$F$253,L18&lt;Inputs!$F$109),1,0)</f>
        <v>0</v>
      </c>
      <c r="M20" s="10" t="n">
        <f aca="false">IF(AND(Debt!M114&gt;Inputs!$F$253,M18&lt;Inputs!$F$109),1,0)</f>
        <v>0</v>
      </c>
      <c r="N20" s="10" t="n">
        <f aca="false">IF(AND(Debt!N114&gt;Inputs!$F$253,N18&lt;Inputs!$F$109),1,0)</f>
        <v>0</v>
      </c>
      <c r="O20" s="10" t="n">
        <f aca="false">IF(AND(Debt!O114&gt;Inputs!$F$253,O18&lt;Inputs!$F$109),1,0)</f>
        <v>0</v>
      </c>
      <c r="P20" s="10" t="n">
        <f aca="false">IF(AND(Debt!P114&gt;Inputs!$F$253,P18&lt;Inputs!$F$109),1,0)</f>
        <v>0</v>
      </c>
      <c r="Q20" s="10" t="n">
        <f aca="false">IF(AND(Debt!Q114&gt;Inputs!$F$253,Q18&lt;Inputs!$F$109),1,0)</f>
        <v>0</v>
      </c>
      <c r="R20" s="10" t="n">
        <f aca="false">IF(AND(Debt!R114&gt;Inputs!$F$253,R18&lt;Inputs!$F$109),1,0)</f>
        <v>0</v>
      </c>
      <c r="S20" s="10" t="n">
        <f aca="false">IF(AND(Debt!S114&gt;Inputs!$F$253,S18&lt;Inputs!$F$109),1,0)</f>
        <v>1</v>
      </c>
      <c r="T20" s="10" t="n">
        <f aca="false">IF(AND(Debt!T114&gt;Inputs!$F$253,T18&lt;Inputs!$F$109),1,0)</f>
        <v>0</v>
      </c>
      <c r="U20" s="10" t="n">
        <f aca="false">IF(AND(Debt!U114&gt;Inputs!$F$253,U18&lt;Inputs!$F$109),1,0)</f>
        <v>0</v>
      </c>
      <c r="V20" s="10" t="n">
        <f aca="false">IF(AND(Debt!V114&gt;Inputs!$F$253,V18&lt;Inputs!$F$109),1,0)</f>
        <v>0</v>
      </c>
      <c r="W20" s="10" t="n">
        <f aca="false">IF(AND(Debt!W114&gt;Inputs!$F$253,W18&lt;Inputs!$F$109),1,0)</f>
        <v>0</v>
      </c>
      <c r="X20" s="10" t="n">
        <f aca="false">IF(AND(Debt!X114&gt;Inputs!$F$253,X18&lt;Inputs!$F$109),1,0)</f>
        <v>0</v>
      </c>
      <c r="Y20" s="10" t="n">
        <f aca="false">IF(AND(Debt!Y114&gt;Inputs!$F$253,Y18&lt;Inputs!$F$109),1,0)</f>
        <v>0</v>
      </c>
      <c r="Z20" s="10" t="n">
        <f aca="false">IF(AND(Debt!Z114&gt;Inputs!$F$253,Z18&lt;Inputs!$F$109),1,0)</f>
        <v>0</v>
      </c>
      <c r="AA20" s="10" t="n">
        <f aca="false">IF(AND(Debt!AA114&gt;Inputs!$F$253,AA18&lt;Inputs!$F$109),1,0)</f>
        <v>0</v>
      </c>
      <c r="AB20" s="10" t="n">
        <f aca="false">IF(AND(Debt!AB114&gt;Inputs!$F$253,AB18&lt;Inputs!$F$109),1,0)</f>
        <v>0</v>
      </c>
      <c r="AC20" s="10" t="n">
        <f aca="false">IF(AND(Debt!AC114&gt;Inputs!$F$253,AC18&lt;Inputs!$F$109),1,0)</f>
        <v>0</v>
      </c>
      <c r="AD20" s="10" t="n">
        <f aca="false">IF(AND(Debt!AD114&gt;Inputs!$F$253,AD18&lt;Inputs!$F$109),1,0)</f>
        <v>0</v>
      </c>
      <c r="AE20" s="10" t="n">
        <f aca="false">IF(AND(Debt!AE114&gt;Inputs!$F$253,AE18&lt;Inputs!$F$109),1,0)</f>
        <v>0</v>
      </c>
      <c r="AF20" s="10" t="n">
        <f aca="false">IF(AND(Debt!AF114&gt;Inputs!$F$253,AF18&lt;Inputs!$F$109),1,0)</f>
        <v>0</v>
      </c>
      <c r="AG20" s="10" t="n">
        <f aca="false">IF(AND(Debt!AG114&gt;Inputs!$F$253,AG18&lt;Inputs!$F$109),1,0)</f>
        <v>0</v>
      </c>
      <c r="AH20" s="10" t="n">
        <f aca="false">IF(AND(Debt!AH114&gt;Inputs!$F$253,AH18&lt;Inputs!$F$109),1,0)</f>
        <v>0</v>
      </c>
      <c r="AI20" s="10" t="n">
        <f aca="false">IF(AND(Debt!AI114&gt;Inputs!$F$253,AI18&lt;Inputs!$F$109),1,0)</f>
        <v>0</v>
      </c>
      <c r="AJ20" s="10" t="n">
        <f aca="false">IF(AND(Debt!AJ114&gt;Inputs!$F$253,AJ18&lt;Inputs!$F$109),1,0)</f>
        <v>0</v>
      </c>
      <c r="AK20" s="10" t="n">
        <f aca="false">IF(AND(Debt!AK114&gt;Inputs!$F$253,AK18&lt;Inputs!$F$109),1,0)</f>
        <v>0</v>
      </c>
      <c r="AL20" s="10" t="n">
        <f aca="false">IF(AND(Debt!AL114&gt;Inputs!$F$253,AL18&lt;Inputs!$F$109),1,0)</f>
        <v>0</v>
      </c>
      <c r="AM20" s="10" t="n">
        <f aca="false">IF(AND(Debt!AM114&gt;Inputs!$F$253,AM18&lt;Inputs!$F$109),1,0)</f>
        <v>0</v>
      </c>
      <c r="AN20" s="10" t="n">
        <f aca="false">IF(AND(Debt!AN114&gt;Inputs!$F$253,AN18&lt;Inputs!$F$109),1,0)</f>
        <v>0</v>
      </c>
      <c r="AO20" s="10" t="n">
        <f aca="false">IF(AND(Debt!AO114&gt;Inputs!$F$253,AO18&lt;Inputs!$F$109),1,0)</f>
        <v>0</v>
      </c>
      <c r="AP20" s="10" t="n">
        <f aca="false">IF(AND(Debt!AP114&gt;Inputs!$F$253,AP18&lt;Inputs!$F$109),1,0)</f>
        <v>0</v>
      </c>
      <c r="AQ20" s="10" t="n">
        <f aca="false">IF(AND(Debt!AQ114&gt;Inputs!$F$253,AQ18&lt;Inputs!$F$109),1,0)</f>
        <v>0</v>
      </c>
      <c r="AR20" s="10" t="n">
        <f aca="false">IF(AND(Debt!AR114&gt;Inputs!$F$253,AR18&lt;Inputs!$F$109),1,0)</f>
        <v>0</v>
      </c>
      <c r="AS20" s="10" t="n">
        <f aca="false">IF(AND(Debt!AS114&gt;Inputs!$F$253,AS18&lt;Inputs!$F$109),1,0)</f>
        <v>0</v>
      </c>
      <c r="AT20" s="10" t="n">
        <f aca="false">IF(AND(Debt!AT114&gt;Inputs!$F$253,AT18&lt;Inputs!$F$109),1,0)</f>
        <v>0</v>
      </c>
      <c r="AU20" s="10" t="n">
        <f aca="false">IF(AND(Debt!AU114&gt;Inputs!$F$253,AU18&lt;Inputs!$F$109),1,0)</f>
        <v>0</v>
      </c>
      <c r="AV20" s="10" t="n">
        <f aca="false">IF(AND(Debt!AV114&gt;Inputs!$F$253,AV18&lt;Inputs!$F$109),1,0)</f>
        <v>0</v>
      </c>
      <c r="AW20" s="10" t="n">
        <f aca="false">IF(AND(Debt!AW114&gt;Inputs!$F$253,AW18&lt;Inputs!$F$109),1,0)</f>
        <v>0</v>
      </c>
      <c r="AX20" s="10" t="n">
        <f aca="false">IF(AND(Debt!AX114&gt;Inputs!$F$253,AX18&lt;Inputs!$F$109),1,0)</f>
        <v>0</v>
      </c>
      <c r="AY20" s="10" t="n">
        <f aca="false">IF(AND(Debt!AY114&gt;Inputs!$F$253,AY18&lt;Inputs!$F$109),1,0)</f>
        <v>0</v>
      </c>
      <c r="AZ20" s="10" t="n">
        <f aca="false">IF(AND(Debt!AZ114&gt;Inputs!$F$253,AZ18&lt;Inputs!$F$109),1,0)</f>
        <v>0</v>
      </c>
      <c r="BA20" s="10" t="n">
        <f aca="false">IF(AND(Debt!BA114&gt;Inputs!$F$253,BA18&lt;Inputs!$F$109),1,0)</f>
        <v>0</v>
      </c>
      <c r="BB20" s="10" t="n">
        <f aca="false">IF(AND(Debt!BB114&gt;Inputs!$F$253,BB18&lt;Inputs!$F$109),1,0)</f>
        <v>0</v>
      </c>
      <c r="BC20" s="10" t="n">
        <f aca="false">IF(AND(Debt!BC114&gt;Inputs!$F$253,BC18&lt;Inputs!$F$109),1,0)</f>
        <v>0</v>
      </c>
      <c r="BD20" s="10" t="n">
        <f aca="false">IF(AND(Debt!BD114&gt;Inputs!$F$253,BD18&lt;Inputs!$F$109),1,0)</f>
        <v>0</v>
      </c>
      <c r="BE20" s="10" t="n">
        <f aca="false">IF(AND(Debt!BE114&gt;Inputs!$F$253,BE18&lt;Inputs!$F$109),1,0)</f>
        <v>0</v>
      </c>
      <c r="BF20" s="10" t="n">
        <f aca="false">IF(AND(Debt!BF114&gt;Inputs!$F$253,BF18&lt;Inputs!$F$109),1,0)</f>
        <v>0</v>
      </c>
      <c r="BG20" s="10" t="n">
        <f aca="false">IF(AND(Debt!BG114&gt;Inputs!$F$253,BG18&lt;Inputs!$F$109),1,0)</f>
        <v>0</v>
      </c>
      <c r="BH20" s="10" t="n">
        <f aca="false">IF(AND(Debt!BH114&gt;Inputs!$F$253,BH18&lt;Inputs!$F$109),1,0)</f>
        <v>0</v>
      </c>
      <c r="BI20" s="10" t="n">
        <f aca="false">IF(AND(Debt!BI114&gt;Inputs!$F$253,BI18&lt;Inputs!$F$109),1,0)</f>
        <v>0</v>
      </c>
      <c r="BJ20" s="10" t="n">
        <f aca="false">IF(AND(Debt!BJ114&gt;Inputs!$F$253,BJ18&lt;Inputs!$F$109),1,0)</f>
        <v>0</v>
      </c>
      <c r="BK20" s="10" t="n">
        <f aca="false">IF(AND(Debt!BK114&gt;Inputs!$F$253,BK18&lt;Inputs!$F$109),1,0)</f>
        <v>0</v>
      </c>
      <c r="BL20" s="10" t="n">
        <f aca="false">IF(AND(Debt!BL114&gt;Inputs!$F$253,BL18&lt;Inputs!$F$109),1,0)</f>
        <v>0</v>
      </c>
      <c r="BM20" s="10" t="n">
        <f aca="false">IF(AND(Debt!BM114&gt;Inputs!$F$253,BM18&lt;Inputs!$F$109),1,0)</f>
        <v>0</v>
      </c>
      <c r="BN20" s="10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842</v>
      </c>
      <c r="E21" s="0" t="s">
        <v>113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1</v>
      </c>
      <c r="T21" s="12" t="n">
        <f aca="false">Time!T49</f>
        <v>1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843</v>
      </c>
      <c r="E22" s="0" t="s">
        <v>113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1</v>
      </c>
      <c r="T22" s="12" t="n">
        <f aca="false">Time!T50</f>
        <v>1</v>
      </c>
      <c r="U22" s="12" t="n">
        <f aca="false">Time!U50</f>
        <v>1</v>
      </c>
      <c r="V22" s="12" t="n">
        <f aca="false">Time!V50</f>
        <v>1</v>
      </c>
      <c r="W22" s="12" t="n">
        <f aca="false">Time!W50</f>
        <v>1</v>
      </c>
      <c r="X22" s="12" t="n">
        <f aca="false">Time!X50</f>
        <v>1</v>
      </c>
      <c r="Y22" s="12" t="n">
        <f aca="false">Time!Y50</f>
        <v>1</v>
      </c>
      <c r="Z22" s="12" t="n">
        <f aca="false">Time!Z50</f>
        <v>1</v>
      </c>
      <c r="AA22" s="12" t="n">
        <f aca="false">Time!AA50</f>
        <v>1</v>
      </c>
      <c r="AB22" s="12" t="n">
        <f aca="false">Time!AB50</f>
        <v>1</v>
      </c>
      <c r="AC22" s="12" t="n">
        <f aca="false">Time!AC50</f>
        <v>1</v>
      </c>
      <c r="AD22" s="12" t="n">
        <f aca="false">Time!AD50</f>
        <v>1</v>
      </c>
      <c r="AE22" s="12" t="n">
        <f aca="false">Time!AE50</f>
        <v>1</v>
      </c>
      <c r="AF22" s="12" t="n">
        <f aca="false">Time!AF50</f>
        <v>1</v>
      </c>
      <c r="AG22" s="12" t="n">
        <f aca="false">Time!AG50</f>
        <v>1</v>
      </c>
      <c r="AH22" s="12" t="n">
        <f aca="false">Time!AH50</f>
        <v>1</v>
      </c>
      <c r="AI22" s="12" t="n">
        <f aca="false">Time!AI50</f>
        <v>1</v>
      </c>
      <c r="AJ22" s="12" t="n">
        <f aca="false">Time!AJ50</f>
        <v>1</v>
      </c>
      <c r="AK22" s="12" t="n">
        <f aca="false">Time!AK50</f>
        <v>1</v>
      </c>
      <c r="AL22" s="12" t="n">
        <f aca="false">Time!AL50</f>
        <v>1</v>
      </c>
      <c r="AM22" s="12" t="n">
        <f aca="false">Time!AM50</f>
        <v>1</v>
      </c>
      <c r="AN22" s="12" t="n">
        <f aca="false">Time!AN50</f>
        <v>1</v>
      </c>
      <c r="AO22" s="12" t="n">
        <f aca="false">Time!AO50</f>
        <v>1</v>
      </c>
      <c r="AP22" s="12" t="n">
        <f aca="false">Time!AP50</f>
        <v>1</v>
      </c>
      <c r="AQ22" s="12" t="n">
        <f aca="false">Time!AQ50</f>
        <v>1</v>
      </c>
      <c r="AR22" s="12" t="n">
        <f aca="false">Time!AR50</f>
        <v>1</v>
      </c>
      <c r="AS22" s="12" t="n">
        <f aca="false">Time!AS50</f>
        <v>1</v>
      </c>
      <c r="AT22" s="12" t="n">
        <f aca="false">Time!AT50</f>
        <v>1</v>
      </c>
      <c r="AU22" s="12" t="n">
        <f aca="false">Time!AU50</f>
        <v>1</v>
      </c>
      <c r="AV22" s="12" t="n">
        <f aca="false">Time!AV50</f>
        <v>1</v>
      </c>
      <c r="AW22" s="12" t="n">
        <f aca="false">Time!AW50</f>
        <v>1</v>
      </c>
      <c r="AX22" s="12" t="n">
        <f aca="false">Time!AX50</f>
        <v>1</v>
      </c>
      <c r="AY22" s="12" t="n">
        <f aca="false">Time!AY50</f>
        <v>1</v>
      </c>
      <c r="AZ22" s="12" t="n">
        <f aca="false">Time!AZ50</f>
        <v>1</v>
      </c>
      <c r="BA22" s="12" t="n">
        <f aca="false">Time!BA50</f>
        <v>1</v>
      </c>
      <c r="BB22" s="12" t="n">
        <f aca="false">Time!BB50</f>
        <v>1</v>
      </c>
      <c r="BC22" s="12" t="n">
        <f aca="false">Time!BC50</f>
        <v>1</v>
      </c>
      <c r="BD22" s="12" t="n">
        <f aca="false">Time!BD50</f>
        <v>1</v>
      </c>
      <c r="BE22" s="12" t="n">
        <f aca="false">Time!BE50</f>
        <v>1</v>
      </c>
      <c r="BF22" s="12" t="n">
        <f aca="false">Time!BF50</f>
        <v>1</v>
      </c>
      <c r="BG22" s="12" t="n">
        <f aca="false">Time!BG50</f>
        <v>1</v>
      </c>
      <c r="BH22" s="12" t="n">
        <f aca="false">Time!BH50</f>
        <v>1</v>
      </c>
      <c r="BI22" s="12" t="n">
        <f aca="false">Time!BI50</f>
        <v>1</v>
      </c>
      <c r="BJ22" s="12" t="n">
        <f aca="false">Time!BJ50</f>
        <v>1</v>
      </c>
      <c r="BK22" s="12" t="n">
        <f aca="false">Time!BK50</f>
        <v>1</v>
      </c>
      <c r="BL22" s="12" t="n">
        <f aca="false">Time!BL50</f>
        <v>1</v>
      </c>
      <c r="BM22" s="12" t="n">
        <f aca="false">Time!BM50</f>
        <v>1</v>
      </c>
      <c r="BN22" s="12" t="n">
        <f aca="false">Time!BN50</f>
        <v>1</v>
      </c>
    </row>
    <row r="23" customFormat="false" ht="15" hidden="false" customHeight="false" outlineLevel="0" collapsed="false">
      <c r="D23" s="0" t="s">
        <v>844</v>
      </c>
      <c r="E23" s="0" t="s">
        <v>113</v>
      </c>
      <c r="J23" s="10" t="n">
        <f aca="false">MAX(I23,IF(AND(J22=1,Time!J51=1,J18&gt;=Inputs!$F$110,Time!I51=1,I18&gt;=Inputs!$F$110,Reserves!J13&gt;=Debt!J125-Inputs!$F$254),1,0))</f>
        <v>0</v>
      </c>
      <c r="K23" s="10" t="n">
        <f aca="false">MAX(J23,IF(AND(K22=1,Time!K51=1,K18&gt;=Inputs!$F$110,Time!J51=1,J18&gt;=Inputs!$F$110,Reserves!K13&gt;=Debt!K125-Inputs!$F$254),1,0))</f>
        <v>0</v>
      </c>
      <c r="L23" s="10" t="n">
        <f aca="false">MAX(K23,IF(AND(L22=1,Time!L51=1,L18&gt;=Inputs!$F$110,Time!K51=1,K18&gt;=Inputs!$F$110,Reserves!L13&gt;=Debt!L125-Inputs!$F$254),1,0))</f>
        <v>0</v>
      </c>
      <c r="M23" s="10" t="n">
        <f aca="false">MAX(L23,IF(AND(M22=1,Time!M51=1,M18&gt;=Inputs!$F$110,Time!L51=1,L18&gt;=Inputs!$F$110,Reserves!M13&gt;=Debt!M125-Inputs!$F$254),1,0))</f>
        <v>0</v>
      </c>
      <c r="N23" s="10" t="n">
        <f aca="false">MAX(M23,IF(AND(N22=1,Time!N51=1,N18&gt;=Inputs!$F$110,Time!M51=1,M18&gt;=Inputs!$F$110,Reserves!N13&gt;=Debt!N125-Inputs!$F$254),1,0))</f>
        <v>0</v>
      </c>
      <c r="O23" s="10" t="n">
        <f aca="false">MAX(N23,IF(AND(O22=1,Time!O51=1,O18&gt;=Inputs!$F$110,Time!N51=1,N18&gt;=Inputs!$F$110,Reserves!O13&gt;=Debt!O125-Inputs!$F$254),1,0))</f>
        <v>0</v>
      </c>
      <c r="P23" s="10" t="n">
        <f aca="false">MAX(O23,IF(AND(P22=1,Time!P51=1,P18&gt;=Inputs!$F$110,Time!O51=1,O18&gt;=Inputs!$F$110,Reserves!P13&gt;=Debt!P125-Inputs!$F$254),1,0))</f>
        <v>0</v>
      </c>
      <c r="Q23" s="10" t="n">
        <f aca="false">MAX(P23,IF(AND(Q22=1,Time!Q51=1,Q18&gt;=Inputs!$F$110,Time!P51=1,P18&gt;=Inputs!$F$110,Reserves!Q13&gt;=Debt!Q125-Inputs!$F$254),1,0))</f>
        <v>0</v>
      </c>
      <c r="R23" s="10" t="n">
        <f aca="false">MAX(Q23,IF(AND(R22=1,Time!R51=1,R18&gt;=Inputs!$F$110,Time!Q51=1,Q18&gt;=Inputs!$F$110,Reserves!R13&gt;=Debt!R125-Inputs!$F$254),1,0))</f>
        <v>0</v>
      </c>
      <c r="S23" s="10" t="n">
        <f aca="false">MAX(R23,IF(AND(S22=1,Time!S51=1,S18&gt;=Inputs!$F$110,Time!R51=1,R18&gt;=Inputs!$F$110,Reserves!S13&gt;=Debt!S125-Inputs!$F$254),1,0))</f>
        <v>0</v>
      </c>
      <c r="T23" s="10" t="n">
        <f aca="false">MAX(S23,IF(AND(T22=1,Time!T51=1,T18&gt;=Inputs!$F$110,Time!S51=1,S18&gt;=Inputs!$F$110,Reserves!T13&gt;=Debt!T125-Inputs!$F$254),1,0))</f>
        <v>0</v>
      </c>
      <c r="U23" s="10" t="n">
        <f aca="false">MAX(T23,IF(AND(U22=1,Time!U51=1,U18&gt;=Inputs!$F$110,Time!T51=1,T18&gt;=Inputs!$F$110,Reserves!U13&gt;=Debt!U125-Inputs!$F$254),1,0))</f>
        <v>0</v>
      </c>
      <c r="V23" s="10" t="n">
        <f aca="false">MAX(U23,IF(AND(V22=1,Time!V51=1,V18&gt;=Inputs!$F$110,Time!U51=1,U18&gt;=Inputs!$F$110,Reserves!V13&gt;=Debt!V125-Inputs!$F$254),1,0))</f>
        <v>1</v>
      </c>
      <c r="W23" s="10" t="n">
        <f aca="false">MAX(V23,IF(AND(W22=1,Time!W51=1,W18&gt;=Inputs!$F$110,Time!V51=1,V18&gt;=Inputs!$F$110,Reserves!W13&gt;=Debt!W125-Inputs!$F$254),1,0))</f>
        <v>1</v>
      </c>
      <c r="X23" s="10" t="n">
        <f aca="false">MAX(W23,IF(AND(X22=1,Time!X51=1,X18&gt;=Inputs!$F$110,Time!W51=1,W18&gt;=Inputs!$F$110,Reserves!X13&gt;=Debt!X125-Inputs!$F$254),1,0))</f>
        <v>1</v>
      </c>
      <c r="Y23" s="10" t="n">
        <f aca="false">MAX(X23,IF(AND(Y22=1,Time!Y51=1,Y18&gt;=Inputs!$F$110,Time!X51=1,X18&gt;=Inputs!$F$110,Reserves!Y13&gt;=Debt!Y125-Inputs!$F$254),1,0))</f>
        <v>1</v>
      </c>
      <c r="Z23" s="10" t="n">
        <f aca="false">MAX(Y23,IF(AND(Z22=1,Time!Z51=1,Z18&gt;=Inputs!$F$110,Time!Y51=1,Y18&gt;=Inputs!$F$110,Reserves!Z13&gt;=Debt!Z125-Inputs!$F$254),1,0))</f>
        <v>1</v>
      </c>
      <c r="AA23" s="10" t="n">
        <f aca="false">MAX(Z23,IF(AND(AA22=1,Time!AA51=1,AA18&gt;=Inputs!$F$110,Time!Z51=1,Z18&gt;=Inputs!$F$110,Reserves!AA13&gt;=Debt!AA125-Inputs!$F$254),1,0))</f>
        <v>1</v>
      </c>
      <c r="AB23" s="10" t="n">
        <f aca="false">MAX(AA23,IF(AND(AB22=1,Time!AB51=1,AB18&gt;=Inputs!$F$110,Time!AA51=1,AA18&gt;=Inputs!$F$110,Reserves!AB13&gt;=Debt!AB125-Inputs!$F$254),1,0))</f>
        <v>1</v>
      </c>
      <c r="AC23" s="10" t="n">
        <f aca="false">MAX(AB23,IF(AND(AC22=1,Time!AC51=1,AC18&gt;=Inputs!$F$110,Time!AB51=1,AB18&gt;=Inputs!$F$110,Reserves!AC13&gt;=Debt!AC125-Inputs!$F$254),1,0))</f>
        <v>1</v>
      </c>
      <c r="AD23" s="10" t="n">
        <f aca="false">MAX(AC23,IF(AND(AD22=1,Time!AD51=1,AD18&gt;=Inputs!$F$110,Time!AC51=1,AC18&gt;=Inputs!$F$110,Reserves!AD13&gt;=Debt!AD125-Inputs!$F$254),1,0))</f>
        <v>1</v>
      </c>
      <c r="AE23" s="10" t="n">
        <f aca="false">MAX(AD23,IF(AND(AE22=1,Time!AE51=1,AE18&gt;=Inputs!$F$110,Time!AD51=1,AD18&gt;=Inputs!$F$110,Reserves!AE13&gt;=Debt!AE125-Inputs!$F$254),1,0))</f>
        <v>1</v>
      </c>
      <c r="AF23" s="10" t="n">
        <f aca="false">MAX(AE23,IF(AND(AF22=1,Time!AF51=1,AF18&gt;=Inputs!$F$110,Time!AE51=1,AE18&gt;=Inputs!$F$110,Reserves!AF13&gt;=Debt!AF125-Inputs!$F$254),1,0))</f>
        <v>1</v>
      </c>
      <c r="AG23" s="10" t="n">
        <f aca="false">MAX(AF23,IF(AND(AG22=1,Time!AG51=1,AG18&gt;=Inputs!$F$110,Time!AF51=1,AF18&gt;=Inputs!$F$110,Reserves!AG13&gt;=Debt!AG125-Inputs!$F$254),1,0))</f>
        <v>1</v>
      </c>
      <c r="AH23" s="10" t="n">
        <f aca="false">MAX(AG23,IF(AND(AH22=1,Time!AH51=1,AH18&gt;=Inputs!$F$110,Time!AG51=1,AG18&gt;=Inputs!$F$110,Reserves!AH13&gt;=Debt!AH125-Inputs!$F$254),1,0))</f>
        <v>1</v>
      </c>
      <c r="AI23" s="10" t="n">
        <f aca="false">MAX(AH23,IF(AND(AI22=1,Time!AI51=1,AI18&gt;=Inputs!$F$110,Time!AH51=1,AH18&gt;=Inputs!$F$110,Reserves!AI13&gt;=Debt!AI125-Inputs!$F$254),1,0))</f>
        <v>1</v>
      </c>
      <c r="AJ23" s="10" t="n">
        <f aca="false">MAX(AI23,IF(AND(AJ22=1,Time!AJ51=1,AJ18&gt;=Inputs!$F$110,Time!AI51=1,AI18&gt;=Inputs!$F$110,Reserves!AJ13&gt;=Debt!AJ125-Inputs!$F$254),1,0))</f>
        <v>1</v>
      </c>
      <c r="AK23" s="10" t="n">
        <f aca="false">MAX(AJ23,IF(AND(AK22=1,Time!AK51=1,AK18&gt;=Inputs!$F$110,Time!AJ51=1,AJ18&gt;=Inputs!$F$110,Reserves!AK13&gt;=Debt!AK125-Inputs!$F$254),1,0))</f>
        <v>1</v>
      </c>
      <c r="AL23" s="10" t="n">
        <f aca="false">MAX(AK23,IF(AND(AL22=1,Time!AL51=1,AL18&gt;=Inputs!$F$110,Time!AK51=1,AK18&gt;=Inputs!$F$110,Reserves!AL13&gt;=Debt!AL125-Inputs!$F$254),1,0))</f>
        <v>1</v>
      </c>
      <c r="AM23" s="10" t="n">
        <f aca="false">MAX(AL23,IF(AND(AM22=1,Time!AM51=1,AM18&gt;=Inputs!$F$110,Time!AL51=1,AL18&gt;=Inputs!$F$110,Reserves!AM13&gt;=Debt!AM125-Inputs!$F$254),1,0))</f>
        <v>1</v>
      </c>
      <c r="AN23" s="10" t="n">
        <f aca="false">MAX(AM23,IF(AND(AN22=1,Time!AN51=1,AN18&gt;=Inputs!$F$110,Time!AM51=1,AM18&gt;=Inputs!$F$110,Reserves!AN13&gt;=Debt!AN125-Inputs!$F$254),1,0))</f>
        <v>1</v>
      </c>
      <c r="AO23" s="10" t="n">
        <f aca="false">MAX(AN23,IF(AND(AO22=1,Time!AO51=1,AO18&gt;=Inputs!$F$110,Time!AN51=1,AN18&gt;=Inputs!$F$110,Reserves!AO13&gt;=Debt!AO125-Inputs!$F$254),1,0))</f>
        <v>1</v>
      </c>
      <c r="AP23" s="10" t="n">
        <f aca="false">MAX(AO23,IF(AND(AP22=1,Time!AP51=1,AP18&gt;=Inputs!$F$110,Time!AO51=1,AO18&gt;=Inputs!$F$110,Reserves!AP13&gt;=Debt!AP125-Inputs!$F$254),1,0))</f>
        <v>1</v>
      </c>
      <c r="AQ23" s="10" t="n">
        <f aca="false">MAX(AP23,IF(AND(AQ22=1,Time!AQ51=1,AQ18&gt;=Inputs!$F$110,Time!AP51=1,AP18&gt;=Inputs!$F$110,Reserves!AQ13&gt;=Debt!AQ125-Inputs!$F$254),1,0))</f>
        <v>1</v>
      </c>
      <c r="AR23" s="10" t="n">
        <f aca="false">MAX(AQ23,IF(AND(AR22=1,Time!AR51=1,AR18&gt;=Inputs!$F$110,Time!AQ51=1,AQ18&gt;=Inputs!$F$110,Reserves!AR13&gt;=Debt!AR125-Inputs!$F$254),1,0))</f>
        <v>1</v>
      </c>
      <c r="AS23" s="10" t="n">
        <f aca="false">MAX(AR23,IF(AND(AS22=1,Time!AS51=1,AS18&gt;=Inputs!$F$110,Time!AR51=1,AR18&gt;=Inputs!$F$110,Reserves!AS13&gt;=Debt!AS125-Inputs!$F$254),1,0))</f>
        <v>1</v>
      </c>
      <c r="AT23" s="10" t="n">
        <f aca="false">MAX(AS23,IF(AND(AT22=1,Time!AT51=1,AT18&gt;=Inputs!$F$110,Time!AS51=1,AS18&gt;=Inputs!$F$110,Reserves!AT13&gt;=Debt!AT125-Inputs!$F$254),1,0))</f>
        <v>1</v>
      </c>
      <c r="AU23" s="10" t="n">
        <f aca="false">MAX(AT23,IF(AND(AU22=1,Time!AU51=1,AU18&gt;=Inputs!$F$110,Time!AT51=1,AT18&gt;=Inputs!$F$110,Reserves!AU13&gt;=Debt!AU125-Inputs!$F$254),1,0))</f>
        <v>1</v>
      </c>
      <c r="AV23" s="10" t="n">
        <f aca="false">MAX(AU23,IF(AND(AV22=1,Time!AV51=1,AV18&gt;=Inputs!$F$110,Time!AU51=1,AU18&gt;=Inputs!$F$110,Reserves!AV13&gt;=Debt!AV125-Inputs!$F$254),1,0))</f>
        <v>1</v>
      </c>
      <c r="AW23" s="10" t="n">
        <f aca="false">MAX(AV23,IF(AND(AW22=1,Time!AW51=1,AW18&gt;=Inputs!$F$110,Time!AV51=1,AV18&gt;=Inputs!$F$110,Reserves!AW13&gt;=Debt!AW125-Inputs!$F$254),1,0))</f>
        <v>1</v>
      </c>
      <c r="AX23" s="10" t="n">
        <f aca="false">MAX(AW23,IF(AND(AX22=1,Time!AX51=1,AX18&gt;=Inputs!$F$110,Time!AW51=1,AW18&gt;=Inputs!$F$110,Reserves!AX13&gt;=Debt!AX125-Inputs!$F$254),1,0))</f>
        <v>1</v>
      </c>
      <c r="AY23" s="10" t="n">
        <f aca="false">MAX(AX23,IF(AND(AY22=1,Time!AY51=1,AY18&gt;=Inputs!$F$110,Time!AX51=1,AX18&gt;=Inputs!$F$110,Reserves!AY13&gt;=Debt!AY125-Inputs!$F$254),1,0))</f>
        <v>1</v>
      </c>
      <c r="AZ23" s="10" t="n">
        <f aca="false">MAX(AY23,IF(AND(AZ22=1,Time!AZ51=1,AZ18&gt;=Inputs!$F$110,Time!AY51=1,AY18&gt;=Inputs!$F$110,Reserves!AZ13&gt;=Debt!AZ125-Inputs!$F$254),1,0))</f>
        <v>1</v>
      </c>
      <c r="BA23" s="10" t="n">
        <f aca="false">MAX(AZ23,IF(AND(BA22=1,Time!BA51=1,BA18&gt;=Inputs!$F$110,Time!AZ51=1,AZ18&gt;=Inputs!$F$110,Reserves!BA13&gt;=Debt!BA125-Inputs!$F$254),1,0))</f>
        <v>1</v>
      </c>
      <c r="BB23" s="10" t="n">
        <f aca="false">MAX(BA23,IF(AND(BB22=1,Time!BB51=1,BB18&gt;=Inputs!$F$110,Time!BA51=1,BA18&gt;=Inputs!$F$110,Reserves!BB13&gt;=Debt!BB125-Inputs!$F$254),1,0))</f>
        <v>1</v>
      </c>
      <c r="BC23" s="10" t="n">
        <f aca="false">MAX(BB23,IF(AND(BC22=1,Time!BC51=1,BC18&gt;=Inputs!$F$110,Time!BB51=1,BB18&gt;=Inputs!$F$110,Reserves!BC13&gt;=Debt!BC125-Inputs!$F$254),1,0))</f>
        <v>1</v>
      </c>
      <c r="BD23" s="10" t="n">
        <f aca="false">MAX(BC23,IF(AND(BD22=1,Time!BD51=1,BD18&gt;=Inputs!$F$110,Time!BC51=1,BC18&gt;=Inputs!$F$110,Reserves!BD13&gt;=Debt!BD125-Inputs!$F$254),1,0))</f>
        <v>1</v>
      </c>
      <c r="BE23" s="10" t="n">
        <f aca="false">MAX(BD23,IF(AND(BE22=1,Time!BE51=1,BE18&gt;=Inputs!$F$110,Time!BD51=1,BD18&gt;=Inputs!$F$110,Reserves!BE13&gt;=Debt!BE125-Inputs!$F$254),1,0))</f>
        <v>1</v>
      </c>
      <c r="BF23" s="10" t="n">
        <f aca="false">MAX(BE23,IF(AND(BF22=1,Time!BF51=1,BF18&gt;=Inputs!$F$110,Time!BE51=1,BE18&gt;=Inputs!$F$110,Reserves!BF13&gt;=Debt!BF125-Inputs!$F$254),1,0))</f>
        <v>1</v>
      </c>
      <c r="BG23" s="10" t="n">
        <f aca="false">MAX(BF23,IF(AND(BG22=1,Time!BG51=1,BG18&gt;=Inputs!$F$110,Time!BF51=1,BF18&gt;=Inputs!$F$110,Reserves!BG13&gt;=Debt!BG125-Inputs!$F$254),1,0))</f>
        <v>1</v>
      </c>
      <c r="BH23" s="10" t="n">
        <f aca="false">MAX(BG23,IF(AND(BH22=1,Time!BH51=1,BH18&gt;=Inputs!$F$110,Time!BG51=1,BG18&gt;=Inputs!$F$110,Reserves!BH13&gt;=Debt!BH125-Inputs!$F$254),1,0))</f>
        <v>1</v>
      </c>
      <c r="BI23" s="10" t="n">
        <f aca="false">MAX(BH23,IF(AND(BI22=1,Time!BI51=1,BI18&gt;=Inputs!$F$110,Time!BH51=1,BH18&gt;=Inputs!$F$110,Reserves!BI13&gt;=Debt!BI125-Inputs!$F$254),1,0))</f>
        <v>1</v>
      </c>
      <c r="BJ23" s="10" t="n">
        <f aca="false">MAX(BI23,IF(AND(BJ22=1,Time!BJ51=1,BJ18&gt;=Inputs!$F$110,Time!BI51=1,BI18&gt;=Inputs!$F$110,Reserves!BJ13&gt;=Debt!BJ125-Inputs!$F$254),1,0))</f>
        <v>1</v>
      </c>
      <c r="BK23" s="10" t="n">
        <f aca="false">MAX(BJ23,IF(AND(BK22=1,Time!BK51=1,BK18&gt;=Inputs!$F$110,Time!BJ51=1,BJ18&gt;=Inputs!$F$110,Reserves!BK13&gt;=Debt!BK125-Inputs!$F$254),1,0))</f>
        <v>1</v>
      </c>
      <c r="BL23" s="10" t="n">
        <f aca="false">MAX(BK23,IF(AND(BL22=1,Time!BL51=1,BL18&gt;=Inputs!$F$110,Time!BK51=1,BK18&gt;=Inputs!$F$110,Reserves!BL13&gt;=Debt!BL125-Inputs!$F$254),1,0))</f>
        <v>1</v>
      </c>
      <c r="BM23" s="10" t="n">
        <f aca="false">MAX(BL23,IF(AND(BM22=1,Time!BM51=1,BM18&gt;=Inputs!$F$110,Time!BL51=1,BL18&gt;=Inputs!$F$110,Reserves!BM13&gt;=Debt!BM125-Inputs!$F$254),1,0))</f>
        <v>1</v>
      </c>
      <c r="BN23" s="10" t="n">
        <f aca="false">MAX(BM23,IF(AND(BN22=1,Time!BN51=1,BN18&gt;=Inputs!$F$110,Time!BM51=1,BM18&gt;=Inputs!$F$110,Reserves!BN13&gt;=Debt!BN125-Inputs!$F$254),1,0))</f>
        <v>1</v>
      </c>
    </row>
    <row r="24" customFormat="false" ht="15" hidden="false" customHeight="false" outlineLevel="0" collapsed="false">
      <c r="D24" s="0" t="s">
        <v>845</v>
      </c>
      <c r="E24" s="0" t="s">
        <v>113</v>
      </c>
      <c r="J24" s="10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10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10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10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10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10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10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0</v>
      </c>
      <c r="Q24" s="10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10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0</v>
      </c>
      <c r="S24" s="10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0</v>
      </c>
      <c r="T24" s="10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0</v>
      </c>
      <c r="U24" s="10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0</v>
      </c>
      <c r="V24" s="10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10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10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10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10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10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10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10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10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10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10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10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10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10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10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10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10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10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10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10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10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10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10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10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10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10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10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10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10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10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10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10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10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10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10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10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10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10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10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10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10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10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10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10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10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846</v>
      </c>
      <c r="E25" s="0" t="s">
        <v>113</v>
      </c>
      <c r="J25" s="10" t="n">
        <f aca="false">IF(AND(J24=0,J19=1,Debt!J114&gt;Inputs!$F$253),1,0)</f>
        <v>0</v>
      </c>
      <c r="K25" s="10" t="n">
        <f aca="false">IF(AND(K24=0,K19=1,Debt!K114&gt;Inputs!$F$253),1,0)</f>
        <v>0</v>
      </c>
      <c r="L25" s="10" t="n">
        <f aca="false">IF(AND(L24=0,L19=1,Debt!L114&gt;Inputs!$F$253),1,0)</f>
        <v>0</v>
      </c>
      <c r="M25" s="10" t="n">
        <f aca="false">IF(AND(M24=0,M19=1,Debt!M114&gt;Inputs!$F$253),1,0)</f>
        <v>0</v>
      </c>
      <c r="N25" s="10" t="n">
        <f aca="false">IF(AND(N24=0,N19=1,Debt!N114&gt;Inputs!$F$253),1,0)</f>
        <v>0</v>
      </c>
      <c r="O25" s="10" t="n">
        <f aca="false">IF(AND(O24=0,O19=1,Debt!O114&gt;Inputs!$F$253),1,0)</f>
        <v>0</v>
      </c>
      <c r="P25" s="10" t="n">
        <f aca="false">IF(AND(P24=0,P19=1,Debt!P114&gt;Inputs!$F$253),1,0)</f>
        <v>0</v>
      </c>
      <c r="Q25" s="10" t="n">
        <f aca="false">IF(AND(Q24=0,Q19=1,Debt!Q114&gt;Inputs!$F$253),1,0)</f>
        <v>0</v>
      </c>
      <c r="R25" s="10" t="n">
        <f aca="false">IF(AND(R24=0,R19=1,Debt!R114&gt;Inputs!$F$253),1,0)</f>
        <v>1</v>
      </c>
      <c r="S25" s="10" t="n">
        <f aca="false">IF(AND(S24=0,S19=1,Debt!S114&gt;Inputs!$F$253),1,0)</f>
        <v>1</v>
      </c>
      <c r="T25" s="10" t="n">
        <f aca="false">IF(AND(T24=0,T19=1,Debt!T114&gt;Inputs!$F$253),1,0)</f>
        <v>1</v>
      </c>
      <c r="U25" s="10" t="n">
        <f aca="false">IF(AND(U24=0,U19=1,Debt!U114&gt;Inputs!$F$253),1,0)</f>
        <v>1</v>
      </c>
      <c r="V25" s="10" t="n">
        <f aca="false">IF(AND(V24=0,V19=1,Debt!V114&gt;Inputs!$F$253),1,0)</f>
        <v>0</v>
      </c>
      <c r="W25" s="10" t="n">
        <f aca="false">IF(AND(W24=0,W19=1,Debt!W114&gt;Inputs!$F$253),1,0)</f>
        <v>0</v>
      </c>
      <c r="X25" s="10" t="n">
        <f aca="false">IF(AND(X24=0,X19=1,Debt!X114&gt;Inputs!$F$253),1,0)</f>
        <v>0</v>
      </c>
      <c r="Y25" s="10" t="n">
        <f aca="false">IF(AND(Y24=0,Y19=1,Debt!Y114&gt;Inputs!$F$253),1,0)</f>
        <v>0</v>
      </c>
      <c r="Z25" s="10" t="n">
        <f aca="false">IF(AND(Z24=0,Z19=1,Debt!Z114&gt;Inputs!$F$253),1,0)</f>
        <v>0</v>
      </c>
      <c r="AA25" s="10" t="n">
        <f aca="false">IF(AND(AA24=0,AA19=1,Debt!AA114&gt;Inputs!$F$253),1,0)</f>
        <v>0</v>
      </c>
      <c r="AB25" s="10" t="n">
        <f aca="false">IF(AND(AB24=0,AB19=1,Debt!AB114&gt;Inputs!$F$253),1,0)</f>
        <v>0</v>
      </c>
      <c r="AC25" s="10" t="n">
        <f aca="false">IF(AND(AC24=0,AC19=1,Debt!AC114&gt;Inputs!$F$253),1,0)</f>
        <v>0</v>
      </c>
      <c r="AD25" s="10" t="n">
        <f aca="false">IF(AND(AD24=0,AD19=1,Debt!AD114&gt;Inputs!$F$253),1,0)</f>
        <v>0</v>
      </c>
      <c r="AE25" s="10" t="n">
        <f aca="false">IF(AND(AE24=0,AE19=1,Debt!AE114&gt;Inputs!$F$253),1,0)</f>
        <v>0</v>
      </c>
      <c r="AF25" s="10" t="n">
        <f aca="false">IF(AND(AF24=0,AF19=1,Debt!AF114&gt;Inputs!$F$253),1,0)</f>
        <v>0</v>
      </c>
      <c r="AG25" s="10" t="n">
        <f aca="false">IF(AND(AG24=0,AG19=1,Debt!AG114&gt;Inputs!$F$253),1,0)</f>
        <v>0</v>
      </c>
      <c r="AH25" s="10" t="n">
        <f aca="false">IF(AND(AH24=0,AH19=1,Debt!AH114&gt;Inputs!$F$253),1,0)</f>
        <v>0</v>
      </c>
      <c r="AI25" s="10" t="n">
        <f aca="false">IF(AND(AI24=0,AI19=1,Debt!AI114&gt;Inputs!$F$253),1,0)</f>
        <v>0</v>
      </c>
      <c r="AJ25" s="10" t="n">
        <f aca="false">IF(AND(AJ24=0,AJ19=1,Debt!AJ114&gt;Inputs!$F$253),1,0)</f>
        <v>0</v>
      </c>
      <c r="AK25" s="10" t="n">
        <f aca="false">IF(AND(AK24=0,AK19=1,Debt!AK114&gt;Inputs!$F$253),1,0)</f>
        <v>0</v>
      </c>
      <c r="AL25" s="10" t="n">
        <f aca="false">IF(AND(AL24=0,AL19=1,Debt!AL114&gt;Inputs!$F$253),1,0)</f>
        <v>0</v>
      </c>
      <c r="AM25" s="10" t="n">
        <f aca="false">IF(AND(AM24=0,AM19=1,Debt!AM114&gt;Inputs!$F$253),1,0)</f>
        <v>0</v>
      </c>
      <c r="AN25" s="10" t="n">
        <f aca="false">IF(AND(AN24=0,AN19=1,Debt!AN114&gt;Inputs!$F$253),1,0)</f>
        <v>0</v>
      </c>
      <c r="AO25" s="10" t="n">
        <f aca="false">IF(AND(AO24=0,AO19=1,Debt!AO114&gt;Inputs!$F$253),1,0)</f>
        <v>0</v>
      </c>
      <c r="AP25" s="10" t="n">
        <f aca="false">IF(AND(AP24=0,AP19=1,Debt!AP114&gt;Inputs!$F$253),1,0)</f>
        <v>0</v>
      </c>
      <c r="AQ25" s="10" t="n">
        <f aca="false">IF(AND(AQ24=0,AQ19=1,Debt!AQ114&gt;Inputs!$F$253),1,0)</f>
        <v>0</v>
      </c>
      <c r="AR25" s="10" t="n">
        <f aca="false">IF(AND(AR24=0,AR19=1,Debt!AR114&gt;Inputs!$F$253),1,0)</f>
        <v>0</v>
      </c>
      <c r="AS25" s="10" t="n">
        <f aca="false">IF(AND(AS24=0,AS19=1,Debt!AS114&gt;Inputs!$F$253),1,0)</f>
        <v>0</v>
      </c>
      <c r="AT25" s="10" t="n">
        <f aca="false">IF(AND(AT24=0,AT19=1,Debt!AT114&gt;Inputs!$F$253),1,0)</f>
        <v>0</v>
      </c>
      <c r="AU25" s="10" t="n">
        <f aca="false">IF(AND(AU24=0,AU19=1,Debt!AU114&gt;Inputs!$F$253),1,0)</f>
        <v>0</v>
      </c>
      <c r="AV25" s="10" t="n">
        <f aca="false">IF(AND(AV24=0,AV19=1,Debt!AV114&gt;Inputs!$F$253),1,0)</f>
        <v>0</v>
      </c>
      <c r="AW25" s="10" t="n">
        <f aca="false">IF(AND(AW24=0,AW19=1,Debt!AW114&gt;Inputs!$F$253),1,0)</f>
        <v>0</v>
      </c>
      <c r="AX25" s="10" t="n">
        <f aca="false">IF(AND(AX24=0,AX19=1,Debt!AX114&gt;Inputs!$F$253),1,0)</f>
        <v>0</v>
      </c>
      <c r="AY25" s="10" t="n">
        <f aca="false">IF(AND(AY24=0,AY19=1,Debt!AY114&gt;Inputs!$F$253),1,0)</f>
        <v>0</v>
      </c>
      <c r="AZ25" s="10" t="n">
        <f aca="false">IF(AND(AZ24=0,AZ19=1,Debt!AZ114&gt;Inputs!$F$253),1,0)</f>
        <v>0</v>
      </c>
      <c r="BA25" s="10" t="n">
        <f aca="false">IF(AND(BA24=0,BA19=1,Debt!BA114&gt;Inputs!$F$253),1,0)</f>
        <v>0</v>
      </c>
      <c r="BB25" s="10" t="n">
        <f aca="false">IF(AND(BB24=0,BB19=1,Debt!BB114&gt;Inputs!$F$253),1,0)</f>
        <v>0</v>
      </c>
      <c r="BC25" s="10" t="n">
        <f aca="false">IF(AND(BC24=0,BC19=1,Debt!BC114&gt;Inputs!$F$253),1,0)</f>
        <v>0</v>
      </c>
      <c r="BD25" s="10" t="n">
        <f aca="false">IF(AND(BD24=0,BD19=1,Debt!BD114&gt;Inputs!$F$253),1,0)</f>
        <v>0</v>
      </c>
      <c r="BE25" s="10" t="n">
        <f aca="false">IF(AND(BE24=0,BE19=1,Debt!BE114&gt;Inputs!$F$253),1,0)</f>
        <v>0</v>
      </c>
      <c r="BF25" s="10" t="n">
        <f aca="false">IF(AND(BF24=0,BF19=1,Debt!BF114&gt;Inputs!$F$253),1,0)</f>
        <v>0</v>
      </c>
      <c r="BG25" s="10" t="n">
        <f aca="false">IF(AND(BG24=0,BG19=1,Debt!BG114&gt;Inputs!$F$253),1,0)</f>
        <v>0</v>
      </c>
      <c r="BH25" s="10" t="n">
        <f aca="false">IF(AND(BH24=0,BH19=1,Debt!BH114&gt;Inputs!$F$253),1,0)</f>
        <v>0</v>
      </c>
      <c r="BI25" s="10" t="n">
        <f aca="false">IF(AND(BI24=0,BI19=1,Debt!BI114&gt;Inputs!$F$253),1,0)</f>
        <v>0</v>
      </c>
      <c r="BJ25" s="10" t="n">
        <f aca="false">IF(AND(BJ24=0,BJ19=1,Debt!BJ114&gt;Inputs!$F$253),1,0)</f>
        <v>0</v>
      </c>
      <c r="BK25" s="10" t="n">
        <f aca="false">IF(AND(BK24=0,BK19=1,Debt!BK114&gt;Inputs!$F$253),1,0)</f>
        <v>0</v>
      </c>
      <c r="BL25" s="10" t="n">
        <f aca="false">IF(AND(BL24=0,BL19=1,Debt!BL114&gt;Inputs!$F$253),1,0)</f>
        <v>0</v>
      </c>
      <c r="BM25" s="10" t="n">
        <f aca="false">IF(AND(BM24=0,BM19=1,Debt!BM114&gt;Inputs!$F$253),1,0)</f>
        <v>0</v>
      </c>
      <c r="BN25" s="10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847</v>
      </c>
      <c r="E26" s="0" t="s">
        <v>367</v>
      </c>
      <c r="J26" s="10" t="n">
        <f aca="false">IF(J25=1,I26+1,0)</f>
        <v>0</v>
      </c>
      <c r="K26" s="10" t="n">
        <f aca="false">IF(K25=1,J26+1,0)</f>
        <v>0</v>
      </c>
      <c r="L26" s="10" t="n">
        <f aca="false">IF(L25=1,K26+1,0)</f>
        <v>0</v>
      </c>
      <c r="M26" s="10" t="n">
        <f aca="false">IF(M25=1,L26+1,0)</f>
        <v>0</v>
      </c>
      <c r="N26" s="10" t="n">
        <f aca="false">IF(N25=1,M26+1,0)</f>
        <v>0</v>
      </c>
      <c r="O26" s="10" t="n">
        <f aca="false">IF(O25=1,N26+1,0)</f>
        <v>0</v>
      </c>
      <c r="P26" s="10" t="n">
        <f aca="false">IF(P25=1,O26+1,0)</f>
        <v>0</v>
      </c>
      <c r="Q26" s="10" t="n">
        <f aca="false">IF(Q25=1,P26+1,0)</f>
        <v>0</v>
      </c>
      <c r="R26" s="10" t="n">
        <f aca="false">IF(R25=1,Q26+1,0)</f>
        <v>1</v>
      </c>
      <c r="S26" s="10" t="n">
        <f aca="false">IF(S25=1,R26+1,0)</f>
        <v>2</v>
      </c>
      <c r="T26" s="10" t="n">
        <f aca="false">IF(T25=1,S26+1,0)</f>
        <v>3</v>
      </c>
      <c r="U26" s="10" t="n">
        <f aca="false">IF(U25=1,T26+1,0)</f>
        <v>4</v>
      </c>
      <c r="V26" s="10" t="n">
        <f aca="false">IF(V25=1,U26+1,0)</f>
        <v>0</v>
      </c>
      <c r="W26" s="10" t="n">
        <f aca="false">IF(W25=1,V26+1,0)</f>
        <v>0</v>
      </c>
      <c r="X26" s="10" t="n">
        <f aca="false">IF(X25=1,W26+1,0)</f>
        <v>0</v>
      </c>
      <c r="Y26" s="10" t="n">
        <f aca="false">IF(Y25=1,X26+1,0)</f>
        <v>0</v>
      </c>
      <c r="Z26" s="10" t="n">
        <f aca="false">IF(Z25=1,Y26+1,0)</f>
        <v>0</v>
      </c>
      <c r="AA26" s="10" t="n">
        <f aca="false">IF(AA25=1,Z26+1,0)</f>
        <v>0</v>
      </c>
      <c r="AB26" s="10" t="n">
        <f aca="false">IF(AB25=1,AA26+1,0)</f>
        <v>0</v>
      </c>
      <c r="AC26" s="10" t="n">
        <f aca="false">IF(AC25=1,AB26+1,0)</f>
        <v>0</v>
      </c>
      <c r="AD26" s="10" t="n">
        <f aca="false">IF(AD25=1,AC26+1,0)</f>
        <v>0</v>
      </c>
      <c r="AE26" s="10" t="n">
        <f aca="false">IF(AE25=1,AD26+1,0)</f>
        <v>0</v>
      </c>
      <c r="AF26" s="10" t="n">
        <f aca="false">IF(AF25=1,AE26+1,0)</f>
        <v>0</v>
      </c>
      <c r="AG26" s="10" t="n">
        <f aca="false">IF(AG25=1,AF26+1,0)</f>
        <v>0</v>
      </c>
      <c r="AH26" s="10" t="n">
        <f aca="false">IF(AH25=1,AG26+1,0)</f>
        <v>0</v>
      </c>
      <c r="AI26" s="10" t="n">
        <f aca="false">IF(AI25=1,AH26+1,0)</f>
        <v>0</v>
      </c>
      <c r="AJ26" s="10" t="n">
        <f aca="false">IF(AJ25=1,AI26+1,0)</f>
        <v>0</v>
      </c>
      <c r="AK26" s="10" t="n">
        <f aca="false">IF(AK25=1,AJ26+1,0)</f>
        <v>0</v>
      </c>
      <c r="AL26" s="10" t="n">
        <f aca="false">IF(AL25=1,AK26+1,0)</f>
        <v>0</v>
      </c>
      <c r="AM26" s="10" t="n">
        <f aca="false">IF(AM25=1,AL26+1,0)</f>
        <v>0</v>
      </c>
      <c r="AN26" s="10" t="n">
        <f aca="false">IF(AN25=1,AM26+1,0)</f>
        <v>0</v>
      </c>
      <c r="AO26" s="10" t="n">
        <f aca="false">IF(AO25=1,AN26+1,0)</f>
        <v>0</v>
      </c>
      <c r="AP26" s="10" t="n">
        <f aca="false">IF(AP25=1,AO26+1,0)</f>
        <v>0</v>
      </c>
      <c r="AQ26" s="10" t="n">
        <f aca="false">IF(AQ25=1,AP26+1,0)</f>
        <v>0</v>
      </c>
      <c r="AR26" s="10" t="n">
        <f aca="false">IF(AR25=1,AQ26+1,0)</f>
        <v>0</v>
      </c>
      <c r="AS26" s="10" t="n">
        <f aca="false">IF(AS25=1,AR26+1,0)</f>
        <v>0</v>
      </c>
      <c r="AT26" s="10" t="n">
        <f aca="false">IF(AT25=1,AS26+1,0)</f>
        <v>0</v>
      </c>
      <c r="AU26" s="10" t="n">
        <f aca="false">IF(AU25=1,AT26+1,0)</f>
        <v>0</v>
      </c>
      <c r="AV26" s="10" t="n">
        <f aca="false">IF(AV25=1,AU26+1,0)</f>
        <v>0</v>
      </c>
      <c r="AW26" s="10" t="n">
        <f aca="false">IF(AW25=1,AV26+1,0)</f>
        <v>0</v>
      </c>
      <c r="AX26" s="10" t="n">
        <f aca="false">IF(AX25=1,AW26+1,0)</f>
        <v>0</v>
      </c>
      <c r="AY26" s="10" t="n">
        <f aca="false">IF(AY25=1,AX26+1,0)</f>
        <v>0</v>
      </c>
      <c r="AZ26" s="10" t="n">
        <f aca="false">IF(AZ25=1,AY26+1,0)</f>
        <v>0</v>
      </c>
      <c r="BA26" s="10" t="n">
        <f aca="false">IF(BA25=1,AZ26+1,0)</f>
        <v>0</v>
      </c>
      <c r="BB26" s="10" t="n">
        <f aca="false">IF(BB25=1,BA26+1,0)</f>
        <v>0</v>
      </c>
      <c r="BC26" s="10" t="n">
        <f aca="false">IF(BC25=1,BB26+1,0)</f>
        <v>0</v>
      </c>
      <c r="BD26" s="10" t="n">
        <f aca="false">IF(BD25=1,BC26+1,0)</f>
        <v>0</v>
      </c>
      <c r="BE26" s="10" t="n">
        <f aca="false">IF(BE25=1,BD26+1,0)</f>
        <v>0</v>
      </c>
      <c r="BF26" s="10" t="n">
        <f aca="false">IF(BF25=1,BE26+1,0)</f>
        <v>0</v>
      </c>
      <c r="BG26" s="10" t="n">
        <f aca="false">IF(BG25=1,BF26+1,0)</f>
        <v>0</v>
      </c>
      <c r="BH26" s="10" t="n">
        <f aca="false">IF(BH25=1,BG26+1,0)</f>
        <v>0</v>
      </c>
      <c r="BI26" s="10" t="n">
        <f aca="false">IF(BI25=1,BH26+1,0)</f>
        <v>0</v>
      </c>
      <c r="BJ26" s="10" t="n">
        <f aca="false">IF(BJ25=1,BI26+1,0)</f>
        <v>0</v>
      </c>
      <c r="BK26" s="10" t="n">
        <f aca="false">IF(BK25=1,BJ26+1,0)</f>
        <v>0</v>
      </c>
      <c r="BL26" s="10" t="n">
        <f aca="false">IF(BL25=1,BK26+1,0)</f>
        <v>0</v>
      </c>
      <c r="BM26" s="10" t="n">
        <f aca="false">IF(BM25=1,BL26+1,0)</f>
        <v>0</v>
      </c>
      <c r="BN26" s="10" t="n">
        <f aca="false">IF(BN25=1,BM26+1,0)</f>
        <v>0</v>
      </c>
    </row>
    <row r="27" customFormat="false" ht="15" hidden="false" customHeight="false" outlineLevel="0" collapsed="false">
      <c r="B27" s="2" t="s">
        <v>848</v>
      </c>
    </row>
    <row r="28" customFormat="false" ht="15" hidden="false" customHeight="false" outlineLevel="0" collapsed="false">
      <c r="D28" s="0" t="s">
        <v>849</v>
      </c>
      <c r="E28" s="0" t="s">
        <v>149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850</v>
      </c>
      <c r="E29" s="0" t="s">
        <v>149</v>
      </c>
      <c r="G29" s="13" t="n">
        <f aca="false">SUM(J29:BN29)</f>
        <v>0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0</v>
      </c>
      <c r="AB29" s="13" t="n">
        <f aca="false">IF(AND(AB24=1,Time!AB52=1,Inputs!$F$52=1),MIN(Inputs!$F$111*AB15,Debt!AB73),0)</f>
        <v>0</v>
      </c>
      <c r="AC29" s="13" t="n">
        <f aca="false">IF(AND(AC24=1,Time!AC52=1,Inputs!$F$52=1),MIN(Inputs!$F$111*AC15,Debt!AC73),0)</f>
        <v>0</v>
      </c>
      <c r="AD29" s="13" t="n">
        <f aca="false">IF(AND(AD24=1,Time!AD52=1,Inputs!$F$52=1),MIN(Inputs!$F$111*AD15,Debt!AD73),0)</f>
        <v>0</v>
      </c>
      <c r="AE29" s="13" t="n">
        <f aca="false">IF(AND(AE24=1,Time!AE52=1,Inputs!$F$52=1),MIN(Inputs!$F$111*AE15,Debt!AE73),0)</f>
        <v>0</v>
      </c>
      <c r="AF29" s="13" t="n">
        <f aca="false">IF(AND(AF24=1,Time!AF52=1,Inputs!$F$52=1),MIN(Inputs!$F$111*AF15,Debt!AF73),0)</f>
        <v>0</v>
      </c>
      <c r="AG29" s="13" t="n">
        <f aca="false">IF(AND(AG24=1,Time!AG52=1,Inputs!$F$52=1),MIN(Inputs!$F$111*AG15,Debt!AG73),0)</f>
        <v>0</v>
      </c>
      <c r="AH29" s="13" t="n">
        <f aca="false">IF(AND(AH24=1,Time!AH52=1,Inputs!$F$52=1),MIN(Inputs!$F$111*AH15,Debt!AH73),0)</f>
        <v>0</v>
      </c>
      <c r="AI29" s="13" t="n">
        <f aca="false">IF(AND(AI24=1,Time!AI52=1,Inputs!$F$52=1),MIN(Inputs!$F$111*AI15,Debt!AI73),0)</f>
        <v>0</v>
      </c>
      <c r="AJ29" s="13" t="n">
        <f aca="false">IF(AND(AJ24=1,Time!AJ52=1,Inputs!$F$52=1),MIN(Inputs!$F$111*AJ15,Debt!AJ73),0)</f>
        <v>0</v>
      </c>
      <c r="AK29" s="13" t="n">
        <f aca="false">IF(AND(AK24=1,Time!AK52=1,Inputs!$F$52=1),MIN(Inputs!$F$111*AK15,Debt!AK73),0)</f>
        <v>0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851</v>
      </c>
      <c r="E30" s="0" t="s">
        <v>149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0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14.1215648365801</v>
      </c>
      <c r="U30" s="13" t="n">
        <f aca="false">IF(U24=0,U15-U28,0)</f>
        <v>27.2278362995901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852</v>
      </c>
      <c r="E31" s="0" t="s">
        <v>149</v>
      </c>
      <c r="G31" s="13" t="n">
        <f aca="false">SUM(J31:BN31)</f>
        <v>1336.34032452567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0</v>
      </c>
      <c r="Q31" s="13" t="n">
        <f aca="false">IF(Q24=1,Q15-Q29,0)</f>
        <v>0.318276307987357</v>
      </c>
      <c r="R31" s="13" t="n">
        <f aca="false">IF(R24=1,R15-R29,0)</f>
        <v>0</v>
      </c>
      <c r="S31" s="13" t="n">
        <f aca="false">IF(S24=1,S15-S29,0)</f>
        <v>0</v>
      </c>
      <c r="T31" s="13" t="n">
        <f aca="false">IF(T24=1,T15-T29,0)</f>
        <v>0</v>
      </c>
      <c r="U31" s="13" t="n">
        <f aca="false">IF(U24=1,U15-U29,0)</f>
        <v>0</v>
      </c>
      <c r="V31" s="13" t="n">
        <f aca="false">IF(V24=1,V15-V29,0)</f>
        <v>41.7631264745739</v>
      </c>
      <c r="W31" s="13" t="n">
        <f aca="false">IF(W24=1,W15-W29,0)</f>
        <v>22.7997743379003</v>
      </c>
      <c r="X31" s="13" t="n">
        <f aca="false">IF(X24=1,X15-X29,0)</f>
        <v>20.7292749768546</v>
      </c>
      <c r="Y31" s="13" t="n">
        <f aca="false">IF(Y24=1,Y15-Y29,0)</f>
        <v>17.7257664289265</v>
      </c>
      <c r="Z31" s="13" t="n">
        <f aca="false">IF(Z24=1,Z15-Z29,0)</f>
        <v>18.8036203050284</v>
      </c>
      <c r="AA31" s="13" t="n">
        <f aca="false">IF(AA24=1,AA15-AA29,0)</f>
        <v>17.8097677322611</v>
      </c>
      <c r="AB31" s="13" t="n">
        <f aca="false">IF(AB24=1,AB15-AB29,0)</f>
        <v>18.6973030876735</v>
      </c>
      <c r="AC31" s="13" t="n">
        <f aca="false">IF(AC24=1,AC15-AC29,0)</f>
        <v>18.0284659647414</v>
      </c>
      <c r="AD31" s="13" t="n">
        <f aca="false">IF(AD24=1,AD15-AD29,0)</f>
        <v>17.6823728160513</v>
      </c>
      <c r="AE31" s="13" t="n">
        <f aca="false">IF(AE24=1,AE15-AE29,0)</f>
        <v>18.5799641049477</v>
      </c>
      <c r="AF31" s="13" t="n">
        <f aca="false">IF(AF24=1,AF15-AF29,0)</f>
        <v>19.944196224325</v>
      </c>
      <c r="AG31" s="13" t="n">
        <f aca="false">IF(AG24=1,AG15-AG29,0)</f>
        <v>18.6579964494106</v>
      </c>
      <c r="AH31" s="13" t="n">
        <f aca="false">IF(AH24=1,AH15-AH29,0)</f>
        <v>19.6293907692788</v>
      </c>
      <c r="AI31" s="13" t="n">
        <f aca="false">IF(AI24=1,AI15-AI29,0)</f>
        <v>18.8753756634077</v>
      </c>
      <c r="AJ31" s="13" t="n">
        <f aca="false">IF(AJ24=1,AJ15-AJ29,0)</f>
        <v>19.759603457064</v>
      </c>
      <c r="AK31" s="13" t="n">
        <f aca="false">IF(AK24=1,AK15-AK29,0)</f>
        <v>19.0612675624935</v>
      </c>
      <c r="AL31" s="13" t="n">
        <f aca="false">IF(AL24=1,AL15-AL29,0)</f>
        <v>19.325012013841</v>
      </c>
      <c r="AM31" s="13" t="n">
        <f aca="false">IF(AM24=1,AM15-AM29,0)</f>
        <v>19.3603114401395</v>
      </c>
      <c r="AN31" s="13" t="n">
        <f aca="false">IF(AN24=1,AN15-AN29,0)</f>
        <v>22.0478706481204</v>
      </c>
      <c r="AO31" s="13" t="n">
        <f aca="false">IF(AO24=1,AO15-AO29,0)</f>
        <v>21.7512257790544</v>
      </c>
      <c r="AP31" s="13" t="n">
        <f aca="false">IF(AP24=1,AP15-AP29,0)</f>
        <v>19.1949044391058</v>
      </c>
      <c r="AQ31" s="13" t="n">
        <f aca="false">IF(AQ24=1,AQ15-AQ29,0)</f>
        <v>15.602644905436</v>
      </c>
      <c r="AR31" s="13" t="n">
        <f aca="false">IF(AR24=1,AR15-AR29,0)</f>
        <v>16.4040760664378</v>
      </c>
      <c r="AS31" s="13" t="n">
        <f aca="false">IF(AS24=1,AS15-AS29,0)</f>
        <v>15.5775421735941</v>
      </c>
      <c r="AT31" s="13" t="n">
        <f aca="false">IF(AT24=1,AT15-AT29,0)</f>
        <v>11.7171892741997</v>
      </c>
      <c r="AU31" s="13" t="n">
        <f aca="false">IF(AU24=1,AU15-AU29,0)</f>
        <v>49.2398890764651</v>
      </c>
      <c r="AV31" s="13" t="n">
        <f aca="false">IF(AV24=1,AV15-AV29,0)</f>
        <v>44.784400708897</v>
      </c>
      <c r="AW31" s="13" t="n">
        <f aca="false">IF(AW24=1,AW15-AW29,0)</f>
        <v>43.7757754228928</v>
      </c>
      <c r="AX31" s="13" t="n">
        <f aca="false">IF(AX24=1,AX15-AX29,0)</f>
        <v>44.549328479987</v>
      </c>
      <c r="AY31" s="13" t="n">
        <f aca="false">IF(AY24=1,AY15-AY29,0)</f>
        <v>44.1454555245785</v>
      </c>
      <c r="AZ31" s="13" t="n">
        <f aca="false">IF(AZ24=1,AZ15-AZ29,0)</f>
        <v>44.8208395983027</v>
      </c>
      <c r="BA31" s="13" t="n">
        <f aca="false">IF(BA24=1,BA15-BA29,0)</f>
        <v>44.4187733432184</v>
      </c>
      <c r="BB31" s="13" t="n">
        <f aca="false">IF(BB24=1,BB15-BB29,0)</f>
        <v>44.6770575981754</v>
      </c>
      <c r="BC31" s="13" t="n">
        <f aca="false">IF(BC24=1,BC15-BC29,0)</f>
        <v>44.9304411389352</v>
      </c>
      <c r="BD31" s="13" t="n">
        <f aca="false">IF(BD24=1,BD15-BD29,0)</f>
        <v>43.4112668979972</v>
      </c>
      <c r="BE31" s="13" t="n">
        <f aca="false">IF(BE24=1,BE15-BE29,0)</f>
        <v>34.7628270815216</v>
      </c>
      <c r="BF31" s="13" t="n">
        <f aca="false">IF(BF24=1,BF15-BF29,0)</f>
        <v>35.4582878880529</v>
      </c>
      <c r="BG31" s="13" t="n">
        <f aca="false">IF(BG24=1,BG15-BG29,0)</f>
        <v>35.0282731328416</v>
      </c>
      <c r="BH31" s="13" t="n">
        <f aca="false">IF(BH24=1,BH15-BH29,0)</f>
        <v>35.7142184030524</v>
      </c>
      <c r="BI31" s="13" t="n">
        <f aca="false">IF(BI24=1,BI15-BI29,0)</f>
        <v>35.2792861301848</v>
      </c>
      <c r="BJ31" s="13" t="n">
        <f aca="false">IF(BJ24=1,BJ15-BJ29,0)</f>
        <v>35.8466581519698</v>
      </c>
      <c r="BK31" s="13" t="n">
        <f aca="false">IF(BK24=1,BK15-BK29,0)</f>
        <v>44.1090267549813</v>
      </c>
      <c r="BL31" s="13" t="n">
        <f aca="false">IF(BL24=1,BL15-BL29,0)</f>
        <v>39.1159758488396</v>
      </c>
      <c r="BM31" s="13" t="n">
        <f aca="false">IF(BM24=1,BM15-BM29,0)</f>
        <v>38.7102482886552</v>
      </c>
      <c r="BN31" s="13" t="n">
        <f aca="false">IF(BN24=1,BN15-BN29,0)</f>
        <v>63.7159756532666</v>
      </c>
    </row>
    <row r="32" customFormat="false" ht="15" hidden="false" customHeight="false" outlineLevel="0" collapsed="false">
      <c r="D32" s="0" t="s">
        <v>853</v>
      </c>
      <c r="E32" s="0" t="s">
        <v>149</v>
      </c>
      <c r="F32" s="17" t="n">
        <f aca="false">SUM(Funding!$J$69:$BJ$69)</f>
        <v>45.0328912836418</v>
      </c>
    </row>
    <row r="33" customFormat="false" ht="15" hidden="false" customHeight="false" outlineLevel="0" collapsed="false">
      <c r="D33" s="0" t="s">
        <v>854</v>
      </c>
      <c r="E33" s="0" t="s">
        <v>149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0</v>
      </c>
      <c r="P33" s="13" t="n">
        <f aca="false">IF(Time!P20&lt;Time!$F$12,0,IF(Time!P34=1,INDEX(Funding!$J$72:$BJ$72,1,Time!$F$14),O36))</f>
        <v>209.994053697859</v>
      </c>
      <c r="Q33" s="13" t="n">
        <f aca="false">IF(Time!Q20&lt;Time!$F$12,0,IF(Time!Q34=1,INDEX(Funding!$J$72:$BJ$72,1,Time!$F$14),P36))</f>
        <v>211.688389281804</v>
      </c>
      <c r="R33" s="13" t="n">
        <f aca="false">IF(Time!R20&lt;Time!$F$12,0,IF(Time!R34=1,INDEX(Funding!$J$72:$BJ$72,1,Time!$F$14),Q36))</f>
        <v>221.342665997654</v>
      </c>
      <c r="S33" s="13" t="n">
        <f aca="false">IF(Time!S20&lt;Time!$F$12,0,IF(Time!S34=1,INDEX(Funding!$J$72:$BJ$72,1,Time!$F$14),R36))</f>
        <v>231.942857235022</v>
      </c>
      <c r="T33" s="13" t="n">
        <f aca="false">IF(Time!T20&lt;Time!$F$12,0,IF(Time!T34=1,INDEX(Funding!$J$72:$BJ$72,1,Time!$F$14),S36))</f>
        <v>242.869589920381</v>
      </c>
      <c r="U33" s="13" t="n">
        <f aca="false">IF(Time!U20&lt;Time!$F$12,0,IF(Time!U34=1,INDEX(Funding!$J$72:$BJ$72,1,Time!$F$14),T36))</f>
        <v>254.500714391089</v>
      </c>
      <c r="V33" s="13" t="n">
        <f aca="false">IF(Time!V20&lt;Time!$F$12,0,IF(Time!V34=1,INDEX(Funding!$J$72:$BJ$72,1,Time!$F$14),U36))</f>
        <v>266.556378368683</v>
      </c>
      <c r="W33" s="13" t="n">
        <f aca="false">IF(Time!W20&lt;Time!$F$12,0,IF(Time!W34=1,INDEX(Funding!$J$72:$BJ$72,1,Time!$F$14),V36))</f>
        <v>237.558746397902</v>
      </c>
      <c r="X33" s="13" t="n">
        <f aca="false">IF(Time!X20&lt;Time!$F$12,0,IF(Time!X34=1,INDEX(Funding!$J$72:$BJ$72,1,Time!$F$14),W36))</f>
        <v>225.950266975925</v>
      </c>
      <c r="Y33" s="13" t="n">
        <f aca="false">IF(Time!Y20&lt;Time!$F$12,0,IF(Time!Y34=1,INDEX(Funding!$J$72:$BJ$72,1,Time!$F$14),X36))</f>
        <v>216.041843140822</v>
      </c>
      <c r="Z33" s="13" t="n">
        <f aca="false">IF(Time!Z20&lt;Time!$F$12,0,IF(Time!Z34=1,INDEX(Funding!$J$72:$BJ$72,1,Time!$F$14),Y36))</f>
        <v>208.49371915794</v>
      </c>
      <c r="AA33" s="13" t="n">
        <f aca="false">IF(Time!AA20&lt;Time!$F$12,0,IF(Time!AA34=1,INDEX(Funding!$J$72:$BJ$72,1,Time!$F$14),Z36))</f>
        <v>199.674948745736</v>
      </c>
      <c r="AB33" s="13" t="n">
        <f aca="false">IF(Time!AB20&lt;Time!$F$12,0,IF(Time!AB34=1,INDEX(Funding!$J$72:$BJ$72,1,Time!$F$14),AA36))</f>
        <v>191.271785790688</v>
      </c>
      <c r="AC33" s="13" t="n">
        <f aca="false">IF(Time!AC20&lt;Time!$F$12,0,IF(Time!AC34=1,INDEX(Funding!$J$72:$BJ$72,1,Time!$F$14),AB36))</f>
        <v>181.734567129374</v>
      </c>
      <c r="AD33" s="13" t="n">
        <f aca="false">IF(Time!AD20&lt;Time!$F$12,0,IF(Time!AD34=1,INDEX(Funding!$J$72:$BJ$72,1,Time!$F$14),AC36))</f>
        <v>172.314842714405</v>
      </c>
      <c r="AE33" s="13" t="n">
        <f aca="false">IF(Time!AE20&lt;Time!$F$12,0,IF(Time!AE34=1,INDEX(Funding!$J$72:$BJ$72,1,Time!$F$14),AD36))</f>
        <v>162.884698530266</v>
      </c>
      <c r="AF33" s="13" t="n">
        <f aca="false">IF(Time!AF20&lt;Time!$F$12,0,IF(Time!AF34=1,INDEX(Funding!$J$72:$BJ$72,1,Time!$F$14),AE36))</f>
        <v>151.978165634161</v>
      </c>
      <c r="AG33" s="13" t="n">
        <f aca="false">IF(Time!AG20&lt;Time!$F$12,0,IF(Time!AG34=1,INDEX(Funding!$J$72:$BJ$72,1,Time!$F$14),AF36))</f>
        <v>139.312266218837</v>
      </c>
      <c r="AH33" s="13" t="n">
        <f aca="false">IF(Time!AH20&lt;Time!$F$12,0,IF(Time!AH34=1,INDEX(Funding!$J$72:$BJ$72,1,Time!$F$14),AG36))</f>
        <v>127.217213379379</v>
      </c>
      <c r="AI33" s="13" t="n">
        <f aca="false">IF(Time!AI20&lt;Time!$F$12,0,IF(Time!AI34=1,INDEX(Funding!$J$72:$BJ$72,1,Time!$F$14),AH36))</f>
        <v>113.680307239886</v>
      </c>
      <c r="AJ33" s="13" t="n">
        <f aca="false">IF(Time!AJ20&lt;Time!$F$12,0,IF(Time!AJ34=1,INDEX(Funding!$J$72:$BJ$72,1,Time!$F$14),AI36))</f>
        <v>100.160364132614</v>
      </c>
      <c r="AK33" s="13" t="n">
        <f aca="false">IF(Time!AK20&lt;Time!$F$12,0,IF(Time!AK34=1,INDEX(Funding!$J$72:$BJ$72,1,Time!$F$14),AJ36))</f>
        <v>85.1974816756549</v>
      </c>
      <c r="AL33" s="13" t="n">
        <f aca="false">IF(Time!AL20&lt;Time!$F$12,0,IF(Time!AL34=1,INDEX(Funding!$J$72:$BJ$72,1,Time!$F$14),AK36))</f>
        <v>70.1720071492493</v>
      </c>
      <c r="AM33" s="13" t="n">
        <f aca="false">IF(Time!AM20&lt;Time!$F$12,0,IF(Time!AM34=1,INDEX(Funding!$J$72:$BJ$72,1,Time!$F$14),AL36))</f>
        <v>54.2075613955971</v>
      </c>
      <c r="AN33" s="13" t="n">
        <f aca="false">IF(Time!AN20&lt;Time!$F$12,0,IF(Time!AN34=1,INDEX(Funding!$J$72:$BJ$72,1,Time!$F$14),AM36))</f>
        <v>37.4009458957242</v>
      </c>
      <c r="AO33" s="13" t="n">
        <f aca="false">IF(Time!AO20&lt;Time!$F$12,0,IF(Time!AO34=1,INDEX(Funding!$J$72:$BJ$72,1,Time!$F$14),AN36))</f>
        <v>17.1442219168017</v>
      </c>
      <c r="AP33" s="13" t="n">
        <f aca="false">IF(Time!AP20&lt;Time!$F$12,0,IF(Time!AP34=1,INDEX(Funding!$J$72:$BJ$72,1,Time!$F$14),AO36))</f>
        <v>0</v>
      </c>
      <c r="AQ33" s="13" t="n">
        <f aca="false">IF(Time!AQ20&lt;Time!$F$12,0,IF(Time!AQ34=1,INDEX(Funding!$J$72:$BJ$72,1,Time!$F$14),AP36))</f>
        <v>0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855</v>
      </c>
      <c r="E34" s="0" t="s">
        <v>149</v>
      </c>
      <c r="G34" s="13" t="n">
        <f aca="false">SUM(J34:BN34)</f>
        <v>140.994237562075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0</v>
      </c>
      <c r="Q34" s="13" t="n">
        <f aca="false">Q24*MIN(Q31,Tax!Q13)</f>
        <v>0.318276307987357</v>
      </c>
      <c r="R34" s="13" t="n">
        <f aca="false">R24*MIN(R31,Tax!R13)</f>
        <v>0</v>
      </c>
      <c r="S34" s="13" t="n">
        <f aca="false">S24*MIN(S31,Tax!S13)</f>
        <v>0</v>
      </c>
      <c r="T34" s="13" t="n">
        <f aca="false">T24*MIN(T31,Tax!T13)</f>
        <v>0</v>
      </c>
      <c r="U34" s="13" t="n">
        <f aca="false">U24*MIN(U31,Tax!U13)</f>
        <v>0</v>
      </c>
      <c r="V34" s="13" t="n">
        <f aca="false">V24*MIN(V31,Tax!V13)</f>
        <v>12.7654945037934</v>
      </c>
      <c r="W34" s="13" t="n">
        <f aca="false">W24*MIN(W31,Tax!W13)</f>
        <v>11.1912949159231</v>
      </c>
      <c r="X34" s="13" t="n">
        <f aca="false">X24*MIN(X31,Tax!X13)</f>
        <v>10.8208511417511</v>
      </c>
      <c r="Y34" s="13" t="n">
        <f aca="false">Y24*MIN(Y31,Tax!Y13)</f>
        <v>10.177642446045</v>
      </c>
      <c r="Z34" s="13" t="n">
        <f aca="false">Z24*MIN(Z31,Tax!Z13)</f>
        <v>9.98484989282409</v>
      </c>
      <c r="AA34" s="13" t="n">
        <f aca="false">AA24*MIN(AA31,Tax!AA13)</f>
        <v>9.4066047772135</v>
      </c>
      <c r="AB34" s="13" t="n">
        <f aca="false">AB24*MIN(AB31,Tax!AB13)</f>
        <v>9.16008442635953</v>
      </c>
      <c r="AC34" s="13" t="n">
        <f aca="false">AC24*MIN(AC31,Tax!AC13)</f>
        <v>8.60874154977227</v>
      </c>
      <c r="AD34" s="13" t="n">
        <f aca="false">AD24*MIN(AD31,Tax!AD13)</f>
        <v>8.25222863191179</v>
      </c>
      <c r="AE34" s="13" t="n">
        <f aca="false">AE24*MIN(AE31,Tax!AE13)</f>
        <v>7.67343120884361</v>
      </c>
      <c r="AF34" s="13" t="n">
        <f aca="false">AF24*MIN(AF31,Tax!AF13)</f>
        <v>7.27829680900039</v>
      </c>
      <c r="AG34" s="13" t="n">
        <f aca="false">AG24*MIN(AG31,Tax!AG13)</f>
        <v>6.56294360995315</v>
      </c>
      <c r="AH34" s="13" t="n">
        <f aca="false">AH24*MIN(AH31,Tax!AH13)</f>
        <v>6.09248462978507</v>
      </c>
      <c r="AI34" s="13" t="n">
        <f aca="false">AI24*MIN(AI31,Tax!AI13)</f>
        <v>5.35543255613653</v>
      </c>
      <c r="AJ34" s="13" t="n">
        <f aca="false">AJ24*MIN(AJ31,Tax!AJ13)</f>
        <v>4.79672100010439</v>
      </c>
      <c r="AK34" s="13" t="n">
        <f aca="false">AK24*MIN(AK31,Tax!AK13)</f>
        <v>4.03579303608787</v>
      </c>
      <c r="AL34" s="13" t="n">
        <f aca="false">AL24*MIN(AL31,Tax!AL13)</f>
        <v>3.36056626018871</v>
      </c>
      <c r="AM34" s="13" t="n">
        <f aca="false">AM24*MIN(AM31,Tax!AM13)</f>
        <v>2.55369594026655</v>
      </c>
      <c r="AN34" s="13" t="n">
        <f aca="false">AN24*MIN(AN31,Tax!AN13)</f>
        <v>1.79114666919797</v>
      </c>
      <c r="AO34" s="13" t="n">
        <f aca="false">AO24*MIN(AO31,Tax!AO13)</f>
        <v>0.80765724892988</v>
      </c>
      <c r="AP34" s="13" t="n">
        <f aca="false">AP24*MIN(AP31,Tax!AP13)</f>
        <v>0</v>
      </c>
      <c r="AQ34" s="13" t="n">
        <f aca="false">AQ24*MIN(AQ31,Tax!AQ13)</f>
        <v>0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856</v>
      </c>
      <c r="E35" s="0" t="s">
        <v>149</v>
      </c>
      <c r="G35" s="13" t="n">
        <f aca="false">SUM(J35:BN35)</f>
        <v>266.556378368683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0</v>
      </c>
      <c r="Q35" s="13" t="n">
        <f aca="false">Q24*MIN(Q31-Q34,Q33+Tax!Q13-Q34)</f>
        <v>0</v>
      </c>
      <c r="R35" s="13" t="n">
        <f aca="false">R24*MIN(R31-R34,R33+Tax!R13-R34)</f>
        <v>0</v>
      </c>
      <c r="S35" s="13" t="n">
        <f aca="false">S24*MIN(S31-S34,S33+Tax!S13-S34)</f>
        <v>0</v>
      </c>
      <c r="T35" s="13" t="n">
        <f aca="false">T24*MIN(T31-T34,T33+Tax!T13-T34)</f>
        <v>0</v>
      </c>
      <c r="U35" s="13" t="n">
        <f aca="false">U24*MIN(U31-U34,U33+Tax!U13-U34)</f>
        <v>0</v>
      </c>
      <c r="V35" s="13" t="n">
        <f aca="false">V24*MIN(V31-V34,V33+Tax!V13-V34)</f>
        <v>28.9976319707806</v>
      </c>
      <c r="W35" s="13" t="n">
        <f aca="false">W24*MIN(W31-W34,W33+Tax!W13-W34)</f>
        <v>11.6084794219772</v>
      </c>
      <c r="X35" s="13" t="n">
        <f aca="false">X24*MIN(X31-X34,X33+Tax!X13-X34)</f>
        <v>9.90842383510346</v>
      </c>
      <c r="Y35" s="13" t="n">
        <f aca="false">Y24*MIN(Y31-Y34,Y33+Tax!Y13-Y34)</f>
        <v>7.54812398288147</v>
      </c>
      <c r="Z35" s="13" t="n">
        <f aca="false">Z24*MIN(Z31-Z34,Z33+Tax!Z13-Z34)</f>
        <v>8.81877041220426</v>
      </c>
      <c r="AA35" s="13" t="n">
        <f aca="false">AA24*MIN(AA31-AA34,AA33+Tax!AA13-AA34)</f>
        <v>8.40316295504765</v>
      </c>
      <c r="AB35" s="13" t="n">
        <f aca="false">AB24*MIN(AB31-AB34,AB33+Tax!AB13-AB34)</f>
        <v>9.537218661314</v>
      </c>
      <c r="AC35" s="13" t="n">
        <f aca="false">AC24*MIN(AC31-AC34,AC33+Tax!AC13-AC34)</f>
        <v>9.41972441496908</v>
      </c>
      <c r="AD35" s="13" t="n">
        <f aca="false">AD24*MIN(AD31-AD34,AD33+Tax!AD13-AD34)</f>
        <v>9.4301441841395</v>
      </c>
      <c r="AE35" s="13" t="n">
        <f aca="false">AE24*MIN(AE31-AE34,AE33+Tax!AE13-AE34)</f>
        <v>10.9065328961041</v>
      </c>
      <c r="AF35" s="13" t="n">
        <f aca="false">AF24*MIN(AF31-AF34,AF33+Tax!AF13-AF34)</f>
        <v>12.6658994153246</v>
      </c>
      <c r="AG35" s="13" t="n">
        <f aca="false">AG24*MIN(AG31-AG34,AG33+Tax!AG13-AG34)</f>
        <v>12.0950528394575</v>
      </c>
      <c r="AH35" s="13" t="n">
        <f aca="false">AH24*MIN(AH31-AH34,AH33+Tax!AH13-AH34)</f>
        <v>13.5369061394937</v>
      </c>
      <c r="AI35" s="13" t="n">
        <f aca="false">AI24*MIN(AI31-AI34,AI33+Tax!AI13-AI34)</f>
        <v>13.5199431072712</v>
      </c>
      <c r="AJ35" s="13" t="n">
        <f aca="false">AJ24*MIN(AJ31-AJ34,AJ33+Tax!AJ13-AJ34)</f>
        <v>14.9628824569596</v>
      </c>
      <c r="AK35" s="13" t="n">
        <f aca="false">AK24*MIN(AK31-AK34,AK33+Tax!AK13-AK34)</f>
        <v>15.0254745264056</v>
      </c>
      <c r="AL35" s="13" t="n">
        <f aca="false">AL24*MIN(AL31-AL34,AL33+Tax!AL13-AL34)</f>
        <v>15.9644457536522</v>
      </c>
      <c r="AM35" s="13" t="n">
        <f aca="false">AM24*MIN(AM31-AM34,AM33+Tax!AM13-AM34)</f>
        <v>16.8066154998729</v>
      </c>
      <c r="AN35" s="13" t="n">
        <f aca="false">AN24*MIN(AN31-AN34,AN33+Tax!AN13-AN34)</f>
        <v>20.2567239789224</v>
      </c>
      <c r="AO35" s="13" t="n">
        <f aca="false">AO24*MIN(AO31-AO34,AO33+Tax!AO13-AO34)</f>
        <v>17.1442219168017</v>
      </c>
      <c r="AP35" s="13" t="n">
        <f aca="false">AP24*MIN(AP31-AP34,AP33+Tax!AP13-AP34)</f>
        <v>0</v>
      </c>
      <c r="AQ35" s="13" t="n">
        <f aca="false">AQ24*MIN(AQ31-AQ34,AQ33+Tax!AQ13-AQ34)</f>
        <v>0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857</v>
      </c>
      <c r="E36" s="0" t="s">
        <v>149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0</v>
      </c>
      <c r="P36" s="13" t="n">
        <f aca="false">P33+Tax!P13-P34-P35</f>
        <v>211.688389281804</v>
      </c>
      <c r="Q36" s="13" t="n">
        <f aca="false">Q33+Tax!Q13-Q34-Q35</f>
        <v>221.342665997654</v>
      </c>
      <c r="R36" s="13" t="n">
        <f aca="false">R33+Tax!R13-R34-R35</f>
        <v>231.942857235022</v>
      </c>
      <c r="S36" s="13" t="n">
        <f aca="false">S33+Tax!S13-S34-S35</f>
        <v>242.869589920381</v>
      </c>
      <c r="T36" s="13" t="n">
        <f aca="false">T33+Tax!T13-T34-T35</f>
        <v>254.500714391089</v>
      </c>
      <c r="U36" s="13" t="n">
        <f aca="false">U33+Tax!U13-U34-U35</f>
        <v>266.556378368683</v>
      </c>
      <c r="V36" s="13" t="n">
        <f aca="false">V33+Tax!V13-V34-V35</f>
        <v>237.558746397902</v>
      </c>
      <c r="W36" s="13" t="n">
        <f aca="false">W33+Tax!W13-W34-W35</f>
        <v>225.950266975925</v>
      </c>
      <c r="X36" s="13" t="n">
        <f aca="false">X33+Tax!X13-X34-X35</f>
        <v>216.041843140822</v>
      </c>
      <c r="Y36" s="13" t="n">
        <f aca="false">Y33+Tax!Y13-Y34-Y35</f>
        <v>208.49371915794</v>
      </c>
      <c r="Z36" s="13" t="n">
        <f aca="false">Z33+Tax!Z13-Z34-Z35</f>
        <v>199.674948745736</v>
      </c>
      <c r="AA36" s="13" t="n">
        <f aca="false">AA33+Tax!AA13-AA34-AA35</f>
        <v>191.271785790688</v>
      </c>
      <c r="AB36" s="13" t="n">
        <f aca="false">AB33+Tax!AB13-AB34-AB35</f>
        <v>181.734567129374</v>
      </c>
      <c r="AC36" s="13" t="n">
        <f aca="false">AC33+Tax!AC13-AC34-AC35</f>
        <v>172.314842714405</v>
      </c>
      <c r="AD36" s="13" t="n">
        <f aca="false">AD33+Tax!AD13-AD34-AD35</f>
        <v>162.884698530266</v>
      </c>
      <c r="AE36" s="13" t="n">
        <f aca="false">AE33+Tax!AE13-AE34-AE35</f>
        <v>151.978165634161</v>
      </c>
      <c r="AF36" s="13" t="n">
        <f aca="false">AF33+Tax!AF13-AF34-AF35</f>
        <v>139.312266218837</v>
      </c>
      <c r="AG36" s="13" t="n">
        <f aca="false">AG33+Tax!AG13-AG34-AG35</f>
        <v>127.217213379379</v>
      </c>
      <c r="AH36" s="13" t="n">
        <f aca="false">AH33+Tax!AH13-AH34-AH35</f>
        <v>113.680307239886</v>
      </c>
      <c r="AI36" s="13" t="n">
        <f aca="false">AI33+Tax!AI13-AI34-AI35</f>
        <v>100.160364132614</v>
      </c>
      <c r="AJ36" s="13" t="n">
        <f aca="false">AJ33+Tax!AJ13-AJ34-AJ35</f>
        <v>85.1974816756549</v>
      </c>
      <c r="AK36" s="13" t="n">
        <f aca="false">AK33+Tax!AK13-AK34-AK35</f>
        <v>70.1720071492493</v>
      </c>
      <c r="AL36" s="13" t="n">
        <f aca="false">AL33+Tax!AL13-AL34-AL35</f>
        <v>54.2075613955971</v>
      </c>
      <c r="AM36" s="13" t="n">
        <f aca="false">AM33+Tax!AM13-AM34-AM35</f>
        <v>37.4009458957242</v>
      </c>
      <c r="AN36" s="13" t="n">
        <f aca="false">AN33+Tax!AN13-AN34-AN35</f>
        <v>17.1442219168017</v>
      </c>
      <c r="AO36" s="13" t="n">
        <f aca="false">AO33+Tax!AO13-AO34-AO35</f>
        <v>0</v>
      </c>
      <c r="AP36" s="13" t="n">
        <f aca="false">AP33+Tax!AP13-AP34-AP35</f>
        <v>0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858</v>
      </c>
      <c r="E37" s="0" t="s">
        <v>149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0</v>
      </c>
      <c r="P37" s="13" t="n">
        <f aca="false">MAX(0,O43+Financials!P14)</f>
        <v>4.60821163534267</v>
      </c>
      <c r="Q37" s="13" t="n">
        <f aca="false">MAX(0,P43+Financials!Q14)</f>
        <v>12.8461307136138</v>
      </c>
      <c r="R37" s="13" t="n">
        <f aca="false">MAX(0,Q43+Financials!R14)</f>
        <v>17.1875648568017</v>
      </c>
      <c r="S37" s="13" t="n">
        <f aca="false">MAX(0,R43+Financials!S14)</f>
        <v>17.9079519913316</v>
      </c>
      <c r="T37" s="13" t="n">
        <f aca="false">MAX(0,S43+Financials!T14)</f>
        <v>18.1230720200166</v>
      </c>
      <c r="U37" s="13" t="n">
        <f aca="false">MAX(0,T43+Financials!U14)</f>
        <v>22.2091374802337</v>
      </c>
      <c r="V37" s="13" t="n">
        <f aca="false">MAX(0,U43+Financials!V14)</f>
        <v>28.2342401214598</v>
      </c>
      <c r="W37" s="13" t="n">
        <f aca="false">MAX(0,V43+Financials!W14)</f>
        <v>35.6775373234228</v>
      </c>
      <c r="X37" s="13" t="n">
        <f aca="false">MAX(0,W43+Financials!X14)</f>
        <v>47.1960378994873</v>
      </c>
      <c r="Y37" s="13" t="n">
        <f aca="false">MAX(0,X43+Financials!Y14)</f>
        <v>60.1666383584894</v>
      </c>
      <c r="Z37" s="13" t="n">
        <f aca="false">MAX(0,Y43+Financials!Z14)</f>
        <v>72.6471318906551</v>
      </c>
      <c r="AA37" s="13" t="n">
        <f aca="false">MAX(0,Z43+Financials!AA14)</f>
        <v>79.3842909416152</v>
      </c>
      <c r="AB37" s="13" t="n">
        <f aca="false">MAX(0,AA43+Financials!AB14)</f>
        <v>86.7086449975905</v>
      </c>
      <c r="AC37" s="13" t="n">
        <f aca="false">MAX(0,AB43+Financials!AC14)</f>
        <v>94.8653687498218</v>
      </c>
      <c r="AD37" s="13" t="n">
        <f aca="false">MAX(0,AC43+Financials!AD14)</f>
        <v>103.7536299975</v>
      </c>
      <c r="AE37" s="13" t="n">
        <f aca="false">MAX(0,AD43+Financials!AE14)</f>
        <v>102.917233739188</v>
      </c>
      <c r="AF37" s="13" t="n">
        <f aca="false">MAX(0,AE43+Financials!AF14)</f>
        <v>114.231481341742</v>
      </c>
      <c r="AG37" s="13" t="n">
        <f aca="false">MAX(0,AF43+Financials!AG14)</f>
        <v>125.801255857892</v>
      </c>
      <c r="AH37" s="13" t="n">
        <f aca="false">MAX(0,AG43+Financials!AH14)</f>
        <v>138.219215610107</v>
      </c>
      <c r="AI37" s="13" t="n">
        <f aca="false">MAX(0,AH43+Financials!AI14)</f>
        <v>151.771253487182</v>
      </c>
      <c r="AJ37" s="13" t="n">
        <f aca="false">MAX(0,AI43+Financials!AJ14)</f>
        <v>166.260476502015</v>
      </c>
      <c r="AK37" s="13" t="n">
        <f aca="false">MAX(0,AJ43+Financials!AK14)</f>
        <v>181.852546073074</v>
      </c>
      <c r="AL37" s="13" t="n">
        <f aca="false">MAX(0,AK43+Financials!AL14)</f>
        <v>198.543297582779</v>
      </c>
      <c r="AM37" s="13" t="n">
        <f aca="false">MAX(0,AL43+Financials!AM14)</f>
        <v>214.232538955458</v>
      </c>
      <c r="AN37" s="13" t="n">
        <f aca="false">MAX(0,AM43+Financials!AN14)</f>
        <v>233.419626184603</v>
      </c>
      <c r="AO37" s="13" t="n">
        <f aca="false">MAX(0,AN43+Financials!AO14)</f>
        <v>253.856850618199</v>
      </c>
      <c r="AP37" s="13" t="n">
        <f aca="false">MAX(0,AO43+Financials!AP14)</f>
        <v>272.143131271026</v>
      </c>
      <c r="AQ37" s="13" t="n">
        <f aca="false">MAX(0,AP43+Financials!AQ14)</f>
        <v>275.846249101949</v>
      </c>
      <c r="AR37" s="13" t="n">
        <f aca="false">MAX(0,AQ43+Financials!AR14)</f>
        <v>283.881396728498</v>
      </c>
      <c r="AS37" s="13" t="n">
        <f aca="false">MAX(0,AR43+Financials!AS14)</f>
        <v>291.850115963733</v>
      </c>
      <c r="AT37" s="13" t="n">
        <f aca="false">MAX(0,AS43+Financials!AT14)</f>
        <v>301.489790429554</v>
      </c>
      <c r="AU37" s="13" t="n">
        <f aca="false">MAX(0,AT43+Financials!AU14)</f>
        <v>304.153121917274</v>
      </c>
      <c r="AV37" s="13" t="n">
        <f aca="false">MAX(0,AU43+Financials!AV14)</f>
        <v>281.876257126074</v>
      </c>
      <c r="AW37" s="13" t="n">
        <f aca="false">MAX(0,AV43+Financials!AW14)</f>
        <v>264.180565097051</v>
      </c>
      <c r="AX37" s="13" t="n">
        <f aca="false">MAX(0,AW43+Financials!AX14)</f>
        <v>247.621745475167</v>
      </c>
      <c r="AY37" s="13" t="n">
        <f aca="false">MAX(0,AX43+Financials!AY14)</f>
        <v>230.446027434002</v>
      </c>
      <c r="AZ37" s="13" t="n">
        <f aca="false">MAX(0,AY43+Financials!AZ14)</f>
        <v>213.788318160156</v>
      </c>
      <c r="BA37" s="13" t="n">
        <f aca="false">MAX(0,AZ43+Financials!BA14)</f>
        <v>196.526076465407</v>
      </c>
      <c r="BB37" s="13" t="n">
        <f aca="false">MAX(0,BA43+Financials!BB14)</f>
        <v>179.823282114085</v>
      </c>
      <c r="BC37" s="13" t="n">
        <f aca="false">MAX(0,BB43+Financials!BC14)</f>
        <v>160.336551423255</v>
      </c>
      <c r="BD37" s="13" t="n">
        <f aca="false">MAX(0,BC43+Financials!BD14)</f>
        <v>143.501061692003</v>
      </c>
      <c r="BE37" s="13" t="n">
        <f aca="false">MAX(0,BD43+Financials!BE14)</f>
        <v>128.138478550692</v>
      </c>
      <c r="BF37" s="13" t="n">
        <f aca="false">MAX(0,BE43+Financials!BF14)</f>
        <v>121.564652473111</v>
      </c>
      <c r="BG37" s="13" t="n">
        <f aca="false">MAX(0,BF43+Financials!BG14)</f>
        <v>114.466324507464</v>
      </c>
      <c r="BH37" s="13" t="n">
        <f aca="false">MAX(0,BG43+Financials!BH14)</f>
        <v>107.922548709194</v>
      </c>
      <c r="BI37" s="13" t="n">
        <f aca="false">MAX(0,BH43+Financials!BI14)</f>
        <v>100.768177149073</v>
      </c>
      <c r="BJ37" s="13" t="n">
        <f aca="false">MAX(0,BI43+Financials!BJ14)</f>
        <v>94.2427400487184</v>
      </c>
      <c r="BK37" s="13" t="n">
        <f aca="false">MAX(0,BJ43+Financials!BK14)</f>
        <v>73.3788521983365</v>
      </c>
      <c r="BL37" s="13" t="n">
        <f aca="false">MAX(0,BK43+Financials!BL14)</f>
        <v>58.2525150905203</v>
      </c>
      <c r="BM37" s="13" t="n">
        <f aca="false">MAX(0,BL43+Financials!BM14)</f>
        <v>48.2295458398639</v>
      </c>
      <c r="BN37" s="13" t="n">
        <f aca="false">MAX(0,BM43+Financials!BN14)</f>
        <v>18.6830843696535</v>
      </c>
    </row>
    <row r="38" customFormat="false" ht="15" hidden="false" customHeight="false" outlineLevel="0" collapsed="false">
      <c r="D38" s="0" t="s">
        <v>859</v>
      </c>
      <c r="E38" s="0" t="s">
        <v>149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3.79934661332279</v>
      </c>
      <c r="AP38" s="13" t="n">
        <f aca="false">AP24*MIN(AP31-AP34-AP35,AP37)</f>
        <v>19.1949044391058</v>
      </c>
      <c r="AQ38" s="13" t="n">
        <f aca="false">AQ24*MIN(AQ31-AQ34-AQ35,AQ37)</f>
        <v>15.602644905436</v>
      </c>
      <c r="AR38" s="13" t="n">
        <f aca="false">AR24*MIN(AR31-AR34-AR35,AR37)</f>
        <v>16.4040760664378</v>
      </c>
      <c r="AS38" s="13" t="n">
        <f aca="false">AS24*MIN(AS31-AS34-AS35,AS37)</f>
        <v>15.5775421735941</v>
      </c>
      <c r="AT38" s="13" t="n">
        <f aca="false">AT24*MIN(AT31-AT34-AT35,AT37)</f>
        <v>11.7171892741997</v>
      </c>
      <c r="AU38" s="13" t="n">
        <f aca="false">AU24*MIN(AU31-AU34-AU35,AU37)</f>
        <v>49.2398890764651</v>
      </c>
      <c r="AV38" s="13" t="n">
        <f aca="false">AV24*MIN(AV31-AV34-AV35,AV37)</f>
        <v>44.784400708897</v>
      </c>
      <c r="AW38" s="13" t="n">
        <f aca="false">AW24*MIN(AW31-AW34-AW35,AW37)</f>
        <v>43.7757754228928</v>
      </c>
      <c r="AX38" s="13" t="n">
        <f aca="false">AX24*MIN(AX31-AX34-AX35,AX37)</f>
        <v>44.549328479987</v>
      </c>
      <c r="AY38" s="13" t="n">
        <f aca="false">AY24*MIN(AY31-AY34-AY35,AY37)</f>
        <v>44.1454555245785</v>
      </c>
      <c r="AZ38" s="13" t="n">
        <f aca="false">AZ24*MIN(AZ31-AZ34-AZ35,AZ37)</f>
        <v>44.8208395983027</v>
      </c>
      <c r="BA38" s="13" t="n">
        <f aca="false">BA24*MIN(BA31-BA34-BA35,BA37)</f>
        <v>44.4187733432184</v>
      </c>
      <c r="BB38" s="13" t="n">
        <f aca="false">BB24*MIN(BB31-BB34-BB35,BB37)</f>
        <v>44.6770575981754</v>
      </c>
      <c r="BC38" s="13" t="n">
        <f aca="false">BC24*MIN(BC31-BC34-BC35,BC37)</f>
        <v>44.9304411389352</v>
      </c>
      <c r="BD38" s="13" t="n">
        <f aca="false">BD24*MIN(BD31-BD34-BD35,BD37)</f>
        <v>43.4112668979972</v>
      </c>
      <c r="BE38" s="13" t="n">
        <f aca="false">BE24*MIN(BE31-BE34-BE35,BE37)</f>
        <v>34.7628270815216</v>
      </c>
      <c r="BF38" s="13" t="n">
        <f aca="false">BF24*MIN(BF31-BF34-BF35,BF37)</f>
        <v>35.4582878880529</v>
      </c>
      <c r="BG38" s="13" t="n">
        <f aca="false">BG24*MIN(BG31-BG34-BG35,BG37)</f>
        <v>35.0282731328416</v>
      </c>
      <c r="BH38" s="13" t="n">
        <f aca="false">BH24*MIN(BH31-BH34-BH35,BH37)</f>
        <v>35.7142184030524</v>
      </c>
      <c r="BI38" s="13" t="n">
        <f aca="false">BI24*MIN(BI31-BI34-BI35,BI37)</f>
        <v>35.2792861301848</v>
      </c>
      <c r="BJ38" s="13" t="n">
        <f aca="false">BJ24*MIN(BJ31-BJ34-BJ35,BJ37)</f>
        <v>35.8466581519698</v>
      </c>
      <c r="BK38" s="13" t="n">
        <f aca="false">BK24*MIN(BK31-BK34-BK35,BK37)</f>
        <v>44.1090267549813</v>
      </c>
      <c r="BL38" s="13" t="n">
        <f aca="false">BL24*MIN(BL31-BL34-BL35,BL37)</f>
        <v>39.1159758488396</v>
      </c>
      <c r="BM38" s="13" t="n">
        <f aca="false">BM24*MIN(BM31-BM34-BM35,BM37)</f>
        <v>38.7102482886552</v>
      </c>
      <c r="BN38" s="13" t="n">
        <f aca="false">BN24*MIN(BN31-BN34-BN35,BN37)</f>
        <v>18.6830843696535</v>
      </c>
    </row>
    <row r="39" customFormat="false" ht="15" hidden="false" customHeight="false" outlineLevel="0" collapsed="false">
      <c r="D39" s="0" t="s">
        <v>860</v>
      </c>
      <c r="E39" s="0" t="s">
        <v>149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0</v>
      </c>
      <c r="BN39" s="13" t="n">
        <f aca="false">BN24*(BN31-BN34-BN35-BN38)</f>
        <v>45.0328912836132</v>
      </c>
    </row>
    <row r="40" customFormat="false" ht="15" hidden="false" customHeight="false" outlineLevel="0" collapsed="false">
      <c r="D40" s="0" t="s">
        <v>861</v>
      </c>
      <c r="E40" s="0" t="s">
        <v>149</v>
      </c>
      <c r="G40" s="13" t="n">
        <f aca="false">SUM(J40:BN40)</f>
        <v>45.0328912836132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0</v>
      </c>
      <c r="BN40" s="13" t="n">
        <f aca="false">Time!BN37*(BN39+BN30+Reserves!BN9-Reserves!BN10+Reserves!BN11-Reserves!BN12)</f>
        <v>45.0328912836132</v>
      </c>
    </row>
    <row r="41" customFormat="false" ht="15" hidden="false" customHeight="false" outlineLevel="0" collapsed="false">
      <c r="D41" s="0" t="s">
        <v>862</v>
      </c>
      <c r="E41" s="0" t="s">
        <v>149</v>
      </c>
      <c r="G41" s="13" t="n">
        <f aca="false">SUM(J41:BN41)</f>
        <v>928.789708594911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3.79934661332279</v>
      </c>
      <c r="AP41" s="13" t="n">
        <f aca="false">AP38+AP40</f>
        <v>19.1949044391058</v>
      </c>
      <c r="AQ41" s="13" t="n">
        <f aca="false">AQ38+AQ40</f>
        <v>15.602644905436</v>
      </c>
      <c r="AR41" s="13" t="n">
        <f aca="false">AR38+AR40</f>
        <v>16.4040760664378</v>
      </c>
      <c r="AS41" s="13" t="n">
        <f aca="false">AS38+AS40</f>
        <v>15.5775421735941</v>
      </c>
      <c r="AT41" s="13" t="n">
        <f aca="false">AT38+AT40</f>
        <v>11.7171892741997</v>
      </c>
      <c r="AU41" s="13" t="n">
        <f aca="false">AU38+AU40</f>
        <v>49.2398890764651</v>
      </c>
      <c r="AV41" s="13" t="n">
        <f aca="false">AV38+AV40</f>
        <v>44.784400708897</v>
      </c>
      <c r="AW41" s="13" t="n">
        <f aca="false">AW38+AW40</f>
        <v>43.7757754228928</v>
      </c>
      <c r="AX41" s="13" t="n">
        <f aca="false">AX38+AX40</f>
        <v>44.549328479987</v>
      </c>
      <c r="AY41" s="13" t="n">
        <f aca="false">AY38+AY40</f>
        <v>44.1454555245785</v>
      </c>
      <c r="AZ41" s="13" t="n">
        <f aca="false">AZ38+AZ40</f>
        <v>44.8208395983027</v>
      </c>
      <c r="BA41" s="13" t="n">
        <f aca="false">BA38+BA40</f>
        <v>44.4187733432184</v>
      </c>
      <c r="BB41" s="13" t="n">
        <f aca="false">BB38+BB40</f>
        <v>44.6770575981754</v>
      </c>
      <c r="BC41" s="13" t="n">
        <f aca="false">BC38+BC40</f>
        <v>44.9304411389352</v>
      </c>
      <c r="BD41" s="13" t="n">
        <f aca="false">BD38+BD40</f>
        <v>43.4112668979972</v>
      </c>
      <c r="BE41" s="13" t="n">
        <f aca="false">BE38+BE40</f>
        <v>34.7628270815216</v>
      </c>
      <c r="BF41" s="13" t="n">
        <f aca="false">BF38+BF40</f>
        <v>35.4582878880529</v>
      </c>
      <c r="BG41" s="13" t="n">
        <f aca="false">BG38+BG40</f>
        <v>35.0282731328416</v>
      </c>
      <c r="BH41" s="13" t="n">
        <f aca="false">BH38+BH40</f>
        <v>35.7142184030524</v>
      </c>
      <c r="BI41" s="13" t="n">
        <f aca="false">BI38+BI40</f>
        <v>35.2792861301848</v>
      </c>
      <c r="BJ41" s="13" t="n">
        <f aca="false">BJ38+BJ40</f>
        <v>35.8466581519698</v>
      </c>
      <c r="BK41" s="13" t="n">
        <f aca="false">BK38+BK40</f>
        <v>44.1090267549813</v>
      </c>
      <c r="BL41" s="13" t="n">
        <f aca="false">BL38+BL40</f>
        <v>39.1159758488396</v>
      </c>
      <c r="BM41" s="13" t="n">
        <f aca="false">BM38+BM40</f>
        <v>38.7102482886552</v>
      </c>
      <c r="BN41" s="13" t="n">
        <f aca="false">BN38+BN40</f>
        <v>63.7159756532666</v>
      </c>
    </row>
    <row r="42" customFormat="false" ht="15" hidden="false" customHeight="false" outlineLevel="0" collapsed="false">
      <c r="D42" s="0" t="s">
        <v>863</v>
      </c>
      <c r="E42" s="0" t="s">
        <v>149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864</v>
      </c>
      <c r="E43" s="0" t="s">
        <v>149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0</v>
      </c>
      <c r="P43" s="13" t="n">
        <f aca="false">IF(Time!P20&lt;Time!$F$12,0,O43+Financials!P14-P41)</f>
        <v>4.60821163534267</v>
      </c>
      <c r="Q43" s="13" t="n">
        <f aca="false">IF(Time!Q20&lt;Time!$F$12,0,P43+Financials!Q14-Q41)</f>
        <v>12.8461307136138</v>
      </c>
      <c r="R43" s="13" t="n">
        <f aca="false">IF(Time!R20&lt;Time!$F$12,0,Q43+Financials!R14-R41)</f>
        <v>17.1875648568017</v>
      </c>
      <c r="S43" s="13" t="n">
        <f aca="false">IF(Time!S20&lt;Time!$F$12,0,R43+Financials!S14-S41)</f>
        <v>17.9079519913316</v>
      </c>
      <c r="T43" s="13" t="n">
        <f aca="false">IF(Time!T20&lt;Time!$F$12,0,S43+Financials!T14-T41)</f>
        <v>18.1230720200166</v>
      </c>
      <c r="U43" s="13" t="n">
        <f aca="false">IF(Time!U20&lt;Time!$F$12,0,T43+Financials!U14-U41)</f>
        <v>22.2091374802337</v>
      </c>
      <c r="V43" s="13" t="n">
        <f aca="false">IF(Time!V20&lt;Time!$F$12,0,U43+Financials!V14-V41)</f>
        <v>28.2342401214598</v>
      </c>
      <c r="W43" s="13" t="n">
        <f aca="false">IF(Time!W20&lt;Time!$F$12,0,V43+Financials!W14-W41)</f>
        <v>35.6775373234228</v>
      </c>
      <c r="X43" s="13" t="n">
        <f aca="false">IF(Time!X20&lt;Time!$F$12,0,W43+Financials!X14-X41)</f>
        <v>47.1960378994873</v>
      </c>
      <c r="Y43" s="13" t="n">
        <f aca="false">IF(Time!Y20&lt;Time!$F$12,0,X43+Financials!Y14-Y41)</f>
        <v>60.1666383584894</v>
      </c>
      <c r="Z43" s="13" t="n">
        <f aca="false">IF(Time!Z20&lt;Time!$F$12,0,Y43+Financials!Z14-Z41)</f>
        <v>72.6471318906551</v>
      </c>
      <c r="AA43" s="13" t="n">
        <f aca="false">IF(Time!AA20&lt;Time!$F$12,0,Z43+Financials!AA14-AA41)</f>
        <v>79.3842909416152</v>
      </c>
      <c r="AB43" s="13" t="n">
        <f aca="false">IF(Time!AB20&lt;Time!$F$12,0,AA43+Financials!AB14-AB41)</f>
        <v>86.7086449975905</v>
      </c>
      <c r="AC43" s="13" t="n">
        <f aca="false">IF(Time!AC20&lt;Time!$F$12,0,AB43+Financials!AC14-AC41)</f>
        <v>94.8653687498218</v>
      </c>
      <c r="AD43" s="13" t="n">
        <f aca="false">IF(Time!AD20&lt;Time!$F$12,0,AC43+Financials!AD14-AD41)</f>
        <v>103.7536299975</v>
      </c>
      <c r="AE43" s="13" t="n">
        <f aca="false">IF(Time!AE20&lt;Time!$F$12,0,AD43+Financials!AE14-AE41)</f>
        <v>102.917233739188</v>
      </c>
      <c r="AF43" s="13" t="n">
        <f aca="false">IF(Time!AF20&lt;Time!$F$12,0,AE43+Financials!AF14-AF41)</f>
        <v>114.231481341742</v>
      </c>
      <c r="AG43" s="13" t="n">
        <f aca="false">IF(Time!AG20&lt;Time!$F$12,0,AF43+Financials!AG14-AG41)</f>
        <v>125.801255857892</v>
      </c>
      <c r="AH43" s="13" t="n">
        <f aca="false">IF(Time!AH20&lt;Time!$F$12,0,AG43+Financials!AH14-AH41)</f>
        <v>138.219215610107</v>
      </c>
      <c r="AI43" s="13" t="n">
        <f aca="false">IF(Time!AI20&lt;Time!$F$12,0,AH43+Financials!AI14-AI41)</f>
        <v>151.771253487182</v>
      </c>
      <c r="AJ43" s="13" t="n">
        <f aca="false">IF(Time!AJ20&lt;Time!$F$12,0,AI43+Financials!AJ14-AJ41)</f>
        <v>166.260476502015</v>
      </c>
      <c r="AK43" s="13" t="n">
        <f aca="false">IF(Time!AK20&lt;Time!$F$12,0,AJ43+Financials!AK14-AK41)</f>
        <v>181.852546073074</v>
      </c>
      <c r="AL43" s="13" t="n">
        <f aca="false">IF(Time!AL20&lt;Time!$F$12,0,AK43+Financials!AL14-AL41)</f>
        <v>198.543297582779</v>
      </c>
      <c r="AM43" s="13" t="n">
        <f aca="false">IF(Time!AM20&lt;Time!$F$12,0,AL43+Financials!AM14-AM41)</f>
        <v>214.232538955458</v>
      </c>
      <c r="AN43" s="13" t="n">
        <f aca="false">IF(Time!AN20&lt;Time!$F$12,0,AM43+Financials!AN14-AN41)</f>
        <v>233.419626184603</v>
      </c>
      <c r="AO43" s="13" t="n">
        <f aca="false">IF(Time!AO20&lt;Time!$F$12,0,AN43+Financials!AO14-AO41)</f>
        <v>250.057504004877</v>
      </c>
      <c r="AP43" s="13" t="n">
        <f aca="false">IF(Time!AP20&lt;Time!$F$12,0,AO43+Financials!AP14-AP41)</f>
        <v>252.948226831921</v>
      </c>
      <c r="AQ43" s="13" t="n">
        <f aca="false">IF(Time!AQ20&lt;Time!$F$12,0,AP43+Financials!AQ14-AQ41)</f>
        <v>260.243604196513</v>
      </c>
      <c r="AR43" s="13" t="n">
        <f aca="false">IF(Time!AR20&lt;Time!$F$12,0,AQ43+Financials!AR14-AR41)</f>
        <v>267.47732066206</v>
      </c>
      <c r="AS43" s="13" t="n">
        <f aca="false">IF(Time!AS20&lt;Time!$F$12,0,AR43+Financials!AS14-AS41)</f>
        <v>276.272573790139</v>
      </c>
      <c r="AT43" s="13" t="n">
        <f aca="false">IF(Time!AT20&lt;Time!$F$12,0,AS43+Financials!AT14-AT41)</f>
        <v>289.772601155355</v>
      </c>
      <c r="AU43" s="13" t="n">
        <f aca="false">IF(Time!AU20&lt;Time!$F$12,0,AT43+Financials!AU14-AU41)</f>
        <v>254.913232840809</v>
      </c>
      <c r="AV43" s="13" t="n">
        <f aca="false">IF(Time!AV20&lt;Time!$F$12,0,AU43+Financials!AV14-AV41)</f>
        <v>237.091856417177</v>
      </c>
      <c r="AW43" s="13" t="n">
        <f aca="false">IF(Time!AW20&lt;Time!$F$12,0,AV43+Financials!AW14-AW41)</f>
        <v>220.404789674158</v>
      </c>
      <c r="AX43" s="13" t="n">
        <f aca="false">IF(Time!AX20&lt;Time!$F$12,0,AW43+Financials!AX14-AX41)</f>
        <v>203.07241699518</v>
      </c>
      <c r="AY43" s="13" t="n">
        <f aca="false">IF(Time!AY20&lt;Time!$F$12,0,AX43+Financials!AY14-AY41)</f>
        <v>186.300571909424</v>
      </c>
      <c r="AZ43" s="13" t="n">
        <f aca="false">IF(Time!AZ20&lt;Time!$F$12,0,AY43+Financials!AZ14-AZ41)</f>
        <v>168.967478561853</v>
      </c>
      <c r="BA43" s="13" t="n">
        <f aca="false">IF(Time!BA20&lt;Time!$F$12,0,AZ43+Financials!BA14-BA41)</f>
        <v>152.107303122189</v>
      </c>
      <c r="BB43" s="13" t="n">
        <f aca="false">IF(Time!BB20&lt;Time!$F$12,0,BA43+Financials!BB14-BB41)</f>
        <v>135.146224515909</v>
      </c>
      <c r="BC43" s="13" t="n">
        <f aca="false">IF(Time!BC20&lt;Time!$F$12,0,BB43+Financials!BC14-BC41)</f>
        <v>115.406110284319</v>
      </c>
      <c r="BD43" s="13" t="n">
        <f aca="false">IF(Time!BD20&lt;Time!$F$12,0,BC43+Financials!BD14-BD41)</f>
        <v>100.089794794006</v>
      </c>
      <c r="BE43" s="13" t="n">
        <f aca="false">IF(Time!BE20&lt;Time!$F$12,0,BD43+Financials!BE14-BE41)</f>
        <v>93.37565146917</v>
      </c>
      <c r="BF43" s="13" t="n">
        <f aca="false">IF(Time!BF20&lt;Time!$F$12,0,BE43+Financials!BF14-BF41)</f>
        <v>86.1063645850583</v>
      </c>
      <c r="BG43" s="13" t="n">
        <f aca="false">IF(Time!BG20&lt;Time!$F$12,0,BF43+Financials!BG14-BG41)</f>
        <v>79.4380513746225</v>
      </c>
      <c r="BH43" s="13" t="n">
        <f aca="false">IF(Time!BH20&lt;Time!$F$12,0,BG43+Financials!BH14-BH41)</f>
        <v>72.2083303061419</v>
      </c>
      <c r="BI43" s="13" t="n">
        <f aca="false">IF(Time!BI20&lt;Time!$F$12,0,BH43+Financials!BI14-BI41)</f>
        <v>65.4888910188879</v>
      </c>
      <c r="BJ43" s="13" t="n">
        <f aca="false">IF(Time!BJ20&lt;Time!$F$12,0,BI43+Financials!BJ14-BJ41)</f>
        <v>58.3960818967486</v>
      </c>
      <c r="BK43" s="13" t="n">
        <f aca="false">IF(Time!BK20&lt;Time!$F$12,0,BJ43+Financials!BK14-BK41)</f>
        <v>29.2698254433552</v>
      </c>
      <c r="BL43" s="13" t="n">
        <f aca="false">IF(Time!BL20&lt;Time!$F$12,0,BK43+Financials!BL14-BL41)</f>
        <v>19.1365392416807</v>
      </c>
      <c r="BM43" s="13" t="n">
        <f aca="false">IF(Time!BM20&lt;Time!$F$12,0,BL43+Financials!BM14-BM41)</f>
        <v>9.5192975512087</v>
      </c>
      <c r="BN43" s="13" t="n">
        <f aca="false">IF(Time!BN20&lt;Time!$F$12,0,BM43+Financials!BN14-BN41)</f>
        <v>-45.0328912836132</v>
      </c>
    </row>
    <row r="44" customFormat="false" ht="15" hidden="false" customHeight="false" outlineLevel="0" collapsed="false">
      <c r="D44" s="0" t="s">
        <v>865</v>
      </c>
      <c r="E44" s="0" t="s">
        <v>149</v>
      </c>
      <c r="G44" s="13" t="n">
        <f aca="false">SUM(J44:BN44)</f>
        <v>1336.34032452567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0</v>
      </c>
      <c r="Q44" s="13" t="n">
        <f aca="false">Q34+Q35+Q41</f>
        <v>0.318276307987357</v>
      </c>
      <c r="R44" s="13" t="n">
        <f aca="false">R34+R35+R41</f>
        <v>0</v>
      </c>
      <c r="S44" s="13" t="n">
        <f aca="false">S34+S35+S41</f>
        <v>0</v>
      </c>
      <c r="T44" s="13" t="n">
        <f aca="false">T34+T35+T41</f>
        <v>0</v>
      </c>
      <c r="U44" s="13" t="n">
        <f aca="false">U34+U35+U41</f>
        <v>0</v>
      </c>
      <c r="V44" s="13" t="n">
        <f aca="false">V34+V35+V41</f>
        <v>41.7631264745739</v>
      </c>
      <c r="W44" s="13" t="n">
        <f aca="false">W34+W35+W41</f>
        <v>22.7997743379003</v>
      </c>
      <c r="X44" s="13" t="n">
        <f aca="false">X34+X35+X41</f>
        <v>20.7292749768546</v>
      </c>
      <c r="Y44" s="13" t="n">
        <f aca="false">Y34+Y35+Y41</f>
        <v>17.7257664289265</v>
      </c>
      <c r="Z44" s="13" t="n">
        <f aca="false">Z34+Z35+Z41</f>
        <v>18.8036203050284</v>
      </c>
      <c r="AA44" s="13" t="n">
        <f aca="false">AA34+AA35+AA41</f>
        <v>17.8097677322611</v>
      </c>
      <c r="AB44" s="13" t="n">
        <f aca="false">AB34+AB35+AB41</f>
        <v>18.6973030876735</v>
      </c>
      <c r="AC44" s="13" t="n">
        <f aca="false">AC34+AC35+AC41</f>
        <v>18.0284659647414</v>
      </c>
      <c r="AD44" s="13" t="n">
        <f aca="false">AD34+AD35+AD41</f>
        <v>17.6823728160513</v>
      </c>
      <c r="AE44" s="13" t="n">
        <f aca="false">AE34+AE35+AE41</f>
        <v>18.5799641049477</v>
      </c>
      <c r="AF44" s="13" t="n">
        <f aca="false">AF34+AF35+AF41</f>
        <v>19.944196224325</v>
      </c>
      <c r="AG44" s="13" t="n">
        <f aca="false">AG34+AG35+AG41</f>
        <v>18.6579964494106</v>
      </c>
      <c r="AH44" s="13" t="n">
        <f aca="false">AH34+AH35+AH41</f>
        <v>19.6293907692788</v>
      </c>
      <c r="AI44" s="13" t="n">
        <f aca="false">AI34+AI35+AI41</f>
        <v>18.8753756634077</v>
      </c>
      <c r="AJ44" s="13" t="n">
        <f aca="false">AJ34+AJ35+AJ41</f>
        <v>19.759603457064</v>
      </c>
      <c r="AK44" s="13" t="n">
        <f aca="false">AK34+AK35+AK41</f>
        <v>19.0612675624935</v>
      </c>
      <c r="AL44" s="13" t="n">
        <f aca="false">AL34+AL35+AL41</f>
        <v>19.325012013841</v>
      </c>
      <c r="AM44" s="13" t="n">
        <f aca="false">AM34+AM35+AM41</f>
        <v>19.3603114401395</v>
      </c>
      <c r="AN44" s="13" t="n">
        <f aca="false">AN34+AN35+AN41</f>
        <v>22.0478706481204</v>
      </c>
      <c r="AO44" s="13" t="n">
        <f aca="false">AO34+AO35+AO41</f>
        <v>21.7512257790544</v>
      </c>
      <c r="AP44" s="13" t="n">
        <f aca="false">AP34+AP35+AP41</f>
        <v>19.1949044391058</v>
      </c>
      <c r="AQ44" s="13" t="n">
        <f aca="false">AQ34+AQ35+AQ41</f>
        <v>15.602644905436</v>
      </c>
      <c r="AR44" s="13" t="n">
        <f aca="false">AR34+AR35+AR41</f>
        <v>16.4040760664378</v>
      </c>
      <c r="AS44" s="13" t="n">
        <f aca="false">AS34+AS35+AS41</f>
        <v>15.5775421735941</v>
      </c>
      <c r="AT44" s="13" t="n">
        <f aca="false">AT34+AT35+AT41</f>
        <v>11.7171892741997</v>
      </c>
      <c r="AU44" s="13" t="n">
        <f aca="false">AU34+AU35+AU41</f>
        <v>49.2398890764651</v>
      </c>
      <c r="AV44" s="13" t="n">
        <f aca="false">AV34+AV35+AV41</f>
        <v>44.784400708897</v>
      </c>
      <c r="AW44" s="13" t="n">
        <f aca="false">AW34+AW35+AW41</f>
        <v>43.7757754228928</v>
      </c>
      <c r="AX44" s="13" t="n">
        <f aca="false">AX34+AX35+AX41</f>
        <v>44.549328479987</v>
      </c>
      <c r="AY44" s="13" t="n">
        <f aca="false">AY34+AY35+AY41</f>
        <v>44.1454555245785</v>
      </c>
      <c r="AZ44" s="13" t="n">
        <f aca="false">AZ34+AZ35+AZ41</f>
        <v>44.8208395983027</v>
      </c>
      <c r="BA44" s="13" t="n">
        <f aca="false">BA34+BA35+BA41</f>
        <v>44.4187733432184</v>
      </c>
      <c r="BB44" s="13" t="n">
        <f aca="false">BB34+BB35+BB41</f>
        <v>44.6770575981754</v>
      </c>
      <c r="BC44" s="13" t="n">
        <f aca="false">BC34+BC35+BC41</f>
        <v>44.9304411389352</v>
      </c>
      <c r="BD44" s="13" t="n">
        <f aca="false">BD34+BD35+BD41</f>
        <v>43.4112668979972</v>
      </c>
      <c r="BE44" s="13" t="n">
        <f aca="false">BE34+BE35+BE41</f>
        <v>34.7628270815216</v>
      </c>
      <c r="BF44" s="13" t="n">
        <f aca="false">BF34+BF35+BF41</f>
        <v>35.4582878880529</v>
      </c>
      <c r="BG44" s="13" t="n">
        <f aca="false">BG34+BG35+BG41</f>
        <v>35.0282731328416</v>
      </c>
      <c r="BH44" s="13" t="n">
        <f aca="false">BH34+BH35+BH41</f>
        <v>35.7142184030524</v>
      </c>
      <c r="BI44" s="13" t="n">
        <f aca="false">BI34+BI35+BI41</f>
        <v>35.2792861301848</v>
      </c>
      <c r="BJ44" s="13" t="n">
        <f aca="false">BJ34+BJ35+BJ41</f>
        <v>35.8466581519698</v>
      </c>
      <c r="BK44" s="13" t="n">
        <f aca="false">BK34+BK35+BK41</f>
        <v>44.1090267549813</v>
      </c>
      <c r="BL44" s="13" t="n">
        <f aca="false">BL34+BL35+BL41</f>
        <v>39.1159758488396</v>
      </c>
      <c r="BM44" s="13" t="n">
        <f aca="false">BM34+BM35+BM41</f>
        <v>38.7102482886552</v>
      </c>
      <c r="BN44" s="13" t="n">
        <f aca="false">BN34+BN35+BN41</f>
        <v>63.7159756532666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866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867</v>
      </c>
    </row>
    <row r="8" customFormat="false" ht="15" hidden="false" customHeight="false" outlineLevel="0" collapsed="false">
      <c r="D8" s="0" t="s">
        <v>868</v>
      </c>
      <c r="E8" s="0" t="s">
        <v>149</v>
      </c>
      <c r="G8" s="13" t="n">
        <f aca="false">SUM(J8:BN8)</f>
        <v>839.637073278006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0</v>
      </c>
      <c r="P8" s="13" t="n">
        <f aca="false">Funding!$F$76/Time!$F$9*Time!P30</f>
        <v>2.79879024426002</v>
      </c>
      <c r="Q8" s="13" t="n">
        <f aca="false">Funding!$F$76/Time!$F$9*Time!Q30</f>
        <v>16.7927414655601</v>
      </c>
      <c r="R8" s="13" t="n">
        <f aca="false">Funding!$F$76/Time!$F$9*Time!R30</f>
        <v>16.7927414655601</v>
      </c>
      <c r="S8" s="13" t="n">
        <f aca="false">Funding!$F$76/Time!$F$9*Time!S30</f>
        <v>16.7927414655601</v>
      </c>
      <c r="T8" s="13" t="n">
        <f aca="false">Funding!$F$76/Time!$F$9*Time!T30</f>
        <v>16.7927414655601</v>
      </c>
      <c r="U8" s="13" t="n">
        <f aca="false">Funding!$F$76/Time!$F$9*Time!U30</f>
        <v>16.7927414655601</v>
      </c>
      <c r="V8" s="13" t="n">
        <f aca="false">Funding!$F$76/Time!$F$9*Time!V30</f>
        <v>16.7927414655601</v>
      </c>
      <c r="W8" s="13" t="n">
        <f aca="false">Funding!$F$76/Time!$F$9*Time!W30</f>
        <v>16.7927414655601</v>
      </c>
      <c r="X8" s="13" t="n">
        <f aca="false">Funding!$F$76/Time!$F$9*Time!X30</f>
        <v>16.7927414655601</v>
      </c>
      <c r="Y8" s="13" t="n">
        <f aca="false">Funding!$F$76/Time!$F$9*Time!Y30</f>
        <v>16.7927414655601</v>
      </c>
      <c r="Z8" s="13" t="n">
        <f aca="false">Funding!$F$76/Time!$F$9*Time!Z30</f>
        <v>16.7927414655601</v>
      </c>
      <c r="AA8" s="13" t="n">
        <f aca="false">Funding!$F$76/Time!$F$9*Time!AA30</f>
        <v>16.7927414655601</v>
      </c>
      <c r="AB8" s="13" t="n">
        <f aca="false">Funding!$F$76/Time!$F$9*Time!AB30</f>
        <v>16.7927414655601</v>
      </c>
      <c r="AC8" s="13" t="n">
        <f aca="false">Funding!$F$76/Time!$F$9*Time!AC30</f>
        <v>16.7927414655601</v>
      </c>
      <c r="AD8" s="13" t="n">
        <f aca="false">Funding!$F$76/Time!$F$9*Time!AD30</f>
        <v>16.7927414655601</v>
      </c>
      <c r="AE8" s="13" t="n">
        <f aca="false">Funding!$F$76/Time!$F$9*Time!AE30</f>
        <v>16.7927414655601</v>
      </c>
      <c r="AF8" s="13" t="n">
        <f aca="false">Funding!$F$76/Time!$F$9*Time!AF30</f>
        <v>16.7927414655601</v>
      </c>
      <c r="AG8" s="13" t="n">
        <f aca="false">Funding!$F$76/Time!$F$9*Time!AG30</f>
        <v>16.7927414655601</v>
      </c>
      <c r="AH8" s="13" t="n">
        <f aca="false">Funding!$F$76/Time!$F$9*Time!AH30</f>
        <v>16.7927414655601</v>
      </c>
      <c r="AI8" s="13" t="n">
        <f aca="false">Funding!$F$76/Time!$F$9*Time!AI30</f>
        <v>16.7927414655601</v>
      </c>
      <c r="AJ8" s="13" t="n">
        <f aca="false">Funding!$F$76/Time!$F$9*Time!AJ30</f>
        <v>16.7927414655601</v>
      </c>
      <c r="AK8" s="13" t="n">
        <f aca="false">Funding!$F$76/Time!$F$9*Time!AK30</f>
        <v>16.7927414655601</v>
      </c>
      <c r="AL8" s="13" t="n">
        <f aca="false">Funding!$F$76/Time!$F$9*Time!AL30</f>
        <v>16.7927414655601</v>
      </c>
      <c r="AM8" s="13" t="n">
        <f aca="false">Funding!$F$76/Time!$F$9*Time!AM30</f>
        <v>16.7927414655601</v>
      </c>
      <c r="AN8" s="13" t="n">
        <f aca="false">Funding!$F$76/Time!$F$9*Time!AN30</f>
        <v>16.7927414655601</v>
      </c>
      <c r="AO8" s="13" t="n">
        <f aca="false">Funding!$F$76/Time!$F$9*Time!AO30</f>
        <v>16.7927414655601</v>
      </c>
      <c r="AP8" s="13" t="n">
        <f aca="false">Funding!$F$76/Time!$F$9*Time!AP30</f>
        <v>16.7927414655601</v>
      </c>
      <c r="AQ8" s="13" t="n">
        <f aca="false">Funding!$F$76/Time!$F$9*Time!AQ30</f>
        <v>16.7927414655601</v>
      </c>
      <c r="AR8" s="13" t="n">
        <f aca="false">Funding!$F$76/Time!$F$9*Time!AR30</f>
        <v>16.7927414655601</v>
      </c>
      <c r="AS8" s="13" t="n">
        <f aca="false">Funding!$F$76/Time!$F$9*Time!AS30</f>
        <v>16.7927414655601</v>
      </c>
      <c r="AT8" s="13" t="n">
        <f aca="false">Funding!$F$76/Time!$F$9*Time!AT30</f>
        <v>16.7927414655601</v>
      </c>
      <c r="AU8" s="13" t="n">
        <f aca="false">Funding!$F$76/Time!$F$9*Time!AU30</f>
        <v>16.7927414655601</v>
      </c>
      <c r="AV8" s="13" t="n">
        <f aca="false">Funding!$F$76/Time!$F$9*Time!AV30</f>
        <v>16.7927414655601</v>
      </c>
      <c r="AW8" s="13" t="n">
        <f aca="false">Funding!$F$76/Time!$F$9*Time!AW30</f>
        <v>16.7927414655601</v>
      </c>
      <c r="AX8" s="13" t="n">
        <f aca="false">Funding!$F$76/Time!$F$9*Time!AX30</f>
        <v>16.7927414655601</v>
      </c>
      <c r="AY8" s="13" t="n">
        <f aca="false">Funding!$F$76/Time!$F$9*Time!AY30</f>
        <v>16.7927414655601</v>
      </c>
      <c r="AZ8" s="13" t="n">
        <f aca="false">Funding!$F$76/Time!$F$9*Time!AZ30</f>
        <v>16.7927414655601</v>
      </c>
      <c r="BA8" s="13" t="n">
        <f aca="false">Funding!$F$76/Time!$F$9*Time!BA30</f>
        <v>16.7927414655601</v>
      </c>
      <c r="BB8" s="13" t="n">
        <f aca="false">Funding!$F$76/Time!$F$9*Time!BB30</f>
        <v>16.7927414655601</v>
      </c>
      <c r="BC8" s="13" t="n">
        <f aca="false">Funding!$F$76/Time!$F$9*Time!BC30</f>
        <v>16.7927414655601</v>
      </c>
      <c r="BD8" s="13" t="n">
        <f aca="false">Funding!$F$76/Time!$F$9*Time!BD30</f>
        <v>16.7927414655601</v>
      </c>
      <c r="BE8" s="13" t="n">
        <f aca="false">Funding!$F$76/Time!$F$9*Time!BE30</f>
        <v>16.7927414655601</v>
      </c>
      <c r="BF8" s="13" t="n">
        <f aca="false">Funding!$F$76/Time!$F$9*Time!BF30</f>
        <v>16.7927414655601</v>
      </c>
      <c r="BG8" s="13" t="n">
        <f aca="false">Funding!$F$76/Time!$F$9*Time!BG30</f>
        <v>16.7927414655601</v>
      </c>
      <c r="BH8" s="13" t="n">
        <f aca="false">Funding!$F$76/Time!$F$9*Time!BH30</f>
        <v>16.7927414655601</v>
      </c>
      <c r="BI8" s="13" t="n">
        <f aca="false">Funding!$F$76/Time!$F$9*Time!BI30</f>
        <v>16.7927414655601</v>
      </c>
      <c r="BJ8" s="13" t="n">
        <f aca="false">Funding!$F$76/Time!$F$9*Time!BJ30</f>
        <v>16.7927414655601</v>
      </c>
      <c r="BK8" s="13" t="n">
        <f aca="false">Funding!$F$76/Time!$F$9*Time!BK30</f>
        <v>16.7927414655601</v>
      </c>
      <c r="BL8" s="13" t="n">
        <f aca="false">Funding!$F$76/Time!$F$9*Time!BL30</f>
        <v>16.7927414655601</v>
      </c>
      <c r="BM8" s="13" t="n">
        <f aca="false">Funding!$F$76/Time!$F$9*Time!BM30</f>
        <v>16.7927414655601</v>
      </c>
      <c r="BN8" s="13" t="n">
        <f aca="false">Funding!$F$76/Time!$F$9*Time!BN30</f>
        <v>13.9939512213001</v>
      </c>
    </row>
    <row r="9" customFormat="false" ht="15" hidden="false" customHeight="false" outlineLevel="0" collapsed="false">
      <c r="D9" s="0" t="s">
        <v>869</v>
      </c>
      <c r="E9" s="0" t="s">
        <v>149</v>
      </c>
      <c r="G9" s="13" t="n">
        <f aca="false">SUM(J9:BN9)</f>
        <v>599.235231230668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0</v>
      </c>
      <c r="P9" s="13" t="n">
        <f aca="false">Debt!P112+Debt!P110+Debt!P104-Debt!P103+Tax!P13</f>
        <v>1.69433558394574</v>
      </c>
      <c r="Q9" s="13" t="n">
        <f aca="false">Debt!Q112+Debt!Q110+Debt!Q104-Debt!Q103+Tax!Q13</f>
        <v>29.4557818508553</v>
      </c>
      <c r="R9" s="13" t="n">
        <f aca="false">Debt!R112+Debt!R110+Debt!R104-Debt!R103+Tax!R13</f>
        <v>31.4442560144423</v>
      </c>
      <c r="S9" s="13" t="n">
        <f aca="false">Debt!S112+Debt!S110+Debt!S104-Debt!S103+Tax!S13</f>
        <v>32.7490949751659</v>
      </c>
      <c r="T9" s="13" t="n">
        <f aca="false">Debt!T112+Debt!T110+Debt!T104-Debt!T103+Tax!T13</f>
        <v>36.4857167756256</v>
      </c>
      <c r="U9" s="13" t="n">
        <f aca="false">Debt!U112+Debt!U110+Debt!U104-Debt!U103+Tax!U13</f>
        <v>34.8946635893204</v>
      </c>
      <c r="V9" s="13" t="n">
        <f aca="false">Debt!V112+Debt!V110+Debt!V104-Debt!V103+Tax!V13</f>
        <v>34.9483878438318</v>
      </c>
      <c r="W9" s="13" t="n">
        <f aca="false">Debt!W112+Debt!W110+Debt!W104-Debt!W103+Tax!W13</f>
        <v>31.3338693184084</v>
      </c>
      <c r="X9" s="13" t="n">
        <f aca="false">Debt!X112+Debt!X110+Debt!X104-Debt!X103+Tax!X13</f>
        <v>28.3109973894847</v>
      </c>
      <c r="Y9" s="13" t="n">
        <f aca="false">Debt!Y112+Debt!Y110+Debt!Y104-Debt!Y103+Tax!Y13</f>
        <v>26.9899788749342</v>
      </c>
      <c r="Z9" s="13" t="n">
        <f aca="false">Debt!Z112+Debt!Z110+Debt!Z104-Debt!Z103+Tax!Z13</f>
        <v>26.4053041300986</v>
      </c>
      <c r="AA9" s="13" t="n">
        <f aca="false">Debt!AA112+Debt!AA110+Debt!AA104-Debt!AA103+Tax!AA13</f>
        <v>25.2646820206621</v>
      </c>
      <c r="AB9" s="13" t="n">
        <f aca="false">Debt!AB112+Debt!AB110+Debt!AB104-Debt!AB103+Tax!AB13</f>
        <v>24.5975889411883</v>
      </c>
      <c r="AC9" s="13" t="n">
        <f aca="false">Debt!AC112+Debt!AC110+Debt!AC104-Debt!AC103+Tax!AC13</f>
        <v>23.515348927783</v>
      </c>
      <c r="AD9" s="13" t="n">
        <f aca="false">Debt!AD112+Debt!AD110+Debt!AD104-Debt!AD103+Tax!AD13</f>
        <v>22.6778013737519</v>
      </c>
      <c r="AE9" s="13" t="n">
        <f aca="false">Debt!AE112+Debt!AE110+Debt!AE104-Debt!AE103+Tax!AE13</f>
        <v>21.5119946618852</v>
      </c>
      <c r="AF9" s="13" t="n">
        <f aca="false">Debt!AF112+Debt!AF110+Debt!AF104-Debt!AF103+Tax!AF13</f>
        <v>20.5729961536634</v>
      </c>
      <c r="AG9" s="13" t="n">
        <f aca="false">Debt!AG112+Debt!AG110+Debt!AG104-Debt!AG103+Tax!AG13</f>
        <v>19.1915072895649</v>
      </c>
      <c r="AH9" s="13" t="n">
        <f aca="false">Debt!AH112+Debt!AH110+Debt!AH104-Debt!AH103+Tax!AH13</f>
        <v>18.1299091784625</v>
      </c>
      <c r="AI9" s="13" t="n">
        <f aca="false">Debt!AI112+Debt!AI110+Debt!AI104-Debt!AI103+Tax!AI13</f>
        <v>16.6953135741365</v>
      </c>
      <c r="AJ9" s="13" t="n">
        <f aca="false">Debt!AJ112+Debt!AJ110+Debt!AJ104-Debt!AJ103+Tax!AJ13</f>
        <v>15.4901857922348</v>
      </c>
      <c r="AK9" s="13" t="n">
        <f aca="false">Debt!AK112+Debt!AK110+Debt!AK104-Debt!AK103+Tax!AK13</f>
        <v>14.0003708102154</v>
      </c>
      <c r="AL9" s="13" t="n">
        <f aca="false">Debt!AL112+Debt!AL110+Debt!AL104-Debt!AL103+Tax!AL13</f>
        <v>12.6148914215229</v>
      </c>
      <c r="AM9" s="13" t="n">
        <f aca="false">Debt!AM112+Debt!AM110+Debt!AM104-Debt!AM103+Tax!AM13</f>
        <v>11.0334152039553</v>
      </c>
      <c r="AN9" s="13" t="n">
        <f aca="false">Debt!AN112+Debt!AN110+Debt!AN104-Debt!AN103+Tax!AN13</f>
        <v>9.49408583691861</v>
      </c>
      <c r="AO9" s="13" t="n">
        <f aca="false">Debt!AO112+Debt!AO110+Debt!AO104-Debt!AO103+Tax!AO13</f>
        <v>7.65748339208672</v>
      </c>
      <c r="AP9" s="13" t="n">
        <f aca="false">Debt!AP112+Debt!AP110+Debt!AP104-Debt!AP103+Tax!AP13</f>
        <v>6.05394875536452</v>
      </c>
      <c r="AQ9" s="13" t="n">
        <f aca="false">Debt!AQ112+Debt!AQ110+Debt!AQ104-Debt!AQ103+Tax!AQ13</f>
        <v>5.09847608648243</v>
      </c>
      <c r="AR9" s="13" t="n">
        <f aca="false">Debt!AR112+Debt!AR110+Debt!AR104-Debt!AR103+Tax!AR13</f>
        <v>4.19109230970568</v>
      </c>
      <c r="AS9" s="13" t="n">
        <f aca="false">Debt!AS112+Debt!AS110+Debt!AS104-Debt!AS103+Tax!AS13</f>
        <v>3.23625337109209</v>
      </c>
      <c r="AT9" s="13" t="n">
        <f aca="false">Debt!AT112+Debt!AT110+Debt!AT104-Debt!AT103+Tax!AT13</f>
        <v>2.25949443206706</v>
      </c>
      <c r="AU9" s="13" t="n">
        <f aca="false">Debt!AU112+Debt!AU110+Debt!AU104-Debt!AU103+Tax!AU13</f>
        <v>1.23600535181209</v>
      </c>
      <c r="AV9" s="13" t="n">
        <f aca="false">Debt!AV112+Debt!AV110+Debt!AV104-Debt!AV103+Tax!AV13</f>
        <v>2.68342762930963E-014</v>
      </c>
      <c r="AW9" s="13" t="n">
        <f aca="false">Debt!AW112+Debt!AW110+Debt!AW104-Debt!AW103+Tax!AW13</f>
        <v>2.68342762930963E-014</v>
      </c>
      <c r="AX9" s="13" t="n">
        <f aca="false">Debt!AX112+Debt!AX110+Debt!AX104-Debt!AX103+Tax!AX13</f>
        <v>2.68342762930963E-014</v>
      </c>
      <c r="AY9" s="13" t="n">
        <f aca="false">Debt!AY112+Debt!AY110+Debt!AY104-Debt!AY103+Tax!AY13</f>
        <v>2.68342762930963E-014</v>
      </c>
      <c r="AZ9" s="13" t="n">
        <f aca="false">Debt!AZ112+Debt!AZ110+Debt!AZ104-Debt!AZ103+Tax!AZ13</f>
        <v>2.68342762930963E-014</v>
      </c>
      <c r="BA9" s="13" t="n">
        <f aca="false">Debt!BA112+Debt!BA110+Debt!BA104-Debt!BA103+Tax!BA13</f>
        <v>2.68342762930963E-014</v>
      </c>
      <c r="BB9" s="13" t="n">
        <f aca="false">Debt!BB112+Debt!BB110+Debt!BB104-Debt!BB103+Tax!BB13</f>
        <v>2.68342762930963E-014</v>
      </c>
      <c r="BC9" s="13" t="n">
        <f aca="false">Debt!BC112+Debt!BC110+Debt!BC104-Debt!BC103+Tax!BC13</f>
        <v>2.68342762930963E-014</v>
      </c>
      <c r="BD9" s="13" t="n">
        <f aca="false">Debt!BD112+Debt!BD110+Debt!BD104-Debt!BD103+Tax!BD13</f>
        <v>2.68342762930963E-014</v>
      </c>
      <c r="BE9" s="13" t="n">
        <f aca="false">Debt!BE112+Debt!BE110+Debt!BE104-Debt!BE103+Tax!BE13</f>
        <v>2.68342762930963E-014</v>
      </c>
      <c r="BF9" s="13" t="n">
        <f aca="false">Debt!BF112+Debt!BF110+Debt!BF104-Debt!BF103+Tax!BF13</f>
        <v>2.68342762930963E-014</v>
      </c>
      <c r="BG9" s="13" t="n">
        <f aca="false">Debt!BG112+Debt!BG110+Debt!BG104-Debt!BG103+Tax!BG13</f>
        <v>2.68342762930963E-014</v>
      </c>
      <c r="BH9" s="13" t="n">
        <f aca="false">Debt!BH112+Debt!BH110+Debt!BH104-Debt!BH103+Tax!BH13</f>
        <v>2.68342762930963E-014</v>
      </c>
      <c r="BI9" s="13" t="n">
        <f aca="false">Debt!BI112+Debt!BI110+Debt!BI104-Debt!BI103+Tax!BI13</f>
        <v>2.68342762930963E-014</v>
      </c>
      <c r="BJ9" s="13" t="n">
        <f aca="false">Debt!BJ112+Debt!BJ110+Debt!BJ104-Debt!BJ103+Tax!BJ13</f>
        <v>2.68342762930963E-014</v>
      </c>
      <c r="BK9" s="13" t="n">
        <f aca="false">Debt!BK112+Debt!BK110+Debt!BK104-Debt!BK103+Tax!BK13</f>
        <v>2.68342762930963E-014</v>
      </c>
      <c r="BL9" s="13" t="n">
        <f aca="false">Debt!BL112+Debt!BL110+Debt!BL104-Debt!BL103+Tax!BL13</f>
        <v>2.68342762930963E-014</v>
      </c>
      <c r="BM9" s="13" t="n">
        <f aca="false">Debt!BM112+Debt!BM110+Debt!BM104-Debt!BM103+Tax!BM13</f>
        <v>2.68342762930963E-014</v>
      </c>
      <c r="BN9" s="13" t="n">
        <f aca="false">Debt!BN112+Debt!BN110+Debt!BN104-Debt!BN103+Tax!BN13</f>
        <v>2.68342762930963E-014</v>
      </c>
    </row>
    <row r="10" customFormat="false" ht="15" hidden="false" customHeight="false" outlineLevel="0" collapsed="false">
      <c r="D10" s="0" t="s">
        <v>870</v>
      </c>
      <c r="E10" s="0" t="s">
        <v>149</v>
      </c>
      <c r="J10" s="13" t="n">
        <f aca="false">Funding!$F$76-SUM(Tax!J$10:J$10)</f>
        <v>839.637073278006</v>
      </c>
      <c r="K10" s="13" t="n">
        <f aca="false">Funding!$F$76-SUM(Tax!$J$10:K$10)</f>
        <v>839.637073278006</v>
      </c>
      <c r="L10" s="13" t="n">
        <f aca="false">Funding!$F$76-SUM(Tax!$J$10:L$10)</f>
        <v>839.637073278006</v>
      </c>
      <c r="M10" s="13" t="n">
        <f aca="false">Funding!$F$76-SUM(Tax!$J$10:M$10)</f>
        <v>839.637073278006</v>
      </c>
      <c r="N10" s="13" t="n">
        <f aca="false">Funding!$F$76-SUM(Tax!$J$10:N$10)</f>
        <v>839.637073278006</v>
      </c>
      <c r="O10" s="13" t="n">
        <f aca="false">Funding!$F$76-SUM(Tax!$J$10:O$10)</f>
        <v>839.637073278006</v>
      </c>
      <c r="P10" s="13" t="n">
        <f aca="false">Funding!$F$76-SUM(Tax!$J$10:P$10)</f>
        <v>835.858706448255</v>
      </c>
      <c r="Q10" s="13" t="n">
        <f aca="false">Funding!$F$76-SUM(Tax!$J$10:Q$10)</f>
        <v>813.188505469748</v>
      </c>
      <c r="R10" s="13" t="n">
        <f aca="false">Funding!$F$76-SUM(Tax!$J$10:R$10)</f>
        <v>790.518304491242</v>
      </c>
      <c r="S10" s="13" t="n">
        <f aca="false">Funding!$F$76-SUM(Tax!$J$10:S$10)</f>
        <v>767.848103512736</v>
      </c>
      <c r="T10" s="13" t="n">
        <f aca="false">Funding!$F$76-SUM(Tax!$J$10:T$10)</f>
        <v>745.17790253423</v>
      </c>
      <c r="U10" s="13" t="n">
        <f aca="false">Funding!$F$76-SUM(Tax!$J$10:U$10)</f>
        <v>722.507701555724</v>
      </c>
      <c r="V10" s="13" t="n">
        <f aca="false">Funding!$F$76-SUM(Tax!$J$10:V$10)</f>
        <v>699.837500577218</v>
      </c>
      <c r="W10" s="13" t="n">
        <f aca="false">Funding!$F$76-SUM(Tax!$J$10:W$10)</f>
        <v>677.167299598712</v>
      </c>
      <c r="X10" s="13" t="n">
        <f aca="false">Funding!$F$76-SUM(Tax!$J$10:X$10)</f>
        <v>654.497098620205</v>
      </c>
      <c r="Y10" s="13" t="n">
        <f aca="false">Funding!$F$76-SUM(Tax!$J$10:Y$10)</f>
        <v>631.826897641699</v>
      </c>
      <c r="Z10" s="13" t="n">
        <f aca="false">Funding!$F$76-SUM(Tax!$J$10:Z$10)</f>
        <v>609.576515199832</v>
      </c>
      <c r="AA10" s="13" t="n">
        <f aca="false">Funding!$F$76-SUM(Tax!$J$10:AA$10)</f>
        <v>589.42522544116</v>
      </c>
      <c r="AB10" s="13" t="n">
        <f aca="false">Funding!$F$76-SUM(Tax!$J$10:AB$10)</f>
        <v>569.273935682488</v>
      </c>
      <c r="AC10" s="13" t="n">
        <f aca="false">Funding!$F$76-SUM(Tax!$J$10:AC$10)</f>
        <v>549.122645923816</v>
      </c>
      <c r="AD10" s="13" t="n">
        <f aca="false">Funding!$F$76-SUM(Tax!$J$10:AD$10)</f>
        <v>528.971356165144</v>
      </c>
      <c r="AE10" s="13" t="n">
        <f aca="false">Funding!$F$76-SUM(Tax!$J$10:AE$10)</f>
        <v>508.820066406471</v>
      </c>
      <c r="AF10" s="13" t="n">
        <f aca="false">Funding!$F$76-SUM(Tax!$J$10:AF$10)</f>
        <v>488.668776647799</v>
      </c>
      <c r="AG10" s="13" t="n">
        <f aca="false">Funding!$F$76-SUM(Tax!$J$10:AG$10)</f>
        <v>468.517486889127</v>
      </c>
      <c r="AH10" s="13" t="n">
        <f aca="false">Funding!$F$76-SUM(Tax!$J$10:AH$10)</f>
        <v>448.366197130455</v>
      </c>
      <c r="AI10" s="13" t="n">
        <f aca="false">Funding!$F$76-SUM(Tax!$J$10:AI$10)</f>
        <v>428.214907371783</v>
      </c>
      <c r="AJ10" s="13" t="n">
        <f aca="false">Funding!$F$76-SUM(Tax!$J$10:AJ$10)</f>
        <v>408.063617613111</v>
      </c>
      <c r="AK10" s="13" t="n">
        <f aca="false">Funding!$F$76-SUM(Tax!$J$10:AK$10)</f>
        <v>387.912327854439</v>
      </c>
      <c r="AL10" s="13" t="n">
        <f aca="false">Funding!$F$76-SUM(Tax!$J$10:AL$10)</f>
        <v>367.761038095767</v>
      </c>
      <c r="AM10" s="13" t="n">
        <f aca="false">Funding!$F$76-SUM(Tax!$J$10:AM$10)</f>
        <v>347.609748337094</v>
      </c>
      <c r="AN10" s="13" t="n">
        <f aca="false">Funding!$F$76-SUM(Tax!$J$10:AN$10)</f>
        <v>327.458458578422</v>
      </c>
      <c r="AO10" s="13" t="n">
        <f aca="false">Funding!$F$76-SUM(Tax!$J$10:AO$10)</f>
        <v>307.30716881975</v>
      </c>
      <c r="AP10" s="13" t="n">
        <f aca="false">Funding!$F$76-SUM(Tax!$J$10:AP$10)</f>
        <v>287.155879061078</v>
      </c>
      <c r="AQ10" s="13" t="n">
        <f aca="false">Funding!$F$76-SUM(Tax!$J$10:AQ$10)</f>
        <v>267.004589302406</v>
      </c>
      <c r="AR10" s="13" t="n">
        <f aca="false">Funding!$F$76-SUM(Tax!$J$10:AR$10)</f>
        <v>246.853299543734</v>
      </c>
      <c r="AS10" s="13" t="n">
        <f aca="false">Funding!$F$76-SUM(Tax!$J$10:AS$10)</f>
        <v>226.702009785062</v>
      </c>
      <c r="AT10" s="13" t="n">
        <f aca="false">Funding!$F$76-SUM(Tax!$J$10:AT$10)</f>
        <v>206.55072002639</v>
      </c>
      <c r="AU10" s="13" t="n">
        <f aca="false">Funding!$F$76-SUM(Tax!$J$10:AU$10)</f>
        <v>186.399430267717</v>
      </c>
      <c r="AV10" s="13" t="n">
        <f aca="false">Funding!$F$76-SUM(Tax!$J$10:AV$10)</f>
        <v>166.248140509045</v>
      </c>
      <c r="AW10" s="13" t="n">
        <f aca="false">Funding!$F$76-SUM(Tax!$J$10:AW$10)</f>
        <v>146.096850750373</v>
      </c>
      <c r="AX10" s="13" t="n">
        <f aca="false">Funding!$F$76-SUM(Tax!$J$10:AX$10)</f>
        <v>125.945560991701</v>
      </c>
      <c r="AY10" s="13" t="n">
        <f aca="false">Funding!$F$76-SUM(Tax!$J$10:AY$10)</f>
        <v>105.794271233029</v>
      </c>
      <c r="AZ10" s="13" t="n">
        <f aca="false">Funding!$F$76-SUM(Tax!$J$10:AZ$10)</f>
        <v>85.6429814743567</v>
      </c>
      <c r="BA10" s="13" t="n">
        <f aca="false">Funding!$F$76-SUM(Tax!$J$10:BA$10)</f>
        <v>65.4916917156846</v>
      </c>
      <c r="BB10" s="13" t="n">
        <f aca="false">Funding!$F$76-SUM(Tax!$J$10:BB$10)</f>
        <v>45.3404019570124</v>
      </c>
      <c r="BC10" s="13" t="n">
        <f aca="false">Funding!$F$76-SUM(Tax!$J$10:BC$10)</f>
        <v>25.1891121983404</v>
      </c>
      <c r="BD10" s="13" t="n">
        <f aca="false">Funding!$F$76-SUM(Tax!$J$10:BD$10)</f>
        <v>8.25643122056715</v>
      </c>
      <c r="BE10" s="13" t="n">
        <f aca="false">Funding!$F$76-SUM(Tax!$J$10:BE$10)</f>
        <v>7.41679414728912</v>
      </c>
      <c r="BF10" s="13" t="n">
        <f aca="false">Funding!$F$76-SUM(Tax!$J$10:BF$10)</f>
        <v>6.5771570740111</v>
      </c>
      <c r="BG10" s="13" t="n">
        <f aca="false">Funding!$F$76-SUM(Tax!$J$10:BG$10)</f>
        <v>5.73752000073307</v>
      </c>
      <c r="BH10" s="13" t="n">
        <f aca="false">Funding!$F$76-SUM(Tax!$J$10:BH$10)</f>
        <v>4.89788292745504</v>
      </c>
      <c r="BI10" s="13" t="n">
        <f aca="false">Funding!$F$76-SUM(Tax!$J$10:BI$10)</f>
        <v>4.05824585417713</v>
      </c>
      <c r="BJ10" s="13" t="n">
        <f aca="false">Funding!$F$76-SUM(Tax!$J$10:BJ$10)</f>
        <v>3.2186087808991</v>
      </c>
      <c r="BK10" s="13" t="n">
        <f aca="false">Funding!$F$76-SUM(Tax!$J$10:BK$10)</f>
        <v>2.37897170762108</v>
      </c>
      <c r="BL10" s="13" t="n">
        <f aca="false">Funding!$F$76-SUM(Tax!$J$10:BL$10)</f>
        <v>1.53933463434305</v>
      </c>
      <c r="BM10" s="13" t="n">
        <f aca="false">Funding!$F$76-SUM(Tax!$J$10:BM$10)</f>
        <v>0.699697561065023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871</v>
      </c>
      <c r="E11" s="0" t="s">
        <v>149</v>
      </c>
      <c r="J11" s="13" t="n">
        <f aca="false">Funding!$F$76-SUM(J$8:J$8)</f>
        <v>839.637073278006</v>
      </c>
      <c r="K11" s="13" t="n">
        <f aca="false">Funding!$F$76-SUM($J$8:K$8)</f>
        <v>839.637073278006</v>
      </c>
      <c r="L11" s="13" t="n">
        <f aca="false">Funding!$F$76-SUM($J$8:L$8)</f>
        <v>839.637073278006</v>
      </c>
      <c r="M11" s="13" t="n">
        <f aca="false">Funding!$F$76-SUM($J$8:M$8)</f>
        <v>839.637073278006</v>
      </c>
      <c r="N11" s="13" t="n">
        <f aca="false">Funding!$F$76-SUM($J$8:N$8)</f>
        <v>839.637073278006</v>
      </c>
      <c r="O11" s="13" t="n">
        <f aca="false">Funding!$F$76-SUM($J$8:O$8)</f>
        <v>839.637073278006</v>
      </c>
      <c r="P11" s="13" t="n">
        <f aca="false">Funding!$F$76-SUM($J$8:P$8)</f>
        <v>836.838283033746</v>
      </c>
      <c r="Q11" s="13" t="n">
        <f aca="false">Funding!$F$76-SUM($J$8:Q$8)</f>
        <v>820.045541568185</v>
      </c>
      <c r="R11" s="13" t="n">
        <f aca="false">Funding!$F$76-SUM($J$8:R$8)</f>
        <v>803.252800102625</v>
      </c>
      <c r="S11" s="13" t="n">
        <f aca="false">Funding!$F$76-SUM($J$8:S$8)</f>
        <v>786.460058637065</v>
      </c>
      <c r="T11" s="13" t="n">
        <f aca="false">Funding!$F$76-SUM($J$8:T$8)</f>
        <v>769.667317171505</v>
      </c>
      <c r="U11" s="13" t="n">
        <f aca="false">Funding!$F$76-SUM($J$8:U$8)</f>
        <v>752.874575705945</v>
      </c>
      <c r="V11" s="13" t="n">
        <f aca="false">Funding!$F$76-SUM($J$8:V$8)</f>
        <v>736.081834240385</v>
      </c>
      <c r="W11" s="13" t="n">
        <f aca="false">Funding!$F$76-SUM($J$8:W$8)</f>
        <v>719.289092774825</v>
      </c>
      <c r="X11" s="13" t="n">
        <f aca="false">Funding!$F$76-SUM($J$8:X$8)</f>
        <v>702.496351309265</v>
      </c>
      <c r="Y11" s="13" t="n">
        <f aca="false">Funding!$F$76-SUM($J$8:Y$8)</f>
        <v>685.703609843705</v>
      </c>
      <c r="Z11" s="13" t="n">
        <f aca="false">Funding!$F$76-SUM($J$8:Z$8)</f>
        <v>668.910868378144</v>
      </c>
      <c r="AA11" s="13" t="n">
        <f aca="false">Funding!$F$76-SUM($J$8:AA$8)</f>
        <v>652.118126912584</v>
      </c>
      <c r="AB11" s="13" t="n">
        <f aca="false">Funding!$F$76-SUM($J$8:AB$8)</f>
        <v>635.325385447024</v>
      </c>
      <c r="AC11" s="13" t="n">
        <f aca="false">Funding!$F$76-SUM($J$8:AC$8)</f>
        <v>618.532643981464</v>
      </c>
      <c r="AD11" s="13" t="n">
        <f aca="false">Funding!$F$76-SUM($J$8:AD$8)</f>
        <v>601.739902515904</v>
      </c>
      <c r="AE11" s="13" t="n">
        <f aca="false">Funding!$F$76-SUM($J$8:AE$8)</f>
        <v>584.947161050344</v>
      </c>
      <c r="AF11" s="13" t="n">
        <f aca="false">Funding!$F$76-SUM($J$8:AF$8)</f>
        <v>568.154419584784</v>
      </c>
      <c r="AG11" s="13" t="n">
        <f aca="false">Funding!$F$76-SUM($J$8:AG$8)</f>
        <v>551.361678119224</v>
      </c>
      <c r="AH11" s="13" t="n">
        <f aca="false">Funding!$F$76-SUM($J$8:AH$8)</f>
        <v>534.568936653664</v>
      </c>
      <c r="AI11" s="13" t="n">
        <f aca="false">Funding!$F$76-SUM($J$8:AI$8)</f>
        <v>517.776195188103</v>
      </c>
      <c r="AJ11" s="13" t="n">
        <f aca="false">Funding!$F$76-SUM($J$8:AJ$8)</f>
        <v>500.983453722543</v>
      </c>
      <c r="AK11" s="13" t="n">
        <f aca="false">Funding!$F$76-SUM($J$8:AK$8)</f>
        <v>484.190712256983</v>
      </c>
      <c r="AL11" s="13" t="n">
        <f aca="false">Funding!$F$76-SUM($J$8:AL$8)</f>
        <v>467.397970791423</v>
      </c>
      <c r="AM11" s="13" t="n">
        <f aca="false">Funding!$F$76-SUM($J$8:AM$8)</f>
        <v>450.605229325863</v>
      </c>
      <c r="AN11" s="13" t="n">
        <f aca="false">Funding!$F$76-SUM($J$8:AN$8)</f>
        <v>433.812487860303</v>
      </c>
      <c r="AO11" s="13" t="n">
        <f aca="false">Funding!$F$76-SUM($J$8:AO$8)</f>
        <v>417.019746394743</v>
      </c>
      <c r="AP11" s="13" t="n">
        <f aca="false">Funding!$F$76-SUM($J$8:AP$8)</f>
        <v>400.227004929183</v>
      </c>
      <c r="AQ11" s="13" t="n">
        <f aca="false">Funding!$F$76-SUM($J$8:AQ$8)</f>
        <v>383.434263463623</v>
      </c>
      <c r="AR11" s="13" t="n">
        <f aca="false">Funding!$F$76-SUM($J$8:AR$8)</f>
        <v>366.641521998062</v>
      </c>
      <c r="AS11" s="13" t="n">
        <f aca="false">Funding!$F$76-SUM($J$8:AS$8)</f>
        <v>349.848780532502</v>
      </c>
      <c r="AT11" s="13" t="n">
        <f aca="false">Funding!$F$76-SUM($J$8:AT$8)</f>
        <v>333.056039066942</v>
      </c>
      <c r="AU11" s="13" t="n">
        <f aca="false">Funding!$F$76-SUM($J$8:AU$8)</f>
        <v>316.263297601382</v>
      </c>
      <c r="AV11" s="13" t="n">
        <f aca="false">Funding!$F$76-SUM($J$8:AV$8)</f>
        <v>299.470556135822</v>
      </c>
      <c r="AW11" s="13" t="n">
        <f aca="false">Funding!$F$76-SUM($J$8:AW$8)</f>
        <v>282.677814670262</v>
      </c>
      <c r="AX11" s="13" t="n">
        <f aca="false">Funding!$F$76-SUM($J$8:AX$8)</f>
        <v>265.885073204702</v>
      </c>
      <c r="AY11" s="13" t="n">
        <f aca="false">Funding!$F$76-SUM($J$8:AY$8)</f>
        <v>249.092331739142</v>
      </c>
      <c r="AZ11" s="13" t="n">
        <f aca="false">Funding!$F$76-SUM($J$8:AZ$8)</f>
        <v>232.299590273582</v>
      </c>
      <c r="BA11" s="13" t="n">
        <f aca="false">Funding!$F$76-SUM($J$8:BA$8)</f>
        <v>215.506848808021</v>
      </c>
      <c r="BB11" s="13" t="n">
        <f aca="false">Funding!$F$76-SUM($J$8:BB$8)</f>
        <v>198.714107342461</v>
      </c>
      <c r="BC11" s="13" t="n">
        <f aca="false">Funding!$F$76-SUM($J$8:BC$8)</f>
        <v>181.921365876901</v>
      </c>
      <c r="BD11" s="13" t="n">
        <f aca="false">Funding!$F$76-SUM($J$8:BD$8)</f>
        <v>165.128624411341</v>
      </c>
      <c r="BE11" s="13" t="n">
        <f aca="false">Funding!$F$76-SUM($J$8:BE$8)</f>
        <v>148.335882945781</v>
      </c>
      <c r="BF11" s="13" t="n">
        <f aca="false">Funding!$F$76-SUM($J$8:BF$8)</f>
        <v>131.543141480221</v>
      </c>
      <c r="BG11" s="13" t="n">
        <f aca="false">Funding!$F$76-SUM($J$8:BG$8)</f>
        <v>114.750400014661</v>
      </c>
      <c r="BH11" s="13" t="n">
        <f aca="false">Funding!$F$76-SUM($J$8:BH$8)</f>
        <v>97.9576585491006</v>
      </c>
      <c r="BI11" s="13" t="n">
        <f aca="false">Funding!$F$76-SUM($J$8:BI$8)</f>
        <v>81.1649170835406</v>
      </c>
      <c r="BJ11" s="13" t="n">
        <f aca="false">Funding!$F$76-SUM($J$8:BJ$8)</f>
        <v>64.3721756179804</v>
      </c>
      <c r="BK11" s="13" t="n">
        <f aca="false">Funding!$F$76-SUM($J$8:BK$8)</f>
        <v>47.5794341524203</v>
      </c>
      <c r="BL11" s="13" t="n">
        <f aca="false">Funding!$F$76-SUM($J$8:BL$8)</f>
        <v>30.7866926868602</v>
      </c>
      <c r="BM11" s="13" t="n">
        <f aca="false">Funding!$F$76-SUM($J$8:BM$8)</f>
        <v>13.9939512213001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872</v>
      </c>
      <c r="E12" s="0" t="s">
        <v>149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0</v>
      </c>
      <c r="P12" s="13" t="n">
        <f aca="false">IF(Time!P20&gt;=Time!$F$12,Inputs!$F$184/100*(P11-P10-Tax!P21),0)</f>
        <v>-0.839637073277998</v>
      </c>
      <c r="Q12" s="13" t="n">
        <f aca="false">IF(Time!Q20&gt;=Time!$F$12,Inputs!$F$184/100*(Q11-Q10-Tax!Q21),0)</f>
        <v>-5.87745951294605</v>
      </c>
      <c r="R12" s="13" t="n">
        <f aca="false">IF(Time!R20&gt;=Time!$F$12,Inputs!$F$184/100*(R11-R10-Tax!R21),0)</f>
        <v>-10.9152819526141</v>
      </c>
      <c r="S12" s="13" t="n">
        <f aca="false">IF(Time!S20&gt;=Time!$F$12,Inputs!$F$184/100*(S11-S10-Tax!S21),0)</f>
        <v>-15.9531043922821</v>
      </c>
      <c r="T12" s="13" t="n">
        <f aca="false">IF(Time!T20&gt;=Time!$F$12,Inputs!$F$184/100*(T11-T10-Tax!T21),0)</f>
        <v>-20.9909268319501</v>
      </c>
      <c r="U12" s="13" t="n">
        <f aca="false">IF(Time!U20&gt;=Time!$F$12,Inputs!$F$184/100*(U11-U10-Tax!U21),0)</f>
        <v>-26.0287492716182</v>
      </c>
      <c r="V12" s="13" t="n">
        <f aca="false">IF(Time!V20&gt;=Time!$F$12,Inputs!$F$184/100*(V11-V10-Tax!V21),0)</f>
        <v>-31.0665717112862</v>
      </c>
      <c r="W12" s="13" t="n">
        <f aca="false">IF(Time!W20&gt;=Time!$F$12,Inputs!$F$184/100*(W11-W10-Tax!W21),0)</f>
        <v>-36.1043941509542</v>
      </c>
      <c r="X12" s="13" t="n">
        <f aca="false">IF(Time!X20&gt;=Time!$F$12,Inputs!$F$184/100*(X11-X10-Tax!X21),0)</f>
        <v>-41.1422165906223</v>
      </c>
      <c r="Y12" s="13" t="n">
        <f aca="false">IF(Time!Y20&gt;=Time!$F$12,Inputs!$F$184/100*(Y11-Y10-Tax!Y21),0)</f>
        <v>-46.1800390302903</v>
      </c>
      <c r="Z12" s="13" t="n">
        <f aca="false">IF(Time!Z20&gt;=Time!$F$12,Inputs!$F$184/100*(Z11-Z10-Tax!Z21),0)</f>
        <v>-49.9390193581365</v>
      </c>
      <c r="AA12" s="13" t="n">
        <f aca="false">IF(Time!AA20&gt;=Time!$F$12,Inputs!$F$184/100*(AA11-AA10-Tax!AA21),0)</f>
        <v>-46.8898402485924</v>
      </c>
      <c r="AB12" s="13" t="n">
        <f aca="false">IF(Time!AB20&gt;=Time!$F$12,Inputs!$F$184/100*(AB11-AB10-Tax!AB21),0)</f>
        <v>-43.5880108636972</v>
      </c>
      <c r="AC12" s="13" t="n">
        <f aca="false">IF(Time!AC20&gt;=Time!$F$12,Inputs!$F$184/100*(AC11-AC10-Tax!AC21),0)</f>
        <v>-39.9283284637091</v>
      </c>
      <c r="AD12" s="13" t="n">
        <f aca="false">IF(Time!AD20&gt;=Time!$F$12,Inputs!$F$184/100*(AD11-AD10-Tax!AD21),0)</f>
        <v>-35.9544129736723</v>
      </c>
      <c r="AE12" s="13" t="n">
        <f aca="false">IF(Time!AE20&gt;=Time!$F$12,Inputs!$F$184/100*(AE11-AE10-Tax!AE21),0)</f>
        <v>-34.9468484857386</v>
      </c>
      <c r="AF12" s="13" t="n">
        <f aca="false">IF(Time!AF20&gt;=Time!$F$12,Inputs!$F$184/100*(AF11-AF10-Tax!AF21),0)</f>
        <v>-31.1365536579397</v>
      </c>
      <c r="AG12" s="13" t="n">
        <f aca="false">IF(Time!AG20&gt;=Time!$F$12,Inputs!$F$184/100*(AG11-AG10-Tax!AG21),0)</f>
        <v>-26.0105310441676</v>
      </c>
      <c r="AH12" s="13" t="n">
        <f aca="false">IF(Time!AH20&gt;=Time!$F$12,Inputs!$F$184/100*(AH11-AH10-Tax!AH21),0)</f>
        <v>-20.5201220872469</v>
      </c>
      <c r="AI12" s="13" t="n">
        <f aca="false">IF(Time!AI20&gt;=Time!$F$12,Inputs!$F$184/100*(AI11-AI10-Tax!AI21),0)</f>
        <v>-14.5429416104103</v>
      </c>
      <c r="AJ12" s="13" t="n">
        <f aca="false">IF(Time!AJ20&gt;=Time!$F$12,Inputs!$F$184/100*(AJ11-AJ10-Tax!AJ21),0)</f>
        <v>-8.16313880887561</v>
      </c>
      <c r="AK12" s="13" t="n">
        <f aca="false">IF(Time!AK20&gt;=Time!$F$12,Inputs!$F$184/100*(AK11-AK10-Tax!AK21),0)</f>
        <v>-1.30955161650158</v>
      </c>
      <c r="AL12" s="13" t="n">
        <f aca="false">IF(Time!AL20&gt;=Time!$F$12,Inputs!$F$184/100*(AL11-AL10-Tax!AL21),0)</f>
        <v>6.01571898798622</v>
      </c>
      <c r="AM12" s="13" t="n">
        <f aca="false">IF(Time!AM20&gt;=Time!$F$12,Inputs!$F$184/100*(AM11-AM10-Tax!AM21),0)</f>
        <v>12.9120426956556</v>
      </c>
      <c r="AN12" s="13" t="n">
        <f aca="false">IF(Time!AN20&gt;=Time!$F$12,Inputs!$F$184/100*(AN11-AN10-Tax!AN21),0)</f>
        <v>21.3085535349995</v>
      </c>
      <c r="AO12" s="13" t="n">
        <f aca="false">IF(Time!AO20&gt;=Time!$F$12,Inputs!$F$184/100*(AO11-AO10-Tax!AO21),0)</f>
        <v>30.2425293836979</v>
      </c>
      <c r="AP12" s="13" t="n">
        <f aca="false">IF(Time!AP20&gt;=Time!$F$12,Inputs!$F$184/100*(AP11-AP10-Tax!AP21),0)</f>
        <v>33.9213377604314</v>
      </c>
      <c r="AQ12" s="13" t="n">
        <f aca="false">IF(Time!AQ20&gt;=Time!$F$12,Inputs!$F$184/100*(AQ11-AQ10-Tax!AQ21),0)</f>
        <v>34.928902248365</v>
      </c>
      <c r="AR12" s="13" t="n">
        <f aca="false">IF(Time!AR20&gt;=Time!$F$12,Inputs!$F$184/100*(AR11-AR10-Tax!AR21),0)</f>
        <v>35.9364667362986</v>
      </c>
      <c r="AS12" s="13" t="n">
        <f aca="false">IF(Time!AS20&gt;=Time!$F$12,Inputs!$F$184/100*(AS11-AS10-Tax!AS21),0)</f>
        <v>36.9440312242322</v>
      </c>
      <c r="AT12" s="13" t="n">
        <f aca="false">IF(Time!AT20&gt;=Time!$F$12,Inputs!$F$184/100*(AT11-AT10-Tax!AT21),0)</f>
        <v>37.9515957121658</v>
      </c>
      <c r="AU12" s="13" t="n">
        <f aca="false">IF(Time!AU20&gt;=Time!$F$12,Inputs!$F$184/100*(AU11-AU10-Tax!AU21),0)</f>
        <v>38.9591602000994</v>
      </c>
      <c r="AV12" s="13" t="n">
        <f aca="false">IF(Time!AV20&gt;=Time!$F$12,Inputs!$F$184/100*(AV11-AV10-Tax!AV21),0)</f>
        <v>39.966724688033</v>
      </c>
      <c r="AW12" s="13" t="n">
        <f aca="false">IF(Time!AW20&gt;=Time!$F$12,Inputs!$F$184/100*(AW11-AW10-Tax!AW21),0)</f>
        <v>40.9742891759667</v>
      </c>
      <c r="AX12" s="13" t="n">
        <f aca="false">IF(Time!AX20&gt;=Time!$F$12,Inputs!$F$184/100*(AX11-AX10-Tax!AX21),0)</f>
        <v>41.9818536639002</v>
      </c>
      <c r="AY12" s="13" t="n">
        <f aca="false">IF(Time!AY20&gt;=Time!$F$12,Inputs!$F$184/100*(AY11-AY10-Tax!AY21),0)</f>
        <v>42.9894181518339</v>
      </c>
      <c r="AZ12" s="13" t="n">
        <f aca="false">IF(Time!AZ20&gt;=Time!$F$12,Inputs!$F$184/100*(AZ11-AZ10-Tax!AZ21),0)</f>
        <v>43.9969826397675</v>
      </c>
      <c r="BA12" s="13" t="n">
        <f aca="false">IF(Time!BA20&gt;=Time!$F$12,Inputs!$F$184/100*(BA11-BA10-Tax!BA21),0)</f>
        <v>45.0045471277011</v>
      </c>
      <c r="BB12" s="13" t="n">
        <f aca="false">IF(Time!BB20&gt;=Time!$F$12,Inputs!$F$184/100*(BB11-BB10-Tax!BB21),0)</f>
        <v>46.0121116156346</v>
      </c>
      <c r="BC12" s="13" t="n">
        <f aca="false">IF(Time!BC20&gt;=Time!$F$12,Inputs!$F$184/100*(BC11-BC10-Tax!BC21),0)</f>
        <v>47.0196761035682</v>
      </c>
      <c r="BD12" s="13" t="n">
        <f aca="false">IF(Time!BD20&gt;=Time!$F$12,Inputs!$F$184/100*(BD11-BD10-Tax!BD21),0)</f>
        <v>47.0616579572322</v>
      </c>
      <c r="BE12" s="13" t="n">
        <f aca="false">IF(Time!BE20&gt;=Time!$F$12,Inputs!$F$184/100*(BE11-BE10-Tax!BE21),0)</f>
        <v>42.2757266395476</v>
      </c>
      <c r="BF12" s="13" t="n">
        <f aca="false">IF(Time!BF20&gt;=Time!$F$12,Inputs!$F$184/100*(BF11-BF10-Tax!BF21),0)</f>
        <v>37.4897953218629</v>
      </c>
      <c r="BG12" s="13" t="n">
        <f aca="false">IF(Time!BG20&gt;=Time!$F$12,Inputs!$F$184/100*(BG11-BG10-Tax!BG21),0)</f>
        <v>32.7038640041783</v>
      </c>
      <c r="BH12" s="13" t="n">
        <f aca="false">IF(Time!BH20&gt;=Time!$F$12,Inputs!$F$184/100*(BH11-BH10-Tax!BH21),0)</f>
        <v>27.9179326864937</v>
      </c>
      <c r="BI12" s="13" t="n">
        <f aca="false">IF(Time!BI20&gt;=Time!$F$12,Inputs!$F$184/100*(BI11-BI10-Tax!BI21),0)</f>
        <v>23.132001368809</v>
      </c>
      <c r="BJ12" s="13" t="n">
        <f aca="false">IF(Time!BJ20&gt;=Time!$F$12,Inputs!$F$184/100*(BJ11-BJ10-Tax!BJ21),0)</f>
        <v>18.3460700511244</v>
      </c>
      <c r="BK12" s="13" t="n">
        <f aca="false">IF(Time!BK20&gt;=Time!$F$12,Inputs!$F$184/100*(BK11-BK10-Tax!BK21),0)</f>
        <v>13.5601387334398</v>
      </c>
      <c r="BL12" s="13" t="n">
        <f aca="false">IF(Time!BL20&gt;=Time!$F$12,Inputs!$F$184/100*(BL11-BL10-Tax!BL21),0)</f>
        <v>8.77420741575514</v>
      </c>
      <c r="BM12" s="13" t="n">
        <f aca="false">IF(Time!BM20&gt;=Time!$F$12,Inputs!$F$184/100*(BM11-BM10-Tax!BM21),0)</f>
        <v>3.98827609807053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873</v>
      </c>
      <c r="E13" s="0" t="s">
        <v>149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0</v>
      </c>
      <c r="P13" s="13" t="n">
        <f aca="false">P12-O12</f>
        <v>-0.839637073277998</v>
      </c>
      <c r="Q13" s="13" t="n">
        <f aca="false">Q12-P12</f>
        <v>-5.03782243966806</v>
      </c>
      <c r="R13" s="13" t="n">
        <f aca="false">R12-Q12</f>
        <v>-5.03782243966802</v>
      </c>
      <c r="S13" s="13" t="n">
        <f aca="false">S12-R12</f>
        <v>-5.03782243966802</v>
      </c>
      <c r="T13" s="13" t="n">
        <f aca="false">T12-S12</f>
        <v>-5.03782243966802</v>
      </c>
      <c r="U13" s="13" t="n">
        <f aca="false">U12-T12</f>
        <v>-5.03782243966806</v>
      </c>
      <c r="V13" s="13" t="n">
        <f aca="false">V12-U12</f>
        <v>-5.03782243966806</v>
      </c>
      <c r="W13" s="13" t="n">
        <f aca="false">W12-V12</f>
        <v>-5.03782243966799</v>
      </c>
      <c r="X13" s="13" t="n">
        <f aca="false">X12-W12</f>
        <v>-5.03782243966809</v>
      </c>
      <c r="Y13" s="13" t="n">
        <f aca="false">Y12-X12</f>
        <v>-5.03782243966799</v>
      </c>
      <c r="Z13" s="13" t="n">
        <f aca="false">Z12-Y12</f>
        <v>-3.75898032784621</v>
      </c>
      <c r="AA13" s="13" t="n">
        <f aca="false">AA12-Z12</f>
        <v>3.04917910954407</v>
      </c>
      <c r="AB13" s="13" t="n">
        <f aca="false">AB12-AA12</f>
        <v>3.30182938489526</v>
      </c>
      <c r="AC13" s="13" t="n">
        <f aca="false">AC12-AB12</f>
        <v>3.65968239998806</v>
      </c>
      <c r="AD13" s="13" t="n">
        <f aca="false">AD12-AC12</f>
        <v>3.97391549003687</v>
      </c>
      <c r="AE13" s="13" t="n">
        <f aca="false">AE12-AD12</f>
        <v>1.00756448793361</v>
      </c>
      <c r="AF13" s="13" t="n">
        <f aca="false">AF12-AE12</f>
        <v>3.81029482779889</v>
      </c>
      <c r="AG13" s="13" t="n">
        <f aca="false">AG12-AF12</f>
        <v>5.1260226137721</v>
      </c>
      <c r="AH13" s="13" t="n">
        <f aca="false">AH12-AG12</f>
        <v>5.49040895692072</v>
      </c>
      <c r="AI13" s="13" t="n">
        <f aca="false">AI12-AH12</f>
        <v>5.97718047683667</v>
      </c>
      <c r="AJ13" s="13" t="n">
        <f aca="false">AJ12-AI12</f>
        <v>6.37980280153464</v>
      </c>
      <c r="AK13" s="13" t="n">
        <f aca="false">AK12-AJ12</f>
        <v>6.85358719237403</v>
      </c>
      <c r="AL13" s="13" t="n">
        <f aca="false">AL12-AK12</f>
        <v>7.3252706044878</v>
      </c>
      <c r="AM13" s="13" t="n">
        <f aca="false">AM12-AL12</f>
        <v>6.89632370766937</v>
      </c>
      <c r="AN13" s="13" t="n">
        <f aca="false">AN12-AM12</f>
        <v>8.39651083934392</v>
      </c>
      <c r="AO13" s="13" t="n">
        <f aca="false">AO12-AN12</f>
        <v>8.93397584869836</v>
      </c>
      <c r="AP13" s="13" t="n">
        <f aca="false">AP12-AO12</f>
        <v>3.67880837673349</v>
      </c>
      <c r="AQ13" s="13" t="n">
        <f aca="false">AQ12-AP12</f>
        <v>1.00756448793364</v>
      </c>
      <c r="AR13" s="13" t="n">
        <f aca="false">AR12-AQ12</f>
        <v>1.0075644879336</v>
      </c>
      <c r="AS13" s="13" t="n">
        <f aca="false">AS12-AR12</f>
        <v>1.0075644879336</v>
      </c>
      <c r="AT13" s="13" t="n">
        <f aca="false">AT12-AS12</f>
        <v>1.00756448793359</v>
      </c>
      <c r="AU13" s="13" t="n">
        <f aca="false">AU12-AT12</f>
        <v>1.00756448793364</v>
      </c>
      <c r="AV13" s="13" t="n">
        <f aca="false">AV12-AU12</f>
        <v>1.0075644879336</v>
      </c>
      <c r="AW13" s="13" t="n">
        <f aca="false">AW12-AV12</f>
        <v>1.00756448793363</v>
      </c>
      <c r="AX13" s="13" t="n">
        <f aca="false">AX12-AW12</f>
        <v>1.00756448793356</v>
      </c>
      <c r="AY13" s="13" t="n">
        <f aca="false">AY12-AX12</f>
        <v>1.00756448793364</v>
      </c>
      <c r="AZ13" s="13" t="n">
        <f aca="false">AZ12-AY12</f>
        <v>1.0075644879336</v>
      </c>
      <c r="BA13" s="13" t="n">
        <f aca="false">BA12-AZ12</f>
        <v>1.0075644879336</v>
      </c>
      <c r="BB13" s="13" t="n">
        <f aca="false">BB12-BA12</f>
        <v>1.00756448793359</v>
      </c>
      <c r="BC13" s="13" t="n">
        <f aca="false">BC12-BB12</f>
        <v>1.0075644879336</v>
      </c>
      <c r="BD13" s="13" t="n">
        <f aca="false">BD12-BC12</f>
        <v>0.041981853663934</v>
      </c>
      <c r="BE13" s="13" t="n">
        <f aca="false">BE12-BD12</f>
        <v>-4.78593131768461</v>
      </c>
      <c r="BF13" s="13" t="n">
        <f aca="false">BF12-BE12</f>
        <v>-4.78593131768465</v>
      </c>
      <c r="BG13" s="13" t="n">
        <f aca="false">BG12-BF12</f>
        <v>-4.78593131768462</v>
      </c>
      <c r="BH13" s="13" t="n">
        <f aca="false">BH12-BG12</f>
        <v>-4.78593131768461</v>
      </c>
      <c r="BI13" s="13" t="n">
        <f aca="false">BI12-BH12</f>
        <v>-4.78593131768465</v>
      </c>
      <c r="BJ13" s="13" t="n">
        <f aca="false">BJ12-BI12</f>
        <v>-4.78593131768465</v>
      </c>
      <c r="BK13" s="13" t="n">
        <f aca="false">BK12-BJ12</f>
        <v>-4.78593131768462</v>
      </c>
      <c r="BL13" s="13" t="n">
        <f aca="false">BL12-BK12</f>
        <v>-4.78593131768462</v>
      </c>
      <c r="BM13" s="13" t="n">
        <f aca="false">BM12-BL12</f>
        <v>-4.78593131768462</v>
      </c>
      <c r="BN13" s="13" t="n">
        <f aca="false">BN12-BM12</f>
        <v>-3.98827609807053</v>
      </c>
    </row>
    <row r="14" customFormat="false" ht="15" hidden="false" customHeight="false" outlineLevel="0" collapsed="false">
      <c r="D14" s="0" t="s">
        <v>874</v>
      </c>
      <c r="E14" s="0" t="s">
        <v>149</v>
      </c>
      <c r="G14" s="13" t="n">
        <f aca="false">SUM(J14:BN14)</f>
        <v>883.756817311298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0</v>
      </c>
      <c r="P14" s="13" t="n">
        <f aca="false">Operations!P84-P8-P9-Tax!P27-P13</f>
        <v>4.60821163534267</v>
      </c>
      <c r="Q14" s="13" t="n">
        <f aca="false">Operations!Q84-Q8-Q9-Tax!Q27-Q13</f>
        <v>8.23791907827118</v>
      </c>
      <c r="R14" s="13" t="n">
        <f aca="false">Operations!R84-R8-R9-Tax!R27-R13</f>
        <v>4.34143414318781</v>
      </c>
      <c r="S14" s="13" t="n">
        <f aca="false">Operations!S84-S8-S9-Tax!S27-S13</f>
        <v>0.720387134529917</v>
      </c>
      <c r="T14" s="13" t="n">
        <f aca="false">Operations!T84-T8-T9-Tax!T27-T13</f>
        <v>0.215120028685009</v>
      </c>
      <c r="U14" s="13" t="n">
        <f aca="false">Operations!U84-U8-U9-Tax!U27-U13</f>
        <v>4.08606546021708</v>
      </c>
      <c r="V14" s="13" t="n">
        <f aca="false">Operations!V84-V8-V9-Tax!V27-V13</f>
        <v>6.02510264122618</v>
      </c>
      <c r="W14" s="13" t="n">
        <f aca="false">Operations!W84-W8-W9-Tax!W27-W13</f>
        <v>7.44329720196294</v>
      </c>
      <c r="X14" s="13" t="n">
        <f aca="false">Operations!X84-X8-X9-Tax!X27-X13</f>
        <v>11.5185005760645</v>
      </c>
      <c r="Y14" s="13" t="n">
        <f aca="false">Operations!Y84-Y8-Y9-Tax!Y27-Y13</f>
        <v>12.9706004590021</v>
      </c>
      <c r="Z14" s="13" t="n">
        <f aca="false">Operations!Z84-Z8-Z9-Tax!Z27-Z13</f>
        <v>12.4804935321657</v>
      </c>
      <c r="AA14" s="13" t="n">
        <f aca="false">Operations!AA84-AA8-AA9-Tax!AA27-AA13</f>
        <v>6.73715905096007</v>
      </c>
      <c r="AB14" s="13" t="n">
        <f aca="false">Operations!AB84-AB8-AB9-Tax!AB27-AB13</f>
        <v>7.32435405597529</v>
      </c>
      <c r="AC14" s="13" t="n">
        <f aca="false">Operations!AC84-AC8-AC9-Tax!AC27-AC13</f>
        <v>8.15672375223132</v>
      </c>
      <c r="AD14" s="13" t="n">
        <f aca="false">Operations!AD84-AD8-AD9-Tax!AD27-AD13</f>
        <v>8.88826124767838</v>
      </c>
      <c r="AE14" s="13" t="n">
        <f aca="false">Operations!AE84-AE8-AE9-Tax!AE27-AE13</f>
        <v>-0.836396258312494</v>
      </c>
      <c r="AF14" s="13" t="n">
        <f aca="false">Operations!AF84-AF8-AF9-Tax!AF27-AF13</f>
        <v>11.3142476025544</v>
      </c>
      <c r="AG14" s="13" t="n">
        <f aca="false">Operations!AG84-AG8-AG9-Tax!AG27-AG13</f>
        <v>11.5697745161502</v>
      </c>
      <c r="AH14" s="13" t="n">
        <f aca="false">Operations!AH84-AH8-AH9-Tax!AH27-AH13</f>
        <v>12.417959752215</v>
      </c>
      <c r="AI14" s="13" t="n">
        <f aca="false">Operations!AI84-AI8-AI9-Tax!AI27-AI13</f>
        <v>13.5520378770743</v>
      </c>
      <c r="AJ14" s="13" t="n">
        <f aca="false">Operations!AJ84-AJ8-AJ9-Tax!AJ27-AJ13</f>
        <v>14.4892230148337</v>
      </c>
      <c r="AK14" s="13" t="n">
        <f aca="false">Operations!AK84-AK8-AK9-Tax!AK27-AK13</f>
        <v>15.5920695710584</v>
      </c>
      <c r="AL14" s="13" t="n">
        <f aca="false">Operations!AL84-AL8-AL9-Tax!AL27-AL13</f>
        <v>16.6907515097056</v>
      </c>
      <c r="AM14" s="13" t="n">
        <f aca="false">Operations!AM84-AM8-AM9-Tax!AM27-AM13</f>
        <v>15.6892413726784</v>
      </c>
      <c r="AN14" s="13" t="n">
        <f aca="false">Operations!AN84-AN8-AN9-Tax!AN27-AN13</f>
        <v>19.1870872291454</v>
      </c>
      <c r="AO14" s="13" t="n">
        <f aca="false">Operations!AO84-AO8-AO9-Tax!AO27-AO13</f>
        <v>20.4372244335963</v>
      </c>
      <c r="AP14" s="13" t="n">
        <f aca="false">Operations!AP84-AP8-AP9-Tax!AP27-AP13</f>
        <v>22.0856272661497</v>
      </c>
      <c r="AQ14" s="13" t="n">
        <f aca="false">Operations!AQ84-AQ8-AQ9-Tax!AQ27-AQ13</f>
        <v>22.898022270028</v>
      </c>
      <c r="AR14" s="13" t="n">
        <f aca="false">Operations!AR84-AR8-AR9-Tax!AR27-AR13</f>
        <v>23.6377925319855</v>
      </c>
      <c r="AS14" s="13" t="n">
        <f aca="false">Operations!AS84-AS8-AS9-Tax!AS27-AS13</f>
        <v>24.3727953016726</v>
      </c>
      <c r="AT14" s="13" t="n">
        <f aca="false">Operations!AT84-AT8-AT9-Tax!AT27-AT13</f>
        <v>25.2172166394154</v>
      </c>
      <c r="AU14" s="13" t="n">
        <f aca="false">Operations!AU84-AU8-AU9-Tax!AU27-AU13</f>
        <v>14.3805207619196</v>
      </c>
      <c r="AV14" s="13" t="n">
        <f aca="false">Operations!AV84-AV8-AV9-Tax!AV27-AV13</f>
        <v>26.9630242852652</v>
      </c>
      <c r="AW14" s="13" t="n">
        <f aca="false">Operations!AW84-AW8-AW9-Tax!AW27-AW13</f>
        <v>27.0887086798741</v>
      </c>
      <c r="AX14" s="13" t="n">
        <f aca="false">Operations!AX84-AX8-AX9-Tax!AX27-AX13</f>
        <v>27.216955801009</v>
      </c>
      <c r="AY14" s="13" t="n">
        <f aca="false">Operations!AY84-AY8-AY9-Tax!AY27-AY13</f>
        <v>27.3736104388216</v>
      </c>
      <c r="AZ14" s="13" t="n">
        <f aca="false">Operations!AZ84-AZ8-AZ9-Tax!AZ27-AZ13</f>
        <v>27.4877462507324</v>
      </c>
      <c r="BA14" s="13" t="n">
        <f aca="false">Operations!BA84-BA8-BA9-Tax!BA27-BA13</f>
        <v>27.5585979035538</v>
      </c>
      <c r="BB14" s="13" t="n">
        <f aca="false">Operations!BB84-BB8-BB9-Tax!BB27-BB13</f>
        <v>27.7159789918961</v>
      </c>
      <c r="BC14" s="13" t="n">
        <f aca="false">Operations!BC84-BC8-BC9-Tax!BC27-BC13</f>
        <v>25.1903269073454</v>
      </c>
      <c r="BD14" s="13" t="n">
        <f aca="false">Operations!BD84-BD8-BD9-Tax!BD27-BD13</f>
        <v>28.0949514076838</v>
      </c>
      <c r="BE14" s="13" t="n">
        <f aca="false">Operations!BE84-BE8-BE9-Tax!BE27-BE13</f>
        <v>28.0486837566854</v>
      </c>
      <c r="BF14" s="13" t="n">
        <f aca="false">Operations!BF84-BF8-BF9-Tax!BF27-BF13</f>
        <v>28.1890010039412</v>
      </c>
      <c r="BG14" s="13" t="n">
        <f aca="false">Operations!BG84-BG8-BG9-Tax!BG27-BG13</f>
        <v>28.3599599224058</v>
      </c>
      <c r="BH14" s="13" t="n">
        <f aca="false">Operations!BH84-BH8-BH9-Tax!BH27-BH13</f>
        <v>28.4844973345718</v>
      </c>
      <c r="BI14" s="13" t="n">
        <f aca="false">Operations!BI84-BI8-BI9-Tax!BI27-BI13</f>
        <v>28.5598468429309</v>
      </c>
      <c r="BJ14" s="13" t="n">
        <f aca="false">Operations!BJ84-BJ8-BJ9-Tax!BJ27-BJ13</f>
        <v>28.7538490298305</v>
      </c>
      <c r="BK14" s="13" t="n">
        <f aca="false">Operations!BK84-BK8-BK9-Tax!BK27-BK13</f>
        <v>14.9827703015879</v>
      </c>
      <c r="BL14" s="13" t="n">
        <f aca="false">Operations!BL84-BL8-BL9-Tax!BL27-BL13</f>
        <v>28.9826896471651</v>
      </c>
      <c r="BM14" s="13" t="n">
        <f aca="false">Operations!BM84-BM8-BM9-Tax!BM27-BM13</f>
        <v>29.0930065981832</v>
      </c>
      <c r="BN14" s="13" t="n">
        <f aca="false">Operations!BN84-BN8-BN9-Tax!BN27-BN13</f>
        <v>9.16378681844477</v>
      </c>
    </row>
    <row r="15" customFormat="false" ht="15" hidden="false" customHeight="false" outlineLevel="0" collapsed="false">
      <c r="B15" s="2" t="s">
        <v>875</v>
      </c>
    </row>
    <row r="16" customFormat="false" ht="15" hidden="false" customHeight="false" outlineLevel="0" collapsed="false">
      <c r="D16" s="0" t="s">
        <v>876</v>
      </c>
      <c r="E16" s="0" t="s">
        <v>149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136.475812766185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201.865960814572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329.091284829459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490.536919332989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640.988862498364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754.682145800469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836.838283033746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820.045541568185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803.252800102625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786.460058637065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769.667317171505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752.874575705945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736.081834240385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719.289092774825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702.496351309265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685.703609843705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668.910868378144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652.118126912584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635.325385447024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618.532643981464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601.739902515904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584.947161050344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568.154419584784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551.361678119224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534.568936653664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517.776195188103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500.983453722543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484.190712256983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467.397970791423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450.605229325863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433.812487860303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417.019746394743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400.227004929183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383.434263463623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366.641521998062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349.848780532502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333.056039066942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316.263297601382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299.470556135822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282.677814670262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265.885073204702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249.092331739142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232.299590273582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215.506848808021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198.714107342461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181.921365876901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165.128624411341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148.335882945781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131.543141480221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114.750400014661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97.9576585491006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81.1649170835406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64.3721756179804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47.5794341524203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30.7866926868602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13.9939512213001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877</v>
      </c>
      <c r="E17" s="0" t="s">
        <v>149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0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46.9952794102082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37.9411494196957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38.2890941020254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35.4712608413984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60.0538400637648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73.8149943218242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44.9103241940072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32.5566243955354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30.9521755422981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33.6190310012926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35.4762273118807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38.1198506545478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40.1304860644259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42.6926682025887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45.807649684531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33.084367965058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32.5750117000096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33.609906140177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33.9539823208385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34.9268404248724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35.2596046225086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36.1588265033632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36.9951814939328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34.059340318545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32.0190402822787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31.7281321964936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32.2652043053449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35.1525776255859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37.37720513237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40.1777333243726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46.9262841185937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0.668444937143915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1.33688987428783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2.00533481143175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2.67377974857566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3.34222468571958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4.29109225442921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1.9821975862211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3.70343169877146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8.62460038609106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13.5656757919372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18.5268855421649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23.5084598654453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28.5106316230279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33.5336363388435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16.3159418690003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18.2010769676722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20.107767878667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878</v>
      </c>
      <c r="E18" s="0" t="s">
        <v>149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0</v>
      </c>
      <c r="P18" s="13" t="n">
        <f aca="false">Operations!P88+Operations!P89</f>
        <v>38.2208066658204</v>
      </c>
      <c r="Q18" s="13" t="n">
        <f aca="false">Operations!Q88+Operations!Q89</f>
        <v>60.2719443836271</v>
      </c>
      <c r="R18" s="13" t="n">
        <f aca="false">Operations!R88+Operations!R89</f>
        <v>109.365060084157</v>
      </c>
      <c r="S18" s="13" t="n">
        <f aca="false">Operations!S88+Operations!S89</f>
        <v>152.606984179699</v>
      </c>
      <c r="T18" s="13" t="n">
        <f aca="false">Operations!T88+Operations!T89</f>
        <v>111.556996318738</v>
      </c>
      <c r="U18" s="13" t="n">
        <f aca="false">Operations!U88+Operations!U89</f>
        <v>75.6304088438496</v>
      </c>
      <c r="V18" s="13" t="n">
        <f aca="false">Operations!V88+Operations!V89</f>
        <v>53.1089350826559</v>
      </c>
      <c r="W18" s="13" t="n">
        <f aca="false">Operations!W88+Operations!W89</f>
        <v>41.4735034493285</v>
      </c>
      <c r="X18" s="13" t="n">
        <f aca="false">Operations!X88+Operations!X89</f>
        <v>41.203872379176</v>
      </c>
      <c r="Y18" s="13" t="n">
        <f aca="false">Operations!Y88+Operations!Y89</f>
        <v>43.1534041164257</v>
      </c>
      <c r="Z18" s="13" t="n">
        <f aca="false">Operations!Z88+Operations!Z89</f>
        <v>42.6133857231334</v>
      </c>
      <c r="AA18" s="13" t="n">
        <f aca="false">Operations!AA88+Operations!AA89</f>
        <v>43.6639961514771</v>
      </c>
      <c r="AB18" s="13" t="n">
        <f aca="false">Operations!AB88+Operations!AB89</f>
        <v>43.1450037777128</v>
      </c>
      <c r="AC18" s="13" t="n">
        <f aca="false">Operations!AC88+Operations!AC89</f>
        <v>44.3649903588609</v>
      </c>
      <c r="AD18" s="13" t="n">
        <f aca="false">Operations!AD88+Operations!AD89</f>
        <v>43.7928229364278</v>
      </c>
      <c r="AE18" s="13" t="n">
        <f aca="false">Operations!AE88+Operations!AE89</f>
        <v>43.656897005859</v>
      </c>
      <c r="AF18" s="13" t="n">
        <f aca="false">Operations!AF88+Operations!AF89</f>
        <v>43.4734377856994</v>
      </c>
      <c r="AG18" s="13" t="n">
        <f aca="false">Operations!AG88+Operations!AG89</f>
        <v>45.9812660070519</v>
      </c>
      <c r="AH18" s="13" t="n">
        <f aca="false">Operations!AH88+Operations!AH89</f>
        <v>45.3416368146534</v>
      </c>
      <c r="AI18" s="13" t="n">
        <f aca="false">Operations!AI88+Operations!AI89</f>
        <v>46.4395373502141</v>
      </c>
      <c r="AJ18" s="13" t="n">
        <f aca="false">Operations!AJ88+Operations!AJ89</f>
        <v>45.8778279465209</v>
      </c>
      <c r="AK18" s="13" t="n">
        <f aca="false">Operations!AK88+Operations!AK89</f>
        <v>47.1780171545147</v>
      </c>
      <c r="AL18" s="13" t="n">
        <f aca="false">Operations!AL88+Operations!AL89</f>
        <v>46.6530104187117</v>
      </c>
      <c r="AM18" s="13" t="n">
        <f aca="false">Operations!AM88+Operations!AM89</f>
        <v>47.2220480908442</v>
      </c>
      <c r="AN18" s="13" t="n">
        <f aca="false">Operations!AN88+Operations!AN89</f>
        <v>46.765601271902</v>
      </c>
      <c r="AO18" s="13" t="n">
        <f aca="false">Operations!AO88+Operations!AO89</f>
        <v>48.9172936742874</v>
      </c>
      <c r="AP18" s="13" t="n">
        <f aca="false">Operations!AP88+Operations!AP89</f>
        <v>48.2388319084221</v>
      </c>
      <c r="AQ18" s="13" t="n">
        <f aca="false">Operations!AQ88+Operations!AQ89</f>
        <v>49.4135695519613</v>
      </c>
      <c r="AR18" s="13" t="n">
        <f aca="false">Operations!AR88+Operations!AR89</f>
        <v>48.8192887777328</v>
      </c>
      <c r="AS18" s="13" t="n">
        <f aca="false">Operations!AS88+Operations!AS89</f>
        <v>50.2164522227038</v>
      </c>
      <c r="AT18" s="13" t="n">
        <f aca="false">Operations!AT88+Operations!AT89</f>
        <v>49.5610004421261</v>
      </c>
      <c r="AU18" s="13" t="n">
        <f aca="false">Operations!AU88+Operations!AU89</f>
        <v>49.3994667942663</v>
      </c>
      <c r="AV18" s="13" t="n">
        <f aca="false">Operations!AV88+Operations!AV89</f>
        <v>49.1976706630277</v>
      </c>
      <c r="AW18" s="13" t="n">
        <f aca="false">Operations!AW88+Operations!AW89</f>
        <v>52.0942335147322</v>
      </c>
      <c r="AX18" s="13" t="n">
        <f aca="false">Operations!AX88+Operations!AX89</f>
        <v>51.3737903358989</v>
      </c>
      <c r="AY18" s="13" t="n">
        <f aca="false">Operations!AY88+Operations!AY89</f>
        <v>52.6317005802872</v>
      </c>
      <c r="AZ18" s="13" t="n">
        <f aca="false">Operations!AZ88+Operations!AZ89</f>
        <v>52.0021992750438</v>
      </c>
      <c r="BA18" s="13" t="n">
        <f aca="false">Operations!BA88+Operations!BA89</f>
        <v>53.5042288640541</v>
      </c>
      <c r="BB18" s="13" t="n">
        <f aca="false">Operations!BB88+Operations!BB89</f>
        <v>52.9096503776099</v>
      </c>
      <c r="BC18" s="13" t="n">
        <f aca="false">Operations!BC88+Operations!BC89</f>
        <v>53.5504090213856</v>
      </c>
      <c r="BD18" s="13" t="n">
        <f aca="false">Operations!BD88+Operations!BD89</f>
        <v>53.0437422355791</v>
      </c>
      <c r="BE18" s="13" t="n">
        <f aca="false">Operations!BE88+Operations!BE89</f>
        <v>55.5319568335807</v>
      </c>
      <c r="BF18" s="13" t="n">
        <f aca="false">Operations!BF88+Operations!BF89</f>
        <v>54.7661291345552</v>
      </c>
      <c r="BG18" s="13" t="n">
        <f aca="false">Operations!BG88+Operations!BG89</f>
        <v>56.1140715395244</v>
      </c>
      <c r="BH18" s="13" t="n">
        <f aca="false">Operations!BH88+Operations!BH89</f>
        <v>55.4464858267814</v>
      </c>
      <c r="BI18" s="13" t="n">
        <f aca="false">Operations!BI88+Operations!BI89</f>
        <v>57.0619157586456</v>
      </c>
      <c r="BJ18" s="13" t="n">
        <f aca="false">Operations!BJ88+Operations!BJ89</f>
        <v>56.315138071731</v>
      </c>
      <c r="BK18" s="13" t="n">
        <f aca="false">Operations!BK88+Operations!BK89</f>
        <v>56.1239590022439</v>
      </c>
      <c r="BL18" s="13" t="n">
        <f aca="false">Operations!BL88+Operations!BL89</f>
        <v>55.9009956207576</v>
      </c>
      <c r="BM18" s="13" t="n">
        <f aca="false">Operations!BM88+Operations!BM89</f>
        <v>59.2519813820824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879</v>
      </c>
      <c r="E19" s="0" t="s">
        <v>149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0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5.35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880</v>
      </c>
      <c r="E20" s="0" t="s">
        <v>149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-0</v>
      </c>
      <c r="P20" s="13" t="n">
        <f aca="false">MAX(0,-P12)</f>
        <v>0.839637073277998</v>
      </c>
      <c r="Q20" s="13" t="n">
        <f aca="false">MAX(0,-Q12)</f>
        <v>5.87745951294605</v>
      </c>
      <c r="R20" s="13" t="n">
        <f aca="false">MAX(0,-R12)</f>
        <v>10.9152819526141</v>
      </c>
      <c r="S20" s="13" t="n">
        <f aca="false">MAX(0,-S12)</f>
        <v>15.9531043922821</v>
      </c>
      <c r="T20" s="13" t="n">
        <f aca="false">MAX(0,-T12)</f>
        <v>20.9909268319501</v>
      </c>
      <c r="U20" s="13" t="n">
        <f aca="false">MAX(0,-U12)</f>
        <v>26.0287492716182</v>
      </c>
      <c r="V20" s="13" t="n">
        <f aca="false">MAX(0,-V12)</f>
        <v>31.0665717112862</v>
      </c>
      <c r="W20" s="13" t="n">
        <f aca="false">MAX(0,-W12)</f>
        <v>36.1043941509542</v>
      </c>
      <c r="X20" s="13" t="n">
        <f aca="false">MAX(0,-X12)</f>
        <v>41.1422165906223</v>
      </c>
      <c r="Y20" s="13" t="n">
        <f aca="false">MAX(0,-Y12)</f>
        <v>46.1800390302903</v>
      </c>
      <c r="Z20" s="13" t="n">
        <f aca="false">MAX(0,-Z12)</f>
        <v>49.9390193581365</v>
      </c>
      <c r="AA20" s="13" t="n">
        <f aca="false">MAX(0,-AA12)</f>
        <v>46.8898402485924</v>
      </c>
      <c r="AB20" s="13" t="n">
        <f aca="false">MAX(0,-AB12)</f>
        <v>43.5880108636972</v>
      </c>
      <c r="AC20" s="13" t="n">
        <f aca="false">MAX(0,-AC12)</f>
        <v>39.9283284637091</v>
      </c>
      <c r="AD20" s="13" t="n">
        <f aca="false">MAX(0,-AD12)</f>
        <v>35.9544129736723</v>
      </c>
      <c r="AE20" s="13" t="n">
        <f aca="false">MAX(0,-AE12)</f>
        <v>34.9468484857386</v>
      </c>
      <c r="AF20" s="13" t="n">
        <f aca="false">MAX(0,-AF12)</f>
        <v>31.1365536579397</v>
      </c>
      <c r="AG20" s="13" t="n">
        <f aca="false">MAX(0,-AG12)</f>
        <v>26.0105310441676</v>
      </c>
      <c r="AH20" s="13" t="n">
        <f aca="false">MAX(0,-AH12)</f>
        <v>20.5201220872469</v>
      </c>
      <c r="AI20" s="13" t="n">
        <f aca="false">MAX(0,-AI12)</f>
        <v>14.5429416104103</v>
      </c>
      <c r="AJ20" s="13" t="n">
        <f aca="false">MAX(0,-AJ12)</f>
        <v>8.16313880887561</v>
      </c>
      <c r="AK20" s="13" t="n">
        <f aca="false">MAX(0,-AK12)</f>
        <v>1.30955161650158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881</v>
      </c>
      <c r="E21" s="0" t="s">
        <v>149</v>
      </c>
      <c r="J21" s="13" t="n">
        <f aca="false">J16+J17+J18+J19+J20</f>
        <v>136.475812766185</v>
      </c>
      <c r="K21" s="13" t="n">
        <f aca="false">K16+K17+K18+K19+K20</f>
        <v>201.865960814572</v>
      </c>
      <c r="L21" s="13" t="n">
        <f aca="false">L16+L17+L18+L19+L20</f>
        <v>329.091284829459</v>
      </c>
      <c r="M21" s="13" t="n">
        <f aca="false">M16+M17+M18+M19+M20</f>
        <v>490.536919332989</v>
      </c>
      <c r="N21" s="13" t="n">
        <f aca="false">N16+N17+N18+N19+N20</f>
        <v>640.988862498364</v>
      </c>
      <c r="O21" s="13" t="n">
        <f aca="false">O16+O17+O18+O19+O20</f>
        <v>754.682145800469</v>
      </c>
      <c r="P21" s="13" t="n">
        <f aca="false">P16+P17+P18+P19+P20</f>
        <v>928.244006183052</v>
      </c>
      <c r="Q21" s="13" t="n">
        <f aca="false">Q16+Q17+Q18+Q19+Q20</f>
        <v>929.486094884454</v>
      </c>
      <c r="R21" s="13" t="n">
        <f aca="false">R16+R17+R18+R19+R20</f>
        <v>967.172236241422</v>
      </c>
      <c r="S21" s="13" t="n">
        <f aca="false">S16+S17+S18+S19+S20</f>
        <v>995.841408050445</v>
      </c>
      <c r="T21" s="13" t="n">
        <f aca="false">T16+T17+T18+T19+T20</f>
        <v>967.619080385958</v>
      </c>
      <c r="U21" s="13" t="n">
        <f aca="false">U16+U17+U18+U19+U20</f>
        <v>933.698728143237</v>
      </c>
      <c r="V21" s="13" t="n">
        <f aca="false">V16+V17+V18+V19+V20</f>
        <v>870.517665228334</v>
      </c>
      <c r="W21" s="13" t="n">
        <f aca="false">W16+W17+W18+W19+W20</f>
        <v>834.773614770643</v>
      </c>
      <c r="X21" s="13" t="n">
        <f aca="false">X16+X17+X18+X19+X20</f>
        <v>821.144615821361</v>
      </c>
      <c r="Y21" s="13" t="n">
        <f aca="false">Y16+Y17+Y18+Y19+Y20</f>
        <v>814.006083991713</v>
      </c>
      <c r="Z21" s="13" t="n">
        <f aca="false">Z16+Z17+Z18+Z19+Z20</f>
        <v>802.289500771295</v>
      </c>
      <c r="AA21" s="13" t="n">
        <f aca="false">AA16+AA17+AA18+AA19+AA20</f>
        <v>786.141813967202</v>
      </c>
      <c r="AB21" s="13" t="n">
        <f aca="false">AB16+AB17+AB18+AB19+AB20</f>
        <v>767.53888615286</v>
      </c>
      <c r="AC21" s="13" t="n">
        <f aca="false">AC16+AC17+AC18+AC19+AC20</f>
        <v>750.868631006623</v>
      </c>
      <c r="AD21" s="13" t="n">
        <f aca="false">AD16+AD17+AD18+AD19+AD20</f>
        <v>732.644788110535</v>
      </c>
      <c r="AE21" s="13" t="n">
        <f aca="false">AE16+AE17+AE18+AE19+AE20</f>
        <v>701.985274507</v>
      </c>
      <c r="AF21" s="13" t="n">
        <f aca="false">AF16+AF17+AF18+AF19+AF20</f>
        <v>680.689422728433</v>
      </c>
      <c r="AG21" s="13" t="n">
        <f aca="false">AG16+AG17+AG18+AG19+AG20</f>
        <v>662.31338131062</v>
      </c>
      <c r="AH21" s="13" t="n">
        <f aca="false">AH16+AH17+AH18+AH19+AH20</f>
        <v>639.734677876402</v>
      </c>
      <c r="AI21" s="13" t="n">
        <f aca="false">AI16+AI17+AI18+AI19+AI20</f>
        <v>619.0355145736</v>
      </c>
      <c r="AJ21" s="13" t="n">
        <f aca="false">AJ16+AJ17+AJ18+AJ19+AJ20</f>
        <v>595.634025100448</v>
      </c>
      <c r="AK21" s="13" t="n">
        <f aca="false">AK16+AK17+AK18+AK19+AK20</f>
        <v>574.187107531363</v>
      </c>
      <c r="AL21" s="13" t="n">
        <f aca="false">AL16+AL17+AL18+AL19+AL20</f>
        <v>556.396162704068</v>
      </c>
      <c r="AM21" s="13" t="n">
        <f aca="false">AM16+AM17+AM18+AM19+AM20</f>
        <v>537.236617735252</v>
      </c>
      <c r="AN21" s="13" t="n">
        <f aca="false">AN16+AN17+AN18+AN19+AN20</f>
        <v>517.947129414484</v>
      </c>
      <c r="AO21" s="13" t="n">
        <f aca="false">AO16+AO17+AO18+AO19+AO20</f>
        <v>503.015172265524</v>
      </c>
      <c r="AP21" s="13" t="n">
        <f aca="false">AP16+AP17+AP18+AP19+AP20</f>
        <v>486.08104114295</v>
      </c>
      <c r="AQ21" s="13" t="n">
        <f aca="false">AQ16+AQ17+AQ18+AQ19+AQ20</f>
        <v>473.35041064117</v>
      </c>
      <c r="AR21" s="13" t="n">
        <f aca="false">AR16+AR17+AR18+AR19+AR20</f>
        <v>458.188015908165</v>
      </c>
      <c r="AS21" s="13" t="n">
        <f aca="false">AS16+AS17+AS18+AS19+AS20</f>
        <v>445.592966079579</v>
      </c>
      <c r="AT21" s="13" t="n">
        <f aca="false">AT16+AT17+AT18+AT19+AT20</f>
        <v>434.893323627662</v>
      </c>
      <c r="AU21" s="13" t="n">
        <f aca="false">AU16+AU17+AU18+AU19+AU20</f>
        <v>371.012764395648</v>
      </c>
      <c r="AV21" s="13" t="n">
        <f aca="false">AV16+AV17+AV18+AV19+AV20</f>
        <v>354.01822679885</v>
      </c>
      <c r="AW21" s="13" t="n">
        <f aca="false">AW16+AW17+AW18+AW19+AW20</f>
        <v>340.790493122138</v>
      </c>
      <c r="AX21" s="13" t="n">
        <f aca="false">AX16+AX17+AX18+AX19+AX20</f>
        <v>323.945753414889</v>
      </c>
      <c r="AY21" s="13" t="n">
        <f aca="false">AY16+AY17+AY18+AY19+AY20</f>
        <v>309.079367130861</v>
      </c>
      <c r="AZ21" s="13" t="n">
        <f aca="false">AZ16+AZ17+AZ18+AZ19+AZ20</f>
        <v>292.325569297201</v>
      </c>
      <c r="BA21" s="13" t="n">
        <f aca="false">BA16+BA17+BA18+BA19+BA20</f>
        <v>277.703302357795</v>
      </c>
      <c r="BB21" s="13" t="n">
        <f aca="false">BB16+BB17+BB18+BB19+BB20</f>
        <v>261.2648499745</v>
      </c>
      <c r="BC21" s="13" t="n">
        <f aca="false">BC16+BC17+BC18+BC19+BC20</f>
        <v>242.803972484508</v>
      </c>
      <c r="BD21" s="13" t="n">
        <f aca="false">BD16+BD17+BD18+BD19+BD20</f>
        <v>227.225798345692</v>
      </c>
      <c r="BE21" s="13" t="n">
        <f aca="false">BE16+BE17+BE18+BE19+BE20</f>
        <v>217.842440165453</v>
      </c>
      <c r="BF21" s="13" t="n">
        <f aca="false">BF16+BF17+BF18+BF19+BF20</f>
        <v>205.224946406713</v>
      </c>
      <c r="BG21" s="13" t="n">
        <f aca="false">BG16+BG17+BG18+BG19+BG20</f>
        <v>194.74135709635</v>
      </c>
      <c r="BH21" s="13" t="n">
        <f aca="false">BH16+BH17+BH18+BH19+BH20</f>
        <v>182.262604241327</v>
      </c>
      <c r="BI21" s="13" t="n">
        <f aca="false">BI16+BI17+BI18+BI19+BI20</f>
        <v>172.087464465214</v>
      </c>
      <c r="BJ21" s="13" t="n">
        <f aca="false">BJ16+BJ17+BJ18+BJ19+BJ20</f>
        <v>159.570950028555</v>
      </c>
      <c r="BK21" s="13" t="n">
        <f aca="false">BK16+BK17+BK18+BK19+BK20</f>
        <v>125.369335023664</v>
      </c>
      <c r="BL21" s="13" t="n">
        <f aca="false">BL16+BL17+BL18+BL19+BL20</f>
        <v>110.23876527529</v>
      </c>
      <c r="BM21" s="13" t="n">
        <f aca="false">BM16+BM17+BM18+BM19+BM20</f>
        <v>98.7037004820495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882</v>
      </c>
      <c r="E22" s="0" t="s">
        <v>149</v>
      </c>
      <c r="J22" s="13" t="n">
        <f aca="false">IF(Time!J20&lt;Time!$F$12,SUMIFS(Funding!$J$73:$BJ$73,Construction!$J$12:$BJ$12,"&lt;="&amp;Time!J20),Debt!J116)</f>
        <v>100.449100278203</v>
      </c>
      <c r="K22" s="13" t="n">
        <f aca="false">IF(Time!K20&lt;Time!$F$12,SUMIFS(Funding!$J$73:$BJ$73,Construction!$J$12:$BJ$12,"&lt;="&amp;Time!K20),Debt!K116)</f>
        <v>147.68679072548</v>
      </c>
      <c r="L22" s="13" t="n">
        <f aca="false">IF(Time!L20&lt;Time!$F$12,SUMIFS(Funding!$J$73:$BJ$73,Construction!$J$12:$BJ$12,"&lt;="&amp;Time!L20),Debt!L116)</f>
        <v>239.966267412693</v>
      </c>
      <c r="M22" s="13" t="n">
        <f aca="false">IF(Time!M20&lt;Time!$F$12,SUMIFS(Funding!$J$73:$BJ$73,Construction!$J$12:$BJ$12,"&lt;="&amp;Time!M20),Debt!M116)</f>
        <v>356.461501552691</v>
      </c>
      <c r="N22" s="13" t="n">
        <f aca="false">IF(Time!N20&lt;Time!$F$12,SUMIFS(Funding!$J$73:$BJ$73,Construction!$J$12:$BJ$12,"&lt;="&amp;Time!N20),Debt!N116)</f>
        <v>463.472099458884</v>
      </c>
      <c r="O22" s="13" t="n">
        <f aca="false">IF(Time!O20&lt;Time!$F$12,SUMIFS(Funding!$J$73:$BJ$73,Construction!$J$12:$BJ$12,"&lt;="&amp;Time!O20),Debt!O116)</f>
        <v>542.169800090627</v>
      </c>
      <c r="P22" s="13" t="n">
        <f aca="false">IF(Time!P20&lt;Time!$F$12,SUMIFS(Funding!$J$73:$BJ$73,Construction!$J$12:$BJ$12,"&lt;="&amp;Time!P20),Debt!P116)</f>
        <v>643.248042045247</v>
      </c>
      <c r="Q22" s="13" t="n">
        <f aca="false">IF(Time!Q20&lt;Time!$F$12,SUMIFS(Funding!$J$73:$BJ$73,Construction!$J$12:$BJ$12,"&lt;="&amp;Time!Q20),Debt!Q116)</f>
        <v>608.732518216193</v>
      </c>
      <c r="R22" s="13" t="n">
        <f aca="false">IF(Time!R20&lt;Time!$F$12,SUMIFS(Funding!$J$73:$BJ$73,Construction!$J$12:$BJ$12,"&lt;="&amp;Time!R20),Debt!R116)</f>
        <v>592.09729603356</v>
      </c>
      <c r="S22" s="13" t="n">
        <f aca="false">IF(Time!S20&lt;Time!$F$12,SUMIFS(Funding!$J$73:$BJ$73,Construction!$J$12:$BJ$12,"&lt;="&amp;Time!S20),Debt!S116)</f>
        <v>574.869344815621</v>
      </c>
      <c r="T22" s="13" t="n">
        <f aca="false">IF(Time!T20&lt;Time!$F$12,SUMIFS(Funding!$J$73:$BJ$73,Construction!$J$12:$BJ$12,"&lt;="&amp;Time!T20),Debt!T116)</f>
        <v>567.655479488861</v>
      </c>
      <c r="U22" s="13" t="n">
        <f aca="false">IF(Time!U20&lt;Time!$F$12,SUMIFS(Funding!$J$73:$BJ$73,Construction!$J$12:$BJ$12,"&lt;="&amp;Time!U20),Debt!U116)</f>
        <v>546.409653713351</v>
      </c>
      <c r="V22" s="13" t="n">
        <f aca="false">IF(Time!V20&lt;Time!$F$12,SUMIFS(Funding!$J$73:$BJ$73,Construction!$J$12:$BJ$12,"&lt;="&amp;Time!V20),Debt!V116)</f>
        <v>524.314701331091</v>
      </c>
      <c r="W22" s="13" t="n">
        <f aca="false">IF(Time!W20&lt;Time!$F$12,SUMIFS(Funding!$J$73:$BJ$73,Construction!$J$12:$BJ$12,"&lt;="&amp;Time!W20),Debt!W116)</f>
        <v>502.318126299493</v>
      </c>
      <c r="X22" s="13" t="n">
        <f aca="false">IF(Time!X20&lt;Time!$F$12,SUMIFS(Funding!$J$73:$BJ$73,Construction!$J$12:$BJ$12,"&lt;="&amp;Time!X20),Debt!X116)</f>
        <v>487.251648151691</v>
      </c>
      <c r="Y22" s="13" t="n">
        <f aca="false">IF(Time!Y20&lt;Time!$F$12,SUMIFS(Funding!$J$73:$BJ$73,Construction!$J$12:$BJ$12,"&lt;="&amp;Time!Y20),Debt!Y116)</f>
        <v>473.111809038282</v>
      </c>
      <c r="Z22" s="13" t="n">
        <f aca="false">IF(Time!Z20&lt;Time!$F$12,SUMIFS(Funding!$J$73:$BJ$73,Construction!$J$12:$BJ$12,"&lt;="&amp;Time!Z20),Debt!Z116)</f>
        <v>458.123533777787</v>
      </c>
      <c r="AA22" s="13" t="n">
        <f aca="false">IF(Time!AA20&lt;Time!$F$12,SUMIFS(Funding!$J$73:$BJ$73,Construction!$J$12:$BJ$12,"&lt;="&amp;Time!AA20),Debt!AA116)</f>
        <v>442.9259867164</v>
      </c>
      <c r="AB22" s="13" t="n">
        <f aca="false">IF(Time!AB20&lt;Time!$F$12,SUMIFS(Funding!$J$73:$BJ$73,Construction!$J$12:$BJ$12,"&lt;="&amp;Time!AB20),Debt!AB116)</f>
        <v>426.87454508725</v>
      </c>
      <c r="AC22" s="13" t="n">
        <f aca="false">IF(Time!AC20&lt;Time!$F$12,SUMIFS(Funding!$J$73:$BJ$73,Construction!$J$12:$BJ$12,"&lt;="&amp;Time!AC20),Debt!AC116)</f>
        <v>410.491872414927</v>
      </c>
      <c r="AD22" s="13" t="n">
        <f aca="false">IF(Time!AD20&lt;Time!$F$12,SUMIFS(Funding!$J$73:$BJ$73,Construction!$J$12:$BJ$12,"&lt;="&amp;Time!AD20),Debt!AD116)</f>
        <v>393.276284471793</v>
      </c>
      <c r="AE22" s="13" t="n">
        <f aca="false">IF(Time!AE20&lt;Time!$F$12,SUMIFS(Funding!$J$73:$BJ$73,Construction!$J$12:$BJ$12,"&lt;="&amp;Time!AE20),Debt!AE116)</f>
        <v>374.569007261441</v>
      </c>
      <c r="AF22" s="13" t="n">
        <f aca="false">IF(Time!AF20&lt;Time!$F$12,SUMIFS(Funding!$J$73:$BJ$73,Construction!$J$12:$BJ$12,"&lt;="&amp;Time!AF20),Debt!AF116)</f>
        <v>354.779338641046</v>
      </c>
      <c r="AG22" s="13" t="n">
        <f aca="false">IF(Time!AG20&lt;Time!$F$12,SUMIFS(Funding!$J$73:$BJ$73,Construction!$J$12:$BJ$12,"&lt;="&amp;Time!AG20),Debt!AG116)</f>
        <v>334.832890620648</v>
      </c>
      <c r="AH22" s="13" t="n">
        <f aca="false">IF(Time!AH20&lt;Time!$F$12,SUMIFS(Funding!$J$73:$BJ$73,Construction!$J$12:$BJ$12,"&lt;="&amp;Time!AH20),Debt!AH116)</f>
        <v>313.817672490997</v>
      </c>
      <c r="AI22" s="13" t="n">
        <f aca="false">IF(Time!AI20&lt;Time!$F$12,SUMIFS(Funding!$J$73:$BJ$73,Construction!$J$12:$BJ$12,"&lt;="&amp;Time!AI20),Debt!AI116)</f>
        <v>292.318098111856</v>
      </c>
      <c r="AJ22" s="13" t="n">
        <f aca="false">IF(Time!AJ20&lt;Time!$F$12,SUMIFS(Funding!$J$73:$BJ$73,Construction!$J$12:$BJ$12,"&lt;="&amp;Time!AJ20),Debt!AJ116)</f>
        <v>269.75651286466</v>
      </c>
      <c r="AK22" s="13" t="n">
        <f aca="false">IF(Time!AK20&lt;Time!$F$12,SUMIFS(Funding!$J$73:$BJ$73,Construction!$J$12:$BJ$12,"&lt;="&amp;Time!AK20),Debt!AK116)</f>
        <v>246.690539863674</v>
      </c>
      <c r="AL22" s="13" t="n">
        <f aca="false">IF(Time!AL20&lt;Time!$F$12,SUMIFS(Funding!$J$73:$BJ$73,Construction!$J$12:$BJ$12,"&lt;="&amp;Time!AL20),Debt!AL116)</f>
        <v>222.572355830888</v>
      </c>
      <c r="AM22" s="13" t="n">
        <f aca="false">IF(Time!AM20&lt;Time!$F$12,SUMIFS(Funding!$J$73:$BJ$73,Construction!$J$12:$BJ$12,"&lt;="&amp;Time!AM20),Debt!AM116)</f>
        <v>197.400474371736</v>
      </c>
      <c r="AN22" s="13" t="n">
        <f aca="false">IF(Time!AN20&lt;Time!$F$12,SUMIFS(Funding!$J$73:$BJ$73,Construction!$J$12:$BJ$12,"&lt;="&amp;Time!AN20),Debt!AN116)</f>
        <v>171.044073220911</v>
      </c>
      <c r="AO22" s="13" t="n">
        <f aca="false">IF(Time!AO20&lt;Time!$F$12,SUMIFS(Funding!$J$73:$BJ$73,Construction!$J$12:$BJ$12,"&lt;="&amp;Time!AO20),Debt!AO116)</f>
        <v>145.874859081789</v>
      </c>
      <c r="AP22" s="13" t="n">
        <f aca="false">IF(Time!AP20&lt;Time!$F$12,SUMIFS(Funding!$J$73:$BJ$73,Construction!$J$12:$BJ$12,"&lt;="&amp;Time!AP20),Debt!AP116)</f>
        <v>122.851961703253</v>
      </c>
      <c r="AQ22" s="13" t="n">
        <f aca="false">IF(Time!AQ20&lt;Time!$F$12,SUMIFS(Funding!$J$73:$BJ$73,Construction!$J$12:$BJ$12,"&lt;="&amp;Time!AQ20),Debt!AQ116)</f>
        <v>100.987805609576</v>
      </c>
      <c r="AR22" s="13" t="n">
        <f aca="false">IF(Time!AR20&lt;Time!$F$12,SUMIFS(Funding!$J$73:$BJ$73,Construction!$J$12:$BJ$12,"&lt;="&amp;Time!AR20),Debt!AR116)</f>
        <v>77.9801784814743</v>
      </c>
      <c r="AS22" s="13" t="n">
        <f aca="false">IF(Time!AS20&lt;Time!$F$12,SUMIFS(Funding!$J$73:$BJ$73,Construction!$J$12:$BJ$12,"&lt;="&amp;Time!AS20),Debt!AS116)</f>
        <v>54.4443709705674</v>
      </c>
      <c r="AT22" s="13" t="n">
        <f aca="false">IF(Time!AT20&lt;Time!$F$12,SUMIFS(Funding!$J$73:$BJ$73,Construction!$J$12:$BJ$12,"&lt;="&amp;Time!AT20),Debt!AT116)</f>
        <v>29.7825623912257</v>
      </c>
      <c r="AU22" s="13" t="n">
        <f aca="false">IF(Time!AU20&lt;Time!$F$12,SUMIFS(Funding!$J$73:$BJ$73,Construction!$J$12:$BJ$12,"&lt;="&amp;Time!AU20),Debt!AU116)</f>
        <v>6.46593889541691E-013</v>
      </c>
      <c r="AV22" s="13" t="n">
        <f aca="false">IF(Time!AV20&lt;Time!$F$12,SUMIFS(Funding!$J$73:$BJ$73,Construction!$J$12:$BJ$12,"&lt;="&amp;Time!AV20),Debt!AV116)</f>
        <v>6.46593889541691E-013</v>
      </c>
      <c r="AW22" s="13" t="n">
        <f aca="false">IF(Time!AW20&lt;Time!$F$12,SUMIFS(Funding!$J$73:$BJ$73,Construction!$J$12:$BJ$12,"&lt;="&amp;Time!AW20),Debt!AW116)</f>
        <v>6.46593889541691E-013</v>
      </c>
      <c r="AX22" s="13" t="n">
        <f aca="false">IF(Time!AX20&lt;Time!$F$12,SUMIFS(Funding!$J$73:$BJ$73,Construction!$J$12:$BJ$12,"&lt;="&amp;Time!AX20),Debt!AX116)</f>
        <v>6.46593889541691E-013</v>
      </c>
      <c r="AY22" s="13" t="n">
        <f aca="false">IF(Time!AY20&lt;Time!$F$12,SUMIFS(Funding!$J$73:$BJ$73,Construction!$J$12:$BJ$12,"&lt;="&amp;Time!AY20),Debt!AY116)</f>
        <v>6.46593889541691E-013</v>
      </c>
      <c r="AZ22" s="13" t="n">
        <f aca="false">IF(Time!AZ20&lt;Time!$F$12,SUMIFS(Funding!$J$73:$BJ$73,Construction!$J$12:$BJ$12,"&lt;="&amp;Time!AZ20),Debt!AZ116)</f>
        <v>6.46593889541691E-013</v>
      </c>
      <c r="BA22" s="13" t="n">
        <f aca="false">IF(Time!BA20&lt;Time!$F$12,SUMIFS(Funding!$J$73:$BJ$73,Construction!$J$12:$BJ$12,"&lt;="&amp;Time!BA20),Debt!BA116)</f>
        <v>6.46593889541691E-013</v>
      </c>
      <c r="BB22" s="13" t="n">
        <f aca="false">IF(Time!BB20&lt;Time!$F$12,SUMIFS(Funding!$J$73:$BJ$73,Construction!$J$12:$BJ$12,"&lt;="&amp;Time!BB20),Debt!BB116)</f>
        <v>6.46593889541691E-013</v>
      </c>
      <c r="BC22" s="13" t="n">
        <f aca="false">IF(Time!BC20&lt;Time!$F$12,SUMIFS(Funding!$J$73:$BJ$73,Construction!$J$12:$BJ$12,"&lt;="&amp;Time!BC20),Debt!BC116)</f>
        <v>6.46593889541691E-013</v>
      </c>
      <c r="BD22" s="13" t="n">
        <f aca="false">IF(Time!BD20&lt;Time!$F$12,SUMIFS(Funding!$J$73:$BJ$73,Construction!$J$12:$BJ$12,"&lt;="&amp;Time!BD20),Debt!BD116)</f>
        <v>6.46593889541691E-013</v>
      </c>
      <c r="BE22" s="13" t="n">
        <f aca="false">IF(Time!BE20&lt;Time!$F$12,SUMIFS(Funding!$J$73:$BJ$73,Construction!$J$12:$BJ$12,"&lt;="&amp;Time!BE20),Debt!BE116)</f>
        <v>6.46593889541691E-013</v>
      </c>
      <c r="BF22" s="13" t="n">
        <f aca="false">IF(Time!BF20&lt;Time!$F$12,SUMIFS(Funding!$J$73:$BJ$73,Construction!$J$12:$BJ$12,"&lt;="&amp;Time!BF20),Debt!BF116)</f>
        <v>6.46593889541691E-013</v>
      </c>
      <c r="BG22" s="13" t="n">
        <f aca="false">IF(Time!BG20&lt;Time!$F$12,SUMIFS(Funding!$J$73:$BJ$73,Construction!$J$12:$BJ$12,"&lt;="&amp;Time!BG20),Debt!BG116)</f>
        <v>6.46593889541691E-013</v>
      </c>
      <c r="BH22" s="13" t="n">
        <f aca="false">IF(Time!BH20&lt;Time!$F$12,SUMIFS(Funding!$J$73:$BJ$73,Construction!$J$12:$BJ$12,"&lt;="&amp;Time!BH20),Debt!BH116)</f>
        <v>6.46593889541691E-013</v>
      </c>
      <c r="BI22" s="13" t="n">
        <f aca="false">IF(Time!BI20&lt;Time!$F$12,SUMIFS(Funding!$J$73:$BJ$73,Construction!$J$12:$BJ$12,"&lt;="&amp;Time!BI20),Debt!BI116)</f>
        <v>6.46593889541691E-013</v>
      </c>
      <c r="BJ22" s="13" t="n">
        <f aca="false">IF(Time!BJ20&lt;Time!$F$12,SUMIFS(Funding!$J$73:$BJ$73,Construction!$J$12:$BJ$12,"&lt;="&amp;Time!BJ20),Debt!BJ116)</f>
        <v>6.46593889541691E-013</v>
      </c>
      <c r="BK22" s="13" t="n">
        <f aca="false">IF(Time!BK20&lt;Time!$F$12,SUMIFS(Funding!$J$73:$BJ$73,Construction!$J$12:$BJ$12,"&lt;="&amp;Time!BK20),Debt!BK116)</f>
        <v>6.46593889541691E-013</v>
      </c>
      <c r="BL22" s="13" t="n">
        <f aca="false">IF(Time!BL20&lt;Time!$F$12,SUMIFS(Funding!$J$73:$BJ$73,Construction!$J$12:$BJ$12,"&lt;="&amp;Time!BL20),Debt!BL116)</f>
        <v>6.46593889541691E-013</v>
      </c>
      <c r="BM22" s="13" t="n">
        <f aca="false">IF(Time!BM20&lt;Time!$F$12,SUMIFS(Funding!$J$73:$BJ$73,Construction!$J$12:$BJ$12,"&lt;="&amp;Time!BM20),Debt!BM116)</f>
        <v>6.46593889541691E-013</v>
      </c>
      <c r="BN22" s="13" t="n">
        <f aca="false">IF(Time!BN20&lt;Time!$F$12,SUMIFS(Funding!$J$73:$BJ$73,Construction!$J$12:$BJ$12,"&lt;="&amp;Time!BN20),Debt!BN116)</f>
        <v>6.46593889541691E-013</v>
      </c>
    </row>
    <row r="23" customFormat="false" ht="15" hidden="false" customHeight="false" outlineLevel="0" collapsed="false">
      <c r="D23" s="0" t="s">
        <v>883</v>
      </c>
      <c r="E23" s="0" t="s">
        <v>149</v>
      </c>
      <c r="J23" s="13" t="n">
        <f aca="false">IF(Time!J20&lt;Time!$F$12,SUMIFS(Funding!$J$70:$BJ$70,Construction!$J$12:$BJ$12,"&lt;="&amp;Time!J20)+SUMIFS(Funding!$J$71:$BJ$71,Construction!$J$12:$BJ$12,"&lt;="&amp;Time!J20),Waterfall!J36)</f>
        <v>28.9891152995646</v>
      </c>
      <c r="K23" s="13" t="n">
        <f aca="false">IF(Time!K20&lt;Time!$F$12,SUMIFS(Funding!$J$70:$BJ$70,Construction!$J$12:$BJ$12,"&lt;="&amp;Time!K20)+SUMIFS(Funding!$J$71:$BJ$71,Construction!$J$12:$BJ$12,"&lt;="&amp;Time!K20),Waterfall!K36)</f>
        <v>43.8320376578661</v>
      </c>
      <c r="L23" s="13" t="n">
        <f aca="false">IF(Time!L20&lt;Time!$F$12,SUMIFS(Funding!$J$70:$BJ$70,Construction!$J$12:$BJ$12,"&lt;="&amp;Time!L20)+SUMIFS(Funding!$J$71:$BJ$71,Construction!$J$12:$BJ$12,"&lt;="&amp;Time!L20),Waterfall!L36)</f>
        <v>72.3126624610581</v>
      </c>
      <c r="M23" s="13" t="n">
        <f aca="false">IF(Time!M20&lt;Time!$F$12,SUMIFS(Funding!$J$70:$BJ$70,Construction!$J$12:$BJ$12,"&lt;="&amp;Time!M20)+SUMIFS(Funding!$J$71:$BJ$71,Construction!$J$12:$BJ$12,"&lt;="&amp;Time!M20),Waterfall!M36)</f>
        <v>109.101252216262</v>
      </c>
      <c r="N23" s="13" t="n">
        <f aca="false">IF(Time!N20&lt;Time!$F$12,SUMIFS(Funding!$J$70:$BJ$70,Construction!$J$12:$BJ$12,"&lt;="&amp;Time!N20)+SUMIFS(Funding!$J$71:$BJ$71,Construction!$J$12:$BJ$12,"&lt;="&amp;Time!N20),Waterfall!N36)</f>
        <v>145.045293060872</v>
      </c>
      <c r="O23" s="13" t="n">
        <f aca="false">IF(Time!O20&lt;Time!$F$12,SUMIFS(Funding!$J$70:$BJ$70,Construction!$J$12:$BJ$12,"&lt;="&amp;Time!O20)+SUMIFS(Funding!$J$71:$BJ$71,Construction!$J$12:$BJ$12,"&lt;="&amp;Time!O20),Waterfall!O36)</f>
        <v>174.527210450342</v>
      </c>
      <c r="P23" s="13" t="n">
        <f aca="false">IF(Time!P20&lt;Time!$F$12,SUMIFS(Funding!$J$70:$BJ$70,Construction!$J$12:$BJ$12,"&lt;="&amp;Time!P20)+SUMIFS(Funding!$J$71:$BJ$71,Construction!$J$12:$BJ$12,"&lt;="&amp;Time!P20),Waterfall!P36)</f>
        <v>211.688389281804</v>
      </c>
      <c r="Q23" s="13" t="n">
        <f aca="false">IF(Time!Q20&lt;Time!$F$12,SUMIFS(Funding!$J$70:$BJ$70,Construction!$J$12:$BJ$12,"&lt;="&amp;Time!Q20)+SUMIFS(Funding!$J$71:$BJ$71,Construction!$J$12:$BJ$12,"&lt;="&amp;Time!Q20),Waterfall!Q36)</f>
        <v>221.342665997654</v>
      </c>
      <c r="R23" s="13" t="n">
        <f aca="false">IF(Time!R20&lt;Time!$F$12,SUMIFS(Funding!$J$70:$BJ$70,Construction!$J$12:$BJ$12,"&lt;="&amp;Time!R20)+SUMIFS(Funding!$J$71:$BJ$71,Construction!$J$12:$BJ$12,"&lt;="&amp;Time!R20),Waterfall!R36)</f>
        <v>231.942857235022</v>
      </c>
      <c r="S23" s="13" t="n">
        <f aca="false">IF(Time!S20&lt;Time!$F$12,SUMIFS(Funding!$J$70:$BJ$70,Construction!$J$12:$BJ$12,"&lt;="&amp;Time!S20)+SUMIFS(Funding!$J$71:$BJ$71,Construction!$J$12:$BJ$12,"&lt;="&amp;Time!S20),Waterfall!S36)</f>
        <v>242.869589920381</v>
      </c>
      <c r="T23" s="13" t="n">
        <f aca="false">IF(Time!T20&lt;Time!$F$12,SUMIFS(Funding!$J$70:$BJ$70,Construction!$J$12:$BJ$12,"&lt;="&amp;Time!T20)+SUMIFS(Funding!$J$71:$BJ$71,Construction!$J$12:$BJ$12,"&lt;="&amp;Time!T20),Waterfall!T36)</f>
        <v>254.500714391089</v>
      </c>
      <c r="U23" s="13" t="n">
        <f aca="false">IF(Time!U20&lt;Time!$F$12,SUMIFS(Funding!$J$70:$BJ$70,Construction!$J$12:$BJ$12,"&lt;="&amp;Time!U20)+SUMIFS(Funding!$J$71:$BJ$71,Construction!$J$12:$BJ$12,"&lt;="&amp;Time!U20),Waterfall!U36)</f>
        <v>266.556378368683</v>
      </c>
      <c r="V23" s="13" t="n">
        <f aca="false">IF(Time!V20&lt;Time!$F$12,SUMIFS(Funding!$J$70:$BJ$70,Construction!$J$12:$BJ$12,"&lt;="&amp;Time!V20)+SUMIFS(Funding!$J$71:$BJ$71,Construction!$J$12:$BJ$12,"&lt;="&amp;Time!V20),Waterfall!V36)</f>
        <v>237.558746397902</v>
      </c>
      <c r="W23" s="13" t="n">
        <f aca="false">IF(Time!W20&lt;Time!$F$12,SUMIFS(Funding!$J$70:$BJ$70,Construction!$J$12:$BJ$12,"&lt;="&amp;Time!W20)+SUMIFS(Funding!$J$71:$BJ$71,Construction!$J$12:$BJ$12,"&lt;="&amp;Time!W20),Waterfall!W36)</f>
        <v>225.950266975925</v>
      </c>
      <c r="X23" s="13" t="n">
        <f aca="false">IF(Time!X20&lt;Time!$F$12,SUMIFS(Funding!$J$70:$BJ$70,Construction!$J$12:$BJ$12,"&lt;="&amp;Time!X20)+SUMIFS(Funding!$J$71:$BJ$71,Construction!$J$12:$BJ$12,"&lt;="&amp;Time!X20),Waterfall!X36)</f>
        <v>216.041843140822</v>
      </c>
      <c r="Y23" s="13" t="n">
        <f aca="false">IF(Time!Y20&lt;Time!$F$12,SUMIFS(Funding!$J$70:$BJ$70,Construction!$J$12:$BJ$12,"&lt;="&amp;Time!Y20)+SUMIFS(Funding!$J$71:$BJ$71,Construction!$J$12:$BJ$12,"&lt;="&amp;Time!Y20),Waterfall!Y36)</f>
        <v>208.49371915794</v>
      </c>
      <c r="Z23" s="13" t="n">
        <f aca="false">IF(Time!Z20&lt;Time!$F$12,SUMIFS(Funding!$J$70:$BJ$70,Construction!$J$12:$BJ$12,"&lt;="&amp;Time!Z20)+SUMIFS(Funding!$J$71:$BJ$71,Construction!$J$12:$BJ$12,"&lt;="&amp;Time!Z20),Waterfall!Z36)</f>
        <v>199.674948745736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191.271785790688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181.734567129374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172.314842714405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162.884698530266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151.978165634161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139.312266218837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127.217213379379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113.680307239886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100.160364132614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85.1974816756549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70.1720071492493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54.2075613955971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37.4009458957242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17.1442219168017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0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884</v>
      </c>
      <c r="E24" s="0" t="s">
        <v>149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0</v>
      </c>
      <c r="P24" s="13" t="n">
        <f aca="false">Operations!P90+Operations!P91+Operations!P92+Operations!P93+Operations!P94</f>
        <v>23.6664719370157</v>
      </c>
      <c r="Q24" s="13" t="n">
        <f aca="false">Operations!Q90+Operations!Q91+Operations!Q92+Operations!Q93+Operations!Q94</f>
        <v>41.5318886733805</v>
      </c>
      <c r="R24" s="13" t="n">
        <f aca="false">Operations!R90+Operations!R91+Operations!R92+Operations!R93+Operations!R94</f>
        <v>80.9116268324265</v>
      </c>
      <c r="S24" s="13" t="n">
        <f aca="false">Operations!S90+Operations!S91+Operations!S92+Operations!S93+Operations!S94</f>
        <v>115.161630039499</v>
      </c>
      <c r="T24" s="13" t="n">
        <f aca="false">Operations!T90+Operations!T91+Operations!T92+Operations!T93+Operations!T94</f>
        <v>82.3069232023795</v>
      </c>
      <c r="U24" s="13" t="n">
        <f aca="false">Operations!U90+Operations!U91+Operations!U92+Operations!U93+Operations!U94</f>
        <v>53.4906672973572</v>
      </c>
      <c r="V24" s="13" t="n">
        <f aca="false">Operations!V90+Operations!V91+Operations!V92+Operations!V93+Operations!V94</f>
        <v>35.3770860942684</v>
      </c>
      <c r="W24" s="13" t="n">
        <f aca="false">Operations!W90+Operations!W91+Operations!W92+Operations!W93+Operations!W94</f>
        <v>25.79479288819</v>
      </c>
      <c r="X24" s="13" t="n">
        <f aca="false">Operations!X90+Operations!X91+Operations!X92+Operations!X93+Operations!X94</f>
        <v>25.622195345749</v>
      </c>
      <c r="Y24" s="13" t="n">
        <f aca="false">Operations!Y90+Operations!Y91+Operations!Y92+Operations!Y93+Operations!Y94</f>
        <v>27.2010261533894</v>
      </c>
      <c r="Z24" s="13" t="n">
        <f aca="false">Operations!Z90+Operations!Z91+Operations!Z92+Operations!Z93+Operations!Z94</f>
        <v>26.810995073505</v>
      </c>
      <c r="AA24" s="13" t="n">
        <f aca="false">Operations!AA90+Operations!AA91+Operations!AA92+Operations!AA93+Operations!AA94</f>
        <v>27.5268592348853</v>
      </c>
      <c r="AB24" s="13" t="n">
        <f aca="false">Operations!AB90+Operations!AB91+Operations!AB92+Operations!AB93+Operations!AB94</f>
        <v>27.1882376550327</v>
      </c>
      <c r="AC24" s="13" t="n">
        <f aca="false">Operations!AC90+Operations!AC91+Operations!AC92+Operations!AC93+Operations!AC94</f>
        <v>28.1636558438566</v>
      </c>
      <c r="AD24" s="13" t="n">
        <f aca="false">Operations!AD90+Operations!AD91+Operations!AD92+Operations!AD93+Operations!AD94</f>
        <v>27.6972838273637</v>
      </c>
      <c r="AE24" s="13" t="n">
        <f aca="false">Operations!AE90+Operations!AE91+Operations!AE92+Operations!AE93+Operations!AE94</f>
        <v>27.4879765885965</v>
      </c>
      <c r="AF24" s="13" t="n">
        <f aca="false">Operations!AF90+Operations!AF91+Operations!AF92+Operations!AF93+Operations!AF94</f>
        <v>27.3334452431948</v>
      </c>
      <c r="AG24" s="13" t="n">
        <f aca="false">Operations!AG90+Operations!AG91+Operations!AG92+Operations!AG93+Operations!AG94</f>
        <v>29.4291301690876</v>
      </c>
      <c r="AH24" s="13" t="n">
        <f aca="false">Operations!AH90+Operations!AH91+Operations!AH92+Operations!AH93+Operations!AH94</f>
        <v>28.9845912517994</v>
      </c>
      <c r="AI24" s="13" t="n">
        <f aca="false">Operations!AI90+Operations!AI91+Operations!AI92+Operations!AI93+Operations!AI94</f>
        <v>29.7529075583354</v>
      </c>
      <c r="AJ24" s="13" t="n">
        <f aca="false">Operations!AJ90+Operations!AJ91+Operations!AJ92+Operations!AJ93+Operations!AJ94</f>
        <v>29.3866627745055</v>
      </c>
      <c r="AK24" s="13" t="n">
        <f aca="false">Operations!AK90+Operations!AK91+Operations!AK92+Operations!AK93+Operations!AK94</f>
        <v>30.4391231617535</v>
      </c>
      <c r="AL24" s="13" t="n">
        <f aca="false">Operations!AL90+Operations!AL91+Operations!AL92+Operations!AL93+Operations!AL94</f>
        <v>30.0243376232046</v>
      </c>
      <c r="AM24" s="13" t="n">
        <f aca="false">Operations!AM90+Operations!AM91+Operations!AM92+Operations!AM93+Operations!AM94</f>
        <v>30.2577245330665</v>
      </c>
      <c r="AN24" s="13" t="n">
        <f aca="false">Operations!AN90+Operations!AN91+Operations!AN92+Operations!AN93+Operations!AN94</f>
        <v>29.9977632735553</v>
      </c>
      <c r="AO24" s="13" t="n">
        <f aca="false">Operations!AO90+Operations!AO91+Operations!AO92+Operations!AO93+Operations!AO94</f>
        <v>31.8073885115473</v>
      </c>
      <c r="AP24" s="13" t="n">
        <f aca="false">Operations!AP90+Operations!AP91+Operations!AP92+Operations!AP93+Operations!AP94</f>
        <v>31.326623563732</v>
      </c>
      <c r="AQ24" s="13" t="n">
        <f aca="false">Operations!AQ90+Operations!AQ91+Operations!AQ92+Operations!AQ93+Operations!AQ94</f>
        <v>32.1572073031034</v>
      </c>
      <c r="AR24" s="13" t="n">
        <f aca="false">Operations!AR90+Operations!AR91+Operations!AR92+Operations!AR93+Operations!AR94</f>
        <v>31.7611587447194</v>
      </c>
      <c r="AS24" s="13" t="n">
        <f aca="false">Operations!AS90+Operations!AS91+Operations!AS92+Operations!AS93+Operations!AS94</f>
        <v>32.8990988110277</v>
      </c>
      <c r="AT24" s="13" t="n">
        <f aca="false">Operations!AT90+Operations!AT91+Operations!AT92+Operations!AT93+Operations!AT94</f>
        <v>32.3536730853034</v>
      </c>
      <c r="AU24" s="13" t="n">
        <f aca="false">Operations!AU90+Operations!AU91+Operations!AU92+Operations!AU93+Operations!AU94</f>
        <v>32.1074800711268</v>
      </c>
      <c r="AV24" s="13" t="n">
        <f aca="false">Operations!AV90+Operations!AV91+Operations!AV92+Operations!AV93+Operations!AV94</f>
        <v>31.9267544100263</v>
      </c>
      <c r="AW24" s="13" t="n">
        <f aca="false">Operations!AW90+Operations!AW91+Operations!AW92+Operations!AW93+Operations!AW94</f>
        <v>34.3785229883997</v>
      </c>
      <c r="AX24" s="13" t="n">
        <f aca="false">Operations!AX90+Operations!AX91+Operations!AX92+Operations!AX93+Operations!AX94</f>
        <v>33.8585914721947</v>
      </c>
      <c r="AY24" s="13" t="n">
        <f aca="false">Operations!AY90+Operations!AY91+Operations!AY92+Operations!AY93+Operations!AY94</f>
        <v>34.7564857859901</v>
      </c>
      <c r="AZ24" s="13" t="n">
        <f aca="false">Operations!AZ90+Operations!AZ91+Operations!AZ92+Operations!AZ93+Operations!AZ94</f>
        <v>34.3282168119673</v>
      </c>
      <c r="BA24" s="13" t="n">
        <f aca="false">Operations!BA90+Operations!BA91+Operations!BA92+Operations!BA93+Operations!BA94</f>
        <v>35.5585608242924</v>
      </c>
      <c r="BB24" s="13" t="n">
        <f aca="false">Operations!BB90+Operations!BB91+Operations!BB92+Operations!BB93+Operations!BB94</f>
        <v>35.0736225593434</v>
      </c>
      <c r="BC24" s="13" t="n">
        <f aca="false">Operations!BC90+Operations!BC91+Operations!BC92+Operations!BC93+Operations!BC94</f>
        <v>35.345294813007</v>
      </c>
      <c r="BD24" s="13" t="n">
        <f aca="false">Operations!BD90+Operations!BD91+Operations!BD92+Operations!BD93+Operations!BD94</f>
        <v>35.0414543108402</v>
      </c>
      <c r="BE24" s="13" t="n">
        <f aca="false">Operations!BE90+Operations!BE91+Operations!BE92+Operations!BE93+Operations!BE94</f>
        <v>37.1581707731221</v>
      </c>
      <c r="BF24" s="13" t="n">
        <f aca="false">Operations!BF90+Operations!BF91+Operations!BF92+Operations!BF93+Operations!BF94</f>
        <v>36.5958952161789</v>
      </c>
      <c r="BG24" s="13" t="n">
        <f aca="false">Operations!BG90+Operations!BG91+Operations!BG92+Operations!BG93+Operations!BG94</f>
        <v>37.5665504339361</v>
      </c>
      <c r="BH24" s="13" t="n">
        <f aca="false">Operations!BH90+Operations!BH91+Operations!BH92+Operations!BH93+Operations!BH94</f>
        <v>37.1034499650786</v>
      </c>
      <c r="BI24" s="13" t="n">
        <f aca="false">Operations!BI90+Operations!BI91+Operations!BI92+Operations!BI93+Operations!BI94</f>
        <v>38.4336807939039</v>
      </c>
      <c r="BJ24" s="13" t="n">
        <f aca="false">Operations!BJ90+Operations!BJ91+Operations!BJ92+Operations!BJ93+Operations!BJ94</f>
        <v>37.7959067970688</v>
      </c>
      <c r="BK24" s="13" t="n">
        <f aca="false">Operations!BK90+Operations!BK91+Operations!BK92+Operations!BK93+Operations!BK94</f>
        <v>37.5064795632564</v>
      </c>
      <c r="BL24" s="13" t="n">
        <f aca="false">Operations!BL90+Operations!BL91+Operations!BL92+Operations!BL93+Operations!BL94</f>
        <v>37.295127334241</v>
      </c>
      <c r="BM24" s="13" t="n">
        <f aca="false">Operations!BM90+Operations!BM91+Operations!BM92+Operations!BM93+Operations!BM94</f>
        <v>40.1632355491571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885</v>
      </c>
      <c r="E25" s="0" t="s">
        <v>149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0</v>
      </c>
      <c r="AK25" s="13" t="n">
        <f aca="false">MAX(0,AK12)</f>
        <v>0</v>
      </c>
      <c r="AL25" s="13" t="n">
        <f aca="false">MAX(0,AL12)</f>
        <v>6.01571898798622</v>
      </c>
      <c r="AM25" s="13" t="n">
        <f aca="false">MAX(0,AM12)</f>
        <v>12.9120426956556</v>
      </c>
      <c r="AN25" s="13" t="n">
        <f aca="false">MAX(0,AN12)</f>
        <v>21.3085535349995</v>
      </c>
      <c r="AO25" s="13" t="n">
        <f aca="false">MAX(0,AO12)</f>
        <v>30.2425293836979</v>
      </c>
      <c r="AP25" s="13" t="n">
        <f aca="false">MAX(0,AP12)</f>
        <v>33.9213377604314</v>
      </c>
      <c r="AQ25" s="13" t="n">
        <f aca="false">MAX(0,AQ12)</f>
        <v>34.928902248365</v>
      </c>
      <c r="AR25" s="13" t="n">
        <f aca="false">MAX(0,AR12)</f>
        <v>35.9364667362986</v>
      </c>
      <c r="AS25" s="13" t="n">
        <f aca="false">MAX(0,AS12)</f>
        <v>36.9440312242322</v>
      </c>
      <c r="AT25" s="13" t="n">
        <f aca="false">MAX(0,AT12)</f>
        <v>37.9515957121658</v>
      </c>
      <c r="AU25" s="13" t="n">
        <f aca="false">MAX(0,AU12)</f>
        <v>38.9591602000994</v>
      </c>
      <c r="AV25" s="13" t="n">
        <f aca="false">MAX(0,AV12)</f>
        <v>39.966724688033</v>
      </c>
      <c r="AW25" s="13" t="n">
        <f aca="false">MAX(0,AW12)</f>
        <v>40.9742891759667</v>
      </c>
      <c r="AX25" s="13" t="n">
        <f aca="false">MAX(0,AX12)</f>
        <v>41.9818536639002</v>
      </c>
      <c r="AY25" s="13" t="n">
        <f aca="false">MAX(0,AY12)</f>
        <v>42.9894181518339</v>
      </c>
      <c r="AZ25" s="13" t="n">
        <f aca="false">MAX(0,AZ12)</f>
        <v>43.9969826397675</v>
      </c>
      <c r="BA25" s="13" t="n">
        <f aca="false">MAX(0,BA12)</f>
        <v>45.0045471277011</v>
      </c>
      <c r="BB25" s="13" t="n">
        <f aca="false">MAX(0,BB12)</f>
        <v>46.0121116156346</v>
      </c>
      <c r="BC25" s="13" t="n">
        <f aca="false">MAX(0,BC12)</f>
        <v>47.0196761035682</v>
      </c>
      <c r="BD25" s="13" t="n">
        <f aca="false">MAX(0,BD12)</f>
        <v>47.0616579572322</v>
      </c>
      <c r="BE25" s="13" t="n">
        <f aca="false">MAX(0,BE12)</f>
        <v>42.2757266395476</v>
      </c>
      <c r="BF25" s="13" t="n">
        <f aca="false">MAX(0,BF12)</f>
        <v>37.4897953218629</v>
      </c>
      <c r="BG25" s="13" t="n">
        <f aca="false">MAX(0,BG12)</f>
        <v>32.7038640041783</v>
      </c>
      <c r="BH25" s="13" t="n">
        <f aca="false">MAX(0,BH12)</f>
        <v>27.9179326864937</v>
      </c>
      <c r="BI25" s="13" t="n">
        <f aca="false">MAX(0,BI12)</f>
        <v>23.132001368809</v>
      </c>
      <c r="BJ25" s="13" t="n">
        <f aca="false">MAX(0,BJ12)</f>
        <v>18.3460700511244</v>
      </c>
      <c r="BK25" s="13" t="n">
        <f aca="false">MAX(0,BK12)</f>
        <v>13.5601387334398</v>
      </c>
      <c r="BL25" s="13" t="n">
        <f aca="false">MAX(0,BL12)</f>
        <v>8.77420741575514</v>
      </c>
      <c r="BM25" s="13" t="n">
        <f aca="false">MAX(0,BM12)</f>
        <v>3.98827609807053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733</v>
      </c>
      <c r="E26" s="0" t="s">
        <v>149</v>
      </c>
      <c r="J26" s="13" t="n">
        <f aca="false">SUMIFS(Funding!$J$69:$BJ$69,Construction!$J$12:$BJ$12,"&lt;="&amp;Time!J20)</f>
        <v>7.03759718841744</v>
      </c>
      <c r="K26" s="13" t="n">
        <f aca="false">SUMIFS(Funding!$J$69:$BJ$69,Construction!$J$12:$BJ$12,"&lt;="&amp;Time!K20)</f>
        <v>10.3471324312257</v>
      </c>
      <c r="L26" s="13" t="n">
        <f aca="false">SUMIFS(Funding!$J$69:$BJ$69,Construction!$J$12:$BJ$12,"&lt;="&amp;Time!L20)</f>
        <v>16.8123549557075</v>
      </c>
      <c r="M26" s="13" t="n">
        <f aca="false">SUMIFS(Funding!$J$69:$BJ$69,Construction!$J$12:$BJ$12,"&lt;="&amp;Time!M20)</f>
        <v>24.9741655640359</v>
      </c>
      <c r="N26" s="13" t="n">
        <f aca="false">SUMIFS(Funding!$J$69:$BJ$69,Construction!$J$12:$BJ$12,"&lt;="&amp;Time!N20)</f>
        <v>32.4714699786073</v>
      </c>
      <c r="O26" s="13" t="n">
        <f aca="false">SUMIFS(Funding!$J$69:$BJ$69,Construction!$J$12:$BJ$12,"&lt;="&amp;Time!O20)</f>
        <v>37.9851352595004</v>
      </c>
      <c r="P26" s="13" t="n">
        <f aca="false">SUMIFS(Funding!$J$69:$BJ$69,Construction!$J$12:$BJ$12,"&lt;="&amp;Time!P20)</f>
        <v>45.0328912836418</v>
      </c>
      <c r="Q26" s="13" t="n">
        <f aca="false">SUMIFS(Funding!$J$69:$BJ$69,Construction!$J$12:$BJ$12,"&lt;="&amp;Time!Q20)</f>
        <v>45.0328912836418</v>
      </c>
      <c r="R26" s="13" t="n">
        <f aca="false">SUMIFS(Funding!$J$69:$BJ$69,Construction!$J$12:$BJ$12,"&lt;="&amp;Time!R20)</f>
        <v>45.0328912836418</v>
      </c>
      <c r="S26" s="13" t="n">
        <f aca="false">SUMIFS(Funding!$J$69:$BJ$69,Construction!$J$12:$BJ$12,"&lt;="&amp;Time!S20)</f>
        <v>45.0328912836418</v>
      </c>
      <c r="T26" s="13" t="n">
        <f aca="false">SUMIFS(Funding!$J$69:$BJ$69,Construction!$J$12:$BJ$12,"&lt;="&amp;Time!T20)</f>
        <v>45.0328912836418</v>
      </c>
      <c r="U26" s="13" t="n">
        <f aca="false">SUMIFS(Funding!$J$69:$BJ$69,Construction!$J$12:$BJ$12,"&lt;="&amp;Time!U20)</f>
        <v>45.0328912836418</v>
      </c>
      <c r="V26" s="13" t="n">
        <f aca="false">SUMIFS(Funding!$J$69:$BJ$69,Construction!$J$12:$BJ$12,"&lt;="&amp;Time!V20)</f>
        <v>45.0328912836418</v>
      </c>
      <c r="W26" s="13" t="n">
        <f aca="false">SUMIFS(Funding!$J$69:$BJ$69,Construction!$J$12:$BJ$12,"&lt;="&amp;Time!W20)</f>
        <v>45.0328912836418</v>
      </c>
      <c r="X26" s="13" t="n">
        <f aca="false">SUMIFS(Funding!$J$69:$BJ$69,Construction!$J$12:$BJ$12,"&lt;="&amp;Time!X20)</f>
        <v>45.0328912836418</v>
      </c>
      <c r="Y26" s="13" t="n">
        <f aca="false">SUMIFS(Funding!$J$69:$BJ$69,Construction!$J$12:$BJ$12,"&lt;="&amp;Time!Y20)</f>
        <v>45.0328912836418</v>
      </c>
      <c r="Z26" s="13" t="n">
        <f aca="false">SUMIFS(Funding!$J$69:$BJ$69,Construction!$J$12:$BJ$12,"&lt;="&amp;Time!Z20)</f>
        <v>45.0328912836418</v>
      </c>
      <c r="AA26" s="13" t="n">
        <f aca="false">SUMIFS(Funding!$J$69:$BJ$69,Construction!$J$12:$BJ$12,"&lt;="&amp;Time!AA20)</f>
        <v>45.0328912836418</v>
      </c>
      <c r="AB26" s="13" t="n">
        <f aca="false">SUMIFS(Funding!$J$69:$BJ$69,Construction!$J$12:$BJ$12,"&lt;="&amp;Time!AB20)</f>
        <v>45.0328912836418</v>
      </c>
      <c r="AC26" s="13" t="n">
        <f aca="false">SUMIFS(Funding!$J$69:$BJ$69,Construction!$J$12:$BJ$12,"&lt;="&amp;Time!AC20)</f>
        <v>45.0328912836418</v>
      </c>
      <c r="AD26" s="13" t="n">
        <f aca="false">SUMIFS(Funding!$J$69:$BJ$69,Construction!$J$12:$BJ$12,"&lt;="&amp;Time!AD20)</f>
        <v>45.0328912836418</v>
      </c>
      <c r="AE26" s="13" t="n">
        <f aca="false">SUMIFS(Funding!$J$69:$BJ$69,Construction!$J$12:$BJ$12,"&lt;="&amp;Time!AE20)</f>
        <v>45.0328912836418</v>
      </c>
      <c r="AF26" s="13" t="n">
        <f aca="false">SUMIFS(Funding!$J$69:$BJ$69,Construction!$J$12:$BJ$12,"&lt;="&amp;Time!AF20)</f>
        <v>45.0328912836418</v>
      </c>
      <c r="AG26" s="13" t="n">
        <f aca="false">SUMIFS(Funding!$J$69:$BJ$69,Construction!$J$12:$BJ$12,"&lt;="&amp;Time!AG20)</f>
        <v>45.0328912836418</v>
      </c>
      <c r="AH26" s="13" t="n">
        <f aca="false">SUMIFS(Funding!$J$69:$BJ$69,Construction!$J$12:$BJ$12,"&lt;="&amp;Time!AH20)</f>
        <v>45.0328912836418</v>
      </c>
      <c r="AI26" s="13" t="n">
        <f aca="false">SUMIFS(Funding!$J$69:$BJ$69,Construction!$J$12:$BJ$12,"&lt;="&amp;Time!AI20)</f>
        <v>45.0328912836418</v>
      </c>
      <c r="AJ26" s="13" t="n">
        <f aca="false">SUMIFS(Funding!$J$69:$BJ$69,Construction!$J$12:$BJ$12,"&lt;="&amp;Time!AJ20)</f>
        <v>45.0328912836418</v>
      </c>
      <c r="AK26" s="13" t="n">
        <f aca="false">SUMIFS(Funding!$J$69:$BJ$69,Construction!$J$12:$BJ$12,"&lt;="&amp;Time!AK20)</f>
        <v>45.0328912836418</v>
      </c>
      <c r="AL26" s="13" t="n">
        <f aca="false">SUMIFS(Funding!$J$69:$BJ$69,Construction!$J$12:$BJ$12,"&lt;="&amp;Time!AL20)</f>
        <v>45.0328912836418</v>
      </c>
      <c r="AM26" s="13" t="n">
        <f aca="false">SUMIFS(Funding!$J$69:$BJ$69,Construction!$J$12:$BJ$12,"&lt;="&amp;Time!AM20)</f>
        <v>45.0328912836418</v>
      </c>
      <c r="AN26" s="13" t="n">
        <f aca="false">SUMIFS(Funding!$J$69:$BJ$69,Construction!$J$12:$BJ$12,"&lt;="&amp;Time!AN20)</f>
        <v>45.0328912836418</v>
      </c>
      <c r="AO26" s="13" t="n">
        <f aca="false">SUMIFS(Funding!$J$69:$BJ$69,Construction!$J$12:$BJ$12,"&lt;="&amp;Time!AO20)</f>
        <v>45.0328912836418</v>
      </c>
      <c r="AP26" s="13" t="n">
        <f aca="false">SUMIFS(Funding!$J$69:$BJ$69,Construction!$J$12:$BJ$12,"&lt;="&amp;Time!AP20)</f>
        <v>45.0328912836418</v>
      </c>
      <c r="AQ26" s="13" t="n">
        <f aca="false">SUMIFS(Funding!$J$69:$BJ$69,Construction!$J$12:$BJ$12,"&lt;="&amp;Time!AQ20)</f>
        <v>45.0328912836418</v>
      </c>
      <c r="AR26" s="13" t="n">
        <f aca="false">SUMIFS(Funding!$J$69:$BJ$69,Construction!$J$12:$BJ$12,"&lt;="&amp;Time!AR20)</f>
        <v>45.0328912836418</v>
      </c>
      <c r="AS26" s="13" t="n">
        <f aca="false">SUMIFS(Funding!$J$69:$BJ$69,Construction!$J$12:$BJ$12,"&lt;="&amp;Time!AS20)</f>
        <v>45.0328912836418</v>
      </c>
      <c r="AT26" s="13" t="n">
        <f aca="false">SUMIFS(Funding!$J$69:$BJ$69,Construction!$J$12:$BJ$12,"&lt;="&amp;Time!AT20)</f>
        <v>45.0328912836418</v>
      </c>
      <c r="AU26" s="13" t="n">
        <f aca="false">SUMIFS(Funding!$J$69:$BJ$69,Construction!$J$12:$BJ$12,"&lt;="&amp;Time!AU20)</f>
        <v>45.0328912836418</v>
      </c>
      <c r="AV26" s="13" t="n">
        <f aca="false">SUMIFS(Funding!$J$69:$BJ$69,Construction!$J$12:$BJ$12,"&lt;="&amp;Time!AV20)</f>
        <v>45.0328912836418</v>
      </c>
      <c r="AW26" s="13" t="n">
        <f aca="false">SUMIFS(Funding!$J$69:$BJ$69,Construction!$J$12:$BJ$12,"&lt;="&amp;Time!AW20)</f>
        <v>45.0328912836418</v>
      </c>
      <c r="AX26" s="13" t="n">
        <f aca="false">SUMIFS(Funding!$J$69:$BJ$69,Construction!$J$12:$BJ$12,"&lt;="&amp;Time!AX20)</f>
        <v>45.0328912836418</v>
      </c>
      <c r="AY26" s="13" t="n">
        <f aca="false">SUMIFS(Funding!$J$69:$BJ$69,Construction!$J$12:$BJ$12,"&lt;="&amp;Time!AY20)</f>
        <v>45.0328912836418</v>
      </c>
      <c r="AZ26" s="13" t="n">
        <f aca="false">SUMIFS(Funding!$J$69:$BJ$69,Construction!$J$12:$BJ$12,"&lt;="&amp;Time!AZ20)</f>
        <v>45.0328912836418</v>
      </c>
      <c r="BA26" s="13" t="n">
        <f aca="false">SUMIFS(Funding!$J$69:$BJ$69,Construction!$J$12:$BJ$12,"&lt;="&amp;Time!BA20)</f>
        <v>45.0328912836418</v>
      </c>
      <c r="BB26" s="13" t="n">
        <f aca="false">SUMIFS(Funding!$J$69:$BJ$69,Construction!$J$12:$BJ$12,"&lt;="&amp;Time!BB20)</f>
        <v>45.0328912836418</v>
      </c>
      <c r="BC26" s="13" t="n">
        <f aca="false">SUMIFS(Funding!$J$69:$BJ$69,Construction!$J$12:$BJ$12,"&lt;="&amp;Time!BC20)</f>
        <v>45.0328912836418</v>
      </c>
      <c r="BD26" s="13" t="n">
        <f aca="false">SUMIFS(Funding!$J$69:$BJ$69,Construction!$J$12:$BJ$12,"&lt;="&amp;Time!BD20)</f>
        <v>45.0328912836418</v>
      </c>
      <c r="BE26" s="13" t="n">
        <f aca="false">SUMIFS(Funding!$J$69:$BJ$69,Construction!$J$12:$BJ$12,"&lt;="&amp;Time!BE20)</f>
        <v>45.0328912836418</v>
      </c>
      <c r="BF26" s="13" t="n">
        <f aca="false">SUMIFS(Funding!$J$69:$BJ$69,Construction!$J$12:$BJ$12,"&lt;="&amp;Time!BF20)</f>
        <v>45.0328912836418</v>
      </c>
      <c r="BG26" s="13" t="n">
        <f aca="false">SUMIFS(Funding!$J$69:$BJ$69,Construction!$J$12:$BJ$12,"&lt;="&amp;Time!BG20)</f>
        <v>45.0328912836418</v>
      </c>
      <c r="BH26" s="13" t="n">
        <f aca="false">SUMIFS(Funding!$J$69:$BJ$69,Construction!$J$12:$BJ$12,"&lt;="&amp;Time!BH20)</f>
        <v>45.0328912836418</v>
      </c>
      <c r="BI26" s="13" t="n">
        <f aca="false">SUMIFS(Funding!$J$69:$BJ$69,Construction!$J$12:$BJ$12,"&lt;="&amp;Time!BI20)</f>
        <v>45.0328912836418</v>
      </c>
      <c r="BJ26" s="13" t="n">
        <f aca="false">SUMIFS(Funding!$J$69:$BJ$69,Construction!$J$12:$BJ$12,"&lt;="&amp;Time!BJ20)</f>
        <v>45.0328912836418</v>
      </c>
      <c r="BK26" s="13" t="n">
        <f aca="false">SUMIFS(Funding!$J$69:$BJ$69,Construction!$J$12:$BJ$12,"&lt;="&amp;Time!BK20)</f>
        <v>45.0328912836418</v>
      </c>
      <c r="BL26" s="13" t="n">
        <f aca="false">SUMIFS(Funding!$J$69:$BJ$69,Construction!$J$12:$BJ$12,"&lt;="&amp;Time!BL20)</f>
        <v>45.0328912836418</v>
      </c>
      <c r="BM26" s="13" t="n">
        <f aca="false">SUMIFS(Funding!$J$69:$BJ$69,Construction!$J$12:$BJ$12,"&lt;="&amp;Time!BM20)</f>
        <v>45.0328912836418</v>
      </c>
      <c r="BN26" s="13" t="n">
        <f aca="false">SUMIFS(Funding!$J$69:$BJ$69,Construction!$J$12:$BJ$12,"&lt;="&amp;Time!BN20)</f>
        <v>45.0328912836418</v>
      </c>
    </row>
    <row r="27" customFormat="false" ht="15" hidden="false" customHeight="false" outlineLevel="0" collapsed="false">
      <c r="D27" s="0" t="s">
        <v>886</v>
      </c>
      <c r="E27" s="0" t="s">
        <v>149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0</v>
      </c>
      <c r="P27" s="18" t="n">
        <f aca="false">Waterfall!P43</f>
        <v>4.60821163534267</v>
      </c>
      <c r="Q27" s="18" t="n">
        <f aca="false">Waterfall!Q43</f>
        <v>12.8461307136138</v>
      </c>
      <c r="R27" s="18" t="n">
        <f aca="false">Waterfall!R43</f>
        <v>17.1875648568017</v>
      </c>
      <c r="S27" s="18" t="n">
        <f aca="false">Waterfall!S43</f>
        <v>17.9079519913316</v>
      </c>
      <c r="T27" s="18" t="n">
        <f aca="false">Waterfall!T43</f>
        <v>18.1230720200166</v>
      </c>
      <c r="U27" s="18" t="n">
        <f aca="false">Waterfall!U43</f>
        <v>22.2091374802337</v>
      </c>
      <c r="V27" s="18" t="n">
        <f aca="false">Waterfall!V43</f>
        <v>28.2342401214598</v>
      </c>
      <c r="W27" s="18" t="n">
        <f aca="false">Waterfall!W43</f>
        <v>35.6775373234228</v>
      </c>
      <c r="X27" s="18" t="n">
        <f aca="false">Waterfall!X43</f>
        <v>47.1960378994873</v>
      </c>
      <c r="Y27" s="18" t="n">
        <f aca="false">Waterfall!Y43</f>
        <v>60.1666383584894</v>
      </c>
      <c r="Z27" s="18" t="n">
        <f aca="false">Waterfall!Z43</f>
        <v>72.6471318906551</v>
      </c>
      <c r="AA27" s="18" t="n">
        <f aca="false">Waterfall!AA43</f>
        <v>79.3842909416152</v>
      </c>
      <c r="AB27" s="18" t="n">
        <f aca="false">Waterfall!AB43</f>
        <v>86.7086449975905</v>
      </c>
      <c r="AC27" s="18" t="n">
        <f aca="false">Waterfall!AC43</f>
        <v>94.8653687498218</v>
      </c>
      <c r="AD27" s="18" t="n">
        <f aca="false">Waterfall!AD43</f>
        <v>103.7536299975</v>
      </c>
      <c r="AE27" s="18" t="n">
        <f aca="false">Waterfall!AE43</f>
        <v>102.917233739188</v>
      </c>
      <c r="AF27" s="18" t="n">
        <f aca="false">Waterfall!AF43</f>
        <v>114.231481341742</v>
      </c>
      <c r="AG27" s="18" t="n">
        <f aca="false">Waterfall!AG43</f>
        <v>125.801255857892</v>
      </c>
      <c r="AH27" s="18" t="n">
        <f aca="false">Waterfall!AH43</f>
        <v>138.219215610107</v>
      </c>
      <c r="AI27" s="18" t="n">
        <f aca="false">Waterfall!AI43</f>
        <v>151.771253487182</v>
      </c>
      <c r="AJ27" s="18" t="n">
        <f aca="false">Waterfall!AJ43</f>
        <v>166.260476502015</v>
      </c>
      <c r="AK27" s="18" t="n">
        <f aca="false">Waterfall!AK43</f>
        <v>181.852546073074</v>
      </c>
      <c r="AL27" s="18" t="n">
        <f aca="false">Waterfall!AL43</f>
        <v>198.543297582779</v>
      </c>
      <c r="AM27" s="18" t="n">
        <f aca="false">Waterfall!AM43</f>
        <v>214.232538955458</v>
      </c>
      <c r="AN27" s="18" t="n">
        <f aca="false">Waterfall!AN43</f>
        <v>233.419626184603</v>
      </c>
      <c r="AO27" s="18" t="n">
        <f aca="false">Waterfall!AO43</f>
        <v>250.057504004877</v>
      </c>
      <c r="AP27" s="18" t="n">
        <f aca="false">Waterfall!AP43</f>
        <v>252.948226831921</v>
      </c>
      <c r="AQ27" s="18" t="n">
        <f aca="false">Waterfall!AQ43</f>
        <v>260.243604196513</v>
      </c>
      <c r="AR27" s="18" t="n">
        <f aca="false">Waterfall!AR43</f>
        <v>267.47732066206</v>
      </c>
      <c r="AS27" s="18" t="n">
        <f aca="false">Waterfall!AS43</f>
        <v>276.272573790139</v>
      </c>
      <c r="AT27" s="18" t="n">
        <f aca="false">Waterfall!AT43</f>
        <v>289.772601155355</v>
      </c>
      <c r="AU27" s="18" t="n">
        <f aca="false">Waterfall!AU43</f>
        <v>254.913232840809</v>
      </c>
      <c r="AV27" s="18" t="n">
        <f aca="false">Waterfall!AV43</f>
        <v>237.091856417177</v>
      </c>
      <c r="AW27" s="18" t="n">
        <f aca="false">Waterfall!AW43</f>
        <v>220.404789674158</v>
      </c>
      <c r="AX27" s="18" t="n">
        <f aca="false">Waterfall!AX43</f>
        <v>203.07241699518</v>
      </c>
      <c r="AY27" s="18" t="n">
        <f aca="false">Waterfall!AY43</f>
        <v>186.300571909424</v>
      </c>
      <c r="AZ27" s="18" t="n">
        <f aca="false">Waterfall!AZ43</f>
        <v>168.967478561853</v>
      </c>
      <c r="BA27" s="18" t="n">
        <f aca="false">Waterfall!BA43</f>
        <v>152.107303122189</v>
      </c>
      <c r="BB27" s="18" t="n">
        <f aca="false">Waterfall!BB43</f>
        <v>135.146224515909</v>
      </c>
      <c r="BC27" s="18" t="n">
        <f aca="false">Waterfall!BC43</f>
        <v>115.406110284319</v>
      </c>
      <c r="BD27" s="18" t="n">
        <f aca="false">Waterfall!BD43</f>
        <v>100.089794794006</v>
      </c>
      <c r="BE27" s="18" t="n">
        <f aca="false">Waterfall!BE43</f>
        <v>93.37565146917</v>
      </c>
      <c r="BF27" s="18" t="n">
        <f aca="false">Waterfall!BF43</f>
        <v>86.1063645850583</v>
      </c>
      <c r="BG27" s="18" t="n">
        <f aca="false">Waterfall!BG43</f>
        <v>79.4380513746225</v>
      </c>
      <c r="BH27" s="18" t="n">
        <f aca="false">Waterfall!BH43</f>
        <v>72.2083303061419</v>
      </c>
      <c r="BI27" s="18" t="n">
        <f aca="false">Waterfall!BI43</f>
        <v>65.4888910188879</v>
      </c>
      <c r="BJ27" s="18" t="n">
        <f aca="false">Waterfall!BJ43</f>
        <v>58.3960818967486</v>
      </c>
      <c r="BK27" s="18" t="n">
        <f aca="false">Waterfall!BK43</f>
        <v>29.2698254433552</v>
      </c>
      <c r="BL27" s="18" t="n">
        <f aca="false">Waterfall!BL43</f>
        <v>19.1365392416807</v>
      </c>
      <c r="BM27" s="18" t="n">
        <f aca="false">Waterfall!BM43</f>
        <v>9.5192975512087</v>
      </c>
      <c r="BN27" s="18" t="n">
        <f aca="false">Waterfall!BN43</f>
        <v>-45.0328912836132</v>
      </c>
    </row>
    <row r="28" customFormat="false" ht="15" hidden="false" customHeight="false" outlineLevel="0" collapsed="false">
      <c r="D28" s="0" t="s">
        <v>887</v>
      </c>
      <c r="E28" s="0" t="s">
        <v>149</v>
      </c>
      <c r="J28" s="13" t="n">
        <f aca="false">J22+J23+J24+J25+J26+J27</f>
        <v>136.475812766185</v>
      </c>
      <c r="K28" s="13" t="n">
        <f aca="false">K22+K23+K24+K25+K26+K27</f>
        <v>201.865960814572</v>
      </c>
      <c r="L28" s="13" t="n">
        <f aca="false">L22+L23+L24+L25+L26+L27</f>
        <v>329.091284829459</v>
      </c>
      <c r="M28" s="13" t="n">
        <f aca="false">M22+M23+M24+M25+M26+M27</f>
        <v>490.536919332989</v>
      </c>
      <c r="N28" s="13" t="n">
        <f aca="false">N22+N23+N24+N25+N26+N27</f>
        <v>640.988862498363</v>
      </c>
      <c r="O28" s="13" t="n">
        <f aca="false">O22+O23+O24+O25+O26+O27</f>
        <v>754.682145800469</v>
      </c>
      <c r="P28" s="13" t="n">
        <f aca="false">P22+P23+P24+P25+P26+P27</f>
        <v>928.244006183052</v>
      </c>
      <c r="Q28" s="13" t="n">
        <f aca="false">Q22+Q23+Q24+Q25+Q26+Q27</f>
        <v>929.486094884484</v>
      </c>
      <c r="R28" s="13" t="n">
        <f aca="false">R22+R23+R24+R25+R26+R27</f>
        <v>967.172236241451</v>
      </c>
      <c r="S28" s="13" t="n">
        <f aca="false">S22+S23+S24+S25+S26+S27</f>
        <v>995.841408050474</v>
      </c>
      <c r="T28" s="13" t="n">
        <f aca="false">T22+T23+T24+T25+T26+T27</f>
        <v>967.619080385987</v>
      </c>
      <c r="U28" s="13" t="n">
        <f aca="false">U22+U23+U24+U25+U26+U27</f>
        <v>933.698728143266</v>
      </c>
      <c r="V28" s="13" t="n">
        <f aca="false">V22+V23+V24+V25+V26+V27</f>
        <v>870.517665228364</v>
      </c>
      <c r="W28" s="13" t="n">
        <f aca="false">W22+W23+W24+W25+W26+W27</f>
        <v>834.773614770672</v>
      </c>
      <c r="X28" s="13" t="n">
        <f aca="false">X22+X23+X24+X25+X26+X27</f>
        <v>821.14461582139</v>
      </c>
      <c r="Y28" s="13" t="n">
        <f aca="false">Y22+Y23+Y24+Y25+Y26+Y27</f>
        <v>814.006083991742</v>
      </c>
      <c r="Z28" s="13" t="n">
        <f aca="false">Z22+Z23+Z24+Z25+Z26+Z27</f>
        <v>802.289500771324</v>
      </c>
      <c r="AA28" s="13" t="n">
        <f aca="false">AA22+AA23+AA24+AA25+AA26+AA27</f>
        <v>786.141813967231</v>
      </c>
      <c r="AB28" s="13" t="n">
        <f aca="false">AB22+AB23+AB24+AB25+AB26+AB27</f>
        <v>767.538886152889</v>
      </c>
      <c r="AC28" s="13" t="n">
        <f aca="false">AC22+AC23+AC24+AC25+AC26+AC27</f>
        <v>750.868631006652</v>
      </c>
      <c r="AD28" s="13" t="n">
        <f aca="false">AD22+AD23+AD24+AD25+AD26+AD27</f>
        <v>732.644788110564</v>
      </c>
      <c r="AE28" s="13" t="n">
        <f aca="false">AE22+AE23+AE24+AE25+AE26+AE27</f>
        <v>701.985274507029</v>
      </c>
      <c r="AF28" s="13" t="n">
        <f aca="false">AF22+AF23+AF24+AF25+AF26+AF27</f>
        <v>680.689422728462</v>
      </c>
      <c r="AG28" s="13" t="n">
        <f aca="false">AG22+AG23+AG24+AG25+AG26+AG27</f>
        <v>662.313381310649</v>
      </c>
      <c r="AH28" s="13" t="n">
        <f aca="false">AH22+AH23+AH24+AH25+AH26+AH27</f>
        <v>639.734677876432</v>
      </c>
      <c r="AI28" s="13" t="n">
        <f aca="false">AI22+AI23+AI24+AI25+AI26+AI27</f>
        <v>619.035514573629</v>
      </c>
      <c r="AJ28" s="13" t="n">
        <f aca="false">AJ22+AJ23+AJ24+AJ25+AJ26+AJ27</f>
        <v>595.634025100478</v>
      </c>
      <c r="AK28" s="13" t="n">
        <f aca="false">AK22+AK23+AK24+AK25+AK26+AK27</f>
        <v>574.187107531392</v>
      </c>
      <c r="AL28" s="13" t="n">
        <f aca="false">AL22+AL23+AL24+AL25+AL26+AL27</f>
        <v>556.396162704097</v>
      </c>
      <c r="AM28" s="13" t="n">
        <f aca="false">AM22+AM23+AM24+AM25+AM26+AM27</f>
        <v>537.236617735282</v>
      </c>
      <c r="AN28" s="13" t="n">
        <f aca="false">AN22+AN23+AN24+AN25+AN26+AN27</f>
        <v>517.947129414513</v>
      </c>
      <c r="AO28" s="13" t="n">
        <f aca="false">AO22+AO23+AO24+AO25+AO26+AO27</f>
        <v>503.015172265553</v>
      </c>
      <c r="AP28" s="13" t="n">
        <f aca="false">AP22+AP23+AP24+AP25+AP26+AP27</f>
        <v>486.081041142979</v>
      </c>
      <c r="AQ28" s="13" t="n">
        <f aca="false">AQ22+AQ23+AQ24+AQ25+AQ26+AQ27</f>
        <v>473.350410641199</v>
      </c>
      <c r="AR28" s="13" t="n">
        <f aca="false">AR22+AR23+AR24+AR25+AR26+AR27</f>
        <v>458.188015908195</v>
      </c>
      <c r="AS28" s="13" t="n">
        <f aca="false">AS22+AS23+AS24+AS25+AS26+AS27</f>
        <v>445.592966079608</v>
      </c>
      <c r="AT28" s="13" t="n">
        <f aca="false">AT22+AT23+AT24+AT25+AT26+AT27</f>
        <v>434.893323627691</v>
      </c>
      <c r="AU28" s="13" t="n">
        <f aca="false">AU22+AU23+AU24+AU25+AU26+AU27</f>
        <v>371.012764395678</v>
      </c>
      <c r="AV28" s="13" t="n">
        <f aca="false">AV22+AV23+AV24+AV25+AV26+AV27</f>
        <v>354.018226798879</v>
      </c>
      <c r="AW28" s="13" t="n">
        <f aca="false">AW22+AW23+AW24+AW25+AW26+AW27</f>
        <v>340.790493122167</v>
      </c>
      <c r="AX28" s="13" t="n">
        <f aca="false">AX22+AX23+AX24+AX25+AX26+AX27</f>
        <v>323.945753414918</v>
      </c>
      <c r="AY28" s="13" t="n">
        <f aca="false">AY22+AY23+AY24+AY25+AY26+AY27</f>
        <v>309.07936713089</v>
      </c>
      <c r="AZ28" s="13" t="n">
        <f aca="false">AZ22+AZ23+AZ24+AZ25+AZ26+AZ27</f>
        <v>292.32556929723</v>
      </c>
      <c r="BA28" s="13" t="n">
        <f aca="false">BA22+BA23+BA24+BA25+BA26+BA27</f>
        <v>277.703302357824</v>
      </c>
      <c r="BB28" s="13" t="n">
        <f aca="false">BB22+BB23+BB24+BB25+BB26+BB27</f>
        <v>261.26484997453</v>
      </c>
      <c r="BC28" s="13" t="n">
        <f aca="false">BC22+BC23+BC24+BC25+BC26+BC27</f>
        <v>242.803972484537</v>
      </c>
      <c r="BD28" s="13" t="n">
        <f aca="false">BD22+BD23+BD24+BD25+BD26+BD27</f>
        <v>227.225798345721</v>
      </c>
      <c r="BE28" s="13" t="n">
        <f aca="false">BE22+BE23+BE24+BE25+BE26+BE27</f>
        <v>217.842440165482</v>
      </c>
      <c r="BF28" s="13" t="n">
        <f aca="false">BF22+BF23+BF24+BF25+BF26+BF27</f>
        <v>205.224946406743</v>
      </c>
      <c r="BG28" s="13" t="n">
        <f aca="false">BG22+BG23+BG24+BG25+BG26+BG27</f>
        <v>194.741357096379</v>
      </c>
      <c r="BH28" s="13" t="n">
        <f aca="false">BH22+BH23+BH24+BH25+BH26+BH27</f>
        <v>182.262604241357</v>
      </c>
      <c r="BI28" s="13" t="n">
        <f aca="false">BI22+BI23+BI24+BI25+BI26+BI27</f>
        <v>172.087464465243</v>
      </c>
      <c r="BJ28" s="13" t="n">
        <f aca="false">BJ22+BJ23+BJ24+BJ25+BJ26+BJ27</f>
        <v>159.570950028584</v>
      </c>
      <c r="BK28" s="13" t="n">
        <f aca="false">BK22+BK23+BK24+BK25+BK26+BK27</f>
        <v>125.369335023694</v>
      </c>
      <c r="BL28" s="13" t="n">
        <f aca="false">BL22+BL23+BL24+BL25+BL26+BL27</f>
        <v>110.238765275319</v>
      </c>
      <c r="BM28" s="13" t="n">
        <f aca="false">BM22+BM23+BM24+BM25+BM26+BM27</f>
        <v>98.7037004820788</v>
      </c>
      <c r="BN28" s="13" t="n">
        <f aca="false">BN22+BN23+BN24+BN25+BN26+BN27</f>
        <v>2.93027824227465E-011</v>
      </c>
    </row>
    <row r="29" customFormat="false" ht="15" hidden="false" customHeight="false" outlineLevel="0" collapsed="false">
      <c r="D29" s="0" t="s">
        <v>888</v>
      </c>
      <c r="E29" s="0" t="s">
        <v>149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-2.92175172944553E-011</v>
      </c>
      <c r="R29" s="13" t="n">
        <f aca="false">R21-R28</f>
        <v>-2.91038304567337E-011</v>
      </c>
      <c r="S29" s="13" t="n">
        <f aca="false">S21-S28</f>
        <v>-2.91038304567337E-011</v>
      </c>
      <c r="T29" s="13" t="n">
        <f aca="false">T21-T28</f>
        <v>-2.92175172944553E-011</v>
      </c>
      <c r="U29" s="13" t="n">
        <f aca="false">U21-U28</f>
        <v>-2.93312041321769E-011</v>
      </c>
      <c r="V29" s="13" t="n">
        <f aca="false">V21-V28</f>
        <v>-2.93312041321769E-011</v>
      </c>
      <c r="W29" s="13" t="n">
        <f aca="false">W21-W28</f>
        <v>-2.93312041321769E-011</v>
      </c>
      <c r="X29" s="13" t="n">
        <f aca="false">X21-X28</f>
        <v>-2.93312041321769E-011</v>
      </c>
      <c r="Y29" s="13" t="n">
        <f aca="false">Y21-Y28</f>
        <v>-2.92175172944553E-011</v>
      </c>
      <c r="Z29" s="13" t="n">
        <f aca="false">Z21-Z28</f>
        <v>-2.93312041321769E-011</v>
      </c>
      <c r="AA29" s="13" t="n">
        <f aca="false">AA21-AA28</f>
        <v>-2.93312041321769E-011</v>
      </c>
      <c r="AB29" s="13" t="n">
        <f aca="false">AB21-AB28</f>
        <v>-2.92175172944553E-011</v>
      </c>
      <c r="AC29" s="13" t="n">
        <f aca="false">AC21-AC28</f>
        <v>-2.92175172944553E-011</v>
      </c>
      <c r="AD29" s="13" t="n">
        <f aca="false">AD21-AD28</f>
        <v>-2.93312041321769E-011</v>
      </c>
      <c r="AE29" s="13" t="n">
        <f aca="false">AE21-AE28</f>
        <v>-2.89901436190121E-011</v>
      </c>
      <c r="AF29" s="13" t="n">
        <f aca="false">AF21-AF28</f>
        <v>-2.89901436190121E-011</v>
      </c>
      <c r="AG29" s="13" t="n">
        <f aca="false">AG21-AG28</f>
        <v>-2.92175172944553E-011</v>
      </c>
      <c r="AH29" s="13" t="n">
        <f aca="false">AH21-AH28</f>
        <v>-2.92175172944553E-011</v>
      </c>
      <c r="AI29" s="13" t="n">
        <f aca="false">AI21-AI28</f>
        <v>-2.92175172944553E-011</v>
      </c>
      <c r="AJ29" s="13" t="n">
        <f aca="false">AJ21-AJ28</f>
        <v>-2.92175172944553E-011</v>
      </c>
      <c r="AK29" s="13" t="n">
        <f aca="false">AK21-AK28</f>
        <v>-2.92175172944553E-011</v>
      </c>
      <c r="AL29" s="13" t="n">
        <f aca="false">AL21-AL28</f>
        <v>-2.93312041321769E-011</v>
      </c>
      <c r="AM29" s="13" t="n">
        <f aca="false">AM21-AM28</f>
        <v>-2.92175172944553E-011</v>
      </c>
      <c r="AN29" s="13" t="n">
        <f aca="false">AN21-AN28</f>
        <v>-2.92175172944553E-011</v>
      </c>
      <c r="AO29" s="13" t="n">
        <f aca="false">AO21-AO28</f>
        <v>-2.93312041321769E-011</v>
      </c>
      <c r="AP29" s="13" t="n">
        <f aca="false">AP21-AP28</f>
        <v>-2.92743607133161E-011</v>
      </c>
      <c r="AQ29" s="13" t="n">
        <f aca="false">AQ21-AQ28</f>
        <v>-2.92175172944553E-011</v>
      </c>
      <c r="AR29" s="13" t="n">
        <f aca="false">AR21-AR28</f>
        <v>-2.92175172944553E-011</v>
      </c>
      <c r="AS29" s="13" t="n">
        <f aca="false">AS21-AS28</f>
        <v>-2.93312041321769E-011</v>
      </c>
      <c r="AT29" s="13" t="n">
        <f aca="false">AT21-AT28</f>
        <v>-2.92743607133161E-011</v>
      </c>
      <c r="AU29" s="13" t="n">
        <f aca="false">AU21-AU28</f>
        <v>-2.92175172944553E-011</v>
      </c>
      <c r="AV29" s="13" t="n">
        <f aca="false">AV21-AV28</f>
        <v>-2.92743607133161E-011</v>
      </c>
      <c r="AW29" s="13" t="n">
        <f aca="false">AW21-AW28</f>
        <v>-2.92175172944553E-011</v>
      </c>
      <c r="AX29" s="13" t="n">
        <f aca="false">AX21-AX28</f>
        <v>-2.93312041321769E-011</v>
      </c>
      <c r="AY29" s="13" t="n">
        <f aca="false">AY21-AY28</f>
        <v>-2.93312041321769E-011</v>
      </c>
      <c r="AZ29" s="13" t="n">
        <f aca="false">AZ21-AZ28</f>
        <v>-2.92743607133161E-011</v>
      </c>
      <c r="BA29" s="13" t="n">
        <f aca="false">BA21-BA28</f>
        <v>-2.92743607133161E-011</v>
      </c>
      <c r="BB29" s="13" t="n">
        <f aca="false">BB21-BB28</f>
        <v>-2.93312041321769E-011</v>
      </c>
      <c r="BC29" s="13" t="n">
        <f aca="false">BC21-BC28</f>
        <v>-2.93312041321769E-011</v>
      </c>
      <c r="BD29" s="13" t="n">
        <f aca="false">BD21-BD28</f>
        <v>-2.93312041321769E-011</v>
      </c>
      <c r="BE29" s="13" t="n">
        <f aca="false">BE21-BE28</f>
        <v>-2.93027824227465E-011</v>
      </c>
      <c r="BF29" s="13" t="n">
        <f aca="false">BF21-BF28</f>
        <v>-2.93880475510377E-011</v>
      </c>
      <c r="BG29" s="13" t="n">
        <f aca="false">BG21-BG28</f>
        <v>-2.93596258416073E-011</v>
      </c>
      <c r="BH29" s="13" t="n">
        <f aca="false">BH21-BH28</f>
        <v>-2.93312041321769E-011</v>
      </c>
      <c r="BI29" s="13" t="n">
        <f aca="false">BI21-BI28</f>
        <v>-2.93027824227465E-011</v>
      </c>
      <c r="BJ29" s="13" t="n">
        <f aca="false">BJ21-BJ28</f>
        <v>-2.93880475510377E-011</v>
      </c>
      <c r="BK29" s="13" t="n">
        <f aca="false">BK21-BK28</f>
        <v>-2.93596258416073E-011</v>
      </c>
      <c r="BL29" s="13" t="n">
        <f aca="false">BL21-BL28</f>
        <v>-2.93312041321769E-011</v>
      </c>
      <c r="BM29" s="13" t="n">
        <f aca="false">BM21-BM28</f>
        <v>-2.93027824227465E-011</v>
      </c>
      <c r="BN29" s="13" t="n">
        <f aca="false">BN21-BN28</f>
        <v>-2.93027824227465E-011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889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890</v>
      </c>
      <c r="E7" s="0" t="s">
        <v>99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</v>
      </c>
      <c r="Q7" s="16" t="n">
        <f aca="false">IF(Debt!Q115&gt;Inputs!$F$253,Debt!Q112/Debt!Q115,0)</f>
        <v>0.0302888272540555</v>
      </c>
      <c r="R7" s="16" t="n">
        <f aca="false">IF(Debt!R115&gt;Inputs!$F$253,Debt!R112/Debt!R115,0)</f>
        <v>0.0342417468318529</v>
      </c>
      <c r="S7" s="16" t="n">
        <f aca="false">IF(Debt!S115&gt;Inputs!$F$253,Debt!S112/Debt!S115,0)</f>
        <v>0.0368560411202581</v>
      </c>
      <c r="T7" s="16" t="n">
        <f aca="false">IF(Debt!T115&gt;Inputs!$F$253,Debt!T112/Debt!T115,0)</f>
        <v>0.0407352021012527</v>
      </c>
      <c r="U7" s="16" t="n">
        <f aca="false">IF(Debt!U115&gt;Inputs!$F$253,Debt!U112/Debt!U115,0)</f>
        <v>0.0402339102448041</v>
      </c>
      <c r="V7" s="16" t="n">
        <f aca="false">IF(Debt!V115&gt;Inputs!$F$253,Debt!V112/Debt!V115,0)</f>
        <v>0.0405975501883714</v>
      </c>
      <c r="W7" s="16" t="n">
        <f aca="false">IF(Debt!W115&gt;Inputs!$F$253,Debt!W112/Debt!W115,0)</f>
        <v>0.0361834884533022</v>
      </c>
      <c r="X7" s="16" t="n">
        <f aca="false">IF(Debt!X115&gt;Inputs!$F$253,Debt!X112/Debt!X115,0)</f>
        <v>0.0348188634493065</v>
      </c>
      <c r="Y7" s="16" t="n">
        <f aca="false">IF(Debt!Y115&gt;Inputs!$F$253,Debt!Y112/Debt!Y115,0)</f>
        <v>0.0345044218786411</v>
      </c>
      <c r="Z7" s="16" t="n">
        <f aca="false">IF(Debt!Z115&gt;Inputs!$F$253,Debt!Z112/Debt!Z115,0)</f>
        <v>0.0347073438531436</v>
      </c>
      <c r="AA7" s="16" t="n">
        <f aca="false">IF(Debt!AA115&gt;Inputs!$F$253,Debt!AA112/Debt!AA115,0)</f>
        <v>0.0346152862147889</v>
      </c>
      <c r="AB7" s="16" t="n">
        <f aca="false">IF(Debt!AB115&gt;Inputs!$F$253,Debt!AB112/Debt!AB115,0)</f>
        <v>0.0348534630566013</v>
      </c>
      <c r="AC7" s="16" t="n">
        <f aca="false">IF(Debt!AC115&gt;Inputs!$F$253,Debt!AC112/Debt!AC115,0)</f>
        <v>0.0349203473235067</v>
      </c>
      <c r="AD7" s="16" t="n">
        <f aca="false">IF(Debt!AD115&gt;Inputs!$F$253,Debt!AD112/Debt!AD115,0)</f>
        <v>0.0351421640993142</v>
      </c>
      <c r="AE7" s="16" t="n">
        <f aca="false">IF(Debt!AE115&gt;Inputs!$F$253,Debt!AE112/Debt!AE115,0)</f>
        <v>0.0351878920734518</v>
      </c>
      <c r="AF7" s="16" t="n">
        <f aca="false">IF(Debt!AF115&gt;Inputs!$F$253,Debt!AF112/Debt!AF115,0)</f>
        <v>0.0354933245595079</v>
      </c>
      <c r="AG7" s="16" t="n">
        <f aca="false">IF(Debt!AG115&gt;Inputs!$F$253,Debt!AG112/Debt!AG115,0)</f>
        <v>0.0355955443402776</v>
      </c>
      <c r="AH7" s="16" t="n">
        <f aca="false">IF(Debt!AH115&gt;Inputs!$F$253,Debt!AH112/Debt!AH115,0)</f>
        <v>0.0359505439455626</v>
      </c>
      <c r="AI7" s="16" t="n">
        <f aca="false">IF(Debt!AI115&gt;Inputs!$F$253,Debt!AI112/Debt!AI115,0)</f>
        <v>0.0361352530849748</v>
      </c>
      <c r="AJ7" s="16" t="n">
        <f aca="false">IF(Debt!AJ115&gt;Inputs!$F$253,Debt!AJ112/Debt!AJ115,0)</f>
        <v>0.036581603606488</v>
      </c>
      <c r="AK7" s="16" t="n">
        <f aca="false">IF(Debt!AK115&gt;Inputs!$F$253,Debt!AK112/Debt!AK115,0)</f>
        <v>0.0369391554936318</v>
      </c>
      <c r="AL7" s="16" t="n">
        <f aca="false">IF(Debt!AL115&gt;Inputs!$F$253,Debt!AL112/Debt!AL115,0)</f>
        <v>0.0375139037210276</v>
      </c>
      <c r="AM7" s="16" t="n">
        <f aca="false">IF(Debt!AM115&gt;Inputs!$F$253,Debt!AM112/Debt!AM115,0)</f>
        <v>0.0380987083145747</v>
      </c>
      <c r="AN7" s="16" t="n">
        <f aca="false">IF(Debt!AN115&gt;Inputs!$F$253,Debt!AN112/Debt!AN115,0)</f>
        <v>0.0390218878259371</v>
      </c>
      <c r="AO7" s="16" t="n">
        <f aca="false">IF(Debt!AO115&gt;Inputs!$F$253,Debt!AO112/Debt!AO115,0)</f>
        <v>0.0400471411500472</v>
      </c>
      <c r="AP7" s="16" t="n">
        <f aca="false">IF(Debt!AP115&gt;Inputs!$F$253,Debt!AP112/Debt!AP115,0)</f>
        <v>0.0415009741464098</v>
      </c>
      <c r="AQ7" s="16" t="n">
        <f aca="false">IF(Debt!AQ115&gt;Inputs!$F$253,Debt!AQ112/Debt!AQ115,0)</f>
        <v>0.0415009741464098</v>
      </c>
      <c r="AR7" s="16" t="n">
        <f aca="false">IF(Debt!AR115&gt;Inputs!$F$253,Debt!AR112/Debt!AR115,0)</f>
        <v>0.0415009741464098</v>
      </c>
      <c r="AS7" s="16" t="n">
        <f aca="false">IF(Debt!AS115&gt;Inputs!$F$253,Debt!AS112/Debt!AS115,0)</f>
        <v>0.0415009741464098</v>
      </c>
      <c r="AT7" s="16" t="n">
        <f aca="false">IF(Debt!AT115&gt;Inputs!$F$253,Debt!AT112/Debt!AT115,0)</f>
        <v>0.0415009741464098</v>
      </c>
      <c r="AU7" s="16" t="n">
        <f aca="false">IF(Debt!AU115&gt;Inputs!$F$253,Debt!AU112/Debt!AU115,0)</f>
        <v>0.0415009741464098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891</v>
      </c>
      <c r="E8" s="0" t="s">
        <v>91</v>
      </c>
      <c r="F8" s="10" t="n">
        <f aca="false">SUMPRODUCT(MAX((Debt!$J$115:$BN$115&gt;Inputs!$F$253)*Time!$J$20:$BN$20))</f>
        <v>38</v>
      </c>
    </row>
    <row r="9" customFormat="false" ht="15" hidden="false" customHeight="false" outlineLevel="0" collapsed="false">
      <c r="D9" s="0" t="s">
        <v>892</v>
      </c>
      <c r="E9" s="0" t="s">
        <v>99</v>
      </c>
      <c r="F9" s="16" t="n">
        <f aca="false">INDEX(Ratios!$J$7:$BN$7,1,Ratios!$F$8)</f>
        <v>0.0415009741464098</v>
      </c>
    </row>
    <row r="10" customFormat="false" ht="15" hidden="false" customHeight="false" outlineLevel="0" collapsed="false">
      <c r="D10" s="0" t="s">
        <v>893</v>
      </c>
      <c r="E10" s="0" t="s">
        <v>99</v>
      </c>
      <c r="J10" s="16" t="n">
        <f aca="false">IF(J7&gt;0,J7,$F$9)</f>
        <v>0.0415009741464098</v>
      </c>
      <c r="K10" s="16" t="n">
        <f aca="false">IF(K7&gt;0,K7,$F$9)</f>
        <v>0.0415009741464098</v>
      </c>
      <c r="L10" s="16" t="n">
        <f aca="false">IF(L7&gt;0,L7,$F$9)</f>
        <v>0.0415009741464098</v>
      </c>
      <c r="M10" s="16" t="n">
        <f aca="false">IF(M7&gt;0,M7,$F$9)</f>
        <v>0.0415009741464098</v>
      </c>
      <c r="N10" s="16" t="n">
        <f aca="false">IF(N7&gt;0,N7,$F$9)</f>
        <v>0.0415009741464098</v>
      </c>
      <c r="O10" s="16" t="n">
        <f aca="false">IF(O7&gt;0,O7,$F$9)</f>
        <v>0.0415009741464098</v>
      </c>
      <c r="P10" s="16" t="n">
        <f aca="false">IF(P7&gt;0,P7,$F$9)</f>
        <v>0.0415009741464098</v>
      </c>
      <c r="Q10" s="16" t="n">
        <f aca="false">IF(Q7&gt;0,Q7,$F$9)</f>
        <v>0.0302888272540555</v>
      </c>
      <c r="R10" s="16" t="n">
        <f aca="false">IF(R7&gt;0,R7,$F$9)</f>
        <v>0.0342417468318529</v>
      </c>
      <c r="S10" s="16" t="n">
        <f aca="false">IF(S7&gt;0,S7,$F$9)</f>
        <v>0.0368560411202581</v>
      </c>
      <c r="T10" s="16" t="n">
        <f aca="false">IF(T7&gt;0,T7,$F$9)</f>
        <v>0.0407352021012527</v>
      </c>
      <c r="U10" s="16" t="n">
        <f aca="false">IF(U7&gt;0,U7,$F$9)</f>
        <v>0.0402339102448041</v>
      </c>
      <c r="V10" s="16" t="n">
        <f aca="false">IF(V7&gt;0,V7,$F$9)</f>
        <v>0.0405975501883714</v>
      </c>
      <c r="W10" s="16" t="n">
        <f aca="false">IF(W7&gt;0,W7,$F$9)</f>
        <v>0.0361834884533022</v>
      </c>
      <c r="X10" s="16" t="n">
        <f aca="false">IF(X7&gt;0,X7,$F$9)</f>
        <v>0.0348188634493065</v>
      </c>
      <c r="Y10" s="16" t="n">
        <f aca="false">IF(Y7&gt;0,Y7,$F$9)</f>
        <v>0.0345044218786411</v>
      </c>
      <c r="Z10" s="16" t="n">
        <f aca="false">IF(Z7&gt;0,Z7,$F$9)</f>
        <v>0.0347073438531436</v>
      </c>
      <c r="AA10" s="16" t="n">
        <f aca="false">IF(AA7&gt;0,AA7,$F$9)</f>
        <v>0.0346152862147889</v>
      </c>
      <c r="AB10" s="16" t="n">
        <f aca="false">IF(AB7&gt;0,AB7,$F$9)</f>
        <v>0.0348534630566013</v>
      </c>
      <c r="AC10" s="16" t="n">
        <f aca="false">IF(AC7&gt;0,AC7,$F$9)</f>
        <v>0.0349203473235067</v>
      </c>
      <c r="AD10" s="16" t="n">
        <f aca="false">IF(AD7&gt;0,AD7,$F$9)</f>
        <v>0.0351421640993142</v>
      </c>
      <c r="AE10" s="16" t="n">
        <f aca="false">IF(AE7&gt;0,AE7,$F$9)</f>
        <v>0.0351878920734518</v>
      </c>
      <c r="AF10" s="16" t="n">
        <f aca="false">IF(AF7&gt;0,AF7,$F$9)</f>
        <v>0.0354933245595079</v>
      </c>
      <c r="AG10" s="16" t="n">
        <f aca="false">IF(AG7&gt;0,AG7,$F$9)</f>
        <v>0.0355955443402776</v>
      </c>
      <c r="AH10" s="16" t="n">
        <f aca="false">IF(AH7&gt;0,AH7,$F$9)</f>
        <v>0.0359505439455626</v>
      </c>
      <c r="AI10" s="16" t="n">
        <f aca="false">IF(AI7&gt;0,AI7,$F$9)</f>
        <v>0.0361352530849748</v>
      </c>
      <c r="AJ10" s="16" t="n">
        <f aca="false">IF(AJ7&gt;0,AJ7,$F$9)</f>
        <v>0.036581603606488</v>
      </c>
      <c r="AK10" s="16" t="n">
        <f aca="false">IF(AK7&gt;0,AK7,$F$9)</f>
        <v>0.0369391554936318</v>
      </c>
      <c r="AL10" s="16" t="n">
        <f aca="false">IF(AL7&gt;0,AL7,$F$9)</f>
        <v>0.0375139037210276</v>
      </c>
      <c r="AM10" s="16" t="n">
        <f aca="false">IF(AM7&gt;0,AM7,$F$9)</f>
        <v>0.0380987083145747</v>
      </c>
      <c r="AN10" s="16" t="n">
        <f aca="false">IF(AN7&gt;0,AN7,$F$9)</f>
        <v>0.0390218878259371</v>
      </c>
      <c r="AO10" s="16" t="n">
        <f aca="false">IF(AO7&gt;0,AO7,$F$9)</f>
        <v>0.0400471411500472</v>
      </c>
      <c r="AP10" s="16" t="n">
        <f aca="false">IF(AP7&gt;0,AP7,$F$9)</f>
        <v>0.0415009741464098</v>
      </c>
      <c r="AQ10" s="16" t="n">
        <f aca="false">IF(AQ7&gt;0,AQ7,$F$9)</f>
        <v>0.0415009741464098</v>
      </c>
      <c r="AR10" s="16" t="n">
        <f aca="false">IF(AR7&gt;0,AR7,$F$9)</f>
        <v>0.0415009741464098</v>
      </c>
      <c r="AS10" s="16" t="n">
        <f aca="false">IF(AS7&gt;0,AS7,$F$9)</f>
        <v>0.0415009741464098</v>
      </c>
      <c r="AT10" s="16" t="n">
        <f aca="false">IF(AT7&gt;0,AT7,$F$9)</f>
        <v>0.0415009741464098</v>
      </c>
      <c r="AU10" s="16" t="n">
        <f aca="false">IF(AU7&gt;0,AU7,$F$9)</f>
        <v>0.0415009741464098</v>
      </c>
      <c r="AV10" s="16" t="n">
        <f aca="false">IF(AV7&gt;0,AV7,$F$9)</f>
        <v>0.0415009741464098</v>
      </c>
      <c r="AW10" s="16" t="n">
        <f aca="false">IF(AW7&gt;0,AW7,$F$9)</f>
        <v>0.0415009741464098</v>
      </c>
      <c r="AX10" s="16" t="n">
        <f aca="false">IF(AX7&gt;0,AX7,$F$9)</f>
        <v>0.0415009741464098</v>
      </c>
      <c r="AY10" s="16" t="n">
        <f aca="false">IF(AY7&gt;0,AY7,$F$9)</f>
        <v>0.0415009741464098</v>
      </c>
      <c r="AZ10" s="16" t="n">
        <f aca="false">IF(AZ7&gt;0,AZ7,$F$9)</f>
        <v>0.0415009741464098</v>
      </c>
      <c r="BA10" s="16" t="n">
        <f aca="false">IF(BA7&gt;0,BA7,$F$9)</f>
        <v>0.0415009741464098</v>
      </c>
      <c r="BB10" s="16" t="n">
        <f aca="false">IF(BB7&gt;0,BB7,$F$9)</f>
        <v>0.0415009741464098</v>
      </c>
      <c r="BC10" s="16" t="n">
        <f aca="false">IF(BC7&gt;0,BC7,$F$9)</f>
        <v>0.0415009741464098</v>
      </c>
      <c r="BD10" s="16" t="n">
        <f aca="false">IF(BD7&gt;0,BD7,$F$9)</f>
        <v>0.0415009741464098</v>
      </c>
      <c r="BE10" s="16" t="n">
        <f aca="false">IF(BE7&gt;0,BE7,$F$9)</f>
        <v>0.0415009741464098</v>
      </c>
      <c r="BF10" s="16" t="n">
        <f aca="false">IF(BF7&gt;0,BF7,$F$9)</f>
        <v>0.0415009741464098</v>
      </c>
      <c r="BG10" s="16" t="n">
        <f aca="false">IF(BG7&gt;0,BG7,$F$9)</f>
        <v>0.0415009741464098</v>
      </c>
      <c r="BH10" s="16" t="n">
        <f aca="false">IF(BH7&gt;0,BH7,$F$9)</f>
        <v>0.0415009741464098</v>
      </c>
      <c r="BI10" s="16" t="n">
        <f aca="false">IF(BI7&gt;0,BI7,$F$9)</f>
        <v>0.0415009741464098</v>
      </c>
      <c r="BJ10" s="16" t="n">
        <f aca="false">IF(BJ7&gt;0,BJ7,$F$9)</f>
        <v>0.0415009741464098</v>
      </c>
      <c r="BK10" s="16" t="n">
        <f aca="false">IF(BK7&gt;0,BK7,$F$9)</f>
        <v>0.0415009741464098</v>
      </c>
      <c r="BL10" s="16" t="n">
        <f aca="false">IF(BL7&gt;0,BL7,$F$9)</f>
        <v>0.0415009741464098</v>
      </c>
      <c r="BM10" s="16" t="n">
        <f aca="false">IF(BM7&gt;0,BM7,$F$9)</f>
        <v>0.0415009741464098</v>
      </c>
      <c r="BN10" s="16" t="n">
        <f aca="false">IF(BN7&gt;0,BN7,$F$9)</f>
        <v>0.0415009741464098</v>
      </c>
    </row>
    <row r="11" customFormat="false" ht="15" hidden="false" customHeight="false" outlineLevel="0" collapsed="false">
      <c r="D11" s="0" t="s">
        <v>894</v>
      </c>
      <c r="E11" s="0" t="s">
        <v>149</v>
      </c>
      <c r="J11" s="13" t="n">
        <f aca="false">IF(Time!J20&lt;=$F$8,(Waterfall!J7+K11)/(1+J10),0)</f>
        <v>683.232393517849</v>
      </c>
      <c r="K11" s="13" t="n">
        <f aca="false">IF(Time!K20&lt;=$F$8,(Waterfall!K7+L11)/(1+K10),0)</f>
        <v>711.587203417223</v>
      </c>
      <c r="L11" s="13" t="n">
        <f aca="false">IF(Time!L20&lt;=$F$8,(Waterfall!L7+M11)/(1+L10),0)</f>
        <v>741.118765549157</v>
      </c>
      <c r="M11" s="13" t="n">
        <f aca="false">IF(Time!M20&lt;=$F$8,(Waterfall!M7+N11)/(1+M10),0)</f>
        <v>771.875916277632</v>
      </c>
      <c r="N11" s="13" t="n">
        <f aca="false">IF(Time!N20&lt;=$F$8,(Waterfall!N7+O11)/(1+N10),0)</f>
        <v>803.909518723307</v>
      </c>
      <c r="O11" s="13" t="n">
        <f aca="false">IF(Time!O20&lt;=$F$8,(Waterfall!O7+P11)/(1+O10),0)</f>
        <v>837.272546875895</v>
      </c>
      <c r="P11" s="13" t="n">
        <f aca="false">IF(Time!P20&lt;=$F$8,(Waterfall!P7+Q11)/(1+P10),0)</f>
        <v>872.020173197291</v>
      </c>
      <c r="Q11" s="13" t="n">
        <f aca="false">IF(Time!Q20&lt;=$F$8,(Waterfall!Q7+R11)/(1+Q10),0)</f>
        <v>914.502494198834</v>
      </c>
      <c r="R11" s="13" t="n">
        <f aca="false">IF(Time!R20&lt;=$F$8,(Waterfall!R7+S11)/(1+R10),0)</f>
        <v>897.400665755436</v>
      </c>
      <c r="S11" s="13" t="n">
        <f aca="false">IF(Time!S20&lt;=$F$8,(Waterfall!S7+T11)/(1+S10),0)</f>
        <v>890.763862976919</v>
      </c>
      <c r="T11" s="13" t="n">
        <f aca="false">IF(Time!T20&lt;=$F$8,(Waterfall!T7+U11)/(1+T10),0)</f>
        <v>887.823274752105</v>
      </c>
      <c r="U11" s="13" t="n">
        <f aca="false">IF(Time!U20&lt;=$F$8,(Waterfall!U7+V11)/(1+U10),0)</f>
        <v>867.79976088527</v>
      </c>
      <c r="V11" s="13" t="n">
        <f aca="false">IF(Time!V20&lt;=$F$8,(Waterfall!V7+W11)/(1+V10),0)</f>
        <v>845.330621389883</v>
      </c>
      <c r="W11" s="13" t="n">
        <f aca="false">IF(Time!W20&lt;=$F$8,(Waterfall!W7+X11)/(1+W10),0)</f>
        <v>822.974534108458</v>
      </c>
      <c r="X11" s="13" t="n">
        <f aca="false">IF(Time!X20&lt;=$F$8,(Waterfall!X7+Y11)/(1+X10),0)</f>
        <v>797.396224927297</v>
      </c>
      <c r="Y11" s="13" t="n">
        <f aca="false">IF(Time!Y20&lt;=$F$8,(Waterfall!Y7+Z11)/(1+Y10),0)</f>
        <v>773.47920467888</v>
      </c>
      <c r="Z11" s="13" t="n">
        <f aca="false">IF(Time!Z20&lt;=$F$8,(Waterfall!Z7+AA11)/(1+Z10),0)</f>
        <v>751.03316154478</v>
      </c>
      <c r="AA11" s="13" t="n">
        <f aca="false">IF(Time!AA20&lt;=$F$8,(Waterfall!AA7+AB11)/(1+AA10),0)</f>
        <v>727.240283117765</v>
      </c>
      <c r="AB11" s="13" t="n">
        <f aca="false">IF(Time!AB20&lt;=$F$8,(Waterfall!AB7+AC11)/(1+AB10),0)</f>
        <v>703.115199788571</v>
      </c>
      <c r="AC11" s="13" t="n">
        <f aca="false">IF(Time!AC20&lt;=$F$8,(Waterfall!AC7+AD11)/(1+AC10),0)</f>
        <v>677.634616290929</v>
      </c>
      <c r="AD11" s="13" t="n">
        <f aca="false">IF(Time!AD20&lt;=$F$8,(Waterfall!AD7+AE11)/(1+AD10),0)</f>
        <v>651.628225800524</v>
      </c>
      <c r="AE11" s="13" t="n">
        <f aca="false">IF(Time!AE20&lt;=$F$8,(Waterfall!AE7+AF11)/(1+AE10),0)</f>
        <v>624.299638363906</v>
      </c>
      <c r="AF11" s="13" t="n">
        <f aca="false">IF(Time!AF20&lt;=$F$8,(Waterfall!AF7+AG11)/(1+AF10),0)</f>
        <v>594.603094590145</v>
      </c>
      <c r="AG11" s="13" t="n">
        <f aca="false">IF(Time!AG20&lt;=$F$8,(Waterfall!AG7+AH11)/(1+AG10),0)</f>
        <v>563.188327286186</v>
      </c>
      <c r="AH11" s="13" t="n">
        <f aca="false">IF(Time!AH20&lt;=$F$8,(Waterfall!AH7+AI11)/(1+AH10),0)</f>
        <v>531.52468323429</v>
      </c>
      <c r="AI11" s="13" t="n">
        <f aca="false">IF(Time!AI20&lt;=$F$8,(Waterfall!AI7+AJ11)/(1+AI10),0)</f>
        <v>498.164438550635</v>
      </c>
      <c r="AJ11" s="13" t="n">
        <f aca="false">IF(Time!AJ20&lt;=$F$8,(Waterfall!AJ7+AK11)/(1+AJ10),0)</f>
        <v>464.035310912863</v>
      </c>
      <c r="AK11" s="13" t="n">
        <f aca="false">IF(Time!AK20&lt;=$F$8,(Waterfall!AK7+AL11)/(1+AK10),0)</f>
        <v>428.220312483912</v>
      </c>
      <c r="AL11" s="13" t="n">
        <f aca="false">IF(Time!AL20&lt;=$F$8,(Waterfall!AL7+AM11)/(1+AL10),0)</f>
        <v>391.604632435674</v>
      </c>
      <c r="AM11" s="13" t="n">
        <f aca="false">IF(Time!AM20&lt;=$F$8,(Waterfall!AM7+AN11)/(1+AM10),0)</f>
        <v>353.318638176892</v>
      </c>
      <c r="AN11" s="13" t="n">
        <f aca="false">IF(Time!AN20&lt;=$F$8,(Waterfall!AN7+AO11)/(1+AN10),0)</f>
        <v>313.359970156212</v>
      </c>
      <c r="AO11" s="13" t="n">
        <f aca="false">IF(Time!AO20&lt;=$F$8,(Waterfall!AO7+AP11)/(1+AO10),0)</f>
        <v>271.520956830388</v>
      </c>
      <c r="AP11" s="13" t="n">
        <f aca="false">IF(Time!AP20&lt;=$F$8,(Waterfall!AP7+AQ11)/(1+AP10),0)</f>
        <v>231.566523000815</v>
      </c>
      <c r="AQ11" s="13" t="n">
        <f aca="false">IF(Time!AQ20&lt;=$F$8,(Waterfall!AQ7+AR11)/(1+AQ10),0)</f>
        <v>195.01922266578</v>
      </c>
      <c r="AR11" s="13" t="n">
        <f aca="false">IF(Time!AR20&lt;=$F$8,(Waterfall!AR7+AS11)/(1+AR10),0)</f>
        <v>160.311346040442</v>
      </c>
      <c r="AS11" s="13" t="n">
        <f aca="false">IF(Time!AS20&lt;=$F$8,(Waterfall!AS7+AT11)/(1+AS10),0)</f>
        <v>123.788286119406</v>
      </c>
      <c r="AT11" s="13" t="n">
        <f aca="false">IF(Time!AT20&lt;=$F$8,(Waterfall!AT7+AU11)/(1+AT10),0)</f>
        <v>86.426775396273</v>
      </c>
      <c r="AU11" s="13" t="n">
        <f aca="false">IF(Time!AU20&lt;=$F$8,(Waterfall!AU7+AV11)/(1+AU10),0)</f>
        <v>47.2778137503145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895</v>
      </c>
      <c r="E12" s="0" t="s">
        <v>149</v>
      </c>
      <c r="J12" s="13" t="n">
        <f aca="false">IF(Time!J20&lt;=Time!$F$15,(Waterfall!J7+K12)/(1+J10),0)</f>
        <v>815.706426946008</v>
      </c>
      <c r="K12" s="13" t="n">
        <f aca="false">IF(Time!K20&lt;=Time!$F$15,(Waterfall!K7+L12)/(1+K10),0)</f>
        <v>849.559038281754</v>
      </c>
      <c r="L12" s="13" t="n">
        <f aca="false">IF(Time!L20&lt;=Time!$F$15,(Waterfall!L7+M12)/(1+L10),0)</f>
        <v>884.816565965334</v>
      </c>
      <c r="M12" s="13" t="n">
        <f aca="false">IF(Time!M20&lt;=Time!$F$15,(Waterfall!M7+N12)/(1+M10),0)</f>
        <v>921.537315393776</v>
      </c>
      <c r="N12" s="13" t="n">
        <f aca="false">IF(Time!N20&lt;=Time!$F$15,(Waterfall!N7+O12)/(1+N10),0)</f>
        <v>959.782011694885</v>
      </c>
      <c r="O12" s="13" t="n">
        <f aca="false">IF(Time!O20&lt;=Time!$F$15,(Waterfall!O7+P12)/(1+O10),0)</f>
        <v>999.613900148424</v>
      </c>
      <c r="P12" s="13" t="n">
        <f aca="false">IF(Time!P20&lt;=Time!$F$15,(Waterfall!P7+Q12)/(1+P10),0)</f>
        <v>1041.09885077488</v>
      </c>
      <c r="Q12" s="13" t="n">
        <f aca="false">IF(Time!Q20&lt;=Time!$F$15,(Waterfall!Q7+R12)/(1+Q10),0)</f>
        <v>1090.59810160328</v>
      </c>
      <c r="R12" s="13" t="n">
        <f aca="false">IF(Time!R20&lt;=Time!$F$15,(Waterfall!R7+S12)/(1+R10),0)</f>
        <v>1078.83000259275</v>
      </c>
      <c r="S12" s="13" t="n">
        <f aca="false">IF(Time!S20&lt;=Time!$F$15,(Waterfall!S7+T12)/(1+S10),0)</f>
        <v>1078.40565723409</v>
      </c>
      <c r="T12" s="13" t="n">
        <f aca="false">IF(Time!T20&lt;=Time!$F$15,(Waterfall!T7+U12)/(1+T10),0)</f>
        <v>1082.38080269429</v>
      </c>
      <c r="U12" s="13" t="n">
        <f aca="false">IF(Time!U20&lt;=Time!$F$15,(Waterfall!U7+V12)/(1+U10),0)</f>
        <v>1070.2826290485</v>
      </c>
      <c r="V12" s="13" t="n">
        <f aca="false">IF(Time!V20&lt;=Time!$F$15,(Waterfall!V7+W12)/(1+V10),0)</f>
        <v>1055.96016709691</v>
      </c>
      <c r="W12" s="13" t="n">
        <f aca="false">IF(Time!W20&lt;=Time!$F$15,(Waterfall!W7+X12)/(1+W10),0)</f>
        <v>1042.15512336848</v>
      </c>
      <c r="X12" s="13" t="n">
        <f aca="false">IF(Time!X20&lt;=Time!$F$15,(Waterfall!X7+Y12)/(1+X10),0)</f>
        <v>1024.50753250799</v>
      </c>
      <c r="Y12" s="13" t="n">
        <f aca="false">IF(Time!Y20&lt;=Time!$F$15,(Waterfall!Y7+Z12)/(1+Y10),0)</f>
        <v>1008.49826986602</v>
      </c>
      <c r="Z12" s="13" t="n">
        <f aca="false">IF(Time!Z20&lt;=Time!$F$15,(Waterfall!Z7+AA12)/(1+Z10),0)</f>
        <v>994.161423706663</v>
      </c>
      <c r="AA12" s="13" t="n">
        <f aca="false">IF(Time!AA20&lt;=Time!$F$15,(Waterfall!AA7+AB12)/(1+AA10),0)</f>
        <v>978.806881474918</v>
      </c>
      <c r="AB12" s="13" t="n">
        <f aca="false">IF(Time!AB20&lt;=Time!$F$15,(Waterfall!AB7+AC12)/(1+AB10),0)</f>
        <v>963.389847949937</v>
      </c>
      <c r="AC12" s="13" t="n">
        <f aca="false">IF(Time!AC20&lt;=Time!$F$15,(Waterfall!AC7+AD12)/(1+AC10),0)</f>
        <v>946.980737286557</v>
      </c>
      <c r="AD12" s="13" t="n">
        <f aca="false">IF(Time!AD20&lt;=Time!$F$15,(Waterfall!AD7+AE12)/(1+AD10),0)</f>
        <v>930.380006891558</v>
      </c>
      <c r="AE12" s="13" t="n">
        <f aca="false">IF(Time!AE20&lt;=Time!$F$15,(Waterfall!AE7+AF12)/(1+AE10),0)</f>
        <v>912.847360289018</v>
      </c>
      <c r="AF12" s="13" t="n">
        <f aca="false">IF(Time!AF20&lt;=Time!$F$15,(Waterfall!AF7+AG12)/(1+AF10),0)</f>
        <v>893.304202612398</v>
      </c>
      <c r="AG12" s="13" t="n">
        <f aca="false">IF(Time!AG20&lt;=Time!$F$15,(Waterfall!AG7+AH12)/(1+AG10),0)</f>
        <v>872.491330681757</v>
      </c>
      <c r="AH12" s="13" t="n">
        <f aca="false">IF(Time!AH20&lt;=Time!$F$15,(Waterfall!AH7+AI12)/(1+AH10),0)</f>
        <v>851.837495401809</v>
      </c>
      <c r="AI12" s="13" t="n">
        <f aca="false">IF(Time!AI20&lt;=Time!$F$15,(Waterfall!AI7+AJ12)/(1+AI10),0)</f>
        <v>829.992670548309</v>
      </c>
      <c r="AJ12" s="13" t="n">
        <f aca="false">IF(Time!AJ20&lt;=Time!$F$15,(Waterfall!AJ7+AK12)/(1+AJ10),0)</f>
        <v>807.854240054513</v>
      </c>
      <c r="AK12" s="13" t="n">
        <f aca="false">IF(Time!AK20&lt;=Time!$F$15,(Waterfall!AK7+AL12)/(1+AK10),0)</f>
        <v>784.61668940383</v>
      </c>
      <c r="AL12" s="13" t="n">
        <f aca="false">IF(Time!AL20&lt;=Time!$F$15,(Waterfall!AL7+AM12)/(1+AL10),0)</f>
        <v>761.165990540003</v>
      </c>
      <c r="AM12" s="13" t="n">
        <f aca="false">IF(Time!AM20&lt;=Time!$F$15,(Waterfall!AM7+AN12)/(1+AM10),0)</f>
        <v>736.743685488159</v>
      </c>
      <c r="AN12" s="13" t="n">
        <f aca="false">IF(Time!AN20&lt;=Time!$F$15,(Waterfall!AN7+AO12)/(1+AN10),0)</f>
        <v>711.393016505493</v>
      </c>
      <c r="AO12" s="13" t="n">
        <f aca="false">IF(Time!AO20&lt;=Time!$F$15,(Waterfall!AO7+AP12)/(1+AO10),0)</f>
        <v>685.086004065326</v>
      </c>
      <c r="AP12" s="13" t="n">
        <f aca="false">IF(Time!AP20&lt;=Time!$F$15,(Waterfall!AP7+AQ12)/(1+AP10),0)</f>
        <v>661.693668057097</v>
      </c>
      <c r="AQ12" s="13" t="n">
        <f aca="false">IF(Time!AQ20&lt;=Time!$F$15,(Waterfall!AQ7+AR12)/(1+AQ10),0)</f>
        <v>642.997063248712</v>
      </c>
      <c r="AR12" s="13" t="n">
        <f aca="false">IF(Time!AR20&lt;=Time!$F$15,(Waterfall!AR7+AS12)/(1+AR10),0)</f>
        <v>626.880703403571</v>
      </c>
      <c r="AS12" s="13" t="n">
        <f aca="false">IF(Time!AS20&lt;=Time!$F$15,(Waterfall!AS7+AT12)/(1+AS10),0)</f>
        <v>609.720726319969</v>
      </c>
      <c r="AT12" s="13" t="n">
        <f aca="false">IF(Time!AT20&lt;=Time!$F$15,(Waterfall!AT7+AU12)/(1+AT10),0)</f>
        <v>592.525885234502</v>
      </c>
      <c r="AU12" s="13" t="n">
        <f aca="false">IF(Time!AU20&lt;=Time!$F$15,(Waterfall!AU7+AV12)/(1+AU10),0)</f>
        <v>574.380529661461</v>
      </c>
      <c r="AV12" s="13" t="n">
        <f aca="false">IF(Time!AV20&lt;=Time!$F$15,(Waterfall!AV7+AW12)/(1+AV10),0)</f>
        <v>548.977992096677</v>
      </c>
      <c r="AW12" s="13" t="n">
        <f aca="false">IF(Time!AW20&lt;=Time!$F$15,(Waterfall!AW7+AX12)/(1+AW10),0)</f>
        <v>526.976712844732</v>
      </c>
      <c r="AX12" s="13" t="n">
        <f aca="false">IF(Time!AX20&lt;=Time!$F$15,(Waterfall!AX7+AY12)/(1+AX10),0)</f>
        <v>505.070984357368</v>
      </c>
      <c r="AY12" s="13" t="n">
        <f aca="false">IF(Time!AY20&lt;=Time!$F$15,(Waterfall!AY7+AZ12)/(1+AY10),0)</f>
        <v>481.482593741298</v>
      </c>
      <c r="AZ12" s="13" t="n">
        <f aca="false">IF(Time!AZ20&lt;=Time!$F$15,(Waterfall!AZ7+BA12)/(1+AZ10),0)</f>
        <v>457.319134891524</v>
      </c>
      <c r="BA12" s="13" t="n">
        <f aca="false">IF(Time!BA20&lt;=Time!$F$15,(Waterfall!BA7+BB12)/(1+BA10),0)</f>
        <v>431.477484887013</v>
      </c>
      <c r="BB12" s="13" t="n">
        <f aca="false">IF(Time!BB20&lt;=Time!$F$15,(Waterfall!BB7+BC12)/(1+BB10),0)</f>
        <v>404.965447488848</v>
      </c>
      <c r="BC12" s="13" t="n">
        <f aca="false">IF(Time!BC20&lt;=Time!$F$15,(Waterfall!BC7+BD12)/(1+BC10),0)</f>
        <v>376.814427825531</v>
      </c>
      <c r="BD12" s="13" t="n">
        <f aca="false">IF(Time!BD20&lt;=Time!$F$15,(Waterfall!BD7+BE12)/(1+BD10),0)</f>
        <v>345.820377559122</v>
      </c>
      <c r="BE12" s="13" t="n">
        <f aca="false">IF(Time!BE20&lt;=Time!$F$15,(Waterfall!BE7+BF12)/(1+BE10),0)</f>
        <v>315.039759096957</v>
      </c>
      <c r="BF12" s="13" t="n">
        <f aca="false">IF(Time!BF20&lt;=Time!$F$15,(Waterfall!BF7+BG12)/(1+BF10),0)</f>
        <v>291.610473134197</v>
      </c>
      <c r="BG12" s="13" t="n">
        <f aca="false">IF(Time!BG20&lt;=Time!$F$15,(Waterfall!BG7+BH12)/(1+BG10),0)</f>
        <v>266.49348145537</v>
      </c>
      <c r="BH12" s="13" t="n">
        <f aca="false">IF(Time!BH20&lt;=Time!$F$15,(Waterfall!BH7+BI12)/(1+BH10),0)</f>
        <v>240.743990565074</v>
      </c>
      <c r="BI12" s="13" t="n">
        <f aca="false">IF(Time!BI20&lt;=Time!$F$15,(Waterfall!BI7+BJ12)/(1+BI10),0)</f>
        <v>213.219560875793</v>
      </c>
      <c r="BJ12" s="13" t="n">
        <f aca="false">IF(Time!BJ20&lt;=Time!$F$15,(Waterfall!BJ7+BK12)/(1+BJ10),0)</f>
        <v>184.967175380147</v>
      </c>
      <c r="BK12" s="13" t="n">
        <f aca="false">IF(Time!BK20&lt;=Time!$F$15,(Waterfall!BK7+BL12)/(1+BK10),0)</f>
        <v>154.954083384455</v>
      </c>
      <c r="BL12" s="13" t="n">
        <f aca="false">IF(Time!BL20&lt;=Time!$F$15,(Waterfall!BL7+BM12)/(1+BL10),0)</f>
        <v>115.411979055493</v>
      </c>
      <c r="BM12" s="13" t="n">
        <f aca="false">IF(Time!BM20&lt;=Time!$F$15,(Waterfall!BM7+BN12)/(1+BM10),0)</f>
        <v>79.2005776669495</v>
      </c>
      <c r="BN12" s="13" t="n">
        <f aca="false">IF(Time!BN20&lt;=Time!$F$15,(Waterfall!BN7+BO12)/(1+BN10),0)</f>
        <v>41.8705395934362</v>
      </c>
    </row>
    <row r="13" customFormat="false" ht="15" hidden="false" customHeight="false" outlineLevel="0" collapsed="false">
      <c r="D13" s="0" t="s">
        <v>896</v>
      </c>
      <c r="E13" s="0" t="s">
        <v>202</v>
      </c>
      <c r="J13" s="6" t="n">
        <f aca="false">IF(Debt!J115&gt;Inputs!$F$253,(J11+Reserves!J9)/Debt!J115,0)</f>
        <v>0</v>
      </c>
      <c r="K13" s="6" t="n">
        <f aca="false">IF(Debt!K115&gt;Inputs!$F$253,(K11+Reserves!K9)/Debt!K115,0)</f>
        <v>0</v>
      </c>
      <c r="L13" s="6" t="n">
        <f aca="false">IF(Debt!L115&gt;Inputs!$F$253,(L11+Reserves!L9)/Debt!L115,0)</f>
        <v>0</v>
      </c>
      <c r="M13" s="6" t="n">
        <f aca="false">IF(Debt!M115&gt;Inputs!$F$253,(M11+Reserves!M9)/Debt!M115,0)</f>
        <v>0</v>
      </c>
      <c r="N13" s="6" t="n">
        <f aca="false">IF(Debt!N115&gt;Inputs!$F$253,(N11+Reserves!N9)/Debt!N115,0)</f>
        <v>0</v>
      </c>
      <c r="O13" s="6" t="n">
        <f aca="false">IF(Debt!O115&gt;Inputs!$F$253,(O11+Reserves!O9)/Debt!O115,0)</f>
        <v>0</v>
      </c>
      <c r="P13" s="6" t="n">
        <f aca="false">IF(Debt!P115&gt;Inputs!$F$253,(P11+Reserves!P9)/Debt!P115,0)</f>
        <v>0</v>
      </c>
      <c r="Q13" s="6" t="n">
        <f aca="false">IF(Debt!Q115&gt;Inputs!$F$253,(Q11+Reserves!Q9)/Debt!Q115,0)</f>
        <v>1.4660173245311</v>
      </c>
      <c r="R13" s="6" t="n">
        <f aca="false">IF(Debt!R115&gt;Inputs!$F$253,(R11+Reserves!R9)/Debt!R115,0)</f>
        <v>1.53578119245984</v>
      </c>
      <c r="S13" s="6" t="n">
        <f aca="false">IF(Debt!S115&gt;Inputs!$F$253,(S11+Reserves!S9)/Debt!S115,0)</f>
        <v>1.56752823966006</v>
      </c>
      <c r="T13" s="6" t="n">
        <f aca="false">IF(Debt!T115&gt;Inputs!$F$253,(T11+Reserves!T9)/Debt!T115,0)</f>
        <v>1.60368430936116</v>
      </c>
      <c r="U13" s="6" t="n">
        <f aca="false">IF(Debt!U115&gt;Inputs!$F$253,(U11+Reserves!U9)/Debt!U115,0)</f>
        <v>1.60640497488653</v>
      </c>
      <c r="V13" s="6" t="n">
        <f aca="false">IF(Debt!V115&gt;Inputs!$F$253,(V11+Reserves!V9)/Debt!V115,0)</f>
        <v>1.62809800497938</v>
      </c>
      <c r="W13" s="6" t="n">
        <f aca="false">IF(Debt!W115&gt;Inputs!$F$253,(W11+Reserves!W9)/Debt!W115,0)</f>
        <v>1.64998936964051</v>
      </c>
      <c r="X13" s="6" t="n">
        <f aca="false">IF(Debt!X115&gt;Inputs!$F$253,(X11+Reserves!X9)/Debt!X115,0)</f>
        <v>1.65224547128526</v>
      </c>
      <c r="Y13" s="6" t="n">
        <f aca="false">IF(Debt!Y115&gt;Inputs!$F$253,(Y11+Reserves!Y9)/Debt!Y115,0)</f>
        <v>1.65095671461073</v>
      </c>
      <c r="Z13" s="6" t="n">
        <f aca="false">IF(Debt!Z115&gt;Inputs!$F$253,(Z11+Reserves!Z9)/Debt!Z115,0)</f>
        <v>1.65382025156603</v>
      </c>
      <c r="AA13" s="6" t="n">
        <f aca="false">IF(Debt!AA115&gt;Inputs!$F$253,(AA11+Reserves!AA9)/Debt!AA115,0)</f>
        <v>1.65522146651041</v>
      </c>
      <c r="AB13" s="6" t="n">
        <f aca="false">IF(Debt!AB115&gt;Inputs!$F$253,(AB11+Reserves!AB9)/Debt!AB115,0)</f>
        <v>1.65852573107865</v>
      </c>
      <c r="AC13" s="6" t="n">
        <f aca="false">IF(Debt!AC115&gt;Inputs!$F$253,(AC11+Reserves!AC9)/Debt!AC115,0)</f>
        <v>1.66073124879434</v>
      </c>
      <c r="AD13" s="6" t="n">
        <f aca="false">IF(Debt!AD115&gt;Inputs!$F$253,(AD11+Reserves!AD9)/Debt!AD115,0)</f>
        <v>1.66451380015351</v>
      </c>
      <c r="AE13" s="6" t="n">
        <f aca="false">IF(Debt!AE115&gt;Inputs!$F$253,(AE11+Reserves!AE9)/Debt!AE115,0)</f>
        <v>1.67018837637135</v>
      </c>
      <c r="AF13" s="6" t="n">
        <f aca="false">IF(Debt!AF115&gt;Inputs!$F$253,(AF11+Reserves!AF9)/Debt!AF115,0)</f>
        <v>1.67575920694659</v>
      </c>
      <c r="AG13" s="6" t="n">
        <f aca="false">IF(Debt!AG115&gt;Inputs!$F$253,(AG11+Reserves!AG9)/Debt!AG115,0)</f>
        <v>1.67925037931527</v>
      </c>
      <c r="AH13" s="6" t="n">
        <f aca="false">IF(Debt!AH115&gt;Inputs!$F$253,(AH11+Reserves!AH9)/Debt!AH115,0)</f>
        <v>1.68614655766378</v>
      </c>
      <c r="AI13" s="6" t="n">
        <f aca="false">IF(Debt!AI115&gt;Inputs!$F$253,(AI11+Reserves!AI9)/Debt!AI115,0)</f>
        <v>1.69207772695787</v>
      </c>
      <c r="AJ13" s="6" t="n">
        <f aca="false">IF(Debt!AJ115&gt;Inputs!$F$253,(AJ11+Reserves!AJ9)/Debt!AJ115,0)</f>
        <v>1.70119593745407</v>
      </c>
      <c r="AK13" s="6" t="n">
        <f aca="false">IF(Debt!AK115&gt;Inputs!$F$253,(AK11+Reserves!AK9)/Debt!AK115,0)</f>
        <v>1.70987850621587</v>
      </c>
      <c r="AL13" s="6" t="n">
        <f aca="false">IF(Debt!AL115&gt;Inputs!$F$253,(AL11+Reserves!AL9)/Debt!AL115,0)</f>
        <v>1.72271357411859</v>
      </c>
      <c r="AM13" s="6" t="n">
        <f aca="false">IF(Debt!AM115&gt;Inputs!$F$253,(AM11+Reserves!AM9)/Debt!AM115,0)</f>
        <v>1.73862669267767</v>
      </c>
      <c r="AN13" s="6" t="n">
        <f aca="false">IF(Debt!AN115&gt;Inputs!$F$253,(AN11+Reserves!AN9)/Debt!AN115,0)</f>
        <v>1.75997201415288</v>
      </c>
      <c r="AO13" s="6" t="n">
        <f aca="false">IF(Debt!AO115&gt;Inputs!$F$253,(AO11+Reserves!AO9)/Debt!AO115,0)</f>
        <v>1.774630312508</v>
      </c>
      <c r="AP13" s="6" t="n">
        <f aca="false">IF(Debt!AP115&gt;Inputs!$F$253,(AP11+Reserves!AP9)/Debt!AP115,0)</f>
        <v>1.78676004059464</v>
      </c>
      <c r="AQ13" s="6" t="n">
        <f aca="false">IF(Debt!AQ115&gt;Inputs!$F$253,(AQ11+Reserves!AQ9)/Debt!AQ115,0)</f>
        <v>1.80690525221024</v>
      </c>
      <c r="AR13" s="6" t="n">
        <f aca="false">IF(Debt!AR115&gt;Inputs!$F$253,(AR11+Reserves!AR9)/Debt!AR115,0)</f>
        <v>1.856759480478</v>
      </c>
      <c r="AS13" s="6" t="n">
        <f aca="false">IF(Debt!AS115&gt;Inputs!$F$253,(AS11+Reserves!AS9)/Debt!AS115,0)</f>
        <v>1.93075150548897</v>
      </c>
      <c r="AT13" s="6" t="n">
        <f aca="false">IF(Debt!AT115&gt;Inputs!$F$253,(AT11+Reserves!AT9)/Debt!AT115,0)</f>
        <v>2.081906290532</v>
      </c>
      <c r="AU13" s="6" t="n">
        <f aca="false">IF(Debt!AU115&gt;Inputs!$F$253,(AU11+Reserves!AU9)/Debt!AU115,0)</f>
        <v>2.62893368491419</v>
      </c>
      <c r="AV13" s="6" t="n">
        <f aca="false">IF(Debt!AV115&gt;Inputs!$F$253,(AV11+Reserves!AV9)/Debt!AV115,0)</f>
        <v>0</v>
      </c>
      <c r="AW13" s="6" t="n">
        <f aca="false">IF(Debt!AW115&gt;Inputs!$F$253,(AW11+Reserves!AW9)/Debt!AW115,0)</f>
        <v>0</v>
      </c>
      <c r="AX13" s="6" t="n">
        <f aca="false">IF(Debt!AX115&gt;Inputs!$F$253,(AX11+Reserves!AX9)/Debt!AX115,0)</f>
        <v>0</v>
      </c>
      <c r="AY13" s="6" t="n">
        <f aca="false">IF(Debt!AY115&gt;Inputs!$F$253,(AY11+Reserves!AY9)/Debt!AY115,0)</f>
        <v>0</v>
      </c>
      <c r="AZ13" s="6" t="n">
        <f aca="false">IF(Debt!AZ115&gt;Inputs!$F$253,(AZ11+Reserves!AZ9)/Debt!AZ115,0)</f>
        <v>0</v>
      </c>
      <c r="BA13" s="6" t="n">
        <f aca="false">IF(Debt!BA115&gt;Inputs!$F$253,(BA11+Reserves!BA9)/Debt!BA115,0)</f>
        <v>0</v>
      </c>
      <c r="BB13" s="6" t="n">
        <f aca="false">IF(Debt!BB115&gt;Inputs!$F$253,(BB11+Reserves!BB9)/Debt!BB115,0)</f>
        <v>0</v>
      </c>
      <c r="BC13" s="6" t="n">
        <f aca="false">IF(Debt!BC115&gt;Inputs!$F$253,(BC11+Reserves!BC9)/Debt!BC115,0)</f>
        <v>0</v>
      </c>
      <c r="BD13" s="6" t="n">
        <f aca="false">IF(Debt!BD115&gt;Inputs!$F$253,(BD11+Reserves!BD9)/Debt!BD115,0)</f>
        <v>0</v>
      </c>
      <c r="BE13" s="6" t="n">
        <f aca="false">IF(Debt!BE115&gt;Inputs!$F$253,(BE11+Reserves!BE9)/Debt!BE115,0)</f>
        <v>0</v>
      </c>
      <c r="BF13" s="6" t="n">
        <f aca="false">IF(Debt!BF115&gt;Inputs!$F$253,(BF11+Reserves!BF9)/Debt!BF115,0)</f>
        <v>0</v>
      </c>
      <c r="BG13" s="6" t="n">
        <f aca="false">IF(Debt!BG115&gt;Inputs!$F$253,(BG11+Reserves!BG9)/Debt!BG115,0)</f>
        <v>0</v>
      </c>
      <c r="BH13" s="6" t="n">
        <f aca="false">IF(Debt!BH115&gt;Inputs!$F$253,(BH11+Reserves!BH9)/Debt!BH115,0)</f>
        <v>0</v>
      </c>
      <c r="BI13" s="6" t="n">
        <f aca="false">IF(Debt!BI115&gt;Inputs!$F$253,(BI11+Reserves!BI9)/Debt!BI115,0)</f>
        <v>0</v>
      </c>
      <c r="BJ13" s="6" t="n">
        <f aca="false">IF(Debt!BJ115&gt;Inputs!$F$253,(BJ11+Reserves!BJ9)/Debt!BJ115,0)</f>
        <v>0</v>
      </c>
      <c r="BK13" s="6" t="n">
        <f aca="false">IF(Debt!BK115&gt;Inputs!$F$253,(BK11+Reserves!BK9)/Debt!BK115,0)</f>
        <v>0</v>
      </c>
      <c r="BL13" s="6" t="n">
        <f aca="false">IF(Debt!BL115&gt;Inputs!$F$253,(BL11+Reserves!BL9)/Debt!BL115,0)</f>
        <v>0</v>
      </c>
      <c r="BM13" s="6" t="n">
        <f aca="false">IF(Debt!BM115&gt;Inputs!$F$253,(BM11+Reserves!BM9)/Debt!BM115,0)</f>
        <v>0</v>
      </c>
      <c r="BN13" s="6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897</v>
      </c>
      <c r="E14" s="0" t="s">
        <v>202</v>
      </c>
      <c r="J14" s="6" t="n">
        <f aca="false">IF(Debt!J115&gt;Inputs!$F$253,J11/Debt!J115,0)</f>
        <v>0</v>
      </c>
      <c r="K14" s="6" t="n">
        <f aca="false">IF(Debt!K115&gt;Inputs!$F$253,K11/Debt!K115,0)</f>
        <v>0</v>
      </c>
      <c r="L14" s="6" t="n">
        <f aca="false">IF(Debt!L115&gt;Inputs!$F$253,L11/Debt!L115,0)</f>
        <v>0</v>
      </c>
      <c r="M14" s="6" t="n">
        <f aca="false">IF(Debt!M115&gt;Inputs!$F$253,M11/Debt!M115,0)</f>
        <v>0</v>
      </c>
      <c r="N14" s="6" t="n">
        <f aca="false">IF(Debt!N115&gt;Inputs!$F$253,N11/Debt!N115,0)</f>
        <v>0</v>
      </c>
      <c r="O14" s="6" t="n">
        <f aca="false">IF(Debt!O115&gt;Inputs!$F$253,O11/Debt!O115,0)</f>
        <v>0</v>
      </c>
      <c r="P14" s="6" t="n">
        <f aca="false">IF(Debt!P115&gt;Inputs!$F$253,P11/Debt!P115,0)</f>
        <v>0</v>
      </c>
      <c r="Q14" s="6" t="n">
        <f aca="false">IF(Debt!Q115&gt;Inputs!$F$253,Q11/Debt!Q115,0)</f>
        <v>1.42169495190551</v>
      </c>
      <c r="R14" s="6" t="n">
        <f aca="false">IF(Debt!R115&gt;Inputs!$F$253,R11/Debt!R115,0)</f>
        <v>1.47421180715817</v>
      </c>
      <c r="S14" s="6" t="n">
        <f aca="false">IF(Debt!S115&gt;Inputs!$F$253,S11/Debt!S115,0)</f>
        <v>1.5044214336801</v>
      </c>
      <c r="T14" s="6" t="n">
        <f aca="false">IF(Debt!T115&gt;Inputs!$F$253,T11/Debt!T115,0)</f>
        <v>1.54439140434051</v>
      </c>
      <c r="U14" s="6" t="n">
        <f aca="false">IF(Debt!U115&gt;Inputs!$F$253,U11/Debt!U115,0)</f>
        <v>1.52874374024659</v>
      </c>
      <c r="V14" s="6" t="n">
        <f aca="false">IF(Debt!V115&gt;Inputs!$F$253,V11/Debt!V115,0)</f>
        <v>1.54706384787511</v>
      </c>
      <c r="W14" s="6" t="n">
        <f aca="false">IF(Debt!W115&gt;Inputs!$F$253,W11/Debt!W115,0)</f>
        <v>1.56961941372071</v>
      </c>
      <c r="X14" s="6" t="n">
        <f aca="false">IF(Debt!X115&gt;Inputs!$F$253,X11/Debt!X115,0)</f>
        <v>1.58743271082333</v>
      </c>
      <c r="Y14" s="6" t="n">
        <f aca="false">IF(Debt!Y115&gt;Inputs!$F$253,Y11/Debt!Y115,0)</f>
        <v>1.58743271082396</v>
      </c>
      <c r="Z14" s="6" t="n">
        <f aca="false">IF(Debt!Z115&gt;Inputs!$F$253,Z11/Debt!Z115,0)</f>
        <v>1.58743271082462</v>
      </c>
      <c r="AA14" s="6" t="n">
        <f aca="false">IF(Debt!AA115&gt;Inputs!$F$253,AA11/Debt!AA115,0)</f>
        <v>1.58743271082536</v>
      </c>
      <c r="AB14" s="6" t="n">
        <f aca="false">IF(Debt!AB115&gt;Inputs!$F$253,AB11/Debt!AB115,0)</f>
        <v>1.58743271082617</v>
      </c>
      <c r="AC14" s="6" t="n">
        <f aca="false">IF(Debt!AC115&gt;Inputs!$F$253,AC11/Debt!AC115,0)</f>
        <v>1.58743271082708</v>
      </c>
      <c r="AD14" s="6" t="n">
        <f aca="false">IF(Debt!AD115&gt;Inputs!$F$253,AD11/Debt!AD115,0)</f>
        <v>1.58743271082809</v>
      </c>
      <c r="AE14" s="6" t="n">
        <f aca="false">IF(Debt!AE115&gt;Inputs!$F$253,AE11/Debt!AE115,0)</f>
        <v>1.58743271082923</v>
      </c>
      <c r="AF14" s="6" t="n">
        <f aca="false">IF(Debt!AF115&gt;Inputs!$F$253,AF11/Debt!AF115,0)</f>
        <v>1.58743271083057</v>
      </c>
      <c r="AG14" s="6" t="n">
        <f aca="false">IF(Debt!AG115&gt;Inputs!$F$253,AG11/Debt!AG115,0)</f>
        <v>1.58743271083213</v>
      </c>
      <c r="AH14" s="6" t="n">
        <f aca="false">IF(Debt!AH115&gt;Inputs!$F$253,AH11/Debt!AH115,0)</f>
        <v>1.58743271083391</v>
      </c>
      <c r="AI14" s="6" t="n">
        <f aca="false">IF(Debt!AI115&gt;Inputs!$F$253,AI11/Debt!AI115,0)</f>
        <v>1.58743271083602</v>
      </c>
      <c r="AJ14" s="6" t="n">
        <f aca="false">IF(Debt!AJ115&gt;Inputs!$F$253,AJ11/Debt!AJ115,0)</f>
        <v>1.58743271083851</v>
      </c>
      <c r="AK14" s="6" t="n">
        <f aca="false">IF(Debt!AK115&gt;Inputs!$F$253,AK11/Debt!AK115,0)</f>
        <v>1.58743271084156</v>
      </c>
      <c r="AL14" s="6" t="n">
        <f aca="false">IF(Debt!AL115&gt;Inputs!$F$253,AL11/Debt!AL115,0)</f>
        <v>1.58743271084527</v>
      </c>
      <c r="AM14" s="6" t="n">
        <f aca="false">IF(Debt!AM115&gt;Inputs!$F$253,AM11/Debt!AM115,0)</f>
        <v>1.58743271084998</v>
      </c>
      <c r="AN14" s="6" t="n">
        <f aca="false">IF(Debt!AN115&gt;Inputs!$F$253,AN11/Debt!AN115,0)</f>
        <v>1.58743271085614</v>
      </c>
      <c r="AO14" s="6" t="n">
        <f aca="false">IF(Debt!AO115&gt;Inputs!$F$253,AO11/Debt!AO115,0)</f>
        <v>1.58743271086456</v>
      </c>
      <c r="AP14" s="6" t="n">
        <f aca="false">IF(Debt!AP115&gt;Inputs!$F$253,AP11/Debt!AP115,0)</f>
        <v>1.58743271087569</v>
      </c>
      <c r="AQ14" s="6" t="n">
        <f aca="false">IF(Debt!AQ115&gt;Inputs!$F$253,AQ11/Debt!AQ115,0)</f>
        <v>1.58743271138678</v>
      </c>
      <c r="AR14" s="6" t="n">
        <f aca="false">IF(Debt!AR115&gt;Inputs!$F$253,AR11/Debt!AR115,0)</f>
        <v>1.58743271103656</v>
      </c>
      <c r="AS14" s="6" t="n">
        <f aca="false">IF(Debt!AS115&gt;Inputs!$F$253,AS11/Debt!AS115,0)</f>
        <v>1.5874327108499</v>
      </c>
      <c r="AT14" s="6" t="n">
        <f aca="false">IF(Debt!AT115&gt;Inputs!$F$253,AT11/Debt!AT115,0)</f>
        <v>1.58743271077547</v>
      </c>
      <c r="AU14" s="6" t="n">
        <f aca="false">IF(Debt!AU115&gt;Inputs!$F$253,AU11/Debt!AU115,0)</f>
        <v>1.5874327107678</v>
      </c>
      <c r="AV14" s="6" t="n">
        <f aca="false">IF(Debt!AV115&gt;Inputs!$F$253,AV11/Debt!AV115,0)</f>
        <v>0</v>
      </c>
      <c r="AW14" s="6" t="n">
        <f aca="false">IF(Debt!AW115&gt;Inputs!$F$253,AW11/Debt!AW115,0)</f>
        <v>0</v>
      </c>
      <c r="AX14" s="6" t="n">
        <f aca="false">IF(Debt!AX115&gt;Inputs!$F$253,AX11/Debt!AX115,0)</f>
        <v>0</v>
      </c>
      <c r="AY14" s="6" t="n">
        <f aca="false">IF(Debt!AY115&gt;Inputs!$F$253,AY11/Debt!AY115,0)</f>
        <v>0</v>
      </c>
      <c r="AZ14" s="6" t="n">
        <f aca="false">IF(Debt!AZ115&gt;Inputs!$F$253,AZ11/Debt!AZ115,0)</f>
        <v>0</v>
      </c>
      <c r="BA14" s="6" t="n">
        <f aca="false">IF(Debt!BA115&gt;Inputs!$F$253,BA11/Debt!BA115,0)</f>
        <v>0</v>
      </c>
      <c r="BB14" s="6" t="n">
        <f aca="false">IF(Debt!BB115&gt;Inputs!$F$253,BB11/Debt!BB115,0)</f>
        <v>0</v>
      </c>
      <c r="BC14" s="6" t="n">
        <f aca="false">IF(Debt!BC115&gt;Inputs!$F$253,BC11/Debt!BC115,0)</f>
        <v>0</v>
      </c>
      <c r="BD14" s="6" t="n">
        <f aca="false">IF(Debt!BD115&gt;Inputs!$F$253,BD11/Debt!BD115,0)</f>
        <v>0</v>
      </c>
      <c r="BE14" s="6" t="n">
        <f aca="false">IF(Debt!BE115&gt;Inputs!$F$253,BE11/Debt!BE115,0)</f>
        <v>0</v>
      </c>
      <c r="BF14" s="6" t="n">
        <f aca="false">IF(Debt!BF115&gt;Inputs!$F$253,BF11/Debt!BF115,0)</f>
        <v>0</v>
      </c>
      <c r="BG14" s="6" t="n">
        <f aca="false">IF(Debt!BG115&gt;Inputs!$F$253,BG11/Debt!BG115,0)</f>
        <v>0</v>
      </c>
      <c r="BH14" s="6" t="n">
        <f aca="false">IF(Debt!BH115&gt;Inputs!$F$253,BH11/Debt!BH115,0)</f>
        <v>0</v>
      </c>
      <c r="BI14" s="6" t="n">
        <f aca="false">IF(Debt!BI115&gt;Inputs!$F$253,BI11/Debt!BI115,0)</f>
        <v>0</v>
      </c>
      <c r="BJ14" s="6" t="n">
        <f aca="false">IF(Debt!BJ115&gt;Inputs!$F$253,BJ11/Debt!BJ115,0)</f>
        <v>0</v>
      </c>
      <c r="BK14" s="6" t="n">
        <f aca="false">IF(Debt!BK115&gt;Inputs!$F$253,BK11/Debt!BK115,0)</f>
        <v>0</v>
      </c>
      <c r="BL14" s="6" t="n">
        <f aca="false">IF(Debt!BL115&gt;Inputs!$F$253,BL11/Debt!BL115,0)</f>
        <v>0</v>
      </c>
      <c r="BM14" s="6" t="n">
        <f aca="false">IF(Debt!BM115&gt;Inputs!$F$253,BM11/Debt!BM115,0)</f>
        <v>0</v>
      </c>
      <c r="BN14" s="6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898</v>
      </c>
      <c r="E15" s="0" t="s">
        <v>202</v>
      </c>
      <c r="J15" s="6" t="n">
        <f aca="false">IF(Debt!J115&gt;Inputs!$F$253,J12/Debt!J115,0)</f>
        <v>0</v>
      </c>
      <c r="K15" s="6" t="n">
        <f aca="false">IF(Debt!K115&gt;Inputs!$F$253,K12/Debt!K115,0)</f>
        <v>0</v>
      </c>
      <c r="L15" s="6" t="n">
        <f aca="false">IF(Debt!L115&gt;Inputs!$F$253,L12/Debt!L115,0)</f>
        <v>0</v>
      </c>
      <c r="M15" s="6" t="n">
        <f aca="false">IF(Debt!M115&gt;Inputs!$F$253,M12/Debt!M115,0)</f>
        <v>0</v>
      </c>
      <c r="N15" s="6" t="n">
        <f aca="false">IF(Debt!N115&gt;Inputs!$F$253,N12/Debt!N115,0)</f>
        <v>0</v>
      </c>
      <c r="O15" s="6" t="n">
        <f aca="false">IF(Debt!O115&gt;Inputs!$F$253,O12/Debt!O115,0)</f>
        <v>0</v>
      </c>
      <c r="P15" s="6" t="n">
        <f aca="false">IF(Debt!P115&gt;Inputs!$F$253,P12/Debt!P115,0)</f>
        <v>0</v>
      </c>
      <c r="Q15" s="6" t="n">
        <f aca="false">IF(Debt!Q115&gt;Inputs!$F$253,Q12/Debt!Q115,0)</f>
        <v>1.69545498830537</v>
      </c>
      <c r="R15" s="6" t="n">
        <f aca="false">IF(Debt!R115&gt;Inputs!$F$253,R12/Debt!R115,0)</f>
        <v>1.77225623785322</v>
      </c>
      <c r="S15" s="6" t="n">
        <f aca="false">IF(Debt!S115&gt;Inputs!$F$253,S12/Debt!S115,0)</f>
        <v>1.82133183930798</v>
      </c>
      <c r="T15" s="6" t="n">
        <f aca="false">IF(Debt!T115&gt;Inputs!$F$253,T12/Debt!T115,0)</f>
        <v>1.88282922451091</v>
      </c>
      <c r="U15" s="6" t="n">
        <f aca="false">IF(Debt!U115&gt;Inputs!$F$253,U12/Debt!U115,0)</f>
        <v>1.88544401969347</v>
      </c>
      <c r="V15" s="6" t="n">
        <f aca="false">IF(Debt!V115&gt;Inputs!$F$253,V12/Debt!V115,0)</f>
        <v>1.93254302869778</v>
      </c>
      <c r="W15" s="6" t="n">
        <f aca="false">IF(Debt!W115&gt;Inputs!$F$253,W12/Debt!W115,0)</f>
        <v>1.98765192111289</v>
      </c>
      <c r="X15" s="6" t="n">
        <f aca="false">IF(Debt!X115&gt;Inputs!$F$253,X12/Debt!X115,0)</f>
        <v>2.03955915358937</v>
      </c>
      <c r="Y15" s="6" t="n">
        <f aca="false">IF(Debt!Y115&gt;Inputs!$F$253,Y12/Debt!Y115,0)</f>
        <v>2.06976882210988</v>
      </c>
      <c r="Z15" s="6" t="n">
        <f aca="false">IF(Debt!Z115&gt;Inputs!$F$253,Z12/Debt!Z115,0)</f>
        <v>2.10132447492178</v>
      </c>
      <c r="AA15" s="6" t="n">
        <f aca="false">IF(Debt!AA115&gt;Inputs!$F$253,AA12/Debt!AA115,0)</f>
        <v>2.13655664751265</v>
      </c>
      <c r="AB15" s="6" t="n">
        <f aca="false">IF(Debt!AB115&gt;Inputs!$F$253,AB12/Debt!AB115,0)</f>
        <v>2.1750583096105</v>
      </c>
      <c r="AC15" s="6" t="n">
        <f aca="false">IF(Debt!AC115&gt;Inputs!$F$253,AC12/Debt!AC115,0)</f>
        <v>2.21840526258833</v>
      </c>
      <c r="AD15" s="6" t="n">
        <f aca="false">IF(Debt!AD115&gt;Inputs!$F$253,AD12/Debt!AD115,0)</f>
        <v>2.26650043377991</v>
      </c>
      <c r="AE15" s="6" t="n">
        <f aca="false">IF(Debt!AE115&gt;Inputs!$F$253,AE12/Debt!AE115,0)</f>
        <v>2.32113502983038</v>
      </c>
      <c r="AF15" s="6" t="n">
        <f aca="false">IF(Debt!AF115&gt;Inputs!$F$253,AF12/Debt!AF115,0)</f>
        <v>2.38488552254642</v>
      </c>
      <c r="AG15" s="6" t="n">
        <f aca="false">IF(Debt!AG115&gt;Inputs!$F$253,AG12/Debt!AG115,0)</f>
        <v>2.45925068247707</v>
      </c>
      <c r="AH15" s="6" t="n">
        <f aca="false">IF(Debt!AH115&gt;Inputs!$F$253,AH12/Debt!AH115,0)</f>
        <v>2.54406756105363</v>
      </c>
      <c r="AI15" s="6" t="n">
        <f aca="false">IF(Debt!AI115&gt;Inputs!$F$253,AI12/Debt!AI115,0)</f>
        <v>2.64482450577132</v>
      </c>
      <c r="AJ15" s="6" t="n">
        <f aca="false">IF(Debt!AJ115&gt;Inputs!$F$253,AJ12/Debt!AJ115,0)</f>
        <v>2.76361349253643</v>
      </c>
      <c r="AK15" s="6" t="n">
        <f aca="false">IF(Debt!AK115&gt;Inputs!$F$253,AK12/Debt!AK115,0)</f>
        <v>2.90861073592496</v>
      </c>
      <c r="AL15" s="6" t="n">
        <f aca="false">IF(Debt!AL115&gt;Inputs!$F$253,AL12/Debt!AL115,0)</f>
        <v>3.08550944418314</v>
      </c>
      <c r="AM15" s="6" t="n">
        <f aca="false">IF(Debt!AM115&gt;Inputs!$F$253,AM12/Debt!AM115,0)</f>
        <v>3.31013113797449</v>
      </c>
      <c r="AN15" s="6" t="n">
        <f aca="false">IF(Debt!AN115&gt;Inputs!$F$253,AN12/Debt!AN115,0)</f>
        <v>3.60380601297761</v>
      </c>
      <c r="AO15" s="6" t="n">
        <f aca="false">IF(Debt!AO115&gt;Inputs!$F$253,AO12/Debt!AO115,0)</f>
        <v>4.00531857763061</v>
      </c>
      <c r="AP15" s="6" t="n">
        <f aca="false">IF(Debt!AP115&gt;Inputs!$F$253,AP12/Debt!AP115,0)</f>
        <v>4.53603638229461</v>
      </c>
      <c r="AQ15" s="6" t="n">
        <f aca="false">IF(Debt!AQ115&gt;Inputs!$F$253,AQ12/Debt!AQ115,0)</f>
        <v>5.23391775217934</v>
      </c>
      <c r="AR15" s="6" t="n">
        <f aca="false">IF(Debt!AR115&gt;Inputs!$F$253,AR12/Debt!AR115,0)</f>
        <v>6.20748910840901</v>
      </c>
      <c r="AS15" s="6" t="n">
        <f aca="false">IF(Debt!AS115&gt;Inputs!$F$253,AS12/Debt!AS115,0)</f>
        <v>7.81891934839339</v>
      </c>
      <c r="AT15" s="6" t="n">
        <f aca="false">IF(Debt!AT115&gt;Inputs!$F$253,AT12/Debt!AT115,0)</f>
        <v>10.8831431913286</v>
      </c>
      <c r="AU15" s="6" t="n">
        <f aca="false">IF(Debt!AU115&gt;Inputs!$F$253,AU12/Debt!AU115,0)</f>
        <v>19.2857995936132</v>
      </c>
      <c r="AV15" s="6" t="n">
        <f aca="false">IF(Debt!AV115&gt;Inputs!$F$253,AV12/Debt!AV115,0)</f>
        <v>0</v>
      </c>
      <c r="AW15" s="6" t="n">
        <f aca="false">IF(Debt!AW115&gt;Inputs!$F$253,AW12/Debt!AW115,0)</f>
        <v>0</v>
      </c>
      <c r="AX15" s="6" t="n">
        <f aca="false">IF(Debt!AX115&gt;Inputs!$F$253,AX12/Debt!AX115,0)</f>
        <v>0</v>
      </c>
      <c r="AY15" s="6" t="n">
        <f aca="false">IF(Debt!AY115&gt;Inputs!$F$253,AY12/Debt!AY115,0)</f>
        <v>0</v>
      </c>
      <c r="AZ15" s="6" t="n">
        <f aca="false">IF(Debt!AZ115&gt;Inputs!$F$253,AZ12/Debt!AZ115,0)</f>
        <v>0</v>
      </c>
      <c r="BA15" s="6" t="n">
        <f aca="false">IF(Debt!BA115&gt;Inputs!$F$253,BA12/Debt!BA115,0)</f>
        <v>0</v>
      </c>
      <c r="BB15" s="6" t="n">
        <f aca="false">IF(Debt!BB115&gt;Inputs!$F$253,BB12/Debt!BB115,0)</f>
        <v>0</v>
      </c>
      <c r="BC15" s="6" t="n">
        <f aca="false">IF(Debt!BC115&gt;Inputs!$F$253,BC12/Debt!BC115,0)</f>
        <v>0</v>
      </c>
      <c r="BD15" s="6" t="n">
        <f aca="false">IF(Debt!BD115&gt;Inputs!$F$253,BD12/Debt!BD115,0)</f>
        <v>0</v>
      </c>
      <c r="BE15" s="6" t="n">
        <f aca="false">IF(Debt!BE115&gt;Inputs!$F$253,BE12/Debt!BE115,0)</f>
        <v>0</v>
      </c>
      <c r="BF15" s="6" t="n">
        <f aca="false">IF(Debt!BF115&gt;Inputs!$F$253,BF12/Debt!BF115,0)</f>
        <v>0</v>
      </c>
      <c r="BG15" s="6" t="n">
        <f aca="false">IF(Debt!BG115&gt;Inputs!$F$253,BG12/Debt!BG115,0)</f>
        <v>0</v>
      </c>
      <c r="BH15" s="6" t="n">
        <f aca="false">IF(Debt!BH115&gt;Inputs!$F$253,BH12/Debt!BH115,0)</f>
        <v>0</v>
      </c>
      <c r="BI15" s="6" t="n">
        <f aca="false">IF(Debt!BI115&gt;Inputs!$F$253,BI12/Debt!BI115,0)</f>
        <v>0</v>
      </c>
      <c r="BJ15" s="6" t="n">
        <f aca="false">IF(Debt!BJ115&gt;Inputs!$F$253,BJ12/Debt!BJ115,0)</f>
        <v>0</v>
      </c>
      <c r="BK15" s="6" t="n">
        <f aca="false">IF(Debt!BK115&gt;Inputs!$F$253,BK12/Debt!BK115,0)</f>
        <v>0</v>
      </c>
      <c r="BL15" s="6" t="n">
        <f aca="false">IF(Debt!BL115&gt;Inputs!$F$253,BL12/Debt!BL115,0)</f>
        <v>0</v>
      </c>
      <c r="BM15" s="6" t="n">
        <f aca="false">IF(Debt!BM115&gt;Inputs!$F$253,BM12/Debt!BM115,0)</f>
        <v>0</v>
      </c>
      <c r="BN15" s="6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899</v>
      </c>
      <c r="E16" s="0" t="s">
        <v>202</v>
      </c>
      <c r="F16" s="6" t="n">
        <f aca="false">_xlfn.MINIFS(Waterfall!$J$17:$BN$17,Debt!$J$114:$BN$114,"&gt;"&amp;Inputs!$F$253)</f>
        <v>0.916013587958423</v>
      </c>
    </row>
    <row r="17" customFormat="false" ht="15" hidden="false" customHeight="false" outlineLevel="0" collapsed="false">
      <c r="D17" s="0" t="s">
        <v>900</v>
      </c>
      <c r="E17" s="0" t="s">
        <v>202</v>
      </c>
      <c r="F17" s="6" t="n">
        <f aca="false">SUMIFS(Waterfall!$J$7:$BN$7,Debt!$J$114:$BN$114,"&gt;"&amp;Inputs!$F$253)/SUM(Debt!$J$114:$BN$114)</f>
        <v>1.49952276659139</v>
      </c>
    </row>
    <row r="18" customFormat="false" ht="15" hidden="false" customHeight="false" outlineLevel="0" collapsed="false">
      <c r="D18" s="0" t="s">
        <v>901</v>
      </c>
      <c r="E18" s="0" t="s">
        <v>202</v>
      </c>
      <c r="F18" s="6" t="n">
        <f aca="false">INDEX(Ratios!$J$13:$BN$13,1,Time!$F$13)</f>
        <v>1.4660173245311</v>
      </c>
    </row>
    <row r="19" customFormat="false" ht="15" hidden="false" customHeight="false" outlineLevel="0" collapsed="false">
      <c r="D19" s="0" t="s">
        <v>902</v>
      </c>
      <c r="E19" s="0" t="s">
        <v>202</v>
      </c>
      <c r="F19" s="6" t="n">
        <f aca="false">INDEX(Ratios!$J$15:$BN$15,1,Time!$F$13)</f>
        <v>1.69545498830537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903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904</v>
      </c>
      <c r="J5" s="3" t="s">
        <v>905</v>
      </c>
      <c r="K5" s="3" t="s">
        <v>479</v>
      </c>
      <c r="L5" s="3" t="s">
        <v>480</v>
      </c>
      <c r="M5" s="3" t="s">
        <v>481</v>
      </c>
      <c r="N5" s="3" t="s">
        <v>482</v>
      </c>
      <c r="O5" s="3" t="s">
        <v>483</v>
      </c>
      <c r="P5" s="3" t="s">
        <v>484</v>
      </c>
      <c r="Q5" s="3" t="s">
        <v>485</v>
      </c>
      <c r="R5" s="3" t="s">
        <v>486</v>
      </c>
      <c r="S5" s="3" t="s">
        <v>487</v>
      </c>
      <c r="T5" s="3" t="s">
        <v>488</v>
      </c>
      <c r="U5" s="3" t="s">
        <v>489</v>
      </c>
      <c r="V5" s="3" t="s">
        <v>490</v>
      </c>
      <c r="W5" s="3" t="s">
        <v>491</v>
      </c>
      <c r="X5" s="3" t="s">
        <v>492</v>
      </c>
      <c r="Y5" s="3" t="s">
        <v>493</v>
      </c>
      <c r="Z5" s="3" t="s">
        <v>494</v>
      </c>
      <c r="AA5" s="3" t="s">
        <v>495</v>
      </c>
      <c r="AB5" s="3" t="s">
        <v>496</v>
      </c>
      <c r="AC5" s="3" t="s">
        <v>497</v>
      </c>
      <c r="AD5" s="3" t="s">
        <v>498</v>
      </c>
      <c r="AE5" s="3" t="s">
        <v>499</v>
      </c>
      <c r="AF5" s="3" t="s">
        <v>500</v>
      </c>
      <c r="AG5" s="3" t="s">
        <v>501</v>
      </c>
      <c r="AH5" s="3" t="s">
        <v>502</v>
      </c>
      <c r="AI5" s="3" t="s">
        <v>503</v>
      </c>
      <c r="AJ5" s="3" t="s">
        <v>504</v>
      </c>
      <c r="AK5" s="3" t="s">
        <v>505</v>
      </c>
      <c r="AL5" s="3" t="s">
        <v>506</v>
      </c>
      <c r="AM5" s="3" t="s">
        <v>507</v>
      </c>
      <c r="AN5" s="3" t="s">
        <v>508</v>
      </c>
      <c r="AO5" s="3" t="s">
        <v>509</v>
      </c>
      <c r="AP5" s="3" t="s">
        <v>510</v>
      </c>
      <c r="AQ5" s="3" t="s">
        <v>511</v>
      </c>
      <c r="AR5" s="3" t="s">
        <v>512</v>
      </c>
      <c r="AS5" s="3" t="s">
        <v>513</v>
      </c>
      <c r="AT5" s="3" t="s">
        <v>514</v>
      </c>
      <c r="AU5" s="3" t="s">
        <v>515</v>
      </c>
      <c r="AV5" s="3" t="s">
        <v>516</v>
      </c>
      <c r="AW5" s="3" t="s">
        <v>517</v>
      </c>
      <c r="AX5" s="3" t="s">
        <v>518</v>
      </c>
      <c r="AY5" s="3" t="s">
        <v>519</v>
      </c>
      <c r="AZ5" s="3" t="s">
        <v>520</v>
      </c>
      <c r="BA5" s="3" t="s">
        <v>521</v>
      </c>
      <c r="BB5" s="3" t="s">
        <v>522</v>
      </c>
      <c r="BC5" s="3" t="s">
        <v>523</v>
      </c>
      <c r="BD5" s="3" t="s">
        <v>524</v>
      </c>
      <c r="BE5" s="3" t="s">
        <v>525</v>
      </c>
      <c r="BF5" s="3" t="s">
        <v>526</v>
      </c>
      <c r="BG5" s="3" t="s">
        <v>527</v>
      </c>
      <c r="BH5" s="3" t="s">
        <v>528</v>
      </c>
      <c r="BI5" s="3" t="s">
        <v>529</v>
      </c>
      <c r="BJ5" s="3" t="s">
        <v>530</v>
      </c>
      <c r="BK5" s="3" t="s">
        <v>531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906</v>
      </c>
      <c r="E7" s="0" t="s">
        <v>296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907</v>
      </c>
      <c r="E8" s="0" t="s">
        <v>149</v>
      </c>
      <c r="G8" s="13" t="n">
        <f aca="false">SUM(J8:DP8)</f>
        <v>1111.17586810746</v>
      </c>
      <c r="J8" s="13" t="n">
        <f aca="false">-Inputs!$F$68</f>
        <v>-14.2</v>
      </c>
      <c r="K8" s="13" t="n">
        <f aca="false">-Funding!J68</f>
        <v>-17.3183731856882</v>
      </c>
      <c r="L8" s="13" t="n">
        <f aca="false">-Funding!K68</f>
        <v>-0.641913488468208</v>
      </c>
      <c r="M8" s="13" t="n">
        <f aca="false">-Funding!L68</f>
        <v>-0.767529700693251</v>
      </c>
      <c r="N8" s="13" t="n">
        <f aca="false">-Funding!M68</f>
        <v>-0.977205989518163</v>
      </c>
      <c r="O8" s="13" t="n">
        <f aca="false">-Funding!N68</f>
        <v>-1.28296357771942</v>
      </c>
      <c r="P8" s="13" t="n">
        <f aca="false">-Funding!O68</f>
        <v>-1.64729668409608</v>
      </c>
      <c r="Q8" s="13" t="n">
        <f aca="false">-Funding!P68</f>
        <v>-2.03737503079346</v>
      </c>
      <c r="R8" s="13" t="n">
        <f aca="false">-Funding!Q68</f>
        <v>-2.508495024138</v>
      </c>
      <c r="S8" s="13" t="n">
        <f aca="false">-Funding!R68</f>
        <v>-2.97106123200635</v>
      </c>
      <c r="T8" s="13" t="n">
        <f aca="false">-Funding!S68</f>
        <v>-3.45902601726297</v>
      </c>
      <c r="U8" s="13" t="n">
        <f aca="false">-Funding!T68</f>
        <v>-3.92442222574439</v>
      </c>
      <c r="V8" s="13" t="n">
        <f aca="false">-Funding!U68</f>
        <v>-4.39440500434006</v>
      </c>
      <c r="W8" s="13" t="n">
        <f aca="false">-Funding!V68</f>
        <v>-4.83979279909622</v>
      </c>
      <c r="X8" s="13" t="n">
        <f aca="false">-Funding!W68</f>
        <v>-5.24664983723823</v>
      </c>
      <c r="Y8" s="13" t="n">
        <f aca="false">-Funding!X68</f>
        <v>-5.63351069013529</v>
      </c>
      <c r="Z8" s="13" t="n">
        <f aca="false">-Funding!Y68</f>
        <v>-5.95865170169448</v>
      </c>
      <c r="AA8" s="13" t="n">
        <f aca="false">-Funding!Z68</f>
        <v>-6.25310258990464</v>
      </c>
      <c r="AB8" s="13" t="n">
        <f aca="false">-Funding!AA68</f>
        <v>-6.78362234573566</v>
      </c>
      <c r="AC8" s="13" t="n">
        <f aca="false">-Funding!AB68</f>
        <v>-6.63420598474896</v>
      </c>
      <c r="AD8" s="13" t="n">
        <f aca="false">-Funding!AC68</f>
        <v>-6.76876636582412</v>
      </c>
      <c r="AE8" s="13" t="n">
        <f aca="false">-Funding!AD68</f>
        <v>-6.90060042830928</v>
      </c>
      <c r="AF8" s="13" t="n">
        <f aca="false">-Funding!AE68</f>
        <v>-6.90260780236822</v>
      </c>
      <c r="AG8" s="13" t="n">
        <f aca="false">-Funding!AF68</f>
        <v>-6.81925011465598</v>
      </c>
      <c r="AH8" s="13" t="n">
        <f aca="false">-Funding!AG68</f>
        <v>-6.69426093521161</v>
      </c>
      <c r="AI8" s="13" t="n">
        <f aca="false">-Funding!AH68</f>
        <v>-6.50279385707434</v>
      </c>
      <c r="AJ8" s="13" t="n">
        <f aca="false">-Funding!AI68</f>
        <v>-6.24293275926461</v>
      </c>
      <c r="AK8" s="13" t="n">
        <f aca="false">-Funding!AJ68</f>
        <v>-6.37522433276212</v>
      </c>
      <c r="AL8" s="13" t="n">
        <f aca="false">-Funding!AK68</f>
        <v>-6.01926469323979</v>
      </c>
      <c r="AM8" s="13" t="n">
        <f aca="false">-Funding!AL68</f>
        <v>-5.65204549530446</v>
      </c>
      <c r="AN8" s="13" t="n">
        <f aca="false">-Funding!AM68</f>
        <v>-5.37884940235157</v>
      </c>
      <c r="AO8" s="13" t="n">
        <f aca="false">-Funding!AN68</f>
        <v>-4.89869507605695</v>
      </c>
      <c r="AP8" s="13" t="n">
        <f aca="false">-Funding!AO68</f>
        <v>-4.49345594115906</v>
      </c>
      <c r="AQ8" s="13" t="n">
        <f aca="false">-Funding!AP68</f>
        <v>-3.51743633007562</v>
      </c>
      <c r="AR8" s="13" t="n">
        <f aca="false">-Funding!AQ68</f>
        <v>-5.04114003928815</v>
      </c>
      <c r="AS8" s="13" t="n">
        <f aca="false">-Funding!AR68</f>
        <v>-4.2387496155342</v>
      </c>
      <c r="AT8" s="13" t="n">
        <f aca="false">-Funding!AS68</f>
        <v>-3.67116219583314</v>
      </c>
      <c r="AU8" s="13" t="n">
        <f aca="false">-Funding!AT68</f>
        <v>-3.0610242976768</v>
      </c>
      <c r="AV8" s="13" t="n">
        <f aca="false">-Funding!AU68</f>
        <v>-3.46359585131403</v>
      </c>
      <c r="AW8" s="13" t="n">
        <f aca="false">-Funding!AV68</f>
        <v>-2.75797805164274</v>
      </c>
      <c r="AX8" s="13" t="n">
        <f aca="false">-Funding!AW68</f>
        <v>-17.2505652486455</v>
      </c>
      <c r="AY8" s="13" t="n">
        <f aca="false">-Funding!AX68</f>
        <v>-5.03445447559486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0</v>
      </c>
      <c r="BS8" s="18" t="n">
        <f aca="false">Waterfall!Q44</f>
        <v>0.318276307987357</v>
      </c>
      <c r="BT8" s="18" t="n">
        <f aca="false">Waterfall!R44</f>
        <v>0</v>
      </c>
      <c r="BU8" s="18" t="n">
        <f aca="false">Waterfall!S44</f>
        <v>0</v>
      </c>
      <c r="BV8" s="18" t="n">
        <f aca="false">Waterfall!T44</f>
        <v>0</v>
      </c>
      <c r="BW8" s="18" t="n">
        <f aca="false">Waterfall!U44</f>
        <v>0</v>
      </c>
      <c r="BX8" s="18" t="n">
        <f aca="false">Waterfall!V44</f>
        <v>41.7631264745739</v>
      </c>
      <c r="BY8" s="18" t="n">
        <f aca="false">Waterfall!W44</f>
        <v>22.7997743379003</v>
      </c>
      <c r="BZ8" s="18" t="n">
        <f aca="false">Waterfall!X44</f>
        <v>20.7292749768546</v>
      </c>
      <c r="CA8" s="18" t="n">
        <f aca="false">Waterfall!Y44</f>
        <v>17.7257664289265</v>
      </c>
      <c r="CB8" s="18" t="n">
        <f aca="false">Waterfall!Z44</f>
        <v>18.8036203050284</v>
      </c>
      <c r="CC8" s="18" t="n">
        <f aca="false">Waterfall!AA44</f>
        <v>17.8097677322611</v>
      </c>
      <c r="CD8" s="18" t="n">
        <f aca="false">Waterfall!AB44</f>
        <v>18.6973030876735</v>
      </c>
      <c r="CE8" s="18" t="n">
        <f aca="false">Waterfall!AC44</f>
        <v>18.0284659647414</v>
      </c>
      <c r="CF8" s="18" t="n">
        <f aca="false">Waterfall!AD44</f>
        <v>17.6823728160513</v>
      </c>
      <c r="CG8" s="18" t="n">
        <f aca="false">Waterfall!AE44</f>
        <v>18.5799641049477</v>
      </c>
      <c r="CH8" s="18" t="n">
        <f aca="false">Waterfall!AF44</f>
        <v>19.944196224325</v>
      </c>
      <c r="CI8" s="18" t="n">
        <f aca="false">Waterfall!AG44</f>
        <v>18.6579964494106</v>
      </c>
      <c r="CJ8" s="18" t="n">
        <f aca="false">Waterfall!AH44</f>
        <v>19.6293907692788</v>
      </c>
      <c r="CK8" s="18" t="n">
        <f aca="false">Waterfall!AI44</f>
        <v>18.8753756634077</v>
      </c>
      <c r="CL8" s="18" t="n">
        <f aca="false">Waterfall!AJ44</f>
        <v>19.759603457064</v>
      </c>
      <c r="CM8" s="18" t="n">
        <f aca="false">Waterfall!AK44</f>
        <v>19.0612675624935</v>
      </c>
      <c r="CN8" s="18" t="n">
        <f aca="false">Waterfall!AL44</f>
        <v>19.325012013841</v>
      </c>
      <c r="CO8" s="18" t="n">
        <f aca="false">Waterfall!AM44</f>
        <v>19.3603114401395</v>
      </c>
      <c r="CP8" s="18" t="n">
        <f aca="false">Waterfall!AN44</f>
        <v>22.0478706481204</v>
      </c>
      <c r="CQ8" s="18" t="n">
        <f aca="false">Waterfall!AO44</f>
        <v>21.7512257790544</v>
      </c>
      <c r="CR8" s="18" t="n">
        <f aca="false">Waterfall!AP44</f>
        <v>19.1949044391058</v>
      </c>
      <c r="CS8" s="18" t="n">
        <f aca="false">Waterfall!AQ44</f>
        <v>15.602644905436</v>
      </c>
      <c r="CT8" s="18" t="n">
        <f aca="false">Waterfall!AR44</f>
        <v>16.4040760664378</v>
      </c>
      <c r="CU8" s="18" t="n">
        <f aca="false">Waterfall!AS44</f>
        <v>15.5775421735941</v>
      </c>
      <c r="CV8" s="18" t="n">
        <f aca="false">Waterfall!AT44</f>
        <v>11.7171892741997</v>
      </c>
      <c r="CW8" s="18" t="n">
        <f aca="false">Waterfall!AU44</f>
        <v>49.2398890764651</v>
      </c>
      <c r="CX8" s="18" t="n">
        <f aca="false">Waterfall!AV44</f>
        <v>44.784400708897</v>
      </c>
      <c r="CY8" s="18" t="n">
        <f aca="false">Waterfall!AW44</f>
        <v>43.7757754228928</v>
      </c>
      <c r="CZ8" s="18" t="n">
        <f aca="false">Waterfall!AX44</f>
        <v>44.549328479987</v>
      </c>
      <c r="DA8" s="18" t="n">
        <f aca="false">Waterfall!AY44</f>
        <v>44.1454555245785</v>
      </c>
      <c r="DB8" s="18" t="n">
        <f aca="false">Waterfall!AZ44</f>
        <v>44.8208395983027</v>
      </c>
      <c r="DC8" s="18" t="n">
        <f aca="false">Waterfall!BA44</f>
        <v>44.4187733432184</v>
      </c>
      <c r="DD8" s="18" t="n">
        <f aca="false">Waterfall!BB44</f>
        <v>44.6770575981754</v>
      </c>
      <c r="DE8" s="18" t="n">
        <f aca="false">Waterfall!BC44</f>
        <v>44.9304411389352</v>
      </c>
      <c r="DF8" s="18" t="n">
        <f aca="false">Waterfall!BD44</f>
        <v>43.4112668979972</v>
      </c>
      <c r="DG8" s="18" t="n">
        <f aca="false">Waterfall!BE44</f>
        <v>34.7628270815216</v>
      </c>
      <c r="DH8" s="18" t="n">
        <f aca="false">Waterfall!BF44</f>
        <v>35.4582878880529</v>
      </c>
      <c r="DI8" s="18" t="n">
        <f aca="false">Waterfall!BG44</f>
        <v>35.0282731328416</v>
      </c>
      <c r="DJ8" s="18" t="n">
        <f aca="false">Waterfall!BH44</f>
        <v>35.7142184030524</v>
      </c>
      <c r="DK8" s="18" t="n">
        <f aca="false">Waterfall!BI44</f>
        <v>35.2792861301848</v>
      </c>
      <c r="DL8" s="18" t="n">
        <f aca="false">Waterfall!BJ44</f>
        <v>35.8466581519698</v>
      </c>
      <c r="DM8" s="18" t="n">
        <f aca="false">Waterfall!BK44</f>
        <v>44.1090267549813</v>
      </c>
      <c r="DN8" s="18" t="n">
        <f aca="false">Waterfall!BL44</f>
        <v>39.1159758488396</v>
      </c>
      <c r="DO8" s="18" t="n">
        <f aca="false">Waterfall!BM44</f>
        <v>38.7102482886552</v>
      </c>
      <c r="DP8" s="18" t="n">
        <f aca="false">Waterfall!BN44</f>
        <v>63.7159756532666</v>
      </c>
    </row>
    <row r="9" customFormat="false" ht="15" hidden="false" customHeight="false" outlineLevel="0" collapsed="false">
      <c r="D9" s="0" t="s">
        <v>908</v>
      </c>
      <c r="E9" s="0" t="s">
        <v>149</v>
      </c>
      <c r="G9" s="13" t="n">
        <f aca="false">SUM(J9:DP9)</f>
        <v>1585.06492666069</v>
      </c>
      <c r="J9" s="13" t="n">
        <f aca="false">0</f>
        <v>0</v>
      </c>
      <c r="K9" s="13" t="n">
        <f aca="false">-Construction!J32</f>
        <v>-108.013824201974</v>
      </c>
      <c r="L9" s="13" t="n">
        <f aca="false">-Construction!K32</f>
        <v>-1.39712593852848</v>
      </c>
      <c r="M9" s="13" t="n">
        <f aca="false">-Construction!L32</f>
        <v>-1.83356235218097</v>
      </c>
      <c r="N9" s="13" t="n">
        <f aca="false">-Construction!M32</f>
        <v>-2.63929650502864</v>
      </c>
      <c r="O9" s="13" t="n">
        <f aca="false">-Construction!N32</f>
        <v>-3.74788136043555</v>
      </c>
      <c r="P9" s="13" t="n">
        <f aca="false">-Construction!O32</f>
        <v>-5.09350242976283</v>
      </c>
      <c r="Q9" s="13" t="n">
        <f aca="false">-Construction!P32</f>
        <v>-6.62309117771409</v>
      </c>
      <c r="R9" s="13" t="n">
        <f aca="false">-Construction!Q32</f>
        <v>-8.27900450036828</v>
      </c>
      <c r="S9" s="13" t="n">
        <f aca="false">-Construction!R32</f>
        <v>-10.0116538622137</v>
      </c>
      <c r="T9" s="13" t="n">
        <f aca="false">-Construction!S32</f>
        <v>-11.7734691813188</v>
      </c>
      <c r="U9" s="13" t="n">
        <f aca="false">-Construction!T32</f>
        <v>-13.5225169630406</v>
      </c>
      <c r="V9" s="13" t="n">
        <f aca="false">-Construction!U32</f>
        <v>-15.2099501027101</v>
      </c>
      <c r="W9" s="13" t="n">
        <f aca="false">-Construction!V32</f>
        <v>-16.8184079752718</v>
      </c>
      <c r="X9" s="13" t="n">
        <f aca="false">-Construction!W32</f>
        <v>-18.308073514368</v>
      </c>
      <c r="Y9" s="13" t="n">
        <f aca="false">-Construction!X32</f>
        <v>-19.651367322778</v>
      </c>
      <c r="Z9" s="13" t="n">
        <f aca="false">-Construction!Y32</f>
        <v>-20.824808601896</v>
      </c>
      <c r="AA9" s="13" t="n">
        <f aca="false">-Construction!Z32</f>
        <v>-21.8087203404048</v>
      </c>
      <c r="AB9" s="13" t="n">
        <f aca="false">-Construction!AA32</f>
        <v>-23.7123587042018</v>
      </c>
      <c r="AC9" s="13" t="n">
        <f aca="false">-Construction!AB32</f>
        <v>-23.1290298363613</v>
      </c>
      <c r="AD9" s="13" t="n">
        <f aca="false">-Construction!AC32</f>
        <v>-23.4609170485476</v>
      </c>
      <c r="AE9" s="13" t="n">
        <f aca="false">-Construction!AD32</f>
        <v>-23.9018279079575</v>
      </c>
      <c r="AF9" s="13" t="n">
        <f aca="false">-Construction!AE32</f>
        <v>-23.7701161923761</v>
      </c>
      <c r="AG9" s="13" t="n">
        <f aca="false">-Construction!AF32</f>
        <v>-23.4059672380132</v>
      </c>
      <c r="AH9" s="13" t="n">
        <f aca="false">-Construction!AG32</f>
        <v>-22.8011117276903</v>
      </c>
      <c r="AI9" s="13" t="n">
        <f aca="false">-Construction!AH32</f>
        <v>-21.9972388438335</v>
      </c>
      <c r="AJ9" s="13" t="n">
        <f aca="false">-Construction!AI32</f>
        <v>-20.9915287499807</v>
      </c>
      <c r="AK9" s="13" t="n">
        <f aca="false">-Construction!AJ32</f>
        <v>-21.3679677740552</v>
      </c>
      <c r="AL9" s="13" t="n">
        <f aca="false">-Construction!AK32</f>
        <v>-20.0134243396009</v>
      </c>
      <c r="AM9" s="13" t="n">
        <f aca="false">-Construction!AL32</f>
        <v>-18.518571062632</v>
      </c>
      <c r="AN9" s="13" t="n">
        <f aca="false">-Construction!AM32</f>
        <v>-17.443296495692</v>
      </c>
      <c r="AO9" s="13" t="n">
        <f aca="false">-Construction!AN32</f>
        <v>-15.75746629617</v>
      </c>
      <c r="AP9" s="13" t="n">
        <f aca="false">-Construction!AO32</f>
        <v>-14.0243063836852</v>
      </c>
      <c r="AQ9" s="13" t="n">
        <f aca="false">-Construction!AP32</f>
        <v>-10.3746752952529</v>
      </c>
      <c r="AR9" s="13" t="n">
        <f aca="false">-Construction!AQ32</f>
        <v>-15.9552292324514</v>
      </c>
      <c r="AS9" s="13" t="n">
        <f aca="false">-Construction!AR32</f>
        <v>-12.9086311397654</v>
      </c>
      <c r="AT9" s="13" t="n">
        <f aca="false">-Construction!AS32</f>
        <v>-11.8629441805435</v>
      </c>
      <c r="AU9" s="13" t="n">
        <f aca="false">-Construction!AT32</f>
        <v>-9.54673714160624</v>
      </c>
      <c r="AV9" s="13" t="n">
        <f aca="false">-Construction!AU32</f>
        <v>-11.1076353608013</v>
      </c>
      <c r="AW9" s="13" t="n">
        <f aca="false">-Construction!AV32</f>
        <v>-8.37023255792853</v>
      </c>
      <c r="AX9" s="13" t="n">
        <f aca="false">-Construction!AW32</f>
        <v>-62.936725320143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0</v>
      </c>
      <c r="BR9" s="18" t="n">
        <f aca="false">Waterfall!P7</f>
        <v>-6.29263433853431</v>
      </c>
      <c r="BS9" s="18" t="n">
        <f aca="false">Waterfall!Q7</f>
        <v>44.8010365135894</v>
      </c>
      <c r="BT9" s="18" t="n">
        <f aca="false">Waterfall!R7</f>
        <v>37.365369182051</v>
      </c>
      <c r="BU9" s="18" t="n">
        <f aca="false">Waterfall!S7</f>
        <v>35.7706177871311</v>
      </c>
      <c r="BV9" s="18" t="n">
        <f aca="false">Waterfall!T7</f>
        <v>56.1891743940575</v>
      </c>
      <c r="BW9" s="18" t="n">
        <f aca="false">Waterfall!U7</f>
        <v>57.3841171853081</v>
      </c>
      <c r="BX9" s="18" t="n">
        <f aca="false">Waterfall!V7</f>
        <v>56.6744396090678</v>
      </c>
      <c r="BY9" s="18" t="n">
        <f aca="false">Waterfall!W7</f>
        <v>55.3563987334357</v>
      </c>
      <c r="BZ9" s="18" t="n">
        <f aca="false">Waterfall!X7</f>
        <v>51.6814505191527</v>
      </c>
      <c r="CA9" s="18" t="n">
        <f aca="false">Waterfall!Y7</f>
        <v>49.1344959266961</v>
      </c>
      <c r="CB9" s="18" t="n">
        <f aca="false">Waterfall!Z7</f>
        <v>49.8592446098631</v>
      </c>
      <c r="CC9" s="18" t="n">
        <f aca="false">Waterfall!AA7</f>
        <v>49.2987138762401</v>
      </c>
      <c r="CD9" s="18" t="n">
        <f aca="false">Waterfall!AB7</f>
        <v>49.9865831380076</v>
      </c>
      <c r="CE9" s="18" t="n">
        <f aca="false">Waterfall!AC7</f>
        <v>49.6696266497153</v>
      </c>
      <c r="CF9" s="18" t="n">
        <f aca="false">Waterfall!AD7</f>
        <v>50.2282134794445</v>
      </c>
      <c r="CG9" s="18" t="n">
        <f aca="false">Waterfall!AE7</f>
        <v>51.6643320700057</v>
      </c>
      <c r="CH9" s="18" t="n">
        <f aca="false">Waterfall!AF7</f>
        <v>52.5192079243347</v>
      </c>
      <c r="CI9" s="18" t="n">
        <f aca="false">Waterfall!AG7</f>
        <v>51.7106391277389</v>
      </c>
      <c r="CJ9" s="18" t="n">
        <f aca="false">Waterfall!AH7</f>
        <v>52.46884616642</v>
      </c>
      <c r="CK9" s="18" t="n">
        <f aca="false">Waterfall!AI7</f>
        <v>52.1304257027341</v>
      </c>
      <c r="CL9" s="18" t="n">
        <f aca="false">Waterfall!AJ7</f>
        <v>52.790154232178</v>
      </c>
      <c r="CM9" s="18" t="n">
        <f aca="false">Waterfall!AK7</f>
        <v>52.4337767566135</v>
      </c>
      <c r="CN9" s="18" t="n">
        <f aca="false">Waterfall!AL7</f>
        <v>52.9766127366819</v>
      </c>
      <c r="CO9" s="18" t="n">
        <f aca="false">Waterfall!AM7</f>
        <v>53.4196517586844</v>
      </c>
      <c r="CP9" s="18" t="n">
        <f aca="false">Waterfall!AN7</f>
        <v>54.0669109303991</v>
      </c>
      <c r="CQ9" s="18" t="n">
        <f aca="false">Waterfall!AO7</f>
        <v>50.8280719129553</v>
      </c>
      <c r="CR9" s="18" t="n">
        <f aca="false">Waterfall!AP7</f>
        <v>46.1575366192651</v>
      </c>
      <c r="CS9" s="18" t="n">
        <f aca="false">Waterfall!AQ7</f>
        <v>42.8013643432436</v>
      </c>
      <c r="CT9" s="18" t="n">
        <f aca="false">Waterfall!AR7</f>
        <v>43.1761369484367</v>
      </c>
      <c r="CU9" s="18" t="n">
        <f aca="false">Waterfall!AS7</f>
        <v>42.4988451850029</v>
      </c>
      <c r="CV9" s="18" t="n">
        <f aca="false">Waterfall!AT7</f>
        <v>42.7357570172368</v>
      </c>
      <c r="CW9" s="18" t="n">
        <f aca="false">Waterfall!AU7</f>
        <v>49.2398890764651</v>
      </c>
      <c r="CX9" s="18" t="n">
        <f aca="false">Waterfall!AV7</f>
        <v>44.7844007088971</v>
      </c>
      <c r="CY9" s="18" t="n">
        <f aca="false">Waterfall!AW7</f>
        <v>43.7757754228929</v>
      </c>
      <c r="CZ9" s="18" t="n">
        <f aca="false">Waterfall!AX7</f>
        <v>44.549328479987</v>
      </c>
      <c r="DA9" s="18" t="n">
        <f aca="false">Waterfall!AY7</f>
        <v>44.1454555245786</v>
      </c>
      <c r="DB9" s="18" t="n">
        <f aca="false">Waterfall!AZ7</f>
        <v>44.8208395983027</v>
      </c>
      <c r="DC9" s="18" t="n">
        <f aca="false">Waterfall!BA7</f>
        <v>44.4187733432184</v>
      </c>
      <c r="DD9" s="18" t="n">
        <f aca="false">Waterfall!BB7</f>
        <v>44.9574802297412</v>
      </c>
      <c r="DE9" s="18" t="n">
        <f aca="false">Waterfall!BC7</f>
        <v>46.6322160935906</v>
      </c>
      <c r="DF9" s="18" t="n">
        <f aca="false">Waterfall!BD7</f>
        <v>45.1325010105476</v>
      </c>
      <c r="DG9" s="18" t="n">
        <f aca="false">Waterfall!BE7</f>
        <v>36.503742860134</v>
      </c>
      <c r="DH9" s="18" t="n">
        <f aca="false">Waterfall!BF7</f>
        <v>37.2191103851919</v>
      </c>
      <c r="DI9" s="18" t="n">
        <f aca="false">Waterfall!BG7</f>
        <v>36.8092299743622</v>
      </c>
      <c r="DJ9" s="18" t="n">
        <f aca="false">Waterfall!BH7</f>
        <v>37.5155398176257</v>
      </c>
      <c r="DK9" s="18" t="n">
        <f aca="false">Waterfall!BI7</f>
        <v>37.1012049790603</v>
      </c>
      <c r="DL9" s="18" t="n">
        <f aca="false">Waterfall!BJ7</f>
        <v>37.6894099590783</v>
      </c>
      <c r="DM9" s="18" t="n">
        <f aca="false">Waterfall!BK7</f>
        <v>45.972849737381</v>
      </c>
      <c r="DN9" s="18" t="n">
        <f aca="false">Waterfall!BL7</f>
        <v>41.0011109475115</v>
      </c>
      <c r="DO9" s="18" t="n">
        <f aca="false">Waterfall!BM7</f>
        <v>40.6169391996501</v>
      </c>
      <c r="DP9" s="18" t="n">
        <f aca="false">Waterfall!BN7</f>
        <v>43.6082077745997</v>
      </c>
    </row>
    <row r="10" customFormat="false" ht="15" hidden="false" customHeight="false" outlineLevel="0" collapsed="false">
      <c r="D10" s="0" t="s">
        <v>909</v>
      </c>
      <c r="E10" s="0" t="s">
        <v>149</v>
      </c>
      <c r="G10" s="13" t="n">
        <f aca="false">SUM(J10:DP10)</f>
        <v>1891.20773386377</v>
      </c>
      <c r="J10" s="13" t="n">
        <f aca="false">0</f>
        <v>0</v>
      </c>
      <c r="K10" s="13" t="n">
        <f aca="false">-Construction!J32</f>
        <v>-108.013824201974</v>
      </c>
      <c r="L10" s="13" t="n">
        <f aca="false">-Construction!K32</f>
        <v>-1.39712593852848</v>
      </c>
      <c r="M10" s="13" t="n">
        <f aca="false">-Construction!L32</f>
        <v>-1.83356235218097</v>
      </c>
      <c r="N10" s="13" t="n">
        <f aca="false">-Construction!M32</f>
        <v>-2.63929650502864</v>
      </c>
      <c r="O10" s="13" t="n">
        <f aca="false">-Construction!N32</f>
        <v>-3.74788136043555</v>
      </c>
      <c r="P10" s="13" t="n">
        <f aca="false">-Construction!O32</f>
        <v>-5.09350242976283</v>
      </c>
      <c r="Q10" s="13" t="n">
        <f aca="false">-Construction!P32</f>
        <v>-6.62309117771409</v>
      </c>
      <c r="R10" s="13" t="n">
        <f aca="false">-Construction!Q32</f>
        <v>-8.27900450036828</v>
      </c>
      <c r="S10" s="13" t="n">
        <f aca="false">-Construction!R32</f>
        <v>-10.0116538622137</v>
      </c>
      <c r="T10" s="13" t="n">
        <f aca="false">-Construction!S32</f>
        <v>-11.7734691813188</v>
      </c>
      <c r="U10" s="13" t="n">
        <f aca="false">-Construction!T32</f>
        <v>-13.5225169630406</v>
      </c>
      <c r="V10" s="13" t="n">
        <f aca="false">-Construction!U32</f>
        <v>-15.2099501027101</v>
      </c>
      <c r="W10" s="13" t="n">
        <f aca="false">-Construction!V32</f>
        <v>-16.8184079752718</v>
      </c>
      <c r="X10" s="13" t="n">
        <f aca="false">-Construction!W32</f>
        <v>-18.308073514368</v>
      </c>
      <c r="Y10" s="13" t="n">
        <f aca="false">-Construction!X32</f>
        <v>-19.651367322778</v>
      </c>
      <c r="Z10" s="13" t="n">
        <f aca="false">-Construction!Y32</f>
        <v>-20.824808601896</v>
      </c>
      <c r="AA10" s="13" t="n">
        <f aca="false">-Construction!Z32</f>
        <v>-21.8087203404048</v>
      </c>
      <c r="AB10" s="13" t="n">
        <f aca="false">-Construction!AA32</f>
        <v>-23.7123587042018</v>
      </c>
      <c r="AC10" s="13" t="n">
        <f aca="false">-Construction!AB32</f>
        <v>-23.1290298363613</v>
      </c>
      <c r="AD10" s="13" t="n">
        <f aca="false">-Construction!AC32</f>
        <v>-23.4609170485476</v>
      </c>
      <c r="AE10" s="13" t="n">
        <f aca="false">-Construction!AD32</f>
        <v>-23.9018279079575</v>
      </c>
      <c r="AF10" s="13" t="n">
        <f aca="false">-Construction!AE32</f>
        <v>-23.7701161923761</v>
      </c>
      <c r="AG10" s="13" t="n">
        <f aca="false">-Construction!AF32</f>
        <v>-23.4059672380132</v>
      </c>
      <c r="AH10" s="13" t="n">
        <f aca="false">-Construction!AG32</f>
        <v>-22.8011117276903</v>
      </c>
      <c r="AI10" s="13" t="n">
        <f aca="false">-Construction!AH32</f>
        <v>-21.9972388438335</v>
      </c>
      <c r="AJ10" s="13" t="n">
        <f aca="false">-Construction!AI32</f>
        <v>-20.9915287499807</v>
      </c>
      <c r="AK10" s="13" t="n">
        <f aca="false">-Construction!AJ32</f>
        <v>-21.3679677740552</v>
      </c>
      <c r="AL10" s="13" t="n">
        <f aca="false">-Construction!AK32</f>
        <v>-20.0134243396009</v>
      </c>
      <c r="AM10" s="13" t="n">
        <f aca="false">-Construction!AL32</f>
        <v>-18.518571062632</v>
      </c>
      <c r="AN10" s="13" t="n">
        <f aca="false">-Construction!AM32</f>
        <v>-17.443296495692</v>
      </c>
      <c r="AO10" s="13" t="n">
        <f aca="false">-Construction!AN32</f>
        <v>-15.75746629617</v>
      </c>
      <c r="AP10" s="13" t="n">
        <f aca="false">-Construction!AO32</f>
        <v>-14.0243063836852</v>
      </c>
      <c r="AQ10" s="13" t="n">
        <f aca="false">-Construction!AP32</f>
        <v>-10.3746752952529</v>
      </c>
      <c r="AR10" s="13" t="n">
        <f aca="false">-Construction!AQ32</f>
        <v>-15.9552292324514</v>
      </c>
      <c r="AS10" s="13" t="n">
        <f aca="false">-Construction!AR32</f>
        <v>-12.9086311397654</v>
      </c>
      <c r="AT10" s="13" t="n">
        <f aca="false">-Construction!AS32</f>
        <v>-11.8629441805435</v>
      </c>
      <c r="AU10" s="13" t="n">
        <f aca="false">-Construction!AT32</f>
        <v>-9.54673714160624</v>
      </c>
      <c r="AV10" s="13" t="n">
        <f aca="false">-Construction!AU32</f>
        <v>-11.1076353608013</v>
      </c>
      <c r="AW10" s="13" t="n">
        <f aca="false">-Construction!AV32</f>
        <v>-8.37023255792853</v>
      </c>
      <c r="AX10" s="13" t="n">
        <f aca="false">-Construction!AW32</f>
        <v>-62.936725320143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0</v>
      </c>
      <c r="BR10" s="13" t="n">
        <f aca="false">Waterfall!P7+Tax!P27</f>
        <v>-6.29263433853431</v>
      </c>
      <c r="BS10" s="13" t="n">
        <f aca="false">Waterfall!Q7+Tax!Q27</f>
        <v>44.8010365135894</v>
      </c>
      <c r="BT10" s="13" t="n">
        <f aca="false">Waterfall!R7+Tax!R27</f>
        <v>37.365369182051</v>
      </c>
      <c r="BU10" s="13" t="n">
        <f aca="false">Waterfall!S7+Tax!S27</f>
        <v>35.7706177871311</v>
      </c>
      <c r="BV10" s="13" t="n">
        <f aca="false">Waterfall!T7+Tax!T27</f>
        <v>56.1891743940575</v>
      </c>
      <c r="BW10" s="13" t="n">
        <f aca="false">Waterfall!U7+Tax!U27</f>
        <v>57.3841171853081</v>
      </c>
      <c r="BX10" s="13" t="n">
        <f aca="false">Waterfall!V7+Tax!V27</f>
        <v>56.6744396090678</v>
      </c>
      <c r="BY10" s="13" t="n">
        <f aca="false">Waterfall!W7+Tax!W27</f>
        <v>55.3563987334357</v>
      </c>
      <c r="BZ10" s="13" t="n">
        <f aca="false">Waterfall!X7+Tax!X27</f>
        <v>51.6814505191527</v>
      </c>
      <c r="CA10" s="13" t="n">
        <f aca="false">Waterfall!Y7+Tax!Y27</f>
        <v>49.1344959266961</v>
      </c>
      <c r="CB10" s="13" t="n">
        <f aca="false">Waterfall!Z7+Tax!Z27</f>
        <v>49.9218321764206</v>
      </c>
      <c r="CC10" s="13" t="n">
        <f aca="false">Waterfall!AA7+Tax!AA27</f>
        <v>49.6763060808828</v>
      </c>
      <c r="CD10" s="13" t="n">
        <f aca="false">Waterfall!AB7+Tax!AB27</f>
        <v>50.3664976467879</v>
      </c>
      <c r="CE10" s="13" t="n">
        <f aca="false">Waterfall!AC7+Tax!AC27</f>
        <v>50.0521618307896</v>
      </c>
      <c r="CF10" s="13" t="n">
        <f aca="false">Waterfall!AD7+Tax!AD27</f>
        <v>50.6124217085188</v>
      </c>
      <c r="CG10" s="13" t="n">
        <f aca="false">Waterfall!AE7+Tax!AE27</f>
        <v>52.0433980203898</v>
      </c>
      <c r="CH10" s="13" t="n">
        <f aca="false">Waterfall!AF7+Tax!AF27</f>
        <v>52.9039623664178</v>
      </c>
      <c r="CI10" s="13" t="n">
        <f aca="false">Waterfall!AG7+Tax!AG27</f>
        <v>52.1015840437237</v>
      </c>
      <c r="CJ10" s="13" t="n">
        <f aca="false">Waterfall!AH7+Tax!AH27</f>
        <v>52.86184064702</v>
      </c>
      <c r="CK10" s="13" t="n">
        <f aca="false">Waterfall!AI7+Tax!AI27</f>
        <v>52.525142271612</v>
      </c>
      <c r="CL10" s="13" t="n">
        <f aca="false">Waterfall!AJ7+Tax!AJ27</f>
        <v>53.1871377542584</v>
      </c>
      <c r="CM10" s="13" t="n">
        <f aca="false">Waterfall!AK7+Tax!AK27</f>
        <v>52.833410634428</v>
      </c>
      <c r="CN10" s="13" t="n">
        <f aca="false">Waterfall!AL7+Tax!AL27</f>
        <v>53.3781593041144</v>
      </c>
      <c r="CO10" s="13" t="n">
        <f aca="false">Waterfall!AM7+Tax!AM27</f>
        <v>53.8218323705678</v>
      </c>
      <c r="CP10" s="13" t="n">
        <f aca="false">Waterfall!AN7+Tax!AN27</f>
        <v>54.4716823263895</v>
      </c>
      <c r="CQ10" s="13" t="n">
        <f aca="false">Waterfall!AO7+Tax!AO27</f>
        <v>51.236791126322</v>
      </c>
      <c r="CR10" s="13" t="n">
        <f aca="false">Waterfall!AP7+Tax!AP27</f>
        <v>51.9439970708815</v>
      </c>
      <c r="CS10" s="13" t="n">
        <f aca="false">Waterfall!AQ7+Tax!AQ27</f>
        <v>51.6072379710363</v>
      </c>
      <c r="CT10" s="13" t="n">
        <f aca="false">Waterfall!AR7+Tax!AR27</f>
        <v>52.2990549742112</v>
      </c>
      <c r="CU10" s="13" t="n">
        <f aca="false">Waterfall!AS7+Tax!AS27</f>
        <v>51.9367643977862</v>
      </c>
      <c r="CV10" s="13" t="n">
        <f aca="false">Waterfall!AT7+Tax!AT27</f>
        <v>52.5355710890526</v>
      </c>
      <c r="CW10" s="13" t="n">
        <f aca="false">Waterfall!AU7+Tax!AU27</f>
        <v>54.3954049150685</v>
      </c>
      <c r="CX10" s="13" t="n">
        <f aca="false">Waterfall!AV7+Tax!AV27</f>
        <v>55.3324180575057</v>
      </c>
      <c r="CY10" s="13" t="n">
        <f aca="false">Waterfall!AW7+Tax!AW27</f>
        <v>54.3776575120482</v>
      </c>
      <c r="CZ10" s="13" t="n">
        <f aca="false">Waterfall!AX7+Tax!AX27</f>
        <v>55.2061736210572</v>
      </c>
      <c r="DA10" s="13" t="n">
        <f aca="false">Waterfall!AY7+Tax!AY27</f>
        <v>54.8694383675685</v>
      </c>
      <c r="DB10" s="13" t="n">
        <f aca="false">Waterfall!AZ7+Tax!AZ27</f>
        <v>55.5937377892544</v>
      </c>
      <c r="DC10" s="13" t="n">
        <f aca="false">Waterfall!BA7+Tax!BA27</f>
        <v>55.2220365282364</v>
      </c>
      <c r="DD10" s="13" t="n">
        <f aca="false">Waterfall!BB7+Tax!BB27</f>
        <v>55.8281924526202</v>
      </c>
      <c r="DE10" s="13" t="n">
        <f aca="false">Waterfall!BC7+Tax!BC27</f>
        <v>56.4205059945193</v>
      </c>
      <c r="DF10" s="13" t="n">
        <f aca="false">Waterfall!BD7+Tax!BD27</f>
        <v>57.1312126173196</v>
      </c>
      <c r="DG10" s="13" t="n">
        <f aca="false">Waterfall!BE7+Tax!BE27</f>
        <v>53.3105386449696</v>
      </c>
      <c r="DH10" s="13" t="n">
        <f aca="false">Waterfall!BF7+Tax!BF27</f>
        <v>54.0860421331371</v>
      </c>
      <c r="DI10" s="13" t="n">
        <f aca="false">Waterfall!BG7+Tax!BG27</f>
        <v>53.7494298302207</v>
      </c>
      <c r="DJ10" s="13" t="n">
        <f aca="false">Waterfall!BH7+Tax!BH27</f>
        <v>54.5091128501268</v>
      </c>
      <c r="DK10" s="13" t="n">
        <f aca="false">Waterfall!BI7+Tax!BI27</f>
        <v>54.127070658001</v>
      </c>
      <c r="DL10" s="13" t="n">
        <f aca="false">Waterfall!BJ7+Tax!BJ27</f>
        <v>54.7984194324045</v>
      </c>
      <c r="DM10" s="13" t="n">
        <f aca="false">Waterfall!BK7+Tax!BK27</f>
        <v>57.1799683271747</v>
      </c>
      <c r="DN10" s="13" t="n">
        <f aca="false">Waterfall!BL7+Tax!BL27</f>
        <v>58.208194971124</v>
      </c>
      <c r="DO10" s="13" t="n">
        <f aca="false">Waterfall!BM7+Tax!BM27</f>
        <v>57.8713019165561</v>
      </c>
      <c r="DP10" s="13" t="n">
        <f aca="false">Waterfall!BN7+Tax!BN27</f>
        <v>51.5238210805751</v>
      </c>
    </row>
    <row r="11" customFormat="false" ht="15" hidden="false" customHeight="false" outlineLevel="0" collapsed="false">
      <c r="D11" s="0" t="s">
        <v>910</v>
      </c>
      <c r="E11" s="0" t="s">
        <v>149</v>
      </c>
      <c r="J11" s="13" t="n">
        <f aca="false">J8</f>
        <v>-14.2</v>
      </c>
      <c r="K11" s="13" t="n">
        <f aca="false">J11+K8</f>
        <v>-31.5183731856882</v>
      </c>
      <c r="L11" s="13" t="n">
        <f aca="false">K11+L8</f>
        <v>-32.1602866741564</v>
      </c>
      <c r="M11" s="13" t="n">
        <f aca="false">L11+M8</f>
        <v>-32.9278163748496</v>
      </c>
      <c r="N11" s="13" t="n">
        <f aca="false">M11+N8</f>
        <v>-33.9050223643678</v>
      </c>
      <c r="O11" s="13" t="n">
        <f aca="false">N11+O8</f>
        <v>-35.1879859420872</v>
      </c>
      <c r="P11" s="13" t="n">
        <f aca="false">O11+P8</f>
        <v>-36.8352826261833</v>
      </c>
      <c r="Q11" s="13" t="n">
        <f aca="false">P11+Q8</f>
        <v>-38.8726576569767</v>
      </c>
      <c r="R11" s="13" t="n">
        <f aca="false">Q11+R8</f>
        <v>-41.3811526811147</v>
      </c>
      <c r="S11" s="13" t="n">
        <f aca="false">R11+S8</f>
        <v>-44.3522139131211</v>
      </c>
      <c r="T11" s="13" t="n">
        <f aca="false">S11+T8</f>
        <v>-47.8112399303841</v>
      </c>
      <c r="U11" s="13" t="n">
        <f aca="false">T11+U8</f>
        <v>-51.7356621561284</v>
      </c>
      <c r="V11" s="13" t="n">
        <f aca="false">U11+V8</f>
        <v>-56.1300671604685</v>
      </c>
      <c r="W11" s="13" t="n">
        <f aca="false">V11+W8</f>
        <v>-60.9698599595647</v>
      </c>
      <c r="X11" s="13" t="n">
        <f aca="false">W11+X8</f>
        <v>-66.216509796803</v>
      </c>
      <c r="Y11" s="13" t="n">
        <f aca="false">X11+Y8</f>
        <v>-71.8500204869382</v>
      </c>
      <c r="Z11" s="13" t="n">
        <f aca="false">Y11+Z8</f>
        <v>-77.8086721886327</v>
      </c>
      <c r="AA11" s="13" t="n">
        <f aca="false">Z11+AA8</f>
        <v>-84.0617747785374</v>
      </c>
      <c r="AB11" s="13" t="n">
        <f aca="false">AA11+AB8</f>
        <v>-90.845397124273</v>
      </c>
      <c r="AC11" s="13" t="n">
        <f aca="false">AB11+AC8</f>
        <v>-97.479603109022</v>
      </c>
      <c r="AD11" s="13" t="n">
        <f aca="false">AC11+AD8</f>
        <v>-104.248369474846</v>
      </c>
      <c r="AE11" s="13" t="n">
        <f aca="false">AD11+AE8</f>
        <v>-111.148969903155</v>
      </c>
      <c r="AF11" s="13" t="n">
        <f aca="false">AE11+AF8</f>
        <v>-118.051577705524</v>
      </c>
      <c r="AG11" s="13" t="n">
        <f aca="false">AF11+AG8</f>
        <v>-124.87082782018</v>
      </c>
      <c r="AH11" s="13" t="n">
        <f aca="false">AG11+AH8</f>
        <v>-131.565088755391</v>
      </c>
      <c r="AI11" s="13" t="n">
        <f aca="false">AH11+AI8</f>
        <v>-138.067882612466</v>
      </c>
      <c r="AJ11" s="13" t="n">
        <f aca="false">AI11+AJ8</f>
        <v>-144.31081537173</v>
      </c>
      <c r="AK11" s="13" t="n">
        <f aca="false">AJ11+AK8</f>
        <v>-150.686039704492</v>
      </c>
      <c r="AL11" s="13" t="n">
        <f aca="false">AK11+AL8</f>
        <v>-156.705304397732</v>
      </c>
      <c r="AM11" s="13" t="n">
        <f aca="false">AL11+AM8</f>
        <v>-162.357349893037</v>
      </c>
      <c r="AN11" s="13" t="n">
        <f aca="false">AM11+AN8</f>
        <v>-167.736199295388</v>
      </c>
      <c r="AO11" s="13" t="n">
        <f aca="false">AN11+AO8</f>
        <v>-172.634894371445</v>
      </c>
      <c r="AP11" s="13" t="n">
        <f aca="false">AO11+AP8</f>
        <v>-177.128350312604</v>
      </c>
      <c r="AQ11" s="13" t="n">
        <f aca="false">AP11+AQ8</f>
        <v>-180.64578664268</v>
      </c>
      <c r="AR11" s="13" t="n">
        <f aca="false">AQ11+AR8</f>
        <v>-185.686926681968</v>
      </c>
      <c r="AS11" s="13" t="n">
        <f aca="false">AR11+AS8</f>
        <v>-189.925676297502</v>
      </c>
      <c r="AT11" s="13" t="n">
        <f aca="false">AS11+AT8</f>
        <v>-193.596838493335</v>
      </c>
      <c r="AU11" s="13" t="n">
        <f aca="false">AT11+AU8</f>
        <v>-196.657862791012</v>
      </c>
      <c r="AV11" s="13" t="n">
        <f aca="false">AU11+AV8</f>
        <v>-200.121458642326</v>
      </c>
      <c r="AW11" s="13" t="n">
        <f aca="false">AV11+AW8</f>
        <v>-202.879436693969</v>
      </c>
      <c r="AX11" s="13" t="n">
        <f aca="false">AW11+AX8</f>
        <v>-220.130001942614</v>
      </c>
      <c r="AY11" s="13" t="n">
        <f aca="false">AX11+AY8</f>
        <v>-225.164456418209</v>
      </c>
      <c r="AZ11" s="13" t="n">
        <f aca="false">AY11+AZ8</f>
        <v>-225.164456418209</v>
      </c>
      <c r="BA11" s="13" t="n">
        <f aca="false">AZ11+BA8</f>
        <v>-225.164456418209</v>
      </c>
      <c r="BB11" s="13" t="n">
        <f aca="false">BA11+BB8</f>
        <v>-225.164456418209</v>
      </c>
      <c r="BC11" s="13" t="n">
        <f aca="false">BB11+BC8</f>
        <v>-225.164456418209</v>
      </c>
      <c r="BD11" s="13" t="n">
        <f aca="false">BC11+BD8</f>
        <v>-225.164456418209</v>
      </c>
      <c r="BE11" s="13" t="n">
        <f aca="false">BD11+BE8</f>
        <v>-225.164456418209</v>
      </c>
      <c r="BF11" s="13" t="n">
        <f aca="false">BE11+BF8</f>
        <v>-225.164456418209</v>
      </c>
      <c r="BG11" s="13" t="n">
        <f aca="false">BF11+BG8</f>
        <v>-225.164456418209</v>
      </c>
      <c r="BH11" s="13" t="n">
        <f aca="false">BG11+BH8</f>
        <v>-225.164456418209</v>
      </c>
      <c r="BI11" s="13" t="n">
        <f aca="false">BH11+BI8</f>
        <v>-225.164456418209</v>
      </c>
      <c r="BJ11" s="13" t="n">
        <f aca="false">BI11+BJ8</f>
        <v>-225.164456418209</v>
      </c>
      <c r="BK11" s="13" t="n">
        <f aca="false">BJ11+BK8</f>
        <v>-225.164456418209</v>
      </c>
      <c r="BL11" s="13" t="n">
        <f aca="false">BK11+BL8</f>
        <v>-225.164456418209</v>
      </c>
      <c r="BM11" s="13" t="n">
        <f aca="false">BL11+BM8</f>
        <v>-225.164456418209</v>
      </c>
      <c r="BN11" s="13" t="n">
        <f aca="false">BM11+BN8</f>
        <v>-225.164456418209</v>
      </c>
      <c r="BO11" s="13" t="n">
        <f aca="false">BN11+BO8</f>
        <v>-225.164456418209</v>
      </c>
      <c r="BP11" s="13" t="n">
        <f aca="false">BO11+BP8</f>
        <v>-225.164456418209</v>
      </c>
      <c r="BQ11" s="13" t="n">
        <f aca="false">BP11+BQ8</f>
        <v>-225.164456418209</v>
      </c>
      <c r="BR11" s="13" t="n">
        <f aca="false">BQ11+BR8</f>
        <v>-225.164456418209</v>
      </c>
      <c r="BS11" s="13" t="n">
        <f aca="false">BR11+BS8</f>
        <v>-224.846180110222</v>
      </c>
      <c r="BT11" s="13" t="n">
        <f aca="false">BS11+BT8</f>
        <v>-224.846180110222</v>
      </c>
      <c r="BU11" s="13" t="n">
        <f aca="false">BT11+BU8</f>
        <v>-224.846180110222</v>
      </c>
      <c r="BV11" s="13" t="n">
        <f aca="false">BU11+BV8</f>
        <v>-224.846180110222</v>
      </c>
      <c r="BW11" s="13" t="n">
        <f aca="false">BV11+BW8</f>
        <v>-224.846180110222</v>
      </c>
      <c r="BX11" s="13" t="n">
        <f aca="false">BW11+BX8</f>
        <v>-183.083053635648</v>
      </c>
      <c r="BY11" s="13" t="n">
        <f aca="false">BX11+BY8</f>
        <v>-160.283279297748</v>
      </c>
      <c r="BZ11" s="13" t="n">
        <f aca="false">BY11+BZ8</f>
        <v>-139.554004320893</v>
      </c>
      <c r="CA11" s="13" t="n">
        <f aca="false">BZ11+CA8</f>
        <v>-121.828237891966</v>
      </c>
      <c r="CB11" s="13" t="n">
        <f aca="false">CA11+CB8</f>
        <v>-103.024617586938</v>
      </c>
      <c r="CC11" s="13" t="n">
        <f aca="false">CB11+CC8</f>
        <v>-85.2148498546769</v>
      </c>
      <c r="CD11" s="13" t="n">
        <f aca="false">CC11+CD8</f>
        <v>-66.5175467670034</v>
      </c>
      <c r="CE11" s="13" t="n">
        <f aca="false">CD11+CE8</f>
        <v>-48.489080802262</v>
      </c>
      <c r="CF11" s="13" t="n">
        <f aca="false">CE11+CF8</f>
        <v>-30.8067079862107</v>
      </c>
      <c r="CG11" s="13" t="n">
        <f aca="false">CF11+CG8</f>
        <v>-12.226743881263</v>
      </c>
      <c r="CH11" s="13" t="n">
        <f aca="false">CG11+CH8</f>
        <v>7.71745234306201</v>
      </c>
      <c r="CI11" s="13" t="n">
        <f aca="false">CH11+CI8</f>
        <v>26.3754487924726</v>
      </c>
      <c r="CJ11" s="13" t="n">
        <f aca="false">CI11+CJ8</f>
        <v>46.0048395617514</v>
      </c>
      <c r="CK11" s="13" t="n">
        <f aca="false">CJ11+CK8</f>
        <v>64.8802152251591</v>
      </c>
      <c r="CL11" s="13" t="n">
        <f aca="false">CK11+CL8</f>
        <v>84.6398186822231</v>
      </c>
      <c r="CM11" s="13" t="n">
        <f aca="false">CL11+CM8</f>
        <v>103.701086244717</v>
      </c>
      <c r="CN11" s="13" t="n">
        <f aca="false">CM11+CN8</f>
        <v>123.026098258557</v>
      </c>
      <c r="CO11" s="13" t="n">
        <f aca="false">CN11+CO8</f>
        <v>142.386409698697</v>
      </c>
      <c r="CP11" s="13" t="n">
        <f aca="false">CO11+CP8</f>
        <v>164.434280346817</v>
      </c>
      <c r="CQ11" s="13" t="n">
        <f aca="false">CP11+CQ8</f>
        <v>186.185506125872</v>
      </c>
      <c r="CR11" s="13" t="n">
        <f aca="false">CQ11+CR8</f>
        <v>205.380410564978</v>
      </c>
      <c r="CS11" s="13" t="n">
        <f aca="false">CR11+CS8</f>
        <v>220.983055470414</v>
      </c>
      <c r="CT11" s="13" t="n">
        <f aca="false">CS11+CT8</f>
        <v>237.387131536851</v>
      </c>
      <c r="CU11" s="13" t="n">
        <f aca="false">CT11+CU8</f>
        <v>252.964673710445</v>
      </c>
      <c r="CV11" s="13" t="n">
        <f aca="false">CU11+CV8</f>
        <v>264.681862984645</v>
      </c>
      <c r="CW11" s="13" t="n">
        <f aca="false">CV11+CW8</f>
        <v>313.92175206111</v>
      </c>
      <c r="CX11" s="13" t="n">
        <f aca="false">CW11+CX8</f>
        <v>358.706152770007</v>
      </c>
      <c r="CY11" s="13" t="n">
        <f aca="false">CX11+CY8</f>
        <v>402.4819281929</v>
      </c>
      <c r="CZ11" s="13" t="n">
        <f aca="false">CY11+CZ8</f>
        <v>447.031256672887</v>
      </c>
      <c r="DA11" s="13" t="n">
        <f aca="false">CZ11+DA8</f>
        <v>491.176712197465</v>
      </c>
      <c r="DB11" s="13" t="n">
        <f aca="false">DA11+DB8</f>
        <v>535.997551795768</v>
      </c>
      <c r="DC11" s="13" t="n">
        <f aca="false">DB11+DC8</f>
        <v>580.416325138987</v>
      </c>
      <c r="DD11" s="13" t="n">
        <f aca="false">DC11+DD8</f>
        <v>625.093382737162</v>
      </c>
      <c r="DE11" s="13" t="n">
        <f aca="false">DD11+DE8</f>
        <v>670.023823876097</v>
      </c>
      <c r="DF11" s="13" t="n">
        <f aca="false">DE11+DF8</f>
        <v>713.435090774095</v>
      </c>
      <c r="DG11" s="13" t="n">
        <f aca="false">DF11+DG8</f>
        <v>748.197917855616</v>
      </c>
      <c r="DH11" s="13" t="n">
        <f aca="false">DG11+DH8</f>
        <v>783.656205743669</v>
      </c>
      <c r="DI11" s="13" t="n">
        <f aca="false">DH11+DI8</f>
        <v>818.684478876511</v>
      </c>
      <c r="DJ11" s="13" t="n">
        <f aca="false">DI11+DJ8</f>
        <v>854.398697279563</v>
      </c>
      <c r="DK11" s="13" t="n">
        <f aca="false">DJ11+DK8</f>
        <v>889.677983409748</v>
      </c>
      <c r="DL11" s="13" t="n">
        <f aca="false">DK11+DL8</f>
        <v>925.524641561718</v>
      </c>
      <c r="DM11" s="13" t="n">
        <f aca="false">DL11+DM8</f>
        <v>969.633668316699</v>
      </c>
      <c r="DN11" s="13" t="n">
        <f aca="false">DM11+DN8</f>
        <v>1008.74964416554</v>
      </c>
      <c r="DO11" s="13" t="n">
        <f aca="false">DN11+DO8</f>
        <v>1047.45989245419</v>
      </c>
      <c r="DP11" s="13" t="n">
        <f aca="false">DO11+DP8</f>
        <v>1111.17586810746</v>
      </c>
    </row>
    <row r="12" customFormat="false" ht="15" hidden="false" customHeight="false" outlineLevel="0" collapsed="false">
      <c r="D12" s="0" t="s">
        <v>911</v>
      </c>
      <c r="E12" s="0" t="s">
        <v>103</v>
      </c>
      <c r="F12" s="20" t="n">
        <f aca="false">XIRR(Returns!$J$8:$DP$8,Returns!$J$7:$DP$7)</f>
        <v>0.12495595485667</v>
      </c>
    </row>
    <row r="13" customFormat="false" ht="15" hidden="false" customHeight="false" outlineLevel="0" collapsed="false">
      <c r="D13" s="0" t="s">
        <v>912</v>
      </c>
      <c r="E13" s="0" t="s">
        <v>103</v>
      </c>
      <c r="F13" s="20" t="n">
        <f aca="false">XIRR(Returns!$J$9:$DP$9,Returns!$J$7:$DP$7,Inputs!$F$255)</f>
        <v>0.101333317511707</v>
      </c>
    </row>
    <row r="14" customFormat="false" ht="15" hidden="false" customHeight="false" outlineLevel="0" collapsed="false">
      <c r="D14" s="0" t="s">
        <v>913</v>
      </c>
      <c r="E14" s="0" t="s">
        <v>103</v>
      </c>
      <c r="F14" s="20" t="n">
        <f aca="false">XIRR(Returns!$J$10:$DP$10,Returns!$J$7:$DP$7,Inputs!$F$255)</f>
        <v>0.107159265370806</v>
      </c>
    </row>
    <row r="15" customFormat="false" ht="15" hidden="false" customHeight="false" outlineLevel="0" collapsed="false">
      <c r="D15" s="0" t="s">
        <v>914</v>
      </c>
      <c r="E15" s="0" t="s">
        <v>149</v>
      </c>
      <c r="F15" s="21" t="n">
        <f aca="false">XNPV(Inputs!$F$252/100,Returns!$J$8:$DP$8,Returns!$J$7:$DP$7)*(1+Inputs!$F$252/100)^((Inputs!$F$187-Inputs!$F$186)/Inputs!$F$248)</f>
        <v>-54.519927593921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916</v>
      </c>
      <c r="E7" s="0" t="s">
        <v>917</v>
      </c>
      <c r="F7" s="6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918</v>
      </c>
      <c r="E8" s="0" t="s">
        <v>917</v>
      </c>
      <c r="F8" s="6" t="n">
        <f aca="false">IF(Inputs!$F$34=1,IF(ABS(SUM(Funding!$J$47:$BJ$47)-Funding!$F$25)&lt;=Inputs!$F$254,0,SUM(Funding!$J$47:$BJ$47)-Funding!$F$25),0)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919</v>
      </c>
      <c r="E9" s="0" t="s">
        <v>917</v>
      </c>
      <c r="F9" s="6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920</v>
      </c>
      <c r="E10" s="0" t="s">
        <v>917</v>
      </c>
      <c r="F10" s="6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921</v>
      </c>
      <c r="E11" s="0" t="s">
        <v>917</v>
      </c>
      <c r="F11" s="6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922</v>
      </c>
      <c r="E12" s="0" t="s">
        <v>917</v>
      </c>
      <c r="F12" s="6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923</v>
      </c>
      <c r="E13" s="0" t="s">
        <v>917</v>
      </c>
      <c r="F13" s="6" t="n">
        <f aca="false">IF(MAX(MAX(Debt!$J$135:$BN$135),-MIN(Debt!$J$135:$BN$135))&lt;=Inputs!$F$260,0,MAX(MAX(Debt!$J$135:$BN$135),-MIN(Debt!$J$135:$BN$135)))</f>
        <v>0</v>
      </c>
    </row>
    <row r="14" customFormat="false" ht="15" hidden="false" customHeight="false" outlineLevel="0" collapsed="false">
      <c r="D14" s="0" t="s">
        <v>924</v>
      </c>
      <c r="E14" s="0" t="s">
        <v>917</v>
      </c>
      <c r="F14" s="6" t="n">
        <f aca="false">IF(Inputs!$F$8=1,IF(Funding!$F$25&lt;=MIN(Debt!$F$130,Debt!$F$131)+Inputs!$F$254,0,1),0)</f>
        <v>0</v>
      </c>
    </row>
    <row r="15" customFormat="false" ht="15" hidden="false" customHeight="false" outlineLevel="0" collapsed="false">
      <c r="D15" s="0" t="s">
        <v>925</v>
      </c>
      <c r="E15" s="0" t="s">
        <v>917</v>
      </c>
      <c r="F15" s="6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926</v>
      </c>
      <c r="E16" s="0" t="s">
        <v>917</v>
      </c>
      <c r="F16" s="6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927</v>
      </c>
      <c r="E17" s="0" t="s">
        <v>917</v>
      </c>
      <c r="F17" s="6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928</v>
      </c>
      <c r="E18" s="0" t="s">
        <v>917</v>
      </c>
      <c r="F18" s="6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929</v>
      </c>
      <c r="E19" s="0" t="s">
        <v>917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931</v>
      </c>
      <c r="E7" s="0" t="s">
        <v>149</v>
      </c>
      <c r="F7" s="22" t="n">
        <f aca="false">Funding!$F$75</f>
        <v>885.632198463457</v>
      </c>
    </row>
    <row r="8" customFormat="false" ht="15" hidden="false" customHeight="false" outlineLevel="0" collapsed="false">
      <c r="D8" s="0" t="s">
        <v>932</v>
      </c>
      <c r="E8" s="0" t="s">
        <v>149</v>
      </c>
      <c r="F8" s="22" t="n">
        <f aca="false">Funding!$F$25</f>
        <v>633.255975542774</v>
      </c>
    </row>
    <row r="9" customFormat="false" ht="15" hidden="false" customHeight="false" outlineLevel="0" collapsed="false">
      <c r="D9" s="0" t="s">
        <v>933</v>
      </c>
      <c r="E9" s="0" t="s">
        <v>149</v>
      </c>
      <c r="F9" s="22" t="n">
        <f aca="false">SUM(Funding!$J$67:$BJ$67)</f>
        <v>225.164456418209</v>
      </c>
    </row>
    <row r="10" customFormat="false" ht="15" hidden="false" customHeight="false" outlineLevel="0" collapsed="false">
      <c r="D10" s="0" t="s">
        <v>934</v>
      </c>
      <c r="E10" s="0" t="s">
        <v>103</v>
      </c>
      <c r="F10" s="20" t="n">
        <f aca="false">SUM(Funding!$J$73:$BJ$73)/Funding!$F$75</f>
        <v>0.726315103675388</v>
      </c>
    </row>
    <row r="11" customFormat="false" ht="15" hidden="false" customHeight="false" outlineLevel="0" collapsed="false">
      <c r="D11" s="0" t="s">
        <v>935</v>
      </c>
      <c r="E11" s="0" t="s">
        <v>149</v>
      </c>
      <c r="F11" s="22" t="n">
        <f aca="false">SUM(Funding!$J$33:$BJ$33)+SUM(Funding!$J$34:$BJ$34)+SUM(Funding!$J$35:$BJ$35)+SUM(Funding!$J$36:$BJ$36)+SUM(Funding!$J$37:$BJ$37)+SUM(Funding!$J$39:$BJ$39)+SUM(Funding!$J$38:$BJ$38)</f>
        <v>62.7487966443238</v>
      </c>
    </row>
    <row r="12" customFormat="false" ht="15" hidden="false" customHeight="false" outlineLevel="0" collapsed="false">
      <c r="D12" s="0" t="s">
        <v>936</v>
      </c>
      <c r="E12" s="0" t="s">
        <v>149</v>
      </c>
      <c r="F12" s="22" t="n">
        <f aca="false">SUM(Funding!$J$40:$BJ$40)+SUM(Funding!$J$41:$BJ$41)+SUM(Funding!$J$42:$BJ$42)+SUM(Funding!$J$43:$BJ$43)</f>
        <v>23.0662187832922</v>
      </c>
    </row>
    <row r="13" customFormat="false" ht="15" hidden="false" customHeight="false" outlineLevel="0" collapsed="false">
      <c r="D13" s="0" t="s">
        <v>937</v>
      </c>
      <c r="E13" s="0" t="s">
        <v>149</v>
      </c>
      <c r="F13" s="22" t="n">
        <f aca="false">SUM(Funding!$J$48:$BJ$48)</f>
        <v>20.6124820039173</v>
      </c>
    </row>
    <row r="14" customFormat="false" ht="15" hidden="false" customHeight="false" outlineLevel="0" collapsed="false">
      <c r="D14" s="0" t="s">
        <v>938</v>
      </c>
      <c r="E14" s="0" t="s">
        <v>149</v>
      </c>
      <c r="F14" s="22" t="n">
        <f aca="false">SUM(Funding!$J$44:$BJ$44)</f>
        <v>34.8029137487425</v>
      </c>
    </row>
    <row r="15" customFormat="false" ht="15" hidden="false" customHeight="false" outlineLevel="0" collapsed="false">
      <c r="D15" s="0" t="s">
        <v>939</v>
      </c>
      <c r="E15" s="0" t="s">
        <v>149</v>
      </c>
      <c r="F15" s="22" t="n">
        <f aca="false">SUM(Funding!$J$55:$BJ$55)</f>
        <v>9.99206650247323</v>
      </c>
    </row>
    <row r="16" customFormat="false" ht="15" hidden="false" customHeight="false" outlineLevel="0" collapsed="false">
      <c r="D16" s="0" t="s">
        <v>940</v>
      </c>
      <c r="E16" s="0" t="s">
        <v>149</v>
      </c>
      <c r="F16" s="22" t="n">
        <f aca="false">SUM(Funding!$J$56:$BJ$56)</f>
        <v>3.33068883415774</v>
      </c>
    </row>
    <row r="17" customFormat="false" ht="15" hidden="false" customHeight="false" outlineLevel="0" collapsed="false">
      <c r="D17" s="0" t="s">
        <v>899</v>
      </c>
      <c r="E17" s="0" t="s">
        <v>202</v>
      </c>
      <c r="F17" s="22" t="n">
        <f aca="false">Ratios!$F$16</f>
        <v>0.916013587958423</v>
      </c>
    </row>
    <row r="18" customFormat="false" ht="15" hidden="false" customHeight="false" outlineLevel="0" collapsed="false">
      <c r="D18" s="0" t="s">
        <v>941</v>
      </c>
      <c r="E18" s="0" t="s">
        <v>202</v>
      </c>
      <c r="F18" s="22" t="n">
        <f aca="false">Ratios!$F$17</f>
        <v>1.49952276659139</v>
      </c>
    </row>
    <row r="19" customFormat="false" ht="15" hidden="false" customHeight="false" outlineLevel="0" collapsed="false">
      <c r="D19" s="0" t="s">
        <v>942</v>
      </c>
      <c r="E19" s="0" t="s">
        <v>202</v>
      </c>
      <c r="F19" s="22" t="n">
        <f aca="false">Ratios!$F$18</f>
        <v>1.4660173245311</v>
      </c>
    </row>
    <row r="20" customFormat="false" ht="15" hidden="false" customHeight="false" outlineLevel="0" collapsed="false">
      <c r="D20" s="0" t="s">
        <v>902</v>
      </c>
      <c r="E20" s="0" t="s">
        <v>202</v>
      </c>
      <c r="F20" s="22" t="n">
        <f aca="false">Ratios!$F$19</f>
        <v>1.69545498830537</v>
      </c>
    </row>
    <row r="21" customFormat="false" ht="15" hidden="false" customHeight="false" outlineLevel="0" collapsed="false">
      <c r="D21" s="0" t="s">
        <v>943</v>
      </c>
      <c r="E21" s="0" t="s">
        <v>103</v>
      </c>
      <c r="F21" s="20" t="n">
        <f aca="false">Returns!$F$12</f>
        <v>0.12495595485667</v>
      </c>
    </row>
    <row r="22" customFormat="false" ht="15" hidden="false" customHeight="false" outlineLevel="0" collapsed="false">
      <c r="D22" s="0" t="s">
        <v>944</v>
      </c>
      <c r="E22" s="0" t="s">
        <v>103</v>
      </c>
      <c r="F22" s="20" t="n">
        <f aca="false">Returns!$F$13</f>
        <v>0.101333317511707</v>
      </c>
    </row>
    <row r="23" customFormat="false" ht="15" hidden="false" customHeight="false" outlineLevel="0" collapsed="false">
      <c r="D23" s="0" t="s">
        <v>945</v>
      </c>
      <c r="E23" s="0" t="s">
        <v>149</v>
      </c>
      <c r="F23" s="22" t="n">
        <f aca="false">Returns!$F$15</f>
        <v>-54.519927593921</v>
      </c>
    </row>
    <row r="24" customFormat="false" ht="15" hidden="false" customHeight="false" outlineLevel="0" collapsed="false">
      <c r="D24" s="0" t="s">
        <v>946</v>
      </c>
      <c r="E24" s="0" t="s">
        <v>917</v>
      </c>
      <c r="F24" s="22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2026-10-03T21:28:16Z</dcterms:created>
  <dc:creator>openpyxl</dc:creator>
  <dc:description/>
  <dc:language>en-US</dc:language>
  <cp:lastModifiedBy/>
  <dcterms:modified xsi:type="dcterms:W3CDTF">2026-10-03T21:28:16Z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