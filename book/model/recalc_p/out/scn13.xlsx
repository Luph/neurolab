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<sst xmlns="http://schemas.openxmlformats.org/spreadsheetml/2006/main" count="3605" uniqueCount="2018">
  <si>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</si>
  <si>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</si>
  <si>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</si>
  <si>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</si>
  <si>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</si>
  <si>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</si>
  <si>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</si>
  <si>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</si>
  <si>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</si>
  <si>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</si>
  <si>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</si>
  <si>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</si>
  <si>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</si>
  <si>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</si>
  <si>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</si>
  <si>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</si>
  <si>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</si>
  <si>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</si>
  <si>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</si>
  <si>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</si>
  <si>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</si>
  <si>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</si>
  <si>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</si>
  <si>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</si>
  <si>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</si>
  <si>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</si>
  <si>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</si>
  <si>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</si>
  <si>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</si>
  <si>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</si>
  <si>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</si>
  <si>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</si>
  <si>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</si>
  <si>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</si>
  <si>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</si>
  <si>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</si>
  <si>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</si>
  <si>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</si>
  <si>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</si>
  <si>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</si>
  <si>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</si>
  <si>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</si>
  <si>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</si>
  <si>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</si>
  <si>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</si>
  <si>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</si>
  <si>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</si>
  <si>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</si>
  <si>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</si>
  <si>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</si>
  <si>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</si>
  <si>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</si>
  <si>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</si>
  <si>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</si>
  <si>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</si>
  <si>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</si>
  <si>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</si>
  <si>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</si>
  <si>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</si>
  <si>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</si>
  <si>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</si>
  <si>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</si>
  <si>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</si>
  <si>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</si>
  <si>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</si>
  <si>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</si>
  <si>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</si>
  <si>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</si>
  <si>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</si>
  <si>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</si>
  <si>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</si>
  <si>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</si>
  <si>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</si>
  <si>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</si>
  <si>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</si>
  <si>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</si>
  <si>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</si>
  <si>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</si>
  <si>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</si>
  <si>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</si>
  <si>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</si>
  <si>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</si>
  <si>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</si>
  <si>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</si>
  <si>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</si>
  <si>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</si>
  <si>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</si>
  <si>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</si>
  <si>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</si>
  <si>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</si>
  <si>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</si>
  <si>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</si>
  <si>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</si>
  <si>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</si>
  <si>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</si>
  <si>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</si>
  <si>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</si>
  <si>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</si>
  <si>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</si>
  <si>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</si>
  <si>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</si>
  <si>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</si>
  <si>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</si>
  <si>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</si>
  <si>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</si>
  <si>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</si>
  <si>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</si>
  <si>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</si>
  <si>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</si>
  <si>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</si>
  <si>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</si>
  <si>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</si>
  <si>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</si>
  <si>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</si>
  <si>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</si>
  <si>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</si>
  <si>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</si>
  <si>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</si>
  <si>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</si>
  <si>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</si>
  <si>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</si>
  <si>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</si>
  <si>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</si>
  <si>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</si>
  <si>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</si>
  <si>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</si>
  <si>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</si>
  <si>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</si>
  <si>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</si>
  <si>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</si>
  <si>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</si>
  <si>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</si>
  <si>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</si>
  <si>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</si>
  <si>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</si>
  <si>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</si>
  <si>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</si>
  <si>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</si>
  <si>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</si>
  <si>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</si>
  <si>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</si>
  <si>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</si>
  <si>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</si>
  <si>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</si>
  <si>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</si>
  <si>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</si>
  <si>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</si>
  <si>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</si>
  <si>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</si>
  <si>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</si>
  <si>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</si>
  <si>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</si>
  <si>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</si>
  <si>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</si>
  <si>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</si>
  <si>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</si>
  <si>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</si>
  <si>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</si>
  <si>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</si>
  <si>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</si>
  <si>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</si>
  <si>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</si>
  <si>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</si>
  <si>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</si>
  <si>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</si>
  <si>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</si>
  <si>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</si>
  <si>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</si>
  <si>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</si>
  <si>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</si>
  <si>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</si>
  <si>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</si>
  <si>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</si>
  <si>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</si>
  <si>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</si>
  <si>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</si>
  <si>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</si>
  <si>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</si>
  <si>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</si>
  <si>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</si>
  <si>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</si>
  <si>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</si>
  <si>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</si>
  <si>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</si>
  <si>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</si>
  <si>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</si>
  <si>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</si>
  <si>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</si>
  <si>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</si>
  <si>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</si>
  <si>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</si>
  <si>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</si>
  <si>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</si>
  <si>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</si>
  <si>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</si>
  <si>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</si>
  <si>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</si>
  <si>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</si>
  <si>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</si>
  <si>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</si>
  <si>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</si>
  <si>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</si>
  <si>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</si>
  <si>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</si>
  <si>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</si>
  <si>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</si>
  <si>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</si>
  <si>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</si>
  <si>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</si>
  <si>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</si>
  <si>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</si>
  <si>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</si>
  <si>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</si>
  <si>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</si>
  <si>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</si>
  <si>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</si>
  <si>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</si>
  <si>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</si>
  <si>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</si>
  <si>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</si>
  <si>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</si>
  <si>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</si>
  <si>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</si>
  <si>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</si>
  <si>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</si>
  <si>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</si>
  <si>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</si>
  <si>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</si>
  <si>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</si>
  <si>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</si>
  <si>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</si>
  <si>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</si>
  <si>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</si>
  <si>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</si>
  <si>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</si>
  <si>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</si>
  <si>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</si>
  <si>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</si>
  <si>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</si>
  <si>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</si>
  <si>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</si>
  <si>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</si>
  <si>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</si>
  <si>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</si>
  <si>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</si>
  <si>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</si>
  <si>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</si>
  <si>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</si>
  <si>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</si>
  <si>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</si>
  <si>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</si>
  <si>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</si>
  <si>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</si>
  <si>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</si>
  <si>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</si>
  <si>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</si>
  <si>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</si>
  <si>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</si>
  <si>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</si>
  <si>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</si>
  <si>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</si>
  <si>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</si>
  <si>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</si>
  <si>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</si>
  <si>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</si>
  <si>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</si>
  <si>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</si>
  <si>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</si>
  <si>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</si>
  <si>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</si>
  <si>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</si>
  <si>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</si>
  <si>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</si>
  <si>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</si>
  <si>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</si>
  <si>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</si>
  <si>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</si>
  <si>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</si>
  <si>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</si>
  <si>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</si>
  <si>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</si>
  <si>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</si>
  <si>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</si>
  <si>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</si>
  <si>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</si>
  <si>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</si>
  <si>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</si>
  <si>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</si>
  <si>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</si>
  <si>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</si>
  <si>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</si>
  <si>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</si>
  <si>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</si>
  <si>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</si>
  <si>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</si>
  <si>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</si>
  <si>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</si>
  <si>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</si>
  <si>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</si>
  <si>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</si>
  <si>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</si>
  <si>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</si>
  <si>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</si>
  <si>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</si>
  <si>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</si>
  <si>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</si>
  <si>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</si>
  <si>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</si>
  <si>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</si>
  <si>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</si>
  <si>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</si>
  <si>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</si>
  <si>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</si>
  <si>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</si>
  <si>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</si>
  <si>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</si>
  <si>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</si>
  <si>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</si>
  <si>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</si>
  <si>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</si>
  <si>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</si>
  <si>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</si>
  <si>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</si>
  <si>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</si>
  <si>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</si>
  <si>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</si>
  <si>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</si>
  <si>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</si>
  <si>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</si>
  <si>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</si>
  <si>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</si>
  <si>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</si>
  <si>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</si>
  <si>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</si>
  <si>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</si>
  <si>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</si>
  <si>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</si>
  <si>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</si>
  <si>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</si>
  <si>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</si>
  <si>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</si>
  <si>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</si>
  <si>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</si>
  <si>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</si>
  <si>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</si>
  <si>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</si>
  <si>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</si>
  <si>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</si>
  <si>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</si>
  <si>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</si>
  <si>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</si>
  <si>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</si>
  <si>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</si>
  <si>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</si>
  <si>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</si>
  <si>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</si>
  <si>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</si>
  <si>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</si>
  <si>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</si>
  <si>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</si>
  <si>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</si>
  <si>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</si>
  <si>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</si>
  <si>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</si>
  <si>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</si>
  <si>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</si>
  <si>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</si>
  <si>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</si>
  <si>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</si>
  <si>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</si>
  <si>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</si>
  <si>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</si>
  <si>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</si>
  <si>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</si>
  <si>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</si>
  <si>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</si>
  <si>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</si>
  <si>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</si>
  <si>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</si>
  <si>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</si>
  <si>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</si>
  <si>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</si>
  <si>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</si>
  <si>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</si>
  <si>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</si>
  <si>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</si>
  <si>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</si>
  <si>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</si>
  <si>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</si>
  <si>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</si>
  <si>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</si>
  <si>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</si>
  <si>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</si>
  <si>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</si>
  <si>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</si>
  <si>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</si>
  <si>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</si>
  <si>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</si>
  <si>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</si>
  <si>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</si>
  <si>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</si>
  <si>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</si>
  <si>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</si>
  <si>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</si>
  <si>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</si>
  <si>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</si>
  <si>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</si>
  <si>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</si>
  <si>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</si>
  <si>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</si>
  <si>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</si>
  <si>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</si>
  <si>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</si>
  <si>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</si>
  <si>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</si>
  <si>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</si>
  <si>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</si>
  <si>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</si>
  <si>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</si>
  <si>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</si>
  <si>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</si>
  <si>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</si>
  <si>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</si>
  <si>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</si>
  <si>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</si>
  <si>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</si>
  <si>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</si>
  <si>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</si>
  <si>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</si>
  <si>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</si>
  <si>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</si>
  <si>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</si>
  <si>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</si>
  <si>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</si>
  <si>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</si>
  <si>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</si>
  <si>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</si>
  <si>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</si>
  <si>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</si>
  <si>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</si>
  <si>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</si>
  <si>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</si>
  <si>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</si>
  <si>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</si>
  <si>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</si>
  <si>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</si>
  <si>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</si>
  <si>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</si>
  <si>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</si>
  <si>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</si>
  <si>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</si>
  <si>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</si>
  <si>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</si>
  <si>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</si>
  <si>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</si>
  <si>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</si>
  <si>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</si>
  <si>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</si>
  <si>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</si>
  <si>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</si>
  <si>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</si>
  <si>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</si>
  <si>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</si>
  <si>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</si>
  <si>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</si>
  <si>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</si>
  <si>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</si>
  <si>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</si>
  <si>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</si>
  <si>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</si>
  <si>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</si>
  <si>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</si>
  <si>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</si>
  <si>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</si>
  <si>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</si>
  <si>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</si>
  <si>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</si>
  <si>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</si>
  <si>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</si>
  <si>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</si>
  <si>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</si>
  <si>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</si>
  <si>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</si>
  <si>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</si>
  <si>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</si>
  <si>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</si>
  <si>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</si>
  <si>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</si>
  <si>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</si>
  <si>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</si>
  <si>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</si>
  <si>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</si>
  <si>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</si>
  <si>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</si>
  <si>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</si>
  <si>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</si>
  <si>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</si>
  <si>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</si>
  <si>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</si>
  <si>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</si>
  <si>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</si>
  <si>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</si>
  <si>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</si>
  <si>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</si>
  <si>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</si>
  <si>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</si>
  <si>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</si>
  <si>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</si>
  <si>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</si>
  <si>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</si>
  <si>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</si>
  <si>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</si>
  <si>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</si>
  <si>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</si>
  <si>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</si>
  <si>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</si>
  <si>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</si>
  <si>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</si>
  <si>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</si>
  <si>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</si>
  <si>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</si>
  <si>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</si>
  <si>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</si>
  <si>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</si>
  <si>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</si>
  <si>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</si>
  <si>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</si>
  <si>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</si>
  <si>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</si>
  <si>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</si>
  <si>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</si>
  <si>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</si>
  <si>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</si>
  <si>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</si>
  <si>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</si>
  <si>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</si>
  <si>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</si>
  <si>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</si>
  <si>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</si>
  <si>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</si>
  <si>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</si>
  <si>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</si>
  <si>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</si>
  <si>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</si>
  <si>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</si>
  <si>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</si>
  <si>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</si>
  <si>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</si>
  <si>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</si>
  <si>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</si>
  <si>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</si>
  <si>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</si>
  <si>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</si>
  <si>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</si>
  <si>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</si>
  <si>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</si>
  <si>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</si>
  <si>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</si>
  <si>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</si>
  <si>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</si>
  <si>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</si>
  <si>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</si>
  <si>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</si>
  <si>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</si>
  <si>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</si>
  <si>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</si>
  <si>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</si>
  <si>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</si>
  <si>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</si>
  <si>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</si>
  <si>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</si>
  <si>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</si>
  <si>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</si>
  <si>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</si>
  <si>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</si>
  <si>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</si>
  <si>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</si>
  <si>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</si>
  <si>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</si>
  <si>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</si>
  <si>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</si>
  <si>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</si>
  <si>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</si>
  <si>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</si>
  <si>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</si>
  <si>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</si>
  <si>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</si>
  <si>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</si>
  <si>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</si>
  <si>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</si>
  <si>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</si>
  <si>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</si>
  <si>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</si>
  <si>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</si>
  <si>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</si>
  <si>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</si>
  <si>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</si>
  <si>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</si>
  <si>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</si>
  <si>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</si>
  <si>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</si>
  <si>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</si>
  <si>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</si>
  <si>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</si>
  <si>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</si>
  <si>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</si>
  <si>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</si>
  <si>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</si>
  <si>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</si>
  <si>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</si>
  <si>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</si>
  <si>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</si>
  <si>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</si>
  <si>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</si>
  <si>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</si>
  <si>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</si>
  <si>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</si>
  <si>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</si>
  <si>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</si>
  <si>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</si>
  <si>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</si>
  <si>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</si>
  <si>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</si>
  <si>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</si>
  <si>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</si>
  <si>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</si>
  <si>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</si>
  <si>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</si>
  <si>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</si>
  <si>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</si>
  <si>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</si>
  <si>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</si>
  <si>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</si>
  <si>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</si>
  <si>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</si>
  <si>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</si>
  <si>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</si>
  <si>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</si>
  <si>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</si>
  <si>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</si>
  <si>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</si>
  <si>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</si>
  <si>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</si>
  <si>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</si>
  <si>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</si>
  <si>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</si>
  <si>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</si>
  <si>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</si>
  <si>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</si>
  <si>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</si>
  <si>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</si>
  <si>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</si>
  <si>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</si>
  <si>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</si>
  <si>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</si>
  <si>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</si>
  <si>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</si>
  <si>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</si>
  <si>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</si>
  <si>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</si>
  <si>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</si>
  <si>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</si>
  <si>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</si>
  <si>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</si>
  <si>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</si>
  <si>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</si>
  <si>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</si>
  <si>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</si>
  <si>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</si>
  <si>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</si>
  <si>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</si>
  <si>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</si>
  <si>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</si>
  <si>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</si>
  <si>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</si>
  <si>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</si>
  <si>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</si>
  <si>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</si>
  <si>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</si>
  <si>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</si>
  <si>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</si>
  <si>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</si>
  <si>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</si>
  <si>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</si>
  <si>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</si>
  <si>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</si>
  <si>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</si>
  <si>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</si>
  <si>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</si>
  <si>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</si>
  <si>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</si>
  <si>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</si>
  <si>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</si>
  <si>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</si>
  <si>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</si>
  <si>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</si>
  <si>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</si>
  <si>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</si>
  <si>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</si>
  <si>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</si>
  <si>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</si>
  <si>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</si>
  <si>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</si>
  <si>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</si>
  <si>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</si>
  <si>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</si>
  <si>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</si>
  <si>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</si>
  <si>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</si>
  <si>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</si>
  <si>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</si>
  <si>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</si>
  <si>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</si>
  <si>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</si>
  <si>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</si>
  <si>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</si>
  <si>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</si>
  <si>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</si>
  <si>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</si>
  <si>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</si>
  <si>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</si>
  <si>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</si>
  <si>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</si>
  <si>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</si>
  <si>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</si>
  <si>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</si>
  <si>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</si>
  <si>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</si>
  <si>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</si>
  <si>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</si>
  <si>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</si>
  <si>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</si>
  <si>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</si>
  <si>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</si>
  <si>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</si>
  <si>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</si>
  <si>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</si>
  <si>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</si>
  <si>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</si>
  <si>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</si>
  <si>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</si>
  <si>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</si>
  <si>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</si>
  <si>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</si>
  <si>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</si>
  <si>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</si>
  <si>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</si>
  <si>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</si>
  <si>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</si>
  <si>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</si>
  <si>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</si>
  <si>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</si>
  <si>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</si>
  <si>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</si>
  <si>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</si>
  <si>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</si>
  <si>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</si>
  <si>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</si>
  <si>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</si>
  <si>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</si>
  <si>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</si>
  <si>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</si>
  <si>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</si>
  <si>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</si>
  <si>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</si>
  <si>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</si>
  <si>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</si>
  <si>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</si>
  <si>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</si>
  <si>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</si>
  <si>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</si>
  <si>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</si>
  <si>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</si>
  <si>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</si>
  <si>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</si>
  <si>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</si>
  <si>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</si>
  <si>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</si>
  <si>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</si>
  <si>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</si>
  <si>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</si>
  <si>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</si>
  <si>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</si>
  <si>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</si>
  <si>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</si>
  <si>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</si>
  <si>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</si>
  <si>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</si>
  <si>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</si>
  <si>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</si>
  <si>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</si>
  <si>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</si>
  <si>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</si>
  <si>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</si>
  <si>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</si>
  <si>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</si>
  <si>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</si>
  <si>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</si>
  <si>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</si>
  <si>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</si>
  <si>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</si>
  <si>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</si>
  <si>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</si>
  <si>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</si>
  <si>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</si>
  <si>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</si>
  <si>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</si>
  <si>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</si>
  <si>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</si>
  <si>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</si>
  <si>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</si>
  <si>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</si>
  <si>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</si>
  <si>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</si>
  <si>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</si>
  <si>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</si>
  <si>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</si>
  <si>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</si>
  <si>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</si>
  <si>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</si>
  <si>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</si>
  <si>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</si>
  <si>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</si>
  <si>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</si>
  <si>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</si>
  <si>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</si>
  <si>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</si>
  <si>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</si>
  <si>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</si>
  <si>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</si>
  <si>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</si>
  <si>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</si>
  <si>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</si>
  <si>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</si>
  <si>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</si>
  <si>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</si>
  <si>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</si>
  <si>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</si>
  <si>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</si>
  <si>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</si>
  <si>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</si>
  <si>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</si>
  <si>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</si>
  <si>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</si>
  <si>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</si>
  <si>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</si>
  <si>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</si>
  <si>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</si>
  <si>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</si>
  <si>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</si>
  <si>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</si>
  <si>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</si>
  <si>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</si>
  <si>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</si>
  <si>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</si>
  <si>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</si>
  <si>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</si>
  <si>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</si>
  <si>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</si>
  <si>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</si>
  <si>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</si>
  <si>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</si>
  <si>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</si>
  <si>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</si>
  <si>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</si>
  <si>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</si>
  <si>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</si>
  <si>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</si>
  <si>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</si>
  <si>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</si>
  <si>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</si>
  <si>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</si>
  <si>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</si>
  <si>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</si>
  <si>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</si>
  <si>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</si>
  <si>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</si>
  <si>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</si>
  <si>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</si>
  <si>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</si>
  <si>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</si>
  <si>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</si>
  <si>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</si>
  <si>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</si>
  <si>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</si>
  <si>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</si>
  <si>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</si>
  <si>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</si>
  <si>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</si>
  <si>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</si>
  <si>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</si>
  <si>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</si>
  <si>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</si>
  <si>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</si>
  <si>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</si>
  <si>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</si>
  <si>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</si>
  <si>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</si>
  <si>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</si>
  <si>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</si>
  <si>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</si>
  <si>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</si>
  <si>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</si>
  <si>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</si>
  <si>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</si>
  <si>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</si>
  <si>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</si>
  <si>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</si>
  <si>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</si>
  <si>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</si>
  <si>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</si>
  <si>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</si>
  <si>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</si>
  <si>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</si>
  <si>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</si>
  <si>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</si>
  <si>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</si>
  <si>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</si>
  <si>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</si>
  <si>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</si>
  <si>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</si>
  <si>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</si>
  <si>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</si>
  <si>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</si>
  <si>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</si>
  <si>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</si>
  <si>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</si>
  <si>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</si>
  <si>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</si>
  <si>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</si>
  <si>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</si>
  <si>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</si>
  <si>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</si>
  <si>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</si>
  <si>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</si>
  <si>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</si>
  <si>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</si>
  <si>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</si>
  <si>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</si>
  <si>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</si>
  <si>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</si>
  <si>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</si>
  <si>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</si>
  <si>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</si>
  <si>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</si>
  <si>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</si>
  <si>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</si>
  <si>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</si>
  <si>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</si>
  <si>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</si>
  <si>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</si>
  <si>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</si>
  <si>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</si>
  <si>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</si>
  <si>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</si>
  <si>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</si>
  <si>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</si>
  <si>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</si>
  <si>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</si>
  <si>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</si>
  <si>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</si>
  <si>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</si>
  <si>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</si>
  <si>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</si>
  <si>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</si>
  <si>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</si>
  <si>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</si>
  <si>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</si>
  <si>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</si>
  <si>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</si>
  <si>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</si>
  <si>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</si>
  <si>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</si>
  <si>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</si>
  <si>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</si>
  <si>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</si>
  <si>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</si>
  <si>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</si>
  <si>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</si>
  <si>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</si>
  <si>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</si>
  <si>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</si>
  <si>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</si>
  <si>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</si>
  <si>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</si>
  <si>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</si>
  <si>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</si>
  <si>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</si>
  <si>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</si>
  <si>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</si>
  <si>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</si>
  <si>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</si>
  <si>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</si>
  <si>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</si>
  <si>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</si>
  <si>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</si>
  <si>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</si>
  <si>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</si>
  <si>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</si>
  <si>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</si>
  <si>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</si>
  <si>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</si>
  <si>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</si>
  <si>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</si>
  <si>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</si>
  <si>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</si>
  <si>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</si>
  <si>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</si>
  <si>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</si>
  <si>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</si>
  <si>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</si>
  <si>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</si>
  <si>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</si>
  <si>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</si>
  <si>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</si>
  <si>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</si>
  <si>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</si>
  <si>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</si>
  <si>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</si>
  <si>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</si>
  <si>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</si>
  <si>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</si>
  <si>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</si>
  <si>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</si>
  <si>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</si>
  <si>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</si>
  <si>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</si>
  <si>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</si>
  <si>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</si>
  <si>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</si>
  <si>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</si>
  <si>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</si>
  <si>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</si>
  <si>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</si>
  <si>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</si>
  <si>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</si>
  <si>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</si>
  <si>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</si>
  <si>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</si>
  <si>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</si>
  <si>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</si>
  <si>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</si>
  <si>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</si>
  <si>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</si>
  <si>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</si>
  <si>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</si>
  <si>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</si>
  <si>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</si>
  <si>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</si>
  <si>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</si>
  <si>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</si>
  <si>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</si>
  <si>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</si>
  <si>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</si>
  <si>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</si>
  <si>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</si>
  <si>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</si>
  <si>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</si>
  <si>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</si>
  <si>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</si>
  <si>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</si>
  <si>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</si>
  <si>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</si>
  <si>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</si>
  <si>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</si>
  <si>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</si>
  <si>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</si>
  <si>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</si>
  <si>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</si>
  <si>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</si>
  <si>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</si>
  <si>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</si>
  <si>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</si>
  <si>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</si>
  <si>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</si>
  <si>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</si>
  <si>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</si>
  <si>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</si>
  <si>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</si>
  <si>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</si>
  <si>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</si>
  <si>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</si>
  <si>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</si>
  <si>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</si>
  <si>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</si>
  <si>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</si>
  <si>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</si>
  <si>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</si>
  <si>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</si>
  <si>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</si>
  <si>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</si>
  <si>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</si>
  <si>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</si>
  <si>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</si>
  <si>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</si>
  <si>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</si>
  <si>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</si>
  <si>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</si>
  <si>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</si>
  <si>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</si>
  <si>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</si>
  <si>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</si>
  <si>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</si>
  <si>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</si>
  <si>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</si>
  <si>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</si>
  <si>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</si>
  <si>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</si>
  <si>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</si>
  <si>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</si>
  <si>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</si>
  <si>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</si>
  <si>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</si>
  <si>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</si>
  <si>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</si>
  <si>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</si>
  <si>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</si>
  <si>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</si>
  <si>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</si>
  <si>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</si>
  <si>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</si>
  <si>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</si>
  <si>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</si>
  <si>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</si>
  <si>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</si>
  <si>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</si>
  <si>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</si>
  <si>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</si>
  <si>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</si>
  <si>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</si>
  <si>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</si>
  <si>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</si>
  <si>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</si>
  <si>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</si>
  <si>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</si>
  <si>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</si>
  <si>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</si>
  <si>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</si>
  <si>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</si>
  <si>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</si>
  <si>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</si>
  <si>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</si>
  <si>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</si>
  <si>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</si>
  <si>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</si>
  <si>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</si>
  <si>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</si>
  <si>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</si>
  <si>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</si>
  <si>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</si>
  <si>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</si>
  <si>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</si>
  <si>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</si>
  <si>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</si>
  <si>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</si>
  <si>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</si>
  <si>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</si>
  <si>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</si>
  <si>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</si>
  <si>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</si>
  <si>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</si>
  <si>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</si>
  <si>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</si>
  <si>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</si>
  <si>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</si>
  <si>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</si>
  <si>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</si>
  <si>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</si>
  <si>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</si>
  <si>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</si>
  <si>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</si>
  <si>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</si>
  <si>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</si>
  <si>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</si>
  <si>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</si>
  <si>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</si>
  <si>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</si>
  <si>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</si>
  <si>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</si>
  <si>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</si>
  <si>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</si>
  <si>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</si>
  <si>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</si>
  <si>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</si>
  <si>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</si>
  <si>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</si>
  <si>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</si>
  <si>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</si>
  <si>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</si>
  <si>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</si>
  <si>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</si>
  <si>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</si>
  <si>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</si>
  <si>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</si>
  <si>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</si>
  <si>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</si>
  <si>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</si>
  <si>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</si>
  <si>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</si>
  <si>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</si>
  <si>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</si>
  <si>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</si>
  <si>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</si>
  <si>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</si>
  <si>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</si>
  <si>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</si>
  <si>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</si>
  <si>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</si>
  <si>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</si>
  <si>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</si>
  <si>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</si>
  <si>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</si>
  <si>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</si>
  <si>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</si>
  <si>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</si>
  <si>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</si>
  <si>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</si>
  <si>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</si>
  <si>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</si>
  <si>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</si>
  <si>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</si>
  <si>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</si>
  <si>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</si>
  <si>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</si>
  <si>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</si>
  <si>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</si>
  <si>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</si>
  <si>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</si>
  <si>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</si>
  <si>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</si>
  <si>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</si>
  <si>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</si>
  <si>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</si>
  <si>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</si>
  <si>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</si>
  <si>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</si>
  <si>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</si>
  <si>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</si>
  <si>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</si>
  <si>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</si>
  <si>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</si>
  <si>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</si>
  <si>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</si>
  <si>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</si>
  <si>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</si>
  <si>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</si>
  <si>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</si>
  <si>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</si>
  <si>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</si>
  <si>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</si>
  <si>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</si>
  <si>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</si>
  <si>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</si>
  <si>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</si>
  <si>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</si>
  <si>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</si>
  <si>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</si>
  <si>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</si>
  <si>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</si>
  <si>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</si>
  <si>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</si>
  <si>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</si>
  <si>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</si>
  <si>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</si>
  <si>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</si>
  <si>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</si>
  <si>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</si>
  <si>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</si>
  <si>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</si>
  <si>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</si>
  <si>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</si>
  <si>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</si>
  <si>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</si>
  <si>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</si>
  <si>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</si>
  <si>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</si>
  <si>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</si>
  <si>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</si>
  <si>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</si>
  <si>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</si>
  <si>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</si>
  <si>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</si>
  <si>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</si>
  <si>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</si>
  <si>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</si>
  <si>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</si>
  <si>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</si>
  <si>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</si>
  <si>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</si>
  <si>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</si>
  <si>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</si>
  <si>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</si>
  <si>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</si>
  <si>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</si>
  <si>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</si>
  <si>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</si>
  <si>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</si>
  <si>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</si>
  <si>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</si>
  <si>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</si>
  <si>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</si>
  <si>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</si>
  <si>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</si>
  <si>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</si>
  <si>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</si>
  <si>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</si>
  <si>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</si>
  <si>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</si>
  <si>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</si>
  <si>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</si>
  <si>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</si>
  <si>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</si>
  <si>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</si>
  <si>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</si>
  <si>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</si>
  <si>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</si>
  <si>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</si>
  <si>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</si>
  <si>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</si>
  <si>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</si>
  <si>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</si>
  <si>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</si>
  <si>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</si>
  <si>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</si>
  <si>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</si>
  <si>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</si>
  <si>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</si>
  <si>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</si>
  <si>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</si>
  <si>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</si>
  <si>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</si>
  <si>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</si>
  <si>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</si>
  <si>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</si>
  <si>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</si>
  <si>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</si>
  <si>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</si>
  <si>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</si>
  <si>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</si>
  <si>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</si>
  <si>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</si>
  <si>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</si>
  <si>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</si>
  <si>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</si>
  <si>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</si>
  <si>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</si>
  <si>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</si>
  <si>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</si>
  <si>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</si>
  <si>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</si>
  <si>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</si>
  <si>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</si>
  <si>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</si>
  <si>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</si>
  <si>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</si>
  <si>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</si>
  <si>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</si>
  <si>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</si>
  <si>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</si>
  <si>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</si>
  <si>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</si>
  <si>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</si>
  <si>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</si>
  <si>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</si>
  <si>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</si>
  <si>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</si>
  <si>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</si>
  <si>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</si>
  <si>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</si>
  <si>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</si>
  <si>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</si>
  <si>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</si>
  <si>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</si>
  <si>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</si>
  <si>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</si>
  <si>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</si>
  <si>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</si>
  <si>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</si>
  <si>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</si>
  <si>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</si>
  <si>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</si>
  <si>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</si>
  <si>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</si>
  <si>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</si>
  <si>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</si>
  <si>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</si>
  <si>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</si>
  <si>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</si>
  <si>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</si>
  <si>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</si>
  <si>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</si>
  <si>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</si>
  <si>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</si>
  <si>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</si>
  <si>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</si>
  <si>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</si>
  <si>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</si>
  <si>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</si>
  <si>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</si>
  <si>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</si>
  <si>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</si>
  <si>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</si>
  <si>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</si>
  <si>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</si>
  <si>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</si>
  <si>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</si>
  <si>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</si>
  <si>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</si>
  <si>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</si>
  <si>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</si>
  <si>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</si>
  <si>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</si>
  <si>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</si>
  <si>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</si>
  <si>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</si>
  <si>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</si>
  <si>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</si>
  <si>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</si>
  <si>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</si>
  <si>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</si>
  <si>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</si>
  <si>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</si>
  <si>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</si>
  <si>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</si>
  <si>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</si>
  <si>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</si>
  <si>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</si>
  <si>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</si>
  <si>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</si>
  <si>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</si>
  <si>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</si>
  <si>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</si>
  <si>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</si>
  <si>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</si>
  <si>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</si>
  <si>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</si>
  <si>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</si>
  <si>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</si>
  <si>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</si>
  <si>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</si>
  <si>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</si>
  <si>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</si>
  <si>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</si>
  <si>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</si>
  <si>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</si>
  <si>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</si>
  <si>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</si>
  <si>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</si>
  <si>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</si>
  <si>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</si>
  <si>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</si>
  <si>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</si>
  <si>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</si>
  <si>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</si>
  <si>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</si>
  <si>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</si>
  <si>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</si>
  <si>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</si>
  <si>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</si>
  <si>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</si>
  <si>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</si>
  <si>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</si>
  <si>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</si>
  <si>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</si>
  <si>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</si>
  <si>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</si>
  <si>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</si>
  <si>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</si>
  <si>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</si>
  <si>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</si>
  <si>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</si>
  <si>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</si>
  <si>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</si>
  <si>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</si>
  <si>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</si>
  <si>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</si>
  <si>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</si>
  <si>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</si>
  <si>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</si>
  <si>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</si>
  <si>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</si>
  <si>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</si>
  <si>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</si>
  <si>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</si>
  <si>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</si>
  <si>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</si>
  <si>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</si>
  <si>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</si>
  <si>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</si>
  <si>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</si>
  <si>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</si>
  <si>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</si>
  <si>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</si>
  <si>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</si>
  <si>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</si>
  <si>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</si>
  <si>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</si>
  <si>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</si>
  <si>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</si>
  <si>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</si>
  <si>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</si>
  <si>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</si>
  <si>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</si>
  <si>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</si>
  <si>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</si>
  <si>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</si>
  <si>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</si>
  <si>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</si>
  <si>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</si>
  <si>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</si>
  <si>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</si>
  <si>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</si>
  <si>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</si>
  <si>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</si>
  <si>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</si>
  <si>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</si>
  <si>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</si>
  <si>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</si>
  <si>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</si>
  <si>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</si>
  <si>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</si>
  <si>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</si>
  <si>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</si>
  <si>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</si>
  <si>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</si>
  <si>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</si>
  <si>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</si>
  <si>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</si>
  <si>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</si>
  <si>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</si>
  <si>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</si>
  <si>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</si>
  <si>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</si>
  <si>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</si>
  <si>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</si>
  <si>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</si>
  <si>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</si>
  <si>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</si>
  <si>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</si>
  <si>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</si>
  <si>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</si>
  <si>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</si>
  <si>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</si>
  <si>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</si>
  <si>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</si>
  <si>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</si>
  <si>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</si>
  <si>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</si>
  <si>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</si>
  <si>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</si>
  <si>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</si>
  <si>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</si>
  <si>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</si>
  <si>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</si>
  <si>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</si>
  <si>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</si>
  <si>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</si>
  <si>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</si>
  <si>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</si>
  <si>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</si>
  <si>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</si>
  <si>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</si>
  <si>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</si>
  <si>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</si>
  <si>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</si>
  <si>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</si>
  <si>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</si>
  <si>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</si>
  <si>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</si>
  <si>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</si>
  <si>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</si>
  <si>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</si>
  <si>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</si>
  <si>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</si>
  <si>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</si>
  <si>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</si>
  <si>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</si>
  <si>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</si>
  <si>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</si>
  <si>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</si>
  <si>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</si>
  <si>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</si>
  <si>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</si>
  <si>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</si>
  <si>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</si>
  <si>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</si>
  <si>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</si>
  <si>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</si>
  <si>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</si>
  <si>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</si>
  <si>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</si>
  <si>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</si>
  <si>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</si>
  <si>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</si>
  <si>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</si>
  <si>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</si>
  <si>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</si>
  <si>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</si>
  <si>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</si>
  <si>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</si>
  <si>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</si>
  <si>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</si>
  <si>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</si>
  <si>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</si>
  <si>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</si>
  <si>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</si>
  <si>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</si>
  <si>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</si>
  <si>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</si>
  <si>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</si>
  <si>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</si>
  <si>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</si>
  <si>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</si>
  <si>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</si>
  <si>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</si>
  <si>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</si>
  <si>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</si>
  <si>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</si>
  <si>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</si>
  <si>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</si>
  <si>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</si>
  <si>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</si>
  <si>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</si>
  <si>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</si>
  <si>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</si>
  <si>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</si>
  <si>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</si>
  <si>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</si>
  <si>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</si>
  <si>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</si>
  <si>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</si>
  <si>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</si>
  <si>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</si>
  <si>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</si>
  <si>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</si>
  <si>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</si>
  <si>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</si>
  <si>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</si>
  <si>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</si>
  <si>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</si>
  <si>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</si>
  <si>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</si>
  <si>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</si>
  <si>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</si>
  <si>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</si>
  <si>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</si>
  <si>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</si>
  <si>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</si>
  <si>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</si>
  <si>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</si>
  <si>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</si>
  <si>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</si>
  <si>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</si>
  <si>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</si>
  <si>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</si>
  <si>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</si>
  <si>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</si>
  <si>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</si>
  <si>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</si>
  <si>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</si>
  <si>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</si>
  <si>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</si>
  <si>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</si>
  <si>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</si>
  <si>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</si>
  <si>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</si>
  <si>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</si>
  <si>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</si>
  <si>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</si>
  <si>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</si>
  <si>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</si>
  <si>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</si>
  <si>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</si>
  <si>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</si>
  <si>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</si>
  <si>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</si>
  <si>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</si>
  <si>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</si>
  <si>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</si>
  <si>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</si>
  <si>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</si>
  <si>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</si>
  <si>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</si>
  <si>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</si>
  <si>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</si>
  <si>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</si>
  <si>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</si>
  <si>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</si>
  <si>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</si>
  <si>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</si>
  <si>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</si>
  <si>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</si>
  <si>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</si>
  <si>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</si>
  <si>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</si>
  <si>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</si>
  <si>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</si>
  <si>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</si>
  <si>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</si>
  <si>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</si>
  <si>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</si>
  <si>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</si>
  <si>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</si>
  <si>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</si>
  <si>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</si>
  <si>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</si>
  <si>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</si>
  <si>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</si>
  <si>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</si>
  <si>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</si>
  <si>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</si>
  <si>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</si>
  <si>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</si>
  <si>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</si>
  <si>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</si>
  <si>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</si>
  <si>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</si>
  <si>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</si>
  <si>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</si>
  <si>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</si>
  <si>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</si>
  <si>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</si>
  <si>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</si>
  <si>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</si>
  <si>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</si>
  <si>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</si>
  <si>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</si>
  <si>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</si>
  <si>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</si>
  <si>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</si>
  <si>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</si>
  <si>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</si>
  <si>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</si>
  <si>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</si>
  <si>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</si>
  <si>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</si>
  <si>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</si>
  <si>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</si>
  <si>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</si>
  <si>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</si>
  <si>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</si>
  <si>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</si>
  <si>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</si>
  <si>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</si>
  <si>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</si>
  <si>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</si>
  <si>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</si>
  <si>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</si>
  <si>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</si>
  <si>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</si>
  <si>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</si>
  <si>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</si>
  <si>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</si>
  <si>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</si>
  <si>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</si>
  <si>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</si>
  <si>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</si>
  <si>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</si>
  <si>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</si>
  <si>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</si>
  <si>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</si>
  <si>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</si>
  <si>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</si>
  <si>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</si>
  <si>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</si>
  <si>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</si>
  <si>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</si>
  <si>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</si>
  <si>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</si>
  <si>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</si>
  <si>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</si>
  <si>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</si>
  <si>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</si>
  <si>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</si>
  <si>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</si>
  <si>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</si>
  <si>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</si>
  <si>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</si>
  <si>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</si>
  <si>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</si>
  <si>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</si>
  <si>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</si>
  <si>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</si>
  <si>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</si>
  <si>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</si>
  <si>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</si>
  <si>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</si>
  <si>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</si>
  <si>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</si>
  <si>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</si>
  <si>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</si>
  <si>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</si>
  <si>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</si>
  <si>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</si>
  <si>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</si>
  <si>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</si>
  <si>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</si>
  <si>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</si>
  <si>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</si>
  <si>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</si>
  <si>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</si>
  <si>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</si>
  <si>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</si>
  <si>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</si>
  <si>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</si>
  <si>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</si>
  <si>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</si>
  <si>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</si>
  <si>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</si>
  <si>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</si>
  <si>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</si>
  <si>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</si>
  <si>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</si>
  <si>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</si>
  <si>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</si>
  <si>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</si>
  <si>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</si>
  <si>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</si>
  <si>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</si>
  <si>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</si>
  <si>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</si>
  <si>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</si>
  <si>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</si>
  <si>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</si>
  <si>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</si>
  <si>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</si>
  <si>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</si>
  <si>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</si>
  <si>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</si>
  <si>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</si>
  <si>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</si>
  <si>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</si>
  <si>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</si>
  <si>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</si>
  <si>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</si>
  <si>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</si>
  <si>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</si>
  <si>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ECA tests: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</si>
  <si>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</si>
  <si>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</si>
  <si>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</si>
  <si>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</si>
  <si>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</si>
  <si>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</si>
  <si>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</si>
  <si>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</si>
  <si>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</si>
  <si>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</si>
  <si>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</si>
  <si>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</si>
  <si>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</si>
  <si>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</si>
  <si>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</si>
  <si>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</si>
  <si>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</si>
  <si>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</si>
  <si>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</si>
  <si>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</si>
  <si>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</si>
  <si>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</si>
  <si>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</si>
  <si>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</si>
  <si>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</si>
  <si>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</si>
  <si>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</si>
  <si>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</si>
  <si>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</si>
  <si>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</si>
  <si>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</si>
  <si>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</si>
  <si>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</si>
  <si>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</si>
  <si>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</si>
  <si>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</si>
  <si>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</si>
  <si>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</si>
  <si>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</si>
  <si>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</si>
  <si>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</si>
  <si>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</si>
  <si>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</si>
  <si>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</si>
  <si>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</si>
  <si>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</si>
  <si>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</si>
  <si>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</si>
  <si>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</si>
  <si>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</si>
  <si>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</si>
  <si>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</si>
  <si>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</si>
  <si>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</si>
  <si>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</si>
  <si>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</si>
  <si>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</si>
  <si>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</si>
  <si>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</si>
  <si>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</si>
  <si>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</si>
  <si>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</si>
  <si>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</si>
  <si>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</si>
  <si>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</si>
  <si>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</si>
  <si>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</si>
  <si>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</si>
  <si>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</si>
  <si>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</si>
  <si>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</si>
  <si>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</si>
  <si>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</si>
  <si>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</si>
  <si>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</si>
  <si>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</si>
  <si>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</si>
  <si>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</si>
  <si>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</si>
  <si>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</si>
  <si>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</si>
  <si>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</si>
  <si>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</si>
  <si>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</si>
  <si>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</si>
  <si>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</si>
  <si>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</si>
  <si>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</si>
  <si>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</si>
  <si>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</si>
  <si>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</si>
  <si>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</si>
  <si>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</si>
  <si>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</si>
  <si>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</si>
  <si>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</si>
  <si>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</si>
  <si>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</si>
  <si>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</si>
  <si>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</si>
  <si>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</si>
  <si>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</si>
  <si>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</si>
  <si>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</si>
  <si>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</si>
  <si>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</si>
  <si>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</si>
  <si>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</si>
  <si>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</si>
  <si>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</si>
  <si>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</si>
  <si>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</si>
  <si>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</si>
  <si>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</si>
  <si>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</si>
  <si>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</si>
  <si>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</si>
  <si>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</si>
  <si>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</si>
  <si>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</si>
  <si>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</si>
  <si>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</si>
  <si>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</si>
  <si>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</si>
  <si>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</si>
  <si>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</si>
  <si>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</si>
  <si>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</si>
  <si>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</si>
  <si>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</si>
  <si>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</si>
  <si>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</si>
  <si>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</si>
  <si>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</si>
  <si>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</si>
  <si>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</si>
  <si>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</si>
  <si>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</si>
  <si>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</si>
  <si>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</si>
  <si>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</si>
  <si>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</si>
  <si>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</si>
  <si>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FC contract profile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</si>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</sst>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13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1.3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633.255975542774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221.833767584051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</v>
      </c>
      <c r="Q298" s="6" t="n">
        <v>0.0254956399199363</v>
      </c>
      <c r="R298" s="6" t="n">
        <v>0.0267515222906662</v>
      </c>
      <c r="S298" s="6" t="n">
        <v>0.0275398463746851</v>
      </c>
      <c r="T298" s="6" t="n">
        <v>0.0288066694390464</v>
      </c>
      <c r="U298" s="6" t="n">
        <v>0.0297253648392077</v>
      </c>
      <c r="V298" s="6" t="n">
        <v>0.0316673019225092</v>
      </c>
      <c r="W298" s="6" t="n">
        <v>0.0326353519070817</v>
      </c>
      <c r="X298" s="6" t="n">
        <v>0.0317294685115491</v>
      </c>
      <c r="Y298" s="6" t="n">
        <v>0.0317443987963029</v>
      </c>
      <c r="Z298" s="6" t="n">
        <v>0.0330595043187038</v>
      </c>
      <c r="AA298" s="6" t="n">
        <v>0.0340242635392698</v>
      </c>
      <c r="AB298" s="6" t="n">
        <v>0.035649748512346</v>
      </c>
      <c r="AC298" s="6" t="n">
        <v>0.036830769646369</v>
      </c>
      <c r="AD298" s="6" t="n">
        <v>0.0402165127561107</v>
      </c>
      <c r="AE298" s="6" t="n">
        <v>0.0419450401653678</v>
      </c>
      <c r="AF298" s="6" t="n">
        <v>0.0434165471296656</v>
      </c>
      <c r="AG298" s="6" t="n">
        <v>0.0442268395359645</v>
      </c>
      <c r="AH298" s="6" t="n">
        <v>0.0464470950071792</v>
      </c>
      <c r="AI298" s="6" t="n">
        <v>0.0478108988283702</v>
      </c>
      <c r="AJ298" s="6" t="n">
        <v>0.0501190973065472</v>
      </c>
      <c r="AK298" s="6" t="n">
        <v>0.0517413637371501</v>
      </c>
      <c r="AL298" s="6" t="n">
        <v>0.0548633733406637</v>
      </c>
      <c r="AM298" s="6" t="n">
        <v>0.0560037067338176</v>
      </c>
      <c r="AN298" s="6" t="n">
        <v>0.0462023932183935</v>
      </c>
      <c r="AO298" s="6" t="n">
        <v>0.0468868501087888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0.0249212166711209</v>
      </c>
      <c r="R299" s="6" t="n">
        <v>0.0266466004704004</v>
      </c>
      <c r="S299" s="6" t="n">
        <v>0.0275960445846777</v>
      </c>
      <c r="T299" s="6" t="n">
        <v>0.0288882506495965</v>
      </c>
      <c r="U299" s="6" t="n">
        <v>0.0296987112931962</v>
      </c>
      <c r="V299" s="6" t="n">
        <v>0.0310588576856184</v>
      </c>
      <c r="W299" s="6" t="n">
        <v>0.0327770673001025</v>
      </c>
      <c r="X299" s="6" t="n">
        <v>0.034279561122008</v>
      </c>
      <c r="Y299" s="6" t="n">
        <v>0.0318535235124711</v>
      </c>
      <c r="Z299" s="6" t="n">
        <v>0.0333514411257053</v>
      </c>
      <c r="AA299" s="6" t="n">
        <v>0.0340488277867749</v>
      </c>
      <c r="AB299" s="6" t="n">
        <v>0.0357056960010596</v>
      </c>
      <c r="AC299" s="6" t="n">
        <v>0.0367209101989231</v>
      </c>
      <c r="AD299" s="6" t="n">
        <v>0.0384689461355592</v>
      </c>
      <c r="AE299" s="6" t="n">
        <v>0.0415843849261383</v>
      </c>
      <c r="AF299" s="6" t="n">
        <v>0.0438224099131048</v>
      </c>
      <c r="AG299" s="6" t="n">
        <v>0.0441394906135041</v>
      </c>
      <c r="AH299" s="6" t="n">
        <v>0.0464208722331683</v>
      </c>
      <c r="AI299" s="6" t="n">
        <v>0.0478723213739675</v>
      </c>
      <c r="AJ299" s="6" t="n">
        <v>0.0502195640539474</v>
      </c>
      <c r="AK299" s="6" t="n">
        <v>0.0517089180255774</v>
      </c>
      <c r="AL299" s="6" t="n">
        <v>0.0541382044749565</v>
      </c>
      <c r="AM299" s="6" t="n">
        <v>0.0566614938231395</v>
      </c>
      <c r="AN299" s="6" t="n">
        <v>0.0594010445608311</v>
      </c>
      <c r="AO299" s="6" t="n">
        <v>0.0580156414644526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0.0110928117058436</v>
      </c>
      <c r="Y300" s="6" t="n">
        <v>0.0161119282116736</v>
      </c>
      <c r="Z300" s="6" t="n">
        <v>0.0176162597995061</v>
      </c>
      <c r="AA300" s="6" t="n">
        <v>0.0175609036508394</v>
      </c>
      <c r="AB300" s="6" t="n">
        <v>0.0188807521848338</v>
      </c>
      <c r="AC300" s="6" t="n">
        <v>0.0189083405972589</v>
      </c>
      <c r="AD300" s="6" t="n">
        <v>0.0200242769192561</v>
      </c>
      <c r="AE300" s="6" t="n">
        <v>0.0220425537786885</v>
      </c>
      <c r="AF300" s="6" t="n">
        <v>0.0235364103397422</v>
      </c>
      <c r="AG300" s="6" t="n">
        <v>0.023762004055041</v>
      </c>
      <c r="AH300" s="6" t="n">
        <v>0.0251440584789066</v>
      </c>
      <c r="AI300" s="6" t="n">
        <v>0.0252274291704193</v>
      </c>
      <c r="AJ300" s="6" t="n">
        <v>0.0264963383554067</v>
      </c>
      <c r="AK300" s="6" t="n">
        <v>0.026611924416587</v>
      </c>
      <c r="AL300" s="6" t="n">
        <v>0.0277342733360669</v>
      </c>
      <c r="AM300" s="6" t="n">
        <v>0.0287404328314695</v>
      </c>
      <c r="AN300" s="6" t="n">
        <v>0.0299976714643956</v>
      </c>
      <c r="AO300" s="6" t="n">
        <v>0.0269687043518038</v>
      </c>
      <c r="AP300" s="6" t="n">
        <v>0.0936767169420366</v>
      </c>
      <c r="AQ300" s="6" t="n">
        <v>0.088961972417656</v>
      </c>
      <c r="AR300" s="6" t="n">
        <v>0.0936145845829308</v>
      </c>
      <c r="AS300" s="6" t="n">
        <v>0.0957636713551492</v>
      </c>
      <c r="AT300" s="6" t="n">
        <v>0.100345200848589</v>
      </c>
      <c r="AU300" s="6" t="n">
        <v>0.121180780205897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</v>
      </c>
      <c r="Q301" s="6" t="n">
        <v>494.213008227051</v>
      </c>
      <c r="R301" s="6" t="n">
        <v>481.296795172962</v>
      </c>
      <c r="S301" s="6" t="n">
        <v>467.74434610667</v>
      </c>
      <c r="T301" s="6" t="n">
        <v>453.792528291179</v>
      </c>
      <c r="U301" s="6" t="n">
        <v>439.198931855794</v>
      </c>
      <c r="V301" s="6" t="n">
        <v>424.13991993927</v>
      </c>
      <c r="W301" s="6" t="n">
        <v>408.097113413773</v>
      </c>
      <c r="X301" s="6" t="n">
        <v>391.563888138755</v>
      </c>
      <c r="Y301" s="6" t="n">
        <v>375.48958772209</v>
      </c>
      <c r="Z301" s="6" t="n">
        <v>359.407723551801</v>
      </c>
      <c r="AA301" s="6" t="n">
        <v>342.659620637583</v>
      </c>
      <c r="AB301" s="6" t="n">
        <v>325.42276609062</v>
      </c>
      <c r="AC301" s="6" t="n">
        <v>307.362433086384</v>
      </c>
      <c r="AD301" s="6" t="n">
        <v>288.703789130302</v>
      </c>
      <c r="AE301" s="6" t="n">
        <v>268.329911530774</v>
      </c>
      <c r="AF301" s="6" t="n">
        <v>247.080353683255</v>
      </c>
      <c r="AG301" s="6" t="n">
        <v>225.085323373733</v>
      </c>
      <c r="AH301" s="6" t="n">
        <v>202.679795057935</v>
      </c>
      <c r="AI301" s="6" t="n">
        <v>179.149474707469</v>
      </c>
      <c r="AJ301" s="6" t="n">
        <v>154.928244822126</v>
      </c>
      <c r="AK301" s="6" t="n">
        <v>129.537670554414</v>
      </c>
      <c r="AL301" s="6" t="n">
        <v>103.325248358431</v>
      </c>
      <c r="AM301" s="6" t="n">
        <v>75.5312011739189</v>
      </c>
      <c r="AN301" s="6" t="n">
        <v>47.1594556415751</v>
      </c>
      <c r="AO301" s="6" t="n">
        <v>23.7531023869967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72.038294745219</v>
      </c>
      <c r="L309" s="6" t="n">
        <v>73.5188727634301</v>
      </c>
      <c r="M309" s="6" t="n">
        <v>75.4061755390283</v>
      </c>
      <c r="N309" s="6" t="n">
        <v>78.0742147371756</v>
      </c>
      <c r="O309" s="6" t="n">
        <v>81.9159930804807</v>
      </c>
      <c r="P309" s="6" t="n">
        <v>87.2100026806785</v>
      </c>
      <c r="Q309" s="6" t="n">
        <v>94.1161870320207</v>
      </c>
      <c r="R309" s="6" t="n">
        <v>102.882341590788</v>
      </c>
      <c r="S309" s="6" t="n">
        <v>113.502241333422</v>
      </c>
      <c r="T309" s="6" t="n">
        <v>126.009719559759</v>
      </c>
      <c r="U309" s="6" t="n">
        <v>140.283618220881</v>
      </c>
      <c r="V309" s="6" t="n">
        <v>156.251143836047</v>
      </c>
      <c r="W309" s="6" t="n">
        <v>173.70770245687</v>
      </c>
      <c r="X309" s="6" t="n">
        <v>192.40256095453</v>
      </c>
      <c r="Y309" s="6" t="n">
        <v>212.12249619229</v>
      </c>
      <c r="Z309" s="6" t="n">
        <v>232.524998799284</v>
      </c>
      <c r="AA309" s="6" t="n">
        <v>253.355055082995</v>
      </c>
      <c r="AB309" s="6" t="n">
        <v>274.962511213658</v>
      </c>
      <c r="AC309" s="6" t="n">
        <v>295.573347969675</v>
      </c>
      <c r="AD309" s="6" t="n">
        <v>315.694288641713</v>
      </c>
      <c r="AE309" s="6" t="n">
        <v>334.928570701731</v>
      </c>
      <c r="AF309" s="6" t="n">
        <v>353.076211300926</v>
      </c>
      <c r="AG309" s="6" t="n">
        <v>369.827085578369</v>
      </c>
      <c r="AH309" s="6" t="n">
        <v>385.065863152433</v>
      </c>
      <c r="AI309" s="6" t="n">
        <v>398.61005725205</v>
      </c>
      <c r="AJ309" s="6" t="n">
        <v>410.334188843346</v>
      </c>
      <c r="AK309" s="6" t="n">
        <v>420.301584953568</v>
      </c>
      <c r="AL309" s="6" t="n">
        <v>428.480478068478</v>
      </c>
      <c r="AM309" s="6" t="n">
        <v>435.083252022206</v>
      </c>
      <c r="AN309" s="6" t="n">
        <v>440.274336168893</v>
      </c>
      <c r="AO309" s="6" t="n">
        <v>444.202704163639</v>
      </c>
      <c r="AP309" s="6" t="n">
        <v>447.481635057216</v>
      </c>
      <c r="AQ309" s="6" t="n">
        <v>479.624991969377</v>
      </c>
      <c r="AR309" s="6" t="n">
        <v>504.400258343845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1.34799231604912</v>
      </c>
      <c r="AO314" s="6" t="n">
        <v>1.34866637325051</v>
      </c>
      <c r="AP314" s="6" t="n">
        <v>0.132651100380165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1.33232067402471</v>
      </c>
      <c r="AO315" s="6" t="n">
        <v>1.33253415657385</v>
      </c>
      <c r="AP315" s="6" t="n">
        <v>0.129973764963973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1.34661165224488</v>
      </c>
      <c r="AO316" s="6" t="n">
        <v>1.35046812861247</v>
      </c>
      <c r="AP316" s="6" t="n">
        <v>0.133994328782971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1.32531351443814</v>
      </c>
      <c r="AO317" s="6" t="n">
        <v>1.32557064693521</v>
      </c>
      <c r="AP317" s="6" t="n">
        <v>0.12811510387488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1.3558705310277</v>
      </c>
      <c r="AO318" s="6" t="n">
        <v>1.3558705310277</v>
      </c>
      <c r="AP318" s="6" t="n">
        <v>0.139558170213477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1.32849980867306</v>
      </c>
      <c r="AO319" s="6" t="n">
        <v>1.32849980867306</v>
      </c>
      <c r="AP319" s="6" t="n">
        <v>0.131605820862713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1.34728335934732</v>
      </c>
      <c r="AO320" s="6" t="n">
        <v>1.35290345340387</v>
      </c>
      <c r="AP320" s="6" t="n">
        <v>0.138944656887081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1.34820951275043</v>
      </c>
      <c r="AO321" s="6" t="n">
        <v>1.34880720836612</v>
      </c>
      <c r="AP321" s="6" t="n">
        <v>0.132921598321163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1.32915143260792</v>
      </c>
      <c r="AO322" s="6" t="n">
        <v>1.33196485636006</v>
      </c>
      <c r="AP322" s="6" t="n">
        <v>0.129711701311894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1.34855408395866</v>
      </c>
      <c r="AO323" s="6" t="n">
        <v>1.34855408395866</v>
      </c>
      <c r="AP323" s="6" t="n">
        <v>0.13429775274045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1.34933918387966</v>
      </c>
      <c r="AO324" s="6" t="n">
        <v>1.34933918387966</v>
      </c>
      <c r="AP324" s="6" t="n">
        <v>0.13589606852115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1.34916094943246</v>
      </c>
      <c r="AO325" s="6" t="n">
        <v>1.34916094943246</v>
      </c>
      <c r="AP325" s="6" t="n">
        <v>0.137181180732833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1.32717983402077</v>
      </c>
      <c r="AO326" s="6" t="n">
        <v>1.32747021940829</v>
      </c>
      <c r="AP326" s="6" t="n">
        <v>0.128307212626595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1.34383473256732</v>
      </c>
      <c r="AO327" s="6" t="n">
        <v>1.34384643759211</v>
      </c>
      <c r="AP327" s="6" t="n">
        <v>0.131716279317125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1.3407742349223</v>
      </c>
      <c r="AO328" s="6" t="n">
        <v>1.34099742272942</v>
      </c>
      <c r="AP328" s="6" t="n">
        <v>0.131271709994172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1.3466373740568</v>
      </c>
      <c r="AO329" s="6" t="n">
        <v>1.3466373740568</v>
      </c>
      <c r="AP329" s="6" t="n">
        <v>0.136337074356209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1.30842875240879</v>
      </c>
      <c r="AO330" s="6" t="n">
        <v>1.31374909185966</v>
      </c>
      <c r="AP330" s="6" t="n">
        <v>0.129256450281483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1.33852164383731</v>
      </c>
      <c r="AO331" s="6" t="n">
        <v>1.3479138856281</v>
      </c>
      <c r="AP331" s="6" t="n">
        <v>0.136478381347879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1.34822041932233</v>
      </c>
      <c r="AO332" s="6" t="n">
        <v>1.34902210995855</v>
      </c>
      <c r="AP332" s="6" t="n">
        <v>0.133899773585554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1.33673321763673</v>
      </c>
      <c r="AO333" s="6" t="n">
        <v>1.33751699147685</v>
      </c>
      <c r="AP333" s="6" t="n">
        <v>0.131138298035247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1.35412479968705</v>
      </c>
      <c r="AO334" s="6" t="n">
        <v>1.35542835459545</v>
      </c>
      <c r="AP334" s="6" t="n">
        <v>0.134368459352672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1.33639539774043</v>
      </c>
      <c r="AO335" s="6" t="n">
        <v>1.336923529783</v>
      </c>
      <c r="AP335" s="6" t="n">
        <v>0.130127944218232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1.33565685883105</v>
      </c>
      <c r="AO336" s="6" t="n">
        <v>1.33589969102972</v>
      </c>
      <c r="AP336" s="6" t="n">
        <v>0.130410992036536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1.3101908091133</v>
      </c>
      <c r="AO337" s="6" t="n">
        <v>1.31999263568089</v>
      </c>
      <c r="AP337" s="6" t="n">
        <v>0.129738906968917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1.36196166777179</v>
      </c>
      <c r="AO338" s="6" t="n">
        <v>1.3621917701897</v>
      </c>
      <c r="AP338" s="6" t="n">
        <v>0.137800100666789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1.33467962254331</v>
      </c>
      <c r="AO339" s="6" t="n">
        <v>1.33476495363817</v>
      </c>
      <c r="AP339" s="6" t="n">
        <v>0.129806145990799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1.32376466702544</v>
      </c>
      <c r="AO340" s="6" t="n">
        <v>1.33523076134479</v>
      </c>
      <c r="AP340" s="6" t="n">
        <v>0.133826266891934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1.33523263318664</v>
      </c>
      <c r="AO341" s="6" t="n">
        <v>1.34481481157794</v>
      </c>
      <c r="AP341" s="6" t="n">
        <v>0.135905273631953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1.34512659536801</v>
      </c>
      <c r="AO342" s="6" t="n">
        <v>1.34529131177342</v>
      </c>
      <c r="AP342" s="6" t="n">
        <v>0.131752372320032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1.34716358415267</v>
      </c>
      <c r="AO343" s="6" t="n">
        <v>1.34773084107392</v>
      </c>
      <c r="AP343" s="6" t="n">
        <v>0.132090053514266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1.33967035014911</v>
      </c>
      <c r="AO344" s="6" t="n">
        <v>1.34000770637418</v>
      </c>
      <c r="AP344" s="6" t="n">
        <v>0.131206409543613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1.35213889361576</v>
      </c>
      <c r="AO345" s="6" t="n">
        <v>1.35213889361576</v>
      </c>
      <c r="AP345" s="6" t="n">
        <v>0.133795113479101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1.34783058665096</v>
      </c>
      <c r="AO346" s="6" t="n">
        <v>1.34856172446012</v>
      </c>
      <c r="AP346" s="6" t="n">
        <v>0.132447526204199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1.36405381664709</v>
      </c>
      <c r="AO347" s="6" t="n">
        <v>1.36429746949458</v>
      </c>
      <c r="AP347" s="6" t="n">
        <v>0.140328533300775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1.32908286861876</v>
      </c>
      <c r="AO348" s="6" t="n">
        <v>1.32938353753959</v>
      </c>
      <c r="AP348" s="6" t="n">
        <v>0.128853754840952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1.33928804663318</v>
      </c>
      <c r="AO349" s="6" t="n">
        <v>1.33939160441303</v>
      </c>
      <c r="AP349" s="6" t="n">
        <v>0.130788767323432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1.3252734799603</v>
      </c>
      <c r="AO350" s="6" t="n">
        <v>1.32717451404404</v>
      </c>
      <c r="AP350" s="6" t="n">
        <v>0.129193338603941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1.34547664076373</v>
      </c>
      <c r="AO351" s="6" t="n">
        <v>1.34632501832131</v>
      </c>
      <c r="AP351" s="6" t="n">
        <v>0.132516912680581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1.34826658313556</v>
      </c>
      <c r="AO352" s="6" t="n">
        <v>1.34834332753983</v>
      </c>
      <c r="AP352" s="6" t="n">
        <v>0.132999423282244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1.33341689702814</v>
      </c>
      <c r="AO353" s="6" t="n">
        <v>1.334647888542</v>
      </c>
      <c r="AP353" s="6" t="n">
        <v>0.129463623553479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1.34335485674121</v>
      </c>
      <c r="AO354" s="6" t="n">
        <v>1.34511390651507</v>
      </c>
      <c r="AP354" s="6" t="n">
        <v>0.131400437728283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1.33346578486561</v>
      </c>
      <c r="AO355" s="6" t="n">
        <v>1.33421946355795</v>
      </c>
      <c r="AP355" s="6" t="n">
        <v>0.130016791035749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1.35397057856631</v>
      </c>
      <c r="AO356" s="6" t="n">
        <v>1.35739607122483</v>
      </c>
      <c r="AP356" s="6" t="n">
        <v>0.139492609351217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1.32567609549388</v>
      </c>
      <c r="AO357" s="6" t="n">
        <v>1.33285468158001</v>
      </c>
      <c r="AP357" s="6" t="n">
        <v>0.131371192449616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1.34476168213742</v>
      </c>
      <c r="AO358" s="6" t="n">
        <v>1.34547304703619</v>
      </c>
      <c r="AP358" s="6" t="n">
        <v>0.131674650824037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1.34097924081355</v>
      </c>
      <c r="AO359" s="6" t="n">
        <v>1.34155938594745</v>
      </c>
      <c r="AP359" s="6" t="n">
        <v>0.132954668154876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1.32337016146965</v>
      </c>
      <c r="AO360" s="6" t="n">
        <v>1.32528699222491</v>
      </c>
      <c r="AP360" s="6" t="n">
        <v>0.130950907891274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1.34839582468741</v>
      </c>
      <c r="AO361" s="6" t="n">
        <v>1.34883558205872</v>
      </c>
      <c r="AP361" s="6" t="n">
        <v>0.132500350210316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1.33999638609602</v>
      </c>
      <c r="AO362" s="6" t="n">
        <v>1.34050372496371</v>
      </c>
      <c r="AP362" s="6" t="n">
        <v>0.131049536598323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1.34329522883854</v>
      </c>
      <c r="AO363" s="6" t="n">
        <v>1.34365205534893</v>
      </c>
      <c r="AP363" s="6" t="n">
        <v>0.131951865466573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1.33988298067468</v>
      </c>
      <c r="AO364" s="6" t="n">
        <v>1.34186856358124</v>
      </c>
      <c r="AP364" s="6" t="n">
        <v>0.131256605393804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1.31636932793165</v>
      </c>
      <c r="AO365" s="6" t="n">
        <v>1.32625604660963</v>
      </c>
      <c r="AP365" s="6" t="n">
        <v>0.131270366702281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1.34319345489561</v>
      </c>
      <c r="AO366" s="6" t="n">
        <v>1.34354425420911</v>
      </c>
      <c r="AP366" s="6" t="n">
        <v>0.131277281897686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1.34681636572763</v>
      </c>
      <c r="AO367" s="6" t="n">
        <v>1.35468786043246</v>
      </c>
      <c r="AP367" s="6" t="n">
        <v>0.140654891183418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1.31915211642808</v>
      </c>
      <c r="AO368" s="6" t="n">
        <v>1.31995254739071</v>
      </c>
      <c r="AP368" s="6" t="n">
        <v>0.127640458783019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1.34406805731186</v>
      </c>
      <c r="AO369" s="6" t="n">
        <v>1.34488855606454</v>
      </c>
      <c r="AP369" s="6" t="n">
        <v>0.133161770051201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1.31002670914699</v>
      </c>
      <c r="AO370" s="6" t="n">
        <v>1.31702033253792</v>
      </c>
      <c r="AP370" s="6" t="n">
        <v>0.128187472038977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1.31321073226201</v>
      </c>
      <c r="AO371" s="6" t="n">
        <v>1.3270891714829</v>
      </c>
      <c r="AP371" s="6" t="n">
        <v>0.13350149792186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1.34633099476346</v>
      </c>
      <c r="AO372" s="6" t="n">
        <v>1.34734846455662</v>
      </c>
      <c r="AP372" s="6" t="n">
        <v>0.132176216703988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1.35562730586438</v>
      </c>
      <c r="AO373" s="6" t="n">
        <v>1.35572249788059</v>
      </c>
      <c r="AP373" s="6" t="n">
        <v>0.135707186314287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1.34252150952308</v>
      </c>
      <c r="AO374" s="6" t="n">
        <v>1.34377213608354</v>
      </c>
      <c r="AP374" s="6" t="n">
        <v>0.132206574802106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1.31356200117528</v>
      </c>
      <c r="AO375" s="6" t="n">
        <v>1.31392014724565</v>
      </c>
      <c r="AP375" s="6" t="n">
        <v>0.126772893584063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1.34513168759459</v>
      </c>
      <c r="AO376" s="6" t="n">
        <v>1.34717872623111</v>
      </c>
      <c r="AP376" s="6" t="n">
        <v>0.132371367380367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1.33121298799652</v>
      </c>
      <c r="AO377" s="6" t="n">
        <v>1.33604959817756</v>
      </c>
      <c r="AP377" s="6" t="n">
        <v>0.131126779330545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1.3291527974533</v>
      </c>
      <c r="AO378" s="6" t="n">
        <v>1.32920669127868</v>
      </c>
      <c r="AP378" s="6" t="n">
        <v>0.129375520803008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1.34619686915058</v>
      </c>
      <c r="AO379" s="6" t="n">
        <v>1.34644237720171</v>
      </c>
      <c r="AP379" s="6" t="n">
        <v>0.132789129964055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1.32985363605456</v>
      </c>
      <c r="AO380" s="6" t="n">
        <v>1.33852563534775</v>
      </c>
      <c r="AP380" s="6" t="n">
        <v>0.135942305207451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1.34274149160942</v>
      </c>
      <c r="AO381" s="6" t="n">
        <v>1.34298100177408</v>
      </c>
      <c r="AP381" s="6" t="n">
        <v>0.131705040769547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1.31872662731136</v>
      </c>
      <c r="AO382" s="6" t="n">
        <v>1.32808809592057</v>
      </c>
      <c r="AP382" s="6" t="n">
        <v>0.130731177002796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1.31994299045102</v>
      </c>
      <c r="AO383" s="6" t="n">
        <v>1.32044280698327</v>
      </c>
      <c r="AP383" s="6" t="n">
        <v>0.129289952833306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1.32390884617718</v>
      </c>
      <c r="AO384" s="6" t="n">
        <v>1.33144065656351</v>
      </c>
      <c r="AP384" s="6" t="n">
        <v>0.131522183254488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1.3516993280475</v>
      </c>
      <c r="AO385" s="6" t="n">
        <v>1.35250772173558</v>
      </c>
      <c r="AP385" s="6" t="n">
        <v>0.134249735679478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1.30884461508683</v>
      </c>
      <c r="AO386" s="6" t="n">
        <v>1.32175068582243</v>
      </c>
      <c r="AP386" s="6" t="n">
        <v>0.130994902012107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1.343316132035</v>
      </c>
      <c r="AO387" s="6" t="n">
        <v>1.343316132035</v>
      </c>
      <c r="AP387" s="6" t="n">
        <v>0.133579838452748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1.35607019038792</v>
      </c>
      <c r="AO388" s="6" t="n">
        <v>1.35607019038792</v>
      </c>
      <c r="AP388" s="6" t="n">
        <v>0.134701105003303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1.36697207901414</v>
      </c>
      <c r="AO389" s="6" t="n">
        <v>1.36697207901414</v>
      </c>
      <c r="AP389" s="6" t="n">
        <v>0.145730841510817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1.34793388446729</v>
      </c>
      <c r="AO390" s="6" t="n">
        <v>1.34838841973193</v>
      </c>
      <c r="AP390" s="6" t="n">
        <v>0.132334556769866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1.32674357799766</v>
      </c>
      <c r="AO391" s="6" t="n">
        <v>1.3271643318794</v>
      </c>
      <c r="AP391" s="6" t="n">
        <v>0.129361997321215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1.34553375129569</v>
      </c>
      <c r="AO392" s="6" t="n">
        <v>1.35052077810626</v>
      </c>
      <c r="AP392" s="6" t="n">
        <v>0.134374714346865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1.31356340502782</v>
      </c>
      <c r="AO393" s="6" t="n">
        <v>1.31985547195024</v>
      </c>
      <c r="AP393" s="6" t="n">
        <v>0.132388891814039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1.34780514530426</v>
      </c>
      <c r="AO394" s="6" t="n">
        <v>1.35230330351357</v>
      </c>
      <c r="AP394" s="6" t="n">
        <v>0.135004910402002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1.36353792806631</v>
      </c>
      <c r="AO395" s="6" t="n">
        <v>1.36353792806631</v>
      </c>
      <c r="AP395" s="6" t="n">
        <v>0.142591974426244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1.3404212126841</v>
      </c>
      <c r="AO396" s="6" t="n">
        <v>1.34973818383098</v>
      </c>
      <c r="AP396" s="6" t="n">
        <v>0.136640755331325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1.29131259947403</v>
      </c>
      <c r="AO397" s="6" t="n">
        <v>1.30304363733674</v>
      </c>
      <c r="AP397" s="6" t="n">
        <v>0.126855336678802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1.35611004659041</v>
      </c>
      <c r="AO398" s="6" t="n">
        <v>1.35670929614481</v>
      </c>
      <c r="AP398" s="6" t="n">
        <v>0.135062320866747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1.35276988279882</v>
      </c>
      <c r="AO399" s="6" t="n">
        <v>1.35386025359456</v>
      </c>
      <c r="AP399" s="6" t="n">
        <v>0.136458438458081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1.33443070892555</v>
      </c>
      <c r="AO400" s="6" t="n">
        <v>1.33934005827528</v>
      </c>
      <c r="AP400" s="6" t="n">
        <v>0.131779145799136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1.31502876735089</v>
      </c>
      <c r="AO401" s="6" t="n">
        <v>1.32099431426927</v>
      </c>
      <c r="AP401" s="6" t="n">
        <v>0.129630020756639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1.32069092007292</v>
      </c>
      <c r="AO402" s="6" t="n">
        <v>1.32950554789236</v>
      </c>
      <c r="AP402" s="6" t="n">
        <v>0.131194466113208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1.33602546058282</v>
      </c>
      <c r="AO403" s="6" t="n">
        <v>1.34018848610726</v>
      </c>
      <c r="AP403" s="6" t="n">
        <v>0.13201865322456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1.33951015070594</v>
      </c>
      <c r="AO404" s="6" t="n">
        <v>1.33952781978074</v>
      </c>
      <c r="AP404" s="6" t="n">
        <v>0.131083048184959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1.3628223964798</v>
      </c>
      <c r="AO405" s="6" t="n">
        <v>1.3628223964798</v>
      </c>
      <c r="AP405" s="6" t="n">
        <v>0.147236540670471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1.34828054368482</v>
      </c>
      <c r="AO406" s="6" t="n">
        <v>1.34862246003162</v>
      </c>
      <c r="AP406" s="6" t="n">
        <v>0.132842685738953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1.34907549743535</v>
      </c>
      <c r="AO407" s="6" t="n">
        <v>1.3493592747383</v>
      </c>
      <c r="AP407" s="6" t="n">
        <v>0.133125385768754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1.35189791507968</v>
      </c>
      <c r="AO408" s="6" t="n">
        <v>1.35189791507968</v>
      </c>
      <c r="AP408" s="6" t="n">
        <v>0.135969401461406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1.35144047021402</v>
      </c>
      <c r="AO409" s="6" t="n">
        <v>1.352808479844</v>
      </c>
      <c r="AP409" s="6" t="n">
        <v>0.136362840117808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1.33394718217059</v>
      </c>
      <c r="AO410" s="6" t="n">
        <v>1.33835130935489</v>
      </c>
      <c r="AP410" s="6" t="n">
        <v>0.131990530265678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1.34385339569419</v>
      </c>
      <c r="AO411" s="6" t="n">
        <v>1.34697709062219</v>
      </c>
      <c r="AP411" s="6" t="n">
        <v>0.132843739986839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1.33129148022492</v>
      </c>
      <c r="AO412" s="6" t="n">
        <v>1.33221719217099</v>
      </c>
      <c r="AP412" s="6" t="n">
        <v>0.129304650001211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1.35606039080596</v>
      </c>
      <c r="AO413" s="6" t="n">
        <v>1.35673435278007</v>
      </c>
      <c r="AP413" s="6" t="n">
        <v>0.136262394991544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1.34574480189732</v>
      </c>
      <c r="AO414" s="6" t="n">
        <v>1.34574480189732</v>
      </c>
      <c r="AP414" s="6" t="n">
        <v>0.132904173415966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1.29462425029316</v>
      </c>
      <c r="AO415" s="6" t="n">
        <v>1.30588171082584</v>
      </c>
      <c r="AP415" s="6" t="n">
        <v>0.131032366109813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1.35531505897667</v>
      </c>
      <c r="AO416" s="6" t="n">
        <v>1.35531505897667</v>
      </c>
      <c r="AP416" s="6" t="n">
        <v>0.138186415081083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1.35570439215297</v>
      </c>
      <c r="AO417" s="6" t="n">
        <v>1.35570439215297</v>
      </c>
      <c r="AP417" s="6" t="n">
        <v>0.138976772081175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1.34256272536911</v>
      </c>
      <c r="AO418" s="6" t="n">
        <v>1.34322932636563</v>
      </c>
      <c r="AP418" s="6" t="n">
        <v>0.13138885122435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1.34401456049718</v>
      </c>
      <c r="AO419" s="6" t="n">
        <v>1.3446028808102</v>
      </c>
      <c r="AP419" s="6" t="n">
        <v>0.13145157752526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1.34609219049207</v>
      </c>
      <c r="AO420" s="6" t="n">
        <v>1.34609219049207</v>
      </c>
      <c r="AP420" s="6" t="n">
        <v>0.1344656996563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1.35891304754882</v>
      </c>
      <c r="AO421" s="6" t="n">
        <v>1.35891304754882</v>
      </c>
      <c r="AP421" s="6" t="n">
        <v>0.138216549163269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1.33636776980318</v>
      </c>
      <c r="AO422" s="6" t="n">
        <v>1.33660522302822</v>
      </c>
      <c r="AP422" s="6" t="n">
        <v>0.130272017636527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1.3311056672187</v>
      </c>
      <c r="AO423" s="6" t="n">
        <v>1.33932090381248</v>
      </c>
      <c r="AP423" s="6" t="n">
        <v>0.133486420329791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1.31992718769218</v>
      </c>
      <c r="AO424" s="6" t="n">
        <v>1.32879839074943</v>
      </c>
      <c r="AP424" s="6" t="n">
        <v>0.131284722888218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1.32554500660126</v>
      </c>
      <c r="AO425" s="6" t="n">
        <v>1.33051703522568</v>
      </c>
      <c r="AP425" s="6" t="n">
        <v>0.129993441183913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1.33328073288559</v>
      </c>
      <c r="AO426" s="6" t="n">
        <v>1.33959913523426</v>
      </c>
      <c r="AP426" s="6" t="n">
        <v>0.132879679843229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1.3440842324228</v>
      </c>
      <c r="AO427" s="6" t="n">
        <v>1.34588861623227</v>
      </c>
      <c r="AP427" s="6" t="n">
        <v>0.134438452319343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1.33515737892649</v>
      </c>
      <c r="AO428" s="6" t="n">
        <v>1.338061978397</v>
      </c>
      <c r="AP428" s="6" t="n">
        <v>0.131586284895651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1.32953466340266</v>
      </c>
      <c r="AO429" s="6" t="n">
        <v>1.33085171053493</v>
      </c>
      <c r="AP429" s="6" t="n">
        <v>0.129452743206094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1.33275564105483</v>
      </c>
      <c r="AO430" s="6" t="n">
        <v>1.33275564105483</v>
      </c>
      <c r="AP430" s="6" t="n">
        <v>0.129521908466505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1.33423572036945</v>
      </c>
      <c r="AO431" s="6" t="n">
        <v>1.34007172951658</v>
      </c>
      <c r="AP431" s="6" t="n">
        <v>0.132394673342872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1.33894991169717</v>
      </c>
      <c r="AO432" s="6" t="n">
        <v>1.34011483469222</v>
      </c>
      <c r="AP432" s="6" t="n">
        <v>0.130933775851923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1.35349062232438</v>
      </c>
      <c r="AO433" s="6" t="n">
        <v>1.35349062232438</v>
      </c>
      <c r="AP433" s="6" t="n">
        <v>0.135037815354363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1.32911323490041</v>
      </c>
      <c r="AO434" s="6" t="n">
        <v>1.32917603150764</v>
      </c>
      <c r="AP434" s="6" t="n">
        <v>0.129298307877818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1.33780553905362</v>
      </c>
      <c r="AO435" s="6" t="n">
        <v>1.33807681132108</v>
      </c>
      <c r="AP435" s="6" t="n">
        <v>0.130693703446763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1.3542637330251</v>
      </c>
      <c r="AO436" s="6" t="n">
        <v>1.3542637330251</v>
      </c>
      <c r="AP436" s="6" t="n">
        <v>0.137652089997839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1.33290332422564</v>
      </c>
      <c r="AO437" s="6" t="n">
        <v>1.33325232370769</v>
      </c>
      <c r="AP437" s="6" t="n">
        <v>0.130162066005265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1.34577569104582</v>
      </c>
      <c r="AO438" s="6" t="n">
        <v>1.34579853217933</v>
      </c>
      <c r="AP438" s="6" t="n">
        <v>0.133098501137635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1.35072291450628</v>
      </c>
      <c r="AO439" s="6" t="n">
        <v>1.35134725064937</v>
      </c>
      <c r="AP439" s="6" t="n">
        <v>0.133138961045746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1.32115073081512</v>
      </c>
      <c r="AO440" s="6" t="n">
        <v>1.32926218405324</v>
      </c>
      <c r="AP440" s="6" t="n">
        <v>0.134875013117334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1.33853038923401</v>
      </c>
      <c r="AO441" s="6" t="n">
        <v>1.33878570379232</v>
      </c>
      <c r="AP441" s="6" t="n">
        <v>0.131217925721748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1.35255380453611</v>
      </c>
      <c r="AO442" s="6" t="n">
        <v>1.35300338285009</v>
      </c>
      <c r="AP442" s="6" t="n">
        <v>0.136635368612796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1.30304943099684</v>
      </c>
      <c r="AO443" s="6" t="n">
        <v>1.30708049587539</v>
      </c>
      <c r="AP443" s="6" t="n">
        <v>0.13311312956904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1.34429451975095</v>
      </c>
      <c r="AO444" s="6" t="n">
        <v>1.3448440187944</v>
      </c>
      <c r="AP444" s="6" t="n">
        <v>0.13205455794245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1.34399396902522</v>
      </c>
      <c r="AO445" s="6" t="n">
        <v>1.34595443381276</v>
      </c>
      <c r="AP445" s="6" t="n">
        <v>0.132947158645463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1.3412213866325</v>
      </c>
      <c r="AO446" s="6" t="n">
        <v>1.34212889966375</v>
      </c>
      <c r="AP446" s="6" t="n">
        <v>0.131459749784333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1.32120815767192</v>
      </c>
      <c r="AO447" s="6" t="n">
        <v>1.3216746725977</v>
      </c>
      <c r="AP447" s="6" t="n">
        <v>0.127370436400709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1.34674578640071</v>
      </c>
      <c r="AO448" s="6" t="n">
        <v>1.34695543221878</v>
      </c>
      <c r="AP448" s="6" t="n">
        <v>0.132281629903839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1.32406526080197</v>
      </c>
      <c r="AO449" s="6" t="n">
        <v>1.32421489479642</v>
      </c>
      <c r="AP449" s="6" t="n">
        <v>0.128099084408225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1.29713284447914</v>
      </c>
      <c r="AO450" s="6" t="n">
        <v>1.30626172671077</v>
      </c>
      <c r="AP450" s="6" t="n">
        <v>0.128207068709423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1.35169953018827</v>
      </c>
      <c r="AO451" s="6" t="n">
        <v>1.35641692791742</v>
      </c>
      <c r="AP451" s="6" t="n">
        <v>0.136757502407843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1.33605891352806</v>
      </c>
      <c r="AO452" s="6" t="n">
        <v>1.3364444628779</v>
      </c>
      <c r="AP452" s="6" t="n">
        <v>0.130389956123922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1.31555969481725</v>
      </c>
      <c r="AO453" s="6" t="n">
        <v>1.32339826849122</v>
      </c>
      <c r="AP453" s="6" t="n">
        <v>0.130081099130311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1.3472749063884</v>
      </c>
      <c r="AO454" s="6" t="n">
        <v>1.34909565475079</v>
      </c>
      <c r="AP454" s="6" t="n">
        <v>0.13407409225678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1.35956385749286</v>
      </c>
      <c r="AO455" s="6" t="n">
        <v>1.36755969073427</v>
      </c>
      <c r="AP455" s="6" t="n">
        <v>0.14486855851875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1.32837192204048</v>
      </c>
      <c r="AO456" s="6" t="n">
        <v>1.33656248755011</v>
      </c>
      <c r="AP456" s="6" t="n">
        <v>0.132924508569803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1.34423773131518</v>
      </c>
      <c r="AO457" s="6" t="n">
        <v>1.34430253494934</v>
      </c>
      <c r="AP457" s="6" t="n">
        <v>0.131839599557391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1.33711307799319</v>
      </c>
      <c r="AO458" s="6" t="n">
        <v>1.3372795721559</v>
      </c>
      <c r="AP458" s="6" t="n">
        <v>0.130762205720745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1.33507517721947</v>
      </c>
      <c r="AO459" s="6" t="n">
        <v>1.33583439767515</v>
      </c>
      <c r="AP459" s="6" t="n">
        <v>0.130101728023497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1.35570740610339</v>
      </c>
      <c r="AO460" s="6" t="n">
        <v>1.35570740610339</v>
      </c>
      <c r="AP460" s="6" t="n">
        <v>0.135916099543944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1.34270199957327</v>
      </c>
      <c r="AO461" s="6" t="n">
        <v>1.35277296229309</v>
      </c>
      <c r="AP461" s="6" t="n">
        <v>0.138223559177151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1.34824055257835</v>
      </c>
      <c r="AO462" s="6" t="n">
        <v>1.34844464923261</v>
      </c>
      <c r="AP462" s="6" t="n">
        <v>0.132509085926916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1.33308520862374</v>
      </c>
      <c r="AO463" s="6" t="n">
        <v>1.33320673502059</v>
      </c>
      <c r="AP463" s="6" t="n">
        <v>0.129198316970239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1.34532904598485</v>
      </c>
      <c r="AO464" s="6" t="n">
        <v>1.34567741442752</v>
      </c>
      <c r="AP464" s="6" t="n">
        <v>0.133335956393381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1.36069185873889</v>
      </c>
      <c r="AO465" s="6" t="n">
        <v>1.36069185873889</v>
      </c>
      <c r="AP465" s="6" t="n">
        <v>0.140810592525394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1.33235933240838</v>
      </c>
      <c r="AO466" s="6" t="n">
        <v>1.33279168731795</v>
      </c>
      <c r="AP466" s="6" t="n">
        <v>0.130066139354638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1.34953089520871</v>
      </c>
      <c r="AO467" s="6" t="n">
        <v>1.35284295649352</v>
      </c>
      <c r="AP467" s="6" t="n">
        <v>0.139678471464156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1.32058983231199</v>
      </c>
      <c r="AO468" s="6" t="n">
        <v>1.32736887573848</v>
      </c>
      <c r="AP468" s="6" t="n">
        <v>0.129740614306126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1.29516633020989</v>
      </c>
      <c r="AO469" s="6" t="n">
        <v>1.2971824902278</v>
      </c>
      <c r="AP469" s="6" t="n">
        <v>0.13158282753249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1.32056916285677</v>
      </c>
      <c r="AO470" s="6" t="n">
        <v>1.32146781437956</v>
      </c>
      <c r="AP470" s="6" t="n">
        <v>0.127690648975211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1.35408593022793</v>
      </c>
      <c r="AO471" s="6" t="n">
        <v>1.35408593022793</v>
      </c>
      <c r="AP471" s="6" t="n">
        <v>0.136852400651818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1.34473177812105</v>
      </c>
      <c r="AO472" s="6" t="n">
        <v>1.34543233329922</v>
      </c>
      <c r="AP472" s="6" t="n">
        <v>0.131675829205029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1.32052676260405</v>
      </c>
      <c r="AO473" s="6" t="n">
        <v>1.32091036252335</v>
      </c>
      <c r="AP473" s="6" t="n">
        <v>0.133845736435643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1.34374733330925</v>
      </c>
      <c r="AO474" s="6" t="n">
        <v>1.34375246696847</v>
      </c>
      <c r="AP474" s="6" t="n">
        <v>0.13189731400577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1.30526043812859</v>
      </c>
      <c r="AO475" s="6" t="n">
        <v>1.31557290972724</v>
      </c>
      <c r="AP475" s="6" t="n">
        <v>0.129951878522722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1.35273918986688</v>
      </c>
      <c r="AO476" s="6" t="n">
        <v>1.35273918986688</v>
      </c>
      <c r="AP476" s="6" t="n">
        <v>0.135236362448879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1.33205872693781</v>
      </c>
      <c r="AO477" s="6" t="n">
        <v>1.33244230903064</v>
      </c>
      <c r="AP477" s="6" t="n">
        <v>0.129374899951872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1.35513787522655</v>
      </c>
      <c r="AO478" s="6" t="n">
        <v>1.35606921740312</v>
      </c>
      <c r="AP478" s="6" t="n">
        <v>0.136786095684491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1.35716967841286</v>
      </c>
      <c r="AO479" s="6" t="n">
        <v>1.35752457257404</v>
      </c>
      <c r="AP479" s="6" t="n">
        <v>0.136765782214628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1.34913956024225</v>
      </c>
      <c r="AO480" s="6" t="n">
        <v>1.34986319821851</v>
      </c>
      <c r="AP480" s="6" t="n">
        <v>0.133405585964163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1.32650167730169</v>
      </c>
      <c r="AO481" s="6" t="n">
        <v>1.32756779345801</v>
      </c>
      <c r="AP481" s="6" t="n">
        <v>0.129309343990981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1.34546365964393</v>
      </c>
      <c r="AO482" s="6" t="n">
        <v>1.34599526761224</v>
      </c>
      <c r="AP482" s="6" t="n">
        <v>0.133555256263945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1.34900541955529</v>
      </c>
      <c r="AO483" s="6" t="n">
        <v>1.34910816121281</v>
      </c>
      <c r="AP483" s="6" t="n">
        <v>0.134232671080693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1.35975033043981</v>
      </c>
      <c r="AO484" s="6" t="n">
        <v>1.35976081896629</v>
      </c>
      <c r="AP484" s="6" t="n">
        <v>0.140803484134394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1.33909666860978</v>
      </c>
      <c r="AO485" s="6" t="n">
        <v>1.33911768363574</v>
      </c>
      <c r="AP485" s="6" t="n">
        <v>0.129980946335474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1.33441378370268</v>
      </c>
      <c r="AO486" s="6" t="n">
        <v>1.34160928064901</v>
      </c>
      <c r="AP486" s="6" t="n">
        <v>0.134188039152349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1.32022015630437</v>
      </c>
      <c r="AO487" s="6" t="n">
        <v>1.32396707774572</v>
      </c>
      <c r="AP487" s="6" t="n">
        <v>0.130573281902959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1.33206989286984</v>
      </c>
      <c r="AO488" s="6" t="n">
        <v>1.33234620369648</v>
      </c>
      <c r="AP488" s="6" t="n">
        <v>0.130039060126075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1.34909123591089</v>
      </c>
      <c r="AO489" s="6" t="n">
        <v>1.34940264376099</v>
      </c>
      <c r="AP489" s="6" t="n">
        <v>0.134885951653868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1.33359021540723</v>
      </c>
      <c r="AO490" s="6" t="n">
        <v>1.34205618726451</v>
      </c>
      <c r="AP490" s="6" t="n">
        <v>0.133154939971375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1.32564904440466</v>
      </c>
      <c r="AO491" s="6" t="n">
        <v>1.33015756433913</v>
      </c>
      <c r="AP491" s="6" t="n">
        <v>0.129990788786001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1.3391086979781</v>
      </c>
      <c r="AO492" s="6" t="n">
        <v>1.33953854673517</v>
      </c>
      <c r="AP492" s="6" t="n">
        <v>0.131281446798177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1.33001005446644</v>
      </c>
      <c r="AO493" s="6" t="n">
        <v>1.33717719208112</v>
      </c>
      <c r="AP493" s="6" t="n">
        <v>0.131712226209334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1.33730255705735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1.34475073147457</v>
      </c>
      <c r="AO495" s="6" t="n">
        <v>1.34498770319075</v>
      </c>
      <c r="AP495" s="6" t="n">
        <v>0.131800724850731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1.34602449692446</v>
      </c>
      <c r="AO496" s="6" t="n">
        <v>1.34602449692446</v>
      </c>
      <c r="AP496" s="6" t="n">
        <v>0.133801911233792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1.32200886604495</v>
      </c>
      <c r="AO497" s="6" t="n">
        <v>1.32962978586349</v>
      </c>
      <c r="AP497" s="6" t="n">
        <v>0.136148112882875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1.35661306099952</v>
      </c>
      <c r="AO498" s="6" t="n">
        <v>1.35661306099952</v>
      </c>
      <c r="AP498" s="6" t="n">
        <v>0.137063044638767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1.33870084690737</v>
      </c>
      <c r="AO499" s="6" t="n">
        <v>1.33933939849783</v>
      </c>
      <c r="AP499" s="6" t="n">
        <v>0.131241086364811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1.35467616787919</v>
      </c>
      <c r="AO500" s="6" t="n">
        <v>1.35531060098366</v>
      </c>
      <c r="AP500" s="6" t="n">
        <v>0.137702177854176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1.34796706250428</v>
      </c>
      <c r="AO501" s="6" t="n">
        <v>1.34796706250428</v>
      </c>
      <c r="AP501" s="6" t="n">
        <v>0.134031966496694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1.34389878911907</v>
      </c>
      <c r="AO502" s="6" t="n">
        <v>1.34755600864149</v>
      </c>
      <c r="AP502" s="6" t="n">
        <v>0.134121800514584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1.33299157735234</v>
      </c>
      <c r="AO503" s="6" t="n">
        <v>1.33826477525568</v>
      </c>
      <c r="AP503" s="6" t="n">
        <v>0.131158390068006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1.31950584381961</v>
      </c>
      <c r="AO505" s="6" t="n">
        <v>1.32867691395652</v>
      </c>
      <c r="AP505" s="6" t="n">
        <v>0.131134189360444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1.34233911054549</v>
      </c>
      <c r="AO506" s="6" t="n">
        <v>1.34290931666496</v>
      </c>
      <c r="AP506" s="6" t="n">
        <v>0.13204050711316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1.33658607159045</v>
      </c>
      <c r="AO507" s="6" t="n">
        <v>1.33943851658785</v>
      </c>
      <c r="AP507" s="6" t="n">
        <v>0.131278461486334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1.35544134142273</v>
      </c>
      <c r="AO508" s="6" t="n">
        <v>1.35606879636699</v>
      </c>
      <c r="AP508" s="6" t="n">
        <v>0.136226373530081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1.35217763593019</v>
      </c>
      <c r="AO509" s="6" t="n">
        <v>1.35217763593019</v>
      </c>
      <c r="AP509" s="6" t="n">
        <v>0.134092388685808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1.33830273573247</v>
      </c>
      <c r="AO510" s="6" t="n">
        <v>1.33860429737675</v>
      </c>
      <c r="AP510" s="6" t="n">
        <v>0.130733479309991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1.32175445429393</v>
      </c>
      <c r="AO512" s="6" t="n">
        <v>1.32544935626963</v>
      </c>
      <c r="AP512" s="6" t="n">
        <v>0.130754976585799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1.33953514827996</v>
      </c>
      <c r="AO513" s="6" t="n">
        <v>1.34081050997335</v>
      </c>
      <c r="AP513" s="6" t="n">
        <v>0.13092811047639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1.32222629104954</v>
      </c>
      <c r="AO514" s="6" t="n">
        <v>1.32288075573159</v>
      </c>
      <c r="AP514" s="6" t="n">
        <v>0.127708346460712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1.34805771384128</v>
      </c>
      <c r="AO515" s="6" t="n">
        <v>1.34829239024089</v>
      </c>
      <c r="AP515" s="6" t="n">
        <v>0.133295686675679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1.35038173695735</v>
      </c>
      <c r="AO516" s="6" t="n">
        <v>1.35115928590235</v>
      </c>
      <c r="AP516" s="6" t="n">
        <v>0.132938742175237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1.34117325105081</v>
      </c>
      <c r="AO517" s="6" t="n">
        <v>1.34243487821956</v>
      </c>
      <c r="AP517" s="6" t="n">
        <v>0.135634679991576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1.34561419161642</v>
      </c>
      <c r="AO518" s="6" t="n">
        <v>1.35049891552552</v>
      </c>
      <c r="AP518" s="6" t="n">
        <v>0.135332288882074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1.35251083818365</v>
      </c>
      <c r="AO519" s="6" t="n">
        <v>1.35251083818365</v>
      </c>
      <c r="AP519" s="6" t="n">
        <v>0.138341063502565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1.32624436835517</v>
      </c>
      <c r="AO520" s="6" t="n">
        <v>1.32659062574534</v>
      </c>
      <c r="AP520" s="6" t="n">
        <v>0.127812865738397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</v>
      </c>
      <c r="AO521" s="6" t="n">
        <v>1.3536186129217</v>
      </c>
      <c r="AP521" s="6" t="n">
        <v>0.136027549248781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1.3324826620462</v>
      </c>
      <c r="AO522" s="6" t="n">
        <v>1.33314769783736</v>
      </c>
      <c r="AP522" s="6" t="n">
        <v>0.130088635762751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1.35631615450089</v>
      </c>
      <c r="AO523" s="6" t="n">
        <v>1.35631615450089</v>
      </c>
      <c r="AP523" s="6" t="n">
        <v>0.13498397220912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1.35434325331619</v>
      </c>
      <c r="AO524" s="6" t="n">
        <v>1.35547413930234</v>
      </c>
      <c r="AP524" s="6" t="n">
        <v>0.140280590605196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1.32396221018906</v>
      </c>
      <c r="AO525" s="6" t="n">
        <v>1.32540261720242</v>
      </c>
      <c r="AP525" s="6" t="n">
        <v>0.127228871036133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1.33526965549005</v>
      </c>
      <c r="AO526" s="6" t="n">
        <v>1.33562950865553</v>
      </c>
      <c r="AP526" s="6" t="n">
        <v>0.130067920982949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1.35185814002865</v>
      </c>
      <c r="AO527" s="6" t="n">
        <v>1.35238199235242</v>
      </c>
      <c r="AP527" s="6" t="n">
        <v>0.134802982954246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1.34015087467973</v>
      </c>
      <c r="AO528" s="6" t="n">
        <v>1.34258693643436</v>
      </c>
      <c r="AP528" s="6" t="n">
        <v>0.132593702421044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1.34032177615245</v>
      </c>
      <c r="AO529" s="6" t="n">
        <v>1.34568517003396</v>
      </c>
      <c r="AP529" s="6" t="n">
        <v>0.134240758463047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1.34479344953853</v>
      </c>
      <c r="AO530" s="6" t="n">
        <v>1.34546672010525</v>
      </c>
      <c r="AP530" s="6" t="n">
        <v>0.132006457357788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1.34259867220889</v>
      </c>
      <c r="AO531" s="6" t="n">
        <v>1.35169095923546</v>
      </c>
      <c r="AP531" s="6" t="n">
        <v>0.138852302453963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1.32168101426539</v>
      </c>
      <c r="AO532" s="6" t="n">
        <v>1.33003844142256</v>
      </c>
      <c r="AP532" s="6" t="n">
        <v>0.131075538827077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1.34002789283346</v>
      </c>
      <c r="AO533" s="6" t="n">
        <v>1.34081207729259</v>
      </c>
      <c r="AP533" s="6" t="n">
        <v>0.131951330685529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1.3144748387803</v>
      </c>
      <c r="AO534" s="6" t="n">
        <v>1.32476862691997</v>
      </c>
      <c r="AP534" s="6" t="n">
        <v>0.131492408466462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1.34095612868732</v>
      </c>
      <c r="AO535" s="6" t="n">
        <v>1.34442383519922</v>
      </c>
      <c r="AP535" s="6" t="n">
        <v>0.132745558359016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1.29341378715995</v>
      </c>
      <c r="AO536" s="6" t="n">
        <v>1.3121470178301</v>
      </c>
      <c r="AP536" s="6" t="n">
        <v>0.131546499271432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1.32899739885943</v>
      </c>
      <c r="AO537" s="6" t="n">
        <v>1.3338557956019</v>
      </c>
      <c r="AP537" s="6" t="n">
        <v>0.131787935379394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1.34305272901297</v>
      </c>
      <c r="AO538" s="6" t="n">
        <v>1.34340687834673</v>
      </c>
      <c r="AP538" s="6" t="n">
        <v>0.131060007284842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1.35004485142551</v>
      </c>
      <c r="AO539" s="6" t="n">
        <v>1.35004485142551</v>
      </c>
      <c r="AP539" s="6" t="n">
        <v>0.136426865230547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1.33358890283538</v>
      </c>
      <c r="AO540" s="6" t="n">
        <v>1.33383198154398</v>
      </c>
      <c r="AP540" s="6" t="n">
        <v>0.130130882633371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1.34638583837276</v>
      </c>
      <c r="AO541" s="6" t="n">
        <v>1.34661382298085</v>
      </c>
      <c r="AP541" s="6" t="n">
        <v>0.131987032705821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1.32948357280519</v>
      </c>
      <c r="AO542" s="6" t="n">
        <v>1.33081241685877</v>
      </c>
      <c r="AP542" s="6" t="n">
        <v>0.12932278208799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1.32720375644352</v>
      </c>
      <c r="AO543" s="6" t="n">
        <v>1.33441159678561</v>
      </c>
      <c r="AP543" s="6" t="n">
        <v>0.131685005121027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1.32548605440174</v>
      </c>
      <c r="AO544" s="6" t="n">
        <v>1.33066327848764</v>
      </c>
      <c r="AP544" s="6" t="n">
        <v>0.12980761788615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1.33471122938404</v>
      </c>
      <c r="AO545" s="6" t="n">
        <v>1.33497125364994</v>
      </c>
      <c r="AP545" s="6" t="n">
        <v>0.12997938620325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1.33546082267204</v>
      </c>
      <c r="AO546" s="6" t="n">
        <v>1.33549684370479</v>
      </c>
      <c r="AP546" s="6" t="n">
        <v>0.129723742027222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1.30693736127365</v>
      </c>
      <c r="AO547" s="6" t="n">
        <v>1.30728034201081</v>
      </c>
      <c r="AP547" s="6" t="n">
        <v>0.125627717167389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1.35057474404996</v>
      </c>
      <c r="AO548" s="6" t="n">
        <v>1.3509812828541</v>
      </c>
      <c r="AP548" s="6" t="n">
        <v>0.135525059958425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1.34991704829558</v>
      </c>
      <c r="AO549" s="6" t="n">
        <v>1.34991704829558</v>
      </c>
      <c r="AP549" s="6" t="n">
        <v>0.134572784623699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1.34529357999128</v>
      </c>
      <c r="AO550" s="6" t="n">
        <v>1.34552502877535</v>
      </c>
      <c r="AP550" s="6" t="n">
        <v>0.133364033943263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1.33847795391614</v>
      </c>
      <c r="AO551" s="6" t="n">
        <v>1.3385025130793</v>
      </c>
      <c r="AP551" s="6" t="n">
        <v>0.130483254935833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1.30901492638978</v>
      </c>
      <c r="AO552" s="6" t="n">
        <v>1.31701424795771</v>
      </c>
      <c r="AP552" s="6" t="n">
        <v>0.129364232897051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1.32984445575927</v>
      </c>
      <c r="AO553" s="6" t="n">
        <v>1.33032452140049</v>
      </c>
      <c r="AP553" s="6" t="n">
        <v>0.129226562524853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1.33649556354704</v>
      </c>
      <c r="AO554" s="6" t="n">
        <v>1.34867855781519</v>
      </c>
      <c r="AP554" s="6" t="n">
        <v>0.138252552559379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1.30077192708059</v>
      </c>
      <c r="AO555" s="6" t="n">
        <v>1.31230015470138</v>
      </c>
      <c r="AP555" s="6" t="n">
        <v>0.127744262621262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1.29310262673127</v>
      </c>
      <c r="AO556" s="6" t="n">
        <v>1.29815087191377</v>
      </c>
      <c r="AP556" s="6" t="n">
        <v>0.131073998103513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1.34986168296418</v>
      </c>
      <c r="AO557" s="6" t="n">
        <v>1.34986168296418</v>
      </c>
      <c r="AP557" s="6" t="n">
        <v>0.133450469548753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1.33765723185888</v>
      </c>
      <c r="AO558" s="6" t="n">
        <v>1.33820346847639</v>
      </c>
      <c r="AP558" s="6" t="n">
        <v>0.131264460141273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1.33115113752141</v>
      </c>
      <c r="AO559" s="6" t="n">
        <v>1.33169833446069</v>
      </c>
      <c r="AP559" s="6" t="n">
        <v>0.129819111946218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1.34336177627286</v>
      </c>
      <c r="AO560" s="6" t="n">
        <v>1.34345474589551</v>
      </c>
      <c r="AP560" s="6" t="n">
        <v>0.132756771252793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1.34846950310401</v>
      </c>
      <c r="AO561" s="6" t="n">
        <v>1.34872786002762</v>
      </c>
      <c r="AP561" s="6" t="n">
        <v>0.132696503286849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1.34941880838256</v>
      </c>
      <c r="AO562" s="6" t="n">
        <v>1.34941880838256</v>
      </c>
      <c r="AP562" s="6" t="n">
        <v>0.135575871764196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1.33548287547286</v>
      </c>
      <c r="AO563" s="6" t="n">
        <v>1.34398865747694</v>
      </c>
      <c r="AP563" s="6" t="n">
        <v>0.135253035278461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1.33048022507202</v>
      </c>
      <c r="AO564" s="6" t="n">
        <v>1.33901678887341</v>
      </c>
      <c r="AP564" s="6" t="n">
        <v>0.133950503722659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1.348602492982</v>
      </c>
      <c r="AO565" s="6" t="n">
        <v>1.34940573873525</v>
      </c>
      <c r="AP565" s="6" t="n">
        <v>0.133362081052271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1.31678573392805</v>
      </c>
      <c r="AO566" s="6" t="n">
        <v>1.3195635038429</v>
      </c>
      <c r="AP566" s="6" t="n">
        <v>0.133330080276372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1.33103218375945</v>
      </c>
      <c r="AO567" s="6" t="n">
        <v>1.33149969025227</v>
      </c>
      <c r="AP567" s="6" t="n">
        <v>0.129188539513555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1.31924117030811</v>
      </c>
      <c r="AO568" s="6" t="n">
        <v>1.32847013096446</v>
      </c>
      <c r="AP568" s="6" t="n">
        <v>0.131001644810129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1.34878314266477</v>
      </c>
      <c r="AO569" s="6" t="n">
        <v>1.34926903677729</v>
      </c>
      <c r="AP569" s="6" t="n">
        <v>0.132620909642526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1.34191685432915</v>
      </c>
      <c r="AO570" s="6" t="n">
        <v>1.34292609119449</v>
      </c>
      <c r="AP570" s="6" t="n">
        <v>0.131792966997046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1.32467190379239</v>
      </c>
      <c r="AO571" s="6" t="n">
        <v>1.32540246354744</v>
      </c>
      <c r="AP571" s="6" t="n">
        <v>0.128379425229685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1.35090331843048</v>
      </c>
      <c r="AO572" s="6" t="n">
        <v>1.35090331843048</v>
      </c>
      <c r="AP572" s="6" t="n">
        <v>0.135062180505282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1.34892499483372</v>
      </c>
      <c r="AO573" s="6" t="n">
        <v>1.3495836604712</v>
      </c>
      <c r="AP573" s="6" t="n">
        <v>0.132970953711204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1.3344737795385</v>
      </c>
      <c r="AO574" s="6" t="n">
        <v>1.33526001715925</v>
      </c>
      <c r="AP574" s="6" t="n">
        <v>0.130157338625053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1.34509870027501</v>
      </c>
      <c r="AO575" s="6" t="n">
        <v>1.34526796946738</v>
      </c>
      <c r="AP575" s="6" t="n">
        <v>0.133113569638047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1.35597638231785</v>
      </c>
      <c r="AO576" s="6" t="n">
        <v>1.35650506472345</v>
      </c>
      <c r="AP576" s="6" t="n">
        <v>0.136764244500653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1.34483417994837</v>
      </c>
      <c r="AO577" s="6" t="n">
        <v>1.34539614747582</v>
      </c>
      <c r="AP577" s="6" t="n">
        <v>0.132102606986214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1.31908197070809</v>
      </c>
      <c r="AO578" s="6" t="n">
        <v>1.32049892411598</v>
      </c>
      <c r="AP578" s="6" t="n">
        <v>0.126699605266433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1.34343460617206</v>
      </c>
      <c r="AO579" s="6" t="n">
        <v>1.34350747016111</v>
      </c>
      <c r="AP579" s="6" t="n">
        <v>0.132134216547956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1.33992407955849</v>
      </c>
      <c r="AO580" s="6" t="n">
        <v>1.34000732131447</v>
      </c>
      <c r="AP580" s="6" t="n">
        <v>0.131163352358084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1.34178843684783</v>
      </c>
      <c r="AO581" s="6" t="n">
        <v>1.34178843684783</v>
      </c>
      <c r="AP581" s="6" t="n">
        <v>0.132486997225542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1.35173513233206</v>
      </c>
      <c r="AO582" s="6" t="n">
        <v>1.35240832366567</v>
      </c>
      <c r="AP582" s="6" t="n">
        <v>0.133924012559868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1.33567565379582</v>
      </c>
      <c r="AO583" s="6" t="n">
        <v>1.33660704201525</v>
      </c>
      <c r="AP583" s="6" t="n">
        <v>0.130319546800675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1.33478468991637</v>
      </c>
      <c r="AO584" s="6" t="n">
        <v>1.33491688965462</v>
      </c>
      <c r="AP584" s="6" t="n">
        <v>0.130310879281638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1.33846328322165</v>
      </c>
      <c r="AO585" s="6" t="n">
        <v>1.34480531013091</v>
      </c>
      <c r="AP585" s="6" t="n">
        <v>0.134510351515777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1.34863581812514</v>
      </c>
      <c r="AO586" s="6" t="n">
        <v>1.3535492600164</v>
      </c>
      <c r="AP586" s="6" t="n">
        <v>0.137996331951447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1.35733632892702</v>
      </c>
      <c r="AO587" s="6" t="n">
        <v>1.35733632892702</v>
      </c>
      <c r="AP587" s="6" t="n">
        <v>0.135447018880909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1.31548111978124</v>
      </c>
      <c r="AO588" s="6" t="n">
        <v>1.32766676992232</v>
      </c>
      <c r="AP588" s="6" t="n">
        <v>0.132747940634618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1.3450857304912</v>
      </c>
      <c r="AO589" s="6" t="n">
        <v>1.34540823103919</v>
      </c>
      <c r="AP589" s="6" t="n">
        <v>0.132057717524542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1.34009077072088</v>
      </c>
      <c r="AO590" s="6" t="n">
        <v>1.3408354216819</v>
      </c>
      <c r="AP590" s="6" t="n">
        <v>0.131131819790408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1.34777944555653</v>
      </c>
      <c r="AO591" s="6" t="n">
        <v>1.34816297848737</v>
      </c>
      <c r="AP591" s="6" t="n">
        <v>0.132566133440689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1.34675001542832</v>
      </c>
      <c r="AO592" s="6" t="n">
        <v>1.34700923033991</v>
      </c>
      <c r="AP592" s="6" t="n">
        <v>0.13270725087495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1.357842019992</v>
      </c>
      <c r="AO593" s="6" t="n">
        <v>1.35869188194724</v>
      </c>
      <c r="AP593" s="6" t="n">
        <v>0.136567162031821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1.34817594246371</v>
      </c>
      <c r="AO594" s="6" t="n">
        <v>1.34817594246371</v>
      </c>
      <c r="AP594" s="6" t="n">
        <v>0.13472077065627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1.33009294125173</v>
      </c>
      <c r="AO595" s="6" t="n">
        <v>1.33029573532448</v>
      </c>
      <c r="AP595" s="6" t="n">
        <v>0.129763188538219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1.36075057083639</v>
      </c>
      <c r="AO596" s="6" t="n">
        <v>1.36137458266111</v>
      </c>
      <c r="AP596" s="6" t="n">
        <v>0.138564818903657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1.33909186328871</v>
      </c>
      <c r="AO597" s="6" t="n">
        <v>1.33958182879985</v>
      </c>
      <c r="AP597" s="6" t="n">
        <v>0.130979822501606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1.3502419193312</v>
      </c>
      <c r="AO598" s="6" t="n">
        <v>1.3502419193312</v>
      </c>
      <c r="AP598" s="6" t="n">
        <v>0.134648377631936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1.35815154334162</v>
      </c>
      <c r="AO599" s="6" t="n">
        <v>1.35815154334162</v>
      </c>
      <c r="AP599" s="6" t="n">
        <v>0.137264539635536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1.32630003312173</v>
      </c>
      <c r="AO600" s="6" t="n">
        <v>1.32840489057397</v>
      </c>
      <c r="AP600" s="6" t="n">
        <v>0.129406175416452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1.34547467428779</v>
      </c>
      <c r="AO601" s="6" t="n">
        <v>1.34554703678667</v>
      </c>
      <c r="AP601" s="6" t="n">
        <v>0.1323204006668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1.33992071709057</v>
      </c>
      <c r="AO602" s="6" t="n">
        <v>1.34617113840341</v>
      </c>
      <c r="AP602" s="6" t="n">
        <v>0.134319133343535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1.34157391023887</v>
      </c>
      <c r="AO603" s="6" t="n">
        <v>1.34157391023887</v>
      </c>
      <c r="AP603" s="6" t="n">
        <v>0.132251755525404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1.34183650260252</v>
      </c>
      <c r="AO604" s="6" t="n">
        <v>1.34231764521618</v>
      </c>
      <c r="AP604" s="6" t="n">
        <v>0.131415897630583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1.34347745719064</v>
      </c>
      <c r="AO605" s="6" t="n">
        <v>1.34347745719064</v>
      </c>
      <c r="AP605" s="6" t="n">
        <v>0.134596888694729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1.31574963943398</v>
      </c>
      <c r="AO606" s="6" t="n">
        <v>1.32836091992243</v>
      </c>
      <c r="AP606" s="6" t="n">
        <v>0.132581589368183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1.33541860481013</v>
      </c>
      <c r="AO607" s="6" t="n">
        <v>1.33559799285194</v>
      </c>
      <c r="AP607" s="6" t="n">
        <v>0.129875806180389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1.33992211953921</v>
      </c>
      <c r="AO608" s="6" t="n">
        <v>1.34032299474313</v>
      </c>
      <c r="AP608" s="6" t="n">
        <v>0.130938212916733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1.34078778968321</v>
      </c>
      <c r="AO609" s="6" t="n">
        <v>1.34087383052119</v>
      </c>
      <c r="AP609" s="6" t="n">
        <v>0.131343561328334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1.33098218021779</v>
      </c>
      <c r="AO610" s="6" t="n">
        <v>1.3314268420382</v>
      </c>
      <c r="AP610" s="6" t="n">
        <v>0.129860266651329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1.33405834284112</v>
      </c>
      <c r="AO611" s="6" t="n">
        <v>1.33406707033499</v>
      </c>
      <c r="AP611" s="6" t="n">
        <v>0.129771882955765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1.34852106152034</v>
      </c>
      <c r="AO612" s="6" t="n">
        <v>1.34931212693581</v>
      </c>
      <c r="AP612" s="6" t="n">
        <v>0.135915453988156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1.32023130733227</v>
      </c>
      <c r="AO613" s="6" t="n">
        <v>1.32714853495607</v>
      </c>
      <c r="AP613" s="6" t="n">
        <v>0.132420779188865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1.33637820745395</v>
      </c>
      <c r="AO614" s="6" t="n">
        <v>1.3374043505784</v>
      </c>
      <c r="AP614" s="6" t="n">
        <v>0.130455176341359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1.34023441530244</v>
      </c>
      <c r="AO615" s="6" t="n">
        <v>1.34077635431955</v>
      </c>
      <c r="AP615" s="6" t="n">
        <v>0.131371101679073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1.35296436129077</v>
      </c>
      <c r="AO616" s="6" t="n">
        <v>1.3554489014266</v>
      </c>
      <c r="AP616" s="6" t="n">
        <v>0.136007970499072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1.32588902480389</v>
      </c>
      <c r="AO617" s="6" t="n">
        <v>1.3384881343639</v>
      </c>
      <c r="AP617" s="6" t="n">
        <v>0.135863324236946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1.35537536649786</v>
      </c>
      <c r="AO618" s="6" t="n">
        <v>1.35588358919272</v>
      </c>
      <c r="AP618" s="6" t="n">
        <v>0.138326577095488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1.33388158724959</v>
      </c>
      <c r="AO619" s="6" t="n">
        <v>1.33933810029058</v>
      </c>
      <c r="AP619" s="6" t="n">
        <v>0.13243989942632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1.3457353591295</v>
      </c>
      <c r="AO620" s="6" t="n">
        <v>1.34595546617672</v>
      </c>
      <c r="AP620" s="6" t="n">
        <v>0.132135331227456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1.33370936889083</v>
      </c>
      <c r="AO621" s="6" t="n">
        <v>1.33384033555495</v>
      </c>
      <c r="AP621" s="6" t="n">
        <v>0.130195642124952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1.34963032486556</v>
      </c>
      <c r="AO622" s="6" t="n">
        <v>1.34993006702176</v>
      </c>
      <c r="AP622" s="6" t="n">
        <v>0.133028632043604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1.33379037678583</v>
      </c>
      <c r="AO623" s="6" t="n">
        <v>1.33518141766562</v>
      </c>
      <c r="AP623" s="6" t="n">
        <v>0.130033238404361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1.33864977993889</v>
      </c>
      <c r="AO624" s="6" t="n">
        <v>1.3388851607816</v>
      </c>
      <c r="AP624" s="6" t="n">
        <v>0.131408222402972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1.31830195101491</v>
      </c>
      <c r="AO625" s="6" t="n">
        <v>1.31903008523675</v>
      </c>
      <c r="AP625" s="6" t="n">
        <v>0.127729612069319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1.32831255262596</v>
      </c>
      <c r="AO626" s="6" t="n">
        <v>1.32836545406173</v>
      </c>
      <c r="AP626" s="6" t="n">
        <v>0.12942704382478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1.31467406291768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1.33929719112875</v>
      </c>
      <c r="AO628" s="6" t="n">
        <v>1.33965261863965</v>
      </c>
      <c r="AP628" s="6" t="n">
        <v>0.131356818436006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1.34523819675478</v>
      </c>
      <c r="AO629" s="6" t="n">
        <v>1.3456800852404</v>
      </c>
      <c r="AP629" s="6" t="n">
        <v>0.132142081993834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1.34429177739058</v>
      </c>
      <c r="AO630" s="6" t="n">
        <v>1.3455420181363</v>
      </c>
      <c r="AP630" s="6" t="n">
        <v>0.132773956813346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1.34187206213192</v>
      </c>
      <c r="AO631" s="6" t="n">
        <v>1.34569461131698</v>
      </c>
      <c r="AP631" s="6" t="n">
        <v>0.132956739507986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1.35855564379289</v>
      </c>
      <c r="AO632" s="6" t="n">
        <v>1.35855564379289</v>
      </c>
      <c r="AP632" s="6" t="n">
        <v>0.141244067652894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1.35347990811084</v>
      </c>
      <c r="AO633" s="6" t="n">
        <v>1.35357575413547</v>
      </c>
      <c r="AP633" s="6" t="n">
        <v>0.13469163439398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1.34674508480431</v>
      </c>
      <c r="AO634" s="6" t="n">
        <v>1.34717415674</v>
      </c>
      <c r="AP634" s="6" t="n">
        <v>0.132966057358224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1.35083723971294</v>
      </c>
      <c r="AO635" s="6" t="n">
        <v>1.3512612398652</v>
      </c>
      <c r="AP635" s="6" t="n">
        <v>0.133667030442102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1.34794171274874</v>
      </c>
      <c r="AO636" s="6" t="n">
        <v>1.34816466803399</v>
      </c>
      <c r="AP636" s="6" t="n">
        <v>0.132947697134575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1.30248176022601</v>
      </c>
      <c r="AO637" s="6" t="n">
        <v>1.31165716791374</v>
      </c>
      <c r="AP637" s="6" t="n">
        <v>0.132143067740018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1.35595936840946</v>
      </c>
      <c r="AO638" s="6" t="n">
        <v>1.35595936840946</v>
      </c>
      <c r="AP638" s="6" t="n">
        <v>0.141835421421616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1.35211511736343</v>
      </c>
      <c r="AO639" s="6" t="n">
        <v>1.35225294654342</v>
      </c>
      <c r="AP639" s="6" t="n">
        <v>0.133939717859265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1.3090749293439</v>
      </c>
      <c r="AO640" s="6" t="n">
        <v>1.31472101317822</v>
      </c>
      <c r="AP640" s="6" t="n">
        <v>0.131501806826721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1.35197444551231</v>
      </c>
      <c r="AO641" s="6" t="n">
        <v>1.35207399134535</v>
      </c>
      <c r="AP641" s="6" t="n">
        <v>0.134067683288384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1.33666956860058</v>
      </c>
      <c r="AO642" s="6" t="n">
        <v>1.33689609686565</v>
      </c>
      <c r="AP642" s="6" t="n">
        <v>0.130717631122533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1.3480464527421</v>
      </c>
      <c r="AO643" s="6" t="n">
        <v>1.3480464527421</v>
      </c>
      <c r="AP643" s="6" t="n">
        <v>0.13398485623175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1.34837827536664</v>
      </c>
      <c r="AO644" s="6" t="n">
        <v>1.34868918138248</v>
      </c>
      <c r="AP644" s="6" t="n">
        <v>0.132368237414273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1.33095318383902</v>
      </c>
      <c r="AO645" s="6" t="n">
        <v>1.33129209415767</v>
      </c>
      <c r="AP645" s="6" t="n">
        <v>0.129105733017965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1.3379653586276</v>
      </c>
      <c r="AO646" s="6" t="n">
        <v>1.34447932005406</v>
      </c>
      <c r="AP646" s="6" t="n">
        <v>0.134525527064819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1.33551519898157</v>
      </c>
      <c r="AO647" s="6" t="n">
        <v>1.33578092685707</v>
      </c>
      <c r="AP647" s="6" t="n">
        <v>0.130292661221111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1.32356841292581</v>
      </c>
      <c r="AO648" s="6" t="n">
        <v>1.33241193378209</v>
      </c>
      <c r="AP648" s="6" t="n">
        <v>0.13197435150024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1.33564965608811</v>
      </c>
      <c r="AO649" s="6" t="n">
        <v>1.33656714671631</v>
      </c>
      <c r="AP649" s="6" t="n">
        <v>0.130785748065995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1.35021281779749</v>
      </c>
      <c r="AO650" s="6" t="n">
        <v>1.35021834637055</v>
      </c>
      <c r="AP650" s="6" t="n">
        <v>0.13287243174003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1.352719224656</v>
      </c>
      <c r="AO651" s="6" t="n">
        <v>1.352719224656</v>
      </c>
      <c r="AP651" s="6" t="n">
        <v>0.133652672703307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1.35033660909302</v>
      </c>
      <c r="AO652" s="6" t="n">
        <v>1.35056113841633</v>
      </c>
      <c r="AP652" s="6" t="n">
        <v>0.132504049037194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1.31837834628625</v>
      </c>
      <c r="AO653" s="6" t="n">
        <v>1.3266124590789</v>
      </c>
      <c r="AP653" s="6" t="n">
        <v>0.132892757058711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1.30392558616232</v>
      </c>
      <c r="AO654" s="6" t="n">
        <v>1.30975764592906</v>
      </c>
      <c r="AP654" s="6" t="n">
        <v>0.132082377591301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1.35507800699208</v>
      </c>
      <c r="AO655" s="6" t="n">
        <v>1.35556037939131</v>
      </c>
      <c r="AP655" s="6" t="n">
        <v>0.135965982293551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1.35116544730114</v>
      </c>
      <c r="AO656" s="6" t="n">
        <v>1.35149559234247</v>
      </c>
      <c r="AP656" s="6" t="n">
        <v>0.13456605750053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1.32198561001931</v>
      </c>
      <c r="AO657" s="6" t="n">
        <v>1.32246102555485</v>
      </c>
      <c r="AP657" s="6" t="n">
        <v>0.129036189859035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1.33244373778487</v>
      </c>
      <c r="AO658" s="6" t="n">
        <v>1.33919983874931</v>
      </c>
      <c r="AP658" s="6" t="n">
        <v>0.13283739415896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1.33823167234108</v>
      </c>
      <c r="AO659" s="6" t="n">
        <v>1.33869058149555</v>
      </c>
      <c r="AP659" s="6" t="n">
        <v>0.131092951385024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1.32911723301018</v>
      </c>
      <c r="AO660" s="6" t="n">
        <v>1.32923858249241</v>
      </c>
      <c r="AP660" s="6" t="n">
        <v>0.129100741635916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1.32853016380286</v>
      </c>
      <c r="AO661" s="6" t="n">
        <v>1.32868080425032</v>
      </c>
      <c r="AP661" s="6" t="n">
        <v>0.129096132274201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1.34799492133706</v>
      </c>
      <c r="AO662" s="6" t="n">
        <v>1.34874160997484</v>
      </c>
      <c r="AP662" s="6" t="n">
        <v>0.13344024056002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1.34540761351368</v>
      </c>
      <c r="AO663" s="6" t="n">
        <v>1.34626562177263</v>
      </c>
      <c r="AP663" s="6" t="n">
        <v>0.132484471527279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1.32628753460369</v>
      </c>
      <c r="AO664" s="6" t="n">
        <v>1.32640225151774</v>
      </c>
      <c r="AP664" s="6" t="n">
        <v>0.128928969228944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1.33524463376491</v>
      </c>
      <c r="AO665" s="6" t="n">
        <v>1.33546359131995</v>
      </c>
      <c r="AP665" s="6" t="n">
        <v>0.130503191543074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1.35127703231262</v>
      </c>
      <c r="AO666" s="6" t="n">
        <v>1.35127703231262</v>
      </c>
      <c r="AP666" s="6" t="n">
        <v>0.133621174208712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1.26883035415477</v>
      </c>
      <c r="AO667" s="6" t="n">
        <v>1.27374806145275</v>
      </c>
      <c r="AP667" s="6" t="n">
        <v>0.128202670792504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1.35486658597016</v>
      </c>
      <c r="AO668" s="6" t="n">
        <v>1.35486658597016</v>
      </c>
      <c r="AP668" s="6" t="n">
        <v>0.136967275471808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1.34704544381253</v>
      </c>
      <c r="AO669" s="6" t="n">
        <v>1.34968459779165</v>
      </c>
      <c r="AP669" s="6" t="n">
        <v>0.134240547079484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1.34048303012047</v>
      </c>
      <c r="AO670" s="6" t="n">
        <v>1.34106100834554</v>
      </c>
      <c r="AP670" s="6" t="n">
        <v>0.131904319225168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1.34351490939161</v>
      </c>
      <c r="AO671" s="6" t="n">
        <v>1.34351490939161</v>
      </c>
      <c r="AP671" s="6" t="n">
        <v>0.133828623112078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1.36473320068525</v>
      </c>
      <c r="AO672" s="6" t="n">
        <v>1.36473320068525</v>
      </c>
      <c r="AP672" s="6" t="n">
        <v>0.141338562947768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1.31848586987181</v>
      </c>
      <c r="AO673" s="6" t="n">
        <v>1.32634601073153</v>
      </c>
      <c r="AP673" s="6" t="n">
        <v>0.132727482273933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1.35436159827216</v>
      </c>
      <c r="AO674" s="6" t="n">
        <v>1.35454834592345</v>
      </c>
      <c r="AP674" s="6" t="n">
        <v>0.1354381514053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1.3202646854636</v>
      </c>
      <c r="AO675" s="6" t="n">
        <v>1.32174433435179</v>
      </c>
      <c r="AP675" s="6" t="n">
        <v>0.129749636051467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1.33872099891363</v>
      </c>
      <c r="AO676" s="6" t="n">
        <v>1.3453731376363</v>
      </c>
      <c r="AP676" s="6" t="n">
        <v>0.134612411777818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1.34794317919031</v>
      </c>
      <c r="AO677" s="6" t="n">
        <v>1.34825013870682</v>
      </c>
      <c r="AP677" s="6" t="n">
        <v>0.132952124373088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1.35372041080512</v>
      </c>
      <c r="AO678" s="6" t="n">
        <v>1.35406823418312</v>
      </c>
      <c r="AP678" s="6" t="n">
        <v>0.13397491095687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1.32900397379796</v>
      </c>
      <c r="AO679" s="6" t="n">
        <v>1.32988776966696</v>
      </c>
      <c r="AP679" s="6" t="n">
        <v>0.129536100402955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1.34483899951011</v>
      </c>
      <c r="AO680" s="6" t="n">
        <v>1.34658572022293</v>
      </c>
      <c r="AP680" s="6" t="n">
        <v>0.131856914355693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1.33192454730344</v>
      </c>
      <c r="AO681" s="6" t="n">
        <v>1.33229973496504</v>
      </c>
      <c r="AP681" s="6" t="n">
        <v>0.129743944567346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1.3526574841585</v>
      </c>
      <c r="AO682" s="6" t="n">
        <v>1.3526574841585</v>
      </c>
      <c r="AP682" s="6" t="n">
        <v>0.136270138473814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1.35276682729901</v>
      </c>
      <c r="AO683" s="6" t="n">
        <v>1.35516779399841</v>
      </c>
      <c r="AP683" s="6" t="n">
        <v>0.134760496341826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1.35591634119296</v>
      </c>
      <c r="AO684" s="6" t="n">
        <v>1.35591634119296</v>
      </c>
      <c r="AP684" s="6" t="n">
        <v>0.136621036694898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1.35920785387798</v>
      </c>
      <c r="AO685" s="6" t="n">
        <v>1.35920785387798</v>
      </c>
      <c r="AP685" s="6" t="n">
        <v>0.143345938209039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1.33364714965296</v>
      </c>
      <c r="AO686" s="6" t="n">
        <v>1.33696806999331</v>
      </c>
      <c r="AP686" s="6" t="n">
        <v>0.130528872190443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1.3179255269323</v>
      </c>
      <c r="AO687" s="6" t="n">
        <v>1.31879949356868</v>
      </c>
      <c r="AP687" s="6" t="n">
        <v>0.126723438348234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1.34520949286885</v>
      </c>
      <c r="AO688" s="6" t="n">
        <v>1.3455932716611</v>
      </c>
      <c r="AP688" s="6" t="n">
        <v>0.132244936990601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1.34844899211489</v>
      </c>
      <c r="AO689" s="6" t="n">
        <v>1.3515692249129</v>
      </c>
      <c r="AP689" s="6" t="n">
        <v>0.134082492922426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1.33814758623265</v>
      </c>
      <c r="AO690" s="6" t="n">
        <v>1.3447134570154</v>
      </c>
      <c r="AP690" s="6" t="n">
        <v>0.134106596794636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1.32946527560093</v>
      </c>
      <c r="AO691" s="6" t="n">
        <v>1.33478228197647</v>
      </c>
      <c r="AP691" s="6" t="n">
        <v>0.132496430520248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1.33579396552955</v>
      </c>
      <c r="AO692" s="6" t="n">
        <v>1.33780927104337</v>
      </c>
      <c r="AP692" s="6" t="n">
        <v>0.129730305322326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1.34763732165083</v>
      </c>
      <c r="AO693" s="6" t="n">
        <v>1.34792486761647</v>
      </c>
      <c r="AP693" s="6" t="n">
        <v>0.132187696650628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1.33005546270256</v>
      </c>
      <c r="AO694" s="6" t="n">
        <v>1.33070663168984</v>
      </c>
      <c r="AP694" s="6" t="n">
        <v>0.129549309628516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1.3435725978716</v>
      </c>
      <c r="AO695" s="6" t="n">
        <v>1.34400324202475</v>
      </c>
      <c r="AP695" s="6" t="n">
        <v>0.132282439498249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1.32223465577974</v>
      </c>
      <c r="AO696" s="6" t="n">
        <v>1.32408827065556</v>
      </c>
      <c r="AP696" s="6" t="n">
        <v>0.131774913865767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1.33670987260553</v>
      </c>
      <c r="AO697" s="6" t="n">
        <v>1.34609672689887</v>
      </c>
      <c r="AP697" s="6" t="n">
        <v>0.134751396087436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1.3249871769786</v>
      </c>
      <c r="AO698" s="6" t="n">
        <v>1.32592872183196</v>
      </c>
      <c r="AP698" s="6" t="n">
        <v>0.128426100970719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1.32981275497489</v>
      </c>
      <c r="AO699" s="6" t="n">
        <v>1.3406137413914</v>
      </c>
      <c r="AP699" s="6" t="n">
        <v>0.134585730355829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1.35131669323524</v>
      </c>
      <c r="AO700" s="6" t="n">
        <v>1.35131669323524</v>
      </c>
      <c r="AP700" s="6" t="n">
        <v>0.135837406175702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1.31487467515713</v>
      </c>
      <c r="AO701" s="6" t="n">
        <v>1.32276008442941</v>
      </c>
      <c r="AP701" s="6" t="n">
        <v>0.129553248083482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1.35324964362551</v>
      </c>
      <c r="AO702" s="6" t="n">
        <v>1.35364094671311</v>
      </c>
      <c r="AP702" s="6" t="n">
        <v>0.134950551966941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1.33666109176552</v>
      </c>
      <c r="AO703" s="6" t="n">
        <v>1.3401437547793</v>
      </c>
      <c r="AP703" s="6" t="n">
        <v>0.131271005718889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1.31699265001983</v>
      </c>
      <c r="AO704" s="6" t="n">
        <v>1.32448782349907</v>
      </c>
      <c r="AP704" s="6" t="n">
        <v>0.132499252381146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1.35354892371109</v>
      </c>
      <c r="AO705" s="6" t="n">
        <v>1.35363307270903</v>
      </c>
      <c r="AP705" s="6" t="n">
        <v>0.134732527139338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1.32826948843925</v>
      </c>
      <c r="AO706" s="6" t="n">
        <v>1.32879850102252</v>
      </c>
      <c r="AP706" s="6" t="n">
        <v>0.128821600071548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1.34540227415788</v>
      </c>
      <c r="AO707" s="6" t="n">
        <v>1.34585905554209</v>
      </c>
      <c r="AP707" s="6" t="n">
        <v>0.132029608715861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1.34131712335908</v>
      </c>
      <c r="AO708" s="6" t="n">
        <v>1.3415367521657</v>
      </c>
      <c r="AP708" s="6" t="n">
        <v>0.131517440797622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1.33397893584815</v>
      </c>
      <c r="AO709" s="6" t="n">
        <v>1.33397893584815</v>
      </c>
      <c r="AP709" s="6" t="n">
        <v>0.13239555729128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1.33485429921454</v>
      </c>
      <c r="AO710" s="6" t="n">
        <v>1.33508048600518</v>
      </c>
      <c r="AP710" s="6" t="n">
        <v>0.130550482090149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1.33448392369469</v>
      </c>
      <c r="AO711" s="6" t="n">
        <v>1.33534798096233</v>
      </c>
      <c r="AP711" s="6" t="n">
        <v>0.130568778085625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1.33503187006327</v>
      </c>
      <c r="AO712" s="6" t="n">
        <v>1.33531522854455</v>
      </c>
      <c r="AP712" s="6" t="n">
        <v>0.129634206815259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1.33878997589849</v>
      </c>
      <c r="AO713" s="6" t="n">
        <v>1.33995635205289</v>
      </c>
      <c r="AP713" s="6" t="n">
        <v>0.130861374533185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1.34432256016151</v>
      </c>
      <c r="AO714" s="6" t="n">
        <v>1.34454456255926</v>
      </c>
      <c r="AP714" s="6" t="n">
        <v>0.131648879184603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1.35033614843217</v>
      </c>
      <c r="AO715" s="6" t="n">
        <v>1.35069686888231</v>
      </c>
      <c r="AP715" s="6" t="n">
        <v>0.133361526927571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1.31803490018159</v>
      </c>
      <c r="AO716" s="6" t="n">
        <v>1.31900036000075</v>
      </c>
      <c r="AP716" s="6" t="n">
        <v>0.127923625519738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1.33856599812892</v>
      </c>
      <c r="AO717" s="6" t="n">
        <v>1.33886054929333</v>
      </c>
      <c r="AP717" s="6" t="n">
        <v>0.130438831462177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1.32774002154937</v>
      </c>
      <c r="AO718" s="6" t="n">
        <v>1.32786212976106</v>
      </c>
      <c r="AP718" s="6" t="n">
        <v>0.129352951370852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1.32856231360508</v>
      </c>
      <c r="AO719" s="6" t="n">
        <v>1.33051489369069</v>
      </c>
      <c r="AP719" s="6" t="n">
        <v>0.133397092649094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1.32808778300905</v>
      </c>
      <c r="AO720" s="6" t="n">
        <v>1.33042560303632</v>
      </c>
      <c r="AP720" s="6" t="n">
        <v>0.129086129571663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1.29806049235414</v>
      </c>
      <c r="AO721" s="6" t="n">
        <v>1.29806049235414</v>
      </c>
      <c r="AP721" s="6" t="n">
        <v>0.13181536882127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1.35771875734661</v>
      </c>
      <c r="AO722" s="6" t="n">
        <v>1.35771875734661</v>
      </c>
      <c r="AP722" s="6" t="n">
        <v>0.137046818989153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1.33432687788129</v>
      </c>
      <c r="AO723" s="6" t="n">
        <v>1.33479726287423</v>
      </c>
      <c r="AP723" s="6" t="n">
        <v>0.129794528790993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1.34558363656798</v>
      </c>
      <c r="AO724" s="6" t="n">
        <v>1.34616021288645</v>
      </c>
      <c r="AP724" s="6" t="n">
        <v>0.131206610653278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1.325331002714</v>
      </c>
      <c r="AO725" s="6" t="n">
        <v>1.33846643276501</v>
      </c>
      <c r="AP725" s="6" t="n">
        <v>0.134640744850525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1.32151812761886</v>
      </c>
      <c r="AO726" s="6" t="n">
        <v>1.32242790789661</v>
      </c>
      <c r="AP726" s="6" t="n">
        <v>0.126950064043191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1.35371655269429</v>
      </c>
      <c r="AO727" s="6" t="n">
        <v>1.35371655269429</v>
      </c>
      <c r="AP727" s="6" t="n">
        <v>0.136464727435436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1.35117583146605</v>
      </c>
      <c r="AO728" s="6" t="n">
        <v>1.35117583146605</v>
      </c>
      <c r="AP728" s="6" t="n">
        <v>0.136165961350324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1.344101460374</v>
      </c>
      <c r="AO729" s="6" t="n">
        <v>1.34414200218652</v>
      </c>
      <c r="AP729" s="6" t="n">
        <v>0.131758561979145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1.34294228831547</v>
      </c>
      <c r="AO730" s="6" t="n">
        <v>1.34411815435535</v>
      </c>
      <c r="AP730" s="6" t="n">
        <v>0.132239961512716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1.32895537669088</v>
      </c>
      <c r="AO731" s="6" t="n">
        <v>1.33833157117778</v>
      </c>
      <c r="AP731" s="6" t="n">
        <v>0.134300895616097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1.34820489456996</v>
      </c>
      <c r="AO732" s="6" t="n">
        <v>1.34853173850318</v>
      </c>
      <c r="AP732" s="6" t="n">
        <v>0.133242686348391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1.34808999876144</v>
      </c>
      <c r="AO733" s="6" t="n">
        <v>1.3494275195398</v>
      </c>
      <c r="AP733" s="6" t="n">
        <v>0.132509046187465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1.35195890513669</v>
      </c>
      <c r="AO734" s="6" t="n">
        <v>1.35195890513669</v>
      </c>
      <c r="AP734" s="6" t="n">
        <v>0.13524630589889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1.3510189345105</v>
      </c>
      <c r="AO735" s="6" t="n">
        <v>1.3510189345105</v>
      </c>
      <c r="AP735" s="6" t="n">
        <v>0.134384247772457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1.35711122417487</v>
      </c>
      <c r="AO736" s="6" t="n">
        <v>1.35711122417487</v>
      </c>
      <c r="AP736" s="6" t="n">
        <v>0.138482245323164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1.32779185643907</v>
      </c>
      <c r="AO737" s="6" t="n">
        <v>1.33565840023607</v>
      </c>
      <c r="AP737" s="6" t="n">
        <v>0.133240775736435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1.35863408279587</v>
      </c>
      <c r="AO738" s="6" t="n">
        <v>1.35863408279587</v>
      </c>
      <c r="AP738" s="6" t="n">
        <v>0.140553913904257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1.35330223639156</v>
      </c>
      <c r="AO739" s="6" t="n">
        <v>1.35473765991042</v>
      </c>
      <c r="AP739" s="6" t="n">
        <v>0.135707980809503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1.33887756946268</v>
      </c>
      <c r="AO740" s="6" t="n">
        <v>1.33938031049619</v>
      </c>
      <c r="AP740" s="6" t="n">
        <v>0.130614979206381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1.34084826824807</v>
      </c>
      <c r="AO741" s="6" t="n">
        <v>1.34133571883356</v>
      </c>
      <c r="AP741" s="6" t="n">
        <v>0.130362010238355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1.33948739582637</v>
      </c>
      <c r="AO742" s="6" t="n">
        <v>1.33954232099629</v>
      </c>
      <c r="AP742" s="6" t="n">
        <v>0.130739766834704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1.35242483710978</v>
      </c>
      <c r="AO743" s="6" t="n">
        <v>1.35317541357033</v>
      </c>
      <c r="AP743" s="6" t="n">
        <v>0.133917140101082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1.34333529590503</v>
      </c>
      <c r="AO744" s="6" t="n">
        <v>1.34358739051751</v>
      </c>
      <c r="AP744" s="6" t="n">
        <v>0.131557513781798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1.33639330433019</v>
      </c>
      <c r="AO745" s="6" t="n">
        <v>1.34033705908906</v>
      </c>
      <c r="AP745" s="6" t="n">
        <v>0.131869774331575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1.33104198172534</v>
      </c>
      <c r="AO746" s="6" t="n">
        <v>1.33212364838977</v>
      </c>
      <c r="AP746" s="6" t="n">
        <v>0.129505796677397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1.3431533678608</v>
      </c>
      <c r="AO747" s="6" t="n">
        <v>1.34343311191373</v>
      </c>
      <c r="AP747" s="6" t="n">
        <v>0.131437987962952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1.34106206197037</v>
      </c>
      <c r="AO748" s="6" t="n">
        <v>1.34160159753935</v>
      </c>
      <c r="AP748" s="6" t="n">
        <v>0.131585940511994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1.34292221362934</v>
      </c>
      <c r="AO749" s="6" t="n">
        <v>1.3440499984666</v>
      </c>
      <c r="AP749" s="6" t="n">
        <v>0.132266325695429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1.34721336050739</v>
      </c>
      <c r="AO750" s="6" t="n">
        <v>1.34763832567189</v>
      </c>
      <c r="AP750" s="6" t="n">
        <v>0.132443394902863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1.34948283153918</v>
      </c>
      <c r="AO751" s="6" t="n">
        <v>1.34948283153918</v>
      </c>
      <c r="AP751" s="6" t="n">
        <v>0.136440839930477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1.33976305277596</v>
      </c>
      <c r="AO752" s="6" t="n">
        <v>1.34055727361442</v>
      </c>
      <c r="AP752" s="6" t="n">
        <v>0.130270364282146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1.35242631178646</v>
      </c>
      <c r="AO753" s="6" t="n">
        <v>1.35341831774012</v>
      </c>
      <c r="AP753" s="6" t="n">
        <v>0.133258357091498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1.32770073035394</v>
      </c>
      <c r="AO754" s="6" t="n">
        <v>1.32925831425865</v>
      </c>
      <c r="AP754" s="6" t="n">
        <v>0.128347136158046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1.35846799626013</v>
      </c>
      <c r="AO755" s="6" t="n">
        <v>1.35846799626013</v>
      </c>
      <c r="AP755" s="6" t="n">
        <v>0.143084595551007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1.35226733732236</v>
      </c>
      <c r="AO756" s="6" t="n">
        <v>1.35226733732236</v>
      </c>
      <c r="AP756" s="6" t="n">
        <v>0.137473194189019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1.31101887758255</v>
      </c>
      <c r="AO757" s="6" t="n">
        <v>1.31551160915073</v>
      </c>
      <c r="AP757" s="6" t="n">
        <v>0.128570203116349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1.35491837268909</v>
      </c>
      <c r="AO758" s="6" t="n">
        <v>1.35666652620183</v>
      </c>
      <c r="AP758" s="6" t="n">
        <v>0.138286154994492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1.34601184629869</v>
      </c>
      <c r="AO759" s="6" t="n">
        <v>1.3465055580395</v>
      </c>
      <c r="AP759" s="6" t="n">
        <v>0.132793394426521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1.3445517756447</v>
      </c>
      <c r="AO760" s="6" t="n">
        <v>1.34554810413608</v>
      </c>
      <c r="AP760" s="6" t="n">
        <v>0.132693316765373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1.3422722988789</v>
      </c>
      <c r="AO761" s="6" t="n">
        <v>1.34730831251408</v>
      </c>
      <c r="AP761" s="6" t="n">
        <v>0.134236000138599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1.33161800967303</v>
      </c>
      <c r="AO762" s="6" t="n">
        <v>1.33551212423983</v>
      </c>
      <c r="AP762" s="6" t="n">
        <v>0.131411035750135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1.31912092882692</v>
      </c>
      <c r="AO763" s="6" t="n">
        <v>1.32953683727534</v>
      </c>
      <c r="AP763" s="6" t="n">
        <v>0.134532655877398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1.30060883216472</v>
      </c>
      <c r="AO764" s="6" t="n">
        <v>1.30390613386891</v>
      </c>
      <c r="AP764" s="6" t="n">
        <v>0.128548299682635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1.31563043176247</v>
      </c>
      <c r="AO765" s="6" t="n">
        <v>1.32335470289771</v>
      </c>
      <c r="AP765" s="6" t="n">
        <v>0.12920222398312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1.3416695530838</v>
      </c>
      <c r="AO766" s="6" t="n">
        <v>1.34188675039426</v>
      </c>
      <c r="AP766" s="6" t="n">
        <v>0.131260733699576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1.34988876419512</v>
      </c>
      <c r="AO767" s="6" t="n">
        <v>1.34988876419512</v>
      </c>
      <c r="AP767" s="6" t="n">
        <v>0.135031035998686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1.34328337170501</v>
      </c>
      <c r="AO768" s="6" t="n">
        <v>1.34335495708986</v>
      </c>
      <c r="AP768" s="6" t="n">
        <v>0.131349526474472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1.33157338079736</v>
      </c>
      <c r="AO769" s="6" t="n">
        <v>1.33580375164928</v>
      </c>
      <c r="AP769" s="6" t="n">
        <v>0.131519474505381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1.34936456884439</v>
      </c>
      <c r="AO770" s="6" t="n">
        <v>1.34975040984958</v>
      </c>
      <c r="AP770" s="6" t="n">
        <v>0.133553502510675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1.34427624792973</v>
      </c>
      <c r="AO771" s="6" t="n">
        <v>1.34470525925304</v>
      </c>
      <c r="AP771" s="6" t="n">
        <v>0.13174525685809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1.34492615514887</v>
      </c>
      <c r="AO772" s="6" t="n">
        <v>1.34524823644258</v>
      </c>
      <c r="AP772" s="6" t="n">
        <v>0.132065675747232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1.34601989852264</v>
      </c>
      <c r="AO773" s="6" t="n">
        <v>1.34644683064298</v>
      </c>
      <c r="AP773" s="6" t="n">
        <v>0.13173542159702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1.35680754801</v>
      </c>
      <c r="AO774" s="6" t="n">
        <v>1.35733336713921</v>
      </c>
      <c r="AP774" s="6" t="n">
        <v>0.135703113427658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1.33714921980643</v>
      </c>
      <c r="AO775" s="6" t="n">
        <v>1.33831650883501</v>
      </c>
      <c r="AP775" s="6" t="n">
        <v>0.130858087617044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1.35642136136556</v>
      </c>
      <c r="AO776" s="6" t="n">
        <v>1.35731874113376</v>
      </c>
      <c r="AP776" s="6" t="n">
        <v>0.135564142520161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1.34118826328176</v>
      </c>
      <c r="AO777" s="6" t="n">
        <v>1.34292314506189</v>
      </c>
      <c r="AP777" s="6" t="n">
        <v>0.131439000123616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1.33184589487005</v>
      </c>
      <c r="AO778" s="6" t="n">
        <v>1.33222033035738</v>
      </c>
      <c r="AP778" s="6" t="n">
        <v>0.129881308530981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1.35088980625372</v>
      </c>
      <c r="AO779" s="6" t="n">
        <v>1.35088980625372</v>
      </c>
      <c r="AP779" s="6" t="n">
        <v>0.135087863054085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1.33472980710816</v>
      </c>
      <c r="AO780" s="6" t="n">
        <v>1.33477718054963</v>
      </c>
      <c r="AP780" s="6" t="n">
        <v>0.130736547872891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1.29497905472462</v>
      </c>
      <c r="AO781" s="6" t="n">
        <v>1.30157659395666</v>
      </c>
      <c r="AP781" s="6" t="n">
        <v>0.126981304174517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1.31190787060172</v>
      </c>
      <c r="AO782" s="6" t="n">
        <v>1.32282491405123</v>
      </c>
      <c r="AP782" s="6" t="n">
        <v>0.130609003556275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1.33711370712773</v>
      </c>
      <c r="AO783" s="6" t="n">
        <v>1.33717084322448</v>
      </c>
      <c r="AP783" s="6" t="n">
        <v>0.130620781273234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1.30528505549341</v>
      </c>
      <c r="AO784" s="6" t="n">
        <v>1.30900039740807</v>
      </c>
      <c r="AP784" s="6" t="n">
        <v>0.130938362788976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1.33282762065988</v>
      </c>
      <c r="AO785" s="6" t="n">
        <v>1.33592405656147</v>
      </c>
      <c r="AP785" s="6" t="n">
        <v>0.130636463745825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1.32818832526572</v>
      </c>
      <c r="AO786" s="6" t="n">
        <v>1.32838443739092</v>
      </c>
      <c r="AP786" s="6" t="n">
        <v>0.129282036249462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1.32367244787136</v>
      </c>
      <c r="AO787" s="6" t="n">
        <v>1.32423589832166</v>
      </c>
      <c r="AP787" s="6" t="n">
        <v>0.127854394723675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1.35604764632707</v>
      </c>
      <c r="AO788" s="6" t="n">
        <v>1.35604764632707</v>
      </c>
      <c r="AP788" s="6" t="n">
        <v>0.137872261005756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1.34440106500143</v>
      </c>
      <c r="AO789" s="6" t="n">
        <v>1.34440106500143</v>
      </c>
      <c r="AP789" s="6" t="n">
        <v>0.133008915327285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1.30784578487911</v>
      </c>
      <c r="AO790" s="6" t="n">
        <v>1.3195584328439</v>
      </c>
      <c r="AP790" s="6" t="n">
        <v>0.130009082405411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1.33033316640138</v>
      </c>
      <c r="AO791" s="6" t="n">
        <v>1.33171557792767</v>
      </c>
      <c r="AP791" s="6" t="n">
        <v>0.12964729232763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1.3470324215889</v>
      </c>
      <c r="AO792" s="6" t="n">
        <v>1.34713892136168</v>
      </c>
      <c r="AP792" s="6" t="n">
        <v>0.131975730381278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1.33659053476428</v>
      </c>
      <c r="AO793" s="6" t="n">
        <v>1.33897346814409</v>
      </c>
      <c r="AP793" s="6" t="n">
        <v>0.130869155939684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1.33746094036013</v>
      </c>
      <c r="AO794" s="6" t="n">
        <v>1.34054255212134</v>
      </c>
      <c r="AP794" s="6" t="n">
        <v>0.13149203198702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1.34189151856579</v>
      </c>
      <c r="AO795" s="6" t="n">
        <v>1.34270112497229</v>
      </c>
      <c r="AP795" s="6" t="n">
        <v>0.131560754858781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1.34438906238834</v>
      </c>
      <c r="AO796" s="6" t="n">
        <v>1.34438906238834</v>
      </c>
      <c r="AP796" s="6" t="n">
        <v>0.134386805459988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1.35362857550596</v>
      </c>
      <c r="AO797" s="6" t="n">
        <v>1.35362857550596</v>
      </c>
      <c r="AP797" s="6" t="n">
        <v>0.13631030379028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1.3247358575232</v>
      </c>
      <c r="AO798" s="6" t="n">
        <v>1.32761854186443</v>
      </c>
      <c r="AP798" s="6" t="n">
        <v>0.130901644283335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1.33581227579518</v>
      </c>
      <c r="AO799" s="6" t="n">
        <v>1.33616088610694</v>
      </c>
      <c r="AP799" s="6" t="n">
        <v>0.13109475984816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1.34815584741347</v>
      </c>
      <c r="AO800" s="6" t="n">
        <v>1.35169424064614</v>
      </c>
      <c r="AP800" s="6" t="n">
        <v>0.135355337219674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1.33761747155999</v>
      </c>
      <c r="AO801" s="6" t="n">
        <v>1.33799240191072</v>
      </c>
      <c r="AP801" s="6" t="n">
        <v>0.130416771716252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1.33901755778722</v>
      </c>
      <c r="AO802" s="6" t="n">
        <v>1.34254442952664</v>
      </c>
      <c r="AP802" s="6" t="n">
        <v>0.132803272116754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1.3401638248379</v>
      </c>
      <c r="AO803" s="6" t="n">
        <v>1.34924964757632</v>
      </c>
      <c r="AP803" s="6" t="n">
        <v>0.136895892152443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1.33107103081104</v>
      </c>
      <c r="AO804" s="6" t="n">
        <v>1.33762656448305</v>
      </c>
      <c r="AP804" s="6" t="n">
        <v>0.133842884529305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1.33503172052204</v>
      </c>
      <c r="AO805" s="6" t="n">
        <v>1.33622727398182</v>
      </c>
      <c r="AP805" s="6" t="n">
        <v>0.129724054899509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1.34239547505937</v>
      </c>
      <c r="AO806" s="6" t="n">
        <v>1.34270806166436</v>
      </c>
      <c r="AP806" s="6" t="n">
        <v>0.130988062995036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1.33233908790728</v>
      </c>
      <c r="AO807" s="6" t="n">
        <v>1.34013375113501</v>
      </c>
      <c r="AP807" s="6" t="n">
        <v>0.135260265082764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1.34848398681945</v>
      </c>
      <c r="AO808" s="6" t="n">
        <v>1.34848398681945</v>
      </c>
      <c r="AP808" s="6" t="n">
        <v>0.133918725724762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1.34712661791371</v>
      </c>
      <c r="AO809" s="6" t="n">
        <v>1.34915377812541</v>
      </c>
      <c r="AP809" s="6" t="n">
        <v>0.133745495473466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1.33400026193086</v>
      </c>
      <c r="AO810" s="6" t="n">
        <v>1.33459181277113</v>
      </c>
      <c r="AP810" s="6" t="n">
        <v>0.129134746235493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1.34020782334234</v>
      </c>
      <c r="AO811" s="6" t="n">
        <v>1.34952630158021</v>
      </c>
      <c r="AP811" s="6" t="n">
        <v>0.137131638989211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1.32741758679239</v>
      </c>
      <c r="AO812" s="6" t="n">
        <v>1.32757573204455</v>
      </c>
      <c r="AP812" s="6" t="n">
        <v>0.12925774853909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1.30588137636466</v>
      </c>
      <c r="AO813" s="6" t="n">
        <v>1.31626399550752</v>
      </c>
      <c r="AP813" s="6" t="n">
        <v>0.128382872840575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1.31003728802605</v>
      </c>
      <c r="AO814" s="6" t="n">
        <v>1.31841850399592</v>
      </c>
      <c r="AP814" s="6" t="n">
        <v>0.129513283325369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1.33605189815862</v>
      </c>
      <c r="AO815" s="6" t="n">
        <v>1.33622224654481</v>
      </c>
      <c r="AP815" s="6" t="n">
        <v>0.130386987854775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1.34454279293647</v>
      </c>
      <c r="AO816" s="6" t="n">
        <v>1.34528354480142</v>
      </c>
      <c r="AP816" s="6" t="n">
        <v>0.131490834419299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1.35047576910709</v>
      </c>
      <c r="AO817" s="6" t="n">
        <v>1.35087469016138</v>
      </c>
      <c r="AP817" s="6" t="n">
        <v>0.132953054762461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1.33512247875834</v>
      </c>
      <c r="AO818" s="6" t="n">
        <v>1.34379465204313</v>
      </c>
      <c r="AP818" s="6" t="n">
        <v>0.134861249587544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1.33101494548204</v>
      </c>
      <c r="AO819" s="6" t="n">
        <v>1.33922135424825</v>
      </c>
      <c r="AP819" s="6" t="n">
        <v>0.133959245867559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1.35377549610276</v>
      </c>
      <c r="AO820" s="6" t="n">
        <v>1.35408285383625</v>
      </c>
      <c r="AP820" s="6" t="n">
        <v>0.135887872998269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1.32057050491362</v>
      </c>
      <c r="AO821" s="6" t="n">
        <v>1.32075994286255</v>
      </c>
      <c r="AP821" s="6" t="n">
        <v>0.128025415379374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1.3502433165435</v>
      </c>
      <c r="AO822" s="6" t="n">
        <v>1.35117653658362</v>
      </c>
      <c r="AP822" s="6" t="n">
        <v>0.134206646473528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1.34717673877861</v>
      </c>
      <c r="AO823" s="6" t="n">
        <v>1.35170605257187</v>
      </c>
      <c r="AP823" s="6" t="n">
        <v>0.138869921023912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1.3316578136027</v>
      </c>
      <c r="AO824" s="6" t="n">
        <v>1.3321038784147</v>
      </c>
      <c r="AP824" s="6" t="n">
        <v>0.129074310022268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1.3110997937401</v>
      </c>
      <c r="AO825" s="6" t="n">
        <v>1.32127613575213</v>
      </c>
      <c r="AP825" s="6" t="n">
        <v>0.130689816784751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1.33528872648168</v>
      </c>
      <c r="AO826" s="6" t="n">
        <v>1.34452093001481</v>
      </c>
      <c r="AP826" s="6" t="n">
        <v>0.136597211176763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1.33156805854104</v>
      </c>
      <c r="AO827" s="6" t="n">
        <v>1.33559514471413</v>
      </c>
      <c r="AP827" s="6" t="n">
        <v>0.130717523754255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1.35793437929264</v>
      </c>
      <c r="AO828" s="6" t="n">
        <v>1.35793437929264</v>
      </c>
      <c r="AP828" s="6" t="n">
        <v>0.138233679407054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1.35107316035984</v>
      </c>
      <c r="AO829" s="6" t="n">
        <v>1.35151735854722</v>
      </c>
      <c r="AP829" s="6" t="n">
        <v>0.133112866365133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1.31473588712807</v>
      </c>
      <c r="AO830" s="6" t="n">
        <v>1.32245222860727</v>
      </c>
      <c r="AP830" s="6" t="n">
        <v>0.129005298763338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1.34711780474978</v>
      </c>
      <c r="AO831" s="6" t="n">
        <v>1.34748513775965</v>
      </c>
      <c r="AP831" s="6" t="n">
        <v>0.133074702448068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1.34900962916903</v>
      </c>
      <c r="AO832" s="6" t="n">
        <v>1.3501183884849</v>
      </c>
      <c r="AP832" s="6" t="n">
        <v>0.133426037752546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1.34863496247357</v>
      </c>
      <c r="AO833" s="6" t="n">
        <v>1.3494111702987</v>
      </c>
      <c r="AP833" s="6" t="n">
        <v>0.133019593592108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1.33640362115409</v>
      </c>
      <c r="AO834" s="6" t="n">
        <v>1.33646997154697</v>
      </c>
      <c r="AP834" s="6" t="n">
        <v>0.130530339602322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1.34366548878134</v>
      </c>
      <c r="AO835" s="6" t="n">
        <v>1.34403509290909</v>
      </c>
      <c r="AP835" s="6" t="n">
        <v>0.131591940793612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1.34542653298417</v>
      </c>
      <c r="AO836" s="6" t="n">
        <v>1.34570871286486</v>
      </c>
      <c r="AP836" s="6" t="n">
        <v>0.131830578248161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1.33119579930876</v>
      </c>
      <c r="AO837" s="6" t="n">
        <v>1.33147900337343</v>
      </c>
      <c r="AP837" s="6" t="n">
        <v>0.129250727950442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1.33997376221615</v>
      </c>
      <c r="AO838" s="6" t="n">
        <v>1.34096429732073</v>
      </c>
      <c r="AP838" s="6" t="n">
        <v>0.131096938328998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1.35272745363619</v>
      </c>
      <c r="AO839" s="6" t="n">
        <v>1.35272745363619</v>
      </c>
      <c r="AP839" s="6" t="n">
        <v>0.136168065735137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1.35682936871909</v>
      </c>
      <c r="AO840" s="6" t="n">
        <v>1.35734670476528</v>
      </c>
      <c r="AP840" s="6" t="n">
        <v>0.135978693487744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1.33924583397661</v>
      </c>
      <c r="AO841" s="6" t="n">
        <v>1.3443133997975</v>
      </c>
      <c r="AP841" s="6" t="n">
        <v>0.133448867075911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1.34519259177428</v>
      </c>
      <c r="AO842" s="6" t="n">
        <v>1.34764426731753</v>
      </c>
      <c r="AP842" s="6" t="n">
        <v>0.132810027699682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1.3182767429888</v>
      </c>
      <c r="AO843" s="6" t="n">
        <v>1.32031172025355</v>
      </c>
      <c r="AP843" s="6" t="n">
        <v>0.128051715993612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1.34828696122472</v>
      </c>
      <c r="AO844" s="6" t="n">
        <v>1.34917323421873</v>
      </c>
      <c r="AP844" s="6" t="n">
        <v>0.132691930300778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1.34749002749582</v>
      </c>
      <c r="AO845" s="6" t="n">
        <v>1.35058595522401</v>
      </c>
      <c r="AP845" s="6" t="n">
        <v>0.136551835091761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1.32654810405621</v>
      </c>
      <c r="AO846" s="6" t="n">
        <v>1.32681077416337</v>
      </c>
      <c r="AP846" s="6" t="n">
        <v>0.128382957318815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1.33384161124223</v>
      </c>
      <c r="AO847" s="6" t="n">
        <v>1.33418918317785</v>
      </c>
      <c r="AP847" s="6" t="n">
        <v>0.129833093475541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1.34362611658253</v>
      </c>
      <c r="AO848" s="6" t="n">
        <v>1.34585216751803</v>
      </c>
      <c r="AP848" s="6" t="n">
        <v>0.131360003885735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1.34887828198339</v>
      </c>
      <c r="AO849" s="6" t="n">
        <v>1.34887828198339</v>
      </c>
      <c r="AP849" s="6" t="n">
        <v>0.137785970760575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1.35082744259996</v>
      </c>
      <c r="AO850" s="6" t="n">
        <v>1.35148978546031</v>
      </c>
      <c r="AP850" s="6" t="n">
        <v>0.134503372854982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1.3375674343867</v>
      </c>
      <c r="AO851" s="6" t="n">
        <v>1.33789243344497</v>
      </c>
      <c r="AP851" s="6" t="n">
        <v>0.130710829470714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1.35001388477363</v>
      </c>
      <c r="AO852" s="6" t="n">
        <v>1.35001388477363</v>
      </c>
      <c r="AP852" s="6" t="n">
        <v>0.134508566122007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1.34511106080554</v>
      </c>
      <c r="AO853" s="6" t="n">
        <v>1.34521321377303</v>
      </c>
      <c r="AP853" s="6" t="n">
        <v>0.132535968944258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1.33174334705463</v>
      </c>
      <c r="AO854" s="6" t="n">
        <v>1.33629378643349</v>
      </c>
      <c r="AP854" s="6" t="n">
        <v>0.132464304253156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1.33186648630042</v>
      </c>
      <c r="AO855" s="6" t="n">
        <v>1.34419754195054</v>
      </c>
      <c r="AP855" s="6" t="n">
        <v>0.1391600687733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1.32107906869865</v>
      </c>
      <c r="AO856" s="6" t="n">
        <v>1.32651232196348</v>
      </c>
      <c r="AP856" s="6" t="n">
        <v>0.131921921553878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1.28828946790789</v>
      </c>
      <c r="AO857" s="6" t="n">
        <v>1.30118207591171</v>
      </c>
      <c r="AP857" s="6" t="n">
        <v>0.129707899719848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1.35648253434489</v>
      </c>
      <c r="AO858" s="6" t="n">
        <v>1.35648253434489</v>
      </c>
      <c r="AP858" s="6" t="n">
        <v>0.138452059295131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1.33615822564752</v>
      </c>
      <c r="AO859" s="6" t="n">
        <v>1.33628217735313</v>
      </c>
      <c r="AP859" s="6" t="n">
        <v>0.130483427493618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1.36118243639097</v>
      </c>
      <c r="AO860" s="6" t="n">
        <v>1.36257355334222</v>
      </c>
      <c r="AP860" s="6" t="n">
        <v>0.136663083152415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1.32487503808177</v>
      </c>
      <c r="AO861" s="6" t="n">
        <v>1.33102146796484</v>
      </c>
      <c r="AP861" s="6" t="n">
        <v>0.131228308222947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1.32349221396769</v>
      </c>
      <c r="AO862" s="6" t="n">
        <v>1.33311397405404</v>
      </c>
      <c r="AP862" s="6" t="n">
        <v>0.132767673341924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1.34715222657065</v>
      </c>
      <c r="AO863" s="6" t="n">
        <v>1.34718346330183</v>
      </c>
      <c r="AP863" s="6" t="n">
        <v>0.131957698677176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1.29607329422997</v>
      </c>
      <c r="AO864" s="6" t="n">
        <v>1.30810228534378</v>
      </c>
      <c r="AP864" s="6" t="n">
        <v>0.131446230814607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1.31090555757594</v>
      </c>
      <c r="AO865" s="6" t="n">
        <v>1.31743652920459</v>
      </c>
      <c r="AP865" s="6" t="n">
        <v>0.13090590873939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1.35103635839234</v>
      </c>
      <c r="AO866" s="6" t="n">
        <v>1.35103635839234</v>
      </c>
      <c r="AP866" s="6" t="n">
        <v>0.137919133116604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1.32634022539387</v>
      </c>
      <c r="AO867" s="6" t="n">
        <v>1.32669763038651</v>
      </c>
      <c r="AP867" s="6" t="n">
        <v>0.128651294796563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1.32413946307163</v>
      </c>
      <c r="AO868" s="6" t="n">
        <v>1.32623336270549</v>
      </c>
      <c r="AP868" s="6" t="n">
        <v>0.128112383646177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1.35814725008432</v>
      </c>
      <c r="AO869" s="6" t="n">
        <v>1.35814725008432</v>
      </c>
      <c r="AP869" s="6" t="n">
        <v>0.137340341714436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1.35063054542058</v>
      </c>
      <c r="AO870" s="6" t="n">
        <v>1.35063054542058</v>
      </c>
      <c r="AP870" s="6" t="n">
        <v>0.134762352563073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1.33440701041464</v>
      </c>
      <c r="AO871" s="6" t="n">
        <v>1.33444056191182</v>
      </c>
      <c r="AP871" s="6" t="n">
        <v>0.130127689678597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1.34668385731775</v>
      </c>
      <c r="AO872" s="6" t="n">
        <v>1.34718142827575</v>
      </c>
      <c r="AP872" s="6" t="n">
        <v>0.132521385910733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1.30666897675539</v>
      </c>
      <c r="AO873" s="6" t="n">
        <v>1.31600475321763</v>
      </c>
      <c r="AP873" s="6" t="n">
        <v>0.129216275804923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1.35215888462839</v>
      </c>
      <c r="AO874" s="6" t="n">
        <v>1.35242866234181</v>
      </c>
      <c r="AP874" s="6" t="n">
        <v>0.134537236629471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1.35137812175247</v>
      </c>
      <c r="AO875" s="6" t="n">
        <v>1.35137812175247</v>
      </c>
      <c r="AP875" s="6" t="n">
        <v>0.137200321736829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1.33288743501175</v>
      </c>
      <c r="AO876" s="6" t="n">
        <v>1.33393733101081</v>
      </c>
      <c r="AP876" s="6" t="n">
        <v>0.130317911339513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1.35311430938742</v>
      </c>
      <c r="AO877" s="6" t="n">
        <v>1.35311430938742</v>
      </c>
      <c r="AP877" s="6" t="n">
        <v>0.13541434081312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1.33251301527392</v>
      </c>
      <c r="AO878" s="6" t="n">
        <v>1.34044344154622</v>
      </c>
      <c r="AP878" s="6" t="n">
        <v>0.133822011959598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1.32187230689147</v>
      </c>
      <c r="AO879" s="6" t="n">
        <v>1.32422111233041</v>
      </c>
      <c r="AP879" s="6" t="n">
        <v>0.128418050794956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1.34483166912412</v>
      </c>
      <c r="AO880" s="6" t="n">
        <v>1.34492253916802</v>
      </c>
      <c r="AP880" s="6" t="n">
        <v>0.131436195063309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1.29806496686317</v>
      </c>
      <c r="AO881" s="6" t="n">
        <v>1.30123448829674</v>
      </c>
      <c r="AP881" s="6" t="n">
        <v>0.125860821983733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1.31424868109405</v>
      </c>
      <c r="AO882" s="6" t="n">
        <v>1.3221649979966</v>
      </c>
      <c r="AP882" s="6" t="n">
        <v>0.129050605598239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1.30779973664648</v>
      </c>
      <c r="AO883" s="6" t="n">
        <v>1.30969740920705</v>
      </c>
      <c r="AP883" s="6" t="n">
        <v>0.128810629169598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1.35654333718682</v>
      </c>
      <c r="AO884" s="6" t="n">
        <v>1.3574163964389</v>
      </c>
      <c r="AP884" s="6" t="n">
        <v>0.135804205055966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1.33133495314558</v>
      </c>
      <c r="AO885" s="6" t="n">
        <v>1.33190928098302</v>
      </c>
      <c r="AP885" s="6" t="n">
        <v>0.129697698306125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1.34783875958967</v>
      </c>
      <c r="AO886" s="6" t="n">
        <v>1.34877434072944</v>
      </c>
      <c r="AP886" s="6" t="n">
        <v>0.134144131805329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1.34095263398097</v>
      </c>
      <c r="AO887" s="6" t="n">
        <v>1.34655967955182</v>
      </c>
      <c r="AP887" s="6" t="n">
        <v>0.134146109423245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1.32570871035668</v>
      </c>
      <c r="AO888" s="6" t="n">
        <v>1.32603668453578</v>
      </c>
      <c r="AP888" s="6" t="n">
        <v>0.1289299048092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1.34953029191296</v>
      </c>
      <c r="AO889" s="6" t="n">
        <v>1.34971086472887</v>
      </c>
      <c r="AP889" s="6" t="n">
        <v>0.132582097123928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1.35498922602371</v>
      </c>
      <c r="AO890" s="6" t="n">
        <v>1.35498922602371</v>
      </c>
      <c r="AP890" s="6" t="n">
        <v>0.136893410918172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1.34509702024759</v>
      </c>
      <c r="AO891" s="6" t="n">
        <v>1.35207770632632</v>
      </c>
      <c r="AP891" s="6" t="n">
        <v>0.137473338029935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1.33836856917694</v>
      </c>
      <c r="AO892" s="6" t="n">
        <v>1.33877838370919</v>
      </c>
      <c r="AP892" s="6" t="n">
        <v>0.130737144962045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1.35822268175194</v>
      </c>
      <c r="AO893" s="6" t="n">
        <v>1.35822268175194</v>
      </c>
      <c r="AP893" s="6" t="n">
        <v>0.137279525381611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1.29573268098804</v>
      </c>
      <c r="AO894" s="6" t="n">
        <v>1.30975047208083</v>
      </c>
      <c r="AP894" s="6" t="n">
        <v>0.129131269392471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1.34916261436199</v>
      </c>
      <c r="AO895" s="6" t="n">
        <v>1.34938253350737</v>
      </c>
      <c r="AP895" s="6" t="n">
        <v>0.132938613180306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1.34089829582612</v>
      </c>
      <c r="AO896" s="6" t="n">
        <v>1.34166138903304</v>
      </c>
      <c r="AP896" s="6" t="n">
        <v>0.131827736626424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1.32505990840861</v>
      </c>
      <c r="AO897" s="6" t="n">
        <v>1.33105514440107</v>
      </c>
      <c r="AP897" s="6" t="n">
        <v>0.130585672188677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1.35852803798765</v>
      </c>
      <c r="AO898" s="6" t="n">
        <v>1.35852803798765</v>
      </c>
      <c r="AP898" s="6" t="n">
        <v>0.136734444924887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1.34437901326175</v>
      </c>
      <c r="AO899" s="6" t="n">
        <v>1.34437901326175</v>
      </c>
      <c r="AP899" s="6" t="n">
        <v>0.133217486435808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1.33039522022056</v>
      </c>
      <c r="AO900" s="6" t="n">
        <v>1.3312925572503</v>
      </c>
      <c r="AP900" s="6" t="n">
        <v>0.129617394676436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1.3390731269277</v>
      </c>
      <c r="AO901" s="6" t="n">
        <v>1.33983837446594</v>
      </c>
      <c r="AP901" s="6" t="n">
        <v>0.131072363150252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1.34507865898272</v>
      </c>
      <c r="AO902" s="6" t="n">
        <v>1.34538206747415</v>
      </c>
      <c r="AP902" s="6" t="n">
        <v>0.13306086570132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1.34623322965551</v>
      </c>
      <c r="AO903" s="6" t="n">
        <v>1.34671394681507</v>
      </c>
      <c r="AP903" s="6" t="n">
        <v>0.131927142995587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1.35100822060546</v>
      </c>
      <c r="AO904" s="6" t="n">
        <v>1.35239201942078</v>
      </c>
      <c r="AP904" s="6" t="n">
        <v>0.135136045272339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1.34590609607727</v>
      </c>
      <c r="AO905" s="6" t="n">
        <v>1.34682048581952</v>
      </c>
      <c r="AP905" s="6" t="n">
        <v>0.13284698453935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1.32692664334239</v>
      </c>
      <c r="AO906" s="6" t="n">
        <v>1.32766812648792</v>
      </c>
      <c r="AP906" s="6" t="n">
        <v>0.128320687966293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1.34743036072116</v>
      </c>
      <c r="AO907" s="6" t="n">
        <v>1.34767255680028</v>
      </c>
      <c r="AP907" s="6" t="n">
        <v>0.132838089346955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1.33151673950857</v>
      </c>
      <c r="AO908" s="6" t="n">
        <v>1.33269320978325</v>
      </c>
      <c r="AP908" s="6" t="n">
        <v>0.129589512050786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1.33824765804552</v>
      </c>
      <c r="AO909" s="6" t="n">
        <v>1.33941467852608</v>
      </c>
      <c r="AP909" s="6" t="n">
        <v>0.13125771220283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1.35217582144771</v>
      </c>
      <c r="AO910" s="6" t="n">
        <v>1.35239335737042</v>
      </c>
      <c r="AP910" s="6" t="n">
        <v>0.133379214652028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1.34331938538519</v>
      </c>
      <c r="AO911" s="6" t="n">
        <v>1.3455277938771</v>
      </c>
      <c r="AP911" s="6" t="n">
        <v>0.132354768603877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1.35318757261076</v>
      </c>
      <c r="AO912" s="6" t="n">
        <v>1.35393753692984</v>
      </c>
      <c r="AP912" s="6" t="n">
        <v>0.134351352842613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1.32429724151429</v>
      </c>
      <c r="AO913" s="6" t="n">
        <v>1.32503351703712</v>
      </c>
      <c r="AP913" s="6" t="n">
        <v>0.128064765159811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1.35333612123404</v>
      </c>
      <c r="AO914" s="6" t="n">
        <v>1.35333612123404</v>
      </c>
      <c r="AP914" s="6" t="n">
        <v>0.135111395182883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1.33833412934838</v>
      </c>
      <c r="AO915" s="6" t="n">
        <v>1.33859120552942</v>
      </c>
      <c r="AP915" s="6" t="n">
        <v>0.130798817069842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1.34771379818267</v>
      </c>
      <c r="AO916" s="6" t="n">
        <v>1.34771379818267</v>
      </c>
      <c r="AP916" s="6" t="n">
        <v>0.135144379589166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1.30254263290608</v>
      </c>
      <c r="AO917" s="6" t="n">
        <v>1.30842252191381</v>
      </c>
      <c r="AP917" s="6" t="n">
        <v>0.135526351377944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1.33942291092594</v>
      </c>
      <c r="AO918" s="6" t="n">
        <v>1.34212271196259</v>
      </c>
      <c r="AP918" s="6" t="n">
        <v>0.131925888983278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1.34552924136878</v>
      </c>
      <c r="AO919" s="6" t="n">
        <v>1.34641745927021</v>
      </c>
      <c r="AP919" s="6" t="n">
        <v>0.134436779332721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1.3514551343568</v>
      </c>
      <c r="AO920" s="6" t="n">
        <v>1.35202339943544</v>
      </c>
      <c r="AP920" s="6" t="n">
        <v>0.134807163630238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1.34897909716346</v>
      </c>
      <c r="AO921" s="6" t="n">
        <v>1.34897909716346</v>
      </c>
      <c r="AP921" s="6" t="n">
        <v>0.1366702298632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1.33754231524775</v>
      </c>
      <c r="AO922" s="6" t="n">
        <v>1.33759858580726</v>
      </c>
      <c r="AP922" s="6" t="n">
        <v>0.130520652616381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1.33047533309201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1.32941607346298</v>
      </c>
      <c r="AO924" s="6" t="n">
        <v>1.33092768894465</v>
      </c>
      <c r="AP924" s="6" t="n">
        <v>0.133164566531521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1.34769762139393</v>
      </c>
      <c r="AO925" s="6" t="n">
        <v>1.34778110216733</v>
      </c>
      <c r="AP925" s="6" t="n">
        <v>0.133641313808033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1.34310339975152</v>
      </c>
      <c r="AO926" s="6" t="n">
        <v>1.3489694529651</v>
      </c>
      <c r="AP926" s="6" t="n">
        <v>0.136021757198873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1.34773889739651</v>
      </c>
      <c r="AO927" s="6" t="n">
        <v>1.34798189082106</v>
      </c>
      <c r="AP927" s="6" t="n">
        <v>0.132475400569029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1.35750189707105</v>
      </c>
      <c r="AO928" s="6" t="n">
        <v>1.35750189707105</v>
      </c>
      <c r="AP928" s="6" t="n">
        <v>0.138451758473027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1.35844776583309</v>
      </c>
      <c r="AO929" s="6" t="n">
        <v>1.35894803941001</v>
      </c>
      <c r="AP929" s="6" t="n">
        <v>0.135777934740771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1.32002483189306</v>
      </c>
      <c r="AO930" s="6" t="n">
        <v>1.32126419911851</v>
      </c>
      <c r="AP930" s="6" t="n">
        <v>0.127411667113187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1.34307017415152</v>
      </c>
      <c r="AO931" s="6" t="n">
        <v>1.34350263572176</v>
      </c>
      <c r="AP931" s="6" t="n">
        <v>0.13203609728792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1.35015996297081</v>
      </c>
      <c r="AO932" s="6" t="n">
        <v>1.35050765961116</v>
      </c>
      <c r="AP932" s="6" t="n">
        <v>0.133329294605048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1.34324546976299</v>
      </c>
      <c r="AO933" s="6" t="n">
        <v>1.34384147228992</v>
      </c>
      <c r="AP933" s="6" t="n">
        <v>0.131578862513367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1.34538398138618</v>
      </c>
      <c r="AO934" s="6" t="n">
        <v>1.34659314282609</v>
      </c>
      <c r="AP934" s="6" t="n">
        <v>0.131283338532735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1.35337666217494</v>
      </c>
      <c r="AO935" s="6" t="n">
        <v>1.35337666217494</v>
      </c>
      <c r="AP935" s="6" t="n">
        <v>0.134142652770366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1.32726214777146</v>
      </c>
      <c r="AO936" s="6" t="n">
        <v>1.33591832108079</v>
      </c>
      <c r="AP936" s="6" t="n">
        <v>0.133238498506037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1.31940702058977</v>
      </c>
      <c r="AO937" s="6" t="n">
        <v>1.32733585064872</v>
      </c>
      <c r="AP937" s="6" t="n">
        <v>0.130837003437906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1.32605897440073</v>
      </c>
      <c r="AO938" s="6" t="n">
        <v>1.33248144259414</v>
      </c>
      <c r="AP938" s="6" t="n">
        <v>0.13104066754326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1.3513024504855</v>
      </c>
      <c r="AO939" s="6" t="n">
        <v>1.35187897360176</v>
      </c>
      <c r="AP939" s="6" t="n">
        <v>0.135991427381616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1.34745916421482</v>
      </c>
      <c r="AO940" s="6" t="n">
        <v>1.34769187952651</v>
      </c>
      <c r="AP940" s="6" t="n">
        <v>0.133052878677945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1.35009298150501</v>
      </c>
      <c r="AO941" s="6" t="n">
        <v>1.35126293703339</v>
      </c>
      <c r="AP941" s="6" t="n">
        <v>0.133188268197074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1.34468168525708</v>
      </c>
      <c r="AO942" s="6" t="n">
        <v>1.34553810073267</v>
      </c>
      <c r="AP942" s="6" t="n">
        <v>0.132197557253126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1.34069855171693</v>
      </c>
      <c r="AO943" s="6" t="n">
        <v>1.34097836453522</v>
      </c>
      <c r="AP943" s="6" t="n">
        <v>0.131951211407084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1.34546973206984</v>
      </c>
      <c r="AO944" s="6" t="n">
        <v>1.34882979447317</v>
      </c>
      <c r="AP944" s="6" t="n">
        <v>0.13325249050109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1.34039722108773</v>
      </c>
      <c r="AO945" s="6" t="n">
        <v>1.3407547910001</v>
      </c>
      <c r="AP945" s="6" t="n">
        <v>0.131228306808249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1.33881209162845</v>
      </c>
      <c r="AO946" s="6" t="n">
        <v>1.34775518568961</v>
      </c>
      <c r="AP946" s="6" t="n">
        <v>0.137007106699818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1.36022385513892</v>
      </c>
      <c r="AO947" s="6" t="n">
        <v>1.36022385513892</v>
      </c>
      <c r="AP947" s="6" t="n">
        <v>0.141869894207942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1.3074694648754</v>
      </c>
      <c r="AO948" s="6" t="n">
        <v>1.31341120095693</v>
      </c>
      <c r="AP948" s="6" t="n">
        <v>0.129628419933337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1.34527478133162</v>
      </c>
      <c r="AO949" s="6" t="n">
        <v>1.34596300892321</v>
      </c>
      <c r="AP949" s="6" t="n">
        <v>0.133121859872517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1.35101917196466</v>
      </c>
      <c r="AO950" s="6" t="n">
        <v>1.35101917196466</v>
      </c>
      <c r="AP950" s="6" t="n">
        <v>0.133987007052087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1.33435251732377</v>
      </c>
      <c r="AO951" s="6" t="n">
        <v>1.33471426840532</v>
      </c>
      <c r="AP951" s="6" t="n">
        <v>0.12939495001917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1.34314107901313</v>
      </c>
      <c r="AO952" s="6" t="n">
        <v>1.34354209695587</v>
      </c>
      <c r="AP952" s="6" t="n">
        <v>0.13177025209317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1.33524179109041</v>
      </c>
      <c r="AO953" s="6" t="n">
        <v>1.33581615191117</v>
      </c>
      <c r="AP953" s="6" t="n">
        <v>0.130485696248046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1.29505741126979</v>
      </c>
      <c r="AO954" s="6" t="n">
        <v>1.30822063181497</v>
      </c>
      <c r="AP954" s="6" t="n">
        <v>0.132742249537694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1.33289979766284</v>
      </c>
      <c r="AO955" s="6" t="n">
        <v>1.33792212705406</v>
      </c>
      <c r="AP955" s="6" t="n">
        <v>0.132041473109938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1.33279443060772</v>
      </c>
      <c r="AO956" s="6" t="n">
        <v>1.33417174401971</v>
      </c>
      <c r="AP956" s="6" t="n">
        <v>0.129214974874258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1.34550268752184</v>
      </c>
      <c r="AO957" s="6" t="n">
        <v>1.34883863783562</v>
      </c>
      <c r="AP957" s="6" t="n">
        <v>0.141238431633108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1.35305170354358</v>
      </c>
      <c r="AO958" s="6" t="n">
        <v>1.35348253280657</v>
      </c>
      <c r="AP958" s="6" t="n">
        <v>0.134138067991645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1.28354697249642</v>
      </c>
      <c r="AO959" s="6" t="n">
        <v>1.29620135384931</v>
      </c>
      <c r="AP959" s="6" t="n">
        <v>0.126815604178559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1.34351605868585</v>
      </c>
      <c r="AO960" s="6" t="n">
        <v>1.34361816145853</v>
      </c>
      <c r="AP960" s="6" t="n">
        <v>0.132695520237941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1.3410775122329</v>
      </c>
      <c r="AO961" s="6" t="n">
        <v>1.34109234630385</v>
      </c>
      <c r="AP961" s="6" t="n">
        <v>0.131611976697474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1.34467085593464</v>
      </c>
      <c r="AO962" s="6" t="n">
        <v>1.34518518571959</v>
      </c>
      <c r="AP962" s="6" t="n">
        <v>0.130863844531318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1.33532841825657</v>
      </c>
      <c r="AO963" s="6" t="n">
        <v>1.33988050043924</v>
      </c>
      <c r="AP963" s="6" t="n">
        <v>0.13217500718994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1.34657148005512</v>
      </c>
      <c r="AO964" s="6" t="n">
        <v>1.35282893954114</v>
      </c>
      <c r="AP964" s="6" t="n">
        <v>0.138691896691866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1.32394594107587</v>
      </c>
      <c r="AO965" s="6" t="n">
        <v>1.33012141150735</v>
      </c>
      <c r="AP965" s="6" t="n">
        <v>0.133733671507761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1.35532498607733</v>
      </c>
      <c r="AO966" s="6" t="n">
        <v>1.35532498607733</v>
      </c>
      <c r="AP966" s="6" t="n">
        <v>0.13622599898821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1.31691048554061</v>
      </c>
      <c r="AO967" s="6" t="n">
        <v>1.32778084317653</v>
      </c>
      <c r="AP967" s="6" t="n">
        <v>0.131390529555416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1.32333037864308</v>
      </c>
      <c r="AO968" s="6" t="n">
        <v>1.32879574985931</v>
      </c>
      <c r="AP968" s="6" t="n">
        <v>0.133233955420954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1.31167431761096</v>
      </c>
      <c r="AO969" s="6" t="n">
        <v>1.32881040154258</v>
      </c>
      <c r="AP969" s="6" t="n">
        <v>0.135408723602951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1.34337107709279</v>
      </c>
      <c r="AO970" s="6" t="n">
        <v>1.34379184030165</v>
      </c>
      <c r="AP970" s="6" t="n">
        <v>0.132061479272643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1.31224600260586</v>
      </c>
      <c r="AO971" s="6" t="n">
        <v>1.32118654460749</v>
      </c>
      <c r="AP971" s="6" t="n">
        <v>0.130094212873351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1.30742339343292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1.34823016371729</v>
      </c>
      <c r="AO973" s="6" t="n">
        <v>1.34890361334304</v>
      </c>
      <c r="AP973" s="6" t="n">
        <v>0.133044275575591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1.34177335146203</v>
      </c>
      <c r="AO974" s="6" t="n">
        <v>1.341842380868</v>
      </c>
      <c r="AP974" s="6" t="n">
        <v>0.131512270535645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1.33745260701514</v>
      </c>
      <c r="AO975" s="6" t="n">
        <v>1.34050234451909</v>
      </c>
      <c r="AP975" s="6" t="n">
        <v>0.131762579110491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1.324431771058</v>
      </c>
      <c r="AO976" s="6" t="n">
        <v>1.32880234895499</v>
      </c>
      <c r="AP976" s="6" t="n">
        <v>0.131613791212942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1.32589962270194</v>
      </c>
      <c r="AO977" s="6" t="n">
        <v>1.32761483431156</v>
      </c>
      <c r="AP977" s="6" t="n">
        <v>0.1289336241076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1.34817062845546</v>
      </c>
      <c r="AO978" s="6" t="n">
        <v>1.34840632507928</v>
      </c>
      <c r="AP978" s="6" t="n">
        <v>0.132577447313947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1.30916670472691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1.33344653982992</v>
      </c>
      <c r="AO980" s="6" t="n">
        <v>1.33821206627795</v>
      </c>
      <c r="AP980" s="6" t="n">
        <v>0.130921223831546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1.34003978156516</v>
      </c>
      <c r="AO981" s="6" t="n">
        <v>1.34435145254464</v>
      </c>
      <c r="AP981" s="6" t="n">
        <v>0.133429422758606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1.35673531841515</v>
      </c>
      <c r="AO982" s="6" t="n">
        <v>1.35673531841515</v>
      </c>
      <c r="AP982" s="6" t="n">
        <v>0.13649110023288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1.33974719934269</v>
      </c>
      <c r="AO983" s="6" t="n">
        <v>1.33987713640009</v>
      </c>
      <c r="AP983" s="6" t="n">
        <v>0.130848128009594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1.34020351821304</v>
      </c>
      <c r="AO984" s="6" t="n">
        <v>1.34089183695731</v>
      </c>
      <c r="AP984" s="6" t="n">
        <v>0.131464872182525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1.34851595317686</v>
      </c>
      <c r="AO985" s="6" t="n">
        <v>1.34896421990013</v>
      </c>
      <c r="AP985" s="6" t="n">
        <v>0.132118315922784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1.31895601353465</v>
      </c>
      <c r="AO986" s="6" t="n">
        <v>1.31968956820142</v>
      </c>
      <c r="AP986" s="6" t="n">
        <v>0.131567371437563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1.33275628747515</v>
      </c>
      <c r="AO987" s="6" t="n">
        <v>1.33361645363616</v>
      </c>
      <c r="AP987" s="6" t="n">
        <v>0.129234717828706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1.35177014251397</v>
      </c>
      <c r="AO988" s="6" t="n">
        <v>1.35177014251397</v>
      </c>
      <c r="AP988" s="6" t="n">
        <v>0.135304022066721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1.34667783752169</v>
      </c>
      <c r="AO989" s="6" t="n">
        <v>1.34786406830985</v>
      </c>
      <c r="AP989" s="6" t="n">
        <v>0.133757810460065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1.34447471059734</v>
      </c>
      <c r="AO990" s="6" t="n">
        <v>1.34475607330003</v>
      </c>
      <c r="AP990" s="6" t="n">
        <v>0.132288395428535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1.35680173202177</v>
      </c>
      <c r="AO991" s="6" t="n">
        <v>1.35751115908903</v>
      </c>
      <c r="AP991" s="6" t="n">
        <v>0.137290384135809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1.33447127414186</v>
      </c>
      <c r="AO992" s="6" t="n">
        <v>1.33901449173711</v>
      </c>
      <c r="AP992" s="6" t="n">
        <v>0.132449863160951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1.29291990508862</v>
      </c>
      <c r="AO993" s="6" t="n">
        <v>1.30095016646558</v>
      </c>
      <c r="AP993" s="6" t="n">
        <v>0.13030371099137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1.32061033641434</v>
      </c>
      <c r="AO994" s="6" t="n">
        <v>1.32452544620997</v>
      </c>
      <c r="AP994" s="6" t="n">
        <v>0.127991126203044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1.34474227389511</v>
      </c>
      <c r="AO995" s="6" t="n">
        <v>1.34634314675342</v>
      </c>
      <c r="AP995" s="6" t="n">
        <v>0.132848693374079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1.30520157745288</v>
      </c>
      <c r="AO996" s="6" t="n">
        <v>1.31299553816058</v>
      </c>
      <c r="AP996" s="6" t="n">
        <v>0.127240121287894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1.34557526256948</v>
      </c>
      <c r="AO997" s="6" t="n">
        <v>1.34564596134749</v>
      </c>
      <c r="AP997" s="6" t="n">
        <v>0.132536769497829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1.35020813520255</v>
      </c>
      <c r="AO998" s="6" t="n">
        <v>1.35069142241514</v>
      </c>
      <c r="AP998" s="6" t="n">
        <v>0.135631231885478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1.34736840901455</v>
      </c>
      <c r="AO999" s="6" t="n">
        <v>1.34810545264405</v>
      </c>
      <c r="AP999" s="6" t="n">
        <v>0.131869839665749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1.34813141873377</v>
      </c>
      <c r="AO1000" s="6" t="n">
        <v>1.34815803441847</v>
      </c>
      <c r="AP1000" s="6" t="n">
        <v>0.132747669632833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1.357427679635</v>
      </c>
      <c r="AO1001" s="6" t="n">
        <v>1.357427679635</v>
      </c>
      <c r="AP1001" s="6" t="n">
        <v>0.138382648827703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1.34128677682101</v>
      </c>
      <c r="AO1002" s="6" t="n">
        <v>1.34128677682101</v>
      </c>
      <c r="AP1002" s="6" t="n">
        <v>0.131852225595045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1.34024147388068</v>
      </c>
      <c r="AO1003" s="6" t="n">
        <v>1.34030991720408</v>
      </c>
      <c r="AP1003" s="6" t="n">
        <v>0.130865784722154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1.34315049184061</v>
      </c>
      <c r="AO1004" s="6" t="n">
        <v>1.34722186048758</v>
      </c>
      <c r="AP1004" s="6" t="n">
        <v>0.132975650100696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1.33169756728042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1.34481048564053</v>
      </c>
      <c r="AO1006" s="6" t="n">
        <v>1.34535529311272</v>
      </c>
      <c r="AP1006" s="6" t="n">
        <v>0.132603977188887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1.33345780103027</v>
      </c>
      <c r="AO1007" s="6" t="n">
        <v>1.3338734547362</v>
      </c>
      <c r="AP1007" s="6" t="n">
        <v>0.129676597564541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1.32545040696677</v>
      </c>
      <c r="AO1008" s="6" t="n">
        <v>1.33049180391477</v>
      </c>
      <c r="AP1008" s="6" t="n">
        <v>0.133443075296847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1.35170922684959</v>
      </c>
      <c r="AO1009" s="6" t="n">
        <v>1.35332820378665</v>
      </c>
      <c r="AP1009" s="6" t="n">
        <v>0.136774272470574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1.28690133123397</v>
      </c>
      <c r="AO1010" s="6" t="n">
        <v>1.29434254144435</v>
      </c>
      <c r="AP1010" s="6" t="n">
        <v>0.128582125822617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1.32309798692151</v>
      </c>
      <c r="AO1011" s="6" t="n">
        <v>1.33217002791379</v>
      </c>
      <c r="AP1011" s="6" t="n">
        <v>0.132266841848799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1.33548046112295</v>
      </c>
      <c r="AO1012" s="6" t="n">
        <v>1.33771078608182</v>
      </c>
      <c r="AP1012" s="6" t="n">
        <v>0.131019655969046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1.32993861489023</v>
      </c>
      <c r="AO1013" s="6" t="n">
        <v>1.33129409385836</v>
      </c>
      <c r="AP1013" s="6" t="n">
        <v>0.128890275353701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1.34051899033504</v>
      </c>
      <c r="AO1014" s="6" t="n">
        <v>1.34767248640162</v>
      </c>
      <c r="AP1014" s="6" t="n">
        <v>0.135795442195313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1.33055656988205</v>
      </c>
      <c r="AO1015" s="6" t="n">
        <v>1.33167002116351</v>
      </c>
      <c r="AP1015" s="6" t="n">
        <v>0.129299103439563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1.33428305331828</v>
      </c>
      <c r="AO1016" s="6" t="n">
        <v>1.33461637749714</v>
      </c>
      <c r="AP1016" s="6" t="n">
        <v>0.129505515301852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1.35226710852208</v>
      </c>
      <c r="AO1017" s="6" t="n">
        <v>1.35243643106553</v>
      </c>
      <c r="AP1017" s="6" t="n">
        <v>0.133341522873479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1.33609515911243</v>
      </c>
      <c r="AO1018" s="6" t="n">
        <v>1.33871288735902</v>
      </c>
      <c r="AP1018" s="6" t="n">
        <v>0.130959400034095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1.34926586646811</v>
      </c>
      <c r="AO1019" s="6" t="n">
        <v>1.34940100877275</v>
      </c>
      <c r="AP1019" s="6" t="n">
        <v>0.133871239630277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1.3334098276106</v>
      </c>
      <c r="AO1020" s="6" t="n">
        <v>1.33374500610997</v>
      </c>
      <c r="AP1020" s="6" t="n">
        <v>0.129587880200401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1.35003766193612</v>
      </c>
      <c r="AO1021" s="6" t="n">
        <v>1.35100083248906</v>
      </c>
      <c r="AP1021" s="6" t="n">
        <v>0.133483504954369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1.33642777602316</v>
      </c>
      <c r="AO1022" s="6" t="n">
        <v>1.33700381245241</v>
      </c>
      <c r="AP1022" s="6" t="n">
        <v>0.130328625889793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1.32435308685342</v>
      </c>
      <c r="AO1023" s="6" t="n">
        <v>1.32564789361071</v>
      </c>
      <c r="AP1023" s="6" t="n">
        <v>0.128457649253227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1.34010941205972</v>
      </c>
      <c r="AO1024" s="6" t="n">
        <v>1.34234186417882</v>
      </c>
      <c r="AP1024" s="6" t="n">
        <v>0.131556843073073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1.32942743567108</v>
      </c>
      <c r="AO1025" s="6" t="n">
        <v>1.32942743567108</v>
      </c>
      <c r="AP1025" s="6" t="n">
        <v>0.129680741394765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1.34336339599058</v>
      </c>
      <c r="AO1026" s="6" t="n">
        <v>1.34336339599058</v>
      </c>
      <c r="AP1026" s="6" t="n">
        <v>0.132650319864887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1.34538590007785</v>
      </c>
      <c r="AO1027" s="6" t="n">
        <v>1.3501962816392</v>
      </c>
      <c r="AP1027" s="6" t="n">
        <v>0.134399078046161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1.34097749486454</v>
      </c>
      <c r="AO1028" s="6" t="n">
        <v>1.34144809429019</v>
      </c>
      <c r="AP1028" s="6" t="n">
        <v>0.131045564722929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1.34470949279302</v>
      </c>
      <c r="AO1029" s="6" t="n">
        <v>1.34501051772889</v>
      </c>
      <c r="AP1029" s="6" t="n">
        <v>0.131731960145733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1.35881950376499</v>
      </c>
      <c r="AO1030" s="6" t="n">
        <v>1.35881950376499</v>
      </c>
      <c r="AP1030" s="6" t="n">
        <v>0.136738012102519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1.33681088612774</v>
      </c>
      <c r="AO1031" s="6" t="n">
        <v>1.34435855412839</v>
      </c>
      <c r="AP1031" s="6" t="n">
        <v>0.135171102387096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1.35227101721442</v>
      </c>
      <c r="AO1032" s="6" t="n">
        <v>1.35242990242601</v>
      </c>
      <c r="AP1032" s="6" t="n">
        <v>0.133635934037275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1.36076070824676</v>
      </c>
      <c r="AO1033" s="6" t="n">
        <v>1.36076070824676</v>
      </c>
      <c r="AP1033" s="6" t="n">
        <v>0.140368785253692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1.33029928169804</v>
      </c>
      <c r="AO1034" s="6" t="n">
        <v>1.33403159401917</v>
      </c>
      <c r="AP1034" s="6" t="n">
        <v>0.130036270364456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1.32711834783071</v>
      </c>
      <c r="AO1035" s="6" t="n">
        <v>1.33255415718206</v>
      </c>
      <c r="AP1035" s="6" t="n">
        <v>0.130841874344489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1.32024975670271</v>
      </c>
      <c r="AO1036" s="6" t="n">
        <v>1.33049732951742</v>
      </c>
      <c r="AP1036" s="6" t="n">
        <v>0.132143176256551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1.3179656576515</v>
      </c>
      <c r="AO1037" s="6" t="n">
        <v>1.32606300514257</v>
      </c>
      <c r="AP1037" s="6" t="n">
        <v>0.130703383300638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1.33149817431075</v>
      </c>
      <c r="AO1038" s="6" t="n">
        <v>1.33262385891794</v>
      </c>
      <c r="AP1038" s="6" t="n">
        <v>0.129077962871808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1.34652112729819</v>
      </c>
      <c r="AO1039" s="6" t="n">
        <v>1.34652112729819</v>
      </c>
      <c r="AP1039" s="6" t="n">
        <v>0.13308798701184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1.34499697444695</v>
      </c>
      <c r="AO1040" s="6" t="n">
        <v>1.34525578004736</v>
      </c>
      <c r="AP1040" s="6" t="n">
        <v>0.131787112390781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1.30722265319908</v>
      </c>
      <c r="AO1041" s="6" t="n">
        <v>1.31054017841387</v>
      </c>
      <c r="AP1041" s="6" t="n">
        <v>0.132698377942438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1.32790775487622</v>
      </c>
      <c r="AO1042" s="6" t="n">
        <v>1.33358114762492</v>
      </c>
      <c r="AP1042" s="6" t="n">
        <v>0.133547355009847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1.35432681557708</v>
      </c>
      <c r="AO1043" s="6" t="n">
        <v>1.35432681557708</v>
      </c>
      <c r="AP1043" s="6" t="n">
        <v>0.137058999089814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1.31920267764632</v>
      </c>
      <c r="AO1044" s="6" t="n">
        <v>1.32043284125898</v>
      </c>
      <c r="AP1044" s="6" t="n">
        <v>0.127085693826738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1.3431435247137</v>
      </c>
      <c r="AO1045" s="6" t="n">
        <v>1.34328855867823</v>
      </c>
      <c r="AP1045" s="6" t="n">
        <v>0.13098299329724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1.35348477183243</v>
      </c>
      <c r="AO1046" s="6" t="n">
        <v>1.35348477183243</v>
      </c>
      <c r="AP1046" s="6" t="n">
        <v>0.137197813885069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1.33670380320913</v>
      </c>
      <c r="AO1047" s="6" t="n">
        <v>1.33735856180745</v>
      </c>
      <c r="AP1047" s="6" t="n">
        <v>0.130514046331565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1.35485530949127</v>
      </c>
      <c r="AO1048" s="6" t="n">
        <v>1.35486812898784</v>
      </c>
      <c r="AP1048" s="6" t="n">
        <v>0.134416997486502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1.34723625889626</v>
      </c>
      <c r="AO1049" s="6" t="n">
        <v>1.34723625889626</v>
      </c>
      <c r="AP1049" s="6" t="n">
        <v>0.134488781321209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1.30967663401859</v>
      </c>
      <c r="AO1050" s="6" t="n">
        <v>1.3136715607571</v>
      </c>
      <c r="AP1050" s="6" t="n">
        <v>0.130617826824393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1.34036233960628</v>
      </c>
      <c r="AO1051" s="6" t="n">
        <v>1.34087075204747</v>
      </c>
      <c r="AP1051" s="6" t="n">
        <v>0.131405781586254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1.34058015805426</v>
      </c>
      <c r="AO1052" s="6" t="n">
        <v>1.34082482729798</v>
      </c>
      <c r="AP1052" s="6" t="n">
        <v>0.131085297920664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1.32373854967651</v>
      </c>
      <c r="AO1053" s="6" t="n">
        <v>1.32423961887052</v>
      </c>
      <c r="AP1053" s="6" t="n">
        <v>0.128152300842876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1.35124489486544</v>
      </c>
      <c r="AO1054" s="6" t="n">
        <v>1.35154794788277</v>
      </c>
      <c r="AP1054" s="6" t="n">
        <v>0.13381666789442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1.3378107041398</v>
      </c>
      <c r="AO1055" s="6" t="n">
        <v>1.33862692215897</v>
      </c>
      <c r="AP1055" s="6" t="n">
        <v>0.13090211965451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1.3446617798003</v>
      </c>
      <c r="AO1056" s="6" t="n">
        <v>1.34515527873375</v>
      </c>
      <c r="AP1056" s="6" t="n">
        <v>0.133016916991444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1.33426352178516</v>
      </c>
      <c r="AO1057" s="6" t="n">
        <v>1.34116430485909</v>
      </c>
      <c r="AP1057" s="6" t="n">
        <v>0.133171233285356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1.33472122938838</v>
      </c>
      <c r="AO1058" s="6" t="n">
        <v>1.33536283802537</v>
      </c>
      <c r="AP1058" s="6" t="n">
        <v>0.130036847912972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1.34577794689473</v>
      </c>
      <c r="AO1059" s="6" t="n">
        <v>1.3460378682323</v>
      </c>
      <c r="AP1059" s="6" t="n">
        <v>0.13215017814619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1.33409328479617</v>
      </c>
      <c r="AO1060" s="6" t="n">
        <v>1.33615303420201</v>
      </c>
      <c r="AP1060" s="6" t="n">
        <v>0.129976152550747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1.35635588217101</v>
      </c>
      <c r="AO1061" s="6" t="n">
        <v>1.35635588217101</v>
      </c>
      <c r="AP1061" s="6" t="n">
        <v>0.135714524991663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1.31266643744886</v>
      </c>
      <c r="AO1062" s="6" t="n">
        <v>1.32841452318439</v>
      </c>
      <c r="AP1062" s="6" t="n">
        <v>0.134693098892693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1.34457637667818</v>
      </c>
      <c r="AO1064" s="6" t="n">
        <v>1.34490727499661</v>
      </c>
      <c r="AP1064" s="6" t="n">
        <v>0.132795709797063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1.34088962817832</v>
      </c>
      <c r="AO1065" s="6" t="n">
        <v>1.34126363281697</v>
      </c>
      <c r="AP1065" s="6" t="n">
        <v>0.131723316836396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1.30549516740594</v>
      </c>
      <c r="AO1066" s="6" t="n">
        <v>1.31442550211189</v>
      </c>
      <c r="AP1066" s="6" t="n">
        <v>0.131569258347461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1.34009705369474</v>
      </c>
      <c r="AO1067" s="6" t="n">
        <v>1.34039289010628</v>
      </c>
      <c r="AP1067" s="6" t="n">
        <v>0.130610997997371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1.34142214243512</v>
      </c>
      <c r="AO1068" s="6" t="n">
        <v>1.34147047948945</v>
      </c>
      <c r="AP1068" s="6" t="n">
        <v>0.131274691054929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1.33818748657317</v>
      </c>
      <c r="AO1069" s="6" t="n">
        <v>1.34415751383224</v>
      </c>
      <c r="AP1069" s="6" t="n">
        <v>0.136305228979222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1.35337217022309</v>
      </c>
      <c r="AO1070" s="6" t="n">
        <v>1.35337217022309</v>
      </c>
      <c r="AP1070" s="6" t="n">
        <v>0.136304760327373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1.35300340629969</v>
      </c>
      <c r="AO1071" s="6" t="n">
        <v>1.35338981008099</v>
      </c>
      <c r="AP1071" s="6" t="n">
        <v>0.133976865758051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1.3424778508364</v>
      </c>
      <c r="AO1072" s="6" t="n">
        <v>1.3442271038515</v>
      </c>
      <c r="AP1072" s="6" t="n">
        <v>0.132097217733183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1.34967487670866</v>
      </c>
      <c r="AO1073" s="6" t="n">
        <v>1.34967487670866</v>
      </c>
      <c r="AP1073" s="6" t="n">
        <v>0.135768588889324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1.36055195081142</v>
      </c>
      <c r="AO1074" s="6" t="n">
        <v>1.36055195081142</v>
      </c>
      <c r="AP1074" s="6" t="n">
        <v>0.138633879056904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1.34114789593502</v>
      </c>
      <c r="AO1075" s="6" t="n">
        <v>1.34121559911525</v>
      </c>
      <c r="AP1075" s="6" t="n">
        <v>0.130997645458517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1.35731093205587</v>
      </c>
      <c r="AO1076" s="6" t="n">
        <v>1.35731093205587</v>
      </c>
      <c r="AP1076" s="6" t="n">
        <v>0.137863647276443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1.35607071584267</v>
      </c>
      <c r="AO1077" s="6" t="n">
        <v>1.35607071584267</v>
      </c>
      <c r="AP1077" s="6" t="n">
        <v>0.136550054805745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1.33693172945998</v>
      </c>
      <c r="AO1078" s="6" t="n">
        <v>1.33719580635614</v>
      </c>
      <c r="AP1078" s="6" t="n">
        <v>0.130256706452638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1.35441157142779</v>
      </c>
      <c r="AO1079" s="6" t="n">
        <v>1.35441157142779</v>
      </c>
      <c r="AP1079" s="6" t="n">
        <v>0.135244301768175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1.32963465825593</v>
      </c>
      <c r="AO1080" s="6" t="n">
        <v>1.33679432235467</v>
      </c>
      <c r="AP1080" s="6" t="n">
        <v>0.132631882938135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1.3521133822941</v>
      </c>
      <c r="AO1081" s="6" t="n">
        <v>1.3521133822941</v>
      </c>
      <c r="AP1081" s="6" t="n">
        <v>0.134896670386433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1.33563454696817</v>
      </c>
      <c r="AO1082" s="6" t="n">
        <v>1.33610764383244</v>
      </c>
      <c r="AP1082" s="6" t="n">
        <v>0.130142742731211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1.34169713386921</v>
      </c>
      <c r="AO1083" s="6" t="n">
        <v>1.34219990604878</v>
      </c>
      <c r="AP1083" s="6" t="n">
        <v>0.131245710954152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1.33285664854466</v>
      </c>
      <c r="AO1084" s="6" t="n">
        <v>1.33364087958019</v>
      </c>
      <c r="AP1084" s="6" t="n">
        <v>0.12948257501804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1.32707705050368</v>
      </c>
      <c r="AO1085" s="6" t="n">
        <v>1.3274696238212</v>
      </c>
      <c r="AP1085" s="6" t="n">
        <v>0.128877864631075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1.31280204942464</v>
      </c>
      <c r="AO1086" s="6" t="n">
        <v>1.32205863426943</v>
      </c>
      <c r="AP1086" s="6" t="n">
        <v>0.1308736255723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1.30262327276907</v>
      </c>
      <c r="AO1087" s="6" t="n">
        <v>1.30992007425138</v>
      </c>
      <c r="AP1087" s="6" t="n">
        <v>0.128527420795646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1.33399418612733</v>
      </c>
      <c r="AO1088" s="6" t="n">
        <v>1.33495795891882</v>
      </c>
      <c r="AP1088" s="6" t="n">
        <v>0.130581310063142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1.35001687484233</v>
      </c>
      <c r="AO1089" s="6" t="n">
        <v>1.35001687484233</v>
      </c>
      <c r="AP1089" s="6" t="n">
        <v>0.136003923467623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1.33359663531549</v>
      </c>
      <c r="AO1090" s="6" t="n">
        <v>1.33413483945379</v>
      </c>
      <c r="AP1090" s="6" t="n">
        <v>0.129715816436418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1.33852876381743</v>
      </c>
      <c r="AO1091" s="6" t="n">
        <v>1.33928974219921</v>
      </c>
      <c r="AP1091" s="6" t="n">
        <v>0.130416220883874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1.33505358221244</v>
      </c>
      <c r="AO1092" s="6" t="n">
        <v>1.33526312115448</v>
      </c>
      <c r="AP1092" s="6" t="n">
        <v>0.130082961520226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1.33522083691113</v>
      </c>
      <c r="AO1093" s="6" t="n">
        <v>1.33577122692659</v>
      </c>
      <c r="AP1093" s="6" t="n">
        <v>0.130645911088429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1.35431723294844</v>
      </c>
      <c r="AO1094" s="6" t="n">
        <v>1.35463388838712</v>
      </c>
      <c r="AP1094" s="6" t="n">
        <v>0.134947044634456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1.34206318154711</v>
      </c>
      <c r="AO1095" s="6" t="n">
        <v>1.34225691515776</v>
      </c>
      <c r="AP1095" s="6" t="n">
        <v>0.132441357255201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1.35236735525505</v>
      </c>
      <c r="AO1096" s="6" t="n">
        <v>1.35236735525505</v>
      </c>
      <c r="AP1096" s="6" t="n">
        <v>0.136464147282515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1.30176527913697</v>
      </c>
      <c r="AO1097" s="6" t="n">
        <v>1.31524409562541</v>
      </c>
      <c r="AP1097" s="6" t="n">
        <v>0.129621591903399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1.30705139162536</v>
      </c>
      <c r="AO1098" s="6" t="n">
        <v>1.31379634573556</v>
      </c>
      <c r="AP1098" s="6" t="n">
        <v>0.1324292159086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1.33866296403214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1.35112188886132</v>
      </c>
      <c r="AO1100" s="6" t="n">
        <v>1.35112188886132</v>
      </c>
      <c r="AP1100" s="6" t="n">
        <v>0.135392397415677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1.32731307004581</v>
      </c>
      <c r="AO1101" s="6" t="n">
        <v>1.33315219114603</v>
      </c>
      <c r="AP1101" s="6" t="n">
        <v>0.131043737329391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1.34416526340929</v>
      </c>
      <c r="AO1102" s="6" t="n">
        <v>1.34431346116013</v>
      </c>
      <c r="AP1102" s="6" t="n">
        <v>0.131837216322884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1.34735721918185</v>
      </c>
      <c r="AO1103" s="6" t="n">
        <v>1.34735721918185</v>
      </c>
      <c r="AP1103" s="6" t="n">
        <v>0.133522267195122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1.33208884721129</v>
      </c>
      <c r="AO1104" s="6" t="n">
        <v>1.33270598789751</v>
      </c>
      <c r="AP1104" s="6" t="n">
        <v>0.129983624561065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1.31097918468881</v>
      </c>
      <c r="AO1105" s="6" t="n">
        <v>1.32029739225916</v>
      </c>
      <c r="AP1105" s="6" t="n">
        <v>0.129225329099345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1.34950379493653</v>
      </c>
      <c r="AO1106" s="6" t="n">
        <v>1.35043283993232</v>
      </c>
      <c r="AP1106" s="6" t="n">
        <v>0.134585294998121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1.32874110893734</v>
      </c>
      <c r="AO1107" s="6" t="n">
        <v>1.32907767176252</v>
      </c>
      <c r="AP1107" s="6" t="n">
        <v>0.128552863738299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1.34112585911073</v>
      </c>
      <c r="AO1108" s="6" t="n">
        <v>1.34311926207148</v>
      </c>
      <c r="AP1108" s="6" t="n">
        <v>0.132247185167278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1.29968415678582</v>
      </c>
      <c r="AO1109" s="6" t="n">
        <v>1.3119876505908</v>
      </c>
      <c r="AP1109" s="6" t="n">
        <v>0.129165662793562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1.32668714253875</v>
      </c>
      <c r="AO1110" s="6" t="n">
        <v>1.33201871364098</v>
      </c>
      <c r="AP1110" s="6" t="n">
        <v>0.130627545293178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1.34724250011655</v>
      </c>
      <c r="AO1111" s="6" t="n">
        <v>1.3474935091346</v>
      </c>
      <c r="AP1111" s="6" t="n">
        <v>0.132906757504691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1.35323048528941</v>
      </c>
      <c r="AO1112" s="6" t="n">
        <v>1.35323048528941</v>
      </c>
      <c r="AP1112" s="6" t="n">
        <v>0.135267582184932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1.34748494833134</v>
      </c>
      <c r="AO1113" s="6" t="n">
        <v>1.35351143978699</v>
      </c>
      <c r="AP1113" s="6" t="n">
        <v>0.138060306759642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1.34743319468424</v>
      </c>
      <c r="AO1114" s="6" t="n">
        <v>1.34760614004097</v>
      </c>
      <c r="AP1114" s="6" t="n">
        <v>0.132261967223577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1.31932288720617</v>
      </c>
      <c r="AO1115" s="6" t="n">
        <v>1.3255922923964</v>
      </c>
      <c r="AP1115" s="6" t="n">
        <v>0.130174934097199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1.32913338754106</v>
      </c>
      <c r="AO1116" s="6" t="n">
        <v>1.33360169604888</v>
      </c>
      <c r="AP1116" s="6" t="n">
        <v>0.130636528805032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1.35101673422876</v>
      </c>
      <c r="AO1117" s="6" t="n">
        <v>1.35101673422876</v>
      </c>
      <c r="AP1117" s="6" t="n">
        <v>0.134244300217412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1.33467640682682</v>
      </c>
      <c r="AO1118" s="6" t="n">
        <v>1.3372112992896</v>
      </c>
      <c r="AP1118" s="6" t="n">
        <v>0.130819134830509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1.34229589576972</v>
      </c>
      <c r="AO1119" s="6" t="n">
        <v>1.3423781521706</v>
      </c>
      <c r="AP1119" s="6" t="n">
        <v>0.131650625611537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1.36007028774405</v>
      </c>
      <c r="AO1120" s="6" t="n">
        <v>1.36230389637811</v>
      </c>
      <c r="AP1120" s="6" t="n">
        <v>0.140517079763308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1.29764907975709</v>
      </c>
      <c r="AO1121" s="6" t="n">
        <v>1.31403175866715</v>
      </c>
      <c r="AP1121" s="6" t="n">
        <v>0.132213309888005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1.34670297678415</v>
      </c>
      <c r="AO1122" s="6" t="n">
        <v>1.35123575621744</v>
      </c>
      <c r="AP1122" s="6" t="n">
        <v>0.13479536865986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1.35387273159894</v>
      </c>
      <c r="AO1123" s="6" t="n">
        <v>1.35419012597043</v>
      </c>
      <c r="AP1123" s="6" t="n">
        <v>0.133312558128149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1.34205599063294</v>
      </c>
      <c r="AO1124" s="6" t="n">
        <v>1.34217261442395</v>
      </c>
      <c r="AP1124" s="6" t="n">
        <v>0.132005366300275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1.33805202534882</v>
      </c>
      <c r="AO1125" s="6" t="n">
        <v>1.34278398555313</v>
      </c>
      <c r="AP1125" s="6" t="n">
        <v>0.133499808387502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1.35489434693097</v>
      </c>
      <c r="AO1126" s="6" t="n">
        <v>1.35489434693097</v>
      </c>
      <c r="AP1126" s="6" t="n">
        <v>0.134606235515391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1.32473139516628</v>
      </c>
      <c r="AO1127" s="6" t="n">
        <v>1.33037124541055</v>
      </c>
      <c r="AP1127" s="6" t="n">
        <v>0.130289534271222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1.33607306850135</v>
      </c>
      <c r="AO1128" s="6" t="n">
        <v>1.33845084025715</v>
      </c>
      <c r="AP1128" s="6" t="n">
        <v>0.131043479382175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1.34112727732562</v>
      </c>
      <c r="AO1129" s="6" t="n">
        <v>1.34414485051044</v>
      </c>
      <c r="AP1129" s="6" t="n">
        <v>0.13256382064112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1.34771286145496</v>
      </c>
      <c r="AO1130" s="6" t="n">
        <v>1.34836847007053</v>
      </c>
      <c r="AP1130" s="6" t="n">
        <v>0.132423855736908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1.32796239363634</v>
      </c>
      <c r="AO1131" s="6" t="n">
        <v>1.32810476692099</v>
      </c>
      <c r="AP1131" s="6" t="n">
        <v>0.129075218628251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1.33500019077418</v>
      </c>
      <c r="AO1133" s="6" t="n">
        <v>1.33505053956758</v>
      </c>
      <c r="AP1133" s="6" t="n">
        <v>0.130667326032276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1.34907856289022</v>
      </c>
      <c r="AO1134" s="6" t="n">
        <v>1.34978969449417</v>
      </c>
      <c r="AP1134" s="6" t="n">
        <v>0.132640583800462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1.31704537263961</v>
      </c>
      <c r="AO1135" s="6" t="n">
        <v>1.32558041653051</v>
      </c>
      <c r="AP1135" s="6" t="n">
        <v>0.13300059124956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1.30543598881931</v>
      </c>
      <c r="AO1136" s="6" t="n">
        <v>1.3097362609211</v>
      </c>
      <c r="AP1136" s="6" t="n">
        <v>0.130064744273049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1.31199512603423</v>
      </c>
      <c r="AO1137" s="6" t="n">
        <v>1.32598181665597</v>
      </c>
      <c r="AP1137" s="6" t="n">
        <v>0.127966880099816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1.34721810119618</v>
      </c>
      <c r="AO1138" s="6" t="n">
        <v>1.34721810119618</v>
      </c>
      <c r="AP1138" s="6" t="n">
        <v>0.13419495222778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1.34102070545895</v>
      </c>
      <c r="AO1139" s="6" t="n">
        <v>1.35057441458999</v>
      </c>
      <c r="AP1139" s="6" t="n">
        <v>0.138406828329148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1.34441815824964</v>
      </c>
      <c r="AO1140" s="6" t="n">
        <v>1.34457659516269</v>
      </c>
      <c r="AP1140" s="6" t="n">
        <v>0.13208457813911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1.33983721258059</v>
      </c>
      <c r="AO1141" s="6" t="n">
        <v>1.34000137421729</v>
      </c>
      <c r="AP1141" s="6" t="n">
        <v>0.131346392660221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1.34120159877921</v>
      </c>
      <c r="AO1142" s="6" t="n">
        <v>1.34194366217535</v>
      </c>
      <c r="AP1142" s="6" t="n">
        <v>0.131041335774616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1.32746490322691</v>
      </c>
      <c r="AO1143" s="6" t="n">
        <v>1.32746728976389</v>
      </c>
      <c r="AP1143" s="6" t="n">
        <v>0.129603930331723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1.35024979437361</v>
      </c>
      <c r="AO1144" s="6" t="n">
        <v>1.35045436961349</v>
      </c>
      <c r="AP1144" s="6" t="n">
        <v>0.133191156462356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1.33312202831545</v>
      </c>
      <c r="AO1145" s="6" t="n">
        <v>1.33692004643565</v>
      </c>
      <c r="AP1145" s="6" t="n">
        <v>0.131165054793943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1.32782528909536</v>
      </c>
      <c r="AO1146" s="6" t="n">
        <v>1.32937112641303</v>
      </c>
      <c r="AP1146" s="6" t="n">
        <v>0.128805195613715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1.28027265507833</v>
      </c>
      <c r="AO1147" s="6" t="n">
        <v>1.29410631162928</v>
      </c>
      <c r="AP1147" s="6" t="n">
        <v>0.132850934258287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1.35190445431602</v>
      </c>
      <c r="AO1148" s="6" t="n">
        <v>1.35190445431602</v>
      </c>
      <c r="AP1148" s="6" t="n">
        <v>0.133550399290593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1.32111323462315</v>
      </c>
      <c r="AO1149" s="6" t="n">
        <v>1.33107207299646</v>
      </c>
      <c r="AP1149" s="6" t="n">
        <v>0.132046915969509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1.34835522559792</v>
      </c>
      <c r="AO1150" s="6" t="n">
        <v>1.34853914856786</v>
      </c>
      <c r="AP1150" s="6" t="n">
        <v>0.134033725396629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1.30064748931617</v>
      </c>
      <c r="AO1151" s="6" t="n">
        <v>1.31147486790625</v>
      </c>
      <c r="AP1151" s="6" t="n">
        <v>0.133329265037083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1.30199554091976</v>
      </c>
      <c r="AO1152" s="6" t="n">
        <v>1.31280875967718</v>
      </c>
      <c r="AP1152" s="6" t="n">
        <v>0.129403417921919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1.33953992542645</v>
      </c>
      <c r="AO1153" s="6" t="n">
        <v>1.34606963943144</v>
      </c>
      <c r="AP1153" s="6" t="n">
        <v>0.134370423010622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1.33910582439668</v>
      </c>
      <c r="AO1154" s="6" t="n">
        <v>1.33914409905461</v>
      </c>
      <c r="AP1154" s="6" t="n">
        <v>0.13075094462223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1.34132851870588</v>
      </c>
      <c r="AO1155" s="6" t="n">
        <v>1.34414734118386</v>
      </c>
      <c r="AP1155" s="6" t="n">
        <v>0.132265194785953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1.34224925132043</v>
      </c>
      <c r="AO1156" s="6" t="n">
        <v>1.34265521551776</v>
      </c>
      <c r="AP1156" s="6" t="n">
        <v>0.132068535473169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1.3301913111694</v>
      </c>
      <c r="AO1157" s="6" t="n">
        <v>1.34352932880004</v>
      </c>
      <c r="AP1157" s="6" t="n">
        <v>0.142522044482622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1.34432176898164</v>
      </c>
      <c r="AO1158" s="6" t="n">
        <v>1.3444242459867</v>
      </c>
      <c r="AP1158" s="6" t="n">
        <v>0.131665355510863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1.35558839779174</v>
      </c>
      <c r="AO1159" s="6" t="n">
        <v>1.35558839779174</v>
      </c>
      <c r="AP1159" s="6" t="n">
        <v>0.135094460375462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1.32435581682334</v>
      </c>
      <c r="AO1160" s="6" t="n">
        <v>1.32435581682334</v>
      </c>
      <c r="AP1160" s="6" t="n">
        <v>0.13303576017936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1.34074163198424</v>
      </c>
      <c r="AO1161" s="6" t="n">
        <v>1.3407451117967</v>
      </c>
      <c r="AP1161" s="6" t="n">
        <v>0.131766315184994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1.33389941518455</v>
      </c>
      <c r="AO1162" s="6" t="n">
        <v>1.3349879654233</v>
      </c>
      <c r="AP1162" s="6" t="n">
        <v>0.129336580509938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1.35761582657245</v>
      </c>
      <c r="AO1163" s="6" t="n">
        <v>1.36228993144569</v>
      </c>
      <c r="AP1163" s="6" t="n">
        <v>0.139765834569896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1.35375335397847</v>
      </c>
      <c r="AO1164" s="6" t="n">
        <v>1.35450811635203</v>
      </c>
      <c r="AP1164" s="6" t="n">
        <v>0.134337356304316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1.33766199142541</v>
      </c>
      <c r="AO1165" s="6" t="n">
        <v>1.33849555977943</v>
      </c>
      <c r="AP1165" s="6" t="n">
        <v>0.130254706178694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1.35816009275049</v>
      </c>
      <c r="AO1166" s="6" t="n">
        <v>1.35873725705394</v>
      </c>
      <c r="AP1166" s="6" t="n">
        <v>0.135955932854673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1.33805770757646</v>
      </c>
      <c r="AO1167" s="6" t="n">
        <v>1.3384480691983</v>
      </c>
      <c r="AP1167" s="6" t="n">
        <v>0.130453062535797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1.35521941560753</v>
      </c>
      <c r="AO1168" s="6" t="n">
        <v>1.35521941560753</v>
      </c>
      <c r="AP1168" s="6" t="n">
        <v>0.137390880646631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1.34085493181044</v>
      </c>
      <c r="AO1169" s="6" t="n">
        <v>1.34372335020257</v>
      </c>
      <c r="AP1169" s="6" t="n">
        <v>0.132156355217673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1.34915384954264</v>
      </c>
      <c r="AO1170" s="6" t="n">
        <v>1.34975062623325</v>
      </c>
      <c r="AP1170" s="6" t="n">
        <v>0.134196545173897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1.33971142605889</v>
      </c>
      <c r="AO1171" s="6" t="n">
        <v>1.33971142605889</v>
      </c>
      <c r="AP1171" s="6" t="n">
        <v>0.131998206812714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1.3414737951016</v>
      </c>
      <c r="AO1172" s="6" t="n">
        <v>1.34454017309708</v>
      </c>
      <c r="AP1172" s="6" t="n">
        <v>0.132801149791965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1.34941224449852</v>
      </c>
      <c r="AO1173" s="6" t="n">
        <v>1.35115986259674</v>
      </c>
      <c r="AP1173" s="6" t="n">
        <v>0.135195820856716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1.32716993632911</v>
      </c>
      <c r="AO1174" s="6" t="n">
        <v>1.33262955486485</v>
      </c>
      <c r="AP1174" s="6" t="n">
        <v>0.130604025283869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1.34413392757225</v>
      </c>
      <c r="AO1175" s="6" t="n">
        <v>1.34472292176928</v>
      </c>
      <c r="AP1175" s="6" t="n">
        <v>0.131741694196532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1.32231933615787</v>
      </c>
      <c r="AO1176" s="6" t="n">
        <v>1.32716414777713</v>
      </c>
      <c r="AP1176" s="6" t="n">
        <v>0.135058449117729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1.34769278055455</v>
      </c>
      <c r="AO1177" s="6" t="n">
        <v>1.34769278055455</v>
      </c>
      <c r="AP1177" s="6" t="n">
        <v>0.138367822865536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1.34386678882848</v>
      </c>
      <c r="AO1178" s="6" t="n">
        <v>1.34677816742628</v>
      </c>
      <c r="AP1178" s="6" t="n">
        <v>0.133431590764765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1.31669456797412</v>
      </c>
      <c r="AO1179" s="6" t="n">
        <v>1.32578356333268</v>
      </c>
      <c r="AP1179" s="6" t="n">
        <v>0.131633132231166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1.34705389583366</v>
      </c>
      <c r="AO1180" s="6" t="n">
        <v>1.34760740703558</v>
      </c>
      <c r="AP1180" s="6" t="n">
        <v>0.132973095680104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1.33272148015973</v>
      </c>
      <c r="AO1181" s="6" t="n">
        <v>1.33406345063221</v>
      </c>
      <c r="AP1181" s="6" t="n">
        <v>0.129961287577718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1.33363719581351</v>
      </c>
      <c r="AO1182" s="6" t="n">
        <v>1.33805042301941</v>
      </c>
      <c r="AP1182" s="6" t="n">
        <v>0.131625595448515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1.3489493624988</v>
      </c>
      <c r="AO1183" s="6" t="n">
        <v>1.34921804293329</v>
      </c>
      <c r="AP1183" s="6" t="n">
        <v>0.133687510355024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1.3388244669617</v>
      </c>
      <c r="AO1184" s="6" t="n">
        <v>1.33976007603763</v>
      </c>
      <c r="AP1184" s="6" t="n">
        <v>0.131404807105347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1.33227397823924</v>
      </c>
      <c r="AO1185" s="6" t="n">
        <v>1.33228487356015</v>
      </c>
      <c r="AP1185" s="6" t="n">
        <v>0.129796729963981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1.34798356920256</v>
      </c>
      <c r="AO1186" s="6" t="n">
        <v>1.34923384063438</v>
      </c>
      <c r="AP1186" s="6" t="n">
        <v>0.134602385159195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1.31979630758662</v>
      </c>
      <c r="AO1187" s="6" t="n">
        <v>1.32790152823118</v>
      </c>
      <c r="AP1187" s="6" t="n">
        <v>0.130690124754664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1.33279025160287</v>
      </c>
      <c r="AO1188" s="6" t="n">
        <v>1.33344966893943</v>
      </c>
      <c r="AP1188" s="6" t="n">
        <v>0.130151580450062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1.35732242315659</v>
      </c>
      <c r="AO1189" s="6" t="n">
        <v>1.35732242315659</v>
      </c>
      <c r="AP1189" s="6" t="n">
        <v>0.138584298198347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1.35257975711397</v>
      </c>
      <c r="AO1190" s="6" t="n">
        <v>1.35336959008988</v>
      </c>
      <c r="AP1190" s="6" t="n">
        <v>0.136167795396523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1.33368400663742</v>
      </c>
      <c r="AO1191" s="6" t="n">
        <v>1.34086064437011</v>
      </c>
      <c r="AP1191" s="6" t="n">
        <v>0.136656196655219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1.34320795277079</v>
      </c>
      <c r="AO1192" s="6" t="n">
        <v>1.34335940769576</v>
      </c>
      <c r="AP1192" s="6" t="n">
        <v>0.131730506260485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1.35790960414752</v>
      </c>
      <c r="AO1193" s="6" t="n">
        <v>1.35790960414752</v>
      </c>
      <c r="AP1193" s="6" t="n">
        <v>0.138502267856573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1.34227300443287</v>
      </c>
      <c r="AO1194" s="6" t="n">
        <v>1.34310001596916</v>
      </c>
      <c r="AP1194" s="6" t="n">
        <v>0.131870402134111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1.34365351764047</v>
      </c>
      <c r="AO1195" s="6" t="n">
        <v>1.34366426388711</v>
      </c>
      <c r="AP1195" s="6" t="n">
        <v>0.131868640632174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1.34669874059752</v>
      </c>
      <c r="AO1196" s="6" t="n">
        <v>1.34670959969758</v>
      </c>
      <c r="AP1196" s="6" t="n">
        <v>0.132175067260378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1.29963031818133</v>
      </c>
      <c r="AO1197" s="6" t="n">
        <v>1.30212998628494</v>
      </c>
      <c r="AP1197" s="6" t="n">
        <v>0.12974688284694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1.34833904027539</v>
      </c>
      <c r="AO1198" s="6" t="n">
        <v>1.34909816823983</v>
      </c>
      <c r="AP1198" s="6" t="n">
        <v>0.134863363288758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1.3579760315586</v>
      </c>
      <c r="AO1199" s="6" t="n">
        <v>1.3579760315586</v>
      </c>
      <c r="AP1199" s="6" t="n">
        <v>0.139000760162507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1.33903296566253</v>
      </c>
      <c r="AO1200" s="6" t="n">
        <v>1.34026206130013</v>
      </c>
      <c r="AP1200" s="6" t="n">
        <v>0.130905251094391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1.35064845472025</v>
      </c>
      <c r="AO1201" s="6" t="n">
        <v>1.35064845472025</v>
      </c>
      <c r="AP1201" s="6" t="n">
        <v>0.137223258127967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1.32209811716409</v>
      </c>
      <c r="AO1202" s="6" t="n">
        <v>1.33040506081939</v>
      </c>
      <c r="AP1202" s="6" t="n">
        <v>0.131490061981542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1.34103976274299</v>
      </c>
      <c r="AO1203" s="6" t="n">
        <v>1.34209552645672</v>
      </c>
      <c r="AP1203" s="6" t="n">
        <v>0.130935943889672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1.35350306194605</v>
      </c>
      <c r="AO1204" s="6" t="n">
        <v>1.35434216470276</v>
      </c>
      <c r="AP1204" s="6" t="n">
        <v>0.136943119541759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1.35685668013269</v>
      </c>
      <c r="AO1205" s="6" t="n">
        <v>1.35685668013269</v>
      </c>
      <c r="AP1205" s="6" t="n">
        <v>0.136774021445693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1.35557135357779</v>
      </c>
      <c r="AO1206" s="6" t="n">
        <v>1.35557135357779</v>
      </c>
      <c r="AP1206" s="6" t="n">
        <v>0.13719165474426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1.35185251038211</v>
      </c>
      <c r="AO1207" s="6" t="n">
        <v>1.35185251038211</v>
      </c>
      <c r="AP1207" s="6" t="n">
        <v>0.134323140601672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1.32144365585575</v>
      </c>
      <c r="AO1208" s="6" t="n">
        <v>1.32848249184605</v>
      </c>
      <c r="AP1208" s="6" t="n">
        <v>0.130498806536381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1.34169681556765</v>
      </c>
      <c r="AO1209" s="6" t="n">
        <v>1.34470235707217</v>
      </c>
      <c r="AP1209" s="6" t="n">
        <v>0.132089594960673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1.33223599249622</v>
      </c>
      <c r="AO1210" s="6" t="n">
        <v>1.33258279785224</v>
      </c>
      <c r="AP1210" s="6" t="n">
        <v>0.128676084691759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1.33491799153069</v>
      </c>
      <c r="AO1211" s="6" t="n">
        <v>1.34316764065572</v>
      </c>
      <c r="AP1211" s="6" t="n">
        <v>0.13439051025952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1.33827430997429</v>
      </c>
      <c r="AO1212" s="6" t="n">
        <v>1.34005254918167</v>
      </c>
      <c r="AP1212" s="6" t="n">
        <v>0.131828029423557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1.33778870353849</v>
      </c>
      <c r="AO1213" s="6" t="n">
        <v>1.3378048193561</v>
      </c>
      <c r="AP1213" s="6" t="n">
        <v>0.130632622397482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1.34693431753882</v>
      </c>
      <c r="AO1214" s="6" t="n">
        <v>1.34748269910869</v>
      </c>
      <c r="AP1214" s="6" t="n">
        <v>0.133378060096333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1.34362747107978</v>
      </c>
      <c r="AO1215" s="6" t="n">
        <v>1.34426741928348</v>
      </c>
      <c r="AP1215" s="6" t="n">
        <v>0.131760216372789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1.32846566347565</v>
      </c>
      <c r="AO1216" s="6" t="n">
        <v>1.3340665580518</v>
      </c>
      <c r="AP1216" s="6" t="n">
        <v>0.131566452170988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1.32864191018852</v>
      </c>
      <c r="AO1217" s="6" t="n">
        <v>1.33618474431934</v>
      </c>
      <c r="AP1217" s="6" t="n">
        <v>0.13276369458349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1.31871125432872</v>
      </c>
      <c r="AO1218" s="6" t="n">
        <v>1.32610162033777</v>
      </c>
      <c r="AP1218" s="6" t="n">
        <v>0.13053623830784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1.3353671586591</v>
      </c>
      <c r="AO1219" s="6" t="n">
        <v>1.33904432653898</v>
      </c>
      <c r="AP1219" s="6" t="n">
        <v>0.13121340878292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1.35799586476584</v>
      </c>
      <c r="AO1220" s="6" t="n">
        <v>1.35799586476584</v>
      </c>
      <c r="AP1220" s="6" t="n">
        <v>0.138564021262596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1.35642367181831</v>
      </c>
      <c r="AO1221" s="6" t="n">
        <v>1.35642367181831</v>
      </c>
      <c r="AP1221" s="6" t="n">
        <v>0.13786238438183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1.33854087000737</v>
      </c>
      <c r="AO1222" s="6" t="n">
        <v>1.35083438522617</v>
      </c>
      <c r="AP1222" s="6" t="n">
        <v>0.139301655363753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1.35139842235912</v>
      </c>
      <c r="AO1223" s="6" t="n">
        <v>1.35139842235912</v>
      </c>
      <c r="AP1223" s="6" t="n">
        <v>0.134130216554657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1.30377550869775</v>
      </c>
      <c r="AO1224" s="6" t="n">
        <v>1.31559785761652</v>
      </c>
      <c r="AP1224" s="6" t="n">
        <v>0.1292783127645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1.35093560913107</v>
      </c>
      <c r="AO1225" s="6" t="n">
        <v>1.35093560913107</v>
      </c>
      <c r="AP1225" s="6" t="n">
        <v>0.135745273179277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1.34348889751846</v>
      </c>
      <c r="AO1226" s="6" t="n">
        <v>1.34352744589665</v>
      </c>
      <c r="AP1226" s="6" t="n">
        <v>0.132323979972928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1.34549636667734</v>
      </c>
      <c r="AO1227" s="6" t="n">
        <v>1.34562773982312</v>
      </c>
      <c r="AP1227" s="6" t="n">
        <v>0.132179421433614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1.32099695368296</v>
      </c>
      <c r="AO1228" s="6" t="n">
        <v>1.33452697655743</v>
      </c>
      <c r="AP1228" s="6" t="n">
        <v>0.129427721404665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1.3535112418848</v>
      </c>
      <c r="AO1229" s="6" t="n">
        <v>1.3535112418848</v>
      </c>
      <c r="AP1229" s="6" t="n">
        <v>0.136825815550303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1.35168639583436</v>
      </c>
      <c r="AO1230" s="6" t="n">
        <v>1.35168639583436</v>
      </c>
      <c r="AP1230" s="6" t="n">
        <v>0.136084640121374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1.34387833049528</v>
      </c>
      <c r="AO1231" s="6" t="n">
        <v>1.34513278007976</v>
      </c>
      <c r="AP1231" s="6" t="n">
        <v>0.131082456403143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1.34111142728231</v>
      </c>
      <c r="AO1232" s="6" t="n">
        <v>1.34202632890779</v>
      </c>
      <c r="AP1232" s="6" t="n">
        <v>0.131736860489994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1.29967260853906</v>
      </c>
      <c r="AO1233" s="6" t="n">
        <v>1.31544446669474</v>
      </c>
      <c r="AP1233" s="6" t="n">
        <v>0.131597214603637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1.35135305500653</v>
      </c>
      <c r="AO1234" s="6" t="n">
        <v>1.35193938267399</v>
      </c>
      <c r="AP1234" s="6" t="n">
        <v>0.133496892272815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1.34481533631987</v>
      </c>
      <c r="AO1235" s="6" t="n">
        <v>1.34481533631987</v>
      </c>
      <c r="AP1235" s="6" t="n">
        <v>0.134246364739128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1.31759207331651</v>
      </c>
      <c r="AO1236" s="6" t="n">
        <v>1.31759207331651</v>
      </c>
      <c r="AP1236" s="6" t="n">
        <v>0.132410499759954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1.31375200835374</v>
      </c>
      <c r="AO1237" s="6" t="n">
        <v>1.32651290196989</v>
      </c>
      <c r="AP1237" s="6" t="n">
        <v>0.132105777562198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1.3241602808785</v>
      </c>
      <c r="AO1238" s="6" t="n">
        <v>1.32490847710575</v>
      </c>
      <c r="AP1238" s="6" t="n">
        <v>0.128267770367349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1.31630566212217</v>
      </c>
      <c r="AO1239" s="6" t="n">
        <v>1.32580713806267</v>
      </c>
      <c r="AP1239" s="6" t="n">
        <v>0.131340919809796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1.32677809036214</v>
      </c>
      <c r="AO1240" s="6" t="n">
        <v>1.32767731429483</v>
      </c>
      <c r="AP1240" s="6" t="n">
        <v>0.129936549715312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1.35063234595392</v>
      </c>
      <c r="AO1241" s="6" t="n">
        <v>1.35173477274032</v>
      </c>
      <c r="AP1241" s="6" t="n">
        <v>0.134100042686714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1.34383821510405</v>
      </c>
      <c r="AO1242" s="6" t="n">
        <v>1.35007133465124</v>
      </c>
      <c r="AP1242" s="6" t="n">
        <v>0.138168763093063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1.31222711876175</v>
      </c>
      <c r="AO1243" s="6" t="n">
        <v>1.31891648628022</v>
      </c>
      <c r="AP1243" s="6" t="n">
        <v>0.130708978988871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1.33695120446239</v>
      </c>
      <c r="AO1244" s="6" t="n">
        <v>1.34028309705147</v>
      </c>
      <c r="AP1244" s="6" t="n">
        <v>0.131694298886254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1.32513295443706</v>
      </c>
      <c r="AO1245" s="6" t="n">
        <v>1.32513295443706</v>
      </c>
      <c r="AP1245" s="6" t="n">
        <v>0.12945922256645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1.34743004594062</v>
      </c>
      <c r="AO1246" s="6" t="n">
        <v>1.34885790851454</v>
      </c>
      <c r="AP1246" s="6" t="n">
        <v>0.132903188889147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1.33943487958094</v>
      </c>
      <c r="AO1247" s="6" t="n">
        <v>1.34013888158992</v>
      </c>
      <c r="AP1247" s="6" t="n">
        <v>0.131394858899608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1.36401896946756</v>
      </c>
      <c r="AO1248" s="6" t="n">
        <v>1.36401896946756</v>
      </c>
      <c r="AP1248" s="6" t="n">
        <v>0.141954179729739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1.34090831479305</v>
      </c>
      <c r="AO1249" s="6" t="n">
        <v>1.34149987255609</v>
      </c>
      <c r="AP1249" s="6" t="n">
        <v>0.131965565362371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1.33950763567162</v>
      </c>
      <c r="AO1250" s="6" t="n">
        <v>1.34016737781709</v>
      </c>
      <c r="AP1250" s="6" t="n">
        <v>0.131081212902699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1.33779751441146</v>
      </c>
      <c r="AO1251" s="6" t="n">
        <v>1.34386742544674</v>
      </c>
      <c r="AP1251" s="6" t="n">
        <v>0.133640677958405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1.30557479126791</v>
      </c>
      <c r="AO1252" s="6" t="n">
        <v>1.32116886117839</v>
      </c>
      <c r="AP1252" s="6" t="n">
        <v>0.13505737653021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1.33718097554952</v>
      </c>
      <c r="AO1253" s="6" t="n">
        <v>1.33851087585116</v>
      </c>
      <c r="AP1253" s="6" t="n">
        <v>0.130717292066308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1.35238826765086</v>
      </c>
      <c r="AO1254" s="6" t="n">
        <v>1.35259258791231</v>
      </c>
      <c r="AP1254" s="6" t="n">
        <v>0.134116911743331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1.34921972506276</v>
      </c>
      <c r="AO1255" s="6" t="n">
        <v>1.35281886320464</v>
      </c>
      <c r="AP1255" s="6" t="n">
        <v>0.135114891270514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1.29990726123674</v>
      </c>
      <c r="AO1256" s="6" t="n">
        <v>1.31351196927194</v>
      </c>
      <c r="AP1256" s="6" t="n">
        <v>0.13102053705292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1.35950432049775</v>
      </c>
      <c r="AO1257" s="6" t="n">
        <v>1.36012431337959</v>
      </c>
      <c r="AP1257" s="6" t="n">
        <v>0.135705470057178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1.33833632907387</v>
      </c>
      <c r="AO1258" s="6" t="n">
        <v>1.33868488895012</v>
      </c>
      <c r="AP1258" s="6" t="n">
        <v>0.131004760303352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1.32987315345556</v>
      </c>
      <c r="AO1259" s="6" t="n">
        <v>1.32987692653976</v>
      </c>
      <c r="AP1259" s="6" t="n">
        <v>0.129655185296736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1.30854805384338</v>
      </c>
      <c r="AO1260" s="6" t="n">
        <v>1.32042330092413</v>
      </c>
      <c r="AP1260" s="6" t="n">
        <v>0.130691955184502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1.33135895571116</v>
      </c>
      <c r="AO1261" s="6" t="n">
        <v>1.3319693492227</v>
      </c>
      <c r="AP1261" s="6" t="n">
        <v>0.12935202666278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1.35179396401924</v>
      </c>
      <c r="AO1262" s="6" t="n">
        <v>1.35179396401924</v>
      </c>
      <c r="AP1262" s="6" t="n">
        <v>0.135479254208173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1.31646767822221</v>
      </c>
      <c r="AO1263" s="6" t="n">
        <v>1.31696347466191</v>
      </c>
      <c r="AP1263" s="6" t="n">
        <v>0.127266923900458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1.36159175389819</v>
      </c>
      <c r="AO1264" s="6" t="n">
        <v>1.36172798450648</v>
      </c>
      <c r="AP1264" s="6" t="n">
        <v>0.138260914224126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1.34073604240906</v>
      </c>
      <c r="AO1265" s="6" t="n">
        <v>1.34379089509063</v>
      </c>
      <c r="AP1265" s="6" t="n">
        <v>0.132104157019203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1.30347786456673</v>
      </c>
      <c r="AO1266" s="6" t="n">
        <v>1.31112439730161</v>
      </c>
      <c r="AP1266" s="6" t="n">
        <v>0.131308671235059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1.35426736665066</v>
      </c>
      <c r="AO1267" s="6" t="n">
        <v>1.35426736665066</v>
      </c>
      <c r="AP1267" s="6" t="n">
        <v>0.134729725383555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1.29147012215257</v>
      </c>
      <c r="AO1268" s="6" t="n">
        <v>1.30165718121265</v>
      </c>
      <c r="AP1268" s="6" t="n">
        <v>0.126897458259002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1.34122394351859</v>
      </c>
      <c r="AO1269" s="6" t="n">
        <v>1.34123108128991</v>
      </c>
      <c r="AP1269" s="6" t="n">
        <v>0.13131799260917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1.3551815971573</v>
      </c>
      <c r="AO1270" s="6" t="n">
        <v>1.3551815971573</v>
      </c>
      <c r="AP1270" s="6" t="n">
        <v>0.137405030976958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1.33130641584562</v>
      </c>
      <c r="AO1271" s="6" t="n">
        <v>1.33160473513551</v>
      </c>
      <c r="AP1271" s="6" t="n">
        <v>0.129424322415063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1.30877188679477</v>
      </c>
      <c r="AO1272" s="6" t="n">
        <v>1.31261413443955</v>
      </c>
      <c r="AP1272" s="6" t="n">
        <v>0.13451046799571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1.32353655044696</v>
      </c>
      <c r="AO1273" s="6" t="n">
        <v>1.32971720295187</v>
      </c>
      <c r="AP1273" s="6" t="n">
        <v>0.130679658174521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1.3451927692556</v>
      </c>
      <c r="AO1274" s="6" t="n">
        <v>1.34725372047722</v>
      </c>
      <c r="AP1274" s="6" t="n">
        <v>0.132719981630283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1.34245059176686</v>
      </c>
      <c r="AO1275" s="6" t="n">
        <v>1.34414830817239</v>
      </c>
      <c r="AP1275" s="6" t="n">
        <v>0.132224463625919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1.34309480424355</v>
      </c>
      <c r="AO1276" s="6" t="n">
        <v>1.34315810015382</v>
      </c>
      <c r="AP1276" s="6" t="n">
        <v>0.131184569019023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1.34021888749745</v>
      </c>
      <c r="AO1277" s="6" t="n">
        <v>1.34082714400216</v>
      </c>
      <c r="AP1277" s="6" t="n">
        <v>0.131397842387641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1.32970188947543</v>
      </c>
      <c r="AO1278" s="6" t="n">
        <v>1.33020995120419</v>
      </c>
      <c r="AP1278" s="6" t="n">
        <v>0.129549379604601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1.32726033756711</v>
      </c>
      <c r="AO1279" s="6" t="n">
        <v>1.33096554721374</v>
      </c>
      <c r="AP1279" s="6" t="n">
        <v>0.129559136114579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1.30946977913289</v>
      </c>
      <c r="AO1280" s="6" t="n">
        <v>1.32205115308184</v>
      </c>
      <c r="AP1280" s="6" t="n">
        <v>0.131562399828198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1.33520181682097</v>
      </c>
      <c r="AO1281" s="6" t="n">
        <v>1.33525309445011</v>
      </c>
      <c r="AP1281" s="6" t="n">
        <v>0.130487348142899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1.31225481372452</v>
      </c>
      <c r="AO1282" s="6" t="n">
        <v>1.32193702428696</v>
      </c>
      <c r="AP1282" s="6" t="n">
        <v>0.129261528187345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1.30591966680603</v>
      </c>
      <c r="AO1283" s="6" t="n">
        <v>1.31528101884708</v>
      </c>
      <c r="AP1283" s="6" t="n">
        <v>0.131323530331776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1.33145837795147</v>
      </c>
      <c r="AO1284" s="6" t="n">
        <v>1.3319184135404</v>
      </c>
      <c r="AP1284" s="6" t="n">
        <v>0.129289126150447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1.32882100229316</v>
      </c>
      <c r="AO1285" s="6" t="n">
        <v>1.33380763482762</v>
      </c>
      <c r="AP1285" s="6" t="n">
        <v>0.130419367760761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1.35785671481671</v>
      </c>
      <c r="AO1286" s="6" t="n">
        <v>1.35785671481671</v>
      </c>
      <c r="AP1286" s="6" t="n">
        <v>0.138208106920552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1.35430024321481</v>
      </c>
      <c r="AO1287" s="6" t="n">
        <v>1.35430024321481</v>
      </c>
      <c r="AP1287" s="6" t="n">
        <v>0.134559791038328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1.33145548355073</v>
      </c>
      <c r="AO1288" s="6" t="n">
        <v>1.33195499017501</v>
      </c>
      <c r="AP1288" s="6" t="n">
        <v>0.129982089644996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1.34978005164717</v>
      </c>
      <c r="AO1289" s="6" t="n">
        <v>1.35076752788627</v>
      </c>
      <c r="AP1289" s="6" t="n">
        <v>0.133322836068333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1.35886392790565</v>
      </c>
      <c r="AO1290" s="6" t="n">
        <v>1.35919627098251</v>
      </c>
      <c r="AP1290" s="6" t="n">
        <v>0.138707639792913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1.34056880205736</v>
      </c>
      <c r="AO1291" s="6" t="n">
        <v>1.34276147422548</v>
      </c>
      <c r="AP1291" s="6" t="n">
        <v>0.131598092805888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1.3183035232488</v>
      </c>
      <c r="AO1292" s="6" t="n">
        <v>1.31994544111855</v>
      </c>
      <c r="AP1292" s="6" t="n">
        <v>0.127162032141633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1.34339038466006</v>
      </c>
      <c r="AO1293" s="6" t="n">
        <v>1.3450546664425</v>
      </c>
      <c r="AP1293" s="6" t="n">
        <v>0.133040761993843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1.32325815761348</v>
      </c>
      <c r="AO1294" s="6" t="n">
        <v>1.32494891459619</v>
      </c>
      <c r="AP1294" s="6" t="n">
        <v>0.12803870311016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1.35497551813374</v>
      </c>
      <c r="AO1295" s="6" t="n">
        <v>1.35500436276429</v>
      </c>
      <c r="AP1295" s="6" t="n">
        <v>0.136314680464094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1.35105539475752</v>
      </c>
      <c r="AO1296" s="6" t="n">
        <v>1.35115029286909</v>
      </c>
      <c r="AP1296" s="6" t="n">
        <v>0.134085893728542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1.34560476924946</v>
      </c>
      <c r="AO1297" s="6" t="n">
        <v>1.34560476924946</v>
      </c>
      <c r="AP1297" s="6" t="n">
        <v>0.133165537312937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1.33796878747065</v>
      </c>
      <c r="AO1298" s="6" t="n">
        <v>1.33803917356002</v>
      </c>
      <c r="AP1298" s="6" t="n">
        <v>0.130813442525952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1.34193745607017</v>
      </c>
      <c r="AO1299" s="6" t="n">
        <v>1.3423346819861</v>
      </c>
      <c r="AP1299" s="6" t="n">
        <v>0.133379162764782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1.32969333267566</v>
      </c>
      <c r="AO1300" s="6" t="n">
        <v>1.33524989878517</v>
      </c>
      <c r="AP1300" s="6" t="n">
        <v>0.133182156754922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1.33760184423583</v>
      </c>
      <c r="AO1301" s="6" t="n">
        <v>1.33881890928082</v>
      </c>
      <c r="AP1301" s="6" t="n">
        <v>0.130483832650423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1.33561581151626</v>
      </c>
      <c r="AO1302" s="6" t="n">
        <v>1.33603145897282</v>
      </c>
      <c r="AP1302" s="6" t="n">
        <v>0.129996237655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1.34242577874971</v>
      </c>
      <c r="AO1303" s="6" t="n">
        <v>1.34256212349445</v>
      </c>
      <c r="AP1303" s="6" t="n">
        <v>0.133172192048982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1.31845603250516</v>
      </c>
      <c r="AO1304" s="6" t="n">
        <v>1.31926761974983</v>
      </c>
      <c r="AP1304" s="6" t="n">
        <v>0.127511956556687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1.34667926132916</v>
      </c>
      <c r="AO1305" s="6" t="n">
        <v>1.34774575465106</v>
      </c>
      <c r="AP1305" s="6" t="n">
        <v>0.131848877979025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1.34941908885208</v>
      </c>
      <c r="AO1306" s="6" t="n">
        <v>1.34941908885208</v>
      </c>
      <c r="AP1306" s="6" t="n">
        <v>0.134961863232208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1.35082217619033</v>
      </c>
      <c r="AO1307" s="6" t="n">
        <v>1.35082217619033</v>
      </c>
      <c r="AP1307" s="6" t="n">
        <v>0.134519864859902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1.34815294411335</v>
      </c>
      <c r="AO1308" s="6" t="n">
        <v>1.34871905121667</v>
      </c>
      <c r="AP1308" s="6" t="n">
        <v>0.132927157156725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1.32628417538639</v>
      </c>
      <c r="AO1309" s="6" t="n">
        <v>1.3276409642644</v>
      </c>
      <c r="AP1309" s="6" t="n">
        <v>0.128053613836898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1.34491617894517</v>
      </c>
      <c r="AO1310" s="6" t="n">
        <v>1.34854058076882</v>
      </c>
      <c r="AP1310" s="6" t="n">
        <v>0.13403660735141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1.26610632848489</v>
      </c>
      <c r="AO1311" s="6" t="n">
        <v>1.26964020646408</v>
      </c>
      <c r="AP1311" s="6" t="n">
        <v>0.12832264952362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1.36239849679913</v>
      </c>
      <c r="AO1312" s="6" t="n">
        <v>1.36239849679913</v>
      </c>
      <c r="AP1312" s="6" t="n">
        <v>0.14146558000972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93.8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93.5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93.8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92.7333333333333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90.6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91.6666666666667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93.5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93.8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93.8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92.9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93.2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92.7333333333333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90.6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91.6666666666667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93.8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93.5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93.2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92.1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88.7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90.4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93.8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92.9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93.2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93.8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92.7333333333333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90.6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91.6666666666667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93.8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92.9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93.8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92.1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88.7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93.8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6456.8886483024</v>
      </c>
      <c r="P39" s="13" t="n">
        <f aca="false">$F$35*(1+IF(Inputs!$F$312=1,INDEX(Inputs!$AK$313:$AK$1312,Inputs!$F$311),Inputs!$F$127)/100*P33)*(1+Inputs!$F$128/100)*(1+Inputs!$F$122/100)*Inputs!$F$39</f>
        <v>6459.471145512</v>
      </c>
      <c r="Q39" s="13" t="n">
        <f aca="false">$F$35*(1+IF(Inputs!$F$312=1,INDEX(Inputs!$AK$313:$AK$1312,Inputs!$F$311),Inputs!$F$127)/100*Q33)*(1+Inputs!$F$128/100)*(1+Inputs!$F$122/100)*Inputs!$F$39</f>
        <v>6463.3448913264</v>
      </c>
      <c r="R39" s="13" t="n">
        <f aca="false">$F$35*(1+IF(Inputs!$F$312=1,INDEX(Inputs!$AK$313:$AK$1312,Inputs!$F$311),Inputs!$F$127)/100*R33)*(1+Inputs!$F$128/100)*(1+Inputs!$F$122/100)*Inputs!$F$39</f>
        <v>6467.2186371408</v>
      </c>
      <c r="S39" s="13" t="n">
        <f aca="false">$F$35*(1+IF(Inputs!$F$312=1,INDEX(Inputs!$AK$313:$AK$1312,Inputs!$F$311),Inputs!$F$127)/100*S33)*(1+Inputs!$F$128/100)*(1+Inputs!$F$122/100)*Inputs!$F$39</f>
        <v>6471.0923829552</v>
      </c>
      <c r="T39" s="13" t="n">
        <f aca="false">$F$35*(1+IF(Inputs!$F$312=1,INDEX(Inputs!$AK$313:$AK$1312,Inputs!$F$311),Inputs!$F$127)/100*T33)*(1+Inputs!$F$128/100)*(1+Inputs!$F$122/100)*Inputs!$F$39</f>
        <v>6474.9661287696</v>
      </c>
      <c r="U39" s="13" t="n">
        <f aca="false">$F$35*(1+IF(Inputs!$F$312=1,INDEX(Inputs!$AK$313:$AK$1312,Inputs!$F$311),Inputs!$F$127)/100*U33)*(1+Inputs!$F$128/100)*(1+Inputs!$F$122/100)*Inputs!$F$39</f>
        <v>6478.839874584</v>
      </c>
      <c r="V39" s="13" t="n">
        <f aca="false">$F$35*(1+IF(Inputs!$F$312=1,INDEX(Inputs!$AK$313:$AK$1312,Inputs!$F$311),Inputs!$F$127)/100*V33)*(1+Inputs!$F$128/100)*(1+Inputs!$F$122/100)*Inputs!$F$39</f>
        <v>6482.7136203984</v>
      </c>
      <c r="W39" s="13" t="n">
        <f aca="false">$F$35*(1+IF(Inputs!$F$312=1,INDEX(Inputs!$AK$313:$AK$1312,Inputs!$F$311),Inputs!$F$127)/100*W33)*(1+Inputs!$F$128/100)*(1+Inputs!$F$122/100)*Inputs!$F$39</f>
        <v>6486.5873662128</v>
      </c>
      <c r="X39" s="13" t="n">
        <f aca="false">$F$35*(1+IF(Inputs!$F$312=1,INDEX(Inputs!$AK$313:$AK$1312,Inputs!$F$311),Inputs!$F$127)/100*X33)*(1+Inputs!$F$128/100)*(1+Inputs!$F$122/100)*Inputs!$F$39</f>
        <v>6490.4611120272</v>
      </c>
      <c r="Y39" s="13" t="n">
        <f aca="false">$F$35*(1+IF(Inputs!$F$312=1,INDEX(Inputs!$AK$313:$AK$1312,Inputs!$F$311),Inputs!$F$127)/100*Y33)*(1+Inputs!$F$128/100)*(1+Inputs!$F$122/100)*Inputs!$F$39</f>
        <v>6494.3348578416</v>
      </c>
      <c r="Z39" s="13" t="n">
        <f aca="false">$F$35*(1+IF(Inputs!$F$312=1,INDEX(Inputs!$AK$313:$AK$1312,Inputs!$F$311),Inputs!$F$127)/100*Z33)*(1+Inputs!$F$128/100)*(1+Inputs!$F$122/100)*Inputs!$F$39</f>
        <v>6498.208603656</v>
      </c>
      <c r="AA39" s="13" t="n">
        <f aca="false">$F$35*(1+IF(Inputs!$F$312=1,INDEX(Inputs!$AK$313:$AK$1312,Inputs!$F$311),Inputs!$F$127)/100*AA33)*(1+Inputs!$F$128/100)*(1+Inputs!$F$122/100)*Inputs!$F$39</f>
        <v>6502.0823494704</v>
      </c>
      <c r="AB39" s="13" t="n">
        <f aca="false">$F$35*(1+IF(Inputs!$F$312=1,INDEX(Inputs!$AK$313:$AK$1312,Inputs!$F$311),Inputs!$F$127)/100*AB33)*(1+Inputs!$F$128/100)*(1+Inputs!$F$122/100)*Inputs!$F$39</f>
        <v>6505.9560952848</v>
      </c>
      <c r="AC39" s="13" t="n">
        <f aca="false">$F$35*(1+IF(Inputs!$F$312=1,INDEX(Inputs!$AK$313:$AK$1312,Inputs!$F$311),Inputs!$F$127)/100*AC33)*(1+Inputs!$F$128/100)*(1+Inputs!$F$122/100)*Inputs!$F$39</f>
        <v>6509.8298410992</v>
      </c>
      <c r="AD39" s="13" t="n">
        <f aca="false">$F$35*(1+IF(Inputs!$F$312=1,INDEX(Inputs!$AK$313:$AK$1312,Inputs!$F$311),Inputs!$F$127)/100*AD33)*(1+Inputs!$F$128/100)*(1+Inputs!$F$122/100)*Inputs!$F$39</f>
        <v>6513.7035869136</v>
      </c>
      <c r="AE39" s="13" t="n">
        <f aca="false">$F$35*(1+IF(Inputs!$F$312=1,INDEX(Inputs!$AK$313:$AK$1312,Inputs!$F$311),Inputs!$F$127)/100*AE33)*(1+Inputs!$F$128/100)*(1+Inputs!$F$122/100)*Inputs!$F$39</f>
        <v>6517.577332728</v>
      </c>
      <c r="AF39" s="13" t="n">
        <f aca="false">$F$35*(1+IF(Inputs!$F$312=1,INDEX(Inputs!$AK$313:$AK$1312,Inputs!$F$311),Inputs!$F$127)/100*AF33)*(1+Inputs!$F$128/100)*(1+Inputs!$F$122/100)*Inputs!$F$39</f>
        <v>6521.4510785424</v>
      </c>
      <c r="AG39" s="13" t="n">
        <f aca="false">$F$35*(1+IF(Inputs!$F$312=1,INDEX(Inputs!$AK$313:$AK$1312,Inputs!$F$311),Inputs!$F$127)/100*AG33)*(1+Inputs!$F$128/100)*(1+Inputs!$F$122/100)*Inputs!$F$39</f>
        <v>6525.3248243568</v>
      </c>
      <c r="AH39" s="13" t="n">
        <f aca="false">$F$35*(1+IF(Inputs!$F$312=1,INDEX(Inputs!$AK$313:$AK$1312,Inputs!$F$311),Inputs!$F$127)/100*AH33)*(1+Inputs!$F$128/100)*(1+Inputs!$F$122/100)*Inputs!$F$39</f>
        <v>6529.1985701712</v>
      </c>
      <c r="AI39" s="13" t="n">
        <f aca="false">$F$35*(1+IF(Inputs!$F$312=1,INDEX(Inputs!$AK$313:$AK$1312,Inputs!$F$311),Inputs!$F$127)/100*AI33)*(1+Inputs!$F$128/100)*(1+Inputs!$F$122/100)*Inputs!$F$39</f>
        <v>6533.0723159856</v>
      </c>
      <c r="AJ39" s="13" t="n">
        <f aca="false">$F$35*(1+IF(Inputs!$F$312=1,INDEX(Inputs!$AK$313:$AK$1312,Inputs!$F$311),Inputs!$F$127)/100*AJ33)*(1+Inputs!$F$128/100)*(1+Inputs!$F$122/100)*Inputs!$F$39</f>
        <v>6536.9460618</v>
      </c>
      <c r="AK39" s="13" t="n">
        <f aca="false">$F$35*(1+IF(Inputs!$F$312=1,INDEX(Inputs!$AK$313:$AK$1312,Inputs!$F$311),Inputs!$F$127)/100*AK33)*(1+Inputs!$F$128/100)*(1+Inputs!$F$122/100)*Inputs!$F$39</f>
        <v>6540.8198076144</v>
      </c>
      <c r="AL39" s="13" t="n">
        <f aca="false">$F$35*(1+IF(Inputs!$F$312=1,INDEX(Inputs!$AK$313:$AK$1312,Inputs!$F$311),Inputs!$F$127)/100*AL33)*(1+Inputs!$F$128/100)*(1+Inputs!$F$122/100)*Inputs!$F$39</f>
        <v>6544.6935534288</v>
      </c>
      <c r="AM39" s="13" t="n">
        <f aca="false">$F$35*(1+IF(Inputs!$F$312=1,INDEX(Inputs!$AK$313:$AK$1312,Inputs!$F$311),Inputs!$F$127)/100*AM33)*(1+Inputs!$F$128/100)*(1+Inputs!$F$122/100)*Inputs!$F$39</f>
        <v>6548.5672992432</v>
      </c>
      <c r="AN39" s="13" t="n">
        <f aca="false">$F$35*(1+IF(Inputs!$F$312=1,INDEX(Inputs!$AK$313:$AK$1312,Inputs!$F$311),Inputs!$F$127)/100*AN33)*(1+Inputs!$F$128/100)*(1+Inputs!$F$122/100)*Inputs!$F$39</f>
        <v>6552.4410450576</v>
      </c>
      <c r="AO39" s="13" t="n">
        <f aca="false">$F$35*(1+IF(Inputs!$F$312=1,INDEX(Inputs!$AK$313:$AK$1312,Inputs!$F$311),Inputs!$F$127)/100*AO33)*(1+Inputs!$F$128/100)*(1+Inputs!$F$122/100)*Inputs!$F$39</f>
        <v>6556.314790872</v>
      </c>
      <c r="AP39" s="13" t="n">
        <f aca="false">$F$35*(1+IF(Inputs!$F$312=1,INDEX(Inputs!$AK$313:$AK$1312,Inputs!$F$311),Inputs!$F$127)/100*AP33)*(1+Inputs!$F$128/100)*(1+Inputs!$F$122/100)*Inputs!$F$39</f>
        <v>6560.1885366864</v>
      </c>
      <c r="AQ39" s="13" t="n">
        <f aca="false">$F$35*(1+IF(Inputs!$F$312=1,INDEX(Inputs!$AK$313:$AK$1312,Inputs!$F$311),Inputs!$F$127)/100*AQ33)*(1+Inputs!$F$128/100)*(1+Inputs!$F$122/100)*Inputs!$F$39</f>
        <v>6564.0622825008</v>
      </c>
      <c r="AR39" s="13" t="n">
        <f aca="false">$F$35*(1+IF(Inputs!$F$312=1,INDEX(Inputs!$AK$313:$AK$1312,Inputs!$F$311),Inputs!$F$127)/100*AR33)*(1+Inputs!$F$128/100)*(1+Inputs!$F$122/100)*Inputs!$F$39</f>
        <v>6567.9360283152</v>
      </c>
      <c r="AS39" s="13" t="n">
        <f aca="false">$F$35*(1+IF(Inputs!$F$312=1,INDEX(Inputs!$AK$313:$AK$1312,Inputs!$F$311),Inputs!$F$127)/100*AS33)*(1+Inputs!$F$128/100)*(1+Inputs!$F$122/100)*Inputs!$F$39</f>
        <v>6571.8097741296</v>
      </c>
      <c r="AT39" s="13" t="n">
        <f aca="false">$F$35*(1+IF(Inputs!$F$312=1,INDEX(Inputs!$AK$313:$AK$1312,Inputs!$F$311),Inputs!$F$127)/100*AT33)*(1+Inputs!$F$128/100)*(1+Inputs!$F$122/100)*Inputs!$F$39</f>
        <v>6575.683519944</v>
      </c>
      <c r="AU39" s="13" t="n">
        <f aca="false">$F$35*(1+IF(Inputs!$F$312=1,INDEX(Inputs!$AK$313:$AK$1312,Inputs!$F$311),Inputs!$F$127)/100*AU33)*(1+Inputs!$F$128/100)*(1+Inputs!$F$122/100)*Inputs!$F$39</f>
        <v>6579.5572657584</v>
      </c>
      <c r="AV39" s="13" t="n">
        <f aca="false">$F$35*(1+IF(Inputs!$F$312=1,INDEX(Inputs!$AK$313:$AK$1312,Inputs!$F$311),Inputs!$F$127)/100*AV33)*(1+Inputs!$F$128/100)*(1+Inputs!$F$122/100)*Inputs!$F$39</f>
        <v>6583.4310115728</v>
      </c>
      <c r="AW39" s="13" t="n">
        <f aca="false">$F$35*(1+IF(Inputs!$F$312=1,INDEX(Inputs!$AK$313:$AK$1312,Inputs!$F$311),Inputs!$F$127)/100*AW33)*(1+Inputs!$F$128/100)*(1+Inputs!$F$122/100)*Inputs!$F$39</f>
        <v>6587.3047573872</v>
      </c>
      <c r="AX39" s="13" t="n">
        <f aca="false">$F$35*(1+IF(Inputs!$F$312=1,INDEX(Inputs!$AK$313:$AK$1312,Inputs!$F$311),Inputs!$F$127)/100*AX33)*(1+Inputs!$F$128/100)*(1+Inputs!$F$122/100)*Inputs!$F$39</f>
        <v>6591.1785032016</v>
      </c>
      <c r="AY39" s="13" t="n">
        <f aca="false">$F$35*(1+IF(Inputs!$F$312=1,INDEX(Inputs!$AK$313:$AK$1312,Inputs!$F$311),Inputs!$F$127)/100*AY33)*(1+Inputs!$F$128/100)*(1+Inputs!$F$122/100)*Inputs!$F$39</f>
        <v>6595.052249016</v>
      </c>
      <c r="AZ39" s="13" t="n">
        <f aca="false">$F$35*(1+IF(Inputs!$F$312=1,INDEX(Inputs!$AK$313:$AK$1312,Inputs!$F$311),Inputs!$F$127)/100*AZ33)*(1+Inputs!$F$128/100)*(1+Inputs!$F$122/100)*Inputs!$F$39</f>
        <v>6598.9259948304</v>
      </c>
      <c r="BA39" s="13" t="n">
        <f aca="false">$F$35*(1+IF(Inputs!$F$312=1,INDEX(Inputs!$AK$313:$AK$1312,Inputs!$F$311),Inputs!$F$127)/100*BA33)*(1+Inputs!$F$128/100)*(1+Inputs!$F$122/100)*Inputs!$F$39</f>
        <v>6602.7997406448</v>
      </c>
      <c r="BB39" s="13" t="n">
        <f aca="false">$F$35*(1+IF(Inputs!$F$312=1,INDEX(Inputs!$AK$313:$AK$1312,Inputs!$F$311),Inputs!$F$127)/100*BB33)*(1+Inputs!$F$128/100)*(1+Inputs!$F$122/100)*Inputs!$F$39</f>
        <v>6606.6734864592</v>
      </c>
      <c r="BC39" s="13" t="n">
        <f aca="false">$F$35*(1+IF(Inputs!$F$312=1,INDEX(Inputs!$AK$313:$AK$1312,Inputs!$F$311),Inputs!$F$127)/100*BC33)*(1+Inputs!$F$128/100)*(1+Inputs!$F$122/100)*Inputs!$F$39</f>
        <v>6610.5472322736</v>
      </c>
      <c r="BD39" s="13" t="n">
        <f aca="false">$F$35*(1+IF(Inputs!$F$312=1,INDEX(Inputs!$AK$313:$AK$1312,Inputs!$F$311),Inputs!$F$127)/100*BD33)*(1+Inputs!$F$128/100)*(1+Inputs!$F$122/100)*Inputs!$F$39</f>
        <v>6614.420978088</v>
      </c>
      <c r="BE39" s="13" t="n">
        <f aca="false">$F$35*(1+IF(Inputs!$F$312=1,INDEX(Inputs!$AK$313:$AK$1312,Inputs!$F$311),Inputs!$F$127)/100*BE33)*(1+Inputs!$F$128/100)*(1+Inputs!$F$122/100)*Inputs!$F$39</f>
        <v>6618.2947239024</v>
      </c>
      <c r="BF39" s="13" t="n">
        <f aca="false">$F$35*(1+IF(Inputs!$F$312=1,INDEX(Inputs!$AK$313:$AK$1312,Inputs!$F$311),Inputs!$F$127)/100*BF33)*(1+Inputs!$F$128/100)*(1+Inputs!$F$122/100)*Inputs!$F$39</f>
        <v>6622.1684697168</v>
      </c>
      <c r="BG39" s="13" t="n">
        <f aca="false">$F$35*(1+IF(Inputs!$F$312=1,INDEX(Inputs!$AK$313:$AK$1312,Inputs!$F$311),Inputs!$F$127)/100*BG33)*(1+Inputs!$F$128/100)*(1+Inputs!$F$122/100)*Inputs!$F$39</f>
        <v>6626.0422155312</v>
      </c>
      <c r="BH39" s="13" t="n">
        <f aca="false">$F$35*(1+IF(Inputs!$F$312=1,INDEX(Inputs!$AK$313:$AK$1312,Inputs!$F$311),Inputs!$F$127)/100*BH33)*(1+Inputs!$F$128/100)*(1+Inputs!$F$122/100)*Inputs!$F$39</f>
        <v>6629.9159613456</v>
      </c>
      <c r="BI39" s="13" t="n">
        <f aca="false">$F$35*(1+IF(Inputs!$F$312=1,INDEX(Inputs!$AK$313:$AK$1312,Inputs!$F$311),Inputs!$F$127)/100*BI33)*(1+Inputs!$F$128/100)*(1+Inputs!$F$122/100)*Inputs!$F$39</f>
        <v>6633.78970716</v>
      </c>
      <c r="BJ39" s="13" t="n">
        <f aca="false">$F$35*(1+IF(Inputs!$F$312=1,INDEX(Inputs!$AK$313:$AK$1312,Inputs!$F$311),Inputs!$F$127)/100*BJ33)*(1+Inputs!$F$128/100)*(1+Inputs!$F$122/100)*Inputs!$F$39</f>
        <v>6637.6634529744</v>
      </c>
      <c r="BK39" s="13" t="n">
        <f aca="false">$F$35*(1+IF(Inputs!$F$312=1,INDEX(Inputs!$AK$313:$AK$1312,Inputs!$F$311),Inputs!$F$127)/100*BK33)*(1+Inputs!$F$128/100)*(1+Inputs!$F$122/100)*Inputs!$F$39</f>
        <v>6641.5371987888</v>
      </c>
      <c r="BL39" s="13" t="n">
        <f aca="false">$F$35*(1+IF(Inputs!$F$312=1,INDEX(Inputs!$AK$313:$AK$1312,Inputs!$F$311),Inputs!$F$127)/100*BL33)*(1+Inputs!$F$128/100)*(1+Inputs!$F$122/100)*Inputs!$F$39</f>
        <v>6645.4109446032</v>
      </c>
      <c r="BM39" s="13" t="n">
        <f aca="false">$F$35*(1+IF(Inputs!$F$312=1,INDEX(Inputs!$AK$313:$AK$1312,Inputs!$F$311),Inputs!$F$127)/100*BM33)*(1+Inputs!$F$128/100)*(1+Inputs!$F$122/100)*Inputs!$F$39</f>
        <v>6648.6390661152</v>
      </c>
      <c r="BN39" s="13" t="n">
        <f aca="false">$F$35*(1+IF(Inputs!$F$312=1,INDEX(Inputs!$AK$313:$AK$1312,Inputs!$F$311),Inputs!$F$127)/100*BN33)*(1+Inputs!$F$128/100)*(1+Inputs!$F$122/100)*Inputs!$F$39</f>
        <v>6456.243024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7.618</v>
      </c>
      <c r="K41" s="13" t="n">
        <f aca="false">Inputs!$F$142*(1+Inputs!$F$143/100)^(Time!K26-Inputs!$F$256)*Inputs!$F$41</f>
        <v>7.77036</v>
      </c>
      <c r="L41" s="13" t="n">
        <f aca="false">Inputs!$F$142*(1+Inputs!$F$143/100)^(Time!L26-Inputs!$F$256)*Inputs!$F$41</f>
        <v>7.77036</v>
      </c>
      <c r="M41" s="13" t="n">
        <f aca="false">Inputs!$F$142*(1+Inputs!$F$143/100)^(Time!M26-Inputs!$F$256)*Inputs!$F$41</f>
        <v>7.9257672</v>
      </c>
      <c r="N41" s="13" t="n">
        <f aca="false">Inputs!$F$142*(1+Inputs!$F$143/100)^(Time!N26-Inputs!$F$256)*Inputs!$F$41</f>
        <v>7.9257672</v>
      </c>
      <c r="O41" s="13" t="n">
        <f aca="false">Inputs!$F$142*(1+Inputs!$F$143/100)^(Time!O26-Inputs!$F$256)*Inputs!$F$41</f>
        <v>8.084282544</v>
      </c>
      <c r="P41" s="13" t="n">
        <f aca="false">Inputs!$F$142*(1+Inputs!$F$143/100)^(Time!P26-Inputs!$F$256)*Inputs!$F$41</f>
        <v>8.084282544</v>
      </c>
      <c r="Q41" s="13" t="n">
        <f aca="false">Inputs!$F$142*(1+Inputs!$F$143/100)^(Time!Q26-Inputs!$F$256)*Inputs!$F$41</f>
        <v>8.24596819488</v>
      </c>
      <c r="R41" s="13" t="n">
        <f aca="false">Inputs!$F$142*(1+Inputs!$F$143/100)^(Time!R26-Inputs!$F$256)*Inputs!$F$41</f>
        <v>8.24596819488</v>
      </c>
      <c r="S41" s="13" t="n">
        <f aca="false">Inputs!$F$142*(1+Inputs!$F$143/100)^(Time!S26-Inputs!$F$256)*Inputs!$F$41</f>
        <v>8.4108875587776</v>
      </c>
      <c r="T41" s="13" t="n">
        <f aca="false">Inputs!$F$142*(1+Inputs!$F$143/100)^(Time!T26-Inputs!$F$256)*Inputs!$F$41</f>
        <v>8.4108875587776</v>
      </c>
      <c r="U41" s="13" t="n">
        <f aca="false">Inputs!$F$142*(1+Inputs!$F$143/100)^(Time!U26-Inputs!$F$256)*Inputs!$F$41</f>
        <v>8.57910530995315</v>
      </c>
      <c r="V41" s="13" t="n">
        <f aca="false">Inputs!$F$142*(1+Inputs!$F$143/100)^(Time!V26-Inputs!$F$256)*Inputs!$F$41</f>
        <v>8.57910530995315</v>
      </c>
      <c r="W41" s="13" t="n">
        <f aca="false">Inputs!$F$142*(1+Inputs!$F$143/100)^(Time!W26-Inputs!$F$256)*Inputs!$F$41</f>
        <v>8.75068741615222</v>
      </c>
      <c r="X41" s="13" t="n">
        <f aca="false">Inputs!$F$142*(1+Inputs!$F$143/100)^(Time!X26-Inputs!$F$256)*Inputs!$F$41</f>
        <v>8.75068741615222</v>
      </c>
      <c r="Y41" s="13" t="n">
        <f aca="false">Inputs!$F$142*(1+Inputs!$F$143/100)^(Time!Y26-Inputs!$F$256)*Inputs!$F$41</f>
        <v>8.92570116447526</v>
      </c>
      <c r="Z41" s="13" t="n">
        <f aca="false">Inputs!$F$142*(1+Inputs!$F$143/100)^(Time!Z26-Inputs!$F$256)*Inputs!$F$41</f>
        <v>8.92570116447526</v>
      </c>
      <c r="AA41" s="13" t="n">
        <f aca="false">Inputs!$F$142*(1+Inputs!$F$143/100)^(Time!AA26-Inputs!$F$256)*Inputs!$F$41</f>
        <v>9.10421518776477</v>
      </c>
      <c r="AB41" s="13" t="n">
        <f aca="false">Inputs!$F$142*(1+Inputs!$F$143/100)^(Time!AB26-Inputs!$F$256)*Inputs!$F$41</f>
        <v>9.10421518776477</v>
      </c>
      <c r="AC41" s="13" t="n">
        <f aca="false">Inputs!$F$142*(1+Inputs!$F$143/100)^(Time!AC26-Inputs!$F$256)*Inputs!$F$41</f>
        <v>9.28629949152006</v>
      </c>
      <c r="AD41" s="13" t="n">
        <f aca="false">Inputs!$F$142*(1+Inputs!$F$143/100)^(Time!AD26-Inputs!$F$256)*Inputs!$F$41</f>
        <v>9.28629949152006</v>
      </c>
      <c r="AE41" s="13" t="n">
        <f aca="false">Inputs!$F$142*(1+Inputs!$F$143/100)^(Time!AE26-Inputs!$F$256)*Inputs!$F$41</f>
        <v>9.47202548135046</v>
      </c>
      <c r="AF41" s="13" t="n">
        <f aca="false">Inputs!$F$142*(1+Inputs!$F$143/100)^(Time!AF26-Inputs!$F$256)*Inputs!$F$41</f>
        <v>9.47202548135046</v>
      </c>
      <c r="AG41" s="13" t="n">
        <f aca="false">Inputs!$F$142*(1+Inputs!$F$143/100)^(Time!AG26-Inputs!$F$256)*Inputs!$F$41</f>
        <v>9.66146599097747</v>
      </c>
      <c r="AH41" s="13" t="n">
        <f aca="false">Inputs!$F$142*(1+Inputs!$F$143/100)^(Time!AH26-Inputs!$F$256)*Inputs!$F$41</f>
        <v>9.66146599097747</v>
      </c>
      <c r="AI41" s="13" t="n">
        <f aca="false">Inputs!$F$142*(1+Inputs!$F$143/100)^(Time!AI26-Inputs!$F$256)*Inputs!$F$41</f>
        <v>9.85469531079702</v>
      </c>
      <c r="AJ41" s="13" t="n">
        <f aca="false">Inputs!$F$142*(1+Inputs!$F$143/100)^(Time!AJ26-Inputs!$F$256)*Inputs!$F$41</f>
        <v>9.85469531079702</v>
      </c>
      <c r="AK41" s="13" t="n">
        <f aca="false">Inputs!$F$142*(1+Inputs!$F$143/100)^(Time!AK26-Inputs!$F$256)*Inputs!$F$41</f>
        <v>10.051789217013</v>
      </c>
      <c r="AL41" s="13" t="n">
        <f aca="false">Inputs!$F$142*(1+Inputs!$F$143/100)^(Time!AL26-Inputs!$F$256)*Inputs!$F$41</f>
        <v>10.051789217013</v>
      </c>
      <c r="AM41" s="13" t="n">
        <f aca="false">Inputs!$F$142*(1+Inputs!$F$143/100)^(Time!AM26-Inputs!$F$256)*Inputs!$F$41</f>
        <v>10.2528250013532</v>
      </c>
      <c r="AN41" s="13" t="n">
        <f aca="false">Inputs!$F$142*(1+Inputs!$F$143/100)^(Time!AN26-Inputs!$F$256)*Inputs!$F$41</f>
        <v>10.2528250013532</v>
      </c>
      <c r="AO41" s="13" t="n">
        <f aca="false">Inputs!$F$142*(1+Inputs!$F$143/100)^(Time!AO26-Inputs!$F$256)*Inputs!$F$41</f>
        <v>10.4578815013803</v>
      </c>
      <c r="AP41" s="13" t="n">
        <f aca="false">Inputs!$F$142*(1+Inputs!$F$143/100)^(Time!AP26-Inputs!$F$256)*Inputs!$F$41</f>
        <v>10.4578815013803</v>
      </c>
      <c r="AQ41" s="13" t="n">
        <f aca="false">Inputs!$F$142*(1+Inputs!$F$143/100)^(Time!AQ26-Inputs!$F$256)*Inputs!$F$41</f>
        <v>10.6670391314079</v>
      </c>
      <c r="AR41" s="13" t="n">
        <f aca="false">Inputs!$F$142*(1+Inputs!$F$143/100)^(Time!AR26-Inputs!$F$256)*Inputs!$F$41</f>
        <v>10.6670391314079</v>
      </c>
      <c r="AS41" s="13" t="n">
        <f aca="false">Inputs!$F$142*(1+Inputs!$F$143/100)^(Time!AS26-Inputs!$F$256)*Inputs!$F$41</f>
        <v>10.8803799140361</v>
      </c>
      <c r="AT41" s="13" t="n">
        <f aca="false">Inputs!$F$142*(1+Inputs!$F$143/100)^(Time!AT26-Inputs!$F$256)*Inputs!$F$41</f>
        <v>10.8803799140361</v>
      </c>
      <c r="AU41" s="13" t="n">
        <f aca="false">Inputs!$F$142*(1+Inputs!$F$143/100)^(Time!AU26-Inputs!$F$256)*Inputs!$F$41</f>
        <v>11.0979875123168</v>
      </c>
      <c r="AV41" s="13" t="n">
        <f aca="false">Inputs!$F$142*(1+Inputs!$F$143/100)^(Time!AV26-Inputs!$F$256)*Inputs!$F$41</f>
        <v>11.0979875123168</v>
      </c>
      <c r="AW41" s="13" t="n">
        <f aca="false">Inputs!$F$142*(1+Inputs!$F$143/100)^(Time!AW26-Inputs!$F$256)*Inputs!$F$41</f>
        <v>11.3199472625631</v>
      </c>
      <c r="AX41" s="13" t="n">
        <f aca="false">Inputs!$F$142*(1+Inputs!$F$143/100)^(Time!AX26-Inputs!$F$256)*Inputs!$F$41</f>
        <v>11.3199472625631</v>
      </c>
      <c r="AY41" s="13" t="n">
        <f aca="false">Inputs!$F$142*(1+Inputs!$F$143/100)^(Time!AY26-Inputs!$F$256)*Inputs!$F$41</f>
        <v>11.5463462078144</v>
      </c>
      <c r="AZ41" s="13" t="n">
        <f aca="false">Inputs!$F$142*(1+Inputs!$F$143/100)^(Time!AZ26-Inputs!$F$256)*Inputs!$F$41</f>
        <v>11.5463462078144</v>
      </c>
      <c r="BA41" s="13" t="n">
        <f aca="false">Inputs!$F$142*(1+Inputs!$F$143/100)^(Time!BA26-Inputs!$F$256)*Inputs!$F$41</f>
        <v>11.7772731319707</v>
      </c>
      <c r="BB41" s="13" t="n">
        <f aca="false">Inputs!$F$142*(1+Inputs!$F$143/100)^(Time!BB26-Inputs!$F$256)*Inputs!$F$41</f>
        <v>11.7772731319707</v>
      </c>
      <c r="BC41" s="13" t="n">
        <f aca="false">Inputs!$F$142*(1+Inputs!$F$143/100)^(Time!BC26-Inputs!$F$256)*Inputs!$F$41</f>
        <v>12.0128185946101</v>
      </c>
      <c r="BD41" s="13" t="n">
        <f aca="false">Inputs!$F$142*(1+Inputs!$F$143/100)^(Time!BD26-Inputs!$F$256)*Inputs!$F$41</f>
        <v>12.0128185946101</v>
      </c>
      <c r="BE41" s="13" t="n">
        <f aca="false">Inputs!$F$142*(1+Inputs!$F$143/100)^(Time!BE26-Inputs!$F$256)*Inputs!$F$41</f>
        <v>12.2530749665023</v>
      </c>
      <c r="BF41" s="13" t="n">
        <f aca="false">Inputs!$F$142*(1+Inputs!$F$143/100)^(Time!BF26-Inputs!$F$256)*Inputs!$F$41</f>
        <v>12.2530749665023</v>
      </c>
      <c r="BG41" s="13" t="n">
        <f aca="false">Inputs!$F$142*(1+Inputs!$F$143/100)^(Time!BG26-Inputs!$F$256)*Inputs!$F$41</f>
        <v>12.4981364658323</v>
      </c>
      <c r="BH41" s="13" t="n">
        <f aca="false">Inputs!$F$142*(1+Inputs!$F$143/100)^(Time!BH26-Inputs!$F$256)*Inputs!$F$41</f>
        <v>12.4981364658323</v>
      </c>
      <c r="BI41" s="13" t="n">
        <f aca="false">Inputs!$F$142*(1+Inputs!$F$143/100)^(Time!BI26-Inputs!$F$256)*Inputs!$F$41</f>
        <v>12.748099195149</v>
      </c>
      <c r="BJ41" s="13" t="n">
        <f aca="false">Inputs!$F$142*(1+Inputs!$F$143/100)^(Time!BJ26-Inputs!$F$256)*Inputs!$F$41</f>
        <v>12.748099195149</v>
      </c>
      <c r="BK41" s="13" t="n">
        <f aca="false">Inputs!$F$142*(1+Inputs!$F$143/100)^(Time!BK26-Inputs!$F$256)*Inputs!$F$41</f>
        <v>13.0030611790519</v>
      </c>
      <c r="BL41" s="13" t="n">
        <f aca="false">Inputs!$F$142*(1+Inputs!$F$143/100)^(Time!BL26-Inputs!$F$256)*Inputs!$F$41</f>
        <v>13.0030611790519</v>
      </c>
      <c r="BM41" s="13" t="n">
        <f aca="false">Inputs!$F$142*(1+Inputs!$F$143/100)^(Time!BM26-Inputs!$F$256)*Inputs!$F$41</f>
        <v>13.263122402633</v>
      </c>
      <c r="BN41" s="13" t="n">
        <f aca="false">Inputs!$F$142*(1+Inputs!$F$143/100)^(Time!BN26-Inputs!$F$256)*Inputs!$F$41</f>
        <v>13.263122402633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4137692.79785515</v>
      </c>
      <c r="P42" s="15" t="n">
        <f aca="false">P38*P39*(1000*Inputs!$F$123/Inputs!$F$124)</f>
        <v>12411833.3306604</v>
      </c>
      <c r="Q42" s="15" t="n">
        <f aca="false">Q38*Q39*(1000*Inputs!$F$123/Inputs!$F$124)</f>
        <v>12370265.7340664</v>
      </c>
      <c r="R42" s="15" t="n">
        <f aca="false">R38*R39*(1000*Inputs!$F$123/Inputs!$F$124)</f>
        <v>12289014.3890996</v>
      </c>
      <c r="S42" s="15" t="n">
        <f aca="false">S38*S39*(1000*Inputs!$F$123/Inputs!$F$124)</f>
        <v>12326811.9428824</v>
      </c>
      <c r="T42" s="15" t="n">
        <f aca="false">T38*T39*(1000*Inputs!$F$123/Inputs!$F$124)</f>
        <v>12404258.6807638</v>
      </c>
      <c r="U42" s="15" t="n">
        <f aca="false">U38*U39*(1000*Inputs!$F$123/Inputs!$F$124)</f>
        <v>12261301.2719524</v>
      </c>
      <c r="V42" s="15" t="n">
        <f aca="false">V38*V39*(1000*Inputs!$F$123/Inputs!$F$124)</f>
        <v>11977362.8114126</v>
      </c>
      <c r="W42" s="15" t="n">
        <f aca="false">W38*W39*(1000*Inputs!$F$123/Inputs!$F$124)</f>
        <v>12116476.923861</v>
      </c>
      <c r="X42" s="15" t="n">
        <f aca="false">X38*X39*(1000*Inputs!$F$123/Inputs!$F$124)</f>
        <v>12396505.2780672</v>
      </c>
      <c r="Y42" s="15" t="n">
        <f aca="false">Y38*Y39*(1000*Inputs!$F$123/Inputs!$F$124)</f>
        <v>12354897.6145475</v>
      </c>
      <c r="Z42" s="15" t="n">
        <f aca="false">Z38*Z39*(1000*Inputs!$F$123/Inputs!$F$124)</f>
        <v>12273656.3696857</v>
      </c>
      <c r="AA42" s="15" t="n">
        <f aca="false">AA38*AA39*(1000*Inputs!$F$123/Inputs!$F$124)</f>
        <v>12311315.5234461</v>
      </c>
      <c r="AB42" s="15" t="n">
        <f aca="false">AB38*AB39*(1000*Inputs!$F$123/Inputs!$F$124)</f>
        <v>12388573.1225706</v>
      </c>
      <c r="AC42" s="15" t="n">
        <f aca="false">AC38*AC39*(1000*Inputs!$F$123/Inputs!$F$124)</f>
        <v>12162072.2211507</v>
      </c>
      <c r="AD42" s="15" t="n">
        <f aca="false">AD38*AD39*(1000*Inputs!$F$123/Inputs!$F$124)</f>
        <v>11711180.1610953</v>
      </c>
      <c r="AE42" s="15" t="n">
        <f aca="false">AE38*AE39*(1000*Inputs!$F$123/Inputs!$F$124)</f>
        <v>11933673.8339858</v>
      </c>
      <c r="AF42" s="15" t="n">
        <f aca="false">AF38*AF39*(1000*Inputs!$F$123/Inputs!$F$124)</f>
        <v>12380462.2142742</v>
      </c>
      <c r="AG42" s="15" t="n">
        <f aca="false">AG38*AG39*(1000*Inputs!$F$123/Inputs!$F$124)</f>
        <v>12338816.7706452</v>
      </c>
      <c r="AH42" s="15" t="n">
        <f aca="false">AH38*AH39*(1000*Inputs!$F$123/Inputs!$F$124)</f>
        <v>12257590.1995206</v>
      </c>
      <c r="AI42" s="15" t="n">
        <f aca="false">AI38*AI39*(1000*Inputs!$F$123/Inputs!$F$124)</f>
        <v>12295108.6664425</v>
      </c>
      <c r="AJ42" s="15" t="n">
        <f aca="false">AJ38*AJ39*(1000*Inputs!$F$123/Inputs!$F$124)</f>
        <v>12372172.5531778</v>
      </c>
      <c r="AK42" s="15" t="n">
        <f aca="false">AK38*AK39*(1000*Inputs!$F$123/Inputs!$F$124)</f>
        <v>12229403.2985218</v>
      </c>
      <c r="AL42" s="15" t="n">
        <f aca="false">AL38*AL39*(1000*Inputs!$F$123/Inputs!$F$124)</f>
        <v>11946025.9972694</v>
      </c>
      <c r="AM42" s="15" t="n">
        <f aca="false">AM38*AM39*(1000*Inputs!$F$123/Inputs!$F$124)</f>
        <v>12084596.482688</v>
      </c>
      <c r="AN42" s="15" t="n">
        <f aca="false">AN38*AN39*(1000*Inputs!$F$123/Inputs!$F$124)</f>
        <v>12363704.1392815</v>
      </c>
      <c r="AO42" s="15" t="n">
        <f aca="false">AO38*AO39*(1000*Inputs!$F$123/Inputs!$F$124)</f>
        <v>12322023.2023594</v>
      </c>
      <c r="AP42" s="15" t="n">
        <f aca="false">AP38*AP39*(1000*Inputs!$F$123/Inputs!$F$124)</f>
        <v>12240815.8786045</v>
      </c>
      <c r="AQ42" s="15" t="n">
        <f aca="false">AQ38*AQ39*(1000*Inputs!$F$123/Inputs!$F$124)</f>
        <v>12278191.3718717</v>
      </c>
      <c r="AR42" s="15" t="n">
        <f aca="false">AR38*AR39*(1000*Inputs!$F$123/Inputs!$F$124)</f>
        <v>12355056.9725853</v>
      </c>
      <c r="AS42" s="15" t="n">
        <f aca="false">AS38*AS39*(1000*Inputs!$F$123/Inputs!$F$124)</f>
        <v>12128987.9935759</v>
      </c>
      <c r="AT42" s="15" t="n">
        <f aca="false">AT38*AT39*(1000*Inputs!$F$123/Inputs!$F$124)</f>
        <v>11679148.2501102</v>
      </c>
      <c r="AU42" s="15" t="n">
        <f aca="false">AU38*AU39*(1000*Inputs!$F$123/Inputs!$F$124)</f>
        <v>11900855.7346466</v>
      </c>
      <c r="AV42" s="15" t="n">
        <f aca="false">AV38*AV39*(1000*Inputs!$F$123/Inputs!$F$124)</f>
        <v>12346231.0530892</v>
      </c>
      <c r="AW42" s="15" t="n">
        <f aca="false">AW38*AW39*(1000*Inputs!$F$123/Inputs!$F$124)</f>
        <v>12304516.9096901</v>
      </c>
      <c r="AX42" s="15" t="n">
        <f aca="false">AX38*AX39*(1000*Inputs!$F$123/Inputs!$F$124)</f>
        <v>12223333.4069373</v>
      </c>
      <c r="AY42" s="15" t="n">
        <f aca="false">AY38*AY39*(1000*Inputs!$F$123/Inputs!$F$124)</f>
        <v>12260563.6397335</v>
      </c>
      <c r="AZ42" s="15" t="n">
        <f aca="false">AZ38*AZ39*(1000*Inputs!$F$123/Inputs!$F$124)</f>
        <v>12337226.3807931</v>
      </c>
      <c r="BA42" s="15" t="n">
        <f aca="false">BA38*BA39*(1000*Inputs!$F$123/Inputs!$F$124)</f>
        <v>12194677.8039008</v>
      </c>
      <c r="BB42" s="15" t="n">
        <f aca="false">BB38*BB39*(1000*Inputs!$F$123/Inputs!$F$124)</f>
        <v>11911926.7091521</v>
      </c>
      <c r="BC42" s="15" t="n">
        <f aca="false">BC38*BC39*(1000*Inputs!$F$123/Inputs!$F$124)</f>
        <v>12049921.0439328</v>
      </c>
      <c r="BD42" s="15" t="n">
        <f aca="false">BD38*BD39*(1000*Inputs!$F$123/Inputs!$F$124)</f>
        <v>12328042.9556971</v>
      </c>
      <c r="BE42" s="15" t="n">
        <f aca="false">BE38*BE39*(1000*Inputs!$F$123/Inputs!$F$124)</f>
        <v>12286297.8926373</v>
      </c>
      <c r="BF42" s="15" t="n">
        <f aca="false">BF38*BF39*(1000*Inputs!$F$123/Inputs!$F$124)</f>
        <v>12205142.7845191</v>
      </c>
      <c r="BG42" s="15" t="n">
        <f aca="false">BG38*BG39*(1000*Inputs!$F$123/Inputs!$F$124)</f>
        <v>12242225.4700281</v>
      </c>
      <c r="BH42" s="15" t="n">
        <f aca="false">BH38*BH39*(1000*Inputs!$F$123/Inputs!$F$124)</f>
        <v>12318680.7778012</v>
      </c>
      <c r="BI42" s="15" t="n">
        <f aca="false">BI38*BI39*(1000*Inputs!$F$123/Inputs!$F$124)</f>
        <v>12093095.5557029</v>
      </c>
      <c r="BJ42" s="15" t="n">
        <f aca="false">BJ38*BJ39*(1000*Inputs!$F$123/Inputs!$F$124)</f>
        <v>11644411.7978281</v>
      </c>
      <c r="BK42" s="15" t="n">
        <f aca="false">BK38*BK39*(1000*Inputs!$F$123/Inputs!$F$124)</f>
        <v>11865281.2595099</v>
      </c>
      <c r="BL42" s="15" t="n">
        <f aca="false">BL38*BL39*(1000*Inputs!$F$123/Inputs!$F$124)</f>
        <v>12309139.8471054</v>
      </c>
      <c r="BM42" s="15" t="n">
        <f aca="false">BM38*BM39*(1000*Inputs!$F$123/Inputs!$F$124)</f>
        <v>8204753.10262872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485.811746936375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2.51642171803819</v>
      </c>
      <c r="P50" s="13" t="n">
        <f aca="false">P38*P49/1000000</f>
        <v>7.62803889157132</v>
      </c>
      <c r="Q50" s="13" t="n">
        <f aca="false">Q38*Q49/1000000</f>
        <v>7.68105848814811</v>
      </c>
      <c r="R50" s="13" t="n">
        <f aca="false">R38*R49/1000000</f>
        <v>7.70946659936317</v>
      </c>
      <c r="S50" s="13" t="n">
        <f aca="false">S38*S49/1000000</f>
        <v>7.81310103237857</v>
      </c>
      <c r="T50" s="13" t="n">
        <f aca="false">T38*T49/1000000</f>
        <v>7.94344753175194</v>
      </c>
      <c r="U50" s="13" t="n">
        <f aca="false">U38*U49/1000000</f>
        <v>7.93305531916128</v>
      </c>
      <c r="V50" s="13" t="n">
        <f aca="false">V38*V49/1000000</f>
        <v>7.82944507757228</v>
      </c>
      <c r="W50" s="13" t="n">
        <f aca="false">W38*W49/1000000</f>
        <v>8.00225062439422</v>
      </c>
      <c r="X50" s="13" t="n">
        <f aca="false">X38*X49/1000000</f>
        <v>8.27182288419171</v>
      </c>
      <c r="Y50" s="13" t="n">
        <f aca="false">Y38*Y49/1000000</f>
        <v>8.32927939454739</v>
      </c>
      <c r="Z50" s="13" t="n">
        <f aca="false">Z38*Z49/1000000</f>
        <v>8.36004694624821</v>
      </c>
      <c r="AA50" s="13" t="n">
        <f aca="false">AA38*AA49/1000000</f>
        <v>8.47238825046235</v>
      </c>
      <c r="AB50" s="13" t="n">
        <f aca="false">AB38*AB49/1000000</f>
        <v>8.61369443244836</v>
      </c>
      <c r="AC50" s="13" t="n">
        <f aca="false">AC38*AC49/1000000</f>
        <v>8.54363507447978</v>
      </c>
      <c r="AD50" s="13" t="n">
        <f aca="false">AD38*AD49/1000000</f>
        <v>8.31194894771562</v>
      </c>
      <c r="AE50" s="13" t="n">
        <f aca="false">AE38*AE49/1000000</f>
        <v>8.55743512544264</v>
      </c>
      <c r="AF50" s="13" t="n">
        <f aca="false">AF38*AF49/1000000</f>
        <v>8.96961310830208</v>
      </c>
      <c r="AG50" s="13" t="n">
        <f aca="false">AG38*AG49/1000000</f>
        <v>9.03187503656419</v>
      </c>
      <c r="AH50" s="13" t="n">
        <f aca="false">AH38*AH49/1000000</f>
        <v>9.06519622327226</v>
      </c>
      <c r="AI50" s="13" t="n">
        <f aca="false">AI38*AI49/1000000</f>
        <v>9.18697092919141</v>
      </c>
      <c r="AJ50" s="13" t="n">
        <f aca="false">AJ38*AJ49/1000000</f>
        <v>9.34015215220506</v>
      </c>
      <c r="AK50" s="13" t="n">
        <f aca="false">AK38*AK49/1000000</f>
        <v>9.32784700738049</v>
      </c>
      <c r="AL50" s="13" t="n">
        <f aca="false">AL38*AL49/1000000</f>
        <v>9.20593532085</v>
      </c>
      <c r="AM50" s="13" t="n">
        <f aca="false">AM38*AM49/1000000</f>
        <v>9.40903504492034</v>
      </c>
      <c r="AN50" s="13" t="n">
        <f aca="false">AN38*AN49/1000000</f>
        <v>9.72590800784114</v>
      </c>
      <c r="AO50" s="13" t="n">
        <f aca="false">AO38*AO49/1000000</f>
        <v>9.79337418754218</v>
      </c>
      <c r="AP50" s="13" t="n">
        <f aca="false">AP38*AP49/1000000</f>
        <v>9.82945901083024</v>
      </c>
      <c r="AQ50" s="13" t="n">
        <f aca="false">AQ38*AQ49/1000000</f>
        <v>9.96145378288492</v>
      </c>
      <c r="AR50" s="13" t="n">
        <f aca="false">AR38*AR49/1000000</f>
        <v>10.1275012521276</v>
      </c>
      <c r="AS50" s="13" t="n">
        <f aca="false">AS38*AS49/1000000</f>
        <v>10.0450359953257</v>
      </c>
      <c r="AT50" s="13" t="n">
        <f aca="false">AT38*AT49/1000000</f>
        <v>9.77254392926223</v>
      </c>
      <c r="AU50" s="13" t="n">
        <f aca="false">AU38*AU49/1000000</f>
        <v>10.061073700488</v>
      </c>
      <c r="AV50" s="13" t="n">
        <f aca="false">AV38*AV49/1000000</f>
        <v>10.5455775620424</v>
      </c>
      <c r="AW50" s="13" t="n">
        <f aca="false">AW38*AW49/1000000</f>
        <v>10.6186796248286</v>
      </c>
      <c r="AX50" s="13" t="n">
        <f aca="false">AX38*AX49/1000000</f>
        <v>10.6577551622769</v>
      </c>
      <c r="AY50" s="13" t="n">
        <f aca="false">AY38*AY49/1000000</f>
        <v>10.8008217274309</v>
      </c>
      <c r="AZ50" s="13" t="n">
        <f aca="false">AZ38*AZ49/1000000</f>
        <v>10.9808087197124</v>
      </c>
      <c r="BA50" s="13" t="n">
        <f aca="false">BA38*BA49/1000000</f>
        <v>10.9662389078837</v>
      </c>
      <c r="BB50" s="13" t="n">
        <f aca="false">BB38*BB49/1000000</f>
        <v>10.822812016699</v>
      </c>
      <c r="BC50" s="13" t="n">
        <f aca="false">BC38*BC49/1000000</f>
        <v>11.0614785827123</v>
      </c>
      <c r="BD50" s="13" t="n">
        <f aca="false">BD38*BD49/1000000</f>
        <v>11.4338936572534</v>
      </c>
      <c r="BE50" s="13" t="n">
        <f aca="false">BE38*BE49/1000000</f>
        <v>11.5130986997715</v>
      </c>
      <c r="BF50" s="13" t="n">
        <f aca="false">BF38*BF49/1000000</f>
        <v>11.5554104739938</v>
      </c>
      <c r="BG50" s="13" t="n">
        <f aca="false">BG38*BG49/1000000</f>
        <v>11.7104709494486</v>
      </c>
      <c r="BH50" s="13" t="n">
        <f aca="false">BH38*BH49/1000000</f>
        <v>11.905559542911</v>
      </c>
      <c r="BI50" s="13" t="n">
        <f aca="false">BI38*BI49/1000000</f>
        <v>11.8085035891832</v>
      </c>
      <c r="BJ50" s="13" t="n">
        <f aca="false">BJ38*BJ49/1000000</f>
        <v>11.4880642629858</v>
      </c>
      <c r="BK50" s="13" t="n">
        <f aca="false">BK38*BK49/1000000</f>
        <v>11.8271309481052</v>
      </c>
      <c r="BL50" s="13" t="n">
        <f aca="false">BL38*BL49/1000000</f>
        <v>12.3965629101064</v>
      </c>
      <c r="BM50" s="13" t="n">
        <f aca="false">BM38*BM49/1000000</f>
        <v>8.34936857212671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6352.87397969774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33.5128556095402</v>
      </c>
      <c r="P51" s="13" t="n">
        <f aca="false">P38*P40*(1000*Inputs!$F$123/Inputs!$F$124)*P41/1000000</f>
        <v>100.521784566738</v>
      </c>
      <c r="Q51" s="13" t="n">
        <f aca="false">Q38*Q40*(1000*Inputs!$F$123/Inputs!$F$124)*Q41/1000000</f>
        <v>102.178633418759</v>
      </c>
      <c r="R51" s="13" t="n">
        <f aca="false">R38*R40*(1000*Inputs!$F$123/Inputs!$F$124)*R41/1000000</f>
        <v>101.497371501061</v>
      </c>
      <c r="S51" s="13" t="n">
        <f aca="false">S38*S40*(1000*Inputs!$F$123/Inputs!$F$124)*S41/1000000</f>
        <v>103.835393774963</v>
      </c>
      <c r="T51" s="13" t="n">
        <f aca="false">T38*T40*(1000*Inputs!$F$123/Inputs!$F$124)*T41/1000000</f>
        <v>104.477370838869</v>
      </c>
      <c r="U51" s="13" t="n">
        <f aca="false">U38*U40*(1000*Inputs!$F$123/Inputs!$F$124)*U41/1000000</f>
        <v>105.328277063325</v>
      </c>
      <c r="V51" s="13" t="n">
        <f aca="false">V38*V40*(1000*Inputs!$F$123/Inputs!$F$124)*V41/1000000</f>
        <v>102.878942921498</v>
      </c>
      <c r="W51" s="13" t="n">
        <f aca="false">W38*W40*(1000*Inputs!$F$123/Inputs!$F$124)*W41/1000000</f>
        <v>106.144803680268</v>
      </c>
      <c r="X51" s="13" t="n">
        <f aca="false">X38*X40*(1000*Inputs!$F$123/Inputs!$F$124)*X41/1000000</f>
        <v>108.587194877324</v>
      </c>
      <c r="Y51" s="13" t="n">
        <f aca="false">Y38*Y40*(1000*Inputs!$F$123/Inputs!$F$124)*Y41/1000000</f>
        <v>110.376261459066</v>
      </c>
      <c r="Z51" s="13" t="n">
        <f aca="false">Z38*Z40*(1000*Inputs!$F$123/Inputs!$F$124)*Z41/1000000</f>
        <v>109.639626985392</v>
      </c>
      <c r="AA51" s="13" t="n">
        <f aca="false">AA38*AA40*(1000*Inputs!$F$123/Inputs!$F$124)*AA41/1000000</f>
        <v>112.164475507486</v>
      </c>
      <c r="AB51" s="13" t="n">
        <f aca="false">AB38*AB40*(1000*Inputs!$F$123/Inputs!$F$124)*AB41/1000000</f>
        <v>112.857210182802</v>
      </c>
      <c r="AC51" s="13" t="n">
        <f aca="false">AC38*AC40*(1000*Inputs!$F$123/Inputs!$F$124)*AC41/1000000</f>
        <v>112.998576407068</v>
      </c>
      <c r="AD51" s="13" t="n">
        <f aca="false">AD38*AD40*(1000*Inputs!$F$123/Inputs!$F$124)*AD41/1000000</f>
        <v>108.798599113549</v>
      </c>
      <c r="AE51" s="13" t="n">
        <f aca="false">AE38*AE40*(1000*Inputs!$F$123/Inputs!$F$124)*AE41/1000000</f>
        <v>113.071790866626</v>
      </c>
      <c r="AF51" s="13" t="n">
        <f aca="false">AF38*AF40*(1000*Inputs!$F$123/Inputs!$F$124)*AF41/1000000</f>
        <v>117.293597426597</v>
      </c>
      <c r="AG51" s="13" t="n">
        <f aca="false">AG38*AG40*(1000*Inputs!$F$123/Inputs!$F$124)*AG41/1000000</f>
        <v>119.225326691766</v>
      </c>
      <c r="AH51" s="13" t="n">
        <f aca="false">AH38*AH40*(1000*Inputs!$F$123/Inputs!$F$124)*AH41/1000000</f>
        <v>118.42885681245</v>
      </c>
      <c r="AI51" s="13" t="n">
        <f aca="false">AI38*AI40*(1000*Inputs!$F$123/Inputs!$F$124)*AI41/1000000</f>
        <v>121.155312500982</v>
      </c>
      <c r="AJ51" s="13" t="n">
        <f aca="false">AJ38*AJ40*(1000*Inputs!$F$123/Inputs!$F$124)*AJ41/1000000</f>
        <v>121.902773002799</v>
      </c>
      <c r="AK51" s="13" t="n">
        <f aca="false">AK38*AK40*(1000*Inputs!$F$123/Inputs!$F$124)*AK41/1000000</f>
        <v>122.893985144089</v>
      </c>
      <c r="AL51" s="13" t="n">
        <f aca="false">AL38*AL40*(1000*Inputs!$F$123/Inputs!$F$124)*AL41/1000000</f>
        <v>120.034595652545</v>
      </c>
      <c r="AM51" s="13" t="n">
        <f aca="false">AM38*AM40*(1000*Inputs!$F$123/Inputs!$F$124)*AM41/1000000</f>
        <v>123.843428789821</v>
      </c>
      <c r="AN51" s="13" t="n">
        <f aca="false">AN38*AN40*(1000*Inputs!$F$123/Inputs!$F$124)*AN41/1000000</f>
        <v>126.69139789726</v>
      </c>
      <c r="AO51" s="13" t="n">
        <f aca="false">AO38*AO40*(1000*Inputs!$F$123/Inputs!$F$124)*AO41/1000000</f>
        <v>128.777050570558</v>
      </c>
      <c r="AP51" s="13" t="n">
        <f aca="false">AP38*AP40*(1000*Inputs!$F$123/Inputs!$F$124)*AP41/1000000</f>
        <v>127.915925972307</v>
      </c>
      <c r="AQ51" s="13" t="n">
        <f aca="false">AQ38*AQ40*(1000*Inputs!$F$123/Inputs!$F$124)*AQ41/1000000</f>
        <v>130.85992612737</v>
      </c>
      <c r="AR51" s="13" t="n">
        <f aca="false">AR38*AR40*(1000*Inputs!$F$123/Inputs!$F$124)*AR41/1000000</f>
        <v>131.666386884816</v>
      </c>
      <c r="AS51" s="13" t="n">
        <f aca="false">AS38*AS40*(1000*Inputs!$F$123/Inputs!$F$124)*AS41/1000000</f>
        <v>131.829572021848</v>
      </c>
      <c r="AT51" s="13" t="n">
        <f aca="false">AT38*AT40*(1000*Inputs!$F$123/Inputs!$F$124)*AT41/1000000</f>
        <v>126.92799835573</v>
      </c>
      <c r="AU51" s="13" t="n">
        <f aca="false">AU38*AU40*(1000*Inputs!$F$123/Inputs!$F$124)*AU41/1000000</f>
        <v>131.911497904091</v>
      </c>
      <c r="AV51" s="13" t="n">
        <f aca="false">AV38*AV40*(1000*Inputs!$F$123/Inputs!$F$124)*AV41/1000000</f>
        <v>136.834918066657</v>
      </c>
      <c r="AW51" s="13" t="n">
        <f aca="false">AW38*AW40*(1000*Inputs!$F$123/Inputs!$F$124)*AW41/1000000</f>
        <v>139.086633518103</v>
      </c>
      <c r="AX51" s="13" t="n">
        <f aca="false">AX38*AX40*(1000*Inputs!$F$123/Inputs!$F$124)*AX41/1000000</f>
        <v>138.155650231894</v>
      </c>
      <c r="AY51" s="13" t="n">
        <f aca="false">AY38*AY40*(1000*Inputs!$F$123/Inputs!$F$124)*AY41/1000000</f>
        <v>141.334377840141</v>
      </c>
      <c r="AZ51" s="13" t="n">
        <f aca="false">AZ38*AZ40*(1000*Inputs!$F$123/Inputs!$F$124)*AZ41/1000000</f>
        <v>142.204442760186</v>
      </c>
      <c r="BA51" s="13" t="n">
        <f aca="false">BA38*BA40*(1000*Inputs!$F$123/Inputs!$F$124)*BA41/1000000</f>
        <v>143.358825245396</v>
      </c>
      <c r="BB51" s="13" t="n">
        <f aca="false">BB38*BB40*(1000*Inputs!$F$123/Inputs!$F$124)*BB41/1000000</f>
        <v>140.021414702863</v>
      </c>
      <c r="BC51" s="13" t="n">
        <f aca="false">BC38*BC40*(1000*Inputs!$F$123/Inputs!$F$124)*BC41/1000000</f>
        <v>144.462528428656</v>
      </c>
      <c r="BD51" s="13" t="n">
        <f aca="false">BD38*BD40*(1000*Inputs!$F$123/Inputs!$F$124)*BD41/1000000</f>
        <v>147.782695754101</v>
      </c>
      <c r="BE51" s="13" t="n">
        <f aca="false">BE38*BE40*(1000*Inputs!$F$123/Inputs!$F$124)*BE41/1000000</f>
        <v>150.213559642864</v>
      </c>
      <c r="BF51" s="13" t="n">
        <f aca="false">BF38*BF40*(1000*Inputs!$F$123/Inputs!$F$124)*BF41/1000000</f>
        <v>149.207098646817</v>
      </c>
      <c r="BG51" s="13" t="n">
        <f aca="false">BG38*BG40*(1000*Inputs!$F$123/Inputs!$F$124)*BG41/1000000</f>
        <v>152.639078477122</v>
      </c>
      <c r="BH51" s="13" t="n">
        <f aca="false">BH38*BH40*(1000*Inputs!$F$123/Inputs!$F$124)*BH41/1000000</f>
        <v>153.577705941926</v>
      </c>
      <c r="BI51" s="13" t="n">
        <f aca="false">BI38*BI40*(1000*Inputs!$F$123/Inputs!$F$124)*BI41/1000000</f>
        <v>153.76599002387</v>
      </c>
      <c r="BJ51" s="13" t="n">
        <f aca="false">BJ38*BJ40*(1000*Inputs!$F$123/Inputs!$F$124)*BJ41/1000000</f>
        <v>148.046812676591</v>
      </c>
      <c r="BK51" s="13" t="n">
        <f aca="false">BK38*BK40*(1000*Inputs!$F$123/Inputs!$F$124)*BK41/1000000</f>
        <v>153.857425668236</v>
      </c>
      <c r="BL51" s="13" t="n">
        <f aca="false">BL38*BL40*(1000*Inputs!$F$123/Inputs!$F$124)*BL41/1000000</f>
        <v>159.597807347637</v>
      </c>
      <c r="BM51" s="13" t="n">
        <f aca="false">BM38*BM40*(1000*Inputs!$F$123/Inputs!$F$124)*BM41/1000000</f>
        <v>108.500214195317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146.429542661692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0.822072217410972</v>
      </c>
      <c r="P53" s="13" t="n">
        <f aca="false">P42*Inputs!$F$148*(1+Inputs!$F$149/100)^(Time!P26-Inputs!$F$256)/1000000</f>
        <v>2.46596928451541</v>
      </c>
      <c r="Q53" s="13" t="n">
        <f aca="false">Q42*Inputs!$F$148*(1+Inputs!$F$149/100)^(Time!Q26-Inputs!$F$256)/1000000</f>
        <v>2.49457634071986</v>
      </c>
      <c r="R53" s="13" t="n">
        <f aca="false">R42*Inputs!$F$148*(1+Inputs!$F$149/100)^(Time!R26-Inputs!$F$256)/1000000</f>
        <v>2.47819126968233</v>
      </c>
      <c r="S53" s="13" t="n">
        <f aca="false">S42*Inputs!$F$148*(1+Inputs!$F$149/100)^(Time!S26-Inputs!$F$256)/1000000</f>
        <v>2.52310069174203</v>
      </c>
      <c r="T53" s="13" t="n">
        <f aca="false">T42*Inputs!$F$148*(1+Inputs!$F$149/100)^(Time!T26-Inputs!$F$256)/1000000</f>
        <v>2.53895279679783</v>
      </c>
      <c r="U53" s="13" t="n">
        <f aca="false">U42*Inputs!$F$148*(1+Inputs!$F$149/100)^(Time!U26-Inputs!$F$256)/1000000</f>
        <v>2.54733708376765</v>
      </c>
      <c r="V53" s="13" t="n">
        <f aca="false">V42*Inputs!$F$148*(1+Inputs!$F$149/100)^(Time!V26-Inputs!$F$256)/1000000</f>
        <v>2.48834767032787</v>
      </c>
      <c r="W53" s="13" t="n">
        <f aca="false">W42*Inputs!$F$148*(1+Inputs!$F$149/100)^(Time!W26-Inputs!$F$256)/1000000</f>
        <v>2.5550079524854</v>
      </c>
      <c r="X53" s="13" t="n">
        <f aca="false">X42*Inputs!$F$148*(1+Inputs!$F$149/100)^(Time!X26-Inputs!$F$256)/1000000</f>
        <v>2.61405768091835</v>
      </c>
      <c r="Y53" s="13" t="n">
        <f aca="false">Y42*Inputs!$F$148*(1+Inputs!$F$149/100)^(Time!Y26-Inputs!$F$256)/1000000</f>
        <v>2.64436310847705</v>
      </c>
      <c r="Z53" s="13" t="n">
        <f aca="false">Z42*Inputs!$F$148*(1+Inputs!$F$149/100)^(Time!Z26-Inputs!$F$256)/1000000</f>
        <v>2.62697475306514</v>
      </c>
      <c r="AA53" s="13" t="n">
        <f aca="false">AA42*Inputs!$F$148*(1+Inputs!$F$149/100)^(Time!AA26-Inputs!$F$256)/1000000</f>
        <v>2.6745606031505</v>
      </c>
      <c r="AB53" s="13" t="n">
        <f aca="false">AB42*Inputs!$F$148*(1+Inputs!$F$149/100)^(Time!AB26-Inputs!$F$256)/1000000</f>
        <v>2.69134436037929</v>
      </c>
      <c r="AC53" s="13" t="n">
        <f aca="false">AC42*Inputs!$F$148*(1+Inputs!$F$149/100)^(Time!AC26-Inputs!$F$256)/1000000</f>
        <v>2.68177045261444</v>
      </c>
      <c r="AD53" s="13" t="n">
        <f aca="false">AD42*Inputs!$F$148*(1+Inputs!$F$149/100)^(Time!AD26-Inputs!$F$256)/1000000</f>
        <v>2.58234751037338</v>
      </c>
      <c r="AE53" s="13" t="n">
        <f aca="false">AE42*Inputs!$F$148*(1+Inputs!$F$149/100)^(Time!AE26-Inputs!$F$256)/1000000</f>
        <v>2.67087909828532</v>
      </c>
      <c r="AF53" s="13" t="n">
        <f aca="false">AF42*Inputs!$F$148*(1+Inputs!$F$149/100)^(Time!AF26-Inputs!$F$256)/1000000</f>
        <v>2.77087493886801</v>
      </c>
      <c r="AG53" s="13" t="n">
        <f aca="false">AG42*Inputs!$F$148*(1+Inputs!$F$149/100)^(Time!AG26-Inputs!$F$256)/1000000</f>
        <v>2.80297757361037</v>
      </c>
      <c r="AH53" s="13" t="n">
        <f aca="false">AH42*Inputs!$F$148*(1+Inputs!$F$149/100)^(Time!AH26-Inputs!$F$256)/1000000</f>
        <v>2.78452554036638</v>
      </c>
      <c r="AI53" s="13" t="n">
        <f aca="false">AI42*Inputs!$F$148*(1+Inputs!$F$149/100)^(Time!AI26-Inputs!$F$256)/1000000</f>
        <v>2.83494424264546</v>
      </c>
      <c r="AJ53" s="13" t="n">
        <f aca="false">AJ42*Inputs!$F$148*(1+Inputs!$F$149/100)^(Time!AJ26-Inputs!$F$256)/1000000</f>
        <v>2.85271324558339</v>
      </c>
      <c r="AK53" s="13" t="n">
        <f aca="false">AK42*Inputs!$F$148*(1+Inputs!$F$149/100)^(Time!AK26-Inputs!$F$256)/1000000</f>
        <v>2.86209114322515</v>
      </c>
      <c r="AL53" s="13" t="n">
        <f aca="false">AL42*Inputs!$F$148*(1+Inputs!$F$149/100)^(Time!AL26-Inputs!$F$256)/1000000</f>
        <v>2.79577133641956</v>
      </c>
      <c r="AM53" s="13" t="n">
        <f aca="false">AM42*Inputs!$F$148*(1+Inputs!$F$149/100)^(Time!AM26-Inputs!$F$256)/1000000</f>
        <v>2.87062450669468</v>
      </c>
      <c r="AN53" s="13" t="n">
        <f aca="false">AN42*Inputs!$F$148*(1+Inputs!$F$149/100)^(Time!AN26-Inputs!$F$256)/1000000</f>
        <v>2.93692488173585</v>
      </c>
      <c r="AO53" s="13" t="n">
        <f aca="false">AO42*Inputs!$F$148*(1+Inputs!$F$149/100)^(Time!AO26-Inputs!$F$256)/1000000</f>
        <v>2.97092917871418</v>
      </c>
      <c r="AP53" s="13" t="n">
        <f aca="false">AP42*Inputs!$F$148*(1+Inputs!$F$149/100)^(Time!AP26-Inputs!$F$256)/1000000</f>
        <v>2.95134950387454</v>
      </c>
      <c r="AQ53" s="13" t="n">
        <f aca="false">AQ42*Inputs!$F$148*(1+Inputs!$F$149/100)^(Time!AQ26-Inputs!$F$256)/1000000</f>
        <v>3.00476642152149</v>
      </c>
      <c r="AR53" s="13" t="n">
        <f aca="false">AR42*Inputs!$F$148*(1+Inputs!$F$149/100)^(Time!AR26-Inputs!$F$256)/1000000</f>
        <v>3.02357726824958</v>
      </c>
      <c r="AS53" s="13" t="n">
        <f aca="false">AS42*Inputs!$F$148*(1+Inputs!$F$149/100)^(Time!AS26-Inputs!$F$256)/1000000</f>
        <v>3.0127765863489</v>
      </c>
      <c r="AT53" s="13" t="n">
        <f aca="false">AT42*Inputs!$F$148*(1+Inputs!$F$149/100)^(Time!AT26-Inputs!$F$256)/1000000</f>
        <v>2.90103876886235</v>
      </c>
      <c r="AU53" s="13" t="n">
        <f aca="false">AU42*Inputs!$F$148*(1+Inputs!$F$149/100)^(Time!AU26-Inputs!$F$256)/1000000</f>
        <v>3.00045138364863</v>
      </c>
      <c r="AV53" s="13" t="n">
        <f aca="false">AV42*Inputs!$F$148*(1+Inputs!$F$149/100)^(Time!AV26-Inputs!$F$256)/1000000</f>
        <v>3.11273969469616</v>
      </c>
      <c r="AW53" s="13" t="n">
        <f aca="false">AW42*Inputs!$F$148*(1+Inputs!$F$149/100)^(Time!AW26-Inputs!$F$256)/1000000</f>
        <v>3.14875603856921</v>
      </c>
      <c r="AX53" s="13" t="n">
        <f aca="false">AX42*Inputs!$F$148*(1+Inputs!$F$149/100)^(Time!AX26-Inputs!$F$256)/1000000</f>
        <v>3.12798098121417</v>
      </c>
      <c r="AY53" s="13" t="n">
        <f aca="false">AY42*Inputs!$F$148*(1+Inputs!$F$149/100)^(Time!AY26-Inputs!$F$256)/1000000</f>
        <v>3.18457091338283</v>
      </c>
      <c r="AZ53" s="13" t="n">
        <f aca="false">AZ42*Inputs!$F$148*(1+Inputs!$F$149/100)^(Time!AZ26-Inputs!$F$256)/1000000</f>
        <v>3.20448336948944</v>
      </c>
      <c r="BA53" s="13" t="n">
        <f aca="false">BA42*Inputs!$F$148*(1+Inputs!$F$149/100)^(Time!BA26-Inputs!$F$256)/1000000</f>
        <v>3.21496952620687</v>
      </c>
      <c r="BB53" s="13" t="n">
        <f aca="false">BB42*Inputs!$F$148*(1+Inputs!$F$149/100)^(Time!BB26-Inputs!$F$256)/1000000</f>
        <v>3.14042584676436</v>
      </c>
      <c r="BC53" s="13" t="n">
        <f aca="false">BC42*Inputs!$F$148*(1+Inputs!$F$149/100)^(Time!BC26-Inputs!$F$256)/1000000</f>
        <v>3.22445836749426</v>
      </c>
      <c r="BD53" s="13" t="n">
        <f aca="false">BD42*Inputs!$F$148*(1+Inputs!$F$149/100)^(Time!BD26-Inputs!$F$256)/1000000</f>
        <v>3.29888147137207</v>
      </c>
      <c r="BE53" s="13" t="n">
        <f aca="false">BE42*Inputs!$F$148*(1+Inputs!$F$149/100)^(Time!BE26-Inputs!$F$256)/1000000</f>
        <v>3.33702650328729</v>
      </c>
      <c r="BF53" s="13" t="n">
        <f aca="false">BF42*Inputs!$F$148*(1+Inputs!$F$149/100)^(Time!BF26-Inputs!$F$256)/1000000</f>
        <v>3.31498432678839</v>
      </c>
      <c r="BG53" s="13" t="n">
        <f aca="false">BG42*Inputs!$F$148*(1+Inputs!$F$149/100)^(Time!BG26-Inputs!$F$256)/1000000</f>
        <v>3.37493203223909</v>
      </c>
      <c r="BH53" s="13" t="n">
        <f aca="false">BH42*Inputs!$F$148*(1+Inputs!$F$149/100)^(Time!BH26-Inputs!$F$256)/1000000</f>
        <v>3.39600920222504</v>
      </c>
      <c r="BI53" s="13" t="n">
        <f aca="false">BI42*Inputs!$F$148*(1+Inputs!$F$149/100)^(Time!BI26-Inputs!$F$256)/1000000</f>
        <v>3.38382725385082</v>
      </c>
      <c r="BJ53" s="13" t="n">
        <f aca="false">BJ42*Inputs!$F$148*(1+Inputs!$F$149/100)^(Time!BJ26-Inputs!$F$256)/1000000</f>
        <v>3.25827889270016</v>
      </c>
      <c r="BK53" s="13" t="n">
        <f aca="false">BK42*Inputs!$F$148*(1+Inputs!$F$149/100)^(Time!BK26-Inputs!$F$256)/1000000</f>
        <v>3.36988266108797</v>
      </c>
      <c r="BL53" s="13" t="n">
        <f aca="false">BL42*Inputs!$F$148*(1+Inputs!$F$149/100)^(Time!BL26-Inputs!$F$256)/1000000</f>
        <v>3.49594384123186</v>
      </c>
      <c r="BM53" s="13" t="n">
        <f aca="false">BM42*Inputs!$F$148*(1+Inputs!$F$149/100)^(Time!BM26-Inputs!$F$256)/1000000</f>
        <v>2.36520234401095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3820.61994930087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22.5951464628854</v>
      </c>
      <c r="P55" s="13" t="n">
        <f aca="false">P48+P50</f>
        <v>68.079503798669</v>
      </c>
      <c r="Q55" s="13" t="n">
        <f aca="false">Q48+Q50</f>
        <v>68.3501693814498</v>
      </c>
      <c r="R55" s="13" t="n">
        <f aca="false">R48+R50</f>
        <v>68.598604560017</v>
      </c>
      <c r="S55" s="13" t="n">
        <f aca="false">S48+S50</f>
        <v>68.9246731909329</v>
      </c>
      <c r="T55" s="13" t="n">
        <f aca="false">T48+T50</f>
        <v>69.2798873531401</v>
      </c>
      <c r="U55" s="13" t="n">
        <f aca="false">U48+U50</f>
        <v>69.4968228908038</v>
      </c>
      <c r="V55" s="13" t="n">
        <f aca="false">V48+V50</f>
        <v>69.623027400631</v>
      </c>
      <c r="W55" s="13" t="n">
        <f aca="false">W48+W50</f>
        <v>70.0281619082129</v>
      </c>
      <c r="X55" s="13" t="n">
        <f aca="false">X48+X50</f>
        <v>70.5326048439577</v>
      </c>
      <c r="Y55" s="13" t="n">
        <f aca="false">Y48+Y50</f>
        <v>70.82750155221</v>
      </c>
      <c r="Z55" s="13" t="n">
        <f aca="false">Z48+Z50</f>
        <v>71.098306934729</v>
      </c>
      <c r="AA55" s="13" t="n">
        <f aca="false">AA48+AA50</f>
        <v>71.4533121211936</v>
      </c>
      <c r="AB55" s="13" t="n">
        <f aca="false">AB48+AB50</f>
        <v>71.8399369662758</v>
      </c>
      <c r="AC55" s="13" t="n">
        <f aca="false">AC48+AC50</f>
        <v>72.0178800959671</v>
      </c>
      <c r="AD55" s="13" t="n">
        <f aca="false">AD48+AD50</f>
        <v>71.1164379884014</v>
      </c>
      <c r="AE55" s="13" t="n">
        <f aca="false">AE48+AE50</f>
        <v>72.5358543630027</v>
      </c>
      <c r="AF55" s="13" t="n">
        <f aca="false">AF48+AF50</f>
        <v>73.2042637643675</v>
      </c>
      <c r="AG55" s="13" t="n">
        <f aca="false">AG48+AG50</f>
        <v>73.5255603229505</v>
      </c>
      <c r="AH55" s="13" t="n">
        <f aca="false">AH48+AH50</f>
        <v>73.8207500193711</v>
      </c>
      <c r="AI55" s="13" t="n">
        <f aca="false">AI48+AI50</f>
        <v>74.2072581174783</v>
      </c>
      <c r="AJ55" s="13" t="n">
        <f aca="false">AJ48+AJ50</f>
        <v>74.6280689574181</v>
      </c>
      <c r="AK55" s="13" t="n">
        <f aca="false">AK48+AK50</f>
        <v>74.8863213394096</v>
      </c>
      <c r="AL55" s="13" t="n">
        <f aca="false">AL48+AL50</f>
        <v>75.0379271213777</v>
      </c>
      <c r="AM55" s="13" t="n">
        <f aca="false">AM48+AM50</f>
        <v>75.5175366378541</v>
      </c>
      <c r="AN55" s="13" t="n">
        <f aca="false">AN48+AN50</f>
        <v>76.1139444535804</v>
      </c>
      <c r="AO55" s="13" t="n">
        <f aca="false">AO48+AO50</f>
        <v>76.4640036411205</v>
      </c>
      <c r="AP55" s="13" t="n">
        <f aca="false">AP48+AP50</f>
        <v>76.7857730839758</v>
      </c>
      <c r="AQ55" s="13" t="n">
        <f aca="false">AQ48+AQ50</f>
        <v>77.206577910042</v>
      </c>
      <c r="AR55" s="13" t="n">
        <f aca="false">AR48+AR50</f>
        <v>77.6645950604824</v>
      </c>
      <c r="AS55" s="13" t="n">
        <f aca="false">AS48+AS50</f>
        <v>77.8772936788802</v>
      </c>
      <c r="AT55" s="13" t="n">
        <f aca="false">AT48+AT50</f>
        <v>76.9190852280334</v>
      </c>
      <c r="AU55" s="13" t="n">
        <f aca="false">AU48+AU50</f>
        <v>78.4933818786806</v>
      </c>
      <c r="AV55" s="13" t="n">
        <f aca="false">AV48+AV50</f>
        <v>79.2828434007312</v>
      </c>
      <c r="AW55" s="13" t="n">
        <f aca="false">AW48+AW50</f>
        <v>79.6642394085416</v>
      </c>
      <c r="AX55" s="13" t="n">
        <f aca="false">AX48+AX50</f>
        <v>80.0149816750168</v>
      </c>
      <c r="AY55" s="13" t="n">
        <f aca="false">AY48+AY50</f>
        <v>80.4731246519855</v>
      </c>
      <c r="AZ55" s="13" t="n">
        <f aca="false">AZ48+AZ50</f>
        <v>80.9716350413326</v>
      </c>
      <c r="BA55" s="13" t="n">
        <f aca="false">BA48+BA50</f>
        <v>81.2790733223785</v>
      </c>
      <c r="BB55" s="13" t="n">
        <f aca="false">BB48+BB50</f>
        <v>81.4611773429948</v>
      </c>
      <c r="BC55" s="13" t="n">
        <f aca="false">BC48+BC50</f>
        <v>82.028936179926</v>
      </c>
      <c r="BD55" s="13" t="n">
        <f aca="false">BD48+BD50</f>
        <v>82.7340438463278</v>
      </c>
      <c r="BE55" s="13" t="n">
        <f aca="false">BE48+BE50</f>
        <v>83.1495811897239</v>
      </c>
      <c r="BF55" s="13" t="n">
        <f aca="false">BF48+BF50</f>
        <v>83.5319047928278</v>
      </c>
      <c r="BG55" s="13" t="n">
        <f aca="false">BG48+BG50</f>
        <v>84.03069687978</v>
      </c>
      <c r="BH55" s="13" t="n">
        <f aca="false">BH48+BH50</f>
        <v>84.5732775623593</v>
      </c>
      <c r="BI55" s="13" t="n">
        <f aca="false">BI48+BI50</f>
        <v>84.8275153155818</v>
      </c>
      <c r="BJ55" s="13" t="n">
        <f aca="false">BJ48+BJ50</f>
        <v>83.8023640907518</v>
      </c>
      <c r="BK55" s="13" t="n">
        <f aca="false">BK48+BK50</f>
        <v>85.5603017580846</v>
      </c>
      <c r="BL55" s="13" t="n">
        <f aca="false">BL48+BL50</f>
        <v>86.492683647295</v>
      </c>
      <c r="BM55" s="13" t="n">
        <f aca="false">BM48+BM50</f>
        <v>57.991396167726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11010.2702036164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60.7464134575878</v>
      </c>
      <c r="P56" s="13" t="n">
        <f aca="false">P55+P51+P52+P53+P54</f>
        <v>182.578838090353</v>
      </c>
      <c r="Q56" s="13" t="n">
        <f aca="false">Q55+Q51+Q52+Q53+Q54</f>
        <v>184.517129144263</v>
      </c>
      <c r="R56" s="13" t="n">
        <f aca="false">R55+R51+R52+R53+R54</f>
        <v>184.258421477797</v>
      </c>
      <c r="S56" s="13" t="n">
        <f aca="false">S55+S51+S52+S53+S54</f>
        <v>186.949323911022</v>
      </c>
      <c r="T56" s="13" t="n">
        <f aca="false">T55+T51+T52+T53+T54</f>
        <v>188.155728948049</v>
      </c>
      <c r="U56" s="13" t="n">
        <f aca="false">U55+U51+U52+U53+U54</f>
        <v>189.279006345564</v>
      </c>
      <c r="V56" s="13" t="n">
        <f aca="false">V55+V51+V52+V53+V54</f>
        <v>187.027728721087</v>
      </c>
      <c r="W56" s="13" t="n">
        <f aca="false">W55+W51+W52+W53+W54</f>
        <v>190.74673936711</v>
      </c>
      <c r="X56" s="13" t="n">
        <f aca="false">X55+X51+X52+X53+X54</f>
        <v>193.95182929176</v>
      </c>
      <c r="Y56" s="13" t="n">
        <f aca="false">Y55+Y51+Y52+Y53+Y54</f>
        <v>196.047173433288</v>
      </c>
      <c r="Z56" s="13" t="n">
        <f aca="false">Z55+Z51+Z52+Z53+Z54</f>
        <v>195.76615014109</v>
      </c>
      <c r="AA56" s="13" t="n">
        <f aca="false">AA55+AA51+AA52+AA53+AA54</f>
        <v>198.674381255069</v>
      </c>
      <c r="AB56" s="13" t="n">
        <f aca="false">AB55+AB51+AB52+AB53+AB54</f>
        <v>199.97575159938</v>
      </c>
      <c r="AC56" s="13" t="n">
        <f aca="false">AC55+AC51+AC52+AC53+AC54</f>
        <v>200.335425631798</v>
      </c>
      <c r="AD56" s="13" t="n">
        <f aca="false">AD55+AD51+AD52+AD53+AD54</f>
        <v>195.273453603594</v>
      </c>
      <c r="AE56" s="13" t="n">
        <f aca="false">AE55+AE51+AE52+AE53+AE54</f>
        <v>201.03480429928</v>
      </c>
      <c r="AF56" s="13" t="n">
        <f aca="false">AF55+AF51+AF52+AF53+AF54</f>
        <v>206.236446155972</v>
      </c>
      <c r="AG56" s="13" t="n">
        <f aca="false">AG55+AG51+AG52+AG53+AG54</f>
        <v>208.501488759264</v>
      </c>
      <c r="AH56" s="13" t="n">
        <f aca="false">AH55+AH51+AH52+AH53+AH54</f>
        <v>208.196358048719</v>
      </c>
      <c r="AI56" s="13" t="n">
        <f aca="false">AI55+AI51+AI52+AI53+AI54</f>
        <v>211.339353394606</v>
      </c>
      <c r="AJ56" s="13" t="n">
        <f aca="false">AJ55+AJ51+AJ52+AJ53+AJ54</f>
        <v>212.74321426748</v>
      </c>
      <c r="AK56" s="13" t="n">
        <f aca="false">AK55+AK51+AK52+AK53+AK54</f>
        <v>214.055059683594</v>
      </c>
      <c r="AL56" s="13" t="n">
        <f aca="false">AL55+AL51+AL52+AL53+AL54</f>
        <v>211.428348057948</v>
      </c>
      <c r="AM56" s="13" t="n">
        <f aca="false">AM55+AM51+AM52+AM53+AM54</f>
        <v>215.770640537545</v>
      </c>
      <c r="AN56" s="13" t="n">
        <f aca="false">AN55+AN51+AN52+AN53+AN54</f>
        <v>219.505721989396</v>
      </c>
      <c r="AO56" s="13" t="n">
        <f aca="false">AO55+AO51+AO52+AO53+AO54</f>
        <v>221.954119752616</v>
      </c>
      <c r="AP56" s="13" t="n">
        <f aca="false">AP55+AP51+AP52+AP53+AP54</f>
        <v>221.622955138329</v>
      </c>
      <c r="AQ56" s="13" t="n">
        <f aca="false">AQ55+AQ51+AQ52+AQ53+AQ54</f>
        <v>225.01953886659</v>
      </c>
      <c r="AR56" s="13" t="n">
        <f aca="false">AR55+AR51+AR52+AR53+AR54</f>
        <v>226.534014390392</v>
      </c>
      <c r="AS56" s="13" t="n">
        <f aca="false">AS55+AS51+AS52+AS53+AS54</f>
        <v>226.95535291109</v>
      </c>
      <c r="AT56" s="13" t="n">
        <f aca="false">AT55+AT51+AT52+AT53+AT54</f>
        <v>221.140269357122</v>
      </c>
      <c r="AU56" s="13" t="n">
        <f aca="false">AU55+AU51+AU52+AU53+AU54</f>
        <v>227.775185986698</v>
      </c>
      <c r="AV56" s="13" t="n">
        <f aca="false">AV55+AV51+AV52+AV53+AV54</f>
        <v>233.838530371649</v>
      </c>
      <c r="AW56" s="13" t="n">
        <f aca="false">AW55+AW51+AW52+AW53+AW54</f>
        <v>236.485031607796</v>
      </c>
      <c r="AX56" s="13" t="n">
        <f aca="false">AX55+AX51+AX52+AX53+AX54</f>
        <v>236.125762535833</v>
      </c>
      <c r="AY56" s="13" t="n">
        <f aca="false">AY55+AY51+AY52+AY53+AY54</f>
        <v>239.796257087731</v>
      </c>
      <c r="AZ56" s="13" t="n">
        <f aca="false">AZ55+AZ51+AZ52+AZ53+AZ54</f>
        <v>241.430118063431</v>
      </c>
      <c r="BA56" s="13" t="n">
        <f aca="false">BA55+BA51+BA52+BA53+BA54</f>
        <v>242.962132467554</v>
      </c>
      <c r="BB56" s="13" t="n">
        <f aca="false">BB55+BB51+BB52+BB53+BB54</f>
        <v>239.898318138432</v>
      </c>
      <c r="BC56" s="13" t="n">
        <f aca="false">BC55+BC51+BC52+BC53+BC54</f>
        <v>244.967563110092</v>
      </c>
      <c r="BD56" s="13" t="n">
        <f aca="false">BD55+BD51+BD52+BD53+BD54</f>
        <v>249.320050821298</v>
      </c>
      <c r="BE56" s="13" t="n">
        <f aca="false">BE55+BE51+BE52+BE53+BE54</f>
        <v>252.180582071901</v>
      </c>
      <c r="BF56" s="13" t="n">
        <f aca="false">BF55+BF51+BF52+BF53+BF54</f>
        <v>251.790983962172</v>
      </c>
      <c r="BG56" s="13" t="n">
        <f aca="false">BG55+BG51+BG52+BG53+BG54</f>
        <v>255.757328346208</v>
      </c>
      <c r="BH56" s="13" t="n">
        <f aca="false">BH55+BH51+BH52+BH53+BH54</f>
        <v>257.520043845186</v>
      </c>
      <c r="BI56" s="13" t="n">
        <f aca="false">BI55+BI51+BI52+BI53+BI54</f>
        <v>258.01375507617</v>
      </c>
      <c r="BJ56" s="13" t="n">
        <f aca="false">BJ55+BJ51+BJ52+BJ53+BJ54</f>
        <v>251.320102565799</v>
      </c>
      <c r="BK56" s="13" t="n">
        <f aca="false">BK55+BK51+BK52+BK53+BK54</f>
        <v>258.975145012902</v>
      </c>
      <c r="BL56" s="13" t="n">
        <f aca="false">BL55+BL51+BL52+BL53+BL54</f>
        <v>266.042271445505</v>
      </c>
      <c r="BM56" s="13" t="n">
        <f aca="false">BM55+BM51+BM52+BM53+BM54</f>
        <v>179.749861071282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2813</v>
      </c>
      <c r="P63" s="15" t="n">
        <f aca="false">IF(P31&gt;0,Inputs!$F$258*(Inputs!$F$129*P32/P31*P37/Inputs!$F$131+Inputs!$F$130*Inputs!$F$132)*Time!P30/12,0)</f>
        <v>8439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5626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289.839309311622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1.45142956381448</v>
      </c>
      <c r="P64" s="13" t="n">
        <f aca="false">P63*Inputs!$F$156*P21/1000000</f>
        <v>4.40192529112179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4.69889082755903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7.34072101148477</v>
      </c>
      <c r="BL64" s="13" t="n">
        <f aca="false">BL63*Inputs!$F$156*BL21/1000000</f>
        <v>7.42102964808522</v>
      </c>
      <c r="BM64" s="13" t="n">
        <f aca="false">BM63*Inputs!$F$156*BM21/1000000</f>
        <v>5.00147791582495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21.0134097211548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0.12427330554587</v>
      </c>
      <c r="P68" s="13" t="n">
        <f aca="false">Inputs!$F$161/100*P55</f>
        <v>0.374437270892679</v>
      </c>
      <c r="Q68" s="13" t="n">
        <f aca="false">Inputs!$F$161/100*Q55</f>
        <v>0.375925931597974</v>
      </c>
      <c r="R68" s="13" t="n">
        <f aca="false">Inputs!$F$161/100*R55</f>
        <v>0.377292325080093</v>
      </c>
      <c r="S68" s="13" t="n">
        <f aca="false">Inputs!$F$161/100*S55</f>
        <v>0.379085702550131</v>
      </c>
      <c r="T68" s="13" t="n">
        <f aca="false">Inputs!$F$161/100*T55</f>
        <v>0.381039380442271</v>
      </c>
      <c r="U68" s="13" t="n">
        <f aca="false">Inputs!$F$161/100*U55</f>
        <v>0.382232525899421</v>
      </c>
      <c r="V68" s="13" t="n">
        <f aca="false">Inputs!$F$161/100*V55</f>
        <v>0.38292665070347</v>
      </c>
      <c r="W68" s="13" t="n">
        <f aca="false">Inputs!$F$161/100*W55</f>
        <v>0.385154890495171</v>
      </c>
      <c r="X68" s="13" t="n">
        <f aca="false">Inputs!$F$161/100*X55</f>
        <v>0.387929326641767</v>
      </c>
      <c r="Y68" s="13" t="n">
        <f aca="false">Inputs!$F$161/100*Y55</f>
        <v>0.389551258537155</v>
      </c>
      <c r="Z68" s="13" t="n">
        <f aca="false">Inputs!$F$161/100*Z55</f>
        <v>0.39104068814101</v>
      </c>
      <c r="AA68" s="13" t="n">
        <f aca="false">Inputs!$F$161/100*AA55</f>
        <v>0.392993216666565</v>
      </c>
      <c r="AB68" s="13" t="n">
        <f aca="false">Inputs!$F$161/100*AB55</f>
        <v>0.395119653314517</v>
      </c>
      <c r="AC68" s="13" t="n">
        <f aca="false">Inputs!$F$161/100*AC55</f>
        <v>0.396098340527819</v>
      </c>
      <c r="AD68" s="13" t="n">
        <f aca="false">Inputs!$F$161/100*AD55</f>
        <v>0.391140408936208</v>
      </c>
      <c r="AE68" s="13" t="n">
        <f aca="false">Inputs!$F$161/100*AE55</f>
        <v>0.398947198996515</v>
      </c>
      <c r="AF68" s="13" t="n">
        <f aca="false">Inputs!$F$161/100*AF55</f>
        <v>0.402623450704021</v>
      </c>
      <c r="AG68" s="13" t="n">
        <f aca="false">Inputs!$F$161/100*AG55</f>
        <v>0.404390581776228</v>
      </c>
      <c r="AH68" s="13" t="n">
        <f aca="false">Inputs!$F$161/100*AH55</f>
        <v>0.406014125106541</v>
      </c>
      <c r="AI68" s="13" t="n">
        <f aca="false">Inputs!$F$161/100*AI55</f>
        <v>0.40813991964613</v>
      </c>
      <c r="AJ68" s="13" t="n">
        <f aca="false">Inputs!$F$161/100*AJ55</f>
        <v>0.410454379265799</v>
      </c>
      <c r="AK68" s="13" t="n">
        <f aca="false">Inputs!$F$161/100*AK55</f>
        <v>0.411874767366753</v>
      </c>
      <c r="AL68" s="13" t="n">
        <f aca="false">Inputs!$F$161/100*AL55</f>
        <v>0.412708599167577</v>
      </c>
      <c r="AM68" s="13" t="n">
        <f aca="false">Inputs!$F$161/100*AM55</f>
        <v>0.415346451508198</v>
      </c>
      <c r="AN68" s="13" t="n">
        <f aca="false">Inputs!$F$161/100*AN55</f>
        <v>0.418626694494692</v>
      </c>
      <c r="AO68" s="13" t="n">
        <f aca="false">Inputs!$F$161/100*AO55</f>
        <v>0.420552020026163</v>
      </c>
      <c r="AP68" s="13" t="n">
        <f aca="false">Inputs!$F$161/100*AP55</f>
        <v>0.422321751961867</v>
      </c>
      <c r="AQ68" s="13" t="n">
        <f aca="false">Inputs!$F$161/100*AQ55</f>
        <v>0.424636178505231</v>
      </c>
      <c r="AR68" s="13" t="n">
        <f aca="false">Inputs!$F$161/100*AR55</f>
        <v>0.427155272832653</v>
      </c>
      <c r="AS68" s="13" t="n">
        <f aca="false">Inputs!$F$161/100*AS55</f>
        <v>0.428325115233841</v>
      </c>
      <c r="AT68" s="13" t="n">
        <f aca="false">Inputs!$F$161/100*AT55</f>
        <v>0.423054968754184</v>
      </c>
      <c r="AU68" s="13" t="n">
        <f aca="false">Inputs!$F$161/100*AU55</f>
        <v>0.431713600332744</v>
      </c>
      <c r="AV68" s="13" t="n">
        <f aca="false">Inputs!$F$161/100*AV55</f>
        <v>0.436055638704022</v>
      </c>
      <c r="AW68" s="13" t="n">
        <f aca="false">Inputs!$F$161/100*AW55</f>
        <v>0.438153316746979</v>
      </c>
      <c r="AX68" s="13" t="n">
        <f aca="false">Inputs!$F$161/100*AX55</f>
        <v>0.440082399212593</v>
      </c>
      <c r="AY68" s="13" t="n">
        <f aca="false">Inputs!$F$161/100*AY55</f>
        <v>0.44260218558592</v>
      </c>
      <c r="AZ68" s="13" t="n">
        <f aca="false">Inputs!$F$161/100*AZ55</f>
        <v>0.445343992727329</v>
      </c>
      <c r="BA68" s="13" t="n">
        <f aca="false">Inputs!$F$161/100*BA55</f>
        <v>0.447034903273082</v>
      </c>
      <c r="BB68" s="13" t="n">
        <f aca="false">Inputs!$F$161/100*BB55</f>
        <v>0.448036475386472</v>
      </c>
      <c r="BC68" s="13" t="n">
        <f aca="false">Inputs!$F$161/100*BC55</f>
        <v>0.451159148989593</v>
      </c>
      <c r="BD68" s="13" t="n">
        <f aca="false">Inputs!$F$161/100*BD55</f>
        <v>0.455037241154803</v>
      </c>
      <c r="BE68" s="13" t="n">
        <f aca="false">Inputs!$F$161/100*BE55</f>
        <v>0.457322696543481</v>
      </c>
      <c r="BF68" s="13" t="n">
        <f aca="false">Inputs!$F$161/100*BF55</f>
        <v>0.459425476360553</v>
      </c>
      <c r="BG68" s="13" t="n">
        <f aca="false">Inputs!$F$161/100*BG55</f>
        <v>0.46216883283879</v>
      </c>
      <c r="BH68" s="13" t="n">
        <f aca="false">Inputs!$F$161/100*BH55</f>
        <v>0.465153026592976</v>
      </c>
      <c r="BI68" s="13" t="n">
        <f aca="false">Inputs!$F$161/100*BI55</f>
        <v>0.4665513342357</v>
      </c>
      <c r="BJ68" s="13" t="n">
        <f aca="false">Inputs!$F$161/100*BJ55</f>
        <v>0.460913002499135</v>
      </c>
      <c r="BK68" s="13" t="n">
        <f aca="false">Inputs!$F$161/100*BK55</f>
        <v>0.470581659669465</v>
      </c>
      <c r="BL68" s="13" t="n">
        <f aca="false">Inputs!$F$161/100*BL55</f>
        <v>0.475709760060123</v>
      </c>
      <c r="BM68" s="13" t="n">
        <f aca="false">Inputs!$F$161/100*BM55</f>
        <v>0.318952678922493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134.870298707286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2.13240346537019</v>
      </c>
      <c r="R69" s="13" t="n">
        <f aca="false">Inputs!$F$162*(Inputs!$F$219*R21+(1-Inputs!$F$219)*R27*Inputs!$F$153/R11)*R38/1000000</f>
        <v>2.14029008085334</v>
      </c>
      <c r="S69" s="13" t="n">
        <f aca="false">Inputs!$F$162*(Inputs!$F$219*S21+(1-Inputs!$F$219)*S27*Inputs!$F$153/S11)*S38/1000000</f>
        <v>2.16906091034705</v>
      </c>
      <c r="T69" s="13" t="n">
        <f aca="false">Inputs!$F$162*(Inputs!$F$219*T21+(1-Inputs!$F$219)*T27*Inputs!$F$153/T11)*T38/1000000</f>
        <v>2.20524750199865</v>
      </c>
      <c r="U69" s="13" t="n">
        <f aca="false">Inputs!$F$162*(Inputs!$F$219*U21+(1-Inputs!$F$219)*U27*Inputs!$F$153/U11)*U38/1000000</f>
        <v>2.20236243216415</v>
      </c>
      <c r="V69" s="13" t="n">
        <f aca="false">Inputs!$F$162*(Inputs!$F$219*V21+(1-Inputs!$F$219)*V27*Inputs!$F$153/V11)*V38/1000000</f>
        <v>2.17359831865647</v>
      </c>
      <c r="W69" s="13" t="n">
        <f aca="false">Inputs!$F$162*(Inputs!$F$219*W21+(1-Inputs!$F$219)*W27*Inputs!$F$153/W11)*W38/1000000</f>
        <v>2.22157232477123</v>
      </c>
      <c r="X69" s="13" t="n">
        <f aca="false">Inputs!$F$162*(Inputs!$F$219*X21+(1-Inputs!$F$219)*X27*Inputs!$F$153/X11)*X38/1000000</f>
        <v>2.29641055466452</v>
      </c>
      <c r="Y69" s="13" t="n">
        <f aca="false">Inputs!$F$162*(Inputs!$F$219*Y21+(1-Inputs!$F$219)*Y27*Inputs!$F$153/Y11)*Y38/1000000</f>
        <v>2.31236154136506</v>
      </c>
      <c r="Z69" s="13" t="n">
        <f aca="false">Inputs!$F$162*(Inputs!$F$219*Z21+(1-Inputs!$F$219)*Z27*Inputs!$F$153/Z11)*Z38/1000000</f>
        <v>2.32090318103218</v>
      </c>
      <c r="AA69" s="13" t="n">
        <f aca="false">Inputs!$F$162*(Inputs!$F$219*AA21+(1-Inputs!$F$219)*AA27*Inputs!$F$153/AA11)*AA38/1000000</f>
        <v>2.35209119851441</v>
      </c>
      <c r="AB69" s="13" t="n">
        <f aca="false">Inputs!$F$162*(Inputs!$F$219*AB21+(1-Inputs!$F$219)*AB27*Inputs!$F$153/AB11)*AB38/1000000</f>
        <v>2.39132040014205</v>
      </c>
      <c r="AC69" s="13" t="n">
        <f aca="false">Inputs!$F$162*(Inputs!$F$219*AC21+(1-Inputs!$F$219)*AC27*Inputs!$F$153/AC11)*AC38/1000000</f>
        <v>2.3718706305635</v>
      </c>
      <c r="AD69" s="13" t="n">
        <f aca="false">Inputs!$F$162*(Inputs!$F$219*AD21+(1-Inputs!$F$219)*AD27*Inputs!$F$153/AD11)*AD38/1000000</f>
        <v>2.30755028977292</v>
      </c>
      <c r="AE69" s="13" t="n">
        <f aca="false">Inputs!$F$162*(Inputs!$F$219*AE21+(1-Inputs!$F$219)*AE27*Inputs!$F$153/AE11)*AE38/1000000</f>
        <v>2.37570177916638</v>
      </c>
      <c r="AF69" s="13" t="n">
        <f aca="false">Inputs!$F$162*(Inputs!$F$219*AF21+(1-Inputs!$F$219)*AF27*Inputs!$F$153/AF11)*AF38/1000000</f>
        <v>2.49012998725189</v>
      </c>
      <c r="AG69" s="13" t="n">
        <f aca="false">Inputs!$F$162*(Inputs!$F$219*AG21+(1-Inputs!$F$219)*AG27*Inputs!$F$153/AG11)*AG38/1000000</f>
        <v>2.50741504656912</v>
      </c>
      <c r="AH69" s="13" t="n">
        <f aca="false">Inputs!$F$162*(Inputs!$F$219*AH21+(1-Inputs!$F$219)*AH27*Inputs!$F$153/AH11)*AH38/1000000</f>
        <v>2.51666562240006</v>
      </c>
      <c r="AI69" s="13" t="n">
        <f aca="false">Inputs!$F$162*(Inputs!$F$219*AI21+(1-Inputs!$F$219)*AI27*Inputs!$F$153/AI11)*AI38/1000000</f>
        <v>2.55047252613567</v>
      </c>
      <c r="AJ69" s="13" t="n">
        <f aca="false">Inputs!$F$162*(Inputs!$F$219*AJ21+(1-Inputs!$F$219)*AJ27*Inputs!$F$153/AJ11)*AJ38/1000000</f>
        <v>2.5929984581134</v>
      </c>
      <c r="AK69" s="13" t="n">
        <f aca="false">Inputs!$F$162*(Inputs!$F$219*AK21+(1-Inputs!$F$219)*AK27*Inputs!$F$153/AK11)*AK38/1000000</f>
        <v>2.58958232301871</v>
      </c>
      <c r="AL69" s="13" t="n">
        <f aca="false">Inputs!$F$162*(Inputs!$F$219*AL21+(1-Inputs!$F$219)*AL27*Inputs!$F$153/AL11)*AL38/1000000</f>
        <v>2.55573739093963</v>
      </c>
      <c r="AM69" s="13" t="n">
        <f aca="false">Inputs!$F$162*(Inputs!$F$219*AM21+(1-Inputs!$F$219)*AM27*Inputs!$F$153/AM11)*AM38/1000000</f>
        <v>2.61212161924509</v>
      </c>
      <c r="AN69" s="13" t="n">
        <f aca="false">Inputs!$F$162*(Inputs!$F$219*AN21+(1-Inputs!$F$219)*AN27*Inputs!$F$153/AN11)*AN38/1000000</f>
        <v>2.7000913964909</v>
      </c>
      <c r="AO69" s="13" t="n">
        <f aca="false">Inputs!$F$162*(Inputs!$F$219*AO21+(1-Inputs!$F$219)*AO27*Inputs!$F$153/AO11)*AO38/1000000</f>
        <v>2.71882125196743</v>
      </c>
      <c r="AP69" s="13" t="n">
        <f aca="false">Inputs!$F$162*(Inputs!$F$219*AP21+(1-Inputs!$F$219)*AP27*Inputs!$F$153/AP11)*AP38/1000000</f>
        <v>2.72883906427097</v>
      </c>
      <c r="AQ69" s="13" t="n">
        <f aca="false">Inputs!$F$162*(Inputs!$F$219*AQ21+(1-Inputs!$F$219)*AQ27*Inputs!$F$153/AQ11)*AQ38/1000000</f>
        <v>2.76548324681097</v>
      </c>
      <c r="AR69" s="13" t="n">
        <f aca="false">Inputs!$F$162*(Inputs!$F$219*AR21+(1-Inputs!$F$219)*AR27*Inputs!$F$153/AR11)*AR38/1000000</f>
        <v>2.81158108597929</v>
      </c>
      <c r="AS69" s="13" t="n">
        <f aca="false">Inputs!$F$162*(Inputs!$F$219*AS21+(1-Inputs!$F$219)*AS27*Inputs!$F$153/AS11)*AS38/1000000</f>
        <v>2.78868721013542</v>
      </c>
      <c r="AT69" s="13" t="n">
        <f aca="false">Inputs!$F$162*(Inputs!$F$219*AT21+(1-Inputs!$F$219)*AT27*Inputs!$F$153/AT11)*AT38/1000000</f>
        <v>2.71303838818515</v>
      </c>
      <c r="AU69" s="13" t="n">
        <f aca="false">Inputs!$F$162*(Inputs!$F$219*AU21+(1-Inputs!$F$219)*AU27*Inputs!$F$153/AU11)*AU38/1000000</f>
        <v>2.79313957280359</v>
      </c>
      <c r="AV69" s="13" t="n">
        <f aca="false">Inputs!$F$162*(Inputs!$F$219*AV21+(1-Inputs!$F$219)*AV27*Inputs!$F$153/AV11)*AV38/1000000</f>
        <v>2.92764677841311</v>
      </c>
      <c r="AW69" s="13" t="n">
        <f aca="false">Inputs!$F$162*(Inputs!$F$219*AW21+(1-Inputs!$F$219)*AW27*Inputs!$F$153/AW11)*AW38/1000000</f>
        <v>2.94794125895267</v>
      </c>
      <c r="AX69" s="13" t="n">
        <f aca="false">Inputs!$F$162*(Inputs!$F$219*AX21+(1-Inputs!$F$219)*AX27*Inputs!$F$153/AX11)*AX38/1000000</f>
        <v>2.95878934865209</v>
      </c>
      <c r="AY69" s="13" t="n">
        <f aca="false">Inputs!$F$162*(Inputs!$F$219*AY21+(1-Inputs!$F$219)*AY27*Inputs!$F$153/AY11)*AY38/1000000</f>
        <v>2.9985072651064</v>
      </c>
      <c r="AZ69" s="13" t="n">
        <f aca="false">Inputs!$F$162*(Inputs!$F$219*AZ21+(1-Inputs!$F$219)*AZ27*Inputs!$F$153/AZ11)*AZ38/1000000</f>
        <v>3.04847497289756</v>
      </c>
      <c r="BA69" s="13" t="n">
        <f aca="false">Inputs!$F$162*(Inputs!$F$219*BA21+(1-Inputs!$F$219)*BA27*Inputs!$F$153/BA11)*BA38/1000000</f>
        <v>3.04443012448492</v>
      </c>
      <c r="BB69" s="13" t="n">
        <f aca="false">Inputs!$F$162*(Inputs!$F$219*BB21+(1-Inputs!$F$219)*BB27*Inputs!$F$153/BB11)*BB38/1000000</f>
        <v>3.0046121748805</v>
      </c>
      <c r="BC69" s="13" t="n">
        <f aca="false">Inputs!$F$162*(Inputs!$F$219*BC21+(1-Inputs!$F$219)*BC27*Inputs!$F$153/BC11)*BC38/1000000</f>
        <v>3.07087041431719</v>
      </c>
      <c r="BD69" s="13" t="n">
        <f aca="false">Inputs!$F$162*(Inputs!$F$219*BD21+(1-Inputs!$F$219)*BD27*Inputs!$F$153/BD11)*BD38/1000000</f>
        <v>3.17425970587549</v>
      </c>
      <c r="BE69" s="13" t="n">
        <f aca="false">Inputs!$F$162*(Inputs!$F$219*BE21+(1-Inputs!$F$219)*BE27*Inputs!$F$153/BE11)*BE38/1000000</f>
        <v>3.1962484861199</v>
      </c>
      <c r="BF69" s="13" t="n">
        <f aca="false">Inputs!$F$162*(Inputs!$F$219*BF21+(1-Inputs!$F$219)*BF27*Inputs!$F$153/BF11)*BF38/1000000</f>
        <v>3.20799501481993</v>
      </c>
      <c r="BG69" s="13" t="n">
        <f aca="false">Inputs!$F$162*(Inputs!$F$219*BG21+(1-Inputs!$F$219)*BG27*Inputs!$F$153/BG11)*BG38/1000000</f>
        <v>3.25104266192638</v>
      </c>
      <c r="BH69" s="13" t="n">
        <f aca="false">Inputs!$F$162*(Inputs!$F$219*BH21+(1-Inputs!$F$219)*BH27*Inputs!$F$153/BH11)*BH38/1000000</f>
        <v>3.30520285265988</v>
      </c>
      <c r="BI69" s="13" t="n">
        <f aca="false">Inputs!$F$162*(Inputs!$F$219*BI21+(1-Inputs!$F$219)*BI27*Inputs!$F$153/BI11)*BI38/1000000</f>
        <v>3.27825833031531</v>
      </c>
      <c r="BJ69" s="13" t="n">
        <f aca="false">Inputs!$F$162*(Inputs!$F$219*BJ21+(1-Inputs!$F$219)*BJ27*Inputs!$F$153/BJ11)*BJ38/1000000</f>
        <v>3.18929846486466</v>
      </c>
      <c r="BK69" s="13" t="n">
        <f aca="false">Inputs!$F$162*(Inputs!$F$219*BK21+(1-Inputs!$F$219)*BK27*Inputs!$F$153/BK11)*BK38/1000000</f>
        <v>3.28342962861712</v>
      </c>
      <c r="BL69" s="13" t="n">
        <f aca="false">Inputs!$F$162*(Inputs!$F$219*BL21+(1-Inputs!$F$219)*BL27*Inputs!$F$153/BL11)*BL38/1000000</f>
        <v>3.44151444087802</v>
      </c>
      <c r="BM69" s="13" t="n">
        <f aca="false">Inputs!$F$162*(Inputs!$F$219*BM21+(1-Inputs!$F$219)*BM27*Inputs!$F$153/BM11)*BM38/1000000</f>
        <v>2.31793866748026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1128.1600087771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5.75836399137642</v>
      </c>
      <c r="P72" s="13" t="n">
        <f aca="false">P60+P61+P62+P64+P65+P66+P67+P68+P69+P70+P71</f>
        <v>17.4574658935764</v>
      </c>
      <c r="Q72" s="13" t="n">
        <f aca="false">Q60+Q61+Q62+Q64+Q65+Q66+Q67+Q68+Q69+Q70+Q71</f>
        <v>17.6017487159346</v>
      </c>
      <c r="R72" s="13" t="n">
        <f aca="false">R60+R61+R62+R64+R65+R66+R67+R68+R69+R70+R71</f>
        <v>17.7072147729084</v>
      </c>
      <c r="S72" s="13" t="n">
        <f aca="false">S60+S61+S62+S64+S65+S66+S67+S68+S69+S70+S71</f>
        <v>17.9341254550187</v>
      </c>
      <c r="T72" s="13" t="n">
        <f aca="false">T60+T61+T62+T64+T65+T66+T67+T68+T69+T70+T71</f>
        <v>18.2047551040536</v>
      </c>
      <c r="U72" s="13" t="n">
        <f aca="false">U60+U61+U62+U64+U65+U66+U67+U68+U69+U70+U71</f>
        <v>18.2499495239068</v>
      </c>
      <c r="V72" s="13" t="n">
        <f aca="false">V60+V61+V62+V64+V65+V66+V67+V68+V69+V70+V71</f>
        <v>18.1457491176677</v>
      </c>
      <c r="W72" s="13" t="n">
        <f aca="false">W60+W61+W62+W64+W65+W66+W67+W68+W69+W70+W71</f>
        <v>18.4869466575179</v>
      </c>
      <c r="X72" s="13" t="n">
        <f aca="false">X60+X61+X62+X64+X65+X66+X67+X68+X69+X70+X71</f>
        <v>18.9849855107892</v>
      </c>
      <c r="Y72" s="13" t="n">
        <f aca="false">Y60+Y61+Y62+Y64+Y65+Y66+Y67+Y68+Y69+Y70+Y71</f>
        <v>19.1422813830959</v>
      </c>
      <c r="Z72" s="13" t="n">
        <f aca="false">Z60+Z61+Z62+Z64+Z65+Z66+Z67+Z68+Z69+Z70+Z71</f>
        <v>19.2572757717362</v>
      </c>
      <c r="AA72" s="13" t="n">
        <f aca="false">AA60+AA61+AA62+AA64+AA65+AA66+AA67+AA68+AA69+AA70+AA71</f>
        <v>19.5046198816516</v>
      </c>
      <c r="AB72" s="13" t="n">
        <f aca="false">AB60+AB61+AB62+AB64+AB65+AB66+AB67+AB68+AB69+AB70+AB71</f>
        <v>19.7996090706214</v>
      </c>
      <c r="AC72" s="13" t="n">
        <f aca="false">AC60+AC61+AC62+AC64+AC65+AC66+AC67+AC68+AC69+AC70+AC71</f>
        <v>19.7539854644344</v>
      </c>
      <c r="AD72" s="13" t="n">
        <f aca="false">AD60+AD61+AD62+AD64+AD65+AD66+AD67+AD68+AD69+AD70+AD71</f>
        <v>19.4799736382469</v>
      </c>
      <c r="AE72" s="13" t="n">
        <f aca="false">AE60+AE61+AE62+AE64+AE65+AE66+AE67+AE68+AE69+AE70+AE71</f>
        <v>19.9133232608234</v>
      </c>
      <c r="AF72" s="13" t="n">
        <f aca="false">AF60+AF61+AF62+AF64+AF65+AF66+AF67+AF68+AF69+AF70+AF71</f>
        <v>20.6501417331803</v>
      </c>
      <c r="AG72" s="13" t="n">
        <f aca="false">AG60+AG61+AG62+AG64+AG65+AG66+AG67+AG68+AG69+AG70+AG71</f>
        <v>20.8216242364756</v>
      </c>
      <c r="AH72" s="13" t="n">
        <f aca="false">AH60+AH61+AH62+AH64+AH65+AH66+AH67+AH68+AH69+AH70+AH71</f>
        <v>20.9470077557761</v>
      </c>
      <c r="AI72" s="13" t="n">
        <f aca="false">AI60+AI61+AI62+AI64+AI65+AI66+AI67+AI68+AI69+AI70+AI71</f>
        <v>21.2166251522691</v>
      </c>
      <c r="AJ72" s="13" t="n">
        <f aca="false">AJ60+AJ61+AJ62+AJ64+AJ65+AJ66+AJ67+AJ68+AJ69+AJ70+AJ71</f>
        <v>21.5381662610284</v>
      </c>
      <c r="AK72" s="13" t="n">
        <f aca="false">AK60+AK61+AK62+AK64+AK65+AK66+AK67+AK68+AK69+AK70+AK71</f>
        <v>21.591972998871</v>
      </c>
      <c r="AL72" s="13" t="n">
        <f aca="false">AL60+AL61+AL62+AL64+AL65+AL66+AL67+AL68+AL69+AL70+AL71</f>
        <v>21.468354141903</v>
      </c>
      <c r="AM72" s="13" t="n">
        <f aca="false">AM60+AM61+AM62+AM64+AM65+AM66+AM67+AM68+AM69+AM70+AM71</f>
        <v>21.8737086300817</v>
      </c>
      <c r="AN72" s="13" t="n">
        <f aca="false">AN60+AN61+AN62+AN64+AN65+AN66+AN67+AN68+AN69+AN70+AN71</f>
        <v>22.4653351740724</v>
      </c>
      <c r="AO72" s="13" t="n">
        <f aca="false">AO60+AO61+AO62+AO64+AO65+AO66+AO67+AO68+AO69+AO70+AO71</f>
        <v>22.6522837211702</v>
      </c>
      <c r="AP72" s="13" t="n">
        <f aca="false">AP60+AP61+AP62+AP64+AP65+AP66+AP67+AP68+AP69+AP70+AP71</f>
        <v>22.7889949320678</v>
      </c>
      <c r="AQ72" s="13" t="n">
        <f aca="false">AQ60+AQ61+AQ62+AQ64+AQ65+AQ66+AQ67+AQ68+AQ69+AQ70+AQ71</f>
        <v>23.0828911210165</v>
      </c>
      <c r="AR72" s="13" t="n">
        <f aca="false">AR60+AR61+AR62+AR64+AR65+AR66+AR67+AR68+AR69+AR70+AR71</f>
        <v>23.4333738237227</v>
      </c>
      <c r="AS72" s="13" t="n">
        <f aca="false">AS60+AS61+AS62+AS64+AS65+AS66+AS67+AS68+AS69+AS70+AS71</f>
        <v>23.3793338073707</v>
      </c>
      <c r="AT72" s="13" t="n">
        <f aca="false">AT60+AT61+AT62+AT64+AT65+AT66+AT67+AT68+AT69+AT70+AT71</f>
        <v>23.054748133438</v>
      </c>
      <c r="AU72" s="13" t="n">
        <f aca="false">AU60+AU61+AU62+AU64+AU65+AU66+AU67+AU68+AU69+AU70+AU71</f>
        <v>23.5688626095593</v>
      </c>
      <c r="AV72" s="13" t="n">
        <f aca="false">AV60+AV61+AV62+AV64+AV65+AV66+AV67+AV68+AV69+AV70+AV71</f>
        <v>24.444083602517</v>
      </c>
      <c r="AW72" s="13" t="n">
        <f aca="false">AW60+AW61+AW62+AW64+AW65+AW66+AW67+AW68+AW69+AW70+AW71</f>
        <v>24.6478929810627</v>
      </c>
      <c r="AX72" s="13" t="n">
        <f aca="false">AX60+AX61+AX62+AX64+AX65+AX66+AX67+AX68+AX69+AX70+AX71</f>
        <v>24.7969552308929</v>
      </c>
      <c r="AY72" s="13" t="n">
        <f aca="false">AY60+AY61+AY62+AY64+AY65+AY66+AY67+AY68+AY69+AY70+AY71</f>
        <v>25.117316277368</v>
      </c>
      <c r="AZ72" s="13" t="n">
        <f aca="false">AZ60+AZ61+AZ62+AZ64+AZ65+AZ66+AZ67+AZ68+AZ69+AZ70+AZ71</f>
        <v>25.4993452951761</v>
      </c>
      <c r="BA72" s="13" t="n">
        <f aca="false">BA60+BA61+BA62+BA64+BA65+BA66+BA67+BA68+BA69+BA70+BA71</f>
        <v>25.5634055204311</v>
      </c>
      <c r="BB72" s="13" t="n">
        <f aca="false">BB60+BB61+BB62+BB64+BB65+BB66+BB67+BB68+BB69+BB70+BB71</f>
        <v>25.4167509642183</v>
      </c>
      <c r="BC72" s="13" t="n">
        <f aca="false">BC60+BC61+BC62+BC64+BC65+BC66+BC67+BC68+BC69+BC70+BC71</f>
        <v>25.8983245793522</v>
      </c>
      <c r="BD72" s="13" t="n">
        <f aca="false">BD60+BD61+BD62+BD64+BD65+BD66+BD67+BD68+BD69+BD70+BD71</f>
        <v>26.6011225773252</v>
      </c>
      <c r="BE72" s="13" t="n">
        <f aca="false">BE60+BE61+BE62+BE64+BE65+BE66+BE67+BE68+BE69+BE70+BE71</f>
        <v>26.8233133533053</v>
      </c>
      <c r="BF72" s="13" t="n">
        <f aca="false">BF60+BF61+BF62+BF64+BF65+BF66+BF67+BF68+BF69+BF70+BF71</f>
        <v>26.9858424347673</v>
      </c>
      <c r="BG72" s="13" t="n">
        <f aca="false">BG60+BG61+BG62+BG64+BG65+BG66+BG67+BG68+BG69+BG70+BG71</f>
        <v>27.3350512174119</v>
      </c>
      <c r="BH72" s="13" t="n">
        <f aca="false">BH60+BH61+BH62+BH64+BH65+BH66+BH67+BH68+BH69+BH70+BH71</f>
        <v>27.7514656683858</v>
      </c>
      <c r="BI72" s="13" t="n">
        <f aca="false">BI60+BI61+BI62+BI64+BI65+BI66+BI67+BI68+BI69+BI70+BI71</f>
        <v>27.6874581026048</v>
      </c>
      <c r="BJ72" s="13" t="n">
        <f aca="false">BJ60+BJ61+BJ62+BJ64+BJ65+BJ66+BJ67+BJ68+BJ69+BJ70+BJ71</f>
        <v>27.3028563262922</v>
      </c>
      <c r="BK72" s="13" t="n">
        <f aca="false">BK60+BK61+BK62+BK64+BK65+BK66+BK67+BK68+BK69+BK70+BK71</f>
        <v>27.912898366566</v>
      </c>
      <c r="BL72" s="13" t="n">
        <f aca="false">BL60+BL61+BL62+BL64+BL65+BL66+BL67+BL68+BL69+BL70+BL71</f>
        <v>28.9525151454309</v>
      </c>
      <c r="BM72" s="13" t="n">
        <f aca="false">BM60+BM61+BM62+BM64+BM65+BM66+BM67+BM68+BM69+BM70+BM71</f>
        <v>19.5076136886312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6357.71974603747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33.4502776581349</v>
      </c>
      <c r="P73" s="13" t="n">
        <f aca="false">P42*P41/1000000</f>
        <v>100.340767534096</v>
      </c>
      <c r="Q73" s="13" t="n">
        <f aca="false">Q42*Q41/1000000</f>
        <v>102.004817805325</v>
      </c>
      <c r="R73" s="13" t="n">
        <f aca="false">R42*R41/1000000</f>
        <v>101.334821798938</v>
      </c>
      <c r="S73" s="13" t="n">
        <f aca="false">S42*S41/1000000</f>
        <v>103.67942920978</v>
      </c>
      <c r="T73" s="13" t="n">
        <f aca="false">T42*T41/1000000</f>
        <v>104.330825013895</v>
      </c>
      <c r="U73" s="13" t="n">
        <f aca="false">U42*U41/1000000</f>
        <v>105.190994849142</v>
      </c>
      <c r="V73" s="13" t="n">
        <f aca="false">V42*V41/1000000</f>
        <v>102.755056894625</v>
      </c>
      <c r="W73" s="13" t="n">
        <f aca="false">W42*W41/1000000</f>
        <v>106.027502145729</v>
      </c>
      <c r="X73" s="13" t="n">
        <f aca="false">X42*X41/1000000</f>
        <v>108.477942741047</v>
      </c>
      <c r="Y73" s="13" t="n">
        <f aca="false">Y42*Y41/1000000</f>
        <v>110.27612402514</v>
      </c>
      <c r="Z73" s="13" t="n">
        <f aca="false">Z42*Z41/1000000</f>
        <v>109.550988951272</v>
      </c>
      <c r="AA73" s="13" t="n">
        <f aca="false">AA42*AA41/1000000</f>
        <v>112.084865769922</v>
      </c>
      <c r="AB73" s="13" t="n">
        <f aca="false">AB42*AB41/1000000</f>
        <v>112.788235577242</v>
      </c>
      <c r="AC73" s="13" t="n">
        <f aca="false">AC42*AC41/1000000</f>
        <v>112.940645083102</v>
      </c>
      <c r="AD73" s="13" t="n">
        <f aca="false">AD42*AD41/1000000</f>
        <v>108.753526375079</v>
      </c>
      <c r="AE73" s="13" t="n">
        <f aca="false">AE42*AE41/1000000</f>
        <v>113.036062641639</v>
      </c>
      <c r="AF73" s="13" t="n">
        <f aca="false">AF42*AF41/1000000</f>
        <v>117.268053564502</v>
      </c>
      <c r="AG73" s="13" t="n">
        <f aca="false">AG42*AG41/1000000</f>
        <v>119.211058598491</v>
      </c>
      <c r="AH73" s="13" t="n">
        <f aca="false">AH42*AH41/1000000</f>
        <v>118.426290844007</v>
      </c>
      <c r="AI73" s="13" t="n">
        <f aca="false">AI42*AI41/1000000</f>
        <v>121.164549720931</v>
      </c>
      <c r="AJ73" s="13" t="n">
        <f aca="false">AJ42*AJ41/1000000</f>
        <v>121.923990844173</v>
      </c>
      <c r="AK73" s="13" t="n">
        <f aca="false">AK42*AK41/1000000</f>
        <v>122.927384206584</v>
      </c>
      <c r="AL73" s="13" t="n">
        <f aca="false">AL42*AL41/1000000</f>
        <v>120.078935305509</v>
      </c>
      <c r="AM73" s="13" t="n">
        <f aca="false">AM42*AM41/1000000</f>
        <v>123.901252948969</v>
      </c>
      <c r="AN73" s="13" t="n">
        <f aca="false">AN42*AN41/1000000</f>
        <v>126.76289490856</v>
      </c>
      <c r="AO73" s="13" t="n">
        <f aca="false">AO42*AO41/1000000</f>
        <v>128.862258507533</v>
      </c>
      <c r="AP73" s="13" t="n">
        <f aca="false">AP42*AP41/1000000</f>
        <v>128.01300193866</v>
      </c>
      <c r="AQ73" s="13" t="n">
        <f aca="false">AQ42*AQ41/1000000</f>
        <v>130.97194782667</v>
      </c>
      <c r="AR73" s="13" t="n">
        <f aca="false">AR42*AR41/1000000</f>
        <v>131.791876197341</v>
      </c>
      <c r="AS73" s="13" t="n">
        <f aca="false">AS42*AS41/1000000</f>
        <v>131.967997342887</v>
      </c>
      <c r="AT73" s="13" t="n">
        <f aca="false">AT42*AT41/1000000</f>
        <v>127.073570033548</v>
      </c>
      <c r="AU73" s="13" t="n">
        <f aca="false">AU42*AU41/1000000</f>
        <v>132.075548328992</v>
      </c>
      <c r="AV73" s="13" t="n">
        <f aca="false">AV42*AV41/1000000</f>
        <v>137.018318051361</v>
      </c>
      <c r="AW73" s="13" t="n">
        <f aca="false">AW42*AW41/1000000</f>
        <v>139.286482509008</v>
      </c>
      <c r="AX73" s="13" t="n">
        <f aca="false">AX42*AX41/1000000</f>
        <v>138.367489539256</v>
      </c>
      <c r="AY73" s="13" t="n">
        <f aca="false">AY42*AY41/1000000</f>
        <v>141.564712487304</v>
      </c>
      <c r="AZ73" s="13" t="n">
        <f aca="false">AZ42*AZ41/1000000</f>
        <v>142.449887036818</v>
      </c>
      <c r="BA73" s="13" t="n">
        <f aca="false">BA42*BA41/1000000</f>
        <v>143.62005125292</v>
      </c>
      <c r="BB73" s="13" t="n">
        <f aca="false">BB42*BB41/1000000</f>
        <v>140.290014381701</v>
      </c>
      <c r="BC73" s="13" t="n">
        <f aca="false">BC42*BC41/1000000</f>
        <v>144.753515580139</v>
      </c>
      <c r="BD73" s="13" t="n">
        <f aca="false">BD42*BD41/1000000</f>
        <v>148.09454365335</v>
      </c>
      <c r="BE73" s="13" t="n">
        <f aca="false">BE42*BE41/1000000</f>
        <v>150.544929139263</v>
      </c>
      <c r="BF73" s="13" t="n">
        <f aca="false">BF42*BF41/1000000</f>
        <v>149.550529515576</v>
      </c>
      <c r="BG73" s="13" t="n">
        <f aca="false">BG42*BG41/1000000</f>
        <v>153.0050045699</v>
      </c>
      <c r="BH73" s="13" t="n">
        <f aca="false">BH42*BH41/1000000</f>
        <v>153.960553439985</v>
      </c>
      <c r="BI73" s="13" t="n">
        <f aca="false">BI42*BI41/1000000</f>
        <v>154.163981720515</v>
      </c>
      <c r="BJ73" s="13" t="n">
        <f aca="false">BJ42*BJ41/1000000</f>
        <v>148.444116667876</v>
      </c>
      <c r="BK73" s="13" t="n">
        <f aca="false">BK42*BK41/1000000</f>
        <v>154.284978124066</v>
      </c>
      <c r="BL73" s="13" t="n">
        <f aca="false">BL42*BL41/1000000</f>
        <v>160.056498493418</v>
      </c>
      <c r="BM73" s="13" t="n">
        <f aca="false">BM42*BM41/1000000</f>
        <v>108.820644683548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7194.49602065525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38.0886890432972</v>
      </c>
      <c r="P74" s="13" t="n">
        <f aca="false">P73+P52+P53+P54</f>
        <v>114.318317259041</v>
      </c>
      <c r="Q74" s="13" t="n">
        <f aca="false">Q73+Q52+Q53+Q54</f>
        <v>115.99314414938</v>
      </c>
      <c r="R74" s="13" t="n">
        <f aca="false">R73+R52+R53+R54</f>
        <v>115.497267215657</v>
      </c>
      <c r="S74" s="13" t="n">
        <f aca="false">S73+S52+S53+S54</f>
        <v>117.868686154907</v>
      </c>
      <c r="T74" s="13" t="n">
        <f aca="false">T73+T52+T53+T54</f>
        <v>118.729295769935</v>
      </c>
      <c r="U74" s="13" t="n">
        <f aca="false">U73+U52+U53+U54</f>
        <v>119.644901240577</v>
      </c>
      <c r="V74" s="13" t="n">
        <f aca="false">V73+V52+V53+V54</f>
        <v>117.280815293584</v>
      </c>
      <c r="W74" s="13" t="n">
        <f aca="false">W73+W52+W53+W54</f>
        <v>120.601275924358</v>
      </c>
      <c r="X74" s="13" t="n">
        <f aca="false">X73+X52+X53+X54</f>
        <v>123.309972311525</v>
      </c>
      <c r="Y74" s="13" t="n">
        <f aca="false">Y73+Y52+Y53+Y54</f>
        <v>125.119534447152</v>
      </c>
      <c r="Z74" s="13" t="n">
        <f aca="false">Z73+Z52+Z53+Z54</f>
        <v>124.579205172241</v>
      </c>
      <c r="AA74" s="13" t="n">
        <f aca="false">AA73+AA52+AA53+AA54</f>
        <v>127.141459396311</v>
      </c>
      <c r="AB74" s="13" t="n">
        <f aca="false">AB73+AB52+AB53+AB54</f>
        <v>128.066840027543</v>
      </c>
      <c r="AC74" s="13" t="n">
        <f aca="false">AC73+AC52+AC53+AC54</f>
        <v>128.259614211865</v>
      </c>
      <c r="AD74" s="13" t="n">
        <f aca="false">AD73+AD52+AD53+AD54</f>
        <v>124.111942876723</v>
      </c>
      <c r="AE74" s="13" t="n">
        <f aca="false">AE73+AE52+AE53+AE54</f>
        <v>128.46322171129</v>
      </c>
      <c r="AF74" s="13" t="n">
        <f aca="false">AF73+AF52+AF53+AF54</f>
        <v>133.00663852951</v>
      </c>
      <c r="AG74" s="13" t="n">
        <f aca="false">AG73+AG52+AG53+AG54</f>
        <v>134.961660343038</v>
      </c>
      <c r="AH74" s="13" t="n">
        <f aca="false">AH73+AH52+AH53+AH54</f>
        <v>134.373042060906</v>
      </c>
      <c r="AI74" s="13" t="n">
        <f aca="false">AI73+AI52+AI53+AI54</f>
        <v>137.141332497077</v>
      </c>
      <c r="AJ74" s="13" t="n">
        <f aca="false">AJ73+AJ52+AJ53+AJ54</f>
        <v>138.136363151436</v>
      </c>
      <c r="AK74" s="13" t="n">
        <f aca="false">AK73+AK52+AK53+AK54</f>
        <v>139.20213740668</v>
      </c>
      <c r="AL74" s="13" t="n">
        <f aca="false">AL73+AL52+AL53+AL54</f>
        <v>136.434760589534</v>
      </c>
      <c r="AM74" s="13" t="n">
        <f aca="false">AM73+AM52+AM53+AM54</f>
        <v>140.310928058839</v>
      </c>
      <c r="AN74" s="13" t="n">
        <f aca="false">AN73+AN52+AN53+AN54</f>
        <v>143.463274547115</v>
      </c>
      <c r="AO74" s="13" t="n">
        <f aca="false">AO73+AO52+AO53+AO54</f>
        <v>145.57532404847</v>
      </c>
      <c r="AP74" s="13" t="n">
        <f aca="false">AP73+AP52+AP53+AP54</f>
        <v>144.934258020706</v>
      </c>
      <c r="AQ74" s="13" t="n">
        <f aca="false">AQ73+AQ52+AQ53+AQ54</f>
        <v>147.924982655848</v>
      </c>
      <c r="AR74" s="13" t="n">
        <f aca="false">AR73+AR52+AR53+AR54</f>
        <v>148.994908642435</v>
      </c>
      <c r="AS74" s="13" t="n">
        <f aca="false">AS73+AS52+AS53+AS54</f>
        <v>149.216484553249</v>
      </c>
      <c r="AT74" s="13" t="n">
        <f aca="false">AT73+AT52+AT53+AT54</f>
        <v>144.366755806907</v>
      </c>
      <c r="AU74" s="13" t="n">
        <f aca="false">AU73+AU52+AU53+AU54</f>
        <v>149.445854532918</v>
      </c>
      <c r="AV74" s="13" t="n">
        <f aca="false">AV73+AV52+AV53+AV54</f>
        <v>154.739086955622</v>
      </c>
      <c r="AW74" s="13" t="n">
        <f aca="false">AW73+AW52+AW53+AW54</f>
        <v>157.020641190159</v>
      </c>
      <c r="AX74" s="13" t="n">
        <f aca="false">AX73+AX52+AX53+AX54</f>
        <v>156.322620168178</v>
      </c>
      <c r="AY74" s="13" t="n">
        <f aca="false">AY73+AY52+AY53+AY54</f>
        <v>159.553467082908</v>
      </c>
      <c r="AZ74" s="13" t="n">
        <f aca="false">AZ73+AZ52+AZ53+AZ54</f>
        <v>160.703927298731</v>
      </c>
      <c r="BA74" s="13" t="n">
        <f aca="false">BA73+BA52+BA53+BA54</f>
        <v>161.944285152699</v>
      </c>
      <c r="BB74" s="13" t="n">
        <f aca="false">BB73+BB52+BB53+BB54</f>
        <v>158.705740474275</v>
      </c>
      <c r="BC74" s="13" t="n">
        <f aca="false">BC73+BC52+BC53+BC54</f>
        <v>163.229614081649</v>
      </c>
      <c r="BD74" s="13" t="n">
        <f aca="false">BD73+BD52+BD53+BD54</f>
        <v>166.897854874219</v>
      </c>
      <c r="BE74" s="13" t="n">
        <f aca="false">BE73+BE52+BE53+BE54</f>
        <v>169.362370378577</v>
      </c>
      <c r="BF74" s="13" t="n">
        <f aca="false">BF73+BF52+BF53+BF54</f>
        <v>168.602510038104</v>
      </c>
      <c r="BG74" s="13" t="n">
        <f aca="false">BG73+BG52+BG53+BG54</f>
        <v>172.092557559205</v>
      </c>
      <c r="BH74" s="13" t="n">
        <f aca="false">BH73+BH52+BH53+BH54</f>
        <v>173.329613780885</v>
      </c>
      <c r="BI74" s="13" t="n">
        <f aca="false">BI73+BI52+BI53+BI54</f>
        <v>173.584231457233</v>
      </c>
      <c r="BJ74" s="13" t="n">
        <f aca="false">BJ73+BJ52+BJ53+BJ54</f>
        <v>167.915042466332</v>
      </c>
      <c r="BK74" s="13" t="n">
        <f aca="false">BK73+BK52+BK53+BK54</f>
        <v>173.842395710648</v>
      </c>
      <c r="BL74" s="13" t="n">
        <f aca="false">BL73+BL52+BL53+BL54</f>
        <v>180.008278943991</v>
      </c>
      <c r="BM74" s="13" t="n">
        <f aca="false">BM73+BM52+BM53+BM54</f>
        <v>122.078895391786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8393.53468194219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43.8470530346736</v>
      </c>
      <c r="P83" s="13" t="n">
        <f aca="false">P72+P74+P75+P76+P79+P82</f>
        <v>131.874428885805</v>
      </c>
      <c r="Q83" s="13" t="n">
        <f aca="false">Q72+Q74+Q75+Q76+Q79+Q82</f>
        <v>133.607644294443</v>
      </c>
      <c r="R83" s="13" t="n">
        <f aca="false">R72+R74+R75+R76+R79+R82</f>
        <v>133.204481988565</v>
      </c>
      <c r="S83" s="13" t="n">
        <f aca="false">S72+S74+S75+S76+S79+S82</f>
        <v>135.802811609926</v>
      </c>
      <c r="T83" s="13" t="n">
        <f aca="false">T72+T74+T75+T76+T79+T82</f>
        <v>136.934050873988</v>
      </c>
      <c r="U83" s="13" t="n">
        <f aca="false">U72+U74+U75+U76+U79+U82</f>
        <v>137.894850764484</v>
      </c>
      <c r="V83" s="13" t="n">
        <f aca="false">V72+V74+V75+V76+V79+V82</f>
        <v>137.92417422598</v>
      </c>
      <c r="W83" s="13" t="n">
        <f aca="false">W72+W74+W75+W76+W79+W82</f>
        <v>139.088222581876</v>
      </c>
      <c r="X83" s="13" t="n">
        <f aca="false">X72+X74+X75+X76+X79+X82</f>
        <v>142.294957822314</v>
      </c>
      <c r="Y83" s="13" t="n">
        <f aca="false">Y72+Y74+Y75+Y76+Y79+Y82</f>
        <v>144.261815830248</v>
      </c>
      <c r="Z83" s="13" t="n">
        <f aca="false">Z72+Z74+Z75+Z76+Z79+Z82</f>
        <v>143.836480943977</v>
      </c>
      <c r="AA83" s="13" t="n">
        <f aca="false">AA72+AA74+AA75+AA76+AA79+AA82</f>
        <v>146.646079277963</v>
      </c>
      <c r="AB83" s="13" t="n">
        <f aca="false">AB72+AB74+AB75+AB76+AB79+AB82</f>
        <v>147.866449098165</v>
      </c>
      <c r="AC83" s="13" t="n">
        <f aca="false">AC72+AC74+AC75+AC76+AC79+AC82</f>
        <v>148.013599676299</v>
      </c>
      <c r="AD83" s="13" t="n">
        <f aca="false">AD72+AD74+AD75+AD76+AD79+AD82</f>
        <v>155.428371776771</v>
      </c>
      <c r="AE83" s="13" t="n">
        <f aca="false">AE72+AE74+AE75+AE76+AE79+AE82</f>
        <v>148.376544972113</v>
      </c>
      <c r="AF83" s="13" t="n">
        <f aca="false">AF72+AF74+AF75+AF76+AF79+AF82</f>
        <v>153.65678026269</v>
      </c>
      <c r="AG83" s="13" t="n">
        <f aca="false">AG72+AG74+AG75+AG76+AG79+AG82</f>
        <v>155.783284579513</v>
      </c>
      <c r="AH83" s="13" t="n">
        <f aca="false">AH72+AH74+AH75+AH76+AH79+AH82</f>
        <v>155.320049816682</v>
      </c>
      <c r="AI83" s="13" t="n">
        <f aca="false">AI72+AI74+AI75+AI76+AI79+AI82</f>
        <v>158.357957649346</v>
      </c>
      <c r="AJ83" s="13" t="n">
        <f aca="false">AJ72+AJ74+AJ75+AJ76+AJ79+AJ82</f>
        <v>159.674529412465</v>
      </c>
      <c r="AK83" s="13" t="n">
        <f aca="false">AK72+AK74+AK75+AK76+AK79+AK82</f>
        <v>160.794110405551</v>
      </c>
      <c r="AL83" s="13" t="n">
        <f aca="false">AL72+AL74+AL75+AL76+AL79+AL82</f>
        <v>160.875682460932</v>
      </c>
      <c r="AM83" s="13" t="n">
        <f aca="false">AM72+AM74+AM75+AM76+AM79+AM82</f>
        <v>162.184636688921</v>
      </c>
      <c r="AN83" s="13" t="n">
        <f aca="false">AN72+AN74+AN75+AN76+AN79+AN82</f>
        <v>165.928609721187</v>
      </c>
      <c r="AO83" s="13" t="n">
        <f aca="false">AO72+AO74+AO75+AO76+AO79+AO82</f>
        <v>168.22760776964</v>
      </c>
      <c r="AP83" s="13" t="n">
        <f aca="false">AP72+AP74+AP75+AP76+AP79+AP82</f>
        <v>167.723252952774</v>
      </c>
      <c r="AQ83" s="13" t="n">
        <f aca="false">AQ72+AQ74+AQ75+AQ76+AQ79+AQ82</f>
        <v>171.007873776864</v>
      </c>
      <c r="AR83" s="13" t="n">
        <f aca="false">AR72+AR74+AR75+AR76+AR79+AR82</f>
        <v>172.428282466158</v>
      </c>
      <c r="AS83" s="13" t="n">
        <f aca="false">AS72+AS74+AS75+AS76+AS79+AS82</f>
        <v>172.59581836062</v>
      </c>
      <c r="AT83" s="13" t="n">
        <f aca="false">AT72+AT74+AT75+AT76+AT79+AT82</f>
        <v>181.508838453267</v>
      </c>
      <c r="AU83" s="13" t="n">
        <f aca="false">AU72+AU74+AU75+AU76+AU79+AU82</f>
        <v>173.014717142477</v>
      </c>
      <c r="AV83" s="13" t="n">
        <f aca="false">AV72+AV74+AV75+AV76+AV79+AV82</f>
        <v>179.183170558139</v>
      </c>
      <c r="AW83" s="13" t="n">
        <f aca="false">AW72+AW74+AW75+AW76+AW79+AW82</f>
        <v>181.668534171222</v>
      </c>
      <c r="AX83" s="13" t="n">
        <f aca="false">AX72+AX74+AX75+AX76+AX79+AX82</f>
        <v>181.119575399071</v>
      </c>
      <c r="AY83" s="13" t="n">
        <f aca="false">AY72+AY74+AY75+AY76+AY79+AY82</f>
        <v>184.670783360276</v>
      </c>
      <c r="AZ83" s="13" t="n">
        <f aca="false">AZ72+AZ74+AZ75+AZ76+AZ79+AZ82</f>
        <v>186.203272593907</v>
      </c>
      <c r="BA83" s="13" t="n">
        <f aca="false">BA72+BA74+BA75+BA76+BA79+BA82</f>
        <v>187.50769067313</v>
      </c>
      <c r="BB83" s="13" t="n">
        <f aca="false">BB72+BB74+BB75+BB76+BB79+BB82</f>
        <v>187.660337444033</v>
      </c>
      <c r="BC83" s="13" t="n">
        <f aca="false">BC72+BC74+BC75+BC76+BC79+BC82</f>
        <v>189.127938661001</v>
      </c>
      <c r="BD83" s="13" t="n">
        <f aca="false">BD72+BD74+BD75+BD76+BD79+BD82</f>
        <v>193.498977451544</v>
      </c>
      <c r="BE83" s="13" t="n">
        <f aca="false">BE72+BE74+BE75+BE76+BE79+BE82</f>
        <v>196.185683731882</v>
      </c>
      <c r="BF83" s="13" t="n">
        <f aca="false">BF72+BF74+BF75+BF76+BF79+BF82</f>
        <v>195.588352472871</v>
      </c>
      <c r="BG83" s="13" t="n">
        <f aca="false">BG72+BG74+BG75+BG76+BG79+BG82</f>
        <v>199.427608776617</v>
      </c>
      <c r="BH83" s="13" t="n">
        <f aca="false">BH72+BH74+BH75+BH76+BH79+BH82</f>
        <v>201.081079449271</v>
      </c>
      <c r="BI83" s="13" t="n">
        <f aca="false">BI72+BI74+BI75+BI76+BI79+BI82</f>
        <v>201.271689559838</v>
      </c>
      <c r="BJ83" s="13" t="n">
        <f aca="false">BJ72+BJ74+BJ75+BJ76+BJ79+BJ82</f>
        <v>211.984150959302</v>
      </c>
      <c r="BK83" s="13" t="n">
        <f aca="false">BK72+BK74+BK75+BK76+BK79+BK82</f>
        <v>201.755294077214</v>
      </c>
      <c r="BL83" s="13" t="n">
        <f aca="false">BL72+BL74+BL75+BL76+BL79+BL82</f>
        <v>208.960794089422</v>
      </c>
      <c r="BM83" s="13" t="n">
        <f aca="false">BM72+BM74+BM75+BM76+BM79+BM82</f>
        <v>160.655698936771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2616.7355216742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16.8993604229143</v>
      </c>
      <c r="P84" s="13" t="n">
        <f aca="false">P56-P83+P58</f>
        <v>50.7044092045475</v>
      </c>
      <c r="Q84" s="13" t="n">
        <f aca="false">Q56-Q83+Q58</f>
        <v>50.9094848498197</v>
      </c>
      <c r="R84" s="13" t="n">
        <f aca="false">R56-R83+R58</f>
        <v>51.0539394892314</v>
      </c>
      <c r="S84" s="13" t="n">
        <f aca="false">S56-S83+S58</f>
        <v>51.1465123010965</v>
      </c>
      <c r="T84" s="13" t="n">
        <f aca="false">T56-T83+T58</f>
        <v>51.2216780740607</v>
      </c>
      <c r="U84" s="13" t="n">
        <f aca="false">U56-U83+U58</f>
        <v>51.3841555810801</v>
      </c>
      <c r="V84" s="13" t="n">
        <f aca="false">V56-V83+V58</f>
        <v>49.1035544951066</v>
      </c>
      <c r="W84" s="13" t="n">
        <f aca="false">W56-W83+W58</f>
        <v>51.6585167852339</v>
      </c>
      <c r="X84" s="13" t="n">
        <f aca="false">X56-X83+X58</f>
        <v>51.6568714694459</v>
      </c>
      <c r="Y84" s="13" t="n">
        <f aca="false">Y56-Y83+Y58</f>
        <v>51.7853576030401</v>
      </c>
      <c r="Z84" s="13" t="n">
        <f aca="false">Z56-Z83+Z58</f>
        <v>51.9296691971124</v>
      </c>
      <c r="AA84" s="13" t="n">
        <f aca="false">AA56-AA83+AA58</f>
        <v>52.028301977106</v>
      </c>
      <c r="AB84" s="13" t="n">
        <f aca="false">AB56-AB83+AB58</f>
        <v>52.1093025012149</v>
      </c>
      <c r="AC84" s="13" t="n">
        <f aca="false">AC56-AC83+AC58</f>
        <v>52.3218259554983</v>
      </c>
      <c r="AD84" s="13" t="n">
        <f aca="false">AD56-AD83+AD58</f>
        <v>39.8450818268235</v>
      </c>
      <c r="AE84" s="13" t="n">
        <f aca="false">AE56-AE83+AE58</f>
        <v>52.6582593271669</v>
      </c>
      <c r="AF84" s="13" t="n">
        <f aca="false">AF56-AF83+AF58</f>
        <v>52.5796658932823</v>
      </c>
      <c r="AG84" s="13" t="n">
        <f aca="false">AG56-AG83+AG58</f>
        <v>52.7182041797502</v>
      </c>
      <c r="AH84" s="13" t="n">
        <f aca="false">AH56-AH83+AH58</f>
        <v>52.8763082320372</v>
      </c>
      <c r="AI84" s="13" t="n">
        <f aca="false">AI56-AI83+AI58</f>
        <v>52.9813957452599</v>
      </c>
      <c r="AJ84" s="13" t="n">
        <f aca="false">AJ56-AJ83+AJ58</f>
        <v>53.0686848550153</v>
      </c>
      <c r="AK84" s="13" t="n">
        <f aca="false">AK56-AK83+AK58</f>
        <v>53.2609492780432</v>
      </c>
      <c r="AL84" s="13" t="n">
        <f aca="false">AL56-AL83+AL58</f>
        <v>50.5526655970159</v>
      </c>
      <c r="AM84" s="13" t="n">
        <f aca="false">AM56-AM83+AM58</f>
        <v>53.5860038486242</v>
      </c>
      <c r="AN84" s="13" t="n">
        <f aca="false">AN56-AN83+AN58</f>
        <v>53.5771122682086</v>
      </c>
      <c r="AO84" s="13" t="n">
        <f aca="false">AO56-AO83+AO58</f>
        <v>53.726511982976</v>
      </c>
      <c r="AP84" s="13" t="n">
        <f aca="false">AP56-AP83+AP58</f>
        <v>53.8997021855551</v>
      </c>
      <c r="AQ84" s="13" t="n">
        <f aca="false">AQ56-AQ83+AQ58</f>
        <v>54.0116650897258</v>
      </c>
      <c r="AR84" s="13" t="n">
        <f aca="false">AR56-AR83+AR58</f>
        <v>54.1057319242345</v>
      </c>
      <c r="AS84" s="13" t="n">
        <f aca="false">AS56-AS83+AS58</f>
        <v>54.3595345504699</v>
      </c>
      <c r="AT84" s="13" t="n">
        <f aca="false">AT56-AT83+AT58</f>
        <v>39.6314309038557</v>
      </c>
      <c r="AU84" s="13" t="n">
        <f aca="false">AU56-AU83+AU58</f>
        <v>54.7604688442206</v>
      </c>
      <c r="AV84" s="13" t="n">
        <f aca="false">AV56-AV83+AV58</f>
        <v>54.6553598135104</v>
      </c>
      <c r="AW84" s="13" t="n">
        <f aca="false">AW56-AW83+AW58</f>
        <v>54.8164974365744</v>
      </c>
      <c r="AX84" s="13" t="n">
        <f aca="false">AX56-AX83+AX58</f>
        <v>55.0061871367616</v>
      </c>
      <c r="AY84" s="13" t="n">
        <f aca="false">AY56-AY83+AY58</f>
        <v>55.1254737274549</v>
      </c>
      <c r="AZ84" s="13" t="n">
        <f aca="false">AZ56-AZ83+AZ58</f>
        <v>55.2268454695243</v>
      </c>
      <c r="BA84" s="13" t="n">
        <f aca="false">BA56-BA83+BA58</f>
        <v>55.4544417944234</v>
      </c>
      <c r="BB84" s="13" t="n">
        <f aca="false">BB56-BB83+BB58</f>
        <v>52.2379806943981</v>
      </c>
      <c r="BC84" s="13" t="n">
        <f aca="false">BC56-BC83+BC58</f>
        <v>55.8396244490906</v>
      </c>
      <c r="BD84" s="13" t="n">
        <f aca="false">BD56-BD83+BD58</f>
        <v>55.8210733697536</v>
      </c>
      <c r="BE84" s="13" t="n">
        <f aca="false">BE56-BE83+BE58</f>
        <v>55.9948983400189</v>
      </c>
      <c r="BF84" s="13" t="n">
        <f aca="false">BF56-BF83+BF58</f>
        <v>56.2026314893008</v>
      </c>
      <c r="BG84" s="13" t="n">
        <f aca="false">BG56-BG83+BG58</f>
        <v>56.3297195695905</v>
      </c>
      <c r="BH84" s="13" t="n">
        <f aca="false">BH56-BH83+BH58</f>
        <v>56.4389643959148</v>
      </c>
      <c r="BI84" s="13" t="n">
        <f aca="false">BI56-BI83+BI58</f>
        <v>56.7420655163323</v>
      </c>
      <c r="BJ84" s="13" t="n">
        <f aca="false">BJ56-BJ83+BJ58</f>
        <v>39.335951606497</v>
      </c>
      <c r="BK84" s="13" t="n">
        <f aca="false">BK56-BK83+BK58</f>
        <v>57.2198509356877</v>
      </c>
      <c r="BL84" s="13" t="n">
        <f aca="false">BL56-BL83+BL58</f>
        <v>57.081477356083</v>
      </c>
      <c r="BM84" s="13" t="n">
        <f aca="false">BM56-BM83+BM58</f>
        <v>19.0941621345104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44.8129279605156</v>
      </c>
      <c r="P88" s="13" t="n">
        <f aca="false">(1-P86)*(P56/MAX(Time!P31,1)*Inputs!$F$168+P55/MAX(Time!P31,1)*P87)</f>
        <v>44.6524332286189</v>
      </c>
      <c r="Q88" s="13" t="n">
        <f aca="false">(1-Q86)*(Q56/MAX(Time!Q31,1)*Inputs!$F$168+Q55/MAX(Time!Q31,1)*Q87)</f>
        <v>45.8744243728831</v>
      </c>
      <c r="R88" s="13" t="n">
        <f aca="false">(1-R86)*(R56/MAX(Time!R31,1)*Inputs!$F$168+R55/MAX(Time!R31,1)*R87)</f>
        <v>45.0632009048959</v>
      </c>
      <c r="S88" s="13" t="n">
        <f aca="false">(1-S86)*(S56/MAX(Time!S31,1)*Inputs!$F$168+S55/MAX(Time!S31,1)*S87)</f>
        <v>46.4791136795359</v>
      </c>
      <c r="T88" s="13" t="n">
        <f aca="false">(1-T86)*(T56/MAX(Time!T31,1)*Inputs!$F$168+T55/MAX(Time!T31,1)*T87)</f>
        <v>46.016346753599</v>
      </c>
      <c r="U88" s="13" t="n">
        <f aca="false">(1-U86)*(U56/MAX(Time!U31,1)*Inputs!$F$168+U55/MAX(Time!U31,1)*U87)</f>
        <v>46.7997543162108</v>
      </c>
      <c r="V88" s="13" t="n">
        <f aca="false">(1-V86)*(V56/MAX(Time!V31,1)*Inputs!$F$168+V55/MAX(Time!V31,1)*V87)</f>
        <v>45.7404771328745</v>
      </c>
      <c r="W88" s="13" t="n">
        <f aca="false">(1-W86)*(W56/MAX(Time!W31,1)*Inputs!$F$168+W55/MAX(Time!W31,1)*W87)</f>
        <v>47.4232224945853</v>
      </c>
      <c r="X88" s="13" t="n">
        <f aca="false">(1-X86)*(X56/MAX(Time!X31,1)*Inputs!$F$168+X55/MAX(Time!X31,1)*X87)</f>
        <v>47.4338712941805</v>
      </c>
      <c r="Y88" s="13" t="n">
        <f aca="false">(1-Y86)*(Y56/MAX(Time!Y31,1)*Inputs!$F$168+Y55/MAX(Time!Y31,1)*Y87)</f>
        <v>48.741009969602</v>
      </c>
      <c r="Z88" s="13" t="n">
        <f aca="false">(1-Z86)*(Z56/MAX(Time!Z31,1)*Inputs!$F$168+Z55/MAX(Time!Z31,1)*Z87)</f>
        <v>47.8775910671143</v>
      </c>
      <c r="AA88" s="13" t="n">
        <f aca="false">(1-AA86)*(AA56/MAX(Time!AA31,1)*Inputs!$F$168+AA55/MAX(Time!AA31,1)*AA87)</f>
        <v>49.3941831849618</v>
      </c>
      <c r="AB88" s="13" t="n">
        <f aca="false">(1-AB86)*(AB56/MAX(Time!AB31,1)*Inputs!$F$168+AB55/MAX(Time!AB31,1)*AB87)</f>
        <v>48.9071131628917</v>
      </c>
      <c r="AC88" s="13" t="n">
        <f aca="false">(1-AC86)*(AC56/MAX(Time!AC31,1)*Inputs!$F$168+AC55/MAX(Time!AC31,1)*AC87)</f>
        <v>49.5334843595104</v>
      </c>
      <c r="AD88" s="13" t="n">
        <f aca="false">(1-AD86)*(AD56/MAX(Time!AD31,1)*Inputs!$F$168+AD55/MAX(Time!AD31,1)*AD87)</f>
        <v>47.7570946313138</v>
      </c>
      <c r="AE88" s="13" t="n">
        <f aca="false">(1-AE86)*(AE56/MAX(Time!AE31,1)*Inputs!$F$168+AE55/MAX(Time!AE31,1)*AE87)</f>
        <v>49.9810286931912</v>
      </c>
      <c r="AF88" s="13" t="n">
        <f aca="false">(1-AF86)*(AF56/MAX(Time!AF31,1)*Inputs!$F$168+AF55/MAX(Time!AF31,1)*AF87)</f>
        <v>50.4382612881454</v>
      </c>
      <c r="AG88" s="13" t="n">
        <f aca="false">(1-AG86)*(AG56/MAX(Time!AG31,1)*Inputs!$F$168+AG55/MAX(Time!AG31,1)*AG87)</f>
        <v>51.8373867081042</v>
      </c>
      <c r="AH88" s="13" t="n">
        <f aca="false">(1-AH86)*(AH56/MAX(Time!AH31,1)*Inputs!$F$168+AH55/MAX(Time!AH31,1)*AH87)</f>
        <v>50.9175875662628</v>
      </c>
      <c r="AI88" s="13" t="n">
        <f aca="false">(1-AI86)*(AI56/MAX(Time!AI31,1)*Inputs!$F$168+AI55/MAX(Time!AI31,1)*AI87)</f>
        <v>52.5429331644047</v>
      </c>
      <c r="AJ88" s="13" t="n">
        <f aca="false">(1-AJ86)*(AJ56/MAX(Time!AJ31,1)*Inputs!$F$168+AJ55/MAX(Time!AJ31,1)*AJ87)</f>
        <v>52.0295904458511</v>
      </c>
      <c r="AK88" s="13" t="n">
        <f aca="false">(1-AK86)*(AK56/MAX(Time!AK31,1)*Inputs!$F$168+AK55/MAX(Time!AK31,1)*AK87)</f>
        <v>52.9257015701195</v>
      </c>
      <c r="AL88" s="13" t="n">
        <f aca="false">(1-AL86)*(AL56/MAX(Time!AL31,1)*Inputs!$F$168+AL55/MAX(Time!AL31,1)*AL87)</f>
        <v>51.7080199054764</v>
      </c>
      <c r="AM88" s="13" t="n">
        <f aca="false">(1-AM86)*(AM56/MAX(Time!AM31,1)*Inputs!$F$168+AM55/MAX(Time!AM31,1)*AM87)</f>
        <v>53.6446343877875</v>
      </c>
      <c r="AN88" s="13" t="n">
        <f aca="false">(1-AN86)*(AN56/MAX(Time!AN31,1)*Inputs!$F$168+AN55/MAX(Time!AN31,1)*AN87)</f>
        <v>53.6834646169718</v>
      </c>
      <c r="AO88" s="13" t="n">
        <f aca="false">(1-AO86)*(AO56/MAX(Time!AO31,1)*Inputs!$F$168+AO55/MAX(Time!AO31,1)*AO87)</f>
        <v>55.1819634744074</v>
      </c>
      <c r="AP88" s="13" t="n">
        <f aca="false">(1-AP86)*(AP56/MAX(Time!AP31,1)*Inputs!$F$168+AP55/MAX(Time!AP31,1)*AP87)</f>
        <v>54.2012662023088</v>
      </c>
      <c r="AQ88" s="13" t="n">
        <f aca="false">(1-AQ86)*(AQ56/MAX(Time!AQ31,1)*Inputs!$F$168+AQ55/MAX(Time!AQ31,1)*AQ87)</f>
        <v>55.9440842485997</v>
      </c>
      <c r="AR88" s="13" t="n">
        <f aca="false">(1-AR86)*(AR56/MAX(Time!AR31,1)*Inputs!$F$168+AR55/MAX(Time!AR31,1)*AR87)</f>
        <v>55.4023404759112</v>
      </c>
      <c r="AS88" s="13" t="n">
        <f aca="false">(1-AS86)*(AS56/MAX(Time!AS31,1)*Inputs!$F$168+AS55/MAX(Time!AS31,1)*AS87)</f>
        <v>56.1153345109838</v>
      </c>
      <c r="AT88" s="13" t="n">
        <f aca="false">(1-AT86)*(AT56/MAX(Time!AT31,1)*Inputs!$F$168+AT55/MAX(Time!AT31,1)*AT87)</f>
        <v>54.0832180492962</v>
      </c>
      <c r="AU88" s="13" t="n">
        <f aca="false">(1-AU86)*(AU56/MAX(Time!AU31,1)*Inputs!$F$168+AU55/MAX(Time!AU31,1)*AU87)</f>
        <v>56.6291898861956</v>
      </c>
      <c r="AV88" s="13" t="n">
        <f aca="false">(1-AV86)*(AV56/MAX(Time!AV31,1)*Inputs!$F$168+AV55/MAX(Time!AV31,1)*AV87)</f>
        <v>57.1887710148055</v>
      </c>
      <c r="AW88" s="13" t="n">
        <f aca="false">(1-AW86)*(AW56/MAX(Time!AW31,1)*Inputs!$F$168+AW55/MAX(Time!AW31,1)*AW87)</f>
        <v>58.7946211179603</v>
      </c>
      <c r="AX88" s="13" t="n">
        <f aca="false">(1-AX86)*(AX56/MAX(Time!AX31,1)*Inputs!$F$168+AX55/MAX(Time!AX31,1)*AX87)</f>
        <v>57.7481484462634</v>
      </c>
      <c r="AY88" s="13" t="n">
        <f aca="false">(1-AY86)*(AY56/MAX(Time!AY31,1)*Inputs!$F$168+AY55/MAX(Time!AY31,1)*AY87)</f>
        <v>59.6178539720877</v>
      </c>
      <c r="AZ88" s="13" t="n">
        <f aca="false">(1-AZ86)*(AZ56/MAX(Time!AZ31,1)*Inputs!$F$168+AZ55/MAX(Time!AZ31,1)*AZ87)</f>
        <v>59.0454093089913</v>
      </c>
      <c r="BA88" s="13" t="n">
        <f aca="false">(1-BA86)*(BA56/MAX(Time!BA31,1)*Inputs!$F$168+BA55/MAX(Time!BA31,1)*BA87)</f>
        <v>60.0730547309885</v>
      </c>
      <c r="BB88" s="13" t="n">
        <f aca="false">(1-BB86)*(BB56/MAX(Time!BB31,1)*Inputs!$F$168+BB55/MAX(Time!BB31,1)*BB87)</f>
        <v>58.6707843273338</v>
      </c>
      <c r="BC88" s="13" t="n">
        <f aca="false">(1-BC86)*(BC56/MAX(Time!BC31,1)*Inputs!$F$168+BC55/MAX(Time!BC31,1)*BC87)</f>
        <v>60.9035377898018</v>
      </c>
      <c r="BD88" s="13" t="n">
        <f aca="false">(1-BD86)*(BD56/MAX(Time!BD31,1)*Inputs!$F$168+BD55/MAX(Time!BD31,1)*BD87)</f>
        <v>60.9750124291218</v>
      </c>
      <c r="BE88" s="13" t="n">
        <f aca="false">(1-BE86)*(BE56/MAX(Time!BE31,1)*Inputs!$F$168+BE55/MAX(Time!BE31,1)*BE87)</f>
        <v>62.6968297968815</v>
      </c>
      <c r="BF88" s="13" t="n">
        <f aca="false">(1-BF86)*(BF56/MAX(Time!BF31,1)*Inputs!$F$168+BF55/MAX(Time!BF31,1)*BF87)</f>
        <v>61.5793167298791</v>
      </c>
      <c r="BG88" s="13" t="n">
        <f aca="false">(1-BG86)*(BG56/MAX(Time!BG31,1)*Inputs!$F$168+BG55/MAX(Time!BG31,1)*BG87)</f>
        <v>63.5860761081732</v>
      </c>
      <c r="BH88" s="13" t="n">
        <f aca="false">(1-BH86)*(BH56/MAX(Time!BH31,1)*Inputs!$F$168+BH55/MAX(Time!BH31,1)*BH87)</f>
        <v>62.9804455056161</v>
      </c>
      <c r="BI88" s="13" t="n">
        <f aca="false">(1-BI86)*(BI56/MAX(Time!BI31,1)*Inputs!$F$168+BI55/MAX(Time!BI31,1)*BI87)</f>
        <v>63.7946097715805</v>
      </c>
      <c r="BJ88" s="13" t="n">
        <f aca="false">(1-BJ86)*(BJ56/MAX(Time!BJ31,1)*Inputs!$F$168+BJ55/MAX(Time!BJ31,1)*BJ87)</f>
        <v>61.4641555188094</v>
      </c>
      <c r="BK88" s="13" t="n">
        <f aca="false">(1-BK86)*(BK56/MAX(Time!BK31,1)*Inputs!$F$168+BK55/MAX(Time!BK31,1)*BK87)</f>
        <v>64.3860857766883</v>
      </c>
      <c r="BL88" s="13" t="n">
        <f aca="false">(1-BL86)*(BL56/MAX(Time!BL31,1)*Inputs!$F$168+BL55/MAX(Time!BL31,1)*BL87)</f>
        <v>65.0646859513464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24.6764343379684</v>
      </c>
      <c r="P90" s="13" t="n">
        <f aca="false">(1-P86)*(P73+P54)/MAX(Time!P31,1)*Inputs!$F$169</f>
        <v>24.5398616251864</v>
      </c>
      <c r="Q90" s="13" t="n">
        <f aca="false">(1-Q86)*(Q73+Q54)/MAX(Time!Q31,1)*Inputs!$F$169</f>
        <v>25.3603138190036</v>
      </c>
      <c r="R90" s="13" t="n">
        <f aca="false">(1-R86)*(R73+R54)/MAX(Time!R31,1)*Inputs!$F$169</f>
        <v>24.7829727225664</v>
      </c>
      <c r="S90" s="13" t="n">
        <f aca="false">(1-S86)*(S73+S54)/MAX(Time!S31,1)*Inputs!$F$169</f>
        <v>25.7766536709399</v>
      </c>
      <c r="T90" s="13" t="n">
        <f aca="false">(1-T86)*(T73+T54)/MAX(Time!T31,1)*Inputs!$F$169</f>
        <v>25.5156909001374</v>
      </c>
      <c r="U90" s="13" t="n">
        <f aca="false">(1-U86)*(U73+U54)/MAX(Time!U31,1)*Inputs!$F$169</f>
        <v>26.0087624626999</v>
      </c>
      <c r="V90" s="13" t="n">
        <f aca="false">(1-V86)*(V73+V54)/MAX(Time!V31,1)*Inputs!$F$169</f>
        <v>25.1303128274898</v>
      </c>
      <c r="W90" s="13" t="n">
        <f aca="false">(1-W86)*(W73+W54)/MAX(Time!W31,1)*Inputs!$F$169</f>
        <v>26.3604287102641</v>
      </c>
      <c r="X90" s="13" t="n">
        <f aca="false">(1-X86)*(X73+X54)/MAX(Time!X31,1)*Inputs!$F$169</f>
        <v>26.5299316486256</v>
      </c>
      <c r="Y90" s="13" t="n">
        <f aca="false">(1-Y86)*(Y73+Y54)/MAX(Time!Y31,1)*Inputs!$F$169</f>
        <v>27.4167159178524</v>
      </c>
      <c r="Z90" s="13" t="n">
        <f aca="false">(1-Z86)*(Z73+Z54)/MAX(Time!Z31,1)*Inputs!$F$169</f>
        <v>26.7923614283003</v>
      </c>
      <c r="AA90" s="13" t="n">
        <f aca="false">(1-AA86)*(AA73+AA54)/MAX(Time!AA31,1)*Inputs!$F$169</f>
        <v>27.8664030919695</v>
      </c>
      <c r="AB90" s="13" t="n">
        <f aca="false">(1-AB86)*(AB73+AB54)/MAX(Time!AB31,1)*Inputs!$F$169</f>
        <v>27.5840793531298</v>
      </c>
      <c r="AC90" s="13" t="n">
        <f aca="false">(1-AC86)*(AC73+AC54)/MAX(Time!AC31,1)*Inputs!$F$169</f>
        <v>27.9248847732945</v>
      </c>
      <c r="AD90" s="13" t="n">
        <f aca="false">(1-AD86)*(AD73+AD54)/MAX(Time!AD31,1)*Inputs!$F$169</f>
        <v>26.5973298199921</v>
      </c>
      <c r="AE90" s="13" t="n">
        <f aca="false">(1-AE86)*(AE73+AE54)/MAX(Time!AE31,1)*Inputs!$F$169</f>
        <v>28.1028885020648</v>
      </c>
      <c r="AF90" s="13" t="n">
        <f aca="false">(1-AF86)*(AF73+AF54)/MAX(Time!AF31,1)*Inputs!$F$169</f>
        <v>28.6796870130575</v>
      </c>
      <c r="AG90" s="13" t="n">
        <f aca="false">(1-AG86)*(AG73+AG54)/MAX(Time!AG31,1)*Inputs!$F$169</f>
        <v>29.6381084913376</v>
      </c>
      <c r="AH90" s="13" t="n">
        <f aca="false">(1-AH86)*(AH73+AH54)/MAX(Time!AH31,1)*Inputs!$F$169</f>
        <v>28.9629515651105</v>
      </c>
      <c r="AI90" s="13" t="n">
        <f aca="false">(1-AI86)*(AI73+AI54)/MAX(Time!AI31,1)*Inputs!$F$169</f>
        <v>30.1237830797894</v>
      </c>
      <c r="AJ90" s="13" t="n">
        <f aca="false">(1-AJ86)*(AJ73+AJ54)/MAX(Time!AJ31,1)*Inputs!$F$169</f>
        <v>29.8183673260206</v>
      </c>
      <c r="AK90" s="13" t="n">
        <f aca="false">(1-AK86)*(AK73+AK54)/MAX(Time!AK31,1)*Inputs!$F$169</f>
        <v>30.394133457672</v>
      </c>
      <c r="AL90" s="13" t="n">
        <f aca="false">(1-AL86)*(AL73+AL54)/MAX(Time!AL31,1)*Inputs!$F$169</f>
        <v>29.3671309171081</v>
      </c>
      <c r="AM90" s="13" t="n">
        <f aca="false">(1-AM86)*(AM73+AM54)/MAX(Time!AM31,1)*Inputs!$F$169</f>
        <v>30.8041789099647</v>
      </c>
      <c r="AN90" s="13" t="n">
        <f aca="false">(1-AN86)*(AN73+AN54)/MAX(Time!AN31,1)*Inputs!$F$169</f>
        <v>31.001794950463</v>
      </c>
      <c r="AO90" s="13" t="n">
        <f aca="false">(1-AO86)*(AO73+AO54)/MAX(Time!AO31,1)*Inputs!$F$169</f>
        <v>32.0375780819833</v>
      </c>
      <c r="AP90" s="13" t="n">
        <f aca="false">(1-AP86)*(AP73+AP54)/MAX(Time!AP31,1)*Inputs!$F$169</f>
        <v>31.3075276480419</v>
      </c>
      <c r="AQ90" s="13" t="n">
        <f aca="false">(1-AQ86)*(AQ73+AQ54)/MAX(Time!AQ31,1)*Inputs!$F$169</f>
        <v>32.5620864762439</v>
      </c>
      <c r="AR90" s="13" t="n">
        <f aca="false">(1-AR86)*(AR73+AR54)/MAX(Time!AR31,1)*Inputs!$F$169</f>
        <v>32.2317088526107</v>
      </c>
      <c r="AS90" s="13" t="n">
        <f aca="false">(1-AS86)*(AS73+AS54)/MAX(Time!AS31,1)*Inputs!$F$169</f>
        <v>32.6294498924721</v>
      </c>
      <c r="AT90" s="13" t="n">
        <f aca="false">(1-AT86)*(AT73+AT54)/MAX(Time!AT31,1)*Inputs!$F$169</f>
        <v>31.0777752799437</v>
      </c>
      <c r="AU90" s="13" t="n">
        <f aca="false">(1-AU86)*(AU73+AU54)/MAX(Time!AU31,1)*Inputs!$F$169</f>
        <v>32.8364622917382</v>
      </c>
      <c r="AV90" s="13" t="n">
        <f aca="false">(1-AV86)*(AV73+AV54)/MAX(Time!AV31,1)*Inputs!$F$169</f>
        <v>33.509914740822</v>
      </c>
      <c r="AW90" s="13" t="n">
        <f aca="false">(1-AW86)*(AW73+AW54)/MAX(Time!AW31,1)*Inputs!$F$169</f>
        <v>34.6292359829024</v>
      </c>
      <c r="AX90" s="13" t="n">
        <f aca="false">(1-AX86)*(AX73+AX54)/MAX(Time!AX31,1)*Inputs!$F$169</f>
        <v>33.8398751590572</v>
      </c>
      <c r="AY90" s="13" t="n">
        <f aca="false">(1-AY86)*(AY73+AY54)/MAX(Time!AY31,1)*Inputs!$F$169</f>
        <v>35.1956467509872</v>
      </c>
      <c r="AZ90" s="13" t="n">
        <f aca="false">(1-AZ86)*(AZ73+AZ54)/MAX(Time!AZ31,1)*Inputs!$F$169</f>
        <v>34.8382875905261</v>
      </c>
      <c r="BA90" s="13" t="n">
        <f aca="false">(1-BA86)*(BA73+BA54)/MAX(Time!BA31,1)*Inputs!$F$169</f>
        <v>35.5104522328647</v>
      </c>
      <c r="BB90" s="13" t="n">
        <f aca="false">(1-BB86)*(BB73+BB54)/MAX(Time!BB31,1)*Inputs!$F$169</f>
        <v>34.3100578650898</v>
      </c>
      <c r="BC90" s="13" t="n">
        <f aca="false">(1-BC86)*(BC73+BC54)/MAX(Time!BC31,1)*Inputs!$F$169</f>
        <v>35.9884431000345</v>
      </c>
      <c r="BD90" s="13" t="n">
        <f aca="false">(1-BD86)*(BD73+BD54)/MAX(Time!BD31,1)*Inputs!$F$169</f>
        <v>36.2187742630476</v>
      </c>
      <c r="BE90" s="13" t="n">
        <f aca="false">(1-BE86)*(BE73+BE54)/MAX(Time!BE31,1)*Inputs!$F$169</f>
        <v>37.4282972998169</v>
      </c>
      <c r="BF90" s="13" t="n">
        <f aca="false">(1-BF86)*(BF73+BF54)/MAX(Time!BF31,1)*Inputs!$F$169</f>
        <v>36.5748577619616</v>
      </c>
      <c r="BG90" s="13" t="n">
        <f aca="false">(1-BG86)*(BG73+BG54)/MAX(Time!BG31,1)*Inputs!$F$169</f>
        <v>38.0399182632348</v>
      </c>
      <c r="BH90" s="13" t="n">
        <f aca="false">(1-BH86)*(BH73+BH54)/MAX(Time!BH31,1)*Inputs!$F$169</f>
        <v>37.6533962217355</v>
      </c>
      <c r="BI90" s="13" t="n">
        <f aca="false">(1-BI86)*(BI73+BI54)/MAX(Time!BI31,1)*Inputs!$F$169</f>
        <v>38.1174680078197</v>
      </c>
      <c r="BJ90" s="13" t="n">
        <f aca="false">(1-BJ86)*(BJ73+BJ54)/MAX(Time!BJ31,1)*Inputs!$F$169</f>
        <v>36.3042676633392</v>
      </c>
      <c r="BK90" s="13" t="n">
        <f aca="false">(1-BK86)*(BK73+BK54)/MAX(Time!BK31,1)*Inputs!$F$169</f>
        <v>38.3581437325027</v>
      </c>
      <c r="BL90" s="13" t="n">
        <f aca="false">(1-BL86)*(BL73+BL54)/MAX(Time!BL31,1)*Inputs!$F$169</f>
        <v>39.1442523489337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2.28118592712896</v>
      </c>
      <c r="P91" s="13" t="n">
        <f aca="false">(1-P86)*(P52+P53)/MAX(Time!P31,1)*Inputs!$F$170</f>
        <v>2.27894832471936</v>
      </c>
      <c r="Q91" s="13" t="n">
        <f aca="false">(1-Q86)*(Q52+Q53)/MAX(Time!Q31,1)*Inputs!$F$170</f>
        <v>2.31850712884883</v>
      </c>
      <c r="R91" s="13" t="n">
        <f aca="false">(1-R86)*(R52+R53)/MAX(Time!R31,1)*Inputs!$F$170</f>
        <v>2.30909436142154</v>
      </c>
      <c r="S91" s="13" t="n">
        <f aca="false">(1-S86)*(S52+S53)/MAX(Time!S31,1)*Inputs!$F$170</f>
        <v>2.35181054339118</v>
      </c>
      <c r="T91" s="13" t="n">
        <f aca="false">(1-T86)*(T52+T53)/MAX(Time!T31,1)*Inputs!$F$170</f>
        <v>2.34757675370215</v>
      </c>
      <c r="U91" s="13" t="n">
        <f aca="false">(1-U86)*(U52+U53)/MAX(Time!U31,1)*Inputs!$F$170</f>
        <v>2.38251204254421</v>
      </c>
      <c r="V91" s="13" t="n">
        <f aca="false">(1-V86)*(V52+V53)/MAX(Time!V31,1)*Inputs!$F$170</f>
        <v>2.36833017374323</v>
      </c>
      <c r="W91" s="13" t="n">
        <f aca="false">(1-W86)*(W52+W53)/MAX(Time!W31,1)*Inputs!$F$170</f>
        <v>2.41554261524233</v>
      </c>
      <c r="X91" s="13" t="n">
        <f aca="false">(1-X86)*(X52+X53)/MAX(Time!X31,1)*Inputs!$F$170</f>
        <v>2.41826569083887</v>
      </c>
      <c r="Y91" s="13" t="n">
        <f aca="false">(1-Y86)*(Y52+Y53)/MAX(Time!Y31,1)*Inputs!$F$170</f>
        <v>2.46023377160429</v>
      </c>
      <c r="Z91" s="13" t="n">
        <f aca="false">(1-Z86)*(Z52+Z53)/MAX(Time!Z31,1)*Inputs!$F$170</f>
        <v>2.45025264472314</v>
      </c>
      <c r="AA91" s="13" t="n">
        <f aca="false">(1-AA86)*(AA52+AA53)/MAX(Time!AA31,1)*Inputs!$F$170</f>
        <v>2.49556800437387</v>
      </c>
      <c r="AB91" s="13" t="n">
        <f aca="false">(1-AB86)*(AB52+AB53)/MAX(Time!AB31,1)*Inputs!$F$170</f>
        <v>2.49107681254913</v>
      </c>
      <c r="AC91" s="13" t="n">
        <f aca="false">(1-AC86)*(AC52+AC53)/MAX(Time!AC31,1)*Inputs!$F$170</f>
        <v>2.52510480144442</v>
      </c>
      <c r="AD91" s="13" t="n">
        <f aca="false">(1-AD86)*(AD52+AD53)/MAX(Time!AD31,1)*Inputs!$F$170</f>
        <v>2.50408964700721</v>
      </c>
      <c r="AE91" s="13" t="n">
        <f aca="false">(1-AE86)*(AE52+AE53)/MAX(Time!AE31,1)*Inputs!$F$170</f>
        <v>2.55698769110241</v>
      </c>
      <c r="AF91" s="13" t="n">
        <f aca="false">(1-AF86)*(AF52+AF53)/MAX(Time!AF31,1)*Inputs!$F$170</f>
        <v>2.56607363559912</v>
      </c>
      <c r="AG91" s="13" t="n">
        <f aca="false">(1-AG86)*(AG52+AG53)/MAX(Time!AG31,1)*Inputs!$F$170</f>
        <v>2.61059697423427</v>
      </c>
      <c r="AH91" s="13" t="n">
        <f aca="false">(1-AH86)*(AH52+AH53)/MAX(Time!AH31,1)*Inputs!$F$170</f>
        <v>2.60001378536387</v>
      </c>
      <c r="AI91" s="13" t="n">
        <f aca="false">(1-AI86)*(AI52+AI53)/MAX(Time!AI31,1)*Inputs!$F$170</f>
        <v>2.64808554300761</v>
      </c>
      <c r="AJ91" s="13" t="n">
        <f aca="false">(1-AJ86)*(AJ52+AJ53)/MAX(Time!AJ31,1)*Inputs!$F$170</f>
        <v>2.64332157183642</v>
      </c>
      <c r="AK91" s="13" t="n">
        <f aca="false">(1-AK86)*(AK52+AK53)/MAX(Time!AK31,1)*Inputs!$F$170</f>
        <v>2.68265162638937</v>
      </c>
      <c r="AL91" s="13" t="n">
        <f aca="false">(1-AL86)*(AL52+AL53)/MAX(Time!AL31,1)*Inputs!$F$170</f>
        <v>2.66671064413447</v>
      </c>
      <c r="AM91" s="13" t="n">
        <f aca="false">(1-AM86)*(AM52+AM53)/MAX(Time!AM31,1)*Inputs!$F$170</f>
        <v>2.71983565356964</v>
      </c>
      <c r="AN91" s="13" t="n">
        <f aca="false">(1-AN86)*(AN52+AN53)/MAX(Time!AN31,1)*Inputs!$F$170</f>
        <v>2.72288798454703</v>
      </c>
      <c r="AO91" s="13" t="n">
        <f aca="false">(1-AO86)*(AO52+AO53)/MAX(Time!AO31,1)*Inputs!$F$170</f>
        <v>2.77012136037635</v>
      </c>
      <c r="AP91" s="13" t="n">
        <f aca="false">(1-AP86)*(AP52+AP53)/MAX(Time!AP31,1)*Inputs!$F$170</f>
        <v>2.75890044815969</v>
      </c>
      <c r="AQ91" s="13" t="n">
        <f aca="false">(1-AQ86)*(AQ52+AQ53)/MAX(Time!AQ31,1)*Inputs!$F$170</f>
        <v>2.80989527555435</v>
      </c>
      <c r="AR91" s="13" t="n">
        <f aca="false">(1-AR86)*(AR52+AR53)/MAX(Time!AR31,1)*Inputs!$F$170</f>
        <v>2.80484224648267</v>
      </c>
      <c r="AS91" s="13" t="n">
        <f aca="false">(1-AS86)*(AS52+AS53)/MAX(Time!AS31,1)*Inputs!$F$170</f>
        <v>2.84315723247726</v>
      </c>
      <c r="AT91" s="13" t="n">
        <f aca="false">(1-AT86)*(AT52+AT53)/MAX(Time!AT31,1)*Inputs!$F$170</f>
        <v>2.81954115869986</v>
      </c>
      <c r="AU91" s="13" t="n">
        <f aca="false">(1-AU86)*(AU52+AU53)/MAX(Time!AU31,1)*Inputs!$F$170</f>
        <v>2.87905627689389</v>
      </c>
      <c r="AV91" s="13" t="n">
        <f aca="false">(1-AV86)*(AV52+AV53)/MAX(Time!AV31,1)*Inputs!$F$170</f>
        <v>2.88925579960767</v>
      </c>
      <c r="AW91" s="13" t="n">
        <f aca="false">(1-AW86)*(AW52+AW53)/MAX(Time!AW31,1)*Inputs!$F$170</f>
        <v>2.93936331731789</v>
      </c>
      <c r="AX91" s="13" t="n">
        <f aca="false">(1-AX86)*(AX52+AX53)/MAX(Time!AX31,1)*Inputs!$F$170</f>
        <v>2.9274669503677</v>
      </c>
      <c r="AY91" s="13" t="n">
        <f aca="false">(1-AY86)*(AY52+AY53)/MAX(Time!AY31,1)*Inputs!$F$170</f>
        <v>2.98156153518292</v>
      </c>
      <c r="AZ91" s="13" t="n">
        <f aca="false">(1-AZ86)*(AZ52+AZ53)/MAX(Time!AZ31,1)*Inputs!$F$170</f>
        <v>2.97620221661621</v>
      </c>
      <c r="BA91" s="13" t="n">
        <f aca="false">(1-BA86)*(BA52+BA53)/MAX(Time!BA31,1)*Inputs!$F$170</f>
        <v>3.02047811534827</v>
      </c>
      <c r="BB91" s="13" t="n">
        <f aca="false">(1-BB86)*(BB52+BB53)/MAX(Time!BB31,1)*Inputs!$F$170</f>
        <v>3.00256403683272</v>
      </c>
      <c r="BC91" s="13" t="n">
        <f aca="false">(1-BC86)*(BC52+BC53)/MAX(Time!BC31,1)*Inputs!$F$170</f>
        <v>3.0623367682061</v>
      </c>
      <c r="BD91" s="13" t="n">
        <f aca="false">(1-BD86)*(BD52+BD53)/MAX(Time!BD31,1)*Inputs!$F$170</f>
        <v>3.0657572642721</v>
      </c>
      <c r="BE91" s="13" t="n">
        <f aca="false">(1-BE86)*(BE52+BE53)/MAX(Time!BE31,1)*Inputs!$F$170</f>
        <v>3.11891291259338</v>
      </c>
      <c r="BF91" s="13" t="n">
        <f aca="false">(1-BF86)*(BF52+BF53)/MAX(Time!BF31,1)*Inputs!$F$170</f>
        <v>3.10630117215125</v>
      </c>
      <c r="BG91" s="13" t="n">
        <f aca="false">(1-BG86)*(BG52+BG53)/MAX(Time!BG31,1)*Inputs!$F$170</f>
        <v>3.16368281590701</v>
      </c>
      <c r="BH91" s="13" t="n">
        <f aca="false">(1-BH86)*(BH52+BH53)/MAX(Time!BH31,1)*Inputs!$F$170</f>
        <v>3.15799896862506</v>
      </c>
      <c r="BI91" s="13" t="n">
        <f aca="false">(1-BI86)*(BI52+BI53)/MAX(Time!BI31,1)*Inputs!$F$170</f>
        <v>3.20114006649192</v>
      </c>
      <c r="BJ91" s="13" t="n">
        <f aca="false">(1-BJ86)*(BJ52+BJ53)/MAX(Time!BJ31,1)*Inputs!$F$170</f>
        <v>3.17460746713951</v>
      </c>
      <c r="BK91" s="13" t="n">
        <f aca="false">(1-BK86)*(BK52+BK53)/MAX(Time!BK31,1)*Inputs!$F$170</f>
        <v>3.24156092595279</v>
      </c>
      <c r="BL91" s="13" t="n">
        <f aca="false">(1-BL86)*(BL52+BL53)/MAX(Time!BL31,1)*Inputs!$F$170</f>
        <v>3.25300768215875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1.6628928836941</v>
      </c>
      <c r="P92" s="13" t="n">
        <f aca="false">(1-P86)*(P60+P61+P62+P64)/MAX(Time!P31,1)*Inputs!$F$171</f>
        <v>1.67194885949894</v>
      </c>
      <c r="Q92" s="13" t="n">
        <f aca="false">(1-Q86)*(Q60+Q61+Q62+Q64)/MAX(Time!Q31,1)*Inputs!$F$171</f>
        <v>1.71286010751399</v>
      </c>
      <c r="R92" s="13" t="n">
        <f aca="false">(1-R86)*(R60+R61+R62+R64)/MAX(Time!R31,1)*Inputs!$F$171</f>
        <v>1.69263594622123</v>
      </c>
      <c r="S92" s="13" t="n">
        <f aca="false">(1-S86)*(S60+S61+S62+S64)/MAX(Time!S31,1)*Inputs!$F$171</f>
        <v>1.74502917045463</v>
      </c>
      <c r="T92" s="13" t="n">
        <f aca="false">(1-T86)*(T60+T61+T62+T64)/MAX(Time!T31,1)*Inputs!$F$171</f>
        <v>1.74632383256489</v>
      </c>
      <c r="U92" s="13" t="n">
        <f aca="false">(1-U86)*(U60+U61+U62+U64)/MAX(Time!U31,1)*Inputs!$F$171</f>
        <v>1.76490315486203</v>
      </c>
      <c r="V92" s="13" t="n">
        <f aca="false">(1-V86)*(V60+V61+V62+V64)/MAX(Time!V31,1)*Inputs!$F$171</f>
        <v>1.72496769206929</v>
      </c>
      <c r="W92" s="13" t="n">
        <f aca="false">(1-W86)*(W60+W61+W62+W64)/MAX(Time!W31,1)*Inputs!$F$171</f>
        <v>1.79321945412016</v>
      </c>
      <c r="X92" s="13" t="n">
        <f aca="false">(1-X86)*(X60+X61+X62+X64)/MAX(Time!X31,1)*Inputs!$F$171</f>
        <v>1.8240073019327</v>
      </c>
      <c r="Y92" s="13" t="n">
        <f aca="false">(1-Y86)*(Y60+Y61+Y62+Y64)/MAX(Time!Y31,1)*Inputs!$F$171</f>
        <v>1.8686392981129</v>
      </c>
      <c r="Z92" s="13" t="n">
        <f aca="false">(1-Z86)*(Z60+Z61+Z62+Z64)/MAX(Time!Z31,1)*Inputs!$F$171</f>
        <v>1.84657581353687</v>
      </c>
      <c r="AA92" s="13" t="n">
        <f aca="false">(1-AA86)*(AA60+AA61+AA62+AA64)/MAX(Time!AA31,1)*Inputs!$F$171</f>
        <v>1.90373403523161</v>
      </c>
      <c r="AB92" s="13" t="n">
        <f aca="false">(1-AB86)*(AB60+AB61+AB62+AB64)/MAX(Time!AB31,1)*Inputs!$F$171</f>
        <v>1.90514644275188</v>
      </c>
      <c r="AC92" s="13" t="n">
        <f aca="false">(1-AC86)*(AC60+AC61+AC62+AC64)/MAX(Time!AC31,1)*Inputs!$F$171</f>
        <v>1.91250840221712</v>
      </c>
      <c r="AD92" s="13" t="n">
        <f aca="false">(1-AD86)*(AD60+AD61+AD62+AD64)/MAX(Time!AD31,1)*Inputs!$F$171</f>
        <v>1.84924221133948</v>
      </c>
      <c r="AE92" s="13" t="n">
        <f aca="false">(1-AE86)*(AE60+AE61+AE62+AE64)/MAX(Time!AE31,1)*Inputs!$F$171</f>
        <v>1.9297792162426</v>
      </c>
      <c r="AF92" s="13" t="n">
        <f aca="false">(1-AF86)*(AF60+AF61+AF62+AF64)/MAX(Time!AF31,1)*Inputs!$F$171</f>
        <v>1.98989497711125</v>
      </c>
      <c r="AG92" s="13" t="n">
        <f aca="false">(1-AG86)*(AG60+AG61+AG62+AG64)/MAX(Time!AG31,1)*Inputs!$F$171</f>
        <v>2.03858611169351</v>
      </c>
      <c r="AH92" s="13" t="n">
        <f aca="false">(1-AH86)*(AH60+AH61+AH62+AH64)/MAX(Time!AH31,1)*Inputs!$F$171</f>
        <v>2.01451602321914</v>
      </c>
      <c r="AI92" s="13" t="n">
        <f aca="false">(1-AI86)*(AI60+AI61+AI62+AI64)/MAX(Time!AI31,1)*Inputs!$F$171</f>
        <v>2.07687260377146</v>
      </c>
      <c r="AJ92" s="13" t="n">
        <f aca="false">(1-AJ86)*(AJ60+AJ61+AJ62+AJ64)/MAX(Time!AJ31,1)*Inputs!$F$171</f>
        <v>2.07841346527307</v>
      </c>
      <c r="AK92" s="13" t="n">
        <f aca="false">(1-AK86)*(AK60+AK61+AK62+AK64)/MAX(Time!AK31,1)*Inputs!$F$171</f>
        <v>2.10052592398087</v>
      </c>
      <c r="AL92" s="13" t="n">
        <f aca="false">(1-AL86)*(AL60+AL61+AL62+AL64)/MAX(Time!AL31,1)*Inputs!$F$171</f>
        <v>2.05299613479598</v>
      </c>
      <c r="AM92" s="13" t="n">
        <f aca="false">(1-AM86)*(AM60+AM61+AM62+AM64)/MAX(Time!AM31,1)*Inputs!$F$171</f>
        <v>2.13422699165647</v>
      </c>
      <c r="AN92" s="13" t="n">
        <f aca="false">(1-AN86)*(AN60+AN61+AN62+AN64)/MAX(Time!AN31,1)*Inputs!$F$171</f>
        <v>2.17086960986228</v>
      </c>
      <c r="AO92" s="13" t="n">
        <f aca="false">(1-AO86)*(AO60+AO61+AO62+AO64)/MAX(Time!AO31,1)*Inputs!$F$171</f>
        <v>2.22398904860159</v>
      </c>
      <c r="AP92" s="13" t="n">
        <f aca="false">(1-AP86)*(AP60+AP61+AP62+AP64)/MAX(Time!AP31,1)*Inputs!$F$171</f>
        <v>2.19772986197278</v>
      </c>
      <c r="AQ92" s="13" t="n">
        <f aca="false">(1-AQ86)*(AQ60+AQ61+AQ62+AQ64)/MAX(Time!AQ31,1)*Inputs!$F$171</f>
        <v>2.2657575756225</v>
      </c>
      <c r="AR92" s="13" t="n">
        <f aca="false">(1-AR86)*(AR60+AR61+AR62+AR64)/MAX(Time!AR31,1)*Inputs!$F$171</f>
        <v>2.26743857358739</v>
      </c>
      <c r="AS92" s="13" t="n">
        <f aca="false">(1-AS86)*(AS60+AS61+AS62+AS64)/MAX(Time!AS31,1)*Inputs!$F$171</f>
        <v>2.2762005199103</v>
      </c>
      <c r="AT92" s="13" t="n">
        <f aca="false">(1-AT86)*(AT60+AT61+AT62+AT64)/MAX(Time!AT31,1)*Inputs!$F$171</f>
        <v>2.20090331525411</v>
      </c>
      <c r="AU92" s="13" t="n">
        <f aca="false">(1-AU86)*(AU60+AU61+AU62+AU64)/MAX(Time!AU31,1)*Inputs!$F$171</f>
        <v>2.29675563790011</v>
      </c>
      <c r="AV92" s="13" t="n">
        <f aca="false">(1-AV86)*(AV60+AV61+AV62+AV64)/MAX(Time!AV31,1)*Inputs!$F$171</f>
        <v>2.36830331109485</v>
      </c>
      <c r="AW92" s="13" t="n">
        <f aca="false">(1-AW86)*(AW60+AW61+AW62+AW64)/MAX(Time!AW31,1)*Inputs!$F$171</f>
        <v>2.4262537942</v>
      </c>
      <c r="AX92" s="13" t="n">
        <f aca="false">(1-AX86)*(AX60+AX61+AX62+AX64)/MAX(Time!AX31,1)*Inputs!$F$171</f>
        <v>2.39760641788724</v>
      </c>
      <c r="AY92" s="13" t="n">
        <f aca="false">(1-AY86)*(AY60+AY61+AY62+AY64)/MAX(Time!AY31,1)*Inputs!$F$171</f>
        <v>2.47182103619086</v>
      </c>
      <c r="AZ92" s="13" t="n">
        <f aca="false">(1-AZ86)*(AZ60+AZ61+AZ62+AZ64)/MAX(Time!AZ31,1)*Inputs!$F$171</f>
        <v>2.47365491558559</v>
      </c>
      <c r="BA92" s="13" t="n">
        <f aca="false">(1-BA86)*(BA60+BA61+BA62+BA64)/MAX(Time!BA31,1)*Inputs!$F$171</f>
        <v>2.49997238951085</v>
      </c>
      <c r="BB92" s="13" t="n">
        <f aca="false">(1-BB86)*(BB60+BB61+BB62+BB64)/MAX(Time!BB31,1)*Inputs!$F$171</f>
        <v>2.44340409902468</v>
      </c>
      <c r="BC92" s="13" t="n">
        <f aca="false">(1-BC86)*(BC60+BC61+BC62+BC64)/MAX(Time!BC31,1)*Inputs!$F$171</f>
        <v>2.54008221997006</v>
      </c>
      <c r="BD92" s="13" t="n">
        <f aca="false">(1-BD86)*(BD60+BD61+BD62+BD64)/MAX(Time!BD31,1)*Inputs!$F$171</f>
        <v>2.5836929808505</v>
      </c>
      <c r="BE92" s="13" t="n">
        <f aca="false">(1-BE86)*(BE60+BE61+BE62+BE64)/MAX(Time!BE31,1)*Inputs!$F$171</f>
        <v>2.64691387647407</v>
      </c>
      <c r="BF92" s="13" t="n">
        <f aca="false">(1-BF86)*(BF60+BF61+BF62+BF64)/MAX(Time!BF31,1)*Inputs!$F$171</f>
        <v>2.6156611122051</v>
      </c>
      <c r="BG92" s="13" t="n">
        <f aca="false">(1-BG86)*(BG60+BG61+BG62+BG64)/MAX(Time!BG31,1)*Inputs!$F$171</f>
        <v>2.69662531450523</v>
      </c>
      <c r="BH92" s="13" t="n">
        <f aca="false">(1-BH86)*(BH60+BH61+BH62+BH64)/MAX(Time!BH31,1)*Inputs!$F$171</f>
        <v>2.69862597941065</v>
      </c>
      <c r="BI92" s="13" t="n">
        <f aca="false">(1-BI86)*(BI60+BI61+BI62+BI64)/MAX(Time!BI31,1)*Inputs!$F$171</f>
        <v>2.70905414106083</v>
      </c>
      <c r="BJ92" s="13" t="n">
        <f aca="false">(1-BJ86)*(BJ60+BJ61+BJ62+BJ64)/MAX(Time!BJ31,1)*Inputs!$F$171</f>
        <v>2.61943804515896</v>
      </c>
      <c r="BK92" s="13" t="n">
        <f aca="false">(1-BK86)*(BK60+BK61+BK62+BK64)/MAX(Time!BK31,1)*Inputs!$F$171</f>
        <v>2.73351812260516</v>
      </c>
      <c r="BL92" s="13" t="n">
        <f aca="false">(1-BL86)*(BL60+BL61+BL62+BL64)/MAX(Time!BL31,1)*Inputs!$F$171</f>
        <v>2.81867165747875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1.16908940714676</v>
      </c>
      <c r="P93" s="13" t="n">
        <f aca="false">(1-P86)*(P65+P66+P67+P68+P69+P70+P71)/MAX(Time!P31,1)*Inputs!$F$172</f>
        <v>1.17437710141026</v>
      </c>
      <c r="Q93" s="13" t="n">
        <f aca="false">(1-Q86)*(Q65+Q66+Q67+Q68+Q69+Q70+Q71)/MAX(Time!Q31,1)*Inputs!$F$172</f>
        <v>1.20455680672931</v>
      </c>
      <c r="R93" s="13" t="n">
        <f aca="false">(1-R86)*(R65+R66+R67+R68+R69+R70+R71)/MAX(Time!R31,1)*Inputs!$F$172</f>
        <v>1.19440994066601</v>
      </c>
      <c r="S93" s="13" t="n">
        <f aca="false">(1-S86)*(S65+S66+S67+S68+S69+S70+S71)/MAX(Time!S31,1)*Inputs!$F$172</f>
        <v>1.22747781104018</v>
      </c>
      <c r="T93" s="13" t="n">
        <f aca="false">(1-T86)*(T65+T66+T67+T68+T69+T70+T71)/MAX(Time!T31,1)*Inputs!$F$172</f>
        <v>1.22184276048733</v>
      </c>
      <c r="U93" s="13" t="n">
        <f aca="false">(1-U86)*(U65+U66+U67+U68+U69+U70+U71)/MAX(Time!U31,1)*Inputs!$F$172</f>
        <v>1.24333028314458</v>
      </c>
      <c r="V93" s="13" t="n">
        <f aca="false">(1-V86)*(V65+V66+V67+V68+V69+V70+V71)/MAX(Time!V31,1)*Inputs!$F$172</f>
        <v>1.23357835972436</v>
      </c>
      <c r="W93" s="13" t="n">
        <f aca="false">(1-W86)*(W65+W66+W67+W68+W69+W70+W71)/MAX(Time!W31,1)*Inputs!$F$172</f>
        <v>1.2709153509933</v>
      </c>
      <c r="X93" s="13" t="n">
        <f aca="false">(1-X86)*(X65+X66+X67+X68+X69+X70+X71)/MAX(Time!X31,1)*Inputs!$F$172</f>
        <v>1.27137077047858</v>
      </c>
      <c r="Y93" s="13" t="n">
        <f aca="false">(1-Y86)*(Y65+Y66+Y67+Y68+Y69+Y70+Y71)/MAX(Time!Y31,1)*Inputs!$F$172</f>
        <v>1.30411452228973</v>
      </c>
      <c r="Z93" s="13" t="n">
        <f aca="false">(1-Z86)*(Z65+Z66+Z67+Z68+Z69+Z70+Z71)/MAX(Time!Z31,1)*Inputs!$F$172</f>
        <v>1.29319741011577</v>
      </c>
      <c r="AA93" s="13" t="n">
        <f aca="false">(1-AA86)*(AA65+AA66+AA67+AA68+AA69+AA70+AA71)/MAX(Time!AA31,1)*Inputs!$F$172</f>
        <v>1.32907588990402</v>
      </c>
      <c r="AB93" s="13" t="n">
        <f aca="false">(1-AB86)*(AB65+AB66+AB67+AB68+AB69+AB70+AB71)/MAX(Time!AB31,1)*Inputs!$F$172</f>
        <v>1.3230506883277</v>
      </c>
      <c r="AC93" s="13" t="n">
        <f aca="false">(1-AC86)*(AC65+AC66+AC67+AC68+AC69+AC70+AC71)/MAX(Time!AC31,1)*Inputs!$F$172</f>
        <v>1.34364304796437</v>
      </c>
      <c r="AD93" s="13" t="n">
        <f aca="false">(1-AD86)*(AD65+AD66+AD67+AD68+AD69+AD70+AD71)/MAX(Time!AD31,1)*Inputs!$F$172</f>
        <v>1.32684044707034</v>
      </c>
      <c r="AE93" s="13" t="n">
        <f aca="false">(1-AE86)*(AE65+AE66+AE67+AE68+AE69+AE70+AE71)/MAX(Time!AE31,1)*Inputs!$F$172</f>
        <v>1.37077160046846</v>
      </c>
      <c r="AF93" s="13" t="n">
        <f aca="false">(1-AF86)*(AF65+AF66+AF67+AF68+AF69+AF70+AF71)/MAX(Time!AF31,1)*Inputs!$F$172</f>
        <v>1.37697595764641</v>
      </c>
      <c r="AG93" s="13" t="n">
        <f aca="false">(1-AG86)*(AG65+AG66+AG67+AG68+AG69+AG70+AG71)/MAX(Time!AG31,1)*Inputs!$F$172</f>
        <v>1.41251182805383</v>
      </c>
      <c r="AH93" s="13" t="n">
        <f aca="false">(1-AH86)*(AH65+AH66+AH67+AH68+AH69+AH70+AH71)/MAX(Time!AH31,1)*Inputs!$F$172</f>
        <v>1.40075698044001</v>
      </c>
      <c r="AI93" s="13" t="n">
        <f aca="false">(1-AI86)*(AI65+AI66+AI67+AI68+AI69+AI70+AI71)/MAX(Time!AI31,1)*Inputs!$F$172</f>
        <v>1.43969510102453</v>
      </c>
      <c r="AJ93" s="13" t="n">
        <f aca="false">(1-AJ86)*(AJ65+AJ66+AJ67+AJ68+AJ69+AJ70+AJ71)/MAX(Time!AJ31,1)*Inputs!$F$172</f>
        <v>1.4332440772859</v>
      </c>
      <c r="AK93" s="13" t="n">
        <f aca="false">(1-AK86)*(AK65+AK66+AK67+AK68+AK69+AK70+AK71)/MAX(Time!AK31,1)*Inputs!$F$172</f>
        <v>1.45859050440447</v>
      </c>
      <c r="AL93" s="13" t="n">
        <f aca="false">(1-AL86)*(AL65+AL66+AL67+AL68+AL69+AL70+AL71)/MAX(Time!AL31,1)*Inputs!$F$172</f>
        <v>1.44727899703603</v>
      </c>
      <c r="AM93" s="13" t="n">
        <f aca="false">(1-AM86)*(AM65+AM66+AM67+AM68+AM69+AM70+AM71)/MAX(Time!AM31,1)*Inputs!$F$172</f>
        <v>1.49124957686535</v>
      </c>
      <c r="AN93" s="13" t="n">
        <f aca="false">(1-AN86)*(AN65+AN66+AN67+AN68+AN69+AN70+AN71)/MAX(Time!AN31,1)*Inputs!$F$172</f>
        <v>1.49195677721474</v>
      </c>
      <c r="AO93" s="13" t="n">
        <f aca="false">(1-AO86)*(AO65+AO66+AO67+AO68+AO69+AO70+AO71)/MAX(Time!AO31,1)*Inputs!$F$172</f>
        <v>1.53053311512828</v>
      </c>
      <c r="AP93" s="13" t="n">
        <f aca="false">(1-AP86)*(AP65+AP66+AP67+AP68+AP69+AP70+AP71)/MAX(Time!AP31,1)*Inputs!$F$172</f>
        <v>1.51786713782089</v>
      </c>
      <c r="AQ93" s="13" t="n">
        <f aca="false">(1-AQ86)*(AQ65+AQ66+AQ67+AQ68+AQ69+AQ70+AQ71)/MAX(Time!AQ31,1)*Inputs!$F$172</f>
        <v>1.56013598034708</v>
      </c>
      <c r="AR93" s="13" t="n">
        <f aca="false">(1-AR86)*(AR65+AR66+AR67+AR68+AR69+AR70+AR71)/MAX(Time!AR31,1)*Inputs!$F$172</f>
        <v>1.55322020201958</v>
      </c>
      <c r="AS93" s="13" t="n">
        <f aca="false">(1-AS86)*(AS65+AS66+AS67+AS68+AS69+AS70+AS71)/MAX(Time!AS31,1)*Inputs!$F$172</f>
        <v>1.57753582196399</v>
      </c>
      <c r="AT93" s="13" t="n">
        <f aca="false">(1-AT86)*(AT65+AT66+AT67+AT68+AT69+AT70+AT71)/MAX(Time!AT31,1)*Inputs!$F$172</f>
        <v>1.55802301084991</v>
      </c>
      <c r="AU93" s="13" t="n">
        <f aca="false">(1-AU86)*(AU65+AU66+AU67+AU68+AU69+AU70+AU71)/MAX(Time!AU31,1)*Inputs!$F$172</f>
        <v>1.60968567860143</v>
      </c>
      <c r="AV93" s="13" t="n">
        <f aca="false">(1-AV86)*(AV65+AV66+AV67+AV68+AV69+AV70+AV71)/MAX(Time!AV31,1)*Inputs!$F$172</f>
        <v>1.61714510235901</v>
      </c>
      <c r="AW93" s="13" t="n">
        <f aca="false">(1-AW86)*(AW65+AW66+AW67+AW68+AW69+AW70+AW71)/MAX(Time!AW31,1)*Inputs!$F$172</f>
        <v>1.6590323352579</v>
      </c>
      <c r="AX93" s="13" t="n">
        <f aca="false">(1-AX86)*(AX65+AX66+AX67+AX68+AX69+AX70+AX71)/MAX(Time!AX31,1)*Inputs!$F$172</f>
        <v>1.64537541323661</v>
      </c>
      <c r="AY93" s="13" t="n">
        <f aca="false">(1-AY86)*(AY65+AY66+AY67+AY68+AY69+AY70+AY71)/MAX(Time!AY31,1)*Inputs!$F$172</f>
        <v>1.6912700595055</v>
      </c>
      <c r="AZ93" s="13" t="n">
        <f aca="false">(1-AZ86)*(AZ65+AZ66+AZ67+AZ68+AZ69+AZ70+AZ71)/MAX(Time!AZ31,1)*Inputs!$F$172</f>
        <v>1.68384703471486</v>
      </c>
      <c r="BA93" s="13" t="n">
        <f aca="false">(1-BA86)*(BA65+BA66+BA67+BA68+BA69+BA70+BA71)/MAX(Time!BA31,1)*Inputs!$F$172</f>
        <v>1.71377577319758</v>
      </c>
      <c r="BB93" s="13" t="n">
        <f aca="false">(1-BB86)*(BB65+BB66+BB67+BB68+BB69+BB70+BB71)/MAX(Time!BB31,1)*Inputs!$F$172</f>
        <v>1.70063138427179</v>
      </c>
      <c r="BC93" s="13" t="n">
        <f aca="false">(1-BC86)*(BC65+BC66+BC67+BC68+BC69+BC70+BC71)/MAX(Time!BC31,1)*Inputs!$F$172</f>
        <v>1.75245776555793</v>
      </c>
      <c r="BD93" s="13" t="n">
        <f aca="false">(1-BD86)*(BD65+BD66+BD67+BD68+BD69+BD70+BD71)/MAX(Time!BD31,1)*Inputs!$F$172</f>
        <v>1.75344656980035</v>
      </c>
      <c r="BE93" s="13" t="n">
        <f aca="false">(1-BE86)*(BE65+BE66+BE67+BE68+BE69+BE70+BE71)/MAX(Time!BE31,1)*Inputs!$F$172</f>
        <v>1.79893916551024</v>
      </c>
      <c r="BF93" s="13" t="n">
        <f aca="false">(1-BF86)*(BF65+BF66+BF67+BF68+BF69+BF70+BF71)/MAX(Time!BF31,1)*Inputs!$F$172</f>
        <v>1.78420450215914</v>
      </c>
      <c r="BG93" s="13" t="n">
        <f aca="false">(1-BG86)*(BG65+BG66+BG67+BG68+BG69+BG70+BG71)/MAX(Time!BG31,1)*Inputs!$F$172</f>
        <v>1.83404615799398</v>
      </c>
      <c r="BH93" s="13" t="n">
        <f aca="false">(1-BH86)*(BH65+BH66+BH67+BH68+BH69+BH70+BH71)/MAX(Time!BH31,1)*Inputs!$F$172</f>
        <v>1.82606951000008</v>
      </c>
      <c r="BI93" s="13" t="n">
        <f aca="false">(1-BI86)*(BI65+BI66+BI67+BI68+BI69+BI70+BI71)/MAX(Time!BI31,1)*Inputs!$F$172</f>
        <v>1.85481257914875</v>
      </c>
      <c r="BJ93" s="13" t="n">
        <f aca="false">(1-BJ86)*(BJ65+BJ66+BJ67+BJ68+BJ69+BJ70+BJ71)/MAX(Time!BJ31,1)*Inputs!$F$172</f>
        <v>1.8321146167365</v>
      </c>
      <c r="BK93" s="13" t="n">
        <f aca="false">(1-BK86)*(BK65+BK66+BK67+BK68+BK69+BK70+BK71)/MAX(Time!BK31,1)*Inputs!$F$172</f>
        <v>1.89292912047208</v>
      </c>
      <c r="BL93" s="13" t="n">
        <f aca="false">(1-BL86)*(BL65+BL66+BL67+BL68+BL69+BL70+BL71)/MAX(Time!BL31,1)*Inputs!$F$172</f>
        <v>1.9018471162328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15.0233254045774</v>
      </c>
      <c r="P95" s="13" t="n">
        <f aca="false">P88+P89-P90-P91-P92-P93-P94</f>
        <v>14.9872973178039</v>
      </c>
      <c r="Q95" s="13" t="n">
        <f aca="false">Q88+Q89-Q90-Q91-Q92-Q93-Q94</f>
        <v>15.2781865107873</v>
      </c>
      <c r="R95" s="13" t="n">
        <f aca="false">R88+R89-R90-R91-R92-R93-R94</f>
        <v>15.0840879340208</v>
      </c>
      <c r="S95" s="13" t="n">
        <f aca="false">S88+S89-S90-S91-S92-S93-S94</f>
        <v>15.3781424837101</v>
      </c>
      <c r="T95" s="13" t="n">
        <f aca="false">T88+T89-T90-T91-T92-T93-T94</f>
        <v>15.1849125067072</v>
      </c>
      <c r="U95" s="13" t="n">
        <f aca="false">U88+U89-U90-U91-U92-U93-U94</f>
        <v>15.4002463729601</v>
      </c>
      <c r="V95" s="13" t="n">
        <f aca="false">V88+V89-V90-V91-V92-V93-V94</f>
        <v>15.2832880798478</v>
      </c>
      <c r="W95" s="13" t="n">
        <f aca="false">W88+W89-W90-W91-W92-W93-W94</f>
        <v>15.5831163639653</v>
      </c>
      <c r="X95" s="13" t="n">
        <f aca="false">X88+X89-X90-X91-X92-X93-X94</f>
        <v>15.3902958823048</v>
      </c>
      <c r="Y95" s="13" t="n">
        <f aca="false">Y88+Y89-Y90-Y91-Y92-Y93-Y94</f>
        <v>15.6913064597427</v>
      </c>
      <c r="Z95" s="13" t="n">
        <f aca="false">Z88+Z89-Z90-Z91-Z92-Z93-Z94</f>
        <v>15.4952037704382</v>
      </c>
      <c r="AA95" s="13" t="n">
        <f aca="false">AA88+AA89-AA90-AA91-AA92-AA93-AA94</f>
        <v>15.7994021634828</v>
      </c>
      <c r="AB95" s="13" t="n">
        <f aca="false">AB88+AB89-AB90-AB91-AB92-AB93-AB94</f>
        <v>15.6037598661332</v>
      </c>
      <c r="AC95" s="13" t="n">
        <f aca="false">AC88+AC89-AC90-AC91-AC92-AC93-AC94</f>
        <v>15.82734333459</v>
      </c>
      <c r="AD95" s="13" t="n">
        <f aca="false">AD88+AD89-AD90-AD91-AD92-AD93-AD94</f>
        <v>15.4795925059047</v>
      </c>
      <c r="AE95" s="13" t="n">
        <f aca="false">AE88+AE89-AE90-AE91-AE92-AE93-AE94</f>
        <v>16.0206016833129</v>
      </c>
      <c r="AF95" s="13" t="n">
        <f aca="false">AF88+AF89-AF90-AF91-AF92-AF93-AF94</f>
        <v>15.8256297047311</v>
      </c>
      <c r="AG95" s="13" t="n">
        <f aca="false">AG88+AG89-AG90-AG91-AG92-AG93-AG94</f>
        <v>16.137583302785</v>
      </c>
      <c r="AH95" s="13" t="n">
        <f aca="false">AH88+AH89-AH90-AH91-AH92-AH93-AH94</f>
        <v>15.9393492121293</v>
      </c>
      <c r="AI95" s="13" t="n">
        <f aca="false">AI88+AI89-AI90-AI91-AI92-AI93-AI94</f>
        <v>16.2544968368117</v>
      </c>
      <c r="AJ95" s="13" t="n">
        <f aca="false">AJ88+AJ89-AJ90-AJ91-AJ92-AJ93-AJ94</f>
        <v>16.0562440054351</v>
      </c>
      <c r="AK95" s="13" t="n">
        <f aca="false">AK88+AK89-AK90-AK91-AK92-AK93-AK94</f>
        <v>16.2898000576728</v>
      </c>
      <c r="AL95" s="13" t="n">
        <f aca="false">AL88+AL89-AL90-AL91-AL92-AL93-AL94</f>
        <v>16.1739032124018</v>
      </c>
      <c r="AM95" s="13" t="n">
        <f aca="false">AM88+AM89-AM90-AM91-AM92-AM93-AM94</f>
        <v>16.4951432557313</v>
      </c>
      <c r="AN95" s="13" t="n">
        <f aca="false">AN88+AN89-AN90-AN91-AN92-AN93-AN94</f>
        <v>16.2959552948848</v>
      </c>
      <c r="AO95" s="13" t="n">
        <f aca="false">AO88+AO89-AO90-AO91-AO92-AO93-AO94</f>
        <v>16.6197418683178</v>
      </c>
      <c r="AP95" s="13" t="n">
        <f aca="false">AP88+AP89-AP90-AP91-AP92-AP93-AP94</f>
        <v>16.4192411063135</v>
      </c>
      <c r="AQ95" s="13" t="n">
        <f aca="false">AQ88+AQ89-AQ90-AQ91-AQ92-AQ93-AQ94</f>
        <v>16.7462089408319</v>
      </c>
      <c r="AR95" s="13" t="n">
        <f aca="false">AR88+AR89-AR90-AR91-AR92-AR93-AR94</f>
        <v>16.5451306012109</v>
      </c>
      <c r="AS95" s="13" t="n">
        <f aca="false">AS88+AS89-AS90-AS91-AS92-AS93-AS94</f>
        <v>16.7889910441601</v>
      </c>
      <c r="AT95" s="13" t="n">
        <f aca="false">AT88+AT89-AT90-AT91-AT92-AT93-AT94</f>
        <v>16.4269752845486</v>
      </c>
      <c r="AU95" s="13" t="n">
        <f aca="false">AU88+AU89-AU90-AU91-AU92-AU93-AU94</f>
        <v>17.007230001062</v>
      </c>
      <c r="AV95" s="13" t="n">
        <f aca="false">AV88+AV89-AV90-AV91-AV92-AV93-AV94</f>
        <v>16.8041520609219</v>
      </c>
      <c r="AW95" s="13" t="n">
        <f aca="false">AW88+AW89-AW90-AW91-AW92-AW93-AW94</f>
        <v>17.1407356882821</v>
      </c>
      <c r="AX95" s="13" t="n">
        <f aca="false">AX88+AX89-AX90-AX91-AX92-AX93-AX94</f>
        <v>16.9378245057146</v>
      </c>
      <c r="AY95" s="13" t="n">
        <f aca="false">AY88+AY89-AY90-AY91-AY92-AY93-AY94</f>
        <v>17.2775545902212</v>
      </c>
      <c r="AZ95" s="13" t="n">
        <f aca="false">AZ88+AZ89-AZ90-AZ91-AZ92-AZ93-AZ94</f>
        <v>17.0734175515485</v>
      </c>
      <c r="BA95" s="13" t="n">
        <f aca="false">BA88+BA89-BA90-BA91-BA92-BA93-BA94</f>
        <v>17.3283762200671</v>
      </c>
      <c r="BB95" s="13" t="n">
        <f aca="false">BB88+BB89-BB90-BB91-BB92-BB93-BB94</f>
        <v>17.2141269421148</v>
      </c>
      <c r="BC95" s="13" t="n">
        <f aca="false">BC88+BC89-BC90-BC91-BC92-BC93-BC94</f>
        <v>17.5602179360332</v>
      </c>
      <c r="BD95" s="13" t="n">
        <f aca="false">BD88+BD89-BD90-BD91-BD92-BD93-BD94</f>
        <v>17.3533413511512</v>
      </c>
      <c r="BE95" s="13" t="n">
        <f aca="false">BE88+BE89-BE90-BE91-BE92-BE93-BE94</f>
        <v>17.7037665424869</v>
      </c>
      <c r="BF95" s="13" t="n">
        <f aca="false">BF88+BF89-BF90-BF91-BF92-BF93-BF94</f>
        <v>17.498292181402</v>
      </c>
      <c r="BG95" s="13" t="n">
        <f aca="false">BG88+BG89-BG90-BG91-BG92-BG93-BG94</f>
        <v>17.8518035565322</v>
      </c>
      <c r="BH95" s="13" t="n">
        <f aca="false">BH88+BH89-BH90-BH91-BH92-BH93-BH94</f>
        <v>17.6443548258449</v>
      </c>
      <c r="BI95" s="13" t="n">
        <f aca="false">BI88+BI89-BI90-BI91-BI92-BI93-BI94</f>
        <v>17.9121349770593</v>
      </c>
      <c r="BJ95" s="13" t="n">
        <f aca="false">BJ88+BJ89-BJ90-BJ91-BJ92-BJ93-BJ94</f>
        <v>17.5337277264353</v>
      </c>
      <c r="BK95" s="13" t="n">
        <f aca="false">BK88+BK89-BK90-BK91-BK92-BK93-BK94</f>
        <v>18.1599338751556</v>
      </c>
      <c r="BL95" s="13" t="n">
        <f aca="false">BL88+BL89-BL90-BL91-BL92-BL93-BL94</f>
        <v>17.9469071465424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15.0233254045774</v>
      </c>
      <c r="P96" s="13" t="n">
        <f aca="false">P95-O95</f>
        <v>-0.036028086773527</v>
      </c>
      <c r="Q96" s="13" t="n">
        <f aca="false">Q95-P95</f>
        <v>0.290889192983478</v>
      </c>
      <c r="R96" s="13" t="n">
        <f aca="false">R95-Q95</f>
        <v>-0.19409857676658</v>
      </c>
      <c r="S96" s="13" t="n">
        <f aca="false">S95-R95</f>
        <v>0.294054549689314</v>
      </c>
      <c r="T96" s="13" t="n">
        <f aca="false">T95-S95</f>
        <v>-0.193229977002833</v>
      </c>
      <c r="U96" s="13" t="n">
        <f aca="false">U95-T95</f>
        <v>0.215333866252807</v>
      </c>
      <c r="V96" s="13" t="n">
        <f aca="false">V95-U95</f>
        <v>-0.11695829311223</v>
      </c>
      <c r="W96" s="13" t="n">
        <f aca="false">W95-V95</f>
        <v>0.299828284117513</v>
      </c>
      <c r="X96" s="13" t="n">
        <f aca="false">X95-W95</f>
        <v>-0.192820481660551</v>
      </c>
      <c r="Y96" s="13" t="n">
        <f aca="false">Y95-X95</f>
        <v>0.301010577437914</v>
      </c>
      <c r="Z96" s="13" t="n">
        <f aca="false">Z95-Y95</f>
        <v>-0.196102689304501</v>
      </c>
      <c r="AA96" s="13" t="n">
        <f aca="false">AA95-Z95</f>
        <v>0.304198393044571</v>
      </c>
      <c r="AB96" s="13" t="n">
        <f aca="false">AB95-AA95</f>
        <v>-0.195642297349563</v>
      </c>
      <c r="AC96" s="13" t="n">
        <f aca="false">AC95-AB95</f>
        <v>0.223583468456788</v>
      </c>
      <c r="AD96" s="13" t="n">
        <f aca="false">AD95-AC95</f>
        <v>-0.347750828685331</v>
      </c>
      <c r="AE96" s="13" t="n">
        <f aca="false">AE95-AD95</f>
        <v>0.541009177408217</v>
      </c>
      <c r="AF96" s="13" t="n">
        <f aca="false">AF95-AE95</f>
        <v>-0.194971978581741</v>
      </c>
      <c r="AG96" s="13" t="n">
        <f aca="false">AG95-AF95</f>
        <v>0.311953598053904</v>
      </c>
      <c r="AH96" s="13" t="n">
        <f aca="false">AH95-AG95</f>
        <v>-0.198234090655726</v>
      </c>
      <c r="AI96" s="13" t="n">
        <f aca="false">AI95-AH95</f>
        <v>0.315147624682387</v>
      </c>
      <c r="AJ96" s="13" t="n">
        <f aca="false">AJ95-AI95</f>
        <v>-0.198252831376571</v>
      </c>
      <c r="AK96" s="13" t="n">
        <f aca="false">AK95-AJ95</f>
        <v>0.233556052237635</v>
      </c>
      <c r="AL96" s="13" t="n">
        <f aca="false">AL95-AK95</f>
        <v>-0.115896845270992</v>
      </c>
      <c r="AM96" s="13" t="n">
        <f aca="false">AM95-AL95</f>
        <v>0.321240043329542</v>
      </c>
      <c r="AN96" s="13" t="n">
        <f aca="false">AN95-AM95</f>
        <v>-0.199187960846547</v>
      </c>
      <c r="AO96" s="13" t="n">
        <f aca="false">AO95-AN95</f>
        <v>0.323786573433072</v>
      </c>
      <c r="AP96" s="13" t="n">
        <f aca="false">AP95-AO95</f>
        <v>-0.20050076200431</v>
      </c>
      <c r="AQ96" s="13" t="n">
        <f aca="false">AQ95-AP95</f>
        <v>0.326967834518403</v>
      </c>
      <c r="AR96" s="13" t="n">
        <f aca="false">AR95-AQ95</f>
        <v>-0.201078339621077</v>
      </c>
      <c r="AS96" s="13" t="n">
        <f aca="false">AS95-AR95</f>
        <v>0.243860442949249</v>
      </c>
      <c r="AT96" s="13" t="n">
        <f aca="false">AT95-AS95</f>
        <v>-0.362015759611552</v>
      </c>
      <c r="AU96" s="13" t="n">
        <f aca="false">AU95-AT95</f>
        <v>0.580254716513409</v>
      </c>
      <c r="AV96" s="13" t="n">
        <f aca="false">AV95-AU95</f>
        <v>-0.203077940140048</v>
      </c>
      <c r="AW96" s="13" t="n">
        <f aca="false">AW95-AV95</f>
        <v>0.33658362736017</v>
      </c>
      <c r="AX96" s="13" t="n">
        <f aca="false">AX95-AW95</f>
        <v>-0.202911182567437</v>
      </c>
      <c r="AY96" s="13" t="n">
        <f aca="false">AY95-AX95</f>
        <v>0.339730084506599</v>
      </c>
      <c r="AZ96" s="13" t="n">
        <f aca="false">AZ95-AY95</f>
        <v>-0.204137038672744</v>
      </c>
      <c r="BA96" s="13" t="n">
        <f aca="false">BA95-AZ95</f>
        <v>0.254958668518579</v>
      </c>
      <c r="BB96" s="13" t="n">
        <f aca="false">BB95-BA95</f>
        <v>-0.114249277952311</v>
      </c>
      <c r="BC96" s="13" t="n">
        <f aca="false">BC95-BB95</f>
        <v>0.346090993918459</v>
      </c>
      <c r="BD96" s="13" t="n">
        <f aca="false">BD95-BC95</f>
        <v>-0.206876584882007</v>
      </c>
      <c r="BE96" s="13" t="n">
        <f aca="false">BE95-BD95</f>
        <v>0.350425191335702</v>
      </c>
      <c r="BF96" s="13" t="n">
        <f aca="false">BF95-BE95</f>
        <v>-0.205474361084967</v>
      </c>
      <c r="BG96" s="13" t="n">
        <f aca="false">BG95-BF95</f>
        <v>0.353511375130275</v>
      </c>
      <c r="BH96" s="13" t="n">
        <f aca="false">BH95-BG95</f>
        <v>-0.207448730687357</v>
      </c>
      <c r="BI96" s="13" t="n">
        <f aca="false">BI95-BH95</f>
        <v>0.26778015121441</v>
      </c>
      <c r="BJ96" s="13" t="n">
        <f aca="false">BJ95-BI95</f>
        <v>-0.378407250624029</v>
      </c>
      <c r="BK96" s="13" t="n">
        <f aca="false">BK95-BJ95</f>
        <v>0.62620614872036</v>
      </c>
      <c r="BL96" s="13" t="n">
        <f aca="false">BL95-BK95</f>
        <v>-0.213026728613212</v>
      </c>
      <c r="BM96" s="13" t="n">
        <f aca="false">BM95-BL95</f>
        <v>-17.9469071465424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-4.84576633972931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0.0625779514052312</v>
      </c>
      <c r="P98" s="13" t="n">
        <f aca="false">P51-P73</f>
        <v>0.181017032642643</v>
      </c>
      <c r="Q98" s="13" t="n">
        <f aca="false">Q51-Q73</f>
        <v>0.17381561343305</v>
      </c>
      <c r="R98" s="13" t="n">
        <f aca="false">R51-R73</f>
        <v>0.162549702122817</v>
      </c>
      <c r="S98" s="13" t="n">
        <f aca="false">S51-S73</f>
        <v>0.155964565182288</v>
      </c>
      <c r="T98" s="13" t="n">
        <f aca="false">T51-T73</f>
        <v>0.146545824974226</v>
      </c>
      <c r="U98" s="13" t="n">
        <f aca="false">U51-U73</f>
        <v>0.137282214183131</v>
      </c>
      <c r="V98" s="13" t="n">
        <f aca="false">V51-V73</f>
        <v>0.123886026872455</v>
      </c>
      <c r="W98" s="13" t="n">
        <f aca="false">W51-W73</f>
        <v>0.117301534538925</v>
      </c>
      <c r="X98" s="13" t="n">
        <f aca="false">X51-X73</f>
        <v>0.109252136277433</v>
      </c>
      <c r="Y98" s="13" t="n">
        <f aca="false">Y51-Y73</f>
        <v>0.100137433925909</v>
      </c>
      <c r="Z98" s="13" t="n">
        <f aca="false">Z51-Z73</f>
        <v>0.0886380341195263</v>
      </c>
      <c r="AA98" s="13" t="n">
        <f aca="false">AA51-AA73</f>
        <v>0.0796097375640983</v>
      </c>
      <c r="AB98" s="13" t="n">
        <f aca="false">AB51-AB73</f>
        <v>0.0689746055604843</v>
      </c>
      <c r="AC98" s="13" t="n">
        <f aca="false">AC51-AC73</f>
        <v>0.0579313239655335</v>
      </c>
      <c r="AD98" s="13" t="n">
        <f aca="false">AD51-AD73</f>
        <v>0.0450727384697274</v>
      </c>
      <c r="AE98" s="13" t="n">
        <f aca="false">AE51-AE73</f>
        <v>0.0357282249876931</v>
      </c>
      <c r="AF98" s="13" t="n">
        <f aca="false">AF51-AF73</f>
        <v>0.0255438620952049</v>
      </c>
      <c r="AG98" s="13" t="n">
        <f aca="false">AG51-AG73</f>
        <v>0.0142680932752199</v>
      </c>
      <c r="AH98" s="13" t="n">
        <f aca="false">AH51-AH73</f>
        <v>0.0025659684422692</v>
      </c>
      <c r="AI98" s="13" t="n">
        <f aca="false">AI51-AI73</f>
        <v>-0.00923721994925586</v>
      </c>
      <c r="AJ98" s="13" t="n">
        <f aca="false">AJ51-AJ73</f>
        <v>-0.0212178413744226</v>
      </c>
      <c r="AK98" s="13" t="n">
        <f aca="false">AK51-AK73</f>
        <v>-0.0333990624953628</v>
      </c>
      <c r="AL98" s="13" t="n">
        <f aca="false">AL51-AL73</f>
        <v>-0.0443396529633446</v>
      </c>
      <c r="AM98" s="13" t="n">
        <f aca="false">AM51-AM73</f>
        <v>-0.0578241591481685</v>
      </c>
      <c r="AN98" s="13" t="n">
        <f aca="false">AN51-AN73</f>
        <v>-0.0714970112995133</v>
      </c>
      <c r="AO98" s="13" t="n">
        <f aca="false">AO51-AO73</f>
        <v>-0.0852079369743706</v>
      </c>
      <c r="AP98" s="13" t="n">
        <f aca="false">AP51-AP73</f>
        <v>-0.0970759663528469</v>
      </c>
      <c r="AQ98" s="13" t="n">
        <f aca="false">AQ51-AQ73</f>
        <v>-0.112021699299646</v>
      </c>
      <c r="AR98" s="13" t="n">
        <f aca="false">AR51-AR73</f>
        <v>-0.125489312525161</v>
      </c>
      <c r="AS98" s="13" t="n">
        <f aca="false">AS51-AS73</f>
        <v>-0.138425321039534</v>
      </c>
      <c r="AT98" s="13" t="n">
        <f aca="false">AT51-AT73</f>
        <v>-0.145571677818154</v>
      </c>
      <c r="AU98" s="13" t="n">
        <f aca="false">AU51-AU73</f>
        <v>-0.164050424900722</v>
      </c>
      <c r="AV98" s="13" t="n">
        <f aca="false">AV51-AV73</f>
        <v>-0.183399984703783</v>
      </c>
      <c r="AW98" s="13" t="n">
        <f aca="false">AW51-AW73</f>
        <v>-0.199848990904485</v>
      </c>
      <c r="AX98" s="13" t="n">
        <f aca="false">AX51-AX73</f>
        <v>-0.211839307362283</v>
      </c>
      <c r="AY98" s="13" t="n">
        <f aca="false">AY51-AY73</f>
        <v>-0.230334647162579</v>
      </c>
      <c r="AZ98" s="13" t="n">
        <f aca="false">AZ51-AZ73</f>
        <v>-0.245444276632242</v>
      </c>
      <c r="BA98" s="13" t="n">
        <f aca="false">BA51-BA73</f>
        <v>-0.261226007524044</v>
      </c>
      <c r="BB98" s="13" t="n">
        <f aca="false">BB51-BB73</f>
        <v>-0.268599678838001</v>
      </c>
      <c r="BC98" s="13" t="n">
        <f aca="false">BC51-BC73</f>
        <v>-0.290987151483165</v>
      </c>
      <c r="BD98" s="13" t="n">
        <f aca="false">BD51-BD73</f>
        <v>-0.311847899248903</v>
      </c>
      <c r="BE98" s="13" t="n">
        <f aca="false">BE51-BE73</f>
        <v>-0.331369496399645</v>
      </c>
      <c r="BF98" s="13" t="n">
        <f aca="false">BF51-BF73</f>
        <v>-0.343430868759668</v>
      </c>
      <c r="BG98" s="13" t="n">
        <f aca="false">BG51-BG73</f>
        <v>-0.365926092777585</v>
      </c>
      <c r="BH98" s="13" t="n">
        <f aca="false">BH51-BH73</f>
        <v>-0.38284749805868</v>
      </c>
      <c r="BI98" s="13" t="n">
        <f aca="false">BI51-BI73</f>
        <v>-0.397991696644766</v>
      </c>
      <c r="BJ98" s="13" t="n">
        <f aca="false">BJ51-BJ73</f>
        <v>-0.397303991284701</v>
      </c>
      <c r="BK98" s="13" t="n">
        <f aca="false">BK51-BK73</f>
        <v>-0.427552455830778</v>
      </c>
      <c r="BL98" s="13" t="n">
        <f aca="false">BL51-BL73</f>
        <v>-0.458691145781131</v>
      </c>
      <c r="BM98" s="13" t="n">
        <f aca="false">BM51-BM73</f>
        <v>-0.32043048823023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836.686552347281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7.53017897112553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22.5905369133766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22.5905369133766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22.5905369133766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22.5905369133766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22.5905369133766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22.5905369133766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22.5905369133766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22.5905369133766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22.5905369133766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21.7538503610293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20.0804772563347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20.0804772563347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20.0804772563347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20.0804772563347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20.0804772563347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20.0804772563347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20.0804772563347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20.0804772563347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20.0804772563347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20.0804772563347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20.0804772563347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20.0804772563347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20.0804772563347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20.0804772563347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20.0804772563347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20.0804772563347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20.0804772563347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20.0804772563347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20.0804772563347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20.0804772563347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20.0804772563347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20.0804772563347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20.0804772563347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20.0804772563347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20.0804772563347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20.0804772563347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20.0804772563347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20.0804772563347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20.0804772563347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13.6658803550056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0.836686552347281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0.836686552347281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0.836686552347281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0.836686552347281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0.836686552347281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0.836686552347281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0.836686552347281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0.836686552347281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0.836686552347281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0.557791034898187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225.905369133766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7.53017897112553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22.5905369133766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22.5905369133766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22.5905369133766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22.5905369133766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22.5905369133766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22.5905369133766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22.5905369133766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22.5905369133766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22.5905369133766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15.0603579422511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610.781183213515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6.69349241877825</v>
      </c>
      <c r="Z12" s="13" t="n">
        <f aca="false">Z10-Z11</f>
        <v>20.0804772563347</v>
      </c>
      <c r="AA12" s="13" t="n">
        <f aca="false">AA10-AA11</f>
        <v>20.0804772563347</v>
      </c>
      <c r="AB12" s="13" t="n">
        <f aca="false">AB10-AB11</f>
        <v>20.0804772563347</v>
      </c>
      <c r="AC12" s="13" t="n">
        <f aca="false">AC10-AC11</f>
        <v>20.0804772563347</v>
      </c>
      <c r="AD12" s="13" t="n">
        <f aca="false">AD10-AD11</f>
        <v>20.0804772563347</v>
      </c>
      <c r="AE12" s="13" t="n">
        <f aca="false">AE10-AE11</f>
        <v>20.0804772563347</v>
      </c>
      <c r="AF12" s="13" t="n">
        <f aca="false">AF10-AF11</f>
        <v>20.0804772563347</v>
      </c>
      <c r="AG12" s="13" t="n">
        <f aca="false">AG10-AG11</f>
        <v>20.0804772563347</v>
      </c>
      <c r="AH12" s="13" t="n">
        <f aca="false">AH10-AH11</f>
        <v>20.0804772563347</v>
      </c>
      <c r="AI12" s="13" t="n">
        <f aca="false">AI10-AI11</f>
        <v>20.0804772563347</v>
      </c>
      <c r="AJ12" s="13" t="n">
        <f aca="false">AJ10-AJ11</f>
        <v>20.0804772563347</v>
      </c>
      <c r="AK12" s="13" t="n">
        <f aca="false">AK10-AK11</f>
        <v>20.0804772563347</v>
      </c>
      <c r="AL12" s="13" t="n">
        <f aca="false">AL10-AL11</f>
        <v>20.0804772563347</v>
      </c>
      <c r="AM12" s="13" t="n">
        <f aca="false">AM10-AM11</f>
        <v>20.0804772563347</v>
      </c>
      <c r="AN12" s="13" t="n">
        <f aca="false">AN10-AN11</f>
        <v>20.0804772563347</v>
      </c>
      <c r="AO12" s="13" t="n">
        <f aca="false">AO10-AO11</f>
        <v>20.0804772563347</v>
      </c>
      <c r="AP12" s="13" t="n">
        <f aca="false">AP10-AP11</f>
        <v>20.0804772563347</v>
      </c>
      <c r="AQ12" s="13" t="n">
        <f aca="false">AQ10-AQ11</f>
        <v>20.0804772563347</v>
      </c>
      <c r="AR12" s="13" t="n">
        <f aca="false">AR10-AR11</f>
        <v>20.0804772563347</v>
      </c>
      <c r="AS12" s="13" t="n">
        <f aca="false">AS10-AS11</f>
        <v>20.0804772563347</v>
      </c>
      <c r="AT12" s="13" t="n">
        <f aca="false">AT10-AT11</f>
        <v>20.0804772563347</v>
      </c>
      <c r="AU12" s="13" t="n">
        <f aca="false">AU10-AU11</f>
        <v>20.0804772563347</v>
      </c>
      <c r="AV12" s="13" t="n">
        <f aca="false">AV10-AV11</f>
        <v>20.0804772563347</v>
      </c>
      <c r="AW12" s="13" t="n">
        <f aca="false">AW10-AW11</f>
        <v>20.0804772563347</v>
      </c>
      <c r="AX12" s="13" t="n">
        <f aca="false">AX10-AX11</f>
        <v>20.0804772563347</v>
      </c>
      <c r="AY12" s="13" t="n">
        <f aca="false">AY10-AY11</f>
        <v>20.0804772563347</v>
      </c>
      <c r="AZ12" s="13" t="n">
        <f aca="false">AZ10-AZ11</f>
        <v>20.0804772563347</v>
      </c>
      <c r="BA12" s="13" t="n">
        <f aca="false">BA10-BA11</f>
        <v>20.0804772563347</v>
      </c>
      <c r="BB12" s="13" t="n">
        <f aca="false">BB10-BB11</f>
        <v>20.0804772563347</v>
      </c>
      <c r="BC12" s="13" t="n">
        <f aca="false">BC10-BC11</f>
        <v>13.6658803550056</v>
      </c>
      <c r="BD12" s="13" t="n">
        <f aca="false">BD10-BD11</f>
        <v>0.836686552347281</v>
      </c>
      <c r="BE12" s="13" t="n">
        <f aca="false">BE10-BE11</f>
        <v>0.836686552347281</v>
      </c>
      <c r="BF12" s="13" t="n">
        <f aca="false">BF10-BF11</f>
        <v>0.836686552347281</v>
      </c>
      <c r="BG12" s="13" t="n">
        <f aca="false">BG10-BG11</f>
        <v>0.836686552347281</v>
      </c>
      <c r="BH12" s="13" t="n">
        <f aca="false">BH10-BH11</f>
        <v>0.836686552347281</v>
      </c>
      <c r="BI12" s="13" t="n">
        <f aca="false">BI10-BI11</f>
        <v>0.836686552347281</v>
      </c>
      <c r="BJ12" s="13" t="n">
        <f aca="false">BJ10-BJ11</f>
        <v>0.836686552347281</v>
      </c>
      <c r="BK12" s="13" t="n">
        <f aca="false">BK10-BK11</f>
        <v>0.836686552347281</v>
      </c>
      <c r="BL12" s="13" t="n">
        <f aca="false">BL10-BL11</f>
        <v>0.836686552347281</v>
      </c>
      <c r="BM12" s="13" t="n">
        <f aca="false">BM10-BM11</f>
        <v>0.557791034898187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189.179622382865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3.20169334249331</v>
      </c>
      <c r="P13" s="13" t="n">
        <f aca="false">IF(Time!P20&gt;=Time!$F$12,Waterfall!P33*Inputs!$F$104/100*Time!P31/Inputs!$F$248,0)</f>
        <v>9.81089721352277</v>
      </c>
      <c r="Q13" s="13" t="n">
        <f aca="false">IF(Time!Q20&gt;=Time!$F$12,Waterfall!Q33*Inputs!$F$104/100*Time!Q31/Inputs!$F$248,0)</f>
        <v>9.40444588527551</v>
      </c>
      <c r="R13" s="13" t="n">
        <f aca="false">IF(Time!R20&gt;=Time!$F$12,Waterfall!R33*Inputs!$F$104/100*Time!R31/Inputs!$F$248,0)</f>
        <v>9.40835978923532</v>
      </c>
      <c r="S13" s="13" t="n">
        <f aca="false">IF(Time!S20&gt;=Time!$F$12,Waterfall!S33*Inputs!$F$104/100*Time!S31/Inputs!$F$248,0)</f>
        <v>9.06227980725535</v>
      </c>
      <c r="T13" s="13" t="n">
        <f aca="false">IF(Time!T20&gt;=Time!$F$12,Waterfall!T33*Inputs!$F$104/100*Time!T31/Inputs!$F$248,0)</f>
        <v>9.03899113802184</v>
      </c>
      <c r="U13" s="13" t="n">
        <f aca="false">IF(Time!U20&gt;=Time!$F$12,Waterfall!U33*Inputs!$F$104/100*Time!U31/Inputs!$F$248,0)</f>
        <v>8.7328369966884</v>
      </c>
      <c r="V13" s="13" t="n">
        <f aca="false">IF(Time!V20&gt;=Time!$F$12,Waterfall!V33*Inputs!$F$104/100*Time!V31/Inputs!$F$248,0)</f>
        <v>8.65008498571001</v>
      </c>
      <c r="W13" s="13" t="n">
        <f aca="false">IF(Time!W20&gt;=Time!$F$12,Waterfall!W33*Inputs!$F$104/100*Time!W31/Inputs!$F$248,0)</f>
        <v>8.27139205647209</v>
      </c>
      <c r="X13" s="13" t="n">
        <f aca="false">IF(Time!X20&gt;=Time!$F$12,Waterfall!X33*Inputs!$F$104/100*Time!X31/Inputs!$F$248,0)</f>
        <v>8.1134580101109</v>
      </c>
      <c r="Y13" s="13" t="n">
        <f aca="false">IF(Time!Y20&gt;=Time!$F$12,Waterfall!Y33*Inputs!$F$104/100*Time!Y31/Inputs!$F$248,0)</f>
        <v>7.73652859228091</v>
      </c>
      <c r="Z13" s="13" t="n">
        <f aca="false">IF(Time!Z20&gt;=Time!$F$12,Waterfall!Z33*Inputs!$F$104/100*Time!Z31/Inputs!$F$248,0)</f>
        <v>7.63557079123345</v>
      </c>
      <c r="AA13" s="13" t="n">
        <f aca="false">IF(Time!AA20&gt;=Time!$F$12,Waterfall!AA33*Inputs!$F$104/100*Time!AA31/Inputs!$F$248,0)</f>
        <v>7.24784449663133</v>
      </c>
      <c r="AB13" s="13" t="n">
        <f aca="false">IF(Time!AB20&gt;=Time!$F$12,Waterfall!AB33*Inputs!$F$104/100*Time!AB31/Inputs!$F$248,0)</f>
        <v>7.41841133533975</v>
      </c>
      <c r="AC13" s="13" t="n">
        <f aca="false">IF(Time!AC20&gt;=Time!$F$12,Waterfall!AC33*Inputs!$F$104/100*Time!AC31/Inputs!$F$248,0)</f>
        <v>7.34795968015662</v>
      </c>
      <c r="AD13" s="13" t="n">
        <f aca="false">IF(Time!AD20&gt;=Time!$F$12,Waterfall!AD33*Inputs!$F$104/100*Time!AD31/Inputs!$F$248,0)</f>
        <v>7.45134267151566</v>
      </c>
      <c r="AE13" s="13" t="n">
        <f aca="false">IF(Time!AE20&gt;=Time!$F$12,Waterfall!AE33*Inputs!$F$104/100*Time!AE31/Inputs!$F$248,0)</f>
        <v>7.29380991449288</v>
      </c>
      <c r="AF13" s="13" t="n">
        <f aca="false">IF(Time!AF20&gt;=Time!$F$12,Waterfall!AF33*Inputs!$F$104/100*Time!AF31/Inputs!$F$248,0)</f>
        <v>7.34116846945674</v>
      </c>
      <c r="AG13" s="13" t="n">
        <f aca="false">IF(Time!AG20&gt;=Time!$F$12,Waterfall!AG33*Inputs!$F$104/100*Time!AG31/Inputs!$F$248,0)</f>
        <v>7.10914592523915</v>
      </c>
      <c r="AH13" s="13" t="n">
        <f aca="false">IF(Time!AH20&gt;=Time!$F$12,Waterfall!AH33*Inputs!$F$104/100*Time!AH31/Inputs!$F$248,0)</f>
        <v>7.08081701602513</v>
      </c>
      <c r="AI13" s="13" t="n">
        <f aca="false">IF(Time!AI20&gt;=Time!$F$12,Waterfall!AI33*Inputs!$F$104/100*Time!AI31/Inputs!$F$248,0)</f>
        <v>6.75515232722552</v>
      </c>
      <c r="AJ13" s="13" t="n">
        <f aca="false">IF(Time!AJ20&gt;=Time!$F$12,Waterfall!AJ33*Inputs!$F$104/100*Time!AJ31/Inputs!$F$248,0)</f>
        <v>6.59577712518731</v>
      </c>
      <c r="AK13" s="13" t="n">
        <f aca="false">IF(Time!AK20&gt;=Time!$F$12,Waterfall!AK33*Inputs!$F$104/100*Time!AK31/Inputs!$F$248,0)</f>
        <v>6.12164376543737</v>
      </c>
      <c r="AL13" s="13" t="n">
        <f aca="false">IF(Time!AL20&gt;=Time!$F$12,Waterfall!AL33*Inputs!$F$104/100*Time!AL31/Inputs!$F$248,0)</f>
        <v>4.95559166402297</v>
      </c>
      <c r="AM13" s="13" t="n">
        <f aca="false">IF(Time!AM20&gt;=Time!$F$12,Waterfall!AM33*Inputs!$F$104/100*Time!AM31/Inputs!$F$248,0)</f>
        <v>3.70925294524719</v>
      </c>
      <c r="AN13" s="13" t="n">
        <f aca="false">IF(Time!AN20&gt;=Time!$F$12,Waterfall!AN33*Inputs!$F$104/100*Time!AN31/Inputs!$F$248,0)</f>
        <v>2.35928533245758</v>
      </c>
      <c r="AO13" s="13" t="n">
        <f aca="false">IF(Time!AO20&gt;=Time!$F$12,Waterfall!AO33*Inputs!$F$104/100*Time!AO31/Inputs!$F$248,0)</f>
        <v>1.32588110612946</v>
      </c>
      <c r="AP13" s="13" t="n">
        <f aca="false">IF(Time!AP20&gt;=Time!$F$12,Waterfall!AP33*Inputs!$F$104/100*Time!AP31/Inputs!$F$248,0)</f>
        <v>0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0.660024031532499</v>
      </c>
      <c r="P14" s="3" t="n">
        <f aca="false">IF(Waterfall!P33&gt;0,MIN(1,Inputs!$F$183*(Waterfall!$F$32+MAX(0,Waterfall!O43))/Waterfall!P33),1)</f>
        <v>0.793119838525203</v>
      </c>
      <c r="Q14" s="3" t="n">
        <f aca="false">IF(Waterfall!Q33&gt;0,MIN(1,Inputs!$F$183*(Waterfall!$F$32+MAX(0,Waterfall!P43))/Waterfall!Q33),1)</f>
        <v>0.925470228613824</v>
      </c>
      <c r="R14" s="3" t="n">
        <f aca="false">IF(Waterfall!R33&gt;0,MIN(1,Inputs!$F$183*(Waterfall!$F$32+MAX(0,Waterfall!Q43))/Waterfall!R33),1)</f>
        <v>1</v>
      </c>
      <c r="S14" s="3" t="n">
        <f aca="false">IF(Waterfall!S33&gt;0,MIN(1,Inputs!$F$183*(Waterfall!$F$32+MAX(0,Waterfall!R43))/Waterfall!S33),1)</f>
        <v>1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185.360532386425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2.1131945476432</v>
      </c>
      <c r="P15" s="13" t="n">
        <f aca="false">P13*P14</f>
        <v>7.78121721377654</v>
      </c>
      <c r="Q15" s="13" t="n">
        <f aca="false">Q13*Q14</f>
        <v>8.70353468343226</v>
      </c>
      <c r="R15" s="13" t="n">
        <f aca="false">R13*R14</f>
        <v>9.40835978923532</v>
      </c>
      <c r="S15" s="13" t="n">
        <f aca="false">S13*S14</f>
        <v>9.06227980725535</v>
      </c>
      <c r="T15" s="13" t="n">
        <f aca="false">T13*T14</f>
        <v>9.03899113802184</v>
      </c>
      <c r="U15" s="13" t="n">
        <f aca="false">U13*U14</f>
        <v>8.7328369966884</v>
      </c>
      <c r="V15" s="13" t="n">
        <f aca="false">V13*V14</f>
        <v>8.65008498571001</v>
      </c>
      <c r="W15" s="13" t="n">
        <f aca="false">W13*W14</f>
        <v>8.27139205647209</v>
      </c>
      <c r="X15" s="13" t="n">
        <f aca="false">X13*X14</f>
        <v>8.1134580101109</v>
      </c>
      <c r="Y15" s="13" t="n">
        <f aca="false">Y13*Y14</f>
        <v>7.73652859228091</v>
      </c>
      <c r="Z15" s="13" t="n">
        <f aca="false">Z13*Z14</f>
        <v>7.63557079123345</v>
      </c>
      <c r="AA15" s="13" t="n">
        <f aca="false">AA13*AA14</f>
        <v>7.24784449663133</v>
      </c>
      <c r="AB15" s="13" t="n">
        <f aca="false">AB13*AB14</f>
        <v>7.41841133533975</v>
      </c>
      <c r="AC15" s="13" t="n">
        <f aca="false">AC13*AC14</f>
        <v>7.34795968015662</v>
      </c>
      <c r="AD15" s="13" t="n">
        <f aca="false">AD13*AD14</f>
        <v>7.45134267151566</v>
      </c>
      <c r="AE15" s="13" t="n">
        <f aca="false">AE13*AE14</f>
        <v>7.29380991449288</v>
      </c>
      <c r="AF15" s="13" t="n">
        <f aca="false">AF13*AF14</f>
        <v>7.34116846945674</v>
      </c>
      <c r="AG15" s="13" t="n">
        <f aca="false">AG13*AG14</f>
        <v>7.10914592523915</v>
      </c>
      <c r="AH15" s="13" t="n">
        <f aca="false">AH13*AH14</f>
        <v>7.08081701602513</v>
      </c>
      <c r="AI15" s="13" t="n">
        <f aca="false">AI13*AI14</f>
        <v>6.75515232722552</v>
      </c>
      <c r="AJ15" s="13" t="n">
        <f aca="false">AJ13*AJ14</f>
        <v>6.59577712518731</v>
      </c>
      <c r="AK15" s="13" t="n">
        <f aca="false">AK13*AK14</f>
        <v>6.12164376543737</v>
      </c>
      <c r="AL15" s="13" t="n">
        <f aca="false">AL13*AL14</f>
        <v>4.95559166402297</v>
      </c>
      <c r="AM15" s="13" t="n">
        <f aca="false">AM13*AM14</f>
        <v>3.70925294524719</v>
      </c>
      <c r="AN15" s="13" t="n">
        <f aca="false">AN13*AN14</f>
        <v>2.35928533245758</v>
      </c>
      <c r="AO15" s="13" t="n">
        <f aca="false">AO13*AO14</f>
        <v>1.32588110612946</v>
      </c>
      <c r="AP15" s="13" t="n">
        <f aca="false">AP13*AP14</f>
        <v>0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312.734956112663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21.7561806363521</v>
      </c>
      <c r="Q16" s="13" t="n">
        <f aca="false">Debt!Q112+Debt!Q110+Debt!Q104-Debt!Q103</f>
        <v>21.0117501255587</v>
      </c>
      <c r="R16" s="13" t="n">
        <f aca="false">Debt!R112+Debt!R110+Debt!R104-Debt!R103</f>
        <v>20.6842237422474</v>
      </c>
      <c r="S16" s="13" t="n">
        <f aca="false">Debt!S112+Debt!S110+Debt!S104-Debt!S103</f>
        <v>19.8935402102571</v>
      </c>
      <c r="T16" s="13" t="n">
        <f aca="false">Debt!T112+Debt!T110+Debt!T104-Debt!T103</f>
        <v>19.5092222239857</v>
      </c>
      <c r="U16" s="13" t="n">
        <f aca="false">Debt!U112+Debt!U110+Debt!U104-Debt!U103</f>
        <v>18.7469278452348</v>
      </c>
      <c r="V16" s="13" t="n">
        <f aca="false">Debt!V112+Debt!V110+Debt!V104-Debt!V103</f>
        <v>18.2344120634116</v>
      </c>
      <c r="W16" s="13" t="n">
        <f aca="false">Debt!W112+Debt!W110+Debt!W104-Debt!W103</f>
        <v>17.3566958167685</v>
      </c>
      <c r="X16" s="13" t="n">
        <f aca="false">Debt!X112+Debt!X110+Debt!X104-Debt!X103</f>
        <v>16.8339195388541</v>
      </c>
      <c r="Y16" s="13" t="n">
        <f aca="false">Debt!Y112+Debt!Y110+Debt!Y104-Debt!Y103</f>
        <v>16.4680618167729</v>
      </c>
      <c r="Z16" s="13" t="n">
        <f aca="false">Debt!Z112+Debt!Z110+Debt!Z104-Debt!Z103</f>
        <v>15.9362344502122</v>
      </c>
      <c r="AA16" s="13" t="n">
        <f aca="false">Debt!AA112+Debt!AA110+Debt!AA104-Debt!AA103</f>
        <v>15.0282191551691</v>
      </c>
      <c r="AB16" s="13" t="n">
        <f aca="false">Debt!AB112+Debt!AB110+Debt!AB104-Debt!AB103</f>
        <v>14.1254247444327</v>
      </c>
      <c r="AC16" s="13" t="n">
        <f aca="false">Debt!AC112+Debt!AC110+Debt!AC104-Debt!AC103</f>
        <v>12.8961470660647</v>
      </c>
      <c r="AD16" s="13" t="n">
        <f aca="false">Debt!AD112+Debt!AD110+Debt!AD104-Debt!AD103</f>
        <v>11.862344367622</v>
      </c>
      <c r="AE16" s="13" t="n">
        <f aca="false">Debt!AE112+Debt!AE110+Debt!AE104-Debt!AE103</f>
        <v>10.5134000797183</v>
      </c>
      <c r="AF16" s="13" t="n">
        <f aca="false">Debt!AF112+Debt!AF110+Debt!AF104-Debt!AF103</f>
        <v>9.34777677863788</v>
      </c>
      <c r="AG16" s="13" t="n">
        <f aca="false">Debt!AG112+Debt!AG110+Debt!AG104-Debt!AG103</f>
        <v>8.14959860904855</v>
      </c>
      <c r="AH16" s="13" t="n">
        <f aca="false">Debt!AH112+Debt!AH110+Debt!AH104-Debt!AH103</f>
        <v>6.88314694425381</v>
      </c>
      <c r="AI16" s="13" t="n">
        <f aca="false">Debt!AI112+Debt!AI110+Debt!AI104-Debt!AI103</f>
        <v>5.43857596964721</v>
      </c>
      <c r="AJ16" s="13" t="n">
        <f aca="false">Debt!AJ112+Debt!AJ110+Debt!AJ104-Debt!AJ103</f>
        <v>4.09875412731473</v>
      </c>
      <c r="AK16" s="13" t="n">
        <f aca="false">Debt!AK112+Debt!AK110+Debt!AK104-Debt!AK103</f>
        <v>2.71621064713489</v>
      </c>
      <c r="AL16" s="13" t="n">
        <f aca="false">Debt!AL112+Debt!AL110+Debt!AL104-Debt!AL103</f>
        <v>2.17365325142159</v>
      </c>
      <c r="AM16" s="13" t="n">
        <f aca="false">Debt!AM112+Debt!AM110+Debt!AM104-Debt!AM103</f>
        <v>1.58118904940136</v>
      </c>
      <c r="AN16" s="13" t="n">
        <f aca="false">Debt!AN112+Debt!AN110+Debt!AN104-Debt!AN103</f>
        <v>0.992093469110137</v>
      </c>
      <c r="AO16" s="13" t="n">
        <f aca="false">Debt!AO112+Debt!AO110+Debt!AO104-Debt!AO103</f>
        <v>0.497253384030616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1267.63541059075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2.50009664588382</v>
      </c>
      <c r="Z18" s="13" t="n">
        <f aca="false">(Operations!Z84-Z16-Z15)*Z17-Z12</f>
        <v>8.27738669933198</v>
      </c>
      <c r="AA18" s="13" t="n">
        <f aca="false">(Operations!AA84-AA16-AA15)*AA17-AA12</f>
        <v>9.67176106897079</v>
      </c>
      <c r="AB18" s="13" t="n">
        <f aca="false">(Operations!AB84-AB16-AB15)*AB17-AB12</f>
        <v>10.4849891651077</v>
      </c>
      <c r="AC18" s="13" t="n">
        <f aca="false">(Operations!AC84-AC16-AC15)*AC17-AC12</f>
        <v>11.9972419529422</v>
      </c>
      <c r="AD18" s="13" t="n">
        <f aca="false">(Operations!AD84-AD16-AD15)*AD17-AD12</f>
        <v>0.45091753135107</v>
      </c>
      <c r="AE18" s="13" t="n">
        <f aca="false">(Operations!AE84-AE16-AE15)*AE17-AE12</f>
        <v>14.7705720766211</v>
      </c>
      <c r="AF18" s="13" t="n">
        <f aca="false">(Operations!AF84-AF16-AF15)*AF17-AF12</f>
        <v>15.810243388853</v>
      </c>
      <c r="AG18" s="13" t="n">
        <f aca="false">(Operations!AG84-AG16-AG15)*AG17-AG12</f>
        <v>17.3789823891277</v>
      </c>
      <c r="AH18" s="13" t="n">
        <f aca="false">(Operations!AH84-AH16-AH15)*AH17-AH12</f>
        <v>18.8318670154236</v>
      </c>
      <c r="AI18" s="13" t="n">
        <f aca="false">(Operations!AI84-AI16-AI15)*AI17-AI12</f>
        <v>20.7071901920524</v>
      </c>
      <c r="AJ18" s="13" t="n">
        <f aca="false">(Operations!AJ84-AJ16-AJ15)*AJ17-AJ12</f>
        <v>22.2936763461785</v>
      </c>
      <c r="AK18" s="13" t="n">
        <f aca="false">(Operations!AK84-AK16-AK15)*AK17-AK12</f>
        <v>24.3426176091362</v>
      </c>
      <c r="AL18" s="13" t="n">
        <f aca="false">(Operations!AL84-AL16-AL15)*AL17-AL12</f>
        <v>23.3429434252366</v>
      </c>
      <c r="AM18" s="13" t="n">
        <f aca="false">(Operations!AM84-AM16-AM15)*AM17-AM12</f>
        <v>28.215084597641</v>
      </c>
      <c r="AN18" s="13" t="n">
        <f aca="false">(Operations!AN84-AN16-AN15)*AN17-AN12</f>
        <v>30.1452562103061</v>
      </c>
      <c r="AO18" s="13" t="n">
        <f aca="false">(Operations!AO84-AO16-AO15)*AO17-AO12</f>
        <v>31.8229002364811</v>
      </c>
      <c r="AP18" s="13" t="n">
        <f aca="false">(Operations!AP84-AP16-AP15)*AP17-AP12</f>
        <v>33.8192249292204</v>
      </c>
      <c r="AQ18" s="13" t="n">
        <f aca="false">(Operations!AQ84-AQ16-AQ15)*AQ17-AQ12</f>
        <v>33.9311878333911</v>
      </c>
      <c r="AR18" s="13" t="n">
        <f aca="false">(Operations!AR84-AR16-AR15)*AR17-AR12</f>
        <v>34.0252546678997</v>
      </c>
      <c r="AS18" s="13" t="n">
        <f aca="false">(Operations!AS84-AS16-AS15)*AS17-AS12</f>
        <v>34.2790572941352</v>
      </c>
      <c r="AT18" s="13" t="n">
        <f aca="false">(Operations!AT84-AT16-AT15)*AT17-AT12</f>
        <v>19.5509536475209</v>
      </c>
      <c r="AU18" s="13" t="n">
        <f aca="false">(Operations!AU84-AU16-AU15)*AU17-AU12</f>
        <v>34.6799915878859</v>
      </c>
      <c r="AV18" s="13" t="n">
        <f aca="false">(Operations!AV84-AV16-AV15)*AV17-AV12</f>
        <v>34.5748825571757</v>
      </c>
      <c r="AW18" s="13" t="n">
        <f aca="false">(Operations!AW84-AW16-AW15)*AW17-AW12</f>
        <v>34.7360201802397</v>
      </c>
      <c r="AX18" s="13" t="n">
        <f aca="false">(Operations!AX84-AX16-AX15)*AX17-AX12</f>
        <v>34.9257098804269</v>
      </c>
      <c r="AY18" s="13" t="n">
        <f aca="false">(Operations!AY84-AY16-AY15)*AY17-AY12</f>
        <v>35.0449964711202</v>
      </c>
      <c r="AZ18" s="13" t="n">
        <f aca="false">(Operations!AZ84-AZ16-AZ15)*AZ17-AZ12</f>
        <v>35.1463682131895</v>
      </c>
      <c r="BA18" s="13" t="n">
        <f aca="false">(Operations!BA84-BA16-BA15)*BA17-BA12</f>
        <v>35.3739645380886</v>
      </c>
      <c r="BB18" s="13" t="n">
        <f aca="false">(Operations!BB84-BB16-BB15)*BB17-BB12</f>
        <v>32.1575034380634</v>
      </c>
      <c r="BC18" s="13" t="n">
        <f aca="false">(Operations!BC84-BC16-BC15)*BC17-BC12</f>
        <v>42.173744094085</v>
      </c>
      <c r="BD18" s="13" t="n">
        <f aca="false">(Operations!BD84-BD16-BD15)*BD17-BD12</f>
        <v>54.9843868174064</v>
      </c>
      <c r="BE18" s="13" t="n">
        <f aca="false">(Operations!BE84-BE16-BE15)*BE17-BE12</f>
        <v>55.1582117876716</v>
      </c>
      <c r="BF18" s="13" t="n">
        <f aca="false">(Operations!BF84-BF16-BF15)*BF17-BF12</f>
        <v>55.3659449369535</v>
      </c>
      <c r="BG18" s="13" t="n">
        <f aca="false">(Operations!BG84-BG16-BG15)*BG17-BG12</f>
        <v>55.4930330172432</v>
      </c>
      <c r="BH18" s="13" t="n">
        <f aca="false">(Operations!BH84-BH16-BH15)*BH17-BH12</f>
        <v>55.6022778435675</v>
      </c>
      <c r="BI18" s="13" t="n">
        <f aca="false">(Operations!BI84-BI16-BI15)*BI17-BI12</f>
        <v>55.905378963985</v>
      </c>
      <c r="BJ18" s="13" t="n">
        <f aca="false">(Operations!BJ84-BJ16-BJ15)*BJ17-BJ12</f>
        <v>38.4992650541497</v>
      </c>
      <c r="BK18" s="13" t="n">
        <f aca="false">(Operations!BK84-BK16-BK15)*BK17-BK12</f>
        <v>56.3831643833405</v>
      </c>
      <c r="BL18" s="13" t="n">
        <f aca="false">(Operations!BL84-BL16-BL15)*BL17-BL12</f>
        <v>56.2447908037357</v>
      </c>
      <c r="BM18" s="13" t="n">
        <f aca="false">(Operations!BM84-BM16-BM15)*BM17-BM12</f>
        <v>18.5363710996122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0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225.905369133766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2.50009664588382</v>
      </c>
      <c r="Z20" s="13" t="n">
        <f aca="false">MIN(Y21,MAX(0,Z18-Z19))</f>
        <v>8.27738669933198</v>
      </c>
      <c r="AA20" s="13" t="n">
        <f aca="false">MIN(Z21,MAX(0,AA18-AA19))</f>
        <v>9.67176106897079</v>
      </c>
      <c r="AB20" s="13" t="n">
        <f aca="false">MIN(AA21,MAX(0,AB18-AB19))</f>
        <v>10.4849891651077</v>
      </c>
      <c r="AC20" s="13" t="n">
        <f aca="false">MIN(AB21,MAX(0,AC18-AC19))</f>
        <v>11.9972419529422</v>
      </c>
      <c r="AD20" s="13" t="n">
        <f aca="false">MIN(AC21,MAX(0,AD18-AD19))</f>
        <v>0.45091753135107</v>
      </c>
      <c r="AE20" s="13" t="n">
        <f aca="false">MIN(AD21,MAX(0,AE18-AE19))</f>
        <v>14.7705720766211</v>
      </c>
      <c r="AF20" s="13" t="n">
        <f aca="false">MIN(AE21,MAX(0,AF18-AF19))</f>
        <v>15.810243388853</v>
      </c>
      <c r="AG20" s="13" t="n">
        <f aca="false">MIN(AF21,MAX(0,AG18-AG19))</f>
        <v>17.3789823891277</v>
      </c>
      <c r="AH20" s="13" t="n">
        <f aca="false">MIN(AG21,MAX(0,AH18-AH19))</f>
        <v>18.8318670154236</v>
      </c>
      <c r="AI20" s="13" t="n">
        <f aca="false">MIN(AH21,MAX(0,AI18-AI19))</f>
        <v>20.7071901920524</v>
      </c>
      <c r="AJ20" s="13" t="n">
        <f aca="false">MIN(AI21,MAX(0,AJ18-AJ19))</f>
        <v>22.2936763461785</v>
      </c>
      <c r="AK20" s="13" t="n">
        <f aca="false">MIN(AJ21,MAX(0,AK18-AK19))</f>
        <v>24.3426176091362</v>
      </c>
      <c r="AL20" s="13" t="n">
        <f aca="false">MIN(AK21,MAX(0,AL18-AL19))</f>
        <v>23.3429434252366</v>
      </c>
      <c r="AM20" s="13" t="n">
        <f aca="false">MIN(AL21,MAX(0,AM18-AM19))</f>
        <v>25.0448836275492</v>
      </c>
      <c r="AN20" s="13" t="n">
        <f aca="false">MIN(AM21,MAX(0,AN18-AN19))</f>
        <v>0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7.53017897112553</v>
      </c>
      <c r="P21" s="13" t="n">
        <f aca="false">O21+P11-P20</f>
        <v>30.1207158845021</v>
      </c>
      <c r="Q21" s="13" t="n">
        <f aca="false">P21+Q11-Q20</f>
        <v>52.7112527978787</v>
      </c>
      <c r="R21" s="13" t="n">
        <f aca="false">Q21+R11-R20</f>
        <v>75.3017897112553</v>
      </c>
      <c r="S21" s="13" t="n">
        <f aca="false">R21+S11-S20</f>
        <v>97.8923266246319</v>
      </c>
      <c r="T21" s="13" t="n">
        <f aca="false">S21+T11-T20</f>
        <v>120.482863538008</v>
      </c>
      <c r="U21" s="13" t="n">
        <f aca="false">T21+U11-U20</f>
        <v>143.073400451385</v>
      </c>
      <c r="V21" s="13" t="n">
        <f aca="false">U21+V11-V20</f>
        <v>165.663937364762</v>
      </c>
      <c r="W21" s="13" t="n">
        <f aca="false">V21+W11-W20</f>
        <v>188.254474278138</v>
      </c>
      <c r="X21" s="13" t="n">
        <f aca="false">W21+X11-X20</f>
        <v>210.845011191515</v>
      </c>
      <c r="Y21" s="13" t="n">
        <f aca="false">X21+Y11-Y20</f>
        <v>223.405272487882</v>
      </c>
      <c r="Z21" s="13" t="n">
        <f aca="false">Y21+Z11-Z20</f>
        <v>215.12788578855</v>
      </c>
      <c r="AA21" s="13" t="n">
        <f aca="false">Z21+AA11-AA20</f>
        <v>205.456124719579</v>
      </c>
      <c r="AB21" s="13" t="n">
        <f aca="false">AA21+AB11-AB20</f>
        <v>194.971135554472</v>
      </c>
      <c r="AC21" s="13" t="n">
        <f aca="false">AB21+AC11-AC20</f>
        <v>182.973893601529</v>
      </c>
      <c r="AD21" s="13" t="n">
        <f aca="false">AC21+AD11-AD20</f>
        <v>182.522976070178</v>
      </c>
      <c r="AE21" s="13" t="n">
        <f aca="false">AD21+AE11-AE20</f>
        <v>167.752403993557</v>
      </c>
      <c r="AF21" s="13" t="n">
        <f aca="false">AE21+AF11-AF20</f>
        <v>151.942160604704</v>
      </c>
      <c r="AG21" s="13" t="n">
        <f aca="false">AF21+AG11-AG20</f>
        <v>134.563178215577</v>
      </c>
      <c r="AH21" s="13" t="n">
        <f aca="false">AG21+AH11-AH20</f>
        <v>115.731311200153</v>
      </c>
      <c r="AI21" s="13" t="n">
        <f aca="false">AH21+AI11-AI20</f>
        <v>95.0241210081005</v>
      </c>
      <c r="AJ21" s="13" t="n">
        <f aca="false">AI21+AJ11-AJ20</f>
        <v>72.730444661922</v>
      </c>
      <c r="AK21" s="13" t="n">
        <f aca="false">AJ21+AK11-AK20</f>
        <v>48.3878270527858</v>
      </c>
      <c r="AL21" s="13" t="n">
        <f aca="false">AK21+AL11-AL20</f>
        <v>25.0448836275492</v>
      </c>
      <c r="AM21" s="13" t="n">
        <f aca="false">AL21+AM11-AM20</f>
        <v>0</v>
      </c>
      <c r="AN21" s="13" t="n">
        <f aca="false">AM21+AN11-AN20</f>
        <v>0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1041.73004145699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3.17020097009173</v>
      </c>
      <c r="AN23" s="13" t="n">
        <f aca="false">MAX(0,AN18-AN19-AN20)</f>
        <v>30.1452562103061</v>
      </c>
      <c r="AO23" s="13" t="n">
        <f aca="false">MAX(0,AO18-AO19-AO20)</f>
        <v>31.8229002364811</v>
      </c>
      <c r="AP23" s="13" t="n">
        <f aca="false">MAX(0,AP18-AP19-AP20)</f>
        <v>33.8192249292204</v>
      </c>
      <c r="AQ23" s="13" t="n">
        <f aca="false">MAX(0,AQ18-AQ19-AQ20)</f>
        <v>33.9311878333911</v>
      </c>
      <c r="AR23" s="13" t="n">
        <f aca="false">MAX(0,AR18-AR19-AR20)</f>
        <v>34.0252546678997</v>
      </c>
      <c r="AS23" s="13" t="n">
        <f aca="false">MAX(0,AS18-AS19-AS20)</f>
        <v>34.2790572941352</v>
      </c>
      <c r="AT23" s="13" t="n">
        <f aca="false">MAX(0,AT18-AT19-AT20)</f>
        <v>19.5509536475209</v>
      </c>
      <c r="AU23" s="13" t="n">
        <f aca="false">MAX(0,AU18-AU19-AU20)</f>
        <v>34.6799915878859</v>
      </c>
      <c r="AV23" s="13" t="n">
        <f aca="false">MAX(0,AV18-AV19-AV20)</f>
        <v>34.5748825571757</v>
      </c>
      <c r="AW23" s="13" t="n">
        <f aca="false">MAX(0,AW18-AW19-AW20)</f>
        <v>34.7360201802397</v>
      </c>
      <c r="AX23" s="13" t="n">
        <f aca="false">MAX(0,AX18-AX19-AX20)</f>
        <v>34.9257098804269</v>
      </c>
      <c r="AY23" s="13" t="n">
        <f aca="false">MAX(0,AY18-AY19-AY20)</f>
        <v>35.0449964711202</v>
      </c>
      <c r="AZ23" s="13" t="n">
        <f aca="false">MAX(0,AZ18-AZ19-AZ20)</f>
        <v>35.1463682131895</v>
      </c>
      <c r="BA23" s="13" t="n">
        <f aca="false">MAX(0,BA18-BA19-BA20)</f>
        <v>35.3739645380886</v>
      </c>
      <c r="BB23" s="13" t="n">
        <f aca="false">MAX(0,BB18-BB19-BB20)</f>
        <v>32.1575034380634</v>
      </c>
      <c r="BC23" s="13" t="n">
        <f aca="false">MAX(0,BC18-BC19-BC20)</f>
        <v>42.173744094085</v>
      </c>
      <c r="BD23" s="13" t="n">
        <f aca="false">MAX(0,BD18-BD19-BD20)</f>
        <v>54.9843868174064</v>
      </c>
      <c r="BE23" s="13" t="n">
        <f aca="false">MAX(0,BE18-BE19-BE20)</f>
        <v>55.1582117876716</v>
      </c>
      <c r="BF23" s="13" t="n">
        <f aca="false">MAX(0,BF18-BF19-BF20)</f>
        <v>55.3659449369535</v>
      </c>
      <c r="BG23" s="13" t="n">
        <f aca="false">MAX(0,BG18-BG19-BG20)</f>
        <v>55.4930330172432</v>
      </c>
      <c r="BH23" s="13" t="n">
        <f aca="false">MAX(0,BH18-BH19-BH20)</f>
        <v>55.6022778435675</v>
      </c>
      <c r="BI23" s="13" t="n">
        <f aca="false">MAX(0,BI18-BI19-BI20)</f>
        <v>55.905378963985</v>
      </c>
      <c r="BJ23" s="13" t="n">
        <f aca="false">MAX(0,BJ18-BJ19-BJ20)</f>
        <v>38.4992650541497</v>
      </c>
      <c r="BK23" s="13" t="n">
        <f aca="false">MAX(0,BK18-BK19-BK20)</f>
        <v>56.3831643833405</v>
      </c>
      <c r="BL23" s="13" t="n">
        <f aca="false">MAX(0,BL18-BL19-BL20)</f>
        <v>56.2447908037357</v>
      </c>
      <c r="BM23" s="13" t="n">
        <f aca="false">MAX(0,BM18-BM19-BM20)</f>
        <v>18.5363710996122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312.519012437096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0.95106029102752</v>
      </c>
      <c r="AN25" s="13" t="n">
        <f aca="false">AN23*AN24</f>
        <v>9.04357686309184</v>
      </c>
      <c r="AO25" s="13" t="n">
        <f aca="false">AO23*AO24</f>
        <v>9.54687007094434</v>
      </c>
      <c r="AP25" s="13" t="n">
        <f aca="false">AP23*AP24</f>
        <v>10.1457674787661</v>
      </c>
      <c r="AQ25" s="13" t="n">
        <f aca="false">AQ23*AQ24</f>
        <v>10.1793563500173</v>
      </c>
      <c r="AR25" s="13" t="n">
        <f aca="false">AR23*AR24</f>
        <v>10.2075764003699</v>
      </c>
      <c r="AS25" s="13" t="n">
        <f aca="false">AS23*AS24</f>
        <v>10.2837171882406</v>
      </c>
      <c r="AT25" s="13" t="n">
        <f aca="false">AT23*AT24</f>
        <v>5.86528609425628</v>
      </c>
      <c r="AU25" s="13" t="n">
        <f aca="false">AU23*AU24</f>
        <v>10.4039974763658</v>
      </c>
      <c r="AV25" s="13" t="n">
        <f aca="false">AV23*AV24</f>
        <v>10.3724647671527</v>
      </c>
      <c r="AW25" s="13" t="n">
        <f aca="false">AW23*AW24</f>
        <v>10.4208060540719</v>
      </c>
      <c r="AX25" s="13" t="n">
        <f aca="false">AX23*AX24</f>
        <v>10.4777129641281</v>
      </c>
      <c r="AY25" s="13" t="n">
        <f aca="false">AY23*AY24</f>
        <v>10.5134989413361</v>
      </c>
      <c r="AZ25" s="13" t="n">
        <f aca="false">AZ23*AZ24</f>
        <v>10.5439104639569</v>
      </c>
      <c r="BA25" s="13" t="n">
        <f aca="false">BA23*BA24</f>
        <v>10.6121893614266</v>
      </c>
      <c r="BB25" s="13" t="n">
        <f aca="false">BB23*BB24</f>
        <v>9.64725103141902</v>
      </c>
      <c r="BC25" s="13" t="n">
        <f aca="false">BC23*BC24</f>
        <v>12.6521232282255</v>
      </c>
      <c r="BD25" s="13" t="n">
        <f aca="false">BD23*BD24</f>
        <v>16.4953160452219</v>
      </c>
      <c r="BE25" s="13" t="n">
        <f aca="false">BE23*BE24</f>
        <v>16.5474635363015</v>
      </c>
      <c r="BF25" s="13" t="n">
        <f aca="false">BF23*BF24</f>
        <v>16.6097834810861</v>
      </c>
      <c r="BG25" s="13" t="n">
        <f aca="false">BG23*BG24</f>
        <v>16.647909905173</v>
      </c>
      <c r="BH25" s="13" t="n">
        <f aca="false">BH23*BH24</f>
        <v>16.6806833530703</v>
      </c>
      <c r="BI25" s="13" t="n">
        <f aca="false">BI23*BI24</f>
        <v>16.7716136891955</v>
      </c>
      <c r="BJ25" s="13" t="n">
        <f aca="false">BJ23*BJ24</f>
        <v>11.5497795162449</v>
      </c>
      <c r="BK25" s="13" t="n">
        <f aca="false">BK23*BK24</f>
        <v>16.9149493150021</v>
      </c>
      <c r="BL25" s="13" t="n">
        <f aca="false">BL23*BL24</f>
        <v>16.8734372411207</v>
      </c>
      <c r="BM25" s="13" t="n">
        <f aca="false">BM23*BM24</f>
        <v>5.56091132988367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15.6394650657101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0.11804583592035</v>
      </c>
      <c r="Z26" s="13" t="n">
        <f aca="false">IF(Time!Z30&gt;0,Inputs!$F$176/100*Operations!Z55*(Z8+Z9)/Time!Z30,0)</f>
        <v>0.355491534673645</v>
      </c>
      <c r="AA26" s="13" t="n">
        <f aca="false">IF(Time!AA30&gt;0,Inputs!$F$176/100*Operations!AA55*(AA8+AA9)/Time!AA30,0)</f>
        <v>0.357266560605968</v>
      </c>
      <c r="AB26" s="13" t="n">
        <f aca="false">IF(Time!AB30&gt;0,Inputs!$F$176/100*Operations!AB55*(AB8+AB9)/Time!AB30,0)</f>
        <v>0.359199684831379</v>
      </c>
      <c r="AC26" s="13" t="n">
        <f aca="false">IF(Time!AC30&gt;0,Inputs!$F$176/100*Operations!AC55*(AC8+AC9)/Time!AC30,0)</f>
        <v>0.360089400479836</v>
      </c>
      <c r="AD26" s="13" t="n">
        <f aca="false">IF(Time!AD30&gt;0,Inputs!$F$176/100*Operations!AD55*(AD8+AD9)/Time!AD30,0)</f>
        <v>0.355582189942007</v>
      </c>
      <c r="AE26" s="13" t="n">
        <f aca="false">IF(Time!AE30&gt;0,Inputs!$F$176/100*Operations!AE55*(AE8+AE9)/Time!AE30,0)</f>
        <v>0.362679271815013</v>
      </c>
      <c r="AF26" s="13" t="n">
        <f aca="false">IF(Time!AF30&gt;0,Inputs!$F$176/100*Operations!AF55*(AF8+AF9)/Time!AF30,0)</f>
        <v>0.366021318821837</v>
      </c>
      <c r="AG26" s="13" t="n">
        <f aca="false">IF(Time!AG30&gt;0,Inputs!$F$176/100*Operations!AG55*(AG8+AG9)/Time!AG30,0)</f>
        <v>0.367627801614753</v>
      </c>
      <c r="AH26" s="13" t="n">
        <f aca="false">IF(Time!AH30&gt;0,Inputs!$F$176/100*Operations!AH55*(AH8+AH9)/Time!AH30,0)</f>
        <v>0.369103750096856</v>
      </c>
      <c r="AI26" s="13" t="n">
        <f aca="false">IF(Time!AI30&gt;0,Inputs!$F$176/100*Operations!AI55*(AI8+AI9)/Time!AI30,0)</f>
        <v>0.371036290587391</v>
      </c>
      <c r="AJ26" s="13" t="n">
        <f aca="false">IF(Time!AJ30&gt;0,Inputs!$F$176/100*Operations!AJ55*(AJ8+AJ9)/Time!AJ30,0)</f>
        <v>0.37314034478709</v>
      </c>
      <c r="AK26" s="13" t="n">
        <f aca="false">IF(Time!AK30&gt;0,Inputs!$F$176/100*Operations!AK55*(AK8+AK9)/Time!AK30,0)</f>
        <v>0.374431606697048</v>
      </c>
      <c r="AL26" s="13" t="n">
        <f aca="false">IF(Time!AL30&gt;0,Inputs!$F$176/100*Operations!AL55*(AL8+AL9)/Time!AL30,0)</f>
        <v>0.375189635606888</v>
      </c>
      <c r="AM26" s="13" t="n">
        <f aca="false">IF(Time!AM30&gt;0,Inputs!$F$176/100*Operations!AM55*(AM8+AM9)/Time!AM30,0)</f>
        <v>0.377587683189271</v>
      </c>
      <c r="AN26" s="13" t="n">
        <f aca="false">IF(Time!AN30&gt;0,Inputs!$F$176/100*Operations!AN55*(AN8+AN9)/Time!AN30,0)</f>
        <v>0.380569722267902</v>
      </c>
      <c r="AO26" s="13" t="n">
        <f aca="false">IF(Time!AO30&gt;0,Inputs!$F$176/100*Operations!AO55*(AO8+AO9)/Time!AO30,0)</f>
        <v>0.382320018205603</v>
      </c>
      <c r="AP26" s="13" t="n">
        <f aca="false">IF(Time!AP30&gt;0,Inputs!$F$176/100*Operations!AP55*(AP8+AP9)/Time!AP30,0)</f>
        <v>0.383928865419879</v>
      </c>
      <c r="AQ26" s="13" t="n">
        <f aca="false">IF(Time!AQ30&gt;0,Inputs!$F$176/100*Operations!AQ55*(AQ8+AQ9)/Time!AQ30,0)</f>
        <v>0.38603288955021</v>
      </c>
      <c r="AR26" s="13" t="n">
        <f aca="false">IF(Time!AR30&gt;0,Inputs!$F$176/100*Operations!AR55*(AR8+AR9)/Time!AR30,0)</f>
        <v>0.388322975302412</v>
      </c>
      <c r="AS26" s="13" t="n">
        <f aca="false">IF(Time!AS30&gt;0,Inputs!$F$176/100*Operations!AS55*(AS8+AS9)/Time!AS30,0)</f>
        <v>0.389386468394401</v>
      </c>
      <c r="AT26" s="13" t="n">
        <f aca="false">IF(Time!AT30&gt;0,Inputs!$F$176/100*Operations!AT55*(AT8+AT9)/Time!AT30,0)</f>
        <v>0.384595426140167</v>
      </c>
      <c r="AU26" s="13" t="n">
        <f aca="false">IF(Time!AU30&gt;0,Inputs!$F$176/100*Operations!AU55*(AU8+AU9)/Time!AU30,0)</f>
        <v>0.392466909393403</v>
      </c>
      <c r="AV26" s="13" t="n">
        <f aca="false">IF(Time!AV30&gt;0,Inputs!$F$176/100*Operations!AV55*(AV8+AV9)/Time!AV30,0)</f>
        <v>0.396414217003656</v>
      </c>
      <c r="AW26" s="13" t="n">
        <f aca="false">IF(Time!AW30&gt;0,Inputs!$F$176/100*Operations!AW55*(AW8+AW9)/Time!AW30,0)</f>
        <v>0.398321197042708</v>
      </c>
      <c r="AX26" s="13" t="n">
        <f aca="false">IF(Time!AX30&gt;0,Inputs!$F$176/100*Operations!AX55*(AX8+AX9)/Time!AX30,0)</f>
        <v>0.400074908375084</v>
      </c>
      <c r="AY26" s="13" t="n">
        <f aca="false">IF(Time!AY30&gt;0,Inputs!$F$176/100*Operations!AY55*(AY8+AY9)/Time!AY30,0)</f>
        <v>0.402365623259928</v>
      </c>
      <c r="AZ26" s="13" t="n">
        <f aca="false">IF(Time!AZ30&gt;0,Inputs!$F$176/100*Operations!AZ55*(AZ8+AZ9)/Time!AZ30,0)</f>
        <v>0.404858175206663</v>
      </c>
      <c r="BA26" s="13" t="n">
        <f aca="false">IF(Time!BA30&gt;0,Inputs!$F$176/100*Operations!BA55*(BA8+BA9)/Time!BA30,0)</f>
        <v>0.406395366611893</v>
      </c>
      <c r="BB26" s="13" t="n">
        <f aca="false">IF(Time!BB30&gt;0,Inputs!$F$176/100*Operations!BB55*(BB8+BB9)/Time!BB30,0)</f>
        <v>0.407305886714974</v>
      </c>
      <c r="BC26" s="13" t="n">
        <f aca="false">IF(Time!BC30&gt;0,Inputs!$F$176/100*Operations!BC55*(BC8+BC9)/Time!BC30,0)</f>
        <v>0.41014468089963</v>
      </c>
      <c r="BD26" s="13" t="n">
        <f aca="false">IF(Time!BD30&gt;0,Inputs!$F$176/100*Operations!BD55*(BD8+BD9)/Time!BD30,0)</f>
        <v>0.413670219231639</v>
      </c>
      <c r="BE26" s="13" t="n">
        <f aca="false">IF(Time!BE30&gt;0,Inputs!$F$176/100*Operations!BE55*(BE8+BE9)/Time!BE30,0)</f>
        <v>0.41574790594862</v>
      </c>
      <c r="BF26" s="13" t="n">
        <f aca="false">IF(Time!BF30&gt;0,Inputs!$F$176/100*Operations!BF55*(BF8+BF9)/Time!BF30,0)</f>
        <v>0.417659523964139</v>
      </c>
      <c r="BG26" s="13" t="n">
        <f aca="false">IF(Time!BG30&gt;0,Inputs!$F$176/100*Operations!BG55*(BG8+BG9)/Time!BG30,0)</f>
        <v>0.4201534843989</v>
      </c>
      <c r="BH26" s="13" t="n">
        <f aca="false">IF(Time!BH30&gt;0,Inputs!$F$176/100*Operations!BH55*(BH8+BH9)/Time!BH30,0)</f>
        <v>0.422866387811796</v>
      </c>
      <c r="BI26" s="13" t="n">
        <f aca="false">IF(Time!BI30&gt;0,Inputs!$F$176/100*Operations!BI55*(BI8+BI9)/Time!BI30,0)</f>
        <v>0.424137576577909</v>
      </c>
      <c r="BJ26" s="13" t="n">
        <f aca="false">IF(Time!BJ30&gt;0,Inputs!$F$176/100*Operations!BJ55*(BJ8+BJ9)/Time!BJ30,0)</f>
        <v>0.419011820453759</v>
      </c>
      <c r="BK26" s="13" t="n">
        <f aca="false">IF(Time!BK30&gt;0,Inputs!$F$176/100*Operations!BK55*(BK8+BK9)/Time!BK30,0)</f>
        <v>0.427801508790423</v>
      </c>
      <c r="BL26" s="13" t="n">
        <f aca="false">IF(Time!BL30&gt;0,Inputs!$F$176/100*Operations!BL55*(BL8+BL9)/Time!BL30,0)</f>
        <v>0.432463418236475</v>
      </c>
      <c r="BM26" s="13" t="n">
        <f aca="false">IF(Time!BM30&gt;0,Inputs!$F$176/100*Operations!BM55*(BM8+BM9)/Time!BM30,0)</f>
        <v>0.28995698083863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317.383917663576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0.11804583592035</v>
      </c>
      <c r="Z27" s="13" t="n">
        <f aca="false">MAX(Z25,Z26)</f>
        <v>0.355491534673645</v>
      </c>
      <c r="AA27" s="13" t="n">
        <f aca="false">MAX(AA25,AA26)</f>
        <v>0.357266560605968</v>
      </c>
      <c r="AB27" s="13" t="n">
        <f aca="false">MAX(AB25,AB26)</f>
        <v>0.359199684831379</v>
      </c>
      <c r="AC27" s="13" t="n">
        <f aca="false">MAX(AC25,AC26)</f>
        <v>0.360089400479836</v>
      </c>
      <c r="AD27" s="13" t="n">
        <f aca="false">MAX(AD25,AD26)</f>
        <v>0.355582189942007</v>
      </c>
      <c r="AE27" s="13" t="n">
        <f aca="false">MAX(AE25,AE26)</f>
        <v>0.362679271815013</v>
      </c>
      <c r="AF27" s="13" t="n">
        <f aca="false">MAX(AF25,AF26)</f>
        <v>0.366021318821837</v>
      </c>
      <c r="AG27" s="13" t="n">
        <f aca="false">MAX(AG25,AG26)</f>
        <v>0.367627801614753</v>
      </c>
      <c r="AH27" s="13" t="n">
        <f aca="false">MAX(AH25,AH26)</f>
        <v>0.369103750096856</v>
      </c>
      <c r="AI27" s="13" t="n">
        <f aca="false">MAX(AI25,AI26)</f>
        <v>0.371036290587391</v>
      </c>
      <c r="AJ27" s="13" t="n">
        <f aca="false">MAX(AJ25,AJ26)</f>
        <v>0.37314034478709</v>
      </c>
      <c r="AK27" s="13" t="n">
        <f aca="false">MAX(AK25,AK26)</f>
        <v>0.374431606697048</v>
      </c>
      <c r="AL27" s="13" t="n">
        <f aca="false">MAX(AL25,AL26)</f>
        <v>0.375189635606888</v>
      </c>
      <c r="AM27" s="13" t="n">
        <f aca="false">MAX(AM25,AM26)</f>
        <v>0.95106029102752</v>
      </c>
      <c r="AN27" s="13" t="n">
        <f aca="false">MAX(AN25,AN26)</f>
        <v>9.04357686309184</v>
      </c>
      <c r="AO27" s="13" t="n">
        <f aca="false">MAX(AO25,AO26)</f>
        <v>9.54687007094434</v>
      </c>
      <c r="AP27" s="13" t="n">
        <f aca="false">MAX(AP25,AP26)</f>
        <v>10.1457674787661</v>
      </c>
      <c r="AQ27" s="13" t="n">
        <f aca="false">MAX(AQ25,AQ26)</f>
        <v>10.1793563500173</v>
      </c>
      <c r="AR27" s="13" t="n">
        <f aca="false">MAX(AR25,AR26)</f>
        <v>10.2075764003699</v>
      </c>
      <c r="AS27" s="13" t="n">
        <f aca="false">MAX(AS25,AS26)</f>
        <v>10.2837171882406</v>
      </c>
      <c r="AT27" s="13" t="n">
        <f aca="false">MAX(AT25,AT26)</f>
        <v>5.86528609425628</v>
      </c>
      <c r="AU27" s="13" t="n">
        <f aca="false">MAX(AU25,AU26)</f>
        <v>10.4039974763658</v>
      </c>
      <c r="AV27" s="13" t="n">
        <f aca="false">MAX(AV25,AV26)</f>
        <v>10.3724647671527</v>
      </c>
      <c r="AW27" s="13" t="n">
        <f aca="false">MAX(AW25,AW26)</f>
        <v>10.4208060540719</v>
      </c>
      <c r="AX27" s="13" t="n">
        <f aca="false">MAX(AX25,AX26)</f>
        <v>10.4777129641281</v>
      </c>
      <c r="AY27" s="13" t="n">
        <f aca="false">MAX(AY25,AY26)</f>
        <v>10.5134989413361</v>
      </c>
      <c r="AZ27" s="13" t="n">
        <f aca="false">MAX(AZ25,AZ26)</f>
        <v>10.5439104639569</v>
      </c>
      <c r="BA27" s="13" t="n">
        <f aca="false">MAX(BA25,BA26)</f>
        <v>10.6121893614266</v>
      </c>
      <c r="BB27" s="13" t="n">
        <f aca="false">MAX(BB25,BB26)</f>
        <v>9.64725103141902</v>
      </c>
      <c r="BC27" s="13" t="n">
        <f aca="false">MAX(BC25,BC26)</f>
        <v>12.6521232282255</v>
      </c>
      <c r="BD27" s="13" t="n">
        <f aca="false">MAX(BD25,BD26)</f>
        <v>16.4953160452219</v>
      </c>
      <c r="BE27" s="13" t="n">
        <f aca="false">MAX(BE25,BE26)</f>
        <v>16.5474635363015</v>
      </c>
      <c r="BF27" s="13" t="n">
        <f aca="false">MAX(BF25,BF26)</f>
        <v>16.6097834810861</v>
      </c>
      <c r="BG27" s="13" t="n">
        <f aca="false">MAX(BG25,BG26)</f>
        <v>16.647909905173</v>
      </c>
      <c r="BH27" s="13" t="n">
        <f aca="false">MAX(BH25,BH26)</f>
        <v>16.6806833530703</v>
      </c>
      <c r="BI27" s="13" t="n">
        <f aca="false">MAX(BI25,BI26)</f>
        <v>16.7716136891955</v>
      </c>
      <c r="BJ27" s="13" t="n">
        <f aca="false">MAX(BJ25,BJ26)</f>
        <v>11.5497795162449</v>
      </c>
      <c r="BK27" s="13" t="n">
        <f aca="false">MAX(BK25,BK26)</f>
        <v>16.9149493150021</v>
      </c>
      <c r="BL27" s="13" t="n">
        <f aca="false">MAX(BL25,BL26)</f>
        <v>16.8734372411207</v>
      </c>
      <c r="BM27" s="13" t="n">
        <f aca="false">MAX(BM25,BM26)</f>
        <v>5.56091132988367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3.81908999643959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1.08849879485012</v>
      </c>
      <c r="P28" s="13" t="n">
        <f aca="false">P13-P15</f>
        <v>2.02967999974623</v>
      </c>
      <c r="Q28" s="13" t="n">
        <f aca="false">Q13-Q15</f>
        <v>0.700911201843246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1.51015872973752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2.14073632334925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3.447598117152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5.33422511157639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7.67966660417626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10.4072865001054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13.3258674112293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16.3644435309182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19.3724016456049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22.2491895376056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24.8877008112056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27.2420677226985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29.2265082464778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30.7475948342201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31.8103259721398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32.3290222317982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33.4584983588564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31.828166358387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30.74605734235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29.2411851097714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27.2496805862512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24.924430484466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22.2235069163292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19.3362718946411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16.351690308253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13.2855275750901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10.3798503285824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7.62910981519539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5.24757474614267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3.45762227696786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2.04017239312868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49.6738675140834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-0.557372926276622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0.0101597331456643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84.5897872517379</v>
      </c>
      <c r="L22" s="13" t="n">
        <f aca="false">K22+Construction!L14*$F$9/$F$10*(L21+(L19-L20)*K22)</f>
        <v>86.5314775442891</v>
      </c>
      <c r="M22" s="13" t="n">
        <f aca="false">L22+Construction!M14*$F$9/$F$10*(M21+(M19-M20)*L22)</f>
        <v>89.4748680230947</v>
      </c>
      <c r="N22" s="13" t="n">
        <f aca="false">M22+Construction!N14*$F$9/$F$10*(N21+(N19-N20)*M22)</f>
        <v>93.8887006875826</v>
      </c>
      <c r="O22" s="13" t="n">
        <f aca="false">N22+Construction!O14*$F$9/$F$10*(O21+(O19-O20)*N22)</f>
        <v>100.138565769989</v>
      </c>
      <c r="P22" s="13" t="n">
        <f aca="false">O22+Construction!P14*$F$9/$F$10*(P21+(P19-P20)*O22)</f>
        <v>108.472656280673</v>
      </c>
      <c r="Q22" s="13" t="n">
        <f aca="false">P22+Construction!Q14*$F$9/$F$10*(Q21+(Q19-Q20)*P22)</f>
        <v>119.116880192044</v>
      </c>
      <c r="R22" s="13" t="n">
        <f aca="false">Q22+Construction!R14*$F$9/$F$10*(R21+(R19-R20)*Q22)</f>
        <v>132.122127706019</v>
      </c>
      <c r="S22" s="13" t="n">
        <f aca="false">R22+Construction!S14*$F$9/$F$10*(S21+(S19-S20)*R22)</f>
        <v>147.501880875375</v>
      </c>
      <c r="T22" s="13" t="n">
        <f aca="false">S22+Construction!T14*$F$9/$F$10*(T21+(T19-T20)*S22)</f>
        <v>165.132356660884</v>
      </c>
      <c r="U22" s="13" t="n">
        <f aca="false">T22+Construction!U14*$F$9/$F$10*(U21+(U19-U20)*T22)</f>
        <v>184.890827725612</v>
      </c>
      <c r="V22" s="13" t="n">
        <f aca="false">U22+Construction!V14*$F$9/$F$10*(V21+(V19-V20)*U22)</f>
        <v>206.534115886957</v>
      </c>
      <c r="W22" s="13" t="n">
        <f aca="false">V22+Construction!W14*$F$9/$F$10*(W21+(W19-W20)*V22)</f>
        <v>229.759733600122</v>
      </c>
      <c r="X22" s="13" t="n">
        <f aca="false">W22+Construction!X14*$F$9/$F$10*(X21+(X19-X20)*W22)</f>
        <v>254.267945954304</v>
      </c>
      <c r="Y22" s="13" t="n">
        <f aca="false">X22+Construction!Y14*$F$9/$F$10*(Y21+(Y19-Y20)*X22)</f>
        <v>279.654927920348</v>
      </c>
      <c r="Z22" s="13" t="n">
        <f aca="false">Y22+Construction!Z14*$F$9/$F$10*(Z21+(Z19-Z20)*Y22)</f>
        <v>305.567921486741</v>
      </c>
      <c r="AA22" s="13" t="n">
        <f aca="false">Z22+Construction!AA14*$F$9/$F$10*(AA21+(AA19-AA20)*Z22)</f>
        <v>332.464258691782</v>
      </c>
      <c r="AB22" s="13" t="n">
        <f aca="false">AA22+Construction!AB14*$F$9/$F$10*(AB21+(AB19-AB20)*AA22)</f>
        <v>358.128186657326</v>
      </c>
      <c r="AC22" s="13" t="n">
        <f aca="false">AB22+Construction!AC14*$F$9/$F$10*(AC21+(AC19-AC20)*AB22)</f>
        <v>383.141316316476</v>
      </c>
      <c r="AD22" s="13" t="n">
        <f aca="false">AC22+Construction!AD14*$F$9/$F$10*(AD21+(AD19-AD20)*AC22)</f>
        <v>407.046186967856</v>
      </c>
      <c r="AE22" s="13" t="n">
        <f aca="false">AD22+Construction!AE14*$F$9/$F$10*(AE21+(AE19-AE20)*AD22)</f>
        <v>429.559444740341</v>
      </c>
      <c r="AF22" s="13" t="n">
        <f aca="false">AE22+Construction!AF14*$F$9/$F$10*(AF21+(AF19-AF20)*AE22)</f>
        <v>450.318399233825</v>
      </c>
      <c r="AG22" s="13" t="n">
        <f aca="false">AF22+Construction!AG14*$F$9/$F$10*(AG21+(AG19-AG20)*AF22)</f>
        <v>469.146453657566</v>
      </c>
      <c r="AH22" s="13" t="n">
        <f aca="false">AG22+Construction!AH14*$F$9/$F$10*(AH21+(AH19-AH20)*AG22)</f>
        <v>485.827785662566</v>
      </c>
      <c r="AI22" s="13" t="n">
        <f aca="false">AH22+Construction!AI14*$F$9/$F$10*(AI21+(AI19-AI20)*AH22)</f>
        <v>500.218576242731</v>
      </c>
      <c r="AJ22" s="13" t="n">
        <f aca="false">AI22+Construction!AJ14*$F$9/$F$10*(AJ21+(AJ19-AJ20)*AI22)</f>
        <v>512.368583747398</v>
      </c>
      <c r="AK22" s="13" t="n">
        <f aca="false">AJ22+Construction!AK14*$F$9/$F$10*(AK21+(AK19-AK20)*AJ22)</f>
        <v>522.267852061306</v>
      </c>
      <c r="AL22" s="13" t="n">
        <f aca="false">AK22+Construction!AL14*$F$9/$F$10*(AL21+(AL19-AL20)*AK22)</f>
        <v>530.154749853881</v>
      </c>
      <c r="AM22" s="13" t="n">
        <f aca="false">AL22+Construction!AM14*$F$9/$F$10*(AM21+(AM19-AM20)*AL22)</f>
        <v>536.252307131536</v>
      </c>
      <c r="AN22" s="13" t="n">
        <f aca="false">AM22+Construction!AN14*$F$9/$F$10*(AN21+(AN19-AN20)*AM22)</f>
        <v>540.79555933258</v>
      </c>
      <c r="AO22" s="13" t="n">
        <f aca="false">AN22+Construction!AO14*$F$9/$F$10*(AO21+(AO19-AO20)*AN22)</f>
        <v>544.468784431638</v>
      </c>
      <c r="AP22" s="13" t="n">
        <f aca="false">AO22+Construction!AP14*$F$9/$F$10*(AP21+(AP19-AP20)*AO22)</f>
        <v>584.707186262926</v>
      </c>
      <c r="AQ22" s="13" t="n">
        <f aca="false">AP22+Construction!AQ14*$F$9/$F$10*(AQ21+(AQ19-AQ20)*AP22)</f>
        <v>586.554409369774</v>
      </c>
      <c r="AR22" s="13" t="n">
        <f aca="false">AQ22+Construction!AR14*$F$9/$F$10*(AR21+(AR19-AR20)*AQ22)</f>
        <v>588.771480631791</v>
      </c>
      <c r="AS22" s="13" t="n">
        <f aca="false">AR22+Construction!AS14*$F$9/$F$10*(AS21+(AS19-AS20)*AR22)</f>
        <v>588.771480631791</v>
      </c>
      <c r="AT22" s="13" t="n">
        <f aca="false">AS22+Construction!AT14*$F$9/$F$10*(AT21+(AT19-AT20)*AS22)</f>
        <v>588.771480631791</v>
      </c>
      <c r="AU22" s="13" t="n">
        <f aca="false">AT22+Construction!AU14*$F$9/$F$10*(AU21+(AU19-AU20)*AT22)</f>
        <v>588.771480631791</v>
      </c>
      <c r="AV22" s="13" t="n">
        <f aca="false">AU22+Construction!AV14*$F$9/$F$10*(AV21+(AV19-AV20)*AU22)</f>
        <v>588.771480631791</v>
      </c>
      <c r="AW22" s="13" t="n">
        <f aca="false">AV22+Construction!AW14*$F$9/$F$10*(AW21+(AW19-AW20)*AV22)</f>
        <v>588.771480631791</v>
      </c>
      <c r="AX22" s="13" t="n">
        <f aca="false">AW22+Construction!AX14*$F$9/$F$10*(AX21+(AX19-AX20)*AW22)</f>
        <v>588.771480631791</v>
      </c>
      <c r="AY22" s="13" t="n">
        <f aca="false">AX22+Construction!AY14*$F$9/$F$10*(AY21+(AY19-AY20)*AX22)</f>
        <v>588.771480631791</v>
      </c>
      <c r="AZ22" s="13" t="n">
        <f aca="false">AY22+Construction!AZ14*$F$9/$F$10*(AZ21+(AZ19-AZ20)*AY22)</f>
        <v>588.771480631791</v>
      </c>
      <c r="BA22" s="13" t="n">
        <f aca="false">AZ22+Construction!BA14*$F$9/$F$10*(BA21+(BA19-BA20)*AZ22)</f>
        <v>588.771480631791</v>
      </c>
      <c r="BB22" s="13" t="n">
        <f aca="false">BA22+Construction!BB14*$F$9/$F$10*(BB21+(BB19-BB20)*BA22)</f>
        <v>588.771480631791</v>
      </c>
      <c r="BC22" s="13" t="n">
        <f aca="false">BB22+Construction!BC14*$F$9/$F$10*(BC21+(BC19-BC20)*BB22)</f>
        <v>588.771480631791</v>
      </c>
      <c r="BD22" s="13" t="n">
        <f aca="false">BC22+Construction!BD14*$F$9/$F$10*(BD21+(BD19-BD20)*BC22)</f>
        <v>588.771480631791</v>
      </c>
      <c r="BE22" s="13" t="n">
        <f aca="false">BD22+Construction!BE14*$F$9/$F$10*(BE21+(BE19-BE20)*BD22)</f>
        <v>588.771480631791</v>
      </c>
      <c r="BF22" s="13" t="n">
        <f aca="false">BE22+Construction!BF14*$F$9/$F$10*(BF21+(BF19-BF20)*BE22)</f>
        <v>588.771480631791</v>
      </c>
      <c r="BG22" s="13" t="n">
        <f aca="false">BF22+Construction!BG14*$F$9/$F$10*(BG21+(BG19-BG20)*BF22)</f>
        <v>588.771480631791</v>
      </c>
      <c r="BH22" s="13" t="n">
        <f aca="false">BG22+Construction!BH14*$F$9/$F$10*(BH21+(BH19-BH20)*BG22)</f>
        <v>588.771480631791</v>
      </c>
      <c r="BI22" s="13" t="n">
        <f aca="false">BH22+Construction!BI14*$F$9/$F$10*(BI21+(BI19-BI20)*BH22)</f>
        <v>588.771480631791</v>
      </c>
      <c r="BJ22" s="13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857.21111806745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27.0143605485376</v>
      </c>
      <c r="L28" s="13" t="n">
        <f aca="false">K61</f>
        <v>27.5695773059137</v>
      </c>
      <c r="M28" s="13" t="n">
        <f aca="false">L61</f>
        <v>28.2773158474081</v>
      </c>
      <c r="N28" s="13" t="n">
        <f aca="false">M61</f>
        <v>29.2778305475518</v>
      </c>
      <c r="O28" s="13" t="n">
        <f aca="false">N61</f>
        <v>30.7184974274133</v>
      </c>
      <c r="P28" s="13" t="n">
        <f aca="false">O61</f>
        <v>32.7037510289397</v>
      </c>
      <c r="Q28" s="13" t="n">
        <f aca="false">P61</f>
        <v>35.2935701625513</v>
      </c>
      <c r="R28" s="13" t="n">
        <f aca="false">Q61</f>
        <v>38.5808781243885</v>
      </c>
      <c r="S28" s="13" t="n">
        <f aca="false">R61</f>
        <v>42.5633405306353</v>
      </c>
      <c r="T28" s="13" t="n">
        <f aca="false">S61</f>
        <v>47.25364486873</v>
      </c>
      <c r="U28" s="13" t="n">
        <f aca="false">T61</f>
        <v>52.606356870313</v>
      </c>
      <c r="V28" s="13" t="n">
        <f aca="false">U61</f>
        <v>58.5941789800537</v>
      </c>
      <c r="W28" s="13" t="n">
        <f aca="false">V61</f>
        <v>65.1403884672871</v>
      </c>
      <c r="X28" s="13" t="n">
        <f aca="false">W61</f>
        <v>72.1509604086586</v>
      </c>
      <c r="Y28" s="13" t="n">
        <f aca="false">X61</f>
        <v>79.5459361278171</v>
      </c>
      <c r="Z28" s="13" t="n">
        <f aca="false">Y61</f>
        <v>87.1968746106349</v>
      </c>
      <c r="AA28" s="13" t="n">
        <f aca="false">Z61</f>
        <v>95.0081457223257</v>
      </c>
      <c r="AB28" s="13" t="n">
        <f aca="false">AA61</f>
        <v>103.110941776807</v>
      </c>
      <c r="AC28" s="13" t="n">
        <f aca="false">AB61</f>
        <v>110.840005565615</v>
      </c>
      <c r="AD28" s="13" t="n">
        <f aca="false">AC61</f>
        <v>118.385358322786</v>
      </c>
      <c r="AE28" s="13" t="n">
        <f aca="false">AD61</f>
        <v>125.598214100278</v>
      </c>
      <c r="AF28" s="13" t="n">
        <f aca="false">AE61</f>
        <v>132.40357932969</v>
      </c>
      <c r="AG28" s="13" t="n">
        <f aca="false">AF61</f>
        <v>138.685157188152</v>
      </c>
      <c r="AH28" s="13" t="n">
        <f aca="false">AG61</f>
        <v>144.399698782452</v>
      </c>
      <c r="AI28" s="13" t="n">
        <f aca="false">AH61</f>
        <v>149.478771573439</v>
      </c>
      <c r="AJ28" s="13" t="n">
        <f aca="false">AI61</f>
        <v>153.875320923412</v>
      </c>
      <c r="AK28" s="13" t="n">
        <f aca="false">AJ61</f>
        <v>157.613094467536</v>
      </c>
      <c r="AL28" s="13" t="n">
        <f aca="false">AK61</f>
        <v>160.680179388032</v>
      </c>
      <c r="AM28" s="13" t="n">
        <f aca="false">AL61</f>
        <v>163.156219622677</v>
      </c>
      <c r="AN28" s="13" t="n">
        <f aca="false">AM61</f>
        <v>165.102876179334</v>
      </c>
      <c r="AO28" s="13" t="n">
        <f aca="false">AN61</f>
        <v>166.576014178828</v>
      </c>
      <c r="AP28" s="13" t="n">
        <f aca="false">AO61</f>
        <v>167.805613265118</v>
      </c>
      <c r="AQ28" s="13" t="n">
        <f aca="false">AP61</f>
        <v>179.859372115354</v>
      </c>
      <c r="AR28" s="13" t="n">
        <f aca="false">AQ61</f>
        <v>189.15009701887</v>
      </c>
      <c r="AS28" s="13" t="n">
        <f aca="false">AR61</f>
        <v>189.976792662832</v>
      </c>
      <c r="AT28" s="13" t="n">
        <f aca="false">AS61</f>
        <v>189.976792662832</v>
      </c>
      <c r="AU28" s="13" t="n">
        <f aca="false">AT61</f>
        <v>189.976792662832</v>
      </c>
      <c r="AV28" s="13" t="n">
        <f aca="false">AU61</f>
        <v>189.976792662832</v>
      </c>
      <c r="AW28" s="13" t="n">
        <f aca="false">AV61</f>
        <v>189.976792662832</v>
      </c>
      <c r="AX28" s="13" t="n">
        <f aca="false">AW61</f>
        <v>189.976792662832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19.8105310689276</v>
      </c>
      <c r="L29" s="13" t="n">
        <f aca="false">K62</f>
        <v>20.2176900243367</v>
      </c>
      <c r="M29" s="13" t="n">
        <f aca="false">L62</f>
        <v>20.7366982880993</v>
      </c>
      <c r="N29" s="13" t="n">
        <f aca="false">M62</f>
        <v>21.4704090682047</v>
      </c>
      <c r="O29" s="13" t="n">
        <f aca="false">N62</f>
        <v>22.5268981134365</v>
      </c>
      <c r="P29" s="13" t="n">
        <f aca="false">O62</f>
        <v>23.9827507545558</v>
      </c>
      <c r="Q29" s="13" t="n">
        <f aca="false">P62</f>
        <v>25.8819514525376</v>
      </c>
      <c r="R29" s="13" t="n">
        <f aca="false">Q62</f>
        <v>28.2926439578849</v>
      </c>
      <c r="S29" s="13" t="n">
        <f aca="false">R62</f>
        <v>31.2131163891325</v>
      </c>
      <c r="T29" s="13" t="n">
        <f aca="false">S62</f>
        <v>34.6526729037354</v>
      </c>
      <c r="U29" s="13" t="n">
        <f aca="false">T62</f>
        <v>38.5779950382296</v>
      </c>
      <c r="V29" s="13" t="n">
        <f aca="false">U62</f>
        <v>42.9690645853727</v>
      </c>
      <c r="W29" s="13" t="n">
        <f aca="false">V62</f>
        <v>47.7696182093439</v>
      </c>
      <c r="X29" s="13" t="n">
        <f aca="false">W62</f>
        <v>52.910704299683</v>
      </c>
      <c r="Y29" s="13" t="n">
        <f aca="false">X62</f>
        <v>58.3336864937326</v>
      </c>
      <c r="Z29" s="13" t="n">
        <f aca="false">Y62</f>
        <v>63.9443747144656</v>
      </c>
      <c r="AA29" s="13" t="n">
        <f aca="false">Z62</f>
        <v>69.6726401963722</v>
      </c>
      <c r="AB29" s="13" t="n">
        <f aca="false">AA62</f>
        <v>75.6146906363249</v>
      </c>
      <c r="AC29" s="13" t="n">
        <f aca="false">AB62</f>
        <v>81.2826707481177</v>
      </c>
      <c r="AD29" s="13" t="n">
        <f aca="false">AC62</f>
        <v>86.8159294367101</v>
      </c>
      <c r="AE29" s="13" t="n">
        <f aca="false">AD62</f>
        <v>92.1053570068706</v>
      </c>
      <c r="AF29" s="13" t="n">
        <f aca="false">AE62</f>
        <v>97.0959581751059</v>
      </c>
      <c r="AG29" s="13" t="n">
        <f aca="false">AF62</f>
        <v>101.702448604644</v>
      </c>
      <c r="AH29" s="13" t="n">
        <f aca="false">AG62</f>
        <v>105.893112440465</v>
      </c>
      <c r="AI29" s="13" t="n">
        <f aca="false">AH62</f>
        <v>109.617765820522</v>
      </c>
      <c r="AJ29" s="13" t="n">
        <f aca="false">AI62</f>
        <v>112.841902010502</v>
      </c>
      <c r="AK29" s="13" t="n">
        <f aca="false">AJ62</f>
        <v>115.58293594286</v>
      </c>
      <c r="AL29" s="13" t="n">
        <f aca="false">AK62</f>
        <v>117.832131551223</v>
      </c>
      <c r="AM29" s="13" t="n">
        <f aca="false">AL62</f>
        <v>119.647894389963</v>
      </c>
      <c r="AN29" s="13" t="n">
        <f aca="false">AM62</f>
        <v>121.075442531512</v>
      </c>
      <c r="AO29" s="13" t="n">
        <f aca="false">AN62</f>
        <v>122.155743731141</v>
      </c>
      <c r="AP29" s="13" t="n">
        <f aca="false">AO62</f>
        <v>123.057449727754</v>
      </c>
      <c r="AQ29" s="13" t="n">
        <f aca="false">AP62</f>
        <v>131.896872884593</v>
      </c>
      <c r="AR29" s="13" t="n">
        <f aca="false">AQ62</f>
        <v>138.710071147171</v>
      </c>
      <c r="AS29" s="13" t="n">
        <f aca="false">AR62</f>
        <v>139.31631461941</v>
      </c>
      <c r="AT29" s="13" t="n">
        <f aca="false">AS62</f>
        <v>139.31631461941</v>
      </c>
      <c r="AU29" s="13" t="n">
        <f aca="false">AT62</f>
        <v>139.31631461941</v>
      </c>
      <c r="AV29" s="13" t="n">
        <f aca="false">AU62</f>
        <v>139.31631461941</v>
      </c>
      <c r="AW29" s="13" t="n">
        <f aca="false">AV62</f>
        <v>139.31631461941</v>
      </c>
      <c r="AX29" s="13" t="n">
        <f aca="false">AW62</f>
        <v>139.31631461941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9.00478684951255</v>
      </c>
      <c r="L30" s="13" t="n">
        <f aca="false">K63</f>
        <v>9.18985910197123</v>
      </c>
      <c r="M30" s="13" t="n">
        <f aca="false">L63</f>
        <v>9.42577194913603</v>
      </c>
      <c r="N30" s="13" t="n">
        <f aca="false">M63</f>
        <v>9.75927684918395</v>
      </c>
      <c r="O30" s="13" t="n">
        <f aca="false">N63</f>
        <v>10.2394991424711</v>
      </c>
      <c r="P30" s="13" t="n">
        <f aca="false">O63</f>
        <v>10.9012503429799</v>
      </c>
      <c r="Q30" s="13" t="n">
        <f aca="false">P63</f>
        <v>11.7645233875171</v>
      </c>
      <c r="R30" s="13" t="n">
        <f aca="false">Q63</f>
        <v>12.8602927081295</v>
      </c>
      <c r="S30" s="13" t="n">
        <f aca="false">R63</f>
        <v>14.1877801768784</v>
      </c>
      <c r="T30" s="13" t="n">
        <f aca="false">S63</f>
        <v>15.7512149562433</v>
      </c>
      <c r="U30" s="13" t="n">
        <f aca="false">T63</f>
        <v>17.5354522901043</v>
      </c>
      <c r="V30" s="13" t="n">
        <f aca="false">U63</f>
        <v>19.5313929933512</v>
      </c>
      <c r="W30" s="13" t="n">
        <f aca="false">V63</f>
        <v>21.713462822429</v>
      </c>
      <c r="X30" s="13" t="n">
        <f aca="false">W63</f>
        <v>24.0503201362195</v>
      </c>
      <c r="Y30" s="13" t="n">
        <f aca="false">X63</f>
        <v>26.5153120426057</v>
      </c>
      <c r="Z30" s="13" t="n">
        <f aca="false">Y63</f>
        <v>29.0656248702116</v>
      </c>
      <c r="AA30" s="13" t="n">
        <f aca="false">Z63</f>
        <v>31.6693819074419</v>
      </c>
      <c r="AB30" s="13" t="n">
        <f aca="false">AA63</f>
        <v>34.3703139256022</v>
      </c>
      <c r="AC30" s="13" t="n">
        <f aca="false">AB63</f>
        <v>36.9466685218717</v>
      </c>
      <c r="AD30" s="13" t="n">
        <f aca="false">AC63</f>
        <v>39.4617861075955</v>
      </c>
      <c r="AE30" s="13" t="n">
        <f aca="false">AD63</f>
        <v>41.8660713667593</v>
      </c>
      <c r="AF30" s="13" t="n">
        <f aca="false">AE63</f>
        <v>44.1345264432299</v>
      </c>
      <c r="AG30" s="13" t="n">
        <f aca="false">AF63</f>
        <v>46.2283857293838</v>
      </c>
      <c r="AH30" s="13" t="n">
        <f aca="false">AG63</f>
        <v>48.1332329274839</v>
      </c>
      <c r="AI30" s="13" t="n">
        <f aca="false">AH63</f>
        <v>49.8262571911463</v>
      </c>
      <c r="AJ30" s="13" t="n">
        <f aca="false">AI63</f>
        <v>51.2917736411373</v>
      </c>
      <c r="AK30" s="13" t="n">
        <f aca="false">AJ63</f>
        <v>52.5376981558454</v>
      </c>
      <c r="AL30" s="13" t="n">
        <f aca="false">AK63</f>
        <v>53.5600597960105</v>
      </c>
      <c r="AM30" s="13" t="n">
        <f aca="false">AL63</f>
        <v>54.3854065408923</v>
      </c>
      <c r="AN30" s="13" t="n">
        <f aca="false">AM63</f>
        <v>55.0342920597781</v>
      </c>
      <c r="AO30" s="13" t="n">
        <f aca="false">AN63</f>
        <v>55.5253380596093</v>
      </c>
      <c r="AP30" s="13" t="n">
        <f aca="false">AO63</f>
        <v>55.9352044217061</v>
      </c>
      <c r="AQ30" s="13" t="n">
        <f aca="false">AP63</f>
        <v>59.9531240384514</v>
      </c>
      <c r="AR30" s="13" t="n">
        <f aca="false">AQ63</f>
        <v>63.0500323396234</v>
      </c>
      <c r="AS30" s="13" t="n">
        <f aca="false">AR63</f>
        <v>63.3255975542774</v>
      </c>
      <c r="AT30" s="13" t="n">
        <f aca="false">AS63</f>
        <v>63.3255975542774</v>
      </c>
      <c r="AU30" s="13" t="n">
        <f aca="false">AT63</f>
        <v>63.3255975542774</v>
      </c>
      <c r="AV30" s="13" t="n">
        <f aca="false">AU63</f>
        <v>63.3255975542774</v>
      </c>
      <c r="AW30" s="13" t="n">
        <f aca="false">AV63</f>
        <v>63.3255975542774</v>
      </c>
      <c r="AX30" s="13" t="n">
        <f aca="false">AW63</f>
        <v>63.3255975542774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34.2181900281477</v>
      </c>
      <c r="L31" s="13" t="n">
        <f aca="false">K64</f>
        <v>34.9214645874907</v>
      </c>
      <c r="M31" s="13" t="n">
        <f aca="false">L64</f>
        <v>35.8179334067169</v>
      </c>
      <c r="N31" s="13" t="n">
        <f aca="false">M64</f>
        <v>37.085252026899</v>
      </c>
      <c r="O31" s="13" t="n">
        <f aca="false">N64</f>
        <v>38.9100967413902</v>
      </c>
      <c r="P31" s="13" t="n">
        <f aca="false">O64</f>
        <v>41.4247513033236</v>
      </c>
      <c r="Q31" s="13" t="n">
        <f aca="false">P64</f>
        <v>44.705188872565</v>
      </c>
      <c r="R31" s="13" t="n">
        <f aca="false">Q64</f>
        <v>48.8691122908921</v>
      </c>
      <c r="S31" s="13" t="n">
        <f aca="false">R64</f>
        <v>53.913564672138</v>
      </c>
      <c r="T31" s="13" t="n">
        <f aca="false">S64</f>
        <v>59.8546168337247</v>
      </c>
      <c r="U31" s="13" t="n">
        <f aca="false">T64</f>
        <v>66.6347187023965</v>
      </c>
      <c r="V31" s="13" t="n">
        <f aca="false">U64</f>
        <v>74.2192933747346</v>
      </c>
      <c r="W31" s="13" t="n">
        <f aca="false">V64</f>
        <v>82.5111587252303</v>
      </c>
      <c r="X31" s="13" t="n">
        <f aca="false">W64</f>
        <v>91.3912165176342</v>
      </c>
      <c r="Y31" s="13" t="n">
        <f aca="false">X64</f>
        <v>100.758185761902</v>
      </c>
      <c r="Z31" s="13" t="n">
        <f aca="false">Y64</f>
        <v>110.449374506804</v>
      </c>
      <c r="AA31" s="13" t="n">
        <f aca="false">Z64</f>
        <v>120.343651248279</v>
      </c>
      <c r="AB31" s="13" t="n">
        <f aca="false">AA64</f>
        <v>130.607192917288</v>
      </c>
      <c r="AC31" s="13" t="n">
        <f aca="false">AB64</f>
        <v>140.397340383112</v>
      </c>
      <c r="AD31" s="13" t="n">
        <f aca="false">AC64</f>
        <v>149.954787208863</v>
      </c>
      <c r="AE31" s="13" t="n">
        <f aca="false">AD64</f>
        <v>159.091071193685</v>
      </c>
      <c r="AF31" s="13" t="n">
        <f aca="false">AE64</f>
        <v>167.711200484274</v>
      </c>
      <c r="AG31" s="13" t="n">
        <f aca="false">AF64</f>
        <v>175.667865771659</v>
      </c>
      <c r="AH31" s="13" t="n">
        <f aca="false">AG64</f>
        <v>182.906285124439</v>
      </c>
      <c r="AI31" s="13" t="n">
        <f aca="false">AH64</f>
        <v>189.339777326356</v>
      </c>
      <c r="AJ31" s="13" t="n">
        <f aca="false">AI64</f>
        <v>194.908739836322</v>
      </c>
      <c r="AK31" s="13" t="n">
        <f aca="false">AJ64</f>
        <v>199.643252992213</v>
      </c>
      <c r="AL31" s="13" t="n">
        <f aca="false">AK64</f>
        <v>203.52822722484</v>
      </c>
      <c r="AM31" s="13" t="n">
        <f aca="false">AL64</f>
        <v>206.664544855391</v>
      </c>
      <c r="AN31" s="13" t="n">
        <f aca="false">AM64</f>
        <v>209.130309827157</v>
      </c>
      <c r="AO31" s="13" t="n">
        <f aca="false">AN64</f>
        <v>210.996284626515</v>
      </c>
      <c r="AP31" s="13" t="n">
        <f aca="false">AO64</f>
        <v>212.553776802483</v>
      </c>
      <c r="AQ31" s="13" t="n">
        <f aca="false">AP64</f>
        <v>227.821871346115</v>
      </c>
      <c r="AR31" s="13" t="n">
        <f aca="false">AQ64</f>
        <v>239.590122890569</v>
      </c>
      <c r="AS31" s="13" t="n">
        <f aca="false">AR64</f>
        <v>240.637270706254</v>
      </c>
      <c r="AT31" s="13" t="n">
        <f aca="false">AS64</f>
        <v>240.637270706254</v>
      </c>
      <c r="AU31" s="13" t="n">
        <f aca="false">AT64</f>
        <v>240.637270706254</v>
      </c>
      <c r="AV31" s="13" t="n">
        <f aca="false">AU64</f>
        <v>240.637270706254</v>
      </c>
      <c r="AW31" s="13" t="n">
        <f aca="false">AV64</f>
        <v>240.637270706254</v>
      </c>
      <c r="AX31" s="13" t="n">
        <f aca="false">AW64</f>
        <v>240.637270706254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1.74223968585352E-011</v>
      </c>
      <c r="AT32" s="13" t="n">
        <f aca="false">AS65</f>
        <v>1.74223968585352E-011</v>
      </c>
      <c r="AU32" s="13" t="n">
        <f aca="false">AT65</f>
        <v>1.74223968585352E-011</v>
      </c>
      <c r="AV32" s="13" t="n">
        <f aca="false">AU65</f>
        <v>1.74223968585352E-011</v>
      </c>
      <c r="AW32" s="13" t="n">
        <f aca="false">AV65</f>
        <v>1.74223968585352E-011</v>
      </c>
      <c r="AX32" s="13" t="n">
        <f aca="false">AW65</f>
        <v>1.74223968585352E-011</v>
      </c>
      <c r="AY32" s="13" t="n">
        <f aca="false">AX65</f>
        <v>1.74223968585352E-011</v>
      </c>
      <c r="AZ32" s="13" t="n">
        <f aca="false">AY65</f>
        <v>1.74223968585352E-011</v>
      </c>
      <c r="BA32" s="13" t="n">
        <f aca="false">AZ65</f>
        <v>1.74223968585352E-011</v>
      </c>
      <c r="BB32" s="13" t="n">
        <f aca="false">BA65</f>
        <v>1.74223968585352E-011</v>
      </c>
      <c r="BC32" s="13" t="n">
        <f aca="false">BB65</f>
        <v>1.74223968585352E-011</v>
      </c>
      <c r="BD32" s="13" t="n">
        <f aca="false">BC65</f>
        <v>1.74223968585352E-011</v>
      </c>
      <c r="BE32" s="13" t="n">
        <f aca="false">BD65</f>
        <v>1.74223968585352E-011</v>
      </c>
      <c r="BF32" s="13" t="n">
        <f aca="false">BE65</f>
        <v>1.74223968585352E-011</v>
      </c>
      <c r="BG32" s="13" t="n">
        <f aca="false">BF65</f>
        <v>1.74223968585352E-011</v>
      </c>
      <c r="BH32" s="13" t="n">
        <f aca="false">BG65</f>
        <v>1.74223968585352E-011</v>
      </c>
      <c r="BI32" s="13" t="n">
        <f aca="false">BH65</f>
        <v>1.74223968585352E-011</v>
      </c>
      <c r="BJ32" s="13" t="n">
        <f aca="false">BI65</f>
        <v>1.74223968585352E-011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12.4338223254569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0.0871213127690339</v>
      </c>
      <c r="L33" s="13" t="n">
        <f aca="false">Construction!L14*L28*(Construction!L17+Inputs!$F$79)/100*Construction!L11/Inputs!$F$247*1</f>
        <v>0.0918756163719574</v>
      </c>
      <c r="M33" s="13" t="n">
        <f aca="false">Construction!M14*M28*(Construction!M17+Inputs!$F$79)/100*Construction!M11/Inputs!$F$247*1</f>
        <v>0.0911943436078911</v>
      </c>
      <c r="N33" s="13" t="n">
        <f aca="false">Construction!N14*N28*(Construction!N17+Inputs!$F$79)/100*Construction!N11/Inputs!$F$247*1</f>
        <v>0.0975683702997165</v>
      </c>
      <c r="O33" s="13" t="n">
        <f aca="false">Construction!O14*O28*(Construction!O17+Inputs!$F$79)/100*Construction!O11/Inputs!$F$247*1</f>
        <v>0.109511443328729</v>
      </c>
      <c r="P33" s="13" t="n">
        <f aca="false">Construction!P14*P28*(Construction!P17+Inputs!$F$79)/100*Construction!P11/Inputs!$F$247*1</f>
        <v>0.105306078313186</v>
      </c>
      <c r="Q33" s="13" t="n">
        <f aca="false">Construction!Q14*Q28*(Construction!Q17+Inputs!$F$79)/100*Construction!Q11/Inputs!$F$247*1</f>
        <v>0.125821577629495</v>
      </c>
      <c r="R33" s="13" t="n">
        <f aca="false">Construction!R14*R28*(Construction!R17+Inputs!$F$79)/100*Construction!R11/Inputs!$F$247*1</f>
        <v>0.13310402952914</v>
      </c>
      <c r="S33" s="13" t="n">
        <f aca="false">Construction!S14*S28*(Construction!S17+Inputs!$F$79)/100*Construction!S11/Inputs!$F$247*1</f>
        <v>0.151738308991715</v>
      </c>
      <c r="T33" s="13" t="n">
        <f aca="false">Construction!T14*T28*(Construction!T17+Inputs!$F$79)/100*Construction!T11/Inputs!$F$247*1</f>
        <v>0.163025074797119</v>
      </c>
      <c r="U33" s="13" t="n">
        <f aca="false">Construction!U14*U28*(Construction!U17+Inputs!$F$79)/100*Construction!U11/Inputs!$F$247*1</f>
        <v>0.194336650005081</v>
      </c>
      <c r="V33" s="13" t="n">
        <f aca="false">Construction!V14*V28*(Construction!V17+Inputs!$F$79)/100*Construction!V11/Inputs!$F$247*1</f>
        <v>0.216456662848815</v>
      </c>
      <c r="W33" s="13" t="n">
        <f aca="false">Construction!W14*W28*(Construction!W17+Inputs!$F$79)/100*Construction!W11/Inputs!$F$247*1</f>
        <v>0.232876888770551</v>
      </c>
      <c r="X33" s="13" t="n">
        <f aca="false">Construction!X14*X28*(Construction!X17+Inputs!$F$79)/100*Construction!X11/Inputs!$F$247*1</f>
        <v>0.266537672909653</v>
      </c>
      <c r="Y33" s="13" t="n">
        <f aca="false">Construction!Y14*Y28*(Construction!Y17+Inputs!$F$79)/100*Construction!Y11/Inputs!$F$247*1</f>
        <v>0.284376721656946</v>
      </c>
      <c r="Z33" s="13" t="n">
        <f aca="false">Construction!Z14*Z28*(Construction!Z17+Inputs!$F$79)/100*Construction!Z11/Inputs!$F$247*1</f>
        <v>0.32211978762412</v>
      </c>
      <c r="AA33" s="13" t="n">
        <f aca="false">Construction!AA14*AA28*(Construction!AA17+Inputs!$F$79)/100*Construction!AA11/Inputs!$F$247*1</f>
        <v>0.35752093058343</v>
      </c>
      <c r="AB33" s="13" t="n">
        <f aca="false">Construction!AB14*AB28*(Construction!AB17+Inputs!$F$79)/100*Construction!AB11/Inputs!$F$247*1</f>
        <v>0.362979156982631</v>
      </c>
      <c r="AC33" s="13" t="n">
        <f aca="false">Construction!AC14*AC28*(Construction!AC17+Inputs!$F$79)/100*Construction!AC11/Inputs!$F$247*1</f>
        <v>0.417097098721496</v>
      </c>
      <c r="AD33" s="13" t="n">
        <f aca="false">Construction!AD14*AD28*(Construction!AD17+Inputs!$F$79)/100*Construction!AD11/Inputs!$F$247*1</f>
        <v>0.431120013225481</v>
      </c>
      <c r="AE33" s="13" t="n">
        <f aca="false">Construction!AE14*AE28*(Construction!AE17+Inputs!$F$79)/100*Construction!AE11/Inputs!$F$247*1</f>
        <v>0.472633057337907</v>
      </c>
      <c r="AF33" s="13" t="n">
        <f aca="false">Construction!AF14*AF28*(Construction!AF17+Inputs!$F$79)/100*Construction!AF11/Inputs!$F$247*1</f>
        <v>0.482169701392287</v>
      </c>
      <c r="AG33" s="13" t="n">
        <f aca="false">Construction!AG14*AG28*(Construction!AG17+Inputs!$F$79)/100*Construction!AG11/Inputs!$F$247*1</f>
        <v>0.526656884422005</v>
      </c>
      <c r="AH33" s="13" t="n">
        <f aca="false">Construction!AH14*AH28*(Construction!AH17+Inputs!$F$79)/100*Construction!AH11/Inputs!$F$247*1</f>
        <v>0.548357856126361</v>
      </c>
      <c r="AI33" s="13" t="n">
        <f aca="false">Construction!AI14*AI28*(Construction!AI17+Inputs!$F$79)/100*Construction!AI11/Inputs!$F$247*1</f>
        <v>0.549334485532388</v>
      </c>
      <c r="AJ33" s="13" t="n">
        <f aca="false">Construction!AJ14*AJ28*(Construction!AJ17+Inputs!$F$79)/100*Construction!AJ11/Inputs!$F$247*1</f>
        <v>0.584341531206656</v>
      </c>
      <c r="AK33" s="13" t="n">
        <f aca="false">Construction!AK14*AK28*(Construction!AK17+Inputs!$F$79)/100*Construction!AK11/Inputs!$F$247*1</f>
        <v>0.579228122168195</v>
      </c>
      <c r="AL33" s="13" t="n">
        <f aca="false">Construction!AL14*AL28*(Construction!AL17+Inputs!$F$79)/100*Construction!AL11/Inputs!$F$247*1</f>
        <v>0.61018298122605</v>
      </c>
      <c r="AM33" s="13" t="n">
        <f aca="false">Construction!AM14*AM28*(Construction!AM17+Inputs!$F$79)/100*Construction!AM11/Inputs!$F$247*1</f>
        <v>0.623800613024035</v>
      </c>
      <c r="AN33" s="13" t="n">
        <f aca="false">Construction!AN14*AN28*(Construction!AN17+Inputs!$F$79)/100*Construction!AN11/Inputs!$F$247*1</f>
        <v>0.570155265739301</v>
      </c>
      <c r="AO33" s="13" t="n">
        <f aca="false">Construction!AO14*AO28*(Construction!AO17+Inputs!$F$79)/100*Construction!AO11/Inputs!$F$247*1</f>
        <v>0.636875627543719</v>
      </c>
      <c r="AP33" s="13" t="n">
        <f aca="false">Construction!AP14*AP28*(Construction!AP17+Inputs!$F$79)/100*Construction!AP11/Inputs!$F$247*1</f>
        <v>0.620880769080938</v>
      </c>
      <c r="AQ33" s="13" t="n">
        <f aca="false">Construction!AQ14*AQ28*(Construction!AQ17+Inputs!$F$79)/100*Construction!AQ11/Inputs!$F$247*1</f>
        <v>0.687662332721037</v>
      </c>
      <c r="AR33" s="13" t="n">
        <f aca="false">Construction!AR14*AR28*(Construction!AR17+Inputs!$F$79)/100*Construction!AR11/Inputs!$F$247*1</f>
        <v>0.699855358969819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13.9280603473294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0.101859147246069</v>
      </c>
      <c r="L34" s="13" t="n">
        <f aca="false">Construction!L14*L29*(Construction!L17+Inputs!$F$80)/100*Construction!L11/Inputs!$F$247*1</f>
        <v>0.107417710304302</v>
      </c>
      <c r="M34" s="13" t="n">
        <f aca="false">Construction!M14*M29*(Construction!M17+Inputs!$F$80)/100*Construction!M11/Inputs!$F$247*1</f>
        <v>0.106621190364644</v>
      </c>
      <c r="N34" s="13" t="n">
        <f aca="false">Construction!N14*N29*(Construction!N17+Inputs!$F$80)/100*Construction!N11/Inputs!$F$247*1</f>
        <v>0.114073476179875</v>
      </c>
      <c r="O34" s="13" t="n">
        <f aca="false">Construction!O14*O29*(Construction!O17+Inputs!$F$80)/100*Construction!O11/Inputs!$F$247*1</f>
        <v>0.124924164982401</v>
      </c>
      <c r="P34" s="13" t="n">
        <f aca="false">Construction!P14*P29*(Construction!P17+Inputs!$F$80)/100*Construction!P11/Inputs!$F$247*1</f>
        <v>0.120126933779486</v>
      </c>
      <c r="Q34" s="13" t="n">
        <f aca="false">Construction!Q14*Q29*(Construction!Q17+Inputs!$F$80)/100*Construction!Q11/Inputs!$F$247*1</f>
        <v>0.143529799666239</v>
      </c>
      <c r="R34" s="13" t="n">
        <f aca="false">Construction!R14*R29*(Construction!R17+Inputs!$F$80)/100*Construction!R11/Inputs!$F$247*1</f>
        <v>0.151837189240649</v>
      </c>
      <c r="S34" s="13" t="n">
        <f aca="false">Construction!S14*S29*(Construction!S17+Inputs!$F$80)/100*Construction!S11/Inputs!$F$247*1</f>
        <v>0.173094070997956</v>
      </c>
      <c r="T34" s="13" t="n">
        <f aca="false">Construction!T14*T29*(Construction!T17+Inputs!$F$80)/100*Construction!T11/Inputs!$F$247*1</f>
        <v>0.18596934458338</v>
      </c>
      <c r="U34" s="13" t="n">
        <f aca="false">Construction!U14*U29*(Construction!U17+Inputs!$F$80)/100*Construction!U11/Inputs!$F$247*1</f>
        <v>0.21891940573222</v>
      </c>
      <c r="V34" s="13" t="n">
        <f aca="false">Construction!V14*V29*(Construction!V17+Inputs!$F$80)/100*Construction!V11/Inputs!$F$247*1</f>
        <v>0.243837505670716</v>
      </c>
      <c r="W34" s="13" t="n">
        <f aca="false">Construction!W14*W29*(Construction!W17+Inputs!$F$80)/100*Construction!W11/Inputs!$F$247*1</f>
        <v>0.262334819999647</v>
      </c>
      <c r="X34" s="13" t="n">
        <f aca="false">Construction!X14*X29*(Construction!X17+Inputs!$F$80)/100*Construction!X11/Inputs!$F$247*1</f>
        <v>0.30025354948284</v>
      </c>
      <c r="Y34" s="13" t="n">
        <f aca="false">Construction!Y14*Y29*(Construction!Y17+Inputs!$F$80)/100*Construction!Y11/Inputs!$F$247*1</f>
        <v>0.320349161661415</v>
      </c>
      <c r="Z34" s="13" t="n">
        <f aca="false">Construction!Z14*Z29*(Construction!Z17+Inputs!$F$80)/100*Construction!Z11/Inputs!$F$247*1</f>
        <v>0.362866564178283</v>
      </c>
      <c r="AA34" s="13" t="n">
        <f aca="false">Construction!AA14*AA29*(Construction!AA17+Inputs!$F$80)/100*Construction!AA11/Inputs!$F$247*1</f>
        <v>0.40017255037233</v>
      </c>
      <c r="AB34" s="13" t="n">
        <f aca="false">Construction!AB14*AB29*(Construction!AB17+Inputs!$F$80)/100*Construction!AB11/Inputs!$F$247*1</f>
        <v>0.40628193360512</v>
      </c>
      <c r="AC34" s="13" t="n">
        <f aca="false">Construction!AC14*AC29*(Construction!AC17+Inputs!$F$80)/100*Construction!AC11/Inputs!$F$247*1</f>
        <v>0.466856050849675</v>
      </c>
      <c r="AD34" s="13" t="n">
        <f aca="false">Construction!AD14*AD29*(Construction!AD17+Inputs!$F$80)/100*Construction!AD11/Inputs!$F$247*1</f>
        <v>0.48255187445238</v>
      </c>
      <c r="AE34" s="13" t="n">
        <f aca="false">Construction!AE14*AE29*(Construction!AE17+Inputs!$F$80)/100*Construction!AE11/Inputs!$F$247*1</f>
        <v>0.529017351897517</v>
      </c>
      <c r="AF34" s="13" t="n">
        <f aca="false">Construction!AF14*AF29*(Construction!AF17+Inputs!$F$80)/100*Construction!AF11/Inputs!$F$247*1</f>
        <v>0.53969170085663</v>
      </c>
      <c r="AG34" s="13" t="n">
        <f aca="false">Construction!AG14*AG29*(Construction!AG17+Inputs!$F$80)/100*Construction!AG11/Inputs!$F$247*1</f>
        <v>0.587642398173669</v>
      </c>
      <c r="AH34" s="13" t="n">
        <f aca="false">Construction!AH14*AH29*(Construction!AH17+Inputs!$F$80)/100*Construction!AH11/Inputs!$F$247*1</f>
        <v>0.611856286631696</v>
      </c>
      <c r="AI34" s="13" t="n">
        <f aca="false">Construction!AI14*AI29*(Construction!AI17+Inputs!$F$80)/100*Construction!AI11/Inputs!$F$247*1</f>
        <v>0.612946007213085</v>
      </c>
      <c r="AJ34" s="13" t="n">
        <f aca="false">Construction!AJ14*AJ29*(Construction!AJ17+Inputs!$F$80)/100*Construction!AJ11/Inputs!$F$247*1</f>
        <v>0.652006778811237</v>
      </c>
      <c r="AK34" s="13" t="n">
        <f aca="false">Construction!AK14*AK29*(Construction!AK17+Inputs!$F$80)/100*Construction!AK11/Inputs!$F$247*1</f>
        <v>0.646301250147158</v>
      </c>
      <c r="AL34" s="13" t="n">
        <f aca="false">Construction!AL14*AL29*(Construction!AL17+Inputs!$F$80)/100*Construction!AL11/Inputs!$F$247*1</f>
        <v>0.680840602332498</v>
      </c>
      <c r="AM34" s="13" t="n">
        <f aca="false">Construction!AM14*AM29*(Construction!AM17+Inputs!$F$80)/100*Construction!AM11/Inputs!$F$247*1</f>
        <v>0.694423084828858</v>
      </c>
      <c r="AN34" s="13" t="n">
        <f aca="false">Construction!AN14*AN29*(Construction!AN17+Inputs!$F$80)/100*Construction!AN11/Inputs!$F$247*1</f>
        <v>0.634704375404081</v>
      </c>
      <c r="AO34" s="13" t="n">
        <f aca="false">Construction!AO14*AO29*(Construction!AO17+Inputs!$F$80)/100*Construction!AO11/Inputs!$F$247*1</f>
        <v>0.708978363755125</v>
      </c>
      <c r="AP34" s="13" t="n">
        <f aca="false">Construction!AP14*AP29*(Construction!AP17+Inputs!$F$80)/100*Construction!AP11/Inputs!$F$247*1</f>
        <v>0.691172675970882</v>
      </c>
      <c r="AQ34" s="13" t="n">
        <f aca="false">Construction!AQ14*AQ29*(Construction!AQ17+Inputs!$F$80)/100*Construction!AQ11/Inputs!$F$247*1</f>
        <v>0.76551479501408</v>
      </c>
      <c r="AR34" s="13" t="n">
        <f aca="false">Construction!AR14*AR29*(Construction!AR17+Inputs!$F$80)/100*Construction!AR11/Inputs!$F$247*1</f>
        <v>0.77908823294328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6.0932920563292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0.0444236151242619</v>
      </c>
      <c r="L35" s="13" t="n">
        <f aca="false">Construction!L14*L30*(Construction!L17+Inputs!$F$81)/100*Construction!L11/Inputs!$F$247*1</f>
        <v>0.0468478595109378</v>
      </c>
      <c r="M35" s="13" t="n">
        <f aca="false">Construction!M14*M30*(Construction!M17+Inputs!$F$81)/100*Construction!M11/Inputs!$F$247*1</f>
        <v>0.0465004749490711</v>
      </c>
      <c r="N35" s="13" t="n">
        <f aca="false">Construction!N14*N30*(Construction!N17+Inputs!$F$81)/100*Construction!N11/Inputs!$F$247*1</f>
        <v>0.0497506246489511</v>
      </c>
      <c r="O35" s="13" t="n">
        <f aca="false">Construction!O14*O30*(Construction!O17+Inputs!$F$81)/100*Construction!O11/Inputs!$F$247*1</f>
        <v>0.0545793747346884</v>
      </c>
      <c r="P35" s="13" t="n">
        <f aca="false">Construction!P14*P30*(Construction!P17+Inputs!$F$81)/100*Construction!P11/Inputs!$F$247*1</f>
        <v>0.0524834641512576</v>
      </c>
      <c r="Q35" s="13" t="n">
        <f aca="false">Construction!Q14*Q30*(Construction!Q17+Inputs!$F$81)/100*Construction!Q11/Inputs!$F$247*1</f>
        <v>0.0627081775786294</v>
      </c>
      <c r="R35" s="13" t="n">
        <f aca="false">Construction!R14*R30*(Construction!R17+Inputs!$F$81)/100*Construction!R11/Inputs!$F$247*1</f>
        <v>0.066337676552768</v>
      </c>
      <c r="S35" s="13" t="n">
        <f aca="false">Construction!S14*S30*(Construction!S17+Inputs!$F$81)/100*Construction!S11/Inputs!$F$247*1</f>
        <v>0.0756248093928112</v>
      </c>
      <c r="T35" s="13" t="n">
        <f aca="false">Construction!T14*T30*(Construction!T17+Inputs!$F$81)/100*Construction!T11/Inputs!$F$247*1</f>
        <v>0.0812500171492886</v>
      </c>
      <c r="U35" s="13" t="n">
        <f aca="false">Construction!U14*U30*(Construction!U17+Inputs!$F$81)/100*Construction!U11/Inputs!$F$247*1</f>
        <v>0.0957338275860308</v>
      </c>
      <c r="V35" s="13" t="n">
        <f aca="false">Construction!V14*V30*(Construction!V17+Inputs!$F$81)/100*Construction!V11/Inputs!$F$247*1</f>
        <v>0.106630554969812</v>
      </c>
      <c r="W35" s="13" t="n">
        <f aca="false">Construction!W14*W30*(Construction!W17+Inputs!$F$81)/100*Construction!W11/Inputs!$F$247*1</f>
        <v>0.114719461911833</v>
      </c>
      <c r="X35" s="13" t="n">
        <f aca="false">Construction!X14*X30*(Construction!X17+Inputs!$F$81)/100*Construction!X11/Inputs!$F$247*1</f>
        <v>0.131301386654794</v>
      </c>
      <c r="Y35" s="13" t="n">
        <f aca="false">Construction!Y14*Y30*(Construction!Y17+Inputs!$F$81)/100*Construction!Y11/Inputs!$F$247*1</f>
        <v>0.140089231958434</v>
      </c>
      <c r="Z35" s="13" t="n">
        <f aca="false">Construction!Z14*Z30*(Construction!Z17+Inputs!$F$81)/100*Construction!Z11/Inputs!$F$247*1</f>
        <v>0.158682164221983</v>
      </c>
      <c r="AA35" s="13" t="n">
        <f aca="false">Construction!AA14*AA30*(Construction!AA17+Inputs!$F$81)/100*Construction!AA11/Inputs!$F$247*1</f>
        <v>0.175078899644975</v>
      </c>
      <c r="AB35" s="13" t="n">
        <f aca="false">Construction!AB14*AB30*(Construction!AB17+Inputs!$F$81)/100*Construction!AB11/Inputs!$F$247*1</f>
        <v>0.177751806851906</v>
      </c>
      <c r="AC35" s="13" t="n">
        <f aca="false">Construction!AC14*AC30*(Construction!AC17+Inputs!$F$81)/100*Construction!AC11/Inputs!$F$247*1</f>
        <v>0.20425349914508</v>
      </c>
      <c r="AD35" s="13" t="n">
        <f aca="false">Construction!AD14*AD30*(Construction!AD17+Inputs!$F$81)/100*Construction!AD11/Inputs!$F$247*1</f>
        <v>0.211120555675636</v>
      </c>
      <c r="AE35" s="13" t="n">
        <f aca="false">Construction!AE14*AE30*(Construction!AE17+Inputs!$F$81)/100*Construction!AE11/Inputs!$F$247*1</f>
        <v>0.231449597872568</v>
      </c>
      <c r="AF35" s="13" t="n">
        <f aca="false">Construction!AF14*AF30*(Construction!AF17+Inputs!$F$81)/100*Construction!AF11/Inputs!$F$247*1</f>
        <v>0.23611971647128</v>
      </c>
      <c r="AG35" s="13" t="n">
        <f aca="false">Construction!AG14*AG30*(Construction!AG17+Inputs!$F$81)/100*Construction!AG11/Inputs!$F$247*1</f>
        <v>0.257158236837956</v>
      </c>
      <c r="AH35" s="13" t="n">
        <f aca="false">Construction!AH14*AH30*(Construction!AH17+Inputs!$F$81)/100*Construction!AH11/Inputs!$F$247*1</f>
        <v>0.267754478501609</v>
      </c>
      <c r="AI35" s="13" t="n">
        <f aca="false">Construction!AI14*AI30*(Construction!AI17+Inputs!$F$81)/100*Construction!AI11/Inputs!$F$247*1</f>
        <v>0.268231351212338</v>
      </c>
      <c r="AJ35" s="13" t="n">
        <f aca="false">Construction!AJ14*AJ30*(Construction!AJ17+Inputs!$F$81)/100*Construction!AJ11/Inputs!$F$247*1</f>
        <v>0.285324738593726</v>
      </c>
      <c r="AK35" s="13" t="n">
        <f aca="false">Construction!AK14*AK30*(Construction!AK17+Inputs!$F$81)/100*Construction!AK11/Inputs!$F$247*1</f>
        <v>0.282827941738968</v>
      </c>
      <c r="AL35" s="13" t="n">
        <f aca="false">Construction!AL14*AL30*(Construction!AL17+Inputs!$F$81)/100*Construction!AL11/Inputs!$F$247*1</f>
        <v>0.297942710409696</v>
      </c>
      <c r="AM35" s="13" t="n">
        <f aca="false">Construction!AM14*AM30*(Construction!AM17+Inputs!$F$81)/100*Construction!AM11/Inputs!$F$247*1</f>
        <v>0.303938887276726</v>
      </c>
      <c r="AN35" s="13" t="n">
        <f aca="false">Construction!AN14*AN30*(Construction!AN17+Inputs!$F$81)/100*Construction!AN11/Inputs!$F$247*1</f>
        <v>0.27780087647508</v>
      </c>
      <c r="AO35" s="13" t="n">
        <f aca="false">Construction!AO14*AO30*(Construction!AO17+Inputs!$F$81)/100*Construction!AO11/Inputs!$F$247*1</f>
        <v>0.310309521228133</v>
      </c>
      <c r="AP35" s="13" t="n">
        <f aca="false">Construction!AP14*AP30*(Construction!AP17+Inputs!$F$81)/100*Construction!AP11/Inputs!$F$247*1</f>
        <v>0.302516230580727</v>
      </c>
      <c r="AQ35" s="13" t="n">
        <f aca="false">Construction!AQ14*AQ30*(Construction!AQ17+Inputs!$F$81)/100*Construction!AQ11/Inputs!$F$247*1</f>
        <v>0.335054695147112</v>
      </c>
      <c r="AR35" s="13" t="n">
        <f aca="false">Construction!AR14*AR30*(Construction!AR17+Inputs!$F$81)/100*Construction!AR11/Inputs!$F$247*1</f>
        <v>0.34099559157013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28.5367188040118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0.209744831468831</v>
      </c>
      <c r="L36" s="13" t="n">
        <f aca="false">Construction!L14*L31*(Construction!L17+Inputs!$F$82)/100*Construction!L11/Inputs!$F$247*(1/(1-Inputs!$F$93/100))</f>
        <v>0.221190832180396</v>
      </c>
      <c r="M36" s="13" t="n">
        <f aca="false">Construction!M14*M31*(Construction!M17+Inputs!$F$82)/100*Construction!M11/Inputs!$F$247*(1/(1-Inputs!$F$93/100))</f>
        <v>0.219550665881913</v>
      </c>
      <c r="N36" s="13" t="n">
        <f aca="false">Construction!N14*N31*(Construction!N17+Inputs!$F$82)/100*Construction!N11/Inputs!$F$247*(1/(1-Inputs!$F$93/100))</f>
        <v>0.234896154967908</v>
      </c>
      <c r="O36" s="13" t="n">
        <f aca="false">Construction!O14*O31*(Construction!O17+Inputs!$F$82)/100*Construction!O11/Inputs!$F$247*(1/(1-Inputs!$F$93/100))</f>
        <v>0.256506406265233</v>
      </c>
      <c r="P36" s="13" t="n">
        <f aca="false">Construction!P14*P31*(Construction!P17+Inputs!$F$82)/100*Construction!P11/Inputs!$F$247*(1/(1-Inputs!$F$93/100))</f>
        <v>0.24665626609374</v>
      </c>
      <c r="Q36" s="13" t="n">
        <f aca="false">Construction!Q14*Q31*(Construction!Q17+Inputs!$F$82)/100*Construction!Q11/Inputs!$F$247*(1/(1-Inputs!$F$93/100))</f>
        <v>0.294709299113925</v>
      </c>
      <c r="R36" s="13" t="n">
        <f aca="false">Construction!R14*R31*(Construction!R17+Inputs!$F$82)/100*Construction!R11/Inputs!$F$247*(1/(1-Inputs!$F$93/100))</f>
        <v>0.311766836744673</v>
      </c>
      <c r="S36" s="13" t="n">
        <f aca="false">Construction!S14*S31*(Construction!S17+Inputs!$F$82)/100*Construction!S11/Inputs!$F$247*(1/(1-Inputs!$F$93/100))</f>
        <v>0.355413527108703</v>
      </c>
      <c r="T36" s="13" t="n">
        <f aca="false">Construction!T14*T31*(Construction!T17+Inputs!$F$82)/100*Construction!T11/Inputs!$F$247*(1/(1-Inputs!$F$93/100))</f>
        <v>0.381850287022559</v>
      </c>
      <c r="U36" s="13" t="n">
        <f aca="false">Construction!U14*U31*(Construction!U17+Inputs!$F$82)/100*Construction!U11/Inputs!$F$247*(1/(1-Inputs!$F$93/100))</f>
        <v>0.448838302765772</v>
      </c>
      <c r="V36" s="13" t="n">
        <f aca="false">Construction!V14*V31*(Construction!V17+Inputs!$F$82)/100*Construction!V11/Inputs!$F$247*(1/(1-Inputs!$F$93/100))</f>
        <v>0.499926499571052</v>
      </c>
      <c r="W36" s="13" t="n">
        <f aca="false">Construction!W14*W31*(Construction!W17+Inputs!$F$82)/100*Construction!W11/Inputs!$F$247*(1/(1-Inputs!$F$93/100))</f>
        <v>0.537850516134835</v>
      </c>
      <c r="X36" s="13" t="n">
        <f aca="false">Construction!X14*X31*(Construction!X17+Inputs!$F$82)/100*Construction!X11/Inputs!$F$247*(1/(1-Inputs!$F$93/100))</f>
        <v>0.615593181876805</v>
      </c>
      <c r="Y36" s="13" t="n">
        <f aca="false">Construction!Y14*Y31*(Construction!Y17+Inputs!$F$82)/100*Construction!Y11/Inputs!$F$247*(1/(1-Inputs!$F$93/100))</f>
        <v>0.656794099781285</v>
      </c>
      <c r="Z36" s="13" t="n">
        <f aca="false">Construction!Z14*Z31*(Construction!Z17+Inputs!$F$82)/100*Construction!Z11/Inputs!$F$247*(1/(1-Inputs!$F$93/100))</f>
        <v>0.743965169517437</v>
      </c>
      <c r="AA36" s="13" t="n">
        <f aca="false">Construction!AA14*AA31*(Construction!AA17+Inputs!$F$82)/100*Construction!AA11/Inputs!$F$247*(1/(1-Inputs!$F$93/100))</f>
        <v>0.819822552577784</v>
      </c>
      <c r="AB36" s="13" t="n">
        <f aca="false">Construction!AB14*AB31*(Construction!AB17+Inputs!$F$82)/100*Construction!AB11/Inputs!$F$247*(1/(1-Inputs!$F$93/100))</f>
        <v>0.832338678813633</v>
      </c>
      <c r="AC36" s="13" t="n">
        <f aca="false">Construction!AC14*AC31*(Construction!AC17+Inputs!$F$82)/100*Construction!AC11/Inputs!$F$247*(1/(1-Inputs!$F$93/100))</f>
        <v>0.95643521510372</v>
      </c>
      <c r="AD36" s="13" t="n">
        <f aca="false">Construction!AD14*AD31*(Construction!AD17+Inputs!$F$82)/100*Construction!AD11/Inputs!$F$247*(1/(1-Inputs!$F$93/100))</f>
        <v>0.988590819376948</v>
      </c>
      <c r="AE36" s="13" t="n">
        <f aca="false">Construction!AE14*AE31*(Construction!AE17+Inputs!$F$82)/100*Construction!AE11/Inputs!$F$247*(1/(1-Inputs!$F$93/100))</f>
        <v>1.08378337141575</v>
      </c>
      <c r="AF36" s="13" t="n">
        <f aca="false">Construction!AF14*AF31*(Construction!AF17+Inputs!$F$82)/100*Construction!AF11/Inputs!$F$247*(1/(1-Inputs!$F$93/100))</f>
        <v>1.10565161800743</v>
      </c>
      <c r="AG36" s="13" t="n">
        <f aca="false">Construction!AG14*AG31*(Construction!AG17+Inputs!$F$82)/100*Construction!AG11/Inputs!$F$247*(1/(1-Inputs!$F$93/100))</f>
        <v>1.20343331749004</v>
      </c>
      <c r="AH36" s="13" t="n">
        <f aca="false">Construction!AH14*AH31*(Construction!AH17+Inputs!$F$82)/100*Construction!AH11/Inputs!$F$247*(1/(1-Inputs!$F$93/100))</f>
        <v>1.25302095821668</v>
      </c>
      <c r="AI36" s="13" t="n">
        <f aca="false">Construction!AI14*AI31*(Construction!AI17+Inputs!$F$82)/100*Construction!AI11/Inputs!$F$247*(1/(1-Inputs!$F$93/100))</f>
        <v>1.25525259783029</v>
      </c>
      <c r="AJ36" s="13" t="n">
        <f aca="false">Construction!AJ14*AJ31*(Construction!AJ17+Inputs!$F$82)/100*Construction!AJ11/Inputs!$F$247*(1/(1-Inputs!$F$93/100))</f>
        <v>1.33524518191574</v>
      </c>
      <c r="AK36" s="13" t="n">
        <f aca="false">Construction!AK14*AK31*(Construction!AK17+Inputs!$F$82)/100*Construction!AK11/Inputs!$F$247*(1/(1-Inputs!$F$93/100))</f>
        <v>1.32356082539282</v>
      </c>
      <c r="AL36" s="13" t="n">
        <f aca="false">Construction!AL14*AL31*(Construction!AL17+Inputs!$F$82)/100*Construction!AL11/Inputs!$F$247*(1/(1-Inputs!$F$93/100))</f>
        <v>1.39429399119832</v>
      </c>
      <c r="AM36" s="13" t="n">
        <f aca="false">Construction!AM14*AM31*(Construction!AM17+Inputs!$F$82)/100*Construction!AM11/Inputs!$F$247*(1/(1-Inputs!$F$93/100))</f>
        <v>1.42171174082772</v>
      </c>
      <c r="AN36" s="13" t="n">
        <f aca="false">Construction!AN14*AN31*(Construction!AN17+Inputs!$F$82)/100*Construction!AN11/Inputs!$F$247*(1/(1-Inputs!$F$93/100))</f>
        <v>1.29944796217294</v>
      </c>
      <c r="AO36" s="13" t="n">
        <f aca="false">Construction!AO14*AO31*(Construction!AO17+Inputs!$F$82)/100*Construction!AO11/Inputs!$F$247*(1/(1-Inputs!$F$93/100))</f>
        <v>1.45151116914827</v>
      </c>
      <c r="AP36" s="13" t="n">
        <f aca="false">Construction!AP14*AP31*(Construction!AP17+Inputs!$F$82)/100*Construction!AP11/Inputs!$F$247*(1/(1-Inputs!$F$93/100))</f>
        <v>1.41505708815727</v>
      </c>
      <c r="AQ36" s="13" t="n">
        <f aca="false">Construction!AQ14*AQ31*(Construction!AQ17+Inputs!$F$82)/100*Construction!AQ11/Inputs!$F$247*(1/(1-Inputs!$F$93/100))</f>
        <v>1.56725978099801</v>
      </c>
      <c r="AR36" s="13" t="n">
        <f aca="false">Construction!AR14*AR31*(Construction!AR17+Inputs!$F$82)/100*Construction!AR11/Inputs!$F$247*(1/(1-Inputs!$F$93/100))</f>
        <v>1.59504905887332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3.68740871632844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0.0291088986403832</v>
      </c>
      <c r="L38" s="13" t="n">
        <f aca="false">Construction!L14*(Inputs!$F$95/100*Inputs!$F$96/100)*L31*Construction!L11/Inputs!$F$248</f>
        <v>0.030697402501086</v>
      </c>
      <c r="M38" s="13" t="n">
        <f aca="false">Construction!M14*(Inputs!$F$95/100*Inputs!$F$96/100)*M31*Construction!M11/Inputs!$F$248</f>
        <v>0.0304697762268099</v>
      </c>
      <c r="N38" s="13" t="n">
        <f aca="false">Construction!N14*(Inputs!$F$95/100*Inputs!$F$96/100)*N31*Construction!N11/Inputs!$F$248</f>
        <v>0.0325994605830974</v>
      </c>
      <c r="O38" s="13" t="n">
        <f aca="false">Construction!O14*(Inputs!$F$95/100*Inputs!$F$96/100)*O31*Construction!O11/Inputs!$F$248</f>
        <v>0.0342035740807536</v>
      </c>
      <c r="P38" s="13" t="n">
        <f aca="false">Construction!P14*(Inputs!$F$95/100*Inputs!$F$96/100)*P31*Construction!P11/Inputs!$F$248</f>
        <v>0.0328901176101457</v>
      </c>
      <c r="Q38" s="13" t="n">
        <f aca="false">Construction!Q14*(Inputs!$F$95/100*Inputs!$F$96/100)*Q31*Construction!Q11/Inputs!$F$248</f>
        <v>0.0392976982185274</v>
      </c>
      <c r="R38" s="13" t="n">
        <f aca="false">Construction!R14*(Inputs!$F$95/100*Inputs!$F$96/100)*R31*Construction!R11/Inputs!$F$248</f>
        <v>0.0415722174419781</v>
      </c>
      <c r="S38" s="13" t="n">
        <f aca="false">Construction!S14*(Inputs!$F$95/100*Inputs!$F$96/100)*S31*Construction!S11/Inputs!$F$248</f>
        <v>0.0473922389727548</v>
      </c>
      <c r="T38" s="13" t="n">
        <f aca="false">Construction!T14*(Inputs!$F$95/100*Inputs!$F$96/100)*T31*Construction!T11/Inputs!$F$248</f>
        <v>0.0509174206215658</v>
      </c>
      <c r="U38" s="13" t="n">
        <f aca="false">Construction!U14*(Inputs!$F$95/100*Inputs!$F$96/100)*U31*Construction!U11/Inputs!$F$248</f>
        <v>0.0585746561525039</v>
      </c>
      <c r="V38" s="13" t="n">
        <f aca="false">Construction!V14*(Inputs!$F$95/100*Inputs!$F$96/100)*V31*Construction!V11/Inputs!$F$248</f>
        <v>0.0652418089843387</v>
      </c>
      <c r="W38" s="13" t="n">
        <f aca="false">Construction!W14*(Inputs!$F$95/100*Inputs!$F$96/100)*W31*Construction!W11/Inputs!$F$248</f>
        <v>0.0701909994087233</v>
      </c>
      <c r="X38" s="13" t="n">
        <f aca="false">Construction!X14*(Inputs!$F$95/100*Inputs!$F$96/100)*X31*Construction!X11/Inputs!$F$248</f>
        <v>0.080336635122419</v>
      </c>
      <c r="Y38" s="13" t="n">
        <f aca="false">Construction!Y14*(Inputs!$F$95/100*Inputs!$F$96/100)*Y31*Construction!Y11/Inputs!$F$248</f>
        <v>0.0857134703536178</v>
      </c>
      <c r="Z38" s="13" t="n">
        <f aca="false">Construction!Z14*(Inputs!$F$95/100*Inputs!$F$96/100)*Z31*Construction!Z11/Inputs!$F$248</f>
        <v>0.0970895392068716</v>
      </c>
      <c r="AA38" s="13" t="n">
        <f aca="false">Construction!AA14*(Inputs!$F$95/100*Inputs!$F$96/100)*AA31*Construction!AA11/Inputs!$F$248</f>
        <v>0.105787015076741</v>
      </c>
      <c r="AB38" s="13" t="n">
        <f aca="false">Construction!AB14*(Inputs!$F$95/100*Inputs!$F$96/100)*AB31*Construction!AB11/Inputs!$F$248</f>
        <v>0.107402051929107</v>
      </c>
      <c r="AC38" s="13" t="n">
        <f aca="false">Construction!AC14*(Inputs!$F$95/100*Inputs!$F$96/100)*AC31*Construction!AC11/Inputs!$F$248</f>
        <v>0.12341503195047</v>
      </c>
      <c r="AD38" s="13" t="n">
        <f aca="false">Construction!AD14*(Inputs!$F$95/100*Inputs!$F$96/100)*AD31*Construction!AD11/Inputs!$F$248</f>
        <v>0.127564277885896</v>
      </c>
      <c r="AE38" s="13" t="n">
        <f aca="false">Construction!AE14*(Inputs!$F$95/100*Inputs!$F$96/100)*AE31*Construction!AE11/Inputs!$F$248</f>
        <v>0.139847589568477</v>
      </c>
      <c r="AF38" s="13" t="n">
        <f aca="false">Construction!AF14*(Inputs!$F$95/100*Inputs!$F$96/100)*AF31*Construction!AF11/Inputs!$F$248</f>
        <v>0.142669391096896</v>
      </c>
      <c r="AG38" s="13" t="n">
        <f aca="false">Construction!AG14*(Inputs!$F$95/100*Inputs!$F$96/100)*AG31*Construction!AG11/Inputs!$F$248</f>
        <v>0.154419273240648</v>
      </c>
      <c r="AH38" s="13" t="n">
        <f aca="false">Construction!AH14*(Inputs!$F$95/100*Inputs!$F$96/100)*AH31*Construction!AH11/Inputs!$F$248</f>
        <v>0.160782141321031</v>
      </c>
      <c r="AI38" s="13" t="n">
        <f aca="false">Construction!AI14*(Inputs!$F$95/100*Inputs!$F$96/100)*AI31*Construction!AI11/Inputs!$F$248</f>
        <v>0.161068495506393</v>
      </c>
      <c r="AJ38" s="13" t="n">
        <f aca="false">Construction!AJ14*(Inputs!$F$95/100*Inputs!$F$96/100)*AJ31*Construction!AJ11/Inputs!$F$248</f>
        <v>0.171332792264339</v>
      </c>
      <c r="AK38" s="13" t="n">
        <f aca="false">Construction!AK14*(Inputs!$F$95/100*Inputs!$F$96/100)*AK31*Construction!AK11/Inputs!$F$248</f>
        <v>0.169833506997485</v>
      </c>
      <c r="AL38" s="13" t="n">
        <f aca="false">Construction!AL14*(Inputs!$F$95/100*Inputs!$F$96/100)*AL31*Construction!AL11/Inputs!$F$248</f>
        <v>0.178909675904356</v>
      </c>
      <c r="AM38" s="13" t="n">
        <f aca="false">Construction!AM14*(Inputs!$F$95/100*Inputs!$F$96/100)*AM31*Construction!AM11/Inputs!$F$248</f>
        <v>0.181666627991376</v>
      </c>
      <c r="AN38" s="13" t="n">
        <f aca="false">Construction!AN14*(Inputs!$F$95/100*Inputs!$F$96/100)*AN31*Construction!AN11/Inputs!$F$248</f>
        <v>0.166043736405233</v>
      </c>
      <c r="AO38" s="13" t="n">
        <f aca="false">Construction!AO14*(Inputs!$F$95/100*Inputs!$F$96/100)*AO31*Construction!AO11/Inputs!$F$248</f>
        <v>0.185474405266897</v>
      </c>
      <c r="AP38" s="13" t="n">
        <f aca="false">Construction!AP14*(Inputs!$F$95/100*Inputs!$F$96/100)*AP31*Construction!AP11/Inputs!$F$248</f>
        <v>0.180816295060743</v>
      </c>
      <c r="AQ38" s="13" t="n">
        <f aca="false">Construction!AQ14*(Inputs!$F$95/100*Inputs!$F$96/100)*AQ31*Construction!AQ11/Inputs!$F$248</f>
        <v>0.200264787455893</v>
      </c>
      <c r="AR38" s="13" t="n">
        <f aca="false">Construction!AR14*(Inputs!$F$95/100*Inputs!$F$96/100)*AR31*Construction!AR11/Inputs!$F$248</f>
        <v>0.203815707280881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9.30371396326007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0.456385344604533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0.469991443537797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0.452848368125863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0.465047916828092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0.460878760272855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0.411088431121123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0.447638923395211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0.423992669549053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0.426600881076862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0.39970410446115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0.397537321698755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0.380209118941139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0.349611285305413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0.340977048744296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0.309267748773895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0.29743556618398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0.274830470852591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0.235163553244022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0.22901453437906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0.200495789171206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0.186305645380535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0.161236982451317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0.148433243838219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0.131895889588536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0.113416957950906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0.104474316485018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0.0906363347791596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0.084781686167896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0.0776162549918166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0.0650167326631995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0.06771968619396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0.0620916196354864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0.029278878266203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0.00231520707845162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37.2458954370954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118.661175849722</v>
      </c>
      <c r="K45" s="13" t="n">
        <f aca="false">Construction!K14*(Construction!K32+Construction!K38)+K33+K34+K35+K36+K37+K38+K39+K40+K41+K42+K43+K44</f>
        <v>2.43880187959064</v>
      </c>
      <c r="L45" s="13" t="n">
        <f aca="false">Construction!L14*(Construction!L32+Construction!L38)+L33+L34+L35+L36+L37+L38+L39+L40+L41+L42+L43+L44</f>
        <v>3.10875718775573</v>
      </c>
      <c r="M45" s="13" t="n">
        <f aca="false">Construction!M14*(Construction!M32+Construction!M38)+M33+M34+M35+M36+M37+M38+M39+M40+M41+M42+M43+M44</f>
        <v>4.39478293630819</v>
      </c>
      <c r="N45" s="13" t="n">
        <f aca="false">Construction!N14*(Construction!N32+Construction!N38)+N33+N34+N35+N36+N37+N38+N39+N40+N41+N42+N43+N44</f>
        <v>6.32816111508403</v>
      </c>
      <c r="O45" s="13" t="n">
        <f aca="false">Construction!O14*(Construction!O32+Construction!O38)+O33+O34+O35+O36+O37+O38+O39+O40+O41+O42+O43+O44</f>
        <v>8.72027032784092</v>
      </c>
      <c r="P45" s="13" t="n">
        <f aca="false">Construction!P14*(Construction!P32+Construction!P38)+P33+P34+P35+P36+P37+P38+P39+P40+P41+P42+P43+P44</f>
        <v>11.3758377911744</v>
      </c>
      <c r="Q45" s="13" t="n">
        <f aca="false">Construction!Q14*(Construction!Q32+Construction!Q38)+Q33+Q34+Q35+Q36+Q37+Q38+Q39+Q40+Q41+Q42+Q43+Q44</f>
        <v>14.4395728868313</v>
      </c>
      <c r="R45" s="13" t="n">
        <f aca="false">Construction!R14*(Construction!R32+Construction!R38)+R33+R34+R35+R36+R37+R38+R39+R40+R41+R42+R43+R44</f>
        <v>17.4930541499764</v>
      </c>
      <c r="S45" s="13" t="n">
        <f aca="false">Construction!S14*(Construction!S32+Construction!S38)+S33+S34+S35+S36+S37+S38+S39+S40+S41+S42+S43+S44</f>
        <v>20.6022654821457</v>
      </c>
      <c r="T45" s="13" t="n">
        <f aca="false">Construction!T14*(Construction!T32+Construction!T38)+T33+T34+T35+T36+T37+T38+T39+T40+T41+T42+T43+T44</f>
        <v>23.5119057862407</v>
      </c>
      <c r="U45" s="13" t="n">
        <f aca="false">Construction!U14*(Construction!U32+Construction!U38)+U33+U34+U35+U36+U37+U38+U39+U40+U41+U42+U43+U44</f>
        <v>26.301640975146</v>
      </c>
      <c r="V45" s="13" t="n">
        <f aca="false">Construction!V14*(Construction!V32+Construction!V38)+V33+V34+V35+V36+V37+V38+V39+V40+V41+V42+V43+V44</f>
        <v>28.7543698736844</v>
      </c>
      <c r="W45" s="13" t="n">
        <f aca="false">Construction!W14*(Construction!W32+Construction!W38)+W33+W34+W35+W36+W37+W38+W39+W40+W41+W42+W43+W44</f>
        <v>30.7940922180088</v>
      </c>
      <c r="X45" s="13" t="n">
        <f aca="false">Construction!X14*(Construction!X32+Construction!X38)+X33+X34+X35+X36+X37+X38+X39+X40+X41+X42+X43+X44</f>
        <v>32.4825943090109</v>
      </c>
      <c r="Y45" s="13" t="n">
        <f aca="false">Construction!Y14*(Construction!Y32+Construction!Y38)+Y33+Y34+Y35+Y36+Y37+Y38+Y39+Y40+Y41+Y42+Y43+Y44</f>
        <v>33.6069164063254</v>
      </c>
      <c r="Z45" s="13" t="n">
        <f aca="false">Construction!Z14*(Construction!Z32+Construction!Z38)+Z33+Z34+Z35+Z36+Z37+Z38+Z39+Z40+Z41+Z42+Z43+Z44</f>
        <v>34.3111810227308</v>
      </c>
      <c r="AA45" s="13" t="n">
        <f aca="false">Construction!AA14*(Construction!AA32+Construction!AA38)+AA33+AA34+AA35+AA36+AA37+AA38+AA39+AA40+AA41+AA42+AA43+AA44</f>
        <v>35.5917107779642</v>
      </c>
      <c r="AB45" s="13" t="n">
        <f aca="false">Construction!AB14*(Construction!AB32+Construction!AB38)+AB33+AB34+AB35+AB36+AB37+AB38+AB39+AB40+AB41+AB42+AB43+AB44</f>
        <v>33.9500835398134</v>
      </c>
      <c r="AC45" s="13" t="n">
        <f aca="false">Construction!AC14*(Construction!AC32+Construction!AC38)+AC33+AC34+AC35+AC36+AC37+AC38+AC39+AC40+AC41+AC42+AC43+AC44</f>
        <v>33.1431287724995</v>
      </c>
      <c r="AD45" s="13" t="n">
        <f aca="false">Construction!AD14*(Construction!AD32+Construction!AD38)+AD33+AD34+AD35+AD36+AD37+AD38+AD39+AD40+AD41+AD42+AD43+AD44</f>
        <v>31.682628439559</v>
      </c>
      <c r="AE45" s="13" t="n">
        <f aca="false">Construction!AE14*(Construction!AE32+Construction!AE38)+AE33+AE34+AE35+AE36+AE37+AE38+AE39+AE40+AE41+AE42+AE43+AE44</f>
        <v>29.8927171997239</v>
      </c>
      <c r="AF45" s="13" t="n">
        <f aca="false">Construction!AF14*(Construction!AF32+Construction!AF38)+AF33+AF34+AF35+AF36+AF37+AF38+AF39+AF40+AF41+AF42+AF43+AF44</f>
        <v>27.5919695947418</v>
      </c>
      <c r="AG45" s="13" t="n">
        <f aca="false">Construction!AG14*(Construction!AG32+Construction!AG38)+AG33+AG34+AG35+AG36+AG37+AG38+AG39+AG40+AG41+AG42+AG43+AG44</f>
        <v>25.1012502703318</v>
      </c>
      <c r="AH45" s="13" t="n">
        <f aca="false">Construction!AH14*(Construction!AH32+Construction!AH38)+AH33+AH34+AH35+AH36+AH37+AH38+AH39+AH40+AH41+AH42+AH43+AH44</f>
        <v>22.309939505027</v>
      </c>
      <c r="AI45" s="13" t="n">
        <f aca="false">Construction!AI14*(Construction!AI32+Construction!AI38)+AI33+AI34+AI35+AI36+AI37+AI38+AI39+AI40+AI41+AI42+AI43+AI44</f>
        <v>19.3119402034984</v>
      </c>
      <c r="AJ45" s="13" t="n">
        <f aca="false">Construction!AJ14*(Construction!AJ32+Construction!AJ38)+AJ33+AJ34+AJ35+AJ36+AJ37+AJ38+AJ39+AJ40+AJ41+AJ42+AJ43+AJ44</f>
        <v>16.4182529143668</v>
      </c>
      <c r="AK45" s="13" t="n">
        <f aca="false">Construction!AK14*(Construction!AK32+Construction!AK38)+AK33+AK34+AK35+AK36+AK37+AK38+AK39+AK40+AK41+AK42+AK43+AK44</f>
        <v>13.4722383098062</v>
      </c>
      <c r="AL45" s="13" t="n">
        <f aca="false">Construction!AL14*(Construction!AL32+Construction!AL38)+AL33+AL34+AL35+AL36+AL37+AL38+AL39+AL40+AL41+AL42+AL43+AL44</f>
        <v>10.8760614624342</v>
      </c>
      <c r="AM45" s="13" t="n">
        <f aca="false">Construction!AM14*(Construction!AM32+Construction!AM38)+AM33+AM34+AM35+AM36+AM37+AM38+AM39+AM40+AM41+AM42+AM43+AM44</f>
        <v>8.5507319550832</v>
      </c>
      <c r="AN45" s="13" t="n">
        <f aca="false">Construction!AN14*(Construction!AN32+Construction!AN38)+AN33+AN34+AN35+AN36+AN37+AN38+AN39+AN40+AN41+AN42+AN43+AN44</f>
        <v>6.47079122582769</v>
      </c>
      <c r="AO45" s="13" t="n">
        <f aca="false">Construction!AO14*(Construction!AO32+Construction!AO38)+AO33+AO34+AO35+AO36+AO37+AO38+AO39+AO40+AO41+AO42+AO43+AO44</f>
        <v>5.40104116626479</v>
      </c>
      <c r="AP45" s="13" t="n">
        <f aca="false">Construction!AP14*(Construction!AP32+Construction!AP38)+AP33+AP34+AP35+AP36+AP37+AP38+AP39+AP40+AP41+AP42+AP43+AP44</f>
        <v>52.9464021925694</v>
      </c>
      <c r="AQ45" s="13" t="n">
        <f aca="false">Construction!AQ14*(Construction!AQ32+Construction!AQ38)+AQ33+AQ34+AQ35+AQ36+AQ37+AQ38+AQ39+AQ40+AQ41+AQ42+AQ43+AQ44</f>
        <v>40.8097145059829</v>
      </c>
      <c r="AR45" s="13" t="n">
        <f aca="false">Construction!AR14*(Construction!AR32+Construction!AR38)+AR33+AR34+AR35+AR36+AR37+AR38+AR39+AR40+AR41+AR42+AR43+AR44</f>
        <v>3.63127888986155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633.255975542774</v>
      </c>
      <c r="K46" s="13" t="n">
        <f aca="false">$F$25-K28-K29-K30-K31</f>
        <v>543.208107047649</v>
      </c>
      <c r="L46" s="13" t="n">
        <f aca="false">$F$25-L28-L29-L30-L31</f>
        <v>541.357384523062</v>
      </c>
      <c r="M46" s="13" t="n">
        <f aca="false">$F$25-M28-M29-M30-M31</f>
        <v>538.998256051414</v>
      </c>
      <c r="N46" s="13" t="n">
        <f aca="false">$F$25-N28-N29-N30-N31</f>
        <v>535.663207050935</v>
      </c>
      <c r="O46" s="13" t="n">
        <f aca="false">$F$25-O28-O29-O30-O31</f>
        <v>530.860984118063</v>
      </c>
      <c r="P46" s="13" t="n">
        <f aca="false">$F$25-P28-P29-P30-P31</f>
        <v>524.243472112975</v>
      </c>
      <c r="Q46" s="13" t="n">
        <f aca="false">$F$25-Q28-Q29-Q30-Q31</f>
        <v>515.610741667603</v>
      </c>
      <c r="R46" s="13" t="n">
        <f aca="false">$F$25-R28-R29-R30-R31</f>
        <v>504.653048461479</v>
      </c>
      <c r="S46" s="13" t="n">
        <f aca="false">$F$25-S28-S29-S30-S31</f>
        <v>491.37817377399</v>
      </c>
      <c r="T46" s="13" t="n">
        <f aca="false">$F$25-T28-T29-T30-T31</f>
        <v>475.743825980341</v>
      </c>
      <c r="U46" s="13" t="n">
        <f aca="false">$F$25-U28-U29-U30-U31</f>
        <v>457.901452641731</v>
      </c>
      <c r="V46" s="13" t="n">
        <f aca="false">$F$25-V28-V29-V30-V31</f>
        <v>437.942045609262</v>
      </c>
      <c r="W46" s="13" t="n">
        <f aca="false">$F$25-W28-W29-W30-W31</f>
        <v>416.121347318484</v>
      </c>
      <c r="X46" s="13" t="n">
        <f aca="false">$F$25-X28-X29-X30-X31</f>
        <v>392.752774180579</v>
      </c>
      <c r="Y46" s="13" t="n">
        <f aca="false">$F$25-Y28-Y29-Y30-Y31</f>
        <v>368.102855116717</v>
      </c>
      <c r="Z46" s="13" t="n">
        <f aca="false">$F$25-Z28-Z29-Z30-Z31</f>
        <v>342.599726840658</v>
      </c>
      <c r="AA46" s="13" t="n">
        <f aca="false">$F$25-AA28-AA29-AA30-AA31</f>
        <v>316.562156468355</v>
      </c>
      <c r="AB46" s="13" t="n">
        <f aca="false">$F$25-AB28-AB29-AB30-AB31</f>
        <v>289.552836286752</v>
      </c>
      <c r="AC46" s="13" t="n">
        <f aca="false">$F$25-AC28-AC29-AC30-AC31</f>
        <v>263.789290324058</v>
      </c>
      <c r="AD46" s="13" t="n">
        <f aca="false">$F$25-AD28-AD29-AD30-AD31</f>
        <v>238.638114466819</v>
      </c>
      <c r="AE46" s="13" t="n">
        <f aca="false">$F$25-AE28-AE29-AE30-AE31</f>
        <v>214.595261875181</v>
      </c>
      <c r="AF46" s="13" t="n">
        <f aca="false">$F$25-AF28-AF29-AF30-AF31</f>
        <v>191.910711110475</v>
      </c>
      <c r="AG46" s="13" t="n">
        <f aca="false">$F$25-AG28-AG29-AG30-AG31</f>
        <v>170.972118248936</v>
      </c>
      <c r="AH46" s="13" t="n">
        <f aca="false">$F$25-AH28-AH29-AH30-AH31</f>
        <v>151.923646267935</v>
      </c>
      <c r="AI46" s="13" t="n">
        <f aca="false">$F$25-AI28-AI29-AI30-AI31</f>
        <v>134.993403631311</v>
      </c>
      <c r="AJ46" s="13" t="n">
        <f aca="false">$F$25-AJ28-AJ29-AJ30-AJ31</f>
        <v>120.338239131401</v>
      </c>
      <c r="AK46" s="13" t="n">
        <f aca="false">$F$25-AK28-AK29-AK30-AK31</f>
        <v>107.87899398432</v>
      </c>
      <c r="AL46" s="13" t="n">
        <f aca="false">$F$25-AL28-AL29-AL30-AL31</f>
        <v>97.655377582669</v>
      </c>
      <c r="AM46" s="13" t="n">
        <f aca="false">$F$25-AM28-AM29-AM30-AM31</f>
        <v>89.4019101338508</v>
      </c>
      <c r="AN46" s="13" t="n">
        <f aca="false">$F$25-AN28-AN29-AN30-AN31</f>
        <v>82.9130549449934</v>
      </c>
      <c r="AO46" s="13" t="n">
        <f aca="false">$F$25-AO28-AO29-AO30-AO31</f>
        <v>78.0025949466812</v>
      </c>
      <c r="AP46" s="13" t="n">
        <f aca="false">$F$25-AP28-AP29-AP30-AP31</f>
        <v>73.9039313257129</v>
      </c>
      <c r="AQ46" s="13" t="n">
        <f aca="false">$F$25-AQ28-AQ29-AQ30-AQ31</f>
        <v>33.7247351582606</v>
      </c>
      <c r="AR46" s="13" t="n">
        <f aca="false">$F$25-AR28-AR29-AR30-AR31</f>
        <v>2.75565214654034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633.255975542774</v>
      </c>
      <c r="J47" s="13" t="n">
        <f aca="false">MIN($F$26*J45/(1-Inputs!$F$94/100*Inputs!$F$75*$F$26),J46)</f>
        <v>90.0478684951254</v>
      </c>
      <c r="K47" s="13" t="n">
        <f aca="false">MIN($F$26*K45/(1-Inputs!$F$94/100*Inputs!$F$75*$F$26),K46)</f>
        <v>1.85072252458686</v>
      </c>
      <c r="L47" s="13" t="n">
        <f aca="false">MIN($F$26*L45/(1-Inputs!$F$94/100*Inputs!$F$75*$F$26),L46)</f>
        <v>2.35912847164796</v>
      </c>
      <c r="M47" s="13" t="n">
        <f aca="false">MIN($F$26*M45/(1-Inputs!$F$94/100*Inputs!$F$75*$F$26),M46)</f>
        <v>3.3350490004792</v>
      </c>
      <c r="N47" s="13" t="n">
        <f aca="false">MIN($F$26*N45/(1-Inputs!$F$94/100*Inputs!$F$75*$F$26),N46)</f>
        <v>4.80222293287169</v>
      </c>
      <c r="O47" s="13" t="n">
        <f aca="false">MIN($F$26*O45/(1-Inputs!$F$94/100*Inputs!$F$75*$F$26),O46)</f>
        <v>6.61751200508777</v>
      </c>
      <c r="P47" s="13" t="n">
        <f aca="false">MIN($F$26*P45/(1-Inputs!$F$94/100*Inputs!$F$75*$F$26),P46)</f>
        <v>8.63273044537214</v>
      </c>
      <c r="Q47" s="13" t="n">
        <f aca="false">MIN($F$26*Q45/(1-Inputs!$F$94/100*Inputs!$F$75*$F$26),Q46)</f>
        <v>10.9576932061239</v>
      </c>
      <c r="R47" s="13" t="n">
        <f aca="false">MIN($F$26*R45/(1-Inputs!$F$94/100*Inputs!$F$75*$F$26),R46)</f>
        <v>13.2748746874893</v>
      </c>
      <c r="S47" s="13" t="n">
        <f aca="false">MIN($F$26*S45/(1-Inputs!$F$94/100*Inputs!$F$75*$F$26),S46)</f>
        <v>15.6343477936492</v>
      </c>
      <c r="T47" s="13" t="n">
        <f aca="false">MIN($F$26*T45/(1-Inputs!$F$94/100*Inputs!$F$75*$F$26),T46)</f>
        <v>17.84237333861</v>
      </c>
      <c r="U47" s="13" t="n">
        <f aca="false">MIN($F$26*U45/(1-Inputs!$F$94/100*Inputs!$F$75*$F$26),U46)</f>
        <v>19.9594070324688</v>
      </c>
      <c r="V47" s="13" t="n">
        <f aca="false">MIN($F$26*V45/(1-Inputs!$F$94/100*Inputs!$F$75*$F$26),V46)</f>
        <v>21.820698290778</v>
      </c>
      <c r="W47" s="13" t="n">
        <f aca="false">MIN($F$26*W45/(1-Inputs!$F$94/100*Inputs!$F$75*$F$26),W46)</f>
        <v>23.368573137905</v>
      </c>
      <c r="X47" s="13" t="n">
        <f aca="false">MIN($F$26*X45/(1-Inputs!$F$94/100*Inputs!$F$75*$F$26),X46)</f>
        <v>24.6499190638619</v>
      </c>
      <c r="Y47" s="13" t="n">
        <f aca="false">MIN($F$26*Y45/(1-Inputs!$F$94/100*Inputs!$F$75*$F$26),Y46)</f>
        <v>25.5031282760592</v>
      </c>
      <c r="Z47" s="13" t="n">
        <f aca="false">MIN($F$26*Z45/(1-Inputs!$F$94/100*Inputs!$F$75*$F$26),Z46)</f>
        <v>26.0375703723027</v>
      </c>
      <c r="AA47" s="13" t="n">
        <f aca="false">MIN($F$26*AA45/(1-Inputs!$F$94/100*Inputs!$F$75*$F$26),AA46)</f>
        <v>27.0093201816033</v>
      </c>
      <c r="AB47" s="13" t="n">
        <f aca="false">MIN($F$26*AB45/(1-Inputs!$F$94/100*Inputs!$F$75*$F$26),AB46)</f>
        <v>25.7635459626942</v>
      </c>
      <c r="AC47" s="13" t="n">
        <f aca="false">MIN($F$26*AC45/(1-Inputs!$F$94/100*Inputs!$F$75*$F$26),AC46)</f>
        <v>25.1511758572385</v>
      </c>
      <c r="AD47" s="13" t="n">
        <f aca="false">MIN($F$26*AD45/(1-Inputs!$F$94/100*Inputs!$F$75*$F$26),AD46)</f>
        <v>24.0428525916383</v>
      </c>
      <c r="AE47" s="13" t="n">
        <f aca="false">MIN($F$26*AE45/(1-Inputs!$F$94/100*Inputs!$F$75*$F$26),AE46)</f>
        <v>22.684550764706</v>
      </c>
      <c r="AF47" s="13" t="n">
        <f aca="false">MIN($F$26*AF45/(1-Inputs!$F$94/100*Inputs!$F$75*$F$26),AF46)</f>
        <v>20.938592861539</v>
      </c>
      <c r="AG47" s="13" t="n">
        <f aca="false">MIN($F$26*AG45/(1-Inputs!$F$94/100*Inputs!$F$75*$F$26),AG46)</f>
        <v>19.0484719810011</v>
      </c>
      <c r="AH47" s="13" t="n">
        <f aca="false">MIN($F$26*AH45/(1-Inputs!$F$94/100*Inputs!$F$75*$F$26),AH46)</f>
        <v>16.9302426366239</v>
      </c>
      <c r="AI47" s="13" t="n">
        <f aca="false">MIN($F$26*AI45/(1-Inputs!$F$94/100*Inputs!$F$75*$F$26),AI46)</f>
        <v>14.6551644999094</v>
      </c>
      <c r="AJ47" s="13" t="n">
        <f aca="false">MIN($F$26*AJ45/(1-Inputs!$F$94/100*Inputs!$F$75*$F$26),AJ46)</f>
        <v>12.4592451470814</v>
      </c>
      <c r="AK47" s="13" t="n">
        <f aca="false">MIN($F$26*AK45/(1-Inputs!$F$94/100*Inputs!$F$75*$F$26),AK46)</f>
        <v>10.2236164016511</v>
      </c>
      <c r="AL47" s="13" t="n">
        <f aca="false">MIN($F$26*AL45/(1-Inputs!$F$94/100*Inputs!$F$75*$F$26),AL46)</f>
        <v>8.25346744881826</v>
      </c>
      <c r="AM47" s="13" t="n">
        <f aca="false">MIN($F$26*AM45/(1-Inputs!$F$94/100*Inputs!$F$75*$F$26),AM46)</f>
        <v>6.48885518885751</v>
      </c>
      <c r="AN47" s="13" t="n">
        <f aca="false">MIN($F$26*AN45/(1-Inputs!$F$94/100*Inputs!$F$75*$F$26),AN46)</f>
        <v>4.91045999831217</v>
      </c>
      <c r="AO47" s="13" t="n">
        <f aca="false">MIN($F$26*AO45/(1-Inputs!$F$94/100*Inputs!$F$75*$F$26),AO46)</f>
        <v>4.09866362096826</v>
      </c>
      <c r="AP47" s="13" t="n">
        <f aca="false">MIN($F$26*AP45/(1-Inputs!$F$94/100*Inputs!$F$75*$F$26),AP46)</f>
        <v>40.1791961674523</v>
      </c>
      <c r="AQ47" s="13" t="n">
        <f aca="false">MIN($F$26*AQ45/(1-Inputs!$F$94/100*Inputs!$F$75*$F$26),AQ46)</f>
        <v>30.9690830117203</v>
      </c>
      <c r="AR47" s="13" t="n">
        <f aca="false">MIN($F$26*AR45/(1-Inputs!$F$94/100*Inputs!$F$75*$F$26),AR46)</f>
        <v>2.75565214654034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20.6124820039173</v>
      </c>
      <c r="J48" s="13" t="n">
        <f aca="false">Inputs!$F$94/100*Inputs!$F$75*J47</f>
        <v>2.93105811951633</v>
      </c>
      <c r="K48" s="13" t="n">
        <f aca="false">Inputs!$F$94/100*Inputs!$F$75*K47</f>
        <v>0.0602410181753024</v>
      </c>
      <c r="L48" s="13" t="n">
        <f aca="false">Inputs!$F$94/100*Inputs!$F$75*L47</f>
        <v>0.0767896317521412</v>
      </c>
      <c r="M48" s="13" t="n">
        <f aca="false">Inputs!$F$94/100*Inputs!$F$75*M47</f>
        <v>0.108555844965598</v>
      </c>
      <c r="N48" s="13" t="n">
        <f aca="false">Inputs!$F$94/100*Inputs!$F$75*N47</f>
        <v>0.156312356464973</v>
      </c>
      <c r="O48" s="13" t="n">
        <f aca="false">Inputs!$F$94/100*Inputs!$F$75*O47</f>
        <v>0.215400015765607</v>
      </c>
      <c r="P48" s="13" t="n">
        <f aca="false">Inputs!$F$94/100*Inputs!$F$75*P47</f>
        <v>0.280995375996863</v>
      </c>
      <c r="Q48" s="13" t="n">
        <f aca="false">Inputs!$F$94/100*Inputs!$F$75*Q47</f>
        <v>0.356672913859333</v>
      </c>
      <c r="R48" s="13" t="n">
        <f aca="false">Inputs!$F$94/100*Inputs!$F$75*R47</f>
        <v>0.432097171077777</v>
      </c>
      <c r="S48" s="13" t="n">
        <f aca="false">Inputs!$F$94/100*Inputs!$F$75*S47</f>
        <v>0.508898020683282</v>
      </c>
      <c r="T48" s="13" t="n">
        <f aca="false">Inputs!$F$94/100*Inputs!$F$75*T47</f>
        <v>0.580769252171754</v>
      </c>
      <c r="U48" s="13" t="n">
        <f aca="false">Inputs!$F$94/100*Inputs!$F$75*U47</f>
        <v>0.649678698906859</v>
      </c>
      <c r="V48" s="13" t="n">
        <f aca="false">Inputs!$F$94/100*Inputs!$F$75*V47</f>
        <v>0.710263729364825</v>
      </c>
      <c r="W48" s="13" t="n">
        <f aca="false">Inputs!$F$94/100*Inputs!$F$75*W47</f>
        <v>0.760647055638807</v>
      </c>
      <c r="X48" s="13" t="n">
        <f aca="false">Inputs!$F$94/100*Inputs!$F$75*X47</f>
        <v>0.802354865528705</v>
      </c>
      <c r="Y48" s="13" t="n">
        <f aca="false">Inputs!$F$94/100*Inputs!$F$75*Y47</f>
        <v>0.830126825385727</v>
      </c>
      <c r="Z48" s="13" t="n">
        <f aca="false">Inputs!$F$94/100*Inputs!$F$75*Z47</f>
        <v>0.847522915618453</v>
      </c>
      <c r="AA48" s="13" t="n">
        <f aca="false">Inputs!$F$94/100*Inputs!$F$75*AA47</f>
        <v>0.879153371911187</v>
      </c>
      <c r="AB48" s="13" t="n">
        <f aca="false">Inputs!$F$94/100*Inputs!$F$75*AB47</f>
        <v>0.838603421085696</v>
      </c>
      <c r="AC48" s="13" t="n">
        <f aca="false">Inputs!$F$94/100*Inputs!$F$75*AC47</f>
        <v>0.818670774153112</v>
      </c>
      <c r="AD48" s="13" t="n">
        <f aca="false">Inputs!$F$94/100*Inputs!$F$75*AD47</f>
        <v>0.782594851857827</v>
      </c>
      <c r="AE48" s="13" t="n">
        <f aca="false">Inputs!$F$94/100*Inputs!$F$75*AE47</f>
        <v>0.73838212739118</v>
      </c>
      <c r="AF48" s="13" t="n">
        <f aca="false">Inputs!$F$94/100*Inputs!$F$75*AF47</f>
        <v>0.681551197643096</v>
      </c>
      <c r="AG48" s="13" t="n">
        <f aca="false">Inputs!$F$94/100*Inputs!$F$75*AG47</f>
        <v>0.620027762981586</v>
      </c>
      <c r="AH48" s="13" t="n">
        <f aca="false">Inputs!$F$94/100*Inputs!$F$75*AH47</f>
        <v>0.551079397822106</v>
      </c>
      <c r="AI48" s="13" t="n">
        <f aca="false">Inputs!$F$94/100*Inputs!$F$75*AI47</f>
        <v>0.477025604472051</v>
      </c>
      <c r="AJ48" s="13" t="n">
        <f aca="false">Inputs!$F$94/100*Inputs!$F$75*AJ47</f>
        <v>0.405548429537498</v>
      </c>
      <c r="AK48" s="13" t="n">
        <f aca="false">Inputs!$F$94/100*Inputs!$F$75*AK47</f>
        <v>0.332778713873743</v>
      </c>
      <c r="AL48" s="13" t="n">
        <f aca="false">Inputs!$F$94/100*Inputs!$F$75*AL47</f>
        <v>0.268650365459034</v>
      </c>
      <c r="AM48" s="13" t="n">
        <f aca="false">Inputs!$F$94/100*Inputs!$F$75*AM47</f>
        <v>0.211212236397312</v>
      </c>
      <c r="AN48" s="13" t="n">
        <f aca="false">Inputs!$F$94/100*Inputs!$F$75*AN47</f>
        <v>0.159835472945061</v>
      </c>
      <c r="AO48" s="13" t="n">
        <f aca="false">Inputs!$F$94/100*Inputs!$F$75*AO47</f>
        <v>0.133411500862517</v>
      </c>
      <c r="AP48" s="13" t="n">
        <f aca="false">Inputs!$F$94/100*Inputs!$F$75*AP47</f>
        <v>1.30783283525057</v>
      </c>
      <c r="AQ48" s="13" t="n">
        <f aca="false">Inputs!$F$94/100*Inputs!$F$75*AQ47</f>
        <v>1.0080436520315</v>
      </c>
      <c r="AR48" s="13" t="n">
        <f aca="false">Inputs!$F$94/100*Inputs!$F$75*AR47</f>
        <v>0.0896964773698881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855.089743126849</v>
      </c>
      <c r="J49" s="13" t="n">
        <f aca="false">J45+J48</f>
        <v>121.592233969238</v>
      </c>
      <c r="K49" s="13" t="n">
        <f aca="false">K45+K48</f>
        <v>2.49904289776594</v>
      </c>
      <c r="L49" s="13" t="n">
        <f aca="false">L45+L48</f>
        <v>3.18554681950787</v>
      </c>
      <c r="M49" s="13" t="n">
        <f aca="false">M45+M48</f>
        <v>4.50333878127379</v>
      </c>
      <c r="N49" s="13" t="n">
        <f aca="false">N45+N48</f>
        <v>6.484473471549</v>
      </c>
      <c r="O49" s="13" t="n">
        <f aca="false">O45+O48</f>
        <v>8.93567034360652</v>
      </c>
      <c r="P49" s="13" t="n">
        <f aca="false">P45+P48</f>
        <v>11.6568331671712</v>
      </c>
      <c r="Q49" s="13" t="n">
        <f aca="false">Q45+Q48</f>
        <v>14.7962458006907</v>
      </c>
      <c r="R49" s="13" t="n">
        <f aca="false">R45+R48</f>
        <v>17.9251513210542</v>
      </c>
      <c r="S49" s="13" t="n">
        <f aca="false">S45+S48</f>
        <v>21.1111635028289</v>
      </c>
      <c r="T49" s="13" t="n">
        <f aca="false">T45+T48</f>
        <v>24.0926750384124</v>
      </c>
      <c r="U49" s="13" t="n">
        <f aca="false">U45+U48</f>
        <v>26.9513196740528</v>
      </c>
      <c r="V49" s="13" t="n">
        <f aca="false">V45+V48</f>
        <v>29.4646336030492</v>
      </c>
      <c r="W49" s="13" t="n">
        <f aca="false">W45+W48</f>
        <v>31.5547392736476</v>
      </c>
      <c r="X49" s="13" t="n">
        <f aca="false">X45+X48</f>
        <v>33.2849491745396</v>
      </c>
      <c r="Y49" s="13" t="n">
        <f aca="false">Y45+Y48</f>
        <v>34.4370432317112</v>
      </c>
      <c r="Z49" s="13" t="n">
        <f aca="false">Z45+Z48</f>
        <v>35.1587039383493</v>
      </c>
      <c r="AA49" s="13" t="n">
        <f aca="false">AA45+AA48</f>
        <v>36.4708641498754</v>
      </c>
      <c r="AB49" s="13" t="n">
        <f aca="false">AB45+AB48</f>
        <v>34.7886869608991</v>
      </c>
      <c r="AC49" s="13" t="n">
        <f aca="false">AC45+AC48</f>
        <v>33.9617995466526</v>
      </c>
      <c r="AD49" s="13" t="n">
        <f aca="false">AD45+AD48</f>
        <v>32.4652232914168</v>
      </c>
      <c r="AE49" s="13" t="n">
        <f aca="false">AE45+AE48</f>
        <v>30.6310993271151</v>
      </c>
      <c r="AF49" s="13" t="n">
        <f aca="false">AF45+AF48</f>
        <v>28.2735207923849</v>
      </c>
      <c r="AG49" s="13" t="n">
        <f aca="false">AG45+AG48</f>
        <v>25.7212780333133</v>
      </c>
      <c r="AH49" s="13" t="n">
        <f aca="false">AH45+AH48</f>
        <v>22.8610189028491</v>
      </c>
      <c r="AI49" s="13" t="n">
        <f aca="false">AI45+AI48</f>
        <v>19.7889658079704</v>
      </c>
      <c r="AJ49" s="13" t="n">
        <f aca="false">AJ45+AJ48</f>
        <v>16.8238013439043</v>
      </c>
      <c r="AK49" s="13" t="n">
        <f aca="false">AK45+AK48</f>
        <v>13.8050170236799</v>
      </c>
      <c r="AL49" s="13" t="n">
        <f aca="false">AL45+AL48</f>
        <v>11.1447118278932</v>
      </c>
      <c r="AM49" s="13" t="n">
        <f aca="false">AM45+AM48</f>
        <v>8.76194419148052</v>
      </c>
      <c r="AN49" s="13" t="n">
        <f aca="false">AN45+AN48</f>
        <v>6.63062669877275</v>
      </c>
      <c r="AO49" s="13" t="n">
        <f aca="false">AO45+AO48</f>
        <v>5.53445266712731</v>
      </c>
      <c r="AP49" s="13" t="n">
        <f aca="false">AP45+AP48</f>
        <v>54.25423502782</v>
      </c>
      <c r="AQ49" s="13" t="n">
        <f aca="false">AQ45+AQ48</f>
        <v>41.8177581580144</v>
      </c>
      <c r="AR49" s="13" t="n">
        <f aca="false">AR45+AR48</f>
        <v>3.72097536723144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855.089743126826</v>
      </c>
      <c r="J50" s="13" t="n">
        <f aca="false">J47/$F$26</f>
        <v>121.592233969238</v>
      </c>
      <c r="K50" s="13" t="n">
        <f aca="false">K47/$F$26</f>
        <v>2.49904289776594</v>
      </c>
      <c r="L50" s="13" t="n">
        <f aca="false">L47/$F$26</f>
        <v>3.18554681950787</v>
      </c>
      <c r="M50" s="13" t="n">
        <f aca="false">M47/$F$26</f>
        <v>4.50333878127379</v>
      </c>
      <c r="N50" s="13" t="n">
        <f aca="false">N47/$F$26</f>
        <v>6.484473471549</v>
      </c>
      <c r="O50" s="13" t="n">
        <f aca="false">O47/$F$26</f>
        <v>8.93567034360652</v>
      </c>
      <c r="P50" s="13" t="n">
        <f aca="false">P47/$F$26</f>
        <v>11.6568331671712</v>
      </c>
      <c r="Q50" s="13" t="n">
        <f aca="false">Q47/$F$26</f>
        <v>14.7962458006907</v>
      </c>
      <c r="R50" s="13" t="n">
        <f aca="false">R47/$F$26</f>
        <v>17.9251513210542</v>
      </c>
      <c r="S50" s="13" t="n">
        <f aca="false">S47/$F$26</f>
        <v>21.1111635028289</v>
      </c>
      <c r="T50" s="13" t="n">
        <f aca="false">T47/$F$26</f>
        <v>24.0926750384124</v>
      </c>
      <c r="U50" s="13" t="n">
        <f aca="false">U47/$F$26</f>
        <v>26.9513196740528</v>
      </c>
      <c r="V50" s="13" t="n">
        <f aca="false">V47/$F$26</f>
        <v>29.4646336030492</v>
      </c>
      <c r="W50" s="13" t="n">
        <f aca="false">W47/$F$26</f>
        <v>31.5547392736476</v>
      </c>
      <c r="X50" s="13" t="n">
        <f aca="false">X47/$F$26</f>
        <v>33.2849491745396</v>
      </c>
      <c r="Y50" s="13" t="n">
        <f aca="false">Y47/$F$26</f>
        <v>34.4370432317112</v>
      </c>
      <c r="Z50" s="13" t="n">
        <f aca="false">Z47/$F$26</f>
        <v>35.1587039383493</v>
      </c>
      <c r="AA50" s="13" t="n">
        <f aca="false">AA47/$F$26</f>
        <v>36.4708641498754</v>
      </c>
      <c r="AB50" s="13" t="n">
        <f aca="false">AB47/$F$26</f>
        <v>34.7886869608991</v>
      </c>
      <c r="AC50" s="13" t="n">
        <f aca="false">AC47/$F$26</f>
        <v>33.9617995466526</v>
      </c>
      <c r="AD50" s="13" t="n">
        <f aca="false">AD47/$F$26</f>
        <v>32.4652232914168</v>
      </c>
      <c r="AE50" s="13" t="n">
        <f aca="false">AE47/$F$26</f>
        <v>30.6310993271151</v>
      </c>
      <c r="AF50" s="13" t="n">
        <f aca="false">AF47/$F$26</f>
        <v>28.2735207923849</v>
      </c>
      <c r="AG50" s="13" t="n">
        <f aca="false">AG47/$F$26</f>
        <v>25.7212780333133</v>
      </c>
      <c r="AH50" s="13" t="n">
        <f aca="false">AH47/$F$26</f>
        <v>22.8610189028491</v>
      </c>
      <c r="AI50" s="13" t="n">
        <f aca="false">AI47/$F$26</f>
        <v>19.7889658079704</v>
      </c>
      <c r="AJ50" s="13" t="n">
        <f aca="false">AJ47/$F$26</f>
        <v>16.8238013439043</v>
      </c>
      <c r="AK50" s="13" t="n">
        <f aca="false">AK47/$F$26</f>
        <v>13.8050170236799</v>
      </c>
      <c r="AL50" s="13" t="n">
        <f aca="false">AL47/$F$26</f>
        <v>11.1447118278932</v>
      </c>
      <c r="AM50" s="13" t="n">
        <f aca="false">AM47/$F$26</f>
        <v>8.76194419148052</v>
      </c>
      <c r="AN50" s="13" t="n">
        <f aca="false">AN47/$F$26</f>
        <v>6.63062669877275</v>
      </c>
      <c r="AO50" s="13" t="n">
        <f aca="false">AO47/$F$26</f>
        <v>5.53445266712731</v>
      </c>
      <c r="AP50" s="13" t="n">
        <f aca="false">AP47/$F$26</f>
        <v>54.25423502782</v>
      </c>
      <c r="AQ50" s="13" t="n">
        <f aca="false">AQ47/$F$26</f>
        <v>41.8177581580144</v>
      </c>
      <c r="AR50" s="13" t="n">
        <f aca="false">AR47/$F$26</f>
        <v>3.72097536720821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2.32298624780469E-011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1.74223968585352E-011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1.74223968585352E-011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5.80746561951173E-012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5.80746561951173E-012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189.976792662832</v>
      </c>
      <c r="J57" s="13" t="n">
        <f aca="false">Inputs!$F$75*J47</f>
        <v>27.0143605485376</v>
      </c>
      <c r="K57" s="13" t="n">
        <f aca="false">Inputs!$F$75*K47</f>
        <v>0.555216757376059</v>
      </c>
      <c r="L57" s="13" t="n">
        <f aca="false">Inputs!$F$75*L47</f>
        <v>0.707738541494389</v>
      </c>
      <c r="M57" s="13" t="n">
        <f aca="false">Inputs!$F$75*M47</f>
        <v>1.00051470014376</v>
      </c>
      <c r="N57" s="13" t="n">
        <f aca="false">Inputs!$F$75*N47</f>
        <v>1.44066687986151</v>
      </c>
      <c r="O57" s="13" t="n">
        <f aca="false">Inputs!$F$75*O47</f>
        <v>1.98525360152633</v>
      </c>
      <c r="P57" s="13" t="n">
        <f aca="false">Inputs!$F$75*P47</f>
        <v>2.58981913361164</v>
      </c>
      <c r="Q57" s="13" t="n">
        <f aca="false">Inputs!$F$75*Q47</f>
        <v>3.28730796183717</v>
      </c>
      <c r="R57" s="13" t="n">
        <f aca="false">Inputs!$F$75*R47</f>
        <v>3.98246240624679</v>
      </c>
      <c r="S57" s="13" t="n">
        <f aca="false">Inputs!$F$75*S47</f>
        <v>4.69030433809476</v>
      </c>
      <c r="T57" s="13" t="n">
        <f aca="false">Inputs!$F$75*T47</f>
        <v>5.35271200158299</v>
      </c>
      <c r="U57" s="13" t="n">
        <f aca="false">Inputs!$F$75*U47</f>
        <v>5.98782210974063</v>
      </c>
      <c r="V57" s="13" t="n">
        <f aca="false">Inputs!$F$75*V47</f>
        <v>6.54620948723341</v>
      </c>
      <c r="W57" s="13" t="n">
        <f aca="false">Inputs!$F$75*W47</f>
        <v>7.0105719413715</v>
      </c>
      <c r="X57" s="13" t="n">
        <f aca="false">Inputs!$F$75*X47</f>
        <v>7.39497571915857</v>
      </c>
      <c r="Y57" s="13" t="n">
        <f aca="false">Inputs!$F$75*Y47</f>
        <v>7.65093848281776</v>
      </c>
      <c r="Z57" s="13" t="n">
        <f aca="false">Inputs!$F$75*Z47</f>
        <v>7.81127111169081</v>
      </c>
      <c r="AA57" s="13" t="n">
        <f aca="false">Inputs!$F$75*AA47</f>
        <v>8.10279605448099</v>
      </c>
      <c r="AB57" s="13" t="n">
        <f aca="false">Inputs!$F$75*AB47</f>
        <v>7.72906378880826</v>
      </c>
      <c r="AC57" s="13" t="n">
        <f aca="false">Inputs!$F$75*AC47</f>
        <v>7.54535275717154</v>
      </c>
      <c r="AD57" s="13" t="n">
        <f aca="false">Inputs!$F$75*AD47</f>
        <v>7.21285577749149</v>
      </c>
      <c r="AE57" s="13" t="n">
        <f aca="false">Inputs!$F$75*AE47</f>
        <v>6.8053652294118</v>
      </c>
      <c r="AF57" s="13" t="n">
        <f aca="false">Inputs!$F$75*AF47</f>
        <v>6.28157785846171</v>
      </c>
      <c r="AG57" s="13" t="n">
        <f aca="false">Inputs!$F$75*AG47</f>
        <v>5.71454159430033</v>
      </c>
      <c r="AH57" s="13" t="n">
        <f aca="false">Inputs!$F$75*AH47</f>
        <v>5.07907279098716</v>
      </c>
      <c r="AI57" s="13" t="n">
        <f aca="false">Inputs!$F$75*AI47</f>
        <v>4.39654934997282</v>
      </c>
      <c r="AJ57" s="13" t="n">
        <f aca="false">Inputs!$F$75*AJ47</f>
        <v>3.73777354412441</v>
      </c>
      <c r="AK57" s="13" t="n">
        <f aca="false">Inputs!$F$75*AK47</f>
        <v>3.06708492049533</v>
      </c>
      <c r="AL57" s="13" t="n">
        <f aca="false">Inputs!$F$75*AL47</f>
        <v>2.47604023464548</v>
      </c>
      <c r="AM57" s="13" t="n">
        <f aca="false">Inputs!$F$75*AM47</f>
        <v>1.94665655665725</v>
      </c>
      <c r="AN57" s="13" t="n">
        <f aca="false">Inputs!$F$75*AN47</f>
        <v>1.47313799949365</v>
      </c>
      <c r="AO57" s="13" t="n">
        <f aca="false">Inputs!$F$75*AO47</f>
        <v>1.22959908629048</v>
      </c>
      <c r="AP57" s="13" t="n">
        <f aca="false">Inputs!$F$75*AP47</f>
        <v>12.0537588502357</v>
      </c>
      <c r="AQ57" s="13" t="n">
        <f aca="false">Inputs!$F$75*AQ47</f>
        <v>9.29072490351609</v>
      </c>
      <c r="AR57" s="13" t="n">
        <f aca="false">Inputs!$F$75*AR47</f>
        <v>0.826695643962103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139.31631461941</v>
      </c>
      <c r="J58" s="13" t="n">
        <f aca="false">Inputs!$F$76*J47</f>
        <v>19.8105310689276</v>
      </c>
      <c r="K58" s="13" t="n">
        <f aca="false">Inputs!$F$76*K47</f>
        <v>0.40715895540911</v>
      </c>
      <c r="L58" s="13" t="n">
        <f aca="false">Inputs!$F$76*L47</f>
        <v>0.519008263762552</v>
      </c>
      <c r="M58" s="13" t="n">
        <f aca="false">Inputs!$F$76*M47</f>
        <v>0.733710780105425</v>
      </c>
      <c r="N58" s="13" t="n">
        <f aca="false">Inputs!$F$76*N47</f>
        <v>1.05648904523177</v>
      </c>
      <c r="O58" s="13" t="n">
        <f aca="false">Inputs!$F$76*O47</f>
        <v>1.45585264111931</v>
      </c>
      <c r="P58" s="13" t="n">
        <f aca="false">Inputs!$F$76*P47</f>
        <v>1.89920069798187</v>
      </c>
      <c r="Q58" s="13" t="n">
        <f aca="false">Inputs!$F$76*Q47</f>
        <v>2.41069250534726</v>
      </c>
      <c r="R58" s="13" t="n">
        <f aca="false">Inputs!$F$76*R47</f>
        <v>2.92047243124765</v>
      </c>
      <c r="S58" s="13" t="n">
        <f aca="false">Inputs!$F$76*S47</f>
        <v>3.43955651460283</v>
      </c>
      <c r="T58" s="13" t="n">
        <f aca="false">Inputs!$F$76*T47</f>
        <v>3.92532213449419</v>
      </c>
      <c r="U58" s="13" t="n">
        <f aca="false">Inputs!$F$76*U47</f>
        <v>4.39106954714313</v>
      </c>
      <c r="V58" s="13" t="n">
        <f aca="false">Inputs!$F$76*V47</f>
        <v>4.80055362397117</v>
      </c>
      <c r="W58" s="13" t="n">
        <f aca="false">Inputs!$F$76*W47</f>
        <v>5.1410860903391</v>
      </c>
      <c r="X58" s="13" t="n">
        <f aca="false">Inputs!$F$76*X47</f>
        <v>5.42298219404962</v>
      </c>
      <c r="Y58" s="13" t="n">
        <f aca="false">Inputs!$F$76*Y47</f>
        <v>5.61068822073302</v>
      </c>
      <c r="Z58" s="13" t="n">
        <f aca="false">Inputs!$F$76*Z47</f>
        <v>5.72826548190659</v>
      </c>
      <c r="AA58" s="13" t="n">
        <f aca="false">Inputs!$F$76*AA47</f>
        <v>5.94205043995272</v>
      </c>
      <c r="AB58" s="13" t="n">
        <f aca="false">Inputs!$F$76*AB47</f>
        <v>5.66798011179272</v>
      </c>
      <c r="AC58" s="13" t="n">
        <f aca="false">Inputs!$F$76*AC47</f>
        <v>5.53325868859246</v>
      </c>
      <c r="AD58" s="13" t="n">
        <f aca="false">Inputs!$F$76*AD47</f>
        <v>5.28942757016043</v>
      </c>
      <c r="AE58" s="13" t="n">
        <f aca="false">Inputs!$F$76*AE47</f>
        <v>4.99060116823532</v>
      </c>
      <c r="AF58" s="13" t="n">
        <f aca="false">Inputs!$F$76*AF47</f>
        <v>4.60649042953859</v>
      </c>
      <c r="AG58" s="13" t="n">
        <f aca="false">Inputs!$F$76*AG47</f>
        <v>4.19066383582024</v>
      </c>
      <c r="AH58" s="13" t="n">
        <f aca="false">Inputs!$F$76*AH47</f>
        <v>3.72465338005725</v>
      </c>
      <c r="AI58" s="13" t="n">
        <f aca="false">Inputs!$F$76*AI47</f>
        <v>3.22413618998007</v>
      </c>
      <c r="AJ58" s="13" t="n">
        <f aca="false">Inputs!$F$76*AJ47</f>
        <v>2.7410339323579</v>
      </c>
      <c r="AK58" s="13" t="n">
        <f aca="false">Inputs!$F$76*AK47</f>
        <v>2.24919560836324</v>
      </c>
      <c r="AL58" s="13" t="n">
        <f aca="false">Inputs!$F$76*AL47</f>
        <v>1.81576283874002</v>
      </c>
      <c r="AM58" s="13" t="n">
        <f aca="false">Inputs!$F$76*AM47</f>
        <v>1.42754814154865</v>
      </c>
      <c r="AN58" s="13" t="n">
        <f aca="false">Inputs!$F$76*AN47</f>
        <v>1.08030119962868</v>
      </c>
      <c r="AO58" s="13" t="n">
        <f aca="false">Inputs!$F$76*AO47</f>
        <v>0.901705996613016</v>
      </c>
      <c r="AP58" s="13" t="n">
        <f aca="false">Inputs!$F$76*AP47</f>
        <v>8.8394231568395</v>
      </c>
      <c r="AQ58" s="13" t="n">
        <f aca="false">Inputs!$F$76*AQ47</f>
        <v>6.81319826257846</v>
      </c>
      <c r="AR58" s="13" t="n">
        <f aca="false">Inputs!$F$76*AR47</f>
        <v>0.606243472238875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63.3255975542774</v>
      </c>
      <c r="J59" s="13" t="n">
        <f aca="false">Inputs!$F$77*J47</f>
        <v>9.00478684951255</v>
      </c>
      <c r="K59" s="13" t="n">
        <f aca="false">Inputs!$F$77*K47</f>
        <v>0.185072252458686</v>
      </c>
      <c r="L59" s="13" t="n">
        <f aca="false">Inputs!$F$77*L47</f>
        <v>0.235912847164796</v>
      </c>
      <c r="M59" s="13" t="n">
        <f aca="false">Inputs!$F$77*M47</f>
        <v>0.33350490004792</v>
      </c>
      <c r="N59" s="13" t="n">
        <f aca="false">Inputs!$F$77*N47</f>
        <v>0.480222293287169</v>
      </c>
      <c r="O59" s="13" t="n">
        <f aca="false">Inputs!$F$77*O47</f>
        <v>0.661751200508777</v>
      </c>
      <c r="P59" s="13" t="n">
        <f aca="false">Inputs!$F$77*P47</f>
        <v>0.863273044537214</v>
      </c>
      <c r="Q59" s="13" t="n">
        <f aca="false">Inputs!$F$77*Q47</f>
        <v>1.09576932061239</v>
      </c>
      <c r="R59" s="13" t="n">
        <f aca="false">Inputs!$F$77*R47</f>
        <v>1.32748746874893</v>
      </c>
      <c r="S59" s="13" t="n">
        <f aca="false">Inputs!$F$77*S47</f>
        <v>1.56343477936492</v>
      </c>
      <c r="T59" s="13" t="n">
        <f aca="false">Inputs!$F$77*T47</f>
        <v>1.784237333861</v>
      </c>
      <c r="U59" s="13" t="n">
        <f aca="false">Inputs!$F$77*U47</f>
        <v>1.99594070324688</v>
      </c>
      <c r="V59" s="13" t="n">
        <f aca="false">Inputs!$F$77*V47</f>
        <v>2.1820698290778</v>
      </c>
      <c r="W59" s="13" t="n">
        <f aca="false">Inputs!$F$77*W47</f>
        <v>2.3368573137905</v>
      </c>
      <c r="X59" s="13" t="n">
        <f aca="false">Inputs!$F$77*X47</f>
        <v>2.46499190638619</v>
      </c>
      <c r="Y59" s="13" t="n">
        <f aca="false">Inputs!$F$77*Y47</f>
        <v>2.55031282760592</v>
      </c>
      <c r="Z59" s="13" t="n">
        <f aca="false">Inputs!$F$77*Z47</f>
        <v>2.60375703723027</v>
      </c>
      <c r="AA59" s="13" t="n">
        <f aca="false">Inputs!$F$77*AA47</f>
        <v>2.70093201816033</v>
      </c>
      <c r="AB59" s="13" t="n">
        <f aca="false">Inputs!$F$77*AB47</f>
        <v>2.57635459626942</v>
      </c>
      <c r="AC59" s="13" t="n">
        <f aca="false">Inputs!$F$77*AC47</f>
        <v>2.51511758572385</v>
      </c>
      <c r="AD59" s="13" t="n">
        <f aca="false">Inputs!$F$77*AD47</f>
        <v>2.40428525916383</v>
      </c>
      <c r="AE59" s="13" t="n">
        <f aca="false">Inputs!$F$77*AE47</f>
        <v>2.2684550764706</v>
      </c>
      <c r="AF59" s="13" t="n">
        <f aca="false">Inputs!$F$77*AF47</f>
        <v>2.0938592861539</v>
      </c>
      <c r="AG59" s="13" t="n">
        <f aca="false">Inputs!$F$77*AG47</f>
        <v>1.90484719810011</v>
      </c>
      <c r="AH59" s="13" t="n">
        <f aca="false">Inputs!$F$77*AH47</f>
        <v>1.69302426366239</v>
      </c>
      <c r="AI59" s="13" t="n">
        <f aca="false">Inputs!$F$77*AI47</f>
        <v>1.46551644999094</v>
      </c>
      <c r="AJ59" s="13" t="n">
        <f aca="false">Inputs!$F$77*AJ47</f>
        <v>1.24592451470814</v>
      </c>
      <c r="AK59" s="13" t="n">
        <f aca="false">Inputs!$F$77*AK47</f>
        <v>1.02236164016511</v>
      </c>
      <c r="AL59" s="13" t="n">
        <f aca="false">Inputs!$F$77*AL47</f>
        <v>0.825346744881826</v>
      </c>
      <c r="AM59" s="13" t="n">
        <f aca="false">Inputs!$F$77*AM47</f>
        <v>0.648885518885751</v>
      </c>
      <c r="AN59" s="13" t="n">
        <f aca="false">Inputs!$F$77*AN47</f>
        <v>0.491045999831217</v>
      </c>
      <c r="AO59" s="13" t="n">
        <f aca="false">Inputs!$F$77*AO47</f>
        <v>0.409866362096826</v>
      </c>
      <c r="AP59" s="13" t="n">
        <f aca="false">Inputs!$F$77*AP47</f>
        <v>4.01791961674523</v>
      </c>
      <c r="AQ59" s="13" t="n">
        <f aca="false">Inputs!$F$77*AQ47</f>
        <v>3.09690830117203</v>
      </c>
      <c r="AR59" s="13" t="n">
        <f aca="false">Inputs!$F$77*AR47</f>
        <v>0.275565214654034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240.637270706254</v>
      </c>
      <c r="J60" s="13" t="n">
        <f aca="false">Inputs!$F$78*J47</f>
        <v>34.2181900281477</v>
      </c>
      <c r="K60" s="13" t="n">
        <f aca="false">Inputs!$F$78*K47</f>
        <v>0.703274559343008</v>
      </c>
      <c r="L60" s="13" t="n">
        <f aca="false">Inputs!$F$78*L47</f>
        <v>0.896468819226226</v>
      </c>
      <c r="M60" s="13" t="n">
        <f aca="false">Inputs!$F$78*M47</f>
        <v>1.2673186201821</v>
      </c>
      <c r="N60" s="13" t="n">
        <f aca="false">Inputs!$F$78*N47</f>
        <v>1.82484471449124</v>
      </c>
      <c r="O60" s="13" t="n">
        <f aca="false">Inputs!$F$78*O47</f>
        <v>2.51465456193335</v>
      </c>
      <c r="P60" s="13" t="n">
        <f aca="false">Inputs!$F$78*P47</f>
        <v>3.28043756924141</v>
      </c>
      <c r="Q60" s="13" t="n">
        <f aca="false">Inputs!$F$78*Q47</f>
        <v>4.16392341832708</v>
      </c>
      <c r="R60" s="13" t="n">
        <f aca="false">Inputs!$F$78*R47</f>
        <v>5.04445238124594</v>
      </c>
      <c r="S60" s="13" t="n">
        <f aca="false">Inputs!$F$78*S47</f>
        <v>5.9410521615867</v>
      </c>
      <c r="T60" s="13" t="n">
        <f aca="false">Inputs!$F$78*T47</f>
        <v>6.78010186867178</v>
      </c>
      <c r="U60" s="13" t="n">
        <f aca="false">Inputs!$F$78*U47</f>
        <v>7.58457467233813</v>
      </c>
      <c r="V60" s="13" t="n">
        <f aca="false">Inputs!$F$78*V47</f>
        <v>8.29186535049565</v>
      </c>
      <c r="W60" s="13" t="n">
        <f aca="false">Inputs!$F$78*W47</f>
        <v>8.8800577924039</v>
      </c>
      <c r="X60" s="13" t="n">
        <f aca="false">Inputs!$F$78*X47</f>
        <v>9.36696924426753</v>
      </c>
      <c r="Y60" s="13" t="n">
        <f aca="false">Inputs!$F$78*Y47</f>
        <v>9.69118874490249</v>
      </c>
      <c r="Z60" s="13" t="n">
        <f aca="false">Inputs!$F$78*Z47</f>
        <v>9.89427674147503</v>
      </c>
      <c r="AA60" s="13" t="n">
        <f aca="false">Inputs!$F$78*AA47</f>
        <v>10.2635416690092</v>
      </c>
      <c r="AB60" s="13" t="n">
        <f aca="false">Inputs!$F$78*AB47</f>
        <v>9.7901474658238</v>
      </c>
      <c r="AC60" s="13" t="n">
        <f aca="false">Inputs!$F$78*AC47</f>
        <v>9.55744682575062</v>
      </c>
      <c r="AD60" s="13" t="n">
        <f aca="false">Inputs!$F$78*AD47</f>
        <v>9.13628398482256</v>
      </c>
      <c r="AE60" s="13" t="n">
        <f aca="false">Inputs!$F$78*AE47</f>
        <v>8.62012929058828</v>
      </c>
      <c r="AF60" s="13" t="n">
        <f aca="false">Inputs!$F$78*AF47</f>
        <v>7.95666528738484</v>
      </c>
      <c r="AG60" s="13" t="n">
        <f aca="false">Inputs!$F$78*AG47</f>
        <v>7.23841935278042</v>
      </c>
      <c r="AH60" s="13" t="n">
        <f aca="false">Inputs!$F$78*AH47</f>
        <v>6.43349220191706</v>
      </c>
      <c r="AI60" s="13" t="n">
        <f aca="false">Inputs!$F$78*AI47</f>
        <v>5.56896250996557</v>
      </c>
      <c r="AJ60" s="13" t="n">
        <f aca="false">Inputs!$F$78*AJ47</f>
        <v>4.73451315589091</v>
      </c>
      <c r="AK60" s="13" t="n">
        <f aca="false">Inputs!$F$78*AK47</f>
        <v>3.88497423262741</v>
      </c>
      <c r="AL60" s="13" t="n">
        <f aca="false">Inputs!$F$78*AL47</f>
        <v>3.13631763055094</v>
      </c>
      <c r="AM60" s="13" t="n">
        <f aca="false">Inputs!$F$78*AM47</f>
        <v>2.46576497176585</v>
      </c>
      <c r="AN60" s="13" t="n">
        <f aca="false">Inputs!$F$78*AN47</f>
        <v>1.86597479935862</v>
      </c>
      <c r="AO60" s="13" t="n">
        <f aca="false">Inputs!$F$78*AO47</f>
        <v>1.55749217596794</v>
      </c>
      <c r="AP60" s="13" t="n">
        <f aca="false">Inputs!$F$78*AP47</f>
        <v>15.2680945436319</v>
      </c>
      <c r="AQ60" s="13" t="n">
        <f aca="false">Inputs!$F$78*AQ47</f>
        <v>11.7682515444537</v>
      </c>
      <c r="AR60" s="13" t="n">
        <f aca="false">Inputs!$F$78*AR47</f>
        <v>1.04714781568533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27.0143605485376</v>
      </c>
      <c r="K61" s="13" t="n">
        <f aca="false">K28+K57</f>
        <v>27.5695773059137</v>
      </c>
      <c r="L61" s="13" t="n">
        <f aca="false">L28+L57</f>
        <v>28.2773158474081</v>
      </c>
      <c r="M61" s="13" t="n">
        <f aca="false">M28+M57</f>
        <v>29.2778305475518</v>
      </c>
      <c r="N61" s="13" t="n">
        <f aca="false">N28+N57</f>
        <v>30.7184974274133</v>
      </c>
      <c r="O61" s="13" t="n">
        <f aca="false">O28+O57</f>
        <v>32.7037510289397</v>
      </c>
      <c r="P61" s="13" t="n">
        <f aca="false">P28+P57</f>
        <v>35.2935701625513</v>
      </c>
      <c r="Q61" s="13" t="n">
        <f aca="false">Q28+Q57</f>
        <v>38.5808781243885</v>
      </c>
      <c r="R61" s="13" t="n">
        <f aca="false">R28+R57</f>
        <v>42.5633405306353</v>
      </c>
      <c r="S61" s="13" t="n">
        <f aca="false">S28+S57</f>
        <v>47.25364486873</v>
      </c>
      <c r="T61" s="13" t="n">
        <f aca="false">T28+T57</f>
        <v>52.606356870313</v>
      </c>
      <c r="U61" s="13" t="n">
        <f aca="false">U28+U57</f>
        <v>58.5941789800537</v>
      </c>
      <c r="V61" s="13" t="n">
        <f aca="false">V28+V57</f>
        <v>65.1403884672871</v>
      </c>
      <c r="W61" s="13" t="n">
        <f aca="false">W28+W57</f>
        <v>72.1509604086586</v>
      </c>
      <c r="X61" s="13" t="n">
        <f aca="false">X28+X57</f>
        <v>79.5459361278171</v>
      </c>
      <c r="Y61" s="13" t="n">
        <f aca="false">Y28+Y57</f>
        <v>87.1968746106349</v>
      </c>
      <c r="Z61" s="13" t="n">
        <f aca="false">Z28+Z57</f>
        <v>95.0081457223257</v>
      </c>
      <c r="AA61" s="13" t="n">
        <f aca="false">AA28+AA57</f>
        <v>103.110941776807</v>
      </c>
      <c r="AB61" s="13" t="n">
        <f aca="false">AB28+AB57</f>
        <v>110.840005565615</v>
      </c>
      <c r="AC61" s="13" t="n">
        <f aca="false">AC28+AC57</f>
        <v>118.385358322786</v>
      </c>
      <c r="AD61" s="13" t="n">
        <f aca="false">AD28+AD57</f>
        <v>125.598214100278</v>
      </c>
      <c r="AE61" s="13" t="n">
        <f aca="false">AE28+AE57</f>
        <v>132.40357932969</v>
      </c>
      <c r="AF61" s="13" t="n">
        <f aca="false">AF28+AF57</f>
        <v>138.685157188152</v>
      </c>
      <c r="AG61" s="13" t="n">
        <f aca="false">AG28+AG57</f>
        <v>144.399698782452</v>
      </c>
      <c r="AH61" s="13" t="n">
        <f aca="false">AH28+AH57</f>
        <v>149.478771573439</v>
      </c>
      <c r="AI61" s="13" t="n">
        <f aca="false">AI28+AI57</f>
        <v>153.875320923412</v>
      </c>
      <c r="AJ61" s="13" t="n">
        <f aca="false">AJ28+AJ57</f>
        <v>157.613094467536</v>
      </c>
      <c r="AK61" s="13" t="n">
        <f aca="false">AK28+AK57</f>
        <v>160.680179388032</v>
      </c>
      <c r="AL61" s="13" t="n">
        <f aca="false">AL28+AL57</f>
        <v>163.156219622677</v>
      </c>
      <c r="AM61" s="13" t="n">
        <f aca="false">AM28+AM57</f>
        <v>165.102876179334</v>
      </c>
      <c r="AN61" s="13" t="n">
        <f aca="false">AN28+AN57</f>
        <v>166.576014178828</v>
      </c>
      <c r="AO61" s="13" t="n">
        <f aca="false">AO28+AO57</f>
        <v>167.805613265118</v>
      </c>
      <c r="AP61" s="13" t="n">
        <f aca="false">AP28+AP57</f>
        <v>179.859372115354</v>
      </c>
      <c r="AQ61" s="13" t="n">
        <f aca="false">AQ28+AQ57</f>
        <v>189.15009701887</v>
      </c>
      <c r="AR61" s="13" t="n">
        <f aca="false">AR28+AR57</f>
        <v>189.976792662832</v>
      </c>
      <c r="AS61" s="13" t="n">
        <f aca="false">AS28+AS57</f>
        <v>189.976792662832</v>
      </c>
      <c r="AT61" s="13" t="n">
        <f aca="false">AT28+AT57</f>
        <v>189.976792662832</v>
      </c>
      <c r="AU61" s="13" t="n">
        <f aca="false">AU28+AU57</f>
        <v>189.976792662832</v>
      </c>
      <c r="AV61" s="13" t="n">
        <f aca="false">AV28+AV57</f>
        <v>189.976792662832</v>
      </c>
      <c r="AW61" s="13" t="n">
        <f aca="false">AW28+AW57</f>
        <v>189.976792662832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19.8105310689276</v>
      </c>
      <c r="K62" s="13" t="n">
        <f aca="false">K29+K58</f>
        <v>20.2176900243367</v>
      </c>
      <c r="L62" s="13" t="n">
        <f aca="false">L29+L58</f>
        <v>20.7366982880993</v>
      </c>
      <c r="M62" s="13" t="n">
        <f aca="false">M29+M58</f>
        <v>21.4704090682047</v>
      </c>
      <c r="N62" s="13" t="n">
        <f aca="false">N29+N58</f>
        <v>22.5268981134365</v>
      </c>
      <c r="O62" s="13" t="n">
        <f aca="false">O29+O58</f>
        <v>23.9827507545558</v>
      </c>
      <c r="P62" s="13" t="n">
        <f aca="false">P29+P58</f>
        <v>25.8819514525376</v>
      </c>
      <c r="Q62" s="13" t="n">
        <f aca="false">Q29+Q58</f>
        <v>28.2926439578849</v>
      </c>
      <c r="R62" s="13" t="n">
        <f aca="false">R29+R58</f>
        <v>31.2131163891325</v>
      </c>
      <c r="S62" s="13" t="n">
        <f aca="false">S29+S58</f>
        <v>34.6526729037354</v>
      </c>
      <c r="T62" s="13" t="n">
        <f aca="false">T29+T58</f>
        <v>38.5779950382296</v>
      </c>
      <c r="U62" s="13" t="n">
        <f aca="false">U29+U58</f>
        <v>42.9690645853727</v>
      </c>
      <c r="V62" s="13" t="n">
        <f aca="false">V29+V58</f>
        <v>47.7696182093439</v>
      </c>
      <c r="W62" s="13" t="n">
        <f aca="false">W29+W58</f>
        <v>52.910704299683</v>
      </c>
      <c r="X62" s="13" t="n">
        <f aca="false">X29+X58</f>
        <v>58.3336864937326</v>
      </c>
      <c r="Y62" s="13" t="n">
        <f aca="false">Y29+Y58</f>
        <v>63.9443747144656</v>
      </c>
      <c r="Z62" s="13" t="n">
        <f aca="false">Z29+Z58</f>
        <v>69.6726401963722</v>
      </c>
      <c r="AA62" s="13" t="n">
        <f aca="false">AA29+AA58</f>
        <v>75.6146906363249</v>
      </c>
      <c r="AB62" s="13" t="n">
        <f aca="false">AB29+AB58</f>
        <v>81.2826707481177</v>
      </c>
      <c r="AC62" s="13" t="n">
        <f aca="false">AC29+AC58</f>
        <v>86.8159294367101</v>
      </c>
      <c r="AD62" s="13" t="n">
        <f aca="false">AD29+AD58</f>
        <v>92.1053570068706</v>
      </c>
      <c r="AE62" s="13" t="n">
        <f aca="false">AE29+AE58</f>
        <v>97.0959581751059</v>
      </c>
      <c r="AF62" s="13" t="n">
        <f aca="false">AF29+AF58</f>
        <v>101.702448604644</v>
      </c>
      <c r="AG62" s="13" t="n">
        <f aca="false">AG29+AG58</f>
        <v>105.893112440465</v>
      </c>
      <c r="AH62" s="13" t="n">
        <f aca="false">AH29+AH58</f>
        <v>109.617765820522</v>
      </c>
      <c r="AI62" s="13" t="n">
        <f aca="false">AI29+AI58</f>
        <v>112.841902010502</v>
      </c>
      <c r="AJ62" s="13" t="n">
        <f aca="false">AJ29+AJ58</f>
        <v>115.58293594286</v>
      </c>
      <c r="AK62" s="13" t="n">
        <f aca="false">AK29+AK58</f>
        <v>117.832131551223</v>
      </c>
      <c r="AL62" s="13" t="n">
        <f aca="false">AL29+AL58</f>
        <v>119.647894389963</v>
      </c>
      <c r="AM62" s="13" t="n">
        <f aca="false">AM29+AM58</f>
        <v>121.075442531512</v>
      </c>
      <c r="AN62" s="13" t="n">
        <f aca="false">AN29+AN58</f>
        <v>122.155743731141</v>
      </c>
      <c r="AO62" s="13" t="n">
        <f aca="false">AO29+AO58</f>
        <v>123.057449727754</v>
      </c>
      <c r="AP62" s="13" t="n">
        <f aca="false">AP29+AP58</f>
        <v>131.896872884593</v>
      </c>
      <c r="AQ62" s="13" t="n">
        <f aca="false">AQ29+AQ58</f>
        <v>138.710071147171</v>
      </c>
      <c r="AR62" s="13" t="n">
        <f aca="false">AR29+AR58</f>
        <v>139.31631461941</v>
      </c>
      <c r="AS62" s="13" t="n">
        <f aca="false">AS29+AS58</f>
        <v>139.31631461941</v>
      </c>
      <c r="AT62" s="13" t="n">
        <f aca="false">AT29+AT58</f>
        <v>139.31631461941</v>
      </c>
      <c r="AU62" s="13" t="n">
        <f aca="false">AU29+AU58</f>
        <v>139.31631461941</v>
      </c>
      <c r="AV62" s="13" t="n">
        <f aca="false">AV29+AV58</f>
        <v>139.31631461941</v>
      </c>
      <c r="AW62" s="13" t="n">
        <f aca="false">AW29+AW58</f>
        <v>139.31631461941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9.00478684951255</v>
      </c>
      <c r="K63" s="13" t="n">
        <f aca="false">K30+K59</f>
        <v>9.18985910197123</v>
      </c>
      <c r="L63" s="13" t="n">
        <f aca="false">L30+L59</f>
        <v>9.42577194913603</v>
      </c>
      <c r="M63" s="13" t="n">
        <f aca="false">M30+M59</f>
        <v>9.75927684918395</v>
      </c>
      <c r="N63" s="13" t="n">
        <f aca="false">N30+N59</f>
        <v>10.2394991424711</v>
      </c>
      <c r="O63" s="13" t="n">
        <f aca="false">O30+O59</f>
        <v>10.9012503429799</v>
      </c>
      <c r="P63" s="13" t="n">
        <f aca="false">P30+P59</f>
        <v>11.7645233875171</v>
      </c>
      <c r="Q63" s="13" t="n">
        <f aca="false">Q30+Q59</f>
        <v>12.8602927081295</v>
      </c>
      <c r="R63" s="13" t="n">
        <f aca="false">R30+R59</f>
        <v>14.1877801768784</v>
      </c>
      <c r="S63" s="13" t="n">
        <f aca="false">S30+S59</f>
        <v>15.7512149562433</v>
      </c>
      <c r="T63" s="13" t="n">
        <f aca="false">T30+T59</f>
        <v>17.5354522901043</v>
      </c>
      <c r="U63" s="13" t="n">
        <f aca="false">U30+U59</f>
        <v>19.5313929933512</v>
      </c>
      <c r="V63" s="13" t="n">
        <f aca="false">V30+V59</f>
        <v>21.713462822429</v>
      </c>
      <c r="W63" s="13" t="n">
        <f aca="false">W30+W59</f>
        <v>24.0503201362195</v>
      </c>
      <c r="X63" s="13" t="n">
        <f aca="false">X30+X59</f>
        <v>26.5153120426057</v>
      </c>
      <c r="Y63" s="13" t="n">
        <f aca="false">Y30+Y59</f>
        <v>29.0656248702116</v>
      </c>
      <c r="Z63" s="13" t="n">
        <f aca="false">Z30+Z59</f>
        <v>31.6693819074419</v>
      </c>
      <c r="AA63" s="13" t="n">
        <f aca="false">AA30+AA59</f>
        <v>34.3703139256022</v>
      </c>
      <c r="AB63" s="13" t="n">
        <f aca="false">AB30+AB59</f>
        <v>36.9466685218717</v>
      </c>
      <c r="AC63" s="13" t="n">
        <f aca="false">AC30+AC59</f>
        <v>39.4617861075955</v>
      </c>
      <c r="AD63" s="13" t="n">
        <f aca="false">AD30+AD59</f>
        <v>41.8660713667593</v>
      </c>
      <c r="AE63" s="13" t="n">
        <f aca="false">AE30+AE59</f>
        <v>44.1345264432299</v>
      </c>
      <c r="AF63" s="13" t="n">
        <f aca="false">AF30+AF59</f>
        <v>46.2283857293838</v>
      </c>
      <c r="AG63" s="13" t="n">
        <f aca="false">AG30+AG59</f>
        <v>48.1332329274839</v>
      </c>
      <c r="AH63" s="13" t="n">
        <f aca="false">AH30+AH59</f>
        <v>49.8262571911463</v>
      </c>
      <c r="AI63" s="13" t="n">
        <f aca="false">AI30+AI59</f>
        <v>51.2917736411373</v>
      </c>
      <c r="AJ63" s="13" t="n">
        <f aca="false">AJ30+AJ59</f>
        <v>52.5376981558454</v>
      </c>
      <c r="AK63" s="13" t="n">
        <f aca="false">AK30+AK59</f>
        <v>53.5600597960105</v>
      </c>
      <c r="AL63" s="13" t="n">
        <f aca="false">AL30+AL59</f>
        <v>54.3854065408923</v>
      </c>
      <c r="AM63" s="13" t="n">
        <f aca="false">AM30+AM59</f>
        <v>55.0342920597781</v>
      </c>
      <c r="AN63" s="13" t="n">
        <f aca="false">AN30+AN59</f>
        <v>55.5253380596093</v>
      </c>
      <c r="AO63" s="13" t="n">
        <f aca="false">AO30+AO59</f>
        <v>55.9352044217061</v>
      </c>
      <c r="AP63" s="13" t="n">
        <f aca="false">AP30+AP59</f>
        <v>59.9531240384514</v>
      </c>
      <c r="AQ63" s="13" t="n">
        <f aca="false">AQ30+AQ59</f>
        <v>63.0500323396234</v>
      </c>
      <c r="AR63" s="13" t="n">
        <f aca="false">AR30+AR59</f>
        <v>63.3255975542774</v>
      </c>
      <c r="AS63" s="13" t="n">
        <f aca="false">AS30+AS59</f>
        <v>63.3255975542774</v>
      </c>
      <c r="AT63" s="13" t="n">
        <f aca="false">AT30+AT59</f>
        <v>63.3255975542774</v>
      </c>
      <c r="AU63" s="13" t="n">
        <f aca="false">AU30+AU59</f>
        <v>63.3255975542774</v>
      </c>
      <c r="AV63" s="13" t="n">
        <f aca="false">AV30+AV59</f>
        <v>63.3255975542774</v>
      </c>
      <c r="AW63" s="13" t="n">
        <f aca="false">AW30+AW59</f>
        <v>63.3255975542774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34.2181900281477</v>
      </c>
      <c r="K64" s="13" t="n">
        <f aca="false">K31+K60</f>
        <v>34.9214645874907</v>
      </c>
      <c r="L64" s="13" t="n">
        <f aca="false">L31+L60</f>
        <v>35.8179334067169</v>
      </c>
      <c r="M64" s="13" t="n">
        <f aca="false">M31+M60</f>
        <v>37.085252026899</v>
      </c>
      <c r="N64" s="13" t="n">
        <f aca="false">N31+N60</f>
        <v>38.9100967413902</v>
      </c>
      <c r="O64" s="13" t="n">
        <f aca="false">O31+O60</f>
        <v>41.4247513033236</v>
      </c>
      <c r="P64" s="13" t="n">
        <f aca="false">P31+P60</f>
        <v>44.705188872565</v>
      </c>
      <c r="Q64" s="13" t="n">
        <f aca="false">Q31+Q60</f>
        <v>48.8691122908921</v>
      </c>
      <c r="R64" s="13" t="n">
        <f aca="false">R31+R60</f>
        <v>53.913564672138</v>
      </c>
      <c r="S64" s="13" t="n">
        <f aca="false">S31+S60</f>
        <v>59.8546168337247</v>
      </c>
      <c r="T64" s="13" t="n">
        <f aca="false">T31+T60</f>
        <v>66.6347187023965</v>
      </c>
      <c r="U64" s="13" t="n">
        <f aca="false">U31+U60</f>
        <v>74.2192933747346</v>
      </c>
      <c r="V64" s="13" t="n">
        <f aca="false">V31+V60</f>
        <v>82.5111587252303</v>
      </c>
      <c r="W64" s="13" t="n">
        <f aca="false">W31+W60</f>
        <v>91.3912165176342</v>
      </c>
      <c r="X64" s="13" t="n">
        <f aca="false">X31+X60</f>
        <v>100.758185761902</v>
      </c>
      <c r="Y64" s="13" t="n">
        <f aca="false">Y31+Y60</f>
        <v>110.449374506804</v>
      </c>
      <c r="Z64" s="13" t="n">
        <f aca="false">Z31+Z60</f>
        <v>120.343651248279</v>
      </c>
      <c r="AA64" s="13" t="n">
        <f aca="false">AA31+AA60</f>
        <v>130.607192917288</v>
      </c>
      <c r="AB64" s="13" t="n">
        <f aca="false">AB31+AB60</f>
        <v>140.397340383112</v>
      </c>
      <c r="AC64" s="13" t="n">
        <f aca="false">AC31+AC60</f>
        <v>149.954787208863</v>
      </c>
      <c r="AD64" s="13" t="n">
        <f aca="false">AD31+AD60</f>
        <v>159.091071193685</v>
      </c>
      <c r="AE64" s="13" t="n">
        <f aca="false">AE31+AE60</f>
        <v>167.711200484274</v>
      </c>
      <c r="AF64" s="13" t="n">
        <f aca="false">AF31+AF60</f>
        <v>175.667865771659</v>
      </c>
      <c r="AG64" s="13" t="n">
        <f aca="false">AG31+AG60</f>
        <v>182.906285124439</v>
      </c>
      <c r="AH64" s="13" t="n">
        <f aca="false">AH31+AH60</f>
        <v>189.339777326356</v>
      </c>
      <c r="AI64" s="13" t="n">
        <f aca="false">AI31+AI60</f>
        <v>194.908739836322</v>
      </c>
      <c r="AJ64" s="13" t="n">
        <f aca="false">AJ31+AJ60</f>
        <v>199.643252992213</v>
      </c>
      <c r="AK64" s="13" t="n">
        <f aca="false">AK31+AK60</f>
        <v>203.52822722484</v>
      </c>
      <c r="AL64" s="13" t="n">
        <f aca="false">AL31+AL60</f>
        <v>206.664544855391</v>
      </c>
      <c r="AM64" s="13" t="n">
        <f aca="false">AM31+AM60</f>
        <v>209.130309827157</v>
      </c>
      <c r="AN64" s="13" t="n">
        <f aca="false">AN31+AN60</f>
        <v>210.996284626515</v>
      </c>
      <c r="AO64" s="13" t="n">
        <f aca="false">AO31+AO60</f>
        <v>212.553776802483</v>
      </c>
      <c r="AP64" s="13" t="n">
        <f aca="false">AP31+AP60</f>
        <v>227.821871346115</v>
      </c>
      <c r="AQ64" s="13" t="n">
        <f aca="false">AQ31+AQ60</f>
        <v>239.590122890569</v>
      </c>
      <c r="AR64" s="13" t="n">
        <f aca="false">AR31+AR60</f>
        <v>240.637270706254</v>
      </c>
      <c r="AS64" s="13" t="n">
        <f aca="false">AS31+AS60</f>
        <v>240.637270706254</v>
      </c>
      <c r="AT64" s="13" t="n">
        <f aca="false">AT31+AT60</f>
        <v>240.637270706254</v>
      </c>
      <c r="AU64" s="13" t="n">
        <f aca="false">AU31+AU60</f>
        <v>240.637270706254</v>
      </c>
      <c r="AV64" s="13" t="n">
        <f aca="false">AV31+AV60</f>
        <v>240.637270706254</v>
      </c>
      <c r="AW64" s="13" t="n">
        <f aca="false">AW31+AW60</f>
        <v>240.637270706254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1.74223968585352E-011</v>
      </c>
      <c r="AS65" s="13" t="n">
        <f aca="false">AS32+AS55</f>
        <v>1.74223968585352E-011</v>
      </c>
      <c r="AT65" s="13" t="n">
        <f aca="false">AT32+AT55</f>
        <v>1.74223968585352E-011</v>
      </c>
      <c r="AU65" s="13" t="n">
        <f aca="false">AU32+AU55</f>
        <v>1.74223968585352E-011</v>
      </c>
      <c r="AV65" s="13" t="n">
        <f aca="false">AV32+AV55</f>
        <v>1.74223968585352E-011</v>
      </c>
      <c r="AW65" s="13" t="n">
        <f aca="false">AW32+AW55</f>
        <v>1.74223968585352E-011</v>
      </c>
      <c r="AX65" s="13" t="n">
        <f aca="false">AX32+AX55</f>
        <v>1.74223968585352E-011</v>
      </c>
      <c r="AY65" s="13" t="n">
        <f aca="false">AY32+AY55</f>
        <v>1.74223968585352E-011</v>
      </c>
      <c r="AZ65" s="13" t="n">
        <f aca="false">AZ32+AZ55</f>
        <v>1.74223968585352E-011</v>
      </c>
      <c r="BA65" s="13" t="n">
        <f aca="false">BA32+BA55</f>
        <v>1.74223968585352E-011</v>
      </c>
      <c r="BB65" s="13" t="n">
        <f aca="false">BB32+BB55</f>
        <v>1.74223968585352E-011</v>
      </c>
      <c r="BC65" s="13" t="n">
        <f aca="false">BC32+BC55</f>
        <v>1.74223968585352E-011</v>
      </c>
      <c r="BD65" s="13" t="n">
        <f aca="false">BD32+BD55</f>
        <v>1.74223968585352E-011</v>
      </c>
      <c r="BE65" s="13" t="n">
        <f aca="false">BE32+BE55</f>
        <v>1.74223968585352E-011</v>
      </c>
      <c r="BF65" s="13" t="n">
        <f aca="false">BF32+BF55</f>
        <v>1.74223968585352E-011</v>
      </c>
      <c r="BG65" s="13" t="n">
        <f aca="false">BG32+BG55</f>
        <v>1.74223968585352E-011</v>
      </c>
      <c r="BH65" s="13" t="n">
        <f aca="false">BH32+BH55</f>
        <v>1.74223968585352E-011</v>
      </c>
      <c r="BI65" s="13" t="n">
        <f aca="false">BI32+BI55</f>
        <v>1.74223968585352E-011</v>
      </c>
      <c r="BJ65" s="13" t="n">
        <f aca="false">BJ32+BJ55</f>
        <v>1.74223968585352E-011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221.833767584057</v>
      </c>
      <c r="J67" s="13" t="n">
        <f aca="false">J50-J47+J56</f>
        <v>31.5443654741124</v>
      </c>
      <c r="K67" s="13" t="n">
        <f aca="false">K50-K47+K56</f>
        <v>0.648320373179076</v>
      </c>
      <c r="L67" s="13" t="n">
        <f aca="false">L50-L47+L56</f>
        <v>0.826418347859906</v>
      </c>
      <c r="M67" s="13" t="n">
        <f aca="false">M50-M47+M56</f>
        <v>1.16828978079458</v>
      </c>
      <c r="N67" s="13" t="n">
        <f aca="false">N50-N47+N56</f>
        <v>1.68225053867731</v>
      </c>
      <c r="O67" s="13" t="n">
        <f aca="false">O50-O47+O56</f>
        <v>2.31815833851875</v>
      </c>
      <c r="P67" s="13" t="n">
        <f aca="false">P50-P47+P56</f>
        <v>3.0241027217991</v>
      </c>
      <c r="Q67" s="13" t="n">
        <f aca="false">Q50-Q47+Q56</f>
        <v>3.83855259456677</v>
      </c>
      <c r="R67" s="13" t="n">
        <f aca="false">R50-R47+R56</f>
        <v>4.6502766335649</v>
      </c>
      <c r="S67" s="13" t="n">
        <f aca="false">S50-S47+S56</f>
        <v>5.47681570917974</v>
      </c>
      <c r="T67" s="13" t="n">
        <f aca="false">T50-T47+T56</f>
        <v>6.25030169980247</v>
      </c>
      <c r="U67" s="13" t="n">
        <f aca="false">U50-U47+U56</f>
        <v>6.99191264158404</v>
      </c>
      <c r="V67" s="13" t="n">
        <f aca="false">V50-V47+V56</f>
        <v>7.6439353122712</v>
      </c>
      <c r="W67" s="13" t="n">
        <f aca="false">W50-W47+W56</f>
        <v>8.18616613574263</v>
      </c>
      <c r="X67" s="13" t="n">
        <f aca="false">X50-X47+X56</f>
        <v>8.63503011067768</v>
      </c>
      <c r="Y67" s="13" t="n">
        <f aca="false">Y50-Y47+Y56</f>
        <v>8.93391495565196</v>
      </c>
      <c r="Z67" s="13" t="n">
        <f aca="false">Z50-Z47+Z56</f>
        <v>9.1211335660466</v>
      </c>
      <c r="AA67" s="13" t="n">
        <f aca="false">AA50-AA47+AA56</f>
        <v>9.46154396827212</v>
      </c>
      <c r="AB67" s="13" t="n">
        <f aca="false">AB50-AB47+AB56</f>
        <v>9.0251409982049</v>
      </c>
      <c r="AC67" s="13" t="n">
        <f aca="false">AC50-AC47+AC56</f>
        <v>8.81062368941417</v>
      </c>
      <c r="AD67" s="13" t="n">
        <f aca="false">AD50-AD47+AD56</f>
        <v>8.42237069977848</v>
      </c>
      <c r="AE67" s="13" t="n">
        <f aca="false">AE50-AE47+AE56</f>
        <v>7.9465485624091</v>
      </c>
      <c r="AF67" s="13" t="n">
        <f aca="false">AF50-AF47+AF56</f>
        <v>7.33492793084585</v>
      </c>
      <c r="AG67" s="13" t="n">
        <f aca="false">AG50-AG47+AG56</f>
        <v>6.67280605231224</v>
      </c>
      <c r="AH67" s="13" t="n">
        <f aca="false">AH50-AH47+AH56</f>
        <v>5.93077626622527</v>
      </c>
      <c r="AI67" s="13" t="n">
        <f aca="false">AI50-AI47+AI56</f>
        <v>5.13380130806101</v>
      </c>
      <c r="AJ67" s="13" t="n">
        <f aca="false">AJ50-AJ47+AJ56</f>
        <v>4.36455619682293</v>
      </c>
      <c r="AK67" s="13" t="n">
        <f aca="false">AK50-AK47+AK56</f>
        <v>3.58140062202883</v>
      </c>
      <c r="AL67" s="13" t="n">
        <f aca="false">AL50-AL47+AL56</f>
        <v>2.89124437907497</v>
      </c>
      <c r="AM67" s="13" t="n">
        <f aca="false">AM50-AM47+AM56</f>
        <v>2.27308900262301</v>
      </c>
      <c r="AN67" s="13" t="n">
        <f aca="false">AN50-AN47+AN56</f>
        <v>1.72016670046058</v>
      </c>
      <c r="AO67" s="13" t="n">
        <f aca="false">AO50-AO47+AO56</f>
        <v>1.43578904615905</v>
      </c>
      <c r="AP67" s="13" t="n">
        <f aca="false">AP50-AP47+AP56</f>
        <v>14.0750388603677</v>
      </c>
      <c r="AQ67" s="13" t="n">
        <f aca="false">AQ50-AQ47+AQ56</f>
        <v>10.8486751462942</v>
      </c>
      <c r="AR67" s="13" t="n">
        <f aca="false">AR50-AR47+AR56</f>
        <v>0.965323220673674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207.633767584057</v>
      </c>
      <c r="J68" s="13" t="n">
        <f aca="false">J67-IF(Construction!J8=1,Inputs!$F$68,0)</f>
        <v>17.3443654741124</v>
      </c>
      <c r="K68" s="13" t="n">
        <f aca="false">K67-IF(Construction!K8=1,Inputs!$F$68,0)</f>
        <v>0.648320373179076</v>
      </c>
      <c r="L68" s="13" t="n">
        <f aca="false">L67-IF(Construction!L8=1,Inputs!$F$68,0)</f>
        <v>0.826418347859906</v>
      </c>
      <c r="M68" s="13" t="n">
        <f aca="false">M67-IF(Construction!M8=1,Inputs!$F$68,0)</f>
        <v>1.16828978079458</v>
      </c>
      <c r="N68" s="13" t="n">
        <f aca="false">N67-IF(Construction!N8=1,Inputs!$F$68,0)</f>
        <v>1.68225053867731</v>
      </c>
      <c r="O68" s="13" t="n">
        <f aca="false">O67-IF(Construction!O8=1,Inputs!$F$68,0)</f>
        <v>2.31815833851875</v>
      </c>
      <c r="P68" s="13" t="n">
        <f aca="false">P67-IF(Construction!P8=1,Inputs!$F$68,0)</f>
        <v>3.0241027217991</v>
      </c>
      <c r="Q68" s="13" t="n">
        <f aca="false">Q67-IF(Construction!Q8=1,Inputs!$F$68,0)</f>
        <v>3.83855259456677</v>
      </c>
      <c r="R68" s="13" t="n">
        <f aca="false">R67-IF(Construction!R8=1,Inputs!$F$68,0)</f>
        <v>4.6502766335649</v>
      </c>
      <c r="S68" s="13" t="n">
        <f aca="false">S67-IF(Construction!S8=1,Inputs!$F$68,0)</f>
        <v>5.47681570917974</v>
      </c>
      <c r="T68" s="13" t="n">
        <f aca="false">T67-IF(Construction!T8=1,Inputs!$F$68,0)</f>
        <v>6.25030169980247</v>
      </c>
      <c r="U68" s="13" t="n">
        <f aca="false">U67-IF(Construction!U8=1,Inputs!$F$68,0)</f>
        <v>6.99191264158404</v>
      </c>
      <c r="V68" s="13" t="n">
        <f aca="false">V67-IF(Construction!V8=1,Inputs!$F$68,0)</f>
        <v>7.6439353122712</v>
      </c>
      <c r="W68" s="13" t="n">
        <f aca="false">W67-IF(Construction!W8=1,Inputs!$F$68,0)</f>
        <v>8.18616613574263</v>
      </c>
      <c r="X68" s="13" t="n">
        <f aca="false">X67-IF(Construction!X8=1,Inputs!$F$68,0)</f>
        <v>8.63503011067768</v>
      </c>
      <c r="Y68" s="13" t="n">
        <f aca="false">Y67-IF(Construction!Y8=1,Inputs!$F$68,0)</f>
        <v>8.93391495565196</v>
      </c>
      <c r="Z68" s="13" t="n">
        <f aca="false">Z67-IF(Construction!Z8=1,Inputs!$F$68,0)</f>
        <v>9.1211335660466</v>
      </c>
      <c r="AA68" s="13" t="n">
        <f aca="false">AA67-IF(Construction!AA8=1,Inputs!$F$68,0)</f>
        <v>9.46154396827212</v>
      </c>
      <c r="AB68" s="13" t="n">
        <f aca="false">AB67-IF(Construction!AB8=1,Inputs!$F$68,0)</f>
        <v>9.0251409982049</v>
      </c>
      <c r="AC68" s="13" t="n">
        <f aca="false">AC67-IF(Construction!AC8=1,Inputs!$F$68,0)</f>
        <v>8.81062368941417</v>
      </c>
      <c r="AD68" s="13" t="n">
        <f aca="false">AD67-IF(Construction!AD8=1,Inputs!$F$68,0)</f>
        <v>8.42237069977848</v>
      </c>
      <c r="AE68" s="13" t="n">
        <f aca="false">AE67-IF(Construction!AE8=1,Inputs!$F$68,0)</f>
        <v>7.9465485624091</v>
      </c>
      <c r="AF68" s="13" t="n">
        <f aca="false">AF67-IF(Construction!AF8=1,Inputs!$F$68,0)</f>
        <v>7.33492793084585</v>
      </c>
      <c r="AG68" s="13" t="n">
        <f aca="false">AG67-IF(Construction!AG8=1,Inputs!$F$68,0)</f>
        <v>6.67280605231224</v>
      </c>
      <c r="AH68" s="13" t="n">
        <f aca="false">AH67-IF(Construction!AH8=1,Inputs!$F$68,0)</f>
        <v>5.93077626622527</v>
      </c>
      <c r="AI68" s="13" t="n">
        <f aca="false">AI67-IF(Construction!AI8=1,Inputs!$F$68,0)</f>
        <v>5.13380130806101</v>
      </c>
      <c r="AJ68" s="13" t="n">
        <f aca="false">AJ67-IF(Construction!AJ8=1,Inputs!$F$68,0)</f>
        <v>4.36455619682293</v>
      </c>
      <c r="AK68" s="13" t="n">
        <f aca="false">AK67-IF(Construction!AK8=1,Inputs!$F$68,0)</f>
        <v>3.58140062202883</v>
      </c>
      <c r="AL68" s="13" t="n">
        <f aca="false">AL67-IF(Construction!AL8=1,Inputs!$F$68,0)</f>
        <v>2.89124437907497</v>
      </c>
      <c r="AM68" s="13" t="n">
        <f aca="false">AM67-IF(Construction!AM8=1,Inputs!$F$68,0)</f>
        <v>2.27308900262301</v>
      </c>
      <c r="AN68" s="13" t="n">
        <f aca="false">AN67-IF(Construction!AN8=1,Inputs!$F$68,0)</f>
        <v>1.72016670046058</v>
      </c>
      <c r="AO68" s="13" t="n">
        <f aca="false">AO67-IF(Construction!AO8=1,Inputs!$F$68,0)</f>
        <v>1.43578904615905</v>
      </c>
      <c r="AP68" s="13" t="n">
        <f aca="false">AP67-IF(Construction!AP8=1,Inputs!$F$68,0)</f>
        <v>14.0750388603677</v>
      </c>
      <c r="AQ68" s="13" t="n">
        <f aca="false">AQ67-IF(Construction!AQ8=1,Inputs!$F$68,0)</f>
        <v>10.8486751462942</v>
      </c>
      <c r="AR68" s="13" t="n">
        <f aca="false">AR67-IF(Construction!AR8=1,Inputs!$F$68,0)</f>
        <v>0.965323220673674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44.3667535168114</v>
      </c>
      <c r="J69" s="13" t="n">
        <f aca="false">(1-Inputs!$F$53)*J67</f>
        <v>6.30887309482249</v>
      </c>
      <c r="K69" s="13" t="n">
        <f aca="false">(1-Inputs!$F$53)*K67</f>
        <v>0.129664074635815</v>
      </c>
      <c r="L69" s="13" t="n">
        <f aca="false">(1-Inputs!$F$53)*L67</f>
        <v>0.165283669571981</v>
      </c>
      <c r="M69" s="13" t="n">
        <f aca="false">(1-Inputs!$F$53)*M67</f>
        <v>0.233657956158916</v>
      </c>
      <c r="N69" s="13" t="n">
        <f aca="false">(1-Inputs!$F$53)*N67</f>
        <v>0.336450107735463</v>
      </c>
      <c r="O69" s="13" t="n">
        <f aca="false">(1-Inputs!$F$53)*O67</f>
        <v>0.463631667703751</v>
      </c>
      <c r="P69" s="13" t="n">
        <f aca="false">(1-Inputs!$F$53)*P67</f>
        <v>0.60482054435982</v>
      </c>
      <c r="Q69" s="13" t="n">
        <f aca="false">(1-Inputs!$F$53)*Q67</f>
        <v>0.767710518913354</v>
      </c>
      <c r="R69" s="13" t="n">
        <f aca="false">(1-Inputs!$F$53)*R67</f>
        <v>0.93005532671298</v>
      </c>
      <c r="S69" s="13" t="n">
        <f aca="false">(1-Inputs!$F$53)*S67</f>
        <v>1.09536314183595</v>
      </c>
      <c r="T69" s="13" t="n">
        <f aca="false">(1-Inputs!$F$53)*T67</f>
        <v>1.25006033996049</v>
      </c>
      <c r="U69" s="13" t="n">
        <f aca="false">(1-Inputs!$F$53)*U67</f>
        <v>1.39838252831681</v>
      </c>
      <c r="V69" s="13" t="n">
        <f aca="false">(1-Inputs!$F$53)*V67</f>
        <v>1.52878706245424</v>
      </c>
      <c r="W69" s="13" t="n">
        <f aca="false">(1-Inputs!$F$53)*W67</f>
        <v>1.63723322714853</v>
      </c>
      <c r="X69" s="13" t="n">
        <f aca="false">(1-Inputs!$F$53)*X67</f>
        <v>1.72700602213553</v>
      </c>
      <c r="Y69" s="13" t="n">
        <f aca="false">(1-Inputs!$F$53)*Y67</f>
        <v>1.78678299113039</v>
      </c>
      <c r="Z69" s="13" t="n">
        <f aca="false">(1-Inputs!$F$53)*Z67</f>
        <v>1.82422671320932</v>
      </c>
      <c r="AA69" s="13" t="n">
        <f aca="false">(1-Inputs!$F$53)*AA67</f>
        <v>1.89230879365442</v>
      </c>
      <c r="AB69" s="13" t="n">
        <f aca="false">(1-Inputs!$F$53)*AB67</f>
        <v>1.80502819964098</v>
      </c>
      <c r="AC69" s="13" t="n">
        <f aca="false">(1-Inputs!$F$53)*AC67</f>
        <v>1.76212473788283</v>
      </c>
      <c r="AD69" s="13" t="n">
        <f aca="false">(1-Inputs!$F$53)*AD67</f>
        <v>1.6844741399557</v>
      </c>
      <c r="AE69" s="13" t="n">
        <f aca="false">(1-Inputs!$F$53)*AE67</f>
        <v>1.58930971248182</v>
      </c>
      <c r="AF69" s="13" t="n">
        <f aca="false">(1-Inputs!$F$53)*AF67</f>
        <v>1.46698558616917</v>
      </c>
      <c r="AG69" s="13" t="n">
        <f aca="false">(1-Inputs!$F$53)*AG67</f>
        <v>1.33456121046245</v>
      </c>
      <c r="AH69" s="13" t="n">
        <f aca="false">(1-Inputs!$F$53)*AH67</f>
        <v>1.18615525324505</v>
      </c>
      <c r="AI69" s="13" t="n">
        <f aca="false">(1-Inputs!$F$53)*AI67</f>
        <v>1.0267602616122</v>
      </c>
      <c r="AJ69" s="13" t="n">
        <f aca="false">(1-Inputs!$F$53)*AJ67</f>
        <v>0.872911239364585</v>
      </c>
      <c r="AK69" s="13" t="n">
        <f aca="false">(1-Inputs!$F$53)*AK67</f>
        <v>0.716280124405765</v>
      </c>
      <c r="AL69" s="13" t="n">
        <f aca="false">(1-Inputs!$F$53)*AL67</f>
        <v>0.578248875814994</v>
      </c>
      <c r="AM69" s="13" t="n">
        <f aca="false">(1-Inputs!$F$53)*AM67</f>
        <v>0.454617800524601</v>
      </c>
      <c r="AN69" s="13" t="n">
        <f aca="false">(1-Inputs!$F$53)*AN67</f>
        <v>0.344033340092117</v>
      </c>
      <c r="AO69" s="13" t="n">
        <f aca="false">(1-Inputs!$F$53)*AO67</f>
        <v>0.28715780923181</v>
      </c>
      <c r="AP69" s="13" t="n">
        <f aca="false">(1-Inputs!$F$53)*AP67</f>
        <v>2.81500777207354</v>
      </c>
      <c r="AQ69" s="13" t="n">
        <f aca="false">(1-Inputs!$F$53)*AQ67</f>
        <v>2.16973502925883</v>
      </c>
      <c r="AR69" s="13" t="n">
        <f aca="false">(1-Inputs!$F$53)*AR67</f>
        <v>0.193064644134735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177.467014067246</v>
      </c>
      <c r="J70" s="13" t="n">
        <f aca="false">Inputs!$F$53*J67</f>
        <v>25.23549237929</v>
      </c>
      <c r="K70" s="13" t="n">
        <f aca="false">Inputs!$F$53*K67</f>
        <v>0.518656298543261</v>
      </c>
      <c r="L70" s="13" t="n">
        <f aca="false">Inputs!$F$53*L67</f>
        <v>0.661134678287925</v>
      </c>
      <c r="M70" s="13" t="n">
        <f aca="false">Inputs!$F$53*M67</f>
        <v>0.934631824635666</v>
      </c>
      <c r="N70" s="13" t="n">
        <f aca="false">Inputs!$F$53*N67</f>
        <v>1.34580043094185</v>
      </c>
      <c r="O70" s="13" t="n">
        <f aca="false">Inputs!$F$53*O67</f>
        <v>1.854526670815</v>
      </c>
      <c r="P70" s="13" t="n">
        <f aca="false">Inputs!$F$53*P67</f>
        <v>2.41928217743928</v>
      </c>
      <c r="Q70" s="13" t="n">
        <f aca="false">Inputs!$F$53*Q67</f>
        <v>3.07084207565342</v>
      </c>
      <c r="R70" s="13" t="n">
        <f aca="false">Inputs!$F$53*R67</f>
        <v>3.72022130685192</v>
      </c>
      <c r="S70" s="13" t="n">
        <f aca="false">Inputs!$F$53*S67</f>
        <v>4.38145256734379</v>
      </c>
      <c r="T70" s="13" t="n">
        <f aca="false">Inputs!$F$53*T67</f>
        <v>5.00024135984198</v>
      </c>
      <c r="U70" s="13" t="n">
        <f aca="false">Inputs!$F$53*U67</f>
        <v>5.59353011326724</v>
      </c>
      <c r="V70" s="13" t="n">
        <f aca="false">Inputs!$F$53*V67</f>
        <v>6.11514824981696</v>
      </c>
      <c r="W70" s="13" t="n">
        <f aca="false">Inputs!$F$53*W67</f>
        <v>6.54893290859411</v>
      </c>
      <c r="X70" s="13" t="n">
        <f aca="false">Inputs!$F$53*X67</f>
        <v>6.90802408854214</v>
      </c>
      <c r="Y70" s="13" t="n">
        <f aca="false">Inputs!$F$53*Y67</f>
        <v>7.14713196452157</v>
      </c>
      <c r="Z70" s="13" t="n">
        <f aca="false">Inputs!$F$53*Z67</f>
        <v>7.29690685283728</v>
      </c>
      <c r="AA70" s="13" t="n">
        <f aca="false">Inputs!$F$53*AA67</f>
        <v>7.5692351746177</v>
      </c>
      <c r="AB70" s="13" t="n">
        <f aca="false">Inputs!$F$53*AB67</f>
        <v>7.22011279856392</v>
      </c>
      <c r="AC70" s="13" t="n">
        <f aca="false">Inputs!$F$53*AC67</f>
        <v>7.04849895153134</v>
      </c>
      <c r="AD70" s="13" t="n">
        <f aca="false">Inputs!$F$53*AD67</f>
        <v>6.73789655982279</v>
      </c>
      <c r="AE70" s="13" t="n">
        <f aca="false">Inputs!$F$53*AE67</f>
        <v>6.35723884992728</v>
      </c>
      <c r="AF70" s="13" t="n">
        <f aca="false">Inputs!$F$53*AF67</f>
        <v>5.86794234467668</v>
      </c>
      <c r="AG70" s="13" t="n">
        <f aca="false">Inputs!$F$53*AG67</f>
        <v>5.33824484184979</v>
      </c>
      <c r="AH70" s="13" t="n">
        <f aca="false">Inputs!$F$53*AH67</f>
        <v>4.74462101298021</v>
      </c>
      <c r="AI70" s="13" t="n">
        <f aca="false">Inputs!$F$53*AI67</f>
        <v>4.10704104644881</v>
      </c>
      <c r="AJ70" s="13" t="n">
        <f aca="false">Inputs!$F$53*AJ67</f>
        <v>3.49164495745834</v>
      </c>
      <c r="AK70" s="13" t="n">
        <f aca="false">Inputs!$F$53*AK67</f>
        <v>2.86512049762306</v>
      </c>
      <c r="AL70" s="13" t="n">
        <f aca="false">Inputs!$F$53*AL67</f>
        <v>2.31299550325998</v>
      </c>
      <c r="AM70" s="13" t="n">
        <f aca="false">Inputs!$F$53*AM67</f>
        <v>1.8184712020984</v>
      </c>
      <c r="AN70" s="13" t="n">
        <f aca="false">Inputs!$F$53*AN67</f>
        <v>1.37613336036847</v>
      </c>
      <c r="AO70" s="13" t="n">
        <f aca="false">Inputs!$F$53*AO67</f>
        <v>1.14863123692724</v>
      </c>
      <c r="AP70" s="13" t="n">
        <f aca="false">Inputs!$F$53*AP67</f>
        <v>11.2600310882942</v>
      </c>
      <c r="AQ70" s="13" t="n">
        <f aca="false">Inputs!$F$53*AQ67</f>
        <v>8.67894011703532</v>
      </c>
      <c r="AR70" s="13" t="n">
        <f aca="false">Inputs!$F$53*AR67</f>
        <v>0.772258576538939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24.1927046575272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0.197044255564319</v>
      </c>
      <c r="L71" s="13" t="n">
        <f aca="false">IF(Construction!L8&lt;=Time!$F$11,K72*Inputs!$F$104/100*Construction!L11/Inputs!$F$248,0)</f>
        <v>0.209387022435221</v>
      </c>
      <c r="M71" s="13" t="n">
        <f aca="false">IF(Construction!M8&lt;=Time!$F$11,L72*Inputs!$F$104/100*Construction!M11/Inputs!$F$248,0)</f>
        <v>0.209429826595189</v>
      </c>
      <c r="N71" s="13" t="n">
        <f aca="false">IF(Construction!N8&lt;=Time!$F$11,M72*Inputs!$F$104/100*Construction!N11/Inputs!$F$248,0)</f>
        <v>0.225641674411946</v>
      </c>
      <c r="O71" s="13" t="n">
        <f aca="false">IF(Construction!O8&lt;=Time!$F$11,N72*Inputs!$F$104/100*Construction!O11/Inputs!$F$248,0)</f>
        <v>0.238320844275691</v>
      </c>
      <c r="P71" s="13" t="n">
        <f aca="false">IF(Construction!P8&lt;=Time!$F$11,O72*Inputs!$F$104/100*Construction!P11/Inputs!$F$248,0)</f>
        <v>0.230509521395664</v>
      </c>
      <c r="Q71" s="13" t="n">
        <f aca="false">IF(Construction!Q8&lt;=Time!$F$11,P72*Inputs!$F$104/100*Construction!Q11/Inputs!$F$248,0)</f>
        <v>0.27658679628942</v>
      </c>
      <c r="R71" s="13" t="n">
        <f aca="false">IF(Construction!R8&lt;=Time!$F$11,Q72*Inputs!$F$104/100*Construction!R11/Inputs!$F$248,0)</f>
        <v>0.293802099885576</v>
      </c>
      <c r="S71" s="13" t="n">
        <f aca="false">IF(Construction!S8&lt;=Time!$F$11,R72*Inputs!$F$104/100*Construction!S11/Inputs!$F$248,0)</f>
        <v>0.335982623579046</v>
      </c>
      <c r="T71" s="13" t="n">
        <f aca="false">IF(Construction!T8&lt;=Time!$F$11,S72*Inputs!$F$104/100*Construction!T11/Inputs!$F$248,0)</f>
        <v>0.361979242360458</v>
      </c>
      <c r="U71" s="13" t="n">
        <f aca="false">IF(Construction!U8&lt;=Time!$F$11,T72*Inputs!$F$104/100*Construction!U11/Inputs!$F$248,0)</f>
        <v>0.417310257307139</v>
      </c>
      <c r="V71" s="13" t="n">
        <f aca="false">IF(Construction!V8&lt;=Time!$F$11,U72*Inputs!$F$104/100*Construction!V11/Inputs!$F$248,0)</f>
        <v>0.465808681666979</v>
      </c>
      <c r="W71" s="13" t="n">
        <f aca="false">IF(Construction!W8&lt;=Time!$F$11,V72*Inputs!$F$104/100*Construction!W11/Inputs!$F$248,0)</f>
        <v>0.502168149284138</v>
      </c>
      <c r="X71" s="13" t="n">
        <f aca="false">IF(Construction!X8&lt;=Time!$F$11,W72*Inputs!$F$104/100*Construction!X11/Inputs!$F$248,0)</f>
        <v>0.575798848183887</v>
      </c>
      <c r="Y71" s="13" t="n">
        <f aca="false">IF(Construction!Y8&lt;=Time!$F$11,X72*Inputs!$F$104/100*Construction!Y11/Inputs!$F$248,0)</f>
        <v>0.615660021570774</v>
      </c>
      <c r="Z71" s="13" t="n">
        <f aca="false">IF(Construction!Z8&lt;=Time!$F$11,Y72*Inputs!$F$104/100*Construction!Z11/Inputs!$F$248,0)</f>
        <v>0.698816056259778</v>
      </c>
      <c r="AA71" s="13" t="n">
        <f aca="false">IF(Construction!AA8&lt;=Time!$F$11,Z72*Inputs!$F$104/100*Construction!AA11/Inputs!$F$248,0)</f>
        <v>0.763329491786602</v>
      </c>
      <c r="AB71" s="13" t="n">
        <f aca="false">IF(Construction!AB8&lt;=Time!$F$11,AA72*Inputs!$F$104/100*Construction!AB11/Inputs!$F$248,0)</f>
        <v>0.776976169323503</v>
      </c>
      <c r="AC71" s="13" t="n">
        <f aca="false">IF(Construction!AC8&lt;=Time!$F$11,AB72*Inputs!$F$104/100*Construction!AC11/Inputs!$F$248,0)</f>
        <v>0.895085190287942</v>
      </c>
      <c r="AD71" s="13" t="n">
        <f aca="false">IF(Construction!AD8&lt;=Time!$F$11,AC72*Inputs!$F$104/100*Construction!AD11/Inputs!$F$248,0)</f>
        <v>0.928236720511065</v>
      </c>
      <c r="AE71" s="13" t="n">
        <f aca="false">IF(Construction!AE8&lt;=Time!$F$11,AD72*Inputs!$F$104/100*Construction!AE11/Inputs!$F$248,0)</f>
        <v>1.02103208839271</v>
      </c>
      <c r="AF71" s="13" t="n">
        <f aca="false">IF(Construction!AF8&lt;=Time!$F$11,AE72*Inputs!$F$104/100*Construction!AF11/Inputs!$F$248,0)</f>
        <v>1.04570672605398</v>
      </c>
      <c r="AG71" s="13" t="n">
        <f aca="false">IF(Construction!AG8&lt;=Time!$F$11,AF72*Inputs!$F$104/100*Construction!AG11/Inputs!$F$248,0)</f>
        <v>1.13634634709587</v>
      </c>
      <c r="AH71" s="13" t="n">
        <f aca="false">IF(Construction!AH8&lt;=Time!$F$11,AG72*Inputs!$F$104/100*Construction!AH11/Inputs!$F$248,0)</f>
        <v>1.18858654175737</v>
      </c>
      <c r="AI71" s="13" t="n">
        <f aca="false">IF(Construction!AI8&lt;=Time!$F$11,AH72*Inputs!$F$104/100*Construction!AI11/Inputs!$F$248,0)</f>
        <v>1.1965728254268</v>
      </c>
      <c r="AJ71" s="13" t="n">
        <f aca="false">IF(Construction!AJ8&lt;=Time!$F$11,AI72*Inputs!$F$104/100*Construction!AJ11/Inputs!$F$248,0)</f>
        <v>1.27925075847347</v>
      </c>
      <c r="AK71" s="13" t="n">
        <f aca="false">IF(Construction!AK8&lt;=Time!$F$11,AJ72*Inputs!$F$104/100*Construction!AK11/Inputs!$F$248,0)</f>
        <v>1.27523680440009</v>
      </c>
      <c r="AL71" s="13" t="n">
        <f aca="false">IF(Construction!AL8&lt;=Time!$F$11,AK72*Inputs!$F$104/100*Construction!AL11/Inputs!$F$248,0)</f>
        <v>1.35115114241285</v>
      </c>
      <c r="AM71" s="13" t="n">
        <f aca="false">IF(Construction!AM8&lt;=Time!$F$11,AL72*Inputs!$F$104/100*Construction!AM11/Inputs!$F$248,0)</f>
        <v>1.38071528452657</v>
      </c>
      <c r="AN71" s="13" t="n">
        <f aca="false">IF(Construction!AN8&lt;=Time!$F$11,AM72*Inputs!$F$104/100*Construction!AN11/Inputs!$F$248,0)</f>
        <v>1.27041229567377</v>
      </c>
      <c r="AO71" s="13" t="n">
        <f aca="false">IF(Construction!AO8&lt;=Time!$F$11,AN72*Inputs!$F$104/100*Construction!AO11/Inputs!$F$248,0)</f>
        <v>1.42788153428042</v>
      </c>
      <c r="AP71" s="13" t="n">
        <f aca="false">IF(Construction!AP8&lt;=Time!$F$11,AO72*Inputs!$F$104/100*Construction!AP11/Inputs!$F$248,0)</f>
        <v>1.40193881605893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25.23549237929</v>
      </c>
      <c r="K72" s="13" t="n">
        <f aca="false">J72+K71+K70</f>
        <v>25.9511929333975</v>
      </c>
      <c r="L72" s="13" t="n">
        <f aca="false">K72+L71+L70</f>
        <v>26.8217146341207</v>
      </c>
      <c r="M72" s="13" t="n">
        <f aca="false">L72+M71+M70</f>
        <v>27.9657762853515</v>
      </c>
      <c r="N72" s="13" t="n">
        <f aca="false">M72+N71+N70</f>
        <v>29.5372183907053</v>
      </c>
      <c r="O72" s="13" t="n">
        <f aca="false">N72+O71+O70</f>
        <v>31.630065905796</v>
      </c>
      <c r="P72" s="13" t="n">
        <f aca="false">O72+P71+P70</f>
        <v>34.279857604631</v>
      </c>
      <c r="Q72" s="13" t="n">
        <f aca="false">P72+Q71+Q70</f>
        <v>37.6272864765738</v>
      </c>
      <c r="R72" s="13" t="n">
        <f aca="false">Q72+R71+R70</f>
        <v>41.6413098833113</v>
      </c>
      <c r="S72" s="13" t="n">
        <f aca="false">R72+S71+S70</f>
        <v>46.3587450742341</v>
      </c>
      <c r="T72" s="13" t="n">
        <f aca="false">S72+T71+T70</f>
        <v>51.7209656764366</v>
      </c>
      <c r="U72" s="13" t="n">
        <f aca="false">T72+U71+U70</f>
        <v>57.7318060470109</v>
      </c>
      <c r="V72" s="13" t="n">
        <f aca="false">U72+V71+V70</f>
        <v>64.3127629784949</v>
      </c>
      <c r="W72" s="13" t="n">
        <f aca="false">V72+W71+W70</f>
        <v>71.3638640363731</v>
      </c>
      <c r="X72" s="13" t="n">
        <f aca="false">W72+X71+X70</f>
        <v>78.8476869730991</v>
      </c>
      <c r="Y72" s="13" t="n">
        <f aca="false">X72+Y71+Y70</f>
        <v>86.6104789591915</v>
      </c>
      <c r="Z72" s="13" t="n">
        <f aca="false">Y72+Z71+Z70</f>
        <v>94.6062018682885</v>
      </c>
      <c r="AA72" s="13" t="n">
        <f aca="false">Z72+AA71+AA70</f>
        <v>102.938766534693</v>
      </c>
      <c r="AB72" s="13" t="n">
        <f aca="false">AA72+AB71+AB70</f>
        <v>110.93585550258</v>
      </c>
      <c r="AC72" s="13" t="n">
        <f aca="false">AB72+AC71+AC70</f>
        <v>118.8794396444</v>
      </c>
      <c r="AD72" s="13" t="n">
        <f aca="false">AC72+AD71+AD70</f>
        <v>126.545572924733</v>
      </c>
      <c r="AE72" s="13" t="n">
        <f aca="false">AD72+AE71+AE70</f>
        <v>133.923843863053</v>
      </c>
      <c r="AF72" s="13" t="n">
        <f aca="false">AE72+AF71+AF70</f>
        <v>140.837492933784</v>
      </c>
      <c r="AG72" s="13" t="n">
        <f aca="false">AF72+AG71+AG70</f>
        <v>147.31208412273</v>
      </c>
      <c r="AH72" s="13" t="n">
        <f aca="false">AG72+AH71+AH70</f>
        <v>153.245291677467</v>
      </c>
      <c r="AI72" s="13" t="n">
        <f aca="false">AH72+AI71+AI70</f>
        <v>158.548905549343</v>
      </c>
      <c r="AJ72" s="13" t="n">
        <f aca="false">AI72+AJ71+AJ70</f>
        <v>163.319801265275</v>
      </c>
      <c r="AK72" s="13" t="n">
        <f aca="false">AJ72+AK71+AK70</f>
        <v>167.460158567298</v>
      </c>
      <c r="AL72" s="13" t="n">
        <f aca="false">AK72+AL71+AL70</f>
        <v>171.124305212971</v>
      </c>
      <c r="AM72" s="13" t="n">
        <f aca="false">AL72+AM71+AM70</f>
        <v>174.323491699596</v>
      </c>
      <c r="AN72" s="13" t="n">
        <f aca="false">AM72+AN71+AN70</f>
        <v>176.970037355638</v>
      </c>
      <c r="AO72" s="13" t="n">
        <f aca="false">AN72+AO71+AO70</f>
        <v>179.546550126846</v>
      </c>
      <c r="AP72" s="13" t="n">
        <f aca="false">AO72+AP71+AP70</f>
        <v>192.208520031199</v>
      </c>
      <c r="AQ72" s="13" t="n">
        <f aca="false">AP72+AQ71+AQ70</f>
        <v>200.887460148234</v>
      </c>
      <c r="AR72" s="13" t="n">
        <f aca="false">AQ72+AR71+AR70</f>
        <v>201.659718724773</v>
      </c>
      <c r="AS72" s="13" t="n">
        <f aca="false">AR72+AS71+AS70</f>
        <v>201.659718724773</v>
      </c>
      <c r="AT72" s="13" t="n">
        <f aca="false">AS72+AT71+AT70</f>
        <v>201.659718724773</v>
      </c>
      <c r="AU72" s="13" t="n">
        <f aca="false">AT72+AU71+AU70</f>
        <v>201.659718724773</v>
      </c>
      <c r="AV72" s="13" t="n">
        <f aca="false">AU72+AV71+AV70</f>
        <v>201.659718724773</v>
      </c>
      <c r="AW72" s="13" t="n">
        <f aca="false">AV72+AW71+AW70</f>
        <v>201.659718724773</v>
      </c>
      <c r="AX72" s="13" t="n">
        <f aca="false">AW72+AX71+AX70</f>
        <v>201.659718724773</v>
      </c>
      <c r="AY72" s="13" t="n">
        <f aca="false">AX72+AY71+AY70</f>
        <v>201.659718724773</v>
      </c>
      <c r="AZ72" s="13" t="n">
        <f aca="false">AY72+AZ71+AZ70</f>
        <v>201.659718724773</v>
      </c>
      <c r="BA72" s="13" t="n">
        <f aca="false">AZ72+BA71+BA70</f>
        <v>201.659718724773</v>
      </c>
      <c r="BB72" s="13" t="n">
        <f aca="false">BA72+BB71+BB70</f>
        <v>201.659718724773</v>
      </c>
      <c r="BC72" s="13" t="n">
        <f aca="false">BB72+BC71+BC70</f>
        <v>201.659718724773</v>
      </c>
      <c r="BD72" s="13" t="n">
        <f aca="false">BC72+BD71+BD70</f>
        <v>201.659718724773</v>
      </c>
      <c r="BE72" s="13" t="n">
        <f aca="false">BD72+BE71+BE70</f>
        <v>201.659718724773</v>
      </c>
      <c r="BF72" s="13" t="n">
        <f aca="false">BE72+BF71+BF70</f>
        <v>201.659718724773</v>
      </c>
      <c r="BG72" s="13" t="n">
        <f aca="false">BF72+BG71+BG70</f>
        <v>201.659718724773</v>
      </c>
      <c r="BH72" s="13" t="n">
        <f aca="false">BG72+BH71+BH70</f>
        <v>201.659718724773</v>
      </c>
      <c r="BI72" s="13" t="n">
        <f aca="false">BH72+BI71+BI70</f>
        <v>201.659718724773</v>
      </c>
      <c r="BJ72" s="13" t="n">
        <f aca="false">BI72+BJ71+BJ70</f>
        <v>201.659718724773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633.255975542792</v>
      </c>
      <c r="J73" s="13" t="n">
        <f aca="false">J47+J55</f>
        <v>90.0478684951254</v>
      </c>
      <c r="K73" s="13" t="n">
        <f aca="false">K47+K55</f>
        <v>1.85072252458686</v>
      </c>
      <c r="L73" s="13" t="n">
        <f aca="false">L47+L55</f>
        <v>2.35912847164796</v>
      </c>
      <c r="M73" s="13" t="n">
        <f aca="false">M47+M55</f>
        <v>3.3350490004792</v>
      </c>
      <c r="N73" s="13" t="n">
        <f aca="false">N47+N55</f>
        <v>4.80222293287169</v>
      </c>
      <c r="O73" s="13" t="n">
        <f aca="false">O47+O55</f>
        <v>6.61751200508777</v>
      </c>
      <c r="P73" s="13" t="n">
        <f aca="false">P47+P55</f>
        <v>8.63273044537214</v>
      </c>
      <c r="Q73" s="13" t="n">
        <f aca="false">Q47+Q55</f>
        <v>10.9576932061239</v>
      </c>
      <c r="R73" s="13" t="n">
        <f aca="false">R47+R55</f>
        <v>13.2748746874893</v>
      </c>
      <c r="S73" s="13" t="n">
        <f aca="false">S47+S55</f>
        <v>15.6343477936492</v>
      </c>
      <c r="T73" s="13" t="n">
        <f aca="false">T47+T55</f>
        <v>17.84237333861</v>
      </c>
      <c r="U73" s="13" t="n">
        <f aca="false">U47+U55</f>
        <v>19.9594070324688</v>
      </c>
      <c r="V73" s="13" t="n">
        <f aca="false">V47+V55</f>
        <v>21.820698290778</v>
      </c>
      <c r="W73" s="13" t="n">
        <f aca="false">W47+W55</f>
        <v>23.368573137905</v>
      </c>
      <c r="X73" s="13" t="n">
        <f aca="false">X47+X55</f>
        <v>24.6499190638619</v>
      </c>
      <c r="Y73" s="13" t="n">
        <f aca="false">Y47+Y55</f>
        <v>25.5031282760592</v>
      </c>
      <c r="Z73" s="13" t="n">
        <f aca="false">Z47+Z55</f>
        <v>26.0375703723027</v>
      </c>
      <c r="AA73" s="13" t="n">
        <f aca="false">AA47+AA55</f>
        <v>27.0093201816033</v>
      </c>
      <c r="AB73" s="13" t="n">
        <f aca="false">AB47+AB55</f>
        <v>25.7635459626942</v>
      </c>
      <c r="AC73" s="13" t="n">
        <f aca="false">AC47+AC55</f>
        <v>25.1511758572385</v>
      </c>
      <c r="AD73" s="13" t="n">
        <f aca="false">AD47+AD55</f>
        <v>24.0428525916383</v>
      </c>
      <c r="AE73" s="13" t="n">
        <f aca="false">AE47+AE55</f>
        <v>22.684550764706</v>
      </c>
      <c r="AF73" s="13" t="n">
        <f aca="false">AF47+AF55</f>
        <v>20.938592861539</v>
      </c>
      <c r="AG73" s="13" t="n">
        <f aca="false">AG47+AG55</f>
        <v>19.0484719810011</v>
      </c>
      <c r="AH73" s="13" t="n">
        <f aca="false">AH47+AH55</f>
        <v>16.9302426366239</v>
      </c>
      <c r="AI73" s="13" t="n">
        <f aca="false">AI47+AI55</f>
        <v>14.6551644999094</v>
      </c>
      <c r="AJ73" s="13" t="n">
        <f aca="false">AJ47+AJ55</f>
        <v>12.4592451470814</v>
      </c>
      <c r="AK73" s="13" t="n">
        <f aca="false">AK47+AK55</f>
        <v>10.2236164016511</v>
      </c>
      <c r="AL73" s="13" t="n">
        <f aca="false">AL47+AL55</f>
        <v>8.25346744881826</v>
      </c>
      <c r="AM73" s="13" t="n">
        <f aca="false">AM47+AM55</f>
        <v>6.48885518885751</v>
      </c>
      <c r="AN73" s="13" t="n">
        <f aca="false">AN47+AN55</f>
        <v>4.91045999831217</v>
      </c>
      <c r="AO73" s="13" t="n">
        <f aca="false">AO47+AO55</f>
        <v>4.09866362096826</v>
      </c>
      <c r="AP73" s="13" t="n">
        <f aca="false">AP47+AP55</f>
        <v>40.1791961674523</v>
      </c>
      <c r="AQ73" s="13" t="n">
        <f aca="false">AQ47+AQ55</f>
        <v>30.9690830117203</v>
      </c>
      <c r="AR73" s="13" t="n">
        <f aca="false">AR47+AR55</f>
        <v>2.75565214655776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106.853847689753</v>
      </c>
      <c r="J74" s="13" t="n">
        <f aca="false">J33+J34+J35+J36+J37+J38+J39+J40+J41+J42+J43+J48+Construction!J14*Construction!J38</f>
        <v>13.4806339692379</v>
      </c>
      <c r="K74" s="13" t="n">
        <f aca="false">K33+K34+K35+K36+K37+K38+K39+K40+K41+K42+K43+K48+Construction!K14*Construction!K38</f>
        <v>1.07821351867503</v>
      </c>
      <c r="L74" s="13" t="n">
        <f aca="false">L33+L34+L35+L36+L37+L38+L39+L40+L41+L42+L43+L48+Construction!L14*Construction!L38</f>
        <v>1.13087234950787</v>
      </c>
      <c r="M74" s="13" t="n">
        <f aca="false">M33+M34+M35+M36+M37+M38+M39+M40+M41+M42+M43+M48+Construction!M14*Construction!M38</f>
        <v>1.14634454400106</v>
      </c>
      <c r="N74" s="13" t="n">
        <f aca="false">N33+N34+N35+N36+N37+N38+N39+N40+N41+N42+N43+N48+Construction!N14*Construction!N38</f>
        <v>1.23831167063991</v>
      </c>
      <c r="O74" s="13" t="n">
        <f aca="false">O33+O34+O35+O36+O37+O38+O39+O40+O41+O42+O43+O48+Construction!O14*Construction!O38</f>
        <v>1.32727610633379</v>
      </c>
      <c r="P74" s="13" t="n">
        <f aca="false">P33+P34+P35+P36+P37+P38+P39+P40+P41+P42+P43+P48+Construction!P14*Construction!P38</f>
        <v>1.33867386808033</v>
      </c>
      <c r="Q74" s="13" t="n">
        <f aca="false">Q33+Q34+Q35+Q36+Q37+Q38+Q39+Q40+Q41+Q42+Q43+Q48+Construction!Q14*Construction!Q38</f>
        <v>1.54693944705431</v>
      </c>
      <c r="R74" s="13" t="n">
        <f aca="false">R33+R34+R35+R36+R37+R38+R39+R40+R41+R42+R43+R48+Construction!R14*Construction!R38</f>
        <v>1.64761139650876</v>
      </c>
      <c r="S74" s="13" t="n">
        <f aca="false">S33+S34+S35+S36+S37+S38+S39+S40+S41+S42+S43+S48+Construction!S14*Construction!S38</f>
        <v>1.82455995646531</v>
      </c>
      <c r="T74" s="13" t="n">
        <f aca="false">T33+T34+T35+T36+T37+T38+T39+T40+T41+T42+T43+T48+Construction!T14*Construction!T38</f>
        <v>1.92439527386696</v>
      </c>
      <c r="U74" s="13" t="n">
        <f aca="false">U33+U34+U35+U36+U37+U38+U39+U40+U41+U42+U43+U48+Construction!U14*Construction!U38</f>
        <v>2.125219225871</v>
      </c>
      <c r="V74" s="13" t="n">
        <f aca="false">V33+V34+V35+V36+V37+V38+V39+V40+V41+V42+V43+V48+Construction!V14*Construction!V38</f>
        <v>2.28990519850377</v>
      </c>
      <c r="W74" s="13" t="n">
        <f aca="false">W33+W34+W35+W36+W37+W38+W39+W40+W41+W42+W43+W48+Construction!W14*Construction!W38</f>
        <v>2.41354512364762</v>
      </c>
      <c r="X74" s="13" t="n">
        <f aca="false">X33+X34+X35+X36+X37+X38+X39+X40+X41+X42+X43+X48+Construction!X14*Construction!X38</f>
        <v>2.6163429518123</v>
      </c>
      <c r="Y74" s="13" t="n">
        <f aca="false">Y33+Y34+Y35+Y36+Y37+Y38+Y39+Y40+Y41+Y42+Y43+Y48+Construction!Y14*Construction!Y38</f>
        <v>2.72583913262024</v>
      </c>
      <c r="Z74" s="13" t="n">
        <f aca="false">Z33+Z34+Z35+Z36+Z37+Z38+Z39+Z40+Z41+Z42+Z43+Z48+Construction!Z14*Construction!Z38</f>
        <v>2.91878027562201</v>
      </c>
      <c r="AA74" s="13" t="n">
        <f aca="false">AA33+AA34+AA35+AA36+AA37+AA38+AA39+AA40+AA41+AA42+AA43+AA48+Construction!AA14*Construction!AA38</f>
        <v>3.08794048714812</v>
      </c>
      <c r="AB74" s="13" t="n">
        <f aca="false">AB33+AB34+AB35+AB36+AB37+AB38+AB39+AB40+AB41+AB42+AB43+AB48+Construction!AB14*Construction!AB38</f>
        <v>3.07748286180818</v>
      </c>
      <c r="AC74" s="13" t="n">
        <f aca="false">AC33+AC34+AC35+AC36+AC37+AC38+AC39+AC40+AC41+AC42+AC43+AC48+Construction!AC14*Construction!AC38</f>
        <v>3.29319332392536</v>
      </c>
      <c r="AD74" s="13" t="n">
        <f aca="false">AD33+AD34+AD35+AD36+AD37+AD38+AD39+AD40+AD41+AD42+AD43+AD48+Construction!AD14*Construction!AD38</f>
        <v>3.32402914141679</v>
      </c>
      <c r="AE74" s="13" t="n">
        <f aca="false">AE33+AE34+AE35+AE36+AE37+AE38+AE39+AE40+AE41+AE42+AE43+AE48+Construction!AE14*Construction!AE38</f>
        <v>3.45637092256963</v>
      </c>
      <c r="AF74" s="13" t="n">
        <f aca="false">AF33+AF34+AF35+AF36+AF37+AF38+AF39+AF40+AF41+AF42+AF43+AF48+Construction!AF14*Construction!AF38</f>
        <v>3.44742034420307</v>
      </c>
      <c r="AG74" s="13" t="n">
        <f aca="false">AG33+AG34+AG35+AG36+AG37+AG38+AG39+AG40+AG41+AG42+AG43+AG48+Construction!AG14*Construction!AG38</f>
        <v>3.55299826876788</v>
      </c>
      <c r="AH74" s="13" t="n">
        <f aca="false">AH33+AH34+AH35+AH36+AH37+AH38+AH39+AH40+AH41+AH42+AH43+AH48+Construction!AH14*Construction!AH38</f>
        <v>3.57441535648548</v>
      </c>
      <c r="AI74" s="13" t="n">
        <f aca="false">AI33+AI34+AI35+AI36+AI37+AI38+AI39+AI40+AI41+AI42+AI43+AI48+Construction!AI14*Construction!AI38</f>
        <v>3.51142588342495</v>
      </c>
      <c r="AJ74" s="13" t="n">
        <f aca="false">AJ33+AJ34+AJ35+AJ36+AJ37+AJ38+AJ39+AJ40+AJ41+AJ42+AJ43+AJ48+Construction!AJ14*Construction!AJ38</f>
        <v>3.57449499026792</v>
      </c>
      <c r="AK74" s="13" t="n">
        <f aca="false">AK33+AK34+AK35+AK36+AK37+AK38+AK39+AK40+AK41+AK42+AK43+AK48+Construction!AK14*Construction!AK38</f>
        <v>3.48685772458901</v>
      </c>
      <c r="AL74" s="13" t="n">
        <f aca="false">AL33+AL34+AL35+AL36+AL37+AL38+AL39+AL40+AL41+AL42+AL43+AL48+Construction!AL14*Construction!AL38</f>
        <v>3.5363175906205</v>
      </c>
      <c r="AM74" s="13" t="n">
        <f aca="false">AM33+AM34+AM35+AM36+AM37+AM38+AM39+AM40+AM41+AM42+AM43+AM48+Construction!AM14*Construction!AM38</f>
        <v>3.51578239057142</v>
      </c>
      <c r="AN74" s="13" t="n">
        <f aca="false">AN33+AN34+AN35+AN36+AN37+AN38+AN39+AN40+AN41+AN42+AN43+AN48+Construction!AN14*Construction!AN38</f>
        <v>3.27363246150002</v>
      </c>
      <c r="AO74" s="13" t="n">
        <f aca="false">AO33+AO34+AO35+AO36+AO37+AO38+AO39+AO40+AO41+AO42+AO43+AO48+Construction!AO14*Construction!AO38</f>
        <v>3.47977819712731</v>
      </c>
      <c r="AP74" s="13" t="n">
        <f aca="false">AP33+AP34+AP35+AP36+AP37+AP38+AP39+AP40+AP41+AP42+AP43+AP48+Construction!AP14*Construction!AP38</f>
        <v>4.59540564872908</v>
      </c>
      <c r="AQ74" s="13" t="n">
        <f aca="false">AQ33+AQ34+AQ35+AQ36+AQ37+AQ38+AQ39+AQ40+AQ41+AQ42+AQ43+AQ48+Construction!AQ14*Construction!AQ38</f>
        <v>4.57186272091907</v>
      </c>
      <c r="AR74" s="13" t="n">
        <f aca="false">AR33+AR34+AR35+AR36+AR37+AR38+AR39+AR40+AR41+AR42+AR43+AR48+Construction!AR14*Construction!AR38</f>
        <v>3.72097536723144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855.089743126849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189.976792662832</v>
      </c>
      <c r="Q21" s="13" t="n">
        <f aca="false">Time!Q35*P33</f>
        <v>185.329878222609</v>
      </c>
      <c r="R21" s="13" t="n">
        <f aca="false">Time!R35*Q33</f>
        <v>180.486298323733</v>
      </c>
      <c r="S21" s="13" t="n">
        <f aca="false">Time!S35*R33</f>
        <v>175.404129920104</v>
      </c>
      <c r="T21" s="13" t="n">
        <f aca="false">Time!T35*S33</f>
        <v>170.172198235414</v>
      </c>
      <c r="U21" s="13" t="n">
        <f aca="false">Time!U35*T33</f>
        <v>164.699599568086</v>
      </c>
      <c r="V21" s="13" t="n">
        <f aca="false">Time!V35*U33</f>
        <v>159.052470095201</v>
      </c>
      <c r="W21" s="13" t="n">
        <f aca="false">Time!W35*V33</f>
        <v>153.036417643677</v>
      </c>
      <c r="X21" s="13" t="n">
        <f aca="false">Time!X35*W33</f>
        <v>146.836458160947</v>
      </c>
      <c r="Y21" s="13" t="n">
        <f aca="false">Time!Y35*X33</f>
        <v>140.808595500226</v>
      </c>
      <c r="Z21" s="13" t="n">
        <f aca="false">Time!Z35*Y33</f>
        <v>134.777896431895</v>
      </c>
      <c r="AA21" s="13" t="n">
        <f aca="false">Time!AA35*Z33</f>
        <v>128.497357834404</v>
      </c>
      <c r="AB21" s="13" t="n">
        <f aca="false">Time!AB35*AA33</f>
        <v>122.033537374499</v>
      </c>
      <c r="AC21" s="13" t="n">
        <f aca="false">Time!AC35*AB33</f>
        <v>115.260912492887</v>
      </c>
      <c r="AD21" s="13" t="n">
        <f aca="false">Time!AD35*AC33</f>
        <v>108.263921004166</v>
      </c>
      <c r="AE21" s="13" t="n">
        <f aca="false">Time!AE35*AD33</f>
        <v>100.623716898676</v>
      </c>
      <c r="AF21" s="13" t="n">
        <f aca="false">Time!AF35*AE33</f>
        <v>92.6551326999459</v>
      </c>
      <c r="AG21" s="13" t="n">
        <f aca="false">Time!AG35*AF33</f>
        <v>84.4069963277574</v>
      </c>
      <c r="AH21" s="13" t="n">
        <f aca="false">Time!AH35*AG33</f>
        <v>76.0049232031011</v>
      </c>
      <c r="AI21" s="13" t="n">
        <f aca="false">Time!AI35*AH33</f>
        <v>67.1810530651313</v>
      </c>
      <c r="AJ21" s="13" t="n">
        <f aca="false">Time!AJ35*AI33</f>
        <v>58.0980918513904</v>
      </c>
      <c r="AK21" s="13" t="n">
        <f aca="false">Time!AK35*AJ33</f>
        <v>48.5766264939361</v>
      </c>
      <c r="AL21" s="13" t="n">
        <f aca="false">Time!AL35*AK33</f>
        <v>38.7469681631514</v>
      </c>
      <c r="AM21" s="13" t="n">
        <f aca="false">Time!AM35*AL33</f>
        <v>28.3242004612286</v>
      </c>
      <c r="AN21" s="13" t="n">
        <f aca="false">Time!AN35*AM33</f>
        <v>17.6847958787081</v>
      </c>
      <c r="AO21" s="13" t="n">
        <f aca="false">Time!AO35*AN33</f>
        <v>8.90741340173067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65.6316640678679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4.31120668149521</v>
      </c>
      <c r="Q23" s="13" t="n">
        <f aca="false">Q21*Q10</f>
        <v>4.15581659705509</v>
      </c>
      <c r="R23" s="13" t="n">
        <f aca="false">R21*R10</f>
        <v>4.11428544045523</v>
      </c>
      <c r="S23" s="13" t="n">
        <f aca="false">S21*S10</f>
        <v>3.94206164984607</v>
      </c>
      <c r="T23" s="13" t="n">
        <f aca="false">T21*T10</f>
        <v>3.88786748901843</v>
      </c>
      <c r="U23" s="13" t="n">
        <f aca="false">U21*U10</f>
        <v>3.72193645090613</v>
      </c>
      <c r="V23" s="13" t="n">
        <f aca="false">V21*V10</f>
        <v>3.63381876677502</v>
      </c>
      <c r="W23" s="13" t="n">
        <f aca="false">W21*W10</f>
        <v>3.4393659561936</v>
      </c>
      <c r="X23" s="13" t="n">
        <f aca="false">X21*X10</f>
        <v>3.35472361411709</v>
      </c>
      <c r="Y23" s="13" t="n">
        <f aca="false">Y21*Y10</f>
        <v>3.16455584337133</v>
      </c>
      <c r="Z23" s="13" t="n">
        <f aca="false">Z21*Z10</f>
        <v>3.07922567381402</v>
      </c>
      <c r="AA23" s="13" t="n">
        <f aca="false">AA21*AA10</f>
        <v>2.88787103619671</v>
      </c>
      <c r="AB23" s="13" t="n">
        <f aca="false">AB21*AB10</f>
        <v>2.78805955054938</v>
      </c>
      <c r="AC23" s="13" t="n">
        <f aca="false">AC21*AC10</f>
        <v>2.60470452081842</v>
      </c>
      <c r="AD23" s="13" t="n">
        <f aca="false">AD21*AD10</f>
        <v>2.47346971520851</v>
      </c>
      <c r="AE23" s="13" t="n">
        <f aca="false">AE21*AE10</f>
        <v>2.26143418420033</v>
      </c>
      <c r="AF23" s="13" t="n">
        <f aca="false">AF21*AF10</f>
        <v>2.11686093175143</v>
      </c>
      <c r="AG23" s="13" t="n">
        <f aca="false">AG21*AG10</f>
        <v>1.89697690330274</v>
      </c>
      <c r="AH23" s="13" t="n">
        <f aca="false">AH21*AH10</f>
        <v>1.73645914544685</v>
      </c>
      <c r="AI23" s="13" t="n">
        <f aca="false">AI21*AI10</f>
        <v>1.50983818342794</v>
      </c>
      <c r="AJ23" s="13" t="n">
        <f aca="false">AJ21*AJ10</f>
        <v>1.3273477384981</v>
      </c>
      <c r="AK23" s="13" t="n">
        <f aca="false">AK21*AK10</f>
        <v>1.0977507977188</v>
      </c>
      <c r="AL23" s="13" t="n">
        <f aca="false">AL21*AL10</f>
        <v>0.885239065967466</v>
      </c>
      <c r="AM23" s="13" t="n">
        <f aca="false">AM21*AM10</f>
        <v>0.636562801865728</v>
      </c>
      <c r="AN23" s="13" t="n">
        <f aca="false">AN21*AN10</f>
        <v>0.404038636508883</v>
      </c>
      <c r="AO23" s="13" t="n">
        <f aca="false">AO21*AO10</f>
        <v>0.200186693359395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189.976792662832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4.64691444022318</v>
      </c>
      <c r="Q24" s="13" t="n">
        <f aca="false">Time!Q35*(Q21-Q22)*Q19</f>
        <v>4.84357989887597</v>
      </c>
      <c r="R24" s="13" t="n">
        <f aca="false">Time!R35*(R21-R22)*R19</f>
        <v>5.08216840362903</v>
      </c>
      <c r="S24" s="13" t="n">
        <f aca="false">Time!S35*(S21-S22)*S19</f>
        <v>5.23193168468981</v>
      </c>
      <c r="T24" s="13" t="n">
        <f aca="false">Time!T35*(T21-T22)*T19</f>
        <v>5.47259866732846</v>
      </c>
      <c r="U24" s="13" t="n">
        <f aca="false">Time!U35*(U21-U22)*U19</f>
        <v>5.64712947288521</v>
      </c>
      <c r="V24" s="13" t="n">
        <f aca="false">Time!V35*(V21-V22)*V19</f>
        <v>6.01605245152385</v>
      </c>
      <c r="W24" s="13" t="n">
        <f aca="false">Time!W35*(W21-W22)*W19</f>
        <v>6.19995948273022</v>
      </c>
      <c r="X24" s="13" t="n">
        <f aca="false">Time!X35*(X21-X22)*X19</f>
        <v>6.02786266072043</v>
      </c>
      <c r="Y24" s="13" t="n">
        <f aca="false">Time!Y35*(Y21-Y22)*Y19</f>
        <v>6.0306990683315</v>
      </c>
      <c r="Z24" s="13" t="n">
        <f aca="false">Time!Z35*(Z21-Z22)*Z19</f>
        <v>6.28053859749039</v>
      </c>
      <c r="AA24" s="13" t="n">
        <f aca="false">Time!AA35*(AA21-AA22)*AA19</f>
        <v>6.46382045990541</v>
      </c>
      <c r="AB24" s="13" t="n">
        <f aca="false">Time!AB35*(AB21-AB22)*AB19</f>
        <v>6.77262488161207</v>
      </c>
      <c r="AC24" s="13" t="n">
        <f aca="false">Time!AC35*(AC21-AC22)*AC19</f>
        <v>6.99699148872078</v>
      </c>
      <c r="AD24" s="13" t="n">
        <f aca="false">Time!AD35*(AD21-AD22)*AD19</f>
        <v>7.64020410548979</v>
      </c>
      <c r="AE24" s="13" t="n">
        <f aca="false">Time!AE35*(AE21-AE22)*AE19</f>
        <v>7.96858419873024</v>
      </c>
      <c r="AF24" s="13" t="n">
        <f aca="false">Time!AF35*(AF21-AF22)*AF19</f>
        <v>8.24813637218856</v>
      </c>
      <c r="AG24" s="13" t="n">
        <f aca="false">Time!AG35*(AG21-AG22)*AG19</f>
        <v>8.40207312465627</v>
      </c>
      <c r="AH24" s="13" t="n">
        <f aca="false">Time!AH35*(AH21-AH22)*AH19</f>
        <v>8.82387013796976</v>
      </c>
      <c r="AI24" s="13" t="n">
        <f aca="false">Time!AI35*(AI21-AI22)*AI19</f>
        <v>9.08296121374094</v>
      </c>
      <c r="AJ24" s="13" t="n">
        <f aca="false">Time!AJ35*(AJ21-AJ22)*AJ19</f>
        <v>9.52146535745423</v>
      </c>
      <c r="AK24" s="13" t="n">
        <f aca="false">Time!AK35*(AK21-AK22)*AK19</f>
        <v>9.82965833078475</v>
      </c>
      <c r="AL24" s="13" t="n">
        <f aca="false">Time!AL35*(AL21-AL22)*AL19</f>
        <v>10.4227677019228</v>
      </c>
      <c r="AM24" s="13" t="n">
        <f aca="false">Time!AM35*(AM21-AM22)*AM19</f>
        <v>10.6394045825205</v>
      </c>
      <c r="AN24" s="13" t="n">
        <f aca="false">Time!AN35*(AN21-AN22)*AN19</f>
        <v>8.77738247697738</v>
      </c>
      <c r="AO24" s="13" t="n">
        <f aca="false">Time!AO35*(AO21-AO22)*AO19</f>
        <v>8.90741340173067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189.976792662832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4.64691444022318</v>
      </c>
      <c r="Q27" s="13" t="n">
        <f aca="false">Q24-Q25+Q26</f>
        <v>4.84357989887597</v>
      </c>
      <c r="R27" s="13" t="n">
        <f aca="false">R24-R25+R26</f>
        <v>5.08216840362903</v>
      </c>
      <c r="S27" s="13" t="n">
        <f aca="false">S24-S25+S26</f>
        <v>5.23193168468981</v>
      </c>
      <c r="T27" s="13" t="n">
        <f aca="false">T24-T25+T26</f>
        <v>5.47259866732846</v>
      </c>
      <c r="U27" s="13" t="n">
        <f aca="false">U24-U25+U26</f>
        <v>5.64712947288521</v>
      </c>
      <c r="V27" s="13" t="n">
        <f aca="false">V24-V25+V26</f>
        <v>6.01605245152385</v>
      </c>
      <c r="W27" s="13" t="n">
        <f aca="false">W24-W25+W26</f>
        <v>6.19995948273022</v>
      </c>
      <c r="X27" s="13" t="n">
        <f aca="false">X24-X25+X26</f>
        <v>6.02786266072043</v>
      </c>
      <c r="Y27" s="13" t="n">
        <f aca="false">Y24-Y25+Y26</f>
        <v>6.0306990683315</v>
      </c>
      <c r="Z27" s="13" t="n">
        <f aca="false">Z24-Z25+Z26</f>
        <v>6.28053859749039</v>
      </c>
      <c r="AA27" s="13" t="n">
        <f aca="false">AA24-AA25+AA26</f>
        <v>6.46382045990541</v>
      </c>
      <c r="AB27" s="13" t="n">
        <f aca="false">AB24-AB25+AB26</f>
        <v>6.77262488161207</v>
      </c>
      <c r="AC27" s="13" t="n">
        <f aca="false">AC24-AC25+AC26</f>
        <v>6.99699148872078</v>
      </c>
      <c r="AD27" s="13" t="n">
        <f aca="false">AD24-AD25+AD26</f>
        <v>7.64020410548979</v>
      </c>
      <c r="AE27" s="13" t="n">
        <f aca="false">AE24-AE25+AE26</f>
        <v>7.96858419873024</v>
      </c>
      <c r="AF27" s="13" t="n">
        <f aca="false">AF24-AF25+AF26</f>
        <v>8.24813637218856</v>
      </c>
      <c r="AG27" s="13" t="n">
        <f aca="false">AG24-AG25+AG26</f>
        <v>8.40207312465627</v>
      </c>
      <c r="AH27" s="13" t="n">
        <f aca="false">AH24-AH25+AH26</f>
        <v>8.82387013796976</v>
      </c>
      <c r="AI27" s="13" t="n">
        <f aca="false">AI24-AI25+AI26</f>
        <v>9.08296121374094</v>
      </c>
      <c r="AJ27" s="13" t="n">
        <f aca="false">AJ24-AJ25+AJ26</f>
        <v>9.52146535745423</v>
      </c>
      <c r="AK27" s="13" t="n">
        <f aca="false">AK24-AK25+AK26</f>
        <v>9.82965833078475</v>
      </c>
      <c r="AL27" s="13" t="n">
        <f aca="false">AL24-AL25+AL26</f>
        <v>10.4227677019228</v>
      </c>
      <c r="AM27" s="13" t="n">
        <f aca="false">AM24-AM25+AM26</f>
        <v>10.6394045825205</v>
      </c>
      <c r="AN27" s="13" t="n">
        <f aca="false">AN24-AN25+AN26</f>
        <v>8.77738247697738</v>
      </c>
      <c r="AO27" s="13" t="n">
        <f aca="false">AO24-AO25+AO26</f>
        <v>8.90741340173067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185.329878222609</v>
      </c>
      <c r="Q31" s="13" t="n">
        <f aca="false">Q21-Q27-Q28-Q29</f>
        <v>180.486298323733</v>
      </c>
      <c r="R31" s="13" t="n">
        <f aca="false">R21-R27-R28-R29</f>
        <v>175.404129920104</v>
      </c>
      <c r="S31" s="13" t="n">
        <f aca="false">S21-S27-S28-S29</f>
        <v>170.172198235414</v>
      </c>
      <c r="T31" s="13" t="n">
        <f aca="false">T21-T27-T28-T29</f>
        <v>164.699599568086</v>
      </c>
      <c r="U31" s="13" t="n">
        <f aca="false">U21-U27-U28-U29</f>
        <v>159.052470095201</v>
      </c>
      <c r="V31" s="13" t="n">
        <f aca="false">V21-V27-V28-V29</f>
        <v>153.036417643677</v>
      </c>
      <c r="W31" s="13" t="n">
        <f aca="false">W21-W27-W28-W29</f>
        <v>146.836458160947</v>
      </c>
      <c r="X31" s="13" t="n">
        <f aca="false">X21-X27-X28-X29</f>
        <v>140.808595500226</v>
      </c>
      <c r="Y31" s="13" t="n">
        <f aca="false">Y21-Y27-Y28-Y29</f>
        <v>134.777896431895</v>
      </c>
      <c r="Z31" s="13" t="n">
        <f aca="false">Z21-Z27-Z28-Z29</f>
        <v>128.497357834404</v>
      </c>
      <c r="AA31" s="13" t="n">
        <f aca="false">AA21-AA27-AA28-AA29</f>
        <v>122.033537374499</v>
      </c>
      <c r="AB31" s="13" t="n">
        <f aca="false">AB21-AB27-AB28-AB29</f>
        <v>115.260912492887</v>
      </c>
      <c r="AC31" s="13" t="n">
        <f aca="false">AC21-AC27-AC28-AC29</f>
        <v>108.263921004166</v>
      </c>
      <c r="AD31" s="13" t="n">
        <f aca="false">AD21-AD27-AD28-AD29</f>
        <v>100.623716898676</v>
      </c>
      <c r="AE31" s="13" t="n">
        <f aca="false">AE21-AE27-AE28-AE29</f>
        <v>92.6551326999459</v>
      </c>
      <c r="AF31" s="13" t="n">
        <f aca="false">AF21-AF27-AF28-AF29</f>
        <v>84.4069963277574</v>
      </c>
      <c r="AG31" s="13" t="n">
        <f aca="false">AG21-AG27-AG28-AG29</f>
        <v>76.0049232031011</v>
      </c>
      <c r="AH31" s="13" t="n">
        <f aca="false">AH21-AH27-AH28-AH29</f>
        <v>67.1810530651313</v>
      </c>
      <c r="AI31" s="13" t="n">
        <f aca="false">AI21-AI27-AI28-AI29</f>
        <v>58.0980918513904</v>
      </c>
      <c r="AJ31" s="13" t="n">
        <f aca="false">AJ21-AJ27-AJ28-AJ29</f>
        <v>48.5766264939361</v>
      </c>
      <c r="AK31" s="13" t="n">
        <f aca="false">AK21-AK27-AK28-AK29</f>
        <v>38.7469681631514</v>
      </c>
      <c r="AL31" s="13" t="n">
        <f aca="false">AL21-AL27-AL28-AL29</f>
        <v>28.3242004612286</v>
      </c>
      <c r="AM31" s="13" t="n">
        <f aca="false">AM21-AM27-AM28-AM29</f>
        <v>17.6847958787081</v>
      </c>
      <c r="AN31" s="13" t="n">
        <f aca="false">AN21-AN27-AN28-AN29</f>
        <v>8.90741340173067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189.976792662832</v>
      </c>
      <c r="P33" s="13" t="n">
        <f aca="false">IF(Time!P34=1,INDEX(Funding!$J$61:$BJ$61,1,Time!$F$14),Time!P35*(P31-P32))</f>
        <v>185.329878222609</v>
      </c>
      <c r="Q33" s="13" t="n">
        <f aca="false">IF(Time!Q34=1,INDEX(Funding!$J$61:$BJ$61,1,Time!$F$14),Time!Q35*(Q31-Q32))</f>
        <v>180.486298323733</v>
      </c>
      <c r="R33" s="13" t="n">
        <f aca="false">IF(Time!R34=1,INDEX(Funding!$J$61:$BJ$61,1,Time!$F$14),Time!R35*(R31-R32))</f>
        <v>175.404129920104</v>
      </c>
      <c r="S33" s="13" t="n">
        <f aca="false">IF(Time!S34=1,INDEX(Funding!$J$61:$BJ$61,1,Time!$F$14),Time!S35*(S31-S32))</f>
        <v>170.172198235414</v>
      </c>
      <c r="T33" s="13" t="n">
        <f aca="false">IF(Time!T34=1,INDEX(Funding!$J$61:$BJ$61,1,Time!$F$14),Time!T35*(T31-T32))</f>
        <v>164.699599568086</v>
      </c>
      <c r="U33" s="13" t="n">
        <f aca="false">IF(Time!U34=1,INDEX(Funding!$J$61:$BJ$61,1,Time!$F$14),Time!U35*(U31-U32))</f>
        <v>159.052470095201</v>
      </c>
      <c r="V33" s="13" t="n">
        <f aca="false">IF(Time!V34=1,INDEX(Funding!$J$61:$BJ$61,1,Time!$F$14),Time!V35*(V31-V32))</f>
        <v>153.036417643677</v>
      </c>
      <c r="W33" s="13" t="n">
        <f aca="false">IF(Time!W34=1,INDEX(Funding!$J$61:$BJ$61,1,Time!$F$14),Time!W35*(W31-W32))</f>
        <v>146.836458160947</v>
      </c>
      <c r="X33" s="13" t="n">
        <f aca="false">IF(Time!X34=1,INDEX(Funding!$J$61:$BJ$61,1,Time!$F$14),Time!X35*(X31-X32))</f>
        <v>140.808595500226</v>
      </c>
      <c r="Y33" s="13" t="n">
        <f aca="false">IF(Time!Y34=1,INDEX(Funding!$J$61:$BJ$61,1,Time!$F$14),Time!Y35*(Y31-Y32))</f>
        <v>134.777896431895</v>
      </c>
      <c r="Z33" s="13" t="n">
        <f aca="false">IF(Time!Z34=1,INDEX(Funding!$J$61:$BJ$61,1,Time!$F$14),Time!Z35*(Z31-Z32))</f>
        <v>128.497357834404</v>
      </c>
      <c r="AA33" s="13" t="n">
        <f aca="false">IF(Time!AA34=1,INDEX(Funding!$J$61:$BJ$61,1,Time!$F$14),Time!AA35*(AA31-AA32))</f>
        <v>122.033537374499</v>
      </c>
      <c r="AB33" s="13" t="n">
        <f aca="false">IF(Time!AB34=1,INDEX(Funding!$J$61:$BJ$61,1,Time!$F$14),Time!AB35*(AB31-AB32))</f>
        <v>115.260912492887</v>
      </c>
      <c r="AC33" s="13" t="n">
        <f aca="false">IF(Time!AC34=1,INDEX(Funding!$J$61:$BJ$61,1,Time!$F$14),Time!AC35*(AC31-AC32))</f>
        <v>108.263921004166</v>
      </c>
      <c r="AD33" s="13" t="n">
        <f aca="false">IF(Time!AD34=1,INDEX(Funding!$J$61:$BJ$61,1,Time!$F$14),Time!AD35*(AD31-AD32))</f>
        <v>100.623716898676</v>
      </c>
      <c r="AE33" s="13" t="n">
        <f aca="false">IF(Time!AE34=1,INDEX(Funding!$J$61:$BJ$61,1,Time!$F$14),Time!AE35*(AE31-AE32))</f>
        <v>92.6551326999459</v>
      </c>
      <c r="AF33" s="13" t="n">
        <f aca="false">IF(Time!AF34=1,INDEX(Funding!$J$61:$BJ$61,1,Time!$F$14),Time!AF35*(AF31-AF32))</f>
        <v>84.4069963277574</v>
      </c>
      <c r="AG33" s="13" t="n">
        <f aca="false">IF(Time!AG34=1,INDEX(Funding!$J$61:$BJ$61,1,Time!$F$14),Time!AG35*(AG31-AG32))</f>
        <v>76.0049232031011</v>
      </c>
      <c r="AH33" s="13" t="n">
        <f aca="false">IF(Time!AH34=1,INDEX(Funding!$J$61:$BJ$61,1,Time!$F$14),Time!AH35*(AH31-AH32))</f>
        <v>67.1810530651313</v>
      </c>
      <c r="AI33" s="13" t="n">
        <f aca="false">IF(Time!AI34=1,INDEX(Funding!$J$61:$BJ$61,1,Time!$F$14),Time!AI35*(AI31-AI32))</f>
        <v>58.0980918513904</v>
      </c>
      <c r="AJ33" s="13" t="n">
        <f aca="false">IF(Time!AJ34=1,INDEX(Funding!$J$61:$BJ$61,1,Time!$F$14),Time!AJ35*(AJ31-AJ32))</f>
        <v>48.5766264939361</v>
      </c>
      <c r="AK33" s="13" t="n">
        <f aca="false">IF(Time!AK34=1,INDEX(Funding!$J$61:$BJ$61,1,Time!$F$14),Time!AK35*(AK31-AK32))</f>
        <v>38.7469681631514</v>
      </c>
      <c r="AL33" s="13" t="n">
        <f aca="false">IF(Time!AL34=1,INDEX(Funding!$J$61:$BJ$61,1,Time!$F$14),Time!AL35*(AL31-AL32))</f>
        <v>28.3242004612286</v>
      </c>
      <c r="AM33" s="13" t="n">
        <f aca="false">IF(Time!AM34=1,INDEX(Funding!$J$61:$BJ$61,1,Time!$F$14),Time!AM35*(AM31-AM32))</f>
        <v>17.6847958787081</v>
      </c>
      <c r="AN33" s="13" t="n">
        <f aca="false">IF(Time!AN34=1,INDEX(Funding!$J$61:$BJ$61,1,Time!$F$14),Time!AN35*(AN31-AN32))</f>
        <v>8.90741340173067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139.31631461941</v>
      </c>
      <c r="Q35" s="13" t="n">
        <f aca="false">Time!Q35*P47</f>
        <v>135.908577363247</v>
      </c>
      <c r="R35" s="13" t="n">
        <f aca="false">Time!R35*Q47</f>
        <v>132.356618770738</v>
      </c>
      <c r="S35" s="13" t="n">
        <f aca="false">Time!S35*R47</f>
        <v>128.629695274743</v>
      </c>
      <c r="T35" s="13" t="n">
        <f aca="false">Time!T35*S47</f>
        <v>124.792945372637</v>
      </c>
      <c r="U35" s="13" t="n">
        <f aca="false">Time!U35*T47</f>
        <v>120.77970634993</v>
      </c>
      <c r="V35" s="13" t="n">
        <f aca="false">Time!V35*U47</f>
        <v>116.638478069814</v>
      </c>
      <c r="W35" s="13" t="n">
        <f aca="false">Time!W35*V47</f>
        <v>112.22670627203</v>
      </c>
      <c r="X35" s="13" t="n">
        <f aca="false">Time!X35*W47</f>
        <v>107.680069318027</v>
      </c>
      <c r="Y35" s="13" t="n">
        <f aca="false">Time!Y35*X47</f>
        <v>103.259636700166</v>
      </c>
      <c r="Z35" s="13" t="n">
        <f aca="false">Time!Z35*Y47</f>
        <v>98.8371240500561</v>
      </c>
      <c r="AA35" s="13" t="n">
        <f aca="false">Time!AA35*Z47</f>
        <v>94.2313957452298</v>
      </c>
      <c r="AB35" s="13" t="n">
        <f aca="false">Time!AB35*AA47</f>
        <v>89.4912607412991</v>
      </c>
      <c r="AC35" s="13" t="n">
        <f aca="false">Time!AC35*AB47</f>
        <v>84.5246691614503</v>
      </c>
      <c r="AD35" s="13" t="n">
        <f aca="false">Time!AD35*AC47</f>
        <v>79.3935420697217</v>
      </c>
      <c r="AE35" s="13" t="n">
        <f aca="false">Time!AE35*AD47</f>
        <v>73.7907257256959</v>
      </c>
      <c r="AF35" s="13" t="n">
        <f aca="false">Time!AF35*AE47</f>
        <v>67.9470973132937</v>
      </c>
      <c r="AG35" s="13" t="n">
        <f aca="false">Time!AG35*AF47</f>
        <v>61.8984639736887</v>
      </c>
      <c r="AH35" s="13" t="n">
        <f aca="false">Time!AH35*AG47</f>
        <v>55.7369436822741</v>
      </c>
      <c r="AI35" s="13" t="n">
        <f aca="false">Time!AI35*AH47</f>
        <v>49.2661055810963</v>
      </c>
      <c r="AJ35" s="13" t="n">
        <f aca="false">Time!AJ35*AI47</f>
        <v>42.6052673576863</v>
      </c>
      <c r="AK35" s="13" t="n">
        <f aca="false">Time!AK35*AJ47</f>
        <v>35.6228594288865</v>
      </c>
      <c r="AL35" s="13" t="n">
        <f aca="false">Time!AL35*AK47</f>
        <v>28.4144433196444</v>
      </c>
      <c r="AM35" s="13" t="n">
        <f aca="false">Time!AM35*AL47</f>
        <v>20.7710803382343</v>
      </c>
      <c r="AN35" s="13" t="n">
        <f aca="false">Time!AN35*AM47</f>
        <v>12.9688503110526</v>
      </c>
      <c r="AO35" s="13" t="n">
        <f aca="false">Time!AO35*AN47</f>
        <v>6.53210316126916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72.9126941093121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4.79929224273355</v>
      </c>
      <c r="Q37" s="13" t="n">
        <f aca="false">Q35*Q11</f>
        <v>4.61923052551595</v>
      </c>
      <c r="R37" s="13" t="n">
        <f aca="false">R35*R11</f>
        <v>4.57306824143873</v>
      </c>
      <c r="S37" s="13" t="n">
        <f aca="false">S35*S11</f>
        <v>4.37830471385589</v>
      </c>
      <c r="T37" s="13" t="n">
        <f aca="false">T35*T11</f>
        <v>4.31811322754963</v>
      </c>
      <c r="U37" s="13" t="n">
        <f aca="false">U35*U11</f>
        <v>4.13381964950006</v>
      </c>
      <c r="V37" s="13" t="n">
        <f aca="false">V35*V11</f>
        <v>4.03595053783349</v>
      </c>
      <c r="W37" s="13" t="n">
        <f aca="false">W35*W11</f>
        <v>3.81997886290436</v>
      </c>
      <c r="X37" s="13" t="n">
        <f aca="false">X35*X11</f>
        <v>3.72596968744668</v>
      </c>
      <c r="Y37" s="13" t="n">
        <f aca="false">Y35*Y11</f>
        <v>3.51475725064673</v>
      </c>
      <c r="Z37" s="13" t="n">
        <f aca="false">Z35*Z11</f>
        <v>3.41998413018538</v>
      </c>
      <c r="AA37" s="13" t="n">
        <f aca="false">AA35*AA11</f>
        <v>3.20745348345367</v>
      </c>
      <c r="AB37" s="13" t="n">
        <f aca="false">AB35*AB11</f>
        <v>3.09659649111726</v>
      </c>
      <c r="AC37" s="13" t="n">
        <f aca="false">AC35*AC11</f>
        <v>2.8929507183497</v>
      </c>
      <c r="AD37" s="13" t="n">
        <f aca="false">AD35*AD11</f>
        <v>2.74719298570586</v>
      </c>
      <c r="AE37" s="13" t="n">
        <f aca="false">AE35*AE11</f>
        <v>2.511692821736</v>
      </c>
      <c r="AF37" s="13" t="n">
        <f aca="false">AF35*AF11</f>
        <v>2.35112056058955</v>
      </c>
      <c r="AG37" s="13" t="n">
        <f aca="false">AG35*AG11</f>
        <v>2.10690335553997</v>
      </c>
      <c r="AH37" s="13" t="n">
        <f aca="false">AH35*AH11</f>
        <v>1.92862211128153</v>
      </c>
      <c r="AI37" s="13" t="n">
        <f aca="false">AI35*AI11</f>
        <v>1.67692243877522</v>
      </c>
      <c r="AJ37" s="13" t="n">
        <f aca="false">AJ35*AJ11</f>
        <v>1.47423692894785</v>
      </c>
      <c r="AK37" s="13" t="n">
        <f aca="false">AK35*AK11</f>
        <v>1.21923194490856</v>
      </c>
      <c r="AL37" s="13" t="n">
        <f aca="false">AL35*AL11</f>
        <v>0.983202882067072</v>
      </c>
      <c r="AM37" s="13" t="n">
        <f aca="false">AM35*AM11</f>
        <v>0.707007186501726</v>
      </c>
      <c r="AN37" s="13" t="n">
        <f aca="false">AN35*AN11</f>
        <v>0.448751040429777</v>
      </c>
      <c r="AO37" s="13" t="n">
        <f aca="false">AO35*AO11</f>
        <v>0.2223400902979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139.31631461941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3.40773725616367</v>
      </c>
      <c r="Q38" s="13" t="n">
        <f aca="false">Time!Q35*(Q35-Q36)*Q19</f>
        <v>3.55195859250905</v>
      </c>
      <c r="R38" s="13" t="n">
        <f aca="false">Time!R35*(R35-R36)*R19</f>
        <v>3.72692349599462</v>
      </c>
      <c r="S38" s="13" t="n">
        <f aca="false">Time!S35*(S35-S36)*S19</f>
        <v>3.83674990210586</v>
      </c>
      <c r="T38" s="13" t="n">
        <f aca="false">Time!T35*(T35-T36)*T19</f>
        <v>4.01323902270754</v>
      </c>
      <c r="U38" s="13" t="n">
        <f aca="false">Time!U35*(U35-U36)*U19</f>
        <v>4.14122828011582</v>
      </c>
      <c r="V38" s="13" t="n">
        <f aca="false">Time!V35*(V35-V36)*V19</f>
        <v>4.41177179778416</v>
      </c>
      <c r="W38" s="13" t="n">
        <f aca="false">Time!W35*(W35-W36)*W19</f>
        <v>4.54663695400217</v>
      </c>
      <c r="X38" s="13" t="n">
        <f aca="false">Time!X35*(X35-X36)*X19</f>
        <v>4.42043261786165</v>
      </c>
      <c r="Y38" s="13" t="n">
        <f aca="false">Time!Y35*(Y35-Y36)*Y19</f>
        <v>4.42251265010977</v>
      </c>
      <c r="Z38" s="13" t="n">
        <f aca="false">Time!Z35*(Z35-Z36)*Z19</f>
        <v>4.60572830482629</v>
      </c>
      <c r="AA38" s="13" t="n">
        <f aca="false">Time!AA35*(AA35-AA36)*AA19</f>
        <v>4.74013500393064</v>
      </c>
      <c r="AB38" s="13" t="n">
        <f aca="false">Time!AB35*(AB35-AB36)*AB19</f>
        <v>4.96659157984885</v>
      </c>
      <c r="AC38" s="13" t="n">
        <f aca="false">Time!AC35*(AC35-AC36)*AC19</f>
        <v>5.13112709172857</v>
      </c>
      <c r="AD38" s="13" t="n">
        <f aca="false">Time!AD35*(AD35-AD36)*AD19</f>
        <v>5.60281634402585</v>
      </c>
      <c r="AE38" s="13" t="n">
        <f aca="false">Time!AE35*(AE35-AE36)*AE19</f>
        <v>5.84362841240218</v>
      </c>
      <c r="AF38" s="13" t="n">
        <f aca="false">Time!AF35*(AF35-AF36)*AF19</f>
        <v>6.04863333960495</v>
      </c>
      <c r="AG38" s="13" t="n">
        <f aca="false">Time!AG35*(AG35-AG36)*AG19</f>
        <v>6.1615202914146</v>
      </c>
      <c r="AH38" s="13" t="n">
        <f aca="false">Time!AH35*(AH35-AH36)*AH19</f>
        <v>6.47083810117782</v>
      </c>
      <c r="AI38" s="13" t="n">
        <f aca="false">Time!AI35*(AI35-AI36)*AI19</f>
        <v>6.66083822341003</v>
      </c>
      <c r="AJ38" s="13" t="n">
        <f aca="false">Time!AJ35*(AJ35-AJ36)*AJ19</f>
        <v>6.98240792879977</v>
      </c>
      <c r="AK38" s="13" t="n">
        <f aca="false">Time!AK35*(AK35-AK36)*AK19</f>
        <v>7.20841610924215</v>
      </c>
      <c r="AL38" s="13" t="n">
        <f aca="false">Time!AL35*(AL35-AL36)*AL19</f>
        <v>7.64336298141007</v>
      </c>
      <c r="AM38" s="13" t="n">
        <f aca="false">Time!AM35*(AM35-AM36)*AM19</f>
        <v>7.80223002718172</v>
      </c>
      <c r="AN38" s="13" t="n">
        <f aca="false">Time!AN35*(AN35-AN36)*AN19</f>
        <v>6.43674714978342</v>
      </c>
      <c r="AO38" s="13" t="n">
        <f aca="false">Time!AO35*(AO35-AO36)*AO19</f>
        <v>6.53210316126916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139.31631461941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3.40773725616367</v>
      </c>
      <c r="Q41" s="13" t="n">
        <f aca="false">Q38-Q39+Q40</f>
        <v>3.55195859250905</v>
      </c>
      <c r="R41" s="13" t="n">
        <f aca="false">R38-R39+R40</f>
        <v>3.72692349599462</v>
      </c>
      <c r="S41" s="13" t="n">
        <f aca="false">S38-S39+S40</f>
        <v>3.83674990210586</v>
      </c>
      <c r="T41" s="13" t="n">
        <f aca="false">T38-T39+T40</f>
        <v>4.01323902270754</v>
      </c>
      <c r="U41" s="13" t="n">
        <f aca="false">U38-U39+U40</f>
        <v>4.14122828011582</v>
      </c>
      <c r="V41" s="13" t="n">
        <f aca="false">V38-V39+V40</f>
        <v>4.41177179778416</v>
      </c>
      <c r="W41" s="13" t="n">
        <f aca="false">W38-W39+W40</f>
        <v>4.54663695400217</v>
      </c>
      <c r="X41" s="13" t="n">
        <f aca="false">X38-X39+X40</f>
        <v>4.42043261786165</v>
      </c>
      <c r="Y41" s="13" t="n">
        <f aca="false">Y38-Y39+Y40</f>
        <v>4.42251265010977</v>
      </c>
      <c r="Z41" s="13" t="n">
        <f aca="false">Z38-Z39+Z40</f>
        <v>4.60572830482629</v>
      </c>
      <c r="AA41" s="13" t="n">
        <f aca="false">AA38-AA39+AA40</f>
        <v>4.74013500393064</v>
      </c>
      <c r="AB41" s="13" t="n">
        <f aca="false">AB38-AB39+AB40</f>
        <v>4.96659157984885</v>
      </c>
      <c r="AC41" s="13" t="n">
        <f aca="false">AC38-AC39+AC40</f>
        <v>5.13112709172857</v>
      </c>
      <c r="AD41" s="13" t="n">
        <f aca="false">AD38-AD39+AD40</f>
        <v>5.60281634402585</v>
      </c>
      <c r="AE41" s="13" t="n">
        <f aca="false">AE38-AE39+AE40</f>
        <v>5.84362841240218</v>
      </c>
      <c r="AF41" s="13" t="n">
        <f aca="false">AF38-AF39+AF40</f>
        <v>6.04863333960495</v>
      </c>
      <c r="AG41" s="13" t="n">
        <f aca="false">AG38-AG39+AG40</f>
        <v>6.1615202914146</v>
      </c>
      <c r="AH41" s="13" t="n">
        <f aca="false">AH38-AH39+AH40</f>
        <v>6.47083810117782</v>
      </c>
      <c r="AI41" s="13" t="n">
        <f aca="false">AI38-AI39+AI40</f>
        <v>6.66083822341003</v>
      </c>
      <c r="AJ41" s="13" t="n">
        <f aca="false">AJ38-AJ39+AJ40</f>
        <v>6.98240792879977</v>
      </c>
      <c r="AK41" s="13" t="n">
        <f aca="false">AK38-AK39+AK40</f>
        <v>7.20841610924215</v>
      </c>
      <c r="AL41" s="13" t="n">
        <f aca="false">AL38-AL39+AL40</f>
        <v>7.64336298141007</v>
      </c>
      <c r="AM41" s="13" t="n">
        <f aca="false">AM38-AM39+AM40</f>
        <v>7.80223002718172</v>
      </c>
      <c r="AN41" s="13" t="n">
        <f aca="false">AN38-AN39+AN40</f>
        <v>6.43674714978342</v>
      </c>
      <c r="AO41" s="13" t="n">
        <f aca="false">AO38-AO39+AO40</f>
        <v>6.53210316126916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135.908577363247</v>
      </c>
      <c r="Q45" s="13" t="n">
        <f aca="false">Q35-Q41-Q42-Q43</f>
        <v>132.356618770738</v>
      </c>
      <c r="R45" s="13" t="n">
        <f aca="false">R35-R41-R42-R43</f>
        <v>128.629695274743</v>
      </c>
      <c r="S45" s="13" t="n">
        <f aca="false">S35-S41-S42-S43</f>
        <v>124.792945372637</v>
      </c>
      <c r="T45" s="13" t="n">
        <f aca="false">T35-T41-T42-T43</f>
        <v>120.77970634993</v>
      </c>
      <c r="U45" s="13" t="n">
        <f aca="false">U35-U41-U42-U43</f>
        <v>116.638478069814</v>
      </c>
      <c r="V45" s="13" t="n">
        <f aca="false">V35-V41-V42-V43</f>
        <v>112.22670627203</v>
      </c>
      <c r="W45" s="13" t="n">
        <f aca="false">W35-W41-W42-W43</f>
        <v>107.680069318027</v>
      </c>
      <c r="X45" s="13" t="n">
        <f aca="false">X35-X41-X42-X43</f>
        <v>103.259636700166</v>
      </c>
      <c r="Y45" s="13" t="n">
        <f aca="false">Y35-Y41-Y42-Y43</f>
        <v>98.8371240500561</v>
      </c>
      <c r="Z45" s="13" t="n">
        <f aca="false">Z35-Z41-Z42-Z43</f>
        <v>94.2313957452298</v>
      </c>
      <c r="AA45" s="13" t="n">
        <f aca="false">AA35-AA41-AA42-AA43</f>
        <v>89.4912607412991</v>
      </c>
      <c r="AB45" s="13" t="n">
        <f aca="false">AB35-AB41-AB42-AB43</f>
        <v>84.5246691614503</v>
      </c>
      <c r="AC45" s="13" t="n">
        <f aca="false">AC35-AC41-AC42-AC43</f>
        <v>79.3935420697217</v>
      </c>
      <c r="AD45" s="13" t="n">
        <f aca="false">AD35-AD41-AD42-AD43</f>
        <v>73.7907257256959</v>
      </c>
      <c r="AE45" s="13" t="n">
        <f aca="false">AE35-AE41-AE42-AE43</f>
        <v>67.9470973132937</v>
      </c>
      <c r="AF45" s="13" t="n">
        <f aca="false">AF35-AF41-AF42-AF43</f>
        <v>61.8984639736887</v>
      </c>
      <c r="AG45" s="13" t="n">
        <f aca="false">AG35-AG41-AG42-AG43</f>
        <v>55.7369436822741</v>
      </c>
      <c r="AH45" s="13" t="n">
        <f aca="false">AH35-AH41-AH42-AH43</f>
        <v>49.2661055810963</v>
      </c>
      <c r="AI45" s="13" t="n">
        <f aca="false">AI35-AI41-AI42-AI43</f>
        <v>42.6052673576863</v>
      </c>
      <c r="AJ45" s="13" t="n">
        <f aca="false">AJ35-AJ41-AJ42-AJ43</f>
        <v>35.6228594288865</v>
      </c>
      <c r="AK45" s="13" t="n">
        <f aca="false">AK35-AK41-AK42-AK43</f>
        <v>28.4144433196444</v>
      </c>
      <c r="AL45" s="13" t="n">
        <f aca="false">AL35-AL41-AL42-AL43</f>
        <v>20.7710803382343</v>
      </c>
      <c r="AM45" s="13" t="n">
        <f aca="false">AM35-AM41-AM42-AM43</f>
        <v>12.9688503110526</v>
      </c>
      <c r="AN45" s="13" t="n">
        <f aca="false">AN35-AN41-AN42-AN43</f>
        <v>6.53210316126916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139.31631461941</v>
      </c>
      <c r="P47" s="13" t="n">
        <f aca="false">IF(Time!P34=1,INDEX(Funding!$J$62:$BJ$62,1,Time!$F$14),Time!P35*(P45-P46))</f>
        <v>135.908577363247</v>
      </c>
      <c r="Q47" s="13" t="n">
        <f aca="false">IF(Time!Q34=1,INDEX(Funding!$J$62:$BJ$62,1,Time!$F$14),Time!Q35*(Q45-Q46))</f>
        <v>132.356618770738</v>
      </c>
      <c r="R47" s="13" t="n">
        <f aca="false">IF(Time!R34=1,INDEX(Funding!$J$62:$BJ$62,1,Time!$F$14),Time!R35*(R45-R46))</f>
        <v>128.629695274743</v>
      </c>
      <c r="S47" s="13" t="n">
        <f aca="false">IF(Time!S34=1,INDEX(Funding!$J$62:$BJ$62,1,Time!$F$14),Time!S35*(S45-S46))</f>
        <v>124.792945372637</v>
      </c>
      <c r="T47" s="13" t="n">
        <f aca="false">IF(Time!T34=1,INDEX(Funding!$J$62:$BJ$62,1,Time!$F$14),Time!T35*(T45-T46))</f>
        <v>120.77970634993</v>
      </c>
      <c r="U47" s="13" t="n">
        <f aca="false">IF(Time!U34=1,INDEX(Funding!$J$62:$BJ$62,1,Time!$F$14),Time!U35*(U45-U46))</f>
        <v>116.638478069814</v>
      </c>
      <c r="V47" s="13" t="n">
        <f aca="false">IF(Time!V34=1,INDEX(Funding!$J$62:$BJ$62,1,Time!$F$14),Time!V35*(V45-V46))</f>
        <v>112.22670627203</v>
      </c>
      <c r="W47" s="13" t="n">
        <f aca="false">IF(Time!W34=1,INDEX(Funding!$J$62:$BJ$62,1,Time!$F$14),Time!W35*(W45-W46))</f>
        <v>107.680069318027</v>
      </c>
      <c r="X47" s="13" t="n">
        <f aca="false">IF(Time!X34=1,INDEX(Funding!$J$62:$BJ$62,1,Time!$F$14),Time!X35*(X45-X46))</f>
        <v>103.259636700166</v>
      </c>
      <c r="Y47" s="13" t="n">
        <f aca="false">IF(Time!Y34=1,INDEX(Funding!$J$62:$BJ$62,1,Time!$F$14),Time!Y35*(Y45-Y46))</f>
        <v>98.8371240500561</v>
      </c>
      <c r="Z47" s="13" t="n">
        <f aca="false">IF(Time!Z34=1,INDEX(Funding!$J$62:$BJ$62,1,Time!$F$14),Time!Z35*(Z45-Z46))</f>
        <v>94.2313957452298</v>
      </c>
      <c r="AA47" s="13" t="n">
        <f aca="false">IF(Time!AA34=1,INDEX(Funding!$J$62:$BJ$62,1,Time!$F$14),Time!AA35*(AA45-AA46))</f>
        <v>89.4912607412991</v>
      </c>
      <c r="AB47" s="13" t="n">
        <f aca="false">IF(Time!AB34=1,INDEX(Funding!$J$62:$BJ$62,1,Time!$F$14),Time!AB35*(AB45-AB46))</f>
        <v>84.5246691614503</v>
      </c>
      <c r="AC47" s="13" t="n">
        <f aca="false">IF(Time!AC34=1,INDEX(Funding!$J$62:$BJ$62,1,Time!$F$14),Time!AC35*(AC45-AC46))</f>
        <v>79.3935420697217</v>
      </c>
      <c r="AD47" s="13" t="n">
        <f aca="false">IF(Time!AD34=1,INDEX(Funding!$J$62:$BJ$62,1,Time!$F$14),Time!AD35*(AD45-AD46))</f>
        <v>73.7907257256959</v>
      </c>
      <c r="AE47" s="13" t="n">
        <f aca="false">IF(Time!AE34=1,INDEX(Funding!$J$62:$BJ$62,1,Time!$F$14),Time!AE35*(AE45-AE46))</f>
        <v>67.9470973132937</v>
      </c>
      <c r="AF47" s="13" t="n">
        <f aca="false">IF(Time!AF34=1,INDEX(Funding!$J$62:$BJ$62,1,Time!$F$14),Time!AF35*(AF45-AF46))</f>
        <v>61.8984639736887</v>
      </c>
      <c r="AG47" s="13" t="n">
        <f aca="false">IF(Time!AG34=1,INDEX(Funding!$J$62:$BJ$62,1,Time!$F$14),Time!AG35*(AG45-AG46))</f>
        <v>55.7369436822741</v>
      </c>
      <c r="AH47" s="13" t="n">
        <f aca="false">IF(Time!AH34=1,INDEX(Funding!$J$62:$BJ$62,1,Time!$F$14),Time!AH35*(AH45-AH46))</f>
        <v>49.2661055810963</v>
      </c>
      <c r="AI47" s="13" t="n">
        <f aca="false">IF(Time!AI34=1,INDEX(Funding!$J$62:$BJ$62,1,Time!$F$14),Time!AI35*(AI45-AI46))</f>
        <v>42.6052673576863</v>
      </c>
      <c r="AJ47" s="13" t="n">
        <f aca="false">IF(Time!AJ34=1,INDEX(Funding!$J$62:$BJ$62,1,Time!$F$14),Time!AJ35*(AJ45-AJ46))</f>
        <v>35.6228594288865</v>
      </c>
      <c r="AK47" s="13" t="n">
        <f aca="false">IF(Time!AK34=1,INDEX(Funding!$J$62:$BJ$62,1,Time!$F$14),Time!AK35*(AK45-AK46))</f>
        <v>28.4144433196444</v>
      </c>
      <c r="AL47" s="13" t="n">
        <f aca="false">IF(Time!AL34=1,INDEX(Funding!$J$62:$BJ$62,1,Time!$F$14),Time!AL35*(AL45-AL46))</f>
        <v>20.7710803382343</v>
      </c>
      <c r="AM47" s="13" t="n">
        <f aca="false">IF(Time!AM34=1,INDEX(Funding!$J$62:$BJ$62,1,Time!$F$14),Time!AM35*(AM45-AM46))</f>
        <v>12.9688503110526</v>
      </c>
      <c r="AN47" s="13" t="n">
        <f aca="false">IF(Time!AN34=1,INDEX(Funding!$J$62:$BJ$62,1,Time!$F$14),Time!AN35*(AN45-AN46))</f>
        <v>6.53210316126916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63.3255975542774</v>
      </c>
      <c r="Q49" s="13" t="n">
        <f aca="false">Time!Q35*P61</f>
        <v>61.776626074203</v>
      </c>
      <c r="R49" s="13" t="n">
        <f aca="false">Time!R35*Q61</f>
        <v>60.1620994412444</v>
      </c>
      <c r="S49" s="13" t="n">
        <f aca="false">Time!S35*R61</f>
        <v>58.4680433067014</v>
      </c>
      <c r="T49" s="13" t="n">
        <f aca="false">Time!T35*S61</f>
        <v>56.7240660784714</v>
      </c>
      <c r="U49" s="13" t="n">
        <f aca="false">Time!U35*T61</f>
        <v>54.8998665226953</v>
      </c>
      <c r="V49" s="13" t="n">
        <f aca="false">Time!V35*U61</f>
        <v>53.0174900317335</v>
      </c>
      <c r="W49" s="13" t="n">
        <f aca="false">Time!W35*V61</f>
        <v>51.0121392145589</v>
      </c>
      <c r="X49" s="13" t="n">
        <f aca="false">Time!X35*W61</f>
        <v>48.9454860536489</v>
      </c>
      <c r="Y49" s="13" t="n">
        <f aca="false">Time!Y35*X61</f>
        <v>46.9361985000754</v>
      </c>
      <c r="Z49" s="13" t="n">
        <f aca="false">Time!Z35*Y61</f>
        <v>44.9259654772982</v>
      </c>
      <c r="AA49" s="13" t="n">
        <f aca="false">Time!AA35*Z61</f>
        <v>42.8324526114681</v>
      </c>
      <c r="AB49" s="13" t="n">
        <f aca="false">Time!AB35*AA61</f>
        <v>40.6778457914996</v>
      </c>
      <c r="AC49" s="13" t="n">
        <f aca="false">Time!AC35*AB61</f>
        <v>38.4203041642956</v>
      </c>
      <c r="AD49" s="13" t="n">
        <f aca="false">Time!AD35*AC61</f>
        <v>36.0879736680553</v>
      </c>
      <c r="AE49" s="13" t="n">
        <f aca="false">Time!AE35*AD61</f>
        <v>33.5412389662254</v>
      </c>
      <c r="AF49" s="13" t="n">
        <f aca="false">Time!AF35*AE61</f>
        <v>30.8850442333153</v>
      </c>
      <c r="AG49" s="13" t="n">
        <f aca="false">Time!AG35*AF61</f>
        <v>28.1356654425858</v>
      </c>
      <c r="AH49" s="13" t="n">
        <f aca="false">Time!AH35*AG61</f>
        <v>25.3349744010337</v>
      </c>
      <c r="AI49" s="13" t="n">
        <f aca="false">Time!AI35*AH61</f>
        <v>22.3936843550438</v>
      </c>
      <c r="AJ49" s="13" t="n">
        <f aca="false">Time!AJ35*AI61</f>
        <v>19.3660306171301</v>
      </c>
      <c r="AK49" s="13" t="n">
        <f aca="false">Time!AK35*AJ61</f>
        <v>16.1922088313121</v>
      </c>
      <c r="AL49" s="13" t="n">
        <f aca="false">Time!AL35*AK61</f>
        <v>12.9156560543838</v>
      </c>
      <c r="AM49" s="13" t="n">
        <f aca="false">Time!AM35*AL61</f>
        <v>9.44140015374286</v>
      </c>
      <c r="AN49" s="13" t="n">
        <f aca="false">Time!AN35*AM61</f>
        <v>5.89493195956935</v>
      </c>
      <c r="AO49" s="13" t="n">
        <f aca="false">Time!AO35*AN61</f>
        <v>2.96913780057689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31.9176866936493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2.10058043265044</v>
      </c>
      <c r="Q51" s="13" t="n">
        <f aca="false">Q49*Q12</f>
        <v>2.02200045193039</v>
      </c>
      <c r="R51" s="13" t="n">
        <f aca="false">R49*R12</f>
        <v>2.00179358874167</v>
      </c>
      <c r="S51" s="13" t="n">
        <f aca="false">S49*S12</f>
        <v>1.91664742408623</v>
      </c>
      <c r="T51" s="13" t="n">
        <f aca="false">T49*T12</f>
        <v>1.89029798869502</v>
      </c>
      <c r="U51" s="13" t="n">
        <f aca="false">U49*U12</f>
        <v>1.80962160029142</v>
      </c>
      <c r="V51" s="13" t="n">
        <f aca="false">V49*V12</f>
        <v>1.76677840114639</v>
      </c>
      <c r="W51" s="13" t="n">
        <f aca="false">W49*W12</f>
        <v>1.67223460360792</v>
      </c>
      <c r="X51" s="13" t="n">
        <f aca="false">X49*X12</f>
        <v>1.63108113080115</v>
      </c>
      <c r="Y51" s="13" t="n">
        <f aca="false">Y49*Y12</f>
        <v>1.53862073816414</v>
      </c>
      <c r="Z51" s="13" t="n">
        <f aca="false">Z49*Z12</f>
        <v>1.49713284066125</v>
      </c>
      <c r="AA51" s="13" t="n">
        <f aca="false">AA49*AA12</f>
        <v>1.40409538821794</v>
      </c>
      <c r="AB51" s="13" t="n">
        <f aca="false">AB49*AB12</f>
        <v>1.35556661219851</v>
      </c>
      <c r="AC51" s="13" t="n">
        <f aca="false">AC49*AC12</f>
        <v>1.26641860370888</v>
      </c>
      <c r="AD51" s="13" t="n">
        <f aca="false">AD49*AD12</f>
        <v>1.20261167361368</v>
      </c>
      <c r="AE51" s="13" t="n">
        <f aca="false">AE49*AE12</f>
        <v>1.09951908135616</v>
      </c>
      <c r="AF51" s="13" t="n">
        <f aca="false">AF49*AF12</f>
        <v>1.02922694071733</v>
      </c>
      <c r="AG51" s="13" t="n">
        <f aca="false">AG49*AG12</f>
        <v>0.922318375058454</v>
      </c>
      <c r="AH51" s="13" t="n">
        <f aca="false">AH49*AH12</f>
        <v>0.84427394692867</v>
      </c>
      <c r="AI51" s="13" t="n">
        <f aca="false">AI49*AI12</f>
        <v>0.734089855029841</v>
      </c>
      <c r="AJ51" s="13" t="n">
        <f aca="false">AJ49*AJ12</f>
        <v>0.645362211409963</v>
      </c>
      <c r="AK51" s="13" t="n">
        <f aca="false">AK49*AK12</f>
        <v>0.533731185766337</v>
      </c>
      <c r="AL51" s="13" t="n">
        <f aca="false">AL49*AL12</f>
        <v>0.430407062647865</v>
      </c>
      <c r="AM51" s="13" t="n">
        <f aca="false">AM49*AM12</f>
        <v>0.309499587484306</v>
      </c>
      <c r="AN51" s="13" t="n">
        <f aca="false">AN49*AN12</f>
        <v>0.196445332590449</v>
      </c>
      <c r="AO51" s="13" t="n">
        <f aca="false">AO49*AO12</f>
        <v>0.0973316361449111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63.3255975542774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1.54897148007439</v>
      </c>
      <c r="Q52" s="13" t="n">
        <f aca="false">Time!Q35*(Q49-Q50)*Q19</f>
        <v>1.61452663295866</v>
      </c>
      <c r="R52" s="13" t="n">
        <f aca="false">Time!R35*(R49-R50)*R19</f>
        <v>1.69405613454301</v>
      </c>
      <c r="S52" s="13" t="n">
        <f aca="false">Time!S35*(S49-S50)*S19</f>
        <v>1.74397722822994</v>
      </c>
      <c r="T52" s="13" t="n">
        <f aca="false">Time!T35*(T49-T50)*T19</f>
        <v>1.82419955577615</v>
      </c>
      <c r="U52" s="13" t="n">
        <f aca="false">Time!U35*(U49-U50)*U19</f>
        <v>1.88237649096174</v>
      </c>
      <c r="V52" s="13" t="n">
        <f aca="false">Time!V35*(V49-V50)*V19</f>
        <v>2.00535081717462</v>
      </c>
      <c r="W52" s="13" t="n">
        <f aca="false">Time!W35*(W49-W50)*W19</f>
        <v>2.06665316091007</v>
      </c>
      <c r="X52" s="13" t="n">
        <f aca="false">Time!X35*(X49-X50)*X19</f>
        <v>2.00928755357348</v>
      </c>
      <c r="Y52" s="13" t="n">
        <f aca="false">Time!Y35*(Y49-Y50)*Y19</f>
        <v>2.01023302277717</v>
      </c>
      <c r="Z52" s="13" t="n">
        <f aca="false">Time!Z35*(Z49-Z50)*Z19</f>
        <v>2.09351286583013</v>
      </c>
      <c r="AA52" s="13" t="n">
        <f aca="false">Time!AA35*(AA49-AA50)*AA19</f>
        <v>2.15460681996847</v>
      </c>
      <c r="AB52" s="13" t="n">
        <f aca="false">Time!AB35*(AB49-AB50)*AB19</f>
        <v>2.25754162720402</v>
      </c>
      <c r="AC52" s="13" t="n">
        <f aca="false">Time!AC35*(AC49-AC50)*AC19</f>
        <v>2.33233049624026</v>
      </c>
      <c r="AD52" s="13" t="n">
        <f aca="false">Time!AD35*(AD49-AD50)*AD19</f>
        <v>2.54673470182993</v>
      </c>
      <c r="AE52" s="13" t="n">
        <f aca="false">Time!AE35*(AE49-AE50)*AE19</f>
        <v>2.65619473291008</v>
      </c>
      <c r="AF52" s="13" t="n">
        <f aca="false">Time!AF35*(AF49-AF50)*AF19</f>
        <v>2.74937879072952</v>
      </c>
      <c r="AG52" s="13" t="n">
        <f aca="false">Time!AG35*(AG49-AG50)*AG19</f>
        <v>2.80069104155209</v>
      </c>
      <c r="AH52" s="13" t="n">
        <f aca="false">Time!AH35*(AH49-AH50)*AH19</f>
        <v>2.94129004598992</v>
      </c>
      <c r="AI52" s="13" t="n">
        <f aca="false">Time!AI35*(AI49-AI50)*AI19</f>
        <v>3.02765373791365</v>
      </c>
      <c r="AJ52" s="13" t="n">
        <f aca="false">Time!AJ35*(AJ49-AJ50)*AJ19</f>
        <v>3.17382178581808</v>
      </c>
      <c r="AK52" s="13" t="n">
        <f aca="false">Time!AK35*(AK49-AK50)*AK19</f>
        <v>3.27655277692825</v>
      </c>
      <c r="AL52" s="13" t="n">
        <f aca="false">Time!AL35*(AL49-AL50)*AL19</f>
        <v>3.47425590064094</v>
      </c>
      <c r="AM52" s="13" t="n">
        <f aca="false">Time!AM35*(AM49-AM50)*AM19</f>
        <v>3.54646819417351</v>
      </c>
      <c r="AN52" s="13" t="n">
        <f aca="false">Time!AN35*(AN49-AN50)*AN19</f>
        <v>2.92579415899246</v>
      </c>
      <c r="AO52" s="13" t="n">
        <f aca="false">Time!AO35*(AO49-AO50)*AO19</f>
        <v>2.96913780057689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63.3255975542774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1.54897148007439</v>
      </c>
      <c r="Q55" s="13" t="n">
        <f aca="false">Q52-Q53+Q54</f>
        <v>1.61452663295866</v>
      </c>
      <c r="R55" s="13" t="n">
        <f aca="false">R52-R53+R54</f>
        <v>1.69405613454301</v>
      </c>
      <c r="S55" s="13" t="n">
        <f aca="false">S52-S53+S54</f>
        <v>1.74397722822994</v>
      </c>
      <c r="T55" s="13" t="n">
        <f aca="false">T52-T53+T54</f>
        <v>1.82419955577615</v>
      </c>
      <c r="U55" s="13" t="n">
        <f aca="false">U52-U53+U54</f>
        <v>1.88237649096174</v>
      </c>
      <c r="V55" s="13" t="n">
        <f aca="false">V52-V53+V54</f>
        <v>2.00535081717462</v>
      </c>
      <c r="W55" s="13" t="n">
        <f aca="false">W52-W53+W54</f>
        <v>2.06665316091007</v>
      </c>
      <c r="X55" s="13" t="n">
        <f aca="false">X52-X53+X54</f>
        <v>2.00928755357348</v>
      </c>
      <c r="Y55" s="13" t="n">
        <f aca="false">Y52-Y53+Y54</f>
        <v>2.01023302277717</v>
      </c>
      <c r="Z55" s="13" t="n">
        <f aca="false">Z52-Z53+Z54</f>
        <v>2.09351286583013</v>
      </c>
      <c r="AA55" s="13" t="n">
        <f aca="false">AA52-AA53+AA54</f>
        <v>2.15460681996847</v>
      </c>
      <c r="AB55" s="13" t="n">
        <f aca="false">AB52-AB53+AB54</f>
        <v>2.25754162720402</v>
      </c>
      <c r="AC55" s="13" t="n">
        <f aca="false">AC52-AC53+AC54</f>
        <v>2.33233049624026</v>
      </c>
      <c r="AD55" s="13" t="n">
        <f aca="false">AD52-AD53+AD54</f>
        <v>2.54673470182993</v>
      </c>
      <c r="AE55" s="13" t="n">
        <f aca="false">AE52-AE53+AE54</f>
        <v>2.65619473291008</v>
      </c>
      <c r="AF55" s="13" t="n">
        <f aca="false">AF52-AF53+AF54</f>
        <v>2.74937879072952</v>
      </c>
      <c r="AG55" s="13" t="n">
        <f aca="false">AG52-AG53+AG54</f>
        <v>2.80069104155209</v>
      </c>
      <c r="AH55" s="13" t="n">
        <f aca="false">AH52-AH53+AH54</f>
        <v>2.94129004598992</v>
      </c>
      <c r="AI55" s="13" t="n">
        <f aca="false">AI52-AI53+AI54</f>
        <v>3.02765373791365</v>
      </c>
      <c r="AJ55" s="13" t="n">
        <f aca="false">AJ52-AJ53+AJ54</f>
        <v>3.17382178581808</v>
      </c>
      <c r="AK55" s="13" t="n">
        <f aca="false">AK52-AK53+AK54</f>
        <v>3.27655277692825</v>
      </c>
      <c r="AL55" s="13" t="n">
        <f aca="false">AL52-AL53+AL54</f>
        <v>3.47425590064094</v>
      </c>
      <c r="AM55" s="13" t="n">
        <f aca="false">AM52-AM53+AM54</f>
        <v>3.54646819417351</v>
      </c>
      <c r="AN55" s="13" t="n">
        <f aca="false">AN52-AN53+AN54</f>
        <v>2.92579415899246</v>
      </c>
      <c r="AO55" s="13" t="n">
        <f aca="false">AO52-AO53+AO54</f>
        <v>2.96913780057689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61.776626074203</v>
      </c>
      <c r="Q59" s="13" t="n">
        <f aca="false">Q49-Q55-Q56-Q57</f>
        <v>60.1620994412444</v>
      </c>
      <c r="R59" s="13" t="n">
        <f aca="false">R49-R55-R56-R57</f>
        <v>58.4680433067014</v>
      </c>
      <c r="S59" s="13" t="n">
        <f aca="false">S49-S55-S56-S57</f>
        <v>56.7240660784714</v>
      </c>
      <c r="T59" s="13" t="n">
        <f aca="false">T49-T55-T56-T57</f>
        <v>54.8998665226953</v>
      </c>
      <c r="U59" s="13" t="n">
        <f aca="false">U49-U55-U56-U57</f>
        <v>53.0174900317335</v>
      </c>
      <c r="V59" s="13" t="n">
        <f aca="false">V49-V55-V56-V57</f>
        <v>51.0121392145589</v>
      </c>
      <c r="W59" s="13" t="n">
        <f aca="false">W49-W55-W56-W57</f>
        <v>48.9454860536489</v>
      </c>
      <c r="X59" s="13" t="n">
        <f aca="false">X49-X55-X56-X57</f>
        <v>46.9361985000754</v>
      </c>
      <c r="Y59" s="13" t="n">
        <f aca="false">Y49-Y55-Y56-Y57</f>
        <v>44.9259654772982</v>
      </c>
      <c r="Z59" s="13" t="n">
        <f aca="false">Z49-Z55-Z56-Z57</f>
        <v>42.8324526114681</v>
      </c>
      <c r="AA59" s="13" t="n">
        <f aca="false">AA49-AA55-AA56-AA57</f>
        <v>40.6778457914996</v>
      </c>
      <c r="AB59" s="13" t="n">
        <f aca="false">AB49-AB55-AB56-AB57</f>
        <v>38.4203041642956</v>
      </c>
      <c r="AC59" s="13" t="n">
        <f aca="false">AC49-AC55-AC56-AC57</f>
        <v>36.0879736680553</v>
      </c>
      <c r="AD59" s="13" t="n">
        <f aca="false">AD49-AD55-AD56-AD57</f>
        <v>33.5412389662254</v>
      </c>
      <c r="AE59" s="13" t="n">
        <f aca="false">AE49-AE55-AE56-AE57</f>
        <v>30.8850442333153</v>
      </c>
      <c r="AF59" s="13" t="n">
        <f aca="false">AF49-AF55-AF56-AF57</f>
        <v>28.1356654425858</v>
      </c>
      <c r="AG59" s="13" t="n">
        <f aca="false">AG49-AG55-AG56-AG57</f>
        <v>25.3349744010337</v>
      </c>
      <c r="AH59" s="13" t="n">
        <f aca="false">AH49-AH55-AH56-AH57</f>
        <v>22.3936843550438</v>
      </c>
      <c r="AI59" s="13" t="n">
        <f aca="false">AI49-AI55-AI56-AI57</f>
        <v>19.3660306171301</v>
      </c>
      <c r="AJ59" s="13" t="n">
        <f aca="false">AJ49-AJ55-AJ56-AJ57</f>
        <v>16.1922088313121</v>
      </c>
      <c r="AK59" s="13" t="n">
        <f aca="false">AK49-AK55-AK56-AK57</f>
        <v>12.9156560543838</v>
      </c>
      <c r="AL59" s="13" t="n">
        <f aca="false">AL49-AL55-AL56-AL57</f>
        <v>9.44140015374286</v>
      </c>
      <c r="AM59" s="13" t="n">
        <f aca="false">AM49-AM55-AM56-AM57</f>
        <v>5.89493195956935</v>
      </c>
      <c r="AN59" s="13" t="n">
        <f aca="false">AN49-AN55-AN56-AN57</f>
        <v>2.96913780057689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63.3255975542774</v>
      </c>
      <c r="P61" s="13" t="n">
        <f aca="false">IF(Time!P34=1,INDEX(Funding!$J$63:$BJ$63,1,Time!$F$14),Time!P35*(P59-P60))</f>
        <v>61.776626074203</v>
      </c>
      <c r="Q61" s="13" t="n">
        <f aca="false">IF(Time!Q34=1,INDEX(Funding!$J$63:$BJ$63,1,Time!$F$14),Time!Q35*(Q59-Q60))</f>
        <v>60.1620994412444</v>
      </c>
      <c r="R61" s="13" t="n">
        <f aca="false">IF(Time!R34=1,INDEX(Funding!$J$63:$BJ$63,1,Time!$F$14),Time!R35*(R59-R60))</f>
        <v>58.4680433067014</v>
      </c>
      <c r="S61" s="13" t="n">
        <f aca="false">IF(Time!S34=1,INDEX(Funding!$J$63:$BJ$63,1,Time!$F$14),Time!S35*(S59-S60))</f>
        <v>56.7240660784714</v>
      </c>
      <c r="T61" s="13" t="n">
        <f aca="false">IF(Time!T34=1,INDEX(Funding!$J$63:$BJ$63,1,Time!$F$14),Time!T35*(T59-T60))</f>
        <v>54.8998665226953</v>
      </c>
      <c r="U61" s="13" t="n">
        <f aca="false">IF(Time!U34=1,INDEX(Funding!$J$63:$BJ$63,1,Time!$F$14),Time!U35*(U59-U60))</f>
        <v>53.0174900317335</v>
      </c>
      <c r="V61" s="13" t="n">
        <f aca="false">IF(Time!V34=1,INDEX(Funding!$J$63:$BJ$63,1,Time!$F$14),Time!V35*(V59-V60))</f>
        <v>51.0121392145589</v>
      </c>
      <c r="W61" s="13" t="n">
        <f aca="false">IF(Time!W34=1,INDEX(Funding!$J$63:$BJ$63,1,Time!$F$14),Time!W35*(W59-W60))</f>
        <v>48.9454860536489</v>
      </c>
      <c r="X61" s="13" t="n">
        <f aca="false">IF(Time!X34=1,INDEX(Funding!$J$63:$BJ$63,1,Time!$F$14),Time!X35*(X59-X60))</f>
        <v>46.9361985000754</v>
      </c>
      <c r="Y61" s="13" t="n">
        <f aca="false">IF(Time!Y34=1,INDEX(Funding!$J$63:$BJ$63,1,Time!$F$14),Time!Y35*(Y59-Y60))</f>
        <v>44.9259654772982</v>
      </c>
      <c r="Z61" s="13" t="n">
        <f aca="false">IF(Time!Z34=1,INDEX(Funding!$J$63:$BJ$63,1,Time!$F$14),Time!Z35*(Z59-Z60))</f>
        <v>42.8324526114681</v>
      </c>
      <c r="AA61" s="13" t="n">
        <f aca="false">IF(Time!AA34=1,INDEX(Funding!$J$63:$BJ$63,1,Time!$F$14),Time!AA35*(AA59-AA60))</f>
        <v>40.6778457914996</v>
      </c>
      <c r="AB61" s="13" t="n">
        <f aca="false">IF(Time!AB34=1,INDEX(Funding!$J$63:$BJ$63,1,Time!$F$14),Time!AB35*(AB59-AB60))</f>
        <v>38.4203041642956</v>
      </c>
      <c r="AC61" s="13" t="n">
        <f aca="false">IF(Time!AC34=1,INDEX(Funding!$J$63:$BJ$63,1,Time!$F$14),Time!AC35*(AC59-AC60))</f>
        <v>36.0879736680553</v>
      </c>
      <c r="AD61" s="13" t="n">
        <f aca="false">IF(Time!AD34=1,INDEX(Funding!$J$63:$BJ$63,1,Time!$F$14),Time!AD35*(AD59-AD60))</f>
        <v>33.5412389662254</v>
      </c>
      <c r="AE61" s="13" t="n">
        <f aca="false">IF(Time!AE34=1,INDEX(Funding!$J$63:$BJ$63,1,Time!$F$14),Time!AE35*(AE59-AE60))</f>
        <v>30.8850442333153</v>
      </c>
      <c r="AF61" s="13" t="n">
        <f aca="false">IF(Time!AF34=1,INDEX(Funding!$J$63:$BJ$63,1,Time!$F$14),Time!AF35*(AF59-AF60))</f>
        <v>28.1356654425858</v>
      </c>
      <c r="AG61" s="13" t="n">
        <f aca="false">IF(Time!AG34=1,INDEX(Funding!$J$63:$BJ$63,1,Time!$F$14),Time!AG35*(AG59-AG60))</f>
        <v>25.3349744010337</v>
      </c>
      <c r="AH61" s="13" t="n">
        <f aca="false">IF(Time!AH34=1,INDEX(Funding!$J$63:$BJ$63,1,Time!$F$14),Time!AH35*(AH59-AH60))</f>
        <v>22.3936843550438</v>
      </c>
      <c r="AI61" s="13" t="n">
        <f aca="false">IF(Time!AI34=1,INDEX(Funding!$J$63:$BJ$63,1,Time!$F$14),Time!AI35*(AI59-AI60))</f>
        <v>19.3660306171301</v>
      </c>
      <c r="AJ61" s="13" t="n">
        <f aca="false">IF(Time!AJ34=1,INDEX(Funding!$J$63:$BJ$63,1,Time!$F$14),Time!AJ35*(AJ59-AJ60))</f>
        <v>16.1922088313121</v>
      </c>
      <c r="AK61" s="13" t="n">
        <f aca="false">IF(Time!AK34=1,INDEX(Funding!$J$63:$BJ$63,1,Time!$F$14),Time!AK35*(AK59-AK60))</f>
        <v>12.9156560543838</v>
      </c>
      <c r="AL61" s="13" t="n">
        <f aca="false">IF(Time!AL34=1,INDEX(Funding!$J$63:$BJ$63,1,Time!$F$14),Time!AL35*(AL59-AL60))</f>
        <v>9.44140015374286</v>
      </c>
      <c r="AM61" s="13" t="n">
        <f aca="false">IF(Time!AM34=1,INDEX(Funding!$J$63:$BJ$63,1,Time!$F$14),Time!AM35*(AM59-AM60))</f>
        <v>5.89493195956935</v>
      </c>
      <c r="AN61" s="13" t="n">
        <f aca="false">IF(Time!AN34=1,INDEX(Funding!$J$63:$BJ$63,1,Time!$F$14),Time!AN35*(AN59-AN60))</f>
        <v>2.96913780057689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240.637270706254</v>
      </c>
      <c r="Q63" s="13" t="n">
        <f aca="false">Time!Q35*P75</f>
        <v>234.751179081972</v>
      </c>
      <c r="R63" s="13" t="n">
        <f aca="false">Time!R35*Q75</f>
        <v>228.615977876729</v>
      </c>
      <c r="S63" s="13" t="n">
        <f aca="false">Time!S35*R75</f>
        <v>222.178564565465</v>
      </c>
      <c r="T63" s="13" t="n">
        <f aca="false">Time!T35*S75</f>
        <v>215.551451098191</v>
      </c>
      <c r="U63" s="13" t="n">
        <f aca="false">Time!U35*T75</f>
        <v>208.619492786242</v>
      </c>
      <c r="V63" s="13" t="n">
        <f aca="false">Time!V35*U75</f>
        <v>201.466462120587</v>
      </c>
      <c r="W63" s="13" t="n">
        <f aca="false">Time!W35*V75</f>
        <v>193.846129015324</v>
      </c>
      <c r="X63" s="13" t="n">
        <f aca="false">Time!X35*W75</f>
        <v>185.992847003866</v>
      </c>
      <c r="Y63" s="13" t="n">
        <f aca="false">Time!Y35*X75</f>
        <v>178.357554300286</v>
      </c>
      <c r="Z63" s="13" t="n">
        <f aca="false">Time!Z35*Y75</f>
        <v>170.718668813733</v>
      </c>
      <c r="AA63" s="13" t="n">
        <f aca="false">Time!AA35*Z75</f>
        <v>162.763319923579</v>
      </c>
      <c r="AB63" s="13" t="n">
        <f aca="false">Time!AB35*AA75</f>
        <v>148.381141083776</v>
      </c>
      <c r="AC63" s="13" t="n">
        <f aca="false">Time!AC35*AB75</f>
        <v>132.942837101582</v>
      </c>
      <c r="AD63" s="13" t="n">
        <f aca="false">Time!AD35*AC75</f>
        <v>117.997159030047</v>
      </c>
      <c r="AE63" s="13" t="n">
        <f aca="false">Time!AE35*AD75</f>
        <v>101.453637452852</v>
      </c>
      <c r="AF63" s="13" t="n">
        <f aca="false">Time!AF35*AE75</f>
        <v>84.5900705439096</v>
      </c>
      <c r="AG63" s="13" t="n">
        <f aca="false">Time!AG35*AF75</f>
        <v>67.3342841565564</v>
      </c>
      <c r="AH63" s="13" t="n">
        <f aca="false">Time!AH35*AG75</f>
        <v>50.4705543164846</v>
      </c>
      <c r="AI63" s="13" t="n">
        <f aca="false">Time!AI35*AH75</f>
        <v>33.0680174505925</v>
      </c>
      <c r="AJ63" s="13" t="n">
        <f aca="false">Time!AJ35*AI75</f>
        <v>16.1761957651324</v>
      </c>
      <c r="AK63" s="13" t="n">
        <f aca="false">Time!AK35*AJ75</f>
        <v>0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134.053251825021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9.82572480412179</v>
      </c>
      <c r="Q65" s="13" t="n">
        <f aca="false">Q63*Q13</f>
        <v>9.45532827820258</v>
      </c>
      <c r="R65" s="13" t="n">
        <f aca="false">R63*R13</f>
        <v>9.36083644723405</v>
      </c>
      <c r="S65" s="13" t="n">
        <f aca="false">S63*S13</f>
        <v>8.96133925140251</v>
      </c>
      <c r="T65" s="13" t="n">
        <f aca="false">T63*T13</f>
        <v>8.83814172083103</v>
      </c>
      <c r="U65" s="13" t="n">
        <f aca="false">U63*U13</f>
        <v>8.46093698459363</v>
      </c>
      <c r="V65" s="13" t="n">
        <f aca="false">V63*V13</f>
        <v>8.2606223949987</v>
      </c>
      <c r="W65" s="13" t="n">
        <f aca="false">W63*W13</f>
        <v>7.81858019505573</v>
      </c>
      <c r="X65" s="13" t="n">
        <f aca="false">X63*X13</f>
        <v>7.62616596875603</v>
      </c>
      <c r="Y65" s="13" t="n">
        <f aca="false">Y63*Y13</f>
        <v>7.69205486959494</v>
      </c>
      <c r="Z65" s="13" t="n">
        <f aca="false">Z63*Z13</f>
        <v>7.48464366285592</v>
      </c>
      <c r="AA65" s="13" t="n">
        <f aca="false">AA63*AA13</f>
        <v>7.01951982085231</v>
      </c>
      <c r="AB65" s="13" t="n">
        <f aca="false">AB63*AB13</f>
        <v>6.50532232366301</v>
      </c>
      <c r="AC65" s="13" t="n">
        <f aca="false">AC63*AC13</f>
        <v>5.76512357534588</v>
      </c>
      <c r="AD65" s="13" t="n">
        <f aca="false">AD63*AD13</f>
        <v>5.17322853268523</v>
      </c>
      <c r="AE65" s="13" t="n">
        <f aca="false">AE63*AE13</f>
        <v>4.37540730511171</v>
      </c>
      <c r="AF65" s="13" t="n">
        <f aca="false">AF63*AF13</f>
        <v>3.70859578414237</v>
      </c>
      <c r="AG65" s="13" t="n">
        <f aca="false">AG63*AG13</f>
        <v>3.09201526709283</v>
      </c>
      <c r="AH65" s="13" t="n">
        <f aca="false">AH63*AH13</f>
        <v>2.35604024668508</v>
      </c>
      <c r="AI65" s="13" t="n">
        <f aca="false">AI63*AI13</f>
        <v>1.51849560874508</v>
      </c>
      <c r="AJ65" s="13" t="n">
        <f aca="false">AJ63*AJ13</f>
        <v>0.755128783050847</v>
      </c>
      <c r="AK65" s="13" t="n">
        <f aca="false">AK63*AK13</f>
        <v>0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145.942216518388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5.8860916242827</v>
      </c>
      <c r="Q66" s="13" t="n">
        <f aca="false">Time!Q35*(Q63-Q64)*Q19</f>
        <v>6.1352012052429</v>
      </c>
      <c r="R66" s="13" t="n">
        <f aca="false">Time!R35*(R63-R64)*R19</f>
        <v>6.43741331126344</v>
      </c>
      <c r="S66" s="13" t="n">
        <f aca="false">Time!S35*(S63-S64)*S19</f>
        <v>6.62711346727376</v>
      </c>
      <c r="T66" s="13" t="n">
        <f aca="false">Time!T35*(T63-T64)*T19</f>
        <v>6.93195831194939</v>
      </c>
      <c r="U66" s="13" t="n">
        <f aca="false">Time!U35*(U63-U64)*U19</f>
        <v>7.1530306656546</v>
      </c>
      <c r="V66" s="13" t="n">
        <f aca="false">Time!V35*(V63-V64)*V19</f>
        <v>7.62033310526354</v>
      </c>
      <c r="W66" s="13" t="n">
        <f aca="false">Time!W35*(W63-W64)*W19</f>
        <v>7.85328201145828</v>
      </c>
      <c r="X66" s="13" t="n">
        <f aca="false">Time!X35*(X63-X64)*X19</f>
        <v>7.63529270357921</v>
      </c>
      <c r="Y66" s="13" t="n">
        <f aca="false">Time!Y35*(Y63-Y64)*Y19</f>
        <v>7.63888548655323</v>
      </c>
      <c r="Z66" s="13" t="n">
        <f aca="false">Time!Z35*(Z63-Z64)*Z19</f>
        <v>7.9553488901545</v>
      </c>
      <c r="AA66" s="13" t="n">
        <f aca="false">Time!AA35*(AA63-AA64)*AA19</f>
        <v>8.18750591588019</v>
      </c>
      <c r="AB66" s="13" t="n">
        <f aca="false">Time!AB35*(AB63-AB64)*AB19</f>
        <v>8.23486583841311</v>
      </c>
      <c r="AC66" s="13" t="n">
        <f aca="false">Time!AC35*(AC63-AC64)*AC19</f>
        <v>8.07038465658137</v>
      </c>
      <c r="AD66" s="13" t="n">
        <f aca="false">Time!AD35*(AD63-AD64)*AD19</f>
        <v>8.32708043913177</v>
      </c>
      <c r="AE66" s="13" t="n">
        <f aca="false">Time!AE35*(AE63-AE64)*AE19</f>
        <v>8.03430719146036</v>
      </c>
      <c r="AF66" s="13" t="n">
        <f aca="false">Time!AF35*(AF63-AF64)*AF19</f>
        <v>7.53018658813732</v>
      </c>
      <c r="AG66" s="13" t="n">
        <f aca="false">Time!AG35*(AG63-AG64)*AG19</f>
        <v>6.70261475817645</v>
      </c>
      <c r="AH66" s="13" t="n">
        <f aca="false">Time!AH35*(AH63-AH64)*AH19</f>
        <v>5.85943118302945</v>
      </c>
      <c r="AI66" s="13" t="n">
        <f aca="false">Time!AI35*(AI63-AI64)*AI19</f>
        <v>4.47083673469436</v>
      </c>
      <c r="AJ66" s="13" t="n">
        <f aca="false">Time!AJ35*(AJ63-AJ64)*AJ19</f>
        <v>2.65105243020851</v>
      </c>
      <c r="AK66" s="13" t="n">
        <f aca="false">Time!AK35*(AK63-AK64)*AK19</f>
        <v>0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145.942216518388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5.8860916242827</v>
      </c>
      <c r="Q69" s="13" t="n">
        <f aca="false">Q66-Q67+Q68</f>
        <v>6.1352012052429</v>
      </c>
      <c r="R69" s="13" t="n">
        <f aca="false">R66-R67+R68</f>
        <v>6.43741331126344</v>
      </c>
      <c r="S69" s="13" t="n">
        <f aca="false">S66-S67+S68</f>
        <v>6.62711346727376</v>
      </c>
      <c r="T69" s="13" t="n">
        <f aca="false">T66-T67+T68</f>
        <v>6.93195831194939</v>
      </c>
      <c r="U69" s="13" t="n">
        <f aca="false">U66-U67+U68</f>
        <v>7.1530306656546</v>
      </c>
      <c r="V69" s="13" t="n">
        <f aca="false">V66-V67+V68</f>
        <v>7.62033310526354</v>
      </c>
      <c r="W69" s="13" t="n">
        <f aca="false">W66-W67+W68</f>
        <v>7.85328201145828</v>
      </c>
      <c r="X69" s="13" t="n">
        <f aca="false">X66-X67+X68</f>
        <v>7.63529270357921</v>
      </c>
      <c r="Y69" s="13" t="n">
        <f aca="false">Y66-Y67+Y68</f>
        <v>7.63888548655323</v>
      </c>
      <c r="Z69" s="13" t="n">
        <f aca="false">Z66-Z67+Z68</f>
        <v>7.9553488901545</v>
      </c>
      <c r="AA69" s="13" t="n">
        <f aca="false">AA66-AA67+AA68</f>
        <v>8.18750591588019</v>
      </c>
      <c r="AB69" s="13" t="n">
        <f aca="false">AB66-AB67+AB68</f>
        <v>8.23486583841311</v>
      </c>
      <c r="AC69" s="13" t="n">
        <f aca="false">AC66-AC67+AC68</f>
        <v>8.07038465658137</v>
      </c>
      <c r="AD69" s="13" t="n">
        <f aca="false">AD66-AD67+AD68</f>
        <v>8.32708043913177</v>
      </c>
      <c r="AE69" s="13" t="n">
        <f aca="false">AE66-AE67+AE68</f>
        <v>8.03430719146036</v>
      </c>
      <c r="AF69" s="13" t="n">
        <f aca="false">AF66-AF67+AF68</f>
        <v>7.53018658813732</v>
      </c>
      <c r="AG69" s="13" t="n">
        <f aca="false">AG66-AG67+AG68</f>
        <v>6.70261475817645</v>
      </c>
      <c r="AH69" s="13" t="n">
        <f aca="false">AH66-AH67+AH68</f>
        <v>5.85943118302945</v>
      </c>
      <c r="AI69" s="13" t="n">
        <f aca="false">AI66-AI67+AI68</f>
        <v>4.47083673469436</v>
      </c>
      <c r="AJ69" s="13" t="n">
        <f aca="false">AJ66-AJ67+AJ68</f>
        <v>2.65105243020851</v>
      </c>
      <c r="AK69" s="13" t="n">
        <f aca="false">AK66-AK67+AK68</f>
        <v>0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234.751179081972</v>
      </c>
      <c r="Q73" s="13" t="n">
        <f aca="false">Q63-Q69-Q70-Q71</f>
        <v>228.615977876729</v>
      </c>
      <c r="R73" s="13" t="n">
        <f aca="false">R63-R69-R70-R71</f>
        <v>222.178564565465</v>
      </c>
      <c r="S73" s="13" t="n">
        <f aca="false">S63-S69-S70-S71</f>
        <v>215.551451098191</v>
      </c>
      <c r="T73" s="13" t="n">
        <f aca="false">T63-T69-T70-T71</f>
        <v>208.619492786242</v>
      </c>
      <c r="U73" s="13" t="n">
        <f aca="false">U63-U69-U70-U71</f>
        <v>201.466462120587</v>
      </c>
      <c r="V73" s="13" t="n">
        <f aca="false">V63-V69-V70-V71</f>
        <v>193.846129015324</v>
      </c>
      <c r="W73" s="13" t="n">
        <f aca="false">W63-W69-W70-W71</f>
        <v>185.992847003866</v>
      </c>
      <c r="X73" s="13" t="n">
        <f aca="false">X63-X69-X70-X71</f>
        <v>178.357554300286</v>
      </c>
      <c r="Y73" s="13" t="n">
        <f aca="false">Y63-Y69-Y70-Y71</f>
        <v>170.718668813733</v>
      </c>
      <c r="Z73" s="13" t="n">
        <f aca="false">Z63-Z69-Z70-Z71</f>
        <v>162.763319923579</v>
      </c>
      <c r="AA73" s="13" t="n">
        <f aca="false">AA63-AA69-AA70-AA71</f>
        <v>154.575814007698</v>
      </c>
      <c r="AB73" s="13" t="n">
        <f aca="false">AB63-AB69-AB70-AB71</f>
        <v>140.146275245362</v>
      </c>
      <c r="AC73" s="13" t="n">
        <f aca="false">AC63-AC69-AC70-AC71</f>
        <v>124.872452445001</v>
      </c>
      <c r="AD73" s="13" t="n">
        <f aca="false">AD63-AD69-AD70-AD71</f>
        <v>109.670078590915</v>
      </c>
      <c r="AE73" s="13" t="n">
        <f aca="false">AE63-AE69-AE70-AE71</f>
        <v>93.4193302613919</v>
      </c>
      <c r="AF73" s="13" t="n">
        <f aca="false">AF63-AF69-AF70-AF71</f>
        <v>77.0598839557723</v>
      </c>
      <c r="AG73" s="13" t="n">
        <f aca="false">AG63-AG69-AG70-AG71</f>
        <v>60.63166939838</v>
      </c>
      <c r="AH73" s="13" t="n">
        <f aca="false">AH63-AH69-AH70-AH71</f>
        <v>44.6111231334552</v>
      </c>
      <c r="AI73" s="13" t="n">
        <f aca="false">AI63-AI69-AI70-AI71</f>
        <v>28.5971807158981</v>
      </c>
      <c r="AJ73" s="13" t="n">
        <f aca="false">AJ63-AJ69-AJ70-AJ71</f>
        <v>13.5251433349239</v>
      </c>
      <c r="AK73" s="13" t="n">
        <f aca="false">AK63-AK69-AK70-AK71</f>
        <v>0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94.6950541878658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6.19467292392291</v>
      </c>
      <c r="AB74" s="13" t="n">
        <f aca="false">Waterfall!AB28*AB73/(AB31+AB45+AB59+AB73+AB87+Inputs!$F$253)+Waterfall!AB29</f>
        <v>7.20343814378053</v>
      </c>
      <c r="AC74" s="13" t="n">
        <f aca="false">Waterfall!AC28*AC73/(AC31+AC45+AC59+AC73+AC87+Inputs!$F$253)+Waterfall!AC29</f>
        <v>6.87529341495345</v>
      </c>
      <c r="AD74" s="13" t="n">
        <f aca="false">Waterfall!AD28*AD73/(AD31+AD45+AD59+AD73+AD87+Inputs!$F$253)+Waterfall!AD29</f>
        <v>8.21644113806305</v>
      </c>
      <c r="AE74" s="13" t="n">
        <f aca="false">Waterfall!AE28*AE73/(AE31+AE45+AE59+AE73+AE87+Inputs!$F$253)+Waterfall!AE29</f>
        <v>8.82925971748235</v>
      </c>
      <c r="AF74" s="13" t="n">
        <f aca="false">Waterfall!AF28*AF73/(AF31+AF45+AF59+AF73+AF87+Inputs!$F$253)+Waterfall!AF29</f>
        <v>9.72559979921583</v>
      </c>
      <c r="AG74" s="13" t="n">
        <f aca="false">Waterfall!AG28*AG73/(AG31+AG45+AG59+AG73+AG87+Inputs!$F$253)+Waterfall!AG29</f>
        <v>10.1611150818953</v>
      </c>
      <c r="AH74" s="13" t="n">
        <f aca="false">Waterfall!AH28*AH73/(AH31+AH45+AH59+AH73+AH87+Inputs!$F$253)+Waterfall!AH29</f>
        <v>11.5431056828627</v>
      </c>
      <c r="AI74" s="13" t="n">
        <f aca="false">Waterfall!AI28*AI73/(AI31+AI45+AI59+AI73+AI87+Inputs!$F$253)+Waterfall!AI29</f>
        <v>12.4209849507657</v>
      </c>
      <c r="AJ74" s="13" t="n">
        <f aca="false">Waterfall!AJ28*AJ73/(AJ31+AJ45+AJ59+AJ73+AJ87+Inputs!$F$253)+Waterfall!AJ29</f>
        <v>13.5251433349239</v>
      </c>
      <c r="AK74" s="13" t="n">
        <f aca="false">Waterfall!AK28*AK73/(AK31+AK45+AK59+AK73+AK87+Inputs!$F$253)+Waterfall!AK29</f>
        <v>0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240.637270706254</v>
      </c>
      <c r="P75" s="13" t="n">
        <f aca="false">IF(Time!P34=1,INDEX(Funding!$J$64:$BJ$64,1,Time!$F$14),Time!P35*(P73-P74))</f>
        <v>234.751179081972</v>
      </c>
      <c r="Q75" s="13" t="n">
        <f aca="false">IF(Time!Q34=1,INDEX(Funding!$J$64:$BJ$64,1,Time!$F$14),Time!Q35*(Q73-Q74))</f>
        <v>228.615977876729</v>
      </c>
      <c r="R75" s="13" t="n">
        <f aca="false">IF(Time!R34=1,INDEX(Funding!$J$64:$BJ$64,1,Time!$F$14),Time!R35*(R73-R74))</f>
        <v>222.178564565465</v>
      </c>
      <c r="S75" s="13" t="n">
        <f aca="false">IF(Time!S34=1,INDEX(Funding!$J$64:$BJ$64,1,Time!$F$14),Time!S35*(S73-S74))</f>
        <v>215.551451098191</v>
      </c>
      <c r="T75" s="13" t="n">
        <f aca="false">IF(Time!T34=1,INDEX(Funding!$J$64:$BJ$64,1,Time!$F$14),Time!T35*(T73-T74))</f>
        <v>208.619492786242</v>
      </c>
      <c r="U75" s="13" t="n">
        <f aca="false">IF(Time!U34=1,INDEX(Funding!$J$64:$BJ$64,1,Time!$F$14),Time!U35*(U73-U74))</f>
        <v>201.466462120587</v>
      </c>
      <c r="V75" s="13" t="n">
        <f aca="false">IF(Time!V34=1,INDEX(Funding!$J$64:$BJ$64,1,Time!$F$14),Time!V35*(V73-V74))</f>
        <v>193.846129015324</v>
      </c>
      <c r="W75" s="13" t="n">
        <f aca="false">IF(Time!W34=1,INDEX(Funding!$J$64:$BJ$64,1,Time!$F$14),Time!W35*(W73-W74))</f>
        <v>185.992847003866</v>
      </c>
      <c r="X75" s="13" t="n">
        <f aca="false">IF(Time!X34=1,INDEX(Funding!$J$64:$BJ$64,1,Time!$F$14),Time!X35*(X73-X74))</f>
        <v>178.357554300286</v>
      </c>
      <c r="Y75" s="13" t="n">
        <f aca="false">IF(Time!Y34=1,INDEX(Funding!$J$64:$BJ$64,1,Time!$F$14),Time!Y35*(Y73-Y74))</f>
        <v>170.718668813733</v>
      </c>
      <c r="Z75" s="13" t="n">
        <f aca="false">IF(Time!Z34=1,INDEX(Funding!$J$64:$BJ$64,1,Time!$F$14),Time!Z35*(Z73-Z74))</f>
        <v>162.763319923579</v>
      </c>
      <c r="AA75" s="13" t="n">
        <f aca="false">IF(Time!AA34=1,INDEX(Funding!$J$64:$BJ$64,1,Time!$F$14),Time!AA35*(AA73-AA74))</f>
        <v>148.381141083776</v>
      </c>
      <c r="AB75" s="13" t="n">
        <f aca="false">IF(Time!AB34=1,INDEX(Funding!$J$64:$BJ$64,1,Time!$F$14),Time!AB35*(AB73-AB74))</f>
        <v>132.942837101582</v>
      </c>
      <c r="AC75" s="13" t="n">
        <f aca="false">IF(Time!AC34=1,INDEX(Funding!$J$64:$BJ$64,1,Time!$F$14),Time!AC35*(AC73-AC74))</f>
        <v>117.997159030047</v>
      </c>
      <c r="AD75" s="13" t="n">
        <f aca="false">IF(Time!AD34=1,INDEX(Funding!$J$64:$BJ$64,1,Time!$F$14),Time!AD35*(AD73-AD74))</f>
        <v>101.453637452852</v>
      </c>
      <c r="AE75" s="13" t="n">
        <f aca="false">IF(Time!AE34=1,INDEX(Funding!$J$64:$BJ$64,1,Time!$F$14),Time!AE35*(AE73-AE74))</f>
        <v>84.5900705439096</v>
      </c>
      <c r="AF75" s="13" t="n">
        <f aca="false">IF(Time!AF34=1,INDEX(Funding!$J$64:$BJ$64,1,Time!$F$14),Time!AF35*(AF73-AF74))</f>
        <v>67.3342841565564</v>
      </c>
      <c r="AG75" s="13" t="n">
        <f aca="false">IF(Time!AG34=1,INDEX(Funding!$J$64:$BJ$64,1,Time!$F$14),Time!AG35*(AG73-AG74))</f>
        <v>50.4705543164846</v>
      </c>
      <c r="AH75" s="13" t="n">
        <f aca="false">IF(Time!AH34=1,INDEX(Funding!$J$64:$BJ$64,1,Time!$F$14),Time!AH35*(AH73-AH74))</f>
        <v>33.0680174505925</v>
      </c>
      <c r="AI75" s="13" t="n">
        <f aca="false">IF(Time!AI34=1,INDEX(Funding!$J$64:$BJ$64,1,Time!$F$14),Time!AI35*(AI73-AI74))</f>
        <v>16.1761957651324</v>
      </c>
      <c r="AJ75" s="13" t="n">
        <f aca="false">IF(Time!AJ34=1,INDEX(Funding!$J$64:$BJ$64,1,Time!$F$14),Time!AJ35*(AJ73-AJ74))</f>
        <v>0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1.74223968585352E-011</v>
      </c>
      <c r="Q77" s="13" t="n">
        <f aca="false">Time!Q35*P89</f>
        <v>1.69962375029085E-011</v>
      </c>
      <c r="R77" s="13" t="n">
        <f aca="false">Time!R35*Q89</f>
        <v>1.6552042346061E-011</v>
      </c>
      <c r="S77" s="13" t="n">
        <f aca="false">Time!S35*R89</f>
        <v>1.60859667081431E-011</v>
      </c>
      <c r="T77" s="13" t="n">
        <f aca="false">Time!T35*S89</f>
        <v>1.56061565751802E-011</v>
      </c>
      <c r="U77" s="13" t="n">
        <f aca="false">Time!U35*T89</f>
        <v>1.51042753480405E-011</v>
      </c>
      <c r="V77" s="13" t="n">
        <f aca="false">Time!V35*U89</f>
        <v>1.45863882450471E-011</v>
      </c>
      <c r="W77" s="13" t="n">
        <f aca="false">Time!W35*V89</f>
        <v>1.40346679435141E-011</v>
      </c>
      <c r="X77" s="13" t="n">
        <f aca="false">Time!X35*W89</f>
        <v>1.3466081890971E-011</v>
      </c>
      <c r="Y77" s="13" t="n">
        <f aca="false">Time!Y35*X89</f>
        <v>1.29132784984524E-011</v>
      </c>
      <c r="Z77" s="13" t="n">
        <f aca="false">Time!Z35*Y89</f>
        <v>1.23602149845876E-011</v>
      </c>
      <c r="AA77" s="13" t="n">
        <f aca="false">Time!AA35*Z89</f>
        <v>1.17842391804006E-011</v>
      </c>
      <c r="AB77" s="13" t="n">
        <f aca="false">Time!AB35*AA89</f>
        <v>1.11914549582001E-011</v>
      </c>
      <c r="AC77" s="13" t="n">
        <f aca="false">Time!AC35*AB89</f>
        <v>1.0570350891711E-011</v>
      </c>
      <c r="AD77" s="13" t="n">
        <f aca="false">Time!AD35*AC89</f>
        <v>9.9286706063267E-012</v>
      </c>
      <c r="AE77" s="13" t="n">
        <f aca="false">Time!AE35*AD89</f>
        <v>9.22800256082339E-012</v>
      </c>
      <c r="AF77" s="13" t="n">
        <f aca="false">Time!AF35*AE89</f>
        <v>8.49721942481516E-012</v>
      </c>
      <c r="AG77" s="13" t="n">
        <f aca="false">Time!AG35*AF89</f>
        <v>7.74079911049483E-012</v>
      </c>
      <c r="AH77" s="13" t="n">
        <f aca="false">Time!AH35*AG89</f>
        <v>6.9702615603005E-012</v>
      </c>
      <c r="AI77" s="13" t="n">
        <f aca="false">Time!AI35*AH89</f>
        <v>6.16104183815933E-012</v>
      </c>
      <c r="AJ77" s="13" t="n">
        <f aca="false">Time!AJ35*AI89</f>
        <v>5.32806138460819E-012</v>
      </c>
      <c r="AK77" s="13" t="n">
        <f aca="false">Time!AK35*AJ89</f>
        <v>4.45486658114198E-012</v>
      </c>
      <c r="AL77" s="13" t="n">
        <f aca="false">Time!AL35*AK89</f>
        <v>3.55340800811153E-012</v>
      </c>
      <c r="AM77" s="13" t="n">
        <f aca="false">Time!AM35*AL89</f>
        <v>2.59755654477251E-012</v>
      </c>
      <c r="AN77" s="13" t="n">
        <f aca="false">Time!AN35*AM89</f>
        <v>1.62183774050692E-012</v>
      </c>
      <c r="AO77" s="13" t="n">
        <f aca="false">Time!AO35*AN89</f>
        <v>8.16881310041973E-013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1.0768444729834E-011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6.90654784622306E-013</v>
      </c>
      <c r="Q79" s="13" t="n">
        <f aca="false">Q77*Q14</f>
        <v>6.64598839154006E-013</v>
      </c>
      <c r="R79" s="13" t="n">
        <f aca="false">R77*R14</f>
        <v>6.57957170105244E-013</v>
      </c>
      <c r="S79" s="13" t="n">
        <f aca="false">S77*S14</f>
        <v>6.29867474412953E-013</v>
      </c>
      <c r="T79" s="13" t="n">
        <f aca="false">T77*T14</f>
        <v>6.21208264527241E-013</v>
      </c>
      <c r="U79" s="13" t="n">
        <f aca="false">U77*U14</f>
        <v>5.9469559851995E-013</v>
      </c>
      <c r="V79" s="13" t="n">
        <f aca="false">V77*V14</f>
        <v>5.80616046223515E-013</v>
      </c>
      <c r="W79" s="13" t="n">
        <f aca="false">W77*W14</f>
        <v>5.49546136218885E-013</v>
      </c>
      <c r="X79" s="13" t="n">
        <f aca="false">X77*X14</f>
        <v>5.36021878364063E-013</v>
      </c>
      <c r="Y79" s="13" t="n">
        <f aca="false">Y77*Y14</f>
        <v>5.27278335535825E-013</v>
      </c>
      <c r="Z79" s="13" t="n">
        <f aca="false">Z77*Z14</f>
        <v>5.13060621580985E-013</v>
      </c>
      <c r="AA79" s="13" t="n">
        <f aca="false">AA77*AA14</f>
        <v>4.8117710938724E-013</v>
      </c>
      <c r="AB79" s="13" t="n">
        <f aca="false">AB77*AB14</f>
        <v>4.6454651835826E-013</v>
      </c>
      <c r="AC79" s="13" t="n">
        <f aca="false">AC77*AC14</f>
        <v>4.33995900933962E-013</v>
      </c>
      <c r="AD79" s="13" t="n">
        <f aca="false">AD77*AD14</f>
        <v>4.12129555926556E-013</v>
      </c>
      <c r="AE79" s="13" t="n">
        <f aca="false">AE77*AE14</f>
        <v>3.76800193008649E-013</v>
      </c>
      <c r="AF79" s="13" t="n">
        <f aca="false">AF77*AF14</f>
        <v>3.52711395816483E-013</v>
      </c>
      <c r="AG79" s="13" t="n">
        <f aca="false">AG77*AG14</f>
        <v>3.29047322070231E-013</v>
      </c>
      <c r="AH79" s="13" t="n">
        <f aca="false">AH77*AH14</f>
        <v>3.01204105700416E-013</v>
      </c>
      <c r="AI79" s="13" t="n">
        <f aca="false">AI77*AI14</f>
        <v>2.61894707390151E-013</v>
      </c>
      <c r="AJ79" s="13" t="n">
        <f aca="false">AJ77*AJ14</f>
        <v>2.30240135263826E-013</v>
      </c>
      <c r="AK79" s="13" t="n">
        <f aca="false">AK77*AK14</f>
        <v>1.9041452727281E-013</v>
      </c>
      <c r="AL79" s="13" t="n">
        <f aca="false">AL77*AL14</f>
        <v>1.53552499000596E-013</v>
      </c>
      <c r="AM79" s="13" t="n">
        <f aca="false">AM77*AM14</f>
        <v>1.1041741463418E-013</v>
      </c>
      <c r="AN79" s="13" t="n">
        <f aca="false">AN77*AN14</f>
        <v>7.00840538040743E-014</v>
      </c>
      <c r="AO79" s="13" t="n">
        <f aca="false">AO77*AO14</f>
        <v>3.47241420015809E-014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1.74223968585352E-011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4.26159355626734E-013</v>
      </c>
      <c r="Q80" s="13" t="n">
        <f aca="false">Time!Q35*(Q77-Q78)*Q19</f>
        <v>4.44195156847443E-013</v>
      </c>
      <c r="R80" s="13" t="n">
        <f aca="false">Time!R35*(R77-R78)*R19</f>
        <v>4.66075637917937E-013</v>
      </c>
      <c r="S80" s="13" t="n">
        <f aca="false">Time!S35*(S77-S78)*S19</f>
        <v>4.79810132962856E-013</v>
      </c>
      <c r="T80" s="13" t="n">
        <f aca="false">Time!T35*(T77-T78)*T19</f>
        <v>5.01881227139704E-013</v>
      </c>
      <c r="U80" s="13" t="n">
        <f aca="false">Time!U35*(U77-U78)*U19</f>
        <v>5.17887102993425E-013</v>
      </c>
      <c r="V80" s="13" t="n">
        <f aca="false">Time!V35*(V77-V78)*V19</f>
        <v>5.5172030153301E-013</v>
      </c>
      <c r="W80" s="13" t="n">
        <f aca="false">Time!W35*(W77-W78)*W19</f>
        <v>5.68586052543131E-013</v>
      </c>
      <c r="X80" s="13" t="n">
        <f aca="false">Time!X35*(X77-X78)*X19</f>
        <v>5.52803392518604E-013</v>
      </c>
      <c r="Y80" s="13" t="n">
        <f aca="false">Time!Y35*(Y77-Y78)*Y19</f>
        <v>5.53063513864796E-013</v>
      </c>
      <c r="Z80" s="13" t="n">
        <f aca="false">Time!Z35*(Z77-Z78)*Z19</f>
        <v>5.75975804186915E-013</v>
      </c>
      <c r="AA80" s="13" t="n">
        <f aca="false">Time!AA35*(AA77-AA78)*AA19</f>
        <v>5.92784222200547E-013</v>
      </c>
      <c r="AB80" s="13" t="n">
        <f aca="false">Time!AB35*(AB77-AB78)*AB19</f>
        <v>6.21104066489067E-013</v>
      </c>
      <c r="AC80" s="13" t="n">
        <f aca="false">Time!AC35*(AC77-AC78)*AC19</f>
        <v>6.41680285384333E-013</v>
      </c>
      <c r="AD80" s="13" t="n">
        <f aca="false">Time!AD35*(AD77-AD78)*AD19</f>
        <v>7.00668045503304E-013</v>
      </c>
      <c r="AE80" s="13" t="n">
        <f aca="false">Time!AE35*(AE77-AE78)*AE19</f>
        <v>7.30783136008236E-013</v>
      </c>
      <c r="AF80" s="13" t="n">
        <f aca="false">Time!AF35*(AF77-AF78)*AF19</f>
        <v>7.56420314320331E-013</v>
      </c>
      <c r="AG80" s="13" t="n">
        <f aca="false">Time!AG35*(AG77-AG78)*AG19</f>
        <v>7.70537550194328E-013</v>
      </c>
      <c r="AH80" s="13" t="n">
        <f aca="false">Time!AH35*(AH77-AH78)*AH19</f>
        <v>8.09219722141165E-013</v>
      </c>
      <c r="AI80" s="13" t="n">
        <f aca="false">Time!AI35*(AI77-AI78)*AI19</f>
        <v>8.32980453551142E-013</v>
      </c>
      <c r="AJ80" s="13" t="n">
        <f aca="false">Time!AJ35*(AJ77-AJ78)*AJ19</f>
        <v>8.73194803466208E-013</v>
      </c>
      <c r="AK80" s="13" t="n">
        <f aca="false">Time!AK35*(AK77-AK78)*AK19</f>
        <v>9.01458573030451E-013</v>
      </c>
      <c r="AL80" s="13" t="n">
        <f aca="false">Time!AL35*(AL77-AL78)*AL19</f>
        <v>9.55851463339023E-013</v>
      </c>
      <c r="AM80" s="13" t="n">
        <f aca="false">Time!AM35*(AM77-AM78)*AM19</f>
        <v>9.7571880426559E-013</v>
      </c>
      <c r="AN80" s="13" t="n">
        <f aca="false">Time!AN35*(AN77-AN78)*AN19</f>
        <v>8.04956430464946E-013</v>
      </c>
      <c r="AO80" s="13" t="n">
        <f aca="false">Time!AO35*(AO77-AO78)*AO19</f>
        <v>8.16881310041973E-013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1.74223968585352E-011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4.26159355626734E-013</v>
      </c>
      <c r="Q83" s="13" t="n">
        <f aca="false">Q80-Q81+Q82</f>
        <v>4.44195156847443E-013</v>
      </c>
      <c r="R83" s="13" t="n">
        <f aca="false">R80-R81+R82</f>
        <v>4.66075637917937E-013</v>
      </c>
      <c r="S83" s="13" t="n">
        <f aca="false">S80-S81+S82</f>
        <v>4.79810132962856E-013</v>
      </c>
      <c r="T83" s="13" t="n">
        <f aca="false">T80-T81+T82</f>
        <v>5.01881227139704E-013</v>
      </c>
      <c r="U83" s="13" t="n">
        <f aca="false">U80-U81+U82</f>
        <v>5.17887102993425E-013</v>
      </c>
      <c r="V83" s="13" t="n">
        <f aca="false">V80-V81+V82</f>
        <v>5.5172030153301E-013</v>
      </c>
      <c r="W83" s="13" t="n">
        <f aca="false">W80-W81+W82</f>
        <v>5.68586052543131E-013</v>
      </c>
      <c r="X83" s="13" t="n">
        <f aca="false">X80-X81+X82</f>
        <v>5.52803392518604E-013</v>
      </c>
      <c r="Y83" s="13" t="n">
        <f aca="false">Y80-Y81+Y82</f>
        <v>5.53063513864796E-013</v>
      </c>
      <c r="Z83" s="13" t="n">
        <f aca="false">Z80-Z81+Z82</f>
        <v>5.75975804186915E-013</v>
      </c>
      <c r="AA83" s="13" t="n">
        <f aca="false">AA80-AA81+AA82</f>
        <v>5.92784222200547E-013</v>
      </c>
      <c r="AB83" s="13" t="n">
        <f aca="false">AB80-AB81+AB82</f>
        <v>6.21104066489067E-013</v>
      </c>
      <c r="AC83" s="13" t="n">
        <f aca="false">AC80-AC81+AC82</f>
        <v>6.41680285384333E-013</v>
      </c>
      <c r="AD83" s="13" t="n">
        <f aca="false">AD80-AD81+AD82</f>
        <v>7.00668045503304E-013</v>
      </c>
      <c r="AE83" s="13" t="n">
        <f aca="false">AE80-AE81+AE82</f>
        <v>7.30783136008236E-013</v>
      </c>
      <c r="AF83" s="13" t="n">
        <f aca="false">AF80-AF81+AF82</f>
        <v>7.56420314320331E-013</v>
      </c>
      <c r="AG83" s="13" t="n">
        <f aca="false">AG80-AG81+AG82</f>
        <v>7.70537550194328E-013</v>
      </c>
      <c r="AH83" s="13" t="n">
        <f aca="false">AH80-AH81+AH82</f>
        <v>8.09219722141165E-013</v>
      </c>
      <c r="AI83" s="13" t="n">
        <f aca="false">AI80-AI81+AI82</f>
        <v>8.32980453551142E-013</v>
      </c>
      <c r="AJ83" s="13" t="n">
        <f aca="false">AJ80-AJ81+AJ82</f>
        <v>8.73194803466208E-013</v>
      </c>
      <c r="AK83" s="13" t="n">
        <f aca="false">AK80-AK81+AK82</f>
        <v>9.01458573030451E-013</v>
      </c>
      <c r="AL83" s="13" t="n">
        <f aca="false">AL80-AL81+AL82</f>
        <v>9.55851463339023E-013</v>
      </c>
      <c r="AM83" s="13" t="n">
        <f aca="false">AM80-AM81+AM82</f>
        <v>9.7571880426559E-013</v>
      </c>
      <c r="AN83" s="13" t="n">
        <f aca="false">AN80-AN81+AN82</f>
        <v>8.04956430464946E-013</v>
      </c>
      <c r="AO83" s="13" t="n">
        <f aca="false">AO80-AO81+AO82</f>
        <v>8.16881310041973E-013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1.69962375029085E-011</v>
      </c>
      <c r="Q87" s="13" t="n">
        <f aca="false">Q77-Q83-Q84-Q85</f>
        <v>1.6552042346061E-011</v>
      </c>
      <c r="R87" s="13" t="n">
        <f aca="false">R77-R83-R84-R85</f>
        <v>1.60859667081431E-011</v>
      </c>
      <c r="S87" s="13" t="n">
        <f aca="false">S77-S83-S84-S85</f>
        <v>1.56061565751802E-011</v>
      </c>
      <c r="T87" s="13" t="n">
        <f aca="false">T77-T83-T84-T85</f>
        <v>1.51042753480405E-011</v>
      </c>
      <c r="U87" s="13" t="n">
        <f aca="false">U77-U83-U84-U85</f>
        <v>1.45863882450471E-011</v>
      </c>
      <c r="V87" s="13" t="n">
        <f aca="false">V77-V83-V84-V85</f>
        <v>1.40346679435141E-011</v>
      </c>
      <c r="W87" s="13" t="n">
        <f aca="false">W77-W83-W84-W85</f>
        <v>1.3466081890971E-011</v>
      </c>
      <c r="X87" s="13" t="n">
        <f aca="false">X77-X83-X84-X85</f>
        <v>1.29132784984524E-011</v>
      </c>
      <c r="Y87" s="13" t="n">
        <f aca="false">Y77-Y83-Y84-Y85</f>
        <v>1.23602149845876E-011</v>
      </c>
      <c r="Z87" s="13" t="n">
        <f aca="false">Z77-Z83-Z84-Z85</f>
        <v>1.17842391804006E-011</v>
      </c>
      <c r="AA87" s="13" t="n">
        <f aca="false">AA77-AA83-AA84-AA85</f>
        <v>1.11914549582001E-011</v>
      </c>
      <c r="AB87" s="13" t="n">
        <f aca="false">AB77-AB83-AB84-AB85</f>
        <v>1.0570350891711E-011</v>
      </c>
      <c r="AC87" s="13" t="n">
        <f aca="false">AC77-AC83-AC84-AC85</f>
        <v>9.9286706063267E-012</v>
      </c>
      <c r="AD87" s="13" t="n">
        <f aca="false">AD77-AD83-AD84-AD85</f>
        <v>9.22800256082339E-012</v>
      </c>
      <c r="AE87" s="13" t="n">
        <f aca="false">AE77-AE83-AE84-AE85</f>
        <v>8.49721942481516E-012</v>
      </c>
      <c r="AF87" s="13" t="n">
        <f aca="false">AF77-AF83-AF84-AF85</f>
        <v>7.74079911049483E-012</v>
      </c>
      <c r="AG87" s="13" t="n">
        <f aca="false">AG77-AG83-AG84-AG85</f>
        <v>6.9702615603005E-012</v>
      </c>
      <c r="AH87" s="13" t="n">
        <f aca="false">AH77-AH83-AH84-AH85</f>
        <v>6.16104183815933E-012</v>
      </c>
      <c r="AI87" s="13" t="n">
        <f aca="false">AI77-AI83-AI84-AI85</f>
        <v>5.32806138460819E-012</v>
      </c>
      <c r="AJ87" s="13" t="n">
        <f aca="false">AJ77-AJ83-AJ84-AJ85</f>
        <v>4.45486658114198E-012</v>
      </c>
      <c r="AK87" s="13" t="n">
        <f aca="false">AK77-AK83-AK84-AK85</f>
        <v>3.55340800811153E-012</v>
      </c>
      <c r="AL87" s="13" t="n">
        <f aca="false">AL77-AL83-AL84-AL85</f>
        <v>2.59755654477251E-012</v>
      </c>
      <c r="AM87" s="13" t="n">
        <f aca="false">AM77-AM83-AM84-AM85</f>
        <v>1.62183774050692E-012</v>
      </c>
      <c r="AN87" s="13" t="n">
        <f aca="false">AN77-AN83-AN84-AN85</f>
        <v>8.16881310041973E-013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1.74223968585352E-011</v>
      </c>
      <c r="P89" s="13" t="n">
        <f aca="false">IF(Time!P34=1,INDEX(Funding!$J$65:$BJ$65,1,Time!$F$14),Time!P35*(P87-P88))</f>
        <v>1.69962375029085E-011</v>
      </c>
      <c r="Q89" s="13" t="n">
        <f aca="false">IF(Time!Q34=1,INDEX(Funding!$J$65:$BJ$65,1,Time!$F$14),Time!Q35*(Q87-Q88))</f>
        <v>1.6552042346061E-011</v>
      </c>
      <c r="R89" s="13" t="n">
        <f aca="false">IF(Time!R34=1,INDEX(Funding!$J$65:$BJ$65,1,Time!$F$14),Time!R35*(R87-R88))</f>
        <v>1.60859667081431E-011</v>
      </c>
      <c r="S89" s="13" t="n">
        <f aca="false">IF(Time!S34=1,INDEX(Funding!$J$65:$BJ$65,1,Time!$F$14),Time!S35*(S87-S88))</f>
        <v>1.56061565751802E-011</v>
      </c>
      <c r="T89" s="13" t="n">
        <f aca="false">IF(Time!T34=1,INDEX(Funding!$J$65:$BJ$65,1,Time!$F$14),Time!T35*(T87-T88))</f>
        <v>1.51042753480405E-011</v>
      </c>
      <c r="U89" s="13" t="n">
        <f aca="false">IF(Time!U34=1,INDEX(Funding!$J$65:$BJ$65,1,Time!$F$14),Time!U35*(U87-U88))</f>
        <v>1.45863882450471E-011</v>
      </c>
      <c r="V89" s="13" t="n">
        <f aca="false">IF(Time!V34=1,INDEX(Funding!$J$65:$BJ$65,1,Time!$F$14),Time!V35*(V87-V88))</f>
        <v>1.40346679435141E-011</v>
      </c>
      <c r="W89" s="13" t="n">
        <f aca="false">IF(Time!W34=1,INDEX(Funding!$J$65:$BJ$65,1,Time!$F$14),Time!W35*(W87-W88))</f>
        <v>1.3466081890971E-011</v>
      </c>
      <c r="X89" s="13" t="n">
        <f aca="false">IF(Time!X34=1,INDEX(Funding!$J$65:$BJ$65,1,Time!$F$14),Time!X35*(X87-X88))</f>
        <v>1.29132784984524E-011</v>
      </c>
      <c r="Y89" s="13" t="n">
        <f aca="false">IF(Time!Y34=1,INDEX(Funding!$J$65:$BJ$65,1,Time!$F$14),Time!Y35*(Y87-Y88))</f>
        <v>1.23602149845876E-011</v>
      </c>
      <c r="Z89" s="13" t="n">
        <f aca="false">IF(Time!Z34=1,INDEX(Funding!$J$65:$BJ$65,1,Time!$F$14),Time!Z35*(Z87-Z88))</f>
        <v>1.17842391804006E-011</v>
      </c>
      <c r="AA89" s="13" t="n">
        <f aca="false">IF(Time!AA34=1,INDEX(Funding!$J$65:$BJ$65,1,Time!$F$14),Time!AA35*(AA87-AA88))</f>
        <v>1.11914549582001E-011</v>
      </c>
      <c r="AB89" s="13" t="n">
        <f aca="false">IF(Time!AB34=1,INDEX(Funding!$J$65:$BJ$65,1,Time!$F$14),Time!AB35*(AB87-AB88))</f>
        <v>1.0570350891711E-011</v>
      </c>
      <c r="AC89" s="13" t="n">
        <f aca="false">IF(Time!AC34=1,INDEX(Funding!$J$65:$BJ$65,1,Time!$F$14),Time!AC35*(AC87-AC88))</f>
        <v>9.9286706063267E-012</v>
      </c>
      <c r="AD89" s="13" t="n">
        <f aca="false">IF(Time!AD34=1,INDEX(Funding!$J$65:$BJ$65,1,Time!$F$14),Time!AD35*(AD87-AD88))</f>
        <v>9.22800256082339E-012</v>
      </c>
      <c r="AE89" s="13" t="n">
        <f aca="false">IF(Time!AE34=1,INDEX(Funding!$J$65:$BJ$65,1,Time!$F$14),Time!AE35*(AE87-AE88))</f>
        <v>8.49721942481516E-012</v>
      </c>
      <c r="AF89" s="13" t="n">
        <f aca="false">IF(Time!AF34=1,INDEX(Funding!$J$65:$BJ$65,1,Time!$F$14),Time!AF35*(AF87-AF88))</f>
        <v>7.74079911049483E-012</v>
      </c>
      <c r="AG89" s="13" t="n">
        <f aca="false">IF(Time!AG34=1,INDEX(Funding!$J$65:$BJ$65,1,Time!$F$14),Time!AG35*(AG87-AG88))</f>
        <v>6.9702615603005E-012</v>
      </c>
      <c r="AH89" s="13" t="n">
        <f aca="false">IF(Time!AH34=1,INDEX(Funding!$J$65:$BJ$65,1,Time!$F$14),Time!AH35*(AH87-AH88))</f>
        <v>6.16104183815933E-012</v>
      </c>
      <c r="AI89" s="13" t="n">
        <f aca="false">IF(Time!AI34=1,INDEX(Funding!$J$65:$BJ$65,1,Time!$F$14),Time!AI35*(AI87-AI88))</f>
        <v>5.32806138460819E-012</v>
      </c>
      <c r="AJ89" s="13" t="n">
        <f aca="false">IF(Time!AJ34=1,INDEX(Funding!$J$65:$BJ$65,1,Time!$F$14),Time!AJ35*(AJ87-AJ88))</f>
        <v>4.45486658114198E-012</v>
      </c>
      <c r="AK89" s="13" t="n">
        <f aca="false">IF(Time!AK34=1,INDEX(Funding!$J$65:$BJ$65,1,Time!$F$14),Time!AK35*(AK87-AK88))</f>
        <v>3.55340800811153E-012</v>
      </c>
      <c r="AL89" s="13" t="n">
        <f aca="false">IF(Time!AL34=1,INDEX(Funding!$J$65:$BJ$65,1,Time!$F$14),Time!AL35*(AL87-AL88))</f>
        <v>2.59755654477251E-012</v>
      </c>
      <c r="AM89" s="13" t="n">
        <f aca="false">IF(Time!AM34=1,INDEX(Funding!$J$65:$BJ$65,1,Time!$F$14),Time!AM35*(AM87-AM88))</f>
        <v>1.62183774050692E-012</v>
      </c>
      <c r="AN89" s="13" t="n">
        <f aca="false">IF(Time!AN34=1,INDEX(Funding!$J$65:$BJ$65,1,Time!$F$14),Time!AN35*(AN87-AN88))</f>
        <v>8.16881310041973E-013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-8.33420360298509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16.5538630197867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1.2555332009123</v>
      </c>
      <c r="Q108" s="13" t="n">
        <f aca="false">(Inputs!$F$95/100*Inputs!$F$96/100)*Q63*Time!Q25/Inputs!$F$248</f>
        <v>1.20485238721428</v>
      </c>
      <c r="R108" s="13" t="n">
        <f aca="false">(Inputs!$F$95/100*Inputs!$F$96/100)*R63*Time!R25/Inputs!$F$248</f>
        <v>1.19281169388614</v>
      </c>
      <c r="S108" s="13" t="n">
        <f aca="false">(Inputs!$F$95/100*Inputs!$F$96/100)*S63*Time!S25/Inputs!$F$248</f>
        <v>1.1403238737773</v>
      </c>
      <c r="T108" s="13" t="n">
        <f aca="false">(Inputs!$F$95/100*Inputs!$F$96/100)*T63*Time!T25/Inputs!$F$248</f>
        <v>1.12464707800382</v>
      </c>
      <c r="U108" s="13" t="n">
        <f aca="false">(Inputs!$F$95/100*Inputs!$F$96/100)*U63*Time!U25/Inputs!$F$248</f>
        <v>1.07664805085327</v>
      </c>
      <c r="V108" s="13" t="n">
        <f aca="false">(Inputs!$F$95/100*Inputs!$F$96/100)*V63*Time!V25/Inputs!$F$248</f>
        <v>1.05115816565054</v>
      </c>
      <c r="W108" s="13" t="n">
        <f aca="false">(Inputs!$F$95/100*Inputs!$F$96/100)*W63*Time!W25/Inputs!$F$248</f>
        <v>0.994908618605088</v>
      </c>
      <c r="X108" s="13" t="n">
        <f aca="false">(Inputs!$F$95/100*Inputs!$F$96/100)*X63*Time!X25/Inputs!$F$248</f>
        <v>0.970424048860717</v>
      </c>
      <c r="Y108" s="13" t="n">
        <f aca="false">(Inputs!$F$95/100*Inputs!$F$96/100)*Y63*Time!Y25/Inputs!$F$248</f>
        <v>0.915414039310799</v>
      </c>
      <c r="Z108" s="13" t="n">
        <f aca="false">(Inputs!$F$95/100*Inputs!$F$96/100)*Z63*Time!Z25/Inputs!$F$248</f>
        <v>0.890730501065407</v>
      </c>
      <c r="AA108" s="13" t="n">
        <f aca="false">(Inputs!$F$95/100*Inputs!$F$96/100)*AA63*Time!AA25/Inputs!$F$248</f>
        <v>0.835377165421469</v>
      </c>
      <c r="AB108" s="13" t="n">
        <f aca="false">(Inputs!$F$95/100*Inputs!$F$96/100)*AB63*Time!AB25/Inputs!$F$248</f>
        <v>0.774183685150526</v>
      </c>
      <c r="AC108" s="13" t="n">
        <f aca="false">(Inputs!$F$95/100*Inputs!$F$96/100)*AC63*Time!AC25/Inputs!$F$248</f>
        <v>0.686094307529452</v>
      </c>
      <c r="AD108" s="13" t="n">
        <f aca="false">(Inputs!$F$95/100*Inputs!$F$96/100)*AD63*Time!AD25/Inputs!$F$248</f>
        <v>0.615654218237868</v>
      </c>
      <c r="AE108" s="13" t="n">
        <f aca="false">(Inputs!$F$95/100*Inputs!$F$96/100)*AE63*Time!AE25/Inputs!$F$248</f>
        <v>0.520707319787126</v>
      </c>
      <c r="AF108" s="13" t="n">
        <f aca="false">(Inputs!$F$95/100*Inputs!$F$96/100)*AF63*Time!AF25/Inputs!$F$248</f>
        <v>0.441351589983072</v>
      </c>
      <c r="AG108" s="13" t="n">
        <f aca="false">(Inputs!$F$95/100*Inputs!$F$96/100)*AG63*Time!AG25/Inputs!$F$248</f>
        <v>0.34559090746489</v>
      </c>
      <c r="AH108" s="13" t="n">
        <f aca="false">(Inputs!$F$95/100*Inputs!$F$96/100)*AH63*Time!AH25/Inputs!$F$248</f>
        <v>0.2633318455899</v>
      </c>
      <c r="AI108" s="13" t="n">
        <f aca="false">(Inputs!$F$95/100*Inputs!$F$96/100)*AI63*Time!AI25/Inputs!$F$248</f>
        <v>0.169720467098815</v>
      </c>
      <c r="AJ108" s="13" t="n">
        <f aca="false">(Inputs!$F$95/100*Inputs!$F$96/100)*AJ63*Time!AJ25/Inputs!$F$248</f>
        <v>0.0843998553838853</v>
      </c>
      <c r="AK108" s="13" t="n">
        <f aca="false">(Inputs!$F$95/100*Inputs!$F$96/100)*AK63*Time!AK25/Inputs!$F$248</f>
        <v>0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304.515296695861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21.0368041610017</v>
      </c>
      <c r="Q111" s="13" t="n">
        <f aca="false">Q23+Q37+Q51+Q65+Q79+Q92</f>
        <v>20.2523758527047</v>
      </c>
      <c r="R111" s="13" t="n">
        <f aca="false">R23+R37+R51+R65+R79+R92</f>
        <v>20.0499837178703</v>
      </c>
      <c r="S111" s="13" t="n">
        <f aca="false">S23+S37+S51+S65+S79+S92</f>
        <v>19.1983530391913</v>
      </c>
      <c r="T111" s="13" t="n">
        <f aca="false">T23+T37+T51+T65+T79+T92</f>
        <v>18.9344204260947</v>
      </c>
      <c r="U111" s="13" t="n">
        <f aca="false">U23+U37+U51+U65+U79+U92</f>
        <v>18.1263146852918</v>
      </c>
      <c r="V111" s="13" t="n">
        <f aca="false">V23+V37+V51+V65+V79+V92</f>
        <v>17.6971701007542</v>
      </c>
      <c r="W111" s="13" t="n">
        <f aca="false">W23+W37+W51+W65+W79+W92</f>
        <v>16.7501596177622</v>
      </c>
      <c r="X111" s="13" t="n">
        <f aca="false">X23+X37+X51+X65+X79+X92</f>
        <v>16.3379404011215</v>
      </c>
      <c r="Y111" s="13" t="n">
        <f aca="false">Y23+Y37+Y51+Y65+Y79+Y92</f>
        <v>15.9099887017777</v>
      </c>
      <c r="Z111" s="13" t="n">
        <f aca="false">Z23+Z37+Z51+Z65+Z79+Z92</f>
        <v>15.4809863075171</v>
      </c>
      <c r="AA111" s="13" t="n">
        <f aca="false">AA23+AA37+AA51+AA65+AA79+AA92</f>
        <v>14.5189397287211</v>
      </c>
      <c r="AB111" s="13" t="n">
        <f aca="false">AB23+AB37+AB51+AB65+AB79+AB92</f>
        <v>13.7455449775286</v>
      </c>
      <c r="AC111" s="13" t="n">
        <f aca="false">AC23+AC37+AC51+AC65+AC79+AC92</f>
        <v>12.5291974182233</v>
      </c>
      <c r="AD111" s="13" t="n">
        <f aca="false">AD23+AD37+AD51+AD65+AD79+AD92</f>
        <v>11.5965029072137</v>
      </c>
      <c r="AE111" s="13" t="n">
        <f aca="false">AE23+AE37+AE51+AE65+AE79+AE92</f>
        <v>10.2480533924046</v>
      </c>
      <c r="AF111" s="13" t="n">
        <f aca="false">AF23+AF37+AF51+AF65+AF79+AF92</f>
        <v>9.20580421720102</v>
      </c>
      <c r="AG111" s="13" t="n">
        <f aca="false">AG23+AG37+AG51+AG65+AG79+AG92</f>
        <v>8.01821390099433</v>
      </c>
      <c r="AH111" s="13" t="n">
        <f aca="false">AH23+AH37+AH51+AH65+AH79+AH92</f>
        <v>6.86539545034244</v>
      </c>
      <c r="AI111" s="13" t="n">
        <f aca="false">AI23+AI37+AI51+AI65+AI79+AI92</f>
        <v>5.43934608597834</v>
      </c>
      <c r="AJ111" s="13" t="n">
        <f aca="false">AJ23+AJ37+AJ51+AJ65+AJ79+AJ92</f>
        <v>4.20207566190699</v>
      </c>
      <c r="AK111" s="13" t="n">
        <f aca="false">AK23+AK37+AK51+AK65+AK79+AK92</f>
        <v>2.85071392839389</v>
      </c>
      <c r="AL111" s="13" t="n">
        <f aca="false">AL23+AL37+AL51+AL65+AL79+AL92</f>
        <v>2.29884901068256</v>
      </c>
      <c r="AM111" s="13" t="n">
        <f aca="false">AM23+AM37+AM51+AM65+AM79+AM92</f>
        <v>1.65306957585187</v>
      </c>
      <c r="AN111" s="13" t="n">
        <f aca="false">AN23+AN37+AN51+AN65+AN79+AN92</f>
        <v>1.04923500952918</v>
      </c>
      <c r="AO111" s="13" t="n">
        <f aca="false">AO23+AO37+AO51+AO65+AO79+AO92</f>
        <v>0.519858419802241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312.734956112663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21.7561806363521</v>
      </c>
      <c r="Q112" s="13" t="n">
        <f aca="false">Q111+Q107+Q108+Q109</f>
        <v>21.0117501255587</v>
      </c>
      <c r="R112" s="13" t="n">
        <f aca="false">R111+R107+R108+R109</f>
        <v>20.6842237422474</v>
      </c>
      <c r="S112" s="13" t="n">
        <f aca="false">S111+S107+S108+S109</f>
        <v>19.8935402102571</v>
      </c>
      <c r="T112" s="13" t="n">
        <f aca="false">T111+T107+T108+T109</f>
        <v>19.5092222239857</v>
      </c>
      <c r="U112" s="13" t="n">
        <f aca="false">U111+U107+U108+U109</f>
        <v>18.7469278452348</v>
      </c>
      <c r="V112" s="13" t="n">
        <f aca="false">V111+V107+V108+V109</f>
        <v>18.2344120634116</v>
      </c>
      <c r="W112" s="13" t="n">
        <f aca="false">W111+W107+W108+W109</f>
        <v>17.3566958167685</v>
      </c>
      <c r="X112" s="13" t="n">
        <f aca="false">X111+X107+X108+X109</f>
        <v>16.8339195388541</v>
      </c>
      <c r="Y112" s="13" t="n">
        <f aca="false">Y111+Y107+Y108+Y109</f>
        <v>16.4680618167729</v>
      </c>
      <c r="Z112" s="13" t="n">
        <f aca="false">Z111+Z107+Z108+Z109</f>
        <v>15.9362344502122</v>
      </c>
      <c r="AA112" s="13" t="n">
        <f aca="false">AA111+AA107+AA108+AA109</f>
        <v>15.0282191551691</v>
      </c>
      <c r="AB112" s="13" t="n">
        <f aca="false">AB111+AB107+AB108+AB109</f>
        <v>14.1254247444327</v>
      </c>
      <c r="AC112" s="13" t="n">
        <f aca="false">AC111+AC107+AC108+AC109</f>
        <v>12.8961470660647</v>
      </c>
      <c r="AD112" s="13" t="n">
        <f aca="false">AD111+AD107+AD108+AD109</f>
        <v>11.862344367622</v>
      </c>
      <c r="AE112" s="13" t="n">
        <f aca="false">AE111+AE107+AE108+AE109</f>
        <v>10.5134000797183</v>
      </c>
      <c r="AF112" s="13" t="n">
        <f aca="false">AF111+AF107+AF108+AF109</f>
        <v>9.34777677863788</v>
      </c>
      <c r="AG112" s="13" t="n">
        <f aca="false">AG111+AG107+AG108+AG109</f>
        <v>8.14959860904855</v>
      </c>
      <c r="AH112" s="13" t="n">
        <f aca="false">AH111+AH107+AH108+AH109</f>
        <v>6.88314694425381</v>
      </c>
      <c r="AI112" s="13" t="n">
        <f aca="false">AI111+AI107+AI108+AI109</f>
        <v>5.43857596964721</v>
      </c>
      <c r="AJ112" s="13" t="n">
        <f aca="false">AJ111+AJ107+AJ108+AJ109</f>
        <v>4.09875412731473</v>
      </c>
      <c r="AK112" s="13" t="n">
        <f aca="false">AK111+AK107+AK108+AK109</f>
        <v>2.71621064713489</v>
      </c>
      <c r="AL112" s="13" t="n">
        <f aca="false">AL111+AL107+AL108+AL109</f>
        <v>2.17365325142159</v>
      </c>
      <c r="AM112" s="13" t="n">
        <f aca="false">AM111+AM107+AM108+AM109</f>
        <v>1.58118904940136</v>
      </c>
      <c r="AN112" s="13" t="n">
        <f aca="false">AN111+AN107+AN108+AN109</f>
        <v>0.992093469110137</v>
      </c>
      <c r="AO112" s="13" t="n">
        <f aca="false">AO111+AO107+AO108+AO109</f>
        <v>0.497253384030616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538.560921354926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15.4897148007444</v>
      </c>
      <c r="Q113" s="13" t="n">
        <f aca="false">Q27+Q41+Q55+Q69+Q83+Q93</f>
        <v>16.145266329587</v>
      </c>
      <c r="R113" s="13" t="n">
        <f aca="false">R27+R41+R55+R69+R83+R93</f>
        <v>16.9405613454306</v>
      </c>
      <c r="S113" s="13" t="n">
        <f aca="false">S27+S41+S55+S69+S83+S93</f>
        <v>17.4397722822998</v>
      </c>
      <c r="T113" s="13" t="n">
        <f aca="false">T27+T41+T55+T69+T83+T93</f>
        <v>18.241995557762</v>
      </c>
      <c r="U113" s="13" t="n">
        <f aca="false">U27+U41+U55+U69+U83+U93</f>
        <v>18.8237649096179</v>
      </c>
      <c r="V113" s="13" t="n">
        <f aca="false">V27+V41+V55+V69+V83+V93</f>
        <v>20.0535081717467</v>
      </c>
      <c r="W113" s="13" t="n">
        <f aca="false">W27+W41+W55+W69+W83+W93</f>
        <v>20.6665316091013</v>
      </c>
      <c r="X113" s="13" t="n">
        <f aca="false">X27+X41+X55+X69+X83+X93</f>
        <v>20.0928755357353</v>
      </c>
      <c r="Y113" s="13" t="n">
        <f aca="false">Y27+Y41+Y55+Y69+Y83+Y93</f>
        <v>20.1023302277722</v>
      </c>
      <c r="Z113" s="13" t="n">
        <f aca="false">Z27+Z41+Z55+Z69+Z83+Z93</f>
        <v>20.9351286583019</v>
      </c>
      <c r="AA113" s="13" t="n">
        <f aca="false">AA27+AA41+AA55+AA69+AA83+AA93</f>
        <v>21.5460681996853</v>
      </c>
      <c r="AB113" s="13" t="n">
        <f aca="false">AB27+AB41+AB55+AB69+AB83+AB93</f>
        <v>22.2316239270787</v>
      </c>
      <c r="AC113" s="13" t="n">
        <f aca="false">AC27+AC41+AC55+AC69+AC83+AC93</f>
        <v>22.5308337332716</v>
      </c>
      <c r="AD113" s="13" t="n">
        <f aca="false">AD27+AD41+AD55+AD69+AD83+AD93</f>
        <v>24.116835590478</v>
      </c>
      <c r="AE113" s="13" t="n">
        <f aca="false">AE27+AE41+AE55+AE69+AE83+AE93</f>
        <v>24.5027145355036</v>
      </c>
      <c r="AF113" s="13" t="n">
        <f aca="false">AF27+AF41+AF55+AF69+AF83+AF93</f>
        <v>24.5763350906611</v>
      </c>
      <c r="AG113" s="13" t="n">
        <f aca="false">AG27+AG41+AG55+AG69+AG83+AG93</f>
        <v>24.0668992158002</v>
      </c>
      <c r="AH113" s="13" t="n">
        <f aca="false">AH27+AH41+AH55+AH69+AH83+AH93</f>
        <v>24.0954294681678</v>
      </c>
      <c r="AI113" s="13" t="n">
        <f aca="false">AI27+AI41+AI55+AI69+AI83+AI93</f>
        <v>23.2422899097598</v>
      </c>
      <c r="AJ113" s="13" t="n">
        <f aca="false">AJ27+AJ41+AJ55+AJ69+AJ83+AJ93</f>
        <v>22.3287475022815</v>
      </c>
      <c r="AK113" s="13" t="n">
        <f aca="false">AK27+AK41+AK55+AK69+AK83+AK93</f>
        <v>20.3146272169561</v>
      </c>
      <c r="AL113" s="13" t="n">
        <f aca="false">AL27+AL41+AL55+AL69+AL83+AL93</f>
        <v>21.5403865839748</v>
      </c>
      <c r="AM113" s="13" t="n">
        <f aca="false">AM27+AM41+AM55+AM69+AM83+AM93</f>
        <v>21.9881028038767</v>
      </c>
      <c r="AN113" s="13" t="n">
        <f aca="false">AN27+AN41+AN55+AN69+AN83+AN93</f>
        <v>18.1399237857541</v>
      </c>
      <c r="AO113" s="13" t="n">
        <f aca="false">AO27+AO41+AO55+AO69+AO83+AO93</f>
        <v>18.4086543635775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851.295877467589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37.2458954370965</v>
      </c>
      <c r="Q114" s="13" t="n">
        <f aca="false">Q112+Q113</f>
        <v>37.1570164551458</v>
      </c>
      <c r="R114" s="13" t="n">
        <f aca="false">R112+R113</f>
        <v>37.624785087678</v>
      </c>
      <c r="S114" s="13" t="n">
        <f aca="false">S112+S113</f>
        <v>37.333312492557</v>
      </c>
      <c r="T114" s="13" t="n">
        <f aca="false">T112+T113</f>
        <v>37.7512177817478</v>
      </c>
      <c r="U114" s="13" t="n">
        <f aca="false">U112+U113</f>
        <v>37.5706927548527</v>
      </c>
      <c r="V114" s="13" t="n">
        <f aca="false">V112+V113</f>
        <v>38.2879202351583</v>
      </c>
      <c r="W114" s="13" t="n">
        <f aca="false">W112+W113</f>
        <v>38.0232274258698</v>
      </c>
      <c r="X114" s="13" t="n">
        <f aca="false">X112+X113</f>
        <v>36.9267950745894</v>
      </c>
      <c r="Y114" s="13" t="n">
        <f aca="false">Y112+Y113</f>
        <v>36.5703920445452</v>
      </c>
      <c r="Z114" s="13" t="n">
        <f aca="false">Z112+Z113</f>
        <v>36.8713631085141</v>
      </c>
      <c r="AA114" s="13" t="n">
        <f aca="false">AA112+AA113</f>
        <v>36.5742873548545</v>
      </c>
      <c r="AB114" s="13" t="n">
        <f aca="false">AB112+AB113</f>
        <v>36.3570486715114</v>
      </c>
      <c r="AC114" s="13" t="n">
        <f aca="false">AC112+AC113</f>
        <v>35.4269807993364</v>
      </c>
      <c r="AD114" s="13" t="n">
        <f aca="false">AD112+AD113</f>
        <v>35.9791799581001</v>
      </c>
      <c r="AE114" s="13" t="n">
        <f aca="false">AE112+AE113</f>
        <v>35.0161146152219</v>
      </c>
      <c r="AF114" s="13" t="n">
        <f aca="false">AF112+AF113</f>
        <v>33.924111869299</v>
      </c>
      <c r="AG114" s="13" t="n">
        <f aca="false">AG112+AG113</f>
        <v>32.2164978248487</v>
      </c>
      <c r="AH114" s="13" t="n">
        <f aca="false">AH112+AH113</f>
        <v>30.9785764124216</v>
      </c>
      <c r="AI114" s="13" t="n">
        <f aca="false">AI112+AI113</f>
        <v>28.680865879407</v>
      </c>
      <c r="AJ114" s="13" t="n">
        <f aca="false">AJ112+AJ113</f>
        <v>26.4275016295962</v>
      </c>
      <c r="AK114" s="13" t="n">
        <f aca="false">AK112+AK113</f>
        <v>23.030837864091</v>
      </c>
      <c r="AL114" s="13" t="n">
        <f aca="false">AL112+AL113</f>
        <v>23.7140398353964</v>
      </c>
      <c r="AM114" s="13" t="n">
        <f aca="false">AM112+AM113</f>
        <v>23.5692918532781</v>
      </c>
      <c r="AN114" s="13" t="n">
        <f aca="false">AN112+AN113</f>
        <v>19.1320172548642</v>
      </c>
      <c r="AO114" s="13" t="n">
        <f aca="false">AO112+AO113</f>
        <v>18.9059077476081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633.255975542792</v>
      </c>
      <c r="Q115" s="13" t="n">
        <f aca="false">Q21+Q35+Q49+Q63+Q77+Q91</f>
        <v>617.766260742047</v>
      </c>
      <c r="R115" s="13" t="n">
        <f aca="false">R21+R35+R49+R63+R77+R91</f>
        <v>601.62099441246</v>
      </c>
      <c r="S115" s="13" t="n">
        <f aca="false">S21+S35+S49+S63+S77+S91</f>
        <v>584.68043306703</v>
      </c>
      <c r="T115" s="13" t="n">
        <f aca="false">T21+T35+T49+T63+T77+T91</f>
        <v>567.24066078473</v>
      </c>
      <c r="U115" s="13" t="n">
        <f aca="false">U21+U35+U49+U63+U77+U91</f>
        <v>548.998665226968</v>
      </c>
      <c r="V115" s="13" t="n">
        <f aca="false">V21+V35+V49+V63+V77+V91</f>
        <v>530.17490031735</v>
      </c>
      <c r="W115" s="13" t="n">
        <f aca="false">W21+W35+W49+W63+W77+W91</f>
        <v>510.121392145603</v>
      </c>
      <c r="X115" s="13" t="n">
        <f aca="false">X21+X35+X49+X63+X77+X91</f>
        <v>489.454860536502</v>
      </c>
      <c r="Y115" s="13" t="n">
        <f aca="false">Y21+Y35+Y49+Y63+Y77+Y91</f>
        <v>469.361985000767</v>
      </c>
      <c r="Z115" s="13" t="n">
        <f aca="false">Z21+Z35+Z49+Z63+Z77+Z91</f>
        <v>449.259654772994</v>
      </c>
      <c r="AA115" s="13" t="n">
        <f aca="false">AA21+AA35+AA49+AA63+AA77+AA91</f>
        <v>428.324526114692</v>
      </c>
      <c r="AB115" s="13" t="n">
        <f aca="false">AB21+AB35+AB49+AB63+AB77+AB91</f>
        <v>400.583784991084</v>
      </c>
      <c r="AC115" s="13" t="n">
        <f aca="false">AC21+AC35+AC49+AC63+AC77+AC91</f>
        <v>371.148722920225</v>
      </c>
      <c r="AD115" s="13" t="n">
        <f aca="false">AD21+AD35+AD49+AD63+AD77+AD91</f>
        <v>341.742595772</v>
      </c>
      <c r="AE115" s="13" t="n">
        <f aca="false">AE21+AE35+AE49+AE63+AE77+AE91</f>
        <v>309.409319043459</v>
      </c>
      <c r="AF115" s="13" t="n">
        <f aca="false">AF21+AF35+AF49+AF63+AF77+AF91</f>
        <v>276.077344790473</v>
      </c>
      <c r="AG115" s="13" t="n">
        <f aca="false">AG21+AG35+AG49+AG63+AG77+AG91</f>
        <v>241.775409900596</v>
      </c>
      <c r="AH115" s="13" t="n">
        <f aca="false">AH21+AH35+AH49+AH63+AH77+AH91</f>
        <v>207.5473956029</v>
      </c>
      <c r="AI115" s="13" t="n">
        <f aca="false">AI21+AI35+AI49+AI63+AI77+AI91</f>
        <v>171.90886045187</v>
      </c>
      <c r="AJ115" s="13" t="n">
        <f aca="false">AJ21+AJ35+AJ49+AJ63+AJ77+AJ91</f>
        <v>136.245585591345</v>
      </c>
      <c r="AK115" s="13" t="n">
        <f aca="false">AK21+AK35+AK49+AK63+AK77+AK91</f>
        <v>100.391694754139</v>
      </c>
      <c r="AL115" s="13" t="n">
        <f aca="false">AL21+AL35+AL49+AL63+AL77+AL91</f>
        <v>80.0770675371831</v>
      </c>
      <c r="AM115" s="13" t="n">
        <f aca="false">AM21+AM35+AM49+AM63+AM77+AM91</f>
        <v>58.5366809532083</v>
      </c>
      <c r="AN115" s="13" t="n">
        <f aca="false">AN21+AN35+AN49+AN63+AN77+AN91</f>
        <v>36.5485781493316</v>
      </c>
      <c r="AO115" s="13" t="n">
        <f aca="false">AO21+AO35+AO49+AO63+AO77+AO91</f>
        <v>18.4086543635775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633.255975542792</v>
      </c>
      <c r="P116" s="13" t="n">
        <f aca="false">P33+P47+P61+P75+P89+P95</f>
        <v>617.766260742047</v>
      </c>
      <c r="Q116" s="13" t="n">
        <f aca="false">Q33+Q47+Q61+Q75+Q89+Q95</f>
        <v>601.62099441246</v>
      </c>
      <c r="R116" s="13" t="n">
        <f aca="false">R33+R47+R61+R75+R89+R95</f>
        <v>584.68043306703</v>
      </c>
      <c r="S116" s="13" t="n">
        <f aca="false">S33+S47+S61+S75+S89+S95</f>
        <v>567.24066078473</v>
      </c>
      <c r="T116" s="13" t="n">
        <f aca="false">T33+T47+T61+T75+T89+T95</f>
        <v>548.998665226968</v>
      </c>
      <c r="U116" s="13" t="n">
        <f aca="false">U33+U47+U61+U75+U89+U95</f>
        <v>530.17490031735</v>
      </c>
      <c r="V116" s="13" t="n">
        <f aca="false">V33+V47+V61+V75+V89+V95</f>
        <v>510.121392145603</v>
      </c>
      <c r="W116" s="13" t="n">
        <f aca="false">W33+W47+W61+W75+W89+W95</f>
        <v>489.454860536502</v>
      </c>
      <c r="X116" s="13" t="n">
        <f aca="false">X33+X47+X61+X75+X89+X95</f>
        <v>469.361985000767</v>
      </c>
      <c r="Y116" s="13" t="n">
        <f aca="false">Y33+Y47+Y61+Y75+Y89+Y95</f>
        <v>449.259654772994</v>
      </c>
      <c r="Z116" s="13" t="n">
        <f aca="false">Z33+Z47+Z61+Z75+Z89+Z95</f>
        <v>428.324526114692</v>
      </c>
      <c r="AA116" s="13" t="n">
        <f aca="false">AA33+AA47+AA61+AA75+AA89+AA95</f>
        <v>400.583784991084</v>
      </c>
      <c r="AB116" s="13" t="n">
        <f aca="false">AB33+AB47+AB61+AB75+AB89+AB95</f>
        <v>371.148722920225</v>
      </c>
      <c r="AC116" s="13" t="n">
        <f aca="false">AC33+AC47+AC61+AC75+AC89+AC95</f>
        <v>341.742595772</v>
      </c>
      <c r="AD116" s="13" t="n">
        <f aca="false">AD33+AD47+AD61+AD75+AD89+AD95</f>
        <v>309.409319043459</v>
      </c>
      <c r="AE116" s="13" t="n">
        <f aca="false">AE33+AE47+AE61+AE75+AE89+AE95</f>
        <v>276.077344790473</v>
      </c>
      <c r="AF116" s="13" t="n">
        <f aca="false">AF33+AF47+AF61+AF75+AF89+AF95</f>
        <v>241.775409900596</v>
      </c>
      <c r="AG116" s="13" t="n">
        <f aca="false">AG33+AG47+AG61+AG75+AG89+AG95</f>
        <v>207.5473956029</v>
      </c>
      <c r="AH116" s="13" t="n">
        <f aca="false">AH33+AH47+AH61+AH75+AH89+AH95</f>
        <v>171.90886045187</v>
      </c>
      <c r="AI116" s="13" t="n">
        <f aca="false">AI33+AI47+AI61+AI75+AI89+AI95</f>
        <v>136.245585591345</v>
      </c>
      <c r="AJ116" s="13" t="n">
        <f aca="false">AJ33+AJ47+AJ61+AJ75+AJ89+AJ95</f>
        <v>100.391694754139</v>
      </c>
      <c r="AK116" s="13" t="n">
        <f aca="false">AK33+AK47+AK61+AK75+AK89+AK95</f>
        <v>80.0770675371831</v>
      </c>
      <c r="AL116" s="13" t="n">
        <f aca="false">AL33+AL47+AL61+AL75+AL89+AL95</f>
        <v>58.5366809532083</v>
      </c>
      <c r="AM116" s="13" t="n">
        <f aca="false">AM33+AM47+AM61+AM75+AM89+AM95</f>
        <v>36.5485781493316</v>
      </c>
      <c r="AN116" s="13" t="n">
        <f aca="false">AN33+AN47+AN61+AN75+AN89+AN95</f>
        <v>18.4086543635775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240.637270706254</v>
      </c>
      <c r="P118" s="13" t="n">
        <f aca="false">IF(Time!P34=1,P75,P73)</f>
        <v>234.751179081972</v>
      </c>
      <c r="Q118" s="13" t="n">
        <f aca="false">IF(Time!Q34=1,Q75,Q73)</f>
        <v>228.615977876729</v>
      </c>
      <c r="R118" s="13" t="n">
        <f aca="false">IF(Time!R34=1,R75,R73)</f>
        <v>222.178564565465</v>
      </c>
      <c r="S118" s="13" t="n">
        <f aca="false">IF(Time!S34=1,S75,S73)</f>
        <v>215.551451098191</v>
      </c>
      <c r="T118" s="13" t="n">
        <f aca="false">IF(Time!T34=1,T75,T73)</f>
        <v>208.619492786242</v>
      </c>
      <c r="U118" s="13" t="n">
        <f aca="false">IF(Time!U34=1,U75,U73)</f>
        <v>201.466462120587</v>
      </c>
      <c r="V118" s="13" t="n">
        <f aca="false">IF(Time!V34=1,V75,V73)</f>
        <v>193.846129015324</v>
      </c>
      <c r="W118" s="13" t="n">
        <f aca="false">IF(Time!W34=1,W75,W73)</f>
        <v>185.992847003866</v>
      </c>
      <c r="X118" s="13" t="n">
        <f aca="false">IF(Time!X34=1,X75,X73)</f>
        <v>178.357554300286</v>
      </c>
      <c r="Y118" s="13" t="n">
        <f aca="false">IF(Time!Y34=1,Y75,Y73)</f>
        <v>170.718668813733</v>
      </c>
      <c r="Z118" s="13" t="n">
        <f aca="false">IF(Time!Z34=1,Z75,Z73)</f>
        <v>162.763319923579</v>
      </c>
      <c r="AA118" s="13" t="n">
        <f aca="false">IF(Time!AA34=1,AA75,AA73)</f>
        <v>154.575814007698</v>
      </c>
      <c r="AB118" s="13" t="n">
        <f aca="false">IF(Time!AB34=1,AB75,AB73)</f>
        <v>140.146275245362</v>
      </c>
      <c r="AC118" s="13" t="n">
        <f aca="false">IF(Time!AC34=1,AC75,AC73)</f>
        <v>124.872452445001</v>
      </c>
      <c r="AD118" s="13" t="n">
        <f aca="false">IF(Time!AD34=1,AD75,AD73)</f>
        <v>109.670078590915</v>
      </c>
      <c r="AE118" s="13" t="n">
        <f aca="false">IF(Time!AE34=1,AE75,AE73)</f>
        <v>93.4193302613919</v>
      </c>
      <c r="AF118" s="13" t="n">
        <f aca="false">IF(Time!AF34=1,AF75,AF73)</f>
        <v>77.0598839557723</v>
      </c>
      <c r="AG118" s="13" t="n">
        <f aca="false">IF(Time!AG34=1,AG75,AG73)</f>
        <v>60.63166939838</v>
      </c>
      <c r="AH118" s="13" t="n">
        <f aca="false">IF(Time!AH34=1,AH75,AH73)</f>
        <v>44.6111231334552</v>
      </c>
      <c r="AI118" s="13" t="n">
        <f aca="false">IF(Time!AI34=1,AI75,AI73)</f>
        <v>28.5971807158981</v>
      </c>
      <c r="AJ118" s="13" t="n">
        <f aca="false">IF(Time!AJ34=1,AJ75,AJ73)</f>
        <v>13.5251433349239</v>
      </c>
      <c r="AK118" s="13" t="n">
        <f aca="false">IF(Time!AK34=1,AK75,AK73)</f>
        <v>0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8.95812112171839</v>
      </c>
      <c r="P119" s="13" t="n">
        <f aca="false">IF(AND(Time!P20&gt;=Time!$F$12,Time!Q20&gt;0),(IF(Time!P34=1,P33,P31)-P30)*Q19+IF(Time!Q46&gt;0,Time!Q45*P30/Time!Q46,0)+IF(Time!P34=1,P33,P31)*Q10,0)</f>
        <v>8.99939649593107</v>
      </c>
      <c r="Q119" s="13" t="n">
        <f aca="false">IF(AND(Time!Q20&gt;=Time!$F$12,Time!R20&gt;0),(IF(Time!Q34=1,Q33,Q31)-Q30)*R19+IF(Time!R46&gt;0,Time!R45*Q30/Time!R46,0)+IF(Time!Q34=1,Q33,Q31)*R10,0)</f>
        <v>9.19645384408426</v>
      </c>
      <c r="R119" s="13" t="n">
        <f aca="false">IF(AND(Time!R20&gt;=Time!$F$12,Time!S20&gt;0),(IF(Time!R34=1,R33,R31)-R30)*S19+IF(Time!S46&gt;0,Time!S45*R30/Time!S46,0)+IF(Time!R34=1,R33,R31)*S10,0)</f>
        <v>9.17399333453588</v>
      </c>
      <c r="S119" s="13" t="n">
        <f aca="false">IF(AND(Time!S20&gt;=Time!$F$12,Time!T20&gt;0),(IF(Time!S34=1,S33,S31)-S30)*T19+IF(Time!T46&gt;0,Time!T45*S30/Time!T46,0)+IF(Time!S34=1,S33,S31)*T10,0)</f>
        <v>9.3604661563469</v>
      </c>
      <c r="T119" s="13" t="n">
        <f aca="false">IF(AND(Time!T20&gt;=Time!$F$12,Time!U20&gt;0),(IF(Time!T34=1,T33,T31)-T30)*U19+IF(Time!U46&gt;0,Time!U45*T30/Time!U46,0)+IF(Time!T34=1,T33,T31)*U10,0)</f>
        <v>9.36906592379133</v>
      </c>
      <c r="U119" s="13" t="n">
        <f aca="false">IF(AND(Time!U20&gt;=Time!$F$12,Time!V20&gt;0),(IF(Time!U34=1,U33,U31)-U30)*V19+IF(Time!V46&gt;0,Time!V45*U30/Time!V46,0)+IF(Time!U34=1,U33,U31)*V10,0)</f>
        <v>9.64987121829886</v>
      </c>
      <c r="V119" s="13" t="n">
        <f aca="false">IF(AND(Time!V20&gt;=Time!$F$12,Time!W20&gt;0),(IF(Time!V34=1,V33,V31)-V30)*W19+IF(Time!W46&gt;0,Time!W45*V30/Time!W46,0)+IF(Time!V34=1,V33,V31)*W10,0)</f>
        <v>9.63932543892382</v>
      </c>
      <c r="W119" s="13" t="n">
        <f aca="false">IF(AND(Time!W20&gt;=Time!$F$12,Time!X20&gt;0),(IF(Time!W34=1,W33,W31)-W30)*X19+IF(Time!X46&gt;0,Time!X45*W30/Time!X46,0)+IF(Time!W34=1,W33,W31)*X10,0)</f>
        <v>9.38258627483752</v>
      </c>
      <c r="X119" s="13" t="n">
        <f aca="false">IF(AND(Time!X20&gt;=Time!$F$12,Time!Y20&gt;0),(IF(Time!X34=1,X33,X31)-X30)*Y19+IF(Time!Y46&gt;0,Time!Y45*X30/Time!Y46,0)+IF(Time!X34=1,X33,X31)*Y10,0)</f>
        <v>9.19525491170283</v>
      </c>
      <c r="Y119" s="13" t="n">
        <f aca="false">IF(AND(Time!Y20&gt;=Time!$F$12,Time!Z20&gt;0),(IF(Time!Y34=1,Y33,Y31)-Y30)*Z19+IF(Time!Z46&gt;0,Time!Z45*Y30/Time!Z46,0)+IF(Time!Y34=1,Y33,Y31)*Z10,0)</f>
        <v>9.35976427130441</v>
      </c>
      <c r="Z119" s="13" t="n">
        <f aca="false">IF(AND(Time!Z20&gt;=Time!$F$12,Time!AA20&gt;0),(IF(Time!Z34=1,Z33,Z31)-Z30)*AA19+IF(Time!AA46&gt;0,Time!AA45*Z30/Time!AA46,0)+IF(Time!Z34=1,Z33,Z31)*AA10,0)</f>
        <v>9.35169149610212</v>
      </c>
      <c r="AA119" s="13" t="n">
        <f aca="false">IF(AND(Time!AA20&gt;=Time!$F$12,Time!AB20&gt;0),(IF(Time!AA34=1,AA33,AA31)-AA30)*AB19+IF(Time!AB46&gt;0,Time!AB45*AA30/Time!AB46,0)+IF(Time!AA34=1,AA33,AA31)*AB10,0)</f>
        <v>9.56068443216145</v>
      </c>
      <c r="AB119" s="13" t="n">
        <f aca="false">IF(AND(Time!AB20&gt;=Time!$F$12,Time!AC20&gt;0),(IF(Time!AB34=1,AB33,AB31)-AB30)*AC19+IF(Time!AC46&gt;0,Time!AC45*AB30/Time!AC46,0)+IF(Time!AB34=1,AB33,AB31)*AC10,0)</f>
        <v>9.6016960095392</v>
      </c>
      <c r="AC119" s="13" t="n">
        <f aca="false">IF(AND(Time!AC20&gt;=Time!$F$12,Time!AD20&gt;0),(IF(Time!AC34=1,AC33,AC31)-AC30)*AD19+IF(Time!AD46&gt;0,Time!AD45*AC30/Time!AD46,0)+IF(Time!AC34=1,AC33,AC31)*AD10,0)</f>
        <v>10.1136738206983</v>
      </c>
      <c r="AD119" s="13" t="n">
        <f aca="false">IF(AND(Time!AD20&gt;=Time!$F$12,Time!AE20&gt;0),(IF(Time!AD34=1,AD33,AD31)-AD30)*AE19+IF(Time!AE46&gt;0,Time!AE45*AD30/Time!AE46,0)+IF(Time!AD34=1,AD33,AD31)*AE10,0)</f>
        <v>10.2300183829306</v>
      </c>
      <c r="AE119" s="13" t="n">
        <f aca="false">IF(AND(Time!AE20&gt;=Time!$F$12,Time!AF20&gt;0),(IF(Time!AE34=1,AE33,AE31)-AE30)*AF19+IF(Time!AF46&gt;0,Time!AF45*AE30/Time!AF46,0)+IF(Time!AE34=1,AE33,AE31)*AF10,0)</f>
        <v>10.36499730394</v>
      </c>
      <c r="AF119" s="13" t="n">
        <f aca="false">IF(AND(Time!AF20&gt;=Time!$F$12,Time!AG20&gt;0),(IF(Time!AF34=1,AF33,AF31)-AF30)*AG19+IF(Time!AG46&gt;0,Time!AG45*AF30/Time!AG46,0)+IF(Time!AF34=1,AF33,AF31)*AG10,0)</f>
        <v>10.299050027959</v>
      </c>
      <c r="AG119" s="13" t="n">
        <f aca="false">IF(AND(Time!AG20&gt;=Time!$F$12,Time!AH20&gt;0),(IF(Time!AG34=1,AG33,AG31)-AG30)*AH19+IF(Time!AH46&gt;0,Time!AH45*AG30/Time!AH46,0)+IF(Time!AG34=1,AG33,AG31)*AH10,0)</f>
        <v>10.5603292834166</v>
      </c>
      <c r="AH119" s="13" t="n">
        <f aca="false">IF(AND(Time!AH20&gt;=Time!$F$12,Time!AI20&gt;0),(IF(Time!AH34=1,AH33,AH31)-AH30)*AI19+IF(Time!AI46&gt;0,Time!AI45*AH30/Time!AI46,0)+IF(Time!AH34=1,AH33,AH31)*AI10,0)</f>
        <v>10.5927993971689</v>
      </c>
      <c r="AI119" s="13" t="n">
        <f aca="false">IF(AND(Time!AI20&gt;=Time!$F$12,Time!AJ20&gt;0),(IF(Time!AI34=1,AI33,AI31)-AI30)*AJ19+IF(Time!AJ46&gt;0,Time!AJ45*AI30/Time!AJ46,0)+IF(Time!AI34=1,AI33,AI31)*AJ10,0)</f>
        <v>10.8488130959523</v>
      </c>
      <c r="AJ119" s="13" t="n">
        <f aca="false">IF(AND(Time!AJ20&gt;=Time!$F$12,Time!AK20&gt;0),(IF(Time!AJ34=1,AJ33,AJ31)-AJ30)*AK19+IF(Time!AK46&gt;0,Time!AK45*AJ30/Time!AK46,0)+IF(Time!AJ34=1,AJ33,AJ31)*AK10,0)</f>
        <v>10.9274091285036</v>
      </c>
      <c r="AK119" s="13" t="n">
        <f aca="false">IF(AND(Time!AK20&gt;=Time!$F$12,Time!AL20&gt;0),(IF(Time!AK34=1,AK33,AK31)-AK30)*AL19+IF(Time!AL46&gt;0,Time!AL45*AK30/Time!AL46,0)+IF(Time!AK34=1,AK33,AK31)*AL10,0)</f>
        <v>11.3080067678903</v>
      </c>
      <c r="AL119" s="13" t="n">
        <f aca="false">IF(AND(Time!AL20&gt;=Time!$F$12,Time!AM20&gt;0),(IF(Time!AL34=1,AL33,AL31)-AL30)*AM19+IF(Time!AM46&gt;0,Time!AM45*AL30/Time!AM46,0)+IF(Time!AL34=1,AL33,AL31)*AM10,0)</f>
        <v>11.2759673843862</v>
      </c>
      <c r="AM119" s="13" t="n">
        <f aca="false">IF(AND(Time!AM20&gt;=Time!$F$12,Time!AN20&gt;0),(IF(Time!AM34=1,AM33,AM31)-AM30)*AN19+IF(Time!AN46&gt;0,Time!AN45*AM30/Time!AN46,0)+IF(Time!AM34=1,AM33,AM31)*AN10,0)</f>
        <v>9.18142111348627</v>
      </c>
      <c r="AN119" s="13" t="n">
        <f aca="false">IF(AND(Time!AN20&gt;=Time!$F$12,Time!AO20&gt;0),(IF(Time!AN34=1,AN33,AN31)-AN30)*AO19+IF(Time!AO46&gt;0,Time!AO45*AN30/Time!AO46,0)+IF(Time!AN34=1,AN33,AN31)*AO10,0)</f>
        <v>9.10760009509006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8.20702949889722</v>
      </c>
      <c r="P120" s="13" t="n">
        <f aca="false">IF(AND(Time!P20&gt;=Time!$F$12,Time!Q20&gt;0),(IF(Time!P34=1,P47,P45)-P44)*Q19+IF(Time!Q46&gt;0,Time!Q45*P44/Time!Q46,0)+IF(Time!P34=1,P47,P45)*Q11,0)</f>
        <v>8.17118911802499</v>
      </c>
      <c r="Q120" s="13" t="n">
        <f aca="false">IF(AND(Time!Q20&gt;=Time!$F$12,Time!R20&gt;0),(IF(Time!Q34=1,Q47,Q45)-Q44)*R19+IF(Time!R46&gt;0,Time!R45*Q44/Time!R46,0)+IF(Time!Q34=1,Q47,Q45)*R11,0)</f>
        <v>8.29999173743335</v>
      </c>
      <c r="R120" s="13" t="n">
        <f aca="false">IF(AND(Time!R20&gt;=Time!$F$12,Time!S20&gt;0),(IF(Time!R34=1,R47,R45)-R44)*S19+IF(Time!S46&gt;0,Time!S45*R44/Time!S46,0)+IF(Time!R34=1,R47,R45)*S11,0)</f>
        <v>8.21505461596175</v>
      </c>
      <c r="S120" s="13" t="n">
        <f aca="false">IF(AND(Time!S20&gt;=Time!$F$12,Time!T20&gt;0),(IF(Time!S34=1,S47,S45)-S44)*T19+IF(Time!T46&gt;0,Time!T45*S44/Time!T46,0)+IF(Time!S34=1,S47,S45)*T11,0)</f>
        <v>8.33135225025717</v>
      </c>
      <c r="T120" s="13" t="n">
        <f aca="false">IF(AND(Time!T20&gt;=Time!$F$12,Time!U20&gt;0),(IF(Time!T34=1,T47,T45)-T44)*U19+IF(Time!U46&gt;0,Time!U45*T44/Time!U46,0)+IF(Time!T34=1,T47,T45)*U11,0)</f>
        <v>8.27504792961588</v>
      </c>
      <c r="U120" s="13" t="n">
        <f aca="false">IF(AND(Time!U20&gt;=Time!$F$12,Time!V20&gt;0),(IF(Time!U34=1,U47,U45)-U44)*V19+IF(Time!V46&gt;0,Time!V45*U44/Time!V46,0)+IF(Time!U34=1,U47,U45)*V11,0)</f>
        <v>8.44772233561765</v>
      </c>
      <c r="V120" s="13" t="n">
        <f aca="false">IF(AND(Time!V20&gt;=Time!$F$12,Time!W20&gt;0),(IF(Time!V34=1,V47,V45)-V44)*W19+IF(Time!W46&gt;0,Time!W45*V44/Time!W46,0)+IF(Time!V34=1,V47,V45)*W11,0)</f>
        <v>8.36661581690652</v>
      </c>
      <c r="W120" s="13" t="n">
        <f aca="false">IF(AND(Time!W20&gt;=Time!$F$12,Time!X20&gt;0),(IF(Time!W34=1,W47,W45)-W44)*X19+IF(Time!X46&gt;0,Time!X45*W44/Time!X46,0)+IF(Time!W34=1,W47,W45)*X11,0)</f>
        <v>8.14640230530833</v>
      </c>
      <c r="X120" s="13" t="n">
        <f aca="false">IF(AND(Time!X20&gt;=Time!$F$12,Time!Y20&gt;0),(IF(Time!X34=1,X47,X45)-X44)*Y19+IF(Time!Y46&gt;0,Time!Y45*X44/Time!Y46,0)+IF(Time!X34=1,X47,X45)*Y11,0)</f>
        <v>7.93726990075649</v>
      </c>
      <c r="Y120" s="13" t="n">
        <f aca="false">IF(AND(Time!Y20&gt;=Time!$F$12,Time!Z20&gt;0),(IF(Time!Y34=1,Y47,Y45)-Y44)*Z19+IF(Time!Z46&gt;0,Time!Z45*Y44/Time!Z46,0)+IF(Time!Y34=1,Y47,Y45)*Z11,0)</f>
        <v>8.02571243501167</v>
      </c>
      <c r="Z120" s="13" t="n">
        <f aca="false">IF(AND(Time!Z20&gt;=Time!$F$12,Time!AA20&gt;0),(IF(Time!Z34=1,Z47,Z45)-Z44)*AA19+IF(Time!AA46&gt;0,Time!AA45*Z44/Time!AA46,0)+IF(Time!Z34=1,Z47,Z45)*AA11,0)</f>
        <v>7.94758848738431</v>
      </c>
      <c r="AA120" s="13" t="n">
        <f aca="false">IF(AND(Time!AA20&gt;=Time!$F$12,Time!AB20&gt;0),(IF(Time!AA34=1,AA47,AA45)-AA44)*AB19+IF(Time!AB46&gt;0,Time!AB45*AA44/Time!AB46,0)+IF(Time!AA34=1,AA47,AA45)*AB11,0)</f>
        <v>8.06318807096612</v>
      </c>
      <c r="AB120" s="13" t="n">
        <f aca="false">IF(AND(Time!AB20&gt;=Time!$F$12,Time!AC20&gt;0),(IF(Time!AB34=1,AB47,AB45)-AB44)*AC19+IF(Time!AC46&gt;0,Time!AC45*AB44/Time!AC46,0)+IF(Time!AB34=1,AB47,AB45)*AC11,0)</f>
        <v>8.02407781007828</v>
      </c>
      <c r="AC120" s="13" t="n">
        <f aca="false">IF(AND(Time!AC20&gt;=Time!$F$12,Time!AD20&gt;0),(IF(Time!AC34=1,AC47,AC45)-AC44)*AD19+IF(Time!AD46&gt;0,Time!AD45*AC44/Time!AD46,0)+IF(Time!AC34=1,AC47,AC45)*AD11,0)</f>
        <v>8.35000932973171</v>
      </c>
      <c r="AD120" s="13" t="n">
        <f aca="false">IF(AND(Time!AD20&gt;=Time!$F$12,Time!AE20&gt;0),(IF(Time!AD34=1,AD47,AD45)-AD44)*AE19+IF(Time!AE46&gt;0,Time!AE45*AD44/Time!AE46,0)+IF(Time!AD34=1,AD47,AD45)*AE11,0)</f>
        <v>8.35532123413818</v>
      </c>
      <c r="AE120" s="13" t="n">
        <f aca="false">IF(AND(Time!AE20&gt;=Time!$F$12,Time!AF20&gt;0),(IF(Time!AE34=1,AE47,AE45)-AE44)*AF19+IF(Time!AF46&gt;0,Time!AF45*AE44/Time!AF46,0)+IF(Time!AE34=1,AE47,AE45)*AF11,0)</f>
        <v>8.39975390019449</v>
      </c>
      <c r="AF120" s="13" t="n">
        <f aca="false">IF(AND(Time!AF20&gt;=Time!$F$12,Time!AG20&gt;0),(IF(Time!AF34=1,AF47,AF45)-AF44)*AG19+IF(Time!AG46&gt;0,Time!AG45*AF44/Time!AG46,0)+IF(Time!AF34=1,AF47,AF45)*AG11,0)</f>
        <v>8.26842364695457</v>
      </c>
      <c r="AG120" s="13" t="n">
        <f aca="false">IF(AND(Time!AG20&gt;=Time!$F$12,Time!AH20&gt;0),(IF(Time!AG34=1,AG47,AG45)-AG44)*AH19+IF(Time!AH46&gt;0,Time!AH45*AG44/Time!AH46,0)+IF(Time!AG34=1,AG47,AG45)*AH11,0)</f>
        <v>8.39946021245935</v>
      </c>
      <c r="AH120" s="13" t="n">
        <f aca="false">IF(AND(Time!AH20&gt;=Time!$F$12,Time!AI20&gt;0),(IF(Time!AH34=1,AH47,AH45)-AH44)*AI19+IF(Time!AI46&gt;0,Time!AI45*AH44/Time!AI46,0)+IF(Time!AH34=1,AH47,AH45)*AI11,0)</f>
        <v>8.33776066218525</v>
      </c>
      <c r="AI120" s="13" t="n">
        <f aca="false">IF(AND(Time!AI20&gt;=Time!$F$12,Time!AJ20&gt;0),(IF(Time!AI34=1,AI47,AI45)-AI44)*AJ19+IF(Time!AJ46&gt;0,Time!AJ45*AI44/Time!AJ46,0)+IF(Time!AI34=1,AI47,AI45)*AJ11,0)</f>
        <v>8.45664485774763</v>
      </c>
      <c r="AJ120" s="13" t="n">
        <f aca="false">IF(AND(Time!AJ20&gt;=Time!$F$12,Time!AK20&gt;0),(IF(Time!AJ34=1,AJ47,AJ45)-AJ44)*AK19+IF(Time!AK46&gt;0,Time!AK45*AJ44/Time!AK46,0)+IF(Time!AJ34=1,AJ47,AJ45)*AK11,0)</f>
        <v>8.42764805415072</v>
      </c>
      <c r="AK120" s="13" t="n">
        <f aca="false">IF(AND(Time!AK20&gt;=Time!$F$12,Time!AL20&gt;0),(IF(Time!AK34=1,AK47,AK45)-AK44)*AL19+IF(Time!AL46&gt;0,Time!AL45*AK44/Time!AL46,0)+IF(Time!AK34=1,AK47,AK45)*AL11,0)</f>
        <v>8.62656586347714</v>
      </c>
      <c r="AL120" s="13" t="n">
        <f aca="false">IF(AND(Time!AL20&gt;=Time!$F$12,Time!AM20&gt;0),(IF(Time!AL34=1,AL47,AL45)-AL44)*AM19+IF(Time!AM46&gt;0,Time!AM45*AL44/Time!AM46,0)+IF(Time!AL34=1,AL47,AL45)*AM11,0)</f>
        <v>8.50923721368344</v>
      </c>
      <c r="AM120" s="13" t="n">
        <f aca="false">IF(AND(Time!AM20&gt;=Time!$F$12,Time!AN20&gt;0),(IF(Time!AM34=1,AM47,AM45)-AM44)*AN19+IF(Time!AN46&gt;0,Time!AN45*AM44/Time!AN46,0)+IF(Time!AM34=1,AM47,AM45)*AN11,0)</f>
        <v>6.88549819021319</v>
      </c>
      <c r="AN120" s="13" t="n">
        <f aca="false">IF(AND(Time!AN20&gt;=Time!$F$12,Time!AO20&gt;0),(IF(Time!AN34=1,AN47,AN45)-AN44)*AO19+IF(Time!AO46&gt;0,Time!AO45*AN44/Time!AO46,0)+IF(Time!AN34=1,AN47,AN45)*AO11,0)</f>
        <v>6.75444325156706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3.64955191272484</v>
      </c>
      <c r="P121" s="13" t="n">
        <f aca="false">IF(AND(Time!P20&gt;=Time!$F$12,Time!Q20&gt;0),(IF(Time!P34=1,P61,P59)-P58)*Q19+IF(Time!Q46&gt;0,Time!Q45*P58/Time!Q46,0)+IF(Time!P34=1,P61,P59)*Q12,0)</f>
        <v>3.63652708488905</v>
      </c>
      <c r="Q121" s="13" t="n">
        <f aca="false">IF(AND(Time!Q20&gt;=Time!$F$12,Time!R20&gt;0),(IF(Time!Q34=1,Q61,Q59)-Q58)*R19+IF(Time!R46&gt;0,Time!R45*Q58/Time!R46,0)+IF(Time!Q34=1,Q61,Q59)*R12,0)</f>
        <v>3.69584972328468</v>
      </c>
      <c r="R121" s="13" t="n">
        <f aca="false">IF(AND(Time!R20&gt;=Time!$F$12,Time!S20&gt;0),(IF(Time!R34=1,R61,R59)-R58)*S19+IF(Time!S46&gt;0,Time!S45*R58/Time!S46,0)+IF(Time!R34=1,R61,R59)*S12,0)</f>
        <v>3.66062465231617</v>
      </c>
      <c r="S121" s="13" t="n">
        <f aca="false">IF(AND(Time!S20&gt;=Time!$F$12,Time!T20&gt;0),(IF(Time!S34=1,S61,S59)-S58)*T19+IF(Time!T46&gt;0,Time!T45*S58/Time!T46,0)+IF(Time!S34=1,S61,S59)*T12,0)</f>
        <v>3.71449754447117</v>
      </c>
      <c r="T121" s="13" t="n">
        <f aca="false">IF(AND(Time!T20&gt;=Time!$F$12,Time!U20&gt;0),(IF(Time!T34=1,T61,T59)-T58)*U19+IF(Time!U46&gt;0,Time!U45*T58/Time!U46,0)+IF(Time!T34=1,T61,T59)*U12,0)</f>
        <v>3.69199809125316</v>
      </c>
      <c r="U121" s="13" t="n">
        <f aca="false">IF(AND(Time!U20&gt;=Time!$F$12,Time!V20&gt;0),(IF(Time!U34=1,U61,U59)-U58)*V19+IF(Time!V46&gt;0,Time!V45*U58/Time!V46,0)+IF(Time!U34=1,U61,U59)*V12,0)</f>
        <v>3.77212921832101</v>
      </c>
      <c r="V121" s="13" t="n">
        <f aca="false">IF(AND(Time!V20&gt;=Time!$F$12,Time!W20&gt;0),(IF(Time!V34=1,V61,V59)-V58)*W19+IF(Time!W46&gt;0,Time!W45*V58/Time!W46,0)+IF(Time!V34=1,V61,V59)*W12,0)</f>
        <v>3.738887764518</v>
      </c>
      <c r="W121" s="13" t="n">
        <f aca="false">IF(AND(Time!W20&gt;=Time!$F$12,Time!X20&gt;0),(IF(Time!W34=1,W61,W59)-W58)*X19+IF(Time!X46&gt;0,Time!X45*W58/Time!X46,0)+IF(Time!W34=1,W61,W59)*X12,0)</f>
        <v>3.64036868437463</v>
      </c>
      <c r="X121" s="13" t="n">
        <f aca="false">IF(AND(Time!X20&gt;=Time!$F$12,Time!Y20&gt;0),(IF(Time!X34=1,X61,X59)-X58)*Y19+IF(Time!Y46&gt;0,Time!Y45*X58/Time!Y46,0)+IF(Time!X34=1,X61,X59)*Y12,0)</f>
        <v>3.5488537609413</v>
      </c>
      <c r="Y121" s="13" t="n">
        <f aca="false">IF(AND(Time!Y20&gt;=Time!$F$12,Time!Z20&gt;0),(IF(Time!Y34=1,Y61,Y59)-Y58)*Z19+IF(Time!Z46&gt;0,Time!Z45*Y58/Time!Z46,0)+IF(Time!Y34=1,Y61,Y59)*Z12,0)</f>
        <v>3.59064570649138</v>
      </c>
      <c r="Z121" s="13" t="n">
        <f aca="false">IF(AND(Time!Z20&gt;=Time!$F$12,Time!AA20&gt;0),(IF(Time!Z34=1,Z61,Z59)-Z58)*AA19+IF(Time!AA46&gt;0,Time!AA45*Z58/Time!AA46,0)+IF(Time!Z34=1,Z61,Z59)*AA12,0)</f>
        <v>3.55870220818641</v>
      </c>
      <c r="AA121" s="13" t="n">
        <f aca="false">IF(AND(Time!AA20&gt;=Time!$F$12,Time!AB20&gt;0),(IF(Time!AA34=1,AA61,AA59)-AA58)*AB19+IF(Time!AB46&gt;0,Time!AB45*AA58/Time!AB46,0)+IF(Time!AA34=1,AA61,AA59)*AB12,0)</f>
        <v>3.61310823940253</v>
      </c>
      <c r="AB121" s="13" t="n">
        <f aca="false">IF(AND(Time!AB20&gt;=Time!$F$12,Time!AC20&gt;0),(IF(Time!AB34=1,AB61,AB59)-AB58)*AC19+IF(Time!AC46&gt;0,Time!AC45*AB58/Time!AC46,0)+IF(Time!AB34=1,AB61,AB59)*AC12,0)</f>
        <v>3.59874909994914</v>
      </c>
      <c r="AC121" s="13" t="n">
        <f aca="false">IF(AND(Time!AC20&gt;=Time!$F$12,Time!AD20&gt;0),(IF(Time!AC34=1,AC61,AC59)-AC58)*AD19+IF(Time!AD46&gt;0,Time!AD45*AC58/Time!AD46,0)+IF(Time!AC34=1,AC61,AC59)*AD12,0)</f>
        <v>3.74934637544361</v>
      </c>
      <c r="AD121" s="13" t="n">
        <f aca="false">IF(AND(Time!AD20&gt;=Time!$F$12,Time!AE20&gt;0),(IF(Time!AD34=1,AD61,AD59)-AD58)*AE19+IF(Time!AE46&gt;0,Time!AE45*AD58/Time!AE46,0)+IF(Time!AD34=1,AD61,AD59)*AE12,0)</f>
        <v>3.75571381426625</v>
      </c>
      <c r="AE121" s="13" t="n">
        <f aca="false">IF(AND(Time!AE20&gt;=Time!$F$12,Time!AF20&gt;0),(IF(Time!AE34=1,AE61,AE59)-AE58)*AF19+IF(Time!AF46&gt;0,Time!AF45*AE58/Time!AF46,0)+IF(Time!AE34=1,AE61,AE59)*AF12,0)</f>
        <v>3.77860573144685</v>
      </c>
      <c r="AF121" s="13" t="n">
        <f aca="false">IF(AND(Time!AF20&gt;=Time!$F$12,Time!AG20&gt;0),(IF(Time!AF34=1,AF61,AF59)-AF58)*AG19+IF(Time!AG46&gt;0,Time!AG45*AF58/Time!AG46,0)+IF(Time!AF34=1,AF61,AF59)*AG12,0)</f>
        <v>3.72300941661055</v>
      </c>
      <c r="AG121" s="13" t="n">
        <f aca="false">IF(AND(Time!AG20&gt;=Time!$F$12,Time!AH20&gt;0),(IF(Time!AG34=1,AG61,AG59)-AG58)*AH19+IF(Time!AH46&gt;0,Time!AH45*AG58/Time!AH46,0)+IF(Time!AG34=1,AG61,AG59)*AH12,0)</f>
        <v>3.78556399291859</v>
      </c>
      <c r="AH121" s="13" t="n">
        <f aca="false">IF(AND(Time!AH20&gt;=Time!$F$12,Time!AI20&gt;0),(IF(Time!AH34=1,AH61,AH59)-AH58)*AI19+IF(Time!AI46&gt;0,Time!AI45*AH58/Time!AI46,0)+IF(Time!AH34=1,AH61,AH59)*AI12,0)</f>
        <v>3.76174359294349</v>
      </c>
      <c r="AI121" s="13" t="n">
        <f aca="false">IF(AND(Time!AI20&gt;=Time!$F$12,Time!AJ20&gt;0),(IF(Time!AI34=1,AI61,AI59)-AI58)*AJ19+IF(Time!AJ46&gt;0,Time!AJ45*AI58/Time!AJ46,0)+IF(Time!AI34=1,AI61,AI59)*AJ12,0)</f>
        <v>3.81918399722804</v>
      </c>
      <c r="AJ121" s="13" t="n">
        <f aca="false">IF(AND(Time!AJ20&gt;=Time!$F$12,Time!AK20&gt;0),(IF(Time!AJ34=1,AJ61,AJ59)-AJ58)*AK19+IF(Time!AK46&gt;0,Time!AK45*AJ58/Time!AK46,0)+IF(Time!AJ34=1,AJ61,AJ59)*AK12,0)</f>
        <v>3.81028396269459</v>
      </c>
      <c r="AK121" s="13" t="n">
        <f aca="false">IF(AND(Time!AK20&gt;=Time!$F$12,Time!AL20&gt;0),(IF(Time!AK34=1,AK61,AK59)-AK58)*AL19+IF(Time!AL46&gt;0,Time!AL45*AK58/Time!AL46,0)+IF(Time!AK34=1,AK61,AK59)*AL12,0)</f>
        <v>3.90466296328881</v>
      </c>
      <c r="AL121" s="13" t="n">
        <f aca="false">IF(AND(Time!AL20&gt;=Time!$F$12,Time!AM20&gt;0),(IF(Time!AL34=1,AL61,AL59)-AL58)*AM19+IF(Time!AM46&gt;0,Time!AM45*AL58/Time!AM46,0)+IF(Time!AL34=1,AL61,AL59)*AM12,0)</f>
        <v>3.85596778165781</v>
      </c>
      <c r="AM121" s="13" t="n">
        <f aca="false">IF(AND(Time!AM20&gt;=Time!$F$12,Time!AN20&gt;0),(IF(Time!AM34=1,AM61,AM59)-AM58)*AN19+IF(Time!AN46&gt;0,Time!AN45*AM58/Time!AN46,0)+IF(Time!AM34=1,AM61,AM59)*AN12,0)</f>
        <v>3.12223949158291</v>
      </c>
      <c r="AN121" s="13" t="n">
        <f aca="false">IF(AND(Time!AN20&gt;=Time!$F$12,Time!AO20&gt;0),(IF(Time!AN34=1,AN61,AN59)-AN58)*AO19+IF(Time!AO46&gt;0,Time!AO45*AN58/Time!AO46,0)+IF(Time!AN34=1,AN61,AN59)*AO12,0)</f>
        <v>3.0664694367218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15.7118164284045</v>
      </c>
      <c r="P122" s="13" t="n">
        <f aca="false">IF(AND(Time!P20&gt;=Time!$F$12,Time!Q20&gt;0),(IF(Time!P34=1,P75,P73)-P72)*Q19+IF(Time!Q46&gt;0,Time!Q45*P72/Time!Q46,0)+IF(Time!P34=1,P75,P73)*Q13,0)</f>
        <v>15.5905294834455</v>
      </c>
      <c r="Q122" s="13" t="n">
        <f aca="false">IF(AND(Time!Q20&gt;=Time!$F$12,Time!R20&gt;0),(IF(Time!Q34=1,Q75,Q73)-Q72)*R19+IF(Time!R46&gt;0,Time!R45*Q72/Time!R46,0)+IF(Time!Q34=1,Q75,Q73)*R13,0)</f>
        <v>15.7982497584975</v>
      </c>
      <c r="R122" s="13" t="n">
        <f aca="false">IF(AND(Time!R20&gt;=Time!$F$12,Time!S20&gt;0),(IF(Time!R34=1,R75,R73)-R72)*S19+IF(Time!S46&gt;0,Time!S45*R72/Time!S46,0)+IF(Time!R34=1,R75,R73)*S13,0)</f>
        <v>15.5884527186763</v>
      </c>
      <c r="S122" s="13" t="n">
        <f aca="false">IF(AND(Time!S20&gt;=Time!$F$12,Time!T20&gt;0),(IF(Time!S34=1,S75,S73)-S72)*T19+IF(Time!T46&gt;0,Time!T45*S72/Time!T46,0)+IF(Time!S34=1,S75,S73)*T13,0)</f>
        <v>15.7701000327804</v>
      </c>
      <c r="T122" s="13" t="n">
        <f aca="false">IF(AND(Time!T20&gt;=Time!$F$12,Time!U20&gt;0),(IF(Time!T34=1,T75,T73)-T72)*U19+IF(Time!U46&gt;0,Time!U45*T72/Time!U46,0)+IF(Time!T34=1,T75,T73)*U13,0)</f>
        <v>15.6139676502482</v>
      </c>
      <c r="U122" s="13" t="n">
        <f aca="false">IF(AND(Time!U20&gt;=Time!$F$12,Time!V20&gt;0),(IF(Time!U34=1,U75,U73)-U72)*V19+IF(Time!V46&gt;0,Time!V45*U72/Time!V46,0)+IF(Time!U34=1,U75,U73)*V13,0)</f>
        <v>15.8809555002622</v>
      </c>
      <c r="V122" s="13" t="n">
        <f aca="false">IF(AND(Time!V20&gt;=Time!$F$12,Time!W20&gt;0),(IF(Time!V34=1,V75,V73)-V72)*W19+IF(Time!W46&gt;0,Time!W45*V72/Time!W46,0)+IF(Time!V34=1,V75,V73)*W13,0)</f>
        <v>15.671862206514</v>
      </c>
      <c r="W122" s="13" t="n">
        <f aca="false">IF(AND(Time!W20&gt;=Time!$F$12,Time!X20&gt;0),(IF(Time!W34=1,W75,W73)-W72)*X19+IF(Time!X46&gt;0,Time!X45*W72/Time!X46,0)+IF(Time!W34=1,W75,W73)*X13,0)</f>
        <v>15.2614586723352</v>
      </c>
      <c r="X122" s="13" t="n">
        <f aca="false">IF(AND(Time!X20&gt;=Time!$F$12,Time!Y20&gt;0),(IF(Time!X34=1,X75,X73)-X72)*Y19+IF(Time!Y46&gt;0,Time!Y45*X72/Time!Y46,0)+IF(Time!X34=1,X75,X73)*Y13,0)</f>
        <v>15.3309403561482</v>
      </c>
      <c r="Y122" s="13" t="n">
        <f aca="false">IF(AND(Time!Y20&gt;=Time!$F$12,Time!Z20&gt;0),(IF(Time!Y34=1,Y75,Y73)-Y72)*Z19+IF(Time!Z46&gt;0,Time!Z45*Y72/Time!Z46,0)+IF(Time!Y34=1,Y75,Y73)*Z13,0)</f>
        <v>15.4399925530104</v>
      </c>
      <c r="Z122" s="13" t="n">
        <f aca="false">IF(AND(Time!Z20&gt;=Time!$F$12,Time!AA20&gt;0),(IF(Time!Z34=1,Z75,Z73)-Z72)*AA19+IF(Time!AA46&gt;0,Time!AA45*Z72/Time!AA46,0)+IF(Time!Z34=1,Z75,Z73)*AA13,0)</f>
        <v>15.2070257367325</v>
      </c>
      <c r="AA122" s="13" t="n">
        <f aca="false">IF(AND(Time!AA20&gt;=Time!$F$12,Time!AB20&gt;0),(IF(Time!AA34=1,AA75,AA73)-AA72)*AB19+IF(Time!AB46&gt;0,Time!AB45*AA72/Time!AB46,0)+IF(Time!AA34=1,AA75,AA73)*AB13,0)</f>
        <v>15.355567204414</v>
      </c>
      <c r="AB122" s="13" t="n">
        <f aca="false">IF(AND(Time!AB20&gt;=Time!$F$12,Time!AC20&gt;0),(IF(Time!AB34=1,AB75,AB73)-AB72)*AC19+IF(Time!AC46&gt;0,Time!AC45*AB72/Time!AC46,0)+IF(Time!AB34=1,AB75,AB73)*AC13,0)</f>
        <v>14.5851780141382</v>
      </c>
      <c r="AC122" s="13" t="n">
        <f aca="false">IF(AND(Time!AC20&gt;=Time!$F$12,Time!AD20&gt;0),(IF(Time!AC34=1,AC75,AC73)-AC72)*AD19+IF(Time!AD46&gt;0,Time!AD45*AC72/Time!AD46,0)+IF(Time!AC34=1,AC75,AC73)*AD13,0)</f>
        <v>14.2869260915574</v>
      </c>
      <c r="AD122" s="13" t="n">
        <f aca="false">IF(AND(Time!AD20&gt;=Time!$F$12,Time!AE20&gt;0),(IF(Time!AD34=1,AD75,AD73)-AD72)*AE19+IF(Time!AE46&gt;0,Time!AE45*AD72/Time!AE46,0)+IF(Time!AD34=1,AD75,AD73)*AE13,0)</f>
        <v>13.4147419284238</v>
      </c>
      <c r="AE122" s="13" t="n">
        <f aca="false">IF(AND(Time!AE20&gt;=Time!$F$12,Time!AF20&gt;0),(IF(Time!AE34=1,AE75,AE73)-AE72)*AF19+IF(Time!AF46&gt;0,Time!AF45*AE72/Time!AF46,0)+IF(Time!AE34=1,AE75,AE73)*AF13,0)</f>
        <v>12.4118530156197</v>
      </c>
      <c r="AF122" s="13" t="n">
        <f aca="false">IF(AND(Time!AF20&gt;=Time!$F$12,Time!AG20&gt;0),(IF(Time!AF34=1,AF75,AF73)-AF72)*AG19+IF(Time!AG46&gt;0,Time!AG45*AF72/Time!AG46,0)+IF(Time!AF34=1,AF75,AF73)*AG13,0)</f>
        <v>11.2093425005021</v>
      </c>
      <c r="AG122" s="13" t="n">
        <f aca="false">IF(AND(Time!AG20&gt;=Time!$F$12,Time!AH20&gt;0),(IF(Time!AG34=1,AG75,AG73)-AG72)*AH19+IF(Time!AH46&gt;0,Time!AH45*AG72/Time!AH46,0)+IF(Time!AG34=1,AG75,AG73)*AH13,0)</f>
        <v>9.86947249587852</v>
      </c>
      <c r="AH122" s="13" t="n">
        <f aca="false">IF(AND(Time!AH20&gt;=Time!$F$12,Time!AI20&gt;0),(IF(Time!AH34=1,AH75,AH73)-AH72)*AI19+IF(Time!AI46&gt;0,Time!AI45*AH72/Time!AI46,0)+IF(Time!AH34=1,AH75,AH73)*AI13,0)</f>
        <v>8.08003815346889</v>
      </c>
      <c r="AI122" s="13" t="n">
        <f aca="false">IF(AND(Time!AI20&gt;=Time!$F$12,Time!AJ20&gt;0),(IF(Time!AI34=1,AI75,AI73)-AI72)*AJ19+IF(Time!AJ46&gt;0,Time!AJ45*AI72/Time!AJ46,0)+IF(Time!AI34=1,AI75,AI73)*AJ13,0)</f>
        <v>6.021637047484</v>
      </c>
      <c r="AJ122" s="13" t="n">
        <f aca="false">IF(AND(Time!AJ20&gt;=Time!$F$12,Time!AK20&gt;0),(IF(Time!AJ34=1,AJ75,AJ73)-AJ72)*AK19+IF(Time!AK46&gt;0,Time!AK45*AJ72/Time!AK46,0)+IF(Time!AJ34=1,AJ75,AJ73)*AK13,0)</f>
        <v>3.36137327318922</v>
      </c>
      <c r="AK122" s="13" t="n">
        <f aca="false">IF(AND(Time!AK20&gt;=Time!$F$12,Time!AL20&gt;0),(IF(Time!AK34=1,AK75,AK73)-AK72)*AL19+IF(Time!AL46&gt;0,Time!AL45*AK72/Time!AL46,0)+IF(Time!AK34=1,AK75,AK73)*AL13,0)</f>
        <v>0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1.11681414024904E-012</v>
      </c>
      <c r="P123" s="13" t="n">
        <f aca="false">IF(AND(Time!P20&gt;=Time!$F$12,Time!Q20&gt;0),(IF(Time!P34=1,P89,P87)-P86)*Q19+IF(Time!Q46&gt;0,Time!Q45*P86/Time!Q46,0)+IF(Time!P34=1,P89,P87)*Q14,0)</f>
        <v>1.10879399600145E-012</v>
      </c>
      <c r="Q123" s="13" t="n">
        <f aca="false">IF(AND(Time!Q20&gt;=Time!$F$12,Time!R20&gt;0),(IF(Time!Q34=1,Q89,Q87)-Q86)*R19+IF(Time!R46&gt;0,Time!R45*Q86/Time!R46,0)+IF(Time!Q34=1,Q89,Q87)*R14,0)</f>
        <v>1.12403280802318E-012</v>
      </c>
      <c r="R123" s="13" t="n">
        <f aca="false">IF(AND(Time!R20&gt;=Time!$F$12,Time!S20&gt;0),(IF(Time!R34=1,R89,R87)-R86)*S19+IF(Time!S46&gt;0,Time!S45*R86/Time!S46,0)+IF(Time!R34=1,R89,R87)*S14,0)</f>
        <v>1.10967760737581E-012</v>
      </c>
      <c r="S123" s="13" t="n">
        <f aca="false">IF(AND(Time!S20&gt;=Time!$F$12,Time!T20&gt;0),(IF(Time!S34=1,S89,S87)-S86)*T19+IF(Time!T46&gt;0,Time!T45*S86/Time!T46,0)+IF(Time!S34=1,S89,S87)*T14,0)</f>
        <v>1.12308949166694E-012</v>
      </c>
      <c r="T123" s="13" t="n">
        <f aca="false">IF(AND(Time!T20&gt;=Time!$F$12,Time!U20&gt;0),(IF(Time!T34=1,T89,T87)-T86)*U19+IF(Time!U46&gt;0,Time!U45*T86/Time!U46,0)+IF(Time!T34=1,T89,T87)*U14,0)</f>
        <v>1.11258270151338E-012</v>
      </c>
      <c r="U123" s="13" t="n">
        <f aca="false">IF(AND(Time!U20&gt;=Time!$F$12,Time!V20&gt;0),(IF(Time!U34=1,U89,U87)-U86)*V19+IF(Time!V46&gt;0,Time!V45*U86/Time!V46,0)+IF(Time!U34=1,U89,U87)*V14,0)</f>
        <v>1.13233634775653E-012</v>
      </c>
      <c r="V123" s="13" t="n">
        <f aca="false">IF(AND(Time!V20&gt;=Time!$F$12,Time!W20&gt;0),(IF(Time!V34=1,V89,V87)-V86)*W19+IF(Time!W46&gt;0,Time!W45*V86/Time!W46,0)+IF(Time!V34=1,V89,V87)*W14,0)</f>
        <v>1.11813218876202E-012</v>
      </c>
      <c r="W123" s="13" t="n">
        <f aca="false">IF(AND(Time!W20&gt;=Time!$F$12,Time!X20&gt;0),(IF(Time!W34=1,W89,W87)-W86)*X19+IF(Time!X46&gt;0,Time!X45*W86/Time!X46,0)+IF(Time!W34=1,W89,W87)*X14,0)</f>
        <v>1.08882527088267E-012</v>
      </c>
      <c r="X123" s="13" t="n">
        <f aca="false">IF(AND(Time!X20&gt;=Time!$F$12,Time!Y20&gt;0),(IF(Time!X34=1,X89,X87)-X86)*Y19+IF(Time!Y46&gt;0,Time!Y45*X86/Time!Y46,0)+IF(Time!X34=1,X89,X87)*Y14,0)</f>
        <v>1.08034184940062E-012</v>
      </c>
      <c r="Y123" s="13" t="n">
        <f aca="false">IF(AND(Time!Y20&gt;=Time!$F$12,Time!Z20&gt;0),(IF(Time!Y34=1,Y89,Y87)-Y86)*Z19+IF(Time!Z46&gt;0,Time!Z45*Y86/Time!Z46,0)+IF(Time!Y34=1,Y89,Y87)*Z14,0)</f>
        <v>1.0890364257679E-012</v>
      </c>
      <c r="Z123" s="13" t="n">
        <f aca="false">IF(AND(Time!Z20&gt;=Time!$F$12,Time!AA20&gt;0),(IF(Time!Z34=1,Z89,Z87)-Z86)*AA19+IF(Time!AA46&gt;0,Time!AA45*Z86/Time!AA46,0)+IF(Time!Z34=1,Z89,Z87)*AA14,0)</f>
        <v>1.07396133158779E-012</v>
      </c>
      <c r="AA123" s="13" t="n">
        <f aca="false">IF(AND(Time!AA20&gt;=Time!$F$12,Time!AB20&gt;0),(IF(Time!AA34=1,AA89,AA87)-AA86)*AB19+IF(Time!AB46&gt;0,Time!AB45*AA86/Time!AB46,0)+IF(Time!AA34=1,AA89,AA87)*AB14,0)</f>
        <v>1.08565058484733E-012</v>
      </c>
      <c r="AB123" s="13" t="n">
        <f aca="false">IF(AND(Time!AB20&gt;=Time!$F$12,Time!AC20&gt;0),(IF(Time!AB34=1,AB89,AB87)-AB86)*AC19+IF(Time!AC46&gt;0,Time!AC45*AB86/Time!AC46,0)+IF(Time!AB34=1,AB89,AB87)*AC14,0)</f>
        <v>1.07567618631829E-012</v>
      </c>
      <c r="AC123" s="13" t="n">
        <f aca="false">IF(AND(Time!AC20&gt;=Time!$F$12,Time!AD20&gt;0),(IF(Time!AC34=1,AC89,AC87)-AC86)*AD19+IF(Time!AD46&gt;0,Time!AD45*AC86/Time!AD46,0)+IF(Time!AC34=1,AC89,AC87)*AD14,0)</f>
        <v>1.11279760142986E-012</v>
      </c>
      <c r="AD123" s="13" t="n">
        <f aca="false">IF(AND(Time!AD20&gt;=Time!$F$12,Time!AE20&gt;0),(IF(Time!AD34=1,AD89,AD87)-AD86)*AE19+IF(Time!AE46&gt;0,Time!AE45*AD86/Time!AE46,0)+IF(Time!AD34=1,AD89,AD87)*AE14,0)</f>
        <v>1.10758332901689E-012</v>
      </c>
      <c r="AE123" s="13" t="n">
        <f aca="false">IF(AND(Time!AE20&gt;=Time!$F$12,Time!AF20&gt;0),(IF(Time!AE34=1,AE89,AE87)-AE86)*AF19+IF(Time!AF46&gt;0,Time!AF45*AE86/Time!AF46,0)+IF(Time!AE34=1,AE89,AE87)*AF14,0)</f>
        <v>1.10913171013681E-012</v>
      </c>
      <c r="AF123" s="13" t="n">
        <f aca="false">IF(AND(Time!AF20&gt;=Time!$F$12,Time!AG20&gt;0),(IF(Time!AF34=1,AF89,AF87)-AF86)*AG19+IF(Time!AG46&gt;0,Time!AG45*AF86/Time!AG46,0)+IF(Time!AF34=1,AF89,AF87)*AG14,0)</f>
        <v>1.09958487226456E-012</v>
      </c>
      <c r="AG123" s="13" t="n">
        <f aca="false">IF(AND(Time!AG20&gt;=Time!$F$12,Time!AH20&gt;0),(IF(Time!AG34=1,AG89,AG87)-AG86)*AH19+IF(Time!AH46&gt;0,Time!AH45*AG86/Time!AH46,0)+IF(Time!AG34=1,AG89,AG87)*AH14,0)</f>
        <v>1.11042382784158E-012</v>
      </c>
      <c r="AH123" s="13" t="n">
        <f aca="false">IF(AND(Time!AH20&gt;=Time!$F$12,Time!AI20&gt;0),(IF(Time!AH34=1,AH89,AH87)-AH86)*AI19+IF(Time!AI46&gt;0,Time!AI45*AH86/Time!AI46,0)+IF(Time!AH34=1,AH89,AH87)*AI14,0)</f>
        <v>1.09487516094129E-012</v>
      </c>
      <c r="AI123" s="13" t="n">
        <f aca="false">IF(AND(Time!AI20&gt;=Time!$F$12,Time!AJ20&gt;0),(IF(Time!AI34=1,AI89,AI87)-AI86)*AJ19+IF(Time!AJ46&gt;0,Time!AJ45*AI86/Time!AJ46,0)+IF(Time!AI34=1,AI89,AI87)*AJ14,0)</f>
        <v>1.10343493873003E-012</v>
      </c>
      <c r="AJ123" s="13" t="n">
        <f aca="false">IF(AND(Time!AJ20&gt;=Time!$F$12,Time!AK20&gt;0),(IF(Time!AJ34=1,AJ89,AJ87)-AJ86)*AK19+IF(Time!AK46&gt;0,Time!AK45*AJ86/Time!AK46,0)+IF(Time!AJ34=1,AJ89,AJ87)*AK14,0)</f>
        <v>1.09187310030326E-012</v>
      </c>
      <c r="AK123" s="13" t="n">
        <f aca="false">IF(AND(Time!AK20&gt;=Time!$F$12,Time!AL20&gt;0),(IF(Time!AK34=1,AK89,AK87)-AK86)*AL19+IF(Time!AL46&gt;0,Time!AL45*AK86/Time!AL46,0)+IF(Time!AK34=1,AK89,AK87)*AL14,0)</f>
        <v>1.10940396233962E-012</v>
      </c>
      <c r="AL123" s="13" t="n">
        <f aca="false">IF(AND(Time!AL20&gt;=Time!$F$12,Time!AM20&gt;0),(IF(Time!AL34=1,AL89,AL87)-AL86)*AM19+IF(Time!AM46&gt;0,Time!AM45*AL86/Time!AM46,0)+IF(Time!AL34=1,AL89,AL87)*AM14,0)</f>
        <v>1.08613621889977E-012</v>
      </c>
      <c r="AM123" s="13" t="n">
        <f aca="false">IF(AND(Time!AM20&gt;=Time!$F$12,Time!AN20&gt;0),(IF(Time!AM34=1,AM89,AM87)-AM86)*AN19+IF(Time!AN46&gt;0,Time!AN45*AM86/Time!AN46,0)+IF(Time!AM34=1,AM89,AM87)*AN14,0)</f>
        <v>8.75040484269021E-013</v>
      </c>
      <c r="AN123" s="13" t="n">
        <f aca="false">IF(AND(Time!AN20&gt;=Time!$F$12,Time!AO20&gt;0),(IF(Time!AN34=1,AN89,AN87)-AN86)*AO19+IF(Time!AO46&gt;0,Time!AO45*AN86/Time!AO46,0)+IF(Time!AN34=1,AN89,AN87)*AO14,0)</f>
        <v>8.51605452043554E-013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37.2458954370965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37.1570164551458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37.624785087678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37.333312492557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37.7512177817478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37.5706927548527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38.2879202351583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38.0232274258698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36.9267950745894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36.5703920445452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36.8713631085141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36.5742873548545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37.0047486319762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36.2138262430034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36.8016691566883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36.0633126498297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35.1432494775869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33.6811266079826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32.6855934445087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30.8308162840419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29.1077643781777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26.4620119934445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23.7140398353964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23.5692918532781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19.1320172548642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18.9059077476081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0.0343560605451908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0.0340124598263424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0.0343808210390786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0.034024638221434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0.0343932012860226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0.0341474925762968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0.0343932012860226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0.034024638221434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0.0343932012860226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0.0350860579745204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0.0354722136317016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0.0350860579745204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0.0354722136317016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0.0352147765269141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0.0354722136317016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0.0350860579745204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0.0354722136317016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0.0361474777276068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0.0365512259773806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0.0361474777276068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0.0365512259773806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0.0362820604775314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0.0365512259773806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0.0361474777276068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0.0365512259773806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0.0361474777276068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855.136272865205</v>
      </c>
      <c r="Q128" s="13" t="n">
        <f aca="false">IF(Time!Q53=1,(Waterfall!Q7+R128)/(1+Q127),0)</f>
        <v>834.191217441285</v>
      </c>
      <c r="R128" s="13" t="n">
        <f aca="false">IF(Time!R53=1,(Waterfall!R7+S128)/(1+R127),0)</f>
        <v>812.361785357613</v>
      </c>
      <c r="S128" s="13" t="n">
        <f aca="false">IF(Time!S53=1,(Waterfall!S7+T128)/(1+S127),0)</f>
        <v>789.459680755436</v>
      </c>
      <c r="T128" s="13" t="n">
        <f aca="false">IF(Time!T53=1,(Waterfall!T7+U128)/(1+T127),0)</f>
        <v>765.884571334596</v>
      </c>
      <c r="U128" s="13" t="n">
        <f aca="false">IF(Time!U53=1,(Waterfall!U7+V128)/(1+U127),0)</f>
        <v>741.227153809757</v>
      </c>
      <c r="V128" s="13" t="n">
        <f aca="false">IF(Time!V53=1,(Waterfall!V7+W128)/(1+V127),0)</f>
        <v>715.785649129453</v>
      </c>
      <c r="W128" s="13" t="n">
        <f aca="false">IF(Time!W53=1,(Waterfall!W7+X128)/(1+W127),0)</f>
        <v>688.685686434661</v>
      </c>
      <c r="X128" s="13" t="n">
        <f aca="false">IF(Time!X53=1,(Waterfall!X7+Y128)/(1+X127),0)</f>
        <v>660.759279262764</v>
      </c>
      <c r="Y128" s="13" t="n">
        <f aca="false">IF(Time!Y53=1,(Waterfall!Y7+Z128)/(1+Y127),0)</f>
        <v>633.607956748582</v>
      </c>
      <c r="Z128" s="13" t="n">
        <f aca="false">IF(Time!Z53=1,(Waterfall!Z7+AA128)/(1+Z127),0)</f>
        <v>606.445203606132</v>
      </c>
      <c r="AA128" s="13" t="n">
        <f aca="false">IF(Time!AA53=1,(Waterfall!AA7+AB128)/(1+AA127),0)</f>
        <v>578.15961961626</v>
      </c>
      <c r="AB128" s="13" t="n">
        <f aca="false">IF(Time!AB53=1,(Waterfall!AB7+AC128)/(1+AB127),0)</f>
        <v>549.050867068821</v>
      </c>
      <c r="AC128" s="13" t="n">
        <f aca="false">IF(Time!AC53=1,(Waterfall!AC7+AD128)/(1+AC127),0)</f>
        <v>518.553914150058</v>
      </c>
      <c r="AD128" s="13" t="n">
        <f aca="false">IF(Time!AD53=1,(Waterfall!AD7+AE128)/(1+AD127),0)</f>
        <v>487.04926381108</v>
      </c>
      <c r="AE128" s="13" t="n">
        <f aca="false">IF(Time!AE53=1,(Waterfall!AE7+AF128)/(1+AE127),0)</f>
        <v>452.652273618782</v>
      </c>
      <c r="AF128" s="13" t="n">
        <f aca="false">IF(Time!AF53=1,(Waterfall!AF7+AG128)/(1+AF127),0)</f>
        <v>416.779486655326</v>
      </c>
      <c r="AG128" s="13" t="n">
        <f aca="false">IF(Time!AG53=1,(Waterfall!AG7+AH128)/(1+AG127),0)</f>
        <v>379.650389045148</v>
      </c>
      <c r="AH128" s="13" t="n">
        <f aca="false">IF(Time!AH53=1,(Waterfall!AH7+AI128)/(1+AH127),0)</f>
        <v>341.830598202269</v>
      </c>
      <c r="AI128" s="13" t="n">
        <f aca="false">IF(Time!AI53=1,(Waterfall!AI7+AJ128)/(1+AI127),0)</f>
        <v>302.114915025463</v>
      </c>
      <c r="AJ128" s="13" t="n">
        <f aca="false">IF(Time!AJ53=1,(Waterfall!AJ7+AK128)/(1+AJ127),0)</f>
        <v>261.23582331245</v>
      </c>
      <c r="AK128" s="13" t="n">
        <f aca="false">IF(Time!AK53=1,(Waterfall!AK7+AL128)/(1+AK127),0)</f>
        <v>218.385943537041</v>
      </c>
      <c r="AL128" s="13" t="n">
        <f aca="false">IF(Time!AL53=1,(Waterfall!AL7+AM128)/(1+AL127),0)</f>
        <v>174.151901883702</v>
      </c>
      <c r="AM128" s="13" t="n">
        <f aca="false">IF(Time!AM53=1,(Waterfall!AM7+AN128)/(1+AM127),0)</f>
        <v>127.251426867669</v>
      </c>
      <c r="AN128" s="13" t="n">
        <f aca="false">IF(Time!AN53=1,(Waterfall!AN7+AO128)/(1+AN127),0)</f>
        <v>79.5375414719066</v>
      </c>
      <c r="AO128" s="13" t="n">
        <f aca="false">IF(Time!AO53=1,(Waterfall!AO7+AP128)/(1+AO127),0)</f>
        <v>40.0599018434552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INDEX($J$128:$BN$128,1,Time!$F$13)/Funding!$F$25</f>
        <v>1.35038010834758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INDEX($J$128:$BN$128,1,Time!$F$13)/Inputs!$F$106</f>
        <v>633.434276196448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642.908338550588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37.2666693457491</v>
      </c>
      <c r="Q132" s="13" t="n">
        <f aca="false">IF(Time!Q53=1,(Waterfall!Q7)/$F$129,0)</f>
        <v>37.176441687824</v>
      </c>
      <c r="R132" s="13" t="n">
        <f aca="false">IF(Time!R53=1,(Waterfall!R7)/$F$129,0)</f>
        <v>37.6425640820083</v>
      </c>
      <c r="S132" s="13" t="n">
        <f aca="false">IF(Time!S53=1,(Waterfall!S7)/$F$129,0)</f>
        <v>37.3496241074445</v>
      </c>
      <c r="T132" s="13" t="n">
        <f aca="false">IF(Time!T53=1,(Waterfall!T7)/$F$129,0)</f>
        <v>37.7661366850362</v>
      </c>
      <c r="U132" s="13" t="n">
        <f aca="false">IF(Time!U53=1,(Waterfall!U7)/$F$129,0)</f>
        <v>37.5839018204117</v>
      </c>
      <c r="V132" s="13" t="n">
        <f aca="false">IF(Time!V53=1,(Waterfall!V7)/$F$129,0)</f>
        <v>38.2989369313458</v>
      </c>
      <c r="W132" s="13" t="n">
        <f aca="false">IF(Time!W53=1,(Waterfall!W7)/$F$129,0)</f>
        <v>38.0327643925105</v>
      </c>
      <c r="X132" s="13" t="n">
        <f aca="false">IF(Time!X53=1,(Waterfall!X7)/$F$129,0)</f>
        <v>36.9354888295162</v>
      </c>
      <c r="Y132" s="13" t="n">
        <f aca="false">IF(Time!Y53=1,(Waterfall!Y7)/$F$129,0)</f>
        <v>36.5775223884849</v>
      </c>
      <c r="Z132" s="13" t="n">
        <f aca="false">IF(Time!Z53=1,(Waterfall!Z7)/$F$129,0)</f>
        <v>36.8766819803392</v>
      </c>
      <c r="AA132" s="13" t="n">
        <f aca="false">IF(Time!AA53=1,(Waterfall!AA7)/$F$129,0)</f>
        <v>36.577919190667</v>
      </c>
      <c r="AB132" s="13" t="n">
        <f aca="false">IF(Time!AB53=1,(Waterfall!AB7)/$F$129,0)</f>
        <v>37.0066192927338</v>
      </c>
      <c r="AC132" s="13" t="n">
        <f aca="false">IF(Time!AC53=1,(Waterfall!AC7)/$F$129,0)</f>
        <v>36.8528907048435</v>
      </c>
      <c r="AD132" s="13" t="n">
        <f aca="false">IF(Time!AD53=1,(Waterfall!AD7)/$F$129,0)</f>
        <v>38.2660448031918</v>
      </c>
      <c r="AE132" s="13" t="n">
        <f aca="false">IF(Time!AE53=1,(Waterfall!AE7)/$F$129,0)</f>
        <v>38.3259280538975</v>
      </c>
      <c r="AF132" s="13" t="n">
        <f aca="false">IF(Time!AF53=1,(Waterfall!AF7)/$F$129,0)</f>
        <v>38.4433895887662</v>
      </c>
      <c r="AG132" s="13" t="n">
        <f aca="false">IF(Time!AG53=1,(Waterfall!AG7)/$F$129,0)</f>
        <v>38.1693972730666</v>
      </c>
      <c r="AH132" s="13" t="n">
        <f aca="false">IF(Time!AH53=1,(Waterfall!AH7)/$F$129,0)</f>
        <v>38.663195862362</v>
      </c>
      <c r="AI132" s="13" t="n">
        <f aca="false">IF(Time!AI53=1,(Waterfall!AI7)/$F$129,0)</f>
        <v>38.3594097357225</v>
      </c>
      <c r="AJ132" s="13" t="n">
        <f aca="false">IF(Time!AJ53=1,(Waterfall!AJ7)/$F$129,0)</f>
        <v>38.8026816025949</v>
      </c>
      <c r="AK132" s="13" t="n">
        <f aca="false">IF(Time!AK53=1,(Waterfall!AK7)/$F$129,0)</f>
        <v>38.6243349866996</v>
      </c>
      <c r="AL132" s="13" t="n">
        <f aca="false">IF(Time!AL53=1,(Waterfall!AL7)/$F$129,0)</f>
        <v>39.4451460051166</v>
      </c>
      <c r="AM132" s="13" t="n">
        <f aca="false">IF(Time!AM53=1,(Waterfall!AM7)/$F$129,0)</f>
        <v>38.7399837948456</v>
      </c>
      <c r="AN132" s="13" t="n">
        <f aca="false">IF(Time!AN53=1,(Waterfall!AN7)/$F$129,0)</f>
        <v>31.3873360681693</v>
      </c>
      <c r="AO132" s="13" t="n">
        <f aca="false">IF(Time!AO53=1,(Waterfall!AO7)/$F$129,0)</f>
        <v>30.7379870278922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633.255975542774</v>
      </c>
      <c r="Q133" s="13" t="n">
        <f aca="false">IF(Time!Q53=1,IF(Time!Q20=Time!$F$13,Funding!$F$25,P133-P134),0)</f>
        <v>617.745486833377</v>
      </c>
      <c r="R133" s="13" t="n">
        <f aca="false">IF(Time!R53=1,IF(Time!R20=Time!$F$13,Funding!$F$25,Q133-Q134),0)</f>
        <v>601.580088699377</v>
      </c>
      <c r="S133" s="13" t="n">
        <f aca="false">IF(Time!S53=1,IF(Time!S20=Time!$F$13,Funding!$F$25,R133-R134),0)</f>
        <v>584.620341987615</v>
      </c>
      <c r="T133" s="13" t="n">
        <f aca="false">IF(Time!T53=1,IF(Time!T20=Time!$F$13,Funding!$F$25,S133-S134),0)</f>
        <v>567.16221351319</v>
      </c>
      <c r="U133" s="13" t="n">
        <f aca="false">IF(Time!U53=1,IF(Time!U20=Time!$F$13,Funding!$F$25,T133-T134),0)</f>
        <v>548.902600999339</v>
      </c>
      <c r="V133" s="13" t="n">
        <f aca="false">IF(Time!V53=1,IF(Time!V20=Time!$F$13,Funding!$F$25,U133-U134),0)</f>
        <v>530.062346671663</v>
      </c>
      <c r="W133" s="13" t="n">
        <f aca="false">IF(Time!W53=1,IF(Time!W20=Time!$F$13,Funding!$F$25,V133-V134),0)</f>
        <v>509.993950723537</v>
      </c>
      <c r="X133" s="13" t="n">
        <f aca="false">IF(Time!X53=1,IF(Time!X20=Time!$F$13,Funding!$F$25,W133-W134),0)</f>
        <v>489.313545999514</v>
      </c>
      <c r="Y133" s="13" t="n">
        <f aca="false">IF(Time!Y53=1,IF(Time!Y20=Time!$F$13,Funding!$F$25,X133-X134),0)</f>
        <v>469.207116449537</v>
      </c>
      <c r="Z133" s="13" t="n">
        <f aca="false">IF(Time!Z53=1,IF(Time!Z20=Time!$F$13,Funding!$F$25,Y133-Y134),0)</f>
        <v>449.092222150858</v>
      </c>
      <c r="AA133" s="13" t="n">
        <f aca="false">IF(Time!AA53=1,IF(Time!AA20=Time!$F$13,Funding!$F$25,Z133-Z134),0)</f>
        <v>428.14583541499</v>
      </c>
      <c r="AB133" s="13" t="n">
        <f aca="false">IF(Time!AB53=1,IF(Time!AB20=Time!$F$13,Funding!$F$25,AA133-AA134),0)</f>
        <v>406.589865827242</v>
      </c>
      <c r="AC133" s="13" t="n">
        <f aca="false">IF(Time!AC53=1,IF(Time!AC20=Time!$F$13,Funding!$F$25,AB133-AB134),0)</f>
        <v>384.005889115617</v>
      </c>
      <c r="AD133" s="13" t="n">
        <f aca="false">IF(Time!AD53=1,IF(Time!AD20=Time!$F$13,Funding!$F$25,AC133-AC134),0)</f>
        <v>360.675679980999</v>
      </c>
      <c r="AE133" s="13" t="n">
        <f aca="false">IF(Time!AE53=1,IF(Time!AE20=Time!$F$13,Funding!$F$25,AD133-AD134),0)</f>
        <v>335.203599949853</v>
      </c>
      <c r="AF133" s="13" t="n">
        <f aca="false">IF(Time!AF53=1,IF(Time!AF20=Time!$F$13,Funding!$F$25,AE133-AE134),0)</f>
        <v>308.638644837064</v>
      </c>
      <c r="AG133" s="13" t="n">
        <f aca="false">IF(Time!AG53=1,IF(Time!AG20=Time!$F$13,Funding!$F$25,AF133-AF134),0)</f>
        <v>281.143351192957</v>
      </c>
      <c r="AH133" s="13" t="n">
        <f aca="false">IF(Time!AH53=1,IF(Time!AH20=Time!$F$13,Funding!$F$25,AG133-AG134),0)</f>
        <v>253.136576945402</v>
      </c>
      <c r="AI133" s="13" t="n">
        <f aca="false">IF(Time!AI53=1,IF(Time!AI20=Time!$F$13,Funding!$F$25,AH133-AH134),0)</f>
        <v>223.725833310112</v>
      </c>
      <c r="AJ133" s="13" t="n">
        <f aca="false">IF(Time!AJ53=1,IF(Time!AJ20=Time!$F$13,Funding!$F$25,AI133-AI134),0)</f>
        <v>193.453548151057</v>
      </c>
      <c r="AK133" s="13" t="n">
        <f aca="false">IF(Time!AK53=1,IF(Time!AK20=Time!$F$13,Funding!$F$25,AJ133-AJ134),0)</f>
        <v>161.721830903058</v>
      </c>
      <c r="AL133" s="13" t="n">
        <f aca="false">IF(Time!AL53=1,IF(Time!AL20=Time!$F$13,Funding!$F$25,AK133-AK134),0)</f>
        <v>128.96509716572</v>
      </c>
      <c r="AM133" s="13" t="n">
        <f aca="false">IF(Time!AM53=1,IF(Time!AM20=Time!$F$13,Funding!$F$25,AL133-AL134),0)</f>
        <v>94.2337835703025</v>
      </c>
      <c r="AN133" s="13" t="n">
        <f aca="false">IF(Time!AN53=1,IF(Time!AN20=Time!$F$13,Funding!$F$25,AM133-AM134),0)</f>
        <v>58.9001133682525</v>
      </c>
      <c r="AO133" s="13" t="n">
        <f aca="false">IF(Time!AO53=1,IF(Time!AO20=Time!$F$13,Funding!$F$25,AN133-AN134),0)</f>
        <v>29.6656486538996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15.5104887093977</v>
      </c>
      <c r="Q134" s="13" t="n">
        <f aca="false">Q132-Q133*Q127</f>
        <v>16.1653981339995</v>
      </c>
      <c r="R134" s="13" t="n">
        <f aca="false">R132-R133*R127</f>
        <v>16.9597467117619</v>
      </c>
      <c r="S134" s="13" t="n">
        <f aca="false">S132-S133*S127</f>
        <v>17.4581284744249</v>
      </c>
      <c r="T134" s="13" t="n">
        <f aca="false">T132-T133*T127</f>
        <v>18.2596125138509</v>
      </c>
      <c r="U134" s="13" t="n">
        <f aca="false">U132-U133*U127</f>
        <v>18.8402543276768</v>
      </c>
      <c r="V134" s="13" t="n">
        <f aca="false">V132-V133*V127</f>
        <v>20.0683959481258</v>
      </c>
      <c r="W134" s="13" t="n">
        <f aca="false">W132-W133*W127</f>
        <v>20.6804047240224</v>
      </c>
      <c r="X134" s="13" t="n">
        <f aca="false">X132-X133*X127</f>
        <v>20.1064295499775</v>
      </c>
      <c r="Y134" s="13" t="n">
        <f aca="false">Y132-Y133*Y127</f>
        <v>20.1148942986789</v>
      </c>
      <c r="Z134" s="13" t="n">
        <f aca="false">Z132-Z133*Z127</f>
        <v>20.9463867358684</v>
      </c>
      <c r="AA134" s="13" t="n">
        <f aca="false">AA132-AA133*AA127</f>
        <v>21.5559695877472</v>
      </c>
      <c r="AB134" s="13" t="n">
        <f aca="false">AB132-AB133*AB127</f>
        <v>22.583976711625</v>
      </c>
      <c r="AC134" s="13" t="n">
        <f aca="false">AC132-AC133*AC127</f>
        <v>23.3302091346181</v>
      </c>
      <c r="AD134" s="13" t="n">
        <f aca="false">AD132-AD133*AD127</f>
        <v>25.4720800311466</v>
      </c>
      <c r="AE134" s="13" t="n">
        <f aca="false">AE132-AE133*AE127</f>
        <v>26.564955112789</v>
      </c>
      <c r="AF134" s="13" t="n">
        <f aca="false">AF132-AF133*AF127</f>
        <v>27.495293644107</v>
      </c>
      <c r="AG134" s="13" t="n">
        <f aca="false">AG132-AG133*AG127</f>
        <v>28.0067742475545</v>
      </c>
      <c r="AH134" s="13" t="n">
        <f aca="false">AH132-AH133*AH127</f>
        <v>29.41074363529</v>
      </c>
      <c r="AI134" s="13" t="n">
        <f aca="false">AI132-AI133*AI127</f>
        <v>30.2722851590549</v>
      </c>
      <c r="AJ134" s="13" t="n">
        <f aca="false">AJ132-AJ133*AJ127</f>
        <v>31.7317172479996</v>
      </c>
      <c r="AK134" s="13" t="n">
        <f aca="false">AK132-AK133*AK127</f>
        <v>32.7567337373377</v>
      </c>
      <c r="AL134" s="13" t="n">
        <f aca="false">AL132-AL133*AL127</f>
        <v>34.7313135954175</v>
      </c>
      <c r="AM134" s="13" t="n">
        <f aca="false">AM132-AM133*AM127</f>
        <v>35.33367020205</v>
      </c>
      <c r="AN134" s="13" t="n">
        <f aca="false">AN132-AN133*AN127</f>
        <v>29.2344647143529</v>
      </c>
      <c r="AO134" s="13" t="n">
        <f aca="false">AO132-AO133*AO127</f>
        <v>29.6656486539003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SUMPRODUCT($J$113:$BN$113,$J$137:$BN$137)/SUM($J$113:$BN$113)</f>
        <v>7.17700927073171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MAX($J$113:$BN$113)/SUM($J$113:$BN$113)</f>
        <v>0.0456333427030526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INDEX($J$137:$BN$137,1,SUMPRODUCT(MAX(($J$113:$BN$113&gt;Inputs!$F$253)*Time!$J$20:$BN$20)))</f>
        <v>13.1635865845311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(YEAR(INDEX(Time!$J$23:$BN$23,1,_xlfn.MINIFS(Time!$J$20:$BN$20,$J$113:$BN$113,"&gt;"&amp;Inputs!$F$253))+1)-YEAR(Time!$F$8))*12+MONTH(INDEX(Time!$J$23:$BN$23,1,_xlfn.MINIFS(Time!$J$20:$BN$20,$J$113:$BN$113,"&gt;"&amp;Inputs!$F$253))+1)-MONTH(Time!$F$8)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SUMIFS($J$113:$BN$113,Time!$J$23:$BN$23,"&lt;="&amp;(EDATE(Time!$F$8,Inputs!$F$1318)-1))/SUM($J$113:$BN$113)</f>
        <v>0.090195074595376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1843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1844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1845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1846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37.2458954370954</v>
      </c>
      <c r="P9" s="13" t="n">
        <f aca="false">IF(Time!P34=1,SUM(Funding!$J$44:$BJ$44),O13)</f>
        <v>37.2458954370965</v>
      </c>
      <c r="Q9" s="13" t="n">
        <f aca="false">IF(Time!Q34=1,SUM(Funding!$J$44:$BJ$44),P13)</f>
        <v>37.1570164551458</v>
      </c>
      <c r="R9" s="13" t="n">
        <f aca="false">IF(Time!R34=1,SUM(Funding!$J$44:$BJ$44),Q13)</f>
        <v>37.624785087678</v>
      </c>
      <c r="S9" s="13" t="n">
        <f aca="false">IF(Time!S34=1,SUM(Funding!$J$44:$BJ$44),R13)</f>
        <v>37.333312492557</v>
      </c>
      <c r="T9" s="13" t="n">
        <f aca="false">IF(Time!T34=1,SUM(Funding!$J$44:$BJ$44),S13)</f>
        <v>37.7512177817478</v>
      </c>
      <c r="U9" s="13" t="n">
        <f aca="false">IF(Time!U34=1,SUM(Funding!$J$44:$BJ$44),T13)</f>
        <v>37.5706927548527</v>
      </c>
      <c r="V9" s="13" t="n">
        <f aca="false">IF(Time!V34=1,SUM(Funding!$J$44:$BJ$44),U13)</f>
        <v>38.2879202351583</v>
      </c>
      <c r="W9" s="13" t="n">
        <f aca="false">IF(Time!W34=1,SUM(Funding!$J$44:$BJ$44),V13)</f>
        <v>38.0232274258698</v>
      </c>
      <c r="X9" s="13" t="n">
        <f aca="false">IF(Time!X34=1,SUM(Funding!$J$44:$BJ$44),W13)</f>
        <v>36.9267950745894</v>
      </c>
      <c r="Y9" s="13" t="n">
        <f aca="false">IF(Time!Y34=1,SUM(Funding!$J$44:$BJ$44),X13)</f>
        <v>36.5703920445452</v>
      </c>
      <c r="Z9" s="13" t="n">
        <f aca="false">IF(Time!Z34=1,SUM(Funding!$J$44:$BJ$44),Y13)</f>
        <v>36.8713631085141</v>
      </c>
      <c r="AA9" s="13" t="n">
        <f aca="false">IF(Time!AA34=1,SUM(Funding!$J$44:$BJ$44),Z13)</f>
        <v>36.5742873548545</v>
      </c>
      <c r="AB9" s="13" t="n">
        <f aca="false">IF(Time!AB34=1,SUM(Funding!$J$44:$BJ$44),AA13)</f>
        <v>37.0047486319762</v>
      </c>
      <c r="AC9" s="13" t="n">
        <f aca="false">IF(Time!AC34=1,SUM(Funding!$J$44:$BJ$44),AB13)</f>
        <v>36.2138262430034</v>
      </c>
      <c r="AD9" s="13" t="n">
        <f aca="false">IF(Time!AD34=1,SUM(Funding!$J$44:$BJ$44),AC13)</f>
        <v>36.8016691566883</v>
      </c>
      <c r="AE9" s="13" t="n">
        <f aca="false">IF(Time!AE34=1,SUM(Funding!$J$44:$BJ$44),AD13)</f>
        <v>36.0633126498297</v>
      </c>
      <c r="AF9" s="13" t="n">
        <f aca="false">IF(Time!AF34=1,SUM(Funding!$J$44:$BJ$44),AE13)</f>
        <v>35.1432494775869</v>
      </c>
      <c r="AG9" s="13" t="n">
        <f aca="false">IF(Time!AG34=1,SUM(Funding!$J$44:$BJ$44),AF13)</f>
        <v>33.6811266079826</v>
      </c>
      <c r="AH9" s="13" t="n">
        <f aca="false">IF(Time!AH34=1,SUM(Funding!$J$44:$BJ$44),AG13)</f>
        <v>32.6855934445087</v>
      </c>
      <c r="AI9" s="13" t="n">
        <f aca="false">IF(Time!AI34=1,SUM(Funding!$J$44:$BJ$44),AH13)</f>
        <v>30.8308162840419</v>
      </c>
      <c r="AJ9" s="13" t="n">
        <f aca="false">IF(Time!AJ34=1,SUM(Funding!$J$44:$BJ$44),AI13)</f>
        <v>29.1077643781777</v>
      </c>
      <c r="AK9" s="13" t="n">
        <f aca="false">IF(Time!AK34=1,SUM(Funding!$J$44:$BJ$44),AJ13)</f>
        <v>26.4620119934445</v>
      </c>
      <c r="AL9" s="13" t="n">
        <f aca="false">IF(Time!AL34=1,SUM(Funding!$J$44:$BJ$44),AK13)</f>
        <v>23.7140398353964</v>
      </c>
      <c r="AM9" s="13" t="n">
        <f aca="false">IF(Time!AM34=1,SUM(Funding!$J$44:$BJ$44),AL13)</f>
        <v>23.5692918532781</v>
      </c>
      <c r="AN9" s="13" t="n">
        <f aca="false">IF(Time!AN34=1,SUM(Funding!$J$44:$BJ$44),AM13)</f>
        <v>19.1320172548642</v>
      </c>
      <c r="AO9" s="13" t="n">
        <f aca="false">IF(Time!AO34=1,SUM(Funding!$J$44:$BJ$44),AN13)</f>
        <v>18.9059077476081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1847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1848</v>
      </c>
      <c r="E11" s="0" t="s">
        <v>151</v>
      </c>
      <c r="G11" s="13" t="n">
        <f aca="false">SUM(J11:BN11)</f>
        <v>2.92217665680538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1.11555209514336E-012</v>
      </c>
      <c r="P11" s="13" t="n">
        <f aca="false">MIN(Waterfall!P13,MAX(0,Debt!P125-(P9-P10)))</f>
        <v>0</v>
      </c>
      <c r="Q11" s="13" t="n">
        <f aca="false">MIN(Waterfall!Q13,MAX(0,Debt!Q125-(Q9-Q10)))</f>
        <v>0.467768632532213</v>
      </c>
      <c r="R11" s="13" t="n">
        <f aca="false">MIN(Waterfall!R13,MAX(0,Debt!R125-(R9-R10)))</f>
        <v>0</v>
      </c>
      <c r="S11" s="13" t="n">
        <f aca="false">MIN(Waterfall!S13,MAX(0,Debt!S125-(S9-S10)))</f>
        <v>0.417905289190834</v>
      </c>
      <c r="T11" s="13" t="n">
        <f aca="false">MIN(Waterfall!T13,MAX(0,Debt!T125-(T9-T10)))</f>
        <v>0</v>
      </c>
      <c r="U11" s="13" t="n">
        <f aca="false">MIN(Waterfall!U13,MAX(0,Debt!U125-(U9-U10)))</f>
        <v>0.717227480305631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0.300971063968952</v>
      </c>
      <c r="Z11" s="13" t="n">
        <f aca="false">MIN(Waterfall!Z13,MAX(0,Debt!Z125-(Z9-Z10)))</f>
        <v>0</v>
      </c>
      <c r="AA11" s="13" t="n">
        <f aca="false">MIN(Waterfall!AA13,MAX(0,Debt!AA125-(AA9-AA10)))</f>
        <v>0.430461277121729</v>
      </c>
      <c r="AB11" s="13" t="n">
        <f aca="false">MIN(Waterfall!AB13,MAX(0,Debt!AB125-(AB9-AB10)))</f>
        <v>0</v>
      </c>
      <c r="AC11" s="13" t="n">
        <f aca="false">MIN(Waterfall!AC13,MAX(0,Debt!AC125-(AC9-AC10)))</f>
        <v>0.587842913684909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1849</v>
      </c>
      <c r="E12" s="0" t="s">
        <v>151</v>
      </c>
      <c r="G12" s="13" t="n">
        <f aca="false">SUM(J12:BN12)</f>
        <v>40.1680720939008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0.088878981950721</v>
      </c>
      <c r="Q12" s="13" t="n">
        <f aca="false">MAX(0,Q9-Q10-Debt!Q125)</f>
        <v>0</v>
      </c>
      <c r="R12" s="13" t="n">
        <f aca="false">MAX(0,R9-R10-Debt!R125)</f>
        <v>0.291472595121029</v>
      </c>
      <c r="S12" s="13" t="n">
        <f aca="false">MAX(0,S9-S10-Debt!S125)</f>
        <v>0</v>
      </c>
      <c r="T12" s="13" t="n">
        <f aca="false">MAX(0,T9-T10-Debt!T125)</f>
        <v>0.180525026895069</v>
      </c>
      <c r="U12" s="13" t="n">
        <f aca="false">MAX(0,U9-U10-Debt!U125)</f>
        <v>0</v>
      </c>
      <c r="V12" s="13" t="n">
        <f aca="false">MAX(0,V9-V10-Debt!V125)</f>
        <v>0.264692809288562</v>
      </c>
      <c r="W12" s="13" t="n">
        <f aca="false">MAX(0,W9-W10-Debt!W125)</f>
        <v>1.0964323512804</v>
      </c>
      <c r="X12" s="13" t="n">
        <f aca="false">MAX(0,X9-X10-Debt!X125)</f>
        <v>0.356403030044227</v>
      </c>
      <c r="Y12" s="13" t="n">
        <f aca="false">MAX(0,Y9-Y10-Debt!Y125)</f>
        <v>0</v>
      </c>
      <c r="Z12" s="13" t="n">
        <f aca="false">MAX(0,Z9-Z10-Debt!Z125)</f>
        <v>0.297075753659662</v>
      </c>
      <c r="AA12" s="13" t="n">
        <f aca="false">MAX(0,AA9-AA10-Debt!AA125)</f>
        <v>0</v>
      </c>
      <c r="AB12" s="13" t="n">
        <f aca="false">MAX(0,AB9-AB10-Debt!AB125)</f>
        <v>0.790922388972824</v>
      </c>
      <c r="AC12" s="13" t="n">
        <f aca="false">MAX(0,AC9-AC10-Debt!AC125)</f>
        <v>0</v>
      </c>
      <c r="AD12" s="13" t="n">
        <f aca="false">MAX(0,AD9-AD10-Debt!AD125)</f>
        <v>0.73835650685858</v>
      </c>
      <c r="AE12" s="13" t="n">
        <f aca="false">MAX(0,AE9-AE10-Debt!AE125)</f>
        <v>0.920063172242827</v>
      </c>
      <c r="AF12" s="13" t="n">
        <f aca="false">MAX(0,AF9-AF10-Debt!AF125)</f>
        <v>1.46212286960431</v>
      </c>
      <c r="AG12" s="13" t="n">
        <f aca="false">MAX(0,AG9-AG10-Debt!AG125)</f>
        <v>0.99553316347383</v>
      </c>
      <c r="AH12" s="13" t="n">
        <f aca="false">MAX(0,AH9-AH10-Debt!AH125)</f>
        <v>1.85477716046679</v>
      </c>
      <c r="AI12" s="13" t="n">
        <f aca="false">MAX(0,AI9-AI10-Debt!AI125)</f>
        <v>1.72305190586427</v>
      </c>
      <c r="AJ12" s="13" t="n">
        <f aca="false">MAX(0,AJ9-AJ10-Debt!AJ125)</f>
        <v>2.64575238473312</v>
      </c>
      <c r="AK12" s="13" t="n">
        <f aca="false">MAX(0,AK9-AK10-Debt!AK125)</f>
        <v>2.74797215804816</v>
      </c>
      <c r="AL12" s="13" t="n">
        <f aca="false">MAX(0,AL9-AL10-Debt!AL125)</f>
        <v>0.144747982118304</v>
      </c>
      <c r="AM12" s="13" t="n">
        <f aca="false">MAX(0,AM9-AM10-Debt!AM125)</f>
        <v>4.43727459841388</v>
      </c>
      <c r="AN12" s="13" t="n">
        <f aca="false">MAX(0,AN9-AN10-Debt!AN125)</f>
        <v>0.226109507256052</v>
      </c>
      <c r="AO12" s="13" t="n">
        <f aca="false">MAX(0,AO9-AO10-Debt!AO125)</f>
        <v>18.9059077476081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1850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37.2458954370965</v>
      </c>
      <c r="P13" s="13" t="n">
        <f aca="false">(1-Time!P37)*(P9-P10+P11-P12)</f>
        <v>37.1570164551458</v>
      </c>
      <c r="Q13" s="13" t="n">
        <f aca="false">(1-Time!Q37)*(Q9-Q10+Q11-Q12)</f>
        <v>37.624785087678</v>
      </c>
      <c r="R13" s="13" t="n">
        <f aca="false">(1-Time!R37)*(R9-R10+R11-R12)</f>
        <v>37.333312492557</v>
      </c>
      <c r="S13" s="13" t="n">
        <f aca="false">(1-Time!S37)*(S9-S10+S11-S12)</f>
        <v>37.7512177817478</v>
      </c>
      <c r="T13" s="13" t="n">
        <f aca="false">(1-Time!T37)*(T9-T10+T11-T12)</f>
        <v>37.5706927548527</v>
      </c>
      <c r="U13" s="13" t="n">
        <f aca="false">(1-Time!U37)*(U9-U10+U11-U12)</f>
        <v>38.2879202351583</v>
      </c>
      <c r="V13" s="13" t="n">
        <f aca="false">(1-Time!V37)*(V9-V10+V11-V12)</f>
        <v>38.0232274258698</v>
      </c>
      <c r="W13" s="13" t="n">
        <f aca="false">(1-Time!W37)*(W9-W10+W11-W12)</f>
        <v>36.9267950745894</v>
      </c>
      <c r="X13" s="13" t="n">
        <f aca="false">(1-Time!X37)*(X9-X10+X11-X12)</f>
        <v>36.5703920445452</v>
      </c>
      <c r="Y13" s="13" t="n">
        <f aca="false">(1-Time!Y37)*(Y9-Y10+Y11-Y12)</f>
        <v>36.8713631085141</v>
      </c>
      <c r="Z13" s="13" t="n">
        <f aca="false">(1-Time!Z37)*(Z9-Z10+Z11-Z12)</f>
        <v>36.5742873548545</v>
      </c>
      <c r="AA13" s="13" t="n">
        <f aca="false">(1-Time!AA37)*(AA9-AA10+AA11-AA12)</f>
        <v>37.0047486319762</v>
      </c>
      <c r="AB13" s="13" t="n">
        <f aca="false">(1-Time!AB37)*(AB9-AB10+AB11-AB12)</f>
        <v>36.2138262430034</v>
      </c>
      <c r="AC13" s="13" t="n">
        <f aca="false">(1-Time!AC37)*(AC9-AC10+AC11-AC12)</f>
        <v>36.8016691566883</v>
      </c>
      <c r="AD13" s="13" t="n">
        <f aca="false">(1-Time!AD37)*(AD9-AD10+AD11-AD12)</f>
        <v>36.0633126498297</v>
      </c>
      <c r="AE13" s="13" t="n">
        <f aca="false">(1-Time!AE37)*(AE9-AE10+AE11-AE12)</f>
        <v>35.1432494775869</v>
      </c>
      <c r="AF13" s="13" t="n">
        <f aca="false">(1-Time!AF37)*(AF9-AF10+AF11-AF12)</f>
        <v>33.6811266079826</v>
      </c>
      <c r="AG13" s="13" t="n">
        <f aca="false">(1-Time!AG37)*(AG9-AG10+AG11-AG12)</f>
        <v>32.6855934445087</v>
      </c>
      <c r="AH13" s="13" t="n">
        <f aca="false">(1-Time!AH37)*(AH9-AH10+AH11-AH12)</f>
        <v>30.8308162840419</v>
      </c>
      <c r="AI13" s="13" t="n">
        <f aca="false">(1-Time!AI37)*(AI9-AI10+AI11-AI12)</f>
        <v>29.1077643781777</v>
      </c>
      <c r="AJ13" s="13" t="n">
        <f aca="false">(1-Time!AJ37)*(AJ9-AJ10+AJ11-AJ12)</f>
        <v>26.4620119934445</v>
      </c>
      <c r="AK13" s="13" t="n">
        <f aca="false">(1-Time!AK37)*(AK9-AK10+AK11-AK12)</f>
        <v>23.7140398353964</v>
      </c>
      <c r="AL13" s="13" t="n">
        <f aca="false">(1-Time!AL37)*(AL9-AL10+AL11-AL12)</f>
        <v>23.5692918532781</v>
      </c>
      <c r="AM13" s="13" t="n">
        <f aca="false">(1-Time!AM37)*(AM9-AM10+AM11-AM12)</f>
        <v>19.1320172548642</v>
      </c>
      <c r="AN13" s="13" t="n">
        <f aca="false">(1-Time!AN37)*(AN9-AN10+AN11-AN12)</f>
        <v>18.9059077476081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1851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1852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1853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1854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1856</v>
      </c>
      <c r="E7" s="0" t="s">
        <v>151</v>
      </c>
      <c r="G7" s="13" t="n">
        <f aca="false">SUM(J7:BN7)</f>
        <v>2304.70160401062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1.87603501833686</v>
      </c>
      <c r="P7" s="13" t="n">
        <f aca="false">Operations!P84-Tax!P27-Operations!P96-Reserves!P7+Operations!P79+Operations!P97</f>
        <v>50.3241689888662</v>
      </c>
      <c r="Q7" s="13" t="n">
        <f aca="false">Operations!Q84-Tax!Q27-Operations!Q96-Reserves!Q7+Operations!Q79+Operations!Q97</f>
        <v>50.2023273543813</v>
      </c>
      <c r="R7" s="13" t="n">
        <f aca="false">Operations!R84-Tax!R27-Operations!R96-Reserves!R7+Operations!R79+Operations!R97</f>
        <v>50.8317697635431</v>
      </c>
      <c r="S7" s="13" t="n">
        <f aca="false">Operations!S84-Tax!S27-Operations!S96-Reserves!S7+Operations!S79+Operations!S97</f>
        <v>50.4361894489523</v>
      </c>
      <c r="T7" s="13" t="n">
        <f aca="false">Operations!T84-Tax!T27-Operations!T96-Reserves!T7+Operations!T79+Operations!T97</f>
        <v>50.9986397486087</v>
      </c>
      <c r="U7" s="13" t="n">
        <f aca="false">Operations!U84-Tax!U27-Operations!U96-Reserves!U7+Operations!U79+Operations!U97</f>
        <v>50.7525534123724</v>
      </c>
      <c r="V7" s="13" t="n">
        <f aca="false">Operations!V84-Tax!V27-Operations!V96-Reserves!V7+Operations!V79+Operations!V97</f>
        <v>51.7181226029479</v>
      </c>
      <c r="W7" s="13" t="n">
        <f aca="false">Operations!W84-Tax!W27-Operations!W96-Reserves!W7+Operations!W79+Operations!W97</f>
        <v>51.3586885011164</v>
      </c>
      <c r="X7" s="13" t="n">
        <f aca="false">Operations!X84-Tax!X27-Operations!X96-Reserves!X7+Operations!X79+Operations!X97</f>
        <v>49.876949407473</v>
      </c>
      <c r="Y7" s="13" t="n">
        <f aca="false">Operations!Y84-Tax!Y27-Operations!Y96-Reserves!Y7+Operations!Y79+Operations!Y97</f>
        <v>49.3935586460484</v>
      </c>
      <c r="Z7" s="13" t="n">
        <f aca="false">Operations!Z84-Tax!Z27-Operations!Z96-Reserves!Z7+Operations!Z79+Operations!Z97</f>
        <v>49.7975378081098</v>
      </c>
      <c r="AA7" s="13" t="n">
        <f aca="false">Operations!AA84-Tax!AA27-Operations!AA96-Reserves!AA7+Operations!AA79+Operations!AA97</f>
        <v>49.394094479822</v>
      </c>
      <c r="AB7" s="13" t="n">
        <f aca="false">Operations!AB84-Tax!AB27-Operations!AB96-Reserves!AB7+Operations!AB79+Operations!AB97</f>
        <v>49.9730025700996</v>
      </c>
      <c r="AC7" s="13" t="n">
        <f aca="false">Operations!AC84-Tax!AC27-Operations!AC96-Reserves!AC7+Operations!AC79+Operations!AC97</f>
        <v>49.7654105429282</v>
      </c>
      <c r="AD7" s="13" t="n">
        <f aca="false">Operations!AD84-Tax!AD27-Operations!AD96-Reserves!AD7+Operations!AD79+Operations!AD97</f>
        <v>51.6737057273676</v>
      </c>
      <c r="AE7" s="13" t="n">
        <f aca="false">Operations!AE84-Tax!AE27-Operations!AE96-Reserves!AE7+Operations!AE79+Operations!AE97</f>
        <v>51.7545708779437</v>
      </c>
      <c r="AF7" s="13" t="n">
        <f aca="false">Operations!AF84-Tax!AF27-Operations!AF96-Reserves!AF7+Operations!AF79+Operations!AF97</f>
        <v>51.9131885981263</v>
      </c>
      <c r="AG7" s="13" t="n">
        <f aca="false">Operations!AG84-Tax!AG27-Operations!AG96-Reserves!AG7+Operations!AG79+Operations!AG97</f>
        <v>51.5431948251656</v>
      </c>
      <c r="AH7" s="13" t="n">
        <f aca="false">Operations!AH84-Tax!AH27-Operations!AH96-Reserves!AH7+Operations!AH79+Operations!AH97</f>
        <v>52.2100106176802</v>
      </c>
      <c r="AI7" s="13" t="n">
        <f aca="false">Operations!AI84-Tax!AI27-Operations!AI96-Reserves!AI7+Operations!AI79+Operations!AI97</f>
        <v>51.7997838750742</v>
      </c>
      <c r="AJ7" s="13" t="n">
        <f aca="false">Operations!AJ84-Tax!AJ27-Operations!AJ96-Reserves!AJ7+Operations!AJ79+Operations!AJ97</f>
        <v>52.3983693866889</v>
      </c>
      <c r="AK7" s="13" t="n">
        <f aca="false">Operations!AK84-Tax!AK27-Operations!AK96-Reserves!AK7+Operations!AK79+Operations!AK97</f>
        <v>52.1575336641926</v>
      </c>
      <c r="AL7" s="13" t="n">
        <f aca="false">Operations!AL84-Tax!AL27-Operations!AL96-Reserves!AL7+Operations!AL79+Operations!AL97</f>
        <v>53.2659405361755</v>
      </c>
      <c r="AM7" s="13" t="n">
        <f aca="false">Operations!AM84-Tax!AM27-Operations!AM96-Reserves!AM7+Operations!AM79+Operations!AM97</f>
        <v>52.3137035142672</v>
      </c>
      <c r="AN7" s="13" t="n">
        <f aca="false">Operations!AN84-Tax!AN27-Operations!AN96-Reserves!AN7+Operations!AN79+Operations!AN97</f>
        <v>42.3848342804764</v>
      </c>
      <c r="AO7" s="13" t="n">
        <f aca="false">Operations!AO84-Tax!AO27-Operations!AO96-Reserves!AO7+Operations!AO79+Operations!AO97</f>
        <v>41.5079662531116</v>
      </c>
      <c r="AP7" s="13" t="n">
        <f aca="false">Operations!AP84-Tax!AP27-Operations!AP96-Reserves!AP7+Operations!AP79+Operations!AP97</f>
        <v>41.6065463833064</v>
      </c>
      <c r="AQ7" s="13" t="n">
        <f aca="false">Operations!AQ84-Tax!AQ27-Operations!AQ96-Reserves!AQ7+Operations!AQ79+Operations!AQ97</f>
        <v>41.1574518197032</v>
      </c>
      <c r="AR7" s="13" t="n">
        <f aca="false">Operations!AR84-Tax!AR27-Operations!AR96-Reserves!AR7+Operations!AR79+Operations!AR97</f>
        <v>41.7513447779987</v>
      </c>
      <c r="AS7" s="13" t="n">
        <f aca="false">Operations!AS84-Tax!AS27-Operations!AS96-Reserves!AS7+Operations!AS79+Operations!AS97</f>
        <v>41.4840678337932</v>
      </c>
      <c r="AT7" s="13" t="n">
        <f aca="false">Operations!AT84-Tax!AT27-Operations!AT96-Reserves!AT7+Operations!AT79+Operations!AT97</f>
        <v>48.2154950821326</v>
      </c>
      <c r="AU7" s="13" t="n">
        <f aca="false">Operations!AU84-Tax!AU27-Operations!AU96-Reserves!AU7+Operations!AU79+Operations!AU97</f>
        <v>43.7762166513415</v>
      </c>
      <c r="AV7" s="13" t="n">
        <f aca="false">Operations!AV84-Tax!AV27-Operations!AV96-Reserves!AV7+Operations!AV79+Operations!AV97</f>
        <v>43.8963319855744</v>
      </c>
      <c r="AW7" s="13" t="n">
        <f aca="false">Operations!AW84-Tax!AW27-Operations!AW96-Reserves!AW7+Operations!AW79+Operations!AW97</f>
        <v>43.469466754219</v>
      </c>
      <c r="AX7" s="13" t="n">
        <f aca="false">Operations!AX84-Tax!AX27-Operations!AX96-Reserves!AX7+Operations!AX79+Operations!AX97</f>
        <v>44.1417443542776</v>
      </c>
      <c r="AY7" s="13" t="n">
        <f aca="false">Operations!AY84-Tax!AY27-Operations!AY96-Reserves!AY7+Operations!AY79+Operations!AY97</f>
        <v>43.6826037006889</v>
      </c>
      <c r="AZ7" s="13" t="n">
        <f aca="false">Operations!AZ84-Tax!AZ27-Operations!AZ96-Reserves!AZ7+Operations!AZ79+Operations!AZ97</f>
        <v>44.2974310433168</v>
      </c>
      <c r="BA7" s="13" t="n">
        <f aca="false">Operations!BA84-Tax!BA27-Operations!BA96-Reserves!BA7+Operations!BA79+Operations!BA97</f>
        <v>43.9976527635548</v>
      </c>
      <c r="BB7" s="13" t="n">
        <f aca="false">Operations!BB84-Tax!BB27-Operations!BB96-Reserves!BB7+Operations!BB79+Operations!BB97</f>
        <v>46.2428249464718</v>
      </c>
      <c r="BC7" s="13" t="n">
        <f aca="false">Operations!BC84-Tax!BC27-Operations!BC96-Reserves!BC7+Operations!BC79+Operations!BC97</f>
        <v>42.8414102269467</v>
      </c>
      <c r="BD7" s="13" t="n">
        <f aca="false">Operations!BD84-Tax!BD27-Operations!BD96-Reserves!BD7+Operations!BD79+Operations!BD97</f>
        <v>36.7382585483007</v>
      </c>
      <c r="BE7" s="13" t="n">
        <f aca="false">Operations!BE84-Tax!BE27-Operations!BE96-Reserves!BE7+Operations!BE79+Operations!BE97</f>
        <v>36.3026342512687</v>
      </c>
      <c r="BF7" s="13" t="n">
        <f aca="false">Operations!BF84-Tax!BF27-Operations!BF96-Reserves!BF7+Operations!BF79+Operations!BF97</f>
        <v>37.0039470081867</v>
      </c>
      <c r="BG7" s="13" t="n">
        <f aca="false">Operations!BG84-Tax!BG27-Operations!BG96-Reserves!BG7+Operations!BG79+Operations!BG97</f>
        <v>36.5339229281743</v>
      </c>
      <c r="BH7" s="13" t="n">
        <f aca="false">Operations!BH84-Tax!BH27-Operations!BH96-Reserves!BH7+Operations!BH79+Operations!BH97</f>
        <v>37.1713544124189</v>
      </c>
      <c r="BI7" s="13" t="n">
        <f aca="false">Operations!BI84-Tax!BI27-Operations!BI96-Reserves!BI7+Operations!BI79+Operations!BI97</f>
        <v>36.9082963148094</v>
      </c>
      <c r="BJ7" s="13" t="n">
        <f aca="false">Operations!BJ84-Tax!BJ27-Operations!BJ96-Reserves!BJ7+Operations!BJ79+Operations!BJ97</f>
        <v>44.930831507554</v>
      </c>
      <c r="BK7" s="13" t="n">
        <f aca="false">Operations!BK84-Tax!BK27-Operations!BK96-Reserves!BK7+Operations!BK79+Operations!BK97</f>
        <v>39.6786954719652</v>
      </c>
      <c r="BL7" s="13" t="n">
        <f aca="false">Operations!BL84-Tax!BL27-Operations!BL96-Reserves!BL7+Operations!BL79+Operations!BL97</f>
        <v>40.4210668435755</v>
      </c>
      <c r="BM7" s="13" t="n">
        <f aca="false">Operations!BM84-Tax!BM27-Operations!BM96-Reserves!BM7+Operations!BM79+Operations!BM97</f>
        <v>36.8301579511692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1857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1.87603501833575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1858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1.87603501833686</v>
      </c>
      <c r="P9" s="13" t="n">
        <f aca="false">P7+P8</f>
        <v>52.2002040072019</v>
      </c>
      <c r="Q9" s="13" t="n">
        <f aca="false">Q7+Q8</f>
        <v>50.2023273543813</v>
      </c>
      <c r="R9" s="13" t="n">
        <f aca="false">R7+R8</f>
        <v>50.8317697635431</v>
      </c>
      <c r="S9" s="13" t="n">
        <f aca="false">S7+S8</f>
        <v>50.4361894489523</v>
      </c>
      <c r="T9" s="13" t="n">
        <f aca="false">T7+T8</f>
        <v>50.9986397486087</v>
      </c>
      <c r="U9" s="13" t="n">
        <f aca="false">U7+U8</f>
        <v>50.7525534123724</v>
      </c>
      <c r="V9" s="13" t="n">
        <f aca="false">V7+V8</f>
        <v>51.7181226029479</v>
      </c>
      <c r="W9" s="13" t="n">
        <f aca="false">W7+W8</f>
        <v>51.3586885011164</v>
      </c>
      <c r="X9" s="13" t="n">
        <f aca="false">X7+X8</f>
        <v>49.876949407473</v>
      </c>
      <c r="Y9" s="13" t="n">
        <f aca="false">Y7+Y8</f>
        <v>49.3935586460484</v>
      </c>
      <c r="Z9" s="13" t="n">
        <f aca="false">Z7+Z8</f>
        <v>49.7975378081098</v>
      </c>
      <c r="AA9" s="13" t="n">
        <f aca="false">AA7+AA8</f>
        <v>49.394094479822</v>
      </c>
      <c r="AB9" s="13" t="n">
        <f aca="false">AB7+AB8</f>
        <v>49.9730025700996</v>
      </c>
      <c r="AC9" s="13" t="n">
        <f aca="false">AC7+AC8</f>
        <v>49.7654105429282</v>
      </c>
      <c r="AD9" s="13" t="n">
        <f aca="false">AD7+AD8</f>
        <v>51.6737057273676</v>
      </c>
      <c r="AE9" s="13" t="n">
        <f aca="false">AE7+AE8</f>
        <v>51.7545708779437</v>
      </c>
      <c r="AF9" s="13" t="n">
        <f aca="false">AF7+AF8</f>
        <v>51.9131885981263</v>
      </c>
      <c r="AG9" s="13" t="n">
        <f aca="false">AG7+AG8</f>
        <v>51.5431948251656</v>
      </c>
      <c r="AH9" s="13" t="n">
        <f aca="false">AH7+AH8</f>
        <v>52.2100106176802</v>
      </c>
      <c r="AI9" s="13" t="n">
        <f aca="false">AI7+AI8</f>
        <v>51.7997838750742</v>
      </c>
      <c r="AJ9" s="13" t="n">
        <f aca="false">AJ7+AJ8</f>
        <v>52.3983693866889</v>
      </c>
      <c r="AK9" s="13" t="n">
        <f aca="false">AK7+AK8</f>
        <v>52.1575336641926</v>
      </c>
      <c r="AL9" s="13" t="n">
        <f aca="false">AL7+AL8</f>
        <v>53.2659405361755</v>
      </c>
      <c r="AM9" s="13" t="n">
        <f aca="false">AM7+AM8</f>
        <v>52.3137035142672</v>
      </c>
      <c r="AN9" s="13" t="n">
        <f aca="false">AN7+AN8</f>
        <v>42.3848342804764</v>
      </c>
      <c r="AO9" s="13" t="n">
        <f aca="false">AO7+AO8</f>
        <v>41.5079662531116</v>
      </c>
      <c r="AP9" s="13" t="n">
        <f aca="false">AP7+AP8</f>
        <v>41.6065463833064</v>
      </c>
      <c r="AQ9" s="13" t="n">
        <f aca="false">AQ7+AQ8</f>
        <v>41.1574518197032</v>
      </c>
      <c r="AR9" s="13" t="n">
        <f aca="false">AR7+AR8</f>
        <v>41.7513447779987</v>
      </c>
      <c r="AS9" s="13" t="n">
        <f aca="false">AS7+AS8</f>
        <v>41.4840678337932</v>
      </c>
      <c r="AT9" s="13" t="n">
        <f aca="false">AT7+AT8</f>
        <v>48.2154950821326</v>
      </c>
      <c r="AU9" s="13" t="n">
        <f aca="false">AU7+AU8</f>
        <v>43.7762166513415</v>
      </c>
      <c r="AV9" s="13" t="n">
        <f aca="false">AV7+AV8</f>
        <v>43.8963319855744</v>
      </c>
      <c r="AW9" s="13" t="n">
        <f aca="false">AW7+AW8</f>
        <v>43.469466754219</v>
      </c>
      <c r="AX9" s="13" t="n">
        <f aca="false">AX7+AX8</f>
        <v>44.1417443542776</v>
      </c>
      <c r="AY9" s="13" t="n">
        <f aca="false">AY7+AY8</f>
        <v>43.6826037006889</v>
      </c>
      <c r="AZ9" s="13" t="n">
        <f aca="false">AZ7+AZ8</f>
        <v>44.2974310433168</v>
      </c>
      <c r="BA9" s="13" t="n">
        <f aca="false">BA7+BA8</f>
        <v>43.9976527635548</v>
      </c>
      <c r="BB9" s="13" t="n">
        <f aca="false">BB7+BB8</f>
        <v>46.2428249464718</v>
      </c>
      <c r="BC9" s="13" t="n">
        <f aca="false">BC7+BC8</f>
        <v>42.8414102269467</v>
      </c>
      <c r="BD9" s="13" t="n">
        <f aca="false">BD7+BD8</f>
        <v>36.7382585483007</v>
      </c>
      <c r="BE9" s="13" t="n">
        <f aca="false">BE7+BE8</f>
        <v>36.3026342512687</v>
      </c>
      <c r="BF9" s="13" t="n">
        <f aca="false">BF7+BF8</f>
        <v>37.0039470081867</v>
      </c>
      <c r="BG9" s="13" t="n">
        <f aca="false">BG7+BG8</f>
        <v>36.5339229281743</v>
      </c>
      <c r="BH9" s="13" t="n">
        <f aca="false">BH7+BH8</f>
        <v>37.1713544124189</v>
      </c>
      <c r="BI9" s="13" t="n">
        <f aca="false">BI7+BI8</f>
        <v>36.9082963148094</v>
      </c>
      <c r="BJ9" s="13" t="n">
        <f aca="false">BJ7+BJ8</f>
        <v>44.930831507554</v>
      </c>
      <c r="BK9" s="13" t="n">
        <f aca="false">BK7+BK8</f>
        <v>39.6786954719652</v>
      </c>
      <c r="BL9" s="13" t="n">
        <f aca="false">BL7+BL8</f>
        <v>40.4210668435755</v>
      </c>
      <c r="BM9" s="13" t="n">
        <f aca="false">BM7+BM8</f>
        <v>36.8301579511692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1859</v>
      </c>
      <c r="E10" s="0" t="s">
        <v>151</v>
      </c>
      <c r="G10" s="13" t="n">
        <f aca="false">SUM(J10:BN10)</f>
        <v>851.295877467589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37.2458954370965</v>
      </c>
      <c r="Q10" s="13" t="n">
        <f aca="false">Debt!Q114+Debt!Q110</f>
        <v>37.1570164551458</v>
      </c>
      <c r="R10" s="13" t="n">
        <f aca="false">Debt!R114+Debt!R110</f>
        <v>37.624785087678</v>
      </c>
      <c r="S10" s="13" t="n">
        <f aca="false">Debt!S114+Debt!S110</f>
        <v>37.333312492557</v>
      </c>
      <c r="T10" s="13" t="n">
        <f aca="false">Debt!T114+Debt!T110</f>
        <v>37.7512177817478</v>
      </c>
      <c r="U10" s="13" t="n">
        <f aca="false">Debt!U114+Debt!U110</f>
        <v>37.5706927548527</v>
      </c>
      <c r="V10" s="13" t="n">
        <f aca="false">Debt!V114+Debt!V110</f>
        <v>38.2879202351583</v>
      </c>
      <c r="W10" s="13" t="n">
        <f aca="false">Debt!W114+Debt!W110</f>
        <v>38.0232274258698</v>
      </c>
      <c r="X10" s="13" t="n">
        <f aca="false">Debt!X114+Debt!X110</f>
        <v>36.9267950745894</v>
      </c>
      <c r="Y10" s="13" t="n">
        <f aca="false">Debt!Y114+Debt!Y110</f>
        <v>36.5703920445452</v>
      </c>
      <c r="Z10" s="13" t="n">
        <f aca="false">Debt!Z114+Debt!Z110</f>
        <v>36.8713631085141</v>
      </c>
      <c r="AA10" s="13" t="n">
        <f aca="false">Debt!AA114+Debt!AA110</f>
        <v>36.5742873548545</v>
      </c>
      <c r="AB10" s="13" t="n">
        <f aca="false">Debt!AB114+Debt!AB110</f>
        <v>36.3570486715114</v>
      </c>
      <c r="AC10" s="13" t="n">
        <f aca="false">Debt!AC114+Debt!AC110</f>
        <v>35.4269807993364</v>
      </c>
      <c r="AD10" s="13" t="n">
        <f aca="false">Debt!AD114+Debt!AD110</f>
        <v>35.9791799581001</v>
      </c>
      <c r="AE10" s="13" t="n">
        <f aca="false">Debt!AE114+Debt!AE110</f>
        <v>35.0161146152219</v>
      </c>
      <c r="AF10" s="13" t="n">
        <f aca="false">Debt!AF114+Debt!AF110</f>
        <v>33.924111869299</v>
      </c>
      <c r="AG10" s="13" t="n">
        <f aca="false">Debt!AG114+Debt!AG110</f>
        <v>32.2164978248487</v>
      </c>
      <c r="AH10" s="13" t="n">
        <f aca="false">Debt!AH114+Debt!AH110</f>
        <v>30.9785764124216</v>
      </c>
      <c r="AI10" s="13" t="n">
        <f aca="false">Debt!AI114+Debt!AI110</f>
        <v>28.680865879407</v>
      </c>
      <c r="AJ10" s="13" t="n">
        <f aca="false">Debt!AJ114+Debt!AJ110</f>
        <v>26.4275016295962</v>
      </c>
      <c r="AK10" s="13" t="n">
        <f aca="false">Debt!AK114+Debt!AK110</f>
        <v>23.030837864091</v>
      </c>
      <c r="AL10" s="13" t="n">
        <f aca="false">Debt!AL114+Debt!AL110</f>
        <v>23.7140398353964</v>
      </c>
      <c r="AM10" s="13" t="n">
        <f aca="false">Debt!AM114+Debt!AM110</f>
        <v>23.5692918532781</v>
      </c>
      <c r="AN10" s="13" t="n">
        <f aca="false">Debt!AN114+Debt!AN110</f>
        <v>19.1320172548642</v>
      </c>
      <c r="AO10" s="13" t="n">
        <f aca="false">Debt!AO114+Debt!AO110</f>
        <v>18.9059077476081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1860</v>
      </c>
      <c r="E11" s="0" t="s">
        <v>151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1861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1862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1.87603501833686</v>
      </c>
      <c r="P13" s="13" t="n">
        <f aca="false">MAX(0,P9-P10)</f>
        <v>14.9543085701055</v>
      </c>
      <c r="Q13" s="13" t="n">
        <f aca="false">MAX(0,Q9-Q10)</f>
        <v>13.0453108992356</v>
      </c>
      <c r="R13" s="13" t="n">
        <f aca="false">MAX(0,R9-R10)</f>
        <v>13.2069846758651</v>
      </c>
      <c r="S13" s="13" t="n">
        <f aca="false">MAX(0,S9-S10)</f>
        <v>13.1028769563954</v>
      </c>
      <c r="T13" s="13" t="n">
        <f aca="false">MAX(0,T9-T10)</f>
        <v>13.2474219668609</v>
      </c>
      <c r="U13" s="13" t="n">
        <f aca="false">MAX(0,U9-U10)</f>
        <v>13.1818606575197</v>
      </c>
      <c r="V13" s="13" t="n">
        <f aca="false">MAX(0,V9-V10)</f>
        <v>13.4302023677896</v>
      </c>
      <c r="W13" s="13" t="n">
        <f aca="false">MAX(0,W9-W10)</f>
        <v>13.3354610752466</v>
      </c>
      <c r="X13" s="13" t="n">
        <f aca="false">MAX(0,X9-X10)</f>
        <v>12.9501543328836</v>
      </c>
      <c r="Y13" s="13" t="n">
        <f aca="false">MAX(0,Y9-Y10)</f>
        <v>12.8231666015032</v>
      </c>
      <c r="Z13" s="13" t="n">
        <f aca="false">MAX(0,Z9-Z10)</f>
        <v>12.9261746995957</v>
      </c>
      <c r="AA13" s="13" t="n">
        <f aca="false">MAX(0,AA9-AA10)</f>
        <v>12.8198071249676</v>
      </c>
      <c r="AB13" s="13" t="n">
        <f aca="false">MAX(0,AB9-AB10)</f>
        <v>13.6159538985882</v>
      </c>
      <c r="AC13" s="13" t="n">
        <f aca="false">MAX(0,AC9-AC10)</f>
        <v>14.3384297435918</v>
      </c>
      <c r="AD13" s="13" t="n">
        <f aca="false">MAX(0,AD9-AD10)</f>
        <v>15.6945257692675</v>
      </c>
      <c r="AE13" s="13" t="n">
        <f aca="false">MAX(0,AE9-AE10)</f>
        <v>16.7384562627219</v>
      </c>
      <c r="AF13" s="13" t="n">
        <f aca="false">MAX(0,AF9-AF10)</f>
        <v>17.9890767288273</v>
      </c>
      <c r="AG13" s="13" t="n">
        <f aca="false">MAX(0,AG9-AG10)</f>
        <v>19.3266970003169</v>
      </c>
      <c r="AH13" s="13" t="n">
        <f aca="false">MAX(0,AH9-AH10)</f>
        <v>21.2314342052586</v>
      </c>
      <c r="AI13" s="13" t="n">
        <f aca="false">MAX(0,AI9-AI10)</f>
        <v>23.1189179956672</v>
      </c>
      <c r="AJ13" s="13" t="n">
        <f aca="false">MAX(0,AJ9-AJ10)</f>
        <v>25.9708677570926</v>
      </c>
      <c r="AK13" s="13" t="n">
        <f aca="false">MAX(0,AK9-AK10)</f>
        <v>29.1266958001017</v>
      </c>
      <c r="AL13" s="13" t="n">
        <f aca="false">MAX(0,AL9-AL10)</f>
        <v>29.5519007007791</v>
      </c>
      <c r="AM13" s="13" t="n">
        <f aca="false">MAX(0,AM9-AM10)</f>
        <v>28.7444116609891</v>
      </c>
      <c r="AN13" s="13" t="n">
        <f aca="false">MAX(0,AN9-AN10)</f>
        <v>23.2528170256122</v>
      </c>
      <c r="AO13" s="13" t="n">
        <f aca="false">MAX(0,AO9-AO10)</f>
        <v>22.6020585055034</v>
      </c>
      <c r="AP13" s="13" t="n">
        <f aca="false">MAX(0,AP9-AP10)</f>
        <v>41.6065463833064</v>
      </c>
      <c r="AQ13" s="13" t="n">
        <f aca="false">MAX(0,AQ9-AQ10)</f>
        <v>41.1574518197032</v>
      </c>
      <c r="AR13" s="13" t="n">
        <f aca="false">MAX(0,AR9-AR10)</f>
        <v>41.7513447779987</v>
      </c>
      <c r="AS13" s="13" t="n">
        <f aca="false">MAX(0,AS9-AS10)</f>
        <v>41.4840678337932</v>
      </c>
      <c r="AT13" s="13" t="n">
        <f aca="false">MAX(0,AT9-AT10)</f>
        <v>48.2154950821326</v>
      </c>
      <c r="AU13" s="13" t="n">
        <f aca="false">MAX(0,AU9-AU10)</f>
        <v>43.7762166513415</v>
      </c>
      <c r="AV13" s="13" t="n">
        <f aca="false">MAX(0,AV9-AV10)</f>
        <v>43.8963319855744</v>
      </c>
      <c r="AW13" s="13" t="n">
        <f aca="false">MAX(0,AW9-AW10)</f>
        <v>43.469466754219</v>
      </c>
      <c r="AX13" s="13" t="n">
        <f aca="false">MAX(0,AX9-AX10)</f>
        <v>44.1417443542776</v>
      </c>
      <c r="AY13" s="13" t="n">
        <f aca="false">MAX(0,AY9-AY10)</f>
        <v>43.6826037006889</v>
      </c>
      <c r="AZ13" s="13" t="n">
        <f aca="false">MAX(0,AZ9-AZ10)</f>
        <v>44.2974310433168</v>
      </c>
      <c r="BA13" s="13" t="n">
        <f aca="false">MAX(0,BA9-BA10)</f>
        <v>43.9976527635548</v>
      </c>
      <c r="BB13" s="13" t="n">
        <f aca="false">MAX(0,BB9-BB10)</f>
        <v>46.2428249464718</v>
      </c>
      <c r="BC13" s="13" t="n">
        <f aca="false">MAX(0,BC9-BC10)</f>
        <v>42.8414102269467</v>
      </c>
      <c r="BD13" s="13" t="n">
        <f aca="false">MAX(0,BD9-BD10)</f>
        <v>36.7382585483007</v>
      </c>
      <c r="BE13" s="13" t="n">
        <f aca="false">MAX(0,BE9-BE10)</f>
        <v>36.3026342512687</v>
      </c>
      <c r="BF13" s="13" t="n">
        <f aca="false">MAX(0,BF9-BF10)</f>
        <v>37.0039470081867</v>
      </c>
      <c r="BG13" s="13" t="n">
        <f aca="false">MAX(0,BG9-BG10)</f>
        <v>36.5339229281743</v>
      </c>
      <c r="BH13" s="13" t="n">
        <f aca="false">MAX(0,BH9-BH10)</f>
        <v>37.1713544124189</v>
      </c>
      <c r="BI13" s="13" t="n">
        <f aca="false">MAX(0,BI9-BI10)</f>
        <v>36.9082963148094</v>
      </c>
      <c r="BJ13" s="13" t="n">
        <f aca="false">MAX(0,BJ9-BJ10)</f>
        <v>44.930831507554</v>
      </c>
      <c r="BK13" s="13" t="n">
        <f aca="false">MAX(0,BK9-BK10)</f>
        <v>39.6786954719652</v>
      </c>
      <c r="BL13" s="13" t="n">
        <f aca="false">MAX(0,BL9-BL10)</f>
        <v>40.4210668435755</v>
      </c>
      <c r="BM13" s="13" t="n">
        <f aca="false">MAX(0,BM9-BM10)</f>
        <v>36.8301579511692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1863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1.87603501833575</v>
      </c>
      <c r="P14" s="13" t="n">
        <f aca="false">P13-Reserves!P11+Reserves!P12</f>
        <v>15.0431875520562</v>
      </c>
      <c r="Q14" s="13" t="n">
        <f aca="false">Q13-Reserves!Q11+Reserves!Q12</f>
        <v>12.5775422667034</v>
      </c>
      <c r="R14" s="13" t="n">
        <f aca="false">R13-Reserves!R11+Reserves!R12</f>
        <v>13.4984572709862</v>
      </c>
      <c r="S14" s="13" t="n">
        <f aca="false">S13-Reserves!S11+Reserves!S12</f>
        <v>12.6849716672045</v>
      </c>
      <c r="T14" s="13" t="n">
        <f aca="false">T13-Reserves!T11+Reserves!T12</f>
        <v>13.427946993756</v>
      </c>
      <c r="U14" s="13" t="n">
        <f aca="false">U13-Reserves!U11+Reserves!U12</f>
        <v>12.4646331772141</v>
      </c>
      <c r="V14" s="13" t="n">
        <f aca="false">V13-Reserves!V11+Reserves!V12</f>
        <v>13.6948951770782</v>
      </c>
      <c r="W14" s="13" t="n">
        <f aca="false">W13-Reserves!W11+Reserves!W12</f>
        <v>14.431893426527</v>
      </c>
      <c r="X14" s="13" t="n">
        <f aca="false">X13-Reserves!X11+Reserves!X12</f>
        <v>13.3065573629278</v>
      </c>
      <c r="Y14" s="13" t="n">
        <f aca="false">Y13-Reserves!Y11+Reserves!Y12</f>
        <v>12.5221955375342</v>
      </c>
      <c r="Z14" s="13" t="n">
        <f aca="false">Z13-Reserves!Z11+Reserves!Z12</f>
        <v>13.2232504532553</v>
      </c>
      <c r="AA14" s="13" t="n">
        <f aca="false">AA13-Reserves!AA11+Reserves!AA12</f>
        <v>12.3893458478458</v>
      </c>
      <c r="AB14" s="13" t="n">
        <f aca="false">AB13-Reserves!AB11+Reserves!AB12</f>
        <v>14.4068762875611</v>
      </c>
      <c r="AC14" s="13" t="n">
        <f aca="false">AC13-Reserves!AC11+Reserves!AC12</f>
        <v>13.7505868299069</v>
      </c>
      <c r="AD14" s="13" t="n">
        <f aca="false">AD13-Reserves!AD11+Reserves!AD12</f>
        <v>16.4328822761261</v>
      </c>
      <c r="AE14" s="13" t="n">
        <f aca="false">AE13-Reserves!AE11+Reserves!AE12</f>
        <v>17.6585194349647</v>
      </c>
      <c r="AF14" s="13" t="n">
        <f aca="false">AF13-Reserves!AF11+Reserves!AF12</f>
        <v>19.4511995984317</v>
      </c>
      <c r="AG14" s="13" t="n">
        <f aca="false">AG13-Reserves!AG11+Reserves!AG12</f>
        <v>20.3222301637907</v>
      </c>
      <c r="AH14" s="13" t="n">
        <f aca="false">AH13-Reserves!AH11+Reserves!AH12</f>
        <v>23.0862113657254</v>
      </c>
      <c r="AI14" s="13" t="n">
        <f aca="false">AI13-Reserves!AI11+Reserves!AI12</f>
        <v>24.8419699015314</v>
      </c>
      <c r="AJ14" s="13" t="n">
        <f aca="false">AJ13-Reserves!AJ11+Reserves!AJ12</f>
        <v>28.6166201418258</v>
      </c>
      <c r="AK14" s="13" t="n">
        <f aca="false">AK13-Reserves!AK11+Reserves!AK12</f>
        <v>31.8746679581498</v>
      </c>
      <c r="AL14" s="13" t="n">
        <f aca="false">AL13-Reserves!AL11+Reserves!AL12</f>
        <v>29.6966486828974</v>
      </c>
      <c r="AM14" s="13" t="n">
        <f aca="false">AM13-Reserves!AM11+Reserves!AM12</f>
        <v>33.181686259403</v>
      </c>
      <c r="AN14" s="13" t="n">
        <f aca="false">AN13-Reserves!AN11+Reserves!AN12</f>
        <v>23.4789265328682</v>
      </c>
      <c r="AO14" s="13" t="n">
        <f aca="false">AO13-Reserves!AO11+Reserves!AO12</f>
        <v>41.5079662531116</v>
      </c>
      <c r="AP14" s="13" t="n">
        <f aca="false">AP13-Reserves!AP11+Reserves!AP12</f>
        <v>41.6065463833064</v>
      </c>
      <c r="AQ14" s="13" t="n">
        <f aca="false">AQ13-Reserves!AQ11+Reserves!AQ12</f>
        <v>41.1574518197032</v>
      </c>
      <c r="AR14" s="13" t="n">
        <f aca="false">AR13-Reserves!AR11+Reserves!AR12</f>
        <v>41.7513447779987</v>
      </c>
      <c r="AS14" s="13" t="n">
        <f aca="false">AS13-Reserves!AS11+Reserves!AS12</f>
        <v>41.4840678337932</v>
      </c>
      <c r="AT14" s="13" t="n">
        <f aca="false">AT13-Reserves!AT11+Reserves!AT12</f>
        <v>48.2154950821326</v>
      </c>
      <c r="AU14" s="13" t="n">
        <f aca="false">AU13-Reserves!AU11+Reserves!AU12</f>
        <v>43.7762166513415</v>
      </c>
      <c r="AV14" s="13" t="n">
        <f aca="false">AV13-Reserves!AV11+Reserves!AV12</f>
        <v>43.8963319855744</v>
      </c>
      <c r="AW14" s="13" t="n">
        <f aca="false">AW13-Reserves!AW11+Reserves!AW12</f>
        <v>43.469466754219</v>
      </c>
      <c r="AX14" s="13" t="n">
        <f aca="false">AX13-Reserves!AX11+Reserves!AX12</f>
        <v>44.1417443542776</v>
      </c>
      <c r="AY14" s="13" t="n">
        <f aca="false">AY13-Reserves!AY11+Reserves!AY12</f>
        <v>43.6826037006889</v>
      </c>
      <c r="AZ14" s="13" t="n">
        <f aca="false">AZ13-Reserves!AZ11+Reserves!AZ12</f>
        <v>44.2974310433168</v>
      </c>
      <c r="BA14" s="13" t="n">
        <f aca="false">BA13-Reserves!BA11+Reserves!BA12</f>
        <v>43.9976527635548</v>
      </c>
      <c r="BB14" s="13" t="n">
        <f aca="false">BB13-Reserves!BB11+Reserves!BB12</f>
        <v>46.2428249464718</v>
      </c>
      <c r="BC14" s="13" t="n">
        <f aca="false">BC13-Reserves!BC11+Reserves!BC12</f>
        <v>42.8414102269467</v>
      </c>
      <c r="BD14" s="13" t="n">
        <f aca="false">BD13-Reserves!BD11+Reserves!BD12</f>
        <v>36.7382585483007</v>
      </c>
      <c r="BE14" s="13" t="n">
        <f aca="false">BE13-Reserves!BE11+Reserves!BE12</f>
        <v>36.3026342512687</v>
      </c>
      <c r="BF14" s="13" t="n">
        <f aca="false">BF13-Reserves!BF11+Reserves!BF12</f>
        <v>37.0039470081867</v>
      </c>
      <c r="BG14" s="13" t="n">
        <f aca="false">BG13-Reserves!BG11+Reserves!BG12</f>
        <v>36.5339229281743</v>
      </c>
      <c r="BH14" s="13" t="n">
        <f aca="false">BH13-Reserves!BH11+Reserves!BH12</f>
        <v>37.1713544124189</v>
      </c>
      <c r="BI14" s="13" t="n">
        <f aca="false">BI13-Reserves!BI11+Reserves!BI12</f>
        <v>36.9082963148094</v>
      </c>
      <c r="BJ14" s="13" t="n">
        <f aca="false">BJ13-Reserves!BJ11+Reserves!BJ12</f>
        <v>44.930831507554</v>
      </c>
      <c r="BK14" s="13" t="n">
        <f aca="false">BK13-Reserves!BK11+Reserves!BK12</f>
        <v>39.6786954719652</v>
      </c>
      <c r="BL14" s="13" t="n">
        <f aca="false">BL13-Reserves!BL11+Reserves!BL12</f>
        <v>40.4210668435755</v>
      </c>
      <c r="BM14" s="13" t="n">
        <f aca="false">BM13-Reserves!BM11+Reserves!BM12</f>
        <v>36.8301579511692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1864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1.87603501833575</v>
      </c>
      <c r="P15" s="13" t="n">
        <f aca="false">P14-Reserves!P14+Reserves!P15</f>
        <v>15.0431875520562</v>
      </c>
      <c r="Q15" s="13" t="n">
        <f aca="false">Q14-Reserves!Q14+Reserves!Q15</f>
        <v>12.5775422667034</v>
      </c>
      <c r="R15" s="13" t="n">
        <f aca="false">R14-Reserves!R14+Reserves!R15</f>
        <v>13.4984572709862</v>
      </c>
      <c r="S15" s="13" t="n">
        <f aca="false">S14-Reserves!S14+Reserves!S15</f>
        <v>12.6849716672045</v>
      </c>
      <c r="T15" s="13" t="n">
        <f aca="false">T14-Reserves!T14+Reserves!T15</f>
        <v>13.427946993756</v>
      </c>
      <c r="U15" s="13" t="n">
        <f aca="false">U14-Reserves!U14+Reserves!U15</f>
        <v>12.4646331772141</v>
      </c>
      <c r="V15" s="13" t="n">
        <f aca="false">V14-Reserves!V14+Reserves!V15</f>
        <v>13.6948951770782</v>
      </c>
      <c r="W15" s="13" t="n">
        <f aca="false">W14-Reserves!W14+Reserves!W15</f>
        <v>14.431893426527</v>
      </c>
      <c r="X15" s="13" t="n">
        <f aca="false">X14-Reserves!X14+Reserves!X15</f>
        <v>13.3065573629278</v>
      </c>
      <c r="Y15" s="13" t="n">
        <f aca="false">Y14-Reserves!Y14+Reserves!Y15</f>
        <v>12.5221955375342</v>
      </c>
      <c r="Z15" s="13" t="n">
        <f aca="false">Z14-Reserves!Z14+Reserves!Z15</f>
        <v>13.2232504532553</v>
      </c>
      <c r="AA15" s="13" t="n">
        <f aca="false">AA14-Reserves!AA14+Reserves!AA15</f>
        <v>12.3893458478458</v>
      </c>
      <c r="AB15" s="13" t="n">
        <f aca="false">AB14-Reserves!AB14+Reserves!AB15</f>
        <v>14.4068762875611</v>
      </c>
      <c r="AC15" s="13" t="n">
        <f aca="false">AC14-Reserves!AC14+Reserves!AC15</f>
        <v>13.7505868299069</v>
      </c>
      <c r="AD15" s="13" t="n">
        <f aca="false">AD14-Reserves!AD14+Reserves!AD15</f>
        <v>16.4328822761261</v>
      </c>
      <c r="AE15" s="13" t="n">
        <f aca="false">AE14-Reserves!AE14+Reserves!AE15</f>
        <v>17.6585194349647</v>
      </c>
      <c r="AF15" s="13" t="n">
        <f aca="false">AF14-Reserves!AF14+Reserves!AF15</f>
        <v>19.4511995984317</v>
      </c>
      <c r="AG15" s="13" t="n">
        <f aca="false">AG14-Reserves!AG14+Reserves!AG15</f>
        <v>20.3222301637907</v>
      </c>
      <c r="AH15" s="13" t="n">
        <f aca="false">AH14-Reserves!AH14+Reserves!AH15</f>
        <v>23.0862113657254</v>
      </c>
      <c r="AI15" s="13" t="n">
        <f aca="false">AI14-Reserves!AI14+Reserves!AI15</f>
        <v>24.8419699015314</v>
      </c>
      <c r="AJ15" s="13" t="n">
        <f aca="false">AJ14-Reserves!AJ14+Reserves!AJ15</f>
        <v>28.6166201418258</v>
      </c>
      <c r="AK15" s="13" t="n">
        <f aca="false">AK14-Reserves!AK14+Reserves!AK15</f>
        <v>31.8746679581498</v>
      </c>
      <c r="AL15" s="13" t="n">
        <f aca="false">AL14-Reserves!AL14+Reserves!AL15</f>
        <v>29.6966486828974</v>
      </c>
      <c r="AM15" s="13" t="n">
        <f aca="false">AM14-Reserves!AM14+Reserves!AM15</f>
        <v>33.181686259403</v>
      </c>
      <c r="AN15" s="13" t="n">
        <f aca="false">AN14-Reserves!AN14+Reserves!AN15</f>
        <v>23.4789265328682</v>
      </c>
      <c r="AO15" s="13" t="n">
        <f aca="false">AO14-Reserves!AO14+Reserves!AO15</f>
        <v>41.5079662531116</v>
      </c>
      <c r="AP15" s="13" t="n">
        <f aca="false">AP14-Reserves!AP14+Reserves!AP15</f>
        <v>41.6065463833064</v>
      </c>
      <c r="AQ15" s="13" t="n">
        <f aca="false">AQ14-Reserves!AQ14+Reserves!AQ15</f>
        <v>41.1574518197032</v>
      </c>
      <c r="AR15" s="13" t="n">
        <f aca="false">AR14-Reserves!AR14+Reserves!AR15</f>
        <v>41.7513447779987</v>
      </c>
      <c r="AS15" s="13" t="n">
        <f aca="false">AS14-Reserves!AS14+Reserves!AS15</f>
        <v>41.4840678337932</v>
      </c>
      <c r="AT15" s="13" t="n">
        <f aca="false">AT14-Reserves!AT14+Reserves!AT15</f>
        <v>48.2154950821326</v>
      </c>
      <c r="AU15" s="13" t="n">
        <f aca="false">AU14-Reserves!AU14+Reserves!AU15</f>
        <v>43.7762166513415</v>
      </c>
      <c r="AV15" s="13" t="n">
        <f aca="false">AV14-Reserves!AV14+Reserves!AV15</f>
        <v>43.8963319855744</v>
      </c>
      <c r="AW15" s="13" t="n">
        <f aca="false">AW14-Reserves!AW14+Reserves!AW15</f>
        <v>43.469466754219</v>
      </c>
      <c r="AX15" s="13" t="n">
        <f aca="false">AX14-Reserves!AX14+Reserves!AX15</f>
        <v>44.1417443542776</v>
      </c>
      <c r="AY15" s="13" t="n">
        <f aca="false">AY14-Reserves!AY14+Reserves!AY15</f>
        <v>43.6826037006889</v>
      </c>
      <c r="AZ15" s="13" t="n">
        <f aca="false">AZ14-Reserves!AZ14+Reserves!AZ15</f>
        <v>44.2974310433168</v>
      </c>
      <c r="BA15" s="13" t="n">
        <f aca="false">BA14-Reserves!BA14+Reserves!BA15</f>
        <v>43.5026843769461</v>
      </c>
      <c r="BB15" s="13" t="n">
        <f aca="false">BB14-Reserves!BB14+Reserves!BB15</f>
        <v>44.7416746918274</v>
      </c>
      <c r="BC15" s="13" t="n">
        <f aca="false">BC14-Reserves!BC14+Reserves!BC15</f>
        <v>41.3238371536044</v>
      </c>
      <c r="BD15" s="13" t="n">
        <f aca="false">BD14-Reserves!BD14+Reserves!BD15</f>
        <v>35.2040829880542</v>
      </c>
      <c r="BE15" s="13" t="n">
        <f aca="false">BE14-Reserves!BE14+Reserves!BE15</f>
        <v>34.751674570313</v>
      </c>
      <c r="BF15" s="13" t="n">
        <f aca="false">BF14-Reserves!BF14+Reserves!BF15</f>
        <v>35.4360195856147</v>
      </c>
      <c r="BG15" s="13" t="n">
        <f aca="false">BG14-Reserves!BG14+Reserves!BG15</f>
        <v>34.9488421342375</v>
      </c>
      <c r="BH15" s="13" t="n">
        <f aca="false">BH14-Reserves!BH14+Reserves!BH15</f>
        <v>35.5689325865503</v>
      </c>
      <c r="BI15" s="13" t="n">
        <f aca="false">BI14-Reserves!BI14+Reserves!BI15</f>
        <v>35.288343743406</v>
      </c>
      <c r="BJ15" s="13" t="n">
        <f aca="false">BJ14-Reserves!BJ14+Reserves!BJ15</f>
        <v>43.2931564015163</v>
      </c>
      <c r="BK15" s="13" t="n">
        <f aca="false">BK14-Reserves!BK14+Reserves!BK15</f>
        <v>38.023103943991</v>
      </c>
      <c r="BL15" s="13" t="n">
        <f aca="false">BL14-Reserves!BL14+Reserves!BL15</f>
        <v>38.747362885205</v>
      </c>
      <c r="BM15" s="13" t="n">
        <f aca="false">BM14-Reserves!BM14+Reserves!BM15</f>
        <v>54.7713381131302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1865</v>
      </c>
    </row>
    <row r="17" customFormat="false" ht="15" hidden="false" customHeight="false" outlineLevel="0" collapsed="false">
      <c r="D17" s="0" t="s">
        <v>1866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1.3511332832327</v>
      </c>
      <c r="Q17" s="3" t="n">
        <f aca="false">IF(Debt!Q114&gt;Inputs!$F$253,Q7/Debt!Q114,0)</f>
        <v>1.35108607051331</v>
      </c>
      <c r="R17" s="3" t="n">
        <f aca="false">IF(Debt!R114&gt;Inputs!$F$253,R7/Debt!R114,0)</f>
        <v>1.35101820901006</v>
      </c>
      <c r="S17" s="3" t="n">
        <f aca="false">IF(Debt!S114&gt;Inputs!$F$253,S7/Debt!S114,0)</f>
        <v>1.35097011439871</v>
      </c>
      <c r="T17" s="3" t="n">
        <f aca="false">IF(Debt!T114&gt;Inputs!$F$253,T7/Debt!T114,0)</f>
        <v>1.3509137650459</v>
      </c>
      <c r="U17" s="3" t="n">
        <f aca="false">IF(Debt!U114&gt;Inputs!$F$253,U7/Debt!U114,0)</f>
        <v>1.35085487359871</v>
      </c>
      <c r="V17" s="3" t="n">
        <f aca="false">IF(Debt!V114&gt;Inputs!$F$253,V7/Debt!V114,0)</f>
        <v>1.35076865719797</v>
      </c>
      <c r="W17" s="3" t="n">
        <f aca="false">IF(Debt!W114&gt;Inputs!$F$253,W7/Debt!W114,0)</f>
        <v>1.35071881000227</v>
      </c>
      <c r="X17" s="3" t="n">
        <f aca="false">IF(Debt!X114&gt;Inputs!$F$253,X7/Debt!X114,0)</f>
        <v>1.35069803124602</v>
      </c>
      <c r="Y17" s="3" t="n">
        <f aca="false">IF(Debt!Y114&gt;Inputs!$F$253,Y7/Debt!Y114,0)</f>
        <v>1.35064339988162</v>
      </c>
      <c r="Z17" s="3" t="n">
        <f aca="false">IF(Debt!Z114&gt;Inputs!$F$253,Z7/Debt!Z114,0)</f>
        <v>1.35057490718619</v>
      </c>
      <c r="AA17" s="3" t="n">
        <f aca="false">IF(Debt!AA114&gt;Inputs!$F$253,AA7/Debt!AA114,0)</f>
        <v>1.35051420142752</v>
      </c>
      <c r="AB17" s="3" t="n">
        <f aca="false">IF(Debt!AB114&gt;Inputs!$F$253,AB7/Debt!AB114,0)</f>
        <v>1.3745065783972</v>
      </c>
      <c r="AC17" s="3" t="n">
        <f aca="false">IF(Debt!AC114&gt;Inputs!$F$253,AC7/Debt!AC114,0)</f>
        <v>1.4047319139276</v>
      </c>
      <c r="AD17" s="3" t="n">
        <f aca="false">IF(Debt!AD114&gt;Inputs!$F$253,AD7/Debt!AD114,0)</f>
        <v>1.43621132520376</v>
      </c>
      <c r="AE17" s="3" t="n">
        <f aca="false">IF(Debt!AE114&gt;Inputs!$F$253,AE7/Debt!AE114,0)</f>
        <v>1.4780215179969</v>
      </c>
      <c r="AF17" s="3" t="n">
        <f aca="false">IF(Debt!AF114&gt;Inputs!$F$253,AF7/Debt!AF114,0)</f>
        <v>1.5302740657776</v>
      </c>
      <c r="AG17" s="3" t="n">
        <f aca="false">IF(Debt!AG114&gt;Inputs!$F$253,AG7/Debt!AG114,0)</f>
        <v>1.59990061940904</v>
      </c>
      <c r="AH17" s="3" t="n">
        <f aca="false">IF(Debt!AH114&gt;Inputs!$F$253,AH7/Debt!AH114,0)</f>
        <v>1.68535861437278</v>
      </c>
      <c r="AI17" s="3" t="n">
        <f aca="false">IF(Debt!AI114&gt;Inputs!$F$253,AI7/Debt!AI114,0)</f>
        <v>1.80607461758212</v>
      </c>
      <c r="AJ17" s="3" t="n">
        <f aca="false">IF(Debt!AJ114&gt;Inputs!$F$253,AJ7/Debt!AJ114,0)</f>
        <v>1.98272126215699</v>
      </c>
      <c r="AK17" s="3" t="n">
        <f aca="false">IF(Debt!AK114&gt;Inputs!$F$253,AK7/Debt!AK114,0)</f>
        <v>2.26468242154208</v>
      </c>
      <c r="AL17" s="3" t="n">
        <f aca="false">IF(Debt!AL114&gt;Inputs!$F$253,AL7/Debt!AL114,0)</f>
        <v>2.24617740823176</v>
      </c>
      <c r="AM17" s="3" t="n">
        <f aca="false">IF(Debt!AM114&gt;Inputs!$F$253,AM7/Debt!AM114,0)</f>
        <v>2.21957044106063</v>
      </c>
      <c r="AN17" s="3" t="n">
        <f aca="false">IF(Debt!AN114&gt;Inputs!$F$253,AN7/Debt!AN114,0)</f>
        <v>2.21538762566714</v>
      </c>
      <c r="AO17" s="3" t="n">
        <f aca="false">IF(Debt!AO114&gt;Inputs!$F$253,AO7/Debt!AO114,0)</f>
        <v>2.19550242216552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1867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1.3511332832327</v>
      </c>
      <c r="Q18" s="3" t="n">
        <f aca="false">IF(Debt!Q114&gt;Inputs!$F$253,IF(Debt!P114&gt;Inputs!$F$253,(Q7+P7)/(Debt!Q114+Debt!P114),Q17),0)</f>
        <v>1.3511097050723</v>
      </c>
      <c r="R18" s="3" t="n">
        <f aca="false">IF(Debt!R114&gt;Inputs!$F$253,IF(Debt!Q114&gt;Inputs!$F$253,(R7+Q7)/(Debt!R114+Debt!Q114),R17),0)</f>
        <v>1.35105192752099</v>
      </c>
      <c r="S18" s="3" t="n">
        <f aca="false">IF(Debt!S114&gt;Inputs!$F$253,IF(Debt!R114&gt;Inputs!$F$253,(S7+R7)/(Debt!S114+Debt!R114),S17),0)</f>
        <v>1.3509942552117</v>
      </c>
      <c r="T18" s="3" t="n">
        <f aca="false">IF(Debt!T114&gt;Inputs!$F$253,IF(Debt!S114&gt;Inputs!$F$253,(T7+S7)/(Debt!T114+Debt!S114),T17),0)</f>
        <v>1.35094178290776</v>
      </c>
      <c r="U18" s="3" t="n">
        <f aca="false">IF(Debt!U114&gt;Inputs!$F$253,IF(Debt!T114&gt;Inputs!$F$253,(U7+T7)/(Debt!U114+Debt!T114),U17),0)</f>
        <v>1.35088438989526</v>
      </c>
      <c r="V18" s="3" t="n">
        <f aca="false">IF(Debt!V114&gt;Inputs!$F$253,IF(Debt!U114&gt;Inputs!$F$253,(V7+U7)/(Debt!V114+Debt!U114),V17),0)</f>
        <v>1.35081135781923</v>
      </c>
      <c r="W18" s="3" t="n">
        <f aca="false">IF(Debt!W114&gt;Inputs!$F$253,IF(Debt!V114&gt;Inputs!$F$253,(W7+V7)/(Debt!W114+Debt!V114),W17),0)</f>
        <v>1.3507438200501</v>
      </c>
      <c r="X18" s="3" t="n">
        <f aca="false">IF(Debt!X114&gt;Inputs!$F$253,IF(Debt!W114&gt;Inputs!$F$253,(X7+W7)/(Debt!X114+Debt!W114),X17),0)</f>
        <v>1.35070857260876</v>
      </c>
      <c r="Y18" s="3" t="n">
        <f aca="false">IF(Debt!Y114&gt;Inputs!$F$253,IF(Debt!X114&gt;Inputs!$F$253,(Y7+X7)/(Debt!Y114+Debt!X114),Y17),0)</f>
        <v>1.3506708480232</v>
      </c>
      <c r="Z18" s="3" t="n">
        <f aca="false">IF(Debt!Z114&gt;Inputs!$F$253,IF(Debt!Y114&gt;Inputs!$F$253,(Z7+Y7)/(Debt!Z114+Debt!Y114),Z17),0)</f>
        <v>1.35060901318923</v>
      </c>
      <c r="AA18" s="3" t="n">
        <f aca="false">IF(Debt!AA114&gt;Inputs!$F$253,IF(Debt!Z114&gt;Inputs!$F$253,(AA7+Z7)/(Debt!AA114+Debt!Z114),AA17),0)</f>
        <v>1.35054467707933</v>
      </c>
      <c r="AB18" s="3" t="n">
        <f aca="false">IF(Debt!AB114&gt;Inputs!$F$253,IF(Debt!AA114&gt;Inputs!$F$253,(AB7+AA7)/(Debt!AB114+Debt!AA114),AB17),0)</f>
        <v>1.36247465717615</v>
      </c>
      <c r="AC18" s="3" t="n">
        <f aca="false">IF(Debt!AC114&gt;Inputs!$F$253,IF(Debt!AB114&gt;Inputs!$F$253,(AC7+AB7)/(Debt!AC114+Debt!AB114),AC17),0)</f>
        <v>1.3894234392837</v>
      </c>
      <c r="AD18" s="3" t="n">
        <f aca="false">IF(Debt!AD114&gt;Inputs!$F$253,IF(Debt!AC114&gt;Inputs!$F$253,(AD7+AC7)/(Debt!AD114+Debt!AC114),AD17),0)</f>
        <v>1.42059333808577</v>
      </c>
      <c r="AE18" s="3" t="n">
        <f aca="false">IF(Debt!AE114&gt;Inputs!$F$253,IF(Debt!AD114&gt;Inputs!$F$253,(AE7+AD7)/(Debt!AE114+Debt!AD114),AE17),0)</f>
        <v>1.45683283979466</v>
      </c>
      <c r="AF18" s="3" t="n">
        <f aca="false">IF(Debt!AF114&gt;Inputs!$F$253,IF(Debt!AE114&gt;Inputs!$F$253,(AF7+AE7)/(Debt!AF114+Debt!AE114),AF17),0)</f>
        <v>1.50373395566588</v>
      </c>
      <c r="AG18" s="3" t="n">
        <f aca="false">IF(Debt!AG114&gt;Inputs!$F$253,IF(Debt!AF114&gt;Inputs!$F$253,(AG7+AF7)/(Debt!AG114+Debt!AF114),AG17),0)</f>
        <v>1.56418853563193</v>
      </c>
      <c r="AH18" s="3" t="n">
        <f aca="false">IF(Debt!AH114&gt;Inputs!$F$253,IF(Debt!AG114&gt;Inputs!$F$253,(AH7+AG7)/(Debt!AH114+Debt!AG114),AH17),0)</f>
        <v>1.64179260322248</v>
      </c>
      <c r="AI18" s="3" t="n">
        <f aca="false">IF(Debt!AI114&gt;Inputs!$F$253,IF(Debt!AH114&gt;Inputs!$F$253,(AI7+AH7)/(Debt!AI114+Debt!AH114),AI17),0)</f>
        <v>1.74339200128595</v>
      </c>
      <c r="AJ18" s="3" t="n">
        <f aca="false">IF(Debt!AJ114&gt;Inputs!$F$253,IF(Debt!AI114&gt;Inputs!$F$253,(AJ7+AI7)/(Debt!AJ114+Debt!AI114),AJ17),0)</f>
        <v>1.89078642630341</v>
      </c>
      <c r="AK18" s="3" t="n">
        <f aca="false">IF(Debt!AK114&gt;Inputs!$F$253,IF(Debt!AJ114&gt;Inputs!$F$253,(AK7+AJ7)/(Debt!AK114+Debt!AJ114),AK17),0)</f>
        <v>2.11401968042674</v>
      </c>
      <c r="AL18" s="3" t="n">
        <f aca="false">IF(Debt!AL114&gt;Inputs!$F$253,IF(Debt!AK114&gt;Inputs!$F$253,(AL7+AK7)/(Debt!AL114+Debt!AK114),AL17),0)</f>
        <v>2.25529468443821</v>
      </c>
      <c r="AM18" s="3" t="n">
        <f aca="false">IF(Debt!AM114&gt;Inputs!$F$253,IF(Debt!AL114&gt;Inputs!$F$253,(AM7+AL7)/(Debt!AM114+Debt!AL114),AM17),0)</f>
        <v>2.23291465046512</v>
      </c>
      <c r="AN18" s="3" t="n">
        <f aca="false">IF(Debt!AN114&gt;Inputs!$F$253,IF(Debt!AM114&gt;Inputs!$F$253,(AN7+AM7)/(Debt!AN114+Debt!AM114),AN17),0)</f>
        <v>2.21769636043047</v>
      </c>
      <c r="AO18" s="3" t="n">
        <f aca="false">IF(Debt!AO114&gt;Inputs!$F$253,IF(Debt!AN114&gt;Inputs!$F$253,(AO7+AN7)/(Debt!AO114+Debt!AN114),AO17),0)</f>
        <v>2.20550412589896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1868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1869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1870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1871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1872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1873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1874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1875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1876</v>
      </c>
    </row>
    <row r="28" customFormat="false" ht="15" hidden="false" customHeight="false" outlineLevel="0" collapsed="false">
      <c r="D28" s="0" t="s">
        <v>1877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1878</v>
      </c>
      <c r="E29" s="0" t="s">
        <v>151</v>
      </c>
      <c r="G29" s="13" t="n">
        <f aca="false">SUM(J29:BN29)</f>
        <v>94.6950541878658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6.19467292392291</v>
      </c>
      <c r="AB29" s="13" t="n">
        <f aca="false">IF(AND(AB24=1,Time!AB52=1,Inputs!$F$52=1),MIN(Inputs!$F$111*AB15,Debt!AB73),0)</f>
        <v>7.20343814378053</v>
      </c>
      <c r="AC29" s="13" t="n">
        <f aca="false">IF(AND(AC24=1,Time!AC52=1,Inputs!$F$52=1),MIN(Inputs!$F$111*AC15,Debt!AC73),0)</f>
        <v>6.87529341495345</v>
      </c>
      <c r="AD29" s="13" t="n">
        <f aca="false">IF(AND(AD24=1,Time!AD52=1,Inputs!$F$52=1),MIN(Inputs!$F$111*AD15,Debt!AD73),0)</f>
        <v>8.21644113806305</v>
      </c>
      <c r="AE29" s="13" t="n">
        <f aca="false">IF(AND(AE24=1,Time!AE52=1,Inputs!$F$52=1),MIN(Inputs!$F$111*AE15,Debt!AE73),0)</f>
        <v>8.82925971748235</v>
      </c>
      <c r="AF29" s="13" t="n">
        <f aca="false">IF(AND(AF24=1,Time!AF52=1,Inputs!$F$52=1),MIN(Inputs!$F$111*AF15,Debt!AF73),0)</f>
        <v>9.72559979921583</v>
      </c>
      <c r="AG29" s="13" t="n">
        <f aca="false">IF(AND(AG24=1,Time!AG52=1,Inputs!$F$52=1),MIN(Inputs!$F$111*AG15,Debt!AG73),0)</f>
        <v>10.1611150818953</v>
      </c>
      <c r="AH29" s="13" t="n">
        <f aca="false">IF(AND(AH24=1,Time!AH52=1,Inputs!$F$52=1),MIN(Inputs!$F$111*AH15,Debt!AH73),0)</f>
        <v>11.5431056828627</v>
      </c>
      <c r="AI29" s="13" t="n">
        <f aca="false">IF(AND(AI24=1,Time!AI52=1,Inputs!$F$52=1),MIN(Inputs!$F$111*AI15,Debt!AI73),0)</f>
        <v>12.4209849507657</v>
      </c>
      <c r="AJ29" s="13" t="n">
        <f aca="false">IF(AND(AJ24=1,Time!AJ52=1,Inputs!$F$52=1),MIN(Inputs!$F$111*AJ15,Debt!AJ73),0)</f>
        <v>13.5251433349239</v>
      </c>
      <c r="AK29" s="13" t="n">
        <f aca="false">IF(AND(AK24=1,Time!AK52=1,Inputs!$F$52=1),MIN(Inputs!$F$111*AK15,Debt!AK73),0)</f>
        <v>0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1879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1.87603501833575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1880</v>
      </c>
      <c r="E31" s="0" t="s">
        <v>151</v>
      </c>
      <c r="G31" s="13" t="n">
        <f aca="false">SUM(J31:BN31)</f>
        <v>1395.95656779226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15.0431875520562</v>
      </c>
      <c r="Q31" s="13" t="n">
        <f aca="false">IF(Q24=1,Q15-Q29,0)</f>
        <v>12.5775422667034</v>
      </c>
      <c r="R31" s="13" t="n">
        <f aca="false">IF(R24=1,R15-R29,0)</f>
        <v>13.4984572709862</v>
      </c>
      <c r="S31" s="13" t="n">
        <f aca="false">IF(S24=1,S15-S29,0)</f>
        <v>12.6849716672045</v>
      </c>
      <c r="T31" s="13" t="n">
        <f aca="false">IF(T24=1,T15-T29,0)</f>
        <v>13.427946993756</v>
      </c>
      <c r="U31" s="13" t="n">
        <f aca="false">IF(U24=1,U15-U29,0)</f>
        <v>12.4646331772141</v>
      </c>
      <c r="V31" s="13" t="n">
        <f aca="false">IF(V24=1,V15-V29,0)</f>
        <v>13.6948951770782</v>
      </c>
      <c r="W31" s="13" t="n">
        <f aca="false">IF(W24=1,W15-W29,0)</f>
        <v>14.431893426527</v>
      </c>
      <c r="X31" s="13" t="n">
        <f aca="false">IF(X24=1,X15-X29,0)</f>
        <v>13.3065573629278</v>
      </c>
      <c r="Y31" s="13" t="n">
        <f aca="false">IF(Y24=1,Y15-Y29,0)</f>
        <v>12.5221955375342</v>
      </c>
      <c r="Z31" s="13" t="n">
        <f aca="false">IF(Z24=1,Z15-Z29,0)</f>
        <v>13.2232504532553</v>
      </c>
      <c r="AA31" s="13" t="n">
        <f aca="false">IF(AA24=1,AA15-AA29,0)</f>
        <v>6.19467292392291</v>
      </c>
      <c r="AB31" s="13" t="n">
        <f aca="false">IF(AB24=1,AB15-AB29,0)</f>
        <v>7.20343814378053</v>
      </c>
      <c r="AC31" s="13" t="n">
        <f aca="false">IF(AC24=1,AC15-AC29,0)</f>
        <v>6.87529341495345</v>
      </c>
      <c r="AD31" s="13" t="n">
        <f aca="false">IF(AD24=1,AD15-AD29,0)</f>
        <v>8.21644113806305</v>
      </c>
      <c r="AE31" s="13" t="n">
        <f aca="false">IF(AE24=1,AE15-AE29,0)</f>
        <v>8.82925971748235</v>
      </c>
      <c r="AF31" s="13" t="n">
        <f aca="false">IF(AF24=1,AF15-AF29,0)</f>
        <v>9.72559979921583</v>
      </c>
      <c r="AG31" s="13" t="n">
        <f aca="false">IF(AG24=1,AG15-AG29,0)</f>
        <v>10.1611150818953</v>
      </c>
      <c r="AH31" s="13" t="n">
        <f aca="false">IF(AH24=1,AH15-AH29,0)</f>
        <v>11.5431056828627</v>
      </c>
      <c r="AI31" s="13" t="n">
        <f aca="false">IF(AI24=1,AI15-AI29,0)</f>
        <v>12.4209849507657</v>
      </c>
      <c r="AJ31" s="13" t="n">
        <f aca="false">IF(AJ24=1,AJ15-AJ29,0)</f>
        <v>15.0914768069019</v>
      </c>
      <c r="AK31" s="13" t="n">
        <f aca="false">IF(AK24=1,AK15-AK29,0)</f>
        <v>31.8746679581498</v>
      </c>
      <c r="AL31" s="13" t="n">
        <f aca="false">IF(AL24=1,AL15-AL29,0)</f>
        <v>29.6966486828974</v>
      </c>
      <c r="AM31" s="13" t="n">
        <f aca="false">IF(AM24=1,AM15-AM29,0)</f>
        <v>33.181686259403</v>
      </c>
      <c r="AN31" s="13" t="n">
        <f aca="false">IF(AN24=1,AN15-AN29,0)</f>
        <v>23.4789265328682</v>
      </c>
      <c r="AO31" s="13" t="n">
        <f aca="false">IF(AO24=1,AO15-AO29,0)</f>
        <v>41.5079662531116</v>
      </c>
      <c r="AP31" s="13" t="n">
        <f aca="false">IF(AP24=1,AP15-AP29,0)</f>
        <v>41.6065463833064</v>
      </c>
      <c r="AQ31" s="13" t="n">
        <f aca="false">IF(AQ24=1,AQ15-AQ29,0)</f>
        <v>41.1574518197032</v>
      </c>
      <c r="AR31" s="13" t="n">
        <f aca="false">IF(AR24=1,AR15-AR29,0)</f>
        <v>41.7513447779987</v>
      </c>
      <c r="AS31" s="13" t="n">
        <f aca="false">IF(AS24=1,AS15-AS29,0)</f>
        <v>41.4840678337932</v>
      </c>
      <c r="AT31" s="13" t="n">
        <f aca="false">IF(AT24=1,AT15-AT29,0)</f>
        <v>48.2154950821326</v>
      </c>
      <c r="AU31" s="13" t="n">
        <f aca="false">IF(AU24=1,AU15-AU29,0)</f>
        <v>43.7762166513415</v>
      </c>
      <c r="AV31" s="13" t="n">
        <f aca="false">IF(AV24=1,AV15-AV29,0)</f>
        <v>43.8963319855744</v>
      </c>
      <c r="AW31" s="13" t="n">
        <f aca="false">IF(AW24=1,AW15-AW29,0)</f>
        <v>43.469466754219</v>
      </c>
      <c r="AX31" s="13" t="n">
        <f aca="false">IF(AX24=1,AX15-AX29,0)</f>
        <v>44.1417443542776</v>
      </c>
      <c r="AY31" s="13" t="n">
        <f aca="false">IF(AY24=1,AY15-AY29,0)</f>
        <v>43.6826037006889</v>
      </c>
      <c r="AZ31" s="13" t="n">
        <f aca="false">IF(AZ24=1,AZ15-AZ29,0)</f>
        <v>44.2974310433168</v>
      </c>
      <c r="BA31" s="13" t="n">
        <f aca="false">IF(BA24=1,BA15-BA29,0)</f>
        <v>43.5026843769461</v>
      </c>
      <c r="BB31" s="13" t="n">
        <f aca="false">IF(BB24=1,BB15-BB29,0)</f>
        <v>44.7416746918274</v>
      </c>
      <c r="BC31" s="13" t="n">
        <f aca="false">IF(BC24=1,BC15-BC29,0)</f>
        <v>41.3238371536044</v>
      </c>
      <c r="BD31" s="13" t="n">
        <f aca="false">IF(BD24=1,BD15-BD29,0)</f>
        <v>35.2040829880542</v>
      </c>
      <c r="BE31" s="13" t="n">
        <f aca="false">IF(BE24=1,BE15-BE29,0)</f>
        <v>34.751674570313</v>
      </c>
      <c r="BF31" s="13" t="n">
        <f aca="false">IF(BF24=1,BF15-BF29,0)</f>
        <v>35.4360195856147</v>
      </c>
      <c r="BG31" s="13" t="n">
        <f aca="false">IF(BG24=1,BG15-BG29,0)</f>
        <v>34.9488421342375</v>
      </c>
      <c r="BH31" s="13" t="n">
        <f aca="false">IF(BH24=1,BH15-BH29,0)</f>
        <v>35.5689325865503</v>
      </c>
      <c r="BI31" s="13" t="n">
        <f aca="false">IF(BI24=1,BI15-BI29,0)</f>
        <v>35.288343743406</v>
      </c>
      <c r="BJ31" s="13" t="n">
        <f aca="false">IF(BJ24=1,BJ15-BJ29,0)</f>
        <v>43.2931564015163</v>
      </c>
      <c r="BK31" s="13" t="n">
        <f aca="false">IF(BK24=1,BK15-BK29,0)</f>
        <v>38.023103943991</v>
      </c>
      <c r="BL31" s="13" t="n">
        <f aca="false">IF(BL24=1,BL15-BL29,0)</f>
        <v>38.747362885205</v>
      </c>
      <c r="BM31" s="13" t="n">
        <f aca="false">IF(BM24=1,BM15-BM29,0)</f>
        <v>54.7713381131302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1881</v>
      </c>
      <c r="E32" s="0" t="s">
        <v>151</v>
      </c>
      <c r="F32" s="17" t="n">
        <f aca="false">SUM(Funding!$J$69:$BJ$69)</f>
        <v>44.3667535168114</v>
      </c>
    </row>
    <row r="33" customFormat="false" ht="15" hidden="false" customHeight="false" outlineLevel="0" collapsed="false">
      <c r="D33" s="0" t="s">
        <v>1882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201.659718724773</v>
      </c>
      <c r="P33" s="13" t="n">
        <f aca="false">IF(Time!P20&lt;Time!$F$12,0,IF(Time!P34=1,INDEX(Funding!$J$72:$BJ$72,1,Time!$F$14),O36))</f>
        <v>204.861412067266</v>
      </c>
      <c r="Q33" s="13" t="n">
        <f aca="false">IF(Time!Q20&lt;Time!$F$12,0,IF(Time!Q34=1,INDEX(Funding!$J$72:$BJ$72,1,Time!$F$14),P36))</f>
        <v>199.629121728733</v>
      </c>
      <c r="R33" s="13" t="n">
        <f aca="false">IF(Time!R20&lt;Time!$F$12,0,IF(Time!R34=1,INDEX(Funding!$J$72:$BJ$72,1,Time!$F$14),Q36))</f>
        <v>196.456025347305</v>
      </c>
      <c r="S33" s="13" t="n">
        <f aca="false">IF(Time!S20&lt;Time!$F$12,0,IF(Time!S34=1,INDEX(Funding!$J$72:$BJ$72,1,Time!$F$14),R36))</f>
        <v>192.365927865554</v>
      </c>
      <c r="T33" s="13" t="n">
        <f aca="false">IF(Time!T20&lt;Time!$F$12,0,IF(Time!T34=1,INDEX(Funding!$J$72:$BJ$72,1,Time!$F$14),S36))</f>
        <v>188.743236005605</v>
      </c>
      <c r="U33" s="13" t="n">
        <f aca="false">IF(Time!U20&lt;Time!$F$12,0,IF(Time!U34=1,INDEX(Funding!$J$72:$BJ$72,1,Time!$F$14),T36))</f>
        <v>184.354280149871</v>
      </c>
      <c r="V33" s="13" t="n">
        <f aca="false">IF(Time!V20&lt;Time!$F$12,0,IF(Time!V34=1,INDEX(Funding!$J$72:$BJ$72,1,Time!$F$14),U36))</f>
        <v>180.622483969345</v>
      </c>
      <c r="W33" s="13" t="n">
        <f aca="false">IF(Time!W20&lt;Time!$F$12,0,IF(Time!W34=1,INDEX(Funding!$J$72:$BJ$72,1,Time!$F$14),V36))</f>
        <v>175.577673777977</v>
      </c>
      <c r="X33" s="13" t="n">
        <f aca="false">IF(Time!X20&lt;Time!$F$12,0,IF(Time!X34=1,INDEX(Funding!$J$72:$BJ$72,1,Time!$F$14),W36))</f>
        <v>169.417172407922</v>
      </c>
      <c r="Y33" s="13" t="n">
        <f aca="false">IF(Time!Y20&lt;Time!$F$12,0,IF(Time!Y34=1,INDEX(Funding!$J$72:$BJ$72,1,Time!$F$14),X36))</f>
        <v>164.224073055105</v>
      </c>
      <c r="Z33" s="13" t="n">
        <f aca="false">IF(Time!Z20&lt;Time!$F$12,0,IF(Time!Z34=1,INDEX(Funding!$J$72:$BJ$72,1,Time!$F$14),Y36))</f>
        <v>159.438406109852</v>
      </c>
      <c r="AA33" s="13" t="n">
        <f aca="false">IF(Time!AA20&lt;Time!$F$12,0,IF(Time!AA34=1,INDEX(Funding!$J$72:$BJ$72,1,Time!$F$14),Z36))</f>
        <v>153.85072644783</v>
      </c>
      <c r="AB33" s="13" t="n">
        <f aca="false">IF(Time!AB20&lt;Time!$F$12,0,IF(Time!AB34=1,INDEX(Funding!$J$72:$BJ$72,1,Time!$F$14),AA36))</f>
        <v>154.903898020538</v>
      </c>
      <c r="AC33" s="13" t="n">
        <f aca="false">IF(Time!AC20&lt;Time!$F$12,0,IF(Time!AC34=1,INDEX(Funding!$J$72:$BJ$72,1,Time!$F$14),AB36))</f>
        <v>155.118871212097</v>
      </c>
      <c r="AD33" s="13" t="n">
        <f aca="false">IF(Time!AD20&lt;Time!$F$12,0,IF(Time!AD34=1,INDEX(Funding!$J$72:$BJ$72,1,Time!$F$14),AC36))</f>
        <v>155.591537477301</v>
      </c>
      <c r="AE33" s="13" t="n">
        <f aca="false">IF(Time!AE20&lt;Time!$F$12,0,IF(Time!AE34=1,INDEX(Funding!$J$72:$BJ$72,1,Time!$F$14),AD36))</f>
        <v>154.826439010753</v>
      </c>
      <c r="AF33" s="13" t="n">
        <f aca="false">IF(Time!AF20&lt;Time!$F$12,0,IF(Time!AF34=1,INDEX(Funding!$J$72:$BJ$72,1,Time!$F$14),AE36))</f>
        <v>153.290989207764</v>
      </c>
      <c r="AG33" s="13" t="n">
        <f aca="false">IF(Time!AG20&lt;Time!$F$12,0,IF(Time!AG34=1,INDEX(Funding!$J$72:$BJ$72,1,Time!$F$14),AF36))</f>
        <v>150.906557878005</v>
      </c>
      <c r="AH33" s="13" t="n">
        <f aca="false">IF(Time!AH20&lt;Time!$F$12,0,IF(Time!AH34=1,INDEX(Funding!$J$72:$BJ$72,1,Time!$F$14),AG36))</f>
        <v>147.854588721349</v>
      </c>
      <c r="AI33" s="13" t="n">
        <f aca="false">IF(Time!AI20&lt;Time!$F$12,0,IF(Time!AI34=1,INDEX(Funding!$J$72:$BJ$72,1,Time!$F$14),AH36))</f>
        <v>143.392300054511</v>
      </c>
      <c r="AJ33" s="13" t="n">
        <f aca="false">IF(Time!AJ20&lt;Time!$F$12,0,IF(Time!AJ34=1,INDEX(Funding!$J$72:$BJ$72,1,Time!$F$14),AI36))</f>
        <v>137.726467430971</v>
      </c>
      <c r="AK33" s="13" t="n">
        <f aca="false">IF(Time!AK20&lt;Time!$F$12,0,IF(Time!AK34=1,INDEX(Funding!$J$72:$BJ$72,1,Time!$F$14),AJ36))</f>
        <v>129.230767749256</v>
      </c>
      <c r="AL33" s="13" t="n">
        <f aca="false">IF(Time!AL20&lt;Time!$F$12,0,IF(Time!AL34=1,INDEX(Funding!$J$72:$BJ$72,1,Time!$F$14),AK36))</f>
        <v>103.477743556544</v>
      </c>
      <c r="AM33" s="13" t="n">
        <f aca="false">IF(Time!AM20&lt;Time!$F$12,0,IF(Time!AM34=1,INDEX(Funding!$J$72:$BJ$72,1,Time!$F$14),AL36))</f>
        <v>78.7366865376693</v>
      </c>
      <c r="AN33" s="13" t="n">
        <f aca="false">IF(Time!AN20&lt;Time!$F$12,0,IF(Time!AN34=1,INDEX(Funding!$J$72:$BJ$72,1,Time!$F$14),AM36))</f>
        <v>49.2642532235135</v>
      </c>
      <c r="AO33" s="13" t="n">
        <f aca="false">IF(Time!AO20&lt;Time!$F$12,0,IF(Time!AO34=1,INDEX(Funding!$J$72:$BJ$72,1,Time!$F$14),AN36))</f>
        <v>28.1446120231028</v>
      </c>
      <c r="AP33" s="13" t="n">
        <f aca="false">IF(Time!AP20&lt;Time!$F$12,0,IF(Time!AP34=1,INDEX(Funding!$J$72:$BJ$72,1,Time!$F$14),AO36))</f>
        <v>0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1883</v>
      </c>
      <c r="E34" s="0" t="s">
        <v>151</v>
      </c>
      <c r="G34" s="13" t="n">
        <f aca="false">SUM(J34:BN34)</f>
        <v>184.2371180109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9.81089721352277</v>
      </c>
      <c r="Q34" s="13" t="n">
        <f aca="false">Q24*MIN(Q31,Tax!Q13)</f>
        <v>9.40444588527551</v>
      </c>
      <c r="R34" s="13" t="n">
        <f aca="false">R24*MIN(R31,Tax!R13)</f>
        <v>9.40835978923532</v>
      </c>
      <c r="S34" s="13" t="n">
        <f aca="false">S24*MIN(S31,Tax!S13)</f>
        <v>9.06227980725535</v>
      </c>
      <c r="T34" s="13" t="n">
        <f aca="false">T24*MIN(T31,Tax!T13)</f>
        <v>9.03899113802184</v>
      </c>
      <c r="U34" s="13" t="n">
        <f aca="false">U24*MIN(U31,Tax!U13)</f>
        <v>8.7328369966884</v>
      </c>
      <c r="V34" s="13" t="n">
        <f aca="false">V24*MIN(V31,Tax!V13)</f>
        <v>8.65008498571001</v>
      </c>
      <c r="W34" s="13" t="n">
        <f aca="false">W24*MIN(W31,Tax!W13)</f>
        <v>8.27139205647209</v>
      </c>
      <c r="X34" s="13" t="n">
        <f aca="false">X24*MIN(X31,Tax!X13)</f>
        <v>8.1134580101109</v>
      </c>
      <c r="Y34" s="13" t="n">
        <f aca="false">Y24*MIN(Y31,Tax!Y13)</f>
        <v>7.73652859228091</v>
      </c>
      <c r="Z34" s="13" t="n">
        <f aca="false">Z24*MIN(Z31,Tax!Z13)</f>
        <v>7.63557079123345</v>
      </c>
      <c r="AA34" s="13" t="n">
        <f aca="false">AA24*MIN(AA31,Tax!AA13)</f>
        <v>6.19467292392291</v>
      </c>
      <c r="AB34" s="13" t="n">
        <f aca="false">AB24*MIN(AB31,Tax!AB13)</f>
        <v>7.20343814378053</v>
      </c>
      <c r="AC34" s="13" t="n">
        <f aca="false">AC24*MIN(AC31,Tax!AC13)</f>
        <v>6.87529341495345</v>
      </c>
      <c r="AD34" s="13" t="n">
        <f aca="false">AD24*MIN(AD31,Tax!AD13)</f>
        <v>7.45134267151566</v>
      </c>
      <c r="AE34" s="13" t="n">
        <f aca="false">AE24*MIN(AE31,Tax!AE13)</f>
        <v>7.29380991449288</v>
      </c>
      <c r="AF34" s="13" t="n">
        <f aca="false">AF24*MIN(AF31,Tax!AF13)</f>
        <v>7.34116846945674</v>
      </c>
      <c r="AG34" s="13" t="n">
        <f aca="false">AG24*MIN(AG31,Tax!AG13)</f>
        <v>7.10914592523915</v>
      </c>
      <c r="AH34" s="13" t="n">
        <f aca="false">AH24*MIN(AH31,Tax!AH13)</f>
        <v>7.08081701602513</v>
      </c>
      <c r="AI34" s="13" t="n">
        <f aca="false">AI24*MIN(AI31,Tax!AI13)</f>
        <v>6.75515232722552</v>
      </c>
      <c r="AJ34" s="13" t="n">
        <f aca="false">AJ24*MIN(AJ31,Tax!AJ13)</f>
        <v>6.59577712518731</v>
      </c>
      <c r="AK34" s="13" t="n">
        <f aca="false">AK24*MIN(AK31,Tax!AK13)</f>
        <v>6.12164376543737</v>
      </c>
      <c r="AL34" s="13" t="n">
        <f aca="false">AL24*MIN(AL31,Tax!AL13)</f>
        <v>4.95559166402297</v>
      </c>
      <c r="AM34" s="13" t="n">
        <f aca="false">AM24*MIN(AM31,Tax!AM13)</f>
        <v>3.70925294524719</v>
      </c>
      <c r="AN34" s="13" t="n">
        <f aca="false">AN24*MIN(AN31,Tax!AN13)</f>
        <v>2.35928533245758</v>
      </c>
      <c r="AO34" s="13" t="n">
        <f aca="false">AO24*MIN(AO31,Tax!AO13)</f>
        <v>1.32588110612946</v>
      </c>
      <c r="AP34" s="13" t="n">
        <f aca="false">AP24*MIN(AP31,Tax!AP13)</f>
        <v>0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1884</v>
      </c>
      <c r="E35" s="0" t="s">
        <v>151</v>
      </c>
      <c r="G35" s="13" t="n">
        <f aca="false">SUM(J35:BN35)</f>
        <v>206.602223096737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5.2322903385334</v>
      </c>
      <c r="Q35" s="13" t="n">
        <f aca="false">Q24*MIN(Q31-Q34,Q33+Tax!Q13-Q34)</f>
        <v>3.17309638142786</v>
      </c>
      <c r="R35" s="13" t="n">
        <f aca="false">R24*MIN(R31-R34,R33+Tax!R13-R34)</f>
        <v>4.09009748175085</v>
      </c>
      <c r="S35" s="13" t="n">
        <f aca="false">S24*MIN(S31-S34,S33+Tax!S13-S34)</f>
        <v>3.62269185994918</v>
      </c>
      <c r="T35" s="13" t="n">
        <f aca="false">T24*MIN(T31-T34,T33+Tax!T13-T34)</f>
        <v>4.38895585573413</v>
      </c>
      <c r="U35" s="13" t="n">
        <f aca="false">U24*MIN(U31-U34,U33+Tax!U13-U34)</f>
        <v>3.7317961805257</v>
      </c>
      <c r="V35" s="13" t="n">
        <f aca="false">V24*MIN(V31-V34,V33+Tax!V13-V34)</f>
        <v>5.04481019136816</v>
      </c>
      <c r="W35" s="13" t="n">
        <f aca="false">W24*MIN(W31-W34,W33+Tax!W13-W34)</f>
        <v>6.16050137005492</v>
      </c>
      <c r="X35" s="13" t="n">
        <f aca="false">X24*MIN(X31-X34,X33+Tax!X13-X34)</f>
        <v>5.19309935281695</v>
      </c>
      <c r="Y35" s="13" t="n">
        <f aca="false">Y24*MIN(Y31-Y34,Y33+Tax!Y13-Y34)</f>
        <v>4.78566694525333</v>
      </c>
      <c r="Z35" s="13" t="n">
        <f aca="false">Z24*MIN(Z31-Z34,Z33+Tax!Z13-Z34)</f>
        <v>5.58767966202189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0.765098466547389</v>
      </c>
      <c r="AE35" s="13" t="n">
        <f aca="false">AE24*MIN(AE31-AE34,AE33+Tax!AE13-AE34)</f>
        <v>1.53544980298947</v>
      </c>
      <c r="AF35" s="13" t="n">
        <f aca="false">AF24*MIN(AF31-AF34,AF33+Tax!AF13-AF34)</f>
        <v>2.38443132975908</v>
      </c>
      <c r="AG35" s="13" t="n">
        <f aca="false">AG24*MIN(AG31-AG34,AG33+Tax!AG13-AG34)</f>
        <v>3.05196915665619</v>
      </c>
      <c r="AH35" s="13" t="n">
        <f aca="false">AH24*MIN(AH31-AH34,AH33+Tax!AH13-AH34)</f>
        <v>4.46228866683759</v>
      </c>
      <c r="AI35" s="13" t="n">
        <f aca="false">AI24*MIN(AI31-AI34,AI33+Tax!AI13-AI34)</f>
        <v>5.6658326235402</v>
      </c>
      <c r="AJ35" s="13" t="n">
        <f aca="false">AJ24*MIN(AJ31-AJ34,AJ33+Tax!AJ13-AJ34)</f>
        <v>8.49569968171457</v>
      </c>
      <c r="AK35" s="13" t="n">
        <f aca="false">AK24*MIN(AK31-AK34,AK33+Tax!AK13-AK34)</f>
        <v>25.7530241927125</v>
      </c>
      <c r="AL35" s="13" t="n">
        <f aca="false">AL24*MIN(AL31-AL34,AL33+Tax!AL13-AL34)</f>
        <v>24.7410570188744</v>
      </c>
      <c r="AM35" s="13" t="n">
        <f aca="false">AM24*MIN(AM31-AM34,AM33+Tax!AM13-AM34)</f>
        <v>29.4724333141558</v>
      </c>
      <c r="AN35" s="13" t="n">
        <f aca="false">AN24*MIN(AN31-AN34,AN33+Tax!AN13-AN34)</f>
        <v>21.1196412004106</v>
      </c>
      <c r="AO35" s="13" t="n">
        <f aca="false">AO24*MIN(AO31-AO34,AO33+Tax!AO13-AO34)</f>
        <v>28.1446120231028</v>
      </c>
      <c r="AP35" s="13" t="n">
        <f aca="false">AP24*MIN(AP31-AP34,AP33+Tax!AP13-AP34)</f>
        <v>0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1885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204.861412067266</v>
      </c>
      <c r="P36" s="13" t="n">
        <f aca="false">P33+Tax!P13-P34-P35</f>
        <v>199.629121728733</v>
      </c>
      <c r="Q36" s="13" t="n">
        <f aca="false">Q33+Tax!Q13-Q34-Q35</f>
        <v>196.456025347305</v>
      </c>
      <c r="R36" s="13" t="n">
        <f aca="false">R33+Tax!R13-R34-R35</f>
        <v>192.365927865554</v>
      </c>
      <c r="S36" s="13" t="n">
        <f aca="false">S33+Tax!S13-S34-S35</f>
        <v>188.743236005605</v>
      </c>
      <c r="T36" s="13" t="n">
        <f aca="false">T33+Tax!T13-T34-T35</f>
        <v>184.354280149871</v>
      </c>
      <c r="U36" s="13" t="n">
        <f aca="false">U33+Tax!U13-U34-U35</f>
        <v>180.622483969345</v>
      </c>
      <c r="V36" s="13" t="n">
        <f aca="false">V33+Tax!V13-V34-V35</f>
        <v>175.577673777977</v>
      </c>
      <c r="W36" s="13" t="n">
        <f aca="false">W33+Tax!W13-W34-W35</f>
        <v>169.417172407922</v>
      </c>
      <c r="X36" s="13" t="n">
        <f aca="false">X33+Tax!X13-X34-X35</f>
        <v>164.224073055105</v>
      </c>
      <c r="Y36" s="13" t="n">
        <f aca="false">Y33+Tax!Y13-Y34-Y35</f>
        <v>159.438406109852</v>
      </c>
      <c r="Z36" s="13" t="n">
        <f aca="false">Z33+Tax!Z13-Z34-Z35</f>
        <v>153.85072644783</v>
      </c>
      <c r="AA36" s="13" t="n">
        <f aca="false">AA33+Tax!AA13-AA34-AA35</f>
        <v>154.903898020538</v>
      </c>
      <c r="AB36" s="13" t="n">
        <f aca="false">AB33+Tax!AB13-AB34-AB35</f>
        <v>155.118871212097</v>
      </c>
      <c r="AC36" s="13" t="n">
        <f aca="false">AC33+Tax!AC13-AC34-AC35</f>
        <v>155.591537477301</v>
      </c>
      <c r="AD36" s="13" t="n">
        <f aca="false">AD33+Tax!AD13-AD34-AD35</f>
        <v>154.826439010753</v>
      </c>
      <c r="AE36" s="13" t="n">
        <f aca="false">AE33+Tax!AE13-AE34-AE35</f>
        <v>153.290989207764</v>
      </c>
      <c r="AF36" s="13" t="n">
        <f aca="false">AF33+Tax!AF13-AF34-AF35</f>
        <v>150.906557878005</v>
      </c>
      <c r="AG36" s="13" t="n">
        <f aca="false">AG33+Tax!AG13-AG34-AG35</f>
        <v>147.854588721349</v>
      </c>
      <c r="AH36" s="13" t="n">
        <f aca="false">AH33+Tax!AH13-AH34-AH35</f>
        <v>143.392300054511</v>
      </c>
      <c r="AI36" s="13" t="n">
        <f aca="false">AI33+Tax!AI13-AI34-AI35</f>
        <v>137.726467430971</v>
      </c>
      <c r="AJ36" s="13" t="n">
        <f aca="false">AJ33+Tax!AJ13-AJ34-AJ35</f>
        <v>129.230767749256</v>
      </c>
      <c r="AK36" s="13" t="n">
        <f aca="false">AK33+Tax!AK13-AK34-AK35</f>
        <v>103.477743556544</v>
      </c>
      <c r="AL36" s="13" t="n">
        <f aca="false">AL33+Tax!AL13-AL34-AL35</f>
        <v>78.7366865376693</v>
      </c>
      <c r="AM36" s="13" t="n">
        <f aca="false">AM33+Tax!AM13-AM34-AM35</f>
        <v>49.2642532235135</v>
      </c>
      <c r="AN36" s="13" t="n">
        <f aca="false">AN33+Tax!AN13-AN34-AN35</f>
        <v>28.1446120231028</v>
      </c>
      <c r="AO36" s="13" t="n">
        <f aca="false">AO33+Tax!AO13-AO34-AO35</f>
        <v>0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1886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9.79312983613362</v>
      </c>
      <c r="P37" s="13" t="n">
        <f aca="false">MAX(0,O43+Financials!P14)</f>
        <v>17.2168494579443</v>
      </c>
      <c r="Q37" s="13" t="n">
        <f aca="false">MAX(0,P43+Financials!Q14)</f>
        <v>25.9965265640678</v>
      </c>
      <c r="R37" s="13" t="n">
        <f aca="false">MAX(0,Q43+Financials!R14)</f>
        <v>35.2442707889545</v>
      </c>
      <c r="S37" s="13" t="n">
        <f aca="false">MAX(0,R43+Financials!S14)</f>
        <v>45.7213513396767</v>
      </c>
      <c r="T37" s="13" t="n">
        <f aca="false">MAX(0,S43+Financials!T14)</f>
        <v>56.6812043188679</v>
      </c>
      <c r="U37" s="13" t="n">
        <f aca="false">MAX(0,T43+Financials!U14)</f>
        <v>68.8719833251628</v>
      </c>
      <c r="V37" s="13" t="n">
        <f aca="false">MAX(0,U43+Financials!V14)</f>
        <v>79.3774290382858</v>
      </c>
      <c r="W37" s="13" t="n">
        <f aca="false">MAX(0,V43+Financials!W14)</f>
        <v>93.6942462174172</v>
      </c>
      <c r="X37" s="13" t="n">
        <f aca="false">MAX(0,W43+Financials!X14)</f>
        <v>108.690128405036</v>
      </c>
      <c r="Y37" s="13" t="n">
        <f aca="false">MAX(0,X43+Financials!Y14)</f>
        <v>121.681161310842</v>
      </c>
      <c r="Z37" s="13" t="n">
        <f aca="false">MAX(0,Y43+Financials!Z14)</f>
        <v>129.462562812273</v>
      </c>
      <c r="AA37" s="13" t="n">
        <f aca="false">MAX(0,Z43+Financials!AA14)</f>
        <v>138.218251346519</v>
      </c>
      <c r="AB37" s="13" t="n">
        <f aca="false">MAX(0,AA43+Financials!AB14)</f>
        <v>147.541266423835</v>
      </c>
      <c r="AC37" s="13" t="n">
        <f aca="false">MAX(0,AB43+Financials!AC14)</f>
        <v>157.921968736987</v>
      </c>
      <c r="AD37" s="13" t="n">
        <f aca="false">MAX(0,AC43+Financials!AD14)</f>
        <v>160.224751165563</v>
      </c>
      <c r="AE37" s="13" t="n">
        <f aca="false">MAX(0,AD43+Financials!AE14)</f>
        <v>172.544194693955</v>
      </c>
      <c r="AF37" s="13" t="n">
        <f aca="false">MAX(0,AE43+Financials!AF14)</f>
        <v>185.588066093903</v>
      </c>
      <c r="AG37" s="13" t="n">
        <f aca="false">MAX(0,AF43+Financials!AG14)</f>
        <v>199.72844831125</v>
      </c>
      <c r="AH37" s="13" t="n">
        <f aca="false">MAX(0,AG43+Financials!AH14)</f>
        <v>214.884373818522</v>
      </c>
      <c r="AI37" s="13" t="n">
        <f aca="false">MAX(0,AH43+Financials!AI14)</f>
        <v>231.351093008944</v>
      </c>
      <c r="AJ37" s="13" t="n">
        <f aca="false">MAX(0,AI43+Financials!AJ14)</f>
        <v>248.926248453054</v>
      </c>
      <c r="AK37" s="13" t="n">
        <f aca="false">MAX(0,AJ43+Financials!AK14)</f>
        <v>267.934371519325</v>
      </c>
      <c r="AL37" s="13" t="n">
        <f aca="false">MAX(0,AK43+Financials!AL14)</f>
        <v>286.241964627956</v>
      </c>
      <c r="AM37" s="13" t="n">
        <f aca="false">MAX(0,AL43+Financials!AM14)</f>
        <v>308.335246192877</v>
      </c>
      <c r="AN37" s="13" t="n">
        <f aca="false">MAX(0,AM43+Financials!AN14)</f>
        <v>331.779647886664</v>
      </c>
      <c r="AO37" s="13" t="n">
        <f aca="false">MAX(0,AN43+Financials!AO14)</f>
        <v>356.398400398773</v>
      </c>
      <c r="AP37" s="13" t="n">
        <f aca="false">MAX(0,AO43+Financials!AP14)</f>
        <v>370.37710707192</v>
      </c>
      <c r="AQ37" s="13" t="n">
        <f aca="false">MAX(0,AP43+Financials!AQ14)</f>
        <v>354.86511451856</v>
      </c>
      <c r="AR37" s="13" t="n">
        <f aca="false">MAX(0,AQ43+Financials!AR14)</f>
        <v>339.868063312959</v>
      </c>
      <c r="AS37" s="13" t="n">
        <f aca="false">MAX(0,AR43+Financials!AS14)</f>
        <v>324.454780987427</v>
      </c>
      <c r="AT37" s="13" t="n">
        <f aca="false">MAX(0,AS43+Financials!AT14)</f>
        <v>298.999103053471</v>
      </c>
      <c r="AU37" s="13" t="n">
        <f aca="false">MAX(0,AT43+Financials!AU14)</f>
        <v>277.402324429431</v>
      </c>
      <c r="AV37" s="13" t="n">
        <f aca="false">MAX(0,AU43+Financials!AV14)</f>
        <v>260.171247914685</v>
      </c>
      <c r="AW37" s="13" t="n">
        <f aca="false">MAX(0,AV43+Financials!AW14)</f>
        <v>242.932852401851</v>
      </c>
      <c r="AX37" s="13" t="n">
        <f aca="false">MAX(0,AW43+Financials!AX14)</f>
        <v>226.254104910503</v>
      </c>
      <c r="AY37" s="13" t="n">
        <f aca="false">MAX(0,AX43+Financials!AY14)</f>
        <v>208.986580432582</v>
      </c>
      <c r="AZ37" s="13" t="n">
        <f aca="false">MAX(0,AY43+Financials!AZ14)</f>
        <v>192.249156827698</v>
      </c>
      <c r="BA37" s="13" t="n">
        <f aca="false">MAX(0,AZ43+Financials!BA14)</f>
        <v>175.056223307616</v>
      </c>
      <c r="BB37" s="13" t="n">
        <f aca="false">MAX(0,BA43+Financials!BB14)</f>
        <v>156.406513683886</v>
      </c>
      <c r="BC37" s="13" t="n">
        <f aca="false">MAX(0,BB43+Financials!BC14)</f>
        <v>139.038964373561</v>
      </c>
      <c r="BD37" s="13" t="n">
        <f aca="false">MAX(0,BC43+Financials!BD14)</f>
        <v>125.076266845922</v>
      </c>
      <c r="BE37" s="13" t="n">
        <f aca="false">MAX(0,BD43+Financials!BE14)</f>
        <v>117.355000963019</v>
      </c>
      <c r="BF37" s="13" t="n">
        <f aca="false">MAX(0,BE43+Financials!BF14)</f>
        <v>110.231556702355</v>
      </c>
      <c r="BG37" s="13" t="n">
        <f aca="false">MAX(0,BF43+Financials!BG14)</f>
        <v>102.512729082591</v>
      </c>
      <c r="BH37" s="13" t="n">
        <f aca="false">MAX(0,BG43+Financials!BH14)</f>
        <v>95.3575502926322</v>
      </c>
      <c r="BI37" s="13" t="n">
        <f aca="false">MAX(0,BH43+Financials!BI14)</f>
        <v>87.7944518346526</v>
      </c>
      <c r="BJ37" s="13" t="n">
        <f aca="false">MAX(0,BI43+Financials!BJ14)</f>
        <v>68.3276624829325</v>
      </c>
      <c r="BK37" s="13" t="n">
        <f aca="false">MAX(0,BJ43+Financials!BK14)</f>
        <v>53.3747900035357</v>
      </c>
      <c r="BL37" s="13" t="n">
        <f aca="false">MAX(0,BK43+Financials!BL14)</f>
        <v>43.5951084759409</v>
      </c>
      <c r="BM37" s="13" t="n">
        <f aca="false">MAX(0,BL43+Financials!BM14)</f>
        <v>10.4045845963186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1887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12.0374731238793</v>
      </c>
      <c r="AP38" s="13" t="n">
        <f aca="false">AP24*MIN(AP31-AP34-AP35,AP37)</f>
        <v>41.6065463833064</v>
      </c>
      <c r="AQ38" s="13" t="n">
        <f aca="false">AQ24*MIN(AQ31-AQ34-AQ35,AQ37)</f>
        <v>41.1574518197032</v>
      </c>
      <c r="AR38" s="13" t="n">
        <f aca="false">AR24*MIN(AR31-AR34-AR35,AR37)</f>
        <v>41.7513447779987</v>
      </c>
      <c r="AS38" s="13" t="n">
        <f aca="false">AS24*MIN(AS31-AS34-AS35,AS37)</f>
        <v>41.4840678337932</v>
      </c>
      <c r="AT38" s="13" t="n">
        <f aca="false">AT24*MIN(AT31-AT34-AT35,AT37)</f>
        <v>48.2154950821326</v>
      </c>
      <c r="AU38" s="13" t="n">
        <f aca="false">AU24*MIN(AU31-AU34-AU35,AU37)</f>
        <v>43.7762166513415</v>
      </c>
      <c r="AV38" s="13" t="n">
        <f aca="false">AV24*MIN(AV31-AV34-AV35,AV37)</f>
        <v>43.8963319855744</v>
      </c>
      <c r="AW38" s="13" t="n">
        <f aca="false">AW24*MIN(AW31-AW34-AW35,AW37)</f>
        <v>43.469466754219</v>
      </c>
      <c r="AX38" s="13" t="n">
        <f aca="false">AX24*MIN(AX31-AX34-AX35,AX37)</f>
        <v>44.1417443542776</v>
      </c>
      <c r="AY38" s="13" t="n">
        <f aca="false">AY24*MIN(AY31-AY34-AY35,AY37)</f>
        <v>43.6826037006889</v>
      </c>
      <c r="AZ38" s="13" t="n">
        <f aca="false">AZ24*MIN(AZ31-AZ34-AZ35,AZ37)</f>
        <v>44.2974310433168</v>
      </c>
      <c r="BA38" s="13" t="n">
        <f aca="false">BA24*MIN(BA31-BA34-BA35,BA37)</f>
        <v>43.5026843769461</v>
      </c>
      <c r="BB38" s="13" t="n">
        <f aca="false">BB24*MIN(BB31-BB34-BB35,BB37)</f>
        <v>44.7416746918274</v>
      </c>
      <c r="BC38" s="13" t="n">
        <f aca="false">BC24*MIN(BC31-BC34-BC35,BC37)</f>
        <v>41.3238371536044</v>
      </c>
      <c r="BD38" s="13" t="n">
        <f aca="false">BD24*MIN(BD31-BD34-BD35,BD37)</f>
        <v>35.2040829880542</v>
      </c>
      <c r="BE38" s="13" t="n">
        <f aca="false">BE24*MIN(BE31-BE34-BE35,BE37)</f>
        <v>34.751674570313</v>
      </c>
      <c r="BF38" s="13" t="n">
        <f aca="false">BF24*MIN(BF31-BF34-BF35,BF37)</f>
        <v>35.4360195856147</v>
      </c>
      <c r="BG38" s="13" t="n">
        <f aca="false">BG24*MIN(BG31-BG34-BG35,BG37)</f>
        <v>34.9488421342375</v>
      </c>
      <c r="BH38" s="13" t="n">
        <f aca="false">BH24*MIN(BH31-BH34-BH35,BH37)</f>
        <v>35.5689325865503</v>
      </c>
      <c r="BI38" s="13" t="n">
        <f aca="false">BI24*MIN(BI31-BI34-BI35,BI37)</f>
        <v>35.288343743406</v>
      </c>
      <c r="BJ38" s="13" t="n">
        <f aca="false">BJ24*MIN(BJ31-BJ34-BJ35,BJ37)</f>
        <v>43.2931564015163</v>
      </c>
      <c r="BK38" s="13" t="n">
        <f aca="false">BK24*MIN(BK31-BK34-BK35,BK37)</f>
        <v>38.023103943991</v>
      </c>
      <c r="BL38" s="13" t="n">
        <f aca="false">BL24*MIN(BL31-BL34-BL35,BL37)</f>
        <v>38.747362885205</v>
      </c>
      <c r="BM38" s="13" t="n">
        <f aca="false">BM24*MIN(BM31-BM34-BM35,BM37)</f>
        <v>10.4045845963186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1888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44.3667535168116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1889</v>
      </c>
      <c r="E40" s="0" t="s">
        <v>151</v>
      </c>
      <c r="G40" s="13" t="n">
        <f aca="false">SUM(J40:BN40)</f>
        <v>44.3667535168116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44.3667535168116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1890</v>
      </c>
      <c r="E41" s="0" t="s">
        <v>151</v>
      </c>
      <c r="G41" s="13" t="n">
        <f aca="false">SUM(J41:BN41)</f>
        <v>1005.11722668463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12.0374731238793</v>
      </c>
      <c r="AP41" s="13" t="n">
        <f aca="false">AP38+AP40</f>
        <v>41.6065463833064</v>
      </c>
      <c r="AQ41" s="13" t="n">
        <f aca="false">AQ38+AQ40</f>
        <v>41.1574518197032</v>
      </c>
      <c r="AR41" s="13" t="n">
        <f aca="false">AR38+AR40</f>
        <v>41.7513447779987</v>
      </c>
      <c r="AS41" s="13" t="n">
        <f aca="false">AS38+AS40</f>
        <v>41.4840678337932</v>
      </c>
      <c r="AT41" s="13" t="n">
        <f aca="false">AT38+AT40</f>
        <v>48.2154950821326</v>
      </c>
      <c r="AU41" s="13" t="n">
        <f aca="false">AU38+AU40</f>
        <v>43.7762166513415</v>
      </c>
      <c r="AV41" s="13" t="n">
        <f aca="false">AV38+AV40</f>
        <v>43.8963319855744</v>
      </c>
      <c r="AW41" s="13" t="n">
        <f aca="false">AW38+AW40</f>
        <v>43.469466754219</v>
      </c>
      <c r="AX41" s="13" t="n">
        <f aca="false">AX38+AX40</f>
        <v>44.1417443542776</v>
      </c>
      <c r="AY41" s="13" t="n">
        <f aca="false">AY38+AY40</f>
        <v>43.6826037006889</v>
      </c>
      <c r="AZ41" s="13" t="n">
        <f aca="false">AZ38+AZ40</f>
        <v>44.2974310433168</v>
      </c>
      <c r="BA41" s="13" t="n">
        <f aca="false">BA38+BA40</f>
        <v>43.5026843769461</v>
      </c>
      <c r="BB41" s="13" t="n">
        <f aca="false">BB38+BB40</f>
        <v>44.7416746918274</v>
      </c>
      <c r="BC41" s="13" t="n">
        <f aca="false">BC38+BC40</f>
        <v>41.3238371536044</v>
      </c>
      <c r="BD41" s="13" t="n">
        <f aca="false">BD38+BD40</f>
        <v>35.2040829880542</v>
      </c>
      <c r="BE41" s="13" t="n">
        <f aca="false">BE38+BE40</f>
        <v>34.751674570313</v>
      </c>
      <c r="BF41" s="13" t="n">
        <f aca="false">BF38+BF40</f>
        <v>35.4360195856147</v>
      </c>
      <c r="BG41" s="13" t="n">
        <f aca="false">BG38+BG40</f>
        <v>34.9488421342375</v>
      </c>
      <c r="BH41" s="13" t="n">
        <f aca="false">BH38+BH40</f>
        <v>35.5689325865503</v>
      </c>
      <c r="BI41" s="13" t="n">
        <f aca="false">BI38+BI40</f>
        <v>35.288343743406</v>
      </c>
      <c r="BJ41" s="13" t="n">
        <f aca="false">BJ38+BJ40</f>
        <v>43.2931564015163</v>
      </c>
      <c r="BK41" s="13" t="n">
        <f aca="false">BK38+BK40</f>
        <v>38.023103943991</v>
      </c>
      <c r="BL41" s="13" t="n">
        <f aca="false">BL38+BL40</f>
        <v>38.747362885205</v>
      </c>
      <c r="BM41" s="13" t="n">
        <f aca="false">BM38+BM40</f>
        <v>54.7713381131302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1891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1892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9.79312983613362</v>
      </c>
      <c r="P43" s="13" t="n">
        <f aca="false">IF(Time!P20&lt;Time!$F$12,0,O43+Financials!P14-P41)</f>
        <v>17.2168494579443</v>
      </c>
      <c r="Q43" s="13" t="n">
        <f aca="false">IF(Time!Q20&lt;Time!$F$12,0,P43+Financials!Q14-Q41)</f>
        <v>25.9965265640678</v>
      </c>
      <c r="R43" s="13" t="n">
        <f aca="false">IF(Time!R20&lt;Time!$F$12,0,Q43+Financials!R14-R41)</f>
        <v>35.2442707889545</v>
      </c>
      <c r="S43" s="13" t="n">
        <f aca="false">IF(Time!S20&lt;Time!$F$12,0,R43+Financials!S14-S41)</f>
        <v>45.7213513396767</v>
      </c>
      <c r="T43" s="13" t="n">
        <f aca="false">IF(Time!T20&lt;Time!$F$12,0,S43+Financials!T14-T41)</f>
        <v>56.6812043188679</v>
      </c>
      <c r="U43" s="13" t="n">
        <f aca="false">IF(Time!U20&lt;Time!$F$12,0,T43+Financials!U14-U41)</f>
        <v>68.8719833251628</v>
      </c>
      <c r="V43" s="13" t="n">
        <f aca="false">IF(Time!V20&lt;Time!$F$12,0,U43+Financials!V14-V41)</f>
        <v>79.3774290382858</v>
      </c>
      <c r="W43" s="13" t="n">
        <f aca="false">IF(Time!W20&lt;Time!$F$12,0,V43+Financials!W14-W41)</f>
        <v>93.6942462174172</v>
      </c>
      <c r="X43" s="13" t="n">
        <f aca="false">IF(Time!X20&lt;Time!$F$12,0,W43+Financials!X14-X41)</f>
        <v>108.690128405036</v>
      </c>
      <c r="Y43" s="13" t="n">
        <f aca="false">IF(Time!Y20&lt;Time!$F$12,0,X43+Financials!Y14-Y41)</f>
        <v>121.681161310842</v>
      </c>
      <c r="Z43" s="13" t="n">
        <f aca="false">IF(Time!Z20&lt;Time!$F$12,0,Y43+Financials!Z14-Z41)</f>
        <v>129.462562812273</v>
      </c>
      <c r="AA43" s="13" t="n">
        <f aca="false">IF(Time!AA20&lt;Time!$F$12,0,Z43+Financials!AA14-AA41)</f>
        <v>138.218251346519</v>
      </c>
      <c r="AB43" s="13" t="n">
        <f aca="false">IF(Time!AB20&lt;Time!$F$12,0,AA43+Financials!AB14-AB41)</f>
        <v>147.541266423835</v>
      </c>
      <c r="AC43" s="13" t="n">
        <f aca="false">IF(Time!AC20&lt;Time!$F$12,0,AB43+Financials!AC14-AC41)</f>
        <v>157.921968736987</v>
      </c>
      <c r="AD43" s="13" t="n">
        <f aca="false">IF(Time!AD20&lt;Time!$F$12,0,AC43+Financials!AD14-AD41)</f>
        <v>160.224751165563</v>
      </c>
      <c r="AE43" s="13" t="n">
        <f aca="false">IF(Time!AE20&lt;Time!$F$12,0,AD43+Financials!AE14-AE41)</f>
        <v>172.544194693955</v>
      </c>
      <c r="AF43" s="13" t="n">
        <f aca="false">IF(Time!AF20&lt;Time!$F$12,0,AE43+Financials!AF14-AF41)</f>
        <v>185.588066093903</v>
      </c>
      <c r="AG43" s="13" t="n">
        <f aca="false">IF(Time!AG20&lt;Time!$F$12,0,AF43+Financials!AG14-AG41)</f>
        <v>199.72844831125</v>
      </c>
      <c r="AH43" s="13" t="n">
        <f aca="false">IF(Time!AH20&lt;Time!$F$12,0,AG43+Financials!AH14-AH41)</f>
        <v>214.884373818522</v>
      </c>
      <c r="AI43" s="13" t="n">
        <f aca="false">IF(Time!AI20&lt;Time!$F$12,0,AH43+Financials!AI14-AI41)</f>
        <v>231.351093008944</v>
      </c>
      <c r="AJ43" s="13" t="n">
        <f aca="false">IF(Time!AJ20&lt;Time!$F$12,0,AI43+Financials!AJ14-AJ41)</f>
        <v>248.926248453054</v>
      </c>
      <c r="AK43" s="13" t="n">
        <f aca="false">IF(Time!AK20&lt;Time!$F$12,0,AJ43+Financials!AK14-AK41)</f>
        <v>267.934371519325</v>
      </c>
      <c r="AL43" s="13" t="n">
        <f aca="false">IF(Time!AL20&lt;Time!$F$12,0,AK43+Financials!AL14-AL41)</f>
        <v>286.241964627956</v>
      </c>
      <c r="AM43" s="13" t="n">
        <f aca="false">IF(Time!AM20&lt;Time!$F$12,0,AL43+Financials!AM14-AM41)</f>
        <v>308.335246192877</v>
      </c>
      <c r="AN43" s="13" t="n">
        <f aca="false">IF(Time!AN20&lt;Time!$F$12,0,AM43+Financials!AN14-AN41)</f>
        <v>331.779647886664</v>
      </c>
      <c r="AO43" s="13" t="n">
        <f aca="false">IF(Time!AO20&lt;Time!$F$12,0,AN43+Financials!AO14-AO41)</f>
        <v>344.360927274893</v>
      </c>
      <c r="AP43" s="13" t="n">
        <f aca="false">IF(Time!AP20&lt;Time!$F$12,0,AO43+Financials!AP14-AP41)</f>
        <v>328.770560688614</v>
      </c>
      <c r="AQ43" s="13" t="n">
        <f aca="false">IF(Time!AQ20&lt;Time!$F$12,0,AP43+Financials!AQ14-AQ41)</f>
        <v>313.707662698857</v>
      </c>
      <c r="AR43" s="13" t="n">
        <f aca="false">IF(Time!AR20&lt;Time!$F$12,0,AQ43+Financials!AR14-AR41)</f>
        <v>298.11671853496</v>
      </c>
      <c r="AS43" s="13" t="n">
        <f aca="false">IF(Time!AS20&lt;Time!$F$12,0,AR43+Financials!AS14-AS41)</f>
        <v>282.970713153634</v>
      </c>
      <c r="AT43" s="13" t="n">
        <f aca="false">IF(Time!AT20&lt;Time!$F$12,0,AS43+Financials!AT14-AT41)</f>
        <v>250.783607971339</v>
      </c>
      <c r="AU43" s="13" t="n">
        <f aca="false">IF(Time!AU20&lt;Time!$F$12,0,AT43+Financials!AU14-AU41)</f>
        <v>233.62610777809</v>
      </c>
      <c r="AV43" s="13" t="n">
        <f aca="false">IF(Time!AV20&lt;Time!$F$12,0,AU43+Financials!AV14-AV41)</f>
        <v>216.274915929111</v>
      </c>
      <c r="AW43" s="13" t="n">
        <f aca="false">IF(Time!AW20&lt;Time!$F$12,0,AV43+Financials!AW14-AW41)</f>
        <v>199.463385647632</v>
      </c>
      <c r="AX43" s="13" t="n">
        <f aca="false">IF(Time!AX20&lt;Time!$F$12,0,AW43+Financials!AX14-AX41)</f>
        <v>182.112360556225</v>
      </c>
      <c r="AY43" s="13" t="n">
        <f aca="false">IF(Time!AY20&lt;Time!$F$12,0,AX43+Financials!AY14-AY41)</f>
        <v>165.303976731893</v>
      </c>
      <c r="AZ43" s="13" t="n">
        <f aca="false">IF(Time!AZ20&lt;Time!$F$12,0,AY43+Financials!AZ14-AZ41)</f>
        <v>147.951725784381</v>
      </c>
      <c r="BA43" s="13" t="n">
        <f aca="false">IF(Time!BA20&lt;Time!$F$12,0,AZ43+Financials!BA14-BA41)</f>
        <v>131.55353893067</v>
      </c>
      <c r="BB43" s="13" t="n">
        <f aca="false">IF(Time!BB20&lt;Time!$F$12,0,BA43+Financials!BB14-BB41)</f>
        <v>111.664838992059</v>
      </c>
      <c r="BC43" s="13" t="n">
        <f aca="false">IF(Time!BC20&lt;Time!$F$12,0,BB43+Financials!BC14-BC41)</f>
        <v>97.7151272199561</v>
      </c>
      <c r="BD43" s="13" t="n">
        <f aca="false">IF(Time!BD20&lt;Time!$F$12,0,BC43+Financials!BD14-BD41)</f>
        <v>89.8721838578676</v>
      </c>
      <c r="BE43" s="13" t="n">
        <f aca="false">IF(Time!BE20&lt;Time!$F$12,0,BD43+Financials!BE14-BE41)</f>
        <v>82.6033263927059</v>
      </c>
      <c r="BF43" s="13" t="n">
        <f aca="false">IF(Time!BF20&lt;Time!$F$12,0,BE43+Financials!BF14-BF41)</f>
        <v>74.7955371167398</v>
      </c>
      <c r="BG43" s="13" t="n">
        <f aca="false">IF(Time!BG20&lt;Time!$F$12,0,BF43+Financials!BG14-BG41)</f>
        <v>67.5638869483538</v>
      </c>
      <c r="BH43" s="13" t="n">
        <f aca="false">IF(Time!BH20&lt;Time!$F$12,0,BG43+Financials!BH14-BH41)</f>
        <v>59.7886177060819</v>
      </c>
      <c r="BI43" s="13" t="n">
        <f aca="false">IF(Time!BI20&lt;Time!$F$12,0,BH43+Financials!BI14-BI41)</f>
        <v>52.5061080912466</v>
      </c>
      <c r="BJ43" s="13" t="n">
        <f aca="false">IF(Time!BJ20&lt;Time!$F$12,0,BI43+Financials!BJ14-BJ41)</f>
        <v>25.0345060814162</v>
      </c>
      <c r="BK43" s="13" t="n">
        <f aca="false">IF(Time!BK20&lt;Time!$F$12,0,BJ43+Financials!BK14-BK41)</f>
        <v>15.3516860595447</v>
      </c>
      <c r="BL43" s="13" t="n">
        <f aca="false">IF(Time!BL20&lt;Time!$F$12,0,BK43+Financials!BL14-BL41)</f>
        <v>4.8477455907359</v>
      </c>
      <c r="BM43" s="13" t="n">
        <f aca="false">IF(Time!BM20&lt;Time!$F$12,0,BL43+Financials!BM14-BM41)</f>
        <v>-44.3667535168116</v>
      </c>
      <c r="BN43" s="13" t="n">
        <f aca="false">IF(Time!BN20&lt;Time!$F$12,0,BM43+Financials!BN14-BN41)</f>
        <v>-44.3667535168116</v>
      </c>
    </row>
    <row r="44" customFormat="false" ht="15" hidden="false" customHeight="false" outlineLevel="0" collapsed="false">
      <c r="D44" s="0" t="s">
        <v>1893</v>
      </c>
      <c r="E44" s="0" t="s">
        <v>151</v>
      </c>
      <c r="G44" s="13" t="n">
        <f aca="false">SUM(J44:BN44)</f>
        <v>1395.95656779226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15.0431875520562</v>
      </c>
      <c r="Q44" s="13" t="n">
        <f aca="false">Q34+Q35+Q41</f>
        <v>12.5775422667034</v>
      </c>
      <c r="R44" s="13" t="n">
        <f aca="false">R34+R35+R41</f>
        <v>13.4984572709862</v>
      </c>
      <c r="S44" s="13" t="n">
        <f aca="false">S34+S35+S41</f>
        <v>12.6849716672045</v>
      </c>
      <c r="T44" s="13" t="n">
        <f aca="false">T34+T35+T41</f>
        <v>13.427946993756</v>
      </c>
      <c r="U44" s="13" t="n">
        <f aca="false">U34+U35+U41</f>
        <v>12.4646331772141</v>
      </c>
      <c r="V44" s="13" t="n">
        <f aca="false">V34+V35+V41</f>
        <v>13.6948951770782</v>
      </c>
      <c r="W44" s="13" t="n">
        <f aca="false">W34+W35+W41</f>
        <v>14.431893426527</v>
      </c>
      <c r="X44" s="13" t="n">
        <f aca="false">X34+X35+X41</f>
        <v>13.3065573629278</v>
      </c>
      <c r="Y44" s="13" t="n">
        <f aca="false">Y34+Y35+Y41</f>
        <v>12.5221955375342</v>
      </c>
      <c r="Z44" s="13" t="n">
        <f aca="false">Z34+Z35+Z41</f>
        <v>13.2232504532553</v>
      </c>
      <c r="AA44" s="13" t="n">
        <f aca="false">AA34+AA35+AA41</f>
        <v>6.19467292392291</v>
      </c>
      <c r="AB44" s="13" t="n">
        <f aca="false">AB34+AB35+AB41</f>
        <v>7.20343814378053</v>
      </c>
      <c r="AC44" s="13" t="n">
        <f aca="false">AC34+AC35+AC41</f>
        <v>6.87529341495345</v>
      </c>
      <c r="AD44" s="13" t="n">
        <f aca="false">AD34+AD35+AD41</f>
        <v>8.21644113806305</v>
      </c>
      <c r="AE44" s="13" t="n">
        <f aca="false">AE34+AE35+AE41</f>
        <v>8.82925971748235</v>
      </c>
      <c r="AF44" s="13" t="n">
        <f aca="false">AF34+AF35+AF41</f>
        <v>9.72559979921583</v>
      </c>
      <c r="AG44" s="13" t="n">
        <f aca="false">AG34+AG35+AG41</f>
        <v>10.1611150818953</v>
      </c>
      <c r="AH44" s="13" t="n">
        <f aca="false">AH34+AH35+AH41</f>
        <v>11.5431056828627</v>
      </c>
      <c r="AI44" s="13" t="n">
        <f aca="false">AI34+AI35+AI41</f>
        <v>12.4209849507657</v>
      </c>
      <c r="AJ44" s="13" t="n">
        <f aca="false">AJ34+AJ35+AJ41</f>
        <v>15.0914768069019</v>
      </c>
      <c r="AK44" s="13" t="n">
        <f aca="false">AK34+AK35+AK41</f>
        <v>31.8746679581498</v>
      </c>
      <c r="AL44" s="13" t="n">
        <f aca="false">AL34+AL35+AL41</f>
        <v>29.6966486828974</v>
      </c>
      <c r="AM44" s="13" t="n">
        <f aca="false">AM34+AM35+AM41</f>
        <v>33.181686259403</v>
      </c>
      <c r="AN44" s="13" t="n">
        <f aca="false">AN34+AN35+AN41</f>
        <v>23.4789265328682</v>
      </c>
      <c r="AO44" s="13" t="n">
        <f aca="false">AO34+AO35+AO41</f>
        <v>41.5079662531116</v>
      </c>
      <c r="AP44" s="13" t="n">
        <f aca="false">AP34+AP35+AP41</f>
        <v>41.6065463833064</v>
      </c>
      <c r="AQ44" s="13" t="n">
        <f aca="false">AQ34+AQ35+AQ41</f>
        <v>41.1574518197032</v>
      </c>
      <c r="AR44" s="13" t="n">
        <f aca="false">AR34+AR35+AR41</f>
        <v>41.7513447779987</v>
      </c>
      <c r="AS44" s="13" t="n">
        <f aca="false">AS34+AS35+AS41</f>
        <v>41.4840678337932</v>
      </c>
      <c r="AT44" s="13" t="n">
        <f aca="false">AT34+AT35+AT41</f>
        <v>48.2154950821326</v>
      </c>
      <c r="AU44" s="13" t="n">
        <f aca="false">AU34+AU35+AU41</f>
        <v>43.7762166513415</v>
      </c>
      <c r="AV44" s="13" t="n">
        <f aca="false">AV34+AV35+AV41</f>
        <v>43.8963319855744</v>
      </c>
      <c r="AW44" s="13" t="n">
        <f aca="false">AW34+AW35+AW41</f>
        <v>43.469466754219</v>
      </c>
      <c r="AX44" s="13" t="n">
        <f aca="false">AX34+AX35+AX41</f>
        <v>44.1417443542776</v>
      </c>
      <c r="AY44" s="13" t="n">
        <f aca="false">AY34+AY35+AY41</f>
        <v>43.6826037006889</v>
      </c>
      <c r="AZ44" s="13" t="n">
        <f aca="false">AZ34+AZ35+AZ41</f>
        <v>44.2974310433168</v>
      </c>
      <c r="BA44" s="13" t="n">
        <f aca="false">BA34+BA35+BA41</f>
        <v>43.5026843769461</v>
      </c>
      <c r="BB44" s="13" t="n">
        <f aca="false">BB34+BB35+BB41</f>
        <v>44.7416746918274</v>
      </c>
      <c r="BC44" s="13" t="n">
        <f aca="false">BC34+BC35+BC41</f>
        <v>41.3238371536044</v>
      </c>
      <c r="BD44" s="13" t="n">
        <f aca="false">BD34+BD35+BD41</f>
        <v>35.2040829880542</v>
      </c>
      <c r="BE44" s="13" t="n">
        <f aca="false">BE34+BE35+BE41</f>
        <v>34.751674570313</v>
      </c>
      <c r="BF44" s="13" t="n">
        <f aca="false">BF34+BF35+BF41</f>
        <v>35.4360195856147</v>
      </c>
      <c r="BG44" s="13" t="n">
        <f aca="false">BG34+BG35+BG41</f>
        <v>34.9488421342375</v>
      </c>
      <c r="BH44" s="13" t="n">
        <f aca="false">BH34+BH35+BH41</f>
        <v>35.5689325865503</v>
      </c>
      <c r="BI44" s="13" t="n">
        <f aca="false">BI34+BI35+BI41</f>
        <v>35.288343743406</v>
      </c>
      <c r="BJ44" s="13" t="n">
        <f aca="false">BJ34+BJ35+BJ41</f>
        <v>43.2931564015163</v>
      </c>
      <c r="BK44" s="13" t="n">
        <f aca="false">BK34+BK35+BK41</f>
        <v>38.023103943991</v>
      </c>
      <c r="BL44" s="13" t="n">
        <f aca="false">BL34+BL35+BL41</f>
        <v>38.747362885205</v>
      </c>
      <c r="BM44" s="13" t="n">
        <f aca="false">BM34+BM35+BM41</f>
        <v>54.7713381131302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1895</v>
      </c>
    </row>
    <row r="8" customFormat="false" ht="15" hidden="false" customHeight="false" outlineLevel="0" collapsed="false">
      <c r="D8" s="0" t="s">
        <v>1896</v>
      </c>
      <c r="E8" s="0" t="s">
        <v>151</v>
      </c>
      <c r="G8" s="13" t="n">
        <f aca="false">SUM(J8:BN8)</f>
        <v>836.686552347281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5.57791034898187</v>
      </c>
      <c r="P8" s="13" t="n">
        <f aca="false">Funding!$F$76/Time!$F$9*Time!P30</f>
        <v>16.7337310469456</v>
      </c>
      <c r="Q8" s="13" t="n">
        <f aca="false">Funding!$F$76/Time!$F$9*Time!Q30</f>
        <v>16.7337310469456</v>
      </c>
      <c r="R8" s="13" t="n">
        <f aca="false">Funding!$F$76/Time!$F$9*Time!R30</f>
        <v>16.7337310469456</v>
      </c>
      <c r="S8" s="13" t="n">
        <f aca="false">Funding!$F$76/Time!$F$9*Time!S30</f>
        <v>16.7337310469456</v>
      </c>
      <c r="T8" s="13" t="n">
        <f aca="false">Funding!$F$76/Time!$F$9*Time!T30</f>
        <v>16.7337310469456</v>
      </c>
      <c r="U8" s="13" t="n">
        <f aca="false">Funding!$F$76/Time!$F$9*Time!U30</f>
        <v>16.7337310469456</v>
      </c>
      <c r="V8" s="13" t="n">
        <f aca="false">Funding!$F$76/Time!$F$9*Time!V30</f>
        <v>16.7337310469456</v>
      </c>
      <c r="W8" s="13" t="n">
        <f aca="false">Funding!$F$76/Time!$F$9*Time!W30</f>
        <v>16.7337310469456</v>
      </c>
      <c r="X8" s="13" t="n">
        <f aca="false">Funding!$F$76/Time!$F$9*Time!X30</f>
        <v>16.7337310469456</v>
      </c>
      <c r="Y8" s="13" t="n">
        <f aca="false">Funding!$F$76/Time!$F$9*Time!Y30</f>
        <v>16.7337310469456</v>
      </c>
      <c r="Z8" s="13" t="n">
        <f aca="false">Funding!$F$76/Time!$F$9*Time!Z30</f>
        <v>16.7337310469456</v>
      </c>
      <c r="AA8" s="13" t="n">
        <f aca="false">Funding!$F$76/Time!$F$9*Time!AA30</f>
        <v>16.7337310469456</v>
      </c>
      <c r="AB8" s="13" t="n">
        <f aca="false">Funding!$F$76/Time!$F$9*Time!AB30</f>
        <v>16.7337310469456</v>
      </c>
      <c r="AC8" s="13" t="n">
        <f aca="false">Funding!$F$76/Time!$F$9*Time!AC30</f>
        <v>16.7337310469456</v>
      </c>
      <c r="AD8" s="13" t="n">
        <f aca="false">Funding!$F$76/Time!$F$9*Time!AD30</f>
        <v>16.7337310469456</v>
      </c>
      <c r="AE8" s="13" t="n">
        <f aca="false">Funding!$F$76/Time!$F$9*Time!AE30</f>
        <v>16.7337310469456</v>
      </c>
      <c r="AF8" s="13" t="n">
        <f aca="false">Funding!$F$76/Time!$F$9*Time!AF30</f>
        <v>16.7337310469456</v>
      </c>
      <c r="AG8" s="13" t="n">
        <f aca="false">Funding!$F$76/Time!$F$9*Time!AG30</f>
        <v>16.7337310469456</v>
      </c>
      <c r="AH8" s="13" t="n">
        <f aca="false">Funding!$F$76/Time!$F$9*Time!AH30</f>
        <v>16.7337310469456</v>
      </c>
      <c r="AI8" s="13" t="n">
        <f aca="false">Funding!$F$76/Time!$F$9*Time!AI30</f>
        <v>16.7337310469456</v>
      </c>
      <c r="AJ8" s="13" t="n">
        <f aca="false">Funding!$F$76/Time!$F$9*Time!AJ30</f>
        <v>16.7337310469456</v>
      </c>
      <c r="AK8" s="13" t="n">
        <f aca="false">Funding!$F$76/Time!$F$9*Time!AK30</f>
        <v>16.7337310469456</v>
      </c>
      <c r="AL8" s="13" t="n">
        <f aca="false">Funding!$F$76/Time!$F$9*Time!AL30</f>
        <v>16.7337310469456</v>
      </c>
      <c r="AM8" s="13" t="n">
        <f aca="false">Funding!$F$76/Time!$F$9*Time!AM30</f>
        <v>16.7337310469456</v>
      </c>
      <c r="AN8" s="13" t="n">
        <f aca="false">Funding!$F$76/Time!$F$9*Time!AN30</f>
        <v>16.7337310469456</v>
      </c>
      <c r="AO8" s="13" t="n">
        <f aca="false">Funding!$F$76/Time!$F$9*Time!AO30</f>
        <v>16.7337310469456</v>
      </c>
      <c r="AP8" s="13" t="n">
        <f aca="false">Funding!$F$76/Time!$F$9*Time!AP30</f>
        <v>16.7337310469456</v>
      </c>
      <c r="AQ8" s="13" t="n">
        <f aca="false">Funding!$F$76/Time!$F$9*Time!AQ30</f>
        <v>16.7337310469456</v>
      </c>
      <c r="AR8" s="13" t="n">
        <f aca="false">Funding!$F$76/Time!$F$9*Time!AR30</f>
        <v>16.7337310469456</v>
      </c>
      <c r="AS8" s="13" t="n">
        <f aca="false">Funding!$F$76/Time!$F$9*Time!AS30</f>
        <v>16.7337310469456</v>
      </c>
      <c r="AT8" s="13" t="n">
        <f aca="false">Funding!$F$76/Time!$F$9*Time!AT30</f>
        <v>16.7337310469456</v>
      </c>
      <c r="AU8" s="13" t="n">
        <f aca="false">Funding!$F$76/Time!$F$9*Time!AU30</f>
        <v>16.7337310469456</v>
      </c>
      <c r="AV8" s="13" t="n">
        <f aca="false">Funding!$F$76/Time!$F$9*Time!AV30</f>
        <v>16.7337310469456</v>
      </c>
      <c r="AW8" s="13" t="n">
        <f aca="false">Funding!$F$76/Time!$F$9*Time!AW30</f>
        <v>16.7337310469456</v>
      </c>
      <c r="AX8" s="13" t="n">
        <f aca="false">Funding!$F$76/Time!$F$9*Time!AX30</f>
        <v>16.7337310469456</v>
      </c>
      <c r="AY8" s="13" t="n">
        <f aca="false">Funding!$F$76/Time!$F$9*Time!AY30</f>
        <v>16.7337310469456</v>
      </c>
      <c r="AZ8" s="13" t="n">
        <f aca="false">Funding!$F$76/Time!$F$9*Time!AZ30</f>
        <v>16.7337310469456</v>
      </c>
      <c r="BA8" s="13" t="n">
        <f aca="false">Funding!$F$76/Time!$F$9*Time!BA30</f>
        <v>16.7337310469456</v>
      </c>
      <c r="BB8" s="13" t="n">
        <f aca="false">Funding!$F$76/Time!$F$9*Time!BB30</f>
        <v>16.7337310469456</v>
      </c>
      <c r="BC8" s="13" t="n">
        <f aca="false">Funding!$F$76/Time!$F$9*Time!BC30</f>
        <v>16.7337310469456</v>
      </c>
      <c r="BD8" s="13" t="n">
        <f aca="false">Funding!$F$76/Time!$F$9*Time!BD30</f>
        <v>16.7337310469456</v>
      </c>
      <c r="BE8" s="13" t="n">
        <f aca="false">Funding!$F$76/Time!$F$9*Time!BE30</f>
        <v>16.7337310469456</v>
      </c>
      <c r="BF8" s="13" t="n">
        <f aca="false">Funding!$F$76/Time!$F$9*Time!BF30</f>
        <v>16.7337310469456</v>
      </c>
      <c r="BG8" s="13" t="n">
        <f aca="false">Funding!$F$76/Time!$F$9*Time!BG30</f>
        <v>16.7337310469456</v>
      </c>
      <c r="BH8" s="13" t="n">
        <f aca="false">Funding!$F$76/Time!$F$9*Time!BH30</f>
        <v>16.7337310469456</v>
      </c>
      <c r="BI8" s="13" t="n">
        <f aca="false">Funding!$F$76/Time!$F$9*Time!BI30</f>
        <v>16.7337310469456</v>
      </c>
      <c r="BJ8" s="13" t="n">
        <f aca="false">Funding!$F$76/Time!$F$9*Time!BJ30</f>
        <v>16.7337310469456</v>
      </c>
      <c r="BK8" s="13" t="n">
        <f aca="false">Funding!$F$76/Time!$F$9*Time!BK30</f>
        <v>16.7337310469456</v>
      </c>
      <c r="BL8" s="13" t="n">
        <f aca="false">Funding!$F$76/Time!$F$9*Time!BL30</f>
        <v>16.7337310469456</v>
      </c>
      <c r="BM8" s="13" t="n">
        <f aca="false">Funding!$F$76/Time!$F$9*Time!BM30</f>
        <v>11.1558206979637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1897</v>
      </c>
      <c r="E9" s="0" t="s">
        <v>151</v>
      </c>
      <c r="G9" s="13" t="n">
        <f aca="false">SUM(J9:BN9)</f>
        <v>501.914578495527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3.20169334249331</v>
      </c>
      <c r="P9" s="13" t="n">
        <f aca="false">Debt!P112+Debt!P110+Debt!P104-Debt!P103+Tax!P13</f>
        <v>31.5670778498749</v>
      </c>
      <c r="Q9" s="13" t="n">
        <f aca="false">Debt!Q112+Debt!Q110+Debt!Q104-Debt!Q103+Tax!Q13</f>
        <v>30.4161960108342</v>
      </c>
      <c r="R9" s="13" t="n">
        <f aca="false">Debt!R112+Debt!R110+Debt!R104-Debt!R103+Tax!R13</f>
        <v>30.0925835314827</v>
      </c>
      <c r="S9" s="13" t="n">
        <f aca="false">Debt!S112+Debt!S110+Debt!S104-Debt!S103+Tax!S13</f>
        <v>28.9558200175125</v>
      </c>
      <c r="T9" s="13" t="n">
        <f aca="false">Debt!T112+Debt!T110+Debt!T104-Debt!T103+Tax!T13</f>
        <v>28.5482133620076</v>
      </c>
      <c r="U9" s="13" t="n">
        <f aca="false">Debt!U112+Debt!U110+Debt!U104-Debt!U103+Tax!U13</f>
        <v>27.4797648419232</v>
      </c>
      <c r="V9" s="13" t="n">
        <f aca="false">Debt!V112+Debt!V110+Debt!V104-Debt!V103+Tax!V13</f>
        <v>26.8844970491216</v>
      </c>
      <c r="W9" s="13" t="n">
        <f aca="false">Debt!W112+Debt!W110+Debt!W104-Debt!W103+Tax!W13</f>
        <v>25.6280878732406</v>
      </c>
      <c r="X9" s="13" t="n">
        <f aca="false">Debt!X112+Debt!X110+Debt!X104-Debt!X103+Tax!X13</f>
        <v>24.947377548965</v>
      </c>
      <c r="Y9" s="13" t="n">
        <f aca="false">Debt!Y112+Debt!Y110+Debt!Y104-Debt!Y103+Tax!Y13</f>
        <v>24.2045904090539</v>
      </c>
      <c r="Z9" s="13" t="n">
        <f aca="false">Debt!Z112+Debt!Z110+Debt!Z104-Debt!Z103+Tax!Z13</f>
        <v>23.5718052414457</v>
      </c>
      <c r="AA9" s="13" t="n">
        <f aca="false">Debt!AA112+Debt!AA110+Debt!AA104-Debt!AA103+Tax!AA13</f>
        <v>22.2760636518005</v>
      </c>
      <c r="AB9" s="13" t="n">
        <f aca="false">Debt!AB112+Debt!AB110+Debt!AB104-Debt!AB103+Tax!AB13</f>
        <v>21.5438360797724</v>
      </c>
      <c r="AC9" s="13" t="n">
        <f aca="false">Debt!AC112+Debt!AC110+Debt!AC104-Debt!AC103+Tax!AC13</f>
        <v>20.2441067462214</v>
      </c>
      <c r="AD9" s="13" t="n">
        <f aca="false">Debt!AD112+Debt!AD110+Debt!AD104-Debt!AD103+Tax!AD13</f>
        <v>19.3136870391377</v>
      </c>
      <c r="AE9" s="13" t="n">
        <f aca="false">Debt!AE112+Debt!AE110+Debt!AE104-Debt!AE103+Tax!AE13</f>
        <v>17.8072099942111</v>
      </c>
      <c r="AF9" s="13" t="n">
        <f aca="false">Debt!AF112+Debt!AF110+Debt!AF104-Debt!AF103+Tax!AF13</f>
        <v>16.6889452480946</v>
      </c>
      <c r="AG9" s="13" t="n">
        <f aca="false">Debt!AG112+Debt!AG110+Debt!AG104-Debt!AG103+Tax!AG13</f>
        <v>15.2587445342877</v>
      </c>
      <c r="AH9" s="13" t="n">
        <f aca="false">Debt!AH112+Debt!AH110+Debt!AH104-Debt!AH103+Tax!AH13</f>
        <v>13.9639639602789</v>
      </c>
      <c r="AI9" s="13" t="n">
        <f aca="false">Debt!AI112+Debt!AI110+Debt!AI104-Debt!AI103+Tax!AI13</f>
        <v>12.1937282968727</v>
      </c>
      <c r="AJ9" s="13" t="n">
        <f aca="false">Debt!AJ112+Debt!AJ110+Debt!AJ104-Debt!AJ103+Tax!AJ13</f>
        <v>10.694531252502</v>
      </c>
      <c r="AK9" s="13" t="n">
        <f aca="false">Debt!AK112+Debt!AK110+Debt!AK104-Debt!AK103+Tax!AK13</f>
        <v>8.83785441257226</v>
      </c>
      <c r="AL9" s="13" t="n">
        <f aca="false">Debt!AL112+Debt!AL110+Debt!AL104-Debt!AL103+Tax!AL13</f>
        <v>7.12924491544456</v>
      </c>
      <c r="AM9" s="13" t="n">
        <f aca="false">Debt!AM112+Debt!AM110+Debt!AM104-Debt!AM103+Tax!AM13</f>
        <v>5.29044199464854</v>
      </c>
      <c r="AN9" s="13" t="n">
        <f aca="false">Debt!AN112+Debt!AN110+Debt!AN104-Debt!AN103+Tax!AN13</f>
        <v>3.35137880156771</v>
      </c>
      <c r="AO9" s="13" t="n">
        <f aca="false">Debt!AO112+Debt!AO110+Debt!AO104-Debt!AO103+Tax!AO13</f>
        <v>1.82313449016008</v>
      </c>
      <c r="AP9" s="13" t="n">
        <f aca="false">Debt!AP112+Debt!AP110+Debt!AP104-Debt!AP103+Tax!AP13</f>
        <v>0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1898</v>
      </c>
      <c r="E10" s="0" t="s">
        <v>151</v>
      </c>
      <c r="J10" s="13" t="n">
        <f aca="false">Funding!$F$76-SUM(Tax!J$10:J$10)</f>
        <v>836.686552347281</v>
      </c>
      <c r="K10" s="13" t="n">
        <f aca="false">Funding!$F$76-SUM(Tax!$J$10:K$10)</f>
        <v>836.686552347281</v>
      </c>
      <c r="L10" s="13" t="n">
        <f aca="false">Funding!$F$76-SUM(Tax!$J$10:L$10)</f>
        <v>836.686552347281</v>
      </c>
      <c r="M10" s="13" t="n">
        <f aca="false">Funding!$F$76-SUM(Tax!$J$10:M$10)</f>
        <v>836.686552347281</v>
      </c>
      <c r="N10" s="13" t="n">
        <f aca="false">Funding!$F$76-SUM(Tax!$J$10:N$10)</f>
        <v>836.686552347281</v>
      </c>
      <c r="O10" s="13" t="n">
        <f aca="false">Funding!$F$76-SUM(Tax!$J$10:O$10)</f>
        <v>829.156373376155</v>
      </c>
      <c r="P10" s="13" t="n">
        <f aca="false">Funding!$F$76-SUM(Tax!$J$10:P$10)</f>
        <v>806.565836462779</v>
      </c>
      <c r="Q10" s="13" t="n">
        <f aca="false">Funding!$F$76-SUM(Tax!$J$10:Q$10)</f>
        <v>783.975299549402</v>
      </c>
      <c r="R10" s="13" t="n">
        <f aca="false">Funding!$F$76-SUM(Tax!$J$10:R$10)</f>
        <v>761.384762636025</v>
      </c>
      <c r="S10" s="13" t="n">
        <f aca="false">Funding!$F$76-SUM(Tax!$J$10:S$10)</f>
        <v>738.794225722649</v>
      </c>
      <c r="T10" s="13" t="n">
        <f aca="false">Funding!$F$76-SUM(Tax!$J$10:T$10)</f>
        <v>716.203688809272</v>
      </c>
      <c r="U10" s="13" t="n">
        <f aca="false">Funding!$F$76-SUM(Tax!$J$10:U$10)</f>
        <v>693.613151895896</v>
      </c>
      <c r="V10" s="13" t="n">
        <f aca="false">Funding!$F$76-SUM(Tax!$J$10:V$10)</f>
        <v>671.022614982519</v>
      </c>
      <c r="W10" s="13" t="n">
        <f aca="false">Funding!$F$76-SUM(Tax!$J$10:W$10)</f>
        <v>648.432078069142</v>
      </c>
      <c r="X10" s="13" t="n">
        <f aca="false">Funding!$F$76-SUM(Tax!$J$10:X$10)</f>
        <v>625.841541155766</v>
      </c>
      <c r="Y10" s="13" t="n">
        <f aca="false">Funding!$F$76-SUM(Tax!$J$10:Y$10)</f>
        <v>604.087690794737</v>
      </c>
      <c r="Z10" s="13" t="n">
        <f aca="false">Funding!$F$76-SUM(Tax!$J$10:Z$10)</f>
        <v>584.007213538402</v>
      </c>
      <c r="AA10" s="13" t="n">
        <f aca="false">Funding!$F$76-SUM(Tax!$J$10:AA$10)</f>
        <v>563.926736282067</v>
      </c>
      <c r="AB10" s="13" t="n">
        <f aca="false">Funding!$F$76-SUM(Tax!$J$10:AB$10)</f>
        <v>543.846259025732</v>
      </c>
      <c r="AC10" s="13" t="n">
        <f aca="false">Funding!$F$76-SUM(Tax!$J$10:AC$10)</f>
        <v>523.765781769398</v>
      </c>
      <c r="AD10" s="13" t="n">
        <f aca="false">Funding!$F$76-SUM(Tax!$J$10:AD$10)</f>
        <v>503.685304513063</v>
      </c>
      <c r="AE10" s="13" t="n">
        <f aca="false">Funding!$F$76-SUM(Tax!$J$10:AE$10)</f>
        <v>483.604827256728</v>
      </c>
      <c r="AF10" s="13" t="n">
        <f aca="false">Funding!$F$76-SUM(Tax!$J$10:AF$10)</f>
        <v>463.524350000393</v>
      </c>
      <c r="AG10" s="13" t="n">
        <f aca="false">Funding!$F$76-SUM(Tax!$J$10:AG$10)</f>
        <v>443.443872744059</v>
      </c>
      <c r="AH10" s="13" t="n">
        <f aca="false">Funding!$F$76-SUM(Tax!$J$10:AH$10)</f>
        <v>423.363395487724</v>
      </c>
      <c r="AI10" s="13" t="n">
        <f aca="false">Funding!$F$76-SUM(Tax!$J$10:AI$10)</f>
        <v>403.282918231389</v>
      </c>
      <c r="AJ10" s="13" t="n">
        <f aca="false">Funding!$F$76-SUM(Tax!$J$10:AJ$10)</f>
        <v>383.202440975054</v>
      </c>
      <c r="AK10" s="13" t="n">
        <f aca="false">Funding!$F$76-SUM(Tax!$J$10:AK$10)</f>
        <v>363.12196371872</v>
      </c>
      <c r="AL10" s="13" t="n">
        <f aca="false">Funding!$F$76-SUM(Tax!$J$10:AL$10)</f>
        <v>343.041486462385</v>
      </c>
      <c r="AM10" s="13" t="n">
        <f aca="false">Funding!$F$76-SUM(Tax!$J$10:AM$10)</f>
        <v>322.96100920605</v>
      </c>
      <c r="AN10" s="13" t="n">
        <f aca="false">Funding!$F$76-SUM(Tax!$J$10:AN$10)</f>
        <v>302.880531949716</v>
      </c>
      <c r="AO10" s="13" t="n">
        <f aca="false">Funding!$F$76-SUM(Tax!$J$10:AO$10)</f>
        <v>282.800054693381</v>
      </c>
      <c r="AP10" s="13" t="n">
        <f aca="false">Funding!$F$76-SUM(Tax!$J$10:AP$10)</f>
        <v>262.719577437046</v>
      </c>
      <c r="AQ10" s="13" t="n">
        <f aca="false">Funding!$F$76-SUM(Tax!$J$10:AQ$10)</f>
        <v>242.639100180711</v>
      </c>
      <c r="AR10" s="13" t="n">
        <f aca="false">Funding!$F$76-SUM(Tax!$J$10:AR$10)</f>
        <v>222.558622924377</v>
      </c>
      <c r="AS10" s="13" t="n">
        <f aca="false">Funding!$F$76-SUM(Tax!$J$10:AS$10)</f>
        <v>202.478145668042</v>
      </c>
      <c r="AT10" s="13" t="n">
        <f aca="false">Funding!$F$76-SUM(Tax!$J$10:AT$10)</f>
        <v>182.397668411707</v>
      </c>
      <c r="AU10" s="13" t="n">
        <f aca="false">Funding!$F$76-SUM(Tax!$J$10:AU$10)</f>
        <v>162.317191155372</v>
      </c>
      <c r="AV10" s="13" t="n">
        <f aca="false">Funding!$F$76-SUM(Tax!$J$10:AV$10)</f>
        <v>142.236713899038</v>
      </c>
      <c r="AW10" s="13" t="n">
        <f aca="false">Funding!$F$76-SUM(Tax!$J$10:AW$10)</f>
        <v>122.156236642703</v>
      </c>
      <c r="AX10" s="13" t="n">
        <f aca="false">Funding!$F$76-SUM(Tax!$J$10:AX$10)</f>
        <v>102.075759386368</v>
      </c>
      <c r="AY10" s="13" t="n">
        <f aca="false">Funding!$F$76-SUM(Tax!$J$10:AY$10)</f>
        <v>81.9952821300335</v>
      </c>
      <c r="AZ10" s="13" t="n">
        <f aca="false">Funding!$F$76-SUM(Tax!$J$10:AZ$10)</f>
        <v>61.9148048736987</v>
      </c>
      <c r="BA10" s="13" t="n">
        <f aca="false">Funding!$F$76-SUM(Tax!$J$10:BA$10)</f>
        <v>41.834327617364</v>
      </c>
      <c r="BB10" s="13" t="n">
        <f aca="false">Funding!$F$76-SUM(Tax!$J$10:BB$10)</f>
        <v>21.7538503610292</v>
      </c>
      <c r="BC10" s="13" t="n">
        <f aca="false">Funding!$F$76-SUM(Tax!$J$10:BC$10)</f>
        <v>8.08797000602363</v>
      </c>
      <c r="BD10" s="13" t="n">
        <f aca="false">Funding!$F$76-SUM(Tax!$J$10:BD$10)</f>
        <v>7.25128345367637</v>
      </c>
      <c r="BE10" s="13" t="n">
        <f aca="false">Funding!$F$76-SUM(Tax!$J$10:BE$10)</f>
        <v>6.41459690132911</v>
      </c>
      <c r="BF10" s="13" t="n">
        <f aca="false">Funding!$F$76-SUM(Tax!$J$10:BF$10)</f>
        <v>5.57791034898173</v>
      </c>
      <c r="BG10" s="13" t="n">
        <f aca="false">Funding!$F$76-SUM(Tax!$J$10:BG$10)</f>
        <v>4.74122379663447</v>
      </c>
      <c r="BH10" s="13" t="n">
        <f aca="false">Funding!$F$76-SUM(Tax!$J$10:BH$10)</f>
        <v>3.90453724428721</v>
      </c>
      <c r="BI10" s="13" t="n">
        <f aca="false">Funding!$F$76-SUM(Tax!$J$10:BI$10)</f>
        <v>3.06785069193995</v>
      </c>
      <c r="BJ10" s="13" t="n">
        <f aca="false">Funding!$F$76-SUM(Tax!$J$10:BJ$10)</f>
        <v>2.23116413959269</v>
      </c>
      <c r="BK10" s="13" t="n">
        <f aca="false">Funding!$F$76-SUM(Tax!$J$10:BK$10)</f>
        <v>1.39447758724543</v>
      </c>
      <c r="BL10" s="13" t="n">
        <f aca="false">Funding!$F$76-SUM(Tax!$J$10:BL$10)</f>
        <v>0.55779103489806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1899</v>
      </c>
      <c r="E11" s="0" t="s">
        <v>151</v>
      </c>
      <c r="J11" s="13" t="n">
        <f aca="false">Funding!$F$76-SUM(J$8:J$8)</f>
        <v>836.686552347281</v>
      </c>
      <c r="K11" s="13" t="n">
        <f aca="false">Funding!$F$76-SUM($J$8:K$8)</f>
        <v>836.686552347281</v>
      </c>
      <c r="L11" s="13" t="n">
        <f aca="false">Funding!$F$76-SUM($J$8:L$8)</f>
        <v>836.686552347281</v>
      </c>
      <c r="M11" s="13" t="n">
        <f aca="false">Funding!$F$76-SUM($J$8:M$8)</f>
        <v>836.686552347281</v>
      </c>
      <c r="N11" s="13" t="n">
        <f aca="false">Funding!$F$76-SUM($J$8:N$8)</f>
        <v>836.686552347281</v>
      </c>
      <c r="O11" s="13" t="n">
        <f aca="false">Funding!$F$76-SUM($J$8:O$8)</f>
        <v>831.108641998299</v>
      </c>
      <c r="P11" s="13" t="n">
        <f aca="false">Funding!$F$76-SUM($J$8:P$8)</f>
        <v>814.374910951353</v>
      </c>
      <c r="Q11" s="13" t="n">
        <f aca="false">Funding!$F$76-SUM($J$8:Q$8)</f>
        <v>797.641179904408</v>
      </c>
      <c r="R11" s="13" t="n">
        <f aca="false">Funding!$F$76-SUM($J$8:R$8)</f>
        <v>780.907448857462</v>
      </c>
      <c r="S11" s="13" t="n">
        <f aca="false">Funding!$F$76-SUM($J$8:S$8)</f>
        <v>764.173717810516</v>
      </c>
      <c r="T11" s="13" t="n">
        <f aca="false">Funding!$F$76-SUM($J$8:T$8)</f>
        <v>747.439986763571</v>
      </c>
      <c r="U11" s="13" t="n">
        <f aca="false">Funding!$F$76-SUM($J$8:U$8)</f>
        <v>730.706255716625</v>
      </c>
      <c r="V11" s="13" t="n">
        <f aca="false">Funding!$F$76-SUM($J$8:V$8)</f>
        <v>713.97252466968</v>
      </c>
      <c r="W11" s="13" t="n">
        <f aca="false">Funding!$F$76-SUM($J$8:W$8)</f>
        <v>697.238793622734</v>
      </c>
      <c r="X11" s="13" t="n">
        <f aca="false">Funding!$F$76-SUM($J$8:X$8)</f>
        <v>680.505062575788</v>
      </c>
      <c r="Y11" s="13" t="n">
        <f aca="false">Funding!$F$76-SUM($J$8:Y$8)</f>
        <v>663.771331528843</v>
      </c>
      <c r="Z11" s="13" t="n">
        <f aca="false">Funding!$F$76-SUM($J$8:Z$8)</f>
        <v>647.037600481897</v>
      </c>
      <c r="AA11" s="13" t="n">
        <f aca="false">Funding!$F$76-SUM($J$8:AA$8)</f>
        <v>630.303869434951</v>
      </c>
      <c r="AB11" s="13" t="n">
        <f aca="false">Funding!$F$76-SUM($J$8:AB$8)</f>
        <v>613.570138388006</v>
      </c>
      <c r="AC11" s="13" t="n">
        <f aca="false">Funding!$F$76-SUM($J$8:AC$8)</f>
        <v>596.83640734106</v>
      </c>
      <c r="AD11" s="13" t="n">
        <f aca="false">Funding!$F$76-SUM($J$8:AD$8)</f>
        <v>580.102676294115</v>
      </c>
      <c r="AE11" s="13" t="n">
        <f aca="false">Funding!$F$76-SUM($J$8:AE$8)</f>
        <v>563.368945247169</v>
      </c>
      <c r="AF11" s="13" t="n">
        <f aca="false">Funding!$F$76-SUM($J$8:AF$8)</f>
        <v>546.635214200223</v>
      </c>
      <c r="AG11" s="13" t="n">
        <f aca="false">Funding!$F$76-SUM($J$8:AG$8)</f>
        <v>529.901483153278</v>
      </c>
      <c r="AH11" s="13" t="n">
        <f aca="false">Funding!$F$76-SUM($J$8:AH$8)</f>
        <v>513.167752106332</v>
      </c>
      <c r="AI11" s="13" t="n">
        <f aca="false">Funding!$F$76-SUM($J$8:AI$8)</f>
        <v>496.434021059387</v>
      </c>
      <c r="AJ11" s="13" t="n">
        <f aca="false">Funding!$F$76-SUM($J$8:AJ$8)</f>
        <v>479.700290012441</v>
      </c>
      <c r="AK11" s="13" t="n">
        <f aca="false">Funding!$F$76-SUM($J$8:AK$8)</f>
        <v>462.966558965495</v>
      </c>
      <c r="AL11" s="13" t="n">
        <f aca="false">Funding!$F$76-SUM($J$8:AL$8)</f>
        <v>446.23282791855</v>
      </c>
      <c r="AM11" s="13" t="n">
        <f aca="false">Funding!$F$76-SUM($J$8:AM$8)</f>
        <v>429.499096871604</v>
      </c>
      <c r="AN11" s="13" t="n">
        <f aca="false">Funding!$F$76-SUM($J$8:AN$8)</f>
        <v>412.765365824659</v>
      </c>
      <c r="AO11" s="13" t="n">
        <f aca="false">Funding!$F$76-SUM($J$8:AO$8)</f>
        <v>396.031634777713</v>
      </c>
      <c r="AP11" s="13" t="n">
        <f aca="false">Funding!$F$76-SUM($J$8:AP$8)</f>
        <v>379.297903730767</v>
      </c>
      <c r="AQ11" s="13" t="n">
        <f aca="false">Funding!$F$76-SUM($J$8:AQ$8)</f>
        <v>362.564172683822</v>
      </c>
      <c r="AR11" s="13" t="n">
        <f aca="false">Funding!$F$76-SUM($J$8:AR$8)</f>
        <v>345.830441636876</v>
      </c>
      <c r="AS11" s="13" t="n">
        <f aca="false">Funding!$F$76-SUM($J$8:AS$8)</f>
        <v>329.09671058993</v>
      </c>
      <c r="AT11" s="13" t="n">
        <f aca="false">Funding!$F$76-SUM($J$8:AT$8)</f>
        <v>312.362979542985</v>
      </c>
      <c r="AU11" s="13" t="n">
        <f aca="false">Funding!$F$76-SUM($J$8:AU$8)</f>
        <v>295.629248496039</v>
      </c>
      <c r="AV11" s="13" t="n">
        <f aca="false">Funding!$F$76-SUM($J$8:AV$8)</f>
        <v>278.895517449094</v>
      </c>
      <c r="AW11" s="13" t="n">
        <f aca="false">Funding!$F$76-SUM($J$8:AW$8)</f>
        <v>262.161786402148</v>
      </c>
      <c r="AX11" s="13" t="n">
        <f aca="false">Funding!$F$76-SUM($J$8:AX$8)</f>
        <v>245.428055355202</v>
      </c>
      <c r="AY11" s="13" t="n">
        <f aca="false">Funding!$F$76-SUM($J$8:AY$8)</f>
        <v>228.694324308257</v>
      </c>
      <c r="AZ11" s="13" t="n">
        <f aca="false">Funding!$F$76-SUM($J$8:AZ$8)</f>
        <v>211.960593261311</v>
      </c>
      <c r="BA11" s="13" t="n">
        <f aca="false">Funding!$F$76-SUM($J$8:BA$8)</f>
        <v>195.226862214365</v>
      </c>
      <c r="BB11" s="13" t="n">
        <f aca="false">Funding!$F$76-SUM($J$8:BB$8)</f>
        <v>178.49313116742</v>
      </c>
      <c r="BC11" s="13" t="n">
        <f aca="false">Funding!$F$76-SUM($J$8:BC$8)</f>
        <v>161.759400120474</v>
      </c>
      <c r="BD11" s="13" t="n">
        <f aca="false">Funding!$F$76-SUM($J$8:BD$8)</f>
        <v>145.025669073529</v>
      </c>
      <c r="BE11" s="13" t="n">
        <f aca="false">Funding!$F$76-SUM($J$8:BE$8)</f>
        <v>128.291938026583</v>
      </c>
      <c r="BF11" s="13" t="n">
        <f aca="false">Funding!$F$76-SUM($J$8:BF$8)</f>
        <v>111.558206979637</v>
      </c>
      <c r="BG11" s="13" t="n">
        <f aca="false">Funding!$F$76-SUM($J$8:BG$8)</f>
        <v>94.8244759326917</v>
      </c>
      <c r="BH11" s="13" t="n">
        <f aca="false">Funding!$F$76-SUM($J$8:BH$8)</f>
        <v>78.0907448857462</v>
      </c>
      <c r="BI11" s="13" t="n">
        <f aca="false">Funding!$F$76-SUM($J$8:BI$8)</f>
        <v>61.3570138388005</v>
      </c>
      <c r="BJ11" s="13" t="n">
        <f aca="false">Funding!$F$76-SUM($J$8:BJ$8)</f>
        <v>44.6232827918549</v>
      </c>
      <c r="BK11" s="13" t="n">
        <f aca="false">Funding!$F$76-SUM($J$8:BK$8)</f>
        <v>27.8895517449092</v>
      </c>
      <c r="BL11" s="13" t="n">
        <f aca="false">Funding!$F$76-SUM($J$8:BL$8)</f>
        <v>11.1558206979637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1900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-1.67337310469454</v>
      </c>
      <c r="P12" s="13" t="n">
        <f aca="false">IF(Time!P20&gt;=Time!$F$12,Inputs!$F$184/100*(P11-P10-Tax!P21),0)</f>
        <v>-6.69349241877824</v>
      </c>
      <c r="Q12" s="13" t="n">
        <f aca="false">IF(Time!Q20&gt;=Time!$F$12,Inputs!$F$184/100*(Q11-Q10-Tax!Q21),0)</f>
        <v>-11.7136117328619</v>
      </c>
      <c r="R12" s="13" t="n">
        <f aca="false">IF(Time!R20&gt;=Time!$F$12,Inputs!$F$184/100*(R11-R10-Tax!R21),0)</f>
        <v>-16.7337310469456</v>
      </c>
      <c r="S12" s="13" t="n">
        <f aca="false">IF(Time!S20&gt;=Time!$F$12,Inputs!$F$184/100*(S11-S10-Tax!S21),0)</f>
        <v>-21.7538503610293</v>
      </c>
      <c r="T12" s="13" t="n">
        <f aca="false">IF(Time!T20&gt;=Time!$F$12,Inputs!$F$184/100*(T11-T10-Tax!T21),0)</f>
        <v>-26.773969675113</v>
      </c>
      <c r="U12" s="13" t="n">
        <f aca="false">IF(Time!U20&gt;=Time!$F$12,Inputs!$F$184/100*(U11-U10-Tax!U21),0)</f>
        <v>-31.7940889891967</v>
      </c>
      <c r="V12" s="13" t="n">
        <f aca="false">IF(Time!V20&gt;=Time!$F$12,Inputs!$F$184/100*(V11-V10-Tax!V21),0)</f>
        <v>-36.8142083032803</v>
      </c>
      <c r="W12" s="13" t="n">
        <f aca="false">IF(Time!W20&gt;=Time!$F$12,Inputs!$F$184/100*(W11-W10-Tax!W21),0)</f>
        <v>-41.834327617364</v>
      </c>
      <c r="X12" s="13" t="n">
        <f aca="false">IF(Time!X20&gt;=Time!$F$12,Inputs!$F$184/100*(X11-X10-Tax!X21),0)</f>
        <v>-46.8544469314477</v>
      </c>
      <c r="Y12" s="13" t="n">
        <f aca="false">IF(Time!Y20&gt;=Time!$F$12,Inputs!$F$184/100*(Y11-Y10-Tax!Y21),0)</f>
        <v>-49.1164895261328</v>
      </c>
      <c r="Z12" s="13" t="n">
        <f aca="false">IF(Time!Z20&gt;=Time!$F$12,Inputs!$F$184/100*(Z11-Z10-Tax!Z21),0)</f>
        <v>-45.6292496535165</v>
      </c>
      <c r="AA12" s="13" t="n">
        <f aca="false">IF(Time!AA20&gt;=Time!$F$12,Inputs!$F$184/100*(AA11-AA10-Tax!AA21),0)</f>
        <v>-41.7236974700085</v>
      </c>
      <c r="AB12" s="13" t="n">
        <f aca="false">IF(Time!AB20&gt;=Time!$F$12,Inputs!$F$184/100*(AB11-AB10-Tax!AB21),0)</f>
        <v>-37.5741768576594</v>
      </c>
      <c r="AC12" s="13" t="n">
        <f aca="false">IF(Time!AC20&gt;=Time!$F$12,Inputs!$F$184/100*(AC11-AC10-Tax!AC21),0)</f>
        <v>-32.97098040896</v>
      </c>
      <c r="AD12" s="13" t="n">
        <f aca="false">IF(Time!AD20&gt;=Time!$F$12,Inputs!$F$184/100*(AD11-AD10-Tax!AD21),0)</f>
        <v>-31.831681286738</v>
      </c>
      <c r="AE12" s="13" t="n">
        <f aca="false">IF(Time!AE20&gt;=Time!$F$12,Inputs!$F$184/100*(AE11-AE10-Tax!AE21),0)</f>
        <v>-26.3964858009349</v>
      </c>
      <c r="AF12" s="13" t="n">
        <f aca="false">IF(Time!AF20&gt;=Time!$F$12,Inputs!$F$184/100*(AF11-AF10-Tax!AF21),0)</f>
        <v>-20.6493889214623</v>
      </c>
      <c r="AG12" s="13" t="n">
        <f aca="false">IF(Time!AG20&gt;=Time!$F$12,Inputs!$F$184/100*(AG11-AG10-Tax!AG21),0)</f>
        <v>-14.4316703419073</v>
      </c>
      <c r="AH12" s="13" t="n">
        <f aca="false">IF(Time!AH20&gt;=Time!$F$12,Inputs!$F$184/100*(AH11-AH10-Tax!AH21),0)</f>
        <v>-7.77808637446342</v>
      </c>
      <c r="AI12" s="13" t="n">
        <f aca="false">IF(Time!AI20&gt;=Time!$F$12,Inputs!$F$184/100*(AI11-AI10-Tax!AI21),0)</f>
        <v>-0.561905454030969</v>
      </c>
      <c r="AJ12" s="13" t="n">
        <f aca="false">IF(Time!AJ20&gt;=Time!$F$12,Inputs!$F$184/100*(AJ11-AJ10-Tax!AJ21),0)</f>
        <v>7.13022131263933</v>
      </c>
      <c r="AK12" s="13" t="n">
        <f aca="false">IF(Time!AK20&gt;=Time!$F$12,Inputs!$F$184/100*(AK11-AK10-Tax!AK21),0)</f>
        <v>15.4370304581969</v>
      </c>
      <c r="AL12" s="13" t="n">
        <f aca="false">IF(Time!AL20&gt;=Time!$F$12,Inputs!$F$184/100*(AL11-AL10-Tax!AL21),0)</f>
        <v>23.4439373485846</v>
      </c>
      <c r="AM12" s="13" t="n">
        <f aca="false">IF(Time!AM20&gt;=Time!$F$12,Inputs!$F$184/100*(AM11-AM10-Tax!AM21),0)</f>
        <v>31.9614262996661</v>
      </c>
      <c r="AN12" s="13" t="n">
        <f aca="false">IF(Time!AN20&gt;=Time!$F$12,Inputs!$F$184/100*(AN11-AN10-Tax!AN21),0)</f>
        <v>32.9654501624829</v>
      </c>
      <c r="AO12" s="13" t="n">
        <f aca="false">IF(Time!AO20&gt;=Time!$F$12,Inputs!$F$184/100*(AO11-AO10-Tax!AO21),0)</f>
        <v>33.9694740252996</v>
      </c>
      <c r="AP12" s="13" t="n">
        <f aca="false">IF(Time!AP20&gt;=Time!$F$12,Inputs!$F$184/100*(AP11-AP10-Tax!AP21),0)</f>
        <v>34.9734978881163</v>
      </c>
      <c r="AQ12" s="13" t="n">
        <f aca="false">IF(Time!AQ20&gt;=Time!$F$12,Inputs!$F$184/100*(AQ11-AQ10-Tax!AQ21),0)</f>
        <v>35.9775217509331</v>
      </c>
      <c r="AR12" s="13" t="n">
        <f aca="false">IF(Time!AR20&gt;=Time!$F$12,Inputs!$F$184/100*(AR11-AR10-Tax!AR21),0)</f>
        <v>36.9815456137498</v>
      </c>
      <c r="AS12" s="13" t="n">
        <f aca="false">IF(Time!AS20&gt;=Time!$F$12,Inputs!$F$184/100*(AS11-AS10-Tax!AS21),0)</f>
        <v>37.9855694765666</v>
      </c>
      <c r="AT12" s="13" t="n">
        <f aca="false">IF(Time!AT20&gt;=Time!$F$12,Inputs!$F$184/100*(AT11-AT10-Tax!AT21),0)</f>
        <v>38.9895933393833</v>
      </c>
      <c r="AU12" s="13" t="n">
        <f aca="false">IF(Time!AU20&gt;=Time!$F$12,Inputs!$F$184/100*(AU11-AU10-Tax!AU21),0)</f>
        <v>39.9936172022</v>
      </c>
      <c r="AV12" s="13" t="n">
        <f aca="false">IF(Time!AV20&gt;=Time!$F$12,Inputs!$F$184/100*(AV11-AV10-Tax!AV21),0)</f>
        <v>40.9976410650168</v>
      </c>
      <c r="AW12" s="13" t="n">
        <f aca="false">IF(Time!AW20&gt;=Time!$F$12,Inputs!$F$184/100*(AW11-AW10-Tax!AW21),0)</f>
        <v>42.0016649278335</v>
      </c>
      <c r="AX12" s="13" t="n">
        <f aca="false">IF(Time!AX20&gt;=Time!$F$12,Inputs!$F$184/100*(AX11-AX10-Tax!AX21),0)</f>
        <v>43.0056887906502</v>
      </c>
      <c r="AY12" s="13" t="n">
        <f aca="false">IF(Time!AY20&gt;=Time!$F$12,Inputs!$F$184/100*(AY11-AY10-Tax!AY21),0)</f>
        <v>44.009712653467</v>
      </c>
      <c r="AZ12" s="13" t="n">
        <f aca="false">IF(Time!AZ20&gt;=Time!$F$12,Inputs!$F$184/100*(AZ11-AZ10-Tax!AZ21),0)</f>
        <v>45.0137365162837</v>
      </c>
      <c r="BA12" s="13" t="n">
        <f aca="false">IF(Time!BA20&gt;=Time!$F$12,Inputs!$F$184/100*(BA11-BA10-Tax!BA21),0)</f>
        <v>46.0177603791004</v>
      </c>
      <c r="BB12" s="13" t="n">
        <f aca="false">IF(Time!BB20&gt;=Time!$F$12,Inputs!$F$184/100*(BB11-BB10-Tax!BB21),0)</f>
        <v>47.0217842419172</v>
      </c>
      <c r="BC12" s="13" t="n">
        <f aca="false">IF(Time!BC20&gt;=Time!$F$12,Inputs!$F$184/100*(BC11-BC10-Tax!BC21),0)</f>
        <v>46.1014290343352</v>
      </c>
      <c r="BD12" s="13" t="n">
        <f aca="false">IF(Time!BD20&gt;=Time!$F$12,Inputs!$F$184/100*(BD11-BD10-Tax!BD21),0)</f>
        <v>41.3323156859557</v>
      </c>
      <c r="BE12" s="13" t="n">
        <f aca="false">IF(Time!BE20&gt;=Time!$F$12,Inputs!$F$184/100*(BE11-BE10-Tax!BE21),0)</f>
        <v>36.5632023375762</v>
      </c>
      <c r="BF12" s="13" t="n">
        <f aca="false">IF(Time!BF20&gt;=Time!$F$12,Inputs!$F$184/100*(BF11-BF10-Tax!BF21),0)</f>
        <v>31.7940889891967</v>
      </c>
      <c r="BG12" s="13" t="n">
        <f aca="false">IF(Time!BG20&gt;=Time!$F$12,Inputs!$F$184/100*(BG11-BG10-Tax!BG21),0)</f>
        <v>27.0249756408172</v>
      </c>
      <c r="BH12" s="13" t="n">
        <f aca="false">IF(Time!BH20&gt;=Time!$F$12,Inputs!$F$184/100*(BH11-BH10-Tax!BH21),0)</f>
        <v>22.2558622924377</v>
      </c>
      <c r="BI12" s="13" t="n">
        <f aca="false">IF(Time!BI20&gt;=Time!$F$12,Inputs!$F$184/100*(BI11-BI10-Tax!BI21),0)</f>
        <v>17.4867489440582</v>
      </c>
      <c r="BJ12" s="13" t="n">
        <f aca="false">IF(Time!BJ20&gt;=Time!$F$12,Inputs!$F$184/100*(BJ11-BJ10-Tax!BJ21),0)</f>
        <v>12.7176355956787</v>
      </c>
      <c r="BK12" s="13" t="n">
        <f aca="false">IF(Time!BK20&gt;=Time!$F$12,Inputs!$F$184/100*(BK11-BK10-Tax!BK21),0)</f>
        <v>7.94852224729914</v>
      </c>
      <c r="BL12" s="13" t="n">
        <f aca="false">IF(Time!BL20&gt;=Time!$F$12,Inputs!$F$184/100*(BL11-BL10-Tax!BL21),0)</f>
        <v>3.17940889891969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1901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-1.67337310469454</v>
      </c>
      <c r="P13" s="13" t="n">
        <f aca="false">P12-O12</f>
        <v>-5.0201193140837</v>
      </c>
      <c r="Q13" s="13" t="n">
        <f aca="false">Q12-P12</f>
        <v>-5.02011931408369</v>
      </c>
      <c r="R13" s="13" t="n">
        <f aca="false">R12-Q12</f>
        <v>-5.02011931408366</v>
      </c>
      <c r="S13" s="13" t="n">
        <f aca="false">S12-R12</f>
        <v>-5.0201193140837</v>
      </c>
      <c r="T13" s="13" t="n">
        <f aca="false">T12-S12</f>
        <v>-5.02011931408369</v>
      </c>
      <c r="U13" s="13" t="n">
        <f aca="false">U12-T12</f>
        <v>-5.02011931408369</v>
      </c>
      <c r="V13" s="13" t="n">
        <f aca="false">V12-U12</f>
        <v>-5.02011931408366</v>
      </c>
      <c r="W13" s="13" t="n">
        <f aca="false">W12-V12</f>
        <v>-5.02011931408369</v>
      </c>
      <c r="X13" s="13" t="n">
        <f aca="false">X12-W12</f>
        <v>-5.02011931408367</v>
      </c>
      <c r="Y13" s="13" t="n">
        <f aca="false">Y12-X12</f>
        <v>-2.26204259468506</v>
      </c>
      <c r="Z13" s="13" t="n">
        <f aca="false">Z12-Y12</f>
        <v>3.4872398726163</v>
      </c>
      <c r="AA13" s="13" t="n">
        <f aca="false">AA12-Z12</f>
        <v>3.90555218350795</v>
      </c>
      <c r="AB13" s="13" t="n">
        <f aca="false">AB12-AA12</f>
        <v>4.14952061234909</v>
      </c>
      <c r="AC13" s="13" t="n">
        <f aca="false">AC12-AB12</f>
        <v>4.6031964486994</v>
      </c>
      <c r="AD13" s="13" t="n">
        <f aca="false">AD12-AC12</f>
        <v>1.13929912222206</v>
      </c>
      <c r="AE13" s="13" t="n">
        <f aca="false">AE12-AD12</f>
        <v>5.43519548580305</v>
      </c>
      <c r="AF13" s="13" t="n">
        <f aca="false">AF12-AE12</f>
        <v>5.74709687947262</v>
      </c>
      <c r="AG13" s="13" t="n">
        <f aca="false">AG12-AF12</f>
        <v>6.21771857955504</v>
      </c>
      <c r="AH13" s="13" t="n">
        <f aca="false">AH12-AG12</f>
        <v>6.65358396744383</v>
      </c>
      <c r="AI13" s="13" t="n">
        <f aca="false">AI12-AH12</f>
        <v>7.21618092043245</v>
      </c>
      <c r="AJ13" s="13" t="n">
        <f aca="false">AJ12-AI12</f>
        <v>7.6921267666703</v>
      </c>
      <c r="AK13" s="13" t="n">
        <f aca="false">AK12-AJ12</f>
        <v>8.30680914555762</v>
      </c>
      <c r="AL13" s="13" t="n">
        <f aca="false">AL12-AK12</f>
        <v>8.00690689038768</v>
      </c>
      <c r="AM13" s="13" t="n">
        <f aca="false">AM12-AL12</f>
        <v>8.5174889510815</v>
      </c>
      <c r="AN13" s="13" t="n">
        <f aca="false">AN12-AM12</f>
        <v>1.00402386281677</v>
      </c>
      <c r="AO13" s="13" t="n">
        <f aca="false">AO12-AN12</f>
        <v>1.00402386281671</v>
      </c>
      <c r="AP13" s="13" t="n">
        <f aca="false">AP12-AO12</f>
        <v>1.00402386281673</v>
      </c>
      <c r="AQ13" s="13" t="n">
        <f aca="false">AQ12-AP12</f>
        <v>1.00402386281674</v>
      </c>
      <c r="AR13" s="13" t="n">
        <f aca="false">AR12-AQ12</f>
        <v>1.00402386281673</v>
      </c>
      <c r="AS13" s="13" t="n">
        <f aca="false">AS12-AR12</f>
        <v>1.00402386281676</v>
      </c>
      <c r="AT13" s="13" t="n">
        <f aca="false">AT12-AS12</f>
        <v>1.00402386281669</v>
      </c>
      <c r="AU13" s="13" t="n">
        <f aca="false">AU12-AT12</f>
        <v>1.00402386281675</v>
      </c>
      <c r="AV13" s="13" t="n">
        <f aca="false">AV12-AU12</f>
        <v>1.00402386281674</v>
      </c>
      <c r="AW13" s="13" t="n">
        <f aca="false">AW12-AV12</f>
        <v>1.00402386281674</v>
      </c>
      <c r="AX13" s="13" t="n">
        <f aca="false">AX12-AW12</f>
        <v>1.00402386281671</v>
      </c>
      <c r="AY13" s="13" t="n">
        <f aca="false">AY12-AX12</f>
        <v>1.00402386281675</v>
      </c>
      <c r="AZ13" s="13" t="n">
        <f aca="false">AZ12-AY12</f>
        <v>1.00402386281674</v>
      </c>
      <c r="BA13" s="13" t="n">
        <f aca="false">BA12-AZ12</f>
        <v>1.00402386281671</v>
      </c>
      <c r="BB13" s="13" t="n">
        <f aca="false">BB12-BA12</f>
        <v>1.00402386281678</v>
      </c>
      <c r="BC13" s="13" t="n">
        <f aca="false">BC12-BB12</f>
        <v>-0.92035520758202</v>
      </c>
      <c r="BD13" s="13" t="n">
        <f aca="false">BD12-BC12</f>
        <v>-4.76911334837951</v>
      </c>
      <c r="BE13" s="13" t="n">
        <f aca="false">BE12-BD12</f>
        <v>-4.76911334837948</v>
      </c>
      <c r="BF13" s="13" t="n">
        <f aca="false">BF12-BE12</f>
        <v>-4.76911334837948</v>
      </c>
      <c r="BG13" s="13" t="n">
        <f aca="false">BG12-BF12</f>
        <v>-4.76911334837952</v>
      </c>
      <c r="BH13" s="13" t="n">
        <f aca="false">BH12-BG12</f>
        <v>-4.76911334837948</v>
      </c>
      <c r="BI13" s="13" t="n">
        <f aca="false">BI12-BH12</f>
        <v>-4.76911334837952</v>
      </c>
      <c r="BJ13" s="13" t="n">
        <f aca="false">BJ12-BI12</f>
        <v>-4.76911334837952</v>
      </c>
      <c r="BK13" s="13" t="n">
        <f aca="false">BK12-BJ12</f>
        <v>-4.76911334837952</v>
      </c>
      <c r="BL13" s="13" t="n">
        <f aca="false">BL12-BK12</f>
        <v>-4.76911334837945</v>
      </c>
      <c r="BM13" s="13" t="n">
        <f aca="false">BM12-BL12</f>
        <v>-3.17940889891969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1902</v>
      </c>
      <c r="E14" s="0" t="s">
        <v>151</v>
      </c>
      <c r="G14" s="13" t="n">
        <f aca="false">SUM(J14:BN14)</f>
        <v>960.750473167816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9.79312983613362</v>
      </c>
      <c r="P14" s="13" t="n">
        <f aca="false">Operations!P84-P8-P9-Tax!P27-P13</f>
        <v>7.42371962181071</v>
      </c>
      <c r="Q14" s="13" t="n">
        <f aca="false">Operations!Q84-Q8-Q9-Tax!Q27-Q13</f>
        <v>8.77967710612351</v>
      </c>
      <c r="R14" s="13" t="n">
        <f aca="false">Operations!R84-R8-R9-Tax!R27-R13</f>
        <v>9.24774422488671</v>
      </c>
      <c r="S14" s="13" t="n">
        <f aca="false">Operations!S84-S8-S9-Tax!S27-S13</f>
        <v>10.4770805507221</v>
      </c>
      <c r="T14" s="13" t="n">
        <f aca="false">Operations!T84-T8-T9-Tax!T27-T13</f>
        <v>10.9598529791912</v>
      </c>
      <c r="U14" s="13" t="n">
        <f aca="false">Operations!U84-U8-U9-Tax!U27-U13</f>
        <v>12.190779006295</v>
      </c>
      <c r="V14" s="13" t="n">
        <f aca="false">Operations!V84-V8-V9-Tax!V27-V13</f>
        <v>10.505445713123</v>
      </c>
      <c r="W14" s="13" t="n">
        <f aca="false">Operations!W84-W8-W9-Tax!W27-W13</f>
        <v>14.3168171791314</v>
      </c>
      <c r="X14" s="13" t="n">
        <f aca="false">Operations!X84-X8-X9-Tax!X27-X13</f>
        <v>14.995882187619</v>
      </c>
      <c r="Y14" s="13" t="n">
        <f aca="false">Operations!Y84-Y8-Y9-Tax!Y27-Y13</f>
        <v>12.9910329058053</v>
      </c>
      <c r="Z14" s="13" t="n">
        <f aca="false">Operations!Z84-Z8-Z9-Tax!Z27-Z13</f>
        <v>7.78140150143116</v>
      </c>
      <c r="AA14" s="13" t="n">
        <f aca="false">Operations!AA84-AA8-AA9-Tax!AA27-AA13</f>
        <v>8.755688534246</v>
      </c>
      <c r="AB14" s="13" t="n">
        <f aca="false">Operations!AB84-AB8-AB9-Tax!AB27-AB13</f>
        <v>9.32301507731636</v>
      </c>
      <c r="AC14" s="13" t="n">
        <f aca="false">Operations!AC84-AC8-AC9-Tax!AC27-AC13</f>
        <v>10.3807023131521</v>
      </c>
      <c r="AD14" s="13" t="n">
        <f aca="false">Operations!AD84-AD8-AD9-Tax!AD27-AD13</f>
        <v>2.30278242857613</v>
      </c>
      <c r="AE14" s="13" t="n">
        <f aca="false">Operations!AE84-AE8-AE9-Tax!AE27-AE13</f>
        <v>12.3194435283921</v>
      </c>
      <c r="AF14" s="13" t="n">
        <f aca="false">Operations!AF84-AF8-AF9-Tax!AF27-AF13</f>
        <v>13.0438713999476</v>
      </c>
      <c r="AG14" s="13" t="n">
        <f aca="false">Operations!AG84-AG8-AG9-Tax!AG27-AG13</f>
        <v>14.1403822173471</v>
      </c>
      <c r="AH14" s="13" t="n">
        <f aca="false">Operations!AH84-AH8-AH9-Tax!AH27-AH13</f>
        <v>15.155925507272</v>
      </c>
      <c r="AI14" s="13" t="n">
        <f aca="false">Operations!AI84-AI8-AI9-Tax!AI27-AI13</f>
        <v>16.4667191904217</v>
      </c>
      <c r="AJ14" s="13" t="n">
        <f aca="false">Operations!AJ84-AJ8-AJ9-Tax!AJ27-AJ13</f>
        <v>17.5751554441102</v>
      </c>
      <c r="AK14" s="13" t="n">
        <f aca="false">Operations!AK84-AK8-AK9-Tax!AK27-AK13</f>
        <v>19.0081230662707</v>
      </c>
      <c r="AL14" s="13" t="n">
        <f aca="false">Operations!AL84-AL8-AL9-Tax!AL27-AL13</f>
        <v>18.3075931086311</v>
      </c>
      <c r="AM14" s="13" t="n">
        <f aca="false">Operations!AM84-AM8-AM9-Tax!AM27-AM13</f>
        <v>22.0932815649211</v>
      </c>
      <c r="AN14" s="13" t="n">
        <f aca="false">Operations!AN84-AN8-AN9-Tax!AN27-AN13</f>
        <v>23.4444016937867</v>
      </c>
      <c r="AO14" s="13" t="n">
        <f aca="false">Operations!AO84-AO8-AO9-Tax!AO27-AO13</f>
        <v>24.6187525121092</v>
      </c>
      <c r="AP14" s="13" t="n">
        <f aca="false">Operations!AP84-AP8-AP9-Tax!AP27-AP13</f>
        <v>26.0161797970266</v>
      </c>
      <c r="AQ14" s="13" t="n">
        <f aca="false">Operations!AQ84-AQ8-AQ9-Tax!AQ27-AQ13</f>
        <v>26.0945538299461</v>
      </c>
      <c r="AR14" s="13" t="n">
        <f aca="false">Operations!AR84-AR8-AR9-Tax!AR27-AR13</f>
        <v>26.1604006141022</v>
      </c>
      <c r="AS14" s="13" t="n">
        <f aca="false">Operations!AS84-AS8-AS9-Tax!AS27-AS13</f>
        <v>26.338062452467</v>
      </c>
      <c r="AT14" s="13" t="n">
        <f aca="false">Operations!AT84-AT8-AT9-Tax!AT27-AT13</f>
        <v>16.0283898998371</v>
      </c>
      <c r="AU14" s="13" t="n">
        <f aca="false">Operations!AU84-AU8-AU9-Tax!AU27-AU13</f>
        <v>26.6187164580925</v>
      </c>
      <c r="AV14" s="13" t="n">
        <f aca="false">Operations!AV84-AV8-AV9-Tax!AV27-AV13</f>
        <v>26.5451401365954</v>
      </c>
      <c r="AW14" s="13" t="n">
        <f aca="false">Operations!AW84-AW8-AW9-Tax!AW27-AW13</f>
        <v>26.6579364727402</v>
      </c>
      <c r="AX14" s="13" t="n">
        <f aca="false">Operations!AX84-AX8-AX9-Tax!AX27-AX13</f>
        <v>26.7907192628712</v>
      </c>
      <c r="AY14" s="13" t="n">
        <f aca="false">Operations!AY84-AY8-AY9-Tax!AY27-AY13</f>
        <v>26.8742198763565</v>
      </c>
      <c r="AZ14" s="13" t="n">
        <f aca="false">Operations!AZ84-AZ8-AZ9-Tax!AZ27-AZ13</f>
        <v>26.945180095805</v>
      </c>
      <c r="BA14" s="13" t="n">
        <f aca="false">Operations!BA84-BA8-BA9-Tax!BA27-BA13</f>
        <v>27.1044975232345</v>
      </c>
      <c r="BB14" s="13" t="n">
        <f aca="false">Operations!BB84-BB8-BB9-Tax!BB27-BB13</f>
        <v>24.8529747532167</v>
      </c>
      <c r="BC14" s="13" t="n">
        <f aca="false">Operations!BC84-BC8-BC9-Tax!BC27-BC13</f>
        <v>27.3741253815015</v>
      </c>
      <c r="BD14" s="13" t="n">
        <f aca="false">Operations!BD84-BD8-BD9-Tax!BD27-BD13</f>
        <v>27.3611396259656</v>
      </c>
      <c r="BE14" s="13" t="n">
        <f aca="false">Operations!BE84-BE8-BE9-Tax!BE27-BE13</f>
        <v>27.4828171051513</v>
      </c>
      <c r="BF14" s="13" t="n">
        <f aca="false">Operations!BF84-BF8-BF9-Tax!BF27-BF13</f>
        <v>27.6282303096486</v>
      </c>
      <c r="BG14" s="13" t="n">
        <f aca="false">Operations!BG84-BG8-BG9-Tax!BG27-BG13</f>
        <v>27.7171919658514</v>
      </c>
      <c r="BH14" s="13" t="n">
        <f aca="false">Operations!BH84-BH8-BH9-Tax!BH27-BH13</f>
        <v>27.7936633442784</v>
      </c>
      <c r="BI14" s="13" t="n">
        <f aca="false">Operations!BI84-BI8-BI9-Tax!BI27-BI13</f>
        <v>28.0058341285707</v>
      </c>
      <c r="BJ14" s="13" t="n">
        <f aca="false">Operations!BJ84-BJ8-BJ9-Tax!BJ27-BJ13</f>
        <v>15.821554391686</v>
      </c>
      <c r="BK14" s="13" t="n">
        <f aca="false">Operations!BK84-BK8-BK9-Tax!BK27-BK13</f>
        <v>28.3402839221195</v>
      </c>
      <c r="BL14" s="13" t="n">
        <f aca="false">Operations!BL84-BL8-BL9-Tax!BL27-BL13</f>
        <v>28.2434224163961</v>
      </c>
      <c r="BM14" s="13" t="n">
        <f aca="false">Operations!BM84-BM8-BM9-Tax!BM27-BM13</f>
        <v>5.55683900558269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1903</v>
      </c>
    </row>
    <row r="16" customFormat="false" ht="15" hidden="false" customHeight="false" outlineLevel="0" collapsed="false">
      <c r="D16" s="0" t="s">
        <v>1904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139.106138718341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239.361059019891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433.488009929513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635.509570384213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753.08150774339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831.108641998299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814.374910951353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797.641179904408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780.907448857462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764.173717810516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747.439986763571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730.706255716625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713.97252466968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697.238793622734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680.505062575788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663.771331528843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647.037600481897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630.303869434951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613.570138388006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596.83640734106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580.102676294115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563.368945247169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546.635214200223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529.901483153278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513.167752106332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496.434021059387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479.700290012441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462.966558965495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446.23282791855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429.499096871604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412.765365824659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396.031634777713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379.297903730767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362.564172683822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345.830441636876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329.09671058993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312.362979542985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295.629248496039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278.895517449094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262.161786402148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245.428055355202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228.694324308257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211.960593261311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195.226862214365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178.49313116742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161.759400120474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145.025669073529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128.291938026583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111.558206979637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94.8244759326917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78.0907448857462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61.3570138388005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44.6232827918549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27.8895517449092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11.1558206979637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1905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39.1219304554322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37.5732847576006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38.4573216925877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38.5821173999215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39.4162909915672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39.652034267127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40.7855300498875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38.0232274258698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36.9267950745894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38.5431345881786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40.816848195781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42.4925149857548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44.89571880651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46.0775389611707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48.638124418489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36.0633126498297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35.1432494775869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34.1765545628985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33.6764493543406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32.3171001487897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31.0894761978413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28.9391517680241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26.6866075648919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23.5692918532781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19.1320172548642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21.2537968330951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1906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44.8129279605156</v>
      </c>
      <c r="P18" s="13" t="n">
        <f aca="false">Operations!P88+Operations!P89</f>
        <v>44.6524332286189</v>
      </c>
      <c r="Q18" s="13" t="n">
        <f aca="false">Operations!Q88+Operations!Q89</f>
        <v>45.8744243728831</v>
      </c>
      <c r="R18" s="13" t="n">
        <f aca="false">Operations!R88+Operations!R89</f>
        <v>45.0632009048959</v>
      </c>
      <c r="S18" s="13" t="n">
        <f aca="false">Operations!S88+Operations!S89</f>
        <v>46.4791136795359</v>
      </c>
      <c r="T18" s="13" t="n">
        <f aca="false">Operations!T88+Operations!T89</f>
        <v>46.016346753599</v>
      </c>
      <c r="U18" s="13" t="n">
        <f aca="false">Operations!U88+Operations!U89</f>
        <v>46.7997543162108</v>
      </c>
      <c r="V18" s="13" t="n">
        <f aca="false">Operations!V88+Operations!V89</f>
        <v>45.7404771328745</v>
      </c>
      <c r="W18" s="13" t="n">
        <f aca="false">Operations!W88+Operations!W89</f>
        <v>47.4232224945853</v>
      </c>
      <c r="X18" s="13" t="n">
        <f aca="false">Operations!X88+Operations!X89</f>
        <v>47.4338712941805</v>
      </c>
      <c r="Y18" s="13" t="n">
        <f aca="false">Operations!Y88+Operations!Y89</f>
        <v>48.741009969602</v>
      </c>
      <c r="Z18" s="13" t="n">
        <f aca="false">Operations!Z88+Operations!Z89</f>
        <v>47.8775910671143</v>
      </c>
      <c r="AA18" s="13" t="n">
        <f aca="false">Operations!AA88+Operations!AA89</f>
        <v>49.3941831849618</v>
      </c>
      <c r="AB18" s="13" t="n">
        <f aca="false">Operations!AB88+Operations!AB89</f>
        <v>48.9071131628917</v>
      </c>
      <c r="AC18" s="13" t="n">
        <f aca="false">Operations!AC88+Operations!AC89</f>
        <v>49.5334843595104</v>
      </c>
      <c r="AD18" s="13" t="n">
        <f aca="false">Operations!AD88+Operations!AD89</f>
        <v>47.7570946313138</v>
      </c>
      <c r="AE18" s="13" t="n">
        <f aca="false">Operations!AE88+Operations!AE89</f>
        <v>49.9810286931912</v>
      </c>
      <c r="AF18" s="13" t="n">
        <f aca="false">Operations!AF88+Operations!AF89</f>
        <v>50.4382612881454</v>
      </c>
      <c r="AG18" s="13" t="n">
        <f aca="false">Operations!AG88+Operations!AG89</f>
        <v>51.8373867081042</v>
      </c>
      <c r="AH18" s="13" t="n">
        <f aca="false">Operations!AH88+Operations!AH89</f>
        <v>50.9175875662628</v>
      </c>
      <c r="AI18" s="13" t="n">
        <f aca="false">Operations!AI88+Operations!AI89</f>
        <v>52.5429331644047</v>
      </c>
      <c r="AJ18" s="13" t="n">
        <f aca="false">Operations!AJ88+Operations!AJ89</f>
        <v>52.0295904458511</v>
      </c>
      <c r="AK18" s="13" t="n">
        <f aca="false">Operations!AK88+Operations!AK89</f>
        <v>52.9257015701195</v>
      </c>
      <c r="AL18" s="13" t="n">
        <f aca="false">Operations!AL88+Operations!AL89</f>
        <v>51.7080199054764</v>
      </c>
      <c r="AM18" s="13" t="n">
        <f aca="false">Operations!AM88+Operations!AM89</f>
        <v>53.6446343877875</v>
      </c>
      <c r="AN18" s="13" t="n">
        <f aca="false">Operations!AN88+Operations!AN89</f>
        <v>53.6834646169718</v>
      </c>
      <c r="AO18" s="13" t="n">
        <f aca="false">Operations!AO88+Operations!AO89</f>
        <v>55.1819634744074</v>
      </c>
      <c r="AP18" s="13" t="n">
        <f aca="false">Operations!AP88+Operations!AP89</f>
        <v>54.2012662023088</v>
      </c>
      <c r="AQ18" s="13" t="n">
        <f aca="false">Operations!AQ88+Operations!AQ89</f>
        <v>55.9440842485997</v>
      </c>
      <c r="AR18" s="13" t="n">
        <f aca="false">Operations!AR88+Operations!AR89</f>
        <v>55.4023404759112</v>
      </c>
      <c r="AS18" s="13" t="n">
        <f aca="false">Operations!AS88+Operations!AS89</f>
        <v>56.1153345109838</v>
      </c>
      <c r="AT18" s="13" t="n">
        <f aca="false">Operations!AT88+Operations!AT89</f>
        <v>54.0832180492962</v>
      </c>
      <c r="AU18" s="13" t="n">
        <f aca="false">Operations!AU88+Operations!AU89</f>
        <v>56.6291898861956</v>
      </c>
      <c r="AV18" s="13" t="n">
        <f aca="false">Operations!AV88+Operations!AV89</f>
        <v>57.1887710148055</v>
      </c>
      <c r="AW18" s="13" t="n">
        <f aca="false">Operations!AW88+Operations!AW89</f>
        <v>58.7946211179603</v>
      </c>
      <c r="AX18" s="13" t="n">
        <f aca="false">Operations!AX88+Operations!AX89</f>
        <v>57.7481484462634</v>
      </c>
      <c r="AY18" s="13" t="n">
        <f aca="false">Operations!AY88+Operations!AY89</f>
        <v>59.6178539720877</v>
      </c>
      <c r="AZ18" s="13" t="n">
        <f aca="false">Operations!AZ88+Operations!AZ89</f>
        <v>59.0454093089913</v>
      </c>
      <c r="BA18" s="13" t="n">
        <f aca="false">Operations!BA88+Operations!BA89</f>
        <v>60.0730547309885</v>
      </c>
      <c r="BB18" s="13" t="n">
        <f aca="false">Operations!BB88+Operations!BB89</f>
        <v>58.6707843273338</v>
      </c>
      <c r="BC18" s="13" t="n">
        <f aca="false">Operations!BC88+Operations!BC89</f>
        <v>60.9035377898018</v>
      </c>
      <c r="BD18" s="13" t="n">
        <f aca="false">Operations!BD88+Operations!BD89</f>
        <v>60.9750124291218</v>
      </c>
      <c r="BE18" s="13" t="n">
        <f aca="false">Operations!BE88+Operations!BE89</f>
        <v>62.6968297968815</v>
      </c>
      <c r="BF18" s="13" t="n">
        <f aca="false">Operations!BF88+Operations!BF89</f>
        <v>61.5793167298791</v>
      </c>
      <c r="BG18" s="13" t="n">
        <f aca="false">Operations!BG88+Operations!BG89</f>
        <v>63.5860761081732</v>
      </c>
      <c r="BH18" s="13" t="n">
        <f aca="false">Operations!BH88+Operations!BH89</f>
        <v>62.9804455056161</v>
      </c>
      <c r="BI18" s="13" t="n">
        <f aca="false">Operations!BI88+Operations!BI89</f>
        <v>63.7946097715805</v>
      </c>
      <c r="BJ18" s="13" t="n">
        <f aca="false">Operations!BJ88+Operations!BJ89</f>
        <v>61.4641555188094</v>
      </c>
      <c r="BK18" s="13" t="n">
        <f aca="false">Operations!BK88+Operations!BK89</f>
        <v>64.3860857766883</v>
      </c>
      <c r="BL18" s="13" t="n">
        <f aca="false">Operations!BL88+Operations!BL89</f>
        <v>65.0646859513464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1907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1908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1.67337310469454</v>
      </c>
      <c r="P20" s="13" t="n">
        <f aca="false">MAX(0,-P12)</f>
        <v>6.69349241877824</v>
      </c>
      <c r="Q20" s="13" t="n">
        <f aca="false">MAX(0,-Q12)</f>
        <v>11.7136117328619</v>
      </c>
      <c r="R20" s="13" t="n">
        <f aca="false">MAX(0,-R12)</f>
        <v>16.7337310469456</v>
      </c>
      <c r="S20" s="13" t="n">
        <f aca="false">MAX(0,-S12)</f>
        <v>21.7538503610293</v>
      </c>
      <c r="T20" s="13" t="n">
        <f aca="false">MAX(0,-T12)</f>
        <v>26.773969675113</v>
      </c>
      <c r="U20" s="13" t="n">
        <f aca="false">MAX(0,-U12)</f>
        <v>31.7940889891967</v>
      </c>
      <c r="V20" s="13" t="n">
        <f aca="false">MAX(0,-V12)</f>
        <v>36.8142083032803</v>
      </c>
      <c r="W20" s="13" t="n">
        <f aca="false">MAX(0,-W12)</f>
        <v>41.834327617364</v>
      </c>
      <c r="X20" s="13" t="n">
        <f aca="false">MAX(0,-X12)</f>
        <v>46.8544469314477</v>
      </c>
      <c r="Y20" s="13" t="n">
        <f aca="false">MAX(0,-Y12)</f>
        <v>49.1164895261328</v>
      </c>
      <c r="Z20" s="13" t="n">
        <f aca="false">MAX(0,-Z12)</f>
        <v>45.6292496535165</v>
      </c>
      <c r="AA20" s="13" t="n">
        <f aca="false">MAX(0,-AA12)</f>
        <v>41.7236974700085</v>
      </c>
      <c r="AB20" s="13" t="n">
        <f aca="false">MAX(0,-AB12)</f>
        <v>37.5741768576594</v>
      </c>
      <c r="AC20" s="13" t="n">
        <f aca="false">MAX(0,-AC12)</f>
        <v>32.97098040896</v>
      </c>
      <c r="AD20" s="13" t="n">
        <f aca="false">MAX(0,-AD12)</f>
        <v>31.831681286738</v>
      </c>
      <c r="AE20" s="13" t="n">
        <f aca="false">MAX(0,-AE12)</f>
        <v>26.3964858009349</v>
      </c>
      <c r="AF20" s="13" t="n">
        <f aca="false">MAX(0,-AF12)</f>
        <v>20.6493889214623</v>
      </c>
      <c r="AG20" s="13" t="n">
        <f aca="false">MAX(0,-AG12)</f>
        <v>14.4316703419073</v>
      </c>
      <c r="AH20" s="13" t="n">
        <f aca="false">MAX(0,-AH12)</f>
        <v>7.77808637446342</v>
      </c>
      <c r="AI20" s="13" t="n">
        <f aca="false">MAX(0,-AI12)</f>
        <v>0.561905454030969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1909</v>
      </c>
      <c r="E21" s="0" t="s">
        <v>151</v>
      </c>
      <c r="J21" s="13" t="n">
        <f aca="false">J16+J17+J18+J19+J20</f>
        <v>139.106138718341</v>
      </c>
      <c r="K21" s="13" t="n">
        <f aca="false">K16+K17+K18+K19+K20</f>
        <v>239.361059019891</v>
      </c>
      <c r="L21" s="13" t="n">
        <f aca="false">L16+L17+L18+L19+L20</f>
        <v>433.488009929513</v>
      </c>
      <c r="M21" s="13" t="n">
        <f aca="false">M16+M17+M18+M19+M20</f>
        <v>635.509570384213</v>
      </c>
      <c r="N21" s="13" t="n">
        <f aca="false">N16+N17+N18+N19+N20</f>
        <v>753.08150774339</v>
      </c>
      <c r="O21" s="13" t="n">
        <f aca="false">O16+O17+O18+O19+O20</f>
        <v>922.066873518941</v>
      </c>
      <c r="P21" s="13" t="n">
        <f aca="false">P16+P17+P18+P19+P20</f>
        <v>908.644121356351</v>
      </c>
      <c r="Q21" s="13" t="n">
        <f aca="false">Q16+Q17+Q18+Q19+Q20</f>
        <v>899.03653770274</v>
      </c>
      <c r="R21" s="13" t="n">
        <f aca="false">R16+R17+R18+R19+R20</f>
        <v>886.636498209225</v>
      </c>
      <c r="S21" s="13" t="n">
        <f aca="false">S16+S17+S18+S19+S20</f>
        <v>877.172972842649</v>
      </c>
      <c r="T21" s="13" t="n">
        <f aca="false">T16+T17+T18+T19+T20</f>
        <v>865.23233745941</v>
      </c>
      <c r="U21" s="13" t="n">
        <f aca="false">U16+U17+U18+U19+U20</f>
        <v>855.43562907192</v>
      </c>
      <c r="V21" s="13" t="n">
        <f aca="false">V16+V17+V18+V19+V20</f>
        <v>839.900437531704</v>
      </c>
      <c r="W21" s="13" t="n">
        <f aca="false">W16+W17+W18+W19+W20</f>
        <v>828.773138809273</v>
      </c>
      <c r="X21" s="13" t="n">
        <f aca="false">X16+X17+X18+X19+X20</f>
        <v>818.686515389595</v>
      </c>
      <c r="Y21" s="13" t="n">
        <f aca="false">Y16+Y17+Y18+Y19+Y20</f>
        <v>807.795679220359</v>
      </c>
      <c r="Z21" s="13" t="n">
        <f aca="false">Z16+Z17+Z18+Z19+Z20</f>
        <v>788.386956188283</v>
      </c>
      <c r="AA21" s="13" t="n">
        <f aca="false">AA16+AA17+AA18+AA19+AA20</f>
        <v>771.667468896432</v>
      </c>
      <c r="AB21" s="13" t="n">
        <f aca="false">AB16+AB17+AB18+AB19+AB20</f>
        <v>751.478967369728</v>
      </c>
      <c r="AC21" s="13" t="n">
        <f aca="false">AC16+AC17+AC18+AC19+AC20</f>
        <v>733.32899652802</v>
      </c>
      <c r="AD21" s="13" t="n">
        <f aca="false">AD16+AD17+AD18+AD19+AD20</f>
        <v>701.104764861996</v>
      </c>
      <c r="AE21" s="13" t="n">
        <f aca="false">AE16+AE17+AE18+AE19+AE20</f>
        <v>680.239709218882</v>
      </c>
      <c r="AF21" s="13" t="n">
        <f aca="false">AF16+AF17+AF18+AF19+AF20</f>
        <v>657.24941897273</v>
      </c>
      <c r="AG21" s="13" t="n">
        <f aca="false">AG16+AG17+AG18+AG19+AG20</f>
        <v>635.19698955763</v>
      </c>
      <c r="AH21" s="13" t="n">
        <f aca="false">AH16+AH17+AH18+AH19+AH20</f>
        <v>609.530526195848</v>
      </c>
      <c r="AI21" s="13" t="n">
        <f aca="false">AI16+AI17+AI18+AI19+AI20</f>
        <v>585.978335875664</v>
      </c>
      <c r="AJ21" s="13" t="n">
        <f aca="false">AJ16+AJ17+AJ18+AJ19+AJ20</f>
        <v>566.019032226316</v>
      </c>
      <c r="AK21" s="13" t="n">
        <f aca="false">AK16+AK17+AK18+AK19+AK20</f>
        <v>547.928868100507</v>
      </c>
      <c r="AL21" s="13" t="n">
        <f aca="false">AL16+AL17+AL18+AL19+AL20</f>
        <v>526.860139677304</v>
      </c>
      <c r="AM21" s="13" t="n">
        <f aca="false">AM16+AM17+AM18+AM19+AM20</f>
        <v>507.625748514256</v>
      </c>
      <c r="AN21" s="13" t="n">
        <f aca="false">AN16+AN17+AN18+AN19+AN20</f>
        <v>493.052627274725</v>
      </c>
      <c r="AO21" s="13" t="n">
        <f aca="false">AO16+AO17+AO18+AO19+AO20</f>
        <v>461.259376423094</v>
      </c>
      <c r="AP21" s="13" t="n">
        <f aca="false">AP16+AP17+AP18+AP19+AP20</f>
        <v>445.892837189537</v>
      </c>
      <c r="AQ21" s="13" t="n">
        <f aca="false">AQ16+AQ17+AQ18+AQ19+AQ20</f>
        <v>433.249813274369</v>
      </c>
      <c r="AR21" s="13" t="n">
        <f aca="false">AR16+AR17+AR18+AR19+AR20</f>
        <v>418.322227540222</v>
      </c>
      <c r="AS21" s="13" t="n">
        <f aca="false">AS16+AS17+AS18+AS19+AS20</f>
        <v>404.649379613836</v>
      </c>
      <c r="AT21" s="13" t="n">
        <f aca="false">AT16+AT17+AT18+AT19+AT20</f>
        <v>371.796197592281</v>
      </c>
      <c r="AU21" s="13" t="n">
        <f aca="false">AU16+AU17+AU18+AU19+AU20</f>
        <v>357.608438382235</v>
      </c>
      <c r="AV21" s="13" t="n">
        <f aca="false">AV16+AV17+AV18+AV19+AV20</f>
        <v>342.023929464822</v>
      </c>
      <c r="AW21" s="13" t="n">
        <f aca="false">AW16+AW17+AW18+AW19+AW20</f>
        <v>327.485689521955</v>
      </c>
      <c r="AX21" s="13" t="n">
        <f aca="false">AX16+AX17+AX18+AX19+AX20</f>
        <v>310.295126804236</v>
      </c>
      <c r="AY21" s="13" t="n">
        <f aca="false">AY16+AY17+AY18+AY19+AY20</f>
        <v>296.020742284038</v>
      </c>
      <c r="AZ21" s="13" t="n">
        <f aca="false">AZ16+AZ17+AZ18+AZ19+AZ20</f>
        <v>279.304207574919</v>
      </c>
      <c r="BA21" s="13" t="n">
        <f aca="false">BA16+BA17+BA18+BA19+BA20</f>
        <v>264.682731337503</v>
      </c>
      <c r="BB21" s="13" t="n">
        <f aca="false">BB16+BB17+BB18+BB19+BB20</f>
        <v>244.510034136007</v>
      </c>
      <c r="BC21" s="13" t="n">
        <f aca="false">BC16+BC17+BC18+BC19+BC20</f>
        <v>231.526629624871</v>
      </c>
      <c r="BD21" s="13" t="n">
        <f aca="false">BD16+BD17+BD18+BD19+BD20</f>
        <v>219.192924138605</v>
      </c>
      <c r="BE21" s="13" t="n">
        <f aca="false">BE16+BE17+BE18+BE19+BE20</f>
        <v>208.526345501488</v>
      </c>
      <c r="BF21" s="13" t="n">
        <f aca="false">BF16+BF17+BF18+BF19+BF20</f>
        <v>195.037404171225</v>
      </c>
      <c r="BG21" s="13" t="n">
        <f aca="false">BG16+BG17+BG18+BG19+BG20</f>
        <v>184.689888657623</v>
      </c>
      <c r="BH21" s="13" t="n">
        <f aca="false">BH16+BH17+BH18+BH19+BH20</f>
        <v>171.747324195102</v>
      </c>
      <c r="BI21" s="13" t="n">
        <f aca="false">BI16+BI17+BI18+BI19+BI20</f>
        <v>160.242085346637</v>
      </c>
      <c r="BJ21" s="13" t="n">
        <f aca="false">BJ16+BJ17+BJ18+BJ19+BJ20</f>
        <v>126.049322986281</v>
      </c>
      <c r="BK21" s="13" t="n">
        <f aca="false">BK16+BK17+BK18+BK19+BK20</f>
        <v>113.893113725188</v>
      </c>
      <c r="BL21" s="13" t="n">
        <f aca="false">BL16+BL17+BL18+BL19+BL20</f>
        <v>99.5116868112711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1910</v>
      </c>
      <c r="E22" s="0" t="s">
        <v>151</v>
      </c>
      <c r="J22" s="13" t="n">
        <f aca="false">IF(Time!J20&lt;Time!$F$12,SUMIFS(Funding!$J$73:$BJ$73,Construction!$J$12:$BJ$12,"&lt;="&amp;Time!J20),Debt!J116)</f>
        <v>102.394991424711</v>
      </c>
      <c r="K22" s="13" t="n">
        <f aca="false">IF(Time!K20&lt;Time!$F$12,SUMIFS(Funding!$J$73:$BJ$73,Construction!$J$12:$BJ$12,"&lt;="&amp;Time!K20),Debt!K116)</f>
        <v>175.354522901043</v>
      </c>
      <c r="L22" s="13" t="n">
        <f aca="false">IF(Time!L20&lt;Time!$F$12,SUMIFS(Funding!$J$73:$BJ$73,Construction!$J$12:$BJ$12,"&lt;="&amp;Time!L20),Debt!L116)</f>
        <v>316.693819074419</v>
      </c>
      <c r="M22" s="13" t="n">
        <f aca="false">IF(Time!M20&lt;Time!$F$12,SUMIFS(Funding!$J$73:$BJ$73,Construction!$J$12:$BJ$12,"&lt;="&amp;Time!M20),Debt!M116)</f>
        <v>462.283857293838</v>
      </c>
      <c r="N22" s="13" t="n">
        <f aca="false">IF(Time!N20&lt;Time!$F$12,SUMIFS(Funding!$J$73:$BJ$73,Construction!$J$12:$BJ$12,"&lt;="&amp;Time!N20),Debt!N116)</f>
        <v>543.854065408923</v>
      </c>
      <c r="O22" s="13" t="n">
        <f aca="false">IF(Time!O20&lt;Time!$F$12,SUMIFS(Funding!$J$73:$BJ$73,Construction!$J$12:$BJ$12,"&lt;="&amp;Time!O20),Debt!O116)</f>
        <v>633.255975542792</v>
      </c>
      <c r="P22" s="13" t="n">
        <f aca="false">IF(Time!P20&lt;Time!$F$12,SUMIFS(Funding!$J$73:$BJ$73,Construction!$J$12:$BJ$12,"&lt;="&amp;Time!P20),Debt!P116)</f>
        <v>617.766260742047</v>
      </c>
      <c r="Q22" s="13" t="n">
        <f aca="false">IF(Time!Q20&lt;Time!$F$12,SUMIFS(Funding!$J$73:$BJ$73,Construction!$J$12:$BJ$12,"&lt;="&amp;Time!Q20),Debt!Q116)</f>
        <v>601.62099441246</v>
      </c>
      <c r="R22" s="13" t="n">
        <f aca="false">IF(Time!R20&lt;Time!$F$12,SUMIFS(Funding!$J$73:$BJ$73,Construction!$J$12:$BJ$12,"&lt;="&amp;Time!R20),Debt!R116)</f>
        <v>584.68043306703</v>
      </c>
      <c r="S22" s="13" t="n">
        <f aca="false">IF(Time!S20&lt;Time!$F$12,SUMIFS(Funding!$J$73:$BJ$73,Construction!$J$12:$BJ$12,"&lt;="&amp;Time!S20),Debt!S116)</f>
        <v>567.24066078473</v>
      </c>
      <c r="T22" s="13" t="n">
        <f aca="false">IF(Time!T20&lt;Time!$F$12,SUMIFS(Funding!$J$73:$BJ$73,Construction!$J$12:$BJ$12,"&lt;="&amp;Time!T20),Debt!T116)</f>
        <v>548.998665226968</v>
      </c>
      <c r="U22" s="13" t="n">
        <f aca="false">IF(Time!U20&lt;Time!$F$12,SUMIFS(Funding!$J$73:$BJ$73,Construction!$J$12:$BJ$12,"&lt;="&amp;Time!U20),Debt!U116)</f>
        <v>530.17490031735</v>
      </c>
      <c r="V22" s="13" t="n">
        <f aca="false">IF(Time!V20&lt;Time!$F$12,SUMIFS(Funding!$J$73:$BJ$73,Construction!$J$12:$BJ$12,"&lt;="&amp;Time!V20),Debt!V116)</f>
        <v>510.121392145603</v>
      </c>
      <c r="W22" s="13" t="n">
        <f aca="false">IF(Time!W20&lt;Time!$F$12,SUMIFS(Funding!$J$73:$BJ$73,Construction!$J$12:$BJ$12,"&lt;="&amp;Time!W20),Debt!W116)</f>
        <v>489.454860536502</v>
      </c>
      <c r="X22" s="13" t="n">
        <f aca="false">IF(Time!X20&lt;Time!$F$12,SUMIFS(Funding!$J$73:$BJ$73,Construction!$J$12:$BJ$12,"&lt;="&amp;Time!X20),Debt!X116)</f>
        <v>469.361985000767</v>
      </c>
      <c r="Y22" s="13" t="n">
        <f aca="false">IF(Time!Y20&lt;Time!$F$12,SUMIFS(Funding!$J$73:$BJ$73,Construction!$J$12:$BJ$12,"&lt;="&amp;Time!Y20),Debt!Y116)</f>
        <v>449.259654772994</v>
      </c>
      <c r="Z22" s="13" t="n">
        <f aca="false">IF(Time!Z20&lt;Time!$F$12,SUMIFS(Funding!$J$73:$BJ$73,Construction!$J$12:$BJ$12,"&lt;="&amp;Time!Z20),Debt!Z116)</f>
        <v>428.324526114692</v>
      </c>
      <c r="AA22" s="13" t="n">
        <f aca="false">IF(Time!AA20&lt;Time!$F$12,SUMIFS(Funding!$J$73:$BJ$73,Construction!$J$12:$BJ$12,"&lt;="&amp;Time!AA20),Debt!AA116)</f>
        <v>400.583784991084</v>
      </c>
      <c r="AB22" s="13" t="n">
        <f aca="false">IF(Time!AB20&lt;Time!$F$12,SUMIFS(Funding!$J$73:$BJ$73,Construction!$J$12:$BJ$12,"&lt;="&amp;Time!AB20),Debt!AB116)</f>
        <v>371.148722920225</v>
      </c>
      <c r="AC22" s="13" t="n">
        <f aca="false">IF(Time!AC20&lt;Time!$F$12,SUMIFS(Funding!$J$73:$BJ$73,Construction!$J$12:$BJ$12,"&lt;="&amp;Time!AC20),Debt!AC116)</f>
        <v>341.742595772</v>
      </c>
      <c r="AD22" s="13" t="n">
        <f aca="false">IF(Time!AD20&lt;Time!$F$12,SUMIFS(Funding!$J$73:$BJ$73,Construction!$J$12:$BJ$12,"&lt;="&amp;Time!AD20),Debt!AD116)</f>
        <v>309.409319043459</v>
      </c>
      <c r="AE22" s="13" t="n">
        <f aca="false">IF(Time!AE20&lt;Time!$F$12,SUMIFS(Funding!$J$73:$BJ$73,Construction!$J$12:$BJ$12,"&lt;="&amp;Time!AE20),Debt!AE116)</f>
        <v>276.077344790473</v>
      </c>
      <c r="AF22" s="13" t="n">
        <f aca="false">IF(Time!AF20&lt;Time!$F$12,SUMIFS(Funding!$J$73:$BJ$73,Construction!$J$12:$BJ$12,"&lt;="&amp;Time!AF20),Debt!AF116)</f>
        <v>241.775409900596</v>
      </c>
      <c r="AG22" s="13" t="n">
        <f aca="false">IF(Time!AG20&lt;Time!$F$12,SUMIFS(Funding!$J$73:$BJ$73,Construction!$J$12:$BJ$12,"&lt;="&amp;Time!AG20),Debt!AG116)</f>
        <v>207.5473956029</v>
      </c>
      <c r="AH22" s="13" t="n">
        <f aca="false">IF(Time!AH20&lt;Time!$F$12,SUMIFS(Funding!$J$73:$BJ$73,Construction!$J$12:$BJ$12,"&lt;="&amp;Time!AH20),Debt!AH116)</f>
        <v>171.90886045187</v>
      </c>
      <c r="AI22" s="13" t="n">
        <f aca="false">IF(Time!AI20&lt;Time!$F$12,SUMIFS(Funding!$J$73:$BJ$73,Construction!$J$12:$BJ$12,"&lt;="&amp;Time!AI20),Debt!AI116)</f>
        <v>136.245585591345</v>
      </c>
      <c r="AJ22" s="13" t="n">
        <f aca="false">IF(Time!AJ20&lt;Time!$F$12,SUMIFS(Funding!$J$73:$BJ$73,Construction!$J$12:$BJ$12,"&lt;="&amp;Time!AJ20),Debt!AJ116)</f>
        <v>100.391694754139</v>
      </c>
      <c r="AK22" s="13" t="n">
        <f aca="false">IF(Time!AK20&lt;Time!$F$12,SUMIFS(Funding!$J$73:$BJ$73,Construction!$J$12:$BJ$12,"&lt;="&amp;Time!AK20),Debt!AK116)</f>
        <v>80.0770675371831</v>
      </c>
      <c r="AL22" s="13" t="n">
        <f aca="false">IF(Time!AL20&lt;Time!$F$12,SUMIFS(Funding!$J$73:$BJ$73,Construction!$J$12:$BJ$12,"&lt;="&amp;Time!AL20),Debt!AL116)</f>
        <v>58.5366809532083</v>
      </c>
      <c r="AM22" s="13" t="n">
        <f aca="false">IF(Time!AM20&lt;Time!$F$12,SUMIFS(Funding!$J$73:$BJ$73,Construction!$J$12:$BJ$12,"&lt;="&amp;Time!AM20),Debt!AM116)</f>
        <v>36.5485781493316</v>
      </c>
      <c r="AN22" s="13" t="n">
        <f aca="false">IF(Time!AN20&lt;Time!$F$12,SUMIFS(Funding!$J$73:$BJ$73,Construction!$J$12:$BJ$12,"&lt;="&amp;Time!AN20),Debt!AN116)</f>
        <v>18.4086543635775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1911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29.5372183907053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51.7209656764366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94.6062018682886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140.837492933784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171.124305212971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204.861412067266</v>
      </c>
      <c r="P23" s="13" t="n">
        <f aca="false">IF(Time!P20&lt;Time!$F$12,SUMIFS(Funding!$J$70:$BJ$70,Construction!$J$12:$BJ$12,"&lt;="&amp;Time!P20)+SUMIFS(Funding!$J$71:$BJ$71,Construction!$J$12:$BJ$12,"&lt;="&amp;Time!P20),Waterfall!P36)</f>
        <v>199.629121728733</v>
      </c>
      <c r="Q23" s="13" t="n">
        <f aca="false">IF(Time!Q20&lt;Time!$F$12,SUMIFS(Funding!$J$70:$BJ$70,Construction!$J$12:$BJ$12,"&lt;="&amp;Time!Q20)+SUMIFS(Funding!$J$71:$BJ$71,Construction!$J$12:$BJ$12,"&lt;="&amp;Time!Q20),Waterfall!Q36)</f>
        <v>196.456025347305</v>
      </c>
      <c r="R23" s="13" t="n">
        <f aca="false">IF(Time!R20&lt;Time!$F$12,SUMIFS(Funding!$J$70:$BJ$70,Construction!$J$12:$BJ$12,"&lt;="&amp;Time!R20)+SUMIFS(Funding!$J$71:$BJ$71,Construction!$J$12:$BJ$12,"&lt;="&amp;Time!R20),Waterfall!R36)</f>
        <v>192.365927865554</v>
      </c>
      <c r="S23" s="13" t="n">
        <f aca="false">IF(Time!S20&lt;Time!$F$12,SUMIFS(Funding!$J$70:$BJ$70,Construction!$J$12:$BJ$12,"&lt;="&amp;Time!S20)+SUMIFS(Funding!$J$71:$BJ$71,Construction!$J$12:$BJ$12,"&lt;="&amp;Time!S20),Waterfall!S36)</f>
        <v>188.743236005605</v>
      </c>
      <c r="T23" s="13" t="n">
        <f aca="false">IF(Time!T20&lt;Time!$F$12,SUMIFS(Funding!$J$70:$BJ$70,Construction!$J$12:$BJ$12,"&lt;="&amp;Time!T20)+SUMIFS(Funding!$J$71:$BJ$71,Construction!$J$12:$BJ$12,"&lt;="&amp;Time!T20),Waterfall!T36)</f>
        <v>184.354280149871</v>
      </c>
      <c r="U23" s="13" t="n">
        <f aca="false">IF(Time!U20&lt;Time!$F$12,SUMIFS(Funding!$J$70:$BJ$70,Construction!$J$12:$BJ$12,"&lt;="&amp;Time!U20)+SUMIFS(Funding!$J$71:$BJ$71,Construction!$J$12:$BJ$12,"&lt;="&amp;Time!U20),Waterfall!U36)</f>
        <v>180.622483969345</v>
      </c>
      <c r="V23" s="13" t="n">
        <f aca="false">IF(Time!V20&lt;Time!$F$12,SUMIFS(Funding!$J$70:$BJ$70,Construction!$J$12:$BJ$12,"&lt;="&amp;Time!V20)+SUMIFS(Funding!$J$71:$BJ$71,Construction!$J$12:$BJ$12,"&lt;="&amp;Time!V20),Waterfall!V36)</f>
        <v>175.577673777977</v>
      </c>
      <c r="W23" s="13" t="n">
        <f aca="false">IF(Time!W20&lt;Time!$F$12,SUMIFS(Funding!$J$70:$BJ$70,Construction!$J$12:$BJ$12,"&lt;="&amp;Time!W20)+SUMIFS(Funding!$J$71:$BJ$71,Construction!$J$12:$BJ$12,"&lt;="&amp;Time!W20),Waterfall!W36)</f>
        <v>169.417172407922</v>
      </c>
      <c r="X23" s="13" t="n">
        <f aca="false">IF(Time!X20&lt;Time!$F$12,SUMIFS(Funding!$J$70:$BJ$70,Construction!$J$12:$BJ$12,"&lt;="&amp;Time!X20)+SUMIFS(Funding!$J$71:$BJ$71,Construction!$J$12:$BJ$12,"&lt;="&amp;Time!X20),Waterfall!X36)</f>
        <v>164.224073055105</v>
      </c>
      <c r="Y23" s="13" t="n">
        <f aca="false">IF(Time!Y20&lt;Time!$F$12,SUMIFS(Funding!$J$70:$BJ$70,Construction!$J$12:$BJ$12,"&lt;="&amp;Time!Y20)+SUMIFS(Funding!$J$71:$BJ$71,Construction!$J$12:$BJ$12,"&lt;="&amp;Time!Y20),Waterfall!Y36)</f>
        <v>159.438406109852</v>
      </c>
      <c r="Z23" s="13" t="n">
        <f aca="false">IF(Time!Z20&lt;Time!$F$12,SUMIFS(Funding!$J$70:$BJ$70,Construction!$J$12:$BJ$12,"&lt;="&amp;Time!Z20)+SUMIFS(Funding!$J$71:$BJ$71,Construction!$J$12:$BJ$12,"&lt;="&amp;Time!Z20),Waterfall!Z36)</f>
        <v>153.85072644783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154.903898020538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155.118871212097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155.591537477301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154.826439010753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153.290989207764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150.906557878005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147.854588721349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143.392300054511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137.726467430971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129.230767749256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103.477743556544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78.7366865376693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49.2642532235135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28.1446120231028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0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1912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29.7896025559382</v>
      </c>
      <c r="P24" s="13" t="n">
        <f aca="false">Operations!P90+Operations!P91+Operations!P92+Operations!P93+Operations!P94</f>
        <v>29.665135910815</v>
      </c>
      <c r="Q24" s="13" t="n">
        <f aca="false">Operations!Q90+Operations!Q91+Operations!Q92+Operations!Q93+Operations!Q94</f>
        <v>30.5962378620957</v>
      </c>
      <c r="R24" s="13" t="n">
        <f aca="false">Operations!R90+Operations!R91+Operations!R92+Operations!R93+Operations!R94</f>
        <v>29.9791129708752</v>
      </c>
      <c r="S24" s="13" t="n">
        <f aca="false">Operations!S90+Operations!S91+Operations!S92+Operations!S93+Operations!S94</f>
        <v>31.1009711958259</v>
      </c>
      <c r="T24" s="13" t="n">
        <f aca="false">Operations!T90+Operations!T91+Operations!T92+Operations!T93+Operations!T94</f>
        <v>30.8314342468917</v>
      </c>
      <c r="U24" s="13" t="n">
        <f aca="false">Operations!U90+Operations!U91+Operations!U92+Operations!U93+Operations!U94</f>
        <v>31.3995079432507</v>
      </c>
      <c r="V24" s="13" t="n">
        <f aca="false">Operations!V90+Operations!V91+Operations!V92+Operations!V93+Operations!V94</f>
        <v>30.4571890530267</v>
      </c>
      <c r="W24" s="13" t="n">
        <f aca="false">Operations!W90+Operations!W91+Operations!W92+Operations!W93+Operations!W94</f>
        <v>31.8401061306199</v>
      </c>
      <c r="X24" s="13" t="n">
        <f aca="false">Operations!X90+Operations!X91+Operations!X92+Operations!X93+Operations!X94</f>
        <v>32.0435754118757</v>
      </c>
      <c r="Y24" s="13" t="n">
        <f aca="false">Operations!Y90+Operations!Y91+Operations!Y92+Operations!Y93+Operations!Y94</f>
        <v>33.0497035098593</v>
      </c>
      <c r="Z24" s="13" t="n">
        <f aca="false">Operations!Z90+Operations!Z91+Operations!Z92+Operations!Z93+Operations!Z94</f>
        <v>32.3823872966761</v>
      </c>
      <c r="AA24" s="13" t="n">
        <f aca="false">Operations!AA90+Operations!AA91+Operations!AA92+Operations!AA93+Operations!AA94</f>
        <v>33.594781021479</v>
      </c>
      <c r="AB24" s="13" t="n">
        <f aca="false">Operations!AB90+Operations!AB91+Operations!AB92+Operations!AB93+Operations!AB94</f>
        <v>33.3033532967585</v>
      </c>
      <c r="AC24" s="13" t="n">
        <f aca="false">Operations!AC90+Operations!AC91+Operations!AC92+Operations!AC93+Operations!AC94</f>
        <v>33.7061410249204</v>
      </c>
      <c r="AD24" s="13" t="n">
        <f aca="false">Operations!AD90+Operations!AD91+Operations!AD92+Operations!AD93+Operations!AD94</f>
        <v>32.2775021254092</v>
      </c>
      <c r="AE24" s="13" t="n">
        <f aca="false">Operations!AE90+Operations!AE91+Operations!AE92+Operations!AE93+Operations!AE94</f>
        <v>33.9604270098783</v>
      </c>
      <c r="AF24" s="13" t="n">
        <f aca="false">Operations!AF90+Operations!AF91+Operations!AF92+Operations!AF93+Operations!AF94</f>
        <v>34.6126315834142</v>
      </c>
      <c r="AG24" s="13" t="n">
        <f aca="false">Operations!AG90+Operations!AG91+Operations!AG92+Operations!AG93+Operations!AG94</f>
        <v>35.6998034053192</v>
      </c>
      <c r="AH24" s="13" t="n">
        <f aca="false">Operations!AH90+Operations!AH91+Operations!AH92+Operations!AH93+Operations!AH94</f>
        <v>34.9782383541335</v>
      </c>
      <c r="AI24" s="13" t="n">
        <f aca="false">Operations!AI90+Operations!AI91+Operations!AI92+Operations!AI93+Operations!AI94</f>
        <v>36.288436327593</v>
      </c>
      <c r="AJ24" s="13" t="n">
        <f aca="false">Operations!AJ90+Operations!AJ91+Operations!AJ92+Operations!AJ93+Operations!AJ94</f>
        <v>35.9733464404159</v>
      </c>
      <c r="AK24" s="13" t="n">
        <f aca="false">Operations!AK90+Operations!AK91+Operations!AK92+Operations!AK93+Operations!AK94</f>
        <v>36.6359015124467</v>
      </c>
      <c r="AL24" s="13" t="n">
        <f aca="false">Operations!AL90+Operations!AL91+Operations!AL92+Operations!AL93+Operations!AL94</f>
        <v>35.5341166930746</v>
      </c>
      <c r="AM24" s="13" t="n">
        <f aca="false">Operations!AM90+Operations!AM91+Operations!AM92+Operations!AM93+Operations!AM94</f>
        <v>37.1494911320561</v>
      </c>
      <c r="AN24" s="13" t="n">
        <f aca="false">Operations!AN90+Operations!AN91+Operations!AN92+Operations!AN93+Operations!AN94</f>
        <v>37.3875093220871</v>
      </c>
      <c r="AO24" s="13" t="n">
        <f aca="false">Operations!AO90+Operations!AO91+Operations!AO92+Operations!AO93+Operations!AO94</f>
        <v>38.5622216060895</v>
      </c>
      <c r="AP24" s="13" t="n">
        <f aca="false">Operations!AP90+Operations!AP91+Operations!AP92+Operations!AP93+Operations!AP94</f>
        <v>37.7820250959952</v>
      </c>
      <c r="AQ24" s="13" t="n">
        <f aca="false">Operations!AQ90+Operations!AQ91+Operations!AQ92+Operations!AQ93+Operations!AQ94</f>
        <v>39.1978753077678</v>
      </c>
      <c r="AR24" s="13" t="n">
        <f aca="false">Operations!AR90+Operations!AR91+Operations!AR92+Operations!AR93+Operations!AR94</f>
        <v>38.8572098747003</v>
      </c>
      <c r="AS24" s="13" t="n">
        <f aca="false">Operations!AS90+Operations!AS91+Operations!AS92+Operations!AS93+Operations!AS94</f>
        <v>39.3263434668236</v>
      </c>
      <c r="AT24" s="13" t="n">
        <f aca="false">Operations!AT90+Operations!AT91+Operations!AT92+Operations!AT93+Operations!AT94</f>
        <v>37.6562427647476</v>
      </c>
      <c r="AU24" s="13" t="n">
        <f aca="false">Operations!AU90+Operations!AU91+Operations!AU92+Operations!AU93+Operations!AU94</f>
        <v>39.6219598851337</v>
      </c>
      <c r="AV24" s="13" t="n">
        <f aca="false">Operations!AV90+Operations!AV91+Operations!AV92+Operations!AV93+Operations!AV94</f>
        <v>40.3846189538835</v>
      </c>
      <c r="AW24" s="13" t="n">
        <f aca="false">Operations!AW90+Operations!AW91+Operations!AW92+Operations!AW93+Operations!AW94</f>
        <v>41.6538854296782</v>
      </c>
      <c r="AX24" s="13" t="n">
        <f aca="false">Operations!AX90+Operations!AX91+Operations!AX92+Operations!AX93+Operations!AX94</f>
        <v>40.8103239405488</v>
      </c>
      <c r="AY24" s="13" t="n">
        <f aca="false">Operations!AY90+Operations!AY91+Operations!AY92+Operations!AY93+Operations!AY94</f>
        <v>42.3402993818665</v>
      </c>
      <c r="AZ24" s="13" t="n">
        <f aca="false">Operations!AZ90+Operations!AZ91+Operations!AZ92+Operations!AZ93+Operations!AZ94</f>
        <v>41.9719917574428</v>
      </c>
      <c r="BA24" s="13" t="n">
        <f aca="false">Operations!BA90+Operations!BA91+Operations!BA92+Operations!BA93+Operations!BA94</f>
        <v>42.7446785109214</v>
      </c>
      <c r="BB24" s="13" t="n">
        <f aca="false">Operations!BB90+Operations!BB91+Operations!BB92+Operations!BB93+Operations!BB94</f>
        <v>41.456657385219</v>
      </c>
      <c r="BC24" s="13" t="n">
        <f aca="false">Operations!BC90+Operations!BC91+Operations!BC92+Operations!BC93+Operations!BC94</f>
        <v>43.3433198537686</v>
      </c>
      <c r="BD24" s="13" t="n">
        <f aca="false">Operations!BD90+Operations!BD91+Operations!BD92+Operations!BD93+Operations!BD94</f>
        <v>43.6216710779705</v>
      </c>
      <c r="BE24" s="13" t="n">
        <f aca="false">Operations!BE90+Operations!BE91+Operations!BE92+Operations!BE93+Operations!BE94</f>
        <v>44.9930632543946</v>
      </c>
      <c r="BF24" s="13" t="n">
        <f aca="false">Operations!BF90+Operations!BF91+Operations!BF92+Operations!BF93+Operations!BF94</f>
        <v>44.0810245484771</v>
      </c>
      <c r="BG24" s="13" t="n">
        <f aca="false">Operations!BG90+Operations!BG91+Operations!BG92+Operations!BG93+Operations!BG94</f>
        <v>45.734272551641</v>
      </c>
      <c r="BH24" s="13" t="n">
        <f aca="false">Operations!BH90+Operations!BH91+Operations!BH92+Operations!BH93+Operations!BH94</f>
        <v>45.3360906797713</v>
      </c>
      <c r="BI24" s="13" t="n">
        <f aca="false">Operations!BI90+Operations!BI91+Operations!BI92+Operations!BI93+Operations!BI94</f>
        <v>45.8824747945212</v>
      </c>
      <c r="BJ24" s="13" t="n">
        <f aca="false">Operations!BJ90+Operations!BJ91+Operations!BJ92+Operations!BJ93+Operations!BJ94</f>
        <v>43.9304277923742</v>
      </c>
      <c r="BK24" s="13" t="n">
        <f aca="false">Operations!BK90+Operations!BK91+Operations!BK92+Operations!BK93+Operations!BK94</f>
        <v>46.2261519015327</v>
      </c>
      <c r="BL24" s="13" t="n">
        <f aca="false">Operations!BL90+Operations!BL91+Operations!BL92+Operations!BL93+Operations!BL94</f>
        <v>47.117778804804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1913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7.13022131263933</v>
      </c>
      <c r="AK25" s="13" t="n">
        <f aca="false">MAX(0,AK12)</f>
        <v>15.4370304581969</v>
      </c>
      <c r="AL25" s="13" t="n">
        <f aca="false">MAX(0,AL12)</f>
        <v>23.4439373485846</v>
      </c>
      <c r="AM25" s="13" t="n">
        <f aca="false">MAX(0,AM12)</f>
        <v>31.9614262996661</v>
      </c>
      <c r="AN25" s="13" t="n">
        <f aca="false">MAX(0,AN12)</f>
        <v>32.9654501624829</v>
      </c>
      <c r="AO25" s="13" t="n">
        <f aca="false">MAX(0,AO12)</f>
        <v>33.9694740252996</v>
      </c>
      <c r="AP25" s="13" t="n">
        <f aca="false">MAX(0,AP12)</f>
        <v>34.9734978881163</v>
      </c>
      <c r="AQ25" s="13" t="n">
        <f aca="false">MAX(0,AQ12)</f>
        <v>35.9775217509331</v>
      </c>
      <c r="AR25" s="13" t="n">
        <f aca="false">MAX(0,AR12)</f>
        <v>36.9815456137498</v>
      </c>
      <c r="AS25" s="13" t="n">
        <f aca="false">MAX(0,AS12)</f>
        <v>37.9855694765666</v>
      </c>
      <c r="AT25" s="13" t="n">
        <f aca="false">MAX(0,AT12)</f>
        <v>38.9895933393833</v>
      </c>
      <c r="AU25" s="13" t="n">
        <f aca="false">MAX(0,AU12)</f>
        <v>39.9936172022</v>
      </c>
      <c r="AV25" s="13" t="n">
        <f aca="false">MAX(0,AV12)</f>
        <v>40.9976410650168</v>
      </c>
      <c r="AW25" s="13" t="n">
        <f aca="false">MAX(0,AW12)</f>
        <v>42.0016649278335</v>
      </c>
      <c r="AX25" s="13" t="n">
        <f aca="false">MAX(0,AX12)</f>
        <v>43.0056887906502</v>
      </c>
      <c r="AY25" s="13" t="n">
        <f aca="false">MAX(0,AY12)</f>
        <v>44.009712653467</v>
      </c>
      <c r="AZ25" s="13" t="n">
        <f aca="false">MAX(0,AZ12)</f>
        <v>45.0137365162837</v>
      </c>
      <c r="BA25" s="13" t="n">
        <f aca="false">MAX(0,BA12)</f>
        <v>46.0177603791004</v>
      </c>
      <c r="BB25" s="13" t="n">
        <f aca="false">MAX(0,BB12)</f>
        <v>47.0217842419172</v>
      </c>
      <c r="BC25" s="13" t="n">
        <f aca="false">MAX(0,BC12)</f>
        <v>46.1014290343352</v>
      </c>
      <c r="BD25" s="13" t="n">
        <f aca="false">MAX(0,BD12)</f>
        <v>41.3323156859557</v>
      </c>
      <c r="BE25" s="13" t="n">
        <f aca="false">MAX(0,BE12)</f>
        <v>36.5632023375762</v>
      </c>
      <c r="BF25" s="13" t="n">
        <f aca="false">MAX(0,BF12)</f>
        <v>31.7940889891967</v>
      </c>
      <c r="BG25" s="13" t="n">
        <f aca="false">MAX(0,BG12)</f>
        <v>27.0249756408172</v>
      </c>
      <c r="BH25" s="13" t="n">
        <f aca="false">MAX(0,BH12)</f>
        <v>22.2558622924377</v>
      </c>
      <c r="BI25" s="13" t="n">
        <f aca="false">MAX(0,BI12)</f>
        <v>17.4867489440582</v>
      </c>
      <c r="BJ25" s="13" t="n">
        <f aca="false">MAX(0,BJ12)</f>
        <v>12.7176355956787</v>
      </c>
      <c r="BK25" s="13" t="n">
        <f aca="false">MAX(0,BK12)</f>
        <v>7.94852224729914</v>
      </c>
      <c r="BL25" s="13" t="n">
        <f aca="false">MAX(0,BL12)</f>
        <v>3.17940889891969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7.17392890292466</v>
      </c>
      <c r="K26" s="13" t="n">
        <f aca="false">SUMIFS(Funding!$J$69:$BJ$69,Construction!$J$12:$BJ$12,"&lt;="&amp;Time!K20)</f>
        <v>12.285570442411</v>
      </c>
      <c r="L26" s="13" t="n">
        <f aca="false">SUMIFS(Funding!$J$69:$BJ$69,Construction!$J$12:$BJ$12,"&lt;="&amp;Time!L20)</f>
        <v>22.1879889868058</v>
      </c>
      <c r="M26" s="13" t="n">
        <f aca="false">SUMIFS(Funding!$J$69:$BJ$69,Construction!$J$12:$BJ$12,"&lt;="&amp;Time!M20)</f>
        <v>32.3882201565908</v>
      </c>
      <c r="N26" s="13" t="n">
        <f aca="false">SUMIFS(Funding!$J$69:$BJ$69,Construction!$J$12:$BJ$12,"&lt;="&amp;Time!N20)</f>
        <v>38.1031371214958</v>
      </c>
      <c r="O26" s="13" t="n">
        <f aca="false">SUMIFS(Funding!$J$69:$BJ$69,Construction!$J$12:$BJ$12,"&lt;="&amp;Time!O20)</f>
        <v>44.3667535168114</v>
      </c>
      <c r="P26" s="13" t="n">
        <f aca="false">SUMIFS(Funding!$J$69:$BJ$69,Construction!$J$12:$BJ$12,"&lt;="&amp;Time!P20)</f>
        <v>44.3667535168114</v>
      </c>
      <c r="Q26" s="13" t="n">
        <f aca="false">SUMIFS(Funding!$J$69:$BJ$69,Construction!$J$12:$BJ$12,"&lt;="&amp;Time!Q20)</f>
        <v>44.3667535168114</v>
      </c>
      <c r="R26" s="13" t="n">
        <f aca="false">SUMIFS(Funding!$J$69:$BJ$69,Construction!$J$12:$BJ$12,"&lt;="&amp;Time!R20)</f>
        <v>44.3667535168114</v>
      </c>
      <c r="S26" s="13" t="n">
        <f aca="false">SUMIFS(Funding!$J$69:$BJ$69,Construction!$J$12:$BJ$12,"&lt;="&amp;Time!S20)</f>
        <v>44.3667535168114</v>
      </c>
      <c r="T26" s="13" t="n">
        <f aca="false">SUMIFS(Funding!$J$69:$BJ$69,Construction!$J$12:$BJ$12,"&lt;="&amp;Time!T20)</f>
        <v>44.3667535168114</v>
      </c>
      <c r="U26" s="13" t="n">
        <f aca="false">SUMIFS(Funding!$J$69:$BJ$69,Construction!$J$12:$BJ$12,"&lt;="&amp;Time!U20)</f>
        <v>44.3667535168114</v>
      </c>
      <c r="V26" s="13" t="n">
        <f aca="false">SUMIFS(Funding!$J$69:$BJ$69,Construction!$J$12:$BJ$12,"&lt;="&amp;Time!V20)</f>
        <v>44.3667535168114</v>
      </c>
      <c r="W26" s="13" t="n">
        <f aca="false">SUMIFS(Funding!$J$69:$BJ$69,Construction!$J$12:$BJ$12,"&lt;="&amp;Time!W20)</f>
        <v>44.3667535168114</v>
      </c>
      <c r="X26" s="13" t="n">
        <f aca="false">SUMIFS(Funding!$J$69:$BJ$69,Construction!$J$12:$BJ$12,"&lt;="&amp;Time!X20)</f>
        <v>44.3667535168114</v>
      </c>
      <c r="Y26" s="13" t="n">
        <f aca="false">SUMIFS(Funding!$J$69:$BJ$69,Construction!$J$12:$BJ$12,"&lt;="&amp;Time!Y20)</f>
        <v>44.3667535168114</v>
      </c>
      <c r="Z26" s="13" t="n">
        <f aca="false">SUMIFS(Funding!$J$69:$BJ$69,Construction!$J$12:$BJ$12,"&lt;="&amp;Time!Z20)</f>
        <v>44.3667535168114</v>
      </c>
      <c r="AA26" s="13" t="n">
        <f aca="false">SUMIFS(Funding!$J$69:$BJ$69,Construction!$J$12:$BJ$12,"&lt;="&amp;Time!AA20)</f>
        <v>44.3667535168114</v>
      </c>
      <c r="AB26" s="13" t="n">
        <f aca="false">SUMIFS(Funding!$J$69:$BJ$69,Construction!$J$12:$BJ$12,"&lt;="&amp;Time!AB20)</f>
        <v>44.3667535168114</v>
      </c>
      <c r="AC26" s="13" t="n">
        <f aca="false">SUMIFS(Funding!$J$69:$BJ$69,Construction!$J$12:$BJ$12,"&lt;="&amp;Time!AC20)</f>
        <v>44.3667535168114</v>
      </c>
      <c r="AD26" s="13" t="n">
        <f aca="false">SUMIFS(Funding!$J$69:$BJ$69,Construction!$J$12:$BJ$12,"&lt;="&amp;Time!AD20)</f>
        <v>44.3667535168114</v>
      </c>
      <c r="AE26" s="13" t="n">
        <f aca="false">SUMIFS(Funding!$J$69:$BJ$69,Construction!$J$12:$BJ$12,"&lt;="&amp;Time!AE20)</f>
        <v>44.3667535168114</v>
      </c>
      <c r="AF26" s="13" t="n">
        <f aca="false">SUMIFS(Funding!$J$69:$BJ$69,Construction!$J$12:$BJ$12,"&lt;="&amp;Time!AF20)</f>
        <v>44.3667535168114</v>
      </c>
      <c r="AG26" s="13" t="n">
        <f aca="false">SUMIFS(Funding!$J$69:$BJ$69,Construction!$J$12:$BJ$12,"&lt;="&amp;Time!AG20)</f>
        <v>44.3667535168114</v>
      </c>
      <c r="AH26" s="13" t="n">
        <f aca="false">SUMIFS(Funding!$J$69:$BJ$69,Construction!$J$12:$BJ$12,"&lt;="&amp;Time!AH20)</f>
        <v>44.3667535168114</v>
      </c>
      <c r="AI26" s="13" t="n">
        <f aca="false">SUMIFS(Funding!$J$69:$BJ$69,Construction!$J$12:$BJ$12,"&lt;="&amp;Time!AI20)</f>
        <v>44.3667535168114</v>
      </c>
      <c r="AJ26" s="13" t="n">
        <f aca="false">SUMIFS(Funding!$J$69:$BJ$69,Construction!$J$12:$BJ$12,"&lt;="&amp;Time!AJ20)</f>
        <v>44.3667535168114</v>
      </c>
      <c r="AK26" s="13" t="n">
        <f aca="false">SUMIFS(Funding!$J$69:$BJ$69,Construction!$J$12:$BJ$12,"&lt;="&amp;Time!AK20)</f>
        <v>44.3667535168114</v>
      </c>
      <c r="AL26" s="13" t="n">
        <f aca="false">SUMIFS(Funding!$J$69:$BJ$69,Construction!$J$12:$BJ$12,"&lt;="&amp;Time!AL20)</f>
        <v>44.3667535168114</v>
      </c>
      <c r="AM26" s="13" t="n">
        <f aca="false">SUMIFS(Funding!$J$69:$BJ$69,Construction!$J$12:$BJ$12,"&lt;="&amp;Time!AM20)</f>
        <v>44.3667535168114</v>
      </c>
      <c r="AN26" s="13" t="n">
        <f aca="false">SUMIFS(Funding!$J$69:$BJ$69,Construction!$J$12:$BJ$12,"&lt;="&amp;Time!AN20)</f>
        <v>44.3667535168114</v>
      </c>
      <c r="AO26" s="13" t="n">
        <f aca="false">SUMIFS(Funding!$J$69:$BJ$69,Construction!$J$12:$BJ$12,"&lt;="&amp;Time!AO20)</f>
        <v>44.3667535168114</v>
      </c>
      <c r="AP26" s="13" t="n">
        <f aca="false">SUMIFS(Funding!$J$69:$BJ$69,Construction!$J$12:$BJ$12,"&lt;="&amp;Time!AP20)</f>
        <v>44.3667535168114</v>
      </c>
      <c r="AQ26" s="13" t="n">
        <f aca="false">SUMIFS(Funding!$J$69:$BJ$69,Construction!$J$12:$BJ$12,"&lt;="&amp;Time!AQ20)</f>
        <v>44.3667535168114</v>
      </c>
      <c r="AR26" s="13" t="n">
        <f aca="false">SUMIFS(Funding!$J$69:$BJ$69,Construction!$J$12:$BJ$12,"&lt;="&amp;Time!AR20)</f>
        <v>44.3667535168114</v>
      </c>
      <c r="AS26" s="13" t="n">
        <f aca="false">SUMIFS(Funding!$J$69:$BJ$69,Construction!$J$12:$BJ$12,"&lt;="&amp;Time!AS20)</f>
        <v>44.3667535168114</v>
      </c>
      <c r="AT26" s="13" t="n">
        <f aca="false">SUMIFS(Funding!$J$69:$BJ$69,Construction!$J$12:$BJ$12,"&lt;="&amp;Time!AT20)</f>
        <v>44.3667535168114</v>
      </c>
      <c r="AU26" s="13" t="n">
        <f aca="false">SUMIFS(Funding!$J$69:$BJ$69,Construction!$J$12:$BJ$12,"&lt;="&amp;Time!AU20)</f>
        <v>44.3667535168114</v>
      </c>
      <c r="AV26" s="13" t="n">
        <f aca="false">SUMIFS(Funding!$J$69:$BJ$69,Construction!$J$12:$BJ$12,"&lt;="&amp;Time!AV20)</f>
        <v>44.3667535168114</v>
      </c>
      <c r="AW26" s="13" t="n">
        <f aca="false">SUMIFS(Funding!$J$69:$BJ$69,Construction!$J$12:$BJ$12,"&lt;="&amp;Time!AW20)</f>
        <v>44.3667535168114</v>
      </c>
      <c r="AX26" s="13" t="n">
        <f aca="false">SUMIFS(Funding!$J$69:$BJ$69,Construction!$J$12:$BJ$12,"&lt;="&amp;Time!AX20)</f>
        <v>44.3667535168114</v>
      </c>
      <c r="AY26" s="13" t="n">
        <f aca="false">SUMIFS(Funding!$J$69:$BJ$69,Construction!$J$12:$BJ$12,"&lt;="&amp;Time!AY20)</f>
        <v>44.3667535168114</v>
      </c>
      <c r="AZ26" s="13" t="n">
        <f aca="false">SUMIFS(Funding!$J$69:$BJ$69,Construction!$J$12:$BJ$12,"&lt;="&amp;Time!AZ20)</f>
        <v>44.3667535168114</v>
      </c>
      <c r="BA26" s="13" t="n">
        <f aca="false">SUMIFS(Funding!$J$69:$BJ$69,Construction!$J$12:$BJ$12,"&lt;="&amp;Time!BA20)</f>
        <v>44.3667535168114</v>
      </c>
      <c r="BB26" s="13" t="n">
        <f aca="false">SUMIFS(Funding!$J$69:$BJ$69,Construction!$J$12:$BJ$12,"&lt;="&amp;Time!BB20)</f>
        <v>44.3667535168114</v>
      </c>
      <c r="BC26" s="13" t="n">
        <f aca="false">SUMIFS(Funding!$J$69:$BJ$69,Construction!$J$12:$BJ$12,"&lt;="&amp;Time!BC20)</f>
        <v>44.3667535168114</v>
      </c>
      <c r="BD26" s="13" t="n">
        <f aca="false">SUMIFS(Funding!$J$69:$BJ$69,Construction!$J$12:$BJ$12,"&lt;="&amp;Time!BD20)</f>
        <v>44.3667535168114</v>
      </c>
      <c r="BE26" s="13" t="n">
        <f aca="false">SUMIFS(Funding!$J$69:$BJ$69,Construction!$J$12:$BJ$12,"&lt;="&amp;Time!BE20)</f>
        <v>44.3667535168114</v>
      </c>
      <c r="BF26" s="13" t="n">
        <f aca="false">SUMIFS(Funding!$J$69:$BJ$69,Construction!$J$12:$BJ$12,"&lt;="&amp;Time!BF20)</f>
        <v>44.3667535168114</v>
      </c>
      <c r="BG26" s="13" t="n">
        <f aca="false">SUMIFS(Funding!$J$69:$BJ$69,Construction!$J$12:$BJ$12,"&lt;="&amp;Time!BG20)</f>
        <v>44.3667535168114</v>
      </c>
      <c r="BH26" s="13" t="n">
        <f aca="false">SUMIFS(Funding!$J$69:$BJ$69,Construction!$J$12:$BJ$12,"&lt;="&amp;Time!BH20)</f>
        <v>44.3667535168114</v>
      </c>
      <c r="BI26" s="13" t="n">
        <f aca="false">SUMIFS(Funding!$J$69:$BJ$69,Construction!$J$12:$BJ$12,"&lt;="&amp;Time!BI20)</f>
        <v>44.3667535168114</v>
      </c>
      <c r="BJ26" s="13" t="n">
        <f aca="false">SUMIFS(Funding!$J$69:$BJ$69,Construction!$J$12:$BJ$12,"&lt;="&amp;Time!BJ20)</f>
        <v>44.3667535168114</v>
      </c>
      <c r="BK26" s="13" t="n">
        <f aca="false">SUMIFS(Funding!$J$69:$BJ$69,Construction!$J$12:$BJ$12,"&lt;="&amp;Time!BK20)</f>
        <v>44.3667535168114</v>
      </c>
      <c r="BL26" s="13" t="n">
        <f aca="false">SUMIFS(Funding!$J$69:$BJ$69,Construction!$J$12:$BJ$12,"&lt;="&amp;Time!BL20)</f>
        <v>44.3667535168114</v>
      </c>
      <c r="BM26" s="13" t="n">
        <f aca="false">SUMIFS(Funding!$J$69:$BJ$69,Construction!$J$12:$BJ$12,"&lt;="&amp;Time!BM20)</f>
        <v>44.3667535168114</v>
      </c>
      <c r="BN26" s="13" t="n">
        <f aca="false">SUMIFS(Funding!$J$69:$BJ$69,Construction!$J$12:$BJ$12,"&lt;="&amp;Time!BN20)</f>
        <v>44.3667535168114</v>
      </c>
    </row>
    <row r="27" customFormat="false" ht="15" hidden="false" customHeight="false" outlineLevel="0" collapsed="false">
      <c r="D27" s="0" t="s">
        <v>1914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9.79312983613362</v>
      </c>
      <c r="P27" s="18" t="n">
        <f aca="false">Waterfall!P43</f>
        <v>17.2168494579443</v>
      </c>
      <c r="Q27" s="18" t="n">
        <f aca="false">Waterfall!Q43</f>
        <v>25.9965265640678</v>
      </c>
      <c r="R27" s="18" t="n">
        <f aca="false">Waterfall!R43</f>
        <v>35.2442707889545</v>
      </c>
      <c r="S27" s="18" t="n">
        <f aca="false">Waterfall!S43</f>
        <v>45.7213513396767</v>
      </c>
      <c r="T27" s="18" t="n">
        <f aca="false">Waterfall!T43</f>
        <v>56.6812043188679</v>
      </c>
      <c r="U27" s="18" t="n">
        <f aca="false">Waterfall!U43</f>
        <v>68.8719833251628</v>
      </c>
      <c r="V27" s="18" t="n">
        <f aca="false">Waterfall!V43</f>
        <v>79.3774290382858</v>
      </c>
      <c r="W27" s="18" t="n">
        <f aca="false">Waterfall!W43</f>
        <v>93.6942462174172</v>
      </c>
      <c r="X27" s="18" t="n">
        <f aca="false">Waterfall!X43</f>
        <v>108.690128405036</v>
      </c>
      <c r="Y27" s="18" t="n">
        <f aca="false">Waterfall!Y43</f>
        <v>121.681161310842</v>
      </c>
      <c r="Z27" s="18" t="n">
        <f aca="false">Waterfall!Z43</f>
        <v>129.462562812273</v>
      </c>
      <c r="AA27" s="18" t="n">
        <f aca="false">Waterfall!AA43</f>
        <v>138.218251346519</v>
      </c>
      <c r="AB27" s="18" t="n">
        <f aca="false">Waterfall!AB43</f>
        <v>147.541266423835</v>
      </c>
      <c r="AC27" s="18" t="n">
        <f aca="false">Waterfall!AC43</f>
        <v>157.921968736987</v>
      </c>
      <c r="AD27" s="18" t="n">
        <f aca="false">Waterfall!AD43</f>
        <v>160.224751165563</v>
      </c>
      <c r="AE27" s="18" t="n">
        <f aca="false">Waterfall!AE43</f>
        <v>172.544194693955</v>
      </c>
      <c r="AF27" s="18" t="n">
        <f aca="false">Waterfall!AF43</f>
        <v>185.588066093903</v>
      </c>
      <c r="AG27" s="18" t="n">
        <f aca="false">Waterfall!AG43</f>
        <v>199.72844831125</v>
      </c>
      <c r="AH27" s="18" t="n">
        <f aca="false">Waterfall!AH43</f>
        <v>214.884373818522</v>
      </c>
      <c r="AI27" s="18" t="n">
        <f aca="false">Waterfall!AI43</f>
        <v>231.351093008944</v>
      </c>
      <c r="AJ27" s="18" t="n">
        <f aca="false">Waterfall!AJ43</f>
        <v>248.926248453054</v>
      </c>
      <c r="AK27" s="18" t="n">
        <f aca="false">Waterfall!AK43</f>
        <v>267.934371519325</v>
      </c>
      <c r="AL27" s="18" t="n">
        <f aca="false">Waterfall!AL43</f>
        <v>286.241964627956</v>
      </c>
      <c r="AM27" s="18" t="n">
        <f aca="false">Waterfall!AM43</f>
        <v>308.335246192877</v>
      </c>
      <c r="AN27" s="18" t="n">
        <f aca="false">Waterfall!AN43</f>
        <v>331.779647886664</v>
      </c>
      <c r="AO27" s="18" t="n">
        <f aca="false">Waterfall!AO43</f>
        <v>344.360927274893</v>
      </c>
      <c r="AP27" s="18" t="n">
        <f aca="false">Waterfall!AP43</f>
        <v>328.770560688614</v>
      </c>
      <c r="AQ27" s="18" t="n">
        <f aca="false">Waterfall!AQ43</f>
        <v>313.707662698857</v>
      </c>
      <c r="AR27" s="18" t="n">
        <f aca="false">Waterfall!AR43</f>
        <v>298.11671853496</v>
      </c>
      <c r="AS27" s="18" t="n">
        <f aca="false">Waterfall!AS43</f>
        <v>282.970713153634</v>
      </c>
      <c r="AT27" s="18" t="n">
        <f aca="false">Waterfall!AT43</f>
        <v>250.783607971339</v>
      </c>
      <c r="AU27" s="18" t="n">
        <f aca="false">Waterfall!AU43</f>
        <v>233.62610777809</v>
      </c>
      <c r="AV27" s="18" t="n">
        <f aca="false">Waterfall!AV43</f>
        <v>216.274915929111</v>
      </c>
      <c r="AW27" s="18" t="n">
        <f aca="false">Waterfall!AW43</f>
        <v>199.463385647632</v>
      </c>
      <c r="AX27" s="18" t="n">
        <f aca="false">Waterfall!AX43</f>
        <v>182.112360556225</v>
      </c>
      <c r="AY27" s="18" t="n">
        <f aca="false">Waterfall!AY43</f>
        <v>165.303976731893</v>
      </c>
      <c r="AZ27" s="18" t="n">
        <f aca="false">Waterfall!AZ43</f>
        <v>147.951725784381</v>
      </c>
      <c r="BA27" s="18" t="n">
        <f aca="false">Waterfall!BA43</f>
        <v>131.55353893067</v>
      </c>
      <c r="BB27" s="18" t="n">
        <f aca="false">Waterfall!BB43</f>
        <v>111.664838992059</v>
      </c>
      <c r="BC27" s="18" t="n">
        <f aca="false">Waterfall!BC43</f>
        <v>97.7151272199561</v>
      </c>
      <c r="BD27" s="18" t="n">
        <f aca="false">Waterfall!BD43</f>
        <v>89.8721838578676</v>
      </c>
      <c r="BE27" s="18" t="n">
        <f aca="false">Waterfall!BE43</f>
        <v>82.6033263927059</v>
      </c>
      <c r="BF27" s="18" t="n">
        <f aca="false">Waterfall!BF43</f>
        <v>74.7955371167398</v>
      </c>
      <c r="BG27" s="18" t="n">
        <f aca="false">Waterfall!BG43</f>
        <v>67.5638869483538</v>
      </c>
      <c r="BH27" s="18" t="n">
        <f aca="false">Waterfall!BH43</f>
        <v>59.7886177060819</v>
      </c>
      <c r="BI27" s="18" t="n">
        <f aca="false">Waterfall!BI43</f>
        <v>52.5061080912466</v>
      </c>
      <c r="BJ27" s="18" t="n">
        <f aca="false">Waterfall!BJ43</f>
        <v>25.0345060814162</v>
      </c>
      <c r="BK27" s="18" t="n">
        <f aca="false">Waterfall!BK43</f>
        <v>15.3516860595447</v>
      </c>
      <c r="BL27" s="18" t="n">
        <f aca="false">Waterfall!BL43</f>
        <v>4.8477455907359</v>
      </c>
      <c r="BM27" s="18" t="n">
        <f aca="false">Waterfall!BM43</f>
        <v>-44.3667535168116</v>
      </c>
      <c r="BN27" s="18" t="n">
        <f aca="false">Waterfall!BN43</f>
        <v>-44.3667535168116</v>
      </c>
    </row>
    <row r="28" customFormat="false" ht="15" hidden="false" customHeight="false" outlineLevel="0" collapsed="false">
      <c r="D28" s="0" t="s">
        <v>1915</v>
      </c>
      <c r="E28" s="0" t="s">
        <v>151</v>
      </c>
      <c r="J28" s="13" t="n">
        <f aca="false">J22+J23+J24+J25+J26+J27</f>
        <v>139.106138718341</v>
      </c>
      <c r="K28" s="13" t="n">
        <f aca="false">K22+K23+K24+K25+K26+K27</f>
        <v>239.361059019891</v>
      </c>
      <c r="L28" s="13" t="n">
        <f aca="false">L22+L23+L24+L25+L26+L27</f>
        <v>433.488009929513</v>
      </c>
      <c r="M28" s="13" t="n">
        <f aca="false">M22+M23+M24+M25+M26+M27</f>
        <v>635.509570384213</v>
      </c>
      <c r="N28" s="13" t="n">
        <f aca="false">N22+N23+N24+N25+N26+N27</f>
        <v>753.08150774339</v>
      </c>
      <c r="O28" s="13" t="n">
        <f aca="false">O22+O23+O24+O25+O26+O27</f>
        <v>922.066873518941</v>
      </c>
      <c r="P28" s="13" t="n">
        <f aca="false">P22+P23+P24+P25+P26+P27</f>
        <v>908.644121356351</v>
      </c>
      <c r="Q28" s="13" t="n">
        <f aca="false">Q22+Q23+Q24+Q25+Q26+Q27</f>
        <v>899.03653770274</v>
      </c>
      <c r="R28" s="13" t="n">
        <f aca="false">R22+R23+R24+R25+R26+R27</f>
        <v>886.636498209225</v>
      </c>
      <c r="S28" s="13" t="n">
        <f aca="false">S22+S23+S24+S25+S26+S27</f>
        <v>877.172972842649</v>
      </c>
      <c r="T28" s="13" t="n">
        <f aca="false">T22+T23+T24+T25+T26+T27</f>
        <v>865.23233745941</v>
      </c>
      <c r="U28" s="13" t="n">
        <f aca="false">U22+U23+U24+U25+U26+U27</f>
        <v>855.43562907192</v>
      </c>
      <c r="V28" s="13" t="n">
        <f aca="false">V22+V23+V24+V25+V26+V27</f>
        <v>839.900437531704</v>
      </c>
      <c r="W28" s="13" t="n">
        <f aca="false">W22+W23+W24+W25+W26+W27</f>
        <v>828.773138809273</v>
      </c>
      <c r="X28" s="13" t="n">
        <f aca="false">X22+X23+X24+X25+X26+X27</f>
        <v>818.686515389595</v>
      </c>
      <c r="Y28" s="13" t="n">
        <f aca="false">Y22+Y23+Y24+Y25+Y26+Y27</f>
        <v>807.795679220358</v>
      </c>
      <c r="Z28" s="13" t="n">
        <f aca="false">Z22+Z23+Z24+Z25+Z26+Z27</f>
        <v>788.386956188283</v>
      </c>
      <c r="AA28" s="13" t="n">
        <f aca="false">AA22+AA23+AA24+AA25+AA26+AA27</f>
        <v>771.667468896432</v>
      </c>
      <c r="AB28" s="13" t="n">
        <f aca="false">AB22+AB23+AB24+AB25+AB26+AB27</f>
        <v>751.478967369728</v>
      </c>
      <c r="AC28" s="13" t="n">
        <f aca="false">AC22+AC23+AC24+AC25+AC26+AC27</f>
        <v>733.32899652802</v>
      </c>
      <c r="AD28" s="13" t="n">
        <f aca="false">AD22+AD23+AD24+AD25+AD26+AD27</f>
        <v>701.104764861996</v>
      </c>
      <c r="AE28" s="13" t="n">
        <f aca="false">AE22+AE23+AE24+AE25+AE26+AE27</f>
        <v>680.239709218882</v>
      </c>
      <c r="AF28" s="13" t="n">
        <f aca="false">AF22+AF23+AF24+AF25+AF26+AF27</f>
        <v>657.249418972729</v>
      </c>
      <c r="AG28" s="13" t="n">
        <f aca="false">AG22+AG23+AG24+AG25+AG26+AG27</f>
        <v>635.19698955763</v>
      </c>
      <c r="AH28" s="13" t="n">
        <f aca="false">AH22+AH23+AH24+AH25+AH26+AH27</f>
        <v>609.530526195848</v>
      </c>
      <c r="AI28" s="13" t="n">
        <f aca="false">AI22+AI23+AI24+AI25+AI26+AI27</f>
        <v>585.978335875663</v>
      </c>
      <c r="AJ28" s="13" t="n">
        <f aca="false">AJ22+AJ23+AJ24+AJ25+AJ26+AJ27</f>
        <v>566.019032226316</v>
      </c>
      <c r="AK28" s="13" t="n">
        <f aca="false">AK22+AK23+AK24+AK25+AK26+AK27</f>
        <v>547.928868100507</v>
      </c>
      <c r="AL28" s="13" t="n">
        <f aca="false">AL22+AL23+AL24+AL25+AL26+AL27</f>
        <v>526.860139677304</v>
      </c>
      <c r="AM28" s="13" t="n">
        <f aca="false">AM22+AM23+AM24+AM25+AM26+AM27</f>
        <v>507.625748514256</v>
      </c>
      <c r="AN28" s="13" t="n">
        <f aca="false">AN22+AN23+AN24+AN25+AN26+AN27</f>
        <v>493.052627274725</v>
      </c>
      <c r="AO28" s="13" t="n">
        <f aca="false">AO22+AO23+AO24+AO25+AO26+AO27</f>
        <v>461.259376423094</v>
      </c>
      <c r="AP28" s="13" t="n">
        <f aca="false">AP22+AP23+AP24+AP25+AP26+AP27</f>
        <v>445.892837189537</v>
      </c>
      <c r="AQ28" s="13" t="n">
        <f aca="false">AQ22+AQ23+AQ24+AQ25+AQ26+AQ27</f>
        <v>433.249813274369</v>
      </c>
      <c r="AR28" s="13" t="n">
        <f aca="false">AR22+AR23+AR24+AR25+AR26+AR27</f>
        <v>418.322227540222</v>
      </c>
      <c r="AS28" s="13" t="n">
        <f aca="false">AS22+AS23+AS24+AS25+AS26+AS27</f>
        <v>404.649379613836</v>
      </c>
      <c r="AT28" s="13" t="n">
        <f aca="false">AT22+AT23+AT24+AT25+AT26+AT27</f>
        <v>371.796197592281</v>
      </c>
      <c r="AU28" s="13" t="n">
        <f aca="false">AU22+AU23+AU24+AU25+AU26+AU27</f>
        <v>357.608438382235</v>
      </c>
      <c r="AV28" s="13" t="n">
        <f aca="false">AV22+AV23+AV24+AV25+AV26+AV27</f>
        <v>342.023929464822</v>
      </c>
      <c r="AW28" s="13" t="n">
        <f aca="false">AW22+AW23+AW24+AW25+AW26+AW27</f>
        <v>327.485689521955</v>
      </c>
      <c r="AX28" s="13" t="n">
        <f aca="false">AX22+AX23+AX24+AX25+AX26+AX27</f>
        <v>310.295126804236</v>
      </c>
      <c r="AY28" s="13" t="n">
        <f aca="false">AY22+AY23+AY24+AY25+AY26+AY27</f>
        <v>296.020742284038</v>
      </c>
      <c r="AZ28" s="13" t="n">
        <f aca="false">AZ22+AZ23+AZ24+AZ25+AZ26+AZ27</f>
        <v>279.304207574919</v>
      </c>
      <c r="BA28" s="13" t="n">
        <f aca="false">BA22+BA23+BA24+BA25+BA26+BA27</f>
        <v>264.682731337503</v>
      </c>
      <c r="BB28" s="13" t="n">
        <f aca="false">BB22+BB23+BB24+BB25+BB26+BB27</f>
        <v>244.510034136007</v>
      </c>
      <c r="BC28" s="13" t="n">
        <f aca="false">BC22+BC23+BC24+BC25+BC26+BC27</f>
        <v>231.526629624871</v>
      </c>
      <c r="BD28" s="13" t="n">
        <f aca="false">BD22+BD23+BD24+BD25+BD26+BD27</f>
        <v>219.192924138605</v>
      </c>
      <c r="BE28" s="13" t="n">
        <f aca="false">BE22+BE23+BE24+BE25+BE26+BE27</f>
        <v>208.526345501488</v>
      </c>
      <c r="BF28" s="13" t="n">
        <f aca="false">BF22+BF23+BF24+BF25+BF26+BF27</f>
        <v>195.037404171225</v>
      </c>
      <c r="BG28" s="13" t="n">
        <f aca="false">BG22+BG23+BG24+BG25+BG26+BG27</f>
        <v>184.689888657623</v>
      </c>
      <c r="BH28" s="13" t="n">
        <f aca="false">BH22+BH23+BH24+BH25+BH26+BH27</f>
        <v>171.747324195102</v>
      </c>
      <c r="BI28" s="13" t="n">
        <f aca="false">BI22+BI23+BI24+BI25+BI26+BI27</f>
        <v>160.242085346637</v>
      </c>
      <c r="BJ28" s="13" t="n">
        <f aca="false">BJ22+BJ23+BJ24+BJ25+BJ26+BJ27</f>
        <v>126.04932298628</v>
      </c>
      <c r="BK28" s="13" t="n">
        <f aca="false">BK22+BK23+BK24+BK25+BK26+BK27</f>
        <v>113.893113725188</v>
      </c>
      <c r="BL28" s="13" t="n">
        <f aca="false">BL22+BL23+BL24+BL25+BL26+BL27</f>
        <v>99.511686811271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1916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  <row r="31" customFormat="false" ht="15" hidden="false" customHeight="false" outlineLevel="0" collapsed="false">
      <c r="B31" s="2" t="s">
        <v>1917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2616.7355216742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16.8993604229143</v>
      </c>
      <c r="P32" s="18" t="n">
        <f aca="false">Operations!P84</f>
        <v>50.7044092045475</v>
      </c>
      <c r="Q32" s="18" t="n">
        <f aca="false">Operations!Q84</f>
        <v>50.9094848498197</v>
      </c>
      <c r="R32" s="18" t="n">
        <f aca="false">Operations!R84</f>
        <v>51.0539394892314</v>
      </c>
      <c r="S32" s="18" t="n">
        <f aca="false">Operations!S84</f>
        <v>51.1465123010965</v>
      </c>
      <c r="T32" s="18" t="n">
        <f aca="false">Operations!T84</f>
        <v>51.2216780740607</v>
      </c>
      <c r="U32" s="18" t="n">
        <f aca="false">Operations!U84</f>
        <v>51.3841555810801</v>
      </c>
      <c r="V32" s="18" t="n">
        <f aca="false">Operations!V84</f>
        <v>49.1035544951066</v>
      </c>
      <c r="W32" s="18" t="n">
        <f aca="false">Operations!W84</f>
        <v>51.6585167852339</v>
      </c>
      <c r="X32" s="18" t="n">
        <f aca="false">Operations!X84</f>
        <v>51.6568714694459</v>
      </c>
      <c r="Y32" s="18" t="n">
        <f aca="false">Operations!Y84</f>
        <v>51.7853576030401</v>
      </c>
      <c r="Z32" s="18" t="n">
        <f aca="false">Operations!Z84</f>
        <v>51.9296691971124</v>
      </c>
      <c r="AA32" s="18" t="n">
        <f aca="false">Operations!AA84</f>
        <v>52.028301977106</v>
      </c>
      <c r="AB32" s="18" t="n">
        <f aca="false">Operations!AB84</f>
        <v>52.1093025012149</v>
      </c>
      <c r="AC32" s="18" t="n">
        <f aca="false">Operations!AC84</f>
        <v>52.3218259554983</v>
      </c>
      <c r="AD32" s="18" t="n">
        <f aca="false">Operations!AD84</f>
        <v>39.8450818268235</v>
      </c>
      <c r="AE32" s="18" t="n">
        <f aca="false">Operations!AE84</f>
        <v>52.6582593271669</v>
      </c>
      <c r="AF32" s="18" t="n">
        <f aca="false">Operations!AF84</f>
        <v>52.5796658932823</v>
      </c>
      <c r="AG32" s="18" t="n">
        <f aca="false">Operations!AG84</f>
        <v>52.7182041797502</v>
      </c>
      <c r="AH32" s="18" t="n">
        <f aca="false">Operations!AH84</f>
        <v>52.8763082320372</v>
      </c>
      <c r="AI32" s="18" t="n">
        <f aca="false">Operations!AI84</f>
        <v>52.9813957452599</v>
      </c>
      <c r="AJ32" s="18" t="n">
        <f aca="false">Operations!AJ84</f>
        <v>53.0686848550153</v>
      </c>
      <c r="AK32" s="18" t="n">
        <f aca="false">Operations!AK84</f>
        <v>53.2609492780432</v>
      </c>
      <c r="AL32" s="18" t="n">
        <f aca="false">Operations!AL84</f>
        <v>50.5526655970159</v>
      </c>
      <c r="AM32" s="18" t="n">
        <f aca="false">Operations!AM84</f>
        <v>53.5860038486242</v>
      </c>
      <c r="AN32" s="18" t="n">
        <f aca="false">Operations!AN84</f>
        <v>53.5771122682086</v>
      </c>
      <c r="AO32" s="18" t="n">
        <f aca="false">Operations!AO84</f>
        <v>53.726511982976</v>
      </c>
      <c r="AP32" s="18" t="n">
        <f aca="false">Operations!AP84</f>
        <v>53.8997021855551</v>
      </c>
      <c r="AQ32" s="18" t="n">
        <f aca="false">Operations!AQ84</f>
        <v>54.0116650897258</v>
      </c>
      <c r="AR32" s="18" t="n">
        <f aca="false">Operations!AR84</f>
        <v>54.1057319242345</v>
      </c>
      <c r="AS32" s="18" t="n">
        <f aca="false">Operations!AS84</f>
        <v>54.3595345504699</v>
      </c>
      <c r="AT32" s="18" t="n">
        <f aca="false">Operations!AT84</f>
        <v>39.6314309038557</v>
      </c>
      <c r="AU32" s="18" t="n">
        <f aca="false">Operations!AU84</f>
        <v>54.7604688442206</v>
      </c>
      <c r="AV32" s="18" t="n">
        <f aca="false">Operations!AV84</f>
        <v>54.6553598135104</v>
      </c>
      <c r="AW32" s="18" t="n">
        <f aca="false">Operations!AW84</f>
        <v>54.8164974365744</v>
      </c>
      <c r="AX32" s="18" t="n">
        <f aca="false">Operations!AX84</f>
        <v>55.0061871367616</v>
      </c>
      <c r="AY32" s="18" t="n">
        <f aca="false">Operations!AY84</f>
        <v>55.1254737274549</v>
      </c>
      <c r="AZ32" s="18" t="n">
        <f aca="false">Operations!AZ84</f>
        <v>55.2268454695243</v>
      </c>
      <c r="BA32" s="18" t="n">
        <f aca="false">Operations!BA84</f>
        <v>55.4544417944234</v>
      </c>
      <c r="BB32" s="18" t="n">
        <f aca="false">Operations!BB84</f>
        <v>52.2379806943981</v>
      </c>
      <c r="BC32" s="18" t="n">
        <f aca="false">Operations!BC84</f>
        <v>55.8396244490906</v>
      </c>
      <c r="BD32" s="18" t="n">
        <f aca="false">Operations!BD84</f>
        <v>55.8210733697536</v>
      </c>
      <c r="BE32" s="18" t="n">
        <f aca="false">Operations!BE84</f>
        <v>55.9948983400189</v>
      </c>
      <c r="BF32" s="18" t="n">
        <f aca="false">Operations!BF84</f>
        <v>56.2026314893008</v>
      </c>
      <c r="BG32" s="18" t="n">
        <f aca="false">Operations!BG84</f>
        <v>56.3297195695905</v>
      </c>
      <c r="BH32" s="18" t="n">
        <f aca="false">Operations!BH84</f>
        <v>56.4389643959148</v>
      </c>
      <c r="BI32" s="18" t="n">
        <f aca="false">Operations!BI84</f>
        <v>56.7420655163323</v>
      </c>
      <c r="BJ32" s="18" t="n">
        <f aca="false">Operations!BJ84</f>
        <v>39.335951606497</v>
      </c>
      <c r="BK32" s="18" t="n">
        <f aca="false">Operations!BK84</f>
        <v>57.2198509356877</v>
      </c>
      <c r="BL32" s="18" t="n">
        <f aca="false">Operations!BL84</f>
        <v>57.081477356083</v>
      </c>
      <c r="BM32" s="18" t="n">
        <f aca="false">Operations!BM84</f>
        <v>19.0941621345104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1918</v>
      </c>
      <c r="E33" s="0" t="s">
        <v>151</v>
      </c>
      <c r="G33" s="13" t="n">
        <f aca="false">SUM(J33:BN33)</f>
        <v>-317.383917663576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-0.11804583592035</v>
      </c>
      <c r="Z33" s="13" t="n">
        <f aca="false">-Tax!Z27</f>
        <v>-0.355491534673645</v>
      </c>
      <c r="AA33" s="13" t="n">
        <f aca="false">-Tax!AA27</f>
        <v>-0.357266560605968</v>
      </c>
      <c r="AB33" s="13" t="n">
        <f aca="false">-Tax!AB27</f>
        <v>-0.359199684831379</v>
      </c>
      <c r="AC33" s="13" t="n">
        <f aca="false">-Tax!AC27</f>
        <v>-0.360089400479836</v>
      </c>
      <c r="AD33" s="13" t="n">
        <f aca="false">-Tax!AD27</f>
        <v>-0.355582189942007</v>
      </c>
      <c r="AE33" s="13" t="n">
        <f aca="false">-Tax!AE27</f>
        <v>-0.362679271815013</v>
      </c>
      <c r="AF33" s="13" t="n">
        <f aca="false">-Tax!AF27</f>
        <v>-0.366021318821837</v>
      </c>
      <c r="AG33" s="13" t="n">
        <f aca="false">-Tax!AG27</f>
        <v>-0.367627801614753</v>
      </c>
      <c r="AH33" s="13" t="n">
        <f aca="false">-Tax!AH27</f>
        <v>-0.369103750096856</v>
      </c>
      <c r="AI33" s="13" t="n">
        <f aca="false">-Tax!AI27</f>
        <v>-0.371036290587391</v>
      </c>
      <c r="AJ33" s="13" t="n">
        <f aca="false">-Tax!AJ27</f>
        <v>-0.37314034478709</v>
      </c>
      <c r="AK33" s="13" t="n">
        <f aca="false">-Tax!AK27</f>
        <v>-0.374431606697048</v>
      </c>
      <c r="AL33" s="13" t="n">
        <f aca="false">-Tax!AL27</f>
        <v>-0.375189635606888</v>
      </c>
      <c r="AM33" s="13" t="n">
        <f aca="false">-Tax!AM27</f>
        <v>-0.95106029102752</v>
      </c>
      <c r="AN33" s="13" t="n">
        <f aca="false">-Tax!AN27</f>
        <v>-9.04357686309184</v>
      </c>
      <c r="AO33" s="13" t="n">
        <f aca="false">-Tax!AO27</f>
        <v>-9.54687007094434</v>
      </c>
      <c r="AP33" s="13" t="n">
        <f aca="false">-Tax!AP27</f>
        <v>-10.1457674787661</v>
      </c>
      <c r="AQ33" s="13" t="n">
        <f aca="false">-Tax!AQ27</f>
        <v>-10.1793563500173</v>
      </c>
      <c r="AR33" s="13" t="n">
        <f aca="false">-Tax!AR27</f>
        <v>-10.2075764003699</v>
      </c>
      <c r="AS33" s="13" t="n">
        <f aca="false">-Tax!AS27</f>
        <v>-10.2837171882406</v>
      </c>
      <c r="AT33" s="13" t="n">
        <f aca="false">-Tax!AT27</f>
        <v>-5.86528609425628</v>
      </c>
      <c r="AU33" s="13" t="n">
        <f aca="false">-Tax!AU27</f>
        <v>-10.4039974763658</v>
      </c>
      <c r="AV33" s="13" t="n">
        <f aca="false">-Tax!AV27</f>
        <v>-10.3724647671527</v>
      </c>
      <c r="AW33" s="13" t="n">
        <f aca="false">-Tax!AW27</f>
        <v>-10.4208060540719</v>
      </c>
      <c r="AX33" s="13" t="n">
        <f aca="false">-Tax!AX27</f>
        <v>-10.4777129641281</v>
      </c>
      <c r="AY33" s="13" t="n">
        <f aca="false">-Tax!AY27</f>
        <v>-10.5134989413361</v>
      </c>
      <c r="AZ33" s="13" t="n">
        <f aca="false">-Tax!AZ27</f>
        <v>-10.5439104639569</v>
      </c>
      <c r="BA33" s="13" t="n">
        <f aca="false">-Tax!BA27</f>
        <v>-10.6121893614266</v>
      </c>
      <c r="BB33" s="13" t="n">
        <f aca="false">-Tax!BB27</f>
        <v>-9.64725103141902</v>
      </c>
      <c r="BC33" s="13" t="n">
        <f aca="false">-Tax!BC27</f>
        <v>-12.6521232282255</v>
      </c>
      <c r="BD33" s="13" t="n">
        <f aca="false">-Tax!BD27</f>
        <v>-16.4953160452219</v>
      </c>
      <c r="BE33" s="13" t="n">
        <f aca="false">-Tax!BE27</f>
        <v>-16.5474635363015</v>
      </c>
      <c r="BF33" s="13" t="n">
        <f aca="false">-Tax!BF27</f>
        <v>-16.6097834810861</v>
      </c>
      <c r="BG33" s="13" t="n">
        <f aca="false">-Tax!BG27</f>
        <v>-16.647909905173</v>
      </c>
      <c r="BH33" s="13" t="n">
        <f aca="false">-Tax!BH27</f>
        <v>-16.6806833530703</v>
      </c>
      <c r="BI33" s="13" t="n">
        <f aca="false">-Tax!BI27</f>
        <v>-16.7716136891955</v>
      </c>
      <c r="BJ33" s="13" t="n">
        <f aca="false">-Tax!BJ27</f>
        <v>-11.5497795162449</v>
      </c>
      <c r="BK33" s="13" t="n">
        <f aca="false">-Tax!BK27</f>
        <v>-16.9149493150021</v>
      </c>
      <c r="BL33" s="13" t="n">
        <f aca="false">-Tax!BL27</f>
        <v>-16.8734372411207</v>
      </c>
      <c r="BM33" s="13" t="n">
        <f aca="false">-Tax!BM27</f>
        <v>-5.56091132988367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1919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-15.0233254045774</v>
      </c>
      <c r="P34" s="13" t="n">
        <f aca="false">-Operations!P96+Operations!P97</f>
        <v>0.036028086773527</v>
      </c>
      <c r="Q34" s="13" t="n">
        <f aca="false">-Operations!Q96+Operations!Q97</f>
        <v>-0.290889192983478</v>
      </c>
      <c r="R34" s="13" t="n">
        <f aca="false">-Operations!R96+Operations!R97</f>
        <v>0.19409857676658</v>
      </c>
      <c r="S34" s="13" t="n">
        <f aca="false">-Operations!S96+Operations!S97</f>
        <v>-0.294054549689314</v>
      </c>
      <c r="T34" s="13" t="n">
        <f aca="false">-Operations!T96+Operations!T97</f>
        <v>0.193229977002833</v>
      </c>
      <c r="U34" s="13" t="n">
        <f aca="false">-Operations!U96+Operations!U97</f>
        <v>-0.215333866252807</v>
      </c>
      <c r="V34" s="13" t="n">
        <f aca="false">-Operations!V96+Operations!V97</f>
        <v>0.11695829311223</v>
      </c>
      <c r="W34" s="13" t="n">
        <f aca="false">-Operations!W96+Operations!W97</f>
        <v>-0.299828284117513</v>
      </c>
      <c r="X34" s="13" t="n">
        <f aca="false">-Operations!X96+Operations!X97</f>
        <v>0.192820481660551</v>
      </c>
      <c r="Y34" s="13" t="n">
        <f aca="false">-Operations!Y96+Operations!Y97</f>
        <v>-0.301010577437914</v>
      </c>
      <c r="Z34" s="13" t="n">
        <f aca="false">-Operations!Z96+Operations!Z97</f>
        <v>0.196102689304501</v>
      </c>
      <c r="AA34" s="13" t="n">
        <f aca="false">-Operations!AA96+Operations!AA97</f>
        <v>-0.304198393044571</v>
      </c>
      <c r="AB34" s="13" t="n">
        <f aca="false">-Operations!AB96+Operations!AB97</f>
        <v>0.195642297349563</v>
      </c>
      <c r="AC34" s="13" t="n">
        <f aca="false">-Operations!AC96+Operations!AC97</f>
        <v>-0.223583468456788</v>
      </c>
      <c r="AD34" s="13" t="n">
        <f aca="false">-Operations!AD96+Operations!AD97</f>
        <v>0.347750828685331</v>
      </c>
      <c r="AE34" s="13" t="n">
        <f aca="false">-Operations!AE96+Operations!AE97</f>
        <v>-0.541009177408217</v>
      </c>
      <c r="AF34" s="13" t="n">
        <f aca="false">-Operations!AF96+Operations!AF97</f>
        <v>0.194971978581741</v>
      </c>
      <c r="AG34" s="13" t="n">
        <f aca="false">-Operations!AG96+Operations!AG97</f>
        <v>-0.311953598053904</v>
      </c>
      <c r="AH34" s="13" t="n">
        <f aca="false">-Operations!AH96+Operations!AH97</f>
        <v>0.198234090655726</v>
      </c>
      <c r="AI34" s="13" t="n">
        <f aca="false">-Operations!AI96+Operations!AI97</f>
        <v>-0.315147624682387</v>
      </c>
      <c r="AJ34" s="13" t="n">
        <f aca="false">-Operations!AJ96+Operations!AJ97</f>
        <v>0.198252831376571</v>
      </c>
      <c r="AK34" s="13" t="n">
        <f aca="false">-Operations!AK96+Operations!AK97</f>
        <v>-0.233556052237635</v>
      </c>
      <c r="AL34" s="13" t="n">
        <f aca="false">-Operations!AL96+Operations!AL97</f>
        <v>0.115896845270992</v>
      </c>
      <c r="AM34" s="13" t="n">
        <f aca="false">-Operations!AM96+Operations!AM97</f>
        <v>-0.321240043329542</v>
      </c>
      <c r="AN34" s="13" t="n">
        <f aca="false">-Operations!AN96+Operations!AN97</f>
        <v>0.199187960846547</v>
      </c>
      <c r="AO34" s="13" t="n">
        <f aca="false">-Operations!AO96+Operations!AO97</f>
        <v>-0.323786573433072</v>
      </c>
      <c r="AP34" s="13" t="n">
        <f aca="false">-Operations!AP96+Operations!AP97</f>
        <v>0.20050076200431</v>
      </c>
      <c r="AQ34" s="13" t="n">
        <f aca="false">-Operations!AQ96+Operations!AQ97</f>
        <v>-0.326967834518403</v>
      </c>
      <c r="AR34" s="13" t="n">
        <f aca="false">-Operations!AR96+Operations!AR97</f>
        <v>0.201078339621077</v>
      </c>
      <c r="AS34" s="13" t="n">
        <f aca="false">-Operations!AS96+Operations!AS97</f>
        <v>-0.243860442949249</v>
      </c>
      <c r="AT34" s="13" t="n">
        <f aca="false">-Operations!AT96+Operations!AT97</f>
        <v>0.362015759611552</v>
      </c>
      <c r="AU34" s="13" t="n">
        <f aca="false">-Operations!AU96+Operations!AU97</f>
        <v>-0.580254716513409</v>
      </c>
      <c r="AV34" s="13" t="n">
        <f aca="false">-Operations!AV96+Operations!AV97</f>
        <v>0.203077940140048</v>
      </c>
      <c r="AW34" s="13" t="n">
        <f aca="false">-Operations!AW96+Operations!AW97</f>
        <v>-0.33658362736017</v>
      </c>
      <c r="AX34" s="13" t="n">
        <f aca="false">-Operations!AX96+Operations!AX97</f>
        <v>0.202911182567437</v>
      </c>
      <c r="AY34" s="13" t="n">
        <f aca="false">-Operations!AY96+Operations!AY97</f>
        <v>-0.339730084506599</v>
      </c>
      <c r="AZ34" s="13" t="n">
        <f aca="false">-Operations!AZ96+Operations!AZ97</f>
        <v>0.204137038672744</v>
      </c>
      <c r="BA34" s="13" t="n">
        <f aca="false">-Operations!BA96+Operations!BA97</f>
        <v>-0.254958668518579</v>
      </c>
      <c r="BB34" s="13" t="n">
        <f aca="false">-Operations!BB96+Operations!BB97</f>
        <v>0.114249277952311</v>
      </c>
      <c r="BC34" s="13" t="n">
        <f aca="false">-Operations!BC96+Operations!BC97</f>
        <v>-0.346090993918459</v>
      </c>
      <c r="BD34" s="13" t="n">
        <f aca="false">-Operations!BD96+Operations!BD97</f>
        <v>0.206876584882007</v>
      </c>
      <c r="BE34" s="13" t="n">
        <f aca="false">-Operations!BE96+Operations!BE97</f>
        <v>-0.350425191335702</v>
      </c>
      <c r="BF34" s="13" t="n">
        <f aca="false">-Operations!BF96+Operations!BF97</f>
        <v>0.205474361084967</v>
      </c>
      <c r="BG34" s="13" t="n">
        <f aca="false">-Operations!BG96+Operations!BG97</f>
        <v>-0.353511375130275</v>
      </c>
      <c r="BH34" s="13" t="n">
        <f aca="false">-Operations!BH96+Operations!BH97</f>
        <v>0.207448730687357</v>
      </c>
      <c r="BI34" s="13" t="n">
        <f aca="false">-Operations!BI96+Operations!BI97</f>
        <v>-0.26778015121441</v>
      </c>
      <c r="BJ34" s="13" t="n">
        <f aca="false">-Operations!BJ96+Operations!BJ97</f>
        <v>0.378407250624029</v>
      </c>
      <c r="BK34" s="13" t="n">
        <f aca="false">-Operations!BK96+Operations!BK97</f>
        <v>-0.62620614872036</v>
      </c>
      <c r="BL34" s="13" t="n">
        <f aca="false">-Operations!BL96+Operations!BL97</f>
        <v>0.213026728613212</v>
      </c>
      <c r="BM34" s="13" t="n">
        <f aca="false">-Operations!BM96+Operations!BM97</f>
        <v>23.2969071465424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1920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1856</v>
      </c>
      <c r="E36" s="0" t="s">
        <v>151</v>
      </c>
      <c r="G36" s="13" t="n">
        <f aca="false">SUM(J36:BN36)</f>
        <v>2304.70160401062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1.87603501833686</v>
      </c>
      <c r="P36" s="13" t="n">
        <f aca="false">P32+P33+P34+P35</f>
        <v>50.3241689888662</v>
      </c>
      <c r="Q36" s="13" t="n">
        <f aca="false">Q32+Q33+Q34+Q35</f>
        <v>50.2023273543813</v>
      </c>
      <c r="R36" s="13" t="n">
        <f aca="false">R32+R33+R34+R35</f>
        <v>50.8317697635431</v>
      </c>
      <c r="S36" s="13" t="n">
        <f aca="false">S32+S33+S34+S35</f>
        <v>50.4361894489523</v>
      </c>
      <c r="T36" s="13" t="n">
        <f aca="false">T32+T33+T34+T35</f>
        <v>50.9986397486087</v>
      </c>
      <c r="U36" s="13" t="n">
        <f aca="false">U32+U33+U34+U35</f>
        <v>50.7525534123724</v>
      </c>
      <c r="V36" s="13" t="n">
        <f aca="false">V32+V33+V34+V35</f>
        <v>51.7181226029479</v>
      </c>
      <c r="W36" s="13" t="n">
        <f aca="false">W32+W33+W34+W35</f>
        <v>51.3586885011164</v>
      </c>
      <c r="X36" s="13" t="n">
        <f aca="false">X32+X33+X34+X35</f>
        <v>49.876949407473</v>
      </c>
      <c r="Y36" s="13" t="n">
        <f aca="false">Y32+Y33+Y34+Y35</f>
        <v>49.3935586460484</v>
      </c>
      <c r="Z36" s="13" t="n">
        <f aca="false">Z32+Z33+Z34+Z35</f>
        <v>49.7975378081098</v>
      </c>
      <c r="AA36" s="13" t="n">
        <f aca="false">AA32+AA33+AA34+AA35</f>
        <v>49.394094479822</v>
      </c>
      <c r="AB36" s="13" t="n">
        <f aca="false">AB32+AB33+AB34+AB35</f>
        <v>49.9730025700996</v>
      </c>
      <c r="AC36" s="13" t="n">
        <f aca="false">AC32+AC33+AC34+AC35</f>
        <v>49.7654105429282</v>
      </c>
      <c r="AD36" s="13" t="n">
        <f aca="false">AD32+AD33+AD34+AD35</f>
        <v>51.6737057273676</v>
      </c>
      <c r="AE36" s="13" t="n">
        <f aca="false">AE32+AE33+AE34+AE35</f>
        <v>51.7545708779437</v>
      </c>
      <c r="AF36" s="13" t="n">
        <f aca="false">AF32+AF33+AF34+AF35</f>
        <v>51.9131885981263</v>
      </c>
      <c r="AG36" s="13" t="n">
        <f aca="false">AG32+AG33+AG34+AG35</f>
        <v>51.5431948251656</v>
      </c>
      <c r="AH36" s="13" t="n">
        <f aca="false">AH32+AH33+AH34+AH35</f>
        <v>52.2100106176802</v>
      </c>
      <c r="AI36" s="13" t="n">
        <f aca="false">AI32+AI33+AI34+AI35</f>
        <v>51.7997838750742</v>
      </c>
      <c r="AJ36" s="13" t="n">
        <f aca="false">AJ32+AJ33+AJ34+AJ35</f>
        <v>52.3983693866889</v>
      </c>
      <c r="AK36" s="13" t="n">
        <f aca="false">AK32+AK33+AK34+AK35</f>
        <v>52.1575336641926</v>
      </c>
      <c r="AL36" s="13" t="n">
        <f aca="false">AL32+AL33+AL34+AL35</f>
        <v>53.2659405361755</v>
      </c>
      <c r="AM36" s="13" t="n">
        <f aca="false">AM32+AM33+AM34+AM35</f>
        <v>52.3137035142672</v>
      </c>
      <c r="AN36" s="13" t="n">
        <f aca="false">AN32+AN33+AN34+AN35</f>
        <v>42.3848342804764</v>
      </c>
      <c r="AO36" s="13" t="n">
        <f aca="false">AO32+AO33+AO34+AO35</f>
        <v>41.5079662531116</v>
      </c>
      <c r="AP36" s="13" t="n">
        <f aca="false">AP32+AP33+AP34+AP35</f>
        <v>41.6065463833064</v>
      </c>
      <c r="AQ36" s="13" t="n">
        <f aca="false">AQ32+AQ33+AQ34+AQ35</f>
        <v>41.1574518197032</v>
      </c>
      <c r="AR36" s="13" t="n">
        <f aca="false">AR32+AR33+AR34+AR35</f>
        <v>41.7513447779987</v>
      </c>
      <c r="AS36" s="13" t="n">
        <f aca="false">AS32+AS33+AS34+AS35</f>
        <v>41.4840678337932</v>
      </c>
      <c r="AT36" s="13" t="n">
        <f aca="false">AT32+AT33+AT34+AT35</f>
        <v>48.2154950821326</v>
      </c>
      <c r="AU36" s="13" t="n">
        <f aca="false">AU32+AU33+AU34+AU35</f>
        <v>43.7762166513415</v>
      </c>
      <c r="AV36" s="13" t="n">
        <f aca="false">AV32+AV33+AV34+AV35</f>
        <v>43.8963319855744</v>
      </c>
      <c r="AW36" s="13" t="n">
        <f aca="false">AW32+AW33+AW34+AW35</f>
        <v>43.469466754219</v>
      </c>
      <c r="AX36" s="13" t="n">
        <f aca="false">AX32+AX33+AX34+AX35</f>
        <v>44.1417443542776</v>
      </c>
      <c r="AY36" s="13" t="n">
        <f aca="false">AY32+AY33+AY34+AY35</f>
        <v>43.6826037006889</v>
      </c>
      <c r="AZ36" s="13" t="n">
        <f aca="false">AZ32+AZ33+AZ34+AZ35</f>
        <v>44.2974310433168</v>
      </c>
      <c r="BA36" s="13" t="n">
        <f aca="false">BA32+BA33+BA34+BA35</f>
        <v>43.9976527635548</v>
      </c>
      <c r="BB36" s="13" t="n">
        <f aca="false">BB32+BB33+BB34+BB35</f>
        <v>46.2428249464718</v>
      </c>
      <c r="BC36" s="13" t="n">
        <f aca="false">BC32+BC33+BC34+BC35</f>
        <v>42.8414102269467</v>
      </c>
      <c r="BD36" s="13" t="n">
        <f aca="false">BD32+BD33+BD34+BD35</f>
        <v>36.7382585483007</v>
      </c>
      <c r="BE36" s="13" t="n">
        <f aca="false">BE32+BE33+BE34+BE35</f>
        <v>36.3026342512687</v>
      </c>
      <c r="BF36" s="13" t="n">
        <f aca="false">BF32+BF33+BF34+BF35</f>
        <v>37.0039470081867</v>
      </c>
      <c r="BG36" s="13" t="n">
        <f aca="false">BG32+BG33+BG34+BG35</f>
        <v>36.5339229281743</v>
      </c>
      <c r="BH36" s="13" t="n">
        <f aca="false">BH32+BH33+BH34+BH35</f>
        <v>37.1713544124189</v>
      </c>
      <c r="BI36" s="13" t="n">
        <f aca="false">BI32+BI33+BI34+BI35</f>
        <v>36.9082963148094</v>
      </c>
      <c r="BJ36" s="13" t="n">
        <f aca="false">BJ32+BJ33+BJ34+BJ35</f>
        <v>44.930831507554</v>
      </c>
      <c r="BK36" s="13" t="n">
        <f aca="false">BK32+BK33+BK34+BK35</f>
        <v>39.6786954719652</v>
      </c>
      <c r="BL36" s="13" t="n">
        <f aca="false">BL32+BL33+BL34+BL35</f>
        <v>40.4210668435755</v>
      </c>
      <c r="BM36" s="13" t="n">
        <f aca="false">BM32+BM33+BM34+BM35</f>
        <v>36.8301579511692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1921</v>
      </c>
      <c r="E37" s="0" t="s">
        <v>151</v>
      </c>
      <c r="G37" s="13" t="n">
        <f aca="false">SUM(J37:BN37)</f>
        <v>-851.295877467589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-37.2458954370965</v>
      </c>
      <c r="Q37" s="13" t="n">
        <f aca="false">-(Debt!Q114+Debt!Q110)</f>
        <v>-37.1570164551458</v>
      </c>
      <c r="R37" s="13" t="n">
        <f aca="false">-(Debt!R114+Debt!R110)</f>
        <v>-37.624785087678</v>
      </c>
      <c r="S37" s="13" t="n">
        <f aca="false">-(Debt!S114+Debt!S110)</f>
        <v>-37.333312492557</v>
      </c>
      <c r="T37" s="13" t="n">
        <f aca="false">-(Debt!T114+Debt!T110)</f>
        <v>-37.7512177817478</v>
      </c>
      <c r="U37" s="13" t="n">
        <f aca="false">-(Debt!U114+Debt!U110)</f>
        <v>-37.5706927548527</v>
      </c>
      <c r="V37" s="13" t="n">
        <f aca="false">-(Debt!V114+Debt!V110)</f>
        <v>-38.2879202351583</v>
      </c>
      <c r="W37" s="13" t="n">
        <f aca="false">-(Debt!W114+Debt!W110)</f>
        <v>-38.0232274258698</v>
      </c>
      <c r="X37" s="13" t="n">
        <f aca="false">-(Debt!X114+Debt!X110)</f>
        <v>-36.9267950745894</v>
      </c>
      <c r="Y37" s="13" t="n">
        <f aca="false">-(Debt!Y114+Debt!Y110)</f>
        <v>-36.5703920445452</v>
      </c>
      <c r="Z37" s="13" t="n">
        <f aca="false">-(Debt!Z114+Debt!Z110)</f>
        <v>-36.8713631085141</v>
      </c>
      <c r="AA37" s="13" t="n">
        <f aca="false">-(Debt!AA114+Debt!AA110)</f>
        <v>-36.5742873548545</v>
      </c>
      <c r="AB37" s="13" t="n">
        <f aca="false">-(Debt!AB114+Debt!AB110)</f>
        <v>-36.3570486715114</v>
      </c>
      <c r="AC37" s="13" t="n">
        <f aca="false">-(Debt!AC114+Debt!AC110)</f>
        <v>-35.4269807993364</v>
      </c>
      <c r="AD37" s="13" t="n">
        <f aca="false">-(Debt!AD114+Debt!AD110)</f>
        <v>-35.9791799581001</v>
      </c>
      <c r="AE37" s="13" t="n">
        <f aca="false">-(Debt!AE114+Debt!AE110)</f>
        <v>-35.0161146152219</v>
      </c>
      <c r="AF37" s="13" t="n">
        <f aca="false">-(Debt!AF114+Debt!AF110)</f>
        <v>-33.924111869299</v>
      </c>
      <c r="AG37" s="13" t="n">
        <f aca="false">-(Debt!AG114+Debt!AG110)</f>
        <v>-32.2164978248487</v>
      </c>
      <c r="AH37" s="13" t="n">
        <f aca="false">-(Debt!AH114+Debt!AH110)</f>
        <v>-30.9785764124216</v>
      </c>
      <c r="AI37" s="13" t="n">
        <f aca="false">-(Debt!AI114+Debt!AI110)</f>
        <v>-28.680865879407</v>
      </c>
      <c r="AJ37" s="13" t="n">
        <f aca="false">-(Debt!AJ114+Debt!AJ110)</f>
        <v>-26.4275016295962</v>
      </c>
      <c r="AK37" s="13" t="n">
        <f aca="false">-(Debt!AK114+Debt!AK110)</f>
        <v>-23.030837864091</v>
      </c>
      <c r="AL37" s="13" t="n">
        <f aca="false">-(Debt!AL114+Debt!AL110)</f>
        <v>-23.7140398353964</v>
      </c>
      <c r="AM37" s="13" t="n">
        <f aca="false">-(Debt!AM114+Debt!AM110)</f>
        <v>-23.5692918532781</v>
      </c>
      <c r="AN37" s="13" t="n">
        <f aca="false">-(Debt!AN114+Debt!AN110)</f>
        <v>-19.1320172548642</v>
      </c>
      <c r="AO37" s="13" t="n">
        <f aca="false">-(Debt!AO114+Debt!AO110)</f>
        <v>-18.9059077476081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1922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1923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1924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1925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1926</v>
      </c>
      <c r="E43" s="0" t="s">
        <v>151</v>
      </c>
      <c r="G43" s="13" t="n">
        <f aca="false">SUM(J43:BN43)</f>
        <v>-94.6950541878658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-6.19467292392291</v>
      </c>
      <c r="AB43" s="13" t="n">
        <f aca="false">-(Waterfall!AB28+Waterfall!AB29)</f>
        <v>-7.20343814378053</v>
      </c>
      <c r="AC43" s="13" t="n">
        <f aca="false">-(Waterfall!AC28+Waterfall!AC29)</f>
        <v>-6.87529341495345</v>
      </c>
      <c r="AD43" s="13" t="n">
        <f aca="false">-(Waterfall!AD28+Waterfall!AD29)</f>
        <v>-8.21644113806305</v>
      </c>
      <c r="AE43" s="13" t="n">
        <f aca="false">-(Waterfall!AE28+Waterfall!AE29)</f>
        <v>-8.82925971748235</v>
      </c>
      <c r="AF43" s="13" t="n">
        <f aca="false">-(Waterfall!AF28+Waterfall!AF29)</f>
        <v>-9.72559979921583</v>
      </c>
      <c r="AG43" s="13" t="n">
        <f aca="false">-(Waterfall!AG28+Waterfall!AG29)</f>
        <v>-10.1611150818953</v>
      </c>
      <c r="AH43" s="13" t="n">
        <f aca="false">-(Waterfall!AH28+Waterfall!AH29)</f>
        <v>-11.5431056828627</v>
      </c>
      <c r="AI43" s="13" t="n">
        <f aca="false">-(Waterfall!AI28+Waterfall!AI29)</f>
        <v>-12.4209849507657</v>
      </c>
      <c r="AJ43" s="13" t="n">
        <f aca="false">-(Waterfall!AJ28+Waterfall!AJ29)</f>
        <v>-13.5251433349239</v>
      </c>
      <c r="AK43" s="13" t="n">
        <f aca="false">-(Waterfall!AK28+Waterfall!AK29)</f>
        <v>-0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1927</v>
      </c>
      <c r="E44" s="0" t="s">
        <v>151</v>
      </c>
      <c r="G44" s="13" t="n">
        <f aca="false">SUM(J44:BN44)</f>
        <v>-390.839341107637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-15.0431875520562</v>
      </c>
      <c r="Q44" s="13" t="n">
        <f aca="false">-(Waterfall!Q34+Waterfall!Q35)</f>
        <v>-12.5775422667034</v>
      </c>
      <c r="R44" s="13" t="n">
        <f aca="false">-(Waterfall!R34+Waterfall!R35)</f>
        <v>-13.4984572709862</v>
      </c>
      <c r="S44" s="13" t="n">
        <f aca="false">-(Waterfall!S34+Waterfall!S35)</f>
        <v>-12.6849716672045</v>
      </c>
      <c r="T44" s="13" t="n">
        <f aca="false">-(Waterfall!T34+Waterfall!T35)</f>
        <v>-13.427946993756</v>
      </c>
      <c r="U44" s="13" t="n">
        <f aca="false">-(Waterfall!U34+Waterfall!U35)</f>
        <v>-12.4646331772141</v>
      </c>
      <c r="V44" s="13" t="n">
        <f aca="false">-(Waterfall!V34+Waterfall!V35)</f>
        <v>-13.6948951770782</v>
      </c>
      <c r="W44" s="13" t="n">
        <f aca="false">-(Waterfall!W34+Waterfall!W35)</f>
        <v>-14.431893426527</v>
      </c>
      <c r="X44" s="13" t="n">
        <f aca="false">-(Waterfall!X34+Waterfall!X35)</f>
        <v>-13.3065573629278</v>
      </c>
      <c r="Y44" s="13" t="n">
        <f aca="false">-(Waterfall!Y34+Waterfall!Y35)</f>
        <v>-12.5221955375342</v>
      </c>
      <c r="Z44" s="13" t="n">
        <f aca="false">-(Waterfall!Z34+Waterfall!Z35)</f>
        <v>-13.2232504532553</v>
      </c>
      <c r="AA44" s="13" t="n">
        <f aca="false">-(Waterfall!AA34+Waterfall!AA35)</f>
        <v>-6.19467292392291</v>
      </c>
      <c r="AB44" s="13" t="n">
        <f aca="false">-(Waterfall!AB34+Waterfall!AB35)</f>
        <v>-7.20343814378053</v>
      </c>
      <c r="AC44" s="13" t="n">
        <f aca="false">-(Waterfall!AC34+Waterfall!AC35)</f>
        <v>-6.87529341495345</v>
      </c>
      <c r="AD44" s="13" t="n">
        <f aca="false">-(Waterfall!AD34+Waterfall!AD35)</f>
        <v>-8.21644113806305</v>
      </c>
      <c r="AE44" s="13" t="n">
        <f aca="false">-(Waterfall!AE34+Waterfall!AE35)</f>
        <v>-8.82925971748235</v>
      </c>
      <c r="AF44" s="13" t="n">
        <f aca="false">-(Waterfall!AF34+Waterfall!AF35)</f>
        <v>-9.72559979921583</v>
      </c>
      <c r="AG44" s="13" t="n">
        <f aca="false">-(Waterfall!AG34+Waterfall!AG35)</f>
        <v>-10.1611150818953</v>
      </c>
      <c r="AH44" s="13" t="n">
        <f aca="false">-(Waterfall!AH34+Waterfall!AH35)</f>
        <v>-11.5431056828627</v>
      </c>
      <c r="AI44" s="13" t="n">
        <f aca="false">-(Waterfall!AI34+Waterfall!AI35)</f>
        <v>-12.4209849507657</v>
      </c>
      <c r="AJ44" s="13" t="n">
        <f aca="false">-(Waterfall!AJ34+Waterfall!AJ35)</f>
        <v>-15.0914768069019</v>
      </c>
      <c r="AK44" s="13" t="n">
        <f aca="false">-(Waterfall!AK34+Waterfall!AK35)</f>
        <v>-31.8746679581498</v>
      </c>
      <c r="AL44" s="13" t="n">
        <f aca="false">-(Waterfall!AL34+Waterfall!AL35)</f>
        <v>-29.6966486828974</v>
      </c>
      <c r="AM44" s="13" t="n">
        <f aca="false">-(Waterfall!AM34+Waterfall!AM35)</f>
        <v>-33.181686259403</v>
      </c>
      <c r="AN44" s="13" t="n">
        <f aca="false">-(Waterfall!AN34+Waterfall!AN35)</f>
        <v>-23.4789265328682</v>
      </c>
      <c r="AO44" s="13" t="n">
        <f aca="false">-(Waterfall!AO34+Waterfall!AO35)</f>
        <v>-29.4704931292323</v>
      </c>
      <c r="AP44" s="13" t="n">
        <f aca="false">-(Waterfall!AP34+Waterfall!AP35)</f>
        <v>-0</v>
      </c>
      <c r="AQ44" s="13" t="n">
        <f aca="false">-(Waterfall!AQ34+Waterfall!AQ35)</f>
        <v>-0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1890</v>
      </c>
      <c r="E45" s="0" t="s">
        <v>151</v>
      </c>
      <c r="G45" s="13" t="n">
        <f aca="false">SUM(J45:BN45)</f>
        <v>-1005.11722668463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-12.0374731238793</v>
      </c>
      <c r="AP45" s="13" t="n">
        <f aca="false">-Waterfall!AP41</f>
        <v>-41.6065463833064</v>
      </c>
      <c r="AQ45" s="13" t="n">
        <f aca="false">-Waterfall!AQ41</f>
        <v>-41.1574518197032</v>
      </c>
      <c r="AR45" s="13" t="n">
        <f aca="false">-Waterfall!AR41</f>
        <v>-41.7513447779987</v>
      </c>
      <c r="AS45" s="13" t="n">
        <f aca="false">-Waterfall!AS41</f>
        <v>-41.4840678337932</v>
      </c>
      <c r="AT45" s="13" t="n">
        <f aca="false">-Waterfall!AT41</f>
        <v>-48.2154950821326</v>
      </c>
      <c r="AU45" s="13" t="n">
        <f aca="false">-Waterfall!AU41</f>
        <v>-43.7762166513415</v>
      </c>
      <c r="AV45" s="13" t="n">
        <f aca="false">-Waterfall!AV41</f>
        <v>-43.8963319855744</v>
      </c>
      <c r="AW45" s="13" t="n">
        <f aca="false">-Waterfall!AW41</f>
        <v>-43.469466754219</v>
      </c>
      <c r="AX45" s="13" t="n">
        <f aca="false">-Waterfall!AX41</f>
        <v>-44.1417443542776</v>
      </c>
      <c r="AY45" s="13" t="n">
        <f aca="false">-Waterfall!AY41</f>
        <v>-43.6826037006889</v>
      </c>
      <c r="AZ45" s="13" t="n">
        <f aca="false">-Waterfall!AZ41</f>
        <v>-44.2974310433168</v>
      </c>
      <c r="BA45" s="13" t="n">
        <f aca="false">-Waterfall!BA41</f>
        <v>-43.5026843769461</v>
      </c>
      <c r="BB45" s="13" t="n">
        <f aca="false">-Waterfall!BB41</f>
        <v>-44.7416746918274</v>
      </c>
      <c r="BC45" s="13" t="n">
        <f aca="false">-Waterfall!BC41</f>
        <v>-41.3238371536044</v>
      </c>
      <c r="BD45" s="13" t="n">
        <f aca="false">-Waterfall!BD41</f>
        <v>-35.2040829880542</v>
      </c>
      <c r="BE45" s="13" t="n">
        <f aca="false">-Waterfall!BE41</f>
        <v>-34.751674570313</v>
      </c>
      <c r="BF45" s="13" t="n">
        <f aca="false">-Waterfall!BF41</f>
        <v>-35.4360195856147</v>
      </c>
      <c r="BG45" s="13" t="n">
        <f aca="false">-Waterfall!BG41</f>
        <v>-34.9488421342375</v>
      </c>
      <c r="BH45" s="13" t="n">
        <f aca="false">-Waterfall!BH41</f>
        <v>-35.5689325865503</v>
      </c>
      <c r="BI45" s="13" t="n">
        <f aca="false">-Waterfall!BI41</f>
        <v>-35.288343743406</v>
      </c>
      <c r="BJ45" s="13" t="n">
        <f aca="false">-Waterfall!BJ41</f>
        <v>-43.2931564015163</v>
      </c>
      <c r="BK45" s="13" t="n">
        <f aca="false">-Waterfall!BK41</f>
        <v>-38.023103943991</v>
      </c>
      <c r="BL45" s="13" t="n">
        <f aca="false">-Waterfall!BL41</f>
        <v>-38.747362885205</v>
      </c>
      <c r="BM45" s="13" t="n">
        <f aca="false">-Waterfall!BM41</f>
        <v>-54.7713381131302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1928</v>
      </c>
      <c r="E46" s="0" t="s">
        <v>151</v>
      </c>
      <c r="G46" s="13" t="n">
        <f aca="false">SUM(J46:BN46)</f>
        <v>37.2458954370954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37.2458954370954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1929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1930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1931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39.1219304554322</v>
      </c>
      <c r="P49" s="13" t="n">
        <f aca="false">P36+P37+P38+P39+P40+P41+P42+P43+P44+P45+P46+P47+P48</f>
        <v>-1.54864569783161</v>
      </c>
      <c r="Q49" s="13" t="n">
        <f aca="false">Q36+Q37+Q38+Q39+Q40+Q41+Q42+Q43+Q44+Q45+Q46+Q47+Q48</f>
        <v>0.884036934987073</v>
      </c>
      <c r="R49" s="13" t="n">
        <f aca="false">R36+R37+R38+R39+R40+R41+R42+R43+R44+R45+R46+R47+R48</f>
        <v>0.124795707333831</v>
      </c>
      <c r="S49" s="13" t="n">
        <f aca="false">S36+S37+S38+S39+S40+S41+S42+S43+S44+S45+S46+S47+S48</f>
        <v>0.834173591645694</v>
      </c>
      <c r="T49" s="13" t="n">
        <f aca="false">T36+T37+T38+T39+T40+T41+T42+T43+T44+T45+T46+T47+T48</f>
        <v>0.235743275559791</v>
      </c>
      <c r="U49" s="13" t="n">
        <f aca="false">U36+U37+U38+U39+U40+U41+U42+U43+U44+U45+U46+U47+U48</f>
        <v>1.13349578276049</v>
      </c>
      <c r="V49" s="13" t="n">
        <f aca="false">V36+V37+V38+V39+V40+V41+V42+V43+V44+V45+V46+V47+V48</f>
        <v>-2.76230262401772</v>
      </c>
      <c r="W49" s="13" t="n">
        <f aca="false">W36+W37+W38+W39+W40+W41+W42+W43+W44+W45+W46+W47+W48</f>
        <v>-1.0964323512804</v>
      </c>
      <c r="X49" s="13" t="n">
        <f aca="false">X36+X37+X38+X39+X40+X41+X42+X43+X44+X45+X46+X47+X48</f>
        <v>1.61633951358923</v>
      </c>
      <c r="Y49" s="13" t="n">
        <f aca="false">Y36+Y37+Y38+Y39+Y40+Y41+Y42+Y43+Y44+Y45+Y46+Y47+Y48</f>
        <v>2.27371360760241</v>
      </c>
      <c r="Z49" s="13" t="n">
        <f aca="false">Z36+Z37+Z38+Z39+Z40+Z41+Z42+Z43+Z44+Z45+Z46+Z47+Z48</f>
        <v>1.6756667899738</v>
      </c>
      <c r="AA49" s="13" t="n">
        <f aca="false">AA36+AA37+AA38+AA39+AA40+AA41+AA42+AA43+AA44+AA45+AA46+AA47+AA48</f>
        <v>2.40320382075519</v>
      </c>
      <c r="AB49" s="13" t="n">
        <f aca="false">AB36+AB37+AB38+AB39+AB40+AB41+AB42+AB43+AB44+AB45+AB46+AB47+AB48</f>
        <v>1.18182015466064</v>
      </c>
      <c r="AC49" s="13" t="n">
        <f aca="false">AC36+AC37+AC38+AC39+AC40+AC41+AC42+AC43+AC44+AC45+AC46+AC47+AC48</f>
        <v>2.56058545731837</v>
      </c>
      <c r="AD49" s="13" t="n">
        <f aca="false">AD36+AD37+AD38+AD39+AD40+AD41+AD42+AD43+AD44+AD45+AD46+AD47+AD48</f>
        <v>-12.5748117686593</v>
      </c>
      <c r="AE49" s="13" t="n">
        <f aca="false">AE36+AE37+AE38+AE39+AE40+AE41+AE42+AE43+AE44+AE45+AE46+AE47+AE48</f>
        <v>-0.920063172242827</v>
      </c>
      <c r="AF49" s="13" t="n">
        <f aca="false">AF36+AF37+AF38+AF39+AF40+AF41+AF42+AF43+AF44+AF45+AF46+AF47+AF48</f>
        <v>-0.966694914688394</v>
      </c>
      <c r="AG49" s="13" t="n">
        <f aca="false">AG36+AG37+AG38+AG39+AG40+AG41+AG42+AG43+AG44+AG45+AG46+AG47+AG48</f>
        <v>-0.500105208557917</v>
      </c>
      <c r="AH49" s="13" t="n">
        <f aca="false">AH36+AH37+AH38+AH39+AH40+AH41+AH42+AH43+AH44+AH45+AH46+AH47+AH48</f>
        <v>-1.35934920555088</v>
      </c>
      <c r="AI49" s="13" t="n">
        <f aca="false">AI36+AI37+AI38+AI39+AI40+AI41+AI42+AI43+AI44+AI45+AI46+AI47+AI48</f>
        <v>-1.22762395094835</v>
      </c>
      <c r="AJ49" s="13" t="n">
        <f aca="false">AJ36+AJ37+AJ38+AJ39+AJ40+AJ41+AJ42+AJ43+AJ44+AJ45+AJ46+AJ47+AJ48</f>
        <v>-2.15032442981721</v>
      </c>
      <c r="AK49" s="13" t="n">
        <f aca="false">AK36+AK37+AK38+AK39+AK40+AK41+AK42+AK43+AK44+AK45+AK46+AK47+AK48</f>
        <v>-2.25254420313225</v>
      </c>
      <c r="AL49" s="13" t="n">
        <f aca="false">AL36+AL37+AL38+AL39+AL40+AL41+AL42+AL43+AL44+AL45+AL46+AL47+AL48</f>
        <v>-3.11731571161378</v>
      </c>
      <c r="AM49" s="13" t="n">
        <f aca="false">AM36+AM37+AM38+AM39+AM40+AM41+AM42+AM43+AM44+AM45+AM46+AM47+AM48</f>
        <v>-4.43727459841388</v>
      </c>
      <c r="AN49" s="13" t="n">
        <f aca="false">AN36+AN37+AN38+AN39+AN40+AN41+AN42+AN43+AN44+AN45+AN46+AN47+AN48</f>
        <v>2.12177957823089</v>
      </c>
      <c r="AO49" s="13" t="n">
        <f aca="false">AO36+AO37+AO38+AO39+AO40+AO41+AO42+AO43+AO44+AO45+AO46+AO47+AO48</f>
        <v>-16.5580186621212</v>
      </c>
      <c r="AP49" s="13" t="n">
        <f aca="false">AP36+AP37+AP38+AP39+AP40+AP41+AP42+AP43+AP44+AP45+AP46+AP47+AP48</f>
        <v>2.34788908548694</v>
      </c>
      <c r="AQ49" s="13" t="n">
        <f aca="false">AQ36+AQ37+AQ38+AQ39+AQ40+AQ41+AQ42+AQ43+AQ44+AQ45+AQ46+AQ47+AQ48</f>
        <v>2.34788908548694</v>
      </c>
      <c r="AR49" s="13" t="n">
        <f aca="false">AR36+AR37+AR38+AR39+AR40+AR41+AR42+AR43+AR44+AR45+AR46+AR47+AR48</f>
        <v>2.34788908548694</v>
      </c>
      <c r="AS49" s="13" t="n">
        <f aca="false">AS36+AS37+AS38+AS39+AS40+AS41+AS42+AS43+AS44+AS45+AS46+AS47+AS48</f>
        <v>2.34788908548694</v>
      </c>
      <c r="AT49" s="13" t="n">
        <f aca="false">AT36+AT37+AT38+AT39+AT40+AT41+AT42+AT43+AT44+AT45+AT46+AT47+AT48</f>
        <v>-14.0873345129217</v>
      </c>
      <c r="AU49" s="13" t="n">
        <f aca="false">AU36+AU37+AU38+AU39+AU40+AU41+AU42+AU43+AU44+AU45+AU46+AU47+AU48</f>
        <v>0</v>
      </c>
      <c r="AV49" s="13" t="n">
        <f aca="false">AV36+AV37+AV38+AV39+AV40+AV41+AV42+AV43+AV44+AV45+AV46+AV47+AV48</f>
        <v>0.589641000923391</v>
      </c>
      <c r="AW49" s="13" t="n">
        <f aca="false">AW36+AW37+AW38+AW39+AW40+AW41+AW42+AW43+AW44+AW45+AW46+AW47+AW48</f>
        <v>0.589641000923391</v>
      </c>
      <c r="AX49" s="13" t="n">
        <f aca="false">AX36+AX37+AX38+AX39+AX40+AX41+AX42+AX43+AX44+AX45+AX46+AX47+AX48</f>
        <v>0.589641000923391</v>
      </c>
      <c r="AY49" s="13" t="n">
        <f aca="false">AY36+AY37+AY38+AY39+AY40+AY41+AY42+AY43+AY44+AY45+AY46+AY47+AY48</f>
        <v>0.589641000923391</v>
      </c>
      <c r="AZ49" s="13" t="n">
        <f aca="false">AZ36+AZ37+AZ38+AZ39+AZ40+AZ41+AZ42+AZ43+AZ44+AZ45+AZ46+AZ47+AZ48</f>
        <v>0.589641000923391</v>
      </c>
      <c r="BA49" s="13" t="n">
        <f aca="false">BA36+BA37+BA38+BA39+BA40+BA41+BA42+BA43+BA44+BA45+BA46+BA47+BA48</f>
        <v>1.08460938753208</v>
      </c>
      <c r="BB49" s="13" t="n">
        <f aca="false">BB36+BB37+BB38+BB39+BB40+BB41+BB42+BB43+BB44+BB45+BB46+BB47+BB48</f>
        <v>-2.03669575089593</v>
      </c>
      <c r="BC49" s="13" t="n">
        <f aca="false">BC36+BC37+BC38+BC39+BC40+BC41+BC42+BC43+BC44+BC45+BC46+BC47+BC48</f>
        <v>1.51757307334223</v>
      </c>
      <c r="BD49" s="13" t="n">
        <f aca="false">BD36+BD37+BD38+BD39+BD40+BD41+BD42+BD43+BD44+BD45+BD46+BD47+BD48</f>
        <v>4.32855092135958</v>
      </c>
      <c r="BE49" s="13" t="n">
        <f aca="false">BE36+BE37+BE38+BE39+BE40+BE41+BE42+BE43+BE44+BE45+BE46+BE47+BE48</f>
        <v>4.34533504206875</v>
      </c>
      <c r="BF49" s="13" t="n">
        <f aca="false">BF36+BF37+BF38+BF39+BF40+BF41+BF42+BF43+BF44+BF45+BF46+BF47+BF48</f>
        <v>4.362302783685</v>
      </c>
      <c r="BG49" s="13" t="n">
        <f aca="false">BG36+BG37+BG38+BG39+BG40+BG41+BG42+BG43+BG44+BG45+BG46+BG47+BG48</f>
        <v>4.37945615504978</v>
      </c>
      <c r="BH49" s="13" t="n">
        <f aca="false">BH36+BH37+BH38+BH39+BH40+BH41+BH42+BH43+BH44+BH45+BH46+BH47+BH48</f>
        <v>4.39679718698159</v>
      </c>
      <c r="BI49" s="13" t="n">
        <f aca="false">BI36+BI37+BI38+BI39+BI40+BI41+BI42+BI43+BI44+BI45+BI46+BI47+BI48</f>
        <v>4.41432793251639</v>
      </c>
      <c r="BJ49" s="13" t="n">
        <f aca="false">BJ36+BJ37+BJ38+BJ39+BJ40+BJ41+BJ42+BJ43+BJ44+BJ45+BJ46+BJ47+BJ48</f>
        <v>-15.1285770606402</v>
      </c>
      <c r="BK49" s="13" t="n">
        <f aca="false">BK36+BK37+BK38+BK39+BK40+BK41+BK42+BK43+BK44+BK45+BK46+BK47+BK48</f>
        <v>1.65559152797427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-17.941180161961</v>
      </c>
      <c r="BN49" s="13" t="n">
        <f aca="false">BN36+BN37+BN38+BN39+BN40+BN41+BN42+BN43+BN44+BN45+BN46+BN47+BN48</f>
        <v>0</v>
      </c>
    </row>
    <row r="50" customFormat="false" ht="15" hidden="false" customHeight="false" outlineLevel="0" collapsed="false">
      <c r="D50" s="0" t="s">
        <v>1932</v>
      </c>
      <c r="E50" s="0" t="s">
        <v>151</v>
      </c>
      <c r="G50" s="13" t="n">
        <f aca="false">SUM(J50:BN50)</f>
        <v>-37.2458954370954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1.11555209514336E-012</v>
      </c>
      <c r="P50" s="13" t="n">
        <f aca="false">Reserves!P11-Reserves!P10-Reserves!P12</f>
        <v>-0.088878981950721</v>
      </c>
      <c r="Q50" s="13" t="n">
        <f aca="false">Reserves!Q11-Reserves!Q10-Reserves!Q12</f>
        <v>0.467768632532213</v>
      </c>
      <c r="R50" s="13" t="n">
        <f aca="false">Reserves!R11-Reserves!R10-Reserves!R12</f>
        <v>-0.291472595121029</v>
      </c>
      <c r="S50" s="13" t="n">
        <f aca="false">Reserves!S11-Reserves!S10-Reserves!S12</f>
        <v>0.417905289190834</v>
      </c>
      <c r="T50" s="13" t="n">
        <f aca="false">Reserves!T11-Reserves!T10-Reserves!T12</f>
        <v>-0.180525026895069</v>
      </c>
      <c r="U50" s="13" t="n">
        <f aca="false">Reserves!U11-Reserves!U10-Reserves!U12</f>
        <v>0.717227480305631</v>
      </c>
      <c r="V50" s="13" t="n">
        <f aca="false">Reserves!V11-Reserves!V10-Reserves!V12</f>
        <v>-0.264692809288562</v>
      </c>
      <c r="W50" s="13" t="n">
        <f aca="false">Reserves!W11-Reserves!W10-Reserves!W12</f>
        <v>-1.0964323512804</v>
      </c>
      <c r="X50" s="13" t="n">
        <f aca="false">Reserves!X11-Reserves!X10-Reserves!X12</f>
        <v>-0.356403030044227</v>
      </c>
      <c r="Y50" s="13" t="n">
        <f aca="false">Reserves!Y11-Reserves!Y10-Reserves!Y12</f>
        <v>0.300971063968952</v>
      </c>
      <c r="Z50" s="13" t="n">
        <f aca="false">Reserves!Z11-Reserves!Z10-Reserves!Z12</f>
        <v>-0.297075753659662</v>
      </c>
      <c r="AA50" s="13" t="n">
        <f aca="false">Reserves!AA11-Reserves!AA10-Reserves!AA12</f>
        <v>0.430461277121729</v>
      </c>
      <c r="AB50" s="13" t="n">
        <f aca="false">Reserves!AB11-Reserves!AB10-Reserves!AB12</f>
        <v>-0.790922388972824</v>
      </c>
      <c r="AC50" s="13" t="n">
        <f aca="false">Reserves!AC11-Reserves!AC10-Reserves!AC12</f>
        <v>0.587842913684909</v>
      </c>
      <c r="AD50" s="13" t="n">
        <f aca="false">Reserves!AD11-Reserves!AD10-Reserves!AD12</f>
        <v>-0.73835650685858</v>
      </c>
      <c r="AE50" s="13" t="n">
        <f aca="false">Reserves!AE11-Reserves!AE10-Reserves!AE12</f>
        <v>-0.920063172242827</v>
      </c>
      <c r="AF50" s="13" t="n">
        <f aca="false">Reserves!AF11-Reserves!AF10-Reserves!AF12</f>
        <v>-1.46212286960431</v>
      </c>
      <c r="AG50" s="13" t="n">
        <f aca="false">Reserves!AG11-Reserves!AG10-Reserves!AG12</f>
        <v>-0.99553316347383</v>
      </c>
      <c r="AH50" s="13" t="n">
        <f aca="false">Reserves!AH11-Reserves!AH10-Reserves!AH12</f>
        <v>-1.85477716046679</v>
      </c>
      <c r="AI50" s="13" t="n">
        <f aca="false">Reserves!AI11-Reserves!AI10-Reserves!AI12</f>
        <v>-1.72305190586427</v>
      </c>
      <c r="AJ50" s="13" t="n">
        <f aca="false">Reserves!AJ11-Reserves!AJ10-Reserves!AJ12</f>
        <v>-2.64575238473312</v>
      </c>
      <c r="AK50" s="13" t="n">
        <f aca="false">Reserves!AK11-Reserves!AK10-Reserves!AK12</f>
        <v>-2.74797215804816</v>
      </c>
      <c r="AL50" s="13" t="n">
        <f aca="false">Reserves!AL11-Reserves!AL10-Reserves!AL12</f>
        <v>-0.144747982118304</v>
      </c>
      <c r="AM50" s="13" t="n">
        <f aca="false">Reserves!AM11-Reserves!AM10-Reserves!AM12</f>
        <v>-4.43727459841388</v>
      </c>
      <c r="AN50" s="13" t="n">
        <f aca="false">Reserves!AN11-Reserves!AN10-Reserves!AN12</f>
        <v>-0.226109507256052</v>
      </c>
      <c r="AO50" s="13" t="n">
        <f aca="false">Reserves!AO11-Reserves!AO10-Reserves!AO12</f>
        <v>-18.9059077476081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1933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39.1219304554322</v>
      </c>
      <c r="P51" s="13" t="n">
        <f aca="false">P17-O17</f>
        <v>-1.54864569783161</v>
      </c>
      <c r="Q51" s="13" t="n">
        <f aca="false">Q17-P17</f>
        <v>0.884036934987073</v>
      </c>
      <c r="R51" s="13" t="n">
        <f aca="false">R17-Q17</f>
        <v>0.124795707333831</v>
      </c>
      <c r="S51" s="13" t="n">
        <f aca="false">S17-R17</f>
        <v>0.834173591645694</v>
      </c>
      <c r="T51" s="13" t="n">
        <f aca="false">T17-S17</f>
        <v>0.235743275559791</v>
      </c>
      <c r="U51" s="13" t="n">
        <f aca="false">U17-T17</f>
        <v>1.13349578276049</v>
      </c>
      <c r="V51" s="13" t="n">
        <f aca="false">V17-U17</f>
        <v>-2.76230262401772</v>
      </c>
      <c r="W51" s="13" t="n">
        <f aca="false">W17-V17</f>
        <v>-1.0964323512804</v>
      </c>
      <c r="X51" s="13" t="n">
        <f aca="false">X17-W17</f>
        <v>1.61633951358923</v>
      </c>
      <c r="Y51" s="13" t="n">
        <f aca="false">Y17-X17</f>
        <v>2.27371360760242</v>
      </c>
      <c r="Z51" s="13" t="n">
        <f aca="false">Z17-Y17</f>
        <v>1.6756667899738</v>
      </c>
      <c r="AA51" s="13" t="n">
        <f aca="false">AA17-Z17</f>
        <v>2.40320382075519</v>
      </c>
      <c r="AB51" s="13" t="n">
        <f aca="false">AB17-AA17</f>
        <v>1.18182015466063</v>
      </c>
      <c r="AC51" s="13" t="n">
        <f aca="false">AC17-AB17</f>
        <v>2.56058545731838</v>
      </c>
      <c r="AD51" s="13" t="n">
        <f aca="false">AD17-AC17</f>
        <v>-12.5748117686593</v>
      </c>
      <c r="AE51" s="13" t="n">
        <f aca="false">AE17-AD17</f>
        <v>-0.920063172242827</v>
      </c>
      <c r="AF51" s="13" t="n">
        <f aca="false">AF17-AE17</f>
        <v>-0.966694914688397</v>
      </c>
      <c r="AG51" s="13" t="n">
        <f aca="false">AG17-AF17</f>
        <v>-0.500105208557912</v>
      </c>
      <c r="AH51" s="13" t="n">
        <f aca="false">AH17-AG17</f>
        <v>-1.35934920555088</v>
      </c>
      <c r="AI51" s="13" t="n">
        <f aca="false">AI17-AH17</f>
        <v>-1.22762395094835</v>
      </c>
      <c r="AJ51" s="13" t="n">
        <f aca="false">AJ17-AI17</f>
        <v>-2.15032442981721</v>
      </c>
      <c r="AK51" s="13" t="n">
        <f aca="false">AK17-AJ17</f>
        <v>-2.25254420313225</v>
      </c>
      <c r="AL51" s="13" t="n">
        <f aca="false">AL17-AK17</f>
        <v>-3.11731571161378</v>
      </c>
      <c r="AM51" s="13" t="n">
        <f aca="false">AM17-AL17</f>
        <v>-4.43727459841388</v>
      </c>
      <c r="AN51" s="13" t="n">
        <f aca="false">AN17-AM17</f>
        <v>2.12177957823089</v>
      </c>
      <c r="AO51" s="13" t="n">
        <f aca="false">AO17-AN17</f>
        <v>-16.5580186621212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1934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4.66293670342566E-015</v>
      </c>
      <c r="AH52" s="13" t="n">
        <f aca="false">AH51-AH49</f>
        <v>0</v>
      </c>
      <c r="AI52" s="13" t="n">
        <f aca="false">AI51-AI49</f>
        <v>0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1936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0.034356060545191</v>
      </c>
      <c r="Q7" s="16" t="n">
        <f aca="false">IF(Debt!Q115&gt;Inputs!$F$253,Debt!Q112/Debt!Q115,0)</f>
        <v>0.0340124598263425</v>
      </c>
      <c r="R7" s="16" t="n">
        <f aca="false">IF(Debt!R115&gt;Inputs!$F$253,Debt!R112/Debt!R115,0)</f>
        <v>0.0343808210390788</v>
      </c>
      <c r="S7" s="16" t="n">
        <f aca="false">IF(Debt!S115&gt;Inputs!$F$253,Debt!S112/Debt!S115,0)</f>
        <v>0.0340246382214341</v>
      </c>
      <c r="T7" s="16" t="n">
        <f aca="false">IF(Debt!T115&gt;Inputs!$F$253,Debt!T112/Debt!T115,0)</f>
        <v>0.0343932012860227</v>
      </c>
      <c r="U7" s="16" t="n">
        <f aca="false">IF(Debt!U115&gt;Inputs!$F$253,Debt!U112/Debt!U115,0)</f>
        <v>0.034147492576297</v>
      </c>
      <c r="V7" s="16" t="n">
        <f aca="false">IF(Debt!V115&gt;Inputs!$F$253,Debt!V112/Debt!V115,0)</f>
        <v>0.0343932012860227</v>
      </c>
      <c r="W7" s="16" t="n">
        <f aca="false">IF(Debt!W115&gt;Inputs!$F$253,Debt!W112/Debt!W115,0)</f>
        <v>0.0340246382214341</v>
      </c>
      <c r="X7" s="16" t="n">
        <f aca="false">IF(Debt!X115&gt;Inputs!$F$253,Debt!X112/Debt!X115,0)</f>
        <v>0.0343932012860227</v>
      </c>
      <c r="Y7" s="16" t="n">
        <f aca="false">IF(Debt!Y115&gt;Inputs!$F$253,Debt!Y112/Debt!Y115,0)</f>
        <v>0.0350860579745206</v>
      </c>
      <c r="Z7" s="16" t="n">
        <f aca="false">IF(Debt!Z115&gt;Inputs!$F$253,Debt!Z112/Debt!Z115,0)</f>
        <v>0.0354722136317017</v>
      </c>
      <c r="AA7" s="16" t="n">
        <f aca="false">IF(Debt!AA115&gt;Inputs!$F$253,Debt!AA112/Debt!AA115,0)</f>
        <v>0.0350860579745206</v>
      </c>
      <c r="AB7" s="16" t="n">
        <f aca="false">IF(Debt!AB115&gt;Inputs!$F$253,Debt!AB112/Debt!AB115,0)</f>
        <v>0.0352620981519436</v>
      </c>
      <c r="AC7" s="16" t="n">
        <f aca="false">IF(Debt!AC115&gt;Inputs!$F$253,Debt!AC112/Debt!AC115,0)</f>
        <v>0.0347465753474697</v>
      </c>
      <c r="AD7" s="16" t="n">
        <f aca="false">IF(Debt!AD115&gt;Inputs!$F$253,Debt!AD112/Debt!AD115,0)</f>
        <v>0.0347113427309957</v>
      </c>
      <c r="AE7" s="16" t="n">
        <f aca="false">IF(Debt!AE115&gt;Inputs!$F$253,Debt!AE112/Debt!AE115,0)</f>
        <v>0.0339789380365805</v>
      </c>
      <c r="AF7" s="16" t="n">
        <f aca="false">IF(Debt!AF115&gt;Inputs!$F$253,Debt!AF112/Debt!AF115,0)</f>
        <v>0.0338592679009294</v>
      </c>
      <c r="AG7" s="16" t="n">
        <f aca="false">IF(Debt!AG115&gt;Inputs!$F$253,Debt!AG112/Debt!AG115,0)</f>
        <v>0.0337073096573352</v>
      </c>
      <c r="AH7" s="16" t="n">
        <f aca="false">IF(Debt!AH115&gt;Inputs!$F$253,Debt!AH112/Debt!AH115,0)</f>
        <v>0.0331642173791634</v>
      </c>
      <c r="AI7" s="16" t="n">
        <f aca="false">IF(Debt!AI115&gt;Inputs!$F$253,Debt!AI112/Debt!AI115,0)</f>
        <v>0.0316363912561091</v>
      </c>
      <c r="AJ7" s="16" t="n">
        <f aca="false">IF(Debt!AJ115&gt;Inputs!$F$253,Debt!AJ112/Debt!AJ115,0)</f>
        <v>0.0300835737871798</v>
      </c>
      <c r="AK7" s="16" t="n">
        <f aca="false">IF(Debt!AK115&gt;Inputs!$F$253,Debt!AK112/Debt!AK115,0)</f>
        <v>0.0270561290332525</v>
      </c>
      <c r="AL7" s="16" t="n">
        <f aca="false">IF(Debt!AL115&gt;Inputs!$F$253,Debt!AL112/Debt!AL115,0)</f>
        <v>0.0271445161301926</v>
      </c>
      <c r="AM7" s="16" t="n">
        <f aca="false">IF(Debt!AM115&gt;Inputs!$F$253,Debt!AM112/Debt!AM115,0)</f>
        <v>0.0270119354847825</v>
      </c>
      <c r="AN7" s="16" t="n">
        <f aca="false">IF(Debt!AN115&gt;Inputs!$F$253,Debt!AN112/Debt!AN115,0)</f>
        <v>0.0271445161301926</v>
      </c>
      <c r="AO7" s="16" t="n">
        <f aca="false">IF(Debt!AO115&gt;Inputs!$F$253,Debt!AO112/Debt!AO115,0)</f>
        <v>0.0270119354847825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1937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1938</v>
      </c>
      <c r="E9" s="0" t="s">
        <v>101</v>
      </c>
      <c r="F9" s="16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1939</v>
      </c>
      <c r="E10" s="0" t="s">
        <v>101</v>
      </c>
      <c r="J10" s="16" t="n">
        <f aca="false">IF(J7&gt;0,J7,$F$9)</f>
        <v>0.0270119354847825</v>
      </c>
      <c r="K10" s="16" t="n">
        <f aca="false">IF(K7&gt;0,K7,$F$9)</f>
        <v>0.0270119354847825</v>
      </c>
      <c r="L10" s="16" t="n">
        <f aca="false">IF(L7&gt;0,L7,$F$9)</f>
        <v>0.0270119354847825</v>
      </c>
      <c r="M10" s="16" t="n">
        <f aca="false">IF(M7&gt;0,M7,$F$9)</f>
        <v>0.0270119354847825</v>
      </c>
      <c r="N10" s="16" t="n">
        <f aca="false">IF(N7&gt;0,N7,$F$9)</f>
        <v>0.0270119354847825</v>
      </c>
      <c r="O10" s="16" t="n">
        <f aca="false">IF(O7&gt;0,O7,$F$9)</f>
        <v>0.0270119354847825</v>
      </c>
      <c r="P10" s="16" t="n">
        <f aca="false">IF(P7&gt;0,P7,$F$9)</f>
        <v>0.034356060545191</v>
      </c>
      <c r="Q10" s="16" t="n">
        <f aca="false">IF(Q7&gt;0,Q7,$F$9)</f>
        <v>0.0340124598263425</v>
      </c>
      <c r="R10" s="16" t="n">
        <f aca="false">IF(R7&gt;0,R7,$F$9)</f>
        <v>0.0343808210390788</v>
      </c>
      <c r="S10" s="16" t="n">
        <f aca="false">IF(S7&gt;0,S7,$F$9)</f>
        <v>0.0340246382214341</v>
      </c>
      <c r="T10" s="16" t="n">
        <f aca="false">IF(T7&gt;0,T7,$F$9)</f>
        <v>0.0343932012860227</v>
      </c>
      <c r="U10" s="16" t="n">
        <f aca="false">IF(U7&gt;0,U7,$F$9)</f>
        <v>0.034147492576297</v>
      </c>
      <c r="V10" s="16" t="n">
        <f aca="false">IF(V7&gt;0,V7,$F$9)</f>
        <v>0.0343932012860227</v>
      </c>
      <c r="W10" s="16" t="n">
        <f aca="false">IF(W7&gt;0,W7,$F$9)</f>
        <v>0.0340246382214341</v>
      </c>
      <c r="X10" s="16" t="n">
        <f aca="false">IF(X7&gt;0,X7,$F$9)</f>
        <v>0.0343932012860227</v>
      </c>
      <c r="Y10" s="16" t="n">
        <f aca="false">IF(Y7&gt;0,Y7,$F$9)</f>
        <v>0.0350860579745206</v>
      </c>
      <c r="Z10" s="16" t="n">
        <f aca="false">IF(Z7&gt;0,Z7,$F$9)</f>
        <v>0.0354722136317017</v>
      </c>
      <c r="AA10" s="16" t="n">
        <f aca="false">IF(AA7&gt;0,AA7,$F$9)</f>
        <v>0.0350860579745206</v>
      </c>
      <c r="AB10" s="16" t="n">
        <f aca="false">IF(AB7&gt;0,AB7,$F$9)</f>
        <v>0.0352620981519436</v>
      </c>
      <c r="AC10" s="16" t="n">
        <f aca="false">IF(AC7&gt;0,AC7,$F$9)</f>
        <v>0.0347465753474697</v>
      </c>
      <c r="AD10" s="16" t="n">
        <f aca="false">IF(AD7&gt;0,AD7,$F$9)</f>
        <v>0.0347113427309957</v>
      </c>
      <c r="AE10" s="16" t="n">
        <f aca="false">IF(AE7&gt;0,AE7,$F$9)</f>
        <v>0.0339789380365805</v>
      </c>
      <c r="AF10" s="16" t="n">
        <f aca="false">IF(AF7&gt;0,AF7,$F$9)</f>
        <v>0.0338592679009294</v>
      </c>
      <c r="AG10" s="16" t="n">
        <f aca="false">IF(AG7&gt;0,AG7,$F$9)</f>
        <v>0.0337073096573352</v>
      </c>
      <c r="AH10" s="16" t="n">
        <f aca="false">IF(AH7&gt;0,AH7,$F$9)</f>
        <v>0.0331642173791634</v>
      </c>
      <c r="AI10" s="16" t="n">
        <f aca="false">IF(AI7&gt;0,AI7,$F$9)</f>
        <v>0.0316363912561091</v>
      </c>
      <c r="AJ10" s="16" t="n">
        <f aca="false">IF(AJ7&gt;0,AJ7,$F$9)</f>
        <v>0.0300835737871798</v>
      </c>
      <c r="AK10" s="16" t="n">
        <f aca="false">IF(AK7&gt;0,AK7,$F$9)</f>
        <v>0.0270561290332525</v>
      </c>
      <c r="AL10" s="16" t="n">
        <f aca="false">IF(AL7&gt;0,AL7,$F$9)</f>
        <v>0.0271445161301926</v>
      </c>
      <c r="AM10" s="16" t="n">
        <f aca="false">IF(AM7&gt;0,AM7,$F$9)</f>
        <v>0.0270119354847825</v>
      </c>
      <c r="AN10" s="16" t="n">
        <f aca="false">IF(AN7&gt;0,AN7,$F$9)</f>
        <v>0.0271445161301926</v>
      </c>
      <c r="AO10" s="16" t="n">
        <f aca="false">IF(AO7&gt;0,AO7,$F$9)</f>
        <v>0.0270119354847825</v>
      </c>
      <c r="AP10" s="16" t="n">
        <f aca="false">IF(AP7&gt;0,AP7,$F$9)</f>
        <v>0.0270119354847825</v>
      </c>
      <c r="AQ10" s="16" t="n">
        <f aca="false">IF(AQ7&gt;0,AQ7,$F$9)</f>
        <v>0.0270119354847825</v>
      </c>
      <c r="AR10" s="16" t="n">
        <f aca="false">IF(AR7&gt;0,AR7,$F$9)</f>
        <v>0.0270119354847825</v>
      </c>
      <c r="AS10" s="16" t="n">
        <f aca="false">IF(AS7&gt;0,AS7,$F$9)</f>
        <v>0.0270119354847825</v>
      </c>
      <c r="AT10" s="16" t="n">
        <f aca="false">IF(AT7&gt;0,AT7,$F$9)</f>
        <v>0.0270119354847825</v>
      </c>
      <c r="AU10" s="16" t="n">
        <f aca="false">IF(AU7&gt;0,AU7,$F$9)</f>
        <v>0.0270119354847825</v>
      </c>
      <c r="AV10" s="16" t="n">
        <f aca="false">IF(AV7&gt;0,AV7,$F$9)</f>
        <v>0.0270119354847825</v>
      </c>
      <c r="AW10" s="16" t="n">
        <f aca="false">IF(AW7&gt;0,AW7,$F$9)</f>
        <v>0.0270119354847825</v>
      </c>
      <c r="AX10" s="16" t="n">
        <f aca="false">IF(AX7&gt;0,AX7,$F$9)</f>
        <v>0.0270119354847825</v>
      </c>
      <c r="AY10" s="16" t="n">
        <f aca="false">IF(AY7&gt;0,AY7,$F$9)</f>
        <v>0.0270119354847825</v>
      </c>
      <c r="AZ10" s="16" t="n">
        <f aca="false">IF(AZ7&gt;0,AZ7,$F$9)</f>
        <v>0.0270119354847825</v>
      </c>
      <c r="BA10" s="16" t="n">
        <f aca="false">IF(BA7&gt;0,BA7,$F$9)</f>
        <v>0.0270119354847825</v>
      </c>
      <c r="BB10" s="16" t="n">
        <f aca="false">IF(BB7&gt;0,BB7,$F$9)</f>
        <v>0.0270119354847825</v>
      </c>
      <c r="BC10" s="16" t="n">
        <f aca="false">IF(BC7&gt;0,BC7,$F$9)</f>
        <v>0.0270119354847825</v>
      </c>
      <c r="BD10" s="16" t="n">
        <f aca="false">IF(BD7&gt;0,BD7,$F$9)</f>
        <v>0.0270119354847825</v>
      </c>
      <c r="BE10" s="16" t="n">
        <f aca="false">IF(BE7&gt;0,BE7,$F$9)</f>
        <v>0.0270119354847825</v>
      </c>
      <c r="BF10" s="16" t="n">
        <f aca="false">IF(BF7&gt;0,BF7,$F$9)</f>
        <v>0.0270119354847825</v>
      </c>
      <c r="BG10" s="16" t="n">
        <f aca="false">IF(BG7&gt;0,BG7,$F$9)</f>
        <v>0.0270119354847825</v>
      </c>
      <c r="BH10" s="16" t="n">
        <f aca="false">IF(BH7&gt;0,BH7,$F$9)</f>
        <v>0.0270119354847825</v>
      </c>
      <c r="BI10" s="16" t="n">
        <f aca="false">IF(BI7&gt;0,BI7,$F$9)</f>
        <v>0.0270119354847825</v>
      </c>
      <c r="BJ10" s="16" t="n">
        <f aca="false">IF(BJ7&gt;0,BJ7,$F$9)</f>
        <v>0.0270119354847825</v>
      </c>
      <c r="BK10" s="16" t="n">
        <f aca="false">IF(BK7&gt;0,BK7,$F$9)</f>
        <v>0.0270119354847825</v>
      </c>
      <c r="BL10" s="16" t="n">
        <f aca="false">IF(BL7&gt;0,BL7,$F$9)</f>
        <v>0.0270119354847825</v>
      </c>
      <c r="BM10" s="16" t="n">
        <f aca="false">IF(BM7&gt;0,BM7,$F$9)</f>
        <v>0.0270119354847825</v>
      </c>
      <c r="BN10" s="16" t="n">
        <f aca="false">IF(BN7&gt;0,BN7,$F$9)</f>
        <v>0.0270119354847825</v>
      </c>
    </row>
    <row r="11" customFormat="false" ht="15" hidden="false" customHeight="false" outlineLevel="0" collapsed="false">
      <c r="D11" s="0" t="s">
        <v>1940</v>
      </c>
      <c r="E11" s="0" t="s">
        <v>151</v>
      </c>
      <c r="J11" s="13" t="n">
        <f aca="false">IF(Time!J20&lt;=$F$8,(Waterfall!J7+K11)/(1+J10),0)</f>
        <v>735.914569769445</v>
      </c>
      <c r="K11" s="13" t="n">
        <f aca="false">IF(Time!K20&lt;=$F$8,(Waterfall!K7+L11)/(1+K10),0)</f>
        <v>755.793046650368</v>
      </c>
      <c r="L11" s="13" t="n">
        <f aca="false">IF(Time!L20&lt;=$F$8,(Waterfall!L7+M11)/(1+L10),0)</f>
        <v>776.208479666335</v>
      </c>
      <c r="M11" s="13" t="n">
        <f aca="false">IF(Time!M20&lt;=$F$8,(Waterfall!M7+N11)/(1+M10),0)</f>
        <v>797.175373041823</v>
      </c>
      <c r="N11" s="13" t="n">
        <f aca="false">IF(Time!N20&lt;=$F$8,(Waterfall!N7+O11)/(1+N10),0)</f>
        <v>818.708622788486</v>
      </c>
      <c r="O11" s="13" t="n">
        <f aca="false">IF(Time!O20&lt;=$F$8,(Waterfall!O7+P11)/(1+O10),0)</f>
        <v>840.823527288084</v>
      </c>
      <c r="P11" s="13" t="n">
        <f aca="false">IF(Time!P20&lt;=$F$8,(Waterfall!P7+Q11)/(1+P10),0)</f>
        <v>861.65976314294</v>
      </c>
      <c r="Q11" s="13" t="n">
        <f aca="false">IF(Time!Q20&lt;=$F$8,(Waterfall!Q7+R11)/(1+Q10),0)</f>
        <v>840.938829145968</v>
      </c>
      <c r="R11" s="13" t="n">
        <f aca="false">IF(Time!R20&lt;=$F$8,(Waterfall!R7+S11)/(1+R10),0)</f>
        <v>819.338899934325</v>
      </c>
      <c r="S11" s="13" t="n">
        <f aca="false">IF(Time!S20&lt;=$F$8,(Waterfall!S7+T11)/(1+S10),0)</f>
        <v>796.67667425978</v>
      </c>
      <c r="T11" s="13" t="n">
        <f aca="false">IF(Time!T20&lt;=$F$8,(Waterfall!T7+U11)/(1+T10),0)</f>
        <v>773.347120431972</v>
      </c>
      <c r="U11" s="13" t="n">
        <f aca="false">IF(Time!U20&lt;=$F$8,(Waterfall!U7+V11)/(1+U10),0)</f>
        <v>748.946363860346</v>
      </c>
      <c r="V11" s="13" t="n">
        <f aca="false">IF(Time!V20&lt;=$F$8,(Waterfall!V7+W11)/(1+V10),0)</f>
        <v>723.768450847939</v>
      </c>
      <c r="W11" s="13" t="n">
        <f aca="false">IF(Time!W20&lt;=$F$8,(Waterfall!W7+X11)/(1+W10),0)</f>
        <v>696.943042259477</v>
      </c>
      <c r="X11" s="13" t="n">
        <f aca="false">IF(Time!X20&lt;=$F$8,(Waterfall!X7+Y11)/(1+X10),0)</f>
        <v>669.297588632185</v>
      </c>
      <c r="Y11" s="13" t="n">
        <f aca="false">IF(Time!Y20&lt;=$F$8,(Waterfall!Y7+Z11)/(1+Y10),0)</f>
        <v>642.439925910789</v>
      </c>
      <c r="Z11" s="13" t="n">
        <f aca="false">IF(Time!Z20&lt;=$F$8,(Waterfall!Z7+AA11)/(1+Z10),0)</f>
        <v>615.587051750393</v>
      </c>
      <c r="AA11" s="13" t="n">
        <f aca="false">IF(Time!AA20&lt;=$F$8,(Waterfall!AA7+AB11)/(1+AA10),0)</f>
        <v>587.625749350882</v>
      </c>
      <c r="AB11" s="13" t="n">
        <f aca="false">IF(Time!AB20&lt;=$F$8,(Waterfall!AB7+AC11)/(1+AB10),0)</f>
        <v>558.849125980106</v>
      </c>
      <c r="AC11" s="13" t="n">
        <f aca="false">IF(Time!AC20&lt;=$F$8,(Waterfall!AC7+AD11)/(1+AC10),0)</f>
        <v>528.582316142445</v>
      </c>
      <c r="AD11" s="13" t="n">
        <f aca="false">IF(Time!AD20&lt;=$F$8,(Waterfall!AD7+AE11)/(1+AD10),0)</f>
        <v>497.1833308747</v>
      </c>
      <c r="AE11" s="13" t="n">
        <f aca="false">IF(Time!AE20&lt;=$F$8,(Waterfall!AE7+AF11)/(1+AE10),0)</f>
        <v>462.767526145463</v>
      </c>
      <c r="AF11" s="13" t="n">
        <f aca="false">IF(Time!AF20&lt;=$F$8,(Waterfall!AF7+AG11)/(1+AF10),0)</f>
        <v>426.737304363757</v>
      </c>
      <c r="AG11" s="13" t="n">
        <f aca="false">IF(Time!AG20&lt;=$F$8,(Waterfall!AG7+AH11)/(1+AG10),0)</f>
        <v>389.273128477404</v>
      </c>
      <c r="AH11" s="13" t="n">
        <f aca="false">IF(Time!AH20&lt;=$F$8,(Waterfall!AH7+AI11)/(1+AH10),0)</f>
        <v>350.851283535106</v>
      </c>
      <c r="AI11" s="13" t="n">
        <f aca="false">IF(Time!AI20&lt;=$F$8,(Waterfall!AI7+AJ11)/(1+AI10),0)</f>
        <v>310.276981152342</v>
      </c>
      <c r="AJ11" s="13" t="n">
        <f aca="false">IF(Time!AJ20&lt;=$F$8,(Waterfall!AJ7+AK11)/(1+AJ10),0)</f>
        <v>268.293241250768</v>
      </c>
      <c r="AK11" s="13" t="n">
        <f aca="false">IF(Time!AK20&lt;=$F$8,(Waterfall!AK7+AL11)/(1+AK10),0)</f>
        <v>223.966091383848</v>
      </c>
      <c r="AL11" s="13" t="n">
        <f aca="false">IF(Time!AL20&lt;=$F$8,(Waterfall!AL7+AM11)/(1+AL10),0)</f>
        <v>177.86821318721</v>
      </c>
      <c r="AM11" s="13" t="n">
        <f aca="false">IF(Time!AM20&lt;=$F$8,(Waterfall!AM7+AN11)/(1+AM10),0)</f>
        <v>129.430419232944</v>
      </c>
      <c r="AN11" s="13" t="n">
        <f aca="false">IF(Time!AN20&lt;=$F$8,(Waterfall!AN7+AO11)/(1+AN10),0)</f>
        <v>80.612881852765</v>
      </c>
      <c r="AO11" s="13" t="n">
        <f aca="false">IF(Time!AO20&lt;=$F$8,(Waterfall!AO7+AP11)/(1+AO10),0)</f>
        <v>40.4162452440424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1941</v>
      </c>
      <c r="E12" s="0" t="s">
        <v>151</v>
      </c>
      <c r="J12" s="13" t="n">
        <f aca="false">IF(Time!J20&lt;=Time!$F$15,(Waterfall!J7+K12)/(1+J10),0)</f>
        <v>1005.1856316254</v>
      </c>
      <c r="K12" s="13" t="n">
        <f aca="false">IF(Time!K20&lt;=Time!$F$15,(Waterfall!K7+L12)/(1+K10),0)</f>
        <v>1032.33764105709</v>
      </c>
      <c r="L12" s="13" t="n">
        <f aca="false">IF(Time!L20&lt;=Time!$F$15,(Waterfall!L7+M12)/(1+L10),0)</f>
        <v>1060.22307881584</v>
      </c>
      <c r="M12" s="13" t="n">
        <f aca="false">IF(Time!M20&lt;=Time!$F$15,(Waterfall!M7+N12)/(1+M10),0)</f>
        <v>1088.86175622029</v>
      </c>
      <c r="N12" s="13" t="n">
        <f aca="false">IF(Time!N20&lt;=Time!$F$15,(Waterfall!N7+O12)/(1+N10),0)</f>
        <v>1118.27401973116</v>
      </c>
      <c r="O12" s="13" t="n">
        <f aca="false">IF(Time!O20&lt;=Time!$F$15,(Waterfall!O7+P12)/(1+O10),0)</f>
        <v>1148.48076540645</v>
      </c>
      <c r="P12" s="13" t="n">
        <f aca="false">IF(Time!P20&lt;=Time!$F$15,(Waterfall!P7+Q12)/(1+P10),0)</f>
        <v>1177.62741872878</v>
      </c>
      <c r="Q12" s="13" t="n">
        <f aca="false">IF(Time!Q20&lt;=Time!$F$15,(Waterfall!Q7+R12)/(1+Q10),0)</f>
        <v>1167.76188863744</v>
      </c>
      <c r="R12" s="13" t="n">
        <f aca="false">IF(Time!R20&lt;=Time!$F$15,(Waterfall!R7+S12)/(1+R10),0)</f>
        <v>1157.27801560707</v>
      </c>
      <c r="S12" s="13" t="n">
        <f aca="false">IF(Time!S20&lt;=Time!$F$15,(Waterfall!S7+T12)/(1+S10),0)</f>
        <v>1146.23441419058</v>
      </c>
      <c r="T12" s="13" t="n">
        <f aca="false">IF(Time!T20&lt;=Time!$F$15,(Waterfall!T7+U12)/(1+T10),0)</f>
        <v>1134.79843600142</v>
      </c>
      <c r="U12" s="13" t="n">
        <f aca="false">IF(Time!U20&lt;=Time!$F$15,(Waterfall!U7+V12)/(1+U10),0)</f>
        <v>1122.82914728127</v>
      </c>
      <c r="V12" s="13" t="n">
        <f aca="false">IF(Time!V20&lt;=Time!$F$15,(Waterfall!V7+W12)/(1+V10),0)</f>
        <v>1110.41839384013</v>
      </c>
      <c r="W12" s="13" t="n">
        <f aca="false">IF(Time!W20&lt;=Time!$F$15,(Waterfall!W7+X12)/(1+W10),0)</f>
        <v>1096.89111456823</v>
      </c>
      <c r="X12" s="13" t="n">
        <f aca="false">IF(Time!X20&lt;=Time!$F$15,(Waterfall!X7+Y12)/(1+X10),0)</f>
        <v>1082.85374940861</v>
      </c>
      <c r="Y12" s="13" t="n">
        <f aca="false">IF(Time!Y20&lt;=Time!$F$15,(Waterfall!Y7+Z12)/(1+Y10),0)</f>
        <v>1070.21960696787</v>
      </c>
      <c r="Z12" s="13" t="n">
        <f aca="false">IF(Time!Z20&lt;=Time!$F$15,(Waterfall!Z7+AA12)/(1+Z10),0)</f>
        <v>1058.37583549736</v>
      </c>
      <c r="AA12" s="13" t="n">
        <f aca="false">IF(Time!AA20&lt;=Time!$F$15,(Waterfall!AA7+AB12)/(1+AA10),0)</f>
        <v>1046.12123142865</v>
      </c>
      <c r="AB12" s="13" t="n">
        <f aca="false">IF(Time!AB20&lt;=Time!$F$15,(Waterfall!AB7+AC12)/(1+AB10),0)</f>
        <v>1033.43140712311</v>
      </c>
      <c r="AC12" s="13" t="n">
        <f aca="false">IF(Time!AC20&lt;=Time!$F$15,(Waterfall!AC7+AD12)/(1+AC10),0)</f>
        <v>1019.89936426428</v>
      </c>
      <c r="AD12" s="13" t="n">
        <f aca="false">IF(Time!AD20&lt;=Time!$F$15,(Waterfall!AD7+AE12)/(1+AD10),0)</f>
        <v>1005.5719638286</v>
      </c>
      <c r="AE12" s="13" t="n">
        <f aca="false">IF(Time!AE20&lt;=Time!$F$15,(Waterfall!AE7+AF12)/(1+AE10),0)</f>
        <v>988.803011178366</v>
      </c>
      <c r="AF12" s="13" t="n">
        <f aca="false">IF(Time!AF20&lt;=Time!$F$15,(Waterfall!AF7+AG12)/(1+AF10),0)</f>
        <v>970.646916547636</v>
      </c>
      <c r="AG12" s="13" t="n">
        <f aca="false">IF(Time!AG20&lt;=Time!$F$15,(Waterfall!AG7+AH12)/(1+AG10),0)</f>
        <v>951.599121934107</v>
      </c>
      <c r="AH12" s="13" t="n">
        <f aca="false">IF(Time!AH20&lt;=Time!$F$15,(Waterfall!AH7+AI12)/(1+AH10),0)</f>
        <v>932.131773381623</v>
      </c>
      <c r="AI12" s="13" t="n">
        <f aca="false">IF(Time!AI20&lt;=Time!$F$15,(Waterfall!AI7+AJ12)/(1+AI10),0)</f>
        <v>910.835183522396</v>
      </c>
      <c r="AJ12" s="13" t="n">
        <f aca="false">IF(Time!AJ20&lt;=Time!$F$15,(Waterfall!AJ7+AK12)/(1+AJ10),0)</f>
        <v>887.850937883066</v>
      </c>
      <c r="AK12" s="13" t="n">
        <f aca="false">IF(Time!AK20&lt;=Time!$F$15,(Waterfall!AK7+AL12)/(1+AK10),0)</f>
        <v>862.162297698199</v>
      </c>
      <c r="AL12" s="13" t="n">
        <f aca="false">IF(Time!AL20&lt;=Time!$F$15,(Waterfall!AL7+AM12)/(1+AL10),0)</f>
        <v>833.331538408134</v>
      </c>
      <c r="AM12" s="13" t="n">
        <f aca="false">IF(Time!AM20&lt;=Time!$F$15,(Waterfall!AM7+AN12)/(1+AM10),0)</f>
        <v>802.685979258077</v>
      </c>
      <c r="AN12" s="13" t="n">
        <f aca="false">IF(Time!AN20&lt;=Time!$F$15,(Waterfall!AN7+AO12)/(1+AN10),0)</f>
        <v>772.054377630068</v>
      </c>
      <c r="AO12" s="13" t="n">
        <f aca="false">IF(Time!AO20&lt;=Time!$F$15,(Waterfall!AO7+AP12)/(1+AO10),0)</f>
        <v>750.626585856557</v>
      </c>
      <c r="AP12" s="13" t="n">
        <f aca="false">IF(Time!AP20&lt;=Time!$F$15,(Waterfall!AP7+AQ12)/(1+AP10),0)</f>
        <v>729.394496513765</v>
      </c>
      <c r="AQ12" s="13" t="n">
        <f aca="false">IF(Time!AQ20&lt;=Time!$F$15,(Waterfall!AQ7+AR12)/(1+AQ10),0)</f>
        <v>707.490307213244</v>
      </c>
      <c r="AR12" s="13" t="n">
        <f aca="false">IF(Time!AR20&lt;=Time!$F$15,(Waterfall!AR7+AS12)/(1+AR10),0)</f>
        <v>685.443537928094</v>
      </c>
      <c r="AS12" s="13" t="n">
        <f aca="false">IF(Time!AS20&lt;=Time!$F$15,(Waterfall!AS7+AT12)/(1+AS10),0)</f>
        <v>662.20734977507</v>
      </c>
      <c r="AT12" s="13" t="n">
        <f aca="false">IF(Time!AT20&lt;=Time!$F$15,(Waterfall!AT7+AU12)/(1+AT10),0)</f>
        <v>638.610784150949</v>
      </c>
      <c r="AU12" s="13" t="n">
        <f aca="false">IF(Time!AU20&lt;=Time!$F$15,(Waterfall!AU7+AV12)/(1+AU10),0)</f>
        <v>607.645402370189</v>
      </c>
      <c r="AV12" s="13" t="n">
        <f aca="false">IF(Time!AV20&lt;=Time!$F$15,(Waterfall!AV7+AW12)/(1+AV10),0)</f>
        <v>580.282864125295</v>
      </c>
      <c r="AW12" s="13" t="n">
        <f aca="false">IF(Time!AW20&lt;=Time!$F$15,(Waterfall!AW7+AX12)/(1+AW10),0)</f>
        <v>552.061095428398</v>
      </c>
      <c r="AX12" s="13" t="n">
        <f aca="false">IF(Time!AX20&lt;=Time!$F$15,(Waterfall!AX7+AY12)/(1+AX10),0)</f>
        <v>523.503867367549</v>
      </c>
      <c r="AY12" s="13" t="n">
        <f aca="false">IF(Time!AY20&lt;=Time!$F$15,(Waterfall!AY7+AZ12)/(1+AY10),0)</f>
        <v>493.502975704638</v>
      </c>
      <c r="AZ12" s="13" t="n">
        <f aca="false">IF(Time!AZ20&lt;=Time!$F$15,(Waterfall!AZ7+BA12)/(1+AZ10),0)</f>
        <v>463.150842545231</v>
      </c>
      <c r="BA12" s="13" t="n">
        <f aca="false">IF(Time!BA20&lt;=Time!$F$15,(Waterfall!BA7+BB12)/(1+BA10),0)</f>
        <v>431.364012180469</v>
      </c>
      <c r="BB12" s="13" t="n">
        <f aca="false">IF(Time!BB20&lt;=Time!$F$15,(Waterfall!BB7+BC12)/(1+BB10),0)</f>
        <v>399.01833628439</v>
      </c>
      <c r="BC12" s="13" t="n">
        <f aca="false">IF(Time!BC20&lt;=Time!$F$15,(Waterfall!BC7+BD12)/(1+BC10),0)</f>
        <v>363.553768894877</v>
      </c>
      <c r="BD12" s="13" t="n">
        <f aca="false">IF(Time!BD20&lt;=Time!$F$15,(Waterfall!BD7+BE12)/(1+BD10),0)</f>
        <v>330.532649618568</v>
      </c>
      <c r="BE12" s="13" t="n">
        <f aca="false">IF(Time!BE20&lt;=Time!$F$15,(Waterfall!BE7+BF12)/(1+BE10),0)</f>
        <v>302.722717677379</v>
      </c>
      <c r="BF12" s="13" t="n">
        <f aca="false">IF(Time!BF20&lt;=Time!$F$15,(Waterfall!BF7+BG12)/(1+BF10),0)</f>
        <v>274.597209945789</v>
      </c>
      <c r="BG12" s="13" t="n">
        <f aca="false">IF(Time!BG20&lt;=Time!$F$15,(Waterfall!BG7+BH12)/(1+BG10),0)</f>
        <v>245.010665056959</v>
      </c>
      <c r="BH12" s="13" t="n">
        <f aca="false">IF(Time!BH20&lt;=Time!$F$15,(Waterfall!BH7+BI12)/(1+BH10),0)</f>
        <v>215.094954406387</v>
      </c>
      <c r="BI12" s="13" t="n">
        <f aca="false">IF(Time!BI20&lt;=Time!$F$15,(Waterfall!BI7+BJ12)/(1+BI10),0)</f>
        <v>183.733731025496</v>
      </c>
      <c r="BJ12" s="13" t="n">
        <f aca="false">IF(Time!BJ20&lt;=Time!$F$15,(Waterfall!BJ7+BK12)/(1+BJ10),0)</f>
        <v>151.788438399526</v>
      </c>
      <c r="BK12" s="13" t="n">
        <f aca="false">IF(Time!BK20&lt;=Time!$F$15,(Waterfall!BK7+BL12)/(1+BK10),0)</f>
        <v>110.957706397356</v>
      </c>
      <c r="BL12" s="13" t="n">
        <f aca="false">IF(Time!BL20&lt;=Time!$F$15,(Waterfall!BL7+BM12)/(1+BL10),0)</f>
        <v>74.2761933321352</v>
      </c>
      <c r="BM12" s="13" t="n">
        <f aca="false">IF(Time!BM20&lt;=Time!$F$15,(Waterfall!BM7+BN12)/(1+BM10),0)</f>
        <v>35.8614702309026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1942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1.41949810707991</v>
      </c>
      <c r="Q13" s="3" t="n">
        <f aca="false">IF(Debt!Q115&gt;Inputs!$F$253,(Q11+Reserves!Q9)/Debt!Q115,0)</f>
        <v>1.42140466613758</v>
      </c>
      <c r="R13" s="3" t="n">
        <f aca="false">IF(Debt!R115&gt;Inputs!$F$253,(R11+Reserves!R9)/Debt!R115,0)</f>
        <v>1.42442450144033</v>
      </c>
      <c r="S13" s="3" t="n">
        <f aca="false">IF(Debt!S115&gt;Inputs!$F$253,(S11+Reserves!S9)/Debt!S115,0)</f>
        <v>1.42643731444442</v>
      </c>
      <c r="T13" s="3" t="n">
        <f aca="false">IF(Debt!T115&gt;Inputs!$F$253,(T11+Reserves!T9)/Debt!T115,0)</f>
        <v>1.42990161722827</v>
      </c>
      <c r="U13" s="3" t="n">
        <f aca="false">IF(Debt!U115&gt;Inputs!$F$253,(U11+Reserves!U9)/Debt!U115,0)</f>
        <v>1.43263928754733</v>
      </c>
      <c r="V13" s="3" t="n">
        <f aca="false">IF(Debt!V115&gt;Inputs!$F$253,(V11+Reserves!V9)/Debt!V115,0)</f>
        <v>1.43736787733057</v>
      </c>
      <c r="W13" s="3" t="n">
        <f aca="false">IF(Debt!W115&gt;Inputs!$F$253,(W11+Reserves!W9)/Debt!W115,0)</f>
        <v>1.44076739576443</v>
      </c>
      <c r="X13" s="3" t="n">
        <f aca="false">IF(Debt!X115&gt;Inputs!$F$253,(X11+Reserves!X9)/Debt!X115,0)</f>
        <v>1.44287949849485</v>
      </c>
      <c r="Y13" s="3" t="n">
        <f aca="false">IF(Debt!Y115&gt;Inputs!$F$253,(Y11+Reserves!Y9)/Debt!Y115,0)</f>
        <v>1.44666662331894</v>
      </c>
      <c r="Z13" s="3" t="n">
        <f aca="false">IF(Debt!Z115&gt;Inputs!$F$253,(Z11+Reserves!Z9)/Debt!Z115,0)</f>
        <v>1.45229692434453</v>
      </c>
      <c r="AA13" s="3" t="n">
        <f aca="false">IF(Debt!AA115&gt;Inputs!$F$253,(AA11+Reserves!AA9)/Debt!AA115,0)</f>
        <v>1.4573063148352</v>
      </c>
      <c r="AB13" s="3" t="n">
        <f aca="false">IF(Debt!AB115&gt;Inputs!$F$253,(AB11+Reserves!AB9)/Debt!AB115,0)</f>
        <v>1.48746378894329</v>
      </c>
      <c r="AC13" s="3" t="n">
        <f aca="false">IF(Debt!AC115&gt;Inputs!$F$253,(AC11+Reserves!AC9)/Debt!AC115,0)</f>
        <v>1.52175154461422</v>
      </c>
      <c r="AD13" s="3" t="n">
        <f aca="false">IF(Debt!AD115&gt;Inputs!$F$253,(AD11+Reserves!AD9)/Debt!AD115,0)</f>
        <v>1.56253568222923</v>
      </c>
      <c r="AE13" s="3" t="n">
        <f aca="false">IF(Debt!AE115&gt;Inputs!$F$253,(AE11+Reserves!AE9)/Debt!AE115,0)</f>
        <v>1.6122036670952</v>
      </c>
      <c r="AF13" s="3" t="n">
        <f aca="false">IF(Debt!AF115&gt;Inputs!$F$253,(AF11+Reserves!AF9)/Debt!AF115,0)</f>
        <v>1.67301143160401</v>
      </c>
      <c r="AG13" s="3" t="n">
        <f aca="false">IF(Debt!AG115&gt;Inputs!$F$253,(AG11+Reserves!AG9)/Debt!AG115,0)</f>
        <v>1.74936837149518</v>
      </c>
      <c r="AH13" s="3" t="n">
        <f aca="false">IF(Debt!AH115&gt;Inputs!$F$253,(AH11+Reserves!AH9)/Debt!AH115,0)</f>
        <v>1.84794839687333</v>
      </c>
      <c r="AI13" s="3" t="n">
        <f aca="false">IF(Debt!AI115&gt;Inputs!$F$253,(AI11+Reserves!AI9)/Debt!AI115,0)</f>
        <v>1.98423627810555</v>
      </c>
      <c r="AJ13" s="3" t="n">
        <f aca="false">IF(Debt!AJ115&gt;Inputs!$F$253,(AJ11+Reserves!AJ9)/Debt!AJ115,0)</f>
        <v>2.18283039658233</v>
      </c>
      <c r="AK13" s="3" t="n">
        <f aca="false">IF(Debt!AK115&gt;Inputs!$F$253,(AK11+Reserves!AK9)/Debt!AK115,0)</f>
        <v>2.49451016830222</v>
      </c>
      <c r="AL13" s="3" t="n">
        <f aca="false">IF(Debt!AL115&gt;Inputs!$F$253,(AL11+Reserves!AL9)/Debt!AL115,0)</f>
        <v>2.51735308525133</v>
      </c>
      <c r="AM13" s="3" t="n">
        <f aca="false">IF(Debt!AM115&gt;Inputs!$F$253,(AM11+Reserves!AM9)/Debt!AM115,0)</f>
        <v>2.61374079627991</v>
      </c>
      <c r="AN13" s="3" t="n">
        <f aca="false">IF(Debt!AN115&gt;Inputs!$F$253,(AN11+Reserves!AN9)/Debt!AN115,0)</f>
        <v>2.72910477392821</v>
      </c>
      <c r="AO13" s="3" t="n">
        <f aca="false">IF(Debt!AO115&gt;Inputs!$F$253,(AO11+Reserves!AO9)/Debt!AO115,0)</f>
        <v>3.2225143576503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1943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1.36068161442041</v>
      </c>
      <c r="Q14" s="3" t="n">
        <f aca="false">IF(Debt!Q115&gt;Inputs!$F$253,Q11/Debt!Q115,0)</f>
        <v>1.36125729517156</v>
      </c>
      <c r="R14" s="3" t="n">
        <f aca="false">IF(Debt!R115&gt;Inputs!$F$253,R11/Debt!R115,0)</f>
        <v>1.36188548528711</v>
      </c>
      <c r="S14" s="3" t="n">
        <f aca="false">IF(Debt!S115&gt;Inputs!$F$253,S11/Debt!S115,0)</f>
        <v>1.36258480565305</v>
      </c>
      <c r="T14" s="3" t="n">
        <f aca="false">IF(Debt!T115&gt;Inputs!$F$253,T11/Debt!T115,0)</f>
        <v>1.36334923410129</v>
      </c>
      <c r="U14" s="3" t="n">
        <f aca="false">IF(Debt!U115&gt;Inputs!$F$253,U11/Debt!U115,0)</f>
        <v>1.36420434383154</v>
      </c>
      <c r="V14" s="3" t="n">
        <f aca="false">IF(Debt!V115&gt;Inputs!$F$253,V11/Debt!V115,0)</f>
        <v>1.3651503502235</v>
      </c>
      <c r="W14" s="3" t="n">
        <f aca="false">IF(Debt!W115&gt;Inputs!$F$253,W11/Debt!W115,0)</f>
        <v>1.36622978959594</v>
      </c>
      <c r="X14" s="3" t="n">
        <f aca="false">IF(Debt!X115&gt;Inputs!$F$253,X11/Debt!X115,0)</f>
        <v>1.36743475771914</v>
      </c>
      <c r="Y14" s="3" t="n">
        <f aca="false">IF(Debt!Y115&gt;Inputs!$F$253,Y11/Debt!Y115,0)</f>
        <v>1.36875151043547</v>
      </c>
      <c r="Z14" s="3" t="n">
        <f aca="false">IF(Debt!Z115&gt;Inputs!$F$253,Z11/Debt!Z115,0)</f>
        <v>1.37022553708154</v>
      </c>
      <c r="AA14" s="3" t="n">
        <f aca="false">IF(Debt!AA115&gt;Inputs!$F$253,AA11/Debt!AA115,0)</f>
        <v>1.37191711780131</v>
      </c>
      <c r="AB14" s="3" t="n">
        <f aca="false">IF(Debt!AB115&gt;Inputs!$F$253,AB11/Debt!AB115,0)</f>
        <v>1.39508673820271</v>
      </c>
      <c r="AC14" s="3" t="n">
        <f aca="false">IF(Debt!AC115&gt;Inputs!$F$253,AC11/Debt!AC115,0)</f>
        <v>1.4241792669621</v>
      </c>
      <c r="AD14" s="3" t="n">
        <f aca="false">IF(Debt!AD115&gt;Inputs!$F$253,AD11/Debt!AD115,0)</f>
        <v>1.45484741154833</v>
      </c>
      <c r="AE14" s="3" t="n">
        <f aca="false">IF(Debt!AE115&gt;Inputs!$F$253,AE11/Debt!AE115,0)</f>
        <v>1.49564831329616</v>
      </c>
      <c r="AF14" s="3" t="n">
        <f aca="false">IF(Debt!AF115&gt;Inputs!$F$253,AF11/Debt!AF115,0)</f>
        <v>1.54571649002067</v>
      </c>
      <c r="AG14" s="3" t="n">
        <f aca="false">IF(Debt!AG115&gt;Inputs!$F$253,AG11/Debt!AG115,0)</f>
        <v>1.61006087689997</v>
      </c>
      <c r="AH14" s="3" t="n">
        <f aca="false">IF(Debt!AH115&gt;Inputs!$F$253,AH11/Debt!AH115,0)</f>
        <v>1.69046343615117</v>
      </c>
      <c r="AI14" s="3" t="n">
        <f aca="false">IF(Debt!AI115&gt;Inputs!$F$253,AI11/Debt!AI115,0)</f>
        <v>1.80489231524638</v>
      </c>
      <c r="AJ14" s="3" t="n">
        <f aca="false">IF(Debt!AJ115&gt;Inputs!$F$253,AJ11/Debt!AJ115,0)</f>
        <v>1.9691885068151</v>
      </c>
      <c r="AK14" s="3" t="n">
        <f aca="false">IF(Debt!AK115&gt;Inputs!$F$253,AK11/Debt!AK115,0)</f>
        <v>2.23092250740806</v>
      </c>
      <c r="AL14" s="3" t="n">
        <f aca="false">IF(Debt!AL115&gt;Inputs!$F$253,AL11/Debt!AL115,0)</f>
        <v>2.22121287226981</v>
      </c>
      <c r="AM14" s="3" t="n">
        <f aca="false">IF(Debt!AM115&gt;Inputs!$F$253,AM11/Debt!AM115,0)</f>
        <v>2.21109938461329</v>
      </c>
      <c r="AN14" s="3" t="n">
        <f aca="false">IF(Debt!AN115&gt;Inputs!$F$253,AN11/Debt!AN115,0)</f>
        <v>2.20563660570854</v>
      </c>
      <c r="AO14" s="3" t="n">
        <f aca="false">IF(Debt!AO115&gt;Inputs!$F$253,AO11/Debt!AO115,0)</f>
        <v>2.19550242216552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1944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1.85963885728735</v>
      </c>
      <c r="Q15" s="3" t="n">
        <f aca="false">IF(Debt!Q115&gt;Inputs!$F$253,Q12/Debt!Q115,0)</f>
        <v>1.89029729016724</v>
      </c>
      <c r="R15" s="3" t="n">
        <f aca="false">IF(Debt!R115&gt;Inputs!$F$253,R12/Debt!R115,0)</f>
        <v>1.9235997851725</v>
      </c>
      <c r="S15" s="3" t="n">
        <f aca="false">IF(Debt!S115&gt;Inputs!$F$253,S12/Debt!S115,0)</f>
        <v>1.96044599641865</v>
      </c>
      <c r="T15" s="3" t="n">
        <f aca="false">IF(Debt!T115&gt;Inputs!$F$253,T12/Debt!T115,0)</f>
        <v>2.0005590474271</v>
      </c>
      <c r="U15" s="3" t="n">
        <f aca="false">IF(Debt!U115&gt;Inputs!$F$253,U12/Debt!U115,0)</f>
        <v>2.04523110601201</v>
      </c>
      <c r="V15" s="3" t="n">
        <f aca="false">IF(Debt!V115&gt;Inputs!$F$253,V12/Debt!V115,0)</f>
        <v>2.09443787922715</v>
      </c>
      <c r="W15" s="3" t="n">
        <f aca="false">IF(Debt!W115&gt;Inputs!$F$253,W12/Debt!W115,0)</f>
        <v>2.15025507939324</v>
      </c>
      <c r="X15" s="3" t="n">
        <f aca="false">IF(Debt!X115&gt;Inputs!$F$253,X12/Debt!X115,0)</f>
        <v>2.21236693455586</v>
      </c>
      <c r="Y15" s="3" t="n">
        <f aca="false">IF(Debt!Y115&gt;Inputs!$F$253,Y12/Debt!Y115,0)</f>
        <v>2.2801582598687</v>
      </c>
      <c r="Z15" s="3" t="n">
        <f aca="false">IF(Debt!Z115&gt;Inputs!$F$253,Z12/Debt!Z115,0)</f>
        <v>2.35582212703285</v>
      </c>
      <c r="AA15" s="3" t="n">
        <f aca="false">IF(Debt!AA115&gt;Inputs!$F$253,AA12/Debt!AA115,0)</f>
        <v>2.44235659563544</v>
      </c>
      <c r="AB15" s="3" t="n">
        <f aca="false">IF(Debt!AB115&gt;Inputs!$F$253,AB12/Debt!AB115,0)</f>
        <v>2.57981337698456</v>
      </c>
      <c r="AC15" s="3" t="n">
        <f aca="false">IF(Debt!AC115&gt;Inputs!$F$253,AC12/Debt!AC115,0)</f>
        <v>2.74795331704132</v>
      </c>
      <c r="AD15" s="3" t="n">
        <f aca="false">IF(Debt!AD115&gt;Inputs!$F$253,AD12/Debt!AD115,0)</f>
        <v>2.9424835424949</v>
      </c>
      <c r="AE15" s="3" t="n">
        <f aca="false">IF(Debt!AE115&gt;Inputs!$F$253,AE12/Debt!AE115,0)</f>
        <v>3.19577643697112</v>
      </c>
      <c r="AF15" s="3" t="n">
        <f aca="false">IF(Debt!AF115&gt;Inputs!$F$253,AF12/Debt!AF115,0)</f>
        <v>3.51585139042938</v>
      </c>
      <c r="AG15" s="3" t="n">
        <f aca="false">IF(Debt!AG115&gt;Inputs!$F$253,AG12/Debt!AG115,0)</f>
        <v>3.93588050300628</v>
      </c>
      <c r="AH15" s="3" t="n">
        <f aca="false">IF(Debt!AH115&gt;Inputs!$F$253,AH12/Debt!AH115,0)</f>
        <v>4.49117547668517</v>
      </c>
      <c r="AI15" s="3" t="n">
        <f aca="false">IF(Debt!AI115&gt;Inputs!$F$253,AI12/Debt!AI115,0)</f>
        <v>5.29836089383773</v>
      </c>
      <c r="AJ15" s="3" t="n">
        <f aca="false">IF(Debt!AJ115&gt;Inputs!$F$253,AJ12/Debt!AJ115,0)</f>
        <v>6.5165482905706</v>
      </c>
      <c r="AK15" s="3" t="n">
        <f aca="false">IF(Debt!AK115&gt;Inputs!$F$253,AK12/Debt!AK115,0)</f>
        <v>8.58798429301994</v>
      </c>
      <c r="AL15" s="3" t="n">
        <f aca="false">IF(Debt!AL115&gt;Inputs!$F$253,AL12/Debt!AL115,0)</f>
        <v>10.4066190738214</v>
      </c>
      <c r="AM15" s="3" t="n">
        <f aca="false">IF(Debt!AM115&gt;Inputs!$F$253,AM12/Debt!AM115,0)</f>
        <v>13.7125297537745</v>
      </c>
      <c r="AN15" s="3" t="n">
        <f aca="false">IF(Debt!AN115&gt;Inputs!$F$253,AN12/Debt!AN115,0)</f>
        <v>21.1240605441771</v>
      </c>
      <c r="AO15" s="3" t="n">
        <f aca="false">IF(Debt!AO115&gt;Inputs!$F$253,AO12/Debt!AO115,0)</f>
        <v>40.7757444423374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1945</v>
      </c>
      <c r="E16" s="0" t="s">
        <v>204</v>
      </c>
      <c r="F16" s="3" t="n">
        <f aca="false">_xlfn.MINIFS(Waterfall!$J$17:$BN$17,Debt!$J$114:$BN$114,"&gt;"&amp;Inputs!$F$253)</f>
        <v>1.35051420142752</v>
      </c>
    </row>
    <row r="17" customFormat="false" ht="15" hidden="false" customHeight="false" outlineLevel="0" collapsed="false">
      <c r="D17" s="0" t="s">
        <v>1946</v>
      </c>
      <c r="E17" s="0" t="s">
        <v>204</v>
      </c>
      <c r="F17" s="3" t="n">
        <f aca="false">SUMIFS(Waterfall!$J$7:$BN$7,Debt!$J$114:$BN$114,"&gt;"&amp;Inputs!$F$253)/SUM(Debt!$J$114:$BN$114)</f>
        <v>1.53853184315627</v>
      </c>
    </row>
    <row r="18" customFormat="false" ht="15" hidden="false" customHeight="false" outlineLevel="0" collapsed="false">
      <c r="D18" s="0" t="s">
        <v>1947</v>
      </c>
      <c r="E18" s="0" t="s">
        <v>204</v>
      </c>
      <c r="F18" s="3" t="n">
        <f aca="false">INDEX(Ratios!$J$13:$BN$13,1,Time!$F$13)</f>
        <v>1.41949810707991</v>
      </c>
    </row>
    <row r="19" customFormat="false" ht="15" hidden="false" customHeight="false" outlineLevel="0" collapsed="false">
      <c r="D19" s="0" t="s">
        <v>1948</v>
      </c>
      <c r="E19" s="0" t="s">
        <v>204</v>
      </c>
      <c r="F19" s="3" t="n">
        <f aca="false">INDEX(Ratios!$J$15:$BN$15,1,Time!$F$13)</f>
        <v>1.85963885728735</v>
      </c>
    </row>
    <row r="20" customFormat="false" ht="15" hidden="false" customHeight="false" outlineLevel="0" collapsed="false">
      <c r="D20" s="0" t="s">
        <v>1949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1.3511097050723</v>
      </c>
      <c r="P20" s="3" t="n">
        <f aca="false">IF(Debt!Q114&gt;Inputs!$F$253,(Waterfall!Q7+IF(Debt!R114&gt;Inputs!$F$253,Waterfall!R7,0))/(Debt!Q114+Debt!R114),0)</f>
        <v>1.35105192752099</v>
      </c>
      <c r="Q20" s="3" t="n">
        <f aca="false">IF(Debt!R114&gt;Inputs!$F$253,(Waterfall!R7+IF(Debt!S114&gt;Inputs!$F$253,Waterfall!S7,0))/(Debt!R114+Debt!S114),0)</f>
        <v>1.3509942552117</v>
      </c>
      <c r="R20" s="3" t="n">
        <f aca="false">IF(Debt!S114&gt;Inputs!$F$253,(Waterfall!S7+IF(Debt!T114&gt;Inputs!$F$253,Waterfall!T7,0))/(Debt!S114+Debt!T114),0)</f>
        <v>1.35094178290776</v>
      </c>
      <c r="S20" s="3" t="n">
        <f aca="false">IF(Debt!T114&gt;Inputs!$F$253,(Waterfall!T7+IF(Debt!U114&gt;Inputs!$F$253,Waterfall!U7,0))/(Debt!T114+Debt!U114),0)</f>
        <v>1.35088438989526</v>
      </c>
      <c r="T20" s="3" t="n">
        <f aca="false">IF(Debt!U114&gt;Inputs!$F$253,(Waterfall!U7+IF(Debt!V114&gt;Inputs!$F$253,Waterfall!V7,0))/(Debt!U114+Debt!V114),0)</f>
        <v>1.35081135781923</v>
      </c>
      <c r="U20" s="3" t="n">
        <f aca="false">IF(Debt!V114&gt;Inputs!$F$253,(Waterfall!V7+IF(Debt!W114&gt;Inputs!$F$253,Waterfall!W7,0))/(Debt!V114+Debt!W114),0)</f>
        <v>1.3507438200501</v>
      </c>
      <c r="V20" s="3" t="n">
        <f aca="false">IF(Debt!W114&gt;Inputs!$F$253,(Waterfall!W7+IF(Debt!X114&gt;Inputs!$F$253,Waterfall!X7,0))/(Debt!W114+Debt!X114),0)</f>
        <v>1.35070857260876</v>
      </c>
      <c r="W20" s="3" t="n">
        <f aca="false">IF(Debt!X114&gt;Inputs!$F$253,(Waterfall!X7+IF(Debt!Y114&gt;Inputs!$F$253,Waterfall!Y7,0))/(Debt!X114+Debt!Y114),0)</f>
        <v>1.3506708480232</v>
      </c>
      <c r="X20" s="3" t="n">
        <f aca="false">IF(Debt!Y114&gt;Inputs!$F$253,(Waterfall!Y7+IF(Debt!Z114&gt;Inputs!$F$253,Waterfall!Z7,0))/(Debt!Y114+Debt!Z114),0)</f>
        <v>1.35060901318923</v>
      </c>
      <c r="Y20" s="3" t="n">
        <f aca="false">IF(Debt!Z114&gt;Inputs!$F$253,(Waterfall!Z7+IF(Debt!AA114&gt;Inputs!$F$253,Waterfall!AA7,0))/(Debt!Z114+Debt!AA114),0)</f>
        <v>1.35054467707933</v>
      </c>
      <c r="Z20" s="3" t="n">
        <f aca="false">IF(Debt!AA114&gt;Inputs!$F$253,(Waterfall!AA7+IF(Debt!AB114&gt;Inputs!$F$253,Waterfall!AB7,0))/(Debt!AA114+Debt!AB114),0)</f>
        <v>1.36247465717615</v>
      </c>
      <c r="AA20" s="3" t="n">
        <f aca="false">IF(Debt!AB114&gt;Inputs!$F$253,(Waterfall!AB7+IF(Debt!AC114&gt;Inputs!$F$253,Waterfall!AC7,0))/(Debt!AB114+Debt!AC114),0)</f>
        <v>1.3894234392837</v>
      </c>
      <c r="AB20" s="3" t="n">
        <f aca="false">IF(Debt!AC114&gt;Inputs!$F$253,(Waterfall!AC7+IF(Debt!AD114&gt;Inputs!$F$253,Waterfall!AD7,0))/(Debt!AC114+Debt!AD114),0)</f>
        <v>1.42059333808577</v>
      </c>
      <c r="AC20" s="3" t="n">
        <f aca="false">IF(Debt!AD114&gt;Inputs!$F$253,(Waterfall!AD7+IF(Debt!AE114&gt;Inputs!$F$253,Waterfall!AE7,0))/(Debt!AD114+Debt!AE114),0)</f>
        <v>1.45683283979466</v>
      </c>
      <c r="AD20" s="3" t="n">
        <f aca="false">IF(Debt!AE114&gt;Inputs!$F$253,(Waterfall!AE7+IF(Debt!AF114&gt;Inputs!$F$253,Waterfall!AF7,0))/(Debt!AE114+Debt!AF114),0)</f>
        <v>1.50373395566588</v>
      </c>
      <c r="AE20" s="3" t="n">
        <f aca="false">IF(Debt!AF114&gt;Inputs!$F$253,(Waterfall!AF7+IF(Debt!AG114&gt;Inputs!$F$253,Waterfall!AG7,0))/(Debt!AF114+Debt!AG114),0)</f>
        <v>1.56418853563193</v>
      </c>
      <c r="AF20" s="3" t="n">
        <f aca="false">IF(Debt!AG114&gt;Inputs!$F$253,(Waterfall!AG7+IF(Debt!AH114&gt;Inputs!$F$253,Waterfall!AH7,0))/(Debt!AG114+Debt!AH114),0)</f>
        <v>1.64179260322248</v>
      </c>
      <c r="AG20" s="3" t="n">
        <f aca="false">IF(Debt!AH114&gt;Inputs!$F$253,(Waterfall!AH7+IF(Debt!AI114&gt;Inputs!$F$253,Waterfall!AI7,0))/(Debt!AH114+Debt!AI114),0)</f>
        <v>1.74339200128595</v>
      </c>
      <c r="AH20" s="3" t="n">
        <f aca="false">IF(Debt!AI114&gt;Inputs!$F$253,(Waterfall!AI7+IF(Debt!AJ114&gt;Inputs!$F$253,Waterfall!AJ7,0))/(Debt!AI114+Debt!AJ114),0)</f>
        <v>1.89078642630341</v>
      </c>
      <c r="AI20" s="3" t="n">
        <f aca="false">IF(Debt!AJ114&gt;Inputs!$F$253,(Waterfall!AJ7+IF(Debt!AK114&gt;Inputs!$F$253,Waterfall!AK7,0))/(Debt!AJ114+Debt!AK114),0)</f>
        <v>2.11401968042674</v>
      </c>
      <c r="AJ20" s="3" t="n">
        <f aca="false">IF(Debt!AK114&gt;Inputs!$F$253,(Waterfall!AK7+IF(Debt!AL114&gt;Inputs!$F$253,Waterfall!AL7,0))/(Debt!AK114+Debt!AL114),0)</f>
        <v>2.25529468443821</v>
      </c>
      <c r="AK20" s="3" t="n">
        <f aca="false">IF(Debt!AL114&gt;Inputs!$F$253,(Waterfall!AL7+IF(Debt!AM114&gt;Inputs!$F$253,Waterfall!AM7,0))/(Debt!AL114+Debt!AM114),0)</f>
        <v>2.23291465046512</v>
      </c>
      <c r="AL20" s="3" t="n">
        <f aca="false">IF(Debt!AM114&gt;Inputs!$F$253,(Waterfall!AM7+IF(Debt!AN114&gt;Inputs!$F$253,Waterfall!AN7,0))/(Debt!AM114+Debt!AN114),0)</f>
        <v>2.21769636043047</v>
      </c>
      <c r="AM20" s="3" t="n">
        <f aca="false">IF(Debt!AN114&gt;Inputs!$F$253,(Waterfall!AN7+IF(Debt!AO114&gt;Inputs!$F$253,Waterfall!AO7,0))/(Debt!AN114+Debt!AO114),0)</f>
        <v>2.20550412589896</v>
      </c>
      <c r="AN20" s="3" t="n">
        <f aca="false">IF(Debt!AO114&gt;Inputs!$F$253,(Waterfall!AO7+IF(Debt!AP114&gt;Inputs!$F$253,Waterfall!AP7,0))/(Debt!AO114+Debt!AP114),0)</f>
        <v>2.19550242216552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1952</v>
      </c>
      <c r="J5" s="4" t="s">
        <v>1953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1954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1955</v>
      </c>
      <c r="E8" s="0" t="s">
        <v>151</v>
      </c>
      <c r="G8" s="13" t="n">
        <f aca="false">SUM(J8:DP8)</f>
        <v>1174.12280020821</v>
      </c>
      <c r="J8" s="13" t="n">
        <f aca="false">-Inputs!$F$68</f>
        <v>-14.2</v>
      </c>
      <c r="K8" s="13" t="n">
        <f aca="false">-Funding!J68</f>
        <v>-17.3443654741124</v>
      </c>
      <c r="L8" s="13" t="n">
        <f aca="false">-Funding!K68</f>
        <v>-0.648320373179076</v>
      </c>
      <c r="M8" s="13" t="n">
        <f aca="false">-Funding!L68</f>
        <v>-0.826418347859906</v>
      </c>
      <c r="N8" s="13" t="n">
        <f aca="false">-Funding!M68</f>
        <v>-1.16828978079458</v>
      </c>
      <c r="O8" s="13" t="n">
        <f aca="false">-Funding!N68</f>
        <v>-1.68225053867731</v>
      </c>
      <c r="P8" s="13" t="n">
        <f aca="false">-Funding!O68</f>
        <v>-2.31815833851875</v>
      </c>
      <c r="Q8" s="13" t="n">
        <f aca="false">-Funding!P68</f>
        <v>-3.0241027217991</v>
      </c>
      <c r="R8" s="13" t="n">
        <f aca="false">-Funding!Q68</f>
        <v>-3.83855259456677</v>
      </c>
      <c r="S8" s="13" t="n">
        <f aca="false">-Funding!R68</f>
        <v>-4.6502766335649</v>
      </c>
      <c r="T8" s="13" t="n">
        <f aca="false">-Funding!S68</f>
        <v>-5.47681570917974</v>
      </c>
      <c r="U8" s="13" t="n">
        <f aca="false">-Funding!T68</f>
        <v>-6.25030169980247</v>
      </c>
      <c r="V8" s="13" t="n">
        <f aca="false">-Funding!U68</f>
        <v>-6.99191264158404</v>
      </c>
      <c r="W8" s="13" t="n">
        <f aca="false">-Funding!V68</f>
        <v>-7.6439353122712</v>
      </c>
      <c r="X8" s="13" t="n">
        <f aca="false">-Funding!W68</f>
        <v>-8.18616613574263</v>
      </c>
      <c r="Y8" s="13" t="n">
        <f aca="false">-Funding!X68</f>
        <v>-8.63503011067768</v>
      </c>
      <c r="Z8" s="13" t="n">
        <f aca="false">-Funding!Y68</f>
        <v>-8.93391495565196</v>
      </c>
      <c r="AA8" s="13" t="n">
        <f aca="false">-Funding!Z68</f>
        <v>-9.1211335660466</v>
      </c>
      <c r="AB8" s="13" t="n">
        <f aca="false">-Funding!AA68</f>
        <v>-9.46154396827212</v>
      </c>
      <c r="AC8" s="13" t="n">
        <f aca="false">-Funding!AB68</f>
        <v>-9.0251409982049</v>
      </c>
      <c r="AD8" s="13" t="n">
        <f aca="false">-Funding!AC68</f>
        <v>-8.81062368941417</v>
      </c>
      <c r="AE8" s="13" t="n">
        <f aca="false">-Funding!AD68</f>
        <v>-8.42237069977848</v>
      </c>
      <c r="AF8" s="13" t="n">
        <f aca="false">-Funding!AE68</f>
        <v>-7.9465485624091</v>
      </c>
      <c r="AG8" s="13" t="n">
        <f aca="false">-Funding!AF68</f>
        <v>-7.33492793084585</v>
      </c>
      <c r="AH8" s="13" t="n">
        <f aca="false">-Funding!AG68</f>
        <v>-6.67280605231224</v>
      </c>
      <c r="AI8" s="13" t="n">
        <f aca="false">-Funding!AH68</f>
        <v>-5.93077626622527</v>
      </c>
      <c r="AJ8" s="13" t="n">
        <f aca="false">-Funding!AI68</f>
        <v>-5.13380130806101</v>
      </c>
      <c r="AK8" s="13" t="n">
        <f aca="false">-Funding!AJ68</f>
        <v>-4.36455619682293</v>
      </c>
      <c r="AL8" s="13" t="n">
        <f aca="false">-Funding!AK68</f>
        <v>-3.58140062202883</v>
      </c>
      <c r="AM8" s="13" t="n">
        <f aca="false">-Funding!AL68</f>
        <v>-2.89124437907497</v>
      </c>
      <c r="AN8" s="13" t="n">
        <f aca="false">-Funding!AM68</f>
        <v>-2.27308900262301</v>
      </c>
      <c r="AO8" s="13" t="n">
        <f aca="false">-Funding!AN68</f>
        <v>-1.72016670046058</v>
      </c>
      <c r="AP8" s="13" t="n">
        <f aca="false">-Funding!AO68</f>
        <v>-1.43578904615905</v>
      </c>
      <c r="AQ8" s="13" t="n">
        <f aca="false">-Funding!AP68</f>
        <v>-14.0750388603677</v>
      </c>
      <c r="AR8" s="13" t="n">
        <f aca="false">-Funding!AQ68</f>
        <v>-10.8486751462942</v>
      </c>
      <c r="AS8" s="13" t="n">
        <f aca="false">-Funding!AR68</f>
        <v>-0.965323220673674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15.0431875520562</v>
      </c>
      <c r="BS8" s="18" t="n">
        <f aca="false">Waterfall!Q44</f>
        <v>12.5775422667034</v>
      </c>
      <c r="BT8" s="18" t="n">
        <f aca="false">Waterfall!R44</f>
        <v>13.4984572709862</v>
      </c>
      <c r="BU8" s="18" t="n">
        <f aca="false">Waterfall!S44</f>
        <v>12.6849716672045</v>
      </c>
      <c r="BV8" s="18" t="n">
        <f aca="false">Waterfall!T44</f>
        <v>13.427946993756</v>
      </c>
      <c r="BW8" s="18" t="n">
        <f aca="false">Waterfall!U44</f>
        <v>12.4646331772141</v>
      </c>
      <c r="BX8" s="18" t="n">
        <f aca="false">Waterfall!V44</f>
        <v>13.6948951770782</v>
      </c>
      <c r="BY8" s="18" t="n">
        <f aca="false">Waterfall!W44</f>
        <v>14.431893426527</v>
      </c>
      <c r="BZ8" s="18" t="n">
        <f aca="false">Waterfall!X44</f>
        <v>13.3065573629278</v>
      </c>
      <c r="CA8" s="18" t="n">
        <f aca="false">Waterfall!Y44</f>
        <v>12.5221955375342</v>
      </c>
      <c r="CB8" s="18" t="n">
        <f aca="false">Waterfall!Z44</f>
        <v>13.2232504532553</v>
      </c>
      <c r="CC8" s="18" t="n">
        <f aca="false">Waterfall!AA44</f>
        <v>6.19467292392291</v>
      </c>
      <c r="CD8" s="18" t="n">
        <f aca="false">Waterfall!AB44</f>
        <v>7.20343814378053</v>
      </c>
      <c r="CE8" s="18" t="n">
        <f aca="false">Waterfall!AC44</f>
        <v>6.87529341495345</v>
      </c>
      <c r="CF8" s="18" t="n">
        <f aca="false">Waterfall!AD44</f>
        <v>8.21644113806305</v>
      </c>
      <c r="CG8" s="18" t="n">
        <f aca="false">Waterfall!AE44</f>
        <v>8.82925971748235</v>
      </c>
      <c r="CH8" s="18" t="n">
        <f aca="false">Waterfall!AF44</f>
        <v>9.72559979921583</v>
      </c>
      <c r="CI8" s="18" t="n">
        <f aca="false">Waterfall!AG44</f>
        <v>10.1611150818953</v>
      </c>
      <c r="CJ8" s="18" t="n">
        <f aca="false">Waterfall!AH44</f>
        <v>11.5431056828627</v>
      </c>
      <c r="CK8" s="18" t="n">
        <f aca="false">Waterfall!AI44</f>
        <v>12.4209849507657</v>
      </c>
      <c r="CL8" s="18" t="n">
        <f aca="false">Waterfall!AJ44</f>
        <v>15.0914768069019</v>
      </c>
      <c r="CM8" s="18" t="n">
        <f aca="false">Waterfall!AK44</f>
        <v>31.8746679581498</v>
      </c>
      <c r="CN8" s="18" t="n">
        <f aca="false">Waterfall!AL44</f>
        <v>29.6966486828974</v>
      </c>
      <c r="CO8" s="18" t="n">
        <f aca="false">Waterfall!AM44</f>
        <v>33.181686259403</v>
      </c>
      <c r="CP8" s="18" t="n">
        <f aca="false">Waterfall!AN44</f>
        <v>23.4789265328682</v>
      </c>
      <c r="CQ8" s="18" t="n">
        <f aca="false">Waterfall!AO44</f>
        <v>41.5079662531116</v>
      </c>
      <c r="CR8" s="18" t="n">
        <f aca="false">Waterfall!AP44</f>
        <v>41.6065463833064</v>
      </c>
      <c r="CS8" s="18" t="n">
        <f aca="false">Waterfall!AQ44</f>
        <v>41.1574518197032</v>
      </c>
      <c r="CT8" s="18" t="n">
        <f aca="false">Waterfall!AR44</f>
        <v>41.7513447779987</v>
      </c>
      <c r="CU8" s="18" t="n">
        <f aca="false">Waterfall!AS44</f>
        <v>41.4840678337932</v>
      </c>
      <c r="CV8" s="18" t="n">
        <f aca="false">Waterfall!AT44</f>
        <v>48.2154950821326</v>
      </c>
      <c r="CW8" s="18" t="n">
        <f aca="false">Waterfall!AU44</f>
        <v>43.7762166513415</v>
      </c>
      <c r="CX8" s="18" t="n">
        <f aca="false">Waterfall!AV44</f>
        <v>43.8963319855744</v>
      </c>
      <c r="CY8" s="18" t="n">
        <f aca="false">Waterfall!AW44</f>
        <v>43.469466754219</v>
      </c>
      <c r="CZ8" s="18" t="n">
        <f aca="false">Waterfall!AX44</f>
        <v>44.1417443542776</v>
      </c>
      <c r="DA8" s="18" t="n">
        <f aca="false">Waterfall!AY44</f>
        <v>43.6826037006889</v>
      </c>
      <c r="DB8" s="18" t="n">
        <f aca="false">Waterfall!AZ44</f>
        <v>44.2974310433168</v>
      </c>
      <c r="DC8" s="18" t="n">
        <f aca="false">Waterfall!BA44</f>
        <v>43.5026843769461</v>
      </c>
      <c r="DD8" s="18" t="n">
        <f aca="false">Waterfall!BB44</f>
        <v>44.7416746918274</v>
      </c>
      <c r="DE8" s="18" t="n">
        <f aca="false">Waterfall!BC44</f>
        <v>41.3238371536044</v>
      </c>
      <c r="DF8" s="18" t="n">
        <f aca="false">Waterfall!BD44</f>
        <v>35.2040829880542</v>
      </c>
      <c r="DG8" s="18" t="n">
        <f aca="false">Waterfall!BE44</f>
        <v>34.751674570313</v>
      </c>
      <c r="DH8" s="18" t="n">
        <f aca="false">Waterfall!BF44</f>
        <v>35.4360195856147</v>
      </c>
      <c r="DI8" s="18" t="n">
        <f aca="false">Waterfall!BG44</f>
        <v>34.9488421342375</v>
      </c>
      <c r="DJ8" s="18" t="n">
        <f aca="false">Waterfall!BH44</f>
        <v>35.5689325865503</v>
      </c>
      <c r="DK8" s="18" t="n">
        <f aca="false">Waterfall!BI44</f>
        <v>35.288343743406</v>
      </c>
      <c r="DL8" s="18" t="n">
        <f aca="false">Waterfall!BJ44</f>
        <v>43.2931564015163</v>
      </c>
      <c r="DM8" s="18" t="n">
        <f aca="false">Waterfall!BK44</f>
        <v>38.023103943991</v>
      </c>
      <c r="DN8" s="18" t="n">
        <f aca="false">Waterfall!BL44</f>
        <v>38.747362885205</v>
      </c>
      <c r="DO8" s="18" t="n">
        <f aca="false">Waterfall!BM44</f>
        <v>54.7713381131302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1956</v>
      </c>
      <c r="E9" s="0" t="s">
        <v>151</v>
      </c>
      <c r="G9" s="13" t="n">
        <f aca="false">SUM(J9:DP9)</f>
        <v>1593.71160401062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1.87603501833686</v>
      </c>
      <c r="BR9" s="18" t="n">
        <f aca="false">Waterfall!P7</f>
        <v>50.3241689888662</v>
      </c>
      <c r="BS9" s="18" t="n">
        <f aca="false">Waterfall!Q7</f>
        <v>50.2023273543813</v>
      </c>
      <c r="BT9" s="18" t="n">
        <f aca="false">Waterfall!R7</f>
        <v>50.8317697635431</v>
      </c>
      <c r="BU9" s="18" t="n">
        <f aca="false">Waterfall!S7</f>
        <v>50.4361894489523</v>
      </c>
      <c r="BV9" s="18" t="n">
        <f aca="false">Waterfall!T7</f>
        <v>50.9986397486087</v>
      </c>
      <c r="BW9" s="18" t="n">
        <f aca="false">Waterfall!U7</f>
        <v>50.7525534123724</v>
      </c>
      <c r="BX9" s="18" t="n">
        <f aca="false">Waterfall!V7</f>
        <v>51.7181226029479</v>
      </c>
      <c r="BY9" s="18" t="n">
        <f aca="false">Waterfall!W7</f>
        <v>51.3586885011164</v>
      </c>
      <c r="BZ9" s="18" t="n">
        <f aca="false">Waterfall!X7</f>
        <v>49.876949407473</v>
      </c>
      <c r="CA9" s="18" t="n">
        <f aca="false">Waterfall!Y7</f>
        <v>49.3935586460484</v>
      </c>
      <c r="CB9" s="18" t="n">
        <f aca="false">Waterfall!Z7</f>
        <v>49.7975378081098</v>
      </c>
      <c r="CC9" s="18" t="n">
        <f aca="false">Waterfall!AA7</f>
        <v>49.394094479822</v>
      </c>
      <c r="CD9" s="18" t="n">
        <f aca="false">Waterfall!AB7</f>
        <v>49.9730025700996</v>
      </c>
      <c r="CE9" s="18" t="n">
        <f aca="false">Waterfall!AC7</f>
        <v>49.7654105429282</v>
      </c>
      <c r="CF9" s="18" t="n">
        <f aca="false">Waterfall!AD7</f>
        <v>51.6737057273676</v>
      </c>
      <c r="CG9" s="18" t="n">
        <f aca="false">Waterfall!AE7</f>
        <v>51.7545708779437</v>
      </c>
      <c r="CH9" s="18" t="n">
        <f aca="false">Waterfall!AF7</f>
        <v>51.9131885981263</v>
      </c>
      <c r="CI9" s="18" t="n">
        <f aca="false">Waterfall!AG7</f>
        <v>51.5431948251656</v>
      </c>
      <c r="CJ9" s="18" t="n">
        <f aca="false">Waterfall!AH7</f>
        <v>52.2100106176802</v>
      </c>
      <c r="CK9" s="18" t="n">
        <f aca="false">Waterfall!AI7</f>
        <v>51.7997838750742</v>
      </c>
      <c r="CL9" s="18" t="n">
        <f aca="false">Waterfall!AJ7</f>
        <v>52.3983693866889</v>
      </c>
      <c r="CM9" s="18" t="n">
        <f aca="false">Waterfall!AK7</f>
        <v>52.1575336641926</v>
      </c>
      <c r="CN9" s="18" t="n">
        <f aca="false">Waterfall!AL7</f>
        <v>53.2659405361755</v>
      </c>
      <c r="CO9" s="18" t="n">
        <f aca="false">Waterfall!AM7</f>
        <v>52.3137035142672</v>
      </c>
      <c r="CP9" s="18" t="n">
        <f aca="false">Waterfall!AN7</f>
        <v>42.3848342804764</v>
      </c>
      <c r="CQ9" s="18" t="n">
        <f aca="false">Waterfall!AO7</f>
        <v>41.5079662531116</v>
      </c>
      <c r="CR9" s="18" t="n">
        <f aca="false">Waterfall!AP7</f>
        <v>41.6065463833064</v>
      </c>
      <c r="CS9" s="18" t="n">
        <f aca="false">Waterfall!AQ7</f>
        <v>41.1574518197032</v>
      </c>
      <c r="CT9" s="18" t="n">
        <f aca="false">Waterfall!AR7</f>
        <v>41.7513447779987</v>
      </c>
      <c r="CU9" s="18" t="n">
        <f aca="false">Waterfall!AS7</f>
        <v>41.4840678337932</v>
      </c>
      <c r="CV9" s="18" t="n">
        <f aca="false">Waterfall!AT7</f>
        <v>48.2154950821326</v>
      </c>
      <c r="CW9" s="18" t="n">
        <f aca="false">Waterfall!AU7</f>
        <v>43.7762166513415</v>
      </c>
      <c r="CX9" s="18" t="n">
        <f aca="false">Waterfall!AV7</f>
        <v>43.8963319855744</v>
      </c>
      <c r="CY9" s="18" t="n">
        <f aca="false">Waterfall!AW7</f>
        <v>43.469466754219</v>
      </c>
      <c r="CZ9" s="18" t="n">
        <f aca="false">Waterfall!AX7</f>
        <v>44.1417443542776</v>
      </c>
      <c r="DA9" s="18" t="n">
        <f aca="false">Waterfall!AY7</f>
        <v>43.6826037006889</v>
      </c>
      <c r="DB9" s="18" t="n">
        <f aca="false">Waterfall!AZ7</f>
        <v>44.2974310433168</v>
      </c>
      <c r="DC9" s="18" t="n">
        <f aca="false">Waterfall!BA7</f>
        <v>43.9976527635548</v>
      </c>
      <c r="DD9" s="18" t="n">
        <f aca="false">Waterfall!BB7</f>
        <v>46.2428249464718</v>
      </c>
      <c r="DE9" s="18" t="n">
        <f aca="false">Waterfall!BC7</f>
        <v>42.8414102269467</v>
      </c>
      <c r="DF9" s="18" t="n">
        <f aca="false">Waterfall!BD7</f>
        <v>36.7382585483007</v>
      </c>
      <c r="DG9" s="18" t="n">
        <f aca="false">Waterfall!BE7</f>
        <v>36.3026342512687</v>
      </c>
      <c r="DH9" s="18" t="n">
        <f aca="false">Waterfall!BF7</f>
        <v>37.0039470081867</v>
      </c>
      <c r="DI9" s="18" t="n">
        <f aca="false">Waterfall!BG7</f>
        <v>36.5339229281743</v>
      </c>
      <c r="DJ9" s="18" t="n">
        <f aca="false">Waterfall!BH7</f>
        <v>37.1713544124189</v>
      </c>
      <c r="DK9" s="18" t="n">
        <f aca="false">Waterfall!BI7</f>
        <v>36.9082963148094</v>
      </c>
      <c r="DL9" s="18" t="n">
        <f aca="false">Waterfall!BJ7</f>
        <v>44.930831507554</v>
      </c>
      <c r="DM9" s="18" t="n">
        <f aca="false">Waterfall!BK7</f>
        <v>39.6786954719652</v>
      </c>
      <c r="DN9" s="18" t="n">
        <f aca="false">Waterfall!BL7</f>
        <v>40.4210668435755</v>
      </c>
      <c r="DO9" s="18" t="n">
        <f aca="false">Waterfall!BM7</f>
        <v>36.8301579511692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1957</v>
      </c>
      <c r="E10" s="0" t="s">
        <v>151</v>
      </c>
      <c r="G10" s="13" t="n">
        <f aca="false">SUM(J10:DP10)</f>
        <v>1911.0955216742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1.87603501833686</v>
      </c>
      <c r="BR10" s="13" t="n">
        <f aca="false">Waterfall!P7+Tax!P27</f>
        <v>50.3241689888662</v>
      </c>
      <c r="BS10" s="13" t="n">
        <f aca="false">Waterfall!Q7+Tax!Q27</f>
        <v>50.2023273543813</v>
      </c>
      <c r="BT10" s="13" t="n">
        <f aca="false">Waterfall!R7+Tax!R27</f>
        <v>50.8317697635431</v>
      </c>
      <c r="BU10" s="13" t="n">
        <f aca="false">Waterfall!S7+Tax!S27</f>
        <v>50.4361894489523</v>
      </c>
      <c r="BV10" s="13" t="n">
        <f aca="false">Waterfall!T7+Tax!T27</f>
        <v>50.9986397486087</v>
      </c>
      <c r="BW10" s="13" t="n">
        <f aca="false">Waterfall!U7+Tax!U27</f>
        <v>50.7525534123724</v>
      </c>
      <c r="BX10" s="13" t="n">
        <f aca="false">Waterfall!V7+Tax!V27</f>
        <v>51.7181226029479</v>
      </c>
      <c r="BY10" s="13" t="n">
        <f aca="false">Waterfall!W7+Tax!W27</f>
        <v>51.3586885011164</v>
      </c>
      <c r="BZ10" s="13" t="n">
        <f aca="false">Waterfall!X7+Tax!X27</f>
        <v>49.876949407473</v>
      </c>
      <c r="CA10" s="13" t="n">
        <f aca="false">Waterfall!Y7+Tax!Y27</f>
        <v>49.5116044819687</v>
      </c>
      <c r="CB10" s="13" t="n">
        <f aca="false">Waterfall!Z7+Tax!Z27</f>
        <v>50.1530293427834</v>
      </c>
      <c r="CC10" s="13" t="n">
        <f aca="false">Waterfall!AA7+Tax!AA27</f>
        <v>49.751361040428</v>
      </c>
      <c r="CD10" s="13" t="n">
        <f aca="false">Waterfall!AB7+Tax!AB27</f>
        <v>50.332202254931</v>
      </c>
      <c r="CE10" s="13" t="n">
        <f aca="false">Waterfall!AC7+Tax!AC27</f>
        <v>50.125499943408</v>
      </c>
      <c r="CF10" s="13" t="n">
        <f aca="false">Waterfall!AD7+Tax!AD27</f>
        <v>52.0292879173096</v>
      </c>
      <c r="CG10" s="13" t="n">
        <f aca="false">Waterfall!AE7+Tax!AE27</f>
        <v>52.1172501497587</v>
      </c>
      <c r="CH10" s="13" t="n">
        <f aca="false">Waterfall!AF7+Tax!AF27</f>
        <v>52.2792099169482</v>
      </c>
      <c r="CI10" s="13" t="n">
        <f aca="false">Waterfall!AG7+Tax!AG27</f>
        <v>51.9108226267803</v>
      </c>
      <c r="CJ10" s="13" t="n">
        <f aca="false">Waterfall!AH7+Tax!AH27</f>
        <v>52.5791143677771</v>
      </c>
      <c r="CK10" s="13" t="n">
        <f aca="false">Waterfall!AI7+Tax!AI27</f>
        <v>52.1708201656616</v>
      </c>
      <c r="CL10" s="13" t="n">
        <f aca="false">Waterfall!AJ7+Tax!AJ27</f>
        <v>52.7715097314759</v>
      </c>
      <c r="CM10" s="13" t="n">
        <f aca="false">Waterfall!AK7+Tax!AK27</f>
        <v>52.5319652708897</v>
      </c>
      <c r="CN10" s="13" t="n">
        <f aca="false">Waterfall!AL7+Tax!AL27</f>
        <v>53.6411301717824</v>
      </c>
      <c r="CO10" s="13" t="n">
        <f aca="false">Waterfall!AM7+Tax!AM27</f>
        <v>53.2647638052947</v>
      </c>
      <c r="CP10" s="13" t="n">
        <f aca="false">Waterfall!AN7+Tax!AN27</f>
        <v>51.4284111435682</v>
      </c>
      <c r="CQ10" s="13" t="n">
        <f aca="false">Waterfall!AO7+Tax!AO27</f>
        <v>51.0548363240559</v>
      </c>
      <c r="CR10" s="13" t="n">
        <f aca="false">Waterfall!AP7+Tax!AP27</f>
        <v>51.7523138620725</v>
      </c>
      <c r="CS10" s="13" t="n">
        <f aca="false">Waterfall!AQ7+Tax!AQ27</f>
        <v>51.3368081697205</v>
      </c>
      <c r="CT10" s="13" t="n">
        <f aca="false">Waterfall!AR7+Tax!AR27</f>
        <v>51.9589211783686</v>
      </c>
      <c r="CU10" s="13" t="n">
        <f aca="false">Waterfall!AS7+Tax!AS27</f>
        <v>51.7677850220337</v>
      </c>
      <c r="CV10" s="13" t="n">
        <f aca="false">Waterfall!AT7+Tax!AT27</f>
        <v>54.0807811763889</v>
      </c>
      <c r="CW10" s="13" t="n">
        <f aca="false">Waterfall!AU7+Tax!AU27</f>
        <v>54.1802141277072</v>
      </c>
      <c r="CX10" s="13" t="n">
        <f aca="false">Waterfall!AV7+Tax!AV27</f>
        <v>54.2687967527271</v>
      </c>
      <c r="CY10" s="13" t="n">
        <f aca="false">Waterfall!AW7+Tax!AW27</f>
        <v>53.8902728082909</v>
      </c>
      <c r="CZ10" s="13" t="n">
        <f aca="false">Waterfall!AX7+Tax!AX27</f>
        <v>54.6194573184057</v>
      </c>
      <c r="DA10" s="13" t="n">
        <f aca="false">Waterfall!AY7+Tax!AY27</f>
        <v>54.1961026420249</v>
      </c>
      <c r="DB10" s="13" t="n">
        <f aca="false">Waterfall!AZ7+Tax!AZ27</f>
        <v>54.8413415072736</v>
      </c>
      <c r="DC10" s="13" t="n">
        <f aca="false">Waterfall!BA7+Tax!BA27</f>
        <v>54.6098421249814</v>
      </c>
      <c r="DD10" s="13" t="n">
        <f aca="false">Waterfall!BB7+Tax!BB27</f>
        <v>55.8900759778908</v>
      </c>
      <c r="DE10" s="13" t="n">
        <f aca="false">Waterfall!BC7+Tax!BC27</f>
        <v>55.4935334551722</v>
      </c>
      <c r="DF10" s="13" t="n">
        <f aca="false">Waterfall!BD7+Tax!BD27</f>
        <v>53.2335745935227</v>
      </c>
      <c r="DG10" s="13" t="n">
        <f aca="false">Waterfall!BE7+Tax!BE27</f>
        <v>52.8500977875702</v>
      </c>
      <c r="DH10" s="13" t="n">
        <f aca="false">Waterfall!BF7+Tax!BF27</f>
        <v>53.6137304892728</v>
      </c>
      <c r="DI10" s="13" t="n">
        <f aca="false">Waterfall!BG7+Tax!BG27</f>
        <v>53.1818328333472</v>
      </c>
      <c r="DJ10" s="13" t="n">
        <f aca="false">Waterfall!BH7+Tax!BH27</f>
        <v>53.8520377654892</v>
      </c>
      <c r="DK10" s="13" t="n">
        <f aca="false">Waterfall!BI7+Tax!BI27</f>
        <v>53.6799100040049</v>
      </c>
      <c r="DL10" s="13" t="n">
        <f aca="false">Waterfall!BJ7+Tax!BJ27</f>
        <v>56.4806110237989</v>
      </c>
      <c r="DM10" s="13" t="n">
        <f aca="false">Waterfall!BK7+Tax!BK27</f>
        <v>56.5936447869674</v>
      </c>
      <c r="DN10" s="13" t="n">
        <f aca="false">Waterfall!BL7+Tax!BL27</f>
        <v>57.2945040846962</v>
      </c>
      <c r="DO10" s="13" t="n">
        <f aca="false">Waterfall!BM7+Tax!BM27</f>
        <v>42.3910692810528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1958</v>
      </c>
      <c r="E11" s="0" t="s">
        <v>151</v>
      </c>
      <c r="J11" s="13" t="n">
        <f aca="false">J8</f>
        <v>-14.2</v>
      </c>
      <c r="K11" s="13" t="n">
        <f aca="false">J11+K8</f>
        <v>-31.5443654741124</v>
      </c>
      <c r="L11" s="13" t="n">
        <f aca="false">K11+L8</f>
        <v>-32.1926858472915</v>
      </c>
      <c r="M11" s="13" t="n">
        <f aca="false">L11+M8</f>
        <v>-33.0191041951514</v>
      </c>
      <c r="N11" s="13" t="n">
        <f aca="false">M11+N8</f>
        <v>-34.187393975946</v>
      </c>
      <c r="O11" s="13" t="n">
        <f aca="false">N11+O8</f>
        <v>-35.8696445146233</v>
      </c>
      <c r="P11" s="13" t="n">
        <f aca="false">O11+P8</f>
        <v>-38.1878028531421</v>
      </c>
      <c r="Q11" s="13" t="n">
        <f aca="false">P11+Q8</f>
        <v>-41.2119055749412</v>
      </c>
      <c r="R11" s="13" t="n">
        <f aca="false">Q11+R8</f>
        <v>-45.0504581695079</v>
      </c>
      <c r="S11" s="13" t="n">
        <f aca="false">R11+S8</f>
        <v>-49.7007348030728</v>
      </c>
      <c r="T11" s="13" t="n">
        <f aca="false">S11+T8</f>
        <v>-55.1775505122526</v>
      </c>
      <c r="U11" s="13" t="n">
        <f aca="false">T11+U8</f>
        <v>-61.4278522120551</v>
      </c>
      <c r="V11" s="13" t="n">
        <f aca="false">U11+V8</f>
        <v>-68.4197648536391</v>
      </c>
      <c r="W11" s="13" t="n">
        <f aca="false">V11+W8</f>
        <v>-76.0637001659103</v>
      </c>
      <c r="X11" s="13" t="n">
        <f aca="false">W11+X8</f>
        <v>-84.2498663016529</v>
      </c>
      <c r="Y11" s="13" t="n">
        <f aca="false">X11+Y8</f>
        <v>-92.8848964123306</v>
      </c>
      <c r="Z11" s="13" t="n">
        <f aca="false">Y11+Z8</f>
        <v>-101.818811367983</v>
      </c>
      <c r="AA11" s="13" t="n">
        <f aca="false">Z11+AA8</f>
        <v>-110.939944934029</v>
      </c>
      <c r="AB11" s="13" t="n">
        <f aca="false">AA11+AB8</f>
        <v>-120.401488902301</v>
      </c>
      <c r="AC11" s="13" t="n">
        <f aca="false">AB11+AC8</f>
        <v>-129.426629900506</v>
      </c>
      <c r="AD11" s="13" t="n">
        <f aca="false">AC11+AD8</f>
        <v>-138.23725358992</v>
      </c>
      <c r="AE11" s="13" t="n">
        <f aca="false">AD11+AE8</f>
        <v>-146.659624289699</v>
      </c>
      <c r="AF11" s="13" t="n">
        <f aca="false">AE11+AF8</f>
        <v>-154.606172852108</v>
      </c>
      <c r="AG11" s="13" t="n">
        <f aca="false">AF11+AG8</f>
        <v>-161.941100782954</v>
      </c>
      <c r="AH11" s="13" t="n">
        <f aca="false">AG11+AH8</f>
        <v>-168.613906835266</v>
      </c>
      <c r="AI11" s="13" t="n">
        <f aca="false">AH11+AI8</f>
        <v>-174.544683101491</v>
      </c>
      <c r="AJ11" s="13" t="n">
        <f aca="false">AI11+AJ8</f>
        <v>-179.678484409552</v>
      </c>
      <c r="AK11" s="13" t="n">
        <f aca="false">AJ11+AK8</f>
        <v>-184.043040606375</v>
      </c>
      <c r="AL11" s="13" t="n">
        <f aca="false">AK11+AL8</f>
        <v>-187.624441228404</v>
      </c>
      <c r="AM11" s="13" t="n">
        <f aca="false">AL11+AM8</f>
        <v>-190.515685607479</v>
      </c>
      <c r="AN11" s="13" t="n">
        <f aca="false">AM11+AN8</f>
        <v>-192.788774610102</v>
      </c>
      <c r="AO11" s="13" t="n">
        <f aca="false">AN11+AO8</f>
        <v>-194.508941310563</v>
      </c>
      <c r="AP11" s="13" t="n">
        <f aca="false">AO11+AP8</f>
        <v>-195.944730356722</v>
      </c>
      <c r="AQ11" s="13" t="n">
        <f aca="false">AP11+AQ8</f>
        <v>-210.019769217089</v>
      </c>
      <c r="AR11" s="13" t="n">
        <f aca="false">AQ11+AR8</f>
        <v>-220.868444363384</v>
      </c>
      <c r="AS11" s="13" t="n">
        <f aca="false">AR11+AS8</f>
        <v>-221.833767584057</v>
      </c>
      <c r="AT11" s="13" t="n">
        <f aca="false">AS11+AT8</f>
        <v>-221.833767584057</v>
      </c>
      <c r="AU11" s="13" t="n">
        <f aca="false">AT11+AU8</f>
        <v>-221.833767584057</v>
      </c>
      <c r="AV11" s="13" t="n">
        <f aca="false">AU11+AV8</f>
        <v>-221.833767584057</v>
      </c>
      <c r="AW11" s="13" t="n">
        <f aca="false">AV11+AW8</f>
        <v>-221.833767584057</v>
      </c>
      <c r="AX11" s="13" t="n">
        <f aca="false">AW11+AX8</f>
        <v>-221.833767584057</v>
      </c>
      <c r="AY11" s="13" t="n">
        <f aca="false">AX11+AY8</f>
        <v>-221.833767584057</v>
      </c>
      <c r="AZ11" s="13" t="n">
        <f aca="false">AY11+AZ8</f>
        <v>-221.833767584057</v>
      </c>
      <c r="BA11" s="13" t="n">
        <f aca="false">AZ11+BA8</f>
        <v>-221.833767584057</v>
      </c>
      <c r="BB11" s="13" t="n">
        <f aca="false">BA11+BB8</f>
        <v>-221.833767584057</v>
      </c>
      <c r="BC11" s="13" t="n">
        <f aca="false">BB11+BC8</f>
        <v>-221.833767584057</v>
      </c>
      <c r="BD11" s="13" t="n">
        <f aca="false">BC11+BD8</f>
        <v>-221.833767584057</v>
      </c>
      <c r="BE11" s="13" t="n">
        <f aca="false">BD11+BE8</f>
        <v>-221.833767584057</v>
      </c>
      <c r="BF11" s="13" t="n">
        <f aca="false">BE11+BF8</f>
        <v>-221.833767584057</v>
      </c>
      <c r="BG11" s="13" t="n">
        <f aca="false">BF11+BG8</f>
        <v>-221.833767584057</v>
      </c>
      <c r="BH11" s="13" t="n">
        <f aca="false">BG11+BH8</f>
        <v>-221.833767584057</v>
      </c>
      <c r="BI11" s="13" t="n">
        <f aca="false">BH11+BI8</f>
        <v>-221.833767584057</v>
      </c>
      <c r="BJ11" s="13" t="n">
        <f aca="false">BI11+BJ8</f>
        <v>-221.833767584057</v>
      </c>
      <c r="BK11" s="13" t="n">
        <f aca="false">BJ11+BK8</f>
        <v>-221.833767584057</v>
      </c>
      <c r="BL11" s="13" t="n">
        <f aca="false">BK11+BL8</f>
        <v>-221.833767584057</v>
      </c>
      <c r="BM11" s="13" t="n">
        <f aca="false">BL11+BM8</f>
        <v>-221.833767584057</v>
      </c>
      <c r="BN11" s="13" t="n">
        <f aca="false">BM11+BN8</f>
        <v>-221.833767584057</v>
      </c>
      <c r="BO11" s="13" t="n">
        <f aca="false">BN11+BO8</f>
        <v>-221.833767584057</v>
      </c>
      <c r="BP11" s="13" t="n">
        <f aca="false">BO11+BP8</f>
        <v>-221.833767584057</v>
      </c>
      <c r="BQ11" s="13" t="n">
        <f aca="false">BP11+BQ8</f>
        <v>-221.833767584057</v>
      </c>
      <c r="BR11" s="13" t="n">
        <f aca="false">BQ11+BR8</f>
        <v>-206.790580032001</v>
      </c>
      <c r="BS11" s="13" t="n">
        <f aca="false">BR11+BS8</f>
        <v>-194.213037765298</v>
      </c>
      <c r="BT11" s="13" t="n">
        <f aca="false">BS11+BT8</f>
        <v>-180.714580494312</v>
      </c>
      <c r="BU11" s="13" t="n">
        <f aca="false">BT11+BU8</f>
        <v>-168.029608827107</v>
      </c>
      <c r="BV11" s="13" t="n">
        <f aca="false">BU11+BV8</f>
        <v>-154.601661833351</v>
      </c>
      <c r="BW11" s="13" t="n">
        <f aca="false">BV11+BW8</f>
        <v>-142.137028656137</v>
      </c>
      <c r="BX11" s="13" t="n">
        <f aca="false">BW11+BX8</f>
        <v>-128.442133479059</v>
      </c>
      <c r="BY11" s="13" t="n">
        <f aca="false">BX11+BY8</f>
        <v>-114.010240052532</v>
      </c>
      <c r="BZ11" s="13" t="n">
        <f aca="false">BY11+BZ8</f>
        <v>-100.703682689604</v>
      </c>
      <c r="CA11" s="13" t="n">
        <f aca="false">BZ11+CA8</f>
        <v>-88.1814871520697</v>
      </c>
      <c r="CB11" s="13" t="n">
        <f aca="false">CA11+CB8</f>
        <v>-74.9582366988144</v>
      </c>
      <c r="CC11" s="13" t="n">
        <f aca="false">CB11+CC8</f>
        <v>-68.7635637748915</v>
      </c>
      <c r="CD11" s="13" t="n">
        <f aca="false">CC11+CD8</f>
        <v>-61.5601256311109</v>
      </c>
      <c r="CE11" s="13" t="n">
        <f aca="false">CD11+CE8</f>
        <v>-54.6848322161575</v>
      </c>
      <c r="CF11" s="13" t="n">
        <f aca="false">CE11+CF8</f>
        <v>-46.4683910780944</v>
      </c>
      <c r="CG11" s="13" t="n">
        <f aca="false">CF11+CG8</f>
        <v>-37.6391313606121</v>
      </c>
      <c r="CH11" s="13" t="n">
        <f aca="false">CG11+CH8</f>
        <v>-27.9135315613963</v>
      </c>
      <c r="CI11" s="13" t="n">
        <f aca="false">CH11+CI8</f>
        <v>-17.7524164795009</v>
      </c>
      <c r="CJ11" s="13" t="n">
        <f aca="false">CI11+CJ8</f>
        <v>-6.2093107966382</v>
      </c>
      <c r="CK11" s="13" t="n">
        <f aca="false">CJ11+CK8</f>
        <v>6.21167415412752</v>
      </c>
      <c r="CL11" s="13" t="n">
        <f aca="false">CK11+CL8</f>
        <v>21.3031509610294</v>
      </c>
      <c r="CM11" s="13" t="n">
        <f aca="false">CL11+CM8</f>
        <v>53.1778189191792</v>
      </c>
      <c r="CN11" s="13" t="n">
        <f aca="false">CM11+CN8</f>
        <v>82.8744676020766</v>
      </c>
      <c r="CO11" s="13" t="n">
        <f aca="false">CN11+CO8</f>
        <v>116.05615386148</v>
      </c>
      <c r="CP11" s="13" t="n">
        <f aca="false">CO11+CP8</f>
        <v>139.535080394348</v>
      </c>
      <c r="CQ11" s="13" t="n">
        <f aca="false">CP11+CQ8</f>
        <v>181.043046647459</v>
      </c>
      <c r="CR11" s="13" t="n">
        <f aca="false">CQ11+CR8</f>
        <v>222.649593030766</v>
      </c>
      <c r="CS11" s="13" t="n">
        <f aca="false">CR11+CS8</f>
        <v>263.807044850469</v>
      </c>
      <c r="CT11" s="13" t="n">
        <f aca="false">CS11+CT8</f>
        <v>305.558389628468</v>
      </c>
      <c r="CU11" s="13" t="n">
        <f aca="false">CT11+CU8</f>
        <v>347.042457462261</v>
      </c>
      <c r="CV11" s="13" t="n">
        <f aca="false">CU11+CV8</f>
        <v>395.257952544393</v>
      </c>
      <c r="CW11" s="13" t="n">
        <f aca="false">CV11+CW8</f>
        <v>439.034169195735</v>
      </c>
      <c r="CX11" s="13" t="n">
        <f aca="false">CW11+CX8</f>
        <v>482.930501181309</v>
      </c>
      <c r="CY11" s="13" t="n">
        <f aca="false">CX11+CY8</f>
        <v>526.399967935528</v>
      </c>
      <c r="CZ11" s="13" t="n">
        <f aca="false">CY11+CZ8</f>
        <v>570.541712289806</v>
      </c>
      <c r="DA11" s="13" t="n">
        <f aca="false">CZ11+DA8</f>
        <v>614.224315990495</v>
      </c>
      <c r="DB11" s="13" t="n">
        <f aca="false">DA11+DB8</f>
        <v>658.521747033811</v>
      </c>
      <c r="DC11" s="13" t="n">
        <f aca="false">DB11+DC8</f>
        <v>702.024431410758</v>
      </c>
      <c r="DD11" s="13" t="n">
        <f aca="false">DC11+DD8</f>
        <v>746.766106102585</v>
      </c>
      <c r="DE11" s="13" t="n">
        <f aca="false">DD11+DE8</f>
        <v>788.089943256189</v>
      </c>
      <c r="DF11" s="13" t="n">
        <f aca="false">DE11+DF8</f>
        <v>823.294026244244</v>
      </c>
      <c r="DG11" s="13" t="n">
        <f aca="false">DF11+DG8</f>
        <v>858.045700814556</v>
      </c>
      <c r="DH11" s="13" t="n">
        <f aca="false">DG11+DH8</f>
        <v>893.481720400171</v>
      </c>
      <c r="DI11" s="13" t="n">
        <f aca="false">DH11+DI8</f>
        <v>928.430562534409</v>
      </c>
      <c r="DJ11" s="13" t="n">
        <f aca="false">DI11+DJ8</f>
        <v>963.999495120959</v>
      </c>
      <c r="DK11" s="13" t="n">
        <f aca="false">DJ11+DK8</f>
        <v>999.287838864365</v>
      </c>
      <c r="DL11" s="13" t="n">
        <f aca="false">DK11+DL8</f>
        <v>1042.58099526588</v>
      </c>
      <c r="DM11" s="13" t="n">
        <f aca="false">DL11+DM8</f>
        <v>1080.60409920987</v>
      </c>
      <c r="DN11" s="13" t="n">
        <f aca="false">DM11+DN8</f>
        <v>1119.35146209508</v>
      </c>
      <c r="DO11" s="13" t="n">
        <f aca="false">DN11+DO8</f>
        <v>1174.12280020821</v>
      </c>
      <c r="DP11" s="13" t="n">
        <f aca="false">DO11+DP8</f>
        <v>1174.12280020821</v>
      </c>
    </row>
    <row r="12" customFormat="false" ht="15" hidden="false" customHeight="false" outlineLevel="0" collapsed="false">
      <c r="D12" s="0" t="s">
        <v>1959</v>
      </c>
      <c r="E12" s="0" t="s">
        <v>105</v>
      </c>
      <c r="F12" s="20" t="n">
        <f aca="false">XIRR(Returns!$J$8:$DP$8,Returns!$J$7:$DP$7)</f>
        <v>0.13271644127955</v>
      </c>
    </row>
    <row r="13" customFormat="false" ht="15" hidden="false" customHeight="false" outlineLevel="0" collapsed="false">
      <c r="D13" s="0" t="s">
        <v>1960</v>
      </c>
      <c r="E13" s="0" t="s">
        <v>105</v>
      </c>
      <c r="F13" s="20" t="n">
        <f aca="false">XIRR(Returns!$J$9:$DP$9,Returns!$J$7:$DP$7,Inputs!$F$255)</f>
        <v>0.109626722899801</v>
      </c>
    </row>
    <row r="14" customFormat="false" ht="15" hidden="false" customHeight="false" outlineLevel="0" collapsed="false">
      <c r="D14" s="0" t="s">
        <v>1961</v>
      </c>
      <c r="E14" s="0" t="s">
        <v>105</v>
      </c>
      <c r="F14" s="20" t="n">
        <f aca="false">XIRR(Returns!$J$10:$DP$10,Returns!$J$7:$DP$7,Inputs!$F$255)</f>
        <v>0.115877693014256</v>
      </c>
    </row>
    <row r="15" customFormat="false" ht="15" hidden="false" customHeight="false" outlineLevel="0" collapsed="false">
      <c r="D15" s="0" t="s">
        <v>1962</v>
      </c>
      <c r="E15" s="0" t="s">
        <v>151</v>
      </c>
      <c r="F15" s="21" t="n">
        <f aca="false">XNPV(Inputs!$F$252/100,Returns!$J$8:$DP$8,Returns!$J$7:$DP$7)*(1+Inputs!$F$252/100)^((Inputs!$F$187-Inputs!$F$186)/Inputs!$F$248)</f>
        <v>-42.9521281527937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1964</v>
      </c>
      <c r="E7" s="0" t="s">
        <v>1965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1966</v>
      </c>
      <c r="E8" s="0" t="s">
        <v>1965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1967</v>
      </c>
      <c r="E9" s="0" t="s">
        <v>1965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1968</v>
      </c>
      <c r="E10" s="0" t="s">
        <v>1965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1969</v>
      </c>
      <c r="E11" s="0" t="s">
        <v>1965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1970</v>
      </c>
      <c r="E12" s="0" t="s">
        <v>1965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1971</v>
      </c>
      <c r="E13" s="0" t="s">
        <v>1965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1972</v>
      </c>
      <c r="E14" s="0" t="s">
        <v>1965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1973</v>
      </c>
      <c r="E15" s="0" t="s">
        <v>1965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1974</v>
      </c>
      <c r="E16" s="0" t="s">
        <v>1965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1975</v>
      </c>
      <c r="E17" s="0" t="s">
        <v>1965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1976</v>
      </c>
      <c r="E18" s="0" t="s">
        <v>1965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1977</v>
      </c>
      <c r="E19" s="0" t="s">
        <v>1965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1978</v>
      </c>
      <c r="E20" s="0" t="s">
        <v>1965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1979</v>
      </c>
      <c r="E21" s="0" t="s">
        <v>1965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1980</v>
      </c>
      <c r="E22" s="0" t="s">
        <v>1965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1981</v>
      </c>
      <c r="E23" s="0" t="s">
        <v>1965</v>
      </c>
      <c r="F23" s="3" t="n">
        <f aca="false">IF(AND(Inputs!$F$47=1,Inputs!$F$49=0,Inputs!$F$50=0,Inputs!$F$312=0),(Debt!$F$140&gt;Inputs!$F$1315)+(Debt!$F$138&gt;Inputs!$F$1316)+(Debt!$F$139&gt;Inputs!$F$1317/100)+(Debt!$F$141&gt;Inputs!$F$1318)+(Debt!$F$142&lt;Inputs!$F$1319/100),0)</f>
        <v>0</v>
      </c>
    </row>
    <row r="24" customFormat="false" ht="15" hidden="false" customHeight="false" outlineLevel="0" collapsed="false">
      <c r="D24" s="0" t="s">
        <v>1982</v>
      </c>
      <c r="E24" s="0" t="s">
        <v>1965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1983</v>
      </c>
      <c r="E25" s="0" t="s">
        <v>1965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1984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1985</v>
      </c>
      <c r="E7" s="0" t="s">
        <v>151</v>
      </c>
      <c r="F7" s="22" t="n">
        <f aca="false">Funding!$F$75</f>
        <v>855.089743126849</v>
      </c>
    </row>
    <row r="8" customFormat="false" ht="15" hidden="false" customHeight="false" outlineLevel="0" collapsed="false">
      <c r="D8" s="0" t="s">
        <v>1986</v>
      </c>
      <c r="E8" s="0" t="s">
        <v>151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1987</v>
      </c>
      <c r="E9" s="0" t="s">
        <v>151</v>
      </c>
      <c r="F9" s="22" t="n">
        <f aca="false">SUM(Funding!$J$67:$BJ$67)</f>
        <v>221.833767584057</v>
      </c>
    </row>
    <row r="10" customFormat="false" ht="15" hidden="false" customHeight="false" outlineLevel="0" collapsed="false">
      <c r="D10" s="0" t="s">
        <v>1988</v>
      </c>
      <c r="E10" s="0" t="s">
        <v>105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1989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1990</v>
      </c>
      <c r="E12" s="0" t="s">
        <v>151</v>
      </c>
      <c r="F12" s="22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1991</v>
      </c>
      <c r="E13" s="0" t="s">
        <v>151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1992</v>
      </c>
      <c r="E14" s="0" t="s">
        <v>151</v>
      </c>
      <c r="F14" s="22" t="n">
        <f aca="false">SUM(Funding!$J$44:$BJ$44)</f>
        <v>37.2458954370954</v>
      </c>
    </row>
    <row r="15" customFormat="false" ht="15" hidden="false" customHeight="false" outlineLevel="0" collapsed="false">
      <c r="D15" s="0" t="s">
        <v>1993</v>
      </c>
      <c r="E15" s="0" t="s">
        <v>151</v>
      </c>
      <c r="F15" s="22" t="n">
        <f aca="false">SUM(Funding!$J$55:$BJ$55)</f>
        <v>1.74223968585352E-011</v>
      </c>
    </row>
    <row r="16" customFormat="false" ht="15" hidden="false" customHeight="false" outlineLevel="0" collapsed="false">
      <c r="D16" s="0" t="s">
        <v>1994</v>
      </c>
      <c r="E16" s="0" t="s">
        <v>151</v>
      </c>
      <c r="F16" s="22" t="n">
        <f aca="false">SUM(Funding!$J$56:$BJ$56)</f>
        <v>5.80746561951173E-012</v>
      </c>
    </row>
    <row r="17" customFormat="false" ht="15" hidden="false" customHeight="false" outlineLevel="0" collapsed="false">
      <c r="D17" s="0" t="s">
        <v>1945</v>
      </c>
      <c r="E17" s="0" t="s">
        <v>204</v>
      </c>
      <c r="F17" s="22" t="n">
        <f aca="false">Ratios!$F$16</f>
        <v>1.35051420142752</v>
      </c>
    </row>
    <row r="18" customFormat="false" ht="15" hidden="false" customHeight="false" outlineLevel="0" collapsed="false">
      <c r="D18" s="0" t="s">
        <v>1995</v>
      </c>
      <c r="E18" s="0" t="s">
        <v>204</v>
      </c>
      <c r="F18" s="22" t="n">
        <f aca="false">Ratios!$F$17</f>
        <v>1.53853184315627</v>
      </c>
    </row>
    <row r="19" customFormat="false" ht="15" hidden="false" customHeight="false" outlineLevel="0" collapsed="false">
      <c r="D19" s="0" t="s">
        <v>1996</v>
      </c>
      <c r="E19" s="0" t="s">
        <v>204</v>
      </c>
      <c r="F19" s="22" t="n">
        <f aca="false">Ratios!$F$18</f>
        <v>1.41949810707991</v>
      </c>
    </row>
    <row r="20" customFormat="false" ht="15" hidden="false" customHeight="false" outlineLevel="0" collapsed="false">
      <c r="D20" s="0" t="s">
        <v>1948</v>
      </c>
      <c r="E20" s="0" t="s">
        <v>204</v>
      </c>
      <c r="F20" s="22" t="n">
        <f aca="false">Ratios!$F$19</f>
        <v>1.85963885728735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0.13271644127955</v>
      </c>
    </row>
    <row r="22" customFormat="false" ht="15" hidden="false" customHeight="false" outlineLevel="0" collapsed="false">
      <c r="D22" s="0" t="s">
        <v>1997</v>
      </c>
      <c r="E22" s="0" t="s">
        <v>105</v>
      </c>
      <c r="F22" s="20" t="n">
        <f aca="false">Returns!$F$13</f>
        <v>0.109626722899801</v>
      </c>
    </row>
    <row r="23" customFormat="false" ht="15" hidden="false" customHeight="false" outlineLevel="0" collapsed="false">
      <c r="D23" s="0" t="s">
        <v>1998</v>
      </c>
      <c r="E23" s="0" t="s">
        <v>151</v>
      </c>
      <c r="F23" s="22" t="n">
        <f aca="false">Returns!$F$15</f>
        <v>-42.9521281527937</v>
      </c>
    </row>
    <row r="24" customFormat="false" ht="15" hidden="false" customHeight="false" outlineLevel="0" collapsed="false">
      <c r="D24" s="0" t="s">
        <v>1999</v>
      </c>
      <c r="E24" s="0" t="s">
        <v>1965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2000</v>
      </c>
    </row>
    <row r="27" customFormat="false" ht="15" hidden="false" customHeight="false" outlineLevel="0" collapsed="false">
      <c r="D27" s="2" t="s">
        <v>2001</v>
      </c>
      <c r="J27" s="2" t="s">
        <v>1985</v>
      </c>
      <c r="K27" s="2" t="s">
        <v>1986</v>
      </c>
      <c r="L27" s="2" t="s">
        <v>1987</v>
      </c>
      <c r="M27" s="2" t="s">
        <v>1988</v>
      </c>
      <c r="N27" s="2" t="s">
        <v>1989</v>
      </c>
      <c r="O27" s="2" t="s">
        <v>1990</v>
      </c>
      <c r="P27" s="2" t="s">
        <v>1991</v>
      </c>
      <c r="Q27" s="2" t="s">
        <v>1992</v>
      </c>
      <c r="R27" s="2" t="s">
        <v>1993</v>
      </c>
      <c r="S27" s="2" t="s">
        <v>1994</v>
      </c>
      <c r="T27" s="2" t="s">
        <v>1945</v>
      </c>
      <c r="U27" s="2" t="s">
        <v>1995</v>
      </c>
      <c r="V27" s="2" t="s">
        <v>1996</v>
      </c>
      <c r="W27" s="2" t="s">
        <v>1948</v>
      </c>
      <c r="X27" s="2" t="s">
        <v>436</v>
      </c>
      <c r="Y27" s="2" t="s">
        <v>1997</v>
      </c>
      <c r="Z27" s="2" t="s">
        <v>1998</v>
      </c>
    </row>
    <row r="28" customFormat="false" ht="15" hidden="false" customHeight="false" outlineLevel="0" collapsed="false">
      <c r="D28" s="0" t="s">
        <v>2002</v>
      </c>
      <c r="J28" s="23" t="n">
        <v>855.08974312685</v>
      </c>
      <c r="K28" s="23" t="n">
        <v>633.255975542774</v>
      </c>
      <c r="L28" s="23" t="n">
        <v>221.833767584058</v>
      </c>
      <c r="M28" s="24" t="n">
        <v>0.740572531284416</v>
      </c>
      <c r="N28" s="23" t="n">
        <v>63.8991478551823</v>
      </c>
      <c r="O28" s="23" t="n">
        <v>20.8187478987925</v>
      </c>
      <c r="P28" s="23" t="n">
        <v>20.6124820039179</v>
      </c>
      <c r="Q28" s="23" t="n">
        <v>37.2458954370954</v>
      </c>
      <c r="R28" s="23" t="n">
        <v>0</v>
      </c>
      <c r="S28" s="23" t="n">
        <v>0</v>
      </c>
      <c r="T28" s="23" t="n">
        <v>1.35000000007491</v>
      </c>
      <c r="U28" s="23" t="n">
        <v>1.53822812236178</v>
      </c>
      <c r="V28" s="23" t="n">
        <v>1.41911920120462</v>
      </c>
      <c r="W28" s="23" t="n">
        <v>1.85972818960051</v>
      </c>
      <c r="X28" s="24" t="n">
        <v>0.132662203987854</v>
      </c>
      <c r="Y28" s="24" t="n">
        <v>0.109610228238084</v>
      </c>
      <c r="Z28" s="23" t="n">
        <v>-43.0674358225566</v>
      </c>
    </row>
    <row r="29" customFormat="false" ht="15" hidden="false" customHeight="false" outlineLevel="0" collapsed="false">
      <c r="D29" s="0" t="s">
        <v>2003</v>
      </c>
      <c r="J29" s="23" t="n">
        <v>855.08974312685</v>
      </c>
      <c r="K29" s="23" t="n">
        <v>633.255975542774</v>
      </c>
      <c r="L29" s="23" t="n">
        <v>221.833767584058</v>
      </c>
      <c r="M29" s="24" t="n">
        <v>0.740572531284416</v>
      </c>
      <c r="N29" s="23" t="n">
        <v>63.8991478551823</v>
      </c>
      <c r="O29" s="23" t="n">
        <v>20.8187478987925</v>
      </c>
      <c r="P29" s="23" t="n">
        <v>20.6124820039179</v>
      </c>
      <c r="Q29" s="23" t="n">
        <v>37.2458954370954</v>
      </c>
      <c r="R29" s="23" t="n">
        <v>0</v>
      </c>
      <c r="S29" s="23" t="n">
        <v>0</v>
      </c>
      <c r="T29" s="23" t="n">
        <v>1.34777442930408</v>
      </c>
      <c r="U29" s="23" t="n">
        <v>1.53597832429625</v>
      </c>
      <c r="V29" s="23" t="n">
        <v>1.41735387637655</v>
      </c>
      <c r="W29" s="23" t="n">
        <v>1.85720343233978</v>
      </c>
      <c r="X29" s="24" t="n">
        <v>0.132324210035034</v>
      </c>
      <c r="Y29" s="24" t="n">
        <v>0.109453951121722</v>
      </c>
      <c r="Z29" s="23" t="n">
        <v>-43.6041818045458</v>
      </c>
    </row>
    <row r="30" customFormat="false" ht="15" hidden="false" customHeight="false" outlineLevel="0" collapsed="false">
      <c r="D30" s="0" t="s">
        <v>2004</v>
      </c>
      <c r="J30" s="23" t="n">
        <v>855.08974312685</v>
      </c>
      <c r="K30" s="23" t="n">
        <v>633.255975542774</v>
      </c>
      <c r="L30" s="23" t="n">
        <v>221.833767584058</v>
      </c>
      <c r="M30" s="24" t="n">
        <v>0.740572531284416</v>
      </c>
      <c r="N30" s="23" t="n">
        <v>63.8991478551823</v>
      </c>
      <c r="O30" s="23" t="n">
        <v>20.8187478987925</v>
      </c>
      <c r="P30" s="23" t="n">
        <v>20.6124820039179</v>
      </c>
      <c r="Q30" s="23" t="n">
        <v>37.2458954370954</v>
      </c>
      <c r="R30" s="23" t="n">
        <v>0</v>
      </c>
      <c r="S30" s="23" t="n">
        <v>0</v>
      </c>
      <c r="T30" s="23" t="n">
        <v>1.20035870381227</v>
      </c>
      <c r="U30" s="23" t="n">
        <v>1.37628354287749</v>
      </c>
      <c r="V30" s="23" t="n">
        <v>1.30614024892093</v>
      </c>
      <c r="W30" s="23" t="n">
        <v>1.71780585814861</v>
      </c>
      <c r="X30" s="24" t="n">
        <v>0.113604871033352</v>
      </c>
      <c r="Y30" s="24" t="n">
        <v>0.100651471285979</v>
      </c>
      <c r="Z30" s="23" t="n">
        <v>-73.6294296527948</v>
      </c>
    </row>
    <row r="31" customFormat="false" ht="15" hidden="false" customHeight="false" outlineLevel="0" collapsed="false">
      <c r="D31" s="0" t="s">
        <v>2005</v>
      </c>
      <c r="J31" s="23" t="n">
        <v>855.08974312685</v>
      </c>
      <c r="K31" s="23" t="n">
        <v>633.255975542774</v>
      </c>
      <c r="L31" s="23" t="n">
        <v>221.833767584058</v>
      </c>
      <c r="M31" s="24" t="n">
        <v>0.740572531284416</v>
      </c>
      <c r="N31" s="23" t="n">
        <v>63.8991478551823</v>
      </c>
      <c r="O31" s="23" t="n">
        <v>20.8187478987925</v>
      </c>
      <c r="P31" s="23" t="n">
        <v>20.6124820039179</v>
      </c>
      <c r="Q31" s="23" t="n">
        <v>37.2458954370954</v>
      </c>
      <c r="R31" s="23" t="n">
        <v>0</v>
      </c>
      <c r="S31" s="23" t="n">
        <v>0</v>
      </c>
      <c r="T31" s="23" t="n">
        <v>1.32090776164262</v>
      </c>
      <c r="U31" s="23" t="n">
        <v>1.53355935298063</v>
      </c>
      <c r="V31" s="23" t="n">
        <v>1.41716762939096</v>
      </c>
      <c r="W31" s="23" t="n">
        <v>1.85590685257358</v>
      </c>
      <c r="X31" s="24" t="n">
        <v>0.132391894286634</v>
      </c>
      <c r="Y31" s="24" t="n">
        <v>0.109455861578515</v>
      </c>
      <c r="Z31" s="23" t="n">
        <v>-43.3724878193095</v>
      </c>
    </row>
    <row r="32" customFormat="false" ht="15" hidden="false" customHeight="false" outlineLevel="0" collapsed="false">
      <c r="D32" s="0" t="s">
        <v>2006</v>
      </c>
      <c r="J32" s="23" t="n">
        <v>855.08974312685</v>
      </c>
      <c r="K32" s="23" t="n">
        <v>633.255975542774</v>
      </c>
      <c r="L32" s="23" t="n">
        <v>221.833767584058</v>
      </c>
      <c r="M32" s="24" t="n">
        <v>0.740572531284416</v>
      </c>
      <c r="N32" s="23" t="n">
        <v>63.8991478551823</v>
      </c>
      <c r="O32" s="23" t="n">
        <v>20.8187478987925</v>
      </c>
      <c r="P32" s="23" t="n">
        <v>20.6124820039179</v>
      </c>
      <c r="Q32" s="23" t="n">
        <v>37.2458954370954</v>
      </c>
      <c r="R32" s="23" t="n">
        <v>0</v>
      </c>
      <c r="S32" s="23" t="n">
        <v>0</v>
      </c>
      <c r="T32" s="23" t="n">
        <v>1.30330028783726</v>
      </c>
      <c r="U32" s="23" t="n">
        <v>1.49194512474653</v>
      </c>
      <c r="V32" s="23" t="n">
        <v>1.38458928528038</v>
      </c>
      <c r="W32" s="23" t="n">
        <v>1.80529643069646</v>
      </c>
      <c r="X32" s="24" t="n">
        <v>0.125412242079792</v>
      </c>
      <c r="Y32" s="24" t="n">
        <v>0.106229479414503</v>
      </c>
      <c r="Z32" s="23" t="n">
        <v>-54.6045851475661</v>
      </c>
    </row>
    <row r="33" customFormat="false" ht="15" hidden="false" customHeight="false" outlineLevel="0" collapsed="false">
      <c r="D33" s="0" t="s">
        <v>2007</v>
      </c>
      <c r="J33" s="23" t="n">
        <v>855.08974312685</v>
      </c>
      <c r="K33" s="23" t="n">
        <v>633.255975542774</v>
      </c>
      <c r="L33" s="23" t="n">
        <v>221.833767584058</v>
      </c>
      <c r="M33" s="24" t="n">
        <v>0.740572531284416</v>
      </c>
      <c r="N33" s="23" t="n">
        <v>63.8991478551823</v>
      </c>
      <c r="O33" s="23" t="n">
        <v>20.8187478987925</v>
      </c>
      <c r="P33" s="23" t="n">
        <v>20.6124820039179</v>
      </c>
      <c r="Q33" s="23" t="n">
        <v>37.2458954370954</v>
      </c>
      <c r="R33" s="23" t="n">
        <v>0</v>
      </c>
      <c r="S33" s="23" t="n">
        <v>0</v>
      </c>
      <c r="T33" s="23" t="n">
        <v>1.31905245222409</v>
      </c>
      <c r="U33" s="23" t="n">
        <v>1.50731891410778</v>
      </c>
      <c r="V33" s="23" t="n">
        <v>1.39621346331537</v>
      </c>
      <c r="W33" s="23" t="n">
        <v>1.82299267792293</v>
      </c>
      <c r="X33" s="24" t="n">
        <v>0.127789379319678</v>
      </c>
      <c r="Y33" s="24" t="n">
        <v>0.10733810057655</v>
      </c>
      <c r="Z33" s="23" t="n">
        <v>-50.7974703672302</v>
      </c>
    </row>
    <row r="34" customFormat="false" ht="15" hidden="false" customHeight="false" outlineLevel="0" collapsed="false">
      <c r="D34" s="0" t="s">
        <v>2008</v>
      </c>
      <c r="J34" s="23" t="n">
        <v>936.432450796764</v>
      </c>
      <c r="K34" s="23" t="n">
        <v>693.496150462995</v>
      </c>
      <c r="L34" s="23" t="n">
        <v>242.936300333335</v>
      </c>
      <c r="M34" s="24" t="n">
        <v>0.740572531284416</v>
      </c>
      <c r="N34" s="23" t="n">
        <v>69.8332150563923</v>
      </c>
      <c r="O34" s="23" t="n">
        <v>22.6841045265809</v>
      </c>
      <c r="P34" s="23" t="n">
        <v>22.5732996975846</v>
      </c>
      <c r="Q34" s="23" t="n">
        <v>40.8400145911588</v>
      </c>
      <c r="R34" s="23" t="n">
        <v>0</v>
      </c>
      <c r="S34" s="23" t="n">
        <v>0</v>
      </c>
      <c r="T34" s="23" t="n">
        <v>1.23095191748826</v>
      </c>
      <c r="U34" s="23" t="n">
        <v>1.3845957597332</v>
      </c>
      <c r="V34" s="23" t="n">
        <v>1.30830586147886</v>
      </c>
      <c r="W34" s="23" t="n">
        <v>1.72571008101997</v>
      </c>
      <c r="X34" s="24" t="n">
        <v>0.114367090881062</v>
      </c>
      <c r="Y34" s="24" t="n">
        <v>0.101137787910326</v>
      </c>
      <c r="Z34" s="23" t="n">
        <v>-79.9756064768368</v>
      </c>
    </row>
    <row r="35" customFormat="false" ht="15" hidden="false" customHeight="false" outlineLevel="0" collapsed="false">
      <c r="D35" s="0" t="s">
        <v>2009</v>
      </c>
      <c r="J35" s="23" t="n">
        <v>888.150681571328</v>
      </c>
      <c r="K35" s="23" t="n">
        <v>657.739998413145</v>
      </c>
      <c r="L35" s="23" t="n">
        <v>230.41068315807</v>
      </c>
      <c r="M35" s="24" t="n">
        <v>0.740572531284416</v>
      </c>
      <c r="N35" s="23" t="n">
        <v>84.4070410521322</v>
      </c>
      <c r="O35" s="23" t="n">
        <v>22.5895815874592</v>
      </c>
      <c r="P35" s="23" t="n">
        <v>21.4094369483515</v>
      </c>
      <c r="Q35" s="23" t="n">
        <v>39.5901571901136</v>
      </c>
      <c r="R35" s="23" t="n">
        <v>0</v>
      </c>
      <c r="S35" s="23" t="n">
        <v>0</v>
      </c>
      <c r="T35" s="23" t="n">
        <v>1.2541918664069</v>
      </c>
      <c r="U35" s="23" t="n">
        <v>1.44735674902185</v>
      </c>
      <c r="V35" s="23" t="n">
        <v>1.34990102842378</v>
      </c>
      <c r="W35" s="23" t="n">
        <v>1.81204226648804</v>
      </c>
      <c r="X35" s="24" t="n">
        <v>0.120686888761948</v>
      </c>
      <c r="Y35" s="24" t="n">
        <v>0.104405628455969</v>
      </c>
      <c r="Z35" s="23" t="n">
        <v>-66.214655582032</v>
      </c>
    </row>
    <row r="36" customFormat="false" ht="15" hidden="false" customHeight="false" outlineLevel="0" collapsed="false">
      <c r="D36" s="0" t="s">
        <v>2010</v>
      </c>
      <c r="J36" s="23" t="n">
        <v>855.08974312685</v>
      </c>
      <c r="K36" s="23" t="n">
        <v>633.255975542774</v>
      </c>
      <c r="L36" s="23" t="n">
        <v>221.833767584058</v>
      </c>
      <c r="M36" s="24" t="n">
        <v>0.740572531284416</v>
      </c>
      <c r="N36" s="23" t="n">
        <v>63.8991478551823</v>
      </c>
      <c r="O36" s="23" t="n">
        <v>20.8187478987925</v>
      </c>
      <c r="P36" s="23" t="n">
        <v>20.6124820039179</v>
      </c>
      <c r="Q36" s="23" t="n">
        <v>37.2458954370954</v>
      </c>
      <c r="R36" s="23" t="n">
        <v>0</v>
      </c>
      <c r="S36" s="23" t="n">
        <v>0</v>
      </c>
      <c r="T36" s="23" t="n">
        <v>1.29745914957028</v>
      </c>
      <c r="U36" s="23" t="n">
        <v>1.51308543168391</v>
      </c>
      <c r="V36" s="23" t="n">
        <v>1.3962916085497</v>
      </c>
      <c r="W36" s="23" t="n">
        <v>1.84131646975427</v>
      </c>
      <c r="X36" s="24" t="n">
        <v>0.129260939715468</v>
      </c>
      <c r="Y36" s="24" t="n">
        <v>0.109925824767384</v>
      </c>
      <c r="Z36" s="23" t="n">
        <v>-49.1619266394003</v>
      </c>
    </row>
    <row r="37" customFormat="false" ht="15" hidden="false" customHeight="false" outlineLevel="0" collapsed="false">
      <c r="D37" s="0" t="s">
        <v>2011</v>
      </c>
      <c r="J37" s="23" t="n">
        <v>855.08974312685</v>
      </c>
      <c r="K37" s="23" t="n">
        <v>633.255975542774</v>
      </c>
      <c r="L37" s="23" t="n">
        <v>221.833767584058</v>
      </c>
      <c r="M37" s="24" t="n">
        <v>0.740572531284416</v>
      </c>
      <c r="N37" s="23" t="n">
        <v>63.8991478551823</v>
      </c>
      <c r="O37" s="23" t="n">
        <v>20.8187478987925</v>
      </c>
      <c r="P37" s="23" t="n">
        <v>20.6124820039179</v>
      </c>
      <c r="Q37" s="23" t="n">
        <v>37.2458954370954</v>
      </c>
      <c r="R37" s="23" t="n">
        <v>0</v>
      </c>
      <c r="S37" s="23" t="n">
        <v>0</v>
      </c>
      <c r="T37" s="23" t="n">
        <v>0.450935321173758</v>
      </c>
      <c r="U37" s="23" t="n">
        <v>1.51534511496452</v>
      </c>
      <c r="V37" s="23" t="n">
        <v>1.39961356023434</v>
      </c>
      <c r="W37" s="23" t="n">
        <v>1.82923204781682</v>
      </c>
      <c r="X37" s="24" t="n">
        <v>0.128571828791842</v>
      </c>
      <c r="Y37" s="24" t="n">
        <v>0.107574219959659</v>
      </c>
      <c r="Z37" s="23" t="n">
        <v>-49.8504188728201</v>
      </c>
    </row>
    <row r="38" customFormat="false" ht="15" hidden="false" customHeight="false" outlineLevel="0" collapsed="false">
      <c r="D38" s="0" t="s">
        <v>2012</v>
      </c>
      <c r="J38" s="23" t="n">
        <v>855.08974312685</v>
      </c>
      <c r="K38" s="23" t="n">
        <v>633.255975542774</v>
      </c>
      <c r="L38" s="23" t="n">
        <v>221.833767584058</v>
      </c>
      <c r="M38" s="24" t="n">
        <v>0.740572531284416</v>
      </c>
      <c r="N38" s="23" t="n">
        <v>63.8991478551823</v>
      </c>
      <c r="O38" s="23" t="n">
        <v>20.8187478987925</v>
      </c>
      <c r="P38" s="23" t="n">
        <v>20.6124820039179</v>
      </c>
      <c r="Q38" s="23" t="n">
        <v>37.2458954370954</v>
      </c>
      <c r="R38" s="23" t="n">
        <v>0</v>
      </c>
      <c r="S38" s="23" t="n">
        <v>0</v>
      </c>
      <c r="T38" s="23" t="n">
        <v>0.130444886496081</v>
      </c>
      <c r="U38" s="23" t="n">
        <v>1.53886123283355</v>
      </c>
      <c r="V38" s="23" t="n">
        <v>1.41517949605863</v>
      </c>
      <c r="W38" s="23" t="n">
        <v>1.85578848445451</v>
      </c>
      <c r="X38" s="24" t="n">
        <v>0.132017513723027</v>
      </c>
      <c r="Y38" s="24" t="n">
        <v>0.109064432927485</v>
      </c>
      <c r="Z38" s="23" t="n">
        <v>-44.4643200177927</v>
      </c>
    </row>
    <row r="39" customFormat="false" ht="15" hidden="false" customHeight="false" outlineLevel="0" collapsed="false">
      <c r="D39" s="0" t="s">
        <v>2013</v>
      </c>
      <c r="J39" s="23" t="n">
        <v>855.08974312685</v>
      </c>
      <c r="K39" s="23" t="n">
        <v>633.255975542774</v>
      </c>
      <c r="L39" s="23" t="n">
        <v>221.833767584058</v>
      </c>
      <c r="M39" s="24" t="n">
        <v>0.740572531284416</v>
      </c>
      <c r="N39" s="23" t="n">
        <v>63.8991478551823</v>
      </c>
      <c r="O39" s="23" t="n">
        <v>20.8187478987925</v>
      </c>
      <c r="P39" s="23" t="n">
        <v>20.6124820039179</v>
      </c>
      <c r="Q39" s="23" t="n">
        <v>37.2458954370954</v>
      </c>
      <c r="R39" s="23" t="n">
        <v>0</v>
      </c>
      <c r="S39" s="23" t="n">
        <v>0</v>
      </c>
      <c r="T39" s="23" t="n">
        <v>1.33689386092952</v>
      </c>
      <c r="U39" s="23" t="n">
        <v>1.52612440396148</v>
      </c>
      <c r="V39" s="23" t="n">
        <v>1.40968412595891</v>
      </c>
      <c r="W39" s="23" t="n">
        <v>1.845724780068</v>
      </c>
      <c r="X39" s="24" t="n">
        <v>0.130780953205292</v>
      </c>
      <c r="Y39" s="24" t="n">
        <v>0.108746529375256</v>
      </c>
      <c r="Z39" s="23" t="n">
        <v>-46.0838558026791</v>
      </c>
    </row>
    <row r="40" customFormat="false" ht="15" hidden="false" customHeight="false" outlineLevel="0" collapsed="false">
      <c r="D40" s="0" t="s">
        <v>2014</v>
      </c>
      <c r="J40" s="23" t="n">
        <v>855.08974312685</v>
      </c>
      <c r="K40" s="23" t="n">
        <v>633.255975542774</v>
      </c>
      <c r="L40" s="23" t="n">
        <v>221.833767584058</v>
      </c>
      <c r="M40" s="24" t="n">
        <v>0.740572531284416</v>
      </c>
      <c r="N40" s="23" t="n">
        <v>63.8991478551823</v>
      </c>
      <c r="O40" s="23" t="n">
        <v>20.8187478987925</v>
      </c>
      <c r="P40" s="23" t="n">
        <v>20.6124820039179</v>
      </c>
      <c r="Q40" s="23" t="n">
        <v>37.2458954370954</v>
      </c>
      <c r="R40" s="23" t="n">
        <v>0</v>
      </c>
      <c r="S40" s="23" t="n">
        <v>0</v>
      </c>
      <c r="T40" s="23" t="n">
        <v>1.35051420142753</v>
      </c>
      <c r="U40" s="23" t="n">
        <v>1.53853184315627</v>
      </c>
      <c r="V40" s="23" t="n">
        <v>1.41949810707992</v>
      </c>
      <c r="W40" s="23" t="n">
        <v>1.85963885728736</v>
      </c>
      <c r="X40" s="24" t="n">
        <v>0.132716441279551</v>
      </c>
      <c r="Y40" s="24" t="n">
        <v>0.109626722899801</v>
      </c>
      <c r="Z40" s="23" t="n">
        <v>-42.9521281527936</v>
      </c>
    </row>
    <row r="41" customFormat="false" ht="15" hidden="false" customHeight="false" outlineLevel="0" collapsed="false">
      <c r="D41" s="0" t="s">
        <v>2015</v>
      </c>
      <c r="J41" s="23" t="n">
        <v>887.870417861124</v>
      </c>
      <c r="K41" s="23" t="n">
        <v>633.255975542774</v>
      </c>
      <c r="L41" s="23" t="n">
        <v>225.724011267626</v>
      </c>
      <c r="M41" s="24" t="n">
        <v>0.726374810580044</v>
      </c>
      <c r="N41" s="23" t="n">
        <v>62.7487966443238</v>
      </c>
      <c r="O41" s="23" t="n">
        <v>23.0662187832922</v>
      </c>
      <c r="P41" s="23" t="n">
        <v>20.6124820039173</v>
      </c>
      <c r="Q41" s="23" t="n">
        <v>37.0411331464097</v>
      </c>
      <c r="R41" s="23" t="n">
        <v>11.6707310507236</v>
      </c>
      <c r="S41" s="23" t="n">
        <v>3.89024368357454</v>
      </c>
      <c r="T41" s="23" t="n">
        <v>1.28294212849606</v>
      </c>
      <c r="U41" s="23" t="n">
        <v>1.50416416179701</v>
      </c>
      <c r="V41" s="23" t="n">
        <v>1.34056816651678</v>
      </c>
      <c r="W41" s="23" t="n">
        <v>1.80671965321809</v>
      </c>
      <c r="X41" s="24" t="n">
        <v>0.124461104214646</v>
      </c>
      <c r="Y41" s="24" t="n">
        <v>0.100776568521249</v>
      </c>
      <c r="Z41" s="23" t="n">
        <v>-56.6229146425174</v>
      </c>
    </row>
    <row r="42" customFormat="false" ht="15" hidden="false" customHeight="false" outlineLevel="0" collapsed="false">
      <c r="D42" s="0" t="s">
        <v>2016</v>
      </c>
      <c r="J42" s="23" t="n">
        <v>885.632198463457</v>
      </c>
      <c r="K42" s="23" t="n">
        <v>633.255975542774</v>
      </c>
      <c r="L42" s="23" t="n">
        <v>225.164456418209</v>
      </c>
      <c r="M42" s="24" t="n">
        <v>0.726315103675388</v>
      </c>
      <c r="N42" s="23" t="n">
        <v>62.7487966443238</v>
      </c>
      <c r="O42" s="23" t="n">
        <v>23.0662187832922</v>
      </c>
      <c r="P42" s="23" t="n">
        <v>20.6124820039173</v>
      </c>
      <c r="Q42" s="23" t="n">
        <v>34.8029137487425</v>
      </c>
      <c r="R42" s="23" t="n">
        <v>9.99206650247325</v>
      </c>
      <c r="S42" s="23" t="n">
        <v>3.33068883415775</v>
      </c>
      <c r="T42" s="23" t="n">
        <v>0.916013587958474</v>
      </c>
      <c r="U42" s="23" t="n">
        <v>1.49952276659146</v>
      </c>
      <c r="V42" s="23" t="n">
        <v>1.4660173245311</v>
      </c>
      <c r="W42" s="23" t="n">
        <v>1.69545498830536</v>
      </c>
      <c r="X42" s="24" t="n">
        <v>0.124955954856676</v>
      </c>
      <c r="Y42" s="24" t="n">
        <v>0.101333317511707</v>
      </c>
      <c r="Z42" s="23" t="n">
        <v>-54.5199275939104</v>
      </c>
    </row>
    <row r="44" customFormat="false" ht="15" hidden="false" customHeight="false" outlineLevel="0" collapsed="false">
      <c r="D44" s="0" t="s">
        <v>2017</v>
      </c>
      <c r="E44" s="0" t="s">
        <v>1965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2026-10-03T22:34:55Z</dcterms:created>
  <dc:creator>openpyxl</dc:creator>
  <dc:description/>
  <dc:language>en-US</dc:language>
  <cp:lastModifiedBy/>
  <dcterms:modified xsi:type="dcterms:W3CDTF">2026-10-03T22:34:56Z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