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<sst xmlns="http://schemas.openxmlformats.org/spreadsheetml/2006/main" count="3624" uniqueCount="2028">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</sst>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10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0.4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90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1046.3851716069</v>
      </c>
      <c r="R11" s="13" t="n">
        <f aca="false">R10/(1-Inputs!$F$43*Time!R39)</f>
        <v>1073.17453979659</v>
      </c>
      <c r="S11" s="13" t="n">
        <f aca="false">S10/(1-Inputs!$F$43*Time!S39)</f>
        <v>1100.64976465501</v>
      </c>
      <c r="T11" s="13" t="n">
        <f aca="false">T10/(1-Inputs!$F$43*Time!T39)</f>
        <v>1128.82840536334</v>
      </c>
      <c r="U11" s="13" t="n">
        <f aca="false">U10/(1-Inputs!$F$43*Time!U39)</f>
        <v>1157.72847064984</v>
      </c>
      <c r="V11" s="13" t="n">
        <f aca="false">V10/(1-Inputs!$F$43*Time!V39)</f>
        <v>1187.36843029902</v>
      </c>
      <c r="W11" s="13" t="n">
        <f aca="false">W10/(1-Inputs!$F$43*Time!W39)</f>
        <v>1217.76722695555</v>
      </c>
      <c r="X11" s="13" t="n">
        <f aca="false">X10/(1-Inputs!$F$43*Time!X39)</f>
        <v>1248.94428823037</v>
      </c>
      <c r="Y11" s="13" t="n">
        <f aca="false">Y10/(1-Inputs!$F$43*Time!Y39)</f>
        <v>1280.91953911665</v>
      </c>
      <c r="Z11" s="13" t="n">
        <f aca="false">Z10/(1-Inputs!$F$43*Time!Z39)</f>
        <v>1313.71341472373</v>
      </c>
      <c r="AA11" s="13" t="n">
        <f aca="false">AA10/(1-Inputs!$F$43*Time!AA39)</f>
        <v>1347.34687333699</v>
      </c>
      <c r="AB11" s="13" t="n">
        <f aca="false">AB10/(1-Inputs!$F$43*Time!AB39)</f>
        <v>1381.84140981214</v>
      </c>
      <c r="AC11" s="13" t="n">
        <f aca="false">AC10/(1-Inputs!$F$43*Time!AC39)</f>
        <v>1417.21906931239</v>
      </c>
      <c r="AD11" s="13" t="n">
        <f aca="false">AD10/(1-Inputs!$F$43*Time!AD39)</f>
        <v>1453.50246139731</v>
      </c>
      <c r="AE11" s="13" t="n">
        <f aca="false">AE10/(1-Inputs!$F$43*Time!AE39)</f>
        <v>1490.71477447243</v>
      </c>
      <c r="AF11" s="13" t="n">
        <f aca="false">AF10/(1-Inputs!$F$43*Time!AF39)</f>
        <v>1528.87979060872</v>
      </c>
      <c r="AG11" s="13" t="n">
        <f aca="false">AG10/(1-Inputs!$F$43*Time!AG39)</f>
        <v>1568.02190074154</v>
      </c>
      <c r="AH11" s="13" t="n">
        <f aca="false">AH10/(1-Inputs!$F$43*Time!AH39)</f>
        <v>1608.16612025868</v>
      </c>
      <c r="AI11" s="13" t="n">
        <f aca="false">AI10/(1-Inputs!$F$43*Time!AI39)</f>
        <v>1649.33810498744</v>
      </c>
      <c r="AJ11" s="13" t="n">
        <f aca="false">AJ10/(1-Inputs!$F$43*Time!AJ39)</f>
        <v>1691.56416759108</v>
      </c>
      <c r="AK11" s="13" t="n">
        <f aca="false">AK10/(1-Inputs!$F$43*Time!AK39)</f>
        <v>1734.87129438502</v>
      </c>
      <c r="AL11" s="13" t="n">
        <f aca="false">AL10/(1-Inputs!$F$43*Time!AL39)</f>
        <v>1779.28716258357</v>
      </c>
      <c r="AM11" s="13" t="n">
        <f aca="false">AM10/(1-Inputs!$F$43*Time!AM39)</f>
        <v>1824.84015798816</v>
      </c>
      <c r="AN11" s="13" t="n">
        <f aca="false">AN10/(1-Inputs!$F$43*Time!AN39)</f>
        <v>1871.55939312851</v>
      </c>
      <c r="AO11" s="13" t="n">
        <f aca="false">AO10/(1-Inputs!$F$43*Time!AO39)</f>
        <v>1919.47472586817</v>
      </c>
      <c r="AP11" s="13" t="n">
        <f aca="false">AP10/(1-Inputs!$F$43*Time!AP39)</f>
        <v>1968.61677848645</v>
      </c>
      <c r="AQ11" s="13" t="n">
        <f aca="false">AQ10/(1-Inputs!$F$43*Time!AQ39)</f>
        <v>2019.01695724881</v>
      </c>
      <c r="AR11" s="13" t="n">
        <f aca="false">AR10/(1-Inputs!$F$43*Time!AR39)</f>
        <v>2070.70747247841</v>
      </c>
      <c r="AS11" s="13" t="n">
        <f aca="false">AS10/(1-Inputs!$F$43*Time!AS39)</f>
        <v>2123.72135914136</v>
      </c>
      <c r="AT11" s="13" t="n">
        <f aca="false">AT10/(1-Inputs!$F$43*Time!AT39)</f>
        <v>2178.09249795918</v>
      </c>
      <c r="AU11" s="13" t="n">
        <f aca="false">AU10/(1-Inputs!$F$43*Time!AU39)</f>
        <v>2233.85563706161</v>
      </c>
      <c r="AV11" s="13" t="n">
        <f aca="false">AV10/(1-Inputs!$F$43*Time!AV39)</f>
        <v>2291.04641419386</v>
      </c>
      <c r="AW11" s="13" t="n">
        <f aca="false">AW10/(1-Inputs!$F$43*Time!AW39)</f>
        <v>2349.7013794924</v>
      </c>
      <c r="AX11" s="13" t="n">
        <f aca="false">AX10/(1-Inputs!$F$43*Time!AX39)</f>
        <v>2409.85801884383</v>
      </c>
      <c r="AY11" s="13" t="n">
        <f aca="false">AY10/(1-Inputs!$F$43*Time!AY39)</f>
        <v>2471.55477784181</v>
      </c>
      <c r="AZ11" s="13" t="n">
        <f aca="false">AZ10/(1-Inputs!$F$43*Time!AZ39)</f>
        <v>2534.83108635726</v>
      </c>
      <c r="BA11" s="13" t="n">
        <f aca="false">BA10/(1-Inputs!$F$43*Time!BA39)</f>
        <v>2599.72738373771</v>
      </c>
      <c r="BB11" s="13" t="n">
        <f aca="false">BB10/(1-Inputs!$F$43*Time!BB39)</f>
        <v>2666.28514465171</v>
      </c>
      <c r="BC11" s="13" t="n">
        <f aca="false">BC10/(1-Inputs!$F$43*Time!BC39)</f>
        <v>2734.54690559495</v>
      </c>
      <c r="BD11" s="13" t="n">
        <f aca="false">BD10/(1-Inputs!$F$43*Time!BD39)</f>
        <v>2804.55629207494</v>
      </c>
      <c r="BE11" s="13" t="n">
        <f aca="false">BE10/(1-Inputs!$F$43*Time!BE39)</f>
        <v>2876.35804649175</v>
      </c>
      <c r="BF11" s="13" t="n">
        <f aca="false">BF10/(1-Inputs!$F$43*Time!BF39)</f>
        <v>2949.99805673245</v>
      </c>
      <c r="BG11" s="13" t="n">
        <f aca="false">BG10/(1-Inputs!$F$43*Time!BG39)</f>
        <v>3025.52338549769</v>
      </c>
      <c r="BH11" s="13" t="n">
        <f aca="false">BH10/(1-Inputs!$F$43*Time!BH39)</f>
        <v>3102.98230037905</v>
      </c>
      <c r="BI11" s="13" t="n">
        <f aca="false">BI10/(1-Inputs!$F$43*Time!BI39)</f>
        <v>3182.42430470647</v>
      </c>
      <c r="BJ11" s="13" t="n">
        <f aca="false">BJ10/(1-Inputs!$F$43*Time!BJ39)</f>
        <v>3263.90016918539</v>
      </c>
      <c r="BK11" s="13" t="n">
        <f aca="false">BK10/(1-Inputs!$F$43*Time!BK39)</f>
        <v>3347.46196434389</v>
      </c>
      <c r="BL11" s="13" t="n">
        <f aca="false">BL10/(1-Inputs!$F$43*Time!BL39)</f>
        <v>3433.16309381047</v>
      </c>
      <c r="BM11" s="13" t="n">
        <f aca="false">BM10/(1-Inputs!$F$43*Time!BM39)</f>
        <v>3521.05832844391</v>
      </c>
      <c r="BN11" s="13" t="n">
        <f aca="false">BN10/(1-Inputs!$F$43*Time!BN39)</f>
        <v>3611.20384133684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2.14234956065772</v>
      </c>
      <c r="R46" s="13" t="n">
        <f aca="false">Inputs!$F$136*(Inputs!$F$137*R20/100+(1-Inputs!$F$137)*R26/100*Inputs!$F$138/R11)</f>
        <v>2.16578720010334</v>
      </c>
      <c r="S46" s="13" t="n">
        <f aca="false">Inputs!$F$136*(Inputs!$F$137*S20/100+(1-Inputs!$F$137)*S26/100*Inputs!$F$138/S11)</f>
        <v>2.18948125099219</v>
      </c>
      <c r="T46" s="13" t="n">
        <f aca="false">Inputs!$F$136*(Inputs!$F$137*T20/100+(1-Inputs!$F$137)*T26/100*Inputs!$F$138/T11)</f>
        <v>2.21343451850561</v>
      </c>
      <c r="U46" s="13" t="n">
        <f aca="false">Inputs!$F$136*(Inputs!$F$137*U20/100+(1-Inputs!$F$137)*U26/100*Inputs!$F$138/U11)</f>
        <v>2.23764983851402</v>
      </c>
      <c r="V46" s="13" t="n">
        <f aca="false">Inputs!$F$136*(Inputs!$F$137*V20/100+(1-Inputs!$F$137)*V26/100*Inputs!$F$138/V11)</f>
        <v>2.26213007791273</v>
      </c>
      <c r="W46" s="13" t="n">
        <f aca="false">Inputs!$F$136*(Inputs!$F$137*W20/100+(1-Inputs!$F$137)*W26/100*Inputs!$F$138/W11)</f>
        <v>2.28687813496133</v>
      </c>
      <c r="X46" s="13" t="n">
        <f aca="false">Inputs!$F$136*(Inputs!$F$137*X20/100+(1-Inputs!$F$137)*X26/100*Inputs!$F$138/X11)</f>
        <v>2.31189693962681</v>
      </c>
      <c r="Y46" s="13" t="n">
        <f aca="false">Inputs!$F$136*(Inputs!$F$137*Y20/100+(1-Inputs!$F$137)*Y26/100*Inputs!$F$138/Y11)</f>
        <v>2.33718945393048</v>
      </c>
      <c r="Z46" s="13" t="n">
        <f aca="false">Inputs!$F$136*(Inputs!$F$137*Z20/100+(1-Inputs!$F$137)*Z26/100*Inputs!$F$138/Z11)</f>
        <v>2.3627586722986</v>
      </c>
      <c r="AA46" s="13" t="n">
        <f aca="false">Inputs!$F$136*(Inputs!$F$137*AA20/100+(1-Inputs!$F$137)*AA26/100*Inputs!$F$138/AA11)</f>
        <v>2.38860762191695</v>
      </c>
      <c r="AB46" s="13" t="n">
        <f aca="false">Inputs!$F$136*(Inputs!$F$137*AB20/100+(1-Inputs!$F$137)*AB26/100*Inputs!$F$138/AB11)</f>
        <v>2.41473936308917</v>
      </c>
      <c r="AC46" s="13" t="n">
        <f aca="false">Inputs!$F$136*(Inputs!$F$137*AC20/100+(1-Inputs!$F$137)*AC26/100*Inputs!$F$138/AC11)</f>
        <v>2.44115698959912</v>
      </c>
      <c r="AD46" s="13" t="n">
        <f aca="false">Inputs!$F$136*(Inputs!$F$137*AD20/100+(1-Inputs!$F$137)*AD26/100*Inputs!$F$138/AD11)</f>
        <v>2.46786362907713</v>
      </c>
      <c r="AE46" s="13" t="n">
        <f aca="false">Inputs!$F$136*(Inputs!$F$137*AE20/100+(1-Inputs!$F$137)*AE26/100*Inputs!$F$138/AE11)</f>
        <v>2.4948624433703</v>
      </c>
      <c r="AF46" s="13" t="n">
        <f aca="false">Inputs!$F$136*(Inputs!$F$137*AF20/100+(1-Inputs!$F$137)*AF26/100*Inputs!$F$138/AF11)</f>
        <v>2.52215662891683</v>
      </c>
      <c r="AG46" s="13" t="n">
        <f aca="false">Inputs!$F$136*(Inputs!$F$137*AG20/100+(1-Inputs!$F$137)*AG26/100*Inputs!$F$138/AG11)</f>
        <v>2.54974941712445</v>
      </c>
      <c r="AH46" s="13" t="n">
        <f aca="false">Inputs!$F$136*(Inputs!$F$137*AH20/100+(1-Inputs!$F$137)*AH26/100*Inputs!$F$138/AH11)</f>
        <v>2.577644074753</v>
      </c>
      <c r="AI46" s="13" t="n">
        <f aca="false">Inputs!$F$136*(Inputs!$F$137*AI20/100+(1-Inputs!$F$137)*AI26/100*Inputs!$F$138/AI11)</f>
        <v>2.60584390430118</v>
      </c>
      <c r="AJ46" s="13" t="n">
        <f aca="false">Inputs!$F$136*(Inputs!$F$137*AJ20/100+(1-Inputs!$F$137)*AJ26/100*Inputs!$F$138/AJ11)</f>
        <v>2.63435224439756</v>
      </c>
      <c r="AK46" s="13" t="n">
        <f aca="false">Inputs!$F$136*(Inputs!$F$137*AK20/100+(1-Inputs!$F$137)*AK26/100*Inputs!$F$138/AK11)</f>
        <v>2.66317247019581</v>
      </c>
      <c r="AL46" s="13" t="n">
        <f aca="false">Inputs!$F$136*(Inputs!$F$137*AL20/100+(1-Inputs!$F$137)*AL26/100*Inputs!$F$138/AL11)</f>
        <v>2.69230799377431</v>
      </c>
      <c r="AM46" s="13" t="n">
        <f aca="false">Inputs!$F$136*(Inputs!$F$137*AM20/100+(1-Inputs!$F$137)*AM26/100*Inputs!$F$138/AM11)</f>
        <v>2.72176226454012</v>
      </c>
      <c r="AN46" s="13" t="n">
        <f aca="false">Inputs!$F$136*(Inputs!$F$137*AN20/100+(1-Inputs!$F$137)*AN26/100*Inputs!$F$138/AN11)</f>
        <v>2.75153876963734</v>
      </c>
      <c r="AO46" s="13" t="n">
        <f aca="false">Inputs!$F$136*(Inputs!$F$137*AO20/100+(1-Inputs!$F$137)*AO26/100*Inputs!$F$138/AO11)</f>
        <v>2.78164103436</v>
      </c>
      <c r="AP46" s="13" t="n">
        <f aca="false">Inputs!$F$136*(Inputs!$F$137*AP20/100+(1-Inputs!$F$137)*AP26/100*Inputs!$F$138/AP11)</f>
        <v>2.81207262256936</v>
      </c>
      <c r="AQ46" s="13" t="n">
        <f aca="false">Inputs!$F$136*(Inputs!$F$137*AQ20/100+(1-Inputs!$F$137)*AQ26/100*Inputs!$F$138/AQ11)</f>
        <v>2.84283713711592</v>
      </c>
      <c r="AR46" s="13" t="n">
        <f aca="false">Inputs!$F$136*(Inputs!$F$137*AR20/100+(1-Inputs!$F$137)*AR26/100*Inputs!$F$138/AR11)</f>
        <v>2.87393822026589</v>
      </c>
      <c r="AS46" s="13" t="n">
        <f aca="false">Inputs!$F$136*(Inputs!$F$137*AS20/100+(1-Inputs!$F$137)*AS26/100*Inputs!$F$138/AS11)</f>
        <v>2.90537955413247</v>
      </c>
      <c r="AT46" s="13" t="n">
        <f aca="false">Inputs!$F$136*(Inputs!$F$137*AT20/100+(1-Inputs!$F$137)*AT26/100*Inputs!$F$138/AT11)</f>
        <v>2.93716486111174</v>
      </c>
      <c r="AU46" s="13" t="n">
        <f aca="false">Inputs!$F$136*(Inputs!$F$137*AU20/100+(1-Inputs!$F$137)*AU26/100*Inputs!$F$138/AU11)</f>
        <v>2.96929790432338</v>
      </c>
      <c r="AV46" s="13" t="n">
        <f aca="false">Inputs!$F$136*(Inputs!$F$137*AV20/100+(1-Inputs!$F$137)*AV26/100*Inputs!$F$138/AV11)</f>
        <v>3.0017824880562</v>
      </c>
      <c r="AW46" s="13" t="n">
        <f aca="false">Inputs!$F$136*(Inputs!$F$137*AW20/100+(1-Inputs!$F$137)*AW26/100*Inputs!$F$138/AW11)</f>
        <v>3.0346224582185</v>
      </c>
      <c r="AX46" s="13" t="n">
        <f aca="false">Inputs!$F$136*(Inputs!$F$137*AX20/100+(1-Inputs!$F$137)*AX26/100*Inputs!$F$138/AX11)</f>
        <v>3.06782170279343</v>
      </c>
      <c r="AY46" s="13" t="n">
        <f aca="false">Inputs!$F$136*(Inputs!$F$137*AY20/100+(1-Inputs!$F$137)*AY26/100*Inputs!$F$138/AY11)</f>
        <v>3.1013841522993</v>
      </c>
      <c r="AZ46" s="13" t="n">
        <f aca="false">Inputs!$F$136*(Inputs!$F$137*AZ20/100+(1-Inputs!$F$137)*AZ26/100*Inputs!$F$138/AZ11)</f>
        <v>3.13531378025489</v>
      </c>
      <c r="BA46" s="13" t="n">
        <f aca="false">Inputs!$F$136*(Inputs!$F$137*BA20/100+(1-Inputs!$F$137)*BA26/100*Inputs!$F$138/BA11)</f>
        <v>3.16961460364989</v>
      </c>
      <c r="BB46" s="13" t="n">
        <f aca="false">Inputs!$F$136*(Inputs!$F$137*BB20/100+(1-Inputs!$F$137)*BB26/100*Inputs!$F$138/BB11)</f>
        <v>3.2042906834205</v>
      </c>
      <c r="BC46" s="13" t="n">
        <f aca="false">Inputs!$F$136*(Inputs!$F$137*BC20/100+(1-Inputs!$F$137)*BC26/100*Inputs!$F$138/BC11)</f>
        <v>3.23934612493018</v>
      </c>
      <c r="BD46" s="13" t="n">
        <f aca="false">Inputs!$F$136*(Inputs!$F$137*BD20/100+(1-Inputs!$F$137)*BD26/100*Inputs!$F$138/BD11)</f>
        <v>3.27478507845575</v>
      </c>
      <c r="BE46" s="13" t="n">
        <f aca="false">Inputs!$F$136*(Inputs!$F$137*BE20/100+(1-Inputs!$F$137)*BE26/100*Inputs!$F$138/BE11)</f>
        <v>3.31061173967865</v>
      </c>
      <c r="BF46" s="13" t="n">
        <f aca="false">Inputs!$F$136*(Inputs!$F$137*BF20/100+(1-Inputs!$F$137)*BF26/100*Inputs!$F$138/BF11)</f>
        <v>3.34683035018177</v>
      </c>
      <c r="BG46" s="13" t="n">
        <f aca="false">Inputs!$F$136*(Inputs!$F$137*BG20/100+(1-Inputs!$F$137)*BG26/100*Inputs!$F$138/BG11)</f>
        <v>3.38344519795158</v>
      </c>
      <c r="BH46" s="13" t="n">
        <f aca="false">Inputs!$F$136*(Inputs!$F$137*BH20/100+(1-Inputs!$F$137)*BH26/100*Inputs!$F$138/BH11)</f>
        <v>3.42046061788577</v>
      </c>
      <c r="BI46" s="13" t="n">
        <f aca="false">Inputs!$F$136*(Inputs!$F$137*BI20/100+(1-Inputs!$F$137)*BI26/100*Inputs!$F$138/BI11)</f>
        <v>3.45788099230651</v>
      </c>
      <c r="BJ46" s="13" t="n">
        <f aca="false">Inputs!$F$136*(Inputs!$F$137*BJ20/100+(1-Inputs!$F$137)*BJ26/100*Inputs!$F$138/BJ11)</f>
        <v>3.49571075147926</v>
      </c>
      <c r="BK46" s="13" t="n">
        <f aca="false">Inputs!$F$136*(Inputs!$F$137*BK20/100+(1-Inputs!$F$137)*BK26/100*Inputs!$F$138/BK11)</f>
        <v>3.53395437413725</v>
      </c>
      <c r="BL46" s="13" t="n">
        <f aca="false">Inputs!$F$136*(Inputs!$F$137*BL20/100+(1-Inputs!$F$137)*BL26/100*Inputs!$F$138/BL11)</f>
        <v>3.5726163880118</v>
      </c>
      <c r="BM46" s="13" t="n">
        <f aca="false">Inputs!$F$136*(Inputs!$F$137*BM20/100+(1-Inputs!$F$137)*BM26/100*Inputs!$F$138/BM11)</f>
        <v>3.61170137036827</v>
      </c>
      <c r="BN46" s="13" t="n">
        <f aca="false">Inputs!$F$136*(Inputs!$F$137*BN20/100+(1-Inputs!$F$137)*BN26/100*Inputs!$F$138/BN11)</f>
        <v>3.65121394854806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3251.67269662979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59.3651445089026</v>
      </c>
      <c r="R48" s="13" t="n">
        <f aca="false">$F$34*1000*Time!R30*(R45+R46)*R47/1000000</f>
        <v>59.5709059799543</v>
      </c>
      <c r="S48" s="13" t="n">
        <f aca="false">$F$34*1000*Time!S30*(S45+S46)*S47/1000000</f>
        <v>59.7789185136985</v>
      </c>
      <c r="T48" s="13" t="n">
        <f aca="false">$F$34*1000*Time!T30*(T45+T46)*T47/1000000</f>
        <v>59.9892067371133</v>
      </c>
      <c r="U48" s="13" t="n">
        <f aca="false">$F$34*1000*Time!U30*(U45+U46)*U47/1000000</f>
        <v>60.2017955465999</v>
      </c>
      <c r="V48" s="13" t="n">
        <f aca="false">$F$34*1000*Time!V30*(V45+V46)*V47/1000000</f>
        <v>60.4167101109298</v>
      </c>
      <c r="W48" s="13" t="n">
        <f aca="false">$F$34*1000*Time!W30*(W45+W46)*W47/1000000</f>
        <v>60.6339758742251</v>
      </c>
      <c r="X48" s="13" t="n">
        <f aca="false">$F$34*1000*Time!X30*(X45+X46)*X47/1000000</f>
        <v>60.8536185589702</v>
      </c>
      <c r="Y48" s="13" t="n">
        <f aca="false">$F$34*1000*Time!Y30*(Y45+Y46)*Y47/1000000</f>
        <v>61.075664169058</v>
      </c>
      <c r="Z48" s="13" t="n">
        <f aca="false">$F$34*1000*Time!Z30*(Z45+Z46)*Z47/1000000</f>
        <v>61.3001389928676</v>
      </c>
      <c r="AA48" s="13" t="n">
        <f aca="false">$F$34*1000*Time!AA30*(AA45+AA46)*AA47/1000000</f>
        <v>61.5270696063773</v>
      </c>
      <c r="AB48" s="13" t="n">
        <f aca="false">$F$34*1000*Time!AB30*(AB45+AB46)*AB47/1000000</f>
        <v>61.7564828763107</v>
      </c>
      <c r="AC48" s="13" t="n">
        <f aca="false">$F$34*1000*Time!AC30*(AC45+AC46)*AC47/1000000</f>
        <v>61.9884059633176</v>
      </c>
      <c r="AD48" s="13" t="n">
        <f aca="false">$F$34*1000*Time!AD30*(AD45+AD46)*AD47/1000000</f>
        <v>61.3240915893812</v>
      </c>
      <c r="AE48" s="13" t="n">
        <f aca="false">$F$34*1000*Time!AE30*(AE45+AE46)*AE47/1000000</f>
        <v>62.4598917201106</v>
      </c>
      <c r="AF48" s="13" t="n">
        <f aca="false">$F$34*1000*Time!AF30*(AF45+AF46)*AF47/1000000</f>
        <v>62.6995102099437</v>
      </c>
      <c r="AG48" s="13" t="n">
        <f aca="false">$F$34*1000*Time!AG30*(AG45+AG46)*AG47/1000000</f>
        <v>62.941750163553</v>
      </c>
      <c r="AH48" s="13" t="n">
        <f aca="false">$F$34*1000*Time!AH30*(AH45+AH46)*AH47/1000000</f>
        <v>63.1866402601624</v>
      </c>
      <c r="AI48" s="13" t="n">
        <f aca="false">$F$34*1000*Time!AI30*(AI45+AI46)*AI47/1000000</f>
        <v>63.4342094927511</v>
      </c>
      <c r="AJ48" s="13" t="n">
        <f aca="false">$F$34*1000*Time!AJ30*(AJ45+AJ46)*AJ47/1000000</f>
        <v>63.684487171486</v>
      </c>
      <c r="AK48" s="13" t="n">
        <f aca="false">$F$34*1000*Time!AK30*(AK45+AK46)*AK47/1000000</f>
        <v>63.9375029271917</v>
      </c>
      <c r="AL48" s="13" t="n">
        <f aca="false">$F$34*1000*Time!AL30*(AL45+AL46)*AL47/1000000</f>
        <v>64.1932867148587</v>
      </c>
      <c r="AM48" s="13" t="n">
        <f aca="false">$F$34*1000*Time!AM30*(AM45+AM46)*AM47/1000000</f>
        <v>64.4518688171899</v>
      </c>
      <c r="AN48" s="13" t="n">
        <f aca="false">$F$34*1000*Time!AN30*(AN45+AN46)*AN47/1000000</f>
        <v>64.7132798481856</v>
      </c>
      <c r="AO48" s="13" t="n">
        <f aca="false">$F$34*1000*Time!AO30*(AO45+AO46)*AO47/1000000</f>
        <v>64.977550756768</v>
      </c>
      <c r="AP48" s="13" t="n">
        <f aca="false">$F$34*1000*Time!AP30*(AP45+AP46)*AP47/1000000</f>
        <v>65.2447128304456</v>
      </c>
      <c r="AQ48" s="13" t="n">
        <f aca="false">$F$34*1000*Time!AQ30*(AQ45+AQ46)*AQ47/1000000</f>
        <v>65.5147976990169</v>
      </c>
      <c r="AR48" s="13" t="n">
        <f aca="false">$F$34*1000*Time!AR30*(AR45+AR46)*AR47/1000000</f>
        <v>65.7878373383154</v>
      </c>
      <c r="AS48" s="13" t="n">
        <f aca="false">$F$34*1000*Time!AS30*(AS45+AS46)*AS47/1000000</f>
        <v>66.0638640739953</v>
      </c>
      <c r="AT48" s="13" t="n">
        <f aca="false">$F$34*1000*Time!AT30*(AT45+AT46)*AT47/1000000</f>
        <v>65.3846240991254</v>
      </c>
      <c r="AU48" s="13" t="n">
        <f aca="false">$F$34*1000*Time!AU30*(AU45+AU46)*AU47/1000000</f>
        <v>66.6250099092232</v>
      </c>
      <c r="AV48" s="13" t="n">
        <f aca="false">$F$34*1000*Time!AV30*(AV45+AV46)*AV47/1000000</f>
        <v>66.9101954438362</v>
      </c>
      <c r="AW48" s="13" t="n">
        <f aca="false">$F$34*1000*Time!AW30*(AW45+AW46)*AW47/1000000</f>
        <v>67.1985009528261</v>
      </c>
      <c r="AX48" s="13" t="n">
        <f aca="false">$F$34*1000*Time!AX30*(AX45+AX46)*AX47/1000000</f>
        <v>67.4899605692007</v>
      </c>
      <c r="AY48" s="13" t="n">
        <f aca="false">$F$34*1000*Time!AY30*(AY45+AY46)*AY47/1000000</f>
        <v>67.7846087993883</v>
      </c>
      <c r="AZ48" s="13" t="n">
        <f aca="false">$F$34*1000*Time!AZ30*(AZ45+AZ46)*AZ47/1000000</f>
        <v>68.0824805273231</v>
      </c>
      <c r="BA48" s="13" t="n">
        <f aca="false">$F$34*1000*Time!BA30*(BA45+BA46)*BA47/1000000</f>
        <v>68.3836110185748</v>
      </c>
      <c r="BB48" s="13" t="n">
        <f aca="false">$F$34*1000*Time!BB30*(BB45+BB46)*BB47/1000000</f>
        <v>68.6880359245242</v>
      </c>
      <c r="BC48" s="13" t="n">
        <f aca="false">$F$34*1000*Time!BC30*(BC45+BC46)*BC47/1000000</f>
        <v>68.9957912865834</v>
      </c>
      <c r="BD48" s="13" t="n">
        <f aca="false">$F$34*1000*Time!BD30*(BD45+BD46)*BD47/1000000</f>
        <v>69.3069135404637</v>
      </c>
      <c r="BE48" s="13" t="n">
        <f aca="false">$F$34*1000*Time!BE30*(BE45+BE46)*BE47/1000000</f>
        <v>69.6214395204883</v>
      </c>
      <c r="BF48" s="13" t="n">
        <f aca="false">$F$34*1000*Time!BF30*(BF45+BF46)*BF47/1000000</f>
        <v>69.9394064639539</v>
      </c>
      <c r="BG48" s="13" t="n">
        <f aca="false">$F$34*1000*Time!BG30*(BG45+BG46)*BG47/1000000</f>
        <v>70.260852015539</v>
      </c>
      <c r="BH48" s="13" t="n">
        <f aca="false">$F$34*1000*Time!BH30*(BH45+BH46)*BH47/1000000</f>
        <v>70.5858142317609</v>
      </c>
      <c r="BI48" s="13" t="n">
        <f aca="false">$F$34*1000*Time!BI30*(BI45+BI46)*BI47/1000000</f>
        <v>70.9143315854809</v>
      </c>
      <c r="BJ48" s="13" t="n">
        <f aca="false">$F$34*1000*Time!BJ30*(BJ45+BJ46)*BJ47/1000000</f>
        <v>70.2173276831085</v>
      </c>
      <c r="BK48" s="13" t="n">
        <f aca="false">$F$34*1000*Time!BK30*(BK45+BK46)*BK47/1000000</f>
        <v>71.5821877059615</v>
      </c>
      <c r="BL48" s="13" t="n">
        <f aca="false">$F$34*1000*Time!BL30*(BL45+BL46)*BL47/1000000</f>
        <v>71.9216055414097</v>
      </c>
      <c r="BM48" s="13" t="n">
        <f aca="false">$F$34*1000*Time!BM30*(BM45+BM46)*BM47/1000000</f>
        <v>48.176491107395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3.72741639713815</v>
      </c>
      <c r="R49" s="13" t="n">
        <f aca="false">Inputs!$F$139*(Inputs!$F$140*R20/100+(1-Inputs!$F$140)*R26/100*Inputs!$F$138/R11)</f>
        <v>3.76819491581881</v>
      </c>
      <c r="S49" s="13" t="n">
        <f aca="false">Inputs!$F$139*(Inputs!$F$140*S20/100+(1-Inputs!$F$140)*S26/100*Inputs!$F$138/S11)</f>
        <v>3.80941955787518</v>
      </c>
      <c r="T49" s="13" t="n">
        <f aca="false">Inputs!$F$139*(Inputs!$F$140*T20/100+(1-Inputs!$F$140)*T26/100*Inputs!$F$138/T11)</f>
        <v>3.85109520396682</v>
      </c>
      <c r="U49" s="13" t="n">
        <f aca="false">Inputs!$F$139*(Inputs!$F$140*U20/100+(1-Inputs!$F$140)*U26/100*Inputs!$F$138/U11)</f>
        <v>3.89322678814844</v>
      </c>
      <c r="V49" s="13" t="n">
        <f aca="false">Inputs!$F$139*(Inputs!$F$140*V20/100+(1-Inputs!$F$140)*V26/100*Inputs!$F$138/V11)</f>
        <v>3.93581929845409</v>
      </c>
      <c r="W49" s="13" t="n">
        <f aca="false">Inputs!$F$139*(Inputs!$F$140*W20/100+(1-Inputs!$F$140)*W26/100*Inputs!$F$138/W11)</f>
        <v>3.9788777774877</v>
      </c>
      <c r="X49" s="13" t="n">
        <f aca="false">Inputs!$F$139*(Inputs!$F$140*X20/100+(1-Inputs!$F$140)*X26/100*Inputs!$F$138/X11)</f>
        <v>4.02240732302008</v>
      </c>
      <c r="Y49" s="13" t="n">
        <f aca="false">Inputs!$F$139*(Inputs!$F$140*Y20/100+(1-Inputs!$F$140)*Y26/100*Inputs!$F$138/Y11)</f>
        <v>4.06641308859243</v>
      </c>
      <c r="Z49" s="13" t="n">
        <f aca="false">Inputs!$F$139*(Inputs!$F$140*Z20/100+(1-Inputs!$F$140)*Z26/100*Inputs!$F$138/Z11)</f>
        <v>4.11090028412652</v>
      </c>
      <c r="AA49" s="13" t="n">
        <f aca="false">Inputs!$F$139*(Inputs!$F$140*AA20/100+(1-Inputs!$F$140)*AA26/100*Inputs!$F$138/AA11)</f>
        <v>4.15587417654147</v>
      </c>
      <c r="AB49" s="13" t="n">
        <f aca="false">Inputs!$F$139*(Inputs!$F$140*AB20/100+(1-Inputs!$F$140)*AB26/100*Inputs!$F$138/AB11)</f>
        <v>4.2013400903773</v>
      </c>
      <c r="AC49" s="13" t="n">
        <f aca="false">Inputs!$F$139*(Inputs!$F$140*AC20/100+(1-Inputs!$F$140)*AC26/100*Inputs!$F$138/AC11)</f>
        <v>4.24730340842538</v>
      </c>
      <c r="AD49" s="13" t="n">
        <f aca="false">Inputs!$F$139*(Inputs!$F$140*AD20/100+(1-Inputs!$F$140)*AD26/100*Inputs!$F$138/AD11)</f>
        <v>4.2937695723656</v>
      </c>
      <c r="AE49" s="13" t="n">
        <f aca="false">Inputs!$F$139*(Inputs!$F$140*AE20/100+(1-Inputs!$F$140)*AE26/100*Inputs!$F$138/AE11)</f>
        <v>4.34074408341073</v>
      </c>
      <c r="AF49" s="13" t="n">
        <f aca="false">Inputs!$F$139*(Inputs!$F$140*AF20/100+(1-Inputs!$F$140)*AF26/100*Inputs!$F$138/AF11)</f>
        <v>4.38823250295765</v>
      </c>
      <c r="AG49" s="13" t="n">
        <f aca="false">Inputs!$F$139*(Inputs!$F$140*AG20/100+(1-Inputs!$F$140)*AG26/100*Inputs!$F$138/AG11)</f>
        <v>4.43624045324577</v>
      </c>
      <c r="AH49" s="13" t="n">
        <f aca="false">Inputs!$F$139*(Inputs!$F$140*AH20/100+(1-Inputs!$F$140)*AH26/100*Inputs!$F$138/AH11)</f>
        <v>4.48477361802271</v>
      </c>
      <c r="AI49" s="13" t="n">
        <f aca="false">Inputs!$F$139*(Inputs!$F$140*AI20/100+(1-Inputs!$F$140)*AI26/100*Inputs!$F$138/AI11)</f>
        <v>4.53383774321718</v>
      </c>
      <c r="AJ49" s="13" t="n">
        <f aca="false">Inputs!$F$139*(Inputs!$F$140*AJ20/100+(1-Inputs!$F$140)*AJ26/100*Inputs!$F$138/AJ11)</f>
        <v>4.58343863761921</v>
      </c>
      <c r="AK49" s="13" t="n">
        <f aca="false">Inputs!$F$139*(Inputs!$F$140*AK20/100+(1-Inputs!$F$140)*AK26/100*Inputs!$F$138/AK11)</f>
        <v>4.63358217356795</v>
      </c>
      <c r="AL49" s="13" t="n">
        <f aca="false">Inputs!$F$139*(Inputs!$F$140*AL20/100+(1-Inputs!$F$140)*AL26/100*Inputs!$F$138/AL11)</f>
        <v>4.68427428764683</v>
      </c>
      <c r="AM49" s="13" t="n">
        <f aca="false">Inputs!$F$139*(Inputs!$F$140*AM20/100+(1-Inputs!$F$140)*AM26/100*Inputs!$F$138/AM11)</f>
        <v>4.73552098138645</v>
      </c>
      <c r="AN49" s="13" t="n">
        <f aca="false">Inputs!$F$139*(Inputs!$F$140*AN20/100+(1-Inputs!$F$140)*AN26/100*Inputs!$F$138/AN11)</f>
        <v>4.78732832197506</v>
      </c>
      <c r="AO49" s="13" t="n">
        <f aca="false">Inputs!$F$139*(Inputs!$F$140*AO20/100+(1-Inputs!$F$140)*AO26/100*Inputs!$F$138/AO11)</f>
        <v>4.83970244297695</v>
      </c>
      <c r="AP49" s="13" t="n">
        <f aca="false">Inputs!$F$139*(Inputs!$F$140*AP20/100+(1-Inputs!$F$140)*AP26/100*Inputs!$F$138/AP11)</f>
        <v>4.89264954505851</v>
      </c>
      <c r="AQ49" s="13" t="n">
        <f aca="false">Inputs!$F$139*(Inputs!$F$140*AQ20/100+(1-Inputs!$F$140)*AQ26/100*Inputs!$F$138/AQ11)</f>
        <v>4.94617589672244</v>
      </c>
      <c r="AR49" s="13" t="n">
        <f aca="false">Inputs!$F$139*(Inputs!$F$140*AR20/100+(1-Inputs!$F$140)*AR26/100*Inputs!$F$138/AR11)</f>
        <v>5.0002878350498</v>
      </c>
      <c r="AS49" s="13" t="n">
        <f aca="false">Inputs!$F$139*(Inputs!$F$140*AS20/100+(1-Inputs!$F$140)*AS26/100*Inputs!$F$138/AS11)</f>
        <v>5.05499176645033</v>
      </c>
      <c r="AT49" s="13" t="n">
        <f aca="false">Inputs!$F$139*(Inputs!$F$140*AT20/100+(1-Inputs!$F$140)*AT26/100*Inputs!$F$138/AT11)</f>
        <v>5.1102941674209</v>
      </c>
      <c r="AU49" s="13" t="n">
        <f aca="false">Inputs!$F$139*(Inputs!$F$140*AU20/100+(1-Inputs!$F$140)*AU26/100*Inputs!$F$138/AU11)</f>
        <v>5.16620158531224</v>
      </c>
      <c r="AV49" s="13" t="n">
        <f aca="false">Inputs!$F$139*(Inputs!$F$140*AV20/100+(1-Inputs!$F$140)*AV26/100*Inputs!$F$138/AV11)</f>
        <v>5.22272063910415</v>
      </c>
      <c r="AW49" s="13" t="n">
        <f aca="false">Inputs!$F$139*(Inputs!$F$140*AW20/100+(1-Inputs!$F$140)*AW26/100*Inputs!$F$138/AW11)</f>
        <v>5.27985802018911</v>
      </c>
      <c r="AX49" s="13" t="n">
        <f aca="false">Inputs!$F$139*(Inputs!$F$140*AX20/100+(1-Inputs!$F$140)*AX26/100*Inputs!$F$138/AX11)</f>
        <v>5.33762049316445</v>
      </c>
      <c r="AY49" s="13" t="n">
        <f aca="false">Inputs!$F$139*(Inputs!$F$140*AY20/100+(1-Inputs!$F$140)*AY26/100*Inputs!$F$138/AY11)</f>
        <v>5.39601489663327</v>
      </c>
      <c r="AZ49" s="13" t="n">
        <f aca="false">Inputs!$F$139*(Inputs!$F$140*AZ20/100+(1-Inputs!$F$140)*AZ26/100*Inputs!$F$138/AZ11)</f>
        <v>5.45504814401406</v>
      </c>
      <c r="BA49" s="13" t="n">
        <f aca="false">Inputs!$F$139*(Inputs!$F$140*BA20/100+(1-Inputs!$F$140)*BA26/100*Inputs!$F$138/BA11)</f>
        <v>5.5147272243592</v>
      </c>
      <c r="BB49" s="13" t="n">
        <f aca="false">Inputs!$F$139*(Inputs!$F$140*BB20/100+(1-Inputs!$F$140)*BB26/100*Inputs!$F$138/BB11)</f>
        <v>5.57505920318237</v>
      </c>
      <c r="BC49" s="13" t="n">
        <f aca="false">Inputs!$F$139*(Inputs!$F$140*BC20/100+(1-Inputs!$F$140)*BC26/100*Inputs!$F$138/BC11)</f>
        <v>5.6360512232951</v>
      </c>
      <c r="BD49" s="13" t="n">
        <f aca="false">Inputs!$F$139*(Inputs!$F$140*BD20/100+(1-Inputs!$F$140)*BD26/100*Inputs!$F$138/BD11)</f>
        <v>5.69771050565238</v>
      </c>
      <c r="BE49" s="13" t="n">
        <f aca="false">Inputs!$F$139*(Inputs!$F$140*BE20/100+(1-Inputs!$F$140)*BE26/100*Inputs!$F$138/BE11)</f>
        <v>5.76004435020759</v>
      </c>
      <c r="BF49" s="13" t="n">
        <f aca="false">Inputs!$F$139*(Inputs!$F$140*BF20/100+(1-Inputs!$F$140)*BF26/100*Inputs!$F$138/BF11)</f>
        <v>5.82306013677673</v>
      </c>
      <c r="BG49" s="13" t="n">
        <f aca="false">Inputs!$F$139*(Inputs!$F$140*BG20/100+(1-Inputs!$F$140)*BG26/100*Inputs!$F$138/BG11)</f>
        <v>5.88676532591216</v>
      </c>
      <c r="BH49" s="13" t="n">
        <f aca="false">Inputs!$F$139*(Inputs!$F$140*BH20/100+(1-Inputs!$F$140)*BH26/100*Inputs!$F$138/BH11)</f>
        <v>5.95116745978582</v>
      </c>
      <c r="BI49" s="13" t="n">
        <f aca="false">Inputs!$F$139*(Inputs!$F$140*BI20/100+(1-Inputs!$F$140)*BI26/100*Inputs!$F$138/BI11)</f>
        <v>6.01627416308222</v>
      </c>
      <c r="BJ49" s="13" t="n">
        <f aca="false">Inputs!$F$139*(Inputs!$F$140*BJ20/100+(1-Inputs!$F$140)*BJ26/100*Inputs!$F$138/BJ11)</f>
        <v>6.08209314390111</v>
      </c>
      <c r="BK49" s="13" t="n">
        <f aca="false">Inputs!$F$139*(Inputs!$F$140*BK20/100+(1-Inputs!$F$140)*BK26/100*Inputs!$F$138/BK11)</f>
        <v>6.14863219467003</v>
      </c>
      <c r="BL49" s="13" t="n">
        <f aca="false">Inputs!$F$139*(Inputs!$F$140*BL20/100+(1-Inputs!$F$140)*BL26/100*Inputs!$F$138/BL11)</f>
        <v>6.21589919306693</v>
      </c>
      <c r="BM49" s="13" t="n">
        <f aca="false">Inputs!$F$139*(Inputs!$F$140*BM20/100+(1-Inputs!$F$140)*BM26/100*Inputs!$F$138/BM11)</f>
        <v>6.28390210295277</v>
      </c>
      <c r="BN49" s="13" t="n">
        <f aca="false">Inputs!$F$139*(Inputs!$F$140*BN20/100+(1-Inputs!$F$140)*BN26/100*Inputs!$F$138/BN11)</f>
        <v>6.3526489753144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430.820302722699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6.79305859516658</v>
      </c>
      <c r="R50" s="13" t="n">
        <f aca="false">R38*R49/1000000</f>
        <v>6.81818247156457</v>
      </c>
      <c r="S50" s="13" t="n">
        <f aca="false">S38*S49/1000000</f>
        <v>6.90983582598659</v>
      </c>
      <c r="T50" s="13" t="n">
        <f aca="false">T38*T49/1000000</f>
        <v>7.02511309008819</v>
      </c>
      <c r="U50" s="13" t="n">
        <f aca="false">U38*U49/1000000</f>
        <v>7.01592231134712</v>
      </c>
      <c r="V50" s="13" t="n">
        <f aca="false">V38*V49/1000000</f>
        <v>6.92429035160363</v>
      </c>
      <c r="W50" s="13" t="n">
        <f aca="false">W38*W49/1000000</f>
        <v>7.07711801291392</v>
      </c>
      <c r="X50" s="13" t="n">
        <f aca="false">X38*X49/1000000</f>
        <v>7.3155252792121</v>
      </c>
      <c r="Y50" s="13" t="n">
        <f aca="false">Y38*Y49/1000000</f>
        <v>7.3663392968533</v>
      </c>
      <c r="Z50" s="13" t="n">
        <f aca="false">Z38*Z49/1000000</f>
        <v>7.39354984105838</v>
      </c>
      <c r="AA50" s="13" t="n">
        <f aca="false">AA38*AA49/1000000</f>
        <v>7.49290347355078</v>
      </c>
      <c r="AB50" s="13" t="n">
        <f aca="false">AB38*AB49/1000000</f>
        <v>7.61787338174394</v>
      </c>
      <c r="AC50" s="13" t="n">
        <f aca="false">AC38*AC49/1000000</f>
        <v>7.55591351975947</v>
      </c>
      <c r="AD50" s="13" t="n">
        <f aca="false">AD38*AD49/1000000</f>
        <v>7.35101240655684</v>
      </c>
      <c r="AE50" s="13" t="n">
        <f aca="false">AE38*AE49/1000000</f>
        <v>7.56811815990791</v>
      </c>
      <c r="AF50" s="13" t="n">
        <f aca="false">AF38*AF49/1000000</f>
        <v>7.9326446367629</v>
      </c>
      <c r="AG50" s="13" t="n">
        <f aca="false">AG38*AG49/1000000</f>
        <v>7.98770852250016</v>
      </c>
      <c r="AH50" s="13" t="n">
        <f aca="false">AH38*AH49/1000000</f>
        <v>8.01717747838921</v>
      </c>
      <c r="AI50" s="13" t="n">
        <f aca="false">AI38*AI49/1000000</f>
        <v>8.12487392595492</v>
      </c>
      <c r="AJ50" s="13" t="n">
        <f aca="false">AJ38*AJ49/1000000</f>
        <v>8.26034601293571</v>
      </c>
      <c r="AK50" s="13" t="n">
        <f aca="false">AK38*AK49/1000000</f>
        <v>8.24946345424354</v>
      </c>
      <c r="AL50" s="13" t="n">
        <f aca="false">AL38*AL49/1000000</f>
        <v>8.14164586226516</v>
      </c>
      <c r="AM50" s="13" t="n">
        <f aca="false">AM38*AM49/1000000</f>
        <v>8.32126541969996</v>
      </c>
      <c r="AN50" s="13" t="n">
        <f aca="false">AN38*AN49/1000000</f>
        <v>8.60150499965713</v>
      </c>
      <c r="AO50" s="13" t="n">
        <f aca="false">AO38*AO49/1000000</f>
        <v>8.66117147825619</v>
      </c>
      <c r="AP50" s="13" t="n">
        <f aca="false">AP38*AP49/1000000</f>
        <v>8.69308456931913</v>
      </c>
      <c r="AQ50" s="13" t="n">
        <f aca="false">AQ38*AQ49/1000000</f>
        <v>8.80981955085932</v>
      </c>
      <c r="AR50" s="13" t="n">
        <f aca="false">AR38*AR49/1000000</f>
        <v>8.95667042953513</v>
      </c>
      <c r="AS50" s="13" t="n">
        <f aca="false">AS38*AS49/1000000</f>
        <v>8.88373890292515</v>
      </c>
      <c r="AT50" s="13" t="n">
        <f aca="false">AT38*AT49/1000000</f>
        <v>8.64274938639652</v>
      </c>
      <c r="AU50" s="13" t="n">
        <f aca="false">AU38*AU49/1000000</f>
        <v>8.8979225041915</v>
      </c>
      <c r="AV50" s="13" t="n">
        <f aca="false">AV38*AV49/1000000</f>
        <v>9.32641333344407</v>
      </c>
      <c r="AW50" s="13" t="n">
        <f aca="false">AW38*AW49/1000000</f>
        <v>9.39106413602555</v>
      </c>
      <c r="AX50" s="13" t="n">
        <f aca="false">AX38*AX49/1000000</f>
        <v>9.42562218761875</v>
      </c>
      <c r="AY50" s="13" t="n">
        <f aca="false">AY38*AY49/1000000</f>
        <v>9.55214896275005</v>
      </c>
      <c r="AZ50" s="13" t="n">
        <f aca="false">AZ38*AZ49/1000000</f>
        <v>9.71132782941569</v>
      </c>
      <c r="BA50" s="13" t="n">
        <f aca="false">BA38*BA49/1000000</f>
        <v>9.69844241972571</v>
      </c>
      <c r="BB50" s="13" t="n">
        <f aca="false">BB38*BB49/1000000</f>
        <v>9.57159697551459</v>
      </c>
      <c r="BC50" s="13" t="n">
        <f aca="false">BC38*BC49/1000000</f>
        <v>9.78267152599974</v>
      </c>
      <c r="BD50" s="13" t="n">
        <f aca="false">BD38*BD49/1000000</f>
        <v>10.1120320466864</v>
      </c>
      <c r="BE50" s="13" t="n">
        <f aca="false">BE38*BE49/1000000</f>
        <v>10.1820802692964</v>
      </c>
      <c r="BF50" s="13" t="n">
        <f aca="false">BF38*BF49/1000000</f>
        <v>10.2195004193969</v>
      </c>
      <c r="BG50" s="13" t="n">
        <f aca="false">BG38*BG49/1000000</f>
        <v>10.356634500225</v>
      </c>
      <c r="BH50" s="13" t="n">
        <f aca="false">BH38*BH49/1000000</f>
        <v>10.5291690862697</v>
      </c>
      <c r="BI50" s="13" t="n">
        <f aca="false">BI38*BI49/1000000</f>
        <v>10.4433336793789</v>
      </c>
      <c r="BJ50" s="13" t="n">
        <f aca="false">BJ38*BJ49/1000000</f>
        <v>10.159940040024</v>
      </c>
      <c r="BK50" s="13" t="n">
        <f aca="false">BK38*BK49/1000000</f>
        <v>10.4598075469878</v>
      </c>
      <c r="BL50" s="13" t="n">
        <f aca="false">BL38*BL49/1000000</f>
        <v>10.9634080194753</v>
      </c>
      <c r="BM50" s="13" t="n">
        <f aca="false">BM38*BM49/1000000</f>
        <v>7.38410598364987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3682.49299935249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66.1582031040692</v>
      </c>
      <c r="R55" s="13" t="n">
        <f aca="false">R48+R50</f>
        <v>66.3890884515189</v>
      </c>
      <c r="S55" s="13" t="n">
        <f aca="false">S48+S50</f>
        <v>66.6887543396851</v>
      </c>
      <c r="T55" s="13" t="n">
        <f aca="false">T48+T50</f>
        <v>67.0143198272015</v>
      </c>
      <c r="U55" s="13" t="n">
        <f aca="false">U48+U50</f>
        <v>67.217717857947</v>
      </c>
      <c r="V55" s="13" t="n">
        <f aca="false">V48+V50</f>
        <v>67.3410004625334</v>
      </c>
      <c r="W55" s="13" t="n">
        <f aca="false">W48+W50</f>
        <v>67.711093887139</v>
      </c>
      <c r="X55" s="13" t="n">
        <f aca="false">X48+X50</f>
        <v>68.1691438381823</v>
      </c>
      <c r="Y55" s="13" t="n">
        <f aca="false">Y48+Y50</f>
        <v>68.4420034659113</v>
      </c>
      <c r="Z55" s="13" t="n">
        <f aca="false">Z48+Z50</f>
        <v>68.693688833926</v>
      </c>
      <c r="AA55" s="13" t="n">
        <f aca="false">AA48+AA50</f>
        <v>69.019973079928</v>
      </c>
      <c r="AB55" s="13" t="n">
        <f aca="false">AB48+AB50</f>
        <v>69.3743562580546</v>
      </c>
      <c r="AC55" s="13" t="n">
        <f aca="false">AC48+AC50</f>
        <v>69.544319483077</v>
      </c>
      <c r="AD55" s="13" t="n">
        <f aca="false">AD48+AD50</f>
        <v>68.675103995938</v>
      </c>
      <c r="AE55" s="13" t="n">
        <f aca="false">AE48+AE50</f>
        <v>70.0280098800185</v>
      </c>
      <c r="AF55" s="13" t="n">
        <f aca="false">AF48+AF50</f>
        <v>70.6321548467066</v>
      </c>
      <c r="AG55" s="13" t="n">
        <f aca="false">AG48+AG50</f>
        <v>70.9294586860531</v>
      </c>
      <c r="AH55" s="13" t="n">
        <f aca="false">AH48+AH50</f>
        <v>71.2038177385516</v>
      </c>
      <c r="AI55" s="13" t="n">
        <f aca="false">AI48+AI50</f>
        <v>71.5590834187061</v>
      </c>
      <c r="AJ55" s="13" t="n">
        <f aca="false">AJ48+AJ50</f>
        <v>71.9448331844217</v>
      </c>
      <c r="AK55" s="13" t="n">
        <f aca="false">AK48+AK50</f>
        <v>72.1869663814352</v>
      </c>
      <c r="AL55" s="13" t="n">
        <f aca="false">AL48+AL50</f>
        <v>72.3349325771238</v>
      </c>
      <c r="AM55" s="13" t="n">
        <f aca="false">AM48+AM50</f>
        <v>72.7731342368898</v>
      </c>
      <c r="AN55" s="13" t="n">
        <f aca="false">AN48+AN50</f>
        <v>73.3147848478427</v>
      </c>
      <c r="AO55" s="13" t="n">
        <f aca="false">AO48+AO50</f>
        <v>73.6387222350242</v>
      </c>
      <c r="AP55" s="13" t="n">
        <f aca="false">AP48+AP50</f>
        <v>73.9377973997648</v>
      </c>
      <c r="AQ55" s="13" t="n">
        <f aca="false">AQ48+AQ50</f>
        <v>74.3246172498762</v>
      </c>
      <c r="AR55" s="13" t="n">
        <f aca="false">AR48+AR50</f>
        <v>74.7445077678506</v>
      </c>
      <c r="AS55" s="13" t="n">
        <f aca="false">AS48+AS50</f>
        <v>74.9476029769205</v>
      </c>
      <c r="AT55" s="13" t="n">
        <f aca="false">AT48+AT50</f>
        <v>74.0273734855219</v>
      </c>
      <c r="AU55" s="13" t="n">
        <f aca="false">AU48+AU50</f>
        <v>75.5229324134147</v>
      </c>
      <c r="AV55" s="13" t="n">
        <f aca="false">AV48+AV50</f>
        <v>76.2366087772803</v>
      </c>
      <c r="AW55" s="13" t="n">
        <f aca="false">AW48+AW50</f>
        <v>76.5895650888516</v>
      </c>
      <c r="AX55" s="13" t="n">
        <f aca="false">AX48+AX50</f>
        <v>76.9155827568194</v>
      </c>
      <c r="AY55" s="13" t="n">
        <f aca="false">AY48+AY50</f>
        <v>77.3367577621383</v>
      </c>
      <c r="AZ55" s="13" t="n">
        <f aca="false">AZ48+AZ50</f>
        <v>77.7938083567388</v>
      </c>
      <c r="BA55" s="13" t="n">
        <f aca="false">BA48+BA50</f>
        <v>78.0820534383005</v>
      </c>
      <c r="BB55" s="13" t="n">
        <f aca="false">BB48+BB50</f>
        <v>78.2596329000388</v>
      </c>
      <c r="BC55" s="13" t="n">
        <f aca="false">BC48+BC50</f>
        <v>78.7784628125832</v>
      </c>
      <c r="BD55" s="13" t="n">
        <f aca="false">BD48+BD50</f>
        <v>79.4189455871501</v>
      </c>
      <c r="BE55" s="13" t="n">
        <f aca="false">BE48+BE50</f>
        <v>79.8035197897846</v>
      </c>
      <c r="BF55" s="13" t="n">
        <f aca="false">BF48+BF50</f>
        <v>80.1589068833508</v>
      </c>
      <c r="BG55" s="13" t="n">
        <f aca="false">BG48+BG50</f>
        <v>80.617486515764</v>
      </c>
      <c r="BH55" s="13" t="n">
        <f aca="false">BH48+BH50</f>
        <v>81.1149833180306</v>
      </c>
      <c r="BI55" s="13" t="n">
        <f aca="false">BI48+BI50</f>
        <v>81.3576652648598</v>
      </c>
      <c r="BJ55" s="13" t="n">
        <f aca="false">BJ48+BJ50</f>
        <v>80.3772677231325</v>
      </c>
      <c r="BK55" s="13" t="n">
        <f aca="false">BK48+BK50</f>
        <v>82.0419952529493</v>
      </c>
      <c r="BL55" s="13" t="n">
        <f aca="false">BL48+BL50</f>
        <v>82.885013560885</v>
      </c>
      <c r="BM55" s="13" t="n">
        <f aca="false">BM48+BM50</f>
        <v>55.5605970910449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9406.0954121993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158.745478231784</v>
      </c>
      <c r="R56" s="13" t="n">
        <f aca="false">R55+R51+R52+R53+R54</f>
        <v>158.6264350229</v>
      </c>
      <c r="S56" s="13" t="n">
        <f aca="false">S55+S51+S52+S53+S54</f>
        <v>160.751391111706</v>
      </c>
      <c r="T56" s="13" t="n">
        <f aca="false">T55+T51+T52+T53+T54</f>
        <v>161.779998920833</v>
      </c>
      <c r="U56" s="13" t="n">
        <f aca="false">U55+U51+U52+U53+U54</f>
        <v>162.693375836555</v>
      </c>
      <c r="V56" s="13" t="n">
        <f aca="false">V55+V51+V52+V53+V54</f>
        <v>161.004407262644</v>
      </c>
      <c r="W56" s="13" t="n">
        <f aca="false">W55+W51+W52+W53+W54</f>
        <v>163.934716650589</v>
      </c>
      <c r="X56" s="13" t="n">
        <f aca="false">X55+X51+X52+X53+X54</f>
        <v>166.529784852756</v>
      </c>
      <c r="Y56" s="13" t="n">
        <f aca="false">Y55+Y51+Y52+Y53+Y54</f>
        <v>168.190230394897</v>
      </c>
      <c r="Z56" s="13" t="n">
        <f aca="false">Z55+Z51+Z52+Z53+Z54</f>
        <v>168.060079659042</v>
      </c>
      <c r="AA56" s="13" t="n">
        <f aca="false">AA55+AA51+AA52+AA53+AA54</f>
        <v>170.356932481306</v>
      </c>
      <c r="AB56" s="13" t="n">
        <f aca="false">AB55+AB51+AB52+AB53+AB54</f>
        <v>171.466199310512</v>
      </c>
      <c r="AC56" s="13" t="n">
        <f aca="false">AC55+AC51+AC52+AC53+AC54</f>
        <v>171.78527046343</v>
      </c>
      <c r="AD56" s="13" t="n">
        <f aca="false">AD55+AD51+AD52+AD53+AD54</f>
        <v>167.724750584927</v>
      </c>
      <c r="AE56" s="13" t="n">
        <f aca="false">AE55+AE51+AE52+AE53+AE54</f>
        <v>172.433469616305</v>
      </c>
      <c r="AF56" s="13" t="n">
        <f aca="false">AF55+AF51+AF52+AF53+AF54</f>
        <v>176.59658398602</v>
      </c>
      <c r="AG56" s="13" t="n">
        <f aca="false">AG55+AG51+AG52+AG53+AG54</f>
        <v>178.391850193497</v>
      </c>
      <c r="AH56" s="13" t="n">
        <f aca="false">AH55+AH51+AH52+AH53+AH54</f>
        <v>178.249689580411</v>
      </c>
      <c r="AI56" s="13" t="n">
        <f aca="false">AI55+AI51+AI52+AI53+AI54</f>
        <v>180.732260426376</v>
      </c>
      <c r="AJ56" s="13" t="n">
        <f aca="false">AJ55+AJ51+AJ52+AJ53+AJ54</f>
        <v>181.928569339992</v>
      </c>
      <c r="AK56" s="13" t="n">
        <f aca="false">AK55+AK51+AK52+AK53+AK54</f>
        <v>182.995554307753</v>
      </c>
      <c r="AL56" s="13" t="n">
        <f aca="false">AL55+AL51+AL52+AL53+AL54</f>
        <v>181.02506220926</v>
      </c>
      <c r="AM56" s="13" t="n">
        <f aca="false">AM55+AM51+AM52+AM53+AM54</f>
        <v>184.44698533893</v>
      </c>
      <c r="AN56" s="13" t="n">
        <f aca="false">AN55+AN51+AN52+AN53+AN54</f>
        <v>187.470085945829</v>
      </c>
      <c r="AO56" s="13" t="n">
        <f aca="false">AO55+AO51+AO52+AO53+AO54</f>
        <v>189.411057445622</v>
      </c>
      <c r="AP56" s="13" t="n">
        <f aca="false">AP55+AP51+AP52+AP53+AP54</f>
        <v>189.255919614355</v>
      </c>
      <c r="AQ56" s="13" t="n">
        <f aca="false">AQ55+AQ51+AQ52+AQ53+AQ54</f>
        <v>191.939133715493</v>
      </c>
      <c r="AR56" s="13" t="n">
        <f aca="false">AR55+AR51+AR52+AR53+AR54</f>
        <v>193.229376278188</v>
      </c>
      <c r="AS56" s="13" t="n">
        <f aca="false">AS55+AS51+AS52+AS53+AS54</f>
        <v>193.603453281011</v>
      </c>
      <c r="AT56" s="13" t="n">
        <f aca="false">AT55+AT51+AT52+AT53+AT54</f>
        <v>188.957481070981</v>
      </c>
      <c r="AU56" s="13" t="n">
        <f aca="false">AU55+AU51+AU52+AU53+AU54</f>
        <v>194.363621620488</v>
      </c>
      <c r="AV56" s="13" t="n">
        <f aca="false">AV55+AV51+AV52+AV53+AV54</f>
        <v>199.215006963585</v>
      </c>
      <c r="AW56" s="13" t="n">
        <f aca="false">AW55+AW51+AW52+AW53+AW54</f>
        <v>201.313441860851</v>
      </c>
      <c r="AX56" s="13" t="n">
        <f aca="false">AX55+AX51+AX52+AX53+AX54</f>
        <v>201.144290487198</v>
      </c>
      <c r="AY56" s="13" t="n">
        <f aca="false">AY55+AY51+AY52+AY53+AY54</f>
        <v>204.044264542466</v>
      </c>
      <c r="AZ56" s="13" t="n">
        <f aca="false">AZ55+AZ51+AZ52+AZ53+AZ54</f>
        <v>205.435881511102</v>
      </c>
      <c r="BA56" s="13" t="n">
        <f aca="false">BA55+BA51+BA52+BA53+BA54</f>
        <v>206.682306757615</v>
      </c>
      <c r="BB56" s="13" t="n">
        <f aca="false">BB55+BB51+BB52+BB53+BB54</f>
        <v>204.384139533276</v>
      </c>
      <c r="BC56" s="13" t="n">
        <f aca="false">BC55+BC51+BC52+BC53+BC54</f>
        <v>208.37958318229</v>
      </c>
      <c r="BD56" s="13" t="n">
        <f aca="false">BD55+BD51+BD52+BD53+BD54</f>
        <v>211.901253541943</v>
      </c>
      <c r="BE56" s="13" t="n">
        <f aca="false">BE55+BE51+BE52+BE53+BE54</f>
        <v>214.16985306207</v>
      </c>
      <c r="BF56" s="13" t="n">
        <f aca="false">BF55+BF51+BF52+BF53+BF54</f>
        <v>213.98557867266</v>
      </c>
      <c r="BG56" s="13" t="n">
        <f aca="false">BG55+BG51+BG52+BG53+BG54</f>
        <v>217.119715256702</v>
      </c>
      <c r="BH56" s="13" t="n">
        <f aca="false">BH55+BH51+BH52+BH53+BH54</f>
        <v>218.620740537336</v>
      </c>
      <c r="BI56" s="13" t="n">
        <f aca="false">BI55+BI51+BI52+BI53+BI54</f>
        <v>219.05944578917</v>
      </c>
      <c r="BJ56" s="13" t="n">
        <f aca="false">BJ55+BJ51+BJ52+BJ53+BJ54</f>
        <v>213.730357118966</v>
      </c>
      <c r="BK56" s="13" t="n">
        <f aca="false">BK55+BK51+BK52+BK53+BK54</f>
        <v>219.951278738174</v>
      </c>
      <c r="BL56" s="13" t="n">
        <f aca="false">BL55+BL51+BL52+BL53+BL54</f>
        <v>225.604338125025</v>
      </c>
      <c r="BM56" s="13" t="n">
        <f aca="false">BM55+BM51+BM52+BM53+BM54</f>
        <v>152.28055102645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241.164031065334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3.69065386454882</v>
      </c>
      <c r="R60" s="13" t="n">
        <f aca="false">Inputs!$F$151*(Inputs!$F$152*R21+(1-Inputs!$F$152)*R27*Inputs!$F$153/R11)*Time!R30/12*Inputs!$F$40</f>
        <v>3.73103019537006</v>
      </c>
      <c r="S60" s="13" t="n">
        <f aca="false">Inputs!$F$151*(Inputs!$F$152*S21+(1-Inputs!$F$152)*S27*Inputs!$F$153/S11)*Time!S30/12*Inputs!$F$40</f>
        <v>3.77184824956889</v>
      </c>
      <c r="T60" s="13" t="n">
        <f aca="false">Inputs!$F$151*(Inputs!$F$152*T21+(1-Inputs!$F$152)*T27*Inputs!$F$153/T11)*Time!T30/12*Inputs!$F$40</f>
        <v>3.8131128596682</v>
      </c>
      <c r="U60" s="13" t="n">
        <f aca="false">Inputs!$F$151*(Inputs!$F$152*U21+(1-Inputs!$F$152)*U27*Inputs!$F$153/U11)*Time!U30/12*Inputs!$F$40</f>
        <v>3.8548289110594</v>
      </c>
      <c r="V60" s="13" t="n">
        <f aca="false">Inputs!$F$151*(Inputs!$F$152*V21+(1-Inputs!$F$152)*V27*Inputs!$F$153/V11)*Time!V30/12*Inputs!$F$40</f>
        <v>3.8970013425809</v>
      </c>
      <c r="W60" s="13" t="n">
        <f aca="false">Inputs!$F$151*(Inputs!$F$152*W21+(1-Inputs!$F$152)*W27*Inputs!$F$153/W11)*Time!W30/12*Inputs!$F$40</f>
        <v>3.93963514710271</v>
      </c>
      <c r="X60" s="13" t="n">
        <f aca="false">Inputs!$F$151*(Inputs!$F$152*X21+(1-Inputs!$F$152)*X27*Inputs!$F$153/X11)*Time!X30/12*Inputs!$F$40</f>
        <v>3.98273537211767</v>
      </c>
      <c r="Y60" s="13" t="n">
        <f aca="false">Inputs!$F$151*(Inputs!$F$152*Y21+(1-Inputs!$F$152)*Y27*Inputs!$F$153/Y11)*Time!Y30/12*Inputs!$F$40</f>
        <v>4.02630712033897</v>
      </c>
      <c r="Z60" s="13" t="n">
        <f aca="false">Inputs!$F$151*(Inputs!$F$152*Z21+(1-Inputs!$F$152)*Z27*Inputs!$F$153/Z11)*Time!Z30/12*Inputs!$F$40</f>
        <v>4.07035555030426</v>
      </c>
      <c r="AA60" s="13" t="n">
        <f aca="false">Inputs!$F$151*(Inputs!$F$152*AA21+(1-Inputs!$F$152)*AA27*Inputs!$F$153/AA11)*Time!AA30/12*Inputs!$F$40</f>
        <v>4.11488587698643</v>
      </c>
      <c r="AB60" s="13" t="n">
        <f aca="false">Inputs!$F$151*(Inputs!$F$152*AB21+(1-Inputs!$F$152)*AB27*Inputs!$F$153/AB11)*Time!AB30/12*Inputs!$F$40</f>
        <v>4.15990337241096</v>
      </c>
      <c r="AC60" s="13" t="n">
        <f aca="false">Inputs!$F$151*(Inputs!$F$152*AC21+(1-Inputs!$F$152)*AC27*Inputs!$F$153/AC11)*Time!AC30/12*Inputs!$F$40</f>
        <v>4.20541336628013</v>
      </c>
      <c r="AD60" s="13" t="n">
        <f aca="false">Inputs!$F$151*(Inputs!$F$152*AD21+(1-Inputs!$F$152)*AD27*Inputs!$F$153/AD11)*Time!AD30/12*Inputs!$F$40</f>
        <v>4.251421246604</v>
      </c>
      <c r="AE60" s="13" t="n">
        <f aca="false">Inputs!$F$151*(Inputs!$F$152*AE21+(1-Inputs!$F$152)*AE27*Inputs!$F$153/AE11)*Time!AE30/12*Inputs!$F$40</f>
        <v>4.29793246033829</v>
      </c>
      <c r="AF60" s="13" t="n">
        <f aca="false">Inputs!$F$151*(Inputs!$F$152*AF21+(1-Inputs!$F$152)*AF27*Inputs!$F$153/AF11)*Time!AF30/12*Inputs!$F$40</f>
        <v>4.34495251402928</v>
      </c>
      <c r="AG60" s="13" t="n">
        <f aca="false">Inputs!$F$151*(Inputs!$F$152*AG21+(1-Inputs!$F$152)*AG27*Inputs!$F$153/AG11)*Time!AG30/12*Inputs!$F$40</f>
        <v>4.39248697446573</v>
      </c>
      <c r="AH60" s="13" t="n">
        <f aca="false">Inputs!$F$151*(Inputs!$F$152*AH21+(1-Inputs!$F$152)*AH27*Inputs!$F$153/AH11)*Time!AH30/12*Inputs!$F$40</f>
        <v>4.44054146933793</v>
      </c>
      <c r="AI60" s="13" t="n">
        <f aca="false">Inputs!$F$151*(Inputs!$F$152*AI21+(1-Inputs!$F$152)*AI27*Inputs!$F$153/AI11)*Time!AI30/12*Inputs!$F$40</f>
        <v>4.48912168790398</v>
      </c>
      <c r="AJ60" s="13" t="n">
        <f aca="false">Inputs!$F$151*(Inputs!$F$152*AJ21+(1-Inputs!$F$152)*AJ27*Inputs!$F$153/AJ11)*Time!AJ30/12*Inputs!$F$40</f>
        <v>4.53823338166336</v>
      </c>
      <c r="AK60" s="13" t="n">
        <f aca="false">Inputs!$F$151*(Inputs!$F$152*AK21+(1-Inputs!$F$152)*AK27*Inputs!$F$153/AK11)*Time!AK30/12*Inputs!$F$40</f>
        <v>4.58788236503786</v>
      </c>
      <c r="AL60" s="13" t="n">
        <f aca="false">Inputs!$F$151*(Inputs!$F$152*AL21+(1-Inputs!$F$152)*AL27*Inputs!$F$153/AL11)*Time!AL30/12*Inputs!$F$40</f>
        <v>4.63807451605995</v>
      </c>
      <c r="AM60" s="13" t="n">
        <f aca="false">Inputs!$F$151*(Inputs!$F$152*AM21+(1-Inputs!$F$152)*AM27*Inputs!$F$153/AM11)*Time!AM30/12*Inputs!$F$40</f>
        <v>4.6888157770687</v>
      </c>
      <c r="AN60" s="13" t="n">
        <f aca="false">Inputs!$F$151*(Inputs!$F$152*AN21+(1-Inputs!$F$152)*AN27*Inputs!$F$153/AN11)*Time!AN30/12*Inputs!$F$40</f>
        <v>4.74011215541327</v>
      </c>
      <c r="AO60" s="13" t="n">
        <f aca="false">Inputs!$F$151*(Inputs!$F$152*AO21+(1-Inputs!$F$152)*AO27*Inputs!$F$153/AO11)*Time!AO30/12*Inputs!$F$40</f>
        <v>4.79196972416421</v>
      </c>
      <c r="AP60" s="13" t="n">
        <f aca="false">Inputs!$F$151*(Inputs!$F$152*AP21+(1-Inputs!$F$152)*AP27*Inputs!$F$153/AP11)*Time!AP30/12*Inputs!$F$40</f>
        <v>4.84439462283236</v>
      </c>
      <c r="AQ60" s="13" t="n">
        <f aca="false">Inputs!$F$151*(Inputs!$F$152*AQ21+(1-Inputs!$F$152)*AQ27*Inputs!$F$153/AQ11)*Time!AQ30/12*Inputs!$F$40</f>
        <v>4.89739305809582</v>
      </c>
      <c r="AR60" s="13" t="n">
        <f aca="false">Inputs!$F$151*(Inputs!$F$152*AR21+(1-Inputs!$F$152)*AR27*Inputs!$F$153/AR11)*Time!AR30/12*Inputs!$F$40</f>
        <v>4.95097130453468</v>
      </c>
      <c r="AS60" s="13" t="n">
        <f aca="false">Inputs!$F$151*(Inputs!$F$152*AS21+(1-Inputs!$F$152)*AS27*Inputs!$F$153/AS11)*Time!AS30/12*Inputs!$F$40</f>
        <v>5.00513570537393</v>
      </c>
      <c r="AT60" s="13" t="n">
        <f aca="false">Inputs!$F$151*(Inputs!$F$152*AT21+(1-Inputs!$F$152)*AT27*Inputs!$F$153/AT11)*Time!AT30/12*Inputs!$F$40</f>
        <v>5.05989267323444</v>
      </c>
      <c r="AU60" s="13" t="n">
        <f aca="false">Inputs!$F$151*(Inputs!$F$152*AU21+(1-Inputs!$F$152)*AU27*Inputs!$F$153/AU11)*Time!AU30/12*Inputs!$F$40</f>
        <v>5.11524869089215</v>
      </c>
      <c r="AV60" s="13" t="n">
        <f aca="false">Inputs!$F$151*(Inputs!$F$152*AV21+(1-Inputs!$F$152)*AV27*Inputs!$F$153/AV11)*Time!AV30/12*Inputs!$F$40</f>
        <v>5.1712103120456</v>
      </c>
      <c r="AW60" s="13" t="n">
        <f aca="false">Inputs!$F$151*(Inputs!$F$152*AW21+(1-Inputs!$F$152)*AW27*Inputs!$F$153/AW11)*Time!AW30/12*Inputs!$F$40</f>
        <v>5.22778416209178</v>
      </c>
      <c r="AX60" s="13" t="n">
        <f aca="false">Inputs!$F$151*(Inputs!$F$152*AX21+(1-Inputs!$F$152)*AX27*Inputs!$F$153/AX11)*Time!AX30/12*Inputs!$F$40</f>
        <v>5.2849769389106</v>
      </c>
      <c r="AY60" s="13" t="n">
        <f aca="false">Inputs!$F$151*(Inputs!$F$152*AY21+(1-Inputs!$F$152)*AY27*Inputs!$F$153/AY11)*Time!AY30/12*Inputs!$F$40</f>
        <v>5.3427954136578</v>
      </c>
      <c r="AZ60" s="13" t="n">
        <f aca="false">Inputs!$F$151*(Inputs!$F$152*AZ21+(1-Inputs!$F$152)*AZ27*Inputs!$F$153/AZ11)*Time!AZ30/12*Inputs!$F$40</f>
        <v>5.40124643156663</v>
      </c>
      <c r="BA60" s="13" t="n">
        <f aca="false">Inputs!$F$151*(Inputs!$F$152*BA21+(1-Inputs!$F$152)*BA27*Inputs!$F$153/BA11)*Time!BA30/12*Inputs!$F$40</f>
        <v>5.46033691275827</v>
      </c>
      <c r="BB60" s="13" t="n">
        <f aca="false">Inputs!$F$151*(Inputs!$F$152*BB21+(1-Inputs!$F$152)*BB27*Inputs!$F$153/BB11)*Time!BB30/12*Inputs!$F$40</f>
        <v>5.52007385306109</v>
      </c>
      <c r="BC60" s="13" t="n">
        <f aca="false">Inputs!$F$151*(Inputs!$F$152*BC21+(1-Inputs!$F$152)*BC27*Inputs!$F$153/BC11)*Time!BC30/12*Inputs!$F$40</f>
        <v>5.58046432483895</v>
      </c>
      <c r="BD60" s="13" t="n">
        <f aca="false">Inputs!$F$151*(Inputs!$F$152*BD21+(1-Inputs!$F$152)*BD27*Inputs!$F$153/BD11)*Time!BD30/12*Inputs!$F$40</f>
        <v>5.64151547782844</v>
      </c>
      <c r="BE60" s="13" t="n">
        <f aca="false">Inputs!$F$151*(Inputs!$F$152*BE21+(1-Inputs!$F$152)*BE27*Inputs!$F$153/BE11)*Time!BE30/12*Inputs!$F$40</f>
        <v>5.7032345399854</v>
      </c>
      <c r="BF60" s="13" t="n">
        <f aca="false">Inputs!$F$151*(Inputs!$F$152*BF21+(1-Inputs!$F$152)*BF27*Inputs!$F$153/BF11)*Time!BF30/12*Inputs!$F$40</f>
        <v>5.76562881834066</v>
      </c>
      <c r="BG60" s="13" t="n">
        <f aca="false">Inputs!$F$151*(Inputs!$F$152*BG21+(1-Inputs!$F$152)*BG27*Inputs!$F$153/BG11)*Time!BG30/12*Inputs!$F$40</f>
        <v>5.82870569986508</v>
      </c>
      <c r="BH60" s="13" t="n">
        <f aca="false">Inputs!$F$151*(Inputs!$F$152*BH21+(1-Inputs!$F$152)*BH27*Inputs!$F$153/BH11)*Time!BH30/12*Inputs!$F$40</f>
        <v>5.89247265234416</v>
      </c>
      <c r="BI60" s="13" t="n">
        <f aca="false">Inputs!$F$151*(Inputs!$F$152*BI21+(1-Inputs!$F$152)*BI27*Inputs!$F$153/BI11)*Time!BI30/12*Inputs!$F$40</f>
        <v>5.95693722526211</v>
      </c>
      <c r="BJ60" s="13" t="n">
        <f aca="false">Inputs!$F$151*(Inputs!$F$152*BJ21+(1-Inputs!$F$152)*BJ27*Inputs!$F$153/BJ11)*Time!BJ30/12*Inputs!$F$40</f>
        <v>6.02210705069572</v>
      </c>
      <c r="BK60" s="13" t="n">
        <f aca="false">Inputs!$F$151*(Inputs!$F$152*BK21+(1-Inputs!$F$152)*BK27*Inputs!$F$153/BK11)*Time!BK30/12*Inputs!$F$40</f>
        <v>6.08798984421788</v>
      </c>
      <c r="BL60" s="13" t="n">
        <f aca="false">Inputs!$F$151*(Inputs!$F$152*BL21+(1-Inputs!$F$152)*BL27*Inputs!$F$153/BL11)*Time!BL30/12*Inputs!$F$40</f>
        <v>6.15459340581103</v>
      </c>
      <c r="BM60" s="13" t="n">
        <f aca="false">Inputs!$F$151*(Inputs!$F$152*BM21+(1-Inputs!$F$152)*BM27*Inputs!$F$153/BM11)*Time!BM30/12*Inputs!$F$40</f>
        <v>4.14795041386045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90.174021899449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1.37756456081767</v>
      </c>
      <c r="R66" s="13" t="n">
        <f aca="false">Inputs!$F$159*(Inputs!$F$218*R21+(1-Inputs!$F$218)*R27*Inputs!$F$153/R11)*Time!R30/12*Inputs!$F$40</f>
        <v>1.39263533268535</v>
      </c>
      <c r="S66" s="13" t="n">
        <f aca="false">Inputs!$F$159*(Inputs!$F$218*S21+(1-Inputs!$F$218)*S27*Inputs!$F$153/S11)*Time!S30/12*Inputs!$F$40</f>
        <v>1.40787098115566</v>
      </c>
      <c r="T66" s="13" t="n">
        <f aca="false">Inputs!$F$159*(Inputs!$F$218*T21+(1-Inputs!$F$218)*T27*Inputs!$F$153/T11)*Time!T30/12*Inputs!$F$40</f>
        <v>1.42327331000443</v>
      </c>
      <c r="U66" s="13" t="n">
        <f aca="false">Inputs!$F$159*(Inputs!$F$218*U21+(1-Inputs!$F$218)*U27*Inputs!$F$153/U11)*Time!U30/12*Inputs!$F$40</f>
        <v>1.43884414274108</v>
      </c>
      <c r="V66" s="13" t="n">
        <f aca="false">Inputs!$F$159*(Inputs!$F$218*V21+(1-Inputs!$F$218)*V27*Inputs!$F$153/V11)*Time!V30/12*Inputs!$F$40</f>
        <v>1.45458532282453</v>
      </c>
      <c r="W66" s="13" t="n">
        <f aca="false">Inputs!$F$159*(Inputs!$F$218*W21+(1-Inputs!$F$218)*W27*Inputs!$F$153/W11)*Time!W30/12*Inputs!$F$40</f>
        <v>1.47049871388139</v>
      </c>
      <c r="X66" s="13" t="n">
        <f aca="false">Inputs!$F$159*(Inputs!$F$218*X21+(1-Inputs!$F$218)*X27*Inputs!$F$153/X11)*Time!X30/12*Inputs!$F$40</f>
        <v>1.48658619992667</v>
      </c>
      <c r="Y66" s="13" t="n">
        <f aca="false">Inputs!$F$159*(Inputs!$F$218*Y21+(1-Inputs!$F$218)*Y27*Inputs!$F$153/Y11)*Time!Y30/12*Inputs!$F$40</f>
        <v>1.50284968558678</v>
      </c>
      <c r="Z66" s="13" t="n">
        <f aca="false">Inputs!$F$159*(Inputs!$F$218*Z21+(1-Inputs!$F$218)*Z27*Inputs!$F$153/Z11)*Time!Z30/12*Inputs!$F$40</f>
        <v>1.51929109632505</v>
      </c>
      <c r="AA66" s="13" t="n">
        <f aca="false">Inputs!$F$159*(Inputs!$F$218*AA21+(1-Inputs!$F$218)*AA27*Inputs!$F$153/AA11)*Time!AA30/12*Inputs!$F$40</f>
        <v>1.53591237866969</v>
      </c>
      <c r="AB66" s="13" t="n">
        <f aca="false">Inputs!$F$159*(Inputs!$F$218*AB21+(1-Inputs!$F$218)*AB27*Inputs!$F$153/AB11)*Time!AB30/12*Inputs!$F$40</f>
        <v>1.5527155004442</v>
      </c>
      <c r="AC66" s="13" t="n">
        <f aca="false">Inputs!$F$159*(Inputs!$F$218*AC21+(1-Inputs!$F$218)*AC27*Inputs!$F$153/AC11)*Time!AC30/12*Inputs!$F$40</f>
        <v>1.56970245100042</v>
      </c>
      <c r="AD66" s="13" t="n">
        <f aca="false">Inputs!$F$159*(Inputs!$F$218*AD21+(1-Inputs!$F$218)*AD27*Inputs!$F$153/AD11)*Time!AD30/12*Inputs!$F$40</f>
        <v>1.58687524145397</v>
      </c>
      <c r="AE66" s="13" t="n">
        <f aca="false">Inputs!$F$159*(Inputs!$F$218*AE21+(1-Inputs!$F$218)*AE27*Inputs!$F$153/AE11)*Time!AE30/12*Inputs!$F$40</f>
        <v>1.60423590492243</v>
      </c>
      <c r="AF66" s="13" t="n">
        <f aca="false">Inputs!$F$159*(Inputs!$F$218*AF21+(1-Inputs!$F$218)*AF27*Inputs!$F$153/AF11)*Time!AF30/12*Inputs!$F$40</f>
        <v>1.62178649676596</v>
      </c>
      <c r="AG66" s="13" t="n">
        <f aca="false">Inputs!$F$159*(Inputs!$F$218*AG21+(1-Inputs!$F$218)*AG27*Inputs!$F$153/AG11)*Time!AG30/12*Inputs!$F$40</f>
        <v>1.63952909483072</v>
      </c>
      <c r="AH66" s="13" t="n">
        <f aca="false">Inputs!$F$159*(Inputs!$F$218*AH21+(1-Inputs!$F$218)*AH27*Inputs!$F$153/AH11)*Time!AH30/12*Inputs!$F$40</f>
        <v>1.65746579969481</v>
      </c>
      <c r="AI66" s="13" t="n">
        <f aca="false">Inputs!$F$159*(Inputs!$F$218*AI21+(1-Inputs!$F$218)*AI27*Inputs!$F$153/AI11)*Time!AI30/12*Inputs!$F$40</f>
        <v>1.675598734917</v>
      </c>
      <c r="AJ66" s="13" t="n">
        <f aca="false">Inputs!$F$159*(Inputs!$F$218*AJ21+(1-Inputs!$F$218)*AJ27*Inputs!$F$153/AJ11)*Time!AJ30/12*Inputs!$F$40</f>
        <v>1.6939300472881</v>
      </c>
      <c r="AK66" s="13" t="n">
        <f aca="false">Inputs!$F$159*(Inputs!$F$218*AK21+(1-Inputs!$F$218)*AK27*Inputs!$F$153/AK11)*Time!AK30/12*Inputs!$F$40</f>
        <v>1.71246190708517</v>
      </c>
      <c r="AL66" s="13" t="n">
        <f aca="false">Inputs!$F$159*(Inputs!$F$218*AL21+(1-Inputs!$F$218)*AL27*Inputs!$F$153/AL11)*Time!AL30/12*Inputs!$F$40</f>
        <v>1.73119650832844</v>
      </c>
      <c r="AM66" s="13" t="n">
        <f aca="false">Inputs!$F$159*(Inputs!$F$218*AM21+(1-Inputs!$F$218)*AM27*Inputs!$F$153/AM11)*Time!AM30/12*Inputs!$F$40</f>
        <v>1.75013606904104</v>
      </c>
      <c r="AN66" s="13" t="n">
        <f aca="false">Inputs!$F$159*(Inputs!$F$218*AN21+(1-Inputs!$F$218)*AN27*Inputs!$F$153/AN11)*Time!AN30/12*Inputs!$F$40</f>
        <v>1.76928283151166</v>
      </c>
      <c r="AO66" s="13" t="n">
        <f aca="false">Inputs!$F$159*(Inputs!$F$218*AO21+(1-Inputs!$F$218)*AO27*Inputs!$F$153/AO11)*Time!AO30/12*Inputs!$F$40</f>
        <v>1.78863906255995</v>
      </c>
      <c r="AP66" s="13" t="n">
        <f aca="false">Inputs!$F$159*(Inputs!$F$218*AP21+(1-Inputs!$F$218)*AP27*Inputs!$F$153/AP11)*Time!AP30/12*Inputs!$F$40</f>
        <v>1.80820705380492</v>
      </c>
      <c r="AQ66" s="13" t="n">
        <f aca="false">Inputs!$F$159*(Inputs!$F$218*AQ21+(1-Inputs!$F$218)*AQ27*Inputs!$F$153/AQ11)*Time!AQ30/12*Inputs!$F$40</f>
        <v>1.82798912193627</v>
      </c>
      <c r="AR66" s="13" t="n">
        <f aca="false">Inputs!$F$159*(Inputs!$F$218*AR21+(1-Inputs!$F$218)*AR27*Inputs!$F$153/AR11)*Time!AR30/12*Inputs!$F$40</f>
        <v>1.84798760898863</v>
      </c>
      <c r="AS66" s="13" t="n">
        <f aca="false">Inputs!$F$159*(Inputs!$F$218*AS21+(1-Inputs!$F$218)*AS27*Inputs!$F$153/AS11)*Time!AS30/12*Inputs!$F$40</f>
        <v>1.86820488261886</v>
      </c>
      <c r="AT66" s="13" t="n">
        <f aca="false">Inputs!$F$159*(Inputs!$F$218*AT21+(1-Inputs!$F$218)*AT27*Inputs!$F$153/AT11)*Time!AT30/12*Inputs!$F$40</f>
        <v>1.88864333638638</v>
      </c>
      <c r="AU66" s="13" t="n">
        <f aca="false">Inputs!$F$159*(Inputs!$F$218*AU21+(1-Inputs!$F$218)*AU27*Inputs!$F$153/AU11)*Time!AU30/12*Inputs!$F$40</f>
        <v>1.90930539003648</v>
      </c>
      <c r="AV66" s="13" t="n">
        <f aca="false">Inputs!$F$159*(Inputs!$F$218*AV21+(1-Inputs!$F$218)*AV27*Inputs!$F$153/AV11)*Time!AV30/12*Inputs!$F$40</f>
        <v>1.93019348978688</v>
      </c>
      <c r="AW66" s="13" t="n">
        <f aca="false">Inputs!$F$159*(Inputs!$F$218*AW21+(1-Inputs!$F$218)*AW27*Inputs!$F$153/AW11)*Time!AW30/12*Inputs!$F$40</f>
        <v>1.95131010861728</v>
      </c>
      <c r="AX66" s="13" t="n">
        <f aca="false">Inputs!$F$159*(Inputs!$F$218*AX21+(1-Inputs!$F$218)*AX27*Inputs!$F$153/AX11)*Time!AX30/12*Inputs!$F$40</f>
        <v>1.97265774656219</v>
      </c>
      <c r="AY66" s="13" t="n">
        <f aca="false">Inputs!$F$159*(Inputs!$F$218*AY21+(1-Inputs!$F$218)*AY27*Inputs!$F$153/AY11)*Time!AY30/12*Inputs!$F$40</f>
        <v>1.99423893100686</v>
      </c>
      <c r="AZ66" s="13" t="n">
        <f aca="false">Inputs!$F$159*(Inputs!$F$218*AZ21+(1-Inputs!$F$218)*AZ27*Inputs!$F$153/AZ11)*Time!AZ30/12*Inputs!$F$40</f>
        <v>2.01605621698656</v>
      </c>
      <c r="BA66" s="13" t="n">
        <f aca="false">Inputs!$F$159*(Inputs!$F$218*BA21+(1-Inputs!$F$218)*BA27*Inputs!$F$153/BA11)*Time!BA30/12*Inputs!$F$40</f>
        <v>2.03811218748901</v>
      </c>
      <c r="BB66" s="13" t="n">
        <f aca="false">Inputs!$F$159*(Inputs!$F$218*BB21+(1-Inputs!$F$218)*BB27*Inputs!$F$153/BB11)*Time!BB30/12*Inputs!$F$40</f>
        <v>2.06040945376026</v>
      </c>
      <c r="BC66" s="13" t="n">
        <f aca="false">Inputs!$F$159*(Inputs!$F$218*BC21+(1-Inputs!$F$218)*BC27*Inputs!$F$153/BC11)*Time!BC30/12*Inputs!$F$40</f>
        <v>2.08295065561377</v>
      </c>
      <c r="BD66" s="13" t="n">
        <f aca="false">Inputs!$F$159*(Inputs!$F$218*BD21+(1-Inputs!$F$218)*BD27*Inputs!$F$153/BD11)*Time!BD30/12*Inputs!$F$40</f>
        <v>2.10573846174298</v>
      </c>
      <c r="BE66" s="13" t="n">
        <f aca="false">Inputs!$F$159*(Inputs!$F$218*BE21+(1-Inputs!$F$218)*BE27*Inputs!$F$153/BE11)*Time!BE30/12*Inputs!$F$40</f>
        <v>2.12877557003727</v>
      </c>
      <c r="BF66" s="13" t="n">
        <f aca="false">Inputs!$F$159*(Inputs!$F$218*BF21+(1-Inputs!$F$218)*BF27*Inputs!$F$153/BF11)*Time!BF30/12*Inputs!$F$40</f>
        <v>2.15206470790133</v>
      </c>
      <c r="BG66" s="13" t="n">
        <f aca="false">Inputs!$F$159*(Inputs!$F$218*BG21+(1-Inputs!$F$218)*BG27*Inputs!$F$153/BG11)*Time!BG30/12*Inputs!$F$40</f>
        <v>2.17560863257809</v>
      </c>
      <c r="BH66" s="13" t="n">
        <f aca="false">Inputs!$F$159*(Inputs!$F$218*BH21+(1-Inputs!$F$218)*BH27*Inputs!$F$153/BH11)*Time!BH30/12*Inputs!$F$40</f>
        <v>2.19941013147516</v>
      </c>
      <c r="BI66" s="13" t="n">
        <f aca="false">Inputs!$F$159*(Inputs!$F$218*BI21+(1-Inputs!$F$218)*BI27*Inputs!$F$153/BI11)*Time!BI30/12*Inputs!$F$40</f>
        <v>2.22347202249481</v>
      </c>
      <c r="BJ66" s="13" t="n">
        <f aca="false">Inputs!$F$159*(Inputs!$F$218*BJ21+(1-Inputs!$F$218)*BJ27*Inputs!$F$153/BJ11)*Time!BJ30/12*Inputs!$F$40</f>
        <v>2.24779715436761</v>
      </c>
      <c r="BK66" s="13" t="n">
        <f aca="false">Inputs!$F$159*(Inputs!$F$218*BK21+(1-Inputs!$F$218)*BK27*Inputs!$F$153/BK11)*Time!BK30/12*Inputs!$F$40</f>
        <v>2.27238840698969</v>
      </c>
      <c r="BL66" s="13" t="n">
        <f aca="false">Inputs!$F$159*(Inputs!$F$218*BL21+(1-Inputs!$F$218)*BL27*Inputs!$F$153/BL11)*Time!BL30/12*Inputs!$F$40</f>
        <v>2.2972486917637</v>
      </c>
      <c r="BM66" s="13" t="n">
        <f aca="false">Inputs!$F$159*(Inputs!$F$218*BM21+(1-Inputs!$F$218)*BM27*Inputs!$F$153/BM11)*Time!BM30/12*Inputs!$F$40</f>
        <v>1.54825396796231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15.2231752863897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0.230625851695631</v>
      </c>
      <c r="R67" s="13" t="n">
        <f aca="false">Inputs!$F$160*R27/R11*Time!R30/12*Inputs!$F$40</f>
        <v>0.233148934603361</v>
      </c>
      <c r="S67" s="13" t="n">
        <f aca="false">Inputs!$F$160*S27/S11*Time!S30/12*Inputs!$F$40</f>
        <v>0.235699620432934</v>
      </c>
      <c r="T67" s="13" t="n">
        <f aca="false">Inputs!$F$160*T27/T11*Time!T30/12*Inputs!$F$40</f>
        <v>0.238278211164635</v>
      </c>
      <c r="U67" s="13" t="n">
        <f aca="false">Inputs!$F$160*U27/U11*Time!U30/12*Inputs!$F$40</f>
        <v>0.240885012082459</v>
      </c>
      <c r="V67" s="13" t="n">
        <f aca="false">Inputs!$F$160*V27/V11*Time!V30/12*Inputs!$F$40</f>
        <v>0.243520331810257</v>
      </c>
      <c r="W67" s="13" t="n">
        <f aca="false">Inputs!$F$160*W27/W11*Time!W30/12*Inputs!$F$40</f>
        <v>0.246184482348273</v>
      </c>
      <c r="X67" s="13" t="n">
        <f aca="false">Inputs!$F$160*X27/X11*Time!X30/12*Inputs!$F$40</f>
        <v>0.248877779110083</v>
      </c>
      <c r="Y67" s="13" t="n">
        <f aca="false">Inputs!$F$160*Y27/Y11*Time!Y30/12*Inputs!$F$40</f>
        <v>0.251600540959935</v>
      </c>
      <c r="Z67" s="13" t="n">
        <f aca="false">Inputs!$F$160*Z27/Z11*Time!Z30/12*Inputs!$F$40</f>
        <v>0.254353090250505</v>
      </c>
      <c r="AA67" s="13" t="n">
        <f aca="false">Inputs!$F$160*AA27/AA11*Time!AA30/12*Inputs!$F$40</f>
        <v>0.257135752861054</v>
      </c>
      <c r="AB67" s="13" t="n">
        <f aca="false">Inputs!$F$160*AB27/AB11*Time!AB30/12*Inputs!$F$40</f>
        <v>0.259948858236016</v>
      </c>
      <c r="AC67" s="13" t="n">
        <f aca="false">Inputs!$F$160*AC27/AC11*Time!AC30/12*Inputs!$F$40</f>
        <v>0.262792739423997</v>
      </c>
      <c r="AD67" s="13" t="n">
        <f aca="false">Inputs!$F$160*AD27/AD11*Time!AD30/12*Inputs!$F$40</f>
        <v>0.265667733117208</v>
      </c>
      <c r="AE67" s="13" t="n">
        <f aca="false">Inputs!$F$160*AE27/AE11*Time!AE30/12*Inputs!$F$40</f>
        <v>0.268574179691325</v>
      </c>
      <c r="AF67" s="13" t="n">
        <f aca="false">Inputs!$F$160*AF27/AF11*Time!AF30/12*Inputs!$F$40</f>
        <v>0.271512423245787</v>
      </c>
      <c r="AG67" s="13" t="n">
        <f aca="false">Inputs!$F$160*AG27/AG11*Time!AG30/12*Inputs!$F$40</f>
        <v>0.274482811644534</v>
      </c>
      <c r="AH67" s="13" t="n">
        <f aca="false">Inputs!$F$160*AH27/AH11*Time!AH30/12*Inputs!$F$40</f>
        <v>0.277485696557194</v>
      </c>
      <c r="AI67" s="13" t="n">
        <f aca="false">Inputs!$F$160*AI27/AI11*Time!AI30/12*Inputs!$F$40</f>
        <v>0.280521433500714</v>
      </c>
      <c r="AJ67" s="13" t="n">
        <f aca="false">Inputs!$F$160*AJ27/AJ11*Time!AJ30/12*Inputs!$F$40</f>
        <v>0.283590381881452</v>
      </c>
      <c r="AK67" s="13" t="n">
        <f aca="false">Inputs!$F$160*AK27/AK11*Time!AK30/12*Inputs!$F$40</f>
        <v>0.286692905037729</v>
      </c>
      <c r="AL67" s="13" t="n">
        <f aca="false">Inputs!$F$160*AL27/AL11*Time!AL30/12*Inputs!$F$40</f>
        <v>0.289829370282844</v>
      </c>
      <c r="AM67" s="13" t="n">
        <f aca="false">Inputs!$F$160*AM27/AM11*Time!AM30/12*Inputs!$F$40</f>
        <v>0.293000148948559</v>
      </c>
      <c r="AN67" s="13" t="n">
        <f aca="false">Inputs!$F$160*AN27/AN11*Time!AN30/12*Inputs!$F$40</f>
        <v>0.296205616429067</v>
      </c>
      <c r="AO67" s="13" t="n">
        <f aca="false">Inputs!$F$160*AO27/AO11*Time!AO30/12*Inputs!$F$40</f>
        <v>0.299446152225428</v>
      </c>
      <c r="AP67" s="13" t="n">
        <f aca="false">Inputs!$F$160*AP27/AP11*Time!AP30/12*Inputs!$F$40</f>
        <v>0.302722139990506</v>
      </c>
      <c r="AQ67" s="13" t="n">
        <f aca="false">Inputs!$F$160*AQ27/AQ11*Time!AQ30/12*Inputs!$F$40</f>
        <v>0.306033967574387</v>
      </c>
      <c r="AR67" s="13" t="n">
        <f aca="false">Inputs!$F$160*AR27/AR11*Time!AR30/12*Inputs!$F$40</f>
        <v>0.309382027070297</v>
      </c>
      <c r="AS67" s="13" t="n">
        <f aca="false">Inputs!$F$160*AS27/AS11*Time!AS30/12*Inputs!$F$40</f>
        <v>0.312766714861024</v>
      </c>
      <c r="AT67" s="13" t="n">
        <f aca="false">Inputs!$F$160*AT27/AT11*Time!AT30/12*Inputs!$F$40</f>
        <v>0.316188431665844</v>
      </c>
      <c r="AU67" s="13" t="n">
        <f aca="false">Inputs!$F$160*AU27/AU11*Time!AU30/12*Inputs!$F$40</f>
        <v>0.319647582587966</v>
      </c>
      <c r="AV67" s="13" t="n">
        <f aca="false">Inputs!$F$160*AV27/AV11*Time!AV30/12*Inputs!$F$40</f>
        <v>0.323144577162492</v>
      </c>
      <c r="AW67" s="13" t="n">
        <f aca="false">Inputs!$F$160*AW27/AW11*Time!AW30/12*Inputs!$F$40</f>
        <v>0.326679829404902</v>
      </c>
      <c r="AX67" s="13" t="n">
        <f aca="false">Inputs!$F$160*AX27/AX11*Time!AX30/12*Inputs!$F$40</f>
        <v>0.330253757860067</v>
      </c>
      <c r="AY67" s="13" t="n">
        <f aca="false">Inputs!$F$160*AY27/AY11*Time!AY30/12*Inputs!$F$40</f>
        <v>0.333866785651809</v>
      </c>
      <c r="AZ67" s="13" t="n">
        <f aca="false">Inputs!$F$160*AZ27/AZ11*Time!AZ30/12*Inputs!$F$40</f>
        <v>0.337519340532989</v>
      </c>
      <c r="BA67" s="13" t="n">
        <f aca="false">Inputs!$F$160*BA27/BA11*Time!BA30/12*Inputs!$F$40</f>
        <v>0.341211854936149</v>
      </c>
      <c r="BB67" s="13" t="n">
        <f aca="false">Inputs!$F$160*BB27/BB11*Time!BB30/12*Inputs!$F$40</f>
        <v>0.344944766024714</v>
      </c>
      <c r="BC67" s="13" t="n">
        <f aca="false">Inputs!$F$160*BC27/BC11*Time!BC30/12*Inputs!$F$40</f>
        <v>0.348718515744744</v>
      </c>
      <c r="BD67" s="13" t="n">
        <f aca="false">Inputs!$F$160*BD27/BD11*Time!BD30/12*Inputs!$F$40</f>
        <v>0.352533550877258</v>
      </c>
      <c r="BE67" s="13" t="n">
        <f aca="false">Inputs!$F$160*BE27/BE11*Time!BE30/12*Inputs!$F$40</f>
        <v>0.356390323091129</v>
      </c>
      <c r="BF67" s="13" t="n">
        <f aca="false">Inputs!$F$160*BF27/BF11*Time!BF30/12*Inputs!$F$40</f>
        <v>0.360289288996558</v>
      </c>
      <c r="BG67" s="13" t="n">
        <f aca="false">Inputs!$F$160*BG27/BG11*Time!BG30/12*Inputs!$F$40</f>
        <v>0.364230910199134</v>
      </c>
      <c r="BH67" s="13" t="n">
        <f aca="false">Inputs!$F$160*BH27/BH11*Time!BH30/12*Inputs!$F$40</f>
        <v>0.368215653354482</v>
      </c>
      <c r="BI67" s="13" t="n">
        <f aca="false">Inputs!$F$160*BI27/BI11*Time!BI30/12*Inputs!$F$40</f>
        <v>0.372243990223515</v>
      </c>
      <c r="BJ67" s="13" t="n">
        <f aca="false">Inputs!$F$160*BJ27/BJ11*Time!BJ30/12*Inputs!$F$40</f>
        <v>0.376316397728281</v>
      </c>
      <c r="BK67" s="13" t="n">
        <f aca="false">Inputs!$F$160*BK27/BK11*Time!BK30/12*Inputs!$F$40</f>
        <v>0.380433358008432</v>
      </c>
      <c r="BL67" s="13" t="n">
        <f aca="false">Inputs!$F$160*BL27/BL11*Time!BL30/12*Inputs!$F$40</f>
        <v>0.384595358478303</v>
      </c>
      <c r="BM67" s="13" t="n">
        <f aca="false">Inputs!$F$160*BM27/BM11*Time!BM30/12*Inputs!$F$40</f>
        <v>0.259201927923078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20.2537114964387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0.363870117072381</v>
      </c>
      <c r="R68" s="13" t="n">
        <f aca="false">Inputs!$F$161/100*R55</f>
        <v>0.365139986483354</v>
      </c>
      <c r="S68" s="13" t="n">
        <f aca="false">Inputs!$F$161/100*S55</f>
        <v>0.366788148868268</v>
      </c>
      <c r="T68" s="13" t="n">
        <f aca="false">Inputs!$F$161/100*T55</f>
        <v>0.368578759049608</v>
      </c>
      <c r="U68" s="13" t="n">
        <f aca="false">Inputs!$F$161/100*U55</f>
        <v>0.369697448218708</v>
      </c>
      <c r="V68" s="13" t="n">
        <f aca="false">Inputs!$F$161/100*V55</f>
        <v>0.370375502543934</v>
      </c>
      <c r="W68" s="13" t="n">
        <f aca="false">Inputs!$F$161/100*W55</f>
        <v>0.372411016379264</v>
      </c>
      <c r="X68" s="13" t="n">
        <f aca="false">Inputs!$F$161/100*X55</f>
        <v>0.374930291110003</v>
      </c>
      <c r="Y68" s="13" t="n">
        <f aca="false">Inputs!$F$161/100*Y55</f>
        <v>0.376431019062512</v>
      </c>
      <c r="Z68" s="13" t="n">
        <f aca="false">Inputs!$F$161/100*Z55</f>
        <v>0.377815288586593</v>
      </c>
      <c r="AA68" s="13" t="n">
        <f aca="false">Inputs!$F$161/100*AA55</f>
        <v>0.379609851939604</v>
      </c>
      <c r="AB68" s="13" t="n">
        <f aca="false">Inputs!$F$161/100*AB55</f>
        <v>0.3815589594193</v>
      </c>
      <c r="AC68" s="13" t="n">
        <f aca="false">Inputs!$F$161/100*AC55</f>
        <v>0.382493757156924</v>
      </c>
      <c r="AD68" s="13" t="n">
        <f aca="false">Inputs!$F$161/100*AD55</f>
        <v>0.377713071977659</v>
      </c>
      <c r="AE68" s="13" t="n">
        <f aca="false">Inputs!$F$161/100*AE55</f>
        <v>0.385154054340102</v>
      </c>
      <c r="AF68" s="13" t="n">
        <f aca="false">Inputs!$F$161/100*AF55</f>
        <v>0.388476851656886</v>
      </c>
      <c r="AG68" s="13" t="n">
        <f aca="false">Inputs!$F$161/100*AG55</f>
        <v>0.390112022773292</v>
      </c>
      <c r="AH68" s="13" t="n">
        <f aca="false">Inputs!$F$161/100*AH55</f>
        <v>0.391620997562034</v>
      </c>
      <c r="AI68" s="13" t="n">
        <f aca="false">Inputs!$F$161/100*AI55</f>
        <v>0.393574958802883</v>
      </c>
      <c r="AJ68" s="13" t="n">
        <f aca="false">Inputs!$F$161/100*AJ55</f>
        <v>0.395696582514319</v>
      </c>
      <c r="AK68" s="13" t="n">
        <f aca="false">Inputs!$F$161/100*AK55</f>
        <v>0.397028315097894</v>
      </c>
      <c r="AL68" s="13" t="n">
        <f aca="false">Inputs!$F$161/100*AL55</f>
        <v>0.397842129174181</v>
      </c>
      <c r="AM68" s="13" t="n">
        <f aca="false">Inputs!$F$161/100*AM55</f>
        <v>0.400252238302894</v>
      </c>
      <c r="AN68" s="13" t="n">
        <f aca="false">Inputs!$F$161/100*AN55</f>
        <v>0.403231316663135</v>
      </c>
      <c r="AO68" s="13" t="n">
        <f aca="false">Inputs!$F$161/100*AO55</f>
        <v>0.405012972292633</v>
      </c>
      <c r="AP68" s="13" t="n">
        <f aca="false">Inputs!$F$161/100*AP55</f>
        <v>0.406657885698706</v>
      </c>
      <c r="AQ68" s="13" t="n">
        <f aca="false">Inputs!$F$161/100*AQ55</f>
        <v>0.408785394874319</v>
      </c>
      <c r="AR68" s="13" t="n">
        <f aca="false">Inputs!$F$161/100*AR55</f>
        <v>0.411094792723178</v>
      </c>
      <c r="AS68" s="13" t="n">
        <f aca="false">Inputs!$F$161/100*AS55</f>
        <v>0.412211816373063</v>
      </c>
      <c r="AT68" s="13" t="n">
        <f aca="false">Inputs!$F$161/100*AT55</f>
        <v>0.407150554170371</v>
      </c>
      <c r="AU68" s="13" t="n">
        <f aca="false">Inputs!$F$161/100*AU55</f>
        <v>0.415376128273781</v>
      </c>
      <c r="AV68" s="13" t="n">
        <f aca="false">Inputs!$F$161/100*AV55</f>
        <v>0.419301348275042</v>
      </c>
      <c r="AW68" s="13" t="n">
        <f aca="false">Inputs!$F$161/100*AW55</f>
        <v>0.421242607988684</v>
      </c>
      <c r="AX68" s="13" t="n">
        <f aca="false">Inputs!$F$161/100*AX55</f>
        <v>0.423035705162507</v>
      </c>
      <c r="AY68" s="13" t="n">
        <f aca="false">Inputs!$F$161/100*AY55</f>
        <v>0.425352167691761</v>
      </c>
      <c r="AZ68" s="13" t="n">
        <f aca="false">Inputs!$F$161/100*AZ55</f>
        <v>0.427865945962063</v>
      </c>
      <c r="BA68" s="13" t="n">
        <f aca="false">Inputs!$F$161/100*BA55</f>
        <v>0.429451293910653</v>
      </c>
      <c r="BB68" s="13" t="n">
        <f aca="false">Inputs!$F$161/100*BB55</f>
        <v>0.430427980950213</v>
      </c>
      <c r="BC68" s="13" t="n">
        <f aca="false">Inputs!$F$161/100*BC55</f>
        <v>0.433281545469208</v>
      </c>
      <c r="BD68" s="13" t="n">
        <f aca="false">Inputs!$F$161/100*BD55</f>
        <v>0.436804200729325</v>
      </c>
      <c r="BE68" s="13" t="n">
        <f aca="false">Inputs!$F$161/100*BE55</f>
        <v>0.438919358843816</v>
      </c>
      <c r="BF68" s="13" t="n">
        <f aca="false">Inputs!$F$161/100*BF55</f>
        <v>0.440873987858429</v>
      </c>
      <c r="BG68" s="13" t="n">
        <f aca="false">Inputs!$F$161/100*BG55</f>
        <v>0.443396175836702</v>
      </c>
      <c r="BH68" s="13" t="n">
        <f aca="false">Inputs!$F$161/100*BH55</f>
        <v>0.446132408249168</v>
      </c>
      <c r="BI68" s="13" t="n">
        <f aca="false">Inputs!$F$161/100*BI55</f>
        <v>0.447467158956729</v>
      </c>
      <c r="BJ68" s="13" t="n">
        <f aca="false">Inputs!$F$161/100*BJ55</f>
        <v>0.442074972477229</v>
      </c>
      <c r="BK68" s="13" t="n">
        <f aca="false">Inputs!$F$161/100*BK55</f>
        <v>0.451230973891221</v>
      </c>
      <c r="BL68" s="13" t="n">
        <f aca="false">Inputs!$F$161/100*BL55</f>
        <v>0.455867574584867</v>
      </c>
      <c r="BM68" s="13" t="n">
        <f aca="false">Inputs!$F$161/100*BM55</f>
        <v>0.305583284000747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119.079427845403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1.8774130421154</v>
      </c>
      <c r="R69" s="13" t="n">
        <f aca="false">Inputs!$F$162*(Inputs!$F$219*R21+(1-Inputs!$F$219)*R27*Inputs!$F$153/R11)*R38/1000000</f>
        <v>1.88435658493301</v>
      </c>
      <c r="S69" s="13" t="n">
        <f aca="false">Inputs!$F$162*(Inputs!$F$219*S21+(1-Inputs!$F$219)*S27*Inputs!$F$153/S11)*S38/1000000</f>
        <v>1.9096870307896</v>
      </c>
      <c r="T69" s="13" t="n">
        <f aca="false">Inputs!$F$162*(Inputs!$F$219*T21+(1-Inputs!$F$219)*T27*Inputs!$F$153/T11)*T38/1000000</f>
        <v>1.94154647025296</v>
      </c>
      <c r="U69" s="13" t="n">
        <f aca="false">Inputs!$F$162*(Inputs!$F$219*U21+(1-Inputs!$F$219)*U27*Inputs!$F$153/U11)*U38/1000000</f>
        <v>1.93900639384497</v>
      </c>
      <c r="V69" s="13" t="n">
        <f aca="false">Inputs!$F$162*(Inputs!$F$219*V21+(1-Inputs!$F$219)*V27*Inputs!$F$153/V11)*V38/1000000</f>
        <v>1.9136818608843</v>
      </c>
      <c r="W69" s="13" t="n">
        <f aca="false">Inputs!$F$162*(Inputs!$F$219*W21+(1-Inputs!$F$219)*W27*Inputs!$F$153/W11)*W38/1000000</f>
        <v>1.95591918896272</v>
      </c>
      <c r="X69" s="13" t="n">
        <f aca="false">Inputs!$F$162*(Inputs!$F$219*X21+(1-Inputs!$F$219)*X27*Inputs!$F$153/X11)*X38/1000000</f>
        <v>2.02180834696317</v>
      </c>
      <c r="Y69" s="13" t="n">
        <f aca="false">Inputs!$F$162*(Inputs!$F$219*Y21+(1-Inputs!$F$219)*Y27*Inputs!$F$153/Y11)*Y38/1000000</f>
        <v>2.03585193250058</v>
      </c>
      <c r="Z69" s="13" t="n">
        <f aca="false">Inputs!$F$162*(Inputs!$F$219*Z21+(1-Inputs!$F$219)*Z27*Inputs!$F$153/Z11)*Z38/1000000</f>
        <v>2.04337217244228</v>
      </c>
      <c r="AA69" s="13" t="n">
        <f aca="false">Inputs!$F$162*(Inputs!$F$219*AA21+(1-Inputs!$F$219)*AA27*Inputs!$F$153/AA11)*AA38/1000000</f>
        <v>2.07083076164914</v>
      </c>
      <c r="AB69" s="13" t="n">
        <f aca="false">Inputs!$F$162*(Inputs!$F$219*AB21+(1-Inputs!$F$219)*AB27*Inputs!$F$153/AB11)*AB38/1000000</f>
        <v>2.10536897918796</v>
      </c>
      <c r="AC69" s="13" t="n">
        <f aca="false">Inputs!$F$162*(Inputs!$F$219*AC21+(1-Inputs!$F$219)*AC27*Inputs!$F$153/AC11)*AC38/1000000</f>
        <v>2.08824499131892</v>
      </c>
      <c r="AD69" s="13" t="n">
        <f aca="false">Inputs!$F$162*(Inputs!$F$219*AD21+(1-Inputs!$F$219)*AD27*Inputs!$F$153/AD11)*AD38/1000000</f>
        <v>2.03161600499686</v>
      </c>
      <c r="AE69" s="13" t="n">
        <f aca="false">Inputs!$F$162*(Inputs!$F$219*AE21+(1-Inputs!$F$219)*AE27*Inputs!$F$153/AE11)*AE38/1000000</f>
        <v>2.09161801545348</v>
      </c>
      <c r="AF69" s="13" t="n">
        <f aca="false">Inputs!$F$162*(Inputs!$F$219*AF21+(1-Inputs!$F$219)*AF27*Inputs!$F$153/AF11)*AF38/1000000</f>
        <v>2.19236302629895</v>
      </c>
      <c r="AG69" s="13" t="n">
        <f aca="false">Inputs!$F$162*(Inputs!$F$219*AG21+(1-Inputs!$F$219)*AG27*Inputs!$F$153/AG11)*AG38/1000000</f>
        <v>2.20758115754048</v>
      </c>
      <c r="AH69" s="13" t="n">
        <f aca="false">Inputs!$F$162*(Inputs!$F$219*AH21+(1-Inputs!$F$219)*AH27*Inputs!$F$153/AH11)*AH38/1000000</f>
        <v>2.21572555985183</v>
      </c>
      <c r="AI69" s="13" t="n">
        <f aca="false">Inputs!$F$162*(Inputs!$F$219*AI21+(1-Inputs!$F$219)*AI27*Inputs!$F$153/AI11)*AI38/1000000</f>
        <v>2.2454898718207</v>
      </c>
      <c r="AJ69" s="13" t="n">
        <f aca="false">Inputs!$F$162*(Inputs!$F$219*AJ21+(1-Inputs!$F$219)*AJ27*Inputs!$F$153/AJ11)*AJ38/1000000</f>
        <v>2.28293060037872</v>
      </c>
      <c r="AK69" s="13" t="n">
        <f aca="false">Inputs!$F$162*(Inputs!$F$219*AK21+(1-Inputs!$F$219)*AK27*Inputs!$F$153/AK11)*AK38/1000000</f>
        <v>2.27992296290084</v>
      </c>
      <c r="AL69" s="13" t="n">
        <f aca="false">Inputs!$F$162*(Inputs!$F$219*AL21+(1-Inputs!$F$219)*AL27*Inputs!$F$153/AL11)*AL38/1000000</f>
        <v>2.25012516997532</v>
      </c>
      <c r="AM69" s="13" t="n">
        <f aca="false">Inputs!$F$162*(Inputs!$F$219*AM21+(1-Inputs!$F$219)*AM27*Inputs!$F$153/AM11)*AM38/1000000</f>
        <v>2.29976703527397</v>
      </c>
      <c r="AN69" s="13" t="n">
        <f aca="false">Inputs!$F$162*(Inputs!$F$219*AN21+(1-Inputs!$F$219)*AN27*Inputs!$F$153/AN11)*AN38/1000000</f>
        <v>2.3772174848701</v>
      </c>
      <c r="AO69" s="13" t="n">
        <f aca="false">Inputs!$F$162*(Inputs!$F$219*AO21+(1-Inputs!$F$219)*AO27*Inputs!$F$153/AO11)*AO38/1000000</f>
        <v>2.39370764516088</v>
      </c>
      <c r="AP69" s="13" t="n">
        <f aca="false">Inputs!$F$162*(Inputs!$F$219*AP21+(1-Inputs!$F$219)*AP27*Inputs!$F$153/AP11)*AP38/1000000</f>
        <v>2.40252753866488</v>
      </c>
      <c r="AQ69" s="13" t="n">
        <f aca="false">Inputs!$F$162*(Inputs!$F$219*AQ21+(1-Inputs!$F$219)*AQ27*Inputs!$F$153/AQ11)*AQ38/1000000</f>
        <v>2.4347898508096</v>
      </c>
      <c r="AR69" s="13" t="n">
        <f aca="false">Inputs!$F$162*(Inputs!$F$219*AR21+(1-Inputs!$F$219)*AR27*Inputs!$F$153/AR11)*AR38/1000000</f>
        <v>2.47537536188826</v>
      </c>
      <c r="AS69" s="13" t="n">
        <f aca="false">Inputs!$F$162*(Inputs!$F$219*AS21+(1-Inputs!$F$219)*AS27*Inputs!$F$153/AS11)*AS38/1000000</f>
        <v>2.45521911013203</v>
      </c>
      <c r="AT69" s="13" t="n">
        <f aca="false">Inputs!$F$162*(Inputs!$F$219*AT21+(1-Inputs!$F$219)*AT27*Inputs!$F$153/AT11)*AT38/1000000</f>
        <v>2.38861628976686</v>
      </c>
      <c r="AU69" s="13" t="n">
        <f aca="false">Inputs!$F$162*(Inputs!$F$219*AU21+(1-Inputs!$F$219)*AU27*Inputs!$F$153/AU11)*AU38/1000000</f>
        <v>2.45913906424822</v>
      </c>
      <c r="AV69" s="13" t="n">
        <f aca="false">Inputs!$F$162*(Inputs!$F$219*AV21+(1-Inputs!$F$219)*AV27*Inputs!$F$153/AV11)*AV38/1000000</f>
        <v>2.57756204853368</v>
      </c>
      <c r="AW69" s="13" t="n">
        <f aca="false">Inputs!$F$162*(Inputs!$F$219*AW21+(1-Inputs!$F$219)*AW27*Inputs!$F$153/AW11)*AW38/1000000</f>
        <v>2.59542973777105</v>
      </c>
      <c r="AX69" s="13" t="n">
        <f aca="false">Inputs!$F$162*(Inputs!$F$219*AX21+(1-Inputs!$F$219)*AX27*Inputs!$F$153/AX11)*AX38/1000000</f>
        <v>2.60498062502784</v>
      </c>
      <c r="AY69" s="13" t="n">
        <f aca="false">Inputs!$F$162*(Inputs!$F$219*AY21+(1-Inputs!$F$219)*AY27*Inputs!$F$153/AY11)*AY38/1000000</f>
        <v>2.63994911742054</v>
      </c>
      <c r="AZ69" s="13" t="n">
        <f aca="false">Inputs!$F$162*(Inputs!$F$219*AZ21+(1-Inputs!$F$219)*AZ27*Inputs!$F$153/AZ11)*AZ38/1000000</f>
        <v>2.68394174255701</v>
      </c>
      <c r="BA69" s="13" t="n">
        <f aca="false">Inputs!$F$162*(Inputs!$F$219*BA21+(1-Inputs!$F$219)*BA27*Inputs!$F$153/BA11)*BA38/1000000</f>
        <v>2.68038057259711</v>
      </c>
      <c r="BB69" s="13" t="n">
        <f aca="false">Inputs!$F$162*(Inputs!$F$219*BB21+(1-Inputs!$F$219)*BB27*Inputs!$F$153/BB11)*BB38/1000000</f>
        <v>2.64532400890659</v>
      </c>
      <c r="BC69" s="13" t="n">
        <f aca="false">Inputs!$F$162*(Inputs!$F$219*BC21+(1-Inputs!$F$219)*BC27*Inputs!$F$153/BC11)*BC38/1000000</f>
        <v>2.7036591621204</v>
      </c>
      <c r="BD69" s="13" t="n">
        <f aca="false">Inputs!$F$162*(Inputs!$F$219*BD21+(1-Inputs!$F$219)*BD27*Inputs!$F$153/BD11)*BD38/1000000</f>
        <v>2.7946852777401</v>
      </c>
      <c r="BE69" s="13" t="n">
        <f aca="false">Inputs!$F$162*(Inputs!$F$219*BE21+(1-Inputs!$F$219)*BE27*Inputs!$F$153/BE11)*BE38/1000000</f>
        <v>2.81404466421714</v>
      </c>
      <c r="BF69" s="13" t="n">
        <f aca="false">Inputs!$F$162*(Inputs!$F$219*BF21+(1-Inputs!$F$219)*BF27*Inputs!$F$153/BF11)*BF38/1000000</f>
        <v>2.82438655614291</v>
      </c>
      <c r="BG69" s="13" t="n">
        <f aca="false">Inputs!$F$162*(Inputs!$F$219*BG21+(1-Inputs!$F$219)*BG27*Inputs!$F$153/BG11)*BG38/1000000</f>
        <v>2.86228661371762</v>
      </c>
      <c r="BH69" s="13" t="n">
        <f aca="false">Inputs!$F$162*(Inputs!$F$219*BH21+(1-Inputs!$F$219)*BH27*Inputs!$F$153/BH11)*BH38/1000000</f>
        <v>2.90997038937162</v>
      </c>
      <c r="BI69" s="13" t="n">
        <f aca="false">Inputs!$F$162*(Inputs!$F$219*BI21+(1-Inputs!$F$219)*BI27*Inputs!$F$153/BI11)*BI38/1000000</f>
        <v>2.88624786289632</v>
      </c>
      <c r="BJ69" s="13" t="n">
        <f aca="false">Inputs!$F$162*(Inputs!$F$219*BJ21+(1-Inputs!$F$219)*BJ27*Inputs!$F$153/BJ11)*BJ38/1000000</f>
        <v>2.80792571873638</v>
      </c>
      <c r="BK69" s="13" t="n">
        <f aca="false">Inputs!$F$162*(Inputs!$F$219*BK21+(1-Inputs!$F$219)*BK27*Inputs!$F$153/BK11)*BK38/1000000</f>
        <v>2.89080078312655</v>
      </c>
      <c r="BL69" s="13" t="n">
        <f aca="false">Inputs!$F$162*(Inputs!$F$219*BL21+(1-Inputs!$F$219)*BL27*Inputs!$F$153/BL11)*BL38/1000000</f>
        <v>3.02998199020992</v>
      </c>
      <c r="BM69" s="13" t="n">
        <f aca="false">Inputs!$F$162*(Inputs!$F$219*BM21+(1-Inputs!$F$219)*BM27*Inputs!$F$153/BM11)*BM38/1000000</f>
        <v>2.04076215210781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1041.69337382548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16.2391120299916</v>
      </c>
      <c r="R72" s="13" t="n">
        <f aca="false">R60+R61+R62+R64+R65+R66+R67+R68+R69+R70+R71</f>
        <v>16.331552559279</v>
      </c>
      <c r="S72" s="13" t="n">
        <f aca="false">S60+S61+S62+S64+S65+S66+S67+S68+S69+S70+S71</f>
        <v>16.5427605837571</v>
      </c>
      <c r="T72" s="13" t="n">
        <f aca="false">T60+T61+T62+T64+T65+T66+T67+T68+T69+T70+T71</f>
        <v>16.7966503914625</v>
      </c>
      <c r="U72" s="13" t="n">
        <f aca="false">U60+U61+U62+U64+U65+U66+U67+U68+U69+U70+U71</f>
        <v>16.8297317142482</v>
      </c>
      <c r="V72" s="13" t="n">
        <f aca="false">V60+V61+V62+V64+V65+V66+V67+V68+V69+V70+V71</f>
        <v>16.7164357049753</v>
      </c>
      <c r="W72" s="13" t="n">
        <f aca="false">W60+W61+W62+W64+W65+W66+W67+W68+W69+W70+W71</f>
        <v>17.0390477666743</v>
      </c>
      <c r="X72" s="13" t="n">
        <f aca="false">X60+X61+X62+X64+X65+X66+X67+X68+X69+X70+X71</f>
        <v>17.5150878530466</v>
      </c>
      <c r="Y72" s="13" t="n">
        <f aca="false">Y60+Y61+Y62+Y64+Y65+Y66+Y67+Y68+Y69+Y70+Y71</f>
        <v>17.6574206124573</v>
      </c>
      <c r="Z72" s="13" t="n">
        <f aca="false">Z60+Z61+Z62+Z64+Z65+Z66+Z67+Z68+Z69+Z70+Z71</f>
        <v>17.7582124279632</v>
      </c>
      <c r="AA72" s="13" t="n">
        <f aca="false">AA60+AA61+AA62+AA64+AA65+AA66+AA67+AA68+AA69+AA70+AA71</f>
        <v>17.9884500774694</v>
      </c>
      <c r="AB72" s="13" t="n">
        <f aca="false">AB60+AB61+AB62+AB64+AB65+AB66+AB67+AB68+AB69+AB70+AB71</f>
        <v>18.2652072675596</v>
      </c>
      <c r="AC72" s="13" t="n">
        <f aca="false">AC60+AC61+AC62+AC64+AC65+AC66+AC67+AC68+AC69+AC70+AC71</f>
        <v>18.2083556671719</v>
      </c>
      <c r="AD72" s="13" t="n">
        <f aca="false">AD60+AD61+AD62+AD64+AD65+AD66+AD67+AD68+AD69+AD70+AD71</f>
        <v>17.9285547551591</v>
      </c>
      <c r="AE72" s="13" t="n">
        <f aca="false">AE60+AE61+AE62+AE64+AE65+AE66+AE67+AE68+AE69+AE70+AE71</f>
        <v>18.3395819871649</v>
      </c>
      <c r="AF72" s="13" t="n">
        <f aca="false">AF60+AF61+AF62+AF64+AF65+AF66+AF67+AF68+AF69+AF70+AF71</f>
        <v>19.0484056520773</v>
      </c>
      <c r="AG72" s="13" t="n">
        <f aca="false">AG60+AG61+AG62+AG64+AG65+AG66+AG67+AG68+AG69+AG70+AG71</f>
        <v>19.2035784071184</v>
      </c>
      <c r="AH72" s="13" t="n">
        <f aca="false">AH60+AH61+AH62+AH64+AH65+AH66+AH67+AH68+AH69+AH70+AH71</f>
        <v>19.3134759491161</v>
      </c>
      <c r="AI72" s="13" t="n">
        <f aca="false">AI60+AI61+AI62+AI64+AI65+AI66+AI67+AI68+AI69+AI70+AI71</f>
        <v>19.5644576213961</v>
      </c>
      <c r="AJ72" s="13" t="n">
        <f aca="false">AJ60+AJ61+AJ62+AJ64+AJ65+AJ66+AJ67+AJ68+AJ69+AJ70+AJ71</f>
        <v>19.8661416204105</v>
      </c>
      <c r="AK72" s="13" t="n">
        <f aca="false">AK60+AK61+AK62+AK64+AK65+AK66+AK67+AK68+AK69+AK70+AK71</f>
        <v>19.9055296326238</v>
      </c>
      <c r="AL72" s="13" t="n">
        <f aca="false">AL60+AL61+AL62+AL64+AL65+AL66+AL67+AL68+AL69+AL70+AL71</f>
        <v>19.7710380871187</v>
      </c>
      <c r="AM72" s="13" t="n">
        <f aca="false">AM60+AM61+AM62+AM64+AM65+AM66+AM67+AM68+AM69+AM70+AM71</f>
        <v>20.1543596528599</v>
      </c>
      <c r="AN72" s="13" t="n">
        <f aca="false">AN60+AN61+AN62+AN64+AN65+AN66+AN67+AN68+AN69+AN70+AN71</f>
        <v>20.7199380987892</v>
      </c>
      <c r="AO72" s="13" t="n">
        <f aca="false">AO60+AO61+AO62+AO64+AO65+AO66+AO67+AO68+AO69+AO70+AO71</f>
        <v>20.8891090826237</v>
      </c>
      <c r="AP72" s="13" t="n">
        <f aca="false">AP60+AP61+AP62+AP64+AP65+AP66+AP67+AP68+AP69+AP70+AP71</f>
        <v>21.0089349430795</v>
      </c>
      <c r="AQ72" s="13" t="n">
        <f aca="false">AQ60+AQ61+AQ62+AQ64+AQ65+AQ66+AQ67+AQ68+AQ69+AQ70+AQ71</f>
        <v>21.2825294737297</v>
      </c>
      <c r="AR72" s="13" t="n">
        <f aca="false">AR60+AR61+AR62+AR64+AR65+AR66+AR67+AR68+AR69+AR70+AR71</f>
        <v>21.6113851612665</v>
      </c>
      <c r="AS72" s="13" t="n">
        <f aca="false">AS60+AS61+AS62+AS64+AS65+AS66+AS67+AS68+AS69+AS70+AS71</f>
        <v>21.5439509565636</v>
      </c>
      <c r="AT72" s="13" t="n">
        <f aca="false">AT60+AT61+AT62+AT64+AT65+AT66+AT67+AT68+AT69+AT70+AT71</f>
        <v>21.2123652680986</v>
      </c>
      <c r="AU72" s="13" t="n">
        <f aca="false">AU60+AU61+AU62+AU64+AU65+AU66+AU67+AU68+AU69+AU70+AU71</f>
        <v>21.7000355450592</v>
      </c>
      <c r="AV72" s="13" t="n">
        <f aca="false">AV60+AV61+AV62+AV64+AV65+AV66+AV67+AV68+AV69+AV70+AV71</f>
        <v>22.5421429901199</v>
      </c>
      <c r="AW72" s="13" t="n">
        <f aca="false">AW60+AW61+AW62+AW64+AW65+AW66+AW67+AW68+AW69+AW70+AW71</f>
        <v>22.7265749073916</v>
      </c>
      <c r="AX72" s="13" t="n">
        <f aca="false">AX60+AX61+AX62+AX64+AX65+AX66+AX67+AX68+AX69+AX70+AX71</f>
        <v>22.8572259861039</v>
      </c>
      <c r="AY72" s="13" t="n">
        <f aca="false">AY60+AY61+AY62+AY64+AY65+AY66+AY67+AY68+AY69+AY70+AY71</f>
        <v>23.1554705594947</v>
      </c>
      <c r="AZ72" s="13" t="n">
        <f aca="false">AZ60+AZ61+AZ62+AZ64+AZ65+AZ66+AZ67+AZ68+AZ69+AZ70+AZ71</f>
        <v>23.5139449667591</v>
      </c>
      <c r="BA72" s="13" t="n">
        <f aca="false">BA60+BA61+BA62+BA64+BA65+BA66+BA67+BA68+BA69+BA70+BA71</f>
        <v>23.5608419807372</v>
      </c>
      <c r="BB72" s="13" t="n">
        <f aca="false">BB60+BB61+BB62+BB64+BB65+BB66+BB67+BB68+BB69+BB70+BB71</f>
        <v>23.4011906933681</v>
      </c>
      <c r="BC72" s="13" t="n">
        <f aca="false">BC60+BC61+BC62+BC64+BC65+BC66+BC67+BC68+BC69+BC70+BC71</f>
        <v>23.8566448768656</v>
      </c>
      <c r="BD72" s="13" t="n">
        <f aca="false">BD60+BD61+BD62+BD64+BD65+BD66+BD67+BD68+BD69+BD70+BD71</f>
        <v>24.5286008988946</v>
      </c>
      <c r="BE72" s="13" t="n">
        <f aca="false">BE60+BE61+BE62+BE64+BE65+BE66+BE67+BE68+BE69+BE70+BE71</f>
        <v>24.7296703483045</v>
      </c>
      <c r="BF72" s="13" t="n">
        <f aca="false">BF60+BF61+BF62+BF64+BF65+BF66+BF67+BF68+BF69+BF70+BF71</f>
        <v>24.8721245651013</v>
      </c>
      <c r="BG72" s="13" t="n">
        <f aca="false">BG60+BG61+BG62+BG64+BG65+BG66+BG67+BG68+BG69+BG70+BG71</f>
        <v>25.1972398782039</v>
      </c>
      <c r="BH72" s="13" t="n">
        <f aca="false">BH60+BH61+BH62+BH64+BH65+BH66+BH67+BH68+BH69+BH70+BH71</f>
        <v>25.5880003899722</v>
      </c>
      <c r="BI72" s="13" t="n">
        <f aca="false">BI60+BI61+BI62+BI64+BI65+BI66+BI67+BI68+BI69+BI70+BI71</f>
        <v>25.5080146079617</v>
      </c>
      <c r="BJ72" s="13" t="n">
        <f aca="false">BJ60+BJ61+BJ62+BJ64+BJ65+BJ66+BJ67+BJ68+BJ69+BJ70+BJ71</f>
        <v>25.1149506850312</v>
      </c>
      <c r="BK72" s="13" t="n">
        <f aca="false">BK60+BK61+BK62+BK64+BK65+BK66+BK67+BK68+BK69+BK70+BK71</f>
        <v>25.6936663086093</v>
      </c>
      <c r="BL72" s="13" t="n">
        <f aca="false">BL60+BL61+BL62+BL64+BL65+BL66+BL67+BL68+BL69+BL70+BL71</f>
        <v>26.6941163571443</v>
      </c>
      <c r="BM72" s="13" t="n">
        <f aca="false">BM60+BM61+BM62+BM64+BM65+BM66+BM67+BM68+BM69+BM70+BM71</f>
        <v>17.9857263901536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6839.90195175115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108.70543426881</v>
      </c>
      <c r="R83" s="13" t="n">
        <f aca="false">R72+R74+R75+R76+R79+R82</f>
        <v>108.443860898258</v>
      </c>
      <c r="S83" s="13" t="n">
        <f aca="false">S72+S74+S75+S76+S79+S82</f>
        <v>110.48542461333</v>
      </c>
      <c r="T83" s="13" t="n">
        <f aca="false">T72+T74+T75+T76+T79+T82</f>
        <v>111.449601927422</v>
      </c>
      <c r="U83" s="13" t="n">
        <f aca="false">U72+U74+U75+U76+U79+U82</f>
        <v>112.199787989638</v>
      </c>
      <c r="V83" s="13" t="n">
        <f aca="false">V72+V74+V75+V76+V79+V82</f>
        <v>112.782155376067</v>
      </c>
      <c r="W83" s="13" t="n">
        <f aca="false">W72+W74+W75+W76+W79+W82</f>
        <v>113.172438580479</v>
      </c>
      <c r="X83" s="13" t="n">
        <f aca="false">X72+X74+X75+X76+X79+X82</f>
        <v>115.791688762792</v>
      </c>
      <c r="Y83" s="13" t="n">
        <f aca="false">Y72+Y74+Y75+Y76+Y79+Y82</f>
        <v>117.328618746116</v>
      </c>
      <c r="Z83" s="13" t="n">
        <f aca="false">Z72+Z74+Z75+Z76+Z79+Z82</f>
        <v>117.056420149911</v>
      </c>
      <c r="AA83" s="13" t="n">
        <f aca="false">AA72+AA74+AA75+AA76+AA79+AA82</f>
        <v>119.264171219183</v>
      </c>
      <c r="AB83" s="13" t="n">
        <f aca="false">AB72+AB74+AB75+AB76+AB79+AB82</f>
        <v>120.303992931124</v>
      </c>
      <c r="AC83" s="13" t="n">
        <f aca="false">AC72+AC74+AC75+AC76+AC79+AC82</f>
        <v>120.404744090629</v>
      </c>
      <c r="AD83" s="13" t="n">
        <f aca="false">AD72+AD74+AD75+AD76+AD79+AD82</f>
        <v>128.779985268665</v>
      </c>
      <c r="AE83" s="13" t="n">
        <f aca="false">AE72+AE74+AE75+AE76+AE79+AE82</f>
        <v>120.717558473461</v>
      </c>
      <c r="AF83" s="13" t="n">
        <f aca="false">AF72+AF74+AF75+AF76+AF79+AF82</f>
        <v>124.993185666702</v>
      </c>
      <c r="AG83" s="13" t="n">
        <f aca="false">AG72+AG74+AG75+AG76+AG79+AG82</f>
        <v>126.654994458197</v>
      </c>
      <c r="AH83" s="13" t="n">
        <f aca="false">AH72+AH74+AH75+AH76+AH79+AH82</f>
        <v>126.357373969097</v>
      </c>
      <c r="AI83" s="13" t="n">
        <f aca="false">AI72+AI74+AI75+AI76+AI79+AI82</f>
        <v>128.744740182873</v>
      </c>
      <c r="AJ83" s="13" t="n">
        <f aca="false">AJ72+AJ74+AJ75+AJ76+AJ79+AJ82</f>
        <v>129.866199192422</v>
      </c>
      <c r="AK83" s="13" t="n">
        <f aca="false">AK72+AK74+AK75+AK76+AK79+AK82</f>
        <v>130.739809145477</v>
      </c>
      <c r="AL83" s="13" t="n">
        <f aca="false">AL72+AL74+AL75+AL76+AL79+AL82</f>
        <v>131.467842874107</v>
      </c>
      <c r="AM83" s="13" t="n">
        <f aca="false">AM72+AM74+AM75+AM76+AM79+AM82</f>
        <v>131.872690877322</v>
      </c>
      <c r="AN83" s="13" t="n">
        <f aca="false">AN72+AN74+AN75+AN76+AN79+AN82</f>
        <v>134.930236897775</v>
      </c>
      <c r="AO83" s="13" t="n">
        <f aca="false">AO72+AO74+AO75+AO76+AO79+AO82</f>
        <v>136.726988860125</v>
      </c>
      <c r="AP83" s="13" t="n">
        <f aca="false">AP72+AP74+AP75+AP76+AP79+AP82</f>
        <v>136.401730977941</v>
      </c>
      <c r="AQ83" s="13" t="n">
        <f aca="false">AQ72+AQ74+AQ75+AQ76+AQ79+AQ82</f>
        <v>138.983216477269</v>
      </c>
      <c r="AR83" s="13" t="n">
        <f aca="false">AR72+AR74+AR75+AR76+AR79+AR82</f>
        <v>140.192783912007</v>
      </c>
      <c r="AS83" s="13" t="n">
        <f aca="false">AS72+AS74+AS75+AS76+AS79+AS82</f>
        <v>140.306282276839</v>
      </c>
      <c r="AT83" s="13" t="n">
        <f aca="false">AT72+AT74+AT75+AT76+AT79+AT82</f>
        <v>150.341785580185</v>
      </c>
      <c r="AU83" s="13" t="n">
        <f aca="false">AU72+AU74+AU75+AU76+AU79+AU82</f>
        <v>140.666917386672</v>
      </c>
      <c r="AV83" s="13" t="n">
        <f aca="false">AV72+AV74+AV75+AV76+AV79+AV82</f>
        <v>145.661618087735</v>
      </c>
      <c r="AW83" s="13" t="n">
        <f aca="false">AW72+AW74+AW75+AW76+AW79+AW82</f>
        <v>147.604181672395</v>
      </c>
      <c r="AX83" s="13" t="n">
        <f aca="false">AX72+AX74+AX75+AX76+AX79+AX82</f>
        <v>147.248887029838</v>
      </c>
      <c r="AY83" s="13" t="n">
        <f aca="false">AY72+AY74+AY75+AY76+AY79+AY82</f>
        <v>150.04015783764</v>
      </c>
      <c r="AZ83" s="13" t="n">
        <f aca="false">AZ72+AZ74+AZ75+AZ76+AZ79+AZ82</f>
        <v>151.344821410839</v>
      </c>
      <c r="BA83" s="13" t="n">
        <f aca="false">BA72+BA74+BA75+BA76+BA79+BA82</f>
        <v>152.362038382762</v>
      </c>
      <c r="BB83" s="13" t="n">
        <f aca="false">BB72+BB74+BB75+BB76+BB79+BB82</f>
        <v>153.270158469714</v>
      </c>
      <c r="BC83" s="13" t="n">
        <f aca="false">BC72+BC74+BC75+BC76+BC79+BC82</f>
        <v>153.681601516944</v>
      </c>
      <c r="BD83" s="13" t="n">
        <f aca="false">BD72+BD74+BD75+BD76+BD79+BD82</f>
        <v>157.25079185311</v>
      </c>
      <c r="BE83" s="13" t="n">
        <f aca="false">BE72+BE74+BE75+BE76+BE79+BE82</f>
        <v>159.350903233205</v>
      </c>
      <c r="BF83" s="13" t="n">
        <f aca="false">BF72+BF74+BF75+BF76+BF79+BF82</f>
        <v>158.962973945765</v>
      </c>
      <c r="BG83" s="13" t="n">
        <f aca="false">BG72+BG74+BG75+BG76+BG79+BG82</f>
        <v>161.980950228971</v>
      </c>
      <c r="BH83" s="13" t="n">
        <f aca="false">BH72+BH74+BH75+BH76+BH79+BH82</f>
        <v>163.388255684707</v>
      </c>
      <c r="BI83" s="13" t="n">
        <f aca="false">BI72+BI74+BI75+BI76+BI79+BI82</f>
        <v>163.51594259123</v>
      </c>
      <c r="BJ83" s="13" t="n">
        <f aca="false">BJ72+BJ74+BJ75+BJ76+BJ79+BJ82</f>
        <v>175.539910702377</v>
      </c>
      <c r="BK83" s="13" t="n">
        <f aca="false">BK72+BK74+BK75+BK76+BK79+BK82</f>
        <v>163.931836298319</v>
      </c>
      <c r="BL83" s="13" t="n">
        <f aca="false">BL72+BL74+BL75+BL76+BL79+BL82</f>
        <v>169.766280264193</v>
      </c>
      <c r="BM83" s="13" t="n">
        <f aca="false">BM72+BM74+BM75+BM76+BM79+BM82</f>
        <v>134.02135517286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2566.19346044815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50.0400439629745</v>
      </c>
      <c r="R84" s="13" t="n">
        <f aca="false">R56-R83+R58</f>
        <v>50.1825741246421</v>
      </c>
      <c r="S84" s="13" t="n">
        <f aca="false">S56-S83+S58</f>
        <v>50.2659664983758</v>
      </c>
      <c r="T84" s="13" t="n">
        <f aca="false">T56-T83+T58</f>
        <v>50.3303969934115</v>
      </c>
      <c r="U84" s="13" t="n">
        <f aca="false">U56-U83+U58</f>
        <v>50.4935878469165</v>
      </c>
      <c r="V84" s="13" t="n">
        <f aca="false">V56-V83+V58</f>
        <v>48.222251886577</v>
      </c>
      <c r="W84" s="13" t="n">
        <f aca="false">W56-W83+W58</f>
        <v>50.76227807011</v>
      </c>
      <c r="X84" s="13" t="n">
        <f aca="false">X56-X83+X58</f>
        <v>50.7380960899645</v>
      </c>
      <c r="Y84" s="13" t="n">
        <f aca="false">Y56-Y83+Y58</f>
        <v>50.8616116487816</v>
      </c>
      <c r="Z84" s="13" t="n">
        <f aca="false">Z56-Z83+Z58</f>
        <v>51.0036595091316</v>
      </c>
      <c r="AA84" s="13" t="n">
        <f aca="false">AA56-AA83+AA58</f>
        <v>51.0927612621233</v>
      </c>
      <c r="AB84" s="13" t="n">
        <f aca="false">AB56-AB83+AB58</f>
        <v>51.1622063793877</v>
      </c>
      <c r="AC84" s="13" t="n">
        <f aca="false">AC56-AC83+AC58</f>
        <v>51.3805263728017</v>
      </c>
      <c r="AD84" s="13" t="n">
        <f aca="false">AD56-AD83+AD58</f>
        <v>38.9447653162626</v>
      </c>
      <c r="AE84" s="13" t="n">
        <f aca="false">AE56-AE83+AE58</f>
        <v>51.7159111428441</v>
      </c>
      <c r="AF84" s="13" t="n">
        <f aca="false">AF56-AF83+AF58</f>
        <v>51.603398319318</v>
      </c>
      <c r="AG84" s="13" t="n">
        <f aca="false">AG56-AG83+AG58</f>
        <v>51.7368557353003</v>
      </c>
      <c r="AH84" s="13" t="n">
        <f aca="false">AH56-AH83+AH58</f>
        <v>51.8923156113142</v>
      </c>
      <c r="AI84" s="13" t="n">
        <f aca="false">AI56-AI83+AI58</f>
        <v>51.9875202435028</v>
      </c>
      <c r="AJ84" s="13" t="n">
        <f aca="false">AJ56-AJ83+AJ58</f>
        <v>52.0623701475693</v>
      </c>
      <c r="AK84" s="13" t="n">
        <f aca="false">AK56-AK83+AK58</f>
        <v>52.2557451622764</v>
      </c>
      <c r="AL84" s="13" t="n">
        <f aca="false">AL56-AL83+AL58</f>
        <v>49.5572193351533</v>
      </c>
      <c r="AM84" s="13" t="n">
        <f aca="false">AM56-AM83+AM58</f>
        <v>52.5742944616083</v>
      </c>
      <c r="AN84" s="13" t="n">
        <f aca="false">AN56-AN83+AN58</f>
        <v>52.5398490480539</v>
      </c>
      <c r="AO84" s="13" t="n">
        <f aca="false">AO56-AO83+AO58</f>
        <v>52.6840685854972</v>
      </c>
      <c r="AP84" s="13" t="n">
        <f aca="false">AP56-AP83+AP58</f>
        <v>52.8541886364139</v>
      </c>
      <c r="AQ84" s="13" t="n">
        <f aca="false">AQ56-AQ83+AQ58</f>
        <v>52.9559172382238</v>
      </c>
      <c r="AR84" s="13" t="n">
        <f aca="false">AR56-AR83+AR58</f>
        <v>53.0365923661801</v>
      </c>
      <c r="AS84" s="13" t="n">
        <f aca="false">AS56-AS83+AS58</f>
        <v>53.2971710041726</v>
      </c>
      <c r="AT84" s="13" t="n">
        <f aca="false">AT56-AT83+AT58</f>
        <v>38.6156954907954</v>
      </c>
      <c r="AU84" s="13" t="n">
        <f aca="false">AU56-AU83+AU58</f>
        <v>53.6967042338164</v>
      </c>
      <c r="AV84" s="13" t="n">
        <f aca="false">AV56-AV83+AV58</f>
        <v>53.5533888758499</v>
      </c>
      <c r="AW84" s="13" t="n">
        <f aca="false">AW56-AW83+AW58</f>
        <v>53.7092601884567</v>
      </c>
      <c r="AX84" s="13" t="n">
        <f aca="false">AX56-AX83+AX58</f>
        <v>53.8954034573599</v>
      </c>
      <c r="AY84" s="13" t="n">
        <f aca="false">AY56-AY83+AY58</f>
        <v>54.0041067048262</v>
      </c>
      <c r="AZ84" s="13" t="n">
        <f aca="false">AZ56-AZ83+AZ58</f>
        <v>54.0910601002626</v>
      </c>
      <c r="BA84" s="13" t="n">
        <f aca="false">BA56-BA83+BA58</f>
        <v>54.3202683748525</v>
      </c>
      <c r="BB84" s="13" t="n">
        <f aca="false">BB56-BB83+BB58</f>
        <v>51.1139810635627</v>
      </c>
      <c r="BC84" s="13" t="n">
        <f aca="false">BC56-BC83+BC58</f>
        <v>54.6979816653459</v>
      </c>
      <c r="BD84" s="13" t="n">
        <f aca="false">BD56-BD83+BD58</f>
        <v>54.6504616888332</v>
      </c>
      <c r="BE84" s="13" t="n">
        <f aca="false">BE56-BE83+BE58</f>
        <v>54.818949828865</v>
      </c>
      <c r="BF84" s="13" t="n">
        <f aca="false">BF56-BF83+BF58</f>
        <v>55.0226047268959</v>
      </c>
      <c r="BG84" s="13" t="n">
        <f aca="false">BG56-BG83+BG58</f>
        <v>55.1387650277312</v>
      </c>
      <c r="BH84" s="13" t="n">
        <f aca="false">BH56-BH83+BH58</f>
        <v>55.2324848526287</v>
      </c>
      <c r="BI84" s="13" t="n">
        <f aca="false">BI56-BI83+BI58</f>
        <v>55.5435031979406</v>
      </c>
      <c r="BJ84" s="13" t="n">
        <f aca="false">BJ56-BJ83+BJ58</f>
        <v>38.1904464165889</v>
      </c>
      <c r="BK84" s="13" t="n">
        <f aca="false">BK56-BK83+BK58</f>
        <v>56.0194424398547</v>
      </c>
      <c r="BL84" s="13" t="n">
        <f aca="false">BL56-BL83+BL58</f>
        <v>55.8380578608321</v>
      </c>
      <c r="BM84" s="13" t="n">
        <f aca="false">BM56-BM83+BM58</f>
        <v>18.2591958535908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90</v>
      </c>
      <c r="R87" s="9" t="n">
        <f aca="false">Inputs!$F$44*Time!R38</f>
        <v>90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72.3634519325775</v>
      </c>
      <c r="R88" s="13" t="n">
        <f aca="false">(1-R86)*(R56/MAX(Time!R31,1)*Inputs!$F$168+R55/MAX(Time!R31,1)*R87)</f>
        <v>71.2674322644956</v>
      </c>
      <c r="S88" s="13" t="n">
        <f aca="false">(1-S86)*(S56/MAX(Time!S31,1)*Inputs!$F$168+S55/MAX(Time!S31,1)*S87)</f>
        <v>39.9658154697612</v>
      </c>
      <c r="T88" s="13" t="n">
        <f aca="false">(1-T86)*(T56/MAX(Time!T31,1)*Inputs!$F$168+T55/MAX(Time!T31,1)*T87)</f>
        <v>39.5657606056385</v>
      </c>
      <c r="U88" s="13" t="n">
        <f aca="false">(1-U86)*(U56/MAX(Time!U31,1)*Inputs!$F$168+U55/MAX(Time!U31,1)*U87)</f>
        <v>40.2263841354119</v>
      </c>
      <c r="V88" s="13" t="n">
        <f aca="false">(1-V86)*(V56/MAX(Time!V31,1)*Inputs!$F$168+V55/MAX(Time!V31,1)*V87)</f>
        <v>39.3760778631466</v>
      </c>
      <c r="W88" s="13" t="n">
        <f aca="false">(1-W86)*(W56/MAX(Time!W31,1)*Inputs!$F$168+W55/MAX(Time!W31,1)*W87)</f>
        <v>40.7572499960029</v>
      </c>
      <c r="X88" s="13" t="n">
        <f aca="false">(1-X86)*(X56/MAX(Time!X31,1)*Inputs!$F$168+X55/MAX(Time!X31,1)*X87)</f>
        <v>40.7273930346415</v>
      </c>
      <c r="Y88" s="13" t="n">
        <f aca="false">(1-Y86)*(Y56/MAX(Time!Y31,1)*Inputs!$F$168+Y55/MAX(Time!Y31,1)*Y87)</f>
        <v>41.8152506506651</v>
      </c>
      <c r="Z88" s="13" t="n">
        <f aca="false">(1-Z86)*(Z56/MAX(Time!Z31,1)*Inputs!$F$168+Z55/MAX(Time!Z31,1)*Z87)</f>
        <v>41.1016499166136</v>
      </c>
      <c r="AA88" s="13" t="n">
        <f aca="false">(1-AA86)*(AA56/MAX(Time!AA31,1)*Inputs!$F$168+AA55/MAX(Time!AA31,1)*AA87)</f>
        <v>42.3539334898275</v>
      </c>
      <c r="AB88" s="13" t="n">
        <f aca="false">(1-AB86)*(AB56/MAX(Time!AB31,1)*Inputs!$F$168+AB55/MAX(Time!AB31,1)*AB87)</f>
        <v>41.934668309636</v>
      </c>
      <c r="AC88" s="13" t="n">
        <f aca="false">(1-AC86)*(AC56/MAX(Time!AC31,1)*Inputs!$F$168+AC55/MAX(Time!AC31,1)*AC87)</f>
        <v>42.4743800596394</v>
      </c>
      <c r="AD88" s="13" t="n">
        <f aca="false">(1-AD86)*(AD56/MAX(Time!AD31,1)*Inputs!$F$168+AD55/MAX(Time!AD31,1)*AD87)</f>
        <v>41.0196400887051</v>
      </c>
      <c r="AE88" s="13" t="n">
        <f aca="false">(1-AE86)*(AE56/MAX(Time!AE31,1)*Inputs!$F$168+AE55/MAX(Time!AE31,1)*AE87)</f>
        <v>42.8701996283632</v>
      </c>
      <c r="AF88" s="13" t="n">
        <f aca="false">(1-AF86)*(AF56/MAX(Time!AF31,1)*Inputs!$F$168+AF55/MAX(Time!AF31,1)*AF87)</f>
        <v>43.1893819531027</v>
      </c>
      <c r="AG88" s="13" t="n">
        <f aca="false">(1-AG86)*(AG56/MAX(Time!AG31,1)*Inputs!$F$168+AG55/MAX(Time!AG31,1)*AG87)</f>
        <v>44.3515649652341</v>
      </c>
      <c r="AH88" s="13" t="n">
        <f aca="false">(1-AH86)*(AH56/MAX(Time!AH31,1)*Inputs!$F$168+AH55/MAX(Time!AH31,1)*AH87)</f>
        <v>43.5936740821658</v>
      </c>
      <c r="AI88" s="13" t="n">
        <f aca="false">(1-AI86)*(AI56/MAX(Time!AI31,1)*Inputs!$F$168+AI55/MAX(Time!AI31,1)*AI87)</f>
        <v>44.933434912635</v>
      </c>
      <c r="AJ88" s="13" t="n">
        <f aca="false">(1-AJ86)*(AJ56/MAX(Time!AJ31,1)*Inputs!$F$168+AJ55/MAX(Time!AJ31,1)*AJ87)</f>
        <v>44.493400110324</v>
      </c>
      <c r="AK88" s="13" t="n">
        <f aca="false">(1-AK86)*(AK56/MAX(Time!AK31,1)*Inputs!$F$168+AK55/MAX(Time!AK31,1)*AK87)</f>
        <v>45.2461535376313</v>
      </c>
      <c r="AL88" s="13" t="n">
        <f aca="false">(1-AL86)*(AL56/MAX(Time!AL31,1)*Inputs!$F$168+AL55/MAX(Time!AL31,1)*AL87)</f>
        <v>44.2724336924822</v>
      </c>
      <c r="AM88" s="13" t="n">
        <f aca="false">(1-AM86)*(AM56/MAX(Time!AM31,1)*Inputs!$F$168+AM55/MAX(Time!AM31,1)*AM87)</f>
        <v>45.8569853052588</v>
      </c>
      <c r="AN88" s="13" t="n">
        <f aca="false">(1-AN86)*(AN56/MAX(Time!AN31,1)*Inputs!$F$168+AN55/MAX(Time!AN31,1)*AN87)</f>
        <v>45.8486623237081</v>
      </c>
      <c r="AO88" s="13" t="n">
        <f aca="false">(1-AO86)*(AO56/MAX(Time!AO31,1)*Inputs!$F$168+AO55/MAX(Time!AO31,1)*AO87)</f>
        <v>47.0911468787458</v>
      </c>
      <c r="AP88" s="13" t="n">
        <f aca="false">(1-AP86)*(AP56/MAX(Time!AP31,1)*Inputs!$F$168+AP55/MAX(Time!AP31,1)*AP87)</f>
        <v>46.2854151230759</v>
      </c>
      <c r="AQ88" s="13" t="n">
        <f aca="false">(1-AQ86)*(AQ56/MAX(Time!AQ31,1)*Inputs!$F$168+AQ55/MAX(Time!AQ31,1)*AQ87)</f>
        <v>47.7196741281612</v>
      </c>
      <c r="AR88" s="13" t="n">
        <f aca="false">(1-AR86)*(AR56/MAX(Time!AR31,1)*Inputs!$F$168+AR55/MAX(Time!AR31,1)*AR87)</f>
        <v>47.2571844158611</v>
      </c>
      <c r="AS88" s="13" t="n">
        <f aca="false">(1-AS86)*(AS56/MAX(Time!AS31,1)*Inputs!$F$168+AS55/MAX(Time!AS31,1)*AS87)</f>
        <v>47.868985701349</v>
      </c>
      <c r="AT88" s="13" t="n">
        <f aca="false">(1-AT86)*(AT56/MAX(Time!AT31,1)*Inputs!$F$168+AT55/MAX(Time!AT31,1)*AT87)</f>
        <v>46.2124274358377</v>
      </c>
      <c r="AU88" s="13" t="n">
        <f aca="false">(1-AU86)*(AU56/MAX(Time!AU31,1)*Inputs!$F$168+AU55/MAX(Time!AU31,1)*AU87)</f>
        <v>48.3224473642097</v>
      </c>
      <c r="AV88" s="13" t="n">
        <f aca="false">(1-AV86)*(AV56/MAX(Time!AV31,1)*Inputs!$F$168+AV55/MAX(Time!AV31,1)*AV87)</f>
        <v>48.7210614856593</v>
      </c>
      <c r="AW88" s="13" t="n">
        <f aca="false">(1-AW86)*(AW56/MAX(Time!AW31,1)*Inputs!$F$168+AW55/MAX(Time!AW31,1)*AW87)</f>
        <v>50.0503032250736</v>
      </c>
      <c r="AX88" s="13" t="n">
        <f aca="false">(1-AX86)*(AX56/MAX(Time!AX31,1)*Inputs!$F$168+AX55/MAX(Time!AX31,1)*AX87)</f>
        <v>49.1928971300213</v>
      </c>
      <c r="AY88" s="13" t="n">
        <f aca="false">(1-AY86)*(AY56/MAX(Time!AY31,1)*Inputs!$F$168+AY55/MAX(Time!AY31,1)*AY87)</f>
        <v>50.7292370409446</v>
      </c>
      <c r="AZ88" s="13" t="n">
        <f aca="false">(1-AZ86)*(AZ56/MAX(Time!AZ31,1)*Inputs!$F$168+AZ55/MAX(Time!AZ31,1)*AZ87)</f>
        <v>50.2424710217369</v>
      </c>
      <c r="BA88" s="13" t="n">
        <f aca="false">(1-BA86)*(BA56/MAX(Time!BA31,1)*Inputs!$F$168+BA55/MAX(Time!BA31,1)*BA87)</f>
        <v>51.1027681543554</v>
      </c>
      <c r="BB88" s="13" t="n">
        <f aca="false">(1-BB86)*(BB56/MAX(Time!BB31,1)*Inputs!$F$168+BB55/MAX(Time!BB31,1)*BB87)</f>
        <v>49.9852515162904</v>
      </c>
      <c r="BC88" s="13" t="n">
        <f aca="false">(1-BC86)*(BC56/MAX(Time!BC31,1)*Inputs!$F$168+BC55/MAX(Time!BC31,1)*BC87)</f>
        <v>51.8070786917296</v>
      </c>
      <c r="BD88" s="13" t="n">
        <f aca="false">(1-BD86)*(BD56/MAX(Time!BD31,1)*Inputs!$F$168+BD55/MAX(Time!BD31,1)*BD87)</f>
        <v>51.8236761379752</v>
      </c>
      <c r="BE88" s="13" t="n">
        <f aca="false">(1-BE86)*(BE56/MAX(Time!BE31,1)*Inputs!$F$168+BE55/MAX(Time!BE31,1)*BE87)</f>
        <v>53.2466485513434</v>
      </c>
      <c r="BF88" s="13" t="n">
        <f aca="false">(1-BF86)*(BF56/MAX(Time!BF31,1)*Inputs!$F$168+BF55/MAX(Time!BF31,1)*BF87)</f>
        <v>52.3334295666833</v>
      </c>
      <c r="BG88" s="13" t="n">
        <f aca="false">(1-BG86)*(BG56/MAX(Time!BG31,1)*Inputs!$F$168+BG55/MAX(Time!BG31,1)*BG87)</f>
        <v>53.9800397047049</v>
      </c>
      <c r="BH88" s="13" t="n">
        <f aca="false">(1-BH86)*(BH56/MAX(Time!BH31,1)*Inputs!$F$168+BH55/MAX(Time!BH31,1)*BH87)</f>
        <v>53.4670289357615</v>
      </c>
      <c r="BI88" s="13" t="n">
        <f aca="false">(1-BI86)*(BI56/MAX(Time!BI31,1)*Inputs!$F$168+BI55/MAX(Time!BI31,1)*BI87)</f>
        <v>54.1630497830366</v>
      </c>
      <c r="BJ88" s="13" t="n">
        <f aca="false">(1-BJ86)*(BJ56/MAX(Time!BJ31,1)*Inputs!$F$168+BJ55/MAX(Time!BJ31,1)*BJ87)</f>
        <v>52.271011251921</v>
      </c>
      <c r="BK88" s="13" t="n">
        <f aca="false">(1-BK86)*(BK56/MAX(Time!BK31,1)*Inputs!$F$168+BK55/MAX(Time!BK31,1)*BK87)</f>
        <v>54.6840195757891</v>
      </c>
      <c r="BL88" s="13" t="n">
        <f aca="false">(1-BL86)*(BL56/MAX(Time!BL31,1)*Inputs!$F$168+BL55/MAX(Time!BL31,1)*BL87)</f>
        <v>55.1749739979681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1.61365653313456</v>
      </c>
      <c r="R92" s="13" t="n">
        <f aca="false">(1-R86)*(R60+R61+R62+R64)/MAX(Time!R31,1)*Inputs!$F$171</f>
        <v>1.59398221394773</v>
      </c>
      <c r="S92" s="13" t="n">
        <f aca="false">(1-S86)*(S60+S61+S62+S64)/MAX(Time!S31,1)*Inputs!$F$171</f>
        <v>1.64364311743885</v>
      </c>
      <c r="T92" s="13" t="n">
        <f aca="false">(1-T86)*(T60+T61+T62+T64)/MAX(Time!T31,1)*Inputs!$F$171</f>
        <v>1.64549971818137</v>
      </c>
      <c r="U92" s="13" t="n">
        <f aca="false">(1-U86)*(U60+U61+U62+U64)/MAX(Time!U31,1)*Inputs!$F$171</f>
        <v>1.66185593036222</v>
      </c>
      <c r="V92" s="13" t="n">
        <f aca="false">(1-V86)*(V60+V61+V62+V64)/MAX(Time!V31,1)*Inputs!$F$171</f>
        <v>1.62192544716933</v>
      </c>
      <c r="W92" s="13" t="n">
        <f aca="false">(1-W86)*(W60+W61+W62+W64)/MAX(Time!W31,1)*Inputs!$F$171</f>
        <v>1.68732334392203</v>
      </c>
      <c r="X92" s="13" t="n">
        <f aca="false">(1-X86)*(X60+X61+X62+X64)/MAX(Time!X31,1)*Inputs!$F$171</f>
        <v>1.71869812764495</v>
      </c>
      <c r="Y92" s="13" t="n">
        <f aca="false">(1-Y86)*(Y60+Y61+Y62+Y64)/MAX(Time!Y31,1)*Inputs!$F$171</f>
        <v>1.7604134734904</v>
      </c>
      <c r="Z92" s="13" t="n">
        <f aca="false">(1-Z86)*(Z60+Z61+Z62+Z64)/MAX(Time!Z31,1)*Inputs!$F$171</f>
        <v>1.73894983741479</v>
      </c>
      <c r="AA92" s="13" t="n">
        <f aca="false">(1-AA86)*(AA60+AA61+AA62+AA64)/MAX(Time!AA31,1)*Inputs!$F$171</f>
        <v>1.79312724246742</v>
      </c>
      <c r="AB92" s="13" t="n">
        <f aca="false">(1-AB86)*(AB60+AB61+AB62+AB64)/MAX(Time!AB31,1)*Inputs!$F$171</f>
        <v>1.79515269515511</v>
      </c>
      <c r="AC92" s="13" t="n">
        <f aca="false">(1-AC86)*(AC60+AC61+AC62+AC64)/MAX(Time!AC31,1)*Inputs!$F$171</f>
        <v>1.80008935969456</v>
      </c>
      <c r="AD92" s="13" t="n">
        <f aca="false">(1-AD86)*(AD60+AD61+AD62+AD64)/MAX(Time!AD31,1)*Inputs!$F$171</f>
        <v>1.73682860129558</v>
      </c>
      <c r="AE92" s="13" t="n">
        <f aca="false">(1-AE86)*(AE60+AE61+AE62+AE64)/MAX(Time!AE31,1)*Inputs!$F$171</f>
        <v>1.81425219090909</v>
      </c>
      <c r="AF92" s="13" t="n">
        <f aca="false">(1-AF86)*(AF60+AF61+AF62+AF64)/MAX(Time!AF31,1)*Inputs!$F$171</f>
        <v>1.87500826764639</v>
      </c>
      <c r="AG92" s="13" t="n">
        <f aca="false">(1-AG86)*(AG60+AG61+AG62+AG64)/MAX(Time!AG31,1)*Inputs!$F$171</f>
        <v>1.92051749180266</v>
      </c>
      <c r="AH92" s="13" t="n">
        <f aca="false">(1-AH86)*(AH60+AH61+AH62+AH64)/MAX(Time!AH31,1)*Inputs!$F$171</f>
        <v>1.89710180614605</v>
      </c>
      <c r="AI92" s="13" t="n">
        <f aca="false">(1-AI86)*(AI60+AI61+AI62+AI64)/MAX(Time!AI31,1)*Inputs!$F$171</f>
        <v>1.95620647424301</v>
      </c>
      <c r="AJ92" s="13" t="n">
        <f aca="false">(1-AJ86)*(AJ60+AJ61+AJ62+AJ64)/MAX(Time!AJ31,1)*Inputs!$F$171</f>
        <v>1.95841613542437</v>
      </c>
      <c r="AK92" s="13" t="n">
        <f aca="false">(1-AK86)*(AK60+AK61+AK62+AK64)/MAX(Time!AK31,1)*Inputs!$F$171</f>
        <v>1.97788272633014</v>
      </c>
      <c r="AL92" s="13" t="n">
        <f aca="false">(1-AL86)*(AL60+AL61+AL62+AL64)/MAX(Time!AL31,1)*Inputs!$F$171</f>
        <v>1.93035886369061</v>
      </c>
      <c r="AM92" s="13" t="n">
        <f aca="false">(1-AM86)*(AM60+AM61+AM62+AM64)/MAX(Time!AM31,1)*Inputs!$F$171</f>
        <v>2.00819315002208</v>
      </c>
      <c r="AN92" s="13" t="n">
        <f aca="false">(1-AN86)*(AN60+AN61+AN62+AN64)/MAX(Time!AN31,1)*Inputs!$F$171</f>
        <v>2.04553431879259</v>
      </c>
      <c r="AO92" s="13" t="n">
        <f aca="false">(1-AO86)*(AO60+AO61+AO62+AO64)/MAX(Time!AO31,1)*Inputs!$F$171</f>
        <v>2.09518246245124</v>
      </c>
      <c r="AP92" s="13" t="n">
        <f aca="false">(1-AP86)*(AP60+AP61+AP62+AP64)/MAX(Time!AP31,1)*Inputs!$F$171</f>
        <v>2.06963719449955</v>
      </c>
      <c r="AQ92" s="13" t="n">
        <f aca="false">(1-AQ86)*(AQ60+AQ61+AQ62+AQ64)/MAX(Time!AQ31,1)*Inputs!$F$171</f>
        <v>2.13411724457685</v>
      </c>
      <c r="AR92" s="13" t="n">
        <f aca="false">(1-AR86)*(AR60+AR61+AR62+AR64)/MAX(Time!AR31,1)*Inputs!$F$171</f>
        <v>2.13652786742975</v>
      </c>
      <c r="AS92" s="13" t="n">
        <f aca="false">(1-AS86)*(AS60+AS61+AS62+AS64)/MAX(Time!AS31,1)*Inputs!$F$171</f>
        <v>2.14240331267136</v>
      </c>
      <c r="AT92" s="13" t="n">
        <f aca="false">(1-AT86)*(AT60+AT61+AT62+AT64)/MAX(Time!AT31,1)*Inputs!$F$171</f>
        <v>2.06711257356101</v>
      </c>
      <c r="AU92" s="13" t="n">
        <f aca="false">(1-AU86)*(AU60+AU61+AU62+AU64)/MAX(Time!AU31,1)*Inputs!$F$171</f>
        <v>2.15925941836821</v>
      </c>
      <c r="AV92" s="13" t="n">
        <f aca="false">(1-AV86)*(AV60+AV61+AV62+AV64)/MAX(Time!AV31,1)*Inputs!$F$171</f>
        <v>2.2315691730845</v>
      </c>
      <c r="AW92" s="13" t="n">
        <f aca="false">(1-AW86)*(AW60+AW61+AW62+AW64)/MAX(Time!AW31,1)*Inputs!$F$171</f>
        <v>2.28573265783841</v>
      </c>
      <c r="AX92" s="13" t="n">
        <f aca="false">(1-AX86)*(AX60+AX61+AX62+AX64)/MAX(Time!AX31,1)*Inputs!$F$171</f>
        <v>2.25786412884066</v>
      </c>
      <c r="AY92" s="13" t="n">
        <f aca="false">(1-AY86)*(AY60+AY61+AY62+AY64)/MAX(Time!AY31,1)*Inputs!$F$171</f>
        <v>2.32820843482931</v>
      </c>
      <c r="AZ92" s="13" t="n">
        <f aca="false">(1-AZ86)*(AZ60+AZ61+AZ62+AZ64)/MAX(Time!AZ31,1)*Inputs!$F$171</f>
        <v>2.33083829617999</v>
      </c>
      <c r="BA92" s="13" t="n">
        <f aca="false">(1-BA86)*(BA60+BA61+BA62+BA64)/MAX(Time!BA31,1)*Inputs!$F$171</f>
        <v>2.35400675091161</v>
      </c>
      <c r="BB92" s="13" t="n">
        <f aca="false">(1-BB86)*(BB60+BB61+BB62+BB64)/MAX(Time!BB31,1)*Inputs!$F$171</f>
        <v>2.29744551399215</v>
      </c>
      <c r="BC92" s="13" t="n">
        <f aca="false">(1-BC86)*(BC60+BC61+BC62+BC64)/MAX(Time!BC31,1)*Inputs!$F$171</f>
        <v>2.39008115564955</v>
      </c>
      <c r="BD92" s="13" t="n">
        <f aca="false">(1-BD86)*(BD60+BD61+BD62+BD64)/MAX(Time!BD31,1)*Inputs!$F$171</f>
        <v>2.43452330694726</v>
      </c>
      <c r="BE92" s="13" t="n">
        <f aca="false">(1-BE86)*(BE60+BE61+BE62+BE64)/MAX(Time!BE31,1)*Inputs!$F$171</f>
        <v>2.4936127887385</v>
      </c>
      <c r="BF92" s="13" t="n">
        <f aca="false">(1-BF86)*(BF60+BF61+BF62+BF64)/MAX(Time!BF31,1)*Inputs!$F$171</f>
        <v>2.46320970547598</v>
      </c>
      <c r="BG92" s="13" t="n">
        <f aca="false">(1-BG86)*(BG60+BG61+BG62+BG64)/MAX(Time!BG31,1)*Inputs!$F$171</f>
        <v>2.53995160283948</v>
      </c>
      <c r="BH92" s="13" t="n">
        <f aca="false">(1-BH86)*(BH60+BH61+BH62+BH64)/MAX(Time!BH31,1)*Inputs!$F$171</f>
        <v>2.5428206417335</v>
      </c>
      <c r="BI92" s="13" t="n">
        <f aca="false">(1-BI86)*(BI60+BI61+BI62+BI64)/MAX(Time!BI31,1)*Inputs!$F$171</f>
        <v>2.54981339088855</v>
      </c>
      <c r="BJ92" s="13" t="n">
        <f aca="false">(1-BJ86)*(BJ60+BJ61+BJ62+BJ64)/MAX(Time!BJ31,1)*Inputs!$F$171</f>
        <v>2.46020499005291</v>
      </c>
      <c r="BK92" s="13" t="n">
        <f aca="false">(1-BK86)*(BK60+BK61+BK62+BK64)/MAX(Time!BK31,1)*Inputs!$F$171</f>
        <v>2.56987493754967</v>
      </c>
      <c r="BL92" s="13" t="n">
        <f aca="false">(1-BL86)*(BL60+BL61+BL62+BL64)/MAX(Time!BL31,1)*Inputs!$F$171</f>
        <v>2.65593547516037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1.0779089966983</v>
      </c>
      <c r="R93" s="13" t="n">
        <f aca="false">(1-R86)*(R65+R66+R67+R68+R69+R70+R71)/MAX(Time!R31,1)*Inputs!$F$172</f>
        <v>1.06877092071732</v>
      </c>
      <c r="S93" s="13" t="n">
        <f aca="false">(1-S86)*(S65+S66+S67+S68+S69+S70+S71)/MAX(Time!S31,1)*Inputs!$F$172</f>
        <v>1.09825090196842</v>
      </c>
      <c r="T93" s="13" t="n">
        <f aca="false">(1-T86)*(T65+T66+T67+T68+T69+T70+T71)/MAX(Time!T31,1)*Inputs!$F$172</f>
        <v>1.09308458477447</v>
      </c>
      <c r="U93" s="13" t="n">
        <f aca="false">(1-U86)*(U65+U66+U67+U68+U69+U70+U71)/MAX(Time!U31,1)*Inputs!$F$172</f>
        <v>1.11227567088748</v>
      </c>
      <c r="V93" s="13" t="n">
        <f aca="false">(1-V86)*(V65+V66+V67+V68+V69+V70+V71)/MAX(Time!V31,1)*Inputs!$F$172</f>
        <v>1.10358037429402</v>
      </c>
      <c r="W93" s="13" t="n">
        <f aca="false">(1-W86)*(W65+W66+W67+W68+W69+W70+W71)/MAX(Time!W31,1)*Inputs!$F$172</f>
        <v>1.13682821961515</v>
      </c>
      <c r="X93" s="13" t="n">
        <f aca="false">(1-X86)*(X65+X66+X67+X68+X69+X70+X71)/MAX(Time!X31,1)*Inputs!$F$172</f>
        <v>1.13702271796048</v>
      </c>
      <c r="Y93" s="13" t="n">
        <f aca="false">(1-Y86)*(Y65+Y66+Y67+Y68+Y69+Y70+Y71)/MAX(Time!Y31,1)*Inputs!$F$172</f>
        <v>1.16623082691689</v>
      </c>
      <c r="Z93" s="13" t="n">
        <f aca="false">(1-Z86)*(Z65+Z66+Z67+Z68+Z69+Z70+Z71)/MAX(Time!Z31,1)*Inputs!$F$172</f>
        <v>1.15641088453573</v>
      </c>
      <c r="AA93" s="13" t="n">
        <f aca="false">(1-AA86)*(AA65+AA66+AA67+AA68+AA69+AA70+AA71)/MAX(Time!AA31,1)*Inputs!$F$172</f>
        <v>1.18838382009656</v>
      </c>
      <c r="AB93" s="13" t="n">
        <f aca="false">(1-AB86)*(AB65+AB66+AB67+AB68+AB69+AB70+AB71)/MAX(Time!AB31,1)*Inputs!$F$172</f>
        <v>1.18287022890352</v>
      </c>
      <c r="AC93" s="13" t="n">
        <f aca="false">(1-AC86)*(AC65+AC66+AC67+AC68+AC69+AC70+AC71)/MAX(Time!AC31,1)*Inputs!$F$172</f>
        <v>1.20128794808103</v>
      </c>
      <c r="AD93" s="13" t="n">
        <f aca="false">(1-AD86)*(AD65+AD66+AD67+AD68+AD69+AD70+AD71)/MAX(Time!AD31,1)*Inputs!$F$172</f>
        <v>1.18630532617601</v>
      </c>
      <c r="AE93" s="13" t="n">
        <f aca="false">(1-AE86)*(AE65+AE66+AE67+AE68+AE69+AE70+AE71)/MAX(Time!AE31,1)*Inputs!$F$172</f>
        <v>1.22545753072045</v>
      </c>
      <c r="AF93" s="13" t="n">
        <f aca="false">(1-AF86)*(AF65+AF66+AF67+AF68+AF69+AF70+AF71)/MAX(Time!AF31,1)*Inputs!$F$172</f>
        <v>1.2307100451923</v>
      </c>
      <c r="AG93" s="13" t="n">
        <f aca="false">(1-AG86)*(AG65+AG66+AG67+AG68+AG69+AG70+AG71)/MAX(Time!AG31,1)*Inputs!$F$172</f>
        <v>1.26239605633852</v>
      </c>
      <c r="AH93" s="13" t="n">
        <f aca="false">(1-AH86)*(AH65+AH66+AH67+AH68+AH69+AH70+AH71)/MAX(Time!AH31,1)*Inputs!$F$172</f>
        <v>1.25183448990549</v>
      </c>
      <c r="AI93" s="13" t="n">
        <f aca="false">(1-AI86)*(AI65+AI66+AI67+AI68+AI69+AI70+AI71)/MAX(Time!AI31,1)*Inputs!$F$172</f>
        <v>1.28652130830884</v>
      </c>
      <c r="AJ93" s="13" t="n">
        <f aca="false">(1-AJ86)*(AJ65+AJ66+AJ67+AJ68+AJ69+AJ70+AJ71)/MAX(Time!AJ31,1)*Inputs!$F$172</f>
        <v>1.28062869399038</v>
      </c>
      <c r="AK93" s="13" t="n">
        <f aca="false">(1-AK86)*(AK65+AK66+AK67+AK68+AK69+AK70+AK71)/MAX(Time!AK31,1)*Inputs!$F$172</f>
        <v>1.30324853179466</v>
      </c>
      <c r="AL93" s="13" t="n">
        <f aca="false">(1-AL86)*(AL65+AL66+AL67+AL68+AL69+AL70+AL71)/MAX(Time!AL31,1)*Inputs!$F$172</f>
        <v>1.29317995486135</v>
      </c>
      <c r="AM93" s="13" t="n">
        <f aca="false">(1-AM86)*(AM65+AM66+AM67+AM68+AM69+AM70+AM71)/MAX(Time!AM31,1)*Inputs!$F$172</f>
        <v>1.33230844989944</v>
      </c>
      <c r="AN93" s="13" t="n">
        <f aca="false">(1-AN86)*(AN65+AN66+AN67+AN68+AN69+AN70+AN71)/MAX(Time!AN31,1)*Inputs!$F$172</f>
        <v>1.33271645818391</v>
      </c>
      <c r="AO93" s="13" t="n">
        <f aca="false">(1-AO86)*(AO65+AO66+AO67+AO68+AO69+AO70+AO71)/MAX(Time!AO31,1)*Inputs!$F$172</f>
        <v>1.36710081091181</v>
      </c>
      <c r="AP93" s="13" t="n">
        <f aca="false">(1-AP86)*(AP65+AP66+AP67+AP68+AP69+AP70+AP71)/MAX(Time!AP31,1)*Inputs!$F$172</f>
        <v>1.35573263317645</v>
      </c>
      <c r="AQ93" s="13" t="n">
        <f aca="false">(1-AQ86)*(AQ65+AQ66+AQ67+AQ68+AQ69+AQ70+AQ71)/MAX(Time!AQ31,1)*Inputs!$F$172</f>
        <v>1.39337382841702</v>
      </c>
      <c r="AR93" s="13" t="n">
        <f aca="false">(1-AR86)*(AR65+AR66+AR67+AR68+AR69+AR70+AR71)/MAX(Time!AR31,1)*Inputs!$F$172</f>
        <v>1.38706753929848</v>
      </c>
      <c r="AS93" s="13" t="n">
        <f aca="false">(1-AS86)*(AS65+AS66+AS67+AS68+AS69+AS70+AS71)/MAX(Time!AS31,1)*Inputs!$F$172</f>
        <v>1.40879739445451</v>
      </c>
      <c r="AT93" s="13" t="n">
        <f aca="false">(1-AT86)*(AT65+AT66+AT67+AT68+AT69+AT70+AT71)/MAX(Time!AT31,1)*Inputs!$F$172</f>
        <v>1.39142524188985</v>
      </c>
      <c r="AU93" s="13" t="n">
        <f aca="false">(1-AU86)*(AU65+AU66+AU67+AU68+AU69+AU70+AU71)/MAX(Time!AU31,1)*Inputs!$F$172</f>
        <v>1.437431555951</v>
      </c>
      <c r="AV93" s="13" t="n">
        <f aca="false">(1-AV86)*(AV65+AV66+AV67+AV68+AV69+AV70+AV71)/MAX(Time!AV31,1)*Inputs!$F$172</f>
        <v>1.44378022747852</v>
      </c>
      <c r="AW93" s="13" t="n">
        <f aca="false">(1-AW86)*(AW65+AW66+AW67+AW68+AW69+AW70+AW71)/MAX(Time!AW31,1)*Inputs!$F$172</f>
        <v>1.48110296217124</v>
      </c>
      <c r="AX93" s="13" t="n">
        <f aca="false">(1-AX86)*(AX65+AX66+AX67+AX68+AX69+AX70+AX71)/MAX(Time!AX31,1)*Inputs!$F$172</f>
        <v>1.46885749932845</v>
      </c>
      <c r="AY93" s="13" t="n">
        <f aca="false">(1-AY86)*(AY65+AY66+AY67+AY68+AY69+AY70+AY71)/MAX(Time!AY31,1)*Inputs!$F$172</f>
        <v>1.50971486232451</v>
      </c>
      <c r="AZ93" s="13" t="n">
        <f aca="false">(1-AZ86)*(AZ65+AZ66+AZ67+AZ68+AZ69+AZ70+AZ71)/MAX(Time!AZ31,1)*Inputs!$F$172</f>
        <v>1.50295707883507</v>
      </c>
      <c r="BA93" s="13" t="n">
        <f aca="false">(1-BA86)*(BA65+BA66+BA67+BA68+BA69+BA70+BA71)/MAX(Time!BA31,1)*Inputs!$F$172</f>
        <v>1.52964852063847</v>
      </c>
      <c r="BB93" s="13" t="n">
        <f aca="false">(1-BB86)*(BB65+BB66+BB67+BB68+BB69+BB70+BB71)/MAX(Time!BB31,1)*Inputs!$F$172</f>
        <v>1.51796601210047</v>
      </c>
      <c r="BC93" s="13" t="n">
        <f aca="false">(1-BC86)*(BC65+BC66+BC67+BC68+BC69+BC70+BC71)/MAX(Time!BC31,1)*Inputs!$F$172</f>
        <v>1.56405887919005</v>
      </c>
      <c r="BD93" s="13" t="n">
        <f aca="false">(1-BD86)*(BD65+BD66+BD67+BD68+BD69+BD70+BD71)/MAX(Time!BD31,1)*Inputs!$F$172</f>
        <v>1.56470510048121</v>
      </c>
      <c r="BE93" s="13" t="n">
        <f aca="false">(1-BE86)*(BE65+BE66+BE67+BE68+BE69+BE70+BE71)/MAX(Time!BE31,1)*Inputs!$F$172</f>
        <v>1.60522760048323</v>
      </c>
      <c r="BF93" s="13" t="n">
        <f aca="false">(1-BF86)*(BF65+BF66+BF67+BF68+BF69+BF70+BF71)/MAX(Time!BF31,1)*Inputs!$F$172</f>
        <v>1.59202799535575</v>
      </c>
      <c r="BG93" s="13" t="n">
        <f aca="false">(1-BG86)*(BG65+BG66+BG67+BG68+BG69+BG70+BG71)/MAX(Time!BG31,1)*Inputs!$F$172</f>
        <v>1.63638649852028</v>
      </c>
      <c r="BH93" s="13" t="n">
        <f aca="false">(1-BH86)*(BH65+BH66+BH67+BH68+BH69+BH70+BH71)/MAX(Time!BH31,1)*Inputs!$F$172</f>
        <v>1.62913594358805</v>
      </c>
      <c r="BI93" s="13" t="n">
        <f aca="false">(1-BI86)*(BI65+BI66+BI67+BI68+BI69+BI70+BI71)/MAX(Time!BI31,1)*Inputs!$F$172</f>
        <v>1.6548044016326</v>
      </c>
      <c r="BJ93" s="13" t="n">
        <f aca="false">(1-BJ86)*(BJ65+BJ66+BJ67+BJ68+BJ69+BJ70+BJ71)/MAX(Time!BJ31,1)*Inputs!$F$172</f>
        <v>1.63462392598479</v>
      </c>
      <c r="BK93" s="13" t="n">
        <f aca="false">(1-BK86)*(BK65+BK66+BK67+BK68+BK69+BK70+BK71)/MAX(Time!BK31,1)*Inputs!$F$172</f>
        <v>1.68874378763419</v>
      </c>
      <c r="BL93" s="13" t="n">
        <f aca="false">(1-BL86)*(BL65+BL66+BL67+BL68+BL69+BL70+BL71)/MAX(Time!BL31,1)*Inputs!$F$172</f>
        <v>1.69636610480881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47.84544556697</v>
      </c>
      <c r="R95" s="13" t="n">
        <f aca="false">R88+R89-R90-R91-R92-R93-R94</f>
        <v>47.2317595972041</v>
      </c>
      <c r="S95" s="13" t="n">
        <f aca="false">S88+S89-S90-S91-S92-S93-S94</f>
        <v>15.0439157754706</v>
      </c>
      <c r="T95" s="13" t="n">
        <f aca="false">T88+T89-T90-T91-T92-T93-T94</f>
        <v>14.8521450104133</v>
      </c>
      <c r="U95" s="13" t="n">
        <f aca="false">U88+U89-U90-U91-U92-U93-U94</f>
        <v>15.063000135695</v>
      </c>
      <c r="V95" s="13" t="n">
        <f aca="false">V88+V89-V90-V91-V92-V93-V94</f>
        <v>14.9512320006401</v>
      </c>
      <c r="W95" s="13" t="n">
        <f aca="false">W88+W89-W90-W91-W92-W93-W94</f>
        <v>15.240302963174</v>
      </c>
      <c r="X95" s="13" t="n">
        <f aca="false">X88+X89-X90-X91-X92-X93-X94</f>
        <v>15.0457667684852</v>
      </c>
      <c r="Y95" s="13" t="n">
        <f aca="false">Y88+Y89-Y90-Y91-Y92-Y93-Y94</f>
        <v>15.3385911033824</v>
      </c>
      <c r="Z95" s="13" t="n">
        <f aca="false">Z88+Z89-Z90-Z91-Z92-Z93-Z94</f>
        <v>15.1465277589397</v>
      </c>
      <c r="AA95" s="13" t="n">
        <f aca="false">AA88+AA89-AA90-AA91-AA92-AA93-AA94</f>
        <v>15.4411597367593</v>
      </c>
      <c r="AB95" s="13" t="n">
        <f aca="false">AB88+AB89-AB90-AB91-AB92-AB93-AB94</f>
        <v>15.2470459936976</v>
      </c>
      <c r="AC95" s="13" t="n">
        <f aca="false">AC88+AC89-AC90-AC91-AC92-AC93-AC94</f>
        <v>15.4672173555775</v>
      </c>
      <c r="AD95" s="13" t="n">
        <f aca="false">AD88+AD89-AD90-AD91-AD92-AD93-AD94</f>
        <v>15.1329320373092</v>
      </c>
      <c r="AE95" s="13" t="n">
        <f aca="false">AE88+AE89-AE90-AE91-AE92-AE93-AE94</f>
        <v>15.6558956755814</v>
      </c>
      <c r="AF95" s="13" t="n">
        <f aca="false">AF88+AF89-AF90-AF91-AF92-AF93-AF94</f>
        <v>15.456292302313</v>
      </c>
      <c r="AG95" s="13" t="n">
        <f aca="false">AG88+AG89-AG90-AG91-AG92-AG93-AG94</f>
        <v>15.7595094495221</v>
      </c>
      <c r="AH95" s="13" t="n">
        <f aca="false">AH88+AH89-AH90-AH91-AH92-AH93-AH94</f>
        <v>15.5655304891269</v>
      </c>
      <c r="AI95" s="13" t="n">
        <f aca="false">AI88+AI89-AI90-AI91-AI92-AI93-AI94</f>
        <v>15.8704807564683</v>
      </c>
      <c r="AJ95" s="13" t="n">
        <f aca="false">AJ88+AJ89-AJ90-AJ91-AJ92-AJ93-AJ94</f>
        <v>15.6738280736724</v>
      </c>
      <c r="AK95" s="13" t="n">
        <f aca="false">AK88+AK89-AK90-AK91-AK92-AK93-AK94</f>
        <v>15.9022679933694</v>
      </c>
      <c r="AL95" s="13" t="n">
        <f aca="false">AL88+AL89-AL90-AL91-AL92-AL93-AL94</f>
        <v>15.792083524328</v>
      </c>
      <c r="AM95" s="13" t="n">
        <f aca="false">AM88+AM89-AM90-AM91-AM92-AM93-AM94</f>
        <v>16.1011258133333</v>
      </c>
      <c r="AN95" s="13" t="n">
        <f aca="false">AN88+AN89-AN90-AN91-AN92-AN93-AN94</f>
        <v>15.8999889849054</v>
      </c>
      <c r="AO95" s="13" t="n">
        <f aca="false">AO88+AO89-AO90-AO91-AO92-AO93-AO94</f>
        <v>16.2144514127115</v>
      </c>
      <c r="AP95" s="13" t="n">
        <f aca="false">AP88+AP89-AP90-AP91-AP92-AP93-AP94</f>
        <v>16.0184312718234</v>
      </c>
      <c r="AQ95" s="13" t="n">
        <f aca="false">AQ88+AQ89-AQ90-AQ91-AQ92-AQ93-AQ94</f>
        <v>16.3345289517331</v>
      </c>
      <c r="AR95" s="13" t="n">
        <f aca="false">AR88+AR89-AR90-AR91-AR92-AR93-AR94</f>
        <v>16.1351245683343</v>
      </c>
      <c r="AS95" s="13" t="n">
        <f aca="false">AS88+AS89-AS90-AS91-AS92-AS93-AS94</f>
        <v>16.3750509213827</v>
      </c>
      <c r="AT95" s="13" t="n">
        <f aca="false">AT88+AT89-AT90-AT91-AT92-AT93-AT94</f>
        <v>16.0283674771149</v>
      </c>
      <c r="AU95" s="13" t="n">
        <f aca="false">AU88+AU89-AU90-AU91-AU92-AU93-AU94</f>
        <v>16.5878829655057</v>
      </c>
      <c r="AV95" s="13" t="n">
        <f aca="false">AV88+AV89-AV90-AV91-AV92-AV93-AV94</f>
        <v>16.3795987925486</v>
      </c>
      <c r="AW95" s="13" t="n">
        <f aca="false">AW88+AW89-AW90-AW91-AW92-AW93-AW94</f>
        <v>16.7062304547442</v>
      </c>
      <c r="AX95" s="13" t="n">
        <f aca="false">AX88+AX89-AX90-AX91-AX92-AX93-AX94</f>
        <v>16.5080353522097</v>
      </c>
      <c r="AY95" s="13" t="n">
        <f aca="false">AY88+AY89-AY90-AY91-AY92-AY93-AY94</f>
        <v>16.8361777847716</v>
      </c>
      <c r="AZ95" s="13" t="n">
        <f aca="false">AZ88+AZ89-AZ90-AZ91-AZ92-AZ93-AZ94</f>
        <v>16.6337906681625</v>
      </c>
      <c r="BA95" s="13" t="n">
        <f aca="false">BA88+BA89-BA90-BA91-BA92-BA93-BA94</f>
        <v>16.882902280638</v>
      </c>
      <c r="BB95" s="13" t="n">
        <f aca="false">BB88+BB89-BB90-BB91-BB92-BB93-BB94</f>
        <v>16.7749237494498</v>
      </c>
      <c r="BC95" s="13" t="n">
        <f aca="false">BC88+BC89-BC90-BC91-BC92-BC93-BC94</f>
        <v>17.1071841194265</v>
      </c>
      <c r="BD95" s="13" t="n">
        <f aca="false">BD88+BD89-BD90-BD91-BD92-BD93-BD94</f>
        <v>16.8980948793149</v>
      </c>
      <c r="BE95" s="13" t="n">
        <f aca="false">BE88+BE89-BE90-BE91-BE92-BE93-BE94</f>
        <v>17.2378973265922</v>
      </c>
      <c r="BF95" s="13" t="n">
        <f aca="false">BF88+BF89-BF90-BF91-BF92-BF93-BF94</f>
        <v>17.0373847229606</v>
      </c>
      <c r="BG95" s="13" t="n">
        <f aca="false">BG88+BG89-BG90-BG91-BG92-BG93-BG94</f>
        <v>17.3785432003345</v>
      </c>
      <c r="BH95" s="13" t="n">
        <f aca="false">BH88+BH89-BH90-BH91-BH92-BH93-BH94</f>
        <v>17.1729224420184</v>
      </c>
      <c r="BI95" s="13" t="n">
        <f aca="false">BI88+BI89-BI90-BI91-BI92-BI93-BI94</f>
        <v>17.4361626872391</v>
      </c>
      <c r="BJ95" s="13" t="n">
        <f aca="false">BJ88+BJ89-BJ90-BJ91-BJ92-BJ93-BJ94</f>
        <v>17.0752151277137</v>
      </c>
      <c r="BK95" s="13" t="n">
        <f aca="false">BK88+BK89-BK90-BK91-BK92-BK93-BK94</f>
        <v>17.677575515035</v>
      </c>
      <c r="BL95" s="13" t="n">
        <f aca="false">BL88+BL89-BL90-BL91-BL92-BL93-BL94</f>
        <v>17.4587013905066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32.8683645114599</v>
      </c>
      <c r="R96" s="13" t="n">
        <f aca="false">R95-Q95</f>
        <v>-0.613685969765839</v>
      </c>
      <c r="S96" s="13" t="n">
        <f aca="false">S95-R95</f>
        <v>-32.1878438217336</v>
      </c>
      <c r="T96" s="13" t="n">
        <f aca="false">T95-S95</f>
        <v>-0.191770765057239</v>
      </c>
      <c r="U96" s="13" t="n">
        <f aca="false">U95-T95</f>
        <v>0.210855125281675</v>
      </c>
      <c r="V96" s="13" t="n">
        <f aca="false">V95-U95</f>
        <v>-0.111768135054866</v>
      </c>
      <c r="W96" s="13" t="n">
        <f aca="false">W95-V95</f>
        <v>0.289070962533877</v>
      </c>
      <c r="X96" s="13" t="n">
        <f aca="false">X95-W95</f>
        <v>-0.1945361946888</v>
      </c>
      <c r="Y96" s="13" t="n">
        <f aca="false">Y95-X95</f>
        <v>0.292824334897215</v>
      </c>
      <c r="Z96" s="13" t="n">
        <f aca="false">Z95-Y95</f>
        <v>-0.192063344442749</v>
      </c>
      <c r="AA96" s="13" t="n">
        <f aca="false">AA95-Z95</f>
        <v>0.294631977819577</v>
      </c>
      <c r="AB96" s="13" t="n">
        <f aca="false">AB95-AA95</f>
        <v>-0.194113743061655</v>
      </c>
      <c r="AC96" s="13" t="n">
        <f aca="false">AC95-AB95</f>
        <v>0.220171361879855</v>
      </c>
      <c r="AD96" s="13" t="n">
        <f aca="false">AD95-AC95</f>
        <v>-0.334285318268217</v>
      </c>
      <c r="AE96" s="13" t="n">
        <f aca="false">AE95-AD95</f>
        <v>0.522963638272129</v>
      </c>
      <c r="AF96" s="13" t="n">
        <f aca="false">AF95-AE95</f>
        <v>-0.199603373268401</v>
      </c>
      <c r="AG96" s="13" t="n">
        <f aca="false">AG95-AF95</f>
        <v>0.303217147209082</v>
      </c>
      <c r="AH96" s="13" t="n">
        <f aca="false">AH95-AG95</f>
        <v>-0.193978960395107</v>
      </c>
      <c r="AI96" s="13" t="n">
        <f aca="false">AI95-AH95</f>
        <v>0.304950267341317</v>
      </c>
      <c r="AJ96" s="13" t="n">
        <f aca="false">AJ95-AI95</f>
        <v>-0.196652682795817</v>
      </c>
      <c r="AK96" s="13" t="n">
        <f aca="false">AK95-AJ95</f>
        <v>0.22843991969696</v>
      </c>
      <c r="AL96" s="13" t="n">
        <f aca="false">AL95-AK95</f>
        <v>-0.110184469041439</v>
      </c>
      <c r="AM96" s="13" t="n">
        <f aca="false">AM95-AL95</f>
        <v>0.309042289005316</v>
      </c>
      <c r="AN96" s="13" t="n">
        <f aca="false">AN95-AM95</f>
        <v>-0.201136828427913</v>
      </c>
      <c r="AO96" s="13" t="n">
        <f aca="false">AO95-AN95</f>
        <v>0.314462427806166</v>
      </c>
      <c r="AP96" s="13" t="n">
        <f aca="false">AP95-AO95</f>
        <v>-0.196020140888127</v>
      </c>
      <c r="AQ96" s="13" t="n">
        <f aca="false">AQ95-AP95</f>
        <v>0.31609767990966</v>
      </c>
      <c r="AR96" s="13" t="n">
        <f aca="false">AR95-AQ95</f>
        <v>-0.199404383398797</v>
      </c>
      <c r="AS96" s="13" t="n">
        <f aca="false">AS95-AR95</f>
        <v>0.239926353048439</v>
      </c>
      <c r="AT96" s="13" t="n">
        <f aca="false">AT95-AS95</f>
        <v>-0.34668344426785</v>
      </c>
      <c r="AU96" s="13" t="n">
        <f aca="false">AU95-AT95</f>
        <v>0.559515488390812</v>
      </c>
      <c r="AV96" s="13" t="n">
        <f aca="false">AV95-AU95</f>
        <v>-0.208284172957033</v>
      </c>
      <c r="AW96" s="13" t="n">
        <f aca="false">AW95-AV95</f>
        <v>0.326631662195521</v>
      </c>
      <c r="AX96" s="13" t="n">
        <f aca="false">AX95-AW95</f>
        <v>-0.19819510253447</v>
      </c>
      <c r="AY96" s="13" t="n">
        <f aca="false">AY95-AX95</f>
        <v>0.328142432561879</v>
      </c>
      <c r="AZ96" s="13" t="n">
        <f aca="false">AZ95-AY95</f>
        <v>-0.202387116609106</v>
      </c>
      <c r="BA96" s="13" t="n">
        <f aca="false">BA95-AZ95</f>
        <v>0.24911161247552</v>
      </c>
      <c r="BB96" s="13" t="n">
        <f aca="false">BB95-BA95</f>
        <v>-0.107978531188163</v>
      </c>
      <c r="BC96" s="13" t="n">
        <f aca="false">BC95-BB95</f>
        <v>0.332260369976719</v>
      </c>
      <c r="BD96" s="13" t="n">
        <f aca="false">BD95-BC95</f>
        <v>-0.209089240111606</v>
      </c>
      <c r="BE96" s="13" t="n">
        <f aca="false">BE95-BD95</f>
        <v>0.339802447277304</v>
      </c>
      <c r="BF96" s="13" t="n">
        <f aca="false">BF95-BE95</f>
        <v>-0.200512603631651</v>
      </c>
      <c r="BG96" s="13" t="n">
        <f aca="false">BG95-BF95</f>
        <v>0.34115847737392</v>
      </c>
      <c r="BH96" s="13" t="n">
        <f aca="false">BH95-BG95</f>
        <v>-0.20562075831614</v>
      </c>
      <c r="BI96" s="13" t="n">
        <f aca="false">BI95-BH95</f>
        <v>0.263240245220739</v>
      </c>
      <c r="BJ96" s="13" t="n">
        <f aca="false">BJ95-BI95</f>
        <v>-0.360947559525449</v>
      </c>
      <c r="BK96" s="13" t="n">
        <f aca="false">BK95-BJ95</f>
        <v>0.602360387321326</v>
      </c>
      <c r="BL96" s="13" t="n">
        <f aca="false">BL95-BK95</f>
        <v>-0.218874124528398</v>
      </c>
      <c r="BM96" s="13" t="n">
        <f aca="false">BM95-BL95</f>
        <v>-17.4587013905066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219.519331766573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10.147460018322</v>
      </c>
      <c r="S13" s="13" t="n">
        <f aca="false">IF(Time!S20&gt;=Time!$F$12,Waterfall!S33*Inputs!$F$104/100*Time!S31/Inputs!$F$248,0)</f>
        <v>10.4600549719061</v>
      </c>
      <c r="T13" s="13" t="n">
        <f aca="false">IF(Time!T20&gt;=Time!$F$12,Waterfall!T33*Inputs!$F$104/100*Time!T31/Inputs!$F$248,0)</f>
        <v>9.3881041735383</v>
      </c>
      <c r="U13" s="13" t="n">
        <f aca="false">IF(Time!U20&gt;=Time!$F$12,Waterfall!U33*Inputs!$F$104/100*Time!U31/Inputs!$F$248,0)</f>
        <v>9.13698174731279</v>
      </c>
      <c r="V13" s="13" t="n">
        <f aca="false">IF(Time!V20&gt;=Time!$F$12,Waterfall!V33*Inputs!$F$104/100*Time!V31/Inputs!$F$248,0)</f>
        <v>9.12046071164182</v>
      </c>
      <c r="W13" s="13" t="n">
        <f aca="false">IF(Time!W20&gt;=Time!$F$12,Waterfall!W33*Inputs!$F$104/100*Time!W31/Inputs!$F$248,0)</f>
        <v>8.79802013000781</v>
      </c>
      <c r="X13" s="13" t="n">
        <f aca="false">IF(Time!X20&gt;=Time!$F$12,Waterfall!X33*Inputs!$F$104/100*Time!X31/Inputs!$F$248,0)</f>
        <v>8.71644122842562</v>
      </c>
      <c r="Y13" s="13" t="n">
        <f aca="false">IF(Time!Y20&gt;=Time!$F$12,Waterfall!Y33*Inputs!$F$104/100*Time!Y31/Inputs!$F$248,0)</f>
        <v>8.40128915808161</v>
      </c>
      <c r="Z13" s="13" t="n">
        <f aca="false">IF(Time!Z20&gt;=Time!$F$12,Waterfall!Z33*Inputs!$F$104/100*Time!Z31/Inputs!$F$248,0)</f>
        <v>8.38684127133725</v>
      </c>
      <c r="AA13" s="13" t="n">
        <f aca="false">IF(Time!AA20&gt;=Time!$F$12,Waterfall!AA33*Inputs!$F$104/100*Time!AA31/Inputs!$F$248,0)</f>
        <v>8.0655058699508</v>
      </c>
      <c r="AB13" s="13" t="n">
        <f aca="false">IF(Time!AB20&gt;=Time!$F$12,Waterfall!AB33*Inputs!$F$104/100*Time!AB31/Inputs!$F$248,0)</f>
        <v>8.3106645571564</v>
      </c>
      <c r="AC13" s="13" t="n">
        <f aca="false">IF(Time!AC20&gt;=Time!$F$12,Waterfall!AC33*Inputs!$F$104/100*Time!AC31/Inputs!$F$248,0)</f>
        <v>8.29869917509769</v>
      </c>
      <c r="AD13" s="13" t="n">
        <f aca="false">IF(Time!AD20&gt;=Time!$F$12,Waterfall!AD33*Inputs!$F$104/100*Time!AD31/Inputs!$F$248,0)</f>
        <v>8.48629320991921</v>
      </c>
      <c r="AE13" s="13" t="n">
        <f aca="false">IF(Time!AE20&gt;=Time!$F$12,Waterfall!AE33*Inputs!$F$104/100*Time!AE31/Inputs!$F$248,0)</f>
        <v>8.38972647917418</v>
      </c>
      <c r="AF13" s="13" t="n">
        <f aca="false">IF(Time!AF20&gt;=Time!$F$12,Waterfall!AF33*Inputs!$F$104/100*Time!AF31/Inputs!$F$248,0)</f>
        <v>8.53992028812461</v>
      </c>
      <c r="AG13" s="13" t="n">
        <f aca="false">IF(Time!AG20&gt;=Time!$F$12,Waterfall!AG33*Inputs!$F$104/100*Time!AG31/Inputs!$F$248,0)</f>
        <v>8.38048423748678</v>
      </c>
      <c r="AH13" s="13" t="n">
        <f aca="false">IF(Time!AH20&gt;=Time!$F$12,Waterfall!AH33*Inputs!$F$104/100*Time!AH31/Inputs!$F$248,0)</f>
        <v>8.47330830648692</v>
      </c>
      <c r="AI13" s="13" t="n">
        <f aca="false">IF(Time!AI20&gt;=Time!$F$12,Waterfall!AI33*Inputs!$F$104/100*Time!AI31/Inputs!$F$248,0)</f>
        <v>8.23252486956216</v>
      </c>
      <c r="AJ13" s="13" t="n">
        <f aca="false">IF(Time!AJ20&gt;=Time!$F$12,Waterfall!AJ33*Inputs!$F$104/100*Time!AJ31/Inputs!$F$248,0)</f>
        <v>8.21424956022661</v>
      </c>
      <c r="AK13" s="13" t="n">
        <f aca="false">IF(Time!AK20&gt;=Time!$F$12,Waterfall!AK33*Inputs!$F$104/100*Time!AK31/Inputs!$F$248,0)</f>
        <v>7.88607015598126</v>
      </c>
      <c r="AL13" s="13" t="n">
        <f aca="false">IF(Time!AL20&gt;=Time!$F$12,Waterfall!AL33*Inputs!$F$104/100*Time!AL31/Inputs!$F$248,0)</f>
        <v>7.30370797350295</v>
      </c>
      <c r="AM13" s="13" t="n">
        <f aca="false">IF(Time!AM20&gt;=Time!$F$12,Waterfall!AM33*Inputs!$F$104/100*Time!AM31/Inputs!$F$248,0)</f>
        <v>5.96754592878498</v>
      </c>
      <c r="AN13" s="13" t="n">
        <f aca="false">IF(Time!AN20&gt;=Time!$F$12,Waterfall!AN33*Inputs!$F$104/100*Time!AN31/Inputs!$F$248,0)</f>
        <v>4.76846777128982</v>
      </c>
      <c r="AO13" s="13" t="n">
        <f aca="false">IF(Time!AO20&gt;=Time!$F$12,Waterfall!AO33*Inputs!$F$104/100*Time!AO31/Inputs!$F$248,0)</f>
        <v>3.40769809236957</v>
      </c>
      <c r="AP13" s="13" t="n">
        <f aca="false">IF(Time!AP20&gt;=Time!$F$12,Waterfall!AP33*Inputs!$F$104/100*Time!AP31/Inputs!$F$248,0)</f>
        <v>1.53078069092369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0.989560239749498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215.465578712522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10.0415229685792</v>
      </c>
      <c r="S15" s="13" t="n">
        <f aca="false">S13*S14</f>
        <v>10.4600549719061</v>
      </c>
      <c r="T15" s="13" t="n">
        <f aca="false">T13*T14</f>
        <v>9.3881041735383</v>
      </c>
      <c r="U15" s="13" t="n">
        <f aca="false">U13*U14</f>
        <v>9.13698174731279</v>
      </c>
      <c r="V15" s="13" t="n">
        <f aca="false">V13*V14</f>
        <v>9.12046071164182</v>
      </c>
      <c r="W15" s="13" t="n">
        <f aca="false">W13*W14</f>
        <v>8.79802013000781</v>
      </c>
      <c r="X15" s="13" t="n">
        <f aca="false">X13*X14</f>
        <v>8.71644122842562</v>
      </c>
      <c r="Y15" s="13" t="n">
        <f aca="false">Y13*Y14</f>
        <v>8.40128915808161</v>
      </c>
      <c r="Z15" s="13" t="n">
        <f aca="false">Z13*Z14</f>
        <v>8.38684127133725</v>
      </c>
      <c r="AA15" s="13" t="n">
        <f aca="false">AA13*AA14</f>
        <v>8.0655058699508</v>
      </c>
      <c r="AB15" s="13" t="n">
        <f aca="false">AB13*AB14</f>
        <v>8.3106645571564</v>
      </c>
      <c r="AC15" s="13" t="n">
        <f aca="false">AC13*AC14</f>
        <v>8.29869917509769</v>
      </c>
      <c r="AD15" s="13" t="n">
        <f aca="false">AD13*AD14</f>
        <v>8.48629320991921</v>
      </c>
      <c r="AE15" s="13" t="n">
        <f aca="false">AE13*AE14</f>
        <v>8.38972647917418</v>
      </c>
      <c r="AF15" s="13" t="n">
        <f aca="false">AF13*AF14</f>
        <v>8.53992028812461</v>
      </c>
      <c r="AG15" s="13" t="n">
        <f aca="false">AG13*AG14</f>
        <v>8.38048423748678</v>
      </c>
      <c r="AH15" s="13" t="n">
        <f aca="false">AH13*AH14</f>
        <v>8.47330830648692</v>
      </c>
      <c r="AI15" s="13" t="n">
        <f aca="false">AI13*AI14</f>
        <v>8.23252486956216</v>
      </c>
      <c r="AJ15" s="13" t="n">
        <f aca="false">AJ13*AJ14</f>
        <v>8.21424956022661</v>
      </c>
      <c r="AK15" s="13" t="n">
        <f aca="false">AK13*AK14</f>
        <v>7.88607015598126</v>
      </c>
      <c r="AL15" s="13" t="n">
        <f aca="false">AL13*AL14</f>
        <v>7.30370797350295</v>
      </c>
      <c r="AM15" s="13" t="n">
        <f aca="false">AM13*AM14</f>
        <v>5.96754592878498</v>
      </c>
      <c r="AN15" s="13" t="n">
        <f aca="false">AN13*AN14</f>
        <v>4.76846777128982</v>
      </c>
      <c r="AO15" s="13" t="n">
        <f aca="false">AO13*AO14</f>
        <v>3.40769809236957</v>
      </c>
      <c r="AP15" s="13" t="n">
        <f aca="false">AP13*AP14</f>
        <v>1.53078069092369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318.153317626055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14.4477311313719</v>
      </c>
      <c r="AC16" s="13" t="n">
        <f aca="false">Debt!AC112+Debt!AC110+Debt!AC104-Debt!AC103</f>
        <v>13.2601468586224</v>
      </c>
      <c r="AD16" s="13" t="n">
        <f aca="false">Debt!AD112+Debt!AD110+Debt!AD104-Debt!AD103</f>
        <v>12.2715491023414</v>
      </c>
      <c r="AE16" s="13" t="n">
        <f aca="false">Debt!AE112+Debt!AE110+Debt!AE104-Debt!AE103</f>
        <v>10.9432142975748</v>
      </c>
      <c r="AF16" s="13" t="n">
        <f aca="false">Debt!AF112+Debt!AF110+Debt!AF104-Debt!AF103</f>
        <v>9.80583672764661</v>
      </c>
      <c r="AG16" s="13" t="n">
        <f aca="false">Debt!AG112+Debt!AG110+Debt!AG104-Debt!AG103</f>
        <v>8.65101187612382</v>
      </c>
      <c r="AH16" s="13" t="n">
        <f aca="false">Debt!AH112+Debt!AH110+Debt!AH104-Debt!AH103</f>
        <v>7.40413322241553</v>
      </c>
      <c r="AI16" s="13" t="n">
        <f aca="false">Debt!AI112+Debt!AI110+Debt!AI104-Debt!AI103</f>
        <v>5.95227346631007</v>
      </c>
      <c r="AJ16" s="13" t="n">
        <f aca="false">Debt!AJ112+Debt!AJ110+Debt!AJ104-Debt!AJ103</f>
        <v>4.61255260582085</v>
      </c>
      <c r="AK16" s="13" t="n">
        <f aca="false">Debt!AK112+Debt!AK110+Debt!AK104-Debt!AK103</f>
        <v>3.16477927447954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1194.95510907847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1.90336820704726</v>
      </c>
      <c r="Z18" s="13" t="n">
        <f aca="false">(Operations!Z84-Z16-Z15)*Z17-Z12</f>
        <v>6.36180392735126</v>
      </c>
      <c r="AA18" s="13" t="n">
        <f aca="false">(Operations!AA84-AA16-AA15)*AA17-AA12</f>
        <v>7.65593478225287</v>
      </c>
      <c r="AB18" s="13" t="n">
        <f aca="false">(Operations!AB84-AB16-AB15)*AB17-AB12</f>
        <v>8.32894915576706</v>
      </c>
      <c r="AC18" s="13" t="n">
        <f aca="false">(Operations!AC84-AC16-AC15)*AC17-AC12</f>
        <v>9.74681880398939</v>
      </c>
      <c r="AD18" s="13" t="n">
        <f aca="false">(Operations!AD84-AD16-AD15)*AD17-AD12</f>
        <v>-1.88793853109038</v>
      </c>
      <c r="AE18" s="13" t="n">
        <f aca="false">(Operations!AE84-AE16-AE15)*AE17-AE12</f>
        <v>12.3081088310028</v>
      </c>
      <c r="AF18" s="13" t="n">
        <f aca="false">(Operations!AF84-AF16-AF15)*AF17-AF12</f>
        <v>13.1827797684544</v>
      </c>
      <c r="AG18" s="13" t="n">
        <f aca="false">(Operations!AG84-AG16-AG15)*AG17-AG12</f>
        <v>14.6304980865974</v>
      </c>
      <c r="AH18" s="13" t="n">
        <f aca="false">(Operations!AH84-AH16-AH15)*AH17-AH12</f>
        <v>15.9400125473195</v>
      </c>
      <c r="AI18" s="13" t="n">
        <f aca="false">(Operations!AI84-AI16-AI15)*AI17-AI12</f>
        <v>17.7278603725383</v>
      </c>
      <c r="AJ18" s="13" t="n">
        <f aca="false">(Operations!AJ84-AJ16-AJ15)*AJ17-AJ12</f>
        <v>19.1607064464296</v>
      </c>
      <c r="AK18" s="13" t="n">
        <f aca="false">(Operations!AK84-AK16-AK15)*AK17-AK12</f>
        <v>21.1300341967234</v>
      </c>
      <c r="AL18" s="13" t="n">
        <f aca="false">(Operations!AL84-AL16-AL15)*AL17-AL12</f>
        <v>20.0592977674777</v>
      </c>
      <c r="AM18" s="13" t="n">
        <f aca="false">(Operations!AM84-AM16-AM15)*AM17-AM12</f>
        <v>24.9779138878617</v>
      </c>
      <c r="AN18" s="13" t="n">
        <f aca="false">(Operations!AN84-AN16-AN15)*AN17-AN12</f>
        <v>26.7097709413899</v>
      </c>
      <c r="AO18" s="13" t="n">
        <f aca="false">(Operations!AO84-AO16-AO15)*AO17-AO12</f>
        <v>28.7153059036162</v>
      </c>
      <c r="AP18" s="13" t="n">
        <f aca="false">(Operations!AP84-AP16-AP15)*AP17-AP12</f>
        <v>31.2485464103979</v>
      </c>
      <c r="AQ18" s="13" t="n">
        <f aca="false">(Operations!AQ84-AQ16-AQ15)*AQ17-AQ12</f>
        <v>32.8810557031315</v>
      </c>
      <c r="AR18" s="13" t="n">
        <f aca="false">(Operations!AR84-AR16-AR15)*AR17-AR12</f>
        <v>32.9617308310878</v>
      </c>
      <c r="AS18" s="13" t="n">
        <f aca="false">(Operations!AS84-AS16-AS15)*AS17-AS12</f>
        <v>33.2223094690804</v>
      </c>
      <c r="AT18" s="13" t="n">
        <f aca="false">(Operations!AT84-AT16-AT15)*AT17-AT12</f>
        <v>18.5408339557032</v>
      </c>
      <c r="AU18" s="13" t="n">
        <f aca="false">(Operations!AU84-AU16-AU15)*AU17-AU12</f>
        <v>33.6218426987242</v>
      </c>
      <c r="AV18" s="13" t="n">
        <f aca="false">(Operations!AV84-AV16-AV15)*AV17-AV12</f>
        <v>33.4785273407576</v>
      </c>
      <c r="AW18" s="13" t="n">
        <f aca="false">(Operations!AW84-AW16-AW15)*AW17-AW12</f>
        <v>33.6343986533644</v>
      </c>
      <c r="AX18" s="13" t="n">
        <f aca="false">(Operations!AX84-AX16-AX15)*AX17-AX12</f>
        <v>33.8205419222676</v>
      </c>
      <c r="AY18" s="13" t="n">
        <f aca="false">(Operations!AY84-AY16-AY15)*AY17-AY12</f>
        <v>33.9292451697339</v>
      </c>
      <c r="AZ18" s="13" t="n">
        <f aca="false">(Operations!AZ84-AZ16-AZ15)*AZ17-AZ12</f>
        <v>34.0161985651703</v>
      </c>
      <c r="BA18" s="13" t="n">
        <f aca="false">(Operations!BA84-BA16-BA15)*BA17-BA12</f>
        <v>34.2454068397603</v>
      </c>
      <c r="BB18" s="13" t="n">
        <f aca="false">(Operations!BB84-BB16-BB15)*BB17-BB12</f>
        <v>31.0391195284704</v>
      </c>
      <c r="BC18" s="13" t="n">
        <f aca="false">(Operations!BC84-BC16-BC15)*BC17-BC12</f>
        <v>41.0359231206304</v>
      </c>
      <c r="BD18" s="13" t="n">
        <f aca="false">(Operations!BD84-BD16-BD15)*BD17-BD12</f>
        <v>53.814009124871</v>
      </c>
      <c r="BE18" s="13" t="n">
        <f aca="false">(Operations!BE84-BE16-BE15)*BE17-BE12</f>
        <v>53.9824972649029</v>
      </c>
      <c r="BF18" s="13" t="n">
        <f aca="false">(Operations!BF84-BF16-BF15)*BF17-BF12</f>
        <v>54.1861521629337</v>
      </c>
      <c r="BG18" s="13" t="n">
        <f aca="false">(Operations!BG84-BG16-BG15)*BG17-BG12</f>
        <v>54.302312463769</v>
      </c>
      <c r="BH18" s="13" t="n">
        <f aca="false">(Operations!BH84-BH16-BH15)*BH17-BH12</f>
        <v>54.3960322886665</v>
      </c>
      <c r="BI18" s="13" t="n">
        <f aca="false">(Operations!BI84-BI16-BI15)*BI17-BI12</f>
        <v>54.7070506339784</v>
      </c>
      <c r="BJ18" s="13" t="n">
        <f aca="false">(Operations!BJ84-BJ16-BJ15)*BJ17-BJ12</f>
        <v>37.3539938526268</v>
      </c>
      <c r="BK18" s="13" t="n">
        <f aca="false">(Operations!BK84-BK16-BK15)*BK17-BK12</f>
        <v>55.1829898758926</v>
      </c>
      <c r="BL18" s="13" t="n">
        <f aca="false">(Operations!BL84-BL16-BL15)*BL17-BL12</f>
        <v>55.0016052968699</v>
      </c>
      <c r="BM18" s="13" t="n">
        <f aca="false">(Operations!BM84-BM16-BM15)*BM17-BM12</f>
        <v>17.7015608109493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1.88793853109038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1.88793853109038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1.90336820704726</v>
      </c>
      <c r="Z20" s="13" t="n">
        <f aca="false">MIN(Y21,MAX(0,Z18-Z19))</f>
        <v>6.36180392735126</v>
      </c>
      <c r="AA20" s="13" t="n">
        <f aca="false">MIN(Z21,MAX(0,AA18-AA19))</f>
        <v>7.65593478225287</v>
      </c>
      <c r="AB20" s="13" t="n">
        <f aca="false">MIN(AA21,MAX(0,AB18-AB19))</f>
        <v>8.32894915576706</v>
      </c>
      <c r="AC20" s="13" t="n">
        <f aca="false">MIN(AB21,MAX(0,AC18-AC19))</f>
        <v>9.74681880398939</v>
      </c>
      <c r="AD20" s="13" t="n">
        <f aca="false">MIN(AC21,MAX(0,AD18-AD19))</f>
        <v>0</v>
      </c>
      <c r="AE20" s="13" t="n">
        <f aca="false">MIN(AD21,MAX(0,AE18-AE19))</f>
        <v>10.4201702999125</v>
      </c>
      <c r="AF20" s="13" t="n">
        <f aca="false">MIN(AE21,MAX(0,AF18-AF19))</f>
        <v>13.1827797684544</v>
      </c>
      <c r="AG20" s="13" t="n">
        <f aca="false">MIN(AF21,MAX(0,AG18-AG19))</f>
        <v>14.6304980865974</v>
      </c>
      <c r="AH20" s="13" t="n">
        <f aca="false">MIN(AG21,MAX(0,AH18-AH19))</f>
        <v>15.9400125473195</v>
      </c>
      <c r="AI20" s="13" t="n">
        <f aca="false">MIN(AH21,MAX(0,AI18-AI19))</f>
        <v>17.7278603725383</v>
      </c>
      <c r="AJ20" s="13" t="n">
        <f aca="false">MIN(AI21,MAX(0,AJ18-AJ19))</f>
        <v>19.1607064464296</v>
      </c>
      <c r="AK20" s="13" t="n">
        <f aca="false">MIN(AJ21,MAX(0,AK18-AK19))</f>
        <v>21.1300341967234</v>
      </c>
      <c r="AL20" s="13" t="n">
        <f aca="false">MIN(AK21,MAX(0,AL18-AL19))</f>
        <v>20.0592977674777</v>
      </c>
      <c r="AM20" s="13" t="n">
        <f aca="false">MIN(AL21,MAX(0,AM18-AM19))</f>
        <v>24.9779138878617</v>
      </c>
      <c r="AN20" s="13" t="n">
        <f aca="false">MIN(AM21,MAX(0,AN18-AN19))</f>
        <v>26.7097709413899</v>
      </c>
      <c r="AO20" s="13" t="n">
        <f aca="false">MIN(AN21,MAX(0,AO18-AO19))</f>
        <v>7.90627307867588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223.938824062741</v>
      </c>
      <c r="Z21" s="13" t="n">
        <f aca="false">Y21+Z11-Z20</f>
        <v>217.57702013539</v>
      </c>
      <c r="AA21" s="13" t="n">
        <f aca="false">Z21+AA11-AA20</f>
        <v>209.921085353137</v>
      </c>
      <c r="AB21" s="13" t="n">
        <f aca="false">AA21+AB11-AB20</f>
        <v>201.59213619737</v>
      </c>
      <c r="AC21" s="13" t="n">
        <f aca="false">AB21+AC11-AC20</f>
        <v>191.84531739338</v>
      </c>
      <c r="AD21" s="13" t="n">
        <f aca="false">AC21+AD11-AD20</f>
        <v>191.84531739338</v>
      </c>
      <c r="AE21" s="13" t="n">
        <f aca="false">AD21+AE11-AE20</f>
        <v>181.425147093468</v>
      </c>
      <c r="AF21" s="13" t="n">
        <f aca="false">AE21+AF11-AF20</f>
        <v>168.242367325013</v>
      </c>
      <c r="AG21" s="13" t="n">
        <f aca="false">AF21+AG11-AG20</f>
        <v>153.611869238416</v>
      </c>
      <c r="AH21" s="13" t="n">
        <f aca="false">AG21+AH11-AH20</f>
        <v>137.671856691096</v>
      </c>
      <c r="AI21" s="13" t="n">
        <f aca="false">AH21+AI11-AI20</f>
        <v>119.943996318558</v>
      </c>
      <c r="AJ21" s="13" t="n">
        <f aca="false">AI21+AJ11-AJ20</f>
        <v>100.783289872129</v>
      </c>
      <c r="AK21" s="13" t="n">
        <f aca="false">AJ21+AK11-AK20</f>
        <v>79.6532556754052</v>
      </c>
      <c r="AL21" s="13" t="n">
        <f aca="false">AK21+AL11-AL20</f>
        <v>59.5939579079275</v>
      </c>
      <c r="AM21" s="13" t="n">
        <f aca="false">AL21+AM11-AM20</f>
        <v>34.6160440200658</v>
      </c>
      <c r="AN21" s="13" t="n">
        <f aca="false">AM21+AN11-AN20</f>
        <v>7.90627307867588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1.88793853109038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969.11291680868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20.8090328249403</v>
      </c>
      <c r="AP23" s="13" t="n">
        <f aca="false">MAX(0,AP18-AP19-AP20)</f>
        <v>31.2485464103979</v>
      </c>
      <c r="AQ23" s="13" t="n">
        <f aca="false">MAX(0,AQ18-AQ19-AQ20)</f>
        <v>32.8810557031315</v>
      </c>
      <c r="AR23" s="13" t="n">
        <f aca="false">MAX(0,AR18-AR19-AR20)</f>
        <v>32.9617308310878</v>
      </c>
      <c r="AS23" s="13" t="n">
        <f aca="false">MAX(0,AS18-AS19-AS20)</f>
        <v>33.2223094690804</v>
      </c>
      <c r="AT23" s="13" t="n">
        <f aca="false">MAX(0,AT18-AT19-AT20)</f>
        <v>18.5408339557032</v>
      </c>
      <c r="AU23" s="13" t="n">
        <f aca="false">MAX(0,AU18-AU19-AU20)</f>
        <v>33.6218426987242</v>
      </c>
      <c r="AV23" s="13" t="n">
        <f aca="false">MAX(0,AV18-AV19-AV20)</f>
        <v>33.4785273407576</v>
      </c>
      <c r="AW23" s="13" t="n">
        <f aca="false">MAX(0,AW18-AW19-AW20)</f>
        <v>33.6343986533644</v>
      </c>
      <c r="AX23" s="13" t="n">
        <f aca="false">MAX(0,AX18-AX19-AX20)</f>
        <v>33.8205419222676</v>
      </c>
      <c r="AY23" s="13" t="n">
        <f aca="false">MAX(0,AY18-AY19-AY20)</f>
        <v>33.9292451697339</v>
      </c>
      <c r="AZ23" s="13" t="n">
        <f aca="false">MAX(0,AZ18-AZ19-AZ20)</f>
        <v>34.0161985651703</v>
      </c>
      <c r="BA23" s="13" t="n">
        <f aca="false">MAX(0,BA18-BA19-BA20)</f>
        <v>34.2454068397603</v>
      </c>
      <c r="BB23" s="13" t="n">
        <f aca="false">MAX(0,BB18-BB19-BB20)</f>
        <v>31.0391195284704</v>
      </c>
      <c r="BC23" s="13" t="n">
        <f aca="false">MAX(0,BC18-BC19-BC20)</f>
        <v>41.0359231206304</v>
      </c>
      <c r="BD23" s="13" t="n">
        <f aca="false">MAX(0,BD18-BD19-BD20)</f>
        <v>53.814009124871</v>
      </c>
      <c r="BE23" s="13" t="n">
        <f aca="false">MAX(0,BE18-BE19-BE20)</f>
        <v>53.9824972649029</v>
      </c>
      <c r="BF23" s="13" t="n">
        <f aca="false">MAX(0,BF18-BF19-BF20)</f>
        <v>54.1861521629337</v>
      </c>
      <c r="BG23" s="13" t="n">
        <f aca="false">MAX(0,BG18-BG19-BG20)</f>
        <v>54.302312463769</v>
      </c>
      <c r="BH23" s="13" t="n">
        <f aca="false">MAX(0,BH18-BH19-BH20)</f>
        <v>54.3960322886665</v>
      </c>
      <c r="BI23" s="13" t="n">
        <f aca="false">MAX(0,BI18-BI19-BI20)</f>
        <v>54.7070506339784</v>
      </c>
      <c r="BJ23" s="13" t="n">
        <f aca="false">MAX(0,BJ18-BJ19-BJ20)</f>
        <v>37.3539938526268</v>
      </c>
      <c r="BK23" s="13" t="n">
        <f aca="false">MAX(0,BK18-BK19-BK20)</f>
        <v>55.1829898758926</v>
      </c>
      <c r="BL23" s="13" t="n">
        <f aca="false">MAX(0,BL18-BL19-BL20)</f>
        <v>55.0016052968699</v>
      </c>
      <c r="BM23" s="13" t="n">
        <f aca="false">MAX(0,BM18-BM19-BM20)</f>
        <v>17.7015608109493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290.733875042604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6.24270984748208</v>
      </c>
      <c r="AP25" s="13" t="n">
        <f aca="false">AP23*AP24</f>
        <v>9.37456392311937</v>
      </c>
      <c r="AQ25" s="13" t="n">
        <f aca="false">AQ23*AQ24</f>
        <v>9.86431671093944</v>
      </c>
      <c r="AR25" s="13" t="n">
        <f aca="false">AR23*AR24</f>
        <v>9.88851924932633</v>
      </c>
      <c r="AS25" s="13" t="n">
        <f aca="false">AS23*AS24</f>
        <v>9.96669284072411</v>
      </c>
      <c r="AT25" s="13" t="n">
        <f aca="false">AT23*AT24</f>
        <v>5.56225018671095</v>
      </c>
      <c r="AU25" s="13" t="n">
        <f aca="false">AU23*AU24</f>
        <v>10.0865528096172</v>
      </c>
      <c r="AV25" s="13" t="n">
        <f aca="false">AV23*AV24</f>
        <v>10.0435582022273</v>
      </c>
      <c r="AW25" s="13" t="n">
        <f aca="false">AW23*AW24</f>
        <v>10.0903195960093</v>
      </c>
      <c r="AX25" s="13" t="n">
        <f aca="false">AX23*AX24</f>
        <v>10.1461625766803</v>
      </c>
      <c r="AY25" s="13" t="n">
        <f aca="false">AY23*AY24</f>
        <v>10.1787735509202</v>
      </c>
      <c r="AZ25" s="13" t="n">
        <f aca="false">AZ23*AZ24</f>
        <v>10.2048595695511</v>
      </c>
      <c r="BA25" s="13" t="n">
        <f aca="false">BA23*BA24</f>
        <v>10.2736220519281</v>
      </c>
      <c r="BB25" s="13" t="n">
        <f aca="false">BB23*BB24</f>
        <v>9.31173585854112</v>
      </c>
      <c r="BC25" s="13" t="n">
        <f aca="false">BC23*BC24</f>
        <v>12.3107769361891</v>
      </c>
      <c r="BD25" s="13" t="n">
        <f aca="false">BD23*BD24</f>
        <v>16.1442027374613</v>
      </c>
      <c r="BE25" s="13" t="n">
        <f aca="false">BE23*BE24</f>
        <v>16.1947491794709</v>
      </c>
      <c r="BF25" s="13" t="n">
        <f aca="false">BF23*BF24</f>
        <v>16.2558456488801</v>
      </c>
      <c r="BG25" s="13" t="n">
        <f aca="false">BG23*BG24</f>
        <v>16.2906937391307</v>
      </c>
      <c r="BH25" s="13" t="n">
        <f aca="false">BH23*BH24</f>
        <v>16.3188096866</v>
      </c>
      <c r="BI25" s="13" t="n">
        <f aca="false">BI23*BI24</f>
        <v>16.4121151901935</v>
      </c>
      <c r="BJ25" s="13" t="n">
        <f aca="false">BJ23*BJ24</f>
        <v>11.206198155788</v>
      </c>
      <c r="BK25" s="13" t="n">
        <f aca="false">BK23*BK24</f>
        <v>16.5548969627678</v>
      </c>
      <c r="BL25" s="13" t="n">
        <f aca="false">BL23*BL24</f>
        <v>16.500481589061</v>
      </c>
      <c r="BM25" s="13" t="n">
        <f aca="false">BM23*BM24</f>
        <v>5.3104682432848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15.0475051250603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0.114070005776519</v>
      </c>
      <c r="Z26" s="13" t="n">
        <f aca="false">IF(Time!Z30&gt;0,Inputs!$F$176/100*Operations!Z55*(Z8+Z9)/Time!Z30,0)</f>
        <v>0.34346844416963</v>
      </c>
      <c r="AA26" s="13" t="n">
        <f aca="false">IF(Time!AA30&gt;0,Inputs!$F$176/100*Operations!AA55*(AA8+AA9)/Time!AA30,0)</f>
        <v>0.34509986539964</v>
      </c>
      <c r="AB26" s="13" t="n">
        <f aca="false">IF(Time!AB30&gt;0,Inputs!$F$176/100*Operations!AB55*(AB8+AB9)/Time!AB30,0)</f>
        <v>0.346871781290273</v>
      </c>
      <c r="AC26" s="13" t="n">
        <f aca="false">IF(Time!AC30&gt;0,Inputs!$F$176/100*Operations!AC55*(AC8+AC9)/Time!AC30,0)</f>
        <v>0.347721597415385</v>
      </c>
      <c r="AD26" s="13" t="n">
        <f aca="false">IF(Time!AD30&gt;0,Inputs!$F$176/100*Operations!AD55*(AD8+AD9)/Time!AD30,0)</f>
        <v>0.34337551997969</v>
      </c>
      <c r="AE26" s="13" t="n">
        <f aca="false">IF(Time!AE30&gt;0,Inputs!$F$176/100*Operations!AE55*(AE8+AE9)/Time!AE30,0)</f>
        <v>0.350140049400092</v>
      </c>
      <c r="AF26" s="13" t="n">
        <f aca="false">IF(Time!AF30&gt;0,Inputs!$F$176/100*Operations!AF55*(AF8+AF9)/Time!AF30,0)</f>
        <v>0.353160774233533</v>
      </c>
      <c r="AG26" s="13" t="n">
        <f aca="false">IF(Time!AG30&gt;0,Inputs!$F$176/100*Operations!AG55*(AG8+AG9)/Time!AG30,0)</f>
        <v>0.354647293430266</v>
      </c>
      <c r="AH26" s="13" t="n">
        <f aca="false">IF(Time!AH30&gt;0,Inputs!$F$176/100*Operations!AH55*(AH8+AH9)/Time!AH30,0)</f>
        <v>0.356019088692758</v>
      </c>
      <c r="AI26" s="13" t="n">
        <f aca="false">IF(Time!AI30&gt;0,Inputs!$F$176/100*Operations!AI55*(AI8+AI9)/Time!AI30,0)</f>
        <v>0.35779541709353</v>
      </c>
      <c r="AJ26" s="13" t="n">
        <f aca="false">IF(Time!AJ30&gt;0,Inputs!$F$176/100*Operations!AJ55*(AJ8+AJ9)/Time!AJ30,0)</f>
        <v>0.359724165922109</v>
      </c>
      <c r="AK26" s="13" t="n">
        <f aca="false">IF(Time!AK30&gt;0,Inputs!$F$176/100*Operations!AK55*(AK8+AK9)/Time!AK30,0)</f>
        <v>0.360934831907176</v>
      </c>
      <c r="AL26" s="13" t="n">
        <f aca="false">IF(Time!AL30&gt;0,Inputs!$F$176/100*Operations!AL55*(AL8+AL9)/Time!AL30,0)</f>
        <v>0.361674662885619</v>
      </c>
      <c r="AM26" s="13" t="n">
        <f aca="false">IF(Time!AM30&gt;0,Inputs!$F$176/100*Operations!AM55*(AM8+AM9)/Time!AM30,0)</f>
        <v>0.363865671184449</v>
      </c>
      <c r="AN26" s="13" t="n">
        <f aca="false">IF(Time!AN30&gt;0,Inputs!$F$176/100*Operations!AN55*(AN8+AN9)/Time!AN30,0)</f>
        <v>0.366573924239213</v>
      </c>
      <c r="AO26" s="13" t="n">
        <f aca="false">IF(Time!AO30&gt;0,Inputs!$F$176/100*Operations!AO55*(AO8+AO9)/Time!AO30,0)</f>
        <v>0.368193611175121</v>
      </c>
      <c r="AP26" s="13" t="n">
        <f aca="false">IF(Time!AP30&gt;0,Inputs!$F$176/100*Operations!AP55*(AP8+AP9)/Time!AP30,0)</f>
        <v>0.369688986998824</v>
      </c>
      <c r="AQ26" s="13" t="n">
        <f aca="false">IF(Time!AQ30&gt;0,Inputs!$F$176/100*Operations!AQ55*(AQ8+AQ9)/Time!AQ30,0)</f>
        <v>0.371623086249381</v>
      </c>
      <c r="AR26" s="13" t="n">
        <f aca="false">IF(Time!AR30&gt;0,Inputs!$F$176/100*Operations!AR55*(AR8+AR9)/Time!AR30,0)</f>
        <v>0.373722538839253</v>
      </c>
      <c r="AS26" s="13" t="n">
        <f aca="false">IF(Time!AS30&gt;0,Inputs!$F$176/100*Operations!AS55*(AS8+AS9)/Time!AS30,0)</f>
        <v>0.374738014884602</v>
      </c>
      <c r="AT26" s="13" t="n">
        <f aca="false">IF(Time!AT30&gt;0,Inputs!$F$176/100*Operations!AT55*(AT8+AT9)/Time!AT30,0)</f>
        <v>0.37013686742761</v>
      </c>
      <c r="AU26" s="13" t="n">
        <f aca="false">IF(Time!AU30&gt;0,Inputs!$F$176/100*Operations!AU55*(AU8+AU9)/Time!AU30,0)</f>
        <v>0.377614662067074</v>
      </c>
      <c r="AV26" s="13" t="n">
        <f aca="false">IF(Time!AV30&gt;0,Inputs!$F$176/100*Operations!AV55*(AV8+AV9)/Time!AV30,0)</f>
        <v>0.381183043886402</v>
      </c>
      <c r="AW26" s="13" t="n">
        <f aca="false">IF(Time!AW30&gt;0,Inputs!$F$176/100*Operations!AW55*(AW8+AW9)/Time!AW30,0)</f>
        <v>0.382947825444258</v>
      </c>
      <c r="AX26" s="13" t="n">
        <f aca="false">IF(Time!AX30&gt;0,Inputs!$F$176/100*Operations!AX55*(AX8+AX9)/Time!AX30,0)</f>
        <v>0.384577913784097</v>
      </c>
      <c r="AY26" s="13" t="n">
        <f aca="false">IF(Time!AY30&gt;0,Inputs!$F$176/100*Operations!AY55*(AY8+AY9)/Time!AY30,0)</f>
        <v>0.386683788810692</v>
      </c>
      <c r="AZ26" s="13" t="n">
        <f aca="false">IF(Time!AZ30&gt;0,Inputs!$F$176/100*Operations!AZ55*(AZ8+AZ9)/Time!AZ30,0)</f>
        <v>0.388969041783694</v>
      </c>
      <c r="BA26" s="13" t="n">
        <f aca="false">IF(Time!BA30&gt;0,Inputs!$F$176/100*Operations!BA55*(BA8+BA9)/Time!BA30,0)</f>
        <v>0.390410267191502</v>
      </c>
      <c r="BB26" s="13" t="n">
        <f aca="false">IF(Time!BB30&gt;0,Inputs!$F$176/100*Operations!BB55*(BB8+BB9)/Time!BB30,0)</f>
        <v>0.391298164500194</v>
      </c>
      <c r="BC26" s="13" t="n">
        <f aca="false">IF(Time!BC30&gt;0,Inputs!$F$176/100*Operations!BC55*(BC8+BC9)/Time!BC30,0)</f>
        <v>0.393892314062916</v>
      </c>
      <c r="BD26" s="13" t="n">
        <f aca="false">IF(Time!BD30&gt;0,Inputs!$F$176/100*Operations!BD55*(BD8+BD9)/Time!BD30,0)</f>
        <v>0.39709472793575</v>
      </c>
      <c r="BE26" s="13" t="n">
        <f aca="false">IF(Time!BE30&gt;0,Inputs!$F$176/100*Operations!BE55*(BE8+BE9)/Time!BE30,0)</f>
        <v>0.399017598948923</v>
      </c>
      <c r="BF26" s="13" t="n">
        <f aca="false">IF(Time!BF30&gt;0,Inputs!$F$176/100*Operations!BF55*(BF8+BF9)/Time!BF30,0)</f>
        <v>0.400794534416754</v>
      </c>
      <c r="BG26" s="13" t="n">
        <f aca="false">IF(Time!BG30&gt;0,Inputs!$F$176/100*Operations!BG55*(BG8+BG9)/Time!BG30,0)</f>
        <v>0.40308743257882</v>
      </c>
      <c r="BH26" s="13" t="n">
        <f aca="false">IF(Time!BH30&gt;0,Inputs!$F$176/100*Operations!BH55*(BH8+BH9)/Time!BH30,0)</f>
        <v>0.405574916590153</v>
      </c>
      <c r="BI26" s="13" t="n">
        <f aca="false">IF(Time!BI30&gt;0,Inputs!$F$176/100*Operations!BI55*(BI8+BI9)/Time!BI30,0)</f>
        <v>0.406788326324299</v>
      </c>
      <c r="BJ26" s="13" t="n">
        <f aca="false">IF(Time!BJ30&gt;0,Inputs!$F$176/100*Operations!BJ55*(BJ8+BJ9)/Time!BJ30,0)</f>
        <v>0.401886338615662</v>
      </c>
      <c r="BK26" s="13" t="n">
        <f aca="false">IF(Time!BK30&gt;0,Inputs!$F$176/100*Operations!BK55*(BK8+BK9)/Time!BK30,0)</f>
        <v>0.410209976264746</v>
      </c>
      <c r="BL26" s="13" t="n">
        <f aca="false">IF(Time!BL30&gt;0,Inputs!$F$176/100*Operations!BL55*(BL8+BL9)/Time!BL30,0)</f>
        <v>0.414425067804425</v>
      </c>
      <c r="BM26" s="13" t="n">
        <f aca="false">IF(Time!BM30&gt;0,Inputs!$F$176/100*Operations!BM55*(BM8+BM9)/Time!BM30,0)</f>
        <v>0.277802985455225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296.159018135624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0.114070005776519</v>
      </c>
      <c r="Z27" s="13" t="n">
        <f aca="false">MAX(Z25,Z26)</f>
        <v>0.34346844416963</v>
      </c>
      <c r="AA27" s="13" t="n">
        <f aca="false">MAX(AA25,AA26)</f>
        <v>0.34509986539964</v>
      </c>
      <c r="AB27" s="13" t="n">
        <f aca="false">MAX(AB25,AB26)</f>
        <v>0.346871781290273</v>
      </c>
      <c r="AC27" s="13" t="n">
        <f aca="false">MAX(AC25,AC26)</f>
        <v>0.347721597415385</v>
      </c>
      <c r="AD27" s="13" t="n">
        <f aca="false">MAX(AD25,AD26)</f>
        <v>0.34337551997969</v>
      </c>
      <c r="AE27" s="13" t="n">
        <f aca="false">MAX(AE25,AE26)</f>
        <v>0.350140049400092</v>
      </c>
      <c r="AF27" s="13" t="n">
        <f aca="false">MAX(AF25,AF26)</f>
        <v>0.353160774233533</v>
      </c>
      <c r="AG27" s="13" t="n">
        <f aca="false">MAX(AG25,AG26)</f>
        <v>0.354647293430266</v>
      </c>
      <c r="AH27" s="13" t="n">
        <f aca="false">MAX(AH25,AH26)</f>
        <v>0.356019088692758</v>
      </c>
      <c r="AI27" s="13" t="n">
        <f aca="false">MAX(AI25,AI26)</f>
        <v>0.35779541709353</v>
      </c>
      <c r="AJ27" s="13" t="n">
        <f aca="false">MAX(AJ25,AJ26)</f>
        <v>0.359724165922109</v>
      </c>
      <c r="AK27" s="13" t="n">
        <f aca="false">MAX(AK25,AK26)</f>
        <v>0.360934831907176</v>
      </c>
      <c r="AL27" s="13" t="n">
        <f aca="false">MAX(AL25,AL26)</f>
        <v>0.361674662885619</v>
      </c>
      <c r="AM27" s="13" t="n">
        <f aca="false">MAX(AM25,AM26)</f>
        <v>0.363865671184449</v>
      </c>
      <c r="AN27" s="13" t="n">
        <f aca="false">MAX(AN25,AN26)</f>
        <v>0.366573924239213</v>
      </c>
      <c r="AO27" s="13" t="n">
        <f aca="false">MAX(AO25,AO26)</f>
        <v>6.24270984748208</v>
      </c>
      <c r="AP27" s="13" t="n">
        <f aca="false">MAX(AP25,AP26)</f>
        <v>9.37456392311937</v>
      </c>
      <c r="AQ27" s="13" t="n">
        <f aca="false">MAX(AQ25,AQ26)</f>
        <v>9.86431671093944</v>
      </c>
      <c r="AR27" s="13" t="n">
        <f aca="false">MAX(AR25,AR26)</f>
        <v>9.88851924932633</v>
      </c>
      <c r="AS27" s="13" t="n">
        <f aca="false">MAX(AS25,AS26)</f>
        <v>9.96669284072411</v>
      </c>
      <c r="AT27" s="13" t="n">
        <f aca="false">MAX(AT25,AT26)</f>
        <v>5.56225018671095</v>
      </c>
      <c r="AU27" s="13" t="n">
        <f aca="false">MAX(AU25,AU26)</f>
        <v>10.0865528096172</v>
      </c>
      <c r="AV27" s="13" t="n">
        <f aca="false">MAX(AV25,AV26)</f>
        <v>10.0435582022273</v>
      </c>
      <c r="AW27" s="13" t="n">
        <f aca="false">MAX(AW25,AW26)</f>
        <v>10.0903195960093</v>
      </c>
      <c r="AX27" s="13" t="n">
        <f aca="false">MAX(AX25,AX26)</f>
        <v>10.1461625766803</v>
      </c>
      <c r="AY27" s="13" t="n">
        <f aca="false">MAX(AY25,AY26)</f>
        <v>10.1787735509202</v>
      </c>
      <c r="AZ27" s="13" t="n">
        <f aca="false">MAX(AZ25,AZ26)</f>
        <v>10.2048595695511</v>
      </c>
      <c r="BA27" s="13" t="n">
        <f aca="false">MAX(BA25,BA26)</f>
        <v>10.2736220519281</v>
      </c>
      <c r="BB27" s="13" t="n">
        <f aca="false">MAX(BB25,BB26)</f>
        <v>9.31173585854112</v>
      </c>
      <c r="BC27" s="13" t="n">
        <f aca="false">MAX(BC25,BC26)</f>
        <v>12.3107769361891</v>
      </c>
      <c r="BD27" s="13" t="n">
        <f aca="false">MAX(BD25,BD26)</f>
        <v>16.1442027374613</v>
      </c>
      <c r="BE27" s="13" t="n">
        <f aca="false">MAX(BE25,BE26)</f>
        <v>16.1947491794709</v>
      </c>
      <c r="BF27" s="13" t="n">
        <f aca="false">MAX(BF25,BF26)</f>
        <v>16.2558456488801</v>
      </c>
      <c r="BG27" s="13" t="n">
        <f aca="false">MAX(BG25,BG26)</f>
        <v>16.2906937391307</v>
      </c>
      <c r="BH27" s="13" t="n">
        <f aca="false">MAX(BH25,BH26)</f>
        <v>16.3188096866</v>
      </c>
      <c r="BI27" s="13" t="n">
        <f aca="false">MAX(BI25,BI26)</f>
        <v>16.4121151901935</v>
      </c>
      <c r="BJ27" s="13" t="n">
        <f aca="false">MAX(BJ25,BJ26)</f>
        <v>11.206198155788</v>
      </c>
      <c r="BK27" s="13" t="n">
        <f aca="false">MAX(BK25,BK26)</f>
        <v>16.5548969627678</v>
      </c>
      <c r="BL27" s="13" t="n">
        <f aca="false">MAX(BL25,BL26)</f>
        <v>16.500481589061</v>
      </c>
      <c r="BM27" s="13" t="n">
        <f aca="false">MAX(BM25,BM26)</f>
        <v>5.3104682432848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4.05375305405171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0.105937049742838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158.609777305165</v>
      </c>
      <c r="AC63" s="13" t="n">
        <f aca="false">Time!AC35*AB75</f>
        <v>144.091324078277</v>
      </c>
      <c r="AD63" s="13" t="n">
        <f aca="false">Time!AD35*AC75</f>
        <v>129.925153339963</v>
      </c>
      <c r="AE63" s="13" t="n">
        <f aca="false">Time!AE35*AD75</f>
        <v>113.795812718118</v>
      </c>
      <c r="AF63" s="13" t="n">
        <f aca="false">Time!AF35*AE75</f>
        <v>97.152650826285</v>
      </c>
      <c r="AG63" s="13" t="n">
        <f aca="false">Time!AG35*AF75</f>
        <v>79.9730218018944</v>
      </c>
      <c r="AH63" s="13" t="n">
        <f aca="false">Time!AH35*AG75</f>
        <v>63.0632786870982</v>
      </c>
      <c r="AI63" s="13" t="n">
        <f aca="false">Time!AI35*AH75</f>
        <v>45.3652424416809</v>
      </c>
      <c r="AJ63" s="13" t="n">
        <f aca="false">Time!AJ35*AI75</f>
        <v>27.9633848408261</v>
      </c>
      <c r="AK63" s="13" t="n">
        <f aca="false">Time!AK35*AJ75</f>
        <v>10.2191849812265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141.671337891024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6.95376594032226</v>
      </c>
      <c r="AC65" s="13" t="n">
        <f aca="false">AC63*AC13</f>
        <v>6.24858253033772</v>
      </c>
      <c r="AD65" s="13" t="n">
        <f aca="false">AD63*AD13</f>
        <v>5.69617536470219</v>
      </c>
      <c r="AE65" s="13" t="n">
        <f aca="false">AE63*AE13</f>
        <v>4.90769027861976</v>
      </c>
      <c r="AF65" s="13" t="n">
        <f aca="false">AF63*AF13</f>
        <v>4.2593641186951</v>
      </c>
      <c r="AG65" s="13" t="n">
        <f aca="false">AG63*AG13</f>
        <v>3.67239078078069</v>
      </c>
      <c r="AH65" s="13" t="n">
        <f aca="false">AH63*AH13</f>
        <v>2.94388727619328</v>
      </c>
      <c r="AI65" s="13" t="n">
        <f aca="false">AI63*AI13</f>
        <v>2.08318873486363</v>
      </c>
      <c r="AJ65" s="13" t="n">
        <f aca="false">AJ63*AJ13</f>
        <v>1.30537223160656</v>
      </c>
      <c r="AK65" s="13" t="n">
        <f aca="false">AK63*AK13</f>
        <v>0.471861404299816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143.080745840799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7.86217235081844</v>
      </c>
      <c r="AC66" s="13" t="n">
        <f aca="false">Time!AC35*(AC63-AC64)*AC19</f>
        <v>7.8803909861585</v>
      </c>
      <c r="AD66" s="13" t="n">
        <f aca="false">Time!AD35*(AD63-AD64)*AD19</f>
        <v>8.53027114608353</v>
      </c>
      <c r="AE66" s="13" t="n">
        <f aca="false">Time!AE35*(AE63-AE64)*AE19</f>
        <v>8.48599906665753</v>
      </c>
      <c r="AF66" s="13" t="n">
        <f aca="false">Time!AF35*(AF63-AF64)*AF19</f>
        <v>8.21095908541319</v>
      </c>
      <c r="AG66" s="13" t="n">
        <f aca="false">Time!AG35*(AG63-AG64)*AG19</f>
        <v>7.56708328229512</v>
      </c>
      <c r="AH66" s="13" t="n">
        <f aca="false">Time!AH35*(AH63-AH64)*AH19</f>
        <v>7.04615510169777</v>
      </c>
      <c r="AI66" s="13" t="n">
        <f aca="false">Time!AI35*(AI63-AI64)*AI19</f>
        <v>5.93849810942839</v>
      </c>
      <c r="AJ66" s="13" t="n">
        <f aca="false">Time!AJ35*(AJ63-AJ64)*AJ19</f>
        <v>4.48678429170578</v>
      </c>
      <c r="AK66" s="13" t="n">
        <f aca="false">Time!AK35*(AK63-AK64)*AK19</f>
        <v>2.03910243173183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143.080745840799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7.86217235081844</v>
      </c>
      <c r="AC69" s="13" t="n">
        <f aca="false">AC66-AC67+AC68</f>
        <v>7.8803909861585</v>
      </c>
      <c r="AD69" s="13" t="n">
        <f aca="false">AD66-AD67+AD68</f>
        <v>8.53027114608353</v>
      </c>
      <c r="AE69" s="13" t="n">
        <f aca="false">AE66-AE67+AE68</f>
        <v>8.48599906665753</v>
      </c>
      <c r="AF69" s="13" t="n">
        <f aca="false">AF66-AF67+AF68</f>
        <v>8.21095908541319</v>
      </c>
      <c r="AG69" s="13" t="n">
        <f aca="false">AG66-AG67+AG68</f>
        <v>7.56708328229512</v>
      </c>
      <c r="AH69" s="13" t="n">
        <f aca="false">AH66-AH67+AH68</f>
        <v>7.04615510169777</v>
      </c>
      <c r="AI69" s="13" t="n">
        <f aca="false">AI66-AI67+AI68</f>
        <v>5.93849810942839</v>
      </c>
      <c r="AJ69" s="13" t="n">
        <f aca="false">AJ66-AJ67+AJ68</f>
        <v>4.48678429170578</v>
      </c>
      <c r="AK69" s="13" t="n">
        <f aca="false">AK66-AK67+AK68</f>
        <v>2.03910243173183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150.747604954347</v>
      </c>
      <c r="AC73" s="13" t="n">
        <f aca="false">AC63-AC69-AC70-AC71</f>
        <v>136.210933092118</v>
      </c>
      <c r="AD73" s="13" t="n">
        <f aca="false">AD63-AD69-AD70-AD71</f>
        <v>121.39488219388</v>
      </c>
      <c r="AE73" s="13" t="n">
        <f aca="false">AE63-AE69-AE70-AE71</f>
        <v>105.30981365146</v>
      </c>
      <c r="AF73" s="13" t="n">
        <f aca="false">AF63-AF69-AF70-AF71</f>
        <v>88.9416917408719</v>
      </c>
      <c r="AG73" s="13" t="n">
        <f aca="false">AG63-AG69-AG70-AG71</f>
        <v>72.4059385195993</v>
      </c>
      <c r="AH73" s="13" t="n">
        <f aca="false">AH63-AH69-AH70-AH71</f>
        <v>56.0171235854004</v>
      </c>
      <c r="AI73" s="13" t="n">
        <f aca="false">AI63-AI69-AI70-AI71</f>
        <v>39.4267443322525</v>
      </c>
      <c r="AJ73" s="13" t="n">
        <f aca="false">AJ63-AJ69-AJ70-AJ71</f>
        <v>23.4766005491203</v>
      </c>
      <c r="AK73" s="13" t="n">
        <f aca="false">AK63-AK69-AK70-AK71</f>
        <v>8.18008254949463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96.3001305750061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5.73776912183081</v>
      </c>
      <c r="AB74" s="13" t="n">
        <f aca="false">Waterfall!AB28*AB73/(AB31+AB45+AB59+AB73+AB87+Inputs!$F$253)+Waterfall!AB29</f>
        <v>6.65628087607004</v>
      </c>
      <c r="AC74" s="13" t="n">
        <f aca="false">Waterfall!AC28*AC73/(AC31+AC45+AC59+AC73+AC87+Inputs!$F$253)+Waterfall!AC29</f>
        <v>6.28577975215511</v>
      </c>
      <c r="AD74" s="13" t="n">
        <f aca="false">Waterfall!AD28*AD73/(AD31+AD45+AD59+AD73+AD87+Inputs!$F$253)+Waterfall!AD29</f>
        <v>7.59906947576215</v>
      </c>
      <c r="AE74" s="13" t="n">
        <f aca="false">Waterfall!AE28*AE73/(AE31+AE45+AE59+AE73+AE87+Inputs!$F$253)+Waterfall!AE29</f>
        <v>8.15716282517507</v>
      </c>
      <c r="AF74" s="13" t="n">
        <f aca="false">Waterfall!AF28*AF73/(AF31+AF45+AF59+AF73+AF87+Inputs!$F$253)+Waterfall!AF29</f>
        <v>8.96866993897747</v>
      </c>
      <c r="AG74" s="13" t="n">
        <f aca="false">Waterfall!AG28*AG73/(AG31+AG45+AG59+AG73+AG87+Inputs!$F$253)+Waterfall!AG29</f>
        <v>9.34265983250108</v>
      </c>
      <c r="AH74" s="13" t="n">
        <f aca="false">Waterfall!AH28*AH73/(AH31+AH45+AH59+AH73+AH87+Inputs!$F$253)+Waterfall!AH29</f>
        <v>10.6518811437195</v>
      </c>
      <c r="AI74" s="13" t="n">
        <f aca="false">Waterfall!AI28*AI73/(AI31+AI45+AI59+AI73+AI87+Inputs!$F$253)+Waterfall!AI29</f>
        <v>11.4633594914264</v>
      </c>
      <c r="AJ74" s="13" t="n">
        <f aca="false">Waterfall!AJ28*AJ73/(AJ31+AJ45+AJ59+AJ73+AJ87+Inputs!$F$253)+Waterfall!AJ29</f>
        <v>13.2574155678939</v>
      </c>
      <c r="AK74" s="13" t="n">
        <f aca="false">Waterfall!AK28*AK73/(AK31+AK45+AK59+AK73+AK87+Inputs!$F$253)+Waterfall!AK29</f>
        <v>8.18008254949463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158.609777305165</v>
      </c>
      <c r="AB75" s="13" t="n">
        <f aca="false">IF(Time!AB34=1,INDEX(Funding!$J$64:$BJ$64,1,Time!$F$14),Time!AB35*(AB73-AB74))</f>
        <v>144.091324078277</v>
      </c>
      <c r="AC75" s="13" t="n">
        <f aca="false">IF(Time!AC34=1,INDEX(Funding!$J$64:$BJ$64,1,Time!$F$14),Time!AC35*(AC73-AC74))</f>
        <v>129.925153339963</v>
      </c>
      <c r="AD75" s="13" t="n">
        <f aca="false">IF(Time!AD34=1,INDEX(Funding!$J$64:$BJ$64,1,Time!$F$14),Time!AD35*(AD73-AD74))</f>
        <v>113.795812718118</v>
      </c>
      <c r="AE75" s="13" t="n">
        <f aca="false">IF(Time!AE34=1,INDEX(Funding!$J$64:$BJ$64,1,Time!$F$14),Time!AE35*(AE73-AE74))</f>
        <v>97.152650826285</v>
      </c>
      <c r="AF75" s="13" t="n">
        <f aca="false">IF(Time!AF34=1,INDEX(Funding!$J$64:$BJ$64,1,Time!$F$14),Time!AF35*(AF73-AF74))</f>
        <v>79.9730218018944</v>
      </c>
      <c r="AG75" s="13" t="n">
        <f aca="false">IF(Time!AG34=1,INDEX(Funding!$J$64:$BJ$64,1,Time!$F$14),Time!AG35*(AG73-AG74))</f>
        <v>63.0632786870982</v>
      </c>
      <c r="AH75" s="13" t="n">
        <f aca="false">IF(Time!AH34=1,INDEX(Funding!$J$64:$BJ$64,1,Time!$F$14),Time!AH35*(AH73-AH74))</f>
        <v>45.3652424416809</v>
      </c>
      <c r="AI75" s="13" t="n">
        <f aca="false">IF(Time!AI34=1,INDEX(Funding!$J$64:$BJ$64,1,Time!$F$14),Time!AI35*(AI73-AI74))</f>
        <v>27.9633848408261</v>
      </c>
      <c r="AJ75" s="13" t="n">
        <f aca="false">IF(Time!AJ34=1,INDEX(Funding!$J$64:$BJ$64,1,Time!$F$14),Time!AJ35*(AJ73-AJ74))</f>
        <v>10.2191849812265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17.4505829073115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0.827551944931389</v>
      </c>
      <c r="AC108" s="13" t="n">
        <f aca="false">(Inputs!$F$95/100*Inputs!$F$96/100)*AC63*Time!AC25/Inputs!$F$248</f>
        <v>0.743629663469179</v>
      </c>
      <c r="AD108" s="13" t="n">
        <f aca="false">(Inputs!$F$95/100*Inputs!$F$96/100)*AD63*Time!AD25/Inputs!$F$248</f>
        <v>0.677888937042811</v>
      </c>
      <c r="AE108" s="13" t="n">
        <f aca="false">(Inputs!$F$95/100*Inputs!$F$96/100)*AE63*Time!AE25/Inputs!$F$248</f>
        <v>0.584053111658865</v>
      </c>
      <c r="AF108" s="13" t="n">
        <f aca="false">(Inputs!$F$95/100*Inputs!$F$96/100)*AF63*Time!AF25/Inputs!$F$248</f>
        <v>0.506897282831719</v>
      </c>
      <c r="AG108" s="13" t="n">
        <f aca="false">(Inputs!$F$95/100*Inputs!$F$96/100)*AG63*Time!AG25/Inputs!$F$248</f>
        <v>0.410458795596106</v>
      </c>
      <c r="AH108" s="13" t="n">
        <f aca="false">(Inputs!$F$95/100*Inputs!$F$96/100)*AH63*Time!AH25/Inputs!$F$248</f>
        <v>0.32903481625126</v>
      </c>
      <c r="AI108" s="13" t="n">
        <f aca="false">(Inputs!$F$95/100*Inputs!$F$96/100)*AI63*Time!AI25/Inputs!$F$248</f>
        <v>0.232835553227734</v>
      </c>
      <c r="AJ108" s="13" t="n">
        <f aca="false">(Inputs!$F$95/100*Inputs!$F$96/100)*AJ63*Time!AJ25/Inputs!$F$248</f>
        <v>0.145899918057176</v>
      </c>
      <c r="AK108" s="13" t="n">
        <f aca="false">(Inputs!$F$95/100*Inputs!$F$96/100)*AK63*Time!AK25/Inputs!$F$248</f>
        <v>0.0527393938332501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308.999924016371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14.0122808993313</v>
      </c>
      <c r="AC111" s="13" t="n">
        <f aca="false">AC23+AC37+AC51+AC65+AC79+AC92</f>
        <v>12.8340237923667</v>
      </c>
      <c r="AD111" s="13" t="n">
        <f aca="false">AD23+AD37+AD51+AD65+AD79+AD92</f>
        <v>11.9418698129082</v>
      </c>
      <c r="AE111" s="13" t="n">
        <f aca="false">AE23+AE37+AE51+AE65+AE79+AE92</f>
        <v>10.6135218049447</v>
      </c>
      <c r="AF111" s="13" t="n">
        <f aca="false">AF23+AF37+AF51+AF65+AF79+AF92</f>
        <v>9.59737603729763</v>
      </c>
      <c r="AG111" s="13" t="n">
        <f aca="false">AG23+AG37+AG51+AG65+AG79+AG92</f>
        <v>8.45428375990564</v>
      </c>
      <c r="AH111" s="13" t="n">
        <f aca="false">AH23+AH37+AH51+AH65+AH79+AH92</f>
        <v>7.32042725848338</v>
      </c>
      <c r="AI111" s="13" t="n">
        <f aca="false">AI23+AI37+AI51+AI65+AI79+AI92</f>
        <v>5.89000747197408</v>
      </c>
      <c r="AJ111" s="13" t="n">
        <f aca="false">AJ23+AJ37+AJ51+AJ65+AJ79+AJ92</f>
        <v>4.65480470975206</v>
      </c>
      <c r="AK111" s="13" t="n">
        <f aca="false">AK23+AK37+AK51+AK65+AK79+AK92</f>
        <v>3.24718024795307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318.153317626055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14.4477311313719</v>
      </c>
      <c r="AC112" s="13" t="n">
        <f aca="false">AC111+AC107+AC108+AC109</f>
        <v>13.2601468586224</v>
      </c>
      <c r="AD112" s="13" t="n">
        <f aca="false">AD111+AD107+AD108+AD109</f>
        <v>12.2715491023414</v>
      </c>
      <c r="AE112" s="13" t="n">
        <f aca="false">AE111+AE107+AE108+AE109</f>
        <v>10.9432142975748</v>
      </c>
      <c r="AF112" s="13" t="n">
        <f aca="false">AF111+AF107+AF108+AF109</f>
        <v>9.80583672764661</v>
      </c>
      <c r="AG112" s="13" t="n">
        <f aca="false">AG111+AG107+AG108+AG109</f>
        <v>8.65101187612382</v>
      </c>
      <c r="AH112" s="13" t="n">
        <f aca="false">AH111+AH107+AH108+AH109</f>
        <v>7.40413322241553</v>
      </c>
      <c r="AI112" s="13" t="n">
        <f aca="false">AI111+AI107+AI108+AI109</f>
        <v>5.95227346631007</v>
      </c>
      <c r="AJ112" s="13" t="n">
        <f aca="false">AJ111+AJ107+AJ108+AJ109</f>
        <v>4.61255260582085</v>
      </c>
      <c r="AK112" s="13" t="n">
        <f aca="false">AK111+AK107+AK108+AK109</f>
        <v>3.16477927447954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533.649544203444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21.9911082810248</v>
      </c>
      <c r="AC113" s="13" t="n">
        <f aca="false">AC27+AC41+AC55+AC69+AC83+AC93</f>
        <v>22.3428683434311</v>
      </c>
      <c r="AD113" s="13" t="n">
        <f aca="false">AD27+AD41+AD55+AD69+AD83+AD93</f>
        <v>23.9627484811772</v>
      </c>
      <c r="AE113" s="13" t="n">
        <f aca="false">AE27+AE41+AE55+AE69+AE83+AE93</f>
        <v>24.4184417268165</v>
      </c>
      <c r="AF113" s="13" t="n">
        <f aca="false">AF27+AF41+AF55+AF69+AF83+AF93</f>
        <v>24.566454667068</v>
      </c>
      <c r="AG113" s="13" t="n">
        <f aca="false">AG27+AG41+AG55+AG69+AG83+AG93</f>
        <v>24.1491632455112</v>
      </c>
      <c r="AH113" s="13" t="n">
        <f aca="false">AH27+AH41+AH55+AH69+AH83+AH93</f>
        <v>24.271861768484</v>
      </c>
      <c r="AI113" s="13" t="n">
        <f aca="false">AI27+AI41+AI55+AI69+AI83+AI93</f>
        <v>23.5693719797431</v>
      </c>
      <c r="AJ113" s="13" t="n">
        <f aca="false">AJ27+AJ41+AJ55+AJ69+AJ83+AJ93</f>
        <v>22.7940017418766</v>
      </c>
      <c r="AK113" s="13" t="n">
        <f aca="false">AK27+AK41+AK55+AK69+AK83+AK93</f>
        <v>20.8326086889489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851.802861829499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36.4388394123967</v>
      </c>
      <c r="AC114" s="13" t="n">
        <f aca="false">AC112+AC113</f>
        <v>35.6030152020535</v>
      </c>
      <c r="AD114" s="13" t="n">
        <f aca="false">AD112+AD113</f>
        <v>36.2342975835186</v>
      </c>
      <c r="AE114" s="13" t="n">
        <f aca="false">AE112+AE113</f>
        <v>35.3616560243913</v>
      </c>
      <c r="AF114" s="13" t="n">
        <f aca="false">AF112+AF113</f>
        <v>34.3722913947146</v>
      </c>
      <c r="AG114" s="13" t="n">
        <f aca="false">AG112+AG113</f>
        <v>32.800175121635</v>
      </c>
      <c r="AH114" s="13" t="n">
        <f aca="false">AH112+AH113</f>
        <v>31.6759949908995</v>
      </c>
      <c r="AI114" s="13" t="n">
        <f aca="false">AI112+AI113</f>
        <v>29.5216454460532</v>
      </c>
      <c r="AJ114" s="13" t="n">
        <f aca="false">AJ112+AJ113</f>
        <v>27.4065543476974</v>
      </c>
      <c r="AK114" s="13" t="n">
        <f aca="false">AK112+AK113</f>
        <v>23.9973879634284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398.768812448799</v>
      </c>
      <c r="AC115" s="13" t="n">
        <f aca="false">AC21+AC35+AC49+AC63+AC77+AC91</f>
        <v>370.121423291704</v>
      </c>
      <c r="AD115" s="13" t="n">
        <f aca="false">AD21+AD35+AD49+AD63+AD77+AD91</f>
        <v>341.492775196118</v>
      </c>
      <c r="AE115" s="13" t="n">
        <f aca="false">AE21+AE35+AE49+AE63+AE77+AE91</f>
        <v>309.930957239179</v>
      </c>
      <c r="AF115" s="13" t="n">
        <f aca="false">AF21+AF35+AF49+AF63+AF77+AF91</f>
        <v>277.355352687187</v>
      </c>
      <c r="AG115" s="13" t="n">
        <f aca="false">AG21+AG35+AG49+AG63+AG77+AG91</f>
        <v>243.820228081142</v>
      </c>
      <c r="AH115" s="13" t="n">
        <f aca="false">AH21+AH35+AH49+AH63+AH77+AH91</f>
        <v>210.328405003129</v>
      </c>
      <c r="AI115" s="13" t="n">
        <f aca="false">AI21+AI35+AI49+AI63+AI77+AI91</f>
        <v>175.404662090926</v>
      </c>
      <c r="AJ115" s="13" t="n">
        <f aca="false">AJ21+AJ35+AJ49+AJ63+AJ77+AJ91</f>
        <v>140.371930619756</v>
      </c>
      <c r="AK115" s="13" t="n">
        <f aca="false">AK21+AK35+AK49+AK63+AK77+AK91</f>
        <v>104.320513309986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398.768812448799</v>
      </c>
      <c r="AB116" s="13" t="n">
        <f aca="false">AB33+AB47+AB61+AB75+AB89+AB95</f>
        <v>370.121423291704</v>
      </c>
      <c r="AC116" s="13" t="n">
        <f aca="false">AC33+AC47+AC61+AC75+AC89+AC95</f>
        <v>341.492775196118</v>
      </c>
      <c r="AD116" s="13" t="n">
        <f aca="false">AD33+AD47+AD61+AD75+AD89+AD95</f>
        <v>309.930957239179</v>
      </c>
      <c r="AE116" s="13" t="n">
        <f aca="false">AE33+AE47+AE61+AE75+AE89+AE95</f>
        <v>277.355352687187</v>
      </c>
      <c r="AF116" s="13" t="n">
        <f aca="false">AF33+AF47+AF61+AF75+AF89+AF95</f>
        <v>243.820228081142</v>
      </c>
      <c r="AG116" s="13" t="n">
        <f aca="false">AG33+AG47+AG61+AG75+AG89+AG95</f>
        <v>210.328405003129</v>
      </c>
      <c r="AH116" s="13" t="n">
        <f aca="false">AH33+AH47+AH61+AH75+AH89+AH95</f>
        <v>175.404662090926</v>
      </c>
      <c r="AI116" s="13" t="n">
        <f aca="false">AI33+AI47+AI61+AI75+AI89+AI95</f>
        <v>140.371930619756</v>
      </c>
      <c r="AJ116" s="13" t="n">
        <f aca="false">AJ33+AJ47+AJ61+AJ75+AJ89+AJ95</f>
        <v>104.320513309986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150.747604954347</v>
      </c>
      <c r="AC118" s="13" t="n">
        <f aca="false">IF(Time!AC34=1,AC75,AC73)</f>
        <v>136.210933092118</v>
      </c>
      <c r="AD118" s="13" t="n">
        <f aca="false">IF(Time!AD34=1,AD75,AD73)</f>
        <v>121.39488219388</v>
      </c>
      <c r="AE118" s="13" t="n">
        <f aca="false">IF(Time!AE34=1,AE75,AE73)</f>
        <v>105.30981365146</v>
      </c>
      <c r="AF118" s="13" t="n">
        <f aca="false">IF(Time!AF34=1,AF75,AF73)</f>
        <v>88.9416917408719</v>
      </c>
      <c r="AG118" s="13" t="n">
        <f aca="false">IF(Time!AG34=1,AG75,AG73)</f>
        <v>72.4059385195993</v>
      </c>
      <c r="AH118" s="13" t="n">
        <f aca="false">IF(Time!AH34=1,AH75,AH73)</f>
        <v>56.0171235854004</v>
      </c>
      <c r="AI118" s="13" t="n">
        <f aca="false">IF(Time!AI34=1,AI75,AI73)</f>
        <v>39.4267443322525</v>
      </c>
      <c r="AJ118" s="13" t="n">
        <f aca="false">IF(Time!AJ34=1,AJ75,AJ73)</f>
        <v>23.4766005491203</v>
      </c>
      <c r="AK118" s="13" t="n">
        <f aca="false">IF(Time!AK34=1,AK75,AK73)</f>
        <v>8.18008254949463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14.7816596988042</v>
      </c>
      <c r="AC122" s="13" t="n">
        <f aca="false">IF(AND(Time!AC20&gt;=Time!$F$12,Time!AD20&gt;0),(IF(Time!AC34=1,AC75,AC73)-AC72)*AD19+IF(Time!AD46&gt;0,Time!AD45*AC72/Time!AD46,0)+IF(Time!AC34=1,AC75,AC73)*AD13,0)</f>
        <v>14.9147220842509</v>
      </c>
      <c r="AD122" s="13" t="n">
        <f aca="false">IF(AND(Time!AD20&gt;=Time!$F$12,Time!AE20&gt;0),(IF(Time!AD34=1,AD75,AD73)-AD72)*AE19+IF(Time!AE46&gt;0,Time!AE45*AD72/Time!AE46,0)+IF(Time!AD34=1,AD75,AD73)*AE13,0)</f>
        <v>14.2880946264598</v>
      </c>
      <c r="AE122" s="13" t="n">
        <f aca="false">IF(AND(Time!AE20&gt;=Time!$F$12,Time!AF20&gt;0),(IF(Time!AE34=1,AE75,AE73)-AE72)*AF19+IF(Time!AF46&gt;0,Time!AF45*AE72/Time!AF46,0)+IF(Time!AE34=1,AE75,AE73)*AF13,0)</f>
        <v>13.5173605828449</v>
      </c>
      <c r="AF122" s="13" t="n">
        <f aca="false">IF(AND(Time!AF20&gt;=Time!$F$12,Time!AG20&gt;0),(IF(Time!AF34=1,AF75,AF73)-AF72)*AG19+IF(Time!AG46&gt;0,Time!AG45*AF72/Time!AG46,0)+IF(Time!AF34=1,AF75,AF73)*AG13,0)</f>
        <v>12.4999382907391</v>
      </c>
      <c r="AG122" s="13" t="n">
        <f aca="false">IF(AND(Time!AG20&gt;=Time!$F$12,Time!AH20&gt;0),(IF(Time!AG34=1,AG75,AG73)-AG72)*AH19+IF(Time!AH46&gt;0,Time!AH45*AG72/Time!AH46,0)+IF(Time!AG34=1,AG75,AG73)*AH13,0)</f>
        <v>11.4700410330831</v>
      </c>
      <c r="AH122" s="13" t="n">
        <f aca="false">IF(AND(Time!AH20&gt;=Time!$F$12,Time!AI20&gt;0),(IF(Time!AH34=1,AH75,AH73)-AH72)*AI19+IF(Time!AI46&gt;0,Time!AI45*AH72/Time!AI46,0)+IF(Time!AH34=1,AH75,AH73)*AI13,0)</f>
        <v>9.90520052654296</v>
      </c>
      <c r="AI122" s="13" t="n">
        <f aca="false">IF(AND(Time!AI20&gt;=Time!$F$12,Time!AJ20&gt;0),(IF(Time!AI34=1,AI75,AI73)-AI72)*AJ19+IF(Time!AJ46&gt;0,Time!AJ45*AI72/Time!AJ46,0)+IF(Time!AI34=1,AI75,AI73)*AJ13,0)</f>
        <v>8.1666034236175</v>
      </c>
      <c r="AJ122" s="13" t="n">
        <f aca="false">IF(AND(Time!AJ20&gt;=Time!$F$12,Time!AK20&gt;0),(IF(Time!AJ34=1,AJ75,AJ73)-AJ72)*AK19+IF(Time!AK46&gt;0,Time!AK45*AJ72/Time!AK46,0)+IF(Time!AJ34=1,AJ75,AJ73)*AK13,0)</f>
        <v>5.76845365653877</v>
      </c>
      <c r="AK122" s="13" t="n">
        <f aca="false">IF(AND(Time!AK20&gt;=Time!$F$12,Time!AL20&gt;0),(IF(Time!AK34=1,AK75,AK73)-AK72)*AL19+IF(Time!AL46&gt;0,Time!AL45*AK72/Time!AL46,0)+IF(Time!AK34=1,AK75,AK73)*AL13,0)</f>
        <v>2.58397233248872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36.2900532645978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36.9553694281071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36.295063269416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35.4618890498465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34.1066707406139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33.2047392937217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31.4598295434838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29.8408117187299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27.3232969447718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24.4608396160569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793.403424078267</v>
      </c>
      <c r="Q128" s="13" t="n">
        <f aca="false">IF(Time!Q53=1,(Waterfall!Q7+R128)/(1+Q127),0)</f>
        <v>774.633250994684</v>
      </c>
      <c r="R128" s="13" t="n">
        <f aca="false">IF(Time!R53=1,(Waterfall!R7+S128)/(1+R127),0)</f>
        <v>788.31166032803</v>
      </c>
      <c r="S128" s="13" t="n">
        <f aca="false">IF(Time!S53=1,(Waterfall!S7+T128)/(1+S127),0)</f>
        <v>769.262200702469</v>
      </c>
      <c r="T128" s="13" t="n">
        <f aca="false">IF(Time!T53=1,(Waterfall!T7+U128)/(1+T127),0)</f>
        <v>717.457529384859</v>
      </c>
      <c r="U128" s="13" t="n">
        <f aca="false">IF(Time!U53=1,(Waterfall!U7+V128)/(1+U127),0)</f>
        <v>695.875692736207</v>
      </c>
      <c r="V128" s="13" t="n">
        <f aca="false">IF(Time!V53=1,(Waterfall!V7+W128)/(1+V127),0)</f>
        <v>673.463704053048</v>
      </c>
      <c r="W128" s="13" t="n">
        <f aca="false">IF(Time!W53=1,(Waterfall!W7+X128)/(1+W127),0)</f>
        <v>649.407068144701</v>
      </c>
      <c r="X128" s="13" t="n">
        <f aca="false">IF(Time!X53=1,(Waterfall!X7+Y128)/(1+X127),0)</f>
        <v>624.456290067156</v>
      </c>
      <c r="Y128" s="13" t="n">
        <f aca="false">IF(Time!Y53=1,(Waterfall!Y7+Z128)/(1+Y127),0)</f>
        <v>600.322999405247</v>
      </c>
      <c r="Z128" s="13" t="n">
        <f aca="false">IF(Time!Z53=1,(Waterfall!Z7+AA128)/(1+Z127),0)</f>
        <v>576.344672627488</v>
      </c>
      <c r="AA128" s="13" t="n">
        <f aca="false">IF(Time!AA53=1,(Waterfall!AA7+AB128)/(1+AA127),0)</f>
        <v>551.267383615017</v>
      </c>
      <c r="AB128" s="13" t="n">
        <f aca="false">IF(Time!AB53=1,(Waterfall!AB7+AC128)/(1+AB127),0)</f>
        <v>525.28842007409</v>
      </c>
      <c r="AC128" s="13" t="n">
        <f aca="false">IF(Time!AC53=1,(Waterfall!AC7+AD128)/(1+AC127),0)</f>
        <v>497.945385842681</v>
      </c>
      <c r="AD128" s="13" t="n">
        <f aca="false">IF(Time!AD53=1,(Waterfall!AD7+AE128)/(1+AD127),0)</f>
        <v>469.510213160971</v>
      </c>
      <c r="AE128" s="13" t="n">
        <f aca="false">IF(Time!AE53=1,(Waterfall!AE7+AF128)/(1+AE127),0)</f>
        <v>438.128193002192</v>
      </c>
      <c r="AF128" s="13" t="n">
        <f aca="false">IF(Time!AF53=1,(Waterfall!AF7+AG128)/(1+AF127),0)</f>
        <v>405.168656761046</v>
      </c>
      <c r="AG128" s="13" t="n">
        <f aca="false">IF(Time!AG53=1,(Waterfall!AG7+AH128)/(1+AG127),0)</f>
        <v>370.947138399434</v>
      </c>
      <c r="AH128" s="13" t="n">
        <f aca="false">IF(Time!AH53=1,(Waterfall!AH7+AI128)/(1+AH127),0)</f>
        <v>336.06715992516</v>
      </c>
      <c r="AI128" s="13" t="n">
        <f aca="false">IF(Time!AI53=1,(Waterfall!AI7+AJ128)/(1+AI127),0)</f>
        <v>299.229441999692</v>
      </c>
      <c r="AJ128" s="13" t="n">
        <f aca="false">IF(Time!AJ53=1,(Waterfall!AJ7+AK128)/(1+AJ127),0)</f>
        <v>261.067600951628</v>
      </c>
      <c r="AK128" s="13" t="n">
        <f aca="false">IF(Time!AK53=1,(Waterfall!AK7+AL128)/(1+AK127),0)</f>
        <v>220.847875955076</v>
      </c>
      <c r="AL128" s="13" t="n">
        <f aca="false">IF(Time!AL53=1,(Waterfall!AL7+AM128)/(1+AL127),0)</f>
        <v>179.063523652619</v>
      </c>
      <c r="AM128" s="13" t="n">
        <f aca="false">IF(Time!AM53=1,(Waterfall!AM7+AN128)/(1+AM127),0)</f>
        <v>134.456314780132</v>
      </c>
      <c r="AN128" s="13" t="n">
        <f aca="false">IF(Time!AN53=1,(Waterfall!AN7+AO128)/(1+AN127),0)</f>
        <v>88.2469688183953</v>
      </c>
      <c r="AO128" s="13" t="n">
        <f aca="false">IF(Time!AO53=1,(Waterfall!AO7+AP128)/(1+AO127),0)</f>
        <v>42.000949370661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1.33015946183283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620.691496581515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37.8014518464593</v>
      </c>
      <c r="Q132" s="13" t="n">
        <f aca="false">IF(Time!Q53=1,(Waterfall!Q7)/$F$129,0)</f>
        <v>12.5965432189404</v>
      </c>
      <c r="R132" s="13" t="n">
        <f aca="false">IF(Time!R53=1,(Waterfall!R7)/$F$129,0)</f>
        <v>37.875151993081</v>
      </c>
      <c r="S132" s="13" t="n">
        <f aca="false">IF(Time!S53=1,(Waterfall!S7)/$F$129,0)</f>
        <v>61.6749678302592</v>
      </c>
      <c r="T132" s="13" t="n">
        <f aca="false">IF(Time!T53=1,(Waterfall!T7)/$F$129,0)</f>
        <v>37.6690922357331</v>
      </c>
      <c r="U132" s="13" t="n">
        <f aca="false">IF(Time!U53=1,(Waterfall!U7)/$F$129,0)</f>
        <v>37.4890874741206</v>
      </c>
      <c r="V132" s="13" t="n">
        <f aca="false">IF(Time!V53=1,(Waterfall!V7)/$F$129,0)</f>
        <v>38.2146887609401</v>
      </c>
      <c r="W132" s="13" t="n">
        <f aca="false">IF(Time!W53=1,(Waterfall!W7)/$F$129,0)</f>
        <v>37.9452302944409</v>
      </c>
      <c r="X132" s="13" t="n">
        <f aca="false">IF(Time!X53=1,(Waterfall!X7)/$F$129,0)</f>
        <v>36.807534093362</v>
      </c>
      <c r="Y132" s="13" t="n">
        <f aca="false">IF(Time!Y53=1,(Waterfall!Y7)/$F$129,0)</f>
        <v>36.4482426021848</v>
      </c>
      <c r="Z132" s="13" t="n">
        <f aca="false">IF(Time!Z53=1,(Waterfall!Z7)/$F$129,0)</f>
        <v>36.7471068456862</v>
      </c>
      <c r="AA132" s="13" t="n">
        <f aca="false">IF(Time!AA53=1,(Waterfall!AA7)/$F$129,0)</f>
        <v>36.4469736646986</v>
      </c>
      <c r="AB132" s="13" t="n">
        <f aca="false">IF(Time!AB53=1,(Waterfall!AB7)/$F$129,0)</f>
        <v>36.8652836028832</v>
      </c>
      <c r="AC132" s="13" t="n">
        <f aca="false">IF(Time!AC53=1,(Waterfall!AC7)/$F$129,0)</f>
        <v>36.71732019451</v>
      </c>
      <c r="AD132" s="13" t="n">
        <f aca="false">IF(Time!AD53=1,(Waterfall!AD7)/$F$129,0)</f>
        <v>38.1699576879248</v>
      </c>
      <c r="AE132" s="13" t="n">
        <f aca="false">IF(Time!AE53=1,(Waterfall!AE7)/$F$129,0)</f>
        <v>38.2230919780968</v>
      </c>
      <c r="AF132" s="13" t="n">
        <f aca="false">IF(Time!AF53=1,(Waterfall!AF7)/$F$129,0)</f>
        <v>38.3069958343392</v>
      </c>
      <c r="AG132" s="13" t="n">
        <f aca="false">IF(Time!AG53=1,(Waterfall!AG7)/$F$129,0)</f>
        <v>38.0281949579533</v>
      </c>
      <c r="AH132" s="13" t="n">
        <f aca="false">IF(Time!AH53=1,(Waterfall!AH7)/$F$129,0)</f>
        <v>38.5178236130457</v>
      </c>
      <c r="AI132" s="13" t="n">
        <f aca="false">IF(Time!AI53=1,(Waterfall!AI7)/$F$129,0)</f>
        <v>38.2129722507964</v>
      </c>
      <c r="AJ132" s="13" t="n">
        <f aca="false">IF(Time!AJ53=1,(Waterfall!AJ7)/$F$129,0)</f>
        <v>38.6448934766797</v>
      </c>
      <c r="AK132" s="13" t="n">
        <f aca="false">IF(Time!AK53=1,(Waterfall!AK7)/$F$129,0)</f>
        <v>38.4697804466601</v>
      </c>
      <c r="AL132" s="13" t="n">
        <f aca="false">IF(Time!AL53=1,(Waterfall!AL7)/$F$129,0)</f>
        <v>39.3022779379927</v>
      </c>
      <c r="AM132" s="13" t="n">
        <f aca="false">IF(Time!AM53=1,(Waterfall!AM7)/$F$129,0)</f>
        <v>39.0189206562524</v>
      </c>
      <c r="AN132" s="13" t="n">
        <f aca="false">IF(Time!AN53=1,(Waterfall!AN7)/$F$129,0)</f>
        <v>37.609417744414</v>
      </c>
      <c r="AO132" s="13" t="n">
        <f aca="false">IF(Time!AO53=1,(Waterfall!AO7)/$F$129,0)</f>
        <v>32.9126006925507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432.074559758999</v>
      </c>
      <c r="R133" s="13" t="n">
        <f aca="false">IF(Time!R53=1,IF(Time!R20=Time!$F$13,Funding!$F$25*(1-Inputs!$F$75),Q133-Q134),0)</f>
        <v>447.665775733276</v>
      </c>
      <c r="S133" s="13" t="n">
        <f aca="false">IF(Time!S53=1,IF(Time!S20=Time!$F$13,Funding!$F$25*(1-Inputs!$F$75),R133-R134),0)</f>
        <v>438.665895711039</v>
      </c>
      <c r="T133" s="13" t="n">
        <f aca="false">IF(Time!T53=1,IF(Time!T20=Time!$F$13,Funding!$F$25*(1-Inputs!$F$75),S133-S134),0)</f>
        <v>405.129570351841</v>
      </c>
      <c r="U133" s="13" t="n">
        <f aca="false">IF(Time!U53=1,IF(Time!U20=Time!$F$13,Funding!$F$25*(1-Inputs!$F$75),T133-T134),0)</f>
        <v>394.334334139545</v>
      </c>
      <c r="V133" s="13" t="n">
        <f aca="false">IF(Time!V53=1,IF(Time!V20=Time!$F$13,Funding!$F$25*(1-Inputs!$F$75),U133-U134),0)</f>
        <v>382.994273994571</v>
      </c>
      <c r="W133" s="13" t="n">
        <f aca="false">IF(Time!W53=1,IF(Time!W20=Time!$F$13,Funding!$F$25*(1-Inputs!$F$75),V133-V134),0)</f>
        <v>370.455367714985</v>
      </c>
      <c r="X133" s="13" t="n">
        <f aca="false">IF(Time!X53=1,IF(Time!X20=Time!$F$13,Funding!$F$25*(1-Inputs!$F$75),W133-W134),0)</f>
        <v>357.336737382076</v>
      </c>
      <c r="Y133" s="13" t="n">
        <f aca="false">IF(Time!Y53=1,IF(Time!Y20=Time!$F$13,Funding!$F$25*(1-Inputs!$F$75),X133-X134),0)</f>
        <v>344.866878012512</v>
      </c>
      <c r="Z133" s="13" t="n">
        <f aca="false">IF(Time!Z53=1,IF(Time!Z20=Time!$F$13,Funding!$F$25*(1-Inputs!$F$75),Y133-Y134),0)</f>
        <v>332.446859389209</v>
      </c>
      <c r="AA133" s="13" t="n">
        <f aca="false">IF(Time!AA53=1,IF(Time!AA20=Time!$F$13,Funding!$F$25*(1-Inputs!$F$75),Z133-Z134),0)</f>
        <v>319.242288375385</v>
      </c>
      <c r="AB133" s="13" t="n">
        <f aca="false">IF(Time!AB53=1,IF(Time!AB20=Time!$F$13,Funding!$F$25*(1-Inputs!$F$75),AA133-AA134),0)</f>
        <v>305.461962564388</v>
      </c>
      <c r="AC133" s="13" t="n">
        <f aca="false">IF(Time!AC53=1,IF(Time!AC20=Time!$F$13,Funding!$F$25*(1-Inputs!$F$75),AB133-AB134),0)</f>
        <v>290.706739216902</v>
      </c>
      <c r="AD133" s="13" t="n">
        <f aca="false">IF(Time!AD53=1,IF(Time!AD20=Time!$F$13,Funding!$F$25*(1-Inputs!$F$75),AC133-AC134),0)</f>
        <v>275.227478778315</v>
      </c>
      <c r="AE133" s="13" t="n">
        <f aca="false">IF(Time!AE53=1,IF(Time!AE20=Time!$F$13,Funding!$F$25*(1-Inputs!$F$75),AD133-AD134),0)</f>
        <v>257.60090240681</v>
      </c>
      <c r="AF133" s="13" t="n">
        <f aca="false">IF(Time!AF53=1,IF(Time!AF20=Time!$F$13,Funding!$F$25*(1-Inputs!$F$75),AE133-AE134),0)</f>
        <v>238.897122759225</v>
      </c>
      <c r="AG133" s="13" t="n">
        <f aca="false">IF(Time!AG53=1,IF(Time!AG20=Time!$F$13,Funding!$F$25*(1-Inputs!$F$75),AF133-AF134),0)</f>
        <v>219.315078368786</v>
      </c>
      <c r="AH133" s="13" t="n">
        <f aca="false">IF(Time!AH53=1,IF(Time!AH20=Time!$F$13,Funding!$F$25*(1-Inputs!$F$75),AG133-AG134),0)</f>
        <v>199.260370950191</v>
      </c>
      <c r="AI133" s="13" t="n">
        <f aca="false">IF(Time!AI53=1,IF(Time!AI20=Time!$F$13,Funding!$F$25*(1-Inputs!$F$75),AH133-AH134),0)</f>
        <v>177.819668564666</v>
      </c>
      <c r="AJ133" s="13" t="n">
        <f aca="false">IF(Time!AJ53=1,IF(Time!AJ20=Time!$F$13,Funding!$F$25*(1-Inputs!$F$75),AI133-AI134),0)</f>
        <v>155.507881410675</v>
      </c>
      <c r="AK133" s="13" t="n">
        <f aca="false">IF(Time!AK53=1,IF(Time!AK20=Time!$F$13,Funding!$F$25*(1-Inputs!$F$75),AJ133-AJ134),0)</f>
        <v>131.747713524022</v>
      </c>
      <c r="AL133" s="13" t="n">
        <f aca="false">IF(Time!AL53=1,IF(Time!AL20=Time!$F$13,Funding!$F$25*(1-Inputs!$F$75),AK133-AK134),0)</f>
        <v>106.937300098719</v>
      </c>
      <c r="AM133" s="13" t="n">
        <f aca="false">IF(Time!AM53=1,IF(Time!AM20=Time!$F$13,Funding!$F$25*(1-Inputs!$F$75),AL133-AL134),0)</f>
        <v>80.1209448829278</v>
      </c>
      <c r="AN133" s="13" t="n">
        <f aca="false">IF(Time!AN53=1,IF(Time!AN20=Time!$F$13,Funding!$F$25*(1-Inputs!$F$75),AM133-AM134),0)</f>
        <v>52.2359636470005</v>
      </c>
      <c r="AO133" s="13" t="n">
        <f aca="false">IF(Time!AO53=1,IF(Time!AO20=Time!$F$13,Funding!$F$25*(1-Inputs!$F$75),AN133-AN134),0)</f>
        <v>24.4510239792641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8.89021258590388</v>
      </c>
      <c r="Q134" s="13" t="n">
        <f aca="false">Q132-Q149-Q133*Q127</f>
        <v>-15.591215974277</v>
      </c>
      <c r="R134" s="13" t="n">
        <f aca="false">R132-R149-R133*R127</f>
        <v>8.99988002223709</v>
      </c>
      <c r="S134" s="13" t="n">
        <f aca="false">S132-S149-S133*S127</f>
        <v>33.5363253591979</v>
      </c>
      <c r="T134" s="13" t="n">
        <f aca="false">T132-T149-T133*T127</f>
        <v>10.7952362122959</v>
      </c>
      <c r="U134" s="13" t="n">
        <f aca="false">U132-U149-U133*U127</f>
        <v>11.3400601449747</v>
      </c>
      <c r="V134" s="13" t="n">
        <f aca="false">V132-V149-V133*V127</f>
        <v>12.538906279586</v>
      </c>
      <c r="W134" s="13" t="n">
        <f aca="false">W132-W149-W133*W127</f>
        <v>13.1186303329087</v>
      </c>
      <c r="X134" s="13" t="n">
        <f aca="false">X132-X149-X133*X127</f>
        <v>12.469859369564</v>
      </c>
      <c r="Y134" s="13" t="n">
        <f aca="false">Y132-Y149-Y133*Y127</f>
        <v>12.4200186233033</v>
      </c>
      <c r="Z134" s="13" t="n">
        <f aca="false">Z132-Z149-Z133*Z127</f>
        <v>13.2045710138237</v>
      </c>
      <c r="AA134" s="13" t="n">
        <f aca="false">AA132-AA149-AA133*AA127</f>
        <v>13.7803258109968</v>
      </c>
      <c r="AB134" s="13" t="n">
        <f aca="false">AB132-AB149-AB133*AB127</f>
        <v>14.7552233474859</v>
      </c>
      <c r="AC134" s="13" t="n">
        <f aca="false">AC132-AC149-AC133*AC127</f>
        <v>15.4792604385874</v>
      </c>
      <c r="AD134" s="13" t="n">
        <f aca="false">AD132-AD149-AD133*AD127</f>
        <v>17.6265763715054</v>
      </c>
      <c r="AE134" s="13" t="n">
        <f aca="false">AE132-AE149-AE133*AE127</f>
        <v>18.7037796475846</v>
      </c>
      <c r="AF134" s="13" t="n">
        <f aca="false">AF132-AF149-AF133*AF127</f>
        <v>19.5820443904389</v>
      </c>
      <c r="AG134" s="13" t="n">
        <f aca="false">AG132-AG149-AG133*AG127</f>
        <v>20.0547074185954</v>
      </c>
      <c r="AH134" s="13" t="n">
        <f aca="false">AH132-AH149-AH133*AH127</f>
        <v>21.4407023855248</v>
      </c>
      <c r="AI134" s="13" t="n">
        <f aca="false">AI132-AI149-AI133*AI127</f>
        <v>22.3117871539909</v>
      </c>
      <c r="AJ134" s="13" t="n">
        <f aca="false">AJ132-AJ149-AJ133*AJ127</f>
        <v>23.760167886653</v>
      </c>
      <c r="AK134" s="13" t="n">
        <f aca="false">AK132-AK149-AK133*AK127</f>
        <v>24.8104134253033</v>
      </c>
      <c r="AL134" s="13" t="n">
        <f aca="false">AL132-AL149-AL133*AL127</f>
        <v>26.8163552157909</v>
      </c>
      <c r="AM134" s="13" t="n">
        <f aca="false">AM132-AM149-AM133*AM127</f>
        <v>27.8849812359273</v>
      </c>
      <c r="AN134" s="13" t="n">
        <f aca="false">AN132-AN149-AN133*AN127</f>
        <v>27.7849396677364</v>
      </c>
      <c r="AO134" s="13" t="n">
        <f aca="false">AO132-AO149-AO133*AO127</f>
        <v>24.451023979264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16.7554111490598</v>
      </c>
      <c r="S9" s="13" t="n">
        <f aca="false">IF(Time!S34=1,SUM(Funding!$J$44:$BJ$44),R13)</f>
        <v>29.5106178538542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36.2900532645978</v>
      </c>
      <c r="AD9" s="13" t="n">
        <f aca="false">IF(Time!AD34=1,SUM(Funding!$J$44:$BJ$44),AC13)</f>
        <v>36.9553694281071</v>
      </c>
      <c r="AE9" s="13" t="n">
        <f aca="false">IF(Time!AE34=1,SUM(Funding!$J$44:$BJ$44),AD13)</f>
        <v>36.295063269416</v>
      </c>
      <c r="AF9" s="13" t="n">
        <f aca="false">IF(Time!AF34=1,SUM(Funding!$J$44:$BJ$44),AE13)</f>
        <v>35.4618890498465</v>
      </c>
      <c r="AG9" s="13" t="n">
        <f aca="false">IF(Time!AG34=1,SUM(Funding!$J$44:$BJ$44),AF13)</f>
        <v>34.1066707406139</v>
      </c>
      <c r="AH9" s="13" t="n">
        <f aca="false">IF(Time!AH34=1,SUM(Funding!$J$44:$BJ$44),AG13)</f>
        <v>33.2047392937217</v>
      </c>
      <c r="AI9" s="13" t="n">
        <f aca="false">IF(Time!AI34=1,SUM(Funding!$J$44:$BJ$44),AH13)</f>
        <v>31.4598295434838</v>
      </c>
      <c r="AJ9" s="13" t="n">
        <f aca="false">IF(Time!AJ34=1,SUM(Funding!$J$44:$BJ$44),AI13)</f>
        <v>29.8408117187299</v>
      </c>
      <c r="AK9" s="13" t="n">
        <f aca="false">IF(Time!AK34=1,SUM(Funding!$J$44:$BJ$44),AJ13)</f>
        <v>27.3232969447718</v>
      </c>
      <c r="AL9" s="13" t="n">
        <f aca="false">IF(Time!AL34=1,SUM(Funding!$J$44:$BJ$44),AK13)</f>
        <v>24.4608396160569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20.4016053056709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20.4016053056709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23.1097826168946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12.7552067047944</v>
      </c>
      <c r="S11" s="13" t="n">
        <f aca="false">MIN(Waterfall!S13,MAX(0,Debt!S125-(S9-S10)))</f>
        <v>8.24059992738398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0.665316163509296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39.9540727478184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0.714695367011217</v>
      </c>
      <c r="AC12" s="13" t="n">
        <f aca="false">MAX(0,AC9-AC10-Debt!AC125)</f>
        <v>0</v>
      </c>
      <c r="AD12" s="13" t="n">
        <f aca="false">MAX(0,AD9-AD10-Debt!AD125)</f>
        <v>0.66030615869105</v>
      </c>
      <c r="AE12" s="13" t="n">
        <f aca="false">MAX(0,AE9-AE10-Debt!AE125)</f>
        <v>0.833174219569528</v>
      </c>
      <c r="AF12" s="13" t="n">
        <f aca="false">MAX(0,AF9-AF10-Debt!AF125)</f>
        <v>1.35521830923265</v>
      </c>
      <c r="AG12" s="13" t="n">
        <f aca="false">MAX(0,AG9-AG10-Debt!AG125)</f>
        <v>0.901931446892128</v>
      </c>
      <c r="AH12" s="13" t="n">
        <f aca="false">MAX(0,AH9-AH10-Debt!AH125)</f>
        <v>1.7449097502379</v>
      </c>
      <c r="AI12" s="13" t="n">
        <f aca="false">MAX(0,AI9-AI10-Debt!AI125)</f>
        <v>1.61901782475394</v>
      </c>
      <c r="AJ12" s="13" t="n">
        <f aca="false">MAX(0,AJ9-AJ10-Debt!AJ125)</f>
        <v>2.51751477395806</v>
      </c>
      <c r="AK12" s="13" t="n">
        <f aca="false">MAX(0,AK9-AK10-Debt!AK125)</f>
        <v>2.86245732871495</v>
      </c>
      <c r="AL12" s="13" t="n">
        <f aca="false">MAX(0,AL9-AL10-Debt!AL125)</f>
        <v>2.69467529580568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16.7554111490598</v>
      </c>
      <c r="R13" s="13" t="n">
        <f aca="false">(1-Time!R37)*(R9-R10+R11-R12)</f>
        <v>29.5106178538542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36.2900532645978</v>
      </c>
      <c r="AC13" s="13" t="n">
        <f aca="false">(1-Time!AC37)*(AC9-AC10+AC11-AC12)</f>
        <v>36.9553694281071</v>
      </c>
      <c r="AD13" s="13" t="n">
        <f aca="false">(1-Time!AD37)*(AD9-AD10+AD11-AD12)</f>
        <v>36.295063269416</v>
      </c>
      <c r="AE13" s="13" t="n">
        <f aca="false">(1-Time!AE37)*(AE9-AE10+AE11-AE12)</f>
        <v>35.4618890498465</v>
      </c>
      <c r="AF13" s="13" t="n">
        <f aca="false">(1-Time!AF37)*(AF9-AF10+AF11-AF12)</f>
        <v>34.1066707406139</v>
      </c>
      <c r="AG13" s="13" t="n">
        <f aca="false">(1-Time!AG37)*(AG9-AG10+AG11-AG12)</f>
        <v>33.2047392937217</v>
      </c>
      <c r="AH13" s="13" t="n">
        <f aca="false">(1-Time!AH37)*(AH9-AH10+AH11-AH12)</f>
        <v>31.4598295434838</v>
      </c>
      <c r="AI13" s="13" t="n">
        <f aca="false">(1-Time!AI37)*(AI9-AI10+AI11-AI12)</f>
        <v>29.8408117187299</v>
      </c>
      <c r="AJ13" s="13" t="n">
        <f aca="false">(1-Time!AJ37)*(AJ9-AJ10+AJ11-AJ12)</f>
        <v>27.3232969447718</v>
      </c>
      <c r="AK13" s="13" t="n">
        <f aca="false">(1-Time!AK37)*(AK9-AK10+AK11-AK12)</f>
        <v>24.4608396160569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2275.38444231253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16.7554111490597</v>
      </c>
      <c r="R7" s="13" t="n">
        <f aca="false">Operations!R84-Tax!R27-Operations!R96-Reserves!R7+Operations!R79+Operations!R97</f>
        <v>50.3799917919531</v>
      </c>
      <c r="S7" s="13" t="n">
        <f aca="false">Operations!S84-Tax!S27-Operations!S96-Reserves!S7+Operations!S79+Operations!S97</f>
        <v>82.0375420176545</v>
      </c>
      <c r="T7" s="13" t="n">
        <f aca="false">Operations!T84-Tax!T27-Operations!T96-Reserves!T7+Operations!T79+Operations!T97</f>
        <v>50.1058994560139</v>
      </c>
      <c r="U7" s="13" t="n">
        <f aca="false">Operations!U84-Tax!U27-Operations!U96-Reserves!U7+Operations!U79+Operations!U97</f>
        <v>49.86646441918</v>
      </c>
      <c r="V7" s="13" t="n">
        <f aca="false">Operations!V84-Tax!V27-Operations!V96-Reserves!V7+Operations!V79+Operations!V97</f>
        <v>50.8316298363611</v>
      </c>
      <c r="W7" s="13" t="n">
        <f aca="false">Operations!W84-Tax!W27-Operations!W96-Reserves!W7+Operations!W79+Operations!W97</f>
        <v>50.4732071075761</v>
      </c>
      <c r="X7" s="13" t="n">
        <f aca="false">Operations!X84-Tax!X27-Operations!X96-Reserves!X7+Operations!X79+Operations!X97</f>
        <v>48.9598897410199</v>
      </c>
      <c r="Y7" s="13" t="n">
        <f aca="false">Operations!Y84-Tax!Y27-Operations!Y96-Reserves!Y7+Operations!Y79+Operations!Y97</f>
        <v>48.4819747644744</v>
      </c>
      <c r="Z7" s="13" t="n">
        <f aca="false">Operations!Z84-Tax!Z27-Operations!Z96-Reserves!Z7+Operations!Z79+Operations!Z97</f>
        <v>48.8795118657713</v>
      </c>
      <c r="AA7" s="13" t="n">
        <f aca="false">Operations!AA84-Tax!AA27-Operations!AA96-Reserves!AA7+Operations!AA79+Operations!AA97</f>
        <v>48.4802868752706</v>
      </c>
      <c r="AB7" s="13" t="n">
        <f aca="false">Operations!AB84-Tax!AB27-Operations!AB96-Reserves!AB7+Operations!AB79+Operations!AB97</f>
        <v>49.0367057975256</v>
      </c>
      <c r="AC7" s="13" t="n">
        <f aca="false">Operations!AC84-Tax!AC27-Operations!AC96-Reserves!AC7+Operations!AC79+Operations!AC97</f>
        <v>48.839890869873</v>
      </c>
      <c r="AD7" s="13" t="n">
        <f aca="false">Operations!AD84-Tax!AD27-Operations!AD96-Reserves!AD7+Operations!AD79+Operations!AD97</f>
        <v>50.7721303763519</v>
      </c>
      <c r="AE7" s="13" t="n">
        <f aca="false">Operations!AE84-Tax!AE27-Operations!AE96-Reserves!AE7+Operations!AE79+Operations!AE97</f>
        <v>50.8428074551719</v>
      </c>
      <c r="AF7" s="13" t="n">
        <f aca="false">Operations!AF84-Tax!AF27-Operations!AF96-Reserves!AF7+Operations!AF79+Operations!AF97</f>
        <v>50.9544129634369</v>
      </c>
      <c r="AG7" s="13" t="n">
        <f aca="false">Operations!AG84-Tax!AG27-Operations!AG96-Reserves!AG7+Operations!AG79+Operations!AG97</f>
        <v>50.583563339745</v>
      </c>
      <c r="AH7" s="13" t="n">
        <f aca="false">Operations!AH84-Tax!AH27-Operations!AH96-Reserves!AH7+Operations!AH79+Operations!AH97</f>
        <v>51.2348475281006</v>
      </c>
      <c r="AI7" s="13" t="n">
        <f aca="false">Operations!AI84-Tax!AI27-Operations!AI96-Reserves!AI7+Operations!AI79+Operations!AI97</f>
        <v>50.829346604152</v>
      </c>
      <c r="AJ7" s="13" t="n">
        <f aca="false">Operations!AJ84-Tax!AJ27-Operations!AJ96-Reserves!AJ7+Operations!AJ79+Operations!AJ97</f>
        <v>51.4038707095271</v>
      </c>
      <c r="AK7" s="13" t="n">
        <f aca="false">Operations!AK84-Tax!AK27-Operations!AK96-Reserves!AK7+Operations!AK79+Operations!AK97</f>
        <v>51.1709424557564</v>
      </c>
      <c r="AL7" s="13" t="n">
        <f aca="false">Operations!AL84-Tax!AL27-Operations!AL96-Reserves!AL7+Operations!AL79+Operations!AL97</f>
        <v>52.2782968708046</v>
      </c>
      <c r="AM7" s="13" t="n">
        <f aca="false">Operations!AM84-Tax!AM27-Operations!AM96-Reserves!AM7+Operations!AM79+Operations!AM97</f>
        <v>51.9013865014185</v>
      </c>
      <c r="AN7" s="13" t="n">
        <f aca="false">Operations!AN84-Tax!AN27-Operations!AN96-Reserves!AN7+Operations!AN79+Operations!AN97</f>
        <v>50.0265228667556</v>
      </c>
      <c r="AO7" s="13" t="n">
        <f aca="false">Operations!AO84-Tax!AO27-Operations!AO96-Reserves!AO7+Operations!AO79+Operations!AO97</f>
        <v>43.779007224722</v>
      </c>
      <c r="AP7" s="13" t="n">
        <f aca="false">Operations!AP84-Tax!AP27-Operations!AP96-Reserves!AP7+Operations!AP79+Operations!AP97</f>
        <v>41.3277557686957</v>
      </c>
      <c r="AQ7" s="13" t="n">
        <f aca="false">Operations!AQ84-Tax!AQ27-Operations!AQ96-Reserves!AQ7+Operations!AQ79+Operations!AQ97</f>
        <v>40.4276137618877</v>
      </c>
      <c r="AR7" s="13" t="n">
        <f aca="false">Operations!AR84-Tax!AR27-Operations!AR96-Reserves!AR7+Operations!AR79+Operations!AR97</f>
        <v>40.9995884147656</v>
      </c>
      <c r="AS7" s="13" t="n">
        <f aca="false">Operations!AS84-Tax!AS27-Operations!AS96-Reserves!AS7+Operations!AS79+Operations!AS97</f>
        <v>40.7426627249132</v>
      </c>
      <c r="AT7" s="13" t="n">
        <f aca="false">Operations!AT84-Tax!AT27-Operations!AT96-Reserves!AT7+Operations!AT79+Operations!AT97</f>
        <v>47.487463261274</v>
      </c>
      <c r="AU7" s="13" t="n">
        <f aca="false">Operations!AU84-Tax!AU27-Operations!AU96-Reserves!AU7+Operations!AU79+Operations!AU97</f>
        <v>43.0506359358084</v>
      </c>
      <c r="AV7" s="13" t="n">
        <f aca="false">Operations!AV84-Tax!AV27-Operations!AV96-Reserves!AV7+Operations!AV79+Operations!AV97</f>
        <v>43.1284738456562</v>
      </c>
      <c r="AW7" s="13" t="n">
        <f aca="false">Operations!AW84-Tax!AW27-Operations!AW96-Reserves!AW7+Operations!AW79+Operations!AW97</f>
        <v>42.7026679293284</v>
      </c>
      <c r="AX7" s="13" t="n">
        <f aca="false">Operations!AX84-Tax!AX27-Operations!AX96-Reserves!AX7+Operations!AX79+Operations!AX97</f>
        <v>43.3577949822907</v>
      </c>
      <c r="AY7" s="13" t="n">
        <f aca="false">Operations!AY84-Tax!AY27-Operations!AY96-Reserves!AY7+Operations!AY79+Operations!AY97</f>
        <v>42.9075497204208</v>
      </c>
      <c r="AZ7" s="13" t="n">
        <f aca="false">Operations!AZ84-Tax!AZ27-Operations!AZ96-Reserves!AZ7+Operations!AZ79+Operations!AZ97</f>
        <v>43.4989466463972</v>
      </c>
      <c r="BA7" s="13" t="n">
        <f aca="false">Operations!BA84-Tax!BA27-Operations!BA96-Reserves!BA7+Operations!BA79+Operations!BA97</f>
        <v>43.2078937095256</v>
      </c>
      <c r="BB7" s="13" t="n">
        <f aca="false">Operations!BB84-Tax!BB27-Operations!BB96-Reserves!BB7+Operations!BB79+Operations!BB97</f>
        <v>45.4480697417501</v>
      </c>
      <c r="BC7" s="13" t="n">
        <f aca="false">Operations!BC84-Tax!BC27-Operations!BC96-Reserves!BC7+Operations!BC79+Operations!BC97</f>
        <v>42.0549443591801</v>
      </c>
      <c r="BD7" s="13" t="n">
        <f aca="false">Operations!BD84-Tax!BD27-Operations!BD96-Reserves!BD7+Operations!BD79+Operations!BD97</f>
        <v>35.9209728303705</v>
      </c>
      <c r="BE7" s="13" t="n">
        <f aca="false">Operations!BE84-Tax!BE27-Operations!BE96-Reserves!BE7+Operations!BE79+Operations!BE97</f>
        <v>35.4900228410039</v>
      </c>
      <c r="BF7" s="13" t="n">
        <f aca="false">Operations!BF84-Tax!BF27-Operations!BF96-Reserves!BF7+Operations!BF79+Operations!BF97</f>
        <v>36.1728963205344</v>
      </c>
      <c r="BG7" s="13" t="n">
        <f aca="false">Operations!BG84-Tax!BG27-Operations!BG96-Reserves!BG7+Operations!BG79+Operations!BG97</f>
        <v>35.7125374501136</v>
      </c>
      <c r="BH7" s="13" t="n">
        <f aca="false">Operations!BH84-Tax!BH27-Operations!BH96-Reserves!BH7+Operations!BH79+Operations!BH97</f>
        <v>36.3249205632319</v>
      </c>
      <c r="BI7" s="13" t="n">
        <f aca="false">Operations!BI84-Tax!BI27-Operations!BI96-Reserves!BI7+Operations!BI79+Operations!BI97</f>
        <v>36.0737724014133</v>
      </c>
      <c r="BJ7" s="13" t="n">
        <f aca="false">Operations!BJ84-Tax!BJ27-Operations!BJ96-Reserves!BJ7+Operations!BJ79+Operations!BJ97</f>
        <v>44.1114479870043</v>
      </c>
      <c r="BK7" s="13" t="n">
        <f aca="false">Operations!BK84-Tax!BK27-Operations!BK96-Reserves!BK7+Operations!BK79+Operations!BK97</f>
        <v>38.8621850897656</v>
      </c>
      <c r="BL7" s="13" t="n">
        <f aca="false">Operations!BL84-Tax!BL27-Operations!BL96-Reserves!BL7+Operations!BL79+Operations!BL97</f>
        <v>39.5564503962995</v>
      </c>
      <c r="BM7" s="13" t="n">
        <f aca="false">Operations!BM84-Tax!BM27-Operations!BM96-Reserves!BM7+Operations!BM79+Operations!BM97</f>
        <v>35.7574290008126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1.87224719782209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16.7554111490597</v>
      </c>
      <c r="R9" s="13" t="n">
        <f aca="false">R7+R8</f>
        <v>50.3799917919531</v>
      </c>
      <c r="S9" s="13" t="n">
        <f aca="false">S7+S8</f>
        <v>82.0375420176545</v>
      </c>
      <c r="T9" s="13" t="n">
        <f aca="false">T7+T8</f>
        <v>50.1058994560139</v>
      </c>
      <c r="U9" s="13" t="n">
        <f aca="false">U7+U8</f>
        <v>49.86646441918</v>
      </c>
      <c r="V9" s="13" t="n">
        <f aca="false">V7+V8</f>
        <v>50.8316298363611</v>
      </c>
      <c r="W9" s="13" t="n">
        <f aca="false">W7+W8</f>
        <v>50.4732071075761</v>
      </c>
      <c r="X9" s="13" t="n">
        <f aca="false">X7+X8</f>
        <v>48.9598897410199</v>
      </c>
      <c r="Y9" s="13" t="n">
        <f aca="false">Y7+Y8</f>
        <v>48.4819747644744</v>
      </c>
      <c r="Z9" s="13" t="n">
        <f aca="false">Z7+Z8</f>
        <v>48.8795118657713</v>
      </c>
      <c r="AA9" s="13" t="n">
        <f aca="false">AA7+AA8</f>
        <v>48.4802868752706</v>
      </c>
      <c r="AB9" s="13" t="n">
        <f aca="false">AB7+AB8</f>
        <v>49.0367057975256</v>
      </c>
      <c r="AC9" s="13" t="n">
        <f aca="false">AC7+AC8</f>
        <v>48.839890869873</v>
      </c>
      <c r="AD9" s="13" t="n">
        <f aca="false">AD7+AD8</f>
        <v>50.7721303763519</v>
      </c>
      <c r="AE9" s="13" t="n">
        <f aca="false">AE7+AE8</f>
        <v>50.8428074551719</v>
      </c>
      <c r="AF9" s="13" t="n">
        <f aca="false">AF7+AF8</f>
        <v>50.9544129634369</v>
      </c>
      <c r="AG9" s="13" t="n">
        <f aca="false">AG7+AG8</f>
        <v>50.583563339745</v>
      </c>
      <c r="AH9" s="13" t="n">
        <f aca="false">AH7+AH8</f>
        <v>51.2348475281006</v>
      </c>
      <c r="AI9" s="13" t="n">
        <f aca="false">AI7+AI8</f>
        <v>50.829346604152</v>
      </c>
      <c r="AJ9" s="13" t="n">
        <f aca="false">AJ7+AJ8</f>
        <v>51.4038707095271</v>
      </c>
      <c r="AK9" s="13" t="n">
        <f aca="false">AK7+AK8</f>
        <v>51.1709424557564</v>
      </c>
      <c r="AL9" s="13" t="n">
        <f aca="false">AL7+AL8</f>
        <v>52.2782968708046</v>
      </c>
      <c r="AM9" s="13" t="n">
        <f aca="false">AM7+AM8</f>
        <v>51.9013865014185</v>
      </c>
      <c r="AN9" s="13" t="n">
        <f aca="false">AN7+AN8</f>
        <v>50.0265228667556</v>
      </c>
      <c r="AO9" s="13" t="n">
        <f aca="false">AO7+AO8</f>
        <v>43.779007224722</v>
      </c>
      <c r="AP9" s="13" t="n">
        <f aca="false">AP7+AP8</f>
        <v>41.3277557686957</v>
      </c>
      <c r="AQ9" s="13" t="n">
        <f aca="false">AQ7+AQ8</f>
        <v>40.4276137618877</v>
      </c>
      <c r="AR9" s="13" t="n">
        <f aca="false">AR7+AR8</f>
        <v>40.9995884147656</v>
      </c>
      <c r="AS9" s="13" t="n">
        <f aca="false">AS7+AS8</f>
        <v>40.7426627249132</v>
      </c>
      <c r="AT9" s="13" t="n">
        <f aca="false">AT7+AT8</f>
        <v>47.487463261274</v>
      </c>
      <c r="AU9" s="13" t="n">
        <f aca="false">AU7+AU8</f>
        <v>43.0506359358084</v>
      </c>
      <c r="AV9" s="13" t="n">
        <f aca="false">AV7+AV8</f>
        <v>43.1284738456562</v>
      </c>
      <c r="AW9" s="13" t="n">
        <f aca="false">AW7+AW8</f>
        <v>42.7026679293284</v>
      </c>
      <c r="AX9" s="13" t="n">
        <f aca="false">AX7+AX8</f>
        <v>43.3577949822907</v>
      </c>
      <c r="AY9" s="13" t="n">
        <f aca="false">AY7+AY8</f>
        <v>42.9075497204208</v>
      </c>
      <c r="AZ9" s="13" t="n">
        <f aca="false">AZ7+AZ8</f>
        <v>43.4989466463972</v>
      </c>
      <c r="BA9" s="13" t="n">
        <f aca="false">BA7+BA8</f>
        <v>43.2078937095256</v>
      </c>
      <c r="BB9" s="13" t="n">
        <f aca="false">BB7+BB8</f>
        <v>45.4480697417501</v>
      </c>
      <c r="BC9" s="13" t="n">
        <f aca="false">BC7+BC8</f>
        <v>42.0549443591801</v>
      </c>
      <c r="BD9" s="13" t="n">
        <f aca="false">BD7+BD8</f>
        <v>35.9209728303705</v>
      </c>
      <c r="BE9" s="13" t="n">
        <f aca="false">BE7+BE8</f>
        <v>35.4900228410039</v>
      </c>
      <c r="BF9" s="13" t="n">
        <f aca="false">BF7+BF8</f>
        <v>36.1728963205344</v>
      </c>
      <c r="BG9" s="13" t="n">
        <f aca="false">BG7+BG8</f>
        <v>35.7125374501136</v>
      </c>
      <c r="BH9" s="13" t="n">
        <f aca="false">BH7+BH8</f>
        <v>36.3249205632319</v>
      </c>
      <c r="BI9" s="13" t="n">
        <f aca="false">BI7+BI8</f>
        <v>36.0737724014133</v>
      </c>
      <c r="BJ9" s="13" t="n">
        <f aca="false">BJ7+BJ8</f>
        <v>44.1114479870043</v>
      </c>
      <c r="BK9" s="13" t="n">
        <f aca="false">BK7+BK8</f>
        <v>38.8621850897656</v>
      </c>
      <c r="BL9" s="13" t="n">
        <f aca="false">BL7+BL8</f>
        <v>39.5564503962995</v>
      </c>
      <c r="BM9" s="13" t="n">
        <f aca="false">BM7+BM8</f>
        <v>35.7574290008126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851.802861829499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36.4388394123967</v>
      </c>
      <c r="AC10" s="13" t="n">
        <f aca="false">Debt!AC114+Debt!AC110</f>
        <v>35.6030152020535</v>
      </c>
      <c r="AD10" s="13" t="n">
        <f aca="false">Debt!AD114+Debt!AD110</f>
        <v>36.2342975835186</v>
      </c>
      <c r="AE10" s="13" t="n">
        <f aca="false">Debt!AE114+Debt!AE110</f>
        <v>35.3616560243913</v>
      </c>
      <c r="AF10" s="13" t="n">
        <f aca="false">Debt!AF114+Debt!AF110</f>
        <v>34.3722913947146</v>
      </c>
      <c r="AG10" s="13" t="n">
        <f aca="false">Debt!AG114+Debt!AG110</f>
        <v>32.800175121635</v>
      </c>
      <c r="AH10" s="13" t="n">
        <f aca="false">Debt!AH114+Debt!AH110</f>
        <v>31.6759949908995</v>
      </c>
      <c r="AI10" s="13" t="n">
        <f aca="false">Debt!AI114+Debt!AI110</f>
        <v>29.5216454460532</v>
      </c>
      <c r="AJ10" s="13" t="n">
        <f aca="false">Debt!AJ114+Debt!AJ110</f>
        <v>27.4065543476974</v>
      </c>
      <c r="AK10" s="13" t="n">
        <f aca="false">Debt!AK114+Debt!AK110</f>
        <v>23.9973879634284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20.4016053056709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20.4016053056709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0</v>
      </c>
      <c r="R13" s="13" t="n">
        <f aca="false">MAX(0,R9-R10)</f>
        <v>12.7552067047944</v>
      </c>
      <c r="S13" s="13" t="n">
        <f aca="false">MAX(0,S9-S10)</f>
        <v>44.7042295255108</v>
      </c>
      <c r="T13" s="13" t="n">
        <f aca="false">MAX(0,T9-T10)</f>
        <v>12.3546816747757</v>
      </c>
      <c r="U13" s="13" t="n">
        <f aca="false">MAX(0,U9-U10)</f>
        <v>12.2957716647496</v>
      </c>
      <c r="V13" s="13" t="n">
        <f aca="false">MAX(0,V9-V10)</f>
        <v>12.5437096016783</v>
      </c>
      <c r="W13" s="13" t="n">
        <f aca="false">MAX(0,W9-W10)</f>
        <v>12.4499796820656</v>
      </c>
      <c r="X13" s="13" t="n">
        <f aca="false">MAX(0,X9-X10)</f>
        <v>12.0330946668694</v>
      </c>
      <c r="Y13" s="13" t="n">
        <f aca="false">MAX(0,Y9-Y10)</f>
        <v>11.91158272026</v>
      </c>
      <c r="Z13" s="13" t="n">
        <f aca="false">MAX(0,Z9-Z10)</f>
        <v>12.0081487576608</v>
      </c>
      <c r="AA13" s="13" t="n">
        <f aca="false">MAX(0,AA9-AA10)</f>
        <v>11.9059995207191</v>
      </c>
      <c r="AB13" s="13" t="n">
        <f aca="false">MAX(0,AB9-AB10)</f>
        <v>12.5978663851289</v>
      </c>
      <c r="AC13" s="13" t="n">
        <f aca="false">MAX(0,AC9-AC10)</f>
        <v>13.2368756678195</v>
      </c>
      <c r="AD13" s="13" t="n">
        <f aca="false">MAX(0,AD9-AD10)</f>
        <v>14.5378327928333</v>
      </c>
      <c r="AE13" s="13" t="n">
        <f aca="false">MAX(0,AE9-AE10)</f>
        <v>15.4811514307806</v>
      </c>
      <c r="AF13" s="13" t="n">
        <f aca="false">MAX(0,AF9-AF10)</f>
        <v>16.5821215687223</v>
      </c>
      <c r="AG13" s="13" t="n">
        <f aca="false">MAX(0,AG9-AG10)</f>
        <v>17.78338821811</v>
      </c>
      <c r="AH13" s="13" t="n">
        <f aca="false">MAX(0,AH9-AH10)</f>
        <v>19.5588525372011</v>
      </c>
      <c r="AI13" s="13" t="n">
        <f aca="false">MAX(0,AI9-AI10)</f>
        <v>21.3077011580988</v>
      </c>
      <c r="AJ13" s="13" t="n">
        <f aca="false">MAX(0,AJ9-AJ10)</f>
        <v>23.9973163618297</v>
      </c>
      <c r="AK13" s="13" t="n">
        <f aca="false">MAX(0,AK9-AK10)</f>
        <v>27.173554492328</v>
      </c>
      <c r="AL13" s="13" t="n">
        <f aca="false">MAX(0,AL9-AL10)</f>
        <v>30.4441094480782</v>
      </c>
      <c r="AM13" s="13" t="n">
        <f aca="false">MAX(0,AM9-AM10)</f>
        <v>30.1352221811673</v>
      </c>
      <c r="AN13" s="13" t="n">
        <f aca="false">MAX(0,AN9-AN10)</f>
        <v>31.1959735905484</v>
      </c>
      <c r="AO13" s="13" t="n">
        <f aca="false">MAX(0,AO9-AO10)</f>
        <v>25.7558091487138</v>
      </c>
      <c r="AP13" s="13" t="n">
        <f aca="false">MAX(0,AP9-AP10)</f>
        <v>41.3277557686957</v>
      </c>
      <c r="AQ13" s="13" t="n">
        <f aca="false">MAX(0,AQ9-AQ10)</f>
        <v>40.4276137618877</v>
      </c>
      <c r="AR13" s="13" t="n">
        <f aca="false">MAX(0,AR9-AR10)</f>
        <v>40.9995884147656</v>
      </c>
      <c r="AS13" s="13" t="n">
        <f aca="false">MAX(0,AS9-AS10)</f>
        <v>40.7426627249132</v>
      </c>
      <c r="AT13" s="13" t="n">
        <f aca="false">MAX(0,AT9-AT10)</f>
        <v>47.487463261274</v>
      </c>
      <c r="AU13" s="13" t="n">
        <f aca="false">MAX(0,AU9-AU10)</f>
        <v>43.0506359358084</v>
      </c>
      <c r="AV13" s="13" t="n">
        <f aca="false">MAX(0,AV9-AV10)</f>
        <v>43.1284738456562</v>
      </c>
      <c r="AW13" s="13" t="n">
        <f aca="false">MAX(0,AW9-AW10)</f>
        <v>42.7026679293284</v>
      </c>
      <c r="AX13" s="13" t="n">
        <f aca="false">MAX(0,AX9-AX10)</f>
        <v>43.3577949822907</v>
      </c>
      <c r="AY13" s="13" t="n">
        <f aca="false">MAX(0,AY9-AY10)</f>
        <v>42.9075497204208</v>
      </c>
      <c r="AZ13" s="13" t="n">
        <f aca="false">MAX(0,AZ9-AZ10)</f>
        <v>43.4989466463972</v>
      </c>
      <c r="BA13" s="13" t="n">
        <f aca="false">MAX(0,BA9-BA10)</f>
        <v>43.2078937095256</v>
      </c>
      <c r="BB13" s="13" t="n">
        <f aca="false">MAX(0,BB9-BB10)</f>
        <v>45.4480697417501</v>
      </c>
      <c r="BC13" s="13" t="n">
        <f aca="false">MAX(0,BC9-BC10)</f>
        <v>42.0549443591801</v>
      </c>
      <c r="BD13" s="13" t="n">
        <f aca="false">MAX(0,BD9-BD10)</f>
        <v>35.9209728303705</v>
      </c>
      <c r="BE13" s="13" t="n">
        <f aca="false">MAX(0,BE9-BE10)</f>
        <v>35.4900228410039</v>
      </c>
      <c r="BF13" s="13" t="n">
        <f aca="false">MAX(0,BF9-BF10)</f>
        <v>36.1728963205344</v>
      </c>
      <c r="BG13" s="13" t="n">
        <f aca="false">MAX(0,BG9-BG10)</f>
        <v>35.7125374501136</v>
      </c>
      <c r="BH13" s="13" t="n">
        <f aca="false">MAX(0,BH9-BH10)</f>
        <v>36.3249205632319</v>
      </c>
      <c r="BI13" s="13" t="n">
        <f aca="false">MAX(0,BI9-BI10)</f>
        <v>36.0737724014133</v>
      </c>
      <c r="BJ13" s="13" t="n">
        <f aca="false">MAX(0,BJ9-BJ10)</f>
        <v>44.1114479870043</v>
      </c>
      <c r="BK13" s="13" t="n">
        <f aca="false">MAX(0,BK9-BK10)</f>
        <v>38.8621850897656</v>
      </c>
      <c r="BL13" s="13" t="n">
        <f aca="false">MAX(0,BL9-BL10)</f>
        <v>39.5564503962995</v>
      </c>
      <c r="BM13" s="13" t="n">
        <f aca="false">MAX(0,BM9-BM10)</f>
        <v>35.7574290008126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36.4636295981268</v>
      </c>
      <c r="T14" s="13" t="n">
        <f aca="false">T13-Reserves!T11+Reserves!T12</f>
        <v>12.5352067015835</v>
      </c>
      <c r="U14" s="13" t="n">
        <f aca="false">U13-Reserves!U11+Reserves!U12</f>
        <v>11.5785441844972</v>
      </c>
      <c r="V14" s="13" t="n">
        <f aca="false">V13-Reserves!V11+Reserves!V12</f>
        <v>12.8084024108506</v>
      </c>
      <c r="W14" s="13" t="n">
        <f aca="false">W13-Reserves!W11+Reserves!W12</f>
        <v>13.5464120334257</v>
      </c>
      <c r="X14" s="13" t="n">
        <f aca="false">X13-Reserves!X11+Reserves!X12</f>
        <v>12.3894976968055</v>
      </c>
      <c r="Y14" s="13" t="n">
        <f aca="false">Y13-Reserves!Y11+Reserves!Y12</f>
        <v>11.6106116563639</v>
      </c>
      <c r="Z14" s="13" t="n">
        <f aca="false">Z13-Reserves!Z11+Reserves!Z12</f>
        <v>12.3052245112197</v>
      </c>
      <c r="AA14" s="13" t="n">
        <f aca="false">AA13-Reserves!AA11+Reserves!AA12</f>
        <v>11.4755382436616</v>
      </c>
      <c r="AB14" s="13" t="n">
        <f aca="false">AB13-Reserves!AB11+Reserves!AB12</f>
        <v>13.3125617521401</v>
      </c>
      <c r="AC14" s="13" t="n">
        <f aca="false">AC13-Reserves!AC11+Reserves!AC12</f>
        <v>12.5715595043102</v>
      </c>
      <c r="AD14" s="13" t="n">
        <f aca="false">AD13-Reserves!AD11+Reserves!AD12</f>
        <v>15.1981389515243</v>
      </c>
      <c r="AE14" s="13" t="n">
        <f aca="false">AE13-Reserves!AE11+Reserves!AE12</f>
        <v>16.3143256503501</v>
      </c>
      <c r="AF14" s="13" t="n">
        <f aca="false">AF13-Reserves!AF11+Reserves!AF12</f>
        <v>17.9373398779549</v>
      </c>
      <c r="AG14" s="13" t="n">
        <f aca="false">AG13-Reserves!AG11+Reserves!AG12</f>
        <v>18.6853196650022</v>
      </c>
      <c r="AH14" s="13" t="n">
        <f aca="false">AH13-Reserves!AH11+Reserves!AH12</f>
        <v>21.303762287439</v>
      </c>
      <c r="AI14" s="13" t="n">
        <f aca="false">AI13-Reserves!AI11+Reserves!AI12</f>
        <v>22.9267189828528</v>
      </c>
      <c r="AJ14" s="13" t="n">
        <f aca="false">AJ13-Reserves!AJ11+Reserves!AJ12</f>
        <v>26.5148311357878</v>
      </c>
      <c r="AK14" s="13" t="n">
        <f aca="false">AK13-Reserves!AK11+Reserves!AK12</f>
        <v>30.0360118210429</v>
      </c>
      <c r="AL14" s="13" t="n">
        <f aca="false">AL13-Reserves!AL11+Reserves!AL12</f>
        <v>33.1387847438839</v>
      </c>
      <c r="AM14" s="13" t="n">
        <f aca="false">AM13-Reserves!AM11+Reserves!AM12</f>
        <v>33.0708372252113</v>
      </c>
      <c r="AN14" s="13" t="n">
        <f aca="false">AN13-Reserves!AN11+Reserves!AN12</f>
        <v>32.0033247907474</v>
      </c>
      <c r="AO14" s="13" t="n">
        <f aca="false">AO13-Reserves!AO11+Reserves!AO12</f>
        <v>43.779007224722</v>
      </c>
      <c r="AP14" s="13" t="n">
        <f aca="false">AP13-Reserves!AP11+Reserves!AP12</f>
        <v>41.3277557686957</v>
      </c>
      <c r="AQ14" s="13" t="n">
        <f aca="false">AQ13-Reserves!AQ11+Reserves!AQ12</f>
        <v>40.4276137618877</v>
      </c>
      <c r="AR14" s="13" t="n">
        <f aca="false">AR13-Reserves!AR11+Reserves!AR12</f>
        <v>40.9995884147656</v>
      </c>
      <c r="AS14" s="13" t="n">
        <f aca="false">AS13-Reserves!AS11+Reserves!AS12</f>
        <v>40.7426627249132</v>
      </c>
      <c r="AT14" s="13" t="n">
        <f aca="false">AT13-Reserves!AT11+Reserves!AT12</f>
        <v>47.487463261274</v>
      </c>
      <c r="AU14" s="13" t="n">
        <f aca="false">AU13-Reserves!AU11+Reserves!AU12</f>
        <v>43.0506359358084</v>
      </c>
      <c r="AV14" s="13" t="n">
        <f aca="false">AV13-Reserves!AV11+Reserves!AV12</f>
        <v>43.1284738456562</v>
      </c>
      <c r="AW14" s="13" t="n">
        <f aca="false">AW13-Reserves!AW11+Reserves!AW12</f>
        <v>42.7026679293284</v>
      </c>
      <c r="AX14" s="13" t="n">
        <f aca="false">AX13-Reserves!AX11+Reserves!AX12</f>
        <v>43.3577949822907</v>
      </c>
      <c r="AY14" s="13" t="n">
        <f aca="false">AY13-Reserves!AY11+Reserves!AY12</f>
        <v>42.9075497204208</v>
      </c>
      <c r="AZ14" s="13" t="n">
        <f aca="false">AZ13-Reserves!AZ11+Reserves!AZ12</f>
        <v>43.4989466463972</v>
      </c>
      <c r="BA14" s="13" t="n">
        <f aca="false">BA13-Reserves!BA11+Reserves!BA12</f>
        <v>43.2078937095256</v>
      </c>
      <c r="BB14" s="13" t="n">
        <f aca="false">BB13-Reserves!BB11+Reserves!BB12</f>
        <v>45.4480697417501</v>
      </c>
      <c r="BC14" s="13" t="n">
        <f aca="false">BC13-Reserves!BC11+Reserves!BC12</f>
        <v>42.0549443591801</v>
      </c>
      <c r="BD14" s="13" t="n">
        <f aca="false">BD13-Reserves!BD11+Reserves!BD12</f>
        <v>35.9209728303705</v>
      </c>
      <c r="BE14" s="13" t="n">
        <f aca="false">BE13-Reserves!BE11+Reserves!BE12</f>
        <v>35.4900228410039</v>
      </c>
      <c r="BF14" s="13" t="n">
        <f aca="false">BF13-Reserves!BF11+Reserves!BF12</f>
        <v>36.1728963205344</v>
      </c>
      <c r="BG14" s="13" t="n">
        <f aca="false">BG13-Reserves!BG11+Reserves!BG12</f>
        <v>35.7125374501136</v>
      </c>
      <c r="BH14" s="13" t="n">
        <f aca="false">BH13-Reserves!BH11+Reserves!BH12</f>
        <v>36.3249205632319</v>
      </c>
      <c r="BI14" s="13" t="n">
        <f aca="false">BI13-Reserves!BI11+Reserves!BI12</f>
        <v>36.0737724014133</v>
      </c>
      <c r="BJ14" s="13" t="n">
        <f aca="false">BJ13-Reserves!BJ11+Reserves!BJ12</f>
        <v>44.1114479870043</v>
      </c>
      <c r="BK14" s="13" t="n">
        <f aca="false">BK13-Reserves!BK11+Reserves!BK12</f>
        <v>38.8621850897656</v>
      </c>
      <c r="BL14" s="13" t="n">
        <f aca="false">BL13-Reserves!BL11+Reserves!BL12</f>
        <v>39.5564503962995</v>
      </c>
      <c r="BM14" s="13" t="n">
        <f aca="false">BM13-Reserves!BM11+Reserves!BM12</f>
        <v>35.7574290008126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36.4636295981268</v>
      </c>
      <c r="T15" s="13" t="n">
        <f aca="false">T14-Reserves!T14+Reserves!T15</f>
        <v>12.5352067015835</v>
      </c>
      <c r="U15" s="13" t="n">
        <f aca="false">U14-Reserves!U14+Reserves!U15</f>
        <v>11.5785441844972</v>
      </c>
      <c r="V15" s="13" t="n">
        <f aca="false">V14-Reserves!V14+Reserves!V15</f>
        <v>12.8084024108506</v>
      </c>
      <c r="W15" s="13" t="n">
        <f aca="false">W14-Reserves!W14+Reserves!W15</f>
        <v>13.5464120334257</v>
      </c>
      <c r="X15" s="13" t="n">
        <f aca="false">X14-Reserves!X14+Reserves!X15</f>
        <v>12.3894976968055</v>
      </c>
      <c r="Y15" s="13" t="n">
        <f aca="false">Y14-Reserves!Y14+Reserves!Y15</f>
        <v>11.6106116563639</v>
      </c>
      <c r="Z15" s="13" t="n">
        <f aca="false">Z14-Reserves!Z14+Reserves!Z15</f>
        <v>12.3052245112197</v>
      </c>
      <c r="AA15" s="13" t="n">
        <f aca="false">AA14-Reserves!AA14+Reserves!AA15</f>
        <v>11.4755382436616</v>
      </c>
      <c r="AB15" s="13" t="n">
        <f aca="false">AB14-Reserves!AB14+Reserves!AB15</f>
        <v>13.3125617521401</v>
      </c>
      <c r="AC15" s="13" t="n">
        <f aca="false">AC14-Reserves!AC14+Reserves!AC15</f>
        <v>12.5715595043102</v>
      </c>
      <c r="AD15" s="13" t="n">
        <f aca="false">AD14-Reserves!AD14+Reserves!AD15</f>
        <v>15.1981389515243</v>
      </c>
      <c r="AE15" s="13" t="n">
        <f aca="false">AE14-Reserves!AE14+Reserves!AE15</f>
        <v>16.3143256503501</v>
      </c>
      <c r="AF15" s="13" t="n">
        <f aca="false">AF14-Reserves!AF14+Reserves!AF15</f>
        <v>17.9373398779549</v>
      </c>
      <c r="AG15" s="13" t="n">
        <f aca="false">AG14-Reserves!AG14+Reserves!AG15</f>
        <v>18.6853196650022</v>
      </c>
      <c r="AH15" s="13" t="n">
        <f aca="false">AH14-Reserves!AH14+Reserves!AH15</f>
        <v>21.303762287439</v>
      </c>
      <c r="AI15" s="13" t="n">
        <f aca="false">AI14-Reserves!AI14+Reserves!AI15</f>
        <v>22.9267189828528</v>
      </c>
      <c r="AJ15" s="13" t="n">
        <f aca="false">AJ14-Reserves!AJ14+Reserves!AJ15</f>
        <v>26.5148311357878</v>
      </c>
      <c r="AK15" s="13" t="n">
        <f aca="false">AK14-Reserves!AK14+Reserves!AK15</f>
        <v>30.0360118210429</v>
      </c>
      <c r="AL15" s="13" t="n">
        <f aca="false">AL14-Reserves!AL14+Reserves!AL15</f>
        <v>33.1387847438839</v>
      </c>
      <c r="AM15" s="13" t="n">
        <f aca="false">AM14-Reserves!AM14+Reserves!AM15</f>
        <v>33.0708372252113</v>
      </c>
      <c r="AN15" s="13" t="n">
        <f aca="false">AN14-Reserves!AN14+Reserves!AN15</f>
        <v>32.0033247907474</v>
      </c>
      <c r="AO15" s="13" t="n">
        <f aca="false">AO14-Reserves!AO14+Reserves!AO15</f>
        <v>43.779007224722</v>
      </c>
      <c r="AP15" s="13" t="n">
        <f aca="false">AP14-Reserves!AP14+Reserves!AP15</f>
        <v>41.3277557686957</v>
      </c>
      <c r="AQ15" s="13" t="n">
        <f aca="false">AQ14-Reserves!AQ14+Reserves!AQ15</f>
        <v>40.4276137618877</v>
      </c>
      <c r="AR15" s="13" t="n">
        <f aca="false">AR14-Reserves!AR14+Reserves!AR15</f>
        <v>40.9995884147656</v>
      </c>
      <c r="AS15" s="13" t="n">
        <f aca="false">AS14-Reserves!AS14+Reserves!AS15</f>
        <v>40.7426627249132</v>
      </c>
      <c r="AT15" s="13" t="n">
        <f aca="false">AT14-Reserves!AT14+Reserves!AT15</f>
        <v>47.487463261274</v>
      </c>
      <c r="AU15" s="13" t="n">
        <f aca="false">AU14-Reserves!AU14+Reserves!AU15</f>
        <v>43.0506359358084</v>
      </c>
      <c r="AV15" s="13" t="n">
        <f aca="false">AV14-Reserves!AV14+Reserves!AV15</f>
        <v>43.1284738456562</v>
      </c>
      <c r="AW15" s="13" t="n">
        <f aca="false">AW14-Reserves!AW14+Reserves!AW15</f>
        <v>42.7026679293284</v>
      </c>
      <c r="AX15" s="13" t="n">
        <f aca="false">AX14-Reserves!AX14+Reserves!AX15</f>
        <v>43.3577949822907</v>
      </c>
      <c r="AY15" s="13" t="n">
        <f aca="false">AY14-Reserves!AY14+Reserves!AY15</f>
        <v>42.9075497204208</v>
      </c>
      <c r="AZ15" s="13" t="n">
        <f aca="false">AZ14-Reserves!AZ14+Reserves!AZ15</f>
        <v>43.4989466463972</v>
      </c>
      <c r="BA15" s="13" t="n">
        <f aca="false">BA14-Reserves!BA14+Reserves!BA15</f>
        <v>42.7129253229169</v>
      </c>
      <c r="BB15" s="13" t="n">
        <f aca="false">BB14-Reserves!BB14+Reserves!BB15</f>
        <v>43.9469194871056</v>
      </c>
      <c r="BC15" s="13" t="n">
        <f aca="false">BC14-Reserves!BC14+Reserves!BC15</f>
        <v>40.5373712858379</v>
      </c>
      <c r="BD15" s="13" t="n">
        <f aca="false">BD14-Reserves!BD14+Reserves!BD15</f>
        <v>34.3867972701239</v>
      </c>
      <c r="BE15" s="13" t="n">
        <f aca="false">BE14-Reserves!BE14+Reserves!BE15</f>
        <v>33.9390631600481</v>
      </c>
      <c r="BF15" s="13" t="n">
        <f aca="false">BF14-Reserves!BF14+Reserves!BF15</f>
        <v>34.6049688979624</v>
      </c>
      <c r="BG15" s="13" t="n">
        <f aca="false">BG14-Reserves!BG14+Reserves!BG15</f>
        <v>34.1274566561768</v>
      </c>
      <c r="BH15" s="13" t="n">
        <f aca="false">BH14-Reserves!BH14+Reserves!BH15</f>
        <v>34.7224987373633</v>
      </c>
      <c r="BI15" s="13" t="n">
        <f aca="false">BI14-Reserves!BI14+Reserves!BI15</f>
        <v>34.4538198300099</v>
      </c>
      <c r="BJ15" s="13" t="n">
        <f aca="false">BJ14-Reserves!BJ14+Reserves!BJ15</f>
        <v>42.4737728809666</v>
      </c>
      <c r="BK15" s="13" t="n">
        <f aca="false">BK14-Reserves!BK14+Reserves!BK15</f>
        <v>37.2065935617914</v>
      </c>
      <c r="BL15" s="13" t="n">
        <f aca="false">BL14-Reserves!BL14+Reserves!BL15</f>
        <v>37.882746437929</v>
      </c>
      <c r="BM15" s="13" t="n">
        <f aca="false">BM14-Reserves!BM14+Reserves!BM15</f>
        <v>53.6986091627736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0.450935321178795</v>
      </c>
      <c r="R17" s="3" t="n">
        <f aca="false">IF(Debt!R114&gt;Inputs!$F$253,R7/Debt!R114,0)</f>
        <v>1.33901075249325</v>
      </c>
      <c r="S17" s="3" t="n">
        <f aca="false">IF(Debt!S114&gt;Inputs!$F$253,S7/Debt!S114,0)</f>
        <v>2.19743538789702</v>
      </c>
      <c r="T17" s="3" t="n">
        <f aca="false">IF(Debt!T114&gt;Inputs!$F$253,T7/Debt!T114,0)</f>
        <v>1.32726577845433</v>
      </c>
      <c r="U17" s="3" t="n">
        <f aca="false">IF(Debt!U114&gt;Inputs!$F$253,U7/Debt!U114,0)</f>
        <v>1.32727029403256</v>
      </c>
      <c r="V17" s="3" t="n">
        <f aca="false">IF(Debt!V114&gt;Inputs!$F$253,V7/Debt!V114,0)</f>
        <v>1.32761532945098</v>
      </c>
      <c r="W17" s="3" t="n">
        <f aca="false">IF(Debt!W114&gt;Inputs!$F$253,W7/Debt!W114,0)</f>
        <v>1.32743090276742</v>
      </c>
      <c r="X17" s="3" t="n">
        <f aca="false">IF(Debt!X114&gt;Inputs!$F$253,X7/Debt!X114,0)</f>
        <v>1.32586349946445</v>
      </c>
      <c r="Y17" s="3" t="n">
        <f aca="false">IF(Debt!Y114&gt;Inputs!$F$253,Y7/Debt!Y114,0)</f>
        <v>1.3257165716424</v>
      </c>
      <c r="Z17" s="3" t="n">
        <f aca="false">IF(Debt!Z114&gt;Inputs!$F$253,Z7/Debt!Z114,0)</f>
        <v>1.32567683278895</v>
      </c>
      <c r="AA17" s="3" t="n">
        <f aca="false">IF(Debt!AA114&gt;Inputs!$F$253,AA7/Debt!AA114,0)</f>
        <v>1.32552922782342</v>
      </c>
      <c r="AB17" s="3" t="n">
        <f aca="false">IF(Debt!AB114&gt;Inputs!$F$253,AB7/Debt!AB114,0)</f>
        <v>1.34572633454519</v>
      </c>
      <c r="AC17" s="3" t="n">
        <f aca="false">IF(Debt!AC114&gt;Inputs!$F$253,AC7/Debt!AC114,0)</f>
        <v>1.37179086076552</v>
      </c>
      <c r="AD17" s="3" t="n">
        <f aca="false">IF(Debt!AD114&gt;Inputs!$F$253,AD7/Debt!AD114,0)</f>
        <v>1.40121745866121</v>
      </c>
      <c r="AE17" s="3" t="n">
        <f aca="false">IF(Debt!AE114&gt;Inputs!$F$253,AE7/Debt!AE114,0)</f>
        <v>1.43779486515287</v>
      </c>
      <c r="AF17" s="3" t="n">
        <f aca="false">IF(Debt!AF114&gt;Inputs!$F$253,AF7/Debt!AF114,0)</f>
        <v>1.48242700430708</v>
      </c>
      <c r="AG17" s="3" t="n">
        <f aca="false">IF(Debt!AG114&gt;Inputs!$F$253,AG7/Debt!AG114,0)</f>
        <v>1.54217357535936</v>
      </c>
      <c r="AH17" s="3" t="n">
        <f aca="false">IF(Debt!AH114&gt;Inputs!$F$253,AH7/Debt!AH114,0)</f>
        <v>1.61746608252781</v>
      </c>
      <c r="AI17" s="3" t="n">
        <f aca="false">IF(Debt!AI114&gt;Inputs!$F$253,AI7/Debt!AI114,0)</f>
        <v>1.72176536355454</v>
      </c>
      <c r="AJ17" s="3" t="n">
        <f aca="false">IF(Debt!AJ114&gt;Inputs!$F$253,AJ7/Debt!AJ114,0)</f>
        <v>1.87560501248658</v>
      </c>
      <c r="AK17" s="3" t="n">
        <f aca="false">IF(Debt!AK114&gt;Inputs!$F$253,AK7/Debt!AK114,0)</f>
        <v>2.13235467683983</v>
      </c>
      <c r="AL17" s="3" t="n">
        <f aca="false">IF(Debt!AL114&gt;Inputs!$F$253,AL7/Debt!AL114,0)</f>
        <v>2.3943321479594</v>
      </c>
      <c r="AM17" s="3" t="n">
        <f aca="false">IF(Debt!AM114&gt;Inputs!$F$253,AM7/Debt!AM114,0)</f>
        <v>2.3844985151164</v>
      </c>
      <c r="AN17" s="3" t="n">
        <f aca="false">IF(Debt!AN114&gt;Inputs!$F$253,AN7/Debt!AN114,0)</f>
        <v>2.65666827520349</v>
      </c>
      <c r="AO17" s="3" t="n">
        <f aca="false">IF(Debt!AO114&gt;Inputs!$F$253,AO7/Debt!AO114,0)</f>
        <v>2.42903656943098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0.901004655457047</v>
      </c>
      <c r="R18" s="3" t="n">
        <f aca="false">IF(Debt!R114&gt;Inputs!$F$253,IF(Debt!Q114&gt;Inputs!$F$253,(R7+Q7)/(Debt!R114+Debt!Q114),R17),0)</f>
        <v>0.897750543003523</v>
      </c>
      <c r="S18" s="3" t="n">
        <f aca="false">IF(Debt!S114&gt;Inputs!$F$253,IF(Debt!R114&gt;Inputs!$F$253,(S7+R7)/(Debt!S114+Debt!R114),S17),0)</f>
        <v>1.76655408936327</v>
      </c>
      <c r="T18" s="3" t="n">
        <f aca="false">IF(Debt!T114&gt;Inputs!$F$253,IF(Debt!S114&gt;Inputs!$F$253,(T7+S7)/(Debt!T114+Debt!S114),T17),0)</f>
        <v>1.75992898926764</v>
      </c>
      <c r="U18" s="3" t="n">
        <f aca="false">IF(Debt!U114&gt;Inputs!$F$253,IF(Debt!T114&gt;Inputs!$F$253,(U7+T7)/(Debt!U114+Debt!T114),U17),0)</f>
        <v>1.32726803083217</v>
      </c>
      <c r="V18" s="3" t="n">
        <f aca="false">IF(Debt!V114&gt;Inputs!$F$253,IF(Debt!U114&gt;Inputs!$F$253,(V7+U7)/(Debt!V114+Debt!U114),V17),0)</f>
        <v>1.32744444286099</v>
      </c>
      <c r="W18" s="3" t="n">
        <f aca="false">IF(Debt!W114&gt;Inputs!$F$253,IF(Debt!V114&gt;Inputs!$F$253,(W7+V7)/(Debt!W114+Debt!V114),W17),0)</f>
        <v>1.32752343596035</v>
      </c>
      <c r="X18" s="3" t="n">
        <f aca="false">IF(Debt!X114&gt;Inputs!$F$253,IF(Debt!W114&gt;Inputs!$F$253,(X7+W7)/(Debt!X114+Debt!W114),X17),0)</f>
        <v>1.32665866576686</v>
      </c>
      <c r="Y18" s="3" t="n">
        <f aca="false">IF(Debt!Y114&gt;Inputs!$F$253,IF(Debt!X114&gt;Inputs!$F$253,(Y7+X7)/(Debt!Y114+Debt!X114),Y17),0)</f>
        <v>1.32579039179509</v>
      </c>
      <c r="Z18" s="3" t="n">
        <f aca="false">IF(Debt!Z114&gt;Inputs!$F$253,IF(Debt!Y114&gt;Inputs!$F$253,(Z7+Y7)/(Debt!Z114+Debt!Y114),Z17),0)</f>
        <v>1.32569662078894</v>
      </c>
      <c r="AA18" s="3" t="n">
        <f aca="false">IF(Debt!AA114&gt;Inputs!$F$253,IF(Debt!Z114&gt;Inputs!$F$253,(AA7+Z7)/(Debt!AA114+Debt!Z114),AA17),0)</f>
        <v>1.32560332882527</v>
      </c>
      <c r="AB18" s="3" t="n">
        <f aca="false">IF(Debt!AB114&gt;Inputs!$F$253,IF(Debt!AA114&gt;Inputs!$F$253,(AB7+AA7)/(Debt!AB114+Debt!AA114),AB17),0)</f>
        <v>1.33560904717945</v>
      </c>
      <c r="AC18" s="3" t="n">
        <f aca="false">IF(Debt!AC114&gt;Inputs!$F$253,IF(Debt!AB114&gt;Inputs!$F$253,(AC7+AB7)/(Debt!AC114+Debt!AB114),AC17),0)</f>
        <v>1.35860739831324</v>
      </c>
      <c r="AD18" s="3" t="n">
        <f aca="false">IF(Debt!AD114&gt;Inputs!$F$253,IF(Debt!AC114&gt;Inputs!$F$253,(AD7+AC7)/(Debt!AD114+Debt!AC114),AD17),0)</f>
        <v>1.38663345528469</v>
      </c>
      <c r="AE18" s="3" t="n">
        <f aca="false">IF(Debt!AE114&gt;Inputs!$F$253,IF(Debt!AD114&gt;Inputs!$F$253,(AE7+AD7)/(Debt!AE114+Debt!AD114),AE17),0)</f>
        <v>1.41928325150903</v>
      </c>
      <c r="AF18" s="3" t="n">
        <f aca="false">IF(Debt!AF114&gt;Inputs!$F$253,IF(Debt!AE114&gt;Inputs!$F$253,(AF7+AE7)/(Debt!AF114+Debt!AE114),AF17),0)</f>
        <v>1.45979432093239</v>
      </c>
      <c r="AG18" s="3" t="n">
        <f aca="false">IF(Debt!AG114&gt;Inputs!$F$253,IF(Debt!AF114&gt;Inputs!$F$253,(AG7+AF7)/(Debt!AG114+Debt!AF114),AG17),0)</f>
        <v>1.51160113018133</v>
      </c>
      <c r="AH18" s="3" t="n">
        <f aca="false">IF(Debt!AH114&gt;Inputs!$F$253,IF(Debt!AG114&gt;Inputs!$F$253,(AH7+AG7)/(Debt!AH114+Debt!AG114),AH17),0)</f>
        <v>1.57916344426375</v>
      </c>
      <c r="AI18" s="3" t="n">
        <f aca="false">IF(Debt!AI114&gt;Inputs!$F$253,IF(Debt!AH114&gt;Inputs!$F$253,(AI7+AH7)/(Debt!AI114+Debt!AH114),AI17),0)</f>
        <v>1.66777989156954</v>
      </c>
      <c r="AJ18" s="3" t="n">
        <f aca="false">IF(Debt!AJ114&gt;Inputs!$F$253,IF(Debt!AI114&gt;Inputs!$F$253,(AJ7+AI7)/(Debt!AJ114+Debt!AI114),AJ17),0)</f>
        <v>1.79582733485456</v>
      </c>
      <c r="AK18" s="3" t="n">
        <f aca="false">IF(Debt!AK114&gt;Inputs!$F$253,IF(Debt!AJ114&gt;Inputs!$F$253,(AK7+AJ7)/(Debt!AK114+Debt!AJ114),AK17),0)</f>
        <v>1.9954658836173</v>
      </c>
      <c r="AL18" s="3" t="n">
        <f aca="false">IF(Debt!AL114&gt;Inputs!$F$253,IF(Debt!AK114&gt;Inputs!$F$253,(AL7+AK7)/(Debt!AL114+Debt!AK114),AL17),0)</f>
        <v>2.25716088646195</v>
      </c>
      <c r="AM18" s="3" t="n">
        <f aca="false">IF(Debt!AM114&gt;Inputs!$F$253,IF(Debt!AL114&gt;Inputs!$F$253,(AM7+AL7)/(Debt!AM114+Debt!AL114),AM17),0)</f>
        <v>2.38942300251059</v>
      </c>
      <c r="AN18" s="3" t="n">
        <f aca="false">IF(Debt!AN114&gt;Inputs!$F$253,IF(Debt!AM114&gt;Inputs!$F$253,(AN7+AM7)/(Debt!AN114+Debt!AM114),AN17),0)</f>
        <v>2.5107428739519</v>
      </c>
      <c r="AO18" s="3" t="n">
        <f aca="false">IF(Debt!AO114&gt;Inputs!$F$253,IF(Debt!AN114&gt;Inputs!$F$253,(AO7+AN7)/(Debt!AO114+Debt!AN114),AO17),0)</f>
        <v>2.54534577433789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96.3001305750061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5.73776912183081</v>
      </c>
      <c r="AB29" s="13" t="n">
        <f aca="false">IF(AND(AB24=1,Time!AB52=1,Inputs!$F$52=1),MIN(Inputs!$F$111*AB15,Debt!AB73),0)</f>
        <v>6.65628087607004</v>
      </c>
      <c r="AC29" s="13" t="n">
        <f aca="false">IF(AND(AC24=1,Time!AC52=1,Inputs!$F$52=1),MIN(Inputs!$F$111*AC15,Debt!AC73),0)</f>
        <v>6.28577975215511</v>
      </c>
      <c r="AD29" s="13" t="n">
        <f aca="false">IF(AND(AD24=1,Time!AD52=1,Inputs!$F$52=1),MIN(Inputs!$F$111*AD15,Debt!AD73),0)</f>
        <v>7.59906947576215</v>
      </c>
      <c r="AE29" s="13" t="n">
        <f aca="false">IF(AND(AE24=1,Time!AE52=1,Inputs!$F$52=1),MIN(Inputs!$F$111*AE15,Debt!AE73),0)</f>
        <v>8.15716282517507</v>
      </c>
      <c r="AF29" s="13" t="n">
        <f aca="false">IF(AND(AF24=1,Time!AF52=1,Inputs!$F$52=1),MIN(Inputs!$F$111*AF15,Debt!AF73),0)</f>
        <v>8.96866993897747</v>
      </c>
      <c r="AG29" s="13" t="n">
        <f aca="false">IF(AND(AG24=1,Time!AG52=1,Inputs!$F$52=1),MIN(Inputs!$F$111*AG15,Debt!AG73),0)</f>
        <v>9.34265983250108</v>
      </c>
      <c r="AH29" s="13" t="n">
        <f aca="false">IF(AND(AH24=1,Time!AH52=1,Inputs!$F$52=1),MIN(Inputs!$F$111*AH15,Debt!AH73),0)</f>
        <v>10.6518811437195</v>
      </c>
      <c r="AI29" s="13" t="n">
        <f aca="false">IF(AND(AI24=1,Time!AI52=1,Inputs!$F$52=1),MIN(Inputs!$F$111*AI15,Debt!AI73),0)</f>
        <v>11.4633594914264</v>
      </c>
      <c r="AJ29" s="13" t="n">
        <f aca="false">IF(AND(AJ24=1,Time!AJ52=1,Inputs!$F$52=1),MIN(Inputs!$F$111*AJ15,Debt!AJ73),0)</f>
        <v>13.2574155678939</v>
      </c>
      <c r="AK29" s="13" t="n">
        <f aca="false">IF(AND(AK24=1,Time!AK52=1,Inputs!$F$52=1),MIN(Inputs!$F$111*AK15,Debt!AK73),0)</f>
        <v>8.18008254949463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1364.52734534462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36.4636295981268</v>
      </c>
      <c r="T31" s="13" t="n">
        <f aca="false">IF(T24=1,T15-T29,0)</f>
        <v>12.5352067015835</v>
      </c>
      <c r="U31" s="13" t="n">
        <f aca="false">IF(U24=1,U15-U29,0)</f>
        <v>11.5785441844972</v>
      </c>
      <c r="V31" s="13" t="n">
        <f aca="false">IF(V24=1,V15-V29,0)</f>
        <v>12.8084024108506</v>
      </c>
      <c r="W31" s="13" t="n">
        <f aca="false">IF(W24=1,W15-W29,0)</f>
        <v>13.5464120334257</v>
      </c>
      <c r="X31" s="13" t="n">
        <f aca="false">IF(X24=1,X15-X29,0)</f>
        <v>12.3894976968055</v>
      </c>
      <c r="Y31" s="13" t="n">
        <f aca="false">IF(Y24=1,Y15-Y29,0)</f>
        <v>11.6106116563639</v>
      </c>
      <c r="Z31" s="13" t="n">
        <f aca="false">IF(Z24=1,Z15-Z29,0)</f>
        <v>12.3052245112197</v>
      </c>
      <c r="AA31" s="13" t="n">
        <f aca="false">IF(AA24=1,AA15-AA29,0)</f>
        <v>5.73776912183081</v>
      </c>
      <c r="AB31" s="13" t="n">
        <f aca="false">IF(AB24=1,AB15-AB29,0)</f>
        <v>6.65628087607004</v>
      </c>
      <c r="AC31" s="13" t="n">
        <f aca="false">IF(AC24=1,AC15-AC29,0)</f>
        <v>6.28577975215511</v>
      </c>
      <c r="AD31" s="13" t="n">
        <f aca="false">IF(AD24=1,AD15-AD29,0)</f>
        <v>7.59906947576215</v>
      </c>
      <c r="AE31" s="13" t="n">
        <f aca="false">IF(AE24=1,AE15-AE29,0)</f>
        <v>8.15716282517507</v>
      </c>
      <c r="AF31" s="13" t="n">
        <f aca="false">IF(AF24=1,AF15-AF29,0)</f>
        <v>8.96866993897747</v>
      </c>
      <c r="AG31" s="13" t="n">
        <f aca="false">IF(AG24=1,AG15-AG29,0)</f>
        <v>9.34265983250108</v>
      </c>
      <c r="AH31" s="13" t="n">
        <f aca="false">IF(AH24=1,AH15-AH29,0)</f>
        <v>10.6518811437195</v>
      </c>
      <c r="AI31" s="13" t="n">
        <f aca="false">IF(AI24=1,AI15-AI29,0)</f>
        <v>11.4633594914264</v>
      </c>
      <c r="AJ31" s="13" t="n">
        <f aca="false">IF(AJ24=1,AJ15-AJ29,0)</f>
        <v>13.2574155678939</v>
      </c>
      <c r="AK31" s="13" t="n">
        <f aca="false">IF(AK24=1,AK15-AK29,0)</f>
        <v>21.8559292715483</v>
      </c>
      <c r="AL31" s="13" t="n">
        <f aca="false">IF(AL24=1,AL15-AL29,0)</f>
        <v>33.1387847438839</v>
      </c>
      <c r="AM31" s="13" t="n">
        <f aca="false">IF(AM24=1,AM15-AM29,0)</f>
        <v>33.0708372252113</v>
      </c>
      <c r="AN31" s="13" t="n">
        <f aca="false">IF(AN24=1,AN15-AN29,0)</f>
        <v>32.0033247907474</v>
      </c>
      <c r="AO31" s="13" t="n">
        <f aca="false">IF(AO24=1,AO15-AO29,0)</f>
        <v>43.779007224722</v>
      </c>
      <c r="AP31" s="13" t="n">
        <f aca="false">IF(AP24=1,AP15-AP29,0)</f>
        <v>41.3277557686957</v>
      </c>
      <c r="AQ31" s="13" t="n">
        <f aca="false">IF(AQ24=1,AQ15-AQ29,0)</f>
        <v>40.4276137618877</v>
      </c>
      <c r="AR31" s="13" t="n">
        <f aca="false">IF(AR24=1,AR15-AR29,0)</f>
        <v>40.9995884147656</v>
      </c>
      <c r="AS31" s="13" t="n">
        <f aca="false">IF(AS24=1,AS15-AS29,0)</f>
        <v>40.7426627249132</v>
      </c>
      <c r="AT31" s="13" t="n">
        <f aca="false">IF(AT24=1,AT15-AT29,0)</f>
        <v>47.487463261274</v>
      </c>
      <c r="AU31" s="13" t="n">
        <f aca="false">IF(AU24=1,AU15-AU29,0)</f>
        <v>43.0506359358084</v>
      </c>
      <c r="AV31" s="13" t="n">
        <f aca="false">IF(AV24=1,AV15-AV29,0)</f>
        <v>43.1284738456562</v>
      </c>
      <c r="AW31" s="13" t="n">
        <f aca="false">IF(AW24=1,AW15-AW29,0)</f>
        <v>42.7026679293284</v>
      </c>
      <c r="AX31" s="13" t="n">
        <f aca="false">IF(AX24=1,AX15-AX29,0)</f>
        <v>43.3577949822907</v>
      </c>
      <c r="AY31" s="13" t="n">
        <f aca="false">IF(AY24=1,AY15-AY29,0)</f>
        <v>42.9075497204208</v>
      </c>
      <c r="AZ31" s="13" t="n">
        <f aca="false">IF(AZ24=1,AZ15-AZ29,0)</f>
        <v>43.4989466463972</v>
      </c>
      <c r="BA31" s="13" t="n">
        <f aca="false">IF(BA24=1,BA15-BA29,0)</f>
        <v>42.7129253229169</v>
      </c>
      <c r="BB31" s="13" t="n">
        <f aca="false">IF(BB24=1,BB15-BB29,0)</f>
        <v>43.9469194871056</v>
      </c>
      <c r="BC31" s="13" t="n">
        <f aca="false">IF(BC24=1,BC15-BC29,0)</f>
        <v>40.5373712858379</v>
      </c>
      <c r="BD31" s="13" t="n">
        <f aca="false">IF(BD24=1,BD15-BD29,0)</f>
        <v>34.3867972701239</v>
      </c>
      <c r="BE31" s="13" t="n">
        <f aca="false">IF(BE24=1,BE15-BE29,0)</f>
        <v>33.9390631600481</v>
      </c>
      <c r="BF31" s="13" t="n">
        <f aca="false">IF(BF24=1,BF15-BF29,0)</f>
        <v>34.6049688979624</v>
      </c>
      <c r="BG31" s="13" t="n">
        <f aca="false">IF(BG24=1,BG15-BG29,0)</f>
        <v>34.1274566561768</v>
      </c>
      <c r="BH31" s="13" t="n">
        <f aca="false">IF(BH24=1,BH15-BH29,0)</f>
        <v>34.7224987373633</v>
      </c>
      <c r="BI31" s="13" t="n">
        <f aca="false">IF(BI24=1,BI15-BI29,0)</f>
        <v>34.4538198300099</v>
      </c>
      <c r="BJ31" s="13" t="n">
        <f aca="false">IF(BJ24=1,BJ15-BJ29,0)</f>
        <v>42.4737728809666</v>
      </c>
      <c r="BK31" s="13" t="n">
        <f aca="false">IF(BK24=1,BK15-BK29,0)</f>
        <v>37.2065935617914</v>
      </c>
      <c r="BL31" s="13" t="n">
        <f aca="false">IF(BL24=1,BL15-BL29,0)</f>
        <v>37.882746437929</v>
      </c>
      <c r="BM31" s="13" t="n">
        <f aca="false">IF(BM24=1,BM15-BM29,0)</f>
        <v>53.6986091627736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211.889182304779</v>
      </c>
      <c r="S33" s="13" t="n">
        <f aca="false">IF(Time!S20&lt;Time!$F$12,0,IF(Time!S34=1,INDEX(Funding!$J$72:$BJ$72,1,Time!$F$14),R36))</f>
        <v>222.036642323102</v>
      </c>
      <c r="T33" s="13" t="n">
        <f aca="false">IF(Time!T20&lt;Time!$F$12,0,IF(Time!T34=1,INDEX(Funding!$J$72:$BJ$72,1,Time!$F$14),S36))</f>
        <v>196.033067696881</v>
      </c>
      <c r="U33" s="13" t="n">
        <f aca="false">IF(Time!U20&lt;Time!$F$12,0,IF(Time!U34=1,INDEX(Funding!$J$72:$BJ$72,1,Time!$F$14),T36))</f>
        <v>192.885965168836</v>
      </c>
      <c r="V33" s="13" t="n">
        <f aca="false">IF(Time!V20&lt;Time!$F$12,0,IF(Time!V34=1,INDEX(Funding!$J$72:$BJ$72,1,Time!$F$14),U36))</f>
        <v>190.444402731651</v>
      </c>
      <c r="W33" s="13" t="n">
        <f aca="false">IF(Time!W20&lt;Time!$F$12,0,IF(Time!W34=1,INDEX(Funding!$J$72:$BJ$72,1,Time!$F$14),V36))</f>
        <v>186.756461032443</v>
      </c>
      <c r="X33" s="13" t="n">
        <f aca="false">IF(Time!X20&lt;Time!$F$12,0,IF(Time!X34=1,INDEX(Funding!$J$72:$BJ$72,1,Time!$F$14),W36))</f>
        <v>182.008069129025</v>
      </c>
      <c r="Y33" s="13" t="n">
        <f aca="false">IF(Time!Y20&lt;Time!$F$12,0,IF(Time!Y34=1,INDEX(Funding!$J$72:$BJ$72,1,Time!$F$14),X36))</f>
        <v>178.335012660645</v>
      </c>
      <c r="Z33" s="13" t="n">
        <f aca="false">IF(Time!Z20&lt;Time!$F$12,0,IF(Time!Z34=1,INDEX(Funding!$J$72:$BJ$72,1,Time!$F$14),Y36))</f>
        <v>175.125690162362</v>
      </c>
      <c r="AA33" s="13" t="n">
        <f aca="false">IF(Time!AA20&lt;Time!$F$12,0,IF(Time!AA34=1,INDEX(Funding!$J$72:$BJ$72,1,Time!$F$14),Z36))</f>
        <v>171.20730692248</v>
      </c>
      <c r="AB33" s="13" t="n">
        <f aca="false">IF(Time!AB20&lt;Time!$F$12,0,IF(Time!AB34=1,INDEX(Funding!$J$72:$BJ$72,1,Time!$F$14),AA36))</f>
        <v>173.5350436706</v>
      </c>
      <c r="AC33" s="13" t="n">
        <f aca="false">IF(Time!AC20&lt;Time!$F$12,0,IF(Time!AC34=1,INDEX(Funding!$J$72:$BJ$72,1,Time!$F$14),AB36))</f>
        <v>175.189427351686</v>
      </c>
      <c r="AD33" s="13" t="n">
        <f aca="false">IF(Time!AD20&lt;Time!$F$12,0,IF(Time!AD34=1,INDEX(Funding!$J$72:$BJ$72,1,Time!$F$14),AC36))</f>
        <v>177.202346774629</v>
      </c>
      <c r="AE33" s="13" t="n">
        <f aca="false">IF(Time!AE20&lt;Time!$F$12,0,IF(Time!AE34=1,INDEX(Funding!$J$72:$BJ$72,1,Time!$F$14),AD36))</f>
        <v>178.089570508786</v>
      </c>
      <c r="AF33" s="13" t="n">
        <f aca="false">IF(Time!AF20&lt;Time!$F$12,0,IF(Time!AF34=1,INDEX(Funding!$J$72:$BJ$72,1,Time!$F$14),AE36))</f>
        <v>178.322134162785</v>
      </c>
      <c r="AG33" s="13" t="n">
        <f aca="false">IF(Time!AG20&lt;Time!$F$12,0,IF(Time!AG34=1,INDEX(Funding!$J$72:$BJ$72,1,Time!$F$14),AF36))</f>
        <v>177.893384511932</v>
      </c>
      <c r="AH33" s="13" t="n">
        <f aca="false">IF(Time!AH20&lt;Time!$F$12,0,IF(Time!AH34=1,INDEX(Funding!$J$72:$BJ$72,1,Time!$F$14),AG36))</f>
        <v>176.931208916918</v>
      </c>
      <c r="AI33" s="13" t="n">
        <f aca="false">IF(Time!AI20&lt;Time!$F$12,0,IF(Time!AI34=1,INDEX(Funding!$J$72:$BJ$72,1,Time!$F$14),AH36))</f>
        <v>174.752636079685</v>
      </c>
      <c r="AJ33" s="13" t="n">
        <f aca="false">IF(Time!AJ20&lt;Time!$F$12,0,IF(Time!AJ34=1,INDEX(Funding!$J$72:$BJ$72,1,Time!$F$14),AI36))</f>
        <v>171.521801457821</v>
      </c>
      <c r="AK33" s="13" t="n">
        <f aca="false">IF(Time!AK20&lt;Time!$F$12,0,IF(Time!AK34=1,INDEX(Funding!$J$72:$BJ$72,1,Time!$F$14),AJ36))</f>
        <v>166.478635450154</v>
      </c>
      <c r="AL33" s="13" t="n">
        <f aca="false">IF(Time!AL20&lt;Time!$F$12,0,IF(Time!AL34=1,INDEX(Funding!$J$72:$BJ$72,1,Time!$F$14),AK36))</f>
        <v>152.508776334587</v>
      </c>
      <c r="AM33" s="13" t="n">
        <f aca="false">IF(Time!AM20&lt;Time!$F$12,0,IF(Time!AM34=1,INDEX(Funding!$J$72:$BJ$72,1,Time!$F$14),AL36))</f>
        <v>126.673699564206</v>
      </c>
      <c r="AN33" s="13" t="n">
        <f aca="false">IF(Time!AN20&lt;Time!$F$12,0,IF(Time!AN34=1,INDEX(Funding!$J$72:$BJ$72,1,Time!$F$14),AM36))</f>
        <v>99.5704082677794</v>
      </c>
      <c r="AO33" s="13" t="n">
        <f aca="false">IF(Time!AO20&lt;Time!$F$12,0,IF(Time!AO34=1,INDEX(Funding!$J$72:$BJ$72,1,Time!$F$14),AN36))</f>
        <v>72.3355512483218</v>
      </c>
      <c r="AP33" s="13" t="n">
        <f aca="false">IF(Time!AP20&lt;Time!$F$12,0,IF(Time!AP34=1,INDEX(Funding!$J$72:$BJ$72,1,Time!$F$14),AO36))</f>
        <v>31.9642421159694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189.482443387842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10.4600549719061</v>
      </c>
      <c r="T34" s="13" t="n">
        <f aca="false">T24*MIN(T31,Tax!T13)</f>
        <v>9.3881041735383</v>
      </c>
      <c r="U34" s="13" t="n">
        <f aca="false">U24*MIN(U31,Tax!U13)</f>
        <v>9.13698174731279</v>
      </c>
      <c r="V34" s="13" t="n">
        <f aca="false">V24*MIN(V31,Tax!V13)</f>
        <v>9.12046071164182</v>
      </c>
      <c r="W34" s="13" t="n">
        <f aca="false">W24*MIN(W31,Tax!W13)</f>
        <v>8.79802013000781</v>
      </c>
      <c r="X34" s="13" t="n">
        <f aca="false">X24*MIN(X31,Tax!X13)</f>
        <v>8.71644122842562</v>
      </c>
      <c r="Y34" s="13" t="n">
        <f aca="false">Y24*MIN(Y31,Tax!Y13)</f>
        <v>8.40128915808161</v>
      </c>
      <c r="Z34" s="13" t="n">
        <f aca="false">Z24*MIN(Z31,Tax!Z13)</f>
        <v>8.38684127133725</v>
      </c>
      <c r="AA34" s="13" t="n">
        <f aca="false">AA24*MIN(AA31,Tax!AA13)</f>
        <v>5.73776912183081</v>
      </c>
      <c r="AB34" s="13" t="n">
        <f aca="false">AB24*MIN(AB31,Tax!AB13)</f>
        <v>6.65628087607004</v>
      </c>
      <c r="AC34" s="13" t="n">
        <f aca="false">AC24*MIN(AC31,Tax!AC13)</f>
        <v>6.28577975215511</v>
      </c>
      <c r="AD34" s="13" t="n">
        <f aca="false">AD24*MIN(AD31,Tax!AD13)</f>
        <v>7.59906947576215</v>
      </c>
      <c r="AE34" s="13" t="n">
        <f aca="false">AE24*MIN(AE31,Tax!AE13)</f>
        <v>8.15716282517507</v>
      </c>
      <c r="AF34" s="13" t="n">
        <f aca="false">AF24*MIN(AF31,Tax!AF13)</f>
        <v>8.53992028812461</v>
      </c>
      <c r="AG34" s="13" t="n">
        <f aca="false">AG24*MIN(AG31,Tax!AG13)</f>
        <v>8.38048423748678</v>
      </c>
      <c r="AH34" s="13" t="n">
        <f aca="false">AH24*MIN(AH31,Tax!AH13)</f>
        <v>8.47330830648692</v>
      </c>
      <c r="AI34" s="13" t="n">
        <f aca="false">AI24*MIN(AI31,Tax!AI13)</f>
        <v>8.23252486956216</v>
      </c>
      <c r="AJ34" s="13" t="n">
        <f aca="false">AJ24*MIN(AJ31,Tax!AJ13)</f>
        <v>8.21424956022661</v>
      </c>
      <c r="AK34" s="13" t="n">
        <f aca="false">AK24*MIN(AK31,Tax!AK13)</f>
        <v>7.88607015598126</v>
      </c>
      <c r="AL34" s="13" t="n">
        <f aca="false">AL24*MIN(AL31,Tax!AL13)</f>
        <v>7.30370797350295</v>
      </c>
      <c r="AM34" s="13" t="n">
        <f aca="false">AM24*MIN(AM31,Tax!AM13)</f>
        <v>5.96754592878498</v>
      </c>
      <c r="AN34" s="13" t="n">
        <f aca="false">AN24*MIN(AN31,Tax!AN13)</f>
        <v>4.76846777128982</v>
      </c>
      <c r="AO34" s="13" t="n">
        <f aca="false">AO24*MIN(AO31,Tax!AO13)</f>
        <v>3.40769809236957</v>
      </c>
      <c r="AP34" s="13" t="n">
        <f aca="false">AP24*MIN(AP31,Tax!AP13)</f>
        <v>1.53078069092369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234.215229081226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26.0035746262207</v>
      </c>
      <c r="T35" s="13" t="n">
        <f aca="false">T24*MIN(T31-T34,T33+Tax!T13-T34)</f>
        <v>3.14710252804516</v>
      </c>
      <c r="U35" s="13" t="n">
        <f aca="false">U24*MIN(U31-U34,U33+Tax!U13-U34)</f>
        <v>2.44156243718442</v>
      </c>
      <c r="V35" s="13" t="n">
        <f aca="false">V24*MIN(V31-V34,V33+Tax!V13-V34)</f>
        <v>3.68794169920874</v>
      </c>
      <c r="W35" s="13" t="n">
        <f aca="false">W24*MIN(W31-W34,W33+Tax!W13-W34)</f>
        <v>4.74839190341785</v>
      </c>
      <c r="X35" s="13" t="n">
        <f aca="false">X24*MIN(X31-X34,X33+Tax!X13-X34)</f>
        <v>3.67305646837984</v>
      </c>
      <c r="Y35" s="13" t="n">
        <f aca="false">Y24*MIN(Y31-Y34,Y33+Tax!Y13-Y34)</f>
        <v>3.20932249828233</v>
      </c>
      <c r="Z35" s="13" t="n">
        <f aca="false">Z24*MIN(Z31-Z34,Z33+Tax!Z13-Z34)</f>
        <v>3.91838323988249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0.428749650852856</v>
      </c>
      <c r="AG35" s="13" t="n">
        <f aca="false">AG24*MIN(AG31-AG34,AG33+Tax!AG13-AG34)</f>
        <v>0.962175595014305</v>
      </c>
      <c r="AH35" s="13" t="n">
        <f aca="false">AH24*MIN(AH31-AH34,AH33+Tax!AH13-AH34)</f>
        <v>2.17857283723259</v>
      </c>
      <c r="AI35" s="13" t="n">
        <f aca="false">AI24*MIN(AI31-AI34,AI33+Tax!AI13-AI34)</f>
        <v>3.23083462186423</v>
      </c>
      <c r="AJ35" s="13" t="n">
        <f aca="false">AJ24*MIN(AJ31-AJ34,AJ33+Tax!AJ13-AJ34)</f>
        <v>5.04316600766729</v>
      </c>
      <c r="AK35" s="13" t="n">
        <f aca="false">AK24*MIN(AK31-AK34,AK33+Tax!AK13-AK34)</f>
        <v>13.969859115567</v>
      </c>
      <c r="AL35" s="13" t="n">
        <f aca="false">AL24*MIN(AL31-AL34,AL33+Tax!AL13-AL34)</f>
        <v>25.835076770381</v>
      </c>
      <c r="AM35" s="13" t="n">
        <f aca="false">AM24*MIN(AM31-AM34,AM33+Tax!AM13-AM34)</f>
        <v>27.1032912964263</v>
      </c>
      <c r="AN35" s="13" t="n">
        <f aca="false">AN24*MIN(AN31-AN34,AN33+Tax!AN13-AN34)</f>
        <v>27.2348570194576</v>
      </c>
      <c r="AO35" s="13" t="n">
        <f aca="false">AO24*MIN(AO31-AO34,AO33+Tax!AO13-AO34)</f>
        <v>40.3713091323524</v>
      </c>
      <c r="AP35" s="13" t="n">
        <f aca="false">AP24*MIN(AP31-AP34,AP33+Tax!AP13-AP34)</f>
        <v>31.9642421159694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211.889182304779</v>
      </c>
      <c r="R36" s="13" t="n">
        <f aca="false">R33+Tax!R13-R34-R35</f>
        <v>222.036642323102</v>
      </c>
      <c r="S36" s="13" t="n">
        <f aca="false">S33+Tax!S13-S34-S35</f>
        <v>196.033067696881</v>
      </c>
      <c r="T36" s="13" t="n">
        <f aca="false">T33+Tax!T13-T34-T35</f>
        <v>192.885965168836</v>
      </c>
      <c r="U36" s="13" t="n">
        <f aca="false">U33+Tax!U13-U34-U35</f>
        <v>190.444402731651</v>
      </c>
      <c r="V36" s="13" t="n">
        <f aca="false">V33+Tax!V13-V34-V35</f>
        <v>186.756461032443</v>
      </c>
      <c r="W36" s="13" t="n">
        <f aca="false">W33+Tax!W13-W34-W35</f>
        <v>182.008069129025</v>
      </c>
      <c r="X36" s="13" t="n">
        <f aca="false">X33+Tax!X13-X34-X35</f>
        <v>178.335012660645</v>
      </c>
      <c r="Y36" s="13" t="n">
        <f aca="false">Y33+Tax!Y13-Y34-Y35</f>
        <v>175.125690162362</v>
      </c>
      <c r="Z36" s="13" t="n">
        <f aca="false">Z33+Tax!Z13-Z34-Z35</f>
        <v>171.20730692248</v>
      </c>
      <c r="AA36" s="13" t="n">
        <f aca="false">AA33+Tax!AA13-AA34-AA35</f>
        <v>173.5350436706</v>
      </c>
      <c r="AB36" s="13" t="n">
        <f aca="false">AB33+Tax!AB13-AB34-AB35</f>
        <v>175.189427351686</v>
      </c>
      <c r="AC36" s="13" t="n">
        <f aca="false">AC33+Tax!AC13-AC34-AC35</f>
        <v>177.202346774629</v>
      </c>
      <c r="AD36" s="13" t="n">
        <f aca="false">AD33+Tax!AD13-AD34-AD35</f>
        <v>178.089570508786</v>
      </c>
      <c r="AE36" s="13" t="n">
        <f aca="false">AE33+Tax!AE13-AE34-AE35</f>
        <v>178.322134162785</v>
      </c>
      <c r="AF36" s="13" t="n">
        <f aca="false">AF33+Tax!AF13-AF34-AF35</f>
        <v>177.893384511932</v>
      </c>
      <c r="AG36" s="13" t="n">
        <f aca="false">AG33+Tax!AG13-AG34-AG35</f>
        <v>176.931208916918</v>
      </c>
      <c r="AH36" s="13" t="n">
        <f aca="false">AH33+Tax!AH13-AH34-AH35</f>
        <v>174.752636079685</v>
      </c>
      <c r="AI36" s="13" t="n">
        <f aca="false">AI33+Tax!AI13-AI34-AI35</f>
        <v>171.521801457821</v>
      </c>
      <c r="AJ36" s="13" t="n">
        <f aca="false">AJ33+Tax!AJ13-AJ34-AJ35</f>
        <v>166.478635450154</v>
      </c>
      <c r="AK36" s="13" t="n">
        <f aca="false">AK33+Tax!AK13-AK34-AK35</f>
        <v>152.508776334587</v>
      </c>
      <c r="AL36" s="13" t="n">
        <f aca="false">AL33+Tax!AL13-AL34-AL35</f>
        <v>126.673699564206</v>
      </c>
      <c r="AM36" s="13" t="n">
        <f aca="false">AM33+Tax!AM13-AM34-AM35</f>
        <v>99.5704082677794</v>
      </c>
      <c r="AN36" s="13" t="n">
        <f aca="false">AN33+Tax!AN13-AN34-AN35</f>
        <v>72.3355512483218</v>
      </c>
      <c r="AO36" s="13" t="n">
        <f aca="false">AO33+Tax!AO13-AO34-AO35</f>
        <v>31.9642421159694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24.9719260961185</v>
      </c>
      <c r="R37" s="13" t="n">
        <f aca="false">MAX(0,Q43+Financials!R14)</f>
        <v>32.6432625154513</v>
      </c>
      <c r="S37" s="13" t="n">
        <f aca="false">MAX(0,R43+Financials!S14)</f>
        <v>40.8390295651374</v>
      </c>
      <c r="T37" s="13" t="n">
        <f aca="false">MAX(0,S43+Financials!T14)</f>
        <v>50.5180386126767</v>
      </c>
      <c r="U37" s="13" t="n">
        <f aca="false">MAX(0,T43+Financials!U14)</f>
        <v>61.3410918845167</v>
      </c>
      <c r="V37" s="13" t="n">
        <f aca="false">MAX(0,U43+Financials!V14)</f>
        <v>70.3885324607546</v>
      </c>
      <c r="W37" s="13" t="n">
        <f aca="false">MAX(0,V43+Financials!W14)</f>
        <v>83.1522570309033</v>
      </c>
      <c r="X37" s="13" t="n">
        <f aca="false">MAX(0,W43+Financials!X14)</f>
        <v>96.4688844894507</v>
      </c>
      <c r="Y37" s="13" t="n">
        <f aca="false">MAX(0,X43+Financials!Y14)</f>
        <v>107.850948128814</v>
      </c>
      <c r="Z37" s="13" t="n">
        <f aca="false">MAX(0,Y43+Financials!Z14)</f>
        <v>114.302809612885</v>
      </c>
      <c r="AA37" s="13" t="n">
        <f aca="false">MAX(0,Z43+Financials!AA14)</f>
        <v>121.658931274156</v>
      </c>
      <c r="AB37" s="13" t="n">
        <f aca="false">MAX(0,AA43+Financials!AB14)</f>
        <v>129.484391080997</v>
      </c>
      <c r="AC37" s="13" t="n">
        <f aca="false">MAX(0,AB43+Financials!AC14)</f>
        <v>138.301509825468</v>
      </c>
      <c r="AD37" s="13" t="n">
        <f aca="false">MAX(0,AC43+Financials!AD14)</f>
        <v>138.412262953492</v>
      </c>
      <c r="AE37" s="13" t="n">
        <f aca="false">MAX(0,AD43+Financials!AE14)</f>
        <v>149.586247824215</v>
      </c>
      <c r="AF37" s="13" t="n">
        <f aca="false">MAX(0,AE43+Financials!AF14)</f>
        <v>160.803100066994</v>
      </c>
      <c r="AG37" s="13" t="n">
        <f aca="false">MAX(0,AF43+Financials!AG14)</f>
        <v>173.031868613276</v>
      </c>
      <c r="AH37" s="13" t="n">
        <f aca="false">MAX(0,AG43+Financials!AH14)</f>
        <v>186.175925486801</v>
      </c>
      <c r="AI37" s="13" t="n">
        <f aca="false">MAX(0,AH43+Financials!AI14)</f>
        <v>200.569699509578</v>
      </c>
      <c r="AJ37" s="13" t="n">
        <f aca="false">MAX(0,AI43+Financials!AJ14)</f>
        <v>215.964537035251</v>
      </c>
      <c r="AK37" s="13" t="n">
        <f aca="false">MAX(0,AJ43+Financials!AK14)</f>
        <v>232.736693320144</v>
      </c>
      <c r="AL37" s="13" t="n">
        <f aca="false">MAX(0,AK43+Financials!AL14)</f>
        <v>248.758594273587</v>
      </c>
      <c r="AM37" s="13" t="n">
        <f aca="false">MAX(0,AL43+Financials!AM14)</f>
        <v>268.221335503</v>
      </c>
      <c r="AN37" s="13" t="n">
        <f aca="false">MAX(0,AM43+Financials!AN14)</f>
        <v>288.893668416828</v>
      </c>
      <c r="AO37" s="13" t="n">
        <f aca="false">MAX(0,AN43+Financials!AO14)</f>
        <v>311.336449728453</v>
      </c>
      <c r="AP37" s="13" t="n">
        <f aca="false">MAX(0,AO43+Financials!AP14)</f>
        <v>335.552499394826</v>
      </c>
      <c r="AQ37" s="13" t="n">
        <f aca="false">MAX(0,AP43+Financials!AQ14)</f>
        <v>353.07857260431</v>
      </c>
      <c r="AR37" s="13" t="n">
        <f aca="false">MAX(0,AQ43+Financials!AR14)</f>
        <v>338.066237603277</v>
      </c>
      <c r="AS37" s="13" t="n">
        <f aca="false">MAX(0,AR43+Financials!AS14)</f>
        <v>322.664332995962</v>
      </c>
      <c r="AT37" s="13" t="n">
        <f aca="false">MAX(0,AS43+Financials!AT14)</f>
        <v>297.242321219135</v>
      </c>
      <c r="AU37" s="13" t="n">
        <f aca="false">MAX(0,AT43+Financials!AU14)</f>
        <v>275.632215026062</v>
      </c>
      <c r="AV37" s="13" t="n">
        <f aca="false">MAX(0,AU43+Financials!AV14)</f>
        <v>258.358615407878</v>
      </c>
      <c r="AW37" s="13" t="n">
        <f aca="false">MAX(0,AV43+Financials!AW14)</f>
        <v>241.116287798671</v>
      </c>
      <c r="AX37" s="13" t="n">
        <f aca="false">MAX(0,AW43+Financials!AX14)</f>
        <v>224.430066394024</v>
      </c>
      <c r="AY37" s="13" t="n">
        <f aca="false">MAX(0,AX43+Financials!AY14)</f>
        <v>207.164810209642</v>
      </c>
      <c r="AZ37" s="13" t="n">
        <f aca="false">MAX(0,AY43+Financials!AZ14)</f>
        <v>190.410666663934</v>
      </c>
      <c r="BA37" s="13" t="n">
        <f aca="false">MAX(0,AZ43+Financials!BA14)</f>
        <v>173.225571984463</v>
      </c>
      <c r="BB37" s="13" t="n">
        <f aca="false">MAX(0,BA43+Financials!BB14)</f>
        <v>154.58209751057</v>
      </c>
      <c r="BC37" s="13" t="n">
        <f aca="false">MAX(0,BB43+Financials!BC14)</f>
        <v>137.213429293736</v>
      </c>
      <c r="BD37" s="13" t="n">
        <f aca="false">MAX(0,BC43+Financials!BD14)</f>
        <v>123.221045294611</v>
      </c>
      <c r="BE37" s="13" t="n">
        <f aca="false">MAX(0,BD43+Financials!BE14)</f>
        <v>115.497177009222</v>
      </c>
      <c r="BF37" s="13" t="n">
        <f aca="false">MAX(0,BE43+Financials!BF14)</f>
        <v>108.36360126253</v>
      </c>
      <c r="BG37" s="13" t="n">
        <f aca="false">MAX(0,BF43+Financials!BG14)</f>
        <v>100.645431988509</v>
      </c>
      <c r="BH37" s="13" t="n">
        <f aca="false">MAX(0,BG43+Financials!BH14)</f>
        <v>93.4703788337019</v>
      </c>
      <c r="BI37" s="13" t="n">
        <f aca="false">MAX(0,BH43+Financials!BI14)</f>
        <v>85.9179964394265</v>
      </c>
      <c r="BJ37" s="13" t="n">
        <f aca="false">MAX(0,BI43+Financials!BJ14)</f>
        <v>66.4871532055583</v>
      </c>
      <c r="BK37" s="13" t="n">
        <f aca="false">MAX(0,BJ43+Financials!BK14)</f>
        <v>51.5166541370196</v>
      </c>
      <c r="BL37" s="13" t="n">
        <f aca="false">MAX(0,BK43+Financials!BL14)</f>
        <v>41.6863651823401</v>
      </c>
      <c r="BM37" s="13" t="n">
        <f aca="false">MAX(0,BL43+Financials!BM14)</f>
        <v>8.77816524494446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7.83273296180257</v>
      </c>
      <c r="AQ38" s="13" t="n">
        <f aca="false">AQ24*MIN(AQ31-AQ34-AQ35,AQ37)</f>
        <v>40.4276137618877</v>
      </c>
      <c r="AR38" s="13" t="n">
        <f aca="false">AR24*MIN(AR31-AR34-AR35,AR37)</f>
        <v>40.9995884147656</v>
      </c>
      <c r="AS38" s="13" t="n">
        <f aca="false">AS24*MIN(AS31-AS34-AS35,AS37)</f>
        <v>40.7426627249132</v>
      </c>
      <c r="AT38" s="13" t="n">
        <f aca="false">AT24*MIN(AT31-AT34-AT35,AT37)</f>
        <v>47.487463261274</v>
      </c>
      <c r="AU38" s="13" t="n">
        <f aca="false">AU24*MIN(AU31-AU34-AU35,AU37)</f>
        <v>43.0506359358084</v>
      </c>
      <c r="AV38" s="13" t="n">
        <f aca="false">AV24*MIN(AV31-AV34-AV35,AV37)</f>
        <v>43.1284738456562</v>
      </c>
      <c r="AW38" s="13" t="n">
        <f aca="false">AW24*MIN(AW31-AW34-AW35,AW37)</f>
        <v>42.7026679293284</v>
      </c>
      <c r="AX38" s="13" t="n">
        <f aca="false">AX24*MIN(AX31-AX34-AX35,AX37)</f>
        <v>43.3577949822907</v>
      </c>
      <c r="AY38" s="13" t="n">
        <f aca="false">AY24*MIN(AY31-AY34-AY35,AY37)</f>
        <v>42.9075497204208</v>
      </c>
      <c r="AZ38" s="13" t="n">
        <f aca="false">AZ24*MIN(AZ31-AZ34-AZ35,AZ37)</f>
        <v>43.4989466463972</v>
      </c>
      <c r="BA38" s="13" t="n">
        <f aca="false">BA24*MIN(BA31-BA34-BA35,BA37)</f>
        <v>42.7129253229169</v>
      </c>
      <c r="BB38" s="13" t="n">
        <f aca="false">BB24*MIN(BB31-BB34-BB35,BB37)</f>
        <v>43.9469194871056</v>
      </c>
      <c r="BC38" s="13" t="n">
        <f aca="false">BC24*MIN(BC31-BC34-BC35,BC37)</f>
        <v>40.5373712858379</v>
      </c>
      <c r="BD38" s="13" t="n">
        <f aca="false">BD24*MIN(BD31-BD34-BD35,BD37)</f>
        <v>34.3867972701239</v>
      </c>
      <c r="BE38" s="13" t="n">
        <f aca="false">BE24*MIN(BE31-BE34-BE35,BE37)</f>
        <v>33.9390631600481</v>
      </c>
      <c r="BF38" s="13" t="n">
        <f aca="false">BF24*MIN(BF31-BF34-BF35,BF37)</f>
        <v>34.6049688979624</v>
      </c>
      <c r="BG38" s="13" t="n">
        <f aca="false">BG24*MIN(BG31-BG34-BG35,BG37)</f>
        <v>34.1274566561768</v>
      </c>
      <c r="BH38" s="13" t="n">
        <f aca="false">BH24*MIN(BH31-BH34-BH35,BH37)</f>
        <v>34.7224987373633</v>
      </c>
      <c r="BI38" s="13" t="n">
        <f aca="false">BI24*MIN(BI31-BI34-BI35,BI37)</f>
        <v>34.4538198300099</v>
      </c>
      <c r="BJ38" s="13" t="n">
        <f aca="false">BJ24*MIN(BJ31-BJ34-BJ35,BJ37)</f>
        <v>42.4737728809666</v>
      </c>
      <c r="BK38" s="13" t="n">
        <f aca="false">BK24*MIN(BK31-BK34-BK35,BK37)</f>
        <v>37.2065935617914</v>
      </c>
      <c r="BL38" s="13" t="n">
        <f aca="false">BL24*MIN(BL31-BL34-BL35,BL37)</f>
        <v>37.882746437929</v>
      </c>
      <c r="BM38" s="13" t="n">
        <f aca="false">BM24*MIN(BM31-BM34-BM35,BM37)</f>
        <v>8.77816524494446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44.9204439178291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44.9204439178291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44.9204439178291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940.82967287555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7.83273296180257</v>
      </c>
      <c r="AQ41" s="13" t="n">
        <f aca="false">AQ38+AQ40</f>
        <v>40.4276137618877</v>
      </c>
      <c r="AR41" s="13" t="n">
        <f aca="false">AR38+AR40</f>
        <v>40.9995884147656</v>
      </c>
      <c r="AS41" s="13" t="n">
        <f aca="false">AS38+AS40</f>
        <v>40.7426627249132</v>
      </c>
      <c r="AT41" s="13" t="n">
        <f aca="false">AT38+AT40</f>
        <v>47.487463261274</v>
      </c>
      <c r="AU41" s="13" t="n">
        <f aca="false">AU38+AU40</f>
        <v>43.0506359358084</v>
      </c>
      <c r="AV41" s="13" t="n">
        <f aca="false">AV38+AV40</f>
        <v>43.1284738456562</v>
      </c>
      <c r="AW41" s="13" t="n">
        <f aca="false">AW38+AW40</f>
        <v>42.7026679293284</v>
      </c>
      <c r="AX41" s="13" t="n">
        <f aca="false">AX38+AX40</f>
        <v>43.3577949822907</v>
      </c>
      <c r="AY41" s="13" t="n">
        <f aca="false">AY38+AY40</f>
        <v>42.9075497204208</v>
      </c>
      <c r="AZ41" s="13" t="n">
        <f aca="false">AZ38+AZ40</f>
        <v>43.4989466463972</v>
      </c>
      <c r="BA41" s="13" t="n">
        <f aca="false">BA38+BA40</f>
        <v>42.7129253229169</v>
      </c>
      <c r="BB41" s="13" t="n">
        <f aca="false">BB38+BB40</f>
        <v>43.9469194871056</v>
      </c>
      <c r="BC41" s="13" t="n">
        <f aca="false">BC38+BC40</f>
        <v>40.5373712858379</v>
      </c>
      <c r="BD41" s="13" t="n">
        <f aca="false">BD38+BD40</f>
        <v>34.3867972701239</v>
      </c>
      <c r="BE41" s="13" t="n">
        <f aca="false">BE38+BE40</f>
        <v>33.9390631600481</v>
      </c>
      <c r="BF41" s="13" t="n">
        <f aca="false">BF38+BF40</f>
        <v>34.6049688979624</v>
      </c>
      <c r="BG41" s="13" t="n">
        <f aca="false">BG38+BG40</f>
        <v>34.1274566561768</v>
      </c>
      <c r="BH41" s="13" t="n">
        <f aca="false">BH38+BH40</f>
        <v>34.7224987373633</v>
      </c>
      <c r="BI41" s="13" t="n">
        <f aca="false">BI38+BI40</f>
        <v>34.4538198300099</v>
      </c>
      <c r="BJ41" s="13" t="n">
        <f aca="false">BJ38+BJ40</f>
        <v>42.4737728809666</v>
      </c>
      <c r="BK41" s="13" t="n">
        <f aca="false">BK38+BK40</f>
        <v>37.2065935617914</v>
      </c>
      <c r="BL41" s="13" t="n">
        <f aca="false">BL38+BL40</f>
        <v>37.882746437929</v>
      </c>
      <c r="BM41" s="13" t="n">
        <f aca="false">BM38+BM40</f>
        <v>53.6986091627736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24.9719260961185</v>
      </c>
      <c r="R43" s="13" t="n">
        <f aca="false">IF(Time!R20&lt;Time!$F$12,0,Q43+Financials!R14-R41)</f>
        <v>32.6432625154513</v>
      </c>
      <c r="S43" s="13" t="n">
        <f aca="false">IF(Time!S20&lt;Time!$F$12,0,R43+Financials!S14-S41)</f>
        <v>40.8390295651374</v>
      </c>
      <c r="T43" s="13" t="n">
        <f aca="false">IF(Time!T20&lt;Time!$F$12,0,S43+Financials!T14-T41)</f>
        <v>50.5180386126767</v>
      </c>
      <c r="U43" s="13" t="n">
        <f aca="false">IF(Time!U20&lt;Time!$F$12,0,T43+Financials!U14-U41)</f>
        <v>61.3410918845167</v>
      </c>
      <c r="V43" s="13" t="n">
        <f aca="false">IF(Time!V20&lt;Time!$F$12,0,U43+Financials!V14-V41)</f>
        <v>70.3885324607546</v>
      </c>
      <c r="W43" s="13" t="n">
        <f aca="false">IF(Time!W20&lt;Time!$F$12,0,V43+Financials!W14-W41)</f>
        <v>83.1522570309033</v>
      </c>
      <c r="X43" s="13" t="n">
        <f aca="false">IF(Time!X20&lt;Time!$F$12,0,W43+Financials!X14-X41)</f>
        <v>96.4688844894507</v>
      </c>
      <c r="Y43" s="13" t="n">
        <f aca="false">IF(Time!Y20&lt;Time!$F$12,0,X43+Financials!Y14-Y41)</f>
        <v>107.850948128814</v>
      </c>
      <c r="Z43" s="13" t="n">
        <f aca="false">IF(Time!Z20&lt;Time!$F$12,0,Y43+Financials!Z14-Z41)</f>
        <v>114.302809612885</v>
      </c>
      <c r="AA43" s="13" t="n">
        <f aca="false">IF(Time!AA20&lt;Time!$F$12,0,Z43+Financials!AA14-AA41)</f>
        <v>121.658931274156</v>
      </c>
      <c r="AB43" s="13" t="n">
        <f aca="false">IF(Time!AB20&lt;Time!$F$12,0,AA43+Financials!AB14-AB41)</f>
        <v>129.484391080997</v>
      </c>
      <c r="AC43" s="13" t="n">
        <f aca="false">IF(Time!AC20&lt;Time!$F$12,0,AB43+Financials!AC14-AC41)</f>
        <v>138.301509825468</v>
      </c>
      <c r="AD43" s="13" t="n">
        <f aca="false">IF(Time!AD20&lt;Time!$F$12,0,AC43+Financials!AD14-AD41)</f>
        <v>138.412262953492</v>
      </c>
      <c r="AE43" s="13" t="n">
        <f aca="false">IF(Time!AE20&lt;Time!$F$12,0,AD43+Financials!AE14-AE41)</f>
        <v>149.586247824215</v>
      </c>
      <c r="AF43" s="13" t="n">
        <f aca="false">IF(Time!AF20&lt;Time!$F$12,0,AE43+Financials!AF14-AF41)</f>
        <v>160.803100066994</v>
      </c>
      <c r="AG43" s="13" t="n">
        <f aca="false">IF(Time!AG20&lt;Time!$F$12,0,AF43+Financials!AG14-AG41)</f>
        <v>173.031868613276</v>
      </c>
      <c r="AH43" s="13" t="n">
        <f aca="false">IF(Time!AH20&lt;Time!$F$12,0,AG43+Financials!AH14-AH41)</f>
        <v>186.175925486801</v>
      </c>
      <c r="AI43" s="13" t="n">
        <f aca="false">IF(Time!AI20&lt;Time!$F$12,0,AH43+Financials!AI14-AI41)</f>
        <v>200.569699509578</v>
      </c>
      <c r="AJ43" s="13" t="n">
        <f aca="false">IF(Time!AJ20&lt;Time!$F$12,0,AI43+Financials!AJ14-AJ41)</f>
        <v>215.964537035251</v>
      </c>
      <c r="AK43" s="13" t="n">
        <f aca="false">IF(Time!AK20&lt;Time!$F$12,0,AJ43+Financials!AK14-AK41)</f>
        <v>232.736693320144</v>
      </c>
      <c r="AL43" s="13" t="n">
        <f aca="false">IF(Time!AL20&lt;Time!$F$12,0,AK43+Financials!AL14-AL41)</f>
        <v>248.758594273587</v>
      </c>
      <c r="AM43" s="13" t="n">
        <f aca="false">IF(Time!AM20&lt;Time!$F$12,0,AL43+Financials!AM14-AM41)</f>
        <v>268.221335503</v>
      </c>
      <c r="AN43" s="13" t="n">
        <f aca="false">IF(Time!AN20&lt;Time!$F$12,0,AM43+Financials!AN14-AN41)</f>
        <v>288.893668416828</v>
      </c>
      <c r="AO43" s="13" t="n">
        <f aca="false">IF(Time!AO20&lt;Time!$F$12,0,AN43+Financials!AO14-AO41)</f>
        <v>311.336449728453</v>
      </c>
      <c r="AP43" s="13" t="n">
        <f aca="false">IF(Time!AP20&lt;Time!$F$12,0,AO43+Financials!AP14-AP41)</f>
        <v>327.719766433024</v>
      </c>
      <c r="AQ43" s="13" t="n">
        <f aca="false">IF(Time!AQ20&lt;Time!$F$12,0,AP43+Financials!AQ14-AQ41)</f>
        <v>312.650958842422</v>
      </c>
      <c r="AR43" s="13" t="n">
        <f aca="false">IF(Time!AR20&lt;Time!$F$12,0,AQ43+Financials!AR14-AR41)</f>
        <v>297.066649188512</v>
      </c>
      <c r="AS43" s="13" t="n">
        <f aca="false">IF(Time!AS20&lt;Time!$F$12,0,AR43+Financials!AS14-AS41)</f>
        <v>281.921670271049</v>
      </c>
      <c r="AT43" s="13" t="n">
        <f aca="false">IF(Time!AT20&lt;Time!$F$12,0,AS43+Financials!AT14-AT41)</f>
        <v>249.754857957861</v>
      </c>
      <c r="AU43" s="13" t="n">
        <f aca="false">IF(Time!AU20&lt;Time!$F$12,0,AT43+Financials!AU14-AU41)</f>
        <v>232.581579090254</v>
      </c>
      <c r="AV43" s="13" t="n">
        <f aca="false">IF(Time!AV20&lt;Time!$F$12,0,AU43+Financials!AV14-AV41)</f>
        <v>215.230141562222</v>
      </c>
      <c r="AW43" s="13" t="n">
        <f aca="false">IF(Time!AW20&lt;Time!$F$12,0,AV43+Financials!AW14-AW41)</f>
        <v>198.413619869343</v>
      </c>
      <c r="AX43" s="13" t="n">
        <f aca="false">IF(Time!AX20&lt;Time!$F$12,0,AW43+Financials!AX14-AX41)</f>
        <v>181.072271411734</v>
      </c>
      <c r="AY43" s="13" t="n">
        <f aca="false">IF(Time!AY20&lt;Time!$F$12,0,AX43+Financials!AY14-AY41)</f>
        <v>164.257260489221</v>
      </c>
      <c r="AZ43" s="13" t="n">
        <f aca="false">IF(Time!AZ20&lt;Time!$F$12,0,AY43+Financials!AZ14-AZ41)</f>
        <v>146.911720017537</v>
      </c>
      <c r="BA43" s="13" t="n">
        <f aca="false">IF(Time!BA20&lt;Time!$F$12,0,AZ43+Financials!BA14-BA41)</f>
        <v>130.512646661546</v>
      </c>
      <c r="BB43" s="13" t="n">
        <f aca="false">IF(Time!BB20&lt;Time!$F$12,0,BA43+Financials!BB14-BB41)</f>
        <v>110.635178023464</v>
      </c>
      <c r="BC43" s="13" t="n">
        <f aca="false">IF(Time!BC20&lt;Time!$F$12,0,BB43+Financials!BC14-BC41)</f>
        <v>96.6760580078978</v>
      </c>
      <c r="BD43" s="13" t="n">
        <f aca="false">IF(Time!BD20&lt;Time!$F$12,0,BC43+Financials!BD14-BD41)</f>
        <v>88.8342480244866</v>
      </c>
      <c r="BE43" s="13" t="n">
        <f aca="false">IF(Time!BE20&lt;Time!$F$12,0,BD43+Financials!BE14-BE41)</f>
        <v>81.5581138491735</v>
      </c>
      <c r="BF43" s="13" t="n">
        <f aca="false">IF(Time!BF20&lt;Time!$F$12,0,BE43+Financials!BF14-BF41)</f>
        <v>73.7586323645678</v>
      </c>
      <c r="BG43" s="13" t="n">
        <f aca="false">IF(Time!BG20&lt;Time!$F$12,0,BF43+Financials!BG14-BG41)</f>
        <v>66.5179753323323</v>
      </c>
      <c r="BH43" s="13" t="n">
        <f aca="false">IF(Time!BH20&lt;Time!$F$12,0,BG43+Financials!BH14-BH41)</f>
        <v>58.7478800963386</v>
      </c>
      <c r="BI43" s="13" t="n">
        <f aca="false">IF(Time!BI20&lt;Time!$F$12,0,BH43+Financials!BI14-BI41)</f>
        <v>51.4641766094166</v>
      </c>
      <c r="BJ43" s="13" t="n">
        <f aca="false">IF(Time!BJ20&lt;Time!$F$12,0,BI43+Financials!BJ14-BJ41)</f>
        <v>24.0133803245917</v>
      </c>
      <c r="BK43" s="13" t="n">
        <f aca="false">IF(Time!BK20&lt;Time!$F$12,0,BJ43+Financials!BK14-BK41)</f>
        <v>14.3100605752282</v>
      </c>
      <c r="BL43" s="13" t="n">
        <f aca="false">IF(Time!BL20&lt;Time!$F$12,0,BK43+Financials!BL14-BL41)</f>
        <v>3.80361874441118</v>
      </c>
      <c r="BM43" s="13" t="n">
        <f aca="false">IF(Time!BM20&lt;Time!$F$12,0,BL43+Financials!BM14-BM41)</f>
        <v>-44.9204439178291</v>
      </c>
      <c r="BN43" s="13" t="n">
        <f aca="false">IF(Time!BN20&lt;Time!$F$12,0,BM43+Financials!BN14-BN41)</f>
        <v>-44.9204439178291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1364.52734534462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36.4636295981268</v>
      </c>
      <c r="T44" s="13" t="n">
        <f aca="false">T34+T35+T41</f>
        <v>12.5352067015835</v>
      </c>
      <c r="U44" s="13" t="n">
        <f aca="false">U34+U35+U41</f>
        <v>11.5785441844972</v>
      </c>
      <c r="V44" s="13" t="n">
        <f aca="false">V34+V35+V41</f>
        <v>12.8084024108506</v>
      </c>
      <c r="W44" s="13" t="n">
        <f aca="false">W34+W35+W41</f>
        <v>13.5464120334257</v>
      </c>
      <c r="X44" s="13" t="n">
        <f aca="false">X34+X35+X41</f>
        <v>12.3894976968055</v>
      </c>
      <c r="Y44" s="13" t="n">
        <f aca="false">Y34+Y35+Y41</f>
        <v>11.6106116563639</v>
      </c>
      <c r="Z44" s="13" t="n">
        <f aca="false">Z34+Z35+Z41</f>
        <v>12.3052245112197</v>
      </c>
      <c r="AA44" s="13" t="n">
        <f aca="false">AA34+AA35+AA41</f>
        <v>5.73776912183081</v>
      </c>
      <c r="AB44" s="13" t="n">
        <f aca="false">AB34+AB35+AB41</f>
        <v>6.65628087607004</v>
      </c>
      <c r="AC44" s="13" t="n">
        <f aca="false">AC34+AC35+AC41</f>
        <v>6.28577975215511</v>
      </c>
      <c r="AD44" s="13" t="n">
        <f aca="false">AD34+AD35+AD41</f>
        <v>7.59906947576215</v>
      </c>
      <c r="AE44" s="13" t="n">
        <f aca="false">AE34+AE35+AE41</f>
        <v>8.15716282517507</v>
      </c>
      <c r="AF44" s="13" t="n">
        <f aca="false">AF34+AF35+AF41</f>
        <v>8.96866993897747</v>
      </c>
      <c r="AG44" s="13" t="n">
        <f aca="false">AG34+AG35+AG41</f>
        <v>9.34265983250108</v>
      </c>
      <c r="AH44" s="13" t="n">
        <f aca="false">AH34+AH35+AH41</f>
        <v>10.6518811437195</v>
      </c>
      <c r="AI44" s="13" t="n">
        <f aca="false">AI34+AI35+AI41</f>
        <v>11.4633594914264</v>
      </c>
      <c r="AJ44" s="13" t="n">
        <f aca="false">AJ34+AJ35+AJ41</f>
        <v>13.2574155678939</v>
      </c>
      <c r="AK44" s="13" t="n">
        <f aca="false">AK34+AK35+AK41</f>
        <v>21.8559292715483</v>
      </c>
      <c r="AL44" s="13" t="n">
        <f aca="false">AL34+AL35+AL41</f>
        <v>33.1387847438839</v>
      </c>
      <c r="AM44" s="13" t="n">
        <f aca="false">AM34+AM35+AM41</f>
        <v>33.0708372252113</v>
      </c>
      <c r="AN44" s="13" t="n">
        <f aca="false">AN34+AN35+AN41</f>
        <v>32.0033247907474</v>
      </c>
      <c r="AO44" s="13" t="n">
        <f aca="false">AO34+AO35+AO41</f>
        <v>43.779007224722</v>
      </c>
      <c r="AP44" s="13" t="n">
        <f aca="false">AP34+AP35+AP41</f>
        <v>41.3277557686957</v>
      </c>
      <c r="AQ44" s="13" t="n">
        <f aca="false">AQ34+AQ35+AQ41</f>
        <v>40.4276137618877</v>
      </c>
      <c r="AR44" s="13" t="n">
        <f aca="false">AR34+AR35+AR41</f>
        <v>40.9995884147656</v>
      </c>
      <c r="AS44" s="13" t="n">
        <f aca="false">AS34+AS35+AS41</f>
        <v>40.7426627249132</v>
      </c>
      <c r="AT44" s="13" t="n">
        <f aca="false">AT34+AT35+AT41</f>
        <v>47.487463261274</v>
      </c>
      <c r="AU44" s="13" t="n">
        <f aca="false">AU34+AU35+AU41</f>
        <v>43.0506359358084</v>
      </c>
      <c r="AV44" s="13" t="n">
        <f aca="false">AV34+AV35+AV41</f>
        <v>43.1284738456562</v>
      </c>
      <c r="AW44" s="13" t="n">
        <f aca="false">AW34+AW35+AW41</f>
        <v>42.7026679293284</v>
      </c>
      <c r="AX44" s="13" t="n">
        <f aca="false">AX34+AX35+AX41</f>
        <v>43.3577949822907</v>
      </c>
      <c r="AY44" s="13" t="n">
        <f aca="false">AY34+AY35+AY41</f>
        <v>42.9075497204208</v>
      </c>
      <c r="AZ44" s="13" t="n">
        <f aca="false">AZ34+AZ35+AZ41</f>
        <v>43.4989466463972</v>
      </c>
      <c r="BA44" s="13" t="n">
        <f aca="false">BA34+BA35+BA41</f>
        <v>42.7129253229169</v>
      </c>
      <c r="BB44" s="13" t="n">
        <f aca="false">BB34+BB35+BB41</f>
        <v>43.9469194871056</v>
      </c>
      <c r="BC44" s="13" t="n">
        <f aca="false">BC34+BC35+BC41</f>
        <v>40.5373712858379</v>
      </c>
      <c r="BD44" s="13" t="n">
        <f aca="false">BD34+BD35+BD41</f>
        <v>34.3867972701239</v>
      </c>
      <c r="BE44" s="13" t="n">
        <f aca="false">BE34+BE35+BE41</f>
        <v>33.9390631600481</v>
      </c>
      <c r="BF44" s="13" t="n">
        <f aca="false">BF34+BF35+BF41</f>
        <v>34.6049688979624</v>
      </c>
      <c r="BG44" s="13" t="n">
        <f aca="false">BG34+BG35+BG41</f>
        <v>34.1274566561768</v>
      </c>
      <c r="BH44" s="13" t="n">
        <f aca="false">BH34+BH35+BH41</f>
        <v>34.7224987373633</v>
      </c>
      <c r="BI44" s="13" t="n">
        <f aca="false">BI34+BI35+BI41</f>
        <v>34.4538198300099</v>
      </c>
      <c r="BJ44" s="13" t="n">
        <f aca="false">BJ34+BJ35+BJ41</f>
        <v>42.4737728809666</v>
      </c>
      <c r="BK44" s="13" t="n">
        <f aca="false">BK34+BK35+BK41</f>
        <v>37.2065935617914</v>
      </c>
      <c r="BL44" s="13" t="n">
        <f aca="false">BL34+BL35+BL41</f>
        <v>37.882746437929</v>
      </c>
      <c r="BM44" s="13" t="n">
        <f aca="false">BM34+BM35+BM41</f>
        <v>53.6986091627736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537.672649392629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30.8009018098388</v>
      </c>
      <c r="S9" s="13" t="n">
        <f aca="false">Debt!S112+Debt!S110+Debt!S104-Debt!S103+Tax!S13</f>
        <v>30.3598635532192</v>
      </c>
      <c r="T9" s="13" t="n">
        <f aca="false">Debt!T112+Debt!T110+Debt!T104-Debt!T103+Tax!T13</f>
        <v>28.9410520504017</v>
      </c>
      <c r="U9" s="13" t="n">
        <f aca="false">Debt!U112+Debt!U110+Debt!U104-Debt!U103+Tax!U13</f>
        <v>27.960198679606</v>
      </c>
      <c r="V9" s="13" t="n">
        <f aca="false">Debt!V112+Debt!V110+Debt!V104-Debt!V103+Tax!V13</f>
        <v>27.4644754148686</v>
      </c>
      <c r="W9" s="13" t="n">
        <f aca="false">Debt!W112+Debt!W110+Debt!W104-Debt!W103+Tax!W13</f>
        <v>26.2882176044908</v>
      </c>
      <c r="X9" s="13" t="n">
        <f aca="false">Debt!X112+Debt!X110+Debt!X104-Debt!X103+Tax!X13</f>
        <v>25.7111327359466</v>
      </c>
      <c r="Y9" s="13" t="n">
        <f aca="false">Debt!Y112+Debt!Y110+Debt!Y104-Debt!Y103+Tax!Y13</f>
        <v>25.0766454925475</v>
      </c>
      <c r="Z9" s="13" t="n">
        <f aca="false">Debt!Z112+Debt!Z110+Debt!Z104-Debt!Z103+Tax!Z13</f>
        <v>24.5669940466881</v>
      </c>
      <c r="AA9" s="13" t="n">
        <f aca="false">Debt!AA112+Debt!AA110+Debt!AA104-Debt!AA103+Tax!AA13</f>
        <v>23.3619649447782</v>
      </c>
      <c r="AB9" s="13" t="n">
        <f aca="false">Debt!AB112+Debt!AB110+Debt!AB104-Debt!AB103+Tax!AB13</f>
        <v>22.7583956885283</v>
      </c>
      <c r="AC9" s="13" t="n">
        <f aca="false">Debt!AC112+Debt!AC110+Debt!AC104-Debt!AC103+Tax!AC13</f>
        <v>21.55884603372</v>
      </c>
      <c r="AD9" s="13" t="n">
        <f aca="false">Debt!AD112+Debt!AD110+Debt!AD104-Debt!AD103+Tax!AD13</f>
        <v>20.7578423122607</v>
      </c>
      <c r="AE9" s="13" t="n">
        <f aca="false">Debt!AE112+Debt!AE110+Debt!AE104-Debt!AE103+Tax!AE13</f>
        <v>19.332940776749</v>
      </c>
      <c r="AF9" s="13" t="n">
        <f aca="false">Debt!AF112+Debt!AF110+Debt!AF104-Debt!AF103+Tax!AF13</f>
        <v>18.3457570157712</v>
      </c>
      <c r="AG9" s="13" t="n">
        <f aca="false">Debt!AG112+Debt!AG110+Debt!AG104-Debt!AG103+Tax!AG13</f>
        <v>17.0314961136106</v>
      </c>
      <c r="AH9" s="13" t="n">
        <f aca="false">Debt!AH112+Debt!AH110+Debt!AH104-Debt!AH103+Tax!AH13</f>
        <v>15.8774415289024</v>
      </c>
      <c r="AI9" s="13" t="n">
        <f aca="false">Debt!AI112+Debt!AI110+Debt!AI104-Debt!AI103+Tax!AI13</f>
        <v>14.1847983358722</v>
      </c>
      <c r="AJ9" s="13" t="n">
        <f aca="false">Debt!AJ112+Debt!AJ110+Debt!AJ104-Debt!AJ103+Tax!AJ13</f>
        <v>12.8268021660475</v>
      </c>
      <c r="AK9" s="13" t="n">
        <f aca="false">Debt!AK112+Debt!AK110+Debt!AK104-Debt!AK103+Tax!AK13</f>
        <v>11.0508494304608</v>
      </c>
      <c r="AL9" s="13" t="n">
        <f aca="false">Debt!AL112+Debt!AL110+Debt!AL104-Debt!AL103+Tax!AL13</f>
        <v>9.42306003258328</v>
      </c>
      <c r="AM9" s="13" t="n">
        <f aca="false">Debt!AM112+Debt!AM110+Debt!AM104-Debt!AM103+Tax!AM13</f>
        <v>7.5215190386543</v>
      </c>
      <c r="AN9" s="13" t="n">
        <f aca="false">Debt!AN112+Debt!AN110+Debt!AN104-Debt!AN103+Tax!AN13</f>
        <v>5.75521657157167</v>
      </c>
      <c r="AO9" s="13" t="n">
        <f aca="false">Debt!AO112+Debt!AO110+Debt!AO104-Debt!AO103+Tax!AO13</f>
        <v>3.89390114678875</v>
      </c>
      <c r="AP9" s="13" t="n">
        <f aca="false">Debt!AP112+Debt!AP110+Debt!AP104-Debt!AP103+Tax!AP13</f>
        <v>1.53078069092369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-49.2815623500316</v>
      </c>
      <c r="Z12" s="13" t="n">
        <f aca="false">IF(Time!Z20&gt;=Time!$F$12,Inputs!$F$184/100*(Z11-Z10-Tax!Z21),0)</f>
        <v>-46.3692780950716</v>
      </c>
      <c r="AA12" s="13" t="n">
        <f aca="false">IF(Time!AA20&gt;=Time!$F$12,Inputs!$F$184/100*(AA11-AA10-Tax!AA21),0)</f>
        <v>-43.0687545836412</v>
      </c>
      <c r="AB12" s="13" t="n">
        <f aca="false">IF(Time!AB20&gt;=Time!$F$12,Inputs!$F$184/100*(AB11-AB10-Tax!AB21),0)</f>
        <v>-39.5663267601564</v>
      </c>
      <c r="AC12" s="13" t="n">
        <f aca="false">IF(Time!AC20&gt;=Time!$F$12,Inputs!$F$184/100*(AC11-AC10-Tax!AC21),0)</f>
        <v>-35.638538042205</v>
      </c>
      <c r="AD12" s="13" t="n">
        <f aca="false">IF(Time!AD20&gt;=Time!$F$12,Inputs!$F$184/100*(AD11-AD10-Tax!AD21),0)</f>
        <v>-34.6347949654504</v>
      </c>
      <c r="AE12" s="13" t="n">
        <f aca="false">IF(Time!AE20&gt;=Time!$F$12,Inputs!$F$184/100*(AE11-AE10-Tax!AE21),0)</f>
        <v>-30.505000798722</v>
      </c>
      <c r="AF12" s="13" t="n">
        <f aca="false">IF(Time!AF20&gt;=Time!$F$12,Inputs!$F$184/100*(AF11-AF10-Tax!AF21),0)</f>
        <v>-25.5464237914311</v>
      </c>
      <c r="AG12" s="13" t="n">
        <f aca="false">IF(Time!AG20&gt;=Time!$F$12,Inputs!$F$184/100*(AG11-AG10-Tax!AG21),0)</f>
        <v>-20.1535312886973</v>
      </c>
      <c r="AH12" s="13" t="n">
        <f aca="false">IF(Time!AH20&gt;=Time!$F$12,Inputs!$F$184/100*(AH11-AH10-Tax!AH21),0)</f>
        <v>-14.3677844477468</v>
      </c>
      <c r="AI12" s="13" t="n">
        <f aca="false">IF(Time!AI20&gt;=Time!$F$12,Inputs!$F$184/100*(AI11-AI10-Tax!AI21),0)</f>
        <v>-8.04568325923069</v>
      </c>
      <c r="AJ12" s="13" t="n">
        <f aca="false">IF(Time!AJ20&gt;=Time!$F$12,Inputs!$F$184/100*(AJ11-AJ10-Tax!AJ21),0)</f>
        <v>-1.29372824854719</v>
      </c>
      <c r="AK12" s="13" t="n">
        <f aca="false">IF(Time!AK20&gt;=Time!$F$12,Inputs!$F$184/100*(AK11-AK10-Tax!AK21),0)</f>
        <v>6.04902508722442</v>
      </c>
      <c r="AL12" s="13" t="n">
        <f aca="false">IF(Time!AL20&gt;=Time!$F$12,Inputs!$F$184/100*(AL11-AL10-Tax!AL21),0)</f>
        <v>13.0705574942224</v>
      </c>
      <c r="AM12" s="13" t="n">
        <f aca="false">IF(Time!AM20&gt;=Time!$F$12,Inputs!$F$184/100*(AM11-AM10-Tax!AM21),0)</f>
        <v>21.5676747373355</v>
      </c>
      <c r="AN12" s="13" t="n">
        <f aca="false">IF(Time!AN20&gt;=Time!$F$12,Inputs!$F$184/100*(AN11-AN10-Tax!AN21),0)</f>
        <v>30.5843490965071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-2.44021876814967</v>
      </c>
      <c r="Z13" s="13" t="n">
        <f aca="false">Z12-Y12</f>
        <v>2.91228425496003</v>
      </c>
      <c r="AA13" s="13" t="n">
        <f aca="false">AA12-Z12</f>
        <v>3.30052351143041</v>
      </c>
      <c r="AB13" s="13" t="n">
        <f aca="false">AB12-AA12</f>
        <v>3.50242782348477</v>
      </c>
      <c r="AC13" s="13" t="n">
        <f aca="false">AC12-AB12</f>
        <v>3.9277887179514</v>
      </c>
      <c r="AD13" s="13" t="n">
        <f aca="false">AD12-AC12</f>
        <v>1.00374307675464</v>
      </c>
      <c r="AE13" s="13" t="n">
        <f aca="false">AE12-AD12</f>
        <v>4.12979416672836</v>
      </c>
      <c r="AF13" s="13" t="n">
        <f aca="false">AF12-AE12</f>
        <v>4.95857700729092</v>
      </c>
      <c r="AG13" s="13" t="n">
        <f aca="false">AG12-AF12</f>
        <v>5.39289250273384</v>
      </c>
      <c r="AH13" s="13" t="n">
        <f aca="false">AH12-AG12</f>
        <v>5.78574684095046</v>
      </c>
      <c r="AI13" s="13" t="n">
        <f aca="false">AI12-AH12</f>
        <v>6.3221011885161</v>
      </c>
      <c r="AJ13" s="13" t="n">
        <f aca="false">AJ12-AI12</f>
        <v>6.7519550106835</v>
      </c>
      <c r="AK13" s="13" t="n">
        <f aca="false">AK12-AJ12</f>
        <v>7.34275333577161</v>
      </c>
      <c r="AL13" s="13" t="n">
        <f aca="false">AL12-AK12</f>
        <v>7.02153240699794</v>
      </c>
      <c r="AM13" s="13" t="n">
        <f aca="false">AM12-AL12</f>
        <v>8.49711724311313</v>
      </c>
      <c r="AN13" s="13" t="n">
        <f aca="false">AN12-AM12</f>
        <v>9.01667435917158</v>
      </c>
      <c r="AO13" s="13" t="n">
        <f aca="false">AO12-AN12</f>
        <v>3.37562500035738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895.909228957721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7.85585190562079</v>
      </c>
      <c r="R14" s="13" t="n">
        <f aca="false">Operations!R84-R8-R9-Tax!R27-R13</f>
        <v>7.6713364193328</v>
      </c>
      <c r="S14" s="13" t="n">
        <f aca="false">Operations!S84-S8-S9-Tax!S27-S13</f>
        <v>8.19576704968614</v>
      </c>
      <c r="T14" s="13" t="n">
        <f aca="false">Operations!T84-T8-T9-Tax!T27-T13</f>
        <v>9.67900904753925</v>
      </c>
      <c r="U14" s="13" t="n">
        <f aca="false">Operations!U84-U8-U9-Tax!U27-U13</f>
        <v>10.82305327184</v>
      </c>
      <c r="V14" s="13" t="n">
        <f aca="false">Operations!V84-V8-V9-Tax!V27-V13</f>
        <v>9.0474405762379</v>
      </c>
      <c r="W14" s="13" t="n">
        <f aca="false">Operations!W84-W8-W9-Tax!W27-W13</f>
        <v>12.7637245701487</v>
      </c>
      <c r="X14" s="13" t="n">
        <f aca="false">Operations!X84-X8-X9-Tax!X27-X13</f>
        <v>13.3166274585474</v>
      </c>
      <c r="Y14" s="13" t="n">
        <f aca="false">Operations!Y84-Y8-Y9-Tax!Y27-Y13</f>
        <v>11.3820636393636</v>
      </c>
      <c r="Z14" s="13" t="n">
        <f aca="false">Operations!Z84-Z8-Z9-Tax!Z27-Z13</f>
        <v>6.45186148407032</v>
      </c>
      <c r="AA14" s="13" t="n">
        <f aca="false">Operations!AA84-AA8-AA9-Tax!AA27-AA13</f>
        <v>7.35612166127153</v>
      </c>
      <c r="AB14" s="13" t="n">
        <f aca="false">Operations!AB84-AB8-AB9-Tax!AB27-AB13</f>
        <v>7.82545980684073</v>
      </c>
      <c r="AC14" s="13" t="n">
        <f aca="false">Operations!AC84-AC8-AC9-Tax!AC27-AC13</f>
        <v>8.81711874447132</v>
      </c>
      <c r="AD14" s="13" t="n">
        <f aca="false">Operations!AD84-AD8-AD9-Tax!AD27-AD13</f>
        <v>0.110753128024013</v>
      </c>
      <c r="AE14" s="13" t="n">
        <f aca="false">Operations!AE84-AE8-AE9-Tax!AE27-AE13</f>
        <v>11.1739848707231</v>
      </c>
      <c r="AF14" s="13" t="n">
        <f aca="false">Operations!AF84-AF8-AF9-Tax!AF27-AF13</f>
        <v>11.2168522427787</v>
      </c>
      <c r="AG14" s="13" t="n">
        <f aca="false">Operations!AG84-AG8-AG9-Tax!AG27-AG13</f>
        <v>12.228768546282</v>
      </c>
      <c r="AH14" s="13" t="n">
        <f aca="false">Operations!AH84-AH8-AH9-Tax!AH27-AH13</f>
        <v>13.144056873525</v>
      </c>
      <c r="AI14" s="13" t="n">
        <f aca="false">Operations!AI84-AI8-AI9-Tax!AI27-AI13</f>
        <v>14.3937740227774</v>
      </c>
      <c r="AJ14" s="13" t="n">
        <f aca="false">Operations!AJ84-AJ8-AJ9-Tax!AJ27-AJ13</f>
        <v>15.3948375256727</v>
      </c>
      <c r="AK14" s="13" t="n">
        <f aca="false">Operations!AK84-AK8-AK9-Tax!AK27-AK13</f>
        <v>16.7721562848933</v>
      </c>
      <c r="AL14" s="13" t="n">
        <f aca="false">Operations!AL84-AL8-AL9-Tax!AL27-AL13</f>
        <v>16.0219009534429</v>
      </c>
      <c r="AM14" s="13" t="n">
        <f aca="false">Operations!AM84-AM8-AM9-Tax!AM27-AM13</f>
        <v>19.4627412294128</v>
      </c>
      <c r="AN14" s="13" t="n">
        <f aca="false">Operations!AN84-AN8-AN9-Tax!AN27-AN13</f>
        <v>20.6723329138278</v>
      </c>
      <c r="AO14" s="13" t="n">
        <f aca="false">Operations!AO84-AO8-AO9-Tax!AO27-AO13</f>
        <v>22.4427813116254</v>
      </c>
      <c r="AP14" s="13" t="n">
        <f aca="false">Operations!AP84-AP8-AP9-Tax!AP27-AP13</f>
        <v>24.2160496663726</v>
      </c>
      <c r="AQ14" s="13" t="n">
        <f aca="false">Operations!AQ84-AQ8-AQ9-Tax!AQ27-AQ13</f>
        <v>25.3588061712861</v>
      </c>
      <c r="AR14" s="13" t="n">
        <f aca="false">Operations!AR84-AR8-AR9-Tax!AR27-AR13</f>
        <v>25.4152787608555</v>
      </c>
      <c r="AS14" s="13" t="n">
        <f aca="false">Operations!AS84-AS8-AS9-Tax!AS27-AS13</f>
        <v>25.5976838074503</v>
      </c>
      <c r="AT14" s="13" t="n">
        <f aca="false">Operations!AT84-AT8-AT9-Tax!AT27-AT13</f>
        <v>15.3206509480863</v>
      </c>
      <c r="AU14" s="13" t="n">
        <f aca="false">Operations!AU84-AU8-AU9-Tax!AU27-AU13</f>
        <v>25.877357068201</v>
      </c>
      <c r="AV14" s="13" t="n">
        <f aca="false">Operations!AV84-AV8-AV9-Tax!AV27-AV13</f>
        <v>25.7770363176244</v>
      </c>
      <c r="AW14" s="13" t="n">
        <f aca="false">Operations!AW84-AW8-AW9-Tax!AW27-AW13</f>
        <v>25.8861462364492</v>
      </c>
      <c r="AX14" s="13" t="n">
        <f aca="false">Operations!AX84-AX8-AX9-Tax!AX27-AX13</f>
        <v>26.0164465246814</v>
      </c>
      <c r="AY14" s="13" t="n">
        <f aca="false">Operations!AY84-AY8-AY9-Tax!AY27-AY13</f>
        <v>26.0925387979078</v>
      </c>
      <c r="AZ14" s="13" t="n">
        <f aca="false">Operations!AZ84-AZ8-AZ9-Tax!AZ27-AZ13</f>
        <v>26.1534061747133</v>
      </c>
      <c r="BA14" s="13" t="n">
        <f aca="false">Operations!BA84-BA8-BA9-Tax!BA27-BA13</f>
        <v>26.3138519669263</v>
      </c>
      <c r="BB14" s="13" t="n">
        <f aca="false">Operations!BB84-BB8-BB9-Tax!BB27-BB13</f>
        <v>24.0694508490234</v>
      </c>
      <c r="BC14" s="13" t="n">
        <f aca="false">Operations!BC84-BC8-BC9-Tax!BC27-BC13</f>
        <v>26.5782512702717</v>
      </c>
      <c r="BD14" s="13" t="n">
        <f aca="false">Operations!BD84-BD8-BD9-Tax!BD27-BD13</f>
        <v>26.5449872867127</v>
      </c>
      <c r="BE14" s="13" t="n">
        <f aca="false">Operations!BE84-BE8-BE9-Tax!BE27-BE13</f>
        <v>26.6629289847351</v>
      </c>
      <c r="BF14" s="13" t="n">
        <f aca="false">Operations!BF84-BF8-BF9-Tax!BF27-BF13</f>
        <v>26.8054874133566</v>
      </c>
      <c r="BG14" s="13" t="n">
        <f aca="false">Operations!BG84-BG8-BG9-Tax!BG27-BG13</f>
        <v>26.8867996239413</v>
      </c>
      <c r="BH14" s="13" t="n">
        <f aca="false">Operations!BH84-BH8-BH9-Tax!BH27-BH13</f>
        <v>26.9524035013696</v>
      </c>
      <c r="BI14" s="13" t="n">
        <f aca="false">Operations!BI84-BI8-BI9-Tax!BI27-BI13</f>
        <v>27.1701163430879</v>
      </c>
      <c r="BJ14" s="13" t="n">
        <f aca="false">Operations!BJ84-BJ8-BJ9-Tax!BJ27-BJ13</f>
        <v>15.0229765961418</v>
      </c>
      <c r="BK14" s="13" t="n">
        <f aca="false">Operations!BK84-BK8-BK9-Tax!BK27-BK13</f>
        <v>27.5032738124278</v>
      </c>
      <c r="BL14" s="13" t="n">
        <f aca="false">Operations!BL84-BL8-BL9-Tax!BL27-BL13</f>
        <v>27.3763046071119</v>
      </c>
      <c r="BM14" s="13" t="n">
        <f aca="false">Operations!BM84-BM8-BM9-Tax!BM27-BM13</f>
        <v>4.97454650053328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17.5879477539695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30.7594227612188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46.1537659827651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48.7918246899078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36.295063269416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35.4618890498465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34.6020986955298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34.1955952035536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32.9461134082316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31.8225235383935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29.8004367193514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27.4334073455524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72.3634519325775</v>
      </c>
      <c r="R18" s="13" t="n">
        <f aca="false">Operations!R88+Operations!R89</f>
        <v>71.2674322644956</v>
      </c>
      <c r="S18" s="13" t="n">
        <f aca="false">Operations!S88+Operations!S89</f>
        <v>39.9658154697612</v>
      </c>
      <c r="T18" s="13" t="n">
        <f aca="false">Operations!T88+Operations!T89</f>
        <v>39.5657606056385</v>
      </c>
      <c r="U18" s="13" t="n">
        <f aca="false">Operations!U88+Operations!U89</f>
        <v>40.2263841354119</v>
      </c>
      <c r="V18" s="13" t="n">
        <f aca="false">Operations!V88+Operations!V89</f>
        <v>39.3760778631466</v>
      </c>
      <c r="W18" s="13" t="n">
        <f aca="false">Operations!W88+Operations!W89</f>
        <v>40.7572499960029</v>
      </c>
      <c r="X18" s="13" t="n">
        <f aca="false">Operations!X88+Operations!X89</f>
        <v>40.7273930346415</v>
      </c>
      <c r="Y18" s="13" t="n">
        <f aca="false">Operations!Y88+Operations!Y89</f>
        <v>41.8152506506651</v>
      </c>
      <c r="Z18" s="13" t="n">
        <f aca="false">Operations!Z88+Operations!Z89</f>
        <v>41.1016499166136</v>
      </c>
      <c r="AA18" s="13" t="n">
        <f aca="false">Operations!AA88+Operations!AA89</f>
        <v>42.3539334898275</v>
      </c>
      <c r="AB18" s="13" t="n">
        <f aca="false">Operations!AB88+Operations!AB89</f>
        <v>41.934668309636</v>
      </c>
      <c r="AC18" s="13" t="n">
        <f aca="false">Operations!AC88+Operations!AC89</f>
        <v>42.4743800596394</v>
      </c>
      <c r="AD18" s="13" t="n">
        <f aca="false">Operations!AD88+Operations!AD89</f>
        <v>41.0196400887051</v>
      </c>
      <c r="AE18" s="13" t="n">
        <f aca="false">Operations!AE88+Operations!AE89</f>
        <v>42.8701996283632</v>
      </c>
      <c r="AF18" s="13" t="n">
        <f aca="false">Operations!AF88+Operations!AF89</f>
        <v>43.1893819531027</v>
      </c>
      <c r="AG18" s="13" t="n">
        <f aca="false">Operations!AG88+Operations!AG89</f>
        <v>44.3515649652341</v>
      </c>
      <c r="AH18" s="13" t="n">
        <f aca="false">Operations!AH88+Operations!AH89</f>
        <v>43.5936740821658</v>
      </c>
      <c r="AI18" s="13" t="n">
        <f aca="false">Operations!AI88+Operations!AI89</f>
        <v>44.933434912635</v>
      </c>
      <c r="AJ18" s="13" t="n">
        <f aca="false">Operations!AJ88+Operations!AJ89</f>
        <v>44.493400110324</v>
      </c>
      <c r="AK18" s="13" t="n">
        <f aca="false">Operations!AK88+Operations!AK89</f>
        <v>45.2461535376313</v>
      </c>
      <c r="AL18" s="13" t="n">
        <f aca="false">Operations!AL88+Operations!AL89</f>
        <v>44.2724336924822</v>
      </c>
      <c r="AM18" s="13" t="n">
        <f aca="false">Operations!AM88+Operations!AM89</f>
        <v>45.8569853052588</v>
      </c>
      <c r="AN18" s="13" t="n">
        <f aca="false">Operations!AN88+Operations!AN89</f>
        <v>45.8486623237081</v>
      </c>
      <c r="AO18" s="13" t="n">
        <f aca="false">Operations!AO88+Operations!AO89</f>
        <v>47.0911468787458</v>
      </c>
      <c r="AP18" s="13" t="n">
        <f aca="false">Operations!AP88+Operations!AP89</f>
        <v>46.2854151230759</v>
      </c>
      <c r="AQ18" s="13" t="n">
        <f aca="false">Operations!AQ88+Operations!AQ89</f>
        <v>47.7196741281612</v>
      </c>
      <c r="AR18" s="13" t="n">
        <f aca="false">Operations!AR88+Operations!AR89</f>
        <v>47.2571844158611</v>
      </c>
      <c r="AS18" s="13" t="n">
        <f aca="false">Operations!AS88+Operations!AS89</f>
        <v>47.868985701349</v>
      </c>
      <c r="AT18" s="13" t="n">
        <f aca="false">Operations!AT88+Operations!AT89</f>
        <v>46.2124274358377</v>
      </c>
      <c r="AU18" s="13" t="n">
        <f aca="false">Operations!AU88+Operations!AU89</f>
        <v>48.3224473642097</v>
      </c>
      <c r="AV18" s="13" t="n">
        <f aca="false">Operations!AV88+Operations!AV89</f>
        <v>48.7210614856593</v>
      </c>
      <c r="AW18" s="13" t="n">
        <f aca="false">Operations!AW88+Operations!AW89</f>
        <v>50.0503032250736</v>
      </c>
      <c r="AX18" s="13" t="n">
        <f aca="false">Operations!AX88+Operations!AX89</f>
        <v>49.1928971300213</v>
      </c>
      <c r="AY18" s="13" t="n">
        <f aca="false">Operations!AY88+Operations!AY89</f>
        <v>50.7292370409446</v>
      </c>
      <c r="AZ18" s="13" t="n">
        <f aca="false">Operations!AZ88+Operations!AZ89</f>
        <v>50.2424710217369</v>
      </c>
      <c r="BA18" s="13" t="n">
        <f aca="false">Operations!BA88+Operations!BA89</f>
        <v>51.1027681543554</v>
      </c>
      <c r="BB18" s="13" t="n">
        <f aca="false">Operations!BB88+Operations!BB89</f>
        <v>49.9852515162904</v>
      </c>
      <c r="BC18" s="13" t="n">
        <f aca="false">Operations!BC88+Operations!BC89</f>
        <v>51.8070786917296</v>
      </c>
      <c r="BD18" s="13" t="n">
        <f aca="false">Operations!BD88+Operations!BD89</f>
        <v>51.8236761379752</v>
      </c>
      <c r="BE18" s="13" t="n">
        <f aca="false">Operations!BE88+Operations!BE89</f>
        <v>53.2466485513434</v>
      </c>
      <c r="BF18" s="13" t="n">
        <f aca="false">Operations!BF88+Operations!BF89</f>
        <v>52.3334295666833</v>
      </c>
      <c r="BG18" s="13" t="n">
        <f aca="false">Operations!BG88+Operations!BG89</f>
        <v>53.9800397047049</v>
      </c>
      <c r="BH18" s="13" t="n">
        <f aca="false">Operations!BH88+Operations!BH89</f>
        <v>53.4670289357615</v>
      </c>
      <c r="BI18" s="13" t="n">
        <f aca="false">Operations!BI88+Operations!BI89</f>
        <v>54.1630497830366</v>
      </c>
      <c r="BJ18" s="13" t="n">
        <f aca="false">Operations!BJ88+Operations!BJ89</f>
        <v>52.271011251921</v>
      </c>
      <c r="BK18" s="13" t="n">
        <f aca="false">Operations!BK88+Operations!BK89</f>
        <v>54.6840195757891</v>
      </c>
      <c r="BL18" s="13" t="n">
        <f aca="false">Operations!BL88+Operations!BL89</f>
        <v>55.1749739979681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49.2815623500316</v>
      </c>
      <c r="Z20" s="13" t="n">
        <f aca="false">MAX(0,-Z12)</f>
        <v>46.3692780950716</v>
      </c>
      <c r="AA20" s="13" t="n">
        <f aca="false">MAX(0,-AA12)</f>
        <v>43.0687545836412</v>
      </c>
      <c r="AB20" s="13" t="n">
        <f aca="false">MAX(0,-AB12)</f>
        <v>39.5663267601564</v>
      </c>
      <c r="AC20" s="13" t="n">
        <f aca="false">MAX(0,-AC12)</f>
        <v>35.638538042205</v>
      </c>
      <c r="AD20" s="13" t="n">
        <f aca="false">MAX(0,-AD12)</f>
        <v>34.6347949654504</v>
      </c>
      <c r="AE20" s="13" t="n">
        <f aca="false">MAX(0,-AE12)</f>
        <v>30.505000798722</v>
      </c>
      <c r="AF20" s="13" t="n">
        <f aca="false">MAX(0,-AF12)</f>
        <v>25.5464237914311</v>
      </c>
      <c r="AG20" s="13" t="n">
        <f aca="false">MAX(0,-AG12)</f>
        <v>20.1535312886973</v>
      </c>
      <c r="AH20" s="13" t="n">
        <f aca="false">MAX(0,-AH12)</f>
        <v>14.3677844477468</v>
      </c>
      <c r="AI20" s="13" t="n">
        <f aca="false">MAX(0,-AI12)</f>
        <v>8.04568325923069</v>
      </c>
      <c r="AJ20" s="13" t="n">
        <f aca="false">MAX(0,-AJ12)</f>
        <v>1.29372824854719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904.429846559294</v>
      </c>
      <c r="R21" s="13" t="n">
        <f aca="false">R16+R17+R18+R19+R20</f>
        <v>904.794966002991</v>
      </c>
      <c r="S21" s="13" t="n">
        <f aca="false">S16+S17+S18+S19+S20</f>
        <v>870.439881542625</v>
      </c>
      <c r="T21" s="13" t="n">
        <f aca="false">T16+T17+T18+T19+T20</f>
        <v>858.565234058679</v>
      </c>
      <c r="U21" s="13" t="n">
        <f aca="false">U16+U17+U18+U19+U20</f>
        <v>848.649017475689</v>
      </c>
      <c r="V21" s="13" t="n">
        <f aca="false">V16+V17+V18+V19+V20</f>
        <v>833.326072684052</v>
      </c>
      <c r="W21" s="13" t="n">
        <f aca="false">W16+W17+W18+W19+W20</f>
        <v>821.900476570077</v>
      </c>
      <c r="X21" s="13" t="n">
        <f aca="false">X16+X17+X18+X19+X20</f>
        <v>811.776623226943</v>
      </c>
      <c r="Y21" s="13" t="n">
        <f aca="false">Y16+Y17+Y18+Y19+Y20</f>
        <v>800.849361939402</v>
      </c>
      <c r="Z21" s="13" t="n">
        <f aca="false">Z16+Z17+Z18+Z19+Z20</f>
        <v>782.170092461222</v>
      </c>
      <c r="AA21" s="13" t="n">
        <f aca="false">AA16+AA17+AA18+AA19+AA20</f>
        <v>765.796005064452</v>
      </c>
      <c r="AB21" s="13" t="n">
        <f aca="false">AB16+AB17+AB18+AB19+AB20</f>
        <v>746.403307958155</v>
      </c>
      <c r="AC21" s="13" t="n">
        <f aca="false">AC16+AC17+AC18+AC19+AC20</f>
        <v>728.924238418106</v>
      </c>
      <c r="AD21" s="13" t="n">
        <f aca="false">AD16+AD17+AD18+AD19+AD20</f>
        <v>697.239942670682</v>
      </c>
      <c r="AE21" s="13" t="n">
        <f aca="false">AE16+AE17+AE18+AE19+AE20</f>
        <v>677.398482544798</v>
      </c>
      <c r="AF21" s="13" t="n">
        <f aca="false">AF16+AF17+AF18+AF19+AF20</f>
        <v>655.170246228687</v>
      </c>
      <c r="AG21" s="13" t="n">
        <f aca="false">AG16+AG17+AG18+AG19+AG20</f>
        <v>633.803981966864</v>
      </c>
      <c r="AH21" s="13" t="n">
        <f aca="false">AH16+AH17+AH18+AH19+AH20</f>
        <v>609.28181116828</v>
      </c>
      <c r="AI21" s="13" t="n">
        <f aca="false">AI16+AI17+AI18+AI19+AI20</f>
        <v>586.446829661152</v>
      </c>
      <c r="AJ21" s="13" t="n">
        <f aca="false">AJ16+AJ17+AJ18+AJ19+AJ20</f>
        <v>560.503701749871</v>
      </c>
      <c r="AK21" s="13" t="n">
        <f aca="false">AK16+AK17+AK18+AK19+AK20</f>
        <v>540.866646275589</v>
      </c>
      <c r="AL21" s="13" t="n">
        <f aca="false">AL16+AL17+AL18+AL19+AL20</f>
        <v>517.496632125895</v>
      </c>
      <c r="AM21" s="13" t="n">
        <f aca="false">AM16+AM17+AM18+AM19+AM20</f>
        <v>499.416517415384</v>
      </c>
      <c r="AN21" s="13" t="n">
        <f aca="false">AN16+AN17+AN18+AN19+AN20</f>
        <v>484.219681039878</v>
      </c>
      <c r="AO21" s="13" t="n">
        <f aca="false">AO16+AO17+AO18+AO19+AO20</f>
        <v>453.057805325151</v>
      </c>
      <c r="AP21" s="13" t="n">
        <f aca="false">AP16+AP17+AP18+AP19+AP20</f>
        <v>437.870911375724</v>
      </c>
      <c r="AQ21" s="13" t="n">
        <f aca="false">AQ16+AQ17+AQ18+AQ19+AQ20</f>
        <v>424.924008187053</v>
      </c>
      <c r="AR21" s="13" t="n">
        <f aca="false">AR16+AR17+AR18+AR19+AR20</f>
        <v>410.080356280996</v>
      </c>
      <c r="AS21" s="13" t="n">
        <f aca="false">AS16+AS17+AS18+AS19+AS20</f>
        <v>396.310995372727</v>
      </c>
      <c r="AT21" s="13" t="n">
        <f aca="false">AT16+AT17+AT18+AT19+AT20</f>
        <v>363.838051315051</v>
      </c>
      <c r="AU21" s="13" t="n">
        <f aca="false">AU16+AU17+AU18+AU19+AU20</f>
        <v>349.219019964179</v>
      </c>
      <c r="AV21" s="13" t="n">
        <f aca="false">AV16+AV17+AV18+AV19+AV20</f>
        <v>333.478223807309</v>
      </c>
      <c r="AW21" s="13" t="n">
        <f aca="false">AW16+AW17+AW18+AW19+AW20</f>
        <v>318.668055268403</v>
      </c>
      <c r="AX21" s="13" t="n">
        <f aca="false">AX16+AX17+AX18+AX19+AX20</f>
        <v>301.67123889503</v>
      </c>
      <c r="AY21" s="13" t="n">
        <f aca="false">AY16+AY17+AY18+AY19+AY20</f>
        <v>287.068168527634</v>
      </c>
      <c r="AZ21" s="13" t="n">
        <f aca="false">AZ16+AZ17+AZ18+AZ19+AZ20</f>
        <v>270.441992230106</v>
      </c>
      <c r="BA21" s="13" t="n">
        <f aca="false">BA16+BA17+BA18+BA19+BA20</f>
        <v>255.657847471013</v>
      </c>
      <c r="BB21" s="13" t="n">
        <f aca="false">BB16+BB17+BB18+BB19+BB20</f>
        <v>235.774583802808</v>
      </c>
      <c r="BC21" s="13" t="n">
        <f aca="false">BC16+BC17+BC18+BC19+BC20</f>
        <v>222.384932772346</v>
      </c>
      <c r="BD21" s="13" t="n">
        <f aca="false">BD16+BD17+BD18+BD19+BD20</f>
        <v>210.001029860708</v>
      </c>
      <c r="BE21" s="13" t="n">
        <f aca="false">BE16+BE17+BE18+BE19+BE20</f>
        <v>199.040286036901</v>
      </c>
      <c r="BF21" s="13" t="n">
        <f aca="false">BF16+BF17+BF18+BF19+BF20</f>
        <v>185.760318556682</v>
      </c>
      <c r="BG21" s="13" t="n">
        <f aca="false">BG16+BG17+BG18+BG19+BG20</f>
        <v>175.05733357051</v>
      </c>
      <c r="BH21" s="13" t="n">
        <f aca="false">BH16+BH17+BH18+BH19+BH20</f>
        <v>162.212068709305</v>
      </c>
      <c r="BI21" s="13" t="n">
        <f aca="false">BI16+BI17+BI18+BI19+BI20</f>
        <v>150.593366209853</v>
      </c>
      <c r="BJ21" s="13" t="n">
        <f aca="false">BJ16+BJ17+BJ18+BJ19+BJ20</f>
        <v>116.843699338853</v>
      </c>
      <c r="BK21" s="13" t="n">
        <f aca="false">BK16+BK17+BK18+BK19+BK20</f>
        <v>104.183247911452</v>
      </c>
      <c r="BL21" s="13" t="n">
        <f aca="false">BL16+BL17+BL18+BL19+BL20</f>
        <v>89.6188550127582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398.768812448799</v>
      </c>
      <c r="AB22" s="13" t="n">
        <f aca="false">IF(Time!AB20&lt;Time!$F$12,SUMIFS(Funding!$J$73:$BJ$73,Construction!$J$12:$BJ$12,"&lt;="&amp;Time!AB20),Debt!AB116)</f>
        <v>370.121423291704</v>
      </c>
      <c r="AC22" s="13" t="n">
        <f aca="false">IF(Time!AC20&lt;Time!$F$12,SUMIFS(Funding!$J$73:$BJ$73,Construction!$J$12:$BJ$12,"&lt;="&amp;Time!AC20),Debt!AC116)</f>
        <v>341.492775196118</v>
      </c>
      <c r="AD22" s="13" t="n">
        <f aca="false">IF(Time!AD20&lt;Time!$F$12,SUMIFS(Funding!$J$73:$BJ$73,Construction!$J$12:$BJ$12,"&lt;="&amp;Time!AD20),Debt!AD116)</f>
        <v>309.930957239179</v>
      </c>
      <c r="AE22" s="13" t="n">
        <f aca="false">IF(Time!AE20&lt;Time!$F$12,SUMIFS(Funding!$J$73:$BJ$73,Construction!$J$12:$BJ$12,"&lt;="&amp;Time!AE20),Debt!AE116)</f>
        <v>277.355352687187</v>
      </c>
      <c r="AF22" s="13" t="n">
        <f aca="false">IF(Time!AF20&lt;Time!$F$12,SUMIFS(Funding!$J$73:$BJ$73,Construction!$J$12:$BJ$12,"&lt;="&amp;Time!AF20),Debt!AF116)</f>
        <v>243.820228081142</v>
      </c>
      <c r="AG22" s="13" t="n">
        <f aca="false">IF(Time!AG20&lt;Time!$F$12,SUMIFS(Funding!$J$73:$BJ$73,Construction!$J$12:$BJ$12,"&lt;="&amp;Time!AG20),Debt!AG116)</f>
        <v>210.328405003129</v>
      </c>
      <c r="AH22" s="13" t="n">
        <f aca="false">IF(Time!AH20&lt;Time!$F$12,SUMIFS(Funding!$J$73:$BJ$73,Construction!$J$12:$BJ$12,"&lt;="&amp;Time!AH20),Debt!AH116)</f>
        <v>175.404662090926</v>
      </c>
      <c r="AI22" s="13" t="n">
        <f aca="false">IF(Time!AI20&lt;Time!$F$12,SUMIFS(Funding!$J$73:$BJ$73,Construction!$J$12:$BJ$12,"&lt;="&amp;Time!AI20),Debt!AI116)</f>
        <v>140.371930619756</v>
      </c>
      <c r="AJ22" s="13" t="n">
        <f aca="false">IF(Time!AJ20&lt;Time!$F$12,SUMIFS(Funding!$J$73:$BJ$73,Construction!$J$12:$BJ$12,"&lt;="&amp;Time!AJ20),Debt!AJ116)</f>
        <v>104.320513309986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211.889182304779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222.036642323102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196.033067696881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192.885965168836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190.444402731651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186.756461032443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182.008069129025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178.335012660645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175.125690162362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171.20730692248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173.5350436706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175.189427351686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177.202346774629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178.089570508786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178.322134162785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177.893384511932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176.931208916918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174.752636079685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171.521801457821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166.478635450154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152.508776334587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126.673699564206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99.5704082677794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72.3355512483218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31.9642421159694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24.5180063656075</v>
      </c>
      <c r="R24" s="13" t="n">
        <f aca="false">Operations!R90+Operations!R91+Operations!R92+Operations!R93+Operations!R94</f>
        <v>24.0356726672915</v>
      </c>
      <c r="S24" s="13" t="n">
        <f aca="false">Operations!S90+Operations!S91+Operations!S92+Operations!S93+Operations!S94</f>
        <v>24.9218996942907</v>
      </c>
      <c r="T24" s="13" t="n">
        <f aca="false">Operations!T90+Operations!T91+Operations!T92+Operations!T93+Operations!T94</f>
        <v>24.7136155952252</v>
      </c>
      <c r="U24" s="13" t="n">
        <f aca="false">Operations!U90+Operations!U91+Operations!U92+Operations!U93+Operations!U94</f>
        <v>25.1633839997169</v>
      </c>
      <c r="V24" s="13" t="n">
        <f aca="false">Operations!V90+Operations!V91+Operations!V92+Operations!V93+Operations!V94</f>
        <v>24.4248458625065</v>
      </c>
      <c r="W24" s="13" t="n">
        <f aca="false">Operations!W90+Operations!W91+Operations!W92+Operations!W93+Operations!W94</f>
        <v>25.5169470328288</v>
      </c>
      <c r="X24" s="13" t="n">
        <f aca="false">Operations!X90+Operations!X91+Operations!X92+Operations!X93+Operations!X94</f>
        <v>25.6816262661563</v>
      </c>
      <c r="Y24" s="13" t="n">
        <f aca="false">Operations!Y90+Operations!Y91+Operations!Y92+Operations!Y93+Operations!Y94</f>
        <v>26.4766595472827</v>
      </c>
      <c r="Z24" s="13" t="n">
        <f aca="false">Operations!Z90+Operations!Z91+Operations!Z92+Operations!Z93+Operations!Z94</f>
        <v>25.9551221576739</v>
      </c>
      <c r="AA24" s="13" t="n">
        <f aca="false">Operations!AA90+Operations!AA91+Operations!AA92+Operations!AA93+Operations!AA94</f>
        <v>26.9127737530683</v>
      </c>
      <c r="AB24" s="13" t="n">
        <f aca="false">Operations!AB90+Operations!AB91+Operations!AB92+Operations!AB93+Operations!AB94</f>
        <v>26.6876223159384</v>
      </c>
      <c r="AC24" s="13" t="n">
        <f aca="false">Operations!AC90+Operations!AC91+Operations!AC92+Operations!AC93+Operations!AC94</f>
        <v>27.0071627040619</v>
      </c>
      <c r="AD24" s="13" t="n">
        <f aca="false">Operations!AD90+Operations!AD91+Operations!AD92+Operations!AD93+Operations!AD94</f>
        <v>25.8867080513958</v>
      </c>
      <c r="AE24" s="13" t="n">
        <f aca="false">Operations!AE90+Operations!AE91+Operations!AE92+Operations!AE93+Operations!AE94</f>
        <v>27.2143039527818</v>
      </c>
      <c r="AF24" s="13" t="n">
        <f aca="false">Operations!AF90+Operations!AF91+Operations!AF92+Operations!AF93+Operations!AF94</f>
        <v>27.7330896507897</v>
      </c>
      <c r="AG24" s="13" t="n">
        <f aca="false">Operations!AG90+Operations!AG91+Operations!AG92+Operations!AG93+Operations!AG94</f>
        <v>28.592055515712</v>
      </c>
      <c r="AH24" s="13" t="n">
        <f aca="false">Operations!AH90+Operations!AH91+Operations!AH92+Operations!AH93+Operations!AH94</f>
        <v>28.0281435930388</v>
      </c>
      <c r="AI24" s="13" t="n">
        <f aca="false">Operations!AI90+Operations!AI91+Operations!AI92+Operations!AI93+Operations!AI94</f>
        <v>29.0629541561667</v>
      </c>
      <c r="AJ24" s="13" t="n">
        <f aca="false">Operations!AJ90+Operations!AJ91+Operations!AJ92+Operations!AJ93+Operations!AJ94</f>
        <v>28.8195720366516</v>
      </c>
      <c r="AK24" s="13" t="n">
        <f aca="false">Operations!AK90+Operations!AK91+Operations!AK92+Operations!AK93+Operations!AK94</f>
        <v>29.3438855442619</v>
      </c>
      <c r="AL24" s="13" t="n">
        <f aca="false">Operations!AL90+Operations!AL91+Operations!AL92+Operations!AL93+Operations!AL94</f>
        <v>28.4803501681542</v>
      </c>
      <c r="AM24" s="13" t="n">
        <f aca="false">Operations!AM90+Operations!AM91+Operations!AM92+Operations!AM93+Operations!AM94</f>
        <v>29.7558594919255</v>
      </c>
      <c r="AN24" s="13" t="n">
        <f aca="false">Operations!AN90+Operations!AN91+Operations!AN92+Operations!AN93+Operations!AN94</f>
        <v>29.9486733388028</v>
      </c>
      <c r="AO24" s="13" t="n">
        <f aca="false">Operations!AO90+Operations!AO91+Operations!AO92+Operations!AO93+Operations!AO94</f>
        <v>30.8766954660342</v>
      </c>
      <c r="AP24" s="13" t="n">
        <f aca="false">Operations!AP90+Operations!AP91+Operations!AP92+Operations!AP93+Operations!AP94</f>
        <v>30.2669838512525</v>
      </c>
      <c r="AQ24" s="13" t="n">
        <f aca="false">Operations!AQ90+Operations!AQ91+Operations!AQ92+Operations!AQ93+Operations!AQ94</f>
        <v>31.3851451764281</v>
      </c>
      <c r="AR24" s="13" t="n">
        <f aca="false">Operations!AR90+Operations!AR91+Operations!AR92+Operations!AR93+Operations!AR94</f>
        <v>31.1220598475268</v>
      </c>
      <c r="AS24" s="13" t="n">
        <f aca="false">Operations!AS90+Operations!AS91+Operations!AS92+Operations!AS93+Operations!AS94</f>
        <v>31.4939347799663</v>
      </c>
      <c r="AT24" s="13" t="n">
        <f aca="false">Operations!AT90+Operations!AT91+Operations!AT92+Operations!AT93+Operations!AT94</f>
        <v>30.1840599587228</v>
      </c>
      <c r="AU24" s="13" t="n">
        <f aca="false">Operations!AU90+Operations!AU91+Operations!AU92+Operations!AU93+Operations!AU94</f>
        <v>31.7345643987041</v>
      </c>
      <c r="AV24" s="13" t="n">
        <f aca="false">Operations!AV90+Operations!AV91+Operations!AV92+Operations!AV93+Operations!AV94</f>
        <v>32.3414626931107</v>
      </c>
      <c r="AW24" s="13" t="n">
        <f aca="false">Operations!AW90+Operations!AW91+Operations!AW92+Operations!AW93+Operations!AW94</f>
        <v>33.3440727703294</v>
      </c>
      <c r="AX24" s="13" t="n">
        <f aca="false">Operations!AX90+Operations!AX91+Operations!AX92+Operations!AX93+Operations!AX94</f>
        <v>32.6848617778116</v>
      </c>
      <c r="AY24" s="13" t="n">
        <f aca="false">Operations!AY90+Operations!AY91+Operations!AY92+Operations!AY93+Operations!AY94</f>
        <v>33.893059256173</v>
      </c>
      <c r="AZ24" s="13" t="n">
        <f aca="false">Operations!AZ90+Operations!AZ91+Operations!AZ92+Operations!AZ93+Operations!AZ94</f>
        <v>33.6086803535744</v>
      </c>
      <c r="BA24" s="13" t="n">
        <f aca="false">Operations!BA90+Operations!BA91+Operations!BA92+Operations!BA93+Operations!BA94</f>
        <v>34.2198658737174</v>
      </c>
      <c r="BB24" s="13" t="n">
        <f aca="false">Operations!BB90+Operations!BB91+Operations!BB92+Operations!BB93+Operations!BB94</f>
        <v>33.2103277668406</v>
      </c>
      <c r="BC24" s="13" t="n">
        <f aca="false">Operations!BC90+Operations!BC91+Operations!BC92+Operations!BC93+Operations!BC94</f>
        <v>34.699894572303</v>
      </c>
      <c r="BD24" s="13" t="n">
        <f aca="false">Operations!BD90+Operations!BD91+Operations!BD92+Operations!BD93+Operations!BD94</f>
        <v>34.9255812586603</v>
      </c>
      <c r="BE24" s="13" t="n">
        <f aca="false">Operations!BE90+Operations!BE91+Operations!BE92+Operations!BE93+Operations!BE94</f>
        <v>36.0087512247512</v>
      </c>
      <c r="BF24" s="13" t="n">
        <f aca="false">Operations!BF90+Operations!BF91+Operations!BF92+Operations!BF93+Operations!BF94</f>
        <v>35.2960448437227</v>
      </c>
      <c r="BG24" s="13" t="n">
        <f aca="false">Operations!BG90+Operations!BG91+Operations!BG92+Operations!BG93+Operations!BG94</f>
        <v>36.6014965043704</v>
      </c>
      <c r="BH24" s="13" t="n">
        <f aca="false">Operations!BH90+Operations!BH91+Operations!BH92+Operations!BH93+Operations!BH94</f>
        <v>36.2941064937431</v>
      </c>
      <c r="BI24" s="13" t="n">
        <f aca="false">Operations!BI90+Operations!BI91+Operations!BI92+Operations!BI93+Operations!BI94</f>
        <v>36.7268870957975</v>
      </c>
      <c r="BJ24" s="13" t="n">
        <f aca="false">Operations!BJ90+Operations!BJ91+Operations!BJ92+Operations!BJ93+Operations!BJ94</f>
        <v>35.1957961242074</v>
      </c>
      <c r="BK24" s="13" t="n">
        <f aca="false">Operations!BK90+Operations!BK91+Operations!BK92+Operations!BK93+Operations!BK94</f>
        <v>37.0064440607541</v>
      </c>
      <c r="BL24" s="13" t="n">
        <f aca="false">Operations!BL90+Operations!BL91+Operations!BL92+Operations!BL93+Operations!BL94</f>
        <v>37.7162726074615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6.04902508722442</v>
      </c>
      <c r="AL25" s="13" t="n">
        <f aca="false">MAX(0,AL12)</f>
        <v>13.0705574942224</v>
      </c>
      <c r="AM25" s="13" t="n">
        <f aca="false">MAX(0,AM12)</f>
        <v>21.5676747373355</v>
      </c>
      <c r="AN25" s="13" t="n">
        <f aca="false">MAX(0,AN12)</f>
        <v>30.5843490965071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24.9719260961185</v>
      </c>
      <c r="R27" s="18" t="n">
        <f aca="false">Waterfall!R43</f>
        <v>32.6432625154513</v>
      </c>
      <c r="S27" s="18" t="n">
        <f aca="false">Waterfall!S43</f>
        <v>40.8390295651374</v>
      </c>
      <c r="T27" s="18" t="n">
        <f aca="false">Waterfall!T43</f>
        <v>50.5180386126767</v>
      </c>
      <c r="U27" s="18" t="n">
        <f aca="false">Waterfall!U43</f>
        <v>61.3410918845167</v>
      </c>
      <c r="V27" s="18" t="n">
        <f aca="false">Waterfall!V43</f>
        <v>70.3885324607546</v>
      </c>
      <c r="W27" s="18" t="n">
        <f aca="false">Waterfall!W43</f>
        <v>83.1522570309033</v>
      </c>
      <c r="X27" s="18" t="n">
        <f aca="false">Waterfall!X43</f>
        <v>96.4688844894507</v>
      </c>
      <c r="Y27" s="18" t="n">
        <f aca="false">Waterfall!Y43</f>
        <v>107.850948128814</v>
      </c>
      <c r="Z27" s="18" t="n">
        <f aca="false">Waterfall!Z43</f>
        <v>114.302809612885</v>
      </c>
      <c r="AA27" s="18" t="n">
        <f aca="false">Waterfall!AA43</f>
        <v>121.658931274156</v>
      </c>
      <c r="AB27" s="18" t="n">
        <f aca="false">Waterfall!AB43</f>
        <v>129.484391080997</v>
      </c>
      <c r="AC27" s="18" t="n">
        <f aca="false">Waterfall!AC43</f>
        <v>138.301509825468</v>
      </c>
      <c r="AD27" s="18" t="n">
        <f aca="false">Waterfall!AD43</f>
        <v>138.412262953492</v>
      </c>
      <c r="AE27" s="18" t="n">
        <f aca="false">Waterfall!AE43</f>
        <v>149.586247824215</v>
      </c>
      <c r="AF27" s="18" t="n">
        <f aca="false">Waterfall!AF43</f>
        <v>160.803100066994</v>
      </c>
      <c r="AG27" s="18" t="n">
        <f aca="false">Waterfall!AG43</f>
        <v>173.031868613276</v>
      </c>
      <c r="AH27" s="18" t="n">
        <f aca="false">Waterfall!AH43</f>
        <v>186.175925486801</v>
      </c>
      <c r="AI27" s="18" t="n">
        <f aca="false">Waterfall!AI43</f>
        <v>200.569699509578</v>
      </c>
      <c r="AJ27" s="18" t="n">
        <f aca="false">Waterfall!AJ43</f>
        <v>215.964537035251</v>
      </c>
      <c r="AK27" s="18" t="n">
        <f aca="false">Waterfall!AK43</f>
        <v>232.736693320144</v>
      </c>
      <c r="AL27" s="18" t="n">
        <f aca="false">Waterfall!AL43</f>
        <v>248.758594273587</v>
      </c>
      <c r="AM27" s="18" t="n">
        <f aca="false">Waterfall!AM43</f>
        <v>268.221335503</v>
      </c>
      <c r="AN27" s="18" t="n">
        <f aca="false">Waterfall!AN43</f>
        <v>288.893668416828</v>
      </c>
      <c r="AO27" s="18" t="n">
        <f aca="false">Waterfall!AO43</f>
        <v>311.336449728453</v>
      </c>
      <c r="AP27" s="18" t="n">
        <f aca="false">Waterfall!AP43</f>
        <v>327.719766433024</v>
      </c>
      <c r="AQ27" s="18" t="n">
        <f aca="false">Waterfall!AQ43</f>
        <v>312.650958842422</v>
      </c>
      <c r="AR27" s="18" t="n">
        <f aca="false">Waterfall!AR43</f>
        <v>297.066649188512</v>
      </c>
      <c r="AS27" s="18" t="n">
        <f aca="false">Waterfall!AS43</f>
        <v>281.921670271049</v>
      </c>
      <c r="AT27" s="18" t="n">
        <f aca="false">Waterfall!AT43</f>
        <v>249.754857957861</v>
      </c>
      <c r="AU27" s="18" t="n">
        <f aca="false">Waterfall!AU43</f>
        <v>232.581579090254</v>
      </c>
      <c r="AV27" s="18" t="n">
        <f aca="false">Waterfall!AV43</f>
        <v>215.230141562222</v>
      </c>
      <c r="AW27" s="18" t="n">
        <f aca="false">Waterfall!AW43</f>
        <v>198.413619869343</v>
      </c>
      <c r="AX27" s="18" t="n">
        <f aca="false">Waterfall!AX43</f>
        <v>181.072271411734</v>
      </c>
      <c r="AY27" s="18" t="n">
        <f aca="false">Waterfall!AY43</f>
        <v>164.257260489221</v>
      </c>
      <c r="AZ27" s="18" t="n">
        <f aca="false">Waterfall!AZ43</f>
        <v>146.911720017537</v>
      </c>
      <c r="BA27" s="18" t="n">
        <f aca="false">Waterfall!BA43</f>
        <v>130.512646661546</v>
      </c>
      <c r="BB27" s="18" t="n">
        <f aca="false">Waterfall!BB43</f>
        <v>110.635178023464</v>
      </c>
      <c r="BC27" s="18" t="n">
        <f aca="false">Waterfall!BC43</f>
        <v>96.6760580078978</v>
      </c>
      <c r="BD27" s="18" t="n">
        <f aca="false">Waterfall!BD43</f>
        <v>88.8342480244866</v>
      </c>
      <c r="BE27" s="18" t="n">
        <f aca="false">Waterfall!BE43</f>
        <v>81.5581138491735</v>
      </c>
      <c r="BF27" s="18" t="n">
        <f aca="false">Waterfall!BF43</f>
        <v>73.7586323645678</v>
      </c>
      <c r="BG27" s="18" t="n">
        <f aca="false">Waterfall!BG43</f>
        <v>66.5179753323323</v>
      </c>
      <c r="BH27" s="18" t="n">
        <f aca="false">Waterfall!BH43</f>
        <v>58.7478800963386</v>
      </c>
      <c r="BI27" s="18" t="n">
        <f aca="false">Waterfall!BI43</f>
        <v>51.4641766094166</v>
      </c>
      <c r="BJ27" s="18" t="n">
        <f aca="false">Waterfall!BJ43</f>
        <v>24.0133803245917</v>
      </c>
      <c r="BK27" s="18" t="n">
        <f aca="false">Waterfall!BK43</f>
        <v>14.3100605752282</v>
      </c>
      <c r="BL27" s="18" t="n">
        <f aca="false">Waterfall!BL43</f>
        <v>3.80361874441118</v>
      </c>
      <c r="BM27" s="18" t="n">
        <f aca="false">Waterfall!BM43</f>
        <v>-44.9204439178291</v>
      </c>
      <c r="BN27" s="18" t="n">
        <f aca="false">Waterfall!BN43</f>
        <v>-44.9204439178291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904.429846559294</v>
      </c>
      <c r="R28" s="13" t="n">
        <f aca="false">R22+R23+R24+R25+R26+R27</f>
        <v>904.794966002991</v>
      </c>
      <c r="S28" s="13" t="n">
        <f aca="false">S22+S23+S24+S25+S26+S27</f>
        <v>870.439881542625</v>
      </c>
      <c r="T28" s="13" t="n">
        <f aca="false">T22+T23+T24+T25+T26+T27</f>
        <v>858.565234058679</v>
      </c>
      <c r="U28" s="13" t="n">
        <f aca="false">U22+U23+U24+U25+U26+U27</f>
        <v>848.649017475689</v>
      </c>
      <c r="V28" s="13" t="n">
        <f aca="false">V22+V23+V24+V25+V26+V27</f>
        <v>833.326072684052</v>
      </c>
      <c r="W28" s="13" t="n">
        <f aca="false">W22+W23+W24+W25+W26+W27</f>
        <v>821.900476570077</v>
      </c>
      <c r="X28" s="13" t="n">
        <f aca="false">X22+X23+X24+X25+X26+X27</f>
        <v>811.776623226943</v>
      </c>
      <c r="Y28" s="13" t="n">
        <f aca="false">Y22+Y23+Y24+Y25+Y26+Y27</f>
        <v>800.849361939402</v>
      </c>
      <c r="Z28" s="13" t="n">
        <f aca="false">Z22+Z23+Z24+Z25+Z26+Z27</f>
        <v>782.170092461222</v>
      </c>
      <c r="AA28" s="13" t="n">
        <f aca="false">AA22+AA23+AA24+AA25+AA26+AA27</f>
        <v>765.796005064452</v>
      </c>
      <c r="AB28" s="13" t="n">
        <f aca="false">AB22+AB23+AB24+AB25+AB26+AB27</f>
        <v>746.403307958155</v>
      </c>
      <c r="AC28" s="13" t="n">
        <f aca="false">AC22+AC23+AC24+AC25+AC26+AC27</f>
        <v>728.924238418106</v>
      </c>
      <c r="AD28" s="13" t="n">
        <f aca="false">AD22+AD23+AD24+AD25+AD26+AD27</f>
        <v>697.239942670682</v>
      </c>
      <c r="AE28" s="13" t="n">
        <f aca="false">AE22+AE23+AE24+AE25+AE26+AE27</f>
        <v>677.398482544798</v>
      </c>
      <c r="AF28" s="13" t="n">
        <f aca="false">AF22+AF23+AF24+AF25+AF26+AF27</f>
        <v>655.170246228686</v>
      </c>
      <c r="AG28" s="13" t="n">
        <f aca="false">AG22+AG23+AG24+AG25+AG26+AG27</f>
        <v>633.803981966864</v>
      </c>
      <c r="AH28" s="13" t="n">
        <f aca="false">AH22+AH23+AH24+AH25+AH26+AH27</f>
        <v>609.28181116828</v>
      </c>
      <c r="AI28" s="13" t="n">
        <f aca="false">AI22+AI23+AI24+AI25+AI26+AI27</f>
        <v>586.446829661152</v>
      </c>
      <c r="AJ28" s="13" t="n">
        <f aca="false">AJ22+AJ23+AJ24+AJ25+AJ26+AJ27</f>
        <v>560.503701749871</v>
      </c>
      <c r="AK28" s="13" t="n">
        <f aca="false">AK22+AK23+AK24+AK25+AK26+AK27</f>
        <v>540.866646275589</v>
      </c>
      <c r="AL28" s="13" t="n">
        <f aca="false">AL22+AL23+AL24+AL25+AL26+AL27</f>
        <v>517.496632125895</v>
      </c>
      <c r="AM28" s="13" t="n">
        <f aca="false">AM22+AM23+AM24+AM25+AM26+AM27</f>
        <v>499.416517415384</v>
      </c>
      <c r="AN28" s="13" t="n">
        <f aca="false">AN22+AN23+AN24+AN25+AN26+AN27</f>
        <v>484.219681039878</v>
      </c>
      <c r="AO28" s="13" t="n">
        <f aca="false">AO22+AO23+AO24+AO25+AO26+AO27</f>
        <v>453.057805325151</v>
      </c>
      <c r="AP28" s="13" t="n">
        <f aca="false">AP22+AP23+AP24+AP25+AP26+AP27</f>
        <v>437.870911375724</v>
      </c>
      <c r="AQ28" s="13" t="n">
        <f aca="false">AQ22+AQ23+AQ24+AQ25+AQ26+AQ27</f>
        <v>424.924008187053</v>
      </c>
      <c r="AR28" s="13" t="n">
        <f aca="false">AR22+AR23+AR24+AR25+AR26+AR27</f>
        <v>410.080356280996</v>
      </c>
      <c r="AS28" s="13" t="n">
        <f aca="false">AS22+AS23+AS24+AS25+AS26+AS27</f>
        <v>396.310995372727</v>
      </c>
      <c r="AT28" s="13" t="n">
        <f aca="false">AT22+AT23+AT24+AT25+AT26+AT27</f>
        <v>363.838051315051</v>
      </c>
      <c r="AU28" s="13" t="n">
        <f aca="false">AU22+AU23+AU24+AU25+AU26+AU27</f>
        <v>349.219019964179</v>
      </c>
      <c r="AV28" s="13" t="n">
        <f aca="false">AV22+AV23+AV24+AV25+AV26+AV27</f>
        <v>333.478223807309</v>
      </c>
      <c r="AW28" s="13" t="n">
        <f aca="false">AW22+AW23+AW24+AW25+AW26+AW27</f>
        <v>318.668055268403</v>
      </c>
      <c r="AX28" s="13" t="n">
        <f aca="false">AX22+AX23+AX24+AX25+AX26+AX27</f>
        <v>301.67123889503</v>
      </c>
      <c r="AY28" s="13" t="n">
        <f aca="false">AY22+AY23+AY24+AY25+AY26+AY27</f>
        <v>287.068168527633</v>
      </c>
      <c r="AZ28" s="13" t="n">
        <f aca="false">AZ22+AZ23+AZ24+AZ25+AZ26+AZ27</f>
        <v>270.441992230106</v>
      </c>
      <c r="BA28" s="13" t="n">
        <f aca="false">BA22+BA23+BA24+BA25+BA26+BA27</f>
        <v>255.657847471013</v>
      </c>
      <c r="BB28" s="13" t="n">
        <f aca="false">BB22+BB23+BB24+BB25+BB26+BB27</f>
        <v>235.774583802808</v>
      </c>
      <c r="BC28" s="13" t="n">
        <f aca="false">BC22+BC23+BC24+BC25+BC26+BC27</f>
        <v>222.384932772346</v>
      </c>
      <c r="BD28" s="13" t="n">
        <f aca="false">BD22+BD23+BD24+BD25+BD26+BD27</f>
        <v>210.001029860708</v>
      </c>
      <c r="BE28" s="13" t="n">
        <f aca="false">BE22+BE23+BE24+BE25+BE26+BE27</f>
        <v>199.040286036901</v>
      </c>
      <c r="BF28" s="13" t="n">
        <f aca="false">BF22+BF23+BF24+BF25+BF26+BF27</f>
        <v>185.760318556682</v>
      </c>
      <c r="BG28" s="13" t="n">
        <f aca="false">BG22+BG23+BG24+BG25+BG26+BG27</f>
        <v>175.05733357051</v>
      </c>
      <c r="BH28" s="13" t="n">
        <f aca="false">BH22+BH23+BH24+BH25+BH26+BH27</f>
        <v>162.212068709305</v>
      </c>
      <c r="BI28" s="13" t="n">
        <f aca="false">BI22+BI23+BI24+BI25+BI26+BI27</f>
        <v>150.593366209853</v>
      </c>
      <c r="BJ28" s="13" t="n">
        <f aca="false">BJ22+BJ23+BJ24+BJ25+BJ26+BJ27</f>
        <v>116.843699338853</v>
      </c>
      <c r="BK28" s="13" t="n">
        <f aca="false">BK22+BK23+BK24+BK25+BK26+BK27</f>
        <v>104.183247911452</v>
      </c>
      <c r="BL28" s="13" t="n">
        <f aca="false">BL22+BL23+BL24+BL25+BL26+BL27</f>
        <v>89.6188550127581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2566.19346044815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50.0400439629745</v>
      </c>
      <c r="R32" s="18" t="n">
        <f aca="false">Operations!R84</f>
        <v>50.1825741246421</v>
      </c>
      <c r="S32" s="18" t="n">
        <f aca="false">Operations!S84</f>
        <v>50.2659664983758</v>
      </c>
      <c r="T32" s="18" t="n">
        <f aca="false">Operations!T84</f>
        <v>50.3303969934115</v>
      </c>
      <c r="U32" s="18" t="n">
        <f aca="false">Operations!U84</f>
        <v>50.4935878469165</v>
      </c>
      <c r="V32" s="18" t="n">
        <f aca="false">Operations!V84</f>
        <v>48.222251886577</v>
      </c>
      <c r="W32" s="18" t="n">
        <f aca="false">Operations!W84</f>
        <v>50.76227807011</v>
      </c>
      <c r="X32" s="18" t="n">
        <f aca="false">Operations!X84</f>
        <v>50.7380960899645</v>
      </c>
      <c r="Y32" s="18" t="n">
        <f aca="false">Operations!Y84</f>
        <v>50.8616116487816</v>
      </c>
      <c r="Z32" s="18" t="n">
        <f aca="false">Operations!Z84</f>
        <v>51.0036595091316</v>
      </c>
      <c r="AA32" s="18" t="n">
        <f aca="false">Operations!AA84</f>
        <v>51.0927612621233</v>
      </c>
      <c r="AB32" s="18" t="n">
        <f aca="false">Operations!AB84</f>
        <v>51.1622063793877</v>
      </c>
      <c r="AC32" s="18" t="n">
        <f aca="false">Operations!AC84</f>
        <v>51.3805263728017</v>
      </c>
      <c r="AD32" s="18" t="n">
        <f aca="false">Operations!AD84</f>
        <v>38.9447653162626</v>
      </c>
      <c r="AE32" s="18" t="n">
        <f aca="false">Operations!AE84</f>
        <v>51.7159111428441</v>
      </c>
      <c r="AF32" s="18" t="n">
        <f aca="false">Operations!AF84</f>
        <v>51.603398319318</v>
      </c>
      <c r="AG32" s="18" t="n">
        <f aca="false">Operations!AG84</f>
        <v>51.7368557353003</v>
      </c>
      <c r="AH32" s="18" t="n">
        <f aca="false">Operations!AH84</f>
        <v>51.8923156113142</v>
      </c>
      <c r="AI32" s="18" t="n">
        <f aca="false">Operations!AI84</f>
        <v>51.9875202435028</v>
      </c>
      <c r="AJ32" s="18" t="n">
        <f aca="false">Operations!AJ84</f>
        <v>52.0623701475693</v>
      </c>
      <c r="AK32" s="18" t="n">
        <f aca="false">Operations!AK84</f>
        <v>52.2557451622764</v>
      </c>
      <c r="AL32" s="18" t="n">
        <f aca="false">Operations!AL84</f>
        <v>49.5572193351533</v>
      </c>
      <c r="AM32" s="18" t="n">
        <f aca="false">Operations!AM84</f>
        <v>52.5742944616083</v>
      </c>
      <c r="AN32" s="18" t="n">
        <f aca="false">Operations!AN84</f>
        <v>52.5398490480539</v>
      </c>
      <c r="AO32" s="18" t="n">
        <f aca="false">Operations!AO84</f>
        <v>52.6840685854972</v>
      </c>
      <c r="AP32" s="18" t="n">
        <f aca="false">Operations!AP84</f>
        <v>52.8541886364139</v>
      </c>
      <c r="AQ32" s="18" t="n">
        <f aca="false">Operations!AQ84</f>
        <v>52.9559172382238</v>
      </c>
      <c r="AR32" s="18" t="n">
        <f aca="false">Operations!AR84</f>
        <v>53.0365923661801</v>
      </c>
      <c r="AS32" s="18" t="n">
        <f aca="false">Operations!AS84</f>
        <v>53.2971710041726</v>
      </c>
      <c r="AT32" s="18" t="n">
        <f aca="false">Operations!AT84</f>
        <v>38.6156954907954</v>
      </c>
      <c r="AU32" s="18" t="n">
        <f aca="false">Operations!AU84</f>
        <v>53.6967042338164</v>
      </c>
      <c r="AV32" s="18" t="n">
        <f aca="false">Operations!AV84</f>
        <v>53.5533888758499</v>
      </c>
      <c r="AW32" s="18" t="n">
        <f aca="false">Operations!AW84</f>
        <v>53.7092601884567</v>
      </c>
      <c r="AX32" s="18" t="n">
        <f aca="false">Operations!AX84</f>
        <v>53.8954034573599</v>
      </c>
      <c r="AY32" s="18" t="n">
        <f aca="false">Operations!AY84</f>
        <v>54.0041067048262</v>
      </c>
      <c r="AZ32" s="18" t="n">
        <f aca="false">Operations!AZ84</f>
        <v>54.0910601002626</v>
      </c>
      <c r="BA32" s="18" t="n">
        <f aca="false">Operations!BA84</f>
        <v>54.3202683748525</v>
      </c>
      <c r="BB32" s="18" t="n">
        <f aca="false">Operations!BB84</f>
        <v>51.1139810635627</v>
      </c>
      <c r="BC32" s="18" t="n">
        <f aca="false">Operations!BC84</f>
        <v>54.6979816653459</v>
      </c>
      <c r="BD32" s="18" t="n">
        <f aca="false">Operations!BD84</f>
        <v>54.6504616888332</v>
      </c>
      <c r="BE32" s="18" t="n">
        <f aca="false">Operations!BE84</f>
        <v>54.818949828865</v>
      </c>
      <c r="BF32" s="18" t="n">
        <f aca="false">Operations!BF84</f>
        <v>55.0226047268959</v>
      </c>
      <c r="BG32" s="18" t="n">
        <f aca="false">Operations!BG84</f>
        <v>55.1387650277312</v>
      </c>
      <c r="BH32" s="18" t="n">
        <f aca="false">Operations!BH84</f>
        <v>55.2324848526287</v>
      </c>
      <c r="BI32" s="18" t="n">
        <f aca="false">Operations!BI84</f>
        <v>55.5435031979406</v>
      </c>
      <c r="BJ32" s="18" t="n">
        <f aca="false">Operations!BJ84</f>
        <v>38.1904464165889</v>
      </c>
      <c r="BK32" s="18" t="n">
        <f aca="false">Operations!BK84</f>
        <v>56.0194424398547</v>
      </c>
      <c r="BL32" s="18" t="n">
        <f aca="false">Operations!BL84</f>
        <v>55.8380578608321</v>
      </c>
      <c r="BM32" s="18" t="n">
        <f aca="false">Operations!BM84</f>
        <v>18.2591958535908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-296.159018135624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-0.114070005776519</v>
      </c>
      <c r="Z33" s="13" t="n">
        <f aca="false">-Tax!Z27</f>
        <v>-0.34346844416963</v>
      </c>
      <c r="AA33" s="13" t="n">
        <f aca="false">-Tax!AA27</f>
        <v>-0.34509986539964</v>
      </c>
      <c r="AB33" s="13" t="n">
        <f aca="false">-Tax!AB27</f>
        <v>-0.346871781290273</v>
      </c>
      <c r="AC33" s="13" t="n">
        <f aca="false">-Tax!AC27</f>
        <v>-0.347721597415385</v>
      </c>
      <c r="AD33" s="13" t="n">
        <f aca="false">-Tax!AD27</f>
        <v>-0.34337551997969</v>
      </c>
      <c r="AE33" s="13" t="n">
        <f aca="false">-Tax!AE27</f>
        <v>-0.350140049400092</v>
      </c>
      <c r="AF33" s="13" t="n">
        <f aca="false">-Tax!AF27</f>
        <v>-0.353160774233533</v>
      </c>
      <c r="AG33" s="13" t="n">
        <f aca="false">-Tax!AG27</f>
        <v>-0.354647293430266</v>
      </c>
      <c r="AH33" s="13" t="n">
        <f aca="false">-Tax!AH27</f>
        <v>-0.356019088692758</v>
      </c>
      <c r="AI33" s="13" t="n">
        <f aca="false">-Tax!AI27</f>
        <v>-0.35779541709353</v>
      </c>
      <c r="AJ33" s="13" t="n">
        <f aca="false">-Tax!AJ27</f>
        <v>-0.359724165922109</v>
      </c>
      <c r="AK33" s="13" t="n">
        <f aca="false">-Tax!AK27</f>
        <v>-0.360934831907176</v>
      </c>
      <c r="AL33" s="13" t="n">
        <f aca="false">-Tax!AL27</f>
        <v>-0.361674662885619</v>
      </c>
      <c r="AM33" s="13" t="n">
        <f aca="false">-Tax!AM27</f>
        <v>-0.363865671184449</v>
      </c>
      <c r="AN33" s="13" t="n">
        <f aca="false">-Tax!AN27</f>
        <v>-0.366573924239213</v>
      </c>
      <c r="AO33" s="13" t="n">
        <f aca="false">-Tax!AO27</f>
        <v>-6.24270984748208</v>
      </c>
      <c r="AP33" s="13" t="n">
        <f aca="false">-Tax!AP27</f>
        <v>-9.37456392311937</v>
      </c>
      <c r="AQ33" s="13" t="n">
        <f aca="false">-Tax!AQ27</f>
        <v>-9.86431671093944</v>
      </c>
      <c r="AR33" s="13" t="n">
        <f aca="false">-Tax!AR27</f>
        <v>-9.88851924932633</v>
      </c>
      <c r="AS33" s="13" t="n">
        <f aca="false">-Tax!AS27</f>
        <v>-9.96669284072411</v>
      </c>
      <c r="AT33" s="13" t="n">
        <f aca="false">-Tax!AT27</f>
        <v>-5.56225018671095</v>
      </c>
      <c r="AU33" s="13" t="n">
        <f aca="false">-Tax!AU27</f>
        <v>-10.0865528096172</v>
      </c>
      <c r="AV33" s="13" t="n">
        <f aca="false">-Tax!AV27</f>
        <v>-10.0435582022273</v>
      </c>
      <c r="AW33" s="13" t="n">
        <f aca="false">-Tax!AW27</f>
        <v>-10.0903195960093</v>
      </c>
      <c r="AX33" s="13" t="n">
        <f aca="false">-Tax!AX27</f>
        <v>-10.1461625766803</v>
      </c>
      <c r="AY33" s="13" t="n">
        <f aca="false">-Tax!AY27</f>
        <v>-10.1787735509202</v>
      </c>
      <c r="AZ33" s="13" t="n">
        <f aca="false">-Tax!AZ27</f>
        <v>-10.2048595695511</v>
      </c>
      <c r="BA33" s="13" t="n">
        <f aca="false">-Tax!BA27</f>
        <v>-10.2736220519281</v>
      </c>
      <c r="BB33" s="13" t="n">
        <f aca="false">-Tax!BB27</f>
        <v>-9.31173585854112</v>
      </c>
      <c r="BC33" s="13" t="n">
        <f aca="false">-Tax!BC27</f>
        <v>-12.3107769361891</v>
      </c>
      <c r="BD33" s="13" t="n">
        <f aca="false">-Tax!BD27</f>
        <v>-16.1442027374613</v>
      </c>
      <c r="BE33" s="13" t="n">
        <f aca="false">-Tax!BE27</f>
        <v>-16.1947491794709</v>
      </c>
      <c r="BF33" s="13" t="n">
        <f aca="false">-Tax!BF27</f>
        <v>-16.2558456488801</v>
      </c>
      <c r="BG33" s="13" t="n">
        <f aca="false">-Tax!BG27</f>
        <v>-16.2906937391307</v>
      </c>
      <c r="BH33" s="13" t="n">
        <f aca="false">-Tax!BH27</f>
        <v>-16.3188096866</v>
      </c>
      <c r="BI33" s="13" t="n">
        <f aca="false">-Tax!BI27</f>
        <v>-16.4121151901935</v>
      </c>
      <c r="BJ33" s="13" t="n">
        <f aca="false">-Tax!BJ27</f>
        <v>-11.206198155788</v>
      </c>
      <c r="BK33" s="13" t="n">
        <f aca="false">-Tax!BK27</f>
        <v>-16.5548969627678</v>
      </c>
      <c r="BL33" s="13" t="n">
        <f aca="false">-Tax!BL27</f>
        <v>-16.500481589061</v>
      </c>
      <c r="BM33" s="13" t="n">
        <f aca="false">-Tax!BM27</f>
        <v>-5.3104682432848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-32.8683645114599</v>
      </c>
      <c r="R34" s="13" t="n">
        <f aca="false">-Operations!R96+Operations!R97</f>
        <v>0.613685969765839</v>
      </c>
      <c r="S34" s="13" t="n">
        <f aca="false">-Operations!S96+Operations!S97</f>
        <v>32.1878438217336</v>
      </c>
      <c r="T34" s="13" t="n">
        <f aca="false">-Operations!T96+Operations!T97</f>
        <v>0.191770765057239</v>
      </c>
      <c r="U34" s="13" t="n">
        <f aca="false">-Operations!U96+Operations!U97</f>
        <v>-0.210855125281675</v>
      </c>
      <c r="V34" s="13" t="n">
        <f aca="false">-Operations!V96+Operations!V97</f>
        <v>0.111768135054866</v>
      </c>
      <c r="W34" s="13" t="n">
        <f aca="false">-Operations!W96+Operations!W97</f>
        <v>-0.289070962533877</v>
      </c>
      <c r="X34" s="13" t="n">
        <f aca="false">-Operations!X96+Operations!X97</f>
        <v>0.1945361946888</v>
      </c>
      <c r="Y34" s="13" t="n">
        <f aca="false">-Operations!Y96+Operations!Y97</f>
        <v>-0.292824334897215</v>
      </c>
      <c r="Z34" s="13" t="n">
        <f aca="false">-Operations!Z96+Operations!Z97</f>
        <v>0.192063344442749</v>
      </c>
      <c r="AA34" s="13" t="n">
        <f aca="false">-Operations!AA96+Operations!AA97</f>
        <v>-0.294631977819577</v>
      </c>
      <c r="AB34" s="13" t="n">
        <f aca="false">-Operations!AB96+Operations!AB97</f>
        <v>0.194113743061655</v>
      </c>
      <c r="AC34" s="13" t="n">
        <f aca="false">-Operations!AC96+Operations!AC97</f>
        <v>-0.220171361879855</v>
      </c>
      <c r="AD34" s="13" t="n">
        <f aca="false">-Operations!AD96+Operations!AD97</f>
        <v>0.334285318268217</v>
      </c>
      <c r="AE34" s="13" t="n">
        <f aca="false">-Operations!AE96+Operations!AE97</f>
        <v>-0.522963638272129</v>
      </c>
      <c r="AF34" s="13" t="n">
        <f aca="false">-Operations!AF96+Operations!AF97</f>
        <v>0.199603373268401</v>
      </c>
      <c r="AG34" s="13" t="n">
        <f aca="false">-Operations!AG96+Operations!AG97</f>
        <v>-0.303217147209082</v>
      </c>
      <c r="AH34" s="13" t="n">
        <f aca="false">-Operations!AH96+Operations!AH97</f>
        <v>0.193978960395107</v>
      </c>
      <c r="AI34" s="13" t="n">
        <f aca="false">-Operations!AI96+Operations!AI97</f>
        <v>-0.304950267341317</v>
      </c>
      <c r="AJ34" s="13" t="n">
        <f aca="false">-Operations!AJ96+Operations!AJ97</f>
        <v>0.196652682795817</v>
      </c>
      <c r="AK34" s="13" t="n">
        <f aca="false">-Operations!AK96+Operations!AK97</f>
        <v>-0.22843991969696</v>
      </c>
      <c r="AL34" s="13" t="n">
        <f aca="false">-Operations!AL96+Operations!AL97</f>
        <v>0.110184469041439</v>
      </c>
      <c r="AM34" s="13" t="n">
        <f aca="false">-Operations!AM96+Operations!AM97</f>
        <v>-0.309042289005316</v>
      </c>
      <c r="AN34" s="13" t="n">
        <f aca="false">-Operations!AN96+Operations!AN97</f>
        <v>0.201136828427913</v>
      </c>
      <c r="AO34" s="13" t="n">
        <f aca="false">-Operations!AO96+Operations!AO97</f>
        <v>-0.314462427806166</v>
      </c>
      <c r="AP34" s="13" t="n">
        <f aca="false">-Operations!AP96+Operations!AP97</f>
        <v>0.196020140888127</v>
      </c>
      <c r="AQ34" s="13" t="n">
        <f aca="false">-Operations!AQ96+Operations!AQ97</f>
        <v>-0.31609767990966</v>
      </c>
      <c r="AR34" s="13" t="n">
        <f aca="false">-Operations!AR96+Operations!AR97</f>
        <v>0.199404383398797</v>
      </c>
      <c r="AS34" s="13" t="n">
        <f aca="false">-Operations!AS96+Operations!AS97</f>
        <v>-0.239926353048439</v>
      </c>
      <c r="AT34" s="13" t="n">
        <f aca="false">-Operations!AT96+Operations!AT97</f>
        <v>0.34668344426785</v>
      </c>
      <c r="AU34" s="13" t="n">
        <f aca="false">-Operations!AU96+Operations!AU97</f>
        <v>-0.559515488390812</v>
      </c>
      <c r="AV34" s="13" t="n">
        <f aca="false">-Operations!AV96+Operations!AV97</f>
        <v>0.208284172957033</v>
      </c>
      <c r="AW34" s="13" t="n">
        <f aca="false">-Operations!AW96+Operations!AW97</f>
        <v>-0.326631662195521</v>
      </c>
      <c r="AX34" s="13" t="n">
        <f aca="false">-Operations!AX96+Operations!AX97</f>
        <v>0.19819510253447</v>
      </c>
      <c r="AY34" s="13" t="n">
        <f aca="false">-Operations!AY96+Operations!AY97</f>
        <v>-0.328142432561879</v>
      </c>
      <c r="AZ34" s="13" t="n">
        <f aca="false">-Operations!AZ96+Operations!AZ97</f>
        <v>0.202387116609106</v>
      </c>
      <c r="BA34" s="13" t="n">
        <f aca="false">-Operations!BA96+Operations!BA97</f>
        <v>-0.24911161247552</v>
      </c>
      <c r="BB34" s="13" t="n">
        <f aca="false">-Operations!BB96+Operations!BB97</f>
        <v>0.107978531188163</v>
      </c>
      <c r="BC34" s="13" t="n">
        <f aca="false">-Operations!BC96+Operations!BC97</f>
        <v>-0.332260369976719</v>
      </c>
      <c r="BD34" s="13" t="n">
        <f aca="false">-Operations!BD96+Operations!BD97</f>
        <v>0.209089240111606</v>
      </c>
      <c r="BE34" s="13" t="n">
        <f aca="false">-Operations!BE96+Operations!BE97</f>
        <v>-0.339802447277304</v>
      </c>
      <c r="BF34" s="13" t="n">
        <f aca="false">-Operations!BF96+Operations!BF97</f>
        <v>0.200512603631651</v>
      </c>
      <c r="BG34" s="13" t="n">
        <f aca="false">-Operations!BG96+Operations!BG97</f>
        <v>-0.34115847737392</v>
      </c>
      <c r="BH34" s="13" t="n">
        <f aca="false">-Operations!BH96+Operations!BH97</f>
        <v>0.20562075831614</v>
      </c>
      <c r="BI34" s="13" t="n">
        <f aca="false">-Operations!BI96+Operations!BI97</f>
        <v>-0.263240245220739</v>
      </c>
      <c r="BJ34" s="13" t="n">
        <f aca="false">-Operations!BJ96+Operations!BJ97</f>
        <v>0.360947559525449</v>
      </c>
      <c r="BK34" s="13" t="n">
        <f aca="false">-Operations!BK96+Operations!BK97</f>
        <v>-0.602360387321326</v>
      </c>
      <c r="BL34" s="13" t="n">
        <f aca="false">-Operations!BL96+Operations!BL97</f>
        <v>0.218874124528398</v>
      </c>
      <c r="BM34" s="13" t="n">
        <f aca="false">-Operations!BM96+Operations!BM97</f>
        <v>22.8087013905066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2275.38444231253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16.7554111490597</v>
      </c>
      <c r="R36" s="13" t="n">
        <f aca="false">R32+R33+R34+R35</f>
        <v>50.3799917919531</v>
      </c>
      <c r="S36" s="13" t="n">
        <f aca="false">S32+S33+S34+S35</f>
        <v>82.0375420176545</v>
      </c>
      <c r="T36" s="13" t="n">
        <f aca="false">T32+T33+T34+T35</f>
        <v>50.1058994560139</v>
      </c>
      <c r="U36" s="13" t="n">
        <f aca="false">U32+U33+U34+U35</f>
        <v>49.86646441918</v>
      </c>
      <c r="V36" s="13" t="n">
        <f aca="false">V32+V33+V34+V35</f>
        <v>50.8316298363611</v>
      </c>
      <c r="W36" s="13" t="n">
        <f aca="false">W32+W33+W34+W35</f>
        <v>50.4732071075761</v>
      </c>
      <c r="X36" s="13" t="n">
        <f aca="false">X32+X33+X34+X35</f>
        <v>48.9598897410199</v>
      </c>
      <c r="Y36" s="13" t="n">
        <f aca="false">Y32+Y33+Y34+Y35</f>
        <v>48.4819747644744</v>
      </c>
      <c r="Z36" s="13" t="n">
        <f aca="false">Z32+Z33+Z34+Z35</f>
        <v>48.8795118657713</v>
      </c>
      <c r="AA36" s="13" t="n">
        <f aca="false">AA32+AA33+AA34+AA35</f>
        <v>48.4802868752706</v>
      </c>
      <c r="AB36" s="13" t="n">
        <f aca="false">AB32+AB33+AB34+AB35</f>
        <v>49.0367057975256</v>
      </c>
      <c r="AC36" s="13" t="n">
        <f aca="false">AC32+AC33+AC34+AC35</f>
        <v>48.839890869873</v>
      </c>
      <c r="AD36" s="13" t="n">
        <f aca="false">AD32+AD33+AD34+AD35</f>
        <v>50.7721303763519</v>
      </c>
      <c r="AE36" s="13" t="n">
        <f aca="false">AE32+AE33+AE34+AE35</f>
        <v>50.8428074551719</v>
      </c>
      <c r="AF36" s="13" t="n">
        <f aca="false">AF32+AF33+AF34+AF35</f>
        <v>50.9544129634369</v>
      </c>
      <c r="AG36" s="13" t="n">
        <f aca="false">AG32+AG33+AG34+AG35</f>
        <v>50.583563339745</v>
      </c>
      <c r="AH36" s="13" t="n">
        <f aca="false">AH32+AH33+AH34+AH35</f>
        <v>51.2348475281006</v>
      </c>
      <c r="AI36" s="13" t="n">
        <f aca="false">AI32+AI33+AI34+AI35</f>
        <v>50.829346604152</v>
      </c>
      <c r="AJ36" s="13" t="n">
        <f aca="false">AJ32+AJ33+AJ34+AJ35</f>
        <v>51.4038707095271</v>
      </c>
      <c r="AK36" s="13" t="n">
        <f aca="false">AK32+AK33+AK34+AK35</f>
        <v>51.1709424557564</v>
      </c>
      <c r="AL36" s="13" t="n">
        <f aca="false">AL32+AL33+AL34+AL35</f>
        <v>52.2782968708046</v>
      </c>
      <c r="AM36" s="13" t="n">
        <f aca="false">AM32+AM33+AM34+AM35</f>
        <v>51.9013865014185</v>
      </c>
      <c r="AN36" s="13" t="n">
        <f aca="false">AN32+AN33+AN34+AN35</f>
        <v>50.0265228667556</v>
      </c>
      <c r="AO36" s="13" t="n">
        <f aca="false">AO32+AO33+AO34+AO35</f>
        <v>43.779007224722</v>
      </c>
      <c r="AP36" s="13" t="n">
        <f aca="false">AP32+AP33+AP34+AP35</f>
        <v>41.3277557686957</v>
      </c>
      <c r="AQ36" s="13" t="n">
        <f aca="false">AQ32+AQ33+AQ34+AQ35</f>
        <v>40.4276137618877</v>
      </c>
      <c r="AR36" s="13" t="n">
        <f aca="false">AR32+AR33+AR34+AR35</f>
        <v>40.9995884147656</v>
      </c>
      <c r="AS36" s="13" t="n">
        <f aca="false">AS32+AS33+AS34+AS35</f>
        <v>40.7426627249132</v>
      </c>
      <c r="AT36" s="13" t="n">
        <f aca="false">AT32+AT33+AT34+AT35</f>
        <v>47.487463261274</v>
      </c>
      <c r="AU36" s="13" t="n">
        <f aca="false">AU32+AU33+AU34+AU35</f>
        <v>43.0506359358084</v>
      </c>
      <c r="AV36" s="13" t="n">
        <f aca="false">AV32+AV33+AV34+AV35</f>
        <v>43.1284738456562</v>
      </c>
      <c r="AW36" s="13" t="n">
        <f aca="false">AW32+AW33+AW34+AW35</f>
        <v>42.7026679293284</v>
      </c>
      <c r="AX36" s="13" t="n">
        <f aca="false">AX32+AX33+AX34+AX35</f>
        <v>43.3577949822907</v>
      </c>
      <c r="AY36" s="13" t="n">
        <f aca="false">AY32+AY33+AY34+AY35</f>
        <v>42.9075497204208</v>
      </c>
      <c r="AZ36" s="13" t="n">
        <f aca="false">AZ32+AZ33+AZ34+AZ35</f>
        <v>43.4989466463972</v>
      </c>
      <c r="BA36" s="13" t="n">
        <f aca="false">BA32+BA33+BA34+BA35</f>
        <v>43.2078937095256</v>
      </c>
      <c r="BB36" s="13" t="n">
        <f aca="false">BB32+BB33+BB34+BB35</f>
        <v>45.4480697417501</v>
      </c>
      <c r="BC36" s="13" t="n">
        <f aca="false">BC32+BC33+BC34+BC35</f>
        <v>42.0549443591801</v>
      </c>
      <c r="BD36" s="13" t="n">
        <f aca="false">BD32+BD33+BD34+BD35</f>
        <v>35.9209728303705</v>
      </c>
      <c r="BE36" s="13" t="n">
        <f aca="false">BE32+BE33+BE34+BE35</f>
        <v>35.4900228410039</v>
      </c>
      <c r="BF36" s="13" t="n">
        <f aca="false">BF32+BF33+BF34+BF35</f>
        <v>36.1728963205344</v>
      </c>
      <c r="BG36" s="13" t="n">
        <f aca="false">BG32+BG33+BG34+BG35</f>
        <v>35.7125374501136</v>
      </c>
      <c r="BH36" s="13" t="n">
        <f aca="false">BH32+BH33+BH34+BH35</f>
        <v>36.3249205632319</v>
      </c>
      <c r="BI36" s="13" t="n">
        <f aca="false">BI32+BI33+BI34+BI35</f>
        <v>36.0737724014133</v>
      </c>
      <c r="BJ36" s="13" t="n">
        <f aca="false">BJ32+BJ33+BJ34+BJ35</f>
        <v>44.1114479870043</v>
      </c>
      <c r="BK36" s="13" t="n">
        <f aca="false">BK32+BK33+BK34+BK35</f>
        <v>38.8621850897656</v>
      </c>
      <c r="BL36" s="13" t="n">
        <f aca="false">BL32+BL33+BL34+BL35</f>
        <v>39.5564503962995</v>
      </c>
      <c r="BM36" s="13" t="n">
        <f aca="false">BM32+BM33+BM34+BM35</f>
        <v>35.7574290008126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-851.802861829499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-36.4388394123967</v>
      </c>
      <c r="AC37" s="13" t="n">
        <f aca="false">-(Debt!AC114+Debt!AC110)</f>
        <v>-35.6030152020535</v>
      </c>
      <c r="AD37" s="13" t="n">
        <f aca="false">-(Debt!AD114+Debt!AD110)</f>
        <v>-36.2342975835186</v>
      </c>
      <c r="AE37" s="13" t="n">
        <f aca="false">-(Debt!AE114+Debt!AE110)</f>
        <v>-35.3616560243913</v>
      </c>
      <c r="AF37" s="13" t="n">
        <f aca="false">-(Debt!AF114+Debt!AF110)</f>
        <v>-34.3722913947146</v>
      </c>
      <c r="AG37" s="13" t="n">
        <f aca="false">-(Debt!AG114+Debt!AG110)</f>
        <v>-32.800175121635</v>
      </c>
      <c r="AH37" s="13" t="n">
        <f aca="false">-(Debt!AH114+Debt!AH110)</f>
        <v>-31.6759949908995</v>
      </c>
      <c r="AI37" s="13" t="n">
        <f aca="false">-(Debt!AI114+Debt!AI110)</f>
        <v>-29.5216454460532</v>
      </c>
      <c r="AJ37" s="13" t="n">
        <f aca="false">-(Debt!AJ114+Debt!AJ110)</f>
        <v>-27.4065543476974</v>
      </c>
      <c r="AK37" s="13" t="n">
        <f aca="false">-(Debt!AK114+Debt!AK110)</f>
        <v>-23.9973879634284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-96.3001305750061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-5.73776912183081</v>
      </c>
      <c r="AB43" s="13" t="n">
        <f aca="false">-(Waterfall!AB28+Waterfall!AB29)</f>
        <v>-6.65628087607004</v>
      </c>
      <c r="AC43" s="13" t="n">
        <f aca="false">-(Waterfall!AC28+Waterfall!AC29)</f>
        <v>-6.28577975215511</v>
      </c>
      <c r="AD43" s="13" t="n">
        <f aca="false">-(Waterfall!AD28+Waterfall!AD29)</f>
        <v>-7.59906947576215</v>
      </c>
      <c r="AE43" s="13" t="n">
        <f aca="false">-(Waterfall!AE28+Waterfall!AE29)</f>
        <v>-8.15716282517507</v>
      </c>
      <c r="AF43" s="13" t="n">
        <f aca="false">-(Waterfall!AF28+Waterfall!AF29)</f>
        <v>-8.96866993897747</v>
      </c>
      <c r="AG43" s="13" t="n">
        <f aca="false">-(Waterfall!AG28+Waterfall!AG29)</f>
        <v>-9.34265983250108</v>
      </c>
      <c r="AH43" s="13" t="n">
        <f aca="false">-(Waterfall!AH28+Waterfall!AH29)</f>
        <v>-10.6518811437195</v>
      </c>
      <c r="AI43" s="13" t="n">
        <f aca="false">-(Waterfall!AI28+Waterfall!AI29)</f>
        <v>-11.4633594914264</v>
      </c>
      <c r="AJ43" s="13" t="n">
        <f aca="false">-(Waterfall!AJ28+Waterfall!AJ29)</f>
        <v>-13.2574155678939</v>
      </c>
      <c r="AK43" s="13" t="n">
        <f aca="false">-(Waterfall!AK28+Waterfall!AK29)</f>
        <v>-8.18008254949463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-423.697672469068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-36.4636295981268</v>
      </c>
      <c r="T44" s="13" t="n">
        <f aca="false">-(Waterfall!T34+Waterfall!T35)</f>
        <v>-12.5352067015835</v>
      </c>
      <c r="U44" s="13" t="n">
        <f aca="false">-(Waterfall!U34+Waterfall!U35)</f>
        <v>-11.5785441844972</v>
      </c>
      <c r="V44" s="13" t="n">
        <f aca="false">-(Waterfall!V34+Waterfall!V35)</f>
        <v>-12.8084024108506</v>
      </c>
      <c r="W44" s="13" t="n">
        <f aca="false">-(Waterfall!W34+Waterfall!W35)</f>
        <v>-13.5464120334257</v>
      </c>
      <c r="X44" s="13" t="n">
        <f aca="false">-(Waterfall!X34+Waterfall!X35)</f>
        <v>-12.3894976968055</v>
      </c>
      <c r="Y44" s="13" t="n">
        <f aca="false">-(Waterfall!Y34+Waterfall!Y35)</f>
        <v>-11.6106116563639</v>
      </c>
      <c r="Z44" s="13" t="n">
        <f aca="false">-(Waterfall!Z34+Waterfall!Z35)</f>
        <v>-12.3052245112197</v>
      </c>
      <c r="AA44" s="13" t="n">
        <f aca="false">-(Waterfall!AA34+Waterfall!AA35)</f>
        <v>-5.73776912183081</v>
      </c>
      <c r="AB44" s="13" t="n">
        <f aca="false">-(Waterfall!AB34+Waterfall!AB35)</f>
        <v>-6.65628087607004</v>
      </c>
      <c r="AC44" s="13" t="n">
        <f aca="false">-(Waterfall!AC34+Waterfall!AC35)</f>
        <v>-6.28577975215511</v>
      </c>
      <c r="AD44" s="13" t="n">
        <f aca="false">-(Waterfall!AD34+Waterfall!AD35)</f>
        <v>-7.59906947576215</v>
      </c>
      <c r="AE44" s="13" t="n">
        <f aca="false">-(Waterfall!AE34+Waterfall!AE35)</f>
        <v>-8.15716282517507</v>
      </c>
      <c r="AF44" s="13" t="n">
        <f aca="false">-(Waterfall!AF34+Waterfall!AF35)</f>
        <v>-8.96866993897747</v>
      </c>
      <c r="AG44" s="13" t="n">
        <f aca="false">-(Waterfall!AG34+Waterfall!AG35)</f>
        <v>-9.34265983250108</v>
      </c>
      <c r="AH44" s="13" t="n">
        <f aca="false">-(Waterfall!AH34+Waterfall!AH35)</f>
        <v>-10.6518811437195</v>
      </c>
      <c r="AI44" s="13" t="n">
        <f aca="false">-(Waterfall!AI34+Waterfall!AI35)</f>
        <v>-11.4633594914264</v>
      </c>
      <c r="AJ44" s="13" t="n">
        <f aca="false">-(Waterfall!AJ34+Waterfall!AJ35)</f>
        <v>-13.2574155678939</v>
      </c>
      <c r="AK44" s="13" t="n">
        <f aca="false">-(Waterfall!AK34+Waterfall!AK35)</f>
        <v>-21.8559292715483</v>
      </c>
      <c r="AL44" s="13" t="n">
        <f aca="false">-(Waterfall!AL34+Waterfall!AL35)</f>
        <v>-33.1387847438839</v>
      </c>
      <c r="AM44" s="13" t="n">
        <f aca="false">-(Waterfall!AM34+Waterfall!AM35)</f>
        <v>-33.0708372252113</v>
      </c>
      <c r="AN44" s="13" t="n">
        <f aca="false">-(Waterfall!AN34+Waterfall!AN35)</f>
        <v>-32.0033247907474</v>
      </c>
      <c r="AO44" s="13" t="n">
        <f aca="false">-(Waterfall!AO34+Waterfall!AO35)</f>
        <v>-43.779007224722</v>
      </c>
      <c r="AP44" s="13" t="n">
        <f aca="false">-(Waterfall!AP34+Waterfall!AP35)</f>
        <v>-33.4950228068931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-940.82967287555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-7.83273296180257</v>
      </c>
      <c r="AQ45" s="13" t="n">
        <f aca="false">-Waterfall!AQ41</f>
        <v>-40.4276137618877</v>
      </c>
      <c r="AR45" s="13" t="n">
        <f aca="false">-Waterfall!AR41</f>
        <v>-40.9995884147656</v>
      </c>
      <c r="AS45" s="13" t="n">
        <f aca="false">-Waterfall!AS41</f>
        <v>-40.7426627249132</v>
      </c>
      <c r="AT45" s="13" t="n">
        <f aca="false">-Waterfall!AT41</f>
        <v>-47.487463261274</v>
      </c>
      <c r="AU45" s="13" t="n">
        <f aca="false">-Waterfall!AU41</f>
        <v>-43.0506359358084</v>
      </c>
      <c r="AV45" s="13" t="n">
        <f aca="false">-Waterfall!AV41</f>
        <v>-43.1284738456562</v>
      </c>
      <c r="AW45" s="13" t="n">
        <f aca="false">-Waterfall!AW41</f>
        <v>-42.7026679293284</v>
      </c>
      <c r="AX45" s="13" t="n">
        <f aca="false">-Waterfall!AX41</f>
        <v>-43.3577949822907</v>
      </c>
      <c r="AY45" s="13" t="n">
        <f aca="false">-Waterfall!AY41</f>
        <v>-42.9075497204208</v>
      </c>
      <c r="AZ45" s="13" t="n">
        <f aca="false">-Waterfall!AZ41</f>
        <v>-43.4989466463972</v>
      </c>
      <c r="BA45" s="13" t="n">
        <f aca="false">-Waterfall!BA41</f>
        <v>-42.7129253229169</v>
      </c>
      <c r="BB45" s="13" t="n">
        <f aca="false">-Waterfall!BB41</f>
        <v>-43.9469194871056</v>
      </c>
      <c r="BC45" s="13" t="n">
        <f aca="false">-Waterfall!BC41</f>
        <v>-40.5373712858379</v>
      </c>
      <c r="BD45" s="13" t="n">
        <f aca="false">-Waterfall!BD41</f>
        <v>-34.3867972701239</v>
      </c>
      <c r="BE45" s="13" t="n">
        <f aca="false">-Waterfall!BE41</f>
        <v>-33.9390631600481</v>
      </c>
      <c r="BF45" s="13" t="n">
        <f aca="false">-Waterfall!BF41</f>
        <v>-34.6049688979624</v>
      </c>
      <c r="BG45" s="13" t="n">
        <f aca="false">-Waterfall!BG41</f>
        <v>-34.1274566561768</v>
      </c>
      <c r="BH45" s="13" t="n">
        <f aca="false">-Waterfall!BH41</f>
        <v>-34.7224987373633</v>
      </c>
      <c r="BI45" s="13" t="n">
        <f aca="false">-Waterfall!BI41</f>
        <v>-34.4538198300099</v>
      </c>
      <c r="BJ45" s="13" t="n">
        <f aca="false">-Waterfall!BJ41</f>
        <v>-42.4737728809666</v>
      </c>
      <c r="BK45" s="13" t="n">
        <f aca="false">-Waterfall!BK41</f>
        <v>-37.2065935617914</v>
      </c>
      <c r="BL45" s="13" t="n">
        <f aca="false">-Waterfall!BL41</f>
        <v>-37.882746437929</v>
      </c>
      <c r="BM45" s="13" t="n">
        <f aca="false">-Waterfall!BM41</f>
        <v>-53.6986091627736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39.1181426344178</v>
      </c>
      <c r="P49" s="13" t="n">
        <f aca="false">P36+P37+P38+P39+P40+P41+P42+P43+P44+P45+P46+P47+P48+P53</f>
        <v>-1.54485787723229</v>
      </c>
      <c r="Q49" s="13" t="n">
        <f aca="false">Q36+Q37+Q38+Q39+Q40+Q41+Q42+Q43+Q44+Q45+Q46+Q47+Q48+Q53</f>
        <v>-19.9853370032161</v>
      </c>
      <c r="R49" s="13" t="n">
        <f aca="false">R36+R37+R38+R39+R40+R41+R42+R43+R44+R45+R46+R47+R48+R53</f>
        <v>13.1714750072493</v>
      </c>
      <c r="S49" s="13" t="n">
        <f aca="false">S36+S37+S38+S39+S40+S41+S42+S43+S44+S45+S46+S47+S48+S53</f>
        <v>8.65686822983884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1.25804717662224</v>
      </c>
      <c r="AC49" s="13" t="n">
        <f aca="false">AC36+AC37+AC38+AC39+AC40+AC41+AC42+AC43+AC44+AC45+AC46+AC47+AC48+AC53</f>
        <v>2.63805870714276</v>
      </c>
      <c r="AD49" s="13" t="n">
        <f aca="false">AD36+AD37+AD38+AD39+AD40+AD41+AD42+AD43+AD44+AD45+AD46+AD47+AD48+AD53</f>
        <v>-12.4967614204918</v>
      </c>
      <c r="AE49" s="13" t="n">
        <f aca="false">AE36+AE37+AE38+AE39+AE40+AE41+AE42+AE43+AE44+AE45+AE46+AE47+AE48+AE53</f>
        <v>-0.833174219569528</v>
      </c>
      <c r="AF49" s="13" t="n">
        <f aca="false">AF36+AF37+AF38+AF39+AF40+AF41+AF42+AF43+AF44+AF45+AF46+AF47+AF48+AF53</f>
        <v>-0.859790354316734</v>
      </c>
      <c r="AG49" s="13" t="n">
        <f aca="false">AG36+AG37+AG38+AG39+AG40+AG41+AG42+AG43+AG44+AG45+AG46+AG47+AG48+AG53</f>
        <v>-0.406503491976215</v>
      </c>
      <c r="AH49" s="13" t="n">
        <f aca="false">AH36+AH37+AH38+AH39+AH40+AH41+AH42+AH43+AH44+AH45+AH46+AH47+AH48+AH53</f>
        <v>-1.24948179532198</v>
      </c>
      <c r="AI49" s="13" t="n">
        <f aca="false">AI36+AI37+AI38+AI39+AI40+AI41+AI42+AI43+AI44+AI45+AI46+AI47+AI48+AI53</f>
        <v>-1.12358986983803</v>
      </c>
      <c r="AJ49" s="13" t="n">
        <f aca="false">AJ36+AJ37+AJ38+AJ39+AJ40+AJ41+AJ42+AJ43+AJ44+AJ45+AJ46+AJ47+AJ48+AJ53</f>
        <v>-2.02208681904215</v>
      </c>
      <c r="AK49" s="13" t="n">
        <f aca="false">AK36+AK37+AK38+AK39+AK40+AK41+AK42+AK43+AK44+AK45+AK46+AK47+AK48+AK53</f>
        <v>-2.36702937379903</v>
      </c>
      <c r="AL49" s="13" t="n">
        <f aca="false">AL36+AL37+AL38+AL39+AL40+AL41+AL42+AL43+AL44+AL45+AL46+AL47+AL48+AL53</f>
        <v>-5.66724302530117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1.54053788528794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-20.4016053056709</v>
      </c>
      <c r="R50" s="13" t="n">
        <f aca="false">Reserves!R11-Reserves!R10-Reserves!R12</f>
        <v>12.7552067047944</v>
      </c>
      <c r="S50" s="13" t="n">
        <f aca="false">Reserves!S11-Reserves!S10-Reserves!S12</f>
        <v>8.24059992738398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-0.714695367011217</v>
      </c>
      <c r="AC50" s="13" t="n">
        <f aca="false">Reserves!AC11-Reserves!AC10-Reserves!AC12</f>
        <v>0.665316163509296</v>
      </c>
      <c r="AD50" s="13" t="n">
        <f aca="false">Reserves!AD11-Reserves!AD10-Reserves!AD12</f>
        <v>-0.66030615869105</v>
      </c>
      <c r="AE50" s="13" t="n">
        <f aca="false">Reserves!AE11-Reserves!AE10-Reserves!AE12</f>
        <v>-0.833174219569528</v>
      </c>
      <c r="AF50" s="13" t="n">
        <f aca="false">Reserves!AF11-Reserves!AF10-Reserves!AF12</f>
        <v>-1.35521830923265</v>
      </c>
      <c r="AG50" s="13" t="n">
        <f aca="false">Reserves!AG11-Reserves!AG10-Reserves!AG12</f>
        <v>-0.901931446892128</v>
      </c>
      <c r="AH50" s="13" t="n">
        <f aca="false">Reserves!AH11-Reserves!AH10-Reserves!AH12</f>
        <v>-1.7449097502379</v>
      </c>
      <c r="AI50" s="13" t="n">
        <f aca="false">Reserves!AI11-Reserves!AI10-Reserves!AI12</f>
        <v>-1.61901782475394</v>
      </c>
      <c r="AJ50" s="13" t="n">
        <f aca="false">Reserves!AJ11-Reserves!AJ10-Reserves!AJ12</f>
        <v>-2.51751477395806</v>
      </c>
      <c r="AK50" s="13" t="n">
        <f aca="false">Reserves!AK11-Reserves!AK10-Reserves!AK12</f>
        <v>-2.86245732871495</v>
      </c>
      <c r="AL50" s="13" t="n">
        <f aca="false">Reserves!AL11-Reserves!AL10-Reserves!AL12</f>
        <v>-2.69467529580568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-19.9853370032161</v>
      </c>
      <c r="R51" s="13" t="n">
        <f aca="false">R17-Q17</f>
        <v>13.1714750072493</v>
      </c>
      <c r="S51" s="13" t="n">
        <f aca="false">S17-R17</f>
        <v>8.65686822983884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1.25804717662224</v>
      </c>
      <c r="AC51" s="13" t="n">
        <f aca="false">AC17-AB17</f>
        <v>2.63805870714275</v>
      </c>
      <c r="AD51" s="13" t="n">
        <f aca="false">AD17-AC17</f>
        <v>-12.4967614204918</v>
      </c>
      <c r="AE51" s="13" t="n">
        <f aca="false">AE17-AD17</f>
        <v>-0.833174219569528</v>
      </c>
      <c r="AF51" s="13" t="n">
        <f aca="false">AF17-AE17</f>
        <v>-0.859790354316736</v>
      </c>
      <c r="AG51" s="13" t="n">
        <f aca="false">AG17-AF17</f>
        <v>-0.40650349197621</v>
      </c>
      <c r="AH51" s="13" t="n">
        <f aca="false">AH17-AG17</f>
        <v>-1.24948179532199</v>
      </c>
      <c r="AI51" s="13" t="n">
        <f aca="false">AI17-AH17</f>
        <v>-1.12358986983802</v>
      </c>
      <c r="AJ51" s="13" t="n">
        <f aca="false">AJ17-AI17</f>
        <v>-2.02208681904215</v>
      </c>
      <c r="AK51" s="13" t="n">
        <f aca="false">AK17-AJ17</f>
        <v>-2.36702937379903</v>
      </c>
      <c r="AL51" s="13" t="n">
        <f aca="false">AL17-AK17</f>
        <v>-5.66724302530117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0.03623084524251</v>
      </c>
      <c r="AC7" s="16" t="n">
        <f aca="false">IF(Debt!AC115&gt;Inputs!$F$253,Debt!AC112/Debt!AC115,0)</f>
        <v>0.0358264775399711</v>
      </c>
      <c r="AD7" s="16" t="n">
        <f aca="false">IF(Debt!AD115&gt;Inputs!$F$253,Debt!AD112/Debt!AD115,0)</f>
        <v>0.0359350182307486</v>
      </c>
      <c r="AE7" s="16" t="n">
        <f aca="false">IF(Debt!AE115&gt;Inputs!$F$253,Debt!AE112/Debt!AE115,0)</f>
        <v>0.0353085551538815</v>
      </c>
      <c r="AF7" s="16" t="n">
        <f aca="false">IF(Debt!AF115&gt;Inputs!$F$253,Debt!AF112/Debt!AF115,0)</f>
        <v>0.0353547773015437</v>
      </c>
      <c r="AG7" s="16" t="n">
        <f aca="false">IF(Debt!AG115&gt;Inputs!$F$253,Debt!AG112/Debt!AG115,0)</f>
        <v>0.0354811081271109</v>
      </c>
      <c r="AH7" s="16" t="n">
        <f aca="false">IF(Debt!AH115&gt;Inputs!$F$253,Debt!AH112/Debt!AH115,0)</f>
        <v>0.0352027260526479</v>
      </c>
      <c r="AI7" s="16" t="n">
        <f aca="false">IF(Debt!AI115&gt;Inputs!$F$253,Debt!AI112/Debt!AI115,0)</f>
        <v>0.0339345225797051</v>
      </c>
      <c r="AJ7" s="16" t="n">
        <f aca="false">IF(Debt!AJ115&gt;Inputs!$F$253,Debt!AJ112/Debt!AJ115,0)</f>
        <v>0.0328595082040688</v>
      </c>
      <c r="AK7" s="16" t="n">
        <f aca="false">IF(Debt!AK115&gt;Inputs!$F$253,Debt!AK112/Debt!AK115,0)</f>
        <v>0.0303370753657574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0.03623084524251</v>
      </c>
      <c r="AC10" s="16" t="n">
        <f aca="false">IF(AC7&gt;0,AC7,$F$9)</f>
        <v>0.0358264775399711</v>
      </c>
      <c r="AD10" s="16" t="n">
        <f aca="false">IF(AD7&gt;0,AD7,$F$9)</f>
        <v>0.0359350182307486</v>
      </c>
      <c r="AE10" s="16" t="n">
        <f aca="false">IF(AE7&gt;0,AE7,$F$9)</f>
        <v>0.0353085551538815</v>
      </c>
      <c r="AF10" s="16" t="n">
        <f aca="false">IF(AF7&gt;0,AF7,$F$9)</f>
        <v>0.0353547773015437</v>
      </c>
      <c r="AG10" s="16" t="n">
        <f aca="false">IF(AG7&gt;0,AG7,$F$9)</f>
        <v>0.0354811081271109</v>
      </c>
      <c r="AH10" s="16" t="n">
        <f aca="false">IF(AH7&gt;0,AH7,$F$9)</f>
        <v>0.0352027260526479</v>
      </c>
      <c r="AI10" s="16" t="n">
        <f aca="false">IF(AI7&gt;0,AI7,$F$9)</f>
        <v>0.0339345225797051</v>
      </c>
      <c r="AJ10" s="16" t="n">
        <f aca="false">IF(AJ7&gt;0,AJ7,$F$9)</f>
        <v>0.0328595082040688</v>
      </c>
      <c r="AK10" s="16" t="n">
        <f aca="false">IF(AK7&gt;0,AK7,$F$9)</f>
        <v>0.0303370753657574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718.16124423306</v>
      </c>
      <c r="K11" s="13" t="n">
        <f aca="false">IF(Time!K20&lt;=$F$8,(Waterfall!K7+L11)/(1+K10),0)</f>
        <v>738.071849789014</v>
      </c>
      <c r="L11" s="13" t="n">
        <f aca="false">IF(Time!L20&lt;=$F$8,(Waterfall!L7+M11)/(1+L10),0)</f>
        <v>758.534465380025</v>
      </c>
      <c r="M11" s="13" t="n">
        <f aca="false">IF(Time!M20&lt;=$F$8,(Waterfall!M7+N11)/(1+M10),0)</f>
        <v>779.564395165371</v>
      </c>
      <c r="N11" s="13" t="n">
        <f aca="false">IF(Time!N20&lt;=$F$8,(Waterfall!N7+O11)/(1+N10),0)</f>
        <v>801.177367603308</v>
      </c>
      <c r="O11" s="13" t="n">
        <f aca="false">IF(Time!O20&lt;=$F$8,(Waterfall!O7+P11)/(1+O10),0)</f>
        <v>823.389547214507</v>
      </c>
      <c r="P11" s="13" t="n">
        <f aca="false">IF(Time!P20&lt;=$F$8,(Waterfall!P7+Q11)/(1+P10),0)</f>
        <v>844.345299473814</v>
      </c>
      <c r="Q11" s="13" t="n">
        <f aca="false">IF(Time!Q20&lt;=$F$8,(Waterfall!Q7+R11)/(1+Q10),0)</f>
        <v>823.071718858793</v>
      </c>
      <c r="R11" s="13" t="n">
        <f aca="false">IF(Time!R20&lt;=$F$8,(Waterfall!R7+S11)/(1+R10),0)</f>
        <v>834.371966413206</v>
      </c>
      <c r="S11" s="13" t="n">
        <f aca="false">IF(Time!S20&lt;=$F$8,(Waterfall!S7+T11)/(1+S10),0)</f>
        <v>812.802842738319</v>
      </c>
      <c r="T11" s="13" t="n">
        <f aca="false">IF(Time!T20&lt;=$F$8,(Waterfall!T7+U11)/(1+T10),0)</f>
        <v>758.596965596008</v>
      </c>
      <c r="U11" s="13" t="n">
        <f aca="false">IF(Time!U20&lt;=$F$8,(Waterfall!U7+V11)/(1+U10),0)</f>
        <v>734.803178132414</v>
      </c>
      <c r="V11" s="13" t="n">
        <f aca="false">IF(Time!V20&lt;=$F$8,(Waterfall!V7+W11)/(1+V10),0)</f>
        <v>710.290830548793</v>
      </c>
      <c r="W11" s="13" t="n">
        <f aca="false">IF(Time!W20&lt;=$F$8,(Waterfall!W7+X11)/(1+W10),0)</f>
        <v>684.193611632711</v>
      </c>
      <c r="X11" s="13" t="n">
        <f aca="false">IF(Time!X20&lt;=$F$8,(Waterfall!X7+Y11)/(1+X10),0)</f>
        <v>657.330973526495</v>
      </c>
      <c r="Y11" s="13" t="n">
        <f aca="false">IF(Time!Y20&lt;=$F$8,(Waterfall!Y7+Z11)/(1+Y10),0)</f>
        <v>631.342652208894</v>
      </c>
      <c r="Z11" s="13" t="n">
        <f aca="false">IF(Time!Z20&lt;=$F$8,(Waterfall!Z7+AA11)/(1+Z10),0)</f>
        <v>605.434704265585</v>
      </c>
      <c r="AA11" s="13" t="n">
        <f aca="false">IF(Time!AA20&lt;=$F$8,(Waterfall!AA7+AB11)/(1+AA10),0)</f>
        <v>578.49597834127</v>
      </c>
      <c r="AB11" s="13" t="n">
        <f aca="false">IF(Time!AB20&lt;=$F$8,(Waterfall!AB7+AC11)/(1+AB10),0)</f>
        <v>550.798368926547</v>
      </c>
      <c r="AC11" s="13" t="n">
        <f aca="false">IF(Time!AC20&lt;=$F$8,(Waterfall!AC7+AD11)/(1+AC10),0)</f>
        <v>521.717553593426</v>
      </c>
      <c r="AD11" s="13" t="n">
        <f aca="false">IF(Time!AD20&lt;=$F$8,(Waterfall!AD7+AE11)/(1+AD10),0)</f>
        <v>491.568964939577</v>
      </c>
      <c r="AE11" s="13" t="n">
        <f aca="false">IF(Time!AE20&lt;=$F$8,(Waterfall!AE7+AF11)/(1+AE10),0)</f>
        <v>458.461374279999</v>
      </c>
      <c r="AF11" s="13" t="n">
        <f aca="false">IF(Time!AF20&lt;=$F$8,(Waterfall!AF7+AG11)/(1+AF10),0)</f>
        <v>423.806175544517</v>
      </c>
      <c r="AG11" s="13" t="n">
        <f aca="false">IF(Time!AG20&lt;=$F$8,(Waterfall!AG7+AH11)/(1+AG10),0)</f>
        <v>387.835335536475</v>
      </c>
      <c r="AH11" s="13" t="n">
        <f aca="false">IF(Time!AH20&lt;=$F$8,(Waterfall!AH7+AI11)/(1+AH10),0)</f>
        <v>351.012599672414</v>
      </c>
      <c r="AI11" s="13" t="n">
        <f aca="false">IF(Time!AI20&lt;=$F$8,(Waterfall!AI7+AJ11)/(1+AI10),0)</f>
        <v>312.134352531609</v>
      </c>
      <c r="AJ11" s="13" t="n">
        <f aca="false">IF(Time!AJ20&lt;=$F$8,(Waterfall!AJ7+AK11)/(1+AJ10),0)</f>
        <v>271.897136161343</v>
      </c>
      <c r="AK11" s="13" t="n">
        <f aca="false">IF(Time!AK20&lt;=$F$8,(Waterfall!AK7+AL11)/(1+AK10),0)</f>
        <v>229.427671628172</v>
      </c>
      <c r="AL11" s="13" t="n">
        <f aca="false">IF(Time!AL20&lt;=$F$8,(Waterfall!AL7+AM11)/(1+AL10),0)</f>
        <v>185.21689373759</v>
      </c>
      <c r="AM11" s="13" t="n">
        <f aca="false">IF(Time!AM20&lt;=$F$8,(Waterfall!AM7+AN11)/(1+AM10),0)</f>
        <v>138.15106742192</v>
      </c>
      <c r="AN11" s="13" t="n">
        <f aca="false">IF(Time!AN20&lt;=$F$8,(Waterfall!AN7+AO11)/(1+AN10),0)</f>
        <v>90.1113738531262</v>
      </c>
      <c r="AO11" s="13" t="n">
        <f aca="false">IF(Time!AO20&lt;=$F$8,(Waterfall!AO7+AP11)/(1+AO10),0)</f>
        <v>42.5980022253688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972.786779462408</v>
      </c>
      <c r="K12" s="13" t="n">
        <f aca="false">IF(Time!K20&lt;=Time!$F$15,(Waterfall!K7+L12)/(1+K10),0)</f>
        <v>999.756730864628</v>
      </c>
      <c r="L12" s="13" t="n">
        <f aca="false">IF(Time!L20&lt;=Time!$F$15,(Waterfall!L7+M12)/(1+L10),0)</f>
        <v>1027.47440858673</v>
      </c>
      <c r="M12" s="13" t="n">
        <f aca="false">IF(Time!M20&lt;=Time!$F$15,(Waterfall!M7+N12)/(1+M10),0)</f>
        <v>1055.96054290891</v>
      </c>
      <c r="N12" s="13" t="n">
        <f aca="false">IF(Time!N20&lt;=Time!$F$15,(Waterfall!N7+O12)/(1+N10),0)</f>
        <v>1085.23643884641</v>
      </c>
      <c r="O12" s="13" t="n">
        <f aca="false">IF(Time!O20&lt;=Time!$F$15,(Waterfall!O7+P12)/(1+O10),0)</f>
        <v>1115.3239920837</v>
      </c>
      <c r="P12" s="13" t="n">
        <f aca="false">IF(Time!P20&lt;=Time!$F$15,(Waterfall!P7+Q12)/(1+P10),0)</f>
        <v>1144.37345815263</v>
      </c>
      <c r="Q12" s="13" t="n">
        <f aca="false">IF(Time!Q20&lt;=Time!$F$15,(Waterfall!Q7+R12)/(1+Q10),0)</f>
        <v>1133.40766312237</v>
      </c>
      <c r="R12" s="13" t="n">
        <f aca="false">IF(Time!R20&lt;=Time!$F$15,(Waterfall!R7+S12)/(1+R10),0)</f>
        <v>1155.28618610064</v>
      </c>
      <c r="S12" s="13" t="n">
        <f aca="false">IF(Time!S20&lt;=Time!$F$15,(Waterfall!S7+T12)/(1+S10),0)</f>
        <v>1144.79823201496</v>
      </c>
      <c r="T12" s="13" t="n">
        <f aca="false">IF(Time!T20&lt;=Time!$F$15,(Waterfall!T7+U12)/(1+T10),0)</f>
        <v>1101.96040617446</v>
      </c>
      <c r="U12" s="13" t="n">
        <f aca="false">IF(Time!U20&lt;=Time!$F$15,(Waterfall!U7+V12)/(1+U10),0)</f>
        <v>1090.0762594191</v>
      </c>
      <c r="V12" s="13" t="n">
        <f aca="false">IF(Time!V20&lt;=Time!$F$15,(Waterfall!V7+W12)/(1+V10),0)</f>
        <v>1077.8224804965</v>
      </c>
      <c r="W12" s="13" t="n">
        <f aca="false">IF(Time!W20&lt;=Time!$F$15,(Waterfall!W7+X12)/(1+W10),0)</f>
        <v>1064.52379207671</v>
      </c>
      <c r="X12" s="13" t="n">
        <f aca="false">IF(Time!X20&lt;=Time!$F$15,(Waterfall!X7+Y12)/(1+X10),0)</f>
        <v>1050.78581900097</v>
      </c>
      <c r="Y12" s="13" t="n">
        <f aca="false">IF(Time!Y20&lt;=Time!$F$15,(Waterfall!Y7+Z12)/(1+Y10),0)</f>
        <v>1038.54745815739</v>
      </c>
      <c r="Z12" s="13" t="n">
        <f aca="false">IF(Time!Z20&lt;=Time!$F$15,(Waterfall!Z7+AA12)/(1+Z10),0)</f>
        <v>1027.19935688218</v>
      </c>
      <c r="AA12" s="13" t="n">
        <f aca="false">IF(Time!AA20&lt;=Time!$F$15,(Waterfall!AA7+AB12)/(1+AA10),0)</f>
        <v>1015.545265115</v>
      </c>
      <c r="AB12" s="13" t="n">
        <f aca="false">IF(Time!AB20&lt;=Time!$F$15,(Waterfall!AB7+AC12)/(1+AB10),0)</f>
        <v>1003.54880955691</v>
      </c>
      <c r="AC12" s="13" t="n">
        <f aca="false">IF(Time!AC20&lt;=Time!$F$15,(Waterfall!AC7+AD12)/(1+AC10),0)</f>
        <v>990.871525371747</v>
      </c>
      <c r="AD12" s="13" t="n">
        <f aca="false">IF(Time!AD20&lt;=Time!$F$15,(Waterfall!AD7+AE12)/(1+AD10),0)</f>
        <v>977.531070950601</v>
      </c>
      <c r="AE12" s="13" t="n">
        <f aca="false">IF(Time!AE20&lt;=Time!$F$15,(Waterfall!AE7+AF12)/(1+AE10),0)</f>
        <v>961.886537429983</v>
      </c>
      <c r="AF12" s="13" t="n">
        <f aca="false">IF(Time!AF20&lt;=Time!$F$15,(Waterfall!AF7+AG12)/(1+AF10),0)</f>
        <v>945.006553833434</v>
      </c>
      <c r="AG12" s="13" t="n">
        <f aca="false">IF(Time!AG20&lt;=Time!$F$15,(Waterfall!AG7+AH12)/(1+AG10),0)</f>
        <v>927.462637129277</v>
      </c>
      <c r="AH12" s="13" t="n">
        <f aca="false">IF(Time!AH20&lt;=Time!$F$15,(Waterfall!AH7+AI12)/(1+AH10),0)</f>
        <v>909.786475901371</v>
      </c>
      <c r="AI12" s="13" t="n">
        <f aca="false">IF(Time!AI20&lt;=Time!$F$15,(Waterfall!AI7+AJ12)/(1+AI10),0)</f>
        <v>890.578592450831</v>
      </c>
      <c r="AJ12" s="13" t="n">
        <f aca="false">IF(Time!AJ20&lt;=Time!$F$15,(Waterfall!AJ7+AK12)/(1+AJ10),0)</f>
        <v>869.970605201203</v>
      </c>
      <c r="AK12" s="13" t="n">
        <f aca="false">IF(Time!AK20&lt;=Time!$F$15,(Waterfall!AK7+AL12)/(1+AK10),0)</f>
        <v>847.153540730584</v>
      </c>
      <c r="AL12" s="13" t="n">
        <f aca="false">IF(Time!AL20&lt;=Time!$F$15,(Waterfall!AL7+AM12)/(1+AL10),0)</f>
        <v>821.682759086339</v>
      </c>
      <c r="AM12" s="13" t="n">
        <f aca="false">IF(Time!AM20&lt;=Time!$F$15,(Waterfall!AM7+AN12)/(1+AM10),0)</f>
        <v>792.528687554651</v>
      </c>
      <c r="AN12" s="13" t="n">
        <f aca="false">IF(Time!AN20&lt;=Time!$F$15,(Waterfall!AN7+AO12)/(1+AN10),0)</f>
        <v>762.780603874163</v>
      </c>
      <c r="AO12" s="13" t="n">
        <f aca="false">IF(Time!AO20&lt;=Time!$F$15,(Waterfall!AO7+AP12)/(1+AO10),0)</f>
        <v>734.027566670101</v>
      </c>
      <c r="AP12" s="13" t="n">
        <f aca="false">IF(Time!AP20&lt;=Time!$F$15,(Waterfall!AP7+AQ12)/(1+AP10),0)</f>
        <v>710.59904962363</v>
      </c>
      <c r="AQ12" s="13" t="n">
        <f aca="false">IF(Time!AQ20&lt;=Time!$F$15,(Waterfall!AQ7+AR12)/(1+AQ10),0)</f>
        <v>688.97224193464</v>
      </c>
      <c r="AR12" s="13" t="n">
        <f aca="false">IF(Time!AR20&lt;=Time!$F$15,(Waterfall!AR7+AS12)/(1+AR10),0)</f>
        <v>667.645985504853</v>
      </c>
      <c r="AS12" s="13" t="n">
        <f aca="false">IF(Time!AS20&lt;=Time!$F$15,(Waterfall!AS7+AT12)/(1+AS10),0)</f>
        <v>645.156496284593</v>
      </c>
      <c r="AT12" s="13" t="n">
        <f aca="false">IF(Time!AT20&lt;=Time!$F$15,(Waterfall!AT7+AU12)/(1+AT10),0)</f>
        <v>622.300424659568</v>
      </c>
      <c r="AU12" s="13" t="n">
        <f aca="false">IF(Time!AU20&lt;=Time!$F$15,(Waterfall!AU7+AV12)/(1+AU10),0)</f>
        <v>592.065881118199</v>
      </c>
      <c r="AV12" s="13" t="n">
        <f aca="false">IF(Time!AV20&lt;=Time!$F$15,(Waterfall!AV7+AW12)/(1+AV10),0)</f>
        <v>565.429929651575</v>
      </c>
      <c r="AW12" s="13" t="n">
        <f aca="false">IF(Time!AW20&lt;=Time!$F$15,(Waterfall!AW7+AX12)/(1+AW10),0)</f>
        <v>537.977673910457</v>
      </c>
      <c r="AX12" s="13" t="n">
        <f aca="false">IF(Time!AX20&lt;=Time!$F$15,(Waterfall!AX7+AY12)/(1+AX10),0)</f>
        <v>510.190126156653</v>
      </c>
      <c r="AY12" s="13" t="n">
        <f aca="false">IF(Time!AY20&lt;=Time!$F$15,(Waterfall!AY7+AZ12)/(1+AY10),0)</f>
        <v>480.97705764355</v>
      </c>
      <c r="AZ12" s="13" t="n">
        <f aca="false">IF(Time!AZ20&lt;=Time!$F$15,(Waterfall!AZ7+BA12)/(1+AZ10),0)</f>
        <v>451.404318946566</v>
      </c>
      <c r="BA12" s="13" t="n">
        <f aca="false">IF(Time!BA20&lt;=Time!$F$15,(Waterfall!BA7+BB12)/(1+BA10),0)</f>
        <v>420.420296229818</v>
      </c>
      <c r="BB12" s="13" t="n">
        <f aca="false">IF(Time!BB20&lt;=Time!$F$15,(Waterfall!BB7+BC12)/(1+BB10),0)</f>
        <v>388.868312322121</v>
      </c>
      <c r="BC12" s="13" t="n">
        <f aca="false">IF(Time!BC20&lt;=Time!$F$15,(Waterfall!BC7+BD12)/(1+BC10),0)</f>
        <v>354.201391858516</v>
      </c>
      <c r="BD12" s="13" t="n">
        <f aca="false">IF(Time!BD20&lt;=Time!$F$15,(Waterfall!BD7+BE12)/(1+BD10),0)</f>
        <v>321.96647643754</v>
      </c>
      <c r="BE12" s="13" t="n">
        <f aca="false">IF(Time!BE20&lt;=Time!$F$15,(Waterfall!BE7+BF12)/(1+BE10),0)</f>
        <v>294.97183814007</v>
      </c>
      <c r="BF12" s="13" t="n">
        <f aca="false">IF(Time!BF20&lt;=Time!$F$15,(Waterfall!BF7+BG12)/(1+BF10),0)</f>
        <v>267.659739082176</v>
      </c>
      <c r="BG12" s="13" t="n">
        <f aca="false">IF(Time!BG20&lt;=Time!$F$15,(Waterfall!BG7+BH12)/(1+BG10),0)</f>
        <v>238.907554378802</v>
      </c>
      <c r="BH12" s="13" t="n">
        <f aca="false">IF(Time!BH20&lt;=Time!$F$15,(Waterfall!BH7+BI12)/(1+BH10),0)</f>
        <v>209.818590837434</v>
      </c>
      <c r="BI12" s="13" t="n">
        <f aca="false">IF(Time!BI20&lt;=Time!$F$15,(Waterfall!BI7+BJ12)/(1+BI10),0)</f>
        <v>179.310769475833</v>
      </c>
      <c r="BJ12" s="13" t="n">
        <f aca="false">IF(Time!BJ20&lt;=Time!$F$15,(Waterfall!BJ7+BK12)/(1+BJ10),0)</f>
        <v>148.20828455566</v>
      </c>
      <c r="BK12" s="13" t="n">
        <f aca="false">IF(Time!BK20&lt;=Time!$F$15,(Waterfall!BK7+BL12)/(1+BK10),0)</f>
        <v>108.20582562593</v>
      </c>
      <c r="BL12" s="13" t="n">
        <f aca="false">IF(Time!BL20&lt;=Time!$F$15,(Waterfall!BL7+BM12)/(1+BL10),0)</f>
        <v>72.3435845323003</v>
      </c>
      <c r="BM12" s="13" t="n">
        <f aca="false">IF(Time!BM20&lt;=Time!$F$15,(Waterfall!BM7+BN12)/(1+BM10),0)</f>
        <v>34.7928182183613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1.39946289395333</v>
      </c>
      <c r="Q13" s="3" t="n">
        <f aca="false">IF(Debt!Q115&gt;Inputs!$F$253,(Q11+Reserves!Q9)/Debt!Q115,0)</f>
        <v>1.40023410149153</v>
      </c>
      <c r="R13" s="3" t="n">
        <f aca="false">IF(Debt!R115&gt;Inputs!$F$253,(R11+Reserves!R9)/Debt!R115,0)</f>
        <v>1.42297990056005</v>
      </c>
      <c r="S13" s="3" t="n">
        <f aca="false">IF(Debt!S115&gt;Inputs!$F$253,(S11+Reserves!S9)/Debt!S115,0)</f>
        <v>1.44936848765512</v>
      </c>
      <c r="T13" s="3" t="n">
        <f aca="false">IF(Debt!T115&gt;Inputs!$F$253,(T11+Reserves!T9)/Debt!T115,0)</f>
        <v>1.41265255375544</v>
      </c>
      <c r="U13" s="3" t="n">
        <f aca="false">IF(Debt!U115&gt;Inputs!$F$253,(U11+Reserves!U9)/Debt!U115,0)</f>
        <v>1.41583025059044</v>
      </c>
      <c r="V13" s="3" t="n">
        <f aca="false">IF(Debt!V115&gt;Inputs!$F$253,(V11+Reserves!V9)/Debt!V115,0)</f>
        <v>1.42104708661167</v>
      </c>
      <c r="W13" s="3" t="n">
        <f aca="false">IF(Debt!W115&gt;Inputs!$F$253,(W11+Reserves!W9)/Debt!W115,0)</f>
        <v>1.42495233002035</v>
      </c>
      <c r="X13" s="3" t="n">
        <f aca="false">IF(Debt!X115&gt;Inputs!$F$253,(X11+Reserves!X9)/Debt!X115,0)</f>
        <v>1.42762457151649</v>
      </c>
      <c r="Y13" s="3" t="n">
        <f aca="false">IF(Debt!Y115&gt;Inputs!$F$253,(Y11+Reserves!Y9)/Debt!Y115,0)</f>
        <v>1.43215066345543</v>
      </c>
      <c r="Z13" s="3" t="n">
        <f aca="false">IF(Debt!Z115&gt;Inputs!$F$253,(Z11+Reserves!Z9)/Debt!Z115,0)</f>
        <v>1.43861397652635</v>
      </c>
      <c r="AA13" s="3" t="n">
        <f aca="false">IF(Debt!AA115&gt;Inputs!$F$253,(AA11+Reserves!AA9)/Debt!AA115,0)</f>
        <v>1.44455797691605</v>
      </c>
      <c r="AB13" s="3" t="n">
        <f aca="false">IF(Debt!AB115&gt;Inputs!$F$253,(AB11+Reserves!AB9)/Debt!AB115,0)</f>
        <v>1.47404485809338</v>
      </c>
      <c r="AC13" s="3" t="n">
        <f aca="false">IF(Debt!AC115&gt;Inputs!$F$253,(AC11+Reserves!AC9)/Debt!AC115,0)</f>
        <v>1.50763390536905</v>
      </c>
      <c r="AD13" s="3" t="n">
        <f aca="false">IF(Debt!AD115&gt;Inputs!$F$253,(AD11+Reserves!AD9)/Debt!AD115,0)</f>
        <v>1.54768818773444</v>
      </c>
      <c r="AE13" s="3" t="n">
        <f aca="false">IF(Debt!AE115&gt;Inputs!$F$253,(AE11+Reserves!AE9)/Debt!AE115,0)</f>
        <v>1.59634404370779</v>
      </c>
      <c r="AF13" s="3" t="n">
        <f aca="false">IF(Debt!AF115&gt;Inputs!$F$253,(AF11+Reserves!AF9)/Debt!AF115,0)</f>
        <v>1.65588318431462</v>
      </c>
      <c r="AG13" s="3" t="n">
        <f aca="false">IF(Debt!AG115&gt;Inputs!$F$253,(AG11+Reserves!AG9)/Debt!AG115,0)</f>
        <v>1.73054553183614</v>
      </c>
      <c r="AH13" s="3" t="n">
        <f aca="false">IF(Debt!AH115&gt;Inputs!$F$253,(AH11+Reserves!AH9)/Debt!AH115,0)</f>
        <v>1.82674964401703</v>
      </c>
      <c r="AI13" s="3" t="n">
        <f aca="false">IF(Debt!AI115&gt;Inputs!$F$253,(AI11+Reserves!AI9)/Debt!AI115,0)</f>
        <v>1.95886573355149</v>
      </c>
      <c r="AJ13" s="3" t="n">
        <f aca="false">IF(Debt!AJ115&gt;Inputs!$F$253,(AJ11+Reserves!AJ9)/Debt!AJ115,0)</f>
        <v>2.14956043240176</v>
      </c>
      <c r="AK13" s="3" t="n">
        <f aca="false">IF(Debt!AK115&gt;Inputs!$F$253,(AK11+Reserves!AK9)/Debt!AK115,0)</f>
        <v>2.46117432158347</v>
      </c>
      <c r="AL13" s="3" t="n">
        <f aca="false">IF(Debt!AL115&gt;Inputs!$F$253,(AL11+Reserves!AL9)/Debt!AL115,0)</f>
        <v>2.78427562484084</v>
      </c>
      <c r="AM13" s="3" t="n">
        <f aca="false">IF(Debt!AM115&gt;Inputs!$F$253,(AM11+Reserves!AM9)/Debt!AM115,0)</f>
        <v>2.87657205003984</v>
      </c>
      <c r="AN13" s="3" t="n">
        <f aca="false">IF(Debt!AN115&gt;Inputs!$F$253,(AN11+Reserves!AN9)/Debt!AN115,0)</f>
        <v>3.07912588163788</v>
      </c>
      <c r="AO13" s="3" t="n">
        <f aca="false">IF(Debt!AO115&gt;Inputs!$F$253,(AO11+Reserves!AO9)/Debt!AO115,0)</f>
        <v>3.4567609916493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1.34033770200892</v>
      </c>
      <c r="Q14" s="3" t="n">
        <f aca="false">IF(Debt!Q115&gt;Inputs!$F$253,Q11/Debt!Q115,0)</f>
        <v>1.33975190714745</v>
      </c>
      <c r="R14" s="3" t="n">
        <f aca="false">IF(Debt!R115&gt;Inputs!$F$253,R11/Debt!R115,0)</f>
        <v>1.39496692163436</v>
      </c>
      <c r="S14" s="3" t="n">
        <f aca="false">IF(Debt!S115&gt;Inputs!$F$253,S11/Debt!S115,0)</f>
        <v>1.3985895774635</v>
      </c>
      <c r="T14" s="3" t="n">
        <f aca="false">IF(Debt!T115&gt;Inputs!$F$253,T11/Debt!T115,0)</f>
        <v>1.34568517024251</v>
      </c>
      <c r="U14" s="3" t="n">
        <f aca="false">IF(Debt!U115&gt;Inputs!$F$253,U11/Debt!U115,0)</f>
        <v>1.34695981705767</v>
      </c>
      <c r="V14" s="3" t="n">
        <f aca="false">IF(Debt!V115&gt;Inputs!$F$253,V11/Debt!V115,0)</f>
        <v>1.34836410243001</v>
      </c>
      <c r="W14" s="3" t="n">
        <f aca="false">IF(Debt!W115&gt;Inputs!$F$253,W11/Debt!W115,0)</f>
        <v>1.34993152797767</v>
      </c>
      <c r="X14" s="3" t="n">
        <f aca="false">IF(Debt!X115&gt;Inputs!$F$253,X11/Debt!X115,0)</f>
        <v>1.35169081552631</v>
      </c>
      <c r="Y14" s="3" t="n">
        <f aca="false">IF(Debt!Y115&gt;Inputs!$F$253,Y11/Debt!Y115,0)</f>
        <v>1.35373579840737</v>
      </c>
      <c r="Z14" s="3" t="n">
        <f aca="false">IF(Debt!Z115&gt;Inputs!$F$253,Z11/Debt!Z115,0)</f>
        <v>1.35603082653713</v>
      </c>
      <c r="AA14" s="3" t="n">
        <f aca="false">IF(Debt!AA115&gt;Inputs!$F$253,AA11/Debt!AA115,0)</f>
        <v>1.35865937070028</v>
      </c>
      <c r="AB14" s="3" t="n">
        <f aca="false">IF(Debt!AB115&gt;Inputs!$F$253,AB11/Debt!AB115,0)</f>
        <v>1.38124735869927</v>
      </c>
      <c r="AC14" s="3" t="n">
        <f aca="false">IF(Debt!AC115&gt;Inputs!$F$253,AC11/Debt!AC115,0)</f>
        <v>1.40958485718954</v>
      </c>
      <c r="AD14" s="3" t="n">
        <f aca="false">IF(Debt!AD115&gt;Inputs!$F$253,AD11/Debt!AD115,0)</f>
        <v>1.43947105369146</v>
      </c>
      <c r="AE14" s="3" t="n">
        <f aca="false">IF(Debt!AE115&gt;Inputs!$F$253,AE11/Debt!AE115,0)</f>
        <v>1.47923711256181</v>
      </c>
      <c r="AF14" s="3" t="n">
        <f aca="false">IF(Debt!AF115&gt;Inputs!$F$253,AF11/Debt!AF115,0)</f>
        <v>1.52802594735752</v>
      </c>
      <c r="AG14" s="3" t="n">
        <f aca="false">IF(Debt!AG115&gt;Inputs!$F$253,AG11/Debt!AG115,0)</f>
        <v>1.59066103164913</v>
      </c>
      <c r="AH14" s="3" t="n">
        <f aca="false">IF(Debt!AH115&gt;Inputs!$F$253,AH11/Debt!AH115,0)</f>
        <v>1.66887872166953</v>
      </c>
      <c r="AI14" s="3" t="n">
        <f aca="false">IF(Debt!AI115&gt;Inputs!$F$253,AI11/Debt!AI115,0)</f>
        <v>1.77951001307939</v>
      </c>
      <c r="AJ14" s="3" t="n">
        <f aca="false">IF(Debt!AJ115&gt;Inputs!$F$253,AJ11/Debt!AJ115,0)</f>
        <v>1.93697653769446</v>
      </c>
      <c r="AK14" s="3" t="n">
        <f aca="false">IF(Debt!AK115&gt;Inputs!$F$253,AK11/Debt!AK115,0)</f>
        <v>2.19925750313779</v>
      </c>
      <c r="AL14" s="3" t="n">
        <f aca="false">IF(Debt!AL115&gt;Inputs!$F$253,AL11/Debt!AL115,0)</f>
        <v>2.45946421822734</v>
      </c>
      <c r="AM14" s="3" t="n">
        <f aca="false">IF(Debt!AM115&gt;Inputs!$F$253,AM11/Debt!AM115,0)</f>
        <v>2.48504488790664</v>
      </c>
      <c r="AN14" s="3" t="n">
        <f aca="false">IF(Debt!AN115&gt;Inputs!$F$253,AN11/Debt!AN115,0)</f>
        <v>2.54690072922348</v>
      </c>
      <c r="AO14" s="3" t="n">
        <f aca="false">IF(Debt!AO115&gt;Inputs!$F$253,AO11/Debt!AO115,0)</f>
        <v>2.42903656943098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1.8166109198407</v>
      </c>
      <c r="Q15" s="3" t="n">
        <f aca="false">IF(Debt!Q115&gt;Inputs!$F$253,Q12/Debt!Q115,0)</f>
        <v>1.84490007790468</v>
      </c>
      <c r="R15" s="3" t="n">
        <f aca="false">IF(Debt!R115&gt;Inputs!$F$253,R12/Debt!R115,0)</f>
        <v>1.9314958789416</v>
      </c>
      <c r="S15" s="3" t="n">
        <f aca="false">IF(Debt!S115&gt;Inputs!$F$253,S12/Debt!S115,0)</f>
        <v>1.96985393185963</v>
      </c>
      <c r="T15" s="3" t="n">
        <f aca="false">IF(Debt!T115&gt;Inputs!$F$253,T12/Debt!T115,0)</f>
        <v>1.95478210965202</v>
      </c>
      <c r="U15" s="3" t="n">
        <f aca="false">IF(Debt!U115&gt;Inputs!$F$253,U12/Debt!U115,0)</f>
        <v>1.99820708818636</v>
      </c>
      <c r="V15" s="3" t="n">
        <f aca="false">IF(Debt!V115&gt;Inputs!$F$253,V12/Debt!V115,0)</f>
        <v>2.04605927458008</v>
      </c>
      <c r="W15" s="3" t="n">
        <f aca="false">IF(Debt!W115&gt;Inputs!$F$253,W12/Debt!W115,0)</f>
        <v>2.10033271982393</v>
      </c>
      <c r="X15" s="3" t="n">
        <f aca="false">IF(Debt!X115&gt;Inputs!$F$253,X12/Debt!X115,0)</f>
        <v>2.16076466473042</v>
      </c>
      <c r="Y15" s="3" t="n">
        <f aca="false">IF(Debt!Y115&gt;Inputs!$F$253,Y12/Debt!Y115,0)</f>
        <v>2.22687136301298</v>
      </c>
      <c r="Z15" s="3" t="n">
        <f aca="false">IF(Debt!Z115&gt;Inputs!$F$253,Z12/Debt!Z115,0)</f>
        <v>2.30068409213675</v>
      </c>
      <c r="AA15" s="3" t="n">
        <f aca="false">IF(Debt!AA115&gt;Inputs!$F$253,AA12/Debt!AA115,0)</f>
        <v>2.38511613300243</v>
      </c>
      <c r="AB15" s="3" t="n">
        <f aca="false">IF(Debt!AB115&gt;Inputs!$F$253,AB12/Debt!AB115,0)</f>
        <v>2.5166180960698</v>
      </c>
      <c r="AC15" s="3" t="n">
        <f aca="false">IF(Debt!AC115&gt;Inputs!$F$253,AC12/Debt!AC115,0)</f>
        <v>2.67715258565514</v>
      </c>
      <c r="AD15" s="3" t="n">
        <f aca="false">IF(Debt!AD115&gt;Inputs!$F$253,AD12/Debt!AD115,0)</f>
        <v>2.86252343227235</v>
      </c>
      <c r="AE15" s="3" t="n">
        <f aca="false">IF(Debt!AE115&gt;Inputs!$F$253,AE12/Debt!AE115,0)</f>
        <v>3.10355101664685</v>
      </c>
      <c r="AF15" s="3" t="n">
        <f aca="false">IF(Debt!AF115&gt;Inputs!$F$253,AF12/Debt!AF115,0)</f>
        <v>3.40720503382263</v>
      </c>
      <c r="AG15" s="3" t="n">
        <f aca="false">IF(Debt!AG115&gt;Inputs!$F$253,AG12/Debt!AG115,0)</f>
        <v>3.80387896618907</v>
      </c>
      <c r="AH15" s="3" t="n">
        <f aca="false">IF(Debt!AH115&gt;Inputs!$F$253,AH12/Debt!AH115,0)</f>
        <v>4.32555210927328</v>
      </c>
      <c r="AI15" s="3" t="n">
        <f aca="false">IF(Debt!AI115&gt;Inputs!$F$253,AI12/Debt!AI115,0)</f>
        <v>5.07728005535665</v>
      </c>
      <c r="AJ15" s="3" t="n">
        <f aca="false">IF(Debt!AJ115&gt;Inputs!$F$253,AJ12/Debt!AJ115,0)</f>
        <v>6.19761088531158</v>
      </c>
      <c r="AK15" s="3" t="n">
        <f aca="false">IF(Debt!AK115&gt;Inputs!$F$253,AK12/Debt!AK115,0)</f>
        <v>8.12068033267137</v>
      </c>
      <c r="AL15" s="3" t="n">
        <f aca="false">IF(Debt!AL115&gt;Inputs!$F$253,AL12/Debt!AL115,0)</f>
        <v>10.9109882145542</v>
      </c>
      <c r="AM15" s="3" t="n">
        <f aca="false">IF(Debt!AM115&gt;Inputs!$F$253,AM12/Debt!AM115,0)</f>
        <v>14.2559113026047</v>
      </c>
      <c r="AN15" s="3" t="n">
        <f aca="false">IF(Debt!AN115&gt;Inputs!$F$253,AN12/Debt!AN115,0)</f>
        <v>21.559170537241</v>
      </c>
      <c r="AO15" s="3" t="n">
        <f aca="false">IF(Debt!AO115&gt;Inputs!$F$253,AO12/Debt!AO115,0)</f>
        <v>41.8559488536361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0.450935321178795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1.52522086699952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1.39946289395333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1.8166109198407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0.901004655457047</v>
      </c>
      <c r="P20" s="3" t="n">
        <f aca="false">IF(Debt!Q114&gt;Inputs!$F$253,(Waterfall!Q7+IF(Debt!R114&gt;Inputs!$F$253,Waterfall!R7,0))/(Debt!Q114+Debt!R114),0)</f>
        <v>0.897750543003523</v>
      </c>
      <c r="Q20" s="3" t="n">
        <f aca="false">IF(Debt!R114&gt;Inputs!$F$253,(Waterfall!R7+IF(Debt!S114&gt;Inputs!$F$253,Waterfall!S7,0))/(Debt!R114+Debt!S114),0)</f>
        <v>1.76655408936327</v>
      </c>
      <c r="R20" s="3" t="n">
        <f aca="false">IF(Debt!S114&gt;Inputs!$F$253,(Waterfall!S7+IF(Debt!T114&gt;Inputs!$F$253,Waterfall!T7,0))/(Debt!S114+Debt!T114),0)</f>
        <v>1.75992898926764</v>
      </c>
      <c r="S20" s="3" t="n">
        <f aca="false">IF(Debt!T114&gt;Inputs!$F$253,(Waterfall!T7+IF(Debt!U114&gt;Inputs!$F$253,Waterfall!U7,0))/(Debt!T114+Debt!U114),0)</f>
        <v>1.32726803083217</v>
      </c>
      <c r="T20" s="3" t="n">
        <f aca="false">IF(Debt!U114&gt;Inputs!$F$253,(Waterfall!U7+IF(Debt!V114&gt;Inputs!$F$253,Waterfall!V7,0))/(Debt!U114+Debt!V114),0)</f>
        <v>1.32744444286099</v>
      </c>
      <c r="U20" s="3" t="n">
        <f aca="false">IF(Debt!V114&gt;Inputs!$F$253,(Waterfall!V7+IF(Debt!W114&gt;Inputs!$F$253,Waterfall!W7,0))/(Debt!V114+Debt!W114),0)</f>
        <v>1.32752343596035</v>
      </c>
      <c r="V20" s="3" t="n">
        <f aca="false">IF(Debt!W114&gt;Inputs!$F$253,(Waterfall!W7+IF(Debt!X114&gt;Inputs!$F$253,Waterfall!X7,0))/(Debt!W114+Debt!X114),0)</f>
        <v>1.32665866576686</v>
      </c>
      <c r="W20" s="3" t="n">
        <f aca="false">IF(Debt!X114&gt;Inputs!$F$253,(Waterfall!X7+IF(Debt!Y114&gt;Inputs!$F$253,Waterfall!Y7,0))/(Debt!X114+Debt!Y114),0)</f>
        <v>1.32579039179509</v>
      </c>
      <c r="X20" s="3" t="n">
        <f aca="false">IF(Debt!Y114&gt;Inputs!$F$253,(Waterfall!Y7+IF(Debt!Z114&gt;Inputs!$F$253,Waterfall!Z7,0))/(Debt!Y114+Debt!Z114),0)</f>
        <v>1.32569662078894</v>
      </c>
      <c r="Y20" s="3" t="n">
        <f aca="false">IF(Debt!Z114&gt;Inputs!$F$253,(Waterfall!Z7+IF(Debt!AA114&gt;Inputs!$F$253,Waterfall!AA7,0))/(Debt!Z114+Debt!AA114),0)</f>
        <v>1.32560332882527</v>
      </c>
      <c r="Z20" s="3" t="n">
        <f aca="false">IF(Debt!AA114&gt;Inputs!$F$253,(Waterfall!AA7+IF(Debt!AB114&gt;Inputs!$F$253,Waterfall!AB7,0))/(Debt!AA114+Debt!AB114),0)</f>
        <v>1.33560904717945</v>
      </c>
      <c r="AA20" s="3" t="n">
        <f aca="false">IF(Debt!AB114&gt;Inputs!$F$253,(Waterfall!AB7+IF(Debt!AC114&gt;Inputs!$F$253,Waterfall!AC7,0))/(Debt!AB114+Debt!AC114),0)</f>
        <v>1.35860739831324</v>
      </c>
      <c r="AB20" s="3" t="n">
        <f aca="false">IF(Debt!AC114&gt;Inputs!$F$253,(Waterfall!AC7+IF(Debt!AD114&gt;Inputs!$F$253,Waterfall!AD7,0))/(Debt!AC114+Debt!AD114),0)</f>
        <v>1.38663345528469</v>
      </c>
      <c r="AC20" s="3" t="n">
        <f aca="false">IF(Debt!AD114&gt;Inputs!$F$253,(Waterfall!AD7+IF(Debt!AE114&gt;Inputs!$F$253,Waterfall!AE7,0))/(Debt!AD114+Debt!AE114),0)</f>
        <v>1.41928325150903</v>
      </c>
      <c r="AD20" s="3" t="n">
        <f aca="false">IF(Debt!AE114&gt;Inputs!$F$253,(Waterfall!AE7+IF(Debt!AF114&gt;Inputs!$F$253,Waterfall!AF7,0))/(Debt!AE114+Debt!AF114),0)</f>
        <v>1.45979432093239</v>
      </c>
      <c r="AE20" s="3" t="n">
        <f aca="false">IF(Debt!AF114&gt;Inputs!$F$253,(Waterfall!AF7+IF(Debt!AG114&gt;Inputs!$F$253,Waterfall!AG7,0))/(Debt!AF114+Debt!AG114),0)</f>
        <v>1.51160113018133</v>
      </c>
      <c r="AF20" s="3" t="n">
        <f aca="false">IF(Debt!AG114&gt;Inputs!$F$253,(Waterfall!AG7+IF(Debt!AH114&gt;Inputs!$F$253,Waterfall!AH7,0))/(Debt!AG114+Debt!AH114),0)</f>
        <v>1.57916344426375</v>
      </c>
      <c r="AG20" s="3" t="n">
        <f aca="false">IF(Debt!AH114&gt;Inputs!$F$253,(Waterfall!AH7+IF(Debt!AI114&gt;Inputs!$F$253,Waterfall!AI7,0))/(Debt!AH114+Debt!AI114),0)</f>
        <v>1.66777989156954</v>
      </c>
      <c r="AH20" s="3" t="n">
        <f aca="false">IF(Debt!AI114&gt;Inputs!$F$253,(Waterfall!AI7+IF(Debt!AJ114&gt;Inputs!$F$253,Waterfall!AJ7,0))/(Debt!AI114+Debt!AJ114),0)</f>
        <v>1.79582733485456</v>
      </c>
      <c r="AI20" s="3" t="n">
        <f aca="false">IF(Debt!AJ114&gt;Inputs!$F$253,(Waterfall!AJ7+IF(Debt!AK114&gt;Inputs!$F$253,Waterfall!AK7,0))/(Debt!AJ114+Debt!AK114),0)</f>
        <v>1.9954658836173</v>
      </c>
      <c r="AJ20" s="3" t="n">
        <f aca="false">IF(Debt!AK114&gt;Inputs!$F$253,(Waterfall!AK7+IF(Debt!AL114&gt;Inputs!$F$253,Waterfall!AL7,0))/(Debt!AK114+Debt!AL114),0)</f>
        <v>2.25716088646195</v>
      </c>
      <c r="AK20" s="3" t="n">
        <f aca="false">IF(Debt!AL114&gt;Inputs!$F$253,(Waterfall!AL7+IF(Debt!AM114&gt;Inputs!$F$253,Waterfall!AM7,0))/(Debt!AL114+Debt!AM114),0)</f>
        <v>2.38942300251059</v>
      </c>
      <c r="AL20" s="3" t="n">
        <f aca="false">IF(Debt!AM114&gt;Inputs!$F$253,(Waterfall!AM7+IF(Debt!AN114&gt;Inputs!$F$253,Waterfall!AN7,0))/(Debt!AM114+Debt!AN114),0)</f>
        <v>2.5107428739519</v>
      </c>
      <c r="AM20" s="3" t="n">
        <f aca="false">IF(Debt!AN114&gt;Inputs!$F$253,(Waterfall!AN7+IF(Debt!AO114&gt;Inputs!$F$253,Waterfall!AO7,0))/(Debt!AN114+Debt!AO114),0)</f>
        <v>2.54534577433789</v>
      </c>
      <c r="AN20" s="3" t="n">
        <f aca="false">IF(Debt!AO114&gt;Inputs!$F$253,(Waterfall!AO7+IF(Debt!AP114&gt;Inputs!$F$253,Waterfall!AP7,0))/(Debt!AO114+Debt!AP114),0)</f>
        <v>2.42903656943098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1139.92512575547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36.4636295981268</v>
      </c>
      <c r="BV8" s="18" t="n">
        <f aca="false">Waterfall!T44</f>
        <v>12.5352067015835</v>
      </c>
      <c r="BW8" s="18" t="n">
        <f aca="false">Waterfall!U44</f>
        <v>11.5785441844972</v>
      </c>
      <c r="BX8" s="18" t="n">
        <f aca="false">Waterfall!V44</f>
        <v>12.8084024108506</v>
      </c>
      <c r="BY8" s="18" t="n">
        <f aca="false">Waterfall!W44</f>
        <v>13.5464120334257</v>
      </c>
      <c r="BZ8" s="18" t="n">
        <f aca="false">Waterfall!X44</f>
        <v>12.3894976968055</v>
      </c>
      <c r="CA8" s="18" t="n">
        <f aca="false">Waterfall!Y44</f>
        <v>11.6106116563639</v>
      </c>
      <c r="CB8" s="18" t="n">
        <f aca="false">Waterfall!Z44</f>
        <v>12.3052245112197</v>
      </c>
      <c r="CC8" s="18" t="n">
        <f aca="false">Waterfall!AA44</f>
        <v>5.73776912183081</v>
      </c>
      <c r="CD8" s="18" t="n">
        <f aca="false">Waterfall!AB44</f>
        <v>6.65628087607004</v>
      </c>
      <c r="CE8" s="18" t="n">
        <f aca="false">Waterfall!AC44</f>
        <v>6.28577975215511</v>
      </c>
      <c r="CF8" s="18" t="n">
        <f aca="false">Waterfall!AD44</f>
        <v>7.59906947576215</v>
      </c>
      <c r="CG8" s="18" t="n">
        <f aca="false">Waterfall!AE44</f>
        <v>8.15716282517507</v>
      </c>
      <c r="CH8" s="18" t="n">
        <f aca="false">Waterfall!AF44</f>
        <v>8.96866993897747</v>
      </c>
      <c r="CI8" s="18" t="n">
        <f aca="false">Waterfall!AG44</f>
        <v>9.34265983250108</v>
      </c>
      <c r="CJ8" s="18" t="n">
        <f aca="false">Waterfall!AH44</f>
        <v>10.6518811437195</v>
      </c>
      <c r="CK8" s="18" t="n">
        <f aca="false">Waterfall!AI44</f>
        <v>11.4633594914264</v>
      </c>
      <c r="CL8" s="18" t="n">
        <f aca="false">Waterfall!AJ44</f>
        <v>13.2574155678939</v>
      </c>
      <c r="CM8" s="18" t="n">
        <f aca="false">Waterfall!AK44</f>
        <v>21.8559292715483</v>
      </c>
      <c r="CN8" s="18" t="n">
        <f aca="false">Waterfall!AL44</f>
        <v>33.1387847438839</v>
      </c>
      <c r="CO8" s="18" t="n">
        <f aca="false">Waterfall!AM44</f>
        <v>33.0708372252113</v>
      </c>
      <c r="CP8" s="18" t="n">
        <f aca="false">Waterfall!AN44</f>
        <v>32.0033247907474</v>
      </c>
      <c r="CQ8" s="18" t="n">
        <f aca="false">Waterfall!AO44</f>
        <v>43.779007224722</v>
      </c>
      <c r="CR8" s="18" t="n">
        <f aca="false">Waterfall!AP44</f>
        <v>41.3277557686957</v>
      </c>
      <c r="CS8" s="18" t="n">
        <f aca="false">Waterfall!AQ44</f>
        <v>40.4276137618877</v>
      </c>
      <c r="CT8" s="18" t="n">
        <f aca="false">Waterfall!AR44</f>
        <v>40.9995884147656</v>
      </c>
      <c r="CU8" s="18" t="n">
        <f aca="false">Waterfall!AS44</f>
        <v>40.7426627249132</v>
      </c>
      <c r="CV8" s="18" t="n">
        <f aca="false">Waterfall!AT44</f>
        <v>47.487463261274</v>
      </c>
      <c r="CW8" s="18" t="n">
        <f aca="false">Waterfall!AU44</f>
        <v>43.0506359358084</v>
      </c>
      <c r="CX8" s="18" t="n">
        <f aca="false">Waterfall!AV44</f>
        <v>43.1284738456562</v>
      </c>
      <c r="CY8" s="18" t="n">
        <f aca="false">Waterfall!AW44</f>
        <v>42.7026679293284</v>
      </c>
      <c r="CZ8" s="18" t="n">
        <f aca="false">Waterfall!AX44</f>
        <v>43.3577949822907</v>
      </c>
      <c r="DA8" s="18" t="n">
        <f aca="false">Waterfall!AY44</f>
        <v>42.9075497204208</v>
      </c>
      <c r="DB8" s="18" t="n">
        <f aca="false">Waterfall!AZ44</f>
        <v>43.4989466463972</v>
      </c>
      <c r="DC8" s="18" t="n">
        <f aca="false">Waterfall!BA44</f>
        <v>42.7129253229169</v>
      </c>
      <c r="DD8" s="18" t="n">
        <f aca="false">Waterfall!BB44</f>
        <v>43.9469194871056</v>
      </c>
      <c r="DE8" s="18" t="n">
        <f aca="false">Waterfall!BC44</f>
        <v>40.5373712858379</v>
      </c>
      <c r="DF8" s="18" t="n">
        <f aca="false">Waterfall!BD44</f>
        <v>34.3867972701239</v>
      </c>
      <c r="DG8" s="18" t="n">
        <f aca="false">Waterfall!BE44</f>
        <v>33.9390631600481</v>
      </c>
      <c r="DH8" s="18" t="n">
        <f aca="false">Waterfall!BF44</f>
        <v>34.6049688979624</v>
      </c>
      <c r="DI8" s="18" t="n">
        <f aca="false">Waterfall!BG44</f>
        <v>34.1274566561768</v>
      </c>
      <c r="DJ8" s="18" t="n">
        <f aca="false">Waterfall!BH44</f>
        <v>34.7224987373633</v>
      </c>
      <c r="DK8" s="18" t="n">
        <f aca="false">Waterfall!BI44</f>
        <v>34.4538198300099</v>
      </c>
      <c r="DL8" s="18" t="n">
        <f aca="false">Waterfall!BJ44</f>
        <v>42.4737728809666</v>
      </c>
      <c r="DM8" s="18" t="n">
        <f aca="false">Waterfall!BK44</f>
        <v>37.2065935617914</v>
      </c>
      <c r="DN8" s="18" t="n">
        <f aca="false">Waterfall!BL44</f>
        <v>37.882746437929</v>
      </c>
      <c r="DO8" s="18" t="n">
        <f aca="false">Waterfall!BM44</f>
        <v>53.6986091627736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1564.39444231253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16.7554111490597</v>
      </c>
      <c r="BT9" s="18" t="n">
        <f aca="false">Waterfall!R7</f>
        <v>50.3799917919531</v>
      </c>
      <c r="BU9" s="18" t="n">
        <f aca="false">Waterfall!S7</f>
        <v>82.0375420176545</v>
      </c>
      <c r="BV9" s="18" t="n">
        <f aca="false">Waterfall!T7</f>
        <v>50.1058994560139</v>
      </c>
      <c r="BW9" s="18" t="n">
        <f aca="false">Waterfall!U7</f>
        <v>49.86646441918</v>
      </c>
      <c r="BX9" s="18" t="n">
        <f aca="false">Waterfall!V7</f>
        <v>50.8316298363611</v>
      </c>
      <c r="BY9" s="18" t="n">
        <f aca="false">Waterfall!W7</f>
        <v>50.4732071075761</v>
      </c>
      <c r="BZ9" s="18" t="n">
        <f aca="false">Waterfall!X7</f>
        <v>48.9598897410199</v>
      </c>
      <c r="CA9" s="18" t="n">
        <f aca="false">Waterfall!Y7</f>
        <v>48.4819747644744</v>
      </c>
      <c r="CB9" s="18" t="n">
        <f aca="false">Waterfall!Z7</f>
        <v>48.8795118657713</v>
      </c>
      <c r="CC9" s="18" t="n">
        <f aca="false">Waterfall!AA7</f>
        <v>48.4802868752706</v>
      </c>
      <c r="CD9" s="18" t="n">
        <f aca="false">Waterfall!AB7</f>
        <v>49.0367057975256</v>
      </c>
      <c r="CE9" s="18" t="n">
        <f aca="false">Waterfall!AC7</f>
        <v>48.839890869873</v>
      </c>
      <c r="CF9" s="18" t="n">
        <f aca="false">Waterfall!AD7</f>
        <v>50.7721303763519</v>
      </c>
      <c r="CG9" s="18" t="n">
        <f aca="false">Waterfall!AE7</f>
        <v>50.8428074551719</v>
      </c>
      <c r="CH9" s="18" t="n">
        <f aca="false">Waterfall!AF7</f>
        <v>50.9544129634369</v>
      </c>
      <c r="CI9" s="18" t="n">
        <f aca="false">Waterfall!AG7</f>
        <v>50.583563339745</v>
      </c>
      <c r="CJ9" s="18" t="n">
        <f aca="false">Waterfall!AH7</f>
        <v>51.2348475281006</v>
      </c>
      <c r="CK9" s="18" t="n">
        <f aca="false">Waterfall!AI7</f>
        <v>50.829346604152</v>
      </c>
      <c r="CL9" s="18" t="n">
        <f aca="false">Waterfall!AJ7</f>
        <v>51.4038707095271</v>
      </c>
      <c r="CM9" s="18" t="n">
        <f aca="false">Waterfall!AK7</f>
        <v>51.1709424557564</v>
      </c>
      <c r="CN9" s="18" t="n">
        <f aca="false">Waterfall!AL7</f>
        <v>52.2782968708046</v>
      </c>
      <c r="CO9" s="18" t="n">
        <f aca="false">Waterfall!AM7</f>
        <v>51.9013865014185</v>
      </c>
      <c r="CP9" s="18" t="n">
        <f aca="false">Waterfall!AN7</f>
        <v>50.0265228667556</v>
      </c>
      <c r="CQ9" s="18" t="n">
        <f aca="false">Waterfall!AO7</f>
        <v>43.779007224722</v>
      </c>
      <c r="CR9" s="18" t="n">
        <f aca="false">Waterfall!AP7</f>
        <v>41.3277557686957</v>
      </c>
      <c r="CS9" s="18" t="n">
        <f aca="false">Waterfall!AQ7</f>
        <v>40.4276137618877</v>
      </c>
      <c r="CT9" s="18" t="n">
        <f aca="false">Waterfall!AR7</f>
        <v>40.9995884147656</v>
      </c>
      <c r="CU9" s="18" t="n">
        <f aca="false">Waterfall!AS7</f>
        <v>40.7426627249132</v>
      </c>
      <c r="CV9" s="18" t="n">
        <f aca="false">Waterfall!AT7</f>
        <v>47.487463261274</v>
      </c>
      <c r="CW9" s="18" t="n">
        <f aca="false">Waterfall!AU7</f>
        <v>43.0506359358084</v>
      </c>
      <c r="CX9" s="18" t="n">
        <f aca="false">Waterfall!AV7</f>
        <v>43.1284738456562</v>
      </c>
      <c r="CY9" s="18" t="n">
        <f aca="false">Waterfall!AW7</f>
        <v>42.7026679293284</v>
      </c>
      <c r="CZ9" s="18" t="n">
        <f aca="false">Waterfall!AX7</f>
        <v>43.3577949822907</v>
      </c>
      <c r="DA9" s="18" t="n">
        <f aca="false">Waterfall!AY7</f>
        <v>42.9075497204208</v>
      </c>
      <c r="DB9" s="18" t="n">
        <f aca="false">Waterfall!AZ7</f>
        <v>43.4989466463972</v>
      </c>
      <c r="DC9" s="18" t="n">
        <f aca="false">Waterfall!BA7</f>
        <v>43.2078937095256</v>
      </c>
      <c r="DD9" s="18" t="n">
        <f aca="false">Waterfall!BB7</f>
        <v>45.4480697417501</v>
      </c>
      <c r="DE9" s="18" t="n">
        <f aca="false">Waterfall!BC7</f>
        <v>42.0549443591801</v>
      </c>
      <c r="DF9" s="18" t="n">
        <f aca="false">Waterfall!BD7</f>
        <v>35.9209728303705</v>
      </c>
      <c r="DG9" s="18" t="n">
        <f aca="false">Waterfall!BE7</f>
        <v>35.4900228410039</v>
      </c>
      <c r="DH9" s="18" t="n">
        <f aca="false">Waterfall!BF7</f>
        <v>36.1728963205344</v>
      </c>
      <c r="DI9" s="18" t="n">
        <f aca="false">Waterfall!BG7</f>
        <v>35.7125374501136</v>
      </c>
      <c r="DJ9" s="18" t="n">
        <f aca="false">Waterfall!BH7</f>
        <v>36.3249205632319</v>
      </c>
      <c r="DK9" s="18" t="n">
        <f aca="false">Waterfall!BI7</f>
        <v>36.0737724014133</v>
      </c>
      <c r="DL9" s="18" t="n">
        <f aca="false">Waterfall!BJ7</f>
        <v>44.1114479870043</v>
      </c>
      <c r="DM9" s="18" t="n">
        <f aca="false">Waterfall!BK7</f>
        <v>38.8621850897656</v>
      </c>
      <c r="DN9" s="18" t="n">
        <f aca="false">Waterfall!BL7</f>
        <v>39.5564503962995</v>
      </c>
      <c r="DO9" s="18" t="n">
        <f aca="false">Waterfall!BM7</f>
        <v>35.7574290008126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1860.55346044815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16.7554111490597</v>
      </c>
      <c r="BT10" s="13" t="n">
        <f aca="false">Waterfall!R7+Tax!R27</f>
        <v>50.3799917919531</v>
      </c>
      <c r="BU10" s="13" t="n">
        <f aca="false">Waterfall!S7+Tax!S27</f>
        <v>82.0375420176545</v>
      </c>
      <c r="BV10" s="13" t="n">
        <f aca="false">Waterfall!T7+Tax!T27</f>
        <v>50.1058994560139</v>
      </c>
      <c r="BW10" s="13" t="n">
        <f aca="false">Waterfall!U7+Tax!U27</f>
        <v>49.86646441918</v>
      </c>
      <c r="BX10" s="13" t="n">
        <f aca="false">Waterfall!V7+Tax!V27</f>
        <v>50.8316298363611</v>
      </c>
      <c r="BY10" s="13" t="n">
        <f aca="false">Waterfall!W7+Tax!W27</f>
        <v>50.4732071075761</v>
      </c>
      <c r="BZ10" s="13" t="n">
        <f aca="false">Waterfall!X7+Tax!X27</f>
        <v>48.9598897410199</v>
      </c>
      <c r="CA10" s="13" t="n">
        <f aca="false">Waterfall!Y7+Tax!Y27</f>
        <v>48.5960447702509</v>
      </c>
      <c r="CB10" s="13" t="n">
        <f aca="false">Waterfall!Z7+Tax!Z27</f>
        <v>49.2229803099409</v>
      </c>
      <c r="CC10" s="13" t="n">
        <f aca="false">Waterfall!AA7+Tax!AA27</f>
        <v>48.8253867406703</v>
      </c>
      <c r="CD10" s="13" t="n">
        <f aca="false">Waterfall!AB7+Tax!AB27</f>
        <v>49.3835775788159</v>
      </c>
      <c r="CE10" s="13" t="n">
        <f aca="false">Waterfall!AC7+Tax!AC27</f>
        <v>49.1876124672884</v>
      </c>
      <c r="CF10" s="13" t="n">
        <f aca="false">Waterfall!AD7+Tax!AD27</f>
        <v>51.1155058963315</v>
      </c>
      <c r="CG10" s="13" t="n">
        <f aca="false">Waterfall!AE7+Tax!AE27</f>
        <v>51.192947504572</v>
      </c>
      <c r="CH10" s="13" t="n">
        <f aca="false">Waterfall!AF7+Tax!AF27</f>
        <v>51.3075737376704</v>
      </c>
      <c r="CI10" s="13" t="n">
        <f aca="false">Waterfall!AG7+Tax!AG27</f>
        <v>50.9382106331753</v>
      </c>
      <c r="CJ10" s="13" t="n">
        <f aca="false">Waterfall!AH7+Tax!AH27</f>
        <v>51.5908666167934</v>
      </c>
      <c r="CK10" s="13" t="n">
        <f aca="false">Waterfall!AI7+Tax!AI27</f>
        <v>51.1871420212456</v>
      </c>
      <c r="CL10" s="13" t="n">
        <f aca="false">Waterfall!AJ7+Tax!AJ27</f>
        <v>51.7635948754492</v>
      </c>
      <c r="CM10" s="13" t="n">
        <f aca="false">Waterfall!AK7+Tax!AK27</f>
        <v>51.5318772876636</v>
      </c>
      <c r="CN10" s="13" t="n">
        <f aca="false">Waterfall!AL7+Tax!AL27</f>
        <v>52.6399715336902</v>
      </c>
      <c r="CO10" s="13" t="n">
        <f aca="false">Waterfall!AM7+Tax!AM27</f>
        <v>52.265252172603</v>
      </c>
      <c r="CP10" s="13" t="n">
        <f aca="false">Waterfall!AN7+Tax!AN27</f>
        <v>50.3930967909948</v>
      </c>
      <c r="CQ10" s="13" t="n">
        <f aca="false">Waterfall!AO7+Tax!AO27</f>
        <v>50.0217170722041</v>
      </c>
      <c r="CR10" s="13" t="n">
        <f aca="false">Waterfall!AP7+Tax!AP27</f>
        <v>50.702319691815</v>
      </c>
      <c r="CS10" s="13" t="n">
        <f aca="false">Waterfall!AQ7+Tax!AQ27</f>
        <v>50.2919304728272</v>
      </c>
      <c r="CT10" s="13" t="n">
        <f aca="false">Waterfall!AR7+Tax!AR27</f>
        <v>50.8881076640919</v>
      </c>
      <c r="CU10" s="13" t="n">
        <f aca="false">Waterfall!AS7+Tax!AS27</f>
        <v>50.7093555656373</v>
      </c>
      <c r="CV10" s="13" t="n">
        <f aca="false">Waterfall!AT7+Tax!AT27</f>
        <v>53.0497134479849</v>
      </c>
      <c r="CW10" s="13" t="n">
        <f aca="false">Waterfall!AU7+Tax!AU27</f>
        <v>53.1371887454256</v>
      </c>
      <c r="CX10" s="13" t="n">
        <f aca="false">Waterfall!AV7+Tax!AV27</f>
        <v>53.1720320478835</v>
      </c>
      <c r="CY10" s="13" t="n">
        <f aca="false">Waterfall!AW7+Tax!AW27</f>
        <v>52.7929875253377</v>
      </c>
      <c r="CZ10" s="13" t="n">
        <f aca="false">Waterfall!AX7+Tax!AX27</f>
        <v>53.503957558971</v>
      </c>
      <c r="DA10" s="13" t="n">
        <f aca="false">Waterfall!AY7+Tax!AY27</f>
        <v>53.0863232713409</v>
      </c>
      <c r="DB10" s="13" t="n">
        <f aca="false">Waterfall!AZ7+Tax!AZ27</f>
        <v>53.7038062159483</v>
      </c>
      <c r="DC10" s="13" t="n">
        <f aca="false">Waterfall!BA7+Tax!BA27</f>
        <v>53.4815157614536</v>
      </c>
      <c r="DD10" s="13" t="n">
        <f aca="false">Waterfall!BB7+Tax!BB27</f>
        <v>54.7598056002912</v>
      </c>
      <c r="DE10" s="13" t="n">
        <f aca="false">Waterfall!BC7+Tax!BC27</f>
        <v>54.3657212953692</v>
      </c>
      <c r="DF10" s="13" t="n">
        <f aca="false">Waterfall!BD7+Tax!BD27</f>
        <v>52.0651755678318</v>
      </c>
      <c r="DG10" s="13" t="n">
        <f aca="false">Waterfall!BE7+Tax!BE27</f>
        <v>51.6847720204747</v>
      </c>
      <c r="DH10" s="13" t="n">
        <f aca="false">Waterfall!BF7+Tax!BF27</f>
        <v>52.4287419694145</v>
      </c>
      <c r="DI10" s="13" t="n">
        <f aca="false">Waterfall!BG7+Tax!BG27</f>
        <v>52.0032311892443</v>
      </c>
      <c r="DJ10" s="13" t="n">
        <f aca="false">Waterfall!BH7+Tax!BH27</f>
        <v>52.6437302498319</v>
      </c>
      <c r="DK10" s="13" t="n">
        <f aca="false">Waterfall!BI7+Tax!BI27</f>
        <v>52.4858875916069</v>
      </c>
      <c r="DL10" s="13" t="n">
        <f aca="false">Waterfall!BJ7+Tax!BJ27</f>
        <v>55.3176461427923</v>
      </c>
      <c r="DM10" s="13" t="n">
        <f aca="false">Waterfall!BK7+Tax!BK27</f>
        <v>55.4170820525334</v>
      </c>
      <c r="DN10" s="13" t="n">
        <f aca="false">Waterfall!BL7+Tax!BL27</f>
        <v>56.0569319853605</v>
      </c>
      <c r="DO10" s="13" t="n">
        <f aca="false">Waterfall!BM7+Tax!BM27</f>
        <v>41.0678972440974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-209.605030001468</v>
      </c>
      <c r="BT11" s="13" t="n">
        <f aca="false">BS11+BT8</f>
        <v>-209.605030001468</v>
      </c>
      <c r="BU11" s="13" t="n">
        <f aca="false">BT11+BU8</f>
        <v>-173.141400403341</v>
      </c>
      <c r="BV11" s="13" t="n">
        <f aca="false">BU11+BV8</f>
        <v>-160.606193701758</v>
      </c>
      <c r="BW11" s="13" t="n">
        <f aca="false">BV11+BW8</f>
        <v>-149.027649517261</v>
      </c>
      <c r="BX11" s="13" t="n">
        <f aca="false">BW11+BX8</f>
        <v>-136.21924710641</v>
      </c>
      <c r="BY11" s="13" t="n">
        <f aca="false">BX11+BY8</f>
        <v>-122.672835072984</v>
      </c>
      <c r="BZ11" s="13" t="n">
        <f aca="false">BY11+BZ8</f>
        <v>-110.283337376179</v>
      </c>
      <c r="CA11" s="13" t="n">
        <f aca="false">BZ11+CA8</f>
        <v>-98.6727257198149</v>
      </c>
      <c r="CB11" s="13" t="n">
        <f aca="false">CA11+CB8</f>
        <v>-86.3675012085952</v>
      </c>
      <c r="CC11" s="13" t="n">
        <f aca="false">CB11+CC8</f>
        <v>-80.6297320867644</v>
      </c>
      <c r="CD11" s="13" t="n">
        <f aca="false">CC11+CD8</f>
        <v>-73.9734512106944</v>
      </c>
      <c r="CE11" s="13" t="n">
        <f aca="false">CD11+CE8</f>
        <v>-67.6876714585392</v>
      </c>
      <c r="CF11" s="13" t="n">
        <f aca="false">CE11+CF8</f>
        <v>-60.0886019827771</v>
      </c>
      <c r="CG11" s="13" t="n">
        <f aca="false">CF11+CG8</f>
        <v>-51.931439157602</v>
      </c>
      <c r="CH11" s="13" t="n">
        <f aca="false">CG11+CH8</f>
        <v>-42.9627692186246</v>
      </c>
      <c r="CI11" s="13" t="n">
        <f aca="false">CH11+CI8</f>
        <v>-33.6201093861235</v>
      </c>
      <c r="CJ11" s="13" t="n">
        <f aca="false">CI11+CJ8</f>
        <v>-22.968228242404</v>
      </c>
      <c r="CK11" s="13" t="n">
        <f aca="false">CJ11+CK8</f>
        <v>-11.5048687509776</v>
      </c>
      <c r="CL11" s="13" t="n">
        <f aca="false">CK11+CL8</f>
        <v>1.75254681691631</v>
      </c>
      <c r="CM11" s="13" t="n">
        <f aca="false">CL11+CM8</f>
        <v>23.6084760884646</v>
      </c>
      <c r="CN11" s="13" t="n">
        <f aca="false">CM11+CN8</f>
        <v>56.7472608323485</v>
      </c>
      <c r="CO11" s="13" t="n">
        <f aca="false">CN11+CO8</f>
        <v>89.8180980575598</v>
      </c>
      <c r="CP11" s="13" t="n">
        <f aca="false">CO11+CP8</f>
        <v>121.821422848307</v>
      </c>
      <c r="CQ11" s="13" t="n">
        <f aca="false">CP11+CQ8</f>
        <v>165.600430073029</v>
      </c>
      <c r="CR11" s="13" t="n">
        <f aca="false">CQ11+CR8</f>
        <v>206.928185841725</v>
      </c>
      <c r="CS11" s="13" t="n">
        <f aca="false">CR11+CS8</f>
        <v>247.355799603613</v>
      </c>
      <c r="CT11" s="13" t="n">
        <f aca="false">CS11+CT8</f>
        <v>288.355388018378</v>
      </c>
      <c r="CU11" s="13" t="n">
        <f aca="false">CT11+CU8</f>
        <v>329.098050743291</v>
      </c>
      <c r="CV11" s="13" t="n">
        <f aca="false">CU11+CV8</f>
        <v>376.585514004565</v>
      </c>
      <c r="CW11" s="13" t="n">
        <f aca="false">CV11+CW8</f>
        <v>419.636149940374</v>
      </c>
      <c r="CX11" s="13" t="n">
        <f aca="false">CW11+CX8</f>
        <v>462.76462378603</v>
      </c>
      <c r="CY11" s="13" t="n">
        <f aca="false">CX11+CY8</f>
        <v>505.467291715358</v>
      </c>
      <c r="CZ11" s="13" t="n">
        <f aca="false">CY11+CZ8</f>
        <v>548.825086697649</v>
      </c>
      <c r="DA11" s="13" t="n">
        <f aca="false">CZ11+DA8</f>
        <v>591.73263641807</v>
      </c>
      <c r="DB11" s="13" t="n">
        <f aca="false">DA11+DB8</f>
        <v>635.231583064467</v>
      </c>
      <c r="DC11" s="13" t="n">
        <f aca="false">DB11+DC8</f>
        <v>677.944508387384</v>
      </c>
      <c r="DD11" s="13" t="n">
        <f aca="false">DC11+DD8</f>
        <v>721.89142787449</v>
      </c>
      <c r="DE11" s="13" t="n">
        <f aca="false">DD11+DE8</f>
        <v>762.428799160327</v>
      </c>
      <c r="DF11" s="13" t="n">
        <f aca="false">DE11+DF8</f>
        <v>796.815596430451</v>
      </c>
      <c r="DG11" s="13" t="n">
        <f aca="false">DF11+DG8</f>
        <v>830.754659590499</v>
      </c>
      <c r="DH11" s="13" t="n">
        <f aca="false">DG11+DH8</f>
        <v>865.359628488462</v>
      </c>
      <c r="DI11" s="13" t="n">
        <f aca="false">DH11+DI8</f>
        <v>899.487085144639</v>
      </c>
      <c r="DJ11" s="13" t="n">
        <f aca="false">DI11+DJ8</f>
        <v>934.209583882002</v>
      </c>
      <c r="DK11" s="13" t="n">
        <f aca="false">DJ11+DK8</f>
        <v>968.663403712012</v>
      </c>
      <c r="DL11" s="13" t="n">
        <f aca="false">DK11+DL8</f>
        <v>1011.13717659298</v>
      </c>
      <c r="DM11" s="13" t="n">
        <f aca="false">DL11+DM8</f>
        <v>1048.34377015477</v>
      </c>
      <c r="DN11" s="13" t="n">
        <f aca="false">DM11+DN8</f>
        <v>1086.2265165927</v>
      </c>
      <c r="DO11" s="13" t="n">
        <f aca="false">DN11+DO8</f>
        <v>1139.92512575547</v>
      </c>
      <c r="DP11" s="13" t="n">
        <f aca="false">DO11+DP8</f>
        <v>1139.92512575547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0.127490290204612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0.107670761239385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0.113425758381769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-52.0727099497753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0.450935321178795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1.52522086699952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1.39946289395333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1.8166109198407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0.127490290204612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0.107670761239385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-52.0727099497753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2026-10-03T23:43:51Z</dcterms:created>
  <dc:creator>openpyxl</dc:creator>
  <dc:description/>
  <dc:language>en-US</dc:language>
  <cp:lastModifiedBy/>
  <dcterms:modified xsi:type="dcterms:W3CDTF">2026-10-03T23:43:52Z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