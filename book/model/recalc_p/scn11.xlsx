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0.01921417366754289</v>
      </c>
      <c r="R299" s="6" t="n">
        <v>0.02157269950645734</v>
      </c>
      <c r="S299" s="6" t="n">
        <v>0.02283740847623811</v>
      </c>
      <c r="T299" s="6" t="n">
        <v>0.02458937441572511</v>
      </c>
      <c r="U299" s="6" t="n">
        <v>0.02566745112012972</v>
      </c>
      <c r="V299" s="6" t="n">
        <v>0.02752446381791911</v>
      </c>
      <c r="W299" s="6" t="n">
        <v>0.02990797894283567</v>
      </c>
      <c r="X299" s="6" t="n">
        <v>0.03198133257590892</v>
      </c>
      <c r="Y299" s="6" t="n">
        <v>0.0284421046120348</v>
      </c>
      <c r="Z299" s="6" t="n">
        <v>0.0304883783875258</v>
      </c>
      <c r="AA299" s="6" t="n">
        <v>0.03142433609032401</v>
      </c>
      <c r="AB299" s="6" t="n">
        <v>0.03370679972173535</v>
      </c>
      <c r="AC299" s="6" t="n">
        <v>0.03510603390811671</v>
      </c>
      <c r="AD299" s="6" t="n">
        <v>0.03753764662313459</v>
      </c>
      <c r="AE299" s="6" t="n">
        <v>0.04194862089003002</v>
      </c>
      <c r="AF299" s="6" t="n">
        <v>0.04510869970601768</v>
      </c>
      <c r="AG299" s="6" t="n">
        <v>0.0455134680115367</v>
      </c>
      <c r="AH299" s="6" t="n">
        <v>0.04875435850040231</v>
      </c>
      <c r="AI299" s="6" t="n">
        <v>0.05086119220467461</v>
      </c>
      <c r="AJ299" s="6" t="n">
        <v>0.05423126140990044</v>
      </c>
      <c r="AK299" s="6" t="n">
        <v>0.05642261454693288</v>
      </c>
      <c r="AL299" s="6" t="n">
        <v>0.05995332960660026</v>
      </c>
      <c r="AM299" s="6" t="n">
        <v>0.06365654050982973</v>
      </c>
      <c r="AN299" s="6" t="n">
        <v>0.06767953112917635</v>
      </c>
      <c r="AO299" s="6" t="n">
        <v>0.06587020161927079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0.007128942240394664</v>
      </c>
      <c r="Y300" s="6" t="n">
        <v>0.01135069474925833</v>
      </c>
      <c r="Z300" s="6" t="n">
        <v>0.01350996608273518</v>
      </c>
      <c r="AA300" s="6" t="n">
        <v>0.01370199284980906</v>
      </c>
      <c r="AB300" s="6" t="n">
        <v>0.01578069269993389</v>
      </c>
      <c r="AC300" s="6" t="n">
        <v>0.01627456561789091</v>
      </c>
      <c r="AD300" s="6" t="n">
        <v>0.01821015878564587</v>
      </c>
      <c r="AE300" s="6" t="n">
        <v>0.02166148064467311</v>
      </c>
      <c r="AF300" s="6" t="n">
        <v>0.02424153111889893</v>
      </c>
      <c r="AG300" s="6" t="n">
        <v>0.02462584406453995</v>
      </c>
      <c r="AH300" s="6" t="n">
        <v>0.02713415659998876</v>
      </c>
      <c r="AI300" s="6" t="n">
        <v>0.02793654915128947</v>
      </c>
      <c r="AJ300" s="6" t="n">
        <v>0.03038690403972586</v>
      </c>
      <c r="AK300" s="6" t="n">
        <v>0.03127209105052551</v>
      </c>
      <c r="AL300" s="6" t="n">
        <v>0.03363377355246962</v>
      </c>
      <c r="AM300" s="6" t="n">
        <v>0.0359172051405813</v>
      </c>
      <c r="AN300" s="6" t="n">
        <v>0.03859177597777853</v>
      </c>
      <c r="AO300" s="6" t="n">
        <v>0.03506482728766249</v>
      </c>
      <c r="AP300" s="6" t="n">
        <v>0.09396239592736523</v>
      </c>
      <c r="AQ300" s="6" t="n">
        <v>0.0853801436619559</v>
      </c>
      <c r="AR300" s="6" t="n">
        <v>0.08983408186377174</v>
      </c>
      <c r="AS300" s="6" t="n">
        <v>0.0918858686342667</v>
      </c>
      <c r="AT300" s="6" t="n">
        <v>0.09627021746091165</v>
      </c>
      <c r="AU300" s="6" t="n">
        <v>0.1162441407979283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J79+Construction!J14*(Construction!J32+Construction!J38+Inputs!$F$107/12+Inputs!J309*(Inputs!$F$97/100/12-Construction!J17/100*Construction!J11/Inputs!$F$247)+Inputs!$F$99*Inputs!$F$100/100*Construction!J11/Inputs!$F$247+Construction!J15*$F$17)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K79+Construction!K14*(Construction!K32+Construction!K38+Inputs!$F$107/12+Inputs!K309*(Inputs!$F$97/100/12-Construction!K17/100*Construction!K11/Inputs!$F$247)+Inputs!$F$99*Inputs!$F$100/100*Construction!K11/Inputs!$F$247+Construction!K15*$F$17)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L79+Construction!L14*(Construction!L32+Construction!L38+Inputs!$F$107/12+Inputs!L309*(Inputs!$F$97/100/12-Construction!L17/100*Construction!L11/Inputs!$F$247)+Inputs!$F$99*Inputs!$F$100/100*Construction!L11/Inputs!$F$247+Construction!L15*$F$17)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M79+Construction!M14*(Construction!M32+Construction!M38+Inputs!$F$107/12+Inputs!M309*(Inputs!$F$97/100/12-Construction!M17/100*Construction!M11/Inputs!$F$247)+Inputs!$F$99*Inputs!$F$100/100*Construction!M11/Inputs!$F$247+Construction!M15*$F$17)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N79+Construction!N14*(Construction!N32+Construction!N38+Inputs!$F$107/12+Inputs!N309*(Inputs!$F$97/100/12-Construction!N17/100*Construction!N11/Inputs!$F$247)+Inputs!$F$99*Inputs!$F$100/100*Construction!N11/Inputs!$F$247+Construction!N15*$F$17)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O79+Construction!O14*(Construction!O32+Construction!O38+Inputs!$F$107/12+Inputs!O309*(Inputs!$F$97/100/12-Construction!O17/100*Construction!O11/Inputs!$F$247)+Inputs!$F$99*Inputs!$F$100/100*Construction!O11/Inputs!$F$247+Construction!O15*$F$17)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P79+Construction!P14*(Construction!P32+Construction!P38+Inputs!$F$107/12+Inputs!P309*(Inputs!$F$97/100/12-Construction!P17/100*Construction!P11/Inputs!$F$247)+Inputs!$F$99*Inputs!$F$100/100*Construction!P11/Inputs!$F$247+Construction!P15*$F$17)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Q79+Construction!Q14*(Construction!Q32+Construction!Q38+Inputs!$F$107/12+Inputs!Q309*(Inputs!$F$97/100/12-Construction!Q17/100*Construction!Q11/Inputs!$F$247)+Inputs!$F$99*Inputs!$F$100/100*Construction!Q11/Inputs!$F$247+Construction!Q15*$F$17)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R79+Construction!R14*(Construction!R32+Construction!R38+Inputs!$F$107/12+Inputs!R309*(Inputs!$F$97/100/12-Construction!R17/100*Construction!R11/Inputs!$F$247)+Inputs!$F$99*Inputs!$F$100/100*Construction!R11/Inputs!$F$247+Construction!R15*$F$17)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S79+Construction!S14*(Construction!S32+Construction!S38+Inputs!$F$107/12+Inputs!S309*(Inputs!$F$97/100/12-Construction!S17/100*Construction!S11/Inputs!$F$247)+Inputs!$F$99*Inputs!$F$100/100*Construction!S11/Inputs!$F$247+Construction!S15*$F$17)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T79+Construction!T14*(Construction!T32+Construction!T38+Inputs!$F$107/12+Inputs!T309*(Inputs!$F$97/100/12-Construction!T17/100*Construction!T11/Inputs!$F$247)+Inputs!$F$99*Inputs!$F$100/100*Construction!T11/Inputs!$F$247+Construction!T15*$F$17)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U79+Construction!U14*(Construction!U32+Construction!U38+Inputs!$F$107/12+Inputs!U309*(Inputs!$F$97/100/12-Construction!U17/100*Construction!U11/Inputs!$F$247)+Inputs!$F$99*Inputs!$F$100/100*Construction!U11/Inputs!$F$247+Construction!U15*$F$17)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V79+Construction!V14*(Construction!V32+Construction!V38+Inputs!$F$107/12+Inputs!V309*(Inputs!$F$97/100/12-Construction!V17/100*Construction!V11/Inputs!$F$247)+Inputs!$F$99*Inputs!$F$100/100*Construction!V11/Inputs!$F$247+Construction!V15*$F$17)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W79+Construction!W14*(Construction!W32+Construction!W38+Inputs!$F$107/12+Inputs!W309*(Inputs!$F$97/100/12-Construction!W17/100*Construction!W11/Inputs!$F$247)+Inputs!$F$99*Inputs!$F$100/100*Construction!W11/Inputs!$F$247+Construction!W15*$F$17)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X79+Construction!X14*(Construction!X32+Construction!X38+Inputs!$F$107/12+Inputs!X309*(Inputs!$F$97/100/12-Construction!X17/100*Construction!X11/Inputs!$F$247)+Inputs!$F$99*Inputs!$F$100/100*Construction!X11/Inputs!$F$247+Construction!X15*$F$17)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Y79+Construction!Y14*(Construction!Y32+Construction!Y38+Inputs!$F$107/12+Inputs!Y309*(Inputs!$F$97/100/12-Construction!Y17/100*Construction!Y11/Inputs!$F$247)+Inputs!$F$99*Inputs!$F$100/100*Construction!Y11/Inputs!$F$247+Construction!Y15*$F$17)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Z79+Construction!Z14*(Construction!Z32+Construction!Z38+Inputs!$F$107/12+Inputs!Z309*(Inputs!$F$97/100/12-Construction!Z17/100*Construction!Z11/Inputs!$F$247)+Inputs!$F$99*Inputs!$F$100/100*Construction!Z11/Inputs!$F$247+Construction!Z15*$F$17)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AA79+Construction!AA14*(Construction!AA32+Construction!AA38+Inputs!$F$107/12+Inputs!AA309*(Inputs!$F$97/100/12-Construction!AA17/100*Construction!AA11/Inputs!$F$247)+Inputs!$F$99*Inputs!$F$100/100*Construction!AA11/Inputs!$F$247+Construction!AA15*$F$17)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AB79+Construction!AB14*(Construction!AB32+Construction!AB38+Inputs!$F$107/12+Inputs!AB309*(Inputs!$F$97/100/12-Construction!AB17/100*Construction!AB11/Inputs!$F$247)+Inputs!$F$99*Inputs!$F$100/100*Construction!AB11/Inputs!$F$247+Construction!AB15*$F$17)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AC79+Construction!AC14*(Construction!AC32+Construction!AC38+Inputs!$F$107/12+Inputs!AC309*(Inputs!$F$97/100/12-Construction!AC17/100*Construction!AC11/Inputs!$F$247)+Inputs!$F$99*Inputs!$F$100/100*Construction!AC11/Inputs!$F$247+Construction!AC15*$F$17)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AD79+Construction!AD14*(Construction!AD32+Construction!AD38+Inputs!$F$107/12+Inputs!AD309*(Inputs!$F$97/100/12-Construction!AD17/100*Construction!AD11/Inputs!$F$247)+Inputs!$F$99*Inputs!$F$100/100*Construction!AD11/Inputs!$F$247+Construction!AD15*$F$17)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AE79+Construction!AE14*(Construction!AE32+Construction!AE38+Inputs!$F$107/12+Inputs!AE309*(Inputs!$F$97/100/12-Construction!AE17/100*Construction!AE11/Inputs!$F$247)+Inputs!$F$99*Inputs!$F$100/100*Construction!AE11/Inputs!$F$247+Construction!AE15*$F$17)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AF79+Construction!AF14*(Construction!AF32+Construction!AF38+Inputs!$F$107/12+Inputs!AF309*(Inputs!$F$97/100/12-Construction!AF17/100*Construction!AF11/Inputs!$F$247)+Inputs!$F$99*Inputs!$F$100/100*Construction!AF11/Inputs!$F$247+Construction!AF15*$F$17)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AG79+Construction!AG14*(Construction!AG32+Construction!AG38+Inputs!$F$107/12+Inputs!AG309*(Inputs!$F$97/100/12-Construction!AG17/100*Construction!AG11/Inputs!$F$247)+Inputs!$F$99*Inputs!$F$100/100*Construction!AG11/Inputs!$F$247+Construction!AG15*$F$17)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AH79+Construction!AH14*(Construction!AH32+Construction!AH38+Inputs!$F$107/12+Inputs!AH309*(Inputs!$F$97/100/12-Construction!AH17/100*Construction!AH11/Inputs!$F$247)+Inputs!$F$99*Inputs!$F$100/100*Construction!AH11/Inputs!$F$247+Construction!AH15*$F$17)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AI79+Construction!AI14*(Construction!AI32+Construction!AI38+Inputs!$F$107/12+Inputs!AI309*(Inputs!$F$97/100/12-Construction!AI17/100*Construction!AI11/Inputs!$F$247)+Inputs!$F$99*Inputs!$F$100/100*Construction!AI11/Inputs!$F$247+Construction!AI15*$F$17)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AJ79+Construction!AJ14*(Construction!AJ32+Construction!AJ38+Inputs!$F$107/12+Inputs!AJ309*(Inputs!$F$97/100/12-Construction!AJ17/100*Construction!AJ11/Inputs!$F$247)+Inputs!$F$99*Inputs!$F$100/100*Construction!AJ11/Inputs!$F$247+Construction!AJ15*$F$17)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AK79+Construction!AK14*(Construction!AK32+Construction!AK38+Inputs!$F$107/12+Inputs!AK309*(Inputs!$F$97/100/12-Construction!AK17/100*Construction!AK11/Inputs!$F$247)+Inputs!$F$99*Inputs!$F$100/100*Construction!AK11/Inputs!$F$247+Construction!AK15*$F$17)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AL79+Construction!AL14*(Construction!AL32+Construction!AL38+Inputs!$F$107/12+Inputs!AL309*(Inputs!$F$97/100/12-Construction!AL17/100*Construction!AL11/Inputs!$F$247)+Inputs!$F$99*Inputs!$F$100/100*Construction!AL11/Inputs!$F$247+Construction!AL15*$F$17)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AM79+Construction!AM14*(Construction!AM32+Construction!AM38+Inputs!$F$107/12+Inputs!AM309*(Inputs!$F$97/100/12-Construction!AM17/100*Construction!AM11/Inputs!$F$247)+Inputs!$F$99*Inputs!$F$100/100*Construction!AM11/Inputs!$F$247+Construction!AM15*$F$17)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AN79+Construction!AN14*(Construction!AN32+Construction!AN38+Inputs!$F$107/12+Inputs!AN309*(Inputs!$F$97/100/12-Construction!AN17/100*Construction!AN11/Inputs!$F$247)+Inputs!$F$99*Inputs!$F$100/100*Construction!AN11/Inputs!$F$247+Construction!AN15*$F$17)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AO79+Construction!AO14*(Construction!AO32+Construction!AO38+Inputs!$F$107/12+Inputs!AO309*(Inputs!$F$97/100/12-Construction!AO17/100*Construction!AO11/Inputs!$F$247)+Inputs!$F$99*Inputs!$F$100/100*Construction!AO11/Inputs!$F$247+Construction!AO15*$F$17)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AP79+Construction!AP14*(Construction!AP32+Construction!AP38+Inputs!$F$107/12+Inputs!AP309*(Inputs!$F$97/100/12-Construction!AP17/100*Construction!AP11/Inputs!$F$247)+Inputs!$F$99*Inputs!$F$100/100*Construction!AP11/Inputs!$F$247+Construction!AP15*$F$17)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AQ79+Construction!AQ14*(Construction!AQ32+Construction!AQ38+Inputs!$F$107/12+Inputs!AQ309*(Inputs!$F$97/100/12-Construction!AQ17/100*Construction!AQ11/Inputs!$F$247)+Inputs!$F$99*Inputs!$F$100/100*Construction!AQ11/Inputs!$F$247+Construction!AQ15*$F$17)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AR79+Construction!AR14*(Construction!AR32+Construction!AR38+Inputs!$F$107/12+Inputs!AR309*(Inputs!$F$97/100/12-Construction!AR17/100*Construction!AR11/Inputs!$F$247)+Inputs!$F$99*Inputs!$F$100/100*Construction!AR11/Inputs!$F$247+Construction!AR15*$F$17)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AS79+Construction!AS14*(Construction!AS32+Construction!AS38+Inputs!$F$107/12+Inputs!AS309*(Inputs!$F$97/100/12-Construction!AS17/100*Construction!AS11/Inputs!$F$247)+Inputs!$F$99*Inputs!$F$100/100*Construction!AS11/Inputs!$F$247+Construction!AS15*$F$17)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AT79+Construction!AT14*(Construction!AT32+Construction!AT38+Inputs!$F$107/12+Inputs!AT309*(Inputs!$F$97/100/12-Construction!AT17/100*Construction!AT11/Inputs!$F$247)+Inputs!$F$99*Inputs!$F$100/100*Construction!AT11/Inputs!$F$247+Construction!AT15*$F$17)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AU79+Construction!AU14*(Construction!AU32+Construction!AU38+Inputs!$F$107/12+Inputs!AU309*(Inputs!$F$97/100/12-Construction!AU17/100*Construction!AU11/Inputs!$F$247)+Inputs!$F$99*Inputs!$F$100/100*Construction!AU11/Inputs!$F$247+Construction!AU15*$F$17)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AV79+Construction!AV14*(Construction!AV32+Construction!AV38+Inputs!$F$107/12+Inputs!AV309*(Inputs!$F$97/100/12-Construction!AV17/100*Construction!AV11/Inputs!$F$247)+Inputs!$F$99*Inputs!$F$100/100*Construction!AV11/Inputs!$F$247+Construction!AV15*$F$17)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AW79+Construction!AW14*(Construction!AW32+Construction!AW38+Inputs!$F$107/12+Inputs!AW309*(Inputs!$F$97/100/12-Construction!AW17/100*Construction!AW11/Inputs!$F$247)+Inputs!$F$99*Inputs!$F$100/100*Construction!AW11/Inputs!$F$247+Construction!AW15*$F$17)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AX79+Construction!AX14*(Construction!AX32+Construction!AX38+Inputs!$F$107/12+Inputs!AX309*(Inputs!$F$97/100/12-Construction!AX17/100*Construction!AX11/Inputs!$F$247)+Inputs!$F$99*Inputs!$F$100/100*Construction!AX11/Inputs!$F$247+Construction!AX15*$F$17)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AY79+Construction!AY14*(Construction!AY32+Construction!AY38+Inputs!$F$107/12+Inputs!AY309*(Inputs!$F$97/100/12-Construction!AY17/100*Construction!AY11/Inputs!$F$247)+Inputs!$F$99*Inputs!$F$100/100*Construction!AY11/Inputs!$F$247+Construction!AY15*$F$17)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AZ79+Construction!AZ14*(Construction!AZ32+Construction!AZ38+Inputs!$F$107/12+Inputs!AZ309*(Inputs!$F$97/100/12-Construction!AZ17/100*Construction!AZ11/Inputs!$F$247)+Inputs!$F$99*Inputs!$F$100/100*Construction!AZ11/Inputs!$F$247+Construction!AZ15*$F$17)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BA79+Construction!BA14*(Construction!BA32+Construction!BA38+Inputs!$F$107/12+Inputs!BA309*(Inputs!$F$97/100/12-Construction!BA17/100*Construction!BA11/Inputs!$F$247)+Inputs!$F$99*Inputs!$F$100/100*Construction!BA11/Inputs!$F$247+Construction!BA15*$F$17)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BB79+Construction!BB14*(Construction!BB32+Construction!BB38+Inputs!$F$107/12+Inputs!BB309*(Inputs!$F$97/100/12-Construction!BB17/100*Construction!BB11/Inputs!$F$247)+Inputs!$F$99*Inputs!$F$100/100*Construction!BB11/Inputs!$F$247+Construction!BB15*$F$17)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BC79+Construction!BC14*(Construction!BC32+Construction!BC38+Inputs!$F$107/12+Inputs!BC309*(Inputs!$F$97/100/12-Construction!BC17/100*Construction!BC11/Inputs!$F$247)+Inputs!$F$99*Inputs!$F$100/100*Construction!BC11/Inputs!$F$247+Construction!BC15*$F$17)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BD79+Construction!BD14*(Construction!BD32+Construction!BD38+Inputs!$F$107/12+Inputs!BD309*(Inputs!$F$97/100/12-Construction!BD17/100*Construction!BD11/Inputs!$F$247)+Inputs!$F$99*Inputs!$F$100/100*Construction!BD11/Inputs!$F$247+Construction!BD15*$F$17)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BE79+Construction!BE14*(Construction!BE32+Construction!BE38+Inputs!$F$107/12+Inputs!BE309*(Inputs!$F$97/100/12-Construction!BE17/100*Construction!BE11/Inputs!$F$247)+Inputs!$F$99*Inputs!$F$100/100*Construction!BE11/Inputs!$F$247+Construction!BE15*$F$17)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BF79+Construction!BF14*(Construction!BF32+Construction!BF38+Inputs!$F$107/12+Inputs!BF309*(Inputs!$F$97/100/12-Construction!BF17/100*Construction!BF11/Inputs!$F$247)+Inputs!$F$99*Inputs!$F$100/100*Construction!BF11/Inputs!$F$247+Construction!BF15*$F$17)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BG79+Construction!BG14*(Construction!BG32+Construction!BG38+Inputs!$F$107/12+Inputs!BG309*(Inputs!$F$97/100/12-Construction!BG17/100*Construction!BG11/Inputs!$F$247)+Inputs!$F$99*Inputs!$F$100/100*Construction!BG11/Inputs!$F$247+Construction!BG15*$F$17)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BH79+Construction!BH14*(Construction!BH32+Construction!BH38+Inputs!$F$107/12+Inputs!BH309*(Inputs!$F$97/100/12-Construction!BH17/100*Construction!BH11/Inputs!$F$247)+Inputs!$F$99*Inputs!$F$100/100*Construction!BH11/Inputs!$F$247+Construction!BH15*$F$17)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BI79+Construction!BI14*(Construction!BI32+Construction!BI38+Inputs!$F$107/12+Inputs!BI309*(Inputs!$F$97/100/12-Construction!BI17/100*Construction!BI11/Inputs!$F$247)+Inputs!$F$99*Inputs!$F$100/100*Construction!BI11/Inputs!$F$247+Construction!BI15*$F$17)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BJ79+Construction!BJ14*(Construction!BJ32+Construction!BJ38+Inputs!$F$107/12+Inputs!BJ309*(Inputs!$F$97/100/12-Construction!BJ17/100*Construction!BJ11/Inputs!$F$247)+Inputs!$F$99*Inputs!$F$100/100*Construction!BJ11/Inputs!$F$247+Construction!BJ15*$F$17)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Construction!J14*(Construction!J32+Construction!J38)+J33+J34+J35+J36+J37+J38+J39+J40+J41+J42+J43+J44+J79</f>
        <v/>
      </c>
      <c r="K45" s="13">
        <f>Construction!K14*(Construction!K32+Construction!K38)+K33+K34+K35+K36+K37+K38+K39+K40+K41+K42+K43+K44+K79</f>
        <v/>
      </c>
      <c r="L45" s="13">
        <f>Construction!L14*(Construction!L32+Construction!L38)+L33+L34+L35+L36+L37+L38+L39+L40+L41+L42+L43+L44+L79</f>
        <v/>
      </c>
      <c r="M45" s="13">
        <f>Construction!M14*(Construction!M32+Construction!M38)+M33+M34+M35+M36+M37+M38+M39+M40+M41+M42+M43+M44+M79</f>
        <v/>
      </c>
      <c r="N45" s="13">
        <f>Construction!N14*(Construction!N32+Construction!N38)+N33+N34+N35+N36+N37+N38+N39+N40+N41+N42+N43+N44+N79</f>
        <v/>
      </c>
      <c r="O45" s="13">
        <f>Construction!O14*(Construction!O32+Construction!O38)+O33+O34+O35+O36+O37+O38+O39+O40+O41+O42+O43+O44+O79</f>
        <v/>
      </c>
      <c r="P45" s="13">
        <f>Construction!P14*(Construction!P32+Construction!P38)+P33+P34+P35+P36+P37+P38+P39+P40+P41+P42+P43+P44+P79</f>
        <v/>
      </c>
      <c r="Q45" s="13">
        <f>Construction!Q14*(Construction!Q32+Construction!Q38)+Q33+Q34+Q35+Q36+Q37+Q38+Q39+Q40+Q41+Q42+Q43+Q44+Q79</f>
        <v/>
      </c>
      <c r="R45" s="13">
        <f>Construction!R14*(Construction!R32+Construction!R38)+R33+R34+R35+R36+R37+R38+R39+R40+R41+R42+R43+R44+R79</f>
        <v/>
      </c>
      <c r="S45" s="13">
        <f>Construction!S14*(Construction!S32+Construction!S38)+S33+S34+S35+S36+S37+S38+S39+S40+S41+S42+S43+S44+S79</f>
        <v/>
      </c>
      <c r="T45" s="13">
        <f>Construction!T14*(Construction!T32+Construction!T38)+T33+T34+T35+T36+T37+T38+T39+T40+T41+T42+T43+T44+T79</f>
        <v/>
      </c>
      <c r="U45" s="13">
        <f>Construction!U14*(Construction!U32+Construction!U38)+U33+U34+U35+U36+U37+U38+U39+U40+U41+U42+U43+U44+U79</f>
        <v/>
      </c>
      <c r="V45" s="13">
        <f>Construction!V14*(Construction!V32+Construction!V38)+V33+V34+V35+V36+V37+V38+V39+V40+V41+V42+V43+V44+V79</f>
        <v/>
      </c>
      <c r="W45" s="13">
        <f>Construction!W14*(Construction!W32+Construction!W38)+W33+W34+W35+W36+W37+W38+W39+W40+W41+W42+W43+W44+W79</f>
        <v/>
      </c>
      <c r="X45" s="13">
        <f>Construction!X14*(Construction!X32+Construction!X38)+X33+X34+X35+X36+X37+X38+X39+X40+X41+X42+X43+X44+X79</f>
        <v/>
      </c>
      <c r="Y45" s="13">
        <f>Construction!Y14*(Construction!Y32+Construction!Y38)+Y33+Y34+Y35+Y36+Y37+Y38+Y39+Y40+Y41+Y42+Y43+Y44+Y79</f>
        <v/>
      </c>
      <c r="Z45" s="13">
        <f>Construction!Z14*(Construction!Z32+Construction!Z38)+Z33+Z34+Z35+Z36+Z37+Z38+Z39+Z40+Z41+Z42+Z43+Z44+Z79</f>
        <v/>
      </c>
      <c r="AA45" s="13">
        <f>Construction!AA14*(Construction!AA32+Construction!AA38)+AA33+AA34+AA35+AA36+AA37+AA38+AA39+AA40+AA41+AA42+AA43+AA44+AA79</f>
        <v/>
      </c>
      <c r="AB45" s="13">
        <f>Construction!AB14*(Construction!AB32+Construction!AB38)+AB33+AB34+AB35+AB36+AB37+AB38+AB39+AB40+AB41+AB42+AB43+AB44+AB79</f>
        <v/>
      </c>
      <c r="AC45" s="13">
        <f>Construction!AC14*(Construction!AC32+Construction!AC38)+AC33+AC34+AC35+AC36+AC37+AC38+AC39+AC40+AC41+AC42+AC43+AC44+AC79</f>
        <v/>
      </c>
      <c r="AD45" s="13">
        <f>Construction!AD14*(Construction!AD32+Construction!AD38)+AD33+AD34+AD35+AD36+AD37+AD38+AD39+AD40+AD41+AD42+AD43+AD44+AD79</f>
        <v/>
      </c>
      <c r="AE45" s="13">
        <f>Construction!AE14*(Construction!AE32+Construction!AE38)+AE33+AE34+AE35+AE36+AE37+AE38+AE39+AE40+AE41+AE42+AE43+AE44+AE79</f>
        <v/>
      </c>
      <c r="AF45" s="13">
        <f>Construction!AF14*(Construction!AF32+Construction!AF38)+AF33+AF34+AF35+AF36+AF37+AF38+AF39+AF40+AF41+AF42+AF43+AF44+AF79</f>
        <v/>
      </c>
      <c r="AG45" s="13">
        <f>Construction!AG14*(Construction!AG32+Construction!AG38)+AG33+AG34+AG35+AG36+AG37+AG38+AG39+AG40+AG41+AG42+AG43+AG44+AG79</f>
        <v/>
      </c>
      <c r="AH45" s="13">
        <f>Construction!AH14*(Construction!AH32+Construction!AH38)+AH33+AH34+AH35+AH36+AH37+AH38+AH39+AH40+AH41+AH42+AH43+AH44+AH79</f>
        <v/>
      </c>
      <c r="AI45" s="13">
        <f>Construction!AI14*(Construction!AI32+Construction!AI38)+AI33+AI34+AI35+AI36+AI37+AI38+AI39+AI40+AI41+AI42+AI43+AI44+AI79</f>
        <v/>
      </c>
      <c r="AJ45" s="13">
        <f>Construction!AJ14*(Construction!AJ32+Construction!AJ38)+AJ33+AJ34+AJ35+AJ36+AJ37+AJ38+AJ39+AJ40+AJ41+AJ42+AJ43+AJ44+AJ79</f>
        <v/>
      </c>
      <c r="AK45" s="13">
        <f>Construction!AK14*(Construction!AK32+Construction!AK38)+AK33+AK34+AK35+AK36+AK37+AK38+AK39+AK40+AK41+AK42+AK43+AK44+AK79</f>
        <v/>
      </c>
      <c r="AL45" s="13">
        <f>Construction!AL14*(Construction!AL32+Construction!AL38)+AL33+AL34+AL35+AL36+AL37+AL38+AL39+AL40+AL41+AL42+AL43+AL44+AL79</f>
        <v/>
      </c>
      <c r="AM45" s="13">
        <f>Construction!AM14*(Construction!AM32+Construction!AM38)+AM33+AM34+AM35+AM36+AM37+AM38+AM39+AM40+AM41+AM42+AM43+AM44+AM79</f>
        <v/>
      </c>
      <c r="AN45" s="13">
        <f>Construction!AN14*(Construction!AN32+Construction!AN38)+AN33+AN34+AN35+AN36+AN37+AN38+AN39+AN40+AN41+AN42+AN43+AN44+AN79</f>
        <v/>
      </c>
      <c r="AO45" s="13">
        <f>Construction!AO14*(Construction!AO32+Construction!AO38)+AO33+AO34+AO35+AO36+AO37+AO38+AO39+AO40+AO41+AO42+AO43+AO44+AO79</f>
        <v/>
      </c>
      <c r="AP45" s="13">
        <f>Construction!AP14*(Construction!AP32+Construction!AP38)+AP33+AP34+AP35+AP36+AP37+AP38+AP39+AP40+AP41+AP42+AP43+AP44+AP79</f>
        <v/>
      </c>
      <c r="AQ45" s="13">
        <f>Construction!AQ14*(Construction!AQ32+Construction!AQ38)+AQ33+AQ34+AQ35+AQ36+AQ37+AQ38+AQ39+AQ40+AQ41+AQ42+AQ43+AQ44+AQ79</f>
        <v/>
      </c>
      <c r="AR45" s="13">
        <f>Construction!AR14*(Construction!AR32+Construction!AR38)+AR33+AR34+AR35+AR36+AR37+AR38+AR39+AR40+AR41+AR42+AR43+AR44+AR79</f>
        <v/>
      </c>
      <c r="AS45" s="13">
        <f>Construction!AS14*(Construction!AS32+Construction!AS38)+AS33+AS34+AS35+AS36+AS37+AS38+AS39+AS40+AS41+AS42+AS43+AS44+AS79</f>
        <v/>
      </c>
      <c r="AT45" s="13">
        <f>Construction!AT14*(Construction!AT32+Construction!AT38)+AT33+AT34+AT35+AT36+AT37+AT38+AT39+AT40+AT41+AT42+AT43+AT44+AT79</f>
        <v/>
      </c>
      <c r="AU45" s="13">
        <f>Construction!AU14*(Construction!AU32+Construction!AU38)+AU33+AU34+AU35+AU36+AU37+AU38+AU39+AU40+AU41+AU42+AU43+AU44+AU79</f>
        <v/>
      </c>
      <c r="AV45" s="13">
        <f>Construction!AV14*(Construction!AV32+Construction!AV38)+AV33+AV34+AV35+AV36+AV37+AV38+AV39+AV40+AV41+AV42+AV43+AV44+AV79</f>
        <v/>
      </c>
      <c r="AW45" s="13">
        <f>Construction!AW14*(Construction!AW32+Construction!AW38)+AW33+AW34+AW35+AW36+AW37+AW38+AW39+AW40+AW41+AW42+AW43+AW44+AW79</f>
        <v/>
      </c>
      <c r="AX45" s="13">
        <f>Construction!AX14*(Construction!AX32+Construction!AX38)+AX33+AX34+AX35+AX36+AX37+AX38+AX39+AX40+AX41+AX42+AX43+AX44+AX79</f>
        <v/>
      </c>
      <c r="AY45" s="13">
        <f>Construction!AY14*(Construction!AY32+Construction!AY38)+AY33+AY34+AY35+AY36+AY37+AY38+AY39+AY40+AY41+AY42+AY43+AY44+AY79</f>
        <v/>
      </c>
      <c r="AZ45" s="13">
        <f>Construction!AZ14*(Construction!AZ32+Construction!AZ38)+AZ33+AZ34+AZ35+AZ36+AZ37+AZ38+AZ39+AZ40+AZ41+AZ42+AZ43+AZ44+AZ79</f>
        <v/>
      </c>
      <c r="BA45" s="13">
        <f>Construction!BA14*(Construction!BA32+Construction!BA38)+BA33+BA34+BA35+BA36+BA37+BA38+BA39+BA40+BA41+BA42+BA43+BA44+BA79</f>
        <v/>
      </c>
      <c r="BB45" s="13">
        <f>Construction!BB14*(Construction!BB32+Construction!BB38)+BB33+BB34+BB35+BB36+BB37+BB38+BB39+BB40+BB41+BB42+BB43+BB44+BB79</f>
        <v/>
      </c>
      <c r="BC45" s="13">
        <f>Construction!BC14*(Construction!BC32+Construction!BC38)+BC33+BC34+BC35+BC36+BC37+BC38+BC39+BC40+BC41+BC42+BC43+BC44+BC79</f>
        <v/>
      </c>
      <c r="BD45" s="13">
        <f>Construction!BD14*(Construction!BD32+Construction!BD38)+BD33+BD34+BD35+BD36+BD37+BD38+BD39+BD40+BD41+BD42+BD43+BD44+BD79</f>
        <v/>
      </c>
      <c r="BE45" s="13">
        <f>Construction!BE14*(Construction!BE32+Construction!BE38)+BE33+BE34+BE35+BE36+BE37+BE38+BE39+BE40+BE41+BE42+BE43+BE44+BE79</f>
        <v/>
      </c>
      <c r="BF45" s="13">
        <f>Construction!BF14*(Construction!BF32+Construction!BF38)+BF33+BF34+BF35+BF36+BF37+BF38+BF39+BF40+BF41+BF42+BF43+BF44+BF79</f>
        <v/>
      </c>
      <c r="BG45" s="13">
        <f>Construction!BG14*(Construction!BG32+Construction!BG38)+BG33+BG34+BG35+BG36+BG37+BG38+BG39+BG40+BG41+BG42+BG43+BG44+BG79</f>
        <v/>
      </c>
      <c r="BH45" s="13">
        <f>Construction!BH14*(Construction!BH32+Construction!BH38)+BH33+BH34+BH35+BH36+BH37+BH38+BH39+BH40+BH41+BH42+BH43+BH44+BH79</f>
        <v/>
      </c>
      <c r="BI45" s="13">
        <f>Construction!BI14*(Construction!BI32+Construction!BI38)+BI33+BI34+BI35+BI36+BI37+BI38+BI39+BI40+BI41+BI42+BI43+BI44+BI79</f>
        <v/>
      </c>
      <c r="BJ45" s="13">
        <f>Construction!BJ14*(Construction!BJ32+Construction!BJ38)+BJ33+BJ34+BJ35+BJ36+BJ37+BJ38+BJ39+BJ40+BJ41+BJ42+BJ43+BJ44+BJ79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SUM($J$49:$BJ$49)-SUM($J$44:$BJ$44)-SUM(Construction!$J$28:$BJ$28)-SUM($J$79:$BJ$79)+SUM($J$71:$BJ$71)-SUM($J$52:$BJ$52)-Inputs!$F$48*Inputs!$F$267</f>
        <v/>
      </c>
    </row>
    <row r="78">
      <c r="D78" t="inlineStr">
        <is>
          <t>COD-period operating cash shortfall before tax (working capital built in the COD period)</t>
        </is>
      </c>
      <c r="E78" t="inlineStr">
        <is>
          <t>USD m</t>
        </is>
      </c>
      <c r="F78" s="17">
        <f>MAX(0,-(INDEX(Operations!$J$84:$BN$84,1,Time!$F$12)-INDEX(Operations!$J$96:$BN$96,1,Time!$F$12)+INDEX(Operations!$J$97:$BN$97,1,Time!$F$12)-INDEX(Reserves!$J$7:$BN$7,1,Time!$F$12)+INDEX(Operations!$J$79:$BN$79,1,Time!$F$12)))</f>
        <v/>
      </c>
    </row>
    <row r="79">
      <c r="D79" t="inlineStr">
        <is>
          <t>COD working-capital funding (a use in the last funding month; held in the project accounts to COD)</t>
        </is>
      </c>
      <c r="E79" t="inlineStr">
        <is>
          <t>USD m</t>
        </is>
      </c>
      <c r="G79" s="13">
        <f>SUM(J79:BJ79)</f>
        <v/>
      </c>
      <c r="J79" s="13">
        <f>IF(Construction!J8=Time!$F$14,$F$78,0)</f>
        <v/>
      </c>
      <c r="K79" s="13">
        <f>IF(Construction!K8=Time!$F$14,$F$78,0)</f>
        <v/>
      </c>
      <c r="L79" s="13">
        <f>IF(Construction!L8=Time!$F$14,$F$78,0)</f>
        <v/>
      </c>
      <c r="M79" s="13">
        <f>IF(Construction!M8=Time!$F$14,$F$78,0)</f>
        <v/>
      </c>
      <c r="N79" s="13">
        <f>IF(Construction!N8=Time!$F$14,$F$78,0)</f>
        <v/>
      </c>
      <c r="O79" s="13">
        <f>IF(Construction!O8=Time!$F$14,$F$78,0)</f>
        <v/>
      </c>
      <c r="P79" s="13">
        <f>IF(Construction!P8=Time!$F$14,$F$78,0)</f>
        <v/>
      </c>
      <c r="Q79" s="13">
        <f>IF(Construction!Q8=Time!$F$14,$F$78,0)</f>
        <v/>
      </c>
      <c r="R79" s="13">
        <f>IF(Construction!R8=Time!$F$14,$F$78,0)</f>
        <v/>
      </c>
      <c r="S79" s="13">
        <f>IF(Construction!S8=Time!$F$14,$F$78,0)</f>
        <v/>
      </c>
      <c r="T79" s="13">
        <f>IF(Construction!T8=Time!$F$14,$F$78,0)</f>
        <v/>
      </c>
      <c r="U79" s="13">
        <f>IF(Construction!U8=Time!$F$14,$F$78,0)</f>
        <v/>
      </c>
      <c r="V79" s="13">
        <f>IF(Construction!V8=Time!$F$14,$F$78,0)</f>
        <v/>
      </c>
      <c r="W79" s="13">
        <f>IF(Construction!W8=Time!$F$14,$F$78,0)</f>
        <v/>
      </c>
      <c r="X79" s="13">
        <f>IF(Construction!X8=Time!$F$14,$F$78,0)</f>
        <v/>
      </c>
      <c r="Y79" s="13">
        <f>IF(Construction!Y8=Time!$F$14,$F$78,0)</f>
        <v/>
      </c>
      <c r="Z79" s="13">
        <f>IF(Construction!Z8=Time!$F$14,$F$78,0)</f>
        <v/>
      </c>
      <c r="AA79" s="13">
        <f>IF(Construction!AA8=Time!$F$14,$F$78,0)</f>
        <v/>
      </c>
      <c r="AB79" s="13">
        <f>IF(Construction!AB8=Time!$F$14,$F$78,0)</f>
        <v/>
      </c>
      <c r="AC79" s="13">
        <f>IF(Construction!AC8=Time!$F$14,$F$78,0)</f>
        <v/>
      </c>
      <c r="AD79" s="13">
        <f>IF(Construction!AD8=Time!$F$14,$F$78,0)</f>
        <v/>
      </c>
      <c r="AE79" s="13">
        <f>IF(Construction!AE8=Time!$F$14,$F$78,0)</f>
        <v/>
      </c>
      <c r="AF79" s="13">
        <f>IF(Construction!AF8=Time!$F$14,$F$78,0)</f>
        <v/>
      </c>
      <c r="AG79" s="13">
        <f>IF(Construction!AG8=Time!$F$14,$F$78,0)</f>
        <v/>
      </c>
      <c r="AH79" s="13">
        <f>IF(Construction!AH8=Time!$F$14,$F$78,0)</f>
        <v/>
      </c>
      <c r="AI79" s="13">
        <f>IF(Construction!AI8=Time!$F$14,$F$78,0)</f>
        <v/>
      </c>
      <c r="AJ79" s="13">
        <f>IF(Construction!AJ8=Time!$F$14,$F$78,0)</f>
        <v/>
      </c>
      <c r="AK79" s="13">
        <f>IF(Construction!AK8=Time!$F$14,$F$78,0)</f>
        <v/>
      </c>
      <c r="AL79" s="13">
        <f>IF(Construction!AL8=Time!$F$14,$F$78,0)</f>
        <v/>
      </c>
      <c r="AM79" s="13">
        <f>IF(Construction!AM8=Time!$F$14,$F$78,0)</f>
        <v/>
      </c>
      <c r="AN79" s="13">
        <f>IF(Construction!AN8=Time!$F$14,$F$78,0)</f>
        <v/>
      </c>
      <c r="AO79" s="13">
        <f>IF(Construction!AO8=Time!$F$14,$F$78,0)</f>
        <v/>
      </c>
      <c r="AP79" s="13">
        <f>IF(Construction!AP8=Time!$F$14,$F$78,0)</f>
        <v/>
      </c>
      <c r="AQ79" s="13">
        <f>IF(Construction!AQ8=Time!$F$14,$F$78,0)</f>
        <v/>
      </c>
      <c r="AR79" s="13">
        <f>IF(Construction!AR8=Time!$F$14,$F$78,0)</f>
        <v/>
      </c>
      <c r="AS79" s="13">
        <f>IF(Construction!AS8=Time!$F$14,$F$78,0)</f>
        <v/>
      </c>
      <c r="AT79" s="13">
        <f>IF(Construction!AT8=Time!$F$14,$F$78,0)</f>
        <v/>
      </c>
      <c r="AU79" s="13">
        <f>IF(Construction!AU8=Time!$F$14,$F$78,0)</f>
        <v/>
      </c>
      <c r="AV79" s="13">
        <f>IF(Construction!AV8=Time!$F$14,$F$78,0)</f>
        <v/>
      </c>
      <c r="AW79" s="13">
        <f>IF(Construction!AW8=Time!$F$14,$F$78,0)</f>
        <v/>
      </c>
      <c r="AX79" s="13">
        <f>IF(Construction!AX8=Time!$F$14,$F$78,0)</f>
        <v/>
      </c>
      <c r="AY79" s="13">
        <f>IF(Construction!AY8=Time!$F$14,$F$78,0)</f>
        <v/>
      </c>
      <c r="AZ79" s="13">
        <f>IF(Construction!AZ8=Time!$F$14,$F$78,0)</f>
        <v/>
      </c>
      <c r="BA79" s="13">
        <f>IF(Construction!BA8=Time!$F$14,$F$78,0)</f>
        <v/>
      </c>
      <c r="BB79" s="13">
        <f>IF(Construction!BB8=Time!$F$14,$F$78,0)</f>
        <v/>
      </c>
      <c r="BC79" s="13">
        <f>IF(Construction!BC8=Time!$F$14,$F$78,0)</f>
        <v/>
      </c>
      <c r="BD79" s="13">
        <f>IF(Construction!BD8=Time!$F$14,$F$78,0)</f>
        <v/>
      </c>
      <c r="BE79" s="13">
        <f>IF(Construction!BE8=Time!$F$14,$F$78,0)</f>
        <v/>
      </c>
      <c r="BF79" s="13">
        <f>IF(Construction!BF8=Time!$F$14,$F$78,0)</f>
        <v/>
      </c>
      <c r="BG79" s="13">
        <f>IF(Construction!BG8=Time!$F$14,$F$78,0)</f>
        <v/>
      </c>
      <c r="BH79" s="13">
        <f>IF(Construction!BH8=Time!$F$14,$F$78,0)</f>
        <v/>
      </c>
      <c r="BI79" s="13">
        <f>IF(Construction!BI8=Time!$F$14,$F$78,0)</f>
        <v/>
      </c>
      <c r="BJ79" s="13">
        <f>IF(Construction!BJ8=Time!$F$14,$F$78,0)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IF(Time!J34=1,INDEX(Funding!$J$54:$BJ$54,1,Time!$F$14)+SUM(Funding!$J$79:$BJ$79),0)+I30+I42</f>
        <v/>
      </c>
      <c r="K8" s="13">
        <f>IF(Time!K34=1,INDEX(Funding!$J$54:$BJ$54,1,Time!$F$14)+SUM(Funding!$J$79:$BJ$79),0)+J30+J42</f>
        <v/>
      </c>
      <c r="L8" s="13">
        <f>IF(Time!L34=1,INDEX(Funding!$J$54:$BJ$54,1,Time!$F$14)+SUM(Funding!$J$79:$BJ$79),0)+K30+K42</f>
        <v/>
      </c>
      <c r="M8" s="13">
        <f>IF(Time!M34=1,INDEX(Funding!$J$54:$BJ$54,1,Time!$F$14)+SUM(Funding!$J$79:$BJ$79),0)+L30+L42</f>
        <v/>
      </c>
      <c r="N8" s="13">
        <f>IF(Time!N34=1,INDEX(Funding!$J$54:$BJ$54,1,Time!$F$14)+SUM(Funding!$J$79:$BJ$79),0)+M30+M42</f>
        <v/>
      </c>
      <c r="O8" s="13">
        <f>IF(Time!O34=1,INDEX(Funding!$J$54:$BJ$54,1,Time!$F$14)+SUM(Funding!$J$79:$BJ$79),0)+N30+N42</f>
        <v/>
      </c>
      <c r="P8" s="13">
        <f>IF(Time!P34=1,INDEX(Funding!$J$54:$BJ$54,1,Time!$F$14)+SUM(Funding!$J$79:$BJ$79),0)+O30+O42</f>
        <v/>
      </c>
      <c r="Q8" s="13">
        <f>IF(Time!Q34=1,INDEX(Funding!$J$54:$BJ$54,1,Time!$F$14)+SUM(Funding!$J$79:$BJ$79),0)+P30+P42</f>
        <v/>
      </c>
      <c r="R8" s="13">
        <f>IF(Time!R34=1,INDEX(Funding!$J$54:$BJ$54,1,Time!$F$14)+SUM(Funding!$J$79:$BJ$79),0)+Q30+Q42</f>
        <v/>
      </c>
      <c r="S8" s="13">
        <f>IF(Time!S34=1,INDEX(Funding!$J$54:$BJ$54,1,Time!$F$14)+SUM(Funding!$J$79:$BJ$79),0)+R30+R42</f>
        <v/>
      </c>
      <c r="T8" s="13">
        <f>IF(Time!T34=1,INDEX(Funding!$J$54:$BJ$54,1,Time!$F$14)+SUM(Funding!$J$79:$BJ$79),0)+S30+S42</f>
        <v/>
      </c>
      <c r="U8" s="13">
        <f>IF(Time!U34=1,INDEX(Funding!$J$54:$BJ$54,1,Time!$F$14)+SUM(Funding!$J$79:$BJ$79),0)+T30+T42</f>
        <v/>
      </c>
      <c r="V8" s="13">
        <f>IF(Time!V34=1,INDEX(Funding!$J$54:$BJ$54,1,Time!$F$14)+SUM(Funding!$J$79:$BJ$79),0)+U30+U42</f>
        <v/>
      </c>
      <c r="W8" s="13">
        <f>IF(Time!W34=1,INDEX(Funding!$J$54:$BJ$54,1,Time!$F$14)+SUM(Funding!$J$79:$BJ$79),0)+V30+V42</f>
        <v/>
      </c>
      <c r="X8" s="13">
        <f>IF(Time!X34=1,INDEX(Funding!$J$54:$BJ$54,1,Time!$F$14)+SUM(Funding!$J$79:$BJ$79),0)+W30+W42</f>
        <v/>
      </c>
      <c r="Y8" s="13">
        <f>IF(Time!Y34=1,INDEX(Funding!$J$54:$BJ$54,1,Time!$F$14)+SUM(Funding!$J$79:$BJ$79),0)+X30+X42</f>
        <v/>
      </c>
      <c r="Z8" s="13">
        <f>IF(Time!Z34=1,INDEX(Funding!$J$54:$BJ$54,1,Time!$F$14)+SUM(Funding!$J$79:$BJ$79),0)+Y30+Y42</f>
        <v/>
      </c>
      <c r="AA8" s="13">
        <f>IF(Time!AA34=1,INDEX(Funding!$J$54:$BJ$54,1,Time!$F$14)+SUM(Funding!$J$79:$BJ$79),0)+Z30+Z42</f>
        <v/>
      </c>
      <c r="AB8" s="13">
        <f>IF(Time!AB34=1,INDEX(Funding!$J$54:$BJ$54,1,Time!$F$14)+SUM(Funding!$J$79:$BJ$79),0)+AA30+AA42</f>
        <v/>
      </c>
      <c r="AC8" s="13">
        <f>IF(Time!AC34=1,INDEX(Funding!$J$54:$BJ$54,1,Time!$F$14)+SUM(Funding!$J$79:$BJ$79),0)+AB30+AB42</f>
        <v/>
      </c>
      <c r="AD8" s="13">
        <f>IF(Time!AD34=1,INDEX(Funding!$J$54:$BJ$54,1,Time!$F$14)+SUM(Funding!$J$79:$BJ$79),0)+AC30+AC42</f>
        <v/>
      </c>
      <c r="AE8" s="13">
        <f>IF(Time!AE34=1,INDEX(Funding!$J$54:$BJ$54,1,Time!$F$14)+SUM(Funding!$J$79:$BJ$79),0)+AD30+AD42</f>
        <v/>
      </c>
      <c r="AF8" s="13">
        <f>IF(Time!AF34=1,INDEX(Funding!$J$54:$BJ$54,1,Time!$F$14)+SUM(Funding!$J$79:$BJ$79),0)+AE30+AE42</f>
        <v/>
      </c>
      <c r="AG8" s="13">
        <f>IF(Time!AG34=1,INDEX(Funding!$J$54:$BJ$54,1,Time!$F$14)+SUM(Funding!$J$79:$BJ$79),0)+AF30+AF42</f>
        <v/>
      </c>
      <c r="AH8" s="13">
        <f>IF(Time!AH34=1,INDEX(Funding!$J$54:$BJ$54,1,Time!$F$14)+SUM(Funding!$J$79:$BJ$79),0)+AG30+AG42</f>
        <v/>
      </c>
      <c r="AI8" s="13">
        <f>IF(Time!AI34=1,INDEX(Funding!$J$54:$BJ$54,1,Time!$F$14)+SUM(Funding!$J$79:$BJ$79),0)+AH30+AH42</f>
        <v/>
      </c>
      <c r="AJ8" s="13">
        <f>IF(Time!AJ34=1,INDEX(Funding!$J$54:$BJ$54,1,Time!$F$14)+SUM(Funding!$J$79:$BJ$79),0)+AI30+AI42</f>
        <v/>
      </c>
      <c r="AK8" s="13">
        <f>IF(Time!AK34=1,INDEX(Funding!$J$54:$BJ$54,1,Time!$F$14)+SUM(Funding!$J$79:$BJ$79),0)+AJ30+AJ42</f>
        <v/>
      </c>
      <c r="AL8" s="13">
        <f>IF(Time!AL34=1,INDEX(Funding!$J$54:$BJ$54,1,Time!$F$14)+SUM(Funding!$J$79:$BJ$79),0)+AK30+AK42</f>
        <v/>
      </c>
      <c r="AM8" s="13">
        <f>IF(Time!AM34=1,INDEX(Funding!$J$54:$BJ$54,1,Time!$F$14)+SUM(Funding!$J$79:$BJ$79),0)+AL30+AL42</f>
        <v/>
      </c>
      <c r="AN8" s="13">
        <f>IF(Time!AN34=1,INDEX(Funding!$J$54:$BJ$54,1,Time!$F$14)+SUM(Funding!$J$79:$BJ$79),0)+AM30+AM42</f>
        <v/>
      </c>
      <c r="AO8" s="13">
        <f>IF(Time!AO34=1,INDEX(Funding!$J$54:$BJ$54,1,Time!$F$14)+SUM(Funding!$J$79:$BJ$79),0)+AN30+AN42</f>
        <v/>
      </c>
      <c r="AP8" s="13">
        <f>IF(Time!AP34=1,INDEX(Funding!$J$54:$BJ$54,1,Time!$F$14)+SUM(Funding!$J$79:$BJ$79),0)+AO30+AO42</f>
        <v/>
      </c>
      <c r="AQ8" s="13">
        <f>IF(Time!AQ34=1,INDEX(Funding!$J$54:$BJ$54,1,Time!$F$14)+SUM(Funding!$J$79:$BJ$79),0)+AP30+AP42</f>
        <v/>
      </c>
      <c r="AR8" s="13">
        <f>IF(Time!AR34=1,INDEX(Funding!$J$54:$BJ$54,1,Time!$F$14)+SUM(Funding!$J$79:$BJ$79),0)+AQ30+AQ42</f>
        <v/>
      </c>
      <c r="AS8" s="13">
        <f>IF(Time!AS34=1,INDEX(Funding!$J$54:$BJ$54,1,Time!$F$14)+SUM(Funding!$J$79:$BJ$79),0)+AR30+AR42</f>
        <v/>
      </c>
      <c r="AT8" s="13">
        <f>IF(Time!AT34=1,INDEX(Funding!$J$54:$BJ$54,1,Time!$F$14)+SUM(Funding!$J$79:$BJ$79),0)+AS30+AS42</f>
        <v/>
      </c>
      <c r="AU8" s="13">
        <f>IF(Time!AU34=1,INDEX(Funding!$J$54:$BJ$54,1,Time!$F$14)+SUM(Funding!$J$79:$BJ$79),0)+AT30+AT42</f>
        <v/>
      </c>
      <c r="AV8" s="13">
        <f>IF(Time!AV34=1,INDEX(Funding!$J$54:$BJ$54,1,Time!$F$14)+SUM(Funding!$J$79:$BJ$79),0)+AU30+AU42</f>
        <v/>
      </c>
      <c r="AW8" s="13">
        <f>IF(Time!AW34=1,INDEX(Funding!$J$54:$BJ$54,1,Time!$F$14)+SUM(Funding!$J$79:$BJ$79),0)+AV30+AV42</f>
        <v/>
      </c>
      <c r="AX8" s="13">
        <f>IF(Time!AX34=1,INDEX(Funding!$J$54:$BJ$54,1,Time!$F$14)+SUM(Funding!$J$79:$BJ$79),0)+AW30+AW42</f>
        <v/>
      </c>
      <c r="AY8" s="13">
        <f>IF(Time!AY34=1,INDEX(Funding!$J$54:$BJ$54,1,Time!$F$14)+SUM(Funding!$J$79:$BJ$79),0)+AX30+AX42</f>
        <v/>
      </c>
      <c r="AZ8" s="13">
        <f>IF(Time!AZ34=1,INDEX(Funding!$J$54:$BJ$54,1,Time!$F$14)+SUM(Funding!$J$79:$BJ$79),0)+AY30+AY42</f>
        <v/>
      </c>
      <c r="BA8" s="13">
        <f>IF(Time!BA34=1,INDEX(Funding!$J$54:$BJ$54,1,Time!$F$14)+SUM(Funding!$J$79:$BJ$79),0)+AZ30+AZ42</f>
        <v/>
      </c>
      <c r="BB8" s="13">
        <f>IF(Time!BB34=1,INDEX(Funding!$J$54:$BJ$54,1,Time!$F$14)+SUM(Funding!$J$79:$BJ$79),0)+BA30+BA42</f>
        <v/>
      </c>
      <c r="BC8" s="13">
        <f>IF(Time!BC34=1,INDEX(Funding!$J$54:$BJ$54,1,Time!$F$14)+SUM(Funding!$J$79:$BJ$79),0)+BB30+BB42</f>
        <v/>
      </c>
      <c r="BD8" s="13">
        <f>IF(Time!BD34=1,INDEX(Funding!$J$54:$BJ$54,1,Time!$F$14)+SUM(Funding!$J$79:$BJ$79),0)+BC30+BC42</f>
        <v/>
      </c>
      <c r="BE8" s="13">
        <f>IF(Time!BE34=1,INDEX(Funding!$J$54:$BJ$54,1,Time!$F$14)+SUM(Funding!$J$79:$BJ$79),0)+BD30+BD42</f>
        <v/>
      </c>
      <c r="BF8" s="13">
        <f>IF(Time!BF34=1,INDEX(Funding!$J$54:$BJ$54,1,Time!$F$14)+SUM(Funding!$J$79:$BJ$79),0)+BE30+BE42</f>
        <v/>
      </c>
      <c r="BG8" s="13">
        <f>IF(Time!BG34=1,INDEX(Funding!$J$54:$BJ$54,1,Time!$F$14)+SUM(Funding!$J$79:$BJ$79),0)+BF30+BF42</f>
        <v/>
      </c>
      <c r="BH8" s="13">
        <f>IF(Time!BH34=1,INDEX(Funding!$J$54:$BJ$54,1,Time!$F$14)+SUM(Funding!$J$79:$BJ$79),0)+BG30+BG42</f>
        <v/>
      </c>
      <c r="BI8" s="13">
        <f>IF(Time!BI34=1,INDEX(Funding!$J$54:$BJ$54,1,Time!$F$14)+SUM(Funding!$J$79:$BJ$79),0)+BH30+BH42</f>
        <v/>
      </c>
      <c r="BJ8" s="13">
        <f>IF(Time!BJ34=1,INDEX(Funding!$J$54:$BJ$54,1,Time!$F$14)+SUM(Funding!$J$79:$BJ$79),0)+BI30+BI42</f>
        <v/>
      </c>
      <c r="BK8" s="13">
        <f>IF(Time!BK34=1,INDEX(Funding!$J$54:$BJ$54,1,Time!$F$14)+SUM(Funding!$J$79:$BJ$79),0)+BJ30+BJ42</f>
        <v/>
      </c>
      <c r="BL8" s="13">
        <f>IF(Time!BL34=1,INDEX(Funding!$J$54:$BJ$54,1,Time!$F$14)+SUM(Funding!$J$79:$BJ$79),0)+BK30+BK42</f>
        <v/>
      </c>
      <c r="BM8" s="13">
        <f>IF(Time!BM34=1,INDEX(Funding!$J$54:$BJ$54,1,Time!$F$14)+SUM(Funding!$J$79:$BJ$79),0)+BL30+BL42</f>
        <v/>
      </c>
      <c r="BN8" s="13">
        <f>IF(Time!BN34=1,INDEX(Funding!$J$54:$BJ$54,1,Time!$F$14)+SUM(Funding!$J$79:$BJ$79),0)+BM30+BM42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Debt-service shortfall before DSRA (the DSRA covers debt service only)</t>
        </is>
      </c>
      <c r="E11" t="inlineStr">
        <is>
          <t>USD m</t>
        </is>
      </c>
      <c r="G11" s="13">
        <f>SUM(J11:BN11)</f>
        <v/>
      </c>
      <c r="J11" s="13">
        <f>MIN(J10,MAX(0,J10-J9))</f>
        <v/>
      </c>
      <c r="K11" s="13">
        <f>MIN(K10,MAX(0,K10-K9))</f>
        <v/>
      </c>
      <c r="L11" s="13">
        <f>MIN(L10,MAX(0,L10-L9))</f>
        <v/>
      </c>
      <c r="M11" s="13">
        <f>MIN(M10,MAX(0,M10-M9))</f>
        <v/>
      </c>
      <c r="N11" s="13">
        <f>MIN(N10,MAX(0,N10-N9))</f>
        <v/>
      </c>
      <c r="O11" s="13">
        <f>MIN(O10,MAX(0,O10-O9))</f>
        <v/>
      </c>
      <c r="P11" s="13">
        <f>MIN(P10,MAX(0,P10-P9))</f>
        <v/>
      </c>
      <c r="Q11" s="13">
        <f>MIN(Q10,MAX(0,Q10-Q9))</f>
        <v/>
      </c>
      <c r="R11" s="13">
        <f>MIN(R10,MAX(0,R10-R9))</f>
        <v/>
      </c>
      <c r="S11" s="13">
        <f>MIN(S10,MAX(0,S10-S9))</f>
        <v/>
      </c>
      <c r="T11" s="13">
        <f>MIN(T10,MAX(0,T10-T9))</f>
        <v/>
      </c>
      <c r="U11" s="13">
        <f>MIN(U10,MAX(0,U10-U9))</f>
        <v/>
      </c>
      <c r="V11" s="13">
        <f>MIN(V10,MAX(0,V10-V9))</f>
        <v/>
      </c>
      <c r="W11" s="13">
        <f>MIN(W10,MAX(0,W10-W9))</f>
        <v/>
      </c>
      <c r="X11" s="13">
        <f>MIN(X10,MAX(0,X10-X9))</f>
        <v/>
      </c>
      <c r="Y11" s="13">
        <f>MIN(Y10,MAX(0,Y10-Y9))</f>
        <v/>
      </c>
      <c r="Z11" s="13">
        <f>MIN(Z10,MAX(0,Z10-Z9))</f>
        <v/>
      </c>
      <c r="AA11" s="13">
        <f>MIN(AA10,MAX(0,AA10-AA9))</f>
        <v/>
      </c>
      <c r="AB11" s="13">
        <f>MIN(AB10,MAX(0,AB10-AB9))</f>
        <v/>
      </c>
      <c r="AC11" s="13">
        <f>MIN(AC10,MAX(0,AC10-AC9))</f>
        <v/>
      </c>
      <c r="AD11" s="13">
        <f>MIN(AD10,MAX(0,AD10-AD9))</f>
        <v/>
      </c>
      <c r="AE11" s="13">
        <f>MIN(AE10,MAX(0,AE10-AE9))</f>
        <v/>
      </c>
      <c r="AF11" s="13">
        <f>MIN(AF10,MAX(0,AF10-AF9))</f>
        <v/>
      </c>
      <c r="AG11" s="13">
        <f>MIN(AG10,MAX(0,AG10-AG9))</f>
        <v/>
      </c>
      <c r="AH11" s="13">
        <f>MIN(AH10,MAX(0,AH10-AH9))</f>
        <v/>
      </c>
      <c r="AI11" s="13">
        <f>MIN(AI10,MAX(0,AI10-AI9))</f>
        <v/>
      </c>
      <c r="AJ11" s="13">
        <f>MIN(AJ10,MAX(0,AJ10-AJ9))</f>
        <v/>
      </c>
      <c r="AK11" s="13">
        <f>MIN(AK10,MAX(0,AK10-AK9))</f>
        <v/>
      </c>
      <c r="AL11" s="13">
        <f>MIN(AL10,MAX(0,AL10-AL9))</f>
        <v/>
      </c>
      <c r="AM11" s="13">
        <f>MIN(AM10,MAX(0,AM10-AM9))</f>
        <v/>
      </c>
      <c r="AN11" s="13">
        <f>MIN(AN10,MAX(0,AN10-AN9))</f>
        <v/>
      </c>
      <c r="AO11" s="13">
        <f>MIN(AO10,MAX(0,AO10-AO9))</f>
        <v/>
      </c>
      <c r="AP11" s="13">
        <f>MIN(AP10,MAX(0,AP10-AP9))</f>
        <v/>
      </c>
      <c r="AQ11" s="13">
        <f>MIN(AQ10,MAX(0,AQ10-AQ9))</f>
        <v/>
      </c>
      <c r="AR11" s="13">
        <f>MIN(AR10,MAX(0,AR10-AR9))</f>
        <v/>
      </c>
      <c r="AS11" s="13">
        <f>MIN(AS10,MAX(0,AS10-AS9))</f>
        <v/>
      </c>
      <c r="AT11" s="13">
        <f>MIN(AT10,MAX(0,AT10-AT9))</f>
        <v/>
      </c>
      <c r="AU11" s="13">
        <f>MIN(AU10,MAX(0,AU10-AU9))</f>
        <v/>
      </c>
      <c r="AV11" s="13">
        <f>MIN(AV10,MAX(0,AV10-AV9))</f>
        <v/>
      </c>
      <c r="AW11" s="13">
        <f>MIN(AW10,MAX(0,AW10-AW9))</f>
        <v/>
      </c>
      <c r="AX11" s="13">
        <f>MIN(AX10,MAX(0,AX10-AX9))</f>
        <v/>
      </c>
      <c r="AY11" s="13">
        <f>MIN(AY10,MAX(0,AY10-AY9))</f>
        <v/>
      </c>
      <c r="AZ11" s="13">
        <f>MIN(AZ10,MAX(0,AZ10-AZ9))</f>
        <v/>
      </c>
      <c r="BA11" s="13">
        <f>MIN(BA10,MAX(0,BA10-BA9))</f>
        <v/>
      </c>
      <c r="BB11" s="13">
        <f>MIN(BB10,MAX(0,BB10-BB9))</f>
        <v/>
      </c>
      <c r="BC11" s="13">
        <f>MIN(BC10,MAX(0,BC10-BC9))</f>
        <v/>
      </c>
      <c r="BD11" s="13">
        <f>MIN(BD10,MAX(0,BD10-BD9))</f>
        <v/>
      </c>
      <c r="BE11" s="13">
        <f>MIN(BE10,MAX(0,BE10-BE9))</f>
        <v/>
      </c>
      <c r="BF11" s="13">
        <f>MIN(BF10,MAX(0,BF10-BF9))</f>
        <v/>
      </c>
      <c r="BG11" s="13">
        <f>MIN(BG10,MAX(0,BG10-BG9))</f>
        <v/>
      </c>
      <c r="BH11" s="13">
        <f>MIN(BH10,MAX(0,BH10-BH9))</f>
        <v/>
      </c>
      <c r="BI11" s="13">
        <f>MIN(BI10,MAX(0,BI10-BI9))</f>
        <v/>
      </c>
      <c r="BJ11" s="13">
        <f>MIN(BJ10,MAX(0,BJ10-BJ9))</f>
        <v/>
      </c>
      <c r="BK11" s="13">
        <f>MIN(BK10,MAX(0,BK10-BK9))</f>
        <v/>
      </c>
      <c r="BL11" s="13">
        <f>MIN(BL10,MAX(0,BL10-BL9))</f>
        <v/>
      </c>
      <c r="BM11" s="13">
        <f>MIN(BM10,MAX(0,BM10-BM9))</f>
        <v/>
      </c>
      <c r="BN11" s="13">
        <f>MIN(BN10,MAX(0,BN10-BN9))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J36+J37+J38+J39+J40+J41+J42+J43+J44+J45+J46+J47+J48+J53</f>
        <v/>
      </c>
      <c r="K49" s="13">
        <f>K36+K37+K38+K39+K40+K41+K42+K43+K44+K45+K46+K47+K48+K53</f>
        <v/>
      </c>
      <c r="L49" s="13">
        <f>L36+L37+L38+L39+L40+L41+L42+L43+L44+L45+L46+L47+L48+L53</f>
        <v/>
      </c>
      <c r="M49" s="13">
        <f>M36+M37+M38+M39+M40+M41+M42+M43+M44+M45+M46+M47+M48+M53</f>
        <v/>
      </c>
      <c r="N49" s="13">
        <f>N36+N37+N38+N39+N40+N41+N42+N43+N44+N45+N46+N47+N48+N53</f>
        <v/>
      </c>
      <c r="O49" s="13">
        <f>O36+O37+O38+O39+O40+O41+O42+O43+O44+O45+O46+O47+O48+O53</f>
        <v/>
      </c>
      <c r="P49" s="13">
        <f>P36+P37+P38+P39+P40+P41+P42+P43+P44+P45+P46+P47+P48+P53</f>
        <v/>
      </c>
      <c r="Q49" s="13">
        <f>Q36+Q37+Q38+Q39+Q40+Q41+Q42+Q43+Q44+Q45+Q46+Q47+Q48+Q53</f>
        <v/>
      </c>
      <c r="R49" s="13">
        <f>R36+R37+R38+R39+R40+R41+R42+R43+R44+R45+R46+R47+R48+R53</f>
        <v/>
      </c>
      <c r="S49" s="13">
        <f>S36+S37+S38+S39+S40+S41+S42+S43+S44+S45+S46+S47+S48+S53</f>
        <v/>
      </c>
      <c r="T49" s="13">
        <f>T36+T37+T38+T39+T40+T41+T42+T43+T44+T45+T46+T47+T48+T53</f>
        <v/>
      </c>
      <c r="U49" s="13">
        <f>U36+U37+U38+U39+U40+U41+U42+U43+U44+U45+U46+U47+U48+U53</f>
        <v/>
      </c>
      <c r="V49" s="13">
        <f>V36+V37+V38+V39+V40+V41+V42+V43+V44+V45+V46+V47+V48+V53</f>
        <v/>
      </c>
      <c r="W49" s="13">
        <f>W36+W37+W38+W39+W40+W41+W42+W43+W44+W45+W46+W47+W48+W53</f>
        <v/>
      </c>
      <c r="X49" s="13">
        <f>X36+X37+X38+X39+X40+X41+X42+X43+X44+X45+X46+X47+X48+X53</f>
        <v/>
      </c>
      <c r="Y49" s="13">
        <f>Y36+Y37+Y38+Y39+Y40+Y41+Y42+Y43+Y44+Y45+Y46+Y47+Y48+Y53</f>
        <v/>
      </c>
      <c r="Z49" s="13">
        <f>Z36+Z37+Z38+Z39+Z40+Z41+Z42+Z43+Z44+Z45+Z46+Z47+Z48+Z53</f>
        <v/>
      </c>
      <c r="AA49" s="13">
        <f>AA36+AA37+AA38+AA39+AA40+AA41+AA42+AA43+AA44+AA45+AA46+AA47+AA48+AA53</f>
        <v/>
      </c>
      <c r="AB49" s="13">
        <f>AB36+AB37+AB38+AB39+AB40+AB41+AB42+AB43+AB44+AB45+AB46+AB47+AB48+AB53</f>
        <v/>
      </c>
      <c r="AC49" s="13">
        <f>AC36+AC37+AC38+AC39+AC40+AC41+AC42+AC43+AC44+AC45+AC46+AC47+AC48+AC53</f>
        <v/>
      </c>
      <c r="AD49" s="13">
        <f>AD36+AD37+AD38+AD39+AD40+AD41+AD42+AD43+AD44+AD45+AD46+AD47+AD48+AD53</f>
        <v/>
      </c>
      <c r="AE49" s="13">
        <f>AE36+AE37+AE38+AE39+AE40+AE41+AE42+AE43+AE44+AE45+AE46+AE47+AE48+AE53</f>
        <v/>
      </c>
      <c r="AF49" s="13">
        <f>AF36+AF37+AF38+AF39+AF40+AF41+AF42+AF43+AF44+AF45+AF46+AF47+AF48+AF53</f>
        <v/>
      </c>
      <c r="AG49" s="13">
        <f>AG36+AG37+AG38+AG39+AG40+AG41+AG42+AG43+AG44+AG45+AG46+AG47+AG48+AG53</f>
        <v/>
      </c>
      <c r="AH49" s="13">
        <f>AH36+AH37+AH38+AH39+AH40+AH41+AH42+AH43+AH44+AH45+AH46+AH47+AH48+AH53</f>
        <v/>
      </c>
      <c r="AI49" s="13">
        <f>AI36+AI37+AI38+AI39+AI40+AI41+AI42+AI43+AI44+AI45+AI46+AI47+AI48+AI53</f>
        <v/>
      </c>
      <c r="AJ49" s="13">
        <f>AJ36+AJ37+AJ38+AJ39+AJ40+AJ41+AJ42+AJ43+AJ44+AJ45+AJ46+AJ47+AJ48+AJ53</f>
        <v/>
      </c>
      <c r="AK49" s="13">
        <f>AK36+AK37+AK38+AK39+AK40+AK41+AK42+AK43+AK44+AK45+AK46+AK47+AK48+AK53</f>
        <v/>
      </c>
      <c r="AL49" s="13">
        <f>AL36+AL37+AL38+AL39+AL40+AL41+AL42+AL43+AL44+AL45+AL46+AL47+AL48+AL53</f>
        <v/>
      </c>
      <c r="AM49" s="13">
        <f>AM36+AM37+AM38+AM39+AM40+AM41+AM42+AM43+AM44+AM45+AM46+AM47+AM48+AM53</f>
        <v/>
      </c>
      <c r="AN49" s="13">
        <f>AN36+AN37+AN38+AN39+AN40+AN41+AN42+AN43+AN44+AN45+AN46+AN47+AN48+AN53</f>
        <v/>
      </c>
      <c r="AO49" s="13">
        <f>AO36+AO37+AO38+AO39+AO40+AO41+AO42+AO43+AO44+AO45+AO46+AO47+AO48+AO53</f>
        <v/>
      </c>
      <c r="AP49" s="13">
        <f>AP36+AP37+AP38+AP39+AP40+AP41+AP42+AP43+AP44+AP45+AP46+AP47+AP48+AP53</f>
        <v/>
      </c>
      <c r="AQ49" s="13">
        <f>AQ36+AQ37+AQ38+AQ39+AQ40+AQ41+AQ42+AQ43+AQ44+AQ45+AQ46+AQ47+AQ48+AQ53</f>
        <v/>
      </c>
      <c r="AR49" s="13">
        <f>AR36+AR37+AR38+AR39+AR40+AR41+AR42+AR43+AR44+AR45+AR46+AR47+AR48+AR53</f>
        <v/>
      </c>
      <c r="AS49" s="13">
        <f>AS36+AS37+AS38+AS39+AS40+AS41+AS42+AS43+AS44+AS45+AS46+AS47+AS48+AS53</f>
        <v/>
      </c>
      <c r="AT49" s="13">
        <f>AT36+AT37+AT38+AT39+AT40+AT41+AT42+AT43+AT44+AT45+AT46+AT47+AT48+AT53</f>
        <v/>
      </c>
      <c r="AU49" s="13">
        <f>AU36+AU37+AU38+AU39+AU40+AU41+AU42+AU43+AU44+AU45+AU46+AU47+AU48+AU53</f>
        <v/>
      </c>
      <c r="AV49" s="13">
        <f>AV36+AV37+AV38+AV39+AV40+AV41+AV42+AV43+AV44+AV45+AV46+AV47+AV48+AV53</f>
        <v/>
      </c>
      <c r="AW49" s="13">
        <f>AW36+AW37+AW38+AW39+AW40+AW41+AW42+AW43+AW44+AW45+AW46+AW47+AW48+AW53</f>
        <v/>
      </c>
      <c r="AX49" s="13">
        <f>AX36+AX37+AX38+AX39+AX40+AX41+AX42+AX43+AX44+AX45+AX46+AX47+AX48+AX53</f>
        <v/>
      </c>
      <c r="AY49" s="13">
        <f>AY36+AY37+AY38+AY39+AY40+AY41+AY42+AY43+AY44+AY45+AY46+AY47+AY48+AY53</f>
        <v/>
      </c>
      <c r="AZ49" s="13">
        <f>AZ36+AZ37+AZ38+AZ39+AZ40+AZ41+AZ42+AZ43+AZ44+AZ45+AZ46+AZ47+AZ48+AZ53</f>
        <v/>
      </c>
      <c r="BA49" s="13">
        <f>BA36+BA37+BA38+BA39+BA40+BA41+BA42+BA43+BA44+BA45+BA46+BA47+BA48+BA53</f>
        <v/>
      </c>
      <c r="BB49" s="13">
        <f>BB36+BB37+BB38+BB39+BB40+BB41+BB42+BB43+BB44+BB45+BB46+BB47+BB48+BB53</f>
        <v/>
      </c>
      <c r="BC49" s="13">
        <f>BC36+BC37+BC38+BC39+BC40+BC41+BC42+BC43+BC44+BC45+BC46+BC47+BC48+BC53</f>
        <v/>
      </c>
      <c r="BD49" s="13">
        <f>BD36+BD37+BD38+BD39+BD40+BD41+BD42+BD43+BD44+BD45+BD46+BD47+BD48+BD53</f>
        <v/>
      </c>
      <c r="BE49" s="13">
        <f>BE36+BE37+BE38+BE39+BE40+BE41+BE42+BE43+BE44+BE45+BE46+BE47+BE48+BE53</f>
        <v/>
      </c>
      <c r="BF49" s="13">
        <f>BF36+BF37+BF38+BF39+BF40+BF41+BF42+BF43+BF44+BF45+BF46+BF47+BF48+BF53</f>
        <v/>
      </c>
      <c r="BG49" s="13">
        <f>BG36+BG37+BG38+BG39+BG40+BG41+BG42+BG43+BG44+BG45+BG46+BG47+BG48+BG53</f>
        <v/>
      </c>
      <c r="BH49" s="13">
        <f>BH36+BH37+BH38+BH39+BH40+BH41+BH42+BH43+BH44+BH45+BH46+BH47+BH48+BH53</f>
        <v/>
      </c>
      <c r="BI49" s="13">
        <f>BI36+BI37+BI38+BI39+BI40+BI41+BI42+BI43+BI44+BI45+BI46+BI47+BI48+BI53</f>
        <v/>
      </c>
      <c r="BJ49" s="13">
        <f>BJ36+BJ37+BJ38+BJ39+BJ40+BJ41+BJ42+BJ43+BJ44+BJ45+BJ46+BJ47+BJ48+BJ53</f>
        <v/>
      </c>
      <c r="BK49" s="13">
        <f>BK36+BK37+BK38+BK39+BK40+BK41+BK42+BK43+BK44+BK45+BK46+BK47+BK48+BK53</f>
        <v/>
      </c>
      <c r="BL49" s="13">
        <f>BL36+BL37+BL38+BL39+BL40+BL41+BL42+BL43+BL44+BL45+BL46+BL47+BL48+BL53</f>
        <v/>
      </c>
      <c r="BM49" s="13">
        <f>BM36+BM37+BM38+BM39+BM40+BM41+BM42+BM43+BM44+BM45+BM46+BM47+BM48+BM53</f>
        <v/>
      </c>
      <c r="BN49" s="13">
        <f>BN36+BN37+BN38+BN39+BN40+BN41+BN42+BN43+BN44+BN45+BN46+BN47+BN48+BN53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  <row r="53">
      <c r="D53" t="inlineStr">
        <is>
          <t>COD working-capital funding brought into the COD period (standby facility and contingent equity)</t>
        </is>
      </c>
      <c r="E53" t="inlineStr">
        <is>
          <t>USD m</t>
        </is>
      </c>
      <c r="G53" s="13">
        <f>SUM(J53:BN53)</f>
        <v/>
      </c>
      <c r="J53" s="13">
        <f>Time!J34*SUM(Funding!$J$79:$BJ$79)</f>
        <v/>
      </c>
      <c r="K53" s="13">
        <f>Time!K34*SUM(Funding!$J$79:$BJ$79)</f>
        <v/>
      </c>
      <c r="L53" s="13">
        <f>Time!L34*SUM(Funding!$J$79:$BJ$79)</f>
        <v/>
      </c>
      <c r="M53" s="13">
        <f>Time!M34*SUM(Funding!$J$79:$BJ$79)</f>
        <v/>
      </c>
      <c r="N53" s="13">
        <f>Time!N34*SUM(Funding!$J$79:$BJ$79)</f>
        <v/>
      </c>
      <c r="O53" s="13">
        <f>Time!O34*SUM(Funding!$J$79:$BJ$79)</f>
        <v/>
      </c>
      <c r="P53" s="13">
        <f>Time!P34*SUM(Funding!$J$79:$BJ$79)</f>
        <v/>
      </c>
      <c r="Q53" s="13">
        <f>Time!Q34*SUM(Funding!$J$79:$BJ$79)</f>
        <v/>
      </c>
      <c r="R53" s="13">
        <f>Time!R34*SUM(Funding!$J$79:$BJ$79)</f>
        <v/>
      </c>
      <c r="S53" s="13">
        <f>Time!S34*SUM(Funding!$J$79:$BJ$79)</f>
        <v/>
      </c>
      <c r="T53" s="13">
        <f>Time!T34*SUM(Funding!$J$79:$BJ$79)</f>
        <v/>
      </c>
      <c r="U53" s="13">
        <f>Time!U34*SUM(Funding!$J$79:$BJ$79)</f>
        <v/>
      </c>
      <c r="V53" s="13">
        <f>Time!V34*SUM(Funding!$J$79:$BJ$79)</f>
        <v/>
      </c>
      <c r="W53" s="13">
        <f>Time!W34*SUM(Funding!$J$79:$BJ$79)</f>
        <v/>
      </c>
      <c r="X53" s="13">
        <f>Time!X34*SUM(Funding!$J$79:$BJ$79)</f>
        <v/>
      </c>
      <c r="Y53" s="13">
        <f>Time!Y34*SUM(Funding!$J$79:$BJ$79)</f>
        <v/>
      </c>
      <c r="Z53" s="13">
        <f>Time!Z34*SUM(Funding!$J$79:$BJ$79)</f>
        <v/>
      </c>
      <c r="AA53" s="13">
        <f>Time!AA34*SUM(Funding!$J$79:$BJ$79)</f>
        <v/>
      </c>
      <c r="AB53" s="13">
        <f>Time!AB34*SUM(Funding!$J$79:$BJ$79)</f>
        <v/>
      </c>
      <c r="AC53" s="13">
        <f>Time!AC34*SUM(Funding!$J$79:$BJ$79)</f>
        <v/>
      </c>
      <c r="AD53" s="13">
        <f>Time!AD34*SUM(Funding!$J$79:$BJ$79)</f>
        <v/>
      </c>
      <c r="AE53" s="13">
        <f>Time!AE34*SUM(Funding!$J$79:$BJ$79)</f>
        <v/>
      </c>
      <c r="AF53" s="13">
        <f>Time!AF34*SUM(Funding!$J$79:$BJ$79)</f>
        <v/>
      </c>
      <c r="AG53" s="13">
        <f>Time!AG34*SUM(Funding!$J$79:$BJ$79)</f>
        <v/>
      </c>
      <c r="AH53" s="13">
        <f>Time!AH34*SUM(Funding!$J$79:$BJ$79)</f>
        <v/>
      </c>
      <c r="AI53" s="13">
        <f>Time!AI34*SUM(Funding!$J$79:$BJ$79)</f>
        <v/>
      </c>
      <c r="AJ53" s="13">
        <f>Time!AJ34*SUM(Funding!$J$79:$BJ$79)</f>
        <v/>
      </c>
      <c r="AK53" s="13">
        <f>Time!AK34*SUM(Funding!$J$79:$BJ$79)</f>
        <v/>
      </c>
      <c r="AL53" s="13">
        <f>Time!AL34*SUM(Funding!$J$79:$BJ$79)</f>
        <v/>
      </c>
      <c r="AM53" s="13">
        <f>Time!AM34*SUM(Funding!$J$79:$BJ$79)</f>
        <v/>
      </c>
      <c r="AN53" s="13">
        <f>Time!AN34*SUM(Funding!$J$79:$BJ$79)</f>
        <v/>
      </c>
      <c r="AO53" s="13">
        <f>Time!AO34*SUM(Funding!$J$79:$BJ$79)</f>
        <v/>
      </c>
      <c r="AP53" s="13">
        <f>Time!AP34*SUM(Funding!$J$79:$BJ$79)</f>
        <v/>
      </c>
      <c r="AQ53" s="13">
        <f>Time!AQ34*SUM(Funding!$J$79:$BJ$79)</f>
        <v/>
      </c>
      <c r="AR53" s="13">
        <f>Time!AR34*SUM(Funding!$J$79:$BJ$79)</f>
        <v/>
      </c>
      <c r="AS53" s="13">
        <f>Time!AS34*SUM(Funding!$J$79:$BJ$79)</f>
        <v/>
      </c>
      <c r="AT53" s="13">
        <f>Time!AT34*SUM(Funding!$J$79:$BJ$79)</f>
        <v/>
      </c>
      <c r="AU53" s="13">
        <f>Time!AU34*SUM(Funding!$J$79:$BJ$79)</f>
        <v/>
      </c>
      <c r="AV53" s="13">
        <f>Time!AV34*SUM(Funding!$J$79:$BJ$79)</f>
        <v/>
      </c>
      <c r="AW53" s="13">
        <f>Time!AW34*SUM(Funding!$J$79:$BJ$79)</f>
        <v/>
      </c>
      <c r="AX53" s="13">
        <f>Time!AX34*SUM(Funding!$J$79:$BJ$79)</f>
        <v/>
      </c>
      <c r="AY53" s="13">
        <f>Time!AY34*SUM(Funding!$J$79:$BJ$79)</f>
        <v/>
      </c>
      <c r="AZ53" s="13">
        <f>Time!AZ34*SUM(Funding!$J$79:$BJ$79)</f>
        <v/>
      </c>
      <c r="BA53" s="13">
        <f>Time!BA34*SUM(Funding!$J$79:$BJ$79)</f>
        <v/>
      </c>
      <c r="BB53" s="13">
        <f>Time!BB34*SUM(Funding!$J$79:$BJ$79)</f>
        <v/>
      </c>
      <c r="BC53" s="13">
        <f>Time!BC34*SUM(Funding!$J$79:$BJ$79)</f>
        <v/>
      </c>
      <c r="BD53" s="13">
        <f>Time!BD34*SUM(Funding!$J$79:$BJ$79)</f>
        <v/>
      </c>
      <c r="BE53" s="13">
        <f>Time!BE34*SUM(Funding!$J$79:$BJ$79)</f>
        <v/>
      </c>
      <c r="BF53" s="13">
        <f>Time!BF34*SUM(Funding!$J$79:$BJ$79)</f>
        <v/>
      </c>
      <c r="BG53" s="13">
        <f>Time!BG34*SUM(Funding!$J$79:$BJ$79)</f>
        <v/>
      </c>
      <c r="BH53" s="13">
        <f>Time!BH34*SUM(Funding!$J$79:$BJ$79)</f>
        <v/>
      </c>
      <c r="BI53" s="13">
        <f>Time!BI34*SUM(Funding!$J$79:$BJ$79)</f>
        <v/>
      </c>
      <c r="BJ53" s="13">
        <f>Time!BJ34*SUM(Funding!$J$79:$BJ$79)</f>
        <v/>
      </c>
      <c r="BK53" s="13">
        <f>Time!BK34*SUM(Funding!$J$79:$BJ$79)</f>
        <v/>
      </c>
      <c r="BL53" s="13">
        <f>Time!BL34*SUM(Funding!$J$79:$BJ$79)</f>
        <v/>
      </c>
      <c r="BM53" s="13">
        <f>Time!BM34*SUM(Funding!$J$79:$BJ$79)</f>
        <v/>
      </c>
      <c r="BN53" s="13">
        <f>Time!BN34*SUM(Funding!$J$79:$BJ$79)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893.7555763364599</v>
      </c>
      <c r="K41" s="23" t="n">
        <v>629.9496747784333</v>
      </c>
      <c r="L41" s="23" t="n">
        <v>230.0982150813615</v>
      </c>
      <c r="M41" s="24" t="n">
        <v>0.7232823809669221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37.17840635556432</v>
      </c>
      <c r="R41" s="23" t="n">
        <v>16.48798647666505</v>
      </c>
      <c r="S41" s="23" t="n">
        <v>5.495995492221683</v>
      </c>
      <c r="T41" s="23" t="n">
        <v>1.27117101320278</v>
      </c>
      <c r="U41" s="23" t="n">
        <v>1.496206324696384</v>
      </c>
      <c r="V41" s="23" t="n">
        <v>1.337686512725283</v>
      </c>
      <c r="W41" s="23" t="n">
        <v>1.772984994606507</v>
      </c>
      <c r="X41" s="24" t="n">
        <v>0.1235103883954506</v>
      </c>
      <c r="Y41" s="24" t="n">
        <v>0.1008810859067457</v>
      </c>
      <c r="Z41" s="23" t="n">
        <v>-58.42490416222227</v>
      </c>
    </row>
    <row r="42">
      <c r="D42" t="inlineStr">
        <is>
          <t>15: Actual history</t>
        </is>
      </c>
      <c r="J42" s="23" t="n">
        <v>891.526869194766</v>
      </c>
      <c r="K42" s="23" t="n">
        <v>629.9496747784333</v>
      </c>
      <c r="L42" s="23" t="n">
        <v>229.5410382959381</v>
      </c>
      <c r="M42" s="24" t="n">
        <v>0.7232155902167993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34.94969921387052</v>
      </c>
      <c r="R42" s="23" t="n">
        <v>14.8164561203947</v>
      </c>
      <c r="S42" s="23" t="n">
        <v>4.938818706798232</v>
      </c>
      <c r="T42" s="23" t="n">
        <v>0.9066361565225236</v>
      </c>
      <c r="U42" s="23" t="n">
        <v>1.489837025236744</v>
      </c>
      <c r="V42" s="23" t="n">
        <v>1.465939679822903</v>
      </c>
      <c r="W42" s="23" t="n">
        <v>1.681869562767177</v>
      </c>
      <c r="X42" s="24" t="n">
        <v>0.1241960136816219</v>
      </c>
      <c r="Y42" s="24" t="n">
        <v>0.1013950949450874</v>
      </c>
      <c r="Z42" s="23" t="n">
        <v>-55.88141682770506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2026-10-03T23:43:55Z</dcterms:created>
  <dcterms:modified xsi:type="dcterms:W3CDTF">2026-10-03T23:43:55Z</dcterms:modified>
</cp:coreProperties>
</file>