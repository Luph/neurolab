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  <sheet name="AuditKey" sheetId="16" state="visible" r:id="rId16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" fontId="4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/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1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Actual 2022 dispatch path (1 = on) [table]</t>
        </is>
      </c>
      <c r="E32" t="inlineStr">
        <is>
          <t>flag</t>
        </is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</v>
      </c>
    </row>
    <row r="33">
      <c r="D33" t="inlineStr">
        <is>
          <t>Macro path (1 FC forward, 2 actual history, 3 COD re-forecast)</t>
        </is>
      </c>
      <c r="E33" t="inlineStr">
        <is>
          <t>code</t>
        </is>
      </c>
      <c r="F33" s="6">
        <f>INDEX($J$10:$X$10,1,Scenario)</f>
        <v/>
      </c>
    </row>
    <row r="34">
      <c r="D34" t="inlineStr">
        <is>
          <t>Construction case (1 FC budget, 2 actual)</t>
        </is>
      </c>
      <c r="E34" t="inlineStr">
        <is>
          <t>code</t>
        </is>
      </c>
      <c r="F34" s="6">
        <f>INDEX($J$11:$X$11,1,Scenario)</f>
        <v/>
      </c>
    </row>
    <row r="35">
      <c r="D35" t="inlineStr">
        <is>
          <t>COD delay (sensitivity)</t>
        </is>
      </c>
      <c r="E35" t="inlineStr">
        <is>
          <t>months</t>
        </is>
      </c>
      <c r="F35" s="6">
        <f>INDEX($J$12:$X$12,1,Scenario)</f>
        <v/>
      </c>
    </row>
    <row r="36">
      <c r="D36" t="inlineStr">
        <is>
          <t>Capex factor</t>
        </is>
      </c>
      <c r="E36" t="inlineStr">
        <is>
          <t>factor</t>
        </is>
      </c>
      <c r="F36" s="6">
        <f>INDEX($J$13:$X$13,1,Scenario)</f>
        <v/>
      </c>
    </row>
    <row r="37">
      <c r="D37" t="inlineStr">
        <is>
          <t>Availability adjustment</t>
        </is>
      </c>
      <c r="E37" t="inlineStr">
        <is>
          <t>points</t>
        </is>
      </c>
      <c r="F37" s="6">
        <f>INDEX($J$14:$X$14,1,Scenario)</f>
        <v/>
      </c>
    </row>
    <row r="38">
      <c r="D38" t="inlineStr">
        <is>
          <t>Dispatch factor when available</t>
        </is>
      </c>
      <c r="E38" t="inlineStr">
        <is>
          <t>%</t>
        </is>
      </c>
      <c r="F38" s="6">
        <f>INDEX($J$15:$X$15,1,Scenario)</f>
        <v/>
      </c>
    </row>
    <row r="39">
      <c r="D39" t="inlineStr">
        <is>
          <t>Plant heat rate factor</t>
        </is>
      </c>
      <c r="E39" t="inlineStr">
        <is>
          <t>factor</t>
        </is>
      </c>
      <c r="F39" s="6">
        <f>INDEX($J$16:$X$16,1,Scenario)</f>
        <v/>
      </c>
    </row>
    <row r="40">
      <c r="D40" t="inlineStr">
        <is>
          <t>Fixed opex factor</t>
        </is>
      </c>
      <c r="E40" t="inlineStr">
        <is>
          <t>factor</t>
        </is>
      </c>
      <c r="F40" s="6">
        <f>INDEX($J$17:$X$17,1,Scenario)</f>
        <v/>
      </c>
    </row>
    <row r="41">
      <c r="D41" t="inlineStr">
        <is>
          <t>Gas price factor</t>
        </is>
      </c>
      <c r="E41" t="inlineStr">
        <is>
          <t>factor</t>
        </is>
      </c>
      <c r="F41" s="6">
        <f>INDEX($J$18:$X$18,1,Scenario)</f>
        <v/>
      </c>
    </row>
    <row r="42">
      <c r="D42" t="inlineStr">
        <is>
          <t>Base rate shift from 2022H1</t>
        </is>
      </c>
      <c r="E42" t="inlineStr">
        <is>
          <t>%</t>
        </is>
      </c>
      <c r="F42" s="6">
        <f>INDEX($J$19:$X$19,1,Scenario)</f>
        <v/>
      </c>
    </row>
    <row r="43">
      <c r="D43" t="inlineStr">
        <is>
          <t>KCR devaluation from 2022H1</t>
        </is>
      </c>
      <c r="E43" t="inlineStr">
        <is>
          <t>fraction</t>
        </is>
      </c>
      <c r="F43" s="6">
        <f>INDEX($J$20:$X$20,1,Scenario)</f>
        <v/>
      </c>
    </row>
    <row r="44">
      <c r="D44" t="inlineStr">
        <is>
          <t>Extra days on SEKA capacity/VOM payments, 2022H1-2022H2</t>
        </is>
      </c>
      <c r="E44" t="inlineStr">
        <is>
          <t>days</t>
        </is>
      </c>
      <c r="F44" s="6">
        <f>INDEX($J$21:$X$21,1,Scenario)</f>
        <v/>
      </c>
    </row>
    <row r="45">
      <c r="D45" t="inlineStr">
        <is>
          <t>Offtaker crisis events (1 = on)</t>
        </is>
      </c>
      <c r="E45" t="inlineStr">
        <is>
          <t>flag</t>
        </is>
      </c>
      <c r="F45" s="6">
        <f>INDEX($J$22:$X$22,1,Scenario)</f>
        <v/>
      </c>
    </row>
    <row r="46">
      <c r="D46" t="inlineStr">
        <is>
          <t>Insurance market step-up from 2022H2 (1 = on)</t>
        </is>
      </c>
      <c r="E46" t="inlineStr">
        <is>
          <t>flag</t>
        </is>
      </c>
      <c r="F46" s="6">
        <f>INDEX($J$23:$X$23,1,Scenario)</f>
        <v/>
      </c>
    </row>
    <row r="47">
      <c r="D47" t="inlineStr">
        <is>
          <t>Repayment profile (1 FC contract, 2 COD re-sculpted)</t>
        </is>
      </c>
      <c r="E47" t="inlineStr">
        <is>
          <t>code</t>
        </is>
      </c>
      <c r="F47" s="6">
        <f>INDEX($J$24:$X$24,1,Scenario)</f>
        <v/>
      </c>
    </row>
    <row r="48">
      <c r="D48" t="inlineStr">
        <is>
          <t>Performance LD prepayment June 2022 (1 = on)</t>
        </is>
      </c>
      <c r="E48" t="inlineStr">
        <is>
          <t>flag</t>
        </is>
      </c>
      <c r="F48" s="6">
        <f>INDEX($J$25:$X$25,1,Scenario)</f>
        <v/>
      </c>
    </row>
    <row r="49">
      <c r="D49" t="inlineStr">
        <is>
          <t>Waiver and amendment 2023 (1 = on)</t>
        </is>
      </c>
      <c r="E49" t="inlineStr">
        <is>
          <t>flag</t>
        </is>
      </c>
      <c r="F49" s="6">
        <f>INDEX($J$26:$X$26,1,Scenario)</f>
        <v/>
      </c>
    </row>
    <row r="50">
      <c r="D50" t="inlineStr">
        <is>
          <t>2025 bond refinancing (1 = on)</t>
        </is>
      </c>
      <c r="E50" t="inlineStr">
        <is>
          <t>flag</t>
        </is>
      </c>
      <c r="F50" s="6">
        <f>INDEX($J$27:$X$27,1,Scenario)</f>
        <v/>
      </c>
    </row>
    <row r="51">
      <c r="D51" t="inlineStr">
        <is>
          <t>Funding mode (1 committed amounts, 2 re-grossed pro rata)</t>
        </is>
      </c>
      <c r="E51" t="inlineStr">
        <is>
          <t>code</t>
        </is>
      </c>
      <c r="F51" s="6">
        <f>INDEX($J$28:$X$28,1,Scenario)</f>
        <v/>
      </c>
    </row>
    <row r="52">
      <c r="D52" t="inlineStr">
        <is>
          <t>Soft mini-perm sweep (1 = on)</t>
        </is>
      </c>
      <c r="E52" t="inlineStr">
        <is>
          <t>flag</t>
        </is>
      </c>
      <c r="F52" s="6">
        <f>INDEX($J$29:$X$29,1,Scenario)</f>
        <v/>
      </c>
    </row>
    <row r="53">
      <c r="D53" t="inlineStr">
        <is>
          <t>Shareholder loan share of equity</t>
        </is>
      </c>
      <c r="E53" t="inlineStr">
        <is>
          <t>fraction</t>
        </is>
      </c>
      <c r="F53" s="6">
        <f>INDEX($J$30:$X$30,1,Scenario)</f>
        <v/>
      </c>
    </row>
    <row r="54">
      <c r="D54" t="inlineStr">
        <is>
          <t>Capital charge factor</t>
        </is>
      </c>
      <c r="E54" t="inlineStr">
        <is>
          <t>factor</t>
        </is>
      </c>
      <c r="F54" s="6">
        <f>INDEX($J$31:$X$31,1,Scenario)</f>
        <v/>
      </c>
    </row>
    <row r="55">
      <c r="D55" t="inlineStr">
        <is>
          <t>Actual 2022 dispatch path (1 = on)</t>
        </is>
      </c>
      <c r="E55" t="inlineStr">
        <is>
          <t>flag</t>
        </is>
      </c>
      <c r="F55" s="6">
        <f>INDEX($J$32:$X$32,1,Scenario)</f>
        <v/>
      </c>
    </row>
    <row r="56">
      <c r="B56" s="2" t="inlineStr">
        <is>
          <t>Capital cost (USD m unless stated)</t>
        </is>
      </c>
    </row>
    <row r="57">
      <c r="D57" t="inlineStr">
        <is>
          <t>EPC contract price</t>
        </is>
      </c>
      <c r="E57" t="inlineStr">
        <is>
          <t>USD m</t>
        </is>
      </c>
      <c r="F57" s="7" t="n">
        <v>571.84</v>
      </c>
    </row>
    <row r="58">
      <c r="D58" t="inlineStr">
        <is>
          <t>of which offshore portion</t>
        </is>
      </c>
      <c r="E58" t="inlineStr">
        <is>
          <t>USD m</t>
        </is>
      </c>
      <c r="F58" s="7" t="n">
        <v>489.17</v>
      </c>
    </row>
    <row r="59">
      <c r="D59" t="inlineStr">
        <is>
          <t>of which onshore portion</t>
        </is>
      </c>
      <c r="E59" t="inlineStr">
        <is>
          <t>USD m</t>
        </is>
      </c>
      <c r="F59" s="7" t="n">
        <v>82.67</v>
      </c>
    </row>
    <row r="60">
      <c r="D60" t="inlineStr">
        <is>
          <t>Onshore portion fixed in KCR at</t>
        </is>
      </c>
      <c r="E60" t="inlineStr">
        <is>
          <t>KCR/USD</t>
        </is>
      </c>
      <c r="F60" s="7" t="n">
        <v>519.4</v>
      </c>
    </row>
    <row r="61">
      <c r="D61" t="inlineStr">
        <is>
          <t>Owner's costs</t>
        </is>
      </c>
      <c r="E61" t="inlineStr">
        <is>
          <t>USD m</t>
        </is>
      </c>
      <c r="F61" s="7" t="n">
        <v>46.18</v>
      </c>
    </row>
    <row r="62">
      <c r="D62" t="inlineStr">
        <is>
          <t>Insurance during construction</t>
        </is>
      </c>
      <c r="E62" t="inlineStr">
        <is>
          <t>USD m</t>
        </is>
      </c>
      <c r="F62" s="7" t="n">
        <v>7.62</v>
      </c>
    </row>
    <row r="63">
      <c r="D63" t="inlineStr">
        <is>
          <t>Development costs reimbursed at FC</t>
        </is>
      </c>
      <c r="E63" t="inlineStr">
        <is>
          <t>USD m</t>
        </is>
      </c>
      <c r="F63" s="7" t="n">
        <v>21.43</v>
      </c>
    </row>
    <row r="64">
      <c r="D64" t="inlineStr">
        <is>
          <t>Development fee at FC</t>
        </is>
      </c>
      <c r="E64" t="inlineStr">
        <is>
          <t>USD m</t>
        </is>
      </c>
      <c r="F64" s="7" t="n">
        <v>11.2</v>
      </c>
    </row>
    <row r="65">
      <c r="D65" t="inlineStr">
        <is>
          <t>Lenders' advisors and legal</t>
        </is>
      </c>
      <c r="E65" t="inlineStr">
        <is>
          <t>USD m</t>
        </is>
      </c>
      <c r="F65" s="7" t="n">
        <v>8.970000000000001</v>
      </c>
    </row>
    <row r="66">
      <c r="D66" t="inlineStr">
        <is>
          <t>Contingency</t>
        </is>
      </c>
      <c r="E66" t="inlineStr">
        <is>
          <t>USD m</t>
        </is>
      </c>
      <c r="F66" s="7" t="n">
        <v>38.4</v>
      </c>
    </row>
    <row r="67">
      <c r="D67" t="inlineStr">
        <is>
          <t>Initial working capital (spares, fuel)</t>
        </is>
      </c>
      <c r="E67" t="inlineStr">
        <is>
          <t>USD m</t>
        </is>
      </c>
      <c r="F67" s="7" t="n">
        <v>5.35</v>
      </c>
    </row>
    <row r="68">
      <c r="D68" t="inlineStr">
        <is>
          <t>LNTP paid February 2018 (equity credit at FC)</t>
        </is>
      </c>
      <c r="E68" t="inlineStr">
        <is>
          <t>USD m</t>
        </is>
      </c>
      <c r="F68" s="7" t="n">
        <v>14.2</v>
      </c>
    </row>
    <row r="69">
      <c r="D69" t="inlineStr">
        <is>
          <t>Extended owner's costs (actual, months 34-40)</t>
        </is>
      </c>
      <c r="E69" t="inlineStr">
        <is>
          <t>USD m</t>
        </is>
      </c>
      <c r="F69" s="7" t="n">
        <v>6.93</v>
      </c>
    </row>
    <row r="70">
      <c r="D70" t="inlineStr">
        <is>
          <t>VAT on onshore EPC</t>
        </is>
      </c>
      <c r="E70" t="inlineStr">
        <is>
          <t>%</t>
        </is>
      </c>
      <c r="F70" s="7" t="n">
        <v>18</v>
      </c>
    </row>
    <row r="71">
      <c r="D71" t="inlineStr">
        <is>
          <t>VAT facility margin over policy rate</t>
        </is>
      </c>
      <c r="E71" t="inlineStr">
        <is>
          <t>%</t>
        </is>
      </c>
      <c r="F71" s="7" t="n">
        <v>2.5</v>
      </c>
    </row>
    <row r="72">
      <c r="D72" t="inlineStr">
        <is>
          <t>VAT facility limit</t>
        </is>
      </c>
      <c r="E72" t="inlineStr">
        <is>
          <t>KCR m</t>
        </is>
      </c>
      <c r="F72" s="7" t="n">
        <v>7900</v>
      </c>
    </row>
    <row r="73">
      <c r="D73" t="inlineStr">
        <is>
          <t>Policy rate, FC expectation</t>
        </is>
      </c>
      <c r="E73" t="inlineStr">
        <is>
          <t>%</t>
        </is>
      </c>
      <c r="F73" s="7" t="n">
        <v>13.5</v>
      </c>
    </row>
    <row r="74">
      <c r="B74" s="2" t="inlineStr">
        <is>
          <t>Senior debt terms</t>
        </is>
      </c>
    </row>
    <row r="75">
      <c r="D75" t="inlineStr">
        <is>
          <t>ECA-covered tranche share</t>
        </is>
      </c>
      <c r="E75" t="inlineStr">
        <is>
          <t>fraction</t>
        </is>
      </c>
      <c r="F75" s="7" t="n">
        <v>0.3</v>
      </c>
    </row>
    <row r="76">
      <c r="D76" t="inlineStr">
        <is>
          <t>ABDB A-loan share</t>
        </is>
      </c>
      <c r="E76" t="inlineStr">
        <is>
          <t>fraction</t>
        </is>
      </c>
      <c r="F76" s="7" t="n">
        <v>0.22</v>
      </c>
    </row>
    <row r="77">
      <c r="D77" t="inlineStr">
        <is>
          <t>ABDB B-loan share</t>
        </is>
      </c>
      <c r="E77" t="inlineStr">
        <is>
          <t>fraction</t>
        </is>
      </c>
      <c r="F77" s="7" t="n">
        <v>0.1</v>
      </c>
    </row>
    <row r="78">
      <c r="D78" t="inlineStr">
        <is>
          <t>Commercial tranche share</t>
        </is>
      </c>
      <c r="E78" t="inlineStr">
        <is>
          <t>fraction</t>
        </is>
      </c>
      <c r="F78" s="7" t="n">
        <v>0.38</v>
      </c>
    </row>
    <row r="79">
      <c r="D79" t="inlineStr">
        <is>
          <t>ECA margin</t>
        </is>
      </c>
      <c r="E79" t="inlineStr">
        <is>
          <t>%</t>
        </is>
      </c>
      <c r="F79" s="7" t="n">
        <v>1.35</v>
      </c>
    </row>
    <row r="80">
      <c r="D80" t="inlineStr">
        <is>
          <t>A-loan margin</t>
        </is>
      </c>
      <c r="E80" t="inlineStr">
        <is>
          <t>%</t>
        </is>
      </c>
      <c r="F80" s="7" t="n">
        <v>3.65</v>
      </c>
    </row>
    <row r="81">
      <c r="D81" t="inlineStr">
        <is>
          <t>B-loan margin</t>
        </is>
      </c>
      <c r="E81" t="inlineStr">
        <is>
          <t>%</t>
        </is>
      </c>
      <c r="F81" s="7" t="n">
        <v>3.4</v>
      </c>
    </row>
    <row r="82">
      <c r="D82" t="inlineStr">
        <is>
          <t>Commercial margin to 2025</t>
        </is>
      </c>
      <c r="E82" t="inlineStr">
        <is>
          <t>%</t>
        </is>
      </c>
      <c r="F82" s="7" t="n">
        <v>4.1</v>
      </c>
    </row>
    <row r="83">
      <c r="D83" t="inlineStr">
        <is>
          <t>Commercial margin 2026-2029</t>
        </is>
      </c>
      <c r="E83" t="inlineStr">
        <is>
          <t>%</t>
        </is>
      </c>
      <c r="F83" s="7" t="n">
        <v>4.6</v>
      </c>
    </row>
    <row r="84">
      <c r="D84" t="inlineStr">
        <is>
          <t>Commercial margin from 2030</t>
        </is>
      </c>
      <c r="E84" t="inlineStr">
        <is>
          <t>%</t>
        </is>
      </c>
      <c r="F84" s="7" t="n">
        <v>5.1</v>
      </c>
    </row>
    <row r="85">
      <c r="D85" t="inlineStr">
        <is>
          <t>ECA commitment fee</t>
        </is>
      </c>
      <c r="E85" t="inlineStr">
        <is>
          <t>% pa</t>
        </is>
      </c>
      <c r="F85" s="7" t="n">
        <v>0.45</v>
      </c>
    </row>
    <row r="86">
      <c r="D86" t="inlineStr">
        <is>
          <t>A-loan commitment fee</t>
        </is>
      </c>
      <c r="E86" t="inlineStr">
        <is>
          <t>% pa</t>
        </is>
      </c>
      <c r="F86" s="7" t="n">
        <v>0.75</v>
      </c>
    </row>
    <row r="87">
      <c r="D87" t="inlineStr">
        <is>
          <t>B-loan commitment fee</t>
        </is>
      </c>
      <c r="E87" t="inlineStr">
        <is>
          <t>% pa</t>
        </is>
      </c>
      <c r="F87" s="7" t="n">
        <v>0.85</v>
      </c>
    </row>
    <row r="88">
      <c r="D88" t="inlineStr">
        <is>
          <t>Commercial commitment fee (% of margin)</t>
        </is>
      </c>
      <c r="E88" t="inlineStr">
        <is>
          <t>%</t>
        </is>
      </c>
      <c r="F88" s="7" t="n">
        <v>40</v>
      </c>
    </row>
    <row r="89">
      <c r="D89" t="inlineStr">
        <is>
          <t>ECA arrangement fee</t>
        </is>
      </c>
      <c r="E89" t="inlineStr">
        <is>
          <t>%</t>
        </is>
      </c>
      <c r="F89" s="7" t="n">
        <v>1.1</v>
      </c>
    </row>
    <row r="90">
      <c r="D90" t="inlineStr">
        <is>
          <t>A-loan front-end fee</t>
        </is>
      </c>
      <c r="E90" t="inlineStr">
        <is>
          <t>%</t>
        </is>
      </c>
      <c r="F90" s="7" t="n">
        <v>1.25</v>
      </c>
    </row>
    <row r="91">
      <c r="D91" t="inlineStr">
        <is>
          <t>B-loan upfront fee</t>
        </is>
      </c>
      <c r="E91" t="inlineStr">
        <is>
          <t>%</t>
        </is>
      </c>
      <c r="F91" s="7" t="n">
        <v>1.5</v>
      </c>
    </row>
    <row r="92">
      <c r="D92" t="inlineStr">
        <is>
          <t>Commercial upfront fee</t>
        </is>
      </c>
      <c r="E92" t="inlineStr">
        <is>
          <t>%</t>
        </is>
      </c>
      <c r="F92" s="7" t="n">
        <v>2.15</v>
      </c>
    </row>
    <row r="93">
      <c r="D93" t="inlineStr">
        <is>
          <t>Withholding tax on commercial interest (grossed up)</t>
        </is>
      </c>
      <c r="E93" t="inlineStr">
        <is>
          <t>%</t>
        </is>
      </c>
      <c r="F93" s="7" t="n">
        <v>10</v>
      </c>
    </row>
    <row r="94">
      <c r="D94" t="inlineStr">
        <is>
          <t>ECA premium (% of ECA drawdowns, financed)</t>
        </is>
      </c>
      <c r="E94" t="inlineStr">
        <is>
          <t>%</t>
        </is>
      </c>
      <c r="F94" s="7" t="n">
        <v>10.85</v>
      </c>
    </row>
    <row r="95">
      <c r="D95" t="inlineStr">
        <is>
          <t>PRI premium</t>
        </is>
      </c>
      <c r="E95" t="inlineStr">
        <is>
          <t>% pa</t>
        </is>
      </c>
      <c r="F95" s="7" t="n">
        <v>1.15</v>
      </c>
    </row>
    <row r="96">
      <c r="D96" t="inlineStr">
        <is>
          <t>PRI cover of commercial tranche</t>
        </is>
      </c>
      <c r="E96" t="inlineStr">
        <is>
          <t>%</t>
        </is>
      </c>
      <c r="F96" s="7" t="n">
        <v>90</v>
      </c>
    </row>
    <row r="97">
      <c r="D97" t="inlineStr">
        <is>
          <t>Swap fixed rate</t>
        </is>
      </c>
      <c r="E97" t="inlineStr">
        <is>
          <t>%</t>
        </is>
      </c>
      <c r="F97" s="7" t="n">
        <v>2.947</v>
      </c>
    </row>
    <row r="98">
      <c r="D98" t="inlineStr">
        <is>
          <t>ISDA 6M spread adjustment</t>
        </is>
      </c>
      <c r="E98" t="inlineStr">
        <is>
          <t>%</t>
        </is>
      </c>
      <c r="F98" s="7" t="n">
        <v>0.42826</v>
      </c>
    </row>
    <row r="99">
      <c r="D99" t="inlineStr">
        <is>
          <t>Standby facility</t>
        </is>
      </c>
      <c r="E99" t="inlineStr">
        <is>
          <t>USD m</t>
        </is>
      </c>
      <c r="F99" s="7" t="n">
        <v>46</v>
      </c>
    </row>
    <row r="100">
      <c r="D100" t="inlineStr">
        <is>
          <t>Standby commitment fee</t>
        </is>
      </c>
      <c r="E100" t="inlineStr">
        <is>
          <t>% pa</t>
        </is>
      </c>
      <c r="F100" s="7" t="n">
        <v>0.6</v>
      </c>
    </row>
    <row r="101">
      <c r="D101" t="inlineStr">
        <is>
          <t>Standby margin over tranche margin</t>
        </is>
      </c>
      <c r="E101" t="inlineStr">
        <is>
          <t>%</t>
        </is>
      </c>
      <c r="F101" s="7" t="n">
        <v>0.25</v>
      </c>
    </row>
    <row r="102">
      <c r="D102" t="inlineStr">
        <is>
          <t>Standby commercial share</t>
        </is>
      </c>
      <c r="E102" t="inlineStr">
        <is>
          <t>fraction</t>
        </is>
      </c>
      <c r="F102" s="7" t="n">
        <v>0.6</v>
      </c>
    </row>
    <row r="103">
      <c r="D103" t="inlineStr">
        <is>
          <t>Contingent equity</t>
        </is>
      </c>
      <c r="E103" t="inlineStr">
        <is>
          <t>USD m</t>
        </is>
      </c>
      <c r="F103" s="7" t="n">
        <v>15.4</v>
      </c>
    </row>
    <row r="104">
      <c r="D104" t="inlineStr">
        <is>
          <t>Shareholder loan rate</t>
        </is>
      </c>
      <c r="E104" t="inlineStr">
        <is>
          <t>% pa</t>
        </is>
      </c>
      <c r="F104" s="7" t="n">
        <v>9.5</v>
      </c>
    </row>
    <row r="105">
      <c r="D105" t="inlineStr">
        <is>
          <t>Gearing cap</t>
        </is>
      </c>
      <c r="E105" t="inlineStr">
        <is>
          <t>fraction</t>
        </is>
      </c>
      <c r="F105" s="7" t="n">
        <v>0.75</v>
      </c>
    </row>
    <row r="106">
      <c r="D106" t="inlineStr">
        <is>
          <t>Sizing DSCR target</t>
        </is>
      </c>
      <c r="E106" t="inlineStr">
        <is>
          <t>x</t>
        </is>
      </c>
      <c r="F106" s="7" t="n">
        <v>1.35</v>
      </c>
    </row>
    <row r="107">
      <c r="D107" t="inlineStr">
        <is>
          <t>Agency and account fees</t>
        </is>
      </c>
      <c r="E107" t="inlineStr">
        <is>
          <t>USD m pa</t>
        </is>
      </c>
      <c r="F107" s="7" t="n">
        <v>0.255</v>
      </c>
    </row>
    <row r="108">
      <c r="D108" t="inlineStr">
        <is>
          <t>Lock-up historic DSCR</t>
        </is>
      </c>
      <c r="E108" t="inlineStr">
        <is>
          <t>x</t>
        </is>
      </c>
      <c r="F108" s="7" t="n">
        <v>1.2</v>
      </c>
    </row>
    <row r="109">
      <c r="D109" t="inlineStr">
        <is>
          <t>Event of default DSCR</t>
        </is>
      </c>
      <c r="E109" t="inlineStr">
        <is>
          <t>x</t>
        </is>
      </c>
      <c r="F109" s="7" t="n">
        <v>1.1</v>
      </c>
    </row>
    <row r="110">
      <c r="D110" t="inlineStr">
        <is>
          <t>Waiver release DSCR (two consecutive tests)</t>
        </is>
      </c>
      <c r="E110" t="inlineStr">
        <is>
          <t>x</t>
        </is>
      </c>
      <c r="F110" s="7" t="n">
        <v>1.25</v>
      </c>
    </row>
    <row r="111">
      <c r="D111" t="inlineStr">
        <is>
          <t>Soft mini-perm sweep share (from 2027)</t>
        </is>
      </c>
      <c r="E111" t="inlineStr">
        <is>
          <t>fraction</t>
        </is>
      </c>
      <c r="F111" s="7" t="n">
        <v>0.5</v>
      </c>
    </row>
    <row r="112">
      <c r="B112" s="2" t="inlineStr">
        <is>
          <t>Contract terms fixed at financial close (from the FC base sizing run)</t>
        </is>
      </c>
    </row>
    <row r="113">
      <c r="D113" t="inlineStr">
        <is>
          <t>Senior debt commitment (total, 4 tranches)</t>
        </is>
      </c>
      <c r="E113" t="inlineStr">
        <is>
          <t>USD m</t>
        </is>
      </c>
      <c r="F113" s="7" t="n">
        <v>654.6335649688092</v>
      </c>
    </row>
    <row r="114">
      <c r="D114" t="inlineStr">
        <is>
          <t>Equity commitment (base, incl. LNTP)</t>
        </is>
      </c>
      <c r="E114" t="inlineStr">
        <is>
          <t>USD m</t>
        </is>
      </c>
      <c r="F114" s="7" t="n">
        <v>205.2822002103596</v>
      </c>
    </row>
    <row r="115">
      <c r="B115" s="2" t="inlineStr">
        <is>
          <t>Plant and PPA</t>
        </is>
      </c>
    </row>
    <row r="116">
      <c r="D116" t="inlineStr">
        <is>
          <t>Contracted capacity (FC)</t>
        </is>
      </c>
      <c r="E116" t="inlineStr">
        <is>
          <t>MW</t>
        </is>
      </c>
      <c r="F116" s="7" t="n">
        <v>588.4</v>
      </c>
    </row>
    <row r="117">
      <c r="D117" t="inlineStr">
        <is>
          <t>Contracted capacity after tests</t>
        </is>
      </c>
      <c r="E117" t="inlineStr">
        <is>
          <t>MW</t>
        </is>
      </c>
      <c r="F117" s="7" t="n">
        <v>581.9</v>
      </c>
    </row>
    <row r="118">
      <c r="D118" t="inlineStr">
        <is>
          <t>Guaranteed net heat rate</t>
        </is>
      </c>
      <c r="E118" t="inlineStr">
        <is>
          <t>kJ/kWh</t>
        </is>
      </c>
      <c r="F118" s="7" t="n">
        <v>6261</v>
      </c>
    </row>
    <row r="119">
      <c r="D119" t="inlineStr">
        <is>
          <t>Tested net heat rate</t>
        </is>
      </c>
      <c r="E119" t="inlineStr">
        <is>
          <t>kJ/kWh</t>
        </is>
      </c>
      <c r="F119" s="7" t="n">
        <v>6286</v>
      </c>
    </row>
    <row r="120">
      <c r="D120" t="inlineStr">
        <is>
          <t>PPA contracted heat rate</t>
        </is>
      </c>
      <c r="E120" t="inlineStr">
        <is>
          <t>kJ/kWh</t>
        </is>
      </c>
      <c r="F120" s="7" t="n">
        <v>6323</v>
      </c>
    </row>
    <row r="121">
      <c r="D121" t="inlineStr">
        <is>
          <t>Contracted HR degradation allowance</t>
        </is>
      </c>
      <c r="E121" t="inlineStr">
        <is>
          <t>% pa</t>
        </is>
      </c>
      <c r="F121" s="7" t="n">
        <v>0.1</v>
      </c>
    </row>
    <row r="122">
      <c r="D122" t="inlineStr">
        <is>
          <t>Average part-load penalty</t>
        </is>
      </c>
      <c r="E122" t="inlineStr">
        <is>
          <t>%</t>
        </is>
      </c>
      <c r="F122" s="7" t="n">
        <v>2.3</v>
      </c>
    </row>
    <row r="123">
      <c r="D123" t="inlineStr">
        <is>
          <t>HHV/LHV ratio</t>
        </is>
      </c>
      <c r="E123" t="inlineStr">
        <is>
          <t>factor</t>
        </is>
      </c>
      <c r="F123" s="7" t="n">
        <v>1.108</v>
      </c>
    </row>
    <row r="124">
      <c r="D124" t="inlineStr">
        <is>
          <t>kJ per MMBtu</t>
        </is>
      </c>
      <c r="E124" t="inlineStr">
        <is>
          <t>kJ</t>
        </is>
      </c>
      <c r="F124" s="7" t="n">
        <v>1055056</v>
      </c>
    </row>
    <row r="125">
      <c r="D125" t="inlineStr">
        <is>
          <t>Output degradation, non-recoverable</t>
        </is>
      </c>
      <c r="E125" t="inlineStr">
        <is>
          <t>% pa</t>
        </is>
      </c>
      <c r="F125" s="7" t="n">
        <v>0.15</v>
      </c>
    </row>
    <row r="126">
      <c r="D126" t="inlineStr">
        <is>
          <t>Output degradation, recoverable average</t>
        </is>
      </c>
      <c r="E126" t="inlineStr">
        <is>
          <t>%</t>
        </is>
      </c>
      <c r="F126" s="7" t="n">
        <v>1</v>
      </c>
    </row>
    <row r="127">
      <c r="D127" t="inlineStr">
        <is>
          <t>Heat-rate degradation, non-recoverable</t>
        </is>
      </c>
      <c r="E127" t="inlineStr">
        <is>
          <t>% pa</t>
        </is>
      </c>
      <c r="F127" s="7" t="n">
        <v>0.12</v>
      </c>
    </row>
    <row r="128">
      <c r="D128" t="inlineStr">
        <is>
          <t>Heat-rate degradation, recoverable average</t>
        </is>
      </c>
      <c r="E128" t="inlineStr">
        <is>
          <t>%</t>
        </is>
      </c>
      <c r="F128" s="7" t="n">
        <v>0.8</v>
      </c>
    </row>
    <row r="129">
      <c r="D129" t="inlineStr">
        <is>
          <t>GT operating hours per year</t>
        </is>
      </c>
      <c r="E129" t="inlineStr">
        <is>
          <t>h</t>
        </is>
      </c>
      <c r="F129" s="7" t="n">
        <v>8059</v>
      </c>
    </row>
    <row r="130">
      <c r="D130" t="inlineStr">
        <is>
          <t>GT starts per year</t>
        </is>
      </c>
      <c r="E130" t="inlineStr">
        <is>
          <t>starts</t>
        </is>
      </c>
      <c r="F130" s="7" t="n">
        <v>38</v>
      </c>
    </row>
    <row r="131">
      <c r="D131" t="inlineStr">
        <is>
          <t>Base dispatch for GT hours</t>
        </is>
      </c>
      <c r="E131" t="inlineStr">
        <is>
          <t>%</t>
        </is>
      </c>
      <c r="F131" s="7" t="n">
        <v>76.5</v>
      </c>
    </row>
    <row r="132">
      <c r="D132" t="inlineStr">
        <is>
          <t>EOH per start</t>
        </is>
      </c>
      <c r="E132" t="inlineStr">
        <is>
          <t>h</t>
        </is>
      </c>
      <c r="F132" s="7" t="n">
        <v>10</v>
      </c>
    </row>
    <row r="133">
      <c r="D133" t="inlineStr">
        <is>
          <t>PPA availability target</t>
        </is>
      </c>
      <c r="E133" t="inlineStr">
        <is>
          <t>%</t>
        </is>
      </c>
      <c r="F133" s="7" t="n">
        <v>90</v>
      </c>
    </row>
    <row r="134">
      <c r="D134" t="inlineStr">
        <is>
          <t>Capital charge (Nov 2016 prices)</t>
        </is>
      </c>
      <c r="E134" t="inlineStr">
        <is>
          <t>USD/kW-month</t>
        </is>
      </c>
      <c r="F134" s="7" t="n">
        <v>14.36</v>
      </c>
    </row>
    <row r="135">
      <c r="D135" t="inlineStr">
        <is>
          <t>Capital charge indexed share</t>
        </is>
      </c>
      <c r="E135" t="inlineStr">
        <is>
          <t>fraction</t>
        </is>
      </c>
      <c r="F135" s="7" t="n">
        <v>0.2</v>
      </c>
    </row>
    <row r="136">
      <c r="D136" t="inlineStr">
        <is>
          <t>Fixed O&amp;M charge</t>
        </is>
      </c>
      <c r="E136" t="inlineStr">
        <is>
          <t>USD/kW-month</t>
        </is>
      </c>
      <c r="F136" s="7" t="n">
        <v>2.31</v>
      </c>
    </row>
    <row r="137">
      <c r="D137" t="inlineStr">
        <is>
          <t>Fixed O&amp;M US CPI share</t>
        </is>
      </c>
      <c r="E137" t="inlineStr">
        <is>
          <t>fraction</t>
        </is>
      </c>
      <c r="F137" s="7" t="n">
        <v>0.62</v>
      </c>
    </row>
    <row r="138">
      <c r="D138" t="inlineStr">
        <is>
          <t>Bid base FX rate</t>
        </is>
      </c>
      <c r="E138" t="inlineStr">
        <is>
          <t>KCR/USD</t>
        </is>
      </c>
      <c r="F138" s="7" t="n">
        <v>462.35</v>
      </c>
    </row>
    <row r="139">
      <c r="D139" t="inlineStr">
        <is>
          <t>Variable O&amp;M charge</t>
        </is>
      </c>
      <c r="E139" t="inlineStr">
        <is>
          <t>USD/MWh</t>
        </is>
      </c>
      <c r="F139" s="7" t="n">
        <v>3.86</v>
      </c>
    </row>
    <row r="140">
      <c r="D140" t="inlineStr">
        <is>
          <t>VOM US CPI share</t>
        </is>
      </c>
      <c r="E140" t="inlineStr">
        <is>
          <t>fraction</t>
        </is>
      </c>
      <c r="F140" s="7" t="n">
        <v>0.7</v>
      </c>
    </row>
    <row r="141">
      <c r="B141" s="2" t="inlineStr">
        <is>
          <t>Fuel and transport</t>
        </is>
      </c>
    </row>
    <row r="142">
      <c r="D142" t="inlineStr">
        <is>
          <t>GSA gas price 2018</t>
        </is>
      </c>
      <c r="E142" t="inlineStr">
        <is>
          <t>USD/MMBtu</t>
        </is>
      </c>
      <c r="F142" s="7" t="n">
        <v>5.86</v>
      </c>
    </row>
    <row r="143">
      <c r="D143" t="inlineStr">
        <is>
          <t>GSA escalation</t>
        </is>
      </c>
      <c r="E143" t="inlineStr">
        <is>
          <t>% pa</t>
        </is>
      </c>
      <c r="F143" s="7" t="n">
        <v>2</v>
      </c>
    </row>
    <row r="144">
      <c r="D144" t="inlineStr">
        <is>
          <t>Daily contract quantity</t>
        </is>
      </c>
      <c r="E144" t="inlineStr">
        <is>
          <t>MMBtu/d</t>
        </is>
      </c>
      <c r="F144" s="7" t="n">
        <v>72400</v>
      </c>
    </row>
    <row r="145">
      <c r="D145" t="inlineStr">
        <is>
          <t>Take-or-pay level</t>
        </is>
      </c>
      <c r="E145" t="inlineStr">
        <is>
          <t>fraction</t>
        </is>
      </c>
      <c r="F145" s="7" t="n">
        <v>0.8</v>
      </c>
    </row>
    <row r="146">
      <c r="D146" t="inlineStr">
        <is>
          <t>GTA reserved capacity</t>
        </is>
      </c>
      <c r="E146" t="inlineStr">
        <is>
          <t>MMBtu/d</t>
        </is>
      </c>
      <c r="F146" s="7" t="n">
        <v>96500</v>
      </c>
    </row>
    <row r="147">
      <c r="D147" t="inlineStr">
        <is>
          <t>GTA reservation charge 2018</t>
        </is>
      </c>
      <c r="E147" t="inlineStr">
        <is>
          <t>USD/MMBtu</t>
        </is>
      </c>
      <c r="F147" s="7" t="n">
        <v>0.62</v>
      </c>
    </row>
    <row r="148">
      <c r="D148" t="inlineStr">
        <is>
          <t>GTA commodity charge 2018</t>
        </is>
      </c>
      <c r="E148" t="inlineStr">
        <is>
          <t>USD/MMBtu</t>
        </is>
      </c>
      <c r="F148" s="7" t="n">
        <v>0.19</v>
      </c>
    </row>
    <row r="149">
      <c r="D149" t="inlineStr">
        <is>
          <t>GTA escalation</t>
        </is>
      </c>
      <c r="E149" t="inlineStr">
        <is>
          <t>% pa</t>
        </is>
      </c>
      <c r="F149" s="7" t="n">
        <v>1.5</v>
      </c>
    </row>
    <row r="150">
      <c r="B150" s="2" t="inlineStr">
        <is>
          <t>Operating costs (2018 prices)</t>
        </is>
      </c>
    </row>
    <row r="151">
      <c r="D151" t="inlineStr">
        <is>
          <t>O&amp;M fixed fee</t>
        </is>
      </c>
      <c r="E151" t="inlineStr">
        <is>
          <t>USD m pa</t>
        </is>
      </c>
      <c r="F151" s="7" t="n">
        <v>7.92</v>
      </c>
    </row>
    <row r="152">
      <c r="D152" t="inlineStr">
        <is>
          <t>O&amp;M USD share</t>
        </is>
      </c>
      <c r="E152" t="inlineStr">
        <is>
          <t>fraction</t>
        </is>
      </c>
      <c r="F152" s="7" t="n">
        <v>0.65</v>
      </c>
    </row>
    <row r="153">
      <c r="D153" t="inlineStr">
        <is>
          <t>KCR conversion rate for 2018-price local costs</t>
        </is>
      </c>
      <c r="E153" t="inlineStr">
        <is>
          <t>KCR/USD</t>
        </is>
      </c>
      <c r="F153" s="7" t="n">
        <v>516.8</v>
      </c>
    </row>
    <row r="154">
      <c r="D154" t="inlineStr">
        <is>
          <t>O&amp;M availability incentive (max)</t>
        </is>
      </c>
      <c r="E154" t="inlineStr">
        <is>
          <t>USD m pa</t>
        </is>
      </c>
      <c r="F154" s="7" t="n">
        <v>0.6</v>
      </c>
    </row>
    <row r="155">
      <c r="D155" t="inlineStr">
        <is>
          <t>LTSA fixed fee</t>
        </is>
      </c>
      <c r="E155" t="inlineStr">
        <is>
          <t>USD m pa</t>
        </is>
      </c>
      <c r="F155" s="7" t="n">
        <v>2.64</v>
      </c>
    </row>
    <row r="156">
      <c r="D156" t="inlineStr">
        <is>
          <t>LTSA variable fee</t>
        </is>
      </c>
      <c r="E156" t="inlineStr">
        <is>
          <t>USD/EOH/GT</t>
        </is>
      </c>
      <c r="F156" s="7" t="n">
        <v>486</v>
      </c>
    </row>
    <row r="157">
      <c r="D157" t="inlineStr">
        <is>
          <t>Operational insurance</t>
        </is>
      </c>
      <c r="E157" t="inlineStr">
        <is>
          <t>USD m pa</t>
        </is>
      </c>
      <c r="F157" s="7" t="n">
        <v>4.37</v>
      </c>
    </row>
    <row r="158">
      <c r="D158" t="inlineStr">
        <is>
          <t>Insurance market step-up (actual, from 2022H2)</t>
        </is>
      </c>
      <c r="E158" t="inlineStr">
        <is>
          <t>fraction</t>
        </is>
      </c>
      <c r="F158" s="7" t="n">
        <v>0.18</v>
      </c>
    </row>
    <row r="159">
      <c r="D159" t="inlineStr">
        <is>
          <t>Project company G&amp;A</t>
        </is>
      </c>
      <c r="E159" t="inlineStr">
        <is>
          <t>USD m pa</t>
        </is>
      </c>
      <c r="F159" s="7" t="n">
        <v>3.18</v>
      </c>
    </row>
    <row r="160">
      <c r="D160" t="inlineStr">
        <is>
          <t>Land lease and permits</t>
        </is>
      </c>
      <c r="E160" t="inlineStr">
        <is>
          <t>KCR m pa</t>
        </is>
      </c>
      <c r="F160" s="7" t="n">
        <v>368</v>
      </c>
    </row>
    <row r="161">
      <c r="D161" t="inlineStr">
        <is>
          <t>Community fund + OREK levy</t>
        </is>
      </c>
      <c r="E161" t="inlineStr">
        <is>
          <t>% of non-fuel revenue</t>
        </is>
      </c>
      <c r="F161" s="7" t="n">
        <v>0.55</v>
      </c>
    </row>
    <row r="162">
      <c r="D162" t="inlineStr">
        <is>
          <t>Variable consumables</t>
        </is>
      </c>
      <c r="E162" t="inlineStr">
        <is>
          <t>USD/MWh</t>
        </is>
      </c>
      <c r="F162" s="7" t="n">
        <v>1.08</v>
      </c>
    </row>
    <row r="163">
      <c r="D163" t="inlineStr">
        <is>
          <t>ABDB PRG fee (0.75% x USD 41.5m)</t>
        </is>
      </c>
      <c r="E163" t="inlineStr">
        <is>
          <t>USD m pa</t>
        </is>
      </c>
      <c r="F163" s="7" t="n">
        <v>0.31125</v>
      </c>
    </row>
    <row r="164">
      <c r="D164" t="inlineStr">
        <is>
          <t>Major maintenance outside LTSA (OY8, 16, 24)</t>
        </is>
      </c>
      <c r="E164" t="inlineStr">
        <is>
          <t>USD m</t>
        </is>
      </c>
      <c r="F164" s="7" t="n">
        <v>9.470000000000001</v>
      </c>
    </row>
    <row r="165">
      <c r="D165" t="inlineStr">
        <is>
          <t>HRSG/BOP works outside LTSA (OY4, 12, 20)</t>
        </is>
      </c>
      <c r="E165" t="inlineStr">
        <is>
          <t>USD m</t>
        </is>
      </c>
      <c r="F165" s="7" t="n">
        <v>2.18</v>
      </c>
    </row>
    <row r="166">
      <c r="D166" t="inlineStr">
        <is>
          <t>Handback reserve from OY20</t>
        </is>
      </c>
      <c r="E166" t="inlineStr">
        <is>
          <t>USD m pa</t>
        </is>
      </c>
      <c r="F166" s="7" t="n">
        <v>1.85</v>
      </c>
    </row>
    <row r="167">
      <c r="B167" s="2" t="inlineStr">
        <is>
          <t>Working capital</t>
        </is>
      </c>
    </row>
    <row r="168">
      <c r="D168" t="inlineStr">
        <is>
          <t>Receivable days</t>
        </is>
      </c>
      <c r="E168" t="inlineStr">
        <is>
          <t>days</t>
        </is>
      </c>
      <c r="F168" s="7" t="n">
        <v>45</v>
      </c>
    </row>
    <row r="169">
      <c r="D169" t="inlineStr">
        <is>
          <t>Gas payable days</t>
        </is>
      </c>
      <c r="E169" t="inlineStr">
        <is>
          <t>days</t>
        </is>
      </c>
      <c r="F169" s="7" t="n">
        <v>45</v>
      </c>
    </row>
    <row r="170">
      <c r="D170" t="inlineStr">
        <is>
          <t>GTA payable days</t>
        </is>
      </c>
      <c r="E170" t="inlineStr">
        <is>
          <t>days</t>
        </is>
      </c>
      <c r="F170" s="7" t="n">
        <v>30</v>
      </c>
    </row>
    <row r="171">
      <c r="D171" t="inlineStr">
        <is>
          <t>O&amp;M/LTSA payable days</t>
        </is>
      </c>
      <c r="E171" t="inlineStr">
        <is>
          <t>days</t>
        </is>
      </c>
      <c r="F171" s="7" t="n">
        <v>30</v>
      </c>
    </row>
    <row r="172">
      <c r="D172" t="inlineStr">
        <is>
          <t>Other payable days</t>
        </is>
      </c>
      <c r="E172" t="inlineStr">
        <is>
          <t>days</t>
        </is>
      </c>
      <c r="F172" s="7" t="n">
        <v>30</v>
      </c>
    </row>
    <row r="173">
      <c r="B173" s="2" t="inlineStr">
        <is>
          <t>Tax</t>
        </is>
      </c>
    </row>
    <row r="174">
      <c r="D174" t="inlineStr">
        <is>
          <t>Corporate income tax</t>
        </is>
      </c>
      <c r="E174" t="inlineStr">
        <is>
          <t>%</t>
        </is>
      </c>
      <c r="F174" s="7" t="n">
        <v>30</v>
      </c>
    </row>
    <row r="175">
      <c r="D175" t="inlineStr">
        <is>
          <t>Reduced rate OY6-OY8</t>
        </is>
      </c>
      <c r="E175" t="inlineStr">
        <is>
          <t>%</t>
        </is>
      </c>
      <c r="F175" s="7" t="n">
        <v>15</v>
      </c>
    </row>
    <row r="176">
      <c r="D176" t="inlineStr">
        <is>
          <t>Minimum turnover tax (non-fuel revenue, from OY6)</t>
        </is>
      </c>
      <c r="E176" t="inlineStr">
        <is>
          <t>%</t>
        </is>
      </c>
      <c r="F176" s="7" t="n">
        <v>0.5</v>
      </c>
    </row>
    <row r="177">
      <c r="D177" t="inlineStr">
        <is>
          <t>Plant share of capitalized cost</t>
        </is>
      </c>
      <c r="E177" t="inlineStr">
        <is>
          <t>fraction</t>
        </is>
      </c>
      <c r="F177" s="7" t="n">
        <v>0.92</v>
      </c>
    </row>
    <row r="178">
      <c r="D178" t="inlineStr">
        <is>
          <t>Plant life</t>
        </is>
      </c>
      <c r="E178" t="inlineStr">
        <is>
          <t>months</t>
        </is>
      </c>
      <c r="F178" s="7" t="n">
        <v>240</v>
      </c>
    </row>
    <row r="179">
      <c r="D179" t="inlineStr">
        <is>
          <t>Buildings share</t>
        </is>
      </c>
      <c r="E179" t="inlineStr">
        <is>
          <t>fraction</t>
        </is>
      </c>
      <c r="F179" s="7" t="n">
        <v>0.05</v>
      </c>
    </row>
    <row r="180">
      <c r="D180" t="inlineStr">
        <is>
          <t>Buildings life</t>
        </is>
      </c>
      <c r="E180" t="inlineStr">
        <is>
          <t>months</t>
        </is>
      </c>
      <c r="F180" s="7" t="n">
        <v>300</v>
      </c>
    </row>
    <row r="181">
      <c r="D181" t="inlineStr">
        <is>
          <t>Intangibles share</t>
        </is>
      </c>
      <c r="E181" t="inlineStr">
        <is>
          <t>fraction</t>
        </is>
      </c>
      <c r="F181" s="7" t="n">
        <v>0.03</v>
      </c>
    </row>
    <row r="182">
      <c r="D182" t="inlineStr">
        <is>
          <t>Intangibles life</t>
        </is>
      </c>
      <c r="E182" t="inlineStr">
        <is>
          <t>months</t>
        </is>
      </c>
      <c r="F182" s="7" t="n">
        <v>60</v>
      </c>
    </row>
    <row r="183">
      <c r="D183" t="inlineStr">
        <is>
          <t>Thin capitalization ratio (SHL to equity)</t>
        </is>
      </c>
      <c r="E183" t="inlineStr">
        <is>
          <t>x</t>
        </is>
      </c>
      <c r="F183" s="7" t="n">
        <v>3</v>
      </c>
    </row>
    <row r="184">
      <c r="D184" t="inlineStr">
        <is>
          <t>Deferred tax rate</t>
        </is>
      </c>
      <c r="E184" t="inlineStr">
        <is>
          <t>%</t>
        </is>
      </c>
      <c r="F184" s="7" t="n">
        <v>30</v>
      </c>
    </row>
    <row r="185">
      <c r="B185" s="2" t="inlineStr">
        <is>
          <t>Timing and event dates (all dates are inputs; flags on the Time sheet read them)</t>
        </is>
      </c>
    </row>
    <row r="186">
      <c r="D186" t="inlineStr">
        <is>
          <t>LNTP payment date</t>
        </is>
      </c>
      <c r="E186" t="inlineStr">
        <is>
          <t>date</t>
        </is>
      </c>
      <c r="F186" s="8" t="n">
        <v>43136</v>
      </c>
    </row>
    <row r="187">
      <c r="D187" t="inlineStr">
        <is>
          <t>Financial close</t>
        </is>
      </c>
      <c r="E187" t="inlineStr">
        <is>
          <t>date</t>
        </is>
      </c>
      <c r="F187" s="8" t="n">
        <v>43298</v>
      </c>
    </row>
    <row r="188">
      <c r="D188" t="inlineStr">
        <is>
          <t>Notice to proceed (Month 1 start)</t>
        </is>
      </c>
      <c r="E188" t="inlineStr">
        <is>
          <t>date</t>
        </is>
      </c>
      <c r="F188" s="8" t="n">
        <v>43313</v>
      </c>
    </row>
    <row r="189">
      <c r="D189" t="inlineStr">
        <is>
          <t>First semiannual period start</t>
        </is>
      </c>
      <c r="E189" t="inlineStr">
        <is>
          <t>date</t>
        </is>
      </c>
      <c r="F189" s="8" t="n">
        <v>43282</v>
      </c>
    </row>
    <row r="190">
      <c r="D190" t="inlineStr">
        <is>
          <t>COD, FC base</t>
        </is>
      </c>
      <c r="E190" t="inlineStr">
        <is>
          <t>date</t>
        </is>
      </c>
      <c r="F190" s="8" t="n">
        <v>44317</v>
      </c>
    </row>
    <row r="191">
      <c r="D191" t="inlineStr">
        <is>
          <t>COD, actual</t>
        </is>
      </c>
      <c r="E191" t="inlineStr">
        <is>
          <t>date</t>
        </is>
      </c>
      <c r="F191" s="8" t="n">
        <v>44531</v>
      </c>
    </row>
    <row r="192">
      <c r="D192" t="inlineStr">
        <is>
          <t>Final maturity, bank debt</t>
        </is>
      </c>
      <c r="E192" t="inlineStr">
        <is>
          <t>date</t>
        </is>
      </c>
      <c r="F192" s="8" t="n">
        <v>49125</v>
      </c>
    </row>
    <row r="193">
      <c r="D193" t="inlineStr">
        <is>
          <t>Start of devaluation, payment-delay and base-rate sensitivities</t>
        </is>
      </c>
      <c r="E193" t="inlineStr">
        <is>
          <t>date</t>
        </is>
      </c>
      <c r="F193" s="8" t="n">
        <v>44562</v>
      </c>
    </row>
    <row r="194">
      <c r="D194" t="inlineStr">
        <is>
          <t>COD re-forecast: first projected period</t>
        </is>
      </c>
      <c r="E194" t="inlineStr">
        <is>
          <t>date</t>
        </is>
      </c>
      <c r="F194" s="8" t="n">
        <v>44562</v>
      </c>
    </row>
    <row r="195">
      <c r="D195" t="inlineStr">
        <is>
          <t>Insurance step-up from</t>
        </is>
      </c>
      <c r="E195" t="inlineStr">
        <is>
          <t>date</t>
        </is>
      </c>
      <c r="F195" s="8" t="n">
        <v>44743</v>
      </c>
    </row>
    <row r="196">
      <c r="D196" t="inlineStr">
        <is>
          <t>Loans switch to Term SOFR + CAS</t>
        </is>
      </c>
      <c r="E196" t="inlineStr">
        <is>
          <t>date</t>
        </is>
      </c>
      <c r="F196" s="8" t="n">
        <v>44927</v>
      </c>
    </row>
    <row r="197">
      <c r="D197" t="inlineStr">
        <is>
          <t>Arrears settlement agreement</t>
        </is>
      </c>
      <c r="E197" t="inlineStr">
        <is>
          <t>date</t>
        </is>
      </c>
      <c r="F197" s="8" t="n">
        <v>45372</v>
      </c>
    </row>
    <row r="198">
      <c r="D198" t="inlineStr">
        <is>
          <t>Performance LD prepayment date</t>
        </is>
      </c>
      <c r="E198" t="inlineStr">
        <is>
          <t>date</t>
        </is>
      </c>
      <c r="F198" s="8" t="n">
        <v>44742</v>
      </c>
    </row>
    <row r="199">
      <c r="D199" t="inlineStr">
        <is>
          <t>First waived test date</t>
        </is>
      </c>
      <c r="E199" t="inlineStr">
        <is>
          <t>date</t>
        </is>
      </c>
      <c r="F199" s="8" t="n">
        <v>45107</v>
      </c>
    </row>
    <row r="200">
      <c r="D200" t="inlineStr">
        <is>
          <t>Second waived test date (principal deferral)</t>
        </is>
      </c>
      <c r="E200" t="inlineStr">
        <is>
          <t>date</t>
        </is>
      </c>
      <c r="F200" s="8" t="n">
        <v>45291</v>
      </c>
    </row>
    <row r="201">
      <c r="D201" t="inlineStr">
        <is>
          <t>Margin uplift from</t>
        </is>
      </c>
      <c r="E201" t="inlineStr">
        <is>
          <t>date</t>
        </is>
      </c>
      <c r="F201" s="8" t="n">
        <v>45108</v>
      </c>
    </row>
    <row r="202">
      <c r="D202" t="inlineStr">
        <is>
          <t>Margin uplift to</t>
        </is>
      </c>
      <c r="E202" t="inlineStr">
        <is>
          <t>date</t>
        </is>
      </c>
      <c r="F202" s="8" t="n">
        <v>45657</v>
      </c>
    </row>
    <row r="203">
      <c r="D203" t="inlineStr">
        <is>
          <t>First deferred repayment</t>
        </is>
      </c>
      <c r="E203" t="inlineStr">
        <is>
          <t>date</t>
        </is>
      </c>
      <c r="F203" s="8" t="n">
        <v>45473</v>
      </c>
    </row>
    <row r="204">
      <c r="D204" t="inlineStr">
        <is>
          <t>Last deferred repayment</t>
        </is>
      </c>
      <c r="E204" t="inlineStr">
        <is>
          <t>date</t>
        </is>
      </c>
      <c r="F204" s="8" t="n">
        <v>46022</v>
      </c>
    </row>
    <row r="205">
      <c r="D205" t="inlineStr">
        <is>
          <t>Refinancing settlement</t>
        </is>
      </c>
      <c r="E205" t="inlineStr">
        <is>
          <t>date</t>
        </is>
      </c>
      <c r="F205" s="8" t="n">
        <v>45838</v>
      </c>
    </row>
    <row r="206">
      <c r="D206" t="inlineStr">
        <is>
          <t>Soft mini-perm sweep from</t>
        </is>
      </c>
      <c r="E206" t="inlineStr">
        <is>
          <t>date</t>
        </is>
      </c>
      <c r="F206" s="8" t="n">
        <v>46388</v>
      </c>
    </row>
    <row r="207">
      <c r="D207" t="inlineStr">
        <is>
          <t>Commercial margin step 1 from</t>
        </is>
      </c>
      <c r="E207" t="inlineStr">
        <is>
          <t>date</t>
        </is>
      </c>
      <c r="F207" s="8" t="n">
        <v>46023</v>
      </c>
    </row>
    <row r="208">
      <c r="D208" t="inlineStr">
        <is>
          <t>Commercial margin step 2 from</t>
        </is>
      </c>
      <c r="E208" t="inlineStr">
        <is>
          <t>date</t>
        </is>
      </c>
      <c r="F208" s="8" t="n">
        <v>47484</v>
      </c>
    </row>
    <row r="209">
      <c r="B209" s="2" t="inlineStr">
        <is>
          <t>Structural constants (FAST: no numbers inside calculation formulas)</t>
        </is>
      </c>
    </row>
    <row r="210">
      <c r="D210" t="inlineStr">
        <is>
          <t>PPA term</t>
        </is>
      </c>
      <c r="E210" t="inlineStr">
        <is>
          <t>years</t>
        </is>
      </c>
      <c r="F210" s="7" t="n">
        <v>25</v>
      </c>
    </row>
    <row r="211">
      <c r="D211" t="inlineStr">
        <is>
          <t>Length of the shock sensitivities</t>
        </is>
      </c>
      <c r="E211" t="inlineStr">
        <is>
          <t>months</t>
        </is>
      </c>
      <c r="F211" s="7" t="n">
        <v>12</v>
      </c>
    </row>
    <row r="212">
      <c r="D212" t="inlineStr">
        <is>
          <t>Mid-period offset for FC FX drift</t>
        </is>
      </c>
      <c r="E212" t="inlineStr">
        <is>
          <t>periods</t>
        </is>
      </c>
      <c r="F212" s="7" t="n">
        <v>0.5</v>
      </c>
    </row>
    <row r="213">
      <c r="D213" t="inlineStr">
        <is>
          <t>FC Kessara CPI expectation</t>
        </is>
      </c>
      <c r="E213" t="inlineStr">
        <is>
          <t>%</t>
        </is>
      </c>
      <c r="F213" s="7" t="n">
        <v>7.5</v>
      </c>
    </row>
    <row r="214">
      <c r="D214" t="inlineStr">
        <is>
          <t>FC US CPI expectation</t>
        </is>
      </c>
      <c r="E214" t="inlineStr">
        <is>
          <t>%</t>
        </is>
      </c>
      <c r="F214" s="7" t="n">
        <v>2.2</v>
      </c>
    </row>
    <row r="215">
      <c r="D215" t="inlineStr">
        <is>
          <t>Hours per month (8,760 / 12)</t>
        </is>
      </c>
      <c r="E215" t="inlineStr">
        <is>
          <t>h</t>
        </is>
      </c>
      <c r="F215" s="7" t="n">
        <v>730</v>
      </c>
    </row>
    <row r="216">
      <c r="D216" t="inlineStr">
        <is>
          <t>O&amp;M incentive zero point</t>
        </is>
      </c>
      <c r="E216" t="inlineStr">
        <is>
          <t>%</t>
        </is>
      </c>
      <c r="F216" s="7" t="n">
        <v>92</v>
      </c>
    </row>
    <row r="217">
      <c r="D217" t="inlineStr">
        <is>
          <t>O&amp;M incentive band (points to full incentive)</t>
        </is>
      </c>
      <c r="E217" t="inlineStr">
        <is>
          <t>points</t>
        </is>
      </c>
      <c r="F217" s="7" t="n">
        <v>3</v>
      </c>
    </row>
    <row r="218">
      <c r="D218" t="inlineStr">
        <is>
          <t>G&amp;A US CPI share</t>
        </is>
      </c>
      <c r="E218" t="inlineStr">
        <is>
          <t>fraction</t>
        </is>
      </c>
      <c r="F218" s="7" t="n">
        <v>0.5</v>
      </c>
    </row>
    <row r="219">
      <c r="D219" t="inlineStr">
        <is>
          <t>Consumables US CPI share</t>
        </is>
      </c>
      <c r="E219" t="inlineStr">
        <is>
          <t>fraction</t>
        </is>
      </c>
      <c r="F219" s="7" t="n">
        <v>0.7</v>
      </c>
    </row>
    <row r="220">
      <c r="D220" t="inlineStr">
        <is>
          <t>Availability profile cycle</t>
        </is>
      </c>
      <c r="E220" t="inlineStr">
        <is>
          <t>years</t>
        </is>
      </c>
      <c r="F220" s="7" t="n">
        <v>8</v>
      </c>
    </row>
    <row r="221">
      <c r="D221" t="inlineStr">
        <is>
          <t>Month of the operating year when out-of-LTSA maintenance is spent</t>
        </is>
      </c>
      <c r="E221" t="inlineStr">
        <is>
          <t>month</t>
        </is>
      </c>
      <c r="F221" s="7" t="n">
        <v>7</v>
      </c>
    </row>
    <row r="222">
      <c r="D222" t="inlineStr">
        <is>
          <t>Last operating year with out-of-LTSA maintenance</t>
        </is>
      </c>
      <c r="E222" t="inlineStr">
        <is>
          <t>OY</t>
        </is>
      </c>
      <c r="F222" s="7" t="n">
        <v>24</v>
      </c>
    </row>
    <row r="223">
      <c r="D223" t="inlineStr">
        <is>
          <t>Major overhaul cycle</t>
        </is>
      </c>
      <c r="E223" t="inlineStr">
        <is>
          <t>years</t>
        </is>
      </c>
      <c r="F223" s="7" t="n">
        <v>8</v>
      </c>
    </row>
    <row r="224">
      <c r="D224" t="inlineStr">
        <is>
          <t>HRSG/BOP works cycle</t>
        </is>
      </c>
      <c r="E224" t="inlineStr">
        <is>
          <t>years</t>
        </is>
      </c>
      <c r="F224" s="7" t="n">
        <v>4</v>
      </c>
    </row>
    <row r="225">
      <c r="D225" t="inlineStr">
        <is>
          <t>MMRA accumulation periods (window fixed at six columns)</t>
        </is>
      </c>
      <c r="E225" t="inlineStr">
        <is>
          <t>periods</t>
        </is>
      </c>
      <c r="F225" s="7" t="n">
        <v>6</v>
      </c>
    </row>
    <row r="226">
      <c r="D226" t="inlineStr">
        <is>
          <t>Months per operating period</t>
        </is>
      </c>
      <c r="E226" t="inlineStr">
        <is>
          <t>months</t>
        </is>
      </c>
      <c r="F226" s="7" t="n">
        <v>6</v>
      </c>
    </row>
    <row r="227">
      <c r="D227" t="inlineStr">
        <is>
          <t>Handback reserve from operating year</t>
        </is>
      </c>
      <c r="E227" t="inlineStr">
        <is>
          <t>OY</t>
        </is>
      </c>
      <c r="F227" s="7" t="n">
        <v>20</v>
      </c>
    </row>
    <row r="228">
      <c r="D228" t="inlineStr">
        <is>
          <t>Full tax exemption</t>
        </is>
      </c>
      <c r="E228" t="inlineStr">
        <is>
          <t>years</t>
        </is>
      </c>
      <c r="F228" s="7" t="n">
        <v>5</v>
      </c>
    </row>
    <row r="229">
      <c r="D229" t="inlineStr">
        <is>
          <t>Reduced rate to end of operating year</t>
        </is>
      </c>
      <c r="E229" t="inlineStr">
        <is>
          <t>OY</t>
        </is>
      </c>
      <c r="F229" s="7" t="n">
        <v>8</v>
      </c>
    </row>
    <row r="230">
      <c r="D230" t="inlineStr">
        <is>
          <t>Index base year (index = 100 at November)</t>
        </is>
      </c>
      <c r="E230" t="inlineStr">
        <is>
          <t>year</t>
        </is>
      </c>
      <c r="F230" s="7" t="n">
        <v>2016</v>
      </c>
    </row>
    <row r="231">
      <c r="D231" t="inlineStr">
        <is>
          <t>Index base month</t>
        </is>
      </c>
      <c r="E231" t="inlineStr">
        <is>
          <t>month</t>
        </is>
      </c>
      <c r="F231" s="7" t="n">
        <v>11</v>
      </c>
    </row>
    <row r="232">
      <c r="D232" t="inlineStr">
        <is>
          <t>Index base value</t>
        </is>
      </c>
      <c r="E232" t="inlineStr">
        <is>
          <t>index</t>
        </is>
      </c>
      <c r="F232" s="7" t="n">
        <v>100</v>
      </c>
    </row>
    <row r="233">
      <c r="D233" t="inlineStr">
        <is>
          <t>First cost reading month (September 2018)</t>
        </is>
      </c>
      <c r="E233" t="inlineStr">
        <is>
          <t>month</t>
        </is>
      </c>
      <c r="F233" s="7" t="n">
        <v>9</v>
      </c>
    </row>
    <row r="234">
      <c r="D234" t="inlineStr">
        <is>
          <t>First tariff reading month (March 2018)</t>
        </is>
      </c>
      <c r="E234" t="inlineStr">
        <is>
          <t>month</t>
        </is>
      </c>
      <c r="F234" s="7" t="n">
        <v>3</v>
      </c>
    </row>
    <row r="235">
      <c r="D235" t="inlineStr">
        <is>
          <t>2018 price base month (June 2018)</t>
        </is>
      </c>
      <c r="E235" t="inlineStr">
        <is>
          <t>month</t>
        </is>
      </c>
      <c r="F235" s="7" t="n">
        <v>6</v>
      </c>
    </row>
    <row r="236">
      <c r="D236" t="inlineStr">
        <is>
          <t>Reading months in the prior year for a January reset</t>
        </is>
      </c>
      <c r="E236" t="inlineStr">
        <is>
          <t>months</t>
        </is>
      </c>
      <c r="F236" s="7" t="n">
        <v>3</v>
      </c>
    </row>
    <row r="237">
      <c r="D237" t="inlineStr">
        <is>
          <t>FC EPC payment months</t>
        </is>
      </c>
      <c r="E237" t="inlineStr">
        <is>
          <t>months</t>
        </is>
      </c>
      <c r="F237" s="7" t="n">
        <v>33</v>
      </c>
    </row>
    <row r="238">
      <c r="D238" t="inlineStr">
        <is>
          <t>Taking-over payment</t>
        </is>
      </c>
      <c r="E238" t="inlineStr">
        <is>
          <t>% of EPC price</t>
        </is>
      </c>
      <c r="F238" s="7" t="n">
        <v>7.5</v>
      </c>
    </row>
    <row r="239">
      <c r="D239" t="inlineStr">
        <is>
          <t>Owner's cost rate per extra month (FC delay sensitivity)</t>
        </is>
      </c>
      <c r="E239" t="inlineStr">
        <is>
          <t>%</t>
        </is>
      </c>
      <c r="F239" s="7" t="n">
        <v>2.75</v>
      </c>
    </row>
    <row r="240">
      <c r="D240" t="inlineStr">
        <is>
          <t>Actual extension window: first month</t>
        </is>
      </c>
      <c r="E240" t="inlineStr">
        <is>
          <t>month</t>
        </is>
      </c>
      <c r="F240" s="7" t="n">
        <v>34</v>
      </c>
    </row>
    <row r="241">
      <c r="D241" t="inlineStr">
        <is>
          <t>Actual extension window: last month</t>
        </is>
      </c>
      <c r="E241" t="inlineStr">
        <is>
          <t>month</t>
        </is>
      </c>
      <c r="F241" s="7" t="n">
        <v>40</v>
      </c>
    </row>
    <row r="242">
      <c r="D242" t="inlineStr">
        <is>
          <t>Second insurance installment month</t>
        </is>
      </c>
      <c r="E242" t="inlineStr">
        <is>
          <t>month</t>
        </is>
      </c>
      <c r="F242" s="7" t="n">
        <v>18</v>
      </c>
    </row>
    <row r="243">
      <c r="D243" t="inlineStr">
        <is>
          <t>Insurance paid at FC</t>
        </is>
      </c>
      <c r="E243" t="inlineStr">
        <is>
          <t>fraction</t>
        </is>
      </c>
      <c r="F243" s="7" t="n">
        <v>0.85</v>
      </c>
    </row>
    <row r="244">
      <c r="D244" t="inlineStr">
        <is>
          <t>Lenders' advisors paid at FC</t>
        </is>
      </c>
      <c r="E244" t="inlineStr">
        <is>
          <t>fraction</t>
        </is>
      </c>
      <c r="F244" s="7" t="n">
        <v>0.7</v>
      </c>
    </row>
    <row r="245">
      <c r="D245" t="inlineStr">
        <is>
          <t>Month delay LDs and DSU are received</t>
        </is>
      </c>
      <c r="E245" t="inlineStr">
        <is>
          <t>month</t>
        </is>
      </c>
      <c r="F245" s="7" t="n">
        <v>40</v>
      </c>
    </row>
    <row r="246">
      <c r="D246" t="inlineStr">
        <is>
          <t>VAT refund lag</t>
        </is>
      </c>
      <c r="E246" t="inlineStr">
        <is>
          <t>months</t>
        </is>
      </c>
      <c r="F246" s="7" t="n">
        <v>9</v>
      </c>
    </row>
    <row r="247">
      <c r="D247" t="inlineStr">
        <is>
          <t>Day basis, USD loans</t>
        </is>
      </c>
      <c r="E247" t="inlineStr">
        <is>
          <t>days</t>
        </is>
      </c>
      <c r="F247" s="7" t="n">
        <v>360</v>
      </c>
    </row>
    <row r="248">
      <c r="D248" t="inlineStr">
        <is>
          <t>Day basis, KCR items, SHL, premiums</t>
        </is>
      </c>
      <c r="E248" t="inlineStr">
        <is>
          <t>days</t>
        </is>
      </c>
      <c r="F248" s="7" t="n">
        <v>365</v>
      </c>
    </row>
    <row r="249">
      <c r="D249" t="inlineStr">
        <is>
          <t>Standby share of overrun funding (rest contingent equity)</t>
        </is>
      </c>
      <c r="E249" t="inlineStr">
        <is>
          <t>fraction</t>
        </is>
      </c>
      <c r="F249" s="7" t="n">
        <v>0.75</v>
      </c>
    </row>
    <row r="250">
      <c r="D250" t="inlineStr">
        <is>
          <t>Number of deferred repayments</t>
        </is>
      </c>
      <c r="E250" t="inlineStr">
        <is>
          <t>count</t>
        </is>
      </c>
      <c r="F250" s="7" t="n">
        <v>4</v>
      </c>
    </row>
    <row r="251">
      <c r="D251" t="inlineStr">
        <is>
          <t>ECA-covered tranche cap</t>
        </is>
      </c>
      <c r="E251" t="inlineStr">
        <is>
          <t>USD m</t>
        </is>
      </c>
      <c r="F251" s="7" t="n">
        <v>224.1</v>
      </c>
    </row>
    <row r="252">
      <c r="D252" t="inlineStr">
        <is>
          <t>Equity NPV rate</t>
        </is>
      </c>
      <c r="E252" t="inlineStr">
        <is>
          <t>%</t>
        </is>
      </c>
      <c r="F252" s="7" t="n">
        <v>16</v>
      </c>
    </row>
    <row r="253">
      <c r="D253" t="inlineStr">
        <is>
          <t>Numerical zero (balances and debt service)</t>
        </is>
      </c>
      <c r="E253" t="inlineStr">
        <is>
          <t>USD m</t>
        </is>
      </c>
      <c r="F253" s="7" t="n">
        <v>1e-09</v>
      </c>
    </row>
    <row r="254">
      <c r="D254" t="inlineStr">
        <is>
          <t>Reserve tolerance</t>
        </is>
      </c>
      <c r="E254" t="inlineStr">
        <is>
          <t>USD m</t>
        </is>
      </c>
      <c r="F254" s="7" t="n">
        <v>1e-06</v>
      </c>
    </row>
    <row r="255">
      <c r="D255" t="inlineStr">
        <is>
          <t>XIRR starting guess, project IRR</t>
        </is>
      </c>
      <c r="E255" t="inlineStr">
        <is>
          <t>fraction</t>
        </is>
      </c>
      <c r="F255" s="7" t="n">
        <v>0.1</v>
      </c>
    </row>
    <row r="256">
      <c r="D256" t="inlineStr">
        <is>
          <t>Price base year for GSA and GTA escalation</t>
        </is>
      </c>
      <c r="E256" t="inlineStr">
        <is>
          <t>year</t>
        </is>
      </c>
      <c r="F256" s="7" t="n">
        <v>2018</v>
      </c>
    </row>
    <row r="257">
      <c r="D257" t="inlineStr">
        <is>
          <t>Consecutive lock-ups before the lock-up cash sweep</t>
        </is>
      </c>
      <c r="E257" t="inlineStr">
        <is>
          <t>count</t>
        </is>
      </c>
      <c r="F257" s="7" t="n">
        <v>2</v>
      </c>
    </row>
    <row r="258">
      <c r="D258" t="inlineStr">
        <is>
          <t>Number of gas turbines</t>
        </is>
      </c>
      <c r="E258" t="inlineStr">
        <is>
          <t>count</t>
        </is>
      </c>
      <c r="F258" s="7" t="n">
        <v>2</v>
      </c>
    </row>
    <row r="259">
      <c r="D259" t="inlineStr">
        <is>
          <t>Share of onshore KCR EPC payments hedged forward</t>
        </is>
      </c>
      <c r="E259" t="inlineStr">
        <is>
          <t>fraction</t>
        </is>
      </c>
      <c r="F259" s="7" t="n">
        <v>0.75</v>
      </c>
    </row>
    <row r="260">
      <c r="D260" t="inlineStr">
        <is>
          <t>Sculpting convergence tolerance (USD 1,000)</t>
        </is>
      </c>
      <c r="E260" t="inlineStr">
        <is>
          <t>USD m</t>
        </is>
      </c>
      <c r="F260" s="7" t="n">
        <v>0.001</v>
      </c>
    </row>
    <row r="261">
      <c r="B261" s="2" t="inlineStr">
        <is>
          <t>Events (actual history)</t>
        </is>
      </c>
    </row>
    <row r="262">
      <c r="D262" t="inlineStr">
        <is>
          <t>Share of SEKA arrears matched by deferred SNHK/GCK payables (calibration)</t>
        </is>
      </c>
      <c r="E262" t="inlineStr">
        <is>
          <t>fraction</t>
        </is>
      </c>
      <c r="F262" s="7" t="n">
        <v>0.8</v>
      </c>
    </row>
    <row r="263">
      <c r="D263" t="inlineStr">
        <is>
          <t>Late payment interest spread</t>
        </is>
      </c>
      <c r="E263" t="inlineStr">
        <is>
          <t>%</t>
        </is>
      </c>
      <c r="F263" s="7" t="n">
        <v>2</v>
      </c>
    </row>
    <row r="264">
      <c r="D264" t="inlineStr">
        <is>
          <t>Late payment interest received (1 - waived)</t>
        </is>
      </c>
      <c r="E264" t="inlineStr">
        <is>
          <t>fraction</t>
        </is>
      </c>
      <c r="F264" s="7" t="n">
        <v>0.6</v>
      </c>
    </row>
    <row r="265">
      <c r="D265" t="inlineStr">
        <is>
          <t>EPC delay LDs received Nov 2021</t>
        </is>
      </c>
      <c r="E265" t="inlineStr">
        <is>
          <t>USD m</t>
        </is>
      </c>
      <c r="F265" s="7" t="n">
        <v>10.1393</v>
      </c>
    </row>
    <row r="266">
      <c r="D266" t="inlineStr">
        <is>
          <t>DSU insurance proceeds Nov 2021</t>
        </is>
      </c>
      <c r="E266" t="inlineStr">
        <is>
          <t>USD m</t>
        </is>
      </c>
      <c r="F266" s="7" t="n">
        <v>7.0804</v>
      </c>
    </row>
    <row r="267">
      <c r="D267" t="inlineStr">
        <is>
          <t>Performance LDs (prepay June 2022)</t>
        </is>
      </c>
      <c r="E267" t="inlineStr">
        <is>
          <t>USD m</t>
        </is>
      </c>
      <c r="F267" s="7" t="n">
        <v>18.485</v>
      </c>
    </row>
    <row r="268">
      <c r="D268" t="inlineStr">
        <is>
          <t>Waiver fee</t>
        </is>
      </c>
      <c r="E268" t="inlineStr">
        <is>
          <t>% of senior debt</t>
        </is>
      </c>
      <c r="F268" s="7" t="n">
        <v>0.25</v>
      </c>
    </row>
    <row r="269">
      <c r="D269" t="inlineStr">
        <is>
          <t>Margin uplift 2023H2-2024H2</t>
        </is>
      </c>
      <c r="E269" t="inlineStr">
        <is>
          <t>%</t>
        </is>
      </c>
      <c r="F269" s="7" t="n">
        <v>0.5</v>
      </c>
    </row>
    <row r="270">
      <c r="D270" t="inlineStr">
        <is>
          <t>Deferred share of 2023-12-31 principal</t>
        </is>
      </c>
      <c r="E270" t="inlineStr">
        <is>
          <t>fraction</t>
        </is>
      </c>
      <c r="F270" s="7" t="n">
        <v>0.6</v>
      </c>
    </row>
    <row r="271">
      <c r="D271" t="inlineStr">
        <is>
          <t>Bond coupon</t>
        </is>
      </c>
      <c r="E271" t="inlineStr">
        <is>
          <t>%</t>
        </is>
      </c>
      <c r="F271" s="7" t="n">
        <v>7.875</v>
      </c>
    </row>
    <row r="272">
      <c r="D272" t="inlineStr">
        <is>
          <t>Bond issue price</t>
        </is>
      </c>
      <c r="E272" t="inlineStr">
        <is>
          <t>fraction</t>
        </is>
      </c>
      <c r="F272" s="7" t="n">
        <v>0.99512</v>
      </c>
    </row>
    <row r="273">
      <c r="D273" t="inlineStr">
        <is>
          <t>Underwriting fee</t>
        </is>
      </c>
      <c r="E273" t="inlineStr">
        <is>
          <t>fraction</t>
        </is>
      </c>
      <c r="F273" s="7" t="n">
        <v>0.01</v>
      </c>
    </row>
    <row r="274">
      <c r="D274" t="inlineStr">
        <is>
          <t>Other transaction costs</t>
        </is>
      </c>
      <c r="E274" t="inlineStr">
        <is>
          <t>USD m</t>
        </is>
      </c>
      <c r="F274" s="7" t="n">
        <v>3.1</v>
      </c>
    </row>
    <row r="275">
      <c r="D275" t="inlineStr">
        <is>
          <t>ABDB partial credit guarantee</t>
        </is>
      </c>
      <c r="E275" t="inlineStr">
        <is>
          <t>USD m</t>
        </is>
      </c>
      <c r="F275" s="7" t="n">
        <v>95</v>
      </c>
    </row>
    <row r="276">
      <c r="D276" t="inlineStr">
        <is>
          <t>PCG fee</t>
        </is>
      </c>
      <c r="E276" t="inlineStr">
        <is>
          <t>% pa</t>
        </is>
      </c>
      <c r="F276" s="7" t="n">
        <v>1.1</v>
      </c>
    </row>
    <row r="277">
      <c r="D277" t="inlineStr">
        <is>
          <t>PCG upfront fee</t>
        </is>
      </c>
      <c r="E277" t="inlineStr">
        <is>
          <t>%</t>
        </is>
      </c>
      <c r="F277" s="7" t="n">
        <v>0.75</v>
      </c>
    </row>
    <row r="278">
      <c r="D278" t="inlineStr">
        <is>
          <t>Flat swap rate for unwind</t>
        </is>
      </c>
      <c r="E278" t="inlineStr">
        <is>
          <t>%</t>
        </is>
      </c>
      <c r="F278" s="7" t="n">
        <v>3.68</v>
      </c>
    </row>
    <row r="279">
      <c r="D279" t="inlineStr">
        <is>
          <t>Share of swap terminated</t>
        </is>
      </c>
      <c r="E279" t="inlineStr">
        <is>
          <t>fraction</t>
        </is>
      </c>
      <c r="F279" s="7" t="n">
        <v>0.48</v>
      </c>
    </row>
    <row r="280">
      <c r="D280" t="inlineStr">
        <is>
          <t>Share of swap remaining after refi</t>
        </is>
      </c>
      <c r="E280" t="inlineStr">
        <is>
          <t>fraction</t>
        </is>
      </c>
      <c r="F280" s="7" t="n">
        <v>0.52</v>
      </c>
    </row>
    <row r="281">
      <c r="B281" s="2" t="inlineStr">
        <is>
          <t>Annual tables (columns J = 2015 ... ): CPI annual average change (%), policy rate (%)</t>
        </is>
      </c>
    </row>
    <row r="282">
      <c r="D282" t="inlineStr">
        <is>
          <t>Calendar year</t>
        </is>
      </c>
      <c r="E282" t="inlineStr">
        <is>
          <t>year</t>
        </is>
      </c>
      <c r="J282" s="5" t="n">
        <v>2015</v>
      </c>
      <c r="K282" s="5" t="n">
        <v>2016</v>
      </c>
      <c r="L282" s="5" t="n">
        <v>2017</v>
      </c>
      <c r="M282" s="5" t="n">
        <v>2018</v>
      </c>
      <c r="N282" s="5" t="n">
        <v>2019</v>
      </c>
      <c r="O282" s="5" t="n">
        <v>2020</v>
      </c>
      <c r="P282" s="5" t="n">
        <v>2021</v>
      </c>
      <c r="Q282" s="5" t="n">
        <v>2022</v>
      </c>
      <c r="R282" s="5" t="n">
        <v>2023</v>
      </c>
      <c r="S282" s="5" t="n">
        <v>2024</v>
      </c>
      <c r="T282" s="5" t="n">
        <v>2025</v>
      </c>
      <c r="U282" s="5" t="n">
        <v>2026</v>
      </c>
      <c r="V282" s="5" t="n">
        <v>2027</v>
      </c>
      <c r="W282" s="5" t="n">
        <v>2028</v>
      </c>
      <c r="X282" s="5" t="n">
        <v>2029</v>
      </c>
      <c r="Y282" s="5" t="n">
        <v>2030</v>
      </c>
      <c r="Z282" s="5" t="n">
        <v>2031</v>
      </c>
      <c r="AA282" s="5" t="n">
        <v>2032</v>
      </c>
      <c r="AB282" s="5" t="n">
        <v>2033</v>
      </c>
      <c r="AC282" s="5" t="n">
        <v>2034</v>
      </c>
      <c r="AD282" s="5" t="n">
        <v>2035</v>
      </c>
      <c r="AE282" s="5" t="n">
        <v>2036</v>
      </c>
      <c r="AF282" s="5" t="n">
        <v>2037</v>
      </c>
      <c r="AG282" s="5" t="n">
        <v>2038</v>
      </c>
      <c r="AH282" s="5" t="n">
        <v>2039</v>
      </c>
      <c r="AI282" s="5" t="n">
        <v>2040</v>
      </c>
      <c r="AJ282" s="5" t="n">
        <v>2041</v>
      </c>
      <c r="AK282" s="5" t="n">
        <v>2042</v>
      </c>
      <c r="AL282" s="5" t="n">
        <v>2043</v>
      </c>
      <c r="AM282" s="5" t="n">
        <v>2044</v>
      </c>
      <c r="AN282" s="5" t="n">
        <v>2045</v>
      </c>
      <c r="AO282" s="5" t="n">
        <v>2046</v>
      </c>
      <c r="AP282" s="5" t="n">
        <v>2047</v>
      </c>
      <c r="AQ282" s="5" t="n">
        <v>2048</v>
      </c>
      <c r="AR282" s="5" t="n">
        <v>2049</v>
      </c>
    </row>
    <row r="283">
      <c r="D283" t="inlineStr">
        <is>
          <t>US CPI, FC expectation</t>
        </is>
      </c>
      <c r="E283" t="inlineStr">
        <is>
          <t>%</t>
        </is>
      </c>
      <c r="J283" s="5" t="n">
        <v>0.1</v>
      </c>
      <c r="K283" s="5" t="n">
        <v>1.3</v>
      </c>
      <c r="L283" s="5" t="n">
        <v>2.1</v>
      </c>
      <c r="M283" s="5" t="n">
        <v>2.2</v>
      </c>
      <c r="N283" s="5" t="n">
        <v>2.2</v>
      </c>
      <c r="O283" s="5" t="n">
        <v>2.2</v>
      </c>
      <c r="P283" s="5" t="n">
        <v>2.2</v>
      </c>
      <c r="Q283" s="5" t="n">
        <v>2.2</v>
      </c>
      <c r="R283" s="5" t="n">
        <v>2.2</v>
      </c>
      <c r="S283" s="5" t="n">
        <v>2.2</v>
      </c>
      <c r="T283" s="5" t="n">
        <v>2.2</v>
      </c>
      <c r="U283" s="5" t="n">
        <v>2.2</v>
      </c>
      <c r="V283" s="5" t="n">
        <v>2.2</v>
      </c>
      <c r="W283" s="5" t="n">
        <v>2.2</v>
      </c>
      <c r="X283" s="5" t="n">
        <v>2.2</v>
      </c>
      <c r="Y283" s="5" t="n">
        <v>2.2</v>
      </c>
      <c r="Z283" s="5" t="n">
        <v>2.2</v>
      </c>
      <c r="AA283" s="5" t="n">
        <v>2.2</v>
      </c>
      <c r="AB283" s="5" t="n">
        <v>2.2</v>
      </c>
      <c r="AC283" s="5" t="n">
        <v>2.2</v>
      </c>
      <c r="AD283" s="5" t="n">
        <v>2.2</v>
      </c>
      <c r="AE283" s="5" t="n">
        <v>2.2</v>
      </c>
      <c r="AF283" s="5" t="n">
        <v>2.2</v>
      </c>
      <c r="AG283" s="5" t="n">
        <v>2.2</v>
      </c>
      <c r="AH283" s="5" t="n">
        <v>2.2</v>
      </c>
      <c r="AI283" s="5" t="n">
        <v>2.2</v>
      </c>
      <c r="AJ283" s="5" t="n">
        <v>2.2</v>
      </c>
      <c r="AK283" s="5" t="n">
        <v>2.2</v>
      </c>
      <c r="AL283" s="5" t="n">
        <v>2.2</v>
      </c>
      <c r="AM283" s="5" t="n">
        <v>2.2</v>
      </c>
      <c r="AN283" s="5" t="n">
        <v>2.2</v>
      </c>
      <c r="AO283" s="5" t="n">
        <v>2.2</v>
      </c>
      <c r="AP283" s="5" t="n">
        <v>2.2</v>
      </c>
      <c r="AQ283" s="5" t="n">
        <v>2.2</v>
      </c>
      <c r="AR283" s="5" t="n">
        <v>2.2</v>
      </c>
    </row>
    <row r="284">
      <c r="D284" t="inlineStr">
        <is>
          <t>Kessara CPI, FC expectation</t>
        </is>
      </c>
      <c r="E284" t="inlineStr">
        <is>
          <t>%</t>
        </is>
      </c>
      <c r="J284" s="5" t="n">
        <v>8.699999999999999</v>
      </c>
      <c r="K284" s="5" t="n">
        <v>9.4</v>
      </c>
      <c r="L284" s="5" t="n">
        <v>8.1</v>
      </c>
      <c r="M284" s="5" t="n">
        <v>7.5</v>
      </c>
      <c r="N284" s="5" t="n">
        <v>7.5</v>
      </c>
      <c r="O284" s="5" t="n">
        <v>7.5</v>
      </c>
      <c r="P284" s="5" t="n">
        <v>7.5</v>
      </c>
      <c r="Q284" s="5" t="n">
        <v>7.5</v>
      </c>
      <c r="R284" s="5" t="n">
        <v>7.5</v>
      </c>
      <c r="S284" s="5" t="n">
        <v>7.5</v>
      </c>
      <c r="T284" s="5" t="n">
        <v>7.5</v>
      </c>
      <c r="U284" s="5" t="n">
        <v>7.5</v>
      </c>
      <c r="V284" s="5" t="n">
        <v>7.5</v>
      </c>
      <c r="W284" s="5" t="n">
        <v>7.5</v>
      </c>
      <c r="X284" s="5" t="n">
        <v>7.5</v>
      </c>
      <c r="Y284" s="5" t="n">
        <v>7.5</v>
      </c>
      <c r="Z284" s="5" t="n">
        <v>7.5</v>
      </c>
      <c r="AA284" s="5" t="n">
        <v>7.5</v>
      </c>
      <c r="AB284" s="5" t="n">
        <v>7.5</v>
      </c>
      <c r="AC284" s="5" t="n">
        <v>7.5</v>
      </c>
      <c r="AD284" s="5" t="n">
        <v>7.5</v>
      </c>
      <c r="AE284" s="5" t="n">
        <v>7.5</v>
      </c>
      <c r="AF284" s="5" t="n">
        <v>7.5</v>
      </c>
      <c r="AG284" s="5" t="n">
        <v>7.5</v>
      </c>
      <c r="AH284" s="5" t="n">
        <v>7.5</v>
      </c>
      <c r="AI284" s="5" t="n">
        <v>7.5</v>
      </c>
      <c r="AJ284" s="5" t="n">
        <v>7.5</v>
      </c>
      <c r="AK284" s="5" t="n">
        <v>7.5</v>
      </c>
      <c r="AL284" s="5" t="n">
        <v>7.5</v>
      </c>
      <c r="AM284" s="5" t="n">
        <v>7.5</v>
      </c>
      <c r="AN284" s="5" t="n">
        <v>7.5</v>
      </c>
      <c r="AO284" s="5" t="n">
        <v>7.5</v>
      </c>
      <c r="AP284" s="5" t="n">
        <v>7.5</v>
      </c>
      <c r="AQ284" s="5" t="n">
        <v>7.5</v>
      </c>
      <c r="AR284" s="5" t="n">
        <v>7.5</v>
      </c>
    </row>
    <row r="285">
      <c r="D285" t="inlineStr">
        <is>
          <t>US CPI, actual history + assumptions</t>
        </is>
      </c>
      <c r="E285" t="inlineStr">
        <is>
          <t>%</t>
        </is>
      </c>
      <c r="J285" s="5" t="n">
        <v>0.1</v>
      </c>
      <c r="K285" s="5" t="n">
        <v>1.3</v>
      </c>
      <c r="L285" s="5" t="n">
        <v>2.1</v>
      </c>
      <c r="M285" s="5" t="n">
        <v>2.4</v>
      </c>
      <c r="N285" s="5" t="n">
        <v>1.8</v>
      </c>
      <c r="O285" s="5" t="n">
        <v>1.2</v>
      </c>
      <c r="P285" s="5" t="n">
        <v>4.7</v>
      </c>
      <c r="Q285" s="5" t="n">
        <v>8</v>
      </c>
      <c r="R285" s="5" t="n">
        <v>4.1</v>
      </c>
      <c r="S285" s="5" t="n">
        <v>2.9</v>
      </c>
      <c r="T285" s="5" t="n">
        <v>2.7</v>
      </c>
      <c r="U285" s="5" t="n">
        <v>2.6</v>
      </c>
      <c r="V285" s="5" t="n">
        <v>2.3</v>
      </c>
      <c r="W285" s="5" t="n">
        <v>2.3</v>
      </c>
      <c r="X285" s="5" t="n">
        <v>2.3</v>
      </c>
      <c r="Y285" s="5" t="n">
        <v>2.3</v>
      </c>
      <c r="Z285" s="5" t="n">
        <v>2.3</v>
      </c>
      <c r="AA285" s="5" t="n">
        <v>2.3</v>
      </c>
      <c r="AB285" s="5" t="n">
        <v>2.3</v>
      </c>
      <c r="AC285" s="5" t="n">
        <v>2.3</v>
      </c>
      <c r="AD285" s="5" t="n">
        <v>2.3</v>
      </c>
      <c r="AE285" s="5" t="n">
        <v>2.3</v>
      </c>
      <c r="AF285" s="5" t="n">
        <v>2.3</v>
      </c>
      <c r="AG285" s="5" t="n">
        <v>2.3</v>
      </c>
      <c r="AH285" s="5" t="n">
        <v>2.3</v>
      </c>
      <c r="AI285" s="5" t="n">
        <v>2.3</v>
      </c>
      <c r="AJ285" s="5" t="n">
        <v>2.3</v>
      </c>
      <c r="AK285" s="5" t="n">
        <v>2.3</v>
      </c>
      <c r="AL285" s="5" t="n">
        <v>2.3</v>
      </c>
      <c r="AM285" s="5" t="n">
        <v>2.3</v>
      </c>
      <c r="AN285" s="5" t="n">
        <v>2.3</v>
      </c>
      <c r="AO285" s="5" t="n">
        <v>2.3</v>
      </c>
      <c r="AP285" s="5" t="n">
        <v>2.3</v>
      </c>
      <c r="AQ285" s="5" t="n">
        <v>2.3</v>
      </c>
      <c r="AR285" s="5" t="n">
        <v>2.3</v>
      </c>
    </row>
    <row r="286">
      <c r="D286" t="inlineStr">
        <is>
          <t>Kessara CPI, actual history + assumptions</t>
        </is>
      </c>
      <c r="E286" t="inlineStr">
        <is>
          <t>%</t>
        </is>
      </c>
      <c r="J286" s="5" t="n">
        <v>8.699999999999999</v>
      </c>
      <c r="K286" s="5" t="n">
        <v>9.4</v>
      </c>
      <c r="L286" s="5" t="n">
        <v>8.1</v>
      </c>
      <c r="M286" s="5" t="n">
        <v>7.6</v>
      </c>
      <c r="N286" s="5" t="n">
        <v>7.9</v>
      </c>
      <c r="O286" s="5" t="n">
        <v>9.800000000000001</v>
      </c>
      <c r="P286" s="5" t="n">
        <v>10.6</v>
      </c>
      <c r="Q286" s="5" t="n">
        <v>26.3</v>
      </c>
      <c r="R286" s="5" t="n">
        <v>34.8</v>
      </c>
      <c r="S286" s="5" t="n">
        <v>19.2</v>
      </c>
      <c r="T286" s="5" t="n">
        <v>12.4</v>
      </c>
      <c r="U286" s="5" t="n">
        <v>9.6</v>
      </c>
      <c r="V286" s="5" t="n">
        <v>8</v>
      </c>
      <c r="W286" s="5" t="n">
        <v>7</v>
      </c>
      <c r="X286" s="5" t="n">
        <v>7</v>
      </c>
      <c r="Y286" s="5" t="n">
        <v>7</v>
      </c>
      <c r="Z286" s="5" t="n">
        <v>7</v>
      </c>
      <c r="AA286" s="5" t="n">
        <v>7</v>
      </c>
      <c r="AB286" s="5" t="n">
        <v>7</v>
      </c>
      <c r="AC286" s="5" t="n">
        <v>7</v>
      </c>
      <c r="AD286" s="5" t="n">
        <v>7</v>
      </c>
      <c r="AE286" s="5" t="n">
        <v>7</v>
      </c>
      <c r="AF286" s="5" t="n">
        <v>7</v>
      </c>
      <c r="AG286" s="5" t="n">
        <v>7</v>
      </c>
      <c r="AH286" s="5" t="n">
        <v>7</v>
      </c>
      <c r="AI286" s="5" t="n">
        <v>7</v>
      </c>
      <c r="AJ286" s="5" t="n">
        <v>7</v>
      </c>
      <c r="AK286" s="5" t="n">
        <v>7</v>
      </c>
      <c r="AL286" s="5" t="n">
        <v>7</v>
      </c>
      <c r="AM286" s="5" t="n">
        <v>7</v>
      </c>
      <c r="AN286" s="5" t="n">
        <v>7</v>
      </c>
      <c r="AO286" s="5" t="n">
        <v>7</v>
      </c>
      <c r="AP286" s="5" t="n">
        <v>7</v>
      </c>
      <c r="AQ286" s="5" t="n">
        <v>7</v>
      </c>
      <c r="AR286" s="5" t="n">
        <v>7</v>
      </c>
    </row>
    <row r="287">
      <c r="D287" t="inlineStr">
        <is>
          <t>US CPI, COD re-forecast</t>
        </is>
      </c>
      <c r="E287" t="inlineStr">
        <is>
          <t>%</t>
        </is>
      </c>
      <c r="J287" s="5" t="n">
        <v>0.1</v>
      </c>
      <c r="K287" s="5" t="n">
        <v>1.3</v>
      </c>
      <c r="L287" s="5" t="n">
        <v>2.1</v>
      </c>
      <c r="M287" s="5" t="n">
        <v>2.4</v>
      </c>
      <c r="N287" s="5" t="n">
        <v>1.8</v>
      </c>
      <c r="O287" s="5" t="n">
        <v>1.2</v>
      </c>
      <c r="P287" s="5" t="n">
        <v>4.7</v>
      </c>
      <c r="Q287" s="5" t="n">
        <v>2.2</v>
      </c>
      <c r="R287" s="5" t="n">
        <v>2.2</v>
      </c>
      <c r="S287" s="5" t="n">
        <v>2.2</v>
      </c>
      <c r="T287" s="5" t="n">
        <v>2.2</v>
      </c>
      <c r="U287" s="5" t="n">
        <v>2.2</v>
      </c>
      <c r="V287" s="5" t="n">
        <v>2.2</v>
      </c>
      <c r="W287" s="5" t="n">
        <v>2.2</v>
      </c>
      <c r="X287" s="5" t="n">
        <v>2.2</v>
      </c>
      <c r="Y287" s="5" t="n">
        <v>2.2</v>
      </c>
      <c r="Z287" s="5" t="n">
        <v>2.2</v>
      </c>
      <c r="AA287" s="5" t="n">
        <v>2.2</v>
      </c>
      <c r="AB287" s="5" t="n">
        <v>2.2</v>
      </c>
      <c r="AC287" s="5" t="n">
        <v>2.2</v>
      </c>
      <c r="AD287" s="5" t="n">
        <v>2.2</v>
      </c>
      <c r="AE287" s="5" t="n">
        <v>2.2</v>
      </c>
      <c r="AF287" s="5" t="n">
        <v>2.2</v>
      </c>
      <c r="AG287" s="5" t="n">
        <v>2.2</v>
      </c>
      <c r="AH287" s="5" t="n">
        <v>2.2</v>
      </c>
      <c r="AI287" s="5" t="n">
        <v>2.2</v>
      </c>
      <c r="AJ287" s="5" t="n">
        <v>2.2</v>
      </c>
      <c r="AK287" s="5" t="n">
        <v>2.2</v>
      </c>
      <c r="AL287" s="5" t="n">
        <v>2.2</v>
      </c>
      <c r="AM287" s="5" t="n">
        <v>2.2</v>
      </c>
      <c r="AN287" s="5" t="n">
        <v>2.2</v>
      </c>
      <c r="AO287" s="5" t="n">
        <v>2.2</v>
      </c>
      <c r="AP287" s="5" t="n">
        <v>2.2</v>
      </c>
      <c r="AQ287" s="5" t="n">
        <v>2.2</v>
      </c>
      <c r="AR287" s="5" t="n">
        <v>2.2</v>
      </c>
    </row>
    <row r="288">
      <c r="D288" t="inlineStr">
        <is>
          <t>Kessara CPI, COD re-forecast</t>
        </is>
      </c>
      <c r="E288" t="inlineStr">
        <is>
          <t>%</t>
        </is>
      </c>
      <c r="J288" s="5" t="n">
        <v>8.699999999999999</v>
      </c>
      <c r="K288" s="5" t="n">
        <v>9.4</v>
      </c>
      <c r="L288" s="5" t="n">
        <v>8.1</v>
      </c>
      <c r="M288" s="5" t="n">
        <v>7.6</v>
      </c>
      <c r="N288" s="5" t="n">
        <v>7.9</v>
      </c>
      <c r="O288" s="5" t="n">
        <v>9.800000000000001</v>
      </c>
      <c r="P288" s="5" t="n">
        <v>10.6</v>
      </c>
      <c r="Q288" s="5" t="n">
        <v>7.5</v>
      </c>
      <c r="R288" s="5" t="n">
        <v>7.5</v>
      </c>
      <c r="S288" s="5" t="n">
        <v>7.5</v>
      </c>
      <c r="T288" s="5" t="n">
        <v>7.5</v>
      </c>
      <c r="U288" s="5" t="n">
        <v>7.5</v>
      </c>
      <c r="V288" s="5" t="n">
        <v>7.5</v>
      </c>
      <c r="W288" s="5" t="n">
        <v>7.5</v>
      </c>
      <c r="X288" s="5" t="n">
        <v>7.5</v>
      </c>
      <c r="Y288" s="5" t="n">
        <v>7.5</v>
      </c>
      <c r="Z288" s="5" t="n">
        <v>7.5</v>
      </c>
      <c r="AA288" s="5" t="n">
        <v>7.5</v>
      </c>
      <c r="AB288" s="5" t="n">
        <v>7.5</v>
      </c>
      <c r="AC288" s="5" t="n">
        <v>7.5</v>
      </c>
      <c r="AD288" s="5" t="n">
        <v>7.5</v>
      </c>
      <c r="AE288" s="5" t="n">
        <v>7.5</v>
      </c>
      <c r="AF288" s="5" t="n">
        <v>7.5</v>
      </c>
      <c r="AG288" s="5" t="n">
        <v>7.5</v>
      </c>
      <c r="AH288" s="5" t="n">
        <v>7.5</v>
      </c>
      <c r="AI288" s="5" t="n">
        <v>7.5</v>
      </c>
      <c r="AJ288" s="5" t="n">
        <v>7.5</v>
      </c>
      <c r="AK288" s="5" t="n">
        <v>7.5</v>
      </c>
      <c r="AL288" s="5" t="n">
        <v>7.5</v>
      </c>
      <c r="AM288" s="5" t="n">
        <v>7.5</v>
      </c>
      <c r="AN288" s="5" t="n">
        <v>7.5</v>
      </c>
      <c r="AO288" s="5" t="n">
        <v>7.5</v>
      </c>
      <c r="AP288" s="5" t="n">
        <v>7.5</v>
      </c>
      <c r="AQ288" s="5" t="n">
        <v>7.5</v>
      </c>
      <c r="AR288" s="5" t="n">
        <v>7.5</v>
      </c>
    </row>
    <row r="289">
      <c r="D289" t="inlineStr">
        <is>
          <t>Kessara policy rate (actual)</t>
        </is>
      </c>
      <c r="E289" t="inlineStr">
        <is>
          <t>%</t>
        </is>
      </c>
      <c r="J289" s="5" t="n">
        <v>15.5</v>
      </c>
      <c r="K289" s="5" t="n">
        <v>15.5</v>
      </c>
      <c r="L289" s="5" t="n">
        <v>15.5</v>
      </c>
      <c r="M289" s="5" t="n">
        <v>13.5</v>
      </c>
      <c r="N289" s="5" t="n">
        <v>13.5</v>
      </c>
      <c r="O289" s="5" t="n">
        <v>13.5</v>
      </c>
      <c r="P289" s="5" t="n">
        <v>13.5</v>
      </c>
      <c r="Q289" s="5" t="n">
        <v>19</v>
      </c>
      <c r="R289" s="5" t="n">
        <v>27</v>
      </c>
      <c r="S289" s="5" t="n">
        <v>24.5</v>
      </c>
      <c r="T289" s="5" t="n">
        <v>18</v>
      </c>
      <c r="U289" s="5" t="n">
        <v>15.5</v>
      </c>
      <c r="V289" s="5" t="n">
        <v>15.5</v>
      </c>
      <c r="W289" s="5" t="n">
        <v>15.5</v>
      </c>
      <c r="X289" s="5" t="n">
        <v>15.5</v>
      </c>
      <c r="Y289" s="5" t="n">
        <v>15.5</v>
      </c>
      <c r="Z289" s="5" t="n">
        <v>15.5</v>
      </c>
      <c r="AA289" s="5" t="n">
        <v>15.5</v>
      </c>
      <c r="AB289" s="5" t="n">
        <v>15.5</v>
      </c>
      <c r="AC289" s="5" t="n">
        <v>15.5</v>
      </c>
      <c r="AD289" s="5" t="n">
        <v>15.5</v>
      </c>
      <c r="AE289" s="5" t="n">
        <v>15.5</v>
      </c>
      <c r="AF289" s="5" t="n">
        <v>15.5</v>
      </c>
      <c r="AG289" s="5" t="n">
        <v>15.5</v>
      </c>
      <c r="AH289" s="5" t="n">
        <v>15.5</v>
      </c>
      <c r="AI289" s="5" t="n">
        <v>15.5</v>
      </c>
      <c r="AJ289" s="5" t="n">
        <v>15.5</v>
      </c>
      <c r="AK289" s="5" t="n">
        <v>15.5</v>
      </c>
      <c r="AL289" s="5" t="n">
        <v>15.5</v>
      </c>
      <c r="AM289" s="5" t="n">
        <v>15.5</v>
      </c>
      <c r="AN289" s="5" t="n">
        <v>15.5</v>
      </c>
      <c r="AO289" s="5" t="n">
        <v>15.5</v>
      </c>
      <c r="AP289" s="5" t="n">
        <v>15.5</v>
      </c>
      <c r="AQ289" s="5" t="n">
        <v>15.5</v>
      </c>
      <c r="AR289" s="5" t="n">
        <v>15.5</v>
      </c>
    </row>
    <row r="290">
      <c r="B290" s="2" t="inlineStr">
        <is>
          <t>Semiannual inputs (column J = 2018H2 ... BN = 2046H2)</t>
        </is>
      </c>
    </row>
    <row r="291">
      <c r="D291" t="inlineStr">
        <is>
          <t>6M LIBOR forward curve at FC</t>
        </is>
      </c>
      <c r="E291" t="inlineStr">
        <is>
          <t>%</t>
        </is>
      </c>
      <c r="J291" s="5" t="n">
        <v>2.52</v>
      </c>
      <c r="K291" s="5" t="n">
        <v>2.79</v>
      </c>
      <c r="L291" s="5" t="n">
        <v>2.94</v>
      </c>
      <c r="M291" s="5" t="n">
        <v>3.02</v>
      </c>
      <c r="N291" s="5" t="n">
        <v>3.06</v>
      </c>
      <c r="O291" s="5" t="n">
        <v>3.09</v>
      </c>
      <c r="P291" s="5" t="n">
        <v>3.09</v>
      </c>
      <c r="Q291" s="5" t="n">
        <v>3.11</v>
      </c>
      <c r="R291" s="5" t="n">
        <v>3.11</v>
      </c>
      <c r="S291" s="5" t="n">
        <v>3.12</v>
      </c>
      <c r="T291" s="5" t="n">
        <v>3.12</v>
      </c>
      <c r="U291" s="5" t="n">
        <v>3.12</v>
      </c>
      <c r="V291" s="5" t="n">
        <v>3.12</v>
      </c>
      <c r="W291" s="5" t="n">
        <v>3.12</v>
      </c>
      <c r="X291" s="5" t="n">
        <v>3.12</v>
      </c>
      <c r="Y291" s="5" t="n">
        <v>3.12</v>
      </c>
      <c r="Z291" s="5" t="n">
        <v>3.12</v>
      </c>
      <c r="AA291" s="5" t="n">
        <v>3.12</v>
      </c>
      <c r="AB291" s="5" t="n">
        <v>3.12</v>
      </c>
      <c r="AC291" s="5" t="n">
        <v>3.12</v>
      </c>
      <c r="AD291" s="5" t="n">
        <v>3.12</v>
      </c>
      <c r="AE291" s="5" t="n">
        <v>3.12</v>
      </c>
      <c r="AF291" s="5" t="n">
        <v>3.12</v>
      </c>
      <c r="AG291" s="5" t="n">
        <v>3.12</v>
      </c>
      <c r="AH291" s="5" t="n">
        <v>3.12</v>
      </c>
      <c r="AI291" s="5" t="n">
        <v>3.12</v>
      </c>
      <c r="AJ291" s="5" t="n">
        <v>3.12</v>
      </c>
      <c r="AK291" s="5" t="n">
        <v>3.12</v>
      </c>
      <c r="AL291" s="5" t="n">
        <v>3.12</v>
      </c>
      <c r="AM291" s="5" t="n">
        <v>3.12</v>
      </c>
      <c r="AN291" s="5" t="n">
        <v>3.12</v>
      </c>
      <c r="AO291" s="5" t="n">
        <v>3.12</v>
      </c>
      <c r="AP291" s="5" t="n">
        <v>3.12</v>
      </c>
      <c r="AQ291" s="5" t="n">
        <v>3.12</v>
      </c>
      <c r="AR291" s="5" t="n">
        <v>3.12</v>
      </c>
      <c r="AS291" s="5" t="n">
        <v>3.12</v>
      </c>
      <c r="AT291" s="5" t="n">
        <v>3.12</v>
      </c>
      <c r="AU291" s="5" t="n">
        <v>3.12</v>
      </c>
      <c r="AV291" s="5" t="n">
        <v>3.12</v>
      </c>
      <c r="AW291" s="5" t="n">
        <v>3.12</v>
      </c>
      <c r="AX291" s="5" t="n">
        <v>3.12</v>
      </c>
      <c r="AY291" s="5" t="n">
        <v>3.12</v>
      </c>
      <c r="AZ291" s="5" t="n">
        <v>3.12</v>
      </c>
      <c r="BA291" s="5" t="n">
        <v>3.12</v>
      </c>
      <c r="BB291" s="5" t="n">
        <v>3.12</v>
      </c>
      <c r="BC291" s="5" t="n">
        <v>3.12</v>
      </c>
      <c r="BD291" s="5" t="n">
        <v>3.12</v>
      </c>
      <c r="BE291" s="5" t="n">
        <v>3.12</v>
      </c>
      <c r="BF291" s="5" t="n">
        <v>3.12</v>
      </c>
      <c r="BG291" s="5" t="n">
        <v>3.12</v>
      </c>
      <c r="BH291" s="5" t="n">
        <v>3.12</v>
      </c>
      <c r="BI291" s="5" t="n">
        <v>3.12</v>
      </c>
      <c r="BJ291" s="5" t="n">
        <v>3.12</v>
      </c>
      <c r="BK291" s="5" t="n">
        <v>3.12</v>
      </c>
      <c r="BL291" s="5" t="n">
        <v>3.12</v>
      </c>
      <c r="BM291" s="5" t="n">
        <v>3.12</v>
      </c>
      <c r="BN291" s="5" t="n">
        <v>3.12</v>
      </c>
    </row>
    <row r="292">
      <c r="D292" t="inlineStr">
        <is>
          <t>6M LIBOR to 2022H2; 6M Term SOFR + CAS from 2023H1 (actual)</t>
        </is>
      </c>
      <c r="E292" t="inlineStr">
        <is>
          <t>%</t>
        </is>
      </c>
      <c r="J292" s="5" t="n">
        <v>2.52</v>
      </c>
      <c r="K292" s="5" t="n">
        <v>2.87</v>
      </c>
      <c r="L292" s="5" t="n">
        <v>2.2</v>
      </c>
      <c r="M292" s="5" t="n">
        <v>1.91</v>
      </c>
      <c r="N292" s="5" t="n">
        <v>0.37</v>
      </c>
      <c r="O292" s="5" t="n">
        <v>0.25</v>
      </c>
      <c r="P292" s="5" t="n">
        <v>0.16</v>
      </c>
      <c r="Q292" s="5" t="n">
        <v>0.34</v>
      </c>
      <c r="R292" s="5" t="n">
        <v>2.94</v>
      </c>
      <c r="S292" s="5" t="n">
        <v>5.28826</v>
      </c>
      <c r="T292" s="5" t="n">
        <v>5.89826</v>
      </c>
      <c r="U292" s="5" t="n">
        <v>5.58826</v>
      </c>
      <c r="V292" s="5" t="n">
        <v>5.64826</v>
      </c>
      <c r="W292" s="5" t="n">
        <v>4.67826</v>
      </c>
      <c r="X292" s="5" t="n">
        <v>4.59826</v>
      </c>
      <c r="Y292" s="5" t="n">
        <v>4.04826</v>
      </c>
      <c r="Z292" s="5" t="n">
        <v>4.00826</v>
      </c>
      <c r="AA292" s="5" t="n">
        <v>3.87826</v>
      </c>
      <c r="AB292" s="5" t="n">
        <v>3.87826</v>
      </c>
      <c r="AC292" s="5" t="n">
        <v>3.92826</v>
      </c>
      <c r="AD292" s="5" t="n">
        <v>3.92826</v>
      </c>
      <c r="AE292" s="5" t="n">
        <v>3.92826</v>
      </c>
      <c r="AF292" s="5" t="n">
        <v>3.92826</v>
      </c>
      <c r="AG292" s="5" t="n">
        <v>3.92826</v>
      </c>
      <c r="AH292" s="5" t="n">
        <v>3.92826</v>
      </c>
      <c r="AI292" s="5" t="n">
        <v>3.92826</v>
      </c>
      <c r="AJ292" s="5" t="n">
        <v>3.92826</v>
      </c>
      <c r="AK292" s="5" t="n">
        <v>3.92826</v>
      </c>
      <c r="AL292" s="5" t="n">
        <v>3.92826</v>
      </c>
      <c r="AM292" s="5" t="n">
        <v>3.92826</v>
      </c>
      <c r="AN292" s="5" t="n">
        <v>3.92826</v>
      </c>
      <c r="AO292" s="5" t="n">
        <v>3.92826</v>
      </c>
      <c r="AP292" s="5" t="n">
        <v>3.92826</v>
      </c>
      <c r="AQ292" s="5" t="n">
        <v>3.92826</v>
      </c>
      <c r="AR292" s="5" t="n">
        <v>3.92826</v>
      </c>
      <c r="AS292" s="5" t="n">
        <v>3.92826</v>
      </c>
      <c r="AT292" s="5" t="n">
        <v>3.92826</v>
      </c>
      <c r="AU292" s="5" t="n">
        <v>3.92826</v>
      </c>
      <c r="AV292" s="5" t="n">
        <v>3.92826</v>
      </c>
      <c r="AW292" s="5" t="n">
        <v>3.92826</v>
      </c>
      <c r="AX292" s="5" t="n">
        <v>3.92826</v>
      </c>
      <c r="AY292" s="5" t="n">
        <v>3.92826</v>
      </c>
      <c r="AZ292" s="5" t="n">
        <v>3.92826</v>
      </c>
      <c r="BA292" s="5" t="n">
        <v>3.92826</v>
      </c>
      <c r="BB292" s="5" t="n">
        <v>3.92826</v>
      </c>
      <c r="BC292" s="5" t="n">
        <v>3.92826</v>
      </c>
      <c r="BD292" s="5" t="n">
        <v>3.92826</v>
      </c>
      <c r="BE292" s="5" t="n">
        <v>3.92826</v>
      </c>
      <c r="BF292" s="5" t="n">
        <v>3.92826</v>
      </c>
      <c r="BG292" s="5" t="n">
        <v>3.92826</v>
      </c>
      <c r="BH292" s="5" t="n">
        <v>3.92826</v>
      </c>
      <c r="BI292" s="5" t="n">
        <v>3.92826</v>
      </c>
      <c r="BJ292" s="5" t="n">
        <v>3.92826</v>
      </c>
      <c r="BK292" s="5" t="n">
        <v>3.92826</v>
      </c>
      <c r="BL292" s="5" t="n">
        <v>3.92826</v>
      </c>
      <c r="BM292" s="5" t="n">
        <v>3.92826</v>
      </c>
      <c r="BN292" s="5" t="n">
        <v>3.92826</v>
      </c>
    </row>
    <row r="293">
      <c r="D293" t="inlineStr">
        <is>
          <t>Base rate, COD re-forecast</t>
        </is>
      </c>
      <c r="E293" t="inlineStr">
        <is>
          <t>%</t>
        </is>
      </c>
      <c r="J293" s="5" t="n">
        <v>2.52</v>
      </c>
      <c r="K293" s="5" t="n">
        <v>2.87</v>
      </c>
      <c r="L293" s="5" t="n">
        <v>2.2</v>
      </c>
      <c r="M293" s="5" t="n">
        <v>1.91</v>
      </c>
      <c r="N293" s="5" t="n">
        <v>0.37</v>
      </c>
      <c r="O293" s="5" t="n">
        <v>0.25</v>
      </c>
      <c r="P293" s="5" t="n">
        <v>0.16</v>
      </c>
      <c r="Q293" s="5" t="n">
        <v>3.11</v>
      </c>
      <c r="R293" s="5" t="n">
        <v>3.11</v>
      </c>
      <c r="S293" s="5" t="n">
        <v>3.12</v>
      </c>
      <c r="T293" s="5" t="n">
        <v>3.12</v>
      </c>
      <c r="U293" s="5" t="n">
        <v>3.12</v>
      </c>
      <c r="V293" s="5" t="n">
        <v>3.12</v>
      </c>
      <c r="W293" s="5" t="n">
        <v>3.12</v>
      </c>
      <c r="X293" s="5" t="n">
        <v>3.12</v>
      </c>
      <c r="Y293" s="5" t="n">
        <v>3.12</v>
      </c>
      <c r="Z293" s="5" t="n">
        <v>3.12</v>
      </c>
      <c r="AA293" s="5" t="n">
        <v>3.12</v>
      </c>
      <c r="AB293" s="5" t="n">
        <v>3.12</v>
      </c>
      <c r="AC293" s="5" t="n">
        <v>3.12</v>
      </c>
      <c r="AD293" s="5" t="n">
        <v>3.12</v>
      </c>
      <c r="AE293" s="5" t="n">
        <v>3.12</v>
      </c>
      <c r="AF293" s="5" t="n">
        <v>3.12</v>
      </c>
      <c r="AG293" s="5" t="n">
        <v>3.12</v>
      </c>
      <c r="AH293" s="5" t="n">
        <v>3.12</v>
      </c>
      <c r="AI293" s="5" t="n">
        <v>3.12</v>
      </c>
      <c r="AJ293" s="5" t="n">
        <v>3.12</v>
      </c>
      <c r="AK293" s="5" t="n">
        <v>3.12</v>
      </c>
      <c r="AL293" s="5" t="n">
        <v>3.12</v>
      </c>
      <c r="AM293" s="5" t="n">
        <v>3.12</v>
      </c>
      <c r="AN293" s="5" t="n">
        <v>3.12</v>
      </c>
      <c r="AO293" s="5" t="n">
        <v>3.12</v>
      </c>
      <c r="AP293" s="5" t="n">
        <v>3.12</v>
      </c>
      <c r="AQ293" s="5" t="n">
        <v>3.12</v>
      </c>
      <c r="AR293" s="5" t="n">
        <v>3.12</v>
      </c>
      <c r="AS293" s="5" t="n">
        <v>3.12</v>
      </c>
      <c r="AT293" s="5" t="n">
        <v>3.12</v>
      </c>
      <c r="AU293" s="5" t="n">
        <v>3.12</v>
      </c>
      <c r="AV293" s="5" t="n">
        <v>3.12</v>
      </c>
      <c r="AW293" s="5" t="n">
        <v>3.12</v>
      </c>
      <c r="AX293" s="5" t="n">
        <v>3.12</v>
      </c>
      <c r="AY293" s="5" t="n">
        <v>3.12</v>
      </c>
      <c r="AZ293" s="5" t="n">
        <v>3.12</v>
      </c>
      <c r="BA293" s="5" t="n">
        <v>3.12</v>
      </c>
      <c r="BB293" s="5" t="n">
        <v>3.12</v>
      </c>
      <c r="BC293" s="5" t="n">
        <v>3.12</v>
      </c>
      <c r="BD293" s="5" t="n">
        <v>3.12</v>
      </c>
      <c r="BE293" s="5" t="n">
        <v>3.12</v>
      </c>
      <c r="BF293" s="5" t="n">
        <v>3.12</v>
      </c>
      <c r="BG293" s="5" t="n">
        <v>3.12</v>
      </c>
      <c r="BH293" s="5" t="n">
        <v>3.12</v>
      </c>
      <c r="BI293" s="5" t="n">
        <v>3.12</v>
      </c>
      <c r="BJ293" s="5" t="n">
        <v>3.12</v>
      </c>
      <c r="BK293" s="5" t="n">
        <v>3.12</v>
      </c>
      <c r="BL293" s="5" t="n">
        <v>3.12</v>
      </c>
      <c r="BM293" s="5" t="n">
        <v>3.12</v>
      </c>
      <c r="BN293" s="5" t="n">
        <v>3.12</v>
      </c>
    </row>
    <row r="294">
      <c r="D294" t="inlineStr">
        <is>
          <t>KCR per USD, semiannual average (actual to 2026H2)</t>
        </is>
      </c>
      <c r="E294" t="inlineStr">
        <is>
          <t>KCR/USD</t>
        </is>
      </c>
      <c r="J294" s="5" t="n">
        <v>524.6</v>
      </c>
      <c r="K294" s="5" t="n">
        <v>539.1</v>
      </c>
      <c r="L294" s="5" t="n">
        <v>551.3</v>
      </c>
      <c r="M294" s="5" t="n">
        <v>566</v>
      </c>
      <c r="N294" s="5" t="n">
        <v>579.8</v>
      </c>
      <c r="O294" s="5" t="n">
        <v>597.4</v>
      </c>
      <c r="P294" s="5" t="n">
        <v>609.6</v>
      </c>
      <c r="Q294" s="5" t="n">
        <v>654.9</v>
      </c>
      <c r="R294" s="5" t="n">
        <v>830.3</v>
      </c>
      <c r="S294" s="5" t="n">
        <v>1052.8</v>
      </c>
      <c r="T294" s="5" t="n">
        <v>1043.8</v>
      </c>
      <c r="U294" s="5" t="n">
        <v>1093.1</v>
      </c>
      <c r="V294" s="5" t="n">
        <v>1050.7</v>
      </c>
      <c r="W294" s="5" t="n">
        <v>1035.6</v>
      </c>
      <c r="X294" s="5" t="n">
        <v>1023.8</v>
      </c>
      <c r="Y294" s="5" t="n">
        <v>1028.9</v>
      </c>
      <c r="Z294" s="5" t="n">
        <v>1043.9</v>
      </c>
    </row>
    <row r="295">
      <c r="D295" t="inlineStr">
        <is>
          <t>SEKA overdue receivables at period end (actual)</t>
        </is>
      </c>
      <c r="E295" t="inlineStr">
        <is>
          <t>USD m</t>
        </is>
      </c>
      <c r="J295" s="5" t="n">
        <v>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18.4</v>
      </c>
      <c r="R295" s="5" t="n">
        <v>68.90000000000001</v>
      </c>
      <c r="S295" s="5" t="n">
        <v>112.6</v>
      </c>
      <c r="T295" s="5" t="n">
        <v>71.8</v>
      </c>
      <c r="U295" s="5" t="n">
        <v>34.6</v>
      </c>
      <c r="V295" s="5" t="n">
        <v>12.3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</row>
    <row r="296">
      <c r="D296" t="inlineStr">
        <is>
          <t>FX conversion losses (actual)</t>
        </is>
      </c>
      <c r="E296" t="inlineStr">
        <is>
          <t>USD m</t>
        </is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1.27</v>
      </c>
      <c r="S296" s="5" t="n">
        <v>3.84</v>
      </c>
      <c r="T296" s="5" t="n">
        <v>1.12</v>
      </c>
      <c r="U296" s="5" t="n">
        <v>0.31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0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</row>
    <row r="297">
      <c r="D297" t="inlineStr">
        <is>
          <t>Settlement installment share of late payment interest</t>
        </is>
      </c>
      <c r="E297" t="inlineStr">
        <is>
          <t>fraction</t>
        </is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0.2</v>
      </c>
      <c r="V297" s="5" t="n">
        <v>0.4</v>
      </c>
      <c r="W297" s="5" t="n">
        <v>0.4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0</v>
      </c>
    </row>
    <row r="298">
      <c r="D298" t="inlineStr">
        <is>
          <t>Contract repayment profile at FC (share of debt)</t>
        </is>
      </c>
      <c r="E298" t="inlineStr">
        <is>
          <t>fraction</t>
        </is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0.02392266780166877</v>
      </c>
      <c r="Q298" s="5" t="n">
        <v>0.02454614391592512</v>
      </c>
      <c r="R298" s="5" t="n">
        <v>0.02555674578798327</v>
      </c>
      <c r="S298" s="5" t="n">
        <v>0.02624386397929464</v>
      </c>
      <c r="T298" s="5" t="n">
        <v>0.0280198871951497</v>
      </c>
      <c r="U298" s="5" t="n">
        <v>0.02842968849865342</v>
      </c>
      <c r="V298" s="5" t="n">
        <v>0.02902462138855125</v>
      </c>
      <c r="W298" s="5" t="n">
        <v>0.03009523497947188</v>
      </c>
      <c r="X298" s="5" t="n">
        <v>0.03085090837794667</v>
      </c>
      <c r="Y298" s="5" t="n">
        <v>0.03117754709209612</v>
      </c>
      <c r="Z298" s="5" t="n">
        <v>0.03251978689750772</v>
      </c>
      <c r="AA298" s="5" t="n">
        <v>0.03351802482461583</v>
      </c>
      <c r="AB298" s="5" t="n">
        <v>0.03568353293469283</v>
      </c>
      <c r="AC298" s="5" t="n">
        <v>0.03603291784291471</v>
      </c>
      <c r="AD298" s="5" t="n">
        <v>0.03782566855372986</v>
      </c>
      <c r="AE298" s="5" t="n">
        <v>0.03930240289051411</v>
      </c>
      <c r="AF298" s="5" t="n">
        <v>0.04288940539490554</v>
      </c>
      <c r="AG298" s="5" t="n">
        <v>0.04417160329008456</v>
      </c>
      <c r="AH298" s="5" t="n">
        <v>0.04612909026893513</v>
      </c>
      <c r="AI298" s="5" t="n">
        <v>0.04759606862657972</v>
      </c>
      <c r="AJ298" s="5" t="n">
        <v>0.05044534581552167</v>
      </c>
      <c r="AK298" s="5" t="n">
        <v>0.05164454173346997</v>
      </c>
      <c r="AL298" s="5" t="n">
        <v>0.05334294141157599</v>
      </c>
      <c r="AM298" s="5" t="n">
        <v>0.05523807330280946</v>
      </c>
      <c r="AN298" s="5" t="n">
        <v>0.0568902733573489</v>
      </c>
      <c r="AO298" s="5" t="n">
        <v>0.0589030138380523</v>
      </c>
      <c r="AP298" s="5" t="n">
        <v>0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0</v>
      </c>
      <c r="BK298" s="5" t="n">
        <v>0</v>
      </c>
      <c r="BL298" s="5" t="n">
        <v>0</v>
      </c>
      <c r="BM298" s="5" t="n">
        <v>0</v>
      </c>
      <c r="BN298" s="5" t="n">
        <v>0</v>
      </c>
    </row>
    <row r="299">
      <c r="D299" t="inlineStr">
        <is>
          <t>COD re-sculpted repayment profile (share of debt at COD)</t>
        </is>
      </c>
      <c r="E299" t="inlineStr">
        <is>
          <t>fraction</t>
        </is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0.02492121667112088</v>
      </c>
      <c r="R299" s="5" t="n">
        <v>0.02664660047040042</v>
      </c>
      <c r="S299" s="5" t="n">
        <v>0.02759604458467765</v>
      </c>
      <c r="T299" s="5" t="n">
        <v>0.02888825064959648</v>
      </c>
      <c r="U299" s="5" t="n">
        <v>0.0296987112931962</v>
      </c>
      <c r="V299" s="5" t="n">
        <v>0.03105885768561841</v>
      </c>
      <c r="W299" s="5" t="n">
        <v>0.03277706730010246</v>
      </c>
      <c r="X299" s="5" t="n">
        <v>0.03427956112200796</v>
      </c>
      <c r="Y299" s="5" t="n">
        <v>0.03185352351247105</v>
      </c>
      <c r="Z299" s="5" t="n">
        <v>0.03335144112570533</v>
      </c>
      <c r="AA299" s="5" t="n">
        <v>0.03404882778677493</v>
      </c>
      <c r="AB299" s="5" t="n">
        <v>0.03570569600105964</v>
      </c>
      <c r="AC299" s="5" t="n">
        <v>0.03672091019892312</v>
      </c>
      <c r="AD299" s="5" t="n">
        <v>0.0384689461355592</v>
      </c>
      <c r="AE299" s="5" t="n">
        <v>0.04158438492613827</v>
      </c>
      <c r="AF299" s="5" t="n">
        <v>0.04382240991310483</v>
      </c>
      <c r="AG299" s="5" t="n">
        <v>0.04413949061350413</v>
      </c>
      <c r="AH299" s="5" t="n">
        <v>0.04642087223316833</v>
      </c>
      <c r="AI299" s="5" t="n">
        <v>0.04787232137396746</v>
      </c>
      <c r="AJ299" s="5" t="n">
        <v>0.0502195640539474</v>
      </c>
      <c r="AK299" s="5" t="n">
        <v>0.05170891802557741</v>
      </c>
      <c r="AL299" s="5" t="n">
        <v>0.0541382044749565</v>
      </c>
      <c r="AM299" s="5" t="n">
        <v>0.05666149382313952</v>
      </c>
      <c r="AN299" s="5" t="n">
        <v>0.05940104456083106</v>
      </c>
      <c r="AO299" s="5" t="n">
        <v>0.05801564146445255</v>
      </c>
      <c r="AP299" s="5" t="n">
        <v>0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0</v>
      </c>
    </row>
    <row r="300">
      <c r="D300" t="inlineStr">
        <is>
          <t>Bond amortization profile (share of face)</t>
        </is>
      </c>
      <c r="E300" t="inlineStr">
        <is>
          <t>fraction</t>
        </is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0.01109281170584355</v>
      </c>
      <c r="Y300" s="5" t="n">
        <v>0.01611192821167361</v>
      </c>
      <c r="Z300" s="5" t="n">
        <v>0.01761625979950614</v>
      </c>
      <c r="AA300" s="5" t="n">
        <v>0.01756090365083943</v>
      </c>
      <c r="AB300" s="5" t="n">
        <v>0.01888075218483377</v>
      </c>
      <c r="AC300" s="5" t="n">
        <v>0.01890834059725892</v>
      </c>
      <c r="AD300" s="5" t="n">
        <v>0.02002427691925613</v>
      </c>
      <c r="AE300" s="5" t="n">
        <v>0.0220425537786885</v>
      </c>
      <c r="AF300" s="5" t="n">
        <v>0.02353641033974216</v>
      </c>
      <c r="AG300" s="5" t="n">
        <v>0.02376200405504096</v>
      </c>
      <c r="AH300" s="5" t="n">
        <v>0.02514405847890659</v>
      </c>
      <c r="AI300" s="5" t="n">
        <v>0.02522742917041925</v>
      </c>
      <c r="AJ300" s="5" t="n">
        <v>0.02649633835540665</v>
      </c>
      <c r="AK300" s="5" t="n">
        <v>0.02661192441658703</v>
      </c>
      <c r="AL300" s="5" t="n">
        <v>0.02773427333606693</v>
      </c>
      <c r="AM300" s="5" t="n">
        <v>0.02874043283146949</v>
      </c>
      <c r="AN300" s="5" t="n">
        <v>0.0299976714643956</v>
      </c>
      <c r="AO300" s="5" t="n">
        <v>0.02696870435180381</v>
      </c>
      <c r="AP300" s="5" t="n">
        <v>0.09367671694203662</v>
      </c>
      <c r="AQ300" s="5" t="n">
        <v>0.08896197241765595</v>
      </c>
      <c r="AR300" s="5" t="n">
        <v>0.09361458458293083</v>
      </c>
      <c r="AS300" s="5" t="n">
        <v>0.09576367135514924</v>
      </c>
      <c r="AT300" s="5" t="n">
        <v>0.1003452008485892</v>
      </c>
      <c r="AU300" s="5" t="n">
        <v>0.1211807802058968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0</v>
      </c>
      <c r="BL300" s="5" t="n">
        <v>0</v>
      </c>
      <c r="BM300" s="5" t="n">
        <v>0</v>
      </c>
      <c r="BN300" s="5" t="n">
        <v>0</v>
      </c>
    </row>
    <row r="301">
      <c r="D301" t="inlineStr">
        <is>
          <t>Swap notional schedule, semiannual (contract)</t>
        </is>
      </c>
      <c r="E301" t="inlineStr">
        <is>
          <t>USD m</t>
        </is>
      </c>
      <c r="J301" s="5" t="n">
        <v>0</v>
      </c>
      <c r="K301" s="5" t="n">
        <v>0</v>
      </c>
      <c r="L301" s="5" t="n">
        <v>0</v>
      </c>
      <c r="M301" s="5" t="n">
        <v>0</v>
      </c>
      <c r="N301" s="5" t="n">
        <v>0</v>
      </c>
      <c r="O301" s="5" t="n">
        <v>0</v>
      </c>
      <c r="P301" s="5" t="n">
        <v>523.706851937146</v>
      </c>
      <c r="Q301" s="5" t="n">
        <v>511.178386892796</v>
      </c>
      <c r="R301" s="5" t="n">
        <v>498.3234031353907</v>
      </c>
      <c r="S301" s="5" t="n">
        <v>484.939160253008</v>
      </c>
      <c r="T301" s="5" t="n">
        <v>471.1950688657449</v>
      </c>
      <c r="U301" s="5" t="n">
        <v>456.5208619511391</v>
      </c>
      <c r="V301" s="5" t="n">
        <v>441.6320392859556</v>
      </c>
      <c r="W301" s="5" t="n">
        <v>426.4316461898899</v>
      </c>
      <c r="X301" s="5" t="n">
        <v>410.670565420482</v>
      </c>
      <c r="Y301" s="5" t="n">
        <v>394.5137333144662</v>
      </c>
      <c r="Z301" s="5" t="n">
        <v>378.1858382757424</v>
      </c>
      <c r="AA301" s="5" t="n">
        <v>361.1550030539818</v>
      </c>
      <c r="AB301" s="5" t="n">
        <v>343.601383789931</v>
      </c>
      <c r="AC301" s="5" t="n">
        <v>324.9136730907077</v>
      </c>
      <c r="AD301" s="5" t="n">
        <v>306.0429871210849</v>
      </c>
      <c r="AE301" s="5" t="n">
        <v>286.2334253203931</v>
      </c>
      <c r="AF301" s="5" t="n">
        <v>265.6504876290365</v>
      </c>
      <c r="AG301" s="5" t="n">
        <v>243.1890121482145</v>
      </c>
      <c r="AH301" s="5" t="n">
        <v>220.0560408441478</v>
      </c>
      <c r="AI301" s="5" t="n">
        <v>195.8979201966794</v>
      </c>
      <c r="AJ301" s="5" t="n">
        <v>170.9715329316689</v>
      </c>
      <c r="AK301" s="5" t="n">
        <v>144.5529596797414</v>
      </c>
      <c r="AL301" s="5" t="n">
        <v>117.5063593087692</v>
      </c>
      <c r="AM301" s="5" t="n">
        <v>89.57029538904513</v>
      </c>
      <c r="AN301" s="5" t="n">
        <v>60.64173791255745</v>
      </c>
      <c r="AO301" s="5" t="n">
        <v>30.84791194673654</v>
      </c>
      <c r="AP301" s="5" t="n">
        <v>0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0</v>
      </c>
    </row>
    <row r="302">
      <c r="D302" t="inlineStr">
        <is>
          <t>Availability profile by OY (8-year cycle, cols J-Q)</t>
        </is>
      </c>
      <c r="E302" t="inlineStr">
        <is>
          <t>%</t>
        </is>
      </c>
      <c r="J302" s="5" t="n">
        <v>93.8</v>
      </c>
      <c r="K302" s="5" t="n">
        <v>92.90000000000001</v>
      </c>
      <c r="L302" s="5" t="n">
        <v>93.8</v>
      </c>
      <c r="M302" s="5" t="n">
        <v>90.59999999999999</v>
      </c>
      <c r="N302" s="5" t="n">
        <v>93.8</v>
      </c>
      <c r="O302" s="5" t="n">
        <v>92.90000000000001</v>
      </c>
      <c r="P302" s="5" t="n">
        <v>93.8</v>
      </c>
      <c r="Q302" s="5" t="n">
        <v>88.7</v>
      </c>
    </row>
    <row r="303">
      <c r="D303" t="inlineStr">
        <is>
          <t>Actual dispatch when available, 2022 drought (annex 4.11)</t>
        </is>
      </c>
      <c r="E303" t="inlineStr">
        <is>
          <t>%</t>
        </is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84</v>
      </c>
      <c r="R303" s="5" t="n">
        <v>81.5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</row>
    <row r="304">
      <c r="B304" s="2" t="inlineStr">
        <is>
          <t>Monthly inputs (column J = Aug 2018 ... BJ = Dec 2022)</t>
        </is>
      </c>
    </row>
    <row r="305">
      <c r="D305" t="inlineStr">
        <is>
          <t>EPC payment profile, FC (33 months)</t>
        </is>
      </c>
      <c r="E305" t="inlineStr">
        <is>
          <t>%</t>
        </is>
      </c>
      <c r="J305" s="5" t="n">
        <v>10</v>
      </c>
      <c r="K305" s="5" t="n">
        <v>0.0108</v>
      </c>
      <c r="L305" s="5" t="n">
        <v>0.1133</v>
      </c>
      <c r="M305" s="5" t="n">
        <v>0.3239</v>
      </c>
      <c r="N305" s="5" t="n">
        <v>0.6294</v>
      </c>
      <c r="O305" s="5" t="n">
        <v>1.0114</v>
      </c>
      <c r="P305" s="5" t="n">
        <v>1.4496</v>
      </c>
      <c r="Q305" s="5" t="n">
        <v>1.9236</v>
      </c>
      <c r="R305" s="5" t="n">
        <v>2.4133</v>
      </c>
      <c r="S305" s="5" t="n">
        <v>2.8999</v>
      </c>
      <c r="T305" s="5" t="n">
        <v>3.3659</v>
      </c>
      <c r="U305" s="5" t="n">
        <v>3.7957</v>
      </c>
      <c r="V305" s="5" t="n">
        <v>4.1755</v>
      </c>
      <c r="W305" s="5" t="n">
        <v>4.4935</v>
      </c>
      <c r="X305" s="5" t="n">
        <v>4.7405</v>
      </c>
      <c r="Y305" s="5" t="n">
        <v>4.9091</v>
      </c>
      <c r="Z305" s="5" t="n">
        <v>4.9946</v>
      </c>
      <c r="AA305" s="5" t="n">
        <v>4.9946</v>
      </c>
      <c r="AB305" s="5" t="n">
        <v>4.9091</v>
      </c>
      <c r="AC305" s="5" t="n">
        <v>4.7405</v>
      </c>
      <c r="AD305" s="5" t="n">
        <v>4.4935</v>
      </c>
      <c r="AE305" s="5" t="n">
        <v>4.1755</v>
      </c>
      <c r="AF305" s="5" t="n">
        <v>3.7957</v>
      </c>
      <c r="AG305" s="5" t="n">
        <v>3.3659</v>
      </c>
      <c r="AH305" s="5" t="n">
        <v>2.8999</v>
      </c>
      <c r="AI305" s="5" t="n">
        <v>2.4133</v>
      </c>
      <c r="AJ305" s="5" t="n">
        <v>1.9236</v>
      </c>
      <c r="AK305" s="5" t="n">
        <v>1.4496</v>
      </c>
      <c r="AL305" s="5" t="n">
        <v>1.0114</v>
      </c>
      <c r="AM305" s="5" t="n">
        <v>0.6294</v>
      </c>
      <c r="AN305" s="5" t="n">
        <v>0.3239</v>
      </c>
      <c r="AO305" s="5" t="n">
        <v>0.1133</v>
      </c>
      <c r="AP305" s="5" t="n">
        <v>7.5108</v>
      </c>
    </row>
    <row r="306">
      <c r="D306" t="inlineStr">
        <is>
          <t>EPC payment profile, actual (40 months)</t>
        </is>
      </c>
      <c r="E306" t="inlineStr">
        <is>
          <t>%</t>
        </is>
      </c>
      <c r="J306" s="5" t="n">
        <v>10</v>
      </c>
      <c r="K306" s="5" t="n">
        <v>0.0102</v>
      </c>
      <c r="L306" s="5" t="n">
        <v>0.0868</v>
      </c>
      <c r="M306" s="5" t="n">
        <v>0.2284</v>
      </c>
      <c r="N306" s="5" t="n">
        <v>0.4235</v>
      </c>
      <c r="O306" s="5" t="n">
        <v>0.6612</v>
      </c>
      <c r="P306" s="5" t="n">
        <v>0.9313</v>
      </c>
      <c r="Q306" s="5" t="n">
        <v>1.2242</v>
      </c>
      <c r="R306" s="5" t="n">
        <v>1.5311</v>
      </c>
      <c r="S306" s="5" t="n">
        <v>1.8437</v>
      </c>
      <c r="T306" s="5" t="n">
        <v>2.1545</v>
      </c>
      <c r="U306" s="5" t="n">
        <v>2.4565</v>
      </c>
      <c r="V306" s="5" t="n">
        <v>2.7436</v>
      </c>
      <c r="W306" s="5" t="n">
        <v>3.01</v>
      </c>
      <c r="X306" s="5" t="n">
        <v>3.2509</v>
      </c>
      <c r="Y306" s="5" t="n">
        <v>3.4619</v>
      </c>
      <c r="Z306" s="5" t="n">
        <v>3.6396</v>
      </c>
      <c r="AA306" s="5" t="n">
        <v>3.7808</v>
      </c>
      <c r="AB306" s="5" t="n">
        <v>3.8833</v>
      </c>
      <c r="AC306" s="5" t="n">
        <v>3.9455</v>
      </c>
      <c r="AD306" s="5" t="n">
        <v>3.966</v>
      </c>
      <c r="AE306" s="5" t="n">
        <v>3.9455</v>
      </c>
      <c r="AF306" s="5" t="n">
        <v>3.8833</v>
      </c>
      <c r="AG306" s="5" t="n">
        <v>3.7808</v>
      </c>
      <c r="AH306" s="5" t="n">
        <v>3.6396</v>
      </c>
      <c r="AI306" s="5" t="n">
        <v>3.4619</v>
      </c>
      <c r="AJ306" s="5" t="n">
        <v>3.2509</v>
      </c>
      <c r="AK306" s="5" t="n">
        <v>3.01</v>
      </c>
      <c r="AL306" s="5" t="n">
        <v>2.7436</v>
      </c>
      <c r="AM306" s="5" t="n">
        <v>2.4565</v>
      </c>
      <c r="AN306" s="5" t="n">
        <v>2.1545</v>
      </c>
      <c r="AO306" s="5" t="n">
        <v>1.8437</v>
      </c>
      <c r="AP306" s="5" t="n">
        <v>1.5311</v>
      </c>
      <c r="AQ306" s="5" t="n">
        <v>1.2242</v>
      </c>
      <c r="AR306" s="5" t="n">
        <v>0.9313</v>
      </c>
      <c r="AS306" s="5" t="n">
        <v>0.6612</v>
      </c>
      <c r="AT306" s="5" t="n">
        <v>0.4235</v>
      </c>
      <c r="AU306" s="5" t="n">
        <v>0.2284</v>
      </c>
      <c r="AV306" s="5" t="n">
        <v>0.0868</v>
      </c>
      <c r="AW306" s="5" t="n">
        <v>7.5102</v>
      </c>
    </row>
    <row r="307">
      <c r="D307" t="inlineStr">
        <is>
          <t>Owner's cost profile, FC</t>
        </is>
      </c>
      <c r="E307" t="inlineStr">
        <is>
          <t>%</t>
        </is>
      </c>
      <c r="J307" s="5" t="n">
        <v>12</v>
      </c>
      <c r="K307" s="5" t="n">
        <v>2.75</v>
      </c>
      <c r="L307" s="5" t="n">
        <v>2.75</v>
      </c>
      <c r="M307" s="5" t="n">
        <v>2.75</v>
      </c>
      <c r="N307" s="5" t="n">
        <v>2.75</v>
      </c>
      <c r="O307" s="5" t="n">
        <v>2.75</v>
      </c>
      <c r="P307" s="5" t="n">
        <v>2.75</v>
      </c>
      <c r="Q307" s="5" t="n">
        <v>2.75</v>
      </c>
      <c r="R307" s="5" t="n">
        <v>2.75</v>
      </c>
      <c r="S307" s="5" t="n">
        <v>2.75</v>
      </c>
      <c r="T307" s="5" t="n">
        <v>2.75</v>
      </c>
      <c r="U307" s="5" t="n">
        <v>2.75</v>
      </c>
      <c r="V307" s="5" t="n">
        <v>2.75</v>
      </c>
      <c r="W307" s="5" t="n">
        <v>2.75</v>
      </c>
      <c r="X307" s="5" t="n">
        <v>2.75</v>
      </c>
      <c r="Y307" s="5" t="n">
        <v>2.75</v>
      </c>
      <c r="Z307" s="5" t="n">
        <v>2.75</v>
      </c>
      <c r="AA307" s="5" t="n">
        <v>2.75</v>
      </c>
      <c r="AB307" s="5" t="n">
        <v>2.75</v>
      </c>
      <c r="AC307" s="5" t="n">
        <v>2.75</v>
      </c>
      <c r="AD307" s="5" t="n">
        <v>2.75</v>
      </c>
      <c r="AE307" s="5" t="n">
        <v>2.75</v>
      </c>
      <c r="AF307" s="5" t="n">
        <v>2.75</v>
      </c>
      <c r="AG307" s="5" t="n">
        <v>2.75</v>
      </c>
      <c r="AH307" s="5" t="n">
        <v>2.75</v>
      </c>
      <c r="AI307" s="5" t="n">
        <v>2.75</v>
      </c>
      <c r="AJ307" s="5" t="n">
        <v>2.75</v>
      </c>
      <c r="AK307" s="5" t="n">
        <v>2.75</v>
      </c>
      <c r="AL307" s="5" t="n">
        <v>2.75</v>
      </c>
      <c r="AM307" s="5" t="n">
        <v>2.75</v>
      </c>
      <c r="AN307" s="5" t="n">
        <v>2.75</v>
      </c>
      <c r="AO307" s="5" t="n">
        <v>2.75</v>
      </c>
      <c r="AP307" s="5" t="n">
        <v>2.75</v>
      </c>
    </row>
    <row r="308">
      <c r="D308" t="inlineStr">
        <is>
          <t>Overrun items, actual (excl. extended owners)</t>
        </is>
      </c>
      <c r="E308" t="inlineStr">
        <is>
          <t>USD m</t>
        </is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0</v>
      </c>
      <c r="AD308" s="5" t="n">
        <v>0.3425</v>
      </c>
      <c r="AE308" s="5" t="n">
        <v>0.3425</v>
      </c>
      <c r="AF308" s="5" t="n">
        <v>0.3425</v>
      </c>
      <c r="AG308" s="5" t="n">
        <v>0.3425</v>
      </c>
      <c r="AH308" s="5" t="n">
        <v>0.3425</v>
      </c>
      <c r="AI308" s="5" t="n">
        <v>0.3425</v>
      </c>
      <c r="AJ308" s="5" t="n">
        <v>1.909166666666667</v>
      </c>
      <c r="AK308" s="5" t="n">
        <v>1.909166666666667</v>
      </c>
      <c r="AL308" s="5" t="n">
        <v>1.909166666666667</v>
      </c>
      <c r="AM308" s="5" t="n">
        <v>2.454166666666667</v>
      </c>
      <c r="AN308" s="5" t="n">
        <v>2.454166666666667</v>
      </c>
      <c r="AO308" s="5" t="n">
        <v>2.454166666666667</v>
      </c>
      <c r="AP308" s="5" t="n">
        <v>0.545</v>
      </c>
      <c r="AQ308" s="5" t="n">
        <v>8.112142857142857</v>
      </c>
      <c r="AR308" s="5" t="n">
        <v>6.692142857142858</v>
      </c>
      <c r="AS308" s="5" t="n">
        <v>7.147142857142858</v>
      </c>
      <c r="AT308" s="5" t="n">
        <v>6.147142857142858</v>
      </c>
      <c r="AU308" s="5" t="n">
        <v>8.787142857142857</v>
      </c>
      <c r="AV308" s="5" t="n">
        <v>6.832142857142858</v>
      </c>
      <c r="AW308" s="5" t="n">
        <v>15.10214285714286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0</v>
      </c>
    </row>
    <row r="309">
      <c r="D309" t="inlineStr">
        <is>
          <t>Swap notional schedule, monthly (contract)</t>
        </is>
      </c>
      <c r="E309" t="inlineStr">
        <is>
          <t>USD m</t>
        </is>
      </c>
      <c r="J309" s="5" t="n">
        <v>0</v>
      </c>
      <c r="K309" s="5" t="n">
        <v>73.19638124762608</v>
      </c>
      <c r="L309" s="5" t="n">
        <v>74.67946239953815</v>
      </c>
      <c r="M309" s="5" t="n">
        <v>76.57139680476166</v>
      </c>
      <c r="N309" s="5" t="n">
        <v>79.25598227449528</v>
      </c>
      <c r="O309" s="5" t="n">
        <v>83.12578691088112</v>
      </c>
      <c r="P309" s="5" t="n">
        <v>88.48835197709543</v>
      </c>
      <c r="Q309" s="5" t="n">
        <v>95.49171221284163</v>
      </c>
      <c r="R309" s="5" t="n">
        <v>104.3698997617098</v>
      </c>
      <c r="S309" s="5" t="n">
        <v>115.128048112535</v>
      </c>
      <c r="T309" s="5" t="n">
        <v>127.7934260725741</v>
      </c>
      <c r="U309" s="5" t="n">
        <v>142.2505630606629</v>
      </c>
      <c r="V309" s="5" t="n">
        <v>158.4392155208578</v>
      </c>
      <c r="W309" s="5" t="n">
        <v>176.1364752576458</v>
      </c>
      <c r="X309" s="5" t="n">
        <v>195.0939697618758</v>
      </c>
      <c r="Y309" s="5" t="n">
        <v>215.0844771618137</v>
      </c>
      <c r="Z309" s="5" t="n">
        <v>235.7735753896208</v>
      </c>
      <c r="AA309" s="5" t="n">
        <v>256.8890582614347</v>
      </c>
      <c r="AB309" s="5" t="n">
        <v>278.8136177836356</v>
      </c>
      <c r="AC309" s="5" t="n">
        <v>299.7483327392383</v>
      </c>
      <c r="AD309" s="5" t="n">
        <v>320.1711342509395</v>
      </c>
      <c r="AE309" s="5" t="n">
        <v>339.7078840383886</v>
      </c>
      <c r="AF309" s="5" t="n">
        <v>358.13553524933</v>
      </c>
      <c r="AG309" s="5" t="n">
        <v>375.161458098032</v>
      </c>
      <c r="AH309" s="5" t="n">
        <v>390.6614145507713</v>
      </c>
      <c r="AI309" s="5" t="n">
        <v>404.4469329527338</v>
      </c>
      <c r="AJ309" s="5" t="n">
        <v>416.4034690399866</v>
      </c>
      <c r="AK309" s="5" t="n">
        <v>426.5694166239568</v>
      </c>
      <c r="AL309" s="5" t="n">
        <v>434.9386061182598</v>
      </c>
      <c r="AM309" s="5" t="n">
        <v>441.6990152668543</v>
      </c>
      <c r="AN309" s="5" t="n">
        <v>447.044235304092</v>
      </c>
      <c r="AO309" s="5" t="n">
        <v>451.1534174933294</v>
      </c>
      <c r="AP309" s="5" t="n">
        <v>454.5638666665233</v>
      </c>
      <c r="AQ309" s="5" t="n">
        <v>487.2304783947756</v>
      </c>
      <c r="AR309" s="5" t="n">
        <v>521.3236020388853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5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9">
        <f>IF(Inputs!$F$34&lt;&gt;1,Inputs!$F$191,EDATE(Inputs!$F$190,Inputs!$F$35))</f>
        <v/>
      </c>
    </row>
    <row r="9">
      <c r="D9" t="inlineStr">
        <is>
          <t>PPA term</t>
        </is>
      </c>
      <c r="E9" t="inlineStr">
        <is>
          <t>months</t>
        </is>
      </c>
      <c r="F9" s="10">
        <f>Inputs!$F$210*12</f>
        <v/>
      </c>
    </row>
    <row r="10">
      <c r="D10" t="inlineStr">
        <is>
          <t>PPA expiry</t>
        </is>
      </c>
      <c r="E10" t="inlineStr">
        <is>
          <t>date</t>
        </is>
      </c>
      <c r="F10" s="9">
        <f>EDATE(Time!$F$8,Time!$F$9)-1</f>
        <v/>
      </c>
    </row>
    <row r="11">
      <c r="D11" t="inlineStr">
        <is>
          <t>Construction months (NTP to COD)</t>
        </is>
      </c>
      <c r="E11" t="inlineStr">
        <is>
          <t>months</t>
        </is>
      </c>
      <c r="F11" s="10">
        <f>(YEAR(Time!$F$8)-YEAR(Inputs!$F$188))*12+MONTH(Time!$F$8)-MONTH(Inputs!$F$188)</f>
        <v/>
      </c>
    </row>
    <row r="12">
      <c r="D12" t="inlineStr">
        <is>
          <t>Period containing COD (period number)</t>
        </is>
      </c>
      <c r="E12" t="inlineStr">
        <is>
          <t>index</t>
        </is>
      </c>
      <c r="F12" s="10">
        <f>MATCH($F$8,$J$22:$BN$22,1)</f>
        <v/>
      </c>
    </row>
    <row r="13">
      <c r="D13" t="inlineStr">
        <is>
          <t>First debt service period</t>
        </is>
      </c>
      <c r="E13" t="inlineStr">
        <is>
          <t>index</t>
        </is>
      </c>
      <c r="F13" s="10">
        <f>Time!$F$12+1</f>
        <v/>
      </c>
    </row>
    <row r="14">
      <c r="D14" t="inlineStr">
        <is>
          <t>Last month of the funding period (month number)</t>
        </is>
      </c>
      <c r="E14" t="inlineStr">
        <is>
          <t>index</t>
        </is>
      </c>
      <c r="F14" s="10">
        <f>MATCH(INDEX($J$23:$BN$23,1,$F$12),Construction!$J$10:$BJ$10,0)</f>
        <v/>
      </c>
    </row>
    <row r="15">
      <c r="D15" t="inlineStr">
        <is>
          <t>Last operating period (period number)</t>
        </is>
      </c>
      <c r="E15" t="inlineStr">
        <is>
          <t>index</t>
        </is>
      </c>
      <c r="F15" s="10">
        <f>SUMPRODUCT($J$37:$BN$37,$J$20:$BN$20)</f>
        <v/>
      </c>
    </row>
    <row r="16">
      <c r="D16" t="inlineStr">
        <is>
          <t>FC FX drift per year (Kessara / US CPI expectations)</t>
        </is>
      </c>
      <c r="E16" t="inlineStr">
        <is>
          <t>factor</t>
        </is>
      </c>
      <c r="F16" s="11">
        <f>(1+Inputs!$F$213/100)/(1+Inputs!$F$214/100)</f>
        <v/>
      </c>
    </row>
    <row r="17">
      <c r="D17" t="inlineStr">
        <is>
          <t>Refinancing period (period number)</t>
        </is>
      </c>
      <c r="E17" t="inlineStr">
        <is>
          <t>index</t>
        </is>
      </c>
      <c r="F17" s="10">
        <f>MATCH(Inputs!$F$205,$J$23:$BN$23,0)</f>
        <v/>
      </c>
    </row>
    <row r="18">
      <c r="D18" t="inlineStr">
        <is>
          <t>Deferral period (period number)</t>
        </is>
      </c>
      <c r="E18" t="inlineStr">
        <is>
          <t>index</t>
        </is>
      </c>
      <c r="F18" s="10">
        <f>MATCH(Inputs!$F$200,$J$23:$BN$23,0)</f>
        <v/>
      </c>
    </row>
    <row r="19">
      <c r="B19" s="2" t="inlineStr">
        <is>
          <t>Semiannual timeline</t>
        </is>
      </c>
    </row>
    <row r="20">
      <c r="D20" t="inlineStr">
        <is>
          <t>Period number</t>
        </is>
      </c>
      <c r="E20" t="inlineStr">
        <is>
          <t>index</t>
        </is>
      </c>
      <c r="J20" s="10">
        <f>I20+1</f>
        <v/>
      </c>
      <c r="K20" s="10">
        <f>J20+1</f>
        <v/>
      </c>
      <c r="L20" s="10">
        <f>K20+1</f>
        <v/>
      </c>
      <c r="M20" s="10">
        <f>L20+1</f>
        <v/>
      </c>
      <c r="N20" s="10">
        <f>M20+1</f>
        <v/>
      </c>
      <c r="O20" s="10">
        <f>N20+1</f>
        <v/>
      </c>
      <c r="P20" s="10">
        <f>O20+1</f>
        <v/>
      </c>
      <c r="Q20" s="10">
        <f>P20+1</f>
        <v/>
      </c>
      <c r="R20" s="10">
        <f>Q20+1</f>
        <v/>
      </c>
      <c r="S20" s="10">
        <f>R20+1</f>
        <v/>
      </c>
      <c r="T20" s="10">
        <f>S20+1</f>
        <v/>
      </c>
      <c r="U20" s="10">
        <f>T20+1</f>
        <v/>
      </c>
      <c r="V20" s="10">
        <f>U20+1</f>
        <v/>
      </c>
      <c r="W20" s="10">
        <f>V20+1</f>
        <v/>
      </c>
      <c r="X20" s="10">
        <f>W20+1</f>
        <v/>
      </c>
      <c r="Y20" s="10">
        <f>X20+1</f>
        <v/>
      </c>
      <c r="Z20" s="10">
        <f>Y20+1</f>
        <v/>
      </c>
      <c r="AA20" s="10">
        <f>Z20+1</f>
        <v/>
      </c>
      <c r="AB20" s="10">
        <f>AA20+1</f>
        <v/>
      </c>
      <c r="AC20" s="10">
        <f>AB20+1</f>
        <v/>
      </c>
      <c r="AD20" s="10">
        <f>AC20+1</f>
        <v/>
      </c>
      <c r="AE20" s="10">
        <f>AD20+1</f>
        <v/>
      </c>
      <c r="AF20" s="10">
        <f>AE20+1</f>
        <v/>
      </c>
      <c r="AG20" s="10">
        <f>AF20+1</f>
        <v/>
      </c>
      <c r="AH20" s="10">
        <f>AG20+1</f>
        <v/>
      </c>
      <c r="AI20" s="10">
        <f>AH20+1</f>
        <v/>
      </c>
      <c r="AJ20" s="10">
        <f>AI20+1</f>
        <v/>
      </c>
      <c r="AK20" s="10">
        <f>AJ20+1</f>
        <v/>
      </c>
      <c r="AL20" s="10">
        <f>AK20+1</f>
        <v/>
      </c>
      <c r="AM20" s="10">
        <f>AL20+1</f>
        <v/>
      </c>
      <c r="AN20" s="10">
        <f>AM20+1</f>
        <v/>
      </c>
      <c r="AO20" s="10">
        <f>AN20+1</f>
        <v/>
      </c>
      <c r="AP20" s="10">
        <f>AO20+1</f>
        <v/>
      </c>
      <c r="AQ20" s="10">
        <f>AP20+1</f>
        <v/>
      </c>
      <c r="AR20" s="10">
        <f>AQ20+1</f>
        <v/>
      </c>
      <c r="AS20" s="10">
        <f>AR20+1</f>
        <v/>
      </c>
      <c r="AT20" s="10">
        <f>AS20+1</f>
        <v/>
      </c>
      <c r="AU20" s="10">
        <f>AT20+1</f>
        <v/>
      </c>
      <c r="AV20" s="10">
        <f>AU20+1</f>
        <v/>
      </c>
      <c r="AW20" s="10">
        <f>AV20+1</f>
        <v/>
      </c>
      <c r="AX20" s="10">
        <f>AW20+1</f>
        <v/>
      </c>
      <c r="AY20" s="10">
        <f>AX20+1</f>
        <v/>
      </c>
      <c r="AZ20" s="10">
        <f>AY20+1</f>
        <v/>
      </c>
      <c r="BA20" s="10">
        <f>AZ20+1</f>
        <v/>
      </c>
      <c r="BB20" s="10">
        <f>BA20+1</f>
        <v/>
      </c>
      <c r="BC20" s="10">
        <f>BB20+1</f>
        <v/>
      </c>
      <c r="BD20" s="10">
        <f>BC20+1</f>
        <v/>
      </c>
      <c r="BE20" s="10">
        <f>BD20+1</f>
        <v/>
      </c>
      <c r="BF20" s="10">
        <f>BE20+1</f>
        <v/>
      </c>
      <c r="BG20" s="10">
        <f>BF20+1</f>
        <v/>
      </c>
      <c r="BH20" s="10">
        <f>BG20+1</f>
        <v/>
      </c>
      <c r="BI20" s="10">
        <f>BH20+1</f>
        <v/>
      </c>
      <c r="BJ20" s="10">
        <f>BI20+1</f>
        <v/>
      </c>
      <c r="BK20" s="10">
        <f>BJ20+1</f>
        <v/>
      </c>
      <c r="BL20" s="10">
        <f>BK20+1</f>
        <v/>
      </c>
      <c r="BM20" s="10">
        <f>BL20+1</f>
        <v/>
      </c>
      <c r="BN20" s="10">
        <f>BM20+1</f>
        <v/>
      </c>
    </row>
    <row r="21">
      <c r="D21" t="inlineStr">
        <is>
          <t>Months per period</t>
        </is>
      </c>
      <c r="E21" t="inlineStr">
        <is>
          <t>months</t>
        </is>
      </c>
      <c r="J21" s="12">
        <f>Inputs!$F$226</f>
        <v/>
      </c>
      <c r="K21" s="12">
        <f>Inputs!$F$226</f>
        <v/>
      </c>
      <c r="L21" s="12">
        <f>Inputs!$F$226</f>
        <v/>
      </c>
      <c r="M21" s="12">
        <f>Inputs!$F$226</f>
        <v/>
      </c>
      <c r="N21" s="12">
        <f>Inputs!$F$226</f>
        <v/>
      </c>
      <c r="O21" s="12">
        <f>Inputs!$F$226</f>
        <v/>
      </c>
      <c r="P21" s="12">
        <f>Inputs!$F$226</f>
        <v/>
      </c>
      <c r="Q21" s="12">
        <f>Inputs!$F$226</f>
        <v/>
      </c>
      <c r="R21" s="12">
        <f>Inputs!$F$226</f>
        <v/>
      </c>
      <c r="S21" s="12">
        <f>Inputs!$F$226</f>
        <v/>
      </c>
      <c r="T21" s="12">
        <f>Inputs!$F$226</f>
        <v/>
      </c>
      <c r="U21" s="12">
        <f>Inputs!$F$226</f>
        <v/>
      </c>
      <c r="V21" s="12">
        <f>Inputs!$F$226</f>
        <v/>
      </c>
      <c r="W21" s="12">
        <f>Inputs!$F$226</f>
        <v/>
      </c>
      <c r="X21" s="12">
        <f>Inputs!$F$226</f>
        <v/>
      </c>
      <c r="Y21" s="12">
        <f>Inputs!$F$226</f>
        <v/>
      </c>
      <c r="Z21" s="12">
        <f>Inputs!$F$226</f>
        <v/>
      </c>
      <c r="AA21" s="12">
        <f>Inputs!$F$226</f>
        <v/>
      </c>
      <c r="AB21" s="12">
        <f>Inputs!$F$226</f>
        <v/>
      </c>
      <c r="AC21" s="12">
        <f>Inputs!$F$226</f>
        <v/>
      </c>
      <c r="AD21" s="12">
        <f>Inputs!$F$226</f>
        <v/>
      </c>
      <c r="AE21" s="12">
        <f>Inputs!$F$226</f>
        <v/>
      </c>
      <c r="AF21" s="12">
        <f>Inputs!$F$226</f>
        <v/>
      </c>
      <c r="AG21" s="12">
        <f>Inputs!$F$226</f>
        <v/>
      </c>
      <c r="AH21" s="12">
        <f>Inputs!$F$226</f>
        <v/>
      </c>
      <c r="AI21" s="12">
        <f>Inputs!$F$226</f>
        <v/>
      </c>
      <c r="AJ21" s="12">
        <f>Inputs!$F$226</f>
        <v/>
      </c>
      <c r="AK21" s="12">
        <f>Inputs!$F$226</f>
        <v/>
      </c>
      <c r="AL21" s="12">
        <f>Inputs!$F$226</f>
        <v/>
      </c>
      <c r="AM21" s="12">
        <f>Inputs!$F$226</f>
        <v/>
      </c>
      <c r="AN21" s="12">
        <f>Inputs!$F$226</f>
        <v/>
      </c>
      <c r="AO21" s="12">
        <f>Inputs!$F$226</f>
        <v/>
      </c>
      <c r="AP21" s="12">
        <f>Inputs!$F$226</f>
        <v/>
      </c>
      <c r="AQ21" s="12">
        <f>Inputs!$F$226</f>
        <v/>
      </c>
      <c r="AR21" s="12">
        <f>Inputs!$F$226</f>
        <v/>
      </c>
      <c r="AS21" s="12">
        <f>Inputs!$F$226</f>
        <v/>
      </c>
      <c r="AT21" s="12">
        <f>Inputs!$F$226</f>
        <v/>
      </c>
      <c r="AU21" s="12">
        <f>Inputs!$F$226</f>
        <v/>
      </c>
      <c r="AV21" s="12">
        <f>Inputs!$F$226</f>
        <v/>
      </c>
      <c r="AW21" s="12">
        <f>Inputs!$F$226</f>
        <v/>
      </c>
      <c r="AX21" s="12">
        <f>Inputs!$F$226</f>
        <v/>
      </c>
      <c r="AY21" s="12">
        <f>Inputs!$F$226</f>
        <v/>
      </c>
      <c r="AZ21" s="12">
        <f>Inputs!$F$226</f>
        <v/>
      </c>
      <c r="BA21" s="12">
        <f>Inputs!$F$226</f>
        <v/>
      </c>
      <c r="BB21" s="12">
        <f>Inputs!$F$226</f>
        <v/>
      </c>
      <c r="BC21" s="12">
        <f>Inputs!$F$226</f>
        <v/>
      </c>
      <c r="BD21" s="12">
        <f>Inputs!$F$226</f>
        <v/>
      </c>
      <c r="BE21" s="12">
        <f>Inputs!$F$226</f>
        <v/>
      </c>
      <c r="BF21" s="12">
        <f>Inputs!$F$226</f>
        <v/>
      </c>
      <c r="BG21" s="12">
        <f>Inputs!$F$226</f>
        <v/>
      </c>
      <c r="BH21" s="12">
        <f>Inputs!$F$226</f>
        <v/>
      </c>
      <c r="BI21" s="12">
        <f>Inputs!$F$226</f>
        <v/>
      </c>
      <c r="BJ21" s="12">
        <f>Inputs!$F$226</f>
        <v/>
      </c>
      <c r="BK21" s="12">
        <f>Inputs!$F$226</f>
        <v/>
      </c>
      <c r="BL21" s="12">
        <f>Inputs!$F$226</f>
        <v/>
      </c>
      <c r="BM21" s="12">
        <f>Inputs!$F$226</f>
        <v/>
      </c>
      <c r="BN21" s="12">
        <f>Inputs!$F$226</f>
        <v/>
      </c>
    </row>
    <row r="22">
      <c r="D22" t="inlineStr">
        <is>
          <t>Period start</t>
        </is>
      </c>
      <c r="E22" t="inlineStr">
        <is>
          <t>date</t>
        </is>
      </c>
      <c r="J22" s="9">
        <f>IF(J20=1,Inputs!$F$189,EDATE(I22,J21))</f>
        <v/>
      </c>
      <c r="K22" s="9">
        <f>IF(K20=1,Inputs!$F$189,EDATE(J22,K21))</f>
        <v/>
      </c>
      <c r="L22" s="9">
        <f>IF(L20=1,Inputs!$F$189,EDATE(K22,L21))</f>
        <v/>
      </c>
      <c r="M22" s="9">
        <f>IF(M20=1,Inputs!$F$189,EDATE(L22,M21))</f>
        <v/>
      </c>
      <c r="N22" s="9">
        <f>IF(N20=1,Inputs!$F$189,EDATE(M22,N21))</f>
        <v/>
      </c>
      <c r="O22" s="9">
        <f>IF(O20=1,Inputs!$F$189,EDATE(N22,O21))</f>
        <v/>
      </c>
      <c r="P22" s="9">
        <f>IF(P20=1,Inputs!$F$189,EDATE(O22,P21))</f>
        <v/>
      </c>
      <c r="Q22" s="9">
        <f>IF(Q20=1,Inputs!$F$189,EDATE(P22,Q21))</f>
        <v/>
      </c>
      <c r="R22" s="9">
        <f>IF(R20=1,Inputs!$F$189,EDATE(Q22,R21))</f>
        <v/>
      </c>
      <c r="S22" s="9">
        <f>IF(S20=1,Inputs!$F$189,EDATE(R22,S21))</f>
        <v/>
      </c>
      <c r="T22" s="9">
        <f>IF(T20=1,Inputs!$F$189,EDATE(S22,T21))</f>
        <v/>
      </c>
      <c r="U22" s="9">
        <f>IF(U20=1,Inputs!$F$189,EDATE(T22,U21))</f>
        <v/>
      </c>
      <c r="V22" s="9">
        <f>IF(V20=1,Inputs!$F$189,EDATE(U22,V21))</f>
        <v/>
      </c>
      <c r="W22" s="9">
        <f>IF(W20=1,Inputs!$F$189,EDATE(V22,W21))</f>
        <v/>
      </c>
      <c r="X22" s="9">
        <f>IF(X20=1,Inputs!$F$189,EDATE(W22,X21))</f>
        <v/>
      </c>
      <c r="Y22" s="9">
        <f>IF(Y20=1,Inputs!$F$189,EDATE(X22,Y21))</f>
        <v/>
      </c>
      <c r="Z22" s="9">
        <f>IF(Z20=1,Inputs!$F$189,EDATE(Y22,Z21))</f>
        <v/>
      </c>
      <c r="AA22" s="9">
        <f>IF(AA20=1,Inputs!$F$189,EDATE(Z22,AA21))</f>
        <v/>
      </c>
      <c r="AB22" s="9">
        <f>IF(AB20=1,Inputs!$F$189,EDATE(AA22,AB21))</f>
        <v/>
      </c>
      <c r="AC22" s="9">
        <f>IF(AC20=1,Inputs!$F$189,EDATE(AB22,AC21))</f>
        <v/>
      </c>
      <c r="AD22" s="9">
        <f>IF(AD20=1,Inputs!$F$189,EDATE(AC22,AD21))</f>
        <v/>
      </c>
      <c r="AE22" s="9">
        <f>IF(AE20=1,Inputs!$F$189,EDATE(AD22,AE21))</f>
        <v/>
      </c>
      <c r="AF22" s="9">
        <f>IF(AF20=1,Inputs!$F$189,EDATE(AE22,AF21))</f>
        <v/>
      </c>
      <c r="AG22" s="9">
        <f>IF(AG20=1,Inputs!$F$189,EDATE(AF22,AG21))</f>
        <v/>
      </c>
      <c r="AH22" s="9">
        <f>IF(AH20=1,Inputs!$F$189,EDATE(AG22,AH21))</f>
        <v/>
      </c>
      <c r="AI22" s="9">
        <f>IF(AI20=1,Inputs!$F$189,EDATE(AH22,AI21))</f>
        <v/>
      </c>
      <c r="AJ22" s="9">
        <f>IF(AJ20=1,Inputs!$F$189,EDATE(AI22,AJ21))</f>
        <v/>
      </c>
      <c r="AK22" s="9">
        <f>IF(AK20=1,Inputs!$F$189,EDATE(AJ22,AK21))</f>
        <v/>
      </c>
      <c r="AL22" s="9">
        <f>IF(AL20=1,Inputs!$F$189,EDATE(AK22,AL21))</f>
        <v/>
      </c>
      <c r="AM22" s="9">
        <f>IF(AM20=1,Inputs!$F$189,EDATE(AL22,AM21))</f>
        <v/>
      </c>
      <c r="AN22" s="9">
        <f>IF(AN20=1,Inputs!$F$189,EDATE(AM22,AN21))</f>
        <v/>
      </c>
      <c r="AO22" s="9">
        <f>IF(AO20=1,Inputs!$F$189,EDATE(AN22,AO21))</f>
        <v/>
      </c>
      <c r="AP22" s="9">
        <f>IF(AP20=1,Inputs!$F$189,EDATE(AO22,AP21))</f>
        <v/>
      </c>
      <c r="AQ22" s="9">
        <f>IF(AQ20=1,Inputs!$F$189,EDATE(AP22,AQ21))</f>
        <v/>
      </c>
      <c r="AR22" s="9">
        <f>IF(AR20=1,Inputs!$F$189,EDATE(AQ22,AR21))</f>
        <v/>
      </c>
      <c r="AS22" s="9">
        <f>IF(AS20=1,Inputs!$F$189,EDATE(AR22,AS21))</f>
        <v/>
      </c>
      <c r="AT22" s="9">
        <f>IF(AT20=1,Inputs!$F$189,EDATE(AS22,AT21))</f>
        <v/>
      </c>
      <c r="AU22" s="9">
        <f>IF(AU20=1,Inputs!$F$189,EDATE(AT22,AU21))</f>
        <v/>
      </c>
      <c r="AV22" s="9">
        <f>IF(AV20=1,Inputs!$F$189,EDATE(AU22,AV21))</f>
        <v/>
      </c>
      <c r="AW22" s="9">
        <f>IF(AW20=1,Inputs!$F$189,EDATE(AV22,AW21))</f>
        <v/>
      </c>
      <c r="AX22" s="9">
        <f>IF(AX20=1,Inputs!$F$189,EDATE(AW22,AX21))</f>
        <v/>
      </c>
      <c r="AY22" s="9">
        <f>IF(AY20=1,Inputs!$F$189,EDATE(AX22,AY21))</f>
        <v/>
      </c>
      <c r="AZ22" s="9">
        <f>IF(AZ20=1,Inputs!$F$189,EDATE(AY22,AZ21))</f>
        <v/>
      </c>
      <c r="BA22" s="9">
        <f>IF(BA20=1,Inputs!$F$189,EDATE(AZ22,BA21))</f>
        <v/>
      </c>
      <c r="BB22" s="9">
        <f>IF(BB20=1,Inputs!$F$189,EDATE(BA22,BB21))</f>
        <v/>
      </c>
      <c r="BC22" s="9">
        <f>IF(BC20=1,Inputs!$F$189,EDATE(BB22,BC21))</f>
        <v/>
      </c>
      <c r="BD22" s="9">
        <f>IF(BD20=1,Inputs!$F$189,EDATE(BC22,BD21))</f>
        <v/>
      </c>
      <c r="BE22" s="9">
        <f>IF(BE20=1,Inputs!$F$189,EDATE(BD22,BE21))</f>
        <v/>
      </c>
      <c r="BF22" s="9">
        <f>IF(BF20=1,Inputs!$F$189,EDATE(BE22,BF21))</f>
        <v/>
      </c>
      <c r="BG22" s="9">
        <f>IF(BG20=1,Inputs!$F$189,EDATE(BF22,BG21))</f>
        <v/>
      </c>
      <c r="BH22" s="9">
        <f>IF(BH20=1,Inputs!$F$189,EDATE(BG22,BH21))</f>
        <v/>
      </c>
      <c r="BI22" s="9">
        <f>IF(BI20=1,Inputs!$F$189,EDATE(BH22,BI21))</f>
        <v/>
      </c>
      <c r="BJ22" s="9">
        <f>IF(BJ20=1,Inputs!$F$189,EDATE(BI22,BJ21))</f>
        <v/>
      </c>
      <c r="BK22" s="9">
        <f>IF(BK20=1,Inputs!$F$189,EDATE(BJ22,BK21))</f>
        <v/>
      </c>
      <c r="BL22" s="9">
        <f>IF(BL20=1,Inputs!$F$189,EDATE(BK22,BL21))</f>
        <v/>
      </c>
      <c r="BM22" s="9">
        <f>IF(BM20=1,Inputs!$F$189,EDATE(BL22,BM21))</f>
        <v/>
      </c>
      <c r="BN22" s="9">
        <f>IF(BN20=1,Inputs!$F$189,EDATE(BM22,BN21))</f>
        <v/>
      </c>
    </row>
    <row r="23">
      <c r="D23" t="inlineStr">
        <is>
          <t>Period end</t>
        </is>
      </c>
      <c r="E23" t="inlineStr">
        <is>
          <t>date</t>
        </is>
      </c>
      <c r="J23" s="9">
        <f>EOMONTH(J22,J21-1)</f>
        <v/>
      </c>
      <c r="K23" s="9">
        <f>EOMONTH(K22,K21-1)</f>
        <v/>
      </c>
      <c r="L23" s="9">
        <f>EOMONTH(L22,L21-1)</f>
        <v/>
      </c>
      <c r="M23" s="9">
        <f>EOMONTH(M22,M21-1)</f>
        <v/>
      </c>
      <c r="N23" s="9">
        <f>EOMONTH(N22,N21-1)</f>
        <v/>
      </c>
      <c r="O23" s="9">
        <f>EOMONTH(O22,O21-1)</f>
        <v/>
      </c>
      <c r="P23" s="9">
        <f>EOMONTH(P22,P21-1)</f>
        <v/>
      </c>
      <c r="Q23" s="9">
        <f>EOMONTH(Q22,Q21-1)</f>
        <v/>
      </c>
      <c r="R23" s="9">
        <f>EOMONTH(R22,R21-1)</f>
        <v/>
      </c>
      <c r="S23" s="9">
        <f>EOMONTH(S22,S21-1)</f>
        <v/>
      </c>
      <c r="T23" s="9">
        <f>EOMONTH(T22,T21-1)</f>
        <v/>
      </c>
      <c r="U23" s="9">
        <f>EOMONTH(U22,U21-1)</f>
        <v/>
      </c>
      <c r="V23" s="9">
        <f>EOMONTH(V22,V21-1)</f>
        <v/>
      </c>
      <c r="W23" s="9">
        <f>EOMONTH(W22,W21-1)</f>
        <v/>
      </c>
      <c r="X23" s="9">
        <f>EOMONTH(X22,X21-1)</f>
        <v/>
      </c>
      <c r="Y23" s="9">
        <f>EOMONTH(Y22,Y21-1)</f>
        <v/>
      </c>
      <c r="Z23" s="9">
        <f>EOMONTH(Z22,Z21-1)</f>
        <v/>
      </c>
      <c r="AA23" s="9">
        <f>EOMONTH(AA22,AA21-1)</f>
        <v/>
      </c>
      <c r="AB23" s="9">
        <f>EOMONTH(AB22,AB21-1)</f>
        <v/>
      </c>
      <c r="AC23" s="9">
        <f>EOMONTH(AC22,AC21-1)</f>
        <v/>
      </c>
      <c r="AD23" s="9">
        <f>EOMONTH(AD22,AD21-1)</f>
        <v/>
      </c>
      <c r="AE23" s="9">
        <f>EOMONTH(AE22,AE21-1)</f>
        <v/>
      </c>
      <c r="AF23" s="9">
        <f>EOMONTH(AF22,AF21-1)</f>
        <v/>
      </c>
      <c r="AG23" s="9">
        <f>EOMONTH(AG22,AG21-1)</f>
        <v/>
      </c>
      <c r="AH23" s="9">
        <f>EOMONTH(AH22,AH21-1)</f>
        <v/>
      </c>
      <c r="AI23" s="9">
        <f>EOMONTH(AI22,AI21-1)</f>
        <v/>
      </c>
      <c r="AJ23" s="9">
        <f>EOMONTH(AJ22,AJ21-1)</f>
        <v/>
      </c>
      <c r="AK23" s="9">
        <f>EOMONTH(AK22,AK21-1)</f>
        <v/>
      </c>
      <c r="AL23" s="9">
        <f>EOMONTH(AL22,AL21-1)</f>
        <v/>
      </c>
      <c r="AM23" s="9">
        <f>EOMONTH(AM22,AM21-1)</f>
        <v/>
      </c>
      <c r="AN23" s="9">
        <f>EOMONTH(AN22,AN21-1)</f>
        <v/>
      </c>
      <c r="AO23" s="9">
        <f>EOMONTH(AO22,AO21-1)</f>
        <v/>
      </c>
      <c r="AP23" s="9">
        <f>EOMONTH(AP22,AP21-1)</f>
        <v/>
      </c>
      <c r="AQ23" s="9">
        <f>EOMONTH(AQ22,AQ21-1)</f>
        <v/>
      </c>
      <c r="AR23" s="9">
        <f>EOMONTH(AR22,AR21-1)</f>
        <v/>
      </c>
      <c r="AS23" s="9">
        <f>EOMONTH(AS22,AS21-1)</f>
        <v/>
      </c>
      <c r="AT23" s="9">
        <f>EOMONTH(AT22,AT21-1)</f>
        <v/>
      </c>
      <c r="AU23" s="9">
        <f>EOMONTH(AU22,AU21-1)</f>
        <v/>
      </c>
      <c r="AV23" s="9">
        <f>EOMONTH(AV22,AV21-1)</f>
        <v/>
      </c>
      <c r="AW23" s="9">
        <f>EOMONTH(AW22,AW21-1)</f>
        <v/>
      </c>
      <c r="AX23" s="9">
        <f>EOMONTH(AX22,AX21-1)</f>
        <v/>
      </c>
      <c r="AY23" s="9">
        <f>EOMONTH(AY22,AY21-1)</f>
        <v/>
      </c>
      <c r="AZ23" s="9">
        <f>EOMONTH(AZ22,AZ21-1)</f>
        <v/>
      </c>
      <c r="BA23" s="9">
        <f>EOMONTH(BA22,BA21-1)</f>
        <v/>
      </c>
      <c r="BB23" s="9">
        <f>EOMONTH(BB22,BB21-1)</f>
        <v/>
      </c>
      <c r="BC23" s="9">
        <f>EOMONTH(BC22,BC21-1)</f>
        <v/>
      </c>
      <c r="BD23" s="9">
        <f>EOMONTH(BD22,BD21-1)</f>
        <v/>
      </c>
      <c r="BE23" s="9">
        <f>EOMONTH(BE22,BE21-1)</f>
        <v/>
      </c>
      <c r="BF23" s="9">
        <f>EOMONTH(BF22,BF21-1)</f>
        <v/>
      </c>
      <c r="BG23" s="9">
        <f>EOMONTH(BG22,BG21-1)</f>
        <v/>
      </c>
      <c r="BH23" s="9">
        <f>EOMONTH(BH22,BH21-1)</f>
        <v/>
      </c>
      <c r="BI23" s="9">
        <f>EOMONTH(BI22,BI21-1)</f>
        <v/>
      </c>
      <c r="BJ23" s="9">
        <f>EOMONTH(BJ22,BJ21-1)</f>
        <v/>
      </c>
      <c r="BK23" s="9">
        <f>EOMONTH(BK22,BK21-1)</f>
        <v/>
      </c>
      <c r="BL23" s="9">
        <f>EOMONTH(BL22,BL21-1)</f>
        <v/>
      </c>
      <c r="BM23" s="9">
        <f>EOMONTH(BM22,BM21-1)</f>
        <v/>
      </c>
      <c r="BN23" s="9">
        <f>EOMONTH(BN22,BN21-1)</f>
        <v/>
      </c>
    </row>
    <row r="24">
      <c r="D24" t="inlineStr">
        <is>
          <t>Year fraction 30/360 (months / 12)</t>
        </is>
      </c>
      <c r="E24" t="inlineStr">
        <is>
          <t>factor</t>
        </is>
      </c>
      <c r="J24" s="6">
        <f>J21/12</f>
        <v/>
      </c>
      <c r="K24" s="6">
        <f>K21/12</f>
        <v/>
      </c>
      <c r="L24" s="6">
        <f>L21/12</f>
        <v/>
      </c>
      <c r="M24" s="6">
        <f>M21/12</f>
        <v/>
      </c>
      <c r="N24" s="6">
        <f>N21/12</f>
        <v/>
      </c>
      <c r="O24" s="6">
        <f>O21/12</f>
        <v/>
      </c>
      <c r="P24" s="6">
        <f>P21/12</f>
        <v/>
      </c>
      <c r="Q24" s="6">
        <f>Q21/12</f>
        <v/>
      </c>
      <c r="R24" s="6">
        <f>R21/12</f>
        <v/>
      </c>
      <c r="S24" s="6">
        <f>S21/12</f>
        <v/>
      </c>
      <c r="T24" s="6">
        <f>T21/12</f>
        <v/>
      </c>
      <c r="U24" s="6">
        <f>U21/12</f>
        <v/>
      </c>
      <c r="V24" s="6">
        <f>V21/12</f>
        <v/>
      </c>
      <c r="W24" s="6">
        <f>W21/12</f>
        <v/>
      </c>
      <c r="X24" s="6">
        <f>X21/12</f>
        <v/>
      </c>
      <c r="Y24" s="6">
        <f>Y21/12</f>
        <v/>
      </c>
      <c r="Z24" s="6">
        <f>Z21/12</f>
        <v/>
      </c>
      <c r="AA24" s="6">
        <f>AA21/12</f>
        <v/>
      </c>
      <c r="AB24" s="6">
        <f>AB21/12</f>
        <v/>
      </c>
      <c r="AC24" s="6">
        <f>AC21/12</f>
        <v/>
      </c>
      <c r="AD24" s="6">
        <f>AD21/12</f>
        <v/>
      </c>
      <c r="AE24" s="6">
        <f>AE21/12</f>
        <v/>
      </c>
      <c r="AF24" s="6">
        <f>AF21/12</f>
        <v/>
      </c>
      <c r="AG24" s="6">
        <f>AG21/12</f>
        <v/>
      </c>
      <c r="AH24" s="6">
        <f>AH21/12</f>
        <v/>
      </c>
      <c r="AI24" s="6">
        <f>AI21/12</f>
        <v/>
      </c>
      <c r="AJ24" s="6">
        <f>AJ21/12</f>
        <v/>
      </c>
      <c r="AK24" s="6">
        <f>AK21/12</f>
        <v/>
      </c>
      <c r="AL24" s="6">
        <f>AL21/12</f>
        <v/>
      </c>
      <c r="AM24" s="6">
        <f>AM21/12</f>
        <v/>
      </c>
      <c r="AN24" s="6">
        <f>AN21/12</f>
        <v/>
      </c>
      <c r="AO24" s="6">
        <f>AO21/12</f>
        <v/>
      </c>
      <c r="AP24" s="6">
        <f>AP21/12</f>
        <v/>
      </c>
      <c r="AQ24" s="6">
        <f>AQ21/12</f>
        <v/>
      </c>
      <c r="AR24" s="6">
        <f>AR21/12</f>
        <v/>
      </c>
      <c r="AS24" s="6">
        <f>AS21/12</f>
        <v/>
      </c>
      <c r="AT24" s="6">
        <f>AT21/12</f>
        <v/>
      </c>
      <c r="AU24" s="6">
        <f>AU21/12</f>
        <v/>
      </c>
      <c r="AV24" s="6">
        <f>AV21/12</f>
        <v/>
      </c>
      <c r="AW24" s="6">
        <f>AW21/12</f>
        <v/>
      </c>
      <c r="AX24" s="6">
        <f>AX21/12</f>
        <v/>
      </c>
      <c r="AY24" s="6">
        <f>AY21/12</f>
        <v/>
      </c>
      <c r="AZ24" s="6">
        <f>AZ21/12</f>
        <v/>
      </c>
      <c r="BA24" s="6">
        <f>BA21/12</f>
        <v/>
      </c>
      <c r="BB24" s="6">
        <f>BB21/12</f>
        <v/>
      </c>
      <c r="BC24" s="6">
        <f>BC21/12</f>
        <v/>
      </c>
      <c r="BD24" s="6">
        <f>BD21/12</f>
        <v/>
      </c>
      <c r="BE24" s="6">
        <f>BE21/12</f>
        <v/>
      </c>
      <c r="BF24" s="6">
        <f>BF21/12</f>
        <v/>
      </c>
      <c r="BG24" s="6">
        <f>BG21/12</f>
        <v/>
      </c>
      <c r="BH24" s="6">
        <f>BH21/12</f>
        <v/>
      </c>
      <c r="BI24" s="6">
        <f>BI21/12</f>
        <v/>
      </c>
      <c r="BJ24" s="6">
        <f>BJ21/12</f>
        <v/>
      </c>
      <c r="BK24" s="6">
        <f>BK21/12</f>
        <v/>
      </c>
      <c r="BL24" s="6">
        <f>BL21/12</f>
        <v/>
      </c>
      <c r="BM24" s="6">
        <f>BM21/12</f>
        <v/>
      </c>
      <c r="BN24" s="6">
        <f>BN21/12</f>
        <v/>
      </c>
    </row>
    <row r="25">
      <c r="D25" t="inlineStr">
        <is>
          <t>Days in period</t>
        </is>
      </c>
      <c r="E25" t="inlineStr">
        <is>
          <t>days</t>
        </is>
      </c>
      <c r="J25" s="10">
        <f>J23-J22+1</f>
        <v/>
      </c>
      <c r="K25" s="10">
        <f>K23-K22+1</f>
        <v/>
      </c>
      <c r="L25" s="10">
        <f>L23-L22+1</f>
        <v/>
      </c>
      <c r="M25" s="10">
        <f>M23-M22+1</f>
        <v/>
      </c>
      <c r="N25" s="10">
        <f>N23-N22+1</f>
        <v/>
      </c>
      <c r="O25" s="10">
        <f>O23-O22+1</f>
        <v/>
      </c>
      <c r="P25" s="10">
        <f>P23-P22+1</f>
        <v/>
      </c>
      <c r="Q25" s="10">
        <f>Q23-Q22+1</f>
        <v/>
      </c>
      <c r="R25" s="10">
        <f>R23-R22+1</f>
        <v/>
      </c>
      <c r="S25" s="10">
        <f>S23-S22+1</f>
        <v/>
      </c>
      <c r="T25" s="10">
        <f>T23-T22+1</f>
        <v/>
      </c>
      <c r="U25" s="10">
        <f>U23-U22+1</f>
        <v/>
      </c>
      <c r="V25" s="10">
        <f>V23-V22+1</f>
        <v/>
      </c>
      <c r="W25" s="10">
        <f>W23-W22+1</f>
        <v/>
      </c>
      <c r="X25" s="10">
        <f>X23-X22+1</f>
        <v/>
      </c>
      <c r="Y25" s="10">
        <f>Y23-Y22+1</f>
        <v/>
      </c>
      <c r="Z25" s="10">
        <f>Z23-Z22+1</f>
        <v/>
      </c>
      <c r="AA25" s="10">
        <f>AA23-AA22+1</f>
        <v/>
      </c>
      <c r="AB25" s="10">
        <f>AB23-AB22+1</f>
        <v/>
      </c>
      <c r="AC25" s="10">
        <f>AC23-AC22+1</f>
        <v/>
      </c>
      <c r="AD25" s="10">
        <f>AD23-AD22+1</f>
        <v/>
      </c>
      <c r="AE25" s="10">
        <f>AE23-AE22+1</f>
        <v/>
      </c>
      <c r="AF25" s="10">
        <f>AF23-AF22+1</f>
        <v/>
      </c>
      <c r="AG25" s="10">
        <f>AG23-AG22+1</f>
        <v/>
      </c>
      <c r="AH25" s="10">
        <f>AH23-AH22+1</f>
        <v/>
      </c>
      <c r="AI25" s="10">
        <f>AI23-AI22+1</f>
        <v/>
      </c>
      <c r="AJ25" s="10">
        <f>AJ23-AJ22+1</f>
        <v/>
      </c>
      <c r="AK25" s="10">
        <f>AK23-AK22+1</f>
        <v/>
      </c>
      <c r="AL25" s="10">
        <f>AL23-AL22+1</f>
        <v/>
      </c>
      <c r="AM25" s="10">
        <f>AM23-AM22+1</f>
        <v/>
      </c>
      <c r="AN25" s="10">
        <f>AN23-AN22+1</f>
        <v/>
      </c>
      <c r="AO25" s="10">
        <f>AO23-AO22+1</f>
        <v/>
      </c>
      <c r="AP25" s="10">
        <f>AP23-AP22+1</f>
        <v/>
      </c>
      <c r="AQ25" s="10">
        <f>AQ23-AQ22+1</f>
        <v/>
      </c>
      <c r="AR25" s="10">
        <f>AR23-AR22+1</f>
        <v/>
      </c>
      <c r="AS25" s="10">
        <f>AS23-AS22+1</f>
        <v/>
      </c>
      <c r="AT25" s="10">
        <f>AT23-AT22+1</f>
        <v/>
      </c>
      <c r="AU25" s="10">
        <f>AU23-AU22+1</f>
        <v/>
      </c>
      <c r="AV25" s="10">
        <f>AV23-AV22+1</f>
        <v/>
      </c>
      <c r="AW25" s="10">
        <f>AW23-AW22+1</f>
        <v/>
      </c>
      <c r="AX25" s="10">
        <f>AX23-AX22+1</f>
        <v/>
      </c>
      <c r="AY25" s="10">
        <f>AY23-AY22+1</f>
        <v/>
      </c>
      <c r="AZ25" s="10">
        <f>AZ23-AZ22+1</f>
        <v/>
      </c>
      <c r="BA25" s="10">
        <f>BA23-BA22+1</f>
        <v/>
      </c>
      <c r="BB25" s="10">
        <f>BB23-BB22+1</f>
        <v/>
      </c>
      <c r="BC25" s="10">
        <f>BC23-BC22+1</f>
        <v/>
      </c>
      <c r="BD25" s="10">
        <f>BD23-BD22+1</f>
        <v/>
      </c>
      <c r="BE25" s="10">
        <f>BE23-BE22+1</f>
        <v/>
      </c>
      <c r="BF25" s="10">
        <f>BF23-BF22+1</f>
        <v/>
      </c>
      <c r="BG25" s="10">
        <f>BG23-BG22+1</f>
        <v/>
      </c>
      <c r="BH25" s="10">
        <f>BH23-BH22+1</f>
        <v/>
      </c>
      <c r="BI25" s="10">
        <f>BI23-BI22+1</f>
        <v/>
      </c>
      <c r="BJ25" s="10">
        <f>BJ23-BJ22+1</f>
        <v/>
      </c>
      <c r="BK25" s="10">
        <f>BK23-BK22+1</f>
        <v/>
      </c>
      <c r="BL25" s="10">
        <f>BL23-BL22+1</f>
        <v/>
      </c>
      <c r="BM25" s="10">
        <f>BM23-BM22+1</f>
        <v/>
      </c>
      <c r="BN25" s="10">
        <f>BN23-BN22+1</f>
        <v/>
      </c>
    </row>
    <row r="26">
      <c r="D26" t="inlineStr">
        <is>
          <t>Calendar year</t>
        </is>
      </c>
      <c r="E26" t="inlineStr">
        <is>
          <t>year</t>
        </is>
      </c>
      <c r="J26" s="10">
        <f>YEAR(J22)</f>
        <v/>
      </c>
      <c r="K26" s="10">
        <f>YEAR(K22)</f>
        <v/>
      </c>
      <c r="L26" s="10">
        <f>YEAR(L22)</f>
        <v/>
      </c>
      <c r="M26" s="10">
        <f>YEAR(M22)</f>
        <v/>
      </c>
      <c r="N26" s="10">
        <f>YEAR(N22)</f>
        <v/>
      </c>
      <c r="O26" s="10">
        <f>YEAR(O22)</f>
        <v/>
      </c>
      <c r="P26" s="10">
        <f>YEAR(P22)</f>
        <v/>
      </c>
      <c r="Q26" s="10">
        <f>YEAR(Q22)</f>
        <v/>
      </c>
      <c r="R26" s="10">
        <f>YEAR(R22)</f>
        <v/>
      </c>
      <c r="S26" s="10">
        <f>YEAR(S22)</f>
        <v/>
      </c>
      <c r="T26" s="10">
        <f>YEAR(T22)</f>
        <v/>
      </c>
      <c r="U26" s="10">
        <f>YEAR(U22)</f>
        <v/>
      </c>
      <c r="V26" s="10">
        <f>YEAR(V22)</f>
        <v/>
      </c>
      <c r="W26" s="10">
        <f>YEAR(W22)</f>
        <v/>
      </c>
      <c r="X26" s="10">
        <f>YEAR(X22)</f>
        <v/>
      </c>
      <c r="Y26" s="10">
        <f>YEAR(Y22)</f>
        <v/>
      </c>
      <c r="Z26" s="10">
        <f>YEAR(Z22)</f>
        <v/>
      </c>
      <c r="AA26" s="10">
        <f>YEAR(AA22)</f>
        <v/>
      </c>
      <c r="AB26" s="10">
        <f>YEAR(AB22)</f>
        <v/>
      </c>
      <c r="AC26" s="10">
        <f>YEAR(AC22)</f>
        <v/>
      </c>
      <c r="AD26" s="10">
        <f>YEAR(AD22)</f>
        <v/>
      </c>
      <c r="AE26" s="10">
        <f>YEAR(AE22)</f>
        <v/>
      </c>
      <c r="AF26" s="10">
        <f>YEAR(AF22)</f>
        <v/>
      </c>
      <c r="AG26" s="10">
        <f>YEAR(AG22)</f>
        <v/>
      </c>
      <c r="AH26" s="10">
        <f>YEAR(AH22)</f>
        <v/>
      </c>
      <c r="AI26" s="10">
        <f>YEAR(AI22)</f>
        <v/>
      </c>
      <c r="AJ26" s="10">
        <f>YEAR(AJ22)</f>
        <v/>
      </c>
      <c r="AK26" s="10">
        <f>YEAR(AK22)</f>
        <v/>
      </c>
      <c r="AL26" s="10">
        <f>YEAR(AL22)</f>
        <v/>
      </c>
      <c r="AM26" s="10">
        <f>YEAR(AM22)</f>
        <v/>
      </c>
      <c r="AN26" s="10">
        <f>YEAR(AN22)</f>
        <v/>
      </c>
      <c r="AO26" s="10">
        <f>YEAR(AO22)</f>
        <v/>
      </c>
      <c r="AP26" s="10">
        <f>YEAR(AP22)</f>
        <v/>
      </c>
      <c r="AQ26" s="10">
        <f>YEAR(AQ22)</f>
        <v/>
      </c>
      <c r="AR26" s="10">
        <f>YEAR(AR22)</f>
        <v/>
      </c>
      <c r="AS26" s="10">
        <f>YEAR(AS22)</f>
        <v/>
      </c>
      <c r="AT26" s="10">
        <f>YEAR(AT22)</f>
        <v/>
      </c>
      <c r="AU26" s="10">
        <f>YEAR(AU22)</f>
        <v/>
      </c>
      <c r="AV26" s="10">
        <f>YEAR(AV22)</f>
        <v/>
      </c>
      <c r="AW26" s="10">
        <f>YEAR(AW22)</f>
        <v/>
      </c>
      <c r="AX26" s="10">
        <f>YEAR(AX22)</f>
        <v/>
      </c>
      <c r="AY26" s="10">
        <f>YEAR(AY22)</f>
        <v/>
      </c>
      <c r="AZ26" s="10">
        <f>YEAR(AZ22)</f>
        <v/>
      </c>
      <c r="BA26" s="10">
        <f>YEAR(BA22)</f>
        <v/>
      </c>
      <c r="BB26" s="10">
        <f>YEAR(BB22)</f>
        <v/>
      </c>
      <c r="BC26" s="10">
        <f>YEAR(BC22)</f>
        <v/>
      </c>
      <c r="BD26" s="10">
        <f>YEAR(BD22)</f>
        <v/>
      </c>
      <c r="BE26" s="10">
        <f>YEAR(BE22)</f>
        <v/>
      </c>
      <c r="BF26" s="10">
        <f>YEAR(BF22)</f>
        <v/>
      </c>
      <c r="BG26" s="10">
        <f>YEAR(BG22)</f>
        <v/>
      </c>
      <c r="BH26" s="10">
        <f>YEAR(BH22)</f>
        <v/>
      </c>
      <c r="BI26" s="10">
        <f>YEAR(BI22)</f>
        <v/>
      </c>
      <c r="BJ26" s="10">
        <f>YEAR(BJ22)</f>
        <v/>
      </c>
      <c r="BK26" s="10">
        <f>YEAR(BK22)</f>
        <v/>
      </c>
      <c r="BL26" s="10">
        <f>YEAR(BL22)</f>
        <v/>
      </c>
      <c r="BM26" s="10">
        <f>YEAR(BM22)</f>
        <v/>
      </c>
      <c r="BN26" s="10">
        <f>YEAR(BN22)</f>
        <v/>
      </c>
    </row>
    <row r="27">
      <c r="D27" t="inlineStr">
        <is>
          <t>Flag_FirstHalf (Jan-Jun)</t>
        </is>
      </c>
      <c r="E27" t="inlineStr">
        <is>
          <t>flag</t>
        </is>
      </c>
      <c r="J27" s="10">
        <f>IF(MONTH(J22)=1,1,0)</f>
        <v/>
      </c>
      <c r="K27" s="10">
        <f>IF(MONTH(K22)=1,1,0)</f>
        <v/>
      </c>
      <c r="L27" s="10">
        <f>IF(MONTH(L22)=1,1,0)</f>
        <v/>
      </c>
      <c r="M27" s="10">
        <f>IF(MONTH(M22)=1,1,0)</f>
        <v/>
      </c>
      <c r="N27" s="10">
        <f>IF(MONTH(N22)=1,1,0)</f>
        <v/>
      </c>
      <c r="O27" s="10">
        <f>IF(MONTH(O22)=1,1,0)</f>
        <v/>
      </c>
      <c r="P27" s="10">
        <f>IF(MONTH(P22)=1,1,0)</f>
        <v/>
      </c>
      <c r="Q27" s="10">
        <f>IF(MONTH(Q22)=1,1,0)</f>
        <v/>
      </c>
      <c r="R27" s="10">
        <f>IF(MONTH(R22)=1,1,0)</f>
        <v/>
      </c>
      <c r="S27" s="10">
        <f>IF(MONTH(S22)=1,1,0)</f>
        <v/>
      </c>
      <c r="T27" s="10">
        <f>IF(MONTH(T22)=1,1,0)</f>
        <v/>
      </c>
      <c r="U27" s="10">
        <f>IF(MONTH(U22)=1,1,0)</f>
        <v/>
      </c>
      <c r="V27" s="10">
        <f>IF(MONTH(V22)=1,1,0)</f>
        <v/>
      </c>
      <c r="W27" s="10">
        <f>IF(MONTH(W22)=1,1,0)</f>
        <v/>
      </c>
      <c r="X27" s="10">
        <f>IF(MONTH(X22)=1,1,0)</f>
        <v/>
      </c>
      <c r="Y27" s="10">
        <f>IF(MONTH(Y22)=1,1,0)</f>
        <v/>
      </c>
      <c r="Z27" s="10">
        <f>IF(MONTH(Z22)=1,1,0)</f>
        <v/>
      </c>
      <c r="AA27" s="10">
        <f>IF(MONTH(AA22)=1,1,0)</f>
        <v/>
      </c>
      <c r="AB27" s="10">
        <f>IF(MONTH(AB22)=1,1,0)</f>
        <v/>
      </c>
      <c r="AC27" s="10">
        <f>IF(MONTH(AC22)=1,1,0)</f>
        <v/>
      </c>
      <c r="AD27" s="10">
        <f>IF(MONTH(AD22)=1,1,0)</f>
        <v/>
      </c>
      <c r="AE27" s="10">
        <f>IF(MONTH(AE22)=1,1,0)</f>
        <v/>
      </c>
      <c r="AF27" s="10">
        <f>IF(MONTH(AF22)=1,1,0)</f>
        <v/>
      </c>
      <c r="AG27" s="10">
        <f>IF(MONTH(AG22)=1,1,0)</f>
        <v/>
      </c>
      <c r="AH27" s="10">
        <f>IF(MONTH(AH22)=1,1,0)</f>
        <v/>
      </c>
      <c r="AI27" s="10">
        <f>IF(MONTH(AI22)=1,1,0)</f>
        <v/>
      </c>
      <c r="AJ27" s="10">
        <f>IF(MONTH(AJ22)=1,1,0)</f>
        <v/>
      </c>
      <c r="AK27" s="10">
        <f>IF(MONTH(AK22)=1,1,0)</f>
        <v/>
      </c>
      <c r="AL27" s="10">
        <f>IF(MONTH(AL22)=1,1,0)</f>
        <v/>
      </c>
      <c r="AM27" s="10">
        <f>IF(MONTH(AM22)=1,1,0)</f>
        <v/>
      </c>
      <c r="AN27" s="10">
        <f>IF(MONTH(AN22)=1,1,0)</f>
        <v/>
      </c>
      <c r="AO27" s="10">
        <f>IF(MONTH(AO22)=1,1,0)</f>
        <v/>
      </c>
      <c r="AP27" s="10">
        <f>IF(MONTH(AP22)=1,1,0)</f>
        <v/>
      </c>
      <c r="AQ27" s="10">
        <f>IF(MONTH(AQ22)=1,1,0)</f>
        <v/>
      </c>
      <c r="AR27" s="10">
        <f>IF(MONTH(AR22)=1,1,0)</f>
        <v/>
      </c>
      <c r="AS27" s="10">
        <f>IF(MONTH(AS22)=1,1,0)</f>
        <v/>
      </c>
      <c r="AT27" s="10">
        <f>IF(MONTH(AT22)=1,1,0)</f>
        <v/>
      </c>
      <c r="AU27" s="10">
        <f>IF(MONTH(AU22)=1,1,0)</f>
        <v/>
      </c>
      <c r="AV27" s="10">
        <f>IF(MONTH(AV22)=1,1,0)</f>
        <v/>
      </c>
      <c r="AW27" s="10">
        <f>IF(MONTH(AW22)=1,1,0)</f>
        <v/>
      </c>
      <c r="AX27" s="10">
        <f>IF(MONTH(AX22)=1,1,0)</f>
        <v/>
      </c>
      <c r="AY27" s="10">
        <f>IF(MONTH(AY22)=1,1,0)</f>
        <v/>
      </c>
      <c r="AZ27" s="10">
        <f>IF(MONTH(AZ22)=1,1,0)</f>
        <v/>
      </c>
      <c r="BA27" s="10">
        <f>IF(MONTH(BA22)=1,1,0)</f>
        <v/>
      </c>
      <c r="BB27" s="10">
        <f>IF(MONTH(BB22)=1,1,0)</f>
        <v/>
      </c>
      <c r="BC27" s="10">
        <f>IF(MONTH(BC22)=1,1,0)</f>
        <v/>
      </c>
      <c r="BD27" s="10">
        <f>IF(MONTH(BD22)=1,1,0)</f>
        <v/>
      </c>
      <c r="BE27" s="10">
        <f>IF(MONTH(BE22)=1,1,0)</f>
        <v/>
      </c>
      <c r="BF27" s="10">
        <f>IF(MONTH(BF22)=1,1,0)</f>
        <v/>
      </c>
      <c r="BG27" s="10">
        <f>IF(MONTH(BG22)=1,1,0)</f>
        <v/>
      </c>
      <c r="BH27" s="10">
        <f>IF(MONTH(BH22)=1,1,0)</f>
        <v/>
      </c>
      <c r="BI27" s="10">
        <f>IF(MONTH(BI22)=1,1,0)</f>
        <v/>
      </c>
      <c r="BJ27" s="10">
        <f>IF(MONTH(BJ22)=1,1,0)</f>
        <v/>
      </c>
      <c r="BK27" s="10">
        <f>IF(MONTH(BK22)=1,1,0)</f>
        <v/>
      </c>
      <c r="BL27" s="10">
        <f>IF(MONTH(BL22)=1,1,0)</f>
        <v/>
      </c>
      <c r="BM27" s="10">
        <f>IF(MONTH(BM22)=1,1,0)</f>
        <v/>
      </c>
      <c r="BN27" s="10">
        <f>IF(MONTH(BN22)=1,1,0)</f>
        <v/>
      </c>
    </row>
    <row r="28">
      <c r="D28" t="inlineStr">
        <is>
          <t>Operations start in period</t>
        </is>
      </c>
      <c r="E28" t="inlineStr">
        <is>
          <t>date</t>
        </is>
      </c>
      <c r="J28" s="9">
        <f>MAX(J22,$F$8)</f>
        <v/>
      </c>
      <c r="K28" s="9">
        <f>MAX(K22,$F$8)</f>
        <v/>
      </c>
      <c r="L28" s="9">
        <f>MAX(L22,$F$8)</f>
        <v/>
      </c>
      <c r="M28" s="9">
        <f>MAX(M22,$F$8)</f>
        <v/>
      </c>
      <c r="N28" s="9">
        <f>MAX(N22,$F$8)</f>
        <v/>
      </c>
      <c r="O28" s="9">
        <f>MAX(O22,$F$8)</f>
        <v/>
      </c>
      <c r="P28" s="9">
        <f>MAX(P22,$F$8)</f>
        <v/>
      </c>
      <c r="Q28" s="9">
        <f>MAX(Q22,$F$8)</f>
        <v/>
      </c>
      <c r="R28" s="9">
        <f>MAX(R22,$F$8)</f>
        <v/>
      </c>
      <c r="S28" s="9">
        <f>MAX(S22,$F$8)</f>
        <v/>
      </c>
      <c r="T28" s="9">
        <f>MAX(T22,$F$8)</f>
        <v/>
      </c>
      <c r="U28" s="9">
        <f>MAX(U22,$F$8)</f>
        <v/>
      </c>
      <c r="V28" s="9">
        <f>MAX(V22,$F$8)</f>
        <v/>
      </c>
      <c r="W28" s="9">
        <f>MAX(W22,$F$8)</f>
        <v/>
      </c>
      <c r="X28" s="9">
        <f>MAX(X22,$F$8)</f>
        <v/>
      </c>
      <c r="Y28" s="9">
        <f>MAX(Y22,$F$8)</f>
        <v/>
      </c>
      <c r="Z28" s="9">
        <f>MAX(Z22,$F$8)</f>
        <v/>
      </c>
      <c r="AA28" s="9">
        <f>MAX(AA22,$F$8)</f>
        <v/>
      </c>
      <c r="AB28" s="9">
        <f>MAX(AB22,$F$8)</f>
        <v/>
      </c>
      <c r="AC28" s="9">
        <f>MAX(AC22,$F$8)</f>
        <v/>
      </c>
      <c r="AD28" s="9">
        <f>MAX(AD22,$F$8)</f>
        <v/>
      </c>
      <c r="AE28" s="9">
        <f>MAX(AE22,$F$8)</f>
        <v/>
      </c>
      <c r="AF28" s="9">
        <f>MAX(AF22,$F$8)</f>
        <v/>
      </c>
      <c r="AG28" s="9">
        <f>MAX(AG22,$F$8)</f>
        <v/>
      </c>
      <c r="AH28" s="9">
        <f>MAX(AH22,$F$8)</f>
        <v/>
      </c>
      <c r="AI28" s="9">
        <f>MAX(AI22,$F$8)</f>
        <v/>
      </c>
      <c r="AJ28" s="9">
        <f>MAX(AJ22,$F$8)</f>
        <v/>
      </c>
      <c r="AK28" s="9">
        <f>MAX(AK22,$F$8)</f>
        <v/>
      </c>
      <c r="AL28" s="9">
        <f>MAX(AL22,$F$8)</f>
        <v/>
      </c>
      <c r="AM28" s="9">
        <f>MAX(AM22,$F$8)</f>
        <v/>
      </c>
      <c r="AN28" s="9">
        <f>MAX(AN22,$F$8)</f>
        <v/>
      </c>
      <c r="AO28" s="9">
        <f>MAX(AO22,$F$8)</f>
        <v/>
      </c>
      <c r="AP28" s="9">
        <f>MAX(AP22,$F$8)</f>
        <v/>
      </c>
      <c r="AQ28" s="9">
        <f>MAX(AQ22,$F$8)</f>
        <v/>
      </c>
      <c r="AR28" s="9">
        <f>MAX(AR22,$F$8)</f>
        <v/>
      </c>
      <c r="AS28" s="9">
        <f>MAX(AS22,$F$8)</f>
        <v/>
      </c>
      <c r="AT28" s="9">
        <f>MAX(AT22,$F$8)</f>
        <v/>
      </c>
      <c r="AU28" s="9">
        <f>MAX(AU22,$F$8)</f>
        <v/>
      </c>
      <c r="AV28" s="9">
        <f>MAX(AV22,$F$8)</f>
        <v/>
      </c>
      <c r="AW28" s="9">
        <f>MAX(AW22,$F$8)</f>
        <v/>
      </c>
      <c r="AX28" s="9">
        <f>MAX(AX22,$F$8)</f>
        <v/>
      </c>
      <c r="AY28" s="9">
        <f>MAX(AY22,$F$8)</f>
        <v/>
      </c>
      <c r="AZ28" s="9">
        <f>MAX(AZ22,$F$8)</f>
        <v/>
      </c>
      <c r="BA28" s="9">
        <f>MAX(BA22,$F$8)</f>
        <v/>
      </c>
      <c r="BB28" s="9">
        <f>MAX(BB22,$F$8)</f>
        <v/>
      </c>
      <c r="BC28" s="9">
        <f>MAX(BC22,$F$8)</f>
        <v/>
      </c>
      <c r="BD28" s="9">
        <f>MAX(BD22,$F$8)</f>
        <v/>
      </c>
      <c r="BE28" s="9">
        <f>MAX(BE22,$F$8)</f>
        <v/>
      </c>
      <c r="BF28" s="9">
        <f>MAX(BF22,$F$8)</f>
        <v/>
      </c>
      <c r="BG28" s="9">
        <f>MAX(BG22,$F$8)</f>
        <v/>
      </c>
      <c r="BH28" s="9">
        <f>MAX(BH22,$F$8)</f>
        <v/>
      </c>
      <c r="BI28" s="9">
        <f>MAX(BI22,$F$8)</f>
        <v/>
      </c>
      <c r="BJ28" s="9">
        <f>MAX(BJ22,$F$8)</f>
        <v/>
      </c>
      <c r="BK28" s="9">
        <f>MAX(BK22,$F$8)</f>
        <v/>
      </c>
      <c r="BL28" s="9">
        <f>MAX(BL22,$F$8)</f>
        <v/>
      </c>
      <c r="BM28" s="9">
        <f>MAX(BM22,$F$8)</f>
        <v/>
      </c>
      <c r="BN28" s="9">
        <f>MAX(BN22,$F$8)</f>
        <v/>
      </c>
    </row>
    <row r="29">
      <c r="D29" t="inlineStr">
        <is>
          <t>Operations end in period</t>
        </is>
      </c>
      <c r="E29" t="inlineStr">
        <is>
          <t>date</t>
        </is>
      </c>
      <c r="J29" s="9">
        <f>MIN(J23,$F$10)</f>
        <v/>
      </c>
      <c r="K29" s="9">
        <f>MIN(K23,$F$10)</f>
        <v/>
      </c>
      <c r="L29" s="9">
        <f>MIN(L23,$F$10)</f>
        <v/>
      </c>
      <c r="M29" s="9">
        <f>MIN(M23,$F$10)</f>
        <v/>
      </c>
      <c r="N29" s="9">
        <f>MIN(N23,$F$10)</f>
        <v/>
      </c>
      <c r="O29" s="9">
        <f>MIN(O23,$F$10)</f>
        <v/>
      </c>
      <c r="P29" s="9">
        <f>MIN(P23,$F$10)</f>
        <v/>
      </c>
      <c r="Q29" s="9">
        <f>MIN(Q23,$F$10)</f>
        <v/>
      </c>
      <c r="R29" s="9">
        <f>MIN(R23,$F$10)</f>
        <v/>
      </c>
      <c r="S29" s="9">
        <f>MIN(S23,$F$10)</f>
        <v/>
      </c>
      <c r="T29" s="9">
        <f>MIN(T23,$F$10)</f>
        <v/>
      </c>
      <c r="U29" s="9">
        <f>MIN(U23,$F$10)</f>
        <v/>
      </c>
      <c r="V29" s="9">
        <f>MIN(V23,$F$10)</f>
        <v/>
      </c>
      <c r="W29" s="9">
        <f>MIN(W23,$F$10)</f>
        <v/>
      </c>
      <c r="X29" s="9">
        <f>MIN(X23,$F$10)</f>
        <v/>
      </c>
      <c r="Y29" s="9">
        <f>MIN(Y23,$F$10)</f>
        <v/>
      </c>
      <c r="Z29" s="9">
        <f>MIN(Z23,$F$10)</f>
        <v/>
      </c>
      <c r="AA29" s="9">
        <f>MIN(AA23,$F$10)</f>
        <v/>
      </c>
      <c r="AB29" s="9">
        <f>MIN(AB23,$F$10)</f>
        <v/>
      </c>
      <c r="AC29" s="9">
        <f>MIN(AC23,$F$10)</f>
        <v/>
      </c>
      <c r="AD29" s="9">
        <f>MIN(AD23,$F$10)</f>
        <v/>
      </c>
      <c r="AE29" s="9">
        <f>MIN(AE23,$F$10)</f>
        <v/>
      </c>
      <c r="AF29" s="9">
        <f>MIN(AF23,$F$10)</f>
        <v/>
      </c>
      <c r="AG29" s="9">
        <f>MIN(AG23,$F$10)</f>
        <v/>
      </c>
      <c r="AH29" s="9">
        <f>MIN(AH23,$F$10)</f>
        <v/>
      </c>
      <c r="AI29" s="9">
        <f>MIN(AI23,$F$10)</f>
        <v/>
      </c>
      <c r="AJ29" s="9">
        <f>MIN(AJ23,$F$10)</f>
        <v/>
      </c>
      <c r="AK29" s="9">
        <f>MIN(AK23,$F$10)</f>
        <v/>
      </c>
      <c r="AL29" s="9">
        <f>MIN(AL23,$F$10)</f>
        <v/>
      </c>
      <c r="AM29" s="9">
        <f>MIN(AM23,$F$10)</f>
        <v/>
      </c>
      <c r="AN29" s="9">
        <f>MIN(AN23,$F$10)</f>
        <v/>
      </c>
      <c r="AO29" s="9">
        <f>MIN(AO23,$F$10)</f>
        <v/>
      </c>
      <c r="AP29" s="9">
        <f>MIN(AP23,$F$10)</f>
        <v/>
      </c>
      <c r="AQ29" s="9">
        <f>MIN(AQ23,$F$10)</f>
        <v/>
      </c>
      <c r="AR29" s="9">
        <f>MIN(AR23,$F$10)</f>
        <v/>
      </c>
      <c r="AS29" s="9">
        <f>MIN(AS23,$F$10)</f>
        <v/>
      </c>
      <c r="AT29" s="9">
        <f>MIN(AT23,$F$10)</f>
        <v/>
      </c>
      <c r="AU29" s="9">
        <f>MIN(AU23,$F$10)</f>
        <v/>
      </c>
      <c r="AV29" s="9">
        <f>MIN(AV23,$F$10)</f>
        <v/>
      </c>
      <c r="AW29" s="9">
        <f>MIN(AW23,$F$10)</f>
        <v/>
      </c>
      <c r="AX29" s="9">
        <f>MIN(AX23,$F$10)</f>
        <v/>
      </c>
      <c r="AY29" s="9">
        <f>MIN(AY23,$F$10)</f>
        <v/>
      </c>
      <c r="AZ29" s="9">
        <f>MIN(AZ23,$F$10)</f>
        <v/>
      </c>
      <c r="BA29" s="9">
        <f>MIN(BA23,$F$10)</f>
        <v/>
      </c>
      <c r="BB29" s="9">
        <f>MIN(BB23,$F$10)</f>
        <v/>
      </c>
      <c r="BC29" s="9">
        <f>MIN(BC23,$F$10)</f>
        <v/>
      </c>
      <c r="BD29" s="9">
        <f>MIN(BD23,$F$10)</f>
        <v/>
      </c>
      <c r="BE29" s="9">
        <f>MIN(BE23,$F$10)</f>
        <v/>
      </c>
      <c r="BF29" s="9">
        <f>MIN(BF23,$F$10)</f>
        <v/>
      </c>
      <c r="BG29" s="9">
        <f>MIN(BG23,$F$10)</f>
        <v/>
      </c>
      <c r="BH29" s="9">
        <f>MIN(BH23,$F$10)</f>
        <v/>
      </c>
      <c r="BI29" s="9">
        <f>MIN(BI23,$F$10)</f>
        <v/>
      </c>
      <c r="BJ29" s="9">
        <f>MIN(BJ23,$F$10)</f>
        <v/>
      </c>
      <c r="BK29" s="9">
        <f>MIN(BK23,$F$10)</f>
        <v/>
      </c>
      <c r="BL29" s="9">
        <f>MIN(BL23,$F$10)</f>
        <v/>
      </c>
      <c r="BM29" s="9">
        <f>MIN(BM23,$F$10)</f>
        <v/>
      </c>
      <c r="BN29" s="9">
        <f>MIN(BN23,$F$10)</f>
        <v/>
      </c>
    </row>
    <row r="30">
      <c r="D30" t="inlineStr">
        <is>
          <t>Operating months in period</t>
        </is>
      </c>
      <c r="E30" t="inlineStr">
        <is>
          <t>months</t>
        </is>
      </c>
      <c r="J30" s="10">
        <f>IF(J29&gt;=J28,(YEAR(J29)-YEAR(J28))*12+MONTH(J29)-MONTH(J28)+1,0)</f>
        <v/>
      </c>
      <c r="K30" s="10">
        <f>IF(K29&gt;=K28,(YEAR(K29)-YEAR(K28))*12+MONTH(K29)-MONTH(K28)+1,0)</f>
        <v/>
      </c>
      <c r="L30" s="10">
        <f>IF(L29&gt;=L28,(YEAR(L29)-YEAR(L28))*12+MONTH(L29)-MONTH(L28)+1,0)</f>
        <v/>
      </c>
      <c r="M30" s="10">
        <f>IF(M29&gt;=M28,(YEAR(M29)-YEAR(M28))*12+MONTH(M29)-MONTH(M28)+1,0)</f>
        <v/>
      </c>
      <c r="N30" s="10">
        <f>IF(N29&gt;=N28,(YEAR(N29)-YEAR(N28))*12+MONTH(N29)-MONTH(N28)+1,0)</f>
        <v/>
      </c>
      <c r="O30" s="10">
        <f>IF(O29&gt;=O28,(YEAR(O29)-YEAR(O28))*12+MONTH(O29)-MONTH(O28)+1,0)</f>
        <v/>
      </c>
      <c r="P30" s="10">
        <f>IF(P29&gt;=P28,(YEAR(P29)-YEAR(P28))*12+MONTH(P29)-MONTH(P28)+1,0)</f>
        <v/>
      </c>
      <c r="Q30" s="10">
        <f>IF(Q29&gt;=Q28,(YEAR(Q29)-YEAR(Q28))*12+MONTH(Q29)-MONTH(Q28)+1,0)</f>
        <v/>
      </c>
      <c r="R30" s="10">
        <f>IF(R29&gt;=R28,(YEAR(R29)-YEAR(R28))*12+MONTH(R29)-MONTH(R28)+1,0)</f>
        <v/>
      </c>
      <c r="S30" s="10">
        <f>IF(S29&gt;=S28,(YEAR(S29)-YEAR(S28))*12+MONTH(S29)-MONTH(S28)+1,0)</f>
        <v/>
      </c>
      <c r="T30" s="10">
        <f>IF(T29&gt;=T28,(YEAR(T29)-YEAR(T28))*12+MONTH(T29)-MONTH(T28)+1,0)</f>
        <v/>
      </c>
      <c r="U30" s="10">
        <f>IF(U29&gt;=U28,(YEAR(U29)-YEAR(U28))*12+MONTH(U29)-MONTH(U28)+1,0)</f>
        <v/>
      </c>
      <c r="V30" s="10">
        <f>IF(V29&gt;=V28,(YEAR(V29)-YEAR(V28))*12+MONTH(V29)-MONTH(V28)+1,0)</f>
        <v/>
      </c>
      <c r="W30" s="10">
        <f>IF(W29&gt;=W28,(YEAR(W29)-YEAR(W28))*12+MONTH(W29)-MONTH(W28)+1,0)</f>
        <v/>
      </c>
      <c r="X30" s="10">
        <f>IF(X29&gt;=X28,(YEAR(X29)-YEAR(X28))*12+MONTH(X29)-MONTH(X28)+1,0)</f>
        <v/>
      </c>
      <c r="Y30" s="10">
        <f>IF(Y29&gt;=Y28,(YEAR(Y29)-YEAR(Y28))*12+MONTH(Y29)-MONTH(Y28)+1,0)</f>
        <v/>
      </c>
      <c r="Z30" s="10">
        <f>IF(Z29&gt;=Z28,(YEAR(Z29)-YEAR(Z28))*12+MONTH(Z29)-MONTH(Z28)+1,0)</f>
        <v/>
      </c>
      <c r="AA30" s="10">
        <f>IF(AA29&gt;=AA28,(YEAR(AA29)-YEAR(AA28))*12+MONTH(AA29)-MONTH(AA28)+1,0)</f>
        <v/>
      </c>
      <c r="AB30" s="10">
        <f>IF(AB29&gt;=AB28,(YEAR(AB29)-YEAR(AB28))*12+MONTH(AB29)-MONTH(AB28)+1,0)</f>
        <v/>
      </c>
      <c r="AC30" s="10">
        <f>IF(AC29&gt;=AC28,(YEAR(AC29)-YEAR(AC28))*12+MONTH(AC29)-MONTH(AC28)+1,0)</f>
        <v/>
      </c>
      <c r="AD30" s="10">
        <f>IF(AD29&gt;=AD28,(YEAR(AD29)-YEAR(AD28))*12+MONTH(AD29)-MONTH(AD28)+1,0)</f>
        <v/>
      </c>
      <c r="AE30" s="10">
        <f>IF(AE29&gt;=AE28,(YEAR(AE29)-YEAR(AE28))*12+MONTH(AE29)-MONTH(AE28)+1,0)</f>
        <v/>
      </c>
      <c r="AF30" s="10">
        <f>IF(AF29&gt;=AF28,(YEAR(AF29)-YEAR(AF28))*12+MONTH(AF29)-MONTH(AF28)+1,0)</f>
        <v/>
      </c>
      <c r="AG30" s="10">
        <f>IF(AG29&gt;=AG28,(YEAR(AG29)-YEAR(AG28))*12+MONTH(AG29)-MONTH(AG28)+1,0)</f>
        <v/>
      </c>
      <c r="AH30" s="10">
        <f>IF(AH29&gt;=AH28,(YEAR(AH29)-YEAR(AH28))*12+MONTH(AH29)-MONTH(AH28)+1,0)</f>
        <v/>
      </c>
      <c r="AI30" s="10">
        <f>IF(AI29&gt;=AI28,(YEAR(AI29)-YEAR(AI28))*12+MONTH(AI29)-MONTH(AI28)+1,0)</f>
        <v/>
      </c>
      <c r="AJ30" s="10">
        <f>IF(AJ29&gt;=AJ28,(YEAR(AJ29)-YEAR(AJ28))*12+MONTH(AJ29)-MONTH(AJ28)+1,0)</f>
        <v/>
      </c>
      <c r="AK30" s="10">
        <f>IF(AK29&gt;=AK28,(YEAR(AK29)-YEAR(AK28))*12+MONTH(AK29)-MONTH(AK28)+1,0)</f>
        <v/>
      </c>
      <c r="AL30" s="10">
        <f>IF(AL29&gt;=AL28,(YEAR(AL29)-YEAR(AL28))*12+MONTH(AL29)-MONTH(AL28)+1,0)</f>
        <v/>
      </c>
      <c r="AM30" s="10">
        <f>IF(AM29&gt;=AM28,(YEAR(AM29)-YEAR(AM28))*12+MONTH(AM29)-MONTH(AM28)+1,0)</f>
        <v/>
      </c>
      <c r="AN30" s="10">
        <f>IF(AN29&gt;=AN28,(YEAR(AN29)-YEAR(AN28))*12+MONTH(AN29)-MONTH(AN28)+1,0)</f>
        <v/>
      </c>
      <c r="AO30" s="10">
        <f>IF(AO29&gt;=AO28,(YEAR(AO29)-YEAR(AO28))*12+MONTH(AO29)-MONTH(AO28)+1,0)</f>
        <v/>
      </c>
      <c r="AP30" s="10">
        <f>IF(AP29&gt;=AP28,(YEAR(AP29)-YEAR(AP28))*12+MONTH(AP29)-MONTH(AP28)+1,0)</f>
        <v/>
      </c>
      <c r="AQ30" s="10">
        <f>IF(AQ29&gt;=AQ28,(YEAR(AQ29)-YEAR(AQ28))*12+MONTH(AQ29)-MONTH(AQ28)+1,0)</f>
        <v/>
      </c>
      <c r="AR30" s="10">
        <f>IF(AR29&gt;=AR28,(YEAR(AR29)-YEAR(AR28))*12+MONTH(AR29)-MONTH(AR28)+1,0)</f>
        <v/>
      </c>
      <c r="AS30" s="10">
        <f>IF(AS29&gt;=AS28,(YEAR(AS29)-YEAR(AS28))*12+MONTH(AS29)-MONTH(AS28)+1,0)</f>
        <v/>
      </c>
      <c r="AT30" s="10">
        <f>IF(AT29&gt;=AT28,(YEAR(AT29)-YEAR(AT28))*12+MONTH(AT29)-MONTH(AT28)+1,0)</f>
        <v/>
      </c>
      <c r="AU30" s="10">
        <f>IF(AU29&gt;=AU28,(YEAR(AU29)-YEAR(AU28))*12+MONTH(AU29)-MONTH(AU28)+1,0)</f>
        <v/>
      </c>
      <c r="AV30" s="10">
        <f>IF(AV29&gt;=AV28,(YEAR(AV29)-YEAR(AV28))*12+MONTH(AV29)-MONTH(AV28)+1,0)</f>
        <v/>
      </c>
      <c r="AW30" s="10">
        <f>IF(AW29&gt;=AW28,(YEAR(AW29)-YEAR(AW28))*12+MONTH(AW29)-MONTH(AW28)+1,0)</f>
        <v/>
      </c>
      <c r="AX30" s="10">
        <f>IF(AX29&gt;=AX28,(YEAR(AX29)-YEAR(AX28))*12+MONTH(AX29)-MONTH(AX28)+1,0)</f>
        <v/>
      </c>
      <c r="AY30" s="10">
        <f>IF(AY29&gt;=AY28,(YEAR(AY29)-YEAR(AY28))*12+MONTH(AY29)-MONTH(AY28)+1,0)</f>
        <v/>
      </c>
      <c r="AZ30" s="10">
        <f>IF(AZ29&gt;=AZ28,(YEAR(AZ29)-YEAR(AZ28))*12+MONTH(AZ29)-MONTH(AZ28)+1,0)</f>
        <v/>
      </c>
      <c r="BA30" s="10">
        <f>IF(BA29&gt;=BA28,(YEAR(BA29)-YEAR(BA28))*12+MONTH(BA29)-MONTH(BA28)+1,0)</f>
        <v/>
      </c>
      <c r="BB30" s="10">
        <f>IF(BB29&gt;=BB28,(YEAR(BB29)-YEAR(BB28))*12+MONTH(BB29)-MONTH(BB28)+1,0)</f>
        <v/>
      </c>
      <c r="BC30" s="10">
        <f>IF(BC29&gt;=BC28,(YEAR(BC29)-YEAR(BC28))*12+MONTH(BC29)-MONTH(BC28)+1,0)</f>
        <v/>
      </c>
      <c r="BD30" s="10">
        <f>IF(BD29&gt;=BD28,(YEAR(BD29)-YEAR(BD28))*12+MONTH(BD29)-MONTH(BD28)+1,0)</f>
        <v/>
      </c>
      <c r="BE30" s="10">
        <f>IF(BE29&gt;=BE28,(YEAR(BE29)-YEAR(BE28))*12+MONTH(BE29)-MONTH(BE28)+1,0)</f>
        <v/>
      </c>
      <c r="BF30" s="10">
        <f>IF(BF29&gt;=BF28,(YEAR(BF29)-YEAR(BF28))*12+MONTH(BF29)-MONTH(BF28)+1,0)</f>
        <v/>
      </c>
      <c r="BG30" s="10">
        <f>IF(BG29&gt;=BG28,(YEAR(BG29)-YEAR(BG28))*12+MONTH(BG29)-MONTH(BG28)+1,0)</f>
        <v/>
      </c>
      <c r="BH30" s="10">
        <f>IF(BH29&gt;=BH28,(YEAR(BH29)-YEAR(BH28))*12+MONTH(BH29)-MONTH(BH28)+1,0)</f>
        <v/>
      </c>
      <c r="BI30" s="10">
        <f>IF(BI29&gt;=BI28,(YEAR(BI29)-YEAR(BI28))*12+MONTH(BI29)-MONTH(BI28)+1,0)</f>
        <v/>
      </c>
      <c r="BJ30" s="10">
        <f>IF(BJ29&gt;=BJ28,(YEAR(BJ29)-YEAR(BJ28))*12+MONTH(BJ29)-MONTH(BJ28)+1,0)</f>
        <v/>
      </c>
      <c r="BK30" s="10">
        <f>IF(BK29&gt;=BK28,(YEAR(BK29)-YEAR(BK28))*12+MONTH(BK29)-MONTH(BK28)+1,0)</f>
        <v/>
      </c>
      <c r="BL30" s="10">
        <f>IF(BL29&gt;=BL28,(YEAR(BL29)-YEAR(BL28))*12+MONTH(BL29)-MONTH(BL28)+1,0)</f>
        <v/>
      </c>
      <c r="BM30" s="10">
        <f>IF(BM29&gt;=BM28,(YEAR(BM29)-YEAR(BM28))*12+MONTH(BM29)-MONTH(BM28)+1,0)</f>
        <v/>
      </c>
      <c r="BN30" s="10">
        <f>IF(BN29&gt;=BN28,(YEAR(BN29)-YEAR(BN28))*12+MONTH(BN29)-MONTH(BN28)+1,0)</f>
        <v/>
      </c>
    </row>
    <row r="31">
      <c r="D31" t="inlineStr">
        <is>
          <t>Operating days in period</t>
        </is>
      </c>
      <c r="E31" t="inlineStr">
        <is>
          <t>days</t>
        </is>
      </c>
      <c r="J31" s="10">
        <f>IF(J29&gt;=J28,J29-J28+1,0)</f>
        <v/>
      </c>
      <c r="K31" s="10">
        <f>IF(K29&gt;=K28,K29-K28+1,0)</f>
        <v/>
      </c>
      <c r="L31" s="10">
        <f>IF(L29&gt;=L28,L29-L28+1,0)</f>
        <v/>
      </c>
      <c r="M31" s="10">
        <f>IF(M29&gt;=M28,M29-M28+1,0)</f>
        <v/>
      </c>
      <c r="N31" s="10">
        <f>IF(N29&gt;=N28,N29-N28+1,0)</f>
        <v/>
      </c>
      <c r="O31" s="10">
        <f>IF(O29&gt;=O28,O29-O28+1,0)</f>
        <v/>
      </c>
      <c r="P31" s="10">
        <f>IF(P29&gt;=P28,P29-P28+1,0)</f>
        <v/>
      </c>
      <c r="Q31" s="10">
        <f>IF(Q29&gt;=Q28,Q29-Q28+1,0)</f>
        <v/>
      </c>
      <c r="R31" s="10">
        <f>IF(R29&gt;=R28,R29-R28+1,0)</f>
        <v/>
      </c>
      <c r="S31" s="10">
        <f>IF(S29&gt;=S28,S29-S28+1,0)</f>
        <v/>
      </c>
      <c r="T31" s="10">
        <f>IF(T29&gt;=T28,T29-T28+1,0)</f>
        <v/>
      </c>
      <c r="U31" s="10">
        <f>IF(U29&gt;=U28,U29-U28+1,0)</f>
        <v/>
      </c>
      <c r="V31" s="10">
        <f>IF(V29&gt;=V28,V29-V28+1,0)</f>
        <v/>
      </c>
      <c r="W31" s="10">
        <f>IF(W29&gt;=W28,W29-W28+1,0)</f>
        <v/>
      </c>
      <c r="X31" s="10">
        <f>IF(X29&gt;=X28,X29-X28+1,0)</f>
        <v/>
      </c>
      <c r="Y31" s="10">
        <f>IF(Y29&gt;=Y28,Y29-Y28+1,0)</f>
        <v/>
      </c>
      <c r="Z31" s="10">
        <f>IF(Z29&gt;=Z28,Z29-Z28+1,0)</f>
        <v/>
      </c>
      <c r="AA31" s="10">
        <f>IF(AA29&gt;=AA28,AA29-AA28+1,0)</f>
        <v/>
      </c>
      <c r="AB31" s="10">
        <f>IF(AB29&gt;=AB28,AB29-AB28+1,0)</f>
        <v/>
      </c>
      <c r="AC31" s="10">
        <f>IF(AC29&gt;=AC28,AC29-AC28+1,0)</f>
        <v/>
      </c>
      <c r="AD31" s="10">
        <f>IF(AD29&gt;=AD28,AD29-AD28+1,0)</f>
        <v/>
      </c>
      <c r="AE31" s="10">
        <f>IF(AE29&gt;=AE28,AE29-AE28+1,0)</f>
        <v/>
      </c>
      <c r="AF31" s="10">
        <f>IF(AF29&gt;=AF28,AF29-AF28+1,0)</f>
        <v/>
      </c>
      <c r="AG31" s="10">
        <f>IF(AG29&gt;=AG28,AG29-AG28+1,0)</f>
        <v/>
      </c>
      <c r="AH31" s="10">
        <f>IF(AH29&gt;=AH28,AH29-AH28+1,0)</f>
        <v/>
      </c>
      <c r="AI31" s="10">
        <f>IF(AI29&gt;=AI28,AI29-AI28+1,0)</f>
        <v/>
      </c>
      <c r="AJ31" s="10">
        <f>IF(AJ29&gt;=AJ28,AJ29-AJ28+1,0)</f>
        <v/>
      </c>
      <c r="AK31" s="10">
        <f>IF(AK29&gt;=AK28,AK29-AK28+1,0)</f>
        <v/>
      </c>
      <c r="AL31" s="10">
        <f>IF(AL29&gt;=AL28,AL29-AL28+1,0)</f>
        <v/>
      </c>
      <c r="AM31" s="10">
        <f>IF(AM29&gt;=AM28,AM29-AM28+1,0)</f>
        <v/>
      </c>
      <c r="AN31" s="10">
        <f>IF(AN29&gt;=AN28,AN29-AN28+1,0)</f>
        <v/>
      </c>
      <c r="AO31" s="10">
        <f>IF(AO29&gt;=AO28,AO29-AO28+1,0)</f>
        <v/>
      </c>
      <c r="AP31" s="10">
        <f>IF(AP29&gt;=AP28,AP29-AP28+1,0)</f>
        <v/>
      </c>
      <c r="AQ31" s="10">
        <f>IF(AQ29&gt;=AQ28,AQ29-AQ28+1,0)</f>
        <v/>
      </c>
      <c r="AR31" s="10">
        <f>IF(AR29&gt;=AR28,AR29-AR28+1,0)</f>
        <v/>
      </c>
      <c r="AS31" s="10">
        <f>IF(AS29&gt;=AS28,AS29-AS28+1,0)</f>
        <v/>
      </c>
      <c r="AT31" s="10">
        <f>IF(AT29&gt;=AT28,AT29-AT28+1,0)</f>
        <v/>
      </c>
      <c r="AU31" s="10">
        <f>IF(AU29&gt;=AU28,AU29-AU28+1,0)</f>
        <v/>
      </c>
      <c r="AV31" s="10">
        <f>IF(AV29&gt;=AV28,AV29-AV28+1,0)</f>
        <v/>
      </c>
      <c r="AW31" s="10">
        <f>IF(AW29&gt;=AW28,AW29-AW28+1,0)</f>
        <v/>
      </c>
      <c r="AX31" s="10">
        <f>IF(AX29&gt;=AX28,AX29-AX28+1,0)</f>
        <v/>
      </c>
      <c r="AY31" s="10">
        <f>IF(AY29&gt;=AY28,AY29-AY28+1,0)</f>
        <v/>
      </c>
      <c r="AZ31" s="10">
        <f>IF(AZ29&gt;=AZ28,AZ29-AZ28+1,0)</f>
        <v/>
      </c>
      <c r="BA31" s="10">
        <f>IF(BA29&gt;=BA28,BA29-BA28+1,0)</f>
        <v/>
      </c>
      <c r="BB31" s="10">
        <f>IF(BB29&gt;=BB28,BB29-BB28+1,0)</f>
        <v/>
      </c>
      <c r="BC31" s="10">
        <f>IF(BC29&gt;=BC28,BC29-BC28+1,0)</f>
        <v/>
      </c>
      <c r="BD31" s="10">
        <f>IF(BD29&gt;=BD28,BD29-BD28+1,0)</f>
        <v/>
      </c>
      <c r="BE31" s="10">
        <f>IF(BE29&gt;=BE28,BE29-BE28+1,0)</f>
        <v/>
      </c>
      <c r="BF31" s="10">
        <f>IF(BF29&gt;=BF28,BF29-BF28+1,0)</f>
        <v/>
      </c>
      <c r="BG31" s="10">
        <f>IF(BG29&gt;=BG28,BG29-BG28+1,0)</f>
        <v/>
      </c>
      <c r="BH31" s="10">
        <f>IF(BH29&gt;=BH28,BH29-BH28+1,0)</f>
        <v/>
      </c>
      <c r="BI31" s="10">
        <f>IF(BI29&gt;=BI28,BI29-BI28+1,0)</f>
        <v/>
      </c>
      <c r="BJ31" s="10">
        <f>IF(BJ29&gt;=BJ28,BJ29-BJ28+1,0)</f>
        <v/>
      </c>
      <c r="BK31" s="10">
        <f>IF(BK29&gt;=BK28,BK29-BK28+1,0)</f>
        <v/>
      </c>
      <c r="BL31" s="10">
        <f>IF(BL29&gt;=BL28,BL29-BL28+1,0)</f>
        <v/>
      </c>
      <c r="BM31" s="10">
        <f>IF(BM29&gt;=BM28,BM29-BM28+1,0)</f>
        <v/>
      </c>
      <c r="BN31" s="10">
        <f>IF(BN29&gt;=BN28,BN29-BN28+1,0)</f>
        <v/>
      </c>
    </row>
    <row r="32">
      <c r="D32" t="inlineStr">
        <is>
          <t>Operating months elapsed at period start</t>
        </is>
      </c>
      <c r="E32" t="inlineStr">
        <is>
          <t>months</t>
        </is>
      </c>
      <c r="J32" s="10">
        <f>MIN(MAX((YEAR(J22)-YEAR($F$8))*12+MONTH(J22)-MONTH($F$8),0),$F$9)</f>
        <v/>
      </c>
      <c r="K32" s="10">
        <f>MIN(MAX((YEAR(K22)-YEAR($F$8))*12+MONTH(K22)-MONTH($F$8),0),$F$9)</f>
        <v/>
      </c>
      <c r="L32" s="10">
        <f>MIN(MAX((YEAR(L22)-YEAR($F$8))*12+MONTH(L22)-MONTH($F$8),0),$F$9)</f>
        <v/>
      </c>
      <c r="M32" s="10">
        <f>MIN(MAX((YEAR(M22)-YEAR($F$8))*12+MONTH(M22)-MONTH($F$8),0),$F$9)</f>
        <v/>
      </c>
      <c r="N32" s="10">
        <f>MIN(MAX((YEAR(N22)-YEAR($F$8))*12+MONTH(N22)-MONTH($F$8),0),$F$9)</f>
        <v/>
      </c>
      <c r="O32" s="10">
        <f>MIN(MAX((YEAR(O22)-YEAR($F$8))*12+MONTH(O22)-MONTH($F$8),0),$F$9)</f>
        <v/>
      </c>
      <c r="P32" s="10">
        <f>MIN(MAX((YEAR(P22)-YEAR($F$8))*12+MONTH(P22)-MONTH($F$8),0),$F$9)</f>
        <v/>
      </c>
      <c r="Q32" s="10">
        <f>MIN(MAX((YEAR(Q22)-YEAR($F$8))*12+MONTH(Q22)-MONTH($F$8),0),$F$9)</f>
        <v/>
      </c>
      <c r="R32" s="10">
        <f>MIN(MAX((YEAR(R22)-YEAR($F$8))*12+MONTH(R22)-MONTH($F$8),0),$F$9)</f>
        <v/>
      </c>
      <c r="S32" s="10">
        <f>MIN(MAX((YEAR(S22)-YEAR($F$8))*12+MONTH(S22)-MONTH($F$8),0),$F$9)</f>
        <v/>
      </c>
      <c r="T32" s="10">
        <f>MIN(MAX((YEAR(T22)-YEAR($F$8))*12+MONTH(T22)-MONTH($F$8),0),$F$9)</f>
        <v/>
      </c>
      <c r="U32" s="10">
        <f>MIN(MAX((YEAR(U22)-YEAR($F$8))*12+MONTH(U22)-MONTH($F$8),0),$F$9)</f>
        <v/>
      </c>
      <c r="V32" s="10">
        <f>MIN(MAX((YEAR(V22)-YEAR($F$8))*12+MONTH(V22)-MONTH($F$8),0),$F$9)</f>
        <v/>
      </c>
      <c r="W32" s="10">
        <f>MIN(MAX((YEAR(W22)-YEAR($F$8))*12+MONTH(W22)-MONTH($F$8),0),$F$9)</f>
        <v/>
      </c>
      <c r="X32" s="10">
        <f>MIN(MAX((YEAR(X22)-YEAR($F$8))*12+MONTH(X22)-MONTH($F$8),0),$F$9)</f>
        <v/>
      </c>
      <c r="Y32" s="10">
        <f>MIN(MAX((YEAR(Y22)-YEAR($F$8))*12+MONTH(Y22)-MONTH($F$8),0),$F$9)</f>
        <v/>
      </c>
      <c r="Z32" s="10">
        <f>MIN(MAX((YEAR(Z22)-YEAR($F$8))*12+MONTH(Z22)-MONTH($F$8),0),$F$9)</f>
        <v/>
      </c>
      <c r="AA32" s="10">
        <f>MIN(MAX((YEAR(AA22)-YEAR($F$8))*12+MONTH(AA22)-MONTH($F$8),0),$F$9)</f>
        <v/>
      </c>
      <c r="AB32" s="10">
        <f>MIN(MAX((YEAR(AB22)-YEAR($F$8))*12+MONTH(AB22)-MONTH($F$8),0),$F$9)</f>
        <v/>
      </c>
      <c r="AC32" s="10">
        <f>MIN(MAX((YEAR(AC22)-YEAR($F$8))*12+MONTH(AC22)-MONTH($F$8),0),$F$9)</f>
        <v/>
      </c>
      <c r="AD32" s="10">
        <f>MIN(MAX((YEAR(AD22)-YEAR($F$8))*12+MONTH(AD22)-MONTH($F$8),0),$F$9)</f>
        <v/>
      </c>
      <c r="AE32" s="10">
        <f>MIN(MAX((YEAR(AE22)-YEAR($F$8))*12+MONTH(AE22)-MONTH($F$8),0),$F$9)</f>
        <v/>
      </c>
      <c r="AF32" s="10">
        <f>MIN(MAX((YEAR(AF22)-YEAR($F$8))*12+MONTH(AF22)-MONTH($F$8),0),$F$9)</f>
        <v/>
      </c>
      <c r="AG32" s="10">
        <f>MIN(MAX((YEAR(AG22)-YEAR($F$8))*12+MONTH(AG22)-MONTH($F$8),0),$F$9)</f>
        <v/>
      </c>
      <c r="AH32" s="10">
        <f>MIN(MAX((YEAR(AH22)-YEAR($F$8))*12+MONTH(AH22)-MONTH($F$8),0),$F$9)</f>
        <v/>
      </c>
      <c r="AI32" s="10">
        <f>MIN(MAX((YEAR(AI22)-YEAR($F$8))*12+MONTH(AI22)-MONTH($F$8),0),$F$9)</f>
        <v/>
      </c>
      <c r="AJ32" s="10">
        <f>MIN(MAX((YEAR(AJ22)-YEAR($F$8))*12+MONTH(AJ22)-MONTH($F$8),0),$F$9)</f>
        <v/>
      </c>
      <c r="AK32" s="10">
        <f>MIN(MAX((YEAR(AK22)-YEAR($F$8))*12+MONTH(AK22)-MONTH($F$8),0),$F$9)</f>
        <v/>
      </c>
      <c r="AL32" s="10">
        <f>MIN(MAX((YEAR(AL22)-YEAR($F$8))*12+MONTH(AL22)-MONTH($F$8),0),$F$9)</f>
        <v/>
      </c>
      <c r="AM32" s="10">
        <f>MIN(MAX((YEAR(AM22)-YEAR($F$8))*12+MONTH(AM22)-MONTH($F$8),0),$F$9)</f>
        <v/>
      </c>
      <c r="AN32" s="10">
        <f>MIN(MAX((YEAR(AN22)-YEAR($F$8))*12+MONTH(AN22)-MONTH($F$8),0),$F$9)</f>
        <v/>
      </c>
      <c r="AO32" s="10">
        <f>MIN(MAX((YEAR(AO22)-YEAR($F$8))*12+MONTH(AO22)-MONTH($F$8),0),$F$9)</f>
        <v/>
      </c>
      <c r="AP32" s="10">
        <f>MIN(MAX((YEAR(AP22)-YEAR($F$8))*12+MONTH(AP22)-MONTH($F$8),0),$F$9)</f>
        <v/>
      </c>
      <c r="AQ32" s="10">
        <f>MIN(MAX((YEAR(AQ22)-YEAR($F$8))*12+MONTH(AQ22)-MONTH($F$8),0),$F$9)</f>
        <v/>
      </c>
      <c r="AR32" s="10">
        <f>MIN(MAX((YEAR(AR22)-YEAR($F$8))*12+MONTH(AR22)-MONTH($F$8),0),$F$9)</f>
        <v/>
      </c>
      <c r="AS32" s="10">
        <f>MIN(MAX((YEAR(AS22)-YEAR($F$8))*12+MONTH(AS22)-MONTH($F$8),0),$F$9)</f>
        <v/>
      </c>
      <c r="AT32" s="10">
        <f>MIN(MAX((YEAR(AT22)-YEAR($F$8))*12+MONTH(AT22)-MONTH($F$8),0),$F$9)</f>
        <v/>
      </c>
      <c r="AU32" s="10">
        <f>MIN(MAX((YEAR(AU22)-YEAR($F$8))*12+MONTH(AU22)-MONTH($F$8),0),$F$9)</f>
        <v/>
      </c>
      <c r="AV32" s="10">
        <f>MIN(MAX((YEAR(AV22)-YEAR($F$8))*12+MONTH(AV22)-MONTH($F$8),0),$F$9)</f>
        <v/>
      </c>
      <c r="AW32" s="10">
        <f>MIN(MAX((YEAR(AW22)-YEAR($F$8))*12+MONTH(AW22)-MONTH($F$8),0),$F$9)</f>
        <v/>
      </c>
      <c r="AX32" s="10">
        <f>MIN(MAX((YEAR(AX22)-YEAR($F$8))*12+MONTH(AX22)-MONTH($F$8),0),$F$9)</f>
        <v/>
      </c>
      <c r="AY32" s="10">
        <f>MIN(MAX((YEAR(AY22)-YEAR($F$8))*12+MONTH(AY22)-MONTH($F$8),0),$F$9)</f>
        <v/>
      </c>
      <c r="AZ32" s="10">
        <f>MIN(MAX((YEAR(AZ22)-YEAR($F$8))*12+MONTH(AZ22)-MONTH($F$8),0),$F$9)</f>
        <v/>
      </c>
      <c r="BA32" s="10">
        <f>MIN(MAX((YEAR(BA22)-YEAR($F$8))*12+MONTH(BA22)-MONTH($F$8),0),$F$9)</f>
        <v/>
      </c>
      <c r="BB32" s="10">
        <f>MIN(MAX((YEAR(BB22)-YEAR($F$8))*12+MONTH(BB22)-MONTH($F$8),0),$F$9)</f>
        <v/>
      </c>
      <c r="BC32" s="10">
        <f>MIN(MAX((YEAR(BC22)-YEAR($F$8))*12+MONTH(BC22)-MONTH($F$8),0),$F$9)</f>
        <v/>
      </c>
      <c r="BD32" s="10">
        <f>MIN(MAX((YEAR(BD22)-YEAR($F$8))*12+MONTH(BD22)-MONTH($F$8),0),$F$9)</f>
        <v/>
      </c>
      <c r="BE32" s="10">
        <f>MIN(MAX((YEAR(BE22)-YEAR($F$8))*12+MONTH(BE22)-MONTH($F$8),0),$F$9)</f>
        <v/>
      </c>
      <c r="BF32" s="10">
        <f>MIN(MAX((YEAR(BF22)-YEAR($F$8))*12+MONTH(BF22)-MONTH($F$8),0),$F$9)</f>
        <v/>
      </c>
      <c r="BG32" s="10">
        <f>MIN(MAX((YEAR(BG22)-YEAR($F$8))*12+MONTH(BG22)-MONTH($F$8),0),$F$9)</f>
        <v/>
      </c>
      <c r="BH32" s="10">
        <f>MIN(MAX((YEAR(BH22)-YEAR($F$8))*12+MONTH(BH22)-MONTH($F$8),0),$F$9)</f>
        <v/>
      </c>
      <c r="BI32" s="10">
        <f>MIN(MAX((YEAR(BI22)-YEAR($F$8))*12+MONTH(BI22)-MONTH($F$8),0),$F$9)</f>
        <v/>
      </c>
      <c r="BJ32" s="10">
        <f>MIN(MAX((YEAR(BJ22)-YEAR($F$8))*12+MONTH(BJ22)-MONTH($F$8),0),$F$9)</f>
        <v/>
      </c>
      <c r="BK32" s="10">
        <f>MIN(MAX((YEAR(BK22)-YEAR($F$8))*12+MONTH(BK22)-MONTH($F$8),0),$F$9)</f>
        <v/>
      </c>
      <c r="BL32" s="10">
        <f>MIN(MAX((YEAR(BL22)-YEAR($F$8))*12+MONTH(BL22)-MONTH($F$8),0),$F$9)</f>
        <v/>
      </c>
      <c r="BM32" s="10">
        <f>MIN(MAX((YEAR(BM22)-YEAR($F$8))*12+MONTH(BM22)-MONTH($F$8),0),$F$9)</f>
        <v/>
      </c>
      <c r="BN32" s="10">
        <f>MIN(MAX((YEAR(BN22)-YEAR($F$8))*12+MONTH(BN22)-MONTH($F$8),0),$F$9)</f>
        <v/>
      </c>
    </row>
    <row r="33">
      <c r="D33" t="inlineStr">
        <is>
          <t>Operating months elapsed at period end</t>
        </is>
      </c>
      <c r="E33" t="inlineStr">
        <is>
          <t>months</t>
        </is>
      </c>
      <c r="J33" s="10">
        <f>J32+J30</f>
        <v/>
      </c>
      <c r="K33" s="10">
        <f>K32+K30</f>
        <v/>
      </c>
      <c r="L33" s="10">
        <f>L32+L30</f>
        <v/>
      </c>
      <c r="M33" s="10">
        <f>M32+M30</f>
        <v/>
      </c>
      <c r="N33" s="10">
        <f>N32+N30</f>
        <v/>
      </c>
      <c r="O33" s="10">
        <f>O32+O30</f>
        <v/>
      </c>
      <c r="P33" s="10">
        <f>P32+P30</f>
        <v/>
      </c>
      <c r="Q33" s="10">
        <f>Q32+Q30</f>
        <v/>
      </c>
      <c r="R33" s="10">
        <f>R32+R30</f>
        <v/>
      </c>
      <c r="S33" s="10">
        <f>S32+S30</f>
        <v/>
      </c>
      <c r="T33" s="10">
        <f>T32+T30</f>
        <v/>
      </c>
      <c r="U33" s="10">
        <f>U32+U30</f>
        <v/>
      </c>
      <c r="V33" s="10">
        <f>V32+V30</f>
        <v/>
      </c>
      <c r="W33" s="10">
        <f>W32+W30</f>
        <v/>
      </c>
      <c r="X33" s="10">
        <f>X32+X30</f>
        <v/>
      </c>
      <c r="Y33" s="10">
        <f>Y32+Y30</f>
        <v/>
      </c>
      <c r="Z33" s="10">
        <f>Z32+Z30</f>
        <v/>
      </c>
      <c r="AA33" s="10">
        <f>AA32+AA30</f>
        <v/>
      </c>
      <c r="AB33" s="10">
        <f>AB32+AB30</f>
        <v/>
      </c>
      <c r="AC33" s="10">
        <f>AC32+AC30</f>
        <v/>
      </c>
      <c r="AD33" s="10">
        <f>AD32+AD30</f>
        <v/>
      </c>
      <c r="AE33" s="10">
        <f>AE32+AE30</f>
        <v/>
      </c>
      <c r="AF33" s="10">
        <f>AF32+AF30</f>
        <v/>
      </c>
      <c r="AG33" s="10">
        <f>AG32+AG30</f>
        <v/>
      </c>
      <c r="AH33" s="10">
        <f>AH32+AH30</f>
        <v/>
      </c>
      <c r="AI33" s="10">
        <f>AI32+AI30</f>
        <v/>
      </c>
      <c r="AJ33" s="10">
        <f>AJ32+AJ30</f>
        <v/>
      </c>
      <c r="AK33" s="10">
        <f>AK32+AK30</f>
        <v/>
      </c>
      <c r="AL33" s="10">
        <f>AL32+AL30</f>
        <v/>
      </c>
      <c r="AM33" s="10">
        <f>AM32+AM30</f>
        <v/>
      </c>
      <c r="AN33" s="10">
        <f>AN32+AN30</f>
        <v/>
      </c>
      <c r="AO33" s="10">
        <f>AO32+AO30</f>
        <v/>
      </c>
      <c r="AP33" s="10">
        <f>AP32+AP30</f>
        <v/>
      </c>
      <c r="AQ33" s="10">
        <f>AQ32+AQ30</f>
        <v/>
      </c>
      <c r="AR33" s="10">
        <f>AR32+AR30</f>
        <v/>
      </c>
      <c r="AS33" s="10">
        <f>AS32+AS30</f>
        <v/>
      </c>
      <c r="AT33" s="10">
        <f>AT32+AT30</f>
        <v/>
      </c>
      <c r="AU33" s="10">
        <f>AU32+AU30</f>
        <v/>
      </c>
      <c r="AV33" s="10">
        <f>AV32+AV30</f>
        <v/>
      </c>
      <c r="AW33" s="10">
        <f>AW32+AW30</f>
        <v/>
      </c>
      <c r="AX33" s="10">
        <f>AX32+AX30</f>
        <v/>
      </c>
      <c r="AY33" s="10">
        <f>AY32+AY30</f>
        <v/>
      </c>
      <c r="AZ33" s="10">
        <f>AZ32+AZ30</f>
        <v/>
      </c>
      <c r="BA33" s="10">
        <f>BA32+BA30</f>
        <v/>
      </c>
      <c r="BB33" s="10">
        <f>BB32+BB30</f>
        <v/>
      </c>
      <c r="BC33" s="10">
        <f>BC32+BC30</f>
        <v/>
      </c>
      <c r="BD33" s="10">
        <f>BD32+BD30</f>
        <v/>
      </c>
      <c r="BE33" s="10">
        <f>BE32+BE30</f>
        <v/>
      </c>
      <c r="BF33" s="10">
        <f>BF32+BF30</f>
        <v/>
      </c>
      <c r="BG33" s="10">
        <f>BG32+BG30</f>
        <v/>
      </c>
      <c r="BH33" s="10">
        <f>BH32+BH30</f>
        <v/>
      </c>
      <c r="BI33" s="10">
        <f>BI32+BI30</f>
        <v/>
      </c>
      <c r="BJ33" s="10">
        <f>BJ32+BJ30</f>
        <v/>
      </c>
      <c r="BK33" s="10">
        <f>BK32+BK30</f>
        <v/>
      </c>
      <c r="BL33" s="10">
        <f>BL32+BL30</f>
        <v/>
      </c>
      <c r="BM33" s="10">
        <f>BM32+BM30</f>
        <v/>
      </c>
      <c r="BN33" s="10">
        <f>BN32+BN30</f>
        <v/>
      </c>
    </row>
    <row r="34">
      <c r="D34" t="inlineStr">
        <is>
          <t>Flag_CODPeriod</t>
        </is>
      </c>
      <c r="E34" t="inlineStr">
        <is>
          <t>flag</t>
        </is>
      </c>
      <c r="J34" s="10">
        <f>IF(J20=$F$12,1,0)</f>
        <v/>
      </c>
      <c r="K34" s="10">
        <f>IF(K20=$F$12,1,0)</f>
        <v/>
      </c>
      <c r="L34" s="10">
        <f>IF(L20=$F$12,1,0)</f>
        <v/>
      </c>
      <c r="M34" s="10">
        <f>IF(M20=$F$12,1,0)</f>
        <v/>
      </c>
      <c r="N34" s="10">
        <f>IF(N20=$F$12,1,0)</f>
        <v/>
      </c>
      <c r="O34" s="10">
        <f>IF(O20=$F$12,1,0)</f>
        <v/>
      </c>
      <c r="P34" s="10">
        <f>IF(P20=$F$12,1,0)</f>
        <v/>
      </c>
      <c r="Q34" s="10">
        <f>IF(Q20=$F$12,1,0)</f>
        <v/>
      </c>
      <c r="R34" s="10">
        <f>IF(R20=$F$12,1,0)</f>
        <v/>
      </c>
      <c r="S34" s="10">
        <f>IF(S20=$F$12,1,0)</f>
        <v/>
      </c>
      <c r="T34" s="10">
        <f>IF(T20=$F$12,1,0)</f>
        <v/>
      </c>
      <c r="U34" s="10">
        <f>IF(U20=$F$12,1,0)</f>
        <v/>
      </c>
      <c r="V34" s="10">
        <f>IF(V20=$F$12,1,0)</f>
        <v/>
      </c>
      <c r="W34" s="10">
        <f>IF(W20=$F$12,1,0)</f>
        <v/>
      </c>
      <c r="X34" s="10">
        <f>IF(X20=$F$12,1,0)</f>
        <v/>
      </c>
      <c r="Y34" s="10">
        <f>IF(Y20=$F$12,1,0)</f>
        <v/>
      </c>
      <c r="Z34" s="10">
        <f>IF(Z20=$F$12,1,0)</f>
        <v/>
      </c>
      <c r="AA34" s="10">
        <f>IF(AA20=$F$12,1,0)</f>
        <v/>
      </c>
      <c r="AB34" s="10">
        <f>IF(AB20=$F$12,1,0)</f>
        <v/>
      </c>
      <c r="AC34" s="10">
        <f>IF(AC20=$F$12,1,0)</f>
        <v/>
      </c>
      <c r="AD34" s="10">
        <f>IF(AD20=$F$12,1,0)</f>
        <v/>
      </c>
      <c r="AE34" s="10">
        <f>IF(AE20=$F$12,1,0)</f>
        <v/>
      </c>
      <c r="AF34" s="10">
        <f>IF(AF20=$F$12,1,0)</f>
        <v/>
      </c>
      <c r="AG34" s="10">
        <f>IF(AG20=$F$12,1,0)</f>
        <v/>
      </c>
      <c r="AH34" s="10">
        <f>IF(AH20=$F$12,1,0)</f>
        <v/>
      </c>
      <c r="AI34" s="10">
        <f>IF(AI20=$F$12,1,0)</f>
        <v/>
      </c>
      <c r="AJ34" s="10">
        <f>IF(AJ20=$F$12,1,0)</f>
        <v/>
      </c>
      <c r="AK34" s="10">
        <f>IF(AK20=$F$12,1,0)</f>
        <v/>
      </c>
      <c r="AL34" s="10">
        <f>IF(AL20=$F$12,1,0)</f>
        <v/>
      </c>
      <c r="AM34" s="10">
        <f>IF(AM20=$F$12,1,0)</f>
        <v/>
      </c>
      <c r="AN34" s="10">
        <f>IF(AN20=$F$12,1,0)</f>
        <v/>
      </c>
      <c r="AO34" s="10">
        <f>IF(AO20=$F$12,1,0)</f>
        <v/>
      </c>
      <c r="AP34" s="10">
        <f>IF(AP20=$F$12,1,0)</f>
        <v/>
      </c>
      <c r="AQ34" s="10">
        <f>IF(AQ20=$F$12,1,0)</f>
        <v/>
      </c>
      <c r="AR34" s="10">
        <f>IF(AR20=$F$12,1,0)</f>
        <v/>
      </c>
      <c r="AS34" s="10">
        <f>IF(AS20=$F$12,1,0)</f>
        <v/>
      </c>
      <c r="AT34" s="10">
        <f>IF(AT20=$F$12,1,0)</f>
        <v/>
      </c>
      <c r="AU34" s="10">
        <f>IF(AU20=$F$12,1,0)</f>
        <v/>
      </c>
      <c r="AV34" s="10">
        <f>IF(AV20=$F$12,1,0)</f>
        <v/>
      </c>
      <c r="AW34" s="10">
        <f>IF(AW20=$F$12,1,0)</f>
        <v/>
      </c>
      <c r="AX34" s="10">
        <f>IF(AX20=$F$12,1,0)</f>
        <v/>
      </c>
      <c r="AY34" s="10">
        <f>IF(AY20=$F$12,1,0)</f>
        <v/>
      </c>
      <c r="AZ34" s="10">
        <f>IF(AZ20=$F$12,1,0)</f>
        <v/>
      </c>
      <c r="BA34" s="10">
        <f>IF(BA20=$F$12,1,0)</f>
        <v/>
      </c>
      <c r="BB34" s="10">
        <f>IF(BB20=$F$12,1,0)</f>
        <v/>
      </c>
      <c r="BC34" s="10">
        <f>IF(BC20=$F$12,1,0)</f>
        <v/>
      </c>
      <c r="BD34" s="10">
        <f>IF(BD20=$F$12,1,0)</f>
        <v/>
      </c>
      <c r="BE34" s="10">
        <f>IF(BE20=$F$12,1,0)</f>
        <v/>
      </c>
      <c r="BF34" s="10">
        <f>IF(BF20=$F$12,1,0)</f>
        <v/>
      </c>
      <c r="BG34" s="10">
        <f>IF(BG20=$F$12,1,0)</f>
        <v/>
      </c>
      <c r="BH34" s="10">
        <f>IF(BH20=$F$12,1,0)</f>
        <v/>
      </c>
      <c r="BI34" s="10">
        <f>IF(BI20=$F$12,1,0)</f>
        <v/>
      </c>
      <c r="BJ34" s="10">
        <f>IF(BJ20=$F$12,1,0)</f>
        <v/>
      </c>
      <c r="BK34" s="10">
        <f>IF(BK20=$F$12,1,0)</f>
        <v/>
      </c>
      <c r="BL34" s="10">
        <f>IF(BL20=$F$12,1,0)</f>
        <v/>
      </c>
      <c r="BM34" s="10">
        <f>IF(BM20=$F$12,1,0)</f>
        <v/>
      </c>
      <c r="BN34" s="10">
        <f>IF(BN20=$F$12,1,0)</f>
        <v/>
      </c>
    </row>
    <row r="35">
      <c r="D35" t="inlineStr">
        <is>
          <t>Flag_DebtService (after COD period)</t>
        </is>
      </c>
      <c r="E35" t="inlineStr">
        <is>
          <t>flag</t>
        </is>
      </c>
      <c r="J35" s="10">
        <f>IF(J20&gt;$F$12,1,0)</f>
        <v/>
      </c>
      <c r="K35" s="10">
        <f>IF(K20&gt;$F$12,1,0)</f>
        <v/>
      </c>
      <c r="L35" s="10">
        <f>IF(L20&gt;$F$12,1,0)</f>
        <v/>
      </c>
      <c r="M35" s="10">
        <f>IF(M20&gt;$F$12,1,0)</f>
        <v/>
      </c>
      <c r="N35" s="10">
        <f>IF(N20&gt;$F$12,1,0)</f>
        <v/>
      </c>
      <c r="O35" s="10">
        <f>IF(O20&gt;$F$12,1,0)</f>
        <v/>
      </c>
      <c r="P35" s="10">
        <f>IF(P20&gt;$F$12,1,0)</f>
        <v/>
      </c>
      <c r="Q35" s="10">
        <f>IF(Q20&gt;$F$12,1,0)</f>
        <v/>
      </c>
      <c r="R35" s="10">
        <f>IF(R20&gt;$F$12,1,0)</f>
        <v/>
      </c>
      <c r="S35" s="10">
        <f>IF(S20&gt;$F$12,1,0)</f>
        <v/>
      </c>
      <c r="T35" s="10">
        <f>IF(T20&gt;$F$12,1,0)</f>
        <v/>
      </c>
      <c r="U35" s="10">
        <f>IF(U20&gt;$F$12,1,0)</f>
        <v/>
      </c>
      <c r="V35" s="10">
        <f>IF(V20&gt;$F$12,1,0)</f>
        <v/>
      </c>
      <c r="W35" s="10">
        <f>IF(W20&gt;$F$12,1,0)</f>
        <v/>
      </c>
      <c r="X35" s="10">
        <f>IF(X20&gt;$F$12,1,0)</f>
        <v/>
      </c>
      <c r="Y35" s="10">
        <f>IF(Y20&gt;$F$12,1,0)</f>
        <v/>
      </c>
      <c r="Z35" s="10">
        <f>IF(Z20&gt;$F$12,1,0)</f>
        <v/>
      </c>
      <c r="AA35" s="10">
        <f>IF(AA20&gt;$F$12,1,0)</f>
        <v/>
      </c>
      <c r="AB35" s="10">
        <f>IF(AB20&gt;$F$12,1,0)</f>
        <v/>
      </c>
      <c r="AC35" s="10">
        <f>IF(AC20&gt;$F$12,1,0)</f>
        <v/>
      </c>
      <c r="AD35" s="10">
        <f>IF(AD20&gt;$F$12,1,0)</f>
        <v/>
      </c>
      <c r="AE35" s="10">
        <f>IF(AE20&gt;$F$12,1,0)</f>
        <v/>
      </c>
      <c r="AF35" s="10">
        <f>IF(AF20&gt;$F$12,1,0)</f>
        <v/>
      </c>
      <c r="AG35" s="10">
        <f>IF(AG20&gt;$F$12,1,0)</f>
        <v/>
      </c>
      <c r="AH35" s="10">
        <f>IF(AH20&gt;$F$12,1,0)</f>
        <v/>
      </c>
      <c r="AI35" s="10">
        <f>IF(AI20&gt;$F$12,1,0)</f>
        <v/>
      </c>
      <c r="AJ35" s="10">
        <f>IF(AJ20&gt;$F$12,1,0)</f>
        <v/>
      </c>
      <c r="AK35" s="10">
        <f>IF(AK20&gt;$F$12,1,0)</f>
        <v/>
      </c>
      <c r="AL35" s="10">
        <f>IF(AL20&gt;$F$12,1,0)</f>
        <v/>
      </c>
      <c r="AM35" s="10">
        <f>IF(AM20&gt;$F$12,1,0)</f>
        <v/>
      </c>
      <c r="AN35" s="10">
        <f>IF(AN20&gt;$F$12,1,0)</f>
        <v/>
      </c>
      <c r="AO35" s="10">
        <f>IF(AO20&gt;$F$12,1,0)</f>
        <v/>
      </c>
      <c r="AP35" s="10">
        <f>IF(AP20&gt;$F$12,1,0)</f>
        <v/>
      </c>
      <c r="AQ35" s="10">
        <f>IF(AQ20&gt;$F$12,1,0)</f>
        <v/>
      </c>
      <c r="AR35" s="10">
        <f>IF(AR20&gt;$F$12,1,0)</f>
        <v/>
      </c>
      <c r="AS35" s="10">
        <f>IF(AS20&gt;$F$12,1,0)</f>
        <v/>
      </c>
      <c r="AT35" s="10">
        <f>IF(AT20&gt;$F$12,1,0)</f>
        <v/>
      </c>
      <c r="AU35" s="10">
        <f>IF(AU20&gt;$F$12,1,0)</f>
        <v/>
      </c>
      <c r="AV35" s="10">
        <f>IF(AV20&gt;$F$12,1,0)</f>
        <v/>
      </c>
      <c r="AW35" s="10">
        <f>IF(AW20&gt;$F$12,1,0)</f>
        <v/>
      </c>
      <c r="AX35" s="10">
        <f>IF(AX20&gt;$F$12,1,0)</f>
        <v/>
      </c>
      <c r="AY35" s="10">
        <f>IF(AY20&gt;$F$12,1,0)</f>
        <v/>
      </c>
      <c r="AZ35" s="10">
        <f>IF(AZ20&gt;$F$12,1,0)</f>
        <v/>
      </c>
      <c r="BA35" s="10">
        <f>IF(BA20&gt;$F$12,1,0)</f>
        <v/>
      </c>
      <c r="BB35" s="10">
        <f>IF(BB20&gt;$F$12,1,0)</f>
        <v/>
      </c>
      <c r="BC35" s="10">
        <f>IF(BC20&gt;$F$12,1,0)</f>
        <v/>
      </c>
      <c r="BD35" s="10">
        <f>IF(BD20&gt;$F$12,1,0)</f>
        <v/>
      </c>
      <c r="BE35" s="10">
        <f>IF(BE20&gt;$F$12,1,0)</f>
        <v/>
      </c>
      <c r="BF35" s="10">
        <f>IF(BF20&gt;$F$12,1,0)</f>
        <v/>
      </c>
      <c r="BG35" s="10">
        <f>IF(BG20&gt;$F$12,1,0)</f>
        <v/>
      </c>
      <c r="BH35" s="10">
        <f>IF(BH20&gt;$F$12,1,0)</f>
        <v/>
      </c>
      <c r="BI35" s="10">
        <f>IF(BI20&gt;$F$12,1,0)</f>
        <v/>
      </c>
      <c r="BJ35" s="10">
        <f>IF(BJ20&gt;$F$12,1,0)</f>
        <v/>
      </c>
      <c r="BK35" s="10">
        <f>IF(BK20&gt;$F$12,1,0)</f>
        <v/>
      </c>
      <c r="BL35" s="10">
        <f>IF(BL20&gt;$F$12,1,0)</f>
        <v/>
      </c>
      <c r="BM35" s="10">
        <f>IF(BM20&gt;$F$12,1,0)</f>
        <v/>
      </c>
      <c r="BN35" s="10">
        <f>IF(BN20&gt;$F$12,1,0)</f>
        <v/>
      </c>
    </row>
    <row r="36">
      <c r="D36" t="inlineStr">
        <is>
          <t>Flag_Operations</t>
        </is>
      </c>
      <c r="E36" t="inlineStr">
        <is>
          <t>flag</t>
        </is>
      </c>
      <c r="J36" s="10">
        <f>IF(J30&gt;0,1,0)</f>
        <v/>
      </c>
      <c r="K36" s="10">
        <f>IF(K30&gt;0,1,0)</f>
        <v/>
      </c>
      <c r="L36" s="10">
        <f>IF(L30&gt;0,1,0)</f>
        <v/>
      </c>
      <c r="M36" s="10">
        <f>IF(M30&gt;0,1,0)</f>
        <v/>
      </c>
      <c r="N36" s="10">
        <f>IF(N30&gt;0,1,0)</f>
        <v/>
      </c>
      <c r="O36" s="10">
        <f>IF(O30&gt;0,1,0)</f>
        <v/>
      </c>
      <c r="P36" s="10">
        <f>IF(P30&gt;0,1,0)</f>
        <v/>
      </c>
      <c r="Q36" s="10">
        <f>IF(Q30&gt;0,1,0)</f>
        <v/>
      </c>
      <c r="R36" s="10">
        <f>IF(R30&gt;0,1,0)</f>
        <v/>
      </c>
      <c r="S36" s="10">
        <f>IF(S30&gt;0,1,0)</f>
        <v/>
      </c>
      <c r="T36" s="10">
        <f>IF(T30&gt;0,1,0)</f>
        <v/>
      </c>
      <c r="U36" s="10">
        <f>IF(U30&gt;0,1,0)</f>
        <v/>
      </c>
      <c r="V36" s="10">
        <f>IF(V30&gt;0,1,0)</f>
        <v/>
      </c>
      <c r="W36" s="10">
        <f>IF(W30&gt;0,1,0)</f>
        <v/>
      </c>
      <c r="X36" s="10">
        <f>IF(X30&gt;0,1,0)</f>
        <v/>
      </c>
      <c r="Y36" s="10">
        <f>IF(Y30&gt;0,1,0)</f>
        <v/>
      </c>
      <c r="Z36" s="10">
        <f>IF(Z30&gt;0,1,0)</f>
        <v/>
      </c>
      <c r="AA36" s="10">
        <f>IF(AA30&gt;0,1,0)</f>
        <v/>
      </c>
      <c r="AB36" s="10">
        <f>IF(AB30&gt;0,1,0)</f>
        <v/>
      </c>
      <c r="AC36" s="10">
        <f>IF(AC30&gt;0,1,0)</f>
        <v/>
      </c>
      <c r="AD36" s="10">
        <f>IF(AD30&gt;0,1,0)</f>
        <v/>
      </c>
      <c r="AE36" s="10">
        <f>IF(AE30&gt;0,1,0)</f>
        <v/>
      </c>
      <c r="AF36" s="10">
        <f>IF(AF30&gt;0,1,0)</f>
        <v/>
      </c>
      <c r="AG36" s="10">
        <f>IF(AG30&gt;0,1,0)</f>
        <v/>
      </c>
      <c r="AH36" s="10">
        <f>IF(AH30&gt;0,1,0)</f>
        <v/>
      </c>
      <c r="AI36" s="10">
        <f>IF(AI30&gt;0,1,0)</f>
        <v/>
      </c>
      <c r="AJ36" s="10">
        <f>IF(AJ30&gt;0,1,0)</f>
        <v/>
      </c>
      <c r="AK36" s="10">
        <f>IF(AK30&gt;0,1,0)</f>
        <v/>
      </c>
      <c r="AL36" s="10">
        <f>IF(AL30&gt;0,1,0)</f>
        <v/>
      </c>
      <c r="AM36" s="10">
        <f>IF(AM30&gt;0,1,0)</f>
        <v/>
      </c>
      <c r="AN36" s="10">
        <f>IF(AN30&gt;0,1,0)</f>
        <v/>
      </c>
      <c r="AO36" s="10">
        <f>IF(AO30&gt;0,1,0)</f>
        <v/>
      </c>
      <c r="AP36" s="10">
        <f>IF(AP30&gt;0,1,0)</f>
        <v/>
      </c>
      <c r="AQ36" s="10">
        <f>IF(AQ30&gt;0,1,0)</f>
        <v/>
      </c>
      <c r="AR36" s="10">
        <f>IF(AR30&gt;0,1,0)</f>
        <v/>
      </c>
      <c r="AS36" s="10">
        <f>IF(AS30&gt;0,1,0)</f>
        <v/>
      </c>
      <c r="AT36" s="10">
        <f>IF(AT30&gt;0,1,0)</f>
        <v/>
      </c>
      <c r="AU36" s="10">
        <f>IF(AU30&gt;0,1,0)</f>
        <v/>
      </c>
      <c r="AV36" s="10">
        <f>IF(AV30&gt;0,1,0)</f>
        <v/>
      </c>
      <c r="AW36" s="10">
        <f>IF(AW30&gt;0,1,0)</f>
        <v/>
      </c>
      <c r="AX36" s="10">
        <f>IF(AX30&gt;0,1,0)</f>
        <v/>
      </c>
      <c r="AY36" s="10">
        <f>IF(AY30&gt;0,1,0)</f>
        <v/>
      </c>
      <c r="AZ36" s="10">
        <f>IF(AZ30&gt;0,1,0)</f>
        <v/>
      </c>
      <c r="BA36" s="10">
        <f>IF(BA30&gt;0,1,0)</f>
        <v/>
      </c>
      <c r="BB36" s="10">
        <f>IF(BB30&gt;0,1,0)</f>
        <v/>
      </c>
      <c r="BC36" s="10">
        <f>IF(BC30&gt;0,1,0)</f>
        <v/>
      </c>
      <c r="BD36" s="10">
        <f>IF(BD30&gt;0,1,0)</f>
        <v/>
      </c>
      <c r="BE36" s="10">
        <f>IF(BE30&gt;0,1,0)</f>
        <v/>
      </c>
      <c r="BF36" s="10">
        <f>IF(BF30&gt;0,1,0)</f>
        <v/>
      </c>
      <c r="BG36" s="10">
        <f>IF(BG30&gt;0,1,0)</f>
        <v/>
      </c>
      <c r="BH36" s="10">
        <f>IF(BH30&gt;0,1,0)</f>
        <v/>
      </c>
      <c r="BI36" s="10">
        <f>IF(BI30&gt;0,1,0)</f>
        <v/>
      </c>
      <c r="BJ36" s="10">
        <f>IF(BJ30&gt;0,1,0)</f>
        <v/>
      </c>
      <c r="BK36" s="10">
        <f>IF(BK30&gt;0,1,0)</f>
        <v/>
      </c>
      <c r="BL36" s="10">
        <f>IF(BL30&gt;0,1,0)</f>
        <v/>
      </c>
      <c r="BM36" s="10">
        <f>IF(BM30&gt;0,1,0)</f>
        <v/>
      </c>
      <c r="BN36" s="10">
        <f>IF(BN30&gt;0,1,0)</f>
        <v/>
      </c>
    </row>
    <row r="37">
      <c r="D37" t="inlineStr">
        <is>
          <t>Flag_LastOperatingPeriod</t>
        </is>
      </c>
      <c r="E37" t="inlineStr">
        <is>
          <t>flag</t>
        </is>
      </c>
      <c r="J37" s="10">
        <f>IF(AND(J30&gt;0,K30=0),1,0)</f>
        <v/>
      </c>
      <c r="K37" s="10">
        <f>IF(AND(K30&gt;0,L30=0),1,0)</f>
        <v/>
      </c>
      <c r="L37" s="10">
        <f>IF(AND(L30&gt;0,M30=0),1,0)</f>
        <v/>
      </c>
      <c r="M37" s="10">
        <f>IF(AND(M30&gt;0,N30=0),1,0)</f>
        <v/>
      </c>
      <c r="N37" s="10">
        <f>IF(AND(N30&gt;0,O30=0),1,0)</f>
        <v/>
      </c>
      <c r="O37" s="10">
        <f>IF(AND(O30&gt;0,P30=0),1,0)</f>
        <v/>
      </c>
      <c r="P37" s="10">
        <f>IF(AND(P30&gt;0,Q30=0),1,0)</f>
        <v/>
      </c>
      <c r="Q37" s="10">
        <f>IF(AND(Q30&gt;0,R30=0),1,0)</f>
        <v/>
      </c>
      <c r="R37" s="10">
        <f>IF(AND(R30&gt;0,S30=0),1,0)</f>
        <v/>
      </c>
      <c r="S37" s="10">
        <f>IF(AND(S30&gt;0,T30=0),1,0)</f>
        <v/>
      </c>
      <c r="T37" s="10">
        <f>IF(AND(T30&gt;0,U30=0),1,0)</f>
        <v/>
      </c>
      <c r="U37" s="10">
        <f>IF(AND(U30&gt;0,V30=0),1,0)</f>
        <v/>
      </c>
      <c r="V37" s="10">
        <f>IF(AND(V30&gt;0,W30=0),1,0)</f>
        <v/>
      </c>
      <c r="W37" s="10">
        <f>IF(AND(W30&gt;0,X30=0),1,0)</f>
        <v/>
      </c>
      <c r="X37" s="10">
        <f>IF(AND(X30&gt;0,Y30=0),1,0)</f>
        <v/>
      </c>
      <c r="Y37" s="10">
        <f>IF(AND(Y30&gt;0,Z30=0),1,0)</f>
        <v/>
      </c>
      <c r="Z37" s="10">
        <f>IF(AND(Z30&gt;0,AA30=0),1,0)</f>
        <v/>
      </c>
      <c r="AA37" s="10">
        <f>IF(AND(AA30&gt;0,AB30=0),1,0)</f>
        <v/>
      </c>
      <c r="AB37" s="10">
        <f>IF(AND(AB30&gt;0,AC30=0),1,0)</f>
        <v/>
      </c>
      <c r="AC37" s="10">
        <f>IF(AND(AC30&gt;0,AD30=0),1,0)</f>
        <v/>
      </c>
      <c r="AD37" s="10">
        <f>IF(AND(AD30&gt;0,AE30=0),1,0)</f>
        <v/>
      </c>
      <c r="AE37" s="10">
        <f>IF(AND(AE30&gt;0,AF30=0),1,0)</f>
        <v/>
      </c>
      <c r="AF37" s="10">
        <f>IF(AND(AF30&gt;0,AG30=0),1,0)</f>
        <v/>
      </c>
      <c r="AG37" s="10">
        <f>IF(AND(AG30&gt;0,AH30=0),1,0)</f>
        <v/>
      </c>
      <c r="AH37" s="10">
        <f>IF(AND(AH30&gt;0,AI30=0),1,0)</f>
        <v/>
      </c>
      <c r="AI37" s="10">
        <f>IF(AND(AI30&gt;0,AJ30=0),1,0)</f>
        <v/>
      </c>
      <c r="AJ37" s="10">
        <f>IF(AND(AJ30&gt;0,AK30=0),1,0)</f>
        <v/>
      </c>
      <c r="AK37" s="10">
        <f>IF(AND(AK30&gt;0,AL30=0),1,0)</f>
        <v/>
      </c>
      <c r="AL37" s="10">
        <f>IF(AND(AL30&gt;0,AM30=0),1,0)</f>
        <v/>
      </c>
      <c r="AM37" s="10">
        <f>IF(AND(AM30&gt;0,AN30=0),1,0)</f>
        <v/>
      </c>
      <c r="AN37" s="10">
        <f>IF(AND(AN30&gt;0,AO30=0),1,0)</f>
        <v/>
      </c>
      <c r="AO37" s="10">
        <f>IF(AND(AO30&gt;0,AP30=0),1,0)</f>
        <v/>
      </c>
      <c r="AP37" s="10">
        <f>IF(AND(AP30&gt;0,AQ30=0),1,0)</f>
        <v/>
      </c>
      <c r="AQ37" s="10">
        <f>IF(AND(AQ30&gt;0,AR30=0),1,0)</f>
        <v/>
      </c>
      <c r="AR37" s="10">
        <f>IF(AND(AR30&gt;0,AS30=0),1,0)</f>
        <v/>
      </c>
      <c r="AS37" s="10">
        <f>IF(AND(AS30&gt;0,AT30=0),1,0)</f>
        <v/>
      </c>
      <c r="AT37" s="10">
        <f>IF(AND(AT30&gt;0,AU30=0),1,0)</f>
        <v/>
      </c>
      <c r="AU37" s="10">
        <f>IF(AND(AU30&gt;0,AV30=0),1,0)</f>
        <v/>
      </c>
      <c r="AV37" s="10">
        <f>IF(AND(AV30&gt;0,AW30=0),1,0)</f>
        <v/>
      </c>
      <c r="AW37" s="10">
        <f>IF(AND(AW30&gt;0,AX30=0),1,0)</f>
        <v/>
      </c>
      <c r="AX37" s="10">
        <f>IF(AND(AX30&gt;0,AY30=0),1,0)</f>
        <v/>
      </c>
      <c r="AY37" s="10">
        <f>IF(AND(AY30&gt;0,AZ30=0),1,0)</f>
        <v/>
      </c>
      <c r="AZ37" s="10">
        <f>IF(AND(AZ30&gt;0,BA30=0),1,0)</f>
        <v/>
      </c>
      <c r="BA37" s="10">
        <f>IF(AND(BA30&gt;0,BB30=0),1,0)</f>
        <v/>
      </c>
      <c r="BB37" s="10">
        <f>IF(AND(BB30&gt;0,BC30=0),1,0)</f>
        <v/>
      </c>
      <c r="BC37" s="10">
        <f>IF(AND(BC30&gt;0,BD30=0),1,0)</f>
        <v/>
      </c>
      <c r="BD37" s="10">
        <f>IF(AND(BD30&gt;0,BE30=0),1,0)</f>
        <v/>
      </c>
      <c r="BE37" s="10">
        <f>IF(AND(BE30&gt;0,BF30=0),1,0)</f>
        <v/>
      </c>
      <c r="BF37" s="10">
        <f>IF(AND(BF30&gt;0,BG30=0),1,0)</f>
        <v/>
      </c>
      <c r="BG37" s="10">
        <f>IF(AND(BG30&gt;0,BH30=0),1,0)</f>
        <v/>
      </c>
      <c r="BH37" s="10">
        <f>IF(AND(BH30&gt;0,BI30=0),1,0)</f>
        <v/>
      </c>
      <c r="BI37" s="10">
        <f>IF(AND(BI30&gt;0,BJ30=0),1,0)</f>
        <v/>
      </c>
      <c r="BJ37" s="10">
        <f>IF(AND(BJ30&gt;0,BK30=0),1,0)</f>
        <v/>
      </c>
      <c r="BK37" s="10">
        <f>IF(AND(BK30&gt;0,BL30=0),1,0)</f>
        <v/>
      </c>
      <c r="BL37" s="10">
        <f>IF(AND(BL30&gt;0,BM30=0),1,0)</f>
        <v/>
      </c>
      <c r="BM37" s="10">
        <f>IF(AND(BM30&gt;0,BN30=0),1,0)</f>
        <v/>
      </c>
      <c r="BN37" s="10">
        <f>IF(AND(BN30&gt;0,BO30=0),1,0)</f>
        <v/>
      </c>
    </row>
    <row r="38">
      <c r="D38" t="inlineStr">
        <is>
          <t>Flag_ShockPeriods</t>
        </is>
      </c>
      <c r="E38" t="inlineStr">
        <is>
          <t>flag</t>
        </is>
      </c>
      <c r="J38" s="10">
        <f>IF(AND(J22&gt;=Inputs!$F$193,J22&lt;EDATE(Inputs!$F$193,Inputs!$F$211)),1,0)</f>
        <v/>
      </c>
      <c r="K38" s="10">
        <f>IF(AND(K22&gt;=Inputs!$F$193,K22&lt;EDATE(Inputs!$F$193,Inputs!$F$211)),1,0)</f>
        <v/>
      </c>
      <c r="L38" s="10">
        <f>IF(AND(L22&gt;=Inputs!$F$193,L22&lt;EDATE(Inputs!$F$193,Inputs!$F$211)),1,0)</f>
        <v/>
      </c>
      <c r="M38" s="10">
        <f>IF(AND(M22&gt;=Inputs!$F$193,M22&lt;EDATE(Inputs!$F$193,Inputs!$F$211)),1,0)</f>
        <v/>
      </c>
      <c r="N38" s="10">
        <f>IF(AND(N22&gt;=Inputs!$F$193,N22&lt;EDATE(Inputs!$F$193,Inputs!$F$211)),1,0)</f>
        <v/>
      </c>
      <c r="O38" s="10">
        <f>IF(AND(O22&gt;=Inputs!$F$193,O22&lt;EDATE(Inputs!$F$193,Inputs!$F$211)),1,0)</f>
        <v/>
      </c>
      <c r="P38" s="10">
        <f>IF(AND(P22&gt;=Inputs!$F$193,P22&lt;EDATE(Inputs!$F$193,Inputs!$F$211)),1,0)</f>
        <v/>
      </c>
      <c r="Q38" s="10">
        <f>IF(AND(Q22&gt;=Inputs!$F$193,Q22&lt;EDATE(Inputs!$F$193,Inputs!$F$211)),1,0)</f>
        <v/>
      </c>
      <c r="R38" s="10">
        <f>IF(AND(R22&gt;=Inputs!$F$193,R22&lt;EDATE(Inputs!$F$193,Inputs!$F$211)),1,0)</f>
        <v/>
      </c>
      <c r="S38" s="10">
        <f>IF(AND(S22&gt;=Inputs!$F$193,S22&lt;EDATE(Inputs!$F$193,Inputs!$F$211)),1,0)</f>
        <v/>
      </c>
      <c r="T38" s="10">
        <f>IF(AND(T22&gt;=Inputs!$F$193,T22&lt;EDATE(Inputs!$F$193,Inputs!$F$211)),1,0)</f>
        <v/>
      </c>
      <c r="U38" s="10">
        <f>IF(AND(U22&gt;=Inputs!$F$193,U22&lt;EDATE(Inputs!$F$193,Inputs!$F$211)),1,0)</f>
        <v/>
      </c>
      <c r="V38" s="10">
        <f>IF(AND(V22&gt;=Inputs!$F$193,V22&lt;EDATE(Inputs!$F$193,Inputs!$F$211)),1,0)</f>
        <v/>
      </c>
      <c r="W38" s="10">
        <f>IF(AND(W22&gt;=Inputs!$F$193,W22&lt;EDATE(Inputs!$F$193,Inputs!$F$211)),1,0)</f>
        <v/>
      </c>
      <c r="X38" s="10">
        <f>IF(AND(X22&gt;=Inputs!$F$193,X22&lt;EDATE(Inputs!$F$193,Inputs!$F$211)),1,0)</f>
        <v/>
      </c>
      <c r="Y38" s="10">
        <f>IF(AND(Y22&gt;=Inputs!$F$193,Y22&lt;EDATE(Inputs!$F$193,Inputs!$F$211)),1,0)</f>
        <v/>
      </c>
      <c r="Z38" s="10">
        <f>IF(AND(Z22&gt;=Inputs!$F$193,Z22&lt;EDATE(Inputs!$F$193,Inputs!$F$211)),1,0)</f>
        <v/>
      </c>
      <c r="AA38" s="10">
        <f>IF(AND(AA22&gt;=Inputs!$F$193,AA22&lt;EDATE(Inputs!$F$193,Inputs!$F$211)),1,0)</f>
        <v/>
      </c>
      <c r="AB38" s="10">
        <f>IF(AND(AB22&gt;=Inputs!$F$193,AB22&lt;EDATE(Inputs!$F$193,Inputs!$F$211)),1,0)</f>
        <v/>
      </c>
      <c r="AC38" s="10">
        <f>IF(AND(AC22&gt;=Inputs!$F$193,AC22&lt;EDATE(Inputs!$F$193,Inputs!$F$211)),1,0)</f>
        <v/>
      </c>
      <c r="AD38" s="10">
        <f>IF(AND(AD22&gt;=Inputs!$F$193,AD22&lt;EDATE(Inputs!$F$193,Inputs!$F$211)),1,0)</f>
        <v/>
      </c>
      <c r="AE38" s="10">
        <f>IF(AND(AE22&gt;=Inputs!$F$193,AE22&lt;EDATE(Inputs!$F$193,Inputs!$F$211)),1,0)</f>
        <v/>
      </c>
      <c r="AF38" s="10">
        <f>IF(AND(AF22&gt;=Inputs!$F$193,AF22&lt;EDATE(Inputs!$F$193,Inputs!$F$211)),1,0)</f>
        <v/>
      </c>
      <c r="AG38" s="10">
        <f>IF(AND(AG22&gt;=Inputs!$F$193,AG22&lt;EDATE(Inputs!$F$193,Inputs!$F$211)),1,0)</f>
        <v/>
      </c>
      <c r="AH38" s="10">
        <f>IF(AND(AH22&gt;=Inputs!$F$193,AH22&lt;EDATE(Inputs!$F$193,Inputs!$F$211)),1,0)</f>
        <v/>
      </c>
      <c r="AI38" s="10">
        <f>IF(AND(AI22&gt;=Inputs!$F$193,AI22&lt;EDATE(Inputs!$F$193,Inputs!$F$211)),1,0)</f>
        <v/>
      </c>
      <c r="AJ38" s="10">
        <f>IF(AND(AJ22&gt;=Inputs!$F$193,AJ22&lt;EDATE(Inputs!$F$193,Inputs!$F$211)),1,0)</f>
        <v/>
      </c>
      <c r="AK38" s="10">
        <f>IF(AND(AK22&gt;=Inputs!$F$193,AK22&lt;EDATE(Inputs!$F$193,Inputs!$F$211)),1,0)</f>
        <v/>
      </c>
      <c r="AL38" s="10">
        <f>IF(AND(AL22&gt;=Inputs!$F$193,AL22&lt;EDATE(Inputs!$F$193,Inputs!$F$211)),1,0)</f>
        <v/>
      </c>
      <c r="AM38" s="10">
        <f>IF(AND(AM22&gt;=Inputs!$F$193,AM22&lt;EDATE(Inputs!$F$193,Inputs!$F$211)),1,0)</f>
        <v/>
      </c>
      <c r="AN38" s="10">
        <f>IF(AND(AN22&gt;=Inputs!$F$193,AN22&lt;EDATE(Inputs!$F$193,Inputs!$F$211)),1,0)</f>
        <v/>
      </c>
      <c r="AO38" s="10">
        <f>IF(AND(AO22&gt;=Inputs!$F$193,AO22&lt;EDATE(Inputs!$F$193,Inputs!$F$211)),1,0)</f>
        <v/>
      </c>
      <c r="AP38" s="10">
        <f>IF(AND(AP22&gt;=Inputs!$F$193,AP22&lt;EDATE(Inputs!$F$193,Inputs!$F$211)),1,0)</f>
        <v/>
      </c>
      <c r="AQ38" s="10">
        <f>IF(AND(AQ22&gt;=Inputs!$F$193,AQ22&lt;EDATE(Inputs!$F$193,Inputs!$F$211)),1,0)</f>
        <v/>
      </c>
      <c r="AR38" s="10">
        <f>IF(AND(AR22&gt;=Inputs!$F$193,AR22&lt;EDATE(Inputs!$F$193,Inputs!$F$211)),1,0)</f>
        <v/>
      </c>
      <c r="AS38" s="10">
        <f>IF(AND(AS22&gt;=Inputs!$F$193,AS22&lt;EDATE(Inputs!$F$193,Inputs!$F$211)),1,0)</f>
        <v/>
      </c>
      <c r="AT38" s="10">
        <f>IF(AND(AT22&gt;=Inputs!$F$193,AT22&lt;EDATE(Inputs!$F$193,Inputs!$F$211)),1,0)</f>
        <v/>
      </c>
      <c r="AU38" s="10">
        <f>IF(AND(AU22&gt;=Inputs!$F$193,AU22&lt;EDATE(Inputs!$F$193,Inputs!$F$211)),1,0)</f>
        <v/>
      </c>
      <c r="AV38" s="10">
        <f>IF(AND(AV22&gt;=Inputs!$F$193,AV22&lt;EDATE(Inputs!$F$193,Inputs!$F$211)),1,0)</f>
        <v/>
      </c>
      <c r="AW38" s="10">
        <f>IF(AND(AW22&gt;=Inputs!$F$193,AW22&lt;EDATE(Inputs!$F$193,Inputs!$F$211)),1,0)</f>
        <v/>
      </c>
      <c r="AX38" s="10">
        <f>IF(AND(AX22&gt;=Inputs!$F$193,AX22&lt;EDATE(Inputs!$F$193,Inputs!$F$211)),1,0)</f>
        <v/>
      </c>
      <c r="AY38" s="10">
        <f>IF(AND(AY22&gt;=Inputs!$F$193,AY22&lt;EDATE(Inputs!$F$193,Inputs!$F$211)),1,0)</f>
        <v/>
      </c>
      <c r="AZ38" s="10">
        <f>IF(AND(AZ22&gt;=Inputs!$F$193,AZ22&lt;EDATE(Inputs!$F$193,Inputs!$F$211)),1,0)</f>
        <v/>
      </c>
      <c r="BA38" s="10">
        <f>IF(AND(BA22&gt;=Inputs!$F$193,BA22&lt;EDATE(Inputs!$F$193,Inputs!$F$211)),1,0)</f>
        <v/>
      </c>
      <c r="BB38" s="10">
        <f>IF(AND(BB22&gt;=Inputs!$F$193,BB22&lt;EDATE(Inputs!$F$193,Inputs!$F$211)),1,0)</f>
        <v/>
      </c>
      <c r="BC38" s="10">
        <f>IF(AND(BC22&gt;=Inputs!$F$193,BC22&lt;EDATE(Inputs!$F$193,Inputs!$F$211)),1,0)</f>
        <v/>
      </c>
      <c r="BD38" s="10">
        <f>IF(AND(BD22&gt;=Inputs!$F$193,BD22&lt;EDATE(Inputs!$F$193,Inputs!$F$211)),1,0)</f>
        <v/>
      </c>
      <c r="BE38" s="10">
        <f>IF(AND(BE22&gt;=Inputs!$F$193,BE22&lt;EDATE(Inputs!$F$193,Inputs!$F$211)),1,0)</f>
        <v/>
      </c>
      <c r="BF38" s="10">
        <f>IF(AND(BF22&gt;=Inputs!$F$193,BF22&lt;EDATE(Inputs!$F$193,Inputs!$F$211)),1,0)</f>
        <v/>
      </c>
      <c r="BG38" s="10">
        <f>IF(AND(BG22&gt;=Inputs!$F$193,BG22&lt;EDATE(Inputs!$F$193,Inputs!$F$211)),1,0)</f>
        <v/>
      </c>
      <c r="BH38" s="10">
        <f>IF(AND(BH22&gt;=Inputs!$F$193,BH22&lt;EDATE(Inputs!$F$193,Inputs!$F$211)),1,0)</f>
        <v/>
      </c>
      <c r="BI38" s="10">
        <f>IF(AND(BI22&gt;=Inputs!$F$193,BI22&lt;EDATE(Inputs!$F$193,Inputs!$F$211)),1,0)</f>
        <v/>
      </c>
      <c r="BJ38" s="10">
        <f>IF(AND(BJ22&gt;=Inputs!$F$193,BJ22&lt;EDATE(Inputs!$F$193,Inputs!$F$211)),1,0)</f>
        <v/>
      </c>
      <c r="BK38" s="10">
        <f>IF(AND(BK22&gt;=Inputs!$F$193,BK22&lt;EDATE(Inputs!$F$193,Inputs!$F$211)),1,0)</f>
        <v/>
      </c>
      <c r="BL38" s="10">
        <f>IF(AND(BL22&gt;=Inputs!$F$193,BL22&lt;EDATE(Inputs!$F$193,Inputs!$F$211)),1,0)</f>
        <v/>
      </c>
      <c r="BM38" s="10">
        <f>IF(AND(BM22&gt;=Inputs!$F$193,BM22&lt;EDATE(Inputs!$F$193,Inputs!$F$211)),1,0)</f>
        <v/>
      </c>
      <c r="BN38" s="10">
        <f>IF(AND(BN22&gt;=Inputs!$F$193,BN22&lt;EDATE(Inputs!$F$193,Inputs!$F$211)),1,0)</f>
        <v/>
      </c>
    </row>
    <row r="39">
      <c r="D39" t="inlineStr">
        <is>
          <t>Flag_FromShockStart</t>
        </is>
      </c>
      <c r="E39" t="inlineStr">
        <is>
          <t>flag</t>
        </is>
      </c>
      <c r="J39" s="10">
        <f>IF(J22&gt;=Inputs!$F$193,1,0)</f>
        <v/>
      </c>
      <c r="K39" s="10">
        <f>IF(K22&gt;=Inputs!$F$193,1,0)</f>
        <v/>
      </c>
      <c r="L39" s="10">
        <f>IF(L22&gt;=Inputs!$F$193,1,0)</f>
        <v/>
      </c>
      <c r="M39" s="10">
        <f>IF(M22&gt;=Inputs!$F$193,1,0)</f>
        <v/>
      </c>
      <c r="N39" s="10">
        <f>IF(N22&gt;=Inputs!$F$193,1,0)</f>
        <v/>
      </c>
      <c r="O39" s="10">
        <f>IF(O22&gt;=Inputs!$F$193,1,0)</f>
        <v/>
      </c>
      <c r="P39" s="10">
        <f>IF(P22&gt;=Inputs!$F$193,1,0)</f>
        <v/>
      </c>
      <c r="Q39" s="10">
        <f>IF(Q22&gt;=Inputs!$F$193,1,0)</f>
        <v/>
      </c>
      <c r="R39" s="10">
        <f>IF(R22&gt;=Inputs!$F$193,1,0)</f>
        <v/>
      </c>
      <c r="S39" s="10">
        <f>IF(S22&gt;=Inputs!$F$193,1,0)</f>
        <v/>
      </c>
      <c r="T39" s="10">
        <f>IF(T22&gt;=Inputs!$F$193,1,0)</f>
        <v/>
      </c>
      <c r="U39" s="10">
        <f>IF(U22&gt;=Inputs!$F$193,1,0)</f>
        <v/>
      </c>
      <c r="V39" s="10">
        <f>IF(V22&gt;=Inputs!$F$193,1,0)</f>
        <v/>
      </c>
      <c r="W39" s="10">
        <f>IF(W22&gt;=Inputs!$F$193,1,0)</f>
        <v/>
      </c>
      <c r="X39" s="10">
        <f>IF(X22&gt;=Inputs!$F$193,1,0)</f>
        <v/>
      </c>
      <c r="Y39" s="10">
        <f>IF(Y22&gt;=Inputs!$F$193,1,0)</f>
        <v/>
      </c>
      <c r="Z39" s="10">
        <f>IF(Z22&gt;=Inputs!$F$193,1,0)</f>
        <v/>
      </c>
      <c r="AA39" s="10">
        <f>IF(AA22&gt;=Inputs!$F$193,1,0)</f>
        <v/>
      </c>
      <c r="AB39" s="10">
        <f>IF(AB22&gt;=Inputs!$F$193,1,0)</f>
        <v/>
      </c>
      <c r="AC39" s="10">
        <f>IF(AC22&gt;=Inputs!$F$193,1,0)</f>
        <v/>
      </c>
      <c r="AD39" s="10">
        <f>IF(AD22&gt;=Inputs!$F$193,1,0)</f>
        <v/>
      </c>
      <c r="AE39" s="10">
        <f>IF(AE22&gt;=Inputs!$F$193,1,0)</f>
        <v/>
      </c>
      <c r="AF39" s="10">
        <f>IF(AF22&gt;=Inputs!$F$193,1,0)</f>
        <v/>
      </c>
      <c r="AG39" s="10">
        <f>IF(AG22&gt;=Inputs!$F$193,1,0)</f>
        <v/>
      </c>
      <c r="AH39" s="10">
        <f>IF(AH22&gt;=Inputs!$F$193,1,0)</f>
        <v/>
      </c>
      <c r="AI39" s="10">
        <f>IF(AI22&gt;=Inputs!$F$193,1,0)</f>
        <v/>
      </c>
      <c r="AJ39" s="10">
        <f>IF(AJ22&gt;=Inputs!$F$193,1,0)</f>
        <v/>
      </c>
      <c r="AK39" s="10">
        <f>IF(AK22&gt;=Inputs!$F$193,1,0)</f>
        <v/>
      </c>
      <c r="AL39" s="10">
        <f>IF(AL22&gt;=Inputs!$F$193,1,0)</f>
        <v/>
      </c>
      <c r="AM39" s="10">
        <f>IF(AM22&gt;=Inputs!$F$193,1,0)</f>
        <v/>
      </c>
      <c r="AN39" s="10">
        <f>IF(AN22&gt;=Inputs!$F$193,1,0)</f>
        <v/>
      </c>
      <c r="AO39" s="10">
        <f>IF(AO22&gt;=Inputs!$F$193,1,0)</f>
        <v/>
      </c>
      <c r="AP39" s="10">
        <f>IF(AP22&gt;=Inputs!$F$193,1,0)</f>
        <v/>
      </c>
      <c r="AQ39" s="10">
        <f>IF(AQ22&gt;=Inputs!$F$193,1,0)</f>
        <v/>
      </c>
      <c r="AR39" s="10">
        <f>IF(AR22&gt;=Inputs!$F$193,1,0)</f>
        <v/>
      </c>
      <c r="AS39" s="10">
        <f>IF(AS22&gt;=Inputs!$F$193,1,0)</f>
        <v/>
      </c>
      <c r="AT39" s="10">
        <f>IF(AT22&gt;=Inputs!$F$193,1,0)</f>
        <v/>
      </c>
      <c r="AU39" s="10">
        <f>IF(AU22&gt;=Inputs!$F$193,1,0)</f>
        <v/>
      </c>
      <c r="AV39" s="10">
        <f>IF(AV22&gt;=Inputs!$F$193,1,0)</f>
        <v/>
      </c>
      <c r="AW39" s="10">
        <f>IF(AW22&gt;=Inputs!$F$193,1,0)</f>
        <v/>
      </c>
      <c r="AX39" s="10">
        <f>IF(AX22&gt;=Inputs!$F$193,1,0)</f>
        <v/>
      </c>
      <c r="AY39" s="10">
        <f>IF(AY22&gt;=Inputs!$F$193,1,0)</f>
        <v/>
      </c>
      <c r="AZ39" s="10">
        <f>IF(AZ22&gt;=Inputs!$F$193,1,0)</f>
        <v/>
      </c>
      <c r="BA39" s="10">
        <f>IF(BA22&gt;=Inputs!$F$193,1,0)</f>
        <v/>
      </c>
      <c r="BB39" s="10">
        <f>IF(BB22&gt;=Inputs!$F$193,1,0)</f>
        <v/>
      </c>
      <c r="BC39" s="10">
        <f>IF(BC22&gt;=Inputs!$F$193,1,0)</f>
        <v/>
      </c>
      <c r="BD39" s="10">
        <f>IF(BD22&gt;=Inputs!$F$193,1,0)</f>
        <v/>
      </c>
      <c r="BE39" s="10">
        <f>IF(BE22&gt;=Inputs!$F$193,1,0)</f>
        <v/>
      </c>
      <c r="BF39" s="10">
        <f>IF(BF22&gt;=Inputs!$F$193,1,0)</f>
        <v/>
      </c>
      <c r="BG39" s="10">
        <f>IF(BG22&gt;=Inputs!$F$193,1,0)</f>
        <v/>
      </c>
      <c r="BH39" s="10">
        <f>IF(BH22&gt;=Inputs!$F$193,1,0)</f>
        <v/>
      </c>
      <c r="BI39" s="10">
        <f>IF(BI22&gt;=Inputs!$F$193,1,0)</f>
        <v/>
      </c>
      <c r="BJ39" s="10">
        <f>IF(BJ22&gt;=Inputs!$F$193,1,0)</f>
        <v/>
      </c>
      <c r="BK39" s="10">
        <f>IF(BK22&gt;=Inputs!$F$193,1,0)</f>
        <v/>
      </c>
      <c r="BL39" s="10">
        <f>IF(BL22&gt;=Inputs!$F$193,1,0)</f>
        <v/>
      </c>
      <c r="BM39" s="10">
        <f>IF(BM22&gt;=Inputs!$F$193,1,0)</f>
        <v/>
      </c>
      <c r="BN39" s="10">
        <f>IF(BN22&gt;=Inputs!$F$193,1,0)</f>
        <v/>
      </c>
    </row>
    <row r="40">
      <c r="D40" t="inlineStr">
        <is>
          <t>Flag_TermSOFR</t>
        </is>
      </c>
      <c r="E40" t="inlineStr">
        <is>
          <t>flag</t>
        </is>
      </c>
      <c r="J40" s="10">
        <f>IF(J22&gt;=Inputs!$F$196,1,0)</f>
        <v/>
      </c>
      <c r="K40" s="10">
        <f>IF(K22&gt;=Inputs!$F$196,1,0)</f>
        <v/>
      </c>
      <c r="L40" s="10">
        <f>IF(L22&gt;=Inputs!$F$196,1,0)</f>
        <v/>
      </c>
      <c r="M40" s="10">
        <f>IF(M22&gt;=Inputs!$F$196,1,0)</f>
        <v/>
      </c>
      <c r="N40" s="10">
        <f>IF(N22&gt;=Inputs!$F$196,1,0)</f>
        <v/>
      </c>
      <c r="O40" s="10">
        <f>IF(O22&gt;=Inputs!$F$196,1,0)</f>
        <v/>
      </c>
      <c r="P40" s="10">
        <f>IF(P22&gt;=Inputs!$F$196,1,0)</f>
        <v/>
      </c>
      <c r="Q40" s="10">
        <f>IF(Q22&gt;=Inputs!$F$196,1,0)</f>
        <v/>
      </c>
      <c r="R40" s="10">
        <f>IF(R22&gt;=Inputs!$F$196,1,0)</f>
        <v/>
      </c>
      <c r="S40" s="10">
        <f>IF(S22&gt;=Inputs!$F$196,1,0)</f>
        <v/>
      </c>
      <c r="T40" s="10">
        <f>IF(T22&gt;=Inputs!$F$196,1,0)</f>
        <v/>
      </c>
      <c r="U40" s="10">
        <f>IF(U22&gt;=Inputs!$F$196,1,0)</f>
        <v/>
      </c>
      <c r="V40" s="10">
        <f>IF(V22&gt;=Inputs!$F$196,1,0)</f>
        <v/>
      </c>
      <c r="W40" s="10">
        <f>IF(W22&gt;=Inputs!$F$196,1,0)</f>
        <v/>
      </c>
      <c r="X40" s="10">
        <f>IF(X22&gt;=Inputs!$F$196,1,0)</f>
        <v/>
      </c>
      <c r="Y40" s="10">
        <f>IF(Y22&gt;=Inputs!$F$196,1,0)</f>
        <v/>
      </c>
      <c r="Z40" s="10">
        <f>IF(Z22&gt;=Inputs!$F$196,1,0)</f>
        <v/>
      </c>
      <c r="AA40" s="10">
        <f>IF(AA22&gt;=Inputs!$F$196,1,0)</f>
        <v/>
      </c>
      <c r="AB40" s="10">
        <f>IF(AB22&gt;=Inputs!$F$196,1,0)</f>
        <v/>
      </c>
      <c r="AC40" s="10">
        <f>IF(AC22&gt;=Inputs!$F$196,1,0)</f>
        <v/>
      </c>
      <c r="AD40" s="10">
        <f>IF(AD22&gt;=Inputs!$F$196,1,0)</f>
        <v/>
      </c>
      <c r="AE40" s="10">
        <f>IF(AE22&gt;=Inputs!$F$196,1,0)</f>
        <v/>
      </c>
      <c r="AF40" s="10">
        <f>IF(AF22&gt;=Inputs!$F$196,1,0)</f>
        <v/>
      </c>
      <c r="AG40" s="10">
        <f>IF(AG22&gt;=Inputs!$F$196,1,0)</f>
        <v/>
      </c>
      <c r="AH40" s="10">
        <f>IF(AH22&gt;=Inputs!$F$196,1,0)</f>
        <v/>
      </c>
      <c r="AI40" s="10">
        <f>IF(AI22&gt;=Inputs!$F$196,1,0)</f>
        <v/>
      </c>
      <c r="AJ40" s="10">
        <f>IF(AJ22&gt;=Inputs!$F$196,1,0)</f>
        <v/>
      </c>
      <c r="AK40" s="10">
        <f>IF(AK22&gt;=Inputs!$F$196,1,0)</f>
        <v/>
      </c>
      <c r="AL40" s="10">
        <f>IF(AL22&gt;=Inputs!$F$196,1,0)</f>
        <v/>
      </c>
      <c r="AM40" s="10">
        <f>IF(AM22&gt;=Inputs!$F$196,1,0)</f>
        <v/>
      </c>
      <c r="AN40" s="10">
        <f>IF(AN22&gt;=Inputs!$F$196,1,0)</f>
        <v/>
      </c>
      <c r="AO40" s="10">
        <f>IF(AO22&gt;=Inputs!$F$196,1,0)</f>
        <v/>
      </c>
      <c r="AP40" s="10">
        <f>IF(AP22&gt;=Inputs!$F$196,1,0)</f>
        <v/>
      </c>
      <c r="AQ40" s="10">
        <f>IF(AQ22&gt;=Inputs!$F$196,1,0)</f>
        <v/>
      </c>
      <c r="AR40" s="10">
        <f>IF(AR22&gt;=Inputs!$F$196,1,0)</f>
        <v/>
      </c>
      <c r="AS40" s="10">
        <f>IF(AS22&gt;=Inputs!$F$196,1,0)</f>
        <v/>
      </c>
      <c r="AT40" s="10">
        <f>IF(AT22&gt;=Inputs!$F$196,1,0)</f>
        <v/>
      </c>
      <c r="AU40" s="10">
        <f>IF(AU22&gt;=Inputs!$F$196,1,0)</f>
        <v/>
      </c>
      <c r="AV40" s="10">
        <f>IF(AV22&gt;=Inputs!$F$196,1,0)</f>
        <v/>
      </c>
      <c r="AW40" s="10">
        <f>IF(AW22&gt;=Inputs!$F$196,1,0)</f>
        <v/>
      </c>
      <c r="AX40" s="10">
        <f>IF(AX22&gt;=Inputs!$F$196,1,0)</f>
        <v/>
      </c>
      <c r="AY40" s="10">
        <f>IF(AY22&gt;=Inputs!$F$196,1,0)</f>
        <v/>
      </c>
      <c r="AZ40" s="10">
        <f>IF(AZ22&gt;=Inputs!$F$196,1,0)</f>
        <v/>
      </c>
      <c r="BA40" s="10">
        <f>IF(BA22&gt;=Inputs!$F$196,1,0)</f>
        <v/>
      </c>
      <c r="BB40" s="10">
        <f>IF(BB22&gt;=Inputs!$F$196,1,0)</f>
        <v/>
      </c>
      <c r="BC40" s="10">
        <f>IF(BC22&gt;=Inputs!$F$196,1,0)</f>
        <v/>
      </c>
      <c r="BD40" s="10">
        <f>IF(BD22&gt;=Inputs!$F$196,1,0)</f>
        <v/>
      </c>
      <c r="BE40" s="10">
        <f>IF(BE22&gt;=Inputs!$F$196,1,0)</f>
        <v/>
      </c>
      <c r="BF40" s="10">
        <f>IF(BF22&gt;=Inputs!$F$196,1,0)</f>
        <v/>
      </c>
      <c r="BG40" s="10">
        <f>IF(BG22&gt;=Inputs!$F$196,1,0)</f>
        <v/>
      </c>
      <c r="BH40" s="10">
        <f>IF(BH22&gt;=Inputs!$F$196,1,0)</f>
        <v/>
      </c>
      <c r="BI40" s="10">
        <f>IF(BI22&gt;=Inputs!$F$196,1,0)</f>
        <v/>
      </c>
      <c r="BJ40" s="10">
        <f>IF(BJ22&gt;=Inputs!$F$196,1,0)</f>
        <v/>
      </c>
      <c r="BK40" s="10">
        <f>IF(BK22&gt;=Inputs!$F$196,1,0)</f>
        <v/>
      </c>
      <c r="BL40" s="10">
        <f>IF(BL22&gt;=Inputs!$F$196,1,0)</f>
        <v/>
      </c>
      <c r="BM40" s="10">
        <f>IF(BM22&gt;=Inputs!$F$196,1,0)</f>
        <v/>
      </c>
      <c r="BN40" s="10">
        <f>IF(BN22&gt;=Inputs!$F$196,1,0)</f>
        <v/>
      </c>
    </row>
    <row r="41">
      <c r="D41" t="inlineStr">
        <is>
          <t>Flag_InsuranceStepUp</t>
        </is>
      </c>
      <c r="E41" t="inlineStr">
        <is>
          <t>flag</t>
        </is>
      </c>
      <c r="J41" s="10">
        <f>IF(J22&gt;=Inputs!$F$195,1,0)</f>
        <v/>
      </c>
      <c r="K41" s="10">
        <f>IF(K22&gt;=Inputs!$F$195,1,0)</f>
        <v/>
      </c>
      <c r="L41" s="10">
        <f>IF(L22&gt;=Inputs!$F$195,1,0)</f>
        <v/>
      </c>
      <c r="M41" s="10">
        <f>IF(M22&gt;=Inputs!$F$195,1,0)</f>
        <v/>
      </c>
      <c r="N41" s="10">
        <f>IF(N22&gt;=Inputs!$F$195,1,0)</f>
        <v/>
      </c>
      <c r="O41" s="10">
        <f>IF(O22&gt;=Inputs!$F$195,1,0)</f>
        <v/>
      </c>
      <c r="P41" s="10">
        <f>IF(P22&gt;=Inputs!$F$195,1,0)</f>
        <v/>
      </c>
      <c r="Q41" s="10">
        <f>IF(Q22&gt;=Inputs!$F$195,1,0)</f>
        <v/>
      </c>
      <c r="R41" s="10">
        <f>IF(R22&gt;=Inputs!$F$195,1,0)</f>
        <v/>
      </c>
      <c r="S41" s="10">
        <f>IF(S22&gt;=Inputs!$F$195,1,0)</f>
        <v/>
      </c>
      <c r="T41" s="10">
        <f>IF(T22&gt;=Inputs!$F$195,1,0)</f>
        <v/>
      </c>
      <c r="U41" s="10">
        <f>IF(U22&gt;=Inputs!$F$195,1,0)</f>
        <v/>
      </c>
      <c r="V41" s="10">
        <f>IF(V22&gt;=Inputs!$F$195,1,0)</f>
        <v/>
      </c>
      <c r="W41" s="10">
        <f>IF(W22&gt;=Inputs!$F$195,1,0)</f>
        <v/>
      </c>
      <c r="X41" s="10">
        <f>IF(X22&gt;=Inputs!$F$195,1,0)</f>
        <v/>
      </c>
      <c r="Y41" s="10">
        <f>IF(Y22&gt;=Inputs!$F$195,1,0)</f>
        <v/>
      </c>
      <c r="Z41" s="10">
        <f>IF(Z22&gt;=Inputs!$F$195,1,0)</f>
        <v/>
      </c>
      <c r="AA41" s="10">
        <f>IF(AA22&gt;=Inputs!$F$195,1,0)</f>
        <v/>
      </c>
      <c r="AB41" s="10">
        <f>IF(AB22&gt;=Inputs!$F$195,1,0)</f>
        <v/>
      </c>
      <c r="AC41" s="10">
        <f>IF(AC22&gt;=Inputs!$F$195,1,0)</f>
        <v/>
      </c>
      <c r="AD41" s="10">
        <f>IF(AD22&gt;=Inputs!$F$195,1,0)</f>
        <v/>
      </c>
      <c r="AE41" s="10">
        <f>IF(AE22&gt;=Inputs!$F$195,1,0)</f>
        <v/>
      </c>
      <c r="AF41" s="10">
        <f>IF(AF22&gt;=Inputs!$F$195,1,0)</f>
        <v/>
      </c>
      <c r="AG41" s="10">
        <f>IF(AG22&gt;=Inputs!$F$195,1,0)</f>
        <v/>
      </c>
      <c r="AH41" s="10">
        <f>IF(AH22&gt;=Inputs!$F$195,1,0)</f>
        <v/>
      </c>
      <c r="AI41" s="10">
        <f>IF(AI22&gt;=Inputs!$F$195,1,0)</f>
        <v/>
      </c>
      <c r="AJ41" s="10">
        <f>IF(AJ22&gt;=Inputs!$F$195,1,0)</f>
        <v/>
      </c>
      <c r="AK41" s="10">
        <f>IF(AK22&gt;=Inputs!$F$195,1,0)</f>
        <v/>
      </c>
      <c r="AL41" s="10">
        <f>IF(AL22&gt;=Inputs!$F$195,1,0)</f>
        <v/>
      </c>
      <c r="AM41" s="10">
        <f>IF(AM22&gt;=Inputs!$F$195,1,0)</f>
        <v/>
      </c>
      <c r="AN41" s="10">
        <f>IF(AN22&gt;=Inputs!$F$195,1,0)</f>
        <v/>
      </c>
      <c r="AO41" s="10">
        <f>IF(AO22&gt;=Inputs!$F$195,1,0)</f>
        <v/>
      </c>
      <c r="AP41" s="10">
        <f>IF(AP22&gt;=Inputs!$F$195,1,0)</f>
        <v/>
      </c>
      <c r="AQ41" s="10">
        <f>IF(AQ22&gt;=Inputs!$F$195,1,0)</f>
        <v/>
      </c>
      <c r="AR41" s="10">
        <f>IF(AR22&gt;=Inputs!$F$195,1,0)</f>
        <v/>
      </c>
      <c r="AS41" s="10">
        <f>IF(AS22&gt;=Inputs!$F$195,1,0)</f>
        <v/>
      </c>
      <c r="AT41" s="10">
        <f>IF(AT22&gt;=Inputs!$F$195,1,0)</f>
        <v/>
      </c>
      <c r="AU41" s="10">
        <f>IF(AU22&gt;=Inputs!$F$195,1,0)</f>
        <v/>
      </c>
      <c r="AV41" s="10">
        <f>IF(AV22&gt;=Inputs!$F$195,1,0)</f>
        <v/>
      </c>
      <c r="AW41" s="10">
        <f>IF(AW22&gt;=Inputs!$F$195,1,0)</f>
        <v/>
      </c>
      <c r="AX41" s="10">
        <f>IF(AX22&gt;=Inputs!$F$195,1,0)</f>
        <v/>
      </c>
      <c r="AY41" s="10">
        <f>IF(AY22&gt;=Inputs!$F$195,1,0)</f>
        <v/>
      </c>
      <c r="AZ41" s="10">
        <f>IF(AZ22&gt;=Inputs!$F$195,1,0)</f>
        <v/>
      </c>
      <c r="BA41" s="10">
        <f>IF(BA22&gt;=Inputs!$F$195,1,0)</f>
        <v/>
      </c>
      <c r="BB41" s="10">
        <f>IF(BB22&gt;=Inputs!$F$195,1,0)</f>
        <v/>
      </c>
      <c r="BC41" s="10">
        <f>IF(BC22&gt;=Inputs!$F$195,1,0)</f>
        <v/>
      </c>
      <c r="BD41" s="10">
        <f>IF(BD22&gt;=Inputs!$F$195,1,0)</f>
        <v/>
      </c>
      <c r="BE41" s="10">
        <f>IF(BE22&gt;=Inputs!$F$195,1,0)</f>
        <v/>
      </c>
      <c r="BF41" s="10">
        <f>IF(BF22&gt;=Inputs!$F$195,1,0)</f>
        <v/>
      </c>
      <c r="BG41" s="10">
        <f>IF(BG22&gt;=Inputs!$F$195,1,0)</f>
        <v/>
      </c>
      <c r="BH41" s="10">
        <f>IF(BH22&gt;=Inputs!$F$195,1,0)</f>
        <v/>
      </c>
      <c r="BI41" s="10">
        <f>IF(BI22&gt;=Inputs!$F$195,1,0)</f>
        <v/>
      </c>
      <c r="BJ41" s="10">
        <f>IF(BJ22&gt;=Inputs!$F$195,1,0)</f>
        <v/>
      </c>
      <c r="BK41" s="10">
        <f>IF(BK22&gt;=Inputs!$F$195,1,0)</f>
        <v/>
      </c>
      <c r="BL41" s="10">
        <f>IF(BL22&gt;=Inputs!$F$195,1,0)</f>
        <v/>
      </c>
      <c r="BM41" s="10">
        <f>IF(BM22&gt;=Inputs!$F$195,1,0)</f>
        <v/>
      </c>
      <c r="BN41" s="10">
        <f>IF(BN22&gt;=Inputs!$F$195,1,0)</f>
        <v/>
      </c>
    </row>
    <row r="42">
      <c r="D42" t="inlineStr">
        <is>
          <t>Flag_LDPrepayment</t>
        </is>
      </c>
      <c r="E42" t="inlineStr">
        <is>
          <t>flag</t>
        </is>
      </c>
      <c r="J42" s="10">
        <f>Inputs!$F$48*IF(J23=Inputs!$F$198,1,0)</f>
        <v/>
      </c>
      <c r="K42" s="10">
        <f>Inputs!$F$48*IF(K23=Inputs!$F$198,1,0)</f>
        <v/>
      </c>
      <c r="L42" s="10">
        <f>Inputs!$F$48*IF(L23=Inputs!$F$198,1,0)</f>
        <v/>
      </c>
      <c r="M42" s="10">
        <f>Inputs!$F$48*IF(M23=Inputs!$F$198,1,0)</f>
        <v/>
      </c>
      <c r="N42" s="10">
        <f>Inputs!$F$48*IF(N23=Inputs!$F$198,1,0)</f>
        <v/>
      </c>
      <c r="O42" s="10">
        <f>Inputs!$F$48*IF(O23=Inputs!$F$198,1,0)</f>
        <v/>
      </c>
      <c r="P42" s="10">
        <f>Inputs!$F$48*IF(P23=Inputs!$F$198,1,0)</f>
        <v/>
      </c>
      <c r="Q42" s="10">
        <f>Inputs!$F$48*IF(Q23=Inputs!$F$198,1,0)</f>
        <v/>
      </c>
      <c r="R42" s="10">
        <f>Inputs!$F$48*IF(R23=Inputs!$F$198,1,0)</f>
        <v/>
      </c>
      <c r="S42" s="10">
        <f>Inputs!$F$48*IF(S23=Inputs!$F$198,1,0)</f>
        <v/>
      </c>
      <c r="T42" s="10">
        <f>Inputs!$F$48*IF(T23=Inputs!$F$198,1,0)</f>
        <v/>
      </c>
      <c r="U42" s="10">
        <f>Inputs!$F$48*IF(U23=Inputs!$F$198,1,0)</f>
        <v/>
      </c>
      <c r="V42" s="10">
        <f>Inputs!$F$48*IF(V23=Inputs!$F$198,1,0)</f>
        <v/>
      </c>
      <c r="W42" s="10">
        <f>Inputs!$F$48*IF(W23=Inputs!$F$198,1,0)</f>
        <v/>
      </c>
      <c r="X42" s="10">
        <f>Inputs!$F$48*IF(X23=Inputs!$F$198,1,0)</f>
        <v/>
      </c>
      <c r="Y42" s="10">
        <f>Inputs!$F$48*IF(Y23=Inputs!$F$198,1,0)</f>
        <v/>
      </c>
      <c r="Z42" s="10">
        <f>Inputs!$F$48*IF(Z23=Inputs!$F$198,1,0)</f>
        <v/>
      </c>
      <c r="AA42" s="10">
        <f>Inputs!$F$48*IF(AA23=Inputs!$F$198,1,0)</f>
        <v/>
      </c>
      <c r="AB42" s="10">
        <f>Inputs!$F$48*IF(AB23=Inputs!$F$198,1,0)</f>
        <v/>
      </c>
      <c r="AC42" s="10">
        <f>Inputs!$F$48*IF(AC23=Inputs!$F$198,1,0)</f>
        <v/>
      </c>
      <c r="AD42" s="10">
        <f>Inputs!$F$48*IF(AD23=Inputs!$F$198,1,0)</f>
        <v/>
      </c>
      <c r="AE42" s="10">
        <f>Inputs!$F$48*IF(AE23=Inputs!$F$198,1,0)</f>
        <v/>
      </c>
      <c r="AF42" s="10">
        <f>Inputs!$F$48*IF(AF23=Inputs!$F$198,1,0)</f>
        <v/>
      </c>
      <c r="AG42" s="10">
        <f>Inputs!$F$48*IF(AG23=Inputs!$F$198,1,0)</f>
        <v/>
      </c>
      <c r="AH42" s="10">
        <f>Inputs!$F$48*IF(AH23=Inputs!$F$198,1,0)</f>
        <v/>
      </c>
      <c r="AI42" s="10">
        <f>Inputs!$F$48*IF(AI23=Inputs!$F$198,1,0)</f>
        <v/>
      </c>
      <c r="AJ42" s="10">
        <f>Inputs!$F$48*IF(AJ23=Inputs!$F$198,1,0)</f>
        <v/>
      </c>
      <c r="AK42" s="10">
        <f>Inputs!$F$48*IF(AK23=Inputs!$F$198,1,0)</f>
        <v/>
      </c>
      <c r="AL42" s="10">
        <f>Inputs!$F$48*IF(AL23=Inputs!$F$198,1,0)</f>
        <v/>
      </c>
      <c r="AM42" s="10">
        <f>Inputs!$F$48*IF(AM23=Inputs!$F$198,1,0)</f>
        <v/>
      </c>
      <c r="AN42" s="10">
        <f>Inputs!$F$48*IF(AN23=Inputs!$F$198,1,0)</f>
        <v/>
      </c>
      <c r="AO42" s="10">
        <f>Inputs!$F$48*IF(AO23=Inputs!$F$198,1,0)</f>
        <v/>
      </c>
      <c r="AP42" s="10">
        <f>Inputs!$F$48*IF(AP23=Inputs!$F$198,1,0)</f>
        <v/>
      </c>
      <c r="AQ42" s="10">
        <f>Inputs!$F$48*IF(AQ23=Inputs!$F$198,1,0)</f>
        <v/>
      </c>
      <c r="AR42" s="10">
        <f>Inputs!$F$48*IF(AR23=Inputs!$F$198,1,0)</f>
        <v/>
      </c>
      <c r="AS42" s="10">
        <f>Inputs!$F$48*IF(AS23=Inputs!$F$198,1,0)</f>
        <v/>
      </c>
      <c r="AT42" s="10">
        <f>Inputs!$F$48*IF(AT23=Inputs!$F$198,1,0)</f>
        <v/>
      </c>
      <c r="AU42" s="10">
        <f>Inputs!$F$48*IF(AU23=Inputs!$F$198,1,0)</f>
        <v/>
      </c>
      <c r="AV42" s="10">
        <f>Inputs!$F$48*IF(AV23=Inputs!$F$198,1,0)</f>
        <v/>
      </c>
      <c r="AW42" s="10">
        <f>Inputs!$F$48*IF(AW23=Inputs!$F$198,1,0)</f>
        <v/>
      </c>
      <c r="AX42" s="10">
        <f>Inputs!$F$48*IF(AX23=Inputs!$F$198,1,0)</f>
        <v/>
      </c>
      <c r="AY42" s="10">
        <f>Inputs!$F$48*IF(AY23=Inputs!$F$198,1,0)</f>
        <v/>
      </c>
      <c r="AZ42" s="10">
        <f>Inputs!$F$48*IF(AZ23=Inputs!$F$198,1,0)</f>
        <v/>
      </c>
      <c r="BA42" s="10">
        <f>Inputs!$F$48*IF(BA23=Inputs!$F$198,1,0)</f>
        <v/>
      </c>
      <c r="BB42" s="10">
        <f>Inputs!$F$48*IF(BB23=Inputs!$F$198,1,0)</f>
        <v/>
      </c>
      <c r="BC42" s="10">
        <f>Inputs!$F$48*IF(BC23=Inputs!$F$198,1,0)</f>
        <v/>
      </c>
      <c r="BD42" s="10">
        <f>Inputs!$F$48*IF(BD23=Inputs!$F$198,1,0)</f>
        <v/>
      </c>
      <c r="BE42" s="10">
        <f>Inputs!$F$48*IF(BE23=Inputs!$F$198,1,0)</f>
        <v/>
      </c>
      <c r="BF42" s="10">
        <f>Inputs!$F$48*IF(BF23=Inputs!$F$198,1,0)</f>
        <v/>
      </c>
      <c r="BG42" s="10">
        <f>Inputs!$F$48*IF(BG23=Inputs!$F$198,1,0)</f>
        <v/>
      </c>
      <c r="BH42" s="10">
        <f>Inputs!$F$48*IF(BH23=Inputs!$F$198,1,0)</f>
        <v/>
      </c>
      <c r="BI42" s="10">
        <f>Inputs!$F$48*IF(BI23=Inputs!$F$198,1,0)</f>
        <v/>
      </c>
      <c r="BJ42" s="10">
        <f>Inputs!$F$48*IF(BJ23=Inputs!$F$198,1,0)</f>
        <v/>
      </c>
      <c r="BK42" s="10">
        <f>Inputs!$F$48*IF(BK23=Inputs!$F$198,1,0)</f>
        <v/>
      </c>
      <c r="BL42" s="10">
        <f>Inputs!$F$48*IF(BL23=Inputs!$F$198,1,0)</f>
        <v/>
      </c>
      <c r="BM42" s="10">
        <f>Inputs!$F$48*IF(BM23=Inputs!$F$198,1,0)</f>
        <v/>
      </c>
      <c r="BN42" s="10">
        <f>Inputs!$F$48*IF(BN23=Inputs!$F$198,1,0)</f>
        <v/>
      </c>
    </row>
    <row r="43">
      <c r="D43" t="inlineStr">
        <is>
          <t>Flag_WaiverDeferral</t>
        </is>
      </c>
      <c r="E43" t="inlineStr">
        <is>
          <t>flag</t>
        </is>
      </c>
      <c r="J43" s="10">
        <f>Inputs!$F$49*IF(J23=Inputs!$F$200,1,0)</f>
        <v/>
      </c>
      <c r="K43" s="10">
        <f>Inputs!$F$49*IF(K23=Inputs!$F$200,1,0)</f>
        <v/>
      </c>
      <c r="L43" s="10">
        <f>Inputs!$F$49*IF(L23=Inputs!$F$200,1,0)</f>
        <v/>
      </c>
      <c r="M43" s="10">
        <f>Inputs!$F$49*IF(M23=Inputs!$F$200,1,0)</f>
        <v/>
      </c>
      <c r="N43" s="10">
        <f>Inputs!$F$49*IF(N23=Inputs!$F$200,1,0)</f>
        <v/>
      </c>
      <c r="O43" s="10">
        <f>Inputs!$F$49*IF(O23=Inputs!$F$200,1,0)</f>
        <v/>
      </c>
      <c r="P43" s="10">
        <f>Inputs!$F$49*IF(P23=Inputs!$F$200,1,0)</f>
        <v/>
      </c>
      <c r="Q43" s="10">
        <f>Inputs!$F$49*IF(Q23=Inputs!$F$200,1,0)</f>
        <v/>
      </c>
      <c r="R43" s="10">
        <f>Inputs!$F$49*IF(R23=Inputs!$F$200,1,0)</f>
        <v/>
      </c>
      <c r="S43" s="10">
        <f>Inputs!$F$49*IF(S23=Inputs!$F$200,1,0)</f>
        <v/>
      </c>
      <c r="T43" s="10">
        <f>Inputs!$F$49*IF(T23=Inputs!$F$200,1,0)</f>
        <v/>
      </c>
      <c r="U43" s="10">
        <f>Inputs!$F$49*IF(U23=Inputs!$F$200,1,0)</f>
        <v/>
      </c>
      <c r="V43" s="10">
        <f>Inputs!$F$49*IF(V23=Inputs!$F$200,1,0)</f>
        <v/>
      </c>
      <c r="W43" s="10">
        <f>Inputs!$F$49*IF(W23=Inputs!$F$200,1,0)</f>
        <v/>
      </c>
      <c r="X43" s="10">
        <f>Inputs!$F$49*IF(X23=Inputs!$F$200,1,0)</f>
        <v/>
      </c>
      <c r="Y43" s="10">
        <f>Inputs!$F$49*IF(Y23=Inputs!$F$200,1,0)</f>
        <v/>
      </c>
      <c r="Z43" s="10">
        <f>Inputs!$F$49*IF(Z23=Inputs!$F$200,1,0)</f>
        <v/>
      </c>
      <c r="AA43" s="10">
        <f>Inputs!$F$49*IF(AA23=Inputs!$F$200,1,0)</f>
        <v/>
      </c>
      <c r="AB43" s="10">
        <f>Inputs!$F$49*IF(AB23=Inputs!$F$200,1,0)</f>
        <v/>
      </c>
      <c r="AC43" s="10">
        <f>Inputs!$F$49*IF(AC23=Inputs!$F$200,1,0)</f>
        <v/>
      </c>
      <c r="AD43" s="10">
        <f>Inputs!$F$49*IF(AD23=Inputs!$F$200,1,0)</f>
        <v/>
      </c>
      <c r="AE43" s="10">
        <f>Inputs!$F$49*IF(AE23=Inputs!$F$200,1,0)</f>
        <v/>
      </c>
      <c r="AF43" s="10">
        <f>Inputs!$F$49*IF(AF23=Inputs!$F$200,1,0)</f>
        <v/>
      </c>
      <c r="AG43" s="10">
        <f>Inputs!$F$49*IF(AG23=Inputs!$F$200,1,0)</f>
        <v/>
      </c>
      <c r="AH43" s="10">
        <f>Inputs!$F$49*IF(AH23=Inputs!$F$200,1,0)</f>
        <v/>
      </c>
      <c r="AI43" s="10">
        <f>Inputs!$F$49*IF(AI23=Inputs!$F$200,1,0)</f>
        <v/>
      </c>
      <c r="AJ43" s="10">
        <f>Inputs!$F$49*IF(AJ23=Inputs!$F$200,1,0)</f>
        <v/>
      </c>
      <c r="AK43" s="10">
        <f>Inputs!$F$49*IF(AK23=Inputs!$F$200,1,0)</f>
        <v/>
      </c>
      <c r="AL43" s="10">
        <f>Inputs!$F$49*IF(AL23=Inputs!$F$200,1,0)</f>
        <v/>
      </c>
      <c r="AM43" s="10">
        <f>Inputs!$F$49*IF(AM23=Inputs!$F$200,1,0)</f>
        <v/>
      </c>
      <c r="AN43" s="10">
        <f>Inputs!$F$49*IF(AN23=Inputs!$F$200,1,0)</f>
        <v/>
      </c>
      <c r="AO43" s="10">
        <f>Inputs!$F$49*IF(AO23=Inputs!$F$200,1,0)</f>
        <v/>
      </c>
      <c r="AP43" s="10">
        <f>Inputs!$F$49*IF(AP23=Inputs!$F$200,1,0)</f>
        <v/>
      </c>
      <c r="AQ43" s="10">
        <f>Inputs!$F$49*IF(AQ23=Inputs!$F$200,1,0)</f>
        <v/>
      </c>
      <c r="AR43" s="10">
        <f>Inputs!$F$49*IF(AR23=Inputs!$F$200,1,0)</f>
        <v/>
      </c>
      <c r="AS43" s="10">
        <f>Inputs!$F$49*IF(AS23=Inputs!$F$200,1,0)</f>
        <v/>
      </c>
      <c r="AT43" s="10">
        <f>Inputs!$F$49*IF(AT23=Inputs!$F$200,1,0)</f>
        <v/>
      </c>
      <c r="AU43" s="10">
        <f>Inputs!$F$49*IF(AU23=Inputs!$F$200,1,0)</f>
        <v/>
      </c>
      <c r="AV43" s="10">
        <f>Inputs!$F$49*IF(AV23=Inputs!$F$200,1,0)</f>
        <v/>
      </c>
      <c r="AW43" s="10">
        <f>Inputs!$F$49*IF(AW23=Inputs!$F$200,1,0)</f>
        <v/>
      </c>
      <c r="AX43" s="10">
        <f>Inputs!$F$49*IF(AX23=Inputs!$F$200,1,0)</f>
        <v/>
      </c>
      <c r="AY43" s="10">
        <f>Inputs!$F$49*IF(AY23=Inputs!$F$200,1,0)</f>
        <v/>
      </c>
      <c r="AZ43" s="10">
        <f>Inputs!$F$49*IF(AZ23=Inputs!$F$200,1,0)</f>
        <v/>
      </c>
      <c r="BA43" s="10">
        <f>Inputs!$F$49*IF(BA23=Inputs!$F$200,1,0)</f>
        <v/>
      </c>
      <c r="BB43" s="10">
        <f>Inputs!$F$49*IF(BB23=Inputs!$F$200,1,0)</f>
        <v/>
      </c>
      <c r="BC43" s="10">
        <f>Inputs!$F$49*IF(BC23=Inputs!$F$200,1,0)</f>
        <v/>
      </c>
      <c r="BD43" s="10">
        <f>Inputs!$F$49*IF(BD23=Inputs!$F$200,1,0)</f>
        <v/>
      </c>
      <c r="BE43" s="10">
        <f>Inputs!$F$49*IF(BE23=Inputs!$F$200,1,0)</f>
        <v/>
      </c>
      <c r="BF43" s="10">
        <f>Inputs!$F$49*IF(BF23=Inputs!$F$200,1,0)</f>
        <v/>
      </c>
      <c r="BG43" s="10">
        <f>Inputs!$F$49*IF(BG23=Inputs!$F$200,1,0)</f>
        <v/>
      </c>
      <c r="BH43" s="10">
        <f>Inputs!$F$49*IF(BH23=Inputs!$F$200,1,0)</f>
        <v/>
      </c>
      <c r="BI43" s="10">
        <f>Inputs!$F$49*IF(BI23=Inputs!$F$200,1,0)</f>
        <v/>
      </c>
      <c r="BJ43" s="10">
        <f>Inputs!$F$49*IF(BJ23=Inputs!$F$200,1,0)</f>
        <v/>
      </c>
      <c r="BK43" s="10">
        <f>Inputs!$F$49*IF(BK23=Inputs!$F$200,1,0)</f>
        <v/>
      </c>
      <c r="BL43" s="10">
        <f>Inputs!$F$49*IF(BL23=Inputs!$F$200,1,0)</f>
        <v/>
      </c>
      <c r="BM43" s="10">
        <f>Inputs!$F$49*IF(BM23=Inputs!$F$200,1,0)</f>
        <v/>
      </c>
      <c r="BN43" s="10">
        <f>Inputs!$F$49*IF(BN23=Inputs!$F$200,1,0)</f>
        <v/>
      </c>
    </row>
    <row r="44">
      <c r="D44" t="inlineStr">
        <is>
          <t>Flag_MarginUplift</t>
        </is>
      </c>
      <c r="E44" t="inlineStr">
        <is>
          <t>flag</t>
        </is>
      </c>
      <c r="J44" s="10">
        <f>Inputs!$F$49*IF(AND(J22&gt;=Inputs!$F$201,J23&lt;=Inputs!$F$202),1,0)</f>
        <v/>
      </c>
      <c r="K44" s="10">
        <f>Inputs!$F$49*IF(AND(K22&gt;=Inputs!$F$201,K23&lt;=Inputs!$F$202),1,0)</f>
        <v/>
      </c>
      <c r="L44" s="10">
        <f>Inputs!$F$49*IF(AND(L22&gt;=Inputs!$F$201,L23&lt;=Inputs!$F$202),1,0)</f>
        <v/>
      </c>
      <c r="M44" s="10">
        <f>Inputs!$F$49*IF(AND(M22&gt;=Inputs!$F$201,M23&lt;=Inputs!$F$202),1,0)</f>
        <v/>
      </c>
      <c r="N44" s="10">
        <f>Inputs!$F$49*IF(AND(N22&gt;=Inputs!$F$201,N23&lt;=Inputs!$F$202),1,0)</f>
        <v/>
      </c>
      <c r="O44" s="10">
        <f>Inputs!$F$49*IF(AND(O22&gt;=Inputs!$F$201,O23&lt;=Inputs!$F$202),1,0)</f>
        <v/>
      </c>
      <c r="P44" s="10">
        <f>Inputs!$F$49*IF(AND(P22&gt;=Inputs!$F$201,P23&lt;=Inputs!$F$202),1,0)</f>
        <v/>
      </c>
      <c r="Q44" s="10">
        <f>Inputs!$F$49*IF(AND(Q22&gt;=Inputs!$F$201,Q23&lt;=Inputs!$F$202),1,0)</f>
        <v/>
      </c>
      <c r="R44" s="10">
        <f>Inputs!$F$49*IF(AND(R22&gt;=Inputs!$F$201,R23&lt;=Inputs!$F$202),1,0)</f>
        <v/>
      </c>
      <c r="S44" s="10">
        <f>Inputs!$F$49*IF(AND(S22&gt;=Inputs!$F$201,S23&lt;=Inputs!$F$202),1,0)</f>
        <v/>
      </c>
      <c r="T44" s="10">
        <f>Inputs!$F$49*IF(AND(T22&gt;=Inputs!$F$201,T23&lt;=Inputs!$F$202),1,0)</f>
        <v/>
      </c>
      <c r="U44" s="10">
        <f>Inputs!$F$49*IF(AND(U22&gt;=Inputs!$F$201,U23&lt;=Inputs!$F$202),1,0)</f>
        <v/>
      </c>
      <c r="V44" s="10">
        <f>Inputs!$F$49*IF(AND(V22&gt;=Inputs!$F$201,V23&lt;=Inputs!$F$202),1,0)</f>
        <v/>
      </c>
      <c r="W44" s="10">
        <f>Inputs!$F$49*IF(AND(W22&gt;=Inputs!$F$201,W23&lt;=Inputs!$F$202),1,0)</f>
        <v/>
      </c>
      <c r="X44" s="10">
        <f>Inputs!$F$49*IF(AND(X22&gt;=Inputs!$F$201,X23&lt;=Inputs!$F$202),1,0)</f>
        <v/>
      </c>
      <c r="Y44" s="10">
        <f>Inputs!$F$49*IF(AND(Y22&gt;=Inputs!$F$201,Y23&lt;=Inputs!$F$202),1,0)</f>
        <v/>
      </c>
      <c r="Z44" s="10">
        <f>Inputs!$F$49*IF(AND(Z22&gt;=Inputs!$F$201,Z23&lt;=Inputs!$F$202),1,0)</f>
        <v/>
      </c>
      <c r="AA44" s="10">
        <f>Inputs!$F$49*IF(AND(AA22&gt;=Inputs!$F$201,AA23&lt;=Inputs!$F$202),1,0)</f>
        <v/>
      </c>
      <c r="AB44" s="10">
        <f>Inputs!$F$49*IF(AND(AB22&gt;=Inputs!$F$201,AB23&lt;=Inputs!$F$202),1,0)</f>
        <v/>
      </c>
      <c r="AC44" s="10">
        <f>Inputs!$F$49*IF(AND(AC22&gt;=Inputs!$F$201,AC23&lt;=Inputs!$F$202),1,0)</f>
        <v/>
      </c>
      <c r="AD44" s="10">
        <f>Inputs!$F$49*IF(AND(AD22&gt;=Inputs!$F$201,AD23&lt;=Inputs!$F$202),1,0)</f>
        <v/>
      </c>
      <c r="AE44" s="10">
        <f>Inputs!$F$49*IF(AND(AE22&gt;=Inputs!$F$201,AE23&lt;=Inputs!$F$202),1,0)</f>
        <v/>
      </c>
      <c r="AF44" s="10">
        <f>Inputs!$F$49*IF(AND(AF22&gt;=Inputs!$F$201,AF23&lt;=Inputs!$F$202),1,0)</f>
        <v/>
      </c>
      <c r="AG44" s="10">
        <f>Inputs!$F$49*IF(AND(AG22&gt;=Inputs!$F$201,AG23&lt;=Inputs!$F$202),1,0)</f>
        <v/>
      </c>
      <c r="AH44" s="10">
        <f>Inputs!$F$49*IF(AND(AH22&gt;=Inputs!$F$201,AH23&lt;=Inputs!$F$202),1,0)</f>
        <v/>
      </c>
      <c r="AI44" s="10">
        <f>Inputs!$F$49*IF(AND(AI22&gt;=Inputs!$F$201,AI23&lt;=Inputs!$F$202),1,0)</f>
        <v/>
      </c>
      <c r="AJ44" s="10">
        <f>Inputs!$F$49*IF(AND(AJ22&gt;=Inputs!$F$201,AJ23&lt;=Inputs!$F$202),1,0)</f>
        <v/>
      </c>
      <c r="AK44" s="10">
        <f>Inputs!$F$49*IF(AND(AK22&gt;=Inputs!$F$201,AK23&lt;=Inputs!$F$202),1,0)</f>
        <v/>
      </c>
      <c r="AL44" s="10">
        <f>Inputs!$F$49*IF(AND(AL22&gt;=Inputs!$F$201,AL23&lt;=Inputs!$F$202),1,0)</f>
        <v/>
      </c>
      <c r="AM44" s="10">
        <f>Inputs!$F$49*IF(AND(AM22&gt;=Inputs!$F$201,AM23&lt;=Inputs!$F$202),1,0)</f>
        <v/>
      </c>
      <c r="AN44" s="10">
        <f>Inputs!$F$49*IF(AND(AN22&gt;=Inputs!$F$201,AN23&lt;=Inputs!$F$202),1,0)</f>
        <v/>
      </c>
      <c r="AO44" s="10">
        <f>Inputs!$F$49*IF(AND(AO22&gt;=Inputs!$F$201,AO23&lt;=Inputs!$F$202),1,0)</f>
        <v/>
      </c>
      <c r="AP44" s="10">
        <f>Inputs!$F$49*IF(AND(AP22&gt;=Inputs!$F$201,AP23&lt;=Inputs!$F$202),1,0)</f>
        <v/>
      </c>
      <c r="AQ44" s="10">
        <f>Inputs!$F$49*IF(AND(AQ22&gt;=Inputs!$F$201,AQ23&lt;=Inputs!$F$202),1,0)</f>
        <v/>
      </c>
      <c r="AR44" s="10">
        <f>Inputs!$F$49*IF(AND(AR22&gt;=Inputs!$F$201,AR23&lt;=Inputs!$F$202),1,0)</f>
        <v/>
      </c>
      <c r="AS44" s="10">
        <f>Inputs!$F$49*IF(AND(AS22&gt;=Inputs!$F$201,AS23&lt;=Inputs!$F$202),1,0)</f>
        <v/>
      </c>
      <c r="AT44" s="10">
        <f>Inputs!$F$49*IF(AND(AT22&gt;=Inputs!$F$201,AT23&lt;=Inputs!$F$202),1,0)</f>
        <v/>
      </c>
      <c r="AU44" s="10">
        <f>Inputs!$F$49*IF(AND(AU22&gt;=Inputs!$F$201,AU23&lt;=Inputs!$F$202),1,0)</f>
        <v/>
      </c>
      <c r="AV44" s="10">
        <f>Inputs!$F$49*IF(AND(AV22&gt;=Inputs!$F$201,AV23&lt;=Inputs!$F$202),1,0)</f>
        <v/>
      </c>
      <c r="AW44" s="10">
        <f>Inputs!$F$49*IF(AND(AW22&gt;=Inputs!$F$201,AW23&lt;=Inputs!$F$202),1,0)</f>
        <v/>
      </c>
      <c r="AX44" s="10">
        <f>Inputs!$F$49*IF(AND(AX22&gt;=Inputs!$F$201,AX23&lt;=Inputs!$F$202),1,0)</f>
        <v/>
      </c>
      <c r="AY44" s="10">
        <f>Inputs!$F$49*IF(AND(AY22&gt;=Inputs!$F$201,AY23&lt;=Inputs!$F$202),1,0)</f>
        <v/>
      </c>
      <c r="AZ44" s="10">
        <f>Inputs!$F$49*IF(AND(AZ22&gt;=Inputs!$F$201,AZ23&lt;=Inputs!$F$202),1,0)</f>
        <v/>
      </c>
      <c r="BA44" s="10">
        <f>Inputs!$F$49*IF(AND(BA22&gt;=Inputs!$F$201,BA23&lt;=Inputs!$F$202),1,0)</f>
        <v/>
      </c>
      <c r="BB44" s="10">
        <f>Inputs!$F$49*IF(AND(BB22&gt;=Inputs!$F$201,BB23&lt;=Inputs!$F$202),1,0)</f>
        <v/>
      </c>
      <c r="BC44" s="10">
        <f>Inputs!$F$49*IF(AND(BC22&gt;=Inputs!$F$201,BC23&lt;=Inputs!$F$202),1,0)</f>
        <v/>
      </c>
      <c r="BD44" s="10">
        <f>Inputs!$F$49*IF(AND(BD22&gt;=Inputs!$F$201,BD23&lt;=Inputs!$F$202),1,0)</f>
        <v/>
      </c>
      <c r="BE44" s="10">
        <f>Inputs!$F$49*IF(AND(BE22&gt;=Inputs!$F$201,BE23&lt;=Inputs!$F$202),1,0)</f>
        <v/>
      </c>
      <c r="BF44" s="10">
        <f>Inputs!$F$49*IF(AND(BF22&gt;=Inputs!$F$201,BF23&lt;=Inputs!$F$202),1,0)</f>
        <v/>
      </c>
      <c r="BG44" s="10">
        <f>Inputs!$F$49*IF(AND(BG22&gt;=Inputs!$F$201,BG23&lt;=Inputs!$F$202),1,0)</f>
        <v/>
      </c>
      <c r="BH44" s="10">
        <f>Inputs!$F$49*IF(AND(BH22&gt;=Inputs!$F$201,BH23&lt;=Inputs!$F$202),1,0)</f>
        <v/>
      </c>
      <c r="BI44" s="10">
        <f>Inputs!$F$49*IF(AND(BI22&gt;=Inputs!$F$201,BI23&lt;=Inputs!$F$202),1,0)</f>
        <v/>
      </c>
      <c r="BJ44" s="10">
        <f>Inputs!$F$49*IF(AND(BJ22&gt;=Inputs!$F$201,BJ23&lt;=Inputs!$F$202),1,0)</f>
        <v/>
      </c>
      <c r="BK44" s="10">
        <f>Inputs!$F$49*IF(AND(BK22&gt;=Inputs!$F$201,BK23&lt;=Inputs!$F$202),1,0)</f>
        <v/>
      </c>
      <c r="BL44" s="10">
        <f>Inputs!$F$49*IF(AND(BL22&gt;=Inputs!$F$201,BL23&lt;=Inputs!$F$202),1,0)</f>
        <v/>
      </c>
      <c r="BM44" s="10">
        <f>Inputs!$F$49*IF(AND(BM22&gt;=Inputs!$F$201,BM23&lt;=Inputs!$F$202),1,0)</f>
        <v/>
      </c>
      <c r="BN44" s="10">
        <f>Inputs!$F$49*IF(AND(BN22&gt;=Inputs!$F$201,BN23&lt;=Inputs!$F$202),1,0)</f>
        <v/>
      </c>
    </row>
    <row r="45">
      <c r="D45" t="inlineStr">
        <is>
          <t>Flag_DeferredRepayment</t>
        </is>
      </c>
      <c r="E45" t="inlineStr">
        <is>
          <t>flag</t>
        </is>
      </c>
      <c r="J45" s="10">
        <f>Inputs!$F$49*IF(AND(J23&gt;=Inputs!$F$203,J23&lt;=Inputs!$F$204),1,0)</f>
        <v/>
      </c>
      <c r="K45" s="10">
        <f>Inputs!$F$49*IF(AND(K23&gt;=Inputs!$F$203,K23&lt;=Inputs!$F$204),1,0)</f>
        <v/>
      </c>
      <c r="L45" s="10">
        <f>Inputs!$F$49*IF(AND(L23&gt;=Inputs!$F$203,L23&lt;=Inputs!$F$204),1,0)</f>
        <v/>
      </c>
      <c r="M45" s="10">
        <f>Inputs!$F$49*IF(AND(M23&gt;=Inputs!$F$203,M23&lt;=Inputs!$F$204),1,0)</f>
        <v/>
      </c>
      <c r="N45" s="10">
        <f>Inputs!$F$49*IF(AND(N23&gt;=Inputs!$F$203,N23&lt;=Inputs!$F$204),1,0)</f>
        <v/>
      </c>
      <c r="O45" s="10">
        <f>Inputs!$F$49*IF(AND(O23&gt;=Inputs!$F$203,O23&lt;=Inputs!$F$204),1,0)</f>
        <v/>
      </c>
      <c r="P45" s="10">
        <f>Inputs!$F$49*IF(AND(P23&gt;=Inputs!$F$203,P23&lt;=Inputs!$F$204),1,0)</f>
        <v/>
      </c>
      <c r="Q45" s="10">
        <f>Inputs!$F$49*IF(AND(Q23&gt;=Inputs!$F$203,Q23&lt;=Inputs!$F$204),1,0)</f>
        <v/>
      </c>
      <c r="R45" s="10">
        <f>Inputs!$F$49*IF(AND(R23&gt;=Inputs!$F$203,R23&lt;=Inputs!$F$204),1,0)</f>
        <v/>
      </c>
      <c r="S45" s="10">
        <f>Inputs!$F$49*IF(AND(S23&gt;=Inputs!$F$203,S23&lt;=Inputs!$F$204),1,0)</f>
        <v/>
      </c>
      <c r="T45" s="10">
        <f>Inputs!$F$49*IF(AND(T23&gt;=Inputs!$F$203,T23&lt;=Inputs!$F$204),1,0)</f>
        <v/>
      </c>
      <c r="U45" s="10">
        <f>Inputs!$F$49*IF(AND(U23&gt;=Inputs!$F$203,U23&lt;=Inputs!$F$204),1,0)</f>
        <v/>
      </c>
      <c r="V45" s="10">
        <f>Inputs!$F$49*IF(AND(V23&gt;=Inputs!$F$203,V23&lt;=Inputs!$F$204),1,0)</f>
        <v/>
      </c>
      <c r="W45" s="10">
        <f>Inputs!$F$49*IF(AND(W23&gt;=Inputs!$F$203,W23&lt;=Inputs!$F$204),1,0)</f>
        <v/>
      </c>
      <c r="X45" s="10">
        <f>Inputs!$F$49*IF(AND(X23&gt;=Inputs!$F$203,X23&lt;=Inputs!$F$204),1,0)</f>
        <v/>
      </c>
      <c r="Y45" s="10">
        <f>Inputs!$F$49*IF(AND(Y23&gt;=Inputs!$F$203,Y23&lt;=Inputs!$F$204),1,0)</f>
        <v/>
      </c>
      <c r="Z45" s="10">
        <f>Inputs!$F$49*IF(AND(Z23&gt;=Inputs!$F$203,Z23&lt;=Inputs!$F$204),1,0)</f>
        <v/>
      </c>
      <c r="AA45" s="10">
        <f>Inputs!$F$49*IF(AND(AA23&gt;=Inputs!$F$203,AA23&lt;=Inputs!$F$204),1,0)</f>
        <v/>
      </c>
      <c r="AB45" s="10">
        <f>Inputs!$F$49*IF(AND(AB23&gt;=Inputs!$F$203,AB23&lt;=Inputs!$F$204),1,0)</f>
        <v/>
      </c>
      <c r="AC45" s="10">
        <f>Inputs!$F$49*IF(AND(AC23&gt;=Inputs!$F$203,AC23&lt;=Inputs!$F$204),1,0)</f>
        <v/>
      </c>
      <c r="AD45" s="10">
        <f>Inputs!$F$49*IF(AND(AD23&gt;=Inputs!$F$203,AD23&lt;=Inputs!$F$204),1,0)</f>
        <v/>
      </c>
      <c r="AE45" s="10">
        <f>Inputs!$F$49*IF(AND(AE23&gt;=Inputs!$F$203,AE23&lt;=Inputs!$F$204),1,0)</f>
        <v/>
      </c>
      <c r="AF45" s="10">
        <f>Inputs!$F$49*IF(AND(AF23&gt;=Inputs!$F$203,AF23&lt;=Inputs!$F$204),1,0)</f>
        <v/>
      </c>
      <c r="AG45" s="10">
        <f>Inputs!$F$49*IF(AND(AG23&gt;=Inputs!$F$203,AG23&lt;=Inputs!$F$204),1,0)</f>
        <v/>
      </c>
      <c r="AH45" s="10">
        <f>Inputs!$F$49*IF(AND(AH23&gt;=Inputs!$F$203,AH23&lt;=Inputs!$F$204),1,0)</f>
        <v/>
      </c>
      <c r="AI45" s="10">
        <f>Inputs!$F$49*IF(AND(AI23&gt;=Inputs!$F$203,AI23&lt;=Inputs!$F$204),1,0)</f>
        <v/>
      </c>
      <c r="AJ45" s="10">
        <f>Inputs!$F$49*IF(AND(AJ23&gt;=Inputs!$F$203,AJ23&lt;=Inputs!$F$204),1,0)</f>
        <v/>
      </c>
      <c r="AK45" s="10">
        <f>Inputs!$F$49*IF(AND(AK23&gt;=Inputs!$F$203,AK23&lt;=Inputs!$F$204),1,0)</f>
        <v/>
      </c>
      <c r="AL45" s="10">
        <f>Inputs!$F$49*IF(AND(AL23&gt;=Inputs!$F$203,AL23&lt;=Inputs!$F$204),1,0)</f>
        <v/>
      </c>
      <c r="AM45" s="10">
        <f>Inputs!$F$49*IF(AND(AM23&gt;=Inputs!$F$203,AM23&lt;=Inputs!$F$204),1,0)</f>
        <v/>
      </c>
      <c r="AN45" s="10">
        <f>Inputs!$F$49*IF(AND(AN23&gt;=Inputs!$F$203,AN23&lt;=Inputs!$F$204),1,0)</f>
        <v/>
      </c>
      <c r="AO45" s="10">
        <f>Inputs!$F$49*IF(AND(AO23&gt;=Inputs!$F$203,AO23&lt;=Inputs!$F$204),1,0)</f>
        <v/>
      </c>
      <c r="AP45" s="10">
        <f>Inputs!$F$49*IF(AND(AP23&gt;=Inputs!$F$203,AP23&lt;=Inputs!$F$204),1,0)</f>
        <v/>
      </c>
      <c r="AQ45" s="10">
        <f>Inputs!$F$49*IF(AND(AQ23&gt;=Inputs!$F$203,AQ23&lt;=Inputs!$F$204),1,0)</f>
        <v/>
      </c>
      <c r="AR45" s="10">
        <f>Inputs!$F$49*IF(AND(AR23&gt;=Inputs!$F$203,AR23&lt;=Inputs!$F$204),1,0)</f>
        <v/>
      </c>
      <c r="AS45" s="10">
        <f>Inputs!$F$49*IF(AND(AS23&gt;=Inputs!$F$203,AS23&lt;=Inputs!$F$204),1,0)</f>
        <v/>
      </c>
      <c r="AT45" s="10">
        <f>Inputs!$F$49*IF(AND(AT23&gt;=Inputs!$F$203,AT23&lt;=Inputs!$F$204),1,0)</f>
        <v/>
      </c>
      <c r="AU45" s="10">
        <f>Inputs!$F$49*IF(AND(AU23&gt;=Inputs!$F$203,AU23&lt;=Inputs!$F$204),1,0)</f>
        <v/>
      </c>
      <c r="AV45" s="10">
        <f>Inputs!$F$49*IF(AND(AV23&gt;=Inputs!$F$203,AV23&lt;=Inputs!$F$204),1,0)</f>
        <v/>
      </c>
      <c r="AW45" s="10">
        <f>Inputs!$F$49*IF(AND(AW23&gt;=Inputs!$F$203,AW23&lt;=Inputs!$F$204),1,0)</f>
        <v/>
      </c>
      <c r="AX45" s="10">
        <f>Inputs!$F$49*IF(AND(AX23&gt;=Inputs!$F$203,AX23&lt;=Inputs!$F$204),1,0)</f>
        <v/>
      </c>
      <c r="AY45" s="10">
        <f>Inputs!$F$49*IF(AND(AY23&gt;=Inputs!$F$203,AY23&lt;=Inputs!$F$204),1,0)</f>
        <v/>
      </c>
      <c r="AZ45" s="10">
        <f>Inputs!$F$49*IF(AND(AZ23&gt;=Inputs!$F$203,AZ23&lt;=Inputs!$F$204),1,0)</f>
        <v/>
      </c>
      <c r="BA45" s="10">
        <f>Inputs!$F$49*IF(AND(BA23&gt;=Inputs!$F$203,BA23&lt;=Inputs!$F$204),1,0)</f>
        <v/>
      </c>
      <c r="BB45" s="10">
        <f>Inputs!$F$49*IF(AND(BB23&gt;=Inputs!$F$203,BB23&lt;=Inputs!$F$204),1,0)</f>
        <v/>
      </c>
      <c r="BC45" s="10">
        <f>Inputs!$F$49*IF(AND(BC23&gt;=Inputs!$F$203,BC23&lt;=Inputs!$F$204),1,0)</f>
        <v/>
      </c>
      <c r="BD45" s="10">
        <f>Inputs!$F$49*IF(AND(BD23&gt;=Inputs!$F$203,BD23&lt;=Inputs!$F$204),1,0)</f>
        <v/>
      </c>
      <c r="BE45" s="10">
        <f>Inputs!$F$49*IF(AND(BE23&gt;=Inputs!$F$203,BE23&lt;=Inputs!$F$204),1,0)</f>
        <v/>
      </c>
      <c r="BF45" s="10">
        <f>Inputs!$F$49*IF(AND(BF23&gt;=Inputs!$F$203,BF23&lt;=Inputs!$F$204),1,0)</f>
        <v/>
      </c>
      <c r="BG45" s="10">
        <f>Inputs!$F$49*IF(AND(BG23&gt;=Inputs!$F$203,BG23&lt;=Inputs!$F$204),1,0)</f>
        <v/>
      </c>
      <c r="BH45" s="10">
        <f>Inputs!$F$49*IF(AND(BH23&gt;=Inputs!$F$203,BH23&lt;=Inputs!$F$204),1,0)</f>
        <v/>
      </c>
      <c r="BI45" s="10">
        <f>Inputs!$F$49*IF(AND(BI23&gt;=Inputs!$F$203,BI23&lt;=Inputs!$F$204),1,0)</f>
        <v/>
      </c>
      <c r="BJ45" s="10">
        <f>Inputs!$F$49*IF(AND(BJ23&gt;=Inputs!$F$203,BJ23&lt;=Inputs!$F$204),1,0)</f>
        <v/>
      </c>
      <c r="BK45" s="10">
        <f>Inputs!$F$49*IF(AND(BK23&gt;=Inputs!$F$203,BK23&lt;=Inputs!$F$204),1,0)</f>
        <v/>
      </c>
      <c r="BL45" s="10">
        <f>Inputs!$F$49*IF(AND(BL23&gt;=Inputs!$F$203,BL23&lt;=Inputs!$F$204),1,0)</f>
        <v/>
      </c>
      <c r="BM45" s="10">
        <f>Inputs!$F$49*IF(AND(BM23&gt;=Inputs!$F$203,BM23&lt;=Inputs!$F$204),1,0)</f>
        <v/>
      </c>
      <c r="BN45" s="10">
        <f>Inputs!$F$49*IF(AND(BN23&gt;=Inputs!$F$203,BN23&lt;=Inputs!$F$204),1,0)</f>
        <v/>
      </c>
    </row>
    <row r="46">
      <c r="D46" t="inlineStr">
        <is>
          <t>Deferred repayments remaining (this and later periods)</t>
        </is>
      </c>
      <c r="E46" t="inlineStr">
        <is>
          <t>count</t>
        </is>
      </c>
      <c r="J46" s="10">
        <f>SUM(J45:BN45)</f>
        <v/>
      </c>
      <c r="K46" s="10">
        <f>SUM(K45:BN45)</f>
        <v/>
      </c>
      <c r="L46" s="10">
        <f>SUM(L45:BN45)</f>
        <v/>
      </c>
      <c r="M46" s="10">
        <f>SUM(M45:BN45)</f>
        <v/>
      </c>
      <c r="N46" s="10">
        <f>SUM(N45:BN45)</f>
        <v/>
      </c>
      <c r="O46" s="10">
        <f>SUM(O45:BN45)</f>
        <v/>
      </c>
      <c r="P46" s="10">
        <f>SUM(P45:BN45)</f>
        <v/>
      </c>
      <c r="Q46" s="10">
        <f>SUM(Q45:BN45)</f>
        <v/>
      </c>
      <c r="R46" s="10">
        <f>SUM(R45:BN45)</f>
        <v/>
      </c>
      <c r="S46" s="10">
        <f>SUM(S45:BN45)</f>
        <v/>
      </c>
      <c r="T46" s="10">
        <f>SUM(T45:BN45)</f>
        <v/>
      </c>
      <c r="U46" s="10">
        <f>SUM(U45:BN45)</f>
        <v/>
      </c>
      <c r="V46" s="10">
        <f>SUM(V45:BN45)</f>
        <v/>
      </c>
      <c r="W46" s="10">
        <f>SUM(W45:BN45)</f>
        <v/>
      </c>
      <c r="X46" s="10">
        <f>SUM(X45:BN45)</f>
        <v/>
      </c>
      <c r="Y46" s="10">
        <f>SUM(Y45:BN45)</f>
        <v/>
      </c>
      <c r="Z46" s="10">
        <f>SUM(Z45:BN45)</f>
        <v/>
      </c>
      <c r="AA46" s="10">
        <f>SUM(AA45:BN45)</f>
        <v/>
      </c>
      <c r="AB46" s="10">
        <f>SUM(AB45:BN45)</f>
        <v/>
      </c>
      <c r="AC46" s="10">
        <f>SUM(AC45:BN45)</f>
        <v/>
      </c>
      <c r="AD46" s="10">
        <f>SUM(AD45:BN45)</f>
        <v/>
      </c>
      <c r="AE46" s="10">
        <f>SUM(AE45:BN45)</f>
        <v/>
      </c>
      <c r="AF46" s="10">
        <f>SUM(AF45:BN45)</f>
        <v/>
      </c>
      <c r="AG46" s="10">
        <f>SUM(AG45:BN45)</f>
        <v/>
      </c>
      <c r="AH46" s="10">
        <f>SUM(AH45:BN45)</f>
        <v/>
      </c>
      <c r="AI46" s="10">
        <f>SUM(AI45:BN45)</f>
        <v/>
      </c>
      <c r="AJ46" s="10">
        <f>SUM(AJ45:BN45)</f>
        <v/>
      </c>
      <c r="AK46" s="10">
        <f>SUM(AK45:BN45)</f>
        <v/>
      </c>
      <c r="AL46" s="10">
        <f>SUM(AL45:BN45)</f>
        <v/>
      </c>
      <c r="AM46" s="10">
        <f>SUM(AM45:BN45)</f>
        <v/>
      </c>
      <c r="AN46" s="10">
        <f>SUM(AN45:BN45)</f>
        <v/>
      </c>
      <c r="AO46" s="10">
        <f>SUM(AO45:BN45)</f>
        <v/>
      </c>
      <c r="AP46" s="10">
        <f>SUM(AP45:BN45)</f>
        <v/>
      </c>
      <c r="AQ46" s="10">
        <f>SUM(AQ45:BN45)</f>
        <v/>
      </c>
      <c r="AR46" s="10">
        <f>SUM(AR45:BN45)</f>
        <v/>
      </c>
      <c r="AS46" s="10">
        <f>SUM(AS45:BN45)</f>
        <v/>
      </c>
      <c r="AT46" s="10">
        <f>SUM(AT45:BN45)</f>
        <v/>
      </c>
      <c r="AU46" s="10">
        <f>SUM(AU45:BN45)</f>
        <v/>
      </c>
      <c r="AV46" s="10">
        <f>SUM(AV45:BN45)</f>
        <v/>
      </c>
      <c r="AW46" s="10">
        <f>SUM(AW45:BN45)</f>
        <v/>
      </c>
      <c r="AX46" s="10">
        <f>SUM(AX45:BN45)</f>
        <v/>
      </c>
      <c r="AY46" s="10">
        <f>SUM(AY45:BN45)</f>
        <v/>
      </c>
      <c r="AZ46" s="10">
        <f>SUM(AZ45:BN45)</f>
        <v/>
      </c>
      <c r="BA46" s="10">
        <f>SUM(BA45:BN45)</f>
        <v/>
      </c>
      <c r="BB46" s="10">
        <f>SUM(BB45:BN45)</f>
        <v/>
      </c>
      <c r="BC46" s="10">
        <f>SUM(BC45:BN45)</f>
        <v/>
      </c>
      <c r="BD46" s="10">
        <f>SUM(BD45:BN45)</f>
        <v/>
      </c>
      <c r="BE46" s="10">
        <f>SUM(BE45:BN45)</f>
        <v/>
      </c>
      <c r="BF46" s="10">
        <f>SUM(BF45:BN45)</f>
        <v/>
      </c>
      <c r="BG46" s="10">
        <f>SUM(BG45:BN45)</f>
        <v/>
      </c>
      <c r="BH46" s="10">
        <f>SUM(BH45:BN45)</f>
        <v/>
      </c>
      <c r="BI46" s="10">
        <f>SUM(BI45:BN45)</f>
        <v/>
      </c>
      <c r="BJ46" s="10">
        <f>SUM(BJ45:BN45)</f>
        <v/>
      </c>
      <c r="BK46" s="10">
        <f>SUM(BK45:BN45)</f>
        <v/>
      </c>
      <c r="BL46" s="10">
        <f>SUM(BL45:BN45)</f>
        <v/>
      </c>
      <c r="BM46" s="10">
        <f>SUM(BM45:BN45)</f>
        <v/>
      </c>
      <c r="BN46" s="10">
        <f>SUM(BN45:BN45)</f>
        <v/>
      </c>
    </row>
    <row r="47">
      <c r="D47" t="inlineStr">
        <is>
          <t>Flag_Refinancing</t>
        </is>
      </c>
      <c r="E47" t="inlineStr">
        <is>
          <t>flag</t>
        </is>
      </c>
      <c r="J47" s="10">
        <f>Inputs!$F$50*IF(J23=Inputs!$F$205,1,0)</f>
        <v/>
      </c>
      <c r="K47" s="10">
        <f>Inputs!$F$50*IF(K23=Inputs!$F$205,1,0)</f>
        <v/>
      </c>
      <c r="L47" s="10">
        <f>Inputs!$F$50*IF(L23=Inputs!$F$205,1,0)</f>
        <v/>
      </c>
      <c r="M47" s="10">
        <f>Inputs!$F$50*IF(M23=Inputs!$F$205,1,0)</f>
        <v/>
      </c>
      <c r="N47" s="10">
        <f>Inputs!$F$50*IF(N23=Inputs!$F$205,1,0)</f>
        <v/>
      </c>
      <c r="O47" s="10">
        <f>Inputs!$F$50*IF(O23=Inputs!$F$205,1,0)</f>
        <v/>
      </c>
      <c r="P47" s="10">
        <f>Inputs!$F$50*IF(P23=Inputs!$F$205,1,0)</f>
        <v/>
      </c>
      <c r="Q47" s="10">
        <f>Inputs!$F$50*IF(Q23=Inputs!$F$205,1,0)</f>
        <v/>
      </c>
      <c r="R47" s="10">
        <f>Inputs!$F$50*IF(R23=Inputs!$F$205,1,0)</f>
        <v/>
      </c>
      <c r="S47" s="10">
        <f>Inputs!$F$50*IF(S23=Inputs!$F$205,1,0)</f>
        <v/>
      </c>
      <c r="T47" s="10">
        <f>Inputs!$F$50*IF(T23=Inputs!$F$205,1,0)</f>
        <v/>
      </c>
      <c r="U47" s="10">
        <f>Inputs!$F$50*IF(U23=Inputs!$F$205,1,0)</f>
        <v/>
      </c>
      <c r="V47" s="10">
        <f>Inputs!$F$50*IF(V23=Inputs!$F$205,1,0)</f>
        <v/>
      </c>
      <c r="W47" s="10">
        <f>Inputs!$F$50*IF(W23=Inputs!$F$205,1,0)</f>
        <v/>
      </c>
      <c r="X47" s="10">
        <f>Inputs!$F$50*IF(X23=Inputs!$F$205,1,0)</f>
        <v/>
      </c>
      <c r="Y47" s="10">
        <f>Inputs!$F$50*IF(Y23=Inputs!$F$205,1,0)</f>
        <v/>
      </c>
      <c r="Z47" s="10">
        <f>Inputs!$F$50*IF(Z23=Inputs!$F$205,1,0)</f>
        <v/>
      </c>
      <c r="AA47" s="10">
        <f>Inputs!$F$50*IF(AA23=Inputs!$F$205,1,0)</f>
        <v/>
      </c>
      <c r="AB47" s="10">
        <f>Inputs!$F$50*IF(AB23=Inputs!$F$205,1,0)</f>
        <v/>
      </c>
      <c r="AC47" s="10">
        <f>Inputs!$F$50*IF(AC23=Inputs!$F$205,1,0)</f>
        <v/>
      </c>
      <c r="AD47" s="10">
        <f>Inputs!$F$50*IF(AD23=Inputs!$F$205,1,0)</f>
        <v/>
      </c>
      <c r="AE47" s="10">
        <f>Inputs!$F$50*IF(AE23=Inputs!$F$205,1,0)</f>
        <v/>
      </c>
      <c r="AF47" s="10">
        <f>Inputs!$F$50*IF(AF23=Inputs!$F$205,1,0)</f>
        <v/>
      </c>
      <c r="AG47" s="10">
        <f>Inputs!$F$50*IF(AG23=Inputs!$F$205,1,0)</f>
        <v/>
      </c>
      <c r="AH47" s="10">
        <f>Inputs!$F$50*IF(AH23=Inputs!$F$205,1,0)</f>
        <v/>
      </c>
      <c r="AI47" s="10">
        <f>Inputs!$F$50*IF(AI23=Inputs!$F$205,1,0)</f>
        <v/>
      </c>
      <c r="AJ47" s="10">
        <f>Inputs!$F$50*IF(AJ23=Inputs!$F$205,1,0)</f>
        <v/>
      </c>
      <c r="AK47" s="10">
        <f>Inputs!$F$50*IF(AK23=Inputs!$F$205,1,0)</f>
        <v/>
      </c>
      <c r="AL47" s="10">
        <f>Inputs!$F$50*IF(AL23=Inputs!$F$205,1,0)</f>
        <v/>
      </c>
      <c r="AM47" s="10">
        <f>Inputs!$F$50*IF(AM23=Inputs!$F$205,1,0)</f>
        <v/>
      </c>
      <c r="AN47" s="10">
        <f>Inputs!$F$50*IF(AN23=Inputs!$F$205,1,0)</f>
        <v/>
      </c>
      <c r="AO47" s="10">
        <f>Inputs!$F$50*IF(AO23=Inputs!$F$205,1,0)</f>
        <v/>
      </c>
      <c r="AP47" s="10">
        <f>Inputs!$F$50*IF(AP23=Inputs!$F$205,1,0)</f>
        <v/>
      </c>
      <c r="AQ47" s="10">
        <f>Inputs!$F$50*IF(AQ23=Inputs!$F$205,1,0)</f>
        <v/>
      </c>
      <c r="AR47" s="10">
        <f>Inputs!$F$50*IF(AR23=Inputs!$F$205,1,0)</f>
        <v/>
      </c>
      <c r="AS47" s="10">
        <f>Inputs!$F$50*IF(AS23=Inputs!$F$205,1,0)</f>
        <v/>
      </c>
      <c r="AT47" s="10">
        <f>Inputs!$F$50*IF(AT23=Inputs!$F$205,1,0)</f>
        <v/>
      </c>
      <c r="AU47" s="10">
        <f>Inputs!$F$50*IF(AU23=Inputs!$F$205,1,0)</f>
        <v/>
      </c>
      <c r="AV47" s="10">
        <f>Inputs!$F$50*IF(AV23=Inputs!$F$205,1,0)</f>
        <v/>
      </c>
      <c r="AW47" s="10">
        <f>Inputs!$F$50*IF(AW23=Inputs!$F$205,1,0)</f>
        <v/>
      </c>
      <c r="AX47" s="10">
        <f>Inputs!$F$50*IF(AX23=Inputs!$F$205,1,0)</f>
        <v/>
      </c>
      <c r="AY47" s="10">
        <f>Inputs!$F$50*IF(AY23=Inputs!$F$205,1,0)</f>
        <v/>
      </c>
      <c r="AZ47" s="10">
        <f>Inputs!$F$50*IF(AZ23=Inputs!$F$205,1,0)</f>
        <v/>
      </c>
      <c r="BA47" s="10">
        <f>Inputs!$F$50*IF(BA23=Inputs!$F$205,1,0)</f>
        <v/>
      </c>
      <c r="BB47" s="10">
        <f>Inputs!$F$50*IF(BB23=Inputs!$F$205,1,0)</f>
        <v/>
      </c>
      <c r="BC47" s="10">
        <f>Inputs!$F$50*IF(BC23=Inputs!$F$205,1,0)</f>
        <v/>
      </c>
      <c r="BD47" s="10">
        <f>Inputs!$F$50*IF(BD23=Inputs!$F$205,1,0)</f>
        <v/>
      </c>
      <c r="BE47" s="10">
        <f>Inputs!$F$50*IF(BE23=Inputs!$F$205,1,0)</f>
        <v/>
      </c>
      <c r="BF47" s="10">
        <f>Inputs!$F$50*IF(BF23=Inputs!$F$205,1,0)</f>
        <v/>
      </c>
      <c r="BG47" s="10">
        <f>Inputs!$F$50*IF(BG23=Inputs!$F$205,1,0)</f>
        <v/>
      </c>
      <c r="BH47" s="10">
        <f>Inputs!$F$50*IF(BH23=Inputs!$F$205,1,0)</f>
        <v/>
      </c>
      <c r="BI47" s="10">
        <f>Inputs!$F$50*IF(BI23=Inputs!$F$205,1,0)</f>
        <v/>
      </c>
      <c r="BJ47" s="10">
        <f>Inputs!$F$50*IF(BJ23=Inputs!$F$205,1,0)</f>
        <v/>
      </c>
      <c r="BK47" s="10">
        <f>Inputs!$F$50*IF(BK23=Inputs!$F$205,1,0)</f>
        <v/>
      </c>
      <c r="BL47" s="10">
        <f>Inputs!$F$50*IF(BL23=Inputs!$F$205,1,0)</f>
        <v/>
      </c>
      <c r="BM47" s="10">
        <f>Inputs!$F$50*IF(BM23=Inputs!$F$205,1,0)</f>
        <v/>
      </c>
      <c r="BN47" s="10">
        <f>Inputs!$F$50*IF(BN23=Inputs!$F$205,1,0)</f>
        <v/>
      </c>
    </row>
    <row r="48">
      <c r="D48" t="inlineStr">
        <is>
          <t>Flag_AfterRefinancing</t>
        </is>
      </c>
      <c r="E48" t="inlineStr">
        <is>
          <t>flag</t>
        </is>
      </c>
      <c r="J48" s="10">
        <f>Inputs!$F$50*IF(J23&gt;Inputs!$F$205,1,0)</f>
        <v/>
      </c>
      <c r="K48" s="10">
        <f>Inputs!$F$50*IF(K23&gt;Inputs!$F$205,1,0)</f>
        <v/>
      </c>
      <c r="L48" s="10">
        <f>Inputs!$F$50*IF(L23&gt;Inputs!$F$205,1,0)</f>
        <v/>
      </c>
      <c r="M48" s="10">
        <f>Inputs!$F$50*IF(M23&gt;Inputs!$F$205,1,0)</f>
        <v/>
      </c>
      <c r="N48" s="10">
        <f>Inputs!$F$50*IF(N23&gt;Inputs!$F$205,1,0)</f>
        <v/>
      </c>
      <c r="O48" s="10">
        <f>Inputs!$F$50*IF(O23&gt;Inputs!$F$205,1,0)</f>
        <v/>
      </c>
      <c r="P48" s="10">
        <f>Inputs!$F$50*IF(P23&gt;Inputs!$F$205,1,0)</f>
        <v/>
      </c>
      <c r="Q48" s="10">
        <f>Inputs!$F$50*IF(Q23&gt;Inputs!$F$205,1,0)</f>
        <v/>
      </c>
      <c r="R48" s="10">
        <f>Inputs!$F$50*IF(R23&gt;Inputs!$F$205,1,0)</f>
        <v/>
      </c>
      <c r="S48" s="10">
        <f>Inputs!$F$50*IF(S23&gt;Inputs!$F$205,1,0)</f>
        <v/>
      </c>
      <c r="T48" s="10">
        <f>Inputs!$F$50*IF(T23&gt;Inputs!$F$205,1,0)</f>
        <v/>
      </c>
      <c r="U48" s="10">
        <f>Inputs!$F$50*IF(U23&gt;Inputs!$F$205,1,0)</f>
        <v/>
      </c>
      <c r="V48" s="10">
        <f>Inputs!$F$50*IF(V23&gt;Inputs!$F$205,1,0)</f>
        <v/>
      </c>
      <c r="W48" s="10">
        <f>Inputs!$F$50*IF(W23&gt;Inputs!$F$205,1,0)</f>
        <v/>
      </c>
      <c r="X48" s="10">
        <f>Inputs!$F$50*IF(X23&gt;Inputs!$F$205,1,0)</f>
        <v/>
      </c>
      <c r="Y48" s="10">
        <f>Inputs!$F$50*IF(Y23&gt;Inputs!$F$205,1,0)</f>
        <v/>
      </c>
      <c r="Z48" s="10">
        <f>Inputs!$F$50*IF(Z23&gt;Inputs!$F$205,1,0)</f>
        <v/>
      </c>
      <c r="AA48" s="10">
        <f>Inputs!$F$50*IF(AA23&gt;Inputs!$F$205,1,0)</f>
        <v/>
      </c>
      <c r="AB48" s="10">
        <f>Inputs!$F$50*IF(AB23&gt;Inputs!$F$205,1,0)</f>
        <v/>
      </c>
      <c r="AC48" s="10">
        <f>Inputs!$F$50*IF(AC23&gt;Inputs!$F$205,1,0)</f>
        <v/>
      </c>
      <c r="AD48" s="10">
        <f>Inputs!$F$50*IF(AD23&gt;Inputs!$F$205,1,0)</f>
        <v/>
      </c>
      <c r="AE48" s="10">
        <f>Inputs!$F$50*IF(AE23&gt;Inputs!$F$205,1,0)</f>
        <v/>
      </c>
      <c r="AF48" s="10">
        <f>Inputs!$F$50*IF(AF23&gt;Inputs!$F$205,1,0)</f>
        <v/>
      </c>
      <c r="AG48" s="10">
        <f>Inputs!$F$50*IF(AG23&gt;Inputs!$F$205,1,0)</f>
        <v/>
      </c>
      <c r="AH48" s="10">
        <f>Inputs!$F$50*IF(AH23&gt;Inputs!$F$205,1,0)</f>
        <v/>
      </c>
      <c r="AI48" s="10">
        <f>Inputs!$F$50*IF(AI23&gt;Inputs!$F$205,1,0)</f>
        <v/>
      </c>
      <c r="AJ48" s="10">
        <f>Inputs!$F$50*IF(AJ23&gt;Inputs!$F$205,1,0)</f>
        <v/>
      </c>
      <c r="AK48" s="10">
        <f>Inputs!$F$50*IF(AK23&gt;Inputs!$F$205,1,0)</f>
        <v/>
      </c>
      <c r="AL48" s="10">
        <f>Inputs!$F$50*IF(AL23&gt;Inputs!$F$205,1,0)</f>
        <v/>
      </c>
      <c r="AM48" s="10">
        <f>Inputs!$F$50*IF(AM23&gt;Inputs!$F$205,1,0)</f>
        <v/>
      </c>
      <c r="AN48" s="10">
        <f>Inputs!$F$50*IF(AN23&gt;Inputs!$F$205,1,0)</f>
        <v/>
      </c>
      <c r="AO48" s="10">
        <f>Inputs!$F$50*IF(AO23&gt;Inputs!$F$205,1,0)</f>
        <v/>
      </c>
      <c r="AP48" s="10">
        <f>Inputs!$F$50*IF(AP23&gt;Inputs!$F$205,1,0)</f>
        <v/>
      </c>
      <c r="AQ48" s="10">
        <f>Inputs!$F$50*IF(AQ23&gt;Inputs!$F$205,1,0)</f>
        <v/>
      </c>
      <c r="AR48" s="10">
        <f>Inputs!$F$50*IF(AR23&gt;Inputs!$F$205,1,0)</f>
        <v/>
      </c>
      <c r="AS48" s="10">
        <f>Inputs!$F$50*IF(AS23&gt;Inputs!$F$205,1,0)</f>
        <v/>
      </c>
      <c r="AT48" s="10">
        <f>Inputs!$F$50*IF(AT23&gt;Inputs!$F$205,1,0)</f>
        <v/>
      </c>
      <c r="AU48" s="10">
        <f>Inputs!$F$50*IF(AU23&gt;Inputs!$F$205,1,0)</f>
        <v/>
      </c>
      <c r="AV48" s="10">
        <f>Inputs!$F$50*IF(AV23&gt;Inputs!$F$205,1,0)</f>
        <v/>
      </c>
      <c r="AW48" s="10">
        <f>Inputs!$F$50*IF(AW23&gt;Inputs!$F$205,1,0)</f>
        <v/>
      </c>
      <c r="AX48" s="10">
        <f>Inputs!$F$50*IF(AX23&gt;Inputs!$F$205,1,0)</f>
        <v/>
      </c>
      <c r="AY48" s="10">
        <f>Inputs!$F$50*IF(AY23&gt;Inputs!$F$205,1,0)</f>
        <v/>
      </c>
      <c r="AZ48" s="10">
        <f>Inputs!$F$50*IF(AZ23&gt;Inputs!$F$205,1,0)</f>
        <v/>
      </c>
      <c r="BA48" s="10">
        <f>Inputs!$F$50*IF(BA23&gt;Inputs!$F$205,1,0)</f>
        <v/>
      </c>
      <c r="BB48" s="10">
        <f>Inputs!$F$50*IF(BB23&gt;Inputs!$F$205,1,0)</f>
        <v/>
      </c>
      <c r="BC48" s="10">
        <f>Inputs!$F$50*IF(BC23&gt;Inputs!$F$205,1,0)</f>
        <v/>
      </c>
      <c r="BD48" s="10">
        <f>Inputs!$F$50*IF(BD23&gt;Inputs!$F$205,1,0)</f>
        <v/>
      </c>
      <c r="BE48" s="10">
        <f>Inputs!$F$50*IF(BE23&gt;Inputs!$F$205,1,0)</f>
        <v/>
      </c>
      <c r="BF48" s="10">
        <f>Inputs!$F$50*IF(BF23&gt;Inputs!$F$205,1,0)</f>
        <v/>
      </c>
      <c r="BG48" s="10">
        <f>Inputs!$F$50*IF(BG23&gt;Inputs!$F$205,1,0)</f>
        <v/>
      </c>
      <c r="BH48" s="10">
        <f>Inputs!$F$50*IF(BH23&gt;Inputs!$F$205,1,0)</f>
        <v/>
      </c>
      <c r="BI48" s="10">
        <f>Inputs!$F$50*IF(BI23&gt;Inputs!$F$205,1,0)</f>
        <v/>
      </c>
      <c r="BJ48" s="10">
        <f>Inputs!$F$50*IF(BJ23&gt;Inputs!$F$205,1,0)</f>
        <v/>
      </c>
      <c r="BK48" s="10">
        <f>Inputs!$F$50*IF(BK23&gt;Inputs!$F$205,1,0)</f>
        <v/>
      </c>
      <c r="BL48" s="10">
        <f>Inputs!$F$50*IF(BL23&gt;Inputs!$F$205,1,0)</f>
        <v/>
      </c>
      <c r="BM48" s="10">
        <f>Inputs!$F$50*IF(BM23&gt;Inputs!$F$205,1,0)</f>
        <v/>
      </c>
      <c r="BN48" s="10">
        <f>Inputs!$F$50*IF(BN23&gt;Inputs!$F$205,1,0)</f>
        <v/>
      </c>
    </row>
    <row r="49">
      <c r="D49" t="inlineStr">
        <is>
          <t>Flag_TestWaived</t>
        </is>
      </c>
      <c r="E49" t="inlineStr">
        <is>
          <t>flag</t>
        </is>
      </c>
      <c r="J49" s="10">
        <f>Inputs!$F$49*IF(AND(J23&gt;=Inputs!$F$199,J23&lt;=Inputs!$F$200),1,0)</f>
        <v/>
      </c>
      <c r="K49" s="10">
        <f>Inputs!$F$49*IF(AND(K23&gt;=Inputs!$F$199,K23&lt;=Inputs!$F$200),1,0)</f>
        <v/>
      </c>
      <c r="L49" s="10">
        <f>Inputs!$F$49*IF(AND(L23&gt;=Inputs!$F$199,L23&lt;=Inputs!$F$200),1,0)</f>
        <v/>
      </c>
      <c r="M49" s="10">
        <f>Inputs!$F$49*IF(AND(M23&gt;=Inputs!$F$199,M23&lt;=Inputs!$F$200),1,0)</f>
        <v/>
      </c>
      <c r="N49" s="10">
        <f>Inputs!$F$49*IF(AND(N23&gt;=Inputs!$F$199,N23&lt;=Inputs!$F$200),1,0)</f>
        <v/>
      </c>
      <c r="O49" s="10">
        <f>Inputs!$F$49*IF(AND(O23&gt;=Inputs!$F$199,O23&lt;=Inputs!$F$200),1,0)</f>
        <v/>
      </c>
      <c r="P49" s="10">
        <f>Inputs!$F$49*IF(AND(P23&gt;=Inputs!$F$199,P23&lt;=Inputs!$F$200),1,0)</f>
        <v/>
      </c>
      <c r="Q49" s="10">
        <f>Inputs!$F$49*IF(AND(Q23&gt;=Inputs!$F$199,Q23&lt;=Inputs!$F$200),1,0)</f>
        <v/>
      </c>
      <c r="R49" s="10">
        <f>Inputs!$F$49*IF(AND(R23&gt;=Inputs!$F$199,R23&lt;=Inputs!$F$200),1,0)</f>
        <v/>
      </c>
      <c r="S49" s="10">
        <f>Inputs!$F$49*IF(AND(S23&gt;=Inputs!$F$199,S23&lt;=Inputs!$F$200),1,0)</f>
        <v/>
      </c>
      <c r="T49" s="10">
        <f>Inputs!$F$49*IF(AND(T23&gt;=Inputs!$F$199,T23&lt;=Inputs!$F$200),1,0)</f>
        <v/>
      </c>
      <c r="U49" s="10">
        <f>Inputs!$F$49*IF(AND(U23&gt;=Inputs!$F$199,U23&lt;=Inputs!$F$200),1,0)</f>
        <v/>
      </c>
      <c r="V49" s="10">
        <f>Inputs!$F$49*IF(AND(V23&gt;=Inputs!$F$199,V23&lt;=Inputs!$F$200),1,0)</f>
        <v/>
      </c>
      <c r="W49" s="10">
        <f>Inputs!$F$49*IF(AND(W23&gt;=Inputs!$F$199,W23&lt;=Inputs!$F$200),1,0)</f>
        <v/>
      </c>
      <c r="X49" s="10">
        <f>Inputs!$F$49*IF(AND(X23&gt;=Inputs!$F$199,X23&lt;=Inputs!$F$200),1,0)</f>
        <v/>
      </c>
      <c r="Y49" s="10">
        <f>Inputs!$F$49*IF(AND(Y23&gt;=Inputs!$F$199,Y23&lt;=Inputs!$F$200),1,0)</f>
        <v/>
      </c>
      <c r="Z49" s="10">
        <f>Inputs!$F$49*IF(AND(Z23&gt;=Inputs!$F$199,Z23&lt;=Inputs!$F$200),1,0)</f>
        <v/>
      </c>
      <c r="AA49" s="10">
        <f>Inputs!$F$49*IF(AND(AA23&gt;=Inputs!$F$199,AA23&lt;=Inputs!$F$200),1,0)</f>
        <v/>
      </c>
      <c r="AB49" s="10">
        <f>Inputs!$F$49*IF(AND(AB23&gt;=Inputs!$F$199,AB23&lt;=Inputs!$F$200),1,0)</f>
        <v/>
      </c>
      <c r="AC49" s="10">
        <f>Inputs!$F$49*IF(AND(AC23&gt;=Inputs!$F$199,AC23&lt;=Inputs!$F$200),1,0)</f>
        <v/>
      </c>
      <c r="AD49" s="10">
        <f>Inputs!$F$49*IF(AND(AD23&gt;=Inputs!$F$199,AD23&lt;=Inputs!$F$200),1,0)</f>
        <v/>
      </c>
      <c r="AE49" s="10">
        <f>Inputs!$F$49*IF(AND(AE23&gt;=Inputs!$F$199,AE23&lt;=Inputs!$F$200),1,0)</f>
        <v/>
      </c>
      <c r="AF49" s="10">
        <f>Inputs!$F$49*IF(AND(AF23&gt;=Inputs!$F$199,AF23&lt;=Inputs!$F$200),1,0)</f>
        <v/>
      </c>
      <c r="AG49" s="10">
        <f>Inputs!$F$49*IF(AND(AG23&gt;=Inputs!$F$199,AG23&lt;=Inputs!$F$200),1,0)</f>
        <v/>
      </c>
      <c r="AH49" s="10">
        <f>Inputs!$F$49*IF(AND(AH23&gt;=Inputs!$F$199,AH23&lt;=Inputs!$F$200),1,0)</f>
        <v/>
      </c>
      <c r="AI49" s="10">
        <f>Inputs!$F$49*IF(AND(AI23&gt;=Inputs!$F$199,AI23&lt;=Inputs!$F$200),1,0)</f>
        <v/>
      </c>
      <c r="AJ49" s="10">
        <f>Inputs!$F$49*IF(AND(AJ23&gt;=Inputs!$F$199,AJ23&lt;=Inputs!$F$200),1,0)</f>
        <v/>
      </c>
      <c r="AK49" s="10">
        <f>Inputs!$F$49*IF(AND(AK23&gt;=Inputs!$F$199,AK23&lt;=Inputs!$F$200),1,0)</f>
        <v/>
      </c>
      <c r="AL49" s="10">
        <f>Inputs!$F$49*IF(AND(AL23&gt;=Inputs!$F$199,AL23&lt;=Inputs!$F$200),1,0)</f>
        <v/>
      </c>
      <c r="AM49" s="10">
        <f>Inputs!$F$49*IF(AND(AM23&gt;=Inputs!$F$199,AM23&lt;=Inputs!$F$200),1,0)</f>
        <v/>
      </c>
      <c r="AN49" s="10">
        <f>Inputs!$F$49*IF(AND(AN23&gt;=Inputs!$F$199,AN23&lt;=Inputs!$F$200),1,0)</f>
        <v/>
      </c>
      <c r="AO49" s="10">
        <f>Inputs!$F$49*IF(AND(AO23&gt;=Inputs!$F$199,AO23&lt;=Inputs!$F$200),1,0)</f>
        <v/>
      </c>
      <c r="AP49" s="10">
        <f>Inputs!$F$49*IF(AND(AP23&gt;=Inputs!$F$199,AP23&lt;=Inputs!$F$200),1,0)</f>
        <v/>
      </c>
      <c r="AQ49" s="10">
        <f>Inputs!$F$49*IF(AND(AQ23&gt;=Inputs!$F$199,AQ23&lt;=Inputs!$F$200),1,0)</f>
        <v/>
      </c>
      <c r="AR49" s="10">
        <f>Inputs!$F$49*IF(AND(AR23&gt;=Inputs!$F$199,AR23&lt;=Inputs!$F$200),1,0)</f>
        <v/>
      </c>
      <c r="AS49" s="10">
        <f>Inputs!$F$49*IF(AND(AS23&gt;=Inputs!$F$199,AS23&lt;=Inputs!$F$200),1,0)</f>
        <v/>
      </c>
      <c r="AT49" s="10">
        <f>Inputs!$F$49*IF(AND(AT23&gt;=Inputs!$F$199,AT23&lt;=Inputs!$F$200),1,0)</f>
        <v/>
      </c>
      <c r="AU49" s="10">
        <f>Inputs!$F$49*IF(AND(AU23&gt;=Inputs!$F$199,AU23&lt;=Inputs!$F$200),1,0)</f>
        <v/>
      </c>
      <c r="AV49" s="10">
        <f>Inputs!$F$49*IF(AND(AV23&gt;=Inputs!$F$199,AV23&lt;=Inputs!$F$200),1,0)</f>
        <v/>
      </c>
      <c r="AW49" s="10">
        <f>Inputs!$F$49*IF(AND(AW23&gt;=Inputs!$F$199,AW23&lt;=Inputs!$F$200),1,0)</f>
        <v/>
      </c>
      <c r="AX49" s="10">
        <f>Inputs!$F$49*IF(AND(AX23&gt;=Inputs!$F$199,AX23&lt;=Inputs!$F$200),1,0)</f>
        <v/>
      </c>
      <c r="AY49" s="10">
        <f>Inputs!$F$49*IF(AND(AY23&gt;=Inputs!$F$199,AY23&lt;=Inputs!$F$200),1,0)</f>
        <v/>
      </c>
      <c r="AZ49" s="10">
        <f>Inputs!$F$49*IF(AND(AZ23&gt;=Inputs!$F$199,AZ23&lt;=Inputs!$F$200),1,0)</f>
        <v/>
      </c>
      <c r="BA49" s="10">
        <f>Inputs!$F$49*IF(AND(BA23&gt;=Inputs!$F$199,BA23&lt;=Inputs!$F$200),1,0)</f>
        <v/>
      </c>
      <c r="BB49" s="10">
        <f>Inputs!$F$49*IF(AND(BB23&gt;=Inputs!$F$199,BB23&lt;=Inputs!$F$200),1,0)</f>
        <v/>
      </c>
      <c r="BC49" s="10">
        <f>Inputs!$F$49*IF(AND(BC23&gt;=Inputs!$F$199,BC23&lt;=Inputs!$F$200),1,0)</f>
        <v/>
      </c>
      <c r="BD49" s="10">
        <f>Inputs!$F$49*IF(AND(BD23&gt;=Inputs!$F$199,BD23&lt;=Inputs!$F$200),1,0)</f>
        <v/>
      </c>
      <c r="BE49" s="10">
        <f>Inputs!$F$49*IF(AND(BE23&gt;=Inputs!$F$199,BE23&lt;=Inputs!$F$200),1,0)</f>
        <v/>
      </c>
      <c r="BF49" s="10">
        <f>Inputs!$F$49*IF(AND(BF23&gt;=Inputs!$F$199,BF23&lt;=Inputs!$F$200),1,0)</f>
        <v/>
      </c>
      <c r="BG49" s="10">
        <f>Inputs!$F$49*IF(AND(BG23&gt;=Inputs!$F$199,BG23&lt;=Inputs!$F$200),1,0)</f>
        <v/>
      </c>
      <c r="BH49" s="10">
        <f>Inputs!$F$49*IF(AND(BH23&gt;=Inputs!$F$199,BH23&lt;=Inputs!$F$200),1,0)</f>
        <v/>
      </c>
      <c r="BI49" s="10">
        <f>Inputs!$F$49*IF(AND(BI23&gt;=Inputs!$F$199,BI23&lt;=Inputs!$F$200),1,0)</f>
        <v/>
      </c>
      <c r="BJ49" s="10">
        <f>Inputs!$F$49*IF(AND(BJ23&gt;=Inputs!$F$199,BJ23&lt;=Inputs!$F$200),1,0)</f>
        <v/>
      </c>
      <c r="BK49" s="10">
        <f>Inputs!$F$49*IF(AND(BK23&gt;=Inputs!$F$199,BK23&lt;=Inputs!$F$200),1,0)</f>
        <v/>
      </c>
      <c r="BL49" s="10">
        <f>Inputs!$F$49*IF(AND(BL23&gt;=Inputs!$F$199,BL23&lt;=Inputs!$F$200),1,0)</f>
        <v/>
      </c>
      <c r="BM49" s="10">
        <f>Inputs!$F$49*IF(AND(BM23&gt;=Inputs!$F$199,BM23&lt;=Inputs!$F$200),1,0)</f>
        <v/>
      </c>
      <c r="BN49" s="10">
        <f>Inputs!$F$49*IF(AND(BN23&gt;=Inputs!$F$199,BN23&lt;=Inputs!$F$200),1,0)</f>
        <v/>
      </c>
    </row>
    <row r="50">
      <c r="D50" t="inlineStr">
        <is>
          <t>Flag_WaiverRegime</t>
        </is>
      </c>
      <c r="E50" t="inlineStr">
        <is>
          <t>flag</t>
        </is>
      </c>
      <c r="J50" s="10">
        <f>Inputs!$F$49*IF(J23&gt;=Inputs!$F$199,1,0)</f>
        <v/>
      </c>
      <c r="K50" s="10">
        <f>Inputs!$F$49*IF(K23&gt;=Inputs!$F$199,1,0)</f>
        <v/>
      </c>
      <c r="L50" s="10">
        <f>Inputs!$F$49*IF(L23&gt;=Inputs!$F$199,1,0)</f>
        <v/>
      </c>
      <c r="M50" s="10">
        <f>Inputs!$F$49*IF(M23&gt;=Inputs!$F$199,1,0)</f>
        <v/>
      </c>
      <c r="N50" s="10">
        <f>Inputs!$F$49*IF(N23&gt;=Inputs!$F$199,1,0)</f>
        <v/>
      </c>
      <c r="O50" s="10">
        <f>Inputs!$F$49*IF(O23&gt;=Inputs!$F$199,1,0)</f>
        <v/>
      </c>
      <c r="P50" s="10">
        <f>Inputs!$F$49*IF(P23&gt;=Inputs!$F$199,1,0)</f>
        <v/>
      </c>
      <c r="Q50" s="10">
        <f>Inputs!$F$49*IF(Q23&gt;=Inputs!$F$199,1,0)</f>
        <v/>
      </c>
      <c r="R50" s="10">
        <f>Inputs!$F$49*IF(R23&gt;=Inputs!$F$199,1,0)</f>
        <v/>
      </c>
      <c r="S50" s="10">
        <f>Inputs!$F$49*IF(S23&gt;=Inputs!$F$199,1,0)</f>
        <v/>
      </c>
      <c r="T50" s="10">
        <f>Inputs!$F$49*IF(T23&gt;=Inputs!$F$199,1,0)</f>
        <v/>
      </c>
      <c r="U50" s="10">
        <f>Inputs!$F$49*IF(U23&gt;=Inputs!$F$199,1,0)</f>
        <v/>
      </c>
      <c r="V50" s="10">
        <f>Inputs!$F$49*IF(V23&gt;=Inputs!$F$199,1,0)</f>
        <v/>
      </c>
      <c r="W50" s="10">
        <f>Inputs!$F$49*IF(W23&gt;=Inputs!$F$199,1,0)</f>
        <v/>
      </c>
      <c r="X50" s="10">
        <f>Inputs!$F$49*IF(X23&gt;=Inputs!$F$199,1,0)</f>
        <v/>
      </c>
      <c r="Y50" s="10">
        <f>Inputs!$F$49*IF(Y23&gt;=Inputs!$F$199,1,0)</f>
        <v/>
      </c>
      <c r="Z50" s="10">
        <f>Inputs!$F$49*IF(Z23&gt;=Inputs!$F$199,1,0)</f>
        <v/>
      </c>
      <c r="AA50" s="10">
        <f>Inputs!$F$49*IF(AA23&gt;=Inputs!$F$199,1,0)</f>
        <v/>
      </c>
      <c r="AB50" s="10">
        <f>Inputs!$F$49*IF(AB23&gt;=Inputs!$F$199,1,0)</f>
        <v/>
      </c>
      <c r="AC50" s="10">
        <f>Inputs!$F$49*IF(AC23&gt;=Inputs!$F$199,1,0)</f>
        <v/>
      </c>
      <c r="AD50" s="10">
        <f>Inputs!$F$49*IF(AD23&gt;=Inputs!$F$199,1,0)</f>
        <v/>
      </c>
      <c r="AE50" s="10">
        <f>Inputs!$F$49*IF(AE23&gt;=Inputs!$F$199,1,0)</f>
        <v/>
      </c>
      <c r="AF50" s="10">
        <f>Inputs!$F$49*IF(AF23&gt;=Inputs!$F$199,1,0)</f>
        <v/>
      </c>
      <c r="AG50" s="10">
        <f>Inputs!$F$49*IF(AG23&gt;=Inputs!$F$199,1,0)</f>
        <v/>
      </c>
      <c r="AH50" s="10">
        <f>Inputs!$F$49*IF(AH23&gt;=Inputs!$F$199,1,0)</f>
        <v/>
      </c>
      <c r="AI50" s="10">
        <f>Inputs!$F$49*IF(AI23&gt;=Inputs!$F$199,1,0)</f>
        <v/>
      </c>
      <c r="AJ50" s="10">
        <f>Inputs!$F$49*IF(AJ23&gt;=Inputs!$F$199,1,0)</f>
        <v/>
      </c>
      <c r="AK50" s="10">
        <f>Inputs!$F$49*IF(AK23&gt;=Inputs!$F$199,1,0)</f>
        <v/>
      </c>
      <c r="AL50" s="10">
        <f>Inputs!$F$49*IF(AL23&gt;=Inputs!$F$199,1,0)</f>
        <v/>
      </c>
      <c r="AM50" s="10">
        <f>Inputs!$F$49*IF(AM23&gt;=Inputs!$F$199,1,0)</f>
        <v/>
      </c>
      <c r="AN50" s="10">
        <f>Inputs!$F$49*IF(AN23&gt;=Inputs!$F$199,1,0)</f>
        <v/>
      </c>
      <c r="AO50" s="10">
        <f>Inputs!$F$49*IF(AO23&gt;=Inputs!$F$199,1,0)</f>
        <v/>
      </c>
      <c r="AP50" s="10">
        <f>Inputs!$F$49*IF(AP23&gt;=Inputs!$F$199,1,0)</f>
        <v/>
      </c>
      <c r="AQ50" s="10">
        <f>Inputs!$F$49*IF(AQ23&gt;=Inputs!$F$199,1,0)</f>
        <v/>
      </c>
      <c r="AR50" s="10">
        <f>Inputs!$F$49*IF(AR23&gt;=Inputs!$F$199,1,0)</f>
        <v/>
      </c>
      <c r="AS50" s="10">
        <f>Inputs!$F$49*IF(AS23&gt;=Inputs!$F$199,1,0)</f>
        <v/>
      </c>
      <c r="AT50" s="10">
        <f>Inputs!$F$49*IF(AT23&gt;=Inputs!$F$199,1,0)</f>
        <v/>
      </c>
      <c r="AU50" s="10">
        <f>Inputs!$F$49*IF(AU23&gt;=Inputs!$F$199,1,0)</f>
        <v/>
      </c>
      <c r="AV50" s="10">
        <f>Inputs!$F$49*IF(AV23&gt;=Inputs!$F$199,1,0)</f>
        <v/>
      </c>
      <c r="AW50" s="10">
        <f>Inputs!$F$49*IF(AW23&gt;=Inputs!$F$199,1,0)</f>
        <v/>
      </c>
      <c r="AX50" s="10">
        <f>Inputs!$F$49*IF(AX23&gt;=Inputs!$F$199,1,0)</f>
        <v/>
      </c>
      <c r="AY50" s="10">
        <f>Inputs!$F$49*IF(AY23&gt;=Inputs!$F$199,1,0)</f>
        <v/>
      </c>
      <c r="AZ50" s="10">
        <f>Inputs!$F$49*IF(AZ23&gt;=Inputs!$F$199,1,0)</f>
        <v/>
      </c>
      <c r="BA50" s="10">
        <f>Inputs!$F$49*IF(BA23&gt;=Inputs!$F$199,1,0)</f>
        <v/>
      </c>
      <c r="BB50" s="10">
        <f>Inputs!$F$49*IF(BB23&gt;=Inputs!$F$199,1,0)</f>
        <v/>
      </c>
      <c r="BC50" s="10">
        <f>Inputs!$F$49*IF(BC23&gt;=Inputs!$F$199,1,0)</f>
        <v/>
      </c>
      <c r="BD50" s="10">
        <f>Inputs!$F$49*IF(BD23&gt;=Inputs!$F$199,1,0)</f>
        <v/>
      </c>
      <c r="BE50" s="10">
        <f>Inputs!$F$49*IF(BE23&gt;=Inputs!$F$199,1,0)</f>
        <v/>
      </c>
      <c r="BF50" s="10">
        <f>Inputs!$F$49*IF(BF23&gt;=Inputs!$F$199,1,0)</f>
        <v/>
      </c>
      <c r="BG50" s="10">
        <f>Inputs!$F$49*IF(BG23&gt;=Inputs!$F$199,1,0)</f>
        <v/>
      </c>
      <c r="BH50" s="10">
        <f>Inputs!$F$49*IF(BH23&gt;=Inputs!$F$199,1,0)</f>
        <v/>
      </c>
      <c r="BI50" s="10">
        <f>Inputs!$F$49*IF(BI23&gt;=Inputs!$F$199,1,0)</f>
        <v/>
      </c>
      <c r="BJ50" s="10">
        <f>Inputs!$F$49*IF(BJ23&gt;=Inputs!$F$199,1,0)</f>
        <v/>
      </c>
      <c r="BK50" s="10">
        <f>Inputs!$F$49*IF(BK23&gt;=Inputs!$F$199,1,0)</f>
        <v/>
      </c>
      <c r="BL50" s="10">
        <f>Inputs!$F$49*IF(BL23&gt;=Inputs!$F$199,1,0)</f>
        <v/>
      </c>
      <c r="BM50" s="10">
        <f>Inputs!$F$49*IF(BM23&gt;=Inputs!$F$199,1,0)</f>
        <v/>
      </c>
      <c r="BN50" s="10">
        <f>Inputs!$F$49*IF(BN23&gt;=Inputs!$F$199,1,0)</f>
        <v/>
      </c>
    </row>
    <row r="51">
      <c r="D51" t="inlineStr">
        <is>
          <t>Flag_AfterWaivedTests</t>
        </is>
      </c>
      <c r="E51" t="inlineStr">
        <is>
          <t>flag</t>
        </is>
      </c>
      <c r="J51" s="10">
        <f>Inputs!$F$49*IF(J23&gt;Inputs!$F$200,1,0)</f>
        <v/>
      </c>
      <c r="K51" s="10">
        <f>Inputs!$F$49*IF(K23&gt;Inputs!$F$200,1,0)</f>
        <v/>
      </c>
      <c r="L51" s="10">
        <f>Inputs!$F$49*IF(L23&gt;Inputs!$F$200,1,0)</f>
        <v/>
      </c>
      <c r="M51" s="10">
        <f>Inputs!$F$49*IF(M23&gt;Inputs!$F$200,1,0)</f>
        <v/>
      </c>
      <c r="N51" s="10">
        <f>Inputs!$F$49*IF(N23&gt;Inputs!$F$200,1,0)</f>
        <v/>
      </c>
      <c r="O51" s="10">
        <f>Inputs!$F$49*IF(O23&gt;Inputs!$F$200,1,0)</f>
        <v/>
      </c>
      <c r="P51" s="10">
        <f>Inputs!$F$49*IF(P23&gt;Inputs!$F$200,1,0)</f>
        <v/>
      </c>
      <c r="Q51" s="10">
        <f>Inputs!$F$49*IF(Q23&gt;Inputs!$F$200,1,0)</f>
        <v/>
      </c>
      <c r="R51" s="10">
        <f>Inputs!$F$49*IF(R23&gt;Inputs!$F$200,1,0)</f>
        <v/>
      </c>
      <c r="S51" s="10">
        <f>Inputs!$F$49*IF(S23&gt;Inputs!$F$200,1,0)</f>
        <v/>
      </c>
      <c r="T51" s="10">
        <f>Inputs!$F$49*IF(T23&gt;Inputs!$F$200,1,0)</f>
        <v/>
      </c>
      <c r="U51" s="10">
        <f>Inputs!$F$49*IF(U23&gt;Inputs!$F$200,1,0)</f>
        <v/>
      </c>
      <c r="V51" s="10">
        <f>Inputs!$F$49*IF(V23&gt;Inputs!$F$200,1,0)</f>
        <v/>
      </c>
      <c r="W51" s="10">
        <f>Inputs!$F$49*IF(W23&gt;Inputs!$F$200,1,0)</f>
        <v/>
      </c>
      <c r="X51" s="10">
        <f>Inputs!$F$49*IF(X23&gt;Inputs!$F$200,1,0)</f>
        <v/>
      </c>
      <c r="Y51" s="10">
        <f>Inputs!$F$49*IF(Y23&gt;Inputs!$F$200,1,0)</f>
        <v/>
      </c>
      <c r="Z51" s="10">
        <f>Inputs!$F$49*IF(Z23&gt;Inputs!$F$200,1,0)</f>
        <v/>
      </c>
      <c r="AA51" s="10">
        <f>Inputs!$F$49*IF(AA23&gt;Inputs!$F$200,1,0)</f>
        <v/>
      </c>
      <c r="AB51" s="10">
        <f>Inputs!$F$49*IF(AB23&gt;Inputs!$F$200,1,0)</f>
        <v/>
      </c>
      <c r="AC51" s="10">
        <f>Inputs!$F$49*IF(AC23&gt;Inputs!$F$200,1,0)</f>
        <v/>
      </c>
      <c r="AD51" s="10">
        <f>Inputs!$F$49*IF(AD23&gt;Inputs!$F$200,1,0)</f>
        <v/>
      </c>
      <c r="AE51" s="10">
        <f>Inputs!$F$49*IF(AE23&gt;Inputs!$F$200,1,0)</f>
        <v/>
      </c>
      <c r="AF51" s="10">
        <f>Inputs!$F$49*IF(AF23&gt;Inputs!$F$200,1,0)</f>
        <v/>
      </c>
      <c r="AG51" s="10">
        <f>Inputs!$F$49*IF(AG23&gt;Inputs!$F$200,1,0)</f>
        <v/>
      </c>
      <c r="AH51" s="10">
        <f>Inputs!$F$49*IF(AH23&gt;Inputs!$F$200,1,0)</f>
        <v/>
      </c>
      <c r="AI51" s="10">
        <f>Inputs!$F$49*IF(AI23&gt;Inputs!$F$200,1,0)</f>
        <v/>
      </c>
      <c r="AJ51" s="10">
        <f>Inputs!$F$49*IF(AJ23&gt;Inputs!$F$200,1,0)</f>
        <v/>
      </c>
      <c r="AK51" s="10">
        <f>Inputs!$F$49*IF(AK23&gt;Inputs!$F$200,1,0)</f>
        <v/>
      </c>
      <c r="AL51" s="10">
        <f>Inputs!$F$49*IF(AL23&gt;Inputs!$F$200,1,0)</f>
        <v/>
      </c>
      <c r="AM51" s="10">
        <f>Inputs!$F$49*IF(AM23&gt;Inputs!$F$200,1,0)</f>
        <v/>
      </c>
      <c r="AN51" s="10">
        <f>Inputs!$F$49*IF(AN23&gt;Inputs!$F$200,1,0)</f>
        <v/>
      </c>
      <c r="AO51" s="10">
        <f>Inputs!$F$49*IF(AO23&gt;Inputs!$F$200,1,0)</f>
        <v/>
      </c>
      <c r="AP51" s="10">
        <f>Inputs!$F$49*IF(AP23&gt;Inputs!$F$200,1,0)</f>
        <v/>
      </c>
      <c r="AQ51" s="10">
        <f>Inputs!$F$49*IF(AQ23&gt;Inputs!$F$200,1,0)</f>
        <v/>
      </c>
      <c r="AR51" s="10">
        <f>Inputs!$F$49*IF(AR23&gt;Inputs!$F$200,1,0)</f>
        <v/>
      </c>
      <c r="AS51" s="10">
        <f>Inputs!$F$49*IF(AS23&gt;Inputs!$F$200,1,0)</f>
        <v/>
      </c>
      <c r="AT51" s="10">
        <f>Inputs!$F$49*IF(AT23&gt;Inputs!$F$200,1,0)</f>
        <v/>
      </c>
      <c r="AU51" s="10">
        <f>Inputs!$F$49*IF(AU23&gt;Inputs!$F$200,1,0)</f>
        <v/>
      </c>
      <c r="AV51" s="10">
        <f>Inputs!$F$49*IF(AV23&gt;Inputs!$F$200,1,0)</f>
        <v/>
      </c>
      <c r="AW51" s="10">
        <f>Inputs!$F$49*IF(AW23&gt;Inputs!$F$200,1,0)</f>
        <v/>
      </c>
      <c r="AX51" s="10">
        <f>Inputs!$F$49*IF(AX23&gt;Inputs!$F$200,1,0)</f>
        <v/>
      </c>
      <c r="AY51" s="10">
        <f>Inputs!$F$49*IF(AY23&gt;Inputs!$F$200,1,0)</f>
        <v/>
      </c>
      <c r="AZ51" s="10">
        <f>Inputs!$F$49*IF(AZ23&gt;Inputs!$F$200,1,0)</f>
        <v/>
      </c>
      <c r="BA51" s="10">
        <f>Inputs!$F$49*IF(BA23&gt;Inputs!$F$200,1,0)</f>
        <v/>
      </c>
      <c r="BB51" s="10">
        <f>Inputs!$F$49*IF(BB23&gt;Inputs!$F$200,1,0)</f>
        <v/>
      </c>
      <c r="BC51" s="10">
        <f>Inputs!$F$49*IF(BC23&gt;Inputs!$F$200,1,0)</f>
        <v/>
      </c>
      <c r="BD51" s="10">
        <f>Inputs!$F$49*IF(BD23&gt;Inputs!$F$200,1,0)</f>
        <v/>
      </c>
      <c r="BE51" s="10">
        <f>Inputs!$F$49*IF(BE23&gt;Inputs!$F$200,1,0)</f>
        <v/>
      </c>
      <c r="BF51" s="10">
        <f>Inputs!$F$49*IF(BF23&gt;Inputs!$F$200,1,0)</f>
        <v/>
      </c>
      <c r="BG51" s="10">
        <f>Inputs!$F$49*IF(BG23&gt;Inputs!$F$200,1,0)</f>
        <v/>
      </c>
      <c r="BH51" s="10">
        <f>Inputs!$F$49*IF(BH23&gt;Inputs!$F$200,1,0)</f>
        <v/>
      </c>
      <c r="BI51" s="10">
        <f>Inputs!$F$49*IF(BI23&gt;Inputs!$F$200,1,0)</f>
        <v/>
      </c>
      <c r="BJ51" s="10">
        <f>Inputs!$F$49*IF(BJ23&gt;Inputs!$F$200,1,0)</f>
        <v/>
      </c>
      <c r="BK51" s="10">
        <f>Inputs!$F$49*IF(BK23&gt;Inputs!$F$200,1,0)</f>
        <v/>
      </c>
      <c r="BL51" s="10">
        <f>Inputs!$F$49*IF(BL23&gt;Inputs!$F$200,1,0)</f>
        <v/>
      </c>
      <c r="BM51" s="10">
        <f>Inputs!$F$49*IF(BM23&gt;Inputs!$F$200,1,0)</f>
        <v/>
      </c>
      <c r="BN51" s="10">
        <f>Inputs!$F$49*IF(BN23&gt;Inputs!$F$200,1,0)</f>
        <v/>
      </c>
    </row>
    <row r="52">
      <c r="D52" t="inlineStr">
        <is>
          <t>Flag_MiniPermSweep</t>
        </is>
      </c>
      <c r="E52" t="inlineStr">
        <is>
          <t>flag</t>
        </is>
      </c>
      <c r="J52" s="10">
        <f>IF(J22&gt;=Inputs!$F$206,1,0)</f>
        <v/>
      </c>
      <c r="K52" s="10">
        <f>IF(K22&gt;=Inputs!$F$206,1,0)</f>
        <v/>
      </c>
      <c r="L52" s="10">
        <f>IF(L22&gt;=Inputs!$F$206,1,0)</f>
        <v/>
      </c>
      <c r="M52" s="10">
        <f>IF(M22&gt;=Inputs!$F$206,1,0)</f>
        <v/>
      </c>
      <c r="N52" s="10">
        <f>IF(N22&gt;=Inputs!$F$206,1,0)</f>
        <v/>
      </c>
      <c r="O52" s="10">
        <f>IF(O22&gt;=Inputs!$F$206,1,0)</f>
        <v/>
      </c>
      <c r="P52" s="10">
        <f>IF(P22&gt;=Inputs!$F$206,1,0)</f>
        <v/>
      </c>
      <c r="Q52" s="10">
        <f>IF(Q22&gt;=Inputs!$F$206,1,0)</f>
        <v/>
      </c>
      <c r="R52" s="10">
        <f>IF(R22&gt;=Inputs!$F$206,1,0)</f>
        <v/>
      </c>
      <c r="S52" s="10">
        <f>IF(S22&gt;=Inputs!$F$206,1,0)</f>
        <v/>
      </c>
      <c r="T52" s="10">
        <f>IF(T22&gt;=Inputs!$F$206,1,0)</f>
        <v/>
      </c>
      <c r="U52" s="10">
        <f>IF(U22&gt;=Inputs!$F$206,1,0)</f>
        <v/>
      </c>
      <c r="V52" s="10">
        <f>IF(V22&gt;=Inputs!$F$206,1,0)</f>
        <v/>
      </c>
      <c r="W52" s="10">
        <f>IF(W22&gt;=Inputs!$F$206,1,0)</f>
        <v/>
      </c>
      <c r="X52" s="10">
        <f>IF(X22&gt;=Inputs!$F$206,1,0)</f>
        <v/>
      </c>
      <c r="Y52" s="10">
        <f>IF(Y22&gt;=Inputs!$F$206,1,0)</f>
        <v/>
      </c>
      <c r="Z52" s="10">
        <f>IF(Z22&gt;=Inputs!$F$206,1,0)</f>
        <v/>
      </c>
      <c r="AA52" s="10">
        <f>IF(AA22&gt;=Inputs!$F$206,1,0)</f>
        <v/>
      </c>
      <c r="AB52" s="10">
        <f>IF(AB22&gt;=Inputs!$F$206,1,0)</f>
        <v/>
      </c>
      <c r="AC52" s="10">
        <f>IF(AC22&gt;=Inputs!$F$206,1,0)</f>
        <v/>
      </c>
      <c r="AD52" s="10">
        <f>IF(AD22&gt;=Inputs!$F$206,1,0)</f>
        <v/>
      </c>
      <c r="AE52" s="10">
        <f>IF(AE22&gt;=Inputs!$F$206,1,0)</f>
        <v/>
      </c>
      <c r="AF52" s="10">
        <f>IF(AF22&gt;=Inputs!$F$206,1,0)</f>
        <v/>
      </c>
      <c r="AG52" s="10">
        <f>IF(AG22&gt;=Inputs!$F$206,1,0)</f>
        <v/>
      </c>
      <c r="AH52" s="10">
        <f>IF(AH22&gt;=Inputs!$F$206,1,0)</f>
        <v/>
      </c>
      <c r="AI52" s="10">
        <f>IF(AI22&gt;=Inputs!$F$206,1,0)</f>
        <v/>
      </c>
      <c r="AJ52" s="10">
        <f>IF(AJ22&gt;=Inputs!$F$206,1,0)</f>
        <v/>
      </c>
      <c r="AK52" s="10">
        <f>IF(AK22&gt;=Inputs!$F$206,1,0)</f>
        <v/>
      </c>
      <c r="AL52" s="10">
        <f>IF(AL22&gt;=Inputs!$F$206,1,0)</f>
        <v/>
      </c>
      <c r="AM52" s="10">
        <f>IF(AM22&gt;=Inputs!$F$206,1,0)</f>
        <v/>
      </c>
      <c r="AN52" s="10">
        <f>IF(AN22&gt;=Inputs!$F$206,1,0)</f>
        <v/>
      </c>
      <c r="AO52" s="10">
        <f>IF(AO22&gt;=Inputs!$F$206,1,0)</f>
        <v/>
      </c>
      <c r="AP52" s="10">
        <f>IF(AP22&gt;=Inputs!$F$206,1,0)</f>
        <v/>
      </c>
      <c r="AQ52" s="10">
        <f>IF(AQ22&gt;=Inputs!$F$206,1,0)</f>
        <v/>
      </c>
      <c r="AR52" s="10">
        <f>IF(AR22&gt;=Inputs!$F$206,1,0)</f>
        <v/>
      </c>
      <c r="AS52" s="10">
        <f>IF(AS22&gt;=Inputs!$F$206,1,0)</f>
        <v/>
      </c>
      <c r="AT52" s="10">
        <f>IF(AT22&gt;=Inputs!$F$206,1,0)</f>
        <v/>
      </c>
      <c r="AU52" s="10">
        <f>IF(AU22&gt;=Inputs!$F$206,1,0)</f>
        <v/>
      </c>
      <c r="AV52" s="10">
        <f>IF(AV22&gt;=Inputs!$F$206,1,0)</f>
        <v/>
      </c>
      <c r="AW52" s="10">
        <f>IF(AW22&gt;=Inputs!$F$206,1,0)</f>
        <v/>
      </c>
      <c r="AX52" s="10">
        <f>IF(AX22&gt;=Inputs!$F$206,1,0)</f>
        <v/>
      </c>
      <c r="AY52" s="10">
        <f>IF(AY22&gt;=Inputs!$F$206,1,0)</f>
        <v/>
      </c>
      <c r="AZ52" s="10">
        <f>IF(AZ22&gt;=Inputs!$F$206,1,0)</f>
        <v/>
      </c>
      <c r="BA52" s="10">
        <f>IF(BA22&gt;=Inputs!$F$206,1,0)</f>
        <v/>
      </c>
      <c r="BB52" s="10">
        <f>IF(BB22&gt;=Inputs!$F$206,1,0)</f>
        <v/>
      </c>
      <c r="BC52" s="10">
        <f>IF(BC22&gt;=Inputs!$F$206,1,0)</f>
        <v/>
      </c>
      <c r="BD52" s="10">
        <f>IF(BD22&gt;=Inputs!$F$206,1,0)</f>
        <v/>
      </c>
      <c r="BE52" s="10">
        <f>IF(BE22&gt;=Inputs!$F$206,1,0)</f>
        <v/>
      </c>
      <c r="BF52" s="10">
        <f>IF(BF22&gt;=Inputs!$F$206,1,0)</f>
        <v/>
      </c>
      <c r="BG52" s="10">
        <f>IF(BG22&gt;=Inputs!$F$206,1,0)</f>
        <v/>
      </c>
      <c r="BH52" s="10">
        <f>IF(BH22&gt;=Inputs!$F$206,1,0)</f>
        <v/>
      </c>
      <c r="BI52" s="10">
        <f>IF(BI22&gt;=Inputs!$F$206,1,0)</f>
        <v/>
      </c>
      <c r="BJ52" s="10">
        <f>IF(BJ22&gt;=Inputs!$F$206,1,0)</f>
        <v/>
      </c>
      <c r="BK52" s="10">
        <f>IF(BK22&gt;=Inputs!$F$206,1,0)</f>
        <v/>
      </c>
      <c r="BL52" s="10">
        <f>IF(BL22&gt;=Inputs!$F$206,1,0)</f>
        <v/>
      </c>
      <c r="BM52" s="10">
        <f>IF(BM22&gt;=Inputs!$F$206,1,0)</f>
        <v/>
      </c>
      <c r="BN52" s="10">
        <f>IF(BN22&gt;=Inputs!$F$206,1,0)</f>
        <v/>
      </c>
    </row>
    <row r="53">
      <c r="D53" t="inlineStr">
        <is>
          <t>Flag_SculptingPeriod (first repayment to final maturity)</t>
        </is>
      </c>
      <c r="E53" t="inlineStr">
        <is>
          <t>flag</t>
        </is>
      </c>
      <c r="J53" s="10">
        <f>IF(AND(J20&gt;=$F$13,J23&lt;=Inputs!$F$192),1,0)</f>
        <v/>
      </c>
      <c r="K53" s="10">
        <f>IF(AND(K20&gt;=$F$13,K23&lt;=Inputs!$F$192),1,0)</f>
        <v/>
      </c>
      <c r="L53" s="10">
        <f>IF(AND(L20&gt;=$F$13,L23&lt;=Inputs!$F$192),1,0)</f>
        <v/>
      </c>
      <c r="M53" s="10">
        <f>IF(AND(M20&gt;=$F$13,M23&lt;=Inputs!$F$192),1,0)</f>
        <v/>
      </c>
      <c r="N53" s="10">
        <f>IF(AND(N20&gt;=$F$13,N23&lt;=Inputs!$F$192),1,0)</f>
        <v/>
      </c>
      <c r="O53" s="10">
        <f>IF(AND(O20&gt;=$F$13,O23&lt;=Inputs!$F$192),1,0)</f>
        <v/>
      </c>
      <c r="P53" s="10">
        <f>IF(AND(P20&gt;=$F$13,P23&lt;=Inputs!$F$192),1,0)</f>
        <v/>
      </c>
      <c r="Q53" s="10">
        <f>IF(AND(Q20&gt;=$F$13,Q23&lt;=Inputs!$F$192),1,0)</f>
        <v/>
      </c>
      <c r="R53" s="10">
        <f>IF(AND(R20&gt;=$F$13,R23&lt;=Inputs!$F$192),1,0)</f>
        <v/>
      </c>
      <c r="S53" s="10">
        <f>IF(AND(S20&gt;=$F$13,S23&lt;=Inputs!$F$192),1,0)</f>
        <v/>
      </c>
      <c r="T53" s="10">
        <f>IF(AND(T20&gt;=$F$13,T23&lt;=Inputs!$F$192),1,0)</f>
        <v/>
      </c>
      <c r="U53" s="10">
        <f>IF(AND(U20&gt;=$F$13,U23&lt;=Inputs!$F$192),1,0)</f>
        <v/>
      </c>
      <c r="V53" s="10">
        <f>IF(AND(V20&gt;=$F$13,V23&lt;=Inputs!$F$192),1,0)</f>
        <v/>
      </c>
      <c r="W53" s="10">
        <f>IF(AND(W20&gt;=$F$13,W23&lt;=Inputs!$F$192),1,0)</f>
        <v/>
      </c>
      <c r="X53" s="10">
        <f>IF(AND(X20&gt;=$F$13,X23&lt;=Inputs!$F$192),1,0)</f>
        <v/>
      </c>
      <c r="Y53" s="10">
        <f>IF(AND(Y20&gt;=$F$13,Y23&lt;=Inputs!$F$192),1,0)</f>
        <v/>
      </c>
      <c r="Z53" s="10">
        <f>IF(AND(Z20&gt;=$F$13,Z23&lt;=Inputs!$F$192),1,0)</f>
        <v/>
      </c>
      <c r="AA53" s="10">
        <f>IF(AND(AA20&gt;=$F$13,AA23&lt;=Inputs!$F$192),1,0)</f>
        <v/>
      </c>
      <c r="AB53" s="10">
        <f>IF(AND(AB20&gt;=$F$13,AB23&lt;=Inputs!$F$192),1,0)</f>
        <v/>
      </c>
      <c r="AC53" s="10">
        <f>IF(AND(AC20&gt;=$F$13,AC23&lt;=Inputs!$F$192),1,0)</f>
        <v/>
      </c>
      <c r="AD53" s="10">
        <f>IF(AND(AD20&gt;=$F$13,AD23&lt;=Inputs!$F$192),1,0)</f>
        <v/>
      </c>
      <c r="AE53" s="10">
        <f>IF(AND(AE20&gt;=$F$13,AE23&lt;=Inputs!$F$192),1,0)</f>
        <v/>
      </c>
      <c r="AF53" s="10">
        <f>IF(AND(AF20&gt;=$F$13,AF23&lt;=Inputs!$F$192),1,0)</f>
        <v/>
      </c>
      <c r="AG53" s="10">
        <f>IF(AND(AG20&gt;=$F$13,AG23&lt;=Inputs!$F$192),1,0)</f>
        <v/>
      </c>
      <c r="AH53" s="10">
        <f>IF(AND(AH20&gt;=$F$13,AH23&lt;=Inputs!$F$192),1,0)</f>
        <v/>
      </c>
      <c r="AI53" s="10">
        <f>IF(AND(AI20&gt;=$F$13,AI23&lt;=Inputs!$F$192),1,0)</f>
        <v/>
      </c>
      <c r="AJ53" s="10">
        <f>IF(AND(AJ20&gt;=$F$13,AJ23&lt;=Inputs!$F$192),1,0)</f>
        <v/>
      </c>
      <c r="AK53" s="10">
        <f>IF(AND(AK20&gt;=$F$13,AK23&lt;=Inputs!$F$192),1,0)</f>
        <v/>
      </c>
      <c r="AL53" s="10">
        <f>IF(AND(AL20&gt;=$F$13,AL23&lt;=Inputs!$F$192),1,0)</f>
        <v/>
      </c>
      <c r="AM53" s="10">
        <f>IF(AND(AM20&gt;=$F$13,AM23&lt;=Inputs!$F$192),1,0)</f>
        <v/>
      </c>
      <c r="AN53" s="10">
        <f>IF(AND(AN20&gt;=$F$13,AN23&lt;=Inputs!$F$192),1,0)</f>
        <v/>
      </c>
      <c r="AO53" s="10">
        <f>IF(AND(AO20&gt;=$F$13,AO23&lt;=Inputs!$F$192),1,0)</f>
        <v/>
      </c>
      <c r="AP53" s="10">
        <f>IF(AND(AP20&gt;=$F$13,AP23&lt;=Inputs!$F$192),1,0)</f>
        <v/>
      </c>
      <c r="AQ53" s="10">
        <f>IF(AND(AQ20&gt;=$F$13,AQ23&lt;=Inputs!$F$192),1,0)</f>
        <v/>
      </c>
      <c r="AR53" s="10">
        <f>IF(AND(AR20&gt;=$F$13,AR23&lt;=Inputs!$F$192),1,0)</f>
        <v/>
      </c>
      <c r="AS53" s="10">
        <f>IF(AND(AS20&gt;=$F$13,AS23&lt;=Inputs!$F$192),1,0)</f>
        <v/>
      </c>
      <c r="AT53" s="10">
        <f>IF(AND(AT20&gt;=$F$13,AT23&lt;=Inputs!$F$192),1,0)</f>
        <v/>
      </c>
      <c r="AU53" s="10">
        <f>IF(AND(AU20&gt;=$F$13,AU23&lt;=Inputs!$F$192),1,0)</f>
        <v/>
      </c>
      <c r="AV53" s="10">
        <f>IF(AND(AV20&gt;=$F$13,AV23&lt;=Inputs!$F$192),1,0)</f>
        <v/>
      </c>
      <c r="AW53" s="10">
        <f>IF(AND(AW20&gt;=$F$13,AW23&lt;=Inputs!$F$192),1,0)</f>
        <v/>
      </c>
      <c r="AX53" s="10">
        <f>IF(AND(AX20&gt;=$F$13,AX23&lt;=Inputs!$F$192),1,0)</f>
        <v/>
      </c>
      <c r="AY53" s="10">
        <f>IF(AND(AY20&gt;=$F$13,AY23&lt;=Inputs!$F$192),1,0)</f>
        <v/>
      </c>
      <c r="AZ53" s="10">
        <f>IF(AND(AZ20&gt;=$F$13,AZ23&lt;=Inputs!$F$192),1,0)</f>
        <v/>
      </c>
      <c r="BA53" s="10">
        <f>IF(AND(BA20&gt;=$F$13,BA23&lt;=Inputs!$F$192),1,0)</f>
        <v/>
      </c>
      <c r="BB53" s="10">
        <f>IF(AND(BB20&gt;=$F$13,BB23&lt;=Inputs!$F$192),1,0)</f>
        <v/>
      </c>
      <c r="BC53" s="10">
        <f>IF(AND(BC20&gt;=$F$13,BC23&lt;=Inputs!$F$192),1,0)</f>
        <v/>
      </c>
      <c r="BD53" s="10">
        <f>IF(AND(BD20&gt;=$F$13,BD23&lt;=Inputs!$F$192),1,0)</f>
        <v/>
      </c>
      <c r="BE53" s="10">
        <f>IF(AND(BE20&gt;=$F$13,BE23&lt;=Inputs!$F$192),1,0)</f>
        <v/>
      </c>
      <c r="BF53" s="10">
        <f>IF(AND(BF20&gt;=$F$13,BF23&lt;=Inputs!$F$192),1,0)</f>
        <v/>
      </c>
      <c r="BG53" s="10">
        <f>IF(AND(BG20&gt;=$F$13,BG23&lt;=Inputs!$F$192),1,0)</f>
        <v/>
      </c>
      <c r="BH53" s="10">
        <f>IF(AND(BH20&gt;=$F$13,BH23&lt;=Inputs!$F$192),1,0)</f>
        <v/>
      </c>
      <c r="BI53" s="10">
        <f>IF(AND(BI20&gt;=$F$13,BI23&lt;=Inputs!$F$192),1,0)</f>
        <v/>
      </c>
      <c r="BJ53" s="10">
        <f>IF(AND(BJ20&gt;=$F$13,BJ23&lt;=Inputs!$F$192),1,0)</f>
        <v/>
      </c>
      <c r="BK53" s="10">
        <f>IF(AND(BK20&gt;=$F$13,BK23&lt;=Inputs!$F$192),1,0)</f>
        <v/>
      </c>
      <c r="BL53" s="10">
        <f>IF(AND(BL20&gt;=$F$13,BL23&lt;=Inputs!$F$192),1,0)</f>
        <v/>
      </c>
      <c r="BM53" s="10">
        <f>IF(AND(BM20&gt;=$F$13,BM23&lt;=Inputs!$F$192),1,0)</f>
        <v/>
      </c>
      <c r="BN53" s="10">
        <f>IF(AND(BN20&gt;=$F$13,BN23&lt;=Inputs!$F$192),1,0)</f>
        <v/>
      </c>
    </row>
    <row r="54">
      <c r="D54" t="inlineStr">
        <is>
          <t>Flag_ReforecastProjection</t>
        </is>
      </c>
      <c r="E54" t="inlineStr">
        <is>
          <t>flag</t>
        </is>
      </c>
      <c r="J54" s="10">
        <f>IF(J22&gt;=Inputs!$F$194,1,0)</f>
        <v/>
      </c>
      <c r="K54" s="10">
        <f>IF(K22&gt;=Inputs!$F$194,1,0)</f>
        <v/>
      </c>
      <c r="L54" s="10">
        <f>IF(L22&gt;=Inputs!$F$194,1,0)</f>
        <v/>
      </c>
      <c r="M54" s="10">
        <f>IF(M22&gt;=Inputs!$F$194,1,0)</f>
        <v/>
      </c>
      <c r="N54" s="10">
        <f>IF(N22&gt;=Inputs!$F$194,1,0)</f>
        <v/>
      </c>
      <c r="O54" s="10">
        <f>IF(O22&gt;=Inputs!$F$194,1,0)</f>
        <v/>
      </c>
      <c r="P54" s="10">
        <f>IF(P22&gt;=Inputs!$F$194,1,0)</f>
        <v/>
      </c>
      <c r="Q54" s="10">
        <f>IF(Q22&gt;=Inputs!$F$194,1,0)</f>
        <v/>
      </c>
      <c r="R54" s="10">
        <f>IF(R22&gt;=Inputs!$F$194,1,0)</f>
        <v/>
      </c>
      <c r="S54" s="10">
        <f>IF(S22&gt;=Inputs!$F$194,1,0)</f>
        <v/>
      </c>
      <c r="T54" s="10">
        <f>IF(T22&gt;=Inputs!$F$194,1,0)</f>
        <v/>
      </c>
      <c r="U54" s="10">
        <f>IF(U22&gt;=Inputs!$F$194,1,0)</f>
        <v/>
      </c>
      <c r="V54" s="10">
        <f>IF(V22&gt;=Inputs!$F$194,1,0)</f>
        <v/>
      </c>
      <c r="W54" s="10">
        <f>IF(W22&gt;=Inputs!$F$194,1,0)</f>
        <v/>
      </c>
      <c r="X54" s="10">
        <f>IF(X22&gt;=Inputs!$F$194,1,0)</f>
        <v/>
      </c>
      <c r="Y54" s="10">
        <f>IF(Y22&gt;=Inputs!$F$194,1,0)</f>
        <v/>
      </c>
      <c r="Z54" s="10">
        <f>IF(Z22&gt;=Inputs!$F$194,1,0)</f>
        <v/>
      </c>
      <c r="AA54" s="10">
        <f>IF(AA22&gt;=Inputs!$F$194,1,0)</f>
        <v/>
      </c>
      <c r="AB54" s="10">
        <f>IF(AB22&gt;=Inputs!$F$194,1,0)</f>
        <v/>
      </c>
      <c r="AC54" s="10">
        <f>IF(AC22&gt;=Inputs!$F$194,1,0)</f>
        <v/>
      </c>
      <c r="AD54" s="10">
        <f>IF(AD22&gt;=Inputs!$F$194,1,0)</f>
        <v/>
      </c>
      <c r="AE54" s="10">
        <f>IF(AE22&gt;=Inputs!$F$194,1,0)</f>
        <v/>
      </c>
      <c r="AF54" s="10">
        <f>IF(AF22&gt;=Inputs!$F$194,1,0)</f>
        <v/>
      </c>
      <c r="AG54" s="10">
        <f>IF(AG22&gt;=Inputs!$F$194,1,0)</f>
        <v/>
      </c>
      <c r="AH54" s="10">
        <f>IF(AH22&gt;=Inputs!$F$194,1,0)</f>
        <v/>
      </c>
      <c r="AI54" s="10">
        <f>IF(AI22&gt;=Inputs!$F$194,1,0)</f>
        <v/>
      </c>
      <c r="AJ54" s="10">
        <f>IF(AJ22&gt;=Inputs!$F$194,1,0)</f>
        <v/>
      </c>
      <c r="AK54" s="10">
        <f>IF(AK22&gt;=Inputs!$F$194,1,0)</f>
        <v/>
      </c>
      <c r="AL54" s="10">
        <f>IF(AL22&gt;=Inputs!$F$194,1,0)</f>
        <v/>
      </c>
      <c r="AM54" s="10">
        <f>IF(AM22&gt;=Inputs!$F$194,1,0)</f>
        <v/>
      </c>
      <c r="AN54" s="10">
        <f>IF(AN22&gt;=Inputs!$F$194,1,0)</f>
        <v/>
      </c>
      <c r="AO54" s="10">
        <f>IF(AO22&gt;=Inputs!$F$194,1,0)</f>
        <v/>
      </c>
      <c r="AP54" s="10">
        <f>IF(AP22&gt;=Inputs!$F$194,1,0)</f>
        <v/>
      </c>
      <c r="AQ54" s="10">
        <f>IF(AQ22&gt;=Inputs!$F$194,1,0)</f>
        <v/>
      </c>
      <c r="AR54" s="10">
        <f>IF(AR22&gt;=Inputs!$F$194,1,0)</f>
        <v/>
      </c>
      <c r="AS54" s="10">
        <f>IF(AS22&gt;=Inputs!$F$194,1,0)</f>
        <v/>
      </c>
      <c r="AT54" s="10">
        <f>IF(AT22&gt;=Inputs!$F$194,1,0)</f>
        <v/>
      </c>
      <c r="AU54" s="10">
        <f>IF(AU22&gt;=Inputs!$F$194,1,0)</f>
        <v/>
      </c>
      <c r="AV54" s="10">
        <f>IF(AV22&gt;=Inputs!$F$194,1,0)</f>
        <v/>
      </c>
      <c r="AW54" s="10">
        <f>IF(AW22&gt;=Inputs!$F$194,1,0)</f>
        <v/>
      </c>
      <c r="AX54" s="10">
        <f>IF(AX22&gt;=Inputs!$F$194,1,0)</f>
        <v/>
      </c>
      <c r="AY54" s="10">
        <f>IF(AY22&gt;=Inputs!$F$194,1,0)</f>
        <v/>
      </c>
      <c r="AZ54" s="10">
        <f>IF(AZ22&gt;=Inputs!$F$194,1,0)</f>
        <v/>
      </c>
      <c r="BA54" s="10">
        <f>IF(BA22&gt;=Inputs!$F$194,1,0)</f>
        <v/>
      </c>
      <c r="BB54" s="10">
        <f>IF(BB22&gt;=Inputs!$F$194,1,0)</f>
        <v/>
      </c>
      <c r="BC54" s="10">
        <f>IF(BC22&gt;=Inputs!$F$194,1,0)</f>
        <v/>
      </c>
      <c r="BD54" s="10">
        <f>IF(BD22&gt;=Inputs!$F$194,1,0)</f>
        <v/>
      </c>
      <c r="BE54" s="10">
        <f>IF(BE22&gt;=Inputs!$F$194,1,0)</f>
        <v/>
      </c>
      <c r="BF54" s="10">
        <f>IF(BF22&gt;=Inputs!$F$194,1,0)</f>
        <v/>
      </c>
      <c r="BG54" s="10">
        <f>IF(BG22&gt;=Inputs!$F$194,1,0)</f>
        <v/>
      </c>
      <c r="BH54" s="10">
        <f>IF(BH22&gt;=Inputs!$F$194,1,0)</f>
        <v/>
      </c>
      <c r="BI54" s="10">
        <f>IF(BI22&gt;=Inputs!$F$194,1,0)</f>
        <v/>
      </c>
      <c r="BJ54" s="10">
        <f>IF(BJ22&gt;=Inputs!$F$194,1,0)</f>
        <v/>
      </c>
      <c r="BK54" s="10">
        <f>IF(BK22&gt;=Inputs!$F$194,1,0)</f>
        <v/>
      </c>
      <c r="BL54" s="10">
        <f>IF(BL22&gt;=Inputs!$F$194,1,0)</f>
        <v/>
      </c>
      <c r="BM54" s="10">
        <f>IF(BM22&gt;=Inputs!$F$194,1,0)</f>
        <v/>
      </c>
      <c r="BN54" s="10">
        <f>IF(BN22&gt;=Inputs!$F$194,1,0)</f>
        <v/>
      </c>
    </row>
    <row r="55">
      <c r="D55" t="inlineStr">
        <is>
          <t>Days of late-payment interest accrual to settlement</t>
        </is>
      </c>
      <c r="E55" t="inlineStr">
        <is>
          <t>days</t>
        </is>
      </c>
      <c r="J55" s="10">
        <f>MAX(0,MIN(J25,Inputs!$F$197-J22))</f>
        <v/>
      </c>
      <c r="K55" s="10">
        <f>MAX(0,MIN(K25,Inputs!$F$197-K22))</f>
        <v/>
      </c>
      <c r="L55" s="10">
        <f>MAX(0,MIN(L25,Inputs!$F$197-L22))</f>
        <v/>
      </c>
      <c r="M55" s="10">
        <f>MAX(0,MIN(M25,Inputs!$F$197-M22))</f>
        <v/>
      </c>
      <c r="N55" s="10">
        <f>MAX(0,MIN(N25,Inputs!$F$197-N22))</f>
        <v/>
      </c>
      <c r="O55" s="10">
        <f>MAX(0,MIN(O25,Inputs!$F$197-O22))</f>
        <v/>
      </c>
      <c r="P55" s="10">
        <f>MAX(0,MIN(P25,Inputs!$F$197-P22))</f>
        <v/>
      </c>
      <c r="Q55" s="10">
        <f>MAX(0,MIN(Q25,Inputs!$F$197-Q22))</f>
        <v/>
      </c>
      <c r="R55" s="10">
        <f>MAX(0,MIN(R25,Inputs!$F$197-R22))</f>
        <v/>
      </c>
      <c r="S55" s="10">
        <f>MAX(0,MIN(S25,Inputs!$F$197-S22))</f>
        <v/>
      </c>
      <c r="T55" s="10">
        <f>MAX(0,MIN(T25,Inputs!$F$197-T22))</f>
        <v/>
      </c>
      <c r="U55" s="10">
        <f>MAX(0,MIN(U25,Inputs!$F$197-U22))</f>
        <v/>
      </c>
      <c r="V55" s="10">
        <f>MAX(0,MIN(V25,Inputs!$F$197-V22))</f>
        <v/>
      </c>
      <c r="W55" s="10">
        <f>MAX(0,MIN(W25,Inputs!$F$197-W22))</f>
        <v/>
      </c>
      <c r="X55" s="10">
        <f>MAX(0,MIN(X25,Inputs!$F$197-X22))</f>
        <v/>
      </c>
      <c r="Y55" s="10">
        <f>MAX(0,MIN(Y25,Inputs!$F$197-Y22))</f>
        <v/>
      </c>
      <c r="Z55" s="10">
        <f>MAX(0,MIN(Z25,Inputs!$F$197-Z22))</f>
        <v/>
      </c>
      <c r="AA55" s="10">
        <f>MAX(0,MIN(AA25,Inputs!$F$197-AA22))</f>
        <v/>
      </c>
      <c r="AB55" s="10">
        <f>MAX(0,MIN(AB25,Inputs!$F$197-AB22))</f>
        <v/>
      </c>
      <c r="AC55" s="10">
        <f>MAX(0,MIN(AC25,Inputs!$F$197-AC22))</f>
        <v/>
      </c>
      <c r="AD55" s="10">
        <f>MAX(0,MIN(AD25,Inputs!$F$197-AD22))</f>
        <v/>
      </c>
      <c r="AE55" s="10">
        <f>MAX(0,MIN(AE25,Inputs!$F$197-AE22))</f>
        <v/>
      </c>
      <c r="AF55" s="10">
        <f>MAX(0,MIN(AF25,Inputs!$F$197-AF22))</f>
        <v/>
      </c>
      <c r="AG55" s="10">
        <f>MAX(0,MIN(AG25,Inputs!$F$197-AG22))</f>
        <v/>
      </c>
      <c r="AH55" s="10">
        <f>MAX(0,MIN(AH25,Inputs!$F$197-AH22))</f>
        <v/>
      </c>
      <c r="AI55" s="10">
        <f>MAX(0,MIN(AI25,Inputs!$F$197-AI22))</f>
        <v/>
      </c>
      <c r="AJ55" s="10">
        <f>MAX(0,MIN(AJ25,Inputs!$F$197-AJ22))</f>
        <v/>
      </c>
      <c r="AK55" s="10">
        <f>MAX(0,MIN(AK25,Inputs!$F$197-AK22))</f>
        <v/>
      </c>
      <c r="AL55" s="10">
        <f>MAX(0,MIN(AL25,Inputs!$F$197-AL22))</f>
        <v/>
      </c>
      <c r="AM55" s="10">
        <f>MAX(0,MIN(AM25,Inputs!$F$197-AM22))</f>
        <v/>
      </c>
      <c r="AN55" s="10">
        <f>MAX(0,MIN(AN25,Inputs!$F$197-AN22))</f>
        <v/>
      </c>
      <c r="AO55" s="10">
        <f>MAX(0,MIN(AO25,Inputs!$F$197-AO22))</f>
        <v/>
      </c>
      <c r="AP55" s="10">
        <f>MAX(0,MIN(AP25,Inputs!$F$197-AP22))</f>
        <v/>
      </c>
      <c r="AQ55" s="10">
        <f>MAX(0,MIN(AQ25,Inputs!$F$197-AQ22))</f>
        <v/>
      </c>
      <c r="AR55" s="10">
        <f>MAX(0,MIN(AR25,Inputs!$F$197-AR22))</f>
        <v/>
      </c>
      <c r="AS55" s="10">
        <f>MAX(0,MIN(AS25,Inputs!$F$197-AS22))</f>
        <v/>
      </c>
      <c r="AT55" s="10">
        <f>MAX(0,MIN(AT25,Inputs!$F$197-AT22))</f>
        <v/>
      </c>
      <c r="AU55" s="10">
        <f>MAX(0,MIN(AU25,Inputs!$F$197-AU22))</f>
        <v/>
      </c>
      <c r="AV55" s="10">
        <f>MAX(0,MIN(AV25,Inputs!$F$197-AV22))</f>
        <v/>
      </c>
      <c r="AW55" s="10">
        <f>MAX(0,MIN(AW25,Inputs!$F$197-AW22))</f>
        <v/>
      </c>
      <c r="AX55" s="10">
        <f>MAX(0,MIN(AX25,Inputs!$F$197-AX22))</f>
        <v/>
      </c>
      <c r="AY55" s="10">
        <f>MAX(0,MIN(AY25,Inputs!$F$197-AY22))</f>
        <v/>
      </c>
      <c r="AZ55" s="10">
        <f>MAX(0,MIN(AZ25,Inputs!$F$197-AZ22))</f>
        <v/>
      </c>
      <c r="BA55" s="10">
        <f>MAX(0,MIN(BA25,Inputs!$F$197-BA22))</f>
        <v/>
      </c>
      <c r="BB55" s="10">
        <f>MAX(0,MIN(BB25,Inputs!$F$197-BB22))</f>
        <v/>
      </c>
      <c r="BC55" s="10">
        <f>MAX(0,MIN(BC25,Inputs!$F$197-BC22))</f>
        <v/>
      </c>
      <c r="BD55" s="10">
        <f>MAX(0,MIN(BD25,Inputs!$F$197-BD22))</f>
        <v/>
      </c>
      <c r="BE55" s="10">
        <f>MAX(0,MIN(BE25,Inputs!$F$197-BE22))</f>
        <v/>
      </c>
      <c r="BF55" s="10">
        <f>MAX(0,MIN(BF25,Inputs!$F$197-BF22))</f>
        <v/>
      </c>
      <c r="BG55" s="10">
        <f>MAX(0,MIN(BG25,Inputs!$F$197-BG22))</f>
        <v/>
      </c>
      <c r="BH55" s="10">
        <f>MAX(0,MIN(BH25,Inputs!$F$197-BH22))</f>
        <v/>
      </c>
      <c r="BI55" s="10">
        <f>MAX(0,MIN(BI25,Inputs!$F$197-BI22))</f>
        <v/>
      </c>
      <c r="BJ55" s="10">
        <f>MAX(0,MIN(BJ25,Inputs!$F$197-BJ22))</f>
        <v/>
      </c>
      <c r="BK55" s="10">
        <f>MAX(0,MIN(BK25,Inputs!$F$197-BK22))</f>
        <v/>
      </c>
      <c r="BL55" s="10">
        <f>MAX(0,MIN(BL25,Inputs!$F$197-BL22))</f>
        <v/>
      </c>
      <c r="BM55" s="10">
        <f>MAX(0,MIN(BM25,Inputs!$F$197-BM22))</f>
        <v/>
      </c>
      <c r="BN55" s="10">
        <f>MAX(0,MIN(BN25,Inputs!$F$197-BN22))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10">
        <f>I8+1</f>
        <v/>
      </c>
      <c r="K8" s="10">
        <f>J8+1</f>
        <v/>
      </c>
      <c r="L8" s="10">
        <f>K8+1</f>
        <v/>
      </c>
      <c r="M8" s="10">
        <f>L8+1</f>
        <v/>
      </c>
      <c r="N8" s="10">
        <f>M8+1</f>
        <v/>
      </c>
      <c r="O8" s="10">
        <f>N8+1</f>
        <v/>
      </c>
      <c r="P8" s="10">
        <f>O8+1</f>
        <v/>
      </c>
      <c r="Q8" s="10">
        <f>P8+1</f>
        <v/>
      </c>
      <c r="R8" s="10">
        <f>Q8+1</f>
        <v/>
      </c>
      <c r="S8" s="10">
        <f>R8+1</f>
        <v/>
      </c>
      <c r="T8" s="10">
        <f>S8+1</f>
        <v/>
      </c>
      <c r="U8" s="10">
        <f>T8+1</f>
        <v/>
      </c>
      <c r="V8" s="10">
        <f>U8+1</f>
        <v/>
      </c>
      <c r="W8" s="10">
        <f>V8+1</f>
        <v/>
      </c>
      <c r="X8" s="10">
        <f>W8+1</f>
        <v/>
      </c>
      <c r="Y8" s="10">
        <f>X8+1</f>
        <v/>
      </c>
      <c r="Z8" s="10">
        <f>Y8+1</f>
        <v/>
      </c>
      <c r="AA8" s="10">
        <f>Z8+1</f>
        <v/>
      </c>
      <c r="AB8" s="10">
        <f>AA8+1</f>
        <v/>
      </c>
      <c r="AC8" s="10">
        <f>AB8+1</f>
        <v/>
      </c>
      <c r="AD8" s="10">
        <f>AC8+1</f>
        <v/>
      </c>
      <c r="AE8" s="10">
        <f>AD8+1</f>
        <v/>
      </c>
      <c r="AF8" s="10">
        <f>AE8+1</f>
        <v/>
      </c>
      <c r="AG8" s="10">
        <f>AF8+1</f>
        <v/>
      </c>
      <c r="AH8" s="10">
        <f>AG8+1</f>
        <v/>
      </c>
      <c r="AI8" s="10">
        <f>AH8+1</f>
        <v/>
      </c>
      <c r="AJ8" s="10">
        <f>AI8+1</f>
        <v/>
      </c>
      <c r="AK8" s="10">
        <f>AJ8+1</f>
        <v/>
      </c>
      <c r="AL8" s="10">
        <f>AK8+1</f>
        <v/>
      </c>
      <c r="AM8" s="10">
        <f>AL8+1</f>
        <v/>
      </c>
      <c r="AN8" s="10">
        <f>AM8+1</f>
        <v/>
      </c>
      <c r="AO8" s="10">
        <f>AN8+1</f>
        <v/>
      </c>
      <c r="AP8" s="10">
        <f>AO8+1</f>
        <v/>
      </c>
      <c r="AQ8" s="10">
        <f>AP8+1</f>
        <v/>
      </c>
      <c r="AR8" s="10">
        <f>AQ8+1</f>
        <v/>
      </c>
      <c r="AS8" s="10">
        <f>AR8+1</f>
        <v/>
      </c>
      <c r="AT8" s="10">
        <f>AS8+1</f>
        <v/>
      </c>
      <c r="AU8" s="10">
        <f>AT8+1</f>
        <v/>
      </c>
      <c r="AV8" s="10">
        <f>AU8+1</f>
        <v/>
      </c>
      <c r="AW8" s="10">
        <f>AV8+1</f>
        <v/>
      </c>
      <c r="AX8" s="10">
        <f>AW8+1</f>
        <v/>
      </c>
      <c r="AY8" s="10">
        <f>AX8+1</f>
        <v/>
      </c>
      <c r="AZ8" s="10">
        <f>AY8+1</f>
        <v/>
      </c>
      <c r="BA8" s="10">
        <f>AZ8+1</f>
        <v/>
      </c>
      <c r="BB8" s="10">
        <f>BA8+1</f>
        <v/>
      </c>
      <c r="BC8" s="10">
        <f>BB8+1</f>
        <v/>
      </c>
      <c r="BD8" s="10">
        <f>BC8+1</f>
        <v/>
      </c>
      <c r="BE8" s="10">
        <f>BD8+1</f>
        <v/>
      </c>
      <c r="BF8" s="10">
        <f>BE8+1</f>
        <v/>
      </c>
      <c r="BG8" s="10">
        <f>BF8+1</f>
        <v/>
      </c>
      <c r="BH8" s="10">
        <f>BG8+1</f>
        <v/>
      </c>
      <c r="BI8" s="10">
        <f>BH8+1</f>
        <v/>
      </c>
      <c r="BJ8" s="10">
        <f>BI8+1</f>
        <v/>
      </c>
    </row>
    <row r="9">
      <c r="D9" t="inlineStr">
        <is>
          <t>Month start</t>
        </is>
      </c>
      <c r="E9" t="inlineStr">
        <is>
          <t>date</t>
        </is>
      </c>
      <c r="J9" s="9">
        <f>IF(J8=1,Inputs!$F$188,EDATE(I9,1))</f>
        <v/>
      </c>
      <c r="K9" s="9">
        <f>IF(K8=1,Inputs!$F$188,EDATE(J9,1))</f>
        <v/>
      </c>
      <c r="L9" s="9">
        <f>IF(L8=1,Inputs!$F$188,EDATE(K9,1))</f>
        <v/>
      </c>
      <c r="M9" s="9">
        <f>IF(M8=1,Inputs!$F$188,EDATE(L9,1))</f>
        <v/>
      </c>
      <c r="N9" s="9">
        <f>IF(N8=1,Inputs!$F$188,EDATE(M9,1))</f>
        <v/>
      </c>
      <c r="O9" s="9">
        <f>IF(O8=1,Inputs!$F$188,EDATE(N9,1))</f>
        <v/>
      </c>
      <c r="P9" s="9">
        <f>IF(P8=1,Inputs!$F$188,EDATE(O9,1))</f>
        <v/>
      </c>
      <c r="Q9" s="9">
        <f>IF(Q8=1,Inputs!$F$188,EDATE(P9,1))</f>
        <v/>
      </c>
      <c r="R9" s="9">
        <f>IF(R8=1,Inputs!$F$188,EDATE(Q9,1))</f>
        <v/>
      </c>
      <c r="S9" s="9">
        <f>IF(S8=1,Inputs!$F$188,EDATE(R9,1))</f>
        <v/>
      </c>
      <c r="T9" s="9">
        <f>IF(T8=1,Inputs!$F$188,EDATE(S9,1))</f>
        <v/>
      </c>
      <c r="U9" s="9">
        <f>IF(U8=1,Inputs!$F$188,EDATE(T9,1))</f>
        <v/>
      </c>
      <c r="V9" s="9">
        <f>IF(V8=1,Inputs!$F$188,EDATE(U9,1))</f>
        <v/>
      </c>
      <c r="W9" s="9">
        <f>IF(W8=1,Inputs!$F$188,EDATE(V9,1))</f>
        <v/>
      </c>
      <c r="X9" s="9">
        <f>IF(X8=1,Inputs!$F$188,EDATE(W9,1))</f>
        <v/>
      </c>
      <c r="Y9" s="9">
        <f>IF(Y8=1,Inputs!$F$188,EDATE(X9,1))</f>
        <v/>
      </c>
      <c r="Z9" s="9">
        <f>IF(Z8=1,Inputs!$F$188,EDATE(Y9,1))</f>
        <v/>
      </c>
      <c r="AA9" s="9">
        <f>IF(AA8=1,Inputs!$F$188,EDATE(Z9,1))</f>
        <v/>
      </c>
      <c r="AB9" s="9">
        <f>IF(AB8=1,Inputs!$F$188,EDATE(AA9,1))</f>
        <v/>
      </c>
      <c r="AC9" s="9">
        <f>IF(AC8=1,Inputs!$F$188,EDATE(AB9,1))</f>
        <v/>
      </c>
      <c r="AD9" s="9">
        <f>IF(AD8=1,Inputs!$F$188,EDATE(AC9,1))</f>
        <v/>
      </c>
      <c r="AE9" s="9">
        <f>IF(AE8=1,Inputs!$F$188,EDATE(AD9,1))</f>
        <v/>
      </c>
      <c r="AF9" s="9">
        <f>IF(AF8=1,Inputs!$F$188,EDATE(AE9,1))</f>
        <v/>
      </c>
      <c r="AG9" s="9">
        <f>IF(AG8=1,Inputs!$F$188,EDATE(AF9,1))</f>
        <v/>
      </c>
      <c r="AH9" s="9">
        <f>IF(AH8=1,Inputs!$F$188,EDATE(AG9,1))</f>
        <v/>
      </c>
      <c r="AI9" s="9">
        <f>IF(AI8=1,Inputs!$F$188,EDATE(AH9,1))</f>
        <v/>
      </c>
      <c r="AJ9" s="9">
        <f>IF(AJ8=1,Inputs!$F$188,EDATE(AI9,1))</f>
        <v/>
      </c>
      <c r="AK9" s="9">
        <f>IF(AK8=1,Inputs!$F$188,EDATE(AJ9,1))</f>
        <v/>
      </c>
      <c r="AL9" s="9">
        <f>IF(AL8=1,Inputs!$F$188,EDATE(AK9,1))</f>
        <v/>
      </c>
      <c r="AM9" s="9">
        <f>IF(AM8=1,Inputs!$F$188,EDATE(AL9,1))</f>
        <v/>
      </c>
      <c r="AN9" s="9">
        <f>IF(AN8=1,Inputs!$F$188,EDATE(AM9,1))</f>
        <v/>
      </c>
      <c r="AO9" s="9">
        <f>IF(AO8=1,Inputs!$F$188,EDATE(AN9,1))</f>
        <v/>
      </c>
      <c r="AP9" s="9">
        <f>IF(AP8=1,Inputs!$F$188,EDATE(AO9,1))</f>
        <v/>
      </c>
      <c r="AQ9" s="9">
        <f>IF(AQ8=1,Inputs!$F$188,EDATE(AP9,1))</f>
        <v/>
      </c>
      <c r="AR9" s="9">
        <f>IF(AR8=1,Inputs!$F$188,EDATE(AQ9,1))</f>
        <v/>
      </c>
      <c r="AS9" s="9">
        <f>IF(AS8=1,Inputs!$F$188,EDATE(AR9,1))</f>
        <v/>
      </c>
      <c r="AT9" s="9">
        <f>IF(AT8=1,Inputs!$F$188,EDATE(AS9,1))</f>
        <v/>
      </c>
      <c r="AU9" s="9">
        <f>IF(AU8=1,Inputs!$F$188,EDATE(AT9,1))</f>
        <v/>
      </c>
      <c r="AV9" s="9">
        <f>IF(AV8=1,Inputs!$F$188,EDATE(AU9,1))</f>
        <v/>
      </c>
      <c r="AW9" s="9">
        <f>IF(AW8=1,Inputs!$F$188,EDATE(AV9,1))</f>
        <v/>
      </c>
      <c r="AX9" s="9">
        <f>IF(AX8=1,Inputs!$F$188,EDATE(AW9,1))</f>
        <v/>
      </c>
      <c r="AY9" s="9">
        <f>IF(AY8=1,Inputs!$F$188,EDATE(AX9,1))</f>
        <v/>
      </c>
      <c r="AZ9" s="9">
        <f>IF(AZ8=1,Inputs!$F$188,EDATE(AY9,1))</f>
        <v/>
      </c>
      <c r="BA9" s="9">
        <f>IF(BA8=1,Inputs!$F$188,EDATE(AZ9,1))</f>
        <v/>
      </c>
      <c r="BB9" s="9">
        <f>IF(BB8=1,Inputs!$F$188,EDATE(BA9,1))</f>
        <v/>
      </c>
      <c r="BC9" s="9">
        <f>IF(BC8=1,Inputs!$F$188,EDATE(BB9,1))</f>
        <v/>
      </c>
      <c r="BD9" s="9">
        <f>IF(BD8=1,Inputs!$F$188,EDATE(BC9,1))</f>
        <v/>
      </c>
      <c r="BE9" s="9">
        <f>IF(BE8=1,Inputs!$F$188,EDATE(BD9,1))</f>
        <v/>
      </c>
      <c r="BF9" s="9">
        <f>IF(BF8=1,Inputs!$F$188,EDATE(BE9,1))</f>
        <v/>
      </c>
      <c r="BG9" s="9">
        <f>IF(BG8=1,Inputs!$F$188,EDATE(BF9,1))</f>
        <v/>
      </c>
      <c r="BH9" s="9">
        <f>IF(BH8=1,Inputs!$F$188,EDATE(BG9,1))</f>
        <v/>
      </c>
      <c r="BI9" s="9">
        <f>IF(BI8=1,Inputs!$F$188,EDATE(BH9,1))</f>
        <v/>
      </c>
      <c r="BJ9" s="9">
        <f>IF(BJ8=1,Inputs!$F$188,EDATE(BI9,1))</f>
        <v/>
      </c>
    </row>
    <row r="10">
      <c r="D10" t="inlineStr">
        <is>
          <t>Month end</t>
        </is>
      </c>
      <c r="E10" t="inlineStr">
        <is>
          <t>date</t>
        </is>
      </c>
      <c r="J10" s="9">
        <f>EOMONTH(J9,0)</f>
        <v/>
      </c>
      <c r="K10" s="9">
        <f>EOMONTH(K9,0)</f>
        <v/>
      </c>
      <c r="L10" s="9">
        <f>EOMONTH(L9,0)</f>
        <v/>
      </c>
      <c r="M10" s="9">
        <f>EOMONTH(M9,0)</f>
        <v/>
      </c>
      <c r="N10" s="9">
        <f>EOMONTH(N9,0)</f>
        <v/>
      </c>
      <c r="O10" s="9">
        <f>EOMONTH(O9,0)</f>
        <v/>
      </c>
      <c r="P10" s="9">
        <f>EOMONTH(P9,0)</f>
        <v/>
      </c>
      <c r="Q10" s="9">
        <f>EOMONTH(Q9,0)</f>
        <v/>
      </c>
      <c r="R10" s="9">
        <f>EOMONTH(R9,0)</f>
        <v/>
      </c>
      <c r="S10" s="9">
        <f>EOMONTH(S9,0)</f>
        <v/>
      </c>
      <c r="T10" s="9">
        <f>EOMONTH(T9,0)</f>
        <v/>
      </c>
      <c r="U10" s="9">
        <f>EOMONTH(U9,0)</f>
        <v/>
      </c>
      <c r="V10" s="9">
        <f>EOMONTH(V9,0)</f>
        <v/>
      </c>
      <c r="W10" s="9">
        <f>EOMONTH(W9,0)</f>
        <v/>
      </c>
      <c r="X10" s="9">
        <f>EOMONTH(X9,0)</f>
        <v/>
      </c>
      <c r="Y10" s="9">
        <f>EOMONTH(Y9,0)</f>
        <v/>
      </c>
      <c r="Z10" s="9">
        <f>EOMONTH(Z9,0)</f>
        <v/>
      </c>
      <c r="AA10" s="9">
        <f>EOMONTH(AA9,0)</f>
        <v/>
      </c>
      <c r="AB10" s="9">
        <f>EOMONTH(AB9,0)</f>
        <v/>
      </c>
      <c r="AC10" s="9">
        <f>EOMONTH(AC9,0)</f>
        <v/>
      </c>
      <c r="AD10" s="9">
        <f>EOMONTH(AD9,0)</f>
        <v/>
      </c>
      <c r="AE10" s="9">
        <f>EOMONTH(AE9,0)</f>
        <v/>
      </c>
      <c r="AF10" s="9">
        <f>EOMONTH(AF9,0)</f>
        <v/>
      </c>
      <c r="AG10" s="9">
        <f>EOMONTH(AG9,0)</f>
        <v/>
      </c>
      <c r="AH10" s="9">
        <f>EOMONTH(AH9,0)</f>
        <v/>
      </c>
      <c r="AI10" s="9">
        <f>EOMONTH(AI9,0)</f>
        <v/>
      </c>
      <c r="AJ10" s="9">
        <f>EOMONTH(AJ9,0)</f>
        <v/>
      </c>
      <c r="AK10" s="9">
        <f>EOMONTH(AK9,0)</f>
        <v/>
      </c>
      <c r="AL10" s="9">
        <f>EOMONTH(AL9,0)</f>
        <v/>
      </c>
      <c r="AM10" s="9">
        <f>EOMONTH(AM9,0)</f>
        <v/>
      </c>
      <c r="AN10" s="9">
        <f>EOMONTH(AN9,0)</f>
        <v/>
      </c>
      <c r="AO10" s="9">
        <f>EOMONTH(AO9,0)</f>
        <v/>
      </c>
      <c r="AP10" s="9">
        <f>EOMONTH(AP9,0)</f>
        <v/>
      </c>
      <c r="AQ10" s="9">
        <f>EOMONTH(AQ9,0)</f>
        <v/>
      </c>
      <c r="AR10" s="9">
        <f>EOMONTH(AR9,0)</f>
        <v/>
      </c>
      <c r="AS10" s="9">
        <f>EOMONTH(AS9,0)</f>
        <v/>
      </c>
      <c r="AT10" s="9">
        <f>EOMONTH(AT9,0)</f>
        <v/>
      </c>
      <c r="AU10" s="9">
        <f>EOMONTH(AU9,0)</f>
        <v/>
      </c>
      <c r="AV10" s="9">
        <f>EOMONTH(AV9,0)</f>
        <v/>
      </c>
      <c r="AW10" s="9">
        <f>EOMONTH(AW9,0)</f>
        <v/>
      </c>
      <c r="AX10" s="9">
        <f>EOMONTH(AX9,0)</f>
        <v/>
      </c>
      <c r="AY10" s="9">
        <f>EOMONTH(AY9,0)</f>
        <v/>
      </c>
      <c r="AZ10" s="9">
        <f>EOMONTH(AZ9,0)</f>
        <v/>
      </c>
      <c r="BA10" s="9">
        <f>EOMONTH(BA9,0)</f>
        <v/>
      </c>
      <c r="BB10" s="9">
        <f>EOMONTH(BB9,0)</f>
        <v/>
      </c>
      <c r="BC10" s="9">
        <f>EOMONTH(BC9,0)</f>
        <v/>
      </c>
      <c r="BD10" s="9">
        <f>EOMONTH(BD9,0)</f>
        <v/>
      </c>
      <c r="BE10" s="9">
        <f>EOMONTH(BE9,0)</f>
        <v/>
      </c>
      <c r="BF10" s="9">
        <f>EOMONTH(BF9,0)</f>
        <v/>
      </c>
      <c r="BG10" s="9">
        <f>EOMONTH(BG9,0)</f>
        <v/>
      </c>
      <c r="BH10" s="9">
        <f>EOMONTH(BH9,0)</f>
        <v/>
      </c>
      <c r="BI10" s="9">
        <f>EOMONTH(BI9,0)</f>
        <v/>
      </c>
      <c r="BJ10" s="9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10">
        <f>J10-J9+1</f>
        <v/>
      </c>
      <c r="K11" s="10">
        <f>K10-K9+1</f>
        <v/>
      </c>
      <c r="L11" s="10">
        <f>L10-L9+1</f>
        <v/>
      </c>
      <c r="M11" s="10">
        <f>M10-M9+1</f>
        <v/>
      </c>
      <c r="N11" s="10">
        <f>N10-N9+1</f>
        <v/>
      </c>
      <c r="O11" s="10">
        <f>O10-O9+1</f>
        <v/>
      </c>
      <c r="P11" s="10">
        <f>P10-P9+1</f>
        <v/>
      </c>
      <c r="Q11" s="10">
        <f>Q10-Q9+1</f>
        <v/>
      </c>
      <c r="R11" s="10">
        <f>R10-R9+1</f>
        <v/>
      </c>
      <c r="S11" s="10">
        <f>S10-S9+1</f>
        <v/>
      </c>
      <c r="T11" s="10">
        <f>T10-T9+1</f>
        <v/>
      </c>
      <c r="U11" s="10">
        <f>U10-U9+1</f>
        <v/>
      </c>
      <c r="V11" s="10">
        <f>V10-V9+1</f>
        <v/>
      </c>
      <c r="W11" s="10">
        <f>W10-W9+1</f>
        <v/>
      </c>
      <c r="X11" s="10">
        <f>X10-X9+1</f>
        <v/>
      </c>
      <c r="Y11" s="10">
        <f>Y10-Y9+1</f>
        <v/>
      </c>
      <c r="Z11" s="10">
        <f>Z10-Z9+1</f>
        <v/>
      </c>
      <c r="AA11" s="10">
        <f>AA10-AA9+1</f>
        <v/>
      </c>
      <c r="AB11" s="10">
        <f>AB10-AB9+1</f>
        <v/>
      </c>
      <c r="AC11" s="10">
        <f>AC10-AC9+1</f>
        <v/>
      </c>
      <c r="AD11" s="10">
        <f>AD10-AD9+1</f>
        <v/>
      </c>
      <c r="AE11" s="10">
        <f>AE10-AE9+1</f>
        <v/>
      </c>
      <c r="AF11" s="10">
        <f>AF10-AF9+1</f>
        <v/>
      </c>
      <c r="AG11" s="10">
        <f>AG10-AG9+1</f>
        <v/>
      </c>
      <c r="AH11" s="10">
        <f>AH10-AH9+1</f>
        <v/>
      </c>
      <c r="AI11" s="10">
        <f>AI10-AI9+1</f>
        <v/>
      </c>
      <c r="AJ11" s="10">
        <f>AJ10-AJ9+1</f>
        <v/>
      </c>
      <c r="AK11" s="10">
        <f>AK10-AK9+1</f>
        <v/>
      </c>
      <c r="AL11" s="10">
        <f>AL10-AL9+1</f>
        <v/>
      </c>
      <c r="AM11" s="10">
        <f>AM10-AM9+1</f>
        <v/>
      </c>
      <c r="AN11" s="10">
        <f>AN10-AN9+1</f>
        <v/>
      </c>
      <c r="AO11" s="10">
        <f>AO10-AO9+1</f>
        <v/>
      </c>
      <c r="AP11" s="10">
        <f>AP10-AP9+1</f>
        <v/>
      </c>
      <c r="AQ11" s="10">
        <f>AQ10-AQ9+1</f>
        <v/>
      </c>
      <c r="AR11" s="10">
        <f>AR10-AR9+1</f>
        <v/>
      </c>
      <c r="AS11" s="10">
        <f>AS10-AS9+1</f>
        <v/>
      </c>
      <c r="AT11" s="10">
        <f>AT10-AT9+1</f>
        <v/>
      </c>
      <c r="AU11" s="10">
        <f>AU10-AU9+1</f>
        <v/>
      </c>
      <c r="AV11" s="10">
        <f>AV10-AV9+1</f>
        <v/>
      </c>
      <c r="AW11" s="10">
        <f>AW10-AW9+1</f>
        <v/>
      </c>
      <c r="AX11" s="10">
        <f>AX10-AX9+1</f>
        <v/>
      </c>
      <c r="AY11" s="10">
        <f>AY10-AY9+1</f>
        <v/>
      </c>
      <c r="AZ11" s="10">
        <f>AZ10-AZ9+1</f>
        <v/>
      </c>
      <c r="BA11" s="10">
        <f>BA10-BA9+1</f>
        <v/>
      </c>
      <c r="BB11" s="10">
        <f>BB10-BB9+1</f>
        <v/>
      </c>
      <c r="BC11" s="10">
        <f>BC10-BC9+1</f>
        <v/>
      </c>
      <c r="BD11" s="10">
        <f>BD10-BD9+1</f>
        <v/>
      </c>
      <c r="BE11" s="10">
        <f>BE10-BE9+1</f>
        <v/>
      </c>
      <c r="BF11" s="10">
        <f>BF10-BF9+1</f>
        <v/>
      </c>
      <c r="BG11" s="10">
        <f>BG10-BG9+1</f>
        <v/>
      </c>
      <c r="BH11" s="10">
        <f>BH10-BH9+1</f>
        <v/>
      </c>
      <c r="BI11" s="10">
        <f>BI10-BI9+1</f>
        <v/>
      </c>
      <c r="BJ11" s="10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10">
        <f>MATCH(J9,Time!$J$22:$BN$22,1)</f>
        <v/>
      </c>
      <c r="K12" s="10">
        <f>MATCH(K9,Time!$J$22:$BN$22,1)</f>
        <v/>
      </c>
      <c r="L12" s="10">
        <f>MATCH(L9,Time!$J$22:$BN$22,1)</f>
        <v/>
      </c>
      <c r="M12" s="10">
        <f>MATCH(M9,Time!$J$22:$BN$22,1)</f>
        <v/>
      </c>
      <c r="N12" s="10">
        <f>MATCH(N9,Time!$J$22:$BN$22,1)</f>
        <v/>
      </c>
      <c r="O12" s="10">
        <f>MATCH(O9,Time!$J$22:$BN$22,1)</f>
        <v/>
      </c>
      <c r="P12" s="10">
        <f>MATCH(P9,Time!$J$22:$BN$22,1)</f>
        <v/>
      </c>
      <c r="Q12" s="10">
        <f>MATCH(Q9,Time!$J$22:$BN$22,1)</f>
        <v/>
      </c>
      <c r="R12" s="10">
        <f>MATCH(R9,Time!$J$22:$BN$22,1)</f>
        <v/>
      </c>
      <c r="S12" s="10">
        <f>MATCH(S9,Time!$J$22:$BN$22,1)</f>
        <v/>
      </c>
      <c r="T12" s="10">
        <f>MATCH(T9,Time!$J$22:$BN$22,1)</f>
        <v/>
      </c>
      <c r="U12" s="10">
        <f>MATCH(U9,Time!$J$22:$BN$22,1)</f>
        <v/>
      </c>
      <c r="V12" s="10">
        <f>MATCH(V9,Time!$J$22:$BN$22,1)</f>
        <v/>
      </c>
      <c r="W12" s="10">
        <f>MATCH(W9,Time!$J$22:$BN$22,1)</f>
        <v/>
      </c>
      <c r="X12" s="10">
        <f>MATCH(X9,Time!$J$22:$BN$22,1)</f>
        <v/>
      </c>
      <c r="Y12" s="10">
        <f>MATCH(Y9,Time!$J$22:$BN$22,1)</f>
        <v/>
      </c>
      <c r="Z12" s="10">
        <f>MATCH(Z9,Time!$J$22:$BN$22,1)</f>
        <v/>
      </c>
      <c r="AA12" s="10">
        <f>MATCH(AA9,Time!$J$22:$BN$22,1)</f>
        <v/>
      </c>
      <c r="AB12" s="10">
        <f>MATCH(AB9,Time!$J$22:$BN$22,1)</f>
        <v/>
      </c>
      <c r="AC12" s="10">
        <f>MATCH(AC9,Time!$J$22:$BN$22,1)</f>
        <v/>
      </c>
      <c r="AD12" s="10">
        <f>MATCH(AD9,Time!$J$22:$BN$22,1)</f>
        <v/>
      </c>
      <c r="AE12" s="10">
        <f>MATCH(AE9,Time!$J$22:$BN$22,1)</f>
        <v/>
      </c>
      <c r="AF12" s="10">
        <f>MATCH(AF9,Time!$J$22:$BN$22,1)</f>
        <v/>
      </c>
      <c r="AG12" s="10">
        <f>MATCH(AG9,Time!$J$22:$BN$22,1)</f>
        <v/>
      </c>
      <c r="AH12" s="10">
        <f>MATCH(AH9,Time!$J$22:$BN$22,1)</f>
        <v/>
      </c>
      <c r="AI12" s="10">
        <f>MATCH(AI9,Time!$J$22:$BN$22,1)</f>
        <v/>
      </c>
      <c r="AJ12" s="10">
        <f>MATCH(AJ9,Time!$J$22:$BN$22,1)</f>
        <v/>
      </c>
      <c r="AK12" s="10">
        <f>MATCH(AK9,Time!$J$22:$BN$22,1)</f>
        <v/>
      </c>
      <c r="AL12" s="10">
        <f>MATCH(AL9,Time!$J$22:$BN$22,1)</f>
        <v/>
      </c>
      <c r="AM12" s="10">
        <f>MATCH(AM9,Time!$J$22:$BN$22,1)</f>
        <v/>
      </c>
      <c r="AN12" s="10">
        <f>MATCH(AN9,Time!$J$22:$BN$22,1)</f>
        <v/>
      </c>
      <c r="AO12" s="10">
        <f>MATCH(AO9,Time!$J$22:$BN$22,1)</f>
        <v/>
      </c>
      <c r="AP12" s="10">
        <f>MATCH(AP9,Time!$J$22:$BN$22,1)</f>
        <v/>
      </c>
      <c r="AQ12" s="10">
        <f>MATCH(AQ9,Time!$J$22:$BN$22,1)</f>
        <v/>
      </c>
      <c r="AR12" s="10">
        <f>MATCH(AR9,Time!$J$22:$BN$22,1)</f>
        <v/>
      </c>
      <c r="AS12" s="10">
        <f>MATCH(AS9,Time!$J$22:$BN$22,1)</f>
        <v/>
      </c>
      <c r="AT12" s="10">
        <f>MATCH(AT9,Time!$J$22:$BN$22,1)</f>
        <v/>
      </c>
      <c r="AU12" s="10">
        <f>MATCH(AU9,Time!$J$22:$BN$22,1)</f>
        <v/>
      </c>
      <c r="AV12" s="10">
        <f>MATCH(AV9,Time!$J$22:$BN$22,1)</f>
        <v/>
      </c>
      <c r="AW12" s="10">
        <f>MATCH(AW9,Time!$J$22:$BN$22,1)</f>
        <v/>
      </c>
      <c r="AX12" s="10">
        <f>MATCH(AX9,Time!$J$22:$BN$22,1)</f>
        <v/>
      </c>
      <c r="AY12" s="10">
        <f>MATCH(AY9,Time!$J$22:$BN$22,1)</f>
        <v/>
      </c>
      <c r="AZ12" s="10">
        <f>MATCH(AZ9,Time!$J$22:$BN$22,1)</f>
        <v/>
      </c>
      <c r="BA12" s="10">
        <f>MATCH(BA9,Time!$J$22:$BN$22,1)</f>
        <v/>
      </c>
      <c r="BB12" s="10">
        <f>MATCH(BB9,Time!$J$22:$BN$22,1)</f>
        <v/>
      </c>
      <c r="BC12" s="10">
        <f>MATCH(BC9,Time!$J$22:$BN$22,1)</f>
        <v/>
      </c>
      <c r="BD12" s="10">
        <f>MATCH(BD9,Time!$J$22:$BN$22,1)</f>
        <v/>
      </c>
      <c r="BE12" s="10">
        <f>MATCH(BE9,Time!$J$22:$BN$22,1)</f>
        <v/>
      </c>
      <c r="BF12" s="10">
        <f>MATCH(BF9,Time!$J$22:$BN$22,1)</f>
        <v/>
      </c>
      <c r="BG12" s="10">
        <f>MATCH(BG9,Time!$J$22:$BN$22,1)</f>
        <v/>
      </c>
      <c r="BH12" s="10">
        <f>MATCH(BH9,Time!$J$22:$BN$22,1)</f>
        <v/>
      </c>
      <c r="BI12" s="10">
        <f>MATCH(BI9,Time!$J$22:$BN$22,1)</f>
        <v/>
      </c>
      <c r="BJ12" s="10">
        <f>MATCH(BJ9,Time!$J$22:$BN$22,1)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10">
        <f>IF(J8&lt;=Time!$F$11,1,0)</f>
        <v/>
      </c>
      <c r="K13" s="10">
        <f>IF(K8&lt;=Time!$F$11,1,0)</f>
        <v/>
      </c>
      <c r="L13" s="10">
        <f>IF(L8&lt;=Time!$F$11,1,0)</f>
        <v/>
      </c>
      <c r="M13" s="10">
        <f>IF(M8&lt;=Time!$F$11,1,0)</f>
        <v/>
      </c>
      <c r="N13" s="10">
        <f>IF(N8&lt;=Time!$F$11,1,0)</f>
        <v/>
      </c>
      <c r="O13" s="10">
        <f>IF(O8&lt;=Time!$F$11,1,0)</f>
        <v/>
      </c>
      <c r="P13" s="10">
        <f>IF(P8&lt;=Time!$F$11,1,0)</f>
        <v/>
      </c>
      <c r="Q13" s="10">
        <f>IF(Q8&lt;=Time!$F$11,1,0)</f>
        <v/>
      </c>
      <c r="R13" s="10">
        <f>IF(R8&lt;=Time!$F$11,1,0)</f>
        <v/>
      </c>
      <c r="S13" s="10">
        <f>IF(S8&lt;=Time!$F$11,1,0)</f>
        <v/>
      </c>
      <c r="T13" s="10">
        <f>IF(T8&lt;=Time!$F$11,1,0)</f>
        <v/>
      </c>
      <c r="U13" s="10">
        <f>IF(U8&lt;=Time!$F$11,1,0)</f>
        <v/>
      </c>
      <c r="V13" s="10">
        <f>IF(V8&lt;=Time!$F$11,1,0)</f>
        <v/>
      </c>
      <c r="W13" s="10">
        <f>IF(W8&lt;=Time!$F$11,1,0)</f>
        <v/>
      </c>
      <c r="X13" s="10">
        <f>IF(X8&lt;=Time!$F$11,1,0)</f>
        <v/>
      </c>
      <c r="Y13" s="10">
        <f>IF(Y8&lt;=Time!$F$11,1,0)</f>
        <v/>
      </c>
      <c r="Z13" s="10">
        <f>IF(Z8&lt;=Time!$F$11,1,0)</f>
        <v/>
      </c>
      <c r="AA13" s="10">
        <f>IF(AA8&lt;=Time!$F$11,1,0)</f>
        <v/>
      </c>
      <c r="AB13" s="10">
        <f>IF(AB8&lt;=Time!$F$11,1,0)</f>
        <v/>
      </c>
      <c r="AC13" s="10">
        <f>IF(AC8&lt;=Time!$F$11,1,0)</f>
        <v/>
      </c>
      <c r="AD13" s="10">
        <f>IF(AD8&lt;=Time!$F$11,1,0)</f>
        <v/>
      </c>
      <c r="AE13" s="10">
        <f>IF(AE8&lt;=Time!$F$11,1,0)</f>
        <v/>
      </c>
      <c r="AF13" s="10">
        <f>IF(AF8&lt;=Time!$F$11,1,0)</f>
        <v/>
      </c>
      <c r="AG13" s="10">
        <f>IF(AG8&lt;=Time!$F$11,1,0)</f>
        <v/>
      </c>
      <c r="AH13" s="10">
        <f>IF(AH8&lt;=Time!$F$11,1,0)</f>
        <v/>
      </c>
      <c r="AI13" s="10">
        <f>IF(AI8&lt;=Time!$F$11,1,0)</f>
        <v/>
      </c>
      <c r="AJ13" s="10">
        <f>IF(AJ8&lt;=Time!$F$11,1,0)</f>
        <v/>
      </c>
      <c r="AK13" s="10">
        <f>IF(AK8&lt;=Time!$F$11,1,0)</f>
        <v/>
      </c>
      <c r="AL13" s="10">
        <f>IF(AL8&lt;=Time!$F$11,1,0)</f>
        <v/>
      </c>
      <c r="AM13" s="10">
        <f>IF(AM8&lt;=Time!$F$11,1,0)</f>
        <v/>
      </c>
      <c r="AN13" s="10">
        <f>IF(AN8&lt;=Time!$F$11,1,0)</f>
        <v/>
      </c>
      <c r="AO13" s="10">
        <f>IF(AO8&lt;=Time!$F$11,1,0)</f>
        <v/>
      </c>
      <c r="AP13" s="10">
        <f>IF(AP8&lt;=Time!$F$11,1,0)</f>
        <v/>
      </c>
      <c r="AQ13" s="10">
        <f>IF(AQ8&lt;=Time!$F$11,1,0)</f>
        <v/>
      </c>
      <c r="AR13" s="10">
        <f>IF(AR8&lt;=Time!$F$11,1,0)</f>
        <v/>
      </c>
      <c r="AS13" s="10">
        <f>IF(AS8&lt;=Time!$F$11,1,0)</f>
        <v/>
      </c>
      <c r="AT13" s="10">
        <f>IF(AT8&lt;=Time!$F$11,1,0)</f>
        <v/>
      </c>
      <c r="AU13" s="10">
        <f>IF(AU8&lt;=Time!$F$11,1,0)</f>
        <v/>
      </c>
      <c r="AV13" s="10">
        <f>IF(AV8&lt;=Time!$F$11,1,0)</f>
        <v/>
      </c>
      <c r="AW13" s="10">
        <f>IF(AW8&lt;=Time!$F$11,1,0)</f>
        <v/>
      </c>
      <c r="AX13" s="10">
        <f>IF(AX8&lt;=Time!$F$11,1,0)</f>
        <v/>
      </c>
      <c r="AY13" s="10">
        <f>IF(AY8&lt;=Time!$F$11,1,0)</f>
        <v/>
      </c>
      <c r="AZ13" s="10">
        <f>IF(AZ8&lt;=Time!$F$11,1,0)</f>
        <v/>
      </c>
      <c r="BA13" s="10">
        <f>IF(BA8&lt;=Time!$F$11,1,0)</f>
        <v/>
      </c>
      <c r="BB13" s="10">
        <f>IF(BB8&lt;=Time!$F$11,1,0)</f>
        <v/>
      </c>
      <c r="BC13" s="10">
        <f>IF(BC8&lt;=Time!$F$11,1,0)</f>
        <v/>
      </c>
      <c r="BD13" s="10">
        <f>IF(BD8&lt;=Time!$F$11,1,0)</f>
        <v/>
      </c>
      <c r="BE13" s="10">
        <f>IF(BE8&lt;=Time!$F$11,1,0)</f>
        <v/>
      </c>
      <c r="BF13" s="10">
        <f>IF(BF8&lt;=Time!$F$11,1,0)</f>
        <v/>
      </c>
      <c r="BG13" s="10">
        <f>IF(BG8&lt;=Time!$F$11,1,0)</f>
        <v/>
      </c>
      <c r="BH13" s="10">
        <f>IF(BH8&lt;=Time!$F$11,1,0)</f>
        <v/>
      </c>
      <c r="BI13" s="10">
        <f>IF(BI8&lt;=Time!$F$11,1,0)</f>
        <v/>
      </c>
      <c r="BJ13" s="10">
        <f>IF(BJ8&lt;=Time!$F$11,1,0)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10">
        <f>IF(J8&lt;=Time!$F$14,1,0)</f>
        <v/>
      </c>
      <c r="K14" s="10">
        <f>IF(K8&lt;=Time!$F$14,1,0)</f>
        <v/>
      </c>
      <c r="L14" s="10">
        <f>IF(L8&lt;=Time!$F$14,1,0)</f>
        <v/>
      </c>
      <c r="M14" s="10">
        <f>IF(M8&lt;=Time!$F$14,1,0)</f>
        <v/>
      </c>
      <c r="N14" s="10">
        <f>IF(N8&lt;=Time!$F$14,1,0)</f>
        <v/>
      </c>
      <c r="O14" s="10">
        <f>IF(O8&lt;=Time!$F$14,1,0)</f>
        <v/>
      </c>
      <c r="P14" s="10">
        <f>IF(P8&lt;=Time!$F$14,1,0)</f>
        <v/>
      </c>
      <c r="Q14" s="10">
        <f>IF(Q8&lt;=Time!$F$14,1,0)</f>
        <v/>
      </c>
      <c r="R14" s="10">
        <f>IF(R8&lt;=Time!$F$14,1,0)</f>
        <v/>
      </c>
      <c r="S14" s="10">
        <f>IF(S8&lt;=Time!$F$14,1,0)</f>
        <v/>
      </c>
      <c r="T14" s="10">
        <f>IF(T8&lt;=Time!$F$14,1,0)</f>
        <v/>
      </c>
      <c r="U14" s="10">
        <f>IF(U8&lt;=Time!$F$14,1,0)</f>
        <v/>
      </c>
      <c r="V14" s="10">
        <f>IF(V8&lt;=Time!$F$14,1,0)</f>
        <v/>
      </c>
      <c r="W14" s="10">
        <f>IF(W8&lt;=Time!$F$14,1,0)</f>
        <v/>
      </c>
      <c r="X14" s="10">
        <f>IF(X8&lt;=Time!$F$14,1,0)</f>
        <v/>
      </c>
      <c r="Y14" s="10">
        <f>IF(Y8&lt;=Time!$F$14,1,0)</f>
        <v/>
      </c>
      <c r="Z14" s="10">
        <f>IF(Z8&lt;=Time!$F$14,1,0)</f>
        <v/>
      </c>
      <c r="AA14" s="10">
        <f>IF(AA8&lt;=Time!$F$14,1,0)</f>
        <v/>
      </c>
      <c r="AB14" s="10">
        <f>IF(AB8&lt;=Time!$F$14,1,0)</f>
        <v/>
      </c>
      <c r="AC14" s="10">
        <f>IF(AC8&lt;=Time!$F$14,1,0)</f>
        <v/>
      </c>
      <c r="AD14" s="10">
        <f>IF(AD8&lt;=Time!$F$14,1,0)</f>
        <v/>
      </c>
      <c r="AE14" s="10">
        <f>IF(AE8&lt;=Time!$F$14,1,0)</f>
        <v/>
      </c>
      <c r="AF14" s="10">
        <f>IF(AF8&lt;=Time!$F$14,1,0)</f>
        <v/>
      </c>
      <c r="AG14" s="10">
        <f>IF(AG8&lt;=Time!$F$14,1,0)</f>
        <v/>
      </c>
      <c r="AH14" s="10">
        <f>IF(AH8&lt;=Time!$F$14,1,0)</f>
        <v/>
      </c>
      <c r="AI14" s="10">
        <f>IF(AI8&lt;=Time!$F$14,1,0)</f>
        <v/>
      </c>
      <c r="AJ14" s="10">
        <f>IF(AJ8&lt;=Time!$F$14,1,0)</f>
        <v/>
      </c>
      <c r="AK14" s="10">
        <f>IF(AK8&lt;=Time!$F$14,1,0)</f>
        <v/>
      </c>
      <c r="AL14" s="10">
        <f>IF(AL8&lt;=Time!$F$14,1,0)</f>
        <v/>
      </c>
      <c r="AM14" s="10">
        <f>IF(AM8&lt;=Time!$F$14,1,0)</f>
        <v/>
      </c>
      <c r="AN14" s="10">
        <f>IF(AN8&lt;=Time!$F$14,1,0)</f>
        <v/>
      </c>
      <c r="AO14" s="10">
        <f>IF(AO8&lt;=Time!$F$14,1,0)</f>
        <v/>
      </c>
      <c r="AP14" s="10">
        <f>IF(AP8&lt;=Time!$F$14,1,0)</f>
        <v/>
      </c>
      <c r="AQ14" s="10">
        <f>IF(AQ8&lt;=Time!$F$14,1,0)</f>
        <v/>
      </c>
      <c r="AR14" s="10">
        <f>IF(AR8&lt;=Time!$F$14,1,0)</f>
        <v/>
      </c>
      <c r="AS14" s="10">
        <f>IF(AS8&lt;=Time!$F$14,1,0)</f>
        <v/>
      </c>
      <c r="AT14" s="10">
        <f>IF(AT8&lt;=Time!$F$14,1,0)</f>
        <v/>
      </c>
      <c r="AU14" s="10">
        <f>IF(AU8&lt;=Time!$F$14,1,0)</f>
        <v/>
      </c>
      <c r="AV14" s="10">
        <f>IF(AV8&lt;=Time!$F$14,1,0)</f>
        <v/>
      </c>
      <c r="AW14" s="10">
        <f>IF(AW8&lt;=Time!$F$14,1,0)</f>
        <v/>
      </c>
      <c r="AX14" s="10">
        <f>IF(AX8&lt;=Time!$F$14,1,0)</f>
        <v/>
      </c>
      <c r="AY14" s="10">
        <f>IF(AY8&lt;=Time!$F$14,1,0)</f>
        <v/>
      </c>
      <c r="AZ14" s="10">
        <f>IF(AZ8&lt;=Time!$F$14,1,0)</f>
        <v/>
      </c>
      <c r="BA14" s="10">
        <f>IF(BA8&lt;=Time!$F$14,1,0)</f>
        <v/>
      </c>
      <c r="BB14" s="10">
        <f>IF(BB8&lt;=Time!$F$14,1,0)</f>
        <v/>
      </c>
      <c r="BC14" s="10">
        <f>IF(BC8&lt;=Time!$F$14,1,0)</f>
        <v/>
      </c>
      <c r="BD14" s="10">
        <f>IF(BD8&lt;=Time!$F$14,1,0)</f>
        <v/>
      </c>
      <c r="BE14" s="10">
        <f>IF(BE8&lt;=Time!$F$14,1,0)</f>
        <v/>
      </c>
      <c r="BF14" s="10">
        <f>IF(BF8&lt;=Time!$F$14,1,0)</f>
        <v/>
      </c>
      <c r="BG14" s="10">
        <f>IF(BG8&lt;=Time!$F$14,1,0)</f>
        <v/>
      </c>
      <c r="BH14" s="10">
        <f>IF(BH8&lt;=Time!$F$14,1,0)</f>
        <v/>
      </c>
      <c r="BI14" s="10">
        <f>IF(BI8&lt;=Time!$F$14,1,0)</f>
        <v/>
      </c>
      <c r="BJ14" s="10">
        <f>IF(BJ8&lt;=Time!$F$14,1,0)</f>
        <v/>
      </c>
    </row>
    <row r="15">
      <c r="D15" t="inlineStr">
        <is>
          <t>Flag_CODMonth</t>
        </is>
      </c>
      <c r="E15" t="inlineStr">
        <is>
          <t>flag</t>
        </is>
      </c>
      <c r="J15" s="10">
        <f>IF(J8=Time!$F$11+1,1,0)</f>
        <v/>
      </c>
      <c r="K15" s="10">
        <f>IF(K8=Time!$F$11+1,1,0)</f>
        <v/>
      </c>
      <c r="L15" s="10">
        <f>IF(L8=Time!$F$11+1,1,0)</f>
        <v/>
      </c>
      <c r="M15" s="10">
        <f>IF(M8=Time!$F$11+1,1,0)</f>
        <v/>
      </c>
      <c r="N15" s="10">
        <f>IF(N8=Time!$F$11+1,1,0)</f>
        <v/>
      </c>
      <c r="O15" s="10">
        <f>IF(O8=Time!$F$11+1,1,0)</f>
        <v/>
      </c>
      <c r="P15" s="10">
        <f>IF(P8=Time!$F$11+1,1,0)</f>
        <v/>
      </c>
      <c r="Q15" s="10">
        <f>IF(Q8=Time!$F$11+1,1,0)</f>
        <v/>
      </c>
      <c r="R15" s="10">
        <f>IF(R8=Time!$F$11+1,1,0)</f>
        <v/>
      </c>
      <c r="S15" s="10">
        <f>IF(S8=Time!$F$11+1,1,0)</f>
        <v/>
      </c>
      <c r="T15" s="10">
        <f>IF(T8=Time!$F$11+1,1,0)</f>
        <v/>
      </c>
      <c r="U15" s="10">
        <f>IF(U8=Time!$F$11+1,1,0)</f>
        <v/>
      </c>
      <c r="V15" s="10">
        <f>IF(V8=Time!$F$11+1,1,0)</f>
        <v/>
      </c>
      <c r="W15" s="10">
        <f>IF(W8=Time!$F$11+1,1,0)</f>
        <v/>
      </c>
      <c r="X15" s="10">
        <f>IF(X8=Time!$F$11+1,1,0)</f>
        <v/>
      </c>
      <c r="Y15" s="10">
        <f>IF(Y8=Time!$F$11+1,1,0)</f>
        <v/>
      </c>
      <c r="Z15" s="10">
        <f>IF(Z8=Time!$F$11+1,1,0)</f>
        <v/>
      </c>
      <c r="AA15" s="10">
        <f>IF(AA8=Time!$F$11+1,1,0)</f>
        <v/>
      </c>
      <c r="AB15" s="10">
        <f>IF(AB8=Time!$F$11+1,1,0)</f>
        <v/>
      </c>
      <c r="AC15" s="10">
        <f>IF(AC8=Time!$F$11+1,1,0)</f>
        <v/>
      </c>
      <c r="AD15" s="10">
        <f>IF(AD8=Time!$F$11+1,1,0)</f>
        <v/>
      </c>
      <c r="AE15" s="10">
        <f>IF(AE8=Time!$F$11+1,1,0)</f>
        <v/>
      </c>
      <c r="AF15" s="10">
        <f>IF(AF8=Time!$F$11+1,1,0)</f>
        <v/>
      </c>
      <c r="AG15" s="10">
        <f>IF(AG8=Time!$F$11+1,1,0)</f>
        <v/>
      </c>
      <c r="AH15" s="10">
        <f>IF(AH8=Time!$F$11+1,1,0)</f>
        <v/>
      </c>
      <c r="AI15" s="10">
        <f>IF(AI8=Time!$F$11+1,1,0)</f>
        <v/>
      </c>
      <c r="AJ15" s="10">
        <f>IF(AJ8=Time!$F$11+1,1,0)</f>
        <v/>
      </c>
      <c r="AK15" s="10">
        <f>IF(AK8=Time!$F$11+1,1,0)</f>
        <v/>
      </c>
      <c r="AL15" s="10">
        <f>IF(AL8=Time!$F$11+1,1,0)</f>
        <v/>
      </c>
      <c r="AM15" s="10">
        <f>IF(AM8=Time!$F$11+1,1,0)</f>
        <v/>
      </c>
      <c r="AN15" s="10">
        <f>IF(AN8=Time!$F$11+1,1,0)</f>
        <v/>
      </c>
      <c r="AO15" s="10">
        <f>IF(AO8=Time!$F$11+1,1,0)</f>
        <v/>
      </c>
      <c r="AP15" s="10">
        <f>IF(AP8=Time!$F$11+1,1,0)</f>
        <v/>
      </c>
      <c r="AQ15" s="10">
        <f>IF(AQ8=Time!$F$11+1,1,0)</f>
        <v/>
      </c>
      <c r="AR15" s="10">
        <f>IF(AR8=Time!$F$11+1,1,0)</f>
        <v/>
      </c>
      <c r="AS15" s="10">
        <f>IF(AS8=Time!$F$11+1,1,0)</f>
        <v/>
      </c>
      <c r="AT15" s="10">
        <f>IF(AT8=Time!$F$11+1,1,0)</f>
        <v/>
      </c>
      <c r="AU15" s="10">
        <f>IF(AU8=Time!$F$11+1,1,0)</f>
        <v/>
      </c>
      <c r="AV15" s="10">
        <f>IF(AV8=Time!$F$11+1,1,0)</f>
        <v/>
      </c>
      <c r="AW15" s="10">
        <f>IF(AW8=Time!$F$11+1,1,0)</f>
        <v/>
      </c>
      <c r="AX15" s="10">
        <f>IF(AX8=Time!$F$11+1,1,0)</f>
        <v/>
      </c>
      <c r="AY15" s="10">
        <f>IF(AY8=Time!$F$11+1,1,0)</f>
        <v/>
      </c>
      <c r="AZ15" s="10">
        <f>IF(AZ8=Time!$F$11+1,1,0)</f>
        <v/>
      </c>
      <c r="BA15" s="10">
        <f>IF(BA8=Time!$F$11+1,1,0)</f>
        <v/>
      </c>
      <c r="BB15" s="10">
        <f>IF(BB8=Time!$F$11+1,1,0)</f>
        <v/>
      </c>
      <c r="BC15" s="10">
        <f>IF(BC8=Time!$F$11+1,1,0)</f>
        <v/>
      </c>
      <c r="BD15" s="10">
        <f>IF(BD8=Time!$F$11+1,1,0)</f>
        <v/>
      </c>
      <c r="BE15" s="10">
        <f>IF(BE8=Time!$F$11+1,1,0)</f>
        <v/>
      </c>
      <c r="BF15" s="10">
        <f>IF(BF8=Time!$F$11+1,1,0)</f>
        <v/>
      </c>
      <c r="BG15" s="10">
        <f>IF(BG8=Time!$F$11+1,1,0)</f>
        <v/>
      </c>
      <c r="BH15" s="10">
        <f>IF(BH8=Time!$F$11+1,1,0)</f>
        <v/>
      </c>
      <c r="BI15" s="10">
        <f>IF(BI8=Time!$F$11+1,1,0)</f>
        <v/>
      </c>
      <c r="BJ15" s="10">
        <f>IF(BJ8=Time!$F$11+1,1,0)</f>
        <v/>
      </c>
    </row>
    <row r="16">
      <c r="D16" t="inlineStr">
        <is>
          <t>KCR per USD</t>
        </is>
      </c>
      <c r="E16" t="inlineStr">
        <is>
          <t>KCR/USD</t>
        </is>
      </c>
      <c r="J16" s="13">
        <f>IF(Inputs!$F$33=1,Inputs!$F$60*Time!$F$16^((J8-Inputs!$F$212)/12),INDEX(Operations!$J$11:$BN$11,1,J12))</f>
        <v/>
      </c>
      <c r="K16" s="13">
        <f>IF(Inputs!$F$33=1,Inputs!$F$60*Time!$F$16^((K8-Inputs!$F$212)/12),INDEX(Operations!$J$11:$BN$11,1,K12))</f>
        <v/>
      </c>
      <c r="L16" s="13">
        <f>IF(Inputs!$F$33=1,Inputs!$F$60*Time!$F$16^((L8-Inputs!$F$212)/12),INDEX(Operations!$J$11:$BN$11,1,L12))</f>
        <v/>
      </c>
      <c r="M16" s="13">
        <f>IF(Inputs!$F$33=1,Inputs!$F$60*Time!$F$16^((M8-Inputs!$F$212)/12),INDEX(Operations!$J$11:$BN$11,1,M12))</f>
        <v/>
      </c>
      <c r="N16" s="13">
        <f>IF(Inputs!$F$33=1,Inputs!$F$60*Time!$F$16^((N8-Inputs!$F$212)/12),INDEX(Operations!$J$11:$BN$11,1,N12))</f>
        <v/>
      </c>
      <c r="O16" s="13">
        <f>IF(Inputs!$F$33=1,Inputs!$F$60*Time!$F$16^((O8-Inputs!$F$212)/12),INDEX(Operations!$J$11:$BN$11,1,O12))</f>
        <v/>
      </c>
      <c r="P16" s="13">
        <f>IF(Inputs!$F$33=1,Inputs!$F$60*Time!$F$16^((P8-Inputs!$F$212)/12),INDEX(Operations!$J$11:$BN$11,1,P12))</f>
        <v/>
      </c>
      <c r="Q16" s="13">
        <f>IF(Inputs!$F$33=1,Inputs!$F$60*Time!$F$16^((Q8-Inputs!$F$212)/12),INDEX(Operations!$J$11:$BN$11,1,Q12))</f>
        <v/>
      </c>
      <c r="R16" s="13">
        <f>IF(Inputs!$F$33=1,Inputs!$F$60*Time!$F$16^((R8-Inputs!$F$212)/12),INDEX(Operations!$J$11:$BN$11,1,R12))</f>
        <v/>
      </c>
      <c r="S16" s="13">
        <f>IF(Inputs!$F$33=1,Inputs!$F$60*Time!$F$16^((S8-Inputs!$F$212)/12),INDEX(Operations!$J$11:$BN$11,1,S12))</f>
        <v/>
      </c>
      <c r="T16" s="13">
        <f>IF(Inputs!$F$33=1,Inputs!$F$60*Time!$F$16^((T8-Inputs!$F$212)/12),INDEX(Operations!$J$11:$BN$11,1,T12))</f>
        <v/>
      </c>
      <c r="U16" s="13">
        <f>IF(Inputs!$F$33=1,Inputs!$F$60*Time!$F$16^((U8-Inputs!$F$212)/12),INDEX(Operations!$J$11:$BN$11,1,U12))</f>
        <v/>
      </c>
      <c r="V16" s="13">
        <f>IF(Inputs!$F$33=1,Inputs!$F$60*Time!$F$16^((V8-Inputs!$F$212)/12),INDEX(Operations!$J$11:$BN$11,1,V12))</f>
        <v/>
      </c>
      <c r="W16" s="13">
        <f>IF(Inputs!$F$33=1,Inputs!$F$60*Time!$F$16^((W8-Inputs!$F$212)/12),INDEX(Operations!$J$11:$BN$11,1,W12))</f>
        <v/>
      </c>
      <c r="X16" s="13">
        <f>IF(Inputs!$F$33=1,Inputs!$F$60*Time!$F$16^((X8-Inputs!$F$212)/12),INDEX(Operations!$J$11:$BN$11,1,X12))</f>
        <v/>
      </c>
      <c r="Y16" s="13">
        <f>IF(Inputs!$F$33=1,Inputs!$F$60*Time!$F$16^((Y8-Inputs!$F$212)/12),INDEX(Operations!$J$11:$BN$11,1,Y12))</f>
        <v/>
      </c>
      <c r="Z16" s="13">
        <f>IF(Inputs!$F$33=1,Inputs!$F$60*Time!$F$16^((Z8-Inputs!$F$212)/12),INDEX(Operations!$J$11:$BN$11,1,Z12))</f>
        <v/>
      </c>
      <c r="AA16" s="13">
        <f>IF(Inputs!$F$33=1,Inputs!$F$60*Time!$F$16^((AA8-Inputs!$F$212)/12),INDEX(Operations!$J$11:$BN$11,1,AA12))</f>
        <v/>
      </c>
      <c r="AB16" s="13">
        <f>IF(Inputs!$F$33=1,Inputs!$F$60*Time!$F$16^((AB8-Inputs!$F$212)/12),INDEX(Operations!$J$11:$BN$11,1,AB12))</f>
        <v/>
      </c>
      <c r="AC16" s="13">
        <f>IF(Inputs!$F$33=1,Inputs!$F$60*Time!$F$16^((AC8-Inputs!$F$212)/12),INDEX(Operations!$J$11:$BN$11,1,AC12))</f>
        <v/>
      </c>
      <c r="AD16" s="13">
        <f>IF(Inputs!$F$33=1,Inputs!$F$60*Time!$F$16^((AD8-Inputs!$F$212)/12),INDEX(Operations!$J$11:$BN$11,1,AD12))</f>
        <v/>
      </c>
      <c r="AE16" s="13">
        <f>IF(Inputs!$F$33=1,Inputs!$F$60*Time!$F$16^((AE8-Inputs!$F$212)/12),INDEX(Operations!$J$11:$BN$11,1,AE12))</f>
        <v/>
      </c>
      <c r="AF16" s="13">
        <f>IF(Inputs!$F$33=1,Inputs!$F$60*Time!$F$16^((AF8-Inputs!$F$212)/12),INDEX(Operations!$J$11:$BN$11,1,AF12))</f>
        <v/>
      </c>
      <c r="AG16" s="13">
        <f>IF(Inputs!$F$33=1,Inputs!$F$60*Time!$F$16^((AG8-Inputs!$F$212)/12),INDEX(Operations!$J$11:$BN$11,1,AG12))</f>
        <v/>
      </c>
      <c r="AH16" s="13">
        <f>IF(Inputs!$F$33=1,Inputs!$F$60*Time!$F$16^((AH8-Inputs!$F$212)/12),INDEX(Operations!$J$11:$BN$11,1,AH12))</f>
        <v/>
      </c>
      <c r="AI16" s="13">
        <f>IF(Inputs!$F$33=1,Inputs!$F$60*Time!$F$16^((AI8-Inputs!$F$212)/12),INDEX(Operations!$J$11:$BN$11,1,AI12))</f>
        <v/>
      </c>
      <c r="AJ16" s="13">
        <f>IF(Inputs!$F$33=1,Inputs!$F$60*Time!$F$16^((AJ8-Inputs!$F$212)/12),INDEX(Operations!$J$11:$BN$11,1,AJ12))</f>
        <v/>
      </c>
      <c r="AK16" s="13">
        <f>IF(Inputs!$F$33=1,Inputs!$F$60*Time!$F$16^((AK8-Inputs!$F$212)/12),INDEX(Operations!$J$11:$BN$11,1,AK12))</f>
        <v/>
      </c>
      <c r="AL16" s="13">
        <f>IF(Inputs!$F$33=1,Inputs!$F$60*Time!$F$16^((AL8-Inputs!$F$212)/12),INDEX(Operations!$J$11:$BN$11,1,AL12))</f>
        <v/>
      </c>
      <c r="AM16" s="13">
        <f>IF(Inputs!$F$33=1,Inputs!$F$60*Time!$F$16^((AM8-Inputs!$F$212)/12),INDEX(Operations!$J$11:$BN$11,1,AM12))</f>
        <v/>
      </c>
      <c r="AN16" s="13">
        <f>IF(Inputs!$F$33=1,Inputs!$F$60*Time!$F$16^((AN8-Inputs!$F$212)/12),INDEX(Operations!$J$11:$BN$11,1,AN12))</f>
        <v/>
      </c>
      <c r="AO16" s="13">
        <f>IF(Inputs!$F$33=1,Inputs!$F$60*Time!$F$16^((AO8-Inputs!$F$212)/12),INDEX(Operations!$J$11:$BN$11,1,AO12))</f>
        <v/>
      </c>
      <c r="AP16" s="13">
        <f>IF(Inputs!$F$33=1,Inputs!$F$60*Time!$F$16^((AP8-Inputs!$F$212)/12),INDEX(Operations!$J$11:$BN$11,1,AP12))</f>
        <v/>
      </c>
      <c r="AQ16" s="13">
        <f>IF(Inputs!$F$33=1,Inputs!$F$60*Time!$F$16^((AQ8-Inputs!$F$212)/12),INDEX(Operations!$J$11:$BN$11,1,AQ12))</f>
        <v/>
      </c>
      <c r="AR16" s="13">
        <f>IF(Inputs!$F$33=1,Inputs!$F$60*Time!$F$16^((AR8-Inputs!$F$212)/12),INDEX(Operations!$J$11:$BN$11,1,AR12))</f>
        <v/>
      </c>
      <c r="AS16" s="13">
        <f>IF(Inputs!$F$33=1,Inputs!$F$60*Time!$F$16^((AS8-Inputs!$F$212)/12),INDEX(Operations!$J$11:$BN$11,1,AS12))</f>
        <v/>
      </c>
      <c r="AT16" s="13">
        <f>IF(Inputs!$F$33=1,Inputs!$F$60*Time!$F$16^((AT8-Inputs!$F$212)/12),INDEX(Operations!$J$11:$BN$11,1,AT12))</f>
        <v/>
      </c>
      <c r="AU16" s="13">
        <f>IF(Inputs!$F$33=1,Inputs!$F$60*Time!$F$16^((AU8-Inputs!$F$212)/12),INDEX(Operations!$J$11:$BN$11,1,AU12))</f>
        <v/>
      </c>
      <c r="AV16" s="13">
        <f>IF(Inputs!$F$33=1,Inputs!$F$60*Time!$F$16^((AV8-Inputs!$F$212)/12),INDEX(Operations!$J$11:$BN$11,1,AV12))</f>
        <v/>
      </c>
      <c r="AW16" s="13">
        <f>IF(Inputs!$F$33=1,Inputs!$F$60*Time!$F$16^((AW8-Inputs!$F$212)/12),INDEX(Operations!$J$11:$BN$11,1,AW12))</f>
        <v/>
      </c>
      <c r="AX16" s="13">
        <f>IF(Inputs!$F$33=1,Inputs!$F$60*Time!$F$16^((AX8-Inputs!$F$212)/12),INDEX(Operations!$J$11:$BN$11,1,AX12))</f>
        <v/>
      </c>
      <c r="AY16" s="13">
        <f>IF(Inputs!$F$33=1,Inputs!$F$60*Time!$F$16^((AY8-Inputs!$F$212)/12),INDEX(Operations!$J$11:$BN$11,1,AY12))</f>
        <v/>
      </c>
      <c r="AZ16" s="13">
        <f>IF(Inputs!$F$33=1,Inputs!$F$60*Time!$F$16^((AZ8-Inputs!$F$212)/12),INDEX(Operations!$J$11:$BN$11,1,AZ12))</f>
        <v/>
      </c>
      <c r="BA16" s="13">
        <f>IF(Inputs!$F$33=1,Inputs!$F$60*Time!$F$16^((BA8-Inputs!$F$212)/12),INDEX(Operations!$J$11:$BN$11,1,BA12))</f>
        <v/>
      </c>
      <c r="BB16" s="13">
        <f>IF(Inputs!$F$33=1,Inputs!$F$60*Time!$F$16^((BB8-Inputs!$F$212)/12),INDEX(Operations!$J$11:$BN$11,1,BB12))</f>
        <v/>
      </c>
      <c r="BC16" s="13">
        <f>IF(Inputs!$F$33=1,Inputs!$F$60*Time!$F$16^((BC8-Inputs!$F$212)/12),INDEX(Operations!$J$11:$BN$11,1,BC12))</f>
        <v/>
      </c>
      <c r="BD16" s="13">
        <f>IF(Inputs!$F$33=1,Inputs!$F$60*Time!$F$16^((BD8-Inputs!$F$212)/12),INDEX(Operations!$J$11:$BN$11,1,BD12))</f>
        <v/>
      </c>
      <c r="BE16" s="13">
        <f>IF(Inputs!$F$33=1,Inputs!$F$60*Time!$F$16^((BE8-Inputs!$F$212)/12),INDEX(Operations!$J$11:$BN$11,1,BE12))</f>
        <v/>
      </c>
      <c r="BF16" s="13">
        <f>IF(Inputs!$F$33=1,Inputs!$F$60*Time!$F$16^((BF8-Inputs!$F$212)/12),INDEX(Operations!$J$11:$BN$11,1,BF12))</f>
        <v/>
      </c>
      <c r="BG16" s="13">
        <f>IF(Inputs!$F$33=1,Inputs!$F$60*Time!$F$16^((BG8-Inputs!$F$212)/12),INDEX(Operations!$J$11:$BN$11,1,BG12))</f>
        <v/>
      </c>
      <c r="BH16" s="13">
        <f>IF(Inputs!$F$33=1,Inputs!$F$60*Time!$F$16^((BH8-Inputs!$F$212)/12),INDEX(Operations!$J$11:$BN$11,1,BH12))</f>
        <v/>
      </c>
      <c r="BI16" s="13">
        <f>IF(Inputs!$F$33=1,Inputs!$F$60*Time!$F$16^((BI8-Inputs!$F$212)/12),INDEX(Operations!$J$11:$BN$11,1,BI12))</f>
        <v/>
      </c>
      <c r="BJ16" s="13">
        <f>IF(Inputs!$F$33=1,Inputs!$F$60*Time!$F$16^((BJ8-Inputs!$F$212)/12),INDEX(Operations!$J$11:$BN$11,1,BJ12))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3">
        <f>INDEX(Operations!$J$8:$BN$8,1,J12)</f>
        <v/>
      </c>
      <c r="K17" s="13">
        <f>INDEX(Operations!$J$8:$BN$8,1,K12)</f>
        <v/>
      </c>
      <c r="L17" s="13">
        <f>INDEX(Operations!$J$8:$BN$8,1,L12)</f>
        <v/>
      </c>
      <c r="M17" s="13">
        <f>INDEX(Operations!$J$8:$BN$8,1,M12)</f>
        <v/>
      </c>
      <c r="N17" s="13">
        <f>INDEX(Operations!$J$8:$BN$8,1,N12)</f>
        <v/>
      </c>
      <c r="O17" s="13">
        <f>INDEX(Operations!$J$8:$BN$8,1,O12)</f>
        <v/>
      </c>
      <c r="P17" s="13">
        <f>INDEX(Operations!$J$8:$BN$8,1,P12)</f>
        <v/>
      </c>
      <c r="Q17" s="13">
        <f>INDEX(Operations!$J$8:$BN$8,1,Q12)</f>
        <v/>
      </c>
      <c r="R17" s="13">
        <f>INDEX(Operations!$J$8:$BN$8,1,R12)</f>
        <v/>
      </c>
      <c r="S17" s="13">
        <f>INDEX(Operations!$J$8:$BN$8,1,S12)</f>
        <v/>
      </c>
      <c r="T17" s="13">
        <f>INDEX(Operations!$J$8:$BN$8,1,T12)</f>
        <v/>
      </c>
      <c r="U17" s="13">
        <f>INDEX(Operations!$J$8:$BN$8,1,U12)</f>
        <v/>
      </c>
      <c r="V17" s="13">
        <f>INDEX(Operations!$J$8:$BN$8,1,V12)</f>
        <v/>
      </c>
      <c r="W17" s="13">
        <f>INDEX(Operations!$J$8:$BN$8,1,W12)</f>
        <v/>
      </c>
      <c r="X17" s="13">
        <f>INDEX(Operations!$J$8:$BN$8,1,X12)</f>
        <v/>
      </c>
      <c r="Y17" s="13">
        <f>INDEX(Operations!$J$8:$BN$8,1,Y12)</f>
        <v/>
      </c>
      <c r="Z17" s="13">
        <f>INDEX(Operations!$J$8:$BN$8,1,Z12)</f>
        <v/>
      </c>
      <c r="AA17" s="13">
        <f>INDEX(Operations!$J$8:$BN$8,1,AA12)</f>
        <v/>
      </c>
      <c r="AB17" s="13">
        <f>INDEX(Operations!$J$8:$BN$8,1,AB12)</f>
        <v/>
      </c>
      <c r="AC17" s="13">
        <f>INDEX(Operations!$J$8:$BN$8,1,AC12)</f>
        <v/>
      </c>
      <c r="AD17" s="13">
        <f>INDEX(Operations!$J$8:$BN$8,1,AD12)</f>
        <v/>
      </c>
      <c r="AE17" s="13">
        <f>INDEX(Operations!$J$8:$BN$8,1,AE12)</f>
        <v/>
      </c>
      <c r="AF17" s="13">
        <f>INDEX(Operations!$J$8:$BN$8,1,AF12)</f>
        <v/>
      </c>
      <c r="AG17" s="13">
        <f>INDEX(Operations!$J$8:$BN$8,1,AG12)</f>
        <v/>
      </c>
      <c r="AH17" s="13">
        <f>INDEX(Operations!$J$8:$BN$8,1,AH12)</f>
        <v/>
      </c>
      <c r="AI17" s="13">
        <f>INDEX(Operations!$J$8:$BN$8,1,AI12)</f>
        <v/>
      </c>
      <c r="AJ17" s="13">
        <f>INDEX(Operations!$J$8:$BN$8,1,AJ12)</f>
        <v/>
      </c>
      <c r="AK17" s="13">
        <f>INDEX(Operations!$J$8:$BN$8,1,AK12)</f>
        <v/>
      </c>
      <c r="AL17" s="13">
        <f>INDEX(Operations!$J$8:$BN$8,1,AL12)</f>
        <v/>
      </c>
      <c r="AM17" s="13">
        <f>INDEX(Operations!$J$8:$BN$8,1,AM12)</f>
        <v/>
      </c>
      <c r="AN17" s="13">
        <f>INDEX(Operations!$J$8:$BN$8,1,AN12)</f>
        <v/>
      </c>
      <c r="AO17" s="13">
        <f>INDEX(Operations!$J$8:$BN$8,1,AO12)</f>
        <v/>
      </c>
      <c r="AP17" s="13">
        <f>INDEX(Operations!$J$8:$BN$8,1,AP12)</f>
        <v/>
      </c>
      <c r="AQ17" s="13">
        <f>INDEX(Operations!$J$8:$BN$8,1,AQ12)</f>
        <v/>
      </c>
      <c r="AR17" s="13">
        <f>INDEX(Operations!$J$8:$BN$8,1,AR12)</f>
        <v/>
      </c>
      <c r="AS17" s="13">
        <f>INDEX(Operations!$J$8:$BN$8,1,AS12)</f>
        <v/>
      </c>
      <c r="AT17" s="13">
        <f>INDEX(Operations!$J$8:$BN$8,1,AT12)</f>
        <v/>
      </c>
      <c r="AU17" s="13">
        <f>INDEX(Operations!$J$8:$BN$8,1,AU12)</f>
        <v/>
      </c>
      <c r="AV17" s="13">
        <f>INDEX(Operations!$J$8:$BN$8,1,AV12)</f>
        <v/>
      </c>
      <c r="AW17" s="13">
        <f>INDEX(Operations!$J$8:$BN$8,1,AW12)</f>
        <v/>
      </c>
      <c r="AX17" s="13">
        <f>INDEX(Operations!$J$8:$BN$8,1,AX12)</f>
        <v/>
      </c>
      <c r="AY17" s="13">
        <f>INDEX(Operations!$J$8:$BN$8,1,AY12)</f>
        <v/>
      </c>
      <c r="AZ17" s="13">
        <f>INDEX(Operations!$J$8:$BN$8,1,AZ12)</f>
        <v/>
      </c>
      <c r="BA17" s="13">
        <f>INDEX(Operations!$J$8:$BN$8,1,BA12)</f>
        <v/>
      </c>
      <c r="BB17" s="13">
        <f>INDEX(Operations!$J$8:$BN$8,1,BB12)</f>
        <v/>
      </c>
      <c r="BC17" s="13">
        <f>INDEX(Operations!$J$8:$BN$8,1,BC12)</f>
        <v/>
      </c>
      <c r="BD17" s="13">
        <f>INDEX(Operations!$J$8:$BN$8,1,BD12)</f>
        <v/>
      </c>
      <c r="BE17" s="13">
        <f>INDEX(Operations!$J$8:$BN$8,1,BE12)</f>
        <v/>
      </c>
      <c r="BF17" s="13">
        <f>INDEX(Operations!$J$8:$BN$8,1,BF12)</f>
        <v/>
      </c>
      <c r="BG17" s="13">
        <f>INDEX(Operations!$J$8:$BN$8,1,BG12)</f>
        <v/>
      </c>
      <c r="BH17" s="13">
        <f>INDEX(Operations!$J$8:$BN$8,1,BH12)</f>
        <v/>
      </c>
      <c r="BI17" s="13">
        <f>INDEX(Operations!$J$8:$BN$8,1,BI12)</f>
        <v/>
      </c>
      <c r="BJ17" s="13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3">
        <f>IF(Inputs!$F$33=1,Inputs!$F$73,INDEX(Inputs!$J$289:$AR$289,1,MATCH(YEAR(J9),Inputs!$J$282:$AR$282,0)))</f>
        <v/>
      </c>
      <c r="K18" s="13">
        <f>IF(Inputs!$F$33=1,Inputs!$F$73,INDEX(Inputs!$J$289:$AR$289,1,MATCH(YEAR(K9),Inputs!$J$282:$AR$282,0)))</f>
        <v/>
      </c>
      <c r="L18" s="13">
        <f>IF(Inputs!$F$33=1,Inputs!$F$73,INDEX(Inputs!$J$289:$AR$289,1,MATCH(YEAR(L9),Inputs!$J$282:$AR$282,0)))</f>
        <v/>
      </c>
      <c r="M18" s="13">
        <f>IF(Inputs!$F$33=1,Inputs!$F$73,INDEX(Inputs!$J$289:$AR$289,1,MATCH(YEAR(M9),Inputs!$J$282:$AR$282,0)))</f>
        <v/>
      </c>
      <c r="N18" s="13">
        <f>IF(Inputs!$F$33=1,Inputs!$F$73,INDEX(Inputs!$J$289:$AR$289,1,MATCH(YEAR(N9),Inputs!$J$282:$AR$282,0)))</f>
        <v/>
      </c>
      <c r="O18" s="13">
        <f>IF(Inputs!$F$33=1,Inputs!$F$73,INDEX(Inputs!$J$289:$AR$289,1,MATCH(YEAR(O9),Inputs!$J$282:$AR$282,0)))</f>
        <v/>
      </c>
      <c r="P18" s="13">
        <f>IF(Inputs!$F$33=1,Inputs!$F$73,INDEX(Inputs!$J$289:$AR$289,1,MATCH(YEAR(P9),Inputs!$J$282:$AR$282,0)))</f>
        <v/>
      </c>
      <c r="Q18" s="13">
        <f>IF(Inputs!$F$33=1,Inputs!$F$73,INDEX(Inputs!$J$289:$AR$289,1,MATCH(YEAR(Q9),Inputs!$J$282:$AR$282,0)))</f>
        <v/>
      </c>
      <c r="R18" s="13">
        <f>IF(Inputs!$F$33=1,Inputs!$F$73,INDEX(Inputs!$J$289:$AR$289,1,MATCH(YEAR(R9),Inputs!$J$282:$AR$282,0)))</f>
        <v/>
      </c>
      <c r="S18" s="13">
        <f>IF(Inputs!$F$33=1,Inputs!$F$73,INDEX(Inputs!$J$289:$AR$289,1,MATCH(YEAR(S9),Inputs!$J$282:$AR$282,0)))</f>
        <v/>
      </c>
      <c r="T18" s="13">
        <f>IF(Inputs!$F$33=1,Inputs!$F$73,INDEX(Inputs!$J$289:$AR$289,1,MATCH(YEAR(T9),Inputs!$J$282:$AR$282,0)))</f>
        <v/>
      </c>
      <c r="U18" s="13">
        <f>IF(Inputs!$F$33=1,Inputs!$F$73,INDEX(Inputs!$J$289:$AR$289,1,MATCH(YEAR(U9),Inputs!$J$282:$AR$282,0)))</f>
        <v/>
      </c>
      <c r="V18" s="13">
        <f>IF(Inputs!$F$33=1,Inputs!$F$73,INDEX(Inputs!$J$289:$AR$289,1,MATCH(YEAR(V9),Inputs!$J$282:$AR$282,0)))</f>
        <v/>
      </c>
      <c r="W18" s="13">
        <f>IF(Inputs!$F$33=1,Inputs!$F$73,INDEX(Inputs!$J$289:$AR$289,1,MATCH(YEAR(W9),Inputs!$J$282:$AR$282,0)))</f>
        <v/>
      </c>
      <c r="X18" s="13">
        <f>IF(Inputs!$F$33=1,Inputs!$F$73,INDEX(Inputs!$J$289:$AR$289,1,MATCH(YEAR(X9),Inputs!$J$282:$AR$282,0)))</f>
        <v/>
      </c>
      <c r="Y18" s="13">
        <f>IF(Inputs!$F$33=1,Inputs!$F$73,INDEX(Inputs!$J$289:$AR$289,1,MATCH(YEAR(Y9),Inputs!$J$282:$AR$282,0)))</f>
        <v/>
      </c>
      <c r="Z18" s="13">
        <f>IF(Inputs!$F$33=1,Inputs!$F$73,INDEX(Inputs!$J$289:$AR$289,1,MATCH(YEAR(Z9),Inputs!$J$282:$AR$282,0)))</f>
        <v/>
      </c>
      <c r="AA18" s="13">
        <f>IF(Inputs!$F$33=1,Inputs!$F$73,INDEX(Inputs!$J$289:$AR$289,1,MATCH(YEAR(AA9),Inputs!$J$282:$AR$282,0)))</f>
        <v/>
      </c>
      <c r="AB18" s="13">
        <f>IF(Inputs!$F$33=1,Inputs!$F$73,INDEX(Inputs!$J$289:$AR$289,1,MATCH(YEAR(AB9),Inputs!$J$282:$AR$282,0)))</f>
        <v/>
      </c>
      <c r="AC18" s="13">
        <f>IF(Inputs!$F$33=1,Inputs!$F$73,INDEX(Inputs!$J$289:$AR$289,1,MATCH(YEAR(AC9),Inputs!$J$282:$AR$282,0)))</f>
        <v/>
      </c>
      <c r="AD18" s="13">
        <f>IF(Inputs!$F$33=1,Inputs!$F$73,INDEX(Inputs!$J$289:$AR$289,1,MATCH(YEAR(AD9),Inputs!$J$282:$AR$282,0)))</f>
        <v/>
      </c>
      <c r="AE18" s="13">
        <f>IF(Inputs!$F$33=1,Inputs!$F$73,INDEX(Inputs!$J$289:$AR$289,1,MATCH(YEAR(AE9),Inputs!$J$282:$AR$282,0)))</f>
        <v/>
      </c>
      <c r="AF18" s="13">
        <f>IF(Inputs!$F$33=1,Inputs!$F$73,INDEX(Inputs!$J$289:$AR$289,1,MATCH(YEAR(AF9),Inputs!$J$282:$AR$282,0)))</f>
        <v/>
      </c>
      <c r="AG18" s="13">
        <f>IF(Inputs!$F$33=1,Inputs!$F$73,INDEX(Inputs!$J$289:$AR$289,1,MATCH(YEAR(AG9),Inputs!$J$282:$AR$282,0)))</f>
        <v/>
      </c>
      <c r="AH18" s="13">
        <f>IF(Inputs!$F$33=1,Inputs!$F$73,INDEX(Inputs!$J$289:$AR$289,1,MATCH(YEAR(AH9),Inputs!$J$282:$AR$282,0)))</f>
        <v/>
      </c>
      <c r="AI18" s="13">
        <f>IF(Inputs!$F$33=1,Inputs!$F$73,INDEX(Inputs!$J$289:$AR$289,1,MATCH(YEAR(AI9),Inputs!$J$282:$AR$282,0)))</f>
        <v/>
      </c>
      <c r="AJ18" s="13">
        <f>IF(Inputs!$F$33=1,Inputs!$F$73,INDEX(Inputs!$J$289:$AR$289,1,MATCH(YEAR(AJ9),Inputs!$J$282:$AR$282,0)))</f>
        <v/>
      </c>
      <c r="AK18" s="13">
        <f>IF(Inputs!$F$33=1,Inputs!$F$73,INDEX(Inputs!$J$289:$AR$289,1,MATCH(YEAR(AK9),Inputs!$J$282:$AR$282,0)))</f>
        <v/>
      </c>
      <c r="AL18" s="13">
        <f>IF(Inputs!$F$33=1,Inputs!$F$73,INDEX(Inputs!$J$289:$AR$289,1,MATCH(YEAR(AL9),Inputs!$J$282:$AR$282,0)))</f>
        <v/>
      </c>
      <c r="AM18" s="13">
        <f>IF(Inputs!$F$33=1,Inputs!$F$73,INDEX(Inputs!$J$289:$AR$289,1,MATCH(YEAR(AM9),Inputs!$J$282:$AR$282,0)))</f>
        <v/>
      </c>
      <c r="AN18" s="13">
        <f>IF(Inputs!$F$33=1,Inputs!$F$73,INDEX(Inputs!$J$289:$AR$289,1,MATCH(YEAR(AN9),Inputs!$J$282:$AR$282,0)))</f>
        <v/>
      </c>
      <c r="AO18" s="13">
        <f>IF(Inputs!$F$33=1,Inputs!$F$73,INDEX(Inputs!$J$289:$AR$289,1,MATCH(YEAR(AO9),Inputs!$J$282:$AR$282,0)))</f>
        <v/>
      </c>
      <c r="AP18" s="13">
        <f>IF(Inputs!$F$33=1,Inputs!$F$73,INDEX(Inputs!$J$289:$AR$289,1,MATCH(YEAR(AP9),Inputs!$J$282:$AR$282,0)))</f>
        <v/>
      </c>
      <c r="AQ18" s="13">
        <f>IF(Inputs!$F$33=1,Inputs!$F$73,INDEX(Inputs!$J$289:$AR$289,1,MATCH(YEAR(AQ9),Inputs!$J$282:$AR$282,0)))</f>
        <v/>
      </c>
      <c r="AR18" s="13">
        <f>IF(Inputs!$F$33=1,Inputs!$F$73,INDEX(Inputs!$J$289:$AR$289,1,MATCH(YEAR(AR9),Inputs!$J$282:$AR$282,0)))</f>
        <v/>
      </c>
      <c r="AS18" s="13">
        <f>IF(Inputs!$F$33=1,Inputs!$F$73,INDEX(Inputs!$J$289:$AR$289,1,MATCH(YEAR(AS9),Inputs!$J$282:$AR$282,0)))</f>
        <v/>
      </c>
      <c r="AT18" s="13">
        <f>IF(Inputs!$F$33=1,Inputs!$F$73,INDEX(Inputs!$J$289:$AR$289,1,MATCH(YEAR(AT9),Inputs!$J$282:$AR$282,0)))</f>
        <v/>
      </c>
      <c r="AU18" s="13">
        <f>IF(Inputs!$F$33=1,Inputs!$F$73,INDEX(Inputs!$J$289:$AR$289,1,MATCH(YEAR(AU9),Inputs!$J$282:$AR$282,0)))</f>
        <v/>
      </c>
      <c r="AV18" s="13">
        <f>IF(Inputs!$F$33=1,Inputs!$F$73,INDEX(Inputs!$J$289:$AR$289,1,MATCH(YEAR(AV9),Inputs!$J$282:$AR$282,0)))</f>
        <v/>
      </c>
      <c r="AW18" s="13">
        <f>IF(Inputs!$F$33=1,Inputs!$F$73,INDEX(Inputs!$J$289:$AR$289,1,MATCH(YEAR(AW9),Inputs!$J$282:$AR$282,0)))</f>
        <v/>
      </c>
      <c r="AX18" s="13">
        <f>IF(Inputs!$F$33=1,Inputs!$F$73,INDEX(Inputs!$J$289:$AR$289,1,MATCH(YEAR(AX9),Inputs!$J$282:$AR$282,0)))</f>
        <v/>
      </c>
      <c r="AY18" s="13">
        <f>IF(Inputs!$F$33=1,Inputs!$F$73,INDEX(Inputs!$J$289:$AR$289,1,MATCH(YEAR(AY9),Inputs!$J$282:$AR$282,0)))</f>
        <v/>
      </c>
      <c r="AZ18" s="13">
        <f>IF(Inputs!$F$33=1,Inputs!$F$73,INDEX(Inputs!$J$289:$AR$289,1,MATCH(YEAR(AZ9),Inputs!$J$282:$AR$282,0)))</f>
        <v/>
      </c>
      <c r="BA18" s="13">
        <f>IF(Inputs!$F$33=1,Inputs!$F$73,INDEX(Inputs!$J$289:$AR$289,1,MATCH(YEAR(BA9),Inputs!$J$282:$AR$282,0)))</f>
        <v/>
      </c>
      <c r="BB18" s="13">
        <f>IF(Inputs!$F$33=1,Inputs!$F$73,INDEX(Inputs!$J$289:$AR$289,1,MATCH(YEAR(BB9),Inputs!$J$282:$AR$282,0)))</f>
        <v/>
      </c>
      <c r="BC18" s="13">
        <f>IF(Inputs!$F$33=1,Inputs!$F$73,INDEX(Inputs!$J$289:$AR$289,1,MATCH(YEAR(BC9),Inputs!$J$282:$AR$282,0)))</f>
        <v/>
      </c>
      <c r="BD18" s="13">
        <f>IF(Inputs!$F$33=1,Inputs!$F$73,INDEX(Inputs!$J$289:$AR$289,1,MATCH(YEAR(BD9),Inputs!$J$282:$AR$282,0)))</f>
        <v/>
      </c>
      <c r="BE18" s="13">
        <f>IF(Inputs!$F$33=1,Inputs!$F$73,INDEX(Inputs!$J$289:$AR$289,1,MATCH(YEAR(BE9),Inputs!$J$282:$AR$282,0)))</f>
        <v/>
      </c>
      <c r="BF18" s="13">
        <f>IF(Inputs!$F$33=1,Inputs!$F$73,INDEX(Inputs!$J$289:$AR$289,1,MATCH(YEAR(BF9),Inputs!$J$282:$AR$282,0)))</f>
        <v/>
      </c>
      <c r="BG18" s="13">
        <f>IF(Inputs!$F$33=1,Inputs!$F$73,INDEX(Inputs!$J$289:$AR$289,1,MATCH(YEAR(BG9),Inputs!$J$282:$AR$282,0)))</f>
        <v/>
      </c>
      <c r="BH18" s="13">
        <f>IF(Inputs!$F$33=1,Inputs!$F$73,INDEX(Inputs!$J$289:$AR$289,1,MATCH(YEAR(BH9),Inputs!$J$282:$AR$282,0)))</f>
        <v/>
      </c>
      <c r="BI18" s="13">
        <f>IF(Inputs!$F$33=1,Inputs!$F$73,INDEX(Inputs!$J$289:$AR$289,1,MATCH(YEAR(BI9),Inputs!$J$282:$AR$282,0)))</f>
        <v/>
      </c>
      <c r="BJ18" s="13">
        <f>IF(Inputs!$F$33=1,Inputs!$F$73,INDEX(Inputs!$J$289:$AR$289,1,MATCH(YEAR(BJ9),Inputs!$J$282:$AR$282,0)))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3">
        <f>IF(Inputs!$F$34&lt;&gt;1,Inputs!J306,Inputs!J305+IF(Inputs!$F$35&gt;0,IF(J8=Inputs!$F$237,-Inputs!$F$238,0)+IF(J8=Inputs!$F$237+Inputs!$F$35,Inputs!$F$238,0),0))</f>
        <v/>
      </c>
      <c r="K20" s="13">
        <f>IF(Inputs!$F$34&lt;&gt;1,Inputs!K306,Inputs!K305+IF(Inputs!$F$35&gt;0,IF(K8=Inputs!$F$237,-Inputs!$F$238,0)+IF(K8=Inputs!$F$237+Inputs!$F$35,Inputs!$F$238,0),0))</f>
        <v/>
      </c>
      <c r="L20" s="13">
        <f>IF(Inputs!$F$34&lt;&gt;1,Inputs!L306,Inputs!L305+IF(Inputs!$F$35&gt;0,IF(L8=Inputs!$F$237,-Inputs!$F$238,0)+IF(L8=Inputs!$F$237+Inputs!$F$35,Inputs!$F$238,0),0))</f>
        <v/>
      </c>
      <c r="M20" s="13">
        <f>IF(Inputs!$F$34&lt;&gt;1,Inputs!M306,Inputs!M305+IF(Inputs!$F$35&gt;0,IF(M8=Inputs!$F$237,-Inputs!$F$238,0)+IF(M8=Inputs!$F$237+Inputs!$F$35,Inputs!$F$238,0),0))</f>
        <v/>
      </c>
      <c r="N20" s="13">
        <f>IF(Inputs!$F$34&lt;&gt;1,Inputs!N306,Inputs!N305+IF(Inputs!$F$35&gt;0,IF(N8=Inputs!$F$237,-Inputs!$F$238,0)+IF(N8=Inputs!$F$237+Inputs!$F$35,Inputs!$F$238,0),0))</f>
        <v/>
      </c>
      <c r="O20" s="13">
        <f>IF(Inputs!$F$34&lt;&gt;1,Inputs!O306,Inputs!O305+IF(Inputs!$F$35&gt;0,IF(O8=Inputs!$F$237,-Inputs!$F$238,0)+IF(O8=Inputs!$F$237+Inputs!$F$35,Inputs!$F$238,0),0))</f>
        <v/>
      </c>
      <c r="P20" s="13">
        <f>IF(Inputs!$F$34&lt;&gt;1,Inputs!P306,Inputs!P305+IF(Inputs!$F$35&gt;0,IF(P8=Inputs!$F$237,-Inputs!$F$238,0)+IF(P8=Inputs!$F$237+Inputs!$F$35,Inputs!$F$238,0),0))</f>
        <v/>
      </c>
      <c r="Q20" s="13">
        <f>IF(Inputs!$F$34&lt;&gt;1,Inputs!Q306,Inputs!Q305+IF(Inputs!$F$35&gt;0,IF(Q8=Inputs!$F$237,-Inputs!$F$238,0)+IF(Q8=Inputs!$F$237+Inputs!$F$35,Inputs!$F$238,0),0))</f>
        <v/>
      </c>
      <c r="R20" s="13">
        <f>IF(Inputs!$F$34&lt;&gt;1,Inputs!R306,Inputs!R305+IF(Inputs!$F$35&gt;0,IF(R8=Inputs!$F$237,-Inputs!$F$238,0)+IF(R8=Inputs!$F$237+Inputs!$F$35,Inputs!$F$238,0),0))</f>
        <v/>
      </c>
      <c r="S20" s="13">
        <f>IF(Inputs!$F$34&lt;&gt;1,Inputs!S306,Inputs!S305+IF(Inputs!$F$35&gt;0,IF(S8=Inputs!$F$237,-Inputs!$F$238,0)+IF(S8=Inputs!$F$237+Inputs!$F$35,Inputs!$F$238,0),0))</f>
        <v/>
      </c>
      <c r="T20" s="13">
        <f>IF(Inputs!$F$34&lt;&gt;1,Inputs!T306,Inputs!T305+IF(Inputs!$F$35&gt;0,IF(T8=Inputs!$F$237,-Inputs!$F$238,0)+IF(T8=Inputs!$F$237+Inputs!$F$35,Inputs!$F$238,0),0))</f>
        <v/>
      </c>
      <c r="U20" s="13">
        <f>IF(Inputs!$F$34&lt;&gt;1,Inputs!U306,Inputs!U305+IF(Inputs!$F$35&gt;0,IF(U8=Inputs!$F$237,-Inputs!$F$238,0)+IF(U8=Inputs!$F$237+Inputs!$F$35,Inputs!$F$238,0),0))</f>
        <v/>
      </c>
      <c r="V20" s="13">
        <f>IF(Inputs!$F$34&lt;&gt;1,Inputs!V306,Inputs!V305+IF(Inputs!$F$35&gt;0,IF(V8=Inputs!$F$237,-Inputs!$F$238,0)+IF(V8=Inputs!$F$237+Inputs!$F$35,Inputs!$F$238,0),0))</f>
        <v/>
      </c>
      <c r="W20" s="13">
        <f>IF(Inputs!$F$34&lt;&gt;1,Inputs!W306,Inputs!W305+IF(Inputs!$F$35&gt;0,IF(W8=Inputs!$F$237,-Inputs!$F$238,0)+IF(W8=Inputs!$F$237+Inputs!$F$35,Inputs!$F$238,0),0))</f>
        <v/>
      </c>
      <c r="X20" s="13">
        <f>IF(Inputs!$F$34&lt;&gt;1,Inputs!X306,Inputs!X305+IF(Inputs!$F$35&gt;0,IF(X8=Inputs!$F$237,-Inputs!$F$238,0)+IF(X8=Inputs!$F$237+Inputs!$F$35,Inputs!$F$238,0),0))</f>
        <v/>
      </c>
      <c r="Y20" s="13">
        <f>IF(Inputs!$F$34&lt;&gt;1,Inputs!Y306,Inputs!Y305+IF(Inputs!$F$35&gt;0,IF(Y8=Inputs!$F$237,-Inputs!$F$238,0)+IF(Y8=Inputs!$F$237+Inputs!$F$35,Inputs!$F$238,0),0))</f>
        <v/>
      </c>
      <c r="Z20" s="13">
        <f>IF(Inputs!$F$34&lt;&gt;1,Inputs!Z306,Inputs!Z305+IF(Inputs!$F$35&gt;0,IF(Z8=Inputs!$F$237,-Inputs!$F$238,0)+IF(Z8=Inputs!$F$237+Inputs!$F$35,Inputs!$F$238,0),0))</f>
        <v/>
      </c>
      <c r="AA20" s="13">
        <f>IF(Inputs!$F$34&lt;&gt;1,Inputs!AA306,Inputs!AA305+IF(Inputs!$F$35&gt;0,IF(AA8=Inputs!$F$237,-Inputs!$F$238,0)+IF(AA8=Inputs!$F$237+Inputs!$F$35,Inputs!$F$238,0),0))</f>
        <v/>
      </c>
      <c r="AB20" s="13">
        <f>IF(Inputs!$F$34&lt;&gt;1,Inputs!AB306,Inputs!AB305+IF(Inputs!$F$35&gt;0,IF(AB8=Inputs!$F$237,-Inputs!$F$238,0)+IF(AB8=Inputs!$F$237+Inputs!$F$35,Inputs!$F$238,0),0))</f>
        <v/>
      </c>
      <c r="AC20" s="13">
        <f>IF(Inputs!$F$34&lt;&gt;1,Inputs!AC306,Inputs!AC305+IF(Inputs!$F$35&gt;0,IF(AC8=Inputs!$F$237,-Inputs!$F$238,0)+IF(AC8=Inputs!$F$237+Inputs!$F$35,Inputs!$F$238,0),0))</f>
        <v/>
      </c>
      <c r="AD20" s="13">
        <f>IF(Inputs!$F$34&lt;&gt;1,Inputs!AD306,Inputs!AD305+IF(Inputs!$F$35&gt;0,IF(AD8=Inputs!$F$237,-Inputs!$F$238,0)+IF(AD8=Inputs!$F$237+Inputs!$F$35,Inputs!$F$238,0),0))</f>
        <v/>
      </c>
      <c r="AE20" s="13">
        <f>IF(Inputs!$F$34&lt;&gt;1,Inputs!AE306,Inputs!AE305+IF(Inputs!$F$35&gt;0,IF(AE8=Inputs!$F$237,-Inputs!$F$238,0)+IF(AE8=Inputs!$F$237+Inputs!$F$35,Inputs!$F$238,0),0))</f>
        <v/>
      </c>
      <c r="AF20" s="13">
        <f>IF(Inputs!$F$34&lt;&gt;1,Inputs!AF306,Inputs!AF305+IF(Inputs!$F$35&gt;0,IF(AF8=Inputs!$F$237,-Inputs!$F$238,0)+IF(AF8=Inputs!$F$237+Inputs!$F$35,Inputs!$F$238,0),0))</f>
        <v/>
      </c>
      <c r="AG20" s="13">
        <f>IF(Inputs!$F$34&lt;&gt;1,Inputs!AG306,Inputs!AG305+IF(Inputs!$F$35&gt;0,IF(AG8=Inputs!$F$237,-Inputs!$F$238,0)+IF(AG8=Inputs!$F$237+Inputs!$F$35,Inputs!$F$238,0),0))</f>
        <v/>
      </c>
      <c r="AH20" s="13">
        <f>IF(Inputs!$F$34&lt;&gt;1,Inputs!AH306,Inputs!AH305+IF(Inputs!$F$35&gt;0,IF(AH8=Inputs!$F$237,-Inputs!$F$238,0)+IF(AH8=Inputs!$F$237+Inputs!$F$35,Inputs!$F$238,0),0))</f>
        <v/>
      </c>
      <c r="AI20" s="13">
        <f>IF(Inputs!$F$34&lt;&gt;1,Inputs!AI306,Inputs!AI305+IF(Inputs!$F$35&gt;0,IF(AI8=Inputs!$F$237,-Inputs!$F$238,0)+IF(AI8=Inputs!$F$237+Inputs!$F$35,Inputs!$F$238,0),0))</f>
        <v/>
      </c>
      <c r="AJ20" s="13">
        <f>IF(Inputs!$F$34&lt;&gt;1,Inputs!AJ306,Inputs!AJ305+IF(Inputs!$F$35&gt;0,IF(AJ8=Inputs!$F$237,-Inputs!$F$238,0)+IF(AJ8=Inputs!$F$237+Inputs!$F$35,Inputs!$F$238,0),0))</f>
        <v/>
      </c>
      <c r="AK20" s="13">
        <f>IF(Inputs!$F$34&lt;&gt;1,Inputs!AK306,Inputs!AK305+IF(Inputs!$F$35&gt;0,IF(AK8=Inputs!$F$237,-Inputs!$F$238,0)+IF(AK8=Inputs!$F$237+Inputs!$F$35,Inputs!$F$238,0),0))</f>
        <v/>
      </c>
      <c r="AL20" s="13">
        <f>IF(Inputs!$F$34&lt;&gt;1,Inputs!AL306,Inputs!AL305+IF(Inputs!$F$35&gt;0,IF(AL8=Inputs!$F$237,-Inputs!$F$238,0)+IF(AL8=Inputs!$F$237+Inputs!$F$35,Inputs!$F$238,0),0))</f>
        <v/>
      </c>
      <c r="AM20" s="13">
        <f>IF(Inputs!$F$34&lt;&gt;1,Inputs!AM306,Inputs!AM305+IF(Inputs!$F$35&gt;0,IF(AM8=Inputs!$F$237,-Inputs!$F$238,0)+IF(AM8=Inputs!$F$237+Inputs!$F$35,Inputs!$F$238,0),0))</f>
        <v/>
      </c>
      <c r="AN20" s="13">
        <f>IF(Inputs!$F$34&lt;&gt;1,Inputs!AN306,Inputs!AN305+IF(Inputs!$F$35&gt;0,IF(AN8=Inputs!$F$237,-Inputs!$F$238,0)+IF(AN8=Inputs!$F$237+Inputs!$F$35,Inputs!$F$238,0),0))</f>
        <v/>
      </c>
      <c r="AO20" s="13">
        <f>IF(Inputs!$F$34&lt;&gt;1,Inputs!AO306,Inputs!AO305+IF(Inputs!$F$35&gt;0,IF(AO8=Inputs!$F$237,-Inputs!$F$238,0)+IF(AO8=Inputs!$F$237+Inputs!$F$35,Inputs!$F$238,0),0))</f>
        <v/>
      </c>
      <c r="AP20" s="13">
        <f>IF(Inputs!$F$34&lt;&gt;1,Inputs!AP306,Inputs!AP305+IF(Inputs!$F$35&gt;0,IF(AP8=Inputs!$F$237,-Inputs!$F$238,0)+IF(AP8=Inputs!$F$237+Inputs!$F$35,Inputs!$F$238,0),0))</f>
        <v/>
      </c>
      <c r="AQ20" s="13">
        <f>IF(Inputs!$F$34&lt;&gt;1,Inputs!AQ306,Inputs!AQ305+IF(Inputs!$F$35&gt;0,IF(AQ8=Inputs!$F$237,-Inputs!$F$238,0)+IF(AQ8=Inputs!$F$237+Inputs!$F$35,Inputs!$F$238,0),0))</f>
        <v/>
      </c>
      <c r="AR20" s="13">
        <f>IF(Inputs!$F$34&lt;&gt;1,Inputs!AR306,Inputs!AR305+IF(Inputs!$F$35&gt;0,IF(AR8=Inputs!$F$237,-Inputs!$F$238,0)+IF(AR8=Inputs!$F$237+Inputs!$F$35,Inputs!$F$238,0),0))</f>
        <v/>
      </c>
      <c r="AS20" s="13">
        <f>IF(Inputs!$F$34&lt;&gt;1,Inputs!AS306,Inputs!AS305+IF(Inputs!$F$35&gt;0,IF(AS8=Inputs!$F$237,-Inputs!$F$238,0)+IF(AS8=Inputs!$F$237+Inputs!$F$35,Inputs!$F$238,0),0))</f>
        <v/>
      </c>
      <c r="AT20" s="13">
        <f>IF(Inputs!$F$34&lt;&gt;1,Inputs!AT306,Inputs!AT305+IF(Inputs!$F$35&gt;0,IF(AT8=Inputs!$F$237,-Inputs!$F$238,0)+IF(AT8=Inputs!$F$237+Inputs!$F$35,Inputs!$F$238,0),0))</f>
        <v/>
      </c>
      <c r="AU20" s="13">
        <f>IF(Inputs!$F$34&lt;&gt;1,Inputs!AU306,Inputs!AU305+IF(Inputs!$F$35&gt;0,IF(AU8=Inputs!$F$237,-Inputs!$F$238,0)+IF(AU8=Inputs!$F$237+Inputs!$F$35,Inputs!$F$238,0),0))</f>
        <v/>
      </c>
      <c r="AV20" s="13">
        <f>IF(Inputs!$F$34&lt;&gt;1,Inputs!AV306,Inputs!AV305+IF(Inputs!$F$35&gt;0,IF(AV8=Inputs!$F$237,-Inputs!$F$238,0)+IF(AV8=Inputs!$F$237+Inputs!$F$35,Inputs!$F$238,0),0))</f>
        <v/>
      </c>
      <c r="AW20" s="13">
        <f>IF(Inputs!$F$34&lt;&gt;1,Inputs!AW306,Inputs!AW305+IF(Inputs!$F$35&gt;0,IF(AW8=Inputs!$F$237,-Inputs!$F$238,0)+IF(AW8=Inputs!$F$237+Inputs!$F$35,Inputs!$F$238,0),0))</f>
        <v/>
      </c>
      <c r="AX20" s="13">
        <f>IF(Inputs!$F$34&lt;&gt;1,Inputs!AX306,Inputs!AX305+IF(Inputs!$F$35&gt;0,IF(AX8=Inputs!$F$237,-Inputs!$F$238,0)+IF(AX8=Inputs!$F$237+Inputs!$F$35,Inputs!$F$238,0),0))</f>
        <v/>
      </c>
      <c r="AY20" s="13">
        <f>IF(Inputs!$F$34&lt;&gt;1,Inputs!AY306,Inputs!AY305+IF(Inputs!$F$35&gt;0,IF(AY8=Inputs!$F$237,-Inputs!$F$238,0)+IF(AY8=Inputs!$F$237+Inputs!$F$35,Inputs!$F$238,0),0))</f>
        <v/>
      </c>
      <c r="AZ20" s="13">
        <f>IF(Inputs!$F$34&lt;&gt;1,Inputs!AZ306,Inputs!AZ305+IF(Inputs!$F$35&gt;0,IF(AZ8=Inputs!$F$237,-Inputs!$F$238,0)+IF(AZ8=Inputs!$F$237+Inputs!$F$35,Inputs!$F$238,0),0))</f>
        <v/>
      </c>
      <c r="BA20" s="13">
        <f>IF(Inputs!$F$34&lt;&gt;1,Inputs!BA306,Inputs!BA305+IF(Inputs!$F$35&gt;0,IF(BA8=Inputs!$F$237,-Inputs!$F$238,0)+IF(BA8=Inputs!$F$237+Inputs!$F$35,Inputs!$F$238,0),0))</f>
        <v/>
      </c>
      <c r="BB20" s="13">
        <f>IF(Inputs!$F$34&lt;&gt;1,Inputs!BB306,Inputs!BB305+IF(Inputs!$F$35&gt;0,IF(BB8=Inputs!$F$237,-Inputs!$F$238,0)+IF(BB8=Inputs!$F$237+Inputs!$F$35,Inputs!$F$238,0),0))</f>
        <v/>
      </c>
      <c r="BC20" s="13">
        <f>IF(Inputs!$F$34&lt;&gt;1,Inputs!BC306,Inputs!BC305+IF(Inputs!$F$35&gt;0,IF(BC8=Inputs!$F$237,-Inputs!$F$238,0)+IF(BC8=Inputs!$F$237+Inputs!$F$35,Inputs!$F$238,0),0))</f>
        <v/>
      </c>
      <c r="BD20" s="13">
        <f>IF(Inputs!$F$34&lt;&gt;1,Inputs!BD306,Inputs!BD305+IF(Inputs!$F$35&gt;0,IF(BD8=Inputs!$F$237,-Inputs!$F$238,0)+IF(BD8=Inputs!$F$237+Inputs!$F$35,Inputs!$F$238,0),0))</f>
        <v/>
      </c>
      <c r="BE20" s="13">
        <f>IF(Inputs!$F$34&lt;&gt;1,Inputs!BE306,Inputs!BE305+IF(Inputs!$F$35&gt;0,IF(BE8=Inputs!$F$237,-Inputs!$F$238,0)+IF(BE8=Inputs!$F$237+Inputs!$F$35,Inputs!$F$238,0),0))</f>
        <v/>
      </c>
      <c r="BF20" s="13">
        <f>IF(Inputs!$F$34&lt;&gt;1,Inputs!BF306,Inputs!BF305+IF(Inputs!$F$35&gt;0,IF(BF8=Inputs!$F$237,-Inputs!$F$238,0)+IF(BF8=Inputs!$F$237+Inputs!$F$35,Inputs!$F$238,0),0))</f>
        <v/>
      </c>
      <c r="BG20" s="13">
        <f>IF(Inputs!$F$34&lt;&gt;1,Inputs!BG306,Inputs!BG305+IF(Inputs!$F$35&gt;0,IF(BG8=Inputs!$F$237,-Inputs!$F$238,0)+IF(BG8=Inputs!$F$237+Inputs!$F$35,Inputs!$F$238,0),0))</f>
        <v/>
      </c>
      <c r="BH20" s="13">
        <f>IF(Inputs!$F$34&lt;&gt;1,Inputs!BH306,Inputs!BH305+IF(Inputs!$F$35&gt;0,IF(BH8=Inputs!$F$237,-Inputs!$F$238,0)+IF(BH8=Inputs!$F$237+Inputs!$F$35,Inputs!$F$238,0),0))</f>
        <v/>
      </c>
      <c r="BI20" s="13">
        <f>IF(Inputs!$F$34&lt;&gt;1,Inputs!BI306,Inputs!BI305+IF(Inputs!$F$35&gt;0,IF(BI8=Inputs!$F$237,-Inputs!$F$238,0)+IF(BI8=Inputs!$F$237+Inputs!$F$35,Inputs!$F$238,0),0))</f>
        <v/>
      </c>
      <c r="BJ20" s="13">
        <f>IF(Inputs!$F$34&lt;&gt;1,Inputs!BJ306,Inputs!BJ305+IF(Inputs!$F$35&gt;0,IF(BJ8=Inputs!$F$237,-Inputs!$F$238,0)+IF(BJ8=Inputs!$F$237+Inputs!$F$35,Inputs!$F$238,0),0))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3">
        <f>IF(J8=1,0,J20)-IF(J8=Time!$F$11,Inputs!$F$238,0)</f>
        <v/>
      </c>
      <c r="K21" s="13">
        <f>IF(K8=1,0,K20)-IF(K8=Time!$F$11,Inputs!$F$238,0)</f>
        <v/>
      </c>
      <c r="L21" s="13">
        <f>IF(L8=1,0,L20)-IF(L8=Time!$F$11,Inputs!$F$238,0)</f>
        <v/>
      </c>
      <c r="M21" s="13">
        <f>IF(M8=1,0,M20)-IF(M8=Time!$F$11,Inputs!$F$238,0)</f>
        <v/>
      </c>
      <c r="N21" s="13">
        <f>IF(N8=1,0,N20)-IF(N8=Time!$F$11,Inputs!$F$238,0)</f>
        <v/>
      </c>
      <c r="O21" s="13">
        <f>IF(O8=1,0,O20)-IF(O8=Time!$F$11,Inputs!$F$238,0)</f>
        <v/>
      </c>
      <c r="P21" s="13">
        <f>IF(P8=1,0,P20)-IF(P8=Time!$F$11,Inputs!$F$238,0)</f>
        <v/>
      </c>
      <c r="Q21" s="13">
        <f>IF(Q8=1,0,Q20)-IF(Q8=Time!$F$11,Inputs!$F$238,0)</f>
        <v/>
      </c>
      <c r="R21" s="13">
        <f>IF(R8=1,0,R20)-IF(R8=Time!$F$11,Inputs!$F$238,0)</f>
        <v/>
      </c>
      <c r="S21" s="13">
        <f>IF(S8=1,0,S20)-IF(S8=Time!$F$11,Inputs!$F$238,0)</f>
        <v/>
      </c>
      <c r="T21" s="13">
        <f>IF(T8=1,0,T20)-IF(T8=Time!$F$11,Inputs!$F$238,0)</f>
        <v/>
      </c>
      <c r="U21" s="13">
        <f>IF(U8=1,0,U20)-IF(U8=Time!$F$11,Inputs!$F$238,0)</f>
        <v/>
      </c>
      <c r="V21" s="13">
        <f>IF(V8=1,0,V20)-IF(V8=Time!$F$11,Inputs!$F$238,0)</f>
        <v/>
      </c>
      <c r="W21" s="13">
        <f>IF(W8=1,0,W20)-IF(W8=Time!$F$11,Inputs!$F$238,0)</f>
        <v/>
      </c>
      <c r="X21" s="13">
        <f>IF(X8=1,0,X20)-IF(X8=Time!$F$11,Inputs!$F$238,0)</f>
        <v/>
      </c>
      <c r="Y21" s="13">
        <f>IF(Y8=1,0,Y20)-IF(Y8=Time!$F$11,Inputs!$F$238,0)</f>
        <v/>
      </c>
      <c r="Z21" s="13">
        <f>IF(Z8=1,0,Z20)-IF(Z8=Time!$F$11,Inputs!$F$238,0)</f>
        <v/>
      </c>
      <c r="AA21" s="13">
        <f>IF(AA8=1,0,AA20)-IF(AA8=Time!$F$11,Inputs!$F$238,0)</f>
        <v/>
      </c>
      <c r="AB21" s="13">
        <f>IF(AB8=1,0,AB20)-IF(AB8=Time!$F$11,Inputs!$F$238,0)</f>
        <v/>
      </c>
      <c r="AC21" s="13">
        <f>IF(AC8=1,0,AC20)-IF(AC8=Time!$F$11,Inputs!$F$238,0)</f>
        <v/>
      </c>
      <c r="AD21" s="13">
        <f>IF(AD8=1,0,AD20)-IF(AD8=Time!$F$11,Inputs!$F$238,0)</f>
        <v/>
      </c>
      <c r="AE21" s="13">
        <f>IF(AE8=1,0,AE20)-IF(AE8=Time!$F$11,Inputs!$F$238,0)</f>
        <v/>
      </c>
      <c r="AF21" s="13">
        <f>IF(AF8=1,0,AF20)-IF(AF8=Time!$F$11,Inputs!$F$238,0)</f>
        <v/>
      </c>
      <c r="AG21" s="13">
        <f>IF(AG8=1,0,AG20)-IF(AG8=Time!$F$11,Inputs!$F$238,0)</f>
        <v/>
      </c>
      <c r="AH21" s="13">
        <f>IF(AH8=1,0,AH20)-IF(AH8=Time!$F$11,Inputs!$F$238,0)</f>
        <v/>
      </c>
      <c r="AI21" s="13">
        <f>IF(AI8=1,0,AI20)-IF(AI8=Time!$F$11,Inputs!$F$238,0)</f>
        <v/>
      </c>
      <c r="AJ21" s="13">
        <f>IF(AJ8=1,0,AJ20)-IF(AJ8=Time!$F$11,Inputs!$F$238,0)</f>
        <v/>
      </c>
      <c r="AK21" s="13">
        <f>IF(AK8=1,0,AK20)-IF(AK8=Time!$F$11,Inputs!$F$238,0)</f>
        <v/>
      </c>
      <c r="AL21" s="13">
        <f>IF(AL8=1,0,AL20)-IF(AL8=Time!$F$11,Inputs!$F$238,0)</f>
        <v/>
      </c>
      <c r="AM21" s="13">
        <f>IF(AM8=1,0,AM20)-IF(AM8=Time!$F$11,Inputs!$F$238,0)</f>
        <v/>
      </c>
      <c r="AN21" s="13">
        <f>IF(AN8=1,0,AN20)-IF(AN8=Time!$F$11,Inputs!$F$238,0)</f>
        <v/>
      </c>
      <c r="AO21" s="13">
        <f>IF(AO8=1,0,AO20)-IF(AO8=Time!$F$11,Inputs!$F$238,0)</f>
        <v/>
      </c>
      <c r="AP21" s="13">
        <f>IF(AP8=1,0,AP20)-IF(AP8=Time!$F$11,Inputs!$F$238,0)</f>
        <v/>
      </c>
      <c r="AQ21" s="13">
        <f>IF(AQ8=1,0,AQ20)-IF(AQ8=Time!$F$11,Inputs!$F$238,0)</f>
        <v/>
      </c>
      <c r="AR21" s="13">
        <f>IF(AR8=1,0,AR20)-IF(AR8=Time!$F$11,Inputs!$F$238,0)</f>
        <v/>
      </c>
      <c r="AS21" s="13">
        <f>IF(AS8=1,0,AS20)-IF(AS8=Time!$F$11,Inputs!$F$238,0)</f>
        <v/>
      </c>
      <c r="AT21" s="13">
        <f>IF(AT8=1,0,AT20)-IF(AT8=Time!$F$11,Inputs!$F$238,0)</f>
        <v/>
      </c>
      <c r="AU21" s="13">
        <f>IF(AU8=1,0,AU20)-IF(AU8=Time!$F$11,Inputs!$F$238,0)</f>
        <v/>
      </c>
      <c r="AV21" s="13">
        <f>IF(AV8=1,0,AV20)-IF(AV8=Time!$F$11,Inputs!$F$238,0)</f>
        <v/>
      </c>
      <c r="AW21" s="13">
        <f>IF(AW8=1,0,AW20)-IF(AW8=Time!$F$11,Inputs!$F$238,0)</f>
        <v/>
      </c>
      <c r="AX21" s="13">
        <f>IF(AX8=1,0,AX20)-IF(AX8=Time!$F$11,Inputs!$F$238,0)</f>
        <v/>
      </c>
      <c r="AY21" s="13">
        <f>IF(AY8=1,0,AY20)-IF(AY8=Time!$F$11,Inputs!$F$238,0)</f>
        <v/>
      </c>
      <c r="AZ21" s="13">
        <f>IF(AZ8=1,0,AZ20)-IF(AZ8=Time!$F$11,Inputs!$F$238,0)</f>
        <v/>
      </c>
      <c r="BA21" s="13">
        <f>IF(BA8=1,0,BA20)-IF(BA8=Time!$F$11,Inputs!$F$238,0)</f>
        <v/>
      </c>
      <c r="BB21" s="13">
        <f>IF(BB8=1,0,BB20)-IF(BB8=Time!$F$11,Inputs!$F$238,0)</f>
        <v/>
      </c>
      <c r="BC21" s="13">
        <f>IF(BC8=1,0,BC20)-IF(BC8=Time!$F$11,Inputs!$F$238,0)</f>
        <v/>
      </c>
      <c r="BD21" s="13">
        <f>IF(BD8=1,0,BD20)-IF(BD8=Time!$F$11,Inputs!$F$238,0)</f>
        <v/>
      </c>
      <c r="BE21" s="13">
        <f>IF(BE8=1,0,BE20)-IF(BE8=Time!$F$11,Inputs!$F$238,0)</f>
        <v/>
      </c>
      <c r="BF21" s="13">
        <f>IF(BF8=1,0,BF20)-IF(BF8=Time!$F$11,Inputs!$F$238,0)</f>
        <v/>
      </c>
      <c r="BG21" s="13">
        <f>IF(BG8=1,0,BG20)-IF(BG8=Time!$F$11,Inputs!$F$238,0)</f>
        <v/>
      </c>
      <c r="BH21" s="13">
        <f>IF(BH8=1,0,BH20)-IF(BH8=Time!$F$11,Inputs!$F$238,0)</f>
        <v/>
      </c>
      <c r="BI21" s="13">
        <f>IF(BI8=1,0,BI20)-IF(BI8=Time!$F$11,Inputs!$F$238,0)</f>
        <v/>
      </c>
      <c r="BJ21" s="13">
        <f>IF(BJ8=1,0,BJ20)-IF(BJ8=Time!$F$11,Inputs!$F$238,0)</f>
        <v/>
      </c>
    </row>
    <row r="22">
      <c r="D22" t="inlineStr">
        <is>
          <t>EPC payments</t>
        </is>
      </c>
      <c r="E22" t="inlineStr">
        <is>
          <t>USD m</t>
        </is>
      </c>
      <c r="G22" s="13">
        <f>SUM(J22:BJ22)</f>
        <v/>
      </c>
      <c r="J22" s="13">
        <f>IF(Inputs!$F$34&lt;&gt;1,J20/100*Inputs!$F$58+J20/100*Inputs!$F$59*Inputs!$F$60/J16,Inputs!$F$57*Inputs!$F$36*J20/100)</f>
        <v/>
      </c>
      <c r="K22" s="13">
        <f>IF(Inputs!$F$34&lt;&gt;1,K20/100*Inputs!$F$58+K20/100*Inputs!$F$59*Inputs!$F$60/K16,Inputs!$F$57*Inputs!$F$36*K20/100)</f>
        <v/>
      </c>
      <c r="L22" s="13">
        <f>IF(Inputs!$F$34&lt;&gt;1,L20/100*Inputs!$F$58+L20/100*Inputs!$F$59*Inputs!$F$60/L16,Inputs!$F$57*Inputs!$F$36*L20/100)</f>
        <v/>
      </c>
      <c r="M22" s="13">
        <f>IF(Inputs!$F$34&lt;&gt;1,M20/100*Inputs!$F$58+M20/100*Inputs!$F$59*Inputs!$F$60/M16,Inputs!$F$57*Inputs!$F$36*M20/100)</f>
        <v/>
      </c>
      <c r="N22" s="13">
        <f>IF(Inputs!$F$34&lt;&gt;1,N20/100*Inputs!$F$58+N20/100*Inputs!$F$59*Inputs!$F$60/N16,Inputs!$F$57*Inputs!$F$36*N20/100)</f>
        <v/>
      </c>
      <c r="O22" s="13">
        <f>IF(Inputs!$F$34&lt;&gt;1,O20/100*Inputs!$F$58+O20/100*Inputs!$F$59*Inputs!$F$60/O16,Inputs!$F$57*Inputs!$F$36*O20/100)</f>
        <v/>
      </c>
      <c r="P22" s="13">
        <f>IF(Inputs!$F$34&lt;&gt;1,P20/100*Inputs!$F$58+P20/100*Inputs!$F$59*Inputs!$F$60/P16,Inputs!$F$57*Inputs!$F$36*P20/100)</f>
        <v/>
      </c>
      <c r="Q22" s="13">
        <f>IF(Inputs!$F$34&lt;&gt;1,Q20/100*Inputs!$F$58+Q20/100*Inputs!$F$59*Inputs!$F$60/Q16,Inputs!$F$57*Inputs!$F$36*Q20/100)</f>
        <v/>
      </c>
      <c r="R22" s="13">
        <f>IF(Inputs!$F$34&lt;&gt;1,R20/100*Inputs!$F$58+R20/100*Inputs!$F$59*Inputs!$F$60/R16,Inputs!$F$57*Inputs!$F$36*R20/100)</f>
        <v/>
      </c>
      <c r="S22" s="13">
        <f>IF(Inputs!$F$34&lt;&gt;1,S20/100*Inputs!$F$58+S20/100*Inputs!$F$59*Inputs!$F$60/S16,Inputs!$F$57*Inputs!$F$36*S20/100)</f>
        <v/>
      </c>
      <c r="T22" s="13">
        <f>IF(Inputs!$F$34&lt;&gt;1,T20/100*Inputs!$F$58+T20/100*Inputs!$F$59*Inputs!$F$60/T16,Inputs!$F$57*Inputs!$F$36*T20/100)</f>
        <v/>
      </c>
      <c r="U22" s="13">
        <f>IF(Inputs!$F$34&lt;&gt;1,U20/100*Inputs!$F$58+U20/100*Inputs!$F$59*Inputs!$F$60/U16,Inputs!$F$57*Inputs!$F$36*U20/100)</f>
        <v/>
      </c>
      <c r="V22" s="13">
        <f>IF(Inputs!$F$34&lt;&gt;1,V20/100*Inputs!$F$58+V20/100*Inputs!$F$59*Inputs!$F$60/V16,Inputs!$F$57*Inputs!$F$36*V20/100)</f>
        <v/>
      </c>
      <c r="W22" s="13">
        <f>IF(Inputs!$F$34&lt;&gt;1,W20/100*Inputs!$F$58+W20/100*Inputs!$F$59*Inputs!$F$60/W16,Inputs!$F$57*Inputs!$F$36*W20/100)</f>
        <v/>
      </c>
      <c r="X22" s="13">
        <f>IF(Inputs!$F$34&lt;&gt;1,X20/100*Inputs!$F$58+X20/100*Inputs!$F$59*Inputs!$F$60/X16,Inputs!$F$57*Inputs!$F$36*X20/100)</f>
        <v/>
      </c>
      <c r="Y22" s="13">
        <f>IF(Inputs!$F$34&lt;&gt;1,Y20/100*Inputs!$F$58+Y20/100*Inputs!$F$59*Inputs!$F$60/Y16,Inputs!$F$57*Inputs!$F$36*Y20/100)</f>
        <v/>
      </c>
      <c r="Z22" s="13">
        <f>IF(Inputs!$F$34&lt;&gt;1,Z20/100*Inputs!$F$58+Z20/100*Inputs!$F$59*Inputs!$F$60/Z16,Inputs!$F$57*Inputs!$F$36*Z20/100)</f>
        <v/>
      </c>
      <c r="AA22" s="13">
        <f>IF(Inputs!$F$34&lt;&gt;1,AA20/100*Inputs!$F$58+AA20/100*Inputs!$F$59*Inputs!$F$60/AA16,Inputs!$F$57*Inputs!$F$36*AA20/100)</f>
        <v/>
      </c>
      <c r="AB22" s="13">
        <f>IF(Inputs!$F$34&lt;&gt;1,AB20/100*Inputs!$F$58+AB20/100*Inputs!$F$59*Inputs!$F$60/AB16,Inputs!$F$57*Inputs!$F$36*AB20/100)</f>
        <v/>
      </c>
      <c r="AC22" s="13">
        <f>IF(Inputs!$F$34&lt;&gt;1,AC20/100*Inputs!$F$58+AC20/100*Inputs!$F$59*Inputs!$F$60/AC16,Inputs!$F$57*Inputs!$F$36*AC20/100)</f>
        <v/>
      </c>
      <c r="AD22" s="13">
        <f>IF(Inputs!$F$34&lt;&gt;1,AD20/100*Inputs!$F$58+AD20/100*Inputs!$F$59*Inputs!$F$60/AD16,Inputs!$F$57*Inputs!$F$36*AD20/100)</f>
        <v/>
      </c>
      <c r="AE22" s="13">
        <f>IF(Inputs!$F$34&lt;&gt;1,AE20/100*Inputs!$F$58+AE20/100*Inputs!$F$59*Inputs!$F$60/AE16,Inputs!$F$57*Inputs!$F$36*AE20/100)</f>
        <v/>
      </c>
      <c r="AF22" s="13">
        <f>IF(Inputs!$F$34&lt;&gt;1,AF20/100*Inputs!$F$58+AF20/100*Inputs!$F$59*Inputs!$F$60/AF16,Inputs!$F$57*Inputs!$F$36*AF20/100)</f>
        <v/>
      </c>
      <c r="AG22" s="13">
        <f>IF(Inputs!$F$34&lt;&gt;1,AG20/100*Inputs!$F$58+AG20/100*Inputs!$F$59*Inputs!$F$60/AG16,Inputs!$F$57*Inputs!$F$36*AG20/100)</f>
        <v/>
      </c>
      <c r="AH22" s="13">
        <f>IF(Inputs!$F$34&lt;&gt;1,AH20/100*Inputs!$F$58+AH20/100*Inputs!$F$59*Inputs!$F$60/AH16,Inputs!$F$57*Inputs!$F$36*AH20/100)</f>
        <v/>
      </c>
      <c r="AI22" s="13">
        <f>IF(Inputs!$F$34&lt;&gt;1,AI20/100*Inputs!$F$58+AI20/100*Inputs!$F$59*Inputs!$F$60/AI16,Inputs!$F$57*Inputs!$F$36*AI20/100)</f>
        <v/>
      </c>
      <c r="AJ22" s="13">
        <f>IF(Inputs!$F$34&lt;&gt;1,AJ20/100*Inputs!$F$58+AJ20/100*Inputs!$F$59*Inputs!$F$60/AJ16,Inputs!$F$57*Inputs!$F$36*AJ20/100)</f>
        <v/>
      </c>
      <c r="AK22" s="13">
        <f>IF(Inputs!$F$34&lt;&gt;1,AK20/100*Inputs!$F$58+AK20/100*Inputs!$F$59*Inputs!$F$60/AK16,Inputs!$F$57*Inputs!$F$36*AK20/100)</f>
        <v/>
      </c>
      <c r="AL22" s="13">
        <f>IF(Inputs!$F$34&lt;&gt;1,AL20/100*Inputs!$F$58+AL20/100*Inputs!$F$59*Inputs!$F$60/AL16,Inputs!$F$57*Inputs!$F$36*AL20/100)</f>
        <v/>
      </c>
      <c r="AM22" s="13">
        <f>IF(Inputs!$F$34&lt;&gt;1,AM20/100*Inputs!$F$58+AM20/100*Inputs!$F$59*Inputs!$F$60/AM16,Inputs!$F$57*Inputs!$F$36*AM20/100)</f>
        <v/>
      </c>
      <c r="AN22" s="13">
        <f>IF(Inputs!$F$34&lt;&gt;1,AN20/100*Inputs!$F$58+AN20/100*Inputs!$F$59*Inputs!$F$60/AN16,Inputs!$F$57*Inputs!$F$36*AN20/100)</f>
        <v/>
      </c>
      <c r="AO22" s="13">
        <f>IF(Inputs!$F$34&lt;&gt;1,AO20/100*Inputs!$F$58+AO20/100*Inputs!$F$59*Inputs!$F$60/AO16,Inputs!$F$57*Inputs!$F$36*AO20/100)</f>
        <v/>
      </c>
      <c r="AP22" s="13">
        <f>IF(Inputs!$F$34&lt;&gt;1,AP20/100*Inputs!$F$58+AP20/100*Inputs!$F$59*Inputs!$F$60/AP16,Inputs!$F$57*Inputs!$F$36*AP20/100)</f>
        <v/>
      </c>
      <c r="AQ22" s="13">
        <f>IF(Inputs!$F$34&lt;&gt;1,AQ20/100*Inputs!$F$58+AQ20/100*Inputs!$F$59*Inputs!$F$60/AQ16,Inputs!$F$57*Inputs!$F$36*AQ20/100)</f>
        <v/>
      </c>
      <c r="AR22" s="13">
        <f>IF(Inputs!$F$34&lt;&gt;1,AR20/100*Inputs!$F$58+AR20/100*Inputs!$F$59*Inputs!$F$60/AR16,Inputs!$F$57*Inputs!$F$36*AR20/100)</f>
        <v/>
      </c>
      <c r="AS22" s="13">
        <f>IF(Inputs!$F$34&lt;&gt;1,AS20/100*Inputs!$F$58+AS20/100*Inputs!$F$59*Inputs!$F$60/AS16,Inputs!$F$57*Inputs!$F$36*AS20/100)</f>
        <v/>
      </c>
      <c r="AT22" s="13">
        <f>IF(Inputs!$F$34&lt;&gt;1,AT20/100*Inputs!$F$58+AT20/100*Inputs!$F$59*Inputs!$F$60/AT16,Inputs!$F$57*Inputs!$F$36*AT20/100)</f>
        <v/>
      </c>
      <c r="AU22" s="13">
        <f>IF(Inputs!$F$34&lt;&gt;1,AU20/100*Inputs!$F$58+AU20/100*Inputs!$F$59*Inputs!$F$60/AU16,Inputs!$F$57*Inputs!$F$36*AU20/100)</f>
        <v/>
      </c>
      <c r="AV22" s="13">
        <f>IF(Inputs!$F$34&lt;&gt;1,AV20/100*Inputs!$F$58+AV20/100*Inputs!$F$59*Inputs!$F$60/AV16,Inputs!$F$57*Inputs!$F$36*AV20/100)</f>
        <v/>
      </c>
      <c r="AW22" s="13">
        <f>IF(Inputs!$F$34&lt;&gt;1,AW20/100*Inputs!$F$58+AW20/100*Inputs!$F$59*Inputs!$F$60/AW16,Inputs!$F$57*Inputs!$F$36*AW20/100)</f>
        <v/>
      </c>
      <c r="AX22" s="13">
        <f>IF(Inputs!$F$34&lt;&gt;1,AX20/100*Inputs!$F$58+AX20/100*Inputs!$F$59*Inputs!$F$60/AX16,Inputs!$F$57*Inputs!$F$36*AX20/100)</f>
        <v/>
      </c>
      <c r="AY22" s="13">
        <f>IF(Inputs!$F$34&lt;&gt;1,AY20/100*Inputs!$F$58+AY20/100*Inputs!$F$59*Inputs!$F$60/AY16,Inputs!$F$57*Inputs!$F$36*AY20/100)</f>
        <v/>
      </c>
      <c r="AZ22" s="13">
        <f>IF(Inputs!$F$34&lt;&gt;1,AZ20/100*Inputs!$F$58+AZ20/100*Inputs!$F$59*Inputs!$F$60/AZ16,Inputs!$F$57*Inputs!$F$36*AZ20/100)</f>
        <v/>
      </c>
      <c r="BA22" s="13">
        <f>IF(Inputs!$F$34&lt;&gt;1,BA20/100*Inputs!$F$58+BA20/100*Inputs!$F$59*Inputs!$F$60/BA16,Inputs!$F$57*Inputs!$F$36*BA20/100)</f>
        <v/>
      </c>
      <c r="BB22" s="13">
        <f>IF(Inputs!$F$34&lt;&gt;1,BB20/100*Inputs!$F$58+BB20/100*Inputs!$F$59*Inputs!$F$60/BB16,Inputs!$F$57*Inputs!$F$36*BB20/100)</f>
        <v/>
      </c>
      <c r="BC22" s="13">
        <f>IF(Inputs!$F$34&lt;&gt;1,BC20/100*Inputs!$F$58+BC20/100*Inputs!$F$59*Inputs!$F$60/BC16,Inputs!$F$57*Inputs!$F$36*BC20/100)</f>
        <v/>
      </c>
      <c r="BD22" s="13">
        <f>IF(Inputs!$F$34&lt;&gt;1,BD20/100*Inputs!$F$58+BD20/100*Inputs!$F$59*Inputs!$F$60/BD16,Inputs!$F$57*Inputs!$F$36*BD20/100)</f>
        <v/>
      </c>
      <c r="BE22" s="13">
        <f>IF(Inputs!$F$34&lt;&gt;1,BE20/100*Inputs!$F$58+BE20/100*Inputs!$F$59*Inputs!$F$60/BE16,Inputs!$F$57*Inputs!$F$36*BE20/100)</f>
        <v/>
      </c>
      <c r="BF22" s="13">
        <f>IF(Inputs!$F$34&lt;&gt;1,BF20/100*Inputs!$F$58+BF20/100*Inputs!$F$59*Inputs!$F$60/BF16,Inputs!$F$57*Inputs!$F$36*BF20/100)</f>
        <v/>
      </c>
      <c r="BG22" s="13">
        <f>IF(Inputs!$F$34&lt;&gt;1,BG20/100*Inputs!$F$58+BG20/100*Inputs!$F$59*Inputs!$F$60/BG16,Inputs!$F$57*Inputs!$F$36*BG20/100)</f>
        <v/>
      </c>
      <c r="BH22" s="13">
        <f>IF(Inputs!$F$34&lt;&gt;1,BH20/100*Inputs!$F$58+BH20/100*Inputs!$F$59*Inputs!$F$60/BH16,Inputs!$F$57*Inputs!$F$36*BH20/100)</f>
        <v/>
      </c>
      <c r="BI22" s="13">
        <f>IF(Inputs!$F$34&lt;&gt;1,BI20/100*Inputs!$F$58+BI20/100*Inputs!$F$59*Inputs!$F$60/BI16,Inputs!$F$57*Inputs!$F$36*BI20/100)</f>
        <v/>
      </c>
      <c r="BJ22" s="13">
        <f>IF(Inputs!$F$34&lt;&gt;1,BJ20/100*Inputs!$F$58+BJ20/100*Inputs!$F$59*Inputs!$F$60/BJ16,Inputs!$F$57*Inputs!$F$36*BJ20/100)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3">
        <f>SUM(J23:BJ23)</f>
        <v/>
      </c>
      <c r="J23" s="13">
        <f>Inputs!$F$61*IF(Inputs!$F$34=1,Inputs!$F$36,1)*(Inputs!J307+IF(AND(Inputs!$F$34=1,J8&gt;Inputs!$F$237,J8&lt;=Time!$F$11),Inputs!$F$239,0))/100+IF(AND(Inputs!$F$34&lt;&gt;1,J8&gt;=Inputs!$F$240,J8&lt;=Inputs!$F$241),Inputs!$F$69/(Inputs!$F$241-Inputs!$F$240+1),0)</f>
        <v/>
      </c>
      <c r="K23" s="13">
        <f>Inputs!$F$61*IF(Inputs!$F$34=1,Inputs!$F$36,1)*(Inputs!K307+IF(AND(Inputs!$F$34=1,K8&gt;Inputs!$F$237,K8&lt;=Time!$F$11),Inputs!$F$239,0))/100+IF(AND(Inputs!$F$34&lt;&gt;1,K8&gt;=Inputs!$F$240,K8&lt;=Inputs!$F$241),Inputs!$F$69/(Inputs!$F$241-Inputs!$F$240+1),0)</f>
        <v/>
      </c>
      <c r="L23" s="13">
        <f>Inputs!$F$61*IF(Inputs!$F$34=1,Inputs!$F$36,1)*(Inputs!L307+IF(AND(Inputs!$F$34=1,L8&gt;Inputs!$F$237,L8&lt;=Time!$F$11),Inputs!$F$239,0))/100+IF(AND(Inputs!$F$34&lt;&gt;1,L8&gt;=Inputs!$F$240,L8&lt;=Inputs!$F$241),Inputs!$F$69/(Inputs!$F$241-Inputs!$F$240+1),0)</f>
        <v/>
      </c>
      <c r="M23" s="13">
        <f>Inputs!$F$61*IF(Inputs!$F$34=1,Inputs!$F$36,1)*(Inputs!M307+IF(AND(Inputs!$F$34=1,M8&gt;Inputs!$F$237,M8&lt;=Time!$F$11),Inputs!$F$239,0))/100+IF(AND(Inputs!$F$34&lt;&gt;1,M8&gt;=Inputs!$F$240,M8&lt;=Inputs!$F$241),Inputs!$F$69/(Inputs!$F$241-Inputs!$F$240+1),0)</f>
        <v/>
      </c>
      <c r="N23" s="13">
        <f>Inputs!$F$61*IF(Inputs!$F$34=1,Inputs!$F$36,1)*(Inputs!N307+IF(AND(Inputs!$F$34=1,N8&gt;Inputs!$F$237,N8&lt;=Time!$F$11),Inputs!$F$239,0))/100+IF(AND(Inputs!$F$34&lt;&gt;1,N8&gt;=Inputs!$F$240,N8&lt;=Inputs!$F$241),Inputs!$F$69/(Inputs!$F$241-Inputs!$F$240+1),0)</f>
        <v/>
      </c>
      <c r="O23" s="13">
        <f>Inputs!$F$61*IF(Inputs!$F$34=1,Inputs!$F$36,1)*(Inputs!O307+IF(AND(Inputs!$F$34=1,O8&gt;Inputs!$F$237,O8&lt;=Time!$F$11),Inputs!$F$239,0))/100+IF(AND(Inputs!$F$34&lt;&gt;1,O8&gt;=Inputs!$F$240,O8&lt;=Inputs!$F$241),Inputs!$F$69/(Inputs!$F$241-Inputs!$F$240+1),0)</f>
        <v/>
      </c>
      <c r="P23" s="13">
        <f>Inputs!$F$61*IF(Inputs!$F$34=1,Inputs!$F$36,1)*(Inputs!P307+IF(AND(Inputs!$F$34=1,P8&gt;Inputs!$F$237,P8&lt;=Time!$F$11),Inputs!$F$239,0))/100+IF(AND(Inputs!$F$34&lt;&gt;1,P8&gt;=Inputs!$F$240,P8&lt;=Inputs!$F$241),Inputs!$F$69/(Inputs!$F$241-Inputs!$F$240+1),0)</f>
        <v/>
      </c>
      <c r="Q23" s="13">
        <f>Inputs!$F$61*IF(Inputs!$F$34=1,Inputs!$F$36,1)*(Inputs!Q307+IF(AND(Inputs!$F$34=1,Q8&gt;Inputs!$F$237,Q8&lt;=Time!$F$11),Inputs!$F$239,0))/100+IF(AND(Inputs!$F$34&lt;&gt;1,Q8&gt;=Inputs!$F$240,Q8&lt;=Inputs!$F$241),Inputs!$F$69/(Inputs!$F$241-Inputs!$F$240+1),0)</f>
        <v/>
      </c>
      <c r="R23" s="13">
        <f>Inputs!$F$61*IF(Inputs!$F$34=1,Inputs!$F$36,1)*(Inputs!R307+IF(AND(Inputs!$F$34=1,R8&gt;Inputs!$F$237,R8&lt;=Time!$F$11),Inputs!$F$239,0))/100+IF(AND(Inputs!$F$34&lt;&gt;1,R8&gt;=Inputs!$F$240,R8&lt;=Inputs!$F$241),Inputs!$F$69/(Inputs!$F$241-Inputs!$F$240+1),0)</f>
        <v/>
      </c>
      <c r="S23" s="13">
        <f>Inputs!$F$61*IF(Inputs!$F$34=1,Inputs!$F$36,1)*(Inputs!S307+IF(AND(Inputs!$F$34=1,S8&gt;Inputs!$F$237,S8&lt;=Time!$F$11),Inputs!$F$239,0))/100+IF(AND(Inputs!$F$34&lt;&gt;1,S8&gt;=Inputs!$F$240,S8&lt;=Inputs!$F$241),Inputs!$F$69/(Inputs!$F$241-Inputs!$F$240+1),0)</f>
        <v/>
      </c>
      <c r="T23" s="13">
        <f>Inputs!$F$61*IF(Inputs!$F$34=1,Inputs!$F$36,1)*(Inputs!T307+IF(AND(Inputs!$F$34=1,T8&gt;Inputs!$F$237,T8&lt;=Time!$F$11),Inputs!$F$239,0))/100+IF(AND(Inputs!$F$34&lt;&gt;1,T8&gt;=Inputs!$F$240,T8&lt;=Inputs!$F$241),Inputs!$F$69/(Inputs!$F$241-Inputs!$F$240+1),0)</f>
        <v/>
      </c>
      <c r="U23" s="13">
        <f>Inputs!$F$61*IF(Inputs!$F$34=1,Inputs!$F$36,1)*(Inputs!U307+IF(AND(Inputs!$F$34=1,U8&gt;Inputs!$F$237,U8&lt;=Time!$F$11),Inputs!$F$239,0))/100+IF(AND(Inputs!$F$34&lt;&gt;1,U8&gt;=Inputs!$F$240,U8&lt;=Inputs!$F$241),Inputs!$F$69/(Inputs!$F$241-Inputs!$F$240+1),0)</f>
        <v/>
      </c>
      <c r="V23" s="13">
        <f>Inputs!$F$61*IF(Inputs!$F$34=1,Inputs!$F$36,1)*(Inputs!V307+IF(AND(Inputs!$F$34=1,V8&gt;Inputs!$F$237,V8&lt;=Time!$F$11),Inputs!$F$239,0))/100+IF(AND(Inputs!$F$34&lt;&gt;1,V8&gt;=Inputs!$F$240,V8&lt;=Inputs!$F$241),Inputs!$F$69/(Inputs!$F$241-Inputs!$F$240+1),0)</f>
        <v/>
      </c>
      <c r="W23" s="13">
        <f>Inputs!$F$61*IF(Inputs!$F$34=1,Inputs!$F$36,1)*(Inputs!W307+IF(AND(Inputs!$F$34=1,W8&gt;Inputs!$F$237,W8&lt;=Time!$F$11),Inputs!$F$239,0))/100+IF(AND(Inputs!$F$34&lt;&gt;1,W8&gt;=Inputs!$F$240,W8&lt;=Inputs!$F$241),Inputs!$F$69/(Inputs!$F$241-Inputs!$F$240+1),0)</f>
        <v/>
      </c>
      <c r="X23" s="13">
        <f>Inputs!$F$61*IF(Inputs!$F$34=1,Inputs!$F$36,1)*(Inputs!X307+IF(AND(Inputs!$F$34=1,X8&gt;Inputs!$F$237,X8&lt;=Time!$F$11),Inputs!$F$239,0))/100+IF(AND(Inputs!$F$34&lt;&gt;1,X8&gt;=Inputs!$F$240,X8&lt;=Inputs!$F$241),Inputs!$F$69/(Inputs!$F$241-Inputs!$F$240+1),0)</f>
        <v/>
      </c>
      <c r="Y23" s="13">
        <f>Inputs!$F$61*IF(Inputs!$F$34=1,Inputs!$F$36,1)*(Inputs!Y307+IF(AND(Inputs!$F$34=1,Y8&gt;Inputs!$F$237,Y8&lt;=Time!$F$11),Inputs!$F$239,0))/100+IF(AND(Inputs!$F$34&lt;&gt;1,Y8&gt;=Inputs!$F$240,Y8&lt;=Inputs!$F$241),Inputs!$F$69/(Inputs!$F$241-Inputs!$F$240+1),0)</f>
        <v/>
      </c>
      <c r="Z23" s="13">
        <f>Inputs!$F$61*IF(Inputs!$F$34=1,Inputs!$F$36,1)*(Inputs!Z307+IF(AND(Inputs!$F$34=1,Z8&gt;Inputs!$F$237,Z8&lt;=Time!$F$11),Inputs!$F$239,0))/100+IF(AND(Inputs!$F$34&lt;&gt;1,Z8&gt;=Inputs!$F$240,Z8&lt;=Inputs!$F$241),Inputs!$F$69/(Inputs!$F$241-Inputs!$F$240+1),0)</f>
        <v/>
      </c>
      <c r="AA23" s="13">
        <f>Inputs!$F$61*IF(Inputs!$F$34=1,Inputs!$F$36,1)*(Inputs!AA307+IF(AND(Inputs!$F$34=1,AA8&gt;Inputs!$F$237,AA8&lt;=Time!$F$11),Inputs!$F$239,0))/100+IF(AND(Inputs!$F$34&lt;&gt;1,AA8&gt;=Inputs!$F$240,AA8&lt;=Inputs!$F$241),Inputs!$F$69/(Inputs!$F$241-Inputs!$F$240+1),0)</f>
        <v/>
      </c>
      <c r="AB23" s="13">
        <f>Inputs!$F$61*IF(Inputs!$F$34=1,Inputs!$F$36,1)*(Inputs!AB307+IF(AND(Inputs!$F$34=1,AB8&gt;Inputs!$F$237,AB8&lt;=Time!$F$11),Inputs!$F$239,0))/100+IF(AND(Inputs!$F$34&lt;&gt;1,AB8&gt;=Inputs!$F$240,AB8&lt;=Inputs!$F$241),Inputs!$F$69/(Inputs!$F$241-Inputs!$F$240+1),0)</f>
        <v/>
      </c>
      <c r="AC23" s="13">
        <f>Inputs!$F$61*IF(Inputs!$F$34=1,Inputs!$F$36,1)*(Inputs!AC307+IF(AND(Inputs!$F$34=1,AC8&gt;Inputs!$F$237,AC8&lt;=Time!$F$11),Inputs!$F$239,0))/100+IF(AND(Inputs!$F$34&lt;&gt;1,AC8&gt;=Inputs!$F$240,AC8&lt;=Inputs!$F$241),Inputs!$F$69/(Inputs!$F$241-Inputs!$F$240+1),0)</f>
        <v/>
      </c>
      <c r="AD23" s="13">
        <f>Inputs!$F$61*IF(Inputs!$F$34=1,Inputs!$F$36,1)*(Inputs!AD307+IF(AND(Inputs!$F$34=1,AD8&gt;Inputs!$F$237,AD8&lt;=Time!$F$11),Inputs!$F$239,0))/100+IF(AND(Inputs!$F$34&lt;&gt;1,AD8&gt;=Inputs!$F$240,AD8&lt;=Inputs!$F$241),Inputs!$F$69/(Inputs!$F$241-Inputs!$F$240+1),0)</f>
        <v/>
      </c>
      <c r="AE23" s="13">
        <f>Inputs!$F$61*IF(Inputs!$F$34=1,Inputs!$F$36,1)*(Inputs!AE307+IF(AND(Inputs!$F$34=1,AE8&gt;Inputs!$F$237,AE8&lt;=Time!$F$11),Inputs!$F$239,0))/100+IF(AND(Inputs!$F$34&lt;&gt;1,AE8&gt;=Inputs!$F$240,AE8&lt;=Inputs!$F$241),Inputs!$F$69/(Inputs!$F$241-Inputs!$F$240+1),0)</f>
        <v/>
      </c>
      <c r="AF23" s="13">
        <f>Inputs!$F$61*IF(Inputs!$F$34=1,Inputs!$F$36,1)*(Inputs!AF307+IF(AND(Inputs!$F$34=1,AF8&gt;Inputs!$F$237,AF8&lt;=Time!$F$11),Inputs!$F$239,0))/100+IF(AND(Inputs!$F$34&lt;&gt;1,AF8&gt;=Inputs!$F$240,AF8&lt;=Inputs!$F$241),Inputs!$F$69/(Inputs!$F$241-Inputs!$F$240+1),0)</f>
        <v/>
      </c>
      <c r="AG23" s="13">
        <f>Inputs!$F$61*IF(Inputs!$F$34=1,Inputs!$F$36,1)*(Inputs!AG307+IF(AND(Inputs!$F$34=1,AG8&gt;Inputs!$F$237,AG8&lt;=Time!$F$11),Inputs!$F$239,0))/100+IF(AND(Inputs!$F$34&lt;&gt;1,AG8&gt;=Inputs!$F$240,AG8&lt;=Inputs!$F$241),Inputs!$F$69/(Inputs!$F$241-Inputs!$F$240+1),0)</f>
        <v/>
      </c>
      <c r="AH23" s="13">
        <f>Inputs!$F$61*IF(Inputs!$F$34=1,Inputs!$F$36,1)*(Inputs!AH307+IF(AND(Inputs!$F$34=1,AH8&gt;Inputs!$F$237,AH8&lt;=Time!$F$11),Inputs!$F$239,0))/100+IF(AND(Inputs!$F$34&lt;&gt;1,AH8&gt;=Inputs!$F$240,AH8&lt;=Inputs!$F$241),Inputs!$F$69/(Inputs!$F$241-Inputs!$F$240+1),0)</f>
        <v/>
      </c>
      <c r="AI23" s="13">
        <f>Inputs!$F$61*IF(Inputs!$F$34=1,Inputs!$F$36,1)*(Inputs!AI307+IF(AND(Inputs!$F$34=1,AI8&gt;Inputs!$F$237,AI8&lt;=Time!$F$11),Inputs!$F$239,0))/100+IF(AND(Inputs!$F$34&lt;&gt;1,AI8&gt;=Inputs!$F$240,AI8&lt;=Inputs!$F$241),Inputs!$F$69/(Inputs!$F$241-Inputs!$F$240+1),0)</f>
        <v/>
      </c>
      <c r="AJ23" s="13">
        <f>Inputs!$F$61*IF(Inputs!$F$34=1,Inputs!$F$36,1)*(Inputs!AJ307+IF(AND(Inputs!$F$34=1,AJ8&gt;Inputs!$F$237,AJ8&lt;=Time!$F$11),Inputs!$F$239,0))/100+IF(AND(Inputs!$F$34&lt;&gt;1,AJ8&gt;=Inputs!$F$240,AJ8&lt;=Inputs!$F$241),Inputs!$F$69/(Inputs!$F$241-Inputs!$F$240+1),0)</f>
        <v/>
      </c>
      <c r="AK23" s="13">
        <f>Inputs!$F$61*IF(Inputs!$F$34=1,Inputs!$F$36,1)*(Inputs!AK307+IF(AND(Inputs!$F$34=1,AK8&gt;Inputs!$F$237,AK8&lt;=Time!$F$11),Inputs!$F$239,0))/100+IF(AND(Inputs!$F$34&lt;&gt;1,AK8&gt;=Inputs!$F$240,AK8&lt;=Inputs!$F$241),Inputs!$F$69/(Inputs!$F$241-Inputs!$F$240+1),0)</f>
        <v/>
      </c>
      <c r="AL23" s="13">
        <f>Inputs!$F$61*IF(Inputs!$F$34=1,Inputs!$F$36,1)*(Inputs!AL307+IF(AND(Inputs!$F$34=1,AL8&gt;Inputs!$F$237,AL8&lt;=Time!$F$11),Inputs!$F$239,0))/100+IF(AND(Inputs!$F$34&lt;&gt;1,AL8&gt;=Inputs!$F$240,AL8&lt;=Inputs!$F$241),Inputs!$F$69/(Inputs!$F$241-Inputs!$F$240+1),0)</f>
        <v/>
      </c>
      <c r="AM23" s="13">
        <f>Inputs!$F$61*IF(Inputs!$F$34=1,Inputs!$F$36,1)*(Inputs!AM307+IF(AND(Inputs!$F$34=1,AM8&gt;Inputs!$F$237,AM8&lt;=Time!$F$11),Inputs!$F$239,0))/100+IF(AND(Inputs!$F$34&lt;&gt;1,AM8&gt;=Inputs!$F$240,AM8&lt;=Inputs!$F$241),Inputs!$F$69/(Inputs!$F$241-Inputs!$F$240+1),0)</f>
        <v/>
      </c>
      <c r="AN23" s="13">
        <f>Inputs!$F$61*IF(Inputs!$F$34=1,Inputs!$F$36,1)*(Inputs!AN307+IF(AND(Inputs!$F$34=1,AN8&gt;Inputs!$F$237,AN8&lt;=Time!$F$11),Inputs!$F$239,0))/100+IF(AND(Inputs!$F$34&lt;&gt;1,AN8&gt;=Inputs!$F$240,AN8&lt;=Inputs!$F$241),Inputs!$F$69/(Inputs!$F$241-Inputs!$F$240+1),0)</f>
        <v/>
      </c>
      <c r="AO23" s="13">
        <f>Inputs!$F$61*IF(Inputs!$F$34=1,Inputs!$F$36,1)*(Inputs!AO307+IF(AND(Inputs!$F$34=1,AO8&gt;Inputs!$F$237,AO8&lt;=Time!$F$11),Inputs!$F$239,0))/100+IF(AND(Inputs!$F$34&lt;&gt;1,AO8&gt;=Inputs!$F$240,AO8&lt;=Inputs!$F$241),Inputs!$F$69/(Inputs!$F$241-Inputs!$F$240+1),0)</f>
        <v/>
      </c>
      <c r="AP23" s="13">
        <f>Inputs!$F$61*IF(Inputs!$F$34=1,Inputs!$F$36,1)*(Inputs!AP307+IF(AND(Inputs!$F$34=1,AP8&gt;Inputs!$F$237,AP8&lt;=Time!$F$11),Inputs!$F$239,0))/100+IF(AND(Inputs!$F$34&lt;&gt;1,AP8&gt;=Inputs!$F$240,AP8&lt;=Inputs!$F$241),Inputs!$F$69/(Inputs!$F$241-Inputs!$F$240+1),0)</f>
        <v/>
      </c>
      <c r="AQ23" s="13">
        <f>Inputs!$F$61*IF(Inputs!$F$34=1,Inputs!$F$36,1)*(Inputs!AQ307+IF(AND(Inputs!$F$34=1,AQ8&gt;Inputs!$F$237,AQ8&lt;=Time!$F$11),Inputs!$F$239,0))/100+IF(AND(Inputs!$F$34&lt;&gt;1,AQ8&gt;=Inputs!$F$240,AQ8&lt;=Inputs!$F$241),Inputs!$F$69/(Inputs!$F$241-Inputs!$F$240+1),0)</f>
        <v/>
      </c>
      <c r="AR23" s="13">
        <f>Inputs!$F$61*IF(Inputs!$F$34=1,Inputs!$F$36,1)*(Inputs!AR307+IF(AND(Inputs!$F$34=1,AR8&gt;Inputs!$F$237,AR8&lt;=Time!$F$11),Inputs!$F$239,0))/100+IF(AND(Inputs!$F$34&lt;&gt;1,AR8&gt;=Inputs!$F$240,AR8&lt;=Inputs!$F$241),Inputs!$F$69/(Inputs!$F$241-Inputs!$F$240+1),0)</f>
        <v/>
      </c>
      <c r="AS23" s="13">
        <f>Inputs!$F$61*IF(Inputs!$F$34=1,Inputs!$F$36,1)*(Inputs!AS307+IF(AND(Inputs!$F$34=1,AS8&gt;Inputs!$F$237,AS8&lt;=Time!$F$11),Inputs!$F$239,0))/100+IF(AND(Inputs!$F$34&lt;&gt;1,AS8&gt;=Inputs!$F$240,AS8&lt;=Inputs!$F$241),Inputs!$F$69/(Inputs!$F$241-Inputs!$F$240+1),0)</f>
        <v/>
      </c>
      <c r="AT23" s="13">
        <f>Inputs!$F$61*IF(Inputs!$F$34=1,Inputs!$F$36,1)*(Inputs!AT307+IF(AND(Inputs!$F$34=1,AT8&gt;Inputs!$F$237,AT8&lt;=Time!$F$11),Inputs!$F$239,0))/100+IF(AND(Inputs!$F$34&lt;&gt;1,AT8&gt;=Inputs!$F$240,AT8&lt;=Inputs!$F$241),Inputs!$F$69/(Inputs!$F$241-Inputs!$F$240+1),0)</f>
        <v/>
      </c>
      <c r="AU23" s="13">
        <f>Inputs!$F$61*IF(Inputs!$F$34=1,Inputs!$F$36,1)*(Inputs!AU307+IF(AND(Inputs!$F$34=1,AU8&gt;Inputs!$F$237,AU8&lt;=Time!$F$11),Inputs!$F$239,0))/100+IF(AND(Inputs!$F$34&lt;&gt;1,AU8&gt;=Inputs!$F$240,AU8&lt;=Inputs!$F$241),Inputs!$F$69/(Inputs!$F$241-Inputs!$F$240+1),0)</f>
        <v/>
      </c>
      <c r="AV23" s="13">
        <f>Inputs!$F$61*IF(Inputs!$F$34=1,Inputs!$F$36,1)*(Inputs!AV307+IF(AND(Inputs!$F$34=1,AV8&gt;Inputs!$F$237,AV8&lt;=Time!$F$11),Inputs!$F$239,0))/100+IF(AND(Inputs!$F$34&lt;&gt;1,AV8&gt;=Inputs!$F$240,AV8&lt;=Inputs!$F$241),Inputs!$F$69/(Inputs!$F$241-Inputs!$F$240+1),0)</f>
        <v/>
      </c>
      <c r="AW23" s="13">
        <f>Inputs!$F$61*IF(Inputs!$F$34=1,Inputs!$F$36,1)*(Inputs!AW307+IF(AND(Inputs!$F$34=1,AW8&gt;Inputs!$F$237,AW8&lt;=Time!$F$11),Inputs!$F$239,0))/100+IF(AND(Inputs!$F$34&lt;&gt;1,AW8&gt;=Inputs!$F$240,AW8&lt;=Inputs!$F$241),Inputs!$F$69/(Inputs!$F$241-Inputs!$F$240+1),0)</f>
        <v/>
      </c>
      <c r="AX23" s="13">
        <f>Inputs!$F$61*IF(Inputs!$F$34=1,Inputs!$F$36,1)*(Inputs!AX307+IF(AND(Inputs!$F$34=1,AX8&gt;Inputs!$F$237,AX8&lt;=Time!$F$11),Inputs!$F$239,0))/100+IF(AND(Inputs!$F$34&lt;&gt;1,AX8&gt;=Inputs!$F$240,AX8&lt;=Inputs!$F$241),Inputs!$F$69/(Inputs!$F$241-Inputs!$F$240+1),0)</f>
        <v/>
      </c>
      <c r="AY23" s="13">
        <f>Inputs!$F$61*IF(Inputs!$F$34=1,Inputs!$F$36,1)*(Inputs!AY307+IF(AND(Inputs!$F$34=1,AY8&gt;Inputs!$F$237,AY8&lt;=Time!$F$11),Inputs!$F$239,0))/100+IF(AND(Inputs!$F$34&lt;&gt;1,AY8&gt;=Inputs!$F$240,AY8&lt;=Inputs!$F$241),Inputs!$F$69/(Inputs!$F$241-Inputs!$F$240+1),0)</f>
        <v/>
      </c>
      <c r="AZ23" s="13">
        <f>Inputs!$F$61*IF(Inputs!$F$34=1,Inputs!$F$36,1)*(Inputs!AZ307+IF(AND(Inputs!$F$34=1,AZ8&gt;Inputs!$F$237,AZ8&lt;=Time!$F$11),Inputs!$F$239,0))/100+IF(AND(Inputs!$F$34&lt;&gt;1,AZ8&gt;=Inputs!$F$240,AZ8&lt;=Inputs!$F$241),Inputs!$F$69/(Inputs!$F$241-Inputs!$F$240+1),0)</f>
        <v/>
      </c>
      <c r="BA23" s="13">
        <f>Inputs!$F$61*IF(Inputs!$F$34=1,Inputs!$F$36,1)*(Inputs!BA307+IF(AND(Inputs!$F$34=1,BA8&gt;Inputs!$F$237,BA8&lt;=Time!$F$11),Inputs!$F$239,0))/100+IF(AND(Inputs!$F$34&lt;&gt;1,BA8&gt;=Inputs!$F$240,BA8&lt;=Inputs!$F$241),Inputs!$F$69/(Inputs!$F$241-Inputs!$F$240+1),0)</f>
        <v/>
      </c>
      <c r="BB23" s="13">
        <f>Inputs!$F$61*IF(Inputs!$F$34=1,Inputs!$F$36,1)*(Inputs!BB307+IF(AND(Inputs!$F$34=1,BB8&gt;Inputs!$F$237,BB8&lt;=Time!$F$11),Inputs!$F$239,0))/100+IF(AND(Inputs!$F$34&lt;&gt;1,BB8&gt;=Inputs!$F$240,BB8&lt;=Inputs!$F$241),Inputs!$F$69/(Inputs!$F$241-Inputs!$F$240+1),0)</f>
        <v/>
      </c>
      <c r="BC23" s="13">
        <f>Inputs!$F$61*IF(Inputs!$F$34=1,Inputs!$F$36,1)*(Inputs!BC307+IF(AND(Inputs!$F$34=1,BC8&gt;Inputs!$F$237,BC8&lt;=Time!$F$11),Inputs!$F$239,0))/100+IF(AND(Inputs!$F$34&lt;&gt;1,BC8&gt;=Inputs!$F$240,BC8&lt;=Inputs!$F$241),Inputs!$F$69/(Inputs!$F$241-Inputs!$F$240+1),0)</f>
        <v/>
      </c>
      <c r="BD23" s="13">
        <f>Inputs!$F$61*IF(Inputs!$F$34=1,Inputs!$F$36,1)*(Inputs!BD307+IF(AND(Inputs!$F$34=1,BD8&gt;Inputs!$F$237,BD8&lt;=Time!$F$11),Inputs!$F$239,0))/100+IF(AND(Inputs!$F$34&lt;&gt;1,BD8&gt;=Inputs!$F$240,BD8&lt;=Inputs!$F$241),Inputs!$F$69/(Inputs!$F$241-Inputs!$F$240+1),0)</f>
        <v/>
      </c>
      <c r="BE23" s="13">
        <f>Inputs!$F$61*IF(Inputs!$F$34=1,Inputs!$F$36,1)*(Inputs!BE307+IF(AND(Inputs!$F$34=1,BE8&gt;Inputs!$F$237,BE8&lt;=Time!$F$11),Inputs!$F$239,0))/100+IF(AND(Inputs!$F$34&lt;&gt;1,BE8&gt;=Inputs!$F$240,BE8&lt;=Inputs!$F$241),Inputs!$F$69/(Inputs!$F$241-Inputs!$F$240+1),0)</f>
        <v/>
      </c>
      <c r="BF23" s="13">
        <f>Inputs!$F$61*IF(Inputs!$F$34=1,Inputs!$F$36,1)*(Inputs!BF307+IF(AND(Inputs!$F$34=1,BF8&gt;Inputs!$F$237,BF8&lt;=Time!$F$11),Inputs!$F$239,0))/100+IF(AND(Inputs!$F$34&lt;&gt;1,BF8&gt;=Inputs!$F$240,BF8&lt;=Inputs!$F$241),Inputs!$F$69/(Inputs!$F$241-Inputs!$F$240+1),0)</f>
        <v/>
      </c>
      <c r="BG23" s="13">
        <f>Inputs!$F$61*IF(Inputs!$F$34=1,Inputs!$F$36,1)*(Inputs!BG307+IF(AND(Inputs!$F$34=1,BG8&gt;Inputs!$F$237,BG8&lt;=Time!$F$11),Inputs!$F$239,0))/100+IF(AND(Inputs!$F$34&lt;&gt;1,BG8&gt;=Inputs!$F$240,BG8&lt;=Inputs!$F$241),Inputs!$F$69/(Inputs!$F$241-Inputs!$F$240+1),0)</f>
        <v/>
      </c>
      <c r="BH23" s="13">
        <f>Inputs!$F$61*IF(Inputs!$F$34=1,Inputs!$F$36,1)*(Inputs!BH307+IF(AND(Inputs!$F$34=1,BH8&gt;Inputs!$F$237,BH8&lt;=Time!$F$11),Inputs!$F$239,0))/100+IF(AND(Inputs!$F$34&lt;&gt;1,BH8&gt;=Inputs!$F$240,BH8&lt;=Inputs!$F$241),Inputs!$F$69/(Inputs!$F$241-Inputs!$F$240+1),0)</f>
        <v/>
      </c>
      <c r="BI23" s="13">
        <f>Inputs!$F$61*IF(Inputs!$F$34=1,Inputs!$F$36,1)*(Inputs!BI307+IF(AND(Inputs!$F$34=1,BI8&gt;Inputs!$F$237,BI8&lt;=Time!$F$11),Inputs!$F$239,0))/100+IF(AND(Inputs!$F$34&lt;&gt;1,BI8&gt;=Inputs!$F$240,BI8&lt;=Inputs!$F$241),Inputs!$F$69/(Inputs!$F$241-Inputs!$F$240+1),0)</f>
        <v/>
      </c>
      <c r="BJ23" s="13">
        <f>Inputs!$F$61*IF(Inputs!$F$34=1,Inputs!$F$36,1)*(Inputs!BJ307+IF(AND(Inputs!$F$34=1,BJ8&gt;Inputs!$F$237,BJ8&lt;=Time!$F$11),Inputs!$F$239,0))/100+IF(AND(Inputs!$F$34&lt;&gt;1,BJ8&gt;=Inputs!$F$240,BJ8&lt;=Inputs!$F$241),Inputs!$F$69/(Inputs!$F$241-Inputs!$F$240+1),0)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3">
        <f>SUM(J24:BJ24)</f>
        <v/>
      </c>
      <c r="J24" s="13">
        <f>Inputs!$F$62*Inputs!$F$36*(Inputs!$F$243*IF(J8=1,1,0)+(1-Inputs!$F$243)*IF(J8=Inputs!$F$242,1,0))</f>
        <v/>
      </c>
      <c r="K24" s="13">
        <f>Inputs!$F$62*Inputs!$F$36*(Inputs!$F$243*IF(K8=1,1,0)+(1-Inputs!$F$243)*IF(K8=Inputs!$F$242,1,0))</f>
        <v/>
      </c>
      <c r="L24" s="13">
        <f>Inputs!$F$62*Inputs!$F$36*(Inputs!$F$243*IF(L8=1,1,0)+(1-Inputs!$F$243)*IF(L8=Inputs!$F$242,1,0))</f>
        <v/>
      </c>
      <c r="M24" s="13">
        <f>Inputs!$F$62*Inputs!$F$36*(Inputs!$F$243*IF(M8=1,1,0)+(1-Inputs!$F$243)*IF(M8=Inputs!$F$242,1,0))</f>
        <v/>
      </c>
      <c r="N24" s="13">
        <f>Inputs!$F$62*Inputs!$F$36*(Inputs!$F$243*IF(N8=1,1,0)+(1-Inputs!$F$243)*IF(N8=Inputs!$F$242,1,0))</f>
        <v/>
      </c>
      <c r="O24" s="13">
        <f>Inputs!$F$62*Inputs!$F$36*(Inputs!$F$243*IF(O8=1,1,0)+(1-Inputs!$F$243)*IF(O8=Inputs!$F$242,1,0))</f>
        <v/>
      </c>
      <c r="P24" s="13">
        <f>Inputs!$F$62*Inputs!$F$36*(Inputs!$F$243*IF(P8=1,1,0)+(1-Inputs!$F$243)*IF(P8=Inputs!$F$242,1,0))</f>
        <v/>
      </c>
      <c r="Q24" s="13">
        <f>Inputs!$F$62*Inputs!$F$36*(Inputs!$F$243*IF(Q8=1,1,0)+(1-Inputs!$F$243)*IF(Q8=Inputs!$F$242,1,0))</f>
        <v/>
      </c>
      <c r="R24" s="13">
        <f>Inputs!$F$62*Inputs!$F$36*(Inputs!$F$243*IF(R8=1,1,0)+(1-Inputs!$F$243)*IF(R8=Inputs!$F$242,1,0))</f>
        <v/>
      </c>
      <c r="S24" s="13">
        <f>Inputs!$F$62*Inputs!$F$36*(Inputs!$F$243*IF(S8=1,1,0)+(1-Inputs!$F$243)*IF(S8=Inputs!$F$242,1,0))</f>
        <v/>
      </c>
      <c r="T24" s="13">
        <f>Inputs!$F$62*Inputs!$F$36*(Inputs!$F$243*IF(T8=1,1,0)+(1-Inputs!$F$243)*IF(T8=Inputs!$F$242,1,0))</f>
        <v/>
      </c>
      <c r="U24" s="13">
        <f>Inputs!$F$62*Inputs!$F$36*(Inputs!$F$243*IF(U8=1,1,0)+(1-Inputs!$F$243)*IF(U8=Inputs!$F$242,1,0))</f>
        <v/>
      </c>
      <c r="V24" s="13">
        <f>Inputs!$F$62*Inputs!$F$36*(Inputs!$F$243*IF(V8=1,1,0)+(1-Inputs!$F$243)*IF(V8=Inputs!$F$242,1,0))</f>
        <v/>
      </c>
      <c r="W24" s="13">
        <f>Inputs!$F$62*Inputs!$F$36*(Inputs!$F$243*IF(W8=1,1,0)+(1-Inputs!$F$243)*IF(W8=Inputs!$F$242,1,0))</f>
        <v/>
      </c>
      <c r="X24" s="13">
        <f>Inputs!$F$62*Inputs!$F$36*(Inputs!$F$243*IF(X8=1,1,0)+(1-Inputs!$F$243)*IF(X8=Inputs!$F$242,1,0))</f>
        <v/>
      </c>
      <c r="Y24" s="13">
        <f>Inputs!$F$62*Inputs!$F$36*(Inputs!$F$243*IF(Y8=1,1,0)+(1-Inputs!$F$243)*IF(Y8=Inputs!$F$242,1,0))</f>
        <v/>
      </c>
      <c r="Z24" s="13">
        <f>Inputs!$F$62*Inputs!$F$36*(Inputs!$F$243*IF(Z8=1,1,0)+(1-Inputs!$F$243)*IF(Z8=Inputs!$F$242,1,0))</f>
        <v/>
      </c>
      <c r="AA24" s="13">
        <f>Inputs!$F$62*Inputs!$F$36*(Inputs!$F$243*IF(AA8=1,1,0)+(1-Inputs!$F$243)*IF(AA8=Inputs!$F$242,1,0))</f>
        <v/>
      </c>
      <c r="AB24" s="13">
        <f>Inputs!$F$62*Inputs!$F$36*(Inputs!$F$243*IF(AB8=1,1,0)+(1-Inputs!$F$243)*IF(AB8=Inputs!$F$242,1,0))</f>
        <v/>
      </c>
      <c r="AC24" s="13">
        <f>Inputs!$F$62*Inputs!$F$36*(Inputs!$F$243*IF(AC8=1,1,0)+(1-Inputs!$F$243)*IF(AC8=Inputs!$F$242,1,0))</f>
        <v/>
      </c>
      <c r="AD24" s="13">
        <f>Inputs!$F$62*Inputs!$F$36*(Inputs!$F$243*IF(AD8=1,1,0)+(1-Inputs!$F$243)*IF(AD8=Inputs!$F$242,1,0))</f>
        <v/>
      </c>
      <c r="AE24" s="13">
        <f>Inputs!$F$62*Inputs!$F$36*(Inputs!$F$243*IF(AE8=1,1,0)+(1-Inputs!$F$243)*IF(AE8=Inputs!$F$242,1,0))</f>
        <v/>
      </c>
      <c r="AF24" s="13">
        <f>Inputs!$F$62*Inputs!$F$36*(Inputs!$F$243*IF(AF8=1,1,0)+(1-Inputs!$F$243)*IF(AF8=Inputs!$F$242,1,0))</f>
        <v/>
      </c>
      <c r="AG24" s="13">
        <f>Inputs!$F$62*Inputs!$F$36*(Inputs!$F$243*IF(AG8=1,1,0)+(1-Inputs!$F$243)*IF(AG8=Inputs!$F$242,1,0))</f>
        <v/>
      </c>
      <c r="AH24" s="13">
        <f>Inputs!$F$62*Inputs!$F$36*(Inputs!$F$243*IF(AH8=1,1,0)+(1-Inputs!$F$243)*IF(AH8=Inputs!$F$242,1,0))</f>
        <v/>
      </c>
      <c r="AI24" s="13">
        <f>Inputs!$F$62*Inputs!$F$36*(Inputs!$F$243*IF(AI8=1,1,0)+(1-Inputs!$F$243)*IF(AI8=Inputs!$F$242,1,0))</f>
        <v/>
      </c>
      <c r="AJ24" s="13">
        <f>Inputs!$F$62*Inputs!$F$36*(Inputs!$F$243*IF(AJ8=1,1,0)+(1-Inputs!$F$243)*IF(AJ8=Inputs!$F$242,1,0))</f>
        <v/>
      </c>
      <c r="AK24" s="13">
        <f>Inputs!$F$62*Inputs!$F$36*(Inputs!$F$243*IF(AK8=1,1,0)+(1-Inputs!$F$243)*IF(AK8=Inputs!$F$242,1,0))</f>
        <v/>
      </c>
      <c r="AL24" s="13">
        <f>Inputs!$F$62*Inputs!$F$36*(Inputs!$F$243*IF(AL8=1,1,0)+(1-Inputs!$F$243)*IF(AL8=Inputs!$F$242,1,0))</f>
        <v/>
      </c>
      <c r="AM24" s="13">
        <f>Inputs!$F$62*Inputs!$F$36*(Inputs!$F$243*IF(AM8=1,1,0)+(1-Inputs!$F$243)*IF(AM8=Inputs!$F$242,1,0))</f>
        <v/>
      </c>
      <c r="AN24" s="13">
        <f>Inputs!$F$62*Inputs!$F$36*(Inputs!$F$243*IF(AN8=1,1,0)+(1-Inputs!$F$243)*IF(AN8=Inputs!$F$242,1,0))</f>
        <v/>
      </c>
      <c r="AO24" s="13">
        <f>Inputs!$F$62*Inputs!$F$36*(Inputs!$F$243*IF(AO8=1,1,0)+(1-Inputs!$F$243)*IF(AO8=Inputs!$F$242,1,0))</f>
        <v/>
      </c>
      <c r="AP24" s="13">
        <f>Inputs!$F$62*Inputs!$F$36*(Inputs!$F$243*IF(AP8=1,1,0)+(1-Inputs!$F$243)*IF(AP8=Inputs!$F$242,1,0))</f>
        <v/>
      </c>
      <c r="AQ24" s="13">
        <f>Inputs!$F$62*Inputs!$F$36*(Inputs!$F$243*IF(AQ8=1,1,0)+(1-Inputs!$F$243)*IF(AQ8=Inputs!$F$242,1,0))</f>
        <v/>
      </c>
      <c r="AR24" s="13">
        <f>Inputs!$F$62*Inputs!$F$36*(Inputs!$F$243*IF(AR8=1,1,0)+(1-Inputs!$F$243)*IF(AR8=Inputs!$F$242,1,0))</f>
        <v/>
      </c>
      <c r="AS24" s="13">
        <f>Inputs!$F$62*Inputs!$F$36*(Inputs!$F$243*IF(AS8=1,1,0)+(1-Inputs!$F$243)*IF(AS8=Inputs!$F$242,1,0))</f>
        <v/>
      </c>
      <c r="AT24" s="13">
        <f>Inputs!$F$62*Inputs!$F$36*(Inputs!$F$243*IF(AT8=1,1,0)+(1-Inputs!$F$243)*IF(AT8=Inputs!$F$242,1,0))</f>
        <v/>
      </c>
      <c r="AU24" s="13">
        <f>Inputs!$F$62*Inputs!$F$36*(Inputs!$F$243*IF(AU8=1,1,0)+(1-Inputs!$F$243)*IF(AU8=Inputs!$F$242,1,0))</f>
        <v/>
      </c>
      <c r="AV24" s="13">
        <f>Inputs!$F$62*Inputs!$F$36*(Inputs!$F$243*IF(AV8=1,1,0)+(1-Inputs!$F$243)*IF(AV8=Inputs!$F$242,1,0))</f>
        <v/>
      </c>
      <c r="AW24" s="13">
        <f>Inputs!$F$62*Inputs!$F$36*(Inputs!$F$243*IF(AW8=1,1,0)+(1-Inputs!$F$243)*IF(AW8=Inputs!$F$242,1,0))</f>
        <v/>
      </c>
      <c r="AX24" s="13">
        <f>Inputs!$F$62*Inputs!$F$36*(Inputs!$F$243*IF(AX8=1,1,0)+(1-Inputs!$F$243)*IF(AX8=Inputs!$F$242,1,0))</f>
        <v/>
      </c>
      <c r="AY24" s="13">
        <f>Inputs!$F$62*Inputs!$F$36*(Inputs!$F$243*IF(AY8=1,1,0)+(1-Inputs!$F$243)*IF(AY8=Inputs!$F$242,1,0))</f>
        <v/>
      </c>
      <c r="AZ24" s="13">
        <f>Inputs!$F$62*Inputs!$F$36*(Inputs!$F$243*IF(AZ8=1,1,0)+(1-Inputs!$F$243)*IF(AZ8=Inputs!$F$242,1,0))</f>
        <v/>
      </c>
      <c r="BA24" s="13">
        <f>Inputs!$F$62*Inputs!$F$36*(Inputs!$F$243*IF(BA8=1,1,0)+(1-Inputs!$F$243)*IF(BA8=Inputs!$F$242,1,0))</f>
        <v/>
      </c>
      <c r="BB24" s="13">
        <f>Inputs!$F$62*Inputs!$F$36*(Inputs!$F$243*IF(BB8=1,1,0)+(1-Inputs!$F$243)*IF(BB8=Inputs!$F$242,1,0))</f>
        <v/>
      </c>
      <c r="BC24" s="13">
        <f>Inputs!$F$62*Inputs!$F$36*(Inputs!$F$243*IF(BC8=1,1,0)+(1-Inputs!$F$243)*IF(BC8=Inputs!$F$242,1,0))</f>
        <v/>
      </c>
      <c r="BD24" s="13">
        <f>Inputs!$F$62*Inputs!$F$36*(Inputs!$F$243*IF(BD8=1,1,0)+(1-Inputs!$F$243)*IF(BD8=Inputs!$F$242,1,0))</f>
        <v/>
      </c>
      <c r="BE24" s="13">
        <f>Inputs!$F$62*Inputs!$F$36*(Inputs!$F$243*IF(BE8=1,1,0)+(1-Inputs!$F$243)*IF(BE8=Inputs!$F$242,1,0))</f>
        <v/>
      </c>
      <c r="BF24" s="13">
        <f>Inputs!$F$62*Inputs!$F$36*(Inputs!$F$243*IF(BF8=1,1,0)+(1-Inputs!$F$243)*IF(BF8=Inputs!$F$242,1,0))</f>
        <v/>
      </c>
      <c r="BG24" s="13">
        <f>Inputs!$F$62*Inputs!$F$36*(Inputs!$F$243*IF(BG8=1,1,0)+(1-Inputs!$F$243)*IF(BG8=Inputs!$F$242,1,0))</f>
        <v/>
      </c>
      <c r="BH24" s="13">
        <f>Inputs!$F$62*Inputs!$F$36*(Inputs!$F$243*IF(BH8=1,1,0)+(1-Inputs!$F$243)*IF(BH8=Inputs!$F$242,1,0))</f>
        <v/>
      </c>
      <c r="BI24" s="13">
        <f>Inputs!$F$62*Inputs!$F$36*(Inputs!$F$243*IF(BI8=1,1,0)+(1-Inputs!$F$243)*IF(BI8=Inputs!$F$242,1,0))</f>
        <v/>
      </c>
      <c r="BJ24" s="13">
        <f>Inputs!$F$62*Inputs!$F$36*(Inputs!$F$243*IF(BJ8=1,1,0)+(1-Inputs!$F$243)*IF(BJ8=Inputs!$F$242,1,0))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3">
        <f>SUM(J25:BJ25)</f>
        <v/>
      </c>
      <c r="J25" s="13">
        <f>IF(J8=1,Inputs!$F$63+Inputs!$F$64,0)</f>
        <v/>
      </c>
      <c r="K25" s="13">
        <f>IF(K8=1,Inputs!$F$63+Inputs!$F$64,0)</f>
        <v/>
      </c>
      <c r="L25" s="13">
        <f>IF(L8=1,Inputs!$F$63+Inputs!$F$64,0)</f>
        <v/>
      </c>
      <c r="M25" s="13">
        <f>IF(M8=1,Inputs!$F$63+Inputs!$F$64,0)</f>
        <v/>
      </c>
      <c r="N25" s="13">
        <f>IF(N8=1,Inputs!$F$63+Inputs!$F$64,0)</f>
        <v/>
      </c>
      <c r="O25" s="13">
        <f>IF(O8=1,Inputs!$F$63+Inputs!$F$64,0)</f>
        <v/>
      </c>
      <c r="P25" s="13">
        <f>IF(P8=1,Inputs!$F$63+Inputs!$F$64,0)</f>
        <v/>
      </c>
      <c r="Q25" s="13">
        <f>IF(Q8=1,Inputs!$F$63+Inputs!$F$64,0)</f>
        <v/>
      </c>
      <c r="R25" s="13">
        <f>IF(R8=1,Inputs!$F$63+Inputs!$F$64,0)</f>
        <v/>
      </c>
      <c r="S25" s="13">
        <f>IF(S8=1,Inputs!$F$63+Inputs!$F$64,0)</f>
        <v/>
      </c>
      <c r="T25" s="13">
        <f>IF(T8=1,Inputs!$F$63+Inputs!$F$64,0)</f>
        <v/>
      </c>
      <c r="U25" s="13">
        <f>IF(U8=1,Inputs!$F$63+Inputs!$F$64,0)</f>
        <v/>
      </c>
      <c r="V25" s="13">
        <f>IF(V8=1,Inputs!$F$63+Inputs!$F$64,0)</f>
        <v/>
      </c>
      <c r="W25" s="13">
        <f>IF(W8=1,Inputs!$F$63+Inputs!$F$64,0)</f>
        <v/>
      </c>
      <c r="X25" s="13">
        <f>IF(X8=1,Inputs!$F$63+Inputs!$F$64,0)</f>
        <v/>
      </c>
      <c r="Y25" s="13">
        <f>IF(Y8=1,Inputs!$F$63+Inputs!$F$64,0)</f>
        <v/>
      </c>
      <c r="Z25" s="13">
        <f>IF(Z8=1,Inputs!$F$63+Inputs!$F$64,0)</f>
        <v/>
      </c>
      <c r="AA25" s="13">
        <f>IF(AA8=1,Inputs!$F$63+Inputs!$F$64,0)</f>
        <v/>
      </c>
      <c r="AB25" s="13">
        <f>IF(AB8=1,Inputs!$F$63+Inputs!$F$64,0)</f>
        <v/>
      </c>
      <c r="AC25" s="13">
        <f>IF(AC8=1,Inputs!$F$63+Inputs!$F$64,0)</f>
        <v/>
      </c>
      <c r="AD25" s="13">
        <f>IF(AD8=1,Inputs!$F$63+Inputs!$F$64,0)</f>
        <v/>
      </c>
      <c r="AE25" s="13">
        <f>IF(AE8=1,Inputs!$F$63+Inputs!$F$64,0)</f>
        <v/>
      </c>
      <c r="AF25" s="13">
        <f>IF(AF8=1,Inputs!$F$63+Inputs!$F$64,0)</f>
        <v/>
      </c>
      <c r="AG25" s="13">
        <f>IF(AG8=1,Inputs!$F$63+Inputs!$F$64,0)</f>
        <v/>
      </c>
      <c r="AH25" s="13">
        <f>IF(AH8=1,Inputs!$F$63+Inputs!$F$64,0)</f>
        <v/>
      </c>
      <c r="AI25" s="13">
        <f>IF(AI8=1,Inputs!$F$63+Inputs!$F$64,0)</f>
        <v/>
      </c>
      <c r="AJ25" s="13">
        <f>IF(AJ8=1,Inputs!$F$63+Inputs!$F$64,0)</f>
        <v/>
      </c>
      <c r="AK25" s="13">
        <f>IF(AK8=1,Inputs!$F$63+Inputs!$F$64,0)</f>
        <v/>
      </c>
      <c r="AL25" s="13">
        <f>IF(AL8=1,Inputs!$F$63+Inputs!$F$64,0)</f>
        <v/>
      </c>
      <c r="AM25" s="13">
        <f>IF(AM8=1,Inputs!$F$63+Inputs!$F$64,0)</f>
        <v/>
      </c>
      <c r="AN25" s="13">
        <f>IF(AN8=1,Inputs!$F$63+Inputs!$F$64,0)</f>
        <v/>
      </c>
      <c r="AO25" s="13">
        <f>IF(AO8=1,Inputs!$F$63+Inputs!$F$64,0)</f>
        <v/>
      </c>
      <c r="AP25" s="13">
        <f>IF(AP8=1,Inputs!$F$63+Inputs!$F$64,0)</f>
        <v/>
      </c>
      <c r="AQ25" s="13">
        <f>IF(AQ8=1,Inputs!$F$63+Inputs!$F$64,0)</f>
        <v/>
      </c>
      <c r="AR25" s="13">
        <f>IF(AR8=1,Inputs!$F$63+Inputs!$F$64,0)</f>
        <v/>
      </c>
      <c r="AS25" s="13">
        <f>IF(AS8=1,Inputs!$F$63+Inputs!$F$64,0)</f>
        <v/>
      </c>
      <c r="AT25" s="13">
        <f>IF(AT8=1,Inputs!$F$63+Inputs!$F$64,0)</f>
        <v/>
      </c>
      <c r="AU25" s="13">
        <f>IF(AU8=1,Inputs!$F$63+Inputs!$F$64,0)</f>
        <v/>
      </c>
      <c r="AV25" s="13">
        <f>IF(AV8=1,Inputs!$F$63+Inputs!$F$64,0)</f>
        <v/>
      </c>
      <c r="AW25" s="13">
        <f>IF(AW8=1,Inputs!$F$63+Inputs!$F$64,0)</f>
        <v/>
      </c>
      <c r="AX25" s="13">
        <f>IF(AX8=1,Inputs!$F$63+Inputs!$F$64,0)</f>
        <v/>
      </c>
      <c r="AY25" s="13">
        <f>IF(AY8=1,Inputs!$F$63+Inputs!$F$64,0)</f>
        <v/>
      </c>
      <c r="AZ25" s="13">
        <f>IF(AZ8=1,Inputs!$F$63+Inputs!$F$64,0)</f>
        <v/>
      </c>
      <c r="BA25" s="13">
        <f>IF(BA8=1,Inputs!$F$63+Inputs!$F$64,0)</f>
        <v/>
      </c>
      <c r="BB25" s="13">
        <f>IF(BB8=1,Inputs!$F$63+Inputs!$F$64,0)</f>
        <v/>
      </c>
      <c r="BC25" s="13">
        <f>IF(BC8=1,Inputs!$F$63+Inputs!$F$64,0)</f>
        <v/>
      </c>
      <c r="BD25" s="13">
        <f>IF(BD8=1,Inputs!$F$63+Inputs!$F$64,0)</f>
        <v/>
      </c>
      <c r="BE25" s="13">
        <f>IF(BE8=1,Inputs!$F$63+Inputs!$F$64,0)</f>
        <v/>
      </c>
      <c r="BF25" s="13">
        <f>IF(BF8=1,Inputs!$F$63+Inputs!$F$64,0)</f>
        <v/>
      </c>
      <c r="BG25" s="13">
        <f>IF(BG8=1,Inputs!$F$63+Inputs!$F$64,0)</f>
        <v/>
      </c>
      <c r="BH25" s="13">
        <f>IF(BH8=1,Inputs!$F$63+Inputs!$F$64,0)</f>
        <v/>
      </c>
      <c r="BI25" s="13">
        <f>IF(BI8=1,Inputs!$F$63+Inputs!$F$64,0)</f>
        <v/>
      </c>
      <c r="BJ25" s="13">
        <f>IF(BJ8=1,Inputs!$F$63+Inputs!$F$64,0)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3">
        <f>SUM(J26:BJ26)</f>
        <v/>
      </c>
      <c r="J26" s="13">
        <f>Inputs!$F$65*Inputs!$F$36*(Inputs!$F$244*IF(J8=1,1,0)+(1-Inputs!$F$244)/(Time!$F$11-1)*IF(AND(J8&gt;1,J8&lt;=Time!$F$11),1,0))</f>
        <v/>
      </c>
      <c r="K26" s="13">
        <f>Inputs!$F$65*Inputs!$F$36*(Inputs!$F$244*IF(K8=1,1,0)+(1-Inputs!$F$244)/(Time!$F$11-1)*IF(AND(K8&gt;1,K8&lt;=Time!$F$11),1,0))</f>
        <v/>
      </c>
      <c r="L26" s="13">
        <f>Inputs!$F$65*Inputs!$F$36*(Inputs!$F$244*IF(L8=1,1,0)+(1-Inputs!$F$244)/(Time!$F$11-1)*IF(AND(L8&gt;1,L8&lt;=Time!$F$11),1,0))</f>
        <v/>
      </c>
      <c r="M26" s="13">
        <f>Inputs!$F$65*Inputs!$F$36*(Inputs!$F$244*IF(M8=1,1,0)+(1-Inputs!$F$244)/(Time!$F$11-1)*IF(AND(M8&gt;1,M8&lt;=Time!$F$11),1,0))</f>
        <v/>
      </c>
      <c r="N26" s="13">
        <f>Inputs!$F$65*Inputs!$F$36*(Inputs!$F$244*IF(N8=1,1,0)+(1-Inputs!$F$244)/(Time!$F$11-1)*IF(AND(N8&gt;1,N8&lt;=Time!$F$11),1,0))</f>
        <v/>
      </c>
      <c r="O26" s="13">
        <f>Inputs!$F$65*Inputs!$F$36*(Inputs!$F$244*IF(O8=1,1,0)+(1-Inputs!$F$244)/(Time!$F$11-1)*IF(AND(O8&gt;1,O8&lt;=Time!$F$11),1,0))</f>
        <v/>
      </c>
      <c r="P26" s="13">
        <f>Inputs!$F$65*Inputs!$F$36*(Inputs!$F$244*IF(P8=1,1,0)+(1-Inputs!$F$244)/(Time!$F$11-1)*IF(AND(P8&gt;1,P8&lt;=Time!$F$11),1,0))</f>
        <v/>
      </c>
      <c r="Q26" s="13">
        <f>Inputs!$F$65*Inputs!$F$36*(Inputs!$F$244*IF(Q8=1,1,0)+(1-Inputs!$F$244)/(Time!$F$11-1)*IF(AND(Q8&gt;1,Q8&lt;=Time!$F$11),1,0))</f>
        <v/>
      </c>
      <c r="R26" s="13">
        <f>Inputs!$F$65*Inputs!$F$36*(Inputs!$F$244*IF(R8=1,1,0)+(1-Inputs!$F$244)/(Time!$F$11-1)*IF(AND(R8&gt;1,R8&lt;=Time!$F$11),1,0))</f>
        <v/>
      </c>
      <c r="S26" s="13">
        <f>Inputs!$F$65*Inputs!$F$36*(Inputs!$F$244*IF(S8=1,1,0)+(1-Inputs!$F$244)/(Time!$F$11-1)*IF(AND(S8&gt;1,S8&lt;=Time!$F$11),1,0))</f>
        <v/>
      </c>
      <c r="T26" s="13">
        <f>Inputs!$F$65*Inputs!$F$36*(Inputs!$F$244*IF(T8=1,1,0)+(1-Inputs!$F$244)/(Time!$F$11-1)*IF(AND(T8&gt;1,T8&lt;=Time!$F$11),1,0))</f>
        <v/>
      </c>
      <c r="U26" s="13">
        <f>Inputs!$F$65*Inputs!$F$36*(Inputs!$F$244*IF(U8=1,1,0)+(1-Inputs!$F$244)/(Time!$F$11-1)*IF(AND(U8&gt;1,U8&lt;=Time!$F$11),1,0))</f>
        <v/>
      </c>
      <c r="V26" s="13">
        <f>Inputs!$F$65*Inputs!$F$36*(Inputs!$F$244*IF(V8=1,1,0)+(1-Inputs!$F$244)/(Time!$F$11-1)*IF(AND(V8&gt;1,V8&lt;=Time!$F$11),1,0))</f>
        <v/>
      </c>
      <c r="W26" s="13">
        <f>Inputs!$F$65*Inputs!$F$36*(Inputs!$F$244*IF(W8=1,1,0)+(1-Inputs!$F$244)/(Time!$F$11-1)*IF(AND(W8&gt;1,W8&lt;=Time!$F$11),1,0))</f>
        <v/>
      </c>
      <c r="X26" s="13">
        <f>Inputs!$F$65*Inputs!$F$36*(Inputs!$F$244*IF(X8=1,1,0)+(1-Inputs!$F$244)/(Time!$F$11-1)*IF(AND(X8&gt;1,X8&lt;=Time!$F$11),1,0))</f>
        <v/>
      </c>
      <c r="Y26" s="13">
        <f>Inputs!$F$65*Inputs!$F$36*(Inputs!$F$244*IF(Y8=1,1,0)+(1-Inputs!$F$244)/(Time!$F$11-1)*IF(AND(Y8&gt;1,Y8&lt;=Time!$F$11),1,0))</f>
        <v/>
      </c>
      <c r="Z26" s="13">
        <f>Inputs!$F$65*Inputs!$F$36*(Inputs!$F$244*IF(Z8=1,1,0)+(1-Inputs!$F$244)/(Time!$F$11-1)*IF(AND(Z8&gt;1,Z8&lt;=Time!$F$11),1,0))</f>
        <v/>
      </c>
      <c r="AA26" s="13">
        <f>Inputs!$F$65*Inputs!$F$36*(Inputs!$F$244*IF(AA8=1,1,0)+(1-Inputs!$F$244)/(Time!$F$11-1)*IF(AND(AA8&gt;1,AA8&lt;=Time!$F$11),1,0))</f>
        <v/>
      </c>
      <c r="AB26" s="13">
        <f>Inputs!$F$65*Inputs!$F$36*(Inputs!$F$244*IF(AB8=1,1,0)+(1-Inputs!$F$244)/(Time!$F$11-1)*IF(AND(AB8&gt;1,AB8&lt;=Time!$F$11),1,0))</f>
        <v/>
      </c>
      <c r="AC26" s="13">
        <f>Inputs!$F$65*Inputs!$F$36*(Inputs!$F$244*IF(AC8=1,1,0)+(1-Inputs!$F$244)/(Time!$F$11-1)*IF(AND(AC8&gt;1,AC8&lt;=Time!$F$11),1,0))</f>
        <v/>
      </c>
      <c r="AD26" s="13">
        <f>Inputs!$F$65*Inputs!$F$36*(Inputs!$F$244*IF(AD8=1,1,0)+(1-Inputs!$F$244)/(Time!$F$11-1)*IF(AND(AD8&gt;1,AD8&lt;=Time!$F$11),1,0))</f>
        <v/>
      </c>
      <c r="AE26" s="13">
        <f>Inputs!$F$65*Inputs!$F$36*(Inputs!$F$244*IF(AE8=1,1,0)+(1-Inputs!$F$244)/(Time!$F$11-1)*IF(AND(AE8&gt;1,AE8&lt;=Time!$F$11),1,0))</f>
        <v/>
      </c>
      <c r="AF26" s="13">
        <f>Inputs!$F$65*Inputs!$F$36*(Inputs!$F$244*IF(AF8=1,1,0)+(1-Inputs!$F$244)/(Time!$F$11-1)*IF(AND(AF8&gt;1,AF8&lt;=Time!$F$11),1,0))</f>
        <v/>
      </c>
      <c r="AG26" s="13">
        <f>Inputs!$F$65*Inputs!$F$36*(Inputs!$F$244*IF(AG8=1,1,0)+(1-Inputs!$F$244)/(Time!$F$11-1)*IF(AND(AG8&gt;1,AG8&lt;=Time!$F$11),1,0))</f>
        <v/>
      </c>
      <c r="AH26" s="13">
        <f>Inputs!$F$65*Inputs!$F$36*(Inputs!$F$244*IF(AH8=1,1,0)+(1-Inputs!$F$244)/(Time!$F$11-1)*IF(AND(AH8&gt;1,AH8&lt;=Time!$F$11),1,0))</f>
        <v/>
      </c>
      <c r="AI26" s="13">
        <f>Inputs!$F$65*Inputs!$F$36*(Inputs!$F$244*IF(AI8=1,1,0)+(1-Inputs!$F$244)/(Time!$F$11-1)*IF(AND(AI8&gt;1,AI8&lt;=Time!$F$11),1,0))</f>
        <v/>
      </c>
      <c r="AJ26" s="13">
        <f>Inputs!$F$65*Inputs!$F$36*(Inputs!$F$244*IF(AJ8=1,1,0)+(1-Inputs!$F$244)/(Time!$F$11-1)*IF(AND(AJ8&gt;1,AJ8&lt;=Time!$F$11),1,0))</f>
        <v/>
      </c>
      <c r="AK26" s="13">
        <f>Inputs!$F$65*Inputs!$F$36*(Inputs!$F$244*IF(AK8=1,1,0)+(1-Inputs!$F$244)/(Time!$F$11-1)*IF(AND(AK8&gt;1,AK8&lt;=Time!$F$11),1,0))</f>
        <v/>
      </c>
      <c r="AL26" s="13">
        <f>Inputs!$F$65*Inputs!$F$36*(Inputs!$F$244*IF(AL8=1,1,0)+(1-Inputs!$F$244)/(Time!$F$11-1)*IF(AND(AL8&gt;1,AL8&lt;=Time!$F$11),1,0))</f>
        <v/>
      </c>
      <c r="AM26" s="13">
        <f>Inputs!$F$65*Inputs!$F$36*(Inputs!$F$244*IF(AM8=1,1,0)+(1-Inputs!$F$244)/(Time!$F$11-1)*IF(AND(AM8&gt;1,AM8&lt;=Time!$F$11),1,0))</f>
        <v/>
      </c>
      <c r="AN26" s="13">
        <f>Inputs!$F$65*Inputs!$F$36*(Inputs!$F$244*IF(AN8=1,1,0)+(1-Inputs!$F$244)/(Time!$F$11-1)*IF(AND(AN8&gt;1,AN8&lt;=Time!$F$11),1,0))</f>
        <v/>
      </c>
      <c r="AO26" s="13">
        <f>Inputs!$F$65*Inputs!$F$36*(Inputs!$F$244*IF(AO8=1,1,0)+(1-Inputs!$F$244)/(Time!$F$11-1)*IF(AND(AO8&gt;1,AO8&lt;=Time!$F$11),1,0))</f>
        <v/>
      </c>
      <c r="AP26" s="13">
        <f>Inputs!$F$65*Inputs!$F$36*(Inputs!$F$244*IF(AP8=1,1,0)+(1-Inputs!$F$244)/(Time!$F$11-1)*IF(AND(AP8&gt;1,AP8&lt;=Time!$F$11),1,0))</f>
        <v/>
      </c>
      <c r="AQ26" s="13">
        <f>Inputs!$F$65*Inputs!$F$36*(Inputs!$F$244*IF(AQ8=1,1,0)+(1-Inputs!$F$244)/(Time!$F$11-1)*IF(AND(AQ8&gt;1,AQ8&lt;=Time!$F$11),1,0))</f>
        <v/>
      </c>
      <c r="AR26" s="13">
        <f>Inputs!$F$65*Inputs!$F$36*(Inputs!$F$244*IF(AR8=1,1,0)+(1-Inputs!$F$244)/(Time!$F$11-1)*IF(AND(AR8&gt;1,AR8&lt;=Time!$F$11),1,0))</f>
        <v/>
      </c>
      <c r="AS26" s="13">
        <f>Inputs!$F$65*Inputs!$F$36*(Inputs!$F$244*IF(AS8=1,1,0)+(1-Inputs!$F$244)/(Time!$F$11-1)*IF(AND(AS8&gt;1,AS8&lt;=Time!$F$11),1,0))</f>
        <v/>
      </c>
      <c r="AT26" s="13">
        <f>Inputs!$F$65*Inputs!$F$36*(Inputs!$F$244*IF(AT8=1,1,0)+(1-Inputs!$F$244)/(Time!$F$11-1)*IF(AND(AT8&gt;1,AT8&lt;=Time!$F$11),1,0))</f>
        <v/>
      </c>
      <c r="AU26" s="13">
        <f>Inputs!$F$65*Inputs!$F$36*(Inputs!$F$244*IF(AU8=1,1,0)+(1-Inputs!$F$244)/(Time!$F$11-1)*IF(AND(AU8&gt;1,AU8&lt;=Time!$F$11),1,0))</f>
        <v/>
      </c>
      <c r="AV26" s="13">
        <f>Inputs!$F$65*Inputs!$F$36*(Inputs!$F$244*IF(AV8=1,1,0)+(1-Inputs!$F$244)/(Time!$F$11-1)*IF(AND(AV8&gt;1,AV8&lt;=Time!$F$11),1,0))</f>
        <v/>
      </c>
      <c r="AW26" s="13">
        <f>Inputs!$F$65*Inputs!$F$36*(Inputs!$F$244*IF(AW8=1,1,0)+(1-Inputs!$F$244)/(Time!$F$11-1)*IF(AND(AW8&gt;1,AW8&lt;=Time!$F$11),1,0))</f>
        <v/>
      </c>
      <c r="AX26" s="13">
        <f>Inputs!$F$65*Inputs!$F$36*(Inputs!$F$244*IF(AX8=1,1,0)+(1-Inputs!$F$244)/(Time!$F$11-1)*IF(AND(AX8&gt;1,AX8&lt;=Time!$F$11),1,0))</f>
        <v/>
      </c>
      <c r="AY26" s="13">
        <f>Inputs!$F$65*Inputs!$F$36*(Inputs!$F$244*IF(AY8=1,1,0)+(1-Inputs!$F$244)/(Time!$F$11-1)*IF(AND(AY8&gt;1,AY8&lt;=Time!$F$11),1,0))</f>
        <v/>
      </c>
      <c r="AZ26" s="13">
        <f>Inputs!$F$65*Inputs!$F$36*(Inputs!$F$244*IF(AZ8=1,1,0)+(1-Inputs!$F$244)/(Time!$F$11-1)*IF(AND(AZ8&gt;1,AZ8&lt;=Time!$F$11),1,0))</f>
        <v/>
      </c>
      <c r="BA26" s="13">
        <f>Inputs!$F$65*Inputs!$F$36*(Inputs!$F$244*IF(BA8=1,1,0)+(1-Inputs!$F$244)/(Time!$F$11-1)*IF(AND(BA8&gt;1,BA8&lt;=Time!$F$11),1,0))</f>
        <v/>
      </c>
      <c r="BB26" s="13">
        <f>Inputs!$F$65*Inputs!$F$36*(Inputs!$F$244*IF(BB8=1,1,0)+(1-Inputs!$F$244)/(Time!$F$11-1)*IF(AND(BB8&gt;1,BB8&lt;=Time!$F$11),1,0))</f>
        <v/>
      </c>
      <c r="BC26" s="13">
        <f>Inputs!$F$65*Inputs!$F$36*(Inputs!$F$244*IF(BC8=1,1,0)+(1-Inputs!$F$244)/(Time!$F$11-1)*IF(AND(BC8&gt;1,BC8&lt;=Time!$F$11),1,0))</f>
        <v/>
      </c>
      <c r="BD26" s="13">
        <f>Inputs!$F$65*Inputs!$F$36*(Inputs!$F$244*IF(BD8=1,1,0)+(1-Inputs!$F$244)/(Time!$F$11-1)*IF(AND(BD8&gt;1,BD8&lt;=Time!$F$11),1,0))</f>
        <v/>
      </c>
      <c r="BE26" s="13">
        <f>Inputs!$F$65*Inputs!$F$36*(Inputs!$F$244*IF(BE8=1,1,0)+(1-Inputs!$F$244)/(Time!$F$11-1)*IF(AND(BE8&gt;1,BE8&lt;=Time!$F$11),1,0))</f>
        <v/>
      </c>
      <c r="BF26" s="13">
        <f>Inputs!$F$65*Inputs!$F$36*(Inputs!$F$244*IF(BF8=1,1,0)+(1-Inputs!$F$244)/(Time!$F$11-1)*IF(AND(BF8&gt;1,BF8&lt;=Time!$F$11),1,0))</f>
        <v/>
      </c>
      <c r="BG26" s="13">
        <f>Inputs!$F$65*Inputs!$F$36*(Inputs!$F$244*IF(BG8=1,1,0)+(1-Inputs!$F$244)/(Time!$F$11-1)*IF(AND(BG8&gt;1,BG8&lt;=Time!$F$11),1,0))</f>
        <v/>
      </c>
      <c r="BH26" s="13">
        <f>Inputs!$F$65*Inputs!$F$36*(Inputs!$F$244*IF(BH8=1,1,0)+(1-Inputs!$F$244)/(Time!$F$11-1)*IF(AND(BH8&gt;1,BH8&lt;=Time!$F$11),1,0))</f>
        <v/>
      </c>
      <c r="BI26" s="13">
        <f>Inputs!$F$65*Inputs!$F$36*(Inputs!$F$244*IF(BI8=1,1,0)+(1-Inputs!$F$244)/(Time!$F$11-1)*IF(AND(BI8&gt;1,BI8&lt;=Time!$F$11),1,0))</f>
        <v/>
      </c>
      <c r="BJ26" s="13">
        <f>Inputs!$F$65*Inputs!$F$36*(Inputs!$F$244*IF(BJ8=1,1,0)+(1-Inputs!$F$244)/(Time!$F$11-1)*IF(AND(BJ8&gt;1,BJ8&lt;=Time!$F$11),1,0))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3">
        <f>SUM(J27:BJ27)</f>
        <v/>
      </c>
      <c r="J27" s="13">
        <f>IF(Inputs!$F$34=1,Inputs!$F$66*Inputs!$F$36*J21/SUM($J$21:$BJ$21),0)</f>
        <v/>
      </c>
      <c r="K27" s="13">
        <f>IF(Inputs!$F$34=1,Inputs!$F$66*Inputs!$F$36*K21/SUM($J$21:$BJ$21),0)</f>
        <v/>
      </c>
      <c r="L27" s="13">
        <f>IF(Inputs!$F$34=1,Inputs!$F$66*Inputs!$F$36*L21/SUM($J$21:$BJ$21),0)</f>
        <v/>
      </c>
      <c r="M27" s="13">
        <f>IF(Inputs!$F$34=1,Inputs!$F$66*Inputs!$F$36*M21/SUM($J$21:$BJ$21),0)</f>
        <v/>
      </c>
      <c r="N27" s="13">
        <f>IF(Inputs!$F$34=1,Inputs!$F$66*Inputs!$F$36*N21/SUM($J$21:$BJ$21),0)</f>
        <v/>
      </c>
      <c r="O27" s="13">
        <f>IF(Inputs!$F$34=1,Inputs!$F$66*Inputs!$F$36*O21/SUM($J$21:$BJ$21),0)</f>
        <v/>
      </c>
      <c r="P27" s="13">
        <f>IF(Inputs!$F$34=1,Inputs!$F$66*Inputs!$F$36*P21/SUM($J$21:$BJ$21),0)</f>
        <v/>
      </c>
      <c r="Q27" s="13">
        <f>IF(Inputs!$F$34=1,Inputs!$F$66*Inputs!$F$36*Q21/SUM($J$21:$BJ$21),0)</f>
        <v/>
      </c>
      <c r="R27" s="13">
        <f>IF(Inputs!$F$34=1,Inputs!$F$66*Inputs!$F$36*R21/SUM($J$21:$BJ$21),0)</f>
        <v/>
      </c>
      <c r="S27" s="13">
        <f>IF(Inputs!$F$34=1,Inputs!$F$66*Inputs!$F$36*S21/SUM($J$21:$BJ$21),0)</f>
        <v/>
      </c>
      <c r="T27" s="13">
        <f>IF(Inputs!$F$34=1,Inputs!$F$66*Inputs!$F$36*T21/SUM($J$21:$BJ$21),0)</f>
        <v/>
      </c>
      <c r="U27" s="13">
        <f>IF(Inputs!$F$34=1,Inputs!$F$66*Inputs!$F$36*U21/SUM($J$21:$BJ$21),0)</f>
        <v/>
      </c>
      <c r="V27" s="13">
        <f>IF(Inputs!$F$34=1,Inputs!$F$66*Inputs!$F$36*V21/SUM($J$21:$BJ$21),0)</f>
        <v/>
      </c>
      <c r="W27" s="13">
        <f>IF(Inputs!$F$34=1,Inputs!$F$66*Inputs!$F$36*W21/SUM($J$21:$BJ$21),0)</f>
        <v/>
      </c>
      <c r="X27" s="13">
        <f>IF(Inputs!$F$34=1,Inputs!$F$66*Inputs!$F$36*X21/SUM($J$21:$BJ$21),0)</f>
        <v/>
      </c>
      <c r="Y27" s="13">
        <f>IF(Inputs!$F$34=1,Inputs!$F$66*Inputs!$F$36*Y21/SUM($J$21:$BJ$21),0)</f>
        <v/>
      </c>
      <c r="Z27" s="13">
        <f>IF(Inputs!$F$34=1,Inputs!$F$66*Inputs!$F$36*Z21/SUM($J$21:$BJ$21),0)</f>
        <v/>
      </c>
      <c r="AA27" s="13">
        <f>IF(Inputs!$F$34=1,Inputs!$F$66*Inputs!$F$36*AA21/SUM($J$21:$BJ$21),0)</f>
        <v/>
      </c>
      <c r="AB27" s="13">
        <f>IF(Inputs!$F$34=1,Inputs!$F$66*Inputs!$F$36*AB21/SUM($J$21:$BJ$21),0)</f>
        <v/>
      </c>
      <c r="AC27" s="13">
        <f>IF(Inputs!$F$34=1,Inputs!$F$66*Inputs!$F$36*AC21/SUM($J$21:$BJ$21),0)</f>
        <v/>
      </c>
      <c r="AD27" s="13">
        <f>IF(Inputs!$F$34=1,Inputs!$F$66*Inputs!$F$36*AD21/SUM($J$21:$BJ$21),0)</f>
        <v/>
      </c>
      <c r="AE27" s="13">
        <f>IF(Inputs!$F$34=1,Inputs!$F$66*Inputs!$F$36*AE21/SUM($J$21:$BJ$21),0)</f>
        <v/>
      </c>
      <c r="AF27" s="13">
        <f>IF(Inputs!$F$34=1,Inputs!$F$66*Inputs!$F$36*AF21/SUM($J$21:$BJ$21),0)</f>
        <v/>
      </c>
      <c r="AG27" s="13">
        <f>IF(Inputs!$F$34=1,Inputs!$F$66*Inputs!$F$36*AG21/SUM($J$21:$BJ$21),0)</f>
        <v/>
      </c>
      <c r="AH27" s="13">
        <f>IF(Inputs!$F$34=1,Inputs!$F$66*Inputs!$F$36*AH21/SUM($J$21:$BJ$21),0)</f>
        <v/>
      </c>
      <c r="AI27" s="13">
        <f>IF(Inputs!$F$34=1,Inputs!$F$66*Inputs!$F$36*AI21/SUM($J$21:$BJ$21),0)</f>
        <v/>
      </c>
      <c r="AJ27" s="13">
        <f>IF(Inputs!$F$34=1,Inputs!$F$66*Inputs!$F$36*AJ21/SUM($J$21:$BJ$21),0)</f>
        <v/>
      </c>
      <c r="AK27" s="13">
        <f>IF(Inputs!$F$34=1,Inputs!$F$66*Inputs!$F$36*AK21/SUM($J$21:$BJ$21),0)</f>
        <v/>
      </c>
      <c r="AL27" s="13">
        <f>IF(Inputs!$F$34=1,Inputs!$F$66*Inputs!$F$36*AL21/SUM($J$21:$BJ$21),0)</f>
        <v/>
      </c>
      <c r="AM27" s="13">
        <f>IF(Inputs!$F$34=1,Inputs!$F$66*Inputs!$F$36*AM21/SUM($J$21:$BJ$21),0)</f>
        <v/>
      </c>
      <c r="AN27" s="13">
        <f>IF(Inputs!$F$34=1,Inputs!$F$66*Inputs!$F$36*AN21/SUM($J$21:$BJ$21),0)</f>
        <v/>
      </c>
      <c r="AO27" s="13">
        <f>IF(Inputs!$F$34=1,Inputs!$F$66*Inputs!$F$36*AO21/SUM($J$21:$BJ$21),0)</f>
        <v/>
      </c>
      <c r="AP27" s="13">
        <f>IF(Inputs!$F$34=1,Inputs!$F$66*Inputs!$F$36*AP21/SUM($J$21:$BJ$21),0)</f>
        <v/>
      </c>
      <c r="AQ27" s="13">
        <f>IF(Inputs!$F$34=1,Inputs!$F$66*Inputs!$F$36*AQ21/SUM($J$21:$BJ$21),0)</f>
        <v/>
      </c>
      <c r="AR27" s="13">
        <f>IF(Inputs!$F$34=1,Inputs!$F$66*Inputs!$F$36*AR21/SUM($J$21:$BJ$21),0)</f>
        <v/>
      </c>
      <c r="AS27" s="13">
        <f>IF(Inputs!$F$34=1,Inputs!$F$66*Inputs!$F$36*AS21/SUM($J$21:$BJ$21),0)</f>
        <v/>
      </c>
      <c r="AT27" s="13">
        <f>IF(Inputs!$F$34=1,Inputs!$F$66*Inputs!$F$36*AT21/SUM($J$21:$BJ$21),0)</f>
        <v/>
      </c>
      <c r="AU27" s="13">
        <f>IF(Inputs!$F$34=1,Inputs!$F$66*Inputs!$F$36*AU21/SUM($J$21:$BJ$21),0)</f>
        <v/>
      </c>
      <c r="AV27" s="13">
        <f>IF(Inputs!$F$34=1,Inputs!$F$66*Inputs!$F$36*AV21/SUM($J$21:$BJ$21),0)</f>
        <v/>
      </c>
      <c r="AW27" s="13">
        <f>IF(Inputs!$F$34=1,Inputs!$F$66*Inputs!$F$36*AW21/SUM($J$21:$BJ$21),0)</f>
        <v/>
      </c>
      <c r="AX27" s="13">
        <f>IF(Inputs!$F$34=1,Inputs!$F$66*Inputs!$F$36*AX21/SUM($J$21:$BJ$21),0)</f>
        <v/>
      </c>
      <c r="AY27" s="13">
        <f>IF(Inputs!$F$34=1,Inputs!$F$66*Inputs!$F$36*AY21/SUM($J$21:$BJ$21),0)</f>
        <v/>
      </c>
      <c r="AZ27" s="13">
        <f>IF(Inputs!$F$34=1,Inputs!$F$66*Inputs!$F$36*AZ21/SUM($J$21:$BJ$21),0)</f>
        <v/>
      </c>
      <c r="BA27" s="13">
        <f>IF(Inputs!$F$34=1,Inputs!$F$66*Inputs!$F$36*BA21/SUM($J$21:$BJ$21),0)</f>
        <v/>
      </c>
      <c r="BB27" s="13">
        <f>IF(Inputs!$F$34=1,Inputs!$F$66*Inputs!$F$36*BB21/SUM($J$21:$BJ$21),0)</f>
        <v/>
      </c>
      <c r="BC27" s="13">
        <f>IF(Inputs!$F$34=1,Inputs!$F$66*Inputs!$F$36*BC21/SUM($J$21:$BJ$21),0)</f>
        <v/>
      </c>
      <c r="BD27" s="13">
        <f>IF(Inputs!$F$34=1,Inputs!$F$66*Inputs!$F$36*BD21/SUM($J$21:$BJ$21),0)</f>
        <v/>
      </c>
      <c r="BE27" s="13">
        <f>IF(Inputs!$F$34=1,Inputs!$F$66*Inputs!$F$36*BE21/SUM($J$21:$BJ$21),0)</f>
        <v/>
      </c>
      <c r="BF27" s="13">
        <f>IF(Inputs!$F$34=1,Inputs!$F$66*Inputs!$F$36*BF21/SUM($J$21:$BJ$21),0)</f>
        <v/>
      </c>
      <c r="BG27" s="13">
        <f>IF(Inputs!$F$34=1,Inputs!$F$66*Inputs!$F$36*BG21/SUM($J$21:$BJ$21),0)</f>
        <v/>
      </c>
      <c r="BH27" s="13">
        <f>IF(Inputs!$F$34=1,Inputs!$F$66*Inputs!$F$36*BH21/SUM($J$21:$BJ$21),0)</f>
        <v/>
      </c>
      <c r="BI27" s="13">
        <f>IF(Inputs!$F$34=1,Inputs!$F$66*Inputs!$F$36*BI21/SUM($J$21:$BJ$21),0)</f>
        <v/>
      </c>
      <c r="BJ27" s="13">
        <f>IF(Inputs!$F$34=1,Inputs!$F$66*Inputs!$F$36*BJ21/SUM($J$21:$BJ$21),0)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3">
        <f>SUM(J28:BJ28)</f>
        <v/>
      </c>
      <c r="J28" s="13">
        <f>IF(J8=Time!$F$11,Inputs!$F$67*Inputs!$F$36,0)</f>
        <v/>
      </c>
      <c r="K28" s="13">
        <f>IF(K8=Time!$F$11,Inputs!$F$67*Inputs!$F$36,0)</f>
        <v/>
      </c>
      <c r="L28" s="13">
        <f>IF(L8=Time!$F$11,Inputs!$F$67*Inputs!$F$36,0)</f>
        <v/>
      </c>
      <c r="M28" s="13">
        <f>IF(M8=Time!$F$11,Inputs!$F$67*Inputs!$F$36,0)</f>
        <v/>
      </c>
      <c r="N28" s="13">
        <f>IF(N8=Time!$F$11,Inputs!$F$67*Inputs!$F$36,0)</f>
        <v/>
      </c>
      <c r="O28" s="13">
        <f>IF(O8=Time!$F$11,Inputs!$F$67*Inputs!$F$36,0)</f>
        <v/>
      </c>
      <c r="P28" s="13">
        <f>IF(P8=Time!$F$11,Inputs!$F$67*Inputs!$F$36,0)</f>
        <v/>
      </c>
      <c r="Q28" s="13">
        <f>IF(Q8=Time!$F$11,Inputs!$F$67*Inputs!$F$36,0)</f>
        <v/>
      </c>
      <c r="R28" s="13">
        <f>IF(R8=Time!$F$11,Inputs!$F$67*Inputs!$F$36,0)</f>
        <v/>
      </c>
      <c r="S28" s="13">
        <f>IF(S8=Time!$F$11,Inputs!$F$67*Inputs!$F$36,0)</f>
        <v/>
      </c>
      <c r="T28" s="13">
        <f>IF(T8=Time!$F$11,Inputs!$F$67*Inputs!$F$36,0)</f>
        <v/>
      </c>
      <c r="U28" s="13">
        <f>IF(U8=Time!$F$11,Inputs!$F$67*Inputs!$F$36,0)</f>
        <v/>
      </c>
      <c r="V28" s="13">
        <f>IF(V8=Time!$F$11,Inputs!$F$67*Inputs!$F$36,0)</f>
        <v/>
      </c>
      <c r="W28" s="13">
        <f>IF(W8=Time!$F$11,Inputs!$F$67*Inputs!$F$36,0)</f>
        <v/>
      </c>
      <c r="X28" s="13">
        <f>IF(X8=Time!$F$11,Inputs!$F$67*Inputs!$F$36,0)</f>
        <v/>
      </c>
      <c r="Y28" s="13">
        <f>IF(Y8=Time!$F$11,Inputs!$F$67*Inputs!$F$36,0)</f>
        <v/>
      </c>
      <c r="Z28" s="13">
        <f>IF(Z8=Time!$F$11,Inputs!$F$67*Inputs!$F$36,0)</f>
        <v/>
      </c>
      <c r="AA28" s="13">
        <f>IF(AA8=Time!$F$11,Inputs!$F$67*Inputs!$F$36,0)</f>
        <v/>
      </c>
      <c r="AB28" s="13">
        <f>IF(AB8=Time!$F$11,Inputs!$F$67*Inputs!$F$36,0)</f>
        <v/>
      </c>
      <c r="AC28" s="13">
        <f>IF(AC8=Time!$F$11,Inputs!$F$67*Inputs!$F$36,0)</f>
        <v/>
      </c>
      <c r="AD28" s="13">
        <f>IF(AD8=Time!$F$11,Inputs!$F$67*Inputs!$F$36,0)</f>
        <v/>
      </c>
      <c r="AE28" s="13">
        <f>IF(AE8=Time!$F$11,Inputs!$F$67*Inputs!$F$36,0)</f>
        <v/>
      </c>
      <c r="AF28" s="13">
        <f>IF(AF8=Time!$F$11,Inputs!$F$67*Inputs!$F$36,0)</f>
        <v/>
      </c>
      <c r="AG28" s="13">
        <f>IF(AG8=Time!$F$11,Inputs!$F$67*Inputs!$F$36,0)</f>
        <v/>
      </c>
      <c r="AH28" s="13">
        <f>IF(AH8=Time!$F$11,Inputs!$F$67*Inputs!$F$36,0)</f>
        <v/>
      </c>
      <c r="AI28" s="13">
        <f>IF(AI8=Time!$F$11,Inputs!$F$67*Inputs!$F$36,0)</f>
        <v/>
      </c>
      <c r="AJ28" s="13">
        <f>IF(AJ8=Time!$F$11,Inputs!$F$67*Inputs!$F$36,0)</f>
        <v/>
      </c>
      <c r="AK28" s="13">
        <f>IF(AK8=Time!$F$11,Inputs!$F$67*Inputs!$F$36,0)</f>
        <v/>
      </c>
      <c r="AL28" s="13">
        <f>IF(AL8=Time!$F$11,Inputs!$F$67*Inputs!$F$36,0)</f>
        <v/>
      </c>
      <c r="AM28" s="13">
        <f>IF(AM8=Time!$F$11,Inputs!$F$67*Inputs!$F$36,0)</f>
        <v/>
      </c>
      <c r="AN28" s="13">
        <f>IF(AN8=Time!$F$11,Inputs!$F$67*Inputs!$F$36,0)</f>
        <v/>
      </c>
      <c r="AO28" s="13">
        <f>IF(AO8=Time!$F$11,Inputs!$F$67*Inputs!$F$36,0)</f>
        <v/>
      </c>
      <c r="AP28" s="13">
        <f>IF(AP8=Time!$F$11,Inputs!$F$67*Inputs!$F$36,0)</f>
        <v/>
      </c>
      <c r="AQ28" s="13">
        <f>IF(AQ8=Time!$F$11,Inputs!$F$67*Inputs!$F$36,0)</f>
        <v/>
      </c>
      <c r="AR28" s="13">
        <f>IF(AR8=Time!$F$11,Inputs!$F$67*Inputs!$F$36,0)</f>
        <v/>
      </c>
      <c r="AS28" s="13">
        <f>IF(AS8=Time!$F$11,Inputs!$F$67*Inputs!$F$36,0)</f>
        <v/>
      </c>
      <c r="AT28" s="13">
        <f>IF(AT8=Time!$F$11,Inputs!$F$67*Inputs!$F$36,0)</f>
        <v/>
      </c>
      <c r="AU28" s="13">
        <f>IF(AU8=Time!$F$11,Inputs!$F$67*Inputs!$F$36,0)</f>
        <v/>
      </c>
      <c r="AV28" s="13">
        <f>IF(AV8=Time!$F$11,Inputs!$F$67*Inputs!$F$36,0)</f>
        <v/>
      </c>
      <c r="AW28" s="13">
        <f>IF(AW8=Time!$F$11,Inputs!$F$67*Inputs!$F$36,0)</f>
        <v/>
      </c>
      <c r="AX28" s="13">
        <f>IF(AX8=Time!$F$11,Inputs!$F$67*Inputs!$F$36,0)</f>
        <v/>
      </c>
      <c r="AY28" s="13">
        <f>IF(AY8=Time!$F$11,Inputs!$F$67*Inputs!$F$36,0)</f>
        <v/>
      </c>
      <c r="AZ28" s="13">
        <f>IF(AZ8=Time!$F$11,Inputs!$F$67*Inputs!$F$36,0)</f>
        <v/>
      </c>
      <c r="BA28" s="13">
        <f>IF(BA8=Time!$F$11,Inputs!$F$67*Inputs!$F$36,0)</f>
        <v/>
      </c>
      <c r="BB28" s="13">
        <f>IF(BB8=Time!$F$11,Inputs!$F$67*Inputs!$F$36,0)</f>
        <v/>
      </c>
      <c r="BC28" s="13">
        <f>IF(BC8=Time!$F$11,Inputs!$F$67*Inputs!$F$36,0)</f>
        <v/>
      </c>
      <c r="BD28" s="13">
        <f>IF(BD8=Time!$F$11,Inputs!$F$67*Inputs!$F$36,0)</f>
        <v/>
      </c>
      <c r="BE28" s="13">
        <f>IF(BE8=Time!$F$11,Inputs!$F$67*Inputs!$F$36,0)</f>
        <v/>
      </c>
      <c r="BF28" s="13">
        <f>IF(BF8=Time!$F$11,Inputs!$F$67*Inputs!$F$36,0)</f>
        <v/>
      </c>
      <c r="BG28" s="13">
        <f>IF(BG8=Time!$F$11,Inputs!$F$67*Inputs!$F$36,0)</f>
        <v/>
      </c>
      <c r="BH28" s="13">
        <f>IF(BH8=Time!$F$11,Inputs!$F$67*Inputs!$F$36,0)</f>
        <v/>
      </c>
      <c r="BI28" s="13">
        <f>IF(BI8=Time!$F$11,Inputs!$F$67*Inputs!$F$36,0)</f>
        <v/>
      </c>
      <c r="BJ28" s="13">
        <f>IF(BJ8=Time!$F$11,Inputs!$F$67*Inputs!$F$36,0)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3">
        <f>SUM(J29:BJ29)</f>
        <v/>
      </c>
      <c r="J29" s="13">
        <f>IF(Inputs!$F$34&lt;&gt;1,Inputs!J308,0)</f>
        <v/>
      </c>
      <c r="K29" s="13">
        <f>IF(Inputs!$F$34&lt;&gt;1,Inputs!K308,0)</f>
        <v/>
      </c>
      <c r="L29" s="13">
        <f>IF(Inputs!$F$34&lt;&gt;1,Inputs!L308,0)</f>
        <v/>
      </c>
      <c r="M29" s="13">
        <f>IF(Inputs!$F$34&lt;&gt;1,Inputs!M308,0)</f>
        <v/>
      </c>
      <c r="N29" s="13">
        <f>IF(Inputs!$F$34&lt;&gt;1,Inputs!N308,0)</f>
        <v/>
      </c>
      <c r="O29" s="13">
        <f>IF(Inputs!$F$34&lt;&gt;1,Inputs!O308,0)</f>
        <v/>
      </c>
      <c r="P29" s="13">
        <f>IF(Inputs!$F$34&lt;&gt;1,Inputs!P308,0)</f>
        <v/>
      </c>
      <c r="Q29" s="13">
        <f>IF(Inputs!$F$34&lt;&gt;1,Inputs!Q308,0)</f>
        <v/>
      </c>
      <c r="R29" s="13">
        <f>IF(Inputs!$F$34&lt;&gt;1,Inputs!R308,0)</f>
        <v/>
      </c>
      <c r="S29" s="13">
        <f>IF(Inputs!$F$34&lt;&gt;1,Inputs!S308,0)</f>
        <v/>
      </c>
      <c r="T29" s="13">
        <f>IF(Inputs!$F$34&lt;&gt;1,Inputs!T308,0)</f>
        <v/>
      </c>
      <c r="U29" s="13">
        <f>IF(Inputs!$F$34&lt;&gt;1,Inputs!U308,0)</f>
        <v/>
      </c>
      <c r="V29" s="13">
        <f>IF(Inputs!$F$34&lt;&gt;1,Inputs!V308,0)</f>
        <v/>
      </c>
      <c r="W29" s="13">
        <f>IF(Inputs!$F$34&lt;&gt;1,Inputs!W308,0)</f>
        <v/>
      </c>
      <c r="X29" s="13">
        <f>IF(Inputs!$F$34&lt;&gt;1,Inputs!X308,0)</f>
        <v/>
      </c>
      <c r="Y29" s="13">
        <f>IF(Inputs!$F$34&lt;&gt;1,Inputs!Y308,0)</f>
        <v/>
      </c>
      <c r="Z29" s="13">
        <f>IF(Inputs!$F$34&lt;&gt;1,Inputs!Z308,0)</f>
        <v/>
      </c>
      <c r="AA29" s="13">
        <f>IF(Inputs!$F$34&lt;&gt;1,Inputs!AA308,0)</f>
        <v/>
      </c>
      <c r="AB29" s="13">
        <f>IF(Inputs!$F$34&lt;&gt;1,Inputs!AB308,0)</f>
        <v/>
      </c>
      <c r="AC29" s="13">
        <f>IF(Inputs!$F$34&lt;&gt;1,Inputs!AC308,0)</f>
        <v/>
      </c>
      <c r="AD29" s="13">
        <f>IF(Inputs!$F$34&lt;&gt;1,Inputs!AD308,0)</f>
        <v/>
      </c>
      <c r="AE29" s="13">
        <f>IF(Inputs!$F$34&lt;&gt;1,Inputs!AE308,0)</f>
        <v/>
      </c>
      <c r="AF29" s="13">
        <f>IF(Inputs!$F$34&lt;&gt;1,Inputs!AF308,0)</f>
        <v/>
      </c>
      <c r="AG29" s="13">
        <f>IF(Inputs!$F$34&lt;&gt;1,Inputs!AG308,0)</f>
        <v/>
      </c>
      <c r="AH29" s="13">
        <f>IF(Inputs!$F$34&lt;&gt;1,Inputs!AH308,0)</f>
        <v/>
      </c>
      <c r="AI29" s="13">
        <f>IF(Inputs!$F$34&lt;&gt;1,Inputs!AI308,0)</f>
        <v/>
      </c>
      <c r="AJ29" s="13">
        <f>IF(Inputs!$F$34&lt;&gt;1,Inputs!AJ308,0)</f>
        <v/>
      </c>
      <c r="AK29" s="13">
        <f>IF(Inputs!$F$34&lt;&gt;1,Inputs!AK308,0)</f>
        <v/>
      </c>
      <c r="AL29" s="13">
        <f>IF(Inputs!$F$34&lt;&gt;1,Inputs!AL308,0)</f>
        <v/>
      </c>
      <c r="AM29" s="13">
        <f>IF(Inputs!$F$34&lt;&gt;1,Inputs!AM308,0)</f>
        <v/>
      </c>
      <c r="AN29" s="13">
        <f>IF(Inputs!$F$34&lt;&gt;1,Inputs!AN308,0)</f>
        <v/>
      </c>
      <c r="AO29" s="13">
        <f>IF(Inputs!$F$34&lt;&gt;1,Inputs!AO308,0)</f>
        <v/>
      </c>
      <c r="AP29" s="13">
        <f>IF(Inputs!$F$34&lt;&gt;1,Inputs!AP308,0)</f>
        <v/>
      </c>
      <c r="AQ29" s="13">
        <f>IF(Inputs!$F$34&lt;&gt;1,Inputs!AQ308,0)</f>
        <v/>
      </c>
      <c r="AR29" s="13">
        <f>IF(Inputs!$F$34&lt;&gt;1,Inputs!AR308,0)</f>
        <v/>
      </c>
      <c r="AS29" s="13">
        <f>IF(Inputs!$F$34&lt;&gt;1,Inputs!AS308,0)</f>
        <v/>
      </c>
      <c r="AT29" s="13">
        <f>IF(Inputs!$F$34&lt;&gt;1,Inputs!AT308,0)</f>
        <v/>
      </c>
      <c r="AU29" s="13">
        <f>IF(Inputs!$F$34&lt;&gt;1,Inputs!AU308,0)</f>
        <v/>
      </c>
      <c r="AV29" s="13">
        <f>IF(Inputs!$F$34&lt;&gt;1,Inputs!AV308,0)</f>
        <v/>
      </c>
      <c r="AW29" s="13">
        <f>IF(Inputs!$F$34&lt;&gt;1,Inputs!AW308,0)</f>
        <v/>
      </c>
      <c r="AX29" s="13">
        <f>IF(Inputs!$F$34&lt;&gt;1,Inputs!AX308,0)</f>
        <v/>
      </c>
      <c r="AY29" s="13">
        <f>IF(Inputs!$F$34&lt;&gt;1,Inputs!AY308,0)</f>
        <v/>
      </c>
      <c r="AZ29" s="13">
        <f>IF(Inputs!$F$34&lt;&gt;1,Inputs!AZ308,0)</f>
        <v/>
      </c>
      <c r="BA29" s="13">
        <f>IF(Inputs!$F$34&lt;&gt;1,Inputs!BA308,0)</f>
        <v/>
      </c>
      <c r="BB29" s="13">
        <f>IF(Inputs!$F$34&lt;&gt;1,Inputs!BB308,0)</f>
        <v/>
      </c>
      <c r="BC29" s="13">
        <f>IF(Inputs!$F$34&lt;&gt;1,Inputs!BC308,0)</f>
        <v/>
      </c>
      <c r="BD29" s="13">
        <f>IF(Inputs!$F$34&lt;&gt;1,Inputs!BD308,0)</f>
        <v/>
      </c>
      <c r="BE29" s="13">
        <f>IF(Inputs!$F$34&lt;&gt;1,Inputs!BE308,0)</f>
        <v/>
      </c>
      <c r="BF29" s="13">
        <f>IF(Inputs!$F$34&lt;&gt;1,Inputs!BF308,0)</f>
        <v/>
      </c>
      <c r="BG29" s="13">
        <f>IF(Inputs!$F$34&lt;&gt;1,Inputs!BG308,0)</f>
        <v/>
      </c>
      <c r="BH29" s="13">
        <f>IF(Inputs!$F$34&lt;&gt;1,Inputs!BH308,0)</f>
        <v/>
      </c>
      <c r="BI29" s="13">
        <f>IF(Inputs!$F$34&lt;&gt;1,Inputs!BI308,0)</f>
        <v/>
      </c>
      <c r="BJ29" s="13">
        <f>IF(Inputs!$F$34&lt;&gt;1,Inputs!BJ308,0)</f>
        <v/>
      </c>
    </row>
    <row r="30">
      <c r="D30" t="inlineStr">
        <is>
          <t>KCR forward rate traded at financial close (covered interest parity)</t>
        </is>
      </c>
      <c r="E30" t="inlineStr">
        <is>
          <t>KCR/USD</t>
        </is>
      </c>
      <c r="J30" s="13">
        <f>Inputs!$F$60*((1+Inputs!$F$73/100)/(1+INDEX(Inputs!$J$291:$BN$291,1,J12)/100))^((J10-Inputs!$F$187)/Inputs!$F$248)</f>
        <v/>
      </c>
      <c r="K30" s="13">
        <f>Inputs!$F$60*((1+Inputs!$F$73/100)/(1+INDEX(Inputs!$J$291:$BN$291,1,K12)/100))^((K10-Inputs!$F$187)/Inputs!$F$248)</f>
        <v/>
      </c>
      <c r="L30" s="13">
        <f>Inputs!$F$60*((1+Inputs!$F$73/100)/(1+INDEX(Inputs!$J$291:$BN$291,1,L12)/100))^((L10-Inputs!$F$187)/Inputs!$F$248)</f>
        <v/>
      </c>
      <c r="M30" s="13">
        <f>Inputs!$F$60*((1+Inputs!$F$73/100)/(1+INDEX(Inputs!$J$291:$BN$291,1,M12)/100))^((M10-Inputs!$F$187)/Inputs!$F$248)</f>
        <v/>
      </c>
      <c r="N30" s="13">
        <f>Inputs!$F$60*((1+Inputs!$F$73/100)/(1+INDEX(Inputs!$J$291:$BN$291,1,N12)/100))^((N10-Inputs!$F$187)/Inputs!$F$248)</f>
        <v/>
      </c>
      <c r="O30" s="13">
        <f>Inputs!$F$60*((1+Inputs!$F$73/100)/(1+INDEX(Inputs!$J$291:$BN$291,1,O12)/100))^((O10-Inputs!$F$187)/Inputs!$F$248)</f>
        <v/>
      </c>
      <c r="P30" s="13">
        <f>Inputs!$F$60*((1+Inputs!$F$73/100)/(1+INDEX(Inputs!$J$291:$BN$291,1,P12)/100))^((P10-Inputs!$F$187)/Inputs!$F$248)</f>
        <v/>
      </c>
      <c r="Q30" s="13">
        <f>Inputs!$F$60*((1+Inputs!$F$73/100)/(1+INDEX(Inputs!$J$291:$BN$291,1,Q12)/100))^((Q10-Inputs!$F$187)/Inputs!$F$248)</f>
        <v/>
      </c>
      <c r="R30" s="13">
        <f>Inputs!$F$60*((1+Inputs!$F$73/100)/(1+INDEX(Inputs!$J$291:$BN$291,1,R12)/100))^((R10-Inputs!$F$187)/Inputs!$F$248)</f>
        <v/>
      </c>
      <c r="S30" s="13">
        <f>Inputs!$F$60*((1+Inputs!$F$73/100)/(1+INDEX(Inputs!$J$291:$BN$291,1,S12)/100))^((S10-Inputs!$F$187)/Inputs!$F$248)</f>
        <v/>
      </c>
      <c r="T30" s="13">
        <f>Inputs!$F$60*((1+Inputs!$F$73/100)/(1+INDEX(Inputs!$J$291:$BN$291,1,T12)/100))^((T10-Inputs!$F$187)/Inputs!$F$248)</f>
        <v/>
      </c>
      <c r="U30" s="13">
        <f>Inputs!$F$60*((1+Inputs!$F$73/100)/(1+INDEX(Inputs!$J$291:$BN$291,1,U12)/100))^((U10-Inputs!$F$187)/Inputs!$F$248)</f>
        <v/>
      </c>
      <c r="V30" s="13">
        <f>Inputs!$F$60*((1+Inputs!$F$73/100)/(1+INDEX(Inputs!$J$291:$BN$291,1,V12)/100))^((V10-Inputs!$F$187)/Inputs!$F$248)</f>
        <v/>
      </c>
      <c r="W30" s="13">
        <f>Inputs!$F$60*((1+Inputs!$F$73/100)/(1+INDEX(Inputs!$J$291:$BN$291,1,W12)/100))^((W10-Inputs!$F$187)/Inputs!$F$248)</f>
        <v/>
      </c>
      <c r="X30" s="13">
        <f>Inputs!$F$60*((1+Inputs!$F$73/100)/(1+INDEX(Inputs!$J$291:$BN$291,1,X12)/100))^((X10-Inputs!$F$187)/Inputs!$F$248)</f>
        <v/>
      </c>
      <c r="Y30" s="13">
        <f>Inputs!$F$60*((1+Inputs!$F$73/100)/(1+INDEX(Inputs!$J$291:$BN$291,1,Y12)/100))^((Y10-Inputs!$F$187)/Inputs!$F$248)</f>
        <v/>
      </c>
      <c r="Z30" s="13">
        <f>Inputs!$F$60*((1+Inputs!$F$73/100)/(1+INDEX(Inputs!$J$291:$BN$291,1,Z12)/100))^((Z10-Inputs!$F$187)/Inputs!$F$248)</f>
        <v/>
      </c>
      <c r="AA30" s="13">
        <f>Inputs!$F$60*((1+Inputs!$F$73/100)/(1+INDEX(Inputs!$J$291:$BN$291,1,AA12)/100))^((AA10-Inputs!$F$187)/Inputs!$F$248)</f>
        <v/>
      </c>
      <c r="AB30" s="13">
        <f>Inputs!$F$60*((1+Inputs!$F$73/100)/(1+INDEX(Inputs!$J$291:$BN$291,1,AB12)/100))^((AB10-Inputs!$F$187)/Inputs!$F$248)</f>
        <v/>
      </c>
      <c r="AC30" s="13">
        <f>Inputs!$F$60*((1+Inputs!$F$73/100)/(1+INDEX(Inputs!$J$291:$BN$291,1,AC12)/100))^((AC10-Inputs!$F$187)/Inputs!$F$248)</f>
        <v/>
      </c>
      <c r="AD30" s="13">
        <f>Inputs!$F$60*((1+Inputs!$F$73/100)/(1+INDEX(Inputs!$J$291:$BN$291,1,AD12)/100))^((AD10-Inputs!$F$187)/Inputs!$F$248)</f>
        <v/>
      </c>
      <c r="AE30" s="13">
        <f>Inputs!$F$60*((1+Inputs!$F$73/100)/(1+INDEX(Inputs!$J$291:$BN$291,1,AE12)/100))^((AE10-Inputs!$F$187)/Inputs!$F$248)</f>
        <v/>
      </c>
      <c r="AF30" s="13">
        <f>Inputs!$F$60*((1+Inputs!$F$73/100)/(1+INDEX(Inputs!$J$291:$BN$291,1,AF12)/100))^((AF10-Inputs!$F$187)/Inputs!$F$248)</f>
        <v/>
      </c>
      <c r="AG30" s="13">
        <f>Inputs!$F$60*((1+Inputs!$F$73/100)/(1+INDEX(Inputs!$J$291:$BN$291,1,AG12)/100))^((AG10-Inputs!$F$187)/Inputs!$F$248)</f>
        <v/>
      </c>
      <c r="AH30" s="13">
        <f>Inputs!$F$60*((1+Inputs!$F$73/100)/(1+INDEX(Inputs!$J$291:$BN$291,1,AH12)/100))^((AH10-Inputs!$F$187)/Inputs!$F$248)</f>
        <v/>
      </c>
      <c r="AI30" s="13">
        <f>Inputs!$F$60*((1+Inputs!$F$73/100)/(1+INDEX(Inputs!$J$291:$BN$291,1,AI12)/100))^((AI10-Inputs!$F$187)/Inputs!$F$248)</f>
        <v/>
      </c>
      <c r="AJ30" s="13">
        <f>Inputs!$F$60*((1+Inputs!$F$73/100)/(1+INDEX(Inputs!$J$291:$BN$291,1,AJ12)/100))^((AJ10-Inputs!$F$187)/Inputs!$F$248)</f>
        <v/>
      </c>
      <c r="AK30" s="13">
        <f>Inputs!$F$60*((1+Inputs!$F$73/100)/(1+INDEX(Inputs!$J$291:$BN$291,1,AK12)/100))^((AK10-Inputs!$F$187)/Inputs!$F$248)</f>
        <v/>
      </c>
      <c r="AL30" s="13">
        <f>Inputs!$F$60*((1+Inputs!$F$73/100)/(1+INDEX(Inputs!$J$291:$BN$291,1,AL12)/100))^((AL10-Inputs!$F$187)/Inputs!$F$248)</f>
        <v/>
      </c>
      <c r="AM30" s="13">
        <f>Inputs!$F$60*((1+Inputs!$F$73/100)/(1+INDEX(Inputs!$J$291:$BN$291,1,AM12)/100))^((AM10-Inputs!$F$187)/Inputs!$F$248)</f>
        <v/>
      </c>
      <c r="AN30" s="13">
        <f>Inputs!$F$60*((1+Inputs!$F$73/100)/(1+INDEX(Inputs!$J$291:$BN$291,1,AN12)/100))^((AN10-Inputs!$F$187)/Inputs!$F$248)</f>
        <v/>
      </c>
      <c r="AO30" s="13">
        <f>Inputs!$F$60*((1+Inputs!$F$73/100)/(1+INDEX(Inputs!$J$291:$BN$291,1,AO12)/100))^((AO10-Inputs!$F$187)/Inputs!$F$248)</f>
        <v/>
      </c>
      <c r="AP30" s="13">
        <f>Inputs!$F$60*((1+Inputs!$F$73/100)/(1+INDEX(Inputs!$J$291:$BN$291,1,AP12)/100))^((AP10-Inputs!$F$187)/Inputs!$F$248)</f>
        <v/>
      </c>
      <c r="AQ30" s="13">
        <f>Inputs!$F$60*((1+Inputs!$F$73/100)/(1+INDEX(Inputs!$J$291:$BN$291,1,AQ12)/100))^((AQ10-Inputs!$F$187)/Inputs!$F$248)</f>
        <v/>
      </c>
      <c r="AR30" s="13">
        <f>Inputs!$F$60*((1+Inputs!$F$73/100)/(1+INDEX(Inputs!$J$291:$BN$291,1,AR12)/100))^((AR10-Inputs!$F$187)/Inputs!$F$248)</f>
        <v/>
      </c>
      <c r="AS30" s="13">
        <f>Inputs!$F$60*((1+Inputs!$F$73/100)/(1+INDEX(Inputs!$J$291:$BN$291,1,AS12)/100))^((AS10-Inputs!$F$187)/Inputs!$F$248)</f>
        <v/>
      </c>
      <c r="AT30" s="13">
        <f>Inputs!$F$60*((1+Inputs!$F$73/100)/(1+INDEX(Inputs!$J$291:$BN$291,1,AT12)/100))^((AT10-Inputs!$F$187)/Inputs!$F$248)</f>
        <v/>
      </c>
      <c r="AU30" s="13">
        <f>Inputs!$F$60*((1+Inputs!$F$73/100)/(1+INDEX(Inputs!$J$291:$BN$291,1,AU12)/100))^((AU10-Inputs!$F$187)/Inputs!$F$248)</f>
        <v/>
      </c>
      <c r="AV30" s="13">
        <f>Inputs!$F$60*((1+Inputs!$F$73/100)/(1+INDEX(Inputs!$J$291:$BN$291,1,AV12)/100))^((AV10-Inputs!$F$187)/Inputs!$F$248)</f>
        <v/>
      </c>
      <c r="AW30" s="13">
        <f>Inputs!$F$60*((1+Inputs!$F$73/100)/(1+INDEX(Inputs!$J$291:$BN$291,1,AW12)/100))^((AW10-Inputs!$F$187)/Inputs!$F$248)</f>
        <v/>
      </c>
      <c r="AX30" s="13">
        <f>Inputs!$F$60*((1+Inputs!$F$73/100)/(1+INDEX(Inputs!$J$291:$BN$291,1,AX12)/100))^((AX10-Inputs!$F$187)/Inputs!$F$248)</f>
        <v/>
      </c>
      <c r="AY30" s="13">
        <f>Inputs!$F$60*((1+Inputs!$F$73/100)/(1+INDEX(Inputs!$J$291:$BN$291,1,AY12)/100))^((AY10-Inputs!$F$187)/Inputs!$F$248)</f>
        <v/>
      </c>
      <c r="AZ30" s="13">
        <f>Inputs!$F$60*((1+Inputs!$F$73/100)/(1+INDEX(Inputs!$J$291:$BN$291,1,AZ12)/100))^((AZ10-Inputs!$F$187)/Inputs!$F$248)</f>
        <v/>
      </c>
      <c r="BA30" s="13">
        <f>Inputs!$F$60*((1+Inputs!$F$73/100)/(1+INDEX(Inputs!$J$291:$BN$291,1,BA12)/100))^((BA10-Inputs!$F$187)/Inputs!$F$248)</f>
        <v/>
      </c>
      <c r="BB30" s="13">
        <f>Inputs!$F$60*((1+Inputs!$F$73/100)/(1+INDEX(Inputs!$J$291:$BN$291,1,BB12)/100))^((BB10-Inputs!$F$187)/Inputs!$F$248)</f>
        <v/>
      </c>
      <c r="BC30" s="13">
        <f>Inputs!$F$60*((1+Inputs!$F$73/100)/(1+INDEX(Inputs!$J$291:$BN$291,1,BC12)/100))^((BC10-Inputs!$F$187)/Inputs!$F$248)</f>
        <v/>
      </c>
      <c r="BD30" s="13">
        <f>Inputs!$F$60*((1+Inputs!$F$73/100)/(1+INDEX(Inputs!$J$291:$BN$291,1,BD12)/100))^((BD10-Inputs!$F$187)/Inputs!$F$248)</f>
        <v/>
      </c>
      <c r="BE30" s="13">
        <f>Inputs!$F$60*((1+Inputs!$F$73/100)/(1+INDEX(Inputs!$J$291:$BN$291,1,BE12)/100))^((BE10-Inputs!$F$187)/Inputs!$F$248)</f>
        <v/>
      </c>
      <c r="BF30" s="13">
        <f>Inputs!$F$60*((1+Inputs!$F$73/100)/(1+INDEX(Inputs!$J$291:$BN$291,1,BF12)/100))^((BF10-Inputs!$F$187)/Inputs!$F$248)</f>
        <v/>
      </c>
      <c r="BG30" s="13">
        <f>Inputs!$F$60*((1+Inputs!$F$73/100)/(1+INDEX(Inputs!$J$291:$BN$291,1,BG12)/100))^((BG10-Inputs!$F$187)/Inputs!$F$248)</f>
        <v/>
      </c>
      <c r="BH30" s="13">
        <f>Inputs!$F$60*((1+Inputs!$F$73/100)/(1+INDEX(Inputs!$J$291:$BN$291,1,BH12)/100))^((BH10-Inputs!$F$187)/Inputs!$F$248)</f>
        <v/>
      </c>
      <c r="BI30" s="13">
        <f>Inputs!$F$60*((1+Inputs!$F$73/100)/(1+INDEX(Inputs!$J$291:$BN$291,1,BI12)/100))^((BI10-Inputs!$F$187)/Inputs!$F$248)</f>
        <v/>
      </c>
      <c r="BJ30" s="13">
        <f>Inputs!$F$60*((1+Inputs!$F$73/100)/(1+INDEX(Inputs!$J$291:$BN$291,1,BJ12)/100))^((BJ10-Inputs!$F$187)/Inputs!$F$248)</f>
        <v/>
      </c>
    </row>
    <row r="31">
      <c r="D31" t="inlineStr">
        <is>
          <t>FX forward settlement on onshore EPC payments (gain to the project)</t>
        </is>
      </c>
      <c r="E31" t="inlineStr">
        <is>
          <t>USD m</t>
        </is>
      </c>
      <c r="G31" s="13">
        <f>SUM(J31:BJ31)</f>
        <v/>
      </c>
      <c r="J31" s="13">
        <f>IF(Inputs!$F$34&lt;&gt;1,Inputs!$F$259*J34*(1/J16-1/J30),0)</f>
        <v/>
      </c>
      <c r="K31" s="13">
        <f>IF(Inputs!$F$34&lt;&gt;1,Inputs!$F$259*K34*(1/K16-1/K30),0)</f>
        <v/>
      </c>
      <c r="L31" s="13">
        <f>IF(Inputs!$F$34&lt;&gt;1,Inputs!$F$259*L34*(1/L16-1/L30),0)</f>
        <v/>
      </c>
      <c r="M31" s="13">
        <f>IF(Inputs!$F$34&lt;&gt;1,Inputs!$F$259*M34*(1/M16-1/M30),0)</f>
        <v/>
      </c>
      <c r="N31" s="13">
        <f>IF(Inputs!$F$34&lt;&gt;1,Inputs!$F$259*N34*(1/N16-1/N30),0)</f>
        <v/>
      </c>
      <c r="O31" s="13">
        <f>IF(Inputs!$F$34&lt;&gt;1,Inputs!$F$259*O34*(1/O16-1/O30),0)</f>
        <v/>
      </c>
      <c r="P31" s="13">
        <f>IF(Inputs!$F$34&lt;&gt;1,Inputs!$F$259*P34*(1/P16-1/P30),0)</f>
        <v/>
      </c>
      <c r="Q31" s="13">
        <f>IF(Inputs!$F$34&lt;&gt;1,Inputs!$F$259*Q34*(1/Q16-1/Q30),0)</f>
        <v/>
      </c>
      <c r="R31" s="13">
        <f>IF(Inputs!$F$34&lt;&gt;1,Inputs!$F$259*R34*(1/R16-1/R30),0)</f>
        <v/>
      </c>
      <c r="S31" s="13">
        <f>IF(Inputs!$F$34&lt;&gt;1,Inputs!$F$259*S34*(1/S16-1/S30),0)</f>
        <v/>
      </c>
      <c r="T31" s="13">
        <f>IF(Inputs!$F$34&lt;&gt;1,Inputs!$F$259*T34*(1/T16-1/T30),0)</f>
        <v/>
      </c>
      <c r="U31" s="13">
        <f>IF(Inputs!$F$34&lt;&gt;1,Inputs!$F$259*U34*(1/U16-1/U30),0)</f>
        <v/>
      </c>
      <c r="V31" s="13">
        <f>IF(Inputs!$F$34&lt;&gt;1,Inputs!$F$259*V34*(1/V16-1/V30),0)</f>
        <v/>
      </c>
      <c r="W31" s="13">
        <f>IF(Inputs!$F$34&lt;&gt;1,Inputs!$F$259*W34*(1/W16-1/W30),0)</f>
        <v/>
      </c>
      <c r="X31" s="13">
        <f>IF(Inputs!$F$34&lt;&gt;1,Inputs!$F$259*X34*(1/X16-1/X30),0)</f>
        <v/>
      </c>
      <c r="Y31" s="13">
        <f>IF(Inputs!$F$34&lt;&gt;1,Inputs!$F$259*Y34*(1/Y16-1/Y30),0)</f>
        <v/>
      </c>
      <c r="Z31" s="13">
        <f>IF(Inputs!$F$34&lt;&gt;1,Inputs!$F$259*Z34*(1/Z16-1/Z30),0)</f>
        <v/>
      </c>
      <c r="AA31" s="13">
        <f>IF(Inputs!$F$34&lt;&gt;1,Inputs!$F$259*AA34*(1/AA16-1/AA30),0)</f>
        <v/>
      </c>
      <c r="AB31" s="13">
        <f>IF(Inputs!$F$34&lt;&gt;1,Inputs!$F$259*AB34*(1/AB16-1/AB30),0)</f>
        <v/>
      </c>
      <c r="AC31" s="13">
        <f>IF(Inputs!$F$34&lt;&gt;1,Inputs!$F$259*AC34*(1/AC16-1/AC30),0)</f>
        <v/>
      </c>
      <c r="AD31" s="13">
        <f>IF(Inputs!$F$34&lt;&gt;1,Inputs!$F$259*AD34*(1/AD16-1/AD30),0)</f>
        <v/>
      </c>
      <c r="AE31" s="13">
        <f>IF(Inputs!$F$34&lt;&gt;1,Inputs!$F$259*AE34*(1/AE16-1/AE30),0)</f>
        <v/>
      </c>
      <c r="AF31" s="13">
        <f>IF(Inputs!$F$34&lt;&gt;1,Inputs!$F$259*AF34*(1/AF16-1/AF30),0)</f>
        <v/>
      </c>
      <c r="AG31" s="13">
        <f>IF(Inputs!$F$34&lt;&gt;1,Inputs!$F$259*AG34*(1/AG16-1/AG30),0)</f>
        <v/>
      </c>
      <c r="AH31" s="13">
        <f>IF(Inputs!$F$34&lt;&gt;1,Inputs!$F$259*AH34*(1/AH16-1/AH30),0)</f>
        <v/>
      </c>
      <c r="AI31" s="13">
        <f>IF(Inputs!$F$34&lt;&gt;1,Inputs!$F$259*AI34*(1/AI16-1/AI30),0)</f>
        <v/>
      </c>
      <c r="AJ31" s="13">
        <f>IF(Inputs!$F$34&lt;&gt;1,Inputs!$F$259*AJ34*(1/AJ16-1/AJ30),0)</f>
        <v/>
      </c>
      <c r="AK31" s="13">
        <f>IF(Inputs!$F$34&lt;&gt;1,Inputs!$F$259*AK34*(1/AK16-1/AK30),0)</f>
        <v/>
      </c>
      <c r="AL31" s="13">
        <f>IF(Inputs!$F$34&lt;&gt;1,Inputs!$F$259*AL34*(1/AL16-1/AL30),0)</f>
        <v/>
      </c>
      <c r="AM31" s="13">
        <f>IF(Inputs!$F$34&lt;&gt;1,Inputs!$F$259*AM34*(1/AM16-1/AM30),0)</f>
        <v/>
      </c>
      <c r="AN31" s="13">
        <f>IF(Inputs!$F$34&lt;&gt;1,Inputs!$F$259*AN34*(1/AN16-1/AN30),0)</f>
        <v/>
      </c>
      <c r="AO31" s="13">
        <f>IF(Inputs!$F$34&lt;&gt;1,Inputs!$F$259*AO34*(1/AO16-1/AO30),0)</f>
        <v/>
      </c>
      <c r="AP31" s="13">
        <f>IF(Inputs!$F$34&lt;&gt;1,Inputs!$F$259*AP34*(1/AP16-1/AP30),0)</f>
        <v/>
      </c>
      <c r="AQ31" s="13">
        <f>IF(Inputs!$F$34&lt;&gt;1,Inputs!$F$259*AQ34*(1/AQ16-1/AQ30),0)</f>
        <v/>
      </c>
      <c r="AR31" s="13">
        <f>IF(Inputs!$F$34&lt;&gt;1,Inputs!$F$259*AR34*(1/AR16-1/AR30),0)</f>
        <v/>
      </c>
      <c r="AS31" s="13">
        <f>IF(Inputs!$F$34&lt;&gt;1,Inputs!$F$259*AS34*(1/AS16-1/AS30),0)</f>
        <v/>
      </c>
      <c r="AT31" s="13">
        <f>IF(Inputs!$F$34&lt;&gt;1,Inputs!$F$259*AT34*(1/AT16-1/AT30),0)</f>
        <v/>
      </c>
      <c r="AU31" s="13">
        <f>IF(Inputs!$F$34&lt;&gt;1,Inputs!$F$259*AU34*(1/AU16-1/AU30),0)</f>
        <v/>
      </c>
      <c r="AV31" s="13">
        <f>IF(Inputs!$F$34&lt;&gt;1,Inputs!$F$259*AV34*(1/AV16-1/AV30),0)</f>
        <v/>
      </c>
      <c r="AW31" s="13">
        <f>IF(Inputs!$F$34&lt;&gt;1,Inputs!$F$259*AW34*(1/AW16-1/AW30),0)</f>
        <v/>
      </c>
      <c r="AX31" s="13">
        <f>IF(Inputs!$F$34&lt;&gt;1,Inputs!$F$259*AX34*(1/AX16-1/AX30),0)</f>
        <v/>
      </c>
      <c r="AY31" s="13">
        <f>IF(Inputs!$F$34&lt;&gt;1,Inputs!$F$259*AY34*(1/AY16-1/AY30),0)</f>
        <v/>
      </c>
      <c r="AZ31" s="13">
        <f>IF(Inputs!$F$34&lt;&gt;1,Inputs!$F$259*AZ34*(1/AZ16-1/AZ30),0)</f>
        <v/>
      </c>
      <c r="BA31" s="13">
        <f>IF(Inputs!$F$34&lt;&gt;1,Inputs!$F$259*BA34*(1/BA16-1/BA30),0)</f>
        <v/>
      </c>
      <c r="BB31" s="13">
        <f>IF(Inputs!$F$34&lt;&gt;1,Inputs!$F$259*BB34*(1/BB16-1/BB30),0)</f>
        <v/>
      </c>
      <c r="BC31" s="13">
        <f>IF(Inputs!$F$34&lt;&gt;1,Inputs!$F$259*BC34*(1/BC16-1/BC30),0)</f>
        <v/>
      </c>
      <c r="BD31" s="13">
        <f>IF(Inputs!$F$34&lt;&gt;1,Inputs!$F$259*BD34*(1/BD16-1/BD30),0)</f>
        <v/>
      </c>
      <c r="BE31" s="13">
        <f>IF(Inputs!$F$34&lt;&gt;1,Inputs!$F$259*BE34*(1/BE16-1/BE30),0)</f>
        <v/>
      </c>
      <c r="BF31" s="13">
        <f>IF(Inputs!$F$34&lt;&gt;1,Inputs!$F$259*BF34*(1/BF16-1/BF30),0)</f>
        <v/>
      </c>
      <c r="BG31" s="13">
        <f>IF(Inputs!$F$34&lt;&gt;1,Inputs!$F$259*BG34*(1/BG16-1/BG30),0)</f>
        <v/>
      </c>
      <c r="BH31" s="13">
        <f>IF(Inputs!$F$34&lt;&gt;1,Inputs!$F$259*BH34*(1/BH16-1/BH30),0)</f>
        <v/>
      </c>
      <c r="BI31" s="13">
        <f>IF(Inputs!$F$34&lt;&gt;1,Inputs!$F$259*BI34*(1/BI16-1/BI30),0)</f>
        <v/>
      </c>
      <c r="BJ31" s="13">
        <f>IF(Inputs!$F$34&lt;&gt;1,Inputs!$F$259*BJ34*(1/BJ16-1/BJ30),0)</f>
        <v/>
      </c>
    </row>
    <row r="32">
      <c r="D32" t="inlineStr">
        <is>
          <t>Uses before financing costs (net of FX hedge settlements)</t>
        </is>
      </c>
      <c r="E32" t="inlineStr">
        <is>
          <t>USD m</t>
        </is>
      </c>
      <c r="G32" s="13">
        <f>SUM(J32:BJ32)</f>
        <v/>
      </c>
      <c r="J32" s="13">
        <f>J22+J23+J24+J25+J26+J27+J28+J29-J31</f>
        <v/>
      </c>
      <c r="K32" s="13">
        <f>K22+K23+K24+K25+K26+K27+K28+K29-K31</f>
        <v/>
      </c>
      <c r="L32" s="13">
        <f>L22+L23+L24+L25+L26+L27+L28+L29-L31</f>
        <v/>
      </c>
      <c r="M32" s="13">
        <f>M22+M23+M24+M25+M26+M27+M28+M29-M31</f>
        <v/>
      </c>
      <c r="N32" s="13">
        <f>N22+N23+N24+N25+N26+N27+N28+N29-N31</f>
        <v/>
      </c>
      <c r="O32" s="13">
        <f>O22+O23+O24+O25+O26+O27+O28+O29-O31</f>
        <v/>
      </c>
      <c r="P32" s="13">
        <f>P22+P23+P24+P25+P26+P27+P28+P29-P31</f>
        <v/>
      </c>
      <c r="Q32" s="13">
        <f>Q22+Q23+Q24+Q25+Q26+Q27+Q28+Q29-Q31</f>
        <v/>
      </c>
      <c r="R32" s="13">
        <f>R22+R23+R24+R25+R26+R27+R28+R29-R31</f>
        <v/>
      </c>
      <c r="S32" s="13">
        <f>S22+S23+S24+S25+S26+S27+S28+S29-S31</f>
        <v/>
      </c>
      <c r="T32" s="13">
        <f>T22+T23+T24+T25+T26+T27+T28+T29-T31</f>
        <v/>
      </c>
      <c r="U32" s="13">
        <f>U22+U23+U24+U25+U26+U27+U28+U29-U31</f>
        <v/>
      </c>
      <c r="V32" s="13">
        <f>V22+V23+V24+V25+V26+V27+V28+V29-V31</f>
        <v/>
      </c>
      <c r="W32" s="13">
        <f>W22+W23+W24+W25+W26+W27+W28+W29-W31</f>
        <v/>
      </c>
      <c r="X32" s="13">
        <f>X22+X23+X24+X25+X26+X27+X28+X29-X31</f>
        <v/>
      </c>
      <c r="Y32" s="13">
        <f>Y22+Y23+Y24+Y25+Y26+Y27+Y28+Y29-Y31</f>
        <v/>
      </c>
      <c r="Z32" s="13">
        <f>Z22+Z23+Z24+Z25+Z26+Z27+Z28+Z29-Z31</f>
        <v/>
      </c>
      <c r="AA32" s="13">
        <f>AA22+AA23+AA24+AA25+AA26+AA27+AA28+AA29-AA31</f>
        <v/>
      </c>
      <c r="AB32" s="13">
        <f>AB22+AB23+AB24+AB25+AB26+AB27+AB28+AB29-AB31</f>
        <v/>
      </c>
      <c r="AC32" s="13">
        <f>AC22+AC23+AC24+AC25+AC26+AC27+AC28+AC29-AC31</f>
        <v/>
      </c>
      <c r="AD32" s="13">
        <f>AD22+AD23+AD24+AD25+AD26+AD27+AD28+AD29-AD31</f>
        <v/>
      </c>
      <c r="AE32" s="13">
        <f>AE22+AE23+AE24+AE25+AE26+AE27+AE28+AE29-AE31</f>
        <v/>
      </c>
      <c r="AF32" s="13">
        <f>AF22+AF23+AF24+AF25+AF26+AF27+AF28+AF29-AF31</f>
        <v/>
      </c>
      <c r="AG32" s="13">
        <f>AG22+AG23+AG24+AG25+AG26+AG27+AG28+AG29-AG31</f>
        <v/>
      </c>
      <c r="AH32" s="13">
        <f>AH22+AH23+AH24+AH25+AH26+AH27+AH28+AH29-AH31</f>
        <v/>
      </c>
      <c r="AI32" s="13">
        <f>AI22+AI23+AI24+AI25+AI26+AI27+AI28+AI29-AI31</f>
        <v/>
      </c>
      <c r="AJ32" s="13">
        <f>AJ22+AJ23+AJ24+AJ25+AJ26+AJ27+AJ28+AJ29-AJ31</f>
        <v/>
      </c>
      <c r="AK32" s="13">
        <f>AK22+AK23+AK24+AK25+AK26+AK27+AK28+AK29-AK31</f>
        <v/>
      </c>
      <c r="AL32" s="13">
        <f>AL22+AL23+AL24+AL25+AL26+AL27+AL28+AL29-AL31</f>
        <v/>
      </c>
      <c r="AM32" s="13">
        <f>AM22+AM23+AM24+AM25+AM26+AM27+AM28+AM29-AM31</f>
        <v/>
      </c>
      <c r="AN32" s="13">
        <f>AN22+AN23+AN24+AN25+AN26+AN27+AN28+AN29-AN31</f>
        <v/>
      </c>
      <c r="AO32" s="13">
        <f>AO22+AO23+AO24+AO25+AO26+AO27+AO28+AO29-AO31</f>
        <v/>
      </c>
      <c r="AP32" s="13">
        <f>AP22+AP23+AP24+AP25+AP26+AP27+AP28+AP29-AP31</f>
        <v/>
      </c>
      <c r="AQ32" s="13">
        <f>AQ22+AQ23+AQ24+AQ25+AQ26+AQ27+AQ28+AQ29-AQ31</f>
        <v/>
      </c>
      <c r="AR32" s="13">
        <f>AR22+AR23+AR24+AR25+AR26+AR27+AR28+AR29-AR31</f>
        <v/>
      </c>
      <c r="AS32" s="13">
        <f>AS22+AS23+AS24+AS25+AS26+AS27+AS28+AS29-AS31</f>
        <v/>
      </c>
      <c r="AT32" s="13">
        <f>AT22+AT23+AT24+AT25+AT26+AT27+AT28+AT29-AT31</f>
        <v/>
      </c>
      <c r="AU32" s="13">
        <f>AU22+AU23+AU24+AU25+AU26+AU27+AU28+AU29-AU31</f>
        <v/>
      </c>
      <c r="AV32" s="13">
        <f>AV22+AV23+AV24+AV25+AV26+AV27+AV28+AV29-AV31</f>
        <v/>
      </c>
      <c r="AW32" s="13">
        <f>AW22+AW23+AW24+AW25+AW26+AW27+AW28+AW29-AW31</f>
        <v/>
      </c>
      <c r="AX32" s="13">
        <f>AX22+AX23+AX24+AX25+AX26+AX27+AX28+AX29-AX31</f>
        <v/>
      </c>
      <c r="AY32" s="13">
        <f>AY22+AY23+AY24+AY25+AY26+AY27+AY28+AY29-AY31</f>
        <v/>
      </c>
      <c r="AZ32" s="13">
        <f>AZ22+AZ23+AZ24+AZ25+AZ26+AZ27+AZ28+AZ29-AZ31</f>
        <v/>
      </c>
      <c r="BA32" s="13">
        <f>BA22+BA23+BA24+BA25+BA26+BA27+BA28+BA29-BA31</f>
        <v/>
      </c>
      <c r="BB32" s="13">
        <f>BB22+BB23+BB24+BB25+BB26+BB27+BB28+BB29-BB31</f>
        <v/>
      </c>
      <c r="BC32" s="13">
        <f>BC22+BC23+BC24+BC25+BC26+BC27+BC28+BC29-BC31</f>
        <v/>
      </c>
      <c r="BD32" s="13">
        <f>BD22+BD23+BD24+BD25+BD26+BD27+BD28+BD29-BD31</f>
        <v/>
      </c>
      <c r="BE32" s="13">
        <f>BE22+BE23+BE24+BE25+BE26+BE27+BE28+BE29-BE31</f>
        <v/>
      </c>
      <c r="BF32" s="13">
        <f>BF22+BF23+BF24+BF25+BF26+BF27+BF28+BF29-BF31</f>
        <v/>
      </c>
      <c r="BG32" s="13">
        <f>BG22+BG23+BG24+BG25+BG26+BG27+BG28+BG29-BG31</f>
        <v/>
      </c>
      <c r="BH32" s="13">
        <f>BH22+BH23+BH24+BH25+BH26+BH27+BH28+BH29-BH31</f>
        <v/>
      </c>
      <c r="BI32" s="13">
        <f>BI22+BI23+BI24+BI25+BI26+BI27+BI28+BI29-BI31</f>
        <v/>
      </c>
      <c r="BJ32" s="13">
        <f>BJ22+BJ23+BJ24+BJ25+BJ26+BJ27+BJ28+BJ29-BJ31</f>
        <v/>
      </c>
    </row>
    <row r="33">
      <c r="B33" s="2" t="inlineStr">
        <is>
          <t>VAT on onshore EPC (KCR m) and UBK VAT facility</t>
        </is>
      </c>
    </row>
    <row r="34">
      <c r="D34" t="inlineStr">
        <is>
          <t>Onshore EPC payments</t>
        </is>
      </c>
      <c r="E34" t="inlineStr">
        <is>
          <t>KCR m</t>
        </is>
      </c>
      <c r="G34" s="13">
        <f>SUM(J34:BJ34)</f>
        <v/>
      </c>
      <c r="J34" s="13">
        <f>J20/100*Inputs!$F$59*Inputs!$F$60*Inputs!$F$36</f>
        <v/>
      </c>
      <c r="K34" s="13">
        <f>K20/100*Inputs!$F$59*Inputs!$F$60*Inputs!$F$36</f>
        <v/>
      </c>
      <c r="L34" s="13">
        <f>L20/100*Inputs!$F$59*Inputs!$F$60*Inputs!$F$36</f>
        <v/>
      </c>
      <c r="M34" s="13">
        <f>M20/100*Inputs!$F$59*Inputs!$F$60*Inputs!$F$36</f>
        <v/>
      </c>
      <c r="N34" s="13">
        <f>N20/100*Inputs!$F$59*Inputs!$F$60*Inputs!$F$36</f>
        <v/>
      </c>
      <c r="O34" s="13">
        <f>O20/100*Inputs!$F$59*Inputs!$F$60*Inputs!$F$36</f>
        <v/>
      </c>
      <c r="P34" s="13">
        <f>P20/100*Inputs!$F$59*Inputs!$F$60*Inputs!$F$36</f>
        <v/>
      </c>
      <c r="Q34" s="13">
        <f>Q20/100*Inputs!$F$59*Inputs!$F$60*Inputs!$F$36</f>
        <v/>
      </c>
      <c r="R34" s="13">
        <f>R20/100*Inputs!$F$59*Inputs!$F$60*Inputs!$F$36</f>
        <v/>
      </c>
      <c r="S34" s="13">
        <f>S20/100*Inputs!$F$59*Inputs!$F$60*Inputs!$F$36</f>
        <v/>
      </c>
      <c r="T34" s="13">
        <f>T20/100*Inputs!$F$59*Inputs!$F$60*Inputs!$F$36</f>
        <v/>
      </c>
      <c r="U34" s="13">
        <f>U20/100*Inputs!$F$59*Inputs!$F$60*Inputs!$F$36</f>
        <v/>
      </c>
      <c r="V34" s="13">
        <f>V20/100*Inputs!$F$59*Inputs!$F$60*Inputs!$F$36</f>
        <v/>
      </c>
      <c r="W34" s="13">
        <f>W20/100*Inputs!$F$59*Inputs!$F$60*Inputs!$F$36</f>
        <v/>
      </c>
      <c r="X34" s="13">
        <f>X20/100*Inputs!$F$59*Inputs!$F$60*Inputs!$F$36</f>
        <v/>
      </c>
      <c r="Y34" s="13">
        <f>Y20/100*Inputs!$F$59*Inputs!$F$60*Inputs!$F$36</f>
        <v/>
      </c>
      <c r="Z34" s="13">
        <f>Z20/100*Inputs!$F$59*Inputs!$F$60*Inputs!$F$36</f>
        <v/>
      </c>
      <c r="AA34" s="13">
        <f>AA20/100*Inputs!$F$59*Inputs!$F$60*Inputs!$F$36</f>
        <v/>
      </c>
      <c r="AB34" s="13">
        <f>AB20/100*Inputs!$F$59*Inputs!$F$60*Inputs!$F$36</f>
        <v/>
      </c>
      <c r="AC34" s="13">
        <f>AC20/100*Inputs!$F$59*Inputs!$F$60*Inputs!$F$36</f>
        <v/>
      </c>
      <c r="AD34" s="13">
        <f>AD20/100*Inputs!$F$59*Inputs!$F$60*Inputs!$F$36</f>
        <v/>
      </c>
      <c r="AE34" s="13">
        <f>AE20/100*Inputs!$F$59*Inputs!$F$60*Inputs!$F$36</f>
        <v/>
      </c>
      <c r="AF34" s="13">
        <f>AF20/100*Inputs!$F$59*Inputs!$F$60*Inputs!$F$36</f>
        <v/>
      </c>
      <c r="AG34" s="13">
        <f>AG20/100*Inputs!$F$59*Inputs!$F$60*Inputs!$F$36</f>
        <v/>
      </c>
      <c r="AH34" s="13">
        <f>AH20/100*Inputs!$F$59*Inputs!$F$60*Inputs!$F$36</f>
        <v/>
      </c>
      <c r="AI34" s="13">
        <f>AI20/100*Inputs!$F$59*Inputs!$F$60*Inputs!$F$36</f>
        <v/>
      </c>
      <c r="AJ34" s="13">
        <f>AJ20/100*Inputs!$F$59*Inputs!$F$60*Inputs!$F$36</f>
        <v/>
      </c>
      <c r="AK34" s="13">
        <f>AK20/100*Inputs!$F$59*Inputs!$F$60*Inputs!$F$36</f>
        <v/>
      </c>
      <c r="AL34" s="13">
        <f>AL20/100*Inputs!$F$59*Inputs!$F$60*Inputs!$F$36</f>
        <v/>
      </c>
      <c r="AM34" s="13">
        <f>AM20/100*Inputs!$F$59*Inputs!$F$60*Inputs!$F$36</f>
        <v/>
      </c>
      <c r="AN34" s="13">
        <f>AN20/100*Inputs!$F$59*Inputs!$F$60*Inputs!$F$36</f>
        <v/>
      </c>
      <c r="AO34" s="13">
        <f>AO20/100*Inputs!$F$59*Inputs!$F$60*Inputs!$F$36</f>
        <v/>
      </c>
      <c r="AP34" s="13">
        <f>AP20/100*Inputs!$F$59*Inputs!$F$60*Inputs!$F$36</f>
        <v/>
      </c>
      <c r="AQ34" s="13">
        <f>AQ20/100*Inputs!$F$59*Inputs!$F$60*Inputs!$F$36</f>
        <v/>
      </c>
      <c r="AR34" s="13">
        <f>AR20/100*Inputs!$F$59*Inputs!$F$60*Inputs!$F$36</f>
        <v/>
      </c>
      <c r="AS34" s="13">
        <f>AS20/100*Inputs!$F$59*Inputs!$F$60*Inputs!$F$36</f>
        <v/>
      </c>
      <c r="AT34" s="13">
        <f>AT20/100*Inputs!$F$59*Inputs!$F$60*Inputs!$F$36</f>
        <v/>
      </c>
      <c r="AU34" s="13">
        <f>AU20/100*Inputs!$F$59*Inputs!$F$60*Inputs!$F$36</f>
        <v/>
      </c>
      <c r="AV34" s="13">
        <f>AV20/100*Inputs!$F$59*Inputs!$F$60*Inputs!$F$36</f>
        <v/>
      </c>
      <c r="AW34" s="13">
        <f>AW20/100*Inputs!$F$59*Inputs!$F$60*Inputs!$F$36</f>
        <v/>
      </c>
      <c r="AX34" s="13">
        <f>AX20/100*Inputs!$F$59*Inputs!$F$60*Inputs!$F$36</f>
        <v/>
      </c>
      <c r="AY34" s="13">
        <f>AY20/100*Inputs!$F$59*Inputs!$F$60*Inputs!$F$36</f>
        <v/>
      </c>
      <c r="AZ34" s="13">
        <f>AZ20/100*Inputs!$F$59*Inputs!$F$60*Inputs!$F$36</f>
        <v/>
      </c>
      <c r="BA34" s="13">
        <f>BA20/100*Inputs!$F$59*Inputs!$F$60*Inputs!$F$36</f>
        <v/>
      </c>
      <c r="BB34" s="13">
        <f>BB20/100*Inputs!$F$59*Inputs!$F$60*Inputs!$F$36</f>
        <v/>
      </c>
      <c r="BC34" s="13">
        <f>BC20/100*Inputs!$F$59*Inputs!$F$60*Inputs!$F$36</f>
        <v/>
      </c>
      <c r="BD34" s="13">
        <f>BD20/100*Inputs!$F$59*Inputs!$F$60*Inputs!$F$36</f>
        <v/>
      </c>
      <c r="BE34" s="13">
        <f>BE20/100*Inputs!$F$59*Inputs!$F$60*Inputs!$F$36</f>
        <v/>
      </c>
      <c r="BF34" s="13">
        <f>BF20/100*Inputs!$F$59*Inputs!$F$60*Inputs!$F$36</f>
        <v/>
      </c>
      <c r="BG34" s="13">
        <f>BG20/100*Inputs!$F$59*Inputs!$F$60*Inputs!$F$36</f>
        <v/>
      </c>
      <c r="BH34" s="13">
        <f>BH20/100*Inputs!$F$59*Inputs!$F$60*Inputs!$F$36</f>
        <v/>
      </c>
      <c r="BI34" s="13">
        <f>BI20/100*Inputs!$F$59*Inputs!$F$60*Inputs!$F$36</f>
        <v/>
      </c>
      <c r="BJ34" s="13">
        <f>BJ20/100*Inputs!$F$59*Inputs!$F$60*Inputs!$F$36</f>
        <v/>
      </c>
    </row>
    <row r="35">
      <c r="D35" t="inlineStr">
        <is>
          <t>VAT paid (drawn on the VAT facility)</t>
        </is>
      </c>
      <c r="E35" t="inlineStr">
        <is>
          <t>KCR m</t>
        </is>
      </c>
      <c r="G35" s="13">
        <f>SUM(J35:BJ35)</f>
        <v/>
      </c>
      <c r="J35" s="13">
        <f>Inputs!$F$70/100*J34</f>
        <v/>
      </c>
      <c r="K35" s="13">
        <f>Inputs!$F$70/100*K34</f>
        <v/>
      </c>
      <c r="L35" s="13">
        <f>Inputs!$F$70/100*L34</f>
        <v/>
      </c>
      <c r="M35" s="13">
        <f>Inputs!$F$70/100*M34</f>
        <v/>
      </c>
      <c r="N35" s="13">
        <f>Inputs!$F$70/100*N34</f>
        <v/>
      </c>
      <c r="O35" s="13">
        <f>Inputs!$F$70/100*O34</f>
        <v/>
      </c>
      <c r="P35" s="13">
        <f>Inputs!$F$70/100*P34</f>
        <v/>
      </c>
      <c r="Q35" s="13">
        <f>Inputs!$F$70/100*Q34</f>
        <v/>
      </c>
      <c r="R35" s="13">
        <f>Inputs!$F$70/100*R34</f>
        <v/>
      </c>
      <c r="S35" s="13">
        <f>Inputs!$F$70/100*S34</f>
        <v/>
      </c>
      <c r="T35" s="13">
        <f>Inputs!$F$70/100*T34</f>
        <v/>
      </c>
      <c r="U35" s="13">
        <f>Inputs!$F$70/100*U34</f>
        <v/>
      </c>
      <c r="V35" s="13">
        <f>Inputs!$F$70/100*V34</f>
        <v/>
      </c>
      <c r="W35" s="13">
        <f>Inputs!$F$70/100*W34</f>
        <v/>
      </c>
      <c r="X35" s="13">
        <f>Inputs!$F$70/100*X34</f>
        <v/>
      </c>
      <c r="Y35" s="13">
        <f>Inputs!$F$70/100*Y34</f>
        <v/>
      </c>
      <c r="Z35" s="13">
        <f>Inputs!$F$70/100*Z34</f>
        <v/>
      </c>
      <c r="AA35" s="13">
        <f>Inputs!$F$70/100*AA34</f>
        <v/>
      </c>
      <c r="AB35" s="13">
        <f>Inputs!$F$70/100*AB34</f>
        <v/>
      </c>
      <c r="AC35" s="13">
        <f>Inputs!$F$70/100*AC34</f>
        <v/>
      </c>
      <c r="AD35" s="13">
        <f>Inputs!$F$70/100*AD34</f>
        <v/>
      </c>
      <c r="AE35" s="13">
        <f>Inputs!$F$70/100*AE34</f>
        <v/>
      </c>
      <c r="AF35" s="13">
        <f>Inputs!$F$70/100*AF34</f>
        <v/>
      </c>
      <c r="AG35" s="13">
        <f>Inputs!$F$70/100*AG34</f>
        <v/>
      </c>
      <c r="AH35" s="13">
        <f>Inputs!$F$70/100*AH34</f>
        <v/>
      </c>
      <c r="AI35" s="13">
        <f>Inputs!$F$70/100*AI34</f>
        <v/>
      </c>
      <c r="AJ35" s="13">
        <f>Inputs!$F$70/100*AJ34</f>
        <v/>
      </c>
      <c r="AK35" s="13">
        <f>Inputs!$F$70/100*AK34</f>
        <v/>
      </c>
      <c r="AL35" s="13">
        <f>Inputs!$F$70/100*AL34</f>
        <v/>
      </c>
      <c r="AM35" s="13">
        <f>Inputs!$F$70/100*AM34</f>
        <v/>
      </c>
      <c r="AN35" s="13">
        <f>Inputs!$F$70/100*AN34</f>
        <v/>
      </c>
      <c r="AO35" s="13">
        <f>Inputs!$F$70/100*AO34</f>
        <v/>
      </c>
      <c r="AP35" s="13">
        <f>Inputs!$F$70/100*AP34</f>
        <v/>
      </c>
      <c r="AQ35" s="13">
        <f>Inputs!$F$70/100*AQ34</f>
        <v/>
      </c>
      <c r="AR35" s="13">
        <f>Inputs!$F$70/100*AR34</f>
        <v/>
      </c>
      <c r="AS35" s="13">
        <f>Inputs!$F$70/100*AS34</f>
        <v/>
      </c>
      <c r="AT35" s="13">
        <f>Inputs!$F$70/100*AT34</f>
        <v/>
      </c>
      <c r="AU35" s="13">
        <f>Inputs!$F$70/100*AU34</f>
        <v/>
      </c>
      <c r="AV35" s="13">
        <f>Inputs!$F$70/100*AV34</f>
        <v/>
      </c>
      <c r="AW35" s="13">
        <f>Inputs!$F$70/100*AW34</f>
        <v/>
      </c>
      <c r="AX35" s="13">
        <f>Inputs!$F$70/100*AX34</f>
        <v/>
      </c>
      <c r="AY35" s="13">
        <f>Inputs!$F$70/100*AY34</f>
        <v/>
      </c>
      <c r="AZ35" s="13">
        <f>Inputs!$F$70/100*AZ34</f>
        <v/>
      </c>
      <c r="BA35" s="13">
        <f>Inputs!$F$70/100*BA34</f>
        <v/>
      </c>
      <c r="BB35" s="13">
        <f>Inputs!$F$70/100*BB34</f>
        <v/>
      </c>
      <c r="BC35" s="13">
        <f>Inputs!$F$70/100*BC34</f>
        <v/>
      </c>
      <c r="BD35" s="13">
        <f>Inputs!$F$70/100*BD34</f>
        <v/>
      </c>
      <c r="BE35" s="13">
        <f>Inputs!$F$70/100*BE34</f>
        <v/>
      </c>
      <c r="BF35" s="13">
        <f>Inputs!$F$70/100*BF34</f>
        <v/>
      </c>
      <c r="BG35" s="13">
        <f>Inputs!$F$70/100*BG34</f>
        <v/>
      </c>
      <c r="BH35" s="13">
        <f>Inputs!$F$70/100*BH34</f>
        <v/>
      </c>
      <c r="BI35" s="13">
        <f>Inputs!$F$70/100*BI34</f>
        <v/>
      </c>
      <c r="BJ35" s="13">
        <f>Inputs!$F$70/100*BJ34</f>
        <v/>
      </c>
    </row>
    <row r="36">
      <c r="D36" t="inlineStr">
        <is>
          <t>VAT refunds (9-month lag) repaying the facility</t>
        </is>
      </c>
      <c r="E36" t="inlineStr">
        <is>
          <t>KCR m</t>
        </is>
      </c>
      <c r="G36" s="13">
        <f>SUM(J36:BJ36)</f>
        <v/>
      </c>
      <c r="J36" s="13">
        <f>SUMIFS($J$35:$BJ$35,$J$8:$BJ$8,J8-Inputs!$F$246)</f>
        <v/>
      </c>
      <c r="K36" s="13">
        <f>SUMIFS($J$35:$BJ$35,$J$8:$BJ$8,K8-Inputs!$F$246)</f>
        <v/>
      </c>
      <c r="L36" s="13">
        <f>SUMIFS($J$35:$BJ$35,$J$8:$BJ$8,L8-Inputs!$F$246)</f>
        <v/>
      </c>
      <c r="M36" s="13">
        <f>SUMIFS($J$35:$BJ$35,$J$8:$BJ$8,M8-Inputs!$F$246)</f>
        <v/>
      </c>
      <c r="N36" s="13">
        <f>SUMIFS($J$35:$BJ$35,$J$8:$BJ$8,N8-Inputs!$F$246)</f>
        <v/>
      </c>
      <c r="O36" s="13">
        <f>SUMIFS($J$35:$BJ$35,$J$8:$BJ$8,O8-Inputs!$F$246)</f>
        <v/>
      </c>
      <c r="P36" s="13">
        <f>SUMIFS($J$35:$BJ$35,$J$8:$BJ$8,P8-Inputs!$F$246)</f>
        <v/>
      </c>
      <c r="Q36" s="13">
        <f>SUMIFS($J$35:$BJ$35,$J$8:$BJ$8,Q8-Inputs!$F$246)</f>
        <v/>
      </c>
      <c r="R36" s="13">
        <f>SUMIFS($J$35:$BJ$35,$J$8:$BJ$8,R8-Inputs!$F$246)</f>
        <v/>
      </c>
      <c r="S36" s="13">
        <f>SUMIFS($J$35:$BJ$35,$J$8:$BJ$8,S8-Inputs!$F$246)</f>
        <v/>
      </c>
      <c r="T36" s="13">
        <f>SUMIFS($J$35:$BJ$35,$J$8:$BJ$8,T8-Inputs!$F$246)</f>
        <v/>
      </c>
      <c r="U36" s="13">
        <f>SUMIFS($J$35:$BJ$35,$J$8:$BJ$8,U8-Inputs!$F$246)</f>
        <v/>
      </c>
      <c r="V36" s="13">
        <f>SUMIFS($J$35:$BJ$35,$J$8:$BJ$8,V8-Inputs!$F$246)</f>
        <v/>
      </c>
      <c r="W36" s="13">
        <f>SUMIFS($J$35:$BJ$35,$J$8:$BJ$8,W8-Inputs!$F$246)</f>
        <v/>
      </c>
      <c r="X36" s="13">
        <f>SUMIFS($J$35:$BJ$35,$J$8:$BJ$8,X8-Inputs!$F$246)</f>
        <v/>
      </c>
      <c r="Y36" s="13">
        <f>SUMIFS($J$35:$BJ$35,$J$8:$BJ$8,Y8-Inputs!$F$246)</f>
        <v/>
      </c>
      <c r="Z36" s="13">
        <f>SUMIFS($J$35:$BJ$35,$J$8:$BJ$8,Z8-Inputs!$F$246)</f>
        <v/>
      </c>
      <c r="AA36" s="13">
        <f>SUMIFS($J$35:$BJ$35,$J$8:$BJ$8,AA8-Inputs!$F$246)</f>
        <v/>
      </c>
      <c r="AB36" s="13">
        <f>SUMIFS($J$35:$BJ$35,$J$8:$BJ$8,AB8-Inputs!$F$246)</f>
        <v/>
      </c>
      <c r="AC36" s="13">
        <f>SUMIFS($J$35:$BJ$35,$J$8:$BJ$8,AC8-Inputs!$F$246)</f>
        <v/>
      </c>
      <c r="AD36" s="13">
        <f>SUMIFS($J$35:$BJ$35,$J$8:$BJ$8,AD8-Inputs!$F$246)</f>
        <v/>
      </c>
      <c r="AE36" s="13">
        <f>SUMIFS($J$35:$BJ$35,$J$8:$BJ$8,AE8-Inputs!$F$246)</f>
        <v/>
      </c>
      <c r="AF36" s="13">
        <f>SUMIFS($J$35:$BJ$35,$J$8:$BJ$8,AF8-Inputs!$F$246)</f>
        <v/>
      </c>
      <c r="AG36" s="13">
        <f>SUMIFS($J$35:$BJ$35,$J$8:$BJ$8,AG8-Inputs!$F$246)</f>
        <v/>
      </c>
      <c r="AH36" s="13">
        <f>SUMIFS($J$35:$BJ$35,$J$8:$BJ$8,AH8-Inputs!$F$246)</f>
        <v/>
      </c>
      <c r="AI36" s="13">
        <f>SUMIFS($J$35:$BJ$35,$J$8:$BJ$8,AI8-Inputs!$F$246)</f>
        <v/>
      </c>
      <c r="AJ36" s="13">
        <f>SUMIFS($J$35:$BJ$35,$J$8:$BJ$8,AJ8-Inputs!$F$246)</f>
        <v/>
      </c>
      <c r="AK36" s="13">
        <f>SUMIFS($J$35:$BJ$35,$J$8:$BJ$8,AK8-Inputs!$F$246)</f>
        <v/>
      </c>
      <c r="AL36" s="13">
        <f>SUMIFS($J$35:$BJ$35,$J$8:$BJ$8,AL8-Inputs!$F$246)</f>
        <v/>
      </c>
      <c r="AM36" s="13">
        <f>SUMIFS($J$35:$BJ$35,$J$8:$BJ$8,AM8-Inputs!$F$246)</f>
        <v/>
      </c>
      <c r="AN36" s="13">
        <f>SUMIFS($J$35:$BJ$35,$J$8:$BJ$8,AN8-Inputs!$F$246)</f>
        <v/>
      </c>
      <c r="AO36" s="13">
        <f>SUMIFS($J$35:$BJ$35,$J$8:$BJ$8,AO8-Inputs!$F$246)</f>
        <v/>
      </c>
      <c r="AP36" s="13">
        <f>SUMIFS($J$35:$BJ$35,$J$8:$BJ$8,AP8-Inputs!$F$246)</f>
        <v/>
      </c>
      <c r="AQ36" s="13">
        <f>SUMIFS($J$35:$BJ$35,$J$8:$BJ$8,AQ8-Inputs!$F$246)</f>
        <v/>
      </c>
      <c r="AR36" s="13">
        <f>SUMIFS($J$35:$BJ$35,$J$8:$BJ$8,AR8-Inputs!$F$246)</f>
        <v/>
      </c>
      <c r="AS36" s="13">
        <f>SUMIFS($J$35:$BJ$35,$J$8:$BJ$8,AS8-Inputs!$F$246)</f>
        <v/>
      </c>
      <c r="AT36" s="13">
        <f>SUMIFS($J$35:$BJ$35,$J$8:$BJ$8,AT8-Inputs!$F$246)</f>
        <v/>
      </c>
      <c r="AU36" s="13">
        <f>SUMIFS($J$35:$BJ$35,$J$8:$BJ$8,AU8-Inputs!$F$246)</f>
        <v/>
      </c>
      <c r="AV36" s="13">
        <f>SUMIFS($J$35:$BJ$35,$J$8:$BJ$8,AV8-Inputs!$F$246)</f>
        <v/>
      </c>
      <c r="AW36" s="13">
        <f>SUMIFS($J$35:$BJ$35,$J$8:$BJ$8,AW8-Inputs!$F$246)</f>
        <v/>
      </c>
      <c r="AX36" s="13">
        <f>SUMIFS($J$35:$BJ$35,$J$8:$BJ$8,AX8-Inputs!$F$246)</f>
        <v/>
      </c>
      <c r="AY36" s="13">
        <f>SUMIFS($J$35:$BJ$35,$J$8:$BJ$8,AY8-Inputs!$F$246)</f>
        <v/>
      </c>
      <c r="AZ36" s="13">
        <f>SUMIFS($J$35:$BJ$35,$J$8:$BJ$8,AZ8-Inputs!$F$246)</f>
        <v/>
      </c>
      <c r="BA36" s="13">
        <f>SUMIFS($J$35:$BJ$35,$J$8:$BJ$8,BA8-Inputs!$F$246)</f>
        <v/>
      </c>
      <c r="BB36" s="13">
        <f>SUMIFS($J$35:$BJ$35,$J$8:$BJ$8,BB8-Inputs!$F$246)</f>
        <v/>
      </c>
      <c r="BC36" s="13">
        <f>SUMIFS($J$35:$BJ$35,$J$8:$BJ$8,BC8-Inputs!$F$246)</f>
        <v/>
      </c>
      <c r="BD36" s="13">
        <f>SUMIFS($J$35:$BJ$35,$J$8:$BJ$8,BD8-Inputs!$F$246)</f>
        <v/>
      </c>
      <c r="BE36" s="13">
        <f>SUMIFS($J$35:$BJ$35,$J$8:$BJ$8,BE8-Inputs!$F$246)</f>
        <v/>
      </c>
      <c r="BF36" s="13">
        <f>SUMIFS($J$35:$BJ$35,$J$8:$BJ$8,BF8-Inputs!$F$246)</f>
        <v/>
      </c>
      <c r="BG36" s="13">
        <f>SUMIFS($J$35:$BJ$35,$J$8:$BJ$8,BG8-Inputs!$F$246)</f>
        <v/>
      </c>
      <c r="BH36" s="13">
        <f>SUMIFS($J$35:$BJ$35,$J$8:$BJ$8,BH8-Inputs!$F$246)</f>
        <v/>
      </c>
      <c r="BI36" s="13">
        <f>SUMIFS($J$35:$BJ$35,$J$8:$BJ$8,BI8-Inputs!$F$246)</f>
        <v/>
      </c>
      <c r="BJ36" s="13">
        <f>SUMIFS($J$35:$BJ$35,$J$8:$BJ$8,BJ8-Inputs!$F$246)</f>
        <v/>
      </c>
    </row>
    <row r="37">
      <c r="D37" t="inlineStr">
        <is>
          <t>VAT facility balance</t>
        </is>
      </c>
      <c r="E37" t="inlineStr">
        <is>
          <t>KCR m</t>
        </is>
      </c>
      <c r="J37" s="13">
        <f>I37+J35-J36</f>
        <v/>
      </c>
      <c r="K37" s="13">
        <f>J37+K35-K36</f>
        <v/>
      </c>
      <c r="L37" s="13">
        <f>K37+L35-L36</f>
        <v/>
      </c>
      <c r="M37" s="13">
        <f>L37+M35-M36</f>
        <v/>
      </c>
      <c r="N37" s="13">
        <f>M37+N35-N36</f>
        <v/>
      </c>
      <c r="O37" s="13">
        <f>N37+O35-O36</f>
        <v/>
      </c>
      <c r="P37" s="13">
        <f>O37+P35-P36</f>
        <v/>
      </c>
      <c r="Q37" s="13">
        <f>P37+Q35-Q36</f>
        <v/>
      </c>
      <c r="R37" s="13">
        <f>Q37+R35-R36</f>
        <v/>
      </c>
      <c r="S37" s="13">
        <f>R37+S35-S36</f>
        <v/>
      </c>
      <c r="T37" s="13">
        <f>S37+T35-T36</f>
        <v/>
      </c>
      <c r="U37" s="13">
        <f>T37+U35-U36</f>
        <v/>
      </c>
      <c r="V37" s="13">
        <f>U37+V35-V36</f>
        <v/>
      </c>
      <c r="W37" s="13">
        <f>V37+W35-W36</f>
        <v/>
      </c>
      <c r="X37" s="13">
        <f>W37+X35-X36</f>
        <v/>
      </c>
      <c r="Y37" s="13">
        <f>X37+Y35-Y36</f>
        <v/>
      </c>
      <c r="Z37" s="13">
        <f>Y37+Z35-Z36</f>
        <v/>
      </c>
      <c r="AA37" s="13">
        <f>Z37+AA35-AA36</f>
        <v/>
      </c>
      <c r="AB37" s="13">
        <f>AA37+AB35-AB36</f>
        <v/>
      </c>
      <c r="AC37" s="13">
        <f>AB37+AC35-AC36</f>
        <v/>
      </c>
      <c r="AD37" s="13">
        <f>AC37+AD35-AD36</f>
        <v/>
      </c>
      <c r="AE37" s="13">
        <f>AD37+AE35-AE36</f>
        <v/>
      </c>
      <c r="AF37" s="13">
        <f>AE37+AF35-AF36</f>
        <v/>
      </c>
      <c r="AG37" s="13">
        <f>AF37+AG35-AG36</f>
        <v/>
      </c>
      <c r="AH37" s="13">
        <f>AG37+AH35-AH36</f>
        <v/>
      </c>
      <c r="AI37" s="13">
        <f>AH37+AI35-AI36</f>
        <v/>
      </c>
      <c r="AJ37" s="13">
        <f>AI37+AJ35-AJ36</f>
        <v/>
      </c>
      <c r="AK37" s="13">
        <f>AJ37+AK35-AK36</f>
        <v/>
      </c>
      <c r="AL37" s="13">
        <f>AK37+AL35-AL36</f>
        <v/>
      </c>
      <c r="AM37" s="13">
        <f>AL37+AM35-AM36</f>
        <v/>
      </c>
      <c r="AN37" s="13">
        <f>AM37+AN35-AN36</f>
        <v/>
      </c>
      <c r="AO37" s="13">
        <f>AN37+AO35-AO36</f>
        <v/>
      </c>
      <c r="AP37" s="13">
        <f>AO37+AP35-AP36</f>
        <v/>
      </c>
      <c r="AQ37" s="13">
        <f>AP37+AQ35-AQ36</f>
        <v/>
      </c>
      <c r="AR37" s="13">
        <f>AQ37+AR35-AR36</f>
        <v/>
      </c>
      <c r="AS37" s="13">
        <f>AR37+AS35-AS36</f>
        <v/>
      </c>
      <c r="AT37" s="13">
        <f>AS37+AT35-AT36</f>
        <v/>
      </c>
      <c r="AU37" s="13">
        <f>AT37+AU35-AU36</f>
        <v/>
      </c>
      <c r="AV37" s="13">
        <f>AU37+AV35-AV36</f>
        <v/>
      </c>
      <c r="AW37" s="13">
        <f>AV37+AW35-AW36</f>
        <v/>
      </c>
      <c r="AX37" s="13">
        <f>AW37+AX35-AX36</f>
        <v/>
      </c>
      <c r="AY37" s="13">
        <f>AX37+AY35-AY36</f>
        <v/>
      </c>
      <c r="AZ37" s="13">
        <f>AY37+AZ35-AZ36</f>
        <v/>
      </c>
      <c r="BA37" s="13">
        <f>AZ37+BA35-BA36</f>
        <v/>
      </c>
      <c r="BB37" s="13">
        <f>BA37+BB35-BB36</f>
        <v/>
      </c>
      <c r="BC37" s="13">
        <f>BB37+BC35-BC36</f>
        <v/>
      </c>
      <c r="BD37" s="13">
        <f>BC37+BD35-BD36</f>
        <v/>
      </c>
      <c r="BE37" s="13">
        <f>BD37+BE35-BE36</f>
        <v/>
      </c>
      <c r="BF37" s="13">
        <f>BE37+BF35-BF36</f>
        <v/>
      </c>
      <c r="BG37" s="13">
        <f>BF37+BG35-BG36</f>
        <v/>
      </c>
      <c r="BH37" s="13">
        <f>BG37+BH35-BH36</f>
        <v/>
      </c>
      <c r="BI37" s="13">
        <f>BH37+BI35-BI36</f>
        <v/>
      </c>
      <c r="BJ37" s="13">
        <f>BI37+BJ35-BJ36</f>
        <v/>
      </c>
    </row>
    <row r="38">
      <c r="D38" t="inlineStr">
        <is>
          <t>VAT facility interest</t>
        </is>
      </c>
      <c r="E38" t="inlineStr">
        <is>
          <t>USD m</t>
        </is>
      </c>
      <c r="G38" s="13">
        <f>SUM(J38:BJ38)</f>
        <v/>
      </c>
      <c r="J38" s="13">
        <f>I37*(J18+Inputs!$F$71)/100*J11/Inputs!$F$248/J16</f>
        <v/>
      </c>
      <c r="K38" s="13">
        <f>J37*(K18+Inputs!$F$71)/100*K11/Inputs!$F$248/K16</f>
        <v/>
      </c>
      <c r="L38" s="13">
        <f>K37*(L18+Inputs!$F$71)/100*L11/Inputs!$F$248/L16</f>
        <v/>
      </c>
      <c r="M38" s="13">
        <f>L37*(M18+Inputs!$F$71)/100*M11/Inputs!$F$248/M16</f>
        <v/>
      </c>
      <c r="N38" s="13">
        <f>M37*(N18+Inputs!$F$71)/100*N11/Inputs!$F$248/N16</f>
        <v/>
      </c>
      <c r="O38" s="13">
        <f>N37*(O18+Inputs!$F$71)/100*O11/Inputs!$F$248/O16</f>
        <v/>
      </c>
      <c r="P38" s="13">
        <f>O37*(P18+Inputs!$F$71)/100*P11/Inputs!$F$248/P16</f>
        <v/>
      </c>
      <c r="Q38" s="13">
        <f>P37*(Q18+Inputs!$F$71)/100*Q11/Inputs!$F$248/Q16</f>
        <v/>
      </c>
      <c r="R38" s="13">
        <f>Q37*(R18+Inputs!$F$71)/100*R11/Inputs!$F$248/R16</f>
        <v/>
      </c>
      <c r="S38" s="13">
        <f>R37*(S18+Inputs!$F$71)/100*S11/Inputs!$F$248/S16</f>
        <v/>
      </c>
      <c r="T38" s="13">
        <f>S37*(T18+Inputs!$F$71)/100*T11/Inputs!$F$248/T16</f>
        <v/>
      </c>
      <c r="U38" s="13">
        <f>T37*(U18+Inputs!$F$71)/100*U11/Inputs!$F$248/U16</f>
        <v/>
      </c>
      <c r="V38" s="13">
        <f>U37*(V18+Inputs!$F$71)/100*V11/Inputs!$F$248/V16</f>
        <v/>
      </c>
      <c r="W38" s="13">
        <f>V37*(W18+Inputs!$F$71)/100*W11/Inputs!$F$248/W16</f>
        <v/>
      </c>
      <c r="X38" s="13">
        <f>W37*(X18+Inputs!$F$71)/100*X11/Inputs!$F$248/X16</f>
        <v/>
      </c>
      <c r="Y38" s="13">
        <f>X37*(Y18+Inputs!$F$71)/100*Y11/Inputs!$F$248/Y16</f>
        <v/>
      </c>
      <c r="Z38" s="13">
        <f>Y37*(Z18+Inputs!$F$71)/100*Z11/Inputs!$F$248/Z16</f>
        <v/>
      </c>
      <c r="AA38" s="13">
        <f>Z37*(AA18+Inputs!$F$71)/100*AA11/Inputs!$F$248/AA16</f>
        <v/>
      </c>
      <c r="AB38" s="13">
        <f>AA37*(AB18+Inputs!$F$71)/100*AB11/Inputs!$F$248/AB16</f>
        <v/>
      </c>
      <c r="AC38" s="13">
        <f>AB37*(AC18+Inputs!$F$71)/100*AC11/Inputs!$F$248/AC16</f>
        <v/>
      </c>
      <c r="AD38" s="13">
        <f>AC37*(AD18+Inputs!$F$71)/100*AD11/Inputs!$F$248/AD16</f>
        <v/>
      </c>
      <c r="AE38" s="13">
        <f>AD37*(AE18+Inputs!$F$71)/100*AE11/Inputs!$F$248/AE16</f>
        <v/>
      </c>
      <c r="AF38" s="13">
        <f>AE37*(AF18+Inputs!$F$71)/100*AF11/Inputs!$F$248/AF16</f>
        <v/>
      </c>
      <c r="AG38" s="13">
        <f>AF37*(AG18+Inputs!$F$71)/100*AG11/Inputs!$F$248/AG16</f>
        <v/>
      </c>
      <c r="AH38" s="13">
        <f>AG37*(AH18+Inputs!$F$71)/100*AH11/Inputs!$F$248/AH16</f>
        <v/>
      </c>
      <c r="AI38" s="13">
        <f>AH37*(AI18+Inputs!$F$71)/100*AI11/Inputs!$F$248/AI16</f>
        <v/>
      </c>
      <c r="AJ38" s="13">
        <f>AI37*(AJ18+Inputs!$F$71)/100*AJ11/Inputs!$F$248/AJ16</f>
        <v/>
      </c>
      <c r="AK38" s="13">
        <f>AJ37*(AK18+Inputs!$F$71)/100*AK11/Inputs!$F$248/AK16</f>
        <v/>
      </c>
      <c r="AL38" s="13">
        <f>AK37*(AL18+Inputs!$F$71)/100*AL11/Inputs!$F$248/AL16</f>
        <v/>
      </c>
      <c r="AM38" s="13">
        <f>AL37*(AM18+Inputs!$F$71)/100*AM11/Inputs!$F$248/AM16</f>
        <v/>
      </c>
      <c r="AN38" s="13">
        <f>AM37*(AN18+Inputs!$F$71)/100*AN11/Inputs!$F$248/AN16</f>
        <v/>
      </c>
      <c r="AO38" s="13">
        <f>AN37*(AO18+Inputs!$F$71)/100*AO11/Inputs!$F$248/AO16</f>
        <v/>
      </c>
      <c r="AP38" s="13">
        <f>AO37*(AP18+Inputs!$F$71)/100*AP11/Inputs!$F$248/AP16</f>
        <v/>
      </c>
      <c r="AQ38" s="13">
        <f>AP37*(AQ18+Inputs!$F$71)/100*AQ11/Inputs!$F$248/AQ16</f>
        <v/>
      </c>
      <c r="AR38" s="13">
        <f>AQ37*(AR18+Inputs!$F$71)/100*AR11/Inputs!$F$248/AR16</f>
        <v/>
      </c>
      <c r="AS38" s="13">
        <f>AR37*(AS18+Inputs!$F$71)/100*AS11/Inputs!$F$248/AS16</f>
        <v/>
      </c>
      <c r="AT38" s="13">
        <f>AS37*(AT18+Inputs!$F$71)/100*AT11/Inputs!$F$248/AT16</f>
        <v/>
      </c>
      <c r="AU38" s="13">
        <f>AT37*(AU18+Inputs!$F$71)/100*AU11/Inputs!$F$248/AU16</f>
        <v/>
      </c>
      <c r="AV38" s="13">
        <f>AU37*(AV18+Inputs!$F$71)/100*AV11/Inputs!$F$248/AV16</f>
        <v/>
      </c>
      <c r="AW38" s="13">
        <f>AV37*(AW18+Inputs!$F$71)/100*AW11/Inputs!$F$248/AW16</f>
        <v/>
      </c>
      <c r="AX38" s="13">
        <f>AW37*(AX18+Inputs!$F$71)/100*AX11/Inputs!$F$248/AX16</f>
        <v/>
      </c>
      <c r="AY38" s="13">
        <f>AX37*(AY18+Inputs!$F$71)/100*AY11/Inputs!$F$248/AY16</f>
        <v/>
      </c>
      <c r="AZ38" s="13">
        <f>AY37*(AZ18+Inputs!$F$71)/100*AZ11/Inputs!$F$248/AZ16</f>
        <v/>
      </c>
      <c r="BA38" s="13">
        <f>AZ37*(BA18+Inputs!$F$71)/100*BA11/Inputs!$F$248/BA16</f>
        <v/>
      </c>
      <c r="BB38" s="13">
        <f>BA37*(BB18+Inputs!$F$71)/100*BB11/Inputs!$F$248/BB16</f>
        <v/>
      </c>
      <c r="BC38" s="13">
        <f>BB37*(BC18+Inputs!$F$71)/100*BC11/Inputs!$F$248/BC16</f>
        <v/>
      </c>
      <c r="BD38" s="13">
        <f>BC37*(BD18+Inputs!$F$71)/100*BD11/Inputs!$F$248/BD16</f>
        <v/>
      </c>
      <c r="BE38" s="13">
        <f>BD37*(BE18+Inputs!$F$71)/100*BE11/Inputs!$F$248/BE16</f>
        <v/>
      </c>
      <c r="BF38" s="13">
        <f>BE37*(BF18+Inputs!$F$71)/100*BF11/Inputs!$F$248/BF16</f>
        <v/>
      </c>
      <c r="BG38" s="13">
        <f>BF37*(BG18+Inputs!$F$71)/100*BG11/Inputs!$F$248/BG16</f>
        <v/>
      </c>
      <c r="BH38" s="13">
        <f>BG37*(BH18+Inputs!$F$71)/100*BH11/Inputs!$F$248/BH16</f>
        <v/>
      </c>
      <c r="BI38" s="13">
        <f>BH37*(BI18+Inputs!$F$71)/100*BI11/Inputs!$F$248/BI16</f>
        <v/>
      </c>
      <c r="BJ38" s="13">
        <f>BI37*(BJ18+Inputs!$F$71)/100*BJ11/Inputs!$F$248/BJ16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3">
        <f>CHOOSE(Inputs!$F$33,Inputs!J291,Inputs!J292,Inputs!J293)</f>
        <v/>
      </c>
      <c r="K8" s="13">
        <f>CHOOSE(Inputs!$F$33,Inputs!K291,Inputs!K292,Inputs!K293)</f>
        <v/>
      </c>
      <c r="L8" s="13">
        <f>CHOOSE(Inputs!$F$33,Inputs!L291,Inputs!L292,Inputs!L293)</f>
        <v/>
      </c>
      <c r="M8" s="13">
        <f>CHOOSE(Inputs!$F$33,Inputs!M291,Inputs!M292,Inputs!M293)</f>
        <v/>
      </c>
      <c r="N8" s="13">
        <f>CHOOSE(Inputs!$F$33,Inputs!N291,Inputs!N292,Inputs!N293)</f>
        <v/>
      </c>
      <c r="O8" s="13">
        <f>CHOOSE(Inputs!$F$33,Inputs!O291,Inputs!O292,Inputs!O293)</f>
        <v/>
      </c>
      <c r="P8" s="13">
        <f>CHOOSE(Inputs!$F$33,Inputs!P291,Inputs!P292,Inputs!P293)</f>
        <v/>
      </c>
      <c r="Q8" s="13">
        <f>CHOOSE(Inputs!$F$33,Inputs!Q291,Inputs!Q292,Inputs!Q293)</f>
        <v/>
      </c>
      <c r="R8" s="13">
        <f>CHOOSE(Inputs!$F$33,Inputs!R291,Inputs!R292,Inputs!R293)</f>
        <v/>
      </c>
      <c r="S8" s="13">
        <f>CHOOSE(Inputs!$F$33,Inputs!S291,Inputs!S292,Inputs!S293)</f>
        <v/>
      </c>
      <c r="T8" s="13">
        <f>CHOOSE(Inputs!$F$33,Inputs!T291,Inputs!T292,Inputs!T293)</f>
        <v/>
      </c>
      <c r="U8" s="13">
        <f>CHOOSE(Inputs!$F$33,Inputs!U291,Inputs!U292,Inputs!U293)</f>
        <v/>
      </c>
      <c r="V8" s="13">
        <f>CHOOSE(Inputs!$F$33,Inputs!V291,Inputs!V292,Inputs!V293)</f>
        <v/>
      </c>
      <c r="W8" s="13">
        <f>CHOOSE(Inputs!$F$33,Inputs!W291,Inputs!W292,Inputs!W293)</f>
        <v/>
      </c>
      <c r="X8" s="13">
        <f>CHOOSE(Inputs!$F$33,Inputs!X291,Inputs!X292,Inputs!X293)</f>
        <v/>
      </c>
      <c r="Y8" s="13">
        <f>CHOOSE(Inputs!$F$33,Inputs!Y291,Inputs!Y292,Inputs!Y293)</f>
        <v/>
      </c>
      <c r="Z8" s="13">
        <f>CHOOSE(Inputs!$F$33,Inputs!Z291,Inputs!Z292,Inputs!Z293)</f>
        <v/>
      </c>
      <c r="AA8" s="13">
        <f>CHOOSE(Inputs!$F$33,Inputs!AA291,Inputs!AA292,Inputs!AA293)</f>
        <v/>
      </c>
      <c r="AB8" s="13">
        <f>CHOOSE(Inputs!$F$33,Inputs!AB291,Inputs!AB292,Inputs!AB293)</f>
        <v/>
      </c>
      <c r="AC8" s="13">
        <f>CHOOSE(Inputs!$F$33,Inputs!AC291,Inputs!AC292,Inputs!AC293)</f>
        <v/>
      </c>
      <c r="AD8" s="13">
        <f>CHOOSE(Inputs!$F$33,Inputs!AD291,Inputs!AD292,Inputs!AD293)</f>
        <v/>
      </c>
      <c r="AE8" s="13">
        <f>CHOOSE(Inputs!$F$33,Inputs!AE291,Inputs!AE292,Inputs!AE293)</f>
        <v/>
      </c>
      <c r="AF8" s="13">
        <f>CHOOSE(Inputs!$F$33,Inputs!AF291,Inputs!AF292,Inputs!AF293)</f>
        <v/>
      </c>
      <c r="AG8" s="13">
        <f>CHOOSE(Inputs!$F$33,Inputs!AG291,Inputs!AG292,Inputs!AG293)</f>
        <v/>
      </c>
      <c r="AH8" s="13">
        <f>CHOOSE(Inputs!$F$33,Inputs!AH291,Inputs!AH292,Inputs!AH293)</f>
        <v/>
      </c>
      <c r="AI8" s="13">
        <f>CHOOSE(Inputs!$F$33,Inputs!AI291,Inputs!AI292,Inputs!AI293)</f>
        <v/>
      </c>
      <c r="AJ8" s="13">
        <f>CHOOSE(Inputs!$F$33,Inputs!AJ291,Inputs!AJ292,Inputs!AJ293)</f>
        <v/>
      </c>
      <c r="AK8" s="13">
        <f>CHOOSE(Inputs!$F$33,Inputs!AK291,Inputs!AK292,Inputs!AK293)</f>
        <v/>
      </c>
      <c r="AL8" s="13">
        <f>CHOOSE(Inputs!$F$33,Inputs!AL291,Inputs!AL292,Inputs!AL293)</f>
        <v/>
      </c>
      <c r="AM8" s="13">
        <f>CHOOSE(Inputs!$F$33,Inputs!AM291,Inputs!AM292,Inputs!AM293)</f>
        <v/>
      </c>
      <c r="AN8" s="13">
        <f>CHOOSE(Inputs!$F$33,Inputs!AN291,Inputs!AN292,Inputs!AN293)</f>
        <v/>
      </c>
      <c r="AO8" s="13">
        <f>CHOOSE(Inputs!$F$33,Inputs!AO291,Inputs!AO292,Inputs!AO293)</f>
        <v/>
      </c>
      <c r="AP8" s="13">
        <f>CHOOSE(Inputs!$F$33,Inputs!AP291,Inputs!AP292,Inputs!AP293)</f>
        <v/>
      </c>
      <c r="AQ8" s="13">
        <f>CHOOSE(Inputs!$F$33,Inputs!AQ291,Inputs!AQ292,Inputs!AQ293)</f>
        <v/>
      </c>
      <c r="AR8" s="13">
        <f>CHOOSE(Inputs!$F$33,Inputs!AR291,Inputs!AR292,Inputs!AR293)</f>
        <v/>
      </c>
      <c r="AS8" s="13">
        <f>CHOOSE(Inputs!$F$33,Inputs!AS291,Inputs!AS292,Inputs!AS293)</f>
        <v/>
      </c>
      <c r="AT8" s="13">
        <f>CHOOSE(Inputs!$F$33,Inputs!AT291,Inputs!AT292,Inputs!AT293)</f>
        <v/>
      </c>
      <c r="AU8" s="13">
        <f>CHOOSE(Inputs!$F$33,Inputs!AU291,Inputs!AU292,Inputs!AU293)</f>
        <v/>
      </c>
      <c r="AV8" s="13">
        <f>CHOOSE(Inputs!$F$33,Inputs!AV291,Inputs!AV292,Inputs!AV293)</f>
        <v/>
      </c>
      <c r="AW8" s="13">
        <f>CHOOSE(Inputs!$F$33,Inputs!AW291,Inputs!AW292,Inputs!AW293)</f>
        <v/>
      </c>
      <c r="AX8" s="13">
        <f>CHOOSE(Inputs!$F$33,Inputs!AX291,Inputs!AX292,Inputs!AX293)</f>
        <v/>
      </c>
      <c r="AY8" s="13">
        <f>CHOOSE(Inputs!$F$33,Inputs!AY291,Inputs!AY292,Inputs!AY293)</f>
        <v/>
      </c>
      <c r="AZ8" s="13">
        <f>CHOOSE(Inputs!$F$33,Inputs!AZ291,Inputs!AZ292,Inputs!AZ293)</f>
        <v/>
      </c>
      <c r="BA8" s="13">
        <f>CHOOSE(Inputs!$F$33,Inputs!BA291,Inputs!BA292,Inputs!BA293)</f>
        <v/>
      </c>
      <c r="BB8" s="13">
        <f>CHOOSE(Inputs!$F$33,Inputs!BB291,Inputs!BB292,Inputs!BB293)</f>
        <v/>
      </c>
      <c r="BC8" s="13">
        <f>CHOOSE(Inputs!$F$33,Inputs!BC291,Inputs!BC292,Inputs!BC293)</f>
        <v/>
      </c>
      <c r="BD8" s="13">
        <f>CHOOSE(Inputs!$F$33,Inputs!BD291,Inputs!BD292,Inputs!BD293)</f>
        <v/>
      </c>
      <c r="BE8" s="13">
        <f>CHOOSE(Inputs!$F$33,Inputs!BE291,Inputs!BE292,Inputs!BE293)</f>
        <v/>
      </c>
      <c r="BF8" s="13">
        <f>CHOOSE(Inputs!$F$33,Inputs!BF291,Inputs!BF292,Inputs!BF293)</f>
        <v/>
      </c>
      <c r="BG8" s="13">
        <f>CHOOSE(Inputs!$F$33,Inputs!BG291,Inputs!BG292,Inputs!BG293)</f>
        <v/>
      </c>
      <c r="BH8" s="13">
        <f>CHOOSE(Inputs!$F$33,Inputs!BH291,Inputs!BH292,Inputs!BH293)</f>
        <v/>
      </c>
      <c r="BI8" s="13">
        <f>CHOOSE(Inputs!$F$33,Inputs!BI291,Inputs!BI292,Inputs!BI293)</f>
        <v/>
      </c>
      <c r="BJ8" s="13">
        <f>CHOOSE(Inputs!$F$33,Inputs!BJ291,Inputs!BJ292,Inputs!BJ293)</f>
        <v/>
      </c>
      <c r="BK8" s="13">
        <f>CHOOSE(Inputs!$F$33,Inputs!BK291,Inputs!BK292,Inputs!BK293)</f>
        <v/>
      </c>
      <c r="BL8" s="13">
        <f>CHOOSE(Inputs!$F$33,Inputs!BL291,Inputs!BL292,Inputs!BL293)</f>
        <v/>
      </c>
      <c r="BM8" s="13">
        <f>CHOOSE(Inputs!$F$33,Inputs!BM291,Inputs!BM292,Inputs!BM293)</f>
        <v/>
      </c>
      <c r="BN8" s="13">
        <f>CHOOSE(Inputs!$F$33,Inputs!BN291,Inputs!BN292,Inputs!BN293)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3">
        <f>J8+Inputs!$F$42*Time!J39</f>
        <v/>
      </c>
      <c r="K9" s="13">
        <f>K8+Inputs!$F$42*Time!K39</f>
        <v/>
      </c>
      <c r="L9" s="13">
        <f>L8+Inputs!$F$42*Time!L39</f>
        <v/>
      </c>
      <c r="M9" s="13">
        <f>M8+Inputs!$F$42*Time!M39</f>
        <v/>
      </c>
      <c r="N9" s="13">
        <f>N8+Inputs!$F$42*Time!N39</f>
        <v/>
      </c>
      <c r="O9" s="13">
        <f>O8+Inputs!$F$42*Time!O39</f>
        <v/>
      </c>
      <c r="P9" s="13">
        <f>P8+Inputs!$F$42*Time!P39</f>
        <v/>
      </c>
      <c r="Q9" s="13">
        <f>Q8+Inputs!$F$42*Time!Q39</f>
        <v/>
      </c>
      <c r="R9" s="13">
        <f>R8+Inputs!$F$42*Time!R39</f>
        <v/>
      </c>
      <c r="S9" s="13">
        <f>S8+Inputs!$F$42*Time!S39</f>
        <v/>
      </c>
      <c r="T9" s="13">
        <f>T8+Inputs!$F$42*Time!T39</f>
        <v/>
      </c>
      <c r="U9" s="13">
        <f>U8+Inputs!$F$42*Time!U39</f>
        <v/>
      </c>
      <c r="V9" s="13">
        <f>V8+Inputs!$F$42*Time!V39</f>
        <v/>
      </c>
      <c r="W9" s="13">
        <f>W8+Inputs!$F$42*Time!W39</f>
        <v/>
      </c>
      <c r="X9" s="13">
        <f>X8+Inputs!$F$42*Time!X39</f>
        <v/>
      </c>
      <c r="Y9" s="13">
        <f>Y8+Inputs!$F$42*Time!Y39</f>
        <v/>
      </c>
      <c r="Z9" s="13">
        <f>Z8+Inputs!$F$42*Time!Z39</f>
        <v/>
      </c>
      <c r="AA9" s="13">
        <f>AA8+Inputs!$F$42*Time!AA39</f>
        <v/>
      </c>
      <c r="AB9" s="13">
        <f>AB8+Inputs!$F$42*Time!AB39</f>
        <v/>
      </c>
      <c r="AC9" s="13">
        <f>AC8+Inputs!$F$42*Time!AC39</f>
        <v/>
      </c>
      <c r="AD9" s="13">
        <f>AD8+Inputs!$F$42*Time!AD39</f>
        <v/>
      </c>
      <c r="AE9" s="13">
        <f>AE8+Inputs!$F$42*Time!AE39</f>
        <v/>
      </c>
      <c r="AF9" s="13">
        <f>AF8+Inputs!$F$42*Time!AF39</f>
        <v/>
      </c>
      <c r="AG9" s="13">
        <f>AG8+Inputs!$F$42*Time!AG39</f>
        <v/>
      </c>
      <c r="AH9" s="13">
        <f>AH8+Inputs!$F$42*Time!AH39</f>
        <v/>
      </c>
      <c r="AI9" s="13">
        <f>AI8+Inputs!$F$42*Time!AI39</f>
        <v/>
      </c>
      <c r="AJ9" s="13">
        <f>AJ8+Inputs!$F$42*Time!AJ39</f>
        <v/>
      </c>
      <c r="AK9" s="13">
        <f>AK8+Inputs!$F$42*Time!AK39</f>
        <v/>
      </c>
      <c r="AL9" s="13">
        <f>AL8+Inputs!$F$42*Time!AL39</f>
        <v/>
      </c>
      <c r="AM9" s="13">
        <f>AM8+Inputs!$F$42*Time!AM39</f>
        <v/>
      </c>
      <c r="AN9" s="13">
        <f>AN8+Inputs!$F$42*Time!AN39</f>
        <v/>
      </c>
      <c r="AO9" s="13">
        <f>AO8+Inputs!$F$42*Time!AO39</f>
        <v/>
      </c>
      <c r="AP9" s="13">
        <f>AP8+Inputs!$F$42*Time!AP39</f>
        <v/>
      </c>
      <c r="AQ9" s="13">
        <f>AQ8+Inputs!$F$42*Time!AQ39</f>
        <v/>
      </c>
      <c r="AR9" s="13">
        <f>AR8+Inputs!$F$42*Time!AR39</f>
        <v/>
      </c>
      <c r="AS9" s="13">
        <f>AS8+Inputs!$F$42*Time!AS39</f>
        <v/>
      </c>
      <c r="AT9" s="13">
        <f>AT8+Inputs!$F$42*Time!AT39</f>
        <v/>
      </c>
      <c r="AU9" s="13">
        <f>AU8+Inputs!$F$42*Time!AU39</f>
        <v/>
      </c>
      <c r="AV9" s="13">
        <f>AV8+Inputs!$F$42*Time!AV39</f>
        <v/>
      </c>
      <c r="AW9" s="13">
        <f>AW8+Inputs!$F$42*Time!AW39</f>
        <v/>
      </c>
      <c r="AX9" s="13">
        <f>AX8+Inputs!$F$42*Time!AX39</f>
        <v/>
      </c>
      <c r="AY9" s="13">
        <f>AY8+Inputs!$F$42*Time!AY39</f>
        <v/>
      </c>
      <c r="AZ9" s="13">
        <f>AZ8+Inputs!$F$42*Time!AZ39</f>
        <v/>
      </c>
      <c r="BA9" s="13">
        <f>BA8+Inputs!$F$42*Time!BA39</f>
        <v/>
      </c>
      <c r="BB9" s="13">
        <f>BB8+Inputs!$F$42*Time!BB39</f>
        <v/>
      </c>
      <c r="BC9" s="13">
        <f>BC8+Inputs!$F$42*Time!BC39</f>
        <v/>
      </c>
      <c r="BD9" s="13">
        <f>BD8+Inputs!$F$42*Time!BD39</f>
        <v/>
      </c>
      <c r="BE9" s="13">
        <f>BE8+Inputs!$F$42*Time!BE39</f>
        <v/>
      </c>
      <c r="BF9" s="13">
        <f>BF8+Inputs!$F$42*Time!BF39</f>
        <v/>
      </c>
      <c r="BG9" s="13">
        <f>BG8+Inputs!$F$42*Time!BG39</f>
        <v/>
      </c>
      <c r="BH9" s="13">
        <f>BH8+Inputs!$F$42*Time!BH39</f>
        <v/>
      </c>
      <c r="BI9" s="13">
        <f>BI8+Inputs!$F$42*Time!BI39</f>
        <v/>
      </c>
      <c r="BJ9" s="13">
        <f>BJ8+Inputs!$F$42*Time!BJ39</f>
        <v/>
      </c>
      <c r="BK9" s="13">
        <f>BK8+Inputs!$F$42*Time!BK39</f>
        <v/>
      </c>
      <c r="BL9" s="13">
        <f>BL8+Inputs!$F$42*Time!BL39</f>
        <v/>
      </c>
      <c r="BM9" s="13">
        <f>BM8+Inputs!$F$42*Time!BM39</f>
        <v/>
      </c>
      <c r="BN9" s="13">
        <f>BN8+Inputs!$F$42*Time!BN39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3">
        <f>CHOOSE(Inputs!$F$33,Inputs!$F$60*Time!$F$16^((Time!J20-Inputs!$F$212)*Time!J24),IF(Inputs!J294&gt;0,Inputs!J294,I10*((1+J13/100)/(1+J12/100))^Time!J24),IF(Time!J54=0,Inputs!J294,I10*Time!$F$16^Time!J24))</f>
        <v/>
      </c>
      <c r="K10" s="13">
        <f>CHOOSE(Inputs!$F$33,Inputs!$F$60*Time!$F$16^((Time!K20-Inputs!$F$212)*Time!K24),IF(Inputs!K294&gt;0,Inputs!K294,J10*((1+K13/100)/(1+K12/100))^Time!K24),IF(Time!K54=0,Inputs!K294,J10*Time!$F$16^Time!K24))</f>
        <v/>
      </c>
      <c r="L10" s="13">
        <f>CHOOSE(Inputs!$F$33,Inputs!$F$60*Time!$F$16^((Time!L20-Inputs!$F$212)*Time!L24),IF(Inputs!L294&gt;0,Inputs!L294,K10*((1+L13/100)/(1+L12/100))^Time!L24),IF(Time!L54=0,Inputs!L294,K10*Time!$F$16^Time!L24))</f>
        <v/>
      </c>
      <c r="M10" s="13">
        <f>CHOOSE(Inputs!$F$33,Inputs!$F$60*Time!$F$16^((Time!M20-Inputs!$F$212)*Time!M24),IF(Inputs!M294&gt;0,Inputs!M294,L10*((1+M13/100)/(1+M12/100))^Time!M24),IF(Time!M54=0,Inputs!M294,L10*Time!$F$16^Time!M24))</f>
        <v/>
      </c>
      <c r="N10" s="13">
        <f>CHOOSE(Inputs!$F$33,Inputs!$F$60*Time!$F$16^((Time!N20-Inputs!$F$212)*Time!N24),IF(Inputs!N294&gt;0,Inputs!N294,M10*((1+N13/100)/(1+N12/100))^Time!N24),IF(Time!N54=0,Inputs!N294,M10*Time!$F$16^Time!N24))</f>
        <v/>
      </c>
      <c r="O10" s="13">
        <f>CHOOSE(Inputs!$F$33,Inputs!$F$60*Time!$F$16^((Time!O20-Inputs!$F$212)*Time!O24),IF(Inputs!O294&gt;0,Inputs!O294,N10*((1+O13/100)/(1+O12/100))^Time!O24),IF(Time!O54=0,Inputs!O294,N10*Time!$F$16^Time!O24))</f>
        <v/>
      </c>
      <c r="P10" s="13">
        <f>CHOOSE(Inputs!$F$33,Inputs!$F$60*Time!$F$16^((Time!P20-Inputs!$F$212)*Time!P24),IF(Inputs!P294&gt;0,Inputs!P294,O10*((1+P13/100)/(1+P12/100))^Time!P24),IF(Time!P54=0,Inputs!P294,O10*Time!$F$16^Time!P24))</f>
        <v/>
      </c>
      <c r="Q10" s="13">
        <f>CHOOSE(Inputs!$F$33,Inputs!$F$60*Time!$F$16^((Time!Q20-Inputs!$F$212)*Time!Q24),IF(Inputs!Q294&gt;0,Inputs!Q294,P10*((1+Q13/100)/(1+Q12/100))^Time!Q24),IF(Time!Q54=0,Inputs!Q294,P10*Time!$F$16^Time!Q24))</f>
        <v/>
      </c>
      <c r="R10" s="13">
        <f>CHOOSE(Inputs!$F$33,Inputs!$F$60*Time!$F$16^((Time!R20-Inputs!$F$212)*Time!R24),IF(Inputs!R294&gt;0,Inputs!R294,Q10*((1+R13/100)/(1+R12/100))^Time!R24),IF(Time!R54=0,Inputs!R294,Q10*Time!$F$16^Time!R24))</f>
        <v/>
      </c>
      <c r="S10" s="13">
        <f>CHOOSE(Inputs!$F$33,Inputs!$F$60*Time!$F$16^((Time!S20-Inputs!$F$212)*Time!S24),IF(Inputs!S294&gt;0,Inputs!S294,R10*((1+S13/100)/(1+S12/100))^Time!S24),IF(Time!S54=0,Inputs!S294,R10*Time!$F$16^Time!S24))</f>
        <v/>
      </c>
      <c r="T10" s="13">
        <f>CHOOSE(Inputs!$F$33,Inputs!$F$60*Time!$F$16^((Time!T20-Inputs!$F$212)*Time!T24),IF(Inputs!T294&gt;0,Inputs!T294,S10*((1+T13/100)/(1+T12/100))^Time!T24),IF(Time!T54=0,Inputs!T294,S10*Time!$F$16^Time!T24))</f>
        <v/>
      </c>
      <c r="U10" s="13">
        <f>CHOOSE(Inputs!$F$33,Inputs!$F$60*Time!$F$16^((Time!U20-Inputs!$F$212)*Time!U24),IF(Inputs!U294&gt;0,Inputs!U294,T10*((1+U13/100)/(1+U12/100))^Time!U24),IF(Time!U54=0,Inputs!U294,T10*Time!$F$16^Time!U24))</f>
        <v/>
      </c>
      <c r="V10" s="13">
        <f>CHOOSE(Inputs!$F$33,Inputs!$F$60*Time!$F$16^((Time!V20-Inputs!$F$212)*Time!V24),IF(Inputs!V294&gt;0,Inputs!V294,U10*((1+V13/100)/(1+V12/100))^Time!V24),IF(Time!V54=0,Inputs!V294,U10*Time!$F$16^Time!V24))</f>
        <v/>
      </c>
      <c r="W10" s="13">
        <f>CHOOSE(Inputs!$F$33,Inputs!$F$60*Time!$F$16^((Time!W20-Inputs!$F$212)*Time!W24),IF(Inputs!W294&gt;0,Inputs!W294,V10*((1+W13/100)/(1+W12/100))^Time!W24),IF(Time!W54=0,Inputs!W294,V10*Time!$F$16^Time!W24))</f>
        <v/>
      </c>
      <c r="X10" s="13">
        <f>CHOOSE(Inputs!$F$33,Inputs!$F$60*Time!$F$16^((Time!X20-Inputs!$F$212)*Time!X24),IF(Inputs!X294&gt;0,Inputs!X294,W10*((1+X13/100)/(1+X12/100))^Time!X24),IF(Time!X54=0,Inputs!X294,W10*Time!$F$16^Time!X24))</f>
        <v/>
      </c>
      <c r="Y10" s="13">
        <f>CHOOSE(Inputs!$F$33,Inputs!$F$60*Time!$F$16^((Time!Y20-Inputs!$F$212)*Time!Y24),IF(Inputs!Y294&gt;0,Inputs!Y294,X10*((1+Y13/100)/(1+Y12/100))^Time!Y24),IF(Time!Y54=0,Inputs!Y294,X10*Time!$F$16^Time!Y24))</f>
        <v/>
      </c>
      <c r="Z10" s="13">
        <f>CHOOSE(Inputs!$F$33,Inputs!$F$60*Time!$F$16^((Time!Z20-Inputs!$F$212)*Time!Z24),IF(Inputs!Z294&gt;0,Inputs!Z294,Y10*((1+Z13/100)/(1+Z12/100))^Time!Z24),IF(Time!Z54=0,Inputs!Z294,Y10*Time!$F$16^Time!Z24))</f>
        <v/>
      </c>
      <c r="AA10" s="13">
        <f>CHOOSE(Inputs!$F$33,Inputs!$F$60*Time!$F$16^((Time!AA20-Inputs!$F$212)*Time!AA24),IF(Inputs!AA294&gt;0,Inputs!AA294,Z10*((1+AA13/100)/(1+AA12/100))^Time!AA24),IF(Time!AA54=0,Inputs!AA294,Z10*Time!$F$16^Time!AA24))</f>
        <v/>
      </c>
      <c r="AB10" s="13">
        <f>CHOOSE(Inputs!$F$33,Inputs!$F$60*Time!$F$16^((Time!AB20-Inputs!$F$212)*Time!AB24),IF(Inputs!AB294&gt;0,Inputs!AB294,AA10*((1+AB13/100)/(1+AB12/100))^Time!AB24),IF(Time!AB54=0,Inputs!AB294,AA10*Time!$F$16^Time!AB24))</f>
        <v/>
      </c>
      <c r="AC10" s="13">
        <f>CHOOSE(Inputs!$F$33,Inputs!$F$60*Time!$F$16^((Time!AC20-Inputs!$F$212)*Time!AC24),IF(Inputs!AC294&gt;0,Inputs!AC294,AB10*((1+AC13/100)/(1+AC12/100))^Time!AC24),IF(Time!AC54=0,Inputs!AC294,AB10*Time!$F$16^Time!AC24))</f>
        <v/>
      </c>
      <c r="AD10" s="13">
        <f>CHOOSE(Inputs!$F$33,Inputs!$F$60*Time!$F$16^((Time!AD20-Inputs!$F$212)*Time!AD24),IF(Inputs!AD294&gt;0,Inputs!AD294,AC10*((1+AD13/100)/(1+AD12/100))^Time!AD24),IF(Time!AD54=0,Inputs!AD294,AC10*Time!$F$16^Time!AD24))</f>
        <v/>
      </c>
      <c r="AE10" s="13">
        <f>CHOOSE(Inputs!$F$33,Inputs!$F$60*Time!$F$16^((Time!AE20-Inputs!$F$212)*Time!AE24),IF(Inputs!AE294&gt;0,Inputs!AE294,AD10*((1+AE13/100)/(1+AE12/100))^Time!AE24),IF(Time!AE54=0,Inputs!AE294,AD10*Time!$F$16^Time!AE24))</f>
        <v/>
      </c>
      <c r="AF10" s="13">
        <f>CHOOSE(Inputs!$F$33,Inputs!$F$60*Time!$F$16^((Time!AF20-Inputs!$F$212)*Time!AF24),IF(Inputs!AF294&gt;0,Inputs!AF294,AE10*((1+AF13/100)/(1+AF12/100))^Time!AF24),IF(Time!AF54=0,Inputs!AF294,AE10*Time!$F$16^Time!AF24))</f>
        <v/>
      </c>
      <c r="AG10" s="13">
        <f>CHOOSE(Inputs!$F$33,Inputs!$F$60*Time!$F$16^((Time!AG20-Inputs!$F$212)*Time!AG24),IF(Inputs!AG294&gt;0,Inputs!AG294,AF10*((1+AG13/100)/(1+AG12/100))^Time!AG24),IF(Time!AG54=0,Inputs!AG294,AF10*Time!$F$16^Time!AG24))</f>
        <v/>
      </c>
      <c r="AH10" s="13">
        <f>CHOOSE(Inputs!$F$33,Inputs!$F$60*Time!$F$16^((Time!AH20-Inputs!$F$212)*Time!AH24),IF(Inputs!AH294&gt;0,Inputs!AH294,AG10*((1+AH13/100)/(1+AH12/100))^Time!AH24),IF(Time!AH54=0,Inputs!AH294,AG10*Time!$F$16^Time!AH24))</f>
        <v/>
      </c>
      <c r="AI10" s="13">
        <f>CHOOSE(Inputs!$F$33,Inputs!$F$60*Time!$F$16^((Time!AI20-Inputs!$F$212)*Time!AI24),IF(Inputs!AI294&gt;0,Inputs!AI294,AH10*((1+AI13/100)/(1+AI12/100))^Time!AI24),IF(Time!AI54=0,Inputs!AI294,AH10*Time!$F$16^Time!AI24))</f>
        <v/>
      </c>
      <c r="AJ10" s="13">
        <f>CHOOSE(Inputs!$F$33,Inputs!$F$60*Time!$F$16^((Time!AJ20-Inputs!$F$212)*Time!AJ24),IF(Inputs!AJ294&gt;0,Inputs!AJ294,AI10*((1+AJ13/100)/(1+AJ12/100))^Time!AJ24),IF(Time!AJ54=0,Inputs!AJ294,AI10*Time!$F$16^Time!AJ24))</f>
        <v/>
      </c>
      <c r="AK10" s="13">
        <f>CHOOSE(Inputs!$F$33,Inputs!$F$60*Time!$F$16^((Time!AK20-Inputs!$F$212)*Time!AK24),IF(Inputs!AK294&gt;0,Inputs!AK294,AJ10*((1+AK13/100)/(1+AK12/100))^Time!AK24),IF(Time!AK54=0,Inputs!AK294,AJ10*Time!$F$16^Time!AK24))</f>
        <v/>
      </c>
      <c r="AL10" s="13">
        <f>CHOOSE(Inputs!$F$33,Inputs!$F$60*Time!$F$16^((Time!AL20-Inputs!$F$212)*Time!AL24),IF(Inputs!AL294&gt;0,Inputs!AL294,AK10*((1+AL13/100)/(1+AL12/100))^Time!AL24),IF(Time!AL54=0,Inputs!AL294,AK10*Time!$F$16^Time!AL24))</f>
        <v/>
      </c>
      <c r="AM10" s="13">
        <f>CHOOSE(Inputs!$F$33,Inputs!$F$60*Time!$F$16^((Time!AM20-Inputs!$F$212)*Time!AM24),IF(Inputs!AM294&gt;0,Inputs!AM294,AL10*((1+AM13/100)/(1+AM12/100))^Time!AM24),IF(Time!AM54=0,Inputs!AM294,AL10*Time!$F$16^Time!AM24))</f>
        <v/>
      </c>
      <c r="AN10" s="13">
        <f>CHOOSE(Inputs!$F$33,Inputs!$F$60*Time!$F$16^((Time!AN20-Inputs!$F$212)*Time!AN24),IF(Inputs!AN294&gt;0,Inputs!AN294,AM10*((1+AN13/100)/(1+AN12/100))^Time!AN24),IF(Time!AN54=0,Inputs!AN294,AM10*Time!$F$16^Time!AN24))</f>
        <v/>
      </c>
      <c r="AO10" s="13">
        <f>CHOOSE(Inputs!$F$33,Inputs!$F$60*Time!$F$16^((Time!AO20-Inputs!$F$212)*Time!AO24),IF(Inputs!AO294&gt;0,Inputs!AO294,AN10*((1+AO13/100)/(1+AO12/100))^Time!AO24),IF(Time!AO54=0,Inputs!AO294,AN10*Time!$F$16^Time!AO24))</f>
        <v/>
      </c>
      <c r="AP10" s="13">
        <f>CHOOSE(Inputs!$F$33,Inputs!$F$60*Time!$F$16^((Time!AP20-Inputs!$F$212)*Time!AP24),IF(Inputs!AP294&gt;0,Inputs!AP294,AO10*((1+AP13/100)/(1+AP12/100))^Time!AP24),IF(Time!AP54=0,Inputs!AP294,AO10*Time!$F$16^Time!AP24))</f>
        <v/>
      </c>
      <c r="AQ10" s="13">
        <f>CHOOSE(Inputs!$F$33,Inputs!$F$60*Time!$F$16^((Time!AQ20-Inputs!$F$212)*Time!AQ24),IF(Inputs!AQ294&gt;0,Inputs!AQ294,AP10*((1+AQ13/100)/(1+AQ12/100))^Time!AQ24),IF(Time!AQ54=0,Inputs!AQ294,AP10*Time!$F$16^Time!AQ24))</f>
        <v/>
      </c>
      <c r="AR10" s="13">
        <f>CHOOSE(Inputs!$F$33,Inputs!$F$60*Time!$F$16^((Time!AR20-Inputs!$F$212)*Time!AR24),IF(Inputs!AR294&gt;0,Inputs!AR294,AQ10*((1+AR13/100)/(1+AR12/100))^Time!AR24),IF(Time!AR54=0,Inputs!AR294,AQ10*Time!$F$16^Time!AR24))</f>
        <v/>
      </c>
      <c r="AS10" s="13">
        <f>CHOOSE(Inputs!$F$33,Inputs!$F$60*Time!$F$16^((Time!AS20-Inputs!$F$212)*Time!AS24),IF(Inputs!AS294&gt;0,Inputs!AS294,AR10*((1+AS13/100)/(1+AS12/100))^Time!AS24),IF(Time!AS54=0,Inputs!AS294,AR10*Time!$F$16^Time!AS24))</f>
        <v/>
      </c>
      <c r="AT10" s="13">
        <f>CHOOSE(Inputs!$F$33,Inputs!$F$60*Time!$F$16^((Time!AT20-Inputs!$F$212)*Time!AT24),IF(Inputs!AT294&gt;0,Inputs!AT294,AS10*((1+AT13/100)/(1+AT12/100))^Time!AT24),IF(Time!AT54=0,Inputs!AT294,AS10*Time!$F$16^Time!AT24))</f>
        <v/>
      </c>
      <c r="AU10" s="13">
        <f>CHOOSE(Inputs!$F$33,Inputs!$F$60*Time!$F$16^((Time!AU20-Inputs!$F$212)*Time!AU24),IF(Inputs!AU294&gt;0,Inputs!AU294,AT10*((1+AU13/100)/(1+AU12/100))^Time!AU24),IF(Time!AU54=0,Inputs!AU294,AT10*Time!$F$16^Time!AU24))</f>
        <v/>
      </c>
      <c r="AV10" s="13">
        <f>CHOOSE(Inputs!$F$33,Inputs!$F$60*Time!$F$16^((Time!AV20-Inputs!$F$212)*Time!AV24),IF(Inputs!AV294&gt;0,Inputs!AV294,AU10*((1+AV13/100)/(1+AV12/100))^Time!AV24),IF(Time!AV54=0,Inputs!AV294,AU10*Time!$F$16^Time!AV24))</f>
        <v/>
      </c>
      <c r="AW10" s="13">
        <f>CHOOSE(Inputs!$F$33,Inputs!$F$60*Time!$F$16^((Time!AW20-Inputs!$F$212)*Time!AW24),IF(Inputs!AW294&gt;0,Inputs!AW294,AV10*((1+AW13/100)/(1+AW12/100))^Time!AW24),IF(Time!AW54=0,Inputs!AW294,AV10*Time!$F$16^Time!AW24))</f>
        <v/>
      </c>
      <c r="AX10" s="13">
        <f>CHOOSE(Inputs!$F$33,Inputs!$F$60*Time!$F$16^((Time!AX20-Inputs!$F$212)*Time!AX24),IF(Inputs!AX294&gt;0,Inputs!AX294,AW10*((1+AX13/100)/(1+AX12/100))^Time!AX24),IF(Time!AX54=0,Inputs!AX294,AW10*Time!$F$16^Time!AX24))</f>
        <v/>
      </c>
      <c r="AY10" s="13">
        <f>CHOOSE(Inputs!$F$33,Inputs!$F$60*Time!$F$16^((Time!AY20-Inputs!$F$212)*Time!AY24),IF(Inputs!AY294&gt;0,Inputs!AY294,AX10*((1+AY13/100)/(1+AY12/100))^Time!AY24),IF(Time!AY54=0,Inputs!AY294,AX10*Time!$F$16^Time!AY24))</f>
        <v/>
      </c>
      <c r="AZ10" s="13">
        <f>CHOOSE(Inputs!$F$33,Inputs!$F$60*Time!$F$16^((Time!AZ20-Inputs!$F$212)*Time!AZ24),IF(Inputs!AZ294&gt;0,Inputs!AZ294,AY10*((1+AZ13/100)/(1+AZ12/100))^Time!AZ24),IF(Time!AZ54=0,Inputs!AZ294,AY10*Time!$F$16^Time!AZ24))</f>
        <v/>
      </c>
      <c r="BA10" s="13">
        <f>CHOOSE(Inputs!$F$33,Inputs!$F$60*Time!$F$16^((Time!BA20-Inputs!$F$212)*Time!BA24),IF(Inputs!BA294&gt;0,Inputs!BA294,AZ10*((1+BA13/100)/(1+BA12/100))^Time!BA24),IF(Time!BA54=0,Inputs!BA294,AZ10*Time!$F$16^Time!BA24))</f>
        <v/>
      </c>
      <c r="BB10" s="13">
        <f>CHOOSE(Inputs!$F$33,Inputs!$F$60*Time!$F$16^((Time!BB20-Inputs!$F$212)*Time!BB24),IF(Inputs!BB294&gt;0,Inputs!BB294,BA10*((1+BB13/100)/(1+BB12/100))^Time!BB24),IF(Time!BB54=0,Inputs!BB294,BA10*Time!$F$16^Time!BB24))</f>
        <v/>
      </c>
      <c r="BC10" s="13">
        <f>CHOOSE(Inputs!$F$33,Inputs!$F$60*Time!$F$16^((Time!BC20-Inputs!$F$212)*Time!BC24),IF(Inputs!BC294&gt;0,Inputs!BC294,BB10*((1+BC13/100)/(1+BC12/100))^Time!BC24),IF(Time!BC54=0,Inputs!BC294,BB10*Time!$F$16^Time!BC24))</f>
        <v/>
      </c>
      <c r="BD10" s="13">
        <f>CHOOSE(Inputs!$F$33,Inputs!$F$60*Time!$F$16^((Time!BD20-Inputs!$F$212)*Time!BD24),IF(Inputs!BD294&gt;0,Inputs!BD294,BC10*((1+BD13/100)/(1+BD12/100))^Time!BD24),IF(Time!BD54=0,Inputs!BD294,BC10*Time!$F$16^Time!BD24))</f>
        <v/>
      </c>
      <c r="BE10" s="13">
        <f>CHOOSE(Inputs!$F$33,Inputs!$F$60*Time!$F$16^((Time!BE20-Inputs!$F$212)*Time!BE24),IF(Inputs!BE294&gt;0,Inputs!BE294,BD10*((1+BE13/100)/(1+BE12/100))^Time!BE24),IF(Time!BE54=0,Inputs!BE294,BD10*Time!$F$16^Time!BE24))</f>
        <v/>
      </c>
      <c r="BF10" s="13">
        <f>CHOOSE(Inputs!$F$33,Inputs!$F$60*Time!$F$16^((Time!BF20-Inputs!$F$212)*Time!BF24),IF(Inputs!BF294&gt;0,Inputs!BF294,BE10*((1+BF13/100)/(1+BF12/100))^Time!BF24),IF(Time!BF54=0,Inputs!BF294,BE10*Time!$F$16^Time!BF24))</f>
        <v/>
      </c>
      <c r="BG10" s="13">
        <f>CHOOSE(Inputs!$F$33,Inputs!$F$60*Time!$F$16^((Time!BG20-Inputs!$F$212)*Time!BG24),IF(Inputs!BG294&gt;0,Inputs!BG294,BF10*((1+BG13/100)/(1+BG12/100))^Time!BG24),IF(Time!BG54=0,Inputs!BG294,BF10*Time!$F$16^Time!BG24))</f>
        <v/>
      </c>
      <c r="BH10" s="13">
        <f>CHOOSE(Inputs!$F$33,Inputs!$F$60*Time!$F$16^((Time!BH20-Inputs!$F$212)*Time!BH24),IF(Inputs!BH294&gt;0,Inputs!BH294,BG10*((1+BH13/100)/(1+BH12/100))^Time!BH24),IF(Time!BH54=0,Inputs!BH294,BG10*Time!$F$16^Time!BH24))</f>
        <v/>
      </c>
      <c r="BI10" s="13">
        <f>CHOOSE(Inputs!$F$33,Inputs!$F$60*Time!$F$16^((Time!BI20-Inputs!$F$212)*Time!BI24),IF(Inputs!BI294&gt;0,Inputs!BI294,BH10*((1+BI13/100)/(1+BI12/100))^Time!BI24),IF(Time!BI54=0,Inputs!BI294,BH10*Time!$F$16^Time!BI24))</f>
        <v/>
      </c>
      <c r="BJ10" s="13">
        <f>CHOOSE(Inputs!$F$33,Inputs!$F$60*Time!$F$16^((Time!BJ20-Inputs!$F$212)*Time!BJ24),IF(Inputs!BJ294&gt;0,Inputs!BJ294,BI10*((1+BJ13/100)/(1+BJ12/100))^Time!BJ24),IF(Time!BJ54=0,Inputs!BJ294,BI10*Time!$F$16^Time!BJ24))</f>
        <v/>
      </c>
      <c r="BK10" s="13">
        <f>CHOOSE(Inputs!$F$33,Inputs!$F$60*Time!$F$16^((Time!BK20-Inputs!$F$212)*Time!BK24),IF(Inputs!BK294&gt;0,Inputs!BK294,BJ10*((1+BK13/100)/(1+BK12/100))^Time!BK24),IF(Time!BK54=0,Inputs!BK294,BJ10*Time!$F$16^Time!BK24))</f>
        <v/>
      </c>
      <c r="BL10" s="13">
        <f>CHOOSE(Inputs!$F$33,Inputs!$F$60*Time!$F$16^((Time!BL20-Inputs!$F$212)*Time!BL24),IF(Inputs!BL294&gt;0,Inputs!BL294,BK10*((1+BL13/100)/(1+BL12/100))^Time!BL24),IF(Time!BL54=0,Inputs!BL294,BK10*Time!$F$16^Time!BL24))</f>
        <v/>
      </c>
      <c r="BM10" s="13">
        <f>CHOOSE(Inputs!$F$33,Inputs!$F$60*Time!$F$16^((Time!BM20-Inputs!$F$212)*Time!BM24),IF(Inputs!BM294&gt;0,Inputs!BM294,BL10*((1+BM13/100)/(1+BM12/100))^Time!BM24),IF(Time!BM54=0,Inputs!BM294,BL10*Time!$F$16^Time!BM24))</f>
        <v/>
      </c>
      <c r="BN10" s="13">
        <f>CHOOSE(Inputs!$F$33,Inputs!$F$60*Time!$F$16^((Time!BN20-Inputs!$F$212)*Time!BN24),IF(Inputs!BN294&gt;0,Inputs!BN294,BM10*((1+BN13/100)/(1+BN12/100))^Time!BN24),IF(Time!BN54=0,Inputs!BN294,BM10*Time!$F$16^Time!BN24))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3">
        <f>J10/(1-Inputs!$F$43*Time!J39)</f>
        <v/>
      </c>
      <c r="K11" s="13">
        <f>K10/(1-Inputs!$F$43*Time!K39)</f>
        <v/>
      </c>
      <c r="L11" s="13">
        <f>L10/(1-Inputs!$F$43*Time!L39)</f>
        <v/>
      </c>
      <c r="M11" s="13">
        <f>M10/(1-Inputs!$F$43*Time!M39)</f>
        <v/>
      </c>
      <c r="N11" s="13">
        <f>N10/(1-Inputs!$F$43*Time!N39)</f>
        <v/>
      </c>
      <c r="O11" s="13">
        <f>O10/(1-Inputs!$F$43*Time!O39)</f>
        <v/>
      </c>
      <c r="P11" s="13">
        <f>P10/(1-Inputs!$F$43*Time!P39)</f>
        <v/>
      </c>
      <c r="Q11" s="13">
        <f>Q10/(1-Inputs!$F$43*Time!Q39)</f>
        <v/>
      </c>
      <c r="R11" s="13">
        <f>R10/(1-Inputs!$F$43*Time!R39)</f>
        <v/>
      </c>
      <c r="S11" s="13">
        <f>S10/(1-Inputs!$F$43*Time!S39)</f>
        <v/>
      </c>
      <c r="T11" s="13">
        <f>T10/(1-Inputs!$F$43*Time!T39)</f>
        <v/>
      </c>
      <c r="U11" s="13">
        <f>U10/(1-Inputs!$F$43*Time!U39)</f>
        <v/>
      </c>
      <c r="V11" s="13">
        <f>V10/(1-Inputs!$F$43*Time!V39)</f>
        <v/>
      </c>
      <c r="W11" s="13">
        <f>W10/(1-Inputs!$F$43*Time!W39)</f>
        <v/>
      </c>
      <c r="X11" s="13">
        <f>X10/(1-Inputs!$F$43*Time!X39)</f>
        <v/>
      </c>
      <c r="Y11" s="13">
        <f>Y10/(1-Inputs!$F$43*Time!Y39)</f>
        <v/>
      </c>
      <c r="Z11" s="13">
        <f>Z10/(1-Inputs!$F$43*Time!Z39)</f>
        <v/>
      </c>
      <c r="AA11" s="13">
        <f>AA10/(1-Inputs!$F$43*Time!AA39)</f>
        <v/>
      </c>
      <c r="AB11" s="13">
        <f>AB10/(1-Inputs!$F$43*Time!AB39)</f>
        <v/>
      </c>
      <c r="AC11" s="13">
        <f>AC10/(1-Inputs!$F$43*Time!AC39)</f>
        <v/>
      </c>
      <c r="AD11" s="13">
        <f>AD10/(1-Inputs!$F$43*Time!AD39)</f>
        <v/>
      </c>
      <c r="AE11" s="13">
        <f>AE10/(1-Inputs!$F$43*Time!AE39)</f>
        <v/>
      </c>
      <c r="AF11" s="13">
        <f>AF10/(1-Inputs!$F$43*Time!AF39)</f>
        <v/>
      </c>
      <c r="AG11" s="13">
        <f>AG10/(1-Inputs!$F$43*Time!AG39)</f>
        <v/>
      </c>
      <c r="AH11" s="13">
        <f>AH10/(1-Inputs!$F$43*Time!AH39)</f>
        <v/>
      </c>
      <c r="AI11" s="13">
        <f>AI10/(1-Inputs!$F$43*Time!AI39)</f>
        <v/>
      </c>
      <c r="AJ11" s="13">
        <f>AJ10/(1-Inputs!$F$43*Time!AJ39)</f>
        <v/>
      </c>
      <c r="AK11" s="13">
        <f>AK10/(1-Inputs!$F$43*Time!AK39)</f>
        <v/>
      </c>
      <c r="AL11" s="13">
        <f>AL10/(1-Inputs!$F$43*Time!AL39)</f>
        <v/>
      </c>
      <c r="AM11" s="13">
        <f>AM10/(1-Inputs!$F$43*Time!AM39)</f>
        <v/>
      </c>
      <c r="AN11" s="13">
        <f>AN10/(1-Inputs!$F$43*Time!AN39)</f>
        <v/>
      </c>
      <c r="AO11" s="13">
        <f>AO10/(1-Inputs!$F$43*Time!AO39)</f>
        <v/>
      </c>
      <c r="AP11" s="13">
        <f>AP10/(1-Inputs!$F$43*Time!AP39)</f>
        <v/>
      </c>
      <c r="AQ11" s="13">
        <f>AQ10/(1-Inputs!$F$43*Time!AQ39)</f>
        <v/>
      </c>
      <c r="AR11" s="13">
        <f>AR10/(1-Inputs!$F$43*Time!AR39)</f>
        <v/>
      </c>
      <c r="AS11" s="13">
        <f>AS10/(1-Inputs!$F$43*Time!AS39)</f>
        <v/>
      </c>
      <c r="AT11" s="13">
        <f>AT10/(1-Inputs!$F$43*Time!AT39)</f>
        <v/>
      </c>
      <c r="AU11" s="13">
        <f>AU10/(1-Inputs!$F$43*Time!AU39)</f>
        <v/>
      </c>
      <c r="AV11" s="13">
        <f>AV10/(1-Inputs!$F$43*Time!AV39)</f>
        <v/>
      </c>
      <c r="AW11" s="13">
        <f>AW10/(1-Inputs!$F$43*Time!AW39)</f>
        <v/>
      </c>
      <c r="AX11" s="13">
        <f>AX10/(1-Inputs!$F$43*Time!AX39)</f>
        <v/>
      </c>
      <c r="AY11" s="13">
        <f>AY10/(1-Inputs!$F$43*Time!AY39)</f>
        <v/>
      </c>
      <c r="AZ11" s="13">
        <f>AZ10/(1-Inputs!$F$43*Time!AZ39)</f>
        <v/>
      </c>
      <c r="BA11" s="13">
        <f>BA10/(1-Inputs!$F$43*Time!BA39)</f>
        <v/>
      </c>
      <c r="BB11" s="13">
        <f>BB10/(1-Inputs!$F$43*Time!BB39)</f>
        <v/>
      </c>
      <c r="BC11" s="13">
        <f>BC10/(1-Inputs!$F$43*Time!BC39)</f>
        <v/>
      </c>
      <c r="BD11" s="13">
        <f>BD10/(1-Inputs!$F$43*Time!BD39)</f>
        <v/>
      </c>
      <c r="BE11" s="13">
        <f>BE10/(1-Inputs!$F$43*Time!BE39)</f>
        <v/>
      </c>
      <c r="BF11" s="13">
        <f>BF10/(1-Inputs!$F$43*Time!BF39)</f>
        <v/>
      </c>
      <c r="BG11" s="13">
        <f>BG10/(1-Inputs!$F$43*Time!BG39)</f>
        <v/>
      </c>
      <c r="BH11" s="13">
        <f>BH10/(1-Inputs!$F$43*Time!BH39)</f>
        <v/>
      </c>
      <c r="BI11" s="13">
        <f>BI10/(1-Inputs!$F$43*Time!BI39)</f>
        <v/>
      </c>
      <c r="BJ11" s="13">
        <f>BJ10/(1-Inputs!$F$43*Time!BJ39)</f>
        <v/>
      </c>
      <c r="BK11" s="13">
        <f>BK10/(1-Inputs!$F$43*Time!BK39)</f>
        <v/>
      </c>
      <c r="BL11" s="13">
        <f>BL10/(1-Inputs!$F$43*Time!BL39)</f>
        <v/>
      </c>
      <c r="BM11" s="13">
        <f>BM10/(1-Inputs!$F$43*Time!BM39)</f>
        <v/>
      </c>
      <c r="BN11" s="13">
        <f>BN10/(1-Inputs!$F$43*Time!BN39)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3">
        <f>CHOOSE(Inputs!$F$33,INDEX(Inputs!$J$283:$AR$283,1,MATCH((Time!J26-0),Inputs!$J$282:$AR$282,0)),INDEX(Inputs!$J$285:$AR$285,1,MATCH((Time!J26-0),Inputs!$J$282:$AR$282,0)),INDEX(Inputs!$J$287:$AR$287,1,MATCH((Time!J26-0),Inputs!$J$282:$AR$282,0)))</f>
        <v/>
      </c>
      <c r="K12" s="13">
        <f>CHOOSE(Inputs!$F$33,INDEX(Inputs!$J$283:$AR$283,1,MATCH((Time!K26-0),Inputs!$J$282:$AR$282,0)),INDEX(Inputs!$J$285:$AR$285,1,MATCH((Time!K26-0),Inputs!$J$282:$AR$282,0)),INDEX(Inputs!$J$287:$AR$287,1,MATCH((Time!K26-0),Inputs!$J$282:$AR$282,0)))</f>
        <v/>
      </c>
      <c r="L12" s="13">
        <f>CHOOSE(Inputs!$F$33,INDEX(Inputs!$J$283:$AR$283,1,MATCH((Time!L26-0),Inputs!$J$282:$AR$282,0)),INDEX(Inputs!$J$285:$AR$285,1,MATCH((Time!L26-0),Inputs!$J$282:$AR$282,0)),INDEX(Inputs!$J$287:$AR$287,1,MATCH((Time!L26-0),Inputs!$J$282:$AR$282,0)))</f>
        <v/>
      </c>
      <c r="M12" s="13">
        <f>CHOOSE(Inputs!$F$33,INDEX(Inputs!$J$283:$AR$283,1,MATCH((Time!M26-0),Inputs!$J$282:$AR$282,0)),INDEX(Inputs!$J$285:$AR$285,1,MATCH((Time!M26-0),Inputs!$J$282:$AR$282,0)),INDEX(Inputs!$J$287:$AR$287,1,MATCH((Time!M26-0),Inputs!$J$282:$AR$282,0)))</f>
        <v/>
      </c>
      <c r="N12" s="13">
        <f>CHOOSE(Inputs!$F$33,INDEX(Inputs!$J$283:$AR$283,1,MATCH((Time!N26-0),Inputs!$J$282:$AR$282,0)),INDEX(Inputs!$J$285:$AR$285,1,MATCH((Time!N26-0),Inputs!$J$282:$AR$282,0)),INDEX(Inputs!$J$287:$AR$287,1,MATCH((Time!N26-0),Inputs!$J$282:$AR$282,0)))</f>
        <v/>
      </c>
      <c r="O12" s="13">
        <f>CHOOSE(Inputs!$F$33,INDEX(Inputs!$J$283:$AR$283,1,MATCH((Time!O26-0),Inputs!$J$282:$AR$282,0)),INDEX(Inputs!$J$285:$AR$285,1,MATCH((Time!O26-0),Inputs!$J$282:$AR$282,0)),INDEX(Inputs!$J$287:$AR$287,1,MATCH((Time!O26-0),Inputs!$J$282:$AR$282,0)))</f>
        <v/>
      </c>
      <c r="P12" s="13">
        <f>CHOOSE(Inputs!$F$33,INDEX(Inputs!$J$283:$AR$283,1,MATCH((Time!P26-0),Inputs!$J$282:$AR$282,0)),INDEX(Inputs!$J$285:$AR$285,1,MATCH((Time!P26-0),Inputs!$J$282:$AR$282,0)),INDEX(Inputs!$J$287:$AR$287,1,MATCH((Time!P26-0),Inputs!$J$282:$AR$282,0)))</f>
        <v/>
      </c>
      <c r="Q12" s="13">
        <f>CHOOSE(Inputs!$F$33,INDEX(Inputs!$J$283:$AR$283,1,MATCH((Time!Q26-0),Inputs!$J$282:$AR$282,0)),INDEX(Inputs!$J$285:$AR$285,1,MATCH((Time!Q26-0),Inputs!$J$282:$AR$282,0)),INDEX(Inputs!$J$287:$AR$287,1,MATCH((Time!Q26-0),Inputs!$J$282:$AR$282,0)))</f>
        <v/>
      </c>
      <c r="R12" s="13">
        <f>CHOOSE(Inputs!$F$33,INDEX(Inputs!$J$283:$AR$283,1,MATCH((Time!R26-0),Inputs!$J$282:$AR$282,0)),INDEX(Inputs!$J$285:$AR$285,1,MATCH((Time!R26-0),Inputs!$J$282:$AR$282,0)),INDEX(Inputs!$J$287:$AR$287,1,MATCH((Time!R26-0),Inputs!$J$282:$AR$282,0)))</f>
        <v/>
      </c>
      <c r="S12" s="13">
        <f>CHOOSE(Inputs!$F$33,INDEX(Inputs!$J$283:$AR$283,1,MATCH((Time!S26-0),Inputs!$J$282:$AR$282,0)),INDEX(Inputs!$J$285:$AR$285,1,MATCH((Time!S26-0),Inputs!$J$282:$AR$282,0)),INDEX(Inputs!$J$287:$AR$287,1,MATCH((Time!S26-0),Inputs!$J$282:$AR$282,0)))</f>
        <v/>
      </c>
      <c r="T12" s="13">
        <f>CHOOSE(Inputs!$F$33,INDEX(Inputs!$J$283:$AR$283,1,MATCH((Time!T26-0),Inputs!$J$282:$AR$282,0)),INDEX(Inputs!$J$285:$AR$285,1,MATCH((Time!T26-0),Inputs!$J$282:$AR$282,0)),INDEX(Inputs!$J$287:$AR$287,1,MATCH((Time!T26-0),Inputs!$J$282:$AR$282,0)))</f>
        <v/>
      </c>
      <c r="U12" s="13">
        <f>CHOOSE(Inputs!$F$33,INDEX(Inputs!$J$283:$AR$283,1,MATCH((Time!U26-0),Inputs!$J$282:$AR$282,0)),INDEX(Inputs!$J$285:$AR$285,1,MATCH((Time!U26-0),Inputs!$J$282:$AR$282,0)),INDEX(Inputs!$J$287:$AR$287,1,MATCH((Time!U26-0),Inputs!$J$282:$AR$282,0)))</f>
        <v/>
      </c>
      <c r="V12" s="13">
        <f>CHOOSE(Inputs!$F$33,INDEX(Inputs!$J$283:$AR$283,1,MATCH((Time!V26-0),Inputs!$J$282:$AR$282,0)),INDEX(Inputs!$J$285:$AR$285,1,MATCH((Time!V26-0),Inputs!$J$282:$AR$282,0)),INDEX(Inputs!$J$287:$AR$287,1,MATCH((Time!V26-0),Inputs!$J$282:$AR$282,0)))</f>
        <v/>
      </c>
      <c r="W12" s="13">
        <f>CHOOSE(Inputs!$F$33,INDEX(Inputs!$J$283:$AR$283,1,MATCH((Time!W26-0),Inputs!$J$282:$AR$282,0)),INDEX(Inputs!$J$285:$AR$285,1,MATCH((Time!W26-0),Inputs!$J$282:$AR$282,0)),INDEX(Inputs!$J$287:$AR$287,1,MATCH((Time!W26-0),Inputs!$J$282:$AR$282,0)))</f>
        <v/>
      </c>
      <c r="X12" s="13">
        <f>CHOOSE(Inputs!$F$33,INDEX(Inputs!$J$283:$AR$283,1,MATCH((Time!X26-0),Inputs!$J$282:$AR$282,0)),INDEX(Inputs!$J$285:$AR$285,1,MATCH((Time!X26-0),Inputs!$J$282:$AR$282,0)),INDEX(Inputs!$J$287:$AR$287,1,MATCH((Time!X26-0),Inputs!$J$282:$AR$282,0)))</f>
        <v/>
      </c>
      <c r="Y12" s="13">
        <f>CHOOSE(Inputs!$F$33,INDEX(Inputs!$J$283:$AR$283,1,MATCH((Time!Y26-0),Inputs!$J$282:$AR$282,0)),INDEX(Inputs!$J$285:$AR$285,1,MATCH((Time!Y26-0),Inputs!$J$282:$AR$282,0)),INDEX(Inputs!$J$287:$AR$287,1,MATCH((Time!Y26-0),Inputs!$J$282:$AR$282,0)))</f>
        <v/>
      </c>
      <c r="Z12" s="13">
        <f>CHOOSE(Inputs!$F$33,INDEX(Inputs!$J$283:$AR$283,1,MATCH((Time!Z26-0),Inputs!$J$282:$AR$282,0)),INDEX(Inputs!$J$285:$AR$285,1,MATCH((Time!Z26-0),Inputs!$J$282:$AR$282,0)),INDEX(Inputs!$J$287:$AR$287,1,MATCH((Time!Z26-0),Inputs!$J$282:$AR$282,0)))</f>
        <v/>
      </c>
      <c r="AA12" s="13">
        <f>CHOOSE(Inputs!$F$33,INDEX(Inputs!$J$283:$AR$283,1,MATCH((Time!AA26-0),Inputs!$J$282:$AR$282,0)),INDEX(Inputs!$J$285:$AR$285,1,MATCH((Time!AA26-0),Inputs!$J$282:$AR$282,0)),INDEX(Inputs!$J$287:$AR$287,1,MATCH((Time!AA26-0),Inputs!$J$282:$AR$282,0)))</f>
        <v/>
      </c>
      <c r="AB12" s="13">
        <f>CHOOSE(Inputs!$F$33,INDEX(Inputs!$J$283:$AR$283,1,MATCH((Time!AB26-0),Inputs!$J$282:$AR$282,0)),INDEX(Inputs!$J$285:$AR$285,1,MATCH((Time!AB26-0),Inputs!$J$282:$AR$282,0)),INDEX(Inputs!$J$287:$AR$287,1,MATCH((Time!AB26-0),Inputs!$J$282:$AR$282,0)))</f>
        <v/>
      </c>
      <c r="AC12" s="13">
        <f>CHOOSE(Inputs!$F$33,INDEX(Inputs!$J$283:$AR$283,1,MATCH((Time!AC26-0),Inputs!$J$282:$AR$282,0)),INDEX(Inputs!$J$285:$AR$285,1,MATCH((Time!AC26-0),Inputs!$J$282:$AR$282,0)),INDEX(Inputs!$J$287:$AR$287,1,MATCH((Time!AC26-0),Inputs!$J$282:$AR$282,0)))</f>
        <v/>
      </c>
      <c r="AD12" s="13">
        <f>CHOOSE(Inputs!$F$33,INDEX(Inputs!$J$283:$AR$283,1,MATCH((Time!AD26-0),Inputs!$J$282:$AR$282,0)),INDEX(Inputs!$J$285:$AR$285,1,MATCH((Time!AD26-0),Inputs!$J$282:$AR$282,0)),INDEX(Inputs!$J$287:$AR$287,1,MATCH((Time!AD26-0),Inputs!$J$282:$AR$282,0)))</f>
        <v/>
      </c>
      <c r="AE12" s="13">
        <f>CHOOSE(Inputs!$F$33,INDEX(Inputs!$J$283:$AR$283,1,MATCH((Time!AE26-0),Inputs!$J$282:$AR$282,0)),INDEX(Inputs!$J$285:$AR$285,1,MATCH((Time!AE26-0),Inputs!$J$282:$AR$282,0)),INDEX(Inputs!$J$287:$AR$287,1,MATCH((Time!AE26-0),Inputs!$J$282:$AR$282,0)))</f>
        <v/>
      </c>
      <c r="AF12" s="13">
        <f>CHOOSE(Inputs!$F$33,INDEX(Inputs!$J$283:$AR$283,1,MATCH((Time!AF26-0),Inputs!$J$282:$AR$282,0)),INDEX(Inputs!$J$285:$AR$285,1,MATCH((Time!AF26-0),Inputs!$J$282:$AR$282,0)),INDEX(Inputs!$J$287:$AR$287,1,MATCH((Time!AF26-0),Inputs!$J$282:$AR$282,0)))</f>
        <v/>
      </c>
      <c r="AG12" s="13">
        <f>CHOOSE(Inputs!$F$33,INDEX(Inputs!$J$283:$AR$283,1,MATCH((Time!AG26-0),Inputs!$J$282:$AR$282,0)),INDEX(Inputs!$J$285:$AR$285,1,MATCH((Time!AG26-0),Inputs!$J$282:$AR$282,0)),INDEX(Inputs!$J$287:$AR$287,1,MATCH((Time!AG26-0),Inputs!$J$282:$AR$282,0)))</f>
        <v/>
      </c>
      <c r="AH12" s="13">
        <f>CHOOSE(Inputs!$F$33,INDEX(Inputs!$J$283:$AR$283,1,MATCH((Time!AH26-0),Inputs!$J$282:$AR$282,0)),INDEX(Inputs!$J$285:$AR$285,1,MATCH((Time!AH26-0),Inputs!$J$282:$AR$282,0)),INDEX(Inputs!$J$287:$AR$287,1,MATCH((Time!AH26-0),Inputs!$J$282:$AR$282,0)))</f>
        <v/>
      </c>
      <c r="AI12" s="13">
        <f>CHOOSE(Inputs!$F$33,INDEX(Inputs!$J$283:$AR$283,1,MATCH((Time!AI26-0),Inputs!$J$282:$AR$282,0)),INDEX(Inputs!$J$285:$AR$285,1,MATCH((Time!AI26-0),Inputs!$J$282:$AR$282,0)),INDEX(Inputs!$J$287:$AR$287,1,MATCH((Time!AI26-0),Inputs!$J$282:$AR$282,0)))</f>
        <v/>
      </c>
      <c r="AJ12" s="13">
        <f>CHOOSE(Inputs!$F$33,INDEX(Inputs!$J$283:$AR$283,1,MATCH((Time!AJ26-0),Inputs!$J$282:$AR$282,0)),INDEX(Inputs!$J$285:$AR$285,1,MATCH((Time!AJ26-0),Inputs!$J$282:$AR$282,0)),INDEX(Inputs!$J$287:$AR$287,1,MATCH((Time!AJ26-0),Inputs!$J$282:$AR$282,0)))</f>
        <v/>
      </c>
      <c r="AK12" s="13">
        <f>CHOOSE(Inputs!$F$33,INDEX(Inputs!$J$283:$AR$283,1,MATCH((Time!AK26-0),Inputs!$J$282:$AR$282,0)),INDEX(Inputs!$J$285:$AR$285,1,MATCH((Time!AK26-0),Inputs!$J$282:$AR$282,0)),INDEX(Inputs!$J$287:$AR$287,1,MATCH((Time!AK26-0),Inputs!$J$282:$AR$282,0)))</f>
        <v/>
      </c>
      <c r="AL12" s="13">
        <f>CHOOSE(Inputs!$F$33,INDEX(Inputs!$J$283:$AR$283,1,MATCH((Time!AL26-0),Inputs!$J$282:$AR$282,0)),INDEX(Inputs!$J$285:$AR$285,1,MATCH((Time!AL26-0),Inputs!$J$282:$AR$282,0)),INDEX(Inputs!$J$287:$AR$287,1,MATCH((Time!AL26-0),Inputs!$J$282:$AR$282,0)))</f>
        <v/>
      </c>
      <c r="AM12" s="13">
        <f>CHOOSE(Inputs!$F$33,INDEX(Inputs!$J$283:$AR$283,1,MATCH((Time!AM26-0),Inputs!$J$282:$AR$282,0)),INDEX(Inputs!$J$285:$AR$285,1,MATCH((Time!AM26-0),Inputs!$J$282:$AR$282,0)),INDEX(Inputs!$J$287:$AR$287,1,MATCH((Time!AM26-0),Inputs!$J$282:$AR$282,0)))</f>
        <v/>
      </c>
      <c r="AN12" s="13">
        <f>CHOOSE(Inputs!$F$33,INDEX(Inputs!$J$283:$AR$283,1,MATCH((Time!AN26-0),Inputs!$J$282:$AR$282,0)),INDEX(Inputs!$J$285:$AR$285,1,MATCH((Time!AN26-0),Inputs!$J$282:$AR$282,0)),INDEX(Inputs!$J$287:$AR$287,1,MATCH((Time!AN26-0),Inputs!$J$282:$AR$282,0)))</f>
        <v/>
      </c>
      <c r="AO12" s="13">
        <f>CHOOSE(Inputs!$F$33,INDEX(Inputs!$J$283:$AR$283,1,MATCH((Time!AO26-0),Inputs!$J$282:$AR$282,0)),INDEX(Inputs!$J$285:$AR$285,1,MATCH((Time!AO26-0),Inputs!$J$282:$AR$282,0)),INDEX(Inputs!$J$287:$AR$287,1,MATCH((Time!AO26-0),Inputs!$J$282:$AR$282,0)))</f>
        <v/>
      </c>
      <c r="AP12" s="13">
        <f>CHOOSE(Inputs!$F$33,INDEX(Inputs!$J$283:$AR$283,1,MATCH((Time!AP26-0),Inputs!$J$282:$AR$282,0)),INDEX(Inputs!$J$285:$AR$285,1,MATCH((Time!AP26-0),Inputs!$J$282:$AR$282,0)),INDEX(Inputs!$J$287:$AR$287,1,MATCH((Time!AP26-0),Inputs!$J$282:$AR$282,0)))</f>
        <v/>
      </c>
      <c r="AQ12" s="13">
        <f>CHOOSE(Inputs!$F$33,INDEX(Inputs!$J$283:$AR$283,1,MATCH((Time!AQ26-0),Inputs!$J$282:$AR$282,0)),INDEX(Inputs!$J$285:$AR$285,1,MATCH((Time!AQ26-0),Inputs!$J$282:$AR$282,0)),INDEX(Inputs!$J$287:$AR$287,1,MATCH((Time!AQ26-0),Inputs!$J$282:$AR$282,0)))</f>
        <v/>
      </c>
      <c r="AR12" s="13">
        <f>CHOOSE(Inputs!$F$33,INDEX(Inputs!$J$283:$AR$283,1,MATCH((Time!AR26-0),Inputs!$J$282:$AR$282,0)),INDEX(Inputs!$J$285:$AR$285,1,MATCH((Time!AR26-0),Inputs!$J$282:$AR$282,0)),INDEX(Inputs!$J$287:$AR$287,1,MATCH((Time!AR26-0),Inputs!$J$282:$AR$282,0)))</f>
        <v/>
      </c>
      <c r="AS12" s="13">
        <f>CHOOSE(Inputs!$F$33,INDEX(Inputs!$J$283:$AR$283,1,MATCH((Time!AS26-0),Inputs!$J$282:$AR$282,0)),INDEX(Inputs!$J$285:$AR$285,1,MATCH((Time!AS26-0),Inputs!$J$282:$AR$282,0)),INDEX(Inputs!$J$287:$AR$287,1,MATCH((Time!AS26-0),Inputs!$J$282:$AR$282,0)))</f>
        <v/>
      </c>
      <c r="AT12" s="13">
        <f>CHOOSE(Inputs!$F$33,INDEX(Inputs!$J$283:$AR$283,1,MATCH((Time!AT26-0),Inputs!$J$282:$AR$282,0)),INDEX(Inputs!$J$285:$AR$285,1,MATCH((Time!AT26-0),Inputs!$J$282:$AR$282,0)),INDEX(Inputs!$J$287:$AR$287,1,MATCH((Time!AT26-0),Inputs!$J$282:$AR$282,0)))</f>
        <v/>
      </c>
      <c r="AU12" s="13">
        <f>CHOOSE(Inputs!$F$33,INDEX(Inputs!$J$283:$AR$283,1,MATCH((Time!AU26-0),Inputs!$J$282:$AR$282,0)),INDEX(Inputs!$J$285:$AR$285,1,MATCH((Time!AU26-0),Inputs!$J$282:$AR$282,0)),INDEX(Inputs!$J$287:$AR$287,1,MATCH((Time!AU26-0),Inputs!$J$282:$AR$282,0)))</f>
        <v/>
      </c>
      <c r="AV12" s="13">
        <f>CHOOSE(Inputs!$F$33,INDEX(Inputs!$J$283:$AR$283,1,MATCH((Time!AV26-0),Inputs!$J$282:$AR$282,0)),INDEX(Inputs!$J$285:$AR$285,1,MATCH((Time!AV26-0),Inputs!$J$282:$AR$282,0)),INDEX(Inputs!$J$287:$AR$287,1,MATCH((Time!AV26-0),Inputs!$J$282:$AR$282,0)))</f>
        <v/>
      </c>
      <c r="AW12" s="13">
        <f>CHOOSE(Inputs!$F$33,INDEX(Inputs!$J$283:$AR$283,1,MATCH((Time!AW26-0),Inputs!$J$282:$AR$282,0)),INDEX(Inputs!$J$285:$AR$285,1,MATCH((Time!AW26-0),Inputs!$J$282:$AR$282,0)),INDEX(Inputs!$J$287:$AR$287,1,MATCH((Time!AW26-0),Inputs!$J$282:$AR$282,0)))</f>
        <v/>
      </c>
      <c r="AX12" s="13">
        <f>CHOOSE(Inputs!$F$33,INDEX(Inputs!$J$283:$AR$283,1,MATCH((Time!AX26-0),Inputs!$J$282:$AR$282,0)),INDEX(Inputs!$J$285:$AR$285,1,MATCH((Time!AX26-0),Inputs!$J$282:$AR$282,0)),INDEX(Inputs!$J$287:$AR$287,1,MATCH((Time!AX26-0),Inputs!$J$282:$AR$282,0)))</f>
        <v/>
      </c>
      <c r="AY12" s="13">
        <f>CHOOSE(Inputs!$F$33,INDEX(Inputs!$J$283:$AR$283,1,MATCH((Time!AY26-0),Inputs!$J$282:$AR$282,0)),INDEX(Inputs!$J$285:$AR$285,1,MATCH((Time!AY26-0),Inputs!$J$282:$AR$282,0)),INDEX(Inputs!$J$287:$AR$287,1,MATCH((Time!AY26-0),Inputs!$J$282:$AR$282,0)))</f>
        <v/>
      </c>
      <c r="AZ12" s="13">
        <f>CHOOSE(Inputs!$F$33,INDEX(Inputs!$J$283:$AR$283,1,MATCH((Time!AZ26-0),Inputs!$J$282:$AR$282,0)),INDEX(Inputs!$J$285:$AR$285,1,MATCH((Time!AZ26-0),Inputs!$J$282:$AR$282,0)),INDEX(Inputs!$J$287:$AR$287,1,MATCH((Time!AZ26-0),Inputs!$J$282:$AR$282,0)))</f>
        <v/>
      </c>
      <c r="BA12" s="13">
        <f>CHOOSE(Inputs!$F$33,INDEX(Inputs!$J$283:$AR$283,1,MATCH((Time!BA26-0),Inputs!$J$282:$AR$282,0)),INDEX(Inputs!$J$285:$AR$285,1,MATCH((Time!BA26-0),Inputs!$J$282:$AR$282,0)),INDEX(Inputs!$J$287:$AR$287,1,MATCH((Time!BA26-0),Inputs!$J$282:$AR$282,0)))</f>
        <v/>
      </c>
      <c r="BB12" s="13">
        <f>CHOOSE(Inputs!$F$33,INDEX(Inputs!$J$283:$AR$283,1,MATCH((Time!BB26-0),Inputs!$J$282:$AR$282,0)),INDEX(Inputs!$J$285:$AR$285,1,MATCH((Time!BB26-0),Inputs!$J$282:$AR$282,0)),INDEX(Inputs!$J$287:$AR$287,1,MATCH((Time!BB26-0),Inputs!$J$282:$AR$282,0)))</f>
        <v/>
      </c>
      <c r="BC12" s="13">
        <f>CHOOSE(Inputs!$F$33,INDEX(Inputs!$J$283:$AR$283,1,MATCH((Time!BC26-0),Inputs!$J$282:$AR$282,0)),INDEX(Inputs!$J$285:$AR$285,1,MATCH((Time!BC26-0),Inputs!$J$282:$AR$282,0)),INDEX(Inputs!$J$287:$AR$287,1,MATCH((Time!BC26-0),Inputs!$J$282:$AR$282,0)))</f>
        <v/>
      </c>
      <c r="BD12" s="13">
        <f>CHOOSE(Inputs!$F$33,INDEX(Inputs!$J$283:$AR$283,1,MATCH((Time!BD26-0),Inputs!$J$282:$AR$282,0)),INDEX(Inputs!$J$285:$AR$285,1,MATCH((Time!BD26-0),Inputs!$J$282:$AR$282,0)),INDEX(Inputs!$J$287:$AR$287,1,MATCH((Time!BD26-0),Inputs!$J$282:$AR$282,0)))</f>
        <v/>
      </c>
      <c r="BE12" s="13">
        <f>CHOOSE(Inputs!$F$33,INDEX(Inputs!$J$283:$AR$283,1,MATCH((Time!BE26-0),Inputs!$J$282:$AR$282,0)),INDEX(Inputs!$J$285:$AR$285,1,MATCH((Time!BE26-0),Inputs!$J$282:$AR$282,0)),INDEX(Inputs!$J$287:$AR$287,1,MATCH((Time!BE26-0),Inputs!$J$282:$AR$282,0)))</f>
        <v/>
      </c>
      <c r="BF12" s="13">
        <f>CHOOSE(Inputs!$F$33,INDEX(Inputs!$J$283:$AR$283,1,MATCH((Time!BF26-0),Inputs!$J$282:$AR$282,0)),INDEX(Inputs!$J$285:$AR$285,1,MATCH((Time!BF26-0),Inputs!$J$282:$AR$282,0)),INDEX(Inputs!$J$287:$AR$287,1,MATCH((Time!BF26-0),Inputs!$J$282:$AR$282,0)))</f>
        <v/>
      </c>
      <c r="BG12" s="13">
        <f>CHOOSE(Inputs!$F$33,INDEX(Inputs!$J$283:$AR$283,1,MATCH((Time!BG26-0),Inputs!$J$282:$AR$282,0)),INDEX(Inputs!$J$285:$AR$285,1,MATCH((Time!BG26-0),Inputs!$J$282:$AR$282,0)),INDEX(Inputs!$J$287:$AR$287,1,MATCH((Time!BG26-0),Inputs!$J$282:$AR$282,0)))</f>
        <v/>
      </c>
      <c r="BH12" s="13">
        <f>CHOOSE(Inputs!$F$33,INDEX(Inputs!$J$283:$AR$283,1,MATCH((Time!BH26-0),Inputs!$J$282:$AR$282,0)),INDEX(Inputs!$J$285:$AR$285,1,MATCH((Time!BH26-0),Inputs!$J$282:$AR$282,0)),INDEX(Inputs!$J$287:$AR$287,1,MATCH((Time!BH26-0),Inputs!$J$282:$AR$282,0)))</f>
        <v/>
      </c>
      <c r="BI12" s="13">
        <f>CHOOSE(Inputs!$F$33,INDEX(Inputs!$J$283:$AR$283,1,MATCH((Time!BI26-0),Inputs!$J$282:$AR$282,0)),INDEX(Inputs!$J$285:$AR$285,1,MATCH((Time!BI26-0),Inputs!$J$282:$AR$282,0)),INDEX(Inputs!$J$287:$AR$287,1,MATCH((Time!BI26-0),Inputs!$J$282:$AR$282,0)))</f>
        <v/>
      </c>
      <c r="BJ12" s="13">
        <f>CHOOSE(Inputs!$F$33,INDEX(Inputs!$J$283:$AR$283,1,MATCH((Time!BJ26-0),Inputs!$J$282:$AR$282,0)),INDEX(Inputs!$J$285:$AR$285,1,MATCH((Time!BJ26-0),Inputs!$J$282:$AR$282,0)),INDEX(Inputs!$J$287:$AR$287,1,MATCH((Time!BJ26-0),Inputs!$J$282:$AR$282,0)))</f>
        <v/>
      </c>
      <c r="BK12" s="13">
        <f>CHOOSE(Inputs!$F$33,INDEX(Inputs!$J$283:$AR$283,1,MATCH((Time!BK26-0),Inputs!$J$282:$AR$282,0)),INDEX(Inputs!$J$285:$AR$285,1,MATCH((Time!BK26-0),Inputs!$J$282:$AR$282,0)),INDEX(Inputs!$J$287:$AR$287,1,MATCH((Time!BK26-0),Inputs!$J$282:$AR$282,0)))</f>
        <v/>
      </c>
      <c r="BL12" s="13">
        <f>CHOOSE(Inputs!$F$33,INDEX(Inputs!$J$283:$AR$283,1,MATCH((Time!BL26-0),Inputs!$J$282:$AR$282,0)),INDEX(Inputs!$J$285:$AR$285,1,MATCH((Time!BL26-0),Inputs!$J$282:$AR$282,0)),INDEX(Inputs!$J$287:$AR$287,1,MATCH((Time!BL26-0),Inputs!$J$282:$AR$282,0)))</f>
        <v/>
      </c>
      <c r="BM12" s="13">
        <f>CHOOSE(Inputs!$F$33,INDEX(Inputs!$J$283:$AR$283,1,MATCH((Time!BM26-0),Inputs!$J$282:$AR$282,0)),INDEX(Inputs!$J$285:$AR$285,1,MATCH((Time!BM26-0),Inputs!$J$282:$AR$282,0)),INDEX(Inputs!$J$287:$AR$287,1,MATCH((Time!BM26-0),Inputs!$J$282:$AR$282,0)))</f>
        <v/>
      </c>
      <c r="BN12" s="13">
        <f>CHOOSE(Inputs!$F$33,INDEX(Inputs!$J$283:$AR$283,1,MATCH((Time!BN26-0),Inputs!$J$282:$AR$282,0)),INDEX(Inputs!$J$285:$AR$285,1,MATCH((Time!BN26-0),Inputs!$J$282:$AR$282,0)),INDEX(Inputs!$J$287:$AR$287,1,MATCH((Time!BN26-0),Inputs!$J$282:$AR$282,0)))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3">
        <f>CHOOSE(Inputs!$F$33,INDEX(Inputs!$J$284:$AR$284,1,MATCH((Time!J26-0),Inputs!$J$282:$AR$282,0)),INDEX(Inputs!$J$286:$AR$286,1,MATCH((Time!J26-0),Inputs!$J$282:$AR$282,0)),INDEX(Inputs!$J$288:$AR$288,1,MATCH((Time!J26-0),Inputs!$J$282:$AR$282,0)))</f>
        <v/>
      </c>
      <c r="K13" s="13">
        <f>CHOOSE(Inputs!$F$33,INDEX(Inputs!$J$284:$AR$284,1,MATCH((Time!K26-0),Inputs!$J$282:$AR$282,0)),INDEX(Inputs!$J$286:$AR$286,1,MATCH((Time!K26-0),Inputs!$J$282:$AR$282,0)),INDEX(Inputs!$J$288:$AR$288,1,MATCH((Time!K26-0),Inputs!$J$282:$AR$282,0)))</f>
        <v/>
      </c>
      <c r="L13" s="13">
        <f>CHOOSE(Inputs!$F$33,INDEX(Inputs!$J$284:$AR$284,1,MATCH((Time!L26-0),Inputs!$J$282:$AR$282,0)),INDEX(Inputs!$J$286:$AR$286,1,MATCH((Time!L26-0),Inputs!$J$282:$AR$282,0)),INDEX(Inputs!$J$288:$AR$288,1,MATCH((Time!L26-0),Inputs!$J$282:$AR$282,0)))</f>
        <v/>
      </c>
      <c r="M13" s="13">
        <f>CHOOSE(Inputs!$F$33,INDEX(Inputs!$J$284:$AR$284,1,MATCH((Time!M26-0),Inputs!$J$282:$AR$282,0)),INDEX(Inputs!$J$286:$AR$286,1,MATCH((Time!M26-0),Inputs!$J$282:$AR$282,0)),INDEX(Inputs!$J$288:$AR$288,1,MATCH((Time!M26-0),Inputs!$J$282:$AR$282,0)))</f>
        <v/>
      </c>
      <c r="N13" s="13">
        <f>CHOOSE(Inputs!$F$33,INDEX(Inputs!$J$284:$AR$284,1,MATCH((Time!N26-0),Inputs!$J$282:$AR$282,0)),INDEX(Inputs!$J$286:$AR$286,1,MATCH((Time!N26-0),Inputs!$J$282:$AR$282,0)),INDEX(Inputs!$J$288:$AR$288,1,MATCH((Time!N26-0),Inputs!$J$282:$AR$282,0)))</f>
        <v/>
      </c>
      <c r="O13" s="13">
        <f>CHOOSE(Inputs!$F$33,INDEX(Inputs!$J$284:$AR$284,1,MATCH((Time!O26-0),Inputs!$J$282:$AR$282,0)),INDEX(Inputs!$J$286:$AR$286,1,MATCH((Time!O26-0),Inputs!$J$282:$AR$282,0)),INDEX(Inputs!$J$288:$AR$288,1,MATCH((Time!O26-0),Inputs!$J$282:$AR$282,0)))</f>
        <v/>
      </c>
      <c r="P13" s="13">
        <f>CHOOSE(Inputs!$F$33,INDEX(Inputs!$J$284:$AR$284,1,MATCH((Time!P26-0),Inputs!$J$282:$AR$282,0)),INDEX(Inputs!$J$286:$AR$286,1,MATCH((Time!P26-0),Inputs!$J$282:$AR$282,0)),INDEX(Inputs!$J$288:$AR$288,1,MATCH((Time!P26-0),Inputs!$J$282:$AR$282,0)))</f>
        <v/>
      </c>
      <c r="Q13" s="13">
        <f>CHOOSE(Inputs!$F$33,INDEX(Inputs!$J$284:$AR$284,1,MATCH((Time!Q26-0),Inputs!$J$282:$AR$282,0)),INDEX(Inputs!$J$286:$AR$286,1,MATCH((Time!Q26-0),Inputs!$J$282:$AR$282,0)),INDEX(Inputs!$J$288:$AR$288,1,MATCH((Time!Q26-0),Inputs!$J$282:$AR$282,0)))</f>
        <v/>
      </c>
      <c r="R13" s="13">
        <f>CHOOSE(Inputs!$F$33,INDEX(Inputs!$J$284:$AR$284,1,MATCH((Time!R26-0),Inputs!$J$282:$AR$282,0)),INDEX(Inputs!$J$286:$AR$286,1,MATCH((Time!R26-0),Inputs!$J$282:$AR$282,0)),INDEX(Inputs!$J$288:$AR$288,1,MATCH((Time!R26-0),Inputs!$J$282:$AR$282,0)))</f>
        <v/>
      </c>
      <c r="S13" s="13">
        <f>CHOOSE(Inputs!$F$33,INDEX(Inputs!$J$284:$AR$284,1,MATCH((Time!S26-0),Inputs!$J$282:$AR$282,0)),INDEX(Inputs!$J$286:$AR$286,1,MATCH((Time!S26-0),Inputs!$J$282:$AR$282,0)),INDEX(Inputs!$J$288:$AR$288,1,MATCH((Time!S26-0),Inputs!$J$282:$AR$282,0)))</f>
        <v/>
      </c>
      <c r="T13" s="13">
        <f>CHOOSE(Inputs!$F$33,INDEX(Inputs!$J$284:$AR$284,1,MATCH((Time!T26-0),Inputs!$J$282:$AR$282,0)),INDEX(Inputs!$J$286:$AR$286,1,MATCH((Time!T26-0),Inputs!$J$282:$AR$282,0)),INDEX(Inputs!$J$288:$AR$288,1,MATCH((Time!T26-0),Inputs!$J$282:$AR$282,0)))</f>
        <v/>
      </c>
      <c r="U13" s="13">
        <f>CHOOSE(Inputs!$F$33,INDEX(Inputs!$J$284:$AR$284,1,MATCH((Time!U26-0),Inputs!$J$282:$AR$282,0)),INDEX(Inputs!$J$286:$AR$286,1,MATCH((Time!U26-0),Inputs!$J$282:$AR$282,0)),INDEX(Inputs!$J$288:$AR$288,1,MATCH((Time!U26-0),Inputs!$J$282:$AR$282,0)))</f>
        <v/>
      </c>
      <c r="V13" s="13">
        <f>CHOOSE(Inputs!$F$33,INDEX(Inputs!$J$284:$AR$284,1,MATCH((Time!V26-0),Inputs!$J$282:$AR$282,0)),INDEX(Inputs!$J$286:$AR$286,1,MATCH((Time!V26-0),Inputs!$J$282:$AR$282,0)),INDEX(Inputs!$J$288:$AR$288,1,MATCH((Time!V26-0),Inputs!$J$282:$AR$282,0)))</f>
        <v/>
      </c>
      <c r="W13" s="13">
        <f>CHOOSE(Inputs!$F$33,INDEX(Inputs!$J$284:$AR$284,1,MATCH((Time!W26-0),Inputs!$J$282:$AR$282,0)),INDEX(Inputs!$J$286:$AR$286,1,MATCH((Time!W26-0),Inputs!$J$282:$AR$282,0)),INDEX(Inputs!$J$288:$AR$288,1,MATCH((Time!W26-0),Inputs!$J$282:$AR$282,0)))</f>
        <v/>
      </c>
      <c r="X13" s="13">
        <f>CHOOSE(Inputs!$F$33,INDEX(Inputs!$J$284:$AR$284,1,MATCH((Time!X26-0),Inputs!$J$282:$AR$282,0)),INDEX(Inputs!$J$286:$AR$286,1,MATCH((Time!X26-0),Inputs!$J$282:$AR$282,0)),INDEX(Inputs!$J$288:$AR$288,1,MATCH((Time!X26-0),Inputs!$J$282:$AR$282,0)))</f>
        <v/>
      </c>
      <c r="Y13" s="13">
        <f>CHOOSE(Inputs!$F$33,INDEX(Inputs!$J$284:$AR$284,1,MATCH((Time!Y26-0),Inputs!$J$282:$AR$282,0)),INDEX(Inputs!$J$286:$AR$286,1,MATCH((Time!Y26-0),Inputs!$J$282:$AR$282,0)),INDEX(Inputs!$J$288:$AR$288,1,MATCH((Time!Y26-0),Inputs!$J$282:$AR$282,0)))</f>
        <v/>
      </c>
      <c r="Z13" s="13">
        <f>CHOOSE(Inputs!$F$33,INDEX(Inputs!$J$284:$AR$284,1,MATCH((Time!Z26-0),Inputs!$J$282:$AR$282,0)),INDEX(Inputs!$J$286:$AR$286,1,MATCH((Time!Z26-0),Inputs!$J$282:$AR$282,0)),INDEX(Inputs!$J$288:$AR$288,1,MATCH((Time!Z26-0),Inputs!$J$282:$AR$282,0)))</f>
        <v/>
      </c>
      <c r="AA13" s="13">
        <f>CHOOSE(Inputs!$F$33,INDEX(Inputs!$J$284:$AR$284,1,MATCH((Time!AA26-0),Inputs!$J$282:$AR$282,0)),INDEX(Inputs!$J$286:$AR$286,1,MATCH((Time!AA26-0),Inputs!$J$282:$AR$282,0)),INDEX(Inputs!$J$288:$AR$288,1,MATCH((Time!AA26-0),Inputs!$J$282:$AR$282,0)))</f>
        <v/>
      </c>
      <c r="AB13" s="13">
        <f>CHOOSE(Inputs!$F$33,INDEX(Inputs!$J$284:$AR$284,1,MATCH((Time!AB26-0),Inputs!$J$282:$AR$282,0)),INDEX(Inputs!$J$286:$AR$286,1,MATCH((Time!AB26-0),Inputs!$J$282:$AR$282,0)),INDEX(Inputs!$J$288:$AR$288,1,MATCH((Time!AB26-0),Inputs!$J$282:$AR$282,0)))</f>
        <v/>
      </c>
      <c r="AC13" s="13">
        <f>CHOOSE(Inputs!$F$33,INDEX(Inputs!$J$284:$AR$284,1,MATCH((Time!AC26-0),Inputs!$J$282:$AR$282,0)),INDEX(Inputs!$J$286:$AR$286,1,MATCH((Time!AC26-0),Inputs!$J$282:$AR$282,0)),INDEX(Inputs!$J$288:$AR$288,1,MATCH((Time!AC26-0),Inputs!$J$282:$AR$282,0)))</f>
        <v/>
      </c>
      <c r="AD13" s="13">
        <f>CHOOSE(Inputs!$F$33,INDEX(Inputs!$J$284:$AR$284,1,MATCH((Time!AD26-0),Inputs!$J$282:$AR$282,0)),INDEX(Inputs!$J$286:$AR$286,1,MATCH((Time!AD26-0),Inputs!$J$282:$AR$282,0)),INDEX(Inputs!$J$288:$AR$288,1,MATCH((Time!AD26-0),Inputs!$J$282:$AR$282,0)))</f>
        <v/>
      </c>
      <c r="AE13" s="13">
        <f>CHOOSE(Inputs!$F$33,INDEX(Inputs!$J$284:$AR$284,1,MATCH((Time!AE26-0),Inputs!$J$282:$AR$282,0)),INDEX(Inputs!$J$286:$AR$286,1,MATCH((Time!AE26-0),Inputs!$J$282:$AR$282,0)),INDEX(Inputs!$J$288:$AR$288,1,MATCH((Time!AE26-0),Inputs!$J$282:$AR$282,0)))</f>
        <v/>
      </c>
      <c r="AF13" s="13">
        <f>CHOOSE(Inputs!$F$33,INDEX(Inputs!$J$284:$AR$284,1,MATCH((Time!AF26-0),Inputs!$J$282:$AR$282,0)),INDEX(Inputs!$J$286:$AR$286,1,MATCH((Time!AF26-0),Inputs!$J$282:$AR$282,0)),INDEX(Inputs!$J$288:$AR$288,1,MATCH((Time!AF26-0),Inputs!$J$282:$AR$282,0)))</f>
        <v/>
      </c>
      <c r="AG13" s="13">
        <f>CHOOSE(Inputs!$F$33,INDEX(Inputs!$J$284:$AR$284,1,MATCH((Time!AG26-0),Inputs!$J$282:$AR$282,0)),INDEX(Inputs!$J$286:$AR$286,1,MATCH((Time!AG26-0),Inputs!$J$282:$AR$282,0)),INDEX(Inputs!$J$288:$AR$288,1,MATCH((Time!AG26-0),Inputs!$J$282:$AR$282,0)))</f>
        <v/>
      </c>
      <c r="AH13" s="13">
        <f>CHOOSE(Inputs!$F$33,INDEX(Inputs!$J$284:$AR$284,1,MATCH((Time!AH26-0),Inputs!$J$282:$AR$282,0)),INDEX(Inputs!$J$286:$AR$286,1,MATCH((Time!AH26-0),Inputs!$J$282:$AR$282,0)),INDEX(Inputs!$J$288:$AR$288,1,MATCH((Time!AH26-0),Inputs!$J$282:$AR$282,0)))</f>
        <v/>
      </c>
      <c r="AI13" s="13">
        <f>CHOOSE(Inputs!$F$33,INDEX(Inputs!$J$284:$AR$284,1,MATCH((Time!AI26-0),Inputs!$J$282:$AR$282,0)),INDEX(Inputs!$J$286:$AR$286,1,MATCH((Time!AI26-0),Inputs!$J$282:$AR$282,0)),INDEX(Inputs!$J$288:$AR$288,1,MATCH((Time!AI26-0),Inputs!$J$282:$AR$282,0)))</f>
        <v/>
      </c>
      <c r="AJ13" s="13">
        <f>CHOOSE(Inputs!$F$33,INDEX(Inputs!$J$284:$AR$284,1,MATCH((Time!AJ26-0),Inputs!$J$282:$AR$282,0)),INDEX(Inputs!$J$286:$AR$286,1,MATCH((Time!AJ26-0),Inputs!$J$282:$AR$282,0)),INDEX(Inputs!$J$288:$AR$288,1,MATCH((Time!AJ26-0),Inputs!$J$282:$AR$282,0)))</f>
        <v/>
      </c>
      <c r="AK13" s="13">
        <f>CHOOSE(Inputs!$F$33,INDEX(Inputs!$J$284:$AR$284,1,MATCH((Time!AK26-0),Inputs!$J$282:$AR$282,0)),INDEX(Inputs!$J$286:$AR$286,1,MATCH((Time!AK26-0),Inputs!$J$282:$AR$282,0)),INDEX(Inputs!$J$288:$AR$288,1,MATCH((Time!AK26-0),Inputs!$J$282:$AR$282,0)))</f>
        <v/>
      </c>
      <c r="AL13" s="13">
        <f>CHOOSE(Inputs!$F$33,INDEX(Inputs!$J$284:$AR$284,1,MATCH((Time!AL26-0),Inputs!$J$282:$AR$282,0)),INDEX(Inputs!$J$286:$AR$286,1,MATCH((Time!AL26-0),Inputs!$J$282:$AR$282,0)),INDEX(Inputs!$J$288:$AR$288,1,MATCH((Time!AL26-0),Inputs!$J$282:$AR$282,0)))</f>
        <v/>
      </c>
      <c r="AM13" s="13">
        <f>CHOOSE(Inputs!$F$33,INDEX(Inputs!$J$284:$AR$284,1,MATCH((Time!AM26-0),Inputs!$J$282:$AR$282,0)),INDEX(Inputs!$J$286:$AR$286,1,MATCH((Time!AM26-0),Inputs!$J$282:$AR$282,0)),INDEX(Inputs!$J$288:$AR$288,1,MATCH((Time!AM26-0),Inputs!$J$282:$AR$282,0)))</f>
        <v/>
      </c>
      <c r="AN13" s="13">
        <f>CHOOSE(Inputs!$F$33,INDEX(Inputs!$J$284:$AR$284,1,MATCH((Time!AN26-0),Inputs!$J$282:$AR$282,0)),INDEX(Inputs!$J$286:$AR$286,1,MATCH((Time!AN26-0),Inputs!$J$282:$AR$282,0)),INDEX(Inputs!$J$288:$AR$288,1,MATCH((Time!AN26-0),Inputs!$J$282:$AR$282,0)))</f>
        <v/>
      </c>
      <c r="AO13" s="13">
        <f>CHOOSE(Inputs!$F$33,INDEX(Inputs!$J$284:$AR$284,1,MATCH((Time!AO26-0),Inputs!$J$282:$AR$282,0)),INDEX(Inputs!$J$286:$AR$286,1,MATCH((Time!AO26-0),Inputs!$J$282:$AR$282,0)),INDEX(Inputs!$J$288:$AR$288,1,MATCH((Time!AO26-0),Inputs!$J$282:$AR$282,0)))</f>
        <v/>
      </c>
      <c r="AP13" s="13">
        <f>CHOOSE(Inputs!$F$33,INDEX(Inputs!$J$284:$AR$284,1,MATCH((Time!AP26-0),Inputs!$J$282:$AR$282,0)),INDEX(Inputs!$J$286:$AR$286,1,MATCH((Time!AP26-0),Inputs!$J$282:$AR$282,0)),INDEX(Inputs!$J$288:$AR$288,1,MATCH((Time!AP26-0),Inputs!$J$282:$AR$282,0)))</f>
        <v/>
      </c>
      <c r="AQ13" s="13">
        <f>CHOOSE(Inputs!$F$33,INDEX(Inputs!$J$284:$AR$284,1,MATCH((Time!AQ26-0),Inputs!$J$282:$AR$282,0)),INDEX(Inputs!$J$286:$AR$286,1,MATCH((Time!AQ26-0),Inputs!$J$282:$AR$282,0)),INDEX(Inputs!$J$288:$AR$288,1,MATCH((Time!AQ26-0),Inputs!$J$282:$AR$282,0)))</f>
        <v/>
      </c>
      <c r="AR13" s="13">
        <f>CHOOSE(Inputs!$F$33,INDEX(Inputs!$J$284:$AR$284,1,MATCH((Time!AR26-0),Inputs!$J$282:$AR$282,0)),INDEX(Inputs!$J$286:$AR$286,1,MATCH((Time!AR26-0),Inputs!$J$282:$AR$282,0)),INDEX(Inputs!$J$288:$AR$288,1,MATCH((Time!AR26-0),Inputs!$J$282:$AR$282,0)))</f>
        <v/>
      </c>
      <c r="AS13" s="13">
        <f>CHOOSE(Inputs!$F$33,INDEX(Inputs!$J$284:$AR$284,1,MATCH((Time!AS26-0),Inputs!$J$282:$AR$282,0)),INDEX(Inputs!$J$286:$AR$286,1,MATCH((Time!AS26-0),Inputs!$J$282:$AR$282,0)),INDEX(Inputs!$J$288:$AR$288,1,MATCH((Time!AS26-0),Inputs!$J$282:$AR$282,0)))</f>
        <v/>
      </c>
      <c r="AT13" s="13">
        <f>CHOOSE(Inputs!$F$33,INDEX(Inputs!$J$284:$AR$284,1,MATCH((Time!AT26-0),Inputs!$J$282:$AR$282,0)),INDEX(Inputs!$J$286:$AR$286,1,MATCH((Time!AT26-0),Inputs!$J$282:$AR$282,0)),INDEX(Inputs!$J$288:$AR$288,1,MATCH((Time!AT26-0),Inputs!$J$282:$AR$282,0)))</f>
        <v/>
      </c>
      <c r="AU13" s="13">
        <f>CHOOSE(Inputs!$F$33,INDEX(Inputs!$J$284:$AR$284,1,MATCH((Time!AU26-0),Inputs!$J$282:$AR$282,0)),INDEX(Inputs!$J$286:$AR$286,1,MATCH((Time!AU26-0),Inputs!$J$282:$AR$282,0)),INDEX(Inputs!$J$288:$AR$288,1,MATCH((Time!AU26-0),Inputs!$J$282:$AR$282,0)))</f>
        <v/>
      </c>
      <c r="AV13" s="13">
        <f>CHOOSE(Inputs!$F$33,INDEX(Inputs!$J$284:$AR$284,1,MATCH((Time!AV26-0),Inputs!$J$282:$AR$282,0)),INDEX(Inputs!$J$286:$AR$286,1,MATCH((Time!AV26-0),Inputs!$J$282:$AR$282,0)),INDEX(Inputs!$J$288:$AR$288,1,MATCH((Time!AV26-0),Inputs!$J$282:$AR$282,0)))</f>
        <v/>
      </c>
      <c r="AW13" s="13">
        <f>CHOOSE(Inputs!$F$33,INDEX(Inputs!$J$284:$AR$284,1,MATCH((Time!AW26-0),Inputs!$J$282:$AR$282,0)),INDEX(Inputs!$J$286:$AR$286,1,MATCH((Time!AW26-0),Inputs!$J$282:$AR$282,0)),INDEX(Inputs!$J$288:$AR$288,1,MATCH((Time!AW26-0),Inputs!$J$282:$AR$282,0)))</f>
        <v/>
      </c>
      <c r="AX13" s="13">
        <f>CHOOSE(Inputs!$F$33,INDEX(Inputs!$J$284:$AR$284,1,MATCH((Time!AX26-0),Inputs!$J$282:$AR$282,0)),INDEX(Inputs!$J$286:$AR$286,1,MATCH((Time!AX26-0),Inputs!$J$282:$AR$282,0)),INDEX(Inputs!$J$288:$AR$288,1,MATCH((Time!AX26-0),Inputs!$J$282:$AR$282,0)))</f>
        <v/>
      </c>
      <c r="AY13" s="13">
        <f>CHOOSE(Inputs!$F$33,INDEX(Inputs!$J$284:$AR$284,1,MATCH((Time!AY26-0),Inputs!$J$282:$AR$282,0)),INDEX(Inputs!$J$286:$AR$286,1,MATCH((Time!AY26-0),Inputs!$J$282:$AR$282,0)),INDEX(Inputs!$J$288:$AR$288,1,MATCH((Time!AY26-0),Inputs!$J$282:$AR$282,0)))</f>
        <v/>
      </c>
      <c r="AZ13" s="13">
        <f>CHOOSE(Inputs!$F$33,INDEX(Inputs!$J$284:$AR$284,1,MATCH((Time!AZ26-0),Inputs!$J$282:$AR$282,0)),INDEX(Inputs!$J$286:$AR$286,1,MATCH((Time!AZ26-0),Inputs!$J$282:$AR$282,0)),INDEX(Inputs!$J$288:$AR$288,1,MATCH((Time!AZ26-0),Inputs!$J$282:$AR$282,0)))</f>
        <v/>
      </c>
      <c r="BA13" s="13">
        <f>CHOOSE(Inputs!$F$33,INDEX(Inputs!$J$284:$AR$284,1,MATCH((Time!BA26-0),Inputs!$J$282:$AR$282,0)),INDEX(Inputs!$J$286:$AR$286,1,MATCH((Time!BA26-0),Inputs!$J$282:$AR$282,0)),INDEX(Inputs!$J$288:$AR$288,1,MATCH((Time!BA26-0),Inputs!$J$282:$AR$282,0)))</f>
        <v/>
      </c>
      <c r="BB13" s="13">
        <f>CHOOSE(Inputs!$F$33,INDEX(Inputs!$J$284:$AR$284,1,MATCH((Time!BB26-0),Inputs!$J$282:$AR$282,0)),INDEX(Inputs!$J$286:$AR$286,1,MATCH((Time!BB26-0),Inputs!$J$282:$AR$282,0)),INDEX(Inputs!$J$288:$AR$288,1,MATCH((Time!BB26-0),Inputs!$J$282:$AR$282,0)))</f>
        <v/>
      </c>
      <c r="BC13" s="13">
        <f>CHOOSE(Inputs!$F$33,INDEX(Inputs!$J$284:$AR$284,1,MATCH((Time!BC26-0),Inputs!$J$282:$AR$282,0)),INDEX(Inputs!$J$286:$AR$286,1,MATCH((Time!BC26-0),Inputs!$J$282:$AR$282,0)),INDEX(Inputs!$J$288:$AR$288,1,MATCH((Time!BC26-0),Inputs!$J$282:$AR$282,0)))</f>
        <v/>
      </c>
      <c r="BD13" s="13">
        <f>CHOOSE(Inputs!$F$33,INDEX(Inputs!$J$284:$AR$284,1,MATCH((Time!BD26-0),Inputs!$J$282:$AR$282,0)),INDEX(Inputs!$J$286:$AR$286,1,MATCH((Time!BD26-0),Inputs!$J$282:$AR$282,0)),INDEX(Inputs!$J$288:$AR$288,1,MATCH((Time!BD26-0),Inputs!$J$282:$AR$282,0)))</f>
        <v/>
      </c>
      <c r="BE13" s="13">
        <f>CHOOSE(Inputs!$F$33,INDEX(Inputs!$J$284:$AR$284,1,MATCH((Time!BE26-0),Inputs!$J$282:$AR$282,0)),INDEX(Inputs!$J$286:$AR$286,1,MATCH((Time!BE26-0),Inputs!$J$282:$AR$282,0)),INDEX(Inputs!$J$288:$AR$288,1,MATCH((Time!BE26-0),Inputs!$J$282:$AR$282,0)))</f>
        <v/>
      </c>
      <c r="BF13" s="13">
        <f>CHOOSE(Inputs!$F$33,INDEX(Inputs!$J$284:$AR$284,1,MATCH((Time!BF26-0),Inputs!$J$282:$AR$282,0)),INDEX(Inputs!$J$286:$AR$286,1,MATCH((Time!BF26-0),Inputs!$J$282:$AR$282,0)),INDEX(Inputs!$J$288:$AR$288,1,MATCH((Time!BF26-0),Inputs!$J$282:$AR$282,0)))</f>
        <v/>
      </c>
      <c r="BG13" s="13">
        <f>CHOOSE(Inputs!$F$33,INDEX(Inputs!$J$284:$AR$284,1,MATCH((Time!BG26-0),Inputs!$J$282:$AR$282,0)),INDEX(Inputs!$J$286:$AR$286,1,MATCH((Time!BG26-0),Inputs!$J$282:$AR$282,0)),INDEX(Inputs!$J$288:$AR$288,1,MATCH((Time!BG26-0),Inputs!$J$282:$AR$282,0)))</f>
        <v/>
      </c>
      <c r="BH13" s="13">
        <f>CHOOSE(Inputs!$F$33,INDEX(Inputs!$J$284:$AR$284,1,MATCH((Time!BH26-0),Inputs!$J$282:$AR$282,0)),INDEX(Inputs!$J$286:$AR$286,1,MATCH((Time!BH26-0),Inputs!$J$282:$AR$282,0)),INDEX(Inputs!$J$288:$AR$288,1,MATCH((Time!BH26-0),Inputs!$J$282:$AR$282,0)))</f>
        <v/>
      </c>
      <c r="BI13" s="13">
        <f>CHOOSE(Inputs!$F$33,INDEX(Inputs!$J$284:$AR$284,1,MATCH((Time!BI26-0),Inputs!$J$282:$AR$282,0)),INDEX(Inputs!$J$286:$AR$286,1,MATCH((Time!BI26-0),Inputs!$J$282:$AR$282,0)),INDEX(Inputs!$J$288:$AR$288,1,MATCH((Time!BI26-0),Inputs!$J$282:$AR$282,0)))</f>
        <v/>
      </c>
      <c r="BJ13" s="13">
        <f>CHOOSE(Inputs!$F$33,INDEX(Inputs!$J$284:$AR$284,1,MATCH((Time!BJ26-0),Inputs!$J$282:$AR$282,0)),INDEX(Inputs!$J$286:$AR$286,1,MATCH((Time!BJ26-0),Inputs!$J$282:$AR$282,0)),INDEX(Inputs!$J$288:$AR$288,1,MATCH((Time!BJ26-0),Inputs!$J$282:$AR$282,0)))</f>
        <v/>
      </c>
      <c r="BK13" s="13">
        <f>CHOOSE(Inputs!$F$33,INDEX(Inputs!$J$284:$AR$284,1,MATCH((Time!BK26-0),Inputs!$J$282:$AR$282,0)),INDEX(Inputs!$J$286:$AR$286,1,MATCH((Time!BK26-0),Inputs!$J$282:$AR$282,0)),INDEX(Inputs!$J$288:$AR$288,1,MATCH((Time!BK26-0),Inputs!$J$282:$AR$282,0)))</f>
        <v/>
      </c>
      <c r="BL13" s="13">
        <f>CHOOSE(Inputs!$F$33,INDEX(Inputs!$J$284:$AR$284,1,MATCH((Time!BL26-0),Inputs!$J$282:$AR$282,0)),INDEX(Inputs!$J$286:$AR$286,1,MATCH((Time!BL26-0),Inputs!$J$282:$AR$282,0)),INDEX(Inputs!$J$288:$AR$288,1,MATCH((Time!BL26-0),Inputs!$J$282:$AR$282,0)))</f>
        <v/>
      </c>
      <c r="BM13" s="13">
        <f>CHOOSE(Inputs!$F$33,INDEX(Inputs!$J$284:$AR$284,1,MATCH((Time!BM26-0),Inputs!$J$282:$AR$282,0)),INDEX(Inputs!$J$286:$AR$286,1,MATCH((Time!BM26-0),Inputs!$J$282:$AR$282,0)),INDEX(Inputs!$J$288:$AR$288,1,MATCH((Time!BM26-0),Inputs!$J$282:$AR$282,0)))</f>
        <v/>
      </c>
      <c r="BN13" s="13">
        <f>CHOOSE(Inputs!$F$33,INDEX(Inputs!$J$284:$AR$284,1,MATCH((Time!BN26-0),Inputs!$J$282:$AR$282,0)),INDEX(Inputs!$J$286:$AR$286,1,MATCH((Time!BN26-0),Inputs!$J$282:$AR$282,0)),INDEX(Inputs!$J$288:$AR$288,1,MATCH((Time!BN26-0),Inputs!$J$282:$AR$282,0)))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3">
        <f>CHOOSE(Inputs!$F$33,INDEX(Inputs!$J$283:$AR$283,1,MATCH((Time!J26-1),Inputs!$J$282:$AR$282,0)),INDEX(Inputs!$J$285:$AR$285,1,MATCH((Time!J26-1),Inputs!$J$282:$AR$282,0)),INDEX(Inputs!$J$287:$AR$287,1,MATCH((Time!J26-1),Inputs!$J$282:$AR$282,0)))</f>
        <v/>
      </c>
      <c r="K14" s="13">
        <f>CHOOSE(Inputs!$F$33,INDEX(Inputs!$J$283:$AR$283,1,MATCH((Time!K26-1),Inputs!$J$282:$AR$282,0)),INDEX(Inputs!$J$285:$AR$285,1,MATCH((Time!K26-1),Inputs!$J$282:$AR$282,0)),INDEX(Inputs!$J$287:$AR$287,1,MATCH((Time!K26-1),Inputs!$J$282:$AR$282,0)))</f>
        <v/>
      </c>
      <c r="L14" s="13">
        <f>CHOOSE(Inputs!$F$33,INDEX(Inputs!$J$283:$AR$283,1,MATCH((Time!L26-1),Inputs!$J$282:$AR$282,0)),INDEX(Inputs!$J$285:$AR$285,1,MATCH((Time!L26-1),Inputs!$J$282:$AR$282,0)),INDEX(Inputs!$J$287:$AR$287,1,MATCH((Time!L26-1),Inputs!$J$282:$AR$282,0)))</f>
        <v/>
      </c>
      <c r="M14" s="13">
        <f>CHOOSE(Inputs!$F$33,INDEX(Inputs!$J$283:$AR$283,1,MATCH((Time!M26-1),Inputs!$J$282:$AR$282,0)),INDEX(Inputs!$J$285:$AR$285,1,MATCH((Time!M26-1),Inputs!$J$282:$AR$282,0)),INDEX(Inputs!$J$287:$AR$287,1,MATCH((Time!M26-1),Inputs!$J$282:$AR$282,0)))</f>
        <v/>
      </c>
      <c r="N14" s="13">
        <f>CHOOSE(Inputs!$F$33,INDEX(Inputs!$J$283:$AR$283,1,MATCH((Time!N26-1),Inputs!$J$282:$AR$282,0)),INDEX(Inputs!$J$285:$AR$285,1,MATCH((Time!N26-1),Inputs!$J$282:$AR$282,0)),INDEX(Inputs!$J$287:$AR$287,1,MATCH((Time!N26-1),Inputs!$J$282:$AR$282,0)))</f>
        <v/>
      </c>
      <c r="O14" s="13">
        <f>CHOOSE(Inputs!$F$33,INDEX(Inputs!$J$283:$AR$283,1,MATCH((Time!O26-1),Inputs!$J$282:$AR$282,0)),INDEX(Inputs!$J$285:$AR$285,1,MATCH((Time!O26-1),Inputs!$J$282:$AR$282,0)),INDEX(Inputs!$J$287:$AR$287,1,MATCH((Time!O26-1),Inputs!$J$282:$AR$282,0)))</f>
        <v/>
      </c>
      <c r="P14" s="13">
        <f>CHOOSE(Inputs!$F$33,INDEX(Inputs!$J$283:$AR$283,1,MATCH((Time!P26-1),Inputs!$J$282:$AR$282,0)),INDEX(Inputs!$J$285:$AR$285,1,MATCH((Time!P26-1),Inputs!$J$282:$AR$282,0)),INDEX(Inputs!$J$287:$AR$287,1,MATCH((Time!P26-1),Inputs!$J$282:$AR$282,0)))</f>
        <v/>
      </c>
      <c r="Q14" s="13">
        <f>CHOOSE(Inputs!$F$33,INDEX(Inputs!$J$283:$AR$283,1,MATCH((Time!Q26-1),Inputs!$J$282:$AR$282,0)),INDEX(Inputs!$J$285:$AR$285,1,MATCH((Time!Q26-1),Inputs!$J$282:$AR$282,0)),INDEX(Inputs!$J$287:$AR$287,1,MATCH((Time!Q26-1),Inputs!$J$282:$AR$282,0)))</f>
        <v/>
      </c>
      <c r="R14" s="13">
        <f>CHOOSE(Inputs!$F$33,INDEX(Inputs!$J$283:$AR$283,1,MATCH((Time!R26-1),Inputs!$J$282:$AR$282,0)),INDEX(Inputs!$J$285:$AR$285,1,MATCH((Time!R26-1),Inputs!$J$282:$AR$282,0)),INDEX(Inputs!$J$287:$AR$287,1,MATCH((Time!R26-1),Inputs!$J$282:$AR$282,0)))</f>
        <v/>
      </c>
      <c r="S14" s="13">
        <f>CHOOSE(Inputs!$F$33,INDEX(Inputs!$J$283:$AR$283,1,MATCH((Time!S26-1),Inputs!$J$282:$AR$282,0)),INDEX(Inputs!$J$285:$AR$285,1,MATCH((Time!S26-1),Inputs!$J$282:$AR$282,0)),INDEX(Inputs!$J$287:$AR$287,1,MATCH((Time!S26-1),Inputs!$J$282:$AR$282,0)))</f>
        <v/>
      </c>
      <c r="T14" s="13">
        <f>CHOOSE(Inputs!$F$33,INDEX(Inputs!$J$283:$AR$283,1,MATCH((Time!T26-1),Inputs!$J$282:$AR$282,0)),INDEX(Inputs!$J$285:$AR$285,1,MATCH((Time!T26-1),Inputs!$J$282:$AR$282,0)),INDEX(Inputs!$J$287:$AR$287,1,MATCH((Time!T26-1),Inputs!$J$282:$AR$282,0)))</f>
        <v/>
      </c>
      <c r="U14" s="13">
        <f>CHOOSE(Inputs!$F$33,INDEX(Inputs!$J$283:$AR$283,1,MATCH((Time!U26-1),Inputs!$J$282:$AR$282,0)),INDEX(Inputs!$J$285:$AR$285,1,MATCH((Time!U26-1),Inputs!$J$282:$AR$282,0)),INDEX(Inputs!$J$287:$AR$287,1,MATCH((Time!U26-1),Inputs!$J$282:$AR$282,0)))</f>
        <v/>
      </c>
      <c r="V14" s="13">
        <f>CHOOSE(Inputs!$F$33,INDEX(Inputs!$J$283:$AR$283,1,MATCH((Time!V26-1),Inputs!$J$282:$AR$282,0)),INDEX(Inputs!$J$285:$AR$285,1,MATCH((Time!V26-1),Inputs!$J$282:$AR$282,0)),INDEX(Inputs!$J$287:$AR$287,1,MATCH((Time!V26-1),Inputs!$J$282:$AR$282,0)))</f>
        <v/>
      </c>
      <c r="W14" s="13">
        <f>CHOOSE(Inputs!$F$33,INDEX(Inputs!$J$283:$AR$283,1,MATCH((Time!W26-1),Inputs!$J$282:$AR$282,0)),INDEX(Inputs!$J$285:$AR$285,1,MATCH((Time!W26-1),Inputs!$J$282:$AR$282,0)),INDEX(Inputs!$J$287:$AR$287,1,MATCH((Time!W26-1),Inputs!$J$282:$AR$282,0)))</f>
        <v/>
      </c>
      <c r="X14" s="13">
        <f>CHOOSE(Inputs!$F$33,INDEX(Inputs!$J$283:$AR$283,1,MATCH((Time!X26-1),Inputs!$J$282:$AR$282,0)),INDEX(Inputs!$J$285:$AR$285,1,MATCH((Time!X26-1),Inputs!$J$282:$AR$282,0)),INDEX(Inputs!$J$287:$AR$287,1,MATCH((Time!X26-1),Inputs!$J$282:$AR$282,0)))</f>
        <v/>
      </c>
      <c r="Y14" s="13">
        <f>CHOOSE(Inputs!$F$33,INDEX(Inputs!$J$283:$AR$283,1,MATCH((Time!Y26-1),Inputs!$J$282:$AR$282,0)),INDEX(Inputs!$J$285:$AR$285,1,MATCH((Time!Y26-1),Inputs!$J$282:$AR$282,0)),INDEX(Inputs!$J$287:$AR$287,1,MATCH((Time!Y26-1),Inputs!$J$282:$AR$282,0)))</f>
        <v/>
      </c>
      <c r="Z14" s="13">
        <f>CHOOSE(Inputs!$F$33,INDEX(Inputs!$J$283:$AR$283,1,MATCH((Time!Z26-1),Inputs!$J$282:$AR$282,0)),INDEX(Inputs!$J$285:$AR$285,1,MATCH((Time!Z26-1),Inputs!$J$282:$AR$282,0)),INDEX(Inputs!$J$287:$AR$287,1,MATCH((Time!Z26-1),Inputs!$J$282:$AR$282,0)))</f>
        <v/>
      </c>
      <c r="AA14" s="13">
        <f>CHOOSE(Inputs!$F$33,INDEX(Inputs!$J$283:$AR$283,1,MATCH((Time!AA26-1),Inputs!$J$282:$AR$282,0)),INDEX(Inputs!$J$285:$AR$285,1,MATCH((Time!AA26-1),Inputs!$J$282:$AR$282,0)),INDEX(Inputs!$J$287:$AR$287,1,MATCH((Time!AA26-1),Inputs!$J$282:$AR$282,0)))</f>
        <v/>
      </c>
      <c r="AB14" s="13">
        <f>CHOOSE(Inputs!$F$33,INDEX(Inputs!$J$283:$AR$283,1,MATCH((Time!AB26-1),Inputs!$J$282:$AR$282,0)),INDEX(Inputs!$J$285:$AR$285,1,MATCH((Time!AB26-1),Inputs!$J$282:$AR$282,0)),INDEX(Inputs!$J$287:$AR$287,1,MATCH((Time!AB26-1),Inputs!$J$282:$AR$282,0)))</f>
        <v/>
      </c>
      <c r="AC14" s="13">
        <f>CHOOSE(Inputs!$F$33,INDEX(Inputs!$J$283:$AR$283,1,MATCH((Time!AC26-1),Inputs!$J$282:$AR$282,0)),INDEX(Inputs!$J$285:$AR$285,1,MATCH((Time!AC26-1),Inputs!$J$282:$AR$282,0)),INDEX(Inputs!$J$287:$AR$287,1,MATCH((Time!AC26-1),Inputs!$J$282:$AR$282,0)))</f>
        <v/>
      </c>
      <c r="AD14" s="13">
        <f>CHOOSE(Inputs!$F$33,INDEX(Inputs!$J$283:$AR$283,1,MATCH((Time!AD26-1),Inputs!$J$282:$AR$282,0)),INDEX(Inputs!$J$285:$AR$285,1,MATCH((Time!AD26-1),Inputs!$J$282:$AR$282,0)),INDEX(Inputs!$J$287:$AR$287,1,MATCH((Time!AD26-1),Inputs!$J$282:$AR$282,0)))</f>
        <v/>
      </c>
      <c r="AE14" s="13">
        <f>CHOOSE(Inputs!$F$33,INDEX(Inputs!$J$283:$AR$283,1,MATCH((Time!AE26-1),Inputs!$J$282:$AR$282,0)),INDEX(Inputs!$J$285:$AR$285,1,MATCH((Time!AE26-1),Inputs!$J$282:$AR$282,0)),INDEX(Inputs!$J$287:$AR$287,1,MATCH((Time!AE26-1),Inputs!$J$282:$AR$282,0)))</f>
        <v/>
      </c>
      <c r="AF14" s="13">
        <f>CHOOSE(Inputs!$F$33,INDEX(Inputs!$J$283:$AR$283,1,MATCH((Time!AF26-1),Inputs!$J$282:$AR$282,0)),INDEX(Inputs!$J$285:$AR$285,1,MATCH((Time!AF26-1),Inputs!$J$282:$AR$282,0)),INDEX(Inputs!$J$287:$AR$287,1,MATCH((Time!AF26-1),Inputs!$J$282:$AR$282,0)))</f>
        <v/>
      </c>
      <c r="AG14" s="13">
        <f>CHOOSE(Inputs!$F$33,INDEX(Inputs!$J$283:$AR$283,1,MATCH((Time!AG26-1),Inputs!$J$282:$AR$282,0)),INDEX(Inputs!$J$285:$AR$285,1,MATCH((Time!AG26-1),Inputs!$J$282:$AR$282,0)),INDEX(Inputs!$J$287:$AR$287,1,MATCH((Time!AG26-1),Inputs!$J$282:$AR$282,0)))</f>
        <v/>
      </c>
      <c r="AH14" s="13">
        <f>CHOOSE(Inputs!$F$33,INDEX(Inputs!$J$283:$AR$283,1,MATCH((Time!AH26-1),Inputs!$J$282:$AR$282,0)),INDEX(Inputs!$J$285:$AR$285,1,MATCH((Time!AH26-1),Inputs!$J$282:$AR$282,0)),INDEX(Inputs!$J$287:$AR$287,1,MATCH((Time!AH26-1),Inputs!$J$282:$AR$282,0)))</f>
        <v/>
      </c>
      <c r="AI14" s="13">
        <f>CHOOSE(Inputs!$F$33,INDEX(Inputs!$J$283:$AR$283,1,MATCH((Time!AI26-1),Inputs!$J$282:$AR$282,0)),INDEX(Inputs!$J$285:$AR$285,1,MATCH((Time!AI26-1),Inputs!$J$282:$AR$282,0)),INDEX(Inputs!$J$287:$AR$287,1,MATCH((Time!AI26-1),Inputs!$J$282:$AR$282,0)))</f>
        <v/>
      </c>
      <c r="AJ14" s="13">
        <f>CHOOSE(Inputs!$F$33,INDEX(Inputs!$J$283:$AR$283,1,MATCH((Time!AJ26-1),Inputs!$J$282:$AR$282,0)),INDEX(Inputs!$J$285:$AR$285,1,MATCH((Time!AJ26-1),Inputs!$J$282:$AR$282,0)),INDEX(Inputs!$J$287:$AR$287,1,MATCH((Time!AJ26-1),Inputs!$J$282:$AR$282,0)))</f>
        <v/>
      </c>
      <c r="AK14" s="13">
        <f>CHOOSE(Inputs!$F$33,INDEX(Inputs!$J$283:$AR$283,1,MATCH((Time!AK26-1),Inputs!$J$282:$AR$282,0)),INDEX(Inputs!$J$285:$AR$285,1,MATCH((Time!AK26-1),Inputs!$J$282:$AR$282,0)),INDEX(Inputs!$J$287:$AR$287,1,MATCH((Time!AK26-1),Inputs!$J$282:$AR$282,0)))</f>
        <v/>
      </c>
      <c r="AL14" s="13">
        <f>CHOOSE(Inputs!$F$33,INDEX(Inputs!$J$283:$AR$283,1,MATCH((Time!AL26-1),Inputs!$J$282:$AR$282,0)),INDEX(Inputs!$J$285:$AR$285,1,MATCH((Time!AL26-1),Inputs!$J$282:$AR$282,0)),INDEX(Inputs!$J$287:$AR$287,1,MATCH((Time!AL26-1),Inputs!$J$282:$AR$282,0)))</f>
        <v/>
      </c>
      <c r="AM14" s="13">
        <f>CHOOSE(Inputs!$F$33,INDEX(Inputs!$J$283:$AR$283,1,MATCH((Time!AM26-1),Inputs!$J$282:$AR$282,0)),INDEX(Inputs!$J$285:$AR$285,1,MATCH((Time!AM26-1),Inputs!$J$282:$AR$282,0)),INDEX(Inputs!$J$287:$AR$287,1,MATCH((Time!AM26-1),Inputs!$J$282:$AR$282,0)))</f>
        <v/>
      </c>
      <c r="AN14" s="13">
        <f>CHOOSE(Inputs!$F$33,INDEX(Inputs!$J$283:$AR$283,1,MATCH((Time!AN26-1),Inputs!$J$282:$AR$282,0)),INDEX(Inputs!$J$285:$AR$285,1,MATCH((Time!AN26-1),Inputs!$J$282:$AR$282,0)),INDEX(Inputs!$J$287:$AR$287,1,MATCH((Time!AN26-1),Inputs!$J$282:$AR$282,0)))</f>
        <v/>
      </c>
      <c r="AO14" s="13">
        <f>CHOOSE(Inputs!$F$33,INDEX(Inputs!$J$283:$AR$283,1,MATCH((Time!AO26-1),Inputs!$J$282:$AR$282,0)),INDEX(Inputs!$J$285:$AR$285,1,MATCH((Time!AO26-1),Inputs!$J$282:$AR$282,0)),INDEX(Inputs!$J$287:$AR$287,1,MATCH((Time!AO26-1),Inputs!$J$282:$AR$282,0)))</f>
        <v/>
      </c>
      <c r="AP14" s="13">
        <f>CHOOSE(Inputs!$F$33,INDEX(Inputs!$J$283:$AR$283,1,MATCH((Time!AP26-1),Inputs!$J$282:$AR$282,0)),INDEX(Inputs!$J$285:$AR$285,1,MATCH((Time!AP26-1),Inputs!$J$282:$AR$282,0)),INDEX(Inputs!$J$287:$AR$287,1,MATCH((Time!AP26-1),Inputs!$J$282:$AR$282,0)))</f>
        <v/>
      </c>
      <c r="AQ14" s="13">
        <f>CHOOSE(Inputs!$F$33,INDEX(Inputs!$J$283:$AR$283,1,MATCH((Time!AQ26-1),Inputs!$J$282:$AR$282,0)),INDEX(Inputs!$J$285:$AR$285,1,MATCH((Time!AQ26-1),Inputs!$J$282:$AR$282,0)),INDEX(Inputs!$J$287:$AR$287,1,MATCH((Time!AQ26-1),Inputs!$J$282:$AR$282,0)))</f>
        <v/>
      </c>
      <c r="AR14" s="13">
        <f>CHOOSE(Inputs!$F$33,INDEX(Inputs!$J$283:$AR$283,1,MATCH((Time!AR26-1),Inputs!$J$282:$AR$282,0)),INDEX(Inputs!$J$285:$AR$285,1,MATCH((Time!AR26-1),Inputs!$J$282:$AR$282,0)),INDEX(Inputs!$J$287:$AR$287,1,MATCH((Time!AR26-1),Inputs!$J$282:$AR$282,0)))</f>
        <v/>
      </c>
      <c r="AS14" s="13">
        <f>CHOOSE(Inputs!$F$33,INDEX(Inputs!$J$283:$AR$283,1,MATCH((Time!AS26-1),Inputs!$J$282:$AR$282,0)),INDEX(Inputs!$J$285:$AR$285,1,MATCH((Time!AS26-1),Inputs!$J$282:$AR$282,0)),INDEX(Inputs!$J$287:$AR$287,1,MATCH((Time!AS26-1),Inputs!$J$282:$AR$282,0)))</f>
        <v/>
      </c>
      <c r="AT14" s="13">
        <f>CHOOSE(Inputs!$F$33,INDEX(Inputs!$J$283:$AR$283,1,MATCH((Time!AT26-1),Inputs!$J$282:$AR$282,0)),INDEX(Inputs!$J$285:$AR$285,1,MATCH((Time!AT26-1),Inputs!$J$282:$AR$282,0)),INDEX(Inputs!$J$287:$AR$287,1,MATCH((Time!AT26-1),Inputs!$J$282:$AR$282,0)))</f>
        <v/>
      </c>
      <c r="AU14" s="13">
        <f>CHOOSE(Inputs!$F$33,INDEX(Inputs!$J$283:$AR$283,1,MATCH((Time!AU26-1),Inputs!$J$282:$AR$282,0)),INDEX(Inputs!$J$285:$AR$285,1,MATCH((Time!AU26-1),Inputs!$J$282:$AR$282,0)),INDEX(Inputs!$J$287:$AR$287,1,MATCH((Time!AU26-1),Inputs!$J$282:$AR$282,0)))</f>
        <v/>
      </c>
      <c r="AV14" s="13">
        <f>CHOOSE(Inputs!$F$33,INDEX(Inputs!$J$283:$AR$283,1,MATCH((Time!AV26-1),Inputs!$J$282:$AR$282,0)),INDEX(Inputs!$J$285:$AR$285,1,MATCH((Time!AV26-1),Inputs!$J$282:$AR$282,0)),INDEX(Inputs!$J$287:$AR$287,1,MATCH((Time!AV26-1),Inputs!$J$282:$AR$282,0)))</f>
        <v/>
      </c>
      <c r="AW14" s="13">
        <f>CHOOSE(Inputs!$F$33,INDEX(Inputs!$J$283:$AR$283,1,MATCH((Time!AW26-1),Inputs!$J$282:$AR$282,0)),INDEX(Inputs!$J$285:$AR$285,1,MATCH((Time!AW26-1),Inputs!$J$282:$AR$282,0)),INDEX(Inputs!$J$287:$AR$287,1,MATCH((Time!AW26-1),Inputs!$J$282:$AR$282,0)))</f>
        <v/>
      </c>
      <c r="AX14" s="13">
        <f>CHOOSE(Inputs!$F$33,INDEX(Inputs!$J$283:$AR$283,1,MATCH((Time!AX26-1),Inputs!$J$282:$AR$282,0)),INDEX(Inputs!$J$285:$AR$285,1,MATCH((Time!AX26-1),Inputs!$J$282:$AR$282,0)),INDEX(Inputs!$J$287:$AR$287,1,MATCH((Time!AX26-1),Inputs!$J$282:$AR$282,0)))</f>
        <v/>
      </c>
      <c r="AY14" s="13">
        <f>CHOOSE(Inputs!$F$33,INDEX(Inputs!$J$283:$AR$283,1,MATCH((Time!AY26-1),Inputs!$J$282:$AR$282,0)),INDEX(Inputs!$J$285:$AR$285,1,MATCH((Time!AY26-1),Inputs!$J$282:$AR$282,0)),INDEX(Inputs!$J$287:$AR$287,1,MATCH((Time!AY26-1),Inputs!$J$282:$AR$282,0)))</f>
        <v/>
      </c>
      <c r="AZ14" s="13">
        <f>CHOOSE(Inputs!$F$33,INDEX(Inputs!$J$283:$AR$283,1,MATCH((Time!AZ26-1),Inputs!$J$282:$AR$282,0)),INDEX(Inputs!$J$285:$AR$285,1,MATCH((Time!AZ26-1),Inputs!$J$282:$AR$282,0)),INDEX(Inputs!$J$287:$AR$287,1,MATCH((Time!AZ26-1),Inputs!$J$282:$AR$282,0)))</f>
        <v/>
      </c>
      <c r="BA14" s="13">
        <f>CHOOSE(Inputs!$F$33,INDEX(Inputs!$J$283:$AR$283,1,MATCH((Time!BA26-1),Inputs!$J$282:$AR$282,0)),INDEX(Inputs!$J$285:$AR$285,1,MATCH((Time!BA26-1),Inputs!$J$282:$AR$282,0)),INDEX(Inputs!$J$287:$AR$287,1,MATCH((Time!BA26-1),Inputs!$J$282:$AR$282,0)))</f>
        <v/>
      </c>
      <c r="BB14" s="13">
        <f>CHOOSE(Inputs!$F$33,INDEX(Inputs!$J$283:$AR$283,1,MATCH((Time!BB26-1),Inputs!$J$282:$AR$282,0)),INDEX(Inputs!$J$285:$AR$285,1,MATCH((Time!BB26-1),Inputs!$J$282:$AR$282,0)),INDEX(Inputs!$J$287:$AR$287,1,MATCH((Time!BB26-1),Inputs!$J$282:$AR$282,0)))</f>
        <v/>
      </c>
      <c r="BC14" s="13">
        <f>CHOOSE(Inputs!$F$33,INDEX(Inputs!$J$283:$AR$283,1,MATCH((Time!BC26-1),Inputs!$J$282:$AR$282,0)),INDEX(Inputs!$J$285:$AR$285,1,MATCH((Time!BC26-1),Inputs!$J$282:$AR$282,0)),INDEX(Inputs!$J$287:$AR$287,1,MATCH((Time!BC26-1),Inputs!$J$282:$AR$282,0)))</f>
        <v/>
      </c>
      <c r="BD14" s="13">
        <f>CHOOSE(Inputs!$F$33,INDEX(Inputs!$J$283:$AR$283,1,MATCH((Time!BD26-1),Inputs!$J$282:$AR$282,0)),INDEX(Inputs!$J$285:$AR$285,1,MATCH((Time!BD26-1),Inputs!$J$282:$AR$282,0)),INDEX(Inputs!$J$287:$AR$287,1,MATCH((Time!BD26-1),Inputs!$J$282:$AR$282,0)))</f>
        <v/>
      </c>
      <c r="BE14" s="13">
        <f>CHOOSE(Inputs!$F$33,INDEX(Inputs!$J$283:$AR$283,1,MATCH((Time!BE26-1),Inputs!$J$282:$AR$282,0)),INDEX(Inputs!$J$285:$AR$285,1,MATCH((Time!BE26-1),Inputs!$J$282:$AR$282,0)),INDEX(Inputs!$J$287:$AR$287,1,MATCH((Time!BE26-1),Inputs!$J$282:$AR$282,0)))</f>
        <v/>
      </c>
      <c r="BF14" s="13">
        <f>CHOOSE(Inputs!$F$33,INDEX(Inputs!$J$283:$AR$283,1,MATCH((Time!BF26-1),Inputs!$J$282:$AR$282,0)),INDEX(Inputs!$J$285:$AR$285,1,MATCH((Time!BF26-1),Inputs!$J$282:$AR$282,0)),INDEX(Inputs!$J$287:$AR$287,1,MATCH((Time!BF26-1),Inputs!$J$282:$AR$282,0)))</f>
        <v/>
      </c>
      <c r="BG14" s="13">
        <f>CHOOSE(Inputs!$F$33,INDEX(Inputs!$J$283:$AR$283,1,MATCH((Time!BG26-1),Inputs!$J$282:$AR$282,0)),INDEX(Inputs!$J$285:$AR$285,1,MATCH((Time!BG26-1),Inputs!$J$282:$AR$282,0)),INDEX(Inputs!$J$287:$AR$287,1,MATCH((Time!BG26-1),Inputs!$J$282:$AR$282,0)))</f>
        <v/>
      </c>
      <c r="BH14" s="13">
        <f>CHOOSE(Inputs!$F$33,INDEX(Inputs!$J$283:$AR$283,1,MATCH((Time!BH26-1),Inputs!$J$282:$AR$282,0)),INDEX(Inputs!$J$285:$AR$285,1,MATCH((Time!BH26-1),Inputs!$J$282:$AR$282,0)),INDEX(Inputs!$J$287:$AR$287,1,MATCH((Time!BH26-1),Inputs!$J$282:$AR$282,0)))</f>
        <v/>
      </c>
      <c r="BI14" s="13">
        <f>CHOOSE(Inputs!$F$33,INDEX(Inputs!$J$283:$AR$283,1,MATCH((Time!BI26-1),Inputs!$J$282:$AR$282,0)),INDEX(Inputs!$J$285:$AR$285,1,MATCH((Time!BI26-1),Inputs!$J$282:$AR$282,0)),INDEX(Inputs!$J$287:$AR$287,1,MATCH((Time!BI26-1),Inputs!$J$282:$AR$282,0)))</f>
        <v/>
      </c>
      <c r="BJ14" s="13">
        <f>CHOOSE(Inputs!$F$33,INDEX(Inputs!$J$283:$AR$283,1,MATCH((Time!BJ26-1),Inputs!$J$282:$AR$282,0)),INDEX(Inputs!$J$285:$AR$285,1,MATCH((Time!BJ26-1),Inputs!$J$282:$AR$282,0)),INDEX(Inputs!$J$287:$AR$287,1,MATCH((Time!BJ26-1),Inputs!$J$282:$AR$282,0)))</f>
        <v/>
      </c>
      <c r="BK14" s="13">
        <f>CHOOSE(Inputs!$F$33,INDEX(Inputs!$J$283:$AR$283,1,MATCH((Time!BK26-1),Inputs!$J$282:$AR$282,0)),INDEX(Inputs!$J$285:$AR$285,1,MATCH((Time!BK26-1),Inputs!$J$282:$AR$282,0)),INDEX(Inputs!$J$287:$AR$287,1,MATCH((Time!BK26-1),Inputs!$J$282:$AR$282,0)))</f>
        <v/>
      </c>
      <c r="BL14" s="13">
        <f>CHOOSE(Inputs!$F$33,INDEX(Inputs!$J$283:$AR$283,1,MATCH((Time!BL26-1),Inputs!$J$282:$AR$282,0)),INDEX(Inputs!$J$285:$AR$285,1,MATCH((Time!BL26-1),Inputs!$J$282:$AR$282,0)),INDEX(Inputs!$J$287:$AR$287,1,MATCH((Time!BL26-1),Inputs!$J$282:$AR$282,0)))</f>
        <v/>
      </c>
      <c r="BM14" s="13">
        <f>CHOOSE(Inputs!$F$33,INDEX(Inputs!$J$283:$AR$283,1,MATCH((Time!BM26-1),Inputs!$J$282:$AR$282,0)),INDEX(Inputs!$J$285:$AR$285,1,MATCH((Time!BM26-1),Inputs!$J$282:$AR$282,0)),INDEX(Inputs!$J$287:$AR$287,1,MATCH((Time!BM26-1),Inputs!$J$282:$AR$282,0)))</f>
        <v/>
      </c>
      <c r="BN14" s="13">
        <f>CHOOSE(Inputs!$F$33,INDEX(Inputs!$J$283:$AR$283,1,MATCH((Time!BN26-1),Inputs!$J$282:$AR$282,0)),INDEX(Inputs!$J$285:$AR$285,1,MATCH((Time!BN26-1),Inputs!$J$282:$AR$282,0)),INDEX(Inputs!$J$287:$AR$287,1,MATCH((Time!BN26-1),Inputs!$J$282:$AR$282,0)))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3">
        <f>CHOOSE(Inputs!$F$33,INDEX(Inputs!$J$284:$AR$284,1,MATCH((Time!J26-1),Inputs!$J$282:$AR$282,0)),INDEX(Inputs!$J$286:$AR$286,1,MATCH((Time!J26-1),Inputs!$J$282:$AR$282,0)),INDEX(Inputs!$J$288:$AR$288,1,MATCH((Time!J26-1),Inputs!$J$282:$AR$282,0)))</f>
        <v/>
      </c>
      <c r="K15" s="13">
        <f>CHOOSE(Inputs!$F$33,INDEX(Inputs!$J$284:$AR$284,1,MATCH((Time!K26-1),Inputs!$J$282:$AR$282,0)),INDEX(Inputs!$J$286:$AR$286,1,MATCH((Time!K26-1),Inputs!$J$282:$AR$282,0)),INDEX(Inputs!$J$288:$AR$288,1,MATCH((Time!K26-1),Inputs!$J$282:$AR$282,0)))</f>
        <v/>
      </c>
      <c r="L15" s="13">
        <f>CHOOSE(Inputs!$F$33,INDEX(Inputs!$J$284:$AR$284,1,MATCH((Time!L26-1),Inputs!$J$282:$AR$282,0)),INDEX(Inputs!$J$286:$AR$286,1,MATCH((Time!L26-1),Inputs!$J$282:$AR$282,0)),INDEX(Inputs!$J$288:$AR$288,1,MATCH((Time!L26-1),Inputs!$J$282:$AR$282,0)))</f>
        <v/>
      </c>
      <c r="M15" s="13">
        <f>CHOOSE(Inputs!$F$33,INDEX(Inputs!$J$284:$AR$284,1,MATCH((Time!M26-1),Inputs!$J$282:$AR$282,0)),INDEX(Inputs!$J$286:$AR$286,1,MATCH((Time!M26-1),Inputs!$J$282:$AR$282,0)),INDEX(Inputs!$J$288:$AR$288,1,MATCH((Time!M26-1),Inputs!$J$282:$AR$282,0)))</f>
        <v/>
      </c>
      <c r="N15" s="13">
        <f>CHOOSE(Inputs!$F$33,INDEX(Inputs!$J$284:$AR$284,1,MATCH((Time!N26-1),Inputs!$J$282:$AR$282,0)),INDEX(Inputs!$J$286:$AR$286,1,MATCH((Time!N26-1),Inputs!$J$282:$AR$282,0)),INDEX(Inputs!$J$288:$AR$288,1,MATCH((Time!N26-1),Inputs!$J$282:$AR$282,0)))</f>
        <v/>
      </c>
      <c r="O15" s="13">
        <f>CHOOSE(Inputs!$F$33,INDEX(Inputs!$J$284:$AR$284,1,MATCH((Time!O26-1),Inputs!$J$282:$AR$282,0)),INDEX(Inputs!$J$286:$AR$286,1,MATCH((Time!O26-1),Inputs!$J$282:$AR$282,0)),INDEX(Inputs!$J$288:$AR$288,1,MATCH((Time!O26-1),Inputs!$J$282:$AR$282,0)))</f>
        <v/>
      </c>
      <c r="P15" s="13">
        <f>CHOOSE(Inputs!$F$33,INDEX(Inputs!$J$284:$AR$284,1,MATCH((Time!P26-1),Inputs!$J$282:$AR$282,0)),INDEX(Inputs!$J$286:$AR$286,1,MATCH((Time!P26-1),Inputs!$J$282:$AR$282,0)),INDEX(Inputs!$J$288:$AR$288,1,MATCH((Time!P26-1),Inputs!$J$282:$AR$282,0)))</f>
        <v/>
      </c>
      <c r="Q15" s="13">
        <f>CHOOSE(Inputs!$F$33,INDEX(Inputs!$J$284:$AR$284,1,MATCH((Time!Q26-1),Inputs!$J$282:$AR$282,0)),INDEX(Inputs!$J$286:$AR$286,1,MATCH((Time!Q26-1),Inputs!$J$282:$AR$282,0)),INDEX(Inputs!$J$288:$AR$288,1,MATCH((Time!Q26-1),Inputs!$J$282:$AR$282,0)))</f>
        <v/>
      </c>
      <c r="R15" s="13">
        <f>CHOOSE(Inputs!$F$33,INDEX(Inputs!$J$284:$AR$284,1,MATCH((Time!R26-1),Inputs!$J$282:$AR$282,0)),INDEX(Inputs!$J$286:$AR$286,1,MATCH((Time!R26-1),Inputs!$J$282:$AR$282,0)),INDEX(Inputs!$J$288:$AR$288,1,MATCH((Time!R26-1),Inputs!$J$282:$AR$282,0)))</f>
        <v/>
      </c>
      <c r="S15" s="13">
        <f>CHOOSE(Inputs!$F$33,INDEX(Inputs!$J$284:$AR$284,1,MATCH((Time!S26-1),Inputs!$J$282:$AR$282,0)),INDEX(Inputs!$J$286:$AR$286,1,MATCH((Time!S26-1),Inputs!$J$282:$AR$282,0)),INDEX(Inputs!$J$288:$AR$288,1,MATCH((Time!S26-1),Inputs!$J$282:$AR$282,0)))</f>
        <v/>
      </c>
      <c r="T15" s="13">
        <f>CHOOSE(Inputs!$F$33,INDEX(Inputs!$J$284:$AR$284,1,MATCH((Time!T26-1),Inputs!$J$282:$AR$282,0)),INDEX(Inputs!$J$286:$AR$286,1,MATCH((Time!T26-1),Inputs!$J$282:$AR$282,0)),INDEX(Inputs!$J$288:$AR$288,1,MATCH((Time!T26-1),Inputs!$J$282:$AR$282,0)))</f>
        <v/>
      </c>
      <c r="U15" s="13">
        <f>CHOOSE(Inputs!$F$33,INDEX(Inputs!$J$284:$AR$284,1,MATCH((Time!U26-1),Inputs!$J$282:$AR$282,0)),INDEX(Inputs!$J$286:$AR$286,1,MATCH((Time!U26-1),Inputs!$J$282:$AR$282,0)),INDEX(Inputs!$J$288:$AR$288,1,MATCH((Time!U26-1),Inputs!$J$282:$AR$282,0)))</f>
        <v/>
      </c>
      <c r="V15" s="13">
        <f>CHOOSE(Inputs!$F$33,INDEX(Inputs!$J$284:$AR$284,1,MATCH((Time!V26-1),Inputs!$J$282:$AR$282,0)),INDEX(Inputs!$J$286:$AR$286,1,MATCH((Time!V26-1),Inputs!$J$282:$AR$282,0)),INDEX(Inputs!$J$288:$AR$288,1,MATCH((Time!V26-1),Inputs!$J$282:$AR$282,0)))</f>
        <v/>
      </c>
      <c r="W15" s="13">
        <f>CHOOSE(Inputs!$F$33,INDEX(Inputs!$J$284:$AR$284,1,MATCH((Time!W26-1),Inputs!$J$282:$AR$282,0)),INDEX(Inputs!$J$286:$AR$286,1,MATCH((Time!W26-1),Inputs!$J$282:$AR$282,0)),INDEX(Inputs!$J$288:$AR$288,1,MATCH((Time!W26-1),Inputs!$J$282:$AR$282,0)))</f>
        <v/>
      </c>
      <c r="X15" s="13">
        <f>CHOOSE(Inputs!$F$33,INDEX(Inputs!$J$284:$AR$284,1,MATCH((Time!X26-1),Inputs!$J$282:$AR$282,0)),INDEX(Inputs!$J$286:$AR$286,1,MATCH((Time!X26-1),Inputs!$J$282:$AR$282,0)),INDEX(Inputs!$J$288:$AR$288,1,MATCH((Time!X26-1),Inputs!$J$282:$AR$282,0)))</f>
        <v/>
      </c>
      <c r="Y15" s="13">
        <f>CHOOSE(Inputs!$F$33,INDEX(Inputs!$J$284:$AR$284,1,MATCH((Time!Y26-1),Inputs!$J$282:$AR$282,0)),INDEX(Inputs!$J$286:$AR$286,1,MATCH((Time!Y26-1),Inputs!$J$282:$AR$282,0)),INDEX(Inputs!$J$288:$AR$288,1,MATCH((Time!Y26-1),Inputs!$J$282:$AR$282,0)))</f>
        <v/>
      </c>
      <c r="Z15" s="13">
        <f>CHOOSE(Inputs!$F$33,INDEX(Inputs!$J$284:$AR$284,1,MATCH((Time!Z26-1),Inputs!$J$282:$AR$282,0)),INDEX(Inputs!$J$286:$AR$286,1,MATCH((Time!Z26-1),Inputs!$J$282:$AR$282,0)),INDEX(Inputs!$J$288:$AR$288,1,MATCH((Time!Z26-1),Inputs!$J$282:$AR$282,0)))</f>
        <v/>
      </c>
      <c r="AA15" s="13">
        <f>CHOOSE(Inputs!$F$33,INDEX(Inputs!$J$284:$AR$284,1,MATCH((Time!AA26-1),Inputs!$J$282:$AR$282,0)),INDEX(Inputs!$J$286:$AR$286,1,MATCH((Time!AA26-1),Inputs!$J$282:$AR$282,0)),INDEX(Inputs!$J$288:$AR$288,1,MATCH((Time!AA26-1),Inputs!$J$282:$AR$282,0)))</f>
        <v/>
      </c>
      <c r="AB15" s="13">
        <f>CHOOSE(Inputs!$F$33,INDEX(Inputs!$J$284:$AR$284,1,MATCH((Time!AB26-1),Inputs!$J$282:$AR$282,0)),INDEX(Inputs!$J$286:$AR$286,1,MATCH((Time!AB26-1),Inputs!$J$282:$AR$282,0)),INDEX(Inputs!$J$288:$AR$288,1,MATCH((Time!AB26-1),Inputs!$J$282:$AR$282,0)))</f>
        <v/>
      </c>
      <c r="AC15" s="13">
        <f>CHOOSE(Inputs!$F$33,INDEX(Inputs!$J$284:$AR$284,1,MATCH((Time!AC26-1),Inputs!$J$282:$AR$282,0)),INDEX(Inputs!$J$286:$AR$286,1,MATCH((Time!AC26-1),Inputs!$J$282:$AR$282,0)),INDEX(Inputs!$J$288:$AR$288,1,MATCH((Time!AC26-1),Inputs!$J$282:$AR$282,0)))</f>
        <v/>
      </c>
      <c r="AD15" s="13">
        <f>CHOOSE(Inputs!$F$33,INDEX(Inputs!$J$284:$AR$284,1,MATCH((Time!AD26-1),Inputs!$J$282:$AR$282,0)),INDEX(Inputs!$J$286:$AR$286,1,MATCH((Time!AD26-1),Inputs!$J$282:$AR$282,0)),INDEX(Inputs!$J$288:$AR$288,1,MATCH((Time!AD26-1),Inputs!$J$282:$AR$282,0)))</f>
        <v/>
      </c>
      <c r="AE15" s="13">
        <f>CHOOSE(Inputs!$F$33,INDEX(Inputs!$J$284:$AR$284,1,MATCH((Time!AE26-1),Inputs!$J$282:$AR$282,0)),INDEX(Inputs!$J$286:$AR$286,1,MATCH((Time!AE26-1),Inputs!$J$282:$AR$282,0)),INDEX(Inputs!$J$288:$AR$288,1,MATCH((Time!AE26-1),Inputs!$J$282:$AR$282,0)))</f>
        <v/>
      </c>
      <c r="AF15" s="13">
        <f>CHOOSE(Inputs!$F$33,INDEX(Inputs!$J$284:$AR$284,1,MATCH((Time!AF26-1),Inputs!$J$282:$AR$282,0)),INDEX(Inputs!$J$286:$AR$286,1,MATCH((Time!AF26-1),Inputs!$J$282:$AR$282,0)),INDEX(Inputs!$J$288:$AR$288,1,MATCH((Time!AF26-1),Inputs!$J$282:$AR$282,0)))</f>
        <v/>
      </c>
      <c r="AG15" s="13">
        <f>CHOOSE(Inputs!$F$33,INDEX(Inputs!$J$284:$AR$284,1,MATCH((Time!AG26-1),Inputs!$J$282:$AR$282,0)),INDEX(Inputs!$J$286:$AR$286,1,MATCH((Time!AG26-1),Inputs!$J$282:$AR$282,0)),INDEX(Inputs!$J$288:$AR$288,1,MATCH((Time!AG26-1),Inputs!$J$282:$AR$282,0)))</f>
        <v/>
      </c>
      <c r="AH15" s="13">
        <f>CHOOSE(Inputs!$F$33,INDEX(Inputs!$J$284:$AR$284,1,MATCH((Time!AH26-1),Inputs!$J$282:$AR$282,0)),INDEX(Inputs!$J$286:$AR$286,1,MATCH((Time!AH26-1),Inputs!$J$282:$AR$282,0)),INDEX(Inputs!$J$288:$AR$288,1,MATCH((Time!AH26-1),Inputs!$J$282:$AR$282,0)))</f>
        <v/>
      </c>
      <c r="AI15" s="13">
        <f>CHOOSE(Inputs!$F$33,INDEX(Inputs!$J$284:$AR$284,1,MATCH((Time!AI26-1),Inputs!$J$282:$AR$282,0)),INDEX(Inputs!$J$286:$AR$286,1,MATCH((Time!AI26-1),Inputs!$J$282:$AR$282,0)),INDEX(Inputs!$J$288:$AR$288,1,MATCH((Time!AI26-1),Inputs!$J$282:$AR$282,0)))</f>
        <v/>
      </c>
      <c r="AJ15" s="13">
        <f>CHOOSE(Inputs!$F$33,INDEX(Inputs!$J$284:$AR$284,1,MATCH((Time!AJ26-1),Inputs!$J$282:$AR$282,0)),INDEX(Inputs!$J$286:$AR$286,1,MATCH((Time!AJ26-1),Inputs!$J$282:$AR$282,0)),INDEX(Inputs!$J$288:$AR$288,1,MATCH((Time!AJ26-1),Inputs!$J$282:$AR$282,0)))</f>
        <v/>
      </c>
      <c r="AK15" s="13">
        <f>CHOOSE(Inputs!$F$33,INDEX(Inputs!$J$284:$AR$284,1,MATCH((Time!AK26-1),Inputs!$J$282:$AR$282,0)),INDEX(Inputs!$J$286:$AR$286,1,MATCH((Time!AK26-1),Inputs!$J$282:$AR$282,0)),INDEX(Inputs!$J$288:$AR$288,1,MATCH((Time!AK26-1),Inputs!$J$282:$AR$282,0)))</f>
        <v/>
      </c>
      <c r="AL15" s="13">
        <f>CHOOSE(Inputs!$F$33,INDEX(Inputs!$J$284:$AR$284,1,MATCH((Time!AL26-1),Inputs!$J$282:$AR$282,0)),INDEX(Inputs!$J$286:$AR$286,1,MATCH((Time!AL26-1),Inputs!$J$282:$AR$282,0)),INDEX(Inputs!$J$288:$AR$288,1,MATCH((Time!AL26-1),Inputs!$J$282:$AR$282,0)))</f>
        <v/>
      </c>
      <c r="AM15" s="13">
        <f>CHOOSE(Inputs!$F$33,INDEX(Inputs!$J$284:$AR$284,1,MATCH((Time!AM26-1),Inputs!$J$282:$AR$282,0)),INDEX(Inputs!$J$286:$AR$286,1,MATCH((Time!AM26-1),Inputs!$J$282:$AR$282,0)),INDEX(Inputs!$J$288:$AR$288,1,MATCH((Time!AM26-1),Inputs!$J$282:$AR$282,0)))</f>
        <v/>
      </c>
      <c r="AN15" s="13">
        <f>CHOOSE(Inputs!$F$33,INDEX(Inputs!$J$284:$AR$284,1,MATCH((Time!AN26-1),Inputs!$J$282:$AR$282,0)),INDEX(Inputs!$J$286:$AR$286,1,MATCH((Time!AN26-1),Inputs!$J$282:$AR$282,0)),INDEX(Inputs!$J$288:$AR$288,1,MATCH((Time!AN26-1),Inputs!$J$282:$AR$282,0)))</f>
        <v/>
      </c>
      <c r="AO15" s="13">
        <f>CHOOSE(Inputs!$F$33,INDEX(Inputs!$J$284:$AR$284,1,MATCH((Time!AO26-1),Inputs!$J$282:$AR$282,0)),INDEX(Inputs!$J$286:$AR$286,1,MATCH((Time!AO26-1),Inputs!$J$282:$AR$282,0)),INDEX(Inputs!$J$288:$AR$288,1,MATCH((Time!AO26-1),Inputs!$J$282:$AR$282,0)))</f>
        <v/>
      </c>
      <c r="AP15" s="13">
        <f>CHOOSE(Inputs!$F$33,INDEX(Inputs!$J$284:$AR$284,1,MATCH((Time!AP26-1),Inputs!$J$282:$AR$282,0)),INDEX(Inputs!$J$286:$AR$286,1,MATCH((Time!AP26-1),Inputs!$J$282:$AR$282,0)),INDEX(Inputs!$J$288:$AR$288,1,MATCH((Time!AP26-1),Inputs!$J$282:$AR$282,0)))</f>
        <v/>
      </c>
      <c r="AQ15" s="13">
        <f>CHOOSE(Inputs!$F$33,INDEX(Inputs!$J$284:$AR$284,1,MATCH((Time!AQ26-1),Inputs!$J$282:$AR$282,0)),INDEX(Inputs!$J$286:$AR$286,1,MATCH((Time!AQ26-1),Inputs!$J$282:$AR$282,0)),INDEX(Inputs!$J$288:$AR$288,1,MATCH((Time!AQ26-1),Inputs!$J$282:$AR$282,0)))</f>
        <v/>
      </c>
      <c r="AR15" s="13">
        <f>CHOOSE(Inputs!$F$33,INDEX(Inputs!$J$284:$AR$284,1,MATCH((Time!AR26-1),Inputs!$J$282:$AR$282,0)),INDEX(Inputs!$J$286:$AR$286,1,MATCH((Time!AR26-1),Inputs!$J$282:$AR$282,0)),INDEX(Inputs!$J$288:$AR$288,1,MATCH((Time!AR26-1),Inputs!$J$282:$AR$282,0)))</f>
        <v/>
      </c>
      <c r="AS15" s="13">
        <f>CHOOSE(Inputs!$F$33,INDEX(Inputs!$J$284:$AR$284,1,MATCH((Time!AS26-1),Inputs!$J$282:$AR$282,0)),INDEX(Inputs!$J$286:$AR$286,1,MATCH((Time!AS26-1),Inputs!$J$282:$AR$282,0)),INDEX(Inputs!$J$288:$AR$288,1,MATCH((Time!AS26-1),Inputs!$J$282:$AR$282,0)))</f>
        <v/>
      </c>
      <c r="AT15" s="13">
        <f>CHOOSE(Inputs!$F$33,INDEX(Inputs!$J$284:$AR$284,1,MATCH((Time!AT26-1),Inputs!$J$282:$AR$282,0)),INDEX(Inputs!$J$286:$AR$286,1,MATCH((Time!AT26-1),Inputs!$J$282:$AR$282,0)),INDEX(Inputs!$J$288:$AR$288,1,MATCH((Time!AT26-1),Inputs!$J$282:$AR$282,0)))</f>
        <v/>
      </c>
      <c r="AU15" s="13">
        <f>CHOOSE(Inputs!$F$33,INDEX(Inputs!$J$284:$AR$284,1,MATCH((Time!AU26-1),Inputs!$J$282:$AR$282,0)),INDEX(Inputs!$J$286:$AR$286,1,MATCH((Time!AU26-1),Inputs!$J$282:$AR$282,0)),INDEX(Inputs!$J$288:$AR$288,1,MATCH((Time!AU26-1),Inputs!$J$282:$AR$282,0)))</f>
        <v/>
      </c>
      <c r="AV15" s="13">
        <f>CHOOSE(Inputs!$F$33,INDEX(Inputs!$J$284:$AR$284,1,MATCH((Time!AV26-1),Inputs!$J$282:$AR$282,0)),INDEX(Inputs!$J$286:$AR$286,1,MATCH((Time!AV26-1),Inputs!$J$282:$AR$282,0)),INDEX(Inputs!$J$288:$AR$288,1,MATCH((Time!AV26-1),Inputs!$J$282:$AR$282,0)))</f>
        <v/>
      </c>
      <c r="AW15" s="13">
        <f>CHOOSE(Inputs!$F$33,INDEX(Inputs!$J$284:$AR$284,1,MATCH((Time!AW26-1),Inputs!$J$282:$AR$282,0)),INDEX(Inputs!$J$286:$AR$286,1,MATCH((Time!AW26-1),Inputs!$J$282:$AR$282,0)),INDEX(Inputs!$J$288:$AR$288,1,MATCH((Time!AW26-1),Inputs!$J$282:$AR$282,0)))</f>
        <v/>
      </c>
      <c r="AX15" s="13">
        <f>CHOOSE(Inputs!$F$33,INDEX(Inputs!$J$284:$AR$284,1,MATCH((Time!AX26-1),Inputs!$J$282:$AR$282,0)),INDEX(Inputs!$J$286:$AR$286,1,MATCH((Time!AX26-1),Inputs!$J$282:$AR$282,0)),INDEX(Inputs!$J$288:$AR$288,1,MATCH((Time!AX26-1),Inputs!$J$282:$AR$282,0)))</f>
        <v/>
      </c>
      <c r="AY15" s="13">
        <f>CHOOSE(Inputs!$F$33,INDEX(Inputs!$J$284:$AR$284,1,MATCH((Time!AY26-1),Inputs!$J$282:$AR$282,0)),INDEX(Inputs!$J$286:$AR$286,1,MATCH((Time!AY26-1),Inputs!$J$282:$AR$282,0)),INDEX(Inputs!$J$288:$AR$288,1,MATCH((Time!AY26-1),Inputs!$J$282:$AR$282,0)))</f>
        <v/>
      </c>
      <c r="AZ15" s="13">
        <f>CHOOSE(Inputs!$F$33,INDEX(Inputs!$J$284:$AR$284,1,MATCH((Time!AZ26-1),Inputs!$J$282:$AR$282,0)),INDEX(Inputs!$J$286:$AR$286,1,MATCH((Time!AZ26-1),Inputs!$J$282:$AR$282,0)),INDEX(Inputs!$J$288:$AR$288,1,MATCH((Time!AZ26-1),Inputs!$J$282:$AR$282,0)))</f>
        <v/>
      </c>
      <c r="BA15" s="13">
        <f>CHOOSE(Inputs!$F$33,INDEX(Inputs!$J$284:$AR$284,1,MATCH((Time!BA26-1),Inputs!$J$282:$AR$282,0)),INDEX(Inputs!$J$286:$AR$286,1,MATCH((Time!BA26-1),Inputs!$J$282:$AR$282,0)),INDEX(Inputs!$J$288:$AR$288,1,MATCH((Time!BA26-1),Inputs!$J$282:$AR$282,0)))</f>
        <v/>
      </c>
      <c r="BB15" s="13">
        <f>CHOOSE(Inputs!$F$33,INDEX(Inputs!$J$284:$AR$284,1,MATCH((Time!BB26-1),Inputs!$J$282:$AR$282,0)),INDEX(Inputs!$J$286:$AR$286,1,MATCH((Time!BB26-1),Inputs!$J$282:$AR$282,0)),INDEX(Inputs!$J$288:$AR$288,1,MATCH((Time!BB26-1),Inputs!$J$282:$AR$282,0)))</f>
        <v/>
      </c>
      <c r="BC15" s="13">
        <f>CHOOSE(Inputs!$F$33,INDEX(Inputs!$J$284:$AR$284,1,MATCH((Time!BC26-1),Inputs!$J$282:$AR$282,0)),INDEX(Inputs!$J$286:$AR$286,1,MATCH((Time!BC26-1),Inputs!$J$282:$AR$282,0)),INDEX(Inputs!$J$288:$AR$288,1,MATCH((Time!BC26-1),Inputs!$J$282:$AR$282,0)))</f>
        <v/>
      </c>
      <c r="BD15" s="13">
        <f>CHOOSE(Inputs!$F$33,INDEX(Inputs!$J$284:$AR$284,1,MATCH((Time!BD26-1),Inputs!$J$282:$AR$282,0)),INDEX(Inputs!$J$286:$AR$286,1,MATCH((Time!BD26-1),Inputs!$J$282:$AR$282,0)),INDEX(Inputs!$J$288:$AR$288,1,MATCH((Time!BD26-1),Inputs!$J$282:$AR$282,0)))</f>
        <v/>
      </c>
      <c r="BE15" s="13">
        <f>CHOOSE(Inputs!$F$33,INDEX(Inputs!$J$284:$AR$284,1,MATCH((Time!BE26-1),Inputs!$J$282:$AR$282,0)),INDEX(Inputs!$J$286:$AR$286,1,MATCH((Time!BE26-1),Inputs!$J$282:$AR$282,0)),INDEX(Inputs!$J$288:$AR$288,1,MATCH((Time!BE26-1),Inputs!$J$282:$AR$282,0)))</f>
        <v/>
      </c>
      <c r="BF15" s="13">
        <f>CHOOSE(Inputs!$F$33,INDEX(Inputs!$J$284:$AR$284,1,MATCH((Time!BF26-1),Inputs!$J$282:$AR$282,0)),INDEX(Inputs!$J$286:$AR$286,1,MATCH((Time!BF26-1),Inputs!$J$282:$AR$282,0)),INDEX(Inputs!$J$288:$AR$288,1,MATCH((Time!BF26-1),Inputs!$J$282:$AR$282,0)))</f>
        <v/>
      </c>
      <c r="BG15" s="13">
        <f>CHOOSE(Inputs!$F$33,INDEX(Inputs!$J$284:$AR$284,1,MATCH((Time!BG26-1),Inputs!$J$282:$AR$282,0)),INDEX(Inputs!$J$286:$AR$286,1,MATCH((Time!BG26-1),Inputs!$J$282:$AR$282,0)),INDEX(Inputs!$J$288:$AR$288,1,MATCH((Time!BG26-1),Inputs!$J$282:$AR$282,0)))</f>
        <v/>
      </c>
      <c r="BH15" s="13">
        <f>CHOOSE(Inputs!$F$33,INDEX(Inputs!$J$284:$AR$284,1,MATCH((Time!BH26-1),Inputs!$J$282:$AR$282,0)),INDEX(Inputs!$J$286:$AR$286,1,MATCH((Time!BH26-1),Inputs!$J$282:$AR$282,0)),INDEX(Inputs!$J$288:$AR$288,1,MATCH((Time!BH26-1),Inputs!$J$282:$AR$282,0)))</f>
        <v/>
      </c>
      <c r="BI15" s="13">
        <f>CHOOSE(Inputs!$F$33,INDEX(Inputs!$J$284:$AR$284,1,MATCH((Time!BI26-1),Inputs!$J$282:$AR$282,0)),INDEX(Inputs!$J$286:$AR$286,1,MATCH((Time!BI26-1),Inputs!$J$282:$AR$282,0)),INDEX(Inputs!$J$288:$AR$288,1,MATCH((Time!BI26-1),Inputs!$J$282:$AR$282,0)))</f>
        <v/>
      </c>
      <c r="BJ15" s="13">
        <f>CHOOSE(Inputs!$F$33,INDEX(Inputs!$J$284:$AR$284,1,MATCH((Time!BJ26-1),Inputs!$J$282:$AR$282,0)),INDEX(Inputs!$J$286:$AR$286,1,MATCH((Time!BJ26-1),Inputs!$J$282:$AR$282,0)),INDEX(Inputs!$J$288:$AR$288,1,MATCH((Time!BJ26-1),Inputs!$J$282:$AR$282,0)))</f>
        <v/>
      </c>
      <c r="BK15" s="13">
        <f>CHOOSE(Inputs!$F$33,INDEX(Inputs!$J$284:$AR$284,1,MATCH((Time!BK26-1),Inputs!$J$282:$AR$282,0)),INDEX(Inputs!$J$286:$AR$286,1,MATCH((Time!BK26-1),Inputs!$J$282:$AR$282,0)),INDEX(Inputs!$J$288:$AR$288,1,MATCH((Time!BK26-1),Inputs!$J$282:$AR$282,0)))</f>
        <v/>
      </c>
      <c r="BL15" s="13">
        <f>CHOOSE(Inputs!$F$33,INDEX(Inputs!$J$284:$AR$284,1,MATCH((Time!BL26-1),Inputs!$J$282:$AR$282,0)),INDEX(Inputs!$J$286:$AR$286,1,MATCH((Time!BL26-1),Inputs!$J$282:$AR$282,0)),INDEX(Inputs!$J$288:$AR$288,1,MATCH((Time!BL26-1),Inputs!$J$282:$AR$282,0)))</f>
        <v/>
      </c>
      <c r="BM15" s="13">
        <f>CHOOSE(Inputs!$F$33,INDEX(Inputs!$J$284:$AR$284,1,MATCH((Time!BM26-1),Inputs!$J$282:$AR$282,0)),INDEX(Inputs!$J$286:$AR$286,1,MATCH((Time!BM26-1),Inputs!$J$282:$AR$282,0)),INDEX(Inputs!$J$288:$AR$288,1,MATCH((Time!BM26-1),Inputs!$J$282:$AR$282,0)))</f>
        <v/>
      </c>
      <c r="BN15" s="13">
        <f>CHOOSE(Inputs!$F$33,INDEX(Inputs!$J$284:$AR$284,1,MATCH((Time!BN26-1),Inputs!$J$282:$AR$282,0)),INDEX(Inputs!$J$286:$AR$286,1,MATCH((Time!BN26-1),Inputs!$J$282:$AR$282,0)),INDEX(Inputs!$J$288:$AR$288,1,MATCH((Time!BN26-1),Inputs!$J$282:$AR$282,0)))</f>
        <v/>
      </c>
    </row>
    <row r="16">
      <c r="D16" t="inlineStr">
        <is>
          <t>US index, 2018 price base month</t>
        </is>
      </c>
      <c r="E16" t="inlineStr">
        <is>
          <t>index</t>
        </is>
      </c>
      <c r="F16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$235/12)</f>
        <v/>
      </c>
    </row>
    <row r="17">
      <c r="D17" t="inlineStr">
        <is>
          <t>US index, first cost reading</t>
        </is>
      </c>
      <c r="E17" t="inlineStr">
        <is>
          <t>index</t>
        </is>
      </c>
      <c r="F17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$233/12)</f>
        <v/>
      </c>
    </row>
    <row r="18">
      <c r="D18" t="inlineStr">
        <is>
          <t>US index, first tariff reading</t>
        </is>
      </c>
      <c r="E18" t="inlineStr">
        <is>
          <t>index</t>
        </is>
      </c>
      <c r="F18" s="6">
        <f>Inputs!$F$232*(1+CHOOSE(Inputs!$F$33,INDEX(Inputs!$J$283:$AR$283,1,MATCH(Inputs!$F$230,Inputs!$J$282:$AR$282,0)),INDEX(Inputs!$J$285:$AR$285,1,MATCH(Inputs!$F$230,Inputs!$J$282:$AR$282,0)),INDEX(Inputs!$J$287:$AR$287,1,MATCH(Inputs!$F$230,Inputs!$J$282:$AR$282,0)))/100)^((12-Inputs!$F$231)/12)*(1+CHOOSE(Inputs!$F$33,INDEX(Inputs!$J$283:$AR$283,1,MATCH(Inputs!$F$230+1,Inputs!$J$282:$AR$282,0)),INDEX(Inputs!$J$285:$AR$285,1,MATCH(Inputs!$F$230+1,Inputs!$J$282:$AR$282,0)),INDEX(Inputs!$J$287:$AR$287,1,MATCH(Inputs!$F$230+1,Inputs!$J$282:$AR$282,0)))/100)*(1+CHOOSE(Inputs!$F$33,INDEX(Inputs!$J$283:$AR$283,1,MATCH(YEAR(Inputs!$F$189),Inputs!$J$282:$AR$282,0)),INDEX(Inputs!$J$285:$AR$285,1,MATCH(YEAR(Inputs!$F$189),Inputs!$J$282:$AR$282,0)),INDEX(Inputs!$J$287:$AR$287,1,MATCH(YEAR(Inputs!$F$189),Inputs!$J$282:$AR$282,0)))/100)^(Inputs!$F$234/12)</f>
        <v/>
      </c>
    </row>
    <row r="19">
      <c r="D19" t="inlineStr">
        <is>
          <t>US CPI index, cost reading (Mar/Sep), Nov 2016 = 100</t>
        </is>
      </c>
      <c r="E19" t="inlineStr">
        <is>
          <t>index</t>
        </is>
      </c>
      <c r="J19" s="13">
        <f>IF(Time!J20=1,$F$17,I19*IF(Time!J27=1,(1+J14/100)^(Inputs!$F$236/12)*(1+J12/100)^((Time!J21-Inputs!$F$236)/12),(1+J12/100)^Time!J24))</f>
        <v/>
      </c>
      <c r="K19" s="13">
        <f>IF(Time!K20=1,$F$17,J19*IF(Time!K27=1,(1+K14/100)^(Inputs!$F$236/12)*(1+K12/100)^((Time!K21-Inputs!$F$236)/12),(1+K12/100)^Time!K24))</f>
        <v/>
      </c>
      <c r="L19" s="13">
        <f>IF(Time!L20=1,$F$17,K19*IF(Time!L27=1,(1+L14/100)^(Inputs!$F$236/12)*(1+L12/100)^((Time!L21-Inputs!$F$236)/12),(1+L12/100)^Time!L24))</f>
        <v/>
      </c>
      <c r="M19" s="13">
        <f>IF(Time!M20=1,$F$17,L19*IF(Time!M27=1,(1+M14/100)^(Inputs!$F$236/12)*(1+M12/100)^((Time!M21-Inputs!$F$236)/12),(1+M12/100)^Time!M24))</f>
        <v/>
      </c>
      <c r="N19" s="13">
        <f>IF(Time!N20=1,$F$17,M19*IF(Time!N27=1,(1+N14/100)^(Inputs!$F$236/12)*(1+N12/100)^((Time!N21-Inputs!$F$236)/12),(1+N12/100)^Time!N24))</f>
        <v/>
      </c>
      <c r="O19" s="13">
        <f>IF(Time!O20=1,$F$17,N19*IF(Time!O27=1,(1+O14/100)^(Inputs!$F$236/12)*(1+O12/100)^((Time!O21-Inputs!$F$236)/12),(1+O12/100)^Time!O24))</f>
        <v/>
      </c>
      <c r="P19" s="13">
        <f>IF(Time!P20=1,$F$17,O19*IF(Time!P27=1,(1+P14/100)^(Inputs!$F$236/12)*(1+P12/100)^((Time!P21-Inputs!$F$236)/12),(1+P12/100)^Time!P24))</f>
        <v/>
      </c>
      <c r="Q19" s="13">
        <f>IF(Time!Q20=1,$F$17,P19*IF(Time!Q27=1,(1+Q14/100)^(Inputs!$F$236/12)*(1+Q12/100)^((Time!Q21-Inputs!$F$236)/12),(1+Q12/100)^Time!Q24))</f>
        <v/>
      </c>
      <c r="R19" s="13">
        <f>IF(Time!R20=1,$F$17,Q19*IF(Time!R27=1,(1+R14/100)^(Inputs!$F$236/12)*(1+R12/100)^((Time!R21-Inputs!$F$236)/12),(1+R12/100)^Time!R24))</f>
        <v/>
      </c>
      <c r="S19" s="13">
        <f>IF(Time!S20=1,$F$17,R19*IF(Time!S27=1,(1+S14/100)^(Inputs!$F$236/12)*(1+S12/100)^((Time!S21-Inputs!$F$236)/12),(1+S12/100)^Time!S24))</f>
        <v/>
      </c>
      <c r="T19" s="13">
        <f>IF(Time!T20=1,$F$17,S19*IF(Time!T27=1,(1+T14/100)^(Inputs!$F$236/12)*(1+T12/100)^((Time!T21-Inputs!$F$236)/12),(1+T12/100)^Time!T24))</f>
        <v/>
      </c>
      <c r="U19" s="13">
        <f>IF(Time!U20=1,$F$17,T19*IF(Time!U27=1,(1+U14/100)^(Inputs!$F$236/12)*(1+U12/100)^((Time!U21-Inputs!$F$236)/12),(1+U12/100)^Time!U24))</f>
        <v/>
      </c>
      <c r="V19" s="13">
        <f>IF(Time!V20=1,$F$17,U19*IF(Time!V27=1,(1+V14/100)^(Inputs!$F$236/12)*(1+V12/100)^((Time!V21-Inputs!$F$236)/12),(1+V12/100)^Time!V24))</f>
        <v/>
      </c>
      <c r="W19" s="13">
        <f>IF(Time!W20=1,$F$17,V19*IF(Time!W27=1,(1+W14/100)^(Inputs!$F$236/12)*(1+W12/100)^((Time!W21-Inputs!$F$236)/12),(1+W12/100)^Time!W24))</f>
        <v/>
      </c>
      <c r="X19" s="13">
        <f>IF(Time!X20=1,$F$17,W19*IF(Time!X27=1,(1+X14/100)^(Inputs!$F$236/12)*(1+X12/100)^((Time!X21-Inputs!$F$236)/12),(1+X12/100)^Time!X24))</f>
        <v/>
      </c>
      <c r="Y19" s="13">
        <f>IF(Time!Y20=1,$F$17,X19*IF(Time!Y27=1,(1+Y14/100)^(Inputs!$F$236/12)*(1+Y12/100)^((Time!Y21-Inputs!$F$236)/12),(1+Y12/100)^Time!Y24))</f>
        <v/>
      </c>
      <c r="Z19" s="13">
        <f>IF(Time!Z20=1,$F$17,Y19*IF(Time!Z27=1,(1+Z14/100)^(Inputs!$F$236/12)*(1+Z12/100)^((Time!Z21-Inputs!$F$236)/12),(1+Z12/100)^Time!Z24))</f>
        <v/>
      </c>
      <c r="AA19" s="13">
        <f>IF(Time!AA20=1,$F$17,Z19*IF(Time!AA27=1,(1+AA14/100)^(Inputs!$F$236/12)*(1+AA12/100)^((Time!AA21-Inputs!$F$236)/12),(1+AA12/100)^Time!AA24))</f>
        <v/>
      </c>
      <c r="AB19" s="13">
        <f>IF(Time!AB20=1,$F$17,AA19*IF(Time!AB27=1,(1+AB14/100)^(Inputs!$F$236/12)*(1+AB12/100)^((Time!AB21-Inputs!$F$236)/12),(1+AB12/100)^Time!AB24))</f>
        <v/>
      </c>
      <c r="AC19" s="13">
        <f>IF(Time!AC20=1,$F$17,AB19*IF(Time!AC27=1,(1+AC14/100)^(Inputs!$F$236/12)*(1+AC12/100)^((Time!AC21-Inputs!$F$236)/12),(1+AC12/100)^Time!AC24))</f>
        <v/>
      </c>
      <c r="AD19" s="13">
        <f>IF(Time!AD20=1,$F$17,AC19*IF(Time!AD27=1,(1+AD14/100)^(Inputs!$F$236/12)*(1+AD12/100)^((Time!AD21-Inputs!$F$236)/12),(1+AD12/100)^Time!AD24))</f>
        <v/>
      </c>
      <c r="AE19" s="13">
        <f>IF(Time!AE20=1,$F$17,AD19*IF(Time!AE27=1,(1+AE14/100)^(Inputs!$F$236/12)*(1+AE12/100)^((Time!AE21-Inputs!$F$236)/12),(1+AE12/100)^Time!AE24))</f>
        <v/>
      </c>
      <c r="AF19" s="13">
        <f>IF(Time!AF20=1,$F$17,AE19*IF(Time!AF27=1,(1+AF14/100)^(Inputs!$F$236/12)*(1+AF12/100)^((Time!AF21-Inputs!$F$236)/12),(1+AF12/100)^Time!AF24))</f>
        <v/>
      </c>
      <c r="AG19" s="13">
        <f>IF(Time!AG20=1,$F$17,AF19*IF(Time!AG27=1,(1+AG14/100)^(Inputs!$F$236/12)*(1+AG12/100)^((Time!AG21-Inputs!$F$236)/12),(1+AG12/100)^Time!AG24))</f>
        <v/>
      </c>
      <c r="AH19" s="13">
        <f>IF(Time!AH20=1,$F$17,AG19*IF(Time!AH27=1,(1+AH14/100)^(Inputs!$F$236/12)*(1+AH12/100)^((Time!AH21-Inputs!$F$236)/12),(1+AH12/100)^Time!AH24))</f>
        <v/>
      </c>
      <c r="AI19" s="13">
        <f>IF(Time!AI20=1,$F$17,AH19*IF(Time!AI27=1,(1+AI14/100)^(Inputs!$F$236/12)*(1+AI12/100)^((Time!AI21-Inputs!$F$236)/12),(1+AI12/100)^Time!AI24))</f>
        <v/>
      </c>
      <c r="AJ19" s="13">
        <f>IF(Time!AJ20=1,$F$17,AI19*IF(Time!AJ27=1,(1+AJ14/100)^(Inputs!$F$236/12)*(1+AJ12/100)^((Time!AJ21-Inputs!$F$236)/12),(1+AJ12/100)^Time!AJ24))</f>
        <v/>
      </c>
      <c r="AK19" s="13">
        <f>IF(Time!AK20=1,$F$17,AJ19*IF(Time!AK27=1,(1+AK14/100)^(Inputs!$F$236/12)*(1+AK12/100)^((Time!AK21-Inputs!$F$236)/12),(1+AK12/100)^Time!AK24))</f>
        <v/>
      </c>
      <c r="AL19" s="13">
        <f>IF(Time!AL20=1,$F$17,AK19*IF(Time!AL27=1,(1+AL14/100)^(Inputs!$F$236/12)*(1+AL12/100)^((Time!AL21-Inputs!$F$236)/12),(1+AL12/100)^Time!AL24))</f>
        <v/>
      </c>
      <c r="AM19" s="13">
        <f>IF(Time!AM20=1,$F$17,AL19*IF(Time!AM27=1,(1+AM14/100)^(Inputs!$F$236/12)*(1+AM12/100)^((Time!AM21-Inputs!$F$236)/12),(1+AM12/100)^Time!AM24))</f>
        <v/>
      </c>
      <c r="AN19" s="13">
        <f>IF(Time!AN20=1,$F$17,AM19*IF(Time!AN27=1,(1+AN14/100)^(Inputs!$F$236/12)*(1+AN12/100)^((Time!AN21-Inputs!$F$236)/12),(1+AN12/100)^Time!AN24))</f>
        <v/>
      </c>
      <c r="AO19" s="13">
        <f>IF(Time!AO20=1,$F$17,AN19*IF(Time!AO27=1,(1+AO14/100)^(Inputs!$F$236/12)*(1+AO12/100)^((Time!AO21-Inputs!$F$236)/12),(1+AO12/100)^Time!AO24))</f>
        <v/>
      </c>
      <c r="AP19" s="13">
        <f>IF(Time!AP20=1,$F$17,AO19*IF(Time!AP27=1,(1+AP14/100)^(Inputs!$F$236/12)*(1+AP12/100)^((Time!AP21-Inputs!$F$236)/12),(1+AP12/100)^Time!AP24))</f>
        <v/>
      </c>
      <c r="AQ19" s="13">
        <f>IF(Time!AQ20=1,$F$17,AP19*IF(Time!AQ27=1,(1+AQ14/100)^(Inputs!$F$236/12)*(1+AQ12/100)^((Time!AQ21-Inputs!$F$236)/12),(1+AQ12/100)^Time!AQ24))</f>
        <v/>
      </c>
      <c r="AR19" s="13">
        <f>IF(Time!AR20=1,$F$17,AQ19*IF(Time!AR27=1,(1+AR14/100)^(Inputs!$F$236/12)*(1+AR12/100)^((Time!AR21-Inputs!$F$236)/12),(1+AR12/100)^Time!AR24))</f>
        <v/>
      </c>
      <c r="AS19" s="13">
        <f>IF(Time!AS20=1,$F$17,AR19*IF(Time!AS27=1,(1+AS14/100)^(Inputs!$F$236/12)*(1+AS12/100)^((Time!AS21-Inputs!$F$236)/12),(1+AS12/100)^Time!AS24))</f>
        <v/>
      </c>
      <c r="AT19" s="13">
        <f>IF(Time!AT20=1,$F$17,AS19*IF(Time!AT27=1,(1+AT14/100)^(Inputs!$F$236/12)*(1+AT12/100)^((Time!AT21-Inputs!$F$236)/12),(1+AT12/100)^Time!AT24))</f>
        <v/>
      </c>
      <c r="AU19" s="13">
        <f>IF(Time!AU20=1,$F$17,AT19*IF(Time!AU27=1,(1+AU14/100)^(Inputs!$F$236/12)*(1+AU12/100)^((Time!AU21-Inputs!$F$236)/12),(1+AU12/100)^Time!AU24))</f>
        <v/>
      </c>
      <c r="AV19" s="13">
        <f>IF(Time!AV20=1,$F$17,AU19*IF(Time!AV27=1,(1+AV14/100)^(Inputs!$F$236/12)*(1+AV12/100)^((Time!AV21-Inputs!$F$236)/12),(1+AV12/100)^Time!AV24))</f>
        <v/>
      </c>
      <c r="AW19" s="13">
        <f>IF(Time!AW20=1,$F$17,AV19*IF(Time!AW27=1,(1+AW14/100)^(Inputs!$F$236/12)*(1+AW12/100)^((Time!AW21-Inputs!$F$236)/12),(1+AW12/100)^Time!AW24))</f>
        <v/>
      </c>
      <c r="AX19" s="13">
        <f>IF(Time!AX20=1,$F$17,AW19*IF(Time!AX27=1,(1+AX14/100)^(Inputs!$F$236/12)*(1+AX12/100)^((Time!AX21-Inputs!$F$236)/12),(1+AX12/100)^Time!AX24))</f>
        <v/>
      </c>
      <c r="AY19" s="13">
        <f>IF(Time!AY20=1,$F$17,AX19*IF(Time!AY27=1,(1+AY14/100)^(Inputs!$F$236/12)*(1+AY12/100)^((Time!AY21-Inputs!$F$236)/12),(1+AY12/100)^Time!AY24))</f>
        <v/>
      </c>
      <c r="AZ19" s="13">
        <f>IF(Time!AZ20=1,$F$17,AY19*IF(Time!AZ27=1,(1+AZ14/100)^(Inputs!$F$236/12)*(1+AZ12/100)^((Time!AZ21-Inputs!$F$236)/12),(1+AZ12/100)^Time!AZ24))</f>
        <v/>
      </c>
      <c r="BA19" s="13">
        <f>IF(Time!BA20=1,$F$17,AZ19*IF(Time!BA27=1,(1+BA14/100)^(Inputs!$F$236/12)*(1+BA12/100)^((Time!BA21-Inputs!$F$236)/12),(1+BA12/100)^Time!BA24))</f>
        <v/>
      </c>
      <c r="BB19" s="13">
        <f>IF(Time!BB20=1,$F$17,BA19*IF(Time!BB27=1,(1+BB14/100)^(Inputs!$F$236/12)*(1+BB12/100)^((Time!BB21-Inputs!$F$236)/12),(1+BB12/100)^Time!BB24))</f>
        <v/>
      </c>
      <c r="BC19" s="13">
        <f>IF(Time!BC20=1,$F$17,BB19*IF(Time!BC27=1,(1+BC14/100)^(Inputs!$F$236/12)*(1+BC12/100)^((Time!BC21-Inputs!$F$236)/12),(1+BC12/100)^Time!BC24))</f>
        <v/>
      </c>
      <c r="BD19" s="13">
        <f>IF(Time!BD20=1,$F$17,BC19*IF(Time!BD27=1,(1+BD14/100)^(Inputs!$F$236/12)*(1+BD12/100)^((Time!BD21-Inputs!$F$236)/12),(1+BD12/100)^Time!BD24))</f>
        <v/>
      </c>
      <c r="BE19" s="13">
        <f>IF(Time!BE20=1,$F$17,BD19*IF(Time!BE27=1,(1+BE14/100)^(Inputs!$F$236/12)*(1+BE12/100)^((Time!BE21-Inputs!$F$236)/12),(1+BE12/100)^Time!BE24))</f>
        <v/>
      </c>
      <c r="BF19" s="13">
        <f>IF(Time!BF20=1,$F$17,BE19*IF(Time!BF27=1,(1+BF14/100)^(Inputs!$F$236/12)*(1+BF12/100)^((Time!BF21-Inputs!$F$236)/12),(1+BF12/100)^Time!BF24))</f>
        <v/>
      </c>
      <c r="BG19" s="13">
        <f>IF(Time!BG20=1,$F$17,BF19*IF(Time!BG27=1,(1+BG14/100)^(Inputs!$F$236/12)*(1+BG12/100)^((Time!BG21-Inputs!$F$236)/12),(1+BG12/100)^Time!BG24))</f>
        <v/>
      </c>
      <c r="BH19" s="13">
        <f>IF(Time!BH20=1,$F$17,BG19*IF(Time!BH27=1,(1+BH14/100)^(Inputs!$F$236/12)*(1+BH12/100)^((Time!BH21-Inputs!$F$236)/12),(1+BH12/100)^Time!BH24))</f>
        <v/>
      </c>
      <c r="BI19" s="13">
        <f>IF(Time!BI20=1,$F$17,BH19*IF(Time!BI27=1,(1+BI14/100)^(Inputs!$F$236/12)*(1+BI12/100)^((Time!BI21-Inputs!$F$236)/12),(1+BI12/100)^Time!BI24))</f>
        <v/>
      </c>
      <c r="BJ19" s="13">
        <f>IF(Time!BJ20=1,$F$17,BI19*IF(Time!BJ27=1,(1+BJ14/100)^(Inputs!$F$236/12)*(1+BJ12/100)^((Time!BJ21-Inputs!$F$236)/12),(1+BJ12/100)^Time!BJ24))</f>
        <v/>
      </c>
      <c r="BK19" s="13">
        <f>IF(Time!BK20=1,$F$17,BJ19*IF(Time!BK27=1,(1+BK14/100)^(Inputs!$F$236/12)*(1+BK12/100)^((Time!BK21-Inputs!$F$236)/12),(1+BK12/100)^Time!BK24))</f>
        <v/>
      </c>
      <c r="BL19" s="13">
        <f>IF(Time!BL20=1,$F$17,BK19*IF(Time!BL27=1,(1+BL14/100)^(Inputs!$F$236/12)*(1+BL12/100)^((Time!BL21-Inputs!$F$236)/12),(1+BL12/100)^Time!BL24))</f>
        <v/>
      </c>
      <c r="BM19" s="13">
        <f>IF(Time!BM20=1,$F$17,BL19*IF(Time!BM27=1,(1+BM14/100)^(Inputs!$F$236/12)*(1+BM12/100)^((Time!BM21-Inputs!$F$236)/12),(1+BM12/100)^Time!BM24))</f>
        <v/>
      </c>
      <c r="BN19" s="13">
        <f>IF(Time!BN20=1,$F$17,BM19*IF(Time!BN27=1,(1+BN14/100)^(Inputs!$F$236/12)*(1+BN12/100)^((Time!BN21-Inputs!$F$236)/12),(1+BN12/100)^Time!BN24))</f>
        <v/>
      </c>
    </row>
    <row r="20">
      <c r="D20" t="inlineStr">
        <is>
          <t>US CPI index, tariff reading (3-month lag)</t>
        </is>
      </c>
      <c r="E20" t="inlineStr">
        <is>
          <t>index</t>
        </is>
      </c>
      <c r="J20" s="13">
        <f>J19*(1+J12/100)^(Inputs!$F$236/12)</f>
        <v/>
      </c>
      <c r="K20" s="13">
        <f>K19*(1+K12/100)^(Inputs!$F$236/12)</f>
        <v/>
      </c>
      <c r="L20" s="13">
        <f>L19*(1+L12/100)^(Inputs!$F$236/12)</f>
        <v/>
      </c>
      <c r="M20" s="13">
        <f>M19*(1+M12/100)^(Inputs!$F$236/12)</f>
        <v/>
      </c>
      <c r="N20" s="13">
        <f>N19*(1+N12/100)^(Inputs!$F$236/12)</f>
        <v/>
      </c>
      <c r="O20" s="13">
        <f>O19*(1+O12/100)^(Inputs!$F$236/12)</f>
        <v/>
      </c>
      <c r="P20" s="13">
        <f>P19*(1+P12/100)^(Inputs!$F$236/12)</f>
        <v/>
      </c>
      <c r="Q20" s="13">
        <f>Q19*(1+Q12/100)^(Inputs!$F$236/12)</f>
        <v/>
      </c>
      <c r="R20" s="13">
        <f>R19*(1+R12/100)^(Inputs!$F$236/12)</f>
        <v/>
      </c>
      <c r="S20" s="13">
        <f>S19*(1+S12/100)^(Inputs!$F$236/12)</f>
        <v/>
      </c>
      <c r="T20" s="13">
        <f>T19*(1+T12/100)^(Inputs!$F$236/12)</f>
        <v/>
      </c>
      <c r="U20" s="13">
        <f>U19*(1+U12/100)^(Inputs!$F$236/12)</f>
        <v/>
      </c>
      <c r="V20" s="13">
        <f>V19*(1+V12/100)^(Inputs!$F$236/12)</f>
        <v/>
      </c>
      <c r="W20" s="13">
        <f>W19*(1+W12/100)^(Inputs!$F$236/12)</f>
        <v/>
      </c>
      <c r="X20" s="13">
        <f>X19*(1+X12/100)^(Inputs!$F$236/12)</f>
        <v/>
      </c>
      <c r="Y20" s="13">
        <f>Y19*(1+Y12/100)^(Inputs!$F$236/12)</f>
        <v/>
      </c>
      <c r="Z20" s="13">
        <f>Z19*(1+Z12/100)^(Inputs!$F$236/12)</f>
        <v/>
      </c>
      <c r="AA20" s="13">
        <f>AA19*(1+AA12/100)^(Inputs!$F$236/12)</f>
        <v/>
      </c>
      <c r="AB20" s="13">
        <f>AB19*(1+AB12/100)^(Inputs!$F$236/12)</f>
        <v/>
      </c>
      <c r="AC20" s="13">
        <f>AC19*(1+AC12/100)^(Inputs!$F$236/12)</f>
        <v/>
      </c>
      <c r="AD20" s="13">
        <f>AD19*(1+AD12/100)^(Inputs!$F$236/12)</f>
        <v/>
      </c>
      <c r="AE20" s="13">
        <f>AE19*(1+AE12/100)^(Inputs!$F$236/12)</f>
        <v/>
      </c>
      <c r="AF20" s="13">
        <f>AF19*(1+AF12/100)^(Inputs!$F$236/12)</f>
        <v/>
      </c>
      <c r="AG20" s="13">
        <f>AG19*(1+AG12/100)^(Inputs!$F$236/12)</f>
        <v/>
      </c>
      <c r="AH20" s="13">
        <f>AH19*(1+AH12/100)^(Inputs!$F$236/12)</f>
        <v/>
      </c>
      <c r="AI20" s="13">
        <f>AI19*(1+AI12/100)^(Inputs!$F$236/12)</f>
        <v/>
      </c>
      <c r="AJ20" s="13">
        <f>AJ19*(1+AJ12/100)^(Inputs!$F$236/12)</f>
        <v/>
      </c>
      <c r="AK20" s="13">
        <f>AK19*(1+AK12/100)^(Inputs!$F$236/12)</f>
        <v/>
      </c>
      <c r="AL20" s="13">
        <f>AL19*(1+AL12/100)^(Inputs!$F$236/12)</f>
        <v/>
      </c>
      <c r="AM20" s="13">
        <f>AM19*(1+AM12/100)^(Inputs!$F$236/12)</f>
        <v/>
      </c>
      <c r="AN20" s="13">
        <f>AN19*(1+AN12/100)^(Inputs!$F$236/12)</f>
        <v/>
      </c>
      <c r="AO20" s="13">
        <f>AO19*(1+AO12/100)^(Inputs!$F$236/12)</f>
        <v/>
      </c>
      <c r="AP20" s="13">
        <f>AP19*(1+AP12/100)^(Inputs!$F$236/12)</f>
        <v/>
      </c>
      <c r="AQ20" s="13">
        <f>AQ19*(1+AQ12/100)^(Inputs!$F$236/12)</f>
        <v/>
      </c>
      <c r="AR20" s="13">
        <f>AR19*(1+AR12/100)^(Inputs!$F$236/12)</f>
        <v/>
      </c>
      <c r="AS20" s="13">
        <f>AS19*(1+AS12/100)^(Inputs!$F$236/12)</f>
        <v/>
      </c>
      <c r="AT20" s="13">
        <f>AT19*(1+AT12/100)^(Inputs!$F$236/12)</f>
        <v/>
      </c>
      <c r="AU20" s="13">
        <f>AU19*(1+AU12/100)^(Inputs!$F$236/12)</f>
        <v/>
      </c>
      <c r="AV20" s="13">
        <f>AV19*(1+AV12/100)^(Inputs!$F$236/12)</f>
        <v/>
      </c>
      <c r="AW20" s="13">
        <f>AW19*(1+AW12/100)^(Inputs!$F$236/12)</f>
        <v/>
      </c>
      <c r="AX20" s="13">
        <f>AX19*(1+AX12/100)^(Inputs!$F$236/12)</f>
        <v/>
      </c>
      <c r="AY20" s="13">
        <f>AY19*(1+AY12/100)^(Inputs!$F$236/12)</f>
        <v/>
      </c>
      <c r="AZ20" s="13">
        <f>AZ19*(1+AZ12/100)^(Inputs!$F$236/12)</f>
        <v/>
      </c>
      <c r="BA20" s="13">
        <f>BA19*(1+BA12/100)^(Inputs!$F$236/12)</f>
        <v/>
      </c>
      <c r="BB20" s="13">
        <f>BB19*(1+BB12/100)^(Inputs!$F$236/12)</f>
        <v/>
      </c>
      <c r="BC20" s="13">
        <f>BC19*(1+BC12/100)^(Inputs!$F$236/12)</f>
        <v/>
      </c>
      <c r="BD20" s="13">
        <f>BD19*(1+BD12/100)^(Inputs!$F$236/12)</f>
        <v/>
      </c>
      <c r="BE20" s="13">
        <f>BE19*(1+BE12/100)^(Inputs!$F$236/12)</f>
        <v/>
      </c>
      <c r="BF20" s="13">
        <f>BF19*(1+BF12/100)^(Inputs!$F$236/12)</f>
        <v/>
      </c>
      <c r="BG20" s="13">
        <f>BG19*(1+BG12/100)^(Inputs!$F$236/12)</f>
        <v/>
      </c>
      <c r="BH20" s="13">
        <f>BH19*(1+BH12/100)^(Inputs!$F$236/12)</f>
        <v/>
      </c>
      <c r="BI20" s="13">
        <f>BI19*(1+BI12/100)^(Inputs!$F$236/12)</f>
        <v/>
      </c>
      <c r="BJ20" s="13">
        <f>BJ19*(1+BJ12/100)^(Inputs!$F$236/12)</f>
        <v/>
      </c>
      <c r="BK20" s="13">
        <f>BK19*(1+BK12/100)^(Inputs!$F$236/12)</f>
        <v/>
      </c>
      <c r="BL20" s="13">
        <f>BL19*(1+BL12/100)^(Inputs!$F$236/12)</f>
        <v/>
      </c>
      <c r="BM20" s="13">
        <f>BM19*(1+BM12/100)^(Inputs!$F$236/12)</f>
        <v/>
      </c>
      <c r="BN20" s="13">
        <f>BN19*(1+BN12/100)^(Inputs!$F$236/12)</f>
        <v/>
      </c>
    </row>
    <row r="21">
      <c r="D21" t="inlineStr">
        <is>
          <t>US cost indexation factor vs 2018 prices</t>
        </is>
      </c>
      <c r="E21" t="inlineStr">
        <is>
          <t>factor</t>
        </is>
      </c>
      <c r="J21" s="13">
        <f>J19/$F$16</f>
        <v/>
      </c>
      <c r="K21" s="13">
        <f>K19/$F$16</f>
        <v/>
      </c>
      <c r="L21" s="13">
        <f>L19/$F$16</f>
        <v/>
      </c>
      <c r="M21" s="13">
        <f>M19/$F$16</f>
        <v/>
      </c>
      <c r="N21" s="13">
        <f>N19/$F$16</f>
        <v/>
      </c>
      <c r="O21" s="13">
        <f>O19/$F$16</f>
        <v/>
      </c>
      <c r="P21" s="13">
        <f>P19/$F$16</f>
        <v/>
      </c>
      <c r="Q21" s="13">
        <f>Q19/$F$16</f>
        <v/>
      </c>
      <c r="R21" s="13">
        <f>R19/$F$16</f>
        <v/>
      </c>
      <c r="S21" s="13">
        <f>S19/$F$16</f>
        <v/>
      </c>
      <c r="T21" s="13">
        <f>T19/$F$16</f>
        <v/>
      </c>
      <c r="U21" s="13">
        <f>U19/$F$16</f>
        <v/>
      </c>
      <c r="V21" s="13">
        <f>V19/$F$16</f>
        <v/>
      </c>
      <c r="W21" s="13">
        <f>W19/$F$16</f>
        <v/>
      </c>
      <c r="X21" s="13">
        <f>X19/$F$16</f>
        <v/>
      </c>
      <c r="Y21" s="13">
        <f>Y19/$F$16</f>
        <v/>
      </c>
      <c r="Z21" s="13">
        <f>Z19/$F$16</f>
        <v/>
      </c>
      <c r="AA21" s="13">
        <f>AA19/$F$16</f>
        <v/>
      </c>
      <c r="AB21" s="13">
        <f>AB19/$F$16</f>
        <v/>
      </c>
      <c r="AC21" s="13">
        <f>AC19/$F$16</f>
        <v/>
      </c>
      <c r="AD21" s="13">
        <f>AD19/$F$16</f>
        <v/>
      </c>
      <c r="AE21" s="13">
        <f>AE19/$F$16</f>
        <v/>
      </c>
      <c r="AF21" s="13">
        <f>AF19/$F$16</f>
        <v/>
      </c>
      <c r="AG21" s="13">
        <f>AG19/$F$16</f>
        <v/>
      </c>
      <c r="AH21" s="13">
        <f>AH19/$F$16</f>
        <v/>
      </c>
      <c r="AI21" s="13">
        <f>AI19/$F$16</f>
        <v/>
      </c>
      <c r="AJ21" s="13">
        <f>AJ19/$F$16</f>
        <v/>
      </c>
      <c r="AK21" s="13">
        <f>AK19/$F$16</f>
        <v/>
      </c>
      <c r="AL21" s="13">
        <f>AL19/$F$16</f>
        <v/>
      </c>
      <c r="AM21" s="13">
        <f>AM19/$F$16</f>
        <v/>
      </c>
      <c r="AN21" s="13">
        <f>AN19/$F$16</f>
        <v/>
      </c>
      <c r="AO21" s="13">
        <f>AO19/$F$16</f>
        <v/>
      </c>
      <c r="AP21" s="13">
        <f>AP19/$F$16</f>
        <v/>
      </c>
      <c r="AQ21" s="13">
        <f>AQ19/$F$16</f>
        <v/>
      </c>
      <c r="AR21" s="13">
        <f>AR19/$F$16</f>
        <v/>
      </c>
      <c r="AS21" s="13">
        <f>AS19/$F$16</f>
        <v/>
      </c>
      <c r="AT21" s="13">
        <f>AT19/$F$16</f>
        <v/>
      </c>
      <c r="AU21" s="13">
        <f>AU19/$F$16</f>
        <v/>
      </c>
      <c r="AV21" s="13">
        <f>AV19/$F$16</f>
        <v/>
      </c>
      <c r="AW21" s="13">
        <f>AW19/$F$16</f>
        <v/>
      </c>
      <c r="AX21" s="13">
        <f>AX19/$F$16</f>
        <v/>
      </c>
      <c r="AY21" s="13">
        <f>AY19/$F$16</f>
        <v/>
      </c>
      <c r="AZ21" s="13">
        <f>AZ19/$F$16</f>
        <v/>
      </c>
      <c r="BA21" s="13">
        <f>BA19/$F$16</f>
        <v/>
      </c>
      <c r="BB21" s="13">
        <f>BB19/$F$16</f>
        <v/>
      </c>
      <c r="BC21" s="13">
        <f>BC19/$F$16</f>
        <v/>
      </c>
      <c r="BD21" s="13">
        <f>BD19/$F$16</f>
        <v/>
      </c>
      <c r="BE21" s="13">
        <f>BE19/$F$16</f>
        <v/>
      </c>
      <c r="BF21" s="13">
        <f>BF19/$F$16</f>
        <v/>
      </c>
      <c r="BG21" s="13">
        <f>BG19/$F$16</f>
        <v/>
      </c>
      <c r="BH21" s="13">
        <f>BH19/$F$16</f>
        <v/>
      </c>
      <c r="BI21" s="13">
        <f>BI19/$F$16</f>
        <v/>
      </c>
      <c r="BJ21" s="13">
        <f>BJ19/$F$16</f>
        <v/>
      </c>
      <c r="BK21" s="13">
        <f>BK19/$F$16</f>
        <v/>
      </c>
      <c r="BL21" s="13">
        <f>BL19/$F$16</f>
        <v/>
      </c>
      <c r="BM21" s="13">
        <f>BM19/$F$16</f>
        <v/>
      </c>
      <c r="BN21" s="13">
        <f>BN19/$F$16</f>
        <v/>
      </c>
    </row>
    <row r="22">
      <c r="D22" t="inlineStr">
        <is>
          <t>KC index, 2018 price base month</t>
        </is>
      </c>
      <c r="E22" t="inlineStr">
        <is>
          <t>index</t>
        </is>
      </c>
      <c r="F22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$235/12)</f>
        <v/>
      </c>
    </row>
    <row r="23">
      <c r="D23" t="inlineStr">
        <is>
          <t>KC index, first cost reading</t>
        </is>
      </c>
      <c r="E23" t="inlineStr">
        <is>
          <t>index</t>
        </is>
      </c>
      <c r="F23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$233/12)</f>
        <v/>
      </c>
    </row>
    <row r="24">
      <c r="D24" t="inlineStr">
        <is>
          <t>KC index, first tariff reading</t>
        </is>
      </c>
      <c r="E24" t="inlineStr">
        <is>
          <t>index</t>
        </is>
      </c>
      <c r="F24" s="6">
        <f>Inputs!$F$232*(1+CHOOSE(Inputs!$F$33,INDEX(Inputs!$J$284:$AR$284,1,MATCH(Inputs!$F$230,Inputs!$J$282:$AR$282,0)),INDEX(Inputs!$J$286:$AR$286,1,MATCH(Inputs!$F$230,Inputs!$J$282:$AR$282,0)),INDEX(Inputs!$J$288:$AR$288,1,MATCH(Inputs!$F$230,Inputs!$J$282:$AR$282,0)))/100)^((12-Inputs!$F$231)/12)*(1+CHOOSE(Inputs!$F$33,INDEX(Inputs!$J$284:$AR$284,1,MATCH(Inputs!$F$230+1,Inputs!$J$282:$AR$282,0)),INDEX(Inputs!$J$286:$AR$286,1,MATCH(Inputs!$F$230+1,Inputs!$J$282:$AR$282,0)),INDEX(Inputs!$J$288:$AR$288,1,MATCH(Inputs!$F$230+1,Inputs!$J$282:$AR$282,0)))/100)*(1+CHOOSE(Inputs!$F$33,INDEX(Inputs!$J$284:$AR$284,1,MATCH(YEAR(Inputs!$F$189),Inputs!$J$282:$AR$282,0)),INDEX(Inputs!$J$286:$AR$286,1,MATCH(YEAR(Inputs!$F$189),Inputs!$J$282:$AR$282,0)),INDEX(Inputs!$J$288:$AR$288,1,MATCH(YEAR(Inputs!$F$189),Inputs!$J$282:$AR$282,0)))/100)^(Inputs!$F$234/12)</f>
        <v/>
      </c>
    </row>
    <row r="25">
      <c r="D25" t="inlineStr">
        <is>
          <t>Kessara CPI index, cost reading (Mar/Sep), Nov 2016 = 100</t>
        </is>
      </c>
      <c r="E25" t="inlineStr">
        <is>
          <t>index</t>
        </is>
      </c>
      <c r="J25" s="13">
        <f>IF(Time!J20=1,$F$23,I25*IF(Time!J27=1,(1+J15/100)^(Inputs!$F$236/12)*(1+J13/100)^((Time!J21-Inputs!$F$236)/12),(1+J13/100)^Time!J24))</f>
        <v/>
      </c>
      <c r="K25" s="13">
        <f>IF(Time!K20=1,$F$23,J25*IF(Time!K27=1,(1+K15/100)^(Inputs!$F$236/12)*(1+K13/100)^((Time!K21-Inputs!$F$236)/12),(1+K13/100)^Time!K24))</f>
        <v/>
      </c>
      <c r="L25" s="13">
        <f>IF(Time!L20=1,$F$23,K25*IF(Time!L27=1,(1+L15/100)^(Inputs!$F$236/12)*(1+L13/100)^((Time!L21-Inputs!$F$236)/12),(1+L13/100)^Time!L24))</f>
        <v/>
      </c>
      <c r="M25" s="13">
        <f>IF(Time!M20=1,$F$23,L25*IF(Time!M27=1,(1+M15/100)^(Inputs!$F$236/12)*(1+M13/100)^((Time!M21-Inputs!$F$236)/12),(1+M13/100)^Time!M24))</f>
        <v/>
      </c>
      <c r="N25" s="13">
        <f>IF(Time!N20=1,$F$23,M25*IF(Time!N27=1,(1+N15/100)^(Inputs!$F$236/12)*(1+N13/100)^((Time!N21-Inputs!$F$236)/12),(1+N13/100)^Time!N24))</f>
        <v/>
      </c>
      <c r="O25" s="13">
        <f>IF(Time!O20=1,$F$23,N25*IF(Time!O27=1,(1+O15/100)^(Inputs!$F$236/12)*(1+O13/100)^((Time!O21-Inputs!$F$236)/12),(1+O13/100)^Time!O24))</f>
        <v/>
      </c>
      <c r="P25" s="13">
        <f>IF(Time!P20=1,$F$23,O25*IF(Time!P27=1,(1+P15/100)^(Inputs!$F$236/12)*(1+P13/100)^((Time!P21-Inputs!$F$236)/12),(1+P13/100)^Time!P24))</f>
        <v/>
      </c>
      <c r="Q25" s="13">
        <f>IF(Time!Q20=1,$F$23,P25*IF(Time!Q27=1,(1+Q15/100)^(Inputs!$F$236/12)*(1+Q13/100)^((Time!Q21-Inputs!$F$236)/12),(1+Q13/100)^Time!Q24))</f>
        <v/>
      </c>
      <c r="R25" s="13">
        <f>IF(Time!R20=1,$F$23,Q25*IF(Time!R27=1,(1+R15/100)^(Inputs!$F$236/12)*(1+R13/100)^((Time!R21-Inputs!$F$236)/12),(1+R13/100)^Time!R24))</f>
        <v/>
      </c>
      <c r="S25" s="13">
        <f>IF(Time!S20=1,$F$23,R25*IF(Time!S27=1,(1+S15/100)^(Inputs!$F$236/12)*(1+S13/100)^((Time!S21-Inputs!$F$236)/12),(1+S13/100)^Time!S24))</f>
        <v/>
      </c>
      <c r="T25" s="13">
        <f>IF(Time!T20=1,$F$23,S25*IF(Time!T27=1,(1+T15/100)^(Inputs!$F$236/12)*(1+T13/100)^((Time!T21-Inputs!$F$236)/12),(1+T13/100)^Time!T24))</f>
        <v/>
      </c>
      <c r="U25" s="13">
        <f>IF(Time!U20=1,$F$23,T25*IF(Time!U27=1,(1+U15/100)^(Inputs!$F$236/12)*(1+U13/100)^((Time!U21-Inputs!$F$236)/12),(1+U13/100)^Time!U24))</f>
        <v/>
      </c>
      <c r="V25" s="13">
        <f>IF(Time!V20=1,$F$23,U25*IF(Time!V27=1,(1+V15/100)^(Inputs!$F$236/12)*(1+V13/100)^((Time!V21-Inputs!$F$236)/12),(1+V13/100)^Time!V24))</f>
        <v/>
      </c>
      <c r="W25" s="13">
        <f>IF(Time!W20=1,$F$23,V25*IF(Time!W27=1,(1+W15/100)^(Inputs!$F$236/12)*(1+W13/100)^((Time!W21-Inputs!$F$236)/12),(1+W13/100)^Time!W24))</f>
        <v/>
      </c>
      <c r="X25" s="13">
        <f>IF(Time!X20=1,$F$23,W25*IF(Time!X27=1,(1+X15/100)^(Inputs!$F$236/12)*(1+X13/100)^((Time!X21-Inputs!$F$236)/12),(1+X13/100)^Time!X24))</f>
        <v/>
      </c>
      <c r="Y25" s="13">
        <f>IF(Time!Y20=1,$F$23,X25*IF(Time!Y27=1,(1+Y15/100)^(Inputs!$F$236/12)*(1+Y13/100)^((Time!Y21-Inputs!$F$236)/12),(1+Y13/100)^Time!Y24))</f>
        <v/>
      </c>
      <c r="Z25" s="13">
        <f>IF(Time!Z20=1,$F$23,Y25*IF(Time!Z27=1,(1+Z15/100)^(Inputs!$F$236/12)*(1+Z13/100)^((Time!Z21-Inputs!$F$236)/12),(1+Z13/100)^Time!Z24))</f>
        <v/>
      </c>
      <c r="AA25" s="13">
        <f>IF(Time!AA20=1,$F$23,Z25*IF(Time!AA27=1,(1+AA15/100)^(Inputs!$F$236/12)*(1+AA13/100)^((Time!AA21-Inputs!$F$236)/12),(1+AA13/100)^Time!AA24))</f>
        <v/>
      </c>
      <c r="AB25" s="13">
        <f>IF(Time!AB20=1,$F$23,AA25*IF(Time!AB27=1,(1+AB15/100)^(Inputs!$F$236/12)*(1+AB13/100)^((Time!AB21-Inputs!$F$236)/12),(1+AB13/100)^Time!AB24))</f>
        <v/>
      </c>
      <c r="AC25" s="13">
        <f>IF(Time!AC20=1,$F$23,AB25*IF(Time!AC27=1,(1+AC15/100)^(Inputs!$F$236/12)*(1+AC13/100)^((Time!AC21-Inputs!$F$236)/12),(1+AC13/100)^Time!AC24))</f>
        <v/>
      </c>
      <c r="AD25" s="13">
        <f>IF(Time!AD20=1,$F$23,AC25*IF(Time!AD27=1,(1+AD15/100)^(Inputs!$F$236/12)*(1+AD13/100)^((Time!AD21-Inputs!$F$236)/12),(1+AD13/100)^Time!AD24))</f>
        <v/>
      </c>
      <c r="AE25" s="13">
        <f>IF(Time!AE20=1,$F$23,AD25*IF(Time!AE27=1,(1+AE15/100)^(Inputs!$F$236/12)*(1+AE13/100)^((Time!AE21-Inputs!$F$236)/12),(1+AE13/100)^Time!AE24))</f>
        <v/>
      </c>
      <c r="AF25" s="13">
        <f>IF(Time!AF20=1,$F$23,AE25*IF(Time!AF27=1,(1+AF15/100)^(Inputs!$F$236/12)*(1+AF13/100)^((Time!AF21-Inputs!$F$236)/12),(1+AF13/100)^Time!AF24))</f>
        <v/>
      </c>
      <c r="AG25" s="13">
        <f>IF(Time!AG20=1,$F$23,AF25*IF(Time!AG27=1,(1+AG15/100)^(Inputs!$F$236/12)*(1+AG13/100)^((Time!AG21-Inputs!$F$236)/12),(1+AG13/100)^Time!AG24))</f>
        <v/>
      </c>
      <c r="AH25" s="13">
        <f>IF(Time!AH20=1,$F$23,AG25*IF(Time!AH27=1,(1+AH15/100)^(Inputs!$F$236/12)*(1+AH13/100)^((Time!AH21-Inputs!$F$236)/12),(1+AH13/100)^Time!AH24))</f>
        <v/>
      </c>
      <c r="AI25" s="13">
        <f>IF(Time!AI20=1,$F$23,AH25*IF(Time!AI27=1,(1+AI15/100)^(Inputs!$F$236/12)*(1+AI13/100)^((Time!AI21-Inputs!$F$236)/12),(1+AI13/100)^Time!AI24))</f>
        <v/>
      </c>
      <c r="AJ25" s="13">
        <f>IF(Time!AJ20=1,$F$23,AI25*IF(Time!AJ27=1,(1+AJ15/100)^(Inputs!$F$236/12)*(1+AJ13/100)^((Time!AJ21-Inputs!$F$236)/12),(1+AJ13/100)^Time!AJ24))</f>
        <v/>
      </c>
      <c r="AK25" s="13">
        <f>IF(Time!AK20=1,$F$23,AJ25*IF(Time!AK27=1,(1+AK15/100)^(Inputs!$F$236/12)*(1+AK13/100)^((Time!AK21-Inputs!$F$236)/12),(1+AK13/100)^Time!AK24))</f>
        <v/>
      </c>
      <c r="AL25" s="13">
        <f>IF(Time!AL20=1,$F$23,AK25*IF(Time!AL27=1,(1+AL15/100)^(Inputs!$F$236/12)*(1+AL13/100)^((Time!AL21-Inputs!$F$236)/12),(1+AL13/100)^Time!AL24))</f>
        <v/>
      </c>
      <c r="AM25" s="13">
        <f>IF(Time!AM20=1,$F$23,AL25*IF(Time!AM27=1,(1+AM15/100)^(Inputs!$F$236/12)*(1+AM13/100)^((Time!AM21-Inputs!$F$236)/12),(1+AM13/100)^Time!AM24))</f>
        <v/>
      </c>
      <c r="AN25" s="13">
        <f>IF(Time!AN20=1,$F$23,AM25*IF(Time!AN27=1,(1+AN15/100)^(Inputs!$F$236/12)*(1+AN13/100)^((Time!AN21-Inputs!$F$236)/12),(1+AN13/100)^Time!AN24))</f>
        <v/>
      </c>
      <c r="AO25" s="13">
        <f>IF(Time!AO20=1,$F$23,AN25*IF(Time!AO27=1,(1+AO15/100)^(Inputs!$F$236/12)*(1+AO13/100)^((Time!AO21-Inputs!$F$236)/12),(1+AO13/100)^Time!AO24))</f>
        <v/>
      </c>
      <c r="AP25" s="13">
        <f>IF(Time!AP20=1,$F$23,AO25*IF(Time!AP27=1,(1+AP15/100)^(Inputs!$F$236/12)*(1+AP13/100)^((Time!AP21-Inputs!$F$236)/12),(1+AP13/100)^Time!AP24))</f>
        <v/>
      </c>
      <c r="AQ25" s="13">
        <f>IF(Time!AQ20=1,$F$23,AP25*IF(Time!AQ27=1,(1+AQ15/100)^(Inputs!$F$236/12)*(1+AQ13/100)^((Time!AQ21-Inputs!$F$236)/12),(1+AQ13/100)^Time!AQ24))</f>
        <v/>
      </c>
      <c r="AR25" s="13">
        <f>IF(Time!AR20=1,$F$23,AQ25*IF(Time!AR27=1,(1+AR15/100)^(Inputs!$F$236/12)*(1+AR13/100)^((Time!AR21-Inputs!$F$236)/12),(1+AR13/100)^Time!AR24))</f>
        <v/>
      </c>
      <c r="AS25" s="13">
        <f>IF(Time!AS20=1,$F$23,AR25*IF(Time!AS27=1,(1+AS15/100)^(Inputs!$F$236/12)*(1+AS13/100)^((Time!AS21-Inputs!$F$236)/12),(1+AS13/100)^Time!AS24))</f>
        <v/>
      </c>
      <c r="AT25" s="13">
        <f>IF(Time!AT20=1,$F$23,AS25*IF(Time!AT27=1,(1+AT15/100)^(Inputs!$F$236/12)*(1+AT13/100)^((Time!AT21-Inputs!$F$236)/12),(1+AT13/100)^Time!AT24))</f>
        <v/>
      </c>
      <c r="AU25" s="13">
        <f>IF(Time!AU20=1,$F$23,AT25*IF(Time!AU27=1,(1+AU15/100)^(Inputs!$F$236/12)*(1+AU13/100)^((Time!AU21-Inputs!$F$236)/12),(1+AU13/100)^Time!AU24))</f>
        <v/>
      </c>
      <c r="AV25" s="13">
        <f>IF(Time!AV20=1,$F$23,AU25*IF(Time!AV27=1,(1+AV15/100)^(Inputs!$F$236/12)*(1+AV13/100)^((Time!AV21-Inputs!$F$236)/12),(1+AV13/100)^Time!AV24))</f>
        <v/>
      </c>
      <c r="AW25" s="13">
        <f>IF(Time!AW20=1,$F$23,AV25*IF(Time!AW27=1,(1+AW15/100)^(Inputs!$F$236/12)*(1+AW13/100)^((Time!AW21-Inputs!$F$236)/12),(1+AW13/100)^Time!AW24))</f>
        <v/>
      </c>
      <c r="AX25" s="13">
        <f>IF(Time!AX20=1,$F$23,AW25*IF(Time!AX27=1,(1+AX15/100)^(Inputs!$F$236/12)*(1+AX13/100)^((Time!AX21-Inputs!$F$236)/12),(1+AX13/100)^Time!AX24))</f>
        <v/>
      </c>
      <c r="AY25" s="13">
        <f>IF(Time!AY20=1,$F$23,AX25*IF(Time!AY27=1,(1+AY15/100)^(Inputs!$F$236/12)*(1+AY13/100)^((Time!AY21-Inputs!$F$236)/12),(1+AY13/100)^Time!AY24))</f>
        <v/>
      </c>
      <c r="AZ25" s="13">
        <f>IF(Time!AZ20=1,$F$23,AY25*IF(Time!AZ27=1,(1+AZ15/100)^(Inputs!$F$236/12)*(1+AZ13/100)^((Time!AZ21-Inputs!$F$236)/12),(1+AZ13/100)^Time!AZ24))</f>
        <v/>
      </c>
      <c r="BA25" s="13">
        <f>IF(Time!BA20=1,$F$23,AZ25*IF(Time!BA27=1,(1+BA15/100)^(Inputs!$F$236/12)*(1+BA13/100)^((Time!BA21-Inputs!$F$236)/12),(1+BA13/100)^Time!BA24))</f>
        <v/>
      </c>
      <c r="BB25" s="13">
        <f>IF(Time!BB20=1,$F$23,BA25*IF(Time!BB27=1,(1+BB15/100)^(Inputs!$F$236/12)*(1+BB13/100)^((Time!BB21-Inputs!$F$236)/12),(1+BB13/100)^Time!BB24))</f>
        <v/>
      </c>
      <c r="BC25" s="13">
        <f>IF(Time!BC20=1,$F$23,BB25*IF(Time!BC27=1,(1+BC15/100)^(Inputs!$F$236/12)*(1+BC13/100)^((Time!BC21-Inputs!$F$236)/12),(1+BC13/100)^Time!BC24))</f>
        <v/>
      </c>
      <c r="BD25" s="13">
        <f>IF(Time!BD20=1,$F$23,BC25*IF(Time!BD27=1,(1+BD15/100)^(Inputs!$F$236/12)*(1+BD13/100)^((Time!BD21-Inputs!$F$236)/12),(1+BD13/100)^Time!BD24))</f>
        <v/>
      </c>
      <c r="BE25" s="13">
        <f>IF(Time!BE20=1,$F$23,BD25*IF(Time!BE27=1,(1+BE15/100)^(Inputs!$F$236/12)*(1+BE13/100)^((Time!BE21-Inputs!$F$236)/12),(1+BE13/100)^Time!BE24))</f>
        <v/>
      </c>
      <c r="BF25" s="13">
        <f>IF(Time!BF20=1,$F$23,BE25*IF(Time!BF27=1,(1+BF15/100)^(Inputs!$F$236/12)*(1+BF13/100)^((Time!BF21-Inputs!$F$236)/12),(1+BF13/100)^Time!BF24))</f>
        <v/>
      </c>
      <c r="BG25" s="13">
        <f>IF(Time!BG20=1,$F$23,BF25*IF(Time!BG27=1,(1+BG15/100)^(Inputs!$F$236/12)*(1+BG13/100)^((Time!BG21-Inputs!$F$236)/12),(1+BG13/100)^Time!BG24))</f>
        <v/>
      </c>
      <c r="BH25" s="13">
        <f>IF(Time!BH20=1,$F$23,BG25*IF(Time!BH27=1,(1+BH15/100)^(Inputs!$F$236/12)*(1+BH13/100)^((Time!BH21-Inputs!$F$236)/12),(1+BH13/100)^Time!BH24))</f>
        <v/>
      </c>
      <c r="BI25" s="13">
        <f>IF(Time!BI20=1,$F$23,BH25*IF(Time!BI27=1,(1+BI15/100)^(Inputs!$F$236/12)*(1+BI13/100)^((Time!BI21-Inputs!$F$236)/12),(1+BI13/100)^Time!BI24))</f>
        <v/>
      </c>
      <c r="BJ25" s="13">
        <f>IF(Time!BJ20=1,$F$23,BI25*IF(Time!BJ27=1,(1+BJ15/100)^(Inputs!$F$236/12)*(1+BJ13/100)^((Time!BJ21-Inputs!$F$236)/12),(1+BJ13/100)^Time!BJ24))</f>
        <v/>
      </c>
      <c r="BK25" s="13">
        <f>IF(Time!BK20=1,$F$23,BJ25*IF(Time!BK27=1,(1+BK15/100)^(Inputs!$F$236/12)*(1+BK13/100)^((Time!BK21-Inputs!$F$236)/12),(1+BK13/100)^Time!BK24))</f>
        <v/>
      </c>
      <c r="BL25" s="13">
        <f>IF(Time!BL20=1,$F$23,BK25*IF(Time!BL27=1,(1+BL15/100)^(Inputs!$F$236/12)*(1+BL13/100)^((Time!BL21-Inputs!$F$236)/12),(1+BL13/100)^Time!BL24))</f>
        <v/>
      </c>
      <c r="BM25" s="13">
        <f>IF(Time!BM20=1,$F$23,BL25*IF(Time!BM27=1,(1+BM15/100)^(Inputs!$F$236/12)*(1+BM13/100)^((Time!BM21-Inputs!$F$236)/12),(1+BM13/100)^Time!BM24))</f>
        <v/>
      </c>
      <c r="BN25" s="13">
        <f>IF(Time!BN20=1,$F$23,BM25*IF(Time!BN27=1,(1+BN15/100)^(Inputs!$F$236/12)*(1+BN13/100)^((Time!BN21-Inputs!$F$236)/12),(1+BN13/100)^Time!BN24))</f>
        <v/>
      </c>
    </row>
    <row r="26">
      <c r="D26" t="inlineStr">
        <is>
          <t>Kessara CPI index, tariff reading (3-month lag)</t>
        </is>
      </c>
      <c r="E26" t="inlineStr">
        <is>
          <t>index</t>
        </is>
      </c>
      <c r="J26" s="13">
        <f>J25*(1+J13/100)^(Inputs!$F$236/12)</f>
        <v/>
      </c>
      <c r="K26" s="13">
        <f>K25*(1+K13/100)^(Inputs!$F$236/12)</f>
        <v/>
      </c>
      <c r="L26" s="13">
        <f>L25*(1+L13/100)^(Inputs!$F$236/12)</f>
        <v/>
      </c>
      <c r="M26" s="13">
        <f>M25*(1+M13/100)^(Inputs!$F$236/12)</f>
        <v/>
      </c>
      <c r="N26" s="13">
        <f>N25*(1+N13/100)^(Inputs!$F$236/12)</f>
        <v/>
      </c>
      <c r="O26" s="13">
        <f>O25*(1+O13/100)^(Inputs!$F$236/12)</f>
        <v/>
      </c>
      <c r="P26" s="13">
        <f>P25*(1+P13/100)^(Inputs!$F$236/12)</f>
        <v/>
      </c>
      <c r="Q26" s="13">
        <f>Q25*(1+Q13/100)^(Inputs!$F$236/12)</f>
        <v/>
      </c>
      <c r="R26" s="13">
        <f>R25*(1+R13/100)^(Inputs!$F$236/12)</f>
        <v/>
      </c>
      <c r="S26" s="13">
        <f>S25*(1+S13/100)^(Inputs!$F$236/12)</f>
        <v/>
      </c>
      <c r="T26" s="13">
        <f>T25*(1+T13/100)^(Inputs!$F$236/12)</f>
        <v/>
      </c>
      <c r="U26" s="13">
        <f>U25*(1+U13/100)^(Inputs!$F$236/12)</f>
        <v/>
      </c>
      <c r="V26" s="13">
        <f>V25*(1+V13/100)^(Inputs!$F$236/12)</f>
        <v/>
      </c>
      <c r="W26" s="13">
        <f>W25*(1+W13/100)^(Inputs!$F$236/12)</f>
        <v/>
      </c>
      <c r="X26" s="13">
        <f>X25*(1+X13/100)^(Inputs!$F$236/12)</f>
        <v/>
      </c>
      <c r="Y26" s="13">
        <f>Y25*(1+Y13/100)^(Inputs!$F$236/12)</f>
        <v/>
      </c>
      <c r="Z26" s="13">
        <f>Z25*(1+Z13/100)^(Inputs!$F$236/12)</f>
        <v/>
      </c>
      <c r="AA26" s="13">
        <f>AA25*(1+AA13/100)^(Inputs!$F$236/12)</f>
        <v/>
      </c>
      <c r="AB26" s="13">
        <f>AB25*(1+AB13/100)^(Inputs!$F$236/12)</f>
        <v/>
      </c>
      <c r="AC26" s="13">
        <f>AC25*(1+AC13/100)^(Inputs!$F$236/12)</f>
        <v/>
      </c>
      <c r="AD26" s="13">
        <f>AD25*(1+AD13/100)^(Inputs!$F$236/12)</f>
        <v/>
      </c>
      <c r="AE26" s="13">
        <f>AE25*(1+AE13/100)^(Inputs!$F$236/12)</f>
        <v/>
      </c>
      <c r="AF26" s="13">
        <f>AF25*(1+AF13/100)^(Inputs!$F$236/12)</f>
        <v/>
      </c>
      <c r="AG26" s="13">
        <f>AG25*(1+AG13/100)^(Inputs!$F$236/12)</f>
        <v/>
      </c>
      <c r="AH26" s="13">
        <f>AH25*(1+AH13/100)^(Inputs!$F$236/12)</f>
        <v/>
      </c>
      <c r="AI26" s="13">
        <f>AI25*(1+AI13/100)^(Inputs!$F$236/12)</f>
        <v/>
      </c>
      <c r="AJ26" s="13">
        <f>AJ25*(1+AJ13/100)^(Inputs!$F$236/12)</f>
        <v/>
      </c>
      <c r="AK26" s="13">
        <f>AK25*(1+AK13/100)^(Inputs!$F$236/12)</f>
        <v/>
      </c>
      <c r="AL26" s="13">
        <f>AL25*(1+AL13/100)^(Inputs!$F$236/12)</f>
        <v/>
      </c>
      <c r="AM26" s="13">
        <f>AM25*(1+AM13/100)^(Inputs!$F$236/12)</f>
        <v/>
      </c>
      <c r="AN26" s="13">
        <f>AN25*(1+AN13/100)^(Inputs!$F$236/12)</f>
        <v/>
      </c>
      <c r="AO26" s="13">
        <f>AO25*(1+AO13/100)^(Inputs!$F$236/12)</f>
        <v/>
      </c>
      <c r="AP26" s="13">
        <f>AP25*(1+AP13/100)^(Inputs!$F$236/12)</f>
        <v/>
      </c>
      <c r="AQ26" s="13">
        <f>AQ25*(1+AQ13/100)^(Inputs!$F$236/12)</f>
        <v/>
      </c>
      <c r="AR26" s="13">
        <f>AR25*(1+AR13/100)^(Inputs!$F$236/12)</f>
        <v/>
      </c>
      <c r="AS26" s="13">
        <f>AS25*(1+AS13/100)^(Inputs!$F$236/12)</f>
        <v/>
      </c>
      <c r="AT26" s="13">
        <f>AT25*(1+AT13/100)^(Inputs!$F$236/12)</f>
        <v/>
      </c>
      <c r="AU26" s="13">
        <f>AU25*(1+AU13/100)^(Inputs!$F$236/12)</f>
        <v/>
      </c>
      <c r="AV26" s="13">
        <f>AV25*(1+AV13/100)^(Inputs!$F$236/12)</f>
        <v/>
      </c>
      <c r="AW26" s="13">
        <f>AW25*(1+AW13/100)^(Inputs!$F$236/12)</f>
        <v/>
      </c>
      <c r="AX26" s="13">
        <f>AX25*(1+AX13/100)^(Inputs!$F$236/12)</f>
        <v/>
      </c>
      <c r="AY26" s="13">
        <f>AY25*(1+AY13/100)^(Inputs!$F$236/12)</f>
        <v/>
      </c>
      <c r="AZ26" s="13">
        <f>AZ25*(1+AZ13/100)^(Inputs!$F$236/12)</f>
        <v/>
      </c>
      <c r="BA26" s="13">
        <f>BA25*(1+BA13/100)^(Inputs!$F$236/12)</f>
        <v/>
      </c>
      <c r="BB26" s="13">
        <f>BB25*(1+BB13/100)^(Inputs!$F$236/12)</f>
        <v/>
      </c>
      <c r="BC26" s="13">
        <f>BC25*(1+BC13/100)^(Inputs!$F$236/12)</f>
        <v/>
      </c>
      <c r="BD26" s="13">
        <f>BD25*(1+BD13/100)^(Inputs!$F$236/12)</f>
        <v/>
      </c>
      <c r="BE26" s="13">
        <f>BE25*(1+BE13/100)^(Inputs!$F$236/12)</f>
        <v/>
      </c>
      <c r="BF26" s="13">
        <f>BF25*(1+BF13/100)^(Inputs!$F$236/12)</f>
        <v/>
      </c>
      <c r="BG26" s="13">
        <f>BG25*(1+BG13/100)^(Inputs!$F$236/12)</f>
        <v/>
      </c>
      <c r="BH26" s="13">
        <f>BH25*(1+BH13/100)^(Inputs!$F$236/12)</f>
        <v/>
      </c>
      <c r="BI26" s="13">
        <f>BI25*(1+BI13/100)^(Inputs!$F$236/12)</f>
        <v/>
      </c>
      <c r="BJ26" s="13">
        <f>BJ25*(1+BJ13/100)^(Inputs!$F$236/12)</f>
        <v/>
      </c>
      <c r="BK26" s="13">
        <f>BK25*(1+BK13/100)^(Inputs!$F$236/12)</f>
        <v/>
      </c>
      <c r="BL26" s="13">
        <f>BL25*(1+BL13/100)^(Inputs!$F$236/12)</f>
        <v/>
      </c>
      <c r="BM26" s="13">
        <f>BM25*(1+BM13/100)^(Inputs!$F$236/12)</f>
        <v/>
      </c>
      <c r="BN26" s="13">
        <f>BN25*(1+BN13/100)^(Inputs!$F$236/12)</f>
        <v/>
      </c>
    </row>
    <row r="27">
      <c r="D27" t="inlineStr">
        <is>
          <t>Kessara cost indexation factor vs 2018 prices</t>
        </is>
      </c>
      <c r="E27" t="inlineStr">
        <is>
          <t>factor</t>
        </is>
      </c>
      <c r="J27" s="13">
        <f>J25/$F$22</f>
        <v/>
      </c>
      <c r="K27" s="13">
        <f>K25/$F$22</f>
        <v/>
      </c>
      <c r="L27" s="13">
        <f>L25/$F$22</f>
        <v/>
      </c>
      <c r="M27" s="13">
        <f>M25/$F$22</f>
        <v/>
      </c>
      <c r="N27" s="13">
        <f>N25/$F$22</f>
        <v/>
      </c>
      <c r="O27" s="13">
        <f>O25/$F$22</f>
        <v/>
      </c>
      <c r="P27" s="13">
        <f>P25/$F$22</f>
        <v/>
      </c>
      <c r="Q27" s="13">
        <f>Q25/$F$22</f>
        <v/>
      </c>
      <c r="R27" s="13">
        <f>R25/$F$22</f>
        <v/>
      </c>
      <c r="S27" s="13">
        <f>S25/$F$22</f>
        <v/>
      </c>
      <c r="T27" s="13">
        <f>T25/$F$22</f>
        <v/>
      </c>
      <c r="U27" s="13">
        <f>U25/$F$22</f>
        <v/>
      </c>
      <c r="V27" s="13">
        <f>V25/$F$22</f>
        <v/>
      </c>
      <c r="W27" s="13">
        <f>W25/$F$22</f>
        <v/>
      </c>
      <c r="X27" s="13">
        <f>X25/$F$22</f>
        <v/>
      </c>
      <c r="Y27" s="13">
        <f>Y25/$F$22</f>
        <v/>
      </c>
      <c r="Z27" s="13">
        <f>Z25/$F$22</f>
        <v/>
      </c>
      <c r="AA27" s="13">
        <f>AA25/$F$22</f>
        <v/>
      </c>
      <c r="AB27" s="13">
        <f>AB25/$F$22</f>
        <v/>
      </c>
      <c r="AC27" s="13">
        <f>AC25/$F$22</f>
        <v/>
      </c>
      <c r="AD27" s="13">
        <f>AD25/$F$22</f>
        <v/>
      </c>
      <c r="AE27" s="13">
        <f>AE25/$F$22</f>
        <v/>
      </c>
      <c r="AF27" s="13">
        <f>AF25/$F$22</f>
        <v/>
      </c>
      <c r="AG27" s="13">
        <f>AG25/$F$22</f>
        <v/>
      </c>
      <c r="AH27" s="13">
        <f>AH25/$F$22</f>
        <v/>
      </c>
      <c r="AI27" s="13">
        <f>AI25/$F$22</f>
        <v/>
      </c>
      <c r="AJ27" s="13">
        <f>AJ25/$F$22</f>
        <v/>
      </c>
      <c r="AK27" s="13">
        <f>AK25/$F$22</f>
        <v/>
      </c>
      <c r="AL27" s="13">
        <f>AL25/$F$22</f>
        <v/>
      </c>
      <c r="AM27" s="13">
        <f>AM25/$F$22</f>
        <v/>
      </c>
      <c r="AN27" s="13">
        <f>AN25/$F$22</f>
        <v/>
      </c>
      <c r="AO27" s="13">
        <f>AO25/$F$22</f>
        <v/>
      </c>
      <c r="AP27" s="13">
        <f>AP25/$F$22</f>
        <v/>
      </c>
      <c r="AQ27" s="13">
        <f>AQ25/$F$22</f>
        <v/>
      </c>
      <c r="AR27" s="13">
        <f>AR25/$F$22</f>
        <v/>
      </c>
      <c r="AS27" s="13">
        <f>AS25/$F$22</f>
        <v/>
      </c>
      <c r="AT27" s="13">
        <f>AT25/$F$22</f>
        <v/>
      </c>
      <c r="AU27" s="13">
        <f>AU25/$F$22</f>
        <v/>
      </c>
      <c r="AV27" s="13">
        <f>AV25/$F$22</f>
        <v/>
      </c>
      <c r="AW27" s="13">
        <f>AW25/$F$22</f>
        <v/>
      </c>
      <c r="AX27" s="13">
        <f>AX25/$F$22</f>
        <v/>
      </c>
      <c r="AY27" s="13">
        <f>AY25/$F$22</f>
        <v/>
      </c>
      <c r="AZ27" s="13">
        <f>AZ25/$F$22</f>
        <v/>
      </c>
      <c r="BA27" s="13">
        <f>BA25/$F$22</f>
        <v/>
      </c>
      <c r="BB27" s="13">
        <f>BB25/$F$22</f>
        <v/>
      </c>
      <c r="BC27" s="13">
        <f>BC25/$F$22</f>
        <v/>
      </c>
      <c r="BD27" s="13">
        <f>BD25/$F$22</f>
        <v/>
      </c>
      <c r="BE27" s="13">
        <f>BE25/$F$22</f>
        <v/>
      </c>
      <c r="BF27" s="13">
        <f>BF25/$F$22</f>
        <v/>
      </c>
      <c r="BG27" s="13">
        <f>BG25/$F$22</f>
        <v/>
      </c>
      <c r="BH27" s="13">
        <f>BH25/$F$22</f>
        <v/>
      </c>
      <c r="BI27" s="13">
        <f>BI25/$F$22</f>
        <v/>
      </c>
      <c r="BJ27" s="13">
        <f>BJ25/$F$22</f>
        <v/>
      </c>
      <c r="BK27" s="13">
        <f>BK25/$F$22</f>
        <v/>
      </c>
      <c r="BL27" s="13">
        <f>BL25/$F$22</f>
        <v/>
      </c>
      <c r="BM27" s="13">
        <f>BM25/$F$22</f>
        <v/>
      </c>
      <c r="BN27" s="13">
        <f>BN25/$F$22</f>
        <v/>
      </c>
    </row>
    <row r="28">
      <c r="B28" s="2" t="inlineStr">
        <is>
          <t>Plant</t>
        </is>
      </c>
    </row>
    <row r="29">
      <c r="D29" t="inlineStr">
        <is>
          <t>Operating year at period start</t>
        </is>
      </c>
      <c r="E29" t="inlineStr">
        <is>
          <t>OY</t>
        </is>
      </c>
      <c r="J29" s="10">
        <f>INT(Time!J32/12)+1</f>
        <v/>
      </c>
      <c r="K29" s="10">
        <f>INT(Time!K32/12)+1</f>
        <v/>
      </c>
      <c r="L29" s="10">
        <f>INT(Time!L32/12)+1</f>
        <v/>
      </c>
      <c r="M29" s="10">
        <f>INT(Time!M32/12)+1</f>
        <v/>
      </c>
      <c r="N29" s="10">
        <f>INT(Time!N32/12)+1</f>
        <v/>
      </c>
      <c r="O29" s="10">
        <f>INT(Time!O32/12)+1</f>
        <v/>
      </c>
      <c r="P29" s="10">
        <f>INT(Time!P32/12)+1</f>
        <v/>
      </c>
      <c r="Q29" s="10">
        <f>INT(Time!Q32/12)+1</f>
        <v/>
      </c>
      <c r="R29" s="10">
        <f>INT(Time!R32/12)+1</f>
        <v/>
      </c>
      <c r="S29" s="10">
        <f>INT(Time!S32/12)+1</f>
        <v/>
      </c>
      <c r="T29" s="10">
        <f>INT(Time!T32/12)+1</f>
        <v/>
      </c>
      <c r="U29" s="10">
        <f>INT(Time!U32/12)+1</f>
        <v/>
      </c>
      <c r="V29" s="10">
        <f>INT(Time!V32/12)+1</f>
        <v/>
      </c>
      <c r="W29" s="10">
        <f>INT(Time!W32/12)+1</f>
        <v/>
      </c>
      <c r="X29" s="10">
        <f>INT(Time!X32/12)+1</f>
        <v/>
      </c>
      <c r="Y29" s="10">
        <f>INT(Time!Y32/12)+1</f>
        <v/>
      </c>
      <c r="Z29" s="10">
        <f>INT(Time!Z32/12)+1</f>
        <v/>
      </c>
      <c r="AA29" s="10">
        <f>INT(Time!AA32/12)+1</f>
        <v/>
      </c>
      <c r="AB29" s="10">
        <f>INT(Time!AB32/12)+1</f>
        <v/>
      </c>
      <c r="AC29" s="10">
        <f>INT(Time!AC32/12)+1</f>
        <v/>
      </c>
      <c r="AD29" s="10">
        <f>INT(Time!AD32/12)+1</f>
        <v/>
      </c>
      <c r="AE29" s="10">
        <f>INT(Time!AE32/12)+1</f>
        <v/>
      </c>
      <c r="AF29" s="10">
        <f>INT(Time!AF32/12)+1</f>
        <v/>
      </c>
      <c r="AG29" s="10">
        <f>INT(Time!AG32/12)+1</f>
        <v/>
      </c>
      <c r="AH29" s="10">
        <f>INT(Time!AH32/12)+1</f>
        <v/>
      </c>
      <c r="AI29" s="10">
        <f>INT(Time!AI32/12)+1</f>
        <v/>
      </c>
      <c r="AJ29" s="10">
        <f>INT(Time!AJ32/12)+1</f>
        <v/>
      </c>
      <c r="AK29" s="10">
        <f>INT(Time!AK32/12)+1</f>
        <v/>
      </c>
      <c r="AL29" s="10">
        <f>INT(Time!AL32/12)+1</f>
        <v/>
      </c>
      <c r="AM29" s="10">
        <f>INT(Time!AM32/12)+1</f>
        <v/>
      </c>
      <c r="AN29" s="10">
        <f>INT(Time!AN32/12)+1</f>
        <v/>
      </c>
      <c r="AO29" s="10">
        <f>INT(Time!AO32/12)+1</f>
        <v/>
      </c>
      <c r="AP29" s="10">
        <f>INT(Time!AP32/12)+1</f>
        <v/>
      </c>
      <c r="AQ29" s="10">
        <f>INT(Time!AQ32/12)+1</f>
        <v/>
      </c>
      <c r="AR29" s="10">
        <f>INT(Time!AR32/12)+1</f>
        <v/>
      </c>
      <c r="AS29" s="10">
        <f>INT(Time!AS32/12)+1</f>
        <v/>
      </c>
      <c r="AT29" s="10">
        <f>INT(Time!AT32/12)+1</f>
        <v/>
      </c>
      <c r="AU29" s="10">
        <f>INT(Time!AU32/12)+1</f>
        <v/>
      </c>
      <c r="AV29" s="10">
        <f>INT(Time!AV32/12)+1</f>
        <v/>
      </c>
      <c r="AW29" s="10">
        <f>INT(Time!AW32/12)+1</f>
        <v/>
      </c>
      <c r="AX29" s="10">
        <f>INT(Time!AX32/12)+1</f>
        <v/>
      </c>
      <c r="AY29" s="10">
        <f>INT(Time!AY32/12)+1</f>
        <v/>
      </c>
      <c r="AZ29" s="10">
        <f>INT(Time!AZ32/12)+1</f>
        <v/>
      </c>
      <c r="BA29" s="10">
        <f>INT(Time!BA32/12)+1</f>
        <v/>
      </c>
      <c r="BB29" s="10">
        <f>INT(Time!BB32/12)+1</f>
        <v/>
      </c>
      <c r="BC29" s="10">
        <f>INT(Time!BC32/12)+1</f>
        <v/>
      </c>
      <c r="BD29" s="10">
        <f>INT(Time!BD32/12)+1</f>
        <v/>
      </c>
      <c r="BE29" s="10">
        <f>INT(Time!BE32/12)+1</f>
        <v/>
      </c>
      <c r="BF29" s="10">
        <f>INT(Time!BF32/12)+1</f>
        <v/>
      </c>
      <c r="BG29" s="10">
        <f>INT(Time!BG32/12)+1</f>
        <v/>
      </c>
      <c r="BH29" s="10">
        <f>INT(Time!BH32/12)+1</f>
        <v/>
      </c>
      <c r="BI29" s="10">
        <f>INT(Time!BI32/12)+1</f>
        <v/>
      </c>
      <c r="BJ29" s="10">
        <f>INT(Time!BJ32/12)+1</f>
        <v/>
      </c>
      <c r="BK29" s="10">
        <f>INT(Time!BK32/12)+1</f>
        <v/>
      </c>
      <c r="BL29" s="10">
        <f>INT(Time!BL32/12)+1</f>
        <v/>
      </c>
      <c r="BM29" s="10">
        <f>INT(Time!BM32/12)+1</f>
        <v/>
      </c>
      <c r="BN29" s="10">
        <f>INT(Time!BN32/12)+1</f>
        <v/>
      </c>
    </row>
    <row r="30">
      <c r="D30" t="inlineStr">
        <is>
          <t>Months in that operating year</t>
        </is>
      </c>
      <c r="E30" t="inlineStr">
        <is>
          <t>months</t>
        </is>
      </c>
      <c r="J30" s="10">
        <f>MIN(Time!J33,J29*12)-Time!J32</f>
        <v/>
      </c>
      <c r="K30" s="10">
        <f>MIN(Time!K33,K29*12)-Time!K32</f>
        <v/>
      </c>
      <c r="L30" s="10">
        <f>MIN(Time!L33,L29*12)-Time!L32</f>
        <v/>
      </c>
      <c r="M30" s="10">
        <f>MIN(Time!M33,M29*12)-Time!M32</f>
        <v/>
      </c>
      <c r="N30" s="10">
        <f>MIN(Time!N33,N29*12)-Time!N32</f>
        <v/>
      </c>
      <c r="O30" s="10">
        <f>MIN(Time!O33,O29*12)-Time!O32</f>
        <v/>
      </c>
      <c r="P30" s="10">
        <f>MIN(Time!P33,P29*12)-Time!P32</f>
        <v/>
      </c>
      <c r="Q30" s="10">
        <f>MIN(Time!Q33,Q29*12)-Time!Q32</f>
        <v/>
      </c>
      <c r="R30" s="10">
        <f>MIN(Time!R33,R29*12)-Time!R32</f>
        <v/>
      </c>
      <c r="S30" s="10">
        <f>MIN(Time!S33,S29*12)-Time!S32</f>
        <v/>
      </c>
      <c r="T30" s="10">
        <f>MIN(Time!T33,T29*12)-Time!T32</f>
        <v/>
      </c>
      <c r="U30" s="10">
        <f>MIN(Time!U33,U29*12)-Time!U32</f>
        <v/>
      </c>
      <c r="V30" s="10">
        <f>MIN(Time!V33,V29*12)-Time!V32</f>
        <v/>
      </c>
      <c r="W30" s="10">
        <f>MIN(Time!W33,W29*12)-Time!W32</f>
        <v/>
      </c>
      <c r="X30" s="10">
        <f>MIN(Time!X33,X29*12)-Time!X32</f>
        <v/>
      </c>
      <c r="Y30" s="10">
        <f>MIN(Time!Y33,Y29*12)-Time!Y32</f>
        <v/>
      </c>
      <c r="Z30" s="10">
        <f>MIN(Time!Z33,Z29*12)-Time!Z32</f>
        <v/>
      </c>
      <c r="AA30" s="10">
        <f>MIN(Time!AA33,AA29*12)-Time!AA32</f>
        <v/>
      </c>
      <c r="AB30" s="10">
        <f>MIN(Time!AB33,AB29*12)-Time!AB32</f>
        <v/>
      </c>
      <c r="AC30" s="10">
        <f>MIN(Time!AC33,AC29*12)-Time!AC32</f>
        <v/>
      </c>
      <c r="AD30" s="10">
        <f>MIN(Time!AD33,AD29*12)-Time!AD32</f>
        <v/>
      </c>
      <c r="AE30" s="10">
        <f>MIN(Time!AE33,AE29*12)-Time!AE32</f>
        <v/>
      </c>
      <c r="AF30" s="10">
        <f>MIN(Time!AF33,AF29*12)-Time!AF32</f>
        <v/>
      </c>
      <c r="AG30" s="10">
        <f>MIN(Time!AG33,AG29*12)-Time!AG32</f>
        <v/>
      </c>
      <c r="AH30" s="10">
        <f>MIN(Time!AH33,AH29*12)-Time!AH32</f>
        <v/>
      </c>
      <c r="AI30" s="10">
        <f>MIN(Time!AI33,AI29*12)-Time!AI32</f>
        <v/>
      </c>
      <c r="AJ30" s="10">
        <f>MIN(Time!AJ33,AJ29*12)-Time!AJ32</f>
        <v/>
      </c>
      <c r="AK30" s="10">
        <f>MIN(Time!AK33,AK29*12)-Time!AK32</f>
        <v/>
      </c>
      <c r="AL30" s="10">
        <f>MIN(Time!AL33,AL29*12)-Time!AL32</f>
        <v/>
      </c>
      <c r="AM30" s="10">
        <f>MIN(Time!AM33,AM29*12)-Time!AM32</f>
        <v/>
      </c>
      <c r="AN30" s="10">
        <f>MIN(Time!AN33,AN29*12)-Time!AN32</f>
        <v/>
      </c>
      <c r="AO30" s="10">
        <f>MIN(Time!AO33,AO29*12)-Time!AO32</f>
        <v/>
      </c>
      <c r="AP30" s="10">
        <f>MIN(Time!AP33,AP29*12)-Time!AP32</f>
        <v/>
      </c>
      <c r="AQ30" s="10">
        <f>MIN(Time!AQ33,AQ29*12)-Time!AQ32</f>
        <v/>
      </c>
      <c r="AR30" s="10">
        <f>MIN(Time!AR33,AR29*12)-Time!AR32</f>
        <v/>
      </c>
      <c r="AS30" s="10">
        <f>MIN(Time!AS33,AS29*12)-Time!AS32</f>
        <v/>
      </c>
      <c r="AT30" s="10">
        <f>MIN(Time!AT33,AT29*12)-Time!AT32</f>
        <v/>
      </c>
      <c r="AU30" s="10">
        <f>MIN(Time!AU33,AU29*12)-Time!AU32</f>
        <v/>
      </c>
      <c r="AV30" s="10">
        <f>MIN(Time!AV33,AV29*12)-Time!AV32</f>
        <v/>
      </c>
      <c r="AW30" s="10">
        <f>MIN(Time!AW33,AW29*12)-Time!AW32</f>
        <v/>
      </c>
      <c r="AX30" s="10">
        <f>MIN(Time!AX33,AX29*12)-Time!AX32</f>
        <v/>
      </c>
      <c r="AY30" s="10">
        <f>MIN(Time!AY33,AY29*12)-Time!AY32</f>
        <v/>
      </c>
      <c r="AZ30" s="10">
        <f>MIN(Time!AZ33,AZ29*12)-Time!AZ32</f>
        <v/>
      </c>
      <c r="BA30" s="10">
        <f>MIN(Time!BA33,BA29*12)-Time!BA32</f>
        <v/>
      </c>
      <c r="BB30" s="10">
        <f>MIN(Time!BB33,BB29*12)-Time!BB32</f>
        <v/>
      </c>
      <c r="BC30" s="10">
        <f>MIN(Time!BC33,BC29*12)-Time!BC32</f>
        <v/>
      </c>
      <c r="BD30" s="10">
        <f>MIN(Time!BD33,BD29*12)-Time!BD32</f>
        <v/>
      </c>
      <c r="BE30" s="10">
        <f>MIN(Time!BE33,BE29*12)-Time!BE32</f>
        <v/>
      </c>
      <c r="BF30" s="10">
        <f>MIN(Time!BF33,BF29*12)-Time!BF32</f>
        <v/>
      </c>
      <c r="BG30" s="10">
        <f>MIN(Time!BG33,BG29*12)-Time!BG32</f>
        <v/>
      </c>
      <c r="BH30" s="10">
        <f>MIN(Time!BH33,BH29*12)-Time!BH32</f>
        <v/>
      </c>
      <c r="BI30" s="10">
        <f>MIN(Time!BI33,BI29*12)-Time!BI32</f>
        <v/>
      </c>
      <c r="BJ30" s="10">
        <f>MIN(Time!BJ33,BJ29*12)-Time!BJ32</f>
        <v/>
      </c>
      <c r="BK30" s="10">
        <f>MIN(Time!BK33,BK29*12)-Time!BK32</f>
        <v/>
      </c>
      <c r="BL30" s="10">
        <f>MIN(Time!BL33,BL29*12)-Time!BL32</f>
        <v/>
      </c>
      <c r="BM30" s="10">
        <f>MIN(Time!BM33,BM29*12)-Time!BM32</f>
        <v/>
      </c>
      <c r="BN30" s="10">
        <f>MIN(Time!BN33,BN29*12)-Time!BN32</f>
        <v/>
      </c>
    </row>
    <row r="31">
      <c r="D31" t="inlineStr">
        <is>
          <t>Availability, profile (month-weighted)</t>
        </is>
      </c>
      <c r="E31" t="inlineStr">
        <is>
          <t>%</t>
        </is>
      </c>
      <c r="J31" s="13">
        <f>IF(Time!J30&gt;0,(J30*INDEX(Inputs!$J$302:$Q$302,1,MOD(J29-1,Inputs!$F$220)+1)+(Time!J30-J30)*INDEX(Inputs!$J$302:$Q$302,1,MOD(J29,Inputs!$F$220)+1))/Time!J30,0)</f>
        <v/>
      </c>
      <c r="K31" s="13">
        <f>IF(Time!K30&gt;0,(K30*INDEX(Inputs!$J$302:$Q$302,1,MOD(K29-1,Inputs!$F$220)+1)+(Time!K30-K30)*INDEX(Inputs!$J$302:$Q$302,1,MOD(K29,Inputs!$F$220)+1))/Time!K30,0)</f>
        <v/>
      </c>
      <c r="L31" s="13">
        <f>IF(Time!L30&gt;0,(L30*INDEX(Inputs!$J$302:$Q$302,1,MOD(L29-1,Inputs!$F$220)+1)+(Time!L30-L30)*INDEX(Inputs!$J$302:$Q$302,1,MOD(L29,Inputs!$F$220)+1))/Time!L30,0)</f>
        <v/>
      </c>
      <c r="M31" s="13">
        <f>IF(Time!M30&gt;0,(M30*INDEX(Inputs!$J$302:$Q$302,1,MOD(M29-1,Inputs!$F$220)+1)+(Time!M30-M30)*INDEX(Inputs!$J$302:$Q$302,1,MOD(M29,Inputs!$F$220)+1))/Time!M30,0)</f>
        <v/>
      </c>
      <c r="N31" s="13">
        <f>IF(Time!N30&gt;0,(N30*INDEX(Inputs!$J$302:$Q$302,1,MOD(N29-1,Inputs!$F$220)+1)+(Time!N30-N30)*INDEX(Inputs!$J$302:$Q$302,1,MOD(N29,Inputs!$F$220)+1))/Time!N30,0)</f>
        <v/>
      </c>
      <c r="O31" s="13">
        <f>IF(Time!O30&gt;0,(O30*INDEX(Inputs!$J$302:$Q$302,1,MOD(O29-1,Inputs!$F$220)+1)+(Time!O30-O30)*INDEX(Inputs!$J$302:$Q$302,1,MOD(O29,Inputs!$F$220)+1))/Time!O30,0)</f>
        <v/>
      </c>
      <c r="P31" s="13">
        <f>IF(Time!P30&gt;0,(P30*INDEX(Inputs!$J$302:$Q$302,1,MOD(P29-1,Inputs!$F$220)+1)+(Time!P30-P30)*INDEX(Inputs!$J$302:$Q$302,1,MOD(P29,Inputs!$F$220)+1))/Time!P30,0)</f>
        <v/>
      </c>
      <c r="Q31" s="13">
        <f>IF(Time!Q30&gt;0,(Q30*INDEX(Inputs!$J$302:$Q$302,1,MOD(Q29-1,Inputs!$F$220)+1)+(Time!Q30-Q30)*INDEX(Inputs!$J$302:$Q$302,1,MOD(Q29,Inputs!$F$220)+1))/Time!Q30,0)</f>
        <v/>
      </c>
      <c r="R31" s="13">
        <f>IF(Time!R30&gt;0,(R30*INDEX(Inputs!$J$302:$Q$302,1,MOD(R29-1,Inputs!$F$220)+1)+(Time!R30-R30)*INDEX(Inputs!$J$302:$Q$302,1,MOD(R29,Inputs!$F$220)+1))/Time!R30,0)</f>
        <v/>
      </c>
      <c r="S31" s="13">
        <f>IF(Time!S30&gt;0,(S30*INDEX(Inputs!$J$302:$Q$302,1,MOD(S29-1,Inputs!$F$220)+1)+(Time!S30-S30)*INDEX(Inputs!$J$302:$Q$302,1,MOD(S29,Inputs!$F$220)+1))/Time!S30,0)</f>
        <v/>
      </c>
      <c r="T31" s="13">
        <f>IF(Time!T30&gt;0,(T30*INDEX(Inputs!$J$302:$Q$302,1,MOD(T29-1,Inputs!$F$220)+1)+(Time!T30-T30)*INDEX(Inputs!$J$302:$Q$302,1,MOD(T29,Inputs!$F$220)+1))/Time!T30,0)</f>
        <v/>
      </c>
      <c r="U31" s="13">
        <f>IF(Time!U30&gt;0,(U30*INDEX(Inputs!$J$302:$Q$302,1,MOD(U29-1,Inputs!$F$220)+1)+(Time!U30-U30)*INDEX(Inputs!$J$302:$Q$302,1,MOD(U29,Inputs!$F$220)+1))/Time!U30,0)</f>
        <v/>
      </c>
      <c r="V31" s="13">
        <f>IF(Time!V30&gt;0,(V30*INDEX(Inputs!$J$302:$Q$302,1,MOD(V29-1,Inputs!$F$220)+1)+(Time!V30-V30)*INDEX(Inputs!$J$302:$Q$302,1,MOD(V29,Inputs!$F$220)+1))/Time!V30,0)</f>
        <v/>
      </c>
      <c r="W31" s="13">
        <f>IF(Time!W30&gt;0,(W30*INDEX(Inputs!$J$302:$Q$302,1,MOD(W29-1,Inputs!$F$220)+1)+(Time!W30-W30)*INDEX(Inputs!$J$302:$Q$302,1,MOD(W29,Inputs!$F$220)+1))/Time!W30,0)</f>
        <v/>
      </c>
      <c r="X31" s="13">
        <f>IF(Time!X30&gt;0,(X30*INDEX(Inputs!$J$302:$Q$302,1,MOD(X29-1,Inputs!$F$220)+1)+(Time!X30-X30)*INDEX(Inputs!$J$302:$Q$302,1,MOD(X29,Inputs!$F$220)+1))/Time!X30,0)</f>
        <v/>
      </c>
      <c r="Y31" s="13">
        <f>IF(Time!Y30&gt;0,(Y30*INDEX(Inputs!$J$302:$Q$302,1,MOD(Y29-1,Inputs!$F$220)+1)+(Time!Y30-Y30)*INDEX(Inputs!$J$302:$Q$302,1,MOD(Y29,Inputs!$F$220)+1))/Time!Y30,0)</f>
        <v/>
      </c>
      <c r="Z31" s="13">
        <f>IF(Time!Z30&gt;0,(Z30*INDEX(Inputs!$J$302:$Q$302,1,MOD(Z29-1,Inputs!$F$220)+1)+(Time!Z30-Z30)*INDEX(Inputs!$J$302:$Q$302,1,MOD(Z29,Inputs!$F$220)+1))/Time!Z30,0)</f>
        <v/>
      </c>
      <c r="AA31" s="13">
        <f>IF(Time!AA30&gt;0,(AA30*INDEX(Inputs!$J$302:$Q$302,1,MOD(AA29-1,Inputs!$F$220)+1)+(Time!AA30-AA30)*INDEX(Inputs!$J$302:$Q$302,1,MOD(AA29,Inputs!$F$220)+1))/Time!AA30,0)</f>
        <v/>
      </c>
      <c r="AB31" s="13">
        <f>IF(Time!AB30&gt;0,(AB30*INDEX(Inputs!$J$302:$Q$302,1,MOD(AB29-1,Inputs!$F$220)+1)+(Time!AB30-AB30)*INDEX(Inputs!$J$302:$Q$302,1,MOD(AB29,Inputs!$F$220)+1))/Time!AB30,0)</f>
        <v/>
      </c>
      <c r="AC31" s="13">
        <f>IF(Time!AC30&gt;0,(AC30*INDEX(Inputs!$J$302:$Q$302,1,MOD(AC29-1,Inputs!$F$220)+1)+(Time!AC30-AC30)*INDEX(Inputs!$J$302:$Q$302,1,MOD(AC29,Inputs!$F$220)+1))/Time!AC30,0)</f>
        <v/>
      </c>
      <c r="AD31" s="13">
        <f>IF(Time!AD30&gt;0,(AD30*INDEX(Inputs!$J$302:$Q$302,1,MOD(AD29-1,Inputs!$F$220)+1)+(Time!AD30-AD30)*INDEX(Inputs!$J$302:$Q$302,1,MOD(AD29,Inputs!$F$220)+1))/Time!AD30,0)</f>
        <v/>
      </c>
      <c r="AE31" s="13">
        <f>IF(Time!AE30&gt;0,(AE30*INDEX(Inputs!$J$302:$Q$302,1,MOD(AE29-1,Inputs!$F$220)+1)+(Time!AE30-AE30)*INDEX(Inputs!$J$302:$Q$302,1,MOD(AE29,Inputs!$F$220)+1))/Time!AE30,0)</f>
        <v/>
      </c>
      <c r="AF31" s="13">
        <f>IF(Time!AF30&gt;0,(AF30*INDEX(Inputs!$J$302:$Q$302,1,MOD(AF29-1,Inputs!$F$220)+1)+(Time!AF30-AF30)*INDEX(Inputs!$J$302:$Q$302,1,MOD(AF29,Inputs!$F$220)+1))/Time!AF30,0)</f>
        <v/>
      </c>
      <c r="AG31" s="13">
        <f>IF(Time!AG30&gt;0,(AG30*INDEX(Inputs!$J$302:$Q$302,1,MOD(AG29-1,Inputs!$F$220)+1)+(Time!AG30-AG30)*INDEX(Inputs!$J$302:$Q$302,1,MOD(AG29,Inputs!$F$220)+1))/Time!AG30,0)</f>
        <v/>
      </c>
      <c r="AH31" s="13">
        <f>IF(Time!AH30&gt;0,(AH30*INDEX(Inputs!$J$302:$Q$302,1,MOD(AH29-1,Inputs!$F$220)+1)+(Time!AH30-AH30)*INDEX(Inputs!$J$302:$Q$302,1,MOD(AH29,Inputs!$F$220)+1))/Time!AH30,0)</f>
        <v/>
      </c>
      <c r="AI31" s="13">
        <f>IF(Time!AI30&gt;0,(AI30*INDEX(Inputs!$J$302:$Q$302,1,MOD(AI29-1,Inputs!$F$220)+1)+(Time!AI30-AI30)*INDEX(Inputs!$J$302:$Q$302,1,MOD(AI29,Inputs!$F$220)+1))/Time!AI30,0)</f>
        <v/>
      </c>
      <c r="AJ31" s="13">
        <f>IF(Time!AJ30&gt;0,(AJ30*INDEX(Inputs!$J$302:$Q$302,1,MOD(AJ29-1,Inputs!$F$220)+1)+(Time!AJ30-AJ30)*INDEX(Inputs!$J$302:$Q$302,1,MOD(AJ29,Inputs!$F$220)+1))/Time!AJ30,0)</f>
        <v/>
      </c>
      <c r="AK31" s="13">
        <f>IF(Time!AK30&gt;0,(AK30*INDEX(Inputs!$J$302:$Q$302,1,MOD(AK29-1,Inputs!$F$220)+1)+(Time!AK30-AK30)*INDEX(Inputs!$J$302:$Q$302,1,MOD(AK29,Inputs!$F$220)+1))/Time!AK30,0)</f>
        <v/>
      </c>
      <c r="AL31" s="13">
        <f>IF(Time!AL30&gt;0,(AL30*INDEX(Inputs!$J$302:$Q$302,1,MOD(AL29-1,Inputs!$F$220)+1)+(Time!AL30-AL30)*INDEX(Inputs!$J$302:$Q$302,1,MOD(AL29,Inputs!$F$220)+1))/Time!AL30,0)</f>
        <v/>
      </c>
      <c r="AM31" s="13">
        <f>IF(Time!AM30&gt;0,(AM30*INDEX(Inputs!$J$302:$Q$302,1,MOD(AM29-1,Inputs!$F$220)+1)+(Time!AM30-AM30)*INDEX(Inputs!$J$302:$Q$302,1,MOD(AM29,Inputs!$F$220)+1))/Time!AM30,0)</f>
        <v/>
      </c>
      <c r="AN31" s="13">
        <f>IF(Time!AN30&gt;0,(AN30*INDEX(Inputs!$J$302:$Q$302,1,MOD(AN29-1,Inputs!$F$220)+1)+(Time!AN30-AN30)*INDEX(Inputs!$J$302:$Q$302,1,MOD(AN29,Inputs!$F$220)+1))/Time!AN30,0)</f>
        <v/>
      </c>
      <c r="AO31" s="13">
        <f>IF(Time!AO30&gt;0,(AO30*INDEX(Inputs!$J$302:$Q$302,1,MOD(AO29-1,Inputs!$F$220)+1)+(Time!AO30-AO30)*INDEX(Inputs!$J$302:$Q$302,1,MOD(AO29,Inputs!$F$220)+1))/Time!AO30,0)</f>
        <v/>
      </c>
      <c r="AP31" s="13">
        <f>IF(Time!AP30&gt;0,(AP30*INDEX(Inputs!$J$302:$Q$302,1,MOD(AP29-1,Inputs!$F$220)+1)+(Time!AP30-AP30)*INDEX(Inputs!$J$302:$Q$302,1,MOD(AP29,Inputs!$F$220)+1))/Time!AP30,0)</f>
        <v/>
      </c>
      <c r="AQ31" s="13">
        <f>IF(Time!AQ30&gt;0,(AQ30*INDEX(Inputs!$J$302:$Q$302,1,MOD(AQ29-1,Inputs!$F$220)+1)+(Time!AQ30-AQ30)*INDEX(Inputs!$J$302:$Q$302,1,MOD(AQ29,Inputs!$F$220)+1))/Time!AQ30,0)</f>
        <v/>
      </c>
      <c r="AR31" s="13">
        <f>IF(Time!AR30&gt;0,(AR30*INDEX(Inputs!$J$302:$Q$302,1,MOD(AR29-1,Inputs!$F$220)+1)+(Time!AR30-AR30)*INDEX(Inputs!$J$302:$Q$302,1,MOD(AR29,Inputs!$F$220)+1))/Time!AR30,0)</f>
        <v/>
      </c>
      <c r="AS31" s="13">
        <f>IF(Time!AS30&gt;0,(AS30*INDEX(Inputs!$J$302:$Q$302,1,MOD(AS29-1,Inputs!$F$220)+1)+(Time!AS30-AS30)*INDEX(Inputs!$J$302:$Q$302,1,MOD(AS29,Inputs!$F$220)+1))/Time!AS30,0)</f>
        <v/>
      </c>
      <c r="AT31" s="13">
        <f>IF(Time!AT30&gt;0,(AT30*INDEX(Inputs!$J$302:$Q$302,1,MOD(AT29-1,Inputs!$F$220)+1)+(Time!AT30-AT30)*INDEX(Inputs!$J$302:$Q$302,1,MOD(AT29,Inputs!$F$220)+1))/Time!AT30,0)</f>
        <v/>
      </c>
      <c r="AU31" s="13">
        <f>IF(Time!AU30&gt;0,(AU30*INDEX(Inputs!$J$302:$Q$302,1,MOD(AU29-1,Inputs!$F$220)+1)+(Time!AU30-AU30)*INDEX(Inputs!$J$302:$Q$302,1,MOD(AU29,Inputs!$F$220)+1))/Time!AU30,0)</f>
        <v/>
      </c>
      <c r="AV31" s="13">
        <f>IF(Time!AV30&gt;0,(AV30*INDEX(Inputs!$J$302:$Q$302,1,MOD(AV29-1,Inputs!$F$220)+1)+(Time!AV30-AV30)*INDEX(Inputs!$J$302:$Q$302,1,MOD(AV29,Inputs!$F$220)+1))/Time!AV30,0)</f>
        <v/>
      </c>
      <c r="AW31" s="13">
        <f>IF(Time!AW30&gt;0,(AW30*INDEX(Inputs!$J$302:$Q$302,1,MOD(AW29-1,Inputs!$F$220)+1)+(Time!AW30-AW30)*INDEX(Inputs!$J$302:$Q$302,1,MOD(AW29,Inputs!$F$220)+1))/Time!AW30,0)</f>
        <v/>
      </c>
      <c r="AX31" s="13">
        <f>IF(Time!AX30&gt;0,(AX30*INDEX(Inputs!$J$302:$Q$302,1,MOD(AX29-1,Inputs!$F$220)+1)+(Time!AX30-AX30)*INDEX(Inputs!$J$302:$Q$302,1,MOD(AX29,Inputs!$F$220)+1))/Time!AX30,0)</f>
        <v/>
      </c>
      <c r="AY31" s="13">
        <f>IF(Time!AY30&gt;0,(AY30*INDEX(Inputs!$J$302:$Q$302,1,MOD(AY29-1,Inputs!$F$220)+1)+(Time!AY30-AY30)*INDEX(Inputs!$J$302:$Q$302,1,MOD(AY29,Inputs!$F$220)+1))/Time!AY30,0)</f>
        <v/>
      </c>
      <c r="AZ31" s="13">
        <f>IF(Time!AZ30&gt;0,(AZ30*INDEX(Inputs!$J$302:$Q$302,1,MOD(AZ29-1,Inputs!$F$220)+1)+(Time!AZ30-AZ30)*INDEX(Inputs!$J$302:$Q$302,1,MOD(AZ29,Inputs!$F$220)+1))/Time!AZ30,0)</f>
        <v/>
      </c>
      <c r="BA31" s="13">
        <f>IF(Time!BA30&gt;0,(BA30*INDEX(Inputs!$J$302:$Q$302,1,MOD(BA29-1,Inputs!$F$220)+1)+(Time!BA30-BA30)*INDEX(Inputs!$J$302:$Q$302,1,MOD(BA29,Inputs!$F$220)+1))/Time!BA30,0)</f>
        <v/>
      </c>
      <c r="BB31" s="13">
        <f>IF(Time!BB30&gt;0,(BB30*INDEX(Inputs!$J$302:$Q$302,1,MOD(BB29-1,Inputs!$F$220)+1)+(Time!BB30-BB30)*INDEX(Inputs!$J$302:$Q$302,1,MOD(BB29,Inputs!$F$220)+1))/Time!BB30,0)</f>
        <v/>
      </c>
      <c r="BC31" s="13">
        <f>IF(Time!BC30&gt;0,(BC30*INDEX(Inputs!$J$302:$Q$302,1,MOD(BC29-1,Inputs!$F$220)+1)+(Time!BC30-BC30)*INDEX(Inputs!$J$302:$Q$302,1,MOD(BC29,Inputs!$F$220)+1))/Time!BC30,0)</f>
        <v/>
      </c>
      <c r="BD31" s="13">
        <f>IF(Time!BD30&gt;0,(BD30*INDEX(Inputs!$J$302:$Q$302,1,MOD(BD29-1,Inputs!$F$220)+1)+(Time!BD30-BD30)*INDEX(Inputs!$J$302:$Q$302,1,MOD(BD29,Inputs!$F$220)+1))/Time!BD30,0)</f>
        <v/>
      </c>
      <c r="BE31" s="13">
        <f>IF(Time!BE30&gt;0,(BE30*INDEX(Inputs!$J$302:$Q$302,1,MOD(BE29-1,Inputs!$F$220)+1)+(Time!BE30-BE30)*INDEX(Inputs!$J$302:$Q$302,1,MOD(BE29,Inputs!$F$220)+1))/Time!BE30,0)</f>
        <v/>
      </c>
      <c r="BF31" s="13">
        <f>IF(Time!BF30&gt;0,(BF30*INDEX(Inputs!$J$302:$Q$302,1,MOD(BF29-1,Inputs!$F$220)+1)+(Time!BF30-BF30)*INDEX(Inputs!$J$302:$Q$302,1,MOD(BF29,Inputs!$F$220)+1))/Time!BF30,0)</f>
        <v/>
      </c>
      <c r="BG31" s="13">
        <f>IF(Time!BG30&gt;0,(BG30*INDEX(Inputs!$J$302:$Q$302,1,MOD(BG29-1,Inputs!$F$220)+1)+(Time!BG30-BG30)*INDEX(Inputs!$J$302:$Q$302,1,MOD(BG29,Inputs!$F$220)+1))/Time!BG30,0)</f>
        <v/>
      </c>
      <c r="BH31" s="13">
        <f>IF(Time!BH30&gt;0,(BH30*INDEX(Inputs!$J$302:$Q$302,1,MOD(BH29-1,Inputs!$F$220)+1)+(Time!BH30-BH30)*INDEX(Inputs!$J$302:$Q$302,1,MOD(BH29,Inputs!$F$220)+1))/Time!BH30,0)</f>
        <v/>
      </c>
      <c r="BI31" s="13">
        <f>IF(Time!BI30&gt;0,(BI30*INDEX(Inputs!$J$302:$Q$302,1,MOD(BI29-1,Inputs!$F$220)+1)+(Time!BI30-BI30)*INDEX(Inputs!$J$302:$Q$302,1,MOD(BI29,Inputs!$F$220)+1))/Time!BI30,0)</f>
        <v/>
      </c>
      <c r="BJ31" s="13">
        <f>IF(Time!BJ30&gt;0,(BJ30*INDEX(Inputs!$J$302:$Q$302,1,MOD(BJ29-1,Inputs!$F$220)+1)+(Time!BJ30-BJ30)*INDEX(Inputs!$J$302:$Q$302,1,MOD(BJ29,Inputs!$F$220)+1))/Time!BJ30,0)</f>
        <v/>
      </c>
      <c r="BK31" s="13">
        <f>IF(Time!BK30&gt;0,(BK30*INDEX(Inputs!$J$302:$Q$302,1,MOD(BK29-1,Inputs!$F$220)+1)+(Time!BK30-BK30)*INDEX(Inputs!$J$302:$Q$302,1,MOD(BK29,Inputs!$F$220)+1))/Time!BK30,0)</f>
        <v/>
      </c>
      <c r="BL31" s="13">
        <f>IF(Time!BL30&gt;0,(BL30*INDEX(Inputs!$J$302:$Q$302,1,MOD(BL29-1,Inputs!$F$220)+1)+(Time!BL30-BL30)*INDEX(Inputs!$J$302:$Q$302,1,MOD(BL29,Inputs!$F$220)+1))/Time!BL30,0)</f>
        <v/>
      </c>
      <c r="BM31" s="13">
        <f>IF(Time!BM30&gt;0,(BM30*INDEX(Inputs!$J$302:$Q$302,1,MOD(BM29-1,Inputs!$F$220)+1)+(Time!BM30-BM30)*INDEX(Inputs!$J$302:$Q$302,1,MOD(BM29,Inputs!$F$220)+1))/Time!BM30,0)</f>
        <v/>
      </c>
      <c r="BN31" s="13">
        <f>IF(Time!BN30&gt;0,(BN30*INDEX(Inputs!$J$302:$Q$302,1,MOD(BN29-1,Inputs!$F$220)+1)+(Time!BN30-BN30)*INDEX(Inputs!$J$302:$Q$302,1,MOD(BN29,Inputs!$F$220)+1))/Time!BN30,0)</f>
        <v/>
      </c>
    </row>
    <row r="32">
      <c r="D32" t="inlineStr">
        <is>
          <t>Availability</t>
        </is>
      </c>
      <c r="E32" t="inlineStr">
        <is>
          <t>%</t>
        </is>
      </c>
      <c r="J32" s="13">
        <f>IF(Time!J30&gt;0,J31+Inputs!$F$37,0)</f>
        <v/>
      </c>
      <c r="K32" s="13">
        <f>IF(Time!K30&gt;0,K31+Inputs!$F$37,0)</f>
        <v/>
      </c>
      <c r="L32" s="13">
        <f>IF(Time!L30&gt;0,L31+Inputs!$F$37,0)</f>
        <v/>
      </c>
      <c r="M32" s="13">
        <f>IF(Time!M30&gt;0,M31+Inputs!$F$37,0)</f>
        <v/>
      </c>
      <c r="N32" s="13">
        <f>IF(Time!N30&gt;0,N31+Inputs!$F$37,0)</f>
        <v/>
      </c>
      <c r="O32" s="13">
        <f>IF(Time!O30&gt;0,O31+Inputs!$F$37,0)</f>
        <v/>
      </c>
      <c r="P32" s="13">
        <f>IF(Time!P30&gt;0,P31+Inputs!$F$37,0)</f>
        <v/>
      </c>
      <c r="Q32" s="13">
        <f>IF(Time!Q30&gt;0,Q31+Inputs!$F$37,0)</f>
        <v/>
      </c>
      <c r="R32" s="13">
        <f>IF(Time!R30&gt;0,R31+Inputs!$F$37,0)</f>
        <v/>
      </c>
      <c r="S32" s="13">
        <f>IF(Time!S30&gt;0,S31+Inputs!$F$37,0)</f>
        <v/>
      </c>
      <c r="T32" s="13">
        <f>IF(Time!T30&gt;0,T31+Inputs!$F$37,0)</f>
        <v/>
      </c>
      <c r="U32" s="13">
        <f>IF(Time!U30&gt;0,U31+Inputs!$F$37,0)</f>
        <v/>
      </c>
      <c r="V32" s="13">
        <f>IF(Time!V30&gt;0,V31+Inputs!$F$37,0)</f>
        <v/>
      </c>
      <c r="W32" s="13">
        <f>IF(Time!W30&gt;0,W31+Inputs!$F$37,0)</f>
        <v/>
      </c>
      <c r="X32" s="13">
        <f>IF(Time!X30&gt;0,X31+Inputs!$F$37,0)</f>
        <v/>
      </c>
      <c r="Y32" s="13">
        <f>IF(Time!Y30&gt;0,Y31+Inputs!$F$37,0)</f>
        <v/>
      </c>
      <c r="Z32" s="13">
        <f>IF(Time!Z30&gt;0,Z31+Inputs!$F$37,0)</f>
        <v/>
      </c>
      <c r="AA32" s="13">
        <f>IF(Time!AA30&gt;0,AA31+Inputs!$F$37,0)</f>
        <v/>
      </c>
      <c r="AB32" s="13">
        <f>IF(Time!AB30&gt;0,AB31+Inputs!$F$37,0)</f>
        <v/>
      </c>
      <c r="AC32" s="13">
        <f>IF(Time!AC30&gt;0,AC31+Inputs!$F$37,0)</f>
        <v/>
      </c>
      <c r="AD32" s="13">
        <f>IF(Time!AD30&gt;0,AD31+Inputs!$F$37,0)</f>
        <v/>
      </c>
      <c r="AE32" s="13">
        <f>IF(Time!AE30&gt;0,AE31+Inputs!$F$37,0)</f>
        <v/>
      </c>
      <c r="AF32" s="13">
        <f>IF(Time!AF30&gt;0,AF31+Inputs!$F$37,0)</f>
        <v/>
      </c>
      <c r="AG32" s="13">
        <f>IF(Time!AG30&gt;0,AG31+Inputs!$F$37,0)</f>
        <v/>
      </c>
      <c r="AH32" s="13">
        <f>IF(Time!AH30&gt;0,AH31+Inputs!$F$37,0)</f>
        <v/>
      </c>
      <c r="AI32" s="13">
        <f>IF(Time!AI30&gt;0,AI31+Inputs!$F$37,0)</f>
        <v/>
      </c>
      <c r="AJ32" s="13">
        <f>IF(Time!AJ30&gt;0,AJ31+Inputs!$F$37,0)</f>
        <v/>
      </c>
      <c r="AK32" s="13">
        <f>IF(Time!AK30&gt;0,AK31+Inputs!$F$37,0)</f>
        <v/>
      </c>
      <c r="AL32" s="13">
        <f>IF(Time!AL30&gt;0,AL31+Inputs!$F$37,0)</f>
        <v/>
      </c>
      <c r="AM32" s="13">
        <f>IF(Time!AM30&gt;0,AM31+Inputs!$F$37,0)</f>
        <v/>
      </c>
      <c r="AN32" s="13">
        <f>IF(Time!AN30&gt;0,AN31+Inputs!$F$37,0)</f>
        <v/>
      </c>
      <c r="AO32" s="13">
        <f>IF(Time!AO30&gt;0,AO31+Inputs!$F$37,0)</f>
        <v/>
      </c>
      <c r="AP32" s="13">
        <f>IF(Time!AP30&gt;0,AP31+Inputs!$F$37,0)</f>
        <v/>
      </c>
      <c r="AQ32" s="13">
        <f>IF(Time!AQ30&gt;0,AQ31+Inputs!$F$37,0)</f>
        <v/>
      </c>
      <c r="AR32" s="13">
        <f>IF(Time!AR30&gt;0,AR31+Inputs!$F$37,0)</f>
        <v/>
      </c>
      <c r="AS32" s="13">
        <f>IF(Time!AS30&gt;0,AS31+Inputs!$F$37,0)</f>
        <v/>
      </c>
      <c r="AT32" s="13">
        <f>IF(Time!AT30&gt;0,AT31+Inputs!$F$37,0)</f>
        <v/>
      </c>
      <c r="AU32" s="13">
        <f>IF(Time!AU30&gt;0,AU31+Inputs!$F$37,0)</f>
        <v/>
      </c>
      <c r="AV32" s="13">
        <f>IF(Time!AV30&gt;0,AV31+Inputs!$F$37,0)</f>
        <v/>
      </c>
      <c r="AW32" s="13">
        <f>IF(Time!AW30&gt;0,AW31+Inputs!$F$37,0)</f>
        <v/>
      </c>
      <c r="AX32" s="13">
        <f>IF(Time!AX30&gt;0,AX31+Inputs!$F$37,0)</f>
        <v/>
      </c>
      <c r="AY32" s="13">
        <f>IF(Time!AY30&gt;0,AY31+Inputs!$F$37,0)</f>
        <v/>
      </c>
      <c r="AZ32" s="13">
        <f>IF(Time!AZ30&gt;0,AZ31+Inputs!$F$37,0)</f>
        <v/>
      </c>
      <c r="BA32" s="13">
        <f>IF(Time!BA30&gt;0,BA31+Inputs!$F$37,0)</f>
        <v/>
      </c>
      <c r="BB32" s="13">
        <f>IF(Time!BB30&gt;0,BB31+Inputs!$F$37,0)</f>
        <v/>
      </c>
      <c r="BC32" s="13">
        <f>IF(Time!BC30&gt;0,BC31+Inputs!$F$37,0)</f>
        <v/>
      </c>
      <c r="BD32" s="13">
        <f>IF(Time!BD30&gt;0,BD31+Inputs!$F$37,0)</f>
        <v/>
      </c>
      <c r="BE32" s="13">
        <f>IF(Time!BE30&gt;0,BE31+Inputs!$F$37,0)</f>
        <v/>
      </c>
      <c r="BF32" s="13">
        <f>IF(Time!BF30&gt;0,BF31+Inputs!$F$37,0)</f>
        <v/>
      </c>
      <c r="BG32" s="13">
        <f>IF(Time!BG30&gt;0,BG31+Inputs!$F$37,0)</f>
        <v/>
      </c>
      <c r="BH32" s="13">
        <f>IF(Time!BH30&gt;0,BH31+Inputs!$F$37,0)</f>
        <v/>
      </c>
      <c r="BI32" s="13">
        <f>IF(Time!BI30&gt;0,BI31+Inputs!$F$37,0)</f>
        <v/>
      </c>
      <c r="BJ32" s="13">
        <f>IF(Time!BJ30&gt;0,BJ31+Inputs!$F$37,0)</f>
        <v/>
      </c>
      <c r="BK32" s="13">
        <f>IF(Time!BK30&gt;0,BK31+Inputs!$F$37,0)</f>
        <v/>
      </c>
      <c r="BL32" s="13">
        <f>IF(Time!BL30&gt;0,BL31+Inputs!$F$37,0)</f>
        <v/>
      </c>
      <c r="BM32" s="13">
        <f>IF(Time!BM30&gt;0,BM31+Inputs!$F$37,0)</f>
        <v/>
      </c>
      <c r="BN32" s="13">
        <f>IF(Time!BN30&gt;0,BN31+Inputs!$F$37,0)</f>
        <v/>
      </c>
    </row>
    <row r="33">
      <c r="D33" t="inlineStr">
        <is>
          <t>Years since COD (period mid-point)</t>
        </is>
      </c>
      <c r="E33" t="inlineStr">
        <is>
          <t>years</t>
        </is>
      </c>
      <c r="J33" s="13">
        <f>IF(Time!J30&gt;0,AVERAGE(Time!J32,Time!J33)/12,0)</f>
        <v/>
      </c>
      <c r="K33" s="13">
        <f>IF(Time!K30&gt;0,AVERAGE(Time!K32,Time!K33)/12,0)</f>
        <v/>
      </c>
      <c r="L33" s="13">
        <f>IF(Time!L30&gt;0,AVERAGE(Time!L32,Time!L33)/12,0)</f>
        <v/>
      </c>
      <c r="M33" s="13">
        <f>IF(Time!M30&gt;0,AVERAGE(Time!M32,Time!M33)/12,0)</f>
        <v/>
      </c>
      <c r="N33" s="13">
        <f>IF(Time!N30&gt;0,AVERAGE(Time!N32,Time!N33)/12,0)</f>
        <v/>
      </c>
      <c r="O33" s="13">
        <f>IF(Time!O30&gt;0,AVERAGE(Time!O32,Time!O33)/12,0)</f>
        <v/>
      </c>
      <c r="P33" s="13">
        <f>IF(Time!P30&gt;0,AVERAGE(Time!P32,Time!P33)/12,0)</f>
        <v/>
      </c>
      <c r="Q33" s="13">
        <f>IF(Time!Q30&gt;0,AVERAGE(Time!Q32,Time!Q33)/12,0)</f>
        <v/>
      </c>
      <c r="R33" s="13">
        <f>IF(Time!R30&gt;0,AVERAGE(Time!R32,Time!R33)/12,0)</f>
        <v/>
      </c>
      <c r="S33" s="13">
        <f>IF(Time!S30&gt;0,AVERAGE(Time!S32,Time!S33)/12,0)</f>
        <v/>
      </c>
      <c r="T33" s="13">
        <f>IF(Time!T30&gt;0,AVERAGE(Time!T32,Time!T33)/12,0)</f>
        <v/>
      </c>
      <c r="U33" s="13">
        <f>IF(Time!U30&gt;0,AVERAGE(Time!U32,Time!U33)/12,0)</f>
        <v/>
      </c>
      <c r="V33" s="13">
        <f>IF(Time!V30&gt;0,AVERAGE(Time!V32,Time!V33)/12,0)</f>
        <v/>
      </c>
      <c r="W33" s="13">
        <f>IF(Time!W30&gt;0,AVERAGE(Time!W32,Time!W33)/12,0)</f>
        <v/>
      </c>
      <c r="X33" s="13">
        <f>IF(Time!X30&gt;0,AVERAGE(Time!X32,Time!X33)/12,0)</f>
        <v/>
      </c>
      <c r="Y33" s="13">
        <f>IF(Time!Y30&gt;0,AVERAGE(Time!Y32,Time!Y33)/12,0)</f>
        <v/>
      </c>
      <c r="Z33" s="13">
        <f>IF(Time!Z30&gt;0,AVERAGE(Time!Z32,Time!Z33)/12,0)</f>
        <v/>
      </c>
      <c r="AA33" s="13">
        <f>IF(Time!AA30&gt;0,AVERAGE(Time!AA32,Time!AA33)/12,0)</f>
        <v/>
      </c>
      <c r="AB33" s="13">
        <f>IF(Time!AB30&gt;0,AVERAGE(Time!AB32,Time!AB33)/12,0)</f>
        <v/>
      </c>
      <c r="AC33" s="13">
        <f>IF(Time!AC30&gt;0,AVERAGE(Time!AC32,Time!AC33)/12,0)</f>
        <v/>
      </c>
      <c r="AD33" s="13">
        <f>IF(Time!AD30&gt;0,AVERAGE(Time!AD32,Time!AD33)/12,0)</f>
        <v/>
      </c>
      <c r="AE33" s="13">
        <f>IF(Time!AE30&gt;0,AVERAGE(Time!AE32,Time!AE33)/12,0)</f>
        <v/>
      </c>
      <c r="AF33" s="13">
        <f>IF(Time!AF30&gt;0,AVERAGE(Time!AF32,Time!AF33)/12,0)</f>
        <v/>
      </c>
      <c r="AG33" s="13">
        <f>IF(Time!AG30&gt;0,AVERAGE(Time!AG32,Time!AG33)/12,0)</f>
        <v/>
      </c>
      <c r="AH33" s="13">
        <f>IF(Time!AH30&gt;0,AVERAGE(Time!AH32,Time!AH33)/12,0)</f>
        <v/>
      </c>
      <c r="AI33" s="13">
        <f>IF(Time!AI30&gt;0,AVERAGE(Time!AI32,Time!AI33)/12,0)</f>
        <v/>
      </c>
      <c r="AJ33" s="13">
        <f>IF(Time!AJ30&gt;0,AVERAGE(Time!AJ32,Time!AJ33)/12,0)</f>
        <v/>
      </c>
      <c r="AK33" s="13">
        <f>IF(Time!AK30&gt;0,AVERAGE(Time!AK32,Time!AK33)/12,0)</f>
        <v/>
      </c>
      <c r="AL33" s="13">
        <f>IF(Time!AL30&gt;0,AVERAGE(Time!AL32,Time!AL33)/12,0)</f>
        <v/>
      </c>
      <c r="AM33" s="13">
        <f>IF(Time!AM30&gt;0,AVERAGE(Time!AM32,Time!AM33)/12,0)</f>
        <v/>
      </c>
      <c r="AN33" s="13">
        <f>IF(Time!AN30&gt;0,AVERAGE(Time!AN32,Time!AN33)/12,0)</f>
        <v/>
      </c>
      <c r="AO33" s="13">
        <f>IF(Time!AO30&gt;0,AVERAGE(Time!AO32,Time!AO33)/12,0)</f>
        <v/>
      </c>
      <c r="AP33" s="13">
        <f>IF(Time!AP30&gt;0,AVERAGE(Time!AP32,Time!AP33)/12,0)</f>
        <v/>
      </c>
      <c r="AQ33" s="13">
        <f>IF(Time!AQ30&gt;0,AVERAGE(Time!AQ32,Time!AQ33)/12,0)</f>
        <v/>
      </c>
      <c r="AR33" s="13">
        <f>IF(Time!AR30&gt;0,AVERAGE(Time!AR32,Time!AR33)/12,0)</f>
        <v/>
      </c>
      <c r="AS33" s="13">
        <f>IF(Time!AS30&gt;0,AVERAGE(Time!AS32,Time!AS33)/12,0)</f>
        <v/>
      </c>
      <c r="AT33" s="13">
        <f>IF(Time!AT30&gt;0,AVERAGE(Time!AT32,Time!AT33)/12,0)</f>
        <v/>
      </c>
      <c r="AU33" s="13">
        <f>IF(Time!AU30&gt;0,AVERAGE(Time!AU32,Time!AU33)/12,0)</f>
        <v/>
      </c>
      <c r="AV33" s="13">
        <f>IF(Time!AV30&gt;0,AVERAGE(Time!AV32,Time!AV33)/12,0)</f>
        <v/>
      </c>
      <c r="AW33" s="13">
        <f>IF(Time!AW30&gt;0,AVERAGE(Time!AW32,Time!AW33)/12,0)</f>
        <v/>
      </c>
      <c r="AX33" s="13">
        <f>IF(Time!AX30&gt;0,AVERAGE(Time!AX32,Time!AX33)/12,0)</f>
        <v/>
      </c>
      <c r="AY33" s="13">
        <f>IF(Time!AY30&gt;0,AVERAGE(Time!AY32,Time!AY33)/12,0)</f>
        <v/>
      </c>
      <c r="AZ33" s="13">
        <f>IF(Time!AZ30&gt;0,AVERAGE(Time!AZ32,Time!AZ33)/12,0)</f>
        <v/>
      </c>
      <c r="BA33" s="13">
        <f>IF(Time!BA30&gt;0,AVERAGE(Time!BA32,Time!BA33)/12,0)</f>
        <v/>
      </c>
      <c r="BB33" s="13">
        <f>IF(Time!BB30&gt;0,AVERAGE(Time!BB32,Time!BB33)/12,0)</f>
        <v/>
      </c>
      <c r="BC33" s="13">
        <f>IF(Time!BC30&gt;0,AVERAGE(Time!BC32,Time!BC33)/12,0)</f>
        <v/>
      </c>
      <c r="BD33" s="13">
        <f>IF(Time!BD30&gt;0,AVERAGE(Time!BD32,Time!BD33)/12,0)</f>
        <v/>
      </c>
      <c r="BE33" s="13">
        <f>IF(Time!BE30&gt;0,AVERAGE(Time!BE32,Time!BE33)/12,0)</f>
        <v/>
      </c>
      <c r="BF33" s="13">
        <f>IF(Time!BF30&gt;0,AVERAGE(Time!BF32,Time!BF33)/12,0)</f>
        <v/>
      </c>
      <c r="BG33" s="13">
        <f>IF(Time!BG30&gt;0,AVERAGE(Time!BG32,Time!BG33)/12,0)</f>
        <v/>
      </c>
      <c r="BH33" s="13">
        <f>IF(Time!BH30&gt;0,AVERAGE(Time!BH32,Time!BH33)/12,0)</f>
        <v/>
      </c>
      <c r="BI33" s="13">
        <f>IF(Time!BI30&gt;0,AVERAGE(Time!BI32,Time!BI33)/12,0)</f>
        <v/>
      </c>
      <c r="BJ33" s="13">
        <f>IF(Time!BJ30&gt;0,AVERAGE(Time!BJ32,Time!BJ33)/12,0)</f>
        <v/>
      </c>
      <c r="BK33" s="13">
        <f>IF(Time!BK30&gt;0,AVERAGE(Time!BK32,Time!BK33)/12,0)</f>
        <v/>
      </c>
      <c r="BL33" s="13">
        <f>IF(Time!BL30&gt;0,AVERAGE(Time!BL32,Time!BL33)/12,0)</f>
        <v/>
      </c>
      <c r="BM33" s="13">
        <f>IF(Time!BM30&gt;0,AVERAGE(Time!BM32,Time!BM33)/12,0)</f>
        <v/>
      </c>
      <c r="BN33" s="13">
        <f>IF(Time!BN30&gt;0,AVERAGE(Time!BN32,Time!BN33)/12,0)</f>
        <v/>
      </c>
    </row>
    <row r="34">
      <c r="D34" t="inlineStr">
        <is>
          <t>Contracted capacity</t>
        </is>
      </c>
      <c r="E34" t="inlineStr">
        <is>
          <t>MW</t>
        </is>
      </c>
      <c r="F34" s="14">
        <f>IF(Inputs!$F$34&lt;&gt;1,Inputs!$F$117,Inputs!$F$116)</f>
        <v/>
      </c>
    </row>
    <row r="35">
      <c r="D35" t="inlineStr">
        <is>
          <t>Plant net heat rate, new and clean</t>
        </is>
      </c>
      <c r="E35" t="inlineStr">
        <is>
          <t>kJ/kWh</t>
        </is>
      </c>
      <c r="F35" s="10">
        <f>IF(Inputs!$F$34&lt;&gt;1,Inputs!$F$119,Inputs!$F$118)</f>
        <v/>
      </c>
    </row>
    <row r="36">
      <c r="D36" t="inlineStr">
        <is>
          <t>Output degradation factor</t>
        </is>
      </c>
      <c r="E36" t="inlineStr">
        <is>
          <t>factor</t>
        </is>
      </c>
      <c r="J36" s="13">
        <f>(1-Inputs!$F$125/100*J33)*(1-Inputs!$F$126/100)</f>
        <v/>
      </c>
      <c r="K36" s="13">
        <f>(1-Inputs!$F$125/100*K33)*(1-Inputs!$F$126/100)</f>
        <v/>
      </c>
      <c r="L36" s="13">
        <f>(1-Inputs!$F$125/100*L33)*(1-Inputs!$F$126/100)</f>
        <v/>
      </c>
      <c r="M36" s="13">
        <f>(1-Inputs!$F$125/100*M33)*(1-Inputs!$F$126/100)</f>
        <v/>
      </c>
      <c r="N36" s="13">
        <f>(1-Inputs!$F$125/100*N33)*(1-Inputs!$F$126/100)</f>
        <v/>
      </c>
      <c r="O36" s="13">
        <f>(1-Inputs!$F$125/100*O33)*(1-Inputs!$F$126/100)</f>
        <v/>
      </c>
      <c r="P36" s="13">
        <f>(1-Inputs!$F$125/100*P33)*(1-Inputs!$F$126/100)</f>
        <v/>
      </c>
      <c r="Q36" s="13">
        <f>(1-Inputs!$F$125/100*Q33)*(1-Inputs!$F$126/100)</f>
        <v/>
      </c>
      <c r="R36" s="13">
        <f>(1-Inputs!$F$125/100*R33)*(1-Inputs!$F$126/100)</f>
        <v/>
      </c>
      <c r="S36" s="13">
        <f>(1-Inputs!$F$125/100*S33)*(1-Inputs!$F$126/100)</f>
        <v/>
      </c>
      <c r="T36" s="13">
        <f>(1-Inputs!$F$125/100*T33)*(1-Inputs!$F$126/100)</f>
        <v/>
      </c>
      <c r="U36" s="13">
        <f>(1-Inputs!$F$125/100*U33)*(1-Inputs!$F$126/100)</f>
        <v/>
      </c>
      <c r="V36" s="13">
        <f>(1-Inputs!$F$125/100*V33)*(1-Inputs!$F$126/100)</f>
        <v/>
      </c>
      <c r="W36" s="13">
        <f>(1-Inputs!$F$125/100*W33)*(1-Inputs!$F$126/100)</f>
        <v/>
      </c>
      <c r="X36" s="13">
        <f>(1-Inputs!$F$125/100*X33)*(1-Inputs!$F$126/100)</f>
        <v/>
      </c>
      <c r="Y36" s="13">
        <f>(1-Inputs!$F$125/100*Y33)*(1-Inputs!$F$126/100)</f>
        <v/>
      </c>
      <c r="Z36" s="13">
        <f>(1-Inputs!$F$125/100*Z33)*(1-Inputs!$F$126/100)</f>
        <v/>
      </c>
      <c r="AA36" s="13">
        <f>(1-Inputs!$F$125/100*AA33)*(1-Inputs!$F$126/100)</f>
        <v/>
      </c>
      <c r="AB36" s="13">
        <f>(1-Inputs!$F$125/100*AB33)*(1-Inputs!$F$126/100)</f>
        <v/>
      </c>
      <c r="AC36" s="13">
        <f>(1-Inputs!$F$125/100*AC33)*(1-Inputs!$F$126/100)</f>
        <v/>
      </c>
      <c r="AD36" s="13">
        <f>(1-Inputs!$F$125/100*AD33)*(1-Inputs!$F$126/100)</f>
        <v/>
      </c>
      <c r="AE36" s="13">
        <f>(1-Inputs!$F$125/100*AE33)*(1-Inputs!$F$126/100)</f>
        <v/>
      </c>
      <c r="AF36" s="13">
        <f>(1-Inputs!$F$125/100*AF33)*(1-Inputs!$F$126/100)</f>
        <v/>
      </c>
      <c r="AG36" s="13">
        <f>(1-Inputs!$F$125/100*AG33)*(1-Inputs!$F$126/100)</f>
        <v/>
      </c>
      <c r="AH36" s="13">
        <f>(1-Inputs!$F$125/100*AH33)*(1-Inputs!$F$126/100)</f>
        <v/>
      </c>
      <c r="AI36" s="13">
        <f>(1-Inputs!$F$125/100*AI33)*(1-Inputs!$F$126/100)</f>
        <v/>
      </c>
      <c r="AJ36" s="13">
        <f>(1-Inputs!$F$125/100*AJ33)*(1-Inputs!$F$126/100)</f>
        <v/>
      </c>
      <c r="AK36" s="13">
        <f>(1-Inputs!$F$125/100*AK33)*(1-Inputs!$F$126/100)</f>
        <v/>
      </c>
      <c r="AL36" s="13">
        <f>(1-Inputs!$F$125/100*AL33)*(1-Inputs!$F$126/100)</f>
        <v/>
      </c>
      <c r="AM36" s="13">
        <f>(1-Inputs!$F$125/100*AM33)*(1-Inputs!$F$126/100)</f>
        <v/>
      </c>
      <c r="AN36" s="13">
        <f>(1-Inputs!$F$125/100*AN33)*(1-Inputs!$F$126/100)</f>
        <v/>
      </c>
      <c r="AO36" s="13">
        <f>(1-Inputs!$F$125/100*AO33)*(1-Inputs!$F$126/100)</f>
        <v/>
      </c>
      <c r="AP36" s="13">
        <f>(1-Inputs!$F$125/100*AP33)*(1-Inputs!$F$126/100)</f>
        <v/>
      </c>
      <c r="AQ36" s="13">
        <f>(1-Inputs!$F$125/100*AQ33)*(1-Inputs!$F$126/100)</f>
        <v/>
      </c>
      <c r="AR36" s="13">
        <f>(1-Inputs!$F$125/100*AR33)*(1-Inputs!$F$126/100)</f>
        <v/>
      </c>
      <c r="AS36" s="13">
        <f>(1-Inputs!$F$125/100*AS33)*(1-Inputs!$F$126/100)</f>
        <v/>
      </c>
      <c r="AT36" s="13">
        <f>(1-Inputs!$F$125/100*AT33)*(1-Inputs!$F$126/100)</f>
        <v/>
      </c>
      <c r="AU36" s="13">
        <f>(1-Inputs!$F$125/100*AU33)*(1-Inputs!$F$126/100)</f>
        <v/>
      </c>
      <c r="AV36" s="13">
        <f>(1-Inputs!$F$125/100*AV33)*(1-Inputs!$F$126/100)</f>
        <v/>
      </c>
      <c r="AW36" s="13">
        <f>(1-Inputs!$F$125/100*AW33)*(1-Inputs!$F$126/100)</f>
        <v/>
      </c>
      <c r="AX36" s="13">
        <f>(1-Inputs!$F$125/100*AX33)*(1-Inputs!$F$126/100)</f>
        <v/>
      </c>
      <c r="AY36" s="13">
        <f>(1-Inputs!$F$125/100*AY33)*(1-Inputs!$F$126/100)</f>
        <v/>
      </c>
      <c r="AZ36" s="13">
        <f>(1-Inputs!$F$125/100*AZ33)*(1-Inputs!$F$126/100)</f>
        <v/>
      </c>
      <c r="BA36" s="13">
        <f>(1-Inputs!$F$125/100*BA33)*(1-Inputs!$F$126/100)</f>
        <v/>
      </c>
      <c r="BB36" s="13">
        <f>(1-Inputs!$F$125/100*BB33)*(1-Inputs!$F$126/100)</f>
        <v/>
      </c>
      <c r="BC36" s="13">
        <f>(1-Inputs!$F$125/100*BC33)*(1-Inputs!$F$126/100)</f>
        <v/>
      </c>
      <c r="BD36" s="13">
        <f>(1-Inputs!$F$125/100*BD33)*(1-Inputs!$F$126/100)</f>
        <v/>
      </c>
      <c r="BE36" s="13">
        <f>(1-Inputs!$F$125/100*BE33)*(1-Inputs!$F$126/100)</f>
        <v/>
      </c>
      <c r="BF36" s="13">
        <f>(1-Inputs!$F$125/100*BF33)*(1-Inputs!$F$126/100)</f>
        <v/>
      </c>
      <c r="BG36" s="13">
        <f>(1-Inputs!$F$125/100*BG33)*(1-Inputs!$F$126/100)</f>
        <v/>
      </c>
      <c r="BH36" s="13">
        <f>(1-Inputs!$F$125/100*BH33)*(1-Inputs!$F$126/100)</f>
        <v/>
      </c>
      <c r="BI36" s="13">
        <f>(1-Inputs!$F$125/100*BI33)*(1-Inputs!$F$126/100)</f>
        <v/>
      </c>
      <c r="BJ36" s="13">
        <f>(1-Inputs!$F$125/100*BJ33)*(1-Inputs!$F$126/100)</f>
        <v/>
      </c>
      <c r="BK36" s="13">
        <f>(1-Inputs!$F$125/100*BK33)*(1-Inputs!$F$126/100)</f>
        <v/>
      </c>
      <c r="BL36" s="13">
        <f>(1-Inputs!$F$125/100*BL33)*(1-Inputs!$F$126/100)</f>
        <v/>
      </c>
      <c r="BM36" s="13">
        <f>(1-Inputs!$F$125/100*BM33)*(1-Inputs!$F$126/100)</f>
        <v/>
      </c>
      <c r="BN36" s="13">
        <f>(1-Inputs!$F$125/100*BN33)*(1-Inputs!$F$126/100)</f>
        <v/>
      </c>
    </row>
    <row r="37">
      <c r="D37" t="inlineStr">
        <is>
          <t>Dispatch factor when available</t>
        </is>
      </c>
      <c r="E37" t="inlineStr">
        <is>
          <t>%</t>
        </is>
      </c>
      <c r="J37" s="13">
        <f>IF(AND(Inputs!$F$55=1,Inputs!J303&gt;0),Inputs!J303,Inputs!$F$38)</f>
        <v/>
      </c>
      <c r="K37" s="13">
        <f>IF(AND(Inputs!$F$55=1,Inputs!K303&gt;0),Inputs!K303,Inputs!$F$38)</f>
        <v/>
      </c>
      <c r="L37" s="13">
        <f>IF(AND(Inputs!$F$55=1,Inputs!L303&gt;0),Inputs!L303,Inputs!$F$38)</f>
        <v/>
      </c>
      <c r="M37" s="13">
        <f>IF(AND(Inputs!$F$55=1,Inputs!M303&gt;0),Inputs!M303,Inputs!$F$38)</f>
        <v/>
      </c>
      <c r="N37" s="13">
        <f>IF(AND(Inputs!$F$55=1,Inputs!N303&gt;0),Inputs!N303,Inputs!$F$38)</f>
        <v/>
      </c>
      <c r="O37" s="13">
        <f>IF(AND(Inputs!$F$55=1,Inputs!O303&gt;0),Inputs!O303,Inputs!$F$38)</f>
        <v/>
      </c>
      <c r="P37" s="13">
        <f>IF(AND(Inputs!$F$55=1,Inputs!P303&gt;0),Inputs!P303,Inputs!$F$38)</f>
        <v/>
      </c>
      <c r="Q37" s="13">
        <f>IF(AND(Inputs!$F$55=1,Inputs!Q303&gt;0),Inputs!Q303,Inputs!$F$38)</f>
        <v/>
      </c>
      <c r="R37" s="13">
        <f>IF(AND(Inputs!$F$55=1,Inputs!R303&gt;0),Inputs!R303,Inputs!$F$38)</f>
        <v/>
      </c>
      <c r="S37" s="13">
        <f>IF(AND(Inputs!$F$55=1,Inputs!S303&gt;0),Inputs!S303,Inputs!$F$38)</f>
        <v/>
      </c>
      <c r="T37" s="13">
        <f>IF(AND(Inputs!$F$55=1,Inputs!T303&gt;0),Inputs!T303,Inputs!$F$38)</f>
        <v/>
      </c>
      <c r="U37" s="13">
        <f>IF(AND(Inputs!$F$55=1,Inputs!U303&gt;0),Inputs!U303,Inputs!$F$38)</f>
        <v/>
      </c>
      <c r="V37" s="13">
        <f>IF(AND(Inputs!$F$55=1,Inputs!V303&gt;0),Inputs!V303,Inputs!$F$38)</f>
        <v/>
      </c>
      <c r="W37" s="13">
        <f>IF(AND(Inputs!$F$55=1,Inputs!W303&gt;0),Inputs!W303,Inputs!$F$38)</f>
        <v/>
      </c>
      <c r="X37" s="13">
        <f>IF(AND(Inputs!$F$55=1,Inputs!X303&gt;0),Inputs!X303,Inputs!$F$38)</f>
        <v/>
      </c>
      <c r="Y37" s="13">
        <f>IF(AND(Inputs!$F$55=1,Inputs!Y303&gt;0),Inputs!Y303,Inputs!$F$38)</f>
        <v/>
      </c>
      <c r="Z37" s="13">
        <f>IF(AND(Inputs!$F$55=1,Inputs!Z303&gt;0),Inputs!Z303,Inputs!$F$38)</f>
        <v/>
      </c>
      <c r="AA37" s="13">
        <f>IF(AND(Inputs!$F$55=1,Inputs!AA303&gt;0),Inputs!AA303,Inputs!$F$38)</f>
        <v/>
      </c>
      <c r="AB37" s="13">
        <f>IF(AND(Inputs!$F$55=1,Inputs!AB303&gt;0),Inputs!AB303,Inputs!$F$38)</f>
        <v/>
      </c>
      <c r="AC37" s="13">
        <f>IF(AND(Inputs!$F$55=1,Inputs!AC303&gt;0),Inputs!AC303,Inputs!$F$38)</f>
        <v/>
      </c>
      <c r="AD37" s="13">
        <f>IF(AND(Inputs!$F$55=1,Inputs!AD303&gt;0),Inputs!AD303,Inputs!$F$38)</f>
        <v/>
      </c>
      <c r="AE37" s="13">
        <f>IF(AND(Inputs!$F$55=1,Inputs!AE303&gt;0),Inputs!AE303,Inputs!$F$38)</f>
        <v/>
      </c>
      <c r="AF37" s="13">
        <f>IF(AND(Inputs!$F$55=1,Inputs!AF303&gt;0),Inputs!AF303,Inputs!$F$38)</f>
        <v/>
      </c>
      <c r="AG37" s="13">
        <f>IF(AND(Inputs!$F$55=1,Inputs!AG303&gt;0),Inputs!AG303,Inputs!$F$38)</f>
        <v/>
      </c>
      <c r="AH37" s="13">
        <f>IF(AND(Inputs!$F$55=1,Inputs!AH303&gt;0),Inputs!AH303,Inputs!$F$38)</f>
        <v/>
      </c>
      <c r="AI37" s="13">
        <f>IF(AND(Inputs!$F$55=1,Inputs!AI303&gt;0),Inputs!AI303,Inputs!$F$38)</f>
        <v/>
      </c>
      <c r="AJ37" s="13">
        <f>IF(AND(Inputs!$F$55=1,Inputs!AJ303&gt;0),Inputs!AJ303,Inputs!$F$38)</f>
        <v/>
      </c>
      <c r="AK37" s="13">
        <f>IF(AND(Inputs!$F$55=1,Inputs!AK303&gt;0),Inputs!AK303,Inputs!$F$38)</f>
        <v/>
      </c>
      <c r="AL37" s="13">
        <f>IF(AND(Inputs!$F$55=1,Inputs!AL303&gt;0),Inputs!AL303,Inputs!$F$38)</f>
        <v/>
      </c>
      <c r="AM37" s="13">
        <f>IF(AND(Inputs!$F$55=1,Inputs!AM303&gt;0),Inputs!AM303,Inputs!$F$38)</f>
        <v/>
      </c>
      <c r="AN37" s="13">
        <f>IF(AND(Inputs!$F$55=1,Inputs!AN303&gt;0),Inputs!AN303,Inputs!$F$38)</f>
        <v/>
      </c>
      <c r="AO37" s="13">
        <f>IF(AND(Inputs!$F$55=1,Inputs!AO303&gt;0),Inputs!AO303,Inputs!$F$38)</f>
        <v/>
      </c>
      <c r="AP37" s="13">
        <f>IF(AND(Inputs!$F$55=1,Inputs!AP303&gt;0),Inputs!AP303,Inputs!$F$38)</f>
        <v/>
      </c>
      <c r="AQ37" s="13">
        <f>IF(AND(Inputs!$F$55=1,Inputs!AQ303&gt;0),Inputs!AQ303,Inputs!$F$38)</f>
        <v/>
      </c>
      <c r="AR37" s="13">
        <f>IF(AND(Inputs!$F$55=1,Inputs!AR303&gt;0),Inputs!AR303,Inputs!$F$38)</f>
        <v/>
      </c>
      <c r="AS37" s="13">
        <f>IF(AND(Inputs!$F$55=1,Inputs!AS303&gt;0),Inputs!AS303,Inputs!$F$38)</f>
        <v/>
      </c>
      <c r="AT37" s="13">
        <f>IF(AND(Inputs!$F$55=1,Inputs!AT303&gt;0),Inputs!AT303,Inputs!$F$38)</f>
        <v/>
      </c>
      <c r="AU37" s="13">
        <f>IF(AND(Inputs!$F$55=1,Inputs!AU303&gt;0),Inputs!AU303,Inputs!$F$38)</f>
        <v/>
      </c>
      <c r="AV37" s="13">
        <f>IF(AND(Inputs!$F$55=1,Inputs!AV303&gt;0),Inputs!AV303,Inputs!$F$38)</f>
        <v/>
      </c>
      <c r="AW37" s="13">
        <f>IF(AND(Inputs!$F$55=1,Inputs!AW303&gt;0),Inputs!AW303,Inputs!$F$38)</f>
        <v/>
      </c>
      <c r="AX37" s="13">
        <f>IF(AND(Inputs!$F$55=1,Inputs!AX303&gt;0),Inputs!AX303,Inputs!$F$38)</f>
        <v/>
      </c>
      <c r="AY37" s="13">
        <f>IF(AND(Inputs!$F$55=1,Inputs!AY303&gt;0),Inputs!AY303,Inputs!$F$38)</f>
        <v/>
      </c>
      <c r="AZ37" s="13">
        <f>IF(AND(Inputs!$F$55=1,Inputs!AZ303&gt;0),Inputs!AZ303,Inputs!$F$38)</f>
        <v/>
      </c>
      <c r="BA37" s="13">
        <f>IF(AND(Inputs!$F$55=1,Inputs!BA303&gt;0),Inputs!BA303,Inputs!$F$38)</f>
        <v/>
      </c>
      <c r="BB37" s="13">
        <f>IF(AND(Inputs!$F$55=1,Inputs!BB303&gt;0),Inputs!BB303,Inputs!$F$38)</f>
        <v/>
      </c>
      <c r="BC37" s="13">
        <f>IF(AND(Inputs!$F$55=1,Inputs!BC303&gt;0),Inputs!BC303,Inputs!$F$38)</f>
        <v/>
      </c>
      <c r="BD37" s="13">
        <f>IF(AND(Inputs!$F$55=1,Inputs!BD303&gt;0),Inputs!BD303,Inputs!$F$38)</f>
        <v/>
      </c>
      <c r="BE37" s="13">
        <f>IF(AND(Inputs!$F$55=1,Inputs!BE303&gt;0),Inputs!BE303,Inputs!$F$38)</f>
        <v/>
      </c>
      <c r="BF37" s="13">
        <f>IF(AND(Inputs!$F$55=1,Inputs!BF303&gt;0),Inputs!BF303,Inputs!$F$38)</f>
        <v/>
      </c>
      <c r="BG37" s="13">
        <f>IF(AND(Inputs!$F$55=1,Inputs!BG303&gt;0),Inputs!BG303,Inputs!$F$38)</f>
        <v/>
      </c>
      <c r="BH37" s="13">
        <f>IF(AND(Inputs!$F$55=1,Inputs!BH303&gt;0),Inputs!BH303,Inputs!$F$38)</f>
        <v/>
      </c>
      <c r="BI37" s="13">
        <f>IF(AND(Inputs!$F$55=1,Inputs!BI303&gt;0),Inputs!BI303,Inputs!$F$38)</f>
        <v/>
      </c>
      <c r="BJ37" s="13">
        <f>IF(AND(Inputs!$F$55=1,Inputs!BJ303&gt;0),Inputs!BJ303,Inputs!$F$38)</f>
        <v/>
      </c>
      <c r="BK37" s="13">
        <f>IF(AND(Inputs!$F$55=1,Inputs!BK303&gt;0),Inputs!BK303,Inputs!$F$38)</f>
        <v/>
      </c>
      <c r="BL37" s="13">
        <f>IF(AND(Inputs!$F$55=1,Inputs!BL303&gt;0),Inputs!BL303,Inputs!$F$38)</f>
        <v/>
      </c>
      <c r="BM37" s="13">
        <f>IF(AND(Inputs!$F$55=1,Inputs!BM303&gt;0),Inputs!BM303,Inputs!$F$38)</f>
        <v/>
      </c>
      <c r="BN37" s="13">
        <f>IF(AND(Inputs!$F$55=1,Inputs!BN303&gt;0),Inputs!BN303,Inputs!$F$38)</f>
        <v/>
      </c>
    </row>
    <row r="38">
      <c r="D38" t="inlineStr">
        <is>
          <t>Net energy delivered</t>
        </is>
      </c>
      <c r="E38" t="inlineStr">
        <is>
          <t>MWh</t>
        </is>
      </c>
      <c r="J38" s="15">
        <f>$F$34*Inputs!$F$215*Time!J30*J32/100*J37/100*J36</f>
        <v/>
      </c>
      <c r="K38" s="15">
        <f>$F$34*Inputs!$F$215*Time!K30*K32/100*K37/100*K36</f>
        <v/>
      </c>
      <c r="L38" s="15">
        <f>$F$34*Inputs!$F$215*Time!L30*L32/100*L37/100*L36</f>
        <v/>
      </c>
      <c r="M38" s="15">
        <f>$F$34*Inputs!$F$215*Time!M30*M32/100*M37/100*M36</f>
        <v/>
      </c>
      <c r="N38" s="15">
        <f>$F$34*Inputs!$F$215*Time!N30*N32/100*N37/100*N36</f>
        <v/>
      </c>
      <c r="O38" s="15">
        <f>$F$34*Inputs!$F$215*Time!O30*O32/100*O37/100*O36</f>
        <v/>
      </c>
      <c r="P38" s="15">
        <f>$F$34*Inputs!$F$215*Time!P30*P32/100*P37/100*P36</f>
        <v/>
      </c>
      <c r="Q38" s="15">
        <f>$F$34*Inputs!$F$215*Time!Q30*Q32/100*Q37/100*Q36</f>
        <v/>
      </c>
      <c r="R38" s="15">
        <f>$F$34*Inputs!$F$215*Time!R30*R32/100*R37/100*R36</f>
        <v/>
      </c>
      <c r="S38" s="15">
        <f>$F$34*Inputs!$F$215*Time!S30*S32/100*S37/100*S36</f>
        <v/>
      </c>
      <c r="T38" s="15">
        <f>$F$34*Inputs!$F$215*Time!T30*T32/100*T37/100*T36</f>
        <v/>
      </c>
      <c r="U38" s="15">
        <f>$F$34*Inputs!$F$215*Time!U30*U32/100*U37/100*U36</f>
        <v/>
      </c>
      <c r="V38" s="15">
        <f>$F$34*Inputs!$F$215*Time!V30*V32/100*V37/100*V36</f>
        <v/>
      </c>
      <c r="W38" s="15">
        <f>$F$34*Inputs!$F$215*Time!W30*W32/100*W37/100*W36</f>
        <v/>
      </c>
      <c r="X38" s="15">
        <f>$F$34*Inputs!$F$215*Time!X30*X32/100*X37/100*X36</f>
        <v/>
      </c>
      <c r="Y38" s="15">
        <f>$F$34*Inputs!$F$215*Time!Y30*Y32/100*Y37/100*Y36</f>
        <v/>
      </c>
      <c r="Z38" s="15">
        <f>$F$34*Inputs!$F$215*Time!Z30*Z32/100*Z37/100*Z36</f>
        <v/>
      </c>
      <c r="AA38" s="15">
        <f>$F$34*Inputs!$F$215*Time!AA30*AA32/100*AA37/100*AA36</f>
        <v/>
      </c>
      <c r="AB38" s="15">
        <f>$F$34*Inputs!$F$215*Time!AB30*AB32/100*AB37/100*AB36</f>
        <v/>
      </c>
      <c r="AC38" s="15">
        <f>$F$34*Inputs!$F$215*Time!AC30*AC32/100*AC37/100*AC36</f>
        <v/>
      </c>
      <c r="AD38" s="15">
        <f>$F$34*Inputs!$F$215*Time!AD30*AD32/100*AD37/100*AD36</f>
        <v/>
      </c>
      <c r="AE38" s="15">
        <f>$F$34*Inputs!$F$215*Time!AE30*AE32/100*AE37/100*AE36</f>
        <v/>
      </c>
      <c r="AF38" s="15">
        <f>$F$34*Inputs!$F$215*Time!AF30*AF32/100*AF37/100*AF36</f>
        <v/>
      </c>
      <c r="AG38" s="15">
        <f>$F$34*Inputs!$F$215*Time!AG30*AG32/100*AG37/100*AG36</f>
        <v/>
      </c>
      <c r="AH38" s="15">
        <f>$F$34*Inputs!$F$215*Time!AH30*AH32/100*AH37/100*AH36</f>
        <v/>
      </c>
      <c r="AI38" s="15">
        <f>$F$34*Inputs!$F$215*Time!AI30*AI32/100*AI37/100*AI36</f>
        <v/>
      </c>
      <c r="AJ38" s="15">
        <f>$F$34*Inputs!$F$215*Time!AJ30*AJ32/100*AJ37/100*AJ36</f>
        <v/>
      </c>
      <c r="AK38" s="15">
        <f>$F$34*Inputs!$F$215*Time!AK30*AK32/100*AK37/100*AK36</f>
        <v/>
      </c>
      <c r="AL38" s="15">
        <f>$F$34*Inputs!$F$215*Time!AL30*AL32/100*AL37/100*AL36</f>
        <v/>
      </c>
      <c r="AM38" s="15">
        <f>$F$34*Inputs!$F$215*Time!AM30*AM32/100*AM37/100*AM36</f>
        <v/>
      </c>
      <c r="AN38" s="15">
        <f>$F$34*Inputs!$F$215*Time!AN30*AN32/100*AN37/100*AN36</f>
        <v/>
      </c>
      <c r="AO38" s="15">
        <f>$F$34*Inputs!$F$215*Time!AO30*AO32/100*AO37/100*AO36</f>
        <v/>
      </c>
      <c r="AP38" s="15">
        <f>$F$34*Inputs!$F$215*Time!AP30*AP32/100*AP37/100*AP36</f>
        <v/>
      </c>
      <c r="AQ38" s="15">
        <f>$F$34*Inputs!$F$215*Time!AQ30*AQ32/100*AQ37/100*AQ36</f>
        <v/>
      </c>
      <c r="AR38" s="15">
        <f>$F$34*Inputs!$F$215*Time!AR30*AR32/100*AR37/100*AR36</f>
        <v/>
      </c>
      <c r="AS38" s="15">
        <f>$F$34*Inputs!$F$215*Time!AS30*AS32/100*AS37/100*AS36</f>
        <v/>
      </c>
      <c r="AT38" s="15">
        <f>$F$34*Inputs!$F$215*Time!AT30*AT32/100*AT37/100*AT36</f>
        <v/>
      </c>
      <c r="AU38" s="15">
        <f>$F$34*Inputs!$F$215*Time!AU30*AU32/100*AU37/100*AU36</f>
        <v/>
      </c>
      <c r="AV38" s="15">
        <f>$F$34*Inputs!$F$215*Time!AV30*AV32/100*AV37/100*AV36</f>
        <v/>
      </c>
      <c r="AW38" s="15">
        <f>$F$34*Inputs!$F$215*Time!AW30*AW32/100*AW37/100*AW36</f>
        <v/>
      </c>
      <c r="AX38" s="15">
        <f>$F$34*Inputs!$F$215*Time!AX30*AX32/100*AX37/100*AX36</f>
        <v/>
      </c>
      <c r="AY38" s="15">
        <f>$F$34*Inputs!$F$215*Time!AY30*AY32/100*AY37/100*AY36</f>
        <v/>
      </c>
      <c r="AZ38" s="15">
        <f>$F$34*Inputs!$F$215*Time!AZ30*AZ32/100*AZ37/100*AZ36</f>
        <v/>
      </c>
      <c r="BA38" s="15">
        <f>$F$34*Inputs!$F$215*Time!BA30*BA32/100*BA37/100*BA36</f>
        <v/>
      </c>
      <c r="BB38" s="15">
        <f>$F$34*Inputs!$F$215*Time!BB30*BB32/100*BB37/100*BB36</f>
        <v/>
      </c>
      <c r="BC38" s="15">
        <f>$F$34*Inputs!$F$215*Time!BC30*BC32/100*BC37/100*BC36</f>
        <v/>
      </c>
      <c r="BD38" s="15">
        <f>$F$34*Inputs!$F$215*Time!BD30*BD32/100*BD37/100*BD36</f>
        <v/>
      </c>
      <c r="BE38" s="15">
        <f>$F$34*Inputs!$F$215*Time!BE30*BE32/100*BE37/100*BE36</f>
        <v/>
      </c>
      <c r="BF38" s="15">
        <f>$F$34*Inputs!$F$215*Time!BF30*BF32/100*BF37/100*BF36</f>
        <v/>
      </c>
      <c r="BG38" s="15">
        <f>$F$34*Inputs!$F$215*Time!BG30*BG32/100*BG37/100*BG36</f>
        <v/>
      </c>
      <c r="BH38" s="15">
        <f>$F$34*Inputs!$F$215*Time!BH30*BH32/100*BH37/100*BH36</f>
        <v/>
      </c>
      <c r="BI38" s="15">
        <f>$F$34*Inputs!$F$215*Time!BI30*BI32/100*BI37/100*BI36</f>
        <v/>
      </c>
      <c r="BJ38" s="15">
        <f>$F$34*Inputs!$F$215*Time!BJ30*BJ32/100*BJ37/100*BJ36</f>
        <v/>
      </c>
      <c r="BK38" s="15">
        <f>$F$34*Inputs!$F$215*Time!BK30*BK32/100*BK37/100*BK36</f>
        <v/>
      </c>
      <c r="BL38" s="15">
        <f>$F$34*Inputs!$F$215*Time!BL30*BL32/100*BL37/100*BL36</f>
        <v/>
      </c>
      <c r="BM38" s="15">
        <f>$F$34*Inputs!$F$215*Time!BM30*BM32/100*BM37/100*BM36</f>
        <v/>
      </c>
      <c r="BN38" s="15">
        <f>$F$34*Inputs!$F$215*Time!BN30*BN32/100*BN37/100*BN36</f>
        <v/>
      </c>
    </row>
    <row r="39">
      <c r="D39" t="inlineStr">
        <is>
          <t>Plant net heat rate</t>
        </is>
      </c>
      <c r="E39" t="inlineStr">
        <is>
          <t>kJ/kWh</t>
        </is>
      </c>
      <c r="J39" s="13">
        <f>$F$35*(1+Inputs!$F$127/100*J33)*(1+Inputs!$F$128/100)*(1+Inputs!$F$122/100)*Inputs!$F$39</f>
        <v/>
      </c>
      <c r="K39" s="13">
        <f>$F$35*(1+Inputs!$F$127/100*K33)*(1+Inputs!$F$128/100)*(1+Inputs!$F$122/100)*Inputs!$F$39</f>
        <v/>
      </c>
      <c r="L39" s="13">
        <f>$F$35*(1+Inputs!$F$127/100*L33)*(1+Inputs!$F$128/100)*(1+Inputs!$F$122/100)*Inputs!$F$39</f>
        <v/>
      </c>
      <c r="M39" s="13">
        <f>$F$35*(1+Inputs!$F$127/100*M33)*(1+Inputs!$F$128/100)*(1+Inputs!$F$122/100)*Inputs!$F$39</f>
        <v/>
      </c>
      <c r="N39" s="13">
        <f>$F$35*(1+Inputs!$F$127/100*N33)*(1+Inputs!$F$128/100)*(1+Inputs!$F$122/100)*Inputs!$F$39</f>
        <v/>
      </c>
      <c r="O39" s="13">
        <f>$F$35*(1+Inputs!$F$127/100*O33)*(1+Inputs!$F$128/100)*(1+Inputs!$F$122/100)*Inputs!$F$39</f>
        <v/>
      </c>
      <c r="P39" s="13">
        <f>$F$35*(1+Inputs!$F$127/100*P33)*(1+Inputs!$F$128/100)*(1+Inputs!$F$122/100)*Inputs!$F$39</f>
        <v/>
      </c>
      <c r="Q39" s="13">
        <f>$F$35*(1+Inputs!$F$127/100*Q33)*(1+Inputs!$F$128/100)*(1+Inputs!$F$122/100)*Inputs!$F$39</f>
        <v/>
      </c>
      <c r="R39" s="13">
        <f>$F$35*(1+Inputs!$F$127/100*R33)*(1+Inputs!$F$128/100)*(1+Inputs!$F$122/100)*Inputs!$F$39</f>
        <v/>
      </c>
      <c r="S39" s="13">
        <f>$F$35*(1+Inputs!$F$127/100*S33)*(1+Inputs!$F$128/100)*(1+Inputs!$F$122/100)*Inputs!$F$39</f>
        <v/>
      </c>
      <c r="T39" s="13">
        <f>$F$35*(1+Inputs!$F$127/100*T33)*(1+Inputs!$F$128/100)*(1+Inputs!$F$122/100)*Inputs!$F$39</f>
        <v/>
      </c>
      <c r="U39" s="13">
        <f>$F$35*(1+Inputs!$F$127/100*U33)*(1+Inputs!$F$128/100)*(1+Inputs!$F$122/100)*Inputs!$F$39</f>
        <v/>
      </c>
      <c r="V39" s="13">
        <f>$F$35*(1+Inputs!$F$127/100*V33)*(1+Inputs!$F$128/100)*(1+Inputs!$F$122/100)*Inputs!$F$39</f>
        <v/>
      </c>
      <c r="W39" s="13">
        <f>$F$35*(1+Inputs!$F$127/100*W33)*(1+Inputs!$F$128/100)*(1+Inputs!$F$122/100)*Inputs!$F$39</f>
        <v/>
      </c>
      <c r="X39" s="13">
        <f>$F$35*(1+Inputs!$F$127/100*X33)*(1+Inputs!$F$128/100)*(1+Inputs!$F$122/100)*Inputs!$F$39</f>
        <v/>
      </c>
      <c r="Y39" s="13">
        <f>$F$35*(1+Inputs!$F$127/100*Y33)*(1+Inputs!$F$128/100)*(1+Inputs!$F$122/100)*Inputs!$F$39</f>
        <v/>
      </c>
      <c r="Z39" s="13">
        <f>$F$35*(1+Inputs!$F$127/100*Z33)*(1+Inputs!$F$128/100)*(1+Inputs!$F$122/100)*Inputs!$F$39</f>
        <v/>
      </c>
      <c r="AA39" s="13">
        <f>$F$35*(1+Inputs!$F$127/100*AA33)*(1+Inputs!$F$128/100)*(1+Inputs!$F$122/100)*Inputs!$F$39</f>
        <v/>
      </c>
      <c r="AB39" s="13">
        <f>$F$35*(1+Inputs!$F$127/100*AB33)*(1+Inputs!$F$128/100)*(1+Inputs!$F$122/100)*Inputs!$F$39</f>
        <v/>
      </c>
      <c r="AC39" s="13">
        <f>$F$35*(1+Inputs!$F$127/100*AC33)*(1+Inputs!$F$128/100)*(1+Inputs!$F$122/100)*Inputs!$F$39</f>
        <v/>
      </c>
      <c r="AD39" s="13">
        <f>$F$35*(1+Inputs!$F$127/100*AD33)*(1+Inputs!$F$128/100)*(1+Inputs!$F$122/100)*Inputs!$F$39</f>
        <v/>
      </c>
      <c r="AE39" s="13">
        <f>$F$35*(1+Inputs!$F$127/100*AE33)*(1+Inputs!$F$128/100)*(1+Inputs!$F$122/100)*Inputs!$F$39</f>
        <v/>
      </c>
      <c r="AF39" s="13">
        <f>$F$35*(1+Inputs!$F$127/100*AF33)*(1+Inputs!$F$128/100)*(1+Inputs!$F$122/100)*Inputs!$F$39</f>
        <v/>
      </c>
      <c r="AG39" s="13">
        <f>$F$35*(1+Inputs!$F$127/100*AG33)*(1+Inputs!$F$128/100)*(1+Inputs!$F$122/100)*Inputs!$F$39</f>
        <v/>
      </c>
      <c r="AH39" s="13">
        <f>$F$35*(1+Inputs!$F$127/100*AH33)*(1+Inputs!$F$128/100)*(1+Inputs!$F$122/100)*Inputs!$F$39</f>
        <v/>
      </c>
      <c r="AI39" s="13">
        <f>$F$35*(1+Inputs!$F$127/100*AI33)*(1+Inputs!$F$128/100)*(1+Inputs!$F$122/100)*Inputs!$F$39</f>
        <v/>
      </c>
      <c r="AJ39" s="13">
        <f>$F$35*(1+Inputs!$F$127/100*AJ33)*(1+Inputs!$F$128/100)*(1+Inputs!$F$122/100)*Inputs!$F$39</f>
        <v/>
      </c>
      <c r="AK39" s="13">
        <f>$F$35*(1+Inputs!$F$127/100*AK33)*(1+Inputs!$F$128/100)*(1+Inputs!$F$122/100)*Inputs!$F$39</f>
        <v/>
      </c>
      <c r="AL39" s="13">
        <f>$F$35*(1+Inputs!$F$127/100*AL33)*(1+Inputs!$F$128/100)*(1+Inputs!$F$122/100)*Inputs!$F$39</f>
        <v/>
      </c>
      <c r="AM39" s="13">
        <f>$F$35*(1+Inputs!$F$127/100*AM33)*(1+Inputs!$F$128/100)*(1+Inputs!$F$122/100)*Inputs!$F$39</f>
        <v/>
      </c>
      <c r="AN39" s="13">
        <f>$F$35*(1+Inputs!$F$127/100*AN33)*(1+Inputs!$F$128/100)*(1+Inputs!$F$122/100)*Inputs!$F$39</f>
        <v/>
      </c>
      <c r="AO39" s="13">
        <f>$F$35*(1+Inputs!$F$127/100*AO33)*(1+Inputs!$F$128/100)*(1+Inputs!$F$122/100)*Inputs!$F$39</f>
        <v/>
      </c>
      <c r="AP39" s="13">
        <f>$F$35*(1+Inputs!$F$127/100*AP33)*(1+Inputs!$F$128/100)*(1+Inputs!$F$122/100)*Inputs!$F$39</f>
        <v/>
      </c>
      <c r="AQ39" s="13">
        <f>$F$35*(1+Inputs!$F$127/100*AQ33)*(1+Inputs!$F$128/100)*(1+Inputs!$F$122/100)*Inputs!$F$39</f>
        <v/>
      </c>
      <c r="AR39" s="13">
        <f>$F$35*(1+Inputs!$F$127/100*AR33)*(1+Inputs!$F$128/100)*(1+Inputs!$F$122/100)*Inputs!$F$39</f>
        <v/>
      </c>
      <c r="AS39" s="13">
        <f>$F$35*(1+Inputs!$F$127/100*AS33)*(1+Inputs!$F$128/100)*(1+Inputs!$F$122/100)*Inputs!$F$39</f>
        <v/>
      </c>
      <c r="AT39" s="13">
        <f>$F$35*(1+Inputs!$F$127/100*AT33)*(1+Inputs!$F$128/100)*(1+Inputs!$F$122/100)*Inputs!$F$39</f>
        <v/>
      </c>
      <c r="AU39" s="13">
        <f>$F$35*(1+Inputs!$F$127/100*AU33)*(1+Inputs!$F$128/100)*(1+Inputs!$F$122/100)*Inputs!$F$39</f>
        <v/>
      </c>
      <c r="AV39" s="13">
        <f>$F$35*(1+Inputs!$F$127/100*AV33)*(1+Inputs!$F$128/100)*(1+Inputs!$F$122/100)*Inputs!$F$39</f>
        <v/>
      </c>
      <c r="AW39" s="13">
        <f>$F$35*(1+Inputs!$F$127/100*AW33)*(1+Inputs!$F$128/100)*(1+Inputs!$F$122/100)*Inputs!$F$39</f>
        <v/>
      </c>
      <c r="AX39" s="13">
        <f>$F$35*(1+Inputs!$F$127/100*AX33)*(1+Inputs!$F$128/100)*(1+Inputs!$F$122/100)*Inputs!$F$39</f>
        <v/>
      </c>
      <c r="AY39" s="13">
        <f>$F$35*(1+Inputs!$F$127/100*AY33)*(1+Inputs!$F$128/100)*(1+Inputs!$F$122/100)*Inputs!$F$39</f>
        <v/>
      </c>
      <c r="AZ39" s="13">
        <f>$F$35*(1+Inputs!$F$127/100*AZ33)*(1+Inputs!$F$128/100)*(1+Inputs!$F$122/100)*Inputs!$F$39</f>
        <v/>
      </c>
      <c r="BA39" s="13">
        <f>$F$35*(1+Inputs!$F$127/100*BA33)*(1+Inputs!$F$128/100)*(1+Inputs!$F$122/100)*Inputs!$F$39</f>
        <v/>
      </c>
      <c r="BB39" s="13">
        <f>$F$35*(1+Inputs!$F$127/100*BB33)*(1+Inputs!$F$128/100)*(1+Inputs!$F$122/100)*Inputs!$F$39</f>
        <v/>
      </c>
      <c r="BC39" s="13">
        <f>$F$35*(1+Inputs!$F$127/100*BC33)*(1+Inputs!$F$128/100)*(1+Inputs!$F$122/100)*Inputs!$F$39</f>
        <v/>
      </c>
      <c r="BD39" s="13">
        <f>$F$35*(1+Inputs!$F$127/100*BD33)*(1+Inputs!$F$128/100)*(1+Inputs!$F$122/100)*Inputs!$F$39</f>
        <v/>
      </c>
      <c r="BE39" s="13">
        <f>$F$35*(1+Inputs!$F$127/100*BE33)*(1+Inputs!$F$128/100)*(1+Inputs!$F$122/100)*Inputs!$F$39</f>
        <v/>
      </c>
      <c r="BF39" s="13">
        <f>$F$35*(1+Inputs!$F$127/100*BF33)*(1+Inputs!$F$128/100)*(1+Inputs!$F$122/100)*Inputs!$F$39</f>
        <v/>
      </c>
      <c r="BG39" s="13">
        <f>$F$35*(1+Inputs!$F$127/100*BG33)*(1+Inputs!$F$128/100)*(1+Inputs!$F$122/100)*Inputs!$F$39</f>
        <v/>
      </c>
      <c r="BH39" s="13">
        <f>$F$35*(1+Inputs!$F$127/100*BH33)*(1+Inputs!$F$128/100)*(1+Inputs!$F$122/100)*Inputs!$F$39</f>
        <v/>
      </c>
      <c r="BI39" s="13">
        <f>$F$35*(1+Inputs!$F$127/100*BI33)*(1+Inputs!$F$128/100)*(1+Inputs!$F$122/100)*Inputs!$F$39</f>
        <v/>
      </c>
      <c r="BJ39" s="13">
        <f>$F$35*(1+Inputs!$F$127/100*BJ33)*(1+Inputs!$F$128/100)*(1+Inputs!$F$122/100)*Inputs!$F$39</f>
        <v/>
      </c>
      <c r="BK39" s="13">
        <f>$F$35*(1+Inputs!$F$127/100*BK33)*(1+Inputs!$F$128/100)*(1+Inputs!$F$122/100)*Inputs!$F$39</f>
        <v/>
      </c>
      <c r="BL39" s="13">
        <f>$F$35*(1+Inputs!$F$127/100*BL33)*(1+Inputs!$F$128/100)*(1+Inputs!$F$122/100)*Inputs!$F$39</f>
        <v/>
      </c>
      <c r="BM39" s="13">
        <f>$F$35*(1+Inputs!$F$127/100*BM33)*(1+Inputs!$F$128/100)*(1+Inputs!$F$122/100)*Inputs!$F$39</f>
        <v/>
      </c>
      <c r="BN39" s="13">
        <f>$F$35*(1+Inputs!$F$127/100*BN33)*(1+Inputs!$F$128/100)*(1+Inputs!$F$122/100)*Inputs!$F$39</f>
        <v/>
      </c>
    </row>
    <row r="40">
      <c r="D40" t="inlineStr">
        <is>
          <t>Contracted heat rate at dispatched load</t>
        </is>
      </c>
      <c r="E40" t="inlineStr">
        <is>
          <t>kJ/kWh</t>
        </is>
      </c>
      <c r="J40" s="13">
        <f>Inputs!$F$120*(1+Inputs!$F$121/100*J33)*(1+Inputs!$F$122/100)</f>
        <v/>
      </c>
      <c r="K40" s="13">
        <f>Inputs!$F$120*(1+Inputs!$F$121/100*K33)*(1+Inputs!$F$122/100)</f>
        <v/>
      </c>
      <c r="L40" s="13">
        <f>Inputs!$F$120*(1+Inputs!$F$121/100*L33)*(1+Inputs!$F$122/100)</f>
        <v/>
      </c>
      <c r="M40" s="13">
        <f>Inputs!$F$120*(1+Inputs!$F$121/100*M33)*(1+Inputs!$F$122/100)</f>
        <v/>
      </c>
      <c r="N40" s="13">
        <f>Inputs!$F$120*(1+Inputs!$F$121/100*N33)*(1+Inputs!$F$122/100)</f>
        <v/>
      </c>
      <c r="O40" s="13">
        <f>Inputs!$F$120*(1+Inputs!$F$121/100*O33)*(1+Inputs!$F$122/100)</f>
        <v/>
      </c>
      <c r="P40" s="13">
        <f>Inputs!$F$120*(1+Inputs!$F$121/100*P33)*(1+Inputs!$F$122/100)</f>
        <v/>
      </c>
      <c r="Q40" s="13">
        <f>Inputs!$F$120*(1+Inputs!$F$121/100*Q33)*(1+Inputs!$F$122/100)</f>
        <v/>
      </c>
      <c r="R40" s="13">
        <f>Inputs!$F$120*(1+Inputs!$F$121/100*R33)*(1+Inputs!$F$122/100)</f>
        <v/>
      </c>
      <c r="S40" s="13">
        <f>Inputs!$F$120*(1+Inputs!$F$121/100*S33)*(1+Inputs!$F$122/100)</f>
        <v/>
      </c>
      <c r="T40" s="13">
        <f>Inputs!$F$120*(1+Inputs!$F$121/100*T33)*(1+Inputs!$F$122/100)</f>
        <v/>
      </c>
      <c r="U40" s="13">
        <f>Inputs!$F$120*(1+Inputs!$F$121/100*U33)*(1+Inputs!$F$122/100)</f>
        <v/>
      </c>
      <c r="V40" s="13">
        <f>Inputs!$F$120*(1+Inputs!$F$121/100*V33)*(1+Inputs!$F$122/100)</f>
        <v/>
      </c>
      <c r="W40" s="13">
        <f>Inputs!$F$120*(1+Inputs!$F$121/100*W33)*(1+Inputs!$F$122/100)</f>
        <v/>
      </c>
      <c r="X40" s="13">
        <f>Inputs!$F$120*(1+Inputs!$F$121/100*X33)*(1+Inputs!$F$122/100)</f>
        <v/>
      </c>
      <c r="Y40" s="13">
        <f>Inputs!$F$120*(1+Inputs!$F$121/100*Y33)*(1+Inputs!$F$122/100)</f>
        <v/>
      </c>
      <c r="Z40" s="13">
        <f>Inputs!$F$120*(1+Inputs!$F$121/100*Z33)*(1+Inputs!$F$122/100)</f>
        <v/>
      </c>
      <c r="AA40" s="13">
        <f>Inputs!$F$120*(1+Inputs!$F$121/100*AA33)*(1+Inputs!$F$122/100)</f>
        <v/>
      </c>
      <c r="AB40" s="13">
        <f>Inputs!$F$120*(1+Inputs!$F$121/100*AB33)*(1+Inputs!$F$122/100)</f>
        <v/>
      </c>
      <c r="AC40" s="13">
        <f>Inputs!$F$120*(1+Inputs!$F$121/100*AC33)*(1+Inputs!$F$122/100)</f>
        <v/>
      </c>
      <c r="AD40" s="13">
        <f>Inputs!$F$120*(1+Inputs!$F$121/100*AD33)*(1+Inputs!$F$122/100)</f>
        <v/>
      </c>
      <c r="AE40" s="13">
        <f>Inputs!$F$120*(1+Inputs!$F$121/100*AE33)*(1+Inputs!$F$122/100)</f>
        <v/>
      </c>
      <c r="AF40" s="13">
        <f>Inputs!$F$120*(1+Inputs!$F$121/100*AF33)*(1+Inputs!$F$122/100)</f>
        <v/>
      </c>
      <c r="AG40" s="13">
        <f>Inputs!$F$120*(1+Inputs!$F$121/100*AG33)*(1+Inputs!$F$122/100)</f>
        <v/>
      </c>
      <c r="AH40" s="13">
        <f>Inputs!$F$120*(1+Inputs!$F$121/100*AH33)*(1+Inputs!$F$122/100)</f>
        <v/>
      </c>
      <c r="AI40" s="13">
        <f>Inputs!$F$120*(1+Inputs!$F$121/100*AI33)*(1+Inputs!$F$122/100)</f>
        <v/>
      </c>
      <c r="AJ40" s="13">
        <f>Inputs!$F$120*(1+Inputs!$F$121/100*AJ33)*(1+Inputs!$F$122/100)</f>
        <v/>
      </c>
      <c r="AK40" s="13">
        <f>Inputs!$F$120*(1+Inputs!$F$121/100*AK33)*(1+Inputs!$F$122/100)</f>
        <v/>
      </c>
      <c r="AL40" s="13">
        <f>Inputs!$F$120*(1+Inputs!$F$121/100*AL33)*(1+Inputs!$F$122/100)</f>
        <v/>
      </c>
      <c r="AM40" s="13">
        <f>Inputs!$F$120*(1+Inputs!$F$121/100*AM33)*(1+Inputs!$F$122/100)</f>
        <v/>
      </c>
      <c r="AN40" s="13">
        <f>Inputs!$F$120*(1+Inputs!$F$121/100*AN33)*(1+Inputs!$F$122/100)</f>
        <v/>
      </c>
      <c r="AO40" s="13">
        <f>Inputs!$F$120*(1+Inputs!$F$121/100*AO33)*(1+Inputs!$F$122/100)</f>
        <v/>
      </c>
      <c r="AP40" s="13">
        <f>Inputs!$F$120*(1+Inputs!$F$121/100*AP33)*(1+Inputs!$F$122/100)</f>
        <v/>
      </c>
      <c r="AQ40" s="13">
        <f>Inputs!$F$120*(1+Inputs!$F$121/100*AQ33)*(1+Inputs!$F$122/100)</f>
        <v/>
      </c>
      <c r="AR40" s="13">
        <f>Inputs!$F$120*(1+Inputs!$F$121/100*AR33)*(1+Inputs!$F$122/100)</f>
        <v/>
      </c>
      <c r="AS40" s="13">
        <f>Inputs!$F$120*(1+Inputs!$F$121/100*AS33)*(1+Inputs!$F$122/100)</f>
        <v/>
      </c>
      <c r="AT40" s="13">
        <f>Inputs!$F$120*(1+Inputs!$F$121/100*AT33)*(1+Inputs!$F$122/100)</f>
        <v/>
      </c>
      <c r="AU40" s="13">
        <f>Inputs!$F$120*(1+Inputs!$F$121/100*AU33)*(1+Inputs!$F$122/100)</f>
        <v/>
      </c>
      <c r="AV40" s="13">
        <f>Inputs!$F$120*(1+Inputs!$F$121/100*AV33)*(1+Inputs!$F$122/100)</f>
        <v/>
      </c>
      <c r="AW40" s="13">
        <f>Inputs!$F$120*(1+Inputs!$F$121/100*AW33)*(1+Inputs!$F$122/100)</f>
        <v/>
      </c>
      <c r="AX40" s="13">
        <f>Inputs!$F$120*(1+Inputs!$F$121/100*AX33)*(1+Inputs!$F$122/100)</f>
        <v/>
      </c>
      <c r="AY40" s="13">
        <f>Inputs!$F$120*(1+Inputs!$F$121/100*AY33)*(1+Inputs!$F$122/100)</f>
        <v/>
      </c>
      <c r="AZ40" s="13">
        <f>Inputs!$F$120*(1+Inputs!$F$121/100*AZ33)*(1+Inputs!$F$122/100)</f>
        <v/>
      </c>
      <c r="BA40" s="13">
        <f>Inputs!$F$120*(1+Inputs!$F$121/100*BA33)*(1+Inputs!$F$122/100)</f>
        <v/>
      </c>
      <c r="BB40" s="13">
        <f>Inputs!$F$120*(1+Inputs!$F$121/100*BB33)*(1+Inputs!$F$122/100)</f>
        <v/>
      </c>
      <c r="BC40" s="13">
        <f>Inputs!$F$120*(1+Inputs!$F$121/100*BC33)*(1+Inputs!$F$122/100)</f>
        <v/>
      </c>
      <c r="BD40" s="13">
        <f>Inputs!$F$120*(1+Inputs!$F$121/100*BD33)*(1+Inputs!$F$122/100)</f>
        <v/>
      </c>
      <c r="BE40" s="13">
        <f>Inputs!$F$120*(1+Inputs!$F$121/100*BE33)*(1+Inputs!$F$122/100)</f>
        <v/>
      </c>
      <c r="BF40" s="13">
        <f>Inputs!$F$120*(1+Inputs!$F$121/100*BF33)*(1+Inputs!$F$122/100)</f>
        <v/>
      </c>
      <c r="BG40" s="13">
        <f>Inputs!$F$120*(1+Inputs!$F$121/100*BG33)*(1+Inputs!$F$122/100)</f>
        <v/>
      </c>
      <c r="BH40" s="13">
        <f>Inputs!$F$120*(1+Inputs!$F$121/100*BH33)*(1+Inputs!$F$122/100)</f>
        <v/>
      </c>
      <c r="BI40" s="13">
        <f>Inputs!$F$120*(1+Inputs!$F$121/100*BI33)*(1+Inputs!$F$122/100)</f>
        <v/>
      </c>
      <c r="BJ40" s="13">
        <f>Inputs!$F$120*(1+Inputs!$F$121/100*BJ33)*(1+Inputs!$F$122/100)</f>
        <v/>
      </c>
      <c r="BK40" s="13">
        <f>Inputs!$F$120*(1+Inputs!$F$121/100*BK33)*(1+Inputs!$F$122/100)</f>
        <v/>
      </c>
      <c r="BL40" s="13">
        <f>Inputs!$F$120*(1+Inputs!$F$121/100*BL33)*(1+Inputs!$F$122/100)</f>
        <v/>
      </c>
      <c r="BM40" s="13">
        <f>Inputs!$F$120*(1+Inputs!$F$121/100*BM33)*(1+Inputs!$F$122/100)</f>
        <v/>
      </c>
      <c r="BN40" s="13">
        <f>Inputs!$F$120*(1+Inputs!$F$121/100*BN33)*(1+Inputs!$F$122/100)</f>
        <v/>
      </c>
    </row>
    <row r="41">
      <c r="D41" t="inlineStr">
        <is>
          <t>Gas price (GCV)</t>
        </is>
      </c>
      <c r="E41" t="inlineStr">
        <is>
          <t>USD/MMBtu</t>
        </is>
      </c>
      <c r="J41" s="13">
        <f>Inputs!$F$142*(1+Inputs!$F$143/100)^(Time!J26-Inputs!$F$256)*Inputs!$F$41</f>
        <v/>
      </c>
      <c r="K41" s="13">
        <f>Inputs!$F$142*(1+Inputs!$F$143/100)^(Time!K26-Inputs!$F$256)*Inputs!$F$41</f>
        <v/>
      </c>
      <c r="L41" s="13">
        <f>Inputs!$F$142*(1+Inputs!$F$143/100)^(Time!L26-Inputs!$F$256)*Inputs!$F$41</f>
        <v/>
      </c>
      <c r="M41" s="13">
        <f>Inputs!$F$142*(1+Inputs!$F$143/100)^(Time!M26-Inputs!$F$256)*Inputs!$F$41</f>
        <v/>
      </c>
      <c r="N41" s="13">
        <f>Inputs!$F$142*(1+Inputs!$F$143/100)^(Time!N26-Inputs!$F$256)*Inputs!$F$41</f>
        <v/>
      </c>
      <c r="O41" s="13">
        <f>Inputs!$F$142*(1+Inputs!$F$143/100)^(Time!O26-Inputs!$F$256)*Inputs!$F$41</f>
        <v/>
      </c>
      <c r="P41" s="13">
        <f>Inputs!$F$142*(1+Inputs!$F$143/100)^(Time!P26-Inputs!$F$256)*Inputs!$F$41</f>
        <v/>
      </c>
      <c r="Q41" s="13">
        <f>Inputs!$F$142*(1+Inputs!$F$143/100)^(Time!Q26-Inputs!$F$256)*Inputs!$F$41</f>
        <v/>
      </c>
      <c r="R41" s="13">
        <f>Inputs!$F$142*(1+Inputs!$F$143/100)^(Time!R26-Inputs!$F$256)*Inputs!$F$41</f>
        <v/>
      </c>
      <c r="S41" s="13">
        <f>Inputs!$F$142*(1+Inputs!$F$143/100)^(Time!S26-Inputs!$F$256)*Inputs!$F$41</f>
        <v/>
      </c>
      <c r="T41" s="13">
        <f>Inputs!$F$142*(1+Inputs!$F$143/100)^(Time!T26-Inputs!$F$256)*Inputs!$F$41</f>
        <v/>
      </c>
      <c r="U41" s="13">
        <f>Inputs!$F$142*(1+Inputs!$F$143/100)^(Time!U26-Inputs!$F$256)*Inputs!$F$41</f>
        <v/>
      </c>
      <c r="V41" s="13">
        <f>Inputs!$F$142*(1+Inputs!$F$143/100)^(Time!V26-Inputs!$F$256)*Inputs!$F$41</f>
        <v/>
      </c>
      <c r="W41" s="13">
        <f>Inputs!$F$142*(1+Inputs!$F$143/100)^(Time!W26-Inputs!$F$256)*Inputs!$F$41</f>
        <v/>
      </c>
      <c r="X41" s="13">
        <f>Inputs!$F$142*(1+Inputs!$F$143/100)^(Time!X26-Inputs!$F$256)*Inputs!$F$41</f>
        <v/>
      </c>
      <c r="Y41" s="13">
        <f>Inputs!$F$142*(1+Inputs!$F$143/100)^(Time!Y26-Inputs!$F$256)*Inputs!$F$41</f>
        <v/>
      </c>
      <c r="Z41" s="13">
        <f>Inputs!$F$142*(1+Inputs!$F$143/100)^(Time!Z26-Inputs!$F$256)*Inputs!$F$41</f>
        <v/>
      </c>
      <c r="AA41" s="13">
        <f>Inputs!$F$142*(1+Inputs!$F$143/100)^(Time!AA26-Inputs!$F$256)*Inputs!$F$41</f>
        <v/>
      </c>
      <c r="AB41" s="13">
        <f>Inputs!$F$142*(1+Inputs!$F$143/100)^(Time!AB26-Inputs!$F$256)*Inputs!$F$41</f>
        <v/>
      </c>
      <c r="AC41" s="13">
        <f>Inputs!$F$142*(1+Inputs!$F$143/100)^(Time!AC26-Inputs!$F$256)*Inputs!$F$41</f>
        <v/>
      </c>
      <c r="AD41" s="13">
        <f>Inputs!$F$142*(1+Inputs!$F$143/100)^(Time!AD26-Inputs!$F$256)*Inputs!$F$41</f>
        <v/>
      </c>
      <c r="AE41" s="13">
        <f>Inputs!$F$142*(1+Inputs!$F$143/100)^(Time!AE26-Inputs!$F$256)*Inputs!$F$41</f>
        <v/>
      </c>
      <c r="AF41" s="13">
        <f>Inputs!$F$142*(1+Inputs!$F$143/100)^(Time!AF26-Inputs!$F$256)*Inputs!$F$41</f>
        <v/>
      </c>
      <c r="AG41" s="13">
        <f>Inputs!$F$142*(1+Inputs!$F$143/100)^(Time!AG26-Inputs!$F$256)*Inputs!$F$41</f>
        <v/>
      </c>
      <c r="AH41" s="13">
        <f>Inputs!$F$142*(1+Inputs!$F$143/100)^(Time!AH26-Inputs!$F$256)*Inputs!$F$41</f>
        <v/>
      </c>
      <c r="AI41" s="13">
        <f>Inputs!$F$142*(1+Inputs!$F$143/100)^(Time!AI26-Inputs!$F$256)*Inputs!$F$41</f>
        <v/>
      </c>
      <c r="AJ41" s="13">
        <f>Inputs!$F$142*(1+Inputs!$F$143/100)^(Time!AJ26-Inputs!$F$256)*Inputs!$F$41</f>
        <v/>
      </c>
      <c r="AK41" s="13">
        <f>Inputs!$F$142*(1+Inputs!$F$143/100)^(Time!AK26-Inputs!$F$256)*Inputs!$F$41</f>
        <v/>
      </c>
      <c r="AL41" s="13">
        <f>Inputs!$F$142*(1+Inputs!$F$143/100)^(Time!AL26-Inputs!$F$256)*Inputs!$F$41</f>
        <v/>
      </c>
      <c r="AM41" s="13">
        <f>Inputs!$F$142*(1+Inputs!$F$143/100)^(Time!AM26-Inputs!$F$256)*Inputs!$F$41</f>
        <v/>
      </c>
      <c r="AN41" s="13">
        <f>Inputs!$F$142*(1+Inputs!$F$143/100)^(Time!AN26-Inputs!$F$256)*Inputs!$F$41</f>
        <v/>
      </c>
      <c r="AO41" s="13">
        <f>Inputs!$F$142*(1+Inputs!$F$143/100)^(Time!AO26-Inputs!$F$256)*Inputs!$F$41</f>
        <v/>
      </c>
      <c r="AP41" s="13">
        <f>Inputs!$F$142*(1+Inputs!$F$143/100)^(Time!AP26-Inputs!$F$256)*Inputs!$F$41</f>
        <v/>
      </c>
      <c r="AQ41" s="13">
        <f>Inputs!$F$142*(1+Inputs!$F$143/100)^(Time!AQ26-Inputs!$F$256)*Inputs!$F$41</f>
        <v/>
      </c>
      <c r="AR41" s="13">
        <f>Inputs!$F$142*(1+Inputs!$F$143/100)^(Time!AR26-Inputs!$F$256)*Inputs!$F$41</f>
        <v/>
      </c>
      <c r="AS41" s="13">
        <f>Inputs!$F$142*(1+Inputs!$F$143/100)^(Time!AS26-Inputs!$F$256)*Inputs!$F$41</f>
        <v/>
      </c>
      <c r="AT41" s="13">
        <f>Inputs!$F$142*(1+Inputs!$F$143/100)^(Time!AT26-Inputs!$F$256)*Inputs!$F$41</f>
        <v/>
      </c>
      <c r="AU41" s="13">
        <f>Inputs!$F$142*(1+Inputs!$F$143/100)^(Time!AU26-Inputs!$F$256)*Inputs!$F$41</f>
        <v/>
      </c>
      <c r="AV41" s="13">
        <f>Inputs!$F$142*(1+Inputs!$F$143/100)^(Time!AV26-Inputs!$F$256)*Inputs!$F$41</f>
        <v/>
      </c>
      <c r="AW41" s="13">
        <f>Inputs!$F$142*(1+Inputs!$F$143/100)^(Time!AW26-Inputs!$F$256)*Inputs!$F$41</f>
        <v/>
      </c>
      <c r="AX41" s="13">
        <f>Inputs!$F$142*(1+Inputs!$F$143/100)^(Time!AX26-Inputs!$F$256)*Inputs!$F$41</f>
        <v/>
      </c>
      <c r="AY41" s="13">
        <f>Inputs!$F$142*(1+Inputs!$F$143/100)^(Time!AY26-Inputs!$F$256)*Inputs!$F$41</f>
        <v/>
      </c>
      <c r="AZ41" s="13">
        <f>Inputs!$F$142*(1+Inputs!$F$143/100)^(Time!AZ26-Inputs!$F$256)*Inputs!$F$41</f>
        <v/>
      </c>
      <c r="BA41" s="13">
        <f>Inputs!$F$142*(1+Inputs!$F$143/100)^(Time!BA26-Inputs!$F$256)*Inputs!$F$41</f>
        <v/>
      </c>
      <c r="BB41" s="13">
        <f>Inputs!$F$142*(1+Inputs!$F$143/100)^(Time!BB26-Inputs!$F$256)*Inputs!$F$41</f>
        <v/>
      </c>
      <c r="BC41" s="13">
        <f>Inputs!$F$142*(1+Inputs!$F$143/100)^(Time!BC26-Inputs!$F$256)*Inputs!$F$41</f>
        <v/>
      </c>
      <c r="BD41" s="13">
        <f>Inputs!$F$142*(1+Inputs!$F$143/100)^(Time!BD26-Inputs!$F$256)*Inputs!$F$41</f>
        <v/>
      </c>
      <c r="BE41" s="13">
        <f>Inputs!$F$142*(1+Inputs!$F$143/100)^(Time!BE26-Inputs!$F$256)*Inputs!$F$41</f>
        <v/>
      </c>
      <c r="BF41" s="13">
        <f>Inputs!$F$142*(1+Inputs!$F$143/100)^(Time!BF26-Inputs!$F$256)*Inputs!$F$41</f>
        <v/>
      </c>
      <c r="BG41" s="13">
        <f>Inputs!$F$142*(1+Inputs!$F$143/100)^(Time!BG26-Inputs!$F$256)*Inputs!$F$41</f>
        <v/>
      </c>
      <c r="BH41" s="13">
        <f>Inputs!$F$142*(1+Inputs!$F$143/100)^(Time!BH26-Inputs!$F$256)*Inputs!$F$41</f>
        <v/>
      </c>
      <c r="BI41" s="13">
        <f>Inputs!$F$142*(1+Inputs!$F$143/100)^(Time!BI26-Inputs!$F$256)*Inputs!$F$41</f>
        <v/>
      </c>
      <c r="BJ41" s="13">
        <f>Inputs!$F$142*(1+Inputs!$F$143/100)^(Time!BJ26-Inputs!$F$256)*Inputs!$F$41</f>
        <v/>
      </c>
      <c r="BK41" s="13">
        <f>Inputs!$F$142*(1+Inputs!$F$143/100)^(Time!BK26-Inputs!$F$256)*Inputs!$F$41</f>
        <v/>
      </c>
      <c r="BL41" s="13">
        <f>Inputs!$F$142*(1+Inputs!$F$143/100)^(Time!BL26-Inputs!$F$256)*Inputs!$F$41</f>
        <v/>
      </c>
      <c r="BM41" s="13">
        <f>Inputs!$F$142*(1+Inputs!$F$143/100)^(Time!BM26-Inputs!$F$256)*Inputs!$F$41</f>
        <v/>
      </c>
      <c r="BN41" s="13">
        <f>Inputs!$F$142*(1+Inputs!$F$143/100)^(Time!BN26-Inputs!$F$256)*Inputs!$F$41</f>
        <v/>
      </c>
    </row>
    <row r="42">
      <c r="D42" t="inlineStr">
        <is>
          <t>Gas burned</t>
        </is>
      </c>
      <c r="E42" t="inlineStr">
        <is>
          <t>MMBtu</t>
        </is>
      </c>
      <c r="J42" s="15">
        <f>J38*J39*(1000*Inputs!$F$123/Inputs!$F$124)</f>
        <v/>
      </c>
      <c r="K42" s="15">
        <f>K38*K39*(1000*Inputs!$F$123/Inputs!$F$124)</f>
        <v/>
      </c>
      <c r="L42" s="15">
        <f>L38*L39*(1000*Inputs!$F$123/Inputs!$F$124)</f>
        <v/>
      </c>
      <c r="M42" s="15">
        <f>M38*M39*(1000*Inputs!$F$123/Inputs!$F$124)</f>
        <v/>
      </c>
      <c r="N42" s="15">
        <f>N38*N39*(1000*Inputs!$F$123/Inputs!$F$124)</f>
        <v/>
      </c>
      <c r="O42" s="15">
        <f>O38*O39*(1000*Inputs!$F$123/Inputs!$F$124)</f>
        <v/>
      </c>
      <c r="P42" s="15">
        <f>P38*P39*(1000*Inputs!$F$123/Inputs!$F$124)</f>
        <v/>
      </c>
      <c r="Q42" s="15">
        <f>Q38*Q39*(1000*Inputs!$F$123/Inputs!$F$124)</f>
        <v/>
      </c>
      <c r="R42" s="15">
        <f>R38*R39*(1000*Inputs!$F$123/Inputs!$F$124)</f>
        <v/>
      </c>
      <c r="S42" s="15">
        <f>S38*S39*(1000*Inputs!$F$123/Inputs!$F$124)</f>
        <v/>
      </c>
      <c r="T42" s="15">
        <f>T38*T39*(1000*Inputs!$F$123/Inputs!$F$124)</f>
        <v/>
      </c>
      <c r="U42" s="15">
        <f>U38*U39*(1000*Inputs!$F$123/Inputs!$F$124)</f>
        <v/>
      </c>
      <c r="V42" s="15">
        <f>V38*V39*(1000*Inputs!$F$123/Inputs!$F$124)</f>
        <v/>
      </c>
      <c r="W42" s="15">
        <f>W38*W39*(1000*Inputs!$F$123/Inputs!$F$124)</f>
        <v/>
      </c>
      <c r="X42" s="15">
        <f>X38*X39*(1000*Inputs!$F$123/Inputs!$F$124)</f>
        <v/>
      </c>
      <c r="Y42" s="15">
        <f>Y38*Y39*(1000*Inputs!$F$123/Inputs!$F$124)</f>
        <v/>
      </c>
      <c r="Z42" s="15">
        <f>Z38*Z39*(1000*Inputs!$F$123/Inputs!$F$124)</f>
        <v/>
      </c>
      <c r="AA42" s="15">
        <f>AA38*AA39*(1000*Inputs!$F$123/Inputs!$F$124)</f>
        <v/>
      </c>
      <c r="AB42" s="15">
        <f>AB38*AB39*(1000*Inputs!$F$123/Inputs!$F$124)</f>
        <v/>
      </c>
      <c r="AC42" s="15">
        <f>AC38*AC39*(1000*Inputs!$F$123/Inputs!$F$124)</f>
        <v/>
      </c>
      <c r="AD42" s="15">
        <f>AD38*AD39*(1000*Inputs!$F$123/Inputs!$F$124)</f>
        <v/>
      </c>
      <c r="AE42" s="15">
        <f>AE38*AE39*(1000*Inputs!$F$123/Inputs!$F$124)</f>
        <v/>
      </c>
      <c r="AF42" s="15">
        <f>AF38*AF39*(1000*Inputs!$F$123/Inputs!$F$124)</f>
        <v/>
      </c>
      <c r="AG42" s="15">
        <f>AG38*AG39*(1000*Inputs!$F$123/Inputs!$F$124)</f>
        <v/>
      </c>
      <c r="AH42" s="15">
        <f>AH38*AH39*(1000*Inputs!$F$123/Inputs!$F$124)</f>
        <v/>
      </c>
      <c r="AI42" s="15">
        <f>AI38*AI39*(1000*Inputs!$F$123/Inputs!$F$124)</f>
        <v/>
      </c>
      <c r="AJ42" s="15">
        <f>AJ38*AJ39*(1000*Inputs!$F$123/Inputs!$F$124)</f>
        <v/>
      </c>
      <c r="AK42" s="15">
        <f>AK38*AK39*(1000*Inputs!$F$123/Inputs!$F$124)</f>
        <v/>
      </c>
      <c r="AL42" s="15">
        <f>AL38*AL39*(1000*Inputs!$F$123/Inputs!$F$124)</f>
        <v/>
      </c>
      <c r="AM42" s="15">
        <f>AM38*AM39*(1000*Inputs!$F$123/Inputs!$F$124)</f>
        <v/>
      </c>
      <c r="AN42" s="15">
        <f>AN38*AN39*(1000*Inputs!$F$123/Inputs!$F$124)</f>
        <v/>
      </c>
      <c r="AO42" s="15">
        <f>AO38*AO39*(1000*Inputs!$F$123/Inputs!$F$124)</f>
        <v/>
      </c>
      <c r="AP42" s="15">
        <f>AP38*AP39*(1000*Inputs!$F$123/Inputs!$F$124)</f>
        <v/>
      </c>
      <c r="AQ42" s="15">
        <f>AQ38*AQ39*(1000*Inputs!$F$123/Inputs!$F$124)</f>
        <v/>
      </c>
      <c r="AR42" s="15">
        <f>AR38*AR39*(1000*Inputs!$F$123/Inputs!$F$124)</f>
        <v/>
      </c>
      <c r="AS42" s="15">
        <f>AS38*AS39*(1000*Inputs!$F$123/Inputs!$F$124)</f>
        <v/>
      </c>
      <c r="AT42" s="15">
        <f>AT38*AT39*(1000*Inputs!$F$123/Inputs!$F$124)</f>
        <v/>
      </c>
      <c r="AU42" s="15">
        <f>AU38*AU39*(1000*Inputs!$F$123/Inputs!$F$124)</f>
        <v/>
      </c>
      <c r="AV42" s="15">
        <f>AV38*AV39*(1000*Inputs!$F$123/Inputs!$F$124)</f>
        <v/>
      </c>
      <c r="AW42" s="15">
        <f>AW38*AW39*(1000*Inputs!$F$123/Inputs!$F$124)</f>
        <v/>
      </c>
      <c r="AX42" s="15">
        <f>AX38*AX39*(1000*Inputs!$F$123/Inputs!$F$124)</f>
        <v/>
      </c>
      <c r="AY42" s="15">
        <f>AY38*AY39*(1000*Inputs!$F$123/Inputs!$F$124)</f>
        <v/>
      </c>
      <c r="AZ42" s="15">
        <f>AZ38*AZ39*(1000*Inputs!$F$123/Inputs!$F$124)</f>
        <v/>
      </c>
      <c r="BA42" s="15">
        <f>BA38*BA39*(1000*Inputs!$F$123/Inputs!$F$124)</f>
        <v/>
      </c>
      <c r="BB42" s="15">
        <f>BB38*BB39*(1000*Inputs!$F$123/Inputs!$F$124)</f>
        <v/>
      </c>
      <c r="BC42" s="15">
        <f>BC38*BC39*(1000*Inputs!$F$123/Inputs!$F$124)</f>
        <v/>
      </c>
      <c r="BD42" s="15">
        <f>BD38*BD39*(1000*Inputs!$F$123/Inputs!$F$124)</f>
        <v/>
      </c>
      <c r="BE42" s="15">
        <f>BE38*BE39*(1000*Inputs!$F$123/Inputs!$F$124)</f>
        <v/>
      </c>
      <c r="BF42" s="15">
        <f>BF38*BF39*(1000*Inputs!$F$123/Inputs!$F$124)</f>
        <v/>
      </c>
      <c r="BG42" s="15">
        <f>BG38*BG39*(1000*Inputs!$F$123/Inputs!$F$124)</f>
        <v/>
      </c>
      <c r="BH42" s="15">
        <f>BH38*BH39*(1000*Inputs!$F$123/Inputs!$F$124)</f>
        <v/>
      </c>
      <c r="BI42" s="15">
        <f>BI38*BI39*(1000*Inputs!$F$123/Inputs!$F$124)</f>
        <v/>
      </c>
      <c r="BJ42" s="15">
        <f>BJ38*BJ39*(1000*Inputs!$F$123/Inputs!$F$124)</f>
        <v/>
      </c>
      <c r="BK42" s="15">
        <f>BK38*BK39*(1000*Inputs!$F$123/Inputs!$F$124)</f>
        <v/>
      </c>
      <c r="BL42" s="15">
        <f>BL38*BL39*(1000*Inputs!$F$123/Inputs!$F$124)</f>
        <v/>
      </c>
      <c r="BM42" s="15">
        <f>BM38*BM39*(1000*Inputs!$F$123/Inputs!$F$124)</f>
        <v/>
      </c>
      <c r="BN42" s="15">
        <f>BN38*BN39*(1000*Inputs!$F$123/Inputs!$F$124)</f>
        <v/>
      </c>
    </row>
    <row r="43">
      <c r="D43" t="inlineStr">
        <is>
          <t>Take-or-pay quantity</t>
        </is>
      </c>
      <c r="E43" t="inlineStr">
        <is>
          <t>MMBtu</t>
        </is>
      </c>
      <c r="J43" s="15">
        <f>Inputs!$F$145*Inputs!$F$144*Time!J31</f>
        <v/>
      </c>
      <c r="K43" s="15">
        <f>Inputs!$F$145*Inputs!$F$144*Time!K31</f>
        <v/>
      </c>
      <c r="L43" s="15">
        <f>Inputs!$F$145*Inputs!$F$144*Time!L31</f>
        <v/>
      </c>
      <c r="M43" s="15">
        <f>Inputs!$F$145*Inputs!$F$144*Time!M31</f>
        <v/>
      </c>
      <c r="N43" s="15">
        <f>Inputs!$F$145*Inputs!$F$144*Time!N31</f>
        <v/>
      </c>
      <c r="O43" s="15">
        <f>Inputs!$F$145*Inputs!$F$144*Time!O31</f>
        <v/>
      </c>
      <c r="P43" s="15">
        <f>Inputs!$F$145*Inputs!$F$144*Time!P31</f>
        <v/>
      </c>
      <c r="Q43" s="15">
        <f>Inputs!$F$145*Inputs!$F$144*Time!Q31</f>
        <v/>
      </c>
      <c r="R43" s="15">
        <f>Inputs!$F$145*Inputs!$F$144*Time!R31</f>
        <v/>
      </c>
      <c r="S43" s="15">
        <f>Inputs!$F$145*Inputs!$F$144*Time!S31</f>
        <v/>
      </c>
      <c r="T43" s="15">
        <f>Inputs!$F$145*Inputs!$F$144*Time!T31</f>
        <v/>
      </c>
      <c r="U43" s="15">
        <f>Inputs!$F$145*Inputs!$F$144*Time!U31</f>
        <v/>
      </c>
      <c r="V43" s="15">
        <f>Inputs!$F$145*Inputs!$F$144*Time!V31</f>
        <v/>
      </c>
      <c r="W43" s="15">
        <f>Inputs!$F$145*Inputs!$F$144*Time!W31</f>
        <v/>
      </c>
      <c r="X43" s="15">
        <f>Inputs!$F$145*Inputs!$F$144*Time!X31</f>
        <v/>
      </c>
      <c r="Y43" s="15">
        <f>Inputs!$F$145*Inputs!$F$144*Time!Y31</f>
        <v/>
      </c>
      <c r="Z43" s="15">
        <f>Inputs!$F$145*Inputs!$F$144*Time!Z31</f>
        <v/>
      </c>
      <c r="AA43" s="15">
        <f>Inputs!$F$145*Inputs!$F$144*Time!AA31</f>
        <v/>
      </c>
      <c r="AB43" s="15">
        <f>Inputs!$F$145*Inputs!$F$144*Time!AB31</f>
        <v/>
      </c>
      <c r="AC43" s="15">
        <f>Inputs!$F$145*Inputs!$F$144*Time!AC31</f>
        <v/>
      </c>
      <c r="AD43" s="15">
        <f>Inputs!$F$145*Inputs!$F$144*Time!AD31</f>
        <v/>
      </c>
      <c r="AE43" s="15">
        <f>Inputs!$F$145*Inputs!$F$144*Time!AE31</f>
        <v/>
      </c>
      <c r="AF43" s="15">
        <f>Inputs!$F$145*Inputs!$F$144*Time!AF31</f>
        <v/>
      </c>
      <c r="AG43" s="15">
        <f>Inputs!$F$145*Inputs!$F$144*Time!AG31</f>
        <v/>
      </c>
      <c r="AH43" s="15">
        <f>Inputs!$F$145*Inputs!$F$144*Time!AH31</f>
        <v/>
      </c>
      <c r="AI43" s="15">
        <f>Inputs!$F$145*Inputs!$F$144*Time!AI31</f>
        <v/>
      </c>
      <c r="AJ43" s="15">
        <f>Inputs!$F$145*Inputs!$F$144*Time!AJ31</f>
        <v/>
      </c>
      <c r="AK43" s="15">
        <f>Inputs!$F$145*Inputs!$F$144*Time!AK31</f>
        <v/>
      </c>
      <c r="AL43" s="15">
        <f>Inputs!$F$145*Inputs!$F$144*Time!AL31</f>
        <v/>
      </c>
      <c r="AM43" s="15">
        <f>Inputs!$F$145*Inputs!$F$144*Time!AM31</f>
        <v/>
      </c>
      <c r="AN43" s="15">
        <f>Inputs!$F$145*Inputs!$F$144*Time!AN31</f>
        <v/>
      </c>
      <c r="AO43" s="15">
        <f>Inputs!$F$145*Inputs!$F$144*Time!AO31</f>
        <v/>
      </c>
      <c r="AP43" s="15">
        <f>Inputs!$F$145*Inputs!$F$144*Time!AP31</f>
        <v/>
      </c>
      <c r="AQ43" s="15">
        <f>Inputs!$F$145*Inputs!$F$144*Time!AQ31</f>
        <v/>
      </c>
      <c r="AR43" s="15">
        <f>Inputs!$F$145*Inputs!$F$144*Time!AR31</f>
        <v/>
      </c>
      <c r="AS43" s="15">
        <f>Inputs!$F$145*Inputs!$F$144*Time!AS31</f>
        <v/>
      </c>
      <c r="AT43" s="15">
        <f>Inputs!$F$145*Inputs!$F$144*Time!AT31</f>
        <v/>
      </c>
      <c r="AU43" s="15">
        <f>Inputs!$F$145*Inputs!$F$144*Time!AU31</f>
        <v/>
      </c>
      <c r="AV43" s="15">
        <f>Inputs!$F$145*Inputs!$F$144*Time!AV31</f>
        <v/>
      </c>
      <c r="AW43" s="15">
        <f>Inputs!$F$145*Inputs!$F$144*Time!AW31</f>
        <v/>
      </c>
      <c r="AX43" s="15">
        <f>Inputs!$F$145*Inputs!$F$144*Time!AX31</f>
        <v/>
      </c>
      <c r="AY43" s="15">
        <f>Inputs!$F$145*Inputs!$F$144*Time!AY31</f>
        <v/>
      </c>
      <c r="AZ43" s="15">
        <f>Inputs!$F$145*Inputs!$F$144*Time!AZ31</f>
        <v/>
      </c>
      <c r="BA43" s="15">
        <f>Inputs!$F$145*Inputs!$F$144*Time!BA31</f>
        <v/>
      </c>
      <c r="BB43" s="15">
        <f>Inputs!$F$145*Inputs!$F$144*Time!BB31</f>
        <v/>
      </c>
      <c r="BC43" s="15">
        <f>Inputs!$F$145*Inputs!$F$144*Time!BC31</f>
        <v/>
      </c>
      <c r="BD43" s="15">
        <f>Inputs!$F$145*Inputs!$F$144*Time!BD31</f>
        <v/>
      </c>
      <c r="BE43" s="15">
        <f>Inputs!$F$145*Inputs!$F$144*Time!BE31</f>
        <v/>
      </c>
      <c r="BF43" s="15">
        <f>Inputs!$F$145*Inputs!$F$144*Time!BF31</f>
        <v/>
      </c>
      <c r="BG43" s="15">
        <f>Inputs!$F$145*Inputs!$F$144*Time!BG31</f>
        <v/>
      </c>
      <c r="BH43" s="15">
        <f>Inputs!$F$145*Inputs!$F$144*Time!BH31</f>
        <v/>
      </c>
      <c r="BI43" s="15">
        <f>Inputs!$F$145*Inputs!$F$144*Time!BI31</f>
        <v/>
      </c>
      <c r="BJ43" s="15">
        <f>Inputs!$F$145*Inputs!$F$144*Time!BJ31</f>
        <v/>
      </c>
      <c r="BK43" s="15">
        <f>Inputs!$F$145*Inputs!$F$144*Time!BK31</f>
        <v/>
      </c>
      <c r="BL43" s="15">
        <f>Inputs!$F$145*Inputs!$F$144*Time!BL31</f>
        <v/>
      </c>
      <c r="BM43" s="15">
        <f>Inputs!$F$145*Inputs!$F$144*Time!BM31</f>
        <v/>
      </c>
      <c r="BN43" s="15">
        <f>Inputs!$F$145*Inputs!$F$144*Time!BN31</f>
        <v/>
      </c>
    </row>
    <row r="44">
      <c r="B44" s="2" t="inlineStr">
        <is>
          <t>Revenue (USD m)</t>
        </is>
      </c>
    </row>
    <row r="45">
      <c r="D45" t="inlineStr">
        <is>
          <t>Capital charge, indexed</t>
        </is>
      </c>
      <c r="E45" t="inlineStr">
        <is>
          <t>USD/kW-month</t>
        </is>
      </c>
      <c r="J45" s="13">
        <f>Inputs!$F$134*Inputs!$F$54*(1-Inputs!$F$135+Inputs!$F$135*J20/100)</f>
        <v/>
      </c>
      <c r="K45" s="13">
        <f>Inputs!$F$134*Inputs!$F$54*(1-Inputs!$F$135+Inputs!$F$135*K20/100)</f>
        <v/>
      </c>
      <c r="L45" s="13">
        <f>Inputs!$F$134*Inputs!$F$54*(1-Inputs!$F$135+Inputs!$F$135*L20/100)</f>
        <v/>
      </c>
      <c r="M45" s="13">
        <f>Inputs!$F$134*Inputs!$F$54*(1-Inputs!$F$135+Inputs!$F$135*M20/100)</f>
        <v/>
      </c>
      <c r="N45" s="13">
        <f>Inputs!$F$134*Inputs!$F$54*(1-Inputs!$F$135+Inputs!$F$135*N20/100)</f>
        <v/>
      </c>
      <c r="O45" s="13">
        <f>Inputs!$F$134*Inputs!$F$54*(1-Inputs!$F$135+Inputs!$F$135*O20/100)</f>
        <v/>
      </c>
      <c r="P45" s="13">
        <f>Inputs!$F$134*Inputs!$F$54*(1-Inputs!$F$135+Inputs!$F$135*P20/100)</f>
        <v/>
      </c>
      <c r="Q45" s="13">
        <f>Inputs!$F$134*Inputs!$F$54*(1-Inputs!$F$135+Inputs!$F$135*Q20/100)</f>
        <v/>
      </c>
      <c r="R45" s="13">
        <f>Inputs!$F$134*Inputs!$F$54*(1-Inputs!$F$135+Inputs!$F$135*R20/100)</f>
        <v/>
      </c>
      <c r="S45" s="13">
        <f>Inputs!$F$134*Inputs!$F$54*(1-Inputs!$F$135+Inputs!$F$135*S20/100)</f>
        <v/>
      </c>
      <c r="T45" s="13">
        <f>Inputs!$F$134*Inputs!$F$54*(1-Inputs!$F$135+Inputs!$F$135*T20/100)</f>
        <v/>
      </c>
      <c r="U45" s="13">
        <f>Inputs!$F$134*Inputs!$F$54*(1-Inputs!$F$135+Inputs!$F$135*U20/100)</f>
        <v/>
      </c>
      <c r="V45" s="13">
        <f>Inputs!$F$134*Inputs!$F$54*(1-Inputs!$F$135+Inputs!$F$135*V20/100)</f>
        <v/>
      </c>
      <c r="W45" s="13">
        <f>Inputs!$F$134*Inputs!$F$54*(1-Inputs!$F$135+Inputs!$F$135*W20/100)</f>
        <v/>
      </c>
      <c r="X45" s="13">
        <f>Inputs!$F$134*Inputs!$F$54*(1-Inputs!$F$135+Inputs!$F$135*X20/100)</f>
        <v/>
      </c>
      <c r="Y45" s="13">
        <f>Inputs!$F$134*Inputs!$F$54*(1-Inputs!$F$135+Inputs!$F$135*Y20/100)</f>
        <v/>
      </c>
      <c r="Z45" s="13">
        <f>Inputs!$F$134*Inputs!$F$54*(1-Inputs!$F$135+Inputs!$F$135*Z20/100)</f>
        <v/>
      </c>
      <c r="AA45" s="13">
        <f>Inputs!$F$134*Inputs!$F$54*(1-Inputs!$F$135+Inputs!$F$135*AA20/100)</f>
        <v/>
      </c>
      <c r="AB45" s="13">
        <f>Inputs!$F$134*Inputs!$F$54*(1-Inputs!$F$135+Inputs!$F$135*AB20/100)</f>
        <v/>
      </c>
      <c r="AC45" s="13">
        <f>Inputs!$F$134*Inputs!$F$54*(1-Inputs!$F$135+Inputs!$F$135*AC20/100)</f>
        <v/>
      </c>
      <c r="AD45" s="13">
        <f>Inputs!$F$134*Inputs!$F$54*(1-Inputs!$F$135+Inputs!$F$135*AD20/100)</f>
        <v/>
      </c>
      <c r="AE45" s="13">
        <f>Inputs!$F$134*Inputs!$F$54*(1-Inputs!$F$135+Inputs!$F$135*AE20/100)</f>
        <v/>
      </c>
      <c r="AF45" s="13">
        <f>Inputs!$F$134*Inputs!$F$54*(1-Inputs!$F$135+Inputs!$F$135*AF20/100)</f>
        <v/>
      </c>
      <c r="AG45" s="13">
        <f>Inputs!$F$134*Inputs!$F$54*(1-Inputs!$F$135+Inputs!$F$135*AG20/100)</f>
        <v/>
      </c>
      <c r="AH45" s="13">
        <f>Inputs!$F$134*Inputs!$F$54*(1-Inputs!$F$135+Inputs!$F$135*AH20/100)</f>
        <v/>
      </c>
      <c r="AI45" s="13">
        <f>Inputs!$F$134*Inputs!$F$54*(1-Inputs!$F$135+Inputs!$F$135*AI20/100)</f>
        <v/>
      </c>
      <c r="AJ45" s="13">
        <f>Inputs!$F$134*Inputs!$F$54*(1-Inputs!$F$135+Inputs!$F$135*AJ20/100)</f>
        <v/>
      </c>
      <c r="AK45" s="13">
        <f>Inputs!$F$134*Inputs!$F$54*(1-Inputs!$F$135+Inputs!$F$135*AK20/100)</f>
        <v/>
      </c>
      <c r="AL45" s="13">
        <f>Inputs!$F$134*Inputs!$F$54*(1-Inputs!$F$135+Inputs!$F$135*AL20/100)</f>
        <v/>
      </c>
      <c r="AM45" s="13">
        <f>Inputs!$F$134*Inputs!$F$54*(1-Inputs!$F$135+Inputs!$F$135*AM20/100)</f>
        <v/>
      </c>
      <c r="AN45" s="13">
        <f>Inputs!$F$134*Inputs!$F$54*(1-Inputs!$F$135+Inputs!$F$135*AN20/100)</f>
        <v/>
      </c>
      <c r="AO45" s="13">
        <f>Inputs!$F$134*Inputs!$F$54*(1-Inputs!$F$135+Inputs!$F$135*AO20/100)</f>
        <v/>
      </c>
      <c r="AP45" s="13">
        <f>Inputs!$F$134*Inputs!$F$54*(1-Inputs!$F$135+Inputs!$F$135*AP20/100)</f>
        <v/>
      </c>
      <c r="AQ45" s="13">
        <f>Inputs!$F$134*Inputs!$F$54*(1-Inputs!$F$135+Inputs!$F$135*AQ20/100)</f>
        <v/>
      </c>
      <c r="AR45" s="13">
        <f>Inputs!$F$134*Inputs!$F$54*(1-Inputs!$F$135+Inputs!$F$135*AR20/100)</f>
        <v/>
      </c>
      <c r="AS45" s="13">
        <f>Inputs!$F$134*Inputs!$F$54*(1-Inputs!$F$135+Inputs!$F$135*AS20/100)</f>
        <v/>
      </c>
      <c r="AT45" s="13">
        <f>Inputs!$F$134*Inputs!$F$54*(1-Inputs!$F$135+Inputs!$F$135*AT20/100)</f>
        <v/>
      </c>
      <c r="AU45" s="13">
        <f>Inputs!$F$134*Inputs!$F$54*(1-Inputs!$F$135+Inputs!$F$135*AU20/100)</f>
        <v/>
      </c>
      <c r="AV45" s="13">
        <f>Inputs!$F$134*Inputs!$F$54*(1-Inputs!$F$135+Inputs!$F$135*AV20/100)</f>
        <v/>
      </c>
      <c r="AW45" s="13">
        <f>Inputs!$F$134*Inputs!$F$54*(1-Inputs!$F$135+Inputs!$F$135*AW20/100)</f>
        <v/>
      </c>
      <c r="AX45" s="13">
        <f>Inputs!$F$134*Inputs!$F$54*(1-Inputs!$F$135+Inputs!$F$135*AX20/100)</f>
        <v/>
      </c>
      <c r="AY45" s="13">
        <f>Inputs!$F$134*Inputs!$F$54*(1-Inputs!$F$135+Inputs!$F$135*AY20/100)</f>
        <v/>
      </c>
      <c r="AZ45" s="13">
        <f>Inputs!$F$134*Inputs!$F$54*(1-Inputs!$F$135+Inputs!$F$135*AZ20/100)</f>
        <v/>
      </c>
      <c r="BA45" s="13">
        <f>Inputs!$F$134*Inputs!$F$54*(1-Inputs!$F$135+Inputs!$F$135*BA20/100)</f>
        <v/>
      </c>
      <c r="BB45" s="13">
        <f>Inputs!$F$134*Inputs!$F$54*(1-Inputs!$F$135+Inputs!$F$135*BB20/100)</f>
        <v/>
      </c>
      <c r="BC45" s="13">
        <f>Inputs!$F$134*Inputs!$F$54*(1-Inputs!$F$135+Inputs!$F$135*BC20/100)</f>
        <v/>
      </c>
      <c r="BD45" s="13">
        <f>Inputs!$F$134*Inputs!$F$54*(1-Inputs!$F$135+Inputs!$F$135*BD20/100)</f>
        <v/>
      </c>
      <c r="BE45" s="13">
        <f>Inputs!$F$134*Inputs!$F$54*(1-Inputs!$F$135+Inputs!$F$135*BE20/100)</f>
        <v/>
      </c>
      <c r="BF45" s="13">
        <f>Inputs!$F$134*Inputs!$F$54*(1-Inputs!$F$135+Inputs!$F$135*BF20/100)</f>
        <v/>
      </c>
      <c r="BG45" s="13">
        <f>Inputs!$F$134*Inputs!$F$54*(1-Inputs!$F$135+Inputs!$F$135*BG20/100)</f>
        <v/>
      </c>
      <c r="BH45" s="13">
        <f>Inputs!$F$134*Inputs!$F$54*(1-Inputs!$F$135+Inputs!$F$135*BH20/100)</f>
        <v/>
      </c>
      <c r="BI45" s="13">
        <f>Inputs!$F$134*Inputs!$F$54*(1-Inputs!$F$135+Inputs!$F$135*BI20/100)</f>
        <v/>
      </c>
      <c r="BJ45" s="13">
        <f>Inputs!$F$134*Inputs!$F$54*(1-Inputs!$F$135+Inputs!$F$135*BJ20/100)</f>
        <v/>
      </c>
      <c r="BK45" s="13">
        <f>Inputs!$F$134*Inputs!$F$54*(1-Inputs!$F$135+Inputs!$F$135*BK20/100)</f>
        <v/>
      </c>
      <c r="BL45" s="13">
        <f>Inputs!$F$134*Inputs!$F$54*(1-Inputs!$F$135+Inputs!$F$135*BL20/100)</f>
        <v/>
      </c>
      <c r="BM45" s="13">
        <f>Inputs!$F$134*Inputs!$F$54*(1-Inputs!$F$135+Inputs!$F$135*BM20/100)</f>
        <v/>
      </c>
      <c r="BN45" s="13">
        <f>Inputs!$F$134*Inputs!$F$54*(1-Inputs!$F$135+Inputs!$F$135*BN20/100)</f>
        <v/>
      </c>
    </row>
    <row r="46">
      <c r="D46" t="inlineStr">
        <is>
          <t>Fixed O&amp;M charge, indexed</t>
        </is>
      </c>
      <c r="E46" t="inlineStr">
        <is>
          <t>USD/kW-month</t>
        </is>
      </c>
      <c r="J46" s="13">
        <f>Inputs!$F$136*(Inputs!$F$137*J20/100+(1-Inputs!$F$137)*J26/100*Inputs!$F$138/J11)</f>
        <v/>
      </c>
      <c r="K46" s="13">
        <f>Inputs!$F$136*(Inputs!$F$137*K20/100+(1-Inputs!$F$137)*K26/100*Inputs!$F$138/K11)</f>
        <v/>
      </c>
      <c r="L46" s="13">
        <f>Inputs!$F$136*(Inputs!$F$137*L20/100+(1-Inputs!$F$137)*L26/100*Inputs!$F$138/L11)</f>
        <v/>
      </c>
      <c r="M46" s="13">
        <f>Inputs!$F$136*(Inputs!$F$137*M20/100+(1-Inputs!$F$137)*M26/100*Inputs!$F$138/M11)</f>
        <v/>
      </c>
      <c r="N46" s="13">
        <f>Inputs!$F$136*(Inputs!$F$137*N20/100+(1-Inputs!$F$137)*N26/100*Inputs!$F$138/N11)</f>
        <v/>
      </c>
      <c r="O46" s="13">
        <f>Inputs!$F$136*(Inputs!$F$137*O20/100+(1-Inputs!$F$137)*O26/100*Inputs!$F$138/O11)</f>
        <v/>
      </c>
      <c r="P46" s="13">
        <f>Inputs!$F$136*(Inputs!$F$137*P20/100+(1-Inputs!$F$137)*P26/100*Inputs!$F$138/P11)</f>
        <v/>
      </c>
      <c r="Q46" s="13">
        <f>Inputs!$F$136*(Inputs!$F$137*Q20/100+(1-Inputs!$F$137)*Q26/100*Inputs!$F$138/Q11)</f>
        <v/>
      </c>
      <c r="R46" s="13">
        <f>Inputs!$F$136*(Inputs!$F$137*R20/100+(1-Inputs!$F$137)*R26/100*Inputs!$F$138/R11)</f>
        <v/>
      </c>
      <c r="S46" s="13">
        <f>Inputs!$F$136*(Inputs!$F$137*S20/100+(1-Inputs!$F$137)*S26/100*Inputs!$F$138/S11)</f>
        <v/>
      </c>
      <c r="T46" s="13">
        <f>Inputs!$F$136*(Inputs!$F$137*T20/100+(1-Inputs!$F$137)*T26/100*Inputs!$F$138/T11)</f>
        <v/>
      </c>
      <c r="U46" s="13">
        <f>Inputs!$F$136*(Inputs!$F$137*U20/100+(1-Inputs!$F$137)*U26/100*Inputs!$F$138/U11)</f>
        <v/>
      </c>
      <c r="V46" s="13">
        <f>Inputs!$F$136*(Inputs!$F$137*V20/100+(1-Inputs!$F$137)*V26/100*Inputs!$F$138/V11)</f>
        <v/>
      </c>
      <c r="W46" s="13">
        <f>Inputs!$F$136*(Inputs!$F$137*W20/100+(1-Inputs!$F$137)*W26/100*Inputs!$F$138/W11)</f>
        <v/>
      </c>
      <c r="X46" s="13">
        <f>Inputs!$F$136*(Inputs!$F$137*X20/100+(1-Inputs!$F$137)*X26/100*Inputs!$F$138/X11)</f>
        <v/>
      </c>
      <c r="Y46" s="13">
        <f>Inputs!$F$136*(Inputs!$F$137*Y20/100+(1-Inputs!$F$137)*Y26/100*Inputs!$F$138/Y11)</f>
        <v/>
      </c>
      <c r="Z46" s="13">
        <f>Inputs!$F$136*(Inputs!$F$137*Z20/100+(1-Inputs!$F$137)*Z26/100*Inputs!$F$138/Z11)</f>
        <v/>
      </c>
      <c r="AA46" s="13">
        <f>Inputs!$F$136*(Inputs!$F$137*AA20/100+(1-Inputs!$F$137)*AA26/100*Inputs!$F$138/AA11)</f>
        <v/>
      </c>
      <c r="AB46" s="13">
        <f>Inputs!$F$136*(Inputs!$F$137*AB20/100+(1-Inputs!$F$137)*AB26/100*Inputs!$F$138/AB11)</f>
        <v/>
      </c>
      <c r="AC46" s="13">
        <f>Inputs!$F$136*(Inputs!$F$137*AC20/100+(1-Inputs!$F$137)*AC26/100*Inputs!$F$138/AC11)</f>
        <v/>
      </c>
      <c r="AD46" s="13">
        <f>Inputs!$F$136*(Inputs!$F$137*AD20/100+(1-Inputs!$F$137)*AD26/100*Inputs!$F$138/AD11)</f>
        <v/>
      </c>
      <c r="AE46" s="13">
        <f>Inputs!$F$136*(Inputs!$F$137*AE20/100+(1-Inputs!$F$137)*AE26/100*Inputs!$F$138/AE11)</f>
        <v/>
      </c>
      <c r="AF46" s="13">
        <f>Inputs!$F$136*(Inputs!$F$137*AF20/100+(1-Inputs!$F$137)*AF26/100*Inputs!$F$138/AF11)</f>
        <v/>
      </c>
      <c r="AG46" s="13">
        <f>Inputs!$F$136*(Inputs!$F$137*AG20/100+(1-Inputs!$F$137)*AG26/100*Inputs!$F$138/AG11)</f>
        <v/>
      </c>
      <c r="AH46" s="13">
        <f>Inputs!$F$136*(Inputs!$F$137*AH20/100+(1-Inputs!$F$137)*AH26/100*Inputs!$F$138/AH11)</f>
        <v/>
      </c>
      <c r="AI46" s="13">
        <f>Inputs!$F$136*(Inputs!$F$137*AI20/100+(1-Inputs!$F$137)*AI26/100*Inputs!$F$138/AI11)</f>
        <v/>
      </c>
      <c r="AJ46" s="13">
        <f>Inputs!$F$136*(Inputs!$F$137*AJ20/100+(1-Inputs!$F$137)*AJ26/100*Inputs!$F$138/AJ11)</f>
        <v/>
      </c>
      <c r="AK46" s="13">
        <f>Inputs!$F$136*(Inputs!$F$137*AK20/100+(1-Inputs!$F$137)*AK26/100*Inputs!$F$138/AK11)</f>
        <v/>
      </c>
      <c r="AL46" s="13">
        <f>Inputs!$F$136*(Inputs!$F$137*AL20/100+(1-Inputs!$F$137)*AL26/100*Inputs!$F$138/AL11)</f>
        <v/>
      </c>
      <c r="AM46" s="13">
        <f>Inputs!$F$136*(Inputs!$F$137*AM20/100+(1-Inputs!$F$137)*AM26/100*Inputs!$F$138/AM11)</f>
        <v/>
      </c>
      <c r="AN46" s="13">
        <f>Inputs!$F$136*(Inputs!$F$137*AN20/100+(1-Inputs!$F$137)*AN26/100*Inputs!$F$138/AN11)</f>
        <v/>
      </c>
      <c r="AO46" s="13">
        <f>Inputs!$F$136*(Inputs!$F$137*AO20/100+(1-Inputs!$F$137)*AO26/100*Inputs!$F$138/AO11)</f>
        <v/>
      </c>
      <c r="AP46" s="13">
        <f>Inputs!$F$136*(Inputs!$F$137*AP20/100+(1-Inputs!$F$137)*AP26/100*Inputs!$F$138/AP11)</f>
        <v/>
      </c>
      <c r="AQ46" s="13">
        <f>Inputs!$F$136*(Inputs!$F$137*AQ20/100+(1-Inputs!$F$137)*AQ26/100*Inputs!$F$138/AQ11)</f>
        <v/>
      </c>
      <c r="AR46" s="13">
        <f>Inputs!$F$136*(Inputs!$F$137*AR20/100+(1-Inputs!$F$137)*AR26/100*Inputs!$F$138/AR11)</f>
        <v/>
      </c>
      <c r="AS46" s="13">
        <f>Inputs!$F$136*(Inputs!$F$137*AS20/100+(1-Inputs!$F$137)*AS26/100*Inputs!$F$138/AS11)</f>
        <v/>
      </c>
      <c r="AT46" s="13">
        <f>Inputs!$F$136*(Inputs!$F$137*AT20/100+(1-Inputs!$F$137)*AT26/100*Inputs!$F$138/AT11)</f>
        <v/>
      </c>
      <c r="AU46" s="13">
        <f>Inputs!$F$136*(Inputs!$F$137*AU20/100+(1-Inputs!$F$137)*AU26/100*Inputs!$F$138/AU11)</f>
        <v/>
      </c>
      <c r="AV46" s="13">
        <f>Inputs!$F$136*(Inputs!$F$137*AV20/100+(1-Inputs!$F$137)*AV26/100*Inputs!$F$138/AV11)</f>
        <v/>
      </c>
      <c r="AW46" s="13">
        <f>Inputs!$F$136*(Inputs!$F$137*AW20/100+(1-Inputs!$F$137)*AW26/100*Inputs!$F$138/AW11)</f>
        <v/>
      </c>
      <c r="AX46" s="13">
        <f>Inputs!$F$136*(Inputs!$F$137*AX20/100+(1-Inputs!$F$137)*AX26/100*Inputs!$F$138/AX11)</f>
        <v/>
      </c>
      <c r="AY46" s="13">
        <f>Inputs!$F$136*(Inputs!$F$137*AY20/100+(1-Inputs!$F$137)*AY26/100*Inputs!$F$138/AY11)</f>
        <v/>
      </c>
      <c r="AZ46" s="13">
        <f>Inputs!$F$136*(Inputs!$F$137*AZ20/100+(1-Inputs!$F$137)*AZ26/100*Inputs!$F$138/AZ11)</f>
        <v/>
      </c>
      <c r="BA46" s="13">
        <f>Inputs!$F$136*(Inputs!$F$137*BA20/100+(1-Inputs!$F$137)*BA26/100*Inputs!$F$138/BA11)</f>
        <v/>
      </c>
      <c r="BB46" s="13">
        <f>Inputs!$F$136*(Inputs!$F$137*BB20/100+(1-Inputs!$F$137)*BB26/100*Inputs!$F$138/BB11)</f>
        <v/>
      </c>
      <c r="BC46" s="13">
        <f>Inputs!$F$136*(Inputs!$F$137*BC20/100+(1-Inputs!$F$137)*BC26/100*Inputs!$F$138/BC11)</f>
        <v/>
      </c>
      <c r="BD46" s="13">
        <f>Inputs!$F$136*(Inputs!$F$137*BD20/100+(1-Inputs!$F$137)*BD26/100*Inputs!$F$138/BD11)</f>
        <v/>
      </c>
      <c r="BE46" s="13">
        <f>Inputs!$F$136*(Inputs!$F$137*BE20/100+(1-Inputs!$F$137)*BE26/100*Inputs!$F$138/BE11)</f>
        <v/>
      </c>
      <c r="BF46" s="13">
        <f>Inputs!$F$136*(Inputs!$F$137*BF20/100+(1-Inputs!$F$137)*BF26/100*Inputs!$F$138/BF11)</f>
        <v/>
      </c>
      <c r="BG46" s="13">
        <f>Inputs!$F$136*(Inputs!$F$137*BG20/100+(1-Inputs!$F$137)*BG26/100*Inputs!$F$138/BG11)</f>
        <v/>
      </c>
      <c r="BH46" s="13">
        <f>Inputs!$F$136*(Inputs!$F$137*BH20/100+(1-Inputs!$F$137)*BH26/100*Inputs!$F$138/BH11)</f>
        <v/>
      </c>
      <c r="BI46" s="13">
        <f>Inputs!$F$136*(Inputs!$F$137*BI20/100+(1-Inputs!$F$137)*BI26/100*Inputs!$F$138/BI11)</f>
        <v/>
      </c>
      <c r="BJ46" s="13">
        <f>Inputs!$F$136*(Inputs!$F$137*BJ20/100+(1-Inputs!$F$137)*BJ26/100*Inputs!$F$138/BJ11)</f>
        <v/>
      </c>
      <c r="BK46" s="13">
        <f>Inputs!$F$136*(Inputs!$F$137*BK20/100+(1-Inputs!$F$137)*BK26/100*Inputs!$F$138/BK11)</f>
        <v/>
      </c>
      <c r="BL46" s="13">
        <f>Inputs!$F$136*(Inputs!$F$137*BL20/100+(1-Inputs!$F$137)*BL26/100*Inputs!$F$138/BL11)</f>
        <v/>
      </c>
      <c r="BM46" s="13">
        <f>Inputs!$F$136*(Inputs!$F$137*BM20/100+(1-Inputs!$F$137)*BM26/100*Inputs!$F$138/BM11)</f>
        <v/>
      </c>
      <c r="BN46" s="13">
        <f>Inputs!$F$136*(Inputs!$F$137*BN20/100+(1-Inputs!$F$137)*BN26/100*Inputs!$F$138/BN11)</f>
        <v/>
      </c>
    </row>
    <row r="47">
      <c r="D47" t="inlineStr">
        <is>
          <t>Availability factor min(1, A/90%)</t>
        </is>
      </c>
      <c r="E47" t="inlineStr">
        <is>
          <t>factor</t>
        </is>
      </c>
      <c r="J47" s="13">
        <f>J32/Inputs!$F$133</f>
        <v/>
      </c>
      <c r="K47" s="13">
        <f>K32/Inputs!$F$133</f>
        <v/>
      </c>
      <c r="L47" s="13">
        <f>L32/Inputs!$F$133</f>
        <v/>
      </c>
      <c r="M47" s="13">
        <f>M32/Inputs!$F$133</f>
        <v/>
      </c>
      <c r="N47" s="13">
        <f>N32/Inputs!$F$133</f>
        <v/>
      </c>
      <c r="O47" s="13">
        <f>O32/Inputs!$F$133</f>
        <v/>
      </c>
      <c r="P47" s="13">
        <f>P32/Inputs!$F$133</f>
        <v/>
      </c>
      <c r="Q47" s="13">
        <f>Q32/Inputs!$F$133</f>
        <v/>
      </c>
      <c r="R47" s="13">
        <f>R32/Inputs!$F$133</f>
        <v/>
      </c>
      <c r="S47" s="13">
        <f>S32/Inputs!$F$133</f>
        <v/>
      </c>
      <c r="T47" s="13">
        <f>T32/Inputs!$F$133</f>
        <v/>
      </c>
      <c r="U47" s="13">
        <f>U32/Inputs!$F$133</f>
        <v/>
      </c>
      <c r="V47" s="13">
        <f>V32/Inputs!$F$133</f>
        <v/>
      </c>
      <c r="W47" s="13">
        <f>W32/Inputs!$F$133</f>
        <v/>
      </c>
      <c r="X47" s="13">
        <f>X32/Inputs!$F$133</f>
        <v/>
      </c>
      <c r="Y47" s="13">
        <f>Y32/Inputs!$F$133</f>
        <v/>
      </c>
      <c r="Z47" s="13">
        <f>Z32/Inputs!$F$133</f>
        <v/>
      </c>
      <c r="AA47" s="13">
        <f>AA32/Inputs!$F$133</f>
        <v/>
      </c>
      <c r="AB47" s="13">
        <f>AB32/Inputs!$F$133</f>
        <v/>
      </c>
      <c r="AC47" s="13">
        <f>AC32/Inputs!$F$133</f>
        <v/>
      </c>
      <c r="AD47" s="13">
        <f>AD32/Inputs!$F$133</f>
        <v/>
      </c>
      <c r="AE47" s="13">
        <f>AE32/Inputs!$F$133</f>
        <v/>
      </c>
      <c r="AF47" s="13">
        <f>AF32/Inputs!$F$133</f>
        <v/>
      </c>
      <c r="AG47" s="13">
        <f>AG32/Inputs!$F$133</f>
        <v/>
      </c>
      <c r="AH47" s="13">
        <f>AH32/Inputs!$F$133</f>
        <v/>
      </c>
      <c r="AI47" s="13">
        <f>AI32/Inputs!$F$133</f>
        <v/>
      </c>
      <c r="AJ47" s="13">
        <f>AJ32/Inputs!$F$133</f>
        <v/>
      </c>
      <c r="AK47" s="13">
        <f>AK32/Inputs!$F$133</f>
        <v/>
      </c>
      <c r="AL47" s="13">
        <f>AL32/Inputs!$F$133</f>
        <v/>
      </c>
      <c r="AM47" s="13">
        <f>AM32/Inputs!$F$133</f>
        <v/>
      </c>
      <c r="AN47" s="13">
        <f>AN32/Inputs!$F$133</f>
        <v/>
      </c>
      <c r="AO47" s="13">
        <f>AO32/Inputs!$F$133</f>
        <v/>
      </c>
      <c r="AP47" s="13">
        <f>AP32/Inputs!$F$133</f>
        <v/>
      </c>
      <c r="AQ47" s="13">
        <f>AQ32/Inputs!$F$133</f>
        <v/>
      </c>
      <c r="AR47" s="13">
        <f>AR32/Inputs!$F$133</f>
        <v/>
      </c>
      <c r="AS47" s="13">
        <f>AS32/Inputs!$F$133</f>
        <v/>
      </c>
      <c r="AT47" s="13">
        <f>AT32/Inputs!$F$133</f>
        <v/>
      </c>
      <c r="AU47" s="13">
        <f>AU32/Inputs!$F$133</f>
        <v/>
      </c>
      <c r="AV47" s="13">
        <f>AV32/Inputs!$F$133</f>
        <v/>
      </c>
      <c r="AW47" s="13">
        <f>AW32/Inputs!$F$133</f>
        <v/>
      </c>
      <c r="AX47" s="13">
        <f>AX32/Inputs!$F$133</f>
        <v/>
      </c>
      <c r="AY47" s="13">
        <f>AY32/Inputs!$F$133</f>
        <v/>
      </c>
      <c r="AZ47" s="13">
        <f>AZ32/Inputs!$F$133</f>
        <v/>
      </c>
      <c r="BA47" s="13">
        <f>BA32/Inputs!$F$133</f>
        <v/>
      </c>
      <c r="BB47" s="13">
        <f>BB32/Inputs!$F$133</f>
        <v/>
      </c>
      <c r="BC47" s="13">
        <f>BC32/Inputs!$F$133</f>
        <v/>
      </c>
      <c r="BD47" s="13">
        <f>BD32/Inputs!$F$133</f>
        <v/>
      </c>
      <c r="BE47" s="13">
        <f>BE32/Inputs!$F$133</f>
        <v/>
      </c>
      <c r="BF47" s="13">
        <f>BF32/Inputs!$F$133</f>
        <v/>
      </c>
      <c r="BG47" s="13">
        <f>BG32/Inputs!$F$133</f>
        <v/>
      </c>
      <c r="BH47" s="13">
        <f>BH32/Inputs!$F$133</f>
        <v/>
      </c>
      <c r="BI47" s="13">
        <f>BI32/Inputs!$F$133</f>
        <v/>
      </c>
      <c r="BJ47" s="13">
        <f>BJ32/Inputs!$F$133</f>
        <v/>
      </c>
      <c r="BK47" s="13">
        <f>BK32/Inputs!$F$133</f>
        <v/>
      </c>
      <c r="BL47" s="13">
        <f>BL32/Inputs!$F$133</f>
        <v/>
      </c>
      <c r="BM47" s="13">
        <f>BM32/Inputs!$F$133</f>
        <v/>
      </c>
      <c r="BN47" s="13">
        <f>BN32/Inputs!$F$133</f>
        <v/>
      </c>
    </row>
    <row r="48">
      <c r="D48" t="inlineStr">
        <is>
          <t>Capacity payment</t>
        </is>
      </c>
      <c r="E48" t="inlineStr">
        <is>
          <t>USD m</t>
        </is>
      </c>
      <c r="G48" s="13">
        <f>SUM(J48:BN48)</f>
        <v/>
      </c>
      <c r="J48" s="13">
        <f>$F$34*1000*Time!J30*(J45+J46)*J47/1000000</f>
        <v/>
      </c>
      <c r="K48" s="13">
        <f>$F$34*1000*Time!K30*(K45+K46)*K47/1000000</f>
        <v/>
      </c>
      <c r="L48" s="13">
        <f>$F$34*1000*Time!L30*(L45+L46)*L47/1000000</f>
        <v/>
      </c>
      <c r="M48" s="13">
        <f>$F$34*1000*Time!M30*(M45+M46)*M47/1000000</f>
        <v/>
      </c>
      <c r="N48" s="13">
        <f>$F$34*1000*Time!N30*(N45+N46)*N47/1000000</f>
        <v/>
      </c>
      <c r="O48" s="13">
        <f>$F$34*1000*Time!O30*(O45+O46)*O47/1000000</f>
        <v/>
      </c>
      <c r="P48" s="13">
        <f>$F$34*1000*Time!P30*(P45+P46)*P47/1000000</f>
        <v/>
      </c>
      <c r="Q48" s="13">
        <f>$F$34*1000*Time!Q30*(Q45+Q46)*Q47/1000000</f>
        <v/>
      </c>
      <c r="R48" s="13">
        <f>$F$34*1000*Time!R30*(R45+R46)*R47/1000000</f>
        <v/>
      </c>
      <c r="S48" s="13">
        <f>$F$34*1000*Time!S30*(S45+S46)*S47/1000000</f>
        <v/>
      </c>
      <c r="T48" s="13">
        <f>$F$34*1000*Time!T30*(T45+T46)*T47/1000000</f>
        <v/>
      </c>
      <c r="U48" s="13">
        <f>$F$34*1000*Time!U30*(U45+U46)*U47/1000000</f>
        <v/>
      </c>
      <c r="V48" s="13">
        <f>$F$34*1000*Time!V30*(V45+V46)*V47/1000000</f>
        <v/>
      </c>
      <c r="W48" s="13">
        <f>$F$34*1000*Time!W30*(W45+W46)*W47/1000000</f>
        <v/>
      </c>
      <c r="X48" s="13">
        <f>$F$34*1000*Time!X30*(X45+X46)*X47/1000000</f>
        <v/>
      </c>
      <c r="Y48" s="13">
        <f>$F$34*1000*Time!Y30*(Y45+Y46)*Y47/1000000</f>
        <v/>
      </c>
      <c r="Z48" s="13">
        <f>$F$34*1000*Time!Z30*(Z45+Z46)*Z47/1000000</f>
        <v/>
      </c>
      <c r="AA48" s="13">
        <f>$F$34*1000*Time!AA30*(AA45+AA46)*AA47/1000000</f>
        <v/>
      </c>
      <c r="AB48" s="13">
        <f>$F$34*1000*Time!AB30*(AB45+AB46)*AB47/1000000</f>
        <v/>
      </c>
      <c r="AC48" s="13">
        <f>$F$34*1000*Time!AC30*(AC45+AC46)*AC47/1000000</f>
        <v/>
      </c>
      <c r="AD48" s="13">
        <f>$F$34*1000*Time!AD30*(AD45+AD46)*AD47/1000000</f>
        <v/>
      </c>
      <c r="AE48" s="13">
        <f>$F$34*1000*Time!AE30*(AE45+AE46)*AE47/1000000</f>
        <v/>
      </c>
      <c r="AF48" s="13">
        <f>$F$34*1000*Time!AF30*(AF45+AF46)*AF47/1000000</f>
        <v/>
      </c>
      <c r="AG48" s="13">
        <f>$F$34*1000*Time!AG30*(AG45+AG46)*AG47/1000000</f>
        <v/>
      </c>
      <c r="AH48" s="13">
        <f>$F$34*1000*Time!AH30*(AH45+AH46)*AH47/1000000</f>
        <v/>
      </c>
      <c r="AI48" s="13">
        <f>$F$34*1000*Time!AI30*(AI45+AI46)*AI47/1000000</f>
        <v/>
      </c>
      <c r="AJ48" s="13">
        <f>$F$34*1000*Time!AJ30*(AJ45+AJ46)*AJ47/1000000</f>
        <v/>
      </c>
      <c r="AK48" s="13">
        <f>$F$34*1000*Time!AK30*(AK45+AK46)*AK47/1000000</f>
        <v/>
      </c>
      <c r="AL48" s="13">
        <f>$F$34*1000*Time!AL30*(AL45+AL46)*AL47/1000000</f>
        <v/>
      </c>
      <c r="AM48" s="13">
        <f>$F$34*1000*Time!AM30*(AM45+AM46)*AM47/1000000</f>
        <v/>
      </c>
      <c r="AN48" s="13">
        <f>$F$34*1000*Time!AN30*(AN45+AN46)*AN47/1000000</f>
        <v/>
      </c>
      <c r="AO48" s="13">
        <f>$F$34*1000*Time!AO30*(AO45+AO46)*AO47/1000000</f>
        <v/>
      </c>
      <c r="AP48" s="13">
        <f>$F$34*1000*Time!AP30*(AP45+AP46)*AP47/1000000</f>
        <v/>
      </c>
      <c r="AQ48" s="13">
        <f>$F$34*1000*Time!AQ30*(AQ45+AQ46)*AQ47/1000000</f>
        <v/>
      </c>
      <c r="AR48" s="13">
        <f>$F$34*1000*Time!AR30*(AR45+AR46)*AR47/1000000</f>
        <v/>
      </c>
      <c r="AS48" s="13">
        <f>$F$34*1000*Time!AS30*(AS45+AS46)*AS47/1000000</f>
        <v/>
      </c>
      <c r="AT48" s="13">
        <f>$F$34*1000*Time!AT30*(AT45+AT46)*AT47/1000000</f>
        <v/>
      </c>
      <c r="AU48" s="13">
        <f>$F$34*1000*Time!AU30*(AU45+AU46)*AU47/1000000</f>
        <v/>
      </c>
      <c r="AV48" s="13">
        <f>$F$34*1000*Time!AV30*(AV45+AV46)*AV47/1000000</f>
        <v/>
      </c>
      <c r="AW48" s="13">
        <f>$F$34*1000*Time!AW30*(AW45+AW46)*AW47/1000000</f>
        <v/>
      </c>
      <c r="AX48" s="13">
        <f>$F$34*1000*Time!AX30*(AX45+AX46)*AX47/1000000</f>
        <v/>
      </c>
      <c r="AY48" s="13">
        <f>$F$34*1000*Time!AY30*(AY45+AY46)*AY47/1000000</f>
        <v/>
      </c>
      <c r="AZ48" s="13">
        <f>$F$34*1000*Time!AZ30*(AZ45+AZ46)*AZ47/1000000</f>
        <v/>
      </c>
      <c r="BA48" s="13">
        <f>$F$34*1000*Time!BA30*(BA45+BA46)*BA47/1000000</f>
        <v/>
      </c>
      <c r="BB48" s="13">
        <f>$F$34*1000*Time!BB30*(BB45+BB46)*BB47/1000000</f>
        <v/>
      </c>
      <c r="BC48" s="13">
        <f>$F$34*1000*Time!BC30*(BC45+BC46)*BC47/1000000</f>
        <v/>
      </c>
      <c r="BD48" s="13">
        <f>$F$34*1000*Time!BD30*(BD45+BD46)*BD47/1000000</f>
        <v/>
      </c>
      <c r="BE48" s="13">
        <f>$F$34*1000*Time!BE30*(BE45+BE46)*BE47/1000000</f>
        <v/>
      </c>
      <c r="BF48" s="13">
        <f>$F$34*1000*Time!BF30*(BF45+BF46)*BF47/1000000</f>
        <v/>
      </c>
      <c r="BG48" s="13">
        <f>$F$34*1000*Time!BG30*(BG45+BG46)*BG47/1000000</f>
        <v/>
      </c>
      <c r="BH48" s="13">
        <f>$F$34*1000*Time!BH30*(BH45+BH46)*BH47/1000000</f>
        <v/>
      </c>
      <c r="BI48" s="13">
        <f>$F$34*1000*Time!BI30*(BI45+BI46)*BI47/1000000</f>
        <v/>
      </c>
      <c r="BJ48" s="13">
        <f>$F$34*1000*Time!BJ30*(BJ45+BJ46)*BJ47/1000000</f>
        <v/>
      </c>
      <c r="BK48" s="13">
        <f>$F$34*1000*Time!BK30*(BK45+BK46)*BK47/1000000</f>
        <v/>
      </c>
      <c r="BL48" s="13">
        <f>$F$34*1000*Time!BL30*(BL45+BL46)*BL47/1000000</f>
        <v/>
      </c>
      <c r="BM48" s="13">
        <f>$F$34*1000*Time!BM30*(BM45+BM46)*BM47/1000000</f>
        <v/>
      </c>
      <c r="BN48" s="13">
        <f>$F$34*1000*Time!BN30*(BN45+BN46)*BN47/1000000</f>
        <v/>
      </c>
    </row>
    <row r="49">
      <c r="D49" t="inlineStr">
        <is>
          <t>VOM charge, indexed</t>
        </is>
      </c>
      <c r="E49" t="inlineStr">
        <is>
          <t>USD/MWh</t>
        </is>
      </c>
      <c r="J49" s="13">
        <f>Inputs!$F$139*(Inputs!$F$140*J20/100+(1-Inputs!$F$140)*J26/100*Inputs!$F$138/J11)</f>
        <v/>
      </c>
      <c r="K49" s="13">
        <f>Inputs!$F$139*(Inputs!$F$140*K20/100+(1-Inputs!$F$140)*K26/100*Inputs!$F$138/K11)</f>
        <v/>
      </c>
      <c r="L49" s="13">
        <f>Inputs!$F$139*(Inputs!$F$140*L20/100+(1-Inputs!$F$140)*L26/100*Inputs!$F$138/L11)</f>
        <v/>
      </c>
      <c r="M49" s="13">
        <f>Inputs!$F$139*(Inputs!$F$140*M20/100+(1-Inputs!$F$140)*M26/100*Inputs!$F$138/M11)</f>
        <v/>
      </c>
      <c r="N49" s="13">
        <f>Inputs!$F$139*(Inputs!$F$140*N20/100+(1-Inputs!$F$140)*N26/100*Inputs!$F$138/N11)</f>
        <v/>
      </c>
      <c r="O49" s="13">
        <f>Inputs!$F$139*(Inputs!$F$140*O20/100+(1-Inputs!$F$140)*O26/100*Inputs!$F$138/O11)</f>
        <v/>
      </c>
      <c r="P49" s="13">
        <f>Inputs!$F$139*(Inputs!$F$140*P20/100+(1-Inputs!$F$140)*P26/100*Inputs!$F$138/P11)</f>
        <v/>
      </c>
      <c r="Q49" s="13">
        <f>Inputs!$F$139*(Inputs!$F$140*Q20/100+(1-Inputs!$F$140)*Q26/100*Inputs!$F$138/Q11)</f>
        <v/>
      </c>
      <c r="R49" s="13">
        <f>Inputs!$F$139*(Inputs!$F$140*R20/100+(1-Inputs!$F$140)*R26/100*Inputs!$F$138/R11)</f>
        <v/>
      </c>
      <c r="S49" s="13">
        <f>Inputs!$F$139*(Inputs!$F$140*S20/100+(1-Inputs!$F$140)*S26/100*Inputs!$F$138/S11)</f>
        <v/>
      </c>
      <c r="T49" s="13">
        <f>Inputs!$F$139*(Inputs!$F$140*T20/100+(1-Inputs!$F$140)*T26/100*Inputs!$F$138/T11)</f>
        <v/>
      </c>
      <c r="U49" s="13">
        <f>Inputs!$F$139*(Inputs!$F$140*U20/100+(1-Inputs!$F$140)*U26/100*Inputs!$F$138/U11)</f>
        <v/>
      </c>
      <c r="V49" s="13">
        <f>Inputs!$F$139*(Inputs!$F$140*V20/100+(1-Inputs!$F$140)*V26/100*Inputs!$F$138/V11)</f>
        <v/>
      </c>
      <c r="W49" s="13">
        <f>Inputs!$F$139*(Inputs!$F$140*W20/100+(1-Inputs!$F$140)*W26/100*Inputs!$F$138/W11)</f>
        <v/>
      </c>
      <c r="X49" s="13">
        <f>Inputs!$F$139*(Inputs!$F$140*X20/100+(1-Inputs!$F$140)*X26/100*Inputs!$F$138/X11)</f>
        <v/>
      </c>
      <c r="Y49" s="13">
        <f>Inputs!$F$139*(Inputs!$F$140*Y20/100+(1-Inputs!$F$140)*Y26/100*Inputs!$F$138/Y11)</f>
        <v/>
      </c>
      <c r="Z49" s="13">
        <f>Inputs!$F$139*(Inputs!$F$140*Z20/100+(1-Inputs!$F$140)*Z26/100*Inputs!$F$138/Z11)</f>
        <v/>
      </c>
      <c r="AA49" s="13">
        <f>Inputs!$F$139*(Inputs!$F$140*AA20/100+(1-Inputs!$F$140)*AA26/100*Inputs!$F$138/AA11)</f>
        <v/>
      </c>
      <c r="AB49" s="13">
        <f>Inputs!$F$139*(Inputs!$F$140*AB20/100+(1-Inputs!$F$140)*AB26/100*Inputs!$F$138/AB11)</f>
        <v/>
      </c>
      <c r="AC49" s="13">
        <f>Inputs!$F$139*(Inputs!$F$140*AC20/100+(1-Inputs!$F$140)*AC26/100*Inputs!$F$138/AC11)</f>
        <v/>
      </c>
      <c r="AD49" s="13">
        <f>Inputs!$F$139*(Inputs!$F$140*AD20/100+(1-Inputs!$F$140)*AD26/100*Inputs!$F$138/AD11)</f>
        <v/>
      </c>
      <c r="AE49" s="13">
        <f>Inputs!$F$139*(Inputs!$F$140*AE20/100+(1-Inputs!$F$140)*AE26/100*Inputs!$F$138/AE11)</f>
        <v/>
      </c>
      <c r="AF49" s="13">
        <f>Inputs!$F$139*(Inputs!$F$140*AF20/100+(1-Inputs!$F$140)*AF26/100*Inputs!$F$138/AF11)</f>
        <v/>
      </c>
      <c r="AG49" s="13">
        <f>Inputs!$F$139*(Inputs!$F$140*AG20/100+(1-Inputs!$F$140)*AG26/100*Inputs!$F$138/AG11)</f>
        <v/>
      </c>
      <c r="AH49" s="13">
        <f>Inputs!$F$139*(Inputs!$F$140*AH20/100+(1-Inputs!$F$140)*AH26/100*Inputs!$F$138/AH11)</f>
        <v/>
      </c>
      <c r="AI49" s="13">
        <f>Inputs!$F$139*(Inputs!$F$140*AI20/100+(1-Inputs!$F$140)*AI26/100*Inputs!$F$138/AI11)</f>
        <v/>
      </c>
      <c r="AJ49" s="13">
        <f>Inputs!$F$139*(Inputs!$F$140*AJ20/100+(1-Inputs!$F$140)*AJ26/100*Inputs!$F$138/AJ11)</f>
        <v/>
      </c>
      <c r="AK49" s="13">
        <f>Inputs!$F$139*(Inputs!$F$140*AK20/100+(1-Inputs!$F$140)*AK26/100*Inputs!$F$138/AK11)</f>
        <v/>
      </c>
      <c r="AL49" s="13">
        <f>Inputs!$F$139*(Inputs!$F$140*AL20/100+(1-Inputs!$F$140)*AL26/100*Inputs!$F$138/AL11)</f>
        <v/>
      </c>
      <c r="AM49" s="13">
        <f>Inputs!$F$139*(Inputs!$F$140*AM20/100+(1-Inputs!$F$140)*AM26/100*Inputs!$F$138/AM11)</f>
        <v/>
      </c>
      <c r="AN49" s="13">
        <f>Inputs!$F$139*(Inputs!$F$140*AN20/100+(1-Inputs!$F$140)*AN26/100*Inputs!$F$138/AN11)</f>
        <v/>
      </c>
      <c r="AO49" s="13">
        <f>Inputs!$F$139*(Inputs!$F$140*AO20/100+(1-Inputs!$F$140)*AO26/100*Inputs!$F$138/AO11)</f>
        <v/>
      </c>
      <c r="AP49" s="13">
        <f>Inputs!$F$139*(Inputs!$F$140*AP20/100+(1-Inputs!$F$140)*AP26/100*Inputs!$F$138/AP11)</f>
        <v/>
      </c>
      <c r="AQ49" s="13">
        <f>Inputs!$F$139*(Inputs!$F$140*AQ20/100+(1-Inputs!$F$140)*AQ26/100*Inputs!$F$138/AQ11)</f>
        <v/>
      </c>
      <c r="AR49" s="13">
        <f>Inputs!$F$139*(Inputs!$F$140*AR20/100+(1-Inputs!$F$140)*AR26/100*Inputs!$F$138/AR11)</f>
        <v/>
      </c>
      <c r="AS49" s="13">
        <f>Inputs!$F$139*(Inputs!$F$140*AS20/100+(1-Inputs!$F$140)*AS26/100*Inputs!$F$138/AS11)</f>
        <v/>
      </c>
      <c r="AT49" s="13">
        <f>Inputs!$F$139*(Inputs!$F$140*AT20/100+(1-Inputs!$F$140)*AT26/100*Inputs!$F$138/AT11)</f>
        <v/>
      </c>
      <c r="AU49" s="13">
        <f>Inputs!$F$139*(Inputs!$F$140*AU20/100+(1-Inputs!$F$140)*AU26/100*Inputs!$F$138/AU11)</f>
        <v/>
      </c>
      <c r="AV49" s="13">
        <f>Inputs!$F$139*(Inputs!$F$140*AV20/100+(1-Inputs!$F$140)*AV26/100*Inputs!$F$138/AV11)</f>
        <v/>
      </c>
      <c r="AW49" s="13">
        <f>Inputs!$F$139*(Inputs!$F$140*AW20/100+(1-Inputs!$F$140)*AW26/100*Inputs!$F$138/AW11)</f>
        <v/>
      </c>
      <c r="AX49" s="13">
        <f>Inputs!$F$139*(Inputs!$F$140*AX20/100+(1-Inputs!$F$140)*AX26/100*Inputs!$F$138/AX11)</f>
        <v/>
      </c>
      <c r="AY49" s="13">
        <f>Inputs!$F$139*(Inputs!$F$140*AY20/100+(1-Inputs!$F$140)*AY26/100*Inputs!$F$138/AY11)</f>
        <v/>
      </c>
      <c r="AZ49" s="13">
        <f>Inputs!$F$139*(Inputs!$F$140*AZ20/100+(1-Inputs!$F$140)*AZ26/100*Inputs!$F$138/AZ11)</f>
        <v/>
      </c>
      <c r="BA49" s="13">
        <f>Inputs!$F$139*(Inputs!$F$140*BA20/100+(1-Inputs!$F$140)*BA26/100*Inputs!$F$138/BA11)</f>
        <v/>
      </c>
      <c r="BB49" s="13">
        <f>Inputs!$F$139*(Inputs!$F$140*BB20/100+(1-Inputs!$F$140)*BB26/100*Inputs!$F$138/BB11)</f>
        <v/>
      </c>
      <c r="BC49" s="13">
        <f>Inputs!$F$139*(Inputs!$F$140*BC20/100+(1-Inputs!$F$140)*BC26/100*Inputs!$F$138/BC11)</f>
        <v/>
      </c>
      <c r="BD49" s="13">
        <f>Inputs!$F$139*(Inputs!$F$140*BD20/100+(1-Inputs!$F$140)*BD26/100*Inputs!$F$138/BD11)</f>
        <v/>
      </c>
      <c r="BE49" s="13">
        <f>Inputs!$F$139*(Inputs!$F$140*BE20/100+(1-Inputs!$F$140)*BE26/100*Inputs!$F$138/BE11)</f>
        <v/>
      </c>
      <c r="BF49" s="13">
        <f>Inputs!$F$139*(Inputs!$F$140*BF20/100+(1-Inputs!$F$140)*BF26/100*Inputs!$F$138/BF11)</f>
        <v/>
      </c>
      <c r="BG49" s="13">
        <f>Inputs!$F$139*(Inputs!$F$140*BG20/100+(1-Inputs!$F$140)*BG26/100*Inputs!$F$138/BG11)</f>
        <v/>
      </c>
      <c r="BH49" s="13">
        <f>Inputs!$F$139*(Inputs!$F$140*BH20/100+(1-Inputs!$F$140)*BH26/100*Inputs!$F$138/BH11)</f>
        <v/>
      </c>
      <c r="BI49" s="13">
        <f>Inputs!$F$139*(Inputs!$F$140*BI20/100+(1-Inputs!$F$140)*BI26/100*Inputs!$F$138/BI11)</f>
        <v/>
      </c>
      <c r="BJ49" s="13">
        <f>Inputs!$F$139*(Inputs!$F$140*BJ20/100+(1-Inputs!$F$140)*BJ26/100*Inputs!$F$138/BJ11)</f>
        <v/>
      </c>
      <c r="BK49" s="13">
        <f>Inputs!$F$139*(Inputs!$F$140*BK20/100+(1-Inputs!$F$140)*BK26/100*Inputs!$F$138/BK11)</f>
        <v/>
      </c>
      <c r="BL49" s="13">
        <f>Inputs!$F$139*(Inputs!$F$140*BL20/100+(1-Inputs!$F$140)*BL26/100*Inputs!$F$138/BL11)</f>
        <v/>
      </c>
      <c r="BM49" s="13">
        <f>Inputs!$F$139*(Inputs!$F$140*BM20/100+(1-Inputs!$F$140)*BM26/100*Inputs!$F$138/BM11)</f>
        <v/>
      </c>
      <c r="BN49" s="13">
        <f>Inputs!$F$139*(Inputs!$F$140*BN20/100+(1-Inputs!$F$140)*BN26/100*Inputs!$F$138/BN11)</f>
        <v/>
      </c>
    </row>
    <row r="50">
      <c r="D50" t="inlineStr">
        <is>
          <t>Variable O&amp;M payment</t>
        </is>
      </c>
      <c r="E50" t="inlineStr">
        <is>
          <t>USD m</t>
        </is>
      </c>
      <c r="G50" s="13">
        <f>SUM(J50:BN50)</f>
        <v/>
      </c>
      <c r="J50" s="13">
        <f>J38*J49/1000000</f>
        <v/>
      </c>
      <c r="K50" s="13">
        <f>K38*K49/1000000</f>
        <v/>
      </c>
      <c r="L50" s="13">
        <f>L38*L49/1000000</f>
        <v/>
      </c>
      <c r="M50" s="13">
        <f>M38*M49/1000000</f>
        <v/>
      </c>
      <c r="N50" s="13">
        <f>N38*N49/1000000</f>
        <v/>
      </c>
      <c r="O50" s="13">
        <f>O38*O49/1000000</f>
        <v/>
      </c>
      <c r="P50" s="13">
        <f>P38*P49/1000000</f>
        <v/>
      </c>
      <c r="Q50" s="13">
        <f>Q38*Q49/1000000</f>
        <v/>
      </c>
      <c r="R50" s="13">
        <f>R38*R49/1000000</f>
        <v/>
      </c>
      <c r="S50" s="13">
        <f>S38*S49/1000000</f>
        <v/>
      </c>
      <c r="T50" s="13">
        <f>T38*T49/1000000</f>
        <v/>
      </c>
      <c r="U50" s="13">
        <f>U38*U49/1000000</f>
        <v/>
      </c>
      <c r="V50" s="13">
        <f>V38*V49/1000000</f>
        <v/>
      </c>
      <c r="W50" s="13">
        <f>W38*W49/1000000</f>
        <v/>
      </c>
      <c r="X50" s="13">
        <f>X38*X49/1000000</f>
        <v/>
      </c>
      <c r="Y50" s="13">
        <f>Y38*Y49/1000000</f>
        <v/>
      </c>
      <c r="Z50" s="13">
        <f>Z38*Z49/1000000</f>
        <v/>
      </c>
      <c r="AA50" s="13">
        <f>AA38*AA49/1000000</f>
        <v/>
      </c>
      <c r="AB50" s="13">
        <f>AB38*AB49/1000000</f>
        <v/>
      </c>
      <c r="AC50" s="13">
        <f>AC38*AC49/1000000</f>
        <v/>
      </c>
      <c r="AD50" s="13">
        <f>AD38*AD49/1000000</f>
        <v/>
      </c>
      <c r="AE50" s="13">
        <f>AE38*AE49/1000000</f>
        <v/>
      </c>
      <c r="AF50" s="13">
        <f>AF38*AF49/1000000</f>
        <v/>
      </c>
      <c r="AG50" s="13">
        <f>AG38*AG49/1000000</f>
        <v/>
      </c>
      <c r="AH50" s="13">
        <f>AH38*AH49/1000000</f>
        <v/>
      </c>
      <c r="AI50" s="13">
        <f>AI38*AI49/1000000</f>
        <v/>
      </c>
      <c r="AJ50" s="13">
        <f>AJ38*AJ49/1000000</f>
        <v/>
      </c>
      <c r="AK50" s="13">
        <f>AK38*AK49/1000000</f>
        <v/>
      </c>
      <c r="AL50" s="13">
        <f>AL38*AL49/1000000</f>
        <v/>
      </c>
      <c r="AM50" s="13">
        <f>AM38*AM49/1000000</f>
        <v/>
      </c>
      <c r="AN50" s="13">
        <f>AN38*AN49/1000000</f>
        <v/>
      </c>
      <c r="AO50" s="13">
        <f>AO38*AO49/1000000</f>
        <v/>
      </c>
      <c r="AP50" s="13">
        <f>AP38*AP49/1000000</f>
        <v/>
      </c>
      <c r="AQ50" s="13">
        <f>AQ38*AQ49/1000000</f>
        <v/>
      </c>
      <c r="AR50" s="13">
        <f>AR38*AR49/1000000</f>
        <v/>
      </c>
      <c r="AS50" s="13">
        <f>AS38*AS49/1000000</f>
        <v/>
      </c>
      <c r="AT50" s="13">
        <f>AT38*AT49/1000000</f>
        <v/>
      </c>
      <c r="AU50" s="13">
        <f>AU38*AU49/1000000</f>
        <v/>
      </c>
      <c r="AV50" s="13">
        <f>AV38*AV49/1000000</f>
        <v/>
      </c>
      <c r="AW50" s="13">
        <f>AW38*AW49/1000000</f>
        <v/>
      </c>
      <c r="AX50" s="13">
        <f>AX38*AX49/1000000</f>
        <v/>
      </c>
      <c r="AY50" s="13">
        <f>AY38*AY49/1000000</f>
        <v/>
      </c>
      <c r="AZ50" s="13">
        <f>AZ38*AZ49/1000000</f>
        <v/>
      </c>
      <c r="BA50" s="13">
        <f>BA38*BA49/1000000</f>
        <v/>
      </c>
      <c r="BB50" s="13">
        <f>BB38*BB49/1000000</f>
        <v/>
      </c>
      <c r="BC50" s="13">
        <f>BC38*BC49/1000000</f>
        <v/>
      </c>
      <c r="BD50" s="13">
        <f>BD38*BD49/1000000</f>
        <v/>
      </c>
      <c r="BE50" s="13">
        <f>BE38*BE49/1000000</f>
        <v/>
      </c>
      <c r="BF50" s="13">
        <f>BF38*BF49/1000000</f>
        <v/>
      </c>
      <c r="BG50" s="13">
        <f>BG38*BG49/1000000</f>
        <v/>
      </c>
      <c r="BH50" s="13">
        <f>BH38*BH49/1000000</f>
        <v/>
      </c>
      <c r="BI50" s="13">
        <f>BI38*BI49/1000000</f>
        <v/>
      </c>
      <c r="BJ50" s="13">
        <f>BJ38*BJ49/1000000</f>
        <v/>
      </c>
      <c r="BK50" s="13">
        <f>BK38*BK49/1000000</f>
        <v/>
      </c>
      <c r="BL50" s="13">
        <f>BL38*BL49/1000000</f>
        <v/>
      </c>
      <c r="BM50" s="13">
        <f>BM38*BM49/1000000</f>
        <v/>
      </c>
      <c r="BN50" s="13">
        <f>BN38*BN49/1000000</f>
        <v/>
      </c>
    </row>
    <row r="51">
      <c r="D51" t="inlineStr">
        <is>
          <t>Fuel charge (pass-through)</t>
        </is>
      </c>
      <c r="E51" t="inlineStr">
        <is>
          <t>USD m</t>
        </is>
      </c>
      <c r="G51" s="13">
        <f>SUM(J51:BN51)</f>
        <v/>
      </c>
      <c r="J51" s="13">
        <f>J38*J40*(1000*Inputs!$F$123/Inputs!$F$124)*J41/1000000*0.765/(Inputs!$F$38/100)</f>
        <v/>
      </c>
      <c r="K51" s="13">
        <f>K38*K40*(1000*Inputs!$F$123/Inputs!$F$124)*K41/1000000*0.765/(Inputs!$F$38/100)</f>
        <v/>
      </c>
      <c r="L51" s="13">
        <f>L38*L40*(1000*Inputs!$F$123/Inputs!$F$124)*L41/1000000*0.765/(Inputs!$F$38/100)</f>
        <v/>
      </c>
      <c r="M51" s="13">
        <f>M38*M40*(1000*Inputs!$F$123/Inputs!$F$124)*M41/1000000*0.765/(Inputs!$F$38/100)</f>
        <v/>
      </c>
      <c r="N51" s="13">
        <f>N38*N40*(1000*Inputs!$F$123/Inputs!$F$124)*N41/1000000*0.765/(Inputs!$F$38/100)</f>
        <v/>
      </c>
      <c r="O51" s="13">
        <f>O38*O40*(1000*Inputs!$F$123/Inputs!$F$124)*O41/1000000*0.765/(Inputs!$F$38/100)</f>
        <v/>
      </c>
      <c r="P51" s="13">
        <f>P38*P40*(1000*Inputs!$F$123/Inputs!$F$124)*P41/1000000*0.765/(Inputs!$F$38/100)</f>
        <v/>
      </c>
      <c r="Q51" s="13">
        <f>Q38*Q40*(1000*Inputs!$F$123/Inputs!$F$124)*Q41/1000000*0.765/(Inputs!$F$38/100)</f>
        <v/>
      </c>
      <c r="R51" s="13">
        <f>R38*R40*(1000*Inputs!$F$123/Inputs!$F$124)*R41/1000000*0.765/(Inputs!$F$38/100)</f>
        <v/>
      </c>
      <c r="S51" s="13">
        <f>S38*S40*(1000*Inputs!$F$123/Inputs!$F$124)*S41/1000000*0.765/(Inputs!$F$38/100)</f>
        <v/>
      </c>
      <c r="T51" s="13">
        <f>T38*T40*(1000*Inputs!$F$123/Inputs!$F$124)*T41/1000000*0.765/(Inputs!$F$38/100)</f>
        <v/>
      </c>
      <c r="U51" s="13">
        <f>U38*U40*(1000*Inputs!$F$123/Inputs!$F$124)*U41/1000000*0.765/(Inputs!$F$38/100)</f>
        <v/>
      </c>
      <c r="V51" s="13">
        <f>V38*V40*(1000*Inputs!$F$123/Inputs!$F$124)*V41/1000000*0.765/(Inputs!$F$38/100)</f>
        <v/>
      </c>
      <c r="W51" s="13">
        <f>W38*W40*(1000*Inputs!$F$123/Inputs!$F$124)*W41/1000000*0.765/(Inputs!$F$38/100)</f>
        <v/>
      </c>
      <c r="X51" s="13">
        <f>X38*X40*(1000*Inputs!$F$123/Inputs!$F$124)*X41/1000000*0.765/(Inputs!$F$38/100)</f>
        <v/>
      </c>
      <c r="Y51" s="13">
        <f>Y38*Y40*(1000*Inputs!$F$123/Inputs!$F$124)*Y41/1000000*0.765/(Inputs!$F$38/100)</f>
        <v/>
      </c>
      <c r="Z51" s="13">
        <f>Z38*Z40*(1000*Inputs!$F$123/Inputs!$F$124)*Z41/1000000*0.765/(Inputs!$F$38/100)</f>
        <v/>
      </c>
      <c r="AA51" s="13">
        <f>AA38*AA40*(1000*Inputs!$F$123/Inputs!$F$124)*AA41/1000000*0.765/(Inputs!$F$38/100)</f>
        <v/>
      </c>
      <c r="AB51" s="13">
        <f>AB38*AB40*(1000*Inputs!$F$123/Inputs!$F$124)*AB41/1000000*0.765/(Inputs!$F$38/100)</f>
        <v/>
      </c>
      <c r="AC51" s="13">
        <f>AC38*AC40*(1000*Inputs!$F$123/Inputs!$F$124)*AC41/1000000*0.765/(Inputs!$F$38/100)</f>
        <v/>
      </c>
      <c r="AD51" s="13">
        <f>AD38*AD40*(1000*Inputs!$F$123/Inputs!$F$124)*AD41/1000000*0.765/(Inputs!$F$38/100)</f>
        <v/>
      </c>
      <c r="AE51" s="13">
        <f>AE38*AE40*(1000*Inputs!$F$123/Inputs!$F$124)*AE41/1000000*0.765/(Inputs!$F$38/100)</f>
        <v/>
      </c>
      <c r="AF51" s="13">
        <f>AF38*AF40*(1000*Inputs!$F$123/Inputs!$F$124)*AF41/1000000*0.765/(Inputs!$F$38/100)</f>
        <v/>
      </c>
      <c r="AG51" s="13">
        <f>AG38*AG40*(1000*Inputs!$F$123/Inputs!$F$124)*AG41/1000000*0.765/(Inputs!$F$38/100)</f>
        <v/>
      </c>
      <c r="AH51" s="13">
        <f>AH38*AH40*(1000*Inputs!$F$123/Inputs!$F$124)*AH41/1000000*0.765/(Inputs!$F$38/100)</f>
        <v/>
      </c>
      <c r="AI51" s="13">
        <f>AI38*AI40*(1000*Inputs!$F$123/Inputs!$F$124)*AI41/1000000*0.765/(Inputs!$F$38/100)</f>
        <v/>
      </c>
      <c r="AJ51" s="13">
        <f>AJ38*AJ40*(1000*Inputs!$F$123/Inputs!$F$124)*AJ41/1000000*0.765/(Inputs!$F$38/100)</f>
        <v/>
      </c>
      <c r="AK51" s="13">
        <f>AK38*AK40*(1000*Inputs!$F$123/Inputs!$F$124)*AK41/1000000*0.765/(Inputs!$F$38/100)</f>
        <v/>
      </c>
      <c r="AL51" s="13">
        <f>AL38*AL40*(1000*Inputs!$F$123/Inputs!$F$124)*AL41/1000000*0.765/(Inputs!$F$38/100)</f>
        <v/>
      </c>
      <c r="AM51" s="13">
        <f>AM38*AM40*(1000*Inputs!$F$123/Inputs!$F$124)*AM41/1000000*0.765/(Inputs!$F$38/100)</f>
        <v/>
      </c>
      <c r="AN51" s="13">
        <f>AN38*AN40*(1000*Inputs!$F$123/Inputs!$F$124)*AN41/1000000*0.765/(Inputs!$F$38/100)</f>
        <v/>
      </c>
      <c r="AO51" s="13">
        <f>AO38*AO40*(1000*Inputs!$F$123/Inputs!$F$124)*AO41/1000000*0.765/(Inputs!$F$38/100)</f>
        <v/>
      </c>
      <c r="AP51" s="13">
        <f>AP38*AP40*(1000*Inputs!$F$123/Inputs!$F$124)*AP41/1000000*0.765/(Inputs!$F$38/100)</f>
        <v/>
      </c>
      <c r="AQ51" s="13">
        <f>AQ38*AQ40*(1000*Inputs!$F$123/Inputs!$F$124)*AQ41/1000000*0.765/(Inputs!$F$38/100)</f>
        <v/>
      </c>
      <c r="AR51" s="13">
        <f>AR38*AR40*(1000*Inputs!$F$123/Inputs!$F$124)*AR41/1000000*0.765/(Inputs!$F$38/100)</f>
        <v/>
      </c>
      <c r="AS51" s="13">
        <f>AS38*AS40*(1000*Inputs!$F$123/Inputs!$F$124)*AS41/1000000*0.765/(Inputs!$F$38/100)</f>
        <v/>
      </c>
      <c r="AT51" s="13">
        <f>AT38*AT40*(1000*Inputs!$F$123/Inputs!$F$124)*AT41/1000000*0.765/(Inputs!$F$38/100)</f>
        <v/>
      </c>
      <c r="AU51" s="13">
        <f>AU38*AU40*(1000*Inputs!$F$123/Inputs!$F$124)*AU41/1000000*0.765/(Inputs!$F$38/100)</f>
        <v/>
      </c>
      <c r="AV51" s="13">
        <f>AV38*AV40*(1000*Inputs!$F$123/Inputs!$F$124)*AV41/1000000*0.765/(Inputs!$F$38/100)</f>
        <v/>
      </c>
      <c r="AW51" s="13">
        <f>AW38*AW40*(1000*Inputs!$F$123/Inputs!$F$124)*AW41/1000000*0.765/(Inputs!$F$38/100)</f>
        <v/>
      </c>
      <c r="AX51" s="13">
        <f>AX38*AX40*(1000*Inputs!$F$123/Inputs!$F$124)*AX41/1000000*0.765/(Inputs!$F$38/100)</f>
        <v/>
      </c>
      <c r="AY51" s="13">
        <f>AY38*AY40*(1000*Inputs!$F$123/Inputs!$F$124)*AY41/1000000*0.765/(Inputs!$F$38/100)</f>
        <v/>
      </c>
      <c r="AZ51" s="13">
        <f>AZ38*AZ40*(1000*Inputs!$F$123/Inputs!$F$124)*AZ41/1000000*0.765/(Inputs!$F$38/100)</f>
        <v/>
      </c>
      <c r="BA51" s="13">
        <f>BA38*BA40*(1000*Inputs!$F$123/Inputs!$F$124)*BA41/1000000*0.765/(Inputs!$F$38/100)</f>
        <v/>
      </c>
      <c r="BB51" s="13">
        <f>BB38*BB40*(1000*Inputs!$F$123/Inputs!$F$124)*BB41/1000000*0.765/(Inputs!$F$38/100)</f>
        <v/>
      </c>
      <c r="BC51" s="13">
        <f>BC38*BC40*(1000*Inputs!$F$123/Inputs!$F$124)*BC41/1000000*0.765/(Inputs!$F$38/100)</f>
        <v/>
      </c>
      <c r="BD51" s="13">
        <f>BD38*BD40*(1000*Inputs!$F$123/Inputs!$F$124)*BD41/1000000*0.765/(Inputs!$F$38/100)</f>
        <v/>
      </c>
      <c r="BE51" s="13">
        <f>BE38*BE40*(1000*Inputs!$F$123/Inputs!$F$124)*BE41/1000000*0.765/(Inputs!$F$38/100)</f>
        <v/>
      </c>
      <c r="BF51" s="13">
        <f>BF38*BF40*(1000*Inputs!$F$123/Inputs!$F$124)*BF41/1000000*0.765/(Inputs!$F$38/100)</f>
        <v/>
      </c>
      <c r="BG51" s="13">
        <f>BG38*BG40*(1000*Inputs!$F$123/Inputs!$F$124)*BG41/1000000*0.765/(Inputs!$F$38/100)</f>
        <v/>
      </c>
      <c r="BH51" s="13">
        <f>BH38*BH40*(1000*Inputs!$F$123/Inputs!$F$124)*BH41/1000000*0.765/(Inputs!$F$38/100)</f>
        <v/>
      </c>
      <c r="BI51" s="13">
        <f>BI38*BI40*(1000*Inputs!$F$123/Inputs!$F$124)*BI41/1000000*0.765/(Inputs!$F$38/100)</f>
        <v/>
      </c>
      <c r="BJ51" s="13">
        <f>BJ38*BJ40*(1000*Inputs!$F$123/Inputs!$F$124)*BJ41/1000000*0.765/(Inputs!$F$38/100)</f>
        <v/>
      </c>
      <c r="BK51" s="13">
        <f>BK38*BK40*(1000*Inputs!$F$123/Inputs!$F$124)*BK41/1000000*0.765/(Inputs!$F$38/100)</f>
        <v/>
      </c>
      <c r="BL51" s="13">
        <f>BL38*BL40*(1000*Inputs!$F$123/Inputs!$F$124)*BL41/1000000*0.765/(Inputs!$F$38/100)</f>
        <v/>
      </c>
      <c r="BM51" s="13">
        <f>BM38*BM40*(1000*Inputs!$F$123/Inputs!$F$124)*BM41/1000000*0.765/(Inputs!$F$38/100)</f>
        <v/>
      </c>
      <c r="BN51" s="13">
        <f>BN38*BN40*(1000*Inputs!$F$123/Inputs!$F$124)*BN41/1000000*0.765/(Inputs!$F$38/100)</f>
        <v/>
      </c>
    </row>
    <row r="52">
      <c r="D52" t="inlineStr">
        <is>
          <t>GTA reservation charge (pass-through)</t>
        </is>
      </c>
      <c r="E52" t="inlineStr">
        <is>
          <t>USD m</t>
        </is>
      </c>
      <c r="G52" s="13">
        <f>SUM(J52:BN52)</f>
        <v/>
      </c>
      <c r="J52" s="13">
        <f>Inputs!$F$146*Time!J31*Inputs!$F$147*(1+Inputs!$F$149/100)^(Time!J26-Inputs!$F$256)/1000000</f>
        <v/>
      </c>
      <c r="K52" s="13">
        <f>Inputs!$F$146*Time!K31*Inputs!$F$147*(1+Inputs!$F$149/100)^(Time!K26-Inputs!$F$256)/1000000</f>
        <v/>
      </c>
      <c r="L52" s="13">
        <f>Inputs!$F$146*Time!L31*Inputs!$F$147*(1+Inputs!$F$149/100)^(Time!L26-Inputs!$F$256)/1000000</f>
        <v/>
      </c>
      <c r="M52" s="13">
        <f>Inputs!$F$146*Time!M31*Inputs!$F$147*(1+Inputs!$F$149/100)^(Time!M26-Inputs!$F$256)/1000000</f>
        <v/>
      </c>
      <c r="N52" s="13">
        <f>Inputs!$F$146*Time!N31*Inputs!$F$147*(1+Inputs!$F$149/100)^(Time!N26-Inputs!$F$256)/1000000</f>
        <v/>
      </c>
      <c r="O52" s="13">
        <f>Inputs!$F$146*Time!O31*Inputs!$F$147*(1+Inputs!$F$149/100)^(Time!O26-Inputs!$F$256)/1000000</f>
        <v/>
      </c>
      <c r="P52" s="13">
        <f>Inputs!$F$146*Time!P31*Inputs!$F$147*(1+Inputs!$F$149/100)^(Time!P26-Inputs!$F$256)/1000000</f>
        <v/>
      </c>
      <c r="Q52" s="13">
        <f>Inputs!$F$146*Time!Q31*Inputs!$F$147*(1+Inputs!$F$149/100)^(Time!Q26-Inputs!$F$256)/1000000</f>
        <v/>
      </c>
      <c r="R52" s="13">
        <f>Inputs!$F$146*Time!R31*Inputs!$F$147*(1+Inputs!$F$149/100)^(Time!R26-Inputs!$F$256)/1000000</f>
        <v/>
      </c>
      <c r="S52" s="13">
        <f>Inputs!$F$146*Time!S31*Inputs!$F$147*(1+Inputs!$F$149/100)^(Time!S26-Inputs!$F$256)/1000000</f>
        <v/>
      </c>
      <c r="T52" s="13">
        <f>Inputs!$F$146*Time!T31*Inputs!$F$147*(1+Inputs!$F$149/100)^(Time!T26-Inputs!$F$256)/1000000</f>
        <v/>
      </c>
      <c r="U52" s="13">
        <f>Inputs!$F$146*Time!U31*Inputs!$F$147*(1+Inputs!$F$149/100)^(Time!U26-Inputs!$F$256)/1000000</f>
        <v/>
      </c>
      <c r="V52" s="13">
        <f>Inputs!$F$146*Time!V31*Inputs!$F$147*(1+Inputs!$F$149/100)^(Time!V26-Inputs!$F$256)/1000000</f>
        <v/>
      </c>
      <c r="W52" s="13">
        <f>Inputs!$F$146*Time!W31*Inputs!$F$147*(1+Inputs!$F$149/100)^(Time!W26-Inputs!$F$256)/1000000</f>
        <v/>
      </c>
      <c r="X52" s="13">
        <f>Inputs!$F$146*Time!X31*Inputs!$F$147*(1+Inputs!$F$149/100)^(Time!X26-Inputs!$F$256)/1000000</f>
        <v/>
      </c>
      <c r="Y52" s="13">
        <f>Inputs!$F$146*Time!Y31*Inputs!$F$147*(1+Inputs!$F$149/100)^(Time!Y26-Inputs!$F$256)/1000000</f>
        <v/>
      </c>
      <c r="Z52" s="13">
        <f>Inputs!$F$146*Time!Z31*Inputs!$F$147*(1+Inputs!$F$149/100)^(Time!Z26-Inputs!$F$256)/1000000</f>
        <v/>
      </c>
      <c r="AA52" s="13">
        <f>Inputs!$F$146*Time!AA31*Inputs!$F$147*(1+Inputs!$F$149/100)^(Time!AA26-Inputs!$F$256)/1000000</f>
        <v/>
      </c>
      <c r="AB52" s="13">
        <f>Inputs!$F$146*Time!AB31*Inputs!$F$147*(1+Inputs!$F$149/100)^(Time!AB26-Inputs!$F$256)/1000000</f>
        <v/>
      </c>
      <c r="AC52" s="13">
        <f>Inputs!$F$146*Time!AC31*Inputs!$F$147*(1+Inputs!$F$149/100)^(Time!AC26-Inputs!$F$256)/1000000</f>
        <v/>
      </c>
      <c r="AD52" s="13">
        <f>Inputs!$F$146*Time!AD31*Inputs!$F$147*(1+Inputs!$F$149/100)^(Time!AD26-Inputs!$F$256)/1000000</f>
        <v/>
      </c>
      <c r="AE52" s="13">
        <f>Inputs!$F$146*Time!AE31*Inputs!$F$147*(1+Inputs!$F$149/100)^(Time!AE26-Inputs!$F$256)/1000000</f>
        <v/>
      </c>
      <c r="AF52" s="13">
        <f>Inputs!$F$146*Time!AF31*Inputs!$F$147*(1+Inputs!$F$149/100)^(Time!AF26-Inputs!$F$256)/1000000</f>
        <v/>
      </c>
      <c r="AG52" s="13">
        <f>Inputs!$F$146*Time!AG31*Inputs!$F$147*(1+Inputs!$F$149/100)^(Time!AG26-Inputs!$F$256)/1000000</f>
        <v/>
      </c>
      <c r="AH52" s="13">
        <f>Inputs!$F$146*Time!AH31*Inputs!$F$147*(1+Inputs!$F$149/100)^(Time!AH26-Inputs!$F$256)/1000000</f>
        <v/>
      </c>
      <c r="AI52" s="13">
        <f>Inputs!$F$146*Time!AI31*Inputs!$F$147*(1+Inputs!$F$149/100)^(Time!AI26-Inputs!$F$256)/1000000</f>
        <v/>
      </c>
      <c r="AJ52" s="13">
        <f>Inputs!$F$146*Time!AJ31*Inputs!$F$147*(1+Inputs!$F$149/100)^(Time!AJ26-Inputs!$F$256)/1000000</f>
        <v/>
      </c>
      <c r="AK52" s="13">
        <f>Inputs!$F$146*Time!AK31*Inputs!$F$147*(1+Inputs!$F$149/100)^(Time!AK26-Inputs!$F$256)/1000000</f>
        <v/>
      </c>
      <c r="AL52" s="13">
        <f>Inputs!$F$146*Time!AL31*Inputs!$F$147*(1+Inputs!$F$149/100)^(Time!AL26-Inputs!$F$256)/1000000</f>
        <v/>
      </c>
      <c r="AM52" s="13">
        <f>Inputs!$F$146*Time!AM31*Inputs!$F$147*(1+Inputs!$F$149/100)^(Time!AM26-Inputs!$F$256)/1000000</f>
        <v/>
      </c>
      <c r="AN52" s="13">
        <f>Inputs!$F$146*Time!AN31*Inputs!$F$147*(1+Inputs!$F$149/100)^(Time!AN26-Inputs!$F$256)/1000000</f>
        <v/>
      </c>
      <c r="AO52" s="13">
        <f>Inputs!$F$146*Time!AO31*Inputs!$F$147*(1+Inputs!$F$149/100)^(Time!AO26-Inputs!$F$256)/1000000</f>
        <v/>
      </c>
      <c r="AP52" s="13">
        <f>Inputs!$F$146*Time!AP31*Inputs!$F$147*(1+Inputs!$F$149/100)^(Time!AP26-Inputs!$F$256)/1000000</f>
        <v/>
      </c>
      <c r="AQ52" s="13">
        <f>Inputs!$F$146*Time!AQ31*Inputs!$F$147*(1+Inputs!$F$149/100)^(Time!AQ26-Inputs!$F$256)/1000000</f>
        <v/>
      </c>
      <c r="AR52" s="13">
        <f>Inputs!$F$146*Time!AR31*Inputs!$F$147*(1+Inputs!$F$149/100)^(Time!AR26-Inputs!$F$256)/1000000</f>
        <v/>
      </c>
      <c r="AS52" s="13">
        <f>Inputs!$F$146*Time!AS31*Inputs!$F$147*(1+Inputs!$F$149/100)^(Time!AS26-Inputs!$F$256)/1000000</f>
        <v/>
      </c>
      <c r="AT52" s="13">
        <f>Inputs!$F$146*Time!AT31*Inputs!$F$147*(1+Inputs!$F$149/100)^(Time!AT26-Inputs!$F$256)/1000000</f>
        <v/>
      </c>
      <c r="AU52" s="13">
        <f>Inputs!$F$146*Time!AU31*Inputs!$F$147*(1+Inputs!$F$149/100)^(Time!AU26-Inputs!$F$256)/1000000</f>
        <v/>
      </c>
      <c r="AV52" s="13">
        <f>Inputs!$F$146*Time!AV31*Inputs!$F$147*(1+Inputs!$F$149/100)^(Time!AV26-Inputs!$F$256)/1000000</f>
        <v/>
      </c>
      <c r="AW52" s="13">
        <f>Inputs!$F$146*Time!AW31*Inputs!$F$147*(1+Inputs!$F$149/100)^(Time!AW26-Inputs!$F$256)/1000000</f>
        <v/>
      </c>
      <c r="AX52" s="13">
        <f>Inputs!$F$146*Time!AX31*Inputs!$F$147*(1+Inputs!$F$149/100)^(Time!AX26-Inputs!$F$256)/1000000</f>
        <v/>
      </c>
      <c r="AY52" s="13">
        <f>Inputs!$F$146*Time!AY31*Inputs!$F$147*(1+Inputs!$F$149/100)^(Time!AY26-Inputs!$F$256)/1000000</f>
        <v/>
      </c>
      <c r="AZ52" s="13">
        <f>Inputs!$F$146*Time!AZ31*Inputs!$F$147*(1+Inputs!$F$149/100)^(Time!AZ26-Inputs!$F$256)/1000000</f>
        <v/>
      </c>
      <c r="BA52" s="13">
        <f>Inputs!$F$146*Time!BA31*Inputs!$F$147*(1+Inputs!$F$149/100)^(Time!BA26-Inputs!$F$256)/1000000</f>
        <v/>
      </c>
      <c r="BB52" s="13">
        <f>Inputs!$F$146*Time!BB31*Inputs!$F$147*(1+Inputs!$F$149/100)^(Time!BB26-Inputs!$F$256)/1000000</f>
        <v/>
      </c>
      <c r="BC52" s="13">
        <f>Inputs!$F$146*Time!BC31*Inputs!$F$147*(1+Inputs!$F$149/100)^(Time!BC26-Inputs!$F$256)/1000000</f>
        <v/>
      </c>
      <c r="BD52" s="13">
        <f>Inputs!$F$146*Time!BD31*Inputs!$F$147*(1+Inputs!$F$149/100)^(Time!BD26-Inputs!$F$256)/1000000</f>
        <v/>
      </c>
      <c r="BE52" s="13">
        <f>Inputs!$F$146*Time!BE31*Inputs!$F$147*(1+Inputs!$F$149/100)^(Time!BE26-Inputs!$F$256)/1000000</f>
        <v/>
      </c>
      <c r="BF52" s="13">
        <f>Inputs!$F$146*Time!BF31*Inputs!$F$147*(1+Inputs!$F$149/100)^(Time!BF26-Inputs!$F$256)/1000000</f>
        <v/>
      </c>
      <c r="BG52" s="13">
        <f>Inputs!$F$146*Time!BG31*Inputs!$F$147*(1+Inputs!$F$149/100)^(Time!BG26-Inputs!$F$256)/1000000</f>
        <v/>
      </c>
      <c r="BH52" s="13">
        <f>Inputs!$F$146*Time!BH31*Inputs!$F$147*(1+Inputs!$F$149/100)^(Time!BH26-Inputs!$F$256)/1000000</f>
        <v/>
      </c>
      <c r="BI52" s="13">
        <f>Inputs!$F$146*Time!BI31*Inputs!$F$147*(1+Inputs!$F$149/100)^(Time!BI26-Inputs!$F$256)/1000000</f>
        <v/>
      </c>
      <c r="BJ52" s="13">
        <f>Inputs!$F$146*Time!BJ31*Inputs!$F$147*(1+Inputs!$F$149/100)^(Time!BJ26-Inputs!$F$256)/1000000</f>
        <v/>
      </c>
      <c r="BK52" s="13">
        <f>Inputs!$F$146*Time!BK31*Inputs!$F$147*(1+Inputs!$F$149/100)^(Time!BK26-Inputs!$F$256)/1000000</f>
        <v/>
      </c>
      <c r="BL52" s="13">
        <f>Inputs!$F$146*Time!BL31*Inputs!$F$147*(1+Inputs!$F$149/100)^(Time!BL26-Inputs!$F$256)/1000000</f>
        <v/>
      </c>
      <c r="BM52" s="13">
        <f>Inputs!$F$146*Time!BM31*Inputs!$F$147*(1+Inputs!$F$149/100)^(Time!BM26-Inputs!$F$256)/1000000</f>
        <v/>
      </c>
      <c r="BN52" s="13">
        <f>Inputs!$F$146*Time!BN31*Inputs!$F$147*(1+Inputs!$F$149/100)^(Time!BN26-Inputs!$F$256)/1000000</f>
        <v/>
      </c>
    </row>
    <row r="53">
      <c r="D53" t="inlineStr">
        <is>
          <t>GTA commodity charge (pass-through)</t>
        </is>
      </c>
      <c r="E53" t="inlineStr">
        <is>
          <t>USD m</t>
        </is>
      </c>
      <c r="G53" s="13">
        <f>SUM(J53:BN53)</f>
        <v/>
      </c>
      <c r="J53" s="13">
        <f>J42*Inputs!$F$148*(1+Inputs!$F$149/100)^(Time!J26-Inputs!$F$256)/1000000</f>
        <v/>
      </c>
      <c r="K53" s="13">
        <f>K42*Inputs!$F$148*(1+Inputs!$F$149/100)^(Time!K26-Inputs!$F$256)/1000000</f>
        <v/>
      </c>
      <c r="L53" s="13">
        <f>L42*Inputs!$F$148*(1+Inputs!$F$149/100)^(Time!L26-Inputs!$F$256)/1000000</f>
        <v/>
      </c>
      <c r="M53" s="13">
        <f>M42*Inputs!$F$148*(1+Inputs!$F$149/100)^(Time!M26-Inputs!$F$256)/1000000</f>
        <v/>
      </c>
      <c r="N53" s="13">
        <f>N42*Inputs!$F$148*(1+Inputs!$F$149/100)^(Time!N26-Inputs!$F$256)/1000000</f>
        <v/>
      </c>
      <c r="O53" s="13">
        <f>O42*Inputs!$F$148*(1+Inputs!$F$149/100)^(Time!O26-Inputs!$F$256)/1000000</f>
        <v/>
      </c>
      <c r="P53" s="13">
        <f>P42*Inputs!$F$148*(1+Inputs!$F$149/100)^(Time!P26-Inputs!$F$256)/1000000</f>
        <v/>
      </c>
      <c r="Q53" s="13">
        <f>Q42*Inputs!$F$148*(1+Inputs!$F$149/100)^(Time!Q26-Inputs!$F$256)/1000000</f>
        <v/>
      </c>
      <c r="R53" s="13">
        <f>R42*Inputs!$F$148*(1+Inputs!$F$149/100)^(Time!R26-Inputs!$F$256)/1000000</f>
        <v/>
      </c>
      <c r="S53" s="13">
        <f>S42*Inputs!$F$148*(1+Inputs!$F$149/100)^(Time!S26-Inputs!$F$256)/1000000</f>
        <v/>
      </c>
      <c r="T53" s="13">
        <f>T42*Inputs!$F$148*(1+Inputs!$F$149/100)^(Time!T26-Inputs!$F$256)/1000000</f>
        <v/>
      </c>
      <c r="U53" s="13">
        <f>U42*Inputs!$F$148*(1+Inputs!$F$149/100)^(Time!U26-Inputs!$F$256)/1000000</f>
        <v/>
      </c>
      <c r="V53" s="13">
        <f>V42*Inputs!$F$148*(1+Inputs!$F$149/100)^(Time!V26-Inputs!$F$256)/1000000</f>
        <v/>
      </c>
      <c r="W53" s="13">
        <f>W42*Inputs!$F$148*(1+Inputs!$F$149/100)^(Time!W26-Inputs!$F$256)/1000000</f>
        <v/>
      </c>
      <c r="X53" s="13">
        <f>X42*Inputs!$F$148*(1+Inputs!$F$149/100)^(Time!X26-Inputs!$F$256)/1000000</f>
        <v/>
      </c>
      <c r="Y53" s="13">
        <f>Y42*Inputs!$F$148*(1+Inputs!$F$149/100)^(Time!Y26-Inputs!$F$256)/1000000</f>
        <v/>
      </c>
      <c r="Z53" s="13">
        <f>Z42*Inputs!$F$148*(1+Inputs!$F$149/100)^(Time!Z26-Inputs!$F$256)/1000000</f>
        <v/>
      </c>
      <c r="AA53" s="13">
        <f>AA42*Inputs!$F$148*(1+Inputs!$F$149/100)^(Time!AA26-Inputs!$F$256)/1000000</f>
        <v/>
      </c>
      <c r="AB53" s="13">
        <f>AB42*Inputs!$F$148*(1+Inputs!$F$149/100)^(Time!AB26-Inputs!$F$256)/1000000</f>
        <v/>
      </c>
      <c r="AC53" s="13">
        <f>AC42*Inputs!$F$148*(1+Inputs!$F$149/100)^(Time!AC26-Inputs!$F$256)/1000000</f>
        <v/>
      </c>
      <c r="AD53" s="13">
        <f>AD42*Inputs!$F$148*(1+Inputs!$F$149/100)^(Time!AD26-Inputs!$F$256)/1000000</f>
        <v/>
      </c>
      <c r="AE53" s="13">
        <f>AE42*Inputs!$F$148*(1+Inputs!$F$149/100)^(Time!AE26-Inputs!$F$256)/1000000</f>
        <v/>
      </c>
      <c r="AF53" s="13">
        <f>AF42*Inputs!$F$148*(1+Inputs!$F$149/100)^(Time!AF26-Inputs!$F$256)/1000000</f>
        <v/>
      </c>
      <c r="AG53" s="13">
        <f>AG42*Inputs!$F$148*(1+Inputs!$F$149/100)^(Time!AG26-Inputs!$F$256)/1000000</f>
        <v/>
      </c>
      <c r="AH53" s="13">
        <f>AH42*Inputs!$F$148*(1+Inputs!$F$149/100)^(Time!AH26-Inputs!$F$256)/1000000</f>
        <v/>
      </c>
      <c r="AI53" s="13">
        <f>AI42*Inputs!$F$148*(1+Inputs!$F$149/100)^(Time!AI26-Inputs!$F$256)/1000000</f>
        <v/>
      </c>
      <c r="AJ53" s="13">
        <f>AJ42*Inputs!$F$148*(1+Inputs!$F$149/100)^(Time!AJ26-Inputs!$F$256)/1000000</f>
        <v/>
      </c>
      <c r="AK53" s="13">
        <f>AK42*Inputs!$F$148*(1+Inputs!$F$149/100)^(Time!AK26-Inputs!$F$256)/1000000</f>
        <v/>
      </c>
      <c r="AL53" s="13">
        <f>AL42*Inputs!$F$148*(1+Inputs!$F$149/100)^(Time!AL26-Inputs!$F$256)/1000000</f>
        <v/>
      </c>
      <c r="AM53" s="13">
        <f>AM42*Inputs!$F$148*(1+Inputs!$F$149/100)^(Time!AM26-Inputs!$F$256)/1000000</f>
        <v/>
      </c>
      <c r="AN53" s="13">
        <f>AN42*Inputs!$F$148*(1+Inputs!$F$149/100)^(Time!AN26-Inputs!$F$256)/1000000</f>
        <v/>
      </c>
      <c r="AO53" s="13">
        <f>AO42*Inputs!$F$148*(1+Inputs!$F$149/100)^(Time!AO26-Inputs!$F$256)/1000000</f>
        <v/>
      </c>
      <c r="AP53" s="13">
        <f>AP42*Inputs!$F$148*(1+Inputs!$F$149/100)^(Time!AP26-Inputs!$F$256)/1000000</f>
        <v/>
      </c>
      <c r="AQ53" s="13">
        <f>AQ42*Inputs!$F$148*(1+Inputs!$F$149/100)^(Time!AQ26-Inputs!$F$256)/1000000</f>
        <v/>
      </c>
      <c r="AR53" s="13">
        <f>AR42*Inputs!$F$148*(1+Inputs!$F$149/100)^(Time!AR26-Inputs!$F$256)/1000000</f>
        <v/>
      </c>
      <c r="AS53" s="13">
        <f>AS42*Inputs!$F$148*(1+Inputs!$F$149/100)^(Time!AS26-Inputs!$F$256)/1000000</f>
        <v/>
      </c>
      <c r="AT53" s="13">
        <f>AT42*Inputs!$F$148*(1+Inputs!$F$149/100)^(Time!AT26-Inputs!$F$256)/1000000</f>
        <v/>
      </c>
      <c r="AU53" s="13">
        <f>AU42*Inputs!$F$148*(1+Inputs!$F$149/100)^(Time!AU26-Inputs!$F$256)/1000000</f>
        <v/>
      </c>
      <c r="AV53" s="13">
        <f>AV42*Inputs!$F$148*(1+Inputs!$F$149/100)^(Time!AV26-Inputs!$F$256)/1000000</f>
        <v/>
      </c>
      <c r="AW53" s="13">
        <f>AW42*Inputs!$F$148*(1+Inputs!$F$149/100)^(Time!AW26-Inputs!$F$256)/1000000</f>
        <v/>
      </c>
      <c r="AX53" s="13">
        <f>AX42*Inputs!$F$148*(1+Inputs!$F$149/100)^(Time!AX26-Inputs!$F$256)/1000000</f>
        <v/>
      </c>
      <c r="AY53" s="13">
        <f>AY42*Inputs!$F$148*(1+Inputs!$F$149/100)^(Time!AY26-Inputs!$F$256)/1000000</f>
        <v/>
      </c>
      <c r="AZ53" s="13">
        <f>AZ42*Inputs!$F$148*(1+Inputs!$F$149/100)^(Time!AZ26-Inputs!$F$256)/1000000</f>
        <v/>
      </c>
      <c r="BA53" s="13">
        <f>BA42*Inputs!$F$148*(1+Inputs!$F$149/100)^(Time!BA26-Inputs!$F$256)/1000000</f>
        <v/>
      </c>
      <c r="BB53" s="13">
        <f>BB42*Inputs!$F$148*(1+Inputs!$F$149/100)^(Time!BB26-Inputs!$F$256)/1000000</f>
        <v/>
      </c>
      <c r="BC53" s="13">
        <f>BC42*Inputs!$F$148*(1+Inputs!$F$149/100)^(Time!BC26-Inputs!$F$256)/1000000</f>
        <v/>
      </c>
      <c r="BD53" s="13">
        <f>BD42*Inputs!$F$148*(1+Inputs!$F$149/100)^(Time!BD26-Inputs!$F$256)/1000000</f>
        <v/>
      </c>
      <c r="BE53" s="13">
        <f>BE42*Inputs!$F$148*(1+Inputs!$F$149/100)^(Time!BE26-Inputs!$F$256)/1000000</f>
        <v/>
      </c>
      <c r="BF53" s="13">
        <f>BF42*Inputs!$F$148*(1+Inputs!$F$149/100)^(Time!BF26-Inputs!$F$256)/1000000</f>
        <v/>
      </c>
      <c r="BG53" s="13">
        <f>BG42*Inputs!$F$148*(1+Inputs!$F$149/100)^(Time!BG26-Inputs!$F$256)/1000000</f>
        <v/>
      </c>
      <c r="BH53" s="13">
        <f>BH42*Inputs!$F$148*(1+Inputs!$F$149/100)^(Time!BH26-Inputs!$F$256)/1000000</f>
        <v/>
      </c>
      <c r="BI53" s="13">
        <f>BI42*Inputs!$F$148*(1+Inputs!$F$149/100)^(Time!BI26-Inputs!$F$256)/1000000</f>
        <v/>
      </c>
      <c r="BJ53" s="13">
        <f>BJ42*Inputs!$F$148*(1+Inputs!$F$149/100)^(Time!BJ26-Inputs!$F$256)/1000000</f>
        <v/>
      </c>
      <c r="BK53" s="13">
        <f>BK42*Inputs!$F$148*(1+Inputs!$F$149/100)^(Time!BK26-Inputs!$F$256)/1000000</f>
        <v/>
      </c>
      <c r="BL53" s="13">
        <f>BL42*Inputs!$F$148*(1+Inputs!$F$149/100)^(Time!BL26-Inputs!$F$256)/1000000</f>
        <v/>
      </c>
      <c r="BM53" s="13">
        <f>BM42*Inputs!$F$148*(1+Inputs!$F$149/100)^(Time!BM26-Inputs!$F$256)/1000000</f>
        <v/>
      </c>
      <c r="BN53" s="13">
        <f>BN42*Inputs!$F$148*(1+Inputs!$F$149/100)^(Time!BN26-Inputs!$F$256)/1000000</f>
        <v/>
      </c>
    </row>
    <row r="54">
      <c r="D54" t="inlineStr">
        <is>
          <t>Take-or-pay payment (pass-through)</t>
        </is>
      </c>
      <c r="E54" t="inlineStr">
        <is>
          <t>USD m</t>
        </is>
      </c>
      <c r="G54" s="13">
        <f>SUM(J54:BN54)</f>
        <v/>
      </c>
      <c r="J54" s="13">
        <f>MAX(0,J43-J42)*J41/1000000</f>
        <v/>
      </c>
      <c r="K54" s="13">
        <f>MAX(0,K43-K42)*K41/1000000</f>
        <v/>
      </c>
      <c r="L54" s="13">
        <f>MAX(0,L43-L42)*L41/1000000</f>
        <v/>
      </c>
      <c r="M54" s="13">
        <f>MAX(0,M43-M42)*M41/1000000</f>
        <v/>
      </c>
      <c r="N54" s="13">
        <f>MAX(0,N43-N42)*N41/1000000</f>
        <v/>
      </c>
      <c r="O54" s="13">
        <f>MAX(0,O43-O42)*O41/1000000</f>
        <v/>
      </c>
      <c r="P54" s="13">
        <f>MAX(0,P43-P42)*P41/1000000</f>
        <v/>
      </c>
      <c r="Q54" s="13">
        <f>MAX(0,Q43-Q42)*Q41/1000000</f>
        <v/>
      </c>
      <c r="R54" s="13">
        <f>MAX(0,R43-R42)*R41/1000000</f>
        <v/>
      </c>
      <c r="S54" s="13">
        <f>MAX(0,S43-S42)*S41/1000000</f>
        <v/>
      </c>
      <c r="T54" s="13">
        <f>MAX(0,T43-T42)*T41/1000000</f>
        <v/>
      </c>
      <c r="U54" s="13">
        <f>MAX(0,U43-U42)*U41/1000000</f>
        <v/>
      </c>
      <c r="V54" s="13">
        <f>MAX(0,V43-V42)*V41/1000000</f>
        <v/>
      </c>
      <c r="W54" s="13">
        <f>MAX(0,W43-W42)*W41/1000000</f>
        <v/>
      </c>
      <c r="X54" s="13">
        <f>MAX(0,X43-X42)*X41/1000000</f>
        <v/>
      </c>
      <c r="Y54" s="13">
        <f>MAX(0,Y43-Y42)*Y41/1000000</f>
        <v/>
      </c>
      <c r="Z54" s="13">
        <f>MAX(0,Z43-Z42)*Z41/1000000</f>
        <v/>
      </c>
      <c r="AA54" s="13">
        <f>MAX(0,AA43-AA42)*AA41/1000000</f>
        <v/>
      </c>
      <c r="AB54" s="13">
        <f>MAX(0,AB43-AB42)*AB41/1000000</f>
        <v/>
      </c>
      <c r="AC54" s="13">
        <f>MAX(0,AC43-AC42)*AC41/1000000</f>
        <v/>
      </c>
      <c r="AD54" s="13">
        <f>MAX(0,AD43-AD42)*AD41/1000000</f>
        <v/>
      </c>
      <c r="AE54" s="13">
        <f>MAX(0,AE43-AE42)*AE41/1000000</f>
        <v/>
      </c>
      <c r="AF54" s="13">
        <f>MAX(0,AF43-AF42)*AF41/1000000</f>
        <v/>
      </c>
      <c r="AG54" s="13">
        <f>MAX(0,AG43-AG42)*AG41/1000000</f>
        <v/>
      </c>
      <c r="AH54" s="13">
        <f>MAX(0,AH43-AH42)*AH41/1000000</f>
        <v/>
      </c>
      <c r="AI54" s="13">
        <f>MAX(0,AI43-AI42)*AI41/1000000</f>
        <v/>
      </c>
      <c r="AJ54" s="13">
        <f>MAX(0,AJ43-AJ42)*AJ41/1000000</f>
        <v/>
      </c>
      <c r="AK54" s="13">
        <f>MAX(0,AK43-AK42)*AK41/1000000</f>
        <v/>
      </c>
      <c r="AL54" s="13">
        <f>MAX(0,AL43-AL42)*AL41/1000000</f>
        <v/>
      </c>
      <c r="AM54" s="13">
        <f>MAX(0,AM43-AM42)*AM41/1000000</f>
        <v/>
      </c>
      <c r="AN54" s="13">
        <f>MAX(0,AN43-AN42)*AN41/1000000</f>
        <v/>
      </c>
      <c r="AO54" s="13">
        <f>MAX(0,AO43-AO42)*AO41/1000000</f>
        <v/>
      </c>
      <c r="AP54" s="13">
        <f>MAX(0,AP43-AP42)*AP41/1000000</f>
        <v/>
      </c>
      <c r="AQ54" s="13">
        <f>MAX(0,AQ43-AQ42)*AQ41/1000000</f>
        <v/>
      </c>
      <c r="AR54" s="13">
        <f>MAX(0,AR43-AR42)*AR41/1000000</f>
        <v/>
      </c>
      <c r="AS54" s="13">
        <f>MAX(0,AS43-AS42)*AS41/1000000</f>
        <v/>
      </c>
      <c r="AT54" s="13">
        <f>MAX(0,AT43-AT42)*AT41/1000000</f>
        <v/>
      </c>
      <c r="AU54" s="13">
        <f>MAX(0,AU43-AU42)*AU41/1000000</f>
        <v/>
      </c>
      <c r="AV54" s="13">
        <f>MAX(0,AV43-AV42)*AV41/1000000</f>
        <v/>
      </c>
      <c r="AW54" s="13">
        <f>MAX(0,AW43-AW42)*AW41/1000000</f>
        <v/>
      </c>
      <c r="AX54" s="13">
        <f>MAX(0,AX43-AX42)*AX41/1000000</f>
        <v/>
      </c>
      <c r="AY54" s="13">
        <f>MAX(0,AY43-AY42)*AY41/1000000</f>
        <v/>
      </c>
      <c r="AZ54" s="13">
        <f>MAX(0,AZ43-AZ42)*AZ41/1000000</f>
        <v/>
      </c>
      <c r="BA54" s="13">
        <f>MAX(0,BA43-BA42)*BA41/1000000</f>
        <v/>
      </c>
      <c r="BB54" s="13">
        <f>MAX(0,BB43-BB42)*BB41/1000000</f>
        <v/>
      </c>
      <c r="BC54" s="13">
        <f>MAX(0,BC43-BC42)*BC41/1000000</f>
        <v/>
      </c>
      <c r="BD54" s="13">
        <f>MAX(0,BD43-BD42)*BD41/1000000</f>
        <v/>
      </c>
      <c r="BE54" s="13">
        <f>MAX(0,BE43-BE42)*BE41/1000000</f>
        <v/>
      </c>
      <c r="BF54" s="13">
        <f>MAX(0,BF43-BF42)*BF41/1000000</f>
        <v/>
      </c>
      <c r="BG54" s="13">
        <f>MAX(0,BG43-BG42)*BG41/1000000</f>
        <v/>
      </c>
      <c r="BH54" s="13">
        <f>MAX(0,BH43-BH42)*BH41/1000000</f>
        <v/>
      </c>
      <c r="BI54" s="13">
        <f>MAX(0,BI43-BI42)*BI41/1000000</f>
        <v/>
      </c>
      <c r="BJ54" s="13">
        <f>MAX(0,BJ43-BJ42)*BJ41/1000000</f>
        <v/>
      </c>
      <c r="BK54" s="13">
        <f>MAX(0,BK43-BK42)*BK41/1000000</f>
        <v/>
      </c>
      <c r="BL54" s="13">
        <f>MAX(0,BL43-BL42)*BL41/1000000</f>
        <v/>
      </c>
      <c r="BM54" s="13">
        <f>MAX(0,BM43-BM42)*BM41/1000000</f>
        <v/>
      </c>
      <c r="BN54" s="13">
        <f>MAX(0,BN43-BN42)*BN41/1000000</f>
        <v/>
      </c>
    </row>
    <row r="55">
      <c r="D55" t="inlineStr">
        <is>
          <t>Non-fuel revenue</t>
        </is>
      </c>
      <c r="E55" t="inlineStr">
        <is>
          <t>USD m</t>
        </is>
      </c>
      <c r="G55" s="13">
        <f>SUM(J55:BN55)</f>
        <v/>
      </c>
      <c r="J55" s="13">
        <f>J48+J50</f>
        <v/>
      </c>
      <c r="K55" s="13">
        <f>K48+K50</f>
        <v/>
      </c>
      <c r="L55" s="13">
        <f>L48+L50</f>
        <v/>
      </c>
      <c r="M55" s="13">
        <f>M48+M50</f>
        <v/>
      </c>
      <c r="N55" s="13">
        <f>N48+N50</f>
        <v/>
      </c>
      <c r="O55" s="13">
        <f>O48+O50</f>
        <v/>
      </c>
      <c r="P55" s="13">
        <f>P48+P50</f>
        <v/>
      </c>
      <c r="Q55" s="13">
        <f>Q48+Q50</f>
        <v/>
      </c>
      <c r="R55" s="13">
        <f>R48+R50</f>
        <v/>
      </c>
      <c r="S55" s="13">
        <f>S48+S50</f>
        <v/>
      </c>
      <c r="T55" s="13">
        <f>T48+T50</f>
        <v/>
      </c>
      <c r="U55" s="13">
        <f>U48+U50</f>
        <v/>
      </c>
      <c r="V55" s="13">
        <f>V48+V50</f>
        <v/>
      </c>
      <c r="W55" s="13">
        <f>W48+W50</f>
        <v/>
      </c>
      <c r="X55" s="13">
        <f>X48+X50</f>
        <v/>
      </c>
      <c r="Y55" s="13">
        <f>Y48+Y50</f>
        <v/>
      </c>
      <c r="Z55" s="13">
        <f>Z48+Z50</f>
        <v/>
      </c>
      <c r="AA55" s="13">
        <f>AA48+AA50</f>
        <v/>
      </c>
      <c r="AB55" s="13">
        <f>AB48+AB50</f>
        <v/>
      </c>
      <c r="AC55" s="13">
        <f>AC48+AC50</f>
        <v/>
      </c>
      <c r="AD55" s="13">
        <f>AD48+AD50</f>
        <v/>
      </c>
      <c r="AE55" s="13">
        <f>AE48+AE50</f>
        <v/>
      </c>
      <c r="AF55" s="13">
        <f>AF48+AF50</f>
        <v/>
      </c>
      <c r="AG55" s="13">
        <f>AG48+AG50</f>
        <v/>
      </c>
      <c r="AH55" s="13">
        <f>AH48+AH50</f>
        <v/>
      </c>
      <c r="AI55" s="13">
        <f>AI48+AI50</f>
        <v/>
      </c>
      <c r="AJ55" s="13">
        <f>AJ48+AJ50</f>
        <v/>
      </c>
      <c r="AK55" s="13">
        <f>AK48+AK50</f>
        <v/>
      </c>
      <c r="AL55" s="13">
        <f>AL48+AL50</f>
        <v/>
      </c>
      <c r="AM55" s="13">
        <f>AM48+AM50</f>
        <v/>
      </c>
      <c r="AN55" s="13">
        <f>AN48+AN50</f>
        <v/>
      </c>
      <c r="AO55" s="13">
        <f>AO48+AO50</f>
        <v/>
      </c>
      <c r="AP55" s="13">
        <f>AP48+AP50</f>
        <v/>
      </c>
      <c r="AQ55" s="13">
        <f>AQ48+AQ50</f>
        <v/>
      </c>
      <c r="AR55" s="13">
        <f>AR48+AR50</f>
        <v/>
      </c>
      <c r="AS55" s="13">
        <f>AS48+AS50</f>
        <v/>
      </c>
      <c r="AT55" s="13">
        <f>AT48+AT50</f>
        <v/>
      </c>
      <c r="AU55" s="13">
        <f>AU48+AU50</f>
        <v/>
      </c>
      <c r="AV55" s="13">
        <f>AV48+AV50</f>
        <v/>
      </c>
      <c r="AW55" s="13">
        <f>AW48+AW50</f>
        <v/>
      </c>
      <c r="AX55" s="13">
        <f>AX48+AX50</f>
        <v/>
      </c>
      <c r="AY55" s="13">
        <f>AY48+AY50</f>
        <v/>
      </c>
      <c r="AZ55" s="13">
        <f>AZ48+AZ50</f>
        <v/>
      </c>
      <c r="BA55" s="13">
        <f>BA48+BA50</f>
        <v/>
      </c>
      <c r="BB55" s="13">
        <f>BB48+BB50</f>
        <v/>
      </c>
      <c r="BC55" s="13">
        <f>BC48+BC50</f>
        <v/>
      </c>
      <c r="BD55" s="13">
        <f>BD48+BD50</f>
        <v/>
      </c>
      <c r="BE55" s="13">
        <f>BE48+BE50</f>
        <v/>
      </c>
      <c r="BF55" s="13">
        <f>BF48+BF50</f>
        <v/>
      </c>
      <c r="BG55" s="13">
        <f>BG48+BG50</f>
        <v/>
      </c>
      <c r="BH55" s="13">
        <f>BH48+BH50</f>
        <v/>
      </c>
      <c r="BI55" s="13">
        <f>BI48+BI50</f>
        <v/>
      </c>
      <c r="BJ55" s="13">
        <f>BJ48+BJ50</f>
        <v/>
      </c>
      <c r="BK55" s="13">
        <f>BK48+BK50</f>
        <v/>
      </c>
      <c r="BL55" s="13">
        <f>BL48+BL50</f>
        <v/>
      </c>
      <c r="BM55" s="13">
        <f>BM48+BM50</f>
        <v/>
      </c>
      <c r="BN55" s="13">
        <f>BN48+BN50</f>
        <v/>
      </c>
    </row>
    <row r="56">
      <c r="D56" t="inlineStr">
        <is>
          <t>Total revenue</t>
        </is>
      </c>
      <c r="E56" t="inlineStr">
        <is>
          <t>USD m</t>
        </is>
      </c>
      <c r="G56" s="13">
        <f>SUM(J56:BN56)</f>
        <v/>
      </c>
      <c r="J56" s="13">
        <f>J55+J51+J52+J53+J54</f>
        <v/>
      </c>
      <c r="K56" s="13">
        <f>K55+K51+K52+K53+K54</f>
        <v/>
      </c>
      <c r="L56" s="13">
        <f>L55+L51+L52+L53+L54</f>
        <v/>
      </c>
      <c r="M56" s="13">
        <f>M55+M51+M52+M53+M54</f>
        <v/>
      </c>
      <c r="N56" s="13">
        <f>N55+N51+N52+N53+N54</f>
        <v/>
      </c>
      <c r="O56" s="13">
        <f>O55+O51+O52+O53+O54</f>
        <v/>
      </c>
      <c r="P56" s="13">
        <f>P55+P51+P52+P53+P54</f>
        <v/>
      </c>
      <c r="Q56" s="13">
        <f>Q55+Q51+Q52+Q53+Q54</f>
        <v/>
      </c>
      <c r="R56" s="13">
        <f>R55+R51+R52+R53+R54</f>
        <v/>
      </c>
      <c r="S56" s="13">
        <f>S55+S51+S52+S53+S54</f>
        <v/>
      </c>
      <c r="T56" s="13">
        <f>T55+T51+T52+T53+T54</f>
        <v/>
      </c>
      <c r="U56" s="13">
        <f>U55+U51+U52+U53+U54</f>
        <v/>
      </c>
      <c r="V56" s="13">
        <f>V55+V51+V52+V53+V54</f>
        <v/>
      </c>
      <c r="W56" s="13">
        <f>W55+W51+W52+W53+W54</f>
        <v/>
      </c>
      <c r="X56" s="13">
        <f>X55+X51+X52+X53+X54</f>
        <v/>
      </c>
      <c r="Y56" s="13">
        <f>Y55+Y51+Y52+Y53+Y54</f>
        <v/>
      </c>
      <c r="Z56" s="13">
        <f>Z55+Z51+Z52+Z53+Z54</f>
        <v/>
      </c>
      <c r="AA56" s="13">
        <f>AA55+AA51+AA52+AA53+AA54</f>
        <v/>
      </c>
      <c r="AB56" s="13">
        <f>AB55+AB51+AB52+AB53+AB54</f>
        <v/>
      </c>
      <c r="AC56" s="13">
        <f>AC55+AC51+AC52+AC53+AC54</f>
        <v/>
      </c>
      <c r="AD56" s="13">
        <f>AD55+AD51+AD52+AD53+AD54</f>
        <v/>
      </c>
      <c r="AE56" s="13">
        <f>AE55+AE51+AE52+AE53+AE54</f>
        <v/>
      </c>
      <c r="AF56" s="13">
        <f>AF55+AF51+AF52+AF53+AF54</f>
        <v/>
      </c>
      <c r="AG56" s="13">
        <f>AG55+AG51+AG52+AG53+AG54</f>
        <v/>
      </c>
      <c r="AH56" s="13">
        <f>AH55+AH51+AH52+AH53+AH54</f>
        <v/>
      </c>
      <c r="AI56" s="13">
        <f>AI55+AI51+AI52+AI53+AI54</f>
        <v/>
      </c>
      <c r="AJ56" s="13">
        <f>AJ55+AJ51+AJ52+AJ53+AJ54</f>
        <v/>
      </c>
      <c r="AK56" s="13">
        <f>AK55+AK51+AK52+AK53+AK54</f>
        <v/>
      </c>
      <c r="AL56" s="13">
        <f>AL55+AL51+AL52+AL53+AL54</f>
        <v/>
      </c>
      <c r="AM56" s="13">
        <f>AM55+AM51+AM52+AM53+AM54</f>
        <v/>
      </c>
      <c r="AN56" s="13">
        <f>AN55+AN51+AN52+AN53+AN54</f>
        <v/>
      </c>
      <c r="AO56" s="13">
        <f>AO55+AO51+AO52+AO53+AO54</f>
        <v/>
      </c>
      <c r="AP56" s="13">
        <f>AP55+AP51+AP52+AP53+AP54</f>
        <v/>
      </c>
      <c r="AQ56" s="13">
        <f>AQ55+AQ51+AQ52+AQ53+AQ54</f>
        <v/>
      </c>
      <c r="AR56" s="13">
        <f>AR55+AR51+AR52+AR53+AR54</f>
        <v/>
      </c>
      <c r="AS56" s="13">
        <f>AS55+AS51+AS52+AS53+AS54</f>
        <v/>
      </c>
      <c r="AT56" s="13">
        <f>AT55+AT51+AT52+AT53+AT54</f>
        <v/>
      </c>
      <c r="AU56" s="13">
        <f>AU55+AU51+AU52+AU53+AU54</f>
        <v/>
      </c>
      <c r="AV56" s="13">
        <f>AV55+AV51+AV52+AV53+AV54</f>
        <v/>
      </c>
      <c r="AW56" s="13">
        <f>AW55+AW51+AW52+AW53+AW54</f>
        <v/>
      </c>
      <c r="AX56" s="13">
        <f>AX55+AX51+AX52+AX53+AX54</f>
        <v/>
      </c>
      <c r="AY56" s="13">
        <f>AY55+AY51+AY52+AY53+AY54</f>
        <v/>
      </c>
      <c r="AZ56" s="13">
        <f>AZ55+AZ51+AZ52+AZ53+AZ54</f>
        <v/>
      </c>
      <c r="BA56" s="13">
        <f>BA55+BA51+BA52+BA53+BA54</f>
        <v/>
      </c>
      <c r="BB56" s="13">
        <f>BB55+BB51+BB52+BB53+BB54</f>
        <v/>
      </c>
      <c r="BC56" s="13">
        <f>BC55+BC51+BC52+BC53+BC54</f>
        <v/>
      </c>
      <c r="BD56" s="13">
        <f>BD55+BD51+BD52+BD53+BD54</f>
        <v/>
      </c>
      <c r="BE56" s="13">
        <f>BE55+BE51+BE52+BE53+BE54</f>
        <v/>
      </c>
      <c r="BF56" s="13">
        <f>BF55+BF51+BF52+BF53+BF54</f>
        <v/>
      </c>
      <c r="BG56" s="13">
        <f>BG55+BG51+BG52+BG53+BG54</f>
        <v/>
      </c>
      <c r="BH56" s="13">
        <f>BH55+BH51+BH52+BH53+BH54</f>
        <v/>
      </c>
      <c r="BI56" s="13">
        <f>BI55+BI51+BI52+BI53+BI54</f>
        <v/>
      </c>
      <c r="BJ56" s="13">
        <f>BJ55+BJ51+BJ52+BJ53+BJ54</f>
        <v/>
      </c>
      <c r="BK56" s="13">
        <f>BK55+BK51+BK52+BK53+BK54</f>
        <v/>
      </c>
      <c r="BL56" s="13">
        <f>BL55+BL51+BL52+BL53+BL54</f>
        <v/>
      </c>
      <c r="BM56" s="13">
        <f>BM55+BM51+BM52+BM53+BM54</f>
        <v/>
      </c>
      <c r="BN56" s="13">
        <f>BN55+BN51+BN52+BN53+BN54</f>
        <v/>
      </c>
    </row>
    <row r="57">
      <c r="D57" t="inlineStr">
        <is>
          <t>Late payment interest accrued (to settlement 2024-03-21)</t>
        </is>
      </c>
      <c r="E57" t="inlineStr">
        <is>
          <t>USD m</t>
        </is>
      </c>
      <c r="G57" s="13">
        <f>SUM(J57:BN57)</f>
        <v/>
      </c>
      <c r="J57" s="13">
        <f>IF(Inputs!$F$45=1,AVERAGE(I89,J89)*(J9-Time!J40*Inputs!$F$98+Inputs!$F$263)/100*Time!J55/Inputs!$F$247,0)</f>
        <v/>
      </c>
      <c r="K57" s="13">
        <f>IF(Inputs!$F$45=1,AVERAGE(J89,K89)*(K9-Time!K40*Inputs!$F$98+Inputs!$F$263)/100*Time!K55/Inputs!$F$247,0)</f>
        <v/>
      </c>
      <c r="L57" s="13">
        <f>IF(Inputs!$F$45=1,AVERAGE(K89,L89)*(L9-Time!L40*Inputs!$F$98+Inputs!$F$263)/100*Time!L55/Inputs!$F$247,0)</f>
        <v/>
      </c>
      <c r="M57" s="13">
        <f>IF(Inputs!$F$45=1,AVERAGE(L89,M89)*(M9-Time!M40*Inputs!$F$98+Inputs!$F$263)/100*Time!M55/Inputs!$F$247,0)</f>
        <v/>
      </c>
      <c r="N57" s="13">
        <f>IF(Inputs!$F$45=1,AVERAGE(M89,N89)*(N9-Time!N40*Inputs!$F$98+Inputs!$F$263)/100*Time!N55/Inputs!$F$247,0)</f>
        <v/>
      </c>
      <c r="O57" s="13">
        <f>IF(Inputs!$F$45=1,AVERAGE(N89,O89)*(O9-Time!O40*Inputs!$F$98+Inputs!$F$263)/100*Time!O55/Inputs!$F$247,0)</f>
        <v/>
      </c>
      <c r="P57" s="13">
        <f>IF(Inputs!$F$45=1,AVERAGE(O89,P89)*(P9-Time!P40*Inputs!$F$98+Inputs!$F$263)/100*Time!P55/Inputs!$F$247,0)</f>
        <v/>
      </c>
      <c r="Q57" s="13">
        <f>IF(Inputs!$F$45=1,AVERAGE(P89,Q89)*(Q9-Time!Q40*Inputs!$F$98+Inputs!$F$263)/100*Time!Q55/Inputs!$F$247,0)</f>
        <v/>
      </c>
      <c r="R57" s="13">
        <f>IF(Inputs!$F$45=1,AVERAGE(Q89,R89)*(R9-Time!R40*Inputs!$F$98+Inputs!$F$263)/100*Time!R55/Inputs!$F$247,0)</f>
        <v/>
      </c>
      <c r="S57" s="13">
        <f>IF(Inputs!$F$45=1,AVERAGE(R89,S89)*(S9-Time!S40*Inputs!$F$98+Inputs!$F$263)/100*Time!S55/Inputs!$F$247,0)</f>
        <v/>
      </c>
      <c r="T57" s="13">
        <f>IF(Inputs!$F$45=1,AVERAGE(S89,T89)*(T9-Time!T40*Inputs!$F$98+Inputs!$F$263)/100*Time!T55/Inputs!$F$247,0)</f>
        <v/>
      </c>
      <c r="U57" s="13">
        <f>IF(Inputs!$F$45=1,AVERAGE(T89,U89)*(U9-Time!U40*Inputs!$F$98+Inputs!$F$263)/100*Time!U55/Inputs!$F$247,0)</f>
        <v/>
      </c>
      <c r="V57" s="13">
        <f>IF(Inputs!$F$45=1,AVERAGE(U89,V89)*(V9-Time!V40*Inputs!$F$98+Inputs!$F$263)/100*Time!V55/Inputs!$F$247,0)</f>
        <v/>
      </c>
      <c r="W57" s="13">
        <f>IF(Inputs!$F$45=1,AVERAGE(V89,W89)*(W9-Time!W40*Inputs!$F$98+Inputs!$F$263)/100*Time!W55/Inputs!$F$247,0)</f>
        <v/>
      </c>
      <c r="X57" s="13">
        <f>IF(Inputs!$F$45=1,AVERAGE(W89,X89)*(X9-Time!X40*Inputs!$F$98+Inputs!$F$263)/100*Time!X55/Inputs!$F$247,0)</f>
        <v/>
      </c>
      <c r="Y57" s="13">
        <f>IF(Inputs!$F$45=1,AVERAGE(X89,Y89)*(Y9-Time!Y40*Inputs!$F$98+Inputs!$F$263)/100*Time!Y55/Inputs!$F$247,0)</f>
        <v/>
      </c>
      <c r="Z57" s="13">
        <f>IF(Inputs!$F$45=1,AVERAGE(Y89,Z89)*(Z9-Time!Z40*Inputs!$F$98+Inputs!$F$263)/100*Time!Z55/Inputs!$F$247,0)</f>
        <v/>
      </c>
      <c r="AA57" s="13">
        <f>IF(Inputs!$F$45=1,AVERAGE(Z89,AA89)*(AA9-Time!AA40*Inputs!$F$98+Inputs!$F$263)/100*Time!AA55/Inputs!$F$247,0)</f>
        <v/>
      </c>
      <c r="AB57" s="13">
        <f>IF(Inputs!$F$45=1,AVERAGE(AA89,AB89)*(AB9-Time!AB40*Inputs!$F$98+Inputs!$F$263)/100*Time!AB55/Inputs!$F$247,0)</f>
        <v/>
      </c>
      <c r="AC57" s="13">
        <f>IF(Inputs!$F$45=1,AVERAGE(AB89,AC89)*(AC9-Time!AC40*Inputs!$F$98+Inputs!$F$263)/100*Time!AC55/Inputs!$F$247,0)</f>
        <v/>
      </c>
      <c r="AD57" s="13">
        <f>IF(Inputs!$F$45=1,AVERAGE(AC89,AD89)*(AD9-Time!AD40*Inputs!$F$98+Inputs!$F$263)/100*Time!AD55/Inputs!$F$247,0)</f>
        <v/>
      </c>
      <c r="AE57" s="13">
        <f>IF(Inputs!$F$45=1,AVERAGE(AD89,AE89)*(AE9-Time!AE40*Inputs!$F$98+Inputs!$F$263)/100*Time!AE55/Inputs!$F$247,0)</f>
        <v/>
      </c>
      <c r="AF57" s="13">
        <f>IF(Inputs!$F$45=1,AVERAGE(AE89,AF89)*(AF9-Time!AF40*Inputs!$F$98+Inputs!$F$263)/100*Time!AF55/Inputs!$F$247,0)</f>
        <v/>
      </c>
      <c r="AG57" s="13">
        <f>IF(Inputs!$F$45=1,AVERAGE(AF89,AG89)*(AG9-Time!AG40*Inputs!$F$98+Inputs!$F$263)/100*Time!AG55/Inputs!$F$247,0)</f>
        <v/>
      </c>
      <c r="AH57" s="13">
        <f>IF(Inputs!$F$45=1,AVERAGE(AG89,AH89)*(AH9-Time!AH40*Inputs!$F$98+Inputs!$F$263)/100*Time!AH55/Inputs!$F$247,0)</f>
        <v/>
      </c>
      <c r="AI57" s="13">
        <f>IF(Inputs!$F$45=1,AVERAGE(AH89,AI89)*(AI9-Time!AI40*Inputs!$F$98+Inputs!$F$263)/100*Time!AI55/Inputs!$F$247,0)</f>
        <v/>
      </c>
      <c r="AJ57" s="13">
        <f>IF(Inputs!$F$45=1,AVERAGE(AI89,AJ89)*(AJ9-Time!AJ40*Inputs!$F$98+Inputs!$F$263)/100*Time!AJ55/Inputs!$F$247,0)</f>
        <v/>
      </c>
      <c r="AK57" s="13">
        <f>IF(Inputs!$F$45=1,AVERAGE(AJ89,AK89)*(AK9-Time!AK40*Inputs!$F$98+Inputs!$F$263)/100*Time!AK55/Inputs!$F$247,0)</f>
        <v/>
      </c>
      <c r="AL57" s="13">
        <f>IF(Inputs!$F$45=1,AVERAGE(AK89,AL89)*(AL9-Time!AL40*Inputs!$F$98+Inputs!$F$263)/100*Time!AL55/Inputs!$F$247,0)</f>
        <v/>
      </c>
      <c r="AM57" s="13">
        <f>IF(Inputs!$F$45=1,AVERAGE(AL89,AM89)*(AM9-Time!AM40*Inputs!$F$98+Inputs!$F$263)/100*Time!AM55/Inputs!$F$247,0)</f>
        <v/>
      </c>
      <c r="AN57" s="13">
        <f>IF(Inputs!$F$45=1,AVERAGE(AM89,AN89)*(AN9-Time!AN40*Inputs!$F$98+Inputs!$F$263)/100*Time!AN55/Inputs!$F$247,0)</f>
        <v/>
      </c>
      <c r="AO57" s="13">
        <f>IF(Inputs!$F$45=1,AVERAGE(AN89,AO89)*(AO9-Time!AO40*Inputs!$F$98+Inputs!$F$263)/100*Time!AO55/Inputs!$F$247,0)</f>
        <v/>
      </c>
      <c r="AP57" s="13">
        <f>IF(Inputs!$F$45=1,AVERAGE(AO89,AP89)*(AP9-Time!AP40*Inputs!$F$98+Inputs!$F$263)/100*Time!AP55/Inputs!$F$247,0)</f>
        <v/>
      </c>
      <c r="AQ57" s="13">
        <f>IF(Inputs!$F$45=1,AVERAGE(AP89,AQ89)*(AQ9-Time!AQ40*Inputs!$F$98+Inputs!$F$263)/100*Time!AQ55/Inputs!$F$247,0)</f>
        <v/>
      </c>
      <c r="AR57" s="13">
        <f>IF(Inputs!$F$45=1,AVERAGE(AQ89,AR89)*(AR9-Time!AR40*Inputs!$F$98+Inputs!$F$263)/100*Time!AR55/Inputs!$F$247,0)</f>
        <v/>
      </c>
      <c r="AS57" s="13">
        <f>IF(Inputs!$F$45=1,AVERAGE(AR89,AS89)*(AS9-Time!AS40*Inputs!$F$98+Inputs!$F$263)/100*Time!AS55/Inputs!$F$247,0)</f>
        <v/>
      </c>
      <c r="AT57" s="13">
        <f>IF(Inputs!$F$45=1,AVERAGE(AS89,AT89)*(AT9-Time!AT40*Inputs!$F$98+Inputs!$F$263)/100*Time!AT55/Inputs!$F$247,0)</f>
        <v/>
      </c>
      <c r="AU57" s="13">
        <f>IF(Inputs!$F$45=1,AVERAGE(AT89,AU89)*(AU9-Time!AU40*Inputs!$F$98+Inputs!$F$263)/100*Time!AU55/Inputs!$F$247,0)</f>
        <v/>
      </c>
      <c r="AV57" s="13">
        <f>IF(Inputs!$F$45=1,AVERAGE(AU89,AV89)*(AV9-Time!AV40*Inputs!$F$98+Inputs!$F$263)/100*Time!AV55/Inputs!$F$247,0)</f>
        <v/>
      </c>
      <c r="AW57" s="13">
        <f>IF(Inputs!$F$45=1,AVERAGE(AV89,AW89)*(AW9-Time!AW40*Inputs!$F$98+Inputs!$F$263)/100*Time!AW55/Inputs!$F$247,0)</f>
        <v/>
      </c>
      <c r="AX57" s="13">
        <f>IF(Inputs!$F$45=1,AVERAGE(AW89,AX89)*(AX9-Time!AX40*Inputs!$F$98+Inputs!$F$263)/100*Time!AX55/Inputs!$F$247,0)</f>
        <v/>
      </c>
      <c r="AY57" s="13">
        <f>IF(Inputs!$F$45=1,AVERAGE(AX89,AY89)*(AY9-Time!AY40*Inputs!$F$98+Inputs!$F$263)/100*Time!AY55/Inputs!$F$247,0)</f>
        <v/>
      </c>
      <c r="AZ57" s="13">
        <f>IF(Inputs!$F$45=1,AVERAGE(AY89,AZ89)*(AZ9-Time!AZ40*Inputs!$F$98+Inputs!$F$263)/100*Time!AZ55/Inputs!$F$247,0)</f>
        <v/>
      </c>
      <c r="BA57" s="13">
        <f>IF(Inputs!$F$45=1,AVERAGE(AZ89,BA89)*(BA9-Time!BA40*Inputs!$F$98+Inputs!$F$263)/100*Time!BA55/Inputs!$F$247,0)</f>
        <v/>
      </c>
      <c r="BB57" s="13">
        <f>IF(Inputs!$F$45=1,AVERAGE(BA89,BB89)*(BB9-Time!BB40*Inputs!$F$98+Inputs!$F$263)/100*Time!BB55/Inputs!$F$247,0)</f>
        <v/>
      </c>
      <c r="BC57" s="13">
        <f>IF(Inputs!$F$45=1,AVERAGE(BB89,BC89)*(BC9-Time!BC40*Inputs!$F$98+Inputs!$F$263)/100*Time!BC55/Inputs!$F$247,0)</f>
        <v/>
      </c>
      <c r="BD57" s="13">
        <f>IF(Inputs!$F$45=1,AVERAGE(BC89,BD89)*(BD9-Time!BD40*Inputs!$F$98+Inputs!$F$263)/100*Time!BD55/Inputs!$F$247,0)</f>
        <v/>
      </c>
      <c r="BE57" s="13">
        <f>IF(Inputs!$F$45=1,AVERAGE(BD89,BE89)*(BE9-Time!BE40*Inputs!$F$98+Inputs!$F$263)/100*Time!BE55/Inputs!$F$247,0)</f>
        <v/>
      </c>
      <c r="BF57" s="13">
        <f>IF(Inputs!$F$45=1,AVERAGE(BE89,BF89)*(BF9-Time!BF40*Inputs!$F$98+Inputs!$F$263)/100*Time!BF55/Inputs!$F$247,0)</f>
        <v/>
      </c>
      <c r="BG57" s="13">
        <f>IF(Inputs!$F$45=1,AVERAGE(BF89,BG89)*(BG9-Time!BG40*Inputs!$F$98+Inputs!$F$263)/100*Time!BG55/Inputs!$F$247,0)</f>
        <v/>
      </c>
      <c r="BH57" s="13">
        <f>IF(Inputs!$F$45=1,AVERAGE(BG89,BH89)*(BH9-Time!BH40*Inputs!$F$98+Inputs!$F$263)/100*Time!BH55/Inputs!$F$247,0)</f>
        <v/>
      </c>
      <c r="BI57" s="13">
        <f>IF(Inputs!$F$45=1,AVERAGE(BH89,BI89)*(BI9-Time!BI40*Inputs!$F$98+Inputs!$F$263)/100*Time!BI55/Inputs!$F$247,0)</f>
        <v/>
      </c>
      <c r="BJ57" s="13">
        <f>IF(Inputs!$F$45=1,AVERAGE(BI89,BJ89)*(BJ9-Time!BJ40*Inputs!$F$98+Inputs!$F$263)/100*Time!BJ55/Inputs!$F$247,0)</f>
        <v/>
      </c>
      <c r="BK57" s="13">
        <f>IF(Inputs!$F$45=1,AVERAGE(BJ89,BK89)*(BK9-Time!BK40*Inputs!$F$98+Inputs!$F$263)/100*Time!BK55/Inputs!$F$247,0)</f>
        <v/>
      </c>
      <c r="BL57" s="13">
        <f>IF(Inputs!$F$45=1,AVERAGE(BK89,BL89)*(BL9-Time!BL40*Inputs!$F$98+Inputs!$F$263)/100*Time!BL55/Inputs!$F$247,0)</f>
        <v/>
      </c>
      <c r="BM57" s="13">
        <f>IF(Inputs!$F$45=1,AVERAGE(BL89,BM89)*(BM9-Time!BM40*Inputs!$F$98+Inputs!$F$263)/100*Time!BM55/Inputs!$F$247,0)</f>
        <v/>
      </c>
      <c r="BN57" s="13">
        <f>IF(Inputs!$F$45=1,AVERAGE(BM89,BN89)*(BN9-Time!BN40*Inputs!$F$98+Inputs!$F$263)/100*Time!BN55/Inputs!$F$247,0)</f>
        <v/>
      </c>
    </row>
    <row r="58">
      <c r="D58" t="inlineStr">
        <is>
          <t>Late payment interest received (60%, with settlement installments)</t>
        </is>
      </c>
      <c r="E58" t="inlineStr">
        <is>
          <t>USD m</t>
        </is>
      </c>
      <c r="G58" s="13">
        <f>SUM(J58:BN58)</f>
        <v/>
      </c>
      <c r="J58" s="13">
        <f>Inputs!$F$264*SUM($J$57:$BN$57)*Inputs!J297</f>
        <v/>
      </c>
      <c r="K58" s="13">
        <f>Inputs!$F$264*SUM($J$57:$BN$57)*Inputs!K297</f>
        <v/>
      </c>
      <c r="L58" s="13">
        <f>Inputs!$F$264*SUM($J$57:$BN$57)*Inputs!L297</f>
        <v/>
      </c>
      <c r="M58" s="13">
        <f>Inputs!$F$264*SUM($J$57:$BN$57)*Inputs!M297</f>
        <v/>
      </c>
      <c r="N58" s="13">
        <f>Inputs!$F$264*SUM($J$57:$BN$57)*Inputs!N297</f>
        <v/>
      </c>
      <c r="O58" s="13">
        <f>Inputs!$F$264*SUM($J$57:$BN$57)*Inputs!O297</f>
        <v/>
      </c>
      <c r="P58" s="13">
        <f>Inputs!$F$264*SUM($J$57:$BN$57)*Inputs!P297</f>
        <v/>
      </c>
      <c r="Q58" s="13">
        <f>Inputs!$F$264*SUM($J$57:$BN$57)*Inputs!Q297</f>
        <v/>
      </c>
      <c r="R58" s="13">
        <f>Inputs!$F$264*SUM($J$57:$BN$57)*Inputs!R297</f>
        <v/>
      </c>
      <c r="S58" s="13">
        <f>Inputs!$F$264*SUM($J$57:$BN$57)*Inputs!S297</f>
        <v/>
      </c>
      <c r="T58" s="13">
        <f>Inputs!$F$264*SUM($J$57:$BN$57)*Inputs!T297</f>
        <v/>
      </c>
      <c r="U58" s="13">
        <f>Inputs!$F$264*SUM($J$57:$BN$57)*Inputs!U297</f>
        <v/>
      </c>
      <c r="V58" s="13">
        <f>Inputs!$F$264*SUM($J$57:$BN$57)*Inputs!V297</f>
        <v/>
      </c>
      <c r="W58" s="13">
        <f>Inputs!$F$264*SUM($J$57:$BN$57)*Inputs!W297</f>
        <v/>
      </c>
      <c r="X58" s="13">
        <f>Inputs!$F$264*SUM($J$57:$BN$57)*Inputs!X297</f>
        <v/>
      </c>
      <c r="Y58" s="13">
        <f>Inputs!$F$264*SUM($J$57:$BN$57)*Inputs!Y297</f>
        <v/>
      </c>
      <c r="Z58" s="13">
        <f>Inputs!$F$264*SUM($J$57:$BN$57)*Inputs!Z297</f>
        <v/>
      </c>
      <c r="AA58" s="13">
        <f>Inputs!$F$264*SUM($J$57:$BN$57)*Inputs!AA297</f>
        <v/>
      </c>
      <c r="AB58" s="13">
        <f>Inputs!$F$264*SUM($J$57:$BN$57)*Inputs!AB297</f>
        <v/>
      </c>
      <c r="AC58" s="13">
        <f>Inputs!$F$264*SUM($J$57:$BN$57)*Inputs!AC297</f>
        <v/>
      </c>
      <c r="AD58" s="13">
        <f>Inputs!$F$264*SUM($J$57:$BN$57)*Inputs!AD297</f>
        <v/>
      </c>
      <c r="AE58" s="13">
        <f>Inputs!$F$264*SUM($J$57:$BN$57)*Inputs!AE297</f>
        <v/>
      </c>
      <c r="AF58" s="13">
        <f>Inputs!$F$264*SUM($J$57:$BN$57)*Inputs!AF297</f>
        <v/>
      </c>
      <c r="AG58" s="13">
        <f>Inputs!$F$264*SUM($J$57:$BN$57)*Inputs!AG297</f>
        <v/>
      </c>
      <c r="AH58" s="13">
        <f>Inputs!$F$264*SUM($J$57:$BN$57)*Inputs!AH297</f>
        <v/>
      </c>
      <c r="AI58" s="13">
        <f>Inputs!$F$264*SUM($J$57:$BN$57)*Inputs!AI297</f>
        <v/>
      </c>
      <c r="AJ58" s="13">
        <f>Inputs!$F$264*SUM($J$57:$BN$57)*Inputs!AJ297</f>
        <v/>
      </c>
      <c r="AK58" s="13">
        <f>Inputs!$F$264*SUM($J$57:$BN$57)*Inputs!AK297</f>
        <v/>
      </c>
      <c r="AL58" s="13">
        <f>Inputs!$F$264*SUM($J$57:$BN$57)*Inputs!AL297</f>
        <v/>
      </c>
      <c r="AM58" s="13">
        <f>Inputs!$F$264*SUM($J$57:$BN$57)*Inputs!AM297</f>
        <v/>
      </c>
      <c r="AN58" s="13">
        <f>Inputs!$F$264*SUM($J$57:$BN$57)*Inputs!AN297</f>
        <v/>
      </c>
      <c r="AO58" s="13">
        <f>Inputs!$F$264*SUM($J$57:$BN$57)*Inputs!AO297</f>
        <v/>
      </c>
      <c r="AP58" s="13">
        <f>Inputs!$F$264*SUM($J$57:$BN$57)*Inputs!AP297</f>
        <v/>
      </c>
      <c r="AQ58" s="13">
        <f>Inputs!$F$264*SUM($J$57:$BN$57)*Inputs!AQ297</f>
        <v/>
      </c>
      <c r="AR58" s="13">
        <f>Inputs!$F$264*SUM($J$57:$BN$57)*Inputs!AR297</f>
        <v/>
      </c>
      <c r="AS58" s="13">
        <f>Inputs!$F$264*SUM($J$57:$BN$57)*Inputs!AS297</f>
        <v/>
      </c>
      <c r="AT58" s="13">
        <f>Inputs!$F$264*SUM($J$57:$BN$57)*Inputs!AT297</f>
        <v/>
      </c>
      <c r="AU58" s="13">
        <f>Inputs!$F$264*SUM($J$57:$BN$57)*Inputs!AU297</f>
        <v/>
      </c>
      <c r="AV58" s="13">
        <f>Inputs!$F$264*SUM($J$57:$BN$57)*Inputs!AV297</f>
        <v/>
      </c>
      <c r="AW58" s="13">
        <f>Inputs!$F$264*SUM($J$57:$BN$57)*Inputs!AW297</f>
        <v/>
      </c>
      <c r="AX58" s="13">
        <f>Inputs!$F$264*SUM($J$57:$BN$57)*Inputs!AX297</f>
        <v/>
      </c>
      <c r="AY58" s="13">
        <f>Inputs!$F$264*SUM($J$57:$BN$57)*Inputs!AY297</f>
        <v/>
      </c>
      <c r="AZ58" s="13">
        <f>Inputs!$F$264*SUM($J$57:$BN$57)*Inputs!AZ297</f>
        <v/>
      </c>
      <c r="BA58" s="13">
        <f>Inputs!$F$264*SUM($J$57:$BN$57)*Inputs!BA297</f>
        <v/>
      </c>
      <c r="BB58" s="13">
        <f>Inputs!$F$264*SUM($J$57:$BN$57)*Inputs!BB297</f>
        <v/>
      </c>
      <c r="BC58" s="13">
        <f>Inputs!$F$264*SUM($J$57:$BN$57)*Inputs!BC297</f>
        <v/>
      </c>
      <c r="BD58" s="13">
        <f>Inputs!$F$264*SUM($J$57:$BN$57)*Inputs!BD297</f>
        <v/>
      </c>
      <c r="BE58" s="13">
        <f>Inputs!$F$264*SUM($J$57:$BN$57)*Inputs!BE297</f>
        <v/>
      </c>
      <c r="BF58" s="13">
        <f>Inputs!$F$264*SUM($J$57:$BN$57)*Inputs!BF297</f>
        <v/>
      </c>
      <c r="BG58" s="13">
        <f>Inputs!$F$264*SUM($J$57:$BN$57)*Inputs!BG297</f>
        <v/>
      </c>
      <c r="BH58" s="13">
        <f>Inputs!$F$264*SUM($J$57:$BN$57)*Inputs!BH297</f>
        <v/>
      </c>
      <c r="BI58" s="13">
        <f>Inputs!$F$264*SUM($J$57:$BN$57)*Inputs!BI297</f>
        <v/>
      </c>
      <c r="BJ58" s="13">
        <f>Inputs!$F$264*SUM($J$57:$BN$57)*Inputs!BJ297</f>
        <v/>
      </c>
      <c r="BK58" s="13">
        <f>Inputs!$F$264*SUM($J$57:$BN$57)*Inputs!BK297</f>
        <v/>
      </c>
      <c r="BL58" s="13">
        <f>Inputs!$F$264*SUM($J$57:$BN$57)*Inputs!BL297</f>
        <v/>
      </c>
      <c r="BM58" s="13">
        <f>Inputs!$F$264*SUM($J$57:$BN$57)*Inputs!BM297</f>
        <v/>
      </c>
      <c r="BN58" s="13">
        <f>Inputs!$F$264*SUM($J$57:$BN$57)*Inputs!BN297</f>
        <v/>
      </c>
    </row>
    <row r="59">
      <c r="B59" s="2" t="inlineStr">
        <is>
          <t>Operating costs (USD m)</t>
        </is>
      </c>
    </row>
    <row r="60">
      <c r="D60" t="inlineStr">
        <is>
          <t>O&amp;M fixed fee</t>
        </is>
      </c>
      <c r="E60" t="inlineStr">
        <is>
          <t>USD m</t>
        </is>
      </c>
      <c r="G60" s="13">
        <f>SUM(J60:BN60)</f>
        <v/>
      </c>
      <c r="J60" s="13">
        <f>Inputs!$F$151*(Inputs!$F$152*J21+(1-Inputs!$F$152)*J27*Inputs!$F$153/J11)*Time!J30/12*Inputs!$F$40</f>
        <v/>
      </c>
      <c r="K60" s="13">
        <f>Inputs!$F$151*(Inputs!$F$152*K21+(1-Inputs!$F$152)*K27*Inputs!$F$153/K11)*Time!K30/12*Inputs!$F$40</f>
        <v/>
      </c>
      <c r="L60" s="13">
        <f>Inputs!$F$151*(Inputs!$F$152*L21+(1-Inputs!$F$152)*L27*Inputs!$F$153/L11)*Time!L30/12*Inputs!$F$40</f>
        <v/>
      </c>
      <c r="M60" s="13">
        <f>Inputs!$F$151*(Inputs!$F$152*M21+(1-Inputs!$F$152)*M27*Inputs!$F$153/M11)*Time!M30/12*Inputs!$F$40</f>
        <v/>
      </c>
      <c r="N60" s="13">
        <f>Inputs!$F$151*(Inputs!$F$152*N21+(1-Inputs!$F$152)*N27*Inputs!$F$153/N11)*Time!N30/12*Inputs!$F$40</f>
        <v/>
      </c>
      <c r="O60" s="13">
        <f>Inputs!$F$151*(Inputs!$F$152*O21+(1-Inputs!$F$152)*O27*Inputs!$F$153/O11)*Time!O30/12*Inputs!$F$40</f>
        <v/>
      </c>
      <c r="P60" s="13">
        <f>Inputs!$F$151*(Inputs!$F$152*P21+(1-Inputs!$F$152)*P27*Inputs!$F$153/P11)*Time!P30/12*Inputs!$F$40</f>
        <v/>
      </c>
      <c r="Q60" s="13">
        <f>Inputs!$F$151*(Inputs!$F$152*Q21+(1-Inputs!$F$152)*Q27*Inputs!$F$153/Q11)*Time!Q30/12*Inputs!$F$40</f>
        <v/>
      </c>
      <c r="R60" s="13">
        <f>Inputs!$F$151*(Inputs!$F$152*R21+(1-Inputs!$F$152)*R27*Inputs!$F$153/R11)*Time!R30/12*Inputs!$F$40</f>
        <v/>
      </c>
      <c r="S60" s="13">
        <f>Inputs!$F$151*(Inputs!$F$152*S21+(1-Inputs!$F$152)*S27*Inputs!$F$153/S11)*Time!S30/12*Inputs!$F$40</f>
        <v/>
      </c>
      <c r="T60" s="13">
        <f>Inputs!$F$151*(Inputs!$F$152*T21+(1-Inputs!$F$152)*T27*Inputs!$F$153/T11)*Time!T30/12*Inputs!$F$40</f>
        <v/>
      </c>
      <c r="U60" s="13">
        <f>Inputs!$F$151*(Inputs!$F$152*U21+(1-Inputs!$F$152)*U27*Inputs!$F$153/U11)*Time!U30/12*Inputs!$F$40</f>
        <v/>
      </c>
      <c r="V60" s="13">
        <f>Inputs!$F$151*(Inputs!$F$152*V21+(1-Inputs!$F$152)*V27*Inputs!$F$153/V11)*Time!V30/12*Inputs!$F$40</f>
        <v/>
      </c>
      <c r="W60" s="13">
        <f>Inputs!$F$151*(Inputs!$F$152*W21+(1-Inputs!$F$152)*W27*Inputs!$F$153/W11)*Time!W30/12*Inputs!$F$40</f>
        <v/>
      </c>
      <c r="X60" s="13">
        <f>Inputs!$F$151*(Inputs!$F$152*X21+(1-Inputs!$F$152)*X27*Inputs!$F$153/X11)*Time!X30/12*Inputs!$F$40</f>
        <v/>
      </c>
      <c r="Y60" s="13">
        <f>Inputs!$F$151*(Inputs!$F$152*Y21+(1-Inputs!$F$152)*Y27*Inputs!$F$153/Y11)*Time!Y30/12*Inputs!$F$40</f>
        <v/>
      </c>
      <c r="Z60" s="13">
        <f>Inputs!$F$151*(Inputs!$F$152*Z21+(1-Inputs!$F$152)*Z27*Inputs!$F$153/Z11)*Time!Z30/12*Inputs!$F$40</f>
        <v/>
      </c>
      <c r="AA60" s="13">
        <f>Inputs!$F$151*(Inputs!$F$152*AA21+(1-Inputs!$F$152)*AA27*Inputs!$F$153/AA11)*Time!AA30/12*Inputs!$F$40</f>
        <v/>
      </c>
      <c r="AB60" s="13">
        <f>Inputs!$F$151*(Inputs!$F$152*AB21+(1-Inputs!$F$152)*AB27*Inputs!$F$153/AB11)*Time!AB30/12*Inputs!$F$40</f>
        <v/>
      </c>
      <c r="AC60" s="13">
        <f>Inputs!$F$151*(Inputs!$F$152*AC21+(1-Inputs!$F$152)*AC27*Inputs!$F$153/AC11)*Time!AC30/12*Inputs!$F$40</f>
        <v/>
      </c>
      <c r="AD60" s="13">
        <f>Inputs!$F$151*(Inputs!$F$152*AD21+(1-Inputs!$F$152)*AD27*Inputs!$F$153/AD11)*Time!AD30/12*Inputs!$F$40</f>
        <v/>
      </c>
      <c r="AE60" s="13">
        <f>Inputs!$F$151*(Inputs!$F$152*AE21+(1-Inputs!$F$152)*AE27*Inputs!$F$153/AE11)*Time!AE30/12*Inputs!$F$40</f>
        <v/>
      </c>
      <c r="AF60" s="13">
        <f>Inputs!$F$151*(Inputs!$F$152*AF21+(1-Inputs!$F$152)*AF27*Inputs!$F$153/AF11)*Time!AF30/12*Inputs!$F$40</f>
        <v/>
      </c>
      <c r="AG60" s="13">
        <f>Inputs!$F$151*(Inputs!$F$152*AG21+(1-Inputs!$F$152)*AG27*Inputs!$F$153/AG11)*Time!AG30/12*Inputs!$F$40</f>
        <v/>
      </c>
      <c r="AH60" s="13">
        <f>Inputs!$F$151*(Inputs!$F$152*AH21+(1-Inputs!$F$152)*AH27*Inputs!$F$153/AH11)*Time!AH30/12*Inputs!$F$40</f>
        <v/>
      </c>
      <c r="AI60" s="13">
        <f>Inputs!$F$151*(Inputs!$F$152*AI21+(1-Inputs!$F$152)*AI27*Inputs!$F$153/AI11)*Time!AI30/12*Inputs!$F$40</f>
        <v/>
      </c>
      <c r="AJ60" s="13">
        <f>Inputs!$F$151*(Inputs!$F$152*AJ21+(1-Inputs!$F$152)*AJ27*Inputs!$F$153/AJ11)*Time!AJ30/12*Inputs!$F$40</f>
        <v/>
      </c>
      <c r="AK60" s="13">
        <f>Inputs!$F$151*(Inputs!$F$152*AK21+(1-Inputs!$F$152)*AK27*Inputs!$F$153/AK11)*Time!AK30/12*Inputs!$F$40</f>
        <v/>
      </c>
      <c r="AL60" s="13">
        <f>Inputs!$F$151*(Inputs!$F$152*AL21+(1-Inputs!$F$152)*AL27*Inputs!$F$153/AL11)*Time!AL30/12*Inputs!$F$40</f>
        <v/>
      </c>
      <c r="AM60" s="13">
        <f>Inputs!$F$151*(Inputs!$F$152*AM21+(1-Inputs!$F$152)*AM27*Inputs!$F$153/AM11)*Time!AM30/12*Inputs!$F$40</f>
        <v/>
      </c>
      <c r="AN60" s="13">
        <f>Inputs!$F$151*(Inputs!$F$152*AN21+(1-Inputs!$F$152)*AN27*Inputs!$F$153/AN11)*Time!AN30/12*Inputs!$F$40</f>
        <v/>
      </c>
      <c r="AO60" s="13">
        <f>Inputs!$F$151*(Inputs!$F$152*AO21+(1-Inputs!$F$152)*AO27*Inputs!$F$153/AO11)*Time!AO30/12*Inputs!$F$40</f>
        <v/>
      </c>
      <c r="AP60" s="13">
        <f>Inputs!$F$151*(Inputs!$F$152*AP21+(1-Inputs!$F$152)*AP27*Inputs!$F$153/AP11)*Time!AP30/12*Inputs!$F$40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>
        <f>Inputs!$F$151*(Inputs!$F$152*AR21+(1-Inputs!$F$152)*AR27*Inputs!$F$153/AR11)*Time!AR30/12*Inputs!$F$40</f>
        <v/>
      </c>
      <c r="AS60" s="13">
        <f>Inputs!$F$151*(Inputs!$F$152*AS21+(1-Inputs!$F$152)*AS27*Inputs!$F$153/AS11)*Time!AS30/12*Inputs!$F$40</f>
        <v/>
      </c>
      <c r="AT60" s="13">
        <f>Inputs!$F$151*(Inputs!$F$152*AT21+(1-Inputs!$F$152)*AT27*Inputs!$F$153/AT11)*Time!AT30/12*Inputs!$F$40</f>
        <v/>
      </c>
      <c r="AU60" s="13">
        <f>Inputs!$F$151*(Inputs!$F$152*AU21+(1-Inputs!$F$152)*AU27*Inputs!$F$153/AU11)*Time!AU30/12*Inputs!$F$40</f>
        <v/>
      </c>
      <c r="AV60" s="13">
        <f>Inputs!$F$151*(Inputs!$F$152*AV21+(1-Inputs!$F$152)*AV27*Inputs!$F$153/AV11)*Time!AV30/12*Inputs!$F$40</f>
        <v/>
      </c>
      <c r="AW60" s="13">
        <f>Inputs!$F$151*(Inputs!$F$152*AW21+(1-Inputs!$F$152)*AW27*Inputs!$F$153/AW11)*Time!AW30/12*Inputs!$F$40</f>
        <v/>
      </c>
      <c r="AX60" s="13">
        <f>Inputs!$F$151*(Inputs!$F$152*AX21+(1-Inputs!$F$152)*AX27*Inputs!$F$153/AX11)*Time!AX30/12*Inputs!$F$40</f>
        <v/>
      </c>
      <c r="AY60" s="13">
        <f>Inputs!$F$151*(Inputs!$F$152*AY21+(1-Inputs!$F$152)*AY27*Inputs!$F$153/AY11)*Time!AY30/12*Inputs!$F$40</f>
        <v/>
      </c>
      <c r="AZ60" s="13">
        <f>Inputs!$F$151*(Inputs!$F$152*AZ21+(1-Inputs!$F$152)*AZ27*Inputs!$F$153/AZ11)*Time!AZ30/12*Inputs!$F$40</f>
        <v/>
      </c>
      <c r="BA60" s="13">
        <f>Inputs!$F$151*(Inputs!$F$152*BA21+(1-Inputs!$F$152)*BA27*Inputs!$F$153/BA11)*Time!BA30/12*Inputs!$F$40</f>
        <v/>
      </c>
      <c r="BB60" s="13">
        <f>Inputs!$F$151*(Inputs!$F$152*BB21+(1-Inputs!$F$152)*BB27*Inputs!$F$153/BB11)*Time!BB30/12*Inputs!$F$40</f>
        <v/>
      </c>
      <c r="BC60" s="13">
        <f>Inputs!$F$151*(Inputs!$F$152*BC21+(1-Inputs!$F$152)*BC27*Inputs!$F$153/BC11)*Time!BC30/12*Inputs!$F$40</f>
        <v/>
      </c>
      <c r="BD60" s="13">
        <f>Inputs!$F$151*(Inputs!$F$152*BD21+(1-Inputs!$F$152)*BD27*Inputs!$F$153/BD11)*Time!BD30/12*Inputs!$F$40</f>
        <v/>
      </c>
      <c r="BE60" s="13">
        <f>Inputs!$F$151*(Inputs!$F$152*BE21+(1-Inputs!$F$152)*BE27*Inputs!$F$153/BE11)*Time!BE30/12*Inputs!$F$40</f>
        <v/>
      </c>
      <c r="BF60" s="13">
        <f>Inputs!$F$151*(Inputs!$F$152*BF21+(1-Inputs!$F$152)*BF27*Inputs!$F$153/BF11)*Time!BF30/12*Inputs!$F$40</f>
        <v/>
      </c>
      <c r="BG60" s="13">
        <f>Inputs!$F$151*(Inputs!$F$152*BG21+(1-Inputs!$F$152)*BG27*Inputs!$F$153/BG11)*Time!BG30/12*Inputs!$F$40</f>
        <v/>
      </c>
      <c r="BH60" s="13">
        <f>Inputs!$F$151*(Inputs!$F$152*BH21+(1-Inputs!$F$152)*BH27*Inputs!$F$153/BH11)*Time!BH30/12*Inputs!$F$40</f>
        <v/>
      </c>
      <c r="BI60" s="13">
        <f>Inputs!$F$151*(Inputs!$F$152*BI21+(1-Inputs!$F$152)*BI27*Inputs!$F$153/BI11)*Time!BI30/12*Inputs!$F$40</f>
        <v/>
      </c>
      <c r="BJ60" s="13">
        <f>Inputs!$F$151*(Inputs!$F$152*BJ21+(1-Inputs!$F$152)*BJ27*Inputs!$F$153/BJ11)*Time!BJ30/12*Inputs!$F$40</f>
        <v/>
      </c>
      <c r="BK60" s="13">
        <f>Inputs!$F$151*(Inputs!$F$152*BK21+(1-Inputs!$F$152)*BK27*Inputs!$F$153/BK11)*Time!BK30/12*Inputs!$F$40</f>
        <v/>
      </c>
      <c r="BL60" s="13">
        <f>Inputs!$F$151*(Inputs!$F$152*BL21+(1-Inputs!$F$152)*BL27*Inputs!$F$153/BL11)*Time!BL30/12*Inputs!$F$40</f>
        <v/>
      </c>
      <c r="BM60" s="13">
        <f>Inputs!$F$151*(Inputs!$F$152*BM21+(1-Inputs!$F$152)*BM27*Inputs!$F$153/BM11)*Time!BM30/12*Inputs!$F$40</f>
        <v/>
      </c>
      <c r="BN60" s="13">
        <f>Inputs!$F$151*(Inputs!$F$152*BN21+(1-Inputs!$F$152)*BN27*Inputs!$F$153/BN11)*Time!BN30/12*Inputs!$F$40</f>
        <v/>
      </c>
    </row>
    <row r="61">
      <c r="D61" t="inlineStr">
        <is>
          <t>O&amp;M availability incentive</t>
        </is>
      </c>
      <c r="E61" t="inlineStr">
        <is>
          <t>USD m</t>
        </is>
      </c>
      <c r="G61" s="13">
        <f>SUM(J61:BN61)</f>
        <v/>
      </c>
      <c r="J61" s="13">
        <f>IF(Time!J30&gt;0,Inputs!$F$154*MAX(-1,MIN(1,(J32-Inputs!$F$216)/Inputs!$F$217))*J21*Time!J30/12,0)</f>
        <v/>
      </c>
      <c r="K61" s="13">
        <f>IF(Time!K30&gt;0,Inputs!$F$154*MAX(-1,MIN(1,(K32-Inputs!$F$216)/Inputs!$F$217))*K21*Time!K30/12,0)</f>
        <v/>
      </c>
      <c r="L61" s="13">
        <f>IF(Time!L30&gt;0,Inputs!$F$154*MAX(-1,MIN(1,(L32-Inputs!$F$216)/Inputs!$F$217))*L21*Time!L30/12,0)</f>
        <v/>
      </c>
      <c r="M61" s="13">
        <f>IF(Time!M30&gt;0,Inputs!$F$154*MAX(-1,MIN(1,(M32-Inputs!$F$216)/Inputs!$F$217))*M21*Time!M30/12,0)</f>
        <v/>
      </c>
      <c r="N61" s="13">
        <f>IF(Time!N30&gt;0,Inputs!$F$154*MAX(-1,MIN(1,(N32-Inputs!$F$216)/Inputs!$F$217))*N21*Time!N30/12,0)</f>
        <v/>
      </c>
      <c r="O61" s="13">
        <f>IF(Time!O30&gt;0,Inputs!$F$154*MAX(-1,MIN(1,(O32-Inputs!$F$216)/Inputs!$F$217))*O21*Time!O30/12,0)</f>
        <v/>
      </c>
      <c r="P61" s="13">
        <f>IF(Time!P30&gt;0,Inputs!$F$154*MAX(-1,MIN(1,(P32-Inputs!$F$216)/Inputs!$F$217))*P21*Time!P30/12,0)</f>
        <v/>
      </c>
      <c r="Q61" s="13">
        <f>IF(Time!Q30&gt;0,Inputs!$F$154*MAX(-1,MIN(1,(Q32-Inputs!$F$216)/Inputs!$F$217))*Q21*Time!Q30/12,0)</f>
        <v/>
      </c>
      <c r="R61" s="13">
        <f>IF(Time!R30&gt;0,Inputs!$F$154*MAX(-1,MIN(1,(R32-Inputs!$F$216)/Inputs!$F$217))*R21*Time!R30/12,0)</f>
        <v/>
      </c>
      <c r="S61" s="13">
        <f>IF(Time!S30&gt;0,Inputs!$F$154*MAX(-1,MIN(1,(S32-Inputs!$F$216)/Inputs!$F$217))*S21*Time!S30/12,0)</f>
        <v/>
      </c>
      <c r="T61" s="13">
        <f>IF(Time!T30&gt;0,Inputs!$F$154*MAX(-1,MIN(1,(T32-Inputs!$F$216)/Inputs!$F$217))*T21*Time!T30/12,0)</f>
        <v/>
      </c>
      <c r="U61" s="13">
        <f>IF(Time!U30&gt;0,Inputs!$F$154*MAX(-1,MIN(1,(U32-Inputs!$F$216)/Inputs!$F$217))*U21*Time!U30/12,0)</f>
        <v/>
      </c>
      <c r="V61" s="13">
        <f>IF(Time!V30&gt;0,Inputs!$F$154*MAX(-1,MIN(1,(V32-Inputs!$F$216)/Inputs!$F$217))*V21*Time!V30/12,0)</f>
        <v/>
      </c>
      <c r="W61" s="13">
        <f>IF(Time!W30&gt;0,Inputs!$F$154*MAX(-1,MIN(1,(W32-Inputs!$F$216)/Inputs!$F$217))*W21*Time!W30/12,0)</f>
        <v/>
      </c>
      <c r="X61" s="13">
        <f>IF(Time!X30&gt;0,Inputs!$F$154*MAX(-1,MIN(1,(X32-Inputs!$F$216)/Inputs!$F$217))*X21*Time!X30/12,0)</f>
        <v/>
      </c>
      <c r="Y61" s="13">
        <f>IF(Time!Y30&gt;0,Inputs!$F$154*MAX(-1,MIN(1,(Y32-Inputs!$F$216)/Inputs!$F$217))*Y21*Time!Y30/12,0)</f>
        <v/>
      </c>
      <c r="Z61" s="13">
        <f>IF(Time!Z30&gt;0,Inputs!$F$154*MAX(-1,MIN(1,(Z32-Inputs!$F$216)/Inputs!$F$217))*Z21*Time!Z30/12,0)</f>
        <v/>
      </c>
      <c r="AA61" s="13">
        <f>IF(Time!AA30&gt;0,Inputs!$F$154*MAX(-1,MIN(1,(AA32-Inputs!$F$216)/Inputs!$F$217))*AA21*Time!AA30/12,0)</f>
        <v/>
      </c>
      <c r="AB61" s="13">
        <f>IF(Time!AB30&gt;0,Inputs!$F$154*MAX(-1,MIN(1,(AB32-Inputs!$F$216)/Inputs!$F$217))*AB21*Time!AB30/12,0)</f>
        <v/>
      </c>
      <c r="AC61" s="13">
        <f>IF(Time!AC30&gt;0,Inputs!$F$154*MAX(-1,MIN(1,(AC32-Inputs!$F$216)/Inputs!$F$217))*AC21*Time!AC30/12,0)</f>
        <v/>
      </c>
      <c r="AD61" s="13">
        <f>IF(Time!AD30&gt;0,Inputs!$F$154*MAX(-1,MIN(1,(AD32-Inputs!$F$216)/Inputs!$F$217))*AD21*Time!AD30/12,0)</f>
        <v/>
      </c>
      <c r="AE61" s="13">
        <f>IF(Time!AE30&gt;0,Inputs!$F$154*MAX(-1,MIN(1,(AE32-Inputs!$F$216)/Inputs!$F$217))*AE21*Time!AE30/12,0)</f>
        <v/>
      </c>
      <c r="AF61" s="13">
        <f>IF(Time!AF30&gt;0,Inputs!$F$154*MAX(-1,MIN(1,(AF32-Inputs!$F$216)/Inputs!$F$217))*AF21*Time!AF30/12,0)</f>
        <v/>
      </c>
      <c r="AG61" s="13">
        <f>IF(Time!AG30&gt;0,Inputs!$F$154*MAX(-1,MIN(1,(AG32-Inputs!$F$216)/Inputs!$F$217))*AG21*Time!AG30/12,0)</f>
        <v/>
      </c>
      <c r="AH61" s="13">
        <f>IF(Time!AH30&gt;0,Inputs!$F$154*MAX(-1,MIN(1,(AH32-Inputs!$F$216)/Inputs!$F$217))*AH21*Time!AH30/12,0)</f>
        <v/>
      </c>
      <c r="AI61" s="13">
        <f>IF(Time!AI30&gt;0,Inputs!$F$154*MAX(-1,MIN(1,(AI32-Inputs!$F$216)/Inputs!$F$217))*AI21*Time!AI30/12,0)</f>
        <v/>
      </c>
      <c r="AJ61" s="13">
        <f>IF(Time!AJ30&gt;0,Inputs!$F$154*MAX(-1,MIN(1,(AJ32-Inputs!$F$216)/Inputs!$F$217))*AJ21*Time!AJ30/12,0)</f>
        <v/>
      </c>
      <c r="AK61" s="13">
        <f>IF(Time!AK30&gt;0,Inputs!$F$154*MAX(-1,MIN(1,(AK32-Inputs!$F$216)/Inputs!$F$217))*AK21*Time!AK30/12,0)</f>
        <v/>
      </c>
      <c r="AL61" s="13">
        <f>IF(Time!AL30&gt;0,Inputs!$F$154*MAX(-1,MIN(1,(AL32-Inputs!$F$216)/Inputs!$F$217))*AL21*Time!AL30/12,0)</f>
        <v/>
      </c>
      <c r="AM61" s="13">
        <f>IF(Time!AM30&gt;0,Inputs!$F$154*MAX(-1,MIN(1,(AM32-Inputs!$F$216)/Inputs!$F$217))*AM21*Time!AM30/12,0)</f>
        <v/>
      </c>
      <c r="AN61" s="13">
        <f>IF(Time!AN30&gt;0,Inputs!$F$154*MAX(-1,MIN(1,(AN32-Inputs!$F$216)/Inputs!$F$217))*AN21*Time!AN30/12,0)</f>
        <v/>
      </c>
      <c r="AO61" s="13">
        <f>IF(Time!AO30&gt;0,Inputs!$F$154*MAX(-1,MIN(1,(AO32-Inputs!$F$216)/Inputs!$F$217))*AO21*Time!AO30/12,0)</f>
        <v/>
      </c>
      <c r="AP61" s="13">
        <f>IF(Time!AP30&gt;0,Inputs!$F$154*MAX(-1,MIN(1,(AP32-Inputs!$F$216)/Inputs!$F$217))*AP21*Time!AP30/12,0)</f>
        <v/>
      </c>
      <c r="AQ61" s="13">
        <f>IF(Time!AQ30&gt;0,Inputs!$F$154*MAX(-1,MIN(1,(AQ32-Inputs!$F$216)/Inputs!$F$217))*AQ21*Time!AQ30/12,0)</f>
        <v/>
      </c>
      <c r="AR61" s="13">
        <f>IF(Time!AR30&gt;0,Inputs!$F$154*MAX(-1,MIN(1,(AR32-Inputs!$F$216)/Inputs!$F$217))*AR21*Time!AR30/12,0)</f>
        <v/>
      </c>
      <c r="AS61" s="13">
        <f>IF(Time!AS30&gt;0,Inputs!$F$154*MAX(-1,MIN(1,(AS32-Inputs!$F$216)/Inputs!$F$217))*AS21*Time!AS30/12,0)</f>
        <v/>
      </c>
      <c r="AT61" s="13">
        <f>IF(Time!AT30&gt;0,Inputs!$F$154*MAX(-1,MIN(1,(AT32-Inputs!$F$216)/Inputs!$F$217))*AT21*Time!AT30/12,0)</f>
        <v/>
      </c>
      <c r="AU61" s="13">
        <f>IF(Time!AU30&gt;0,Inputs!$F$154*MAX(-1,MIN(1,(AU32-Inputs!$F$216)/Inputs!$F$217))*AU21*Time!AU30/12,0)</f>
        <v/>
      </c>
      <c r="AV61" s="13">
        <f>IF(Time!AV30&gt;0,Inputs!$F$154*MAX(-1,MIN(1,(AV32-Inputs!$F$216)/Inputs!$F$217))*AV21*Time!AV30/12,0)</f>
        <v/>
      </c>
      <c r="AW61" s="13">
        <f>IF(Time!AW30&gt;0,Inputs!$F$154*MAX(-1,MIN(1,(AW32-Inputs!$F$216)/Inputs!$F$217))*AW21*Time!AW30/12,0)</f>
        <v/>
      </c>
      <c r="AX61" s="13">
        <f>IF(Time!AX30&gt;0,Inputs!$F$154*MAX(-1,MIN(1,(AX32-Inputs!$F$216)/Inputs!$F$217))*AX21*Time!AX30/12,0)</f>
        <v/>
      </c>
      <c r="AY61" s="13">
        <f>IF(Time!AY30&gt;0,Inputs!$F$154*MAX(-1,MIN(1,(AY32-Inputs!$F$216)/Inputs!$F$217))*AY21*Time!AY30/12,0)</f>
        <v/>
      </c>
      <c r="AZ61" s="13">
        <f>IF(Time!AZ30&gt;0,Inputs!$F$154*MAX(-1,MIN(1,(AZ32-Inputs!$F$216)/Inputs!$F$217))*AZ21*Time!AZ30/12,0)</f>
        <v/>
      </c>
      <c r="BA61" s="13">
        <f>IF(Time!BA30&gt;0,Inputs!$F$154*MAX(-1,MIN(1,(BA32-Inputs!$F$216)/Inputs!$F$217))*BA21*Time!BA30/12,0)</f>
        <v/>
      </c>
      <c r="BB61" s="13">
        <f>IF(Time!BB30&gt;0,Inputs!$F$154*MAX(-1,MIN(1,(BB32-Inputs!$F$216)/Inputs!$F$217))*BB21*Time!BB30/12,0)</f>
        <v/>
      </c>
      <c r="BC61" s="13">
        <f>IF(Time!BC30&gt;0,Inputs!$F$154*MAX(-1,MIN(1,(BC32-Inputs!$F$216)/Inputs!$F$217))*BC21*Time!BC30/12,0)</f>
        <v/>
      </c>
      <c r="BD61" s="13">
        <f>IF(Time!BD30&gt;0,Inputs!$F$154*MAX(-1,MIN(1,(BD32-Inputs!$F$216)/Inputs!$F$217))*BD21*Time!BD30/12,0)</f>
        <v/>
      </c>
      <c r="BE61" s="13">
        <f>IF(Time!BE30&gt;0,Inputs!$F$154*MAX(-1,MIN(1,(BE32-Inputs!$F$216)/Inputs!$F$217))*BE21*Time!BE30/12,0)</f>
        <v/>
      </c>
      <c r="BF61" s="13">
        <f>IF(Time!BF30&gt;0,Inputs!$F$154*MAX(-1,MIN(1,(BF32-Inputs!$F$216)/Inputs!$F$217))*BF21*Time!BF30/12,0)</f>
        <v/>
      </c>
      <c r="BG61" s="13">
        <f>IF(Time!BG30&gt;0,Inputs!$F$154*MAX(-1,MIN(1,(BG32-Inputs!$F$216)/Inputs!$F$217))*BG21*Time!BG30/12,0)</f>
        <v/>
      </c>
      <c r="BH61" s="13">
        <f>IF(Time!BH30&gt;0,Inputs!$F$154*MAX(-1,MIN(1,(BH32-Inputs!$F$216)/Inputs!$F$217))*BH21*Time!BH30/12,0)</f>
        <v/>
      </c>
      <c r="BI61" s="13">
        <f>IF(Time!BI30&gt;0,Inputs!$F$154*MAX(-1,MIN(1,(BI32-Inputs!$F$216)/Inputs!$F$217))*BI21*Time!BI30/12,0)</f>
        <v/>
      </c>
      <c r="BJ61" s="13">
        <f>IF(Time!BJ30&gt;0,Inputs!$F$154*MAX(-1,MIN(1,(BJ32-Inputs!$F$216)/Inputs!$F$217))*BJ21*Time!BJ30/12,0)</f>
        <v/>
      </c>
      <c r="BK61" s="13">
        <f>IF(Time!BK30&gt;0,Inputs!$F$154*MAX(-1,MIN(1,(BK32-Inputs!$F$216)/Inputs!$F$217))*BK21*Time!BK30/12,0)</f>
        <v/>
      </c>
      <c r="BL61" s="13">
        <f>IF(Time!BL30&gt;0,Inputs!$F$154*MAX(-1,MIN(1,(BL32-Inputs!$F$216)/Inputs!$F$217))*BL21*Time!BL30/12,0)</f>
        <v/>
      </c>
      <c r="BM61" s="13">
        <f>IF(Time!BM30&gt;0,Inputs!$F$154*MAX(-1,MIN(1,(BM32-Inputs!$F$216)/Inputs!$F$217))*BM21*Time!BM30/12,0)</f>
        <v/>
      </c>
      <c r="BN61" s="13">
        <f>IF(Time!BN30&gt;0,Inputs!$F$154*MAX(-1,MIN(1,(BN32-Inputs!$F$216)/Inputs!$F$217))*BN21*Time!BN30/12,0)</f>
        <v/>
      </c>
    </row>
    <row r="62">
      <c r="D62" t="inlineStr">
        <is>
          <t>LTSA fixed fee</t>
        </is>
      </c>
      <c r="E62" t="inlineStr">
        <is>
          <t>USD m</t>
        </is>
      </c>
      <c r="G62" s="13">
        <f>SUM(J62:BN62)</f>
        <v/>
      </c>
      <c r="J62" s="13">
        <f>Inputs!$F$155*J21*Time!J30/12*Inputs!$F$40</f>
        <v/>
      </c>
      <c r="K62" s="13">
        <f>Inputs!$F$155*K21*Time!K30/12*Inputs!$F$40</f>
        <v/>
      </c>
      <c r="L62" s="13">
        <f>Inputs!$F$155*L21*Time!L30/12*Inputs!$F$40</f>
        <v/>
      </c>
      <c r="M62" s="13">
        <f>Inputs!$F$155*M21*Time!M30/12*Inputs!$F$40</f>
        <v/>
      </c>
      <c r="N62" s="13">
        <f>Inputs!$F$155*N21*Time!N30/12*Inputs!$F$40</f>
        <v/>
      </c>
      <c r="O62" s="13">
        <f>Inputs!$F$155*O21*Time!O30/12*Inputs!$F$40</f>
        <v/>
      </c>
      <c r="P62" s="13">
        <f>Inputs!$F$155*P21*Time!P30/12*Inputs!$F$40</f>
        <v/>
      </c>
      <c r="Q62" s="13">
        <f>Inputs!$F$155*Q21*Time!Q30/12*Inputs!$F$40</f>
        <v/>
      </c>
      <c r="R62" s="13">
        <f>Inputs!$F$155*R21*Time!R30/12*Inputs!$F$40</f>
        <v/>
      </c>
      <c r="S62" s="13">
        <f>Inputs!$F$155*S21*Time!S30/12*Inputs!$F$40</f>
        <v/>
      </c>
      <c r="T62" s="13">
        <f>Inputs!$F$155*T21*Time!T30/12*Inputs!$F$40</f>
        <v/>
      </c>
      <c r="U62" s="13">
        <f>Inputs!$F$155*U21*Time!U30/12*Inputs!$F$40</f>
        <v/>
      </c>
      <c r="V62" s="13">
        <f>Inputs!$F$155*V21*Time!V30/12*Inputs!$F$40</f>
        <v/>
      </c>
      <c r="W62" s="13">
        <f>Inputs!$F$155*W21*Time!W30/12*Inputs!$F$40</f>
        <v/>
      </c>
      <c r="X62" s="13">
        <f>Inputs!$F$155*X21*Time!X30/12*Inputs!$F$40</f>
        <v/>
      </c>
      <c r="Y62" s="13">
        <f>Inputs!$F$155*Y21*Time!Y30/12*Inputs!$F$40</f>
        <v/>
      </c>
      <c r="Z62" s="13">
        <f>Inputs!$F$155*Z21*Time!Z30/12*Inputs!$F$40</f>
        <v/>
      </c>
      <c r="AA62" s="13">
        <f>Inputs!$F$155*AA21*Time!AA30/12*Inputs!$F$40</f>
        <v/>
      </c>
      <c r="AB62" s="13">
        <f>Inputs!$F$155*AB21*Time!AB30/12*Inputs!$F$40</f>
        <v/>
      </c>
      <c r="AC62" s="13">
        <f>Inputs!$F$155*AC21*Time!AC30/12*Inputs!$F$40</f>
        <v/>
      </c>
      <c r="AD62" s="13">
        <f>Inputs!$F$155*AD21*Time!AD30/12*Inputs!$F$40</f>
        <v/>
      </c>
      <c r="AE62" s="13">
        <f>Inputs!$F$155*AE21*Time!AE30/12*Inputs!$F$40</f>
        <v/>
      </c>
      <c r="AF62" s="13">
        <f>Inputs!$F$155*AF21*Time!AF30/12*Inputs!$F$40</f>
        <v/>
      </c>
      <c r="AG62" s="13">
        <f>Inputs!$F$155*AG21*Time!AG30/12*Inputs!$F$40</f>
        <v/>
      </c>
      <c r="AH62" s="13">
        <f>Inputs!$F$155*AH21*Time!AH30/12*Inputs!$F$40</f>
        <v/>
      </c>
      <c r="AI62" s="13">
        <f>Inputs!$F$155*AI21*Time!AI30/12*Inputs!$F$40</f>
        <v/>
      </c>
      <c r="AJ62" s="13">
        <f>Inputs!$F$155*AJ21*Time!AJ30/12*Inputs!$F$40</f>
        <v/>
      </c>
      <c r="AK62" s="13">
        <f>Inputs!$F$155*AK21*Time!AK30/12*Inputs!$F$40</f>
        <v/>
      </c>
      <c r="AL62" s="13">
        <f>Inputs!$F$155*AL21*Time!AL30/12*Inputs!$F$40</f>
        <v/>
      </c>
      <c r="AM62" s="13">
        <f>Inputs!$F$155*AM21*Time!AM30/12*Inputs!$F$40</f>
        <v/>
      </c>
      <c r="AN62" s="13">
        <f>Inputs!$F$155*AN21*Time!AN30/12*Inputs!$F$40</f>
        <v/>
      </c>
      <c r="AO62" s="13">
        <f>Inputs!$F$155*AO21*Time!AO30/12*Inputs!$F$40</f>
        <v/>
      </c>
      <c r="AP62" s="13">
        <f>Inputs!$F$155*AP21*Time!AP30/12*Inputs!$F$40</f>
        <v/>
      </c>
      <c r="AQ62" s="13">
        <f>Inputs!$F$155*AQ21*Time!AQ30/12*Inputs!$F$40</f>
        <v/>
      </c>
      <c r="AR62" s="13">
        <f>Inputs!$F$155*AR21*Time!AR30/12*Inputs!$F$40</f>
        <v/>
      </c>
      <c r="AS62" s="13">
        <f>Inputs!$F$155*AS21*Time!AS30/12*Inputs!$F$40</f>
        <v/>
      </c>
      <c r="AT62" s="13">
        <f>Inputs!$F$155*AT21*Time!AT30/12*Inputs!$F$40</f>
        <v/>
      </c>
      <c r="AU62" s="13">
        <f>Inputs!$F$155*AU21*Time!AU30/12*Inputs!$F$40</f>
        <v/>
      </c>
      <c r="AV62" s="13">
        <f>Inputs!$F$155*AV21*Time!AV30/12*Inputs!$F$40</f>
        <v/>
      </c>
      <c r="AW62" s="13">
        <f>Inputs!$F$155*AW21*Time!AW30/12*Inputs!$F$40</f>
        <v/>
      </c>
      <c r="AX62" s="13">
        <f>Inputs!$F$155*AX21*Time!AX30/12*Inputs!$F$40</f>
        <v/>
      </c>
      <c r="AY62" s="13">
        <f>Inputs!$F$155*AY21*Time!AY30/12*Inputs!$F$40</f>
        <v/>
      </c>
      <c r="AZ62" s="13">
        <f>Inputs!$F$155*AZ21*Time!AZ30/12*Inputs!$F$40</f>
        <v/>
      </c>
      <c r="BA62" s="13">
        <f>Inputs!$F$155*BA21*Time!BA30/12*Inputs!$F$40</f>
        <v/>
      </c>
      <c r="BB62" s="13">
        <f>Inputs!$F$155*BB21*Time!BB30/12*Inputs!$F$40</f>
        <v/>
      </c>
      <c r="BC62" s="13">
        <f>Inputs!$F$155*BC21*Time!BC30/12*Inputs!$F$40</f>
        <v/>
      </c>
      <c r="BD62" s="13">
        <f>Inputs!$F$155*BD21*Time!BD30/12*Inputs!$F$40</f>
        <v/>
      </c>
      <c r="BE62" s="13">
        <f>Inputs!$F$155*BE21*Time!BE30/12*Inputs!$F$40</f>
        <v/>
      </c>
      <c r="BF62" s="13">
        <f>Inputs!$F$155*BF21*Time!BF30/12*Inputs!$F$40</f>
        <v/>
      </c>
      <c r="BG62" s="13">
        <f>Inputs!$F$155*BG21*Time!BG30/12*Inputs!$F$40</f>
        <v/>
      </c>
      <c r="BH62" s="13">
        <f>Inputs!$F$155*BH21*Time!BH30/12*Inputs!$F$40</f>
        <v/>
      </c>
      <c r="BI62" s="13">
        <f>Inputs!$F$155*BI21*Time!BI30/12*Inputs!$F$40</f>
        <v/>
      </c>
      <c r="BJ62" s="13">
        <f>Inputs!$F$155*BJ21*Time!BJ30/12*Inputs!$F$40</f>
        <v/>
      </c>
      <c r="BK62" s="13">
        <f>Inputs!$F$155*BK21*Time!BK30/12*Inputs!$F$40</f>
        <v/>
      </c>
      <c r="BL62" s="13">
        <f>Inputs!$F$155*BL21*Time!BL30/12*Inputs!$F$40</f>
        <v/>
      </c>
      <c r="BM62" s="13">
        <f>Inputs!$F$155*BM21*Time!BM30/12*Inputs!$F$40</f>
        <v/>
      </c>
      <c r="BN62" s="13">
        <f>Inputs!$F$155*BN21*Time!BN30/12*Inputs!$F$40</f>
        <v/>
      </c>
    </row>
    <row r="63">
      <c r="D63" t="inlineStr">
        <is>
          <t>Equivalent operating hours (2 GTs)</t>
        </is>
      </c>
      <c r="E63" t="inlineStr">
        <is>
          <t>EOH</t>
        </is>
      </c>
      <c r="J63" s="15">
        <f>IF(J31&gt;0,1*(Inputs!$F$129*J32/J31*J37/Inputs!$F$131+Inputs!$F$130*Inputs!$F$132)*Time!J30/12,0)</f>
        <v/>
      </c>
      <c r="K63" s="15">
        <f>IF(K31&gt;0,1*(Inputs!$F$129*K32/K31*K37/Inputs!$F$131+Inputs!$F$130*Inputs!$F$132)*Time!K30/12,0)</f>
        <v/>
      </c>
      <c r="L63" s="15">
        <f>IF(L31&gt;0,1*(Inputs!$F$129*L32/L31*L37/Inputs!$F$131+Inputs!$F$130*Inputs!$F$132)*Time!L30/12,0)</f>
        <v/>
      </c>
      <c r="M63" s="15">
        <f>IF(M31&gt;0,1*(Inputs!$F$129*M32/M31*M37/Inputs!$F$131+Inputs!$F$130*Inputs!$F$132)*Time!M30/12,0)</f>
        <v/>
      </c>
      <c r="N63" s="15">
        <f>IF(N31&gt;0,1*(Inputs!$F$129*N32/N31*N37/Inputs!$F$131+Inputs!$F$130*Inputs!$F$132)*Time!N30/12,0)</f>
        <v/>
      </c>
      <c r="O63" s="15">
        <f>IF(O31&gt;0,1*(Inputs!$F$129*O32/O31*O37/Inputs!$F$131+Inputs!$F$130*Inputs!$F$132)*Time!O30/12,0)</f>
        <v/>
      </c>
      <c r="P63" s="15">
        <f>IF(P31&gt;0,1*(Inputs!$F$129*P32/P31*P37/Inputs!$F$131+Inputs!$F$130*Inputs!$F$132)*Time!P30/12,0)</f>
        <v/>
      </c>
      <c r="Q63" s="15">
        <f>IF(Q31&gt;0,1*(Inputs!$F$129*Q32/Q31*Q37/Inputs!$F$131+Inputs!$F$130*Inputs!$F$132)*Time!Q30/12,0)</f>
        <v/>
      </c>
      <c r="R63" s="15">
        <f>IF(R31&gt;0,1*(Inputs!$F$129*R32/R31*R37/Inputs!$F$131+Inputs!$F$130*Inputs!$F$132)*Time!R30/12,0)</f>
        <v/>
      </c>
      <c r="S63" s="15">
        <f>IF(S31&gt;0,1*(Inputs!$F$129*S32/S31*S37/Inputs!$F$131+Inputs!$F$130*Inputs!$F$132)*Time!S30/12,0)</f>
        <v/>
      </c>
      <c r="T63" s="15">
        <f>IF(T31&gt;0,1*(Inputs!$F$129*T32/T31*T37/Inputs!$F$131+Inputs!$F$130*Inputs!$F$132)*Time!T30/12,0)</f>
        <v/>
      </c>
      <c r="U63" s="15">
        <f>IF(U31&gt;0,1*(Inputs!$F$129*U32/U31*U37/Inputs!$F$131+Inputs!$F$130*Inputs!$F$132)*Time!U30/12,0)</f>
        <v/>
      </c>
      <c r="V63" s="15">
        <f>IF(V31&gt;0,1*(Inputs!$F$129*V32/V31*V37/Inputs!$F$131+Inputs!$F$130*Inputs!$F$132)*Time!V30/12,0)</f>
        <v/>
      </c>
      <c r="W63" s="15">
        <f>IF(W31&gt;0,1*(Inputs!$F$129*W32/W31*W37/Inputs!$F$131+Inputs!$F$130*Inputs!$F$132)*Time!W30/12,0)</f>
        <v/>
      </c>
      <c r="X63" s="15">
        <f>IF(X31&gt;0,1*(Inputs!$F$129*X32/X31*X37/Inputs!$F$131+Inputs!$F$130*Inputs!$F$132)*Time!X30/12,0)</f>
        <v/>
      </c>
      <c r="Y63" s="15">
        <f>IF(Y31&gt;0,1*(Inputs!$F$129*Y32/Y31*Y37/Inputs!$F$131+Inputs!$F$130*Inputs!$F$132)*Time!Y30/12,0)</f>
        <v/>
      </c>
      <c r="Z63" s="15">
        <f>IF(Z31&gt;0,1*(Inputs!$F$129*Z32/Z31*Z37/Inputs!$F$131+Inputs!$F$130*Inputs!$F$132)*Time!Z30/12,0)</f>
        <v/>
      </c>
      <c r="AA63" s="15">
        <f>IF(AA31&gt;0,1*(Inputs!$F$129*AA32/AA31*AA37/Inputs!$F$131+Inputs!$F$130*Inputs!$F$132)*Time!AA30/12,0)</f>
        <v/>
      </c>
      <c r="AB63" s="15">
        <f>IF(AB31&gt;0,1*(Inputs!$F$129*AB32/AB31*AB37/Inputs!$F$131+Inputs!$F$130*Inputs!$F$132)*Time!AB30/12,0)</f>
        <v/>
      </c>
      <c r="AC63" s="15">
        <f>IF(AC31&gt;0,1*(Inputs!$F$129*AC32/AC31*AC37/Inputs!$F$131+Inputs!$F$130*Inputs!$F$132)*Time!AC30/12,0)</f>
        <v/>
      </c>
      <c r="AD63" s="15">
        <f>IF(AD31&gt;0,1*(Inputs!$F$129*AD32/AD31*AD37/Inputs!$F$131+Inputs!$F$130*Inputs!$F$132)*Time!AD30/12,0)</f>
        <v/>
      </c>
      <c r="AE63" s="15">
        <f>IF(AE31&gt;0,1*(Inputs!$F$129*AE32/AE31*AE37/Inputs!$F$131+Inputs!$F$130*Inputs!$F$132)*Time!AE30/12,0)</f>
        <v/>
      </c>
      <c r="AF63" s="15">
        <f>IF(AF31&gt;0,1*(Inputs!$F$129*AF32/AF31*AF37/Inputs!$F$131+Inputs!$F$130*Inputs!$F$132)*Time!AF30/12,0)</f>
        <v/>
      </c>
      <c r="AG63" s="15">
        <f>IF(AG31&gt;0,1*(Inputs!$F$129*AG32/AG31*AG37/Inputs!$F$131+Inputs!$F$130*Inputs!$F$132)*Time!AG30/12,0)</f>
        <v/>
      </c>
      <c r="AH63" s="15">
        <f>IF(AH31&gt;0,1*(Inputs!$F$129*AH32/AH31*AH37/Inputs!$F$131+Inputs!$F$130*Inputs!$F$132)*Time!AH30/12,0)</f>
        <v/>
      </c>
      <c r="AI63" s="15">
        <f>IF(AI31&gt;0,1*(Inputs!$F$129*AI32/AI31*AI37/Inputs!$F$131+Inputs!$F$130*Inputs!$F$132)*Time!AI30/12,0)</f>
        <v/>
      </c>
      <c r="AJ63" s="15">
        <f>IF(AJ31&gt;0,1*(Inputs!$F$129*AJ32/AJ31*AJ37/Inputs!$F$131+Inputs!$F$130*Inputs!$F$132)*Time!AJ30/12,0)</f>
        <v/>
      </c>
      <c r="AK63" s="15">
        <f>IF(AK31&gt;0,1*(Inputs!$F$129*AK32/AK31*AK37/Inputs!$F$131+Inputs!$F$130*Inputs!$F$132)*Time!AK30/12,0)</f>
        <v/>
      </c>
      <c r="AL63" s="15">
        <f>IF(AL31&gt;0,1*(Inputs!$F$129*AL32/AL31*AL37/Inputs!$F$131+Inputs!$F$130*Inputs!$F$132)*Time!AL30/12,0)</f>
        <v/>
      </c>
      <c r="AM63" s="15">
        <f>IF(AM31&gt;0,1*(Inputs!$F$129*AM32/AM31*AM37/Inputs!$F$131+Inputs!$F$130*Inputs!$F$132)*Time!AM30/12,0)</f>
        <v/>
      </c>
      <c r="AN63" s="15">
        <f>IF(AN31&gt;0,1*(Inputs!$F$129*AN32/AN31*AN37/Inputs!$F$131+Inputs!$F$130*Inputs!$F$132)*Time!AN30/12,0)</f>
        <v/>
      </c>
      <c r="AO63" s="15">
        <f>IF(AO31&gt;0,1*(Inputs!$F$129*AO32/AO31*AO37/Inputs!$F$131+Inputs!$F$130*Inputs!$F$132)*Time!AO30/12,0)</f>
        <v/>
      </c>
      <c r="AP63" s="15">
        <f>IF(AP31&gt;0,1*(Inputs!$F$129*AP32/AP31*AP37/Inputs!$F$131+Inputs!$F$130*Inputs!$F$132)*Time!AP30/12,0)</f>
        <v/>
      </c>
      <c r="AQ63" s="15">
        <f>IF(AQ31&gt;0,1*(Inputs!$F$129*AQ32/AQ31*AQ37/Inputs!$F$131+Inputs!$F$130*Inputs!$F$132)*Time!AQ30/12,0)</f>
        <v/>
      </c>
      <c r="AR63" s="15">
        <f>IF(AR31&gt;0,1*(Inputs!$F$129*AR32/AR31*AR37/Inputs!$F$131+Inputs!$F$130*Inputs!$F$132)*Time!AR30/12,0)</f>
        <v/>
      </c>
      <c r="AS63" s="15">
        <f>IF(AS31&gt;0,1*(Inputs!$F$129*AS32/AS31*AS37/Inputs!$F$131+Inputs!$F$130*Inputs!$F$132)*Time!AS30/12,0)</f>
        <v/>
      </c>
      <c r="AT63" s="15">
        <f>IF(AT31&gt;0,1*(Inputs!$F$129*AT32/AT31*AT37/Inputs!$F$131+Inputs!$F$130*Inputs!$F$132)*Time!AT30/12,0)</f>
        <v/>
      </c>
      <c r="AU63" s="15">
        <f>IF(AU31&gt;0,1*(Inputs!$F$129*AU32/AU31*AU37/Inputs!$F$131+Inputs!$F$130*Inputs!$F$132)*Time!AU30/12,0)</f>
        <v/>
      </c>
      <c r="AV63" s="15">
        <f>IF(AV31&gt;0,1*(Inputs!$F$129*AV32/AV31*AV37/Inputs!$F$131+Inputs!$F$130*Inputs!$F$132)*Time!AV30/12,0)</f>
        <v/>
      </c>
      <c r="AW63" s="15">
        <f>IF(AW31&gt;0,1*(Inputs!$F$129*AW32/AW31*AW37/Inputs!$F$131+Inputs!$F$130*Inputs!$F$132)*Time!AW30/12,0)</f>
        <v/>
      </c>
      <c r="AX63" s="15">
        <f>IF(AX31&gt;0,1*(Inputs!$F$129*AX32/AX31*AX37/Inputs!$F$131+Inputs!$F$130*Inputs!$F$132)*Time!AX30/12,0)</f>
        <v/>
      </c>
      <c r="AY63" s="15">
        <f>IF(AY31&gt;0,1*(Inputs!$F$129*AY32/AY31*AY37/Inputs!$F$131+Inputs!$F$130*Inputs!$F$132)*Time!AY30/12,0)</f>
        <v/>
      </c>
      <c r="AZ63" s="15">
        <f>IF(AZ31&gt;0,1*(Inputs!$F$129*AZ32/AZ31*AZ37/Inputs!$F$131+Inputs!$F$130*Inputs!$F$132)*Time!AZ30/12,0)</f>
        <v/>
      </c>
      <c r="BA63" s="15">
        <f>IF(BA31&gt;0,1*(Inputs!$F$129*BA32/BA31*BA37/Inputs!$F$131+Inputs!$F$130*Inputs!$F$132)*Time!BA30/12,0)</f>
        <v/>
      </c>
      <c r="BB63" s="15">
        <f>IF(BB31&gt;0,1*(Inputs!$F$129*BB32/BB31*BB37/Inputs!$F$131+Inputs!$F$130*Inputs!$F$132)*Time!BB30/12,0)</f>
        <v/>
      </c>
      <c r="BC63" s="15">
        <f>IF(BC31&gt;0,1*(Inputs!$F$129*BC32/BC31*BC37/Inputs!$F$131+Inputs!$F$130*Inputs!$F$132)*Time!BC30/12,0)</f>
        <v/>
      </c>
      <c r="BD63" s="15">
        <f>IF(BD31&gt;0,1*(Inputs!$F$129*BD32/BD31*BD37/Inputs!$F$131+Inputs!$F$130*Inputs!$F$132)*Time!BD30/12,0)</f>
        <v/>
      </c>
      <c r="BE63" s="15">
        <f>IF(BE31&gt;0,1*(Inputs!$F$129*BE32/BE31*BE37/Inputs!$F$131+Inputs!$F$130*Inputs!$F$132)*Time!BE30/12,0)</f>
        <v/>
      </c>
      <c r="BF63" s="15">
        <f>IF(BF31&gt;0,1*(Inputs!$F$129*BF32/BF31*BF37/Inputs!$F$131+Inputs!$F$130*Inputs!$F$132)*Time!BF30/12,0)</f>
        <v/>
      </c>
      <c r="BG63" s="15">
        <f>IF(BG31&gt;0,1*(Inputs!$F$129*BG32/BG31*BG37/Inputs!$F$131+Inputs!$F$130*Inputs!$F$132)*Time!BG30/12,0)</f>
        <v/>
      </c>
      <c r="BH63" s="15">
        <f>IF(BH31&gt;0,1*(Inputs!$F$129*BH32/BH31*BH37/Inputs!$F$131+Inputs!$F$130*Inputs!$F$132)*Time!BH30/12,0)</f>
        <v/>
      </c>
      <c r="BI63" s="15">
        <f>IF(BI31&gt;0,1*(Inputs!$F$129*BI32/BI31*BI37/Inputs!$F$131+Inputs!$F$130*Inputs!$F$132)*Time!BI30/12,0)</f>
        <v/>
      </c>
      <c r="BJ63" s="15">
        <f>IF(BJ31&gt;0,1*(Inputs!$F$129*BJ32/BJ31*BJ37/Inputs!$F$131+Inputs!$F$130*Inputs!$F$132)*Time!BJ30/12,0)</f>
        <v/>
      </c>
      <c r="BK63" s="15">
        <f>IF(BK31&gt;0,1*(Inputs!$F$129*BK32/BK31*BK37/Inputs!$F$131+Inputs!$F$130*Inputs!$F$132)*Time!BK30/12,0)</f>
        <v/>
      </c>
      <c r="BL63" s="15">
        <f>IF(BL31&gt;0,1*(Inputs!$F$129*BL32/BL31*BL37/Inputs!$F$131+Inputs!$F$130*Inputs!$F$132)*Time!BL30/12,0)</f>
        <v/>
      </c>
      <c r="BM63" s="15">
        <f>IF(BM31&gt;0,1*(Inputs!$F$129*BM32/BM31*BM37/Inputs!$F$131+Inputs!$F$130*Inputs!$F$132)*Time!BM30/12,0)</f>
        <v/>
      </c>
      <c r="BN63" s="15">
        <f>IF(BN31&gt;0,1*(Inputs!$F$129*BN32/BN31*BN37/Inputs!$F$131+Inputs!$F$130*Inputs!$F$132)*Time!BN30/12,0)</f>
        <v/>
      </c>
    </row>
    <row r="64">
      <c r="D64" t="inlineStr">
        <is>
          <t>LTSA variable fee</t>
        </is>
      </c>
      <c r="E64" t="inlineStr">
        <is>
          <t>USD m</t>
        </is>
      </c>
      <c r="G64" s="13">
        <f>SUM(J64:BN64)</f>
        <v/>
      </c>
      <c r="J64" s="13">
        <f>J63*Inputs!$F$156*J21/1000000</f>
        <v/>
      </c>
      <c r="K64" s="13">
        <f>K63*Inputs!$F$156*K21/1000000</f>
        <v/>
      </c>
      <c r="L64" s="13">
        <f>L63*Inputs!$F$156*L21/1000000</f>
        <v/>
      </c>
      <c r="M64" s="13">
        <f>M63*Inputs!$F$156*M21/1000000</f>
        <v/>
      </c>
      <c r="N64" s="13">
        <f>N63*Inputs!$F$156*N21/1000000</f>
        <v/>
      </c>
      <c r="O64" s="13">
        <f>O63*Inputs!$F$156*O21/1000000</f>
        <v/>
      </c>
      <c r="P64" s="13">
        <f>P63*Inputs!$F$156*P21/1000000</f>
        <v/>
      </c>
      <c r="Q64" s="13">
        <f>Q63*Inputs!$F$156*Q21/1000000</f>
        <v/>
      </c>
      <c r="R64" s="13">
        <f>R63*Inputs!$F$156*R21/1000000</f>
        <v/>
      </c>
      <c r="S64" s="13">
        <f>S63*Inputs!$F$156*S21/1000000</f>
        <v/>
      </c>
      <c r="T64" s="13">
        <f>T63*Inputs!$F$156*T21/1000000</f>
        <v/>
      </c>
      <c r="U64" s="13">
        <f>U63*Inputs!$F$156*U21/1000000</f>
        <v/>
      </c>
      <c r="V64" s="13">
        <f>V63*Inputs!$F$156*V21/1000000</f>
        <v/>
      </c>
      <c r="W64" s="13">
        <f>W63*Inputs!$F$156*W21/1000000</f>
        <v/>
      </c>
      <c r="X64" s="13">
        <f>X63*Inputs!$F$156*X21/1000000</f>
        <v/>
      </c>
      <c r="Y64" s="13">
        <f>Y63*Inputs!$F$156*Y21/1000000</f>
        <v/>
      </c>
      <c r="Z64" s="13">
        <f>Z63*Inputs!$F$156*Z21/1000000</f>
        <v/>
      </c>
      <c r="AA64" s="13">
        <f>AA63*Inputs!$F$156*AA21/1000000</f>
        <v/>
      </c>
      <c r="AB64" s="13">
        <f>AB63*Inputs!$F$156*AB21/1000000</f>
        <v/>
      </c>
      <c r="AC64" s="13">
        <f>AC63*Inputs!$F$156*AC21/1000000</f>
        <v/>
      </c>
      <c r="AD64" s="13">
        <f>AD63*Inputs!$F$156*AD21/1000000</f>
        <v/>
      </c>
      <c r="AE64" s="13">
        <f>AE63*Inputs!$F$156*AE21/1000000</f>
        <v/>
      </c>
      <c r="AF64" s="13">
        <f>AF63*Inputs!$F$156*AF21/1000000</f>
        <v/>
      </c>
      <c r="AG64" s="13">
        <f>AG63*Inputs!$F$156*AG21/1000000</f>
        <v/>
      </c>
      <c r="AH64" s="13">
        <f>AH63*Inputs!$F$156*AH21/1000000</f>
        <v/>
      </c>
      <c r="AI64" s="13">
        <f>AI63*Inputs!$F$156*AI21/1000000</f>
        <v/>
      </c>
      <c r="AJ64" s="13">
        <f>AJ63*Inputs!$F$156*AJ21/1000000</f>
        <v/>
      </c>
      <c r="AK64" s="13">
        <f>AK63*Inputs!$F$156*AK21/1000000</f>
        <v/>
      </c>
      <c r="AL64" s="13">
        <f>AL63*Inputs!$F$156*AL21/1000000</f>
        <v/>
      </c>
      <c r="AM64" s="13">
        <f>AM63*Inputs!$F$156*AM21/1000000</f>
        <v/>
      </c>
      <c r="AN64" s="13">
        <f>AN63*Inputs!$F$156*AN21/1000000</f>
        <v/>
      </c>
      <c r="AO64" s="13">
        <f>AO63*Inputs!$F$156*AO21/1000000</f>
        <v/>
      </c>
      <c r="AP64" s="13">
        <f>AP63*Inputs!$F$156*AP21/1000000</f>
        <v/>
      </c>
      <c r="AQ64" s="13">
        <f>AQ63*Inputs!$F$156*AQ21/1000000</f>
        <v/>
      </c>
      <c r="AR64" s="13">
        <f>AR63*Inputs!$F$156*AR21/1000000</f>
        <v/>
      </c>
      <c r="AS64" s="13">
        <f>AS63*Inputs!$F$156*AS21/1000000</f>
        <v/>
      </c>
      <c r="AT64" s="13">
        <f>AT63*Inputs!$F$156*AT21/1000000</f>
        <v/>
      </c>
      <c r="AU64" s="13">
        <f>AU63*Inputs!$F$156*AU21/1000000</f>
        <v/>
      </c>
      <c r="AV64" s="13">
        <f>AV63*Inputs!$F$156*AV21/1000000</f>
        <v/>
      </c>
      <c r="AW64" s="13">
        <f>AW63*Inputs!$F$156*AW21/1000000</f>
        <v/>
      </c>
      <c r="AX64" s="13">
        <f>AX63*Inputs!$F$156*AX21/1000000</f>
        <v/>
      </c>
      <c r="AY64" s="13">
        <f>AY63*Inputs!$F$156*AY21/1000000</f>
        <v/>
      </c>
      <c r="AZ64" s="13">
        <f>AZ63*Inputs!$F$156*AZ21/1000000</f>
        <v/>
      </c>
      <c r="BA64" s="13">
        <f>BA63*Inputs!$F$156*BA21/1000000</f>
        <v/>
      </c>
      <c r="BB64" s="13">
        <f>BB63*Inputs!$F$156*BB21/1000000</f>
        <v/>
      </c>
      <c r="BC64" s="13">
        <f>BC63*Inputs!$F$156*BC21/1000000</f>
        <v/>
      </c>
      <c r="BD64" s="13">
        <f>BD63*Inputs!$F$156*BD21/1000000</f>
        <v/>
      </c>
      <c r="BE64" s="13">
        <f>BE63*Inputs!$F$156*BE21/1000000</f>
        <v/>
      </c>
      <c r="BF64" s="13">
        <f>BF63*Inputs!$F$156*BF21/1000000</f>
        <v/>
      </c>
      <c r="BG64" s="13">
        <f>BG63*Inputs!$F$156*BG21/1000000</f>
        <v/>
      </c>
      <c r="BH64" s="13">
        <f>BH63*Inputs!$F$156*BH21/1000000</f>
        <v/>
      </c>
      <c r="BI64" s="13">
        <f>BI63*Inputs!$F$156*BI21/1000000</f>
        <v/>
      </c>
      <c r="BJ64" s="13">
        <f>BJ63*Inputs!$F$156*BJ21/1000000</f>
        <v/>
      </c>
      <c r="BK64" s="13">
        <f>BK63*Inputs!$F$156*BK21/1000000</f>
        <v/>
      </c>
      <c r="BL64" s="13">
        <f>BL63*Inputs!$F$156*BL21/1000000</f>
        <v/>
      </c>
      <c r="BM64" s="13">
        <f>BM63*Inputs!$F$156*BM21/1000000</f>
        <v/>
      </c>
      <c r="BN64" s="13">
        <f>BN63*Inputs!$F$156*BN21/1000000</f>
        <v/>
      </c>
    </row>
    <row r="65">
      <c r="D65" t="inlineStr">
        <is>
          <t>Operational insurance</t>
        </is>
      </c>
      <c r="E65" t="inlineStr">
        <is>
          <t>USD m</t>
        </is>
      </c>
      <c r="G65" s="13">
        <f>SUM(J65:BN65)</f>
        <v/>
      </c>
      <c r="J65" s="13">
        <f>Inputs!$F$157*J21*Time!J30/12*(1+Inputs!$F$158*Inputs!$F$46*Time!J41)*Inputs!$F$40</f>
        <v/>
      </c>
      <c r="K65" s="13">
        <f>Inputs!$F$157*K21*Time!K30/12*(1+Inputs!$F$158*Inputs!$F$46*Time!K41)*Inputs!$F$40</f>
        <v/>
      </c>
      <c r="L65" s="13">
        <f>Inputs!$F$157*L21*Time!L30/12*(1+Inputs!$F$158*Inputs!$F$46*Time!L41)*Inputs!$F$40</f>
        <v/>
      </c>
      <c r="M65" s="13">
        <f>Inputs!$F$157*M21*Time!M30/12*(1+Inputs!$F$158*Inputs!$F$46*Time!M41)*Inputs!$F$40</f>
        <v/>
      </c>
      <c r="N65" s="13">
        <f>Inputs!$F$157*N21*Time!N30/12*(1+Inputs!$F$158*Inputs!$F$46*Time!N41)*Inputs!$F$40</f>
        <v/>
      </c>
      <c r="O65" s="13">
        <f>Inputs!$F$157*O21*Time!O30/12*(1+Inputs!$F$158*Inputs!$F$46*Time!O41)*Inputs!$F$40</f>
        <v/>
      </c>
      <c r="P65" s="13">
        <f>Inputs!$F$157*P21*Time!P30/12*(1+Inputs!$F$158*Inputs!$F$46*Time!P41)*Inputs!$F$40</f>
        <v/>
      </c>
      <c r="Q65" s="13">
        <f>Inputs!$F$157*Q21*Time!Q30/12*(1+Inputs!$F$158*Inputs!$F$46*Time!Q41)*Inputs!$F$40</f>
        <v/>
      </c>
      <c r="R65" s="13">
        <f>Inputs!$F$157*R21*Time!R30/12*(1+Inputs!$F$158*Inputs!$F$46*Time!R41)*Inputs!$F$40</f>
        <v/>
      </c>
      <c r="S65" s="13">
        <f>Inputs!$F$157*S21*Time!S30/12*(1+Inputs!$F$158*Inputs!$F$46*Time!S41)*Inputs!$F$40</f>
        <v/>
      </c>
      <c r="T65" s="13">
        <f>Inputs!$F$157*T21*Time!T30/12*(1+Inputs!$F$158*Inputs!$F$46*Time!T41)*Inputs!$F$40</f>
        <v/>
      </c>
      <c r="U65" s="13">
        <f>Inputs!$F$157*U21*Time!U30/12*(1+Inputs!$F$158*Inputs!$F$46*Time!U41)*Inputs!$F$40</f>
        <v/>
      </c>
      <c r="V65" s="13">
        <f>Inputs!$F$157*V21*Time!V30/12*(1+Inputs!$F$158*Inputs!$F$46*Time!V41)*Inputs!$F$40</f>
        <v/>
      </c>
      <c r="W65" s="13">
        <f>Inputs!$F$157*W21*Time!W30/12*(1+Inputs!$F$158*Inputs!$F$46*Time!W41)*Inputs!$F$40</f>
        <v/>
      </c>
      <c r="X65" s="13">
        <f>Inputs!$F$157*X21*Time!X30/12*(1+Inputs!$F$158*Inputs!$F$46*Time!X41)*Inputs!$F$40</f>
        <v/>
      </c>
      <c r="Y65" s="13">
        <f>Inputs!$F$157*Y21*Time!Y30/12*(1+Inputs!$F$158*Inputs!$F$46*Time!Y41)*Inputs!$F$40</f>
        <v/>
      </c>
      <c r="Z65" s="13">
        <f>Inputs!$F$157*Z21*Time!Z30/12*(1+Inputs!$F$158*Inputs!$F$46*Time!Z41)*Inputs!$F$40</f>
        <v/>
      </c>
      <c r="AA65" s="13">
        <f>Inputs!$F$157*AA21*Time!AA30/12*(1+Inputs!$F$158*Inputs!$F$46*Time!AA41)*Inputs!$F$40</f>
        <v/>
      </c>
      <c r="AB65" s="13">
        <f>Inputs!$F$157*AB21*Time!AB30/12*(1+Inputs!$F$158*Inputs!$F$46*Time!AB41)*Inputs!$F$40</f>
        <v/>
      </c>
      <c r="AC65" s="13">
        <f>Inputs!$F$157*AC21*Time!AC30/12*(1+Inputs!$F$158*Inputs!$F$46*Time!AC41)*Inputs!$F$40</f>
        <v/>
      </c>
      <c r="AD65" s="13">
        <f>Inputs!$F$157*AD21*Time!AD30/12*(1+Inputs!$F$158*Inputs!$F$46*Time!AD41)*Inputs!$F$40</f>
        <v/>
      </c>
      <c r="AE65" s="13">
        <f>Inputs!$F$157*AE21*Time!AE30/12*(1+Inputs!$F$158*Inputs!$F$46*Time!AE41)*Inputs!$F$40</f>
        <v/>
      </c>
      <c r="AF65" s="13">
        <f>Inputs!$F$157*AF21*Time!AF30/12*(1+Inputs!$F$158*Inputs!$F$46*Time!AF41)*Inputs!$F$40</f>
        <v/>
      </c>
      <c r="AG65" s="13">
        <f>Inputs!$F$157*AG21*Time!AG30/12*(1+Inputs!$F$158*Inputs!$F$46*Time!AG41)*Inputs!$F$40</f>
        <v/>
      </c>
      <c r="AH65" s="13">
        <f>Inputs!$F$157*AH21*Time!AH30/12*(1+Inputs!$F$158*Inputs!$F$46*Time!AH41)*Inputs!$F$40</f>
        <v/>
      </c>
      <c r="AI65" s="13">
        <f>Inputs!$F$157*AI21*Time!AI30/12*(1+Inputs!$F$158*Inputs!$F$46*Time!AI41)*Inputs!$F$40</f>
        <v/>
      </c>
      <c r="AJ65" s="13">
        <f>Inputs!$F$157*AJ21*Time!AJ30/12*(1+Inputs!$F$158*Inputs!$F$46*Time!AJ41)*Inputs!$F$40</f>
        <v/>
      </c>
      <c r="AK65" s="13">
        <f>Inputs!$F$157*AK21*Time!AK30/12*(1+Inputs!$F$158*Inputs!$F$46*Time!AK41)*Inputs!$F$40</f>
        <v/>
      </c>
      <c r="AL65" s="13">
        <f>Inputs!$F$157*AL21*Time!AL30/12*(1+Inputs!$F$158*Inputs!$F$46*Time!AL41)*Inputs!$F$40</f>
        <v/>
      </c>
      <c r="AM65" s="13">
        <f>Inputs!$F$157*AM21*Time!AM30/12*(1+Inputs!$F$158*Inputs!$F$46*Time!AM41)*Inputs!$F$40</f>
        <v/>
      </c>
      <c r="AN65" s="13">
        <f>Inputs!$F$157*AN21*Time!AN30/12*(1+Inputs!$F$158*Inputs!$F$46*Time!AN41)*Inputs!$F$40</f>
        <v/>
      </c>
      <c r="AO65" s="13">
        <f>Inputs!$F$157*AO21*Time!AO30/12*(1+Inputs!$F$158*Inputs!$F$46*Time!AO41)*Inputs!$F$40</f>
        <v/>
      </c>
      <c r="AP65" s="13">
        <f>Inputs!$F$157*AP21*Time!AP30/12*(1+Inputs!$F$158*Inputs!$F$46*Time!AP41)*Inputs!$F$40</f>
        <v/>
      </c>
      <c r="AQ65" s="13">
        <f>Inputs!$F$157*AQ21*Time!AQ30/12*(1+Inputs!$F$158*Inputs!$F$46*Time!AQ41)*Inputs!$F$40</f>
        <v/>
      </c>
      <c r="AR65" s="13">
        <f>Inputs!$F$157*AR21*Time!AR30/12*(1+Inputs!$F$158*Inputs!$F$46*Time!AR41)*Inputs!$F$40</f>
        <v/>
      </c>
      <c r="AS65" s="13">
        <f>Inputs!$F$157*AS21*Time!AS30/12*(1+Inputs!$F$158*Inputs!$F$46*Time!AS41)*Inputs!$F$40</f>
        <v/>
      </c>
      <c r="AT65" s="13">
        <f>Inputs!$F$157*AT21*Time!AT30/12*(1+Inputs!$F$158*Inputs!$F$46*Time!AT41)*Inputs!$F$40</f>
        <v/>
      </c>
      <c r="AU65" s="13">
        <f>Inputs!$F$157*AU21*Time!AU30/12*(1+Inputs!$F$158*Inputs!$F$46*Time!AU41)*Inputs!$F$40</f>
        <v/>
      </c>
      <c r="AV65" s="13">
        <f>Inputs!$F$157*AV21*Time!AV30/12*(1+Inputs!$F$158*Inputs!$F$46*Time!AV41)*Inputs!$F$40</f>
        <v/>
      </c>
      <c r="AW65" s="13">
        <f>Inputs!$F$157*AW21*Time!AW30/12*(1+Inputs!$F$158*Inputs!$F$46*Time!AW41)*Inputs!$F$40</f>
        <v/>
      </c>
      <c r="AX65" s="13">
        <f>Inputs!$F$157*AX21*Time!AX30/12*(1+Inputs!$F$158*Inputs!$F$46*Time!AX41)*Inputs!$F$40</f>
        <v/>
      </c>
      <c r="AY65" s="13">
        <f>Inputs!$F$157*AY21*Time!AY30/12*(1+Inputs!$F$158*Inputs!$F$46*Time!AY41)*Inputs!$F$40</f>
        <v/>
      </c>
      <c r="AZ65" s="13">
        <f>Inputs!$F$157*AZ21*Time!AZ30/12*(1+Inputs!$F$158*Inputs!$F$46*Time!AZ41)*Inputs!$F$40</f>
        <v/>
      </c>
      <c r="BA65" s="13">
        <f>Inputs!$F$157*BA21*Time!BA30/12*(1+Inputs!$F$158*Inputs!$F$46*Time!BA41)*Inputs!$F$40</f>
        <v/>
      </c>
      <c r="BB65" s="13">
        <f>Inputs!$F$157*BB21*Time!BB30/12*(1+Inputs!$F$158*Inputs!$F$46*Time!BB41)*Inputs!$F$40</f>
        <v/>
      </c>
      <c r="BC65" s="13">
        <f>Inputs!$F$157*BC21*Time!BC30/12*(1+Inputs!$F$158*Inputs!$F$46*Time!BC41)*Inputs!$F$40</f>
        <v/>
      </c>
      <c r="BD65" s="13">
        <f>Inputs!$F$157*BD21*Time!BD30/12*(1+Inputs!$F$158*Inputs!$F$46*Time!BD41)*Inputs!$F$40</f>
        <v/>
      </c>
      <c r="BE65" s="13">
        <f>Inputs!$F$157*BE21*Time!BE30/12*(1+Inputs!$F$158*Inputs!$F$46*Time!BE41)*Inputs!$F$40</f>
        <v/>
      </c>
      <c r="BF65" s="13">
        <f>Inputs!$F$157*BF21*Time!BF30/12*(1+Inputs!$F$158*Inputs!$F$46*Time!BF41)*Inputs!$F$40</f>
        <v/>
      </c>
      <c r="BG65" s="13">
        <f>Inputs!$F$157*BG21*Time!BG30/12*(1+Inputs!$F$158*Inputs!$F$46*Time!BG41)*Inputs!$F$40</f>
        <v/>
      </c>
      <c r="BH65" s="13">
        <f>Inputs!$F$157*BH21*Time!BH30/12*(1+Inputs!$F$158*Inputs!$F$46*Time!BH41)*Inputs!$F$40</f>
        <v/>
      </c>
      <c r="BI65" s="13">
        <f>Inputs!$F$157*BI21*Time!BI30/12*(1+Inputs!$F$158*Inputs!$F$46*Time!BI41)*Inputs!$F$40</f>
        <v/>
      </c>
      <c r="BJ65" s="13">
        <f>Inputs!$F$157*BJ21*Time!BJ30/12*(1+Inputs!$F$158*Inputs!$F$46*Time!BJ41)*Inputs!$F$40</f>
        <v/>
      </c>
      <c r="BK65" s="13">
        <f>Inputs!$F$157*BK21*Time!BK30/12*(1+Inputs!$F$158*Inputs!$F$46*Time!BK41)*Inputs!$F$40</f>
        <v/>
      </c>
      <c r="BL65" s="13">
        <f>Inputs!$F$157*BL21*Time!BL30/12*(1+Inputs!$F$158*Inputs!$F$46*Time!BL41)*Inputs!$F$40</f>
        <v/>
      </c>
      <c r="BM65" s="13">
        <f>Inputs!$F$157*BM21*Time!BM30/12*(1+Inputs!$F$158*Inputs!$F$46*Time!BM41)*Inputs!$F$40</f>
        <v/>
      </c>
      <c r="BN65" s="13">
        <f>Inputs!$F$157*BN21*Time!BN30/12*(1+Inputs!$F$158*Inputs!$F$46*Time!BN41)*Inputs!$F$40</f>
        <v/>
      </c>
    </row>
    <row r="66">
      <c r="D66" t="inlineStr">
        <is>
          <t>G&amp;A</t>
        </is>
      </c>
      <c r="E66" t="inlineStr">
        <is>
          <t>USD m</t>
        </is>
      </c>
      <c r="G66" s="13">
        <f>SUM(J66:BN66)</f>
        <v/>
      </c>
      <c r="J66" s="13">
        <f>Inputs!$F$159*(Inputs!$F$218*J21+(1-Inputs!$F$218)*J27*Inputs!$F$153/J11)*Time!J30/12*Inputs!$F$40</f>
        <v/>
      </c>
      <c r="K66" s="13">
        <f>Inputs!$F$159*(Inputs!$F$218*K21+(1-Inputs!$F$218)*K27*Inputs!$F$153/K11)*Time!K30/12*Inputs!$F$40</f>
        <v/>
      </c>
      <c r="L66" s="13">
        <f>Inputs!$F$159*(Inputs!$F$218*L21+(1-Inputs!$F$218)*L27*Inputs!$F$153/L11)*Time!L30/12*Inputs!$F$40</f>
        <v/>
      </c>
      <c r="M66" s="13">
        <f>Inputs!$F$159*(Inputs!$F$218*M21+(1-Inputs!$F$218)*M27*Inputs!$F$153/M11)*Time!M30/12*Inputs!$F$40</f>
        <v/>
      </c>
      <c r="N66" s="13">
        <f>Inputs!$F$159*(Inputs!$F$218*N21+(1-Inputs!$F$218)*N27*Inputs!$F$153/N11)*Time!N30/12*Inputs!$F$40</f>
        <v/>
      </c>
      <c r="O66" s="13">
        <f>Inputs!$F$159*(Inputs!$F$218*O21+(1-Inputs!$F$218)*O27*Inputs!$F$153/O11)*Time!O30/12*Inputs!$F$40</f>
        <v/>
      </c>
      <c r="P66" s="13">
        <f>Inputs!$F$159*(Inputs!$F$218*P21+(1-Inputs!$F$218)*P27*Inputs!$F$153/P11)*Time!P30/12*Inputs!$F$40</f>
        <v/>
      </c>
      <c r="Q66" s="13">
        <f>Inputs!$F$159*(Inputs!$F$218*Q21+(1-Inputs!$F$218)*Q27*Inputs!$F$153/Q11)*Time!Q30/12*Inputs!$F$40</f>
        <v/>
      </c>
      <c r="R66" s="13">
        <f>Inputs!$F$159*(Inputs!$F$218*R21+(1-Inputs!$F$218)*R27*Inputs!$F$153/R11)*Time!R30/12*Inputs!$F$40</f>
        <v/>
      </c>
      <c r="S66" s="13">
        <f>Inputs!$F$159*(Inputs!$F$218*S21+(1-Inputs!$F$218)*S27*Inputs!$F$153/S11)*Time!S30/12*Inputs!$F$40</f>
        <v/>
      </c>
      <c r="T66" s="13">
        <f>Inputs!$F$159*(Inputs!$F$218*T21+(1-Inputs!$F$218)*T27*Inputs!$F$153/T11)*Time!T30/12*Inputs!$F$40</f>
        <v/>
      </c>
      <c r="U66" s="13">
        <f>Inputs!$F$159*(Inputs!$F$218*U21+(1-Inputs!$F$218)*U27*Inputs!$F$153/U11)*Time!U30/12*Inputs!$F$40</f>
        <v/>
      </c>
      <c r="V66" s="13">
        <f>Inputs!$F$159*(Inputs!$F$218*V21+(1-Inputs!$F$218)*V27*Inputs!$F$153/V11)*Time!V30/12*Inputs!$F$40</f>
        <v/>
      </c>
      <c r="W66" s="13">
        <f>Inputs!$F$159*(Inputs!$F$218*W21+(1-Inputs!$F$218)*W27*Inputs!$F$153/W11)*Time!W30/12*Inputs!$F$40</f>
        <v/>
      </c>
      <c r="X66" s="13">
        <f>Inputs!$F$159*(Inputs!$F$218*X21+(1-Inputs!$F$218)*X27*Inputs!$F$153/X11)*Time!X30/12*Inputs!$F$40</f>
        <v/>
      </c>
      <c r="Y66" s="13">
        <f>Inputs!$F$159*(Inputs!$F$218*Y21+(1-Inputs!$F$218)*Y27*Inputs!$F$153/Y11)*Time!Y30/12*Inputs!$F$40</f>
        <v/>
      </c>
      <c r="Z66" s="13">
        <f>Inputs!$F$159*(Inputs!$F$218*Z21+(1-Inputs!$F$218)*Z27*Inputs!$F$153/Z11)*Time!Z30/12*Inputs!$F$40</f>
        <v/>
      </c>
      <c r="AA66" s="13">
        <f>Inputs!$F$159*(Inputs!$F$218*AA21+(1-Inputs!$F$218)*AA27*Inputs!$F$153/AA11)*Time!AA30/12*Inputs!$F$40</f>
        <v/>
      </c>
      <c r="AB66" s="13">
        <f>Inputs!$F$159*(Inputs!$F$218*AB21+(1-Inputs!$F$218)*AB27*Inputs!$F$153/AB11)*Time!AB30/12*Inputs!$F$40</f>
        <v/>
      </c>
      <c r="AC66" s="13">
        <f>Inputs!$F$159*(Inputs!$F$218*AC21+(1-Inputs!$F$218)*AC27*Inputs!$F$153/AC11)*Time!AC30/12*Inputs!$F$40</f>
        <v/>
      </c>
      <c r="AD66" s="13">
        <f>Inputs!$F$159*(Inputs!$F$218*AD21+(1-Inputs!$F$218)*AD27*Inputs!$F$153/AD11)*Time!AD30/12*Inputs!$F$40</f>
        <v/>
      </c>
      <c r="AE66" s="13">
        <f>Inputs!$F$159*(Inputs!$F$218*AE21+(1-Inputs!$F$218)*AE27*Inputs!$F$153/AE11)*Time!AE30/12*Inputs!$F$40</f>
        <v/>
      </c>
      <c r="AF66" s="13">
        <f>Inputs!$F$159*(Inputs!$F$218*AF21+(1-Inputs!$F$218)*AF27*Inputs!$F$153/AF11)*Time!AF30/12*Inputs!$F$40</f>
        <v/>
      </c>
      <c r="AG66" s="13">
        <f>Inputs!$F$159*(Inputs!$F$218*AG21+(1-Inputs!$F$218)*AG27*Inputs!$F$153/AG11)*Time!AG30/12*Inputs!$F$40</f>
        <v/>
      </c>
      <c r="AH66" s="13">
        <f>Inputs!$F$159*(Inputs!$F$218*AH21+(1-Inputs!$F$218)*AH27*Inputs!$F$153/AH11)*Time!AH30/12*Inputs!$F$40</f>
        <v/>
      </c>
      <c r="AI66" s="13">
        <f>Inputs!$F$159*(Inputs!$F$218*AI21+(1-Inputs!$F$218)*AI27*Inputs!$F$153/AI11)*Time!AI30/12*Inputs!$F$40</f>
        <v/>
      </c>
      <c r="AJ66" s="13">
        <f>Inputs!$F$159*(Inputs!$F$218*AJ21+(1-Inputs!$F$218)*AJ27*Inputs!$F$153/AJ11)*Time!AJ30/12*Inputs!$F$40</f>
        <v/>
      </c>
      <c r="AK66" s="13">
        <f>Inputs!$F$159*(Inputs!$F$218*AK21+(1-Inputs!$F$218)*AK27*Inputs!$F$153/AK11)*Time!AK30/12*Inputs!$F$40</f>
        <v/>
      </c>
      <c r="AL66" s="13">
        <f>Inputs!$F$159*(Inputs!$F$218*AL21+(1-Inputs!$F$218)*AL27*Inputs!$F$153/AL11)*Time!AL30/12*Inputs!$F$40</f>
        <v/>
      </c>
      <c r="AM66" s="13">
        <f>Inputs!$F$159*(Inputs!$F$218*AM21+(1-Inputs!$F$218)*AM27*Inputs!$F$153/AM11)*Time!AM30/12*Inputs!$F$40</f>
        <v/>
      </c>
      <c r="AN66" s="13">
        <f>Inputs!$F$159*(Inputs!$F$218*AN21+(1-Inputs!$F$218)*AN27*Inputs!$F$153/AN11)*Time!AN30/12*Inputs!$F$40</f>
        <v/>
      </c>
      <c r="AO66" s="13">
        <f>Inputs!$F$159*(Inputs!$F$218*AO21+(1-Inputs!$F$218)*AO27*Inputs!$F$153/AO11)*Time!AO30/12*Inputs!$F$40</f>
        <v/>
      </c>
      <c r="AP66" s="13">
        <f>Inputs!$F$159*(Inputs!$F$218*AP21+(1-Inputs!$F$218)*AP27*Inputs!$F$153/AP11)*Time!AP30/12*Inputs!$F$40</f>
        <v/>
      </c>
      <c r="AQ66" s="13">
        <f>Inputs!$F$159*(Inputs!$F$218*AQ21+(1-Inputs!$F$218)*AQ27*Inputs!$F$153/AQ11)*Time!AQ30/12*Inputs!$F$40</f>
        <v/>
      </c>
      <c r="AR66" s="13">
        <f>Inputs!$F$159*(Inputs!$F$218*AR21+(1-Inputs!$F$218)*AR27*Inputs!$F$153/AR11)*Time!AR30/12*Inputs!$F$40</f>
        <v/>
      </c>
      <c r="AS66" s="13">
        <f>Inputs!$F$159*(Inputs!$F$218*AS21+(1-Inputs!$F$218)*AS27*Inputs!$F$153/AS11)*Time!AS30/12*Inputs!$F$40</f>
        <v/>
      </c>
      <c r="AT66" s="13">
        <f>Inputs!$F$159*(Inputs!$F$218*AT21+(1-Inputs!$F$218)*AT27*Inputs!$F$153/AT11)*Time!AT30/12*Inputs!$F$40</f>
        <v/>
      </c>
      <c r="AU66" s="13">
        <f>Inputs!$F$159*(Inputs!$F$218*AU21+(1-Inputs!$F$218)*AU27*Inputs!$F$153/AU11)*Time!AU30/12*Inputs!$F$40</f>
        <v/>
      </c>
      <c r="AV66" s="13">
        <f>Inputs!$F$159*(Inputs!$F$218*AV21+(1-Inputs!$F$218)*AV27*Inputs!$F$153/AV11)*Time!AV30/12*Inputs!$F$40</f>
        <v/>
      </c>
      <c r="AW66" s="13">
        <f>Inputs!$F$159*(Inputs!$F$218*AW21+(1-Inputs!$F$218)*AW27*Inputs!$F$153/AW11)*Time!AW30/12*Inputs!$F$40</f>
        <v/>
      </c>
      <c r="AX66" s="13">
        <f>Inputs!$F$159*(Inputs!$F$218*AX21+(1-Inputs!$F$218)*AX27*Inputs!$F$153/AX11)*Time!AX30/12*Inputs!$F$40</f>
        <v/>
      </c>
      <c r="AY66" s="13">
        <f>Inputs!$F$159*(Inputs!$F$218*AY21+(1-Inputs!$F$218)*AY27*Inputs!$F$153/AY11)*Time!AY30/12*Inputs!$F$40</f>
        <v/>
      </c>
      <c r="AZ66" s="13">
        <f>Inputs!$F$159*(Inputs!$F$218*AZ21+(1-Inputs!$F$218)*AZ27*Inputs!$F$153/AZ11)*Time!AZ30/12*Inputs!$F$40</f>
        <v/>
      </c>
      <c r="BA66" s="13">
        <f>Inputs!$F$159*(Inputs!$F$218*BA21+(1-Inputs!$F$218)*BA27*Inputs!$F$153/BA11)*Time!BA30/12*Inputs!$F$40</f>
        <v/>
      </c>
      <c r="BB66" s="13">
        <f>Inputs!$F$159*(Inputs!$F$218*BB21+(1-Inputs!$F$218)*BB27*Inputs!$F$153/BB11)*Time!BB30/12*Inputs!$F$40</f>
        <v/>
      </c>
      <c r="BC66" s="13">
        <f>Inputs!$F$159*(Inputs!$F$218*BC21+(1-Inputs!$F$218)*BC27*Inputs!$F$153/BC11)*Time!BC30/12*Inputs!$F$40</f>
        <v/>
      </c>
      <c r="BD66" s="13">
        <f>Inputs!$F$159*(Inputs!$F$218*BD21+(1-Inputs!$F$218)*BD27*Inputs!$F$153/BD11)*Time!BD30/12*Inputs!$F$40</f>
        <v/>
      </c>
      <c r="BE66" s="13">
        <f>Inputs!$F$159*(Inputs!$F$218*BE21+(1-Inputs!$F$218)*BE27*Inputs!$F$153/BE11)*Time!BE30/12*Inputs!$F$40</f>
        <v/>
      </c>
      <c r="BF66" s="13">
        <f>Inputs!$F$159*(Inputs!$F$218*BF21+(1-Inputs!$F$218)*BF27*Inputs!$F$153/BF11)*Time!BF30/12*Inputs!$F$40</f>
        <v/>
      </c>
      <c r="BG66" s="13">
        <f>Inputs!$F$159*(Inputs!$F$218*BG21+(1-Inputs!$F$218)*BG27*Inputs!$F$153/BG11)*Time!BG30/12*Inputs!$F$40</f>
        <v/>
      </c>
      <c r="BH66" s="13">
        <f>Inputs!$F$159*(Inputs!$F$218*BH21+(1-Inputs!$F$218)*BH27*Inputs!$F$153/BH11)*Time!BH30/12*Inputs!$F$40</f>
        <v/>
      </c>
      <c r="BI66" s="13">
        <f>Inputs!$F$159*(Inputs!$F$218*BI21+(1-Inputs!$F$218)*BI27*Inputs!$F$153/BI11)*Time!BI30/12*Inputs!$F$40</f>
        <v/>
      </c>
      <c r="BJ66" s="13">
        <f>Inputs!$F$159*(Inputs!$F$218*BJ21+(1-Inputs!$F$218)*BJ27*Inputs!$F$153/BJ11)*Time!BJ30/12*Inputs!$F$40</f>
        <v/>
      </c>
      <c r="BK66" s="13">
        <f>Inputs!$F$159*(Inputs!$F$218*BK21+(1-Inputs!$F$218)*BK27*Inputs!$F$153/BK11)*Time!BK30/12*Inputs!$F$40</f>
        <v/>
      </c>
      <c r="BL66" s="13">
        <f>Inputs!$F$159*(Inputs!$F$218*BL21+(1-Inputs!$F$218)*BL27*Inputs!$F$153/BL11)*Time!BL30/12*Inputs!$F$40</f>
        <v/>
      </c>
      <c r="BM66" s="13">
        <f>Inputs!$F$159*(Inputs!$F$218*BM21+(1-Inputs!$F$218)*BM27*Inputs!$F$153/BM11)*Time!BM30/12*Inputs!$F$40</f>
        <v/>
      </c>
      <c r="BN66" s="13">
        <f>Inputs!$F$159*(Inputs!$F$218*BN21+(1-Inputs!$F$218)*BN27*Inputs!$F$153/BN11)*Time!BN30/12*Inputs!$F$40</f>
        <v/>
      </c>
    </row>
    <row r="67">
      <c r="D67" t="inlineStr">
        <is>
          <t>Land lease and permits</t>
        </is>
      </c>
      <c r="E67" t="inlineStr">
        <is>
          <t>USD m</t>
        </is>
      </c>
      <c r="G67" s="13">
        <f>SUM(J67:BN67)</f>
        <v/>
      </c>
      <c r="J67" s="13">
        <f>Inputs!$F$160*J27/J11*Time!J30/12*Inputs!$F$40</f>
        <v/>
      </c>
      <c r="K67" s="13">
        <f>Inputs!$F$160*K27/K11*Time!K30/12*Inputs!$F$40</f>
        <v/>
      </c>
      <c r="L67" s="13">
        <f>Inputs!$F$160*L27/L11*Time!L30/12*Inputs!$F$40</f>
        <v/>
      </c>
      <c r="M67" s="13">
        <f>Inputs!$F$160*M27/M11*Time!M30/12*Inputs!$F$40</f>
        <v/>
      </c>
      <c r="N67" s="13">
        <f>Inputs!$F$160*N27/N11*Time!N30/12*Inputs!$F$40</f>
        <v/>
      </c>
      <c r="O67" s="13">
        <f>Inputs!$F$160*O27/O11*Time!O30/12*Inputs!$F$40</f>
        <v/>
      </c>
      <c r="P67" s="13">
        <f>Inputs!$F$160*P27/P11*Time!P30/12*Inputs!$F$40</f>
        <v/>
      </c>
      <c r="Q67" s="13">
        <f>Inputs!$F$160*Q27/Q11*Time!Q30/12*Inputs!$F$40</f>
        <v/>
      </c>
      <c r="R67" s="13">
        <f>Inputs!$F$160*R27/R11*Time!R30/12*Inputs!$F$40</f>
        <v/>
      </c>
      <c r="S67" s="13">
        <f>Inputs!$F$160*S27/S11*Time!S30/12*Inputs!$F$40</f>
        <v/>
      </c>
      <c r="T67" s="13">
        <f>Inputs!$F$160*T27/T11*Time!T30/12*Inputs!$F$40</f>
        <v/>
      </c>
      <c r="U67" s="13">
        <f>Inputs!$F$160*U27/U11*Time!U30/12*Inputs!$F$40</f>
        <v/>
      </c>
      <c r="V67" s="13">
        <f>Inputs!$F$160*V27/V11*Time!V30/12*Inputs!$F$40</f>
        <v/>
      </c>
      <c r="W67" s="13">
        <f>Inputs!$F$160*W27/W11*Time!W30/12*Inputs!$F$40</f>
        <v/>
      </c>
      <c r="X67" s="13">
        <f>Inputs!$F$160*X27/X11*Time!X30/12*Inputs!$F$40</f>
        <v/>
      </c>
      <c r="Y67" s="13">
        <f>Inputs!$F$160*Y27/Y11*Time!Y30/12*Inputs!$F$40</f>
        <v/>
      </c>
      <c r="Z67" s="13">
        <f>Inputs!$F$160*Z27/Z11*Time!Z30/12*Inputs!$F$40</f>
        <v/>
      </c>
      <c r="AA67" s="13">
        <f>Inputs!$F$160*AA27/AA11*Time!AA30/12*Inputs!$F$40</f>
        <v/>
      </c>
      <c r="AB67" s="13">
        <f>Inputs!$F$160*AB27/AB11*Time!AB30/12*Inputs!$F$40</f>
        <v/>
      </c>
      <c r="AC67" s="13">
        <f>Inputs!$F$160*AC27/AC11*Time!AC30/12*Inputs!$F$40</f>
        <v/>
      </c>
      <c r="AD67" s="13">
        <f>Inputs!$F$160*AD27/AD11*Time!AD30/12*Inputs!$F$40</f>
        <v/>
      </c>
      <c r="AE67" s="13">
        <f>Inputs!$F$160*AE27/AE11*Time!AE30/12*Inputs!$F$40</f>
        <v/>
      </c>
      <c r="AF67" s="13">
        <f>Inputs!$F$160*AF27/AF11*Time!AF30/12*Inputs!$F$40</f>
        <v/>
      </c>
      <c r="AG67" s="13">
        <f>Inputs!$F$160*AG27/AG11*Time!AG30/12*Inputs!$F$40</f>
        <v/>
      </c>
      <c r="AH67" s="13">
        <f>Inputs!$F$160*AH27/AH11*Time!AH30/12*Inputs!$F$40</f>
        <v/>
      </c>
      <c r="AI67" s="13">
        <f>Inputs!$F$160*AI27/AI11*Time!AI30/12*Inputs!$F$40</f>
        <v/>
      </c>
      <c r="AJ67" s="13">
        <f>Inputs!$F$160*AJ27/AJ11*Time!AJ30/12*Inputs!$F$40</f>
        <v/>
      </c>
      <c r="AK67" s="13">
        <f>Inputs!$F$160*AK27/AK11*Time!AK30/12*Inputs!$F$40</f>
        <v/>
      </c>
      <c r="AL67" s="13">
        <f>Inputs!$F$160*AL27/AL11*Time!AL30/12*Inputs!$F$40</f>
        <v/>
      </c>
      <c r="AM67" s="13">
        <f>Inputs!$F$160*AM27/AM11*Time!AM30/12*Inputs!$F$40</f>
        <v/>
      </c>
      <c r="AN67" s="13">
        <f>Inputs!$F$160*AN27/AN11*Time!AN30/12*Inputs!$F$40</f>
        <v/>
      </c>
      <c r="AO67" s="13">
        <f>Inputs!$F$160*AO27/AO11*Time!AO30/12*Inputs!$F$40</f>
        <v/>
      </c>
      <c r="AP67" s="13">
        <f>Inputs!$F$160*AP27/AP11*Time!AP30/12*Inputs!$F$40</f>
        <v/>
      </c>
      <c r="AQ67" s="13">
        <f>Inputs!$F$160*AQ27/AQ11*Time!AQ30/12*Inputs!$F$40</f>
        <v/>
      </c>
      <c r="AR67" s="13">
        <f>Inputs!$F$160*AR27/AR11*Time!AR30/12*Inputs!$F$40</f>
        <v/>
      </c>
      <c r="AS67" s="13">
        <f>Inputs!$F$160*AS27/AS11*Time!AS30/12*Inputs!$F$40</f>
        <v/>
      </c>
      <c r="AT67" s="13">
        <f>Inputs!$F$160*AT27/AT11*Time!AT30/12*Inputs!$F$40</f>
        <v/>
      </c>
      <c r="AU67" s="13">
        <f>Inputs!$F$160*AU27/AU11*Time!AU30/12*Inputs!$F$40</f>
        <v/>
      </c>
      <c r="AV67" s="13">
        <f>Inputs!$F$160*AV27/AV11*Time!AV30/12*Inputs!$F$40</f>
        <v/>
      </c>
      <c r="AW67" s="13">
        <f>Inputs!$F$160*AW27/AW11*Time!AW30/12*Inputs!$F$40</f>
        <v/>
      </c>
      <c r="AX67" s="13">
        <f>Inputs!$F$160*AX27/AX11*Time!AX30/12*Inputs!$F$40</f>
        <v/>
      </c>
      <c r="AY67" s="13">
        <f>Inputs!$F$160*AY27/AY11*Time!AY30/12*Inputs!$F$40</f>
        <v/>
      </c>
      <c r="AZ67" s="13">
        <f>Inputs!$F$160*AZ27/AZ11*Time!AZ30/12*Inputs!$F$40</f>
        <v/>
      </c>
      <c r="BA67" s="13">
        <f>Inputs!$F$160*BA27/BA11*Time!BA30/12*Inputs!$F$40</f>
        <v/>
      </c>
      <c r="BB67" s="13">
        <f>Inputs!$F$160*BB27/BB11*Time!BB30/12*Inputs!$F$40</f>
        <v/>
      </c>
      <c r="BC67" s="13">
        <f>Inputs!$F$160*BC27/BC11*Time!BC30/12*Inputs!$F$40</f>
        <v/>
      </c>
      <c r="BD67" s="13">
        <f>Inputs!$F$160*BD27/BD11*Time!BD30/12*Inputs!$F$40</f>
        <v/>
      </c>
      <c r="BE67" s="13">
        <f>Inputs!$F$160*BE27/BE11*Time!BE30/12*Inputs!$F$40</f>
        <v/>
      </c>
      <c r="BF67" s="13">
        <f>Inputs!$F$160*BF27/BF11*Time!BF30/12*Inputs!$F$40</f>
        <v/>
      </c>
      <c r="BG67" s="13">
        <f>Inputs!$F$160*BG27/BG11*Time!BG30/12*Inputs!$F$40</f>
        <v/>
      </c>
      <c r="BH67" s="13">
        <f>Inputs!$F$160*BH27/BH11*Time!BH30/12*Inputs!$F$40</f>
        <v/>
      </c>
      <c r="BI67" s="13">
        <f>Inputs!$F$160*BI27/BI11*Time!BI30/12*Inputs!$F$40</f>
        <v/>
      </c>
      <c r="BJ67" s="13">
        <f>Inputs!$F$160*BJ27/BJ11*Time!BJ30/12*Inputs!$F$40</f>
        <v/>
      </c>
      <c r="BK67" s="13">
        <f>Inputs!$F$160*BK27/BK11*Time!BK30/12*Inputs!$F$40</f>
        <v/>
      </c>
      <c r="BL67" s="13">
        <f>Inputs!$F$160*BL27/BL11*Time!BL30/12*Inputs!$F$40</f>
        <v/>
      </c>
      <c r="BM67" s="13">
        <f>Inputs!$F$160*BM27/BM11*Time!BM30/12*Inputs!$F$40</f>
        <v/>
      </c>
      <c r="BN67" s="13">
        <f>Inputs!$F$160*BN27/BN11*Time!BN30/12*Inputs!$F$40</f>
        <v/>
      </c>
    </row>
    <row r="68">
      <c r="D68" t="inlineStr">
        <is>
          <t>Community fund and OREK levy</t>
        </is>
      </c>
      <c r="E68" t="inlineStr">
        <is>
          <t>USD m</t>
        </is>
      </c>
      <c r="G68" s="13">
        <f>SUM(J68:BN68)</f>
        <v/>
      </c>
      <c r="J68" s="13">
        <f>Inputs!$F$161/100*J55</f>
        <v/>
      </c>
      <c r="K68" s="13">
        <f>Inputs!$F$161/100*K55</f>
        <v/>
      </c>
      <c r="L68" s="13">
        <f>Inputs!$F$161/100*L55</f>
        <v/>
      </c>
      <c r="M68" s="13">
        <f>Inputs!$F$161/100*M55</f>
        <v/>
      </c>
      <c r="N68" s="13">
        <f>Inputs!$F$161/100*N55</f>
        <v/>
      </c>
      <c r="O68" s="13">
        <f>Inputs!$F$161/100*O55</f>
        <v/>
      </c>
      <c r="P68" s="13">
        <f>Inputs!$F$161/100*P55</f>
        <v/>
      </c>
      <c r="Q68" s="13">
        <f>Inputs!$F$161/100*Q55</f>
        <v/>
      </c>
      <c r="R68" s="13">
        <f>Inputs!$F$161/100*R55</f>
        <v/>
      </c>
      <c r="S68" s="13">
        <f>Inputs!$F$161/100*S55</f>
        <v/>
      </c>
      <c r="T68" s="13">
        <f>Inputs!$F$161/100*T55</f>
        <v/>
      </c>
      <c r="U68" s="13">
        <f>Inputs!$F$161/100*U55</f>
        <v/>
      </c>
      <c r="V68" s="13">
        <f>Inputs!$F$161/100*V55</f>
        <v/>
      </c>
      <c r="W68" s="13">
        <f>Inputs!$F$161/100*W55</f>
        <v/>
      </c>
      <c r="X68" s="13">
        <f>Inputs!$F$161/100*X55</f>
        <v/>
      </c>
      <c r="Y68" s="13">
        <f>Inputs!$F$161/100*Y55</f>
        <v/>
      </c>
      <c r="Z68" s="13">
        <f>Inputs!$F$161/100*Z55</f>
        <v/>
      </c>
      <c r="AA68" s="13">
        <f>Inputs!$F$161/100*AA55</f>
        <v/>
      </c>
      <c r="AB68" s="13">
        <f>Inputs!$F$161/100*AB55</f>
        <v/>
      </c>
      <c r="AC68" s="13">
        <f>Inputs!$F$161/100*AC55</f>
        <v/>
      </c>
      <c r="AD68" s="13">
        <f>Inputs!$F$161/100*AD55</f>
        <v/>
      </c>
      <c r="AE68" s="13">
        <f>Inputs!$F$161/100*AE55</f>
        <v/>
      </c>
      <c r="AF68" s="13">
        <f>Inputs!$F$161/100*AF55</f>
        <v/>
      </c>
      <c r="AG68" s="13">
        <f>Inputs!$F$161/100*AG55</f>
        <v/>
      </c>
      <c r="AH68" s="13">
        <f>Inputs!$F$161/100*AH55</f>
        <v/>
      </c>
      <c r="AI68" s="13">
        <f>Inputs!$F$161/100*AI55</f>
        <v/>
      </c>
      <c r="AJ68" s="13">
        <f>Inputs!$F$161/100*AJ55</f>
        <v/>
      </c>
      <c r="AK68" s="13">
        <f>Inputs!$F$161/100*AK55</f>
        <v/>
      </c>
      <c r="AL68" s="13">
        <f>Inputs!$F$161/100*AL55</f>
        <v/>
      </c>
      <c r="AM68" s="13">
        <f>Inputs!$F$161/100*AM55</f>
        <v/>
      </c>
      <c r="AN68" s="13">
        <f>Inputs!$F$161/100*AN55</f>
        <v/>
      </c>
      <c r="AO68" s="13">
        <f>Inputs!$F$161/100*AO55</f>
        <v/>
      </c>
      <c r="AP68" s="13">
        <f>Inputs!$F$161/100*AP55</f>
        <v/>
      </c>
      <c r="AQ68" s="13">
        <f>Inputs!$F$161/100*AQ55</f>
        <v/>
      </c>
      <c r="AR68" s="13">
        <f>Inputs!$F$161/100*AR55</f>
        <v/>
      </c>
      <c r="AS68" s="13">
        <f>Inputs!$F$161/100*AS55</f>
        <v/>
      </c>
      <c r="AT68" s="13">
        <f>Inputs!$F$161/100*AT55</f>
        <v/>
      </c>
      <c r="AU68" s="13">
        <f>Inputs!$F$161/100*AU55</f>
        <v/>
      </c>
      <c r="AV68" s="13">
        <f>Inputs!$F$161/100*AV55</f>
        <v/>
      </c>
      <c r="AW68" s="13">
        <f>Inputs!$F$161/100*AW55</f>
        <v/>
      </c>
      <c r="AX68" s="13">
        <f>Inputs!$F$161/100*AX55</f>
        <v/>
      </c>
      <c r="AY68" s="13">
        <f>Inputs!$F$161/100*AY55</f>
        <v/>
      </c>
      <c r="AZ68" s="13">
        <f>Inputs!$F$161/100*AZ55</f>
        <v/>
      </c>
      <c r="BA68" s="13">
        <f>Inputs!$F$161/100*BA55</f>
        <v/>
      </c>
      <c r="BB68" s="13">
        <f>Inputs!$F$161/100*BB55</f>
        <v/>
      </c>
      <c r="BC68" s="13">
        <f>Inputs!$F$161/100*BC55</f>
        <v/>
      </c>
      <c r="BD68" s="13">
        <f>Inputs!$F$161/100*BD55</f>
        <v/>
      </c>
      <c r="BE68" s="13">
        <f>Inputs!$F$161/100*BE55</f>
        <v/>
      </c>
      <c r="BF68" s="13">
        <f>Inputs!$F$161/100*BF55</f>
        <v/>
      </c>
      <c r="BG68" s="13">
        <f>Inputs!$F$161/100*BG55</f>
        <v/>
      </c>
      <c r="BH68" s="13">
        <f>Inputs!$F$161/100*BH55</f>
        <v/>
      </c>
      <c r="BI68" s="13">
        <f>Inputs!$F$161/100*BI55</f>
        <v/>
      </c>
      <c r="BJ68" s="13">
        <f>Inputs!$F$161/100*BJ55</f>
        <v/>
      </c>
      <c r="BK68" s="13">
        <f>Inputs!$F$161/100*BK55</f>
        <v/>
      </c>
      <c r="BL68" s="13">
        <f>Inputs!$F$161/100*BL55</f>
        <v/>
      </c>
      <c r="BM68" s="13">
        <f>Inputs!$F$161/100*BM55</f>
        <v/>
      </c>
      <c r="BN68" s="13">
        <f>Inputs!$F$161/100*BN55</f>
        <v/>
      </c>
    </row>
    <row r="69">
      <c r="D69" t="inlineStr">
        <is>
          <t>Variable consumables</t>
        </is>
      </c>
      <c r="E69" t="inlineStr">
        <is>
          <t>USD m</t>
        </is>
      </c>
      <c r="G69" s="13">
        <f>SUM(J69:BN69)</f>
        <v/>
      </c>
      <c r="J69" s="13">
        <f>Inputs!$F$162*(Inputs!$F$219*J21+(1-Inputs!$F$219)*J27*Inputs!$F$153/J11)*J38/1000000</f>
        <v/>
      </c>
      <c r="K69" s="13">
        <f>Inputs!$F$162*(Inputs!$F$219*K21+(1-Inputs!$F$219)*K27*Inputs!$F$153/K11)*K38/1000000</f>
        <v/>
      </c>
      <c r="L69" s="13">
        <f>Inputs!$F$162*(Inputs!$F$219*L21+(1-Inputs!$F$219)*L27*Inputs!$F$153/L11)*L38/1000000</f>
        <v/>
      </c>
      <c r="M69" s="13">
        <f>Inputs!$F$162*(Inputs!$F$219*M21+(1-Inputs!$F$219)*M27*Inputs!$F$153/M11)*M38/1000000</f>
        <v/>
      </c>
      <c r="N69" s="13">
        <f>Inputs!$F$162*(Inputs!$F$219*N21+(1-Inputs!$F$219)*N27*Inputs!$F$153/N11)*N38/1000000</f>
        <v/>
      </c>
      <c r="O69" s="13">
        <f>Inputs!$F$162*(Inputs!$F$219*O21+(1-Inputs!$F$219)*O27*Inputs!$F$153/O11)*O38/1000000</f>
        <v/>
      </c>
      <c r="P69" s="13">
        <f>Inputs!$F$162*(Inputs!$F$219*P21+(1-Inputs!$F$219)*P27*Inputs!$F$153/P11)*P38/1000000</f>
        <v/>
      </c>
      <c r="Q69" s="13">
        <f>Inputs!$F$162*(Inputs!$F$219*Q21+(1-Inputs!$F$219)*Q27*Inputs!$F$153/Q11)*Q38/1000000</f>
        <v/>
      </c>
      <c r="R69" s="13">
        <f>Inputs!$F$162*(Inputs!$F$219*R21+(1-Inputs!$F$219)*R27*Inputs!$F$153/R11)*R38/1000000</f>
        <v/>
      </c>
      <c r="S69" s="13">
        <f>Inputs!$F$162*(Inputs!$F$219*S21+(1-Inputs!$F$219)*S27*Inputs!$F$153/S11)*S38/1000000</f>
        <v/>
      </c>
      <c r="T69" s="13">
        <f>Inputs!$F$162*(Inputs!$F$219*T21+(1-Inputs!$F$219)*T27*Inputs!$F$153/T11)*T38/1000000</f>
        <v/>
      </c>
      <c r="U69" s="13">
        <f>Inputs!$F$162*(Inputs!$F$219*U21+(1-Inputs!$F$219)*U27*Inputs!$F$153/U11)*U38/1000000</f>
        <v/>
      </c>
      <c r="V69" s="13">
        <f>Inputs!$F$162*(Inputs!$F$219*V21+(1-Inputs!$F$219)*V27*Inputs!$F$153/V11)*V38/1000000</f>
        <v/>
      </c>
      <c r="W69" s="13">
        <f>Inputs!$F$162*(Inputs!$F$219*W21+(1-Inputs!$F$219)*W27*Inputs!$F$153/W11)*W38/1000000</f>
        <v/>
      </c>
      <c r="X69" s="13">
        <f>Inputs!$F$162*(Inputs!$F$219*X21+(1-Inputs!$F$219)*X27*Inputs!$F$153/X11)*X38/1000000</f>
        <v/>
      </c>
      <c r="Y69" s="13">
        <f>Inputs!$F$162*(Inputs!$F$219*Y21+(1-Inputs!$F$219)*Y27*Inputs!$F$153/Y11)*Y38/1000000</f>
        <v/>
      </c>
      <c r="Z69" s="13">
        <f>Inputs!$F$162*(Inputs!$F$219*Z21+(1-Inputs!$F$219)*Z27*Inputs!$F$153/Z11)*Z38/1000000</f>
        <v/>
      </c>
      <c r="AA69" s="13">
        <f>Inputs!$F$162*(Inputs!$F$219*AA21+(1-Inputs!$F$219)*AA27*Inputs!$F$153/AA11)*AA38/1000000</f>
        <v/>
      </c>
      <c r="AB69" s="13">
        <f>Inputs!$F$162*(Inputs!$F$219*AB21+(1-Inputs!$F$219)*AB27*Inputs!$F$153/AB11)*AB38/1000000</f>
        <v/>
      </c>
      <c r="AC69" s="13">
        <f>Inputs!$F$162*(Inputs!$F$219*AC21+(1-Inputs!$F$219)*AC27*Inputs!$F$153/AC11)*AC38/1000000</f>
        <v/>
      </c>
      <c r="AD69" s="13">
        <f>Inputs!$F$162*(Inputs!$F$219*AD21+(1-Inputs!$F$219)*AD27*Inputs!$F$153/AD11)*AD38/1000000</f>
        <v/>
      </c>
      <c r="AE69" s="13">
        <f>Inputs!$F$162*(Inputs!$F$219*AE21+(1-Inputs!$F$219)*AE27*Inputs!$F$153/AE11)*AE38/1000000</f>
        <v/>
      </c>
      <c r="AF69" s="13">
        <f>Inputs!$F$162*(Inputs!$F$219*AF21+(1-Inputs!$F$219)*AF27*Inputs!$F$153/AF11)*AF38/1000000</f>
        <v/>
      </c>
      <c r="AG69" s="13">
        <f>Inputs!$F$162*(Inputs!$F$219*AG21+(1-Inputs!$F$219)*AG27*Inputs!$F$153/AG11)*AG38/1000000</f>
        <v/>
      </c>
      <c r="AH69" s="13">
        <f>Inputs!$F$162*(Inputs!$F$219*AH21+(1-Inputs!$F$219)*AH27*Inputs!$F$153/AH11)*AH38/1000000</f>
        <v/>
      </c>
      <c r="AI69" s="13">
        <f>Inputs!$F$162*(Inputs!$F$219*AI21+(1-Inputs!$F$219)*AI27*Inputs!$F$153/AI11)*AI38/1000000</f>
        <v/>
      </c>
      <c r="AJ69" s="13">
        <f>Inputs!$F$162*(Inputs!$F$219*AJ21+(1-Inputs!$F$219)*AJ27*Inputs!$F$153/AJ11)*AJ38/1000000</f>
        <v/>
      </c>
      <c r="AK69" s="13">
        <f>Inputs!$F$162*(Inputs!$F$219*AK21+(1-Inputs!$F$219)*AK27*Inputs!$F$153/AK11)*AK38/1000000</f>
        <v/>
      </c>
      <c r="AL69" s="13">
        <f>Inputs!$F$162*(Inputs!$F$219*AL21+(1-Inputs!$F$219)*AL27*Inputs!$F$153/AL11)*AL38/1000000</f>
        <v/>
      </c>
      <c r="AM69" s="13">
        <f>Inputs!$F$162*(Inputs!$F$219*AM21+(1-Inputs!$F$219)*AM27*Inputs!$F$153/AM11)*AM38/1000000</f>
        <v/>
      </c>
      <c r="AN69" s="13">
        <f>Inputs!$F$162*(Inputs!$F$219*AN21+(1-Inputs!$F$219)*AN27*Inputs!$F$153/AN11)*AN38/1000000</f>
        <v/>
      </c>
      <c r="AO69" s="13">
        <f>Inputs!$F$162*(Inputs!$F$219*AO21+(1-Inputs!$F$219)*AO27*Inputs!$F$153/AO11)*AO38/1000000</f>
        <v/>
      </c>
      <c r="AP69" s="13">
        <f>Inputs!$F$162*(Inputs!$F$219*AP21+(1-Inputs!$F$219)*AP27*Inputs!$F$153/AP11)*AP38/1000000</f>
        <v/>
      </c>
      <c r="AQ69" s="13">
        <f>Inputs!$F$162*(Inputs!$F$219*AQ21+(1-Inputs!$F$219)*AQ27*Inputs!$F$153/AQ11)*AQ38/1000000</f>
        <v/>
      </c>
      <c r="AR69" s="13">
        <f>Inputs!$F$162*(Inputs!$F$219*AR21+(1-Inputs!$F$219)*AR27*Inputs!$F$153/AR11)*AR38/1000000</f>
        <v/>
      </c>
      <c r="AS69" s="13">
        <f>Inputs!$F$162*(Inputs!$F$219*AS21+(1-Inputs!$F$219)*AS27*Inputs!$F$153/AS11)*AS38/1000000</f>
        <v/>
      </c>
      <c r="AT69" s="13">
        <f>Inputs!$F$162*(Inputs!$F$219*AT21+(1-Inputs!$F$219)*AT27*Inputs!$F$153/AT11)*AT38/1000000</f>
        <v/>
      </c>
      <c r="AU69" s="13">
        <f>Inputs!$F$162*(Inputs!$F$219*AU21+(1-Inputs!$F$219)*AU27*Inputs!$F$153/AU11)*AU38/1000000</f>
        <v/>
      </c>
      <c r="AV69" s="13">
        <f>Inputs!$F$162*(Inputs!$F$219*AV21+(1-Inputs!$F$219)*AV27*Inputs!$F$153/AV11)*AV38/1000000</f>
        <v/>
      </c>
      <c r="AW69" s="13">
        <f>Inputs!$F$162*(Inputs!$F$219*AW21+(1-Inputs!$F$219)*AW27*Inputs!$F$153/AW11)*AW38/1000000</f>
        <v/>
      </c>
      <c r="AX69" s="13">
        <f>Inputs!$F$162*(Inputs!$F$219*AX21+(1-Inputs!$F$219)*AX27*Inputs!$F$153/AX11)*AX38/1000000</f>
        <v/>
      </c>
      <c r="AY69" s="13">
        <f>Inputs!$F$162*(Inputs!$F$219*AY21+(1-Inputs!$F$219)*AY27*Inputs!$F$153/AY11)*AY38/1000000</f>
        <v/>
      </c>
      <c r="AZ69" s="13">
        <f>Inputs!$F$162*(Inputs!$F$219*AZ21+(1-Inputs!$F$219)*AZ27*Inputs!$F$153/AZ11)*AZ38/1000000</f>
        <v/>
      </c>
      <c r="BA69" s="13">
        <f>Inputs!$F$162*(Inputs!$F$219*BA21+(1-Inputs!$F$219)*BA27*Inputs!$F$153/BA11)*BA38/1000000</f>
        <v/>
      </c>
      <c r="BB69" s="13">
        <f>Inputs!$F$162*(Inputs!$F$219*BB21+(1-Inputs!$F$219)*BB27*Inputs!$F$153/BB11)*BB38/1000000</f>
        <v/>
      </c>
      <c r="BC69" s="13">
        <f>Inputs!$F$162*(Inputs!$F$219*BC21+(1-Inputs!$F$219)*BC27*Inputs!$F$153/BC11)*BC38/1000000</f>
        <v/>
      </c>
      <c r="BD69" s="13">
        <f>Inputs!$F$162*(Inputs!$F$219*BD21+(1-Inputs!$F$219)*BD27*Inputs!$F$153/BD11)*BD38/1000000</f>
        <v/>
      </c>
      <c r="BE69" s="13">
        <f>Inputs!$F$162*(Inputs!$F$219*BE21+(1-Inputs!$F$219)*BE27*Inputs!$F$153/BE11)*BE38/1000000</f>
        <v/>
      </c>
      <c r="BF69" s="13">
        <f>Inputs!$F$162*(Inputs!$F$219*BF21+(1-Inputs!$F$219)*BF27*Inputs!$F$153/BF11)*BF38/1000000</f>
        <v/>
      </c>
      <c r="BG69" s="13">
        <f>Inputs!$F$162*(Inputs!$F$219*BG21+(1-Inputs!$F$219)*BG27*Inputs!$F$153/BG11)*BG38/1000000</f>
        <v/>
      </c>
      <c r="BH69" s="13">
        <f>Inputs!$F$162*(Inputs!$F$219*BH21+(1-Inputs!$F$219)*BH27*Inputs!$F$153/BH11)*BH38/1000000</f>
        <v/>
      </c>
      <c r="BI69" s="13">
        <f>Inputs!$F$162*(Inputs!$F$219*BI21+(1-Inputs!$F$219)*BI27*Inputs!$F$153/BI11)*BI38/1000000</f>
        <v/>
      </c>
      <c r="BJ69" s="13">
        <f>Inputs!$F$162*(Inputs!$F$219*BJ21+(1-Inputs!$F$219)*BJ27*Inputs!$F$153/BJ11)*BJ38/1000000</f>
        <v/>
      </c>
      <c r="BK69" s="13">
        <f>Inputs!$F$162*(Inputs!$F$219*BK21+(1-Inputs!$F$219)*BK27*Inputs!$F$153/BK11)*BK38/1000000</f>
        <v/>
      </c>
      <c r="BL69" s="13">
        <f>Inputs!$F$162*(Inputs!$F$219*BL21+(1-Inputs!$F$219)*BL27*Inputs!$F$153/BL11)*BL38/1000000</f>
        <v/>
      </c>
      <c r="BM69" s="13">
        <f>Inputs!$F$162*(Inputs!$F$219*BM21+(1-Inputs!$F$219)*BM27*Inputs!$F$153/BM11)*BM38/1000000</f>
        <v/>
      </c>
      <c r="BN69" s="13">
        <f>Inputs!$F$162*(Inputs!$F$219*BN21+(1-Inputs!$F$219)*BN27*Inputs!$F$153/BN11)*BN38/1000000</f>
        <v/>
      </c>
    </row>
    <row r="70">
      <c r="D70" t="inlineStr">
        <is>
          <t>Agency and account fees</t>
        </is>
      </c>
      <c r="E70" t="inlineStr">
        <is>
          <t>USD m</t>
        </is>
      </c>
      <c r="G70" s="13">
        <f>SUM(J70:BN70)</f>
        <v/>
      </c>
      <c r="J70" s="13">
        <f>Inputs!$F$107*Time!J30/12</f>
        <v/>
      </c>
      <c r="K70" s="13">
        <f>Inputs!$F$107*Time!K30/12</f>
        <v/>
      </c>
      <c r="L70" s="13">
        <f>Inputs!$F$107*Time!L30/12</f>
        <v/>
      </c>
      <c r="M70" s="13">
        <f>Inputs!$F$107*Time!M30/12</f>
        <v/>
      </c>
      <c r="N70" s="13">
        <f>Inputs!$F$107*Time!N30/12</f>
        <v/>
      </c>
      <c r="O70" s="13">
        <f>Inputs!$F$107*Time!O30/12</f>
        <v/>
      </c>
      <c r="P70" s="13">
        <f>Inputs!$F$107*Time!P30/12</f>
        <v/>
      </c>
      <c r="Q70" s="13">
        <f>Inputs!$F$107*Time!Q30/12</f>
        <v/>
      </c>
      <c r="R70" s="13">
        <f>Inputs!$F$107*Time!R30/12</f>
        <v/>
      </c>
      <c r="S70" s="13">
        <f>Inputs!$F$107*Time!S30/12</f>
        <v/>
      </c>
      <c r="T70" s="13">
        <f>Inputs!$F$107*Time!T30/12</f>
        <v/>
      </c>
      <c r="U70" s="13">
        <f>Inputs!$F$107*Time!U30/12</f>
        <v/>
      </c>
      <c r="V70" s="13">
        <f>Inputs!$F$107*Time!V30/12</f>
        <v/>
      </c>
      <c r="W70" s="13">
        <f>Inputs!$F$107*Time!W30/12</f>
        <v/>
      </c>
      <c r="X70" s="13">
        <f>Inputs!$F$107*Time!X30/12</f>
        <v/>
      </c>
      <c r="Y70" s="13">
        <f>Inputs!$F$107*Time!Y30/12</f>
        <v/>
      </c>
      <c r="Z70" s="13">
        <f>Inputs!$F$107*Time!Z30/12</f>
        <v/>
      </c>
      <c r="AA70" s="13">
        <f>Inputs!$F$107*Time!AA30/12</f>
        <v/>
      </c>
      <c r="AB70" s="13">
        <f>Inputs!$F$107*Time!AB30/12</f>
        <v/>
      </c>
      <c r="AC70" s="13">
        <f>Inputs!$F$107*Time!AC30/12</f>
        <v/>
      </c>
      <c r="AD70" s="13">
        <f>Inputs!$F$107*Time!AD30/12</f>
        <v/>
      </c>
      <c r="AE70" s="13">
        <f>Inputs!$F$107*Time!AE30/12</f>
        <v/>
      </c>
      <c r="AF70" s="13">
        <f>Inputs!$F$107*Time!AF30/12</f>
        <v/>
      </c>
      <c r="AG70" s="13">
        <f>Inputs!$F$107*Time!AG30/12</f>
        <v/>
      </c>
      <c r="AH70" s="13">
        <f>Inputs!$F$107*Time!AH30/12</f>
        <v/>
      </c>
      <c r="AI70" s="13">
        <f>Inputs!$F$107*Time!AI30/12</f>
        <v/>
      </c>
      <c r="AJ70" s="13">
        <f>Inputs!$F$107*Time!AJ30/12</f>
        <v/>
      </c>
      <c r="AK70" s="13">
        <f>Inputs!$F$107*Time!AK30/12</f>
        <v/>
      </c>
      <c r="AL70" s="13">
        <f>Inputs!$F$107*Time!AL30/12</f>
        <v/>
      </c>
      <c r="AM70" s="13">
        <f>Inputs!$F$107*Time!AM30/12</f>
        <v/>
      </c>
      <c r="AN70" s="13">
        <f>Inputs!$F$107*Time!AN30/12</f>
        <v/>
      </c>
      <c r="AO70" s="13">
        <f>Inputs!$F$107*Time!AO30/12</f>
        <v/>
      </c>
      <c r="AP70" s="13">
        <f>Inputs!$F$107*Time!AP30/12</f>
        <v/>
      </c>
      <c r="AQ70" s="13">
        <f>Inputs!$F$107*Time!AQ30/12</f>
        <v/>
      </c>
      <c r="AR70" s="13">
        <f>Inputs!$F$107*Time!AR30/12</f>
        <v/>
      </c>
      <c r="AS70" s="13">
        <f>Inputs!$F$107*Time!AS30/12</f>
        <v/>
      </c>
      <c r="AT70" s="13">
        <f>Inputs!$F$107*Time!AT30/12</f>
        <v/>
      </c>
      <c r="AU70" s="13">
        <f>Inputs!$F$107*Time!AU30/12</f>
        <v/>
      </c>
      <c r="AV70" s="13">
        <f>Inputs!$F$107*Time!AV30/12</f>
        <v/>
      </c>
      <c r="AW70" s="13">
        <f>Inputs!$F$107*Time!AW30/12</f>
        <v/>
      </c>
      <c r="AX70" s="13">
        <f>Inputs!$F$107*Time!AX30/12</f>
        <v/>
      </c>
      <c r="AY70" s="13">
        <f>Inputs!$F$107*Time!AY30/12</f>
        <v/>
      </c>
      <c r="AZ70" s="13">
        <f>Inputs!$F$107*Time!AZ30/12</f>
        <v/>
      </c>
      <c r="BA70" s="13">
        <f>Inputs!$F$107*Time!BA30/12</f>
        <v/>
      </c>
      <c r="BB70" s="13">
        <f>Inputs!$F$107*Time!BB30/12</f>
        <v/>
      </c>
      <c r="BC70" s="13">
        <f>Inputs!$F$107*Time!BC30/12</f>
        <v/>
      </c>
      <c r="BD70" s="13">
        <f>Inputs!$F$107*Time!BD30/12</f>
        <v/>
      </c>
      <c r="BE70" s="13">
        <f>Inputs!$F$107*Time!BE30/12</f>
        <v/>
      </c>
      <c r="BF70" s="13">
        <f>Inputs!$F$107*Time!BF30/12</f>
        <v/>
      </c>
      <c r="BG70" s="13">
        <f>Inputs!$F$107*Time!BG30/12</f>
        <v/>
      </c>
      <c r="BH70" s="13">
        <f>Inputs!$F$107*Time!BH30/12</f>
        <v/>
      </c>
      <c r="BI70" s="13">
        <f>Inputs!$F$107*Time!BI30/12</f>
        <v/>
      </c>
      <c r="BJ70" s="13">
        <f>Inputs!$F$107*Time!BJ30/12</f>
        <v/>
      </c>
      <c r="BK70" s="13">
        <f>Inputs!$F$107*Time!BK30/12</f>
        <v/>
      </c>
      <c r="BL70" s="13">
        <f>Inputs!$F$107*Time!BL30/12</f>
        <v/>
      </c>
      <c r="BM70" s="13">
        <f>Inputs!$F$107*Time!BM30/12</f>
        <v/>
      </c>
      <c r="BN70" s="13">
        <f>Inputs!$F$107*Time!BN30/12</f>
        <v/>
      </c>
    </row>
    <row r="71">
      <c r="D71" t="inlineStr">
        <is>
          <t>ABDB PRG fee</t>
        </is>
      </c>
      <c r="E71" t="inlineStr">
        <is>
          <t>USD m</t>
        </is>
      </c>
      <c r="G71" s="13">
        <f>SUM(J71:BN71)</f>
        <v/>
      </c>
      <c r="J71" s="13">
        <f>Inputs!$F$163*Time!J30/12</f>
        <v/>
      </c>
      <c r="K71" s="13">
        <f>Inputs!$F$163*Time!K30/12</f>
        <v/>
      </c>
      <c r="L71" s="13">
        <f>Inputs!$F$163*Time!L30/12</f>
        <v/>
      </c>
      <c r="M71" s="13">
        <f>Inputs!$F$163*Time!M30/12</f>
        <v/>
      </c>
      <c r="N71" s="13">
        <f>Inputs!$F$163*Time!N30/12</f>
        <v/>
      </c>
      <c r="O71" s="13">
        <f>Inputs!$F$163*Time!O30/12</f>
        <v/>
      </c>
      <c r="P71" s="13">
        <f>Inputs!$F$163*Time!P30/12</f>
        <v/>
      </c>
      <c r="Q71" s="13">
        <f>Inputs!$F$163*Time!Q30/12</f>
        <v/>
      </c>
      <c r="R71" s="13">
        <f>Inputs!$F$163*Time!R30/12</f>
        <v/>
      </c>
      <c r="S71" s="13">
        <f>Inputs!$F$163*Time!S30/12</f>
        <v/>
      </c>
      <c r="T71" s="13">
        <f>Inputs!$F$163*Time!T30/12</f>
        <v/>
      </c>
      <c r="U71" s="13">
        <f>Inputs!$F$163*Time!U30/12</f>
        <v/>
      </c>
      <c r="V71" s="13">
        <f>Inputs!$F$163*Time!V30/12</f>
        <v/>
      </c>
      <c r="W71" s="13">
        <f>Inputs!$F$163*Time!W30/12</f>
        <v/>
      </c>
      <c r="X71" s="13">
        <f>Inputs!$F$163*Time!X30/12</f>
        <v/>
      </c>
      <c r="Y71" s="13">
        <f>Inputs!$F$163*Time!Y30/12</f>
        <v/>
      </c>
      <c r="Z71" s="13">
        <f>Inputs!$F$163*Time!Z30/12</f>
        <v/>
      </c>
      <c r="AA71" s="13">
        <f>Inputs!$F$163*Time!AA30/12</f>
        <v/>
      </c>
      <c r="AB71" s="13">
        <f>Inputs!$F$163*Time!AB30/12</f>
        <v/>
      </c>
      <c r="AC71" s="13">
        <f>Inputs!$F$163*Time!AC30/12</f>
        <v/>
      </c>
      <c r="AD71" s="13">
        <f>Inputs!$F$163*Time!AD30/12</f>
        <v/>
      </c>
      <c r="AE71" s="13">
        <f>Inputs!$F$163*Time!AE30/12</f>
        <v/>
      </c>
      <c r="AF71" s="13">
        <f>Inputs!$F$163*Time!AF30/12</f>
        <v/>
      </c>
      <c r="AG71" s="13">
        <f>Inputs!$F$163*Time!AG30/12</f>
        <v/>
      </c>
      <c r="AH71" s="13">
        <f>Inputs!$F$163*Time!AH30/12</f>
        <v/>
      </c>
      <c r="AI71" s="13">
        <f>Inputs!$F$163*Time!AI30/12</f>
        <v/>
      </c>
      <c r="AJ71" s="13">
        <f>Inputs!$F$163*Time!AJ30/12</f>
        <v/>
      </c>
      <c r="AK71" s="13">
        <f>Inputs!$F$163*Time!AK30/12</f>
        <v/>
      </c>
      <c r="AL71" s="13">
        <f>Inputs!$F$163*Time!AL30/12</f>
        <v/>
      </c>
      <c r="AM71" s="13">
        <f>Inputs!$F$163*Time!AM30/12</f>
        <v/>
      </c>
      <c r="AN71" s="13">
        <f>Inputs!$F$163*Time!AN30/12</f>
        <v/>
      </c>
      <c r="AO71" s="13">
        <f>Inputs!$F$163*Time!AO30/12</f>
        <v/>
      </c>
      <c r="AP71" s="13">
        <f>Inputs!$F$163*Time!AP30/12</f>
        <v/>
      </c>
      <c r="AQ71" s="13">
        <f>Inputs!$F$163*Time!AQ30/12</f>
        <v/>
      </c>
      <c r="AR71" s="13">
        <f>Inputs!$F$163*Time!AR30/12</f>
        <v/>
      </c>
      <c r="AS71" s="13">
        <f>Inputs!$F$163*Time!AS30/12</f>
        <v/>
      </c>
      <c r="AT71" s="13">
        <f>Inputs!$F$163*Time!AT30/12</f>
        <v/>
      </c>
      <c r="AU71" s="13">
        <f>Inputs!$F$163*Time!AU30/12</f>
        <v/>
      </c>
      <c r="AV71" s="13">
        <f>Inputs!$F$163*Time!AV30/12</f>
        <v/>
      </c>
      <c r="AW71" s="13">
        <f>Inputs!$F$163*Time!AW30/12</f>
        <v/>
      </c>
      <c r="AX71" s="13">
        <f>Inputs!$F$163*Time!AX30/12</f>
        <v/>
      </c>
      <c r="AY71" s="13">
        <f>Inputs!$F$163*Time!AY30/12</f>
        <v/>
      </c>
      <c r="AZ71" s="13">
        <f>Inputs!$F$163*Time!AZ30/12</f>
        <v/>
      </c>
      <c r="BA71" s="13">
        <f>Inputs!$F$163*Time!BA30/12</f>
        <v/>
      </c>
      <c r="BB71" s="13">
        <f>Inputs!$F$163*Time!BB30/12</f>
        <v/>
      </c>
      <c r="BC71" s="13">
        <f>Inputs!$F$163*Time!BC30/12</f>
        <v/>
      </c>
      <c r="BD71" s="13">
        <f>Inputs!$F$163*Time!BD30/12</f>
        <v/>
      </c>
      <c r="BE71" s="13">
        <f>Inputs!$F$163*Time!BE30/12</f>
        <v/>
      </c>
      <c r="BF71" s="13">
        <f>Inputs!$F$163*Time!BF30/12</f>
        <v/>
      </c>
      <c r="BG71" s="13">
        <f>Inputs!$F$163*Time!BG30/12</f>
        <v/>
      </c>
      <c r="BH71" s="13">
        <f>Inputs!$F$163*Time!BH30/12</f>
        <v/>
      </c>
      <c r="BI71" s="13">
        <f>Inputs!$F$163*Time!BI30/12</f>
        <v/>
      </c>
      <c r="BJ71" s="13">
        <f>Inputs!$F$163*Time!BJ30/12</f>
        <v/>
      </c>
      <c r="BK71" s="13">
        <f>Inputs!$F$163*Time!BK30/12</f>
        <v/>
      </c>
      <c r="BL71" s="13">
        <f>Inputs!$F$163*Time!BL30/12</f>
        <v/>
      </c>
      <c r="BM71" s="13">
        <f>Inputs!$F$163*Time!BM30/12</f>
        <v/>
      </c>
      <c r="BN71" s="13">
        <f>Inputs!$F$163*Time!BN30/12</f>
        <v/>
      </c>
    </row>
    <row r="72">
      <c r="D72" t="inlineStr">
        <is>
          <t>Operating costs before pass-through items</t>
        </is>
      </c>
      <c r="E72" t="inlineStr">
        <is>
          <t>USD m</t>
        </is>
      </c>
      <c r="G72" s="13">
        <f>SUM(J72:BN72)</f>
        <v/>
      </c>
      <c r="J72" s="13">
        <f>J60+J61+J62+J64+J65+J66+J67+J68+J69+J70+J71</f>
        <v/>
      </c>
      <c r="K72" s="13">
        <f>K60+K61+K62+K64+K65+K66+K67+K68+K69+K70+K71</f>
        <v/>
      </c>
      <c r="L72" s="13">
        <f>L60+L61+L62+L64+L65+L66+L67+L68+L69+L70+L71</f>
        <v/>
      </c>
      <c r="M72" s="13">
        <f>M60+M61+M62+M64+M65+M66+M67+M68+M69+M70+M71</f>
        <v/>
      </c>
      <c r="N72" s="13">
        <f>N60+N61+N62+N64+N65+N66+N67+N68+N69+N70+N71</f>
        <v/>
      </c>
      <c r="O72" s="13">
        <f>O60+O61+O62+O64+O65+O66+O67+O68+O69+O70+O71</f>
        <v/>
      </c>
      <c r="P72" s="13">
        <f>P60+P61+P62+P64+P65+P66+P67+P68+P69+P70+P71</f>
        <v/>
      </c>
      <c r="Q72" s="13">
        <f>Q60+Q61+Q62+Q64+Q65+Q66+Q67+Q68+Q69+Q70+Q71</f>
        <v/>
      </c>
      <c r="R72" s="13">
        <f>R60+R61+R62+R64+R65+R66+R67+R68+R69+R70+R71</f>
        <v/>
      </c>
      <c r="S72" s="13">
        <f>S60+S61+S62+S64+S65+S66+S67+S68+S69+S70+S71</f>
        <v/>
      </c>
      <c r="T72" s="13">
        <f>T60+T61+T62+T64+T65+T66+T67+T68+T69+T70+T71</f>
        <v/>
      </c>
      <c r="U72" s="13">
        <f>U60+U61+U62+U64+U65+U66+U67+U68+U69+U70+U71</f>
        <v/>
      </c>
      <c r="V72" s="13">
        <f>V60+V61+V62+V64+V65+V66+V67+V68+V69+V70+V71</f>
        <v/>
      </c>
      <c r="W72" s="13">
        <f>W60+W61+W62+W64+W65+W66+W67+W68+W69+W70+W71</f>
        <v/>
      </c>
      <c r="X72" s="13">
        <f>X60+X61+X62+X64+X65+X66+X67+X68+X69+X70+X71</f>
        <v/>
      </c>
      <c r="Y72" s="13">
        <f>Y60+Y61+Y62+Y64+Y65+Y66+Y67+Y68+Y69+Y70+Y71</f>
        <v/>
      </c>
      <c r="Z72" s="13">
        <f>Z60+Z61+Z62+Z64+Z65+Z66+Z67+Z68+Z69+Z70+Z71</f>
        <v/>
      </c>
      <c r="AA72" s="13">
        <f>AA60+AA61+AA62+AA64+AA65+AA66+AA67+AA68+AA69+AA70+AA71</f>
        <v/>
      </c>
      <c r="AB72" s="13">
        <f>AB60+AB61+AB62+AB64+AB65+AB66+AB67+AB68+AB69+AB70+AB71</f>
        <v/>
      </c>
      <c r="AC72" s="13">
        <f>AC60+AC61+AC62+AC64+AC65+AC66+AC67+AC68+AC69+AC70+AC71</f>
        <v/>
      </c>
      <c r="AD72" s="13">
        <f>AD60+AD61+AD62+AD64+AD65+AD66+AD67+AD68+AD69+AD70+AD71</f>
        <v/>
      </c>
      <c r="AE72" s="13">
        <f>AE60+AE61+AE62+AE64+AE65+AE66+AE67+AE68+AE69+AE70+AE71</f>
        <v/>
      </c>
      <c r="AF72" s="13">
        <f>AF60+AF61+AF62+AF64+AF65+AF66+AF67+AF68+AF69+AF70+AF71</f>
        <v/>
      </c>
      <c r="AG72" s="13">
        <f>AG60+AG61+AG62+AG64+AG65+AG66+AG67+AG68+AG69+AG70+AG71</f>
        <v/>
      </c>
      <c r="AH72" s="13">
        <f>AH60+AH61+AH62+AH64+AH65+AH66+AH67+AH68+AH69+AH70+AH71</f>
        <v/>
      </c>
      <c r="AI72" s="13">
        <f>AI60+AI61+AI62+AI64+AI65+AI66+AI67+AI68+AI69+AI70+AI71</f>
        <v/>
      </c>
      <c r="AJ72" s="13">
        <f>AJ60+AJ61+AJ62+AJ64+AJ65+AJ66+AJ67+AJ68+AJ69+AJ70+AJ71</f>
        <v/>
      </c>
      <c r="AK72" s="13">
        <f>AK60+AK61+AK62+AK64+AK65+AK66+AK67+AK68+AK69+AK70+AK71</f>
        <v/>
      </c>
      <c r="AL72" s="13">
        <f>AL60+AL61+AL62+AL64+AL65+AL66+AL67+AL68+AL69+AL70+AL71</f>
        <v/>
      </c>
      <c r="AM72" s="13">
        <f>AM60+AM61+AM62+AM64+AM65+AM66+AM67+AM68+AM69+AM70+AM71</f>
        <v/>
      </c>
      <c r="AN72" s="13">
        <f>AN60+AN61+AN62+AN64+AN65+AN66+AN67+AN68+AN69+AN70+AN71</f>
        <v/>
      </c>
      <c r="AO72" s="13">
        <f>AO60+AO61+AO62+AO64+AO65+AO66+AO67+AO68+AO69+AO70+AO71</f>
        <v/>
      </c>
      <c r="AP72" s="13">
        <f>AP60+AP61+AP62+AP64+AP65+AP66+AP67+AP68+AP69+AP70+AP71</f>
        <v/>
      </c>
      <c r="AQ72" s="13">
        <f>AQ60+AQ61+AQ62+AQ64+AQ65+AQ66+AQ67+AQ68+AQ69+AQ70+AQ71</f>
        <v/>
      </c>
      <c r="AR72" s="13">
        <f>AR60+AR61+AR62+AR64+AR65+AR66+AR67+AR68+AR69+AR70+AR71</f>
        <v/>
      </c>
      <c r="AS72" s="13">
        <f>AS60+AS61+AS62+AS64+AS65+AS66+AS67+AS68+AS69+AS70+AS71</f>
        <v/>
      </c>
      <c r="AT72" s="13">
        <f>AT60+AT61+AT62+AT64+AT65+AT66+AT67+AT68+AT69+AT70+AT71</f>
        <v/>
      </c>
      <c r="AU72" s="13">
        <f>AU60+AU61+AU62+AU64+AU65+AU66+AU67+AU68+AU69+AU70+AU71</f>
        <v/>
      </c>
      <c r="AV72" s="13">
        <f>AV60+AV61+AV62+AV64+AV65+AV66+AV67+AV68+AV69+AV70+AV71</f>
        <v/>
      </c>
      <c r="AW72" s="13">
        <f>AW60+AW61+AW62+AW64+AW65+AW66+AW67+AW68+AW69+AW70+AW71</f>
        <v/>
      </c>
      <c r="AX72" s="13">
        <f>AX60+AX61+AX62+AX64+AX65+AX66+AX67+AX68+AX69+AX70+AX71</f>
        <v/>
      </c>
      <c r="AY72" s="13">
        <f>AY60+AY61+AY62+AY64+AY65+AY66+AY67+AY68+AY69+AY70+AY71</f>
        <v/>
      </c>
      <c r="AZ72" s="13">
        <f>AZ60+AZ61+AZ62+AZ64+AZ65+AZ66+AZ67+AZ68+AZ69+AZ70+AZ71</f>
        <v/>
      </c>
      <c r="BA72" s="13">
        <f>BA60+BA61+BA62+BA64+BA65+BA66+BA67+BA68+BA69+BA70+BA71</f>
        <v/>
      </c>
      <c r="BB72" s="13">
        <f>BB60+BB61+BB62+BB64+BB65+BB66+BB67+BB68+BB69+BB70+BB71</f>
        <v/>
      </c>
      <c r="BC72" s="13">
        <f>BC60+BC61+BC62+BC64+BC65+BC66+BC67+BC68+BC69+BC70+BC71</f>
        <v/>
      </c>
      <c r="BD72" s="13">
        <f>BD60+BD61+BD62+BD64+BD65+BD66+BD67+BD68+BD69+BD70+BD71</f>
        <v/>
      </c>
      <c r="BE72" s="13">
        <f>BE60+BE61+BE62+BE64+BE65+BE66+BE67+BE68+BE69+BE70+BE71</f>
        <v/>
      </c>
      <c r="BF72" s="13">
        <f>BF60+BF61+BF62+BF64+BF65+BF66+BF67+BF68+BF69+BF70+BF71</f>
        <v/>
      </c>
      <c r="BG72" s="13">
        <f>BG60+BG61+BG62+BG64+BG65+BG66+BG67+BG68+BG69+BG70+BG71</f>
        <v/>
      </c>
      <c r="BH72" s="13">
        <f>BH60+BH61+BH62+BH64+BH65+BH66+BH67+BH68+BH69+BH70+BH71</f>
        <v/>
      </c>
      <c r="BI72" s="13">
        <f>BI60+BI61+BI62+BI64+BI65+BI66+BI67+BI68+BI69+BI70+BI71</f>
        <v/>
      </c>
      <c r="BJ72" s="13">
        <f>BJ60+BJ61+BJ62+BJ64+BJ65+BJ66+BJ67+BJ68+BJ69+BJ70+BJ71</f>
        <v/>
      </c>
      <c r="BK72" s="13">
        <f>BK60+BK61+BK62+BK64+BK65+BK66+BK67+BK68+BK69+BK70+BK71</f>
        <v/>
      </c>
      <c r="BL72" s="13">
        <f>BL60+BL61+BL62+BL64+BL65+BL66+BL67+BL68+BL69+BL70+BL71</f>
        <v/>
      </c>
      <c r="BM72" s="13">
        <f>BM60+BM61+BM62+BM64+BM65+BM66+BM67+BM68+BM69+BM70+BM71</f>
        <v/>
      </c>
      <c r="BN72" s="13">
        <f>BN60+BN61+BN62+BN64+BN65+BN66+BN67+BN68+BN69+BN70+BN71</f>
        <v/>
      </c>
    </row>
    <row r="73">
      <c r="D73" t="inlineStr">
        <is>
          <t>Gas purchases</t>
        </is>
      </c>
      <c r="E73" t="inlineStr">
        <is>
          <t>USD m</t>
        </is>
      </c>
      <c r="G73" s="13">
        <f>SUM(J73:BN73)</f>
        <v/>
      </c>
      <c r="J73" s="13">
        <f>J42*J41/1000000</f>
        <v/>
      </c>
      <c r="K73" s="13">
        <f>K42*K41/1000000</f>
        <v/>
      </c>
      <c r="L73" s="13">
        <f>L42*L41/1000000</f>
        <v/>
      </c>
      <c r="M73" s="13">
        <f>M42*M41/1000000</f>
        <v/>
      </c>
      <c r="N73" s="13">
        <f>N42*N41/1000000</f>
        <v/>
      </c>
      <c r="O73" s="13">
        <f>O42*O41/1000000</f>
        <v/>
      </c>
      <c r="P73" s="13">
        <f>P42*P41/1000000</f>
        <v/>
      </c>
      <c r="Q73" s="13">
        <f>Q42*Q41/1000000</f>
        <v/>
      </c>
      <c r="R73" s="13">
        <f>R42*R41/1000000</f>
        <v/>
      </c>
      <c r="S73" s="13">
        <f>S42*S41/1000000</f>
        <v/>
      </c>
      <c r="T73" s="13">
        <f>T42*T41/1000000</f>
        <v/>
      </c>
      <c r="U73" s="13">
        <f>U42*U41/1000000</f>
        <v/>
      </c>
      <c r="V73" s="13">
        <f>V42*V41/1000000</f>
        <v/>
      </c>
      <c r="W73" s="13">
        <f>W42*W41/1000000</f>
        <v/>
      </c>
      <c r="X73" s="13">
        <f>X42*X41/1000000</f>
        <v/>
      </c>
      <c r="Y73" s="13">
        <f>Y42*Y41/1000000</f>
        <v/>
      </c>
      <c r="Z73" s="13">
        <f>Z42*Z41/1000000</f>
        <v/>
      </c>
      <c r="AA73" s="13">
        <f>AA42*AA41/1000000</f>
        <v/>
      </c>
      <c r="AB73" s="13">
        <f>AB42*AB41/1000000</f>
        <v/>
      </c>
      <c r="AC73" s="13">
        <f>AC42*AC41/1000000</f>
        <v/>
      </c>
      <c r="AD73" s="13">
        <f>AD42*AD41/1000000</f>
        <v/>
      </c>
      <c r="AE73" s="13">
        <f>AE42*AE41/1000000</f>
        <v/>
      </c>
      <c r="AF73" s="13">
        <f>AF42*AF41/1000000</f>
        <v/>
      </c>
      <c r="AG73" s="13">
        <f>AG42*AG41/1000000</f>
        <v/>
      </c>
      <c r="AH73" s="13">
        <f>AH42*AH41/1000000</f>
        <v/>
      </c>
      <c r="AI73" s="13">
        <f>AI42*AI41/1000000</f>
        <v/>
      </c>
      <c r="AJ73" s="13">
        <f>AJ42*AJ41/1000000</f>
        <v/>
      </c>
      <c r="AK73" s="13">
        <f>AK42*AK41/1000000</f>
        <v/>
      </c>
      <c r="AL73" s="13">
        <f>AL42*AL41/1000000</f>
        <v/>
      </c>
      <c r="AM73" s="13">
        <f>AM42*AM41/1000000</f>
        <v/>
      </c>
      <c r="AN73" s="13">
        <f>AN42*AN41/1000000</f>
        <v/>
      </c>
      <c r="AO73" s="13">
        <f>AO42*AO41/1000000</f>
        <v/>
      </c>
      <c r="AP73" s="13">
        <f>AP42*AP41/1000000</f>
        <v/>
      </c>
      <c r="AQ73" s="13">
        <f>AQ42*AQ41/1000000</f>
        <v/>
      </c>
      <c r="AR73" s="13">
        <f>AR42*AR41/1000000</f>
        <v/>
      </c>
      <c r="AS73" s="13">
        <f>AS42*AS41/1000000</f>
        <v/>
      </c>
      <c r="AT73" s="13">
        <f>AT42*AT41/1000000</f>
        <v/>
      </c>
      <c r="AU73" s="13">
        <f>AU42*AU41/1000000</f>
        <v/>
      </c>
      <c r="AV73" s="13">
        <f>AV42*AV41/1000000</f>
        <v/>
      </c>
      <c r="AW73" s="13">
        <f>AW42*AW41/1000000</f>
        <v/>
      </c>
      <c r="AX73" s="13">
        <f>AX42*AX41/1000000</f>
        <v/>
      </c>
      <c r="AY73" s="13">
        <f>AY42*AY41/1000000</f>
        <v/>
      </c>
      <c r="AZ73" s="13">
        <f>AZ42*AZ41/1000000</f>
        <v/>
      </c>
      <c r="BA73" s="13">
        <f>BA42*BA41/1000000</f>
        <v/>
      </c>
      <c r="BB73" s="13">
        <f>BB42*BB41/1000000</f>
        <v/>
      </c>
      <c r="BC73" s="13">
        <f>BC42*BC41/1000000</f>
        <v/>
      </c>
      <c r="BD73" s="13">
        <f>BD42*BD41/1000000</f>
        <v/>
      </c>
      <c r="BE73" s="13">
        <f>BE42*BE41/1000000</f>
        <v/>
      </c>
      <c r="BF73" s="13">
        <f>BF42*BF41/1000000</f>
        <v/>
      </c>
      <c r="BG73" s="13">
        <f>BG42*BG41/1000000</f>
        <v/>
      </c>
      <c r="BH73" s="13">
        <f>BH42*BH41/1000000</f>
        <v/>
      </c>
      <c r="BI73" s="13">
        <f>BI42*BI41/1000000</f>
        <v/>
      </c>
      <c r="BJ73" s="13">
        <f>BJ42*BJ41/1000000</f>
        <v/>
      </c>
      <c r="BK73" s="13">
        <f>BK42*BK41/1000000</f>
        <v/>
      </c>
      <c r="BL73" s="13">
        <f>BL42*BL41/1000000</f>
        <v/>
      </c>
      <c r="BM73" s="13">
        <f>BM42*BM41/1000000</f>
        <v/>
      </c>
      <c r="BN73" s="13">
        <f>BN42*BN41/1000000</f>
        <v/>
      </c>
    </row>
    <row r="74">
      <c r="D74" t="inlineStr">
        <is>
          <t>Pass-through costs (gas, GTA, take-or-pay)</t>
        </is>
      </c>
      <c r="E74" t="inlineStr">
        <is>
          <t>USD m</t>
        </is>
      </c>
      <c r="G74" s="13">
        <f>SUM(J74:BN74)</f>
        <v/>
      </c>
      <c r="J74" s="13">
        <f>J73+J52+J53+J54</f>
        <v/>
      </c>
      <c r="K74" s="13">
        <f>K73+K52+K53+K54</f>
        <v/>
      </c>
      <c r="L74" s="13">
        <f>L73+L52+L53+L54</f>
        <v/>
      </c>
      <c r="M74" s="13">
        <f>M73+M52+M53+M54</f>
        <v/>
      </c>
      <c r="N74" s="13">
        <f>N73+N52+N53+N54</f>
        <v/>
      </c>
      <c r="O74" s="13">
        <f>O73+O52+O53+O54</f>
        <v/>
      </c>
      <c r="P74" s="13">
        <f>P73+P52+P53+P54</f>
        <v/>
      </c>
      <c r="Q74" s="13">
        <f>Q73+Q52+Q53+Q54</f>
        <v/>
      </c>
      <c r="R74" s="13">
        <f>R73+R52+R53+R54</f>
        <v/>
      </c>
      <c r="S74" s="13">
        <f>S73+S52+S53+S54</f>
        <v/>
      </c>
      <c r="T74" s="13">
        <f>T73+T52+T53+T54</f>
        <v/>
      </c>
      <c r="U74" s="13">
        <f>U73+U52+U53+U54</f>
        <v/>
      </c>
      <c r="V74" s="13">
        <f>V73+V52+V53+V54</f>
        <v/>
      </c>
      <c r="W74" s="13">
        <f>W73+W52+W53+W54</f>
        <v/>
      </c>
      <c r="X74" s="13">
        <f>X73+X52+X53+X54</f>
        <v/>
      </c>
      <c r="Y74" s="13">
        <f>Y73+Y52+Y53+Y54</f>
        <v/>
      </c>
      <c r="Z74" s="13">
        <f>Z73+Z52+Z53+Z54</f>
        <v/>
      </c>
      <c r="AA74" s="13">
        <f>AA73+AA52+AA53+AA54</f>
        <v/>
      </c>
      <c r="AB74" s="13">
        <f>AB73+AB52+AB53+AB54</f>
        <v/>
      </c>
      <c r="AC74" s="13">
        <f>AC73+AC52+AC53+AC54</f>
        <v/>
      </c>
      <c r="AD74" s="13">
        <f>AD73+AD52+AD53+AD54</f>
        <v/>
      </c>
      <c r="AE74" s="13">
        <f>AE73+AE52+AE53+AE54</f>
        <v/>
      </c>
      <c r="AF74" s="13">
        <f>AF73+AF52+AF53+AF54</f>
        <v/>
      </c>
      <c r="AG74" s="13">
        <f>AG73+AG52+AG53+AG54</f>
        <v/>
      </c>
      <c r="AH74" s="13">
        <f>AH73+AH52+AH53+AH54</f>
        <v/>
      </c>
      <c r="AI74" s="13">
        <f>AI73+AI52+AI53+AI54</f>
        <v/>
      </c>
      <c r="AJ74" s="13">
        <f>AJ73+AJ52+AJ53+AJ54</f>
        <v/>
      </c>
      <c r="AK74" s="13">
        <f>AK73+AK52+AK53+AK54</f>
        <v/>
      </c>
      <c r="AL74" s="13">
        <f>AL73+AL52+AL53+AL54</f>
        <v/>
      </c>
      <c r="AM74" s="13">
        <f>AM73+AM52+AM53+AM54</f>
        <v/>
      </c>
      <c r="AN74" s="13">
        <f>AN73+AN52+AN53+AN54</f>
        <v/>
      </c>
      <c r="AO74" s="13">
        <f>AO73+AO52+AO53+AO54</f>
        <v/>
      </c>
      <c r="AP74" s="13">
        <f>AP73+AP52+AP53+AP54</f>
        <v/>
      </c>
      <c r="AQ74" s="13">
        <f>AQ73+AQ52+AQ53+AQ54</f>
        <v/>
      </c>
      <c r="AR74" s="13">
        <f>AR73+AR52+AR53+AR54</f>
        <v/>
      </c>
      <c r="AS74" s="13">
        <f>AS73+AS52+AS53+AS54</f>
        <v/>
      </c>
      <c r="AT74" s="13">
        <f>AT73+AT52+AT53+AT54</f>
        <v/>
      </c>
      <c r="AU74" s="13">
        <f>AU73+AU52+AU53+AU54</f>
        <v/>
      </c>
      <c r="AV74" s="13">
        <f>AV73+AV52+AV53+AV54</f>
        <v/>
      </c>
      <c r="AW74" s="13">
        <f>AW73+AW52+AW53+AW54</f>
        <v/>
      </c>
      <c r="AX74" s="13">
        <f>AX73+AX52+AX53+AX54</f>
        <v/>
      </c>
      <c r="AY74" s="13">
        <f>AY73+AY52+AY53+AY54</f>
        <v/>
      </c>
      <c r="AZ74" s="13">
        <f>AZ73+AZ52+AZ53+AZ54</f>
        <v/>
      </c>
      <c r="BA74" s="13">
        <f>BA73+BA52+BA53+BA54</f>
        <v/>
      </c>
      <c r="BB74" s="13">
        <f>BB73+BB52+BB53+BB54</f>
        <v/>
      </c>
      <c r="BC74" s="13">
        <f>BC73+BC52+BC53+BC54</f>
        <v/>
      </c>
      <c r="BD74" s="13">
        <f>BD73+BD52+BD53+BD54</f>
        <v/>
      </c>
      <c r="BE74" s="13">
        <f>BE73+BE52+BE53+BE54</f>
        <v/>
      </c>
      <c r="BF74" s="13">
        <f>BF73+BF52+BF53+BF54</f>
        <v/>
      </c>
      <c r="BG74" s="13">
        <f>BG73+BG52+BG53+BG54</f>
        <v/>
      </c>
      <c r="BH74" s="13">
        <f>BH73+BH52+BH53+BH54</f>
        <v/>
      </c>
      <c r="BI74" s="13">
        <f>BI73+BI52+BI53+BI54</f>
        <v/>
      </c>
      <c r="BJ74" s="13">
        <f>BJ73+BJ52+BJ53+BJ54</f>
        <v/>
      </c>
      <c r="BK74" s="13">
        <f>BK73+BK52+BK53+BK54</f>
        <v/>
      </c>
      <c r="BL74" s="13">
        <f>BL73+BL52+BL53+BL54</f>
        <v/>
      </c>
      <c r="BM74" s="13">
        <f>BM73+BM52+BM53+BM54</f>
        <v/>
      </c>
      <c r="BN74" s="13">
        <f>BN73+BN52+BN53+BN54</f>
        <v/>
      </c>
    </row>
    <row r="75">
      <c r="D75" t="inlineStr">
        <is>
          <t>VAT facility interest after the funding period</t>
        </is>
      </c>
      <c r="E75" t="inlineStr">
        <is>
          <t>USD m</t>
        </is>
      </c>
      <c r="G75" s="13">
        <f>SUM(J75:BN75)</f>
        <v/>
      </c>
      <c r="J75" s="13">
        <f>SUMIFS(Construction!$J$38:$BJ$38,Construction!$J$12:$BJ$12,Time!J20,Construction!$J$8:$BJ$8,"&gt;"&amp;Time!$F$14)</f>
        <v/>
      </c>
      <c r="K75" s="13">
        <f>SUMIFS(Construction!$J$38:$BJ$38,Construction!$J$12:$BJ$12,Time!K20,Construction!$J$8:$BJ$8,"&gt;"&amp;Time!$F$14)</f>
        <v/>
      </c>
      <c r="L75" s="13">
        <f>SUMIFS(Construction!$J$38:$BJ$38,Construction!$J$12:$BJ$12,Time!L20,Construction!$J$8:$BJ$8,"&gt;"&amp;Time!$F$14)</f>
        <v/>
      </c>
      <c r="M75" s="13">
        <f>SUMIFS(Construction!$J$38:$BJ$38,Construction!$J$12:$BJ$12,Time!M20,Construction!$J$8:$BJ$8,"&gt;"&amp;Time!$F$14)</f>
        <v/>
      </c>
      <c r="N75" s="13">
        <f>SUMIFS(Construction!$J$38:$BJ$38,Construction!$J$12:$BJ$12,Time!N20,Construction!$J$8:$BJ$8,"&gt;"&amp;Time!$F$14)</f>
        <v/>
      </c>
      <c r="O75" s="13">
        <f>SUMIFS(Construction!$J$38:$BJ$38,Construction!$J$12:$BJ$12,Time!O20,Construction!$J$8:$BJ$8,"&gt;"&amp;Time!$F$14)</f>
        <v/>
      </c>
      <c r="P75" s="13">
        <f>SUMIFS(Construction!$J$38:$BJ$38,Construction!$J$12:$BJ$12,Time!P20,Construction!$J$8:$BJ$8,"&gt;"&amp;Time!$F$14)</f>
        <v/>
      </c>
      <c r="Q75" s="13">
        <f>SUMIFS(Construction!$J$38:$BJ$38,Construction!$J$12:$BJ$12,Time!Q20,Construction!$J$8:$BJ$8,"&gt;"&amp;Time!$F$14)</f>
        <v/>
      </c>
      <c r="R75" s="13">
        <f>SUMIFS(Construction!$J$38:$BJ$38,Construction!$J$12:$BJ$12,Time!R20,Construction!$J$8:$BJ$8,"&gt;"&amp;Time!$F$14)</f>
        <v/>
      </c>
      <c r="S75" s="13">
        <f>SUMIFS(Construction!$J$38:$BJ$38,Construction!$J$12:$BJ$12,Time!S20,Construction!$J$8:$BJ$8,"&gt;"&amp;Time!$F$14)</f>
        <v/>
      </c>
      <c r="T75" s="13">
        <f>SUMIFS(Construction!$J$38:$BJ$38,Construction!$J$12:$BJ$12,Time!T20,Construction!$J$8:$BJ$8,"&gt;"&amp;Time!$F$14)</f>
        <v/>
      </c>
      <c r="U75" s="13">
        <f>SUMIFS(Construction!$J$38:$BJ$38,Construction!$J$12:$BJ$12,Time!U20,Construction!$J$8:$BJ$8,"&gt;"&amp;Time!$F$14)</f>
        <v/>
      </c>
      <c r="V75" s="13">
        <f>SUMIFS(Construction!$J$38:$BJ$38,Construction!$J$12:$BJ$12,Time!V20,Construction!$J$8:$BJ$8,"&gt;"&amp;Time!$F$14)</f>
        <v/>
      </c>
      <c r="W75" s="13">
        <f>SUMIFS(Construction!$J$38:$BJ$38,Construction!$J$12:$BJ$12,Time!W20,Construction!$J$8:$BJ$8,"&gt;"&amp;Time!$F$14)</f>
        <v/>
      </c>
      <c r="X75" s="13">
        <f>SUMIFS(Construction!$J$38:$BJ$38,Construction!$J$12:$BJ$12,Time!X20,Construction!$J$8:$BJ$8,"&gt;"&amp;Time!$F$14)</f>
        <v/>
      </c>
      <c r="Y75" s="13">
        <f>SUMIFS(Construction!$J$38:$BJ$38,Construction!$J$12:$BJ$12,Time!Y20,Construction!$J$8:$BJ$8,"&gt;"&amp;Time!$F$14)</f>
        <v/>
      </c>
      <c r="Z75" s="13">
        <f>SUMIFS(Construction!$J$38:$BJ$38,Construction!$J$12:$BJ$12,Time!Z20,Construction!$J$8:$BJ$8,"&gt;"&amp;Time!$F$14)</f>
        <v/>
      </c>
      <c r="AA75" s="13">
        <f>SUMIFS(Construction!$J$38:$BJ$38,Construction!$J$12:$BJ$12,Time!AA20,Construction!$J$8:$BJ$8,"&gt;"&amp;Time!$F$14)</f>
        <v/>
      </c>
      <c r="AB75" s="13">
        <f>SUMIFS(Construction!$J$38:$BJ$38,Construction!$J$12:$BJ$12,Time!AB20,Construction!$J$8:$BJ$8,"&gt;"&amp;Time!$F$14)</f>
        <v/>
      </c>
      <c r="AC75" s="13">
        <f>SUMIFS(Construction!$J$38:$BJ$38,Construction!$J$12:$BJ$12,Time!AC20,Construction!$J$8:$BJ$8,"&gt;"&amp;Time!$F$14)</f>
        <v/>
      </c>
      <c r="AD75" s="13">
        <f>SUMIFS(Construction!$J$38:$BJ$38,Construction!$J$12:$BJ$12,Time!AD20,Construction!$J$8:$BJ$8,"&gt;"&amp;Time!$F$14)</f>
        <v/>
      </c>
      <c r="AE75" s="13">
        <f>SUMIFS(Construction!$J$38:$BJ$38,Construction!$J$12:$BJ$12,Time!AE20,Construction!$J$8:$BJ$8,"&gt;"&amp;Time!$F$14)</f>
        <v/>
      </c>
      <c r="AF75" s="13">
        <f>SUMIFS(Construction!$J$38:$BJ$38,Construction!$J$12:$BJ$12,Time!AF20,Construction!$J$8:$BJ$8,"&gt;"&amp;Time!$F$14)</f>
        <v/>
      </c>
      <c r="AG75" s="13">
        <f>SUMIFS(Construction!$J$38:$BJ$38,Construction!$J$12:$BJ$12,Time!AG20,Construction!$J$8:$BJ$8,"&gt;"&amp;Time!$F$14)</f>
        <v/>
      </c>
      <c r="AH75" s="13">
        <f>SUMIFS(Construction!$J$38:$BJ$38,Construction!$J$12:$BJ$12,Time!AH20,Construction!$J$8:$BJ$8,"&gt;"&amp;Time!$F$14)</f>
        <v/>
      </c>
      <c r="AI75" s="13">
        <f>SUMIFS(Construction!$J$38:$BJ$38,Construction!$J$12:$BJ$12,Time!AI20,Construction!$J$8:$BJ$8,"&gt;"&amp;Time!$F$14)</f>
        <v/>
      </c>
      <c r="AJ75" s="13">
        <f>SUMIFS(Construction!$J$38:$BJ$38,Construction!$J$12:$BJ$12,Time!AJ20,Construction!$J$8:$BJ$8,"&gt;"&amp;Time!$F$14)</f>
        <v/>
      </c>
      <c r="AK75" s="13">
        <f>SUMIFS(Construction!$J$38:$BJ$38,Construction!$J$12:$BJ$12,Time!AK20,Construction!$J$8:$BJ$8,"&gt;"&amp;Time!$F$14)</f>
        <v/>
      </c>
      <c r="AL75" s="13">
        <f>SUMIFS(Construction!$J$38:$BJ$38,Construction!$J$12:$BJ$12,Time!AL20,Construction!$J$8:$BJ$8,"&gt;"&amp;Time!$F$14)</f>
        <v/>
      </c>
      <c r="AM75" s="13">
        <f>SUMIFS(Construction!$J$38:$BJ$38,Construction!$J$12:$BJ$12,Time!AM20,Construction!$J$8:$BJ$8,"&gt;"&amp;Time!$F$14)</f>
        <v/>
      </c>
      <c r="AN75" s="13">
        <f>SUMIFS(Construction!$J$38:$BJ$38,Construction!$J$12:$BJ$12,Time!AN20,Construction!$J$8:$BJ$8,"&gt;"&amp;Time!$F$14)</f>
        <v/>
      </c>
      <c r="AO75" s="13">
        <f>SUMIFS(Construction!$J$38:$BJ$38,Construction!$J$12:$BJ$12,Time!AO20,Construction!$J$8:$BJ$8,"&gt;"&amp;Time!$F$14)</f>
        <v/>
      </c>
      <c r="AP75" s="13">
        <f>SUMIFS(Construction!$J$38:$BJ$38,Construction!$J$12:$BJ$12,Time!AP20,Construction!$J$8:$BJ$8,"&gt;"&amp;Time!$F$14)</f>
        <v/>
      </c>
      <c r="AQ75" s="13">
        <f>SUMIFS(Construction!$J$38:$BJ$38,Construction!$J$12:$BJ$12,Time!AQ20,Construction!$J$8:$BJ$8,"&gt;"&amp;Time!$F$14)</f>
        <v/>
      </c>
      <c r="AR75" s="13">
        <f>SUMIFS(Construction!$J$38:$BJ$38,Construction!$J$12:$BJ$12,Time!AR20,Construction!$J$8:$BJ$8,"&gt;"&amp;Time!$F$14)</f>
        <v/>
      </c>
      <c r="AS75" s="13">
        <f>SUMIFS(Construction!$J$38:$BJ$38,Construction!$J$12:$BJ$12,Time!AS20,Construction!$J$8:$BJ$8,"&gt;"&amp;Time!$F$14)</f>
        <v/>
      </c>
      <c r="AT75" s="13">
        <f>SUMIFS(Construction!$J$38:$BJ$38,Construction!$J$12:$BJ$12,Time!AT20,Construction!$J$8:$BJ$8,"&gt;"&amp;Time!$F$14)</f>
        <v/>
      </c>
      <c r="AU75" s="13">
        <f>SUMIFS(Construction!$J$38:$BJ$38,Construction!$J$12:$BJ$12,Time!AU20,Construction!$J$8:$BJ$8,"&gt;"&amp;Time!$F$14)</f>
        <v/>
      </c>
      <c r="AV75" s="13">
        <f>SUMIFS(Construction!$J$38:$BJ$38,Construction!$J$12:$BJ$12,Time!AV20,Construction!$J$8:$BJ$8,"&gt;"&amp;Time!$F$14)</f>
        <v/>
      </c>
      <c r="AW75" s="13">
        <f>SUMIFS(Construction!$J$38:$BJ$38,Construction!$J$12:$BJ$12,Time!AW20,Construction!$J$8:$BJ$8,"&gt;"&amp;Time!$F$14)</f>
        <v/>
      </c>
      <c r="AX75" s="13">
        <f>SUMIFS(Construction!$J$38:$BJ$38,Construction!$J$12:$BJ$12,Time!AX20,Construction!$J$8:$BJ$8,"&gt;"&amp;Time!$F$14)</f>
        <v/>
      </c>
      <c r="AY75" s="13">
        <f>SUMIFS(Construction!$J$38:$BJ$38,Construction!$J$12:$BJ$12,Time!AY20,Construction!$J$8:$BJ$8,"&gt;"&amp;Time!$F$14)</f>
        <v/>
      </c>
      <c r="AZ75" s="13">
        <f>SUMIFS(Construction!$J$38:$BJ$38,Construction!$J$12:$BJ$12,Time!AZ20,Construction!$J$8:$BJ$8,"&gt;"&amp;Time!$F$14)</f>
        <v/>
      </c>
      <c r="BA75" s="13">
        <f>SUMIFS(Construction!$J$38:$BJ$38,Construction!$J$12:$BJ$12,Time!BA20,Construction!$J$8:$BJ$8,"&gt;"&amp;Time!$F$14)</f>
        <v/>
      </c>
      <c r="BB75" s="13">
        <f>SUMIFS(Construction!$J$38:$BJ$38,Construction!$J$12:$BJ$12,Time!BB20,Construction!$J$8:$BJ$8,"&gt;"&amp;Time!$F$14)</f>
        <v/>
      </c>
      <c r="BC75" s="13">
        <f>SUMIFS(Construction!$J$38:$BJ$38,Construction!$J$12:$BJ$12,Time!BC20,Construction!$J$8:$BJ$8,"&gt;"&amp;Time!$F$14)</f>
        <v/>
      </c>
      <c r="BD75" s="13">
        <f>SUMIFS(Construction!$J$38:$BJ$38,Construction!$J$12:$BJ$12,Time!BD20,Construction!$J$8:$BJ$8,"&gt;"&amp;Time!$F$14)</f>
        <v/>
      </c>
      <c r="BE75" s="13">
        <f>SUMIFS(Construction!$J$38:$BJ$38,Construction!$J$12:$BJ$12,Time!BE20,Construction!$J$8:$BJ$8,"&gt;"&amp;Time!$F$14)</f>
        <v/>
      </c>
      <c r="BF75" s="13">
        <f>SUMIFS(Construction!$J$38:$BJ$38,Construction!$J$12:$BJ$12,Time!BF20,Construction!$J$8:$BJ$8,"&gt;"&amp;Time!$F$14)</f>
        <v/>
      </c>
      <c r="BG75" s="13">
        <f>SUMIFS(Construction!$J$38:$BJ$38,Construction!$J$12:$BJ$12,Time!BG20,Construction!$J$8:$BJ$8,"&gt;"&amp;Time!$F$14)</f>
        <v/>
      </c>
      <c r="BH75" s="13">
        <f>SUMIFS(Construction!$J$38:$BJ$38,Construction!$J$12:$BJ$12,Time!BH20,Construction!$J$8:$BJ$8,"&gt;"&amp;Time!$F$14)</f>
        <v/>
      </c>
      <c r="BI75" s="13">
        <f>SUMIFS(Construction!$J$38:$BJ$38,Construction!$J$12:$BJ$12,Time!BI20,Construction!$J$8:$BJ$8,"&gt;"&amp;Time!$F$14)</f>
        <v/>
      </c>
      <c r="BJ75" s="13">
        <f>SUMIFS(Construction!$J$38:$BJ$38,Construction!$J$12:$BJ$12,Time!BJ20,Construction!$J$8:$BJ$8,"&gt;"&amp;Time!$F$14)</f>
        <v/>
      </c>
      <c r="BK75" s="13">
        <f>SUMIFS(Construction!$J$38:$BJ$38,Construction!$J$12:$BJ$12,Time!BK20,Construction!$J$8:$BJ$8,"&gt;"&amp;Time!$F$14)</f>
        <v/>
      </c>
      <c r="BL75" s="13">
        <f>SUMIFS(Construction!$J$38:$BJ$38,Construction!$J$12:$BJ$12,Time!BL20,Construction!$J$8:$BJ$8,"&gt;"&amp;Time!$F$14)</f>
        <v/>
      </c>
      <c r="BM75" s="13">
        <f>SUMIFS(Construction!$J$38:$BJ$38,Construction!$J$12:$BJ$12,Time!BM20,Construction!$J$8:$BJ$8,"&gt;"&amp;Time!$F$14)</f>
        <v/>
      </c>
      <c r="BN75" s="13">
        <f>SUMIFS(Construction!$J$38:$BJ$38,Construction!$J$12:$BJ$12,Time!BN20,Construction!$J$8:$BJ$8,"&gt;"&amp;Time!$F$14)</f>
        <v/>
      </c>
    </row>
    <row r="76">
      <c r="D76" t="inlineStr">
        <is>
          <t>FX conversion losses</t>
        </is>
      </c>
      <c r="E76" t="inlineStr">
        <is>
          <t>USD m</t>
        </is>
      </c>
      <c r="G76" s="13">
        <f>SUM(J76:BN76)</f>
        <v/>
      </c>
      <c r="J76" s="13">
        <f>Inputs!$F$45*Inputs!J296</f>
        <v/>
      </c>
      <c r="K76" s="13">
        <f>Inputs!$F$45*Inputs!K296</f>
        <v/>
      </c>
      <c r="L76" s="13">
        <f>Inputs!$F$45*Inputs!L296</f>
        <v/>
      </c>
      <c r="M76" s="13">
        <f>Inputs!$F$45*Inputs!M296</f>
        <v/>
      </c>
      <c r="N76" s="13">
        <f>Inputs!$F$45*Inputs!N296</f>
        <v/>
      </c>
      <c r="O76" s="13">
        <f>Inputs!$F$45*Inputs!O296</f>
        <v/>
      </c>
      <c r="P76" s="13">
        <f>Inputs!$F$45*Inputs!P296</f>
        <v/>
      </c>
      <c r="Q76" s="13">
        <f>Inputs!$F$45*Inputs!Q296</f>
        <v/>
      </c>
      <c r="R76" s="13">
        <f>Inputs!$F$45*Inputs!R296</f>
        <v/>
      </c>
      <c r="S76" s="13">
        <f>Inputs!$F$45*Inputs!S296</f>
        <v/>
      </c>
      <c r="T76" s="13">
        <f>Inputs!$F$45*Inputs!T296</f>
        <v/>
      </c>
      <c r="U76" s="13">
        <f>Inputs!$F$45*Inputs!U296</f>
        <v/>
      </c>
      <c r="V76" s="13">
        <f>Inputs!$F$45*Inputs!V296</f>
        <v/>
      </c>
      <c r="W76" s="13">
        <f>Inputs!$F$45*Inputs!W296</f>
        <v/>
      </c>
      <c r="X76" s="13">
        <f>Inputs!$F$45*Inputs!X296</f>
        <v/>
      </c>
      <c r="Y76" s="13">
        <f>Inputs!$F$45*Inputs!Y296</f>
        <v/>
      </c>
      <c r="Z76" s="13">
        <f>Inputs!$F$45*Inputs!Z296</f>
        <v/>
      </c>
      <c r="AA76" s="13">
        <f>Inputs!$F$45*Inputs!AA296</f>
        <v/>
      </c>
      <c r="AB76" s="13">
        <f>Inputs!$F$45*Inputs!AB296</f>
        <v/>
      </c>
      <c r="AC76" s="13">
        <f>Inputs!$F$45*Inputs!AC296</f>
        <v/>
      </c>
      <c r="AD76" s="13">
        <f>Inputs!$F$45*Inputs!AD296</f>
        <v/>
      </c>
      <c r="AE76" s="13">
        <f>Inputs!$F$45*Inputs!AE296</f>
        <v/>
      </c>
      <c r="AF76" s="13">
        <f>Inputs!$F$45*Inputs!AF296</f>
        <v/>
      </c>
      <c r="AG76" s="13">
        <f>Inputs!$F$45*Inputs!AG296</f>
        <v/>
      </c>
      <c r="AH76" s="13">
        <f>Inputs!$F$45*Inputs!AH296</f>
        <v/>
      </c>
      <c r="AI76" s="13">
        <f>Inputs!$F$45*Inputs!AI296</f>
        <v/>
      </c>
      <c r="AJ76" s="13">
        <f>Inputs!$F$45*Inputs!AJ296</f>
        <v/>
      </c>
      <c r="AK76" s="13">
        <f>Inputs!$F$45*Inputs!AK296</f>
        <v/>
      </c>
      <c r="AL76" s="13">
        <f>Inputs!$F$45*Inputs!AL296</f>
        <v/>
      </c>
      <c r="AM76" s="13">
        <f>Inputs!$F$45*Inputs!AM296</f>
        <v/>
      </c>
      <c r="AN76" s="13">
        <f>Inputs!$F$45*Inputs!AN296</f>
        <v/>
      </c>
      <c r="AO76" s="13">
        <f>Inputs!$F$45*Inputs!AO296</f>
        <v/>
      </c>
      <c r="AP76" s="13">
        <f>Inputs!$F$45*Inputs!AP296</f>
        <v/>
      </c>
      <c r="AQ76" s="13">
        <f>Inputs!$F$45*Inputs!AQ296</f>
        <v/>
      </c>
      <c r="AR76" s="13">
        <f>Inputs!$F$45*Inputs!AR296</f>
        <v/>
      </c>
      <c r="AS76" s="13">
        <f>Inputs!$F$45*Inputs!AS296</f>
        <v/>
      </c>
      <c r="AT76" s="13">
        <f>Inputs!$F$45*Inputs!AT296</f>
        <v/>
      </c>
      <c r="AU76" s="13">
        <f>Inputs!$F$45*Inputs!AU296</f>
        <v/>
      </c>
      <c r="AV76" s="13">
        <f>Inputs!$F$45*Inputs!AV296</f>
        <v/>
      </c>
      <c r="AW76" s="13">
        <f>Inputs!$F$45*Inputs!AW296</f>
        <v/>
      </c>
      <c r="AX76" s="13">
        <f>Inputs!$F$45*Inputs!AX296</f>
        <v/>
      </c>
      <c r="AY76" s="13">
        <f>Inputs!$F$45*Inputs!AY296</f>
        <v/>
      </c>
      <c r="AZ76" s="13">
        <f>Inputs!$F$45*Inputs!AZ296</f>
        <v/>
      </c>
      <c r="BA76" s="13">
        <f>Inputs!$F$45*Inputs!BA296</f>
        <v/>
      </c>
      <c r="BB76" s="13">
        <f>Inputs!$F$45*Inputs!BB296</f>
        <v/>
      </c>
      <c r="BC76" s="13">
        <f>Inputs!$F$45*Inputs!BC296</f>
        <v/>
      </c>
      <c r="BD76" s="13">
        <f>Inputs!$F$45*Inputs!BD296</f>
        <v/>
      </c>
      <c r="BE76" s="13">
        <f>Inputs!$F$45*Inputs!BE296</f>
        <v/>
      </c>
      <c r="BF76" s="13">
        <f>Inputs!$F$45*Inputs!BF296</f>
        <v/>
      </c>
      <c r="BG76" s="13">
        <f>Inputs!$F$45*Inputs!BG296</f>
        <v/>
      </c>
      <c r="BH76" s="13">
        <f>Inputs!$F$45*Inputs!BH296</f>
        <v/>
      </c>
      <c r="BI76" s="13">
        <f>Inputs!$F$45*Inputs!BI296</f>
        <v/>
      </c>
      <c r="BJ76" s="13">
        <f>Inputs!$F$45*Inputs!BJ296</f>
        <v/>
      </c>
      <c r="BK76" s="13">
        <f>Inputs!$F$45*Inputs!BK296</f>
        <v/>
      </c>
      <c r="BL76" s="13">
        <f>Inputs!$F$45*Inputs!BL296</f>
        <v/>
      </c>
      <c r="BM76" s="13">
        <f>Inputs!$F$45*Inputs!BM296</f>
        <v/>
      </c>
      <c r="BN76" s="13">
        <f>Inputs!$F$45*Inputs!BN296</f>
        <v/>
      </c>
    </row>
    <row r="77">
      <c r="D77" t="inlineStr">
        <is>
          <t>OY whose maintenance month could fall in the period</t>
        </is>
      </c>
      <c r="E77" t="inlineStr">
        <is>
          <t>OY</t>
        </is>
      </c>
      <c r="J77" s="10">
        <f>INT((Time!J33-Inputs!$F$221)/12)+1</f>
        <v/>
      </c>
      <c r="K77" s="10">
        <f>INT((Time!K33-Inputs!$F$221)/12)+1</f>
        <v/>
      </c>
      <c r="L77" s="10">
        <f>INT((Time!L33-Inputs!$F$221)/12)+1</f>
        <v/>
      </c>
      <c r="M77" s="10">
        <f>INT((Time!M33-Inputs!$F$221)/12)+1</f>
        <v/>
      </c>
      <c r="N77" s="10">
        <f>INT((Time!N33-Inputs!$F$221)/12)+1</f>
        <v/>
      </c>
      <c r="O77" s="10">
        <f>INT((Time!O33-Inputs!$F$221)/12)+1</f>
        <v/>
      </c>
      <c r="P77" s="10">
        <f>INT((Time!P33-Inputs!$F$221)/12)+1</f>
        <v/>
      </c>
      <c r="Q77" s="10">
        <f>INT((Time!Q33-Inputs!$F$221)/12)+1</f>
        <v/>
      </c>
      <c r="R77" s="10">
        <f>INT((Time!R33-Inputs!$F$221)/12)+1</f>
        <v/>
      </c>
      <c r="S77" s="10">
        <f>INT((Time!S33-Inputs!$F$221)/12)+1</f>
        <v/>
      </c>
      <c r="T77" s="10">
        <f>INT((Time!T33-Inputs!$F$221)/12)+1</f>
        <v/>
      </c>
      <c r="U77" s="10">
        <f>INT((Time!U33-Inputs!$F$221)/12)+1</f>
        <v/>
      </c>
      <c r="V77" s="10">
        <f>INT((Time!V33-Inputs!$F$221)/12)+1</f>
        <v/>
      </c>
      <c r="W77" s="10">
        <f>INT((Time!W33-Inputs!$F$221)/12)+1</f>
        <v/>
      </c>
      <c r="X77" s="10">
        <f>INT((Time!X33-Inputs!$F$221)/12)+1</f>
        <v/>
      </c>
      <c r="Y77" s="10">
        <f>INT((Time!Y33-Inputs!$F$221)/12)+1</f>
        <v/>
      </c>
      <c r="Z77" s="10">
        <f>INT((Time!Z33-Inputs!$F$221)/12)+1</f>
        <v/>
      </c>
      <c r="AA77" s="10">
        <f>INT((Time!AA33-Inputs!$F$221)/12)+1</f>
        <v/>
      </c>
      <c r="AB77" s="10">
        <f>INT((Time!AB33-Inputs!$F$221)/12)+1</f>
        <v/>
      </c>
      <c r="AC77" s="10">
        <f>INT((Time!AC33-Inputs!$F$221)/12)+1</f>
        <v/>
      </c>
      <c r="AD77" s="10">
        <f>INT((Time!AD33-Inputs!$F$221)/12)+1</f>
        <v/>
      </c>
      <c r="AE77" s="10">
        <f>INT((Time!AE33-Inputs!$F$221)/12)+1</f>
        <v/>
      </c>
      <c r="AF77" s="10">
        <f>INT((Time!AF33-Inputs!$F$221)/12)+1</f>
        <v/>
      </c>
      <c r="AG77" s="10">
        <f>INT((Time!AG33-Inputs!$F$221)/12)+1</f>
        <v/>
      </c>
      <c r="AH77" s="10">
        <f>INT((Time!AH33-Inputs!$F$221)/12)+1</f>
        <v/>
      </c>
      <c r="AI77" s="10">
        <f>INT((Time!AI33-Inputs!$F$221)/12)+1</f>
        <v/>
      </c>
      <c r="AJ77" s="10">
        <f>INT((Time!AJ33-Inputs!$F$221)/12)+1</f>
        <v/>
      </c>
      <c r="AK77" s="10">
        <f>INT((Time!AK33-Inputs!$F$221)/12)+1</f>
        <v/>
      </c>
      <c r="AL77" s="10">
        <f>INT((Time!AL33-Inputs!$F$221)/12)+1</f>
        <v/>
      </c>
      <c r="AM77" s="10">
        <f>INT((Time!AM33-Inputs!$F$221)/12)+1</f>
        <v/>
      </c>
      <c r="AN77" s="10">
        <f>INT((Time!AN33-Inputs!$F$221)/12)+1</f>
        <v/>
      </c>
      <c r="AO77" s="10">
        <f>INT((Time!AO33-Inputs!$F$221)/12)+1</f>
        <v/>
      </c>
      <c r="AP77" s="10">
        <f>INT((Time!AP33-Inputs!$F$221)/12)+1</f>
        <v/>
      </c>
      <c r="AQ77" s="10">
        <f>INT((Time!AQ33-Inputs!$F$221)/12)+1</f>
        <v/>
      </c>
      <c r="AR77" s="10">
        <f>INT((Time!AR33-Inputs!$F$221)/12)+1</f>
        <v/>
      </c>
      <c r="AS77" s="10">
        <f>INT((Time!AS33-Inputs!$F$221)/12)+1</f>
        <v/>
      </c>
      <c r="AT77" s="10">
        <f>INT((Time!AT33-Inputs!$F$221)/12)+1</f>
        <v/>
      </c>
      <c r="AU77" s="10">
        <f>INT((Time!AU33-Inputs!$F$221)/12)+1</f>
        <v/>
      </c>
      <c r="AV77" s="10">
        <f>INT((Time!AV33-Inputs!$F$221)/12)+1</f>
        <v/>
      </c>
      <c r="AW77" s="10">
        <f>INT((Time!AW33-Inputs!$F$221)/12)+1</f>
        <v/>
      </c>
      <c r="AX77" s="10">
        <f>INT((Time!AX33-Inputs!$F$221)/12)+1</f>
        <v/>
      </c>
      <c r="AY77" s="10">
        <f>INT((Time!AY33-Inputs!$F$221)/12)+1</f>
        <v/>
      </c>
      <c r="AZ77" s="10">
        <f>INT((Time!AZ33-Inputs!$F$221)/12)+1</f>
        <v/>
      </c>
      <c r="BA77" s="10">
        <f>INT((Time!BA33-Inputs!$F$221)/12)+1</f>
        <v/>
      </c>
      <c r="BB77" s="10">
        <f>INT((Time!BB33-Inputs!$F$221)/12)+1</f>
        <v/>
      </c>
      <c r="BC77" s="10">
        <f>INT((Time!BC33-Inputs!$F$221)/12)+1</f>
        <v/>
      </c>
      <c r="BD77" s="10">
        <f>INT((Time!BD33-Inputs!$F$221)/12)+1</f>
        <v/>
      </c>
      <c r="BE77" s="10">
        <f>INT((Time!BE33-Inputs!$F$221)/12)+1</f>
        <v/>
      </c>
      <c r="BF77" s="10">
        <f>INT((Time!BF33-Inputs!$F$221)/12)+1</f>
        <v/>
      </c>
      <c r="BG77" s="10">
        <f>INT((Time!BG33-Inputs!$F$221)/12)+1</f>
        <v/>
      </c>
      <c r="BH77" s="10">
        <f>INT((Time!BH33-Inputs!$F$221)/12)+1</f>
        <v/>
      </c>
      <c r="BI77" s="10">
        <f>INT((Time!BI33-Inputs!$F$221)/12)+1</f>
        <v/>
      </c>
      <c r="BJ77" s="10">
        <f>INT((Time!BJ33-Inputs!$F$221)/12)+1</f>
        <v/>
      </c>
      <c r="BK77" s="10">
        <f>INT((Time!BK33-Inputs!$F$221)/12)+1</f>
        <v/>
      </c>
      <c r="BL77" s="10">
        <f>INT((Time!BL33-Inputs!$F$221)/12)+1</f>
        <v/>
      </c>
      <c r="BM77" s="10">
        <f>INT((Time!BM33-Inputs!$F$221)/12)+1</f>
        <v/>
      </c>
      <c r="BN77" s="10">
        <f>INT((Time!BN33-Inputs!$F$221)/12)+1</f>
        <v/>
      </c>
    </row>
    <row r="78">
      <c r="D78" t="inlineStr">
        <is>
          <t>Major maintenance outside LTSA (2018 prices)</t>
        </is>
      </c>
      <c r="E78" t="inlineStr">
        <is>
          <t>USD m</t>
        </is>
      </c>
      <c r="J78" s="13">
        <f>IF(AND(Time!J30&gt;0,J77&gt;=1,J77&lt;=Inputs!$F$222,Time!J32&lt;(J77-1)*12+Inputs!$F$221,(J77-1)*12+Inputs!$F$221&lt;=Time!J33),IF(MOD(J77,Inputs!$F$223)=0,Inputs!$F$164,IF(MOD(J77,Inputs!$F$224)=0,Inputs!$F$165,0)),0)</f>
        <v/>
      </c>
      <c r="K78" s="13">
        <f>IF(AND(Time!K30&gt;0,K77&gt;=1,K77&lt;=Inputs!$F$222,Time!K32&lt;(K77-1)*12+Inputs!$F$221,(K77-1)*12+Inputs!$F$221&lt;=Time!K33),IF(MOD(K77,Inputs!$F$223)=0,Inputs!$F$164,IF(MOD(K77,Inputs!$F$224)=0,Inputs!$F$165,0)),0)</f>
        <v/>
      </c>
      <c r="L78" s="13">
        <f>IF(AND(Time!L30&gt;0,L77&gt;=1,L77&lt;=Inputs!$F$222,Time!L32&lt;(L77-1)*12+Inputs!$F$221,(L77-1)*12+Inputs!$F$221&lt;=Time!L33),IF(MOD(L77,Inputs!$F$223)=0,Inputs!$F$164,IF(MOD(L77,Inputs!$F$224)=0,Inputs!$F$165,0)),0)</f>
        <v/>
      </c>
      <c r="M78" s="13">
        <f>IF(AND(Time!M30&gt;0,M77&gt;=1,M77&lt;=Inputs!$F$222,Time!M32&lt;(M77-1)*12+Inputs!$F$221,(M77-1)*12+Inputs!$F$221&lt;=Time!M33),IF(MOD(M77,Inputs!$F$223)=0,Inputs!$F$164,IF(MOD(M77,Inputs!$F$224)=0,Inputs!$F$165,0)),0)</f>
        <v/>
      </c>
      <c r="N78" s="13">
        <f>IF(AND(Time!N30&gt;0,N77&gt;=1,N77&lt;=Inputs!$F$222,Time!N32&lt;(N77-1)*12+Inputs!$F$221,(N77-1)*12+Inputs!$F$221&lt;=Time!N33),IF(MOD(N77,Inputs!$F$223)=0,Inputs!$F$164,IF(MOD(N77,Inputs!$F$224)=0,Inputs!$F$165,0)),0)</f>
        <v/>
      </c>
      <c r="O78" s="13">
        <f>IF(AND(Time!O30&gt;0,O77&gt;=1,O77&lt;=Inputs!$F$222,Time!O32&lt;(O77-1)*12+Inputs!$F$221,(O77-1)*12+Inputs!$F$221&lt;=Time!O33),IF(MOD(O77,Inputs!$F$223)=0,Inputs!$F$164,IF(MOD(O77,Inputs!$F$224)=0,Inputs!$F$165,0)),0)</f>
        <v/>
      </c>
      <c r="P78" s="13">
        <f>IF(AND(Time!P30&gt;0,P77&gt;=1,P77&lt;=Inputs!$F$222,Time!P32&lt;(P77-1)*12+Inputs!$F$221,(P77-1)*12+Inputs!$F$221&lt;=Time!P33),IF(MOD(P77,Inputs!$F$223)=0,Inputs!$F$164,IF(MOD(P77,Inputs!$F$224)=0,Inputs!$F$165,0)),0)</f>
        <v/>
      </c>
      <c r="Q78" s="13">
        <f>IF(AND(Time!Q30&gt;0,Q77&gt;=1,Q77&lt;=Inputs!$F$222,Time!Q32&lt;(Q77-1)*12+Inputs!$F$221,(Q77-1)*12+Inputs!$F$221&lt;=Time!Q33),IF(MOD(Q77,Inputs!$F$223)=0,Inputs!$F$164,IF(MOD(Q77,Inputs!$F$224)=0,Inputs!$F$165,0)),0)</f>
        <v/>
      </c>
      <c r="R78" s="13">
        <f>IF(AND(Time!R30&gt;0,R77&gt;=1,R77&lt;=Inputs!$F$222,Time!R32&lt;(R77-1)*12+Inputs!$F$221,(R77-1)*12+Inputs!$F$221&lt;=Time!R33),IF(MOD(R77,Inputs!$F$223)=0,Inputs!$F$164,IF(MOD(R77,Inputs!$F$224)=0,Inputs!$F$165,0)),0)</f>
        <v/>
      </c>
      <c r="S78" s="13">
        <f>IF(AND(Time!S30&gt;0,S77&gt;=1,S77&lt;=Inputs!$F$222,Time!S32&lt;(S77-1)*12+Inputs!$F$221,(S77-1)*12+Inputs!$F$221&lt;=Time!S33),IF(MOD(S77,Inputs!$F$223)=0,Inputs!$F$164,IF(MOD(S77,Inputs!$F$224)=0,Inputs!$F$165,0)),0)</f>
        <v/>
      </c>
      <c r="T78" s="13">
        <f>IF(AND(Time!T30&gt;0,T77&gt;=1,T77&lt;=Inputs!$F$222,Time!T32&lt;(T77-1)*12+Inputs!$F$221,(T77-1)*12+Inputs!$F$221&lt;=Time!T33),IF(MOD(T77,Inputs!$F$223)=0,Inputs!$F$164,IF(MOD(T77,Inputs!$F$224)=0,Inputs!$F$165,0)),0)</f>
        <v/>
      </c>
      <c r="U78" s="13">
        <f>IF(AND(Time!U30&gt;0,U77&gt;=1,U77&lt;=Inputs!$F$222,Time!U32&lt;(U77-1)*12+Inputs!$F$221,(U77-1)*12+Inputs!$F$221&lt;=Time!U33),IF(MOD(U77,Inputs!$F$223)=0,Inputs!$F$164,IF(MOD(U77,Inputs!$F$224)=0,Inputs!$F$165,0)),0)</f>
        <v/>
      </c>
      <c r="V78" s="13">
        <f>IF(AND(Time!V30&gt;0,V77&gt;=1,V77&lt;=Inputs!$F$222,Time!V32&lt;(V77-1)*12+Inputs!$F$221,(V77-1)*12+Inputs!$F$221&lt;=Time!V33),IF(MOD(V77,Inputs!$F$223)=0,Inputs!$F$164,IF(MOD(V77,Inputs!$F$224)=0,Inputs!$F$165,0)),0)</f>
        <v/>
      </c>
      <c r="W78" s="13">
        <f>IF(AND(Time!W30&gt;0,W77&gt;=1,W77&lt;=Inputs!$F$222,Time!W32&lt;(W77-1)*12+Inputs!$F$221,(W77-1)*12+Inputs!$F$221&lt;=Time!W33),IF(MOD(W77,Inputs!$F$223)=0,Inputs!$F$164,IF(MOD(W77,Inputs!$F$224)=0,Inputs!$F$165,0)),0)</f>
        <v/>
      </c>
      <c r="X78" s="13">
        <f>IF(AND(Time!X30&gt;0,X77&gt;=1,X77&lt;=Inputs!$F$222,Time!X32&lt;(X77-1)*12+Inputs!$F$221,(X77-1)*12+Inputs!$F$221&lt;=Time!X33),IF(MOD(X77,Inputs!$F$223)=0,Inputs!$F$164,IF(MOD(X77,Inputs!$F$224)=0,Inputs!$F$165,0)),0)</f>
        <v/>
      </c>
      <c r="Y78" s="13">
        <f>IF(AND(Time!Y30&gt;0,Y77&gt;=1,Y77&lt;=Inputs!$F$222,Time!Y32&lt;(Y77-1)*12+Inputs!$F$221,(Y77-1)*12+Inputs!$F$221&lt;=Time!Y33),IF(MOD(Y77,Inputs!$F$223)=0,Inputs!$F$164,IF(MOD(Y77,Inputs!$F$224)=0,Inputs!$F$165,0)),0)</f>
        <v/>
      </c>
      <c r="Z78" s="13">
        <f>IF(AND(Time!Z30&gt;0,Z77&gt;=1,Z77&lt;=Inputs!$F$222,Time!Z32&lt;(Z77-1)*12+Inputs!$F$221,(Z77-1)*12+Inputs!$F$221&lt;=Time!Z33),IF(MOD(Z77,Inputs!$F$223)=0,Inputs!$F$164,IF(MOD(Z77,Inputs!$F$224)=0,Inputs!$F$165,0)),0)</f>
        <v/>
      </c>
      <c r="AA78" s="13">
        <f>IF(AND(Time!AA30&gt;0,AA77&gt;=1,AA77&lt;=Inputs!$F$222,Time!AA32&lt;(AA77-1)*12+Inputs!$F$221,(AA77-1)*12+Inputs!$F$221&lt;=Time!AA33),IF(MOD(AA77,Inputs!$F$223)=0,Inputs!$F$164,IF(MOD(AA77,Inputs!$F$224)=0,Inputs!$F$165,0)),0)</f>
        <v/>
      </c>
      <c r="AB78" s="13">
        <f>IF(AND(Time!AB30&gt;0,AB77&gt;=1,AB77&lt;=Inputs!$F$222,Time!AB32&lt;(AB77-1)*12+Inputs!$F$221,(AB77-1)*12+Inputs!$F$221&lt;=Time!AB33),IF(MOD(AB77,Inputs!$F$223)=0,Inputs!$F$164,IF(MOD(AB77,Inputs!$F$224)=0,Inputs!$F$165,0)),0)</f>
        <v/>
      </c>
      <c r="AC78" s="13">
        <f>IF(AND(Time!AC30&gt;0,AC77&gt;=1,AC77&lt;=Inputs!$F$222,Time!AC32&lt;(AC77-1)*12+Inputs!$F$221,(AC77-1)*12+Inputs!$F$221&lt;=Time!AC33),IF(MOD(AC77,Inputs!$F$223)=0,Inputs!$F$164,IF(MOD(AC77,Inputs!$F$224)=0,Inputs!$F$165,0)),0)</f>
        <v/>
      </c>
      <c r="AD78" s="13">
        <f>IF(AND(Time!AD30&gt;0,AD77&gt;=1,AD77&lt;=Inputs!$F$222,Time!AD32&lt;(AD77-1)*12+Inputs!$F$221,(AD77-1)*12+Inputs!$F$221&lt;=Time!AD33),IF(MOD(AD77,Inputs!$F$223)=0,Inputs!$F$164,IF(MOD(AD77,Inputs!$F$224)=0,Inputs!$F$165,0)),0)</f>
        <v/>
      </c>
      <c r="AE78" s="13">
        <f>IF(AND(Time!AE30&gt;0,AE77&gt;=1,AE77&lt;=Inputs!$F$222,Time!AE32&lt;(AE77-1)*12+Inputs!$F$221,(AE77-1)*12+Inputs!$F$221&lt;=Time!AE33),IF(MOD(AE77,Inputs!$F$223)=0,Inputs!$F$164,IF(MOD(AE77,Inputs!$F$224)=0,Inputs!$F$165,0)),0)</f>
        <v/>
      </c>
      <c r="AF78" s="13">
        <f>IF(AND(Time!AF30&gt;0,AF77&gt;=1,AF77&lt;=Inputs!$F$222,Time!AF32&lt;(AF77-1)*12+Inputs!$F$221,(AF77-1)*12+Inputs!$F$221&lt;=Time!AF33),IF(MOD(AF77,Inputs!$F$223)=0,Inputs!$F$164,IF(MOD(AF77,Inputs!$F$224)=0,Inputs!$F$165,0)),0)</f>
        <v/>
      </c>
      <c r="AG78" s="13">
        <f>IF(AND(Time!AG30&gt;0,AG77&gt;=1,AG77&lt;=Inputs!$F$222,Time!AG32&lt;(AG77-1)*12+Inputs!$F$221,(AG77-1)*12+Inputs!$F$221&lt;=Time!AG33),IF(MOD(AG77,Inputs!$F$223)=0,Inputs!$F$164,IF(MOD(AG77,Inputs!$F$224)=0,Inputs!$F$165,0)),0)</f>
        <v/>
      </c>
      <c r="AH78" s="13">
        <f>IF(AND(Time!AH30&gt;0,AH77&gt;=1,AH77&lt;=Inputs!$F$222,Time!AH32&lt;(AH77-1)*12+Inputs!$F$221,(AH77-1)*12+Inputs!$F$221&lt;=Time!AH33),IF(MOD(AH77,Inputs!$F$223)=0,Inputs!$F$164,IF(MOD(AH77,Inputs!$F$224)=0,Inputs!$F$165,0)),0)</f>
        <v/>
      </c>
      <c r="AI78" s="13">
        <f>IF(AND(Time!AI30&gt;0,AI77&gt;=1,AI77&lt;=Inputs!$F$222,Time!AI32&lt;(AI77-1)*12+Inputs!$F$221,(AI77-1)*12+Inputs!$F$221&lt;=Time!AI33),IF(MOD(AI77,Inputs!$F$223)=0,Inputs!$F$164,IF(MOD(AI77,Inputs!$F$224)=0,Inputs!$F$165,0)),0)</f>
        <v/>
      </c>
      <c r="AJ78" s="13">
        <f>IF(AND(Time!AJ30&gt;0,AJ77&gt;=1,AJ77&lt;=Inputs!$F$222,Time!AJ32&lt;(AJ77-1)*12+Inputs!$F$221,(AJ77-1)*12+Inputs!$F$221&lt;=Time!AJ33),IF(MOD(AJ77,Inputs!$F$223)=0,Inputs!$F$164,IF(MOD(AJ77,Inputs!$F$224)=0,Inputs!$F$165,0)),0)</f>
        <v/>
      </c>
      <c r="AK78" s="13">
        <f>IF(AND(Time!AK30&gt;0,AK77&gt;=1,AK77&lt;=Inputs!$F$222,Time!AK32&lt;(AK77-1)*12+Inputs!$F$221,(AK77-1)*12+Inputs!$F$221&lt;=Time!AK33),IF(MOD(AK77,Inputs!$F$223)=0,Inputs!$F$164,IF(MOD(AK77,Inputs!$F$224)=0,Inputs!$F$165,0)),0)</f>
        <v/>
      </c>
      <c r="AL78" s="13">
        <f>IF(AND(Time!AL30&gt;0,AL77&gt;=1,AL77&lt;=Inputs!$F$222,Time!AL32&lt;(AL77-1)*12+Inputs!$F$221,(AL77-1)*12+Inputs!$F$221&lt;=Time!AL33),IF(MOD(AL77,Inputs!$F$223)=0,Inputs!$F$164,IF(MOD(AL77,Inputs!$F$224)=0,Inputs!$F$165,0)),0)</f>
        <v/>
      </c>
      <c r="AM78" s="13">
        <f>IF(AND(Time!AM30&gt;0,AM77&gt;=1,AM77&lt;=Inputs!$F$222,Time!AM32&lt;(AM77-1)*12+Inputs!$F$221,(AM77-1)*12+Inputs!$F$221&lt;=Time!AM33),IF(MOD(AM77,Inputs!$F$223)=0,Inputs!$F$164,IF(MOD(AM77,Inputs!$F$224)=0,Inputs!$F$165,0)),0)</f>
        <v/>
      </c>
      <c r="AN78" s="13">
        <f>IF(AND(Time!AN30&gt;0,AN77&gt;=1,AN77&lt;=Inputs!$F$222,Time!AN32&lt;(AN77-1)*12+Inputs!$F$221,(AN77-1)*12+Inputs!$F$221&lt;=Time!AN33),IF(MOD(AN77,Inputs!$F$223)=0,Inputs!$F$164,IF(MOD(AN77,Inputs!$F$224)=0,Inputs!$F$165,0)),0)</f>
        <v/>
      </c>
      <c r="AO78" s="13">
        <f>IF(AND(Time!AO30&gt;0,AO77&gt;=1,AO77&lt;=Inputs!$F$222,Time!AO32&lt;(AO77-1)*12+Inputs!$F$221,(AO77-1)*12+Inputs!$F$221&lt;=Time!AO33),IF(MOD(AO77,Inputs!$F$223)=0,Inputs!$F$164,IF(MOD(AO77,Inputs!$F$224)=0,Inputs!$F$165,0)),0)</f>
        <v/>
      </c>
      <c r="AP78" s="13">
        <f>IF(AND(Time!AP30&gt;0,AP77&gt;=1,AP77&lt;=Inputs!$F$222,Time!AP32&lt;(AP77-1)*12+Inputs!$F$221,(AP77-1)*12+Inputs!$F$221&lt;=Time!AP33),IF(MOD(AP77,Inputs!$F$223)=0,Inputs!$F$164,IF(MOD(AP77,Inputs!$F$224)=0,Inputs!$F$165,0)),0)</f>
        <v/>
      </c>
      <c r="AQ78" s="13">
        <f>IF(AND(Time!AQ30&gt;0,AQ77&gt;=1,AQ77&lt;=Inputs!$F$222,Time!AQ32&lt;(AQ77-1)*12+Inputs!$F$221,(AQ77-1)*12+Inputs!$F$221&lt;=Time!AQ33),IF(MOD(AQ77,Inputs!$F$223)=0,Inputs!$F$164,IF(MOD(AQ77,Inputs!$F$224)=0,Inputs!$F$165,0)),0)</f>
        <v/>
      </c>
      <c r="AR78" s="13">
        <f>IF(AND(Time!AR30&gt;0,AR77&gt;=1,AR77&lt;=Inputs!$F$222,Time!AR32&lt;(AR77-1)*12+Inputs!$F$221,(AR77-1)*12+Inputs!$F$221&lt;=Time!AR33),IF(MOD(AR77,Inputs!$F$223)=0,Inputs!$F$164,IF(MOD(AR77,Inputs!$F$224)=0,Inputs!$F$165,0)),0)</f>
        <v/>
      </c>
      <c r="AS78" s="13">
        <f>IF(AND(Time!AS30&gt;0,AS77&gt;=1,AS77&lt;=Inputs!$F$222,Time!AS32&lt;(AS77-1)*12+Inputs!$F$221,(AS77-1)*12+Inputs!$F$221&lt;=Time!AS33),IF(MOD(AS77,Inputs!$F$223)=0,Inputs!$F$164,IF(MOD(AS77,Inputs!$F$224)=0,Inputs!$F$165,0)),0)</f>
        <v/>
      </c>
      <c r="AT78" s="13">
        <f>IF(AND(Time!AT30&gt;0,AT77&gt;=1,AT77&lt;=Inputs!$F$222,Time!AT32&lt;(AT77-1)*12+Inputs!$F$221,(AT77-1)*12+Inputs!$F$221&lt;=Time!AT33),IF(MOD(AT77,Inputs!$F$223)=0,Inputs!$F$164,IF(MOD(AT77,Inputs!$F$224)=0,Inputs!$F$165,0)),0)</f>
        <v/>
      </c>
      <c r="AU78" s="13">
        <f>IF(AND(Time!AU30&gt;0,AU77&gt;=1,AU77&lt;=Inputs!$F$222,Time!AU32&lt;(AU77-1)*12+Inputs!$F$221,(AU77-1)*12+Inputs!$F$221&lt;=Time!AU33),IF(MOD(AU77,Inputs!$F$223)=0,Inputs!$F$164,IF(MOD(AU77,Inputs!$F$224)=0,Inputs!$F$165,0)),0)</f>
        <v/>
      </c>
      <c r="AV78" s="13">
        <f>IF(AND(Time!AV30&gt;0,AV77&gt;=1,AV77&lt;=Inputs!$F$222,Time!AV32&lt;(AV77-1)*12+Inputs!$F$221,(AV77-1)*12+Inputs!$F$221&lt;=Time!AV33),IF(MOD(AV77,Inputs!$F$223)=0,Inputs!$F$164,IF(MOD(AV77,Inputs!$F$224)=0,Inputs!$F$165,0)),0)</f>
        <v/>
      </c>
      <c r="AW78" s="13">
        <f>IF(AND(Time!AW30&gt;0,AW77&gt;=1,AW77&lt;=Inputs!$F$222,Time!AW32&lt;(AW77-1)*12+Inputs!$F$221,(AW77-1)*12+Inputs!$F$221&lt;=Time!AW33),IF(MOD(AW77,Inputs!$F$223)=0,Inputs!$F$164,IF(MOD(AW77,Inputs!$F$224)=0,Inputs!$F$165,0)),0)</f>
        <v/>
      </c>
      <c r="AX78" s="13">
        <f>IF(AND(Time!AX30&gt;0,AX77&gt;=1,AX77&lt;=Inputs!$F$222,Time!AX32&lt;(AX77-1)*12+Inputs!$F$221,(AX77-1)*12+Inputs!$F$221&lt;=Time!AX33),IF(MOD(AX77,Inputs!$F$223)=0,Inputs!$F$164,IF(MOD(AX77,Inputs!$F$224)=0,Inputs!$F$165,0)),0)</f>
        <v/>
      </c>
      <c r="AY78" s="13">
        <f>IF(AND(Time!AY30&gt;0,AY77&gt;=1,AY77&lt;=Inputs!$F$222,Time!AY32&lt;(AY77-1)*12+Inputs!$F$221,(AY77-1)*12+Inputs!$F$221&lt;=Time!AY33),IF(MOD(AY77,Inputs!$F$223)=0,Inputs!$F$164,IF(MOD(AY77,Inputs!$F$224)=0,Inputs!$F$165,0)),0)</f>
        <v/>
      </c>
      <c r="AZ78" s="13">
        <f>IF(AND(Time!AZ30&gt;0,AZ77&gt;=1,AZ77&lt;=Inputs!$F$222,Time!AZ32&lt;(AZ77-1)*12+Inputs!$F$221,(AZ77-1)*12+Inputs!$F$221&lt;=Time!AZ33),IF(MOD(AZ77,Inputs!$F$223)=0,Inputs!$F$164,IF(MOD(AZ77,Inputs!$F$224)=0,Inputs!$F$165,0)),0)</f>
        <v/>
      </c>
      <c r="BA78" s="13">
        <f>IF(AND(Time!BA30&gt;0,BA77&gt;=1,BA77&lt;=Inputs!$F$222,Time!BA32&lt;(BA77-1)*12+Inputs!$F$221,(BA77-1)*12+Inputs!$F$221&lt;=Time!BA33),IF(MOD(BA77,Inputs!$F$223)=0,Inputs!$F$164,IF(MOD(BA77,Inputs!$F$224)=0,Inputs!$F$165,0)),0)</f>
        <v/>
      </c>
      <c r="BB78" s="13">
        <f>IF(AND(Time!BB30&gt;0,BB77&gt;=1,BB77&lt;=Inputs!$F$222,Time!BB32&lt;(BB77-1)*12+Inputs!$F$221,(BB77-1)*12+Inputs!$F$221&lt;=Time!BB33),IF(MOD(BB77,Inputs!$F$223)=0,Inputs!$F$164,IF(MOD(BB77,Inputs!$F$224)=0,Inputs!$F$165,0)),0)</f>
        <v/>
      </c>
      <c r="BC78" s="13">
        <f>IF(AND(Time!BC30&gt;0,BC77&gt;=1,BC77&lt;=Inputs!$F$222,Time!BC32&lt;(BC77-1)*12+Inputs!$F$221,(BC77-1)*12+Inputs!$F$221&lt;=Time!BC33),IF(MOD(BC77,Inputs!$F$223)=0,Inputs!$F$164,IF(MOD(BC77,Inputs!$F$224)=0,Inputs!$F$165,0)),0)</f>
        <v/>
      </c>
      <c r="BD78" s="13">
        <f>IF(AND(Time!BD30&gt;0,BD77&gt;=1,BD77&lt;=Inputs!$F$222,Time!BD32&lt;(BD77-1)*12+Inputs!$F$221,(BD77-1)*12+Inputs!$F$221&lt;=Time!BD33),IF(MOD(BD77,Inputs!$F$223)=0,Inputs!$F$164,IF(MOD(BD77,Inputs!$F$224)=0,Inputs!$F$165,0)),0)</f>
        <v/>
      </c>
      <c r="BE78" s="13">
        <f>IF(AND(Time!BE30&gt;0,BE77&gt;=1,BE77&lt;=Inputs!$F$222,Time!BE32&lt;(BE77-1)*12+Inputs!$F$221,(BE77-1)*12+Inputs!$F$221&lt;=Time!BE33),IF(MOD(BE77,Inputs!$F$223)=0,Inputs!$F$164,IF(MOD(BE77,Inputs!$F$224)=0,Inputs!$F$165,0)),0)</f>
        <v/>
      </c>
      <c r="BF78" s="13">
        <f>IF(AND(Time!BF30&gt;0,BF77&gt;=1,BF77&lt;=Inputs!$F$222,Time!BF32&lt;(BF77-1)*12+Inputs!$F$221,(BF77-1)*12+Inputs!$F$221&lt;=Time!BF33),IF(MOD(BF77,Inputs!$F$223)=0,Inputs!$F$164,IF(MOD(BF77,Inputs!$F$224)=0,Inputs!$F$165,0)),0)</f>
        <v/>
      </c>
      <c r="BG78" s="13">
        <f>IF(AND(Time!BG30&gt;0,BG77&gt;=1,BG77&lt;=Inputs!$F$222,Time!BG32&lt;(BG77-1)*12+Inputs!$F$221,(BG77-1)*12+Inputs!$F$221&lt;=Time!BG33),IF(MOD(BG77,Inputs!$F$223)=0,Inputs!$F$164,IF(MOD(BG77,Inputs!$F$224)=0,Inputs!$F$165,0)),0)</f>
        <v/>
      </c>
      <c r="BH78" s="13">
        <f>IF(AND(Time!BH30&gt;0,BH77&gt;=1,BH77&lt;=Inputs!$F$222,Time!BH32&lt;(BH77-1)*12+Inputs!$F$221,(BH77-1)*12+Inputs!$F$221&lt;=Time!BH33),IF(MOD(BH77,Inputs!$F$223)=0,Inputs!$F$164,IF(MOD(BH77,Inputs!$F$224)=0,Inputs!$F$165,0)),0)</f>
        <v/>
      </c>
      <c r="BI78" s="13">
        <f>IF(AND(Time!BI30&gt;0,BI77&gt;=1,BI77&lt;=Inputs!$F$222,Time!BI32&lt;(BI77-1)*12+Inputs!$F$221,(BI77-1)*12+Inputs!$F$221&lt;=Time!BI33),IF(MOD(BI77,Inputs!$F$223)=0,Inputs!$F$164,IF(MOD(BI77,Inputs!$F$224)=0,Inputs!$F$165,0)),0)</f>
        <v/>
      </c>
      <c r="BJ78" s="13">
        <f>IF(AND(Time!BJ30&gt;0,BJ77&gt;=1,BJ77&lt;=Inputs!$F$222,Time!BJ32&lt;(BJ77-1)*12+Inputs!$F$221,(BJ77-1)*12+Inputs!$F$221&lt;=Time!BJ33),IF(MOD(BJ77,Inputs!$F$223)=0,Inputs!$F$164,IF(MOD(BJ77,Inputs!$F$224)=0,Inputs!$F$165,0)),0)</f>
        <v/>
      </c>
      <c r="BK78" s="13">
        <f>IF(AND(Time!BK30&gt;0,BK77&gt;=1,BK77&lt;=Inputs!$F$222,Time!BK32&lt;(BK77-1)*12+Inputs!$F$221,(BK77-1)*12+Inputs!$F$221&lt;=Time!BK33),IF(MOD(BK77,Inputs!$F$223)=0,Inputs!$F$164,IF(MOD(BK77,Inputs!$F$224)=0,Inputs!$F$165,0)),0)</f>
        <v/>
      </c>
      <c r="BL78" s="13">
        <f>IF(AND(Time!BL30&gt;0,BL77&gt;=1,BL77&lt;=Inputs!$F$222,Time!BL32&lt;(BL77-1)*12+Inputs!$F$221,(BL77-1)*12+Inputs!$F$221&lt;=Time!BL33),IF(MOD(BL77,Inputs!$F$223)=0,Inputs!$F$164,IF(MOD(BL77,Inputs!$F$224)=0,Inputs!$F$165,0)),0)</f>
        <v/>
      </c>
      <c r="BM78" s="13">
        <f>IF(AND(Time!BM30&gt;0,BM77&gt;=1,BM77&lt;=Inputs!$F$222,Time!BM32&lt;(BM77-1)*12+Inputs!$F$221,(BM77-1)*12+Inputs!$F$221&lt;=Time!BM33),IF(MOD(BM77,Inputs!$F$223)=0,Inputs!$F$164,IF(MOD(BM77,Inputs!$F$224)=0,Inputs!$F$165,0)),0)</f>
        <v/>
      </c>
      <c r="BN78" s="13">
        <f>IF(AND(Time!BN30&gt;0,BN77&gt;=1,BN77&lt;=Inputs!$F$222,Time!BN32&lt;(BN77-1)*12+Inputs!$F$221,(BN77-1)*12+Inputs!$F$221&lt;=Time!BN33),IF(MOD(BN77,Inputs!$F$223)=0,Inputs!$F$164,IF(MOD(BN77,Inputs!$F$224)=0,Inputs!$F$165,0)),0)</f>
        <v/>
      </c>
    </row>
    <row r="79">
      <c r="D79" t="inlineStr">
        <is>
          <t>Major maintenance spend</t>
        </is>
      </c>
      <c r="E79" t="inlineStr">
        <is>
          <t>USD m</t>
        </is>
      </c>
      <c r="G79" s="13">
        <f>SUM(J79:BN79)</f>
        <v/>
      </c>
      <c r="J79" s="13">
        <f>J78*J21</f>
        <v/>
      </c>
      <c r="K79" s="13">
        <f>K78*K21</f>
        <v/>
      </c>
      <c r="L79" s="13">
        <f>L78*L21</f>
        <v/>
      </c>
      <c r="M79" s="13">
        <f>M78*M21</f>
        <v/>
      </c>
      <c r="N79" s="13">
        <f>N78*N21</f>
        <v/>
      </c>
      <c r="O79" s="13">
        <f>O78*O21</f>
        <v/>
      </c>
      <c r="P79" s="13">
        <f>P78*P21</f>
        <v/>
      </c>
      <c r="Q79" s="13">
        <f>Q78*Q21</f>
        <v/>
      </c>
      <c r="R79" s="13">
        <f>R78*R21</f>
        <v/>
      </c>
      <c r="S79" s="13">
        <f>S78*S21</f>
        <v/>
      </c>
      <c r="T79" s="13">
        <f>T78*T21</f>
        <v/>
      </c>
      <c r="U79" s="13">
        <f>U78*U21</f>
        <v/>
      </c>
      <c r="V79" s="13">
        <f>V78*V21</f>
        <v/>
      </c>
      <c r="W79" s="13">
        <f>W78*W21</f>
        <v/>
      </c>
      <c r="X79" s="13">
        <f>X78*X21</f>
        <v/>
      </c>
      <c r="Y79" s="13">
        <f>Y78*Y21</f>
        <v/>
      </c>
      <c r="Z79" s="13">
        <f>Z78*Z21</f>
        <v/>
      </c>
      <c r="AA79" s="13">
        <f>AA78*AA21</f>
        <v/>
      </c>
      <c r="AB79" s="13">
        <f>AB78*AB21</f>
        <v/>
      </c>
      <c r="AC79" s="13">
        <f>AC78*AC21</f>
        <v/>
      </c>
      <c r="AD79" s="13">
        <f>AD78*AD21</f>
        <v/>
      </c>
      <c r="AE79" s="13">
        <f>AE78*AE21</f>
        <v/>
      </c>
      <c r="AF79" s="13">
        <f>AF78*AF21</f>
        <v/>
      </c>
      <c r="AG79" s="13">
        <f>AG78*AG21</f>
        <v/>
      </c>
      <c r="AH79" s="13">
        <f>AH78*AH21</f>
        <v/>
      </c>
      <c r="AI79" s="13">
        <f>AI78*AI21</f>
        <v/>
      </c>
      <c r="AJ79" s="13">
        <f>AJ78*AJ21</f>
        <v/>
      </c>
      <c r="AK79" s="13">
        <f>AK78*AK21</f>
        <v/>
      </c>
      <c r="AL79" s="13">
        <f>AL78*AL21</f>
        <v/>
      </c>
      <c r="AM79" s="13">
        <f>AM78*AM21</f>
        <v/>
      </c>
      <c r="AN79" s="13">
        <f>AN78*AN21</f>
        <v/>
      </c>
      <c r="AO79" s="13">
        <f>AO78*AO21</f>
        <v/>
      </c>
      <c r="AP79" s="13">
        <f>AP78*AP21</f>
        <v/>
      </c>
      <c r="AQ79" s="13">
        <f>AQ78*AQ21</f>
        <v/>
      </c>
      <c r="AR79" s="13">
        <f>AR78*AR21</f>
        <v/>
      </c>
      <c r="AS79" s="13">
        <f>AS78*AS21</f>
        <v/>
      </c>
      <c r="AT79" s="13">
        <f>AT78*AT21</f>
        <v/>
      </c>
      <c r="AU79" s="13">
        <f>AU78*AU21</f>
        <v/>
      </c>
      <c r="AV79" s="13">
        <f>AV78*AV21</f>
        <v/>
      </c>
      <c r="AW79" s="13">
        <f>AW78*AW21</f>
        <v/>
      </c>
      <c r="AX79" s="13">
        <f>AX78*AX21</f>
        <v/>
      </c>
      <c r="AY79" s="13">
        <f>AY78*AY21</f>
        <v/>
      </c>
      <c r="AZ79" s="13">
        <f>AZ78*AZ21</f>
        <v/>
      </c>
      <c r="BA79" s="13">
        <f>BA78*BA21</f>
        <v/>
      </c>
      <c r="BB79" s="13">
        <f>BB78*BB21</f>
        <v/>
      </c>
      <c r="BC79" s="13">
        <f>BC78*BC21</f>
        <v/>
      </c>
      <c r="BD79" s="13">
        <f>BD78*BD21</f>
        <v/>
      </c>
      <c r="BE79" s="13">
        <f>BE78*BE21</f>
        <v/>
      </c>
      <c r="BF79" s="13">
        <f>BF78*BF21</f>
        <v/>
      </c>
      <c r="BG79" s="13">
        <f>BG78*BG21</f>
        <v/>
      </c>
      <c r="BH79" s="13">
        <f>BH78*BH21</f>
        <v/>
      </c>
      <c r="BI79" s="13">
        <f>BI78*BI21</f>
        <v/>
      </c>
      <c r="BJ79" s="13">
        <f>BJ78*BJ21</f>
        <v/>
      </c>
      <c r="BK79" s="13">
        <f>BK78*BK21</f>
        <v/>
      </c>
      <c r="BL79" s="13">
        <f>BL78*BL21</f>
        <v/>
      </c>
      <c r="BM79" s="13">
        <f>BM78*BM21</f>
        <v/>
      </c>
      <c r="BN79" s="13">
        <f>BN78*BN21</f>
        <v/>
      </c>
    </row>
    <row r="80">
      <c r="D80" t="inlineStr">
        <is>
          <t>Months in period from the handback reserve year</t>
        </is>
      </c>
      <c r="E80" t="inlineStr">
        <is>
          <t>months</t>
        </is>
      </c>
      <c r="J80" s="10">
        <f>MAX(0,MIN(Time!J33,Time!$F$9)-MAX(Time!J32,(Inputs!$F$227-1)*12))</f>
        <v/>
      </c>
      <c r="K80" s="10">
        <f>MAX(0,MIN(Time!K33,Time!$F$9)-MAX(Time!K32,(Inputs!$F$227-1)*12))</f>
        <v/>
      </c>
      <c r="L80" s="10">
        <f>MAX(0,MIN(Time!L33,Time!$F$9)-MAX(Time!L32,(Inputs!$F$227-1)*12))</f>
        <v/>
      </c>
      <c r="M80" s="10">
        <f>MAX(0,MIN(Time!M33,Time!$F$9)-MAX(Time!M32,(Inputs!$F$227-1)*12))</f>
        <v/>
      </c>
      <c r="N80" s="10">
        <f>MAX(0,MIN(Time!N33,Time!$F$9)-MAX(Time!N32,(Inputs!$F$227-1)*12))</f>
        <v/>
      </c>
      <c r="O80" s="10">
        <f>MAX(0,MIN(Time!O33,Time!$F$9)-MAX(Time!O32,(Inputs!$F$227-1)*12))</f>
        <v/>
      </c>
      <c r="P80" s="10">
        <f>MAX(0,MIN(Time!P33,Time!$F$9)-MAX(Time!P32,(Inputs!$F$227-1)*12))</f>
        <v/>
      </c>
      <c r="Q80" s="10">
        <f>MAX(0,MIN(Time!Q33,Time!$F$9)-MAX(Time!Q32,(Inputs!$F$227-1)*12))</f>
        <v/>
      </c>
      <c r="R80" s="10">
        <f>MAX(0,MIN(Time!R33,Time!$F$9)-MAX(Time!R32,(Inputs!$F$227-1)*12))</f>
        <v/>
      </c>
      <c r="S80" s="10">
        <f>MAX(0,MIN(Time!S33,Time!$F$9)-MAX(Time!S32,(Inputs!$F$227-1)*12))</f>
        <v/>
      </c>
      <c r="T80" s="10">
        <f>MAX(0,MIN(Time!T33,Time!$F$9)-MAX(Time!T32,(Inputs!$F$227-1)*12))</f>
        <v/>
      </c>
      <c r="U80" s="10">
        <f>MAX(0,MIN(Time!U33,Time!$F$9)-MAX(Time!U32,(Inputs!$F$227-1)*12))</f>
        <v/>
      </c>
      <c r="V80" s="10">
        <f>MAX(0,MIN(Time!V33,Time!$F$9)-MAX(Time!V32,(Inputs!$F$227-1)*12))</f>
        <v/>
      </c>
      <c r="W80" s="10">
        <f>MAX(0,MIN(Time!W33,Time!$F$9)-MAX(Time!W32,(Inputs!$F$227-1)*12))</f>
        <v/>
      </c>
      <c r="X80" s="10">
        <f>MAX(0,MIN(Time!X33,Time!$F$9)-MAX(Time!X32,(Inputs!$F$227-1)*12))</f>
        <v/>
      </c>
      <c r="Y80" s="10">
        <f>MAX(0,MIN(Time!Y33,Time!$F$9)-MAX(Time!Y32,(Inputs!$F$227-1)*12))</f>
        <v/>
      </c>
      <c r="Z80" s="10">
        <f>MAX(0,MIN(Time!Z33,Time!$F$9)-MAX(Time!Z32,(Inputs!$F$227-1)*12))</f>
        <v/>
      </c>
      <c r="AA80" s="10">
        <f>MAX(0,MIN(Time!AA33,Time!$F$9)-MAX(Time!AA32,(Inputs!$F$227-1)*12))</f>
        <v/>
      </c>
      <c r="AB80" s="10">
        <f>MAX(0,MIN(Time!AB33,Time!$F$9)-MAX(Time!AB32,(Inputs!$F$227-1)*12))</f>
        <v/>
      </c>
      <c r="AC80" s="10">
        <f>MAX(0,MIN(Time!AC33,Time!$F$9)-MAX(Time!AC32,(Inputs!$F$227-1)*12))</f>
        <v/>
      </c>
      <c r="AD80" s="10">
        <f>MAX(0,MIN(Time!AD33,Time!$F$9)-MAX(Time!AD32,(Inputs!$F$227-1)*12))</f>
        <v/>
      </c>
      <c r="AE80" s="10">
        <f>MAX(0,MIN(Time!AE33,Time!$F$9)-MAX(Time!AE32,(Inputs!$F$227-1)*12))</f>
        <v/>
      </c>
      <c r="AF80" s="10">
        <f>MAX(0,MIN(Time!AF33,Time!$F$9)-MAX(Time!AF32,(Inputs!$F$227-1)*12))</f>
        <v/>
      </c>
      <c r="AG80" s="10">
        <f>MAX(0,MIN(Time!AG33,Time!$F$9)-MAX(Time!AG32,(Inputs!$F$227-1)*12))</f>
        <v/>
      </c>
      <c r="AH80" s="10">
        <f>MAX(0,MIN(Time!AH33,Time!$F$9)-MAX(Time!AH32,(Inputs!$F$227-1)*12))</f>
        <v/>
      </c>
      <c r="AI80" s="10">
        <f>MAX(0,MIN(Time!AI33,Time!$F$9)-MAX(Time!AI32,(Inputs!$F$227-1)*12))</f>
        <v/>
      </c>
      <c r="AJ80" s="10">
        <f>MAX(0,MIN(Time!AJ33,Time!$F$9)-MAX(Time!AJ32,(Inputs!$F$227-1)*12))</f>
        <v/>
      </c>
      <c r="AK80" s="10">
        <f>MAX(0,MIN(Time!AK33,Time!$F$9)-MAX(Time!AK32,(Inputs!$F$227-1)*12))</f>
        <v/>
      </c>
      <c r="AL80" s="10">
        <f>MAX(0,MIN(Time!AL33,Time!$F$9)-MAX(Time!AL32,(Inputs!$F$227-1)*12))</f>
        <v/>
      </c>
      <c r="AM80" s="10">
        <f>MAX(0,MIN(Time!AM33,Time!$F$9)-MAX(Time!AM32,(Inputs!$F$227-1)*12))</f>
        <v/>
      </c>
      <c r="AN80" s="10">
        <f>MAX(0,MIN(Time!AN33,Time!$F$9)-MAX(Time!AN32,(Inputs!$F$227-1)*12))</f>
        <v/>
      </c>
      <c r="AO80" s="10">
        <f>MAX(0,MIN(Time!AO33,Time!$F$9)-MAX(Time!AO32,(Inputs!$F$227-1)*12))</f>
        <v/>
      </c>
      <c r="AP80" s="10">
        <f>MAX(0,MIN(Time!AP33,Time!$F$9)-MAX(Time!AP32,(Inputs!$F$227-1)*12))</f>
        <v/>
      </c>
      <c r="AQ80" s="10">
        <f>MAX(0,MIN(Time!AQ33,Time!$F$9)-MAX(Time!AQ32,(Inputs!$F$227-1)*12))</f>
        <v/>
      </c>
      <c r="AR80" s="10">
        <f>MAX(0,MIN(Time!AR33,Time!$F$9)-MAX(Time!AR32,(Inputs!$F$227-1)*12))</f>
        <v/>
      </c>
      <c r="AS80" s="10">
        <f>MAX(0,MIN(Time!AS33,Time!$F$9)-MAX(Time!AS32,(Inputs!$F$227-1)*12))</f>
        <v/>
      </c>
      <c r="AT80" s="10">
        <f>MAX(0,MIN(Time!AT33,Time!$F$9)-MAX(Time!AT32,(Inputs!$F$227-1)*12))</f>
        <v/>
      </c>
      <c r="AU80" s="10">
        <f>MAX(0,MIN(Time!AU33,Time!$F$9)-MAX(Time!AU32,(Inputs!$F$227-1)*12))</f>
        <v/>
      </c>
      <c r="AV80" s="10">
        <f>MAX(0,MIN(Time!AV33,Time!$F$9)-MAX(Time!AV32,(Inputs!$F$227-1)*12))</f>
        <v/>
      </c>
      <c r="AW80" s="10">
        <f>MAX(0,MIN(Time!AW33,Time!$F$9)-MAX(Time!AW32,(Inputs!$F$227-1)*12))</f>
        <v/>
      </c>
      <c r="AX80" s="10">
        <f>MAX(0,MIN(Time!AX33,Time!$F$9)-MAX(Time!AX32,(Inputs!$F$227-1)*12))</f>
        <v/>
      </c>
      <c r="AY80" s="10">
        <f>MAX(0,MIN(Time!AY33,Time!$F$9)-MAX(Time!AY32,(Inputs!$F$227-1)*12))</f>
        <v/>
      </c>
      <c r="AZ80" s="10">
        <f>MAX(0,MIN(Time!AZ33,Time!$F$9)-MAX(Time!AZ32,(Inputs!$F$227-1)*12))</f>
        <v/>
      </c>
      <c r="BA80" s="10">
        <f>MAX(0,MIN(Time!BA33,Time!$F$9)-MAX(Time!BA32,(Inputs!$F$227-1)*12))</f>
        <v/>
      </c>
      <c r="BB80" s="10">
        <f>MAX(0,MIN(Time!BB33,Time!$F$9)-MAX(Time!BB32,(Inputs!$F$227-1)*12))</f>
        <v/>
      </c>
      <c r="BC80" s="10">
        <f>MAX(0,MIN(Time!BC33,Time!$F$9)-MAX(Time!BC32,(Inputs!$F$227-1)*12))</f>
        <v/>
      </c>
      <c r="BD80" s="10">
        <f>MAX(0,MIN(Time!BD33,Time!$F$9)-MAX(Time!BD32,(Inputs!$F$227-1)*12))</f>
        <v/>
      </c>
      <c r="BE80" s="10">
        <f>MAX(0,MIN(Time!BE33,Time!$F$9)-MAX(Time!BE32,(Inputs!$F$227-1)*12))</f>
        <v/>
      </c>
      <c r="BF80" s="10">
        <f>MAX(0,MIN(Time!BF33,Time!$F$9)-MAX(Time!BF32,(Inputs!$F$227-1)*12))</f>
        <v/>
      </c>
      <c r="BG80" s="10">
        <f>MAX(0,MIN(Time!BG33,Time!$F$9)-MAX(Time!BG32,(Inputs!$F$227-1)*12))</f>
        <v/>
      </c>
      <c r="BH80" s="10">
        <f>MAX(0,MIN(Time!BH33,Time!$F$9)-MAX(Time!BH32,(Inputs!$F$227-1)*12))</f>
        <v/>
      </c>
      <c r="BI80" s="10">
        <f>MAX(0,MIN(Time!BI33,Time!$F$9)-MAX(Time!BI32,(Inputs!$F$227-1)*12))</f>
        <v/>
      </c>
      <c r="BJ80" s="10">
        <f>MAX(0,MIN(Time!BJ33,Time!$F$9)-MAX(Time!BJ32,(Inputs!$F$227-1)*12))</f>
        <v/>
      </c>
      <c r="BK80" s="10">
        <f>MAX(0,MIN(Time!BK33,Time!$F$9)-MAX(Time!BK32,(Inputs!$F$227-1)*12))</f>
        <v/>
      </c>
      <c r="BL80" s="10">
        <f>MAX(0,MIN(Time!BL33,Time!$F$9)-MAX(Time!BL32,(Inputs!$F$227-1)*12))</f>
        <v/>
      </c>
      <c r="BM80" s="10">
        <f>MAX(0,MIN(Time!BM33,Time!$F$9)-MAX(Time!BM32,(Inputs!$F$227-1)*12))</f>
        <v/>
      </c>
      <c r="BN80" s="10">
        <f>MAX(0,MIN(Time!BN33,Time!$F$9)-MAX(Time!BN32,(Inputs!$F$227-1)*12))</f>
        <v/>
      </c>
    </row>
    <row r="81">
      <c r="D81" t="inlineStr">
        <is>
          <t>Handback reserve contribution required</t>
        </is>
      </c>
      <c r="E81" t="inlineStr">
        <is>
          <t>USD m</t>
        </is>
      </c>
      <c r="G81" s="13">
        <f>SUM(J81:BN81)</f>
        <v/>
      </c>
      <c r="J81" s="13">
        <f>Inputs!$F$166*J21*J80/12</f>
        <v/>
      </c>
      <c r="K81" s="13">
        <f>Inputs!$F$166*K21*K80/12</f>
        <v/>
      </c>
      <c r="L81" s="13">
        <f>Inputs!$F$166*L21*L80/12</f>
        <v/>
      </c>
      <c r="M81" s="13">
        <f>Inputs!$F$166*M21*M80/12</f>
        <v/>
      </c>
      <c r="N81" s="13">
        <f>Inputs!$F$166*N21*N80/12</f>
        <v/>
      </c>
      <c r="O81" s="13">
        <f>Inputs!$F$166*O21*O80/12</f>
        <v/>
      </c>
      <c r="P81" s="13">
        <f>Inputs!$F$166*P21*P80/12</f>
        <v/>
      </c>
      <c r="Q81" s="13">
        <f>Inputs!$F$166*Q21*Q80/12</f>
        <v/>
      </c>
      <c r="R81" s="13">
        <f>Inputs!$F$166*R21*R80/12</f>
        <v/>
      </c>
      <c r="S81" s="13">
        <f>Inputs!$F$166*S21*S80/12</f>
        <v/>
      </c>
      <c r="T81" s="13">
        <f>Inputs!$F$166*T21*T80/12</f>
        <v/>
      </c>
      <c r="U81" s="13">
        <f>Inputs!$F$166*U21*U80/12</f>
        <v/>
      </c>
      <c r="V81" s="13">
        <f>Inputs!$F$166*V21*V80/12</f>
        <v/>
      </c>
      <c r="W81" s="13">
        <f>Inputs!$F$166*W21*W80/12</f>
        <v/>
      </c>
      <c r="X81" s="13">
        <f>Inputs!$F$166*X21*X80/12</f>
        <v/>
      </c>
      <c r="Y81" s="13">
        <f>Inputs!$F$166*Y21*Y80/12</f>
        <v/>
      </c>
      <c r="Z81" s="13">
        <f>Inputs!$F$166*Z21*Z80/12</f>
        <v/>
      </c>
      <c r="AA81" s="13">
        <f>Inputs!$F$166*AA21*AA80/12</f>
        <v/>
      </c>
      <c r="AB81" s="13">
        <f>Inputs!$F$166*AB21*AB80/12</f>
        <v/>
      </c>
      <c r="AC81" s="13">
        <f>Inputs!$F$166*AC21*AC80/12</f>
        <v/>
      </c>
      <c r="AD81" s="13">
        <f>Inputs!$F$166*AD21*AD80/12</f>
        <v/>
      </c>
      <c r="AE81" s="13">
        <f>Inputs!$F$166*AE21*AE80/12</f>
        <v/>
      </c>
      <c r="AF81" s="13">
        <f>Inputs!$F$166*AF21*AF80/12</f>
        <v/>
      </c>
      <c r="AG81" s="13">
        <f>Inputs!$F$166*AG21*AG80/12</f>
        <v/>
      </c>
      <c r="AH81" s="13">
        <f>Inputs!$F$166*AH21*AH80/12</f>
        <v/>
      </c>
      <c r="AI81" s="13">
        <f>Inputs!$F$166*AI21*AI80/12</f>
        <v/>
      </c>
      <c r="AJ81" s="13">
        <f>Inputs!$F$166*AJ21*AJ80/12</f>
        <v/>
      </c>
      <c r="AK81" s="13">
        <f>Inputs!$F$166*AK21*AK80/12</f>
        <v/>
      </c>
      <c r="AL81" s="13">
        <f>Inputs!$F$166*AL21*AL80/12</f>
        <v/>
      </c>
      <c r="AM81" s="13">
        <f>Inputs!$F$166*AM21*AM80/12</f>
        <v/>
      </c>
      <c r="AN81" s="13">
        <f>Inputs!$F$166*AN21*AN80/12</f>
        <v/>
      </c>
      <c r="AO81" s="13">
        <f>Inputs!$F$166*AO21*AO80/12</f>
        <v/>
      </c>
      <c r="AP81" s="13">
        <f>Inputs!$F$166*AP21*AP80/12</f>
        <v/>
      </c>
      <c r="AQ81" s="13">
        <f>Inputs!$F$166*AQ21*AQ80/12</f>
        <v/>
      </c>
      <c r="AR81" s="13">
        <f>Inputs!$F$166*AR21*AR80/12</f>
        <v/>
      </c>
      <c r="AS81" s="13">
        <f>Inputs!$F$166*AS21*AS80/12</f>
        <v/>
      </c>
      <c r="AT81" s="13">
        <f>Inputs!$F$166*AT21*AT80/12</f>
        <v/>
      </c>
      <c r="AU81" s="13">
        <f>Inputs!$F$166*AU21*AU80/12</f>
        <v/>
      </c>
      <c r="AV81" s="13">
        <f>Inputs!$F$166*AV21*AV80/12</f>
        <v/>
      </c>
      <c r="AW81" s="13">
        <f>Inputs!$F$166*AW21*AW80/12</f>
        <v/>
      </c>
      <c r="AX81" s="13">
        <f>Inputs!$F$166*AX21*AX80/12</f>
        <v/>
      </c>
      <c r="AY81" s="13">
        <f>Inputs!$F$166*AY21*AY80/12</f>
        <v/>
      </c>
      <c r="AZ81" s="13">
        <f>Inputs!$F$166*AZ21*AZ80/12</f>
        <v/>
      </c>
      <c r="BA81" s="13">
        <f>Inputs!$F$166*BA21*BA80/12</f>
        <v/>
      </c>
      <c r="BB81" s="13">
        <f>Inputs!$F$166*BB21*BB80/12</f>
        <v/>
      </c>
      <c r="BC81" s="13">
        <f>Inputs!$F$166*BC21*BC80/12</f>
        <v/>
      </c>
      <c r="BD81" s="13">
        <f>Inputs!$F$166*BD21*BD80/12</f>
        <v/>
      </c>
      <c r="BE81" s="13">
        <f>Inputs!$F$166*BE21*BE80/12</f>
        <v/>
      </c>
      <c r="BF81" s="13">
        <f>Inputs!$F$166*BF21*BF80/12</f>
        <v/>
      </c>
      <c r="BG81" s="13">
        <f>Inputs!$F$166*BG21*BG80/12</f>
        <v/>
      </c>
      <c r="BH81" s="13">
        <f>Inputs!$F$166*BH21*BH80/12</f>
        <v/>
      </c>
      <c r="BI81" s="13">
        <f>Inputs!$F$166*BI21*BI80/12</f>
        <v/>
      </c>
      <c r="BJ81" s="13">
        <f>Inputs!$F$166*BJ21*BJ80/12</f>
        <v/>
      </c>
      <c r="BK81" s="13">
        <f>Inputs!$F$166*BK21*BK80/12</f>
        <v/>
      </c>
      <c r="BL81" s="13">
        <f>Inputs!$F$166*BL21*BL80/12</f>
        <v/>
      </c>
      <c r="BM81" s="13">
        <f>Inputs!$F$166*BM21*BM80/12</f>
        <v/>
      </c>
      <c r="BN81" s="13">
        <f>Inputs!$F$166*BN21*BN80/12</f>
        <v/>
      </c>
    </row>
    <row r="82">
      <c r="D82" t="inlineStr">
        <is>
          <t>Handback works at PPA expiry</t>
        </is>
      </c>
      <c r="E82" t="inlineStr">
        <is>
          <t>USD m</t>
        </is>
      </c>
      <c r="G82" s="13">
        <f>SUM(J82:BN82)</f>
        <v/>
      </c>
      <c r="J82" s="13">
        <f>Time!J37*SUM($J$81:$BN$81)</f>
        <v/>
      </c>
      <c r="K82" s="13">
        <f>Time!K37*SUM($J$81:$BN$81)</f>
        <v/>
      </c>
      <c r="L82" s="13">
        <f>Time!L37*SUM($J$81:$BN$81)</f>
        <v/>
      </c>
      <c r="M82" s="13">
        <f>Time!M37*SUM($J$81:$BN$81)</f>
        <v/>
      </c>
      <c r="N82" s="13">
        <f>Time!N37*SUM($J$81:$BN$81)</f>
        <v/>
      </c>
      <c r="O82" s="13">
        <f>Time!O37*SUM($J$81:$BN$81)</f>
        <v/>
      </c>
      <c r="P82" s="13">
        <f>Time!P37*SUM($J$81:$BN$81)</f>
        <v/>
      </c>
      <c r="Q82" s="13">
        <f>Time!Q37*SUM($J$81:$BN$81)</f>
        <v/>
      </c>
      <c r="R82" s="13">
        <f>Time!R37*SUM($J$81:$BN$81)</f>
        <v/>
      </c>
      <c r="S82" s="13">
        <f>Time!S37*SUM($J$81:$BN$81)</f>
        <v/>
      </c>
      <c r="T82" s="13">
        <f>Time!T37*SUM($J$81:$BN$81)</f>
        <v/>
      </c>
      <c r="U82" s="13">
        <f>Time!U37*SUM($J$81:$BN$81)</f>
        <v/>
      </c>
      <c r="V82" s="13">
        <f>Time!V37*SUM($J$81:$BN$81)</f>
        <v/>
      </c>
      <c r="W82" s="13">
        <f>Time!W37*SUM($J$81:$BN$81)</f>
        <v/>
      </c>
      <c r="X82" s="13">
        <f>Time!X37*SUM($J$81:$BN$81)</f>
        <v/>
      </c>
      <c r="Y82" s="13">
        <f>Time!Y37*SUM($J$81:$BN$81)</f>
        <v/>
      </c>
      <c r="Z82" s="13">
        <f>Time!Z37*SUM($J$81:$BN$81)</f>
        <v/>
      </c>
      <c r="AA82" s="13">
        <f>Time!AA37*SUM($J$81:$BN$81)</f>
        <v/>
      </c>
      <c r="AB82" s="13">
        <f>Time!AB37*SUM($J$81:$BN$81)</f>
        <v/>
      </c>
      <c r="AC82" s="13">
        <f>Time!AC37*SUM($J$81:$BN$81)</f>
        <v/>
      </c>
      <c r="AD82" s="13">
        <f>Time!AD37*SUM($J$81:$BN$81)</f>
        <v/>
      </c>
      <c r="AE82" s="13">
        <f>Time!AE37*SUM($J$81:$BN$81)</f>
        <v/>
      </c>
      <c r="AF82" s="13">
        <f>Time!AF37*SUM($J$81:$BN$81)</f>
        <v/>
      </c>
      <c r="AG82" s="13">
        <f>Time!AG37*SUM($J$81:$BN$81)</f>
        <v/>
      </c>
      <c r="AH82" s="13">
        <f>Time!AH37*SUM($J$81:$BN$81)</f>
        <v/>
      </c>
      <c r="AI82" s="13">
        <f>Time!AI37*SUM($J$81:$BN$81)</f>
        <v/>
      </c>
      <c r="AJ82" s="13">
        <f>Time!AJ37*SUM($J$81:$BN$81)</f>
        <v/>
      </c>
      <c r="AK82" s="13">
        <f>Time!AK37*SUM($J$81:$BN$81)</f>
        <v/>
      </c>
      <c r="AL82" s="13">
        <f>Time!AL37*SUM($J$81:$BN$81)</f>
        <v/>
      </c>
      <c r="AM82" s="13">
        <f>Time!AM37*SUM($J$81:$BN$81)</f>
        <v/>
      </c>
      <c r="AN82" s="13">
        <f>Time!AN37*SUM($J$81:$BN$81)</f>
        <v/>
      </c>
      <c r="AO82" s="13">
        <f>Time!AO37*SUM($J$81:$BN$81)</f>
        <v/>
      </c>
      <c r="AP82" s="13">
        <f>Time!AP37*SUM($J$81:$BN$81)</f>
        <v/>
      </c>
      <c r="AQ82" s="13">
        <f>Time!AQ37*SUM($J$81:$BN$81)</f>
        <v/>
      </c>
      <c r="AR82" s="13">
        <f>Time!AR37*SUM($J$81:$BN$81)</f>
        <v/>
      </c>
      <c r="AS82" s="13">
        <f>Time!AS37*SUM($J$81:$BN$81)</f>
        <v/>
      </c>
      <c r="AT82" s="13">
        <f>Time!AT37*SUM($J$81:$BN$81)</f>
        <v/>
      </c>
      <c r="AU82" s="13">
        <f>Time!AU37*SUM($J$81:$BN$81)</f>
        <v/>
      </c>
      <c r="AV82" s="13">
        <f>Time!AV37*SUM($J$81:$BN$81)</f>
        <v/>
      </c>
      <c r="AW82" s="13">
        <f>Time!AW37*SUM($J$81:$BN$81)</f>
        <v/>
      </c>
      <c r="AX82" s="13">
        <f>Time!AX37*SUM($J$81:$BN$81)</f>
        <v/>
      </c>
      <c r="AY82" s="13">
        <f>Time!AY37*SUM($J$81:$BN$81)</f>
        <v/>
      </c>
      <c r="AZ82" s="13">
        <f>Time!AZ37*SUM($J$81:$BN$81)</f>
        <v/>
      </c>
      <c r="BA82" s="13">
        <f>Time!BA37*SUM($J$81:$BN$81)</f>
        <v/>
      </c>
      <c r="BB82" s="13">
        <f>Time!BB37*SUM($J$81:$BN$81)</f>
        <v/>
      </c>
      <c r="BC82" s="13">
        <f>Time!BC37*SUM($J$81:$BN$81)</f>
        <v/>
      </c>
      <c r="BD82" s="13">
        <f>Time!BD37*SUM($J$81:$BN$81)</f>
        <v/>
      </c>
      <c r="BE82" s="13">
        <f>Time!BE37*SUM($J$81:$BN$81)</f>
        <v/>
      </c>
      <c r="BF82" s="13">
        <f>Time!BF37*SUM($J$81:$BN$81)</f>
        <v/>
      </c>
      <c r="BG82" s="13">
        <f>Time!BG37*SUM($J$81:$BN$81)</f>
        <v/>
      </c>
      <c r="BH82" s="13">
        <f>Time!BH37*SUM($J$81:$BN$81)</f>
        <v/>
      </c>
      <c r="BI82" s="13">
        <f>Time!BI37*SUM($J$81:$BN$81)</f>
        <v/>
      </c>
      <c r="BJ82" s="13">
        <f>Time!BJ37*SUM($J$81:$BN$81)</f>
        <v/>
      </c>
      <c r="BK82" s="13">
        <f>Time!BK37*SUM($J$81:$BN$81)</f>
        <v/>
      </c>
      <c r="BL82" s="13">
        <f>Time!BL37*SUM($J$81:$BN$81)</f>
        <v/>
      </c>
      <c r="BM82" s="13">
        <f>Time!BM37*SUM($J$81:$BN$81)</f>
        <v/>
      </c>
      <c r="BN82" s="13">
        <f>Time!BN37*SUM($J$81:$BN$81)</f>
        <v/>
      </c>
    </row>
    <row r="83">
      <c r="D83" t="inlineStr">
        <is>
          <t>Total operating costs</t>
        </is>
      </c>
      <c r="E83" t="inlineStr">
        <is>
          <t>USD m</t>
        </is>
      </c>
      <c r="G83" s="13">
        <f>SUM(J83:BN83)</f>
        <v/>
      </c>
      <c r="J83" s="13">
        <f>J72+J74+J75+J76+J79+J82</f>
        <v/>
      </c>
      <c r="K83" s="13">
        <f>K72+K74+K75+K76+K79+K82</f>
        <v/>
      </c>
      <c r="L83" s="13">
        <f>L72+L74+L75+L76+L79+L82</f>
        <v/>
      </c>
      <c r="M83" s="13">
        <f>M72+M74+M75+M76+M79+M82</f>
        <v/>
      </c>
      <c r="N83" s="13">
        <f>N72+N74+N75+N76+N79+N82</f>
        <v/>
      </c>
      <c r="O83" s="13">
        <f>O72+O74+O75+O76+O79+O82</f>
        <v/>
      </c>
      <c r="P83" s="13">
        <f>P72+P74+P75+P76+P79+P82</f>
        <v/>
      </c>
      <c r="Q83" s="13">
        <f>Q72+Q74+Q75+Q76+Q79+Q82</f>
        <v/>
      </c>
      <c r="R83" s="13">
        <f>R72+R74+R75+R76+R79+R82</f>
        <v/>
      </c>
      <c r="S83" s="13">
        <f>S72+S74+S75+S76+S79+S82</f>
        <v/>
      </c>
      <c r="T83" s="13">
        <f>T72+T74+T75+T76+T79+T82</f>
        <v/>
      </c>
      <c r="U83" s="13">
        <f>U72+U74+U75+U76+U79+U82</f>
        <v/>
      </c>
      <c r="V83" s="13">
        <f>V72+V74+V75+V76+V79+V82</f>
        <v/>
      </c>
      <c r="W83" s="13">
        <f>W72+W74+W75+W76+W79+W82</f>
        <v/>
      </c>
      <c r="X83" s="13">
        <f>X72+X74+X75+X76+X79+X82</f>
        <v/>
      </c>
      <c r="Y83" s="13">
        <f>Y72+Y74+Y75+Y76+Y79+Y82</f>
        <v/>
      </c>
      <c r="Z83" s="13">
        <f>Z72+Z74+Z75+Z76+Z79+Z82</f>
        <v/>
      </c>
      <c r="AA83" s="13">
        <f>AA72+AA74+AA75+AA76+AA79+AA82</f>
        <v/>
      </c>
      <c r="AB83" s="13">
        <f>AB72+AB74+AB75+AB76+AB79+AB82</f>
        <v/>
      </c>
      <c r="AC83" s="13">
        <f>AC72+AC74+AC75+AC76+AC79+AC82</f>
        <v/>
      </c>
      <c r="AD83" s="13">
        <f>AD72+AD74+AD75+AD76+AD79+AD82</f>
        <v/>
      </c>
      <c r="AE83" s="13">
        <f>AE72+AE74+AE75+AE76+AE79+AE82</f>
        <v/>
      </c>
      <c r="AF83" s="13">
        <f>AF72+AF74+AF75+AF76+AF79+AF82</f>
        <v/>
      </c>
      <c r="AG83" s="13">
        <f>AG72+AG74+AG75+AG76+AG79+AG82</f>
        <v/>
      </c>
      <c r="AH83" s="13">
        <f>AH72+AH74+AH75+AH76+AH79+AH82</f>
        <v/>
      </c>
      <c r="AI83" s="13">
        <f>AI72+AI74+AI75+AI76+AI79+AI82</f>
        <v/>
      </c>
      <c r="AJ83" s="13">
        <f>AJ72+AJ74+AJ75+AJ76+AJ79+AJ82</f>
        <v/>
      </c>
      <c r="AK83" s="13">
        <f>AK72+AK74+AK75+AK76+AK79+AK82</f>
        <v/>
      </c>
      <c r="AL83" s="13">
        <f>AL72+AL74+AL75+AL76+AL79+AL82</f>
        <v/>
      </c>
      <c r="AM83" s="13">
        <f>AM72+AM74+AM75+AM76+AM79+AM82</f>
        <v/>
      </c>
      <c r="AN83" s="13">
        <f>AN72+AN74+AN75+AN76+AN79+AN82</f>
        <v/>
      </c>
      <c r="AO83" s="13">
        <f>AO72+AO74+AO75+AO76+AO79+AO82</f>
        <v/>
      </c>
      <c r="AP83" s="13">
        <f>AP72+AP74+AP75+AP76+AP79+AP82</f>
        <v/>
      </c>
      <c r="AQ83" s="13">
        <f>AQ72+AQ74+AQ75+AQ76+AQ79+AQ82</f>
        <v/>
      </c>
      <c r="AR83" s="13">
        <f>AR72+AR74+AR75+AR76+AR79+AR82</f>
        <v/>
      </c>
      <c r="AS83" s="13">
        <f>AS72+AS74+AS75+AS76+AS79+AS82</f>
        <v/>
      </c>
      <c r="AT83" s="13">
        <f>AT72+AT74+AT75+AT76+AT79+AT82</f>
        <v/>
      </c>
      <c r="AU83" s="13">
        <f>AU72+AU74+AU75+AU76+AU79+AU82</f>
        <v/>
      </c>
      <c r="AV83" s="13">
        <f>AV72+AV74+AV75+AV76+AV79+AV82</f>
        <v/>
      </c>
      <c r="AW83" s="13">
        <f>AW72+AW74+AW75+AW76+AW79+AW82</f>
        <v/>
      </c>
      <c r="AX83" s="13">
        <f>AX72+AX74+AX75+AX76+AX79+AX82</f>
        <v/>
      </c>
      <c r="AY83" s="13">
        <f>AY72+AY74+AY75+AY76+AY79+AY82</f>
        <v/>
      </c>
      <c r="AZ83" s="13">
        <f>AZ72+AZ74+AZ75+AZ76+AZ79+AZ82</f>
        <v/>
      </c>
      <c r="BA83" s="13">
        <f>BA72+BA74+BA75+BA76+BA79+BA82</f>
        <v/>
      </c>
      <c r="BB83" s="13">
        <f>BB72+BB74+BB75+BB76+BB79+BB82</f>
        <v/>
      </c>
      <c r="BC83" s="13">
        <f>BC72+BC74+BC75+BC76+BC79+BC82</f>
        <v/>
      </c>
      <c r="BD83" s="13">
        <f>BD72+BD74+BD75+BD76+BD79+BD82</f>
        <v/>
      </c>
      <c r="BE83" s="13">
        <f>BE72+BE74+BE75+BE76+BE79+BE82</f>
        <v/>
      </c>
      <c r="BF83" s="13">
        <f>BF72+BF74+BF75+BF76+BF79+BF82</f>
        <v/>
      </c>
      <c r="BG83" s="13">
        <f>BG72+BG74+BG75+BG76+BG79+BG82</f>
        <v/>
      </c>
      <c r="BH83" s="13">
        <f>BH72+BH74+BH75+BH76+BH79+BH82</f>
        <v/>
      </c>
      <c r="BI83" s="13">
        <f>BI72+BI74+BI75+BI76+BI79+BI82</f>
        <v/>
      </c>
      <c r="BJ83" s="13">
        <f>BJ72+BJ74+BJ75+BJ76+BJ79+BJ82</f>
        <v/>
      </c>
      <c r="BK83" s="13">
        <f>BK72+BK74+BK75+BK76+BK79+BK82</f>
        <v/>
      </c>
      <c r="BL83" s="13">
        <f>BL72+BL74+BL75+BL76+BL79+BL82</f>
        <v/>
      </c>
      <c r="BM83" s="13">
        <f>BM72+BM74+BM75+BM76+BM79+BM82</f>
        <v/>
      </c>
      <c r="BN83" s="13">
        <f>BN72+BN74+BN75+BN76+BN79+BN82</f>
        <v/>
      </c>
    </row>
    <row r="84">
      <c r="D84" t="inlineStr">
        <is>
          <t>EBITDA</t>
        </is>
      </c>
      <c r="E84" t="inlineStr">
        <is>
          <t>USD m</t>
        </is>
      </c>
      <c r="G84" s="13">
        <f>SUM(J84:BN84)</f>
        <v/>
      </c>
      <c r="J84" s="13">
        <f>J56-J83+J58</f>
        <v/>
      </c>
      <c r="K84" s="13">
        <f>K56-K83+K58</f>
        <v/>
      </c>
      <c r="L84" s="13">
        <f>L56-L83+L58</f>
        <v/>
      </c>
      <c r="M84" s="13">
        <f>M56-M83+M58</f>
        <v/>
      </c>
      <c r="N84" s="13">
        <f>N56-N83+N58</f>
        <v/>
      </c>
      <c r="O84" s="13">
        <f>O56-O83+O58</f>
        <v/>
      </c>
      <c r="P84" s="13">
        <f>P56-P83+P58</f>
        <v/>
      </c>
      <c r="Q84" s="13">
        <f>Q56-Q83+Q58</f>
        <v/>
      </c>
      <c r="R84" s="13">
        <f>R56-R83+R58</f>
        <v/>
      </c>
      <c r="S84" s="13">
        <f>S56-S83+S58</f>
        <v/>
      </c>
      <c r="T84" s="13">
        <f>T56-T83+T58</f>
        <v/>
      </c>
      <c r="U84" s="13">
        <f>U56-U83+U58</f>
        <v/>
      </c>
      <c r="V84" s="13">
        <f>V56-V83+V58</f>
        <v/>
      </c>
      <c r="W84" s="13">
        <f>W56-W83+W58</f>
        <v/>
      </c>
      <c r="X84" s="13">
        <f>X56-X83+X58</f>
        <v/>
      </c>
      <c r="Y84" s="13">
        <f>Y56-Y83+Y58</f>
        <v/>
      </c>
      <c r="Z84" s="13">
        <f>Z56-Z83+Z58</f>
        <v/>
      </c>
      <c r="AA84" s="13">
        <f>AA56-AA83+AA58</f>
        <v/>
      </c>
      <c r="AB84" s="13">
        <f>AB56-AB83+AB58</f>
        <v/>
      </c>
      <c r="AC84" s="13">
        <f>AC56-AC83+AC58</f>
        <v/>
      </c>
      <c r="AD84" s="13">
        <f>AD56-AD83+AD58</f>
        <v/>
      </c>
      <c r="AE84" s="13">
        <f>AE56-AE83+AE58</f>
        <v/>
      </c>
      <c r="AF84" s="13">
        <f>AF56-AF83+AF58</f>
        <v/>
      </c>
      <c r="AG84" s="13">
        <f>AG56-AG83+AG58</f>
        <v/>
      </c>
      <c r="AH84" s="13">
        <f>AH56-AH83+AH58</f>
        <v/>
      </c>
      <c r="AI84" s="13">
        <f>AI56-AI83+AI58</f>
        <v/>
      </c>
      <c r="AJ84" s="13">
        <f>AJ56-AJ83+AJ58</f>
        <v/>
      </c>
      <c r="AK84" s="13">
        <f>AK56-AK83+AK58</f>
        <v/>
      </c>
      <c r="AL84" s="13">
        <f>AL56-AL83+AL58</f>
        <v/>
      </c>
      <c r="AM84" s="13">
        <f>AM56-AM83+AM58</f>
        <v/>
      </c>
      <c r="AN84" s="13">
        <f>AN56-AN83+AN58</f>
        <v/>
      </c>
      <c r="AO84" s="13">
        <f>AO56-AO83+AO58</f>
        <v/>
      </c>
      <c r="AP84" s="13">
        <f>AP56-AP83+AP58</f>
        <v/>
      </c>
      <c r="AQ84" s="13">
        <f>AQ56-AQ83+AQ58</f>
        <v/>
      </c>
      <c r="AR84" s="13">
        <f>AR56-AR83+AR58</f>
        <v/>
      </c>
      <c r="AS84" s="13">
        <f>AS56-AS83+AS58</f>
        <v/>
      </c>
      <c r="AT84" s="13">
        <f>AT56-AT83+AT58</f>
        <v/>
      </c>
      <c r="AU84" s="13">
        <f>AU56-AU83+AU58</f>
        <v/>
      </c>
      <c r="AV84" s="13">
        <f>AV56-AV83+AV58</f>
        <v/>
      </c>
      <c r="AW84" s="13">
        <f>AW56-AW83+AW58</f>
        <v/>
      </c>
      <c r="AX84" s="13">
        <f>AX56-AX83+AX58</f>
        <v/>
      </c>
      <c r="AY84" s="13">
        <f>AY56-AY83+AY58</f>
        <v/>
      </c>
      <c r="AZ84" s="13">
        <f>AZ56-AZ83+AZ58</f>
        <v/>
      </c>
      <c r="BA84" s="13">
        <f>BA56-BA83+BA58</f>
        <v/>
      </c>
      <c r="BB84" s="13">
        <f>BB56-BB83+BB58</f>
        <v/>
      </c>
      <c r="BC84" s="13">
        <f>BC56-BC83+BC58</f>
        <v/>
      </c>
      <c r="BD84" s="13">
        <f>BD56-BD83+BD58</f>
        <v/>
      </c>
      <c r="BE84" s="13">
        <f>BE56-BE83+BE58</f>
        <v/>
      </c>
      <c r="BF84" s="13">
        <f>BF56-BF83+BF58</f>
        <v/>
      </c>
      <c r="BG84" s="13">
        <f>BG56-BG83+BG58</f>
        <v/>
      </c>
      <c r="BH84" s="13">
        <f>BH56-BH83+BH58</f>
        <v/>
      </c>
      <c r="BI84" s="13">
        <f>BI56-BI83+BI58</f>
        <v/>
      </c>
      <c r="BJ84" s="13">
        <f>BJ56-BJ83+BJ58</f>
        <v/>
      </c>
      <c r="BK84" s="13">
        <f>BK56-BK83+BK58</f>
        <v/>
      </c>
      <c r="BL84" s="13">
        <f>BL56-BL83+BL58</f>
        <v/>
      </c>
      <c r="BM84" s="13">
        <f>BM56-BM83+BM58</f>
        <v/>
      </c>
      <c r="BN84" s="13">
        <f>BN56-BN83+BN58</f>
        <v/>
      </c>
    </row>
    <row r="85">
      <c r="B85" s="2" t="inlineStr">
        <is>
          <t>Working capital (USD m, period-end balances)</t>
        </is>
      </c>
    </row>
    <row r="86">
      <c r="D86" t="inlineStr">
        <is>
          <t>Flag: final operating period or later (working capital unwinds)</t>
        </is>
      </c>
      <c r="E86" t="inlineStr">
        <is>
          <t>flag</t>
        </is>
      </c>
      <c r="J86" s="10">
        <f>IF(Time!J20&gt;=Time!$F$15,1,0)</f>
        <v/>
      </c>
      <c r="K86" s="10">
        <f>IF(Time!K20&gt;=Time!$F$15,1,0)</f>
        <v/>
      </c>
      <c r="L86" s="10">
        <f>IF(Time!L20&gt;=Time!$F$15,1,0)</f>
        <v/>
      </c>
      <c r="M86" s="10">
        <f>IF(Time!M20&gt;=Time!$F$15,1,0)</f>
        <v/>
      </c>
      <c r="N86" s="10">
        <f>IF(Time!N20&gt;=Time!$F$15,1,0)</f>
        <v/>
      </c>
      <c r="O86" s="10">
        <f>IF(Time!O20&gt;=Time!$F$15,1,0)</f>
        <v/>
      </c>
      <c r="P86" s="10">
        <f>IF(Time!P20&gt;=Time!$F$15,1,0)</f>
        <v/>
      </c>
      <c r="Q86" s="10">
        <f>IF(Time!Q20&gt;=Time!$F$15,1,0)</f>
        <v/>
      </c>
      <c r="R86" s="10">
        <f>IF(Time!R20&gt;=Time!$F$15,1,0)</f>
        <v/>
      </c>
      <c r="S86" s="10">
        <f>IF(Time!S20&gt;=Time!$F$15,1,0)</f>
        <v/>
      </c>
      <c r="T86" s="10">
        <f>IF(Time!T20&gt;=Time!$F$15,1,0)</f>
        <v/>
      </c>
      <c r="U86" s="10">
        <f>IF(Time!U20&gt;=Time!$F$15,1,0)</f>
        <v/>
      </c>
      <c r="V86" s="10">
        <f>IF(Time!V20&gt;=Time!$F$15,1,0)</f>
        <v/>
      </c>
      <c r="W86" s="10">
        <f>IF(Time!W20&gt;=Time!$F$15,1,0)</f>
        <v/>
      </c>
      <c r="X86" s="10">
        <f>IF(Time!X20&gt;=Time!$F$15,1,0)</f>
        <v/>
      </c>
      <c r="Y86" s="10">
        <f>IF(Time!Y20&gt;=Time!$F$15,1,0)</f>
        <v/>
      </c>
      <c r="Z86" s="10">
        <f>IF(Time!Z20&gt;=Time!$F$15,1,0)</f>
        <v/>
      </c>
      <c r="AA86" s="10">
        <f>IF(Time!AA20&gt;=Time!$F$15,1,0)</f>
        <v/>
      </c>
      <c r="AB86" s="10">
        <f>IF(Time!AB20&gt;=Time!$F$15,1,0)</f>
        <v/>
      </c>
      <c r="AC86" s="10">
        <f>IF(Time!AC20&gt;=Time!$F$15,1,0)</f>
        <v/>
      </c>
      <c r="AD86" s="10">
        <f>IF(Time!AD20&gt;=Time!$F$15,1,0)</f>
        <v/>
      </c>
      <c r="AE86" s="10">
        <f>IF(Time!AE20&gt;=Time!$F$15,1,0)</f>
        <v/>
      </c>
      <c r="AF86" s="10">
        <f>IF(Time!AF20&gt;=Time!$F$15,1,0)</f>
        <v/>
      </c>
      <c r="AG86" s="10">
        <f>IF(Time!AG20&gt;=Time!$F$15,1,0)</f>
        <v/>
      </c>
      <c r="AH86" s="10">
        <f>IF(Time!AH20&gt;=Time!$F$15,1,0)</f>
        <v/>
      </c>
      <c r="AI86" s="10">
        <f>IF(Time!AI20&gt;=Time!$F$15,1,0)</f>
        <v/>
      </c>
      <c r="AJ86" s="10">
        <f>IF(Time!AJ20&gt;=Time!$F$15,1,0)</f>
        <v/>
      </c>
      <c r="AK86" s="10">
        <f>IF(Time!AK20&gt;=Time!$F$15,1,0)</f>
        <v/>
      </c>
      <c r="AL86" s="10">
        <f>IF(Time!AL20&gt;=Time!$F$15,1,0)</f>
        <v/>
      </c>
      <c r="AM86" s="10">
        <f>IF(Time!AM20&gt;=Time!$F$15,1,0)</f>
        <v/>
      </c>
      <c r="AN86" s="10">
        <f>IF(Time!AN20&gt;=Time!$F$15,1,0)</f>
        <v/>
      </c>
      <c r="AO86" s="10">
        <f>IF(Time!AO20&gt;=Time!$F$15,1,0)</f>
        <v/>
      </c>
      <c r="AP86" s="10">
        <f>IF(Time!AP20&gt;=Time!$F$15,1,0)</f>
        <v/>
      </c>
      <c r="AQ86" s="10">
        <f>IF(Time!AQ20&gt;=Time!$F$15,1,0)</f>
        <v/>
      </c>
      <c r="AR86" s="10">
        <f>IF(Time!AR20&gt;=Time!$F$15,1,0)</f>
        <v/>
      </c>
      <c r="AS86" s="10">
        <f>IF(Time!AS20&gt;=Time!$F$15,1,0)</f>
        <v/>
      </c>
      <c r="AT86" s="10">
        <f>IF(Time!AT20&gt;=Time!$F$15,1,0)</f>
        <v/>
      </c>
      <c r="AU86" s="10">
        <f>IF(Time!AU20&gt;=Time!$F$15,1,0)</f>
        <v/>
      </c>
      <c r="AV86" s="10">
        <f>IF(Time!AV20&gt;=Time!$F$15,1,0)</f>
        <v/>
      </c>
      <c r="AW86" s="10">
        <f>IF(Time!AW20&gt;=Time!$F$15,1,0)</f>
        <v/>
      </c>
      <c r="AX86" s="10">
        <f>IF(Time!AX20&gt;=Time!$F$15,1,0)</f>
        <v/>
      </c>
      <c r="AY86" s="10">
        <f>IF(Time!AY20&gt;=Time!$F$15,1,0)</f>
        <v/>
      </c>
      <c r="AZ86" s="10">
        <f>IF(Time!AZ20&gt;=Time!$F$15,1,0)</f>
        <v/>
      </c>
      <c r="BA86" s="10">
        <f>IF(Time!BA20&gt;=Time!$F$15,1,0)</f>
        <v/>
      </c>
      <c r="BB86" s="10">
        <f>IF(Time!BB20&gt;=Time!$F$15,1,0)</f>
        <v/>
      </c>
      <c r="BC86" s="10">
        <f>IF(Time!BC20&gt;=Time!$F$15,1,0)</f>
        <v/>
      </c>
      <c r="BD86" s="10">
        <f>IF(Time!BD20&gt;=Time!$F$15,1,0)</f>
        <v/>
      </c>
      <c r="BE86" s="10">
        <f>IF(Time!BE20&gt;=Time!$F$15,1,0)</f>
        <v/>
      </c>
      <c r="BF86" s="10">
        <f>IF(Time!BF20&gt;=Time!$F$15,1,0)</f>
        <v/>
      </c>
      <c r="BG86" s="10">
        <f>IF(Time!BG20&gt;=Time!$F$15,1,0)</f>
        <v/>
      </c>
      <c r="BH86" s="10">
        <f>IF(Time!BH20&gt;=Time!$F$15,1,0)</f>
        <v/>
      </c>
      <c r="BI86" s="10">
        <f>IF(Time!BI20&gt;=Time!$F$15,1,0)</f>
        <v/>
      </c>
      <c r="BJ86" s="10">
        <f>IF(Time!BJ20&gt;=Time!$F$15,1,0)</f>
        <v/>
      </c>
      <c r="BK86" s="10">
        <f>IF(Time!BK20&gt;=Time!$F$15,1,0)</f>
        <v/>
      </c>
      <c r="BL86" s="10">
        <f>IF(Time!BL20&gt;=Time!$F$15,1,0)</f>
        <v/>
      </c>
      <c r="BM86" s="10">
        <f>IF(Time!BM20&gt;=Time!$F$15,1,0)</f>
        <v/>
      </c>
      <c r="BN86" s="10">
        <f>IF(Time!BN20&gt;=Time!$F$15,1,0)</f>
        <v/>
      </c>
    </row>
    <row r="87">
      <c r="D87" t="inlineStr">
        <is>
          <t>Extra receivable days on capacity and VOM (sensitivities)</t>
        </is>
      </c>
      <c r="E87" t="inlineStr">
        <is>
          <t>days</t>
        </is>
      </c>
      <c r="J87" s="10">
        <f>Inputs!$F$44*Time!J38</f>
        <v/>
      </c>
      <c r="K87" s="10">
        <f>Inputs!$F$44*Time!K38</f>
        <v/>
      </c>
      <c r="L87" s="10">
        <f>Inputs!$F$44*Time!L38</f>
        <v/>
      </c>
      <c r="M87" s="10">
        <f>Inputs!$F$44*Time!M38</f>
        <v/>
      </c>
      <c r="N87" s="10">
        <f>Inputs!$F$44*Time!N38</f>
        <v/>
      </c>
      <c r="O87" s="10">
        <f>Inputs!$F$44*Time!O38</f>
        <v/>
      </c>
      <c r="P87" s="10">
        <f>Inputs!$F$44*Time!P38</f>
        <v/>
      </c>
      <c r="Q87" s="10">
        <f>Inputs!$F$44*Time!Q38</f>
        <v/>
      </c>
      <c r="R87" s="10">
        <f>Inputs!$F$44*Time!R38</f>
        <v/>
      </c>
      <c r="S87" s="10">
        <f>Inputs!$F$44*Time!S38</f>
        <v/>
      </c>
      <c r="T87" s="10">
        <f>Inputs!$F$44*Time!T38</f>
        <v/>
      </c>
      <c r="U87" s="10">
        <f>Inputs!$F$44*Time!U38</f>
        <v/>
      </c>
      <c r="V87" s="10">
        <f>Inputs!$F$44*Time!V38</f>
        <v/>
      </c>
      <c r="W87" s="10">
        <f>Inputs!$F$44*Time!W38</f>
        <v/>
      </c>
      <c r="X87" s="10">
        <f>Inputs!$F$44*Time!X38</f>
        <v/>
      </c>
      <c r="Y87" s="10">
        <f>Inputs!$F$44*Time!Y38</f>
        <v/>
      </c>
      <c r="Z87" s="10">
        <f>Inputs!$F$44*Time!Z38</f>
        <v/>
      </c>
      <c r="AA87" s="10">
        <f>Inputs!$F$44*Time!AA38</f>
        <v/>
      </c>
      <c r="AB87" s="10">
        <f>Inputs!$F$44*Time!AB38</f>
        <v/>
      </c>
      <c r="AC87" s="10">
        <f>Inputs!$F$44*Time!AC38</f>
        <v/>
      </c>
      <c r="AD87" s="10">
        <f>Inputs!$F$44*Time!AD38</f>
        <v/>
      </c>
      <c r="AE87" s="10">
        <f>Inputs!$F$44*Time!AE38</f>
        <v/>
      </c>
      <c r="AF87" s="10">
        <f>Inputs!$F$44*Time!AF38</f>
        <v/>
      </c>
      <c r="AG87" s="10">
        <f>Inputs!$F$44*Time!AG38</f>
        <v/>
      </c>
      <c r="AH87" s="10">
        <f>Inputs!$F$44*Time!AH38</f>
        <v/>
      </c>
      <c r="AI87" s="10">
        <f>Inputs!$F$44*Time!AI38</f>
        <v/>
      </c>
      <c r="AJ87" s="10">
        <f>Inputs!$F$44*Time!AJ38</f>
        <v/>
      </c>
      <c r="AK87" s="10">
        <f>Inputs!$F$44*Time!AK38</f>
        <v/>
      </c>
      <c r="AL87" s="10">
        <f>Inputs!$F$44*Time!AL38</f>
        <v/>
      </c>
      <c r="AM87" s="10">
        <f>Inputs!$F$44*Time!AM38</f>
        <v/>
      </c>
      <c r="AN87" s="10">
        <f>Inputs!$F$44*Time!AN38</f>
        <v/>
      </c>
      <c r="AO87" s="10">
        <f>Inputs!$F$44*Time!AO38</f>
        <v/>
      </c>
      <c r="AP87" s="10">
        <f>Inputs!$F$44*Time!AP38</f>
        <v/>
      </c>
      <c r="AQ87" s="10">
        <f>Inputs!$F$44*Time!AQ38</f>
        <v/>
      </c>
      <c r="AR87" s="10">
        <f>Inputs!$F$44*Time!AR38</f>
        <v/>
      </c>
      <c r="AS87" s="10">
        <f>Inputs!$F$44*Time!AS38</f>
        <v/>
      </c>
      <c r="AT87" s="10">
        <f>Inputs!$F$44*Time!AT38</f>
        <v/>
      </c>
      <c r="AU87" s="10">
        <f>Inputs!$F$44*Time!AU38</f>
        <v/>
      </c>
      <c r="AV87" s="10">
        <f>Inputs!$F$44*Time!AV38</f>
        <v/>
      </c>
      <c r="AW87" s="10">
        <f>Inputs!$F$44*Time!AW38</f>
        <v/>
      </c>
      <c r="AX87" s="10">
        <f>Inputs!$F$44*Time!AX38</f>
        <v/>
      </c>
      <c r="AY87" s="10">
        <f>Inputs!$F$44*Time!AY38</f>
        <v/>
      </c>
      <c r="AZ87" s="10">
        <f>Inputs!$F$44*Time!AZ38</f>
        <v/>
      </c>
      <c r="BA87" s="10">
        <f>Inputs!$F$44*Time!BA38</f>
        <v/>
      </c>
      <c r="BB87" s="10">
        <f>Inputs!$F$44*Time!BB38</f>
        <v/>
      </c>
      <c r="BC87" s="10">
        <f>Inputs!$F$44*Time!BC38</f>
        <v/>
      </c>
      <c r="BD87" s="10">
        <f>Inputs!$F$44*Time!BD38</f>
        <v/>
      </c>
      <c r="BE87" s="10">
        <f>Inputs!$F$44*Time!BE38</f>
        <v/>
      </c>
      <c r="BF87" s="10">
        <f>Inputs!$F$44*Time!BF38</f>
        <v/>
      </c>
      <c r="BG87" s="10">
        <f>Inputs!$F$44*Time!BG38</f>
        <v/>
      </c>
      <c r="BH87" s="10">
        <f>Inputs!$F$44*Time!BH38</f>
        <v/>
      </c>
      <c r="BI87" s="10">
        <f>Inputs!$F$44*Time!BI38</f>
        <v/>
      </c>
      <c r="BJ87" s="10">
        <f>Inputs!$F$44*Time!BJ38</f>
        <v/>
      </c>
      <c r="BK87" s="10">
        <f>Inputs!$F$44*Time!BK38</f>
        <v/>
      </c>
      <c r="BL87" s="10">
        <f>Inputs!$F$44*Time!BL38</f>
        <v/>
      </c>
      <c r="BM87" s="10">
        <f>Inputs!$F$44*Time!BM38</f>
        <v/>
      </c>
      <c r="BN87" s="10">
        <f>Inputs!$F$44*Time!BN38</f>
        <v/>
      </c>
    </row>
    <row r="88">
      <c r="D88" t="inlineStr">
        <is>
          <t>Trade receivables (normal terms)</t>
        </is>
      </c>
      <c r="E88" t="inlineStr">
        <is>
          <t>USD m</t>
        </is>
      </c>
      <c r="J88" s="13">
        <f>(1-J86)*(J56/MAX(Time!J31,1)*Inputs!$F$168+J55/MAX(Time!J31,1)*J87)</f>
        <v/>
      </c>
      <c r="K88" s="13">
        <f>(1-K86)*(K56/MAX(Time!K31,1)*Inputs!$F$168+K55/MAX(Time!K31,1)*K87)</f>
        <v/>
      </c>
      <c r="L88" s="13">
        <f>(1-L86)*(L56/MAX(Time!L31,1)*Inputs!$F$168+L55/MAX(Time!L31,1)*L87)</f>
        <v/>
      </c>
      <c r="M88" s="13">
        <f>(1-M86)*(M56/MAX(Time!M31,1)*Inputs!$F$168+M55/MAX(Time!M31,1)*M87)</f>
        <v/>
      </c>
      <c r="N88" s="13">
        <f>(1-N86)*(N56/MAX(Time!N31,1)*Inputs!$F$168+N55/MAX(Time!N31,1)*N87)</f>
        <v/>
      </c>
      <c r="O88" s="13">
        <f>(1-O86)*(O56/MAX(Time!O31,1)*Inputs!$F$168+O55/MAX(Time!O31,1)*O87)</f>
        <v/>
      </c>
      <c r="P88" s="13">
        <f>(1-P86)*(P56/MAX(Time!P31,1)*Inputs!$F$168+P55/MAX(Time!P31,1)*P87)</f>
        <v/>
      </c>
      <c r="Q88" s="13">
        <f>(1-Q86)*(Q56/MAX(Time!Q31,1)*Inputs!$F$168+Q55/MAX(Time!Q31,1)*Q87)</f>
        <v/>
      </c>
      <c r="R88" s="13">
        <f>(1-R86)*(R56/MAX(Time!R31,1)*Inputs!$F$168+R55/MAX(Time!R31,1)*R87)</f>
        <v/>
      </c>
      <c r="S88" s="13">
        <f>(1-S86)*(S56/MAX(Time!S31,1)*Inputs!$F$168+S55/MAX(Time!S31,1)*S87)</f>
        <v/>
      </c>
      <c r="T88" s="13">
        <f>(1-T86)*(T56/MAX(Time!T31,1)*Inputs!$F$168+T55/MAX(Time!T31,1)*T87)</f>
        <v/>
      </c>
      <c r="U88" s="13">
        <f>(1-U86)*(U56/MAX(Time!U31,1)*Inputs!$F$168+U55/MAX(Time!U31,1)*U87)</f>
        <v/>
      </c>
      <c r="V88" s="13">
        <f>(1-V86)*(V56/MAX(Time!V31,1)*Inputs!$F$168+V55/MAX(Time!V31,1)*V87)</f>
        <v/>
      </c>
      <c r="W88" s="13">
        <f>(1-W86)*(W56/MAX(Time!W31,1)*Inputs!$F$168+W55/MAX(Time!W31,1)*W87)</f>
        <v/>
      </c>
      <c r="X88" s="13">
        <f>(1-X86)*(X56/MAX(Time!X31,1)*Inputs!$F$168+X55/MAX(Time!X31,1)*X87)</f>
        <v/>
      </c>
      <c r="Y88" s="13">
        <f>(1-Y86)*(Y56/MAX(Time!Y31,1)*Inputs!$F$168+Y55/MAX(Time!Y31,1)*Y87)</f>
        <v/>
      </c>
      <c r="Z88" s="13">
        <f>(1-Z86)*(Z56/MAX(Time!Z31,1)*Inputs!$F$168+Z55/MAX(Time!Z31,1)*Z87)</f>
        <v/>
      </c>
      <c r="AA88" s="13">
        <f>(1-AA86)*(AA56/MAX(Time!AA31,1)*Inputs!$F$168+AA55/MAX(Time!AA31,1)*AA87)</f>
        <v/>
      </c>
      <c r="AB88" s="13">
        <f>(1-AB86)*(AB56/MAX(Time!AB31,1)*Inputs!$F$168+AB55/MAX(Time!AB31,1)*AB87)</f>
        <v/>
      </c>
      <c r="AC88" s="13">
        <f>(1-AC86)*(AC56/MAX(Time!AC31,1)*Inputs!$F$168+AC55/MAX(Time!AC31,1)*AC87)</f>
        <v/>
      </c>
      <c r="AD88" s="13">
        <f>(1-AD86)*(AD56/MAX(Time!AD31,1)*Inputs!$F$168+AD55/MAX(Time!AD31,1)*AD87)</f>
        <v/>
      </c>
      <c r="AE88" s="13">
        <f>(1-AE86)*(AE56/MAX(Time!AE31,1)*Inputs!$F$168+AE55/MAX(Time!AE31,1)*AE87)</f>
        <v/>
      </c>
      <c r="AF88" s="13">
        <f>(1-AF86)*(AF56/MAX(Time!AF31,1)*Inputs!$F$168+AF55/MAX(Time!AF31,1)*AF87)</f>
        <v/>
      </c>
      <c r="AG88" s="13">
        <f>(1-AG86)*(AG56/MAX(Time!AG31,1)*Inputs!$F$168+AG55/MAX(Time!AG31,1)*AG87)</f>
        <v/>
      </c>
      <c r="AH88" s="13">
        <f>(1-AH86)*(AH56/MAX(Time!AH31,1)*Inputs!$F$168+AH55/MAX(Time!AH31,1)*AH87)</f>
        <v/>
      </c>
      <c r="AI88" s="13">
        <f>(1-AI86)*(AI56/MAX(Time!AI31,1)*Inputs!$F$168+AI55/MAX(Time!AI31,1)*AI87)</f>
        <v/>
      </c>
      <c r="AJ88" s="13">
        <f>(1-AJ86)*(AJ56/MAX(Time!AJ31,1)*Inputs!$F$168+AJ55/MAX(Time!AJ31,1)*AJ87)</f>
        <v/>
      </c>
      <c r="AK88" s="13">
        <f>(1-AK86)*(AK56/MAX(Time!AK31,1)*Inputs!$F$168+AK55/MAX(Time!AK31,1)*AK87)</f>
        <v/>
      </c>
      <c r="AL88" s="13">
        <f>(1-AL86)*(AL56/MAX(Time!AL31,1)*Inputs!$F$168+AL55/MAX(Time!AL31,1)*AL87)</f>
        <v/>
      </c>
      <c r="AM88" s="13">
        <f>(1-AM86)*(AM56/MAX(Time!AM31,1)*Inputs!$F$168+AM55/MAX(Time!AM31,1)*AM87)</f>
        <v/>
      </c>
      <c r="AN88" s="13">
        <f>(1-AN86)*(AN56/MAX(Time!AN31,1)*Inputs!$F$168+AN55/MAX(Time!AN31,1)*AN87)</f>
        <v/>
      </c>
      <c r="AO88" s="13">
        <f>(1-AO86)*(AO56/MAX(Time!AO31,1)*Inputs!$F$168+AO55/MAX(Time!AO31,1)*AO87)</f>
        <v/>
      </c>
      <c r="AP88" s="13">
        <f>(1-AP86)*(AP56/MAX(Time!AP31,1)*Inputs!$F$168+AP55/MAX(Time!AP31,1)*AP87)</f>
        <v/>
      </c>
      <c r="AQ88" s="13">
        <f>(1-AQ86)*(AQ56/MAX(Time!AQ31,1)*Inputs!$F$168+AQ55/MAX(Time!AQ31,1)*AQ87)</f>
        <v/>
      </c>
      <c r="AR88" s="13">
        <f>(1-AR86)*(AR56/MAX(Time!AR31,1)*Inputs!$F$168+AR55/MAX(Time!AR31,1)*AR87)</f>
        <v/>
      </c>
      <c r="AS88" s="13">
        <f>(1-AS86)*(AS56/MAX(Time!AS31,1)*Inputs!$F$168+AS55/MAX(Time!AS31,1)*AS87)</f>
        <v/>
      </c>
      <c r="AT88" s="13">
        <f>(1-AT86)*(AT56/MAX(Time!AT31,1)*Inputs!$F$168+AT55/MAX(Time!AT31,1)*AT87)</f>
        <v/>
      </c>
      <c r="AU88" s="13">
        <f>(1-AU86)*(AU56/MAX(Time!AU31,1)*Inputs!$F$168+AU55/MAX(Time!AU31,1)*AU87)</f>
        <v/>
      </c>
      <c r="AV88" s="13">
        <f>(1-AV86)*(AV56/MAX(Time!AV31,1)*Inputs!$F$168+AV55/MAX(Time!AV31,1)*AV87)</f>
        <v/>
      </c>
      <c r="AW88" s="13">
        <f>(1-AW86)*(AW56/MAX(Time!AW31,1)*Inputs!$F$168+AW55/MAX(Time!AW31,1)*AW87)</f>
        <v/>
      </c>
      <c r="AX88" s="13">
        <f>(1-AX86)*(AX56/MAX(Time!AX31,1)*Inputs!$F$168+AX55/MAX(Time!AX31,1)*AX87)</f>
        <v/>
      </c>
      <c r="AY88" s="13">
        <f>(1-AY86)*(AY56/MAX(Time!AY31,1)*Inputs!$F$168+AY55/MAX(Time!AY31,1)*AY87)</f>
        <v/>
      </c>
      <c r="AZ88" s="13">
        <f>(1-AZ86)*(AZ56/MAX(Time!AZ31,1)*Inputs!$F$168+AZ55/MAX(Time!AZ31,1)*AZ87)</f>
        <v/>
      </c>
      <c r="BA88" s="13">
        <f>(1-BA86)*(BA56/MAX(Time!BA31,1)*Inputs!$F$168+BA55/MAX(Time!BA31,1)*BA87)</f>
        <v/>
      </c>
      <c r="BB88" s="13">
        <f>(1-BB86)*(BB56/MAX(Time!BB31,1)*Inputs!$F$168+BB55/MAX(Time!BB31,1)*BB87)</f>
        <v/>
      </c>
      <c r="BC88" s="13">
        <f>(1-BC86)*(BC56/MAX(Time!BC31,1)*Inputs!$F$168+BC55/MAX(Time!BC31,1)*BC87)</f>
        <v/>
      </c>
      <c r="BD88" s="13">
        <f>(1-BD86)*(BD56/MAX(Time!BD31,1)*Inputs!$F$168+BD55/MAX(Time!BD31,1)*BD87)</f>
        <v/>
      </c>
      <c r="BE88" s="13">
        <f>(1-BE86)*(BE56/MAX(Time!BE31,1)*Inputs!$F$168+BE55/MAX(Time!BE31,1)*BE87)</f>
        <v/>
      </c>
      <c r="BF88" s="13">
        <f>(1-BF86)*(BF56/MAX(Time!BF31,1)*Inputs!$F$168+BF55/MAX(Time!BF31,1)*BF87)</f>
        <v/>
      </c>
      <c r="BG88" s="13">
        <f>(1-BG86)*(BG56/MAX(Time!BG31,1)*Inputs!$F$168+BG55/MAX(Time!BG31,1)*BG87)</f>
        <v/>
      </c>
      <c r="BH88" s="13">
        <f>(1-BH86)*(BH56/MAX(Time!BH31,1)*Inputs!$F$168+BH55/MAX(Time!BH31,1)*BH87)</f>
        <v/>
      </c>
      <c r="BI88" s="13">
        <f>(1-BI86)*(BI56/MAX(Time!BI31,1)*Inputs!$F$168+BI55/MAX(Time!BI31,1)*BI87)</f>
        <v/>
      </c>
      <c r="BJ88" s="13">
        <f>(1-BJ86)*(BJ56/MAX(Time!BJ31,1)*Inputs!$F$168+BJ55/MAX(Time!BJ31,1)*BJ87)</f>
        <v/>
      </c>
      <c r="BK88" s="13">
        <f>(1-BK86)*(BK56/MAX(Time!BK31,1)*Inputs!$F$168+BK55/MAX(Time!BK31,1)*BK87)</f>
        <v/>
      </c>
      <c r="BL88" s="13">
        <f>(1-BL86)*(BL56/MAX(Time!BL31,1)*Inputs!$F$168+BL55/MAX(Time!BL31,1)*BL87)</f>
        <v/>
      </c>
      <c r="BM88" s="13">
        <f>(1-BM86)*(BM56/MAX(Time!BM31,1)*Inputs!$F$168+BM55/MAX(Time!BM31,1)*BM87)</f>
        <v/>
      </c>
      <c r="BN88" s="13">
        <f>(1-BN86)*(BN56/MAX(Time!BN31,1)*Inputs!$F$168+BN55/MAX(Time!BN31,1)*BN87)</f>
        <v/>
      </c>
    </row>
    <row r="89">
      <c r="D89" t="inlineStr">
        <is>
          <t>SEKA overdue receivables</t>
        </is>
      </c>
      <c r="E89" t="inlineStr">
        <is>
          <t>USD m</t>
        </is>
      </c>
      <c r="J89" s="13">
        <f>Inputs!$F$45*Inputs!J295</f>
        <v/>
      </c>
      <c r="K89" s="13">
        <f>Inputs!$F$45*Inputs!K295</f>
        <v/>
      </c>
      <c r="L89" s="13">
        <f>Inputs!$F$45*Inputs!L295</f>
        <v/>
      </c>
      <c r="M89" s="13">
        <f>Inputs!$F$45*Inputs!M295</f>
        <v/>
      </c>
      <c r="N89" s="13">
        <f>Inputs!$F$45*Inputs!N295</f>
        <v/>
      </c>
      <c r="O89" s="13">
        <f>Inputs!$F$45*Inputs!O295</f>
        <v/>
      </c>
      <c r="P89" s="13">
        <f>Inputs!$F$45*Inputs!P295</f>
        <v/>
      </c>
      <c r="Q89" s="13">
        <f>Inputs!$F$45*Inputs!Q295</f>
        <v/>
      </c>
      <c r="R89" s="13">
        <f>Inputs!$F$45*Inputs!R295</f>
        <v/>
      </c>
      <c r="S89" s="13">
        <f>Inputs!$F$45*Inputs!S295</f>
        <v/>
      </c>
      <c r="T89" s="13">
        <f>Inputs!$F$45*Inputs!T295</f>
        <v/>
      </c>
      <c r="U89" s="13">
        <f>Inputs!$F$45*Inputs!U295</f>
        <v/>
      </c>
      <c r="V89" s="13">
        <f>Inputs!$F$45*Inputs!V295</f>
        <v/>
      </c>
      <c r="W89" s="13">
        <f>Inputs!$F$45*Inputs!W295</f>
        <v/>
      </c>
      <c r="X89" s="13">
        <f>Inputs!$F$45*Inputs!X295</f>
        <v/>
      </c>
      <c r="Y89" s="13">
        <f>Inputs!$F$45*Inputs!Y295</f>
        <v/>
      </c>
      <c r="Z89" s="13">
        <f>Inputs!$F$45*Inputs!Z295</f>
        <v/>
      </c>
      <c r="AA89" s="13">
        <f>Inputs!$F$45*Inputs!AA295</f>
        <v/>
      </c>
      <c r="AB89" s="13">
        <f>Inputs!$F$45*Inputs!AB295</f>
        <v/>
      </c>
      <c r="AC89" s="13">
        <f>Inputs!$F$45*Inputs!AC295</f>
        <v/>
      </c>
      <c r="AD89" s="13">
        <f>Inputs!$F$45*Inputs!AD295</f>
        <v/>
      </c>
      <c r="AE89" s="13">
        <f>Inputs!$F$45*Inputs!AE295</f>
        <v/>
      </c>
      <c r="AF89" s="13">
        <f>Inputs!$F$45*Inputs!AF295</f>
        <v/>
      </c>
      <c r="AG89" s="13">
        <f>Inputs!$F$45*Inputs!AG295</f>
        <v/>
      </c>
      <c r="AH89" s="13">
        <f>Inputs!$F$45*Inputs!AH295</f>
        <v/>
      </c>
      <c r="AI89" s="13">
        <f>Inputs!$F$45*Inputs!AI295</f>
        <v/>
      </c>
      <c r="AJ89" s="13">
        <f>Inputs!$F$45*Inputs!AJ295</f>
        <v/>
      </c>
      <c r="AK89" s="13">
        <f>Inputs!$F$45*Inputs!AK295</f>
        <v/>
      </c>
      <c r="AL89" s="13">
        <f>Inputs!$F$45*Inputs!AL295</f>
        <v/>
      </c>
      <c r="AM89" s="13">
        <f>Inputs!$F$45*Inputs!AM295</f>
        <v/>
      </c>
      <c r="AN89" s="13">
        <f>Inputs!$F$45*Inputs!AN295</f>
        <v/>
      </c>
      <c r="AO89" s="13">
        <f>Inputs!$F$45*Inputs!AO295</f>
        <v/>
      </c>
      <c r="AP89" s="13">
        <f>Inputs!$F$45*Inputs!AP295</f>
        <v/>
      </c>
      <c r="AQ89" s="13">
        <f>Inputs!$F$45*Inputs!AQ295</f>
        <v/>
      </c>
      <c r="AR89" s="13">
        <f>Inputs!$F$45*Inputs!AR295</f>
        <v/>
      </c>
      <c r="AS89" s="13">
        <f>Inputs!$F$45*Inputs!AS295</f>
        <v/>
      </c>
      <c r="AT89" s="13">
        <f>Inputs!$F$45*Inputs!AT295</f>
        <v/>
      </c>
      <c r="AU89" s="13">
        <f>Inputs!$F$45*Inputs!AU295</f>
        <v/>
      </c>
      <c r="AV89" s="13">
        <f>Inputs!$F$45*Inputs!AV295</f>
        <v/>
      </c>
      <c r="AW89" s="13">
        <f>Inputs!$F$45*Inputs!AW295</f>
        <v/>
      </c>
      <c r="AX89" s="13">
        <f>Inputs!$F$45*Inputs!AX295</f>
        <v/>
      </c>
      <c r="AY89" s="13">
        <f>Inputs!$F$45*Inputs!AY295</f>
        <v/>
      </c>
      <c r="AZ89" s="13">
        <f>Inputs!$F$45*Inputs!AZ295</f>
        <v/>
      </c>
      <c r="BA89" s="13">
        <f>Inputs!$F$45*Inputs!BA295</f>
        <v/>
      </c>
      <c r="BB89" s="13">
        <f>Inputs!$F$45*Inputs!BB295</f>
        <v/>
      </c>
      <c r="BC89" s="13">
        <f>Inputs!$F$45*Inputs!BC295</f>
        <v/>
      </c>
      <c r="BD89" s="13">
        <f>Inputs!$F$45*Inputs!BD295</f>
        <v/>
      </c>
      <c r="BE89" s="13">
        <f>Inputs!$F$45*Inputs!BE295</f>
        <v/>
      </c>
      <c r="BF89" s="13">
        <f>Inputs!$F$45*Inputs!BF295</f>
        <v/>
      </c>
      <c r="BG89" s="13">
        <f>Inputs!$F$45*Inputs!BG295</f>
        <v/>
      </c>
      <c r="BH89" s="13">
        <f>Inputs!$F$45*Inputs!BH295</f>
        <v/>
      </c>
      <c r="BI89" s="13">
        <f>Inputs!$F$45*Inputs!BI295</f>
        <v/>
      </c>
      <c r="BJ89" s="13">
        <f>Inputs!$F$45*Inputs!BJ295</f>
        <v/>
      </c>
      <c r="BK89" s="13">
        <f>Inputs!$F$45*Inputs!BK295</f>
        <v/>
      </c>
      <c r="BL89" s="13">
        <f>Inputs!$F$45*Inputs!BL295</f>
        <v/>
      </c>
      <c r="BM89" s="13">
        <f>Inputs!$F$45*Inputs!BM295</f>
        <v/>
      </c>
      <c r="BN89" s="13">
        <f>Inputs!$F$45*Inputs!BN295</f>
        <v/>
      </c>
    </row>
    <row r="90">
      <c r="D90" t="inlineStr">
        <is>
          <t>Gas payables</t>
        </is>
      </c>
      <c r="E90" t="inlineStr">
        <is>
          <t>USD m</t>
        </is>
      </c>
      <c r="J90" s="13">
        <f>(1-J86)*(J73+J54)/MAX(Time!J31,1)*Inputs!$F$169</f>
        <v/>
      </c>
      <c r="K90" s="13">
        <f>(1-K86)*(K73+K54)/MAX(Time!K31,1)*Inputs!$F$169</f>
        <v/>
      </c>
      <c r="L90" s="13">
        <f>(1-L86)*(L73+L54)/MAX(Time!L31,1)*Inputs!$F$169</f>
        <v/>
      </c>
      <c r="M90" s="13">
        <f>(1-M86)*(M73+M54)/MAX(Time!M31,1)*Inputs!$F$169</f>
        <v/>
      </c>
      <c r="N90" s="13">
        <f>(1-N86)*(N73+N54)/MAX(Time!N31,1)*Inputs!$F$169</f>
        <v/>
      </c>
      <c r="O90" s="13">
        <f>(1-O86)*(O73+O54)/MAX(Time!O31,1)*Inputs!$F$169</f>
        <v/>
      </c>
      <c r="P90" s="13">
        <f>(1-P86)*(P73+P54)/MAX(Time!P31,1)*Inputs!$F$169</f>
        <v/>
      </c>
      <c r="Q90" s="13">
        <f>(1-Q86)*(Q73+Q54)/MAX(Time!Q31,1)*Inputs!$F$169</f>
        <v/>
      </c>
      <c r="R90" s="13">
        <f>(1-R86)*(R73+R54)/MAX(Time!R31,1)*Inputs!$F$169</f>
        <v/>
      </c>
      <c r="S90" s="13">
        <f>(1-S86)*(S73+S54)/MAX(Time!S31,1)*Inputs!$F$169</f>
        <v/>
      </c>
      <c r="T90" s="13">
        <f>(1-T86)*(T73+T54)/MAX(Time!T31,1)*Inputs!$F$169</f>
        <v/>
      </c>
      <c r="U90" s="13">
        <f>(1-U86)*(U73+U54)/MAX(Time!U31,1)*Inputs!$F$169</f>
        <v/>
      </c>
      <c r="V90" s="13">
        <f>(1-V86)*(V73+V54)/MAX(Time!V31,1)*Inputs!$F$169</f>
        <v/>
      </c>
      <c r="W90" s="13">
        <f>(1-W86)*(W73+W54)/MAX(Time!W31,1)*Inputs!$F$169</f>
        <v/>
      </c>
      <c r="X90" s="13">
        <f>(1-X86)*(X73+X54)/MAX(Time!X31,1)*Inputs!$F$169</f>
        <v/>
      </c>
      <c r="Y90" s="13">
        <f>(1-Y86)*(Y73+Y54)/MAX(Time!Y31,1)*Inputs!$F$169</f>
        <v/>
      </c>
      <c r="Z90" s="13">
        <f>(1-Z86)*(Z73+Z54)/MAX(Time!Z31,1)*Inputs!$F$169</f>
        <v/>
      </c>
      <c r="AA90" s="13">
        <f>(1-AA86)*(AA73+AA54)/MAX(Time!AA31,1)*Inputs!$F$169</f>
        <v/>
      </c>
      <c r="AB90" s="13">
        <f>(1-AB86)*(AB73+AB54)/MAX(Time!AB31,1)*Inputs!$F$169</f>
        <v/>
      </c>
      <c r="AC90" s="13">
        <f>(1-AC86)*(AC73+AC54)/MAX(Time!AC31,1)*Inputs!$F$169</f>
        <v/>
      </c>
      <c r="AD90" s="13">
        <f>(1-AD86)*(AD73+AD54)/MAX(Time!AD31,1)*Inputs!$F$169</f>
        <v/>
      </c>
      <c r="AE90" s="13">
        <f>(1-AE86)*(AE73+AE54)/MAX(Time!AE31,1)*Inputs!$F$169</f>
        <v/>
      </c>
      <c r="AF90" s="13">
        <f>(1-AF86)*(AF73+AF54)/MAX(Time!AF31,1)*Inputs!$F$169</f>
        <v/>
      </c>
      <c r="AG90" s="13">
        <f>(1-AG86)*(AG73+AG54)/MAX(Time!AG31,1)*Inputs!$F$169</f>
        <v/>
      </c>
      <c r="AH90" s="13">
        <f>(1-AH86)*(AH73+AH54)/MAX(Time!AH31,1)*Inputs!$F$169</f>
        <v/>
      </c>
      <c r="AI90" s="13">
        <f>(1-AI86)*(AI73+AI54)/MAX(Time!AI31,1)*Inputs!$F$169</f>
        <v/>
      </c>
      <c r="AJ90" s="13">
        <f>(1-AJ86)*(AJ73+AJ54)/MAX(Time!AJ31,1)*Inputs!$F$169</f>
        <v/>
      </c>
      <c r="AK90" s="13">
        <f>(1-AK86)*(AK73+AK54)/MAX(Time!AK31,1)*Inputs!$F$169</f>
        <v/>
      </c>
      <c r="AL90" s="13">
        <f>(1-AL86)*(AL73+AL54)/MAX(Time!AL31,1)*Inputs!$F$169</f>
        <v/>
      </c>
      <c r="AM90" s="13">
        <f>(1-AM86)*(AM73+AM54)/MAX(Time!AM31,1)*Inputs!$F$169</f>
        <v/>
      </c>
      <c r="AN90" s="13">
        <f>(1-AN86)*(AN73+AN54)/MAX(Time!AN31,1)*Inputs!$F$169</f>
        <v/>
      </c>
      <c r="AO90" s="13">
        <f>(1-AO86)*(AO73+AO54)/MAX(Time!AO31,1)*Inputs!$F$169</f>
        <v/>
      </c>
      <c r="AP90" s="13">
        <f>(1-AP86)*(AP73+AP54)/MAX(Time!AP31,1)*Inputs!$F$169</f>
        <v/>
      </c>
      <c r="AQ90" s="13">
        <f>(1-AQ86)*(AQ73+AQ54)/MAX(Time!AQ31,1)*Inputs!$F$169</f>
        <v/>
      </c>
      <c r="AR90" s="13">
        <f>(1-AR86)*(AR73+AR54)/MAX(Time!AR31,1)*Inputs!$F$169</f>
        <v/>
      </c>
      <c r="AS90" s="13">
        <f>(1-AS86)*(AS73+AS54)/MAX(Time!AS31,1)*Inputs!$F$169</f>
        <v/>
      </c>
      <c r="AT90" s="13">
        <f>(1-AT86)*(AT73+AT54)/MAX(Time!AT31,1)*Inputs!$F$169</f>
        <v/>
      </c>
      <c r="AU90" s="13">
        <f>(1-AU86)*(AU73+AU54)/MAX(Time!AU31,1)*Inputs!$F$169</f>
        <v/>
      </c>
      <c r="AV90" s="13">
        <f>(1-AV86)*(AV73+AV54)/MAX(Time!AV31,1)*Inputs!$F$169</f>
        <v/>
      </c>
      <c r="AW90" s="13">
        <f>(1-AW86)*(AW73+AW54)/MAX(Time!AW31,1)*Inputs!$F$169</f>
        <v/>
      </c>
      <c r="AX90" s="13">
        <f>(1-AX86)*(AX73+AX54)/MAX(Time!AX31,1)*Inputs!$F$169</f>
        <v/>
      </c>
      <c r="AY90" s="13">
        <f>(1-AY86)*(AY73+AY54)/MAX(Time!AY31,1)*Inputs!$F$169</f>
        <v/>
      </c>
      <c r="AZ90" s="13">
        <f>(1-AZ86)*(AZ73+AZ54)/MAX(Time!AZ31,1)*Inputs!$F$169</f>
        <v/>
      </c>
      <c r="BA90" s="13">
        <f>(1-BA86)*(BA73+BA54)/MAX(Time!BA31,1)*Inputs!$F$169</f>
        <v/>
      </c>
      <c r="BB90" s="13">
        <f>(1-BB86)*(BB73+BB54)/MAX(Time!BB31,1)*Inputs!$F$169</f>
        <v/>
      </c>
      <c r="BC90" s="13">
        <f>(1-BC86)*(BC73+BC54)/MAX(Time!BC31,1)*Inputs!$F$169</f>
        <v/>
      </c>
      <c r="BD90" s="13">
        <f>(1-BD86)*(BD73+BD54)/MAX(Time!BD31,1)*Inputs!$F$169</f>
        <v/>
      </c>
      <c r="BE90" s="13">
        <f>(1-BE86)*(BE73+BE54)/MAX(Time!BE31,1)*Inputs!$F$169</f>
        <v/>
      </c>
      <c r="BF90" s="13">
        <f>(1-BF86)*(BF73+BF54)/MAX(Time!BF31,1)*Inputs!$F$169</f>
        <v/>
      </c>
      <c r="BG90" s="13">
        <f>(1-BG86)*(BG73+BG54)/MAX(Time!BG31,1)*Inputs!$F$169</f>
        <v/>
      </c>
      <c r="BH90" s="13">
        <f>(1-BH86)*(BH73+BH54)/MAX(Time!BH31,1)*Inputs!$F$169</f>
        <v/>
      </c>
      <c r="BI90" s="13">
        <f>(1-BI86)*(BI73+BI54)/MAX(Time!BI31,1)*Inputs!$F$169</f>
        <v/>
      </c>
      <c r="BJ90" s="13">
        <f>(1-BJ86)*(BJ73+BJ54)/MAX(Time!BJ31,1)*Inputs!$F$169</f>
        <v/>
      </c>
      <c r="BK90" s="13">
        <f>(1-BK86)*(BK73+BK54)/MAX(Time!BK31,1)*Inputs!$F$169</f>
        <v/>
      </c>
      <c r="BL90" s="13">
        <f>(1-BL86)*(BL73+BL54)/MAX(Time!BL31,1)*Inputs!$F$169</f>
        <v/>
      </c>
      <c r="BM90" s="13">
        <f>(1-BM86)*(BM73+BM54)/MAX(Time!BM31,1)*Inputs!$F$169</f>
        <v/>
      </c>
      <c r="BN90" s="13">
        <f>(1-BN86)*(BN73+BN54)/MAX(Time!BN31,1)*Inputs!$F$169</f>
        <v/>
      </c>
    </row>
    <row r="91">
      <c r="D91" t="inlineStr">
        <is>
          <t>GTA payables</t>
        </is>
      </c>
      <c r="E91" t="inlineStr">
        <is>
          <t>USD m</t>
        </is>
      </c>
      <c r="J91" s="13">
        <f>(1-J86)*(J52+J53)/MAX(Time!J31,1)*Inputs!$F$170</f>
        <v/>
      </c>
      <c r="K91" s="13">
        <f>(1-K86)*(K52+K53)/MAX(Time!K31,1)*Inputs!$F$170</f>
        <v/>
      </c>
      <c r="L91" s="13">
        <f>(1-L86)*(L52+L53)/MAX(Time!L31,1)*Inputs!$F$170</f>
        <v/>
      </c>
      <c r="M91" s="13">
        <f>(1-M86)*(M52+M53)/MAX(Time!M31,1)*Inputs!$F$170</f>
        <v/>
      </c>
      <c r="N91" s="13">
        <f>(1-N86)*(N52+N53)/MAX(Time!N31,1)*Inputs!$F$170</f>
        <v/>
      </c>
      <c r="O91" s="13">
        <f>(1-O86)*(O52+O53)/MAX(Time!O31,1)*Inputs!$F$170</f>
        <v/>
      </c>
      <c r="P91" s="13">
        <f>(1-P86)*(P52+P53)/MAX(Time!P31,1)*Inputs!$F$170</f>
        <v/>
      </c>
      <c r="Q91" s="13">
        <f>(1-Q86)*(Q52+Q53)/MAX(Time!Q31,1)*Inputs!$F$170</f>
        <v/>
      </c>
      <c r="R91" s="13">
        <f>(1-R86)*(R52+R53)/MAX(Time!R31,1)*Inputs!$F$170</f>
        <v/>
      </c>
      <c r="S91" s="13">
        <f>(1-S86)*(S52+S53)/MAX(Time!S31,1)*Inputs!$F$170</f>
        <v/>
      </c>
      <c r="T91" s="13">
        <f>(1-T86)*(T52+T53)/MAX(Time!T31,1)*Inputs!$F$170</f>
        <v/>
      </c>
      <c r="U91" s="13">
        <f>(1-U86)*(U52+U53)/MAX(Time!U31,1)*Inputs!$F$170</f>
        <v/>
      </c>
      <c r="V91" s="13">
        <f>(1-V86)*(V52+V53)/MAX(Time!V31,1)*Inputs!$F$170</f>
        <v/>
      </c>
      <c r="W91" s="13">
        <f>(1-W86)*(W52+W53)/MAX(Time!W31,1)*Inputs!$F$170</f>
        <v/>
      </c>
      <c r="X91" s="13">
        <f>(1-X86)*(X52+X53)/MAX(Time!X31,1)*Inputs!$F$170</f>
        <v/>
      </c>
      <c r="Y91" s="13">
        <f>(1-Y86)*(Y52+Y53)/MAX(Time!Y31,1)*Inputs!$F$170</f>
        <v/>
      </c>
      <c r="Z91" s="13">
        <f>(1-Z86)*(Z52+Z53)/MAX(Time!Z31,1)*Inputs!$F$170</f>
        <v/>
      </c>
      <c r="AA91" s="13">
        <f>(1-AA86)*(AA52+AA53)/MAX(Time!AA31,1)*Inputs!$F$170</f>
        <v/>
      </c>
      <c r="AB91" s="13">
        <f>(1-AB86)*(AB52+AB53)/MAX(Time!AB31,1)*Inputs!$F$170</f>
        <v/>
      </c>
      <c r="AC91" s="13">
        <f>(1-AC86)*(AC52+AC53)/MAX(Time!AC31,1)*Inputs!$F$170</f>
        <v/>
      </c>
      <c r="AD91" s="13">
        <f>(1-AD86)*(AD52+AD53)/MAX(Time!AD31,1)*Inputs!$F$170</f>
        <v/>
      </c>
      <c r="AE91" s="13">
        <f>(1-AE86)*(AE52+AE53)/MAX(Time!AE31,1)*Inputs!$F$170</f>
        <v/>
      </c>
      <c r="AF91" s="13">
        <f>(1-AF86)*(AF52+AF53)/MAX(Time!AF31,1)*Inputs!$F$170</f>
        <v/>
      </c>
      <c r="AG91" s="13">
        <f>(1-AG86)*(AG52+AG53)/MAX(Time!AG31,1)*Inputs!$F$170</f>
        <v/>
      </c>
      <c r="AH91" s="13">
        <f>(1-AH86)*(AH52+AH53)/MAX(Time!AH31,1)*Inputs!$F$170</f>
        <v/>
      </c>
      <c r="AI91" s="13">
        <f>(1-AI86)*(AI52+AI53)/MAX(Time!AI31,1)*Inputs!$F$170</f>
        <v/>
      </c>
      <c r="AJ91" s="13">
        <f>(1-AJ86)*(AJ52+AJ53)/MAX(Time!AJ31,1)*Inputs!$F$170</f>
        <v/>
      </c>
      <c r="AK91" s="13">
        <f>(1-AK86)*(AK52+AK53)/MAX(Time!AK31,1)*Inputs!$F$170</f>
        <v/>
      </c>
      <c r="AL91" s="13">
        <f>(1-AL86)*(AL52+AL53)/MAX(Time!AL31,1)*Inputs!$F$170</f>
        <v/>
      </c>
      <c r="AM91" s="13">
        <f>(1-AM86)*(AM52+AM53)/MAX(Time!AM31,1)*Inputs!$F$170</f>
        <v/>
      </c>
      <c r="AN91" s="13">
        <f>(1-AN86)*(AN52+AN53)/MAX(Time!AN31,1)*Inputs!$F$170</f>
        <v/>
      </c>
      <c r="AO91" s="13">
        <f>(1-AO86)*(AO52+AO53)/MAX(Time!AO31,1)*Inputs!$F$170</f>
        <v/>
      </c>
      <c r="AP91" s="13">
        <f>(1-AP86)*(AP52+AP53)/MAX(Time!AP31,1)*Inputs!$F$170</f>
        <v/>
      </c>
      <c r="AQ91" s="13">
        <f>(1-AQ86)*(AQ52+AQ53)/MAX(Time!AQ31,1)*Inputs!$F$170</f>
        <v/>
      </c>
      <c r="AR91" s="13">
        <f>(1-AR86)*(AR52+AR53)/MAX(Time!AR31,1)*Inputs!$F$170</f>
        <v/>
      </c>
      <c r="AS91" s="13">
        <f>(1-AS86)*(AS52+AS53)/MAX(Time!AS31,1)*Inputs!$F$170</f>
        <v/>
      </c>
      <c r="AT91" s="13">
        <f>(1-AT86)*(AT52+AT53)/MAX(Time!AT31,1)*Inputs!$F$170</f>
        <v/>
      </c>
      <c r="AU91" s="13">
        <f>(1-AU86)*(AU52+AU53)/MAX(Time!AU31,1)*Inputs!$F$170</f>
        <v/>
      </c>
      <c r="AV91" s="13">
        <f>(1-AV86)*(AV52+AV53)/MAX(Time!AV31,1)*Inputs!$F$170</f>
        <v/>
      </c>
      <c r="AW91" s="13">
        <f>(1-AW86)*(AW52+AW53)/MAX(Time!AW31,1)*Inputs!$F$170</f>
        <v/>
      </c>
      <c r="AX91" s="13">
        <f>(1-AX86)*(AX52+AX53)/MAX(Time!AX31,1)*Inputs!$F$170</f>
        <v/>
      </c>
      <c r="AY91" s="13">
        <f>(1-AY86)*(AY52+AY53)/MAX(Time!AY31,1)*Inputs!$F$170</f>
        <v/>
      </c>
      <c r="AZ91" s="13">
        <f>(1-AZ86)*(AZ52+AZ53)/MAX(Time!AZ31,1)*Inputs!$F$170</f>
        <v/>
      </c>
      <c r="BA91" s="13">
        <f>(1-BA86)*(BA52+BA53)/MAX(Time!BA31,1)*Inputs!$F$170</f>
        <v/>
      </c>
      <c r="BB91" s="13">
        <f>(1-BB86)*(BB52+BB53)/MAX(Time!BB31,1)*Inputs!$F$170</f>
        <v/>
      </c>
      <c r="BC91" s="13">
        <f>(1-BC86)*(BC52+BC53)/MAX(Time!BC31,1)*Inputs!$F$170</f>
        <v/>
      </c>
      <c r="BD91" s="13">
        <f>(1-BD86)*(BD52+BD53)/MAX(Time!BD31,1)*Inputs!$F$170</f>
        <v/>
      </c>
      <c r="BE91" s="13">
        <f>(1-BE86)*(BE52+BE53)/MAX(Time!BE31,1)*Inputs!$F$170</f>
        <v/>
      </c>
      <c r="BF91" s="13">
        <f>(1-BF86)*(BF52+BF53)/MAX(Time!BF31,1)*Inputs!$F$170</f>
        <v/>
      </c>
      <c r="BG91" s="13">
        <f>(1-BG86)*(BG52+BG53)/MAX(Time!BG31,1)*Inputs!$F$170</f>
        <v/>
      </c>
      <c r="BH91" s="13">
        <f>(1-BH86)*(BH52+BH53)/MAX(Time!BH31,1)*Inputs!$F$170</f>
        <v/>
      </c>
      <c r="BI91" s="13">
        <f>(1-BI86)*(BI52+BI53)/MAX(Time!BI31,1)*Inputs!$F$170</f>
        <v/>
      </c>
      <c r="BJ91" s="13">
        <f>(1-BJ86)*(BJ52+BJ53)/MAX(Time!BJ31,1)*Inputs!$F$170</f>
        <v/>
      </c>
      <c r="BK91" s="13">
        <f>(1-BK86)*(BK52+BK53)/MAX(Time!BK31,1)*Inputs!$F$170</f>
        <v/>
      </c>
      <c r="BL91" s="13">
        <f>(1-BL86)*(BL52+BL53)/MAX(Time!BL31,1)*Inputs!$F$170</f>
        <v/>
      </c>
      <c r="BM91" s="13">
        <f>(1-BM86)*(BM52+BM53)/MAX(Time!BM31,1)*Inputs!$F$170</f>
        <v/>
      </c>
      <c r="BN91" s="13">
        <f>(1-BN86)*(BN52+BN53)/MAX(Time!BN31,1)*Inputs!$F$170</f>
        <v/>
      </c>
    </row>
    <row r="92">
      <c r="D92" t="inlineStr">
        <is>
          <t>O&amp;M and LTSA payables</t>
        </is>
      </c>
      <c r="E92" t="inlineStr">
        <is>
          <t>USD m</t>
        </is>
      </c>
      <c r="J92" s="13">
        <f>(1-J86)*(J60+J61+J62+J64)/MAX(Time!J31,1)*Inputs!$F$171</f>
        <v/>
      </c>
      <c r="K92" s="13">
        <f>(1-K86)*(K60+K61+K62+K64)/MAX(Time!K31,1)*Inputs!$F$171</f>
        <v/>
      </c>
      <c r="L92" s="13">
        <f>(1-L86)*(L60+L61+L62+L64)/MAX(Time!L31,1)*Inputs!$F$171</f>
        <v/>
      </c>
      <c r="M92" s="13">
        <f>(1-M86)*(M60+M61+M62+M64)/MAX(Time!M31,1)*Inputs!$F$171</f>
        <v/>
      </c>
      <c r="N92" s="13">
        <f>(1-N86)*(N60+N61+N62+N64)/MAX(Time!N31,1)*Inputs!$F$171</f>
        <v/>
      </c>
      <c r="O92" s="13">
        <f>(1-O86)*(O60+O61+O62+O64)/MAX(Time!O31,1)*Inputs!$F$171</f>
        <v/>
      </c>
      <c r="P92" s="13">
        <f>(1-P86)*(P60+P61+P62+P64)/MAX(Time!P31,1)*Inputs!$F$171</f>
        <v/>
      </c>
      <c r="Q92" s="13">
        <f>(1-Q86)*(Q60+Q61+Q62+Q64)/MAX(Time!Q31,1)*Inputs!$F$171</f>
        <v/>
      </c>
      <c r="R92" s="13">
        <f>(1-R86)*(R60+R61+R62+R64)/MAX(Time!R31,1)*Inputs!$F$171</f>
        <v/>
      </c>
      <c r="S92" s="13">
        <f>(1-S86)*(S60+S61+S62+S64)/MAX(Time!S31,1)*Inputs!$F$171</f>
        <v/>
      </c>
      <c r="T92" s="13">
        <f>(1-T86)*(T60+T61+T62+T64)/MAX(Time!T31,1)*Inputs!$F$171</f>
        <v/>
      </c>
      <c r="U92" s="13">
        <f>(1-U86)*(U60+U61+U62+U64)/MAX(Time!U31,1)*Inputs!$F$171</f>
        <v/>
      </c>
      <c r="V92" s="13">
        <f>(1-V86)*(V60+V61+V62+V64)/MAX(Time!V31,1)*Inputs!$F$171</f>
        <v/>
      </c>
      <c r="W92" s="13">
        <f>(1-W86)*(W60+W61+W62+W64)/MAX(Time!W31,1)*Inputs!$F$171</f>
        <v/>
      </c>
      <c r="X92" s="13">
        <f>(1-X86)*(X60+X61+X62+X64)/MAX(Time!X31,1)*Inputs!$F$171</f>
        <v/>
      </c>
      <c r="Y92" s="13">
        <f>(1-Y86)*(Y60+Y61+Y62+Y64)/MAX(Time!Y31,1)*Inputs!$F$171</f>
        <v/>
      </c>
      <c r="Z92" s="13">
        <f>(1-Z86)*(Z60+Z61+Z62+Z64)/MAX(Time!Z31,1)*Inputs!$F$171</f>
        <v/>
      </c>
      <c r="AA92" s="13">
        <f>(1-AA86)*(AA60+AA61+AA62+AA64)/MAX(Time!AA31,1)*Inputs!$F$171</f>
        <v/>
      </c>
      <c r="AB92" s="13">
        <f>(1-AB86)*(AB60+AB61+AB62+AB64)/MAX(Time!AB31,1)*Inputs!$F$171</f>
        <v/>
      </c>
      <c r="AC92" s="13">
        <f>(1-AC86)*(AC60+AC61+AC62+AC64)/MAX(Time!AC31,1)*Inputs!$F$171</f>
        <v/>
      </c>
      <c r="AD92" s="13">
        <f>(1-AD86)*(AD60+AD61+AD62+AD64)/MAX(Time!AD31,1)*Inputs!$F$171</f>
        <v/>
      </c>
      <c r="AE92" s="13">
        <f>(1-AE86)*(AE60+AE61+AE62+AE64)/MAX(Time!AE31,1)*Inputs!$F$171</f>
        <v/>
      </c>
      <c r="AF92" s="13">
        <f>(1-AF86)*(AF60+AF61+AF62+AF64)/MAX(Time!AF31,1)*Inputs!$F$171</f>
        <v/>
      </c>
      <c r="AG92" s="13">
        <f>(1-AG86)*(AG60+AG61+AG62+AG64)/MAX(Time!AG31,1)*Inputs!$F$171</f>
        <v/>
      </c>
      <c r="AH92" s="13">
        <f>(1-AH86)*(AH60+AH61+AH62+AH64)/MAX(Time!AH31,1)*Inputs!$F$171</f>
        <v/>
      </c>
      <c r="AI92" s="13">
        <f>(1-AI86)*(AI60+AI61+AI62+AI64)/MAX(Time!AI31,1)*Inputs!$F$171</f>
        <v/>
      </c>
      <c r="AJ92" s="13">
        <f>(1-AJ86)*(AJ60+AJ61+AJ62+AJ64)/MAX(Time!AJ31,1)*Inputs!$F$171</f>
        <v/>
      </c>
      <c r="AK92" s="13">
        <f>(1-AK86)*(AK60+AK61+AK62+AK64)/MAX(Time!AK31,1)*Inputs!$F$171</f>
        <v/>
      </c>
      <c r="AL92" s="13">
        <f>(1-AL86)*(AL60+AL61+AL62+AL64)/MAX(Time!AL31,1)*Inputs!$F$171</f>
        <v/>
      </c>
      <c r="AM92" s="13">
        <f>(1-AM86)*(AM60+AM61+AM62+AM64)/MAX(Time!AM31,1)*Inputs!$F$171</f>
        <v/>
      </c>
      <c r="AN92" s="13">
        <f>(1-AN86)*(AN60+AN61+AN62+AN64)/MAX(Time!AN31,1)*Inputs!$F$171</f>
        <v/>
      </c>
      <c r="AO92" s="13">
        <f>(1-AO86)*(AO60+AO61+AO62+AO64)/MAX(Time!AO31,1)*Inputs!$F$171</f>
        <v/>
      </c>
      <c r="AP92" s="13">
        <f>(1-AP86)*(AP60+AP61+AP62+AP64)/MAX(Time!AP31,1)*Inputs!$F$171</f>
        <v/>
      </c>
      <c r="AQ92" s="13">
        <f>(1-AQ86)*(AQ60+AQ61+AQ62+AQ64)/MAX(Time!AQ31,1)*Inputs!$F$171</f>
        <v/>
      </c>
      <c r="AR92" s="13">
        <f>(1-AR86)*(AR60+AR61+AR62+AR64)/MAX(Time!AR31,1)*Inputs!$F$171</f>
        <v/>
      </c>
      <c r="AS92" s="13">
        <f>(1-AS86)*(AS60+AS61+AS62+AS64)/MAX(Time!AS31,1)*Inputs!$F$171</f>
        <v/>
      </c>
      <c r="AT92" s="13">
        <f>(1-AT86)*(AT60+AT61+AT62+AT64)/MAX(Time!AT31,1)*Inputs!$F$171</f>
        <v/>
      </c>
      <c r="AU92" s="13">
        <f>(1-AU86)*(AU60+AU61+AU62+AU64)/MAX(Time!AU31,1)*Inputs!$F$171</f>
        <v/>
      </c>
      <c r="AV92" s="13">
        <f>(1-AV86)*(AV60+AV61+AV62+AV64)/MAX(Time!AV31,1)*Inputs!$F$171</f>
        <v/>
      </c>
      <c r="AW92" s="13">
        <f>(1-AW86)*(AW60+AW61+AW62+AW64)/MAX(Time!AW31,1)*Inputs!$F$171</f>
        <v/>
      </c>
      <c r="AX92" s="13">
        <f>(1-AX86)*(AX60+AX61+AX62+AX64)/MAX(Time!AX31,1)*Inputs!$F$171</f>
        <v/>
      </c>
      <c r="AY92" s="13">
        <f>(1-AY86)*(AY60+AY61+AY62+AY64)/MAX(Time!AY31,1)*Inputs!$F$171</f>
        <v/>
      </c>
      <c r="AZ92" s="13">
        <f>(1-AZ86)*(AZ60+AZ61+AZ62+AZ64)/MAX(Time!AZ31,1)*Inputs!$F$171</f>
        <v/>
      </c>
      <c r="BA92" s="13">
        <f>(1-BA86)*(BA60+BA61+BA62+BA64)/MAX(Time!BA31,1)*Inputs!$F$171</f>
        <v/>
      </c>
      <c r="BB92" s="13">
        <f>(1-BB86)*(BB60+BB61+BB62+BB64)/MAX(Time!BB31,1)*Inputs!$F$171</f>
        <v/>
      </c>
      <c r="BC92" s="13">
        <f>(1-BC86)*(BC60+BC61+BC62+BC64)/MAX(Time!BC31,1)*Inputs!$F$171</f>
        <v/>
      </c>
      <c r="BD92" s="13">
        <f>(1-BD86)*(BD60+BD61+BD62+BD64)/MAX(Time!BD31,1)*Inputs!$F$171</f>
        <v/>
      </c>
      <c r="BE92" s="13">
        <f>(1-BE86)*(BE60+BE61+BE62+BE64)/MAX(Time!BE31,1)*Inputs!$F$171</f>
        <v/>
      </c>
      <c r="BF92" s="13">
        <f>(1-BF86)*(BF60+BF61+BF62+BF64)/MAX(Time!BF31,1)*Inputs!$F$171</f>
        <v/>
      </c>
      <c r="BG92" s="13">
        <f>(1-BG86)*(BG60+BG61+BG62+BG64)/MAX(Time!BG31,1)*Inputs!$F$171</f>
        <v/>
      </c>
      <c r="BH92" s="13">
        <f>(1-BH86)*(BH60+BH61+BH62+BH64)/MAX(Time!BH31,1)*Inputs!$F$171</f>
        <v/>
      </c>
      <c r="BI92" s="13">
        <f>(1-BI86)*(BI60+BI61+BI62+BI64)/MAX(Time!BI31,1)*Inputs!$F$171</f>
        <v/>
      </c>
      <c r="BJ92" s="13">
        <f>(1-BJ86)*(BJ60+BJ61+BJ62+BJ64)/MAX(Time!BJ31,1)*Inputs!$F$171</f>
        <v/>
      </c>
      <c r="BK92" s="13">
        <f>(1-BK86)*(BK60+BK61+BK62+BK64)/MAX(Time!BK31,1)*Inputs!$F$171</f>
        <v/>
      </c>
      <c r="BL92" s="13">
        <f>(1-BL86)*(BL60+BL61+BL62+BL64)/MAX(Time!BL31,1)*Inputs!$F$171</f>
        <v/>
      </c>
      <c r="BM92" s="13">
        <f>(1-BM86)*(BM60+BM61+BM62+BM64)/MAX(Time!BM31,1)*Inputs!$F$171</f>
        <v/>
      </c>
      <c r="BN92" s="13">
        <f>(1-BN86)*(BN60+BN61+BN62+BN64)/MAX(Time!BN31,1)*Inputs!$F$171</f>
        <v/>
      </c>
    </row>
    <row r="93">
      <c r="D93" t="inlineStr">
        <is>
          <t>Other payables</t>
        </is>
      </c>
      <c r="E93" t="inlineStr">
        <is>
          <t>USD m</t>
        </is>
      </c>
      <c r="J93" s="13">
        <f>(1-J86)*(J65+J66+J67+J68+J69+J70+J71)/MAX(Time!J31,1)*Inputs!$F$172</f>
        <v/>
      </c>
      <c r="K93" s="13">
        <f>(1-K86)*(K65+K66+K67+K68+K69+K70+K71)/MAX(Time!K31,1)*Inputs!$F$172</f>
        <v/>
      </c>
      <c r="L93" s="13">
        <f>(1-L86)*(L65+L66+L67+L68+L69+L70+L71)/MAX(Time!L31,1)*Inputs!$F$172</f>
        <v/>
      </c>
      <c r="M93" s="13">
        <f>(1-M86)*(M65+M66+M67+M68+M69+M70+M71)/MAX(Time!M31,1)*Inputs!$F$172</f>
        <v/>
      </c>
      <c r="N93" s="13">
        <f>(1-N86)*(N65+N66+N67+N68+N69+N70+N71)/MAX(Time!N31,1)*Inputs!$F$172</f>
        <v/>
      </c>
      <c r="O93" s="13">
        <f>(1-O86)*(O65+O66+O67+O68+O69+O70+O71)/MAX(Time!O31,1)*Inputs!$F$172</f>
        <v/>
      </c>
      <c r="P93" s="13">
        <f>(1-P86)*(P65+P66+P67+P68+P69+P70+P71)/MAX(Time!P31,1)*Inputs!$F$172</f>
        <v/>
      </c>
      <c r="Q93" s="13">
        <f>(1-Q86)*(Q65+Q66+Q67+Q68+Q69+Q70+Q71)/MAX(Time!Q31,1)*Inputs!$F$172</f>
        <v/>
      </c>
      <c r="R93" s="13">
        <f>(1-R86)*(R65+R66+R67+R68+R69+R70+R71)/MAX(Time!R31,1)*Inputs!$F$172</f>
        <v/>
      </c>
      <c r="S93" s="13">
        <f>(1-S86)*(S65+S66+S67+S68+S69+S70+S71)/MAX(Time!S31,1)*Inputs!$F$172</f>
        <v/>
      </c>
      <c r="T93" s="13">
        <f>(1-T86)*(T65+T66+T67+T68+T69+T70+T71)/MAX(Time!T31,1)*Inputs!$F$172</f>
        <v/>
      </c>
      <c r="U93" s="13">
        <f>(1-U86)*(U65+U66+U67+U68+U69+U70+U71)/MAX(Time!U31,1)*Inputs!$F$172</f>
        <v/>
      </c>
      <c r="V93" s="13">
        <f>(1-V86)*(V65+V66+V67+V68+V69+V70+V71)/MAX(Time!V31,1)*Inputs!$F$172</f>
        <v/>
      </c>
      <c r="W93" s="13">
        <f>(1-W86)*(W65+W66+W67+W68+W69+W70+W71)/MAX(Time!W31,1)*Inputs!$F$172</f>
        <v/>
      </c>
      <c r="X93" s="13">
        <f>(1-X86)*(X65+X66+X67+X68+X69+X70+X71)/MAX(Time!X31,1)*Inputs!$F$172</f>
        <v/>
      </c>
      <c r="Y93" s="13">
        <f>(1-Y86)*(Y65+Y66+Y67+Y68+Y69+Y70+Y71)/MAX(Time!Y31,1)*Inputs!$F$172</f>
        <v/>
      </c>
      <c r="Z93" s="13">
        <f>(1-Z86)*(Z65+Z66+Z67+Z68+Z69+Z70+Z71)/MAX(Time!Z31,1)*Inputs!$F$172</f>
        <v/>
      </c>
      <c r="AA93" s="13">
        <f>(1-AA86)*(AA65+AA66+AA67+AA68+AA69+AA70+AA71)/MAX(Time!AA31,1)*Inputs!$F$172</f>
        <v/>
      </c>
      <c r="AB93" s="13">
        <f>(1-AB86)*(AB65+AB66+AB67+AB68+AB69+AB70+AB71)/MAX(Time!AB31,1)*Inputs!$F$172</f>
        <v/>
      </c>
      <c r="AC93" s="13">
        <f>(1-AC86)*(AC65+AC66+AC67+AC68+AC69+AC70+AC71)/MAX(Time!AC31,1)*Inputs!$F$172</f>
        <v/>
      </c>
      <c r="AD93" s="13">
        <f>(1-AD86)*(AD65+AD66+AD67+AD68+AD69+AD70+AD71)/MAX(Time!AD31,1)*Inputs!$F$172</f>
        <v/>
      </c>
      <c r="AE93" s="13">
        <f>(1-AE86)*(AE65+AE66+AE67+AE68+AE69+AE70+AE71)/MAX(Time!AE31,1)*Inputs!$F$172</f>
        <v/>
      </c>
      <c r="AF93" s="13">
        <f>(1-AF86)*(AF65+AF66+AF67+AF68+AF69+AF70+AF71)/MAX(Time!AF31,1)*Inputs!$F$172</f>
        <v/>
      </c>
      <c r="AG93" s="13">
        <f>(1-AG86)*(AG65+AG66+AG67+AG68+AG69+AG70+AG71)/MAX(Time!AG31,1)*Inputs!$F$172</f>
        <v/>
      </c>
      <c r="AH93" s="13">
        <f>(1-AH86)*(AH65+AH66+AH67+AH68+AH69+AH70+AH71)/MAX(Time!AH31,1)*Inputs!$F$172</f>
        <v/>
      </c>
      <c r="AI93" s="13">
        <f>(1-AI86)*(AI65+AI66+AI67+AI68+AI69+AI70+AI71)/MAX(Time!AI31,1)*Inputs!$F$172</f>
        <v/>
      </c>
      <c r="AJ93" s="13">
        <f>(1-AJ86)*(AJ65+AJ66+AJ67+AJ68+AJ69+AJ70+AJ71)/MAX(Time!AJ31,1)*Inputs!$F$172</f>
        <v/>
      </c>
      <c r="AK93" s="13">
        <f>(1-AK86)*(AK65+AK66+AK67+AK68+AK69+AK70+AK71)/MAX(Time!AK31,1)*Inputs!$F$172</f>
        <v/>
      </c>
      <c r="AL93" s="13">
        <f>(1-AL86)*(AL65+AL66+AL67+AL68+AL69+AL70+AL71)/MAX(Time!AL31,1)*Inputs!$F$172</f>
        <v/>
      </c>
      <c r="AM93" s="13">
        <f>(1-AM86)*(AM65+AM66+AM67+AM68+AM69+AM70+AM71)/MAX(Time!AM31,1)*Inputs!$F$172</f>
        <v/>
      </c>
      <c r="AN93" s="13">
        <f>(1-AN86)*(AN65+AN66+AN67+AN68+AN69+AN70+AN71)/MAX(Time!AN31,1)*Inputs!$F$172</f>
        <v/>
      </c>
      <c r="AO93" s="13">
        <f>(1-AO86)*(AO65+AO66+AO67+AO68+AO69+AO70+AO71)/MAX(Time!AO31,1)*Inputs!$F$172</f>
        <v/>
      </c>
      <c r="AP93" s="13">
        <f>(1-AP86)*(AP65+AP66+AP67+AP68+AP69+AP70+AP71)/MAX(Time!AP31,1)*Inputs!$F$172</f>
        <v/>
      </c>
      <c r="AQ93" s="13">
        <f>(1-AQ86)*(AQ65+AQ66+AQ67+AQ68+AQ69+AQ70+AQ71)/MAX(Time!AQ31,1)*Inputs!$F$172</f>
        <v/>
      </c>
      <c r="AR93" s="13">
        <f>(1-AR86)*(AR65+AR66+AR67+AR68+AR69+AR70+AR71)/MAX(Time!AR31,1)*Inputs!$F$172</f>
        <v/>
      </c>
      <c r="AS93" s="13">
        <f>(1-AS86)*(AS65+AS66+AS67+AS68+AS69+AS70+AS71)/MAX(Time!AS31,1)*Inputs!$F$172</f>
        <v/>
      </c>
      <c r="AT93" s="13">
        <f>(1-AT86)*(AT65+AT66+AT67+AT68+AT69+AT70+AT71)/MAX(Time!AT31,1)*Inputs!$F$172</f>
        <v/>
      </c>
      <c r="AU93" s="13">
        <f>(1-AU86)*(AU65+AU66+AU67+AU68+AU69+AU70+AU71)/MAX(Time!AU31,1)*Inputs!$F$172</f>
        <v/>
      </c>
      <c r="AV93" s="13">
        <f>(1-AV86)*(AV65+AV66+AV67+AV68+AV69+AV70+AV71)/MAX(Time!AV31,1)*Inputs!$F$172</f>
        <v/>
      </c>
      <c r="AW93" s="13">
        <f>(1-AW86)*(AW65+AW66+AW67+AW68+AW69+AW70+AW71)/MAX(Time!AW31,1)*Inputs!$F$172</f>
        <v/>
      </c>
      <c r="AX93" s="13">
        <f>(1-AX86)*(AX65+AX66+AX67+AX68+AX69+AX70+AX71)/MAX(Time!AX31,1)*Inputs!$F$172</f>
        <v/>
      </c>
      <c r="AY93" s="13">
        <f>(1-AY86)*(AY65+AY66+AY67+AY68+AY69+AY70+AY71)/MAX(Time!AY31,1)*Inputs!$F$172</f>
        <v/>
      </c>
      <c r="AZ93" s="13">
        <f>(1-AZ86)*(AZ65+AZ66+AZ67+AZ68+AZ69+AZ70+AZ71)/MAX(Time!AZ31,1)*Inputs!$F$172</f>
        <v/>
      </c>
      <c r="BA93" s="13">
        <f>(1-BA86)*(BA65+BA66+BA67+BA68+BA69+BA70+BA71)/MAX(Time!BA31,1)*Inputs!$F$172</f>
        <v/>
      </c>
      <c r="BB93" s="13">
        <f>(1-BB86)*(BB65+BB66+BB67+BB68+BB69+BB70+BB71)/MAX(Time!BB31,1)*Inputs!$F$172</f>
        <v/>
      </c>
      <c r="BC93" s="13">
        <f>(1-BC86)*(BC65+BC66+BC67+BC68+BC69+BC70+BC71)/MAX(Time!BC31,1)*Inputs!$F$172</f>
        <v/>
      </c>
      <c r="BD93" s="13">
        <f>(1-BD86)*(BD65+BD66+BD67+BD68+BD69+BD70+BD71)/MAX(Time!BD31,1)*Inputs!$F$172</f>
        <v/>
      </c>
      <c r="BE93" s="13">
        <f>(1-BE86)*(BE65+BE66+BE67+BE68+BE69+BE70+BE71)/MAX(Time!BE31,1)*Inputs!$F$172</f>
        <v/>
      </c>
      <c r="BF93" s="13">
        <f>(1-BF86)*(BF65+BF66+BF67+BF68+BF69+BF70+BF71)/MAX(Time!BF31,1)*Inputs!$F$172</f>
        <v/>
      </c>
      <c r="BG93" s="13">
        <f>(1-BG86)*(BG65+BG66+BG67+BG68+BG69+BG70+BG71)/MAX(Time!BG31,1)*Inputs!$F$172</f>
        <v/>
      </c>
      <c r="BH93" s="13">
        <f>(1-BH86)*(BH65+BH66+BH67+BH68+BH69+BH70+BH71)/MAX(Time!BH31,1)*Inputs!$F$172</f>
        <v/>
      </c>
      <c r="BI93" s="13">
        <f>(1-BI86)*(BI65+BI66+BI67+BI68+BI69+BI70+BI71)/MAX(Time!BI31,1)*Inputs!$F$172</f>
        <v/>
      </c>
      <c r="BJ93" s="13">
        <f>(1-BJ86)*(BJ65+BJ66+BJ67+BJ68+BJ69+BJ70+BJ71)/MAX(Time!BJ31,1)*Inputs!$F$172</f>
        <v/>
      </c>
      <c r="BK93" s="13">
        <f>(1-BK86)*(BK65+BK66+BK67+BK68+BK69+BK70+BK71)/MAX(Time!BK31,1)*Inputs!$F$172</f>
        <v/>
      </c>
      <c r="BL93" s="13">
        <f>(1-BL86)*(BL65+BL66+BL67+BL68+BL69+BL70+BL71)/MAX(Time!BL31,1)*Inputs!$F$172</f>
        <v/>
      </c>
      <c r="BM93" s="13">
        <f>(1-BM86)*(BM65+BM66+BM67+BM68+BM69+BM70+BM71)/MAX(Time!BM31,1)*Inputs!$F$172</f>
        <v/>
      </c>
      <c r="BN93" s="13">
        <f>(1-BN86)*(BN65+BN66+BN67+BN68+BN69+BN70+BN71)/MAX(Time!BN31,1)*Inputs!$F$172</f>
        <v/>
      </c>
    </row>
    <row r="94">
      <c r="D94" t="inlineStr">
        <is>
          <t>Deferred SNHK/GCK payables matching SEKA energy-charge arrears</t>
        </is>
      </c>
      <c r="E94" t="inlineStr">
        <is>
          <t>USD m</t>
        </is>
      </c>
      <c r="J94" s="13">
        <f>Inputs!$F$262*J89</f>
        <v/>
      </c>
      <c r="K94" s="13">
        <f>Inputs!$F$262*K89</f>
        <v/>
      </c>
      <c r="L94" s="13">
        <f>Inputs!$F$262*L89</f>
        <v/>
      </c>
      <c r="M94" s="13">
        <f>Inputs!$F$262*M89</f>
        <v/>
      </c>
      <c r="N94" s="13">
        <f>Inputs!$F$262*N89</f>
        <v/>
      </c>
      <c r="O94" s="13">
        <f>Inputs!$F$262*O89</f>
        <v/>
      </c>
      <c r="P94" s="13">
        <f>Inputs!$F$262*P89</f>
        <v/>
      </c>
      <c r="Q94" s="13">
        <f>Inputs!$F$262*Q89</f>
        <v/>
      </c>
      <c r="R94" s="13">
        <f>Inputs!$F$262*R89</f>
        <v/>
      </c>
      <c r="S94" s="13">
        <f>Inputs!$F$262*S89</f>
        <v/>
      </c>
      <c r="T94" s="13">
        <f>Inputs!$F$262*T89</f>
        <v/>
      </c>
      <c r="U94" s="13">
        <f>Inputs!$F$262*U89</f>
        <v/>
      </c>
      <c r="V94" s="13">
        <f>Inputs!$F$262*V89</f>
        <v/>
      </c>
      <c r="W94" s="13">
        <f>Inputs!$F$262*W89</f>
        <v/>
      </c>
      <c r="X94" s="13">
        <f>Inputs!$F$262*X89</f>
        <v/>
      </c>
      <c r="Y94" s="13">
        <f>Inputs!$F$262*Y89</f>
        <v/>
      </c>
      <c r="Z94" s="13">
        <f>Inputs!$F$262*Z89</f>
        <v/>
      </c>
      <c r="AA94" s="13">
        <f>Inputs!$F$262*AA89</f>
        <v/>
      </c>
      <c r="AB94" s="13">
        <f>Inputs!$F$262*AB89</f>
        <v/>
      </c>
      <c r="AC94" s="13">
        <f>Inputs!$F$262*AC89</f>
        <v/>
      </c>
      <c r="AD94" s="13">
        <f>Inputs!$F$262*AD89</f>
        <v/>
      </c>
      <c r="AE94" s="13">
        <f>Inputs!$F$262*AE89</f>
        <v/>
      </c>
      <c r="AF94" s="13">
        <f>Inputs!$F$262*AF89</f>
        <v/>
      </c>
      <c r="AG94" s="13">
        <f>Inputs!$F$262*AG89</f>
        <v/>
      </c>
      <c r="AH94" s="13">
        <f>Inputs!$F$262*AH89</f>
        <v/>
      </c>
      <c r="AI94" s="13">
        <f>Inputs!$F$262*AI89</f>
        <v/>
      </c>
      <c r="AJ94" s="13">
        <f>Inputs!$F$262*AJ89</f>
        <v/>
      </c>
      <c r="AK94" s="13">
        <f>Inputs!$F$262*AK89</f>
        <v/>
      </c>
      <c r="AL94" s="13">
        <f>Inputs!$F$262*AL89</f>
        <v/>
      </c>
      <c r="AM94" s="13">
        <f>Inputs!$F$262*AM89</f>
        <v/>
      </c>
      <c r="AN94" s="13">
        <f>Inputs!$F$262*AN89</f>
        <v/>
      </c>
      <c r="AO94" s="13">
        <f>Inputs!$F$262*AO89</f>
        <v/>
      </c>
      <c r="AP94" s="13">
        <f>Inputs!$F$262*AP89</f>
        <v/>
      </c>
      <c r="AQ94" s="13">
        <f>Inputs!$F$262*AQ89</f>
        <v/>
      </c>
      <c r="AR94" s="13">
        <f>Inputs!$F$262*AR89</f>
        <v/>
      </c>
      <c r="AS94" s="13">
        <f>Inputs!$F$262*AS89</f>
        <v/>
      </c>
      <c r="AT94" s="13">
        <f>Inputs!$F$262*AT89</f>
        <v/>
      </c>
      <c r="AU94" s="13">
        <f>Inputs!$F$262*AU89</f>
        <v/>
      </c>
      <c r="AV94" s="13">
        <f>Inputs!$F$262*AV89</f>
        <v/>
      </c>
      <c r="AW94" s="13">
        <f>Inputs!$F$262*AW89</f>
        <v/>
      </c>
      <c r="AX94" s="13">
        <f>Inputs!$F$262*AX89</f>
        <v/>
      </c>
      <c r="AY94" s="13">
        <f>Inputs!$F$262*AY89</f>
        <v/>
      </c>
      <c r="AZ94" s="13">
        <f>Inputs!$F$262*AZ89</f>
        <v/>
      </c>
      <c r="BA94" s="13">
        <f>Inputs!$F$262*BA89</f>
        <v/>
      </c>
      <c r="BB94" s="13">
        <f>Inputs!$F$262*BB89</f>
        <v/>
      </c>
      <c r="BC94" s="13">
        <f>Inputs!$F$262*BC89</f>
        <v/>
      </c>
      <c r="BD94" s="13">
        <f>Inputs!$F$262*BD89</f>
        <v/>
      </c>
      <c r="BE94" s="13">
        <f>Inputs!$F$262*BE89</f>
        <v/>
      </c>
      <c r="BF94" s="13">
        <f>Inputs!$F$262*BF89</f>
        <v/>
      </c>
      <c r="BG94" s="13">
        <f>Inputs!$F$262*BG89</f>
        <v/>
      </c>
      <c r="BH94" s="13">
        <f>Inputs!$F$262*BH89</f>
        <v/>
      </c>
      <c r="BI94" s="13">
        <f>Inputs!$F$262*BI89</f>
        <v/>
      </c>
      <c r="BJ94" s="13">
        <f>Inputs!$F$262*BJ89</f>
        <v/>
      </c>
      <c r="BK94" s="13">
        <f>Inputs!$F$262*BK89</f>
        <v/>
      </c>
      <c r="BL94" s="13">
        <f>Inputs!$F$262*BL89</f>
        <v/>
      </c>
      <c r="BM94" s="13">
        <f>Inputs!$F$262*BM89</f>
        <v/>
      </c>
      <c r="BN94" s="13">
        <f>Inputs!$F$262*BN89</f>
        <v/>
      </c>
    </row>
    <row r="95">
      <c r="D95" t="inlineStr">
        <is>
          <t>Net working capital (excl. spares inventory)</t>
        </is>
      </c>
      <c r="E95" t="inlineStr">
        <is>
          <t>USD m</t>
        </is>
      </c>
      <c r="J95" s="13">
        <f>J88+J89-J90-J91-J92-J93-J94</f>
        <v/>
      </c>
      <c r="K95" s="13">
        <f>K88+K89-K90-K91-K92-K93-K94</f>
        <v/>
      </c>
      <c r="L95" s="13">
        <f>L88+L89-L90-L91-L92-L93-L94</f>
        <v/>
      </c>
      <c r="M95" s="13">
        <f>M88+M89-M90-M91-M92-M93-M94</f>
        <v/>
      </c>
      <c r="N95" s="13">
        <f>N88+N89-N90-N91-N92-N93-N94</f>
        <v/>
      </c>
      <c r="O95" s="13">
        <f>O88+O89-O90-O91-O92-O93-O94</f>
        <v/>
      </c>
      <c r="P95" s="13">
        <f>P88+P89-P90-P91-P92-P93-P94</f>
        <v/>
      </c>
      <c r="Q95" s="13">
        <f>Q88+Q89-Q90-Q91-Q92-Q93-Q94</f>
        <v/>
      </c>
      <c r="R95" s="13">
        <f>R88+R89-R90-R91-R92-R93-R94</f>
        <v/>
      </c>
      <c r="S95" s="13">
        <f>S88+S89-S90-S91-S92-S93-S94</f>
        <v/>
      </c>
      <c r="T95" s="13">
        <f>T88+T89-T90-T91-T92-T93-T94</f>
        <v/>
      </c>
      <c r="U95" s="13">
        <f>U88+U89-U90-U91-U92-U93-U94</f>
        <v/>
      </c>
      <c r="V95" s="13">
        <f>V88+V89-V90-V91-V92-V93-V94</f>
        <v/>
      </c>
      <c r="W95" s="13">
        <f>W88+W89-W90-W91-W92-W93-W94</f>
        <v/>
      </c>
      <c r="X95" s="13">
        <f>X88+X89-X90-X91-X92-X93-X94</f>
        <v/>
      </c>
      <c r="Y95" s="13">
        <f>Y88+Y89-Y90-Y91-Y92-Y93-Y94</f>
        <v/>
      </c>
      <c r="Z95" s="13">
        <f>Z88+Z89-Z90-Z91-Z92-Z93-Z94</f>
        <v/>
      </c>
      <c r="AA95" s="13">
        <f>AA88+AA89-AA90-AA91-AA92-AA93-AA94</f>
        <v/>
      </c>
      <c r="AB95" s="13">
        <f>AB88+AB89-AB90-AB91-AB92-AB93-AB94</f>
        <v/>
      </c>
      <c r="AC95" s="13">
        <f>AC88+AC89-AC90-AC91-AC92-AC93-AC94</f>
        <v/>
      </c>
      <c r="AD95" s="13">
        <f>AD88+AD89-AD90-AD91-AD92-AD93-AD94</f>
        <v/>
      </c>
      <c r="AE95" s="13">
        <f>AE88+AE89-AE90-AE91-AE92-AE93-AE94</f>
        <v/>
      </c>
      <c r="AF95" s="13">
        <f>AF88+AF89-AF90-AF91-AF92-AF93-AF94</f>
        <v/>
      </c>
      <c r="AG95" s="13">
        <f>AG88+AG89-AG90-AG91-AG92-AG93-AG94</f>
        <v/>
      </c>
      <c r="AH95" s="13">
        <f>AH88+AH89-AH90-AH91-AH92-AH93-AH94</f>
        <v/>
      </c>
      <c r="AI95" s="13">
        <f>AI88+AI89-AI90-AI91-AI92-AI93-AI94</f>
        <v/>
      </c>
      <c r="AJ95" s="13">
        <f>AJ88+AJ89-AJ90-AJ91-AJ92-AJ93-AJ94</f>
        <v/>
      </c>
      <c r="AK95" s="13">
        <f>AK88+AK89-AK90-AK91-AK92-AK93-AK94</f>
        <v/>
      </c>
      <c r="AL95" s="13">
        <f>AL88+AL89-AL90-AL91-AL92-AL93-AL94</f>
        <v/>
      </c>
      <c r="AM95" s="13">
        <f>AM88+AM89-AM90-AM91-AM92-AM93-AM94</f>
        <v/>
      </c>
      <c r="AN95" s="13">
        <f>AN88+AN89-AN90-AN91-AN92-AN93-AN94</f>
        <v/>
      </c>
      <c r="AO95" s="13">
        <f>AO88+AO89-AO90-AO91-AO92-AO93-AO94</f>
        <v/>
      </c>
      <c r="AP95" s="13">
        <f>AP88+AP89-AP90-AP91-AP92-AP93-AP94</f>
        <v/>
      </c>
      <c r="AQ95" s="13">
        <f>AQ88+AQ89-AQ90-AQ91-AQ92-AQ93-AQ94</f>
        <v/>
      </c>
      <c r="AR95" s="13">
        <f>AR88+AR89-AR90-AR91-AR92-AR93-AR94</f>
        <v/>
      </c>
      <c r="AS95" s="13">
        <f>AS88+AS89-AS90-AS91-AS92-AS93-AS94</f>
        <v/>
      </c>
      <c r="AT95" s="13">
        <f>AT88+AT89-AT90-AT91-AT92-AT93-AT94</f>
        <v/>
      </c>
      <c r="AU95" s="13">
        <f>AU88+AU89-AU90-AU91-AU92-AU93-AU94</f>
        <v/>
      </c>
      <c r="AV95" s="13">
        <f>AV88+AV89-AV90-AV91-AV92-AV93-AV94</f>
        <v/>
      </c>
      <c r="AW95" s="13">
        <f>AW88+AW89-AW90-AW91-AW92-AW93-AW94</f>
        <v/>
      </c>
      <c r="AX95" s="13">
        <f>AX88+AX89-AX90-AX91-AX92-AX93-AX94</f>
        <v/>
      </c>
      <c r="AY95" s="13">
        <f>AY88+AY89-AY90-AY91-AY92-AY93-AY94</f>
        <v/>
      </c>
      <c r="AZ95" s="13">
        <f>AZ88+AZ89-AZ90-AZ91-AZ92-AZ93-AZ94</f>
        <v/>
      </c>
      <c r="BA95" s="13">
        <f>BA88+BA89-BA90-BA91-BA92-BA93-BA94</f>
        <v/>
      </c>
      <c r="BB95" s="13">
        <f>BB88+BB89-BB90-BB91-BB92-BB93-BB94</f>
        <v/>
      </c>
      <c r="BC95" s="13">
        <f>BC88+BC89-BC90-BC91-BC92-BC93-BC94</f>
        <v/>
      </c>
      <c r="BD95" s="13">
        <f>BD88+BD89-BD90-BD91-BD92-BD93-BD94</f>
        <v/>
      </c>
      <c r="BE95" s="13">
        <f>BE88+BE89-BE90-BE91-BE92-BE93-BE94</f>
        <v/>
      </c>
      <c r="BF95" s="13">
        <f>BF88+BF89-BF90-BF91-BF92-BF93-BF94</f>
        <v/>
      </c>
      <c r="BG95" s="13">
        <f>BG88+BG89-BG90-BG91-BG92-BG93-BG94</f>
        <v/>
      </c>
      <c r="BH95" s="13">
        <f>BH88+BH89-BH90-BH91-BH92-BH93-BH94</f>
        <v/>
      </c>
      <c r="BI95" s="13">
        <f>BI88+BI89-BI90-BI91-BI92-BI93-BI94</f>
        <v/>
      </c>
      <c r="BJ95" s="13">
        <f>BJ88+BJ89-BJ90-BJ91-BJ92-BJ93-BJ94</f>
        <v/>
      </c>
      <c r="BK95" s="13">
        <f>BK88+BK89-BK90-BK91-BK92-BK93-BK94</f>
        <v/>
      </c>
      <c r="BL95" s="13">
        <f>BL88+BL89-BL90-BL91-BL92-BL93-BL94</f>
        <v/>
      </c>
      <c r="BM95" s="13">
        <f>BM88+BM89-BM90-BM91-BM92-BM93-BM94</f>
        <v/>
      </c>
      <c r="BN95" s="13">
        <f>BN88+BN89-BN90-BN91-BN92-BN93-BN94</f>
        <v/>
      </c>
    </row>
    <row r="96">
      <c r="D96" t="inlineStr">
        <is>
          <t>Increase in net working capital</t>
        </is>
      </c>
      <c r="E96" t="inlineStr">
        <is>
          <t>USD m</t>
        </is>
      </c>
      <c r="G96" s="13">
        <f>SUM(J96:BN96)</f>
        <v/>
      </c>
      <c r="J96" s="13">
        <f>J95-I95</f>
        <v/>
      </c>
      <c r="K96" s="13">
        <f>K95-J95</f>
        <v/>
      </c>
      <c r="L96" s="13">
        <f>L95-K95</f>
        <v/>
      </c>
      <c r="M96" s="13">
        <f>M95-L95</f>
        <v/>
      </c>
      <c r="N96" s="13">
        <f>N95-M95</f>
        <v/>
      </c>
      <c r="O96" s="13">
        <f>O95-N95</f>
        <v/>
      </c>
      <c r="P96" s="13">
        <f>P95-O95</f>
        <v/>
      </c>
      <c r="Q96" s="13">
        <f>Q95-P95</f>
        <v/>
      </c>
      <c r="R96" s="13">
        <f>R95-Q95</f>
        <v/>
      </c>
      <c r="S96" s="13">
        <f>S95-R95</f>
        <v/>
      </c>
      <c r="T96" s="13">
        <f>T95-S95</f>
        <v/>
      </c>
      <c r="U96" s="13">
        <f>U95-T95</f>
        <v/>
      </c>
      <c r="V96" s="13">
        <f>V95-U95</f>
        <v/>
      </c>
      <c r="W96" s="13">
        <f>W95-V95</f>
        <v/>
      </c>
      <c r="X96" s="13">
        <f>X95-W95</f>
        <v/>
      </c>
      <c r="Y96" s="13">
        <f>Y95-X95</f>
        <v/>
      </c>
      <c r="Z96" s="13">
        <f>Z95-Y95</f>
        <v/>
      </c>
      <c r="AA96" s="13">
        <f>AA95-Z95</f>
        <v/>
      </c>
      <c r="AB96" s="13">
        <f>AB95-AA95</f>
        <v/>
      </c>
      <c r="AC96" s="13">
        <f>AC95-AB95</f>
        <v/>
      </c>
      <c r="AD96" s="13">
        <f>AD95-AC95</f>
        <v/>
      </c>
      <c r="AE96" s="13">
        <f>AE95-AD95</f>
        <v/>
      </c>
      <c r="AF96" s="13">
        <f>AF95-AE95</f>
        <v/>
      </c>
      <c r="AG96" s="13">
        <f>AG95-AF95</f>
        <v/>
      </c>
      <c r="AH96" s="13">
        <f>AH95-AG95</f>
        <v/>
      </c>
      <c r="AI96" s="13">
        <f>AI95-AH95</f>
        <v/>
      </c>
      <c r="AJ96" s="13">
        <f>AJ95-AI95</f>
        <v/>
      </c>
      <c r="AK96" s="13">
        <f>AK95-AJ95</f>
        <v/>
      </c>
      <c r="AL96" s="13">
        <f>AL95-AK95</f>
        <v/>
      </c>
      <c r="AM96" s="13">
        <f>AM95-AL95</f>
        <v/>
      </c>
      <c r="AN96" s="13">
        <f>AN95-AM95</f>
        <v/>
      </c>
      <c r="AO96" s="13">
        <f>AO95-AN95</f>
        <v/>
      </c>
      <c r="AP96" s="13">
        <f>AP95-AO95</f>
        <v/>
      </c>
      <c r="AQ96" s="13">
        <f>AQ95-AP95</f>
        <v/>
      </c>
      <c r="AR96" s="13">
        <f>AR95-AQ95</f>
        <v/>
      </c>
      <c r="AS96" s="13">
        <f>AS95-AR95</f>
        <v/>
      </c>
      <c r="AT96" s="13">
        <f>AT95-AS95</f>
        <v/>
      </c>
      <c r="AU96" s="13">
        <f>AU95-AT95</f>
        <v/>
      </c>
      <c r="AV96" s="13">
        <f>AV95-AU95</f>
        <v/>
      </c>
      <c r="AW96" s="13">
        <f>AW95-AV95</f>
        <v/>
      </c>
      <c r="AX96" s="13">
        <f>AX95-AW95</f>
        <v/>
      </c>
      <c r="AY96" s="13">
        <f>AY95-AX95</f>
        <v/>
      </c>
      <c r="AZ96" s="13">
        <f>AZ95-AY95</f>
        <v/>
      </c>
      <c r="BA96" s="13">
        <f>BA95-AZ95</f>
        <v/>
      </c>
      <c r="BB96" s="13">
        <f>BB95-BA95</f>
        <v/>
      </c>
      <c r="BC96" s="13">
        <f>BC95-BB95</f>
        <v/>
      </c>
      <c r="BD96" s="13">
        <f>BD95-BC95</f>
        <v/>
      </c>
      <c r="BE96" s="13">
        <f>BE95-BD95</f>
        <v/>
      </c>
      <c r="BF96" s="13">
        <f>BF95-BE95</f>
        <v/>
      </c>
      <c r="BG96" s="13">
        <f>BG95-BF95</f>
        <v/>
      </c>
      <c r="BH96" s="13">
        <f>BH95-BG95</f>
        <v/>
      </c>
      <c r="BI96" s="13">
        <f>BI95-BH95</f>
        <v/>
      </c>
      <c r="BJ96" s="13">
        <f>BJ95-BI95</f>
        <v/>
      </c>
      <c r="BK96" s="13">
        <f>BK95-BJ95</f>
        <v/>
      </c>
      <c r="BL96" s="13">
        <f>BL95-BK95</f>
        <v/>
      </c>
      <c r="BM96" s="13">
        <f>BM95-BL95</f>
        <v/>
      </c>
      <c r="BN96" s="13">
        <f>BN95-BM95</f>
        <v/>
      </c>
    </row>
    <row r="97">
      <c r="D97" t="inlineStr">
        <is>
          <t>Release of spares inventory at expiry</t>
        </is>
      </c>
      <c r="E97" t="inlineStr">
        <is>
          <t>USD m</t>
        </is>
      </c>
      <c r="G97" s="13">
        <f>SUM(J97:BN97)</f>
        <v/>
      </c>
      <c r="J97" s="13">
        <f>Time!J37*Inputs!$F$67*Inputs!$F$36</f>
        <v/>
      </c>
      <c r="K97" s="13">
        <f>Time!K37*Inputs!$F$67*Inputs!$F$36</f>
        <v/>
      </c>
      <c r="L97" s="13">
        <f>Time!L37*Inputs!$F$67*Inputs!$F$36</f>
        <v/>
      </c>
      <c r="M97" s="13">
        <f>Time!M37*Inputs!$F$67*Inputs!$F$36</f>
        <v/>
      </c>
      <c r="N97" s="13">
        <f>Time!N37*Inputs!$F$67*Inputs!$F$36</f>
        <v/>
      </c>
      <c r="O97" s="13">
        <f>Time!O37*Inputs!$F$67*Inputs!$F$36</f>
        <v/>
      </c>
      <c r="P97" s="13">
        <f>Time!P37*Inputs!$F$67*Inputs!$F$36</f>
        <v/>
      </c>
      <c r="Q97" s="13">
        <f>Time!Q37*Inputs!$F$67*Inputs!$F$36</f>
        <v/>
      </c>
      <c r="R97" s="13">
        <f>Time!R37*Inputs!$F$67*Inputs!$F$36</f>
        <v/>
      </c>
      <c r="S97" s="13">
        <f>Time!S37*Inputs!$F$67*Inputs!$F$36</f>
        <v/>
      </c>
      <c r="T97" s="13">
        <f>Time!T37*Inputs!$F$67*Inputs!$F$36</f>
        <v/>
      </c>
      <c r="U97" s="13">
        <f>Time!U37*Inputs!$F$67*Inputs!$F$36</f>
        <v/>
      </c>
      <c r="V97" s="13">
        <f>Time!V37*Inputs!$F$67*Inputs!$F$36</f>
        <v/>
      </c>
      <c r="W97" s="13">
        <f>Time!W37*Inputs!$F$67*Inputs!$F$36</f>
        <v/>
      </c>
      <c r="X97" s="13">
        <f>Time!X37*Inputs!$F$67*Inputs!$F$36</f>
        <v/>
      </c>
      <c r="Y97" s="13">
        <f>Time!Y37*Inputs!$F$67*Inputs!$F$36</f>
        <v/>
      </c>
      <c r="Z97" s="13">
        <f>Time!Z37*Inputs!$F$67*Inputs!$F$36</f>
        <v/>
      </c>
      <c r="AA97" s="13">
        <f>Time!AA37*Inputs!$F$67*Inputs!$F$36</f>
        <v/>
      </c>
      <c r="AB97" s="13">
        <f>Time!AB37*Inputs!$F$67*Inputs!$F$36</f>
        <v/>
      </c>
      <c r="AC97" s="13">
        <f>Time!AC37*Inputs!$F$67*Inputs!$F$36</f>
        <v/>
      </c>
      <c r="AD97" s="13">
        <f>Time!AD37*Inputs!$F$67*Inputs!$F$36</f>
        <v/>
      </c>
      <c r="AE97" s="13">
        <f>Time!AE37*Inputs!$F$67*Inputs!$F$36</f>
        <v/>
      </c>
      <c r="AF97" s="13">
        <f>Time!AF37*Inputs!$F$67*Inputs!$F$36</f>
        <v/>
      </c>
      <c r="AG97" s="13">
        <f>Time!AG37*Inputs!$F$67*Inputs!$F$36</f>
        <v/>
      </c>
      <c r="AH97" s="13">
        <f>Time!AH37*Inputs!$F$67*Inputs!$F$36</f>
        <v/>
      </c>
      <c r="AI97" s="13">
        <f>Time!AI37*Inputs!$F$67*Inputs!$F$36</f>
        <v/>
      </c>
      <c r="AJ97" s="13">
        <f>Time!AJ37*Inputs!$F$67*Inputs!$F$36</f>
        <v/>
      </c>
      <c r="AK97" s="13">
        <f>Time!AK37*Inputs!$F$67*Inputs!$F$36</f>
        <v/>
      </c>
      <c r="AL97" s="13">
        <f>Time!AL37*Inputs!$F$67*Inputs!$F$36</f>
        <v/>
      </c>
      <c r="AM97" s="13">
        <f>Time!AM37*Inputs!$F$67*Inputs!$F$36</f>
        <v/>
      </c>
      <c r="AN97" s="13">
        <f>Time!AN37*Inputs!$F$67*Inputs!$F$36</f>
        <v/>
      </c>
      <c r="AO97" s="13">
        <f>Time!AO37*Inputs!$F$67*Inputs!$F$36</f>
        <v/>
      </c>
      <c r="AP97" s="13">
        <f>Time!AP37*Inputs!$F$67*Inputs!$F$36</f>
        <v/>
      </c>
      <c r="AQ97" s="13">
        <f>Time!AQ37*Inputs!$F$67*Inputs!$F$36</f>
        <v/>
      </c>
      <c r="AR97" s="13">
        <f>Time!AR37*Inputs!$F$67*Inputs!$F$36</f>
        <v/>
      </c>
      <c r="AS97" s="13">
        <f>Time!AS37*Inputs!$F$67*Inputs!$F$36</f>
        <v/>
      </c>
      <c r="AT97" s="13">
        <f>Time!AT37*Inputs!$F$67*Inputs!$F$36</f>
        <v/>
      </c>
      <c r="AU97" s="13">
        <f>Time!AU37*Inputs!$F$67*Inputs!$F$36</f>
        <v/>
      </c>
      <c r="AV97" s="13">
        <f>Time!AV37*Inputs!$F$67*Inputs!$F$36</f>
        <v/>
      </c>
      <c r="AW97" s="13">
        <f>Time!AW37*Inputs!$F$67*Inputs!$F$36</f>
        <v/>
      </c>
      <c r="AX97" s="13">
        <f>Time!AX37*Inputs!$F$67*Inputs!$F$36</f>
        <v/>
      </c>
      <c r="AY97" s="13">
        <f>Time!AY37*Inputs!$F$67*Inputs!$F$36</f>
        <v/>
      </c>
      <c r="AZ97" s="13">
        <f>Time!AZ37*Inputs!$F$67*Inputs!$F$36</f>
        <v/>
      </c>
      <c r="BA97" s="13">
        <f>Time!BA37*Inputs!$F$67*Inputs!$F$36</f>
        <v/>
      </c>
      <c r="BB97" s="13">
        <f>Time!BB37*Inputs!$F$67*Inputs!$F$36</f>
        <v/>
      </c>
      <c r="BC97" s="13">
        <f>Time!BC37*Inputs!$F$67*Inputs!$F$36</f>
        <v/>
      </c>
      <c r="BD97" s="13">
        <f>Time!BD37*Inputs!$F$67*Inputs!$F$36</f>
        <v/>
      </c>
      <c r="BE97" s="13">
        <f>Time!BE37*Inputs!$F$67*Inputs!$F$36</f>
        <v/>
      </c>
      <c r="BF97" s="13">
        <f>Time!BF37*Inputs!$F$67*Inputs!$F$36</f>
        <v/>
      </c>
      <c r="BG97" s="13">
        <f>Time!BG37*Inputs!$F$67*Inputs!$F$36</f>
        <v/>
      </c>
      <c r="BH97" s="13">
        <f>Time!BH37*Inputs!$F$67*Inputs!$F$36</f>
        <v/>
      </c>
      <c r="BI97" s="13">
        <f>Time!BI37*Inputs!$F$67*Inputs!$F$36</f>
        <v/>
      </c>
      <c r="BJ97" s="13">
        <f>Time!BJ37*Inputs!$F$67*Inputs!$F$36</f>
        <v/>
      </c>
      <c r="BK97" s="13">
        <f>Time!BK37*Inputs!$F$67*Inputs!$F$36</f>
        <v/>
      </c>
      <c r="BL97" s="13">
        <f>Time!BL37*Inputs!$F$67*Inputs!$F$36</f>
        <v/>
      </c>
      <c r="BM97" s="13">
        <f>Time!BM37*Inputs!$F$67*Inputs!$F$36</f>
        <v/>
      </c>
      <c r="BN97" s="13">
        <f>Time!BN37*Inputs!$F$67*Inputs!$F$36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10">
        <f>MAX(0,MIN(Time!J33,Inputs!$F$229*12)-MIN(Time!J32,Inputs!$F$229*12))</f>
        <v/>
      </c>
      <c r="K7" s="10">
        <f>MAX(0,MIN(Time!K33,Inputs!$F$229*12)-MIN(Time!K32,Inputs!$F$229*12))</f>
        <v/>
      </c>
      <c r="L7" s="10">
        <f>MAX(0,MIN(Time!L33,Inputs!$F$229*12)-MIN(Time!L32,Inputs!$F$229*12))</f>
        <v/>
      </c>
      <c r="M7" s="10">
        <f>MAX(0,MIN(Time!M33,Inputs!$F$229*12)-MIN(Time!M32,Inputs!$F$229*12))</f>
        <v/>
      </c>
      <c r="N7" s="10">
        <f>MAX(0,MIN(Time!N33,Inputs!$F$229*12)-MIN(Time!N32,Inputs!$F$229*12))</f>
        <v/>
      </c>
      <c r="O7" s="10">
        <f>MAX(0,MIN(Time!O33,Inputs!$F$229*12)-MIN(Time!O32,Inputs!$F$229*12))</f>
        <v/>
      </c>
      <c r="P7" s="10">
        <f>MAX(0,MIN(Time!P33,Inputs!$F$229*12)-MIN(Time!P32,Inputs!$F$229*12))</f>
        <v/>
      </c>
      <c r="Q7" s="10">
        <f>MAX(0,MIN(Time!Q33,Inputs!$F$229*12)-MIN(Time!Q32,Inputs!$F$229*12))</f>
        <v/>
      </c>
      <c r="R7" s="10">
        <f>MAX(0,MIN(Time!R33,Inputs!$F$229*12)-MIN(Time!R32,Inputs!$F$229*12))</f>
        <v/>
      </c>
      <c r="S7" s="10">
        <f>MAX(0,MIN(Time!S33,Inputs!$F$229*12)-MIN(Time!S32,Inputs!$F$229*12))</f>
        <v/>
      </c>
      <c r="T7" s="10">
        <f>MAX(0,MIN(Time!T33,Inputs!$F$229*12)-MIN(Time!T32,Inputs!$F$229*12))</f>
        <v/>
      </c>
      <c r="U7" s="10">
        <f>MAX(0,MIN(Time!U33,Inputs!$F$229*12)-MIN(Time!U32,Inputs!$F$229*12))</f>
        <v/>
      </c>
      <c r="V7" s="10">
        <f>MAX(0,MIN(Time!V33,Inputs!$F$229*12)-MIN(Time!V32,Inputs!$F$229*12))</f>
        <v/>
      </c>
      <c r="W7" s="10">
        <f>MAX(0,MIN(Time!W33,Inputs!$F$229*12)-MIN(Time!W32,Inputs!$F$229*12))</f>
        <v/>
      </c>
      <c r="X7" s="10">
        <f>MAX(0,MIN(Time!X33,Inputs!$F$229*12)-MIN(Time!X32,Inputs!$F$229*12))</f>
        <v/>
      </c>
      <c r="Y7" s="10">
        <f>MAX(0,MIN(Time!Y33,Inputs!$F$229*12)-MIN(Time!Y32,Inputs!$F$229*12))</f>
        <v/>
      </c>
      <c r="Z7" s="10">
        <f>MAX(0,MIN(Time!Z33,Inputs!$F$229*12)-MIN(Time!Z32,Inputs!$F$229*12))</f>
        <v/>
      </c>
      <c r="AA7" s="10">
        <f>MAX(0,MIN(Time!AA33,Inputs!$F$229*12)-MIN(Time!AA32,Inputs!$F$229*12))</f>
        <v/>
      </c>
      <c r="AB7" s="10">
        <f>MAX(0,MIN(Time!AB33,Inputs!$F$229*12)-MIN(Time!AB32,Inputs!$F$229*12))</f>
        <v/>
      </c>
      <c r="AC7" s="10">
        <f>MAX(0,MIN(Time!AC33,Inputs!$F$229*12)-MIN(Time!AC32,Inputs!$F$229*12))</f>
        <v/>
      </c>
      <c r="AD7" s="10">
        <f>MAX(0,MIN(Time!AD33,Inputs!$F$229*12)-MIN(Time!AD32,Inputs!$F$229*12))</f>
        <v/>
      </c>
      <c r="AE7" s="10">
        <f>MAX(0,MIN(Time!AE33,Inputs!$F$229*12)-MIN(Time!AE32,Inputs!$F$229*12))</f>
        <v/>
      </c>
      <c r="AF7" s="10">
        <f>MAX(0,MIN(Time!AF33,Inputs!$F$229*12)-MIN(Time!AF32,Inputs!$F$229*12))</f>
        <v/>
      </c>
      <c r="AG7" s="10">
        <f>MAX(0,MIN(Time!AG33,Inputs!$F$229*12)-MIN(Time!AG32,Inputs!$F$229*12))</f>
        <v/>
      </c>
      <c r="AH7" s="10">
        <f>MAX(0,MIN(Time!AH33,Inputs!$F$229*12)-MIN(Time!AH32,Inputs!$F$229*12))</f>
        <v/>
      </c>
      <c r="AI7" s="10">
        <f>MAX(0,MIN(Time!AI33,Inputs!$F$229*12)-MIN(Time!AI32,Inputs!$F$229*12))</f>
        <v/>
      </c>
      <c r="AJ7" s="10">
        <f>MAX(0,MIN(Time!AJ33,Inputs!$F$229*12)-MIN(Time!AJ32,Inputs!$F$229*12))</f>
        <v/>
      </c>
      <c r="AK7" s="10">
        <f>MAX(0,MIN(Time!AK33,Inputs!$F$229*12)-MIN(Time!AK32,Inputs!$F$229*12))</f>
        <v/>
      </c>
      <c r="AL7" s="10">
        <f>MAX(0,MIN(Time!AL33,Inputs!$F$229*12)-MIN(Time!AL32,Inputs!$F$229*12))</f>
        <v/>
      </c>
      <c r="AM7" s="10">
        <f>MAX(0,MIN(Time!AM33,Inputs!$F$229*12)-MIN(Time!AM32,Inputs!$F$229*12))</f>
        <v/>
      </c>
      <c r="AN7" s="10">
        <f>MAX(0,MIN(Time!AN33,Inputs!$F$229*12)-MIN(Time!AN32,Inputs!$F$229*12))</f>
        <v/>
      </c>
      <c r="AO7" s="10">
        <f>MAX(0,MIN(Time!AO33,Inputs!$F$229*12)-MIN(Time!AO32,Inputs!$F$229*12))</f>
        <v/>
      </c>
      <c r="AP7" s="10">
        <f>MAX(0,MIN(Time!AP33,Inputs!$F$229*12)-MIN(Time!AP32,Inputs!$F$229*12))</f>
        <v/>
      </c>
      <c r="AQ7" s="10">
        <f>MAX(0,MIN(Time!AQ33,Inputs!$F$229*12)-MIN(Time!AQ32,Inputs!$F$229*12))</f>
        <v/>
      </c>
      <c r="AR7" s="10">
        <f>MAX(0,MIN(Time!AR33,Inputs!$F$229*12)-MIN(Time!AR32,Inputs!$F$229*12))</f>
        <v/>
      </c>
      <c r="AS7" s="10">
        <f>MAX(0,MIN(Time!AS33,Inputs!$F$229*12)-MIN(Time!AS32,Inputs!$F$229*12))</f>
        <v/>
      </c>
      <c r="AT7" s="10">
        <f>MAX(0,MIN(Time!AT33,Inputs!$F$229*12)-MIN(Time!AT32,Inputs!$F$229*12))</f>
        <v/>
      </c>
      <c r="AU7" s="10">
        <f>MAX(0,MIN(Time!AU33,Inputs!$F$229*12)-MIN(Time!AU32,Inputs!$F$229*12))</f>
        <v/>
      </c>
      <c r="AV7" s="10">
        <f>MAX(0,MIN(Time!AV33,Inputs!$F$229*12)-MIN(Time!AV32,Inputs!$F$229*12))</f>
        <v/>
      </c>
      <c r="AW7" s="10">
        <f>MAX(0,MIN(Time!AW33,Inputs!$F$229*12)-MIN(Time!AW32,Inputs!$F$229*12))</f>
        <v/>
      </c>
      <c r="AX7" s="10">
        <f>MAX(0,MIN(Time!AX33,Inputs!$F$229*12)-MIN(Time!AX32,Inputs!$F$229*12))</f>
        <v/>
      </c>
      <c r="AY7" s="10">
        <f>MAX(0,MIN(Time!AY33,Inputs!$F$229*12)-MIN(Time!AY32,Inputs!$F$229*12))</f>
        <v/>
      </c>
      <c r="AZ7" s="10">
        <f>MAX(0,MIN(Time!AZ33,Inputs!$F$229*12)-MIN(Time!AZ32,Inputs!$F$229*12))</f>
        <v/>
      </c>
      <c r="BA7" s="10">
        <f>MAX(0,MIN(Time!BA33,Inputs!$F$229*12)-MIN(Time!BA32,Inputs!$F$229*12))</f>
        <v/>
      </c>
      <c r="BB7" s="10">
        <f>MAX(0,MIN(Time!BB33,Inputs!$F$229*12)-MIN(Time!BB32,Inputs!$F$229*12))</f>
        <v/>
      </c>
      <c r="BC7" s="10">
        <f>MAX(0,MIN(Time!BC33,Inputs!$F$229*12)-MIN(Time!BC32,Inputs!$F$229*12))</f>
        <v/>
      </c>
      <c r="BD7" s="10">
        <f>MAX(0,MIN(Time!BD33,Inputs!$F$229*12)-MIN(Time!BD32,Inputs!$F$229*12))</f>
        <v/>
      </c>
      <c r="BE7" s="10">
        <f>MAX(0,MIN(Time!BE33,Inputs!$F$229*12)-MIN(Time!BE32,Inputs!$F$229*12))</f>
        <v/>
      </c>
      <c r="BF7" s="10">
        <f>MAX(0,MIN(Time!BF33,Inputs!$F$229*12)-MIN(Time!BF32,Inputs!$F$229*12))</f>
        <v/>
      </c>
      <c r="BG7" s="10">
        <f>MAX(0,MIN(Time!BG33,Inputs!$F$229*12)-MIN(Time!BG32,Inputs!$F$229*12))</f>
        <v/>
      </c>
      <c r="BH7" s="10">
        <f>MAX(0,MIN(Time!BH33,Inputs!$F$229*12)-MIN(Time!BH32,Inputs!$F$229*12))</f>
        <v/>
      </c>
      <c r="BI7" s="10">
        <f>MAX(0,MIN(Time!BI33,Inputs!$F$229*12)-MIN(Time!BI32,Inputs!$F$229*12))</f>
        <v/>
      </c>
      <c r="BJ7" s="10">
        <f>MAX(0,MIN(Time!BJ33,Inputs!$F$229*12)-MIN(Time!BJ32,Inputs!$F$229*12))</f>
        <v/>
      </c>
      <c r="BK7" s="10">
        <f>MAX(0,MIN(Time!BK33,Inputs!$F$229*12)-MIN(Time!BK32,Inputs!$F$229*12))</f>
        <v/>
      </c>
      <c r="BL7" s="10">
        <f>MAX(0,MIN(Time!BL33,Inputs!$F$229*12)-MIN(Time!BL32,Inputs!$F$229*12))</f>
        <v/>
      </c>
      <c r="BM7" s="10">
        <f>MAX(0,MIN(Time!BM33,Inputs!$F$229*12)-MIN(Time!BM32,Inputs!$F$229*12))</f>
        <v/>
      </c>
      <c r="BN7" s="10">
        <f>MAX(0,MIN(Time!BN33,Inputs!$F$229*12)-MIN(Time!BN32,Inputs!$F$229*12))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10">
        <f>MAX(0,MIN(Time!J33,Inputs!$F$229*12)-MIN(MAX(Time!J32,Inputs!$F$229*12),Inputs!$F$229*12))</f>
        <v/>
      </c>
      <c r="K8" s="10">
        <f>MAX(0,MIN(Time!K33,Inputs!$F$229*12)-MIN(MAX(Time!K32,Inputs!$F$229*12),Inputs!$F$229*12))</f>
        <v/>
      </c>
      <c r="L8" s="10">
        <f>MAX(0,MIN(Time!L33,Inputs!$F$229*12)-MIN(MAX(Time!L32,Inputs!$F$229*12),Inputs!$F$229*12))</f>
        <v/>
      </c>
      <c r="M8" s="10">
        <f>MAX(0,MIN(Time!M33,Inputs!$F$229*12)-MIN(MAX(Time!M32,Inputs!$F$229*12),Inputs!$F$229*12))</f>
        <v/>
      </c>
      <c r="N8" s="10">
        <f>MAX(0,MIN(Time!N33,Inputs!$F$229*12)-MIN(MAX(Time!N32,Inputs!$F$229*12),Inputs!$F$229*12))</f>
        <v/>
      </c>
      <c r="O8" s="10">
        <f>MAX(0,MIN(Time!O33,Inputs!$F$229*12)-MIN(MAX(Time!O32,Inputs!$F$229*12),Inputs!$F$229*12))</f>
        <v/>
      </c>
      <c r="P8" s="10">
        <f>MAX(0,MIN(Time!P33,Inputs!$F$229*12)-MIN(MAX(Time!P32,Inputs!$F$229*12),Inputs!$F$229*12))</f>
        <v/>
      </c>
      <c r="Q8" s="10">
        <f>MAX(0,MIN(Time!Q33,Inputs!$F$229*12)-MIN(MAX(Time!Q32,Inputs!$F$229*12),Inputs!$F$229*12))</f>
        <v/>
      </c>
      <c r="R8" s="10">
        <f>MAX(0,MIN(Time!R33,Inputs!$F$229*12)-MIN(MAX(Time!R32,Inputs!$F$229*12),Inputs!$F$229*12))</f>
        <v/>
      </c>
      <c r="S8" s="10">
        <f>MAX(0,MIN(Time!S33,Inputs!$F$229*12)-MIN(MAX(Time!S32,Inputs!$F$229*12),Inputs!$F$229*12))</f>
        <v/>
      </c>
      <c r="T8" s="10">
        <f>MAX(0,MIN(Time!T33,Inputs!$F$229*12)-MIN(MAX(Time!T32,Inputs!$F$229*12),Inputs!$F$229*12))</f>
        <v/>
      </c>
      <c r="U8" s="10">
        <f>MAX(0,MIN(Time!U33,Inputs!$F$229*12)-MIN(MAX(Time!U32,Inputs!$F$229*12),Inputs!$F$229*12))</f>
        <v/>
      </c>
      <c r="V8" s="10">
        <f>MAX(0,MIN(Time!V33,Inputs!$F$229*12)-MIN(MAX(Time!V32,Inputs!$F$229*12),Inputs!$F$229*12))</f>
        <v/>
      </c>
      <c r="W8" s="10">
        <f>MAX(0,MIN(Time!W33,Inputs!$F$229*12)-MIN(MAX(Time!W32,Inputs!$F$229*12),Inputs!$F$229*12))</f>
        <v/>
      </c>
      <c r="X8" s="10">
        <f>MAX(0,MIN(Time!X33,Inputs!$F$229*12)-MIN(MAX(Time!X32,Inputs!$F$229*12),Inputs!$F$229*12))</f>
        <v/>
      </c>
      <c r="Y8" s="10">
        <f>MAX(0,MIN(Time!Y33,Inputs!$F$229*12)-MIN(MAX(Time!Y32,Inputs!$F$229*12),Inputs!$F$229*12))</f>
        <v/>
      </c>
      <c r="Z8" s="10">
        <f>MAX(0,MIN(Time!Z33,Inputs!$F$229*12)-MIN(MAX(Time!Z32,Inputs!$F$229*12),Inputs!$F$229*12))</f>
        <v/>
      </c>
      <c r="AA8" s="10">
        <f>MAX(0,MIN(Time!AA33,Inputs!$F$229*12)-MIN(MAX(Time!AA32,Inputs!$F$229*12),Inputs!$F$229*12))</f>
        <v/>
      </c>
      <c r="AB8" s="10">
        <f>MAX(0,MIN(Time!AB33,Inputs!$F$229*12)-MIN(MAX(Time!AB32,Inputs!$F$229*12),Inputs!$F$229*12))</f>
        <v/>
      </c>
      <c r="AC8" s="10">
        <f>MAX(0,MIN(Time!AC33,Inputs!$F$229*12)-MIN(MAX(Time!AC32,Inputs!$F$229*12),Inputs!$F$229*12))</f>
        <v/>
      </c>
      <c r="AD8" s="10">
        <f>MAX(0,MIN(Time!AD33,Inputs!$F$229*12)-MIN(MAX(Time!AD32,Inputs!$F$229*12),Inputs!$F$229*12))</f>
        <v/>
      </c>
      <c r="AE8" s="10">
        <f>MAX(0,MIN(Time!AE33,Inputs!$F$229*12)-MIN(MAX(Time!AE32,Inputs!$F$229*12),Inputs!$F$229*12))</f>
        <v/>
      </c>
      <c r="AF8" s="10">
        <f>MAX(0,MIN(Time!AF33,Inputs!$F$229*12)-MIN(MAX(Time!AF32,Inputs!$F$229*12),Inputs!$F$229*12))</f>
        <v/>
      </c>
      <c r="AG8" s="10">
        <f>MAX(0,MIN(Time!AG33,Inputs!$F$229*12)-MIN(MAX(Time!AG32,Inputs!$F$229*12),Inputs!$F$229*12))</f>
        <v/>
      </c>
      <c r="AH8" s="10">
        <f>MAX(0,MIN(Time!AH33,Inputs!$F$229*12)-MIN(MAX(Time!AH32,Inputs!$F$229*12),Inputs!$F$229*12))</f>
        <v/>
      </c>
      <c r="AI8" s="10">
        <f>MAX(0,MIN(Time!AI33,Inputs!$F$229*12)-MIN(MAX(Time!AI32,Inputs!$F$229*12),Inputs!$F$229*12))</f>
        <v/>
      </c>
      <c r="AJ8" s="10">
        <f>MAX(0,MIN(Time!AJ33,Inputs!$F$229*12)-MIN(MAX(Time!AJ32,Inputs!$F$229*12),Inputs!$F$229*12))</f>
        <v/>
      </c>
      <c r="AK8" s="10">
        <f>MAX(0,MIN(Time!AK33,Inputs!$F$229*12)-MIN(MAX(Time!AK32,Inputs!$F$229*12),Inputs!$F$229*12))</f>
        <v/>
      </c>
      <c r="AL8" s="10">
        <f>MAX(0,MIN(Time!AL33,Inputs!$F$229*12)-MIN(MAX(Time!AL32,Inputs!$F$229*12),Inputs!$F$229*12))</f>
        <v/>
      </c>
      <c r="AM8" s="10">
        <f>MAX(0,MIN(Time!AM33,Inputs!$F$229*12)-MIN(MAX(Time!AM32,Inputs!$F$229*12),Inputs!$F$229*12))</f>
        <v/>
      </c>
      <c r="AN8" s="10">
        <f>MAX(0,MIN(Time!AN33,Inputs!$F$229*12)-MIN(MAX(Time!AN32,Inputs!$F$229*12),Inputs!$F$229*12))</f>
        <v/>
      </c>
      <c r="AO8" s="10">
        <f>MAX(0,MIN(Time!AO33,Inputs!$F$229*12)-MIN(MAX(Time!AO32,Inputs!$F$229*12),Inputs!$F$229*12))</f>
        <v/>
      </c>
      <c r="AP8" s="10">
        <f>MAX(0,MIN(Time!AP33,Inputs!$F$229*12)-MIN(MAX(Time!AP32,Inputs!$F$229*12),Inputs!$F$229*12))</f>
        <v/>
      </c>
      <c r="AQ8" s="10">
        <f>MAX(0,MIN(Time!AQ33,Inputs!$F$229*12)-MIN(MAX(Time!AQ32,Inputs!$F$229*12),Inputs!$F$229*12))</f>
        <v/>
      </c>
      <c r="AR8" s="10">
        <f>MAX(0,MIN(Time!AR33,Inputs!$F$229*12)-MIN(MAX(Time!AR32,Inputs!$F$229*12),Inputs!$F$229*12))</f>
        <v/>
      </c>
      <c r="AS8" s="10">
        <f>MAX(0,MIN(Time!AS33,Inputs!$F$229*12)-MIN(MAX(Time!AS32,Inputs!$F$229*12),Inputs!$F$229*12))</f>
        <v/>
      </c>
      <c r="AT8" s="10">
        <f>MAX(0,MIN(Time!AT33,Inputs!$F$229*12)-MIN(MAX(Time!AT32,Inputs!$F$229*12),Inputs!$F$229*12))</f>
        <v/>
      </c>
      <c r="AU8" s="10">
        <f>MAX(0,MIN(Time!AU33,Inputs!$F$229*12)-MIN(MAX(Time!AU32,Inputs!$F$229*12),Inputs!$F$229*12))</f>
        <v/>
      </c>
      <c r="AV8" s="10">
        <f>MAX(0,MIN(Time!AV33,Inputs!$F$229*12)-MIN(MAX(Time!AV32,Inputs!$F$229*12),Inputs!$F$229*12))</f>
        <v/>
      </c>
      <c r="AW8" s="10">
        <f>MAX(0,MIN(Time!AW33,Inputs!$F$229*12)-MIN(MAX(Time!AW32,Inputs!$F$229*12),Inputs!$F$229*12))</f>
        <v/>
      </c>
      <c r="AX8" s="10">
        <f>MAX(0,MIN(Time!AX33,Inputs!$F$229*12)-MIN(MAX(Time!AX32,Inputs!$F$229*12),Inputs!$F$229*12))</f>
        <v/>
      </c>
      <c r="AY8" s="10">
        <f>MAX(0,MIN(Time!AY33,Inputs!$F$229*12)-MIN(MAX(Time!AY32,Inputs!$F$229*12),Inputs!$F$229*12))</f>
        <v/>
      </c>
      <c r="AZ8" s="10">
        <f>MAX(0,MIN(Time!AZ33,Inputs!$F$229*12)-MIN(MAX(Time!AZ32,Inputs!$F$229*12),Inputs!$F$229*12))</f>
        <v/>
      </c>
      <c r="BA8" s="10">
        <f>MAX(0,MIN(Time!BA33,Inputs!$F$229*12)-MIN(MAX(Time!BA32,Inputs!$F$229*12),Inputs!$F$229*12))</f>
        <v/>
      </c>
      <c r="BB8" s="10">
        <f>MAX(0,MIN(Time!BB33,Inputs!$F$229*12)-MIN(MAX(Time!BB32,Inputs!$F$229*12),Inputs!$F$229*12))</f>
        <v/>
      </c>
      <c r="BC8" s="10">
        <f>MAX(0,MIN(Time!BC33,Inputs!$F$229*12)-MIN(MAX(Time!BC32,Inputs!$F$229*12),Inputs!$F$229*12))</f>
        <v/>
      </c>
      <c r="BD8" s="10">
        <f>MAX(0,MIN(Time!BD33,Inputs!$F$229*12)-MIN(MAX(Time!BD32,Inputs!$F$229*12),Inputs!$F$229*12))</f>
        <v/>
      </c>
      <c r="BE8" s="10">
        <f>MAX(0,MIN(Time!BE33,Inputs!$F$229*12)-MIN(MAX(Time!BE32,Inputs!$F$229*12),Inputs!$F$229*12))</f>
        <v/>
      </c>
      <c r="BF8" s="10">
        <f>MAX(0,MIN(Time!BF33,Inputs!$F$229*12)-MIN(MAX(Time!BF32,Inputs!$F$229*12),Inputs!$F$229*12))</f>
        <v/>
      </c>
      <c r="BG8" s="10">
        <f>MAX(0,MIN(Time!BG33,Inputs!$F$229*12)-MIN(MAX(Time!BG32,Inputs!$F$229*12),Inputs!$F$229*12))</f>
        <v/>
      </c>
      <c r="BH8" s="10">
        <f>MAX(0,MIN(Time!BH33,Inputs!$F$229*12)-MIN(MAX(Time!BH32,Inputs!$F$229*12),Inputs!$F$229*12))</f>
        <v/>
      </c>
      <c r="BI8" s="10">
        <f>MAX(0,MIN(Time!BI33,Inputs!$F$229*12)-MIN(MAX(Time!BI32,Inputs!$F$229*12),Inputs!$F$229*12))</f>
        <v/>
      </c>
      <c r="BJ8" s="10">
        <f>MAX(0,MIN(Time!BJ33,Inputs!$F$229*12)-MIN(MAX(Time!BJ32,Inputs!$F$229*12),Inputs!$F$229*12))</f>
        <v/>
      </c>
      <c r="BK8" s="10">
        <f>MAX(0,MIN(Time!BK33,Inputs!$F$229*12)-MIN(MAX(Time!BK32,Inputs!$F$229*12),Inputs!$F$229*12))</f>
        <v/>
      </c>
      <c r="BL8" s="10">
        <f>MAX(0,MIN(Time!BL33,Inputs!$F$229*12)-MIN(MAX(Time!BL32,Inputs!$F$229*12),Inputs!$F$229*12))</f>
        <v/>
      </c>
      <c r="BM8" s="10">
        <f>MAX(0,MIN(Time!BM33,Inputs!$F$229*12)-MIN(MAX(Time!BM32,Inputs!$F$229*12),Inputs!$F$229*12))</f>
        <v/>
      </c>
      <c r="BN8" s="10">
        <f>MAX(0,MIN(Time!BN33,Inputs!$F$229*12)-MIN(MAX(Time!BN32,Inputs!$F$229*12),Inputs!$F$229*12))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10">
        <f>Time!J30-J7-J8</f>
        <v/>
      </c>
      <c r="K9" s="10">
        <f>Time!K30-K7-K8</f>
        <v/>
      </c>
      <c r="L9" s="10">
        <f>Time!L30-L7-L8</f>
        <v/>
      </c>
      <c r="M9" s="10">
        <f>Time!M30-M7-M8</f>
        <v/>
      </c>
      <c r="N9" s="10">
        <f>Time!N30-N7-N8</f>
        <v/>
      </c>
      <c r="O9" s="10">
        <f>Time!O30-O7-O8</f>
        <v/>
      </c>
      <c r="P9" s="10">
        <f>Time!P30-P7-P8</f>
        <v/>
      </c>
      <c r="Q9" s="10">
        <f>Time!Q30-Q7-Q8</f>
        <v/>
      </c>
      <c r="R9" s="10">
        <f>Time!R30-R7-R8</f>
        <v/>
      </c>
      <c r="S9" s="10">
        <f>Time!S30-S7-S8</f>
        <v/>
      </c>
      <c r="T9" s="10">
        <f>Time!T30-T7-T8</f>
        <v/>
      </c>
      <c r="U9" s="10">
        <f>Time!U30-U7-U8</f>
        <v/>
      </c>
      <c r="V9" s="10">
        <f>Time!V30-V7-V8</f>
        <v/>
      </c>
      <c r="W9" s="10">
        <f>Time!W30-W7-W8</f>
        <v/>
      </c>
      <c r="X9" s="10">
        <f>Time!X30-X7-X8</f>
        <v/>
      </c>
      <c r="Y9" s="10">
        <f>Time!Y30-Y7-Y8</f>
        <v/>
      </c>
      <c r="Z9" s="10">
        <f>Time!Z30-Z7-Z8</f>
        <v/>
      </c>
      <c r="AA9" s="10">
        <f>Time!AA30-AA7-AA8</f>
        <v/>
      </c>
      <c r="AB9" s="10">
        <f>Time!AB30-AB7-AB8</f>
        <v/>
      </c>
      <c r="AC9" s="10">
        <f>Time!AC30-AC7-AC8</f>
        <v/>
      </c>
      <c r="AD9" s="10">
        <f>Time!AD30-AD7-AD8</f>
        <v/>
      </c>
      <c r="AE9" s="10">
        <f>Time!AE30-AE7-AE8</f>
        <v/>
      </c>
      <c r="AF9" s="10">
        <f>Time!AF30-AF7-AF8</f>
        <v/>
      </c>
      <c r="AG9" s="10">
        <f>Time!AG30-AG7-AG8</f>
        <v/>
      </c>
      <c r="AH9" s="10">
        <f>Time!AH30-AH7-AH8</f>
        <v/>
      </c>
      <c r="AI9" s="10">
        <f>Time!AI30-AI7-AI8</f>
        <v/>
      </c>
      <c r="AJ9" s="10">
        <f>Time!AJ30-AJ7-AJ8</f>
        <v/>
      </c>
      <c r="AK9" s="10">
        <f>Time!AK30-AK7-AK8</f>
        <v/>
      </c>
      <c r="AL9" s="10">
        <f>Time!AL30-AL7-AL8</f>
        <v/>
      </c>
      <c r="AM9" s="10">
        <f>Time!AM30-AM7-AM8</f>
        <v/>
      </c>
      <c r="AN9" s="10">
        <f>Time!AN30-AN7-AN8</f>
        <v/>
      </c>
      <c r="AO9" s="10">
        <f>Time!AO30-AO7-AO8</f>
        <v/>
      </c>
      <c r="AP9" s="10">
        <f>Time!AP30-AP7-AP8</f>
        <v/>
      </c>
      <c r="AQ9" s="10">
        <f>Time!AQ30-AQ7-AQ8</f>
        <v/>
      </c>
      <c r="AR9" s="10">
        <f>Time!AR30-AR7-AR8</f>
        <v/>
      </c>
      <c r="AS9" s="10">
        <f>Time!AS30-AS7-AS8</f>
        <v/>
      </c>
      <c r="AT9" s="10">
        <f>Time!AT30-AT7-AT8</f>
        <v/>
      </c>
      <c r="AU9" s="10">
        <f>Time!AU30-AU7-AU8</f>
        <v/>
      </c>
      <c r="AV9" s="10">
        <f>Time!AV30-AV7-AV8</f>
        <v/>
      </c>
      <c r="AW9" s="10">
        <f>Time!AW30-AW7-AW8</f>
        <v/>
      </c>
      <c r="AX9" s="10">
        <f>Time!AX30-AX7-AX8</f>
        <v/>
      </c>
      <c r="AY9" s="10">
        <f>Time!AY30-AY7-AY8</f>
        <v/>
      </c>
      <c r="AZ9" s="10">
        <f>Time!AZ30-AZ7-AZ8</f>
        <v/>
      </c>
      <c r="BA9" s="10">
        <f>Time!BA30-BA7-BA8</f>
        <v/>
      </c>
      <c r="BB9" s="10">
        <f>Time!BB30-BB7-BB8</f>
        <v/>
      </c>
      <c r="BC9" s="10">
        <f>Time!BC30-BC7-BC8</f>
        <v/>
      </c>
      <c r="BD9" s="10">
        <f>Time!BD30-BD7-BD8</f>
        <v/>
      </c>
      <c r="BE9" s="10">
        <f>Time!BE30-BE7-BE8</f>
        <v/>
      </c>
      <c r="BF9" s="10">
        <f>Time!BF30-BF7-BF8</f>
        <v/>
      </c>
      <c r="BG9" s="10">
        <f>Time!BG30-BG7-BG8</f>
        <v/>
      </c>
      <c r="BH9" s="10">
        <f>Time!BH30-BH7-BH8</f>
        <v/>
      </c>
      <c r="BI9" s="10">
        <f>Time!BI30-BI7-BI8</f>
        <v/>
      </c>
      <c r="BJ9" s="10">
        <f>Time!BJ30-BJ7-BJ8</f>
        <v/>
      </c>
      <c r="BK9" s="10">
        <f>Time!BK30-BK7-BK8</f>
        <v/>
      </c>
      <c r="BL9" s="10">
        <f>Time!BL30-BL7-BL8</f>
        <v/>
      </c>
      <c r="BM9" s="10">
        <f>Time!BM30-BM7-BM8</f>
        <v/>
      </c>
      <c r="BN9" s="10">
        <f>Time!BN30-BN7-BN8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3">
        <f>SUM(J10:BN10)</f>
        <v/>
      </c>
      <c r="J10" s="13">
        <f>Inputs!$F$177*Funding!$F$76/Inputs!$F$178*MAX(0,MIN(Time!J33,Inputs!$F$178)-MIN(Time!J32,Inputs!$F$178))+Inputs!$F$179*Funding!$F$76/Inputs!$F$180*MAX(0,MIN(Time!J33,Inputs!$F$180)-MIN(Time!J32,Inputs!$F$180))+Inputs!$F$181*Funding!$F$76/Inputs!$F$182*MAX(0,MIN(Time!J33,Inputs!$F$182)-MIN(Time!J32,Inputs!$F$182))</f>
        <v/>
      </c>
      <c r="K10" s="13">
        <f>Inputs!$F$177*Funding!$F$76/Inputs!$F$178*MAX(0,MIN(Time!K33,Inputs!$F$178)-MIN(Time!K32,Inputs!$F$178))+Inputs!$F$179*Funding!$F$76/Inputs!$F$180*MAX(0,MIN(Time!K33,Inputs!$F$180)-MIN(Time!K32,Inputs!$F$180))+Inputs!$F$181*Funding!$F$76/Inputs!$F$182*MAX(0,MIN(Time!K33,Inputs!$F$182)-MIN(Time!K32,Inputs!$F$182))</f>
        <v/>
      </c>
      <c r="L10" s="13">
        <f>Inputs!$F$177*Funding!$F$76/Inputs!$F$178*MAX(0,MIN(Time!L33,Inputs!$F$178)-MIN(Time!L32,Inputs!$F$178))+Inputs!$F$179*Funding!$F$76/Inputs!$F$180*MAX(0,MIN(Time!L33,Inputs!$F$180)-MIN(Time!L32,Inputs!$F$180))+Inputs!$F$181*Funding!$F$76/Inputs!$F$182*MAX(0,MIN(Time!L33,Inputs!$F$182)-MIN(Time!L32,Inputs!$F$182))</f>
        <v/>
      </c>
      <c r="M10" s="13">
        <f>Inputs!$F$177*Funding!$F$76/Inputs!$F$178*MAX(0,MIN(Time!M33,Inputs!$F$178)-MIN(Time!M32,Inputs!$F$178))+Inputs!$F$179*Funding!$F$76/Inputs!$F$180*MAX(0,MIN(Time!M33,Inputs!$F$180)-MIN(Time!M32,Inputs!$F$180))+Inputs!$F$181*Funding!$F$76/Inputs!$F$182*MAX(0,MIN(Time!M33,Inputs!$F$182)-MIN(Time!M32,Inputs!$F$182))</f>
        <v/>
      </c>
      <c r="N10" s="13">
        <f>Inputs!$F$177*Funding!$F$76/Inputs!$F$178*MAX(0,MIN(Time!N33,Inputs!$F$178)-MIN(Time!N32,Inputs!$F$178))+Inputs!$F$179*Funding!$F$76/Inputs!$F$180*MAX(0,MIN(Time!N33,Inputs!$F$180)-MIN(Time!N32,Inputs!$F$180))+Inputs!$F$181*Funding!$F$76/Inputs!$F$182*MAX(0,MIN(Time!N33,Inputs!$F$182)-MIN(Time!N32,Inputs!$F$182))</f>
        <v/>
      </c>
      <c r="O10" s="13">
        <f>Inputs!$F$177*Funding!$F$76/Inputs!$F$178*MAX(0,MIN(Time!O33,Inputs!$F$178)-MIN(Time!O32,Inputs!$F$178))+Inputs!$F$179*Funding!$F$76/Inputs!$F$180*MAX(0,MIN(Time!O33,Inputs!$F$180)-MIN(Time!O32,Inputs!$F$180))+Inputs!$F$181*Funding!$F$76/Inputs!$F$182*MAX(0,MIN(Time!O33,Inputs!$F$182)-MIN(Time!O32,Inputs!$F$182))</f>
        <v/>
      </c>
      <c r="P10" s="13">
        <f>Inputs!$F$177*Funding!$F$76/Inputs!$F$178*MAX(0,MIN(Time!P33,Inputs!$F$178)-MIN(Time!P32,Inputs!$F$178))+Inputs!$F$179*Funding!$F$76/Inputs!$F$180*MAX(0,MIN(Time!P33,Inputs!$F$180)-MIN(Time!P32,Inputs!$F$180))+Inputs!$F$181*Funding!$F$76/Inputs!$F$182*MAX(0,MIN(Time!P33,Inputs!$F$182)-MIN(Time!P32,Inputs!$F$182))</f>
        <v/>
      </c>
      <c r="Q10" s="13">
        <f>Inputs!$F$177*Funding!$F$76/Inputs!$F$178*MAX(0,MIN(Time!Q33,Inputs!$F$178)-MIN(Time!Q32,Inputs!$F$178))+Inputs!$F$179*Funding!$F$76/Inputs!$F$180*MAX(0,MIN(Time!Q33,Inputs!$F$180)-MIN(Time!Q32,Inputs!$F$180))+Inputs!$F$181*Funding!$F$76/Inputs!$F$182*MAX(0,MIN(Time!Q33,Inputs!$F$182)-MIN(Time!Q32,Inputs!$F$182))</f>
        <v/>
      </c>
      <c r="R10" s="13">
        <f>Inputs!$F$177*Funding!$F$76/Inputs!$F$178*MAX(0,MIN(Time!R33,Inputs!$F$178)-MIN(Time!R32,Inputs!$F$178))+Inputs!$F$179*Funding!$F$76/Inputs!$F$180*MAX(0,MIN(Time!R33,Inputs!$F$180)-MIN(Time!R32,Inputs!$F$180))+Inputs!$F$181*Funding!$F$76/Inputs!$F$182*MAX(0,MIN(Time!R33,Inputs!$F$182)-MIN(Time!R32,Inputs!$F$182))</f>
        <v/>
      </c>
      <c r="S10" s="13">
        <f>Inputs!$F$177*Funding!$F$76/Inputs!$F$178*MAX(0,MIN(Time!S33,Inputs!$F$178)-MIN(Time!S32,Inputs!$F$178))+Inputs!$F$179*Funding!$F$76/Inputs!$F$180*MAX(0,MIN(Time!S33,Inputs!$F$180)-MIN(Time!S32,Inputs!$F$180))+Inputs!$F$181*Funding!$F$76/Inputs!$F$182*MAX(0,MIN(Time!S33,Inputs!$F$182)-MIN(Time!S32,Inputs!$F$182))</f>
        <v/>
      </c>
      <c r="T10" s="13">
        <f>Inputs!$F$177*Funding!$F$76/Inputs!$F$178*MAX(0,MIN(Time!T33,Inputs!$F$178)-MIN(Time!T32,Inputs!$F$178))+Inputs!$F$179*Funding!$F$76/Inputs!$F$180*MAX(0,MIN(Time!T33,Inputs!$F$180)-MIN(Time!T32,Inputs!$F$180))+Inputs!$F$181*Funding!$F$76/Inputs!$F$182*MAX(0,MIN(Time!T33,Inputs!$F$182)-MIN(Time!T32,Inputs!$F$182))</f>
        <v/>
      </c>
      <c r="U10" s="13">
        <f>Inputs!$F$177*Funding!$F$76/Inputs!$F$178*MAX(0,MIN(Time!U33,Inputs!$F$178)-MIN(Time!U32,Inputs!$F$178))+Inputs!$F$179*Funding!$F$76/Inputs!$F$180*MAX(0,MIN(Time!U33,Inputs!$F$180)-MIN(Time!U32,Inputs!$F$180))+Inputs!$F$181*Funding!$F$76/Inputs!$F$182*MAX(0,MIN(Time!U33,Inputs!$F$182)-MIN(Time!U32,Inputs!$F$182))</f>
        <v/>
      </c>
      <c r="V10" s="13">
        <f>Inputs!$F$177*Funding!$F$76/Inputs!$F$178*MAX(0,MIN(Time!V33,Inputs!$F$178)-MIN(Time!V32,Inputs!$F$178))+Inputs!$F$179*Funding!$F$76/Inputs!$F$180*MAX(0,MIN(Time!V33,Inputs!$F$180)-MIN(Time!V32,Inputs!$F$180))+Inputs!$F$181*Funding!$F$76/Inputs!$F$182*MAX(0,MIN(Time!V33,Inputs!$F$182)-MIN(Time!V32,Inputs!$F$182))</f>
        <v/>
      </c>
      <c r="W10" s="13">
        <f>Inputs!$F$177*Funding!$F$76/Inputs!$F$178*MAX(0,MIN(Time!W33,Inputs!$F$178)-MIN(Time!W32,Inputs!$F$178))+Inputs!$F$179*Funding!$F$76/Inputs!$F$180*MAX(0,MIN(Time!W33,Inputs!$F$180)-MIN(Time!W32,Inputs!$F$180))+Inputs!$F$181*Funding!$F$76/Inputs!$F$182*MAX(0,MIN(Time!W33,Inputs!$F$182)-MIN(Time!W32,Inputs!$F$182))</f>
        <v/>
      </c>
      <c r="X10" s="13">
        <f>Inputs!$F$177*Funding!$F$76/Inputs!$F$178*MAX(0,MIN(Time!X33,Inputs!$F$178)-MIN(Time!X32,Inputs!$F$178))+Inputs!$F$179*Funding!$F$76/Inputs!$F$180*MAX(0,MIN(Time!X33,Inputs!$F$180)-MIN(Time!X32,Inputs!$F$180))+Inputs!$F$181*Funding!$F$76/Inputs!$F$182*MAX(0,MIN(Time!X33,Inputs!$F$182)-MIN(Time!X32,Inputs!$F$182))</f>
        <v/>
      </c>
      <c r="Y10" s="13">
        <f>Inputs!$F$177*Funding!$F$76/Inputs!$F$178*MAX(0,MIN(Time!Y33,Inputs!$F$178)-MIN(Time!Y32,Inputs!$F$178))+Inputs!$F$179*Funding!$F$76/Inputs!$F$180*MAX(0,MIN(Time!Y33,Inputs!$F$180)-MIN(Time!Y32,Inputs!$F$180))+Inputs!$F$181*Funding!$F$76/Inputs!$F$182*MAX(0,MIN(Time!Y33,Inputs!$F$182)-MIN(Time!Y32,Inputs!$F$182))</f>
        <v/>
      </c>
      <c r="Z10" s="13">
        <f>Inputs!$F$177*Funding!$F$76/Inputs!$F$178*MAX(0,MIN(Time!Z33,Inputs!$F$178)-MIN(Time!Z32,Inputs!$F$178))+Inputs!$F$179*Funding!$F$76/Inputs!$F$180*MAX(0,MIN(Time!Z33,Inputs!$F$180)-MIN(Time!Z32,Inputs!$F$180))+Inputs!$F$181*Funding!$F$76/Inputs!$F$182*MAX(0,MIN(Time!Z33,Inputs!$F$182)-MIN(Time!Z32,Inputs!$F$182))</f>
        <v/>
      </c>
      <c r="AA10" s="13">
        <f>Inputs!$F$177*Funding!$F$76/Inputs!$F$178*MAX(0,MIN(Time!AA33,Inputs!$F$178)-MIN(Time!AA32,Inputs!$F$178))+Inputs!$F$179*Funding!$F$76/Inputs!$F$180*MAX(0,MIN(Time!AA33,Inputs!$F$180)-MIN(Time!AA32,Inputs!$F$180))+Inputs!$F$181*Funding!$F$76/Inputs!$F$182*MAX(0,MIN(Time!AA33,Inputs!$F$182)-MIN(Time!AA32,Inputs!$F$182))</f>
        <v/>
      </c>
      <c r="AB10" s="13">
        <f>Inputs!$F$177*Funding!$F$76/Inputs!$F$178*MAX(0,MIN(Time!AB33,Inputs!$F$178)-MIN(Time!AB32,Inputs!$F$178))+Inputs!$F$179*Funding!$F$76/Inputs!$F$180*MAX(0,MIN(Time!AB33,Inputs!$F$180)-MIN(Time!AB32,Inputs!$F$180))+Inputs!$F$181*Funding!$F$76/Inputs!$F$182*MAX(0,MIN(Time!AB33,Inputs!$F$182)-MIN(Time!AB32,Inputs!$F$182))</f>
        <v/>
      </c>
      <c r="AC10" s="13">
        <f>Inputs!$F$177*Funding!$F$76/Inputs!$F$178*MAX(0,MIN(Time!AC33,Inputs!$F$178)-MIN(Time!AC32,Inputs!$F$178))+Inputs!$F$179*Funding!$F$76/Inputs!$F$180*MAX(0,MIN(Time!AC33,Inputs!$F$180)-MIN(Time!AC32,Inputs!$F$180))+Inputs!$F$181*Funding!$F$76/Inputs!$F$182*MAX(0,MIN(Time!AC33,Inputs!$F$182)-MIN(Time!AC32,Inputs!$F$182))</f>
        <v/>
      </c>
      <c r="AD10" s="13">
        <f>Inputs!$F$177*Funding!$F$76/Inputs!$F$178*MAX(0,MIN(Time!AD33,Inputs!$F$178)-MIN(Time!AD32,Inputs!$F$178))+Inputs!$F$179*Funding!$F$76/Inputs!$F$180*MAX(0,MIN(Time!AD33,Inputs!$F$180)-MIN(Time!AD32,Inputs!$F$180))+Inputs!$F$181*Funding!$F$76/Inputs!$F$182*MAX(0,MIN(Time!AD33,Inputs!$F$182)-MIN(Time!AD32,Inputs!$F$182))</f>
        <v/>
      </c>
      <c r="AE10" s="13">
        <f>Inputs!$F$177*Funding!$F$76/Inputs!$F$178*MAX(0,MIN(Time!AE33,Inputs!$F$178)-MIN(Time!AE32,Inputs!$F$178))+Inputs!$F$179*Funding!$F$76/Inputs!$F$180*MAX(0,MIN(Time!AE33,Inputs!$F$180)-MIN(Time!AE32,Inputs!$F$180))+Inputs!$F$181*Funding!$F$76/Inputs!$F$182*MAX(0,MIN(Time!AE33,Inputs!$F$182)-MIN(Time!AE32,Inputs!$F$182))</f>
        <v/>
      </c>
      <c r="AF10" s="13">
        <f>Inputs!$F$177*Funding!$F$76/Inputs!$F$178*MAX(0,MIN(Time!AF33,Inputs!$F$178)-MIN(Time!AF32,Inputs!$F$178))+Inputs!$F$179*Funding!$F$76/Inputs!$F$180*MAX(0,MIN(Time!AF33,Inputs!$F$180)-MIN(Time!AF32,Inputs!$F$180))+Inputs!$F$181*Funding!$F$76/Inputs!$F$182*MAX(0,MIN(Time!AF33,Inputs!$F$182)-MIN(Time!AF32,Inputs!$F$182))</f>
        <v/>
      </c>
      <c r="AG10" s="13">
        <f>Inputs!$F$177*Funding!$F$76/Inputs!$F$178*MAX(0,MIN(Time!AG33,Inputs!$F$178)-MIN(Time!AG32,Inputs!$F$178))+Inputs!$F$179*Funding!$F$76/Inputs!$F$180*MAX(0,MIN(Time!AG33,Inputs!$F$180)-MIN(Time!AG32,Inputs!$F$180))+Inputs!$F$181*Funding!$F$76/Inputs!$F$182*MAX(0,MIN(Time!AG33,Inputs!$F$182)-MIN(Time!AG32,Inputs!$F$182))</f>
        <v/>
      </c>
      <c r="AH10" s="13">
        <f>Inputs!$F$177*Funding!$F$76/Inputs!$F$178*MAX(0,MIN(Time!AH33,Inputs!$F$178)-MIN(Time!AH32,Inputs!$F$178))+Inputs!$F$179*Funding!$F$76/Inputs!$F$180*MAX(0,MIN(Time!AH33,Inputs!$F$180)-MIN(Time!AH32,Inputs!$F$180))+Inputs!$F$181*Funding!$F$76/Inputs!$F$182*MAX(0,MIN(Time!AH33,Inputs!$F$182)-MIN(Time!AH32,Inputs!$F$182))</f>
        <v/>
      </c>
      <c r="AI10" s="13">
        <f>Inputs!$F$177*Funding!$F$76/Inputs!$F$178*MAX(0,MIN(Time!AI33,Inputs!$F$178)-MIN(Time!AI32,Inputs!$F$178))+Inputs!$F$179*Funding!$F$76/Inputs!$F$180*MAX(0,MIN(Time!AI33,Inputs!$F$180)-MIN(Time!AI32,Inputs!$F$180))+Inputs!$F$181*Funding!$F$76/Inputs!$F$182*MAX(0,MIN(Time!AI33,Inputs!$F$182)-MIN(Time!AI32,Inputs!$F$182))</f>
        <v/>
      </c>
      <c r="AJ10" s="13">
        <f>Inputs!$F$177*Funding!$F$76/Inputs!$F$178*MAX(0,MIN(Time!AJ33,Inputs!$F$178)-MIN(Time!AJ32,Inputs!$F$178))+Inputs!$F$179*Funding!$F$76/Inputs!$F$180*MAX(0,MIN(Time!AJ33,Inputs!$F$180)-MIN(Time!AJ32,Inputs!$F$180))+Inputs!$F$181*Funding!$F$76/Inputs!$F$182*MAX(0,MIN(Time!AJ33,Inputs!$F$182)-MIN(Time!AJ32,Inputs!$F$182))</f>
        <v/>
      </c>
      <c r="AK10" s="13">
        <f>Inputs!$F$177*Funding!$F$76/Inputs!$F$178*MAX(0,MIN(Time!AK33,Inputs!$F$178)-MIN(Time!AK32,Inputs!$F$178))+Inputs!$F$179*Funding!$F$76/Inputs!$F$180*MAX(0,MIN(Time!AK33,Inputs!$F$180)-MIN(Time!AK32,Inputs!$F$180))+Inputs!$F$181*Funding!$F$76/Inputs!$F$182*MAX(0,MIN(Time!AK33,Inputs!$F$182)-MIN(Time!AK32,Inputs!$F$182))</f>
        <v/>
      </c>
      <c r="AL10" s="13">
        <f>Inputs!$F$177*Funding!$F$76/Inputs!$F$178*MAX(0,MIN(Time!AL33,Inputs!$F$178)-MIN(Time!AL32,Inputs!$F$178))+Inputs!$F$179*Funding!$F$76/Inputs!$F$180*MAX(0,MIN(Time!AL33,Inputs!$F$180)-MIN(Time!AL32,Inputs!$F$180))+Inputs!$F$181*Funding!$F$76/Inputs!$F$182*MAX(0,MIN(Time!AL33,Inputs!$F$182)-MIN(Time!AL32,Inputs!$F$182))</f>
        <v/>
      </c>
      <c r="AM10" s="13">
        <f>Inputs!$F$177*Funding!$F$76/Inputs!$F$178*MAX(0,MIN(Time!AM33,Inputs!$F$178)-MIN(Time!AM32,Inputs!$F$178))+Inputs!$F$179*Funding!$F$76/Inputs!$F$180*MAX(0,MIN(Time!AM33,Inputs!$F$180)-MIN(Time!AM32,Inputs!$F$180))+Inputs!$F$181*Funding!$F$76/Inputs!$F$182*MAX(0,MIN(Time!AM33,Inputs!$F$182)-MIN(Time!AM32,Inputs!$F$182))</f>
        <v/>
      </c>
      <c r="AN10" s="13">
        <f>Inputs!$F$177*Funding!$F$76/Inputs!$F$178*MAX(0,MIN(Time!AN33,Inputs!$F$178)-MIN(Time!AN32,Inputs!$F$178))+Inputs!$F$179*Funding!$F$76/Inputs!$F$180*MAX(0,MIN(Time!AN33,Inputs!$F$180)-MIN(Time!AN32,Inputs!$F$180))+Inputs!$F$181*Funding!$F$76/Inputs!$F$182*MAX(0,MIN(Time!AN33,Inputs!$F$182)-MIN(Time!AN32,Inputs!$F$182))</f>
        <v/>
      </c>
      <c r="AO10" s="13">
        <f>Inputs!$F$177*Funding!$F$76/Inputs!$F$178*MAX(0,MIN(Time!AO33,Inputs!$F$178)-MIN(Time!AO32,Inputs!$F$178))+Inputs!$F$179*Funding!$F$76/Inputs!$F$180*MAX(0,MIN(Time!AO33,Inputs!$F$180)-MIN(Time!AO32,Inputs!$F$180))+Inputs!$F$181*Funding!$F$76/Inputs!$F$182*MAX(0,MIN(Time!AO33,Inputs!$F$182)-MIN(Time!AO32,Inputs!$F$182))</f>
        <v/>
      </c>
      <c r="AP10" s="13">
        <f>Inputs!$F$177*Funding!$F$76/Inputs!$F$178*MAX(0,MIN(Time!AP33,Inputs!$F$178)-MIN(Time!AP32,Inputs!$F$178))+Inputs!$F$179*Funding!$F$76/Inputs!$F$180*MAX(0,MIN(Time!AP33,Inputs!$F$180)-MIN(Time!AP32,Inputs!$F$180))+Inputs!$F$181*Funding!$F$76/Inputs!$F$182*MAX(0,MIN(Time!AP33,Inputs!$F$182)-MIN(Time!AP32,Inputs!$F$182))</f>
        <v/>
      </c>
      <c r="AQ10" s="13">
        <f>Inputs!$F$177*Funding!$F$76/Inputs!$F$178*MAX(0,MIN(Time!AQ33,Inputs!$F$178)-MIN(Time!AQ32,Inputs!$F$178))+Inputs!$F$179*Funding!$F$76/Inputs!$F$180*MAX(0,MIN(Time!AQ33,Inputs!$F$180)-MIN(Time!AQ32,Inputs!$F$180))+Inputs!$F$181*Funding!$F$76/Inputs!$F$182*MAX(0,MIN(Time!AQ33,Inputs!$F$182)-MIN(Time!AQ32,Inputs!$F$182))</f>
        <v/>
      </c>
      <c r="AR10" s="13">
        <f>Inputs!$F$177*Funding!$F$76/Inputs!$F$178*MAX(0,MIN(Time!AR33,Inputs!$F$178)-MIN(Time!AR32,Inputs!$F$178))+Inputs!$F$179*Funding!$F$76/Inputs!$F$180*MAX(0,MIN(Time!AR33,Inputs!$F$180)-MIN(Time!AR32,Inputs!$F$180))+Inputs!$F$181*Funding!$F$76/Inputs!$F$182*MAX(0,MIN(Time!AR33,Inputs!$F$182)-MIN(Time!AR32,Inputs!$F$182))</f>
        <v/>
      </c>
      <c r="AS10" s="13">
        <f>Inputs!$F$177*Funding!$F$76/Inputs!$F$178*MAX(0,MIN(Time!AS33,Inputs!$F$178)-MIN(Time!AS32,Inputs!$F$178))+Inputs!$F$179*Funding!$F$76/Inputs!$F$180*MAX(0,MIN(Time!AS33,Inputs!$F$180)-MIN(Time!AS32,Inputs!$F$180))+Inputs!$F$181*Funding!$F$76/Inputs!$F$182*MAX(0,MIN(Time!AS33,Inputs!$F$182)-MIN(Time!AS32,Inputs!$F$182))</f>
        <v/>
      </c>
      <c r="AT10" s="13">
        <f>Inputs!$F$177*Funding!$F$76/Inputs!$F$178*MAX(0,MIN(Time!AT33,Inputs!$F$178)-MIN(Time!AT32,Inputs!$F$178))+Inputs!$F$179*Funding!$F$76/Inputs!$F$180*MAX(0,MIN(Time!AT33,Inputs!$F$180)-MIN(Time!AT32,Inputs!$F$180))+Inputs!$F$181*Funding!$F$76/Inputs!$F$182*MAX(0,MIN(Time!AT33,Inputs!$F$182)-MIN(Time!AT32,Inputs!$F$182))</f>
        <v/>
      </c>
      <c r="AU10" s="13">
        <f>Inputs!$F$177*Funding!$F$76/Inputs!$F$178*MAX(0,MIN(Time!AU33,Inputs!$F$178)-MIN(Time!AU32,Inputs!$F$178))+Inputs!$F$179*Funding!$F$76/Inputs!$F$180*MAX(0,MIN(Time!AU33,Inputs!$F$180)-MIN(Time!AU32,Inputs!$F$180))+Inputs!$F$181*Funding!$F$76/Inputs!$F$182*MAX(0,MIN(Time!AU33,Inputs!$F$182)-MIN(Time!AU32,Inputs!$F$182))</f>
        <v/>
      </c>
      <c r="AV10" s="13">
        <f>Inputs!$F$177*Funding!$F$76/Inputs!$F$178*MAX(0,MIN(Time!AV33,Inputs!$F$178)-MIN(Time!AV32,Inputs!$F$178))+Inputs!$F$179*Funding!$F$76/Inputs!$F$180*MAX(0,MIN(Time!AV33,Inputs!$F$180)-MIN(Time!AV32,Inputs!$F$180))+Inputs!$F$181*Funding!$F$76/Inputs!$F$182*MAX(0,MIN(Time!AV33,Inputs!$F$182)-MIN(Time!AV32,Inputs!$F$182))</f>
        <v/>
      </c>
      <c r="AW10" s="13">
        <f>Inputs!$F$177*Funding!$F$76/Inputs!$F$178*MAX(0,MIN(Time!AW33,Inputs!$F$178)-MIN(Time!AW32,Inputs!$F$178))+Inputs!$F$179*Funding!$F$76/Inputs!$F$180*MAX(0,MIN(Time!AW33,Inputs!$F$180)-MIN(Time!AW32,Inputs!$F$180))+Inputs!$F$181*Funding!$F$76/Inputs!$F$182*MAX(0,MIN(Time!AW33,Inputs!$F$182)-MIN(Time!AW32,Inputs!$F$182))</f>
        <v/>
      </c>
      <c r="AX10" s="13">
        <f>Inputs!$F$177*Funding!$F$76/Inputs!$F$178*MAX(0,MIN(Time!AX33,Inputs!$F$178)-MIN(Time!AX32,Inputs!$F$178))+Inputs!$F$179*Funding!$F$76/Inputs!$F$180*MAX(0,MIN(Time!AX33,Inputs!$F$180)-MIN(Time!AX32,Inputs!$F$180))+Inputs!$F$181*Funding!$F$76/Inputs!$F$182*MAX(0,MIN(Time!AX33,Inputs!$F$182)-MIN(Time!AX32,Inputs!$F$182))</f>
        <v/>
      </c>
      <c r="AY10" s="13">
        <f>Inputs!$F$177*Funding!$F$76/Inputs!$F$178*MAX(0,MIN(Time!AY33,Inputs!$F$178)-MIN(Time!AY32,Inputs!$F$178))+Inputs!$F$179*Funding!$F$76/Inputs!$F$180*MAX(0,MIN(Time!AY33,Inputs!$F$180)-MIN(Time!AY32,Inputs!$F$180))+Inputs!$F$181*Funding!$F$76/Inputs!$F$182*MAX(0,MIN(Time!AY33,Inputs!$F$182)-MIN(Time!AY32,Inputs!$F$182))</f>
        <v/>
      </c>
      <c r="AZ10" s="13">
        <f>Inputs!$F$177*Funding!$F$76/Inputs!$F$178*MAX(0,MIN(Time!AZ33,Inputs!$F$178)-MIN(Time!AZ32,Inputs!$F$178))+Inputs!$F$179*Funding!$F$76/Inputs!$F$180*MAX(0,MIN(Time!AZ33,Inputs!$F$180)-MIN(Time!AZ32,Inputs!$F$180))+Inputs!$F$181*Funding!$F$76/Inputs!$F$182*MAX(0,MIN(Time!AZ33,Inputs!$F$182)-MIN(Time!AZ32,Inputs!$F$182))</f>
        <v/>
      </c>
      <c r="BA10" s="13">
        <f>Inputs!$F$177*Funding!$F$76/Inputs!$F$178*MAX(0,MIN(Time!BA33,Inputs!$F$178)-MIN(Time!BA32,Inputs!$F$178))+Inputs!$F$179*Funding!$F$76/Inputs!$F$180*MAX(0,MIN(Time!BA33,Inputs!$F$180)-MIN(Time!BA32,Inputs!$F$180))+Inputs!$F$181*Funding!$F$76/Inputs!$F$182*MAX(0,MIN(Time!BA33,Inputs!$F$182)-MIN(Time!BA32,Inputs!$F$182))</f>
        <v/>
      </c>
      <c r="BB10" s="13">
        <f>Inputs!$F$177*Funding!$F$76/Inputs!$F$178*MAX(0,MIN(Time!BB33,Inputs!$F$178)-MIN(Time!BB32,Inputs!$F$178))+Inputs!$F$179*Funding!$F$76/Inputs!$F$180*MAX(0,MIN(Time!BB33,Inputs!$F$180)-MIN(Time!BB32,Inputs!$F$180))+Inputs!$F$181*Funding!$F$76/Inputs!$F$182*MAX(0,MIN(Time!BB33,Inputs!$F$182)-MIN(Time!BB32,Inputs!$F$182))</f>
        <v/>
      </c>
      <c r="BC10" s="13">
        <f>Inputs!$F$177*Funding!$F$76/Inputs!$F$178*MAX(0,MIN(Time!BC33,Inputs!$F$178)-MIN(Time!BC32,Inputs!$F$178))+Inputs!$F$179*Funding!$F$76/Inputs!$F$180*MAX(0,MIN(Time!BC33,Inputs!$F$180)-MIN(Time!BC32,Inputs!$F$180))+Inputs!$F$181*Funding!$F$76/Inputs!$F$182*MAX(0,MIN(Time!BC33,Inputs!$F$182)-MIN(Time!BC32,Inputs!$F$182))</f>
        <v/>
      </c>
      <c r="BD10" s="13">
        <f>Inputs!$F$177*Funding!$F$76/Inputs!$F$178*MAX(0,MIN(Time!BD33,Inputs!$F$178)-MIN(Time!BD32,Inputs!$F$178))+Inputs!$F$179*Funding!$F$76/Inputs!$F$180*MAX(0,MIN(Time!BD33,Inputs!$F$180)-MIN(Time!BD32,Inputs!$F$180))+Inputs!$F$181*Funding!$F$76/Inputs!$F$182*MAX(0,MIN(Time!BD33,Inputs!$F$182)-MIN(Time!BD32,Inputs!$F$182))</f>
        <v/>
      </c>
      <c r="BE10" s="13">
        <f>Inputs!$F$177*Funding!$F$76/Inputs!$F$178*MAX(0,MIN(Time!BE33,Inputs!$F$178)-MIN(Time!BE32,Inputs!$F$178))+Inputs!$F$179*Funding!$F$76/Inputs!$F$180*MAX(0,MIN(Time!BE33,Inputs!$F$180)-MIN(Time!BE32,Inputs!$F$180))+Inputs!$F$181*Funding!$F$76/Inputs!$F$182*MAX(0,MIN(Time!BE33,Inputs!$F$182)-MIN(Time!BE32,Inputs!$F$182))</f>
        <v/>
      </c>
      <c r="BF10" s="13">
        <f>Inputs!$F$177*Funding!$F$76/Inputs!$F$178*MAX(0,MIN(Time!BF33,Inputs!$F$178)-MIN(Time!BF32,Inputs!$F$178))+Inputs!$F$179*Funding!$F$76/Inputs!$F$180*MAX(0,MIN(Time!BF33,Inputs!$F$180)-MIN(Time!BF32,Inputs!$F$180))+Inputs!$F$181*Funding!$F$76/Inputs!$F$182*MAX(0,MIN(Time!BF33,Inputs!$F$182)-MIN(Time!BF32,Inputs!$F$182))</f>
        <v/>
      </c>
      <c r="BG10" s="13">
        <f>Inputs!$F$177*Funding!$F$76/Inputs!$F$178*MAX(0,MIN(Time!BG33,Inputs!$F$178)-MIN(Time!BG32,Inputs!$F$178))+Inputs!$F$179*Funding!$F$76/Inputs!$F$180*MAX(0,MIN(Time!BG33,Inputs!$F$180)-MIN(Time!BG32,Inputs!$F$180))+Inputs!$F$181*Funding!$F$76/Inputs!$F$182*MAX(0,MIN(Time!BG33,Inputs!$F$182)-MIN(Time!BG32,Inputs!$F$182))</f>
        <v/>
      </c>
      <c r="BH10" s="13">
        <f>Inputs!$F$177*Funding!$F$76/Inputs!$F$178*MAX(0,MIN(Time!BH33,Inputs!$F$178)-MIN(Time!BH32,Inputs!$F$178))+Inputs!$F$179*Funding!$F$76/Inputs!$F$180*MAX(0,MIN(Time!BH33,Inputs!$F$180)-MIN(Time!BH32,Inputs!$F$180))+Inputs!$F$181*Funding!$F$76/Inputs!$F$182*MAX(0,MIN(Time!BH33,Inputs!$F$182)-MIN(Time!BH32,Inputs!$F$182))</f>
        <v/>
      </c>
      <c r="BI10" s="13">
        <f>Inputs!$F$177*Funding!$F$76/Inputs!$F$178*MAX(0,MIN(Time!BI33,Inputs!$F$178)-MIN(Time!BI32,Inputs!$F$178))+Inputs!$F$179*Funding!$F$76/Inputs!$F$180*MAX(0,MIN(Time!BI33,Inputs!$F$180)-MIN(Time!BI32,Inputs!$F$180))+Inputs!$F$181*Funding!$F$76/Inputs!$F$182*MAX(0,MIN(Time!BI33,Inputs!$F$182)-MIN(Time!BI32,Inputs!$F$182))</f>
        <v/>
      </c>
      <c r="BJ10" s="13">
        <f>Inputs!$F$177*Funding!$F$76/Inputs!$F$178*MAX(0,MIN(Time!BJ33,Inputs!$F$178)-MIN(Time!BJ32,Inputs!$F$178))+Inputs!$F$179*Funding!$F$76/Inputs!$F$180*MAX(0,MIN(Time!BJ33,Inputs!$F$180)-MIN(Time!BJ32,Inputs!$F$180))+Inputs!$F$181*Funding!$F$76/Inputs!$F$182*MAX(0,MIN(Time!BJ33,Inputs!$F$182)-MIN(Time!BJ32,Inputs!$F$182))</f>
        <v/>
      </c>
      <c r="BK10" s="13">
        <f>Inputs!$F$177*Funding!$F$76/Inputs!$F$178*MAX(0,MIN(Time!BK33,Inputs!$F$178)-MIN(Time!BK32,Inputs!$F$178))+Inputs!$F$179*Funding!$F$76/Inputs!$F$180*MAX(0,MIN(Time!BK33,Inputs!$F$180)-MIN(Time!BK32,Inputs!$F$180))+Inputs!$F$181*Funding!$F$76/Inputs!$F$182*MAX(0,MIN(Time!BK33,Inputs!$F$182)-MIN(Time!BK32,Inputs!$F$182))</f>
        <v/>
      </c>
      <c r="BL10" s="13">
        <f>Inputs!$F$177*Funding!$F$76/Inputs!$F$178*MAX(0,MIN(Time!BL33,Inputs!$F$178)-MIN(Time!BL32,Inputs!$F$178))+Inputs!$F$179*Funding!$F$76/Inputs!$F$180*MAX(0,MIN(Time!BL33,Inputs!$F$180)-MIN(Time!BL32,Inputs!$F$180))+Inputs!$F$181*Funding!$F$76/Inputs!$F$182*MAX(0,MIN(Time!BL33,Inputs!$F$182)-MIN(Time!BL32,Inputs!$F$182))</f>
        <v/>
      </c>
      <c r="BM10" s="13">
        <f>Inputs!$F$177*Funding!$F$76/Inputs!$F$178*MAX(0,MIN(Time!BM33,Inputs!$F$178)-MIN(Time!BM32,Inputs!$F$178))+Inputs!$F$179*Funding!$F$76/Inputs!$F$180*MAX(0,MIN(Time!BM33,Inputs!$F$180)-MIN(Time!BM32,Inputs!$F$180))+Inputs!$F$181*Funding!$F$76/Inputs!$F$182*MAX(0,MIN(Time!BM33,Inputs!$F$182)-MIN(Time!BM32,Inputs!$F$182))</f>
        <v/>
      </c>
      <c r="BN10" s="13">
        <f>Inputs!$F$177*Funding!$F$76/Inputs!$F$178*MAX(0,MIN(Time!BN33,Inputs!$F$178)-MIN(Time!BN32,Inputs!$F$178))+Inputs!$F$179*Funding!$F$76/Inputs!$F$180*MAX(0,MIN(Time!BN33,Inputs!$F$180)-MIN(Time!BN32,Inputs!$F$180))+Inputs!$F$181*Funding!$F$76/Inputs!$F$182*MAX(0,MIN(Time!BN33,Inputs!$F$182)-MIN(Time!BN32,Inputs!$F$182)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3">
        <f>SUM(J11:BN11)</f>
        <v/>
      </c>
      <c r="J11" s="13">
        <f>(Inputs!$F$177*Funding!$F$76/Inputs!$F$178+Inputs!$F$179*Funding!$F$76/Inputs!$F$180)*J7+Inputs!$F$181*Funding!$F$76/Inputs!$F$182*MAX(0,MIN(Time!J33,MIN(Inputs!$F$182,Inputs!$F$229*12))-MIN(Time!J32,MIN(Inputs!$F$182,Inputs!$F$229*12)))</f>
        <v/>
      </c>
      <c r="K11" s="13">
        <f>(Inputs!$F$177*Funding!$F$76/Inputs!$F$178+Inputs!$F$179*Funding!$F$76/Inputs!$F$180)*K7+Inputs!$F$181*Funding!$F$76/Inputs!$F$182*MAX(0,MIN(Time!K33,MIN(Inputs!$F$182,Inputs!$F$229*12))-MIN(Time!K32,MIN(Inputs!$F$182,Inputs!$F$229*12)))</f>
        <v/>
      </c>
      <c r="L11" s="13">
        <f>(Inputs!$F$177*Funding!$F$76/Inputs!$F$178+Inputs!$F$179*Funding!$F$76/Inputs!$F$180)*L7+Inputs!$F$181*Funding!$F$76/Inputs!$F$182*MAX(0,MIN(Time!L33,MIN(Inputs!$F$182,Inputs!$F$229*12))-MIN(Time!L32,MIN(Inputs!$F$182,Inputs!$F$229*12)))</f>
        <v/>
      </c>
      <c r="M11" s="13">
        <f>(Inputs!$F$177*Funding!$F$76/Inputs!$F$178+Inputs!$F$179*Funding!$F$76/Inputs!$F$180)*M7+Inputs!$F$181*Funding!$F$76/Inputs!$F$182*MAX(0,MIN(Time!M33,MIN(Inputs!$F$182,Inputs!$F$229*12))-MIN(Time!M32,MIN(Inputs!$F$182,Inputs!$F$229*12)))</f>
        <v/>
      </c>
      <c r="N11" s="13">
        <f>(Inputs!$F$177*Funding!$F$76/Inputs!$F$178+Inputs!$F$179*Funding!$F$76/Inputs!$F$180)*N7+Inputs!$F$181*Funding!$F$76/Inputs!$F$182*MAX(0,MIN(Time!N33,MIN(Inputs!$F$182,Inputs!$F$229*12))-MIN(Time!N32,MIN(Inputs!$F$182,Inputs!$F$229*12)))</f>
        <v/>
      </c>
      <c r="O11" s="13">
        <f>(Inputs!$F$177*Funding!$F$76/Inputs!$F$178+Inputs!$F$179*Funding!$F$76/Inputs!$F$180)*O7+Inputs!$F$181*Funding!$F$76/Inputs!$F$182*MAX(0,MIN(Time!O33,MIN(Inputs!$F$182,Inputs!$F$229*12))-MIN(Time!O32,MIN(Inputs!$F$182,Inputs!$F$229*12)))</f>
        <v/>
      </c>
      <c r="P11" s="13">
        <f>(Inputs!$F$177*Funding!$F$76/Inputs!$F$178+Inputs!$F$179*Funding!$F$76/Inputs!$F$180)*P7+Inputs!$F$181*Funding!$F$76/Inputs!$F$182*MAX(0,MIN(Time!P33,MIN(Inputs!$F$182,Inputs!$F$229*12))-MIN(Time!P32,MIN(Inputs!$F$182,Inputs!$F$229*12)))</f>
        <v/>
      </c>
      <c r="Q11" s="13">
        <f>(Inputs!$F$177*Funding!$F$76/Inputs!$F$178+Inputs!$F$179*Funding!$F$76/Inputs!$F$180)*Q7+Inputs!$F$181*Funding!$F$76/Inputs!$F$182*MAX(0,MIN(Time!Q33,MIN(Inputs!$F$182,Inputs!$F$229*12))-MIN(Time!Q32,MIN(Inputs!$F$182,Inputs!$F$229*12)))</f>
        <v/>
      </c>
      <c r="R11" s="13">
        <f>(Inputs!$F$177*Funding!$F$76/Inputs!$F$178+Inputs!$F$179*Funding!$F$76/Inputs!$F$180)*R7+Inputs!$F$181*Funding!$F$76/Inputs!$F$182*MAX(0,MIN(Time!R33,MIN(Inputs!$F$182,Inputs!$F$229*12))-MIN(Time!R32,MIN(Inputs!$F$182,Inputs!$F$229*12)))</f>
        <v/>
      </c>
      <c r="S11" s="13">
        <f>(Inputs!$F$177*Funding!$F$76/Inputs!$F$178+Inputs!$F$179*Funding!$F$76/Inputs!$F$180)*S7+Inputs!$F$181*Funding!$F$76/Inputs!$F$182*MAX(0,MIN(Time!S33,MIN(Inputs!$F$182,Inputs!$F$229*12))-MIN(Time!S32,MIN(Inputs!$F$182,Inputs!$F$229*12)))</f>
        <v/>
      </c>
      <c r="T11" s="13">
        <f>(Inputs!$F$177*Funding!$F$76/Inputs!$F$178+Inputs!$F$179*Funding!$F$76/Inputs!$F$180)*T7+Inputs!$F$181*Funding!$F$76/Inputs!$F$182*MAX(0,MIN(Time!T33,MIN(Inputs!$F$182,Inputs!$F$229*12))-MIN(Time!T32,MIN(Inputs!$F$182,Inputs!$F$229*12)))</f>
        <v/>
      </c>
      <c r="U11" s="13">
        <f>(Inputs!$F$177*Funding!$F$76/Inputs!$F$178+Inputs!$F$179*Funding!$F$76/Inputs!$F$180)*U7+Inputs!$F$181*Funding!$F$76/Inputs!$F$182*MAX(0,MIN(Time!U33,MIN(Inputs!$F$182,Inputs!$F$229*12))-MIN(Time!U32,MIN(Inputs!$F$182,Inputs!$F$229*12)))</f>
        <v/>
      </c>
      <c r="V11" s="13">
        <f>(Inputs!$F$177*Funding!$F$76/Inputs!$F$178+Inputs!$F$179*Funding!$F$76/Inputs!$F$180)*V7+Inputs!$F$181*Funding!$F$76/Inputs!$F$182*MAX(0,MIN(Time!V33,MIN(Inputs!$F$182,Inputs!$F$229*12))-MIN(Time!V32,MIN(Inputs!$F$182,Inputs!$F$229*12)))</f>
        <v/>
      </c>
      <c r="W11" s="13">
        <f>(Inputs!$F$177*Funding!$F$76/Inputs!$F$178+Inputs!$F$179*Funding!$F$76/Inputs!$F$180)*W7+Inputs!$F$181*Funding!$F$76/Inputs!$F$182*MAX(0,MIN(Time!W33,MIN(Inputs!$F$182,Inputs!$F$229*12))-MIN(Time!W32,MIN(Inputs!$F$182,Inputs!$F$229*12)))</f>
        <v/>
      </c>
      <c r="X11" s="13">
        <f>(Inputs!$F$177*Funding!$F$76/Inputs!$F$178+Inputs!$F$179*Funding!$F$76/Inputs!$F$180)*X7+Inputs!$F$181*Funding!$F$76/Inputs!$F$182*MAX(0,MIN(Time!X33,MIN(Inputs!$F$182,Inputs!$F$229*12))-MIN(Time!X32,MIN(Inputs!$F$182,Inputs!$F$229*12)))</f>
        <v/>
      </c>
      <c r="Y11" s="13">
        <f>(Inputs!$F$177*Funding!$F$76/Inputs!$F$178+Inputs!$F$179*Funding!$F$76/Inputs!$F$180)*Y7+Inputs!$F$181*Funding!$F$76/Inputs!$F$182*MAX(0,MIN(Time!Y33,MIN(Inputs!$F$182,Inputs!$F$229*12))-MIN(Time!Y32,MIN(Inputs!$F$182,Inputs!$F$229*12)))</f>
        <v/>
      </c>
      <c r="Z11" s="13">
        <f>(Inputs!$F$177*Funding!$F$76/Inputs!$F$178+Inputs!$F$179*Funding!$F$76/Inputs!$F$180)*Z7+Inputs!$F$181*Funding!$F$76/Inputs!$F$182*MAX(0,MIN(Time!Z33,MIN(Inputs!$F$182,Inputs!$F$229*12))-MIN(Time!Z32,MIN(Inputs!$F$182,Inputs!$F$229*12)))</f>
        <v/>
      </c>
      <c r="AA11" s="13">
        <f>(Inputs!$F$177*Funding!$F$76/Inputs!$F$178+Inputs!$F$179*Funding!$F$76/Inputs!$F$180)*AA7+Inputs!$F$181*Funding!$F$76/Inputs!$F$182*MAX(0,MIN(Time!AA33,MIN(Inputs!$F$182,Inputs!$F$229*12))-MIN(Time!AA32,MIN(Inputs!$F$182,Inputs!$F$229*12)))</f>
        <v/>
      </c>
      <c r="AB11" s="13">
        <f>(Inputs!$F$177*Funding!$F$76/Inputs!$F$178+Inputs!$F$179*Funding!$F$76/Inputs!$F$180)*AB7+Inputs!$F$181*Funding!$F$76/Inputs!$F$182*MAX(0,MIN(Time!AB33,MIN(Inputs!$F$182,Inputs!$F$229*12))-MIN(Time!AB32,MIN(Inputs!$F$182,Inputs!$F$229*12)))</f>
        <v/>
      </c>
      <c r="AC11" s="13">
        <f>(Inputs!$F$177*Funding!$F$76/Inputs!$F$178+Inputs!$F$179*Funding!$F$76/Inputs!$F$180)*AC7+Inputs!$F$181*Funding!$F$76/Inputs!$F$182*MAX(0,MIN(Time!AC33,MIN(Inputs!$F$182,Inputs!$F$229*12))-MIN(Time!AC32,MIN(Inputs!$F$182,Inputs!$F$229*12)))</f>
        <v/>
      </c>
      <c r="AD11" s="13">
        <f>(Inputs!$F$177*Funding!$F$76/Inputs!$F$178+Inputs!$F$179*Funding!$F$76/Inputs!$F$180)*AD7+Inputs!$F$181*Funding!$F$76/Inputs!$F$182*MAX(0,MIN(Time!AD33,MIN(Inputs!$F$182,Inputs!$F$229*12))-MIN(Time!AD32,MIN(Inputs!$F$182,Inputs!$F$229*12)))</f>
        <v/>
      </c>
      <c r="AE11" s="13">
        <f>(Inputs!$F$177*Funding!$F$76/Inputs!$F$178+Inputs!$F$179*Funding!$F$76/Inputs!$F$180)*AE7+Inputs!$F$181*Funding!$F$76/Inputs!$F$182*MAX(0,MIN(Time!AE33,MIN(Inputs!$F$182,Inputs!$F$229*12))-MIN(Time!AE32,MIN(Inputs!$F$182,Inputs!$F$229*12)))</f>
        <v/>
      </c>
      <c r="AF11" s="13">
        <f>(Inputs!$F$177*Funding!$F$76/Inputs!$F$178+Inputs!$F$179*Funding!$F$76/Inputs!$F$180)*AF7+Inputs!$F$181*Funding!$F$76/Inputs!$F$182*MAX(0,MIN(Time!AF33,MIN(Inputs!$F$182,Inputs!$F$229*12))-MIN(Time!AF32,MIN(Inputs!$F$182,Inputs!$F$229*12)))</f>
        <v/>
      </c>
      <c r="AG11" s="13">
        <f>(Inputs!$F$177*Funding!$F$76/Inputs!$F$178+Inputs!$F$179*Funding!$F$76/Inputs!$F$180)*AG7+Inputs!$F$181*Funding!$F$76/Inputs!$F$182*MAX(0,MIN(Time!AG33,MIN(Inputs!$F$182,Inputs!$F$229*12))-MIN(Time!AG32,MIN(Inputs!$F$182,Inputs!$F$229*12)))</f>
        <v/>
      </c>
      <c r="AH11" s="13">
        <f>(Inputs!$F$177*Funding!$F$76/Inputs!$F$178+Inputs!$F$179*Funding!$F$76/Inputs!$F$180)*AH7+Inputs!$F$181*Funding!$F$76/Inputs!$F$182*MAX(0,MIN(Time!AH33,MIN(Inputs!$F$182,Inputs!$F$229*12))-MIN(Time!AH32,MIN(Inputs!$F$182,Inputs!$F$229*12)))</f>
        <v/>
      </c>
      <c r="AI11" s="13">
        <f>(Inputs!$F$177*Funding!$F$76/Inputs!$F$178+Inputs!$F$179*Funding!$F$76/Inputs!$F$180)*AI7+Inputs!$F$181*Funding!$F$76/Inputs!$F$182*MAX(0,MIN(Time!AI33,MIN(Inputs!$F$182,Inputs!$F$229*12))-MIN(Time!AI32,MIN(Inputs!$F$182,Inputs!$F$229*12)))</f>
        <v/>
      </c>
      <c r="AJ11" s="13">
        <f>(Inputs!$F$177*Funding!$F$76/Inputs!$F$178+Inputs!$F$179*Funding!$F$76/Inputs!$F$180)*AJ7+Inputs!$F$181*Funding!$F$76/Inputs!$F$182*MAX(0,MIN(Time!AJ33,MIN(Inputs!$F$182,Inputs!$F$229*12))-MIN(Time!AJ32,MIN(Inputs!$F$182,Inputs!$F$229*12)))</f>
        <v/>
      </c>
      <c r="AK11" s="13">
        <f>(Inputs!$F$177*Funding!$F$76/Inputs!$F$178+Inputs!$F$179*Funding!$F$76/Inputs!$F$180)*AK7+Inputs!$F$181*Funding!$F$76/Inputs!$F$182*MAX(0,MIN(Time!AK33,MIN(Inputs!$F$182,Inputs!$F$229*12))-MIN(Time!AK32,MIN(Inputs!$F$182,Inputs!$F$229*12)))</f>
        <v/>
      </c>
      <c r="AL11" s="13">
        <f>(Inputs!$F$177*Funding!$F$76/Inputs!$F$178+Inputs!$F$179*Funding!$F$76/Inputs!$F$180)*AL7+Inputs!$F$181*Funding!$F$76/Inputs!$F$182*MAX(0,MIN(Time!AL33,MIN(Inputs!$F$182,Inputs!$F$229*12))-MIN(Time!AL32,MIN(Inputs!$F$182,Inputs!$F$229*12)))</f>
        <v/>
      </c>
      <c r="AM11" s="13">
        <f>(Inputs!$F$177*Funding!$F$76/Inputs!$F$178+Inputs!$F$179*Funding!$F$76/Inputs!$F$180)*AM7+Inputs!$F$181*Funding!$F$76/Inputs!$F$182*MAX(0,MIN(Time!AM33,MIN(Inputs!$F$182,Inputs!$F$229*12))-MIN(Time!AM32,MIN(Inputs!$F$182,Inputs!$F$229*12)))</f>
        <v/>
      </c>
      <c r="AN11" s="13">
        <f>(Inputs!$F$177*Funding!$F$76/Inputs!$F$178+Inputs!$F$179*Funding!$F$76/Inputs!$F$180)*AN7+Inputs!$F$181*Funding!$F$76/Inputs!$F$182*MAX(0,MIN(Time!AN33,MIN(Inputs!$F$182,Inputs!$F$229*12))-MIN(Time!AN32,MIN(Inputs!$F$182,Inputs!$F$229*12)))</f>
        <v/>
      </c>
      <c r="AO11" s="13">
        <f>(Inputs!$F$177*Funding!$F$76/Inputs!$F$178+Inputs!$F$179*Funding!$F$76/Inputs!$F$180)*AO7+Inputs!$F$181*Funding!$F$76/Inputs!$F$182*MAX(0,MIN(Time!AO33,MIN(Inputs!$F$182,Inputs!$F$229*12))-MIN(Time!AO32,MIN(Inputs!$F$182,Inputs!$F$229*12)))</f>
        <v/>
      </c>
      <c r="AP11" s="13">
        <f>(Inputs!$F$177*Funding!$F$76/Inputs!$F$178+Inputs!$F$179*Funding!$F$76/Inputs!$F$180)*AP7+Inputs!$F$181*Funding!$F$76/Inputs!$F$182*MAX(0,MIN(Time!AP33,MIN(Inputs!$F$182,Inputs!$F$229*12))-MIN(Time!AP32,MIN(Inputs!$F$182,Inputs!$F$229*12)))</f>
        <v/>
      </c>
      <c r="AQ11" s="13">
        <f>(Inputs!$F$177*Funding!$F$76/Inputs!$F$178+Inputs!$F$179*Funding!$F$76/Inputs!$F$180)*AQ7+Inputs!$F$181*Funding!$F$76/Inputs!$F$182*MAX(0,MIN(Time!AQ33,MIN(Inputs!$F$182,Inputs!$F$229*12))-MIN(Time!AQ32,MIN(Inputs!$F$182,Inputs!$F$229*12)))</f>
        <v/>
      </c>
      <c r="AR11" s="13">
        <f>(Inputs!$F$177*Funding!$F$76/Inputs!$F$178+Inputs!$F$179*Funding!$F$76/Inputs!$F$180)*AR7+Inputs!$F$181*Funding!$F$76/Inputs!$F$182*MAX(0,MIN(Time!AR33,MIN(Inputs!$F$182,Inputs!$F$229*12))-MIN(Time!AR32,MIN(Inputs!$F$182,Inputs!$F$229*12)))</f>
        <v/>
      </c>
      <c r="AS11" s="13">
        <f>(Inputs!$F$177*Funding!$F$76/Inputs!$F$178+Inputs!$F$179*Funding!$F$76/Inputs!$F$180)*AS7+Inputs!$F$181*Funding!$F$76/Inputs!$F$182*MAX(0,MIN(Time!AS33,MIN(Inputs!$F$182,Inputs!$F$229*12))-MIN(Time!AS32,MIN(Inputs!$F$182,Inputs!$F$229*12)))</f>
        <v/>
      </c>
      <c r="AT11" s="13">
        <f>(Inputs!$F$177*Funding!$F$76/Inputs!$F$178+Inputs!$F$179*Funding!$F$76/Inputs!$F$180)*AT7+Inputs!$F$181*Funding!$F$76/Inputs!$F$182*MAX(0,MIN(Time!AT33,MIN(Inputs!$F$182,Inputs!$F$229*12))-MIN(Time!AT32,MIN(Inputs!$F$182,Inputs!$F$229*12)))</f>
        <v/>
      </c>
      <c r="AU11" s="13">
        <f>(Inputs!$F$177*Funding!$F$76/Inputs!$F$178+Inputs!$F$179*Funding!$F$76/Inputs!$F$180)*AU7+Inputs!$F$181*Funding!$F$76/Inputs!$F$182*MAX(0,MIN(Time!AU33,MIN(Inputs!$F$182,Inputs!$F$229*12))-MIN(Time!AU32,MIN(Inputs!$F$182,Inputs!$F$229*12)))</f>
        <v/>
      </c>
      <c r="AV11" s="13">
        <f>(Inputs!$F$177*Funding!$F$76/Inputs!$F$178+Inputs!$F$179*Funding!$F$76/Inputs!$F$180)*AV7+Inputs!$F$181*Funding!$F$76/Inputs!$F$182*MAX(0,MIN(Time!AV33,MIN(Inputs!$F$182,Inputs!$F$229*12))-MIN(Time!AV32,MIN(Inputs!$F$182,Inputs!$F$229*12)))</f>
        <v/>
      </c>
      <c r="AW11" s="13">
        <f>(Inputs!$F$177*Funding!$F$76/Inputs!$F$178+Inputs!$F$179*Funding!$F$76/Inputs!$F$180)*AW7+Inputs!$F$181*Funding!$F$76/Inputs!$F$182*MAX(0,MIN(Time!AW33,MIN(Inputs!$F$182,Inputs!$F$229*12))-MIN(Time!AW32,MIN(Inputs!$F$182,Inputs!$F$229*12)))</f>
        <v/>
      </c>
      <c r="AX11" s="13">
        <f>(Inputs!$F$177*Funding!$F$76/Inputs!$F$178+Inputs!$F$179*Funding!$F$76/Inputs!$F$180)*AX7+Inputs!$F$181*Funding!$F$76/Inputs!$F$182*MAX(0,MIN(Time!AX33,MIN(Inputs!$F$182,Inputs!$F$229*12))-MIN(Time!AX32,MIN(Inputs!$F$182,Inputs!$F$229*12)))</f>
        <v/>
      </c>
      <c r="AY11" s="13">
        <f>(Inputs!$F$177*Funding!$F$76/Inputs!$F$178+Inputs!$F$179*Funding!$F$76/Inputs!$F$180)*AY7+Inputs!$F$181*Funding!$F$76/Inputs!$F$182*MAX(0,MIN(Time!AY33,MIN(Inputs!$F$182,Inputs!$F$229*12))-MIN(Time!AY32,MIN(Inputs!$F$182,Inputs!$F$229*12)))</f>
        <v/>
      </c>
      <c r="AZ11" s="13">
        <f>(Inputs!$F$177*Funding!$F$76/Inputs!$F$178+Inputs!$F$179*Funding!$F$76/Inputs!$F$180)*AZ7+Inputs!$F$181*Funding!$F$76/Inputs!$F$182*MAX(0,MIN(Time!AZ33,MIN(Inputs!$F$182,Inputs!$F$229*12))-MIN(Time!AZ32,MIN(Inputs!$F$182,Inputs!$F$229*12)))</f>
        <v/>
      </c>
      <c r="BA11" s="13">
        <f>(Inputs!$F$177*Funding!$F$76/Inputs!$F$178+Inputs!$F$179*Funding!$F$76/Inputs!$F$180)*BA7+Inputs!$F$181*Funding!$F$76/Inputs!$F$182*MAX(0,MIN(Time!BA33,MIN(Inputs!$F$182,Inputs!$F$229*12))-MIN(Time!BA32,MIN(Inputs!$F$182,Inputs!$F$229*12)))</f>
        <v/>
      </c>
      <c r="BB11" s="13">
        <f>(Inputs!$F$177*Funding!$F$76/Inputs!$F$178+Inputs!$F$179*Funding!$F$76/Inputs!$F$180)*BB7+Inputs!$F$181*Funding!$F$76/Inputs!$F$182*MAX(0,MIN(Time!BB33,MIN(Inputs!$F$182,Inputs!$F$229*12))-MIN(Time!BB32,MIN(Inputs!$F$182,Inputs!$F$229*12)))</f>
        <v/>
      </c>
      <c r="BC11" s="13">
        <f>(Inputs!$F$177*Funding!$F$76/Inputs!$F$178+Inputs!$F$179*Funding!$F$76/Inputs!$F$180)*BC7+Inputs!$F$181*Funding!$F$76/Inputs!$F$182*MAX(0,MIN(Time!BC33,MIN(Inputs!$F$182,Inputs!$F$229*12))-MIN(Time!BC32,MIN(Inputs!$F$182,Inputs!$F$229*12)))</f>
        <v/>
      </c>
      <c r="BD11" s="13">
        <f>(Inputs!$F$177*Funding!$F$76/Inputs!$F$178+Inputs!$F$179*Funding!$F$76/Inputs!$F$180)*BD7+Inputs!$F$181*Funding!$F$76/Inputs!$F$182*MAX(0,MIN(Time!BD33,MIN(Inputs!$F$182,Inputs!$F$229*12))-MIN(Time!BD32,MIN(Inputs!$F$182,Inputs!$F$229*12)))</f>
        <v/>
      </c>
      <c r="BE11" s="13">
        <f>(Inputs!$F$177*Funding!$F$76/Inputs!$F$178+Inputs!$F$179*Funding!$F$76/Inputs!$F$180)*BE7+Inputs!$F$181*Funding!$F$76/Inputs!$F$182*MAX(0,MIN(Time!BE33,MIN(Inputs!$F$182,Inputs!$F$229*12))-MIN(Time!BE32,MIN(Inputs!$F$182,Inputs!$F$229*12)))</f>
        <v/>
      </c>
      <c r="BF11" s="13">
        <f>(Inputs!$F$177*Funding!$F$76/Inputs!$F$178+Inputs!$F$179*Funding!$F$76/Inputs!$F$180)*BF7+Inputs!$F$181*Funding!$F$76/Inputs!$F$182*MAX(0,MIN(Time!BF33,MIN(Inputs!$F$182,Inputs!$F$229*12))-MIN(Time!BF32,MIN(Inputs!$F$182,Inputs!$F$229*12)))</f>
        <v/>
      </c>
      <c r="BG11" s="13">
        <f>(Inputs!$F$177*Funding!$F$76/Inputs!$F$178+Inputs!$F$179*Funding!$F$76/Inputs!$F$180)*BG7+Inputs!$F$181*Funding!$F$76/Inputs!$F$182*MAX(0,MIN(Time!BG33,MIN(Inputs!$F$182,Inputs!$F$229*12))-MIN(Time!BG32,MIN(Inputs!$F$182,Inputs!$F$229*12)))</f>
        <v/>
      </c>
      <c r="BH11" s="13">
        <f>(Inputs!$F$177*Funding!$F$76/Inputs!$F$178+Inputs!$F$179*Funding!$F$76/Inputs!$F$180)*BH7+Inputs!$F$181*Funding!$F$76/Inputs!$F$182*MAX(0,MIN(Time!BH33,MIN(Inputs!$F$182,Inputs!$F$229*12))-MIN(Time!BH32,MIN(Inputs!$F$182,Inputs!$F$229*12)))</f>
        <v/>
      </c>
      <c r="BI11" s="13">
        <f>(Inputs!$F$177*Funding!$F$76/Inputs!$F$178+Inputs!$F$179*Funding!$F$76/Inputs!$F$180)*BI7+Inputs!$F$181*Funding!$F$76/Inputs!$F$182*MAX(0,MIN(Time!BI33,MIN(Inputs!$F$182,Inputs!$F$229*12))-MIN(Time!BI32,MIN(Inputs!$F$182,Inputs!$F$229*12)))</f>
        <v/>
      </c>
      <c r="BJ11" s="13">
        <f>(Inputs!$F$177*Funding!$F$76/Inputs!$F$178+Inputs!$F$179*Funding!$F$76/Inputs!$F$180)*BJ7+Inputs!$F$181*Funding!$F$76/Inputs!$F$182*MAX(0,MIN(Time!BJ33,MIN(Inputs!$F$182,Inputs!$F$229*12))-MIN(Time!BJ32,MIN(Inputs!$F$182,Inputs!$F$229*12)))</f>
        <v/>
      </c>
      <c r="BK11" s="13">
        <f>(Inputs!$F$177*Funding!$F$76/Inputs!$F$178+Inputs!$F$179*Funding!$F$76/Inputs!$F$180)*BK7+Inputs!$F$181*Funding!$F$76/Inputs!$F$182*MAX(0,MIN(Time!BK33,MIN(Inputs!$F$182,Inputs!$F$229*12))-MIN(Time!BK32,MIN(Inputs!$F$182,Inputs!$F$229*12)))</f>
        <v/>
      </c>
      <c r="BL11" s="13">
        <f>(Inputs!$F$177*Funding!$F$76/Inputs!$F$178+Inputs!$F$179*Funding!$F$76/Inputs!$F$180)*BL7+Inputs!$F$181*Funding!$F$76/Inputs!$F$182*MAX(0,MIN(Time!BL33,MIN(Inputs!$F$182,Inputs!$F$229*12))-MIN(Time!BL32,MIN(Inputs!$F$182,Inputs!$F$229*12)))</f>
        <v/>
      </c>
      <c r="BM11" s="13">
        <f>(Inputs!$F$177*Funding!$F$76/Inputs!$F$178+Inputs!$F$179*Funding!$F$76/Inputs!$F$180)*BM7+Inputs!$F$181*Funding!$F$76/Inputs!$F$182*MAX(0,MIN(Time!BM33,MIN(Inputs!$F$182,Inputs!$F$229*12))-MIN(Time!BM32,MIN(Inputs!$F$182,Inputs!$F$229*12)))</f>
        <v/>
      </c>
      <c r="BN11" s="13">
        <f>(Inputs!$F$177*Funding!$F$76/Inputs!$F$178+Inputs!$F$179*Funding!$F$76/Inputs!$F$180)*BN7+Inputs!$F$181*Funding!$F$76/Inputs!$F$182*MAX(0,MIN(Time!BN33,MIN(Inputs!$F$182,Inputs!$F$229*12))-MIN(Time!BN32,MIN(Inputs!$F$182,Inputs!$F$229*12)))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3">
        <f>SUM(J12:BN12)</f>
        <v/>
      </c>
      <c r="J12" s="13">
        <f>J10-J11</f>
        <v/>
      </c>
      <c r="K12" s="13">
        <f>K10-K11</f>
        <v/>
      </c>
      <c r="L12" s="13">
        <f>L10-L11</f>
        <v/>
      </c>
      <c r="M12" s="13">
        <f>M10-M11</f>
        <v/>
      </c>
      <c r="N12" s="13">
        <f>N10-N11</f>
        <v/>
      </c>
      <c r="O12" s="13">
        <f>O10-O11</f>
        <v/>
      </c>
      <c r="P12" s="13">
        <f>P10-P11</f>
        <v/>
      </c>
      <c r="Q12" s="13">
        <f>Q10-Q11</f>
        <v/>
      </c>
      <c r="R12" s="13">
        <f>R10-R11</f>
        <v/>
      </c>
      <c r="S12" s="13">
        <f>S10-S11</f>
        <v/>
      </c>
      <c r="T12" s="13">
        <f>T10-T11</f>
        <v/>
      </c>
      <c r="U12" s="13">
        <f>U10-U11</f>
        <v/>
      </c>
      <c r="V12" s="13">
        <f>V10-V11</f>
        <v/>
      </c>
      <c r="W12" s="13">
        <f>W10-W11</f>
        <v/>
      </c>
      <c r="X12" s="13">
        <f>X10-X11</f>
        <v/>
      </c>
      <c r="Y12" s="13">
        <f>Y10-Y11</f>
        <v/>
      </c>
      <c r="Z12" s="13">
        <f>Z10-Z11</f>
        <v/>
      </c>
      <c r="AA12" s="13">
        <f>AA10-AA11</f>
        <v/>
      </c>
      <c r="AB12" s="13">
        <f>AB10-AB11</f>
        <v/>
      </c>
      <c r="AC12" s="13">
        <f>AC10-AC11</f>
        <v/>
      </c>
      <c r="AD12" s="13">
        <f>AD10-AD11</f>
        <v/>
      </c>
      <c r="AE12" s="13">
        <f>AE10-AE11</f>
        <v/>
      </c>
      <c r="AF12" s="13">
        <f>AF10-AF11</f>
        <v/>
      </c>
      <c r="AG12" s="13">
        <f>AG10-AG11</f>
        <v/>
      </c>
      <c r="AH12" s="13">
        <f>AH10-AH11</f>
        <v/>
      </c>
      <c r="AI12" s="13">
        <f>AI10-AI11</f>
        <v/>
      </c>
      <c r="AJ12" s="13">
        <f>AJ10-AJ11</f>
        <v/>
      </c>
      <c r="AK12" s="13">
        <f>AK10-AK11</f>
        <v/>
      </c>
      <c r="AL12" s="13">
        <f>AL10-AL11</f>
        <v/>
      </c>
      <c r="AM12" s="13">
        <f>AM10-AM11</f>
        <v/>
      </c>
      <c r="AN12" s="13">
        <f>AN10-AN11</f>
        <v/>
      </c>
      <c r="AO12" s="13">
        <f>AO10-AO11</f>
        <v/>
      </c>
      <c r="AP12" s="13">
        <f>AP10-AP11</f>
        <v/>
      </c>
      <c r="AQ12" s="13">
        <f>AQ10-AQ11</f>
        <v/>
      </c>
      <c r="AR12" s="13">
        <f>AR10-AR11</f>
        <v/>
      </c>
      <c r="AS12" s="13">
        <f>AS10-AS11</f>
        <v/>
      </c>
      <c r="AT12" s="13">
        <f>AT10-AT11</f>
        <v/>
      </c>
      <c r="AU12" s="13">
        <f>AU10-AU11</f>
        <v/>
      </c>
      <c r="AV12" s="13">
        <f>AV10-AV11</f>
        <v/>
      </c>
      <c r="AW12" s="13">
        <f>AW10-AW11</f>
        <v/>
      </c>
      <c r="AX12" s="13">
        <f>AX10-AX11</f>
        <v/>
      </c>
      <c r="AY12" s="13">
        <f>AY10-AY11</f>
        <v/>
      </c>
      <c r="AZ12" s="13">
        <f>AZ10-AZ11</f>
        <v/>
      </c>
      <c r="BA12" s="13">
        <f>BA10-BA11</f>
        <v/>
      </c>
      <c r="BB12" s="13">
        <f>BB10-BB11</f>
        <v/>
      </c>
      <c r="BC12" s="13">
        <f>BC10-BC11</f>
        <v/>
      </c>
      <c r="BD12" s="13">
        <f>BD10-BD11</f>
        <v/>
      </c>
      <c r="BE12" s="13">
        <f>BE10-BE11</f>
        <v/>
      </c>
      <c r="BF12" s="13">
        <f>BF10-BF11</f>
        <v/>
      </c>
      <c r="BG12" s="13">
        <f>BG10-BG11</f>
        <v/>
      </c>
      <c r="BH12" s="13">
        <f>BH10-BH11</f>
        <v/>
      </c>
      <c r="BI12" s="13">
        <f>BI10-BI11</f>
        <v/>
      </c>
      <c r="BJ12" s="13">
        <f>BJ10-BJ11</f>
        <v/>
      </c>
      <c r="BK12" s="13">
        <f>BK10-BK11</f>
        <v/>
      </c>
      <c r="BL12" s="13">
        <f>BL10-BL11</f>
        <v/>
      </c>
      <c r="BM12" s="13">
        <f>BM10-BM11</f>
        <v/>
      </c>
      <c r="BN12" s="13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3">
        <f>SUM(J13:BN13)</f>
        <v/>
      </c>
      <c r="J13" s="13">
        <f>IF(Time!J20&gt;=Time!$F$12,Waterfall!J33*Inputs!$F$104/100*Time!J31/Inputs!$F$248,0)</f>
        <v/>
      </c>
      <c r="K13" s="13">
        <f>IF(Time!K20&gt;=Time!$F$12,Waterfall!K33*Inputs!$F$104/100*Time!K31/Inputs!$F$248,0)</f>
        <v/>
      </c>
      <c r="L13" s="13">
        <f>IF(Time!L20&gt;=Time!$F$12,Waterfall!L33*Inputs!$F$104/100*Time!L31/Inputs!$F$248,0)</f>
        <v/>
      </c>
      <c r="M13" s="13">
        <f>IF(Time!M20&gt;=Time!$F$12,Waterfall!M33*Inputs!$F$104/100*Time!M31/Inputs!$F$248,0)</f>
        <v/>
      </c>
      <c r="N13" s="13">
        <f>IF(Time!N20&gt;=Time!$F$12,Waterfall!N33*Inputs!$F$104/100*Time!N31/Inputs!$F$248,0)</f>
        <v/>
      </c>
      <c r="O13" s="13">
        <f>IF(Time!O20&gt;=Time!$F$12,Waterfall!O33*Inputs!$F$104/100*Time!O31/Inputs!$F$248,0)</f>
        <v/>
      </c>
      <c r="P13" s="13">
        <f>IF(Time!P20&gt;=Time!$F$12,Waterfall!P33*Inputs!$F$104/100*Time!P31/Inputs!$F$248,0)</f>
        <v/>
      </c>
      <c r="Q13" s="13">
        <f>IF(Time!Q20&gt;=Time!$F$12,Waterfall!Q33*Inputs!$F$104/100*Time!Q31/Inputs!$F$248,0)</f>
        <v/>
      </c>
      <c r="R13" s="13">
        <f>IF(Time!R20&gt;=Time!$F$12,Waterfall!R33*Inputs!$F$104/100*Time!R31/Inputs!$F$248,0)</f>
        <v/>
      </c>
      <c r="S13" s="13">
        <f>IF(Time!S20&gt;=Time!$F$12,Waterfall!S33*Inputs!$F$104/100*Time!S31/Inputs!$F$248,0)</f>
        <v/>
      </c>
      <c r="T13" s="13">
        <f>IF(Time!T20&gt;=Time!$F$12,Waterfall!T33*Inputs!$F$104/100*Time!T31/Inputs!$F$248,0)</f>
        <v/>
      </c>
      <c r="U13" s="13">
        <f>IF(Time!U20&gt;=Time!$F$12,Waterfall!U33*Inputs!$F$104/100*Time!U31/Inputs!$F$248,0)</f>
        <v/>
      </c>
      <c r="V13" s="13">
        <f>IF(Time!V20&gt;=Time!$F$12,Waterfall!V33*Inputs!$F$104/100*Time!V31/Inputs!$F$248,0)</f>
        <v/>
      </c>
      <c r="W13" s="13">
        <f>IF(Time!W20&gt;=Time!$F$12,Waterfall!W33*Inputs!$F$104/100*Time!W31/Inputs!$F$248,0)</f>
        <v/>
      </c>
      <c r="X13" s="13">
        <f>IF(Time!X20&gt;=Time!$F$12,Waterfall!X33*Inputs!$F$104/100*Time!X31/Inputs!$F$248,0)</f>
        <v/>
      </c>
      <c r="Y13" s="13">
        <f>IF(Time!Y20&gt;=Time!$F$12,Waterfall!Y33*Inputs!$F$104/100*Time!Y31/Inputs!$F$248,0)</f>
        <v/>
      </c>
      <c r="Z13" s="13">
        <f>IF(Time!Z20&gt;=Time!$F$12,Waterfall!Z33*Inputs!$F$104/100*Time!Z31/Inputs!$F$248,0)</f>
        <v/>
      </c>
      <c r="AA13" s="13">
        <f>IF(Time!AA20&gt;=Time!$F$12,Waterfall!AA33*Inputs!$F$104/100*Time!AA31/Inputs!$F$248,0)</f>
        <v/>
      </c>
      <c r="AB13" s="13">
        <f>IF(Time!AB20&gt;=Time!$F$12,Waterfall!AB33*Inputs!$F$104/100*Time!AB31/Inputs!$F$248,0)</f>
        <v/>
      </c>
      <c r="AC13" s="13">
        <f>IF(Time!AC20&gt;=Time!$F$12,Waterfall!AC33*Inputs!$F$104/100*Time!AC31/Inputs!$F$248,0)</f>
        <v/>
      </c>
      <c r="AD13" s="13">
        <f>IF(Time!AD20&gt;=Time!$F$12,Waterfall!AD33*Inputs!$F$104/100*Time!AD31/Inputs!$F$248,0)</f>
        <v/>
      </c>
      <c r="AE13" s="13">
        <f>IF(Time!AE20&gt;=Time!$F$12,Waterfall!AE33*Inputs!$F$104/100*Time!AE31/Inputs!$F$248,0)</f>
        <v/>
      </c>
      <c r="AF13" s="13">
        <f>IF(Time!AF20&gt;=Time!$F$12,Waterfall!AF33*Inputs!$F$104/100*Time!AF31/Inputs!$F$248,0)</f>
        <v/>
      </c>
      <c r="AG13" s="13">
        <f>IF(Time!AG20&gt;=Time!$F$12,Waterfall!AG33*Inputs!$F$104/100*Time!AG31/Inputs!$F$248,0)</f>
        <v/>
      </c>
      <c r="AH13" s="13">
        <f>IF(Time!AH20&gt;=Time!$F$12,Waterfall!AH33*Inputs!$F$104/100*Time!AH31/Inputs!$F$248,0)</f>
        <v/>
      </c>
      <c r="AI13" s="13">
        <f>IF(Time!AI20&gt;=Time!$F$12,Waterfall!AI33*Inputs!$F$104/100*Time!AI31/Inputs!$F$248,0)</f>
        <v/>
      </c>
      <c r="AJ13" s="13">
        <f>IF(Time!AJ20&gt;=Time!$F$12,Waterfall!AJ33*Inputs!$F$104/100*Time!AJ31/Inputs!$F$248,0)</f>
        <v/>
      </c>
      <c r="AK13" s="13">
        <f>IF(Time!AK20&gt;=Time!$F$12,Waterfall!AK33*Inputs!$F$104/100*Time!AK31/Inputs!$F$248,0)</f>
        <v/>
      </c>
      <c r="AL13" s="13">
        <f>IF(Time!AL20&gt;=Time!$F$12,Waterfall!AL33*Inputs!$F$104/100*Time!AL31/Inputs!$F$248,0)</f>
        <v/>
      </c>
      <c r="AM13" s="13">
        <f>IF(Time!AM20&gt;=Time!$F$12,Waterfall!AM33*Inputs!$F$104/100*Time!AM31/Inputs!$F$248,0)</f>
        <v/>
      </c>
      <c r="AN13" s="13">
        <f>IF(Time!AN20&gt;=Time!$F$12,Waterfall!AN33*Inputs!$F$104/100*Time!AN31/Inputs!$F$248,0)</f>
        <v/>
      </c>
      <c r="AO13" s="13">
        <f>IF(Time!AO20&gt;=Time!$F$12,Waterfall!AO33*Inputs!$F$104/100*Time!AO31/Inputs!$F$248,0)</f>
        <v/>
      </c>
      <c r="AP13" s="13">
        <f>IF(Time!AP20&gt;=Time!$F$12,Waterfall!AP33*Inputs!$F$104/100*Time!AP31/Inputs!$F$248,0)</f>
        <v/>
      </c>
      <c r="AQ13" s="13">
        <f>IF(Time!AQ20&gt;=Time!$F$12,Waterfall!AQ33*Inputs!$F$104/100*Time!AQ31/Inputs!$F$248,0)</f>
        <v/>
      </c>
      <c r="AR13" s="13">
        <f>IF(Time!AR20&gt;=Time!$F$12,Waterfall!AR33*Inputs!$F$104/100*Time!AR31/Inputs!$F$248,0)</f>
        <v/>
      </c>
      <c r="AS13" s="13">
        <f>IF(Time!AS20&gt;=Time!$F$12,Waterfall!AS33*Inputs!$F$104/100*Time!AS31/Inputs!$F$248,0)</f>
        <v/>
      </c>
      <c r="AT13" s="13">
        <f>IF(Time!AT20&gt;=Time!$F$12,Waterfall!AT33*Inputs!$F$104/100*Time!AT31/Inputs!$F$248,0)</f>
        <v/>
      </c>
      <c r="AU13" s="13">
        <f>IF(Time!AU20&gt;=Time!$F$12,Waterfall!AU33*Inputs!$F$104/100*Time!AU31/Inputs!$F$248,0)</f>
        <v/>
      </c>
      <c r="AV13" s="13">
        <f>IF(Time!AV20&gt;=Time!$F$12,Waterfall!AV33*Inputs!$F$104/100*Time!AV31/Inputs!$F$248,0)</f>
        <v/>
      </c>
      <c r="AW13" s="13">
        <f>IF(Time!AW20&gt;=Time!$F$12,Waterfall!AW33*Inputs!$F$104/100*Time!AW31/Inputs!$F$248,0)</f>
        <v/>
      </c>
      <c r="AX13" s="13">
        <f>IF(Time!AX20&gt;=Time!$F$12,Waterfall!AX33*Inputs!$F$104/100*Time!AX31/Inputs!$F$248,0)</f>
        <v/>
      </c>
      <c r="AY13" s="13">
        <f>IF(Time!AY20&gt;=Time!$F$12,Waterfall!AY33*Inputs!$F$104/100*Time!AY31/Inputs!$F$248,0)</f>
        <v/>
      </c>
      <c r="AZ13" s="13">
        <f>IF(Time!AZ20&gt;=Time!$F$12,Waterfall!AZ33*Inputs!$F$104/100*Time!AZ31/Inputs!$F$248,0)</f>
        <v/>
      </c>
      <c r="BA13" s="13">
        <f>IF(Time!BA20&gt;=Time!$F$12,Waterfall!BA33*Inputs!$F$104/100*Time!BA31/Inputs!$F$248,0)</f>
        <v/>
      </c>
      <c r="BB13" s="13">
        <f>IF(Time!BB20&gt;=Time!$F$12,Waterfall!BB33*Inputs!$F$104/100*Time!BB31/Inputs!$F$248,0)</f>
        <v/>
      </c>
      <c r="BC13" s="13">
        <f>IF(Time!BC20&gt;=Time!$F$12,Waterfall!BC33*Inputs!$F$104/100*Time!BC31/Inputs!$F$248,0)</f>
        <v/>
      </c>
      <c r="BD13" s="13">
        <f>IF(Time!BD20&gt;=Time!$F$12,Waterfall!BD33*Inputs!$F$104/100*Time!BD31/Inputs!$F$248,0)</f>
        <v/>
      </c>
      <c r="BE13" s="13">
        <f>IF(Time!BE20&gt;=Time!$F$12,Waterfall!BE33*Inputs!$F$104/100*Time!BE31/Inputs!$F$248,0)</f>
        <v/>
      </c>
      <c r="BF13" s="13">
        <f>IF(Time!BF20&gt;=Time!$F$12,Waterfall!BF33*Inputs!$F$104/100*Time!BF31/Inputs!$F$248,0)</f>
        <v/>
      </c>
      <c r="BG13" s="13">
        <f>IF(Time!BG20&gt;=Time!$F$12,Waterfall!BG33*Inputs!$F$104/100*Time!BG31/Inputs!$F$248,0)</f>
        <v/>
      </c>
      <c r="BH13" s="13">
        <f>IF(Time!BH20&gt;=Time!$F$12,Waterfall!BH33*Inputs!$F$104/100*Time!BH31/Inputs!$F$248,0)</f>
        <v/>
      </c>
      <c r="BI13" s="13">
        <f>IF(Time!BI20&gt;=Time!$F$12,Waterfall!BI33*Inputs!$F$104/100*Time!BI31/Inputs!$F$248,0)</f>
        <v/>
      </c>
      <c r="BJ13" s="13">
        <f>IF(Time!BJ20&gt;=Time!$F$12,Waterfall!BJ33*Inputs!$F$104/100*Time!BJ31/Inputs!$F$248,0)</f>
        <v/>
      </c>
      <c r="BK13" s="13">
        <f>IF(Time!BK20&gt;=Time!$F$12,Waterfall!BK33*Inputs!$F$104/100*Time!BK31/Inputs!$F$248,0)</f>
        <v/>
      </c>
      <c r="BL13" s="13">
        <f>IF(Time!BL20&gt;=Time!$F$12,Waterfall!BL33*Inputs!$F$104/100*Time!BL31/Inputs!$F$248,0)</f>
        <v/>
      </c>
      <c r="BM13" s="13">
        <f>IF(Time!BM20&gt;=Time!$F$12,Waterfall!BM33*Inputs!$F$104/100*Time!BM31/Inputs!$F$248,0)</f>
        <v/>
      </c>
      <c r="BN13" s="13">
        <f>IF(Time!BN20&gt;=Time!$F$12,Waterfall!BN33*Inputs!$F$104/100*Time!BN31/Inputs!$F$248,0)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IF(Waterfall!J33&gt;0,MIN(1,Inputs!$F$183*(Waterfall!$F$32+MAX(0,Waterfall!I43))/Waterfall!J33),1)</f>
        <v/>
      </c>
      <c r="K14" s="6">
        <f>IF(Waterfall!K33&gt;0,MIN(1,Inputs!$F$183*(Waterfall!$F$32+MAX(0,Waterfall!J43))/Waterfall!K33),1)</f>
        <v/>
      </c>
      <c r="L14" s="6">
        <f>IF(Waterfall!L33&gt;0,MIN(1,Inputs!$F$183*(Waterfall!$F$32+MAX(0,Waterfall!K43))/Waterfall!L33),1)</f>
        <v/>
      </c>
      <c r="M14" s="6">
        <f>IF(Waterfall!M33&gt;0,MIN(1,Inputs!$F$183*(Waterfall!$F$32+MAX(0,Waterfall!L43))/Waterfall!M33),1)</f>
        <v/>
      </c>
      <c r="N14" s="6">
        <f>IF(Waterfall!N33&gt;0,MIN(1,Inputs!$F$183*(Waterfall!$F$32+MAX(0,Waterfall!M43))/Waterfall!N33),1)</f>
        <v/>
      </c>
      <c r="O14" s="6">
        <f>IF(Waterfall!O33&gt;0,MIN(1,Inputs!$F$183*(Waterfall!$F$32+MAX(0,Waterfall!N43))/Waterfall!O33),1)</f>
        <v/>
      </c>
      <c r="P14" s="6">
        <f>IF(Waterfall!P33&gt;0,MIN(1,Inputs!$F$183*(Waterfall!$F$32+MAX(0,Waterfall!O43))/Waterfall!P33),1)</f>
        <v/>
      </c>
      <c r="Q14" s="6">
        <f>IF(Waterfall!Q33&gt;0,MIN(1,Inputs!$F$183*(Waterfall!$F$32+MAX(0,Waterfall!P43))/Waterfall!Q33),1)</f>
        <v/>
      </c>
      <c r="R14" s="6">
        <f>IF(Waterfall!R33&gt;0,MIN(1,Inputs!$F$183*(Waterfall!$F$32+MAX(0,Waterfall!Q43))/Waterfall!R33),1)</f>
        <v/>
      </c>
      <c r="S14" s="6">
        <f>IF(Waterfall!S33&gt;0,MIN(1,Inputs!$F$183*(Waterfall!$F$32+MAX(0,Waterfall!R43))/Waterfall!S33),1)</f>
        <v/>
      </c>
      <c r="T14" s="6">
        <f>IF(Waterfall!T33&gt;0,MIN(1,Inputs!$F$183*(Waterfall!$F$32+MAX(0,Waterfall!S43))/Waterfall!T33),1)</f>
        <v/>
      </c>
      <c r="U14" s="6">
        <f>IF(Waterfall!U33&gt;0,MIN(1,Inputs!$F$183*(Waterfall!$F$32+MAX(0,Waterfall!T43))/Waterfall!U33),1)</f>
        <v/>
      </c>
      <c r="V14" s="6">
        <f>IF(Waterfall!V33&gt;0,MIN(1,Inputs!$F$183*(Waterfall!$F$32+MAX(0,Waterfall!U43))/Waterfall!V33),1)</f>
        <v/>
      </c>
      <c r="W14" s="6">
        <f>IF(Waterfall!W33&gt;0,MIN(1,Inputs!$F$183*(Waterfall!$F$32+MAX(0,Waterfall!V43))/Waterfall!W33),1)</f>
        <v/>
      </c>
      <c r="X14" s="6">
        <f>IF(Waterfall!X33&gt;0,MIN(1,Inputs!$F$183*(Waterfall!$F$32+MAX(0,Waterfall!W43))/Waterfall!X33),1)</f>
        <v/>
      </c>
      <c r="Y14" s="6">
        <f>IF(Waterfall!Y33&gt;0,MIN(1,Inputs!$F$183*(Waterfall!$F$32+MAX(0,Waterfall!X43))/Waterfall!Y33),1)</f>
        <v/>
      </c>
      <c r="Z14" s="6">
        <f>IF(Waterfall!Z33&gt;0,MIN(1,Inputs!$F$183*(Waterfall!$F$32+MAX(0,Waterfall!Y43))/Waterfall!Z33),1)</f>
        <v/>
      </c>
      <c r="AA14" s="6">
        <f>IF(Waterfall!AA33&gt;0,MIN(1,Inputs!$F$183*(Waterfall!$F$32+MAX(0,Waterfall!Z43))/Waterfall!AA33),1)</f>
        <v/>
      </c>
      <c r="AB14" s="6">
        <f>IF(Waterfall!AB33&gt;0,MIN(1,Inputs!$F$183*(Waterfall!$F$32+MAX(0,Waterfall!AA43))/Waterfall!AB33),1)</f>
        <v/>
      </c>
      <c r="AC14" s="6">
        <f>IF(Waterfall!AC33&gt;0,MIN(1,Inputs!$F$183*(Waterfall!$F$32+MAX(0,Waterfall!AB43))/Waterfall!AC33),1)</f>
        <v/>
      </c>
      <c r="AD14" s="6">
        <f>IF(Waterfall!AD33&gt;0,MIN(1,Inputs!$F$183*(Waterfall!$F$32+MAX(0,Waterfall!AC43))/Waterfall!AD33),1)</f>
        <v/>
      </c>
      <c r="AE14" s="6">
        <f>IF(Waterfall!AE33&gt;0,MIN(1,Inputs!$F$183*(Waterfall!$F$32+MAX(0,Waterfall!AD43))/Waterfall!AE33),1)</f>
        <v/>
      </c>
      <c r="AF14" s="6">
        <f>IF(Waterfall!AF33&gt;0,MIN(1,Inputs!$F$183*(Waterfall!$F$32+MAX(0,Waterfall!AE43))/Waterfall!AF33),1)</f>
        <v/>
      </c>
      <c r="AG14" s="6">
        <f>IF(Waterfall!AG33&gt;0,MIN(1,Inputs!$F$183*(Waterfall!$F$32+MAX(0,Waterfall!AF43))/Waterfall!AG33),1)</f>
        <v/>
      </c>
      <c r="AH14" s="6">
        <f>IF(Waterfall!AH33&gt;0,MIN(1,Inputs!$F$183*(Waterfall!$F$32+MAX(0,Waterfall!AG43))/Waterfall!AH33),1)</f>
        <v/>
      </c>
      <c r="AI14" s="6">
        <f>IF(Waterfall!AI33&gt;0,MIN(1,Inputs!$F$183*(Waterfall!$F$32+MAX(0,Waterfall!AH43))/Waterfall!AI33),1)</f>
        <v/>
      </c>
      <c r="AJ14" s="6">
        <f>IF(Waterfall!AJ33&gt;0,MIN(1,Inputs!$F$183*(Waterfall!$F$32+MAX(0,Waterfall!AI43))/Waterfall!AJ33),1)</f>
        <v/>
      </c>
      <c r="AK14" s="6">
        <f>IF(Waterfall!AK33&gt;0,MIN(1,Inputs!$F$183*(Waterfall!$F$32+MAX(0,Waterfall!AJ43))/Waterfall!AK33),1)</f>
        <v/>
      </c>
      <c r="AL14" s="6">
        <f>IF(Waterfall!AL33&gt;0,MIN(1,Inputs!$F$183*(Waterfall!$F$32+MAX(0,Waterfall!AK43))/Waterfall!AL33),1)</f>
        <v/>
      </c>
      <c r="AM14" s="6">
        <f>IF(Waterfall!AM33&gt;0,MIN(1,Inputs!$F$183*(Waterfall!$F$32+MAX(0,Waterfall!AL43))/Waterfall!AM33),1)</f>
        <v/>
      </c>
      <c r="AN14" s="6">
        <f>IF(Waterfall!AN33&gt;0,MIN(1,Inputs!$F$183*(Waterfall!$F$32+MAX(0,Waterfall!AM43))/Waterfall!AN33),1)</f>
        <v/>
      </c>
      <c r="AO14" s="6">
        <f>IF(Waterfall!AO33&gt;0,MIN(1,Inputs!$F$183*(Waterfall!$F$32+MAX(0,Waterfall!AN43))/Waterfall!AO33),1)</f>
        <v/>
      </c>
      <c r="AP14" s="6">
        <f>IF(Waterfall!AP33&gt;0,MIN(1,Inputs!$F$183*(Waterfall!$F$32+MAX(0,Waterfall!AO43))/Waterfall!AP33),1)</f>
        <v/>
      </c>
      <c r="AQ14" s="6">
        <f>IF(Waterfall!AQ33&gt;0,MIN(1,Inputs!$F$183*(Waterfall!$F$32+MAX(0,Waterfall!AP43))/Waterfall!AQ33),1)</f>
        <v/>
      </c>
      <c r="AR14" s="6">
        <f>IF(Waterfall!AR33&gt;0,MIN(1,Inputs!$F$183*(Waterfall!$F$32+MAX(0,Waterfall!AQ43))/Waterfall!AR33),1)</f>
        <v/>
      </c>
      <c r="AS14" s="6">
        <f>IF(Waterfall!AS33&gt;0,MIN(1,Inputs!$F$183*(Waterfall!$F$32+MAX(0,Waterfall!AR43))/Waterfall!AS33),1)</f>
        <v/>
      </c>
      <c r="AT14" s="6">
        <f>IF(Waterfall!AT33&gt;0,MIN(1,Inputs!$F$183*(Waterfall!$F$32+MAX(0,Waterfall!AS43))/Waterfall!AT33),1)</f>
        <v/>
      </c>
      <c r="AU14" s="6">
        <f>IF(Waterfall!AU33&gt;0,MIN(1,Inputs!$F$183*(Waterfall!$F$32+MAX(0,Waterfall!AT43))/Waterfall!AU33),1)</f>
        <v/>
      </c>
      <c r="AV14" s="6">
        <f>IF(Waterfall!AV33&gt;0,MIN(1,Inputs!$F$183*(Waterfall!$F$32+MAX(0,Waterfall!AU43))/Waterfall!AV33),1)</f>
        <v/>
      </c>
      <c r="AW14" s="6">
        <f>IF(Waterfall!AW33&gt;0,MIN(1,Inputs!$F$183*(Waterfall!$F$32+MAX(0,Waterfall!AV43))/Waterfall!AW33),1)</f>
        <v/>
      </c>
      <c r="AX14" s="6">
        <f>IF(Waterfall!AX33&gt;0,MIN(1,Inputs!$F$183*(Waterfall!$F$32+MAX(0,Waterfall!AW43))/Waterfall!AX33),1)</f>
        <v/>
      </c>
      <c r="AY14" s="6">
        <f>IF(Waterfall!AY33&gt;0,MIN(1,Inputs!$F$183*(Waterfall!$F$32+MAX(0,Waterfall!AX43))/Waterfall!AY33),1)</f>
        <v/>
      </c>
      <c r="AZ14" s="6">
        <f>IF(Waterfall!AZ33&gt;0,MIN(1,Inputs!$F$183*(Waterfall!$F$32+MAX(0,Waterfall!AY43))/Waterfall!AZ33),1)</f>
        <v/>
      </c>
      <c r="BA14" s="6">
        <f>IF(Waterfall!BA33&gt;0,MIN(1,Inputs!$F$183*(Waterfall!$F$32+MAX(0,Waterfall!AZ43))/Waterfall!BA33),1)</f>
        <v/>
      </c>
      <c r="BB14" s="6">
        <f>IF(Waterfall!BB33&gt;0,MIN(1,Inputs!$F$183*(Waterfall!$F$32+MAX(0,Waterfall!BA43))/Waterfall!BB33),1)</f>
        <v/>
      </c>
      <c r="BC14" s="6">
        <f>IF(Waterfall!BC33&gt;0,MIN(1,Inputs!$F$183*(Waterfall!$F$32+MAX(0,Waterfall!BB43))/Waterfall!BC33),1)</f>
        <v/>
      </c>
      <c r="BD14" s="6">
        <f>IF(Waterfall!BD33&gt;0,MIN(1,Inputs!$F$183*(Waterfall!$F$32+MAX(0,Waterfall!BC43))/Waterfall!BD33),1)</f>
        <v/>
      </c>
      <c r="BE14" s="6">
        <f>IF(Waterfall!BE33&gt;0,MIN(1,Inputs!$F$183*(Waterfall!$F$32+MAX(0,Waterfall!BD43))/Waterfall!BE33),1)</f>
        <v/>
      </c>
      <c r="BF14" s="6">
        <f>IF(Waterfall!BF33&gt;0,MIN(1,Inputs!$F$183*(Waterfall!$F$32+MAX(0,Waterfall!BE43))/Waterfall!BF33),1)</f>
        <v/>
      </c>
      <c r="BG14" s="6">
        <f>IF(Waterfall!BG33&gt;0,MIN(1,Inputs!$F$183*(Waterfall!$F$32+MAX(0,Waterfall!BF43))/Waterfall!BG33),1)</f>
        <v/>
      </c>
      <c r="BH14" s="6">
        <f>IF(Waterfall!BH33&gt;0,MIN(1,Inputs!$F$183*(Waterfall!$F$32+MAX(0,Waterfall!BG43))/Waterfall!BH33),1)</f>
        <v/>
      </c>
      <c r="BI14" s="6">
        <f>IF(Waterfall!BI33&gt;0,MIN(1,Inputs!$F$183*(Waterfall!$F$32+MAX(0,Waterfall!BH43))/Waterfall!BI33),1)</f>
        <v/>
      </c>
      <c r="BJ14" s="6">
        <f>IF(Waterfall!BJ33&gt;0,MIN(1,Inputs!$F$183*(Waterfall!$F$32+MAX(0,Waterfall!BI43))/Waterfall!BJ33),1)</f>
        <v/>
      </c>
      <c r="BK14" s="6">
        <f>IF(Waterfall!BK33&gt;0,MIN(1,Inputs!$F$183*(Waterfall!$F$32+MAX(0,Waterfall!BJ43))/Waterfall!BK33),1)</f>
        <v/>
      </c>
      <c r="BL14" s="6">
        <f>IF(Waterfall!BL33&gt;0,MIN(1,Inputs!$F$183*(Waterfall!$F$32+MAX(0,Waterfall!BK43))/Waterfall!BL33),1)</f>
        <v/>
      </c>
      <c r="BM14" s="6">
        <f>IF(Waterfall!BM33&gt;0,MIN(1,Inputs!$F$183*(Waterfall!$F$32+MAX(0,Waterfall!BL43))/Waterfall!BM33),1)</f>
        <v/>
      </c>
      <c r="BN14" s="6">
        <f>IF(Waterfall!BN33&gt;0,MIN(1,Inputs!$F$183*(Waterfall!$F$32+MAX(0,Waterfall!BM43))/Waterfall!BN33),1)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3">
        <f>SUM(J15:BN15)</f>
        <v/>
      </c>
      <c r="J15" s="13">
        <f>J13*J14</f>
        <v/>
      </c>
      <c r="K15" s="13">
        <f>K13*K14</f>
        <v/>
      </c>
      <c r="L15" s="13">
        <f>L13*L14</f>
        <v/>
      </c>
      <c r="M15" s="13">
        <f>M13*M14</f>
        <v/>
      </c>
      <c r="N15" s="13">
        <f>N13*N14</f>
        <v/>
      </c>
      <c r="O15" s="13">
        <f>O13*O14</f>
        <v/>
      </c>
      <c r="P15" s="13">
        <f>P13*P14</f>
        <v/>
      </c>
      <c r="Q15" s="13">
        <f>Q13*Q14</f>
        <v/>
      </c>
      <c r="R15" s="13">
        <f>R13*R14</f>
        <v/>
      </c>
      <c r="S15" s="13">
        <f>S13*S14</f>
        <v/>
      </c>
      <c r="T15" s="13">
        <f>T13*T14</f>
        <v/>
      </c>
      <c r="U15" s="13">
        <f>U13*U14</f>
        <v/>
      </c>
      <c r="V15" s="13">
        <f>V13*V14</f>
        <v/>
      </c>
      <c r="W15" s="13">
        <f>W13*W14</f>
        <v/>
      </c>
      <c r="X15" s="13">
        <f>X13*X14</f>
        <v/>
      </c>
      <c r="Y15" s="13">
        <f>Y13*Y14</f>
        <v/>
      </c>
      <c r="Z15" s="13">
        <f>Z13*Z14</f>
        <v/>
      </c>
      <c r="AA15" s="13">
        <f>AA13*AA14</f>
        <v/>
      </c>
      <c r="AB15" s="13">
        <f>AB13*AB14</f>
        <v/>
      </c>
      <c r="AC15" s="13">
        <f>AC13*AC14</f>
        <v/>
      </c>
      <c r="AD15" s="13">
        <f>AD13*AD14</f>
        <v/>
      </c>
      <c r="AE15" s="13">
        <f>AE13*AE14</f>
        <v/>
      </c>
      <c r="AF15" s="13">
        <f>AF13*AF14</f>
        <v/>
      </c>
      <c r="AG15" s="13">
        <f>AG13*AG14</f>
        <v/>
      </c>
      <c r="AH15" s="13">
        <f>AH13*AH14</f>
        <v/>
      </c>
      <c r="AI15" s="13">
        <f>AI13*AI14</f>
        <v/>
      </c>
      <c r="AJ15" s="13">
        <f>AJ13*AJ14</f>
        <v/>
      </c>
      <c r="AK15" s="13">
        <f>AK13*AK14</f>
        <v/>
      </c>
      <c r="AL15" s="13">
        <f>AL13*AL14</f>
        <v/>
      </c>
      <c r="AM15" s="13">
        <f>AM13*AM14</f>
        <v/>
      </c>
      <c r="AN15" s="13">
        <f>AN13*AN14</f>
        <v/>
      </c>
      <c r="AO15" s="13">
        <f>AO13*AO14</f>
        <v/>
      </c>
      <c r="AP15" s="13">
        <f>AP13*AP14</f>
        <v/>
      </c>
      <c r="AQ15" s="13">
        <f>AQ13*AQ14</f>
        <v/>
      </c>
      <c r="AR15" s="13">
        <f>AR13*AR14</f>
        <v/>
      </c>
      <c r="AS15" s="13">
        <f>AS13*AS14</f>
        <v/>
      </c>
      <c r="AT15" s="13">
        <f>AT13*AT14</f>
        <v/>
      </c>
      <c r="AU15" s="13">
        <f>AU13*AU14</f>
        <v/>
      </c>
      <c r="AV15" s="13">
        <f>AV13*AV14</f>
        <v/>
      </c>
      <c r="AW15" s="13">
        <f>AW13*AW14</f>
        <v/>
      </c>
      <c r="AX15" s="13">
        <f>AX13*AX14</f>
        <v/>
      </c>
      <c r="AY15" s="13">
        <f>AY13*AY14</f>
        <v/>
      </c>
      <c r="AZ15" s="13">
        <f>AZ13*AZ14</f>
        <v/>
      </c>
      <c r="BA15" s="13">
        <f>BA13*BA14</f>
        <v/>
      </c>
      <c r="BB15" s="13">
        <f>BB13*BB14</f>
        <v/>
      </c>
      <c r="BC15" s="13">
        <f>BC13*BC14</f>
        <v/>
      </c>
      <c r="BD15" s="13">
        <f>BD13*BD14</f>
        <v/>
      </c>
      <c r="BE15" s="13">
        <f>BE13*BE14</f>
        <v/>
      </c>
      <c r="BF15" s="13">
        <f>BF13*BF14</f>
        <v/>
      </c>
      <c r="BG15" s="13">
        <f>BG13*BG14</f>
        <v/>
      </c>
      <c r="BH15" s="13">
        <f>BH13*BH14</f>
        <v/>
      </c>
      <c r="BI15" s="13">
        <f>BI13*BI14</f>
        <v/>
      </c>
      <c r="BJ15" s="13">
        <f>BJ13*BJ14</f>
        <v/>
      </c>
      <c r="BK15" s="13">
        <f>BK13*BK14</f>
        <v/>
      </c>
      <c r="BL15" s="13">
        <f>BL13*BL14</f>
        <v/>
      </c>
      <c r="BM15" s="13">
        <f>BM13*BM14</f>
        <v/>
      </c>
      <c r="BN15" s="13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3">
        <f>SUM(J16:BN16)</f>
        <v/>
      </c>
      <c r="J16" s="13">
        <f>Debt!J112+Debt!J110+Debt!J104-Debt!J103</f>
        <v/>
      </c>
      <c r="K16" s="13">
        <f>Debt!K112+Debt!K110+Debt!K104-Debt!K103</f>
        <v/>
      </c>
      <c r="L16" s="13">
        <f>Debt!L112+Debt!L110+Debt!L104-Debt!L103</f>
        <v/>
      </c>
      <c r="M16" s="13">
        <f>Debt!M112+Debt!M110+Debt!M104-Debt!M103</f>
        <v/>
      </c>
      <c r="N16" s="13">
        <f>Debt!N112+Debt!N110+Debt!N104-Debt!N103</f>
        <v/>
      </c>
      <c r="O16" s="13">
        <f>Debt!O112+Debt!O110+Debt!O104-Debt!O103</f>
        <v/>
      </c>
      <c r="P16" s="13">
        <f>Debt!P112+Debt!P110+Debt!P104-Debt!P103</f>
        <v/>
      </c>
      <c r="Q16" s="13">
        <f>Debt!Q112+Debt!Q110+Debt!Q104-Debt!Q103</f>
        <v/>
      </c>
      <c r="R16" s="13">
        <f>Debt!R112+Debt!R110+Debt!R104-Debt!R103</f>
        <v/>
      </c>
      <c r="S16" s="13">
        <f>Debt!S112+Debt!S110+Debt!S104-Debt!S103</f>
        <v/>
      </c>
      <c r="T16" s="13">
        <f>Debt!T112+Debt!T110+Debt!T104-Debt!T103</f>
        <v/>
      </c>
      <c r="U16" s="13">
        <f>Debt!U112+Debt!U110+Debt!U104-Debt!U103</f>
        <v/>
      </c>
      <c r="V16" s="13">
        <f>Debt!V112+Debt!V110+Debt!V104-Debt!V103</f>
        <v/>
      </c>
      <c r="W16" s="13">
        <f>Debt!W112+Debt!W110+Debt!W104-Debt!W103</f>
        <v/>
      </c>
      <c r="X16" s="13">
        <f>Debt!X112+Debt!X110+Debt!X104-Debt!X103</f>
        <v/>
      </c>
      <c r="Y16" s="13">
        <f>Debt!Y112+Debt!Y110+Debt!Y104-Debt!Y103</f>
        <v/>
      </c>
      <c r="Z16" s="13">
        <f>Debt!Z112+Debt!Z110+Debt!Z104-Debt!Z103</f>
        <v/>
      </c>
      <c r="AA16" s="13">
        <f>Debt!AA112+Debt!AA110+Debt!AA104-Debt!AA103</f>
        <v/>
      </c>
      <c r="AB16" s="13">
        <f>Debt!AB112+Debt!AB110+Debt!AB104-Debt!AB103</f>
        <v/>
      </c>
      <c r="AC16" s="13">
        <f>Debt!AC112+Debt!AC110+Debt!AC104-Debt!AC103</f>
        <v/>
      </c>
      <c r="AD16" s="13">
        <f>Debt!AD112+Debt!AD110+Debt!AD104-Debt!AD103</f>
        <v/>
      </c>
      <c r="AE16" s="13">
        <f>Debt!AE112+Debt!AE110+Debt!AE104-Debt!AE103</f>
        <v/>
      </c>
      <c r="AF16" s="13">
        <f>Debt!AF112+Debt!AF110+Debt!AF104-Debt!AF103</f>
        <v/>
      </c>
      <c r="AG16" s="13">
        <f>Debt!AG112+Debt!AG110+Debt!AG104-Debt!AG103</f>
        <v/>
      </c>
      <c r="AH16" s="13">
        <f>Debt!AH112+Debt!AH110+Debt!AH104-Debt!AH103</f>
        <v/>
      </c>
      <c r="AI16" s="13">
        <f>Debt!AI112+Debt!AI110+Debt!AI104-Debt!AI103</f>
        <v/>
      </c>
      <c r="AJ16" s="13">
        <f>Debt!AJ112+Debt!AJ110+Debt!AJ104-Debt!AJ103</f>
        <v/>
      </c>
      <c r="AK16" s="13">
        <f>Debt!AK112+Debt!AK110+Debt!AK104-Debt!AK103</f>
        <v/>
      </c>
      <c r="AL16" s="13">
        <f>Debt!AL112+Debt!AL110+Debt!AL104-Debt!AL103</f>
        <v/>
      </c>
      <c r="AM16" s="13">
        <f>Debt!AM112+Debt!AM110+Debt!AM104-Debt!AM103</f>
        <v/>
      </c>
      <c r="AN16" s="13">
        <f>Debt!AN112+Debt!AN110+Debt!AN104-Debt!AN103</f>
        <v/>
      </c>
      <c r="AO16" s="13">
        <f>Debt!AO112+Debt!AO110+Debt!AO104-Debt!AO103</f>
        <v/>
      </c>
      <c r="AP16" s="13">
        <f>Debt!AP112+Debt!AP110+Debt!AP104-Debt!AP103</f>
        <v/>
      </c>
      <c r="AQ16" s="13">
        <f>Debt!AQ112+Debt!AQ110+Debt!AQ104-Debt!AQ103</f>
        <v/>
      </c>
      <c r="AR16" s="13">
        <f>Debt!AR112+Debt!AR110+Debt!AR104-Debt!AR103</f>
        <v/>
      </c>
      <c r="AS16" s="13">
        <f>Debt!AS112+Debt!AS110+Debt!AS104-Debt!AS103</f>
        <v/>
      </c>
      <c r="AT16" s="13">
        <f>Debt!AT112+Debt!AT110+Debt!AT104-Debt!AT103</f>
        <v/>
      </c>
      <c r="AU16" s="13">
        <f>Debt!AU112+Debt!AU110+Debt!AU104-Debt!AU103</f>
        <v/>
      </c>
      <c r="AV16" s="13">
        <f>Debt!AV112+Debt!AV110+Debt!AV104-Debt!AV103</f>
        <v/>
      </c>
      <c r="AW16" s="13">
        <f>Debt!AW112+Debt!AW110+Debt!AW104-Debt!AW103</f>
        <v/>
      </c>
      <c r="AX16" s="13">
        <f>Debt!AX112+Debt!AX110+Debt!AX104-Debt!AX103</f>
        <v/>
      </c>
      <c r="AY16" s="13">
        <f>Debt!AY112+Debt!AY110+Debt!AY104-Debt!AY103</f>
        <v/>
      </c>
      <c r="AZ16" s="13">
        <f>Debt!AZ112+Debt!AZ110+Debt!AZ104-Debt!AZ103</f>
        <v/>
      </c>
      <c r="BA16" s="13">
        <f>Debt!BA112+Debt!BA110+Debt!BA104-Debt!BA103</f>
        <v/>
      </c>
      <c r="BB16" s="13">
        <f>Debt!BB112+Debt!BB110+Debt!BB104-Debt!BB103</f>
        <v/>
      </c>
      <c r="BC16" s="13">
        <f>Debt!BC112+Debt!BC110+Debt!BC104-Debt!BC103</f>
        <v/>
      </c>
      <c r="BD16" s="13">
        <f>Debt!BD112+Debt!BD110+Debt!BD104-Debt!BD103</f>
        <v/>
      </c>
      <c r="BE16" s="13">
        <f>Debt!BE112+Debt!BE110+Debt!BE104-Debt!BE103</f>
        <v/>
      </c>
      <c r="BF16" s="13">
        <f>Debt!BF112+Debt!BF110+Debt!BF104-Debt!BF103</f>
        <v/>
      </c>
      <c r="BG16" s="13">
        <f>Debt!BG112+Debt!BG110+Debt!BG104-Debt!BG103</f>
        <v/>
      </c>
      <c r="BH16" s="13">
        <f>Debt!BH112+Debt!BH110+Debt!BH104-Debt!BH103</f>
        <v/>
      </c>
      <c r="BI16" s="13">
        <f>Debt!BI112+Debt!BI110+Debt!BI104-Debt!BI103</f>
        <v/>
      </c>
      <c r="BJ16" s="13">
        <f>Debt!BJ112+Debt!BJ110+Debt!BJ104-Debt!BJ103</f>
        <v/>
      </c>
      <c r="BK16" s="13">
        <f>Debt!BK112+Debt!BK110+Debt!BK104-Debt!BK103</f>
        <v/>
      </c>
      <c r="BL16" s="13">
        <f>Debt!BL112+Debt!BL110+Debt!BL104-Debt!BL103</f>
        <v/>
      </c>
      <c r="BM16" s="13">
        <f>Debt!BM112+Debt!BM110+Debt!BM104-Debt!BM103</f>
        <v/>
      </c>
      <c r="BN16" s="13">
        <f>Debt!BN112+Debt!BN110+Debt!BN104-Debt!BN103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3">
        <f>IF(Time!J30&gt;0,(Time!J30-J7)/Time!J30,0)</f>
        <v/>
      </c>
      <c r="K17" s="13">
        <f>IF(Time!K30&gt;0,(Time!K30-K7)/Time!K30,0)</f>
        <v/>
      </c>
      <c r="L17" s="13">
        <f>IF(Time!L30&gt;0,(Time!L30-L7)/Time!L30,0)</f>
        <v/>
      </c>
      <c r="M17" s="13">
        <f>IF(Time!M30&gt;0,(Time!M30-M7)/Time!M30,0)</f>
        <v/>
      </c>
      <c r="N17" s="13">
        <f>IF(Time!N30&gt;0,(Time!N30-N7)/Time!N30,0)</f>
        <v/>
      </c>
      <c r="O17" s="13">
        <f>IF(Time!O30&gt;0,(Time!O30-O7)/Time!O30,0)</f>
        <v/>
      </c>
      <c r="P17" s="13">
        <f>IF(Time!P30&gt;0,(Time!P30-P7)/Time!P30,0)</f>
        <v/>
      </c>
      <c r="Q17" s="13">
        <f>IF(Time!Q30&gt;0,(Time!Q30-Q7)/Time!Q30,0)</f>
        <v/>
      </c>
      <c r="R17" s="13">
        <f>IF(Time!R30&gt;0,(Time!R30-R7)/Time!R30,0)</f>
        <v/>
      </c>
      <c r="S17" s="13">
        <f>IF(Time!S30&gt;0,(Time!S30-S7)/Time!S30,0)</f>
        <v/>
      </c>
      <c r="T17" s="13">
        <f>IF(Time!T30&gt;0,(Time!T30-T7)/Time!T30,0)</f>
        <v/>
      </c>
      <c r="U17" s="13">
        <f>IF(Time!U30&gt;0,(Time!U30-U7)/Time!U30,0)</f>
        <v/>
      </c>
      <c r="V17" s="13">
        <f>IF(Time!V30&gt;0,(Time!V30-V7)/Time!V30,0)</f>
        <v/>
      </c>
      <c r="W17" s="13">
        <f>IF(Time!W30&gt;0,(Time!W30-W7)/Time!W30,0)</f>
        <v/>
      </c>
      <c r="X17" s="13">
        <f>IF(Time!X30&gt;0,(Time!X30-X7)/Time!X30,0)</f>
        <v/>
      </c>
      <c r="Y17" s="13">
        <f>IF(Time!Y30&gt;0,(Time!Y30-Y7)/Time!Y30,0)</f>
        <v/>
      </c>
      <c r="Z17" s="13">
        <f>IF(Time!Z30&gt;0,(Time!Z30-Z7)/Time!Z30,0)</f>
        <v/>
      </c>
      <c r="AA17" s="13">
        <f>IF(Time!AA30&gt;0,(Time!AA30-AA7)/Time!AA30,0)</f>
        <v/>
      </c>
      <c r="AB17" s="13">
        <f>IF(Time!AB30&gt;0,(Time!AB30-AB7)/Time!AB30,0)</f>
        <v/>
      </c>
      <c r="AC17" s="13">
        <f>IF(Time!AC30&gt;0,(Time!AC30-AC7)/Time!AC30,0)</f>
        <v/>
      </c>
      <c r="AD17" s="13">
        <f>IF(Time!AD30&gt;0,(Time!AD30-AD7)/Time!AD30,0)</f>
        <v/>
      </c>
      <c r="AE17" s="13">
        <f>IF(Time!AE30&gt;0,(Time!AE30-AE7)/Time!AE30,0)</f>
        <v/>
      </c>
      <c r="AF17" s="13">
        <f>IF(Time!AF30&gt;0,(Time!AF30-AF7)/Time!AF30,0)</f>
        <v/>
      </c>
      <c r="AG17" s="13">
        <f>IF(Time!AG30&gt;0,(Time!AG30-AG7)/Time!AG30,0)</f>
        <v/>
      </c>
      <c r="AH17" s="13">
        <f>IF(Time!AH30&gt;0,(Time!AH30-AH7)/Time!AH30,0)</f>
        <v/>
      </c>
      <c r="AI17" s="13">
        <f>IF(Time!AI30&gt;0,(Time!AI30-AI7)/Time!AI30,0)</f>
        <v/>
      </c>
      <c r="AJ17" s="13">
        <f>IF(Time!AJ30&gt;0,(Time!AJ30-AJ7)/Time!AJ30,0)</f>
        <v/>
      </c>
      <c r="AK17" s="13">
        <f>IF(Time!AK30&gt;0,(Time!AK30-AK7)/Time!AK30,0)</f>
        <v/>
      </c>
      <c r="AL17" s="13">
        <f>IF(Time!AL30&gt;0,(Time!AL30-AL7)/Time!AL30,0)</f>
        <v/>
      </c>
      <c r="AM17" s="13">
        <f>IF(Time!AM30&gt;0,(Time!AM30-AM7)/Time!AM30,0)</f>
        <v/>
      </c>
      <c r="AN17" s="13">
        <f>IF(Time!AN30&gt;0,(Time!AN30-AN7)/Time!AN30,0)</f>
        <v/>
      </c>
      <c r="AO17" s="13">
        <f>IF(Time!AO30&gt;0,(Time!AO30-AO7)/Time!AO30,0)</f>
        <v/>
      </c>
      <c r="AP17" s="13">
        <f>IF(Time!AP30&gt;0,(Time!AP30-AP7)/Time!AP30,0)</f>
        <v/>
      </c>
      <c r="AQ17" s="13">
        <f>IF(Time!AQ30&gt;0,(Time!AQ30-AQ7)/Time!AQ30,0)</f>
        <v/>
      </c>
      <c r="AR17" s="13">
        <f>IF(Time!AR30&gt;0,(Time!AR30-AR7)/Time!AR30,0)</f>
        <v/>
      </c>
      <c r="AS17" s="13">
        <f>IF(Time!AS30&gt;0,(Time!AS30-AS7)/Time!AS30,0)</f>
        <v/>
      </c>
      <c r="AT17" s="13">
        <f>IF(Time!AT30&gt;0,(Time!AT30-AT7)/Time!AT30,0)</f>
        <v/>
      </c>
      <c r="AU17" s="13">
        <f>IF(Time!AU30&gt;0,(Time!AU30-AU7)/Time!AU30,0)</f>
        <v/>
      </c>
      <c r="AV17" s="13">
        <f>IF(Time!AV30&gt;0,(Time!AV30-AV7)/Time!AV30,0)</f>
        <v/>
      </c>
      <c r="AW17" s="13">
        <f>IF(Time!AW30&gt;0,(Time!AW30-AW7)/Time!AW30,0)</f>
        <v/>
      </c>
      <c r="AX17" s="13">
        <f>IF(Time!AX30&gt;0,(Time!AX30-AX7)/Time!AX30,0)</f>
        <v/>
      </c>
      <c r="AY17" s="13">
        <f>IF(Time!AY30&gt;0,(Time!AY30-AY7)/Time!AY30,0)</f>
        <v/>
      </c>
      <c r="AZ17" s="13">
        <f>IF(Time!AZ30&gt;0,(Time!AZ30-AZ7)/Time!AZ30,0)</f>
        <v/>
      </c>
      <c r="BA17" s="13">
        <f>IF(Time!BA30&gt;0,(Time!BA30-BA7)/Time!BA30,0)</f>
        <v/>
      </c>
      <c r="BB17" s="13">
        <f>IF(Time!BB30&gt;0,(Time!BB30-BB7)/Time!BB30,0)</f>
        <v/>
      </c>
      <c r="BC17" s="13">
        <f>IF(Time!BC30&gt;0,(Time!BC30-BC7)/Time!BC30,0)</f>
        <v/>
      </c>
      <c r="BD17" s="13">
        <f>IF(Time!BD30&gt;0,(Time!BD30-BD7)/Time!BD30,0)</f>
        <v/>
      </c>
      <c r="BE17" s="13">
        <f>IF(Time!BE30&gt;0,(Time!BE30-BE7)/Time!BE30,0)</f>
        <v/>
      </c>
      <c r="BF17" s="13">
        <f>IF(Time!BF30&gt;0,(Time!BF30-BF7)/Time!BF30,0)</f>
        <v/>
      </c>
      <c r="BG17" s="13">
        <f>IF(Time!BG30&gt;0,(Time!BG30-BG7)/Time!BG30,0)</f>
        <v/>
      </c>
      <c r="BH17" s="13">
        <f>IF(Time!BH30&gt;0,(Time!BH30-BH7)/Time!BH30,0)</f>
        <v/>
      </c>
      <c r="BI17" s="13">
        <f>IF(Time!BI30&gt;0,(Time!BI30-BI7)/Time!BI30,0)</f>
        <v/>
      </c>
      <c r="BJ17" s="13">
        <f>IF(Time!BJ30&gt;0,(Time!BJ30-BJ7)/Time!BJ30,0)</f>
        <v/>
      </c>
      <c r="BK17" s="13">
        <f>IF(Time!BK30&gt;0,(Time!BK30-BK7)/Time!BK30,0)</f>
        <v/>
      </c>
      <c r="BL17" s="13">
        <f>IF(Time!BL30&gt;0,(Time!BL30-BL7)/Time!BL30,0)</f>
        <v/>
      </c>
      <c r="BM17" s="13">
        <f>IF(Time!BM30&gt;0,(Time!BM30-BM7)/Time!BM30,0)</f>
        <v/>
      </c>
      <c r="BN17" s="13">
        <f>IF(Time!BN30&gt;0,(Time!BN30-BN7)/Time!BN30,0)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3">
        <f>SUM(J18:BN18)</f>
        <v/>
      </c>
      <c r="J18" s="13">
        <f>(Operations!J84-J16-J15)*J17-J12</f>
        <v/>
      </c>
      <c r="K18" s="13">
        <f>(Operations!K84-K16-K15)*K17-K12</f>
        <v/>
      </c>
      <c r="L18" s="13">
        <f>(Operations!L84-L16-L15)*L17-L12</f>
        <v/>
      </c>
      <c r="M18" s="13">
        <f>(Operations!M84-M16-M15)*M17-M12</f>
        <v/>
      </c>
      <c r="N18" s="13">
        <f>(Operations!N84-N16-N15)*N17-N12</f>
        <v/>
      </c>
      <c r="O18" s="13">
        <f>(Operations!O84-O16-O15)*O17-O12</f>
        <v/>
      </c>
      <c r="P18" s="13">
        <f>(Operations!P84-P16-P15)*P17-P12</f>
        <v/>
      </c>
      <c r="Q18" s="13">
        <f>(Operations!Q84-Q16-Q15)*Q17-Q12</f>
        <v/>
      </c>
      <c r="R18" s="13">
        <f>(Operations!R84-R16-R15)*R17-R12</f>
        <v/>
      </c>
      <c r="S18" s="13">
        <f>(Operations!S84-S16-S15)*S17-S12</f>
        <v/>
      </c>
      <c r="T18" s="13">
        <f>(Operations!T84-T16-T15)*T17-T12</f>
        <v/>
      </c>
      <c r="U18" s="13">
        <f>(Operations!U84-U16-U15)*U17-U12</f>
        <v/>
      </c>
      <c r="V18" s="13">
        <f>(Operations!V84-V16-V15)*V17-V12</f>
        <v/>
      </c>
      <c r="W18" s="13">
        <f>(Operations!W84-W16-W15)*W17-W12</f>
        <v/>
      </c>
      <c r="X18" s="13">
        <f>(Operations!X84-X16-X15)*X17-X12</f>
        <v/>
      </c>
      <c r="Y18" s="13">
        <f>(Operations!Y84-Y16-Y15)*Y17-Y12</f>
        <v/>
      </c>
      <c r="Z18" s="13">
        <f>(Operations!Z84-Z16-Z15)*Z17-Z12</f>
        <v/>
      </c>
      <c r="AA18" s="13">
        <f>(Operations!AA84-AA16-AA15)*AA17-AA12</f>
        <v/>
      </c>
      <c r="AB18" s="13">
        <f>(Operations!AB84-AB16-AB15)*AB17-AB12</f>
        <v/>
      </c>
      <c r="AC18" s="13">
        <f>(Operations!AC84-AC16-AC15)*AC17-AC12</f>
        <v/>
      </c>
      <c r="AD18" s="13">
        <f>(Operations!AD84-AD16-AD15)*AD17-AD12</f>
        <v/>
      </c>
      <c r="AE18" s="13">
        <f>(Operations!AE84-AE16-AE15)*AE17-AE12</f>
        <v/>
      </c>
      <c r="AF18" s="13">
        <f>(Operations!AF84-AF16-AF15)*AF17-AF12</f>
        <v/>
      </c>
      <c r="AG18" s="13">
        <f>(Operations!AG84-AG16-AG15)*AG17-AG12</f>
        <v/>
      </c>
      <c r="AH18" s="13">
        <f>(Operations!AH84-AH16-AH15)*AH17-AH12</f>
        <v/>
      </c>
      <c r="AI18" s="13">
        <f>(Operations!AI84-AI16-AI15)*AI17-AI12</f>
        <v/>
      </c>
      <c r="AJ18" s="13">
        <f>(Operations!AJ84-AJ16-AJ15)*AJ17-AJ12</f>
        <v/>
      </c>
      <c r="AK18" s="13">
        <f>(Operations!AK84-AK16-AK15)*AK17-AK12</f>
        <v/>
      </c>
      <c r="AL18" s="13">
        <f>(Operations!AL84-AL16-AL15)*AL17-AL12</f>
        <v/>
      </c>
      <c r="AM18" s="13">
        <f>(Operations!AM84-AM16-AM15)*AM17-AM12</f>
        <v/>
      </c>
      <c r="AN18" s="13">
        <f>(Operations!AN84-AN16-AN15)*AN17-AN12</f>
        <v/>
      </c>
      <c r="AO18" s="13">
        <f>(Operations!AO84-AO16-AO15)*AO17-AO12</f>
        <v/>
      </c>
      <c r="AP18" s="13">
        <f>(Operations!AP84-AP16-AP15)*AP17-AP12</f>
        <v/>
      </c>
      <c r="AQ18" s="13">
        <f>(Operations!AQ84-AQ16-AQ15)*AQ17-AQ12</f>
        <v/>
      </c>
      <c r="AR18" s="13">
        <f>(Operations!AR84-AR16-AR15)*AR17-AR12</f>
        <v/>
      </c>
      <c r="AS18" s="13">
        <f>(Operations!AS84-AS16-AS15)*AS17-AS12</f>
        <v/>
      </c>
      <c r="AT18" s="13">
        <f>(Operations!AT84-AT16-AT15)*AT17-AT12</f>
        <v/>
      </c>
      <c r="AU18" s="13">
        <f>(Operations!AU84-AU16-AU15)*AU17-AU12</f>
        <v/>
      </c>
      <c r="AV18" s="13">
        <f>(Operations!AV84-AV16-AV15)*AV17-AV12</f>
        <v/>
      </c>
      <c r="AW18" s="13">
        <f>(Operations!AW84-AW16-AW15)*AW17-AW12</f>
        <v/>
      </c>
      <c r="AX18" s="13">
        <f>(Operations!AX84-AX16-AX15)*AX17-AX12</f>
        <v/>
      </c>
      <c r="AY18" s="13">
        <f>(Operations!AY84-AY16-AY15)*AY17-AY12</f>
        <v/>
      </c>
      <c r="AZ18" s="13">
        <f>(Operations!AZ84-AZ16-AZ15)*AZ17-AZ12</f>
        <v/>
      </c>
      <c r="BA18" s="13">
        <f>(Operations!BA84-BA16-BA15)*BA17-BA12</f>
        <v/>
      </c>
      <c r="BB18" s="13">
        <f>(Operations!BB84-BB16-BB15)*BB17-BB12</f>
        <v/>
      </c>
      <c r="BC18" s="13">
        <f>(Operations!BC84-BC16-BC15)*BC17-BC12</f>
        <v/>
      </c>
      <c r="BD18" s="13">
        <f>(Operations!BD84-BD16-BD15)*BD17-BD12</f>
        <v/>
      </c>
      <c r="BE18" s="13">
        <f>(Operations!BE84-BE16-BE15)*BE17-BE12</f>
        <v/>
      </c>
      <c r="BF18" s="13">
        <f>(Operations!BF84-BF16-BF15)*BF17-BF12</f>
        <v/>
      </c>
      <c r="BG18" s="13">
        <f>(Operations!BG84-BG16-BG15)*BG17-BG12</f>
        <v/>
      </c>
      <c r="BH18" s="13">
        <f>(Operations!BH84-BH16-BH15)*BH17-BH12</f>
        <v/>
      </c>
      <c r="BI18" s="13">
        <f>(Operations!BI84-BI16-BI15)*BI17-BI12</f>
        <v/>
      </c>
      <c r="BJ18" s="13">
        <f>(Operations!BJ84-BJ16-BJ15)*BJ17-BJ12</f>
        <v/>
      </c>
      <c r="BK18" s="13">
        <f>(Operations!BK84-BK16-BK15)*BK17-BK12</f>
        <v/>
      </c>
      <c r="BL18" s="13">
        <f>(Operations!BL84-BL16-BL15)*BL17-BL12</f>
        <v/>
      </c>
      <c r="BM18" s="13">
        <f>(Operations!BM84-BM16-BM15)*BM17-BM12</f>
        <v/>
      </c>
      <c r="BN18" s="13">
        <f>(Operations!BN84-BN16-BN15)*BN17-BN12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3">
        <f>SUM(J19:BN19)</f>
        <v/>
      </c>
      <c r="J19" s="13">
        <f>MIN(I22,MAX(0,J18))</f>
        <v/>
      </c>
      <c r="K19" s="13">
        <f>MIN(J22,MAX(0,K18))</f>
        <v/>
      </c>
      <c r="L19" s="13">
        <f>MIN(K22,MAX(0,L18))</f>
        <v/>
      </c>
      <c r="M19" s="13">
        <f>MIN(L22,MAX(0,M18))</f>
        <v/>
      </c>
      <c r="N19" s="13">
        <f>MIN(M22,MAX(0,N18))</f>
        <v/>
      </c>
      <c r="O19" s="13">
        <f>MIN(N22,MAX(0,O18))</f>
        <v/>
      </c>
      <c r="P19" s="13">
        <f>MIN(O22,MAX(0,P18))</f>
        <v/>
      </c>
      <c r="Q19" s="13">
        <f>MIN(P22,MAX(0,Q18))</f>
        <v/>
      </c>
      <c r="R19" s="13">
        <f>MIN(Q22,MAX(0,R18))</f>
        <v/>
      </c>
      <c r="S19" s="13">
        <f>MIN(R22,MAX(0,S18))</f>
        <v/>
      </c>
      <c r="T19" s="13">
        <f>MIN(S22,MAX(0,T18))</f>
        <v/>
      </c>
      <c r="U19" s="13">
        <f>MIN(T22,MAX(0,U18))</f>
        <v/>
      </c>
      <c r="V19" s="13">
        <f>MIN(U22,MAX(0,V18))</f>
        <v/>
      </c>
      <c r="W19" s="13">
        <f>MIN(V22,MAX(0,W18))</f>
        <v/>
      </c>
      <c r="X19" s="13">
        <f>MIN(W22,MAX(0,X18))</f>
        <v/>
      </c>
      <c r="Y19" s="13">
        <f>MIN(X22,MAX(0,Y18))</f>
        <v/>
      </c>
      <c r="Z19" s="13">
        <f>MIN(Y22,MAX(0,Z18))</f>
        <v/>
      </c>
      <c r="AA19" s="13">
        <f>MIN(Z22,MAX(0,AA18))</f>
        <v/>
      </c>
      <c r="AB19" s="13">
        <f>MIN(AA22,MAX(0,AB18))</f>
        <v/>
      </c>
      <c r="AC19" s="13">
        <f>MIN(AB22,MAX(0,AC18))</f>
        <v/>
      </c>
      <c r="AD19" s="13">
        <f>MIN(AC22,MAX(0,AD18))</f>
        <v/>
      </c>
      <c r="AE19" s="13">
        <f>MIN(AD22,MAX(0,AE18))</f>
        <v/>
      </c>
      <c r="AF19" s="13">
        <f>MIN(AE22,MAX(0,AF18))</f>
        <v/>
      </c>
      <c r="AG19" s="13">
        <f>MIN(AF22,MAX(0,AG18))</f>
        <v/>
      </c>
      <c r="AH19" s="13">
        <f>MIN(AG22,MAX(0,AH18))</f>
        <v/>
      </c>
      <c r="AI19" s="13">
        <f>MIN(AH22,MAX(0,AI18))</f>
        <v/>
      </c>
      <c r="AJ19" s="13">
        <f>MIN(AI22,MAX(0,AJ18))</f>
        <v/>
      </c>
      <c r="AK19" s="13">
        <f>MIN(AJ22,MAX(0,AK18))</f>
        <v/>
      </c>
      <c r="AL19" s="13">
        <f>MIN(AK22,MAX(0,AL18))</f>
        <v/>
      </c>
      <c r="AM19" s="13">
        <f>MIN(AL22,MAX(0,AM18))</f>
        <v/>
      </c>
      <c r="AN19" s="13">
        <f>MIN(AM22,MAX(0,AN18))</f>
        <v/>
      </c>
      <c r="AO19" s="13">
        <f>MIN(AN22,MAX(0,AO18))</f>
        <v/>
      </c>
      <c r="AP19" s="13">
        <f>MIN(AO22,MAX(0,AP18))</f>
        <v/>
      </c>
      <c r="AQ19" s="13">
        <f>MIN(AP22,MAX(0,AQ18))</f>
        <v/>
      </c>
      <c r="AR19" s="13">
        <f>MIN(AQ22,MAX(0,AR18))</f>
        <v/>
      </c>
      <c r="AS19" s="13">
        <f>MIN(AR22,MAX(0,AS18))</f>
        <v/>
      </c>
      <c r="AT19" s="13">
        <f>MIN(AS22,MAX(0,AT18))</f>
        <v/>
      </c>
      <c r="AU19" s="13">
        <f>MIN(AT22,MAX(0,AU18))</f>
        <v/>
      </c>
      <c r="AV19" s="13">
        <f>MIN(AU22,MAX(0,AV18))</f>
        <v/>
      </c>
      <c r="AW19" s="13">
        <f>MIN(AV22,MAX(0,AW18))</f>
        <v/>
      </c>
      <c r="AX19" s="13">
        <f>MIN(AW22,MAX(0,AX18))</f>
        <v/>
      </c>
      <c r="AY19" s="13">
        <f>MIN(AX22,MAX(0,AY18))</f>
        <v/>
      </c>
      <c r="AZ19" s="13">
        <f>MIN(AY22,MAX(0,AZ18))</f>
        <v/>
      </c>
      <c r="BA19" s="13">
        <f>MIN(AZ22,MAX(0,BA18))</f>
        <v/>
      </c>
      <c r="BB19" s="13">
        <f>MIN(BA22,MAX(0,BB18))</f>
        <v/>
      </c>
      <c r="BC19" s="13">
        <f>MIN(BB22,MAX(0,BC18))</f>
        <v/>
      </c>
      <c r="BD19" s="13">
        <f>MIN(BC22,MAX(0,BD18))</f>
        <v/>
      </c>
      <c r="BE19" s="13">
        <f>MIN(BD22,MAX(0,BE18))</f>
        <v/>
      </c>
      <c r="BF19" s="13">
        <f>MIN(BE22,MAX(0,BF18))</f>
        <v/>
      </c>
      <c r="BG19" s="13">
        <f>MIN(BF22,MAX(0,BG18))</f>
        <v/>
      </c>
      <c r="BH19" s="13">
        <f>MIN(BG22,MAX(0,BH18))</f>
        <v/>
      </c>
      <c r="BI19" s="13">
        <f>MIN(BH22,MAX(0,BI18))</f>
        <v/>
      </c>
      <c r="BJ19" s="13">
        <f>MIN(BI22,MAX(0,BJ18))</f>
        <v/>
      </c>
      <c r="BK19" s="13">
        <f>MIN(BJ22,MAX(0,BK18))</f>
        <v/>
      </c>
      <c r="BL19" s="13">
        <f>MIN(BK22,MAX(0,BL18))</f>
        <v/>
      </c>
      <c r="BM19" s="13">
        <f>MIN(BL22,MAX(0,BM18))</f>
        <v/>
      </c>
      <c r="BN19" s="13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3">
        <f>SUM(J20:BN20)</f>
        <v/>
      </c>
      <c r="J20" s="13">
        <f>MIN(I21,MAX(0,J18-J19))</f>
        <v/>
      </c>
      <c r="K20" s="13">
        <f>MIN(J21,MAX(0,K18-K19))</f>
        <v/>
      </c>
      <c r="L20" s="13">
        <f>MIN(K21,MAX(0,L18-L19))</f>
        <v/>
      </c>
      <c r="M20" s="13">
        <f>MIN(L21,MAX(0,M18-M19))</f>
        <v/>
      </c>
      <c r="N20" s="13">
        <f>MIN(M21,MAX(0,N18-N19))</f>
        <v/>
      </c>
      <c r="O20" s="13">
        <f>MIN(N21,MAX(0,O18-O19))</f>
        <v/>
      </c>
      <c r="P20" s="13">
        <f>MIN(O21,MAX(0,P18-P19))</f>
        <v/>
      </c>
      <c r="Q20" s="13">
        <f>MIN(P21,MAX(0,Q18-Q19))</f>
        <v/>
      </c>
      <c r="R20" s="13">
        <f>MIN(Q21,MAX(0,R18-R19))</f>
        <v/>
      </c>
      <c r="S20" s="13">
        <f>MIN(R21,MAX(0,S18-S19))</f>
        <v/>
      </c>
      <c r="T20" s="13">
        <f>MIN(S21,MAX(0,T18-T19))</f>
        <v/>
      </c>
      <c r="U20" s="13">
        <f>MIN(T21,MAX(0,U18-U19))</f>
        <v/>
      </c>
      <c r="V20" s="13">
        <f>MIN(U21,MAX(0,V18-V19))</f>
        <v/>
      </c>
      <c r="W20" s="13">
        <f>MIN(V21,MAX(0,W18-W19))</f>
        <v/>
      </c>
      <c r="X20" s="13">
        <f>MIN(W21,MAX(0,X18-X19))</f>
        <v/>
      </c>
      <c r="Y20" s="13">
        <f>MIN(X21,MAX(0,Y18-Y19))</f>
        <v/>
      </c>
      <c r="Z20" s="13">
        <f>MIN(Y21,MAX(0,Z18-Z19))</f>
        <v/>
      </c>
      <c r="AA20" s="13">
        <f>MIN(Z21,MAX(0,AA18-AA19))</f>
        <v/>
      </c>
      <c r="AB20" s="13">
        <f>MIN(AA21,MAX(0,AB18-AB19))</f>
        <v/>
      </c>
      <c r="AC20" s="13">
        <f>MIN(AB21,MAX(0,AC18-AC19))</f>
        <v/>
      </c>
      <c r="AD20" s="13">
        <f>MIN(AC21,MAX(0,AD18-AD19))</f>
        <v/>
      </c>
      <c r="AE20" s="13">
        <f>MIN(AD21,MAX(0,AE18-AE19))</f>
        <v/>
      </c>
      <c r="AF20" s="13">
        <f>MIN(AE21,MAX(0,AF18-AF19))</f>
        <v/>
      </c>
      <c r="AG20" s="13">
        <f>MIN(AF21,MAX(0,AG18-AG19))</f>
        <v/>
      </c>
      <c r="AH20" s="13">
        <f>MIN(AG21,MAX(0,AH18-AH19))</f>
        <v/>
      </c>
      <c r="AI20" s="13">
        <f>MIN(AH21,MAX(0,AI18-AI19))</f>
        <v/>
      </c>
      <c r="AJ20" s="13">
        <f>MIN(AI21,MAX(0,AJ18-AJ19))</f>
        <v/>
      </c>
      <c r="AK20" s="13">
        <f>MIN(AJ21,MAX(0,AK18-AK19))</f>
        <v/>
      </c>
      <c r="AL20" s="13">
        <f>MIN(AK21,MAX(0,AL18-AL19))</f>
        <v/>
      </c>
      <c r="AM20" s="13">
        <f>MIN(AL21,MAX(0,AM18-AM19))</f>
        <v/>
      </c>
      <c r="AN20" s="13">
        <f>MIN(AM21,MAX(0,AN18-AN19))</f>
        <v/>
      </c>
      <c r="AO20" s="13">
        <f>MIN(AN21,MAX(0,AO18-AO19))</f>
        <v/>
      </c>
      <c r="AP20" s="13">
        <f>MIN(AO21,MAX(0,AP18-AP19))</f>
        <v/>
      </c>
      <c r="AQ20" s="13">
        <f>MIN(AP21,MAX(0,AQ18-AQ19))</f>
        <v/>
      </c>
      <c r="AR20" s="13">
        <f>MIN(AQ21,MAX(0,AR18-AR19))</f>
        <v/>
      </c>
      <c r="AS20" s="13">
        <f>MIN(AR21,MAX(0,AS18-AS19))</f>
        <v/>
      </c>
      <c r="AT20" s="13">
        <f>MIN(AS21,MAX(0,AT18-AT19))</f>
        <v/>
      </c>
      <c r="AU20" s="13">
        <f>MIN(AT21,MAX(0,AU18-AU19))</f>
        <v/>
      </c>
      <c r="AV20" s="13">
        <f>MIN(AU21,MAX(0,AV18-AV19))</f>
        <v/>
      </c>
      <c r="AW20" s="13">
        <f>MIN(AV21,MAX(0,AW18-AW19))</f>
        <v/>
      </c>
      <c r="AX20" s="13">
        <f>MIN(AW21,MAX(0,AX18-AX19))</f>
        <v/>
      </c>
      <c r="AY20" s="13">
        <f>MIN(AX21,MAX(0,AY18-AY19))</f>
        <v/>
      </c>
      <c r="AZ20" s="13">
        <f>MIN(AY21,MAX(0,AZ18-AZ19))</f>
        <v/>
      </c>
      <c r="BA20" s="13">
        <f>MIN(AZ21,MAX(0,BA18-BA19))</f>
        <v/>
      </c>
      <c r="BB20" s="13">
        <f>MIN(BA21,MAX(0,BB18-BB19))</f>
        <v/>
      </c>
      <c r="BC20" s="13">
        <f>MIN(BB21,MAX(0,BC18-BC19))</f>
        <v/>
      </c>
      <c r="BD20" s="13">
        <f>MIN(BC21,MAX(0,BD18-BD19))</f>
        <v/>
      </c>
      <c r="BE20" s="13">
        <f>MIN(BD21,MAX(0,BE18-BE19))</f>
        <v/>
      </c>
      <c r="BF20" s="13">
        <f>MIN(BE21,MAX(0,BF18-BF19))</f>
        <v/>
      </c>
      <c r="BG20" s="13">
        <f>MIN(BF21,MAX(0,BG18-BG19))</f>
        <v/>
      </c>
      <c r="BH20" s="13">
        <f>MIN(BG21,MAX(0,BH18-BH19))</f>
        <v/>
      </c>
      <c r="BI20" s="13">
        <f>MIN(BH21,MAX(0,BI18-BI19))</f>
        <v/>
      </c>
      <c r="BJ20" s="13">
        <f>MIN(BI21,MAX(0,BJ18-BJ19))</f>
        <v/>
      </c>
      <c r="BK20" s="13">
        <f>MIN(BJ21,MAX(0,BK18-BK19))</f>
        <v/>
      </c>
      <c r="BL20" s="13">
        <f>MIN(BK21,MAX(0,BL18-BL19))</f>
        <v/>
      </c>
      <c r="BM20" s="13">
        <f>MIN(BL21,MAX(0,BM18-BM19))</f>
        <v/>
      </c>
      <c r="BN20" s="13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3">
        <f>I21+0-J20</f>
        <v/>
      </c>
      <c r="K21" s="13">
        <f>J21+0-K20</f>
        <v/>
      </c>
      <c r="L21" s="13">
        <f>K21+0-L20</f>
        <v/>
      </c>
      <c r="M21" s="13">
        <f>L21+0-M20</f>
        <v/>
      </c>
      <c r="N21" s="13">
        <f>M21+0-N20</f>
        <v/>
      </c>
      <c r="O21" s="13">
        <f>N21+0-O20</f>
        <v/>
      </c>
      <c r="P21" s="13">
        <f>O21+0-P20</f>
        <v/>
      </c>
      <c r="Q21" s="13">
        <f>P21+0-Q20</f>
        <v/>
      </c>
      <c r="R21" s="13">
        <f>Q21+0-R20</f>
        <v/>
      </c>
      <c r="S21" s="13">
        <f>R21+0-S20</f>
        <v/>
      </c>
      <c r="T21" s="13">
        <f>S21+0-T20</f>
        <v/>
      </c>
      <c r="U21" s="13">
        <f>T21+0-U20</f>
        <v/>
      </c>
      <c r="V21" s="13">
        <f>U21+0-V20</f>
        <v/>
      </c>
      <c r="W21" s="13">
        <f>V21+0-W20</f>
        <v/>
      </c>
      <c r="X21" s="13">
        <f>W21+0-X20</f>
        <v/>
      </c>
      <c r="Y21" s="13">
        <f>X21+0-Y20</f>
        <v/>
      </c>
      <c r="Z21" s="13">
        <f>Y21+0-Z20</f>
        <v/>
      </c>
      <c r="AA21" s="13">
        <f>Z21+0-AA20</f>
        <v/>
      </c>
      <c r="AB21" s="13">
        <f>AA21+0-AB20</f>
        <v/>
      </c>
      <c r="AC21" s="13">
        <f>AB21+0-AC20</f>
        <v/>
      </c>
      <c r="AD21" s="13">
        <f>AC21+0-AD20</f>
        <v/>
      </c>
      <c r="AE21" s="13">
        <f>AD21+0-AE20</f>
        <v/>
      </c>
      <c r="AF21" s="13">
        <f>AE21+0-AF20</f>
        <v/>
      </c>
      <c r="AG21" s="13">
        <f>AF21+0-AG20</f>
        <v/>
      </c>
      <c r="AH21" s="13">
        <f>AG21+0-AH20</f>
        <v/>
      </c>
      <c r="AI21" s="13">
        <f>AH21+0-AI20</f>
        <v/>
      </c>
      <c r="AJ21" s="13">
        <f>AI21+0-AJ20</f>
        <v/>
      </c>
      <c r="AK21" s="13">
        <f>AJ21+0-AK20</f>
        <v/>
      </c>
      <c r="AL21" s="13">
        <f>AK21+0-AL20</f>
        <v/>
      </c>
      <c r="AM21" s="13">
        <f>AL21+0-AM20</f>
        <v/>
      </c>
      <c r="AN21" s="13">
        <f>AM21+0-AN20</f>
        <v/>
      </c>
      <c r="AO21" s="13">
        <f>AN21+0-AO20</f>
        <v/>
      </c>
      <c r="AP21" s="13">
        <f>AO21+0-AP20</f>
        <v/>
      </c>
      <c r="AQ21" s="13">
        <f>AP21+0-AQ20</f>
        <v/>
      </c>
      <c r="AR21" s="13">
        <f>AQ21+0-AR20</f>
        <v/>
      </c>
      <c r="AS21" s="13">
        <f>AR21+0-AS20</f>
        <v/>
      </c>
      <c r="AT21" s="13">
        <f>AS21+0-AT20</f>
        <v/>
      </c>
      <c r="AU21" s="13">
        <f>AT21+0-AU20</f>
        <v/>
      </c>
      <c r="AV21" s="13">
        <f>AU21+0-AV20</f>
        <v/>
      </c>
      <c r="AW21" s="13">
        <f>AV21+0-AW20</f>
        <v/>
      </c>
      <c r="AX21" s="13">
        <f>AW21+0-AX20</f>
        <v/>
      </c>
      <c r="AY21" s="13">
        <f>AX21+0-AY20</f>
        <v/>
      </c>
      <c r="AZ21" s="13">
        <f>AY21+0-AZ20</f>
        <v/>
      </c>
      <c r="BA21" s="13">
        <f>AZ21+0-BA20</f>
        <v/>
      </c>
      <c r="BB21" s="13">
        <f>BA21+0-BB20</f>
        <v/>
      </c>
      <c r="BC21" s="13">
        <f>BB21+0-BC20</f>
        <v/>
      </c>
      <c r="BD21" s="13">
        <f>BC21+0-BD20</f>
        <v/>
      </c>
      <c r="BE21" s="13">
        <f>BD21+0-BE20</f>
        <v/>
      </c>
      <c r="BF21" s="13">
        <f>BE21+0-BF20</f>
        <v/>
      </c>
      <c r="BG21" s="13">
        <f>BF21+0-BG20</f>
        <v/>
      </c>
      <c r="BH21" s="13">
        <f>BG21+0-BH20</f>
        <v/>
      </c>
      <c r="BI21" s="13">
        <f>BH21+0-BI20</f>
        <v/>
      </c>
      <c r="BJ21" s="13">
        <f>BI21+0-BJ20</f>
        <v/>
      </c>
      <c r="BK21" s="13">
        <f>BJ21+0-BK20</f>
        <v/>
      </c>
      <c r="BL21" s="13">
        <f>BK21+0-BL20</f>
        <v/>
      </c>
      <c r="BM21" s="13">
        <f>BL21+0-BM20</f>
        <v/>
      </c>
      <c r="BN21" s="13">
        <f>BM21+0-BN20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3">
        <f>I22-J19+MAX(0,-J18)</f>
        <v/>
      </c>
      <c r="K22" s="13">
        <f>J22-K19+MAX(0,-K18)</f>
        <v/>
      </c>
      <c r="L22" s="13">
        <f>K22-L19+MAX(0,-L18)</f>
        <v/>
      </c>
      <c r="M22" s="13">
        <f>L22-M19+MAX(0,-M18)</f>
        <v/>
      </c>
      <c r="N22" s="13">
        <f>M22-N19+MAX(0,-N18)</f>
        <v/>
      </c>
      <c r="O22" s="13">
        <f>N22-O19+MAX(0,-O18)</f>
        <v/>
      </c>
      <c r="P22" s="13">
        <f>O22-P19+MAX(0,-P18)</f>
        <v/>
      </c>
      <c r="Q22" s="13">
        <f>P22-Q19+MAX(0,-Q18)</f>
        <v/>
      </c>
      <c r="R22" s="13">
        <f>Q22-R19+MAX(0,-R18)</f>
        <v/>
      </c>
      <c r="S22" s="13">
        <f>R22-S19+MAX(0,-S18)</f>
        <v/>
      </c>
      <c r="T22" s="13">
        <f>S22-T19+MAX(0,-T18)</f>
        <v/>
      </c>
      <c r="U22" s="13">
        <f>T22-U19+MAX(0,-U18)</f>
        <v/>
      </c>
      <c r="V22" s="13">
        <f>U22-V19+MAX(0,-V18)</f>
        <v/>
      </c>
      <c r="W22" s="13">
        <f>V22-W19+MAX(0,-W18)</f>
        <v/>
      </c>
      <c r="X22" s="13">
        <f>W22-X19+MAX(0,-X18)</f>
        <v/>
      </c>
      <c r="Y22" s="13">
        <f>X22-Y19+MAX(0,-Y18)</f>
        <v/>
      </c>
      <c r="Z22" s="13">
        <f>Y22-Z19+MAX(0,-Z18)</f>
        <v/>
      </c>
      <c r="AA22" s="13">
        <f>Z22-AA19+MAX(0,-AA18)</f>
        <v/>
      </c>
      <c r="AB22" s="13">
        <f>AA22-AB19+MAX(0,-AB18)</f>
        <v/>
      </c>
      <c r="AC22" s="13">
        <f>AB22-AC19+MAX(0,-AC18)</f>
        <v/>
      </c>
      <c r="AD22" s="13">
        <f>AC22-AD19+MAX(0,-AD18)</f>
        <v/>
      </c>
      <c r="AE22" s="13">
        <f>AD22-AE19+MAX(0,-AE18)</f>
        <v/>
      </c>
      <c r="AF22" s="13">
        <f>AE22-AF19+MAX(0,-AF18)</f>
        <v/>
      </c>
      <c r="AG22" s="13">
        <f>AF22-AG19+MAX(0,-AG18)</f>
        <v/>
      </c>
      <c r="AH22" s="13">
        <f>AG22-AH19+MAX(0,-AH18)</f>
        <v/>
      </c>
      <c r="AI22" s="13">
        <f>AH22-AI19+MAX(0,-AI18)</f>
        <v/>
      </c>
      <c r="AJ22" s="13">
        <f>AI22-AJ19+MAX(0,-AJ18)</f>
        <v/>
      </c>
      <c r="AK22" s="13">
        <f>AJ22-AK19+MAX(0,-AK18)</f>
        <v/>
      </c>
      <c r="AL22" s="13">
        <f>AK22-AL19+MAX(0,-AL18)</f>
        <v/>
      </c>
      <c r="AM22" s="13">
        <f>AL22-AM19+MAX(0,-AM18)</f>
        <v/>
      </c>
      <c r="AN22" s="13">
        <f>AM22-AN19+MAX(0,-AN18)</f>
        <v/>
      </c>
      <c r="AO22" s="13">
        <f>AN22-AO19+MAX(0,-AO18)</f>
        <v/>
      </c>
      <c r="AP22" s="13">
        <f>AO22-AP19+MAX(0,-AP18)</f>
        <v/>
      </c>
      <c r="AQ22" s="13">
        <f>AP22-AQ19+MAX(0,-AQ18)</f>
        <v/>
      </c>
      <c r="AR22" s="13">
        <f>AQ22-AR19+MAX(0,-AR18)</f>
        <v/>
      </c>
      <c r="AS22" s="13">
        <f>AR22-AS19+MAX(0,-AS18)</f>
        <v/>
      </c>
      <c r="AT22" s="13">
        <f>AS22-AT19+MAX(0,-AT18)</f>
        <v/>
      </c>
      <c r="AU22" s="13">
        <f>AT22-AU19+MAX(0,-AU18)</f>
        <v/>
      </c>
      <c r="AV22" s="13">
        <f>AU22-AV19+MAX(0,-AV18)</f>
        <v/>
      </c>
      <c r="AW22" s="13">
        <f>AV22-AW19+MAX(0,-AW18)</f>
        <v/>
      </c>
      <c r="AX22" s="13">
        <f>AW22-AX19+MAX(0,-AX18)</f>
        <v/>
      </c>
      <c r="AY22" s="13">
        <f>AX22-AY19+MAX(0,-AY18)</f>
        <v/>
      </c>
      <c r="AZ22" s="13">
        <f>AY22-AZ19+MAX(0,-AZ18)</f>
        <v/>
      </c>
      <c r="BA22" s="13">
        <f>AZ22-BA19+MAX(0,-BA18)</f>
        <v/>
      </c>
      <c r="BB22" s="13">
        <f>BA22-BB19+MAX(0,-BB18)</f>
        <v/>
      </c>
      <c r="BC22" s="13">
        <f>BB22-BC19+MAX(0,-BC18)</f>
        <v/>
      </c>
      <c r="BD22" s="13">
        <f>BC22-BD19+MAX(0,-BD18)</f>
        <v/>
      </c>
      <c r="BE22" s="13">
        <f>BD22-BE19+MAX(0,-BE18)</f>
        <v/>
      </c>
      <c r="BF22" s="13">
        <f>BE22-BF19+MAX(0,-BF18)</f>
        <v/>
      </c>
      <c r="BG22" s="13">
        <f>BF22-BG19+MAX(0,-BG18)</f>
        <v/>
      </c>
      <c r="BH22" s="13">
        <f>BG22-BH19+MAX(0,-BH18)</f>
        <v/>
      </c>
      <c r="BI22" s="13">
        <f>BH22-BI19+MAX(0,-BI18)</f>
        <v/>
      </c>
      <c r="BJ22" s="13">
        <f>BI22-BJ19+MAX(0,-BJ18)</f>
        <v/>
      </c>
      <c r="BK22" s="13">
        <f>BJ22-BK19+MAX(0,-BK18)</f>
        <v/>
      </c>
      <c r="BL22" s="13">
        <f>BK22-BL19+MAX(0,-BL18)</f>
        <v/>
      </c>
      <c r="BM22" s="13">
        <f>BL22-BM19+MAX(0,-BM18)</f>
        <v/>
      </c>
      <c r="BN22" s="13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3">
        <f>SUM(J23:BN23)</f>
        <v/>
      </c>
      <c r="J23" s="13">
        <f>MAX(0,J18-J19-J20)</f>
        <v/>
      </c>
      <c r="K23" s="13">
        <f>MAX(0,K18-K19-K20)</f>
        <v/>
      </c>
      <c r="L23" s="13">
        <f>MAX(0,L18-L19-L20)</f>
        <v/>
      </c>
      <c r="M23" s="13">
        <f>MAX(0,M18-M19-M20)</f>
        <v/>
      </c>
      <c r="N23" s="13">
        <f>MAX(0,N18-N19-N20)</f>
        <v/>
      </c>
      <c r="O23" s="13">
        <f>MAX(0,O18-O19-O20)</f>
        <v/>
      </c>
      <c r="P23" s="13">
        <f>MAX(0,P18-P19-P20)</f>
        <v/>
      </c>
      <c r="Q23" s="13">
        <f>MAX(0,Q18-Q19-Q20)</f>
        <v/>
      </c>
      <c r="R23" s="13">
        <f>MAX(0,R18-R19-R20)</f>
        <v/>
      </c>
      <c r="S23" s="13">
        <f>MAX(0,S18-S19-S20)</f>
        <v/>
      </c>
      <c r="T23" s="13">
        <f>MAX(0,T18-T19-T20)</f>
        <v/>
      </c>
      <c r="U23" s="13">
        <f>MAX(0,U18-U19-U20)</f>
        <v/>
      </c>
      <c r="V23" s="13">
        <f>MAX(0,V18-V19-V20)</f>
        <v/>
      </c>
      <c r="W23" s="13">
        <f>MAX(0,W18-W19-W20)</f>
        <v/>
      </c>
      <c r="X23" s="13">
        <f>MAX(0,X18-X19-X20)</f>
        <v/>
      </c>
      <c r="Y23" s="13">
        <f>MAX(0,Y18-Y19-Y20)</f>
        <v/>
      </c>
      <c r="Z23" s="13">
        <f>MAX(0,Z18-Z19-Z20)</f>
        <v/>
      </c>
      <c r="AA23" s="13">
        <f>MAX(0,AA18-AA19-AA20)</f>
        <v/>
      </c>
      <c r="AB23" s="13">
        <f>MAX(0,AB18-AB19-AB20)</f>
        <v/>
      </c>
      <c r="AC23" s="13">
        <f>MAX(0,AC18-AC19-AC20)</f>
        <v/>
      </c>
      <c r="AD23" s="13">
        <f>MAX(0,AD18-AD19-AD20)</f>
        <v/>
      </c>
      <c r="AE23" s="13">
        <f>MAX(0,AE18-AE19-AE20)</f>
        <v/>
      </c>
      <c r="AF23" s="13">
        <f>MAX(0,AF18-AF19-AF20)</f>
        <v/>
      </c>
      <c r="AG23" s="13">
        <f>MAX(0,AG18-AG19-AG20)</f>
        <v/>
      </c>
      <c r="AH23" s="13">
        <f>MAX(0,AH18-AH19-AH20)</f>
        <v/>
      </c>
      <c r="AI23" s="13">
        <f>MAX(0,AI18-AI19-AI20)</f>
        <v/>
      </c>
      <c r="AJ23" s="13">
        <f>MAX(0,AJ18-AJ19-AJ20)</f>
        <v/>
      </c>
      <c r="AK23" s="13">
        <f>MAX(0,AK18-AK19-AK20)</f>
        <v/>
      </c>
      <c r="AL23" s="13">
        <f>MAX(0,AL18-AL19-AL20)</f>
        <v/>
      </c>
      <c r="AM23" s="13">
        <f>MAX(0,AM18-AM19-AM20)</f>
        <v/>
      </c>
      <c r="AN23" s="13">
        <f>MAX(0,AN18-AN19-AN20)</f>
        <v/>
      </c>
      <c r="AO23" s="13">
        <f>MAX(0,AO18-AO19-AO20)</f>
        <v/>
      </c>
      <c r="AP23" s="13">
        <f>MAX(0,AP18-AP19-AP20)</f>
        <v/>
      </c>
      <c r="AQ23" s="13">
        <f>MAX(0,AQ18-AQ19-AQ20)</f>
        <v/>
      </c>
      <c r="AR23" s="13">
        <f>MAX(0,AR18-AR19-AR20)</f>
        <v/>
      </c>
      <c r="AS23" s="13">
        <f>MAX(0,AS18-AS19-AS20)</f>
        <v/>
      </c>
      <c r="AT23" s="13">
        <f>MAX(0,AT18-AT19-AT20)</f>
        <v/>
      </c>
      <c r="AU23" s="13">
        <f>MAX(0,AU18-AU19-AU20)</f>
        <v/>
      </c>
      <c r="AV23" s="13">
        <f>MAX(0,AV18-AV19-AV20)</f>
        <v/>
      </c>
      <c r="AW23" s="13">
        <f>MAX(0,AW18-AW19-AW20)</f>
        <v/>
      </c>
      <c r="AX23" s="13">
        <f>MAX(0,AX18-AX19-AX20)</f>
        <v/>
      </c>
      <c r="AY23" s="13">
        <f>MAX(0,AY18-AY19-AY20)</f>
        <v/>
      </c>
      <c r="AZ23" s="13">
        <f>MAX(0,AZ18-AZ19-AZ20)</f>
        <v/>
      </c>
      <c r="BA23" s="13">
        <f>MAX(0,BA18-BA19-BA20)</f>
        <v/>
      </c>
      <c r="BB23" s="13">
        <f>MAX(0,BB18-BB19-BB20)</f>
        <v/>
      </c>
      <c r="BC23" s="13">
        <f>MAX(0,BC18-BC19-BC20)</f>
        <v/>
      </c>
      <c r="BD23" s="13">
        <f>MAX(0,BD18-BD19-BD20)</f>
        <v/>
      </c>
      <c r="BE23" s="13">
        <f>MAX(0,BE18-BE19-BE20)</f>
        <v/>
      </c>
      <c r="BF23" s="13">
        <f>MAX(0,BF18-BF19-BF20)</f>
        <v/>
      </c>
      <c r="BG23" s="13">
        <f>MAX(0,BG18-BG19-BG20)</f>
        <v/>
      </c>
      <c r="BH23" s="13">
        <f>MAX(0,BH18-BH19-BH20)</f>
        <v/>
      </c>
      <c r="BI23" s="13">
        <f>MAX(0,BI18-BI19-BI20)</f>
        <v/>
      </c>
      <c r="BJ23" s="13">
        <f>MAX(0,BJ18-BJ19-BJ20)</f>
        <v/>
      </c>
      <c r="BK23" s="13">
        <f>MAX(0,BK18-BK19-BK20)</f>
        <v/>
      </c>
      <c r="BL23" s="13">
        <f>MAX(0,BL18-BL19-BL20)</f>
        <v/>
      </c>
      <c r="BM23" s="13">
        <f>MAX(0,BM18-BM19-BM20)</f>
        <v/>
      </c>
      <c r="BN23" s="13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IF(J8+J9&gt;0,(J8*Inputs!$F$175+J9*Inputs!$F$174)/(J8+J9)/100,0)</f>
        <v/>
      </c>
      <c r="K24" s="6">
        <f>IF(K8+K9&gt;0,(K8*Inputs!$F$175+K9*Inputs!$F$174)/(K8+K9)/100,0)</f>
        <v/>
      </c>
      <c r="L24" s="6">
        <f>IF(L8+L9&gt;0,(L8*Inputs!$F$175+L9*Inputs!$F$174)/(L8+L9)/100,0)</f>
        <v/>
      </c>
      <c r="M24" s="6">
        <f>IF(M8+M9&gt;0,(M8*Inputs!$F$175+M9*Inputs!$F$174)/(M8+M9)/100,0)</f>
        <v/>
      </c>
      <c r="N24" s="6">
        <f>IF(N8+N9&gt;0,(N8*Inputs!$F$175+N9*Inputs!$F$174)/(N8+N9)/100,0)</f>
        <v/>
      </c>
      <c r="O24" s="6">
        <f>IF(O8+O9&gt;0,(O8*Inputs!$F$175+O9*Inputs!$F$174)/(O8+O9)/100,0)</f>
        <v/>
      </c>
      <c r="P24" s="6">
        <f>IF(P8+P9&gt;0,(P8*Inputs!$F$175+P9*Inputs!$F$174)/(P8+P9)/100,0)</f>
        <v/>
      </c>
      <c r="Q24" s="6">
        <f>IF(Q8+Q9&gt;0,(Q8*Inputs!$F$175+Q9*Inputs!$F$174)/(Q8+Q9)/100,0)</f>
        <v/>
      </c>
      <c r="R24" s="6">
        <f>IF(R8+R9&gt;0,(R8*Inputs!$F$175+R9*Inputs!$F$174)/(R8+R9)/100,0)</f>
        <v/>
      </c>
      <c r="S24" s="6">
        <f>IF(S8+S9&gt;0,(S8*Inputs!$F$175+S9*Inputs!$F$174)/(S8+S9)/100,0)</f>
        <v/>
      </c>
      <c r="T24" s="6">
        <f>IF(T8+T9&gt;0,(T8*Inputs!$F$175+T9*Inputs!$F$174)/(T8+T9)/100,0)</f>
        <v/>
      </c>
      <c r="U24" s="6">
        <f>IF(U8+U9&gt;0,(U8*Inputs!$F$175+U9*Inputs!$F$174)/(U8+U9)/100,0)</f>
        <v/>
      </c>
      <c r="V24" s="6">
        <f>IF(V8+V9&gt;0,(V8*Inputs!$F$175+V9*Inputs!$F$174)/(V8+V9)/100,0)</f>
        <v/>
      </c>
      <c r="W24" s="6">
        <f>IF(W8+W9&gt;0,(W8*Inputs!$F$175+W9*Inputs!$F$174)/(W8+W9)/100,0)</f>
        <v/>
      </c>
      <c r="X24" s="6">
        <f>IF(X8+X9&gt;0,(X8*Inputs!$F$175+X9*Inputs!$F$174)/(X8+X9)/100,0)</f>
        <v/>
      </c>
      <c r="Y24" s="6">
        <f>IF(Y8+Y9&gt;0,(Y8*Inputs!$F$175+Y9*Inputs!$F$174)/(Y8+Y9)/100,0)</f>
        <v/>
      </c>
      <c r="Z24" s="6">
        <f>IF(Z8+Z9&gt;0,(Z8*Inputs!$F$175+Z9*Inputs!$F$174)/(Z8+Z9)/100,0)</f>
        <v/>
      </c>
      <c r="AA24" s="6">
        <f>IF(AA8+AA9&gt;0,(AA8*Inputs!$F$175+AA9*Inputs!$F$174)/(AA8+AA9)/100,0)</f>
        <v/>
      </c>
      <c r="AB24" s="6">
        <f>IF(AB8+AB9&gt;0,(AB8*Inputs!$F$175+AB9*Inputs!$F$174)/(AB8+AB9)/100,0)</f>
        <v/>
      </c>
      <c r="AC24" s="6">
        <f>IF(AC8+AC9&gt;0,(AC8*Inputs!$F$175+AC9*Inputs!$F$174)/(AC8+AC9)/100,0)</f>
        <v/>
      </c>
      <c r="AD24" s="6">
        <f>IF(AD8+AD9&gt;0,(AD8*Inputs!$F$175+AD9*Inputs!$F$174)/(AD8+AD9)/100,0)</f>
        <v/>
      </c>
      <c r="AE24" s="6">
        <f>IF(AE8+AE9&gt;0,(AE8*Inputs!$F$175+AE9*Inputs!$F$174)/(AE8+AE9)/100,0)</f>
        <v/>
      </c>
      <c r="AF24" s="6">
        <f>IF(AF8+AF9&gt;0,(AF8*Inputs!$F$175+AF9*Inputs!$F$174)/(AF8+AF9)/100,0)</f>
        <v/>
      </c>
      <c r="AG24" s="6">
        <f>IF(AG8+AG9&gt;0,(AG8*Inputs!$F$175+AG9*Inputs!$F$174)/(AG8+AG9)/100,0)</f>
        <v/>
      </c>
      <c r="AH24" s="6">
        <f>IF(AH8+AH9&gt;0,(AH8*Inputs!$F$175+AH9*Inputs!$F$174)/(AH8+AH9)/100,0)</f>
        <v/>
      </c>
      <c r="AI24" s="6">
        <f>IF(AI8+AI9&gt;0,(AI8*Inputs!$F$175+AI9*Inputs!$F$174)/(AI8+AI9)/100,0)</f>
        <v/>
      </c>
      <c r="AJ24" s="6">
        <f>IF(AJ8+AJ9&gt;0,(AJ8*Inputs!$F$175+AJ9*Inputs!$F$174)/(AJ8+AJ9)/100,0)</f>
        <v/>
      </c>
      <c r="AK24" s="6">
        <f>IF(AK8+AK9&gt;0,(AK8*Inputs!$F$175+AK9*Inputs!$F$174)/(AK8+AK9)/100,0)</f>
        <v/>
      </c>
      <c r="AL24" s="6">
        <f>IF(AL8+AL9&gt;0,(AL8*Inputs!$F$175+AL9*Inputs!$F$174)/(AL8+AL9)/100,0)</f>
        <v/>
      </c>
      <c r="AM24" s="6">
        <f>IF(AM8+AM9&gt;0,(AM8*Inputs!$F$175+AM9*Inputs!$F$174)/(AM8+AM9)/100,0)</f>
        <v/>
      </c>
      <c r="AN24" s="6">
        <f>IF(AN8+AN9&gt;0,(AN8*Inputs!$F$175+AN9*Inputs!$F$174)/(AN8+AN9)/100,0)</f>
        <v/>
      </c>
      <c r="AO24" s="6">
        <f>IF(AO8+AO9&gt;0,(AO8*Inputs!$F$175+AO9*Inputs!$F$174)/(AO8+AO9)/100,0)</f>
        <v/>
      </c>
      <c r="AP24" s="6">
        <f>IF(AP8+AP9&gt;0,(AP8*Inputs!$F$175+AP9*Inputs!$F$174)/(AP8+AP9)/100,0)</f>
        <v/>
      </c>
      <c r="AQ24" s="6">
        <f>IF(AQ8+AQ9&gt;0,(AQ8*Inputs!$F$175+AQ9*Inputs!$F$174)/(AQ8+AQ9)/100,0)</f>
        <v/>
      </c>
      <c r="AR24" s="6">
        <f>IF(AR8+AR9&gt;0,(AR8*Inputs!$F$175+AR9*Inputs!$F$174)/(AR8+AR9)/100,0)</f>
        <v/>
      </c>
      <c r="AS24" s="6">
        <f>IF(AS8+AS9&gt;0,(AS8*Inputs!$F$175+AS9*Inputs!$F$174)/(AS8+AS9)/100,0)</f>
        <v/>
      </c>
      <c r="AT24" s="6">
        <f>IF(AT8+AT9&gt;0,(AT8*Inputs!$F$175+AT9*Inputs!$F$174)/(AT8+AT9)/100,0)</f>
        <v/>
      </c>
      <c r="AU24" s="6">
        <f>IF(AU8+AU9&gt;0,(AU8*Inputs!$F$175+AU9*Inputs!$F$174)/(AU8+AU9)/100,0)</f>
        <v/>
      </c>
      <c r="AV24" s="6">
        <f>IF(AV8+AV9&gt;0,(AV8*Inputs!$F$175+AV9*Inputs!$F$174)/(AV8+AV9)/100,0)</f>
        <v/>
      </c>
      <c r="AW24" s="6">
        <f>IF(AW8+AW9&gt;0,(AW8*Inputs!$F$175+AW9*Inputs!$F$174)/(AW8+AW9)/100,0)</f>
        <v/>
      </c>
      <c r="AX24" s="6">
        <f>IF(AX8+AX9&gt;0,(AX8*Inputs!$F$175+AX9*Inputs!$F$174)/(AX8+AX9)/100,0)</f>
        <v/>
      </c>
      <c r="AY24" s="6">
        <f>IF(AY8+AY9&gt;0,(AY8*Inputs!$F$175+AY9*Inputs!$F$174)/(AY8+AY9)/100,0)</f>
        <v/>
      </c>
      <c r="AZ24" s="6">
        <f>IF(AZ8+AZ9&gt;0,(AZ8*Inputs!$F$175+AZ9*Inputs!$F$174)/(AZ8+AZ9)/100,0)</f>
        <v/>
      </c>
      <c r="BA24" s="6">
        <f>IF(BA8+BA9&gt;0,(BA8*Inputs!$F$175+BA9*Inputs!$F$174)/(BA8+BA9)/100,0)</f>
        <v/>
      </c>
      <c r="BB24" s="6">
        <f>IF(BB8+BB9&gt;0,(BB8*Inputs!$F$175+BB9*Inputs!$F$174)/(BB8+BB9)/100,0)</f>
        <v/>
      </c>
      <c r="BC24" s="6">
        <f>IF(BC8+BC9&gt;0,(BC8*Inputs!$F$175+BC9*Inputs!$F$174)/(BC8+BC9)/100,0)</f>
        <v/>
      </c>
      <c r="BD24" s="6">
        <f>IF(BD8+BD9&gt;0,(BD8*Inputs!$F$175+BD9*Inputs!$F$174)/(BD8+BD9)/100,0)</f>
        <v/>
      </c>
      <c r="BE24" s="6">
        <f>IF(BE8+BE9&gt;0,(BE8*Inputs!$F$175+BE9*Inputs!$F$174)/(BE8+BE9)/100,0)</f>
        <v/>
      </c>
      <c r="BF24" s="6">
        <f>IF(BF8+BF9&gt;0,(BF8*Inputs!$F$175+BF9*Inputs!$F$174)/(BF8+BF9)/100,0)</f>
        <v/>
      </c>
      <c r="BG24" s="6">
        <f>IF(BG8+BG9&gt;0,(BG8*Inputs!$F$175+BG9*Inputs!$F$174)/(BG8+BG9)/100,0)</f>
        <v/>
      </c>
      <c r="BH24" s="6">
        <f>IF(BH8+BH9&gt;0,(BH8*Inputs!$F$175+BH9*Inputs!$F$174)/(BH8+BH9)/100,0)</f>
        <v/>
      </c>
      <c r="BI24" s="6">
        <f>IF(BI8+BI9&gt;0,(BI8*Inputs!$F$175+BI9*Inputs!$F$174)/(BI8+BI9)/100,0)</f>
        <v/>
      </c>
      <c r="BJ24" s="6">
        <f>IF(BJ8+BJ9&gt;0,(BJ8*Inputs!$F$175+BJ9*Inputs!$F$174)/(BJ8+BJ9)/100,0)</f>
        <v/>
      </c>
      <c r="BK24" s="6">
        <f>IF(BK8+BK9&gt;0,(BK8*Inputs!$F$175+BK9*Inputs!$F$174)/(BK8+BK9)/100,0)</f>
        <v/>
      </c>
      <c r="BL24" s="6">
        <f>IF(BL8+BL9&gt;0,(BL8*Inputs!$F$175+BL9*Inputs!$F$174)/(BL8+BL9)/100,0)</f>
        <v/>
      </c>
      <c r="BM24" s="6">
        <f>IF(BM8+BM9&gt;0,(BM8*Inputs!$F$175+BM9*Inputs!$F$174)/(BM8+BM9)/100,0)</f>
        <v/>
      </c>
      <c r="BN24" s="6">
        <f>IF(BN8+BN9&gt;0,(BN8*Inputs!$F$175+BN9*Inputs!$F$174)/(BN8+BN9)/100,0)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3">
        <f>SUM(J25:BN25)</f>
        <v/>
      </c>
      <c r="J25" s="13">
        <f>J23*J24</f>
        <v/>
      </c>
      <c r="K25" s="13">
        <f>K23*K24</f>
        <v/>
      </c>
      <c r="L25" s="13">
        <f>L23*L24</f>
        <v/>
      </c>
      <c r="M25" s="13">
        <f>M23*M24</f>
        <v/>
      </c>
      <c r="N25" s="13">
        <f>N23*N24</f>
        <v/>
      </c>
      <c r="O25" s="13">
        <f>O23*O24</f>
        <v/>
      </c>
      <c r="P25" s="13">
        <f>P23*P24</f>
        <v/>
      </c>
      <c r="Q25" s="13">
        <f>Q23*Q24</f>
        <v/>
      </c>
      <c r="R25" s="13">
        <f>R23*R24</f>
        <v/>
      </c>
      <c r="S25" s="13">
        <f>S23*S24</f>
        <v/>
      </c>
      <c r="T25" s="13">
        <f>T23*T24</f>
        <v/>
      </c>
      <c r="U25" s="13">
        <f>U23*U24</f>
        <v/>
      </c>
      <c r="V25" s="13">
        <f>V23*V24</f>
        <v/>
      </c>
      <c r="W25" s="13">
        <f>W23*W24</f>
        <v/>
      </c>
      <c r="X25" s="13">
        <f>X23*X24</f>
        <v/>
      </c>
      <c r="Y25" s="13">
        <f>Y23*Y24</f>
        <v/>
      </c>
      <c r="Z25" s="13">
        <f>Z23*Z24</f>
        <v/>
      </c>
      <c r="AA25" s="13">
        <f>AA23*AA24</f>
        <v/>
      </c>
      <c r="AB25" s="13">
        <f>AB23*AB24</f>
        <v/>
      </c>
      <c r="AC25" s="13">
        <f>AC23*AC24</f>
        <v/>
      </c>
      <c r="AD25" s="13">
        <f>AD23*AD24</f>
        <v/>
      </c>
      <c r="AE25" s="13">
        <f>AE23*AE24</f>
        <v/>
      </c>
      <c r="AF25" s="13">
        <f>AF23*AF24</f>
        <v/>
      </c>
      <c r="AG25" s="13">
        <f>AG23*AG24</f>
        <v/>
      </c>
      <c r="AH25" s="13">
        <f>AH23*AH24</f>
        <v/>
      </c>
      <c r="AI25" s="13">
        <f>AI23*AI24</f>
        <v/>
      </c>
      <c r="AJ25" s="13">
        <f>AJ23*AJ24</f>
        <v/>
      </c>
      <c r="AK25" s="13">
        <f>AK23*AK24</f>
        <v/>
      </c>
      <c r="AL25" s="13">
        <f>AL23*AL24</f>
        <v/>
      </c>
      <c r="AM25" s="13">
        <f>AM23*AM24</f>
        <v/>
      </c>
      <c r="AN25" s="13">
        <f>AN23*AN24</f>
        <v/>
      </c>
      <c r="AO25" s="13">
        <f>AO23*AO24</f>
        <v/>
      </c>
      <c r="AP25" s="13">
        <f>AP23*AP24</f>
        <v/>
      </c>
      <c r="AQ25" s="13">
        <f>AQ23*AQ24</f>
        <v/>
      </c>
      <c r="AR25" s="13">
        <f>AR23*AR24</f>
        <v/>
      </c>
      <c r="AS25" s="13">
        <f>AS23*AS24</f>
        <v/>
      </c>
      <c r="AT25" s="13">
        <f>AT23*AT24</f>
        <v/>
      </c>
      <c r="AU25" s="13">
        <f>AU23*AU24</f>
        <v/>
      </c>
      <c r="AV25" s="13">
        <f>AV23*AV24</f>
        <v/>
      </c>
      <c r="AW25" s="13">
        <f>AW23*AW24</f>
        <v/>
      </c>
      <c r="AX25" s="13">
        <f>AX23*AX24</f>
        <v/>
      </c>
      <c r="AY25" s="13">
        <f>AY23*AY24</f>
        <v/>
      </c>
      <c r="AZ25" s="13">
        <f>AZ23*AZ24</f>
        <v/>
      </c>
      <c r="BA25" s="13">
        <f>BA23*BA24</f>
        <v/>
      </c>
      <c r="BB25" s="13">
        <f>BB23*BB24</f>
        <v/>
      </c>
      <c r="BC25" s="13">
        <f>BC23*BC24</f>
        <v/>
      </c>
      <c r="BD25" s="13">
        <f>BD23*BD24</f>
        <v/>
      </c>
      <c r="BE25" s="13">
        <f>BE23*BE24</f>
        <v/>
      </c>
      <c r="BF25" s="13">
        <f>BF23*BF24</f>
        <v/>
      </c>
      <c r="BG25" s="13">
        <f>BG23*BG24</f>
        <v/>
      </c>
      <c r="BH25" s="13">
        <f>BH23*BH24</f>
        <v/>
      </c>
      <c r="BI25" s="13">
        <f>BI23*BI24</f>
        <v/>
      </c>
      <c r="BJ25" s="13">
        <f>BJ23*BJ24</f>
        <v/>
      </c>
      <c r="BK25" s="13">
        <f>BK23*BK24</f>
        <v/>
      </c>
      <c r="BL25" s="13">
        <f>BL23*BL24</f>
        <v/>
      </c>
      <c r="BM25" s="13">
        <f>BM23*BM24</f>
        <v/>
      </c>
      <c r="BN25" s="13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3">
        <f>SUM(J26:BN26)</f>
        <v/>
      </c>
      <c r="J26" s="13">
        <f>IF(Time!J30&gt;0,Inputs!$F$176/100*Operations!J55*(J8+J9)/Time!J30,0)</f>
        <v/>
      </c>
      <c r="K26" s="13">
        <f>IF(Time!K30&gt;0,Inputs!$F$176/100*Operations!K55*(K8+K9)/Time!K30,0)</f>
        <v/>
      </c>
      <c r="L26" s="13">
        <f>IF(Time!L30&gt;0,Inputs!$F$176/100*Operations!L55*(L8+L9)/Time!L30,0)</f>
        <v/>
      </c>
      <c r="M26" s="13">
        <f>IF(Time!M30&gt;0,Inputs!$F$176/100*Operations!M55*(M8+M9)/Time!M30,0)</f>
        <v/>
      </c>
      <c r="N26" s="13">
        <f>IF(Time!N30&gt;0,Inputs!$F$176/100*Operations!N55*(N8+N9)/Time!N30,0)</f>
        <v/>
      </c>
      <c r="O26" s="13">
        <f>IF(Time!O30&gt;0,Inputs!$F$176/100*Operations!O55*(O8+O9)/Time!O30,0)</f>
        <v/>
      </c>
      <c r="P26" s="13">
        <f>IF(Time!P30&gt;0,Inputs!$F$176/100*Operations!P55*(P8+P9)/Time!P30,0)</f>
        <v/>
      </c>
      <c r="Q26" s="13">
        <f>IF(Time!Q30&gt;0,Inputs!$F$176/100*Operations!Q55*(Q8+Q9)/Time!Q30,0)</f>
        <v/>
      </c>
      <c r="R26" s="13">
        <f>IF(Time!R30&gt;0,Inputs!$F$176/100*Operations!R55*(R8+R9)/Time!R30,0)</f>
        <v/>
      </c>
      <c r="S26" s="13">
        <f>IF(Time!S30&gt;0,Inputs!$F$176/100*Operations!S55*(S8+S9)/Time!S30,0)</f>
        <v/>
      </c>
      <c r="T26" s="13">
        <f>IF(Time!T30&gt;0,Inputs!$F$176/100*Operations!T55*(T8+T9)/Time!T30,0)</f>
        <v/>
      </c>
      <c r="U26" s="13">
        <f>IF(Time!U30&gt;0,Inputs!$F$176/100*Operations!U55*(U8+U9)/Time!U30,0)</f>
        <v/>
      </c>
      <c r="V26" s="13">
        <f>IF(Time!V30&gt;0,Inputs!$F$176/100*Operations!V55*(V8+V9)/Time!V30,0)</f>
        <v/>
      </c>
      <c r="W26" s="13">
        <f>IF(Time!W30&gt;0,Inputs!$F$176/100*Operations!W55*(W8+W9)/Time!W30,0)</f>
        <v/>
      </c>
      <c r="X26" s="13">
        <f>IF(Time!X30&gt;0,Inputs!$F$176/100*Operations!X55*(X8+X9)/Time!X30,0)</f>
        <v/>
      </c>
      <c r="Y26" s="13">
        <f>IF(Time!Y30&gt;0,Inputs!$F$176/100*Operations!Y55*(Y8+Y9)/Time!Y30,0)</f>
        <v/>
      </c>
      <c r="Z26" s="13">
        <f>IF(Time!Z30&gt;0,Inputs!$F$176/100*Operations!Z55*(Z8+Z9)/Time!Z30,0)</f>
        <v/>
      </c>
      <c r="AA26" s="13">
        <f>IF(Time!AA30&gt;0,Inputs!$F$176/100*Operations!AA55*(AA8+AA9)/Time!AA30,0)</f>
        <v/>
      </c>
      <c r="AB26" s="13">
        <f>IF(Time!AB30&gt;0,Inputs!$F$176/100*Operations!AB55*(AB8+AB9)/Time!AB30,0)</f>
        <v/>
      </c>
      <c r="AC26" s="13">
        <f>IF(Time!AC30&gt;0,Inputs!$F$176/100*Operations!AC55*(AC8+AC9)/Time!AC30,0)</f>
        <v/>
      </c>
      <c r="AD26" s="13">
        <f>IF(Time!AD30&gt;0,Inputs!$F$176/100*Operations!AD55*(AD8+AD9)/Time!AD30,0)</f>
        <v/>
      </c>
      <c r="AE26" s="13">
        <f>IF(Time!AE30&gt;0,Inputs!$F$176/100*Operations!AE55*(AE8+AE9)/Time!AE30,0)</f>
        <v/>
      </c>
      <c r="AF26" s="13">
        <f>IF(Time!AF30&gt;0,Inputs!$F$176/100*Operations!AF55*(AF8+AF9)/Time!AF30,0)</f>
        <v/>
      </c>
      <c r="AG26" s="13">
        <f>IF(Time!AG30&gt;0,Inputs!$F$176/100*Operations!AG55*(AG8+AG9)/Time!AG30,0)</f>
        <v/>
      </c>
      <c r="AH26" s="13">
        <f>IF(Time!AH30&gt;0,Inputs!$F$176/100*Operations!AH55*(AH8+AH9)/Time!AH30,0)</f>
        <v/>
      </c>
      <c r="AI26" s="13">
        <f>IF(Time!AI30&gt;0,Inputs!$F$176/100*Operations!AI55*(AI8+AI9)/Time!AI30,0)</f>
        <v/>
      </c>
      <c r="AJ26" s="13">
        <f>IF(Time!AJ30&gt;0,Inputs!$F$176/100*Operations!AJ55*(AJ8+AJ9)/Time!AJ30,0)</f>
        <v/>
      </c>
      <c r="AK26" s="13">
        <f>IF(Time!AK30&gt;0,Inputs!$F$176/100*Operations!AK55*(AK8+AK9)/Time!AK30,0)</f>
        <v/>
      </c>
      <c r="AL26" s="13">
        <f>IF(Time!AL30&gt;0,Inputs!$F$176/100*Operations!AL55*(AL8+AL9)/Time!AL30,0)</f>
        <v/>
      </c>
      <c r="AM26" s="13">
        <f>IF(Time!AM30&gt;0,Inputs!$F$176/100*Operations!AM55*(AM8+AM9)/Time!AM30,0)</f>
        <v/>
      </c>
      <c r="AN26" s="13">
        <f>IF(Time!AN30&gt;0,Inputs!$F$176/100*Operations!AN55*(AN8+AN9)/Time!AN30,0)</f>
        <v/>
      </c>
      <c r="AO26" s="13">
        <f>IF(Time!AO30&gt;0,Inputs!$F$176/100*Operations!AO55*(AO8+AO9)/Time!AO30,0)</f>
        <v/>
      </c>
      <c r="AP26" s="13">
        <f>IF(Time!AP30&gt;0,Inputs!$F$176/100*Operations!AP55*(AP8+AP9)/Time!AP30,0)</f>
        <v/>
      </c>
      <c r="AQ26" s="13">
        <f>IF(Time!AQ30&gt;0,Inputs!$F$176/100*Operations!AQ55*(AQ8+AQ9)/Time!AQ30,0)</f>
        <v/>
      </c>
      <c r="AR26" s="13">
        <f>IF(Time!AR30&gt;0,Inputs!$F$176/100*Operations!AR55*(AR8+AR9)/Time!AR30,0)</f>
        <v/>
      </c>
      <c r="AS26" s="13">
        <f>IF(Time!AS30&gt;0,Inputs!$F$176/100*Operations!AS55*(AS8+AS9)/Time!AS30,0)</f>
        <v/>
      </c>
      <c r="AT26" s="13">
        <f>IF(Time!AT30&gt;0,Inputs!$F$176/100*Operations!AT55*(AT8+AT9)/Time!AT30,0)</f>
        <v/>
      </c>
      <c r="AU26" s="13">
        <f>IF(Time!AU30&gt;0,Inputs!$F$176/100*Operations!AU55*(AU8+AU9)/Time!AU30,0)</f>
        <v/>
      </c>
      <c r="AV26" s="13">
        <f>IF(Time!AV30&gt;0,Inputs!$F$176/100*Operations!AV55*(AV8+AV9)/Time!AV30,0)</f>
        <v/>
      </c>
      <c r="AW26" s="13">
        <f>IF(Time!AW30&gt;0,Inputs!$F$176/100*Operations!AW55*(AW8+AW9)/Time!AW30,0)</f>
        <v/>
      </c>
      <c r="AX26" s="13">
        <f>IF(Time!AX30&gt;0,Inputs!$F$176/100*Operations!AX55*(AX8+AX9)/Time!AX30,0)</f>
        <v/>
      </c>
      <c r="AY26" s="13">
        <f>IF(Time!AY30&gt;0,Inputs!$F$176/100*Operations!AY55*(AY8+AY9)/Time!AY30,0)</f>
        <v/>
      </c>
      <c r="AZ26" s="13">
        <f>IF(Time!AZ30&gt;0,Inputs!$F$176/100*Operations!AZ55*(AZ8+AZ9)/Time!AZ30,0)</f>
        <v/>
      </c>
      <c r="BA26" s="13">
        <f>IF(Time!BA30&gt;0,Inputs!$F$176/100*Operations!BA55*(BA8+BA9)/Time!BA30,0)</f>
        <v/>
      </c>
      <c r="BB26" s="13">
        <f>IF(Time!BB30&gt;0,Inputs!$F$176/100*Operations!BB55*(BB8+BB9)/Time!BB30,0)</f>
        <v/>
      </c>
      <c r="BC26" s="13">
        <f>IF(Time!BC30&gt;0,Inputs!$F$176/100*Operations!BC55*(BC8+BC9)/Time!BC30,0)</f>
        <v/>
      </c>
      <c r="BD26" s="13">
        <f>IF(Time!BD30&gt;0,Inputs!$F$176/100*Operations!BD55*(BD8+BD9)/Time!BD30,0)</f>
        <v/>
      </c>
      <c r="BE26" s="13">
        <f>IF(Time!BE30&gt;0,Inputs!$F$176/100*Operations!BE55*(BE8+BE9)/Time!BE30,0)</f>
        <v/>
      </c>
      <c r="BF26" s="13">
        <f>IF(Time!BF30&gt;0,Inputs!$F$176/100*Operations!BF55*(BF8+BF9)/Time!BF30,0)</f>
        <v/>
      </c>
      <c r="BG26" s="13">
        <f>IF(Time!BG30&gt;0,Inputs!$F$176/100*Operations!BG55*(BG8+BG9)/Time!BG30,0)</f>
        <v/>
      </c>
      <c r="BH26" s="13">
        <f>IF(Time!BH30&gt;0,Inputs!$F$176/100*Operations!BH55*(BH8+BH9)/Time!BH30,0)</f>
        <v/>
      </c>
      <c r="BI26" s="13">
        <f>IF(Time!BI30&gt;0,Inputs!$F$176/100*Operations!BI55*(BI8+BI9)/Time!BI30,0)</f>
        <v/>
      </c>
      <c r="BJ26" s="13">
        <f>IF(Time!BJ30&gt;0,Inputs!$F$176/100*Operations!BJ55*(BJ8+BJ9)/Time!BJ30,0)</f>
        <v/>
      </c>
      <c r="BK26" s="13">
        <f>IF(Time!BK30&gt;0,Inputs!$F$176/100*Operations!BK55*(BK8+BK9)/Time!BK30,0)</f>
        <v/>
      </c>
      <c r="BL26" s="13">
        <f>IF(Time!BL30&gt;0,Inputs!$F$176/100*Operations!BL55*(BL8+BL9)/Time!BL30,0)</f>
        <v/>
      </c>
      <c r="BM26" s="13">
        <f>IF(Time!BM30&gt;0,Inputs!$F$176/100*Operations!BM55*(BM8+BM9)/Time!BM30,0)</f>
        <v/>
      </c>
      <c r="BN26" s="13">
        <f>IF(Time!BN30&gt;0,Inputs!$F$176/100*Operations!BN55*(BN8+BN9)/Time!BN30,0)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3">
        <f>SUM(J27:BN27)</f>
        <v/>
      </c>
      <c r="J27" s="13">
        <f>MAX(J25,J26)</f>
        <v/>
      </c>
      <c r="K27" s="13">
        <f>MAX(K25,K26)</f>
        <v/>
      </c>
      <c r="L27" s="13">
        <f>MAX(L25,L26)</f>
        <v/>
      </c>
      <c r="M27" s="13">
        <f>MAX(M25,M26)</f>
        <v/>
      </c>
      <c r="N27" s="13">
        <f>MAX(N25,N26)</f>
        <v/>
      </c>
      <c r="O27" s="13">
        <f>MAX(O25,O26)</f>
        <v/>
      </c>
      <c r="P27" s="13">
        <f>MAX(P25,P26)</f>
        <v/>
      </c>
      <c r="Q27" s="13">
        <f>MAX(Q25,Q26)</f>
        <v/>
      </c>
      <c r="R27" s="13">
        <f>MAX(R25,R26)</f>
        <v/>
      </c>
      <c r="S27" s="13">
        <f>MAX(S25,S26)</f>
        <v/>
      </c>
      <c r="T27" s="13">
        <f>MAX(T25,T26)</f>
        <v/>
      </c>
      <c r="U27" s="13">
        <f>MAX(U25,U26)</f>
        <v/>
      </c>
      <c r="V27" s="13">
        <f>MAX(V25,V26)</f>
        <v/>
      </c>
      <c r="W27" s="13">
        <f>MAX(W25,W26)</f>
        <v/>
      </c>
      <c r="X27" s="13">
        <f>MAX(X25,X26)</f>
        <v/>
      </c>
      <c r="Y27" s="13">
        <f>MAX(Y25,Y26)</f>
        <v/>
      </c>
      <c r="Z27" s="13">
        <f>MAX(Z25,Z26)</f>
        <v/>
      </c>
      <c r="AA27" s="13">
        <f>MAX(AA25,AA26)</f>
        <v/>
      </c>
      <c r="AB27" s="13">
        <f>MAX(AB25,AB26)</f>
        <v/>
      </c>
      <c r="AC27" s="13">
        <f>MAX(AC25,AC26)</f>
        <v/>
      </c>
      <c r="AD27" s="13">
        <f>MAX(AD25,AD26)</f>
        <v/>
      </c>
      <c r="AE27" s="13">
        <f>MAX(AE25,AE26)</f>
        <v/>
      </c>
      <c r="AF27" s="13">
        <f>MAX(AF25,AF26)</f>
        <v/>
      </c>
      <c r="AG27" s="13">
        <f>MAX(AG25,AG26)</f>
        <v/>
      </c>
      <c r="AH27" s="13">
        <f>MAX(AH25,AH26)</f>
        <v/>
      </c>
      <c r="AI27" s="13">
        <f>MAX(AI25,AI26)</f>
        <v/>
      </c>
      <c r="AJ27" s="13">
        <f>MAX(AJ25,AJ26)</f>
        <v/>
      </c>
      <c r="AK27" s="13">
        <f>MAX(AK25,AK26)</f>
        <v/>
      </c>
      <c r="AL27" s="13">
        <f>MAX(AL25,AL26)</f>
        <v/>
      </c>
      <c r="AM27" s="13">
        <f>MAX(AM25,AM26)</f>
        <v/>
      </c>
      <c r="AN27" s="13">
        <f>MAX(AN25,AN26)</f>
        <v/>
      </c>
      <c r="AO27" s="13">
        <f>MAX(AO25,AO26)</f>
        <v/>
      </c>
      <c r="AP27" s="13">
        <f>MAX(AP25,AP26)</f>
        <v/>
      </c>
      <c r="AQ27" s="13">
        <f>MAX(AQ25,AQ26)</f>
        <v/>
      </c>
      <c r="AR27" s="13">
        <f>MAX(AR25,AR26)</f>
        <v/>
      </c>
      <c r="AS27" s="13">
        <f>MAX(AS25,AS26)</f>
        <v/>
      </c>
      <c r="AT27" s="13">
        <f>MAX(AT25,AT26)</f>
        <v/>
      </c>
      <c r="AU27" s="13">
        <f>MAX(AU25,AU26)</f>
        <v/>
      </c>
      <c r="AV27" s="13">
        <f>MAX(AV25,AV26)</f>
        <v/>
      </c>
      <c r="AW27" s="13">
        <f>MAX(AW25,AW26)</f>
        <v/>
      </c>
      <c r="AX27" s="13">
        <f>MAX(AX25,AX26)</f>
        <v/>
      </c>
      <c r="AY27" s="13">
        <f>MAX(AY25,AY26)</f>
        <v/>
      </c>
      <c r="AZ27" s="13">
        <f>MAX(AZ25,AZ26)</f>
        <v/>
      </c>
      <c r="BA27" s="13">
        <f>MAX(BA25,BA26)</f>
        <v/>
      </c>
      <c r="BB27" s="13">
        <f>MAX(BB25,BB26)</f>
        <v/>
      </c>
      <c r="BC27" s="13">
        <f>MAX(BC25,BC26)</f>
        <v/>
      </c>
      <c r="BD27" s="13">
        <f>MAX(BD25,BD26)</f>
        <v/>
      </c>
      <c r="BE27" s="13">
        <f>MAX(BE25,BE26)</f>
        <v/>
      </c>
      <c r="BF27" s="13">
        <f>MAX(BF25,BF26)</f>
        <v/>
      </c>
      <c r="BG27" s="13">
        <f>MAX(BG25,BG26)</f>
        <v/>
      </c>
      <c r="BH27" s="13">
        <f>MAX(BH25,BH26)</f>
        <v/>
      </c>
      <c r="BI27" s="13">
        <f>MAX(BI25,BI26)</f>
        <v/>
      </c>
      <c r="BJ27" s="13">
        <f>MAX(BJ25,BJ26)</f>
        <v/>
      </c>
      <c r="BK27" s="13">
        <f>MAX(BK25,BK26)</f>
        <v/>
      </c>
      <c r="BL27" s="13">
        <f>MAX(BL25,BL26)</f>
        <v/>
      </c>
      <c r="BM27" s="13">
        <f>MAX(BM25,BM26)</f>
        <v/>
      </c>
      <c r="BN27" s="13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3">
        <f>SUM(J28:BN28)</f>
        <v/>
      </c>
      <c r="J28" s="13">
        <f>J13-J15</f>
        <v/>
      </c>
      <c r="K28" s="13">
        <f>K13-K15</f>
        <v/>
      </c>
      <c r="L28" s="13">
        <f>L13-L15</f>
        <v/>
      </c>
      <c r="M28" s="13">
        <f>M13-M15</f>
        <v/>
      </c>
      <c r="N28" s="13">
        <f>N13-N15</f>
        <v/>
      </c>
      <c r="O28" s="13">
        <f>O13-O15</f>
        <v/>
      </c>
      <c r="P28" s="13">
        <f>P13-P15</f>
        <v/>
      </c>
      <c r="Q28" s="13">
        <f>Q13-Q15</f>
        <v/>
      </c>
      <c r="R28" s="13">
        <f>R13-R15</f>
        <v/>
      </c>
      <c r="S28" s="13">
        <f>S13-S15</f>
        <v/>
      </c>
      <c r="T28" s="13">
        <f>T13-T15</f>
        <v/>
      </c>
      <c r="U28" s="13">
        <f>U13-U15</f>
        <v/>
      </c>
      <c r="V28" s="13">
        <f>V13-V15</f>
        <v/>
      </c>
      <c r="W28" s="13">
        <f>W13-W15</f>
        <v/>
      </c>
      <c r="X28" s="13">
        <f>X13-X15</f>
        <v/>
      </c>
      <c r="Y28" s="13">
        <f>Y13-Y15</f>
        <v/>
      </c>
      <c r="Z28" s="13">
        <f>Z13-Z15</f>
        <v/>
      </c>
      <c r="AA28" s="13">
        <f>AA13-AA15</f>
        <v/>
      </c>
      <c r="AB28" s="13">
        <f>AB13-AB15</f>
        <v/>
      </c>
      <c r="AC28" s="13">
        <f>AC13-AC15</f>
        <v/>
      </c>
      <c r="AD28" s="13">
        <f>AD13-AD15</f>
        <v/>
      </c>
      <c r="AE28" s="13">
        <f>AE13-AE15</f>
        <v/>
      </c>
      <c r="AF28" s="13">
        <f>AF13-AF15</f>
        <v/>
      </c>
      <c r="AG28" s="13">
        <f>AG13-AG15</f>
        <v/>
      </c>
      <c r="AH28" s="13">
        <f>AH13-AH15</f>
        <v/>
      </c>
      <c r="AI28" s="13">
        <f>AI13-AI15</f>
        <v/>
      </c>
      <c r="AJ28" s="13">
        <f>AJ13-AJ15</f>
        <v/>
      </c>
      <c r="AK28" s="13">
        <f>AK13-AK15</f>
        <v/>
      </c>
      <c r="AL28" s="13">
        <f>AL13-AL15</f>
        <v/>
      </c>
      <c r="AM28" s="13">
        <f>AM13-AM15</f>
        <v/>
      </c>
      <c r="AN28" s="13">
        <f>AN13-AN15</f>
        <v/>
      </c>
      <c r="AO28" s="13">
        <f>AO13-AO15</f>
        <v/>
      </c>
      <c r="AP28" s="13">
        <f>AP13-AP15</f>
        <v/>
      </c>
      <c r="AQ28" s="13">
        <f>AQ13-AQ15</f>
        <v/>
      </c>
      <c r="AR28" s="13">
        <f>AR13-AR15</f>
        <v/>
      </c>
      <c r="AS28" s="13">
        <f>AS13-AS15</f>
        <v/>
      </c>
      <c r="AT28" s="13">
        <f>AT13-AT15</f>
        <v/>
      </c>
      <c r="AU28" s="13">
        <f>AU13-AU15</f>
        <v/>
      </c>
      <c r="AV28" s="13">
        <f>AV13-AV15</f>
        <v/>
      </c>
      <c r="AW28" s="13">
        <f>AW13-AW15</f>
        <v/>
      </c>
      <c r="AX28" s="13">
        <f>AX13-AX15</f>
        <v/>
      </c>
      <c r="AY28" s="13">
        <f>AY13-AY15</f>
        <v/>
      </c>
      <c r="AZ28" s="13">
        <f>AZ13-AZ15</f>
        <v/>
      </c>
      <c r="BA28" s="13">
        <f>BA13-BA15</f>
        <v/>
      </c>
      <c r="BB28" s="13">
        <f>BB13-BB15</f>
        <v/>
      </c>
      <c r="BC28" s="13">
        <f>BC13-BC15</f>
        <v/>
      </c>
      <c r="BD28" s="13">
        <f>BD13-BD15</f>
        <v/>
      </c>
      <c r="BE28" s="13">
        <f>BE13-BE15</f>
        <v/>
      </c>
      <c r="BF28" s="13">
        <f>BF13-BF15</f>
        <v/>
      </c>
      <c r="BG28" s="13">
        <f>BG13-BG15</f>
        <v/>
      </c>
      <c r="BH28" s="13">
        <f>BH13-BH15</f>
        <v/>
      </c>
      <c r="BI28" s="13">
        <f>BI13-BI15</f>
        <v/>
      </c>
      <c r="BJ28" s="13">
        <f>BJ13-BJ15</f>
        <v/>
      </c>
      <c r="BK28" s="13">
        <f>BK13-BK15</f>
        <v/>
      </c>
      <c r="BL28" s="13">
        <f>BL13-BL15</f>
        <v/>
      </c>
      <c r="BM28" s="13">
        <f>BM13-BM15</f>
        <v/>
      </c>
      <c r="BN28" s="13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1">
        <f>Inputs!$F$113/(Inputs!$F$113+Inputs!$F$114)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1">
        <f>IF(Inputs!$F$51&lt;&gt;1,Funding!$F$8,Inputs!$F$105)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1">
        <f>1-Inputs!$F$94/100*Inputs!$F$75*Funding!$F$9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1">
        <f>INDEX(Debt!$J$17:$BN$17,1,Time!$F$13)/INDEX(Debt!$J$18:$BN$18,1,Time!$F$13)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1">
        <f>$F$11+(INDEX(Operations!$J$9:$BN$9,1,Time!$F$13)+Inputs!$F$79)/100*0.5*1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1">
        <f>$F$11+(INDEX(Operations!$J$9:$BN$9,1,Time!$F$13)+Inputs!$F$80)/100*0.5*1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1">
        <f>$F$11+(INDEX(Operations!$J$9:$BN$9,1,Time!$F$13)+Inputs!$F$81)/100*0.5*1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1">
        <f>$F$11+(INDEX(Operations!$J$9:$BN$9,1,Time!$F$13)+INDEX(Debt!$J$8:$BN$8,1,Time!$F$13))/100*0.5*(1/(1-Inputs!$F$93/100))+(Inputs!$F$95/100*Inputs!$F$96/100)*INDEX(Time!$J$25:$BN$25,1,Time!$F$13)/Inputs!$F$248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1">
        <f>$F$11+INDEX(Debt!$J$14:$BN$14,1,Time!$F$13)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1">
        <f>-1*INDEX(Inputs!$J$301:$BN$301,1,Time!$F$13)*(Inputs!$F$97/100*INDEX(Time!$J$24:$BN$24,1,Time!$F$13)-INDEX(Operations!$J$9:$BN$9,1,Time!$F$13)/100*INDEX(Time!$J$25:$BN$25,1,Time!$F$13)/Inputs!$F$247)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6">
        <f>Inputs!$F$75*(Construction!J17+Inputs!$F$79)/100*(1/12)*1+Inputs!$F$76*(Construction!J17+Inputs!$F$80)/100*(1/12)*1+Inputs!$F$77*(Construction!J17+Inputs!$F$81)/100*(1/12)*1+Inputs!$F$78*(Construction!J17+Inputs!$F$82)/100*(1/12)*(1/(1-Inputs!$F$93/100))+Inputs!$F$78*(Inputs!$F$95/100*Inputs!$F$96/100)*Construction!J11/Inputs!$F$248</f>
        <v/>
      </c>
      <c r="K19" s="16">
        <f>Inputs!$F$75*(Construction!K17+Inputs!$F$79)/100*(1/12)*1+Inputs!$F$76*(Construction!K17+Inputs!$F$80)/100*(1/12)*1+Inputs!$F$77*(Construction!K17+Inputs!$F$81)/100*(1/12)*1+Inputs!$F$78*(Construction!K17+Inputs!$F$82)/100*(1/12)*(1/(1-Inputs!$F$93/100))+Inputs!$F$78*(Inputs!$F$95/100*Inputs!$F$96/100)*Construction!K11/Inputs!$F$248</f>
        <v/>
      </c>
      <c r="L19" s="16">
        <f>Inputs!$F$75*(Construction!L17+Inputs!$F$79)/100*(1/12)*1+Inputs!$F$76*(Construction!L17+Inputs!$F$80)/100*(1/12)*1+Inputs!$F$77*(Construction!L17+Inputs!$F$81)/100*(1/12)*1+Inputs!$F$78*(Construction!L17+Inputs!$F$82)/100*(1/12)*(1/(1-Inputs!$F$93/100))+Inputs!$F$78*(Inputs!$F$95/100*Inputs!$F$96/100)*Construction!L11/Inputs!$F$248</f>
        <v/>
      </c>
      <c r="M19" s="16">
        <f>Inputs!$F$75*(Construction!M17+Inputs!$F$79)/100*(1/12)*1+Inputs!$F$76*(Construction!M17+Inputs!$F$80)/100*(1/12)*1+Inputs!$F$77*(Construction!M17+Inputs!$F$81)/100*(1/12)*1+Inputs!$F$78*(Construction!M17+Inputs!$F$82)/100*(1/12)*(1/(1-Inputs!$F$93/100))+Inputs!$F$78*(Inputs!$F$95/100*Inputs!$F$96/100)*Construction!M11/Inputs!$F$248</f>
        <v/>
      </c>
      <c r="N19" s="16">
        <f>Inputs!$F$75*(Construction!N17+Inputs!$F$79)/100*(1/12)*1+Inputs!$F$76*(Construction!N17+Inputs!$F$80)/100*(1/12)*1+Inputs!$F$77*(Construction!N17+Inputs!$F$81)/100*(1/12)*1+Inputs!$F$78*(Construction!N17+Inputs!$F$82)/100*(1/12)*(1/(1-Inputs!$F$93/100))+Inputs!$F$78*(Inputs!$F$95/100*Inputs!$F$96/100)*Construction!N11/Inputs!$F$248</f>
        <v/>
      </c>
      <c r="O19" s="16">
        <f>Inputs!$F$75*(Construction!O17+Inputs!$F$79)/100*(1/12)*1+Inputs!$F$76*(Construction!O17+Inputs!$F$80)/100*(1/12)*1+Inputs!$F$77*(Construction!O17+Inputs!$F$81)/100*(1/12)*1+Inputs!$F$78*(Construction!O17+Inputs!$F$82)/100*(1/12)*(1/(1-Inputs!$F$93/100))+Inputs!$F$78*(Inputs!$F$95/100*Inputs!$F$96/100)*Construction!O11/Inputs!$F$248</f>
        <v/>
      </c>
      <c r="P19" s="16">
        <f>Inputs!$F$75*(Construction!P17+Inputs!$F$79)/100*(1/12)*1+Inputs!$F$76*(Construction!P17+Inputs!$F$80)/100*(1/12)*1+Inputs!$F$77*(Construction!P17+Inputs!$F$81)/100*(1/12)*1+Inputs!$F$78*(Construction!P17+Inputs!$F$82)/100*(1/12)*(1/(1-Inputs!$F$93/100))+Inputs!$F$78*(Inputs!$F$95/100*Inputs!$F$96/100)*Construction!P11/Inputs!$F$248</f>
        <v/>
      </c>
      <c r="Q19" s="16">
        <f>Inputs!$F$75*(Construction!Q17+Inputs!$F$79)/100*(1/12)*1+Inputs!$F$76*(Construction!Q17+Inputs!$F$80)/100*(1/12)*1+Inputs!$F$77*(Construction!Q17+Inputs!$F$81)/100*(1/12)*1+Inputs!$F$78*(Construction!Q17+Inputs!$F$82)/100*(1/12)*(1/(1-Inputs!$F$93/100))+Inputs!$F$78*(Inputs!$F$95/100*Inputs!$F$96/100)*Construction!Q11/Inputs!$F$248</f>
        <v/>
      </c>
      <c r="R19" s="16">
        <f>Inputs!$F$75*(Construction!R17+Inputs!$F$79)/100*(1/12)*1+Inputs!$F$76*(Construction!R17+Inputs!$F$80)/100*(1/12)*1+Inputs!$F$77*(Construction!R17+Inputs!$F$81)/100*(1/12)*1+Inputs!$F$78*(Construction!R17+Inputs!$F$82)/100*(1/12)*(1/(1-Inputs!$F$93/100))+Inputs!$F$78*(Inputs!$F$95/100*Inputs!$F$96/100)*Construction!R11/Inputs!$F$248</f>
        <v/>
      </c>
      <c r="S19" s="16">
        <f>Inputs!$F$75*(Construction!S17+Inputs!$F$79)/100*(1/12)*1+Inputs!$F$76*(Construction!S17+Inputs!$F$80)/100*(1/12)*1+Inputs!$F$77*(Construction!S17+Inputs!$F$81)/100*(1/12)*1+Inputs!$F$78*(Construction!S17+Inputs!$F$82)/100*(1/12)*(1/(1-Inputs!$F$93/100))+Inputs!$F$78*(Inputs!$F$95/100*Inputs!$F$96/100)*Construction!S11/Inputs!$F$248</f>
        <v/>
      </c>
      <c r="T19" s="16">
        <f>Inputs!$F$75*(Construction!T17+Inputs!$F$79)/100*(1/12)*1+Inputs!$F$76*(Construction!T17+Inputs!$F$80)/100*(1/12)*1+Inputs!$F$77*(Construction!T17+Inputs!$F$81)/100*(1/12)*1+Inputs!$F$78*(Construction!T17+Inputs!$F$82)/100*(1/12)*(1/(1-Inputs!$F$93/100))+Inputs!$F$78*(Inputs!$F$95/100*Inputs!$F$96/100)*Construction!T11/Inputs!$F$248</f>
        <v/>
      </c>
      <c r="U19" s="16">
        <f>Inputs!$F$75*(Construction!U17+Inputs!$F$79)/100*(1/12)*1+Inputs!$F$76*(Construction!U17+Inputs!$F$80)/100*(1/12)*1+Inputs!$F$77*(Construction!U17+Inputs!$F$81)/100*(1/12)*1+Inputs!$F$78*(Construction!U17+Inputs!$F$82)/100*(1/12)*(1/(1-Inputs!$F$93/100))+Inputs!$F$78*(Inputs!$F$95/100*Inputs!$F$96/100)*Construction!U11/Inputs!$F$248</f>
        <v/>
      </c>
      <c r="V19" s="16">
        <f>Inputs!$F$75*(Construction!V17+Inputs!$F$79)/100*(1/12)*1+Inputs!$F$76*(Construction!V17+Inputs!$F$80)/100*(1/12)*1+Inputs!$F$77*(Construction!V17+Inputs!$F$81)/100*(1/12)*1+Inputs!$F$78*(Construction!V17+Inputs!$F$82)/100*(1/12)*(1/(1-Inputs!$F$93/100))+Inputs!$F$78*(Inputs!$F$95/100*Inputs!$F$96/100)*Construction!V11/Inputs!$F$248</f>
        <v/>
      </c>
      <c r="W19" s="16">
        <f>Inputs!$F$75*(Construction!W17+Inputs!$F$79)/100*(1/12)*1+Inputs!$F$76*(Construction!W17+Inputs!$F$80)/100*(1/12)*1+Inputs!$F$77*(Construction!W17+Inputs!$F$81)/100*(1/12)*1+Inputs!$F$78*(Construction!W17+Inputs!$F$82)/100*(1/12)*(1/(1-Inputs!$F$93/100))+Inputs!$F$78*(Inputs!$F$95/100*Inputs!$F$96/100)*Construction!W11/Inputs!$F$248</f>
        <v/>
      </c>
      <c r="X19" s="16">
        <f>Inputs!$F$75*(Construction!X17+Inputs!$F$79)/100*(1/12)*1+Inputs!$F$76*(Construction!X17+Inputs!$F$80)/100*(1/12)*1+Inputs!$F$77*(Construction!X17+Inputs!$F$81)/100*(1/12)*1+Inputs!$F$78*(Construction!X17+Inputs!$F$82)/100*(1/12)*(1/(1-Inputs!$F$93/100))+Inputs!$F$78*(Inputs!$F$95/100*Inputs!$F$96/100)*Construction!X11/Inputs!$F$248</f>
        <v/>
      </c>
      <c r="Y19" s="16">
        <f>Inputs!$F$75*(Construction!Y17+Inputs!$F$79)/100*(1/12)*1+Inputs!$F$76*(Construction!Y17+Inputs!$F$80)/100*(1/12)*1+Inputs!$F$77*(Construction!Y17+Inputs!$F$81)/100*(1/12)*1+Inputs!$F$78*(Construction!Y17+Inputs!$F$82)/100*(1/12)*(1/(1-Inputs!$F$93/100))+Inputs!$F$78*(Inputs!$F$95/100*Inputs!$F$96/100)*Construction!Y11/Inputs!$F$248</f>
        <v/>
      </c>
      <c r="Z19" s="16">
        <f>Inputs!$F$75*(Construction!Z17+Inputs!$F$79)/100*(1/12)*1+Inputs!$F$76*(Construction!Z17+Inputs!$F$80)/100*(1/12)*1+Inputs!$F$77*(Construction!Z17+Inputs!$F$81)/100*(1/12)*1+Inputs!$F$78*(Construction!Z17+Inputs!$F$82)/100*(1/12)*(1/(1-Inputs!$F$93/100))+Inputs!$F$78*(Inputs!$F$95/100*Inputs!$F$96/100)*Construction!Z11/Inputs!$F$248</f>
        <v/>
      </c>
      <c r="AA19" s="16">
        <f>Inputs!$F$75*(Construction!AA17+Inputs!$F$79)/100*(1/12)*1+Inputs!$F$76*(Construction!AA17+Inputs!$F$80)/100*(1/12)*1+Inputs!$F$77*(Construction!AA17+Inputs!$F$81)/100*(1/12)*1+Inputs!$F$78*(Construction!AA17+Inputs!$F$82)/100*(1/12)*(1/(1-Inputs!$F$93/100))+Inputs!$F$78*(Inputs!$F$95/100*Inputs!$F$96/100)*Construction!AA11/Inputs!$F$248</f>
        <v/>
      </c>
      <c r="AB19" s="16">
        <f>Inputs!$F$75*(Construction!AB17+Inputs!$F$79)/100*(1/12)*1+Inputs!$F$76*(Construction!AB17+Inputs!$F$80)/100*(1/12)*1+Inputs!$F$77*(Construction!AB17+Inputs!$F$81)/100*(1/12)*1+Inputs!$F$78*(Construction!AB17+Inputs!$F$82)/100*(1/12)*(1/(1-Inputs!$F$93/100))+Inputs!$F$78*(Inputs!$F$95/100*Inputs!$F$96/100)*Construction!AB11/Inputs!$F$248</f>
        <v/>
      </c>
      <c r="AC19" s="16">
        <f>Inputs!$F$75*(Construction!AC17+Inputs!$F$79)/100*(1/12)*1+Inputs!$F$76*(Construction!AC17+Inputs!$F$80)/100*(1/12)*1+Inputs!$F$77*(Construction!AC17+Inputs!$F$81)/100*(1/12)*1+Inputs!$F$78*(Construction!AC17+Inputs!$F$82)/100*(1/12)*(1/(1-Inputs!$F$93/100))+Inputs!$F$78*(Inputs!$F$95/100*Inputs!$F$96/100)*Construction!AC11/Inputs!$F$248</f>
        <v/>
      </c>
      <c r="AD19" s="16">
        <f>Inputs!$F$75*(Construction!AD17+Inputs!$F$79)/100*(1/12)*1+Inputs!$F$76*(Construction!AD17+Inputs!$F$80)/100*(1/12)*1+Inputs!$F$77*(Construction!AD17+Inputs!$F$81)/100*(1/12)*1+Inputs!$F$78*(Construction!AD17+Inputs!$F$82)/100*(1/12)*(1/(1-Inputs!$F$93/100))+Inputs!$F$78*(Inputs!$F$95/100*Inputs!$F$96/100)*Construction!AD11/Inputs!$F$248</f>
        <v/>
      </c>
      <c r="AE19" s="16">
        <f>Inputs!$F$75*(Construction!AE17+Inputs!$F$79)/100*(1/12)*1+Inputs!$F$76*(Construction!AE17+Inputs!$F$80)/100*(1/12)*1+Inputs!$F$77*(Construction!AE17+Inputs!$F$81)/100*(1/12)*1+Inputs!$F$78*(Construction!AE17+Inputs!$F$82)/100*(1/12)*(1/(1-Inputs!$F$93/100))+Inputs!$F$78*(Inputs!$F$95/100*Inputs!$F$96/100)*Construction!AE11/Inputs!$F$248</f>
        <v/>
      </c>
      <c r="AF19" s="16">
        <f>Inputs!$F$75*(Construction!AF17+Inputs!$F$79)/100*(1/12)*1+Inputs!$F$76*(Construction!AF17+Inputs!$F$80)/100*(1/12)*1+Inputs!$F$77*(Construction!AF17+Inputs!$F$81)/100*(1/12)*1+Inputs!$F$78*(Construction!AF17+Inputs!$F$82)/100*(1/12)*(1/(1-Inputs!$F$93/100))+Inputs!$F$78*(Inputs!$F$95/100*Inputs!$F$96/100)*Construction!AF11/Inputs!$F$248</f>
        <v/>
      </c>
      <c r="AG19" s="16">
        <f>Inputs!$F$75*(Construction!AG17+Inputs!$F$79)/100*(1/12)*1+Inputs!$F$76*(Construction!AG17+Inputs!$F$80)/100*(1/12)*1+Inputs!$F$77*(Construction!AG17+Inputs!$F$81)/100*(1/12)*1+Inputs!$F$78*(Construction!AG17+Inputs!$F$82)/100*(1/12)*(1/(1-Inputs!$F$93/100))+Inputs!$F$78*(Inputs!$F$95/100*Inputs!$F$96/100)*Construction!AG11/Inputs!$F$248</f>
        <v/>
      </c>
      <c r="AH19" s="16">
        <f>Inputs!$F$75*(Construction!AH17+Inputs!$F$79)/100*(1/12)*1+Inputs!$F$76*(Construction!AH17+Inputs!$F$80)/100*(1/12)*1+Inputs!$F$77*(Construction!AH17+Inputs!$F$81)/100*(1/12)*1+Inputs!$F$78*(Construction!AH17+Inputs!$F$82)/100*(1/12)*(1/(1-Inputs!$F$93/100))+Inputs!$F$78*(Inputs!$F$95/100*Inputs!$F$96/100)*Construction!AH11/Inputs!$F$248</f>
        <v/>
      </c>
      <c r="AI19" s="16">
        <f>Inputs!$F$75*(Construction!AI17+Inputs!$F$79)/100*(1/12)*1+Inputs!$F$76*(Construction!AI17+Inputs!$F$80)/100*(1/12)*1+Inputs!$F$77*(Construction!AI17+Inputs!$F$81)/100*(1/12)*1+Inputs!$F$78*(Construction!AI17+Inputs!$F$82)/100*(1/12)*(1/(1-Inputs!$F$93/100))+Inputs!$F$78*(Inputs!$F$95/100*Inputs!$F$96/100)*Construction!AI11/Inputs!$F$248</f>
        <v/>
      </c>
      <c r="AJ19" s="16">
        <f>Inputs!$F$75*(Construction!AJ17+Inputs!$F$79)/100*(1/12)*1+Inputs!$F$76*(Construction!AJ17+Inputs!$F$80)/100*(1/12)*1+Inputs!$F$77*(Construction!AJ17+Inputs!$F$81)/100*(1/12)*1+Inputs!$F$78*(Construction!AJ17+Inputs!$F$82)/100*(1/12)*(1/(1-Inputs!$F$93/100))+Inputs!$F$78*(Inputs!$F$95/100*Inputs!$F$96/100)*Construction!AJ11/Inputs!$F$248</f>
        <v/>
      </c>
      <c r="AK19" s="16">
        <f>Inputs!$F$75*(Construction!AK17+Inputs!$F$79)/100*(1/12)*1+Inputs!$F$76*(Construction!AK17+Inputs!$F$80)/100*(1/12)*1+Inputs!$F$77*(Construction!AK17+Inputs!$F$81)/100*(1/12)*1+Inputs!$F$78*(Construction!AK17+Inputs!$F$82)/100*(1/12)*(1/(1-Inputs!$F$93/100))+Inputs!$F$78*(Inputs!$F$95/100*Inputs!$F$96/100)*Construction!AK11/Inputs!$F$248</f>
        <v/>
      </c>
      <c r="AL19" s="16">
        <f>Inputs!$F$75*(Construction!AL17+Inputs!$F$79)/100*(1/12)*1+Inputs!$F$76*(Construction!AL17+Inputs!$F$80)/100*(1/12)*1+Inputs!$F$77*(Construction!AL17+Inputs!$F$81)/100*(1/12)*1+Inputs!$F$78*(Construction!AL17+Inputs!$F$82)/100*(1/12)*(1/(1-Inputs!$F$93/100))+Inputs!$F$78*(Inputs!$F$95/100*Inputs!$F$96/100)*Construction!AL11/Inputs!$F$248</f>
        <v/>
      </c>
      <c r="AM19" s="16">
        <f>Inputs!$F$75*(Construction!AM17+Inputs!$F$79)/100*(1/12)*1+Inputs!$F$76*(Construction!AM17+Inputs!$F$80)/100*(1/12)*1+Inputs!$F$77*(Construction!AM17+Inputs!$F$81)/100*(1/12)*1+Inputs!$F$78*(Construction!AM17+Inputs!$F$82)/100*(1/12)*(1/(1-Inputs!$F$93/100))+Inputs!$F$78*(Inputs!$F$95/100*Inputs!$F$96/100)*Construction!AM11/Inputs!$F$248</f>
        <v/>
      </c>
      <c r="AN19" s="16">
        <f>Inputs!$F$75*(Construction!AN17+Inputs!$F$79)/100*(1/12)*1+Inputs!$F$76*(Construction!AN17+Inputs!$F$80)/100*(1/12)*1+Inputs!$F$77*(Construction!AN17+Inputs!$F$81)/100*(1/12)*1+Inputs!$F$78*(Construction!AN17+Inputs!$F$82)/100*(1/12)*(1/(1-Inputs!$F$93/100))+Inputs!$F$78*(Inputs!$F$95/100*Inputs!$F$96/100)*Construction!AN11/Inputs!$F$248</f>
        <v/>
      </c>
      <c r="AO19" s="16">
        <f>Inputs!$F$75*(Construction!AO17+Inputs!$F$79)/100*(1/12)*1+Inputs!$F$76*(Construction!AO17+Inputs!$F$80)/100*(1/12)*1+Inputs!$F$77*(Construction!AO17+Inputs!$F$81)/100*(1/12)*1+Inputs!$F$78*(Construction!AO17+Inputs!$F$82)/100*(1/12)*(1/(1-Inputs!$F$93/100))+Inputs!$F$78*(Inputs!$F$95/100*Inputs!$F$96/100)*Construction!AO11/Inputs!$F$248</f>
        <v/>
      </c>
      <c r="AP19" s="16">
        <f>Inputs!$F$75*(Construction!AP17+Inputs!$F$79)/100*(1/12)*1+Inputs!$F$76*(Construction!AP17+Inputs!$F$80)/100*(1/12)*1+Inputs!$F$77*(Construction!AP17+Inputs!$F$81)/100*(1/12)*1+Inputs!$F$78*(Construction!AP17+Inputs!$F$82)/100*(1/12)*(1/(1-Inputs!$F$93/100))+Inputs!$F$78*(Inputs!$F$95/100*Inputs!$F$96/100)*Construction!AP11/Inputs!$F$248</f>
        <v/>
      </c>
      <c r="AQ19" s="16">
        <f>Inputs!$F$75*(Construction!AQ17+Inputs!$F$79)/100*(1/12)*1+Inputs!$F$76*(Construction!AQ17+Inputs!$F$80)/100*(1/12)*1+Inputs!$F$77*(Construction!AQ17+Inputs!$F$81)/100*(1/12)*1+Inputs!$F$78*(Construction!AQ17+Inputs!$F$82)/100*(1/12)*(1/(1-Inputs!$F$93/100))+Inputs!$F$78*(Inputs!$F$95/100*Inputs!$F$96/100)*Construction!AQ11/Inputs!$F$248</f>
        <v/>
      </c>
      <c r="AR19" s="16">
        <f>Inputs!$F$75*(Construction!AR17+Inputs!$F$79)/100*(1/12)*1+Inputs!$F$76*(Construction!AR17+Inputs!$F$80)/100*(1/12)*1+Inputs!$F$77*(Construction!AR17+Inputs!$F$81)/100*(1/12)*1+Inputs!$F$78*(Construction!AR17+Inputs!$F$82)/100*(1/12)*(1/(1-Inputs!$F$93/100))+Inputs!$F$78*(Inputs!$F$95/100*Inputs!$F$96/100)*Construction!AR11/Inputs!$F$248</f>
        <v/>
      </c>
      <c r="AS19" s="16">
        <f>Inputs!$F$75*(Construction!AS17+Inputs!$F$79)/100*(1/12)*1+Inputs!$F$76*(Construction!AS17+Inputs!$F$80)/100*(1/12)*1+Inputs!$F$77*(Construction!AS17+Inputs!$F$81)/100*(1/12)*1+Inputs!$F$78*(Construction!AS17+Inputs!$F$82)/100*(1/12)*(1/(1-Inputs!$F$93/100))+Inputs!$F$78*(Inputs!$F$95/100*Inputs!$F$96/100)*Construction!AS11/Inputs!$F$248</f>
        <v/>
      </c>
      <c r="AT19" s="16">
        <f>Inputs!$F$75*(Construction!AT17+Inputs!$F$79)/100*(1/12)*1+Inputs!$F$76*(Construction!AT17+Inputs!$F$80)/100*(1/12)*1+Inputs!$F$77*(Construction!AT17+Inputs!$F$81)/100*(1/12)*1+Inputs!$F$78*(Construction!AT17+Inputs!$F$82)/100*(1/12)*(1/(1-Inputs!$F$93/100))+Inputs!$F$78*(Inputs!$F$95/100*Inputs!$F$96/100)*Construction!AT11/Inputs!$F$248</f>
        <v/>
      </c>
      <c r="AU19" s="16">
        <f>Inputs!$F$75*(Construction!AU17+Inputs!$F$79)/100*(1/12)*1+Inputs!$F$76*(Construction!AU17+Inputs!$F$80)/100*(1/12)*1+Inputs!$F$77*(Construction!AU17+Inputs!$F$81)/100*(1/12)*1+Inputs!$F$78*(Construction!AU17+Inputs!$F$82)/100*(1/12)*(1/(1-Inputs!$F$93/100))+Inputs!$F$78*(Inputs!$F$95/100*Inputs!$F$96/100)*Construction!AU11/Inputs!$F$248</f>
        <v/>
      </c>
      <c r="AV19" s="16">
        <f>Inputs!$F$75*(Construction!AV17+Inputs!$F$79)/100*(1/12)*1+Inputs!$F$76*(Construction!AV17+Inputs!$F$80)/100*(1/12)*1+Inputs!$F$77*(Construction!AV17+Inputs!$F$81)/100*(1/12)*1+Inputs!$F$78*(Construction!AV17+Inputs!$F$82)/100*(1/12)*(1/(1-Inputs!$F$93/100))+Inputs!$F$78*(Inputs!$F$95/100*Inputs!$F$96/100)*Construction!AV11/Inputs!$F$248</f>
        <v/>
      </c>
      <c r="AW19" s="16">
        <f>Inputs!$F$75*(Construction!AW17+Inputs!$F$79)/100*(1/12)*1+Inputs!$F$76*(Construction!AW17+Inputs!$F$80)/100*(1/12)*1+Inputs!$F$77*(Construction!AW17+Inputs!$F$81)/100*(1/12)*1+Inputs!$F$78*(Construction!AW17+Inputs!$F$82)/100*(1/12)*(1/(1-Inputs!$F$93/100))+Inputs!$F$78*(Inputs!$F$95/100*Inputs!$F$96/100)*Construction!AW11/Inputs!$F$248</f>
        <v/>
      </c>
      <c r="AX19" s="16">
        <f>Inputs!$F$75*(Construction!AX17+Inputs!$F$79)/100*(1/12)*1+Inputs!$F$76*(Construction!AX17+Inputs!$F$80)/100*(1/12)*1+Inputs!$F$77*(Construction!AX17+Inputs!$F$81)/100*(1/12)*1+Inputs!$F$78*(Construction!AX17+Inputs!$F$82)/100*(1/12)*(1/(1-Inputs!$F$93/100))+Inputs!$F$78*(Inputs!$F$95/100*Inputs!$F$96/100)*Construction!AX11/Inputs!$F$248</f>
        <v/>
      </c>
      <c r="AY19" s="16">
        <f>Inputs!$F$75*(Construction!AY17+Inputs!$F$79)/100*(1/12)*1+Inputs!$F$76*(Construction!AY17+Inputs!$F$80)/100*(1/12)*1+Inputs!$F$77*(Construction!AY17+Inputs!$F$81)/100*(1/12)*1+Inputs!$F$78*(Construction!AY17+Inputs!$F$82)/100*(1/12)*(1/(1-Inputs!$F$93/100))+Inputs!$F$78*(Inputs!$F$95/100*Inputs!$F$96/100)*Construction!AY11/Inputs!$F$248</f>
        <v/>
      </c>
      <c r="AZ19" s="16">
        <f>Inputs!$F$75*(Construction!AZ17+Inputs!$F$79)/100*(1/12)*1+Inputs!$F$76*(Construction!AZ17+Inputs!$F$80)/100*(1/12)*1+Inputs!$F$77*(Construction!AZ17+Inputs!$F$81)/100*(1/12)*1+Inputs!$F$78*(Construction!AZ17+Inputs!$F$82)/100*(1/12)*(1/(1-Inputs!$F$93/100))+Inputs!$F$78*(Inputs!$F$95/100*Inputs!$F$96/100)*Construction!AZ11/Inputs!$F$248</f>
        <v/>
      </c>
      <c r="BA19" s="16">
        <f>Inputs!$F$75*(Construction!BA17+Inputs!$F$79)/100*(1/12)*1+Inputs!$F$76*(Construction!BA17+Inputs!$F$80)/100*(1/12)*1+Inputs!$F$77*(Construction!BA17+Inputs!$F$81)/100*(1/12)*1+Inputs!$F$78*(Construction!BA17+Inputs!$F$82)/100*(1/12)*(1/(1-Inputs!$F$93/100))+Inputs!$F$78*(Inputs!$F$95/100*Inputs!$F$96/100)*Construction!BA11/Inputs!$F$248</f>
        <v/>
      </c>
      <c r="BB19" s="16">
        <f>Inputs!$F$75*(Construction!BB17+Inputs!$F$79)/100*(1/12)*1+Inputs!$F$76*(Construction!BB17+Inputs!$F$80)/100*(1/12)*1+Inputs!$F$77*(Construction!BB17+Inputs!$F$81)/100*(1/12)*1+Inputs!$F$78*(Construction!BB17+Inputs!$F$82)/100*(1/12)*(1/(1-Inputs!$F$93/100))+Inputs!$F$78*(Inputs!$F$95/100*Inputs!$F$96/100)*Construction!BB11/Inputs!$F$248</f>
        <v/>
      </c>
      <c r="BC19" s="16">
        <f>Inputs!$F$75*(Construction!BC17+Inputs!$F$79)/100*(1/12)*1+Inputs!$F$76*(Construction!BC17+Inputs!$F$80)/100*(1/12)*1+Inputs!$F$77*(Construction!BC17+Inputs!$F$81)/100*(1/12)*1+Inputs!$F$78*(Construction!BC17+Inputs!$F$82)/100*(1/12)*(1/(1-Inputs!$F$93/100))+Inputs!$F$78*(Inputs!$F$95/100*Inputs!$F$96/100)*Construction!BC11/Inputs!$F$248</f>
        <v/>
      </c>
      <c r="BD19" s="16">
        <f>Inputs!$F$75*(Construction!BD17+Inputs!$F$79)/100*(1/12)*1+Inputs!$F$76*(Construction!BD17+Inputs!$F$80)/100*(1/12)*1+Inputs!$F$77*(Construction!BD17+Inputs!$F$81)/100*(1/12)*1+Inputs!$F$78*(Construction!BD17+Inputs!$F$82)/100*(1/12)*(1/(1-Inputs!$F$93/100))+Inputs!$F$78*(Inputs!$F$95/100*Inputs!$F$96/100)*Construction!BD11/Inputs!$F$248</f>
        <v/>
      </c>
      <c r="BE19" s="16">
        <f>Inputs!$F$75*(Construction!BE17+Inputs!$F$79)/100*(1/12)*1+Inputs!$F$76*(Construction!BE17+Inputs!$F$80)/100*(1/12)*1+Inputs!$F$77*(Construction!BE17+Inputs!$F$81)/100*(1/12)*1+Inputs!$F$78*(Construction!BE17+Inputs!$F$82)/100*(1/12)*(1/(1-Inputs!$F$93/100))+Inputs!$F$78*(Inputs!$F$95/100*Inputs!$F$96/100)*Construction!BE11/Inputs!$F$248</f>
        <v/>
      </c>
      <c r="BF19" s="16">
        <f>Inputs!$F$75*(Construction!BF17+Inputs!$F$79)/100*(1/12)*1+Inputs!$F$76*(Construction!BF17+Inputs!$F$80)/100*(1/12)*1+Inputs!$F$77*(Construction!BF17+Inputs!$F$81)/100*(1/12)*1+Inputs!$F$78*(Construction!BF17+Inputs!$F$82)/100*(1/12)*(1/(1-Inputs!$F$93/100))+Inputs!$F$78*(Inputs!$F$95/100*Inputs!$F$96/100)*Construction!BF11/Inputs!$F$248</f>
        <v/>
      </c>
      <c r="BG19" s="16">
        <f>Inputs!$F$75*(Construction!BG17+Inputs!$F$79)/100*(1/12)*1+Inputs!$F$76*(Construction!BG17+Inputs!$F$80)/100*(1/12)*1+Inputs!$F$77*(Construction!BG17+Inputs!$F$81)/100*(1/12)*1+Inputs!$F$78*(Construction!BG17+Inputs!$F$82)/100*(1/12)*(1/(1-Inputs!$F$93/100))+Inputs!$F$78*(Inputs!$F$95/100*Inputs!$F$96/100)*Construction!BG11/Inputs!$F$248</f>
        <v/>
      </c>
      <c r="BH19" s="16">
        <f>Inputs!$F$75*(Construction!BH17+Inputs!$F$79)/100*(1/12)*1+Inputs!$F$76*(Construction!BH17+Inputs!$F$80)/100*(1/12)*1+Inputs!$F$77*(Construction!BH17+Inputs!$F$81)/100*(1/12)*1+Inputs!$F$78*(Construction!BH17+Inputs!$F$82)/100*(1/12)*(1/(1-Inputs!$F$93/100))+Inputs!$F$78*(Inputs!$F$95/100*Inputs!$F$96/100)*Construction!BH11/Inputs!$F$248</f>
        <v/>
      </c>
      <c r="BI19" s="16">
        <f>Inputs!$F$75*(Construction!BI17+Inputs!$F$79)/100*(1/12)*1+Inputs!$F$76*(Construction!BI17+Inputs!$F$80)/100*(1/12)*1+Inputs!$F$77*(Construction!BI17+Inputs!$F$81)/100*(1/12)*1+Inputs!$F$78*(Construction!BI17+Inputs!$F$82)/100*(1/12)*(1/(1-Inputs!$F$93/100))+Inputs!$F$78*(Inputs!$F$95/100*Inputs!$F$96/100)*Construction!BI11/Inputs!$F$248</f>
        <v/>
      </c>
      <c r="BJ19" s="16">
        <f>Inputs!$F$75*(Construction!BJ17+Inputs!$F$79)/100*(1/12)*1+Inputs!$F$76*(Construction!BJ17+Inputs!$F$80)/100*(1/12)*1+Inputs!$F$77*(Construction!BJ17+Inputs!$F$81)/100*(1/12)*1+Inputs!$F$78*(Construction!BJ17+Inputs!$F$82)/100*(1/12)*(1/(1-Inputs!$F$93/100))+Inputs!$F$78*(Inputs!$F$95/100*Inputs!$F$96/100)*Construction!BJ11/Inputs!$F$248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6">
        <f>Inputs!$F$75*Inputs!$F$85/100*Construction!J11/Inputs!$F$247+Inputs!$F$76*Inputs!$F$86/100*Construction!J11/Inputs!$F$247+Inputs!$F$77*Inputs!$F$87/100*Construction!J11/Inputs!$F$247+Inputs!$F$78*(Inputs!$F$88/100*Inputs!$F$82)/100*Construction!J11/Inputs!$F$247</f>
        <v/>
      </c>
      <c r="K20" s="16">
        <f>Inputs!$F$75*Inputs!$F$85/100*Construction!K11/Inputs!$F$247+Inputs!$F$76*Inputs!$F$86/100*Construction!K11/Inputs!$F$247+Inputs!$F$77*Inputs!$F$87/100*Construction!K11/Inputs!$F$247+Inputs!$F$78*(Inputs!$F$88/100*Inputs!$F$82)/100*Construction!K11/Inputs!$F$247</f>
        <v/>
      </c>
      <c r="L20" s="16">
        <f>Inputs!$F$75*Inputs!$F$85/100*Construction!L11/Inputs!$F$247+Inputs!$F$76*Inputs!$F$86/100*Construction!L11/Inputs!$F$247+Inputs!$F$77*Inputs!$F$87/100*Construction!L11/Inputs!$F$247+Inputs!$F$78*(Inputs!$F$88/100*Inputs!$F$82)/100*Construction!L11/Inputs!$F$247</f>
        <v/>
      </c>
      <c r="M20" s="16">
        <f>Inputs!$F$75*Inputs!$F$85/100*Construction!M11/Inputs!$F$247+Inputs!$F$76*Inputs!$F$86/100*Construction!M11/Inputs!$F$247+Inputs!$F$77*Inputs!$F$87/100*Construction!M11/Inputs!$F$247+Inputs!$F$78*(Inputs!$F$88/100*Inputs!$F$82)/100*Construction!M11/Inputs!$F$247</f>
        <v/>
      </c>
      <c r="N20" s="16">
        <f>Inputs!$F$75*Inputs!$F$85/100*Construction!N11/Inputs!$F$247+Inputs!$F$76*Inputs!$F$86/100*Construction!N11/Inputs!$F$247+Inputs!$F$77*Inputs!$F$87/100*Construction!N11/Inputs!$F$247+Inputs!$F$78*(Inputs!$F$88/100*Inputs!$F$82)/100*Construction!N11/Inputs!$F$247</f>
        <v/>
      </c>
      <c r="O20" s="16">
        <f>Inputs!$F$75*Inputs!$F$85/100*Construction!O11/Inputs!$F$247+Inputs!$F$76*Inputs!$F$86/100*Construction!O11/Inputs!$F$247+Inputs!$F$77*Inputs!$F$87/100*Construction!O11/Inputs!$F$247+Inputs!$F$78*(Inputs!$F$88/100*Inputs!$F$82)/100*Construction!O11/Inputs!$F$247</f>
        <v/>
      </c>
      <c r="P20" s="16">
        <f>Inputs!$F$75*Inputs!$F$85/100*Construction!P11/Inputs!$F$247+Inputs!$F$76*Inputs!$F$86/100*Construction!P11/Inputs!$F$247+Inputs!$F$77*Inputs!$F$87/100*Construction!P11/Inputs!$F$247+Inputs!$F$78*(Inputs!$F$88/100*Inputs!$F$82)/100*Construction!P11/Inputs!$F$247</f>
        <v/>
      </c>
      <c r="Q20" s="16">
        <f>Inputs!$F$75*Inputs!$F$85/100*Construction!Q11/Inputs!$F$247+Inputs!$F$76*Inputs!$F$86/100*Construction!Q11/Inputs!$F$247+Inputs!$F$77*Inputs!$F$87/100*Construction!Q11/Inputs!$F$247+Inputs!$F$78*(Inputs!$F$88/100*Inputs!$F$82)/100*Construction!Q11/Inputs!$F$247</f>
        <v/>
      </c>
      <c r="R20" s="16">
        <f>Inputs!$F$75*Inputs!$F$85/100*Construction!R11/Inputs!$F$247+Inputs!$F$76*Inputs!$F$86/100*Construction!R11/Inputs!$F$247+Inputs!$F$77*Inputs!$F$87/100*Construction!R11/Inputs!$F$247+Inputs!$F$78*(Inputs!$F$88/100*Inputs!$F$82)/100*Construction!R11/Inputs!$F$247</f>
        <v/>
      </c>
      <c r="S20" s="16">
        <f>Inputs!$F$75*Inputs!$F$85/100*Construction!S11/Inputs!$F$247+Inputs!$F$76*Inputs!$F$86/100*Construction!S11/Inputs!$F$247+Inputs!$F$77*Inputs!$F$87/100*Construction!S11/Inputs!$F$247+Inputs!$F$78*(Inputs!$F$88/100*Inputs!$F$82)/100*Construction!S11/Inputs!$F$247</f>
        <v/>
      </c>
      <c r="T20" s="16">
        <f>Inputs!$F$75*Inputs!$F$85/100*Construction!T11/Inputs!$F$247+Inputs!$F$76*Inputs!$F$86/100*Construction!T11/Inputs!$F$247+Inputs!$F$77*Inputs!$F$87/100*Construction!T11/Inputs!$F$247+Inputs!$F$78*(Inputs!$F$88/100*Inputs!$F$82)/100*Construction!T11/Inputs!$F$247</f>
        <v/>
      </c>
      <c r="U20" s="16">
        <f>Inputs!$F$75*Inputs!$F$85/100*Construction!U11/Inputs!$F$247+Inputs!$F$76*Inputs!$F$86/100*Construction!U11/Inputs!$F$247+Inputs!$F$77*Inputs!$F$87/100*Construction!U11/Inputs!$F$247+Inputs!$F$78*(Inputs!$F$88/100*Inputs!$F$82)/100*Construction!U11/Inputs!$F$247</f>
        <v/>
      </c>
      <c r="V20" s="16">
        <f>Inputs!$F$75*Inputs!$F$85/100*Construction!V11/Inputs!$F$247+Inputs!$F$76*Inputs!$F$86/100*Construction!V11/Inputs!$F$247+Inputs!$F$77*Inputs!$F$87/100*Construction!V11/Inputs!$F$247+Inputs!$F$78*(Inputs!$F$88/100*Inputs!$F$82)/100*Construction!V11/Inputs!$F$247</f>
        <v/>
      </c>
      <c r="W20" s="16">
        <f>Inputs!$F$75*Inputs!$F$85/100*Construction!W11/Inputs!$F$247+Inputs!$F$76*Inputs!$F$86/100*Construction!W11/Inputs!$F$247+Inputs!$F$77*Inputs!$F$87/100*Construction!W11/Inputs!$F$247+Inputs!$F$78*(Inputs!$F$88/100*Inputs!$F$82)/100*Construction!W11/Inputs!$F$247</f>
        <v/>
      </c>
      <c r="X20" s="16">
        <f>Inputs!$F$75*Inputs!$F$85/100*Construction!X11/Inputs!$F$247+Inputs!$F$76*Inputs!$F$86/100*Construction!X11/Inputs!$F$247+Inputs!$F$77*Inputs!$F$87/100*Construction!X11/Inputs!$F$247+Inputs!$F$78*(Inputs!$F$88/100*Inputs!$F$82)/100*Construction!X11/Inputs!$F$247</f>
        <v/>
      </c>
      <c r="Y20" s="16">
        <f>Inputs!$F$75*Inputs!$F$85/100*Construction!Y11/Inputs!$F$247+Inputs!$F$76*Inputs!$F$86/100*Construction!Y11/Inputs!$F$247+Inputs!$F$77*Inputs!$F$87/100*Construction!Y11/Inputs!$F$247+Inputs!$F$78*(Inputs!$F$88/100*Inputs!$F$82)/100*Construction!Y11/Inputs!$F$247</f>
        <v/>
      </c>
      <c r="Z20" s="16">
        <f>Inputs!$F$75*Inputs!$F$85/100*Construction!Z11/Inputs!$F$247+Inputs!$F$76*Inputs!$F$86/100*Construction!Z11/Inputs!$F$247+Inputs!$F$77*Inputs!$F$87/100*Construction!Z11/Inputs!$F$247+Inputs!$F$78*(Inputs!$F$88/100*Inputs!$F$82)/100*Construction!Z11/Inputs!$F$247</f>
        <v/>
      </c>
      <c r="AA20" s="16">
        <f>Inputs!$F$75*Inputs!$F$85/100*Construction!AA11/Inputs!$F$247+Inputs!$F$76*Inputs!$F$86/100*Construction!AA11/Inputs!$F$247+Inputs!$F$77*Inputs!$F$87/100*Construction!AA11/Inputs!$F$247+Inputs!$F$78*(Inputs!$F$88/100*Inputs!$F$82)/100*Construction!AA11/Inputs!$F$247</f>
        <v/>
      </c>
      <c r="AB20" s="16">
        <f>Inputs!$F$75*Inputs!$F$85/100*Construction!AB11/Inputs!$F$247+Inputs!$F$76*Inputs!$F$86/100*Construction!AB11/Inputs!$F$247+Inputs!$F$77*Inputs!$F$87/100*Construction!AB11/Inputs!$F$247+Inputs!$F$78*(Inputs!$F$88/100*Inputs!$F$82)/100*Construction!AB11/Inputs!$F$247</f>
        <v/>
      </c>
      <c r="AC20" s="16">
        <f>Inputs!$F$75*Inputs!$F$85/100*Construction!AC11/Inputs!$F$247+Inputs!$F$76*Inputs!$F$86/100*Construction!AC11/Inputs!$F$247+Inputs!$F$77*Inputs!$F$87/100*Construction!AC11/Inputs!$F$247+Inputs!$F$78*(Inputs!$F$88/100*Inputs!$F$82)/100*Construction!AC11/Inputs!$F$247</f>
        <v/>
      </c>
      <c r="AD20" s="16">
        <f>Inputs!$F$75*Inputs!$F$85/100*Construction!AD11/Inputs!$F$247+Inputs!$F$76*Inputs!$F$86/100*Construction!AD11/Inputs!$F$247+Inputs!$F$77*Inputs!$F$87/100*Construction!AD11/Inputs!$F$247+Inputs!$F$78*(Inputs!$F$88/100*Inputs!$F$82)/100*Construction!AD11/Inputs!$F$247</f>
        <v/>
      </c>
      <c r="AE20" s="16">
        <f>Inputs!$F$75*Inputs!$F$85/100*Construction!AE11/Inputs!$F$247+Inputs!$F$76*Inputs!$F$86/100*Construction!AE11/Inputs!$F$247+Inputs!$F$77*Inputs!$F$87/100*Construction!AE11/Inputs!$F$247+Inputs!$F$78*(Inputs!$F$88/100*Inputs!$F$82)/100*Construction!AE11/Inputs!$F$247</f>
        <v/>
      </c>
      <c r="AF20" s="16">
        <f>Inputs!$F$75*Inputs!$F$85/100*Construction!AF11/Inputs!$F$247+Inputs!$F$76*Inputs!$F$86/100*Construction!AF11/Inputs!$F$247+Inputs!$F$77*Inputs!$F$87/100*Construction!AF11/Inputs!$F$247+Inputs!$F$78*(Inputs!$F$88/100*Inputs!$F$82)/100*Construction!AF11/Inputs!$F$247</f>
        <v/>
      </c>
      <c r="AG20" s="16">
        <f>Inputs!$F$75*Inputs!$F$85/100*Construction!AG11/Inputs!$F$247+Inputs!$F$76*Inputs!$F$86/100*Construction!AG11/Inputs!$F$247+Inputs!$F$77*Inputs!$F$87/100*Construction!AG11/Inputs!$F$247+Inputs!$F$78*(Inputs!$F$88/100*Inputs!$F$82)/100*Construction!AG11/Inputs!$F$247</f>
        <v/>
      </c>
      <c r="AH20" s="16">
        <f>Inputs!$F$75*Inputs!$F$85/100*Construction!AH11/Inputs!$F$247+Inputs!$F$76*Inputs!$F$86/100*Construction!AH11/Inputs!$F$247+Inputs!$F$77*Inputs!$F$87/100*Construction!AH11/Inputs!$F$247+Inputs!$F$78*(Inputs!$F$88/100*Inputs!$F$82)/100*Construction!AH11/Inputs!$F$247</f>
        <v/>
      </c>
      <c r="AI20" s="16">
        <f>Inputs!$F$75*Inputs!$F$85/100*Construction!AI11/Inputs!$F$247+Inputs!$F$76*Inputs!$F$86/100*Construction!AI11/Inputs!$F$247+Inputs!$F$77*Inputs!$F$87/100*Construction!AI11/Inputs!$F$247+Inputs!$F$78*(Inputs!$F$88/100*Inputs!$F$82)/100*Construction!AI11/Inputs!$F$247</f>
        <v/>
      </c>
      <c r="AJ20" s="16">
        <f>Inputs!$F$75*Inputs!$F$85/100*Construction!AJ11/Inputs!$F$247+Inputs!$F$76*Inputs!$F$86/100*Construction!AJ11/Inputs!$F$247+Inputs!$F$77*Inputs!$F$87/100*Construction!AJ11/Inputs!$F$247+Inputs!$F$78*(Inputs!$F$88/100*Inputs!$F$82)/100*Construction!AJ11/Inputs!$F$247</f>
        <v/>
      </c>
      <c r="AK20" s="16">
        <f>Inputs!$F$75*Inputs!$F$85/100*Construction!AK11/Inputs!$F$247+Inputs!$F$76*Inputs!$F$86/100*Construction!AK11/Inputs!$F$247+Inputs!$F$77*Inputs!$F$87/100*Construction!AK11/Inputs!$F$247+Inputs!$F$78*(Inputs!$F$88/100*Inputs!$F$82)/100*Construction!AK11/Inputs!$F$247</f>
        <v/>
      </c>
      <c r="AL20" s="16">
        <f>Inputs!$F$75*Inputs!$F$85/100*Construction!AL11/Inputs!$F$247+Inputs!$F$76*Inputs!$F$86/100*Construction!AL11/Inputs!$F$247+Inputs!$F$77*Inputs!$F$87/100*Construction!AL11/Inputs!$F$247+Inputs!$F$78*(Inputs!$F$88/100*Inputs!$F$82)/100*Construction!AL11/Inputs!$F$247</f>
        <v/>
      </c>
      <c r="AM20" s="16">
        <f>Inputs!$F$75*Inputs!$F$85/100*Construction!AM11/Inputs!$F$247+Inputs!$F$76*Inputs!$F$86/100*Construction!AM11/Inputs!$F$247+Inputs!$F$77*Inputs!$F$87/100*Construction!AM11/Inputs!$F$247+Inputs!$F$78*(Inputs!$F$88/100*Inputs!$F$82)/100*Construction!AM11/Inputs!$F$247</f>
        <v/>
      </c>
      <c r="AN20" s="16">
        <f>Inputs!$F$75*Inputs!$F$85/100*Construction!AN11/Inputs!$F$247+Inputs!$F$76*Inputs!$F$86/100*Construction!AN11/Inputs!$F$247+Inputs!$F$77*Inputs!$F$87/100*Construction!AN11/Inputs!$F$247+Inputs!$F$78*(Inputs!$F$88/100*Inputs!$F$82)/100*Construction!AN11/Inputs!$F$247</f>
        <v/>
      </c>
      <c r="AO20" s="16">
        <f>Inputs!$F$75*Inputs!$F$85/100*Construction!AO11/Inputs!$F$247+Inputs!$F$76*Inputs!$F$86/100*Construction!AO11/Inputs!$F$247+Inputs!$F$77*Inputs!$F$87/100*Construction!AO11/Inputs!$F$247+Inputs!$F$78*(Inputs!$F$88/100*Inputs!$F$82)/100*Construction!AO11/Inputs!$F$247</f>
        <v/>
      </c>
      <c r="AP20" s="16">
        <f>Inputs!$F$75*Inputs!$F$85/100*Construction!AP11/Inputs!$F$247+Inputs!$F$76*Inputs!$F$86/100*Construction!AP11/Inputs!$F$247+Inputs!$F$77*Inputs!$F$87/100*Construction!AP11/Inputs!$F$247+Inputs!$F$78*(Inputs!$F$88/100*Inputs!$F$82)/100*Construction!AP11/Inputs!$F$247</f>
        <v/>
      </c>
      <c r="AQ20" s="16">
        <f>Inputs!$F$75*Inputs!$F$85/100*Construction!AQ11/Inputs!$F$247+Inputs!$F$76*Inputs!$F$86/100*Construction!AQ11/Inputs!$F$247+Inputs!$F$77*Inputs!$F$87/100*Construction!AQ11/Inputs!$F$247+Inputs!$F$78*(Inputs!$F$88/100*Inputs!$F$82)/100*Construction!AQ11/Inputs!$F$247</f>
        <v/>
      </c>
      <c r="AR20" s="16">
        <f>Inputs!$F$75*Inputs!$F$85/100*Construction!AR11/Inputs!$F$247+Inputs!$F$76*Inputs!$F$86/100*Construction!AR11/Inputs!$F$247+Inputs!$F$77*Inputs!$F$87/100*Construction!AR11/Inputs!$F$247+Inputs!$F$78*(Inputs!$F$88/100*Inputs!$F$82)/100*Construction!AR11/Inputs!$F$247</f>
        <v/>
      </c>
      <c r="AS20" s="16">
        <f>Inputs!$F$75*Inputs!$F$85/100*Construction!AS11/Inputs!$F$247+Inputs!$F$76*Inputs!$F$86/100*Construction!AS11/Inputs!$F$247+Inputs!$F$77*Inputs!$F$87/100*Construction!AS11/Inputs!$F$247+Inputs!$F$78*(Inputs!$F$88/100*Inputs!$F$82)/100*Construction!AS11/Inputs!$F$247</f>
        <v/>
      </c>
      <c r="AT20" s="16">
        <f>Inputs!$F$75*Inputs!$F$85/100*Construction!AT11/Inputs!$F$247+Inputs!$F$76*Inputs!$F$86/100*Construction!AT11/Inputs!$F$247+Inputs!$F$77*Inputs!$F$87/100*Construction!AT11/Inputs!$F$247+Inputs!$F$78*(Inputs!$F$88/100*Inputs!$F$82)/100*Construction!AT11/Inputs!$F$247</f>
        <v/>
      </c>
      <c r="AU20" s="16">
        <f>Inputs!$F$75*Inputs!$F$85/100*Construction!AU11/Inputs!$F$247+Inputs!$F$76*Inputs!$F$86/100*Construction!AU11/Inputs!$F$247+Inputs!$F$77*Inputs!$F$87/100*Construction!AU11/Inputs!$F$247+Inputs!$F$78*(Inputs!$F$88/100*Inputs!$F$82)/100*Construction!AU11/Inputs!$F$247</f>
        <v/>
      </c>
      <c r="AV20" s="16">
        <f>Inputs!$F$75*Inputs!$F$85/100*Construction!AV11/Inputs!$F$247+Inputs!$F$76*Inputs!$F$86/100*Construction!AV11/Inputs!$F$247+Inputs!$F$77*Inputs!$F$87/100*Construction!AV11/Inputs!$F$247+Inputs!$F$78*(Inputs!$F$88/100*Inputs!$F$82)/100*Construction!AV11/Inputs!$F$247</f>
        <v/>
      </c>
      <c r="AW20" s="16">
        <f>Inputs!$F$75*Inputs!$F$85/100*Construction!AW11/Inputs!$F$247+Inputs!$F$76*Inputs!$F$86/100*Construction!AW11/Inputs!$F$247+Inputs!$F$77*Inputs!$F$87/100*Construction!AW11/Inputs!$F$247+Inputs!$F$78*(Inputs!$F$88/100*Inputs!$F$82)/100*Construction!AW11/Inputs!$F$247</f>
        <v/>
      </c>
      <c r="AX20" s="16">
        <f>Inputs!$F$75*Inputs!$F$85/100*Construction!AX11/Inputs!$F$247+Inputs!$F$76*Inputs!$F$86/100*Construction!AX11/Inputs!$F$247+Inputs!$F$77*Inputs!$F$87/100*Construction!AX11/Inputs!$F$247+Inputs!$F$78*(Inputs!$F$88/100*Inputs!$F$82)/100*Construction!AX11/Inputs!$F$247</f>
        <v/>
      </c>
      <c r="AY20" s="16">
        <f>Inputs!$F$75*Inputs!$F$85/100*Construction!AY11/Inputs!$F$247+Inputs!$F$76*Inputs!$F$86/100*Construction!AY11/Inputs!$F$247+Inputs!$F$77*Inputs!$F$87/100*Construction!AY11/Inputs!$F$247+Inputs!$F$78*(Inputs!$F$88/100*Inputs!$F$82)/100*Construction!AY11/Inputs!$F$247</f>
        <v/>
      </c>
      <c r="AZ20" s="16">
        <f>Inputs!$F$75*Inputs!$F$85/100*Construction!AZ11/Inputs!$F$247+Inputs!$F$76*Inputs!$F$86/100*Construction!AZ11/Inputs!$F$247+Inputs!$F$77*Inputs!$F$87/100*Construction!AZ11/Inputs!$F$247+Inputs!$F$78*(Inputs!$F$88/100*Inputs!$F$82)/100*Construction!AZ11/Inputs!$F$247</f>
        <v/>
      </c>
      <c r="BA20" s="16">
        <f>Inputs!$F$75*Inputs!$F$85/100*Construction!BA11/Inputs!$F$247+Inputs!$F$76*Inputs!$F$86/100*Construction!BA11/Inputs!$F$247+Inputs!$F$77*Inputs!$F$87/100*Construction!BA11/Inputs!$F$247+Inputs!$F$78*(Inputs!$F$88/100*Inputs!$F$82)/100*Construction!BA11/Inputs!$F$247</f>
        <v/>
      </c>
      <c r="BB20" s="16">
        <f>Inputs!$F$75*Inputs!$F$85/100*Construction!BB11/Inputs!$F$247+Inputs!$F$76*Inputs!$F$86/100*Construction!BB11/Inputs!$F$247+Inputs!$F$77*Inputs!$F$87/100*Construction!BB11/Inputs!$F$247+Inputs!$F$78*(Inputs!$F$88/100*Inputs!$F$82)/100*Construction!BB11/Inputs!$F$247</f>
        <v/>
      </c>
      <c r="BC20" s="16">
        <f>Inputs!$F$75*Inputs!$F$85/100*Construction!BC11/Inputs!$F$247+Inputs!$F$76*Inputs!$F$86/100*Construction!BC11/Inputs!$F$247+Inputs!$F$77*Inputs!$F$87/100*Construction!BC11/Inputs!$F$247+Inputs!$F$78*(Inputs!$F$88/100*Inputs!$F$82)/100*Construction!BC11/Inputs!$F$247</f>
        <v/>
      </c>
      <c r="BD20" s="16">
        <f>Inputs!$F$75*Inputs!$F$85/100*Construction!BD11/Inputs!$F$247+Inputs!$F$76*Inputs!$F$86/100*Construction!BD11/Inputs!$F$247+Inputs!$F$77*Inputs!$F$87/100*Construction!BD11/Inputs!$F$247+Inputs!$F$78*(Inputs!$F$88/100*Inputs!$F$82)/100*Construction!BD11/Inputs!$F$247</f>
        <v/>
      </c>
      <c r="BE20" s="16">
        <f>Inputs!$F$75*Inputs!$F$85/100*Construction!BE11/Inputs!$F$247+Inputs!$F$76*Inputs!$F$86/100*Construction!BE11/Inputs!$F$247+Inputs!$F$77*Inputs!$F$87/100*Construction!BE11/Inputs!$F$247+Inputs!$F$78*(Inputs!$F$88/100*Inputs!$F$82)/100*Construction!BE11/Inputs!$F$247</f>
        <v/>
      </c>
      <c r="BF20" s="16">
        <f>Inputs!$F$75*Inputs!$F$85/100*Construction!BF11/Inputs!$F$247+Inputs!$F$76*Inputs!$F$86/100*Construction!BF11/Inputs!$F$247+Inputs!$F$77*Inputs!$F$87/100*Construction!BF11/Inputs!$F$247+Inputs!$F$78*(Inputs!$F$88/100*Inputs!$F$82)/100*Construction!BF11/Inputs!$F$247</f>
        <v/>
      </c>
      <c r="BG20" s="16">
        <f>Inputs!$F$75*Inputs!$F$85/100*Construction!BG11/Inputs!$F$247+Inputs!$F$76*Inputs!$F$86/100*Construction!BG11/Inputs!$F$247+Inputs!$F$77*Inputs!$F$87/100*Construction!BG11/Inputs!$F$247+Inputs!$F$78*(Inputs!$F$88/100*Inputs!$F$82)/100*Construction!BG11/Inputs!$F$247</f>
        <v/>
      </c>
      <c r="BH20" s="16">
        <f>Inputs!$F$75*Inputs!$F$85/100*Construction!BH11/Inputs!$F$247+Inputs!$F$76*Inputs!$F$86/100*Construction!BH11/Inputs!$F$247+Inputs!$F$77*Inputs!$F$87/100*Construction!BH11/Inputs!$F$247+Inputs!$F$78*(Inputs!$F$88/100*Inputs!$F$82)/100*Construction!BH11/Inputs!$F$247</f>
        <v/>
      </c>
      <c r="BI20" s="16">
        <f>Inputs!$F$75*Inputs!$F$85/100*Construction!BI11/Inputs!$F$247+Inputs!$F$76*Inputs!$F$86/100*Construction!BI11/Inputs!$F$247+Inputs!$F$77*Inputs!$F$87/100*Construction!BI11/Inputs!$F$247+Inputs!$F$78*(Inputs!$F$88/100*Inputs!$F$82)/100*Construction!BI11/Inputs!$F$247</f>
        <v/>
      </c>
      <c r="BJ20" s="16">
        <f>Inputs!$F$75*Inputs!$F$85/100*Construction!BJ11/Inputs!$F$247+Inputs!$F$76*Inputs!$F$86/100*Construction!BJ11/Inputs!$F$247+Inputs!$F$77*Inputs!$F$87/100*Construction!BJ11/Inputs!$F$247+Inputs!$F$78*(Inputs!$F$88/100*Inputs!$F$82)/100*Construction!BJ11/Inputs!$F$247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3">
        <f>Construction!J14*(Construction!J32+Construction!J38+Inputs!$F$107/12+-1*Inputs!J309*(Inputs!$F$97/100/12-Construction!J17/100*Construction!J11/Inputs!$F$247)+Inputs!$F$99*Inputs!$F$100/100*Construction!J11/Inputs!$F$247+Construction!J15*$F$17)</f>
        <v/>
      </c>
      <c r="K21" s="13">
        <f>Construction!K14*(Construction!K32+Construction!K38+Inputs!$F$107/12+-1*Inputs!K309*(Inputs!$F$97/100/12-Construction!K17/100*Construction!K11/Inputs!$F$247)+Inputs!$F$99*Inputs!$F$100/100*Construction!K11/Inputs!$F$247+Construction!K15*$F$17)</f>
        <v/>
      </c>
      <c r="L21" s="13">
        <f>Construction!L14*(Construction!L32+Construction!L38+Inputs!$F$107/12+-1*Inputs!L309*(Inputs!$F$97/100/12-Construction!L17/100*Construction!L11/Inputs!$F$247)+Inputs!$F$99*Inputs!$F$100/100*Construction!L11/Inputs!$F$247+Construction!L15*$F$17)</f>
        <v/>
      </c>
      <c r="M21" s="13">
        <f>Construction!M14*(Construction!M32+Construction!M38+Inputs!$F$107/12+-1*Inputs!M309*(Inputs!$F$97/100/12-Construction!M17/100*Construction!M11/Inputs!$F$247)+Inputs!$F$99*Inputs!$F$100/100*Construction!M11/Inputs!$F$247+Construction!M15*$F$17)</f>
        <v/>
      </c>
      <c r="N21" s="13">
        <f>Construction!N14*(Construction!N32+Construction!N38+Inputs!$F$107/12+-1*Inputs!N309*(Inputs!$F$97/100/12-Construction!N17/100*Construction!N11/Inputs!$F$247)+Inputs!$F$99*Inputs!$F$100/100*Construction!N11/Inputs!$F$247+Construction!N15*$F$17)</f>
        <v/>
      </c>
      <c r="O21" s="13">
        <f>Construction!O14*(Construction!O32+Construction!O38+Inputs!$F$107/12+-1*Inputs!O309*(Inputs!$F$97/100/12-Construction!O17/100*Construction!O11/Inputs!$F$247)+Inputs!$F$99*Inputs!$F$100/100*Construction!O11/Inputs!$F$247+Construction!O15*$F$17)</f>
        <v/>
      </c>
      <c r="P21" s="13">
        <f>Construction!P14*(Construction!P32+Construction!P38+Inputs!$F$107/12+-1*Inputs!P309*(Inputs!$F$97/100/12-Construction!P17/100*Construction!P11/Inputs!$F$247)+Inputs!$F$99*Inputs!$F$100/100*Construction!P11/Inputs!$F$247+Construction!P15*$F$17)</f>
        <v/>
      </c>
      <c r="Q21" s="13">
        <f>Construction!Q14*(Construction!Q32+Construction!Q38+Inputs!$F$107/12+-1*Inputs!Q309*(Inputs!$F$97/100/12-Construction!Q17/100*Construction!Q11/Inputs!$F$247)+Inputs!$F$99*Inputs!$F$100/100*Construction!Q11/Inputs!$F$247+Construction!Q15*$F$17)</f>
        <v/>
      </c>
      <c r="R21" s="13">
        <f>Construction!R14*(Construction!R32+Construction!R38+Inputs!$F$107/12+-1*Inputs!R309*(Inputs!$F$97/100/12-Construction!R17/100*Construction!R11/Inputs!$F$247)+Inputs!$F$99*Inputs!$F$100/100*Construction!R11/Inputs!$F$247+Construction!R15*$F$17)</f>
        <v/>
      </c>
      <c r="S21" s="13">
        <f>Construction!S14*(Construction!S32+Construction!S38+Inputs!$F$107/12+-1*Inputs!S309*(Inputs!$F$97/100/12-Construction!S17/100*Construction!S11/Inputs!$F$247)+Inputs!$F$99*Inputs!$F$100/100*Construction!S11/Inputs!$F$247+Construction!S15*$F$17)</f>
        <v/>
      </c>
      <c r="T21" s="13">
        <f>Construction!T14*(Construction!T32+Construction!T38+Inputs!$F$107/12+-1*Inputs!T309*(Inputs!$F$97/100/12-Construction!T17/100*Construction!T11/Inputs!$F$247)+Inputs!$F$99*Inputs!$F$100/100*Construction!T11/Inputs!$F$247+Construction!T15*$F$17)</f>
        <v/>
      </c>
      <c r="U21" s="13">
        <f>Construction!U14*(Construction!U32+Construction!U38+Inputs!$F$107/12+-1*Inputs!U309*(Inputs!$F$97/100/12-Construction!U17/100*Construction!U11/Inputs!$F$247)+Inputs!$F$99*Inputs!$F$100/100*Construction!U11/Inputs!$F$247+Construction!U15*$F$17)</f>
        <v/>
      </c>
      <c r="V21" s="13">
        <f>Construction!V14*(Construction!V32+Construction!V38+Inputs!$F$107/12+-1*Inputs!V309*(Inputs!$F$97/100/12-Construction!V17/100*Construction!V11/Inputs!$F$247)+Inputs!$F$99*Inputs!$F$100/100*Construction!V11/Inputs!$F$247+Construction!V15*$F$17)</f>
        <v/>
      </c>
      <c r="W21" s="13">
        <f>Construction!W14*(Construction!W32+Construction!W38+Inputs!$F$107/12+-1*Inputs!W309*(Inputs!$F$97/100/12-Construction!W17/100*Construction!W11/Inputs!$F$247)+Inputs!$F$99*Inputs!$F$100/100*Construction!W11/Inputs!$F$247+Construction!W15*$F$17)</f>
        <v/>
      </c>
      <c r="X21" s="13">
        <f>Construction!X14*(Construction!X32+Construction!X38+Inputs!$F$107/12+-1*Inputs!X309*(Inputs!$F$97/100/12-Construction!X17/100*Construction!X11/Inputs!$F$247)+Inputs!$F$99*Inputs!$F$100/100*Construction!X11/Inputs!$F$247+Construction!X15*$F$17)</f>
        <v/>
      </c>
      <c r="Y21" s="13">
        <f>Construction!Y14*(Construction!Y32+Construction!Y38+Inputs!$F$107/12+-1*Inputs!Y309*(Inputs!$F$97/100/12-Construction!Y17/100*Construction!Y11/Inputs!$F$247)+Inputs!$F$99*Inputs!$F$100/100*Construction!Y11/Inputs!$F$247+Construction!Y15*$F$17)</f>
        <v/>
      </c>
      <c r="Z21" s="13">
        <f>Construction!Z14*(Construction!Z32+Construction!Z38+Inputs!$F$107/12+-1*Inputs!Z309*(Inputs!$F$97/100/12-Construction!Z17/100*Construction!Z11/Inputs!$F$247)+Inputs!$F$99*Inputs!$F$100/100*Construction!Z11/Inputs!$F$247+Construction!Z15*$F$17)</f>
        <v/>
      </c>
      <c r="AA21" s="13">
        <f>Construction!AA14*(Construction!AA32+Construction!AA38+Inputs!$F$107/12+-1*Inputs!AA309*(Inputs!$F$97/100/12-Construction!AA17/100*Construction!AA11/Inputs!$F$247)+Inputs!$F$99*Inputs!$F$100/100*Construction!AA11/Inputs!$F$247+Construction!AA15*$F$17)</f>
        <v/>
      </c>
      <c r="AB21" s="13">
        <f>Construction!AB14*(Construction!AB32+Construction!AB38+Inputs!$F$107/12+-1*Inputs!AB309*(Inputs!$F$97/100/12-Construction!AB17/100*Construction!AB11/Inputs!$F$247)+Inputs!$F$99*Inputs!$F$100/100*Construction!AB11/Inputs!$F$247+Construction!AB15*$F$17)</f>
        <v/>
      </c>
      <c r="AC21" s="13">
        <f>Construction!AC14*(Construction!AC32+Construction!AC38+Inputs!$F$107/12+-1*Inputs!AC309*(Inputs!$F$97/100/12-Construction!AC17/100*Construction!AC11/Inputs!$F$247)+Inputs!$F$99*Inputs!$F$100/100*Construction!AC11/Inputs!$F$247+Construction!AC15*$F$17)</f>
        <v/>
      </c>
      <c r="AD21" s="13">
        <f>Construction!AD14*(Construction!AD32+Construction!AD38+Inputs!$F$107/12+-1*Inputs!AD309*(Inputs!$F$97/100/12-Construction!AD17/100*Construction!AD11/Inputs!$F$247)+Inputs!$F$99*Inputs!$F$100/100*Construction!AD11/Inputs!$F$247+Construction!AD15*$F$17)</f>
        <v/>
      </c>
      <c r="AE21" s="13">
        <f>Construction!AE14*(Construction!AE32+Construction!AE38+Inputs!$F$107/12+-1*Inputs!AE309*(Inputs!$F$97/100/12-Construction!AE17/100*Construction!AE11/Inputs!$F$247)+Inputs!$F$99*Inputs!$F$100/100*Construction!AE11/Inputs!$F$247+Construction!AE15*$F$17)</f>
        <v/>
      </c>
      <c r="AF21" s="13">
        <f>Construction!AF14*(Construction!AF32+Construction!AF38+Inputs!$F$107/12+-1*Inputs!AF309*(Inputs!$F$97/100/12-Construction!AF17/100*Construction!AF11/Inputs!$F$247)+Inputs!$F$99*Inputs!$F$100/100*Construction!AF11/Inputs!$F$247+Construction!AF15*$F$17)</f>
        <v/>
      </c>
      <c r="AG21" s="13">
        <f>Construction!AG14*(Construction!AG32+Construction!AG38+Inputs!$F$107/12+-1*Inputs!AG309*(Inputs!$F$97/100/12-Construction!AG17/100*Construction!AG11/Inputs!$F$247)+Inputs!$F$99*Inputs!$F$100/100*Construction!AG11/Inputs!$F$247+Construction!AG15*$F$17)</f>
        <v/>
      </c>
      <c r="AH21" s="13">
        <f>Construction!AH14*(Construction!AH32+Construction!AH38+Inputs!$F$107/12+-1*Inputs!AH309*(Inputs!$F$97/100/12-Construction!AH17/100*Construction!AH11/Inputs!$F$247)+Inputs!$F$99*Inputs!$F$100/100*Construction!AH11/Inputs!$F$247+Construction!AH15*$F$17)</f>
        <v/>
      </c>
      <c r="AI21" s="13">
        <f>Construction!AI14*(Construction!AI32+Construction!AI38+Inputs!$F$107/12+-1*Inputs!AI309*(Inputs!$F$97/100/12-Construction!AI17/100*Construction!AI11/Inputs!$F$247)+Inputs!$F$99*Inputs!$F$100/100*Construction!AI11/Inputs!$F$247+Construction!AI15*$F$17)</f>
        <v/>
      </c>
      <c r="AJ21" s="13">
        <f>Construction!AJ14*(Construction!AJ32+Construction!AJ38+Inputs!$F$107/12+-1*Inputs!AJ309*(Inputs!$F$97/100/12-Construction!AJ17/100*Construction!AJ11/Inputs!$F$247)+Inputs!$F$99*Inputs!$F$100/100*Construction!AJ11/Inputs!$F$247+Construction!AJ15*$F$17)</f>
        <v/>
      </c>
      <c r="AK21" s="13">
        <f>Construction!AK14*(Construction!AK32+Construction!AK38+Inputs!$F$107/12+-1*Inputs!AK309*(Inputs!$F$97/100/12-Construction!AK17/100*Construction!AK11/Inputs!$F$247)+Inputs!$F$99*Inputs!$F$100/100*Construction!AK11/Inputs!$F$247+Construction!AK15*$F$17)</f>
        <v/>
      </c>
      <c r="AL21" s="13">
        <f>Construction!AL14*(Construction!AL32+Construction!AL38+Inputs!$F$107/12+-1*Inputs!AL309*(Inputs!$F$97/100/12-Construction!AL17/100*Construction!AL11/Inputs!$F$247)+Inputs!$F$99*Inputs!$F$100/100*Construction!AL11/Inputs!$F$247+Construction!AL15*$F$17)</f>
        <v/>
      </c>
      <c r="AM21" s="13">
        <f>Construction!AM14*(Construction!AM32+Construction!AM38+Inputs!$F$107/12+-1*Inputs!AM309*(Inputs!$F$97/100/12-Construction!AM17/100*Construction!AM11/Inputs!$F$247)+Inputs!$F$99*Inputs!$F$100/100*Construction!AM11/Inputs!$F$247+Construction!AM15*$F$17)</f>
        <v/>
      </c>
      <c r="AN21" s="13">
        <f>Construction!AN14*(Construction!AN32+Construction!AN38+Inputs!$F$107/12+-1*Inputs!AN309*(Inputs!$F$97/100/12-Construction!AN17/100*Construction!AN11/Inputs!$F$247)+Inputs!$F$99*Inputs!$F$100/100*Construction!AN11/Inputs!$F$247+Construction!AN15*$F$17)</f>
        <v/>
      </c>
      <c r="AO21" s="13">
        <f>Construction!AO14*(Construction!AO32+Construction!AO38+Inputs!$F$107/12+-1*Inputs!AO309*(Inputs!$F$97/100/12-Construction!AO17/100*Construction!AO11/Inputs!$F$247)+Inputs!$F$99*Inputs!$F$100/100*Construction!AO11/Inputs!$F$247+Construction!AO15*$F$17)</f>
        <v/>
      </c>
      <c r="AP21" s="13">
        <f>Construction!AP14*(Construction!AP32+Construction!AP38+Inputs!$F$107/12+-1*Inputs!AP309*(Inputs!$F$97/100/12-Construction!AP17/100*Construction!AP11/Inputs!$F$247)+Inputs!$F$99*Inputs!$F$100/100*Construction!AP11/Inputs!$F$247+Construction!AP15*$F$17)</f>
        <v/>
      </c>
      <c r="AQ21" s="13">
        <f>Construction!AQ14*(Construction!AQ32+Construction!AQ38+Inputs!$F$107/12+-1*Inputs!AQ309*(Inputs!$F$97/100/12-Construction!AQ17/100*Construction!AQ11/Inputs!$F$247)+Inputs!$F$99*Inputs!$F$100/100*Construction!AQ11/Inputs!$F$247+Construction!AQ15*$F$17)</f>
        <v/>
      </c>
      <c r="AR21" s="13">
        <f>Construction!AR14*(Construction!AR32+Construction!AR38+Inputs!$F$107/12+-1*Inputs!AR309*(Inputs!$F$97/100/12-Construction!AR17/100*Construction!AR11/Inputs!$F$247)+Inputs!$F$99*Inputs!$F$100/100*Construction!AR11/Inputs!$F$247+Construction!AR15*$F$17)</f>
        <v/>
      </c>
      <c r="AS21" s="13">
        <f>Construction!AS14*(Construction!AS32+Construction!AS38+Inputs!$F$107/12+-1*Inputs!AS309*(Inputs!$F$97/100/12-Construction!AS17/100*Construction!AS11/Inputs!$F$247)+Inputs!$F$99*Inputs!$F$100/100*Construction!AS11/Inputs!$F$247+Construction!AS15*$F$17)</f>
        <v/>
      </c>
      <c r="AT21" s="13">
        <f>Construction!AT14*(Construction!AT32+Construction!AT38+Inputs!$F$107/12+-1*Inputs!AT309*(Inputs!$F$97/100/12-Construction!AT17/100*Construction!AT11/Inputs!$F$247)+Inputs!$F$99*Inputs!$F$100/100*Construction!AT11/Inputs!$F$247+Construction!AT15*$F$17)</f>
        <v/>
      </c>
      <c r="AU21" s="13">
        <f>Construction!AU14*(Construction!AU32+Construction!AU38+Inputs!$F$107/12+-1*Inputs!AU309*(Inputs!$F$97/100/12-Construction!AU17/100*Construction!AU11/Inputs!$F$247)+Inputs!$F$99*Inputs!$F$100/100*Construction!AU11/Inputs!$F$247+Construction!AU15*$F$17)</f>
        <v/>
      </c>
      <c r="AV21" s="13">
        <f>Construction!AV14*(Construction!AV32+Construction!AV38+Inputs!$F$107/12+-1*Inputs!AV309*(Inputs!$F$97/100/12-Construction!AV17/100*Construction!AV11/Inputs!$F$247)+Inputs!$F$99*Inputs!$F$100/100*Construction!AV11/Inputs!$F$247+Construction!AV15*$F$17)</f>
        <v/>
      </c>
      <c r="AW21" s="13">
        <f>Construction!AW14*(Construction!AW32+Construction!AW38+Inputs!$F$107/12+-1*Inputs!AW309*(Inputs!$F$97/100/12-Construction!AW17/100*Construction!AW11/Inputs!$F$247)+Inputs!$F$99*Inputs!$F$100/100*Construction!AW11/Inputs!$F$247+Construction!AW15*$F$17)</f>
        <v/>
      </c>
      <c r="AX21" s="13">
        <f>Construction!AX14*(Construction!AX32+Construction!AX38+Inputs!$F$107/12+-1*Inputs!AX309*(Inputs!$F$97/100/12-Construction!AX17/100*Construction!AX11/Inputs!$F$247)+Inputs!$F$99*Inputs!$F$100/100*Construction!AX11/Inputs!$F$247+Construction!AX15*$F$17)</f>
        <v/>
      </c>
      <c r="AY21" s="13">
        <f>Construction!AY14*(Construction!AY32+Construction!AY38+Inputs!$F$107/12+-1*Inputs!AY309*(Inputs!$F$97/100/12-Construction!AY17/100*Construction!AY11/Inputs!$F$247)+Inputs!$F$99*Inputs!$F$100/100*Construction!AY11/Inputs!$F$247+Construction!AY15*$F$17)</f>
        <v/>
      </c>
      <c r="AZ21" s="13">
        <f>Construction!AZ14*(Construction!AZ32+Construction!AZ38+Inputs!$F$107/12+-1*Inputs!AZ309*(Inputs!$F$97/100/12-Construction!AZ17/100*Construction!AZ11/Inputs!$F$247)+Inputs!$F$99*Inputs!$F$100/100*Construction!AZ11/Inputs!$F$247+Construction!AZ15*$F$17)</f>
        <v/>
      </c>
      <c r="BA21" s="13">
        <f>Construction!BA14*(Construction!BA32+Construction!BA38+Inputs!$F$107/12+-1*Inputs!BA309*(Inputs!$F$97/100/12-Construction!BA17/100*Construction!BA11/Inputs!$F$247)+Inputs!$F$99*Inputs!$F$100/100*Construction!BA11/Inputs!$F$247+Construction!BA15*$F$17)</f>
        <v/>
      </c>
      <c r="BB21" s="13">
        <f>Construction!BB14*(Construction!BB32+Construction!BB38+Inputs!$F$107/12+-1*Inputs!BB309*(Inputs!$F$97/100/12-Construction!BB17/100*Construction!BB11/Inputs!$F$247)+Inputs!$F$99*Inputs!$F$100/100*Construction!BB11/Inputs!$F$247+Construction!BB15*$F$17)</f>
        <v/>
      </c>
      <c r="BC21" s="13">
        <f>Construction!BC14*(Construction!BC32+Construction!BC38+Inputs!$F$107/12+-1*Inputs!BC309*(Inputs!$F$97/100/12-Construction!BC17/100*Construction!BC11/Inputs!$F$247)+Inputs!$F$99*Inputs!$F$100/100*Construction!BC11/Inputs!$F$247+Construction!BC15*$F$17)</f>
        <v/>
      </c>
      <c r="BD21" s="13">
        <f>Construction!BD14*(Construction!BD32+Construction!BD38+Inputs!$F$107/12+-1*Inputs!BD309*(Inputs!$F$97/100/12-Construction!BD17/100*Construction!BD11/Inputs!$F$247)+Inputs!$F$99*Inputs!$F$100/100*Construction!BD11/Inputs!$F$247+Construction!BD15*$F$17)</f>
        <v/>
      </c>
      <c r="BE21" s="13">
        <f>Construction!BE14*(Construction!BE32+Construction!BE38+Inputs!$F$107/12+-1*Inputs!BE309*(Inputs!$F$97/100/12-Construction!BE17/100*Construction!BE11/Inputs!$F$247)+Inputs!$F$99*Inputs!$F$100/100*Construction!BE11/Inputs!$F$247+Construction!BE15*$F$17)</f>
        <v/>
      </c>
      <c r="BF21" s="13">
        <f>Construction!BF14*(Construction!BF32+Construction!BF38+Inputs!$F$107/12+-1*Inputs!BF309*(Inputs!$F$97/100/12-Construction!BF17/100*Construction!BF11/Inputs!$F$247)+Inputs!$F$99*Inputs!$F$100/100*Construction!BF11/Inputs!$F$247+Construction!BF15*$F$17)</f>
        <v/>
      </c>
      <c r="BG21" s="13">
        <f>Construction!BG14*(Construction!BG32+Construction!BG38+Inputs!$F$107/12+-1*Inputs!BG309*(Inputs!$F$97/100/12-Construction!BG17/100*Construction!BG11/Inputs!$F$247)+Inputs!$F$99*Inputs!$F$100/100*Construction!BG11/Inputs!$F$247+Construction!BG15*$F$17)</f>
        <v/>
      </c>
      <c r="BH21" s="13">
        <f>Construction!BH14*(Construction!BH32+Construction!BH38+Inputs!$F$107/12+-1*Inputs!BH309*(Inputs!$F$97/100/12-Construction!BH17/100*Construction!BH11/Inputs!$F$247)+Inputs!$F$99*Inputs!$F$100/100*Construction!BH11/Inputs!$F$247+Construction!BH15*$F$17)</f>
        <v/>
      </c>
      <c r="BI21" s="13">
        <f>Construction!BI14*(Construction!BI32+Construction!BI38+Inputs!$F$107/12+-1*Inputs!BI309*(Inputs!$F$97/100/12-Construction!BI17/100*Construction!BI11/Inputs!$F$247)+Inputs!$F$99*Inputs!$F$100/100*Construction!BI11/Inputs!$F$247+Construction!BI15*$F$17)</f>
        <v/>
      </c>
      <c r="BJ21" s="13">
        <f>Construction!BJ14*(Construction!BJ32+Construction!BJ38+Inputs!$F$107/12+-1*Inputs!BJ309*(Inputs!$F$97/100/12-Construction!BJ17/100*Construction!BJ11/Inputs!$F$247)+Inputs!$F$99*Inputs!$F$100/100*Construction!BJ11/Inputs!$F$247+Construction!BJ15*$F$17)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3">
        <f>I22+Construction!J14*$F$9/$F$10*(J21+(J19-J20)*I22)</f>
        <v/>
      </c>
      <c r="K22" s="13">
        <f>J22+Construction!K14*$F$9/$F$10*(K21+(K19-K20)*J22)</f>
        <v/>
      </c>
      <c r="L22" s="13">
        <f>K22+Construction!L14*$F$9/$F$10*(L21+(L19-L20)*K22)</f>
        <v/>
      </c>
      <c r="M22" s="13">
        <f>L22+Construction!M14*$F$9/$F$10*(M21+(M19-M20)*L22)</f>
        <v/>
      </c>
      <c r="N22" s="13">
        <f>M22+Construction!N14*$F$9/$F$10*(N21+(N19-N20)*M22)</f>
        <v/>
      </c>
      <c r="O22" s="13">
        <f>N22+Construction!O14*$F$9/$F$10*(O21+(O19-O20)*N22)</f>
        <v/>
      </c>
      <c r="P22" s="13">
        <f>O22+Construction!P14*$F$9/$F$10*(P21+(P19-P20)*O22)</f>
        <v/>
      </c>
      <c r="Q22" s="13">
        <f>P22+Construction!Q14*$F$9/$F$10*(Q21+(Q19-Q20)*P22)</f>
        <v/>
      </c>
      <c r="R22" s="13">
        <f>Q22+Construction!R14*$F$9/$F$10*(R21+(R19-R20)*Q22)</f>
        <v/>
      </c>
      <c r="S22" s="13">
        <f>R22+Construction!S14*$F$9/$F$10*(S21+(S19-S20)*R22)</f>
        <v/>
      </c>
      <c r="T22" s="13">
        <f>S22+Construction!T14*$F$9/$F$10*(T21+(T19-T20)*S22)</f>
        <v/>
      </c>
      <c r="U22" s="13">
        <f>T22+Construction!U14*$F$9/$F$10*(U21+(U19-U20)*T22)</f>
        <v/>
      </c>
      <c r="V22" s="13">
        <f>U22+Construction!V14*$F$9/$F$10*(V21+(V19-V20)*U22)</f>
        <v/>
      </c>
      <c r="W22" s="13">
        <f>V22+Construction!W14*$F$9/$F$10*(W21+(W19-W20)*V22)</f>
        <v/>
      </c>
      <c r="X22" s="13">
        <f>W22+Construction!X14*$F$9/$F$10*(X21+(X19-X20)*W22)</f>
        <v/>
      </c>
      <c r="Y22" s="13">
        <f>X22+Construction!Y14*$F$9/$F$10*(Y21+(Y19-Y20)*X22)</f>
        <v/>
      </c>
      <c r="Z22" s="13">
        <f>Y22+Construction!Z14*$F$9/$F$10*(Z21+(Z19-Z20)*Y22)</f>
        <v/>
      </c>
      <c r="AA22" s="13">
        <f>Z22+Construction!AA14*$F$9/$F$10*(AA21+(AA19-AA20)*Z22)</f>
        <v/>
      </c>
      <c r="AB22" s="13">
        <f>AA22+Construction!AB14*$F$9/$F$10*(AB21+(AB19-AB20)*AA22)</f>
        <v/>
      </c>
      <c r="AC22" s="13">
        <f>AB22+Construction!AC14*$F$9/$F$10*(AC21+(AC19-AC20)*AB22)</f>
        <v/>
      </c>
      <c r="AD22" s="13">
        <f>AC22+Construction!AD14*$F$9/$F$10*(AD21+(AD19-AD20)*AC22)</f>
        <v/>
      </c>
      <c r="AE22" s="13">
        <f>AD22+Construction!AE14*$F$9/$F$10*(AE21+(AE19-AE20)*AD22)</f>
        <v/>
      </c>
      <c r="AF22" s="13">
        <f>AE22+Construction!AF14*$F$9/$F$10*(AF21+(AF19-AF20)*AE22)</f>
        <v/>
      </c>
      <c r="AG22" s="13">
        <f>AF22+Construction!AG14*$F$9/$F$10*(AG21+(AG19-AG20)*AF22)</f>
        <v/>
      </c>
      <c r="AH22" s="13">
        <f>AG22+Construction!AH14*$F$9/$F$10*(AH21+(AH19-AH20)*AG22)</f>
        <v/>
      </c>
      <c r="AI22" s="13">
        <f>AH22+Construction!AI14*$F$9/$F$10*(AI21+(AI19-AI20)*AH22)</f>
        <v/>
      </c>
      <c r="AJ22" s="13">
        <f>AI22+Construction!AJ14*$F$9/$F$10*(AJ21+(AJ19-AJ20)*AI22)</f>
        <v/>
      </c>
      <c r="AK22" s="13">
        <f>AJ22+Construction!AK14*$F$9/$F$10*(AK21+(AK19-AK20)*AJ22)</f>
        <v/>
      </c>
      <c r="AL22" s="13">
        <f>AK22+Construction!AL14*$F$9/$F$10*(AL21+(AL19-AL20)*AK22)</f>
        <v/>
      </c>
      <c r="AM22" s="13">
        <f>AL22+Construction!AM14*$F$9/$F$10*(AM21+(AM19-AM20)*AL22)</f>
        <v/>
      </c>
      <c r="AN22" s="13">
        <f>AM22+Construction!AN14*$F$9/$F$10*(AN21+(AN19-AN20)*AM22)</f>
        <v/>
      </c>
      <c r="AO22" s="13">
        <f>AN22+Construction!AO14*$F$9/$F$10*(AO21+(AO19-AO20)*AN22)</f>
        <v/>
      </c>
      <c r="AP22" s="13">
        <f>AO22+Construction!AP14*$F$9/$F$10*(AP21+(AP19-AP20)*AO22)</f>
        <v/>
      </c>
      <c r="AQ22" s="13">
        <f>AP22+Construction!AQ14*$F$9/$F$10*(AQ21+(AQ19-AQ20)*AP22)</f>
        <v/>
      </c>
      <c r="AR22" s="13">
        <f>AQ22+Construction!AR14*$F$9/$F$10*(AR21+(AR19-AR20)*AQ22)</f>
        <v/>
      </c>
      <c r="AS22" s="13">
        <f>AR22+Construction!AS14*$F$9/$F$10*(AS21+(AS19-AS20)*AR22)</f>
        <v/>
      </c>
      <c r="AT22" s="13">
        <f>AS22+Construction!AT14*$F$9/$F$10*(AT21+(AT19-AT20)*AS22)</f>
        <v/>
      </c>
      <c r="AU22" s="13">
        <f>AT22+Construction!AU14*$F$9/$F$10*(AU21+(AU19-AU20)*AT22)</f>
        <v/>
      </c>
      <c r="AV22" s="13">
        <f>AU22+Construction!AV14*$F$9/$F$10*(AV21+(AV19-AV20)*AU22)</f>
        <v/>
      </c>
      <c r="AW22" s="13">
        <f>AV22+Construction!AW14*$F$9/$F$10*(AW21+(AW19-AW20)*AV22)</f>
        <v/>
      </c>
      <c r="AX22" s="13">
        <f>AW22+Construction!AX14*$F$9/$F$10*(AX21+(AX19-AX20)*AW22)</f>
        <v/>
      </c>
      <c r="AY22" s="13">
        <f>AX22+Construction!AY14*$F$9/$F$10*(AY21+(AY19-AY20)*AX22)</f>
        <v/>
      </c>
      <c r="AZ22" s="13">
        <f>AY22+Construction!AZ14*$F$9/$F$10*(AZ21+(AZ19-AZ20)*AY22)</f>
        <v/>
      </c>
      <c r="BA22" s="13">
        <f>AZ22+Construction!BA14*$F$9/$F$10*(BA21+(BA19-BA20)*AZ22)</f>
        <v/>
      </c>
      <c r="BB22" s="13">
        <f>BA22+Construction!BB14*$F$9/$F$10*(BB21+(BB19-BB20)*BA22)</f>
        <v/>
      </c>
      <c r="BC22" s="13">
        <f>BB22+Construction!BC14*$F$9/$F$10*(BC21+(BC19-BC20)*BB22)</f>
        <v/>
      </c>
      <c r="BD22" s="13">
        <f>BC22+Construction!BD14*$F$9/$F$10*(BD21+(BD19-BD20)*BC22)</f>
        <v/>
      </c>
      <c r="BE22" s="13">
        <f>BD22+Construction!BE14*$F$9/$F$10*(BE21+(BE19-BE20)*BD22)</f>
        <v/>
      </c>
      <c r="BF22" s="13">
        <f>BE22+Construction!BF14*$F$9/$F$10*(BF21+(BF19-BF20)*BE22)</f>
        <v/>
      </c>
      <c r="BG22" s="13">
        <f>BF22+Construction!BG14*$F$9/$F$10*(BG21+(BG19-BG20)*BF22)</f>
        <v/>
      </c>
      <c r="BH22" s="13">
        <f>BG22+Construction!BH14*$F$9/$F$10*(BH21+(BH19-BH20)*BG22)</f>
        <v/>
      </c>
      <c r="BI22" s="13">
        <f>BH22+Construction!BI14*$F$9/$F$10*(BI21+(BI19-BI20)*BH22)</f>
        <v/>
      </c>
      <c r="BJ22" s="13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6">
        <f>I23+Construction!J14*$F$9/$F$10*(J19*I23+J20*($F$9-I23)+IF(Construction!J8=1,$F$9*(Inputs!$F$75*Inputs!$F$89/100+Inputs!$F$76*Inputs!$F$90/100+Inputs!$F$77*Inputs!$F$91/100+Inputs!$F$78*Inputs!$F$92/100),0)+Construction!J15*$F$9*(Inputs!$F$75*$F$12+Inputs!$F$76*$F$13+Inputs!$F$77*$F$14+Inputs!$F$78*$F$15))</f>
        <v/>
      </c>
      <c r="K23" s="16">
        <f>J23+Construction!K14*$F$9/$F$10*(K19*J23+K20*($F$9-J23)+IF(Construction!K8=1,$F$9*(Inputs!$F$75*Inputs!$F$89/100+Inputs!$F$76*Inputs!$F$90/100+Inputs!$F$77*Inputs!$F$91/100+Inputs!$F$78*Inputs!$F$92/100),0)+Construction!K15*$F$9*(Inputs!$F$75*$F$12+Inputs!$F$76*$F$13+Inputs!$F$77*$F$14+Inputs!$F$78*$F$15))</f>
        <v/>
      </c>
      <c r="L23" s="16">
        <f>K23+Construction!L14*$F$9/$F$10*(L19*K23+L20*($F$9-K23)+IF(Construction!L8=1,$F$9*(Inputs!$F$75*Inputs!$F$89/100+Inputs!$F$76*Inputs!$F$90/100+Inputs!$F$77*Inputs!$F$91/100+Inputs!$F$78*Inputs!$F$92/100),0)+Construction!L15*$F$9*(Inputs!$F$75*$F$12+Inputs!$F$76*$F$13+Inputs!$F$77*$F$14+Inputs!$F$78*$F$15))</f>
        <v/>
      </c>
      <c r="M23" s="16">
        <f>L23+Construction!M14*$F$9/$F$10*(M19*L23+M20*($F$9-L23)+IF(Construction!M8=1,$F$9*(Inputs!$F$75*Inputs!$F$89/100+Inputs!$F$76*Inputs!$F$90/100+Inputs!$F$77*Inputs!$F$91/100+Inputs!$F$78*Inputs!$F$92/100),0)+Construction!M15*$F$9*(Inputs!$F$75*$F$12+Inputs!$F$76*$F$13+Inputs!$F$77*$F$14+Inputs!$F$78*$F$15))</f>
        <v/>
      </c>
      <c r="N23" s="16">
        <f>M23+Construction!N14*$F$9/$F$10*(N19*M23+N20*($F$9-M23)+IF(Construction!N8=1,$F$9*(Inputs!$F$75*Inputs!$F$89/100+Inputs!$F$76*Inputs!$F$90/100+Inputs!$F$77*Inputs!$F$91/100+Inputs!$F$78*Inputs!$F$92/100),0)+Construction!N15*$F$9*(Inputs!$F$75*$F$12+Inputs!$F$76*$F$13+Inputs!$F$77*$F$14+Inputs!$F$78*$F$15))</f>
        <v/>
      </c>
      <c r="O23" s="16">
        <f>N23+Construction!O14*$F$9/$F$10*(O19*N23+O20*($F$9-N23)+IF(Construction!O8=1,$F$9*(Inputs!$F$75*Inputs!$F$89/100+Inputs!$F$76*Inputs!$F$90/100+Inputs!$F$77*Inputs!$F$91/100+Inputs!$F$78*Inputs!$F$92/100),0)+Construction!O15*$F$9*(Inputs!$F$75*$F$12+Inputs!$F$76*$F$13+Inputs!$F$77*$F$14+Inputs!$F$78*$F$15))</f>
        <v/>
      </c>
      <c r="P23" s="16">
        <f>O23+Construction!P14*$F$9/$F$10*(P19*O23+P20*($F$9-O23)+IF(Construction!P8=1,$F$9*(Inputs!$F$75*Inputs!$F$89/100+Inputs!$F$76*Inputs!$F$90/100+Inputs!$F$77*Inputs!$F$91/100+Inputs!$F$78*Inputs!$F$92/100),0)+Construction!P15*$F$9*(Inputs!$F$75*$F$12+Inputs!$F$76*$F$13+Inputs!$F$77*$F$14+Inputs!$F$78*$F$15))</f>
        <v/>
      </c>
      <c r="Q23" s="16">
        <f>P23+Construction!Q14*$F$9/$F$10*(Q19*P23+Q20*($F$9-P23)+IF(Construction!Q8=1,$F$9*(Inputs!$F$75*Inputs!$F$89/100+Inputs!$F$76*Inputs!$F$90/100+Inputs!$F$77*Inputs!$F$91/100+Inputs!$F$78*Inputs!$F$92/100),0)+Construction!Q15*$F$9*(Inputs!$F$75*$F$12+Inputs!$F$76*$F$13+Inputs!$F$77*$F$14+Inputs!$F$78*$F$15))</f>
        <v/>
      </c>
      <c r="R23" s="16">
        <f>Q23+Construction!R14*$F$9/$F$10*(R19*Q23+R20*($F$9-Q23)+IF(Construction!R8=1,$F$9*(Inputs!$F$75*Inputs!$F$89/100+Inputs!$F$76*Inputs!$F$90/100+Inputs!$F$77*Inputs!$F$91/100+Inputs!$F$78*Inputs!$F$92/100),0)+Construction!R15*$F$9*(Inputs!$F$75*$F$12+Inputs!$F$76*$F$13+Inputs!$F$77*$F$14+Inputs!$F$78*$F$15))</f>
        <v/>
      </c>
      <c r="S23" s="16">
        <f>R23+Construction!S14*$F$9/$F$10*(S19*R23+S20*($F$9-R23)+IF(Construction!S8=1,$F$9*(Inputs!$F$75*Inputs!$F$89/100+Inputs!$F$76*Inputs!$F$90/100+Inputs!$F$77*Inputs!$F$91/100+Inputs!$F$78*Inputs!$F$92/100),0)+Construction!S15*$F$9*(Inputs!$F$75*$F$12+Inputs!$F$76*$F$13+Inputs!$F$77*$F$14+Inputs!$F$78*$F$15))</f>
        <v/>
      </c>
      <c r="T23" s="16">
        <f>S23+Construction!T14*$F$9/$F$10*(T19*S23+T20*($F$9-S23)+IF(Construction!T8=1,$F$9*(Inputs!$F$75*Inputs!$F$89/100+Inputs!$F$76*Inputs!$F$90/100+Inputs!$F$77*Inputs!$F$91/100+Inputs!$F$78*Inputs!$F$92/100),0)+Construction!T15*$F$9*(Inputs!$F$75*$F$12+Inputs!$F$76*$F$13+Inputs!$F$77*$F$14+Inputs!$F$78*$F$15))</f>
        <v/>
      </c>
      <c r="U23" s="16">
        <f>T23+Construction!U14*$F$9/$F$10*(U19*T23+U20*($F$9-T23)+IF(Construction!U8=1,$F$9*(Inputs!$F$75*Inputs!$F$89/100+Inputs!$F$76*Inputs!$F$90/100+Inputs!$F$77*Inputs!$F$91/100+Inputs!$F$78*Inputs!$F$92/100),0)+Construction!U15*$F$9*(Inputs!$F$75*$F$12+Inputs!$F$76*$F$13+Inputs!$F$77*$F$14+Inputs!$F$78*$F$15))</f>
        <v/>
      </c>
      <c r="V23" s="16">
        <f>U23+Construction!V14*$F$9/$F$10*(V19*U23+V20*($F$9-U23)+IF(Construction!V8=1,$F$9*(Inputs!$F$75*Inputs!$F$89/100+Inputs!$F$76*Inputs!$F$90/100+Inputs!$F$77*Inputs!$F$91/100+Inputs!$F$78*Inputs!$F$92/100),0)+Construction!V15*$F$9*(Inputs!$F$75*$F$12+Inputs!$F$76*$F$13+Inputs!$F$77*$F$14+Inputs!$F$78*$F$15))</f>
        <v/>
      </c>
      <c r="W23" s="16">
        <f>V23+Construction!W14*$F$9/$F$10*(W19*V23+W20*($F$9-V23)+IF(Construction!W8=1,$F$9*(Inputs!$F$75*Inputs!$F$89/100+Inputs!$F$76*Inputs!$F$90/100+Inputs!$F$77*Inputs!$F$91/100+Inputs!$F$78*Inputs!$F$92/100),0)+Construction!W15*$F$9*(Inputs!$F$75*$F$12+Inputs!$F$76*$F$13+Inputs!$F$77*$F$14+Inputs!$F$78*$F$15))</f>
        <v/>
      </c>
      <c r="X23" s="16">
        <f>W23+Construction!X14*$F$9/$F$10*(X19*W23+X20*($F$9-W23)+IF(Construction!X8=1,$F$9*(Inputs!$F$75*Inputs!$F$89/100+Inputs!$F$76*Inputs!$F$90/100+Inputs!$F$77*Inputs!$F$91/100+Inputs!$F$78*Inputs!$F$92/100),0)+Construction!X15*$F$9*(Inputs!$F$75*$F$12+Inputs!$F$76*$F$13+Inputs!$F$77*$F$14+Inputs!$F$78*$F$15))</f>
        <v/>
      </c>
      <c r="Y23" s="16">
        <f>X23+Construction!Y14*$F$9/$F$10*(Y19*X23+Y20*($F$9-X23)+IF(Construction!Y8=1,$F$9*(Inputs!$F$75*Inputs!$F$89/100+Inputs!$F$76*Inputs!$F$90/100+Inputs!$F$77*Inputs!$F$91/100+Inputs!$F$78*Inputs!$F$92/100),0)+Construction!Y15*$F$9*(Inputs!$F$75*$F$12+Inputs!$F$76*$F$13+Inputs!$F$77*$F$14+Inputs!$F$78*$F$15))</f>
        <v/>
      </c>
      <c r="Z23" s="16">
        <f>Y23+Construction!Z14*$F$9/$F$10*(Z19*Y23+Z20*($F$9-Y23)+IF(Construction!Z8=1,$F$9*(Inputs!$F$75*Inputs!$F$89/100+Inputs!$F$76*Inputs!$F$90/100+Inputs!$F$77*Inputs!$F$91/100+Inputs!$F$78*Inputs!$F$92/100),0)+Construction!Z15*$F$9*(Inputs!$F$75*$F$12+Inputs!$F$76*$F$13+Inputs!$F$77*$F$14+Inputs!$F$78*$F$15))</f>
        <v/>
      </c>
      <c r="AA23" s="16">
        <f>Z23+Construction!AA14*$F$9/$F$10*(AA19*Z23+AA20*($F$9-Z23)+IF(Construction!AA8=1,$F$9*(Inputs!$F$75*Inputs!$F$89/100+Inputs!$F$76*Inputs!$F$90/100+Inputs!$F$77*Inputs!$F$91/100+Inputs!$F$78*Inputs!$F$92/100),0)+Construction!AA15*$F$9*(Inputs!$F$75*$F$12+Inputs!$F$76*$F$13+Inputs!$F$77*$F$14+Inputs!$F$78*$F$15))</f>
        <v/>
      </c>
      <c r="AB23" s="16">
        <f>AA23+Construction!AB14*$F$9/$F$10*(AB19*AA23+AB20*($F$9-AA23)+IF(Construction!AB8=1,$F$9*(Inputs!$F$75*Inputs!$F$89/100+Inputs!$F$76*Inputs!$F$90/100+Inputs!$F$77*Inputs!$F$91/100+Inputs!$F$78*Inputs!$F$92/100),0)+Construction!AB15*$F$9*(Inputs!$F$75*$F$12+Inputs!$F$76*$F$13+Inputs!$F$77*$F$14+Inputs!$F$78*$F$15))</f>
        <v/>
      </c>
      <c r="AC23" s="16">
        <f>AB23+Construction!AC14*$F$9/$F$10*(AC19*AB23+AC20*($F$9-AB23)+IF(Construction!AC8=1,$F$9*(Inputs!$F$75*Inputs!$F$89/100+Inputs!$F$76*Inputs!$F$90/100+Inputs!$F$77*Inputs!$F$91/100+Inputs!$F$78*Inputs!$F$92/100),0)+Construction!AC15*$F$9*(Inputs!$F$75*$F$12+Inputs!$F$76*$F$13+Inputs!$F$77*$F$14+Inputs!$F$78*$F$15))</f>
        <v/>
      </c>
      <c r="AD23" s="16">
        <f>AC23+Construction!AD14*$F$9/$F$10*(AD19*AC23+AD20*($F$9-AC23)+IF(Construction!AD8=1,$F$9*(Inputs!$F$75*Inputs!$F$89/100+Inputs!$F$76*Inputs!$F$90/100+Inputs!$F$77*Inputs!$F$91/100+Inputs!$F$78*Inputs!$F$92/100),0)+Construction!AD15*$F$9*(Inputs!$F$75*$F$12+Inputs!$F$76*$F$13+Inputs!$F$77*$F$14+Inputs!$F$78*$F$15))</f>
        <v/>
      </c>
      <c r="AE23" s="16">
        <f>AD23+Construction!AE14*$F$9/$F$10*(AE19*AD23+AE20*($F$9-AD23)+IF(Construction!AE8=1,$F$9*(Inputs!$F$75*Inputs!$F$89/100+Inputs!$F$76*Inputs!$F$90/100+Inputs!$F$77*Inputs!$F$91/100+Inputs!$F$78*Inputs!$F$92/100),0)+Construction!AE15*$F$9*(Inputs!$F$75*$F$12+Inputs!$F$76*$F$13+Inputs!$F$77*$F$14+Inputs!$F$78*$F$15))</f>
        <v/>
      </c>
      <c r="AF23" s="16">
        <f>AE23+Construction!AF14*$F$9/$F$10*(AF19*AE23+AF20*($F$9-AE23)+IF(Construction!AF8=1,$F$9*(Inputs!$F$75*Inputs!$F$89/100+Inputs!$F$76*Inputs!$F$90/100+Inputs!$F$77*Inputs!$F$91/100+Inputs!$F$78*Inputs!$F$92/100),0)+Construction!AF15*$F$9*(Inputs!$F$75*$F$12+Inputs!$F$76*$F$13+Inputs!$F$77*$F$14+Inputs!$F$78*$F$15))</f>
        <v/>
      </c>
      <c r="AG23" s="16">
        <f>AF23+Construction!AG14*$F$9/$F$10*(AG19*AF23+AG20*($F$9-AF23)+IF(Construction!AG8=1,$F$9*(Inputs!$F$75*Inputs!$F$89/100+Inputs!$F$76*Inputs!$F$90/100+Inputs!$F$77*Inputs!$F$91/100+Inputs!$F$78*Inputs!$F$92/100),0)+Construction!AG15*$F$9*(Inputs!$F$75*$F$12+Inputs!$F$76*$F$13+Inputs!$F$77*$F$14+Inputs!$F$78*$F$15))</f>
        <v/>
      </c>
      <c r="AH23" s="16">
        <f>AG23+Construction!AH14*$F$9/$F$10*(AH19*AG23+AH20*($F$9-AG23)+IF(Construction!AH8=1,$F$9*(Inputs!$F$75*Inputs!$F$89/100+Inputs!$F$76*Inputs!$F$90/100+Inputs!$F$77*Inputs!$F$91/100+Inputs!$F$78*Inputs!$F$92/100),0)+Construction!AH15*$F$9*(Inputs!$F$75*$F$12+Inputs!$F$76*$F$13+Inputs!$F$77*$F$14+Inputs!$F$78*$F$15))</f>
        <v/>
      </c>
      <c r="AI23" s="16">
        <f>AH23+Construction!AI14*$F$9/$F$10*(AI19*AH23+AI20*($F$9-AH23)+IF(Construction!AI8=1,$F$9*(Inputs!$F$75*Inputs!$F$89/100+Inputs!$F$76*Inputs!$F$90/100+Inputs!$F$77*Inputs!$F$91/100+Inputs!$F$78*Inputs!$F$92/100),0)+Construction!AI15*$F$9*(Inputs!$F$75*$F$12+Inputs!$F$76*$F$13+Inputs!$F$77*$F$14+Inputs!$F$78*$F$15))</f>
        <v/>
      </c>
      <c r="AJ23" s="16">
        <f>AI23+Construction!AJ14*$F$9/$F$10*(AJ19*AI23+AJ20*($F$9-AI23)+IF(Construction!AJ8=1,$F$9*(Inputs!$F$75*Inputs!$F$89/100+Inputs!$F$76*Inputs!$F$90/100+Inputs!$F$77*Inputs!$F$91/100+Inputs!$F$78*Inputs!$F$92/100),0)+Construction!AJ15*$F$9*(Inputs!$F$75*$F$12+Inputs!$F$76*$F$13+Inputs!$F$77*$F$14+Inputs!$F$78*$F$15))</f>
        <v/>
      </c>
      <c r="AK23" s="16">
        <f>AJ23+Construction!AK14*$F$9/$F$10*(AK19*AJ23+AK20*($F$9-AJ23)+IF(Construction!AK8=1,$F$9*(Inputs!$F$75*Inputs!$F$89/100+Inputs!$F$76*Inputs!$F$90/100+Inputs!$F$77*Inputs!$F$91/100+Inputs!$F$78*Inputs!$F$92/100),0)+Construction!AK15*$F$9*(Inputs!$F$75*$F$12+Inputs!$F$76*$F$13+Inputs!$F$77*$F$14+Inputs!$F$78*$F$15))</f>
        <v/>
      </c>
      <c r="AL23" s="16">
        <f>AK23+Construction!AL14*$F$9/$F$10*(AL19*AK23+AL20*($F$9-AK23)+IF(Construction!AL8=1,$F$9*(Inputs!$F$75*Inputs!$F$89/100+Inputs!$F$76*Inputs!$F$90/100+Inputs!$F$77*Inputs!$F$91/100+Inputs!$F$78*Inputs!$F$92/100),0)+Construction!AL15*$F$9*(Inputs!$F$75*$F$12+Inputs!$F$76*$F$13+Inputs!$F$77*$F$14+Inputs!$F$78*$F$15))</f>
        <v/>
      </c>
      <c r="AM23" s="16">
        <f>AL23+Construction!AM14*$F$9/$F$10*(AM19*AL23+AM20*($F$9-AL23)+IF(Construction!AM8=1,$F$9*(Inputs!$F$75*Inputs!$F$89/100+Inputs!$F$76*Inputs!$F$90/100+Inputs!$F$77*Inputs!$F$91/100+Inputs!$F$78*Inputs!$F$92/100),0)+Construction!AM15*$F$9*(Inputs!$F$75*$F$12+Inputs!$F$76*$F$13+Inputs!$F$77*$F$14+Inputs!$F$78*$F$15))</f>
        <v/>
      </c>
      <c r="AN23" s="16">
        <f>AM23+Construction!AN14*$F$9/$F$10*(AN19*AM23+AN20*($F$9-AM23)+IF(Construction!AN8=1,$F$9*(Inputs!$F$75*Inputs!$F$89/100+Inputs!$F$76*Inputs!$F$90/100+Inputs!$F$77*Inputs!$F$91/100+Inputs!$F$78*Inputs!$F$92/100),0)+Construction!AN15*$F$9*(Inputs!$F$75*$F$12+Inputs!$F$76*$F$13+Inputs!$F$77*$F$14+Inputs!$F$78*$F$15))</f>
        <v/>
      </c>
      <c r="AO23" s="16">
        <f>AN23+Construction!AO14*$F$9/$F$10*(AO19*AN23+AO20*($F$9-AN23)+IF(Construction!AO8=1,$F$9*(Inputs!$F$75*Inputs!$F$89/100+Inputs!$F$76*Inputs!$F$90/100+Inputs!$F$77*Inputs!$F$91/100+Inputs!$F$78*Inputs!$F$92/100),0)+Construction!AO15*$F$9*(Inputs!$F$75*$F$12+Inputs!$F$76*$F$13+Inputs!$F$77*$F$14+Inputs!$F$78*$F$15))</f>
        <v/>
      </c>
      <c r="AP23" s="16">
        <f>AO23+Construction!AP14*$F$9/$F$10*(AP19*AO23+AP20*($F$9-AO23)+IF(Construction!AP8=1,$F$9*(Inputs!$F$75*Inputs!$F$89/100+Inputs!$F$76*Inputs!$F$90/100+Inputs!$F$77*Inputs!$F$91/100+Inputs!$F$78*Inputs!$F$92/100),0)+Construction!AP15*$F$9*(Inputs!$F$75*$F$12+Inputs!$F$76*$F$13+Inputs!$F$77*$F$14+Inputs!$F$78*$F$15))</f>
        <v/>
      </c>
      <c r="AQ23" s="16">
        <f>AP23+Construction!AQ14*$F$9/$F$10*(AQ19*AP23+AQ20*($F$9-AP23)+IF(Construction!AQ8=1,$F$9*(Inputs!$F$75*Inputs!$F$89/100+Inputs!$F$76*Inputs!$F$90/100+Inputs!$F$77*Inputs!$F$91/100+Inputs!$F$78*Inputs!$F$92/100),0)+Construction!AQ15*$F$9*(Inputs!$F$75*$F$12+Inputs!$F$76*$F$13+Inputs!$F$77*$F$14+Inputs!$F$78*$F$15))</f>
        <v/>
      </c>
      <c r="AR23" s="16">
        <f>AQ23+Construction!AR14*$F$9/$F$10*(AR19*AQ23+AR20*($F$9-AQ23)+IF(Construction!AR8=1,$F$9*(Inputs!$F$75*Inputs!$F$89/100+Inputs!$F$76*Inputs!$F$90/100+Inputs!$F$77*Inputs!$F$91/100+Inputs!$F$78*Inputs!$F$92/100),0)+Construction!AR15*$F$9*(Inputs!$F$75*$F$12+Inputs!$F$76*$F$13+Inputs!$F$77*$F$14+Inputs!$F$78*$F$15))</f>
        <v/>
      </c>
      <c r="AS23" s="16">
        <f>AR23+Construction!AS14*$F$9/$F$10*(AS19*AR23+AS20*($F$9-AR23)+IF(Construction!AS8=1,$F$9*(Inputs!$F$75*Inputs!$F$89/100+Inputs!$F$76*Inputs!$F$90/100+Inputs!$F$77*Inputs!$F$91/100+Inputs!$F$78*Inputs!$F$92/100),0)+Construction!AS15*$F$9*(Inputs!$F$75*$F$12+Inputs!$F$76*$F$13+Inputs!$F$77*$F$14+Inputs!$F$78*$F$15))</f>
        <v/>
      </c>
      <c r="AT23" s="16">
        <f>AS23+Construction!AT14*$F$9/$F$10*(AT19*AS23+AT20*($F$9-AS23)+IF(Construction!AT8=1,$F$9*(Inputs!$F$75*Inputs!$F$89/100+Inputs!$F$76*Inputs!$F$90/100+Inputs!$F$77*Inputs!$F$91/100+Inputs!$F$78*Inputs!$F$92/100),0)+Construction!AT15*$F$9*(Inputs!$F$75*$F$12+Inputs!$F$76*$F$13+Inputs!$F$77*$F$14+Inputs!$F$78*$F$15))</f>
        <v/>
      </c>
      <c r="AU23" s="16">
        <f>AT23+Construction!AU14*$F$9/$F$10*(AU19*AT23+AU20*($F$9-AT23)+IF(Construction!AU8=1,$F$9*(Inputs!$F$75*Inputs!$F$89/100+Inputs!$F$76*Inputs!$F$90/100+Inputs!$F$77*Inputs!$F$91/100+Inputs!$F$78*Inputs!$F$92/100),0)+Construction!AU15*$F$9*(Inputs!$F$75*$F$12+Inputs!$F$76*$F$13+Inputs!$F$77*$F$14+Inputs!$F$78*$F$15))</f>
        <v/>
      </c>
      <c r="AV23" s="16">
        <f>AU23+Construction!AV14*$F$9/$F$10*(AV19*AU23+AV20*($F$9-AU23)+IF(Construction!AV8=1,$F$9*(Inputs!$F$75*Inputs!$F$89/100+Inputs!$F$76*Inputs!$F$90/100+Inputs!$F$77*Inputs!$F$91/100+Inputs!$F$78*Inputs!$F$92/100),0)+Construction!AV15*$F$9*(Inputs!$F$75*$F$12+Inputs!$F$76*$F$13+Inputs!$F$77*$F$14+Inputs!$F$78*$F$15))</f>
        <v/>
      </c>
      <c r="AW23" s="16">
        <f>AV23+Construction!AW14*$F$9/$F$10*(AW19*AV23+AW20*($F$9-AV23)+IF(Construction!AW8=1,$F$9*(Inputs!$F$75*Inputs!$F$89/100+Inputs!$F$76*Inputs!$F$90/100+Inputs!$F$77*Inputs!$F$91/100+Inputs!$F$78*Inputs!$F$92/100),0)+Construction!AW15*$F$9*(Inputs!$F$75*$F$12+Inputs!$F$76*$F$13+Inputs!$F$77*$F$14+Inputs!$F$78*$F$15))</f>
        <v/>
      </c>
      <c r="AX23" s="16">
        <f>AW23+Construction!AX14*$F$9/$F$10*(AX19*AW23+AX20*($F$9-AW23)+IF(Construction!AX8=1,$F$9*(Inputs!$F$75*Inputs!$F$89/100+Inputs!$F$76*Inputs!$F$90/100+Inputs!$F$77*Inputs!$F$91/100+Inputs!$F$78*Inputs!$F$92/100),0)+Construction!AX15*$F$9*(Inputs!$F$75*$F$12+Inputs!$F$76*$F$13+Inputs!$F$77*$F$14+Inputs!$F$78*$F$15))</f>
        <v/>
      </c>
      <c r="AY23" s="16">
        <f>AX23+Construction!AY14*$F$9/$F$10*(AY19*AX23+AY20*($F$9-AX23)+IF(Construction!AY8=1,$F$9*(Inputs!$F$75*Inputs!$F$89/100+Inputs!$F$76*Inputs!$F$90/100+Inputs!$F$77*Inputs!$F$91/100+Inputs!$F$78*Inputs!$F$92/100),0)+Construction!AY15*$F$9*(Inputs!$F$75*$F$12+Inputs!$F$76*$F$13+Inputs!$F$77*$F$14+Inputs!$F$78*$F$15))</f>
        <v/>
      </c>
      <c r="AZ23" s="16">
        <f>AY23+Construction!AZ14*$F$9/$F$10*(AZ19*AY23+AZ20*($F$9-AY23)+IF(Construction!AZ8=1,$F$9*(Inputs!$F$75*Inputs!$F$89/100+Inputs!$F$76*Inputs!$F$90/100+Inputs!$F$77*Inputs!$F$91/100+Inputs!$F$78*Inputs!$F$92/100),0)+Construction!AZ15*$F$9*(Inputs!$F$75*$F$12+Inputs!$F$76*$F$13+Inputs!$F$77*$F$14+Inputs!$F$78*$F$15))</f>
        <v/>
      </c>
      <c r="BA23" s="16">
        <f>AZ23+Construction!BA14*$F$9/$F$10*(BA19*AZ23+BA20*($F$9-AZ23)+IF(Construction!BA8=1,$F$9*(Inputs!$F$75*Inputs!$F$89/100+Inputs!$F$76*Inputs!$F$90/100+Inputs!$F$77*Inputs!$F$91/100+Inputs!$F$78*Inputs!$F$92/100),0)+Construction!BA15*$F$9*(Inputs!$F$75*$F$12+Inputs!$F$76*$F$13+Inputs!$F$77*$F$14+Inputs!$F$78*$F$15))</f>
        <v/>
      </c>
      <c r="BB23" s="16">
        <f>BA23+Construction!BB14*$F$9/$F$10*(BB19*BA23+BB20*($F$9-BA23)+IF(Construction!BB8=1,$F$9*(Inputs!$F$75*Inputs!$F$89/100+Inputs!$F$76*Inputs!$F$90/100+Inputs!$F$77*Inputs!$F$91/100+Inputs!$F$78*Inputs!$F$92/100),0)+Construction!BB15*$F$9*(Inputs!$F$75*$F$12+Inputs!$F$76*$F$13+Inputs!$F$77*$F$14+Inputs!$F$78*$F$15))</f>
        <v/>
      </c>
      <c r="BC23" s="16">
        <f>BB23+Construction!BC14*$F$9/$F$10*(BC19*BB23+BC20*($F$9-BB23)+IF(Construction!BC8=1,$F$9*(Inputs!$F$75*Inputs!$F$89/100+Inputs!$F$76*Inputs!$F$90/100+Inputs!$F$77*Inputs!$F$91/100+Inputs!$F$78*Inputs!$F$92/100),0)+Construction!BC15*$F$9*(Inputs!$F$75*$F$12+Inputs!$F$76*$F$13+Inputs!$F$77*$F$14+Inputs!$F$78*$F$15))</f>
        <v/>
      </c>
      <c r="BD23" s="16">
        <f>BC23+Construction!BD14*$F$9/$F$10*(BD19*BC23+BD20*($F$9-BC23)+IF(Construction!BD8=1,$F$9*(Inputs!$F$75*Inputs!$F$89/100+Inputs!$F$76*Inputs!$F$90/100+Inputs!$F$77*Inputs!$F$91/100+Inputs!$F$78*Inputs!$F$92/100),0)+Construction!BD15*$F$9*(Inputs!$F$75*$F$12+Inputs!$F$76*$F$13+Inputs!$F$77*$F$14+Inputs!$F$78*$F$15))</f>
        <v/>
      </c>
      <c r="BE23" s="16">
        <f>BD23+Construction!BE14*$F$9/$F$10*(BE19*BD23+BE20*($F$9-BD23)+IF(Construction!BE8=1,$F$9*(Inputs!$F$75*Inputs!$F$89/100+Inputs!$F$76*Inputs!$F$90/100+Inputs!$F$77*Inputs!$F$91/100+Inputs!$F$78*Inputs!$F$92/100),0)+Construction!BE15*$F$9*(Inputs!$F$75*$F$12+Inputs!$F$76*$F$13+Inputs!$F$77*$F$14+Inputs!$F$78*$F$15))</f>
        <v/>
      </c>
      <c r="BF23" s="16">
        <f>BE23+Construction!BF14*$F$9/$F$10*(BF19*BE23+BF20*($F$9-BE23)+IF(Construction!BF8=1,$F$9*(Inputs!$F$75*Inputs!$F$89/100+Inputs!$F$76*Inputs!$F$90/100+Inputs!$F$77*Inputs!$F$91/100+Inputs!$F$78*Inputs!$F$92/100),0)+Construction!BF15*$F$9*(Inputs!$F$75*$F$12+Inputs!$F$76*$F$13+Inputs!$F$77*$F$14+Inputs!$F$78*$F$15))</f>
        <v/>
      </c>
      <c r="BG23" s="16">
        <f>BF23+Construction!BG14*$F$9/$F$10*(BG19*BF23+BG20*($F$9-BF23)+IF(Construction!BG8=1,$F$9*(Inputs!$F$75*Inputs!$F$89/100+Inputs!$F$76*Inputs!$F$90/100+Inputs!$F$77*Inputs!$F$91/100+Inputs!$F$78*Inputs!$F$92/100),0)+Construction!BG15*$F$9*(Inputs!$F$75*$F$12+Inputs!$F$76*$F$13+Inputs!$F$77*$F$14+Inputs!$F$78*$F$15))</f>
        <v/>
      </c>
      <c r="BH23" s="16">
        <f>BG23+Construction!BH14*$F$9/$F$10*(BH19*BG23+BH20*($F$9-BG23)+IF(Construction!BH8=1,$F$9*(Inputs!$F$75*Inputs!$F$89/100+Inputs!$F$76*Inputs!$F$90/100+Inputs!$F$77*Inputs!$F$91/100+Inputs!$F$78*Inputs!$F$92/100),0)+Construction!BH15*$F$9*(Inputs!$F$75*$F$12+Inputs!$F$76*$F$13+Inputs!$F$77*$F$14+Inputs!$F$78*$F$15))</f>
        <v/>
      </c>
      <c r="BI23" s="16">
        <f>BH23+Construction!BI14*$F$9/$F$10*(BI19*BH23+BI20*($F$9-BH23)+IF(Construction!BI8=1,$F$9*(Inputs!$F$75*Inputs!$F$89/100+Inputs!$F$76*Inputs!$F$90/100+Inputs!$F$77*Inputs!$F$91/100+Inputs!$F$78*Inputs!$F$92/100),0)+Construction!BI15*$F$9*(Inputs!$F$75*$F$12+Inputs!$F$76*$F$13+Inputs!$F$77*$F$14+Inputs!$F$78*$F$15))</f>
        <v/>
      </c>
      <c r="BJ23" s="16">
        <f>BI23+Construction!BJ14*$F$9/$F$10*(BJ19*BI23+BJ20*($F$9-BI23)+IF(Construction!BJ8=1,$F$9*(Inputs!$F$75*Inputs!$F$89/100+Inputs!$F$76*Inputs!$F$90/100+Inputs!$F$77*Inputs!$F$91/100+Inputs!$F$78*Inputs!$F$92/100),0)+Construction!BJ15*$F$9*(Inputs!$F$75*$F$12+Inputs!$F$76*$F$13+Inputs!$F$77*$F$14+Inputs!$F$78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7">
        <f>INDEX(Funding!$J$22:$BJ$22,1,Time!$F$14)/(Funding!$F$9-INDEX(Funding!$J$23:$BJ$23,1,Time!$F$14))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7">
        <f>IF(Inputs!$F$51&lt;&gt;1,Funding!$F$8*Funding!$F$24,Inputs!$F$113)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1">
        <f>(Inputs!$F$113-SUM($J$44:$BJ$44))/(Inputs!$F$113+Inputs!$F$114-SUM($J$44:$BJ$44))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3">
        <f>I61</f>
        <v/>
      </c>
      <c r="K28" s="13">
        <f>J61</f>
        <v/>
      </c>
      <c r="L28" s="13">
        <f>K61</f>
        <v/>
      </c>
      <c r="M28" s="13">
        <f>L61</f>
        <v/>
      </c>
      <c r="N28" s="13">
        <f>M61</f>
        <v/>
      </c>
      <c r="O28" s="13">
        <f>N61</f>
        <v/>
      </c>
      <c r="P28" s="13">
        <f>O61</f>
        <v/>
      </c>
      <c r="Q28" s="13">
        <f>P61</f>
        <v/>
      </c>
      <c r="R28" s="13">
        <f>Q61</f>
        <v/>
      </c>
      <c r="S28" s="13">
        <f>R61</f>
        <v/>
      </c>
      <c r="T28" s="13">
        <f>S61</f>
        <v/>
      </c>
      <c r="U28" s="13">
        <f>T61</f>
        <v/>
      </c>
      <c r="V28" s="13">
        <f>U61</f>
        <v/>
      </c>
      <c r="W28" s="13">
        <f>V61</f>
        <v/>
      </c>
      <c r="X28" s="13">
        <f>W61</f>
        <v/>
      </c>
      <c r="Y28" s="13">
        <f>X61</f>
        <v/>
      </c>
      <c r="Z28" s="13">
        <f>Y61</f>
        <v/>
      </c>
      <c r="AA28" s="13">
        <f>Z61</f>
        <v/>
      </c>
      <c r="AB28" s="13">
        <f>AA61</f>
        <v/>
      </c>
      <c r="AC28" s="13">
        <f>AB61</f>
        <v/>
      </c>
      <c r="AD28" s="13">
        <f>AC61</f>
        <v/>
      </c>
      <c r="AE28" s="13">
        <f>AD61</f>
        <v/>
      </c>
      <c r="AF28" s="13">
        <f>AE61</f>
        <v/>
      </c>
      <c r="AG28" s="13">
        <f>AF61</f>
        <v/>
      </c>
      <c r="AH28" s="13">
        <f>AG61</f>
        <v/>
      </c>
      <c r="AI28" s="13">
        <f>AH61</f>
        <v/>
      </c>
      <c r="AJ28" s="13">
        <f>AI61</f>
        <v/>
      </c>
      <c r="AK28" s="13">
        <f>AJ61</f>
        <v/>
      </c>
      <c r="AL28" s="13">
        <f>AK61</f>
        <v/>
      </c>
      <c r="AM28" s="13">
        <f>AL61</f>
        <v/>
      </c>
      <c r="AN28" s="13">
        <f>AM61</f>
        <v/>
      </c>
      <c r="AO28" s="13">
        <f>AN61</f>
        <v/>
      </c>
      <c r="AP28" s="13">
        <f>AO61</f>
        <v/>
      </c>
      <c r="AQ28" s="13">
        <f>AP61</f>
        <v/>
      </c>
      <c r="AR28" s="13">
        <f>AQ61</f>
        <v/>
      </c>
      <c r="AS28" s="13">
        <f>AR61</f>
        <v/>
      </c>
      <c r="AT28" s="13">
        <f>AS61</f>
        <v/>
      </c>
      <c r="AU28" s="13">
        <f>AT61</f>
        <v/>
      </c>
      <c r="AV28" s="13">
        <f>AU61</f>
        <v/>
      </c>
      <c r="AW28" s="13">
        <f>AV61</f>
        <v/>
      </c>
      <c r="AX28" s="13">
        <f>AW61</f>
        <v/>
      </c>
      <c r="AY28" s="13">
        <f>AX61</f>
        <v/>
      </c>
      <c r="AZ28" s="13">
        <f>AY61</f>
        <v/>
      </c>
      <c r="BA28" s="13">
        <f>AZ61</f>
        <v/>
      </c>
      <c r="BB28" s="13">
        <f>BA61</f>
        <v/>
      </c>
      <c r="BC28" s="13">
        <f>BB61</f>
        <v/>
      </c>
      <c r="BD28" s="13">
        <f>BC61</f>
        <v/>
      </c>
      <c r="BE28" s="13">
        <f>BD61</f>
        <v/>
      </c>
      <c r="BF28" s="13">
        <f>BE61</f>
        <v/>
      </c>
      <c r="BG28" s="13">
        <f>BF61</f>
        <v/>
      </c>
      <c r="BH28" s="13">
        <f>BG61</f>
        <v/>
      </c>
      <c r="BI28" s="13">
        <f>BH61</f>
        <v/>
      </c>
      <c r="BJ28" s="13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3">
        <f>I62</f>
        <v/>
      </c>
      <c r="K29" s="13">
        <f>J62</f>
        <v/>
      </c>
      <c r="L29" s="13">
        <f>K62</f>
        <v/>
      </c>
      <c r="M29" s="13">
        <f>L62</f>
        <v/>
      </c>
      <c r="N29" s="13">
        <f>M62</f>
        <v/>
      </c>
      <c r="O29" s="13">
        <f>N62</f>
        <v/>
      </c>
      <c r="P29" s="13">
        <f>O62</f>
        <v/>
      </c>
      <c r="Q29" s="13">
        <f>P62</f>
        <v/>
      </c>
      <c r="R29" s="13">
        <f>Q62</f>
        <v/>
      </c>
      <c r="S29" s="13">
        <f>R62</f>
        <v/>
      </c>
      <c r="T29" s="13">
        <f>S62</f>
        <v/>
      </c>
      <c r="U29" s="13">
        <f>T62</f>
        <v/>
      </c>
      <c r="V29" s="13">
        <f>U62</f>
        <v/>
      </c>
      <c r="W29" s="13">
        <f>V62</f>
        <v/>
      </c>
      <c r="X29" s="13">
        <f>W62</f>
        <v/>
      </c>
      <c r="Y29" s="13">
        <f>X62</f>
        <v/>
      </c>
      <c r="Z29" s="13">
        <f>Y62</f>
        <v/>
      </c>
      <c r="AA29" s="13">
        <f>Z62</f>
        <v/>
      </c>
      <c r="AB29" s="13">
        <f>AA62</f>
        <v/>
      </c>
      <c r="AC29" s="13">
        <f>AB62</f>
        <v/>
      </c>
      <c r="AD29" s="13">
        <f>AC62</f>
        <v/>
      </c>
      <c r="AE29" s="13">
        <f>AD62</f>
        <v/>
      </c>
      <c r="AF29" s="13">
        <f>AE62</f>
        <v/>
      </c>
      <c r="AG29" s="13">
        <f>AF62</f>
        <v/>
      </c>
      <c r="AH29" s="13">
        <f>AG62</f>
        <v/>
      </c>
      <c r="AI29" s="13">
        <f>AH62</f>
        <v/>
      </c>
      <c r="AJ29" s="13">
        <f>AI62</f>
        <v/>
      </c>
      <c r="AK29" s="13">
        <f>AJ62</f>
        <v/>
      </c>
      <c r="AL29" s="13">
        <f>AK62</f>
        <v/>
      </c>
      <c r="AM29" s="13">
        <f>AL62</f>
        <v/>
      </c>
      <c r="AN29" s="13">
        <f>AM62</f>
        <v/>
      </c>
      <c r="AO29" s="13">
        <f>AN62</f>
        <v/>
      </c>
      <c r="AP29" s="13">
        <f>AO62</f>
        <v/>
      </c>
      <c r="AQ29" s="13">
        <f>AP62</f>
        <v/>
      </c>
      <c r="AR29" s="13">
        <f>AQ62</f>
        <v/>
      </c>
      <c r="AS29" s="13">
        <f>AR62</f>
        <v/>
      </c>
      <c r="AT29" s="13">
        <f>AS62</f>
        <v/>
      </c>
      <c r="AU29" s="13">
        <f>AT62</f>
        <v/>
      </c>
      <c r="AV29" s="13">
        <f>AU62</f>
        <v/>
      </c>
      <c r="AW29" s="13">
        <f>AV62</f>
        <v/>
      </c>
      <c r="AX29" s="13">
        <f>AW62</f>
        <v/>
      </c>
      <c r="AY29" s="13">
        <f>AX62</f>
        <v/>
      </c>
      <c r="AZ29" s="13">
        <f>AY62</f>
        <v/>
      </c>
      <c r="BA29" s="13">
        <f>AZ62</f>
        <v/>
      </c>
      <c r="BB29" s="13">
        <f>BA62</f>
        <v/>
      </c>
      <c r="BC29" s="13">
        <f>BB62</f>
        <v/>
      </c>
      <c r="BD29" s="13">
        <f>BC62</f>
        <v/>
      </c>
      <c r="BE29" s="13">
        <f>BD62</f>
        <v/>
      </c>
      <c r="BF29" s="13">
        <f>BE62</f>
        <v/>
      </c>
      <c r="BG29" s="13">
        <f>BF62</f>
        <v/>
      </c>
      <c r="BH29" s="13">
        <f>BG62</f>
        <v/>
      </c>
      <c r="BI29" s="13">
        <f>BH62</f>
        <v/>
      </c>
      <c r="BJ29" s="13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3">
        <f>I63</f>
        <v/>
      </c>
      <c r="K30" s="13">
        <f>J63</f>
        <v/>
      </c>
      <c r="L30" s="13">
        <f>K63</f>
        <v/>
      </c>
      <c r="M30" s="13">
        <f>L63</f>
        <v/>
      </c>
      <c r="N30" s="13">
        <f>M63</f>
        <v/>
      </c>
      <c r="O30" s="13">
        <f>N63</f>
        <v/>
      </c>
      <c r="P30" s="13">
        <f>O63</f>
        <v/>
      </c>
      <c r="Q30" s="13">
        <f>P63</f>
        <v/>
      </c>
      <c r="R30" s="13">
        <f>Q63</f>
        <v/>
      </c>
      <c r="S30" s="13">
        <f>R63</f>
        <v/>
      </c>
      <c r="T30" s="13">
        <f>S63</f>
        <v/>
      </c>
      <c r="U30" s="13">
        <f>T63</f>
        <v/>
      </c>
      <c r="V30" s="13">
        <f>U63</f>
        <v/>
      </c>
      <c r="W30" s="13">
        <f>V63</f>
        <v/>
      </c>
      <c r="X30" s="13">
        <f>W63</f>
        <v/>
      </c>
      <c r="Y30" s="13">
        <f>X63</f>
        <v/>
      </c>
      <c r="Z30" s="13">
        <f>Y63</f>
        <v/>
      </c>
      <c r="AA30" s="13">
        <f>Z63</f>
        <v/>
      </c>
      <c r="AB30" s="13">
        <f>AA63</f>
        <v/>
      </c>
      <c r="AC30" s="13">
        <f>AB63</f>
        <v/>
      </c>
      <c r="AD30" s="13">
        <f>AC63</f>
        <v/>
      </c>
      <c r="AE30" s="13">
        <f>AD63</f>
        <v/>
      </c>
      <c r="AF30" s="13">
        <f>AE63</f>
        <v/>
      </c>
      <c r="AG30" s="13">
        <f>AF63</f>
        <v/>
      </c>
      <c r="AH30" s="13">
        <f>AG63</f>
        <v/>
      </c>
      <c r="AI30" s="13">
        <f>AH63</f>
        <v/>
      </c>
      <c r="AJ30" s="13">
        <f>AI63</f>
        <v/>
      </c>
      <c r="AK30" s="13">
        <f>AJ63</f>
        <v/>
      </c>
      <c r="AL30" s="13">
        <f>AK63</f>
        <v/>
      </c>
      <c r="AM30" s="13">
        <f>AL63</f>
        <v/>
      </c>
      <c r="AN30" s="13">
        <f>AM63</f>
        <v/>
      </c>
      <c r="AO30" s="13">
        <f>AN63</f>
        <v/>
      </c>
      <c r="AP30" s="13">
        <f>AO63</f>
        <v/>
      </c>
      <c r="AQ30" s="13">
        <f>AP63</f>
        <v/>
      </c>
      <c r="AR30" s="13">
        <f>AQ63</f>
        <v/>
      </c>
      <c r="AS30" s="13">
        <f>AR63</f>
        <v/>
      </c>
      <c r="AT30" s="13">
        <f>AS63</f>
        <v/>
      </c>
      <c r="AU30" s="13">
        <f>AT63</f>
        <v/>
      </c>
      <c r="AV30" s="13">
        <f>AU63</f>
        <v/>
      </c>
      <c r="AW30" s="13">
        <f>AV63</f>
        <v/>
      </c>
      <c r="AX30" s="13">
        <f>AW63</f>
        <v/>
      </c>
      <c r="AY30" s="13">
        <f>AX63</f>
        <v/>
      </c>
      <c r="AZ30" s="13">
        <f>AY63</f>
        <v/>
      </c>
      <c r="BA30" s="13">
        <f>AZ63</f>
        <v/>
      </c>
      <c r="BB30" s="13">
        <f>BA63</f>
        <v/>
      </c>
      <c r="BC30" s="13">
        <f>BB63</f>
        <v/>
      </c>
      <c r="BD30" s="13">
        <f>BC63</f>
        <v/>
      </c>
      <c r="BE30" s="13">
        <f>BD63</f>
        <v/>
      </c>
      <c r="BF30" s="13">
        <f>BE63</f>
        <v/>
      </c>
      <c r="BG30" s="13">
        <f>BF63</f>
        <v/>
      </c>
      <c r="BH30" s="13">
        <f>BG63</f>
        <v/>
      </c>
      <c r="BI30" s="13">
        <f>BH63</f>
        <v/>
      </c>
      <c r="BJ30" s="13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3">
        <f>I64</f>
        <v/>
      </c>
      <c r="K31" s="13">
        <f>J64</f>
        <v/>
      </c>
      <c r="L31" s="13">
        <f>K64</f>
        <v/>
      </c>
      <c r="M31" s="13">
        <f>L64</f>
        <v/>
      </c>
      <c r="N31" s="13">
        <f>M64</f>
        <v/>
      </c>
      <c r="O31" s="13">
        <f>N64</f>
        <v/>
      </c>
      <c r="P31" s="13">
        <f>O64</f>
        <v/>
      </c>
      <c r="Q31" s="13">
        <f>P64</f>
        <v/>
      </c>
      <c r="R31" s="13">
        <f>Q64</f>
        <v/>
      </c>
      <c r="S31" s="13">
        <f>R64</f>
        <v/>
      </c>
      <c r="T31" s="13">
        <f>S64</f>
        <v/>
      </c>
      <c r="U31" s="13">
        <f>T64</f>
        <v/>
      </c>
      <c r="V31" s="13">
        <f>U64</f>
        <v/>
      </c>
      <c r="W31" s="13">
        <f>V64</f>
        <v/>
      </c>
      <c r="X31" s="13">
        <f>W64</f>
        <v/>
      </c>
      <c r="Y31" s="13">
        <f>X64</f>
        <v/>
      </c>
      <c r="Z31" s="13">
        <f>Y64</f>
        <v/>
      </c>
      <c r="AA31" s="13">
        <f>Z64</f>
        <v/>
      </c>
      <c r="AB31" s="13">
        <f>AA64</f>
        <v/>
      </c>
      <c r="AC31" s="13">
        <f>AB64</f>
        <v/>
      </c>
      <c r="AD31" s="13">
        <f>AC64</f>
        <v/>
      </c>
      <c r="AE31" s="13">
        <f>AD64</f>
        <v/>
      </c>
      <c r="AF31" s="13">
        <f>AE64</f>
        <v/>
      </c>
      <c r="AG31" s="13">
        <f>AF64</f>
        <v/>
      </c>
      <c r="AH31" s="13">
        <f>AG64</f>
        <v/>
      </c>
      <c r="AI31" s="13">
        <f>AH64</f>
        <v/>
      </c>
      <c r="AJ31" s="13">
        <f>AI64</f>
        <v/>
      </c>
      <c r="AK31" s="13">
        <f>AJ64</f>
        <v/>
      </c>
      <c r="AL31" s="13">
        <f>AK64</f>
        <v/>
      </c>
      <c r="AM31" s="13">
        <f>AL64</f>
        <v/>
      </c>
      <c r="AN31" s="13">
        <f>AM64</f>
        <v/>
      </c>
      <c r="AO31" s="13">
        <f>AN64</f>
        <v/>
      </c>
      <c r="AP31" s="13">
        <f>AO64</f>
        <v/>
      </c>
      <c r="AQ31" s="13">
        <f>AP64</f>
        <v/>
      </c>
      <c r="AR31" s="13">
        <f>AQ64</f>
        <v/>
      </c>
      <c r="AS31" s="13">
        <f>AR64</f>
        <v/>
      </c>
      <c r="AT31" s="13">
        <f>AS64</f>
        <v/>
      </c>
      <c r="AU31" s="13">
        <f>AT64</f>
        <v/>
      </c>
      <c r="AV31" s="13">
        <f>AU64</f>
        <v/>
      </c>
      <c r="AW31" s="13">
        <f>AV64</f>
        <v/>
      </c>
      <c r="AX31" s="13">
        <f>AW64</f>
        <v/>
      </c>
      <c r="AY31" s="13">
        <f>AX64</f>
        <v/>
      </c>
      <c r="AZ31" s="13">
        <f>AY64</f>
        <v/>
      </c>
      <c r="BA31" s="13">
        <f>AZ64</f>
        <v/>
      </c>
      <c r="BB31" s="13">
        <f>BA64</f>
        <v/>
      </c>
      <c r="BC31" s="13">
        <f>BB64</f>
        <v/>
      </c>
      <c r="BD31" s="13">
        <f>BC64</f>
        <v/>
      </c>
      <c r="BE31" s="13">
        <f>BD64</f>
        <v/>
      </c>
      <c r="BF31" s="13">
        <f>BE64</f>
        <v/>
      </c>
      <c r="BG31" s="13">
        <f>BF64</f>
        <v/>
      </c>
      <c r="BH31" s="13">
        <f>BG64</f>
        <v/>
      </c>
      <c r="BI31" s="13">
        <f>BH64</f>
        <v/>
      </c>
      <c r="BJ31" s="13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3">
        <f>I65</f>
        <v/>
      </c>
      <c r="K32" s="13">
        <f>J65</f>
        <v/>
      </c>
      <c r="L32" s="13">
        <f>K65</f>
        <v/>
      </c>
      <c r="M32" s="13">
        <f>L65</f>
        <v/>
      </c>
      <c r="N32" s="13">
        <f>M65</f>
        <v/>
      </c>
      <c r="O32" s="13">
        <f>N65</f>
        <v/>
      </c>
      <c r="P32" s="13">
        <f>O65</f>
        <v/>
      </c>
      <c r="Q32" s="13">
        <f>P65</f>
        <v/>
      </c>
      <c r="R32" s="13">
        <f>Q65</f>
        <v/>
      </c>
      <c r="S32" s="13">
        <f>R65</f>
        <v/>
      </c>
      <c r="T32" s="13">
        <f>S65</f>
        <v/>
      </c>
      <c r="U32" s="13">
        <f>T65</f>
        <v/>
      </c>
      <c r="V32" s="13">
        <f>U65</f>
        <v/>
      </c>
      <c r="W32" s="13">
        <f>V65</f>
        <v/>
      </c>
      <c r="X32" s="13">
        <f>W65</f>
        <v/>
      </c>
      <c r="Y32" s="13">
        <f>X65</f>
        <v/>
      </c>
      <c r="Z32" s="13">
        <f>Y65</f>
        <v/>
      </c>
      <c r="AA32" s="13">
        <f>Z65</f>
        <v/>
      </c>
      <c r="AB32" s="13">
        <f>AA65</f>
        <v/>
      </c>
      <c r="AC32" s="13">
        <f>AB65</f>
        <v/>
      </c>
      <c r="AD32" s="13">
        <f>AC65</f>
        <v/>
      </c>
      <c r="AE32" s="13">
        <f>AD65</f>
        <v/>
      </c>
      <c r="AF32" s="13">
        <f>AE65</f>
        <v/>
      </c>
      <c r="AG32" s="13">
        <f>AF65</f>
        <v/>
      </c>
      <c r="AH32" s="13">
        <f>AG65</f>
        <v/>
      </c>
      <c r="AI32" s="13">
        <f>AH65</f>
        <v/>
      </c>
      <c r="AJ32" s="13">
        <f>AI65</f>
        <v/>
      </c>
      <c r="AK32" s="13">
        <f>AJ65</f>
        <v/>
      </c>
      <c r="AL32" s="13">
        <f>AK65</f>
        <v/>
      </c>
      <c r="AM32" s="13">
        <f>AL65</f>
        <v/>
      </c>
      <c r="AN32" s="13">
        <f>AM65</f>
        <v/>
      </c>
      <c r="AO32" s="13">
        <f>AN65</f>
        <v/>
      </c>
      <c r="AP32" s="13">
        <f>AO65</f>
        <v/>
      </c>
      <c r="AQ32" s="13">
        <f>AP65</f>
        <v/>
      </c>
      <c r="AR32" s="13">
        <f>AQ65</f>
        <v/>
      </c>
      <c r="AS32" s="13">
        <f>AR65</f>
        <v/>
      </c>
      <c r="AT32" s="13">
        <f>AS65</f>
        <v/>
      </c>
      <c r="AU32" s="13">
        <f>AT65</f>
        <v/>
      </c>
      <c r="AV32" s="13">
        <f>AU65</f>
        <v/>
      </c>
      <c r="AW32" s="13">
        <f>AV65</f>
        <v/>
      </c>
      <c r="AX32" s="13">
        <f>AW65</f>
        <v/>
      </c>
      <c r="AY32" s="13">
        <f>AX65</f>
        <v/>
      </c>
      <c r="AZ32" s="13">
        <f>AY65</f>
        <v/>
      </c>
      <c r="BA32" s="13">
        <f>AZ65</f>
        <v/>
      </c>
      <c r="BB32" s="13">
        <f>BA65</f>
        <v/>
      </c>
      <c r="BC32" s="13">
        <f>BB65</f>
        <v/>
      </c>
      <c r="BD32" s="13">
        <f>BC65</f>
        <v/>
      </c>
      <c r="BE32" s="13">
        <f>BD65</f>
        <v/>
      </c>
      <c r="BF32" s="13">
        <f>BE65</f>
        <v/>
      </c>
      <c r="BG32" s="13">
        <f>BF65</f>
        <v/>
      </c>
      <c r="BH32" s="13">
        <f>BG65</f>
        <v/>
      </c>
      <c r="BI32" s="13">
        <f>BH65</f>
        <v/>
      </c>
      <c r="BJ32" s="13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3">
        <f>SUM(J33:BJ33)</f>
        <v/>
      </c>
      <c r="J33" s="13">
        <f>Construction!J14*J28*(Construction!J17+Inputs!$F$79)/100*(1/12)*1</f>
        <v/>
      </c>
      <c r="K33" s="13">
        <f>Construction!K14*K28*(Construction!K17+Inputs!$F$79)/100*(1/12)*1</f>
        <v/>
      </c>
      <c r="L33" s="13">
        <f>Construction!L14*L28*(Construction!L17+Inputs!$F$79)/100*(1/12)*1</f>
        <v/>
      </c>
      <c r="M33" s="13">
        <f>Construction!M14*M28*(Construction!M17+Inputs!$F$79)/100*(1/12)*1</f>
        <v/>
      </c>
      <c r="N33" s="13">
        <f>Construction!N14*N28*(Construction!N17+Inputs!$F$79)/100*(1/12)*1</f>
        <v/>
      </c>
      <c r="O33" s="13">
        <f>Construction!O14*O28*(Construction!O17+Inputs!$F$79)/100*(1/12)*1</f>
        <v/>
      </c>
      <c r="P33" s="13">
        <f>Construction!P14*P28*(Construction!P17+Inputs!$F$79)/100*(1/12)*1</f>
        <v/>
      </c>
      <c r="Q33" s="13">
        <f>Construction!Q14*Q28*(Construction!Q17+Inputs!$F$79)/100*(1/12)*1</f>
        <v/>
      </c>
      <c r="R33" s="13">
        <f>Construction!R14*R28*(Construction!R17+Inputs!$F$79)/100*(1/12)*1</f>
        <v/>
      </c>
      <c r="S33" s="13">
        <f>Construction!S14*S28*(Construction!S17+Inputs!$F$79)/100*(1/12)*1</f>
        <v/>
      </c>
      <c r="T33" s="13">
        <f>Construction!T14*T28*(Construction!T17+Inputs!$F$79)/100*(1/12)*1</f>
        <v/>
      </c>
      <c r="U33" s="13">
        <f>Construction!U14*U28*(Construction!U17+Inputs!$F$79)/100*(1/12)*1</f>
        <v/>
      </c>
      <c r="V33" s="13">
        <f>Construction!V14*V28*(Construction!V17+Inputs!$F$79)/100*(1/12)*1</f>
        <v/>
      </c>
      <c r="W33" s="13">
        <f>Construction!W14*W28*(Construction!W17+Inputs!$F$79)/100*(1/12)*1</f>
        <v/>
      </c>
      <c r="X33" s="13">
        <f>Construction!X14*X28*(Construction!X17+Inputs!$F$79)/100*(1/12)*1</f>
        <v/>
      </c>
      <c r="Y33" s="13">
        <f>Construction!Y14*Y28*(Construction!Y17+Inputs!$F$79)/100*(1/12)*1</f>
        <v/>
      </c>
      <c r="Z33" s="13">
        <f>Construction!Z14*Z28*(Construction!Z17+Inputs!$F$79)/100*(1/12)*1</f>
        <v/>
      </c>
      <c r="AA33" s="13">
        <f>Construction!AA14*AA28*(Construction!AA17+Inputs!$F$79)/100*(1/12)*1</f>
        <v/>
      </c>
      <c r="AB33" s="13">
        <f>Construction!AB14*AB28*(Construction!AB17+Inputs!$F$79)/100*(1/12)*1</f>
        <v/>
      </c>
      <c r="AC33" s="13">
        <f>Construction!AC14*AC28*(Construction!AC17+Inputs!$F$79)/100*(1/12)*1</f>
        <v/>
      </c>
      <c r="AD33" s="13">
        <f>Construction!AD14*AD28*(Construction!AD17+Inputs!$F$79)/100*(1/12)*1</f>
        <v/>
      </c>
      <c r="AE33" s="13">
        <f>Construction!AE14*AE28*(Construction!AE17+Inputs!$F$79)/100*(1/12)*1</f>
        <v/>
      </c>
      <c r="AF33" s="13">
        <f>Construction!AF14*AF28*(Construction!AF17+Inputs!$F$79)/100*(1/12)*1</f>
        <v/>
      </c>
      <c r="AG33" s="13">
        <f>Construction!AG14*AG28*(Construction!AG17+Inputs!$F$79)/100*(1/12)*1</f>
        <v/>
      </c>
      <c r="AH33" s="13">
        <f>Construction!AH14*AH28*(Construction!AH17+Inputs!$F$79)/100*(1/12)*1</f>
        <v/>
      </c>
      <c r="AI33" s="13">
        <f>Construction!AI14*AI28*(Construction!AI17+Inputs!$F$79)/100*(1/12)*1</f>
        <v/>
      </c>
      <c r="AJ33" s="13">
        <f>Construction!AJ14*AJ28*(Construction!AJ17+Inputs!$F$79)/100*(1/12)*1</f>
        <v/>
      </c>
      <c r="AK33" s="13">
        <f>Construction!AK14*AK28*(Construction!AK17+Inputs!$F$79)/100*(1/12)*1</f>
        <v/>
      </c>
      <c r="AL33" s="13">
        <f>Construction!AL14*AL28*(Construction!AL17+Inputs!$F$79)/100*(1/12)*1</f>
        <v/>
      </c>
      <c r="AM33" s="13">
        <f>Construction!AM14*AM28*(Construction!AM17+Inputs!$F$79)/100*(1/12)*1</f>
        <v/>
      </c>
      <c r="AN33" s="13">
        <f>Construction!AN14*AN28*(Construction!AN17+Inputs!$F$79)/100*(1/12)*1</f>
        <v/>
      </c>
      <c r="AO33" s="13">
        <f>Construction!AO14*AO28*(Construction!AO17+Inputs!$F$79)/100*(1/12)*1</f>
        <v/>
      </c>
      <c r="AP33" s="13">
        <f>Construction!AP14*AP28*(Construction!AP17+Inputs!$F$79)/100*(1/12)*1</f>
        <v/>
      </c>
      <c r="AQ33" s="13">
        <f>Construction!AQ14*AQ28*(Construction!AQ17+Inputs!$F$79)/100*(1/12)*1</f>
        <v/>
      </c>
      <c r="AR33" s="13">
        <f>Construction!AR14*AR28*(Construction!AR17+Inputs!$F$79)/100*(1/12)*1</f>
        <v/>
      </c>
      <c r="AS33" s="13">
        <f>Construction!AS14*AS28*(Construction!AS17+Inputs!$F$79)/100*(1/12)*1</f>
        <v/>
      </c>
      <c r="AT33" s="13">
        <f>Construction!AT14*AT28*(Construction!AT17+Inputs!$F$79)/100*(1/12)*1</f>
        <v/>
      </c>
      <c r="AU33" s="13">
        <f>Construction!AU14*AU28*(Construction!AU17+Inputs!$F$79)/100*(1/12)*1</f>
        <v/>
      </c>
      <c r="AV33" s="13">
        <f>Construction!AV14*AV28*(Construction!AV17+Inputs!$F$79)/100*(1/12)*1</f>
        <v/>
      </c>
      <c r="AW33" s="13">
        <f>Construction!AW14*AW28*(Construction!AW17+Inputs!$F$79)/100*(1/12)*1</f>
        <v/>
      </c>
      <c r="AX33" s="13">
        <f>Construction!AX14*AX28*(Construction!AX17+Inputs!$F$79)/100*(1/12)*1</f>
        <v/>
      </c>
      <c r="AY33" s="13">
        <f>Construction!AY14*AY28*(Construction!AY17+Inputs!$F$79)/100*(1/12)*1</f>
        <v/>
      </c>
      <c r="AZ33" s="13">
        <f>Construction!AZ14*AZ28*(Construction!AZ17+Inputs!$F$79)/100*(1/12)*1</f>
        <v/>
      </c>
      <c r="BA33" s="13">
        <f>Construction!BA14*BA28*(Construction!BA17+Inputs!$F$79)/100*(1/12)*1</f>
        <v/>
      </c>
      <c r="BB33" s="13">
        <f>Construction!BB14*BB28*(Construction!BB17+Inputs!$F$79)/100*(1/12)*1</f>
        <v/>
      </c>
      <c r="BC33" s="13">
        <f>Construction!BC14*BC28*(Construction!BC17+Inputs!$F$79)/100*(1/12)*1</f>
        <v/>
      </c>
      <c r="BD33" s="13">
        <f>Construction!BD14*BD28*(Construction!BD17+Inputs!$F$79)/100*(1/12)*1</f>
        <v/>
      </c>
      <c r="BE33" s="13">
        <f>Construction!BE14*BE28*(Construction!BE17+Inputs!$F$79)/100*(1/12)*1</f>
        <v/>
      </c>
      <c r="BF33" s="13">
        <f>Construction!BF14*BF28*(Construction!BF17+Inputs!$F$79)/100*(1/12)*1</f>
        <v/>
      </c>
      <c r="BG33" s="13">
        <f>Construction!BG14*BG28*(Construction!BG17+Inputs!$F$79)/100*(1/12)*1</f>
        <v/>
      </c>
      <c r="BH33" s="13">
        <f>Construction!BH14*BH28*(Construction!BH17+Inputs!$F$79)/100*(1/12)*1</f>
        <v/>
      </c>
      <c r="BI33" s="13">
        <f>Construction!BI14*BI28*(Construction!BI17+Inputs!$F$79)/100*(1/12)*1</f>
        <v/>
      </c>
      <c r="BJ33" s="13">
        <f>Construction!BJ14*BJ28*(Construction!BJ17+Inputs!$F$79)/100*(1/12)*1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3">
        <f>SUM(J34:BJ34)</f>
        <v/>
      </c>
      <c r="J34" s="13">
        <f>Construction!J14*J29*(Construction!J17+Inputs!$F$80)/100*(1/12)*1</f>
        <v/>
      </c>
      <c r="K34" s="13">
        <f>Construction!K14*K29*(Construction!K17+Inputs!$F$80)/100*(1/12)*1</f>
        <v/>
      </c>
      <c r="L34" s="13">
        <f>Construction!L14*L29*(Construction!L17+Inputs!$F$80)/100*(1/12)*1</f>
        <v/>
      </c>
      <c r="M34" s="13">
        <f>Construction!M14*M29*(Construction!M17+Inputs!$F$80)/100*(1/12)*1</f>
        <v/>
      </c>
      <c r="N34" s="13">
        <f>Construction!N14*N29*(Construction!N17+Inputs!$F$80)/100*(1/12)*1</f>
        <v/>
      </c>
      <c r="O34" s="13">
        <f>Construction!O14*O29*(Construction!O17+Inputs!$F$80)/100*(1/12)*1</f>
        <v/>
      </c>
      <c r="P34" s="13">
        <f>Construction!P14*P29*(Construction!P17+Inputs!$F$80)/100*(1/12)*1</f>
        <v/>
      </c>
      <c r="Q34" s="13">
        <f>Construction!Q14*Q29*(Construction!Q17+Inputs!$F$80)/100*(1/12)*1</f>
        <v/>
      </c>
      <c r="R34" s="13">
        <f>Construction!R14*R29*(Construction!R17+Inputs!$F$80)/100*(1/12)*1</f>
        <v/>
      </c>
      <c r="S34" s="13">
        <f>Construction!S14*S29*(Construction!S17+Inputs!$F$80)/100*(1/12)*1</f>
        <v/>
      </c>
      <c r="T34" s="13">
        <f>Construction!T14*T29*(Construction!T17+Inputs!$F$80)/100*(1/12)*1</f>
        <v/>
      </c>
      <c r="U34" s="13">
        <f>Construction!U14*U29*(Construction!U17+Inputs!$F$80)/100*(1/12)*1</f>
        <v/>
      </c>
      <c r="V34" s="13">
        <f>Construction!V14*V29*(Construction!V17+Inputs!$F$80)/100*(1/12)*1</f>
        <v/>
      </c>
      <c r="W34" s="13">
        <f>Construction!W14*W29*(Construction!W17+Inputs!$F$80)/100*(1/12)*1</f>
        <v/>
      </c>
      <c r="X34" s="13">
        <f>Construction!X14*X29*(Construction!X17+Inputs!$F$80)/100*(1/12)*1</f>
        <v/>
      </c>
      <c r="Y34" s="13">
        <f>Construction!Y14*Y29*(Construction!Y17+Inputs!$F$80)/100*(1/12)*1</f>
        <v/>
      </c>
      <c r="Z34" s="13">
        <f>Construction!Z14*Z29*(Construction!Z17+Inputs!$F$80)/100*(1/12)*1</f>
        <v/>
      </c>
      <c r="AA34" s="13">
        <f>Construction!AA14*AA29*(Construction!AA17+Inputs!$F$80)/100*(1/12)*1</f>
        <v/>
      </c>
      <c r="AB34" s="13">
        <f>Construction!AB14*AB29*(Construction!AB17+Inputs!$F$80)/100*(1/12)*1</f>
        <v/>
      </c>
      <c r="AC34" s="13">
        <f>Construction!AC14*AC29*(Construction!AC17+Inputs!$F$80)/100*(1/12)*1</f>
        <v/>
      </c>
      <c r="AD34" s="13">
        <f>Construction!AD14*AD29*(Construction!AD17+Inputs!$F$80)/100*(1/12)*1</f>
        <v/>
      </c>
      <c r="AE34" s="13">
        <f>Construction!AE14*AE29*(Construction!AE17+Inputs!$F$80)/100*(1/12)*1</f>
        <v/>
      </c>
      <c r="AF34" s="13">
        <f>Construction!AF14*AF29*(Construction!AF17+Inputs!$F$80)/100*(1/12)*1</f>
        <v/>
      </c>
      <c r="AG34" s="13">
        <f>Construction!AG14*AG29*(Construction!AG17+Inputs!$F$80)/100*(1/12)*1</f>
        <v/>
      </c>
      <c r="AH34" s="13">
        <f>Construction!AH14*AH29*(Construction!AH17+Inputs!$F$80)/100*(1/12)*1</f>
        <v/>
      </c>
      <c r="AI34" s="13">
        <f>Construction!AI14*AI29*(Construction!AI17+Inputs!$F$80)/100*(1/12)*1</f>
        <v/>
      </c>
      <c r="AJ34" s="13">
        <f>Construction!AJ14*AJ29*(Construction!AJ17+Inputs!$F$80)/100*(1/12)*1</f>
        <v/>
      </c>
      <c r="AK34" s="13">
        <f>Construction!AK14*AK29*(Construction!AK17+Inputs!$F$80)/100*(1/12)*1</f>
        <v/>
      </c>
      <c r="AL34" s="13">
        <f>Construction!AL14*AL29*(Construction!AL17+Inputs!$F$80)/100*(1/12)*1</f>
        <v/>
      </c>
      <c r="AM34" s="13">
        <f>Construction!AM14*AM29*(Construction!AM17+Inputs!$F$80)/100*(1/12)*1</f>
        <v/>
      </c>
      <c r="AN34" s="13">
        <f>Construction!AN14*AN29*(Construction!AN17+Inputs!$F$80)/100*(1/12)*1</f>
        <v/>
      </c>
      <c r="AO34" s="13">
        <f>Construction!AO14*AO29*(Construction!AO17+Inputs!$F$80)/100*(1/12)*1</f>
        <v/>
      </c>
      <c r="AP34" s="13">
        <f>Construction!AP14*AP29*(Construction!AP17+Inputs!$F$80)/100*(1/12)*1</f>
        <v/>
      </c>
      <c r="AQ34" s="13">
        <f>Construction!AQ14*AQ29*(Construction!AQ17+Inputs!$F$80)/100*(1/12)*1</f>
        <v/>
      </c>
      <c r="AR34" s="13">
        <f>Construction!AR14*AR29*(Construction!AR17+Inputs!$F$80)/100*(1/12)*1</f>
        <v/>
      </c>
      <c r="AS34" s="13">
        <f>Construction!AS14*AS29*(Construction!AS17+Inputs!$F$80)/100*(1/12)*1</f>
        <v/>
      </c>
      <c r="AT34" s="13">
        <f>Construction!AT14*AT29*(Construction!AT17+Inputs!$F$80)/100*(1/12)*1</f>
        <v/>
      </c>
      <c r="AU34" s="13">
        <f>Construction!AU14*AU29*(Construction!AU17+Inputs!$F$80)/100*(1/12)*1</f>
        <v/>
      </c>
      <c r="AV34" s="13">
        <f>Construction!AV14*AV29*(Construction!AV17+Inputs!$F$80)/100*(1/12)*1</f>
        <v/>
      </c>
      <c r="AW34" s="13">
        <f>Construction!AW14*AW29*(Construction!AW17+Inputs!$F$80)/100*(1/12)*1</f>
        <v/>
      </c>
      <c r="AX34" s="13">
        <f>Construction!AX14*AX29*(Construction!AX17+Inputs!$F$80)/100*(1/12)*1</f>
        <v/>
      </c>
      <c r="AY34" s="13">
        <f>Construction!AY14*AY29*(Construction!AY17+Inputs!$F$80)/100*(1/12)*1</f>
        <v/>
      </c>
      <c r="AZ34" s="13">
        <f>Construction!AZ14*AZ29*(Construction!AZ17+Inputs!$F$80)/100*(1/12)*1</f>
        <v/>
      </c>
      <c r="BA34" s="13">
        <f>Construction!BA14*BA29*(Construction!BA17+Inputs!$F$80)/100*(1/12)*1</f>
        <v/>
      </c>
      <c r="BB34" s="13">
        <f>Construction!BB14*BB29*(Construction!BB17+Inputs!$F$80)/100*(1/12)*1</f>
        <v/>
      </c>
      <c r="BC34" s="13">
        <f>Construction!BC14*BC29*(Construction!BC17+Inputs!$F$80)/100*(1/12)*1</f>
        <v/>
      </c>
      <c r="BD34" s="13">
        <f>Construction!BD14*BD29*(Construction!BD17+Inputs!$F$80)/100*(1/12)*1</f>
        <v/>
      </c>
      <c r="BE34" s="13">
        <f>Construction!BE14*BE29*(Construction!BE17+Inputs!$F$80)/100*(1/12)*1</f>
        <v/>
      </c>
      <c r="BF34" s="13">
        <f>Construction!BF14*BF29*(Construction!BF17+Inputs!$F$80)/100*(1/12)*1</f>
        <v/>
      </c>
      <c r="BG34" s="13">
        <f>Construction!BG14*BG29*(Construction!BG17+Inputs!$F$80)/100*(1/12)*1</f>
        <v/>
      </c>
      <c r="BH34" s="13">
        <f>Construction!BH14*BH29*(Construction!BH17+Inputs!$F$80)/100*(1/12)*1</f>
        <v/>
      </c>
      <c r="BI34" s="13">
        <f>Construction!BI14*BI29*(Construction!BI17+Inputs!$F$80)/100*(1/12)*1</f>
        <v/>
      </c>
      <c r="BJ34" s="13">
        <f>Construction!BJ14*BJ29*(Construction!BJ17+Inputs!$F$80)/100*(1/12)*1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3">
        <f>SUM(J35:BJ35)</f>
        <v/>
      </c>
      <c r="J35" s="13">
        <f>Construction!J14*J30*(Construction!J17+Inputs!$F$81)/100*(1/12)*1</f>
        <v/>
      </c>
      <c r="K35" s="13">
        <f>Construction!K14*K30*(Construction!K17+Inputs!$F$81)/100*(1/12)*1</f>
        <v/>
      </c>
      <c r="L35" s="13">
        <f>Construction!L14*L30*(Construction!L17+Inputs!$F$81)/100*(1/12)*1</f>
        <v/>
      </c>
      <c r="M35" s="13">
        <f>Construction!M14*M30*(Construction!M17+Inputs!$F$81)/100*(1/12)*1</f>
        <v/>
      </c>
      <c r="N35" s="13">
        <f>Construction!N14*N30*(Construction!N17+Inputs!$F$81)/100*(1/12)*1</f>
        <v/>
      </c>
      <c r="O35" s="13">
        <f>Construction!O14*O30*(Construction!O17+Inputs!$F$81)/100*(1/12)*1</f>
        <v/>
      </c>
      <c r="P35" s="13">
        <f>Construction!P14*P30*(Construction!P17+Inputs!$F$81)/100*(1/12)*1</f>
        <v/>
      </c>
      <c r="Q35" s="13">
        <f>Construction!Q14*Q30*(Construction!Q17+Inputs!$F$81)/100*(1/12)*1</f>
        <v/>
      </c>
      <c r="R35" s="13">
        <f>Construction!R14*R30*(Construction!R17+Inputs!$F$81)/100*(1/12)*1</f>
        <v/>
      </c>
      <c r="S35" s="13">
        <f>Construction!S14*S30*(Construction!S17+Inputs!$F$81)/100*(1/12)*1</f>
        <v/>
      </c>
      <c r="T35" s="13">
        <f>Construction!T14*T30*(Construction!T17+Inputs!$F$81)/100*(1/12)*1</f>
        <v/>
      </c>
      <c r="U35" s="13">
        <f>Construction!U14*U30*(Construction!U17+Inputs!$F$81)/100*(1/12)*1</f>
        <v/>
      </c>
      <c r="V35" s="13">
        <f>Construction!V14*V30*(Construction!V17+Inputs!$F$81)/100*(1/12)*1</f>
        <v/>
      </c>
      <c r="W35" s="13">
        <f>Construction!W14*W30*(Construction!W17+Inputs!$F$81)/100*(1/12)*1</f>
        <v/>
      </c>
      <c r="X35" s="13">
        <f>Construction!X14*X30*(Construction!X17+Inputs!$F$81)/100*(1/12)*1</f>
        <v/>
      </c>
      <c r="Y35" s="13">
        <f>Construction!Y14*Y30*(Construction!Y17+Inputs!$F$81)/100*(1/12)*1</f>
        <v/>
      </c>
      <c r="Z35" s="13">
        <f>Construction!Z14*Z30*(Construction!Z17+Inputs!$F$81)/100*(1/12)*1</f>
        <v/>
      </c>
      <c r="AA35" s="13">
        <f>Construction!AA14*AA30*(Construction!AA17+Inputs!$F$81)/100*(1/12)*1</f>
        <v/>
      </c>
      <c r="AB35" s="13">
        <f>Construction!AB14*AB30*(Construction!AB17+Inputs!$F$81)/100*(1/12)*1</f>
        <v/>
      </c>
      <c r="AC35" s="13">
        <f>Construction!AC14*AC30*(Construction!AC17+Inputs!$F$81)/100*(1/12)*1</f>
        <v/>
      </c>
      <c r="AD35" s="13">
        <f>Construction!AD14*AD30*(Construction!AD17+Inputs!$F$81)/100*(1/12)*1</f>
        <v/>
      </c>
      <c r="AE35" s="13">
        <f>Construction!AE14*AE30*(Construction!AE17+Inputs!$F$81)/100*(1/12)*1</f>
        <v/>
      </c>
      <c r="AF35" s="13">
        <f>Construction!AF14*AF30*(Construction!AF17+Inputs!$F$81)/100*(1/12)*1</f>
        <v/>
      </c>
      <c r="AG35" s="13">
        <f>Construction!AG14*AG30*(Construction!AG17+Inputs!$F$81)/100*(1/12)*1</f>
        <v/>
      </c>
      <c r="AH35" s="13">
        <f>Construction!AH14*AH30*(Construction!AH17+Inputs!$F$81)/100*(1/12)*1</f>
        <v/>
      </c>
      <c r="AI35" s="13">
        <f>Construction!AI14*AI30*(Construction!AI17+Inputs!$F$81)/100*(1/12)*1</f>
        <v/>
      </c>
      <c r="AJ35" s="13">
        <f>Construction!AJ14*AJ30*(Construction!AJ17+Inputs!$F$81)/100*(1/12)*1</f>
        <v/>
      </c>
      <c r="AK35" s="13">
        <f>Construction!AK14*AK30*(Construction!AK17+Inputs!$F$81)/100*(1/12)*1</f>
        <v/>
      </c>
      <c r="AL35" s="13">
        <f>Construction!AL14*AL30*(Construction!AL17+Inputs!$F$81)/100*(1/12)*1</f>
        <v/>
      </c>
      <c r="AM35" s="13">
        <f>Construction!AM14*AM30*(Construction!AM17+Inputs!$F$81)/100*(1/12)*1</f>
        <v/>
      </c>
      <c r="AN35" s="13">
        <f>Construction!AN14*AN30*(Construction!AN17+Inputs!$F$81)/100*(1/12)*1</f>
        <v/>
      </c>
      <c r="AO35" s="13">
        <f>Construction!AO14*AO30*(Construction!AO17+Inputs!$F$81)/100*(1/12)*1</f>
        <v/>
      </c>
      <c r="AP35" s="13">
        <f>Construction!AP14*AP30*(Construction!AP17+Inputs!$F$81)/100*(1/12)*1</f>
        <v/>
      </c>
      <c r="AQ35" s="13">
        <f>Construction!AQ14*AQ30*(Construction!AQ17+Inputs!$F$81)/100*(1/12)*1</f>
        <v/>
      </c>
      <c r="AR35" s="13">
        <f>Construction!AR14*AR30*(Construction!AR17+Inputs!$F$81)/100*(1/12)*1</f>
        <v/>
      </c>
      <c r="AS35" s="13">
        <f>Construction!AS14*AS30*(Construction!AS17+Inputs!$F$81)/100*(1/12)*1</f>
        <v/>
      </c>
      <c r="AT35" s="13">
        <f>Construction!AT14*AT30*(Construction!AT17+Inputs!$F$81)/100*(1/12)*1</f>
        <v/>
      </c>
      <c r="AU35" s="13">
        <f>Construction!AU14*AU30*(Construction!AU17+Inputs!$F$81)/100*(1/12)*1</f>
        <v/>
      </c>
      <c r="AV35" s="13">
        <f>Construction!AV14*AV30*(Construction!AV17+Inputs!$F$81)/100*(1/12)*1</f>
        <v/>
      </c>
      <c r="AW35" s="13">
        <f>Construction!AW14*AW30*(Construction!AW17+Inputs!$F$81)/100*(1/12)*1</f>
        <v/>
      </c>
      <c r="AX35" s="13">
        <f>Construction!AX14*AX30*(Construction!AX17+Inputs!$F$81)/100*(1/12)*1</f>
        <v/>
      </c>
      <c r="AY35" s="13">
        <f>Construction!AY14*AY30*(Construction!AY17+Inputs!$F$81)/100*(1/12)*1</f>
        <v/>
      </c>
      <c r="AZ35" s="13">
        <f>Construction!AZ14*AZ30*(Construction!AZ17+Inputs!$F$81)/100*(1/12)*1</f>
        <v/>
      </c>
      <c r="BA35" s="13">
        <f>Construction!BA14*BA30*(Construction!BA17+Inputs!$F$81)/100*(1/12)*1</f>
        <v/>
      </c>
      <c r="BB35" s="13">
        <f>Construction!BB14*BB30*(Construction!BB17+Inputs!$F$81)/100*(1/12)*1</f>
        <v/>
      </c>
      <c r="BC35" s="13">
        <f>Construction!BC14*BC30*(Construction!BC17+Inputs!$F$81)/100*(1/12)*1</f>
        <v/>
      </c>
      <c r="BD35" s="13">
        <f>Construction!BD14*BD30*(Construction!BD17+Inputs!$F$81)/100*(1/12)*1</f>
        <v/>
      </c>
      <c r="BE35" s="13">
        <f>Construction!BE14*BE30*(Construction!BE17+Inputs!$F$81)/100*(1/12)*1</f>
        <v/>
      </c>
      <c r="BF35" s="13">
        <f>Construction!BF14*BF30*(Construction!BF17+Inputs!$F$81)/100*(1/12)*1</f>
        <v/>
      </c>
      <c r="BG35" s="13">
        <f>Construction!BG14*BG30*(Construction!BG17+Inputs!$F$81)/100*(1/12)*1</f>
        <v/>
      </c>
      <c r="BH35" s="13">
        <f>Construction!BH14*BH30*(Construction!BH17+Inputs!$F$81)/100*(1/12)*1</f>
        <v/>
      </c>
      <c r="BI35" s="13">
        <f>Construction!BI14*BI30*(Construction!BI17+Inputs!$F$81)/100*(1/12)*1</f>
        <v/>
      </c>
      <c r="BJ35" s="13">
        <f>Construction!BJ14*BJ30*(Construction!BJ17+Inputs!$F$81)/100*(1/12)*1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3">
        <f>SUM(J36:BJ36)</f>
        <v/>
      </c>
      <c r="J36" s="13">
        <f>Construction!J14*J31*(Construction!J17+Inputs!$F$82)/100*(1/12)*(1/(1-Inputs!$F$93/100))</f>
        <v/>
      </c>
      <c r="K36" s="13">
        <f>Construction!K14*K31*(Construction!K17+Inputs!$F$82)/100*(1/12)*(1/(1-Inputs!$F$93/100))</f>
        <v/>
      </c>
      <c r="L36" s="13">
        <f>Construction!L14*L31*(Construction!L17+Inputs!$F$82)/100*(1/12)*(1/(1-Inputs!$F$93/100))</f>
        <v/>
      </c>
      <c r="M36" s="13">
        <f>Construction!M14*M31*(Construction!M17+Inputs!$F$82)/100*(1/12)*(1/(1-Inputs!$F$93/100))</f>
        <v/>
      </c>
      <c r="N36" s="13">
        <f>Construction!N14*N31*(Construction!N17+Inputs!$F$82)/100*(1/12)*(1/(1-Inputs!$F$93/100))</f>
        <v/>
      </c>
      <c r="O36" s="13">
        <f>Construction!O14*O31*(Construction!O17+Inputs!$F$82)/100*(1/12)*(1/(1-Inputs!$F$93/100))</f>
        <v/>
      </c>
      <c r="P36" s="13">
        <f>Construction!P14*P31*(Construction!P17+Inputs!$F$82)/100*(1/12)*(1/(1-Inputs!$F$93/100))</f>
        <v/>
      </c>
      <c r="Q36" s="13">
        <f>Construction!Q14*Q31*(Construction!Q17+Inputs!$F$82)/100*(1/12)*(1/(1-Inputs!$F$93/100))</f>
        <v/>
      </c>
      <c r="R36" s="13">
        <f>Construction!R14*R31*(Construction!R17+Inputs!$F$82)/100*(1/12)*(1/(1-Inputs!$F$93/100))</f>
        <v/>
      </c>
      <c r="S36" s="13">
        <f>Construction!S14*S31*(Construction!S17+Inputs!$F$82)/100*(1/12)*(1/(1-Inputs!$F$93/100))</f>
        <v/>
      </c>
      <c r="T36" s="13">
        <f>Construction!T14*T31*(Construction!T17+Inputs!$F$82)/100*(1/12)*(1/(1-Inputs!$F$93/100))</f>
        <v/>
      </c>
      <c r="U36" s="13">
        <f>Construction!U14*U31*(Construction!U17+Inputs!$F$82)/100*(1/12)*(1/(1-Inputs!$F$93/100))</f>
        <v/>
      </c>
      <c r="V36" s="13">
        <f>Construction!V14*V31*(Construction!V17+Inputs!$F$82)/100*(1/12)*(1/(1-Inputs!$F$93/100))</f>
        <v/>
      </c>
      <c r="W36" s="13">
        <f>Construction!W14*W31*(Construction!W17+Inputs!$F$82)/100*(1/12)*(1/(1-Inputs!$F$93/100))</f>
        <v/>
      </c>
      <c r="X36" s="13">
        <f>Construction!X14*X31*(Construction!X17+Inputs!$F$82)/100*(1/12)*(1/(1-Inputs!$F$93/100))</f>
        <v/>
      </c>
      <c r="Y36" s="13">
        <f>Construction!Y14*Y31*(Construction!Y17+Inputs!$F$82)/100*(1/12)*(1/(1-Inputs!$F$93/100))</f>
        <v/>
      </c>
      <c r="Z36" s="13">
        <f>Construction!Z14*Z31*(Construction!Z17+Inputs!$F$82)/100*(1/12)*(1/(1-Inputs!$F$93/100))</f>
        <v/>
      </c>
      <c r="AA36" s="13">
        <f>Construction!AA14*AA31*(Construction!AA17+Inputs!$F$82)/100*(1/12)*(1/(1-Inputs!$F$93/100))</f>
        <v/>
      </c>
      <c r="AB36" s="13">
        <f>Construction!AB14*AB31*(Construction!AB17+Inputs!$F$82)/100*(1/12)*(1/(1-Inputs!$F$93/100))</f>
        <v/>
      </c>
      <c r="AC36" s="13">
        <f>Construction!AC14*AC31*(Construction!AC17+Inputs!$F$82)/100*(1/12)*(1/(1-Inputs!$F$93/100))</f>
        <v/>
      </c>
      <c r="AD36" s="13">
        <f>Construction!AD14*AD31*(Construction!AD17+Inputs!$F$82)/100*(1/12)*(1/(1-Inputs!$F$93/100))</f>
        <v/>
      </c>
      <c r="AE36" s="13">
        <f>Construction!AE14*AE31*(Construction!AE17+Inputs!$F$82)/100*(1/12)*(1/(1-Inputs!$F$93/100))</f>
        <v/>
      </c>
      <c r="AF36" s="13">
        <f>Construction!AF14*AF31*(Construction!AF17+Inputs!$F$82)/100*(1/12)*(1/(1-Inputs!$F$93/100))</f>
        <v/>
      </c>
      <c r="AG36" s="13">
        <f>Construction!AG14*AG31*(Construction!AG17+Inputs!$F$82)/100*(1/12)*(1/(1-Inputs!$F$93/100))</f>
        <v/>
      </c>
      <c r="AH36" s="13">
        <f>Construction!AH14*AH31*(Construction!AH17+Inputs!$F$82)/100*(1/12)*(1/(1-Inputs!$F$93/100))</f>
        <v/>
      </c>
      <c r="AI36" s="13">
        <f>Construction!AI14*AI31*(Construction!AI17+Inputs!$F$82)/100*(1/12)*(1/(1-Inputs!$F$93/100))</f>
        <v/>
      </c>
      <c r="AJ36" s="13">
        <f>Construction!AJ14*AJ31*(Construction!AJ17+Inputs!$F$82)/100*(1/12)*(1/(1-Inputs!$F$93/100))</f>
        <v/>
      </c>
      <c r="AK36" s="13">
        <f>Construction!AK14*AK31*(Construction!AK17+Inputs!$F$82)/100*(1/12)*(1/(1-Inputs!$F$93/100))</f>
        <v/>
      </c>
      <c r="AL36" s="13">
        <f>Construction!AL14*AL31*(Construction!AL17+Inputs!$F$82)/100*(1/12)*(1/(1-Inputs!$F$93/100))</f>
        <v/>
      </c>
      <c r="AM36" s="13">
        <f>Construction!AM14*AM31*(Construction!AM17+Inputs!$F$82)/100*(1/12)*(1/(1-Inputs!$F$93/100))</f>
        <v/>
      </c>
      <c r="AN36" s="13">
        <f>Construction!AN14*AN31*(Construction!AN17+Inputs!$F$82)/100*(1/12)*(1/(1-Inputs!$F$93/100))</f>
        <v/>
      </c>
      <c r="AO36" s="13">
        <f>Construction!AO14*AO31*(Construction!AO17+Inputs!$F$82)/100*(1/12)*(1/(1-Inputs!$F$93/100))</f>
        <v/>
      </c>
      <c r="AP36" s="13">
        <f>Construction!AP14*AP31*(Construction!AP17+Inputs!$F$82)/100*(1/12)*(1/(1-Inputs!$F$93/100))</f>
        <v/>
      </c>
      <c r="AQ36" s="13">
        <f>Construction!AQ14*AQ31*(Construction!AQ17+Inputs!$F$82)/100*(1/12)*(1/(1-Inputs!$F$93/100))</f>
        <v/>
      </c>
      <c r="AR36" s="13">
        <f>Construction!AR14*AR31*(Construction!AR17+Inputs!$F$82)/100*(1/12)*(1/(1-Inputs!$F$93/100))</f>
        <v/>
      </c>
      <c r="AS36" s="13">
        <f>Construction!AS14*AS31*(Construction!AS17+Inputs!$F$82)/100*(1/12)*(1/(1-Inputs!$F$93/100))</f>
        <v/>
      </c>
      <c r="AT36" s="13">
        <f>Construction!AT14*AT31*(Construction!AT17+Inputs!$F$82)/100*(1/12)*(1/(1-Inputs!$F$93/100))</f>
        <v/>
      </c>
      <c r="AU36" s="13">
        <f>Construction!AU14*AU31*(Construction!AU17+Inputs!$F$82)/100*(1/12)*(1/(1-Inputs!$F$93/100))</f>
        <v/>
      </c>
      <c r="AV36" s="13">
        <f>Construction!AV14*AV31*(Construction!AV17+Inputs!$F$82)/100*(1/12)*(1/(1-Inputs!$F$93/100))</f>
        <v/>
      </c>
      <c r="AW36" s="13">
        <f>Construction!AW14*AW31*(Construction!AW17+Inputs!$F$82)/100*(1/12)*(1/(1-Inputs!$F$93/100))</f>
        <v/>
      </c>
      <c r="AX36" s="13">
        <f>Construction!AX14*AX31*(Construction!AX17+Inputs!$F$82)/100*(1/12)*(1/(1-Inputs!$F$93/100))</f>
        <v/>
      </c>
      <c r="AY36" s="13">
        <f>Construction!AY14*AY31*(Construction!AY17+Inputs!$F$82)/100*(1/12)*(1/(1-Inputs!$F$93/100))</f>
        <v/>
      </c>
      <c r="AZ36" s="13">
        <f>Construction!AZ14*AZ31*(Construction!AZ17+Inputs!$F$82)/100*(1/12)*(1/(1-Inputs!$F$93/100))</f>
        <v/>
      </c>
      <c r="BA36" s="13">
        <f>Construction!BA14*BA31*(Construction!BA17+Inputs!$F$82)/100*(1/12)*(1/(1-Inputs!$F$93/100))</f>
        <v/>
      </c>
      <c r="BB36" s="13">
        <f>Construction!BB14*BB31*(Construction!BB17+Inputs!$F$82)/100*(1/12)*(1/(1-Inputs!$F$93/100))</f>
        <v/>
      </c>
      <c r="BC36" s="13">
        <f>Construction!BC14*BC31*(Construction!BC17+Inputs!$F$82)/100*(1/12)*(1/(1-Inputs!$F$93/100))</f>
        <v/>
      </c>
      <c r="BD36" s="13">
        <f>Construction!BD14*BD31*(Construction!BD17+Inputs!$F$82)/100*(1/12)*(1/(1-Inputs!$F$93/100))</f>
        <v/>
      </c>
      <c r="BE36" s="13">
        <f>Construction!BE14*BE31*(Construction!BE17+Inputs!$F$82)/100*(1/12)*(1/(1-Inputs!$F$93/100))</f>
        <v/>
      </c>
      <c r="BF36" s="13">
        <f>Construction!BF14*BF31*(Construction!BF17+Inputs!$F$82)/100*(1/12)*(1/(1-Inputs!$F$93/100))</f>
        <v/>
      </c>
      <c r="BG36" s="13">
        <f>Construction!BG14*BG31*(Construction!BG17+Inputs!$F$82)/100*(1/12)*(1/(1-Inputs!$F$93/100))</f>
        <v/>
      </c>
      <c r="BH36" s="13">
        <f>Construction!BH14*BH31*(Construction!BH17+Inputs!$F$82)/100*(1/12)*(1/(1-Inputs!$F$93/100))</f>
        <v/>
      </c>
      <c r="BI36" s="13">
        <f>Construction!BI14*BI31*(Construction!BI17+Inputs!$F$82)/100*(1/12)*(1/(1-Inputs!$F$93/100))</f>
        <v/>
      </c>
      <c r="BJ36" s="13">
        <f>Construction!BJ14*BJ31*(Construction!BJ17+Inputs!$F$82)/100*(1/12)*(1/(1-Inputs!$F$93/100))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3">
        <f>SUM(J37:BJ37)</f>
        <v/>
      </c>
      <c r="J37" s="13">
        <f>Construction!J14*J32*(Inputs!$F$102*(Construction!J17+Inputs!$F$82+Inputs!$F$101)/(1-Inputs!$F$93/100)+(1-Inputs!$F$102)*(Construction!J17+Inputs!$F$80+Inputs!$F$101))/100*Construction!J11/Inputs!$F$247</f>
        <v/>
      </c>
      <c r="K37" s="13">
        <f>Construction!K14*K32*(Inputs!$F$102*(Construction!K17+Inputs!$F$82+Inputs!$F$101)/(1-Inputs!$F$93/100)+(1-Inputs!$F$102)*(Construction!K17+Inputs!$F$80+Inputs!$F$101))/100*Construction!K11/Inputs!$F$247</f>
        <v/>
      </c>
      <c r="L37" s="13">
        <f>Construction!L14*L32*(Inputs!$F$102*(Construction!L17+Inputs!$F$82+Inputs!$F$101)/(1-Inputs!$F$93/100)+(1-Inputs!$F$102)*(Construction!L17+Inputs!$F$80+Inputs!$F$101))/100*Construction!L11/Inputs!$F$247</f>
        <v/>
      </c>
      <c r="M37" s="13">
        <f>Construction!M14*M32*(Inputs!$F$102*(Construction!M17+Inputs!$F$82+Inputs!$F$101)/(1-Inputs!$F$93/100)+(1-Inputs!$F$102)*(Construction!M17+Inputs!$F$80+Inputs!$F$101))/100*Construction!M11/Inputs!$F$247</f>
        <v/>
      </c>
      <c r="N37" s="13">
        <f>Construction!N14*N32*(Inputs!$F$102*(Construction!N17+Inputs!$F$82+Inputs!$F$101)/(1-Inputs!$F$93/100)+(1-Inputs!$F$102)*(Construction!N17+Inputs!$F$80+Inputs!$F$101))/100*Construction!N11/Inputs!$F$247</f>
        <v/>
      </c>
      <c r="O37" s="13">
        <f>Construction!O14*O32*(Inputs!$F$102*(Construction!O17+Inputs!$F$82+Inputs!$F$101)/(1-Inputs!$F$93/100)+(1-Inputs!$F$102)*(Construction!O17+Inputs!$F$80+Inputs!$F$101))/100*Construction!O11/Inputs!$F$247</f>
        <v/>
      </c>
      <c r="P37" s="13">
        <f>Construction!P14*P32*(Inputs!$F$102*(Construction!P17+Inputs!$F$82+Inputs!$F$101)/(1-Inputs!$F$93/100)+(1-Inputs!$F$102)*(Construction!P17+Inputs!$F$80+Inputs!$F$101))/100*Construction!P11/Inputs!$F$247</f>
        <v/>
      </c>
      <c r="Q37" s="13">
        <f>Construction!Q14*Q32*(Inputs!$F$102*(Construction!Q17+Inputs!$F$82+Inputs!$F$101)/(1-Inputs!$F$93/100)+(1-Inputs!$F$102)*(Construction!Q17+Inputs!$F$80+Inputs!$F$101))/100*Construction!Q11/Inputs!$F$247</f>
        <v/>
      </c>
      <c r="R37" s="13">
        <f>Construction!R14*R32*(Inputs!$F$102*(Construction!R17+Inputs!$F$82+Inputs!$F$101)/(1-Inputs!$F$93/100)+(1-Inputs!$F$102)*(Construction!R17+Inputs!$F$80+Inputs!$F$101))/100*Construction!R11/Inputs!$F$247</f>
        <v/>
      </c>
      <c r="S37" s="13">
        <f>Construction!S14*S32*(Inputs!$F$102*(Construction!S17+Inputs!$F$82+Inputs!$F$101)/(1-Inputs!$F$93/100)+(1-Inputs!$F$102)*(Construction!S17+Inputs!$F$80+Inputs!$F$101))/100*Construction!S11/Inputs!$F$247</f>
        <v/>
      </c>
      <c r="T37" s="13">
        <f>Construction!T14*T32*(Inputs!$F$102*(Construction!T17+Inputs!$F$82+Inputs!$F$101)/(1-Inputs!$F$93/100)+(1-Inputs!$F$102)*(Construction!T17+Inputs!$F$80+Inputs!$F$101))/100*Construction!T11/Inputs!$F$247</f>
        <v/>
      </c>
      <c r="U37" s="13">
        <f>Construction!U14*U32*(Inputs!$F$102*(Construction!U17+Inputs!$F$82+Inputs!$F$101)/(1-Inputs!$F$93/100)+(1-Inputs!$F$102)*(Construction!U17+Inputs!$F$80+Inputs!$F$101))/100*Construction!U11/Inputs!$F$247</f>
        <v/>
      </c>
      <c r="V37" s="13">
        <f>Construction!V14*V32*(Inputs!$F$102*(Construction!V17+Inputs!$F$82+Inputs!$F$101)/(1-Inputs!$F$93/100)+(1-Inputs!$F$102)*(Construction!V17+Inputs!$F$80+Inputs!$F$101))/100*Construction!V11/Inputs!$F$247</f>
        <v/>
      </c>
      <c r="W37" s="13">
        <f>Construction!W14*W32*(Inputs!$F$102*(Construction!W17+Inputs!$F$82+Inputs!$F$101)/(1-Inputs!$F$93/100)+(1-Inputs!$F$102)*(Construction!W17+Inputs!$F$80+Inputs!$F$101))/100*Construction!W11/Inputs!$F$247</f>
        <v/>
      </c>
      <c r="X37" s="13">
        <f>Construction!X14*X32*(Inputs!$F$102*(Construction!X17+Inputs!$F$82+Inputs!$F$101)/(1-Inputs!$F$93/100)+(1-Inputs!$F$102)*(Construction!X17+Inputs!$F$80+Inputs!$F$101))/100*Construction!X11/Inputs!$F$247</f>
        <v/>
      </c>
      <c r="Y37" s="13">
        <f>Construction!Y14*Y32*(Inputs!$F$102*(Construction!Y17+Inputs!$F$82+Inputs!$F$101)/(1-Inputs!$F$93/100)+(1-Inputs!$F$102)*(Construction!Y17+Inputs!$F$80+Inputs!$F$101))/100*Construction!Y11/Inputs!$F$247</f>
        <v/>
      </c>
      <c r="Z37" s="13">
        <f>Construction!Z14*Z32*(Inputs!$F$102*(Construction!Z17+Inputs!$F$82+Inputs!$F$101)/(1-Inputs!$F$93/100)+(1-Inputs!$F$102)*(Construction!Z17+Inputs!$F$80+Inputs!$F$101))/100*Construction!Z11/Inputs!$F$247</f>
        <v/>
      </c>
      <c r="AA37" s="13">
        <f>Construction!AA14*AA32*(Inputs!$F$102*(Construction!AA17+Inputs!$F$82+Inputs!$F$101)/(1-Inputs!$F$93/100)+(1-Inputs!$F$102)*(Construction!AA17+Inputs!$F$80+Inputs!$F$101))/100*Construction!AA11/Inputs!$F$247</f>
        <v/>
      </c>
      <c r="AB37" s="13">
        <f>Construction!AB14*AB32*(Inputs!$F$102*(Construction!AB17+Inputs!$F$82+Inputs!$F$101)/(1-Inputs!$F$93/100)+(1-Inputs!$F$102)*(Construction!AB17+Inputs!$F$80+Inputs!$F$101))/100*Construction!AB11/Inputs!$F$247</f>
        <v/>
      </c>
      <c r="AC37" s="13">
        <f>Construction!AC14*AC32*(Inputs!$F$102*(Construction!AC17+Inputs!$F$82+Inputs!$F$101)/(1-Inputs!$F$93/100)+(1-Inputs!$F$102)*(Construction!AC17+Inputs!$F$80+Inputs!$F$101))/100*Construction!AC11/Inputs!$F$247</f>
        <v/>
      </c>
      <c r="AD37" s="13">
        <f>Construction!AD14*AD32*(Inputs!$F$102*(Construction!AD17+Inputs!$F$82+Inputs!$F$101)/(1-Inputs!$F$93/100)+(1-Inputs!$F$102)*(Construction!AD17+Inputs!$F$80+Inputs!$F$101))/100*Construction!AD11/Inputs!$F$247</f>
        <v/>
      </c>
      <c r="AE37" s="13">
        <f>Construction!AE14*AE32*(Inputs!$F$102*(Construction!AE17+Inputs!$F$82+Inputs!$F$101)/(1-Inputs!$F$93/100)+(1-Inputs!$F$102)*(Construction!AE17+Inputs!$F$80+Inputs!$F$101))/100*Construction!AE11/Inputs!$F$247</f>
        <v/>
      </c>
      <c r="AF37" s="13">
        <f>Construction!AF14*AF32*(Inputs!$F$102*(Construction!AF17+Inputs!$F$82+Inputs!$F$101)/(1-Inputs!$F$93/100)+(1-Inputs!$F$102)*(Construction!AF17+Inputs!$F$80+Inputs!$F$101))/100*Construction!AF11/Inputs!$F$247</f>
        <v/>
      </c>
      <c r="AG37" s="13">
        <f>Construction!AG14*AG32*(Inputs!$F$102*(Construction!AG17+Inputs!$F$82+Inputs!$F$101)/(1-Inputs!$F$93/100)+(1-Inputs!$F$102)*(Construction!AG17+Inputs!$F$80+Inputs!$F$101))/100*Construction!AG11/Inputs!$F$247</f>
        <v/>
      </c>
      <c r="AH37" s="13">
        <f>Construction!AH14*AH32*(Inputs!$F$102*(Construction!AH17+Inputs!$F$82+Inputs!$F$101)/(1-Inputs!$F$93/100)+(1-Inputs!$F$102)*(Construction!AH17+Inputs!$F$80+Inputs!$F$101))/100*Construction!AH11/Inputs!$F$247</f>
        <v/>
      </c>
      <c r="AI37" s="13">
        <f>Construction!AI14*AI32*(Inputs!$F$102*(Construction!AI17+Inputs!$F$82+Inputs!$F$101)/(1-Inputs!$F$93/100)+(1-Inputs!$F$102)*(Construction!AI17+Inputs!$F$80+Inputs!$F$101))/100*Construction!AI11/Inputs!$F$247</f>
        <v/>
      </c>
      <c r="AJ37" s="13">
        <f>Construction!AJ14*AJ32*(Inputs!$F$102*(Construction!AJ17+Inputs!$F$82+Inputs!$F$101)/(1-Inputs!$F$93/100)+(1-Inputs!$F$102)*(Construction!AJ17+Inputs!$F$80+Inputs!$F$101))/100*Construction!AJ11/Inputs!$F$247</f>
        <v/>
      </c>
      <c r="AK37" s="13">
        <f>Construction!AK14*AK32*(Inputs!$F$102*(Construction!AK17+Inputs!$F$82+Inputs!$F$101)/(1-Inputs!$F$93/100)+(1-Inputs!$F$102)*(Construction!AK17+Inputs!$F$80+Inputs!$F$101))/100*Construction!AK11/Inputs!$F$247</f>
        <v/>
      </c>
      <c r="AL37" s="13">
        <f>Construction!AL14*AL32*(Inputs!$F$102*(Construction!AL17+Inputs!$F$82+Inputs!$F$101)/(1-Inputs!$F$93/100)+(1-Inputs!$F$102)*(Construction!AL17+Inputs!$F$80+Inputs!$F$101))/100*Construction!AL11/Inputs!$F$247</f>
        <v/>
      </c>
      <c r="AM37" s="13">
        <f>Construction!AM14*AM32*(Inputs!$F$102*(Construction!AM17+Inputs!$F$82+Inputs!$F$101)/(1-Inputs!$F$93/100)+(1-Inputs!$F$102)*(Construction!AM17+Inputs!$F$80+Inputs!$F$101))/100*Construction!AM11/Inputs!$F$247</f>
        <v/>
      </c>
      <c r="AN37" s="13">
        <f>Construction!AN14*AN32*(Inputs!$F$102*(Construction!AN17+Inputs!$F$82+Inputs!$F$101)/(1-Inputs!$F$93/100)+(1-Inputs!$F$102)*(Construction!AN17+Inputs!$F$80+Inputs!$F$101))/100*Construction!AN11/Inputs!$F$247</f>
        <v/>
      </c>
      <c r="AO37" s="13">
        <f>Construction!AO14*AO32*(Inputs!$F$102*(Construction!AO17+Inputs!$F$82+Inputs!$F$101)/(1-Inputs!$F$93/100)+(1-Inputs!$F$102)*(Construction!AO17+Inputs!$F$80+Inputs!$F$101))/100*Construction!AO11/Inputs!$F$247</f>
        <v/>
      </c>
      <c r="AP37" s="13">
        <f>Construction!AP14*AP32*(Inputs!$F$102*(Construction!AP17+Inputs!$F$82+Inputs!$F$101)/(1-Inputs!$F$93/100)+(1-Inputs!$F$102)*(Construction!AP17+Inputs!$F$80+Inputs!$F$101))/100*Construction!AP11/Inputs!$F$247</f>
        <v/>
      </c>
      <c r="AQ37" s="13">
        <f>Construction!AQ14*AQ32*(Inputs!$F$102*(Construction!AQ17+Inputs!$F$82+Inputs!$F$101)/(1-Inputs!$F$93/100)+(1-Inputs!$F$102)*(Construction!AQ17+Inputs!$F$80+Inputs!$F$101))/100*Construction!AQ11/Inputs!$F$247</f>
        <v/>
      </c>
      <c r="AR37" s="13">
        <f>Construction!AR14*AR32*(Inputs!$F$102*(Construction!AR17+Inputs!$F$82+Inputs!$F$101)/(1-Inputs!$F$93/100)+(1-Inputs!$F$102)*(Construction!AR17+Inputs!$F$80+Inputs!$F$101))/100*Construction!AR11/Inputs!$F$247</f>
        <v/>
      </c>
      <c r="AS37" s="13">
        <f>Construction!AS14*AS32*(Inputs!$F$102*(Construction!AS17+Inputs!$F$82+Inputs!$F$101)/(1-Inputs!$F$93/100)+(1-Inputs!$F$102)*(Construction!AS17+Inputs!$F$80+Inputs!$F$101))/100*Construction!AS11/Inputs!$F$247</f>
        <v/>
      </c>
      <c r="AT37" s="13">
        <f>Construction!AT14*AT32*(Inputs!$F$102*(Construction!AT17+Inputs!$F$82+Inputs!$F$101)/(1-Inputs!$F$93/100)+(1-Inputs!$F$102)*(Construction!AT17+Inputs!$F$80+Inputs!$F$101))/100*Construction!AT11/Inputs!$F$247</f>
        <v/>
      </c>
      <c r="AU37" s="13">
        <f>Construction!AU14*AU32*(Inputs!$F$102*(Construction!AU17+Inputs!$F$82+Inputs!$F$101)/(1-Inputs!$F$93/100)+(1-Inputs!$F$102)*(Construction!AU17+Inputs!$F$80+Inputs!$F$101))/100*Construction!AU11/Inputs!$F$247</f>
        <v/>
      </c>
      <c r="AV37" s="13">
        <f>Construction!AV14*AV32*(Inputs!$F$102*(Construction!AV17+Inputs!$F$82+Inputs!$F$101)/(1-Inputs!$F$93/100)+(1-Inputs!$F$102)*(Construction!AV17+Inputs!$F$80+Inputs!$F$101))/100*Construction!AV11/Inputs!$F$247</f>
        <v/>
      </c>
      <c r="AW37" s="13">
        <f>Construction!AW14*AW32*(Inputs!$F$102*(Construction!AW17+Inputs!$F$82+Inputs!$F$101)/(1-Inputs!$F$93/100)+(1-Inputs!$F$102)*(Construction!AW17+Inputs!$F$80+Inputs!$F$101))/100*Construction!AW11/Inputs!$F$247</f>
        <v/>
      </c>
      <c r="AX37" s="13">
        <f>Construction!AX14*AX32*(Inputs!$F$102*(Construction!AX17+Inputs!$F$82+Inputs!$F$101)/(1-Inputs!$F$93/100)+(1-Inputs!$F$102)*(Construction!AX17+Inputs!$F$80+Inputs!$F$101))/100*Construction!AX11/Inputs!$F$247</f>
        <v/>
      </c>
      <c r="AY37" s="13">
        <f>Construction!AY14*AY32*(Inputs!$F$102*(Construction!AY17+Inputs!$F$82+Inputs!$F$101)/(1-Inputs!$F$93/100)+(1-Inputs!$F$102)*(Construction!AY17+Inputs!$F$80+Inputs!$F$101))/100*Construction!AY11/Inputs!$F$247</f>
        <v/>
      </c>
      <c r="AZ37" s="13">
        <f>Construction!AZ14*AZ32*(Inputs!$F$102*(Construction!AZ17+Inputs!$F$82+Inputs!$F$101)/(1-Inputs!$F$93/100)+(1-Inputs!$F$102)*(Construction!AZ17+Inputs!$F$80+Inputs!$F$101))/100*Construction!AZ11/Inputs!$F$247</f>
        <v/>
      </c>
      <c r="BA37" s="13">
        <f>Construction!BA14*BA32*(Inputs!$F$102*(Construction!BA17+Inputs!$F$82+Inputs!$F$101)/(1-Inputs!$F$93/100)+(1-Inputs!$F$102)*(Construction!BA17+Inputs!$F$80+Inputs!$F$101))/100*Construction!BA11/Inputs!$F$247</f>
        <v/>
      </c>
      <c r="BB37" s="13">
        <f>Construction!BB14*BB32*(Inputs!$F$102*(Construction!BB17+Inputs!$F$82+Inputs!$F$101)/(1-Inputs!$F$93/100)+(1-Inputs!$F$102)*(Construction!BB17+Inputs!$F$80+Inputs!$F$101))/100*Construction!BB11/Inputs!$F$247</f>
        <v/>
      </c>
      <c r="BC37" s="13">
        <f>Construction!BC14*BC32*(Inputs!$F$102*(Construction!BC17+Inputs!$F$82+Inputs!$F$101)/(1-Inputs!$F$93/100)+(1-Inputs!$F$102)*(Construction!BC17+Inputs!$F$80+Inputs!$F$101))/100*Construction!BC11/Inputs!$F$247</f>
        <v/>
      </c>
      <c r="BD37" s="13">
        <f>Construction!BD14*BD32*(Inputs!$F$102*(Construction!BD17+Inputs!$F$82+Inputs!$F$101)/(1-Inputs!$F$93/100)+(1-Inputs!$F$102)*(Construction!BD17+Inputs!$F$80+Inputs!$F$101))/100*Construction!BD11/Inputs!$F$247</f>
        <v/>
      </c>
      <c r="BE37" s="13">
        <f>Construction!BE14*BE32*(Inputs!$F$102*(Construction!BE17+Inputs!$F$82+Inputs!$F$101)/(1-Inputs!$F$93/100)+(1-Inputs!$F$102)*(Construction!BE17+Inputs!$F$80+Inputs!$F$101))/100*Construction!BE11/Inputs!$F$247</f>
        <v/>
      </c>
      <c r="BF37" s="13">
        <f>Construction!BF14*BF32*(Inputs!$F$102*(Construction!BF17+Inputs!$F$82+Inputs!$F$101)/(1-Inputs!$F$93/100)+(1-Inputs!$F$102)*(Construction!BF17+Inputs!$F$80+Inputs!$F$101))/100*Construction!BF11/Inputs!$F$247</f>
        <v/>
      </c>
      <c r="BG37" s="13">
        <f>Construction!BG14*BG32*(Inputs!$F$102*(Construction!BG17+Inputs!$F$82+Inputs!$F$101)/(1-Inputs!$F$93/100)+(1-Inputs!$F$102)*(Construction!BG17+Inputs!$F$80+Inputs!$F$101))/100*Construction!BG11/Inputs!$F$247</f>
        <v/>
      </c>
      <c r="BH37" s="13">
        <f>Construction!BH14*BH32*(Inputs!$F$102*(Construction!BH17+Inputs!$F$82+Inputs!$F$101)/(1-Inputs!$F$93/100)+(1-Inputs!$F$102)*(Construction!BH17+Inputs!$F$80+Inputs!$F$101))/100*Construction!BH11/Inputs!$F$247</f>
        <v/>
      </c>
      <c r="BI37" s="13">
        <f>Construction!BI14*BI32*(Inputs!$F$102*(Construction!BI17+Inputs!$F$82+Inputs!$F$101)/(1-Inputs!$F$93/100)+(1-Inputs!$F$102)*(Construction!BI17+Inputs!$F$80+Inputs!$F$101))/100*Construction!BI11/Inputs!$F$247</f>
        <v/>
      </c>
      <c r="BJ37" s="13">
        <f>Construction!BJ14*BJ32*(Inputs!$F$102*(Construction!BJ17+Inputs!$F$82+Inputs!$F$101)/(1-Inputs!$F$93/100)+(1-Inputs!$F$102)*(Construction!BJ17+Inputs!$F$80+Inputs!$F$101))/100*Construction!BJ11/Inputs!$F$247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3">
        <f>SUM(J38:BJ38)</f>
        <v/>
      </c>
      <c r="J38" s="13">
        <f>Construction!J14*(Inputs!$F$95/100*Inputs!$F$96/100)*J31*Construction!J11/Inputs!$F$248</f>
        <v/>
      </c>
      <c r="K38" s="13">
        <f>Construction!K14*(Inputs!$F$95/100*Inputs!$F$96/100)*K31*Construction!K11/Inputs!$F$248</f>
        <v/>
      </c>
      <c r="L38" s="13">
        <f>Construction!L14*(Inputs!$F$95/100*Inputs!$F$96/100)*L31*Construction!L11/Inputs!$F$248</f>
        <v/>
      </c>
      <c r="M38" s="13">
        <f>Construction!M14*(Inputs!$F$95/100*Inputs!$F$96/100)*M31*Construction!M11/Inputs!$F$248</f>
        <v/>
      </c>
      <c r="N38" s="13">
        <f>Construction!N14*(Inputs!$F$95/100*Inputs!$F$96/100)*N31*Construction!N11/Inputs!$F$248</f>
        <v/>
      </c>
      <c r="O38" s="13">
        <f>Construction!O14*(Inputs!$F$95/100*Inputs!$F$96/100)*O31*Construction!O11/Inputs!$F$248</f>
        <v/>
      </c>
      <c r="P38" s="13">
        <f>Construction!P14*(Inputs!$F$95/100*Inputs!$F$96/100)*P31*Construction!P11/Inputs!$F$248</f>
        <v/>
      </c>
      <c r="Q38" s="13">
        <f>Construction!Q14*(Inputs!$F$95/100*Inputs!$F$96/100)*Q31*Construction!Q11/Inputs!$F$248</f>
        <v/>
      </c>
      <c r="R38" s="13">
        <f>Construction!R14*(Inputs!$F$95/100*Inputs!$F$96/100)*R31*Construction!R11/Inputs!$F$248</f>
        <v/>
      </c>
      <c r="S38" s="13">
        <f>Construction!S14*(Inputs!$F$95/100*Inputs!$F$96/100)*S31*Construction!S11/Inputs!$F$248</f>
        <v/>
      </c>
      <c r="T38" s="13">
        <f>Construction!T14*(Inputs!$F$95/100*Inputs!$F$96/100)*T31*Construction!T11/Inputs!$F$248</f>
        <v/>
      </c>
      <c r="U38" s="13">
        <f>Construction!U14*(Inputs!$F$95/100*Inputs!$F$96/100)*U31*Construction!U11/Inputs!$F$248</f>
        <v/>
      </c>
      <c r="V38" s="13">
        <f>Construction!V14*(Inputs!$F$95/100*Inputs!$F$96/100)*V31*Construction!V11/Inputs!$F$248</f>
        <v/>
      </c>
      <c r="W38" s="13">
        <f>Construction!W14*(Inputs!$F$95/100*Inputs!$F$96/100)*W31*Construction!W11/Inputs!$F$248</f>
        <v/>
      </c>
      <c r="X38" s="13">
        <f>Construction!X14*(Inputs!$F$95/100*Inputs!$F$96/100)*X31*Construction!X11/Inputs!$F$248</f>
        <v/>
      </c>
      <c r="Y38" s="13">
        <f>Construction!Y14*(Inputs!$F$95/100*Inputs!$F$96/100)*Y31*Construction!Y11/Inputs!$F$248</f>
        <v/>
      </c>
      <c r="Z38" s="13">
        <f>Construction!Z14*(Inputs!$F$95/100*Inputs!$F$96/100)*Z31*Construction!Z11/Inputs!$F$248</f>
        <v/>
      </c>
      <c r="AA38" s="13">
        <f>Construction!AA14*(Inputs!$F$95/100*Inputs!$F$96/100)*AA31*Construction!AA11/Inputs!$F$248</f>
        <v/>
      </c>
      <c r="AB38" s="13">
        <f>Construction!AB14*(Inputs!$F$95/100*Inputs!$F$96/100)*AB31*Construction!AB11/Inputs!$F$248</f>
        <v/>
      </c>
      <c r="AC38" s="13">
        <f>Construction!AC14*(Inputs!$F$95/100*Inputs!$F$96/100)*AC31*Construction!AC11/Inputs!$F$248</f>
        <v/>
      </c>
      <c r="AD38" s="13">
        <f>Construction!AD14*(Inputs!$F$95/100*Inputs!$F$96/100)*AD31*Construction!AD11/Inputs!$F$248</f>
        <v/>
      </c>
      <c r="AE38" s="13">
        <f>Construction!AE14*(Inputs!$F$95/100*Inputs!$F$96/100)*AE31*Construction!AE11/Inputs!$F$248</f>
        <v/>
      </c>
      <c r="AF38" s="13">
        <f>Construction!AF14*(Inputs!$F$95/100*Inputs!$F$96/100)*AF31*Construction!AF11/Inputs!$F$248</f>
        <v/>
      </c>
      <c r="AG38" s="13">
        <f>Construction!AG14*(Inputs!$F$95/100*Inputs!$F$96/100)*AG31*Construction!AG11/Inputs!$F$248</f>
        <v/>
      </c>
      <c r="AH38" s="13">
        <f>Construction!AH14*(Inputs!$F$95/100*Inputs!$F$96/100)*AH31*Construction!AH11/Inputs!$F$248</f>
        <v/>
      </c>
      <c r="AI38" s="13">
        <f>Construction!AI14*(Inputs!$F$95/100*Inputs!$F$96/100)*AI31*Construction!AI11/Inputs!$F$248</f>
        <v/>
      </c>
      <c r="AJ38" s="13">
        <f>Construction!AJ14*(Inputs!$F$95/100*Inputs!$F$96/100)*AJ31*Construction!AJ11/Inputs!$F$248</f>
        <v/>
      </c>
      <c r="AK38" s="13">
        <f>Construction!AK14*(Inputs!$F$95/100*Inputs!$F$96/100)*AK31*Construction!AK11/Inputs!$F$248</f>
        <v/>
      </c>
      <c r="AL38" s="13">
        <f>Construction!AL14*(Inputs!$F$95/100*Inputs!$F$96/100)*AL31*Construction!AL11/Inputs!$F$248</f>
        <v/>
      </c>
      <c r="AM38" s="13">
        <f>Construction!AM14*(Inputs!$F$95/100*Inputs!$F$96/100)*AM31*Construction!AM11/Inputs!$F$248</f>
        <v/>
      </c>
      <c r="AN38" s="13">
        <f>Construction!AN14*(Inputs!$F$95/100*Inputs!$F$96/100)*AN31*Construction!AN11/Inputs!$F$248</f>
        <v/>
      </c>
      <c r="AO38" s="13">
        <f>Construction!AO14*(Inputs!$F$95/100*Inputs!$F$96/100)*AO31*Construction!AO11/Inputs!$F$248</f>
        <v/>
      </c>
      <c r="AP38" s="13">
        <f>Construction!AP14*(Inputs!$F$95/100*Inputs!$F$96/100)*AP31*Construction!AP11/Inputs!$F$248</f>
        <v/>
      </c>
      <c r="AQ38" s="13">
        <f>Construction!AQ14*(Inputs!$F$95/100*Inputs!$F$96/100)*AQ31*Construction!AQ11/Inputs!$F$248</f>
        <v/>
      </c>
      <c r="AR38" s="13">
        <f>Construction!AR14*(Inputs!$F$95/100*Inputs!$F$96/100)*AR31*Construction!AR11/Inputs!$F$248</f>
        <v/>
      </c>
      <c r="AS38" s="13">
        <f>Construction!AS14*(Inputs!$F$95/100*Inputs!$F$96/100)*AS31*Construction!AS11/Inputs!$F$248</f>
        <v/>
      </c>
      <c r="AT38" s="13">
        <f>Construction!AT14*(Inputs!$F$95/100*Inputs!$F$96/100)*AT31*Construction!AT11/Inputs!$F$248</f>
        <v/>
      </c>
      <c r="AU38" s="13">
        <f>Construction!AU14*(Inputs!$F$95/100*Inputs!$F$96/100)*AU31*Construction!AU11/Inputs!$F$248</f>
        <v/>
      </c>
      <c r="AV38" s="13">
        <f>Construction!AV14*(Inputs!$F$95/100*Inputs!$F$96/100)*AV31*Construction!AV11/Inputs!$F$248</f>
        <v/>
      </c>
      <c r="AW38" s="13">
        <f>Construction!AW14*(Inputs!$F$95/100*Inputs!$F$96/100)*AW31*Construction!AW11/Inputs!$F$248</f>
        <v/>
      </c>
      <c r="AX38" s="13">
        <f>Construction!AX14*(Inputs!$F$95/100*Inputs!$F$96/100)*AX31*Construction!AX11/Inputs!$F$248</f>
        <v/>
      </c>
      <c r="AY38" s="13">
        <f>Construction!AY14*(Inputs!$F$95/100*Inputs!$F$96/100)*AY31*Construction!AY11/Inputs!$F$248</f>
        <v/>
      </c>
      <c r="AZ38" s="13">
        <f>Construction!AZ14*(Inputs!$F$95/100*Inputs!$F$96/100)*AZ31*Construction!AZ11/Inputs!$F$248</f>
        <v/>
      </c>
      <c r="BA38" s="13">
        <f>Construction!BA14*(Inputs!$F$95/100*Inputs!$F$96/100)*BA31*Construction!BA11/Inputs!$F$248</f>
        <v/>
      </c>
      <c r="BB38" s="13">
        <f>Construction!BB14*(Inputs!$F$95/100*Inputs!$F$96/100)*BB31*Construction!BB11/Inputs!$F$248</f>
        <v/>
      </c>
      <c r="BC38" s="13">
        <f>Construction!BC14*(Inputs!$F$95/100*Inputs!$F$96/100)*BC31*Construction!BC11/Inputs!$F$248</f>
        <v/>
      </c>
      <c r="BD38" s="13">
        <f>Construction!BD14*(Inputs!$F$95/100*Inputs!$F$96/100)*BD31*Construction!BD11/Inputs!$F$248</f>
        <v/>
      </c>
      <c r="BE38" s="13">
        <f>Construction!BE14*(Inputs!$F$95/100*Inputs!$F$96/100)*BE31*Construction!BE11/Inputs!$F$248</f>
        <v/>
      </c>
      <c r="BF38" s="13">
        <f>Construction!BF14*(Inputs!$F$95/100*Inputs!$F$96/100)*BF31*Construction!BF11/Inputs!$F$248</f>
        <v/>
      </c>
      <c r="BG38" s="13">
        <f>Construction!BG14*(Inputs!$F$95/100*Inputs!$F$96/100)*BG31*Construction!BG11/Inputs!$F$248</f>
        <v/>
      </c>
      <c r="BH38" s="13">
        <f>Construction!BH14*(Inputs!$F$95/100*Inputs!$F$96/100)*BH31*Construction!BH11/Inputs!$F$248</f>
        <v/>
      </c>
      <c r="BI38" s="13">
        <f>Construction!BI14*(Inputs!$F$95/100*Inputs!$F$96/100)*BI31*Construction!BI11/Inputs!$F$248</f>
        <v/>
      </c>
      <c r="BJ38" s="13">
        <f>Construction!BJ14*(Inputs!$F$95/100*Inputs!$F$96/100)*BJ31*Construction!BJ11/Inputs!$F$248</f>
        <v/>
      </c>
    </row>
    <row r="39">
      <c r="D39" t="inlineStr">
        <is>
          <t>Swap net payment</t>
        </is>
      </c>
      <c r="E39" t="inlineStr">
        <is>
          <t>USD m</t>
        </is>
      </c>
      <c r="G39" s="13">
        <f>SUM(J39:BJ39)</f>
        <v/>
      </c>
      <c r="J39" s="13">
        <f>-1*Construction!J14*Inputs!J309*(Inputs!$F$97/100/12-Construction!J17/100*Construction!J11/Inputs!$F$247)</f>
        <v/>
      </c>
      <c r="K39" s="13">
        <f>-1*Construction!K14*Inputs!K309*(Inputs!$F$97/100/12-Construction!K17/100*Construction!K11/Inputs!$F$247)</f>
        <v/>
      </c>
      <c r="L39" s="13">
        <f>-1*Construction!L14*Inputs!L309*(Inputs!$F$97/100/12-Construction!L17/100*Construction!L11/Inputs!$F$247)</f>
        <v/>
      </c>
      <c r="M39" s="13">
        <f>-1*Construction!M14*Inputs!M309*(Inputs!$F$97/100/12-Construction!M17/100*Construction!M11/Inputs!$F$247)</f>
        <v/>
      </c>
      <c r="N39" s="13">
        <f>-1*Construction!N14*Inputs!N309*(Inputs!$F$97/100/12-Construction!N17/100*Construction!N11/Inputs!$F$247)</f>
        <v/>
      </c>
      <c r="O39" s="13">
        <f>-1*Construction!O14*Inputs!O309*(Inputs!$F$97/100/12-Construction!O17/100*Construction!O11/Inputs!$F$247)</f>
        <v/>
      </c>
      <c r="P39" s="13">
        <f>-1*Construction!P14*Inputs!P309*(Inputs!$F$97/100/12-Construction!P17/100*Construction!P11/Inputs!$F$247)</f>
        <v/>
      </c>
      <c r="Q39" s="13">
        <f>-1*Construction!Q14*Inputs!Q309*(Inputs!$F$97/100/12-Construction!Q17/100*Construction!Q11/Inputs!$F$247)</f>
        <v/>
      </c>
      <c r="R39" s="13">
        <f>-1*Construction!R14*Inputs!R309*(Inputs!$F$97/100/12-Construction!R17/100*Construction!R11/Inputs!$F$247)</f>
        <v/>
      </c>
      <c r="S39" s="13">
        <f>-1*Construction!S14*Inputs!S309*(Inputs!$F$97/100/12-Construction!S17/100*Construction!S11/Inputs!$F$247)</f>
        <v/>
      </c>
      <c r="T39" s="13">
        <f>-1*Construction!T14*Inputs!T309*(Inputs!$F$97/100/12-Construction!T17/100*Construction!T11/Inputs!$F$247)</f>
        <v/>
      </c>
      <c r="U39" s="13">
        <f>-1*Construction!U14*Inputs!U309*(Inputs!$F$97/100/12-Construction!U17/100*Construction!U11/Inputs!$F$247)</f>
        <v/>
      </c>
      <c r="V39" s="13">
        <f>-1*Construction!V14*Inputs!V309*(Inputs!$F$97/100/12-Construction!V17/100*Construction!V11/Inputs!$F$247)</f>
        <v/>
      </c>
      <c r="W39" s="13">
        <f>-1*Construction!W14*Inputs!W309*(Inputs!$F$97/100/12-Construction!W17/100*Construction!W11/Inputs!$F$247)</f>
        <v/>
      </c>
      <c r="X39" s="13">
        <f>-1*Construction!X14*Inputs!X309*(Inputs!$F$97/100/12-Construction!X17/100*Construction!X11/Inputs!$F$247)</f>
        <v/>
      </c>
      <c r="Y39" s="13">
        <f>-1*Construction!Y14*Inputs!Y309*(Inputs!$F$97/100/12-Construction!Y17/100*Construction!Y11/Inputs!$F$247)</f>
        <v/>
      </c>
      <c r="Z39" s="13">
        <f>-1*Construction!Z14*Inputs!Z309*(Inputs!$F$97/100/12-Construction!Z17/100*Construction!Z11/Inputs!$F$247)</f>
        <v/>
      </c>
      <c r="AA39" s="13">
        <f>-1*Construction!AA14*Inputs!AA309*(Inputs!$F$97/100/12-Construction!AA17/100*Construction!AA11/Inputs!$F$247)</f>
        <v/>
      </c>
      <c r="AB39" s="13">
        <f>-1*Construction!AB14*Inputs!AB309*(Inputs!$F$97/100/12-Construction!AB17/100*Construction!AB11/Inputs!$F$247)</f>
        <v/>
      </c>
      <c r="AC39" s="13">
        <f>-1*Construction!AC14*Inputs!AC309*(Inputs!$F$97/100/12-Construction!AC17/100*Construction!AC11/Inputs!$F$247)</f>
        <v/>
      </c>
      <c r="AD39" s="13">
        <f>-1*Construction!AD14*Inputs!AD309*(Inputs!$F$97/100/12-Construction!AD17/100*Construction!AD11/Inputs!$F$247)</f>
        <v/>
      </c>
      <c r="AE39" s="13">
        <f>-1*Construction!AE14*Inputs!AE309*(Inputs!$F$97/100/12-Construction!AE17/100*Construction!AE11/Inputs!$F$247)</f>
        <v/>
      </c>
      <c r="AF39" s="13">
        <f>-1*Construction!AF14*Inputs!AF309*(Inputs!$F$97/100/12-Construction!AF17/100*Construction!AF11/Inputs!$F$247)</f>
        <v/>
      </c>
      <c r="AG39" s="13">
        <f>-1*Construction!AG14*Inputs!AG309*(Inputs!$F$97/100/12-Construction!AG17/100*Construction!AG11/Inputs!$F$247)</f>
        <v/>
      </c>
      <c r="AH39" s="13">
        <f>-1*Construction!AH14*Inputs!AH309*(Inputs!$F$97/100/12-Construction!AH17/100*Construction!AH11/Inputs!$F$247)</f>
        <v/>
      </c>
      <c r="AI39" s="13">
        <f>-1*Construction!AI14*Inputs!AI309*(Inputs!$F$97/100/12-Construction!AI17/100*Construction!AI11/Inputs!$F$247)</f>
        <v/>
      </c>
      <c r="AJ39" s="13">
        <f>-1*Construction!AJ14*Inputs!AJ309*(Inputs!$F$97/100/12-Construction!AJ17/100*Construction!AJ11/Inputs!$F$247)</f>
        <v/>
      </c>
      <c r="AK39" s="13">
        <f>-1*Construction!AK14*Inputs!AK309*(Inputs!$F$97/100/12-Construction!AK17/100*Construction!AK11/Inputs!$F$247)</f>
        <v/>
      </c>
      <c r="AL39" s="13">
        <f>-1*Construction!AL14*Inputs!AL309*(Inputs!$F$97/100/12-Construction!AL17/100*Construction!AL11/Inputs!$F$247)</f>
        <v/>
      </c>
      <c r="AM39" s="13">
        <f>-1*Construction!AM14*Inputs!AM309*(Inputs!$F$97/100/12-Construction!AM17/100*Construction!AM11/Inputs!$F$247)</f>
        <v/>
      </c>
      <c r="AN39" s="13">
        <f>-1*Construction!AN14*Inputs!AN309*(Inputs!$F$97/100/12-Construction!AN17/100*Construction!AN11/Inputs!$F$247)</f>
        <v/>
      </c>
      <c r="AO39" s="13">
        <f>-1*Construction!AO14*Inputs!AO309*(Inputs!$F$97/100/12-Construction!AO17/100*Construction!AO11/Inputs!$F$247)</f>
        <v/>
      </c>
      <c r="AP39" s="13">
        <f>-1*Construction!AP14*Inputs!AP309*(Inputs!$F$97/100/12-Construction!AP17/100*Construction!AP11/Inputs!$F$247)</f>
        <v/>
      </c>
      <c r="AQ39" s="13">
        <f>-1*Construction!AQ14*Inputs!AQ309*(Inputs!$F$97/100/12-Construction!AQ17/100*Construction!AQ11/Inputs!$F$247)</f>
        <v/>
      </c>
      <c r="AR39" s="13">
        <f>-1*Construction!AR14*Inputs!AR309*(Inputs!$F$97/100/12-Construction!AR17/100*Construction!AR11/Inputs!$F$247)</f>
        <v/>
      </c>
      <c r="AS39" s="13">
        <f>-1*Construction!AS14*Inputs!AS309*(Inputs!$F$97/100/12-Construction!AS17/100*Construction!AS11/Inputs!$F$247)</f>
        <v/>
      </c>
      <c r="AT39" s="13">
        <f>-1*Construction!AT14*Inputs!AT309*(Inputs!$F$97/100/12-Construction!AT17/100*Construction!AT11/Inputs!$F$247)</f>
        <v/>
      </c>
      <c r="AU39" s="13">
        <f>-1*Construction!AU14*Inputs!AU309*(Inputs!$F$97/100/12-Construction!AU17/100*Construction!AU11/Inputs!$F$247)</f>
        <v/>
      </c>
      <c r="AV39" s="13">
        <f>-1*Construction!AV14*Inputs!AV309*(Inputs!$F$97/100/12-Construction!AV17/100*Construction!AV11/Inputs!$F$247)</f>
        <v/>
      </c>
      <c r="AW39" s="13">
        <f>-1*Construction!AW14*Inputs!AW309*(Inputs!$F$97/100/12-Construction!AW17/100*Construction!AW11/Inputs!$F$247)</f>
        <v/>
      </c>
      <c r="AX39" s="13">
        <f>-1*Construction!AX14*Inputs!AX309*(Inputs!$F$97/100/12-Construction!AX17/100*Construction!AX11/Inputs!$F$247)</f>
        <v/>
      </c>
      <c r="AY39" s="13">
        <f>-1*Construction!AY14*Inputs!AY309*(Inputs!$F$97/100/12-Construction!AY17/100*Construction!AY11/Inputs!$F$247)</f>
        <v/>
      </c>
      <c r="AZ39" s="13">
        <f>-1*Construction!AZ14*Inputs!AZ309*(Inputs!$F$97/100/12-Construction!AZ17/100*Construction!AZ11/Inputs!$F$247)</f>
        <v/>
      </c>
      <c r="BA39" s="13">
        <f>-1*Construction!BA14*Inputs!BA309*(Inputs!$F$97/100/12-Construction!BA17/100*Construction!BA11/Inputs!$F$247)</f>
        <v/>
      </c>
      <c r="BB39" s="13">
        <f>-1*Construction!BB14*Inputs!BB309*(Inputs!$F$97/100/12-Construction!BB17/100*Construction!BB11/Inputs!$F$247)</f>
        <v/>
      </c>
      <c r="BC39" s="13">
        <f>-1*Construction!BC14*Inputs!BC309*(Inputs!$F$97/100/12-Construction!BC17/100*Construction!BC11/Inputs!$F$247)</f>
        <v/>
      </c>
      <c r="BD39" s="13">
        <f>-1*Construction!BD14*Inputs!BD309*(Inputs!$F$97/100/12-Construction!BD17/100*Construction!BD11/Inputs!$F$247)</f>
        <v/>
      </c>
      <c r="BE39" s="13">
        <f>-1*Construction!BE14*Inputs!BE309*(Inputs!$F$97/100/12-Construction!BE17/100*Construction!BE11/Inputs!$F$247)</f>
        <v/>
      </c>
      <c r="BF39" s="13">
        <f>-1*Construction!BF14*Inputs!BF309*(Inputs!$F$97/100/12-Construction!BF17/100*Construction!BF11/Inputs!$F$247)</f>
        <v/>
      </c>
      <c r="BG39" s="13">
        <f>-1*Construction!BG14*Inputs!BG309*(Inputs!$F$97/100/12-Construction!BG17/100*Construction!BG11/Inputs!$F$247)</f>
        <v/>
      </c>
      <c r="BH39" s="13">
        <f>-1*Construction!BH14*Inputs!BH309*(Inputs!$F$97/100/12-Construction!BH17/100*Construction!BH11/Inputs!$F$247)</f>
        <v/>
      </c>
      <c r="BI39" s="13">
        <f>-1*Construction!BI14*Inputs!BI309*(Inputs!$F$97/100/12-Construction!BI17/100*Construction!BI11/Inputs!$F$247)</f>
        <v/>
      </c>
      <c r="BJ39" s="13">
        <f>-1*Construction!BJ14*Inputs!BJ309*(Inputs!$F$97/100/12-Construction!BJ17/100*Construction!BJ11/Inputs!$F$247)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3">
        <f>SUM(J40:BJ40)</f>
        <v/>
      </c>
      <c r="J40" s="13">
        <f>Construction!J14*((Inputs!$F$75*$F$25-J28)*Inputs!$F$85/100+(Inputs!$F$76*$F$25-J29)*Inputs!$F$86/100+(Inputs!$F$77*$F$25-J30)*Inputs!$F$87/100+(Inputs!$F$78*$F$25-J31)*(Inputs!$F$88/100*Inputs!$F$82)/100)*Construction!J11/Inputs!$F$247</f>
        <v/>
      </c>
      <c r="K40" s="13">
        <f>Construction!K14*((Inputs!$F$75*$F$25-K28)*Inputs!$F$85/100+(Inputs!$F$76*$F$25-K29)*Inputs!$F$86/100+(Inputs!$F$77*$F$25-K30)*Inputs!$F$87/100+(Inputs!$F$78*$F$25-K31)*(Inputs!$F$88/100*Inputs!$F$82)/100)*Construction!K11/Inputs!$F$247</f>
        <v/>
      </c>
      <c r="L40" s="13">
        <f>Construction!L14*((Inputs!$F$75*$F$25-L28)*Inputs!$F$85/100+(Inputs!$F$76*$F$25-L29)*Inputs!$F$86/100+(Inputs!$F$77*$F$25-L30)*Inputs!$F$87/100+(Inputs!$F$78*$F$25-L31)*(Inputs!$F$88/100*Inputs!$F$82)/100)*Construction!L11/Inputs!$F$247</f>
        <v/>
      </c>
      <c r="M40" s="13">
        <f>Construction!M14*((Inputs!$F$75*$F$25-M28)*Inputs!$F$85/100+(Inputs!$F$76*$F$25-M29)*Inputs!$F$86/100+(Inputs!$F$77*$F$25-M30)*Inputs!$F$87/100+(Inputs!$F$78*$F$25-M31)*(Inputs!$F$88/100*Inputs!$F$82)/100)*Construction!M11/Inputs!$F$247</f>
        <v/>
      </c>
      <c r="N40" s="13">
        <f>Construction!N14*((Inputs!$F$75*$F$25-N28)*Inputs!$F$85/100+(Inputs!$F$76*$F$25-N29)*Inputs!$F$86/100+(Inputs!$F$77*$F$25-N30)*Inputs!$F$87/100+(Inputs!$F$78*$F$25-N31)*(Inputs!$F$88/100*Inputs!$F$82)/100)*Construction!N11/Inputs!$F$247</f>
        <v/>
      </c>
      <c r="O40" s="13">
        <f>Construction!O14*((Inputs!$F$75*$F$25-O28)*Inputs!$F$85/100+(Inputs!$F$76*$F$25-O29)*Inputs!$F$86/100+(Inputs!$F$77*$F$25-O30)*Inputs!$F$87/100+(Inputs!$F$78*$F$25-O31)*(Inputs!$F$88/100*Inputs!$F$82)/100)*Construction!O11/Inputs!$F$247</f>
        <v/>
      </c>
      <c r="P40" s="13">
        <f>Construction!P14*((Inputs!$F$75*$F$25-P28)*Inputs!$F$85/100+(Inputs!$F$76*$F$25-P29)*Inputs!$F$86/100+(Inputs!$F$77*$F$25-P30)*Inputs!$F$87/100+(Inputs!$F$78*$F$25-P31)*(Inputs!$F$88/100*Inputs!$F$82)/100)*Construction!P11/Inputs!$F$247</f>
        <v/>
      </c>
      <c r="Q40" s="13">
        <f>Construction!Q14*((Inputs!$F$75*$F$25-Q28)*Inputs!$F$85/100+(Inputs!$F$76*$F$25-Q29)*Inputs!$F$86/100+(Inputs!$F$77*$F$25-Q30)*Inputs!$F$87/100+(Inputs!$F$78*$F$25-Q31)*(Inputs!$F$88/100*Inputs!$F$82)/100)*Construction!Q11/Inputs!$F$247</f>
        <v/>
      </c>
      <c r="R40" s="13">
        <f>Construction!R14*((Inputs!$F$75*$F$25-R28)*Inputs!$F$85/100+(Inputs!$F$76*$F$25-R29)*Inputs!$F$86/100+(Inputs!$F$77*$F$25-R30)*Inputs!$F$87/100+(Inputs!$F$78*$F$25-R31)*(Inputs!$F$88/100*Inputs!$F$82)/100)*Construction!R11/Inputs!$F$247</f>
        <v/>
      </c>
      <c r="S40" s="13">
        <f>Construction!S14*((Inputs!$F$75*$F$25-S28)*Inputs!$F$85/100+(Inputs!$F$76*$F$25-S29)*Inputs!$F$86/100+(Inputs!$F$77*$F$25-S30)*Inputs!$F$87/100+(Inputs!$F$78*$F$25-S31)*(Inputs!$F$88/100*Inputs!$F$82)/100)*Construction!S11/Inputs!$F$247</f>
        <v/>
      </c>
      <c r="T40" s="13">
        <f>Construction!T14*((Inputs!$F$75*$F$25-T28)*Inputs!$F$85/100+(Inputs!$F$76*$F$25-T29)*Inputs!$F$86/100+(Inputs!$F$77*$F$25-T30)*Inputs!$F$87/100+(Inputs!$F$78*$F$25-T31)*(Inputs!$F$88/100*Inputs!$F$82)/100)*Construction!T11/Inputs!$F$247</f>
        <v/>
      </c>
      <c r="U40" s="13">
        <f>Construction!U14*((Inputs!$F$75*$F$25-U28)*Inputs!$F$85/100+(Inputs!$F$76*$F$25-U29)*Inputs!$F$86/100+(Inputs!$F$77*$F$25-U30)*Inputs!$F$87/100+(Inputs!$F$78*$F$25-U31)*(Inputs!$F$88/100*Inputs!$F$82)/100)*Construction!U11/Inputs!$F$247</f>
        <v/>
      </c>
      <c r="V40" s="13">
        <f>Construction!V14*((Inputs!$F$75*$F$25-V28)*Inputs!$F$85/100+(Inputs!$F$76*$F$25-V29)*Inputs!$F$86/100+(Inputs!$F$77*$F$25-V30)*Inputs!$F$87/100+(Inputs!$F$78*$F$25-V31)*(Inputs!$F$88/100*Inputs!$F$82)/100)*Construction!V11/Inputs!$F$247</f>
        <v/>
      </c>
      <c r="W40" s="13">
        <f>Construction!W14*((Inputs!$F$75*$F$25-W28)*Inputs!$F$85/100+(Inputs!$F$76*$F$25-W29)*Inputs!$F$86/100+(Inputs!$F$77*$F$25-W30)*Inputs!$F$87/100+(Inputs!$F$78*$F$25-W31)*(Inputs!$F$88/100*Inputs!$F$82)/100)*Construction!W11/Inputs!$F$247</f>
        <v/>
      </c>
      <c r="X40" s="13">
        <f>Construction!X14*((Inputs!$F$75*$F$25-X28)*Inputs!$F$85/100+(Inputs!$F$76*$F$25-X29)*Inputs!$F$86/100+(Inputs!$F$77*$F$25-X30)*Inputs!$F$87/100+(Inputs!$F$78*$F$25-X31)*(Inputs!$F$88/100*Inputs!$F$82)/100)*Construction!X11/Inputs!$F$247</f>
        <v/>
      </c>
      <c r="Y40" s="13">
        <f>Construction!Y14*((Inputs!$F$75*$F$25-Y28)*Inputs!$F$85/100+(Inputs!$F$76*$F$25-Y29)*Inputs!$F$86/100+(Inputs!$F$77*$F$25-Y30)*Inputs!$F$87/100+(Inputs!$F$78*$F$25-Y31)*(Inputs!$F$88/100*Inputs!$F$82)/100)*Construction!Y11/Inputs!$F$247</f>
        <v/>
      </c>
      <c r="Z40" s="13">
        <f>Construction!Z14*((Inputs!$F$75*$F$25-Z28)*Inputs!$F$85/100+(Inputs!$F$76*$F$25-Z29)*Inputs!$F$86/100+(Inputs!$F$77*$F$25-Z30)*Inputs!$F$87/100+(Inputs!$F$78*$F$25-Z31)*(Inputs!$F$88/100*Inputs!$F$82)/100)*Construction!Z11/Inputs!$F$247</f>
        <v/>
      </c>
      <c r="AA40" s="13">
        <f>Construction!AA14*((Inputs!$F$75*$F$25-AA28)*Inputs!$F$85/100+(Inputs!$F$76*$F$25-AA29)*Inputs!$F$86/100+(Inputs!$F$77*$F$25-AA30)*Inputs!$F$87/100+(Inputs!$F$78*$F$25-AA31)*(Inputs!$F$88/100*Inputs!$F$82)/100)*Construction!AA11/Inputs!$F$247</f>
        <v/>
      </c>
      <c r="AB40" s="13">
        <f>Construction!AB14*((Inputs!$F$75*$F$25-AB28)*Inputs!$F$85/100+(Inputs!$F$76*$F$25-AB29)*Inputs!$F$86/100+(Inputs!$F$77*$F$25-AB30)*Inputs!$F$87/100+(Inputs!$F$78*$F$25-AB31)*(Inputs!$F$88/100*Inputs!$F$82)/100)*Construction!AB11/Inputs!$F$247</f>
        <v/>
      </c>
      <c r="AC40" s="13">
        <f>Construction!AC14*((Inputs!$F$75*$F$25-AC28)*Inputs!$F$85/100+(Inputs!$F$76*$F$25-AC29)*Inputs!$F$86/100+(Inputs!$F$77*$F$25-AC30)*Inputs!$F$87/100+(Inputs!$F$78*$F$25-AC31)*(Inputs!$F$88/100*Inputs!$F$82)/100)*Construction!AC11/Inputs!$F$247</f>
        <v/>
      </c>
      <c r="AD40" s="13">
        <f>Construction!AD14*((Inputs!$F$75*$F$25-AD28)*Inputs!$F$85/100+(Inputs!$F$76*$F$25-AD29)*Inputs!$F$86/100+(Inputs!$F$77*$F$25-AD30)*Inputs!$F$87/100+(Inputs!$F$78*$F$25-AD31)*(Inputs!$F$88/100*Inputs!$F$82)/100)*Construction!AD11/Inputs!$F$247</f>
        <v/>
      </c>
      <c r="AE40" s="13">
        <f>Construction!AE14*((Inputs!$F$75*$F$25-AE28)*Inputs!$F$85/100+(Inputs!$F$76*$F$25-AE29)*Inputs!$F$86/100+(Inputs!$F$77*$F$25-AE30)*Inputs!$F$87/100+(Inputs!$F$78*$F$25-AE31)*(Inputs!$F$88/100*Inputs!$F$82)/100)*Construction!AE11/Inputs!$F$247</f>
        <v/>
      </c>
      <c r="AF40" s="13">
        <f>Construction!AF14*((Inputs!$F$75*$F$25-AF28)*Inputs!$F$85/100+(Inputs!$F$76*$F$25-AF29)*Inputs!$F$86/100+(Inputs!$F$77*$F$25-AF30)*Inputs!$F$87/100+(Inputs!$F$78*$F$25-AF31)*(Inputs!$F$88/100*Inputs!$F$82)/100)*Construction!AF11/Inputs!$F$247</f>
        <v/>
      </c>
      <c r="AG40" s="13">
        <f>Construction!AG14*((Inputs!$F$75*$F$25-AG28)*Inputs!$F$85/100+(Inputs!$F$76*$F$25-AG29)*Inputs!$F$86/100+(Inputs!$F$77*$F$25-AG30)*Inputs!$F$87/100+(Inputs!$F$78*$F$25-AG31)*(Inputs!$F$88/100*Inputs!$F$82)/100)*Construction!AG11/Inputs!$F$247</f>
        <v/>
      </c>
      <c r="AH40" s="13">
        <f>Construction!AH14*((Inputs!$F$75*$F$25-AH28)*Inputs!$F$85/100+(Inputs!$F$76*$F$25-AH29)*Inputs!$F$86/100+(Inputs!$F$77*$F$25-AH30)*Inputs!$F$87/100+(Inputs!$F$78*$F$25-AH31)*(Inputs!$F$88/100*Inputs!$F$82)/100)*Construction!AH11/Inputs!$F$247</f>
        <v/>
      </c>
      <c r="AI40" s="13">
        <f>Construction!AI14*((Inputs!$F$75*$F$25-AI28)*Inputs!$F$85/100+(Inputs!$F$76*$F$25-AI29)*Inputs!$F$86/100+(Inputs!$F$77*$F$25-AI30)*Inputs!$F$87/100+(Inputs!$F$78*$F$25-AI31)*(Inputs!$F$88/100*Inputs!$F$82)/100)*Construction!AI11/Inputs!$F$247</f>
        <v/>
      </c>
      <c r="AJ40" s="13">
        <f>Construction!AJ14*((Inputs!$F$75*$F$25-AJ28)*Inputs!$F$85/100+(Inputs!$F$76*$F$25-AJ29)*Inputs!$F$86/100+(Inputs!$F$77*$F$25-AJ30)*Inputs!$F$87/100+(Inputs!$F$78*$F$25-AJ31)*(Inputs!$F$88/100*Inputs!$F$82)/100)*Construction!AJ11/Inputs!$F$247</f>
        <v/>
      </c>
      <c r="AK40" s="13">
        <f>Construction!AK14*((Inputs!$F$75*$F$25-AK28)*Inputs!$F$85/100+(Inputs!$F$76*$F$25-AK29)*Inputs!$F$86/100+(Inputs!$F$77*$F$25-AK30)*Inputs!$F$87/100+(Inputs!$F$78*$F$25-AK31)*(Inputs!$F$88/100*Inputs!$F$82)/100)*Construction!AK11/Inputs!$F$247</f>
        <v/>
      </c>
      <c r="AL40" s="13">
        <f>Construction!AL14*((Inputs!$F$75*$F$25-AL28)*Inputs!$F$85/100+(Inputs!$F$76*$F$25-AL29)*Inputs!$F$86/100+(Inputs!$F$77*$F$25-AL30)*Inputs!$F$87/100+(Inputs!$F$78*$F$25-AL31)*(Inputs!$F$88/100*Inputs!$F$82)/100)*Construction!AL11/Inputs!$F$247</f>
        <v/>
      </c>
      <c r="AM40" s="13">
        <f>Construction!AM14*((Inputs!$F$75*$F$25-AM28)*Inputs!$F$85/100+(Inputs!$F$76*$F$25-AM29)*Inputs!$F$86/100+(Inputs!$F$77*$F$25-AM30)*Inputs!$F$87/100+(Inputs!$F$78*$F$25-AM31)*(Inputs!$F$88/100*Inputs!$F$82)/100)*Construction!AM11/Inputs!$F$247</f>
        <v/>
      </c>
      <c r="AN40" s="13">
        <f>Construction!AN14*((Inputs!$F$75*$F$25-AN28)*Inputs!$F$85/100+(Inputs!$F$76*$F$25-AN29)*Inputs!$F$86/100+(Inputs!$F$77*$F$25-AN30)*Inputs!$F$87/100+(Inputs!$F$78*$F$25-AN31)*(Inputs!$F$88/100*Inputs!$F$82)/100)*Construction!AN11/Inputs!$F$247</f>
        <v/>
      </c>
      <c r="AO40" s="13">
        <f>Construction!AO14*((Inputs!$F$75*$F$25-AO28)*Inputs!$F$85/100+(Inputs!$F$76*$F$25-AO29)*Inputs!$F$86/100+(Inputs!$F$77*$F$25-AO30)*Inputs!$F$87/100+(Inputs!$F$78*$F$25-AO31)*(Inputs!$F$88/100*Inputs!$F$82)/100)*Construction!AO11/Inputs!$F$247</f>
        <v/>
      </c>
      <c r="AP40" s="13">
        <f>Construction!AP14*((Inputs!$F$75*$F$25-AP28)*Inputs!$F$85/100+(Inputs!$F$76*$F$25-AP29)*Inputs!$F$86/100+(Inputs!$F$77*$F$25-AP30)*Inputs!$F$87/100+(Inputs!$F$78*$F$25-AP31)*(Inputs!$F$88/100*Inputs!$F$82)/100)*Construction!AP11/Inputs!$F$247</f>
        <v/>
      </c>
      <c r="AQ40" s="13">
        <f>Construction!AQ14*((Inputs!$F$75*$F$25-AQ28)*Inputs!$F$85/100+(Inputs!$F$76*$F$25-AQ29)*Inputs!$F$86/100+(Inputs!$F$77*$F$25-AQ30)*Inputs!$F$87/100+(Inputs!$F$78*$F$25-AQ31)*(Inputs!$F$88/100*Inputs!$F$82)/100)*Construction!AQ11/Inputs!$F$247</f>
        <v/>
      </c>
      <c r="AR40" s="13">
        <f>Construction!AR14*((Inputs!$F$75*$F$25-AR28)*Inputs!$F$85/100+(Inputs!$F$76*$F$25-AR29)*Inputs!$F$86/100+(Inputs!$F$77*$F$25-AR30)*Inputs!$F$87/100+(Inputs!$F$78*$F$25-AR31)*(Inputs!$F$88/100*Inputs!$F$82)/100)*Construction!AR11/Inputs!$F$247</f>
        <v/>
      </c>
      <c r="AS40" s="13">
        <f>Construction!AS14*((Inputs!$F$75*$F$25-AS28)*Inputs!$F$85/100+(Inputs!$F$76*$F$25-AS29)*Inputs!$F$86/100+(Inputs!$F$77*$F$25-AS30)*Inputs!$F$87/100+(Inputs!$F$78*$F$25-AS31)*(Inputs!$F$88/100*Inputs!$F$82)/100)*Construction!AS11/Inputs!$F$247</f>
        <v/>
      </c>
      <c r="AT40" s="13">
        <f>Construction!AT14*((Inputs!$F$75*$F$25-AT28)*Inputs!$F$85/100+(Inputs!$F$76*$F$25-AT29)*Inputs!$F$86/100+(Inputs!$F$77*$F$25-AT30)*Inputs!$F$87/100+(Inputs!$F$78*$F$25-AT31)*(Inputs!$F$88/100*Inputs!$F$82)/100)*Construction!AT11/Inputs!$F$247</f>
        <v/>
      </c>
      <c r="AU40" s="13">
        <f>Construction!AU14*((Inputs!$F$75*$F$25-AU28)*Inputs!$F$85/100+(Inputs!$F$76*$F$25-AU29)*Inputs!$F$86/100+(Inputs!$F$77*$F$25-AU30)*Inputs!$F$87/100+(Inputs!$F$78*$F$25-AU31)*(Inputs!$F$88/100*Inputs!$F$82)/100)*Construction!AU11/Inputs!$F$247</f>
        <v/>
      </c>
      <c r="AV40" s="13">
        <f>Construction!AV14*((Inputs!$F$75*$F$25-AV28)*Inputs!$F$85/100+(Inputs!$F$76*$F$25-AV29)*Inputs!$F$86/100+(Inputs!$F$77*$F$25-AV30)*Inputs!$F$87/100+(Inputs!$F$78*$F$25-AV31)*(Inputs!$F$88/100*Inputs!$F$82)/100)*Construction!AV11/Inputs!$F$247</f>
        <v/>
      </c>
      <c r="AW40" s="13">
        <f>Construction!AW14*((Inputs!$F$75*$F$25-AW28)*Inputs!$F$85/100+(Inputs!$F$76*$F$25-AW29)*Inputs!$F$86/100+(Inputs!$F$77*$F$25-AW30)*Inputs!$F$87/100+(Inputs!$F$78*$F$25-AW31)*(Inputs!$F$88/100*Inputs!$F$82)/100)*Construction!AW11/Inputs!$F$247</f>
        <v/>
      </c>
      <c r="AX40" s="13">
        <f>Construction!AX14*((Inputs!$F$75*$F$25-AX28)*Inputs!$F$85/100+(Inputs!$F$76*$F$25-AX29)*Inputs!$F$86/100+(Inputs!$F$77*$F$25-AX30)*Inputs!$F$87/100+(Inputs!$F$78*$F$25-AX31)*(Inputs!$F$88/100*Inputs!$F$82)/100)*Construction!AX11/Inputs!$F$247</f>
        <v/>
      </c>
      <c r="AY40" s="13">
        <f>Construction!AY14*((Inputs!$F$75*$F$25-AY28)*Inputs!$F$85/100+(Inputs!$F$76*$F$25-AY29)*Inputs!$F$86/100+(Inputs!$F$77*$F$25-AY30)*Inputs!$F$87/100+(Inputs!$F$78*$F$25-AY31)*(Inputs!$F$88/100*Inputs!$F$82)/100)*Construction!AY11/Inputs!$F$247</f>
        <v/>
      </c>
      <c r="AZ40" s="13">
        <f>Construction!AZ14*((Inputs!$F$75*$F$25-AZ28)*Inputs!$F$85/100+(Inputs!$F$76*$F$25-AZ29)*Inputs!$F$86/100+(Inputs!$F$77*$F$25-AZ30)*Inputs!$F$87/100+(Inputs!$F$78*$F$25-AZ31)*(Inputs!$F$88/100*Inputs!$F$82)/100)*Construction!AZ11/Inputs!$F$247</f>
        <v/>
      </c>
      <c r="BA40" s="13">
        <f>Construction!BA14*((Inputs!$F$75*$F$25-BA28)*Inputs!$F$85/100+(Inputs!$F$76*$F$25-BA29)*Inputs!$F$86/100+(Inputs!$F$77*$F$25-BA30)*Inputs!$F$87/100+(Inputs!$F$78*$F$25-BA31)*(Inputs!$F$88/100*Inputs!$F$82)/100)*Construction!BA11/Inputs!$F$247</f>
        <v/>
      </c>
      <c r="BB40" s="13">
        <f>Construction!BB14*((Inputs!$F$75*$F$25-BB28)*Inputs!$F$85/100+(Inputs!$F$76*$F$25-BB29)*Inputs!$F$86/100+(Inputs!$F$77*$F$25-BB30)*Inputs!$F$87/100+(Inputs!$F$78*$F$25-BB31)*(Inputs!$F$88/100*Inputs!$F$82)/100)*Construction!BB11/Inputs!$F$247</f>
        <v/>
      </c>
      <c r="BC40" s="13">
        <f>Construction!BC14*((Inputs!$F$75*$F$25-BC28)*Inputs!$F$85/100+(Inputs!$F$76*$F$25-BC29)*Inputs!$F$86/100+(Inputs!$F$77*$F$25-BC30)*Inputs!$F$87/100+(Inputs!$F$78*$F$25-BC31)*(Inputs!$F$88/100*Inputs!$F$82)/100)*Construction!BC11/Inputs!$F$247</f>
        <v/>
      </c>
      <c r="BD40" s="13">
        <f>Construction!BD14*((Inputs!$F$75*$F$25-BD28)*Inputs!$F$85/100+(Inputs!$F$76*$F$25-BD29)*Inputs!$F$86/100+(Inputs!$F$77*$F$25-BD30)*Inputs!$F$87/100+(Inputs!$F$78*$F$25-BD31)*(Inputs!$F$88/100*Inputs!$F$82)/100)*Construction!BD11/Inputs!$F$247</f>
        <v/>
      </c>
      <c r="BE40" s="13">
        <f>Construction!BE14*((Inputs!$F$75*$F$25-BE28)*Inputs!$F$85/100+(Inputs!$F$76*$F$25-BE29)*Inputs!$F$86/100+(Inputs!$F$77*$F$25-BE30)*Inputs!$F$87/100+(Inputs!$F$78*$F$25-BE31)*(Inputs!$F$88/100*Inputs!$F$82)/100)*Construction!BE11/Inputs!$F$247</f>
        <v/>
      </c>
      <c r="BF40" s="13">
        <f>Construction!BF14*((Inputs!$F$75*$F$25-BF28)*Inputs!$F$85/100+(Inputs!$F$76*$F$25-BF29)*Inputs!$F$86/100+(Inputs!$F$77*$F$25-BF30)*Inputs!$F$87/100+(Inputs!$F$78*$F$25-BF31)*(Inputs!$F$88/100*Inputs!$F$82)/100)*Construction!BF11/Inputs!$F$247</f>
        <v/>
      </c>
      <c r="BG40" s="13">
        <f>Construction!BG14*((Inputs!$F$75*$F$25-BG28)*Inputs!$F$85/100+(Inputs!$F$76*$F$25-BG29)*Inputs!$F$86/100+(Inputs!$F$77*$F$25-BG30)*Inputs!$F$87/100+(Inputs!$F$78*$F$25-BG31)*(Inputs!$F$88/100*Inputs!$F$82)/100)*Construction!BG11/Inputs!$F$247</f>
        <v/>
      </c>
      <c r="BH40" s="13">
        <f>Construction!BH14*((Inputs!$F$75*$F$25-BH28)*Inputs!$F$85/100+(Inputs!$F$76*$F$25-BH29)*Inputs!$F$86/100+(Inputs!$F$77*$F$25-BH30)*Inputs!$F$87/100+(Inputs!$F$78*$F$25-BH31)*(Inputs!$F$88/100*Inputs!$F$82)/100)*Construction!BH11/Inputs!$F$247</f>
        <v/>
      </c>
      <c r="BI40" s="13">
        <f>Construction!BI14*((Inputs!$F$75*$F$25-BI28)*Inputs!$F$85/100+(Inputs!$F$76*$F$25-BI29)*Inputs!$F$86/100+(Inputs!$F$77*$F$25-BI30)*Inputs!$F$87/100+(Inputs!$F$78*$F$25-BI31)*(Inputs!$F$88/100*Inputs!$F$82)/100)*Construction!BI11/Inputs!$F$247</f>
        <v/>
      </c>
      <c r="BJ40" s="13">
        <f>Construction!BJ14*((Inputs!$F$75*$F$25-BJ28)*Inputs!$F$85/100+(Inputs!$F$76*$F$25-BJ29)*Inputs!$F$86/100+(Inputs!$F$77*$F$25-BJ30)*Inputs!$F$87/100+(Inputs!$F$78*$F$25-BJ31)*(Inputs!$F$88/100*Inputs!$F$82)/100)*Construction!BJ11/Inputs!$F$247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3">
        <f>SUM(J41:BJ41)</f>
        <v/>
      </c>
      <c r="J41" s="13">
        <f>Construction!J14*(Inputs!$F$99-J32)*Inputs!$F$100/100*Construction!J11/Inputs!$F$247</f>
        <v/>
      </c>
      <c r="K41" s="13">
        <f>Construction!K14*(Inputs!$F$99-K32)*Inputs!$F$100/100*Construction!K11/Inputs!$F$247</f>
        <v/>
      </c>
      <c r="L41" s="13">
        <f>Construction!L14*(Inputs!$F$99-L32)*Inputs!$F$100/100*Construction!L11/Inputs!$F$247</f>
        <v/>
      </c>
      <c r="M41" s="13">
        <f>Construction!M14*(Inputs!$F$99-M32)*Inputs!$F$100/100*Construction!M11/Inputs!$F$247</f>
        <v/>
      </c>
      <c r="N41" s="13">
        <f>Construction!N14*(Inputs!$F$99-N32)*Inputs!$F$100/100*Construction!N11/Inputs!$F$247</f>
        <v/>
      </c>
      <c r="O41" s="13">
        <f>Construction!O14*(Inputs!$F$99-O32)*Inputs!$F$100/100*Construction!O11/Inputs!$F$247</f>
        <v/>
      </c>
      <c r="P41" s="13">
        <f>Construction!P14*(Inputs!$F$99-P32)*Inputs!$F$100/100*Construction!P11/Inputs!$F$247</f>
        <v/>
      </c>
      <c r="Q41" s="13">
        <f>Construction!Q14*(Inputs!$F$99-Q32)*Inputs!$F$100/100*Construction!Q11/Inputs!$F$247</f>
        <v/>
      </c>
      <c r="R41" s="13">
        <f>Construction!R14*(Inputs!$F$99-R32)*Inputs!$F$100/100*Construction!R11/Inputs!$F$247</f>
        <v/>
      </c>
      <c r="S41" s="13">
        <f>Construction!S14*(Inputs!$F$99-S32)*Inputs!$F$100/100*Construction!S11/Inputs!$F$247</f>
        <v/>
      </c>
      <c r="T41" s="13">
        <f>Construction!T14*(Inputs!$F$99-T32)*Inputs!$F$100/100*Construction!T11/Inputs!$F$247</f>
        <v/>
      </c>
      <c r="U41" s="13">
        <f>Construction!U14*(Inputs!$F$99-U32)*Inputs!$F$100/100*Construction!U11/Inputs!$F$247</f>
        <v/>
      </c>
      <c r="V41" s="13">
        <f>Construction!V14*(Inputs!$F$99-V32)*Inputs!$F$100/100*Construction!V11/Inputs!$F$247</f>
        <v/>
      </c>
      <c r="W41" s="13">
        <f>Construction!W14*(Inputs!$F$99-W32)*Inputs!$F$100/100*Construction!W11/Inputs!$F$247</f>
        <v/>
      </c>
      <c r="X41" s="13">
        <f>Construction!X14*(Inputs!$F$99-X32)*Inputs!$F$100/100*Construction!X11/Inputs!$F$247</f>
        <v/>
      </c>
      <c r="Y41" s="13">
        <f>Construction!Y14*(Inputs!$F$99-Y32)*Inputs!$F$100/100*Construction!Y11/Inputs!$F$247</f>
        <v/>
      </c>
      <c r="Z41" s="13">
        <f>Construction!Z14*(Inputs!$F$99-Z32)*Inputs!$F$100/100*Construction!Z11/Inputs!$F$247</f>
        <v/>
      </c>
      <c r="AA41" s="13">
        <f>Construction!AA14*(Inputs!$F$99-AA32)*Inputs!$F$100/100*Construction!AA11/Inputs!$F$247</f>
        <v/>
      </c>
      <c r="AB41" s="13">
        <f>Construction!AB14*(Inputs!$F$99-AB32)*Inputs!$F$100/100*Construction!AB11/Inputs!$F$247</f>
        <v/>
      </c>
      <c r="AC41" s="13">
        <f>Construction!AC14*(Inputs!$F$99-AC32)*Inputs!$F$100/100*Construction!AC11/Inputs!$F$247</f>
        <v/>
      </c>
      <c r="AD41" s="13">
        <f>Construction!AD14*(Inputs!$F$99-AD32)*Inputs!$F$100/100*Construction!AD11/Inputs!$F$247</f>
        <v/>
      </c>
      <c r="AE41" s="13">
        <f>Construction!AE14*(Inputs!$F$99-AE32)*Inputs!$F$100/100*Construction!AE11/Inputs!$F$247</f>
        <v/>
      </c>
      <c r="AF41" s="13">
        <f>Construction!AF14*(Inputs!$F$99-AF32)*Inputs!$F$100/100*Construction!AF11/Inputs!$F$247</f>
        <v/>
      </c>
      <c r="AG41" s="13">
        <f>Construction!AG14*(Inputs!$F$99-AG32)*Inputs!$F$100/100*Construction!AG11/Inputs!$F$247</f>
        <v/>
      </c>
      <c r="AH41" s="13">
        <f>Construction!AH14*(Inputs!$F$99-AH32)*Inputs!$F$100/100*Construction!AH11/Inputs!$F$247</f>
        <v/>
      </c>
      <c r="AI41" s="13">
        <f>Construction!AI14*(Inputs!$F$99-AI32)*Inputs!$F$100/100*Construction!AI11/Inputs!$F$247</f>
        <v/>
      </c>
      <c r="AJ41" s="13">
        <f>Construction!AJ14*(Inputs!$F$99-AJ32)*Inputs!$F$100/100*Construction!AJ11/Inputs!$F$247</f>
        <v/>
      </c>
      <c r="AK41" s="13">
        <f>Construction!AK14*(Inputs!$F$99-AK32)*Inputs!$F$100/100*Construction!AK11/Inputs!$F$247</f>
        <v/>
      </c>
      <c r="AL41" s="13">
        <f>Construction!AL14*(Inputs!$F$99-AL32)*Inputs!$F$100/100*Construction!AL11/Inputs!$F$247</f>
        <v/>
      </c>
      <c r="AM41" s="13">
        <f>Construction!AM14*(Inputs!$F$99-AM32)*Inputs!$F$100/100*Construction!AM11/Inputs!$F$247</f>
        <v/>
      </c>
      <c r="AN41" s="13">
        <f>Construction!AN14*(Inputs!$F$99-AN32)*Inputs!$F$100/100*Construction!AN11/Inputs!$F$247</f>
        <v/>
      </c>
      <c r="AO41" s="13">
        <f>Construction!AO14*(Inputs!$F$99-AO32)*Inputs!$F$100/100*Construction!AO11/Inputs!$F$247</f>
        <v/>
      </c>
      <c r="AP41" s="13">
        <f>Construction!AP14*(Inputs!$F$99-AP32)*Inputs!$F$100/100*Construction!AP11/Inputs!$F$247</f>
        <v/>
      </c>
      <c r="AQ41" s="13">
        <f>Construction!AQ14*(Inputs!$F$99-AQ32)*Inputs!$F$100/100*Construction!AQ11/Inputs!$F$247</f>
        <v/>
      </c>
      <c r="AR41" s="13">
        <f>Construction!AR14*(Inputs!$F$99-AR32)*Inputs!$F$100/100*Construction!AR11/Inputs!$F$247</f>
        <v/>
      </c>
      <c r="AS41" s="13">
        <f>Construction!AS14*(Inputs!$F$99-AS32)*Inputs!$F$100/100*Construction!AS11/Inputs!$F$247</f>
        <v/>
      </c>
      <c r="AT41" s="13">
        <f>Construction!AT14*(Inputs!$F$99-AT32)*Inputs!$F$100/100*Construction!AT11/Inputs!$F$247</f>
        <v/>
      </c>
      <c r="AU41" s="13">
        <f>Construction!AU14*(Inputs!$F$99-AU32)*Inputs!$F$100/100*Construction!AU11/Inputs!$F$247</f>
        <v/>
      </c>
      <c r="AV41" s="13">
        <f>Construction!AV14*(Inputs!$F$99-AV32)*Inputs!$F$100/100*Construction!AV11/Inputs!$F$247</f>
        <v/>
      </c>
      <c r="AW41" s="13">
        <f>Construction!AW14*(Inputs!$F$99-AW32)*Inputs!$F$100/100*Construction!AW11/Inputs!$F$247</f>
        <v/>
      </c>
      <c r="AX41" s="13">
        <f>Construction!AX14*(Inputs!$F$99-AX32)*Inputs!$F$100/100*Construction!AX11/Inputs!$F$247</f>
        <v/>
      </c>
      <c r="AY41" s="13">
        <f>Construction!AY14*(Inputs!$F$99-AY32)*Inputs!$F$100/100*Construction!AY11/Inputs!$F$247</f>
        <v/>
      </c>
      <c r="AZ41" s="13">
        <f>Construction!AZ14*(Inputs!$F$99-AZ32)*Inputs!$F$100/100*Construction!AZ11/Inputs!$F$247</f>
        <v/>
      </c>
      <c r="BA41" s="13">
        <f>Construction!BA14*(Inputs!$F$99-BA32)*Inputs!$F$100/100*Construction!BA11/Inputs!$F$247</f>
        <v/>
      </c>
      <c r="BB41" s="13">
        <f>Construction!BB14*(Inputs!$F$99-BB32)*Inputs!$F$100/100*Construction!BB11/Inputs!$F$247</f>
        <v/>
      </c>
      <c r="BC41" s="13">
        <f>Construction!BC14*(Inputs!$F$99-BC32)*Inputs!$F$100/100*Construction!BC11/Inputs!$F$247</f>
        <v/>
      </c>
      <c r="BD41" s="13">
        <f>Construction!BD14*(Inputs!$F$99-BD32)*Inputs!$F$100/100*Construction!BD11/Inputs!$F$247</f>
        <v/>
      </c>
      <c r="BE41" s="13">
        <f>Construction!BE14*(Inputs!$F$99-BE32)*Inputs!$F$100/100*Construction!BE11/Inputs!$F$247</f>
        <v/>
      </c>
      <c r="BF41" s="13">
        <f>Construction!BF14*(Inputs!$F$99-BF32)*Inputs!$F$100/100*Construction!BF11/Inputs!$F$247</f>
        <v/>
      </c>
      <c r="BG41" s="13">
        <f>Construction!BG14*(Inputs!$F$99-BG32)*Inputs!$F$100/100*Construction!BG11/Inputs!$F$247</f>
        <v/>
      </c>
      <c r="BH41" s="13">
        <f>Construction!BH14*(Inputs!$F$99-BH32)*Inputs!$F$100/100*Construction!BH11/Inputs!$F$247</f>
        <v/>
      </c>
      <c r="BI41" s="13">
        <f>Construction!BI14*(Inputs!$F$99-BI32)*Inputs!$F$100/100*Construction!BI11/Inputs!$F$247</f>
        <v/>
      </c>
      <c r="BJ41" s="13">
        <f>Construction!BJ14*(Inputs!$F$99-BJ32)*Inputs!$F$100/100*Construction!BJ11/Inputs!$F$247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3">
        <f>SUM(J42:BJ42)</f>
        <v/>
      </c>
      <c r="J42" s="13">
        <f>IF(Construction!J8=1,Inputs!$F$75*$F$25*Inputs!$F$89/100+Inputs!$F$76*$F$25*Inputs!$F$90/100+Inputs!$F$77*$F$25*Inputs!$F$91/100+Inputs!$F$78*$F$25*Inputs!$F$92/100,0)</f>
        <v/>
      </c>
      <c r="K42" s="13">
        <f>IF(Construction!K8=1,Inputs!$F$75*$F$25*Inputs!$F$89/100+Inputs!$F$76*$F$25*Inputs!$F$90/100+Inputs!$F$77*$F$25*Inputs!$F$91/100+Inputs!$F$78*$F$25*Inputs!$F$92/100,0)</f>
        <v/>
      </c>
      <c r="L42" s="13">
        <f>IF(Construction!L8=1,Inputs!$F$75*$F$25*Inputs!$F$89/100+Inputs!$F$76*$F$25*Inputs!$F$90/100+Inputs!$F$77*$F$25*Inputs!$F$91/100+Inputs!$F$78*$F$25*Inputs!$F$92/100,0)</f>
        <v/>
      </c>
      <c r="M42" s="13">
        <f>IF(Construction!M8=1,Inputs!$F$75*$F$25*Inputs!$F$89/100+Inputs!$F$76*$F$25*Inputs!$F$90/100+Inputs!$F$77*$F$25*Inputs!$F$91/100+Inputs!$F$78*$F$25*Inputs!$F$92/100,0)</f>
        <v/>
      </c>
      <c r="N42" s="13">
        <f>IF(Construction!N8=1,Inputs!$F$75*$F$25*Inputs!$F$89/100+Inputs!$F$76*$F$25*Inputs!$F$90/100+Inputs!$F$77*$F$25*Inputs!$F$91/100+Inputs!$F$78*$F$25*Inputs!$F$92/100,0)</f>
        <v/>
      </c>
      <c r="O42" s="13">
        <f>IF(Construction!O8=1,Inputs!$F$75*$F$25*Inputs!$F$89/100+Inputs!$F$76*$F$25*Inputs!$F$90/100+Inputs!$F$77*$F$25*Inputs!$F$91/100+Inputs!$F$78*$F$25*Inputs!$F$92/100,0)</f>
        <v/>
      </c>
      <c r="P42" s="13">
        <f>IF(Construction!P8=1,Inputs!$F$75*$F$25*Inputs!$F$89/100+Inputs!$F$76*$F$25*Inputs!$F$90/100+Inputs!$F$77*$F$25*Inputs!$F$91/100+Inputs!$F$78*$F$25*Inputs!$F$92/100,0)</f>
        <v/>
      </c>
      <c r="Q42" s="13">
        <f>IF(Construction!Q8=1,Inputs!$F$75*$F$25*Inputs!$F$89/100+Inputs!$F$76*$F$25*Inputs!$F$90/100+Inputs!$F$77*$F$25*Inputs!$F$91/100+Inputs!$F$78*$F$25*Inputs!$F$92/100,0)</f>
        <v/>
      </c>
      <c r="R42" s="13">
        <f>IF(Construction!R8=1,Inputs!$F$75*$F$25*Inputs!$F$89/100+Inputs!$F$76*$F$25*Inputs!$F$90/100+Inputs!$F$77*$F$25*Inputs!$F$91/100+Inputs!$F$78*$F$25*Inputs!$F$92/100,0)</f>
        <v/>
      </c>
      <c r="S42" s="13">
        <f>IF(Construction!S8=1,Inputs!$F$75*$F$25*Inputs!$F$89/100+Inputs!$F$76*$F$25*Inputs!$F$90/100+Inputs!$F$77*$F$25*Inputs!$F$91/100+Inputs!$F$78*$F$25*Inputs!$F$92/100,0)</f>
        <v/>
      </c>
      <c r="T42" s="13">
        <f>IF(Construction!T8=1,Inputs!$F$75*$F$25*Inputs!$F$89/100+Inputs!$F$76*$F$25*Inputs!$F$90/100+Inputs!$F$77*$F$25*Inputs!$F$91/100+Inputs!$F$78*$F$25*Inputs!$F$92/100,0)</f>
        <v/>
      </c>
      <c r="U42" s="13">
        <f>IF(Construction!U8=1,Inputs!$F$75*$F$25*Inputs!$F$89/100+Inputs!$F$76*$F$25*Inputs!$F$90/100+Inputs!$F$77*$F$25*Inputs!$F$91/100+Inputs!$F$78*$F$25*Inputs!$F$92/100,0)</f>
        <v/>
      </c>
      <c r="V42" s="13">
        <f>IF(Construction!V8=1,Inputs!$F$75*$F$25*Inputs!$F$89/100+Inputs!$F$76*$F$25*Inputs!$F$90/100+Inputs!$F$77*$F$25*Inputs!$F$91/100+Inputs!$F$78*$F$25*Inputs!$F$92/100,0)</f>
        <v/>
      </c>
      <c r="W42" s="13">
        <f>IF(Construction!W8=1,Inputs!$F$75*$F$25*Inputs!$F$89/100+Inputs!$F$76*$F$25*Inputs!$F$90/100+Inputs!$F$77*$F$25*Inputs!$F$91/100+Inputs!$F$78*$F$25*Inputs!$F$92/100,0)</f>
        <v/>
      </c>
      <c r="X42" s="13">
        <f>IF(Construction!X8=1,Inputs!$F$75*$F$25*Inputs!$F$89/100+Inputs!$F$76*$F$25*Inputs!$F$90/100+Inputs!$F$77*$F$25*Inputs!$F$91/100+Inputs!$F$78*$F$25*Inputs!$F$92/100,0)</f>
        <v/>
      </c>
      <c r="Y42" s="13">
        <f>IF(Construction!Y8=1,Inputs!$F$75*$F$25*Inputs!$F$89/100+Inputs!$F$76*$F$25*Inputs!$F$90/100+Inputs!$F$77*$F$25*Inputs!$F$91/100+Inputs!$F$78*$F$25*Inputs!$F$92/100,0)</f>
        <v/>
      </c>
      <c r="Z42" s="13">
        <f>IF(Construction!Z8=1,Inputs!$F$75*$F$25*Inputs!$F$89/100+Inputs!$F$76*$F$25*Inputs!$F$90/100+Inputs!$F$77*$F$25*Inputs!$F$91/100+Inputs!$F$78*$F$25*Inputs!$F$92/100,0)</f>
        <v/>
      </c>
      <c r="AA42" s="13">
        <f>IF(Construction!AA8=1,Inputs!$F$75*$F$25*Inputs!$F$89/100+Inputs!$F$76*$F$25*Inputs!$F$90/100+Inputs!$F$77*$F$25*Inputs!$F$91/100+Inputs!$F$78*$F$25*Inputs!$F$92/100,0)</f>
        <v/>
      </c>
      <c r="AB42" s="13">
        <f>IF(Construction!AB8=1,Inputs!$F$75*$F$25*Inputs!$F$89/100+Inputs!$F$76*$F$25*Inputs!$F$90/100+Inputs!$F$77*$F$25*Inputs!$F$91/100+Inputs!$F$78*$F$25*Inputs!$F$92/100,0)</f>
        <v/>
      </c>
      <c r="AC42" s="13">
        <f>IF(Construction!AC8=1,Inputs!$F$75*$F$25*Inputs!$F$89/100+Inputs!$F$76*$F$25*Inputs!$F$90/100+Inputs!$F$77*$F$25*Inputs!$F$91/100+Inputs!$F$78*$F$25*Inputs!$F$92/100,0)</f>
        <v/>
      </c>
      <c r="AD42" s="13">
        <f>IF(Construction!AD8=1,Inputs!$F$75*$F$25*Inputs!$F$89/100+Inputs!$F$76*$F$25*Inputs!$F$90/100+Inputs!$F$77*$F$25*Inputs!$F$91/100+Inputs!$F$78*$F$25*Inputs!$F$92/100,0)</f>
        <v/>
      </c>
      <c r="AE42" s="13">
        <f>IF(Construction!AE8=1,Inputs!$F$75*$F$25*Inputs!$F$89/100+Inputs!$F$76*$F$25*Inputs!$F$90/100+Inputs!$F$77*$F$25*Inputs!$F$91/100+Inputs!$F$78*$F$25*Inputs!$F$92/100,0)</f>
        <v/>
      </c>
      <c r="AF42" s="13">
        <f>IF(Construction!AF8=1,Inputs!$F$75*$F$25*Inputs!$F$89/100+Inputs!$F$76*$F$25*Inputs!$F$90/100+Inputs!$F$77*$F$25*Inputs!$F$91/100+Inputs!$F$78*$F$25*Inputs!$F$92/100,0)</f>
        <v/>
      </c>
      <c r="AG42" s="13">
        <f>IF(Construction!AG8=1,Inputs!$F$75*$F$25*Inputs!$F$89/100+Inputs!$F$76*$F$25*Inputs!$F$90/100+Inputs!$F$77*$F$25*Inputs!$F$91/100+Inputs!$F$78*$F$25*Inputs!$F$92/100,0)</f>
        <v/>
      </c>
      <c r="AH42" s="13">
        <f>IF(Construction!AH8=1,Inputs!$F$75*$F$25*Inputs!$F$89/100+Inputs!$F$76*$F$25*Inputs!$F$90/100+Inputs!$F$77*$F$25*Inputs!$F$91/100+Inputs!$F$78*$F$25*Inputs!$F$92/100,0)</f>
        <v/>
      </c>
      <c r="AI42" s="13">
        <f>IF(Construction!AI8=1,Inputs!$F$75*$F$25*Inputs!$F$89/100+Inputs!$F$76*$F$25*Inputs!$F$90/100+Inputs!$F$77*$F$25*Inputs!$F$91/100+Inputs!$F$78*$F$25*Inputs!$F$92/100,0)</f>
        <v/>
      </c>
      <c r="AJ42" s="13">
        <f>IF(Construction!AJ8=1,Inputs!$F$75*$F$25*Inputs!$F$89/100+Inputs!$F$76*$F$25*Inputs!$F$90/100+Inputs!$F$77*$F$25*Inputs!$F$91/100+Inputs!$F$78*$F$25*Inputs!$F$92/100,0)</f>
        <v/>
      </c>
      <c r="AK42" s="13">
        <f>IF(Construction!AK8=1,Inputs!$F$75*$F$25*Inputs!$F$89/100+Inputs!$F$76*$F$25*Inputs!$F$90/100+Inputs!$F$77*$F$25*Inputs!$F$91/100+Inputs!$F$78*$F$25*Inputs!$F$92/100,0)</f>
        <v/>
      </c>
      <c r="AL42" s="13">
        <f>IF(Construction!AL8=1,Inputs!$F$75*$F$25*Inputs!$F$89/100+Inputs!$F$76*$F$25*Inputs!$F$90/100+Inputs!$F$77*$F$25*Inputs!$F$91/100+Inputs!$F$78*$F$25*Inputs!$F$92/100,0)</f>
        <v/>
      </c>
      <c r="AM42" s="13">
        <f>IF(Construction!AM8=1,Inputs!$F$75*$F$25*Inputs!$F$89/100+Inputs!$F$76*$F$25*Inputs!$F$90/100+Inputs!$F$77*$F$25*Inputs!$F$91/100+Inputs!$F$78*$F$25*Inputs!$F$92/100,0)</f>
        <v/>
      </c>
      <c r="AN42" s="13">
        <f>IF(Construction!AN8=1,Inputs!$F$75*$F$25*Inputs!$F$89/100+Inputs!$F$76*$F$25*Inputs!$F$90/100+Inputs!$F$77*$F$25*Inputs!$F$91/100+Inputs!$F$78*$F$25*Inputs!$F$92/100,0)</f>
        <v/>
      </c>
      <c r="AO42" s="13">
        <f>IF(Construction!AO8=1,Inputs!$F$75*$F$25*Inputs!$F$89/100+Inputs!$F$76*$F$25*Inputs!$F$90/100+Inputs!$F$77*$F$25*Inputs!$F$91/100+Inputs!$F$78*$F$25*Inputs!$F$92/100,0)</f>
        <v/>
      </c>
      <c r="AP42" s="13">
        <f>IF(Construction!AP8=1,Inputs!$F$75*$F$25*Inputs!$F$89/100+Inputs!$F$76*$F$25*Inputs!$F$90/100+Inputs!$F$77*$F$25*Inputs!$F$91/100+Inputs!$F$78*$F$25*Inputs!$F$92/100,0)</f>
        <v/>
      </c>
      <c r="AQ42" s="13">
        <f>IF(Construction!AQ8=1,Inputs!$F$75*$F$25*Inputs!$F$89/100+Inputs!$F$76*$F$25*Inputs!$F$90/100+Inputs!$F$77*$F$25*Inputs!$F$91/100+Inputs!$F$78*$F$25*Inputs!$F$92/100,0)</f>
        <v/>
      </c>
      <c r="AR42" s="13">
        <f>IF(Construction!AR8=1,Inputs!$F$75*$F$25*Inputs!$F$89/100+Inputs!$F$76*$F$25*Inputs!$F$90/100+Inputs!$F$77*$F$25*Inputs!$F$91/100+Inputs!$F$78*$F$25*Inputs!$F$92/100,0)</f>
        <v/>
      </c>
      <c r="AS42" s="13">
        <f>IF(Construction!AS8=1,Inputs!$F$75*$F$25*Inputs!$F$89/100+Inputs!$F$76*$F$25*Inputs!$F$90/100+Inputs!$F$77*$F$25*Inputs!$F$91/100+Inputs!$F$78*$F$25*Inputs!$F$92/100,0)</f>
        <v/>
      </c>
      <c r="AT42" s="13">
        <f>IF(Construction!AT8=1,Inputs!$F$75*$F$25*Inputs!$F$89/100+Inputs!$F$76*$F$25*Inputs!$F$90/100+Inputs!$F$77*$F$25*Inputs!$F$91/100+Inputs!$F$78*$F$25*Inputs!$F$92/100,0)</f>
        <v/>
      </c>
      <c r="AU42" s="13">
        <f>IF(Construction!AU8=1,Inputs!$F$75*$F$25*Inputs!$F$89/100+Inputs!$F$76*$F$25*Inputs!$F$90/100+Inputs!$F$77*$F$25*Inputs!$F$91/100+Inputs!$F$78*$F$25*Inputs!$F$92/100,0)</f>
        <v/>
      </c>
      <c r="AV42" s="13">
        <f>IF(Construction!AV8=1,Inputs!$F$75*$F$25*Inputs!$F$89/100+Inputs!$F$76*$F$25*Inputs!$F$90/100+Inputs!$F$77*$F$25*Inputs!$F$91/100+Inputs!$F$78*$F$25*Inputs!$F$92/100,0)</f>
        <v/>
      </c>
      <c r="AW42" s="13">
        <f>IF(Construction!AW8=1,Inputs!$F$75*$F$25*Inputs!$F$89/100+Inputs!$F$76*$F$25*Inputs!$F$90/100+Inputs!$F$77*$F$25*Inputs!$F$91/100+Inputs!$F$78*$F$25*Inputs!$F$92/100,0)</f>
        <v/>
      </c>
      <c r="AX42" s="13">
        <f>IF(Construction!AX8=1,Inputs!$F$75*$F$25*Inputs!$F$89/100+Inputs!$F$76*$F$25*Inputs!$F$90/100+Inputs!$F$77*$F$25*Inputs!$F$91/100+Inputs!$F$78*$F$25*Inputs!$F$92/100,0)</f>
        <v/>
      </c>
      <c r="AY42" s="13">
        <f>IF(Construction!AY8=1,Inputs!$F$75*$F$25*Inputs!$F$89/100+Inputs!$F$76*$F$25*Inputs!$F$90/100+Inputs!$F$77*$F$25*Inputs!$F$91/100+Inputs!$F$78*$F$25*Inputs!$F$92/100,0)</f>
        <v/>
      </c>
      <c r="AZ42" s="13">
        <f>IF(Construction!AZ8=1,Inputs!$F$75*$F$25*Inputs!$F$89/100+Inputs!$F$76*$F$25*Inputs!$F$90/100+Inputs!$F$77*$F$25*Inputs!$F$91/100+Inputs!$F$78*$F$25*Inputs!$F$92/100,0)</f>
        <v/>
      </c>
      <c r="BA42" s="13">
        <f>IF(Construction!BA8=1,Inputs!$F$75*$F$25*Inputs!$F$89/100+Inputs!$F$76*$F$25*Inputs!$F$90/100+Inputs!$F$77*$F$25*Inputs!$F$91/100+Inputs!$F$78*$F$25*Inputs!$F$92/100,0)</f>
        <v/>
      </c>
      <c r="BB42" s="13">
        <f>IF(Construction!BB8=1,Inputs!$F$75*$F$25*Inputs!$F$89/100+Inputs!$F$76*$F$25*Inputs!$F$90/100+Inputs!$F$77*$F$25*Inputs!$F$91/100+Inputs!$F$78*$F$25*Inputs!$F$92/100,0)</f>
        <v/>
      </c>
      <c r="BC42" s="13">
        <f>IF(Construction!BC8=1,Inputs!$F$75*$F$25*Inputs!$F$89/100+Inputs!$F$76*$F$25*Inputs!$F$90/100+Inputs!$F$77*$F$25*Inputs!$F$91/100+Inputs!$F$78*$F$25*Inputs!$F$92/100,0)</f>
        <v/>
      </c>
      <c r="BD42" s="13">
        <f>IF(Construction!BD8=1,Inputs!$F$75*$F$25*Inputs!$F$89/100+Inputs!$F$76*$F$25*Inputs!$F$90/100+Inputs!$F$77*$F$25*Inputs!$F$91/100+Inputs!$F$78*$F$25*Inputs!$F$92/100,0)</f>
        <v/>
      </c>
      <c r="BE42" s="13">
        <f>IF(Construction!BE8=1,Inputs!$F$75*$F$25*Inputs!$F$89/100+Inputs!$F$76*$F$25*Inputs!$F$90/100+Inputs!$F$77*$F$25*Inputs!$F$91/100+Inputs!$F$78*$F$25*Inputs!$F$92/100,0)</f>
        <v/>
      </c>
      <c r="BF42" s="13">
        <f>IF(Construction!BF8=1,Inputs!$F$75*$F$25*Inputs!$F$89/100+Inputs!$F$76*$F$25*Inputs!$F$90/100+Inputs!$F$77*$F$25*Inputs!$F$91/100+Inputs!$F$78*$F$25*Inputs!$F$92/100,0)</f>
        <v/>
      </c>
      <c r="BG42" s="13">
        <f>IF(Construction!BG8=1,Inputs!$F$75*$F$25*Inputs!$F$89/100+Inputs!$F$76*$F$25*Inputs!$F$90/100+Inputs!$F$77*$F$25*Inputs!$F$91/100+Inputs!$F$78*$F$25*Inputs!$F$92/100,0)</f>
        <v/>
      </c>
      <c r="BH42" s="13">
        <f>IF(Construction!BH8=1,Inputs!$F$75*$F$25*Inputs!$F$89/100+Inputs!$F$76*$F$25*Inputs!$F$90/100+Inputs!$F$77*$F$25*Inputs!$F$91/100+Inputs!$F$78*$F$25*Inputs!$F$92/100,0)</f>
        <v/>
      </c>
      <c r="BI42" s="13">
        <f>IF(Construction!BI8=1,Inputs!$F$75*$F$25*Inputs!$F$89/100+Inputs!$F$76*$F$25*Inputs!$F$90/100+Inputs!$F$77*$F$25*Inputs!$F$91/100+Inputs!$F$78*$F$25*Inputs!$F$92/100,0)</f>
        <v/>
      </c>
      <c r="BJ42" s="13">
        <f>IF(Construction!BJ8=1,Inputs!$F$75*$F$25*Inputs!$F$89/100+Inputs!$F$76*$F$25*Inputs!$F$90/100+Inputs!$F$77*$F$25*Inputs!$F$91/100+Inputs!$F$78*$F$25*Inputs!$F$92/100,0)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3">
        <f>SUM(J43:BJ43)</f>
        <v/>
      </c>
      <c r="J43" s="13">
        <f>Construction!J14*Inputs!$F$107/12</f>
        <v/>
      </c>
      <c r="K43" s="13">
        <f>Construction!K14*Inputs!$F$107/12</f>
        <v/>
      </c>
      <c r="L43" s="13">
        <f>Construction!L14*Inputs!$F$107/12</f>
        <v/>
      </c>
      <c r="M43" s="13">
        <f>Construction!M14*Inputs!$F$107/12</f>
        <v/>
      </c>
      <c r="N43" s="13">
        <f>Construction!N14*Inputs!$F$107/12</f>
        <v/>
      </c>
      <c r="O43" s="13">
        <f>Construction!O14*Inputs!$F$107/12</f>
        <v/>
      </c>
      <c r="P43" s="13">
        <f>Construction!P14*Inputs!$F$107/12</f>
        <v/>
      </c>
      <c r="Q43" s="13">
        <f>Construction!Q14*Inputs!$F$107/12</f>
        <v/>
      </c>
      <c r="R43" s="13">
        <f>Construction!R14*Inputs!$F$107/12</f>
        <v/>
      </c>
      <c r="S43" s="13">
        <f>Construction!S14*Inputs!$F$107/12</f>
        <v/>
      </c>
      <c r="T43" s="13">
        <f>Construction!T14*Inputs!$F$107/12</f>
        <v/>
      </c>
      <c r="U43" s="13">
        <f>Construction!U14*Inputs!$F$107/12</f>
        <v/>
      </c>
      <c r="V43" s="13">
        <f>Construction!V14*Inputs!$F$107/12</f>
        <v/>
      </c>
      <c r="W43" s="13">
        <f>Construction!W14*Inputs!$F$107/12</f>
        <v/>
      </c>
      <c r="X43" s="13">
        <f>Construction!X14*Inputs!$F$107/12</f>
        <v/>
      </c>
      <c r="Y43" s="13">
        <f>Construction!Y14*Inputs!$F$107/12</f>
        <v/>
      </c>
      <c r="Z43" s="13">
        <f>Construction!Z14*Inputs!$F$107/12</f>
        <v/>
      </c>
      <c r="AA43" s="13">
        <f>Construction!AA14*Inputs!$F$107/12</f>
        <v/>
      </c>
      <c r="AB43" s="13">
        <f>Construction!AB14*Inputs!$F$107/12</f>
        <v/>
      </c>
      <c r="AC43" s="13">
        <f>Construction!AC14*Inputs!$F$107/12</f>
        <v/>
      </c>
      <c r="AD43" s="13">
        <f>Construction!AD14*Inputs!$F$107/12</f>
        <v/>
      </c>
      <c r="AE43" s="13">
        <f>Construction!AE14*Inputs!$F$107/12</f>
        <v/>
      </c>
      <c r="AF43" s="13">
        <f>Construction!AF14*Inputs!$F$107/12</f>
        <v/>
      </c>
      <c r="AG43" s="13">
        <f>Construction!AG14*Inputs!$F$107/12</f>
        <v/>
      </c>
      <c r="AH43" s="13">
        <f>Construction!AH14*Inputs!$F$107/12</f>
        <v/>
      </c>
      <c r="AI43" s="13">
        <f>Construction!AI14*Inputs!$F$107/12</f>
        <v/>
      </c>
      <c r="AJ43" s="13">
        <f>Construction!AJ14*Inputs!$F$107/12</f>
        <v/>
      </c>
      <c r="AK43" s="13">
        <f>Construction!AK14*Inputs!$F$107/12</f>
        <v/>
      </c>
      <c r="AL43" s="13">
        <f>Construction!AL14*Inputs!$F$107/12</f>
        <v/>
      </c>
      <c r="AM43" s="13">
        <f>Construction!AM14*Inputs!$F$107/12</f>
        <v/>
      </c>
      <c r="AN43" s="13">
        <f>Construction!AN14*Inputs!$F$107/12</f>
        <v/>
      </c>
      <c r="AO43" s="13">
        <f>Construction!AO14*Inputs!$F$107/12</f>
        <v/>
      </c>
      <c r="AP43" s="13">
        <f>Construction!AP14*Inputs!$F$107/12</f>
        <v/>
      </c>
      <c r="AQ43" s="13">
        <f>Construction!AQ14*Inputs!$F$107/12</f>
        <v/>
      </c>
      <c r="AR43" s="13">
        <f>Construction!AR14*Inputs!$F$107/12</f>
        <v/>
      </c>
      <c r="AS43" s="13">
        <f>Construction!AS14*Inputs!$F$107/12</f>
        <v/>
      </c>
      <c r="AT43" s="13">
        <f>Construction!AT14*Inputs!$F$107/12</f>
        <v/>
      </c>
      <c r="AU43" s="13">
        <f>Construction!AU14*Inputs!$F$107/12</f>
        <v/>
      </c>
      <c r="AV43" s="13">
        <f>Construction!AV14*Inputs!$F$107/12</f>
        <v/>
      </c>
      <c r="AW43" s="13">
        <f>Construction!AW14*Inputs!$F$107/12</f>
        <v/>
      </c>
      <c r="AX43" s="13">
        <f>Construction!AX14*Inputs!$F$107/12</f>
        <v/>
      </c>
      <c r="AY43" s="13">
        <f>Construction!AY14*Inputs!$F$107/12</f>
        <v/>
      </c>
      <c r="AZ43" s="13">
        <f>Construction!AZ14*Inputs!$F$107/12</f>
        <v/>
      </c>
      <c r="BA43" s="13">
        <f>Construction!BA14*Inputs!$F$107/12</f>
        <v/>
      </c>
      <c r="BB43" s="13">
        <f>Construction!BB14*Inputs!$F$107/12</f>
        <v/>
      </c>
      <c r="BC43" s="13">
        <f>Construction!BC14*Inputs!$F$107/12</f>
        <v/>
      </c>
      <c r="BD43" s="13">
        <f>Construction!BD14*Inputs!$F$107/12</f>
        <v/>
      </c>
      <c r="BE43" s="13">
        <f>Construction!BE14*Inputs!$F$107/12</f>
        <v/>
      </c>
      <c r="BF43" s="13">
        <f>Construction!BF14*Inputs!$F$107/12</f>
        <v/>
      </c>
      <c r="BG43" s="13">
        <f>Construction!BG14*Inputs!$F$107/12</f>
        <v/>
      </c>
      <c r="BH43" s="13">
        <f>Construction!BH14*Inputs!$F$107/12</f>
        <v/>
      </c>
      <c r="BI43" s="13">
        <f>Construction!BI14*Inputs!$F$107/12</f>
        <v/>
      </c>
      <c r="BJ43" s="13">
        <f>Construction!BJ14*Inputs!$F$107/12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3">
        <f>SUM(J44:BJ44)</f>
        <v/>
      </c>
      <c r="J44" s="13">
        <f>Construction!J15*IF(Inputs!$F$34=1,$F$12*Inputs!$F$75*$F$25+$F$13*Inputs!$F$76*$F$25+$F$14*Inputs!$F$77*$F$25+$F$15*Inputs!$F$78*$F$25+$F$17,$F$12*J28+$F$13*J29+$F$14*J30+$F$15*J31+$F$16*J32+$F$17)</f>
        <v/>
      </c>
      <c r="K44" s="13">
        <f>Construction!K15*IF(Inputs!$F$34=1,$F$12*Inputs!$F$75*$F$25+$F$13*Inputs!$F$76*$F$25+$F$14*Inputs!$F$77*$F$25+$F$15*Inputs!$F$78*$F$25+$F$17,$F$12*K28+$F$13*K29+$F$14*K30+$F$15*K31+$F$16*K32+$F$17)</f>
        <v/>
      </c>
      <c r="L44" s="13">
        <f>Construction!L15*IF(Inputs!$F$34=1,$F$12*Inputs!$F$75*$F$25+$F$13*Inputs!$F$76*$F$25+$F$14*Inputs!$F$77*$F$25+$F$15*Inputs!$F$78*$F$25+$F$17,$F$12*L28+$F$13*L29+$F$14*L30+$F$15*L31+$F$16*L32+$F$17)</f>
        <v/>
      </c>
      <c r="M44" s="13">
        <f>Construction!M15*IF(Inputs!$F$34=1,$F$12*Inputs!$F$75*$F$25+$F$13*Inputs!$F$76*$F$25+$F$14*Inputs!$F$77*$F$25+$F$15*Inputs!$F$78*$F$25+$F$17,$F$12*M28+$F$13*M29+$F$14*M30+$F$15*M31+$F$16*M32+$F$17)</f>
        <v/>
      </c>
      <c r="N44" s="13">
        <f>Construction!N15*IF(Inputs!$F$34=1,$F$12*Inputs!$F$75*$F$25+$F$13*Inputs!$F$76*$F$25+$F$14*Inputs!$F$77*$F$25+$F$15*Inputs!$F$78*$F$25+$F$17,$F$12*N28+$F$13*N29+$F$14*N30+$F$15*N31+$F$16*N32+$F$17)</f>
        <v/>
      </c>
      <c r="O44" s="13">
        <f>Construction!O15*IF(Inputs!$F$34=1,$F$12*Inputs!$F$75*$F$25+$F$13*Inputs!$F$76*$F$25+$F$14*Inputs!$F$77*$F$25+$F$15*Inputs!$F$78*$F$25+$F$17,$F$12*O28+$F$13*O29+$F$14*O30+$F$15*O31+$F$16*O32+$F$17)</f>
        <v/>
      </c>
      <c r="P44" s="13">
        <f>Construction!P15*IF(Inputs!$F$34=1,$F$12*Inputs!$F$75*$F$25+$F$13*Inputs!$F$76*$F$25+$F$14*Inputs!$F$77*$F$25+$F$15*Inputs!$F$78*$F$25+$F$17,$F$12*P28+$F$13*P29+$F$14*P30+$F$15*P31+$F$16*P32+$F$17)</f>
        <v/>
      </c>
      <c r="Q44" s="13">
        <f>Construction!Q15*IF(Inputs!$F$34=1,$F$12*Inputs!$F$75*$F$25+$F$13*Inputs!$F$76*$F$25+$F$14*Inputs!$F$77*$F$25+$F$15*Inputs!$F$78*$F$25+$F$17,$F$12*Q28+$F$13*Q29+$F$14*Q30+$F$15*Q31+$F$16*Q32+$F$17)</f>
        <v/>
      </c>
      <c r="R44" s="13">
        <f>Construction!R15*IF(Inputs!$F$34=1,$F$12*Inputs!$F$75*$F$25+$F$13*Inputs!$F$76*$F$25+$F$14*Inputs!$F$77*$F$25+$F$15*Inputs!$F$78*$F$25+$F$17,$F$12*R28+$F$13*R29+$F$14*R30+$F$15*R31+$F$16*R32+$F$17)</f>
        <v/>
      </c>
      <c r="S44" s="13">
        <f>Construction!S15*IF(Inputs!$F$34=1,$F$12*Inputs!$F$75*$F$25+$F$13*Inputs!$F$76*$F$25+$F$14*Inputs!$F$77*$F$25+$F$15*Inputs!$F$78*$F$25+$F$17,$F$12*S28+$F$13*S29+$F$14*S30+$F$15*S31+$F$16*S32+$F$17)</f>
        <v/>
      </c>
      <c r="T44" s="13">
        <f>Construction!T15*IF(Inputs!$F$34=1,$F$12*Inputs!$F$75*$F$25+$F$13*Inputs!$F$76*$F$25+$F$14*Inputs!$F$77*$F$25+$F$15*Inputs!$F$78*$F$25+$F$17,$F$12*T28+$F$13*T29+$F$14*T30+$F$15*T31+$F$16*T32+$F$17)</f>
        <v/>
      </c>
      <c r="U44" s="13">
        <f>Construction!U15*IF(Inputs!$F$34=1,$F$12*Inputs!$F$75*$F$25+$F$13*Inputs!$F$76*$F$25+$F$14*Inputs!$F$77*$F$25+$F$15*Inputs!$F$78*$F$25+$F$17,$F$12*U28+$F$13*U29+$F$14*U30+$F$15*U31+$F$16*U32+$F$17)</f>
        <v/>
      </c>
      <c r="V44" s="13">
        <f>Construction!V15*IF(Inputs!$F$34=1,$F$12*Inputs!$F$75*$F$25+$F$13*Inputs!$F$76*$F$25+$F$14*Inputs!$F$77*$F$25+$F$15*Inputs!$F$78*$F$25+$F$17,$F$12*V28+$F$13*V29+$F$14*V30+$F$15*V31+$F$16*V32+$F$17)</f>
        <v/>
      </c>
      <c r="W44" s="13">
        <f>Construction!W15*IF(Inputs!$F$34=1,$F$12*Inputs!$F$75*$F$25+$F$13*Inputs!$F$76*$F$25+$F$14*Inputs!$F$77*$F$25+$F$15*Inputs!$F$78*$F$25+$F$17,$F$12*W28+$F$13*W29+$F$14*W30+$F$15*W31+$F$16*W32+$F$17)</f>
        <v/>
      </c>
      <c r="X44" s="13">
        <f>Construction!X15*IF(Inputs!$F$34=1,$F$12*Inputs!$F$75*$F$25+$F$13*Inputs!$F$76*$F$25+$F$14*Inputs!$F$77*$F$25+$F$15*Inputs!$F$78*$F$25+$F$17,$F$12*X28+$F$13*X29+$F$14*X30+$F$15*X31+$F$16*X32+$F$17)</f>
        <v/>
      </c>
      <c r="Y44" s="13">
        <f>Construction!Y15*IF(Inputs!$F$34=1,$F$12*Inputs!$F$75*$F$25+$F$13*Inputs!$F$76*$F$25+$F$14*Inputs!$F$77*$F$25+$F$15*Inputs!$F$78*$F$25+$F$17,$F$12*Y28+$F$13*Y29+$F$14*Y30+$F$15*Y31+$F$16*Y32+$F$17)</f>
        <v/>
      </c>
      <c r="Z44" s="13">
        <f>Construction!Z15*IF(Inputs!$F$34=1,$F$12*Inputs!$F$75*$F$25+$F$13*Inputs!$F$76*$F$25+$F$14*Inputs!$F$77*$F$25+$F$15*Inputs!$F$78*$F$25+$F$17,$F$12*Z28+$F$13*Z29+$F$14*Z30+$F$15*Z31+$F$16*Z32+$F$17)</f>
        <v/>
      </c>
      <c r="AA44" s="13">
        <f>Construction!AA15*IF(Inputs!$F$34=1,$F$12*Inputs!$F$75*$F$25+$F$13*Inputs!$F$76*$F$25+$F$14*Inputs!$F$77*$F$25+$F$15*Inputs!$F$78*$F$25+$F$17,$F$12*AA28+$F$13*AA29+$F$14*AA30+$F$15*AA31+$F$16*AA32+$F$17)</f>
        <v/>
      </c>
      <c r="AB44" s="13">
        <f>Construction!AB15*IF(Inputs!$F$34=1,$F$12*Inputs!$F$75*$F$25+$F$13*Inputs!$F$76*$F$25+$F$14*Inputs!$F$77*$F$25+$F$15*Inputs!$F$78*$F$25+$F$17,$F$12*AB28+$F$13*AB29+$F$14*AB30+$F$15*AB31+$F$16*AB32+$F$17)</f>
        <v/>
      </c>
      <c r="AC44" s="13">
        <f>Construction!AC15*IF(Inputs!$F$34=1,$F$12*Inputs!$F$75*$F$25+$F$13*Inputs!$F$76*$F$25+$F$14*Inputs!$F$77*$F$25+$F$15*Inputs!$F$78*$F$25+$F$17,$F$12*AC28+$F$13*AC29+$F$14*AC30+$F$15*AC31+$F$16*AC32+$F$17)</f>
        <v/>
      </c>
      <c r="AD44" s="13">
        <f>Construction!AD15*IF(Inputs!$F$34=1,$F$12*Inputs!$F$75*$F$25+$F$13*Inputs!$F$76*$F$25+$F$14*Inputs!$F$77*$F$25+$F$15*Inputs!$F$78*$F$25+$F$17,$F$12*AD28+$F$13*AD29+$F$14*AD30+$F$15*AD31+$F$16*AD32+$F$17)</f>
        <v/>
      </c>
      <c r="AE44" s="13">
        <f>Construction!AE15*IF(Inputs!$F$34=1,$F$12*Inputs!$F$75*$F$25+$F$13*Inputs!$F$76*$F$25+$F$14*Inputs!$F$77*$F$25+$F$15*Inputs!$F$78*$F$25+$F$17,$F$12*AE28+$F$13*AE29+$F$14*AE30+$F$15*AE31+$F$16*AE32+$F$17)</f>
        <v/>
      </c>
      <c r="AF44" s="13">
        <f>Construction!AF15*IF(Inputs!$F$34=1,$F$12*Inputs!$F$75*$F$25+$F$13*Inputs!$F$76*$F$25+$F$14*Inputs!$F$77*$F$25+$F$15*Inputs!$F$78*$F$25+$F$17,$F$12*AF28+$F$13*AF29+$F$14*AF30+$F$15*AF31+$F$16*AF32+$F$17)</f>
        <v/>
      </c>
      <c r="AG44" s="13">
        <f>Construction!AG15*IF(Inputs!$F$34=1,$F$12*Inputs!$F$75*$F$25+$F$13*Inputs!$F$76*$F$25+$F$14*Inputs!$F$77*$F$25+$F$15*Inputs!$F$78*$F$25+$F$17,$F$12*AG28+$F$13*AG29+$F$14*AG30+$F$15*AG31+$F$16*AG32+$F$17)</f>
        <v/>
      </c>
      <c r="AH44" s="13">
        <f>Construction!AH15*IF(Inputs!$F$34=1,$F$12*Inputs!$F$75*$F$25+$F$13*Inputs!$F$76*$F$25+$F$14*Inputs!$F$77*$F$25+$F$15*Inputs!$F$78*$F$25+$F$17,$F$12*AH28+$F$13*AH29+$F$14*AH30+$F$15*AH31+$F$16*AH32+$F$17)</f>
        <v/>
      </c>
      <c r="AI44" s="13">
        <f>Construction!AI15*IF(Inputs!$F$34=1,$F$12*Inputs!$F$75*$F$25+$F$13*Inputs!$F$76*$F$25+$F$14*Inputs!$F$77*$F$25+$F$15*Inputs!$F$78*$F$25+$F$17,$F$12*AI28+$F$13*AI29+$F$14*AI30+$F$15*AI31+$F$16*AI32+$F$17)</f>
        <v/>
      </c>
      <c r="AJ44" s="13">
        <f>Construction!AJ15*IF(Inputs!$F$34=1,$F$12*Inputs!$F$75*$F$25+$F$13*Inputs!$F$76*$F$25+$F$14*Inputs!$F$77*$F$25+$F$15*Inputs!$F$78*$F$25+$F$17,$F$12*AJ28+$F$13*AJ29+$F$14*AJ30+$F$15*AJ31+$F$16*AJ32+$F$17)</f>
        <v/>
      </c>
      <c r="AK44" s="13">
        <f>Construction!AK15*IF(Inputs!$F$34=1,$F$12*Inputs!$F$75*$F$25+$F$13*Inputs!$F$76*$F$25+$F$14*Inputs!$F$77*$F$25+$F$15*Inputs!$F$78*$F$25+$F$17,$F$12*AK28+$F$13*AK29+$F$14*AK30+$F$15*AK31+$F$16*AK32+$F$17)</f>
        <v/>
      </c>
      <c r="AL44" s="13">
        <f>Construction!AL15*IF(Inputs!$F$34=1,$F$12*Inputs!$F$75*$F$25+$F$13*Inputs!$F$76*$F$25+$F$14*Inputs!$F$77*$F$25+$F$15*Inputs!$F$78*$F$25+$F$17,$F$12*AL28+$F$13*AL29+$F$14*AL30+$F$15*AL31+$F$16*AL32+$F$17)</f>
        <v/>
      </c>
      <c r="AM44" s="13">
        <f>Construction!AM15*IF(Inputs!$F$34=1,$F$12*Inputs!$F$75*$F$25+$F$13*Inputs!$F$76*$F$25+$F$14*Inputs!$F$77*$F$25+$F$15*Inputs!$F$78*$F$25+$F$17,$F$12*AM28+$F$13*AM29+$F$14*AM30+$F$15*AM31+$F$16*AM32+$F$17)</f>
        <v/>
      </c>
      <c r="AN44" s="13">
        <f>Construction!AN15*IF(Inputs!$F$34=1,$F$12*Inputs!$F$75*$F$25+$F$13*Inputs!$F$76*$F$25+$F$14*Inputs!$F$77*$F$25+$F$15*Inputs!$F$78*$F$25+$F$17,$F$12*AN28+$F$13*AN29+$F$14*AN30+$F$15*AN31+$F$16*AN32+$F$17)</f>
        <v/>
      </c>
      <c r="AO44" s="13">
        <f>Construction!AO15*IF(Inputs!$F$34=1,$F$12*Inputs!$F$75*$F$25+$F$13*Inputs!$F$76*$F$25+$F$14*Inputs!$F$77*$F$25+$F$15*Inputs!$F$78*$F$25+$F$17,$F$12*AO28+$F$13*AO29+$F$14*AO30+$F$15*AO31+$F$16*AO32+$F$17)</f>
        <v/>
      </c>
      <c r="AP44" s="13">
        <f>Construction!AP15*IF(Inputs!$F$34=1,$F$12*Inputs!$F$75*$F$25+$F$13*Inputs!$F$76*$F$25+$F$14*Inputs!$F$77*$F$25+$F$15*Inputs!$F$78*$F$25+$F$17,$F$12*AP28+$F$13*AP29+$F$14*AP30+$F$15*AP31+$F$16*AP32+$F$17)</f>
        <v/>
      </c>
      <c r="AQ44" s="13">
        <f>Construction!AQ15*IF(Inputs!$F$34=1,$F$12*Inputs!$F$75*$F$25+$F$13*Inputs!$F$76*$F$25+$F$14*Inputs!$F$77*$F$25+$F$15*Inputs!$F$78*$F$25+$F$17,$F$12*AQ28+$F$13*AQ29+$F$14*AQ30+$F$15*AQ31+$F$16*AQ32+$F$17)</f>
        <v/>
      </c>
      <c r="AR44" s="13">
        <f>Construction!AR15*IF(Inputs!$F$34=1,$F$12*Inputs!$F$75*$F$25+$F$13*Inputs!$F$76*$F$25+$F$14*Inputs!$F$77*$F$25+$F$15*Inputs!$F$78*$F$25+$F$17,$F$12*AR28+$F$13*AR29+$F$14*AR30+$F$15*AR31+$F$16*AR32+$F$17)</f>
        <v/>
      </c>
      <c r="AS44" s="13">
        <f>Construction!AS15*IF(Inputs!$F$34=1,$F$12*Inputs!$F$75*$F$25+$F$13*Inputs!$F$76*$F$25+$F$14*Inputs!$F$77*$F$25+$F$15*Inputs!$F$78*$F$25+$F$17,$F$12*AS28+$F$13*AS29+$F$14*AS30+$F$15*AS31+$F$16*AS32+$F$17)</f>
        <v/>
      </c>
      <c r="AT44" s="13">
        <f>Construction!AT15*IF(Inputs!$F$34=1,$F$12*Inputs!$F$75*$F$25+$F$13*Inputs!$F$76*$F$25+$F$14*Inputs!$F$77*$F$25+$F$15*Inputs!$F$78*$F$25+$F$17,$F$12*AT28+$F$13*AT29+$F$14*AT30+$F$15*AT31+$F$16*AT32+$F$17)</f>
        <v/>
      </c>
      <c r="AU44" s="13">
        <f>Construction!AU15*IF(Inputs!$F$34=1,$F$12*Inputs!$F$75*$F$25+$F$13*Inputs!$F$76*$F$25+$F$14*Inputs!$F$77*$F$25+$F$15*Inputs!$F$78*$F$25+$F$17,$F$12*AU28+$F$13*AU29+$F$14*AU30+$F$15*AU31+$F$16*AU32+$F$17)</f>
        <v/>
      </c>
      <c r="AV44" s="13">
        <f>Construction!AV15*IF(Inputs!$F$34=1,$F$12*Inputs!$F$75*$F$25+$F$13*Inputs!$F$76*$F$25+$F$14*Inputs!$F$77*$F$25+$F$15*Inputs!$F$78*$F$25+$F$17,$F$12*AV28+$F$13*AV29+$F$14*AV30+$F$15*AV31+$F$16*AV32+$F$17)</f>
        <v/>
      </c>
      <c r="AW44" s="13">
        <f>Construction!AW15*IF(Inputs!$F$34=1,$F$12*Inputs!$F$75*$F$25+$F$13*Inputs!$F$76*$F$25+$F$14*Inputs!$F$77*$F$25+$F$15*Inputs!$F$78*$F$25+$F$17,$F$12*AW28+$F$13*AW29+$F$14*AW30+$F$15*AW31+$F$16*AW32+$F$17)</f>
        <v/>
      </c>
      <c r="AX44" s="13">
        <f>Construction!AX15*IF(Inputs!$F$34=1,$F$12*Inputs!$F$75*$F$25+$F$13*Inputs!$F$76*$F$25+$F$14*Inputs!$F$77*$F$25+$F$15*Inputs!$F$78*$F$25+$F$17,$F$12*AX28+$F$13*AX29+$F$14*AX30+$F$15*AX31+$F$16*AX32+$F$17)</f>
        <v/>
      </c>
      <c r="AY44" s="13">
        <f>Construction!AY15*IF(Inputs!$F$34=1,$F$12*Inputs!$F$75*$F$25+$F$13*Inputs!$F$76*$F$25+$F$14*Inputs!$F$77*$F$25+$F$15*Inputs!$F$78*$F$25+$F$17,$F$12*AY28+$F$13*AY29+$F$14*AY30+$F$15*AY31+$F$16*AY32+$F$17)</f>
        <v/>
      </c>
      <c r="AZ44" s="13">
        <f>Construction!AZ15*IF(Inputs!$F$34=1,$F$12*Inputs!$F$75*$F$25+$F$13*Inputs!$F$76*$F$25+$F$14*Inputs!$F$77*$F$25+$F$15*Inputs!$F$78*$F$25+$F$17,$F$12*AZ28+$F$13*AZ29+$F$14*AZ30+$F$15*AZ31+$F$16*AZ32+$F$17)</f>
        <v/>
      </c>
      <c r="BA44" s="13">
        <f>Construction!BA15*IF(Inputs!$F$34=1,$F$12*Inputs!$F$75*$F$25+$F$13*Inputs!$F$76*$F$25+$F$14*Inputs!$F$77*$F$25+$F$15*Inputs!$F$78*$F$25+$F$17,$F$12*BA28+$F$13*BA29+$F$14*BA30+$F$15*BA31+$F$16*BA32+$F$17)</f>
        <v/>
      </c>
      <c r="BB44" s="13">
        <f>Construction!BB15*IF(Inputs!$F$34=1,$F$12*Inputs!$F$75*$F$25+$F$13*Inputs!$F$76*$F$25+$F$14*Inputs!$F$77*$F$25+$F$15*Inputs!$F$78*$F$25+$F$17,$F$12*BB28+$F$13*BB29+$F$14*BB30+$F$15*BB31+$F$16*BB32+$F$17)</f>
        <v/>
      </c>
      <c r="BC44" s="13">
        <f>Construction!BC15*IF(Inputs!$F$34=1,$F$12*Inputs!$F$75*$F$25+$F$13*Inputs!$F$76*$F$25+$F$14*Inputs!$F$77*$F$25+$F$15*Inputs!$F$78*$F$25+$F$17,$F$12*BC28+$F$13*BC29+$F$14*BC30+$F$15*BC31+$F$16*BC32+$F$17)</f>
        <v/>
      </c>
      <c r="BD44" s="13">
        <f>Construction!BD15*IF(Inputs!$F$34=1,$F$12*Inputs!$F$75*$F$25+$F$13*Inputs!$F$76*$F$25+$F$14*Inputs!$F$77*$F$25+$F$15*Inputs!$F$78*$F$25+$F$17,$F$12*BD28+$F$13*BD29+$F$14*BD30+$F$15*BD31+$F$16*BD32+$F$17)</f>
        <v/>
      </c>
      <c r="BE44" s="13">
        <f>Construction!BE15*IF(Inputs!$F$34=1,$F$12*Inputs!$F$75*$F$25+$F$13*Inputs!$F$76*$F$25+$F$14*Inputs!$F$77*$F$25+$F$15*Inputs!$F$78*$F$25+$F$17,$F$12*BE28+$F$13*BE29+$F$14*BE30+$F$15*BE31+$F$16*BE32+$F$17)</f>
        <v/>
      </c>
      <c r="BF44" s="13">
        <f>Construction!BF15*IF(Inputs!$F$34=1,$F$12*Inputs!$F$75*$F$25+$F$13*Inputs!$F$76*$F$25+$F$14*Inputs!$F$77*$F$25+$F$15*Inputs!$F$78*$F$25+$F$17,$F$12*BF28+$F$13*BF29+$F$14*BF30+$F$15*BF31+$F$16*BF32+$F$17)</f>
        <v/>
      </c>
      <c r="BG44" s="13">
        <f>Construction!BG15*IF(Inputs!$F$34=1,$F$12*Inputs!$F$75*$F$25+$F$13*Inputs!$F$76*$F$25+$F$14*Inputs!$F$77*$F$25+$F$15*Inputs!$F$78*$F$25+$F$17,$F$12*BG28+$F$13*BG29+$F$14*BG30+$F$15*BG31+$F$16*BG32+$F$17)</f>
        <v/>
      </c>
      <c r="BH44" s="13">
        <f>Construction!BH15*IF(Inputs!$F$34=1,$F$12*Inputs!$F$75*$F$25+$F$13*Inputs!$F$76*$F$25+$F$14*Inputs!$F$77*$F$25+$F$15*Inputs!$F$78*$F$25+$F$17,$F$12*BH28+$F$13*BH29+$F$14*BH30+$F$15*BH31+$F$16*BH32+$F$17)</f>
        <v/>
      </c>
      <c r="BI44" s="13">
        <f>Construction!BI15*IF(Inputs!$F$34=1,$F$12*Inputs!$F$75*$F$25+$F$13*Inputs!$F$76*$F$25+$F$14*Inputs!$F$77*$F$25+$F$15*Inputs!$F$78*$F$25+$F$17,$F$12*BI28+$F$13*BI29+$F$14*BI30+$F$15*BI31+$F$16*BI32+$F$17)</f>
        <v/>
      </c>
      <c r="BJ44" s="13">
        <f>Construction!BJ15*IF(Inputs!$F$34=1,$F$12*Inputs!$F$75*$F$25+$F$13*Inputs!$F$76*$F$25+$F$14*Inputs!$F$77*$F$25+$F$15*Inputs!$F$78*$F$25+$F$17,$F$12*BJ28+$F$13*BJ29+$F$14*BJ30+$F$15*BJ31+$F$16*BJ32+$F$17)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3">
        <f>Construction!J14*(Construction!J32+Construction!J38)+J33+J34+J35+J36+J37+J38+J39+J40+J41+J42+J43+J44</f>
        <v/>
      </c>
      <c r="K45" s="13">
        <f>Construction!K14*(Construction!K32+Construction!K38)+K33+K34+K35+K36+K37+K38+K39+K40+K41+K42+K43+K44</f>
        <v/>
      </c>
      <c r="L45" s="13">
        <f>Construction!L14*(Construction!L32+Construction!L38)+L33+L34+L35+L36+L37+L38+L39+L40+L41+L42+L43+L44</f>
        <v/>
      </c>
      <c r="M45" s="13">
        <f>Construction!M14*(Construction!M32+Construction!M38)+M33+M34+M35+M36+M37+M38+M39+M40+M41+M42+M43+M44</f>
        <v/>
      </c>
      <c r="N45" s="13">
        <f>Construction!N14*(Construction!N32+Construction!N38)+N33+N34+N35+N36+N37+N38+N39+N40+N41+N42+N43+N44</f>
        <v/>
      </c>
      <c r="O45" s="13">
        <f>Construction!O14*(Construction!O32+Construction!O38)+O33+O34+O35+O36+O37+O38+O39+O40+O41+O42+O43+O44</f>
        <v/>
      </c>
      <c r="P45" s="13">
        <f>Construction!P14*(Construction!P32+Construction!P38)+P33+P34+P35+P36+P37+P38+P39+P40+P41+P42+P43+P44</f>
        <v/>
      </c>
      <c r="Q45" s="13">
        <f>Construction!Q14*(Construction!Q32+Construction!Q38)+Q33+Q34+Q35+Q36+Q37+Q38+Q39+Q40+Q41+Q42+Q43+Q44</f>
        <v/>
      </c>
      <c r="R45" s="13">
        <f>Construction!R14*(Construction!R32+Construction!R38)+R33+R34+R35+R36+R37+R38+R39+R40+R41+R42+R43+R44</f>
        <v/>
      </c>
      <c r="S45" s="13">
        <f>Construction!S14*(Construction!S32+Construction!S38)+S33+S34+S35+S36+S37+S38+S39+S40+S41+S42+S43+S44</f>
        <v/>
      </c>
      <c r="T45" s="13">
        <f>Construction!T14*(Construction!T32+Construction!T38)+T33+T34+T35+T36+T37+T38+T39+T40+T41+T42+T43+T44</f>
        <v/>
      </c>
      <c r="U45" s="13">
        <f>Construction!U14*(Construction!U32+Construction!U38)+U33+U34+U35+U36+U37+U38+U39+U40+U41+U42+U43+U44</f>
        <v/>
      </c>
      <c r="V45" s="13">
        <f>Construction!V14*(Construction!V32+Construction!V38)+V33+V34+V35+V36+V37+V38+V39+V40+V41+V42+V43+V44</f>
        <v/>
      </c>
      <c r="W45" s="13">
        <f>Construction!W14*(Construction!W32+Construction!W38)+W33+W34+W35+W36+W37+W38+W39+W40+W41+W42+W43+W44</f>
        <v/>
      </c>
      <c r="X45" s="13">
        <f>Construction!X14*(Construction!X32+Construction!X38)+X33+X34+X35+X36+X37+X38+X39+X40+X41+X42+X43+X44</f>
        <v/>
      </c>
      <c r="Y45" s="13">
        <f>Construction!Y14*(Construction!Y32+Construction!Y38)+Y33+Y34+Y35+Y36+Y37+Y38+Y39+Y40+Y41+Y42+Y43+Y44</f>
        <v/>
      </c>
      <c r="Z45" s="13">
        <f>Construction!Z14*(Construction!Z32+Construction!Z38)+Z33+Z34+Z35+Z36+Z37+Z38+Z39+Z40+Z41+Z42+Z43+Z44</f>
        <v/>
      </c>
      <c r="AA45" s="13">
        <f>Construction!AA14*(Construction!AA32+Construction!AA38)+AA33+AA34+AA35+AA36+AA37+AA38+AA39+AA40+AA41+AA42+AA43+AA44</f>
        <v/>
      </c>
      <c r="AB45" s="13">
        <f>Construction!AB14*(Construction!AB32+Construction!AB38)+AB33+AB34+AB35+AB36+AB37+AB38+AB39+AB40+AB41+AB42+AB43+AB44</f>
        <v/>
      </c>
      <c r="AC45" s="13">
        <f>Construction!AC14*(Construction!AC32+Construction!AC38)+AC33+AC34+AC35+AC36+AC37+AC38+AC39+AC40+AC41+AC42+AC43+AC44</f>
        <v/>
      </c>
      <c r="AD45" s="13">
        <f>Construction!AD14*(Construction!AD32+Construction!AD38)+AD33+AD34+AD35+AD36+AD37+AD38+AD39+AD40+AD41+AD42+AD43+AD44</f>
        <v/>
      </c>
      <c r="AE45" s="13">
        <f>Construction!AE14*(Construction!AE32+Construction!AE38)+AE33+AE34+AE35+AE36+AE37+AE38+AE39+AE40+AE41+AE42+AE43+AE44</f>
        <v/>
      </c>
      <c r="AF45" s="13">
        <f>Construction!AF14*(Construction!AF32+Construction!AF38)+AF33+AF34+AF35+AF36+AF37+AF38+AF39+AF40+AF41+AF42+AF43+AF44</f>
        <v/>
      </c>
      <c r="AG45" s="13">
        <f>Construction!AG14*(Construction!AG32+Construction!AG38)+AG33+AG34+AG35+AG36+AG37+AG38+AG39+AG40+AG41+AG42+AG43+AG44</f>
        <v/>
      </c>
      <c r="AH45" s="13">
        <f>Construction!AH14*(Construction!AH32+Construction!AH38)+AH33+AH34+AH35+AH36+AH37+AH38+AH39+AH40+AH41+AH42+AH43+AH44</f>
        <v/>
      </c>
      <c r="AI45" s="13">
        <f>Construction!AI14*(Construction!AI32+Construction!AI38)+AI33+AI34+AI35+AI36+AI37+AI38+AI39+AI40+AI41+AI42+AI43+AI44</f>
        <v/>
      </c>
      <c r="AJ45" s="13">
        <f>Construction!AJ14*(Construction!AJ32+Construction!AJ38)+AJ33+AJ34+AJ35+AJ36+AJ37+AJ38+AJ39+AJ40+AJ41+AJ42+AJ43+AJ44</f>
        <v/>
      </c>
      <c r="AK45" s="13">
        <f>Construction!AK14*(Construction!AK32+Construction!AK38)+AK33+AK34+AK35+AK36+AK37+AK38+AK39+AK40+AK41+AK42+AK43+AK44</f>
        <v/>
      </c>
      <c r="AL45" s="13">
        <f>Construction!AL14*(Construction!AL32+Construction!AL38)+AL33+AL34+AL35+AL36+AL37+AL38+AL39+AL40+AL41+AL42+AL43+AL44</f>
        <v/>
      </c>
      <c r="AM45" s="13">
        <f>Construction!AM14*(Construction!AM32+Construction!AM38)+AM33+AM34+AM35+AM36+AM37+AM38+AM39+AM40+AM41+AM42+AM43+AM44</f>
        <v/>
      </c>
      <c r="AN45" s="13">
        <f>Construction!AN14*(Construction!AN32+Construction!AN38)+AN33+AN34+AN35+AN36+AN37+AN38+AN39+AN40+AN41+AN42+AN43+AN44</f>
        <v/>
      </c>
      <c r="AO45" s="13">
        <f>Construction!AO14*(Construction!AO32+Construction!AO38)+AO33+AO34+AO35+AO36+AO37+AO38+AO39+AO40+AO41+AO42+AO43+AO44</f>
        <v/>
      </c>
      <c r="AP45" s="13">
        <f>Construction!AP14*(Construction!AP32+Construction!AP38)+AP33+AP34+AP35+AP36+AP37+AP38+AP39+AP40+AP41+AP42+AP43+AP44</f>
        <v/>
      </c>
      <c r="AQ45" s="13">
        <f>Construction!AQ14*(Construction!AQ32+Construction!AQ38)+AQ33+AQ34+AQ35+AQ36+AQ37+AQ38+AQ39+AQ40+AQ41+AQ42+AQ43+AQ44</f>
        <v/>
      </c>
      <c r="AR45" s="13">
        <f>Construction!AR14*(Construction!AR32+Construction!AR38)+AR33+AR34+AR35+AR36+AR37+AR38+AR39+AR40+AR41+AR42+AR43+AR44</f>
        <v/>
      </c>
      <c r="AS45" s="13">
        <f>Construction!AS14*(Construction!AS32+Construction!AS38)+AS33+AS34+AS35+AS36+AS37+AS38+AS39+AS40+AS41+AS42+AS43+AS44</f>
        <v/>
      </c>
      <c r="AT45" s="13">
        <f>Construction!AT14*(Construction!AT32+Construction!AT38)+AT33+AT34+AT35+AT36+AT37+AT38+AT39+AT40+AT41+AT42+AT43+AT44</f>
        <v/>
      </c>
      <c r="AU45" s="13">
        <f>Construction!AU14*(Construction!AU32+Construction!AU38)+AU33+AU34+AU35+AU36+AU37+AU38+AU39+AU40+AU41+AU42+AU43+AU44</f>
        <v/>
      </c>
      <c r="AV45" s="13">
        <f>Construction!AV14*(Construction!AV32+Construction!AV38)+AV33+AV34+AV35+AV36+AV37+AV38+AV39+AV40+AV41+AV42+AV43+AV44</f>
        <v/>
      </c>
      <c r="AW45" s="13">
        <f>Construction!AW14*(Construction!AW32+Construction!AW38)+AW33+AW34+AW35+AW36+AW37+AW38+AW39+AW40+AW41+AW42+AW43+AW44</f>
        <v/>
      </c>
      <c r="AX45" s="13">
        <f>Construction!AX14*(Construction!AX32+Construction!AX38)+AX33+AX34+AX35+AX36+AX37+AX38+AX39+AX40+AX41+AX42+AX43+AX44</f>
        <v/>
      </c>
      <c r="AY45" s="13">
        <f>Construction!AY14*(Construction!AY32+Construction!AY38)+AY33+AY34+AY35+AY36+AY37+AY38+AY39+AY40+AY41+AY42+AY43+AY44</f>
        <v/>
      </c>
      <c r="AZ45" s="13">
        <f>Construction!AZ14*(Construction!AZ32+Construction!AZ38)+AZ33+AZ34+AZ35+AZ36+AZ37+AZ38+AZ39+AZ40+AZ41+AZ42+AZ43+AZ44</f>
        <v/>
      </c>
      <c r="BA45" s="13">
        <f>Construction!BA14*(Construction!BA32+Construction!BA38)+BA33+BA34+BA35+BA36+BA37+BA38+BA39+BA40+BA41+BA42+BA43+BA44</f>
        <v/>
      </c>
      <c r="BB45" s="13">
        <f>Construction!BB14*(Construction!BB32+Construction!BB38)+BB33+BB34+BB35+BB36+BB37+BB38+BB39+BB40+BB41+BB42+BB43+BB44</f>
        <v/>
      </c>
      <c r="BC45" s="13">
        <f>Construction!BC14*(Construction!BC32+Construction!BC38)+BC33+BC34+BC35+BC36+BC37+BC38+BC39+BC40+BC41+BC42+BC43+BC44</f>
        <v/>
      </c>
      <c r="BD45" s="13">
        <f>Construction!BD14*(Construction!BD32+Construction!BD38)+BD33+BD34+BD35+BD36+BD37+BD38+BD39+BD40+BD41+BD42+BD43+BD44</f>
        <v/>
      </c>
      <c r="BE45" s="13">
        <f>Construction!BE14*(Construction!BE32+Construction!BE38)+BE33+BE34+BE35+BE36+BE37+BE38+BE39+BE40+BE41+BE42+BE43+BE44</f>
        <v/>
      </c>
      <c r="BF45" s="13">
        <f>Construction!BF14*(Construction!BF32+Construction!BF38)+BF33+BF34+BF35+BF36+BF37+BF38+BF39+BF40+BF41+BF42+BF43+BF44</f>
        <v/>
      </c>
      <c r="BG45" s="13">
        <f>Construction!BG14*(Construction!BG32+Construction!BG38)+BG33+BG34+BG35+BG36+BG37+BG38+BG39+BG40+BG41+BG42+BG43+BG44</f>
        <v/>
      </c>
      <c r="BH45" s="13">
        <f>Construction!BH14*(Construction!BH32+Construction!BH38)+BH33+BH34+BH35+BH36+BH37+BH38+BH39+BH40+BH41+BH42+BH43+BH44</f>
        <v/>
      </c>
      <c r="BI45" s="13">
        <f>Construction!BI14*(Construction!BI32+Construction!BI38)+BI33+BI34+BI35+BI36+BI37+BI38+BI39+BI40+BI41+BI42+BI43+BI44</f>
        <v/>
      </c>
      <c r="BJ45" s="13">
        <f>Construction!BJ14*(Construction!BJ32+Construction!BJ38)+BJ33+BJ34+BJ35+BJ36+BJ37+BJ38+BJ39+BJ40+BJ41+BJ42+BJ43+BJ44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3">
        <f>$F$25-J28-J29-J30-J31</f>
        <v/>
      </c>
      <c r="K46" s="13">
        <f>$F$25-K28-K29-K30-K31</f>
        <v/>
      </c>
      <c r="L46" s="13">
        <f>$F$25-L28-L29-L30-L31</f>
        <v/>
      </c>
      <c r="M46" s="13">
        <f>$F$25-M28-M29-M30-M31</f>
        <v/>
      </c>
      <c r="N46" s="13">
        <f>$F$25-N28-N29-N30-N31</f>
        <v/>
      </c>
      <c r="O46" s="13">
        <f>$F$25-O28-O29-O30-O31</f>
        <v/>
      </c>
      <c r="P46" s="13">
        <f>$F$25-P28-P29-P30-P31</f>
        <v/>
      </c>
      <c r="Q46" s="13">
        <f>$F$25-Q28-Q29-Q30-Q31</f>
        <v/>
      </c>
      <c r="R46" s="13">
        <f>$F$25-R28-R29-R30-R31</f>
        <v/>
      </c>
      <c r="S46" s="13">
        <f>$F$25-S28-S29-S30-S31</f>
        <v/>
      </c>
      <c r="T46" s="13">
        <f>$F$25-T28-T29-T30-T31</f>
        <v/>
      </c>
      <c r="U46" s="13">
        <f>$F$25-U28-U29-U30-U31</f>
        <v/>
      </c>
      <c r="V46" s="13">
        <f>$F$25-V28-V29-V30-V31</f>
        <v/>
      </c>
      <c r="W46" s="13">
        <f>$F$25-W28-W29-W30-W31</f>
        <v/>
      </c>
      <c r="X46" s="13">
        <f>$F$25-X28-X29-X30-X31</f>
        <v/>
      </c>
      <c r="Y46" s="13">
        <f>$F$25-Y28-Y29-Y30-Y31</f>
        <v/>
      </c>
      <c r="Z46" s="13">
        <f>$F$25-Z28-Z29-Z30-Z31</f>
        <v/>
      </c>
      <c r="AA46" s="13">
        <f>$F$25-AA28-AA29-AA30-AA31</f>
        <v/>
      </c>
      <c r="AB46" s="13">
        <f>$F$25-AB28-AB29-AB30-AB31</f>
        <v/>
      </c>
      <c r="AC46" s="13">
        <f>$F$25-AC28-AC29-AC30-AC31</f>
        <v/>
      </c>
      <c r="AD46" s="13">
        <f>$F$25-AD28-AD29-AD30-AD31</f>
        <v/>
      </c>
      <c r="AE46" s="13">
        <f>$F$25-AE28-AE29-AE30-AE31</f>
        <v/>
      </c>
      <c r="AF46" s="13">
        <f>$F$25-AF28-AF29-AF30-AF31</f>
        <v/>
      </c>
      <c r="AG46" s="13">
        <f>$F$25-AG28-AG29-AG30-AG31</f>
        <v/>
      </c>
      <c r="AH46" s="13">
        <f>$F$25-AH28-AH29-AH30-AH31</f>
        <v/>
      </c>
      <c r="AI46" s="13">
        <f>$F$25-AI28-AI29-AI30-AI31</f>
        <v/>
      </c>
      <c r="AJ46" s="13">
        <f>$F$25-AJ28-AJ29-AJ30-AJ31</f>
        <v/>
      </c>
      <c r="AK46" s="13">
        <f>$F$25-AK28-AK29-AK30-AK31</f>
        <v/>
      </c>
      <c r="AL46" s="13">
        <f>$F$25-AL28-AL29-AL30-AL31</f>
        <v/>
      </c>
      <c r="AM46" s="13">
        <f>$F$25-AM28-AM29-AM30-AM31</f>
        <v/>
      </c>
      <c r="AN46" s="13">
        <f>$F$25-AN28-AN29-AN30-AN31</f>
        <v/>
      </c>
      <c r="AO46" s="13">
        <f>$F$25-AO28-AO29-AO30-AO31</f>
        <v/>
      </c>
      <c r="AP46" s="13">
        <f>$F$25-AP28-AP29-AP30-AP31</f>
        <v/>
      </c>
      <c r="AQ46" s="13">
        <f>$F$25-AQ28-AQ29-AQ30-AQ31</f>
        <v/>
      </c>
      <c r="AR46" s="13">
        <f>$F$25-AR28-AR29-AR30-AR31</f>
        <v/>
      </c>
      <c r="AS46" s="13">
        <f>$F$25-AS28-AS29-AS30-AS31</f>
        <v/>
      </c>
      <c r="AT46" s="13">
        <f>$F$25-AT28-AT29-AT30-AT31</f>
        <v/>
      </c>
      <c r="AU46" s="13">
        <f>$F$25-AU28-AU29-AU30-AU31</f>
        <v/>
      </c>
      <c r="AV46" s="13">
        <f>$F$25-AV28-AV29-AV30-AV31</f>
        <v/>
      </c>
      <c r="AW46" s="13">
        <f>$F$25-AW28-AW29-AW30-AW31</f>
        <v/>
      </c>
      <c r="AX46" s="13">
        <f>$F$25-AX28-AX29-AX30-AX31</f>
        <v/>
      </c>
      <c r="AY46" s="13">
        <f>$F$25-AY28-AY29-AY30-AY31</f>
        <v/>
      </c>
      <c r="AZ46" s="13">
        <f>$F$25-AZ28-AZ29-AZ30-AZ31</f>
        <v/>
      </c>
      <c r="BA46" s="13">
        <f>$F$25-BA28-BA29-BA30-BA31</f>
        <v/>
      </c>
      <c r="BB46" s="13">
        <f>$F$25-BB28-BB29-BB30-BB31</f>
        <v/>
      </c>
      <c r="BC46" s="13">
        <f>$F$25-BC28-BC29-BC30-BC31</f>
        <v/>
      </c>
      <c r="BD46" s="13">
        <f>$F$25-BD28-BD29-BD30-BD31</f>
        <v/>
      </c>
      <c r="BE46" s="13">
        <f>$F$25-BE28-BE29-BE30-BE31</f>
        <v/>
      </c>
      <c r="BF46" s="13">
        <f>$F$25-BF28-BF29-BF30-BF31</f>
        <v/>
      </c>
      <c r="BG46" s="13">
        <f>$F$25-BG28-BG29-BG30-BG31</f>
        <v/>
      </c>
      <c r="BH46" s="13">
        <f>$F$25-BH28-BH29-BH30-BH31</f>
        <v/>
      </c>
      <c r="BI46" s="13">
        <f>$F$25-BI28-BI29-BI30-BI31</f>
        <v/>
      </c>
      <c r="BJ46" s="13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3">
        <f>SUM(J47:BJ47)</f>
        <v/>
      </c>
      <c r="J47" s="13">
        <f>MIN(($F$26*(J45-J44)+J44)/(1-Inputs!$F$94/100*Inputs!$F$75*$F$26),J46)</f>
        <v/>
      </c>
      <c r="K47" s="13">
        <f>MIN(($F$26*(K45-K44)+K44)/(1-Inputs!$F$94/100*Inputs!$F$75*$F$26),K46)</f>
        <v/>
      </c>
      <c r="L47" s="13">
        <f>MIN(($F$26*(L45-L44)+L44)/(1-Inputs!$F$94/100*Inputs!$F$75*$F$26),L46)</f>
        <v/>
      </c>
      <c r="M47" s="13">
        <f>MIN(($F$26*(M45-M44)+M44)/(1-Inputs!$F$94/100*Inputs!$F$75*$F$26),M46)</f>
        <v/>
      </c>
      <c r="N47" s="13">
        <f>MIN(($F$26*(N45-N44)+N44)/(1-Inputs!$F$94/100*Inputs!$F$75*$F$26),N46)</f>
        <v/>
      </c>
      <c r="O47" s="13">
        <f>MIN(($F$26*(O45-O44)+O44)/(1-Inputs!$F$94/100*Inputs!$F$75*$F$26),O46)</f>
        <v/>
      </c>
      <c r="P47" s="13">
        <f>MIN(($F$26*(P45-P44)+P44)/(1-Inputs!$F$94/100*Inputs!$F$75*$F$26),P46)</f>
        <v/>
      </c>
      <c r="Q47" s="13">
        <f>MIN(($F$26*(Q45-Q44)+Q44)/(1-Inputs!$F$94/100*Inputs!$F$75*$F$26),Q46)</f>
        <v/>
      </c>
      <c r="R47" s="13">
        <f>MIN(($F$26*(R45-R44)+R44)/(1-Inputs!$F$94/100*Inputs!$F$75*$F$26),R46)</f>
        <v/>
      </c>
      <c r="S47" s="13">
        <f>MIN(($F$26*(S45-S44)+S44)/(1-Inputs!$F$94/100*Inputs!$F$75*$F$26),S46)</f>
        <v/>
      </c>
      <c r="T47" s="13">
        <f>MIN(($F$26*(T45-T44)+T44)/(1-Inputs!$F$94/100*Inputs!$F$75*$F$26),T46)</f>
        <v/>
      </c>
      <c r="U47" s="13">
        <f>MIN(($F$26*(U45-U44)+U44)/(1-Inputs!$F$94/100*Inputs!$F$75*$F$26),U46)</f>
        <v/>
      </c>
      <c r="V47" s="13">
        <f>MIN(($F$26*(V45-V44)+V44)/(1-Inputs!$F$94/100*Inputs!$F$75*$F$26),V46)</f>
        <v/>
      </c>
      <c r="W47" s="13">
        <f>MIN(($F$26*(W45-W44)+W44)/(1-Inputs!$F$94/100*Inputs!$F$75*$F$26),W46)</f>
        <v/>
      </c>
      <c r="X47" s="13">
        <f>MIN(($F$26*(X45-X44)+X44)/(1-Inputs!$F$94/100*Inputs!$F$75*$F$26),X46)</f>
        <v/>
      </c>
      <c r="Y47" s="13">
        <f>MIN(($F$26*(Y45-Y44)+Y44)/(1-Inputs!$F$94/100*Inputs!$F$75*$F$26),Y46)</f>
        <v/>
      </c>
      <c r="Z47" s="13">
        <f>MIN(($F$26*(Z45-Z44)+Z44)/(1-Inputs!$F$94/100*Inputs!$F$75*$F$26),Z46)</f>
        <v/>
      </c>
      <c r="AA47" s="13">
        <f>MIN(($F$26*(AA45-AA44)+AA44)/(1-Inputs!$F$94/100*Inputs!$F$75*$F$26),AA46)</f>
        <v/>
      </c>
      <c r="AB47" s="13">
        <f>MIN(($F$26*(AB45-AB44)+AB44)/(1-Inputs!$F$94/100*Inputs!$F$75*$F$26),AB46)</f>
        <v/>
      </c>
      <c r="AC47" s="13">
        <f>MIN(($F$26*(AC45-AC44)+AC44)/(1-Inputs!$F$94/100*Inputs!$F$75*$F$26),AC46)</f>
        <v/>
      </c>
      <c r="AD47" s="13">
        <f>MIN(($F$26*(AD45-AD44)+AD44)/(1-Inputs!$F$94/100*Inputs!$F$75*$F$26),AD46)</f>
        <v/>
      </c>
      <c r="AE47" s="13">
        <f>MIN(($F$26*(AE45-AE44)+AE44)/(1-Inputs!$F$94/100*Inputs!$F$75*$F$26),AE46)</f>
        <v/>
      </c>
      <c r="AF47" s="13">
        <f>MIN(($F$26*(AF45-AF44)+AF44)/(1-Inputs!$F$94/100*Inputs!$F$75*$F$26),AF46)</f>
        <v/>
      </c>
      <c r="AG47" s="13">
        <f>MIN(($F$26*(AG45-AG44)+AG44)/(1-Inputs!$F$94/100*Inputs!$F$75*$F$26),AG46)</f>
        <v/>
      </c>
      <c r="AH47" s="13">
        <f>MIN(($F$26*(AH45-AH44)+AH44)/(1-Inputs!$F$94/100*Inputs!$F$75*$F$26),AH46)</f>
        <v/>
      </c>
      <c r="AI47" s="13">
        <f>MIN(($F$26*(AI45-AI44)+AI44)/(1-Inputs!$F$94/100*Inputs!$F$75*$F$26),AI46)</f>
        <v/>
      </c>
      <c r="AJ47" s="13">
        <f>MIN(($F$26*(AJ45-AJ44)+AJ44)/(1-Inputs!$F$94/100*Inputs!$F$75*$F$26),AJ46)</f>
        <v/>
      </c>
      <c r="AK47" s="13">
        <f>MIN(($F$26*(AK45-AK44)+AK44)/(1-Inputs!$F$94/100*Inputs!$F$75*$F$26),AK46)</f>
        <v/>
      </c>
      <c r="AL47" s="13">
        <f>MIN(($F$26*(AL45-AL44)+AL44)/(1-Inputs!$F$94/100*Inputs!$F$75*$F$26),AL46)</f>
        <v/>
      </c>
      <c r="AM47" s="13">
        <f>MIN(($F$26*(AM45-AM44)+AM44)/(1-Inputs!$F$94/100*Inputs!$F$75*$F$26),AM46)</f>
        <v/>
      </c>
      <c r="AN47" s="13">
        <f>MIN(($F$26*(AN45-AN44)+AN44)/(1-Inputs!$F$94/100*Inputs!$F$75*$F$26),AN46)</f>
        <v/>
      </c>
      <c r="AO47" s="13">
        <f>MIN(($F$26*(AO45-AO44)+AO44)/(1-Inputs!$F$94/100*Inputs!$F$75*$F$26),AO46)</f>
        <v/>
      </c>
      <c r="AP47" s="13">
        <f>MIN(($F$26*(AP45-AP44)+AP44)/(1-Inputs!$F$94/100*Inputs!$F$75*$F$26),AP46)</f>
        <v/>
      </c>
      <c r="AQ47" s="13">
        <f>MIN(($F$26*(AQ45-AQ44)+AQ44)/(1-Inputs!$F$94/100*Inputs!$F$75*$F$26),AQ46)</f>
        <v/>
      </c>
      <c r="AR47" s="13">
        <f>MIN(($F$26*(AR45-AR44)+AR44)/(1-Inputs!$F$94/100*Inputs!$F$75*$F$26),AR46)</f>
        <v/>
      </c>
      <c r="AS47" s="13">
        <f>MIN(($F$26*(AS45-AS44)+AS44)/(1-Inputs!$F$94/100*Inputs!$F$75*$F$26),AS46)</f>
        <v/>
      </c>
      <c r="AT47" s="13">
        <f>MIN(($F$26*(AT45-AT44)+AT44)/(1-Inputs!$F$94/100*Inputs!$F$75*$F$26),AT46)</f>
        <v/>
      </c>
      <c r="AU47" s="13">
        <f>MIN(($F$26*(AU45-AU44)+AU44)/(1-Inputs!$F$94/100*Inputs!$F$75*$F$26),AU46)</f>
        <v/>
      </c>
      <c r="AV47" s="13">
        <f>MIN(($F$26*(AV45-AV44)+AV44)/(1-Inputs!$F$94/100*Inputs!$F$75*$F$26),AV46)</f>
        <v/>
      </c>
      <c r="AW47" s="13">
        <f>MIN(($F$26*(AW45-AW44)+AW44)/(1-Inputs!$F$94/100*Inputs!$F$75*$F$26),AW46)</f>
        <v/>
      </c>
      <c r="AX47" s="13">
        <f>MIN(($F$26*(AX45-AX44)+AX44)/(1-Inputs!$F$94/100*Inputs!$F$75*$F$26),AX46)</f>
        <v/>
      </c>
      <c r="AY47" s="13">
        <f>MIN(($F$26*(AY45-AY44)+AY44)/(1-Inputs!$F$94/100*Inputs!$F$75*$F$26),AY46)</f>
        <v/>
      </c>
      <c r="AZ47" s="13">
        <f>MIN(($F$26*(AZ45-AZ44)+AZ44)/(1-Inputs!$F$94/100*Inputs!$F$75*$F$26),AZ46)</f>
        <v/>
      </c>
      <c r="BA47" s="13">
        <f>MIN(($F$26*(BA45-BA44)+BA44)/(1-Inputs!$F$94/100*Inputs!$F$75*$F$26),BA46)</f>
        <v/>
      </c>
      <c r="BB47" s="13">
        <f>MIN(($F$26*(BB45-BB44)+BB44)/(1-Inputs!$F$94/100*Inputs!$F$75*$F$26),BB46)</f>
        <v/>
      </c>
      <c r="BC47" s="13">
        <f>MIN(($F$26*(BC45-BC44)+BC44)/(1-Inputs!$F$94/100*Inputs!$F$75*$F$26),BC46)</f>
        <v/>
      </c>
      <c r="BD47" s="13">
        <f>MIN(($F$26*(BD45-BD44)+BD44)/(1-Inputs!$F$94/100*Inputs!$F$75*$F$26),BD46)</f>
        <v/>
      </c>
      <c r="BE47" s="13">
        <f>MIN(($F$26*(BE45-BE44)+BE44)/(1-Inputs!$F$94/100*Inputs!$F$75*$F$26),BE46)</f>
        <v/>
      </c>
      <c r="BF47" s="13">
        <f>MIN(($F$26*(BF45-BF44)+BF44)/(1-Inputs!$F$94/100*Inputs!$F$75*$F$26),BF46)</f>
        <v/>
      </c>
      <c r="BG47" s="13">
        <f>MIN(($F$26*(BG45-BG44)+BG44)/(1-Inputs!$F$94/100*Inputs!$F$75*$F$26),BG46)</f>
        <v/>
      </c>
      <c r="BH47" s="13">
        <f>MIN(($F$26*(BH45-BH44)+BH44)/(1-Inputs!$F$94/100*Inputs!$F$75*$F$26),BH46)</f>
        <v/>
      </c>
      <c r="BI47" s="13">
        <f>MIN(($F$26*(BI45-BI44)+BI44)/(1-Inputs!$F$94/100*Inputs!$F$75*$F$26),BI46)</f>
        <v/>
      </c>
      <c r="BJ47" s="13">
        <f>MIN(($F$26*(BJ45-BJ44)+BJ44)/(1-Inputs!$F$94/100*Inputs!$F$75*$F$26),BJ46)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3">
        <f>SUM(J48:BJ48)</f>
        <v/>
      </c>
      <c r="J48" s="13">
        <f>Inputs!$F$94/100*Inputs!$F$75*J47</f>
        <v/>
      </c>
      <c r="K48" s="13">
        <f>Inputs!$F$94/100*Inputs!$F$75*K47</f>
        <v/>
      </c>
      <c r="L48" s="13">
        <f>Inputs!$F$94/100*Inputs!$F$75*L47</f>
        <v/>
      </c>
      <c r="M48" s="13">
        <f>Inputs!$F$94/100*Inputs!$F$75*M47</f>
        <v/>
      </c>
      <c r="N48" s="13">
        <f>Inputs!$F$94/100*Inputs!$F$75*N47</f>
        <v/>
      </c>
      <c r="O48" s="13">
        <f>Inputs!$F$94/100*Inputs!$F$75*O47</f>
        <v/>
      </c>
      <c r="P48" s="13">
        <f>Inputs!$F$94/100*Inputs!$F$75*P47</f>
        <v/>
      </c>
      <c r="Q48" s="13">
        <f>Inputs!$F$94/100*Inputs!$F$75*Q47</f>
        <v/>
      </c>
      <c r="R48" s="13">
        <f>Inputs!$F$94/100*Inputs!$F$75*R47</f>
        <v/>
      </c>
      <c r="S48" s="13">
        <f>Inputs!$F$94/100*Inputs!$F$75*S47</f>
        <v/>
      </c>
      <c r="T48" s="13">
        <f>Inputs!$F$94/100*Inputs!$F$75*T47</f>
        <v/>
      </c>
      <c r="U48" s="13">
        <f>Inputs!$F$94/100*Inputs!$F$75*U47</f>
        <v/>
      </c>
      <c r="V48" s="13">
        <f>Inputs!$F$94/100*Inputs!$F$75*V47</f>
        <v/>
      </c>
      <c r="W48" s="13">
        <f>Inputs!$F$94/100*Inputs!$F$75*W47</f>
        <v/>
      </c>
      <c r="X48" s="13">
        <f>Inputs!$F$94/100*Inputs!$F$75*X47</f>
        <v/>
      </c>
      <c r="Y48" s="13">
        <f>Inputs!$F$94/100*Inputs!$F$75*Y47</f>
        <v/>
      </c>
      <c r="Z48" s="13">
        <f>Inputs!$F$94/100*Inputs!$F$75*Z47</f>
        <v/>
      </c>
      <c r="AA48" s="13">
        <f>Inputs!$F$94/100*Inputs!$F$75*AA47</f>
        <v/>
      </c>
      <c r="AB48" s="13">
        <f>Inputs!$F$94/100*Inputs!$F$75*AB47</f>
        <v/>
      </c>
      <c r="AC48" s="13">
        <f>Inputs!$F$94/100*Inputs!$F$75*AC47</f>
        <v/>
      </c>
      <c r="AD48" s="13">
        <f>Inputs!$F$94/100*Inputs!$F$75*AD47</f>
        <v/>
      </c>
      <c r="AE48" s="13">
        <f>Inputs!$F$94/100*Inputs!$F$75*AE47</f>
        <v/>
      </c>
      <c r="AF48" s="13">
        <f>Inputs!$F$94/100*Inputs!$F$75*AF47</f>
        <v/>
      </c>
      <c r="AG48" s="13">
        <f>Inputs!$F$94/100*Inputs!$F$75*AG47</f>
        <v/>
      </c>
      <c r="AH48" s="13">
        <f>Inputs!$F$94/100*Inputs!$F$75*AH47</f>
        <v/>
      </c>
      <c r="AI48" s="13">
        <f>Inputs!$F$94/100*Inputs!$F$75*AI47</f>
        <v/>
      </c>
      <c r="AJ48" s="13">
        <f>Inputs!$F$94/100*Inputs!$F$75*AJ47</f>
        <v/>
      </c>
      <c r="AK48" s="13">
        <f>Inputs!$F$94/100*Inputs!$F$75*AK47</f>
        <v/>
      </c>
      <c r="AL48" s="13">
        <f>Inputs!$F$94/100*Inputs!$F$75*AL47</f>
        <v/>
      </c>
      <c r="AM48" s="13">
        <f>Inputs!$F$94/100*Inputs!$F$75*AM47</f>
        <v/>
      </c>
      <c r="AN48" s="13">
        <f>Inputs!$F$94/100*Inputs!$F$75*AN47</f>
        <v/>
      </c>
      <c r="AO48" s="13">
        <f>Inputs!$F$94/100*Inputs!$F$75*AO47</f>
        <v/>
      </c>
      <c r="AP48" s="13">
        <f>Inputs!$F$94/100*Inputs!$F$75*AP47</f>
        <v/>
      </c>
      <c r="AQ48" s="13">
        <f>Inputs!$F$94/100*Inputs!$F$75*AQ47</f>
        <v/>
      </c>
      <c r="AR48" s="13">
        <f>Inputs!$F$94/100*Inputs!$F$75*AR47</f>
        <v/>
      </c>
      <c r="AS48" s="13">
        <f>Inputs!$F$94/100*Inputs!$F$75*AS47</f>
        <v/>
      </c>
      <c r="AT48" s="13">
        <f>Inputs!$F$94/100*Inputs!$F$75*AT47</f>
        <v/>
      </c>
      <c r="AU48" s="13">
        <f>Inputs!$F$94/100*Inputs!$F$75*AU47</f>
        <v/>
      </c>
      <c r="AV48" s="13">
        <f>Inputs!$F$94/100*Inputs!$F$75*AV47</f>
        <v/>
      </c>
      <c r="AW48" s="13">
        <f>Inputs!$F$94/100*Inputs!$F$75*AW47</f>
        <v/>
      </c>
      <c r="AX48" s="13">
        <f>Inputs!$F$94/100*Inputs!$F$75*AX47</f>
        <v/>
      </c>
      <c r="AY48" s="13">
        <f>Inputs!$F$94/100*Inputs!$F$75*AY47</f>
        <v/>
      </c>
      <c r="AZ48" s="13">
        <f>Inputs!$F$94/100*Inputs!$F$75*AZ47</f>
        <v/>
      </c>
      <c r="BA48" s="13">
        <f>Inputs!$F$94/100*Inputs!$F$75*BA47</f>
        <v/>
      </c>
      <c r="BB48" s="13">
        <f>Inputs!$F$94/100*Inputs!$F$75*BB47</f>
        <v/>
      </c>
      <c r="BC48" s="13">
        <f>Inputs!$F$94/100*Inputs!$F$75*BC47</f>
        <v/>
      </c>
      <c r="BD48" s="13">
        <f>Inputs!$F$94/100*Inputs!$F$75*BD47</f>
        <v/>
      </c>
      <c r="BE48" s="13">
        <f>Inputs!$F$94/100*Inputs!$F$75*BE47</f>
        <v/>
      </c>
      <c r="BF48" s="13">
        <f>Inputs!$F$94/100*Inputs!$F$75*BF47</f>
        <v/>
      </c>
      <c r="BG48" s="13">
        <f>Inputs!$F$94/100*Inputs!$F$75*BG47</f>
        <v/>
      </c>
      <c r="BH48" s="13">
        <f>Inputs!$F$94/100*Inputs!$F$75*BH47</f>
        <v/>
      </c>
      <c r="BI48" s="13">
        <f>Inputs!$F$94/100*Inputs!$F$75*BI47</f>
        <v/>
      </c>
      <c r="BJ48" s="13">
        <f>Inputs!$F$94/100*Inputs!$F$75*BJ47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3">
        <f>SUM(J49:BJ49)</f>
        <v/>
      </c>
      <c r="J49" s="13">
        <f>J45+J48</f>
        <v/>
      </c>
      <c r="K49" s="13">
        <f>K45+K48</f>
        <v/>
      </c>
      <c r="L49" s="13">
        <f>L45+L48</f>
        <v/>
      </c>
      <c r="M49" s="13">
        <f>M45+M48</f>
        <v/>
      </c>
      <c r="N49" s="13">
        <f>N45+N48</f>
        <v/>
      </c>
      <c r="O49" s="13">
        <f>O45+O48</f>
        <v/>
      </c>
      <c r="P49" s="13">
        <f>P45+P48</f>
        <v/>
      </c>
      <c r="Q49" s="13">
        <f>Q45+Q48</f>
        <v/>
      </c>
      <c r="R49" s="13">
        <f>R45+R48</f>
        <v/>
      </c>
      <c r="S49" s="13">
        <f>S45+S48</f>
        <v/>
      </c>
      <c r="T49" s="13">
        <f>T45+T48</f>
        <v/>
      </c>
      <c r="U49" s="13">
        <f>U45+U48</f>
        <v/>
      </c>
      <c r="V49" s="13">
        <f>V45+V48</f>
        <v/>
      </c>
      <c r="W49" s="13">
        <f>W45+W48</f>
        <v/>
      </c>
      <c r="X49" s="13">
        <f>X45+X48</f>
        <v/>
      </c>
      <c r="Y49" s="13">
        <f>Y45+Y48</f>
        <v/>
      </c>
      <c r="Z49" s="13">
        <f>Z45+Z48</f>
        <v/>
      </c>
      <c r="AA49" s="13">
        <f>AA45+AA48</f>
        <v/>
      </c>
      <c r="AB49" s="13">
        <f>AB45+AB48</f>
        <v/>
      </c>
      <c r="AC49" s="13">
        <f>AC45+AC48</f>
        <v/>
      </c>
      <c r="AD49" s="13">
        <f>AD45+AD48</f>
        <v/>
      </c>
      <c r="AE49" s="13">
        <f>AE45+AE48</f>
        <v/>
      </c>
      <c r="AF49" s="13">
        <f>AF45+AF48</f>
        <v/>
      </c>
      <c r="AG49" s="13">
        <f>AG45+AG48</f>
        <v/>
      </c>
      <c r="AH49" s="13">
        <f>AH45+AH48</f>
        <v/>
      </c>
      <c r="AI49" s="13">
        <f>AI45+AI48</f>
        <v/>
      </c>
      <c r="AJ49" s="13">
        <f>AJ45+AJ48</f>
        <v/>
      </c>
      <c r="AK49" s="13">
        <f>AK45+AK48</f>
        <v/>
      </c>
      <c r="AL49" s="13">
        <f>AL45+AL48</f>
        <v/>
      </c>
      <c r="AM49" s="13">
        <f>AM45+AM48</f>
        <v/>
      </c>
      <c r="AN49" s="13">
        <f>AN45+AN48</f>
        <v/>
      </c>
      <c r="AO49" s="13">
        <f>AO45+AO48</f>
        <v/>
      </c>
      <c r="AP49" s="13">
        <f>AP45+AP48</f>
        <v/>
      </c>
      <c r="AQ49" s="13">
        <f>AQ45+AQ48</f>
        <v/>
      </c>
      <c r="AR49" s="13">
        <f>AR45+AR48</f>
        <v/>
      </c>
      <c r="AS49" s="13">
        <f>AS45+AS48</f>
        <v/>
      </c>
      <c r="AT49" s="13">
        <f>AT45+AT48</f>
        <v/>
      </c>
      <c r="AU49" s="13">
        <f>AU45+AU48</f>
        <v/>
      </c>
      <c r="AV49" s="13">
        <f>AV45+AV48</f>
        <v/>
      </c>
      <c r="AW49" s="13">
        <f>AW45+AW48</f>
        <v/>
      </c>
      <c r="AX49" s="13">
        <f>AX45+AX48</f>
        <v/>
      </c>
      <c r="AY49" s="13">
        <f>AY45+AY48</f>
        <v/>
      </c>
      <c r="AZ49" s="13">
        <f>AZ45+AZ48</f>
        <v/>
      </c>
      <c r="BA49" s="13">
        <f>BA45+BA48</f>
        <v/>
      </c>
      <c r="BB49" s="13">
        <f>BB45+BB48</f>
        <v/>
      </c>
      <c r="BC49" s="13">
        <f>BC45+BC48</f>
        <v/>
      </c>
      <c r="BD49" s="13">
        <f>BD45+BD48</f>
        <v/>
      </c>
      <c r="BE49" s="13">
        <f>BE45+BE48</f>
        <v/>
      </c>
      <c r="BF49" s="13">
        <f>BF45+BF48</f>
        <v/>
      </c>
      <c r="BG49" s="13">
        <f>BG45+BG48</f>
        <v/>
      </c>
      <c r="BH49" s="13">
        <f>BH45+BH48</f>
        <v/>
      </c>
      <c r="BI49" s="13">
        <f>BI45+BI48</f>
        <v/>
      </c>
      <c r="BJ49" s="13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3">
        <f>SUM(J50:BJ50)</f>
        <v/>
      </c>
      <c r="J50" s="13">
        <f>J49</f>
        <v/>
      </c>
      <c r="K50" s="13">
        <f>K49</f>
        <v/>
      </c>
      <c r="L50" s="13">
        <f>L49</f>
        <v/>
      </c>
      <c r="M50" s="13">
        <f>M49</f>
        <v/>
      </c>
      <c r="N50" s="13">
        <f>N49</f>
        <v/>
      </c>
      <c r="O50" s="13">
        <f>O49</f>
        <v/>
      </c>
      <c r="P50" s="13">
        <f>P49</f>
        <v/>
      </c>
      <c r="Q50" s="13">
        <f>Q49</f>
        <v/>
      </c>
      <c r="R50" s="13">
        <f>R49</f>
        <v/>
      </c>
      <c r="S50" s="13">
        <f>S49</f>
        <v/>
      </c>
      <c r="T50" s="13">
        <f>T49</f>
        <v/>
      </c>
      <c r="U50" s="13">
        <f>U49</f>
        <v/>
      </c>
      <c r="V50" s="13">
        <f>V49</f>
        <v/>
      </c>
      <c r="W50" s="13">
        <f>W49</f>
        <v/>
      </c>
      <c r="X50" s="13">
        <f>X49</f>
        <v/>
      </c>
      <c r="Y50" s="13">
        <f>Y49</f>
        <v/>
      </c>
      <c r="Z50" s="13">
        <f>Z49</f>
        <v/>
      </c>
      <c r="AA50" s="13">
        <f>AA49</f>
        <v/>
      </c>
      <c r="AB50" s="13">
        <f>AB49</f>
        <v/>
      </c>
      <c r="AC50" s="13">
        <f>AC49</f>
        <v/>
      </c>
      <c r="AD50" s="13">
        <f>AD49</f>
        <v/>
      </c>
      <c r="AE50" s="13">
        <f>AE49</f>
        <v/>
      </c>
      <c r="AF50" s="13">
        <f>AF49</f>
        <v/>
      </c>
      <c r="AG50" s="13">
        <f>AG49</f>
        <v/>
      </c>
      <c r="AH50" s="13">
        <f>AH49</f>
        <v/>
      </c>
      <c r="AI50" s="13">
        <f>AI49</f>
        <v/>
      </c>
      <c r="AJ50" s="13">
        <f>AJ49</f>
        <v/>
      </c>
      <c r="AK50" s="13">
        <f>AK49</f>
        <v/>
      </c>
      <c r="AL50" s="13">
        <f>AL49</f>
        <v/>
      </c>
      <c r="AM50" s="13">
        <f>AM49</f>
        <v/>
      </c>
      <c r="AN50" s="13">
        <f>AN49</f>
        <v/>
      </c>
      <c r="AO50" s="13">
        <f>AO49</f>
        <v/>
      </c>
      <c r="AP50" s="13">
        <f>AP49</f>
        <v/>
      </c>
      <c r="AQ50" s="13">
        <f>AQ49</f>
        <v/>
      </c>
      <c r="AR50" s="13">
        <f>AR49</f>
        <v/>
      </c>
      <c r="AS50" s="13">
        <f>AS49</f>
        <v/>
      </c>
      <c r="AT50" s="13">
        <f>AT49</f>
        <v/>
      </c>
      <c r="AU50" s="13">
        <f>AU49</f>
        <v/>
      </c>
      <c r="AV50" s="13">
        <f>AV49</f>
        <v/>
      </c>
      <c r="AW50" s="13">
        <f>AW49</f>
        <v/>
      </c>
      <c r="AX50" s="13">
        <f>AX49</f>
        <v/>
      </c>
      <c r="AY50" s="13">
        <f>AY49</f>
        <v/>
      </c>
      <c r="AZ50" s="13">
        <f>AZ49</f>
        <v/>
      </c>
      <c r="BA50" s="13">
        <f>BA49</f>
        <v/>
      </c>
      <c r="BB50" s="13">
        <f>BB49</f>
        <v/>
      </c>
      <c r="BC50" s="13">
        <f>BC49</f>
        <v/>
      </c>
      <c r="BD50" s="13">
        <f>BD49</f>
        <v/>
      </c>
      <c r="BE50" s="13">
        <f>BE49</f>
        <v/>
      </c>
      <c r="BF50" s="13">
        <f>BF49</f>
        <v/>
      </c>
      <c r="BG50" s="13">
        <f>BG49</f>
        <v/>
      </c>
      <c r="BH50" s="13">
        <f>BH49</f>
        <v/>
      </c>
      <c r="BI50" s="13">
        <f>BI49</f>
        <v/>
      </c>
      <c r="BJ50" s="13">
        <f>BJ49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3">
        <f>J49-J50</f>
        <v/>
      </c>
      <c r="K51" s="13">
        <f>K49-K50</f>
        <v/>
      </c>
      <c r="L51" s="13">
        <f>L49-L50</f>
        <v/>
      </c>
      <c r="M51" s="13">
        <f>M49-M50</f>
        <v/>
      </c>
      <c r="N51" s="13">
        <f>N49-N50</f>
        <v/>
      </c>
      <c r="O51" s="13">
        <f>O49-O50</f>
        <v/>
      </c>
      <c r="P51" s="13">
        <f>P49-P50</f>
        <v/>
      </c>
      <c r="Q51" s="13">
        <f>Q49-Q50</f>
        <v/>
      </c>
      <c r="R51" s="13">
        <f>R49-R50</f>
        <v/>
      </c>
      <c r="S51" s="13">
        <f>S49-S50</f>
        <v/>
      </c>
      <c r="T51" s="13">
        <f>T49-T50</f>
        <v/>
      </c>
      <c r="U51" s="13">
        <f>U49-U50</f>
        <v/>
      </c>
      <c r="V51" s="13">
        <f>V49-V50</f>
        <v/>
      </c>
      <c r="W51" s="13">
        <f>W49-W50</f>
        <v/>
      </c>
      <c r="X51" s="13">
        <f>X49-X50</f>
        <v/>
      </c>
      <c r="Y51" s="13">
        <f>Y49-Y50</f>
        <v/>
      </c>
      <c r="Z51" s="13">
        <f>Z49-Z50</f>
        <v/>
      </c>
      <c r="AA51" s="13">
        <f>AA49-AA50</f>
        <v/>
      </c>
      <c r="AB51" s="13">
        <f>AB49-AB50</f>
        <v/>
      </c>
      <c r="AC51" s="13">
        <f>AC49-AC50</f>
        <v/>
      </c>
      <c r="AD51" s="13">
        <f>AD49-AD50</f>
        <v/>
      </c>
      <c r="AE51" s="13">
        <f>AE49-AE50</f>
        <v/>
      </c>
      <c r="AF51" s="13">
        <f>AF49-AF50</f>
        <v/>
      </c>
      <c r="AG51" s="13">
        <f>AG49-AG50</f>
        <v/>
      </c>
      <c r="AH51" s="13">
        <f>AH49-AH50</f>
        <v/>
      </c>
      <c r="AI51" s="13">
        <f>AI49-AI50</f>
        <v/>
      </c>
      <c r="AJ51" s="13">
        <f>AJ49-AJ50</f>
        <v/>
      </c>
      <c r="AK51" s="13">
        <f>AK49-AK50</f>
        <v/>
      </c>
      <c r="AL51" s="13">
        <f>AL49-AL50</f>
        <v/>
      </c>
      <c r="AM51" s="13">
        <f>AM49-AM50</f>
        <v/>
      </c>
      <c r="AN51" s="13">
        <f>AN49-AN50</f>
        <v/>
      </c>
      <c r="AO51" s="13">
        <f>AO49-AO50</f>
        <v/>
      </c>
      <c r="AP51" s="13">
        <f>AP49-AP50</f>
        <v/>
      </c>
      <c r="AQ51" s="13">
        <f>AQ49-AQ50</f>
        <v/>
      </c>
      <c r="AR51" s="13">
        <f>AR49-AR50</f>
        <v/>
      </c>
      <c r="AS51" s="13">
        <f>AS49-AS50</f>
        <v/>
      </c>
      <c r="AT51" s="13">
        <f>AT49-AT50</f>
        <v/>
      </c>
      <c r="AU51" s="13">
        <f>AU49-AU50</f>
        <v/>
      </c>
      <c r="AV51" s="13">
        <f>AV49-AV50</f>
        <v/>
      </c>
      <c r="AW51" s="13">
        <f>AW49-AW50</f>
        <v/>
      </c>
      <c r="AX51" s="13">
        <f>AX49-AX50</f>
        <v/>
      </c>
      <c r="AY51" s="13">
        <f>AY49-AY50</f>
        <v/>
      </c>
      <c r="AZ51" s="13">
        <f>AZ49-AZ50</f>
        <v/>
      </c>
      <c r="BA51" s="13">
        <f>BA49-BA50</f>
        <v/>
      </c>
      <c r="BB51" s="13">
        <f>BB49-BB50</f>
        <v/>
      </c>
      <c r="BC51" s="13">
        <f>BC49-BC50</f>
        <v/>
      </c>
      <c r="BD51" s="13">
        <f>BD49-BD50</f>
        <v/>
      </c>
      <c r="BE51" s="13">
        <f>BE49-BE50</f>
        <v/>
      </c>
      <c r="BF51" s="13">
        <f>BF49-BF50</f>
        <v/>
      </c>
      <c r="BG51" s="13">
        <f>BG49-BG50</f>
        <v/>
      </c>
      <c r="BH51" s="13">
        <f>BH49-BH50</f>
        <v/>
      </c>
      <c r="BI51" s="13">
        <f>BI49-BI50</f>
        <v/>
      </c>
      <c r="BJ51" s="13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3">
        <f>SUM(J52:BJ52)</f>
        <v/>
      </c>
      <c r="J52" s="13">
        <f>IF(AND(Inputs!$F$34&lt;&gt;1,Construction!J8=Inputs!$F$245),Inputs!$F$265+Inputs!$F$266,0)</f>
        <v/>
      </c>
      <c r="K52" s="13">
        <f>IF(AND(Inputs!$F$34&lt;&gt;1,Construction!K8=Inputs!$F$245),Inputs!$F$265+Inputs!$F$266,0)</f>
        <v/>
      </c>
      <c r="L52" s="13">
        <f>IF(AND(Inputs!$F$34&lt;&gt;1,Construction!L8=Inputs!$F$245),Inputs!$F$265+Inputs!$F$266,0)</f>
        <v/>
      </c>
      <c r="M52" s="13">
        <f>IF(AND(Inputs!$F$34&lt;&gt;1,Construction!M8=Inputs!$F$245),Inputs!$F$265+Inputs!$F$266,0)</f>
        <v/>
      </c>
      <c r="N52" s="13">
        <f>IF(AND(Inputs!$F$34&lt;&gt;1,Construction!N8=Inputs!$F$245),Inputs!$F$265+Inputs!$F$266,0)</f>
        <v/>
      </c>
      <c r="O52" s="13">
        <f>IF(AND(Inputs!$F$34&lt;&gt;1,Construction!O8=Inputs!$F$245),Inputs!$F$265+Inputs!$F$266,0)</f>
        <v/>
      </c>
      <c r="P52" s="13">
        <f>IF(AND(Inputs!$F$34&lt;&gt;1,Construction!P8=Inputs!$F$245),Inputs!$F$265+Inputs!$F$266,0)</f>
        <v/>
      </c>
      <c r="Q52" s="13">
        <f>IF(AND(Inputs!$F$34&lt;&gt;1,Construction!Q8=Inputs!$F$245),Inputs!$F$265+Inputs!$F$266,0)</f>
        <v/>
      </c>
      <c r="R52" s="13">
        <f>IF(AND(Inputs!$F$34&lt;&gt;1,Construction!R8=Inputs!$F$245),Inputs!$F$265+Inputs!$F$266,0)</f>
        <v/>
      </c>
      <c r="S52" s="13">
        <f>IF(AND(Inputs!$F$34&lt;&gt;1,Construction!S8=Inputs!$F$245),Inputs!$F$265+Inputs!$F$266,0)</f>
        <v/>
      </c>
      <c r="T52" s="13">
        <f>IF(AND(Inputs!$F$34&lt;&gt;1,Construction!T8=Inputs!$F$245),Inputs!$F$265+Inputs!$F$266,0)</f>
        <v/>
      </c>
      <c r="U52" s="13">
        <f>IF(AND(Inputs!$F$34&lt;&gt;1,Construction!U8=Inputs!$F$245),Inputs!$F$265+Inputs!$F$266,0)</f>
        <v/>
      </c>
      <c r="V52" s="13">
        <f>IF(AND(Inputs!$F$34&lt;&gt;1,Construction!V8=Inputs!$F$245),Inputs!$F$265+Inputs!$F$266,0)</f>
        <v/>
      </c>
      <c r="W52" s="13">
        <f>IF(AND(Inputs!$F$34&lt;&gt;1,Construction!W8=Inputs!$F$245),Inputs!$F$265+Inputs!$F$266,0)</f>
        <v/>
      </c>
      <c r="X52" s="13">
        <f>IF(AND(Inputs!$F$34&lt;&gt;1,Construction!X8=Inputs!$F$245),Inputs!$F$265+Inputs!$F$266,0)</f>
        <v/>
      </c>
      <c r="Y52" s="13">
        <f>IF(AND(Inputs!$F$34&lt;&gt;1,Construction!Y8=Inputs!$F$245),Inputs!$F$265+Inputs!$F$266,0)</f>
        <v/>
      </c>
      <c r="Z52" s="13">
        <f>IF(AND(Inputs!$F$34&lt;&gt;1,Construction!Z8=Inputs!$F$245),Inputs!$F$265+Inputs!$F$266,0)</f>
        <v/>
      </c>
      <c r="AA52" s="13">
        <f>IF(AND(Inputs!$F$34&lt;&gt;1,Construction!AA8=Inputs!$F$245),Inputs!$F$265+Inputs!$F$266,0)</f>
        <v/>
      </c>
      <c r="AB52" s="13">
        <f>IF(AND(Inputs!$F$34&lt;&gt;1,Construction!AB8=Inputs!$F$245),Inputs!$F$265+Inputs!$F$266,0)</f>
        <v/>
      </c>
      <c r="AC52" s="13">
        <f>IF(AND(Inputs!$F$34&lt;&gt;1,Construction!AC8=Inputs!$F$245),Inputs!$F$265+Inputs!$F$266,0)</f>
        <v/>
      </c>
      <c r="AD52" s="13">
        <f>IF(AND(Inputs!$F$34&lt;&gt;1,Construction!AD8=Inputs!$F$245),Inputs!$F$265+Inputs!$F$266,0)</f>
        <v/>
      </c>
      <c r="AE52" s="13">
        <f>IF(AND(Inputs!$F$34&lt;&gt;1,Construction!AE8=Inputs!$F$245),Inputs!$F$265+Inputs!$F$266,0)</f>
        <v/>
      </c>
      <c r="AF52" s="13">
        <f>IF(AND(Inputs!$F$34&lt;&gt;1,Construction!AF8=Inputs!$F$245),Inputs!$F$265+Inputs!$F$266,0)</f>
        <v/>
      </c>
      <c r="AG52" s="13">
        <f>IF(AND(Inputs!$F$34&lt;&gt;1,Construction!AG8=Inputs!$F$245),Inputs!$F$265+Inputs!$F$266,0)</f>
        <v/>
      </c>
      <c r="AH52" s="13">
        <f>IF(AND(Inputs!$F$34&lt;&gt;1,Construction!AH8=Inputs!$F$245),Inputs!$F$265+Inputs!$F$266,0)</f>
        <v/>
      </c>
      <c r="AI52" s="13">
        <f>IF(AND(Inputs!$F$34&lt;&gt;1,Construction!AI8=Inputs!$F$245),Inputs!$F$265+Inputs!$F$266,0)</f>
        <v/>
      </c>
      <c r="AJ52" s="13">
        <f>IF(AND(Inputs!$F$34&lt;&gt;1,Construction!AJ8=Inputs!$F$245),Inputs!$F$265+Inputs!$F$266,0)</f>
        <v/>
      </c>
      <c r="AK52" s="13">
        <f>IF(AND(Inputs!$F$34&lt;&gt;1,Construction!AK8=Inputs!$F$245),Inputs!$F$265+Inputs!$F$266,0)</f>
        <v/>
      </c>
      <c r="AL52" s="13">
        <f>IF(AND(Inputs!$F$34&lt;&gt;1,Construction!AL8=Inputs!$F$245),Inputs!$F$265+Inputs!$F$266,0)</f>
        <v/>
      </c>
      <c r="AM52" s="13">
        <f>IF(AND(Inputs!$F$34&lt;&gt;1,Construction!AM8=Inputs!$F$245),Inputs!$F$265+Inputs!$F$266,0)</f>
        <v/>
      </c>
      <c r="AN52" s="13">
        <f>IF(AND(Inputs!$F$34&lt;&gt;1,Construction!AN8=Inputs!$F$245),Inputs!$F$265+Inputs!$F$266,0)</f>
        <v/>
      </c>
      <c r="AO52" s="13">
        <f>IF(AND(Inputs!$F$34&lt;&gt;1,Construction!AO8=Inputs!$F$245),Inputs!$F$265+Inputs!$F$266,0)</f>
        <v/>
      </c>
      <c r="AP52" s="13">
        <f>IF(AND(Inputs!$F$34&lt;&gt;1,Construction!AP8=Inputs!$F$245),Inputs!$F$265+Inputs!$F$266,0)</f>
        <v/>
      </c>
      <c r="AQ52" s="13">
        <f>IF(AND(Inputs!$F$34&lt;&gt;1,Construction!AQ8=Inputs!$F$245),Inputs!$F$265+Inputs!$F$266,0)</f>
        <v/>
      </c>
      <c r="AR52" s="13">
        <f>IF(AND(Inputs!$F$34&lt;&gt;1,Construction!AR8=Inputs!$F$245),Inputs!$F$265+Inputs!$F$266,0)</f>
        <v/>
      </c>
      <c r="AS52" s="13">
        <f>IF(AND(Inputs!$F$34&lt;&gt;1,Construction!AS8=Inputs!$F$245),Inputs!$F$265+Inputs!$F$266,0)</f>
        <v/>
      </c>
      <c r="AT52" s="13">
        <f>IF(AND(Inputs!$F$34&lt;&gt;1,Construction!AT8=Inputs!$F$245),Inputs!$F$265+Inputs!$F$266,0)</f>
        <v/>
      </c>
      <c r="AU52" s="13">
        <f>IF(AND(Inputs!$F$34&lt;&gt;1,Construction!AU8=Inputs!$F$245),Inputs!$F$265+Inputs!$F$266,0)</f>
        <v/>
      </c>
      <c r="AV52" s="13">
        <f>IF(AND(Inputs!$F$34&lt;&gt;1,Construction!AV8=Inputs!$F$245),Inputs!$F$265+Inputs!$F$266,0)</f>
        <v/>
      </c>
      <c r="AW52" s="13">
        <f>IF(AND(Inputs!$F$34&lt;&gt;1,Construction!AW8=Inputs!$F$245),Inputs!$F$265+Inputs!$F$266,0)</f>
        <v/>
      </c>
      <c r="AX52" s="13">
        <f>IF(AND(Inputs!$F$34&lt;&gt;1,Construction!AX8=Inputs!$F$245),Inputs!$F$265+Inputs!$F$266,0)</f>
        <v/>
      </c>
      <c r="AY52" s="13">
        <f>IF(AND(Inputs!$F$34&lt;&gt;1,Construction!AY8=Inputs!$F$245),Inputs!$F$265+Inputs!$F$266,0)</f>
        <v/>
      </c>
      <c r="AZ52" s="13">
        <f>IF(AND(Inputs!$F$34&lt;&gt;1,Construction!AZ8=Inputs!$F$245),Inputs!$F$265+Inputs!$F$266,0)</f>
        <v/>
      </c>
      <c r="BA52" s="13">
        <f>IF(AND(Inputs!$F$34&lt;&gt;1,Construction!BA8=Inputs!$F$245),Inputs!$F$265+Inputs!$F$266,0)</f>
        <v/>
      </c>
      <c r="BB52" s="13">
        <f>IF(AND(Inputs!$F$34&lt;&gt;1,Construction!BB8=Inputs!$F$245),Inputs!$F$265+Inputs!$F$266,0)</f>
        <v/>
      </c>
      <c r="BC52" s="13">
        <f>IF(AND(Inputs!$F$34&lt;&gt;1,Construction!BC8=Inputs!$F$245),Inputs!$F$265+Inputs!$F$266,0)</f>
        <v/>
      </c>
      <c r="BD52" s="13">
        <f>IF(AND(Inputs!$F$34&lt;&gt;1,Construction!BD8=Inputs!$F$245),Inputs!$F$265+Inputs!$F$266,0)</f>
        <v/>
      </c>
      <c r="BE52" s="13">
        <f>IF(AND(Inputs!$F$34&lt;&gt;1,Construction!BE8=Inputs!$F$245),Inputs!$F$265+Inputs!$F$266,0)</f>
        <v/>
      </c>
      <c r="BF52" s="13">
        <f>IF(AND(Inputs!$F$34&lt;&gt;1,Construction!BF8=Inputs!$F$245),Inputs!$F$265+Inputs!$F$266,0)</f>
        <v/>
      </c>
      <c r="BG52" s="13">
        <f>IF(AND(Inputs!$F$34&lt;&gt;1,Construction!BG8=Inputs!$F$245),Inputs!$F$265+Inputs!$F$266,0)</f>
        <v/>
      </c>
      <c r="BH52" s="13">
        <f>IF(AND(Inputs!$F$34&lt;&gt;1,Construction!BH8=Inputs!$F$245),Inputs!$F$265+Inputs!$F$266,0)</f>
        <v/>
      </c>
      <c r="BI52" s="13">
        <f>IF(AND(Inputs!$F$34&lt;&gt;1,Construction!BI8=Inputs!$F$245),Inputs!$F$265+Inputs!$F$266,0)</f>
        <v/>
      </c>
      <c r="BJ52" s="13">
        <f>IF(AND(Inputs!$F$34&lt;&gt;1,Construction!BJ8=Inputs!$F$245),Inputs!$F$265+Inputs!$F$266,0)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3">
        <f>SUM(J53:BJ53)</f>
        <v/>
      </c>
      <c r="J53" s="13">
        <f>MIN(J51,I54+J52)</f>
        <v/>
      </c>
      <c r="K53" s="13">
        <f>MIN(K51,J54+K52)</f>
        <v/>
      </c>
      <c r="L53" s="13">
        <f>MIN(L51,K54+L52)</f>
        <v/>
      </c>
      <c r="M53" s="13">
        <f>MIN(M51,L54+M52)</f>
        <v/>
      </c>
      <c r="N53" s="13">
        <f>MIN(N51,M54+N52)</f>
        <v/>
      </c>
      <c r="O53" s="13">
        <f>MIN(O51,N54+O52)</f>
        <v/>
      </c>
      <c r="P53" s="13">
        <f>MIN(P51,O54+P52)</f>
        <v/>
      </c>
      <c r="Q53" s="13">
        <f>MIN(Q51,P54+Q52)</f>
        <v/>
      </c>
      <c r="R53" s="13">
        <f>MIN(R51,Q54+R52)</f>
        <v/>
      </c>
      <c r="S53" s="13">
        <f>MIN(S51,R54+S52)</f>
        <v/>
      </c>
      <c r="T53" s="13">
        <f>MIN(T51,S54+T52)</f>
        <v/>
      </c>
      <c r="U53" s="13">
        <f>MIN(U51,T54+U52)</f>
        <v/>
      </c>
      <c r="V53" s="13">
        <f>MIN(V51,U54+V52)</f>
        <v/>
      </c>
      <c r="W53" s="13">
        <f>MIN(W51,V54+W52)</f>
        <v/>
      </c>
      <c r="X53" s="13">
        <f>MIN(X51,W54+X52)</f>
        <v/>
      </c>
      <c r="Y53" s="13">
        <f>MIN(Y51,X54+Y52)</f>
        <v/>
      </c>
      <c r="Z53" s="13">
        <f>MIN(Z51,Y54+Z52)</f>
        <v/>
      </c>
      <c r="AA53" s="13">
        <f>MIN(AA51,Z54+AA52)</f>
        <v/>
      </c>
      <c r="AB53" s="13">
        <f>MIN(AB51,AA54+AB52)</f>
        <v/>
      </c>
      <c r="AC53" s="13">
        <f>MIN(AC51,AB54+AC52)</f>
        <v/>
      </c>
      <c r="AD53" s="13">
        <f>MIN(AD51,AC54+AD52)</f>
        <v/>
      </c>
      <c r="AE53" s="13">
        <f>MIN(AE51,AD54+AE52)</f>
        <v/>
      </c>
      <c r="AF53" s="13">
        <f>MIN(AF51,AE54+AF52)</f>
        <v/>
      </c>
      <c r="AG53" s="13">
        <f>MIN(AG51,AF54+AG52)</f>
        <v/>
      </c>
      <c r="AH53" s="13">
        <f>MIN(AH51,AG54+AH52)</f>
        <v/>
      </c>
      <c r="AI53" s="13">
        <f>MIN(AI51,AH54+AI52)</f>
        <v/>
      </c>
      <c r="AJ53" s="13">
        <f>MIN(AJ51,AI54+AJ52)</f>
        <v/>
      </c>
      <c r="AK53" s="13">
        <f>MIN(AK51,AJ54+AK52)</f>
        <v/>
      </c>
      <c r="AL53" s="13">
        <f>MIN(AL51,AK54+AL52)</f>
        <v/>
      </c>
      <c r="AM53" s="13">
        <f>MIN(AM51,AL54+AM52)</f>
        <v/>
      </c>
      <c r="AN53" s="13">
        <f>MIN(AN51,AM54+AN52)</f>
        <v/>
      </c>
      <c r="AO53" s="13">
        <f>MIN(AO51,AN54+AO52)</f>
        <v/>
      </c>
      <c r="AP53" s="13">
        <f>MIN(AP51,AO54+AP52)</f>
        <v/>
      </c>
      <c r="AQ53" s="13">
        <f>MIN(AQ51,AP54+AQ52)</f>
        <v/>
      </c>
      <c r="AR53" s="13">
        <f>MIN(AR51,AQ54+AR52)</f>
        <v/>
      </c>
      <c r="AS53" s="13">
        <f>MIN(AS51,AR54+AS52)</f>
        <v/>
      </c>
      <c r="AT53" s="13">
        <f>MIN(AT51,AS54+AT52)</f>
        <v/>
      </c>
      <c r="AU53" s="13">
        <f>MIN(AU51,AT54+AU52)</f>
        <v/>
      </c>
      <c r="AV53" s="13">
        <f>MIN(AV51,AU54+AV52)</f>
        <v/>
      </c>
      <c r="AW53" s="13">
        <f>MIN(AW51,AV54+AW52)</f>
        <v/>
      </c>
      <c r="AX53" s="13">
        <f>MIN(AX51,AW54+AX52)</f>
        <v/>
      </c>
      <c r="AY53" s="13">
        <f>MIN(AY51,AX54+AY52)</f>
        <v/>
      </c>
      <c r="AZ53" s="13">
        <f>MIN(AZ51,AY54+AZ52)</f>
        <v/>
      </c>
      <c r="BA53" s="13">
        <f>MIN(BA51,AZ54+BA52)</f>
        <v/>
      </c>
      <c r="BB53" s="13">
        <f>MIN(BB51,BA54+BB52)</f>
        <v/>
      </c>
      <c r="BC53" s="13">
        <f>MIN(BC51,BB54+BC52)</f>
        <v/>
      </c>
      <c r="BD53" s="13">
        <f>MIN(BD51,BC54+BD52)</f>
        <v/>
      </c>
      <c r="BE53" s="13">
        <f>MIN(BE51,BD54+BE52)</f>
        <v/>
      </c>
      <c r="BF53" s="13">
        <f>MIN(BF51,BE54+BF52)</f>
        <v/>
      </c>
      <c r="BG53" s="13">
        <f>MIN(BG51,BF54+BG52)</f>
        <v/>
      </c>
      <c r="BH53" s="13">
        <f>MIN(BH51,BG54+BH52)</f>
        <v/>
      </c>
      <c r="BI53" s="13">
        <f>MIN(BI51,BH54+BI52)</f>
        <v/>
      </c>
      <c r="BJ53" s="13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3">
        <f>I54+J52-J53</f>
        <v/>
      </c>
      <c r="K54" s="13">
        <f>J54+K52-K53</f>
        <v/>
      </c>
      <c r="L54" s="13">
        <f>K54+L52-L53</f>
        <v/>
      </c>
      <c r="M54" s="13">
        <f>L54+M52-M53</f>
        <v/>
      </c>
      <c r="N54" s="13">
        <f>M54+N52-N53</f>
        <v/>
      </c>
      <c r="O54" s="13">
        <f>N54+O52-O53</f>
        <v/>
      </c>
      <c r="P54" s="13">
        <f>O54+P52-P53</f>
        <v/>
      </c>
      <c r="Q54" s="13">
        <f>P54+Q52-Q53</f>
        <v/>
      </c>
      <c r="R54" s="13">
        <f>Q54+R52-R53</f>
        <v/>
      </c>
      <c r="S54" s="13">
        <f>R54+S52-S53</f>
        <v/>
      </c>
      <c r="T54" s="13">
        <f>S54+T52-T53</f>
        <v/>
      </c>
      <c r="U54" s="13">
        <f>T54+U52-U53</f>
        <v/>
      </c>
      <c r="V54" s="13">
        <f>U54+V52-V53</f>
        <v/>
      </c>
      <c r="W54" s="13">
        <f>V54+W52-W53</f>
        <v/>
      </c>
      <c r="X54" s="13">
        <f>W54+X52-X53</f>
        <v/>
      </c>
      <c r="Y54" s="13">
        <f>X54+Y52-Y53</f>
        <v/>
      </c>
      <c r="Z54" s="13">
        <f>Y54+Z52-Z53</f>
        <v/>
      </c>
      <c r="AA54" s="13">
        <f>Z54+AA52-AA53</f>
        <v/>
      </c>
      <c r="AB54" s="13">
        <f>AA54+AB52-AB53</f>
        <v/>
      </c>
      <c r="AC54" s="13">
        <f>AB54+AC52-AC53</f>
        <v/>
      </c>
      <c r="AD54" s="13">
        <f>AC54+AD52-AD53</f>
        <v/>
      </c>
      <c r="AE54" s="13">
        <f>AD54+AE52-AE53</f>
        <v/>
      </c>
      <c r="AF54" s="13">
        <f>AE54+AF52-AF53</f>
        <v/>
      </c>
      <c r="AG54" s="13">
        <f>AF54+AG52-AG53</f>
        <v/>
      </c>
      <c r="AH54" s="13">
        <f>AG54+AH52-AH53</f>
        <v/>
      </c>
      <c r="AI54" s="13">
        <f>AH54+AI52-AI53</f>
        <v/>
      </c>
      <c r="AJ54" s="13">
        <f>AI54+AJ52-AJ53</f>
        <v/>
      </c>
      <c r="AK54" s="13">
        <f>AJ54+AK52-AK53</f>
        <v/>
      </c>
      <c r="AL54" s="13">
        <f>AK54+AL52-AL53</f>
        <v/>
      </c>
      <c r="AM54" s="13">
        <f>AL54+AM52-AM53</f>
        <v/>
      </c>
      <c r="AN54" s="13">
        <f>AM54+AN52-AN53</f>
        <v/>
      </c>
      <c r="AO54" s="13">
        <f>AN54+AO52-AO53</f>
        <v/>
      </c>
      <c r="AP54" s="13">
        <f>AO54+AP52-AP53</f>
        <v/>
      </c>
      <c r="AQ54" s="13">
        <f>AP54+AQ52-AQ53</f>
        <v/>
      </c>
      <c r="AR54" s="13">
        <f>AQ54+AR52-AR53</f>
        <v/>
      </c>
      <c r="AS54" s="13">
        <f>AR54+AS52-AS53</f>
        <v/>
      </c>
      <c r="AT54" s="13">
        <f>AS54+AT52-AT53</f>
        <v/>
      </c>
      <c r="AU54" s="13">
        <f>AT54+AU52-AU53</f>
        <v/>
      </c>
      <c r="AV54" s="13">
        <f>AU54+AV52-AV53</f>
        <v/>
      </c>
      <c r="AW54" s="13">
        <f>AV54+AW52-AW53</f>
        <v/>
      </c>
      <c r="AX54" s="13">
        <f>AW54+AX52-AX53</f>
        <v/>
      </c>
      <c r="AY54" s="13">
        <f>AX54+AY52-AY53</f>
        <v/>
      </c>
      <c r="AZ54" s="13">
        <f>AY54+AZ52-AZ53</f>
        <v/>
      </c>
      <c r="BA54" s="13">
        <f>AZ54+BA52-BA53</f>
        <v/>
      </c>
      <c r="BB54" s="13">
        <f>BA54+BB52-BB53</f>
        <v/>
      </c>
      <c r="BC54" s="13">
        <f>BB54+BC52-BC53</f>
        <v/>
      </c>
      <c r="BD54" s="13">
        <f>BC54+BD52-BD53</f>
        <v/>
      </c>
      <c r="BE54" s="13">
        <f>BD54+BE52-BE53</f>
        <v/>
      </c>
      <c r="BF54" s="13">
        <f>BE54+BF52-BF53</f>
        <v/>
      </c>
      <c r="BG54" s="13">
        <f>BF54+BG52-BG53</f>
        <v/>
      </c>
      <c r="BH54" s="13">
        <f>BG54+BH52-BH53</f>
        <v/>
      </c>
      <c r="BI54" s="13">
        <f>BH54+BI52-BI53</f>
        <v/>
      </c>
      <c r="BJ54" s="13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3">
        <f>SUM(J55:BJ55)</f>
        <v/>
      </c>
      <c r="J55" s="13">
        <f>Inputs!$F$249*(J51-J53)</f>
        <v/>
      </c>
      <c r="K55" s="13">
        <f>Inputs!$F$249*(K51-K53)</f>
        <v/>
      </c>
      <c r="L55" s="13">
        <f>Inputs!$F$249*(L51-L53)</f>
        <v/>
      </c>
      <c r="M55" s="13">
        <f>Inputs!$F$249*(M51-M53)</f>
        <v/>
      </c>
      <c r="N55" s="13">
        <f>Inputs!$F$249*(N51-N53)</f>
        <v/>
      </c>
      <c r="O55" s="13">
        <f>Inputs!$F$249*(O51-O53)</f>
        <v/>
      </c>
      <c r="P55" s="13">
        <f>Inputs!$F$249*(P51-P53)</f>
        <v/>
      </c>
      <c r="Q55" s="13">
        <f>Inputs!$F$249*(Q51-Q53)</f>
        <v/>
      </c>
      <c r="R55" s="13">
        <f>Inputs!$F$249*(R51-R53)</f>
        <v/>
      </c>
      <c r="S55" s="13">
        <f>Inputs!$F$249*(S51-S53)</f>
        <v/>
      </c>
      <c r="T55" s="13">
        <f>Inputs!$F$249*(T51-T53)</f>
        <v/>
      </c>
      <c r="U55" s="13">
        <f>Inputs!$F$249*(U51-U53)</f>
        <v/>
      </c>
      <c r="V55" s="13">
        <f>Inputs!$F$249*(V51-V53)</f>
        <v/>
      </c>
      <c r="W55" s="13">
        <f>Inputs!$F$249*(W51-W53)</f>
        <v/>
      </c>
      <c r="X55" s="13">
        <f>Inputs!$F$249*(X51-X53)</f>
        <v/>
      </c>
      <c r="Y55" s="13">
        <f>Inputs!$F$249*(Y51-Y53)</f>
        <v/>
      </c>
      <c r="Z55" s="13">
        <f>Inputs!$F$249*(Z51-Z53)</f>
        <v/>
      </c>
      <c r="AA55" s="13">
        <f>Inputs!$F$249*(AA51-AA53)</f>
        <v/>
      </c>
      <c r="AB55" s="13">
        <f>Inputs!$F$249*(AB51-AB53)</f>
        <v/>
      </c>
      <c r="AC55" s="13">
        <f>Inputs!$F$249*(AC51-AC53)</f>
        <v/>
      </c>
      <c r="AD55" s="13">
        <f>Inputs!$F$249*(AD51-AD53)</f>
        <v/>
      </c>
      <c r="AE55" s="13">
        <f>Inputs!$F$249*(AE51-AE53)</f>
        <v/>
      </c>
      <c r="AF55" s="13">
        <f>Inputs!$F$249*(AF51-AF53)</f>
        <v/>
      </c>
      <c r="AG55" s="13">
        <f>Inputs!$F$249*(AG51-AG53)</f>
        <v/>
      </c>
      <c r="AH55" s="13">
        <f>Inputs!$F$249*(AH51-AH53)</f>
        <v/>
      </c>
      <c r="AI55" s="13">
        <f>Inputs!$F$249*(AI51-AI53)</f>
        <v/>
      </c>
      <c r="AJ55" s="13">
        <f>Inputs!$F$249*(AJ51-AJ53)</f>
        <v/>
      </c>
      <c r="AK55" s="13">
        <f>Inputs!$F$249*(AK51-AK53)</f>
        <v/>
      </c>
      <c r="AL55" s="13">
        <f>Inputs!$F$249*(AL51-AL53)</f>
        <v/>
      </c>
      <c r="AM55" s="13">
        <f>Inputs!$F$249*(AM51-AM53)</f>
        <v/>
      </c>
      <c r="AN55" s="13">
        <f>Inputs!$F$249*(AN51-AN53)</f>
        <v/>
      </c>
      <c r="AO55" s="13">
        <f>Inputs!$F$249*(AO51-AO53)</f>
        <v/>
      </c>
      <c r="AP55" s="13">
        <f>Inputs!$F$249*(AP51-AP53)</f>
        <v/>
      </c>
      <c r="AQ55" s="13">
        <f>Inputs!$F$249*(AQ51-AQ53)</f>
        <v/>
      </c>
      <c r="AR55" s="13">
        <f>Inputs!$F$249*(AR51-AR53)</f>
        <v/>
      </c>
      <c r="AS55" s="13">
        <f>Inputs!$F$249*(AS51-AS53)</f>
        <v/>
      </c>
      <c r="AT55" s="13">
        <f>Inputs!$F$249*(AT51-AT53)</f>
        <v/>
      </c>
      <c r="AU55" s="13">
        <f>Inputs!$F$249*(AU51-AU53)</f>
        <v/>
      </c>
      <c r="AV55" s="13">
        <f>Inputs!$F$249*(AV51-AV53)</f>
        <v/>
      </c>
      <c r="AW55" s="13">
        <f>Inputs!$F$249*(AW51-AW53)</f>
        <v/>
      </c>
      <c r="AX55" s="13">
        <f>Inputs!$F$249*(AX51-AX53)</f>
        <v/>
      </c>
      <c r="AY55" s="13">
        <f>Inputs!$F$249*(AY51-AY53)</f>
        <v/>
      </c>
      <c r="AZ55" s="13">
        <f>Inputs!$F$249*(AZ51-AZ53)</f>
        <v/>
      </c>
      <c r="BA55" s="13">
        <f>Inputs!$F$249*(BA51-BA53)</f>
        <v/>
      </c>
      <c r="BB55" s="13">
        <f>Inputs!$F$249*(BB51-BB53)</f>
        <v/>
      </c>
      <c r="BC55" s="13">
        <f>Inputs!$F$249*(BC51-BC53)</f>
        <v/>
      </c>
      <c r="BD55" s="13">
        <f>Inputs!$F$249*(BD51-BD53)</f>
        <v/>
      </c>
      <c r="BE55" s="13">
        <f>Inputs!$F$249*(BE51-BE53)</f>
        <v/>
      </c>
      <c r="BF55" s="13">
        <f>Inputs!$F$249*(BF51-BF53)</f>
        <v/>
      </c>
      <c r="BG55" s="13">
        <f>Inputs!$F$249*(BG51-BG53)</f>
        <v/>
      </c>
      <c r="BH55" s="13">
        <f>Inputs!$F$249*(BH51-BH53)</f>
        <v/>
      </c>
      <c r="BI55" s="13">
        <f>Inputs!$F$249*(BI51-BI53)</f>
        <v/>
      </c>
      <c r="BJ55" s="13">
        <f>Inputs!$F$249*(BJ51-BJ53)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3">
        <f>SUM(J56:BJ56)</f>
        <v/>
      </c>
      <c r="J56" s="13">
        <f>(1-Inputs!$F$249)*(J51-J53)</f>
        <v/>
      </c>
      <c r="K56" s="13">
        <f>(1-Inputs!$F$249)*(K51-K53)</f>
        <v/>
      </c>
      <c r="L56" s="13">
        <f>(1-Inputs!$F$249)*(L51-L53)</f>
        <v/>
      </c>
      <c r="M56" s="13">
        <f>(1-Inputs!$F$249)*(M51-M53)</f>
        <v/>
      </c>
      <c r="N56" s="13">
        <f>(1-Inputs!$F$249)*(N51-N53)</f>
        <v/>
      </c>
      <c r="O56" s="13">
        <f>(1-Inputs!$F$249)*(O51-O53)</f>
        <v/>
      </c>
      <c r="P56" s="13">
        <f>(1-Inputs!$F$249)*(P51-P53)</f>
        <v/>
      </c>
      <c r="Q56" s="13">
        <f>(1-Inputs!$F$249)*(Q51-Q53)</f>
        <v/>
      </c>
      <c r="R56" s="13">
        <f>(1-Inputs!$F$249)*(R51-R53)</f>
        <v/>
      </c>
      <c r="S56" s="13">
        <f>(1-Inputs!$F$249)*(S51-S53)</f>
        <v/>
      </c>
      <c r="T56" s="13">
        <f>(1-Inputs!$F$249)*(T51-T53)</f>
        <v/>
      </c>
      <c r="U56" s="13">
        <f>(1-Inputs!$F$249)*(U51-U53)</f>
        <v/>
      </c>
      <c r="V56" s="13">
        <f>(1-Inputs!$F$249)*(V51-V53)</f>
        <v/>
      </c>
      <c r="W56" s="13">
        <f>(1-Inputs!$F$249)*(W51-W53)</f>
        <v/>
      </c>
      <c r="X56" s="13">
        <f>(1-Inputs!$F$249)*(X51-X53)</f>
        <v/>
      </c>
      <c r="Y56" s="13">
        <f>(1-Inputs!$F$249)*(Y51-Y53)</f>
        <v/>
      </c>
      <c r="Z56" s="13">
        <f>(1-Inputs!$F$249)*(Z51-Z53)</f>
        <v/>
      </c>
      <c r="AA56" s="13">
        <f>(1-Inputs!$F$249)*(AA51-AA53)</f>
        <v/>
      </c>
      <c r="AB56" s="13">
        <f>(1-Inputs!$F$249)*(AB51-AB53)</f>
        <v/>
      </c>
      <c r="AC56" s="13">
        <f>(1-Inputs!$F$249)*(AC51-AC53)</f>
        <v/>
      </c>
      <c r="AD56" s="13">
        <f>(1-Inputs!$F$249)*(AD51-AD53)</f>
        <v/>
      </c>
      <c r="AE56" s="13">
        <f>(1-Inputs!$F$249)*(AE51-AE53)</f>
        <v/>
      </c>
      <c r="AF56" s="13">
        <f>(1-Inputs!$F$249)*(AF51-AF53)</f>
        <v/>
      </c>
      <c r="AG56" s="13">
        <f>(1-Inputs!$F$249)*(AG51-AG53)</f>
        <v/>
      </c>
      <c r="AH56" s="13">
        <f>(1-Inputs!$F$249)*(AH51-AH53)</f>
        <v/>
      </c>
      <c r="AI56" s="13">
        <f>(1-Inputs!$F$249)*(AI51-AI53)</f>
        <v/>
      </c>
      <c r="AJ56" s="13">
        <f>(1-Inputs!$F$249)*(AJ51-AJ53)</f>
        <v/>
      </c>
      <c r="AK56" s="13">
        <f>(1-Inputs!$F$249)*(AK51-AK53)</f>
        <v/>
      </c>
      <c r="AL56" s="13">
        <f>(1-Inputs!$F$249)*(AL51-AL53)</f>
        <v/>
      </c>
      <c r="AM56" s="13">
        <f>(1-Inputs!$F$249)*(AM51-AM53)</f>
        <v/>
      </c>
      <c r="AN56" s="13">
        <f>(1-Inputs!$F$249)*(AN51-AN53)</f>
        <v/>
      </c>
      <c r="AO56" s="13">
        <f>(1-Inputs!$F$249)*(AO51-AO53)</f>
        <v/>
      </c>
      <c r="AP56" s="13">
        <f>(1-Inputs!$F$249)*(AP51-AP53)</f>
        <v/>
      </c>
      <c r="AQ56" s="13">
        <f>(1-Inputs!$F$249)*(AQ51-AQ53)</f>
        <v/>
      </c>
      <c r="AR56" s="13">
        <f>(1-Inputs!$F$249)*(AR51-AR53)</f>
        <v/>
      </c>
      <c r="AS56" s="13">
        <f>(1-Inputs!$F$249)*(AS51-AS53)</f>
        <v/>
      </c>
      <c r="AT56" s="13">
        <f>(1-Inputs!$F$249)*(AT51-AT53)</f>
        <v/>
      </c>
      <c r="AU56" s="13">
        <f>(1-Inputs!$F$249)*(AU51-AU53)</f>
        <v/>
      </c>
      <c r="AV56" s="13">
        <f>(1-Inputs!$F$249)*(AV51-AV53)</f>
        <v/>
      </c>
      <c r="AW56" s="13">
        <f>(1-Inputs!$F$249)*(AW51-AW53)</f>
        <v/>
      </c>
      <c r="AX56" s="13">
        <f>(1-Inputs!$F$249)*(AX51-AX53)</f>
        <v/>
      </c>
      <c r="AY56" s="13">
        <f>(1-Inputs!$F$249)*(AY51-AY53)</f>
        <v/>
      </c>
      <c r="AZ56" s="13">
        <f>(1-Inputs!$F$249)*(AZ51-AZ53)</f>
        <v/>
      </c>
      <c r="BA56" s="13">
        <f>(1-Inputs!$F$249)*(BA51-BA53)</f>
        <v/>
      </c>
      <c r="BB56" s="13">
        <f>(1-Inputs!$F$249)*(BB51-BB53)</f>
        <v/>
      </c>
      <c r="BC56" s="13">
        <f>(1-Inputs!$F$249)*(BC51-BC53)</f>
        <v/>
      </c>
      <c r="BD56" s="13">
        <f>(1-Inputs!$F$249)*(BD51-BD53)</f>
        <v/>
      </c>
      <c r="BE56" s="13">
        <f>(1-Inputs!$F$249)*(BE51-BE53)</f>
        <v/>
      </c>
      <c r="BF56" s="13">
        <f>(1-Inputs!$F$249)*(BF51-BF53)</f>
        <v/>
      </c>
      <c r="BG56" s="13">
        <f>(1-Inputs!$F$249)*(BG51-BG53)</f>
        <v/>
      </c>
      <c r="BH56" s="13">
        <f>(1-Inputs!$F$249)*(BH51-BH53)</f>
        <v/>
      </c>
      <c r="BI56" s="13">
        <f>(1-Inputs!$F$249)*(BI51-BI53)</f>
        <v/>
      </c>
      <c r="BJ56" s="13">
        <f>(1-Inputs!$F$249)*(BJ51-BJ53)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3">
        <f>SUM(J57:BJ57)</f>
        <v/>
      </c>
      <c r="J57" s="13">
        <f>Inputs!$F$75*J47</f>
        <v/>
      </c>
      <c r="K57" s="13">
        <f>Inputs!$F$75*K47</f>
        <v/>
      </c>
      <c r="L57" s="13">
        <f>Inputs!$F$75*L47</f>
        <v/>
      </c>
      <c r="M57" s="13">
        <f>Inputs!$F$75*M47</f>
        <v/>
      </c>
      <c r="N57" s="13">
        <f>Inputs!$F$75*N47</f>
        <v/>
      </c>
      <c r="O57" s="13">
        <f>Inputs!$F$75*O47</f>
        <v/>
      </c>
      <c r="P57" s="13">
        <f>Inputs!$F$75*P47</f>
        <v/>
      </c>
      <c r="Q57" s="13">
        <f>Inputs!$F$75*Q47</f>
        <v/>
      </c>
      <c r="R57" s="13">
        <f>Inputs!$F$75*R47</f>
        <v/>
      </c>
      <c r="S57" s="13">
        <f>Inputs!$F$75*S47</f>
        <v/>
      </c>
      <c r="T57" s="13">
        <f>Inputs!$F$75*T47</f>
        <v/>
      </c>
      <c r="U57" s="13">
        <f>Inputs!$F$75*U47</f>
        <v/>
      </c>
      <c r="V57" s="13">
        <f>Inputs!$F$75*V47</f>
        <v/>
      </c>
      <c r="W57" s="13">
        <f>Inputs!$F$75*W47</f>
        <v/>
      </c>
      <c r="X57" s="13">
        <f>Inputs!$F$75*X47</f>
        <v/>
      </c>
      <c r="Y57" s="13">
        <f>Inputs!$F$75*Y47</f>
        <v/>
      </c>
      <c r="Z57" s="13">
        <f>Inputs!$F$75*Z47</f>
        <v/>
      </c>
      <c r="AA57" s="13">
        <f>Inputs!$F$75*AA47</f>
        <v/>
      </c>
      <c r="AB57" s="13">
        <f>Inputs!$F$75*AB47</f>
        <v/>
      </c>
      <c r="AC57" s="13">
        <f>Inputs!$F$75*AC47</f>
        <v/>
      </c>
      <c r="AD57" s="13">
        <f>Inputs!$F$75*AD47</f>
        <v/>
      </c>
      <c r="AE57" s="13">
        <f>Inputs!$F$75*AE47</f>
        <v/>
      </c>
      <c r="AF57" s="13">
        <f>Inputs!$F$75*AF47</f>
        <v/>
      </c>
      <c r="AG57" s="13">
        <f>Inputs!$F$75*AG47</f>
        <v/>
      </c>
      <c r="AH57" s="13">
        <f>Inputs!$F$75*AH47</f>
        <v/>
      </c>
      <c r="AI57" s="13">
        <f>Inputs!$F$75*AI47</f>
        <v/>
      </c>
      <c r="AJ57" s="13">
        <f>Inputs!$F$75*AJ47</f>
        <v/>
      </c>
      <c r="AK57" s="13">
        <f>Inputs!$F$75*AK47</f>
        <v/>
      </c>
      <c r="AL57" s="13">
        <f>Inputs!$F$75*AL47</f>
        <v/>
      </c>
      <c r="AM57" s="13">
        <f>Inputs!$F$75*AM47</f>
        <v/>
      </c>
      <c r="AN57" s="13">
        <f>Inputs!$F$75*AN47</f>
        <v/>
      </c>
      <c r="AO57" s="13">
        <f>Inputs!$F$75*AO47</f>
        <v/>
      </c>
      <c r="AP57" s="13">
        <f>Inputs!$F$75*AP47</f>
        <v/>
      </c>
      <c r="AQ57" s="13">
        <f>Inputs!$F$75*AQ47</f>
        <v/>
      </c>
      <c r="AR57" s="13">
        <f>Inputs!$F$75*AR47</f>
        <v/>
      </c>
      <c r="AS57" s="13">
        <f>Inputs!$F$75*AS47</f>
        <v/>
      </c>
      <c r="AT57" s="13">
        <f>Inputs!$F$75*AT47</f>
        <v/>
      </c>
      <c r="AU57" s="13">
        <f>Inputs!$F$75*AU47</f>
        <v/>
      </c>
      <c r="AV57" s="13">
        <f>Inputs!$F$75*AV47</f>
        <v/>
      </c>
      <c r="AW57" s="13">
        <f>Inputs!$F$75*AW47</f>
        <v/>
      </c>
      <c r="AX57" s="13">
        <f>Inputs!$F$75*AX47</f>
        <v/>
      </c>
      <c r="AY57" s="13">
        <f>Inputs!$F$75*AY47</f>
        <v/>
      </c>
      <c r="AZ57" s="13">
        <f>Inputs!$F$75*AZ47</f>
        <v/>
      </c>
      <c r="BA57" s="13">
        <f>Inputs!$F$75*BA47</f>
        <v/>
      </c>
      <c r="BB57" s="13">
        <f>Inputs!$F$75*BB47</f>
        <v/>
      </c>
      <c r="BC57" s="13">
        <f>Inputs!$F$75*BC47</f>
        <v/>
      </c>
      <c r="BD57" s="13">
        <f>Inputs!$F$75*BD47</f>
        <v/>
      </c>
      <c r="BE57" s="13">
        <f>Inputs!$F$75*BE47</f>
        <v/>
      </c>
      <c r="BF57" s="13">
        <f>Inputs!$F$75*BF47</f>
        <v/>
      </c>
      <c r="BG57" s="13">
        <f>Inputs!$F$75*BG47</f>
        <v/>
      </c>
      <c r="BH57" s="13">
        <f>Inputs!$F$75*BH47</f>
        <v/>
      </c>
      <c r="BI57" s="13">
        <f>Inputs!$F$75*BI47</f>
        <v/>
      </c>
      <c r="BJ57" s="13">
        <f>Inputs!$F$75*BJ47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3">
        <f>SUM(J58:BJ58)</f>
        <v/>
      </c>
      <c r="J58" s="13">
        <f>Inputs!$F$76*J47</f>
        <v/>
      </c>
      <c r="K58" s="13">
        <f>Inputs!$F$76*K47</f>
        <v/>
      </c>
      <c r="L58" s="13">
        <f>Inputs!$F$76*L47</f>
        <v/>
      </c>
      <c r="M58" s="13">
        <f>Inputs!$F$76*M47</f>
        <v/>
      </c>
      <c r="N58" s="13">
        <f>Inputs!$F$76*N47</f>
        <v/>
      </c>
      <c r="O58" s="13">
        <f>Inputs!$F$76*O47</f>
        <v/>
      </c>
      <c r="P58" s="13">
        <f>Inputs!$F$76*P47</f>
        <v/>
      </c>
      <c r="Q58" s="13">
        <f>Inputs!$F$76*Q47</f>
        <v/>
      </c>
      <c r="R58" s="13">
        <f>Inputs!$F$76*R47</f>
        <v/>
      </c>
      <c r="S58" s="13">
        <f>Inputs!$F$76*S47</f>
        <v/>
      </c>
      <c r="T58" s="13">
        <f>Inputs!$F$76*T47</f>
        <v/>
      </c>
      <c r="U58" s="13">
        <f>Inputs!$F$76*U47</f>
        <v/>
      </c>
      <c r="V58" s="13">
        <f>Inputs!$F$76*V47</f>
        <v/>
      </c>
      <c r="W58" s="13">
        <f>Inputs!$F$76*W47</f>
        <v/>
      </c>
      <c r="X58" s="13">
        <f>Inputs!$F$76*X47</f>
        <v/>
      </c>
      <c r="Y58" s="13">
        <f>Inputs!$F$76*Y47</f>
        <v/>
      </c>
      <c r="Z58" s="13">
        <f>Inputs!$F$76*Z47</f>
        <v/>
      </c>
      <c r="AA58" s="13">
        <f>Inputs!$F$76*AA47</f>
        <v/>
      </c>
      <c r="AB58" s="13">
        <f>Inputs!$F$76*AB47</f>
        <v/>
      </c>
      <c r="AC58" s="13">
        <f>Inputs!$F$76*AC47</f>
        <v/>
      </c>
      <c r="AD58" s="13">
        <f>Inputs!$F$76*AD47</f>
        <v/>
      </c>
      <c r="AE58" s="13">
        <f>Inputs!$F$76*AE47</f>
        <v/>
      </c>
      <c r="AF58" s="13">
        <f>Inputs!$F$76*AF47</f>
        <v/>
      </c>
      <c r="AG58" s="13">
        <f>Inputs!$F$76*AG47</f>
        <v/>
      </c>
      <c r="AH58" s="13">
        <f>Inputs!$F$76*AH47</f>
        <v/>
      </c>
      <c r="AI58" s="13">
        <f>Inputs!$F$76*AI47</f>
        <v/>
      </c>
      <c r="AJ58" s="13">
        <f>Inputs!$F$76*AJ47</f>
        <v/>
      </c>
      <c r="AK58" s="13">
        <f>Inputs!$F$76*AK47</f>
        <v/>
      </c>
      <c r="AL58" s="13">
        <f>Inputs!$F$76*AL47</f>
        <v/>
      </c>
      <c r="AM58" s="13">
        <f>Inputs!$F$76*AM47</f>
        <v/>
      </c>
      <c r="AN58" s="13">
        <f>Inputs!$F$76*AN47</f>
        <v/>
      </c>
      <c r="AO58" s="13">
        <f>Inputs!$F$76*AO47</f>
        <v/>
      </c>
      <c r="AP58" s="13">
        <f>Inputs!$F$76*AP47</f>
        <v/>
      </c>
      <c r="AQ58" s="13">
        <f>Inputs!$F$76*AQ47</f>
        <v/>
      </c>
      <c r="AR58" s="13">
        <f>Inputs!$F$76*AR47</f>
        <v/>
      </c>
      <c r="AS58" s="13">
        <f>Inputs!$F$76*AS47</f>
        <v/>
      </c>
      <c r="AT58" s="13">
        <f>Inputs!$F$76*AT47</f>
        <v/>
      </c>
      <c r="AU58" s="13">
        <f>Inputs!$F$76*AU47</f>
        <v/>
      </c>
      <c r="AV58" s="13">
        <f>Inputs!$F$76*AV47</f>
        <v/>
      </c>
      <c r="AW58" s="13">
        <f>Inputs!$F$76*AW47</f>
        <v/>
      </c>
      <c r="AX58" s="13">
        <f>Inputs!$F$76*AX47</f>
        <v/>
      </c>
      <c r="AY58" s="13">
        <f>Inputs!$F$76*AY47</f>
        <v/>
      </c>
      <c r="AZ58" s="13">
        <f>Inputs!$F$76*AZ47</f>
        <v/>
      </c>
      <c r="BA58" s="13">
        <f>Inputs!$F$76*BA47</f>
        <v/>
      </c>
      <c r="BB58" s="13">
        <f>Inputs!$F$76*BB47</f>
        <v/>
      </c>
      <c r="BC58" s="13">
        <f>Inputs!$F$76*BC47</f>
        <v/>
      </c>
      <c r="BD58" s="13">
        <f>Inputs!$F$76*BD47</f>
        <v/>
      </c>
      <c r="BE58" s="13">
        <f>Inputs!$F$76*BE47</f>
        <v/>
      </c>
      <c r="BF58" s="13">
        <f>Inputs!$F$76*BF47</f>
        <v/>
      </c>
      <c r="BG58" s="13">
        <f>Inputs!$F$76*BG47</f>
        <v/>
      </c>
      <c r="BH58" s="13">
        <f>Inputs!$F$76*BH47</f>
        <v/>
      </c>
      <c r="BI58" s="13">
        <f>Inputs!$F$76*BI47</f>
        <v/>
      </c>
      <c r="BJ58" s="13">
        <f>Inputs!$F$76*BJ47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3">
        <f>SUM(J59:BJ59)</f>
        <v/>
      </c>
      <c r="J59" s="13">
        <f>Inputs!$F$77*J47</f>
        <v/>
      </c>
      <c r="K59" s="13">
        <f>Inputs!$F$77*K47</f>
        <v/>
      </c>
      <c r="L59" s="13">
        <f>Inputs!$F$77*L47</f>
        <v/>
      </c>
      <c r="M59" s="13">
        <f>Inputs!$F$77*M47</f>
        <v/>
      </c>
      <c r="N59" s="13">
        <f>Inputs!$F$77*N47</f>
        <v/>
      </c>
      <c r="O59" s="13">
        <f>Inputs!$F$77*O47</f>
        <v/>
      </c>
      <c r="P59" s="13">
        <f>Inputs!$F$77*P47</f>
        <v/>
      </c>
      <c r="Q59" s="13">
        <f>Inputs!$F$77*Q47</f>
        <v/>
      </c>
      <c r="R59" s="13">
        <f>Inputs!$F$77*R47</f>
        <v/>
      </c>
      <c r="S59" s="13">
        <f>Inputs!$F$77*S47</f>
        <v/>
      </c>
      <c r="T59" s="13">
        <f>Inputs!$F$77*T47</f>
        <v/>
      </c>
      <c r="U59" s="13">
        <f>Inputs!$F$77*U47</f>
        <v/>
      </c>
      <c r="V59" s="13">
        <f>Inputs!$F$77*V47</f>
        <v/>
      </c>
      <c r="W59" s="13">
        <f>Inputs!$F$77*W47</f>
        <v/>
      </c>
      <c r="X59" s="13">
        <f>Inputs!$F$77*X47</f>
        <v/>
      </c>
      <c r="Y59" s="13">
        <f>Inputs!$F$77*Y47</f>
        <v/>
      </c>
      <c r="Z59" s="13">
        <f>Inputs!$F$77*Z47</f>
        <v/>
      </c>
      <c r="AA59" s="13">
        <f>Inputs!$F$77*AA47</f>
        <v/>
      </c>
      <c r="AB59" s="13">
        <f>Inputs!$F$77*AB47</f>
        <v/>
      </c>
      <c r="AC59" s="13">
        <f>Inputs!$F$77*AC47</f>
        <v/>
      </c>
      <c r="AD59" s="13">
        <f>Inputs!$F$77*AD47</f>
        <v/>
      </c>
      <c r="AE59" s="13">
        <f>Inputs!$F$77*AE47</f>
        <v/>
      </c>
      <c r="AF59" s="13">
        <f>Inputs!$F$77*AF47</f>
        <v/>
      </c>
      <c r="AG59" s="13">
        <f>Inputs!$F$77*AG47</f>
        <v/>
      </c>
      <c r="AH59" s="13">
        <f>Inputs!$F$77*AH47</f>
        <v/>
      </c>
      <c r="AI59" s="13">
        <f>Inputs!$F$77*AI47</f>
        <v/>
      </c>
      <c r="AJ59" s="13">
        <f>Inputs!$F$77*AJ47</f>
        <v/>
      </c>
      <c r="AK59" s="13">
        <f>Inputs!$F$77*AK47</f>
        <v/>
      </c>
      <c r="AL59" s="13">
        <f>Inputs!$F$77*AL47</f>
        <v/>
      </c>
      <c r="AM59" s="13">
        <f>Inputs!$F$77*AM47</f>
        <v/>
      </c>
      <c r="AN59" s="13">
        <f>Inputs!$F$77*AN47</f>
        <v/>
      </c>
      <c r="AO59" s="13">
        <f>Inputs!$F$77*AO47</f>
        <v/>
      </c>
      <c r="AP59" s="13">
        <f>Inputs!$F$77*AP47</f>
        <v/>
      </c>
      <c r="AQ59" s="13">
        <f>Inputs!$F$77*AQ47</f>
        <v/>
      </c>
      <c r="AR59" s="13">
        <f>Inputs!$F$77*AR47</f>
        <v/>
      </c>
      <c r="AS59" s="13">
        <f>Inputs!$F$77*AS47</f>
        <v/>
      </c>
      <c r="AT59" s="13">
        <f>Inputs!$F$77*AT47</f>
        <v/>
      </c>
      <c r="AU59" s="13">
        <f>Inputs!$F$77*AU47</f>
        <v/>
      </c>
      <c r="AV59" s="13">
        <f>Inputs!$F$77*AV47</f>
        <v/>
      </c>
      <c r="AW59" s="13">
        <f>Inputs!$F$77*AW47</f>
        <v/>
      </c>
      <c r="AX59" s="13">
        <f>Inputs!$F$77*AX47</f>
        <v/>
      </c>
      <c r="AY59" s="13">
        <f>Inputs!$F$77*AY47</f>
        <v/>
      </c>
      <c r="AZ59" s="13">
        <f>Inputs!$F$77*AZ47</f>
        <v/>
      </c>
      <c r="BA59" s="13">
        <f>Inputs!$F$77*BA47</f>
        <v/>
      </c>
      <c r="BB59" s="13">
        <f>Inputs!$F$77*BB47</f>
        <v/>
      </c>
      <c r="BC59" s="13">
        <f>Inputs!$F$77*BC47</f>
        <v/>
      </c>
      <c r="BD59" s="13">
        <f>Inputs!$F$77*BD47</f>
        <v/>
      </c>
      <c r="BE59" s="13">
        <f>Inputs!$F$77*BE47</f>
        <v/>
      </c>
      <c r="BF59" s="13">
        <f>Inputs!$F$77*BF47</f>
        <v/>
      </c>
      <c r="BG59" s="13">
        <f>Inputs!$F$77*BG47</f>
        <v/>
      </c>
      <c r="BH59" s="13">
        <f>Inputs!$F$77*BH47</f>
        <v/>
      </c>
      <c r="BI59" s="13">
        <f>Inputs!$F$77*BI47</f>
        <v/>
      </c>
      <c r="BJ59" s="13">
        <f>Inputs!$F$77*BJ47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3">
        <f>SUM(J60:BJ60)</f>
        <v/>
      </c>
      <c r="J60" s="13">
        <f>Inputs!$F$78*J47</f>
        <v/>
      </c>
      <c r="K60" s="13">
        <f>Inputs!$F$78*K47</f>
        <v/>
      </c>
      <c r="L60" s="13">
        <f>Inputs!$F$78*L47</f>
        <v/>
      </c>
      <c r="M60" s="13">
        <f>Inputs!$F$78*M47</f>
        <v/>
      </c>
      <c r="N60" s="13">
        <f>Inputs!$F$78*N47</f>
        <v/>
      </c>
      <c r="O60" s="13">
        <f>Inputs!$F$78*O47</f>
        <v/>
      </c>
      <c r="P60" s="13">
        <f>Inputs!$F$78*P47</f>
        <v/>
      </c>
      <c r="Q60" s="13">
        <f>Inputs!$F$78*Q47</f>
        <v/>
      </c>
      <c r="R60" s="13">
        <f>Inputs!$F$78*R47</f>
        <v/>
      </c>
      <c r="S60" s="13">
        <f>Inputs!$F$78*S47</f>
        <v/>
      </c>
      <c r="T60" s="13">
        <f>Inputs!$F$78*T47</f>
        <v/>
      </c>
      <c r="U60" s="13">
        <f>Inputs!$F$78*U47</f>
        <v/>
      </c>
      <c r="V60" s="13">
        <f>Inputs!$F$78*V47</f>
        <v/>
      </c>
      <c r="W60" s="13">
        <f>Inputs!$F$78*W47</f>
        <v/>
      </c>
      <c r="X60" s="13">
        <f>Inputs!$F$78*X47</f>
        <v/>
      </c>
      <c r="Y60" s="13">
        <f>Inputs!$F$78*Y47</f>
        <v/>
      </c>
      <c r="Z60" s="13">
        <f>Inputs!$F$78*Z47</f>
        <v/>
      </c>
      <c r="AA60" s="13">
        <f>Inputs!$F$78*AA47</f>
        <v/>
      </c>
      <c r="AB60" s="13">
        <f>Inputs!$F$78*AB47</f>
        <v/>
      </c>
      <c r="AC60" s="13">
        <f>Inputs!$F$78*AC47</f>
        <v/>
      </c>
      <c r="AD60" s="13">
        <f>Inputs!$F$78*AD47</f>
        <v/>
      </c>
      <c r="AE60" s="13">
        <f>Inputs!$F$78*AE47</f>
        <v/>
      </c>
      <c r="AF60" s="13">
        <f>Inputs!$F$78*AF47</f>
        <v/>
      </c>
      <c r="AG60" s="13">
        <f>Inputs!$F$78*AG47</f>
        <v/>
      </c>
      <c r="AH60" s="13">
        <f>Inputs!$F$78*AH47</f>
        <v/>
      </c>
      <c r="AI60" s="13">
        <f>Inputs!$F$78*AI47</f>
        <v/>
      </c>
      <c r="AJ60" s="13">
        <f>Inputs!$F$78*AJ47</f>
        <v/>
      </c>
      <c r="AK60" s="13">
        <f>Inputs!$F$78*AK47</f>
        <v/>
      </c>
      <c r="AL60" s="13">
        <f>Inputs!$F$78*AL47</f>
        <v/>
      </c>
      <c r="AM60" s="13">
        <f>Inputs!$F$78*AM47</f>
        <v/>
      </c>
      <c r="AN60" s="13">
        <f>Inputs!$F$78*AN47</f>
        <v/>
      </c>
      <c r="AO60" s="13">
        <f>Inputs!$F$78*AO47</f>
        <v/>
      </c>
      <c r="AP60" s="13">
        <f>Inputs!$F$78*AP47</f>
        <v/>
      </c>
      <c r="AQ60" s="13">
        <f>Inputs!$F$78*AQ47</f>
        <v/>
      </c>
      <c r="AR60" s="13">
        <f>Inputs!$F$78*AR47</f>
        <v/>
      </c>
      <c r="AS60" s="13">
        <f>Inputs!$F$78*AS47</f>
        <v/>
      </c>
      <c r="AT60" s="13">
        <f>Inputs!$F$78*AT47</f>
        <v/>
      </c>
      <c r="AU60" s="13">
        <f>Inputs!$F$78*AU47</f>
        <v/>
      </c>
      <c r="AV60" s="13">
        <f>Inputs!$F$78*AV47</f>
        <v/>
      </c>
      <c r="AW60" s="13">
        <f>Inputs!$F$78*AW47</f>
        <v/>
      </c>
      <c r="AX60" s="13">
        <f>Inputs!$F$78*AX47</f>
        <v/>
      </c>
      <c r="AY60" s="13">
        <f>Inputs!$F$78*AY47</f>
        <v/>
      </c>
      <c r="AZ60" s="13">
        <f>Inputs!$F$78*AZ47</f>
        <v/>
      </c>
      <c r="BA60" s="13">
        <f>Inputs!$F$78*BA47</f>
        <v/>
      </c>
      <c r="BB60" s="13">
        <f>Inputs!$F$78*BB47</f>
        <v/>
      </c>
      <c r="BC60" s="13">
        <f>Inputs!$F$78*BC47</f>
        <v/>
      </c>
      <c r="BD60" s="13">
        <f>Inputs!$F$78*BD47</f>
        <v/>
      </c>
      <c r="BE60" s="13">
        <f>Inputs!$F$78*BE47</f>
        <v/>
      </c>
      <c r="BF60" s="13">
        <f>Inputs!$F$78*BF47</f>
        <v/>
      </c>
      <c r="BG60" s="13">
        <f>Inputs!$F$78*BG47</f>
        <v/>
      </c>
      <c r="BH60" s="13">
        <f>Inputs!$F$78*BH47</f>
        <v/>
      </c>
      <c r="BI60" s="13">
        <f>Inputs!$F$78*BI47</f>
        <v/>
      </c>
      <c r="BJ60" s="13">
        <f>Inputs!$F$78*BJ47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3">
        <f>J28+J57</f>
        <v/>
      </c>
      <c r="K61" s="13">
        <f>K28+K57</f>
        <v/>
      </c>
      <c r="L61" s="13">
        <f>L28+L57</f>
        <v/>
      </c>
      <c r="M61" s="13">
        <f>M28+M57</f>
        <v/>
      </c>
      <c r="N61" s="13">
        <f>N28+N57</f>
        <v/>
      </c>
      <c r="O61" s="13">
        <f>O28+O57</f>
        <v/>
      </c>
      <c r="P61" s="13">
        <f>P28+P57</f>
        <v/>
      </c>
      <c r="Q61" s="13">
        <f>Q28+Q57</f>
        <v/>
      </c>
      <c r="R61" s="13">
        <f>R28+R57</f>
        <v/>
      </c>
      <c r="S61" s="13">
        <f>S28+S57</f>
        <v/>
      </c>
      <c r="T61" s="13">
        <f>T28+T57</f>
        <v/>
      </c>
      <c r="U61" s="13">
        <f>U28+U57</f>
        <v/>
      </c>
      <c r="V61" s="13">
        <f>V28+V57</f>
        <v/>
      </c>
      <c r="W61" s="13">
        <f>W28+W57</f>
        <v/>
      </c>
      <c r="X61" s="13">
        <f>X28+X57</f>
        <v/>
      </c>
      <c r="Y61" s="13">
        <f>Y28+Y57</f>
        <v/>
      </c>
      <c r="Z61" s="13">
        <f>Z28+Z57</f>
        <v/>
      </c>
      <c r="AA61" s="13">
        <f>AA28+AA57</f>
        <v/>
      </c>
      <c r="AB61" s="13">
        <f>AB28+AB57</f>
        <v/>
      </c>
      <c r="AC61" s="13">
        <f>AC28+AC57</f>
        <v/>
      </c>
      <c r="AD61" s="13">
        <f>AD28+AD57</f>
        <v/>
      </c>
      <c r="AE61" s="13">
        <f>AE28+AE57</f>
        <v/>
      </c>
      <c r="AF61" s="13">
        <f>AF28+AF57</f>
        <v/>
      </c>
      <c r="AG61" s="13">
        <f>AG28+AG57</f>
        <v/>
      </c>
      <c r="AH61" s="13">
        <f>AH28+AH57</f>
        <v/>
      </c>
      <c r="AI61" s="13">
        <f>AI28+AI57</f>
        <v/>
      </c>
      <c r="AJ61" s="13">
        <f>AJ28+AJ57</f>
        <v/>
      </c>
      <c r="AK61" s="13">
        <f>AK28+AK57</f>
        <v/>
      </c>
      <c r="AL61" s="13">
        <f>AL28+AL57</f>
        <v/>
      </c>
      <c r="AM61" s="13">
        <f>AM28+AM57</f>
        <v/>
      </c>
      <c r="AN61" s="13">
        <f>AN28+AN57</f>
        <v/>
      </c>
      <c r="AO61" s="13">
        <f>AO28+AO57</f>
        <v/>
      </c>
      <c r="AP61" s="13">
        <f>AP28+AP57</f>
        <v/>
      </c>
      <c r="AQ61" s="13">
        <f>AQ28+AQ57</f>
        <v/>
      </c>
      <c r="AR61" s="13">
        <f>AR28+AR57</f>
        <v/>
      </c>
      <c r="AS61" s="13">
        <f>AS28+AS57</f>
        <v/>
      </c>
      <c r="AT61" s="13">
        <f>AT28+AT57</f>
        <v/>
      </c>
      <c r="AU61" s="13">
        <f>AU28+AU57</f>
        <v/>
      </c>
      <c r="AV61" s="13">
        <f>AV28+AV57</f>
        <v/>
      </c>
      <c r="AW61" s="13">
        <f>AW28+AW57</f>
        <v/>
      </c>
      <c r="AX61" s="13">
        <f>AX28+AX57</f>
        <v/>
      </c>
      <c r="AY61" s="13">
        <f>AY28+AY57</f>
        <v/>
      </c>
      <c r="AZ61" s="13">
        <f>AZ28+AZ57</f>
        <v/>
      </c>
      <c r="BA61" s="13">
        <f>BA28+BA57</f>
        <v/>
      </c>
      <c r="BB61" s="13">
        <f>BB28+BB57</f>
        <v/>
      </c>
      <c r="BC61" s="13">
        <f>BC28+BC57</f>
        <v/>
      </c>
      <c r="BD61" s="13">
        <f>BD28+BD57</f>
        <v/>
      </c>
      <c r="BE61" s="13">
        <f>BE28+BE57</f>
        <v/>
      </c>
      <c r="BF61" s="13">
        <f>BF28+BF57</f>
        <v/>
      </c>
      <c r="BG61" s="13">
        <f>BG28+BG57</f>
        <v/>
      </c>
      <c r="BH61" s="13">
        <f>BH28+BH57</f>
        <v/>
      </c>
      <c r="BI61" s="13">
        <f>BI28+BI57</f>
        <v/>
      </c>
      <c r="BJ61" s="13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3">
        <f>J29+J58</f>
        <v/>
      </c>
      <c r="K62" s="13">
        <f>K29+K58</f>
        <v/>
      </c>
      <c r="L62" s="13">
        <f>L29+L58</f>
        <v/>
      </c>
      <c r="M62" s="13">
        <f>M29+M58</f>
        <v/>
      </c>
      <c r="N62" s="13">
        <f>N29+N58</f>
        <v/>
      </c>
      <c r="O62" s="13">
        <f>O29+O58</f>
        <v/>
      </c>
      <c r="P62" s="13">
        <f>P29+P58</f>
        <v/>
      </c>
      <c r="Q62" s="13">
        <f>Q29+Q58</f>
        <v/>
      </c>
      <c r="R62" s="13">
        <f>R29+R58</f>
        <v/>
      </c>
      <c r="S62" s="13">
        <f>S29+S58</f>
        <v/>
      </c>
      <c r="T62" s="13">
        <f>T29+T58</f>
        <v/>
      </c>
      <c r="U62" s="13">
        <f>U29+U58</f>
        <v/>
      </c>
      <c r="V62" s="13">
        <f>V29+V58</f>
        <v/>
      </c>
      <c r="W62" s="13">
        <f>W29+W58</f>
        <v/>
      </c>
      <c r="X62" s="13">
        <f>X29+X58</f>
        <v/>
      </c>
      <c r="Y62" s="13">
        <f>Y29+Y58</f>
        <v/>
      </c>
      <c r="Z62" s="13">
        <f>Z29+Z58</f>
        <v/>
      </c>
      <c r="AA62" s="13">
        <f>AA29+AA58</f>
        <v/>
      </c>
      <c r="AB62" s="13">
        <f>AB29+AB58</f>
        <v/>
      </c>
      <c r="AC62" s="13">
        <f>AC29+AC58</f>
        <v/>
      </c>
      <c r="AD62" s="13">
        <f>AD29+AD58</f>
        <v/>
      </c>
      <c r="AE62" s="13">
        <f>AE29+AE58</f>
        <v/>
      </c>
      <c r="AF62" s="13">
        <f>AF29+AF58</f>
        <v/>
      </c>
      <c r="AG62" s="13">
        <f>AG29+AG58</f>
        <v/>
      </c>
      <c r="AH62" s="13">
        <f>AH29+AH58</f>
        <v/>
      </c>
      <c r="AI62" s="13">
        <f>AI29+AI58</f>
        <v/>
      </c>
      <c r="AJ62" s="13">
        <f>AJ29+AJ58</f>
        <v/>
      </c>
      <c r="AK62" s="13">
        <f>AK29+AK58</f>
        <v/>
      </c>
      <c r="AL62" s="13">
        <f>AL29+AL58</f>
        <v/>
      </c>
      <c r="AM62" s="13">
        <f>AM29+AM58</f>
        <v/>
      </c>
      <c r="AN62" s="13">
        <f>AN29+AN58</f>
        <v/>
      </c>
      <c r="AO62" s="13">
        <f>AO29+AO58</f>
        <v/>
      </c>
      <c r="AP62" s="13">
        <f>AP29+AP58</f>
        <v/>
      </c>
      <c r="AQ62" s="13">
        <f>AQ29+AQ58</f>
        <v/>
      </c>
      <c r="AR62" s="13">
        <f>AR29+AR58</f>
        <v/>
      </c>
      <c r="AS62" s="13">
        <f>AS29+AS58</f>
        <v/>
      </c>
      <c r="AT62" s="13">
        <f>AT29+AT58</f>
        <v/>
      </c>
      <c r="AU62" s="13">
        <f>AU29+AU58</f>
        <v/>
      </c>
      <c r="AV62" s="13">
        <f>AV29+AV58</f>
        <v/>
      </c>
      <c r="AW62" s="13">
        <f>AW29+AW58</f>
        <v/>
      </c>
      <c r="AX62" s="13">
        <f>AX29+AX58</f>
        <v/>
      </c>
      <c r="AY62" s="13">
        <f>AY29+AY58</f>
        <v/>
      </c>
      <c r="AZ62" s="13">
        <f>AZ29+AZ58</f>
        <v/>
      </c>
      <c r="BA62" s="13">
        <f>BA29+BA58</f>
        <v/>
      </c>
      <c r="BB62" s="13">
        <f>BB29+BB58</f>
        <v/>
      </c>
      <c r="BC62" s="13">
        <f>BC29+BC58</f>
        <v/>
      </c>
      <c r="BD62" s="13">
        <f>BD29+BD58</f>
        <v/>
      </c>
      <c r="BE62" s="13">
        <f>BE29+BE58</f>
        <v/>
      </c>
      <c r="BF62" s="13">
        <f>BF29+BF58</f>
        <v/>
      </c>
      <c r="BG62" s="13">
        <f>BG29+BG58</f>
        <v/>
      </c>
      <c r="BH62" s="13">
        <f>BH29+BH58</f>
        <v/>
      </c>
      <c r="BI62" s="13">
        <f>BI29+BI58</f>
        <v/>
      </c>
      <c r="BJ62" s="13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3">
        <f>J30+J59</f>
        <v/>
      </c>
      <c r="K63" s="13">
        <f>K30+K59</f>
        <v/>
      </c>
      <c r="L63" s="13">
        <f>L30+L59</f>
        <v/>
      </c>
      <c r="M63" s="13">
        <f>M30+M59</f>
        <v/>
      </c>
      <c r="N63" s="13">
        <f>N30+N59</f>
        <v/>
      </c>
      <c r="O63" s="13">
        <f>O30+O59</f>
        <v/>
      </c>
      <c r="P63" s="13">
        <f>P30+P59</f>
        <v/>
      </c>
      <c r="Q63" s="13">
        <f>Q30+Q59</f>
        <v/>
      </c>
      <c r="R63" s="13">
        <f>R30+R59</f>
        <v/>
      </c>
      <c r="S63" s="13">
        <f>S30+S59</f>
        <v/>
      </c>
      <c r="T63" s="13">
        <f>T30+T59</f>
        <v/>
      </c>
      <c r="U63" s="13">
        <f>U30+U59</f>
        <v/>
      </c>
      <c r="V63" s="13">
        <f>V30+V59</f>
        <v/>
      </c>
      <c r="W63" s="13">
        <f>W30+W59</f>
        <v/>
      </c>
      <c r="X63" s="13">
        <f>X30+X59</f>
        <v/>
      </c>
      <c r="Y63" s="13">
        <f>Y30+Y59</f>
        <v/>
      </c>
      <c r="Z63" s="13">
        <f>Z30+Z59</f>
        <v/>
      </c>
      <c r="AA63" s="13">
        <f>AA30+AA59</f>
        <v/>
      </c>
      <c r="AB63" s="13">
        <f>AB30+AB59</f>
        <v/>
      </c>
      <c r="AC63" s="13">
        <f>AC30+AC59</f>
        <v/>
      </c>
      <c r="AD63" s="13">
        <f>AD30+AD59</f>
        <v/>
      </c>
      <c r="AE63" s="13">
        <f>AE30+AE59</f>
        <v/>
      </c>
      <c r="AF63" s="13">
        <f>AF30+AF59</f>
        <v/>
      </c>
      <c r="AG63" s="13">
        <f>AG30+AG59</f>
        <v/>
      </c>
      <c r="AH63" s="13">
        <f>AH30+AH59</f>
        <v/>
      </c>
      <c r="AI63" s="13">
        <f>AI30+AI59</f>
        <v/>
      </c>
      <c r="AJ63" s="13">
        <f>AJ30+AJ59</f>
        <v/>
      </c>
      <c r="AK63" s="13">
        <f>AK30+AK59</f>
        <v/>
      </c>
      <c r="AL63" s="13">
        <f>AL30+AL59</f>
        <v/>
      </c>
      <c r="AM63" s="13">
        <f>AM30+AM59</f>
        <v/>
      </c>
      <c r="AN63" s="13">
        <f>AN30+AN59</f>
        <v/>
      </c>
      <c r="AO63" s="13">
        <f>AO30+AO59</f>
        <v/>
      </c>
      <c r="AP63" s="13">
        <f>AP30+AP59</f>
        <v/>
      </c>
      <c r="AQ63" s="13">
        <f>AQ30+AQ59</f>
        <v/>
      </c>
      <c r="AR63" s="13">
        <f>AR30+AR59</f>
        <v/>
      </c>
      <c r="AS63" s="13">
        <f>AS30+AS59</f>
        <v/>
      </c>
      <c r="AT63" s="13">
        <f>AT30+AT59</f>
        <v/>
      </c>
      <c r="AU63" s="13">
        <f>AU30+AU59</f>
        <v/>
      </c>
      <c r="AV63" s="13">
        <f>AV30+AV59</f>
        <v/>
      </c>
      <c r="AW63" s="13">
        <f>AW30+AW59</f>
        <v/>
      </c>
      <c r="AX63" s="13">
        <f>AX30+AX59</f>
        <v/>
      </c>
      <c r="AY63" s="13">
        <f>AY30+AY59</f>
        <v/>
      </c>
      <c r="AZ63" s="13">
        <f>AZ30+AZ59</f>
        <v/>
      </c>
      <c r="BA63" s="13">
        <f>BA30+BA59</f>
        <v/>
      </c>
      <c r="BB63" s="13">
        <f>BB30+BB59</f>
        <v/>
      </c>
      <c r="BC63" s="13">
        <f>BC30+BC59</f>
        <v/>
      </c>
      <c r="BD63" s="13">
        <f>BD30+BD59</f>
        <v/>
      </c>
      <c r="BE63" s="13">
        <f>BE30+BE59</f>
        <v/>
      </c>
      <c r="BF63" s="13">
        <f>BF30+BF59</f>
        <v/>
      </c>
      <c r="BG63" s="13">
        <f>BG30+BG59</f>
        <v/>
      </c>
      <c r="BH63" s="13">
        <f>BH30+BH59</f>
        <v/>
      </c>
      <c r="BI63" s="13">
        <f>BI30+BI59</f>
        <v/>
      </c>
      <c r="BJ63" s="13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3">
        <f>J31+J60</f>
        <v/>
      </c>
      <c r="K64" s="13">
        <f>K31+K60</f>
        <v/>
      </c>
      <c r="L64" s="13">
        <f>L31+L60</f>
        <v/>
      </c>
      <c r="M64" s="13">
        <f>M31+M60</f>
        <v/>
      </c>
      <c r="N64" s="13">
        <f>N31+N60</f>
        <v/>
      </c>
      <c r="O64" s="13">
        <f>O31+O60</f>
        <v/>
      </c>
      <c r="P64" s="13">
        <f>P31+P60</f>
        <v/>
      </c>
      <c r="Q64" s="13">
        <f>Q31+Q60</f>
        <v/>
      </c>
      <c r="R64" s="13">
        <f>R31+R60</f>
        <v/>
      </c>
      <c r="S64" s="13">
        <f>S31+S60</f>
        <v/>
      </c>
      <c r="T64" s="13">
        <f>T31+T60</f>
        <v/>
      </c>
      <c r="U64" s="13">
        <f>U31+U60</f>
        <v/>
      </c>
      <c r="V64" s="13">
        <f>V31+V60</f>
        <v/>
      </c>
      <c r="W64" s="13">
        <f>W31+W60</f>
        <v/>
      </c>
      <c r="X64" s="13">
        <f>X31+X60</f>
        <v/>
      </c>
      <c r="Y64" s="13">
        <f>Y31+Y60</f>
        <v/>
      </c>
      <c r="Z64" s="13">
        <f>Z31+Z60</f>
        <v/>
      </c>
      <c r="AA64" s="13">
        <f>AA31+AA60</f>
        <v/>
      </c>
      <c r="AB64" s="13">
        <f>AB31+AB60</f>
        <v/>
      </c>
      <c r="AC64" s="13">
        <f>AC31+AC60</f>
        <v/>
      </c>
      <c r="AD64" s="13">
        <f>AD31+AD60</f>
        <v/>
      </c>
      <c r="AE64" s="13">
        <f>AE31+AE60</f>
        <v/>
      </c>
      <c r="AF64" s="13">
        <f>AF31+AF60</f>
        <v/>
      </c>
      <c r="AG64" s="13">
        <f>AG31+AG60</f>
        <v/>
      </c>
      <c r="AH64" s="13">
        <f>AH31+AH60</f>
        <v/>
      </c>
      <c r="AI64" s="13">
        <f>AI31+AI60</f>
        <v/>
      </c>
      <c r="AJ64" s="13">
        <f>AJ31+AJ60</f>
        <v/>
      </c>
      <c r="AK64" s="13">
        <f>AK31+AK60</f>
        <v/>
      </c>
      <c r="AL64" s="13">
        <f>AL31+AL60</f>
        <v/>
      </c>
      <c r="AM64" s="13">
        <f>AM31+AM60</f>
        <v/>
      </c>
      <c r="AN64" s="13">
        <f>AN31+AN60</f>
        <v/>
      </c>
      <c r="AO64" s="13">
        <f>AO31+AO60</f>
        <v/>
      </c>
      <c r="AP64" s="13">
        <f>AP31+AP60</f>
        <v/>
      </c>
      <c r="AQ64" s="13">
        <f>AQ31+AQ60</f>
        <v/>
      </c>
      <c r="AR64" s="13">
        <f>AR31+AR60</f>
        <v/>
      </c>
      <c r="AS64" s="13">
        <f>AS31+AS60</f>
        <v/>
      </c>
      <c r="AT64" s="13">
        <f>AT31+AT60</f>
        <v/>
      </c>
      <c r="AU64" s="13">
        <f>AU31+AU60</f>
        <v/>
      </c>
      <c r="AV64" s="13">
        <f>AV31+AV60</f>
        <v/>
      </c>
      <c r="AW64" s="13">
        <f>AW31+AW60</f>
        <v/>
      </c>
      <c r="AX64" s="13">
        <f>AX31+AX60</f>
        <v/>
      </c>
      <c r="AY64" s="13">
        <f>AY31+AY60</f>
        <v/>
      </c>
      <c r="AZ64" s="13">
        <f>AZ31+AZ60</f>
        <v/>
      </c>
      <c r="BA64" s="13">
        <f>BA31+BA60</f>
        <v/>
      </c>
      <c r="BB64" s="13">
        <f>BB31+BB60</f>
        <v/>
      </c>
      <c r="BC64" s="13">
        <f>BC31+BC60</f>
        <v/>
      </c>
      <c r="BD64" s="13">
        <f>BD31+BD60</f>
        <v/>
      </c>
      <c r="BE64" s="13">
        <f>BE31+BE60</f>
        <v/>
      </c>
      <c r="BF64" s="13">
        <f>BF31+BF60</f>
        <v/>
      </c>
      <c r="BG64" s="13">
        <f>BG31+BG60</f>
        <v/>
      </c>
      <c r="BH64" s="13">
        <f>BH31+BH60</f>
        <v/>
      </c>
      <c r="BI64" s="13">
        <f>BI31+BI60</f>
        <v/>
      </c>
      <c r="BJ64" s="13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3">
        <f>J32+J55</f>
        <v/>
      </c>
      <c r="K65" s="13">
        <f>K32+K55</f>
        <v/>
      </c>
      <c r="L65" s="13">
        <f>L32+L55</f>
        <v/>
      </c>
      <c r="M65" s="13">
        <f>M32+M55</f>
        <v/>
      </c>
      <c r="N65" s="13">
        <f>N32+N55</f>
        <v/>
      </c>
      <c r="O65" s="13">
        <f>O32+O55</f>
        <v/>
      </c>
      <c r="P65" s="13">
        <f>P32+P55</f>
        <v/>
      </c>
      <c r="Q65" s="13">
        <f>Q32+Q55</f>
        <v/>
      </c>
      <c r="R65" s="13">
        <f>R32+R55</f>
        <v/>
      </c>
      <c r="S65" s="13">
        <f>S32+S55</f>
        <v/>
      </c>
      <c r="T65" s="13">
        <f>T32+T55</f>
        <v/>
      </c>
      <c r="U65" s="13">
        <f>U32+U55</f>
        <v/>
      </c>
      <c r="V65" s="13">
        <f>V32+V55</f>
        <v/>
      </c>
      <c r="W65" s="13">
        <f>W32+W55</f>
        <v/>
      </c>
      <c r="X65" s="13">
        <f>X32+X55</f>
        <v/>
      </c>
      <c r="Y65" s="13">
        <f>Y32+Y55</f>
        <v/>
      </c>
      <c r="Z65" s="13">
        <f>Z32+Z55</f>
        <v/>
      </c>
      <c r="AA65" s="13">
        <f>AA32+AA55</f>
        <v/>
      </c>
      <c r="AB65" s="13">
        <f>AB32+AB55</f>
        <v/>
      </c>
      <c r="AC65" s="13">
        <f>AC32+AC55</f>
        <v/>
      </c>
      <c r="AD65" s="13">
        <f>AD32+AD55</f>
        <v/>
      </c>
      <c r="AE65" s="13">
        <f>AE32+AE55</f>
        <v/>
      </c>
      <c r="AF65" s="13">
        <f>AF32+AF55</f>
        <v/>
      </c>
      <c r="AG65" s="13">
        <f>AG32+AG55</f>
        <v/>
      </c>
      <c r="AH65" s="13">
        <f>AH32+AH55</f>
        <v/>
      </c>
      <c r="AI65" s="13">
        <f>AI32+AI55</f>
        <v/>
      </c>
      <c r="AJ65" s="13">
        <f>AJ32+AJ55</f>
        <v/>
      </c>
      <c r="AK65" s="13">
        <f>AK32+AK55</f>
        <v/>
      </c>
      <c r="AL65" s="13">
        <f>AL32+AL55</f>
        <v/>
      </c>
      <c r="AM65" s="13">
        <f>AM32+AM55</f>
        <v/>
      </c>
      <c r="AN65" s="13">
        <f>AN32+AN55</f>
        <v/>
      </c>
      <c r="AO65" s="13">
        <f>AO32+AO55</f>
        <v/>
      </c>
      <c r="AP65" s="13">
        <f>AP32+AP55</f>
        <v/>
      </c>
      <c r="AQ65" s="13">
        <f>AQ32+AQ55</f>
        <v/>
      </c>
      <c r="AR65" s="13">
        <f>AR32+AR55</f>
        <v/>
      </c>
      <c r="AS65" s="13">
        <f>AS32+AS55</f>
        <v/>
      </c>
      <c r="AT65" s="13">
        <f>AT32+AT55</f>
        <v/>
      </c>
      <c r="AU65" s="13">
        <f>AU32+AU55</f>
        <v/>
      </c>
      <c r="AV65" s="13">
        <f>AV32+AV55</f>
        <v/>
      </c>
      <c r="AW65" s="13">
        <f>AW32+AW55</f>
        <v/>
      </c>
      <c r="AX65" s="13">
        <f>AX32+AX55</f>
        <v/>
      </c>
      <c r="AY65" s="13">
        <f>AY32+AY55</f>
        <v/>
      </c>
      <c r="AZ65" s="13">
        <f>AZ32+AZ55</f>
        <v/>
      </c>
      <c r="BA65" s="13">
        <f>BA32+BA55</f>
        <v/>
      </c>
      <c r="BB65" s="13">
        <f>BB32+BB55</f>
        <v/>
      </c>
      <c r="BC65" s="13">
        <f>BC32+BC55</f>
        <v/>
      </c>
      <c r="BD65" s="13">
        <f>BD32+BD55</f>
        <v/>
      </c>
      <c r="BE65" s="13">
        <f>BE32+BE55</f>
        <v/>
      </c>
      <c r="BF65" s="13">
        <f>BF32+BF55</f>
        <v/>
      </c>
      <c r="BG65" s="13">
        <f>BG32+BG55</f>
        <v/>
      </c>
      <c r="BH65" s="13">
        <f>BH32+BH55</f>
        <v/>
      </c>
      <c r="BI65" s="13">
        <f>BI32+BI55</f>
        <v/>
      </c>
      <c r="BJ65" s="13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3">
        <f>SUM(J67:BJ67)</f>
        <v/>
      </c>
      <c r="J67" s="13">
        <f>J50-J47+J56</f>
        <v/>
      </c>
      <c r="K67" s="13">
        <f>K50-K47+K56</f>
        <v/>
      </c>
      <c r="L67" s="13">
        <f>L50-L47+L56</f>
        <v/>
      </c>
      <c r="M67" s="13">
        <f>M50-M47+M56</f>
        <v/>
      </c>
      <c r="N67" s="13">
        <f>N50-N47+N56</f>
        <v/>
      </c>
      <c r="O67" s="13">
        <f>O50-O47+O56</f>
        <v/>
      </c>
      <c r="P67" s="13">
        <f>P50-P47+P56</f>
        <v/>
      </c>
      <c r="Q67" s="13">
        <f>Q50-Q47+Q56</f>
        <v/>
      </c>
      <c r="R67" s="13">
        <f>R50-R47+R56</f>
        <v/>
      </c>
      <c r="S67" s="13">
        <f>S50-S47+S56</f>
        <v/>
      </c>
      <c r="T67" s="13">
        <f>T50-T47+T56</f>
        <v/>
      </c>
      <c r="U67" s="13">
        <f>U50-U47+U56</f>
        <v/>
      </c>
      <c r="V67" s="13">
        <f>V50-V47+V56</f>
        <v/>
      </c>
      <c r="W67" s="13">
        <f>W50-W47+W56</f>
        <v/>
      </c>
      <c r="X67" s="13">
        <f>X50-X47+X56</f>
        <v/>
      </c>
      <c r="Y67" s="13">
        <f>Y50-Y47+Y56</f>
        <v/>
      </c>
      <c r="Z67" s="13">
        <f>Z50-Z47+Z56</f>
        <v/>
      </c>
      <c r="AA67" s="13">
        <f>AA50-AA47+AA56</f>
        <v/>
      </c>
      <c r="AB67" s="13">
        <f>AB50-AB47+AB56</f>
        <v/>
      </c>
      <c r="AC67" s="13">
        <f>AC50-AC47+AC56</f>
        <v/>
      </c>
      <c r="AD67" s="13">
        <f>AD50-AD47+AD56</f>
        <v/>
      </c>
      <c r="AE67" s="13">
        <f>AE50-AE47+AE56</f>
        <v/>
      </c>
      <c r="AF67" s="13">
        <f>AF50-AF47+AF56</f>
        <v/>
      </c>
      <c r="AG67" s="13">
        <f>AG50-AG47+AG56</f>
        <v/>
      </c>
      <c r="AH67" s="13">
        <f>AH50-AH47+AH56</f>
        <v/>
      </c>
      <c r="AI67" s="13">
        <f>AI50-AI47+AI56</f>
        <v/>
      </c>
      <c r="AJ67" s="13">
        <f>AJ50-AJ47+AJ56</f>
        <v/>
      </c>
      <c r="AK67" s="13">
        <f>AK50-AK47+AK56</f>
        <v/>
      </c>
      <c r="AL67" s="13">
        <f>AL50-AL47+AL56</f>
        <v/>
      </c>
      <c r="AM67" s="13">
        <f>AM50-AM47+AM56</f>
        <v/>
      </c>
      <c r="AN67" s="13">
        <f>AN50-AN47+AN56</f>
        <v/>
      </c>
      <c r="AO67" s="13">
        <f>AO50-AO47+AO56</f>
        <v/>
      </c>
      <c r="AP67" s="13">
        <f>AP50-AP47+AP56</f>
        <v/>
      </c>
      <c r="AQ67" s="13">
        <f>AQ50-AQ47+AQ56</f>
        <v/>
      </c>
      <c r="AR67" s="13">
        <f>AR50-AR47+AR56</f>
        <v/>
      </c>
      <c r="AS67" s="13">
        <f>AS50-AS47+AS56</f>
        <v/>
      </c>
      <c r="AT67" s="13">
        <f>AT50-AT47+AT56</f>
        <v/>
      </c>
      <c r="AU67" s="13">
        <f>AU50-AU47+AU56</f>
        <v/>
      </c>
      <c r="AV67" s="13">
        <f>AV50-AV47+AV56</f>
        <v/>
      </c>
      <c r="AW67" s="13">
        <f>AW50-AW47+AW56</f>
        <v/>
      </c>
      <c r="AX67" s="13">
        <f>AX50-AX47+AX56</f>
        <v/>
      </c>
      <c r="AY67" s="13">
        <f>AY50-AY47+AY56</f>
        <v/>
      </c>
      <c r="AZ67" s="13">
        <f>AZ50-AZ47+AZ56</f>
        <v/>
      </c>
      <c r="BA67" s="13">
        <f>BA50-BA47+BA56</f>
        <v/>
      </c>
      <c r="BB67" s="13">
        <f>BB50-BB47+BB56</f>
        <v/>
      </c>
      <c r="BC67" s="13">
        <f>BC50-BC47+BC56</f>
        <v/>
      </c>
      <c r="BD67" s="13">
        <f>BD50-BD47+BD56</f>
        <v/>
      </c>
      <c r="BE67" s="13">
        <f>BE50-BE47+BE56</f>
        <v/>
      </c>
      <c r="BF67" s="13">
        <f>BF50-BF47+BF56</f>
        <v/>
      </c>
      <c r="BG67" s="13">
        <f>BG50-BG47+BG56</f>
        <v/>
      </c>
      <c r="BH67" s="13">
        <f>BH50-BH47+BH56</f>
        <v/>
      </c>
      <c r="BI67" s="13">
        <f>BI50-BI47+BI56</f>
        <v/>
      </c>
      <c r="BJ67" s="13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3">
        <f>SUM(J68:BJ68)</f>
        <v/>
      </c>
      <c r="J68" s="13">
        <f>J67-IF(Construction!J8=1,Inputs!$F$68,0)</f>
        <v/>
      </c>
      <c r="K68" s="13">
        <f>K67-IF(Construction!K8=1,Inputs!$F$68,0)</f>
        <v/>
      </c>
      <c r="L68" s="13">
        <f>L67-IF(Construction!L8=1,Inputs!$F$68,0)</f>
        <v/>
      </c>
      <c r="M68" s="13">
        <f>M67-IF(Construction!M8=1,Inputs!$F$68,0)</f>
        <v/>
      </c>
      <c r="N68" s="13">
        <f>N67-IF(Construction!N8=1,Inputs!$F$68,0)</f>
        <v/>
      </c>
      <c r="O68" s="13">
        <f>O67-IF(Construction!O8=1,Inputs!$F$68,0)</f>
        <v/>
      </c>
      <c r="P68" s="13">
        <f>P67-IF(Construction!P8=1,Inputs!$F$68,0)</f>
        <v/>
      </c>
      <c r="Q68" s="13">
        <f>Q67-IF(Construction!Q8=1,Inputs!$F$68,0)</f>
        <v/>
      </c>
      <c r="R68" s="13">
        <f>R67-IF(Construction!R8=1,Inputs!$F$68,0)</f>
        <v/>
      </c>
      <c r="S68" s="13">
        <f>S67-IF(Construction!S8=1,Inputs!$F$68,0)</f>
        <v/>
      </c>
      <c r="T68" s="13">
        <f>T67-IF(Construction!T8=1,Inputs!$F$68,0)</f>
        <v/>
      </c>
      <c r="U68" s="13">
        <f>U67-IF(Construction!U8=1,Inputs!$F$68,0)</f>
        <v/>
      </c>
      <c r="V68" s="13">
        <f>V67-IF(Construction!V8=1,Inputs!$F$68,0)</f>
        <v/>
      </c>
      <c r="W68" s="13">
        <f>W67-IF(Construction!W8=1,Inputs!$F$68,0)</f>
        <v/>
      </c>
      <c r="X68" s="13">
        <f>X67-IF(Construction!X8=1,Inputs!$F$68,0)</f>
        <v/>
      </c>
      <c r="Y68" s="13">
        <f>Y67-IF(Construction!Y8=1,Inputs!$F$68,0)</f>
        <v/>
      </c>
      <c r="Z68" s="13">
        <f>Z67-IF(Construction!Z8=1,Inputs!$F$68,0)</f>
        <v/>
      </c>
      <c r="AA68" s="13">
        <f>AA67-IF(Construction!AA8=1,Inputs!$F$68,0)</f>
        <v/>
      </c>
      <c r="AB68" s="13">
        <f>AB67-IF(Construction!AB8=1,Inputs!$F$68,0)</f>
        <v/>
      </c>
      <c r="AC68" s="13">
        <f>AC67-IF(Construction!AC8=1,Inputs!$F$68,0)</f>
        <v/>
      </c>
      <c r="AD68" s="13">
        <f>AD67-IF(Construction!AD8=1,Inputs!$F$68,0)</f>
        <v/>
      </c>
      <c r="AE68" s="13">
        <f>AE67-IF(Construction!AE8=1,Inputs!$F$68,0)</f>
        <v/>
      </c>
      <c r="AF68" s="13">
        <f>AF67-IF(Construction!AF8=1,Inputs!$F$68,0)</f>
        <v/>
      </c>
      <c r="AG68" s="13">
        <f>AG67-IF(Construction!AG8=1,Inputs!$F$68,0)</f>
        <v/>
      </c>
      <c r="AH68" s="13">
        <f>AH67-IF(Construction!AH8=1,Inputs!$F$68,0)</f>
        <v/>
      </c>
      <c r="AI68" s="13">
        <f>AI67-IF(Construction!AI8=1,Inputs!$F$68,0)</f>
        <v/>
      </c>
      <c r="AJ68" s="13">
        <f>AJ67-IF(Construction!AJ8=1,Inputs!$F$68,0)</f>
        <v/>
      </c>
      <c r="AK68" s="13">
        <f>AK67-IF(Construction!AK8=1,Inputs!$F$68,0)</f>
        <v/>
      </c>
      <c r="AL68" s="13">
        <f>AL67-IF(Construction!AL8=1,Inputs!$F$68,0)</f>
        <v/>
      </c>
      <c r="AM68" s="13">
        <f>AM67-IF(Construction!AM8=1,Inputs!$F$68,0)</f>
        <v/>
      </c>
      <c r="AN68" s="13">
        <f>AN67-IF(Construction!AN8=1,Inputs!$F$68,0)</f>
        <v/>
      </c>
      <c r="AO68" s="13">
        <f>AO67-IF(Construction!AO8=1,Inputs!$F$68,0)</f>
        <v/>
      </c>
      <c r="AP68" s="13">
        <f>AP67-IF(Construction!AP8=1,Inputs!$F$68,0)</f>
        <v/>
      </c>
      <c r="AQ68" s="13">
        <f>AQ67-IF(Construction!AQ8=1,Inputs!$F$68,0)</f>
        <v/>
      </c>
      <c r="AR68" s="13">
        <f>AR67-IF(Construction!AR8=1,Inputs!$F$68,0)</f>
        <v/>
      </c>
      <c r="AS68" s="13">
        <f>AS67-IF(Construction!AS8=1,Inputs!$F$68,0)</f>
        <v/>
      </c>
      <c r="AT68" s="13">
        <f>AT67-IF(Construction!AT8=1,Inputs!$F$68,0)</f>
        <v/>
      </c>
      <c r="AU68" s="13">
        <f>AU67-IF(Construction!AU8=1,Inputs!$F$68,0)</f>
        <v/>
      </c>
      <c r="AV68" s="13">
        <f>AV67-IF(Construction!AV8=1,Inputs!$F$68,0)</f>
        <v/>
      </c>
      <c r="AW68" s="13">
        <f>AW67-IF(Construction!AW8=1,Inputs!$F$68,0)</f>
        <v/>
      </c>
      <c r="AX68" s="13">
        <f>AX67-IF(Construction!AX8=1,Inputs!$F$68,0)</f>
        <v/>
      </c>
      <c r="AY68" s="13">
        <f>AY67-IF(Construction!AY8=1,Inputs!$F$68,0)</f>
        <v/>
      </c>
      <c r="AZ68" s="13">
        <f>AZ67-IF(Construction!AZ8=1,Inputs!$F$68,0)</f>
        <v/>
      </c>
      <c r="BA68" s="13">
        <f>BA67-IF(Construction!BA8=1,Inputs!$F$68,0)</f>
        <v/>
      </c>
      <c r="BB68" s="13">
        <f>BB67-IF(Construction!BB8=1,Inputs!$F$68,0)</f>
        <v/>
      </c>
      <c r="BC68" s="13">
        <f>BC67-IF(Construction!BC8=1,Inputs!$F$68,0)</f>
        <v/>
      </c>
      <c r="BD68" s="13">
        <f>BD67-IF(Construction!BD8=1,Inputs!$F$68,0)</f>
        <v/>
      </c>
      <c r="BE68" s="13">
        <f>BE67-IF(Construction!BE8=1,Inputs!$F$68,0)</f>
        <v/>
      </c>
      <c r="BF68" s="13">
        <f>BF67-IF(Construction!BF8=1,Inputs!$F$68,0)</f>
        <v/>
      </c>
      <c r="BG68" s="13">
        <f>BG67-IF(Construction!BG8=1,Inputs!$F$68,0)</f>
        <v/>
      </c>
      <c r="BH68" s="13">
        <f>BH67-IF(Construction!BH8=1,Inputs!$F$68,0)</f>
        <v/>
      </c>
      <c r="BI68" s="13">
        <f>BI67-IF(Construction!BI8=1,Inputs!$F$68,0)</f>
        <v/>
      </c>
      <c r="BJ68" s="13">
        <f>BJ67-IF(Construction!BJ8=1,Inputs!$F$68,0)</f>
        <v/>
      </c>
    </row>
    <row r="69">
      <c r="D69" t="inlineStr">
        <is>
          <t>Share capital</t>
        </is>
      </c>
      <c r="E69" t="inlineStr">
        <is>
          <t>USD m</t>
        </is>
      </c>
      <c r="G69" s="13">
        <f>SUM(J69:BJ69)</f>
        <v/>
      </c>
      <c r="J69" s="13">
        <f>(1-Inputs!$F$53)*J67</f>
        <v/>
      </c>
      <c r="K69" s="13">
        <f>(1-Inputs!$F$53)*K67</f>
        <v/>
      </c>
      <c r="L69" s="13">
        <f>(1-Inputs!$F$53)*L67</f>
        <v/>
      </c>
      <c r="M69" s="13">
        <f>(1-Inputs!$F$53)*M67</f>
        <v/>
      </c>
      <c r="N69" s="13">
        <f>(1-Inputs!$F$53)*N67</f>
        <v/>
      </c>
      <c r="O69" s="13">
        <f>(1-Inputs!$F$53)*O67</f>
        <v/>
      </c>
      <c r="P69" s="13">
        <f>(1-Inputs!$F$53)*P67</f>
        <v/>
      </c>
      <c r="Q69" s="13">
        <f>(1-Inputs!$F$53)*Q67</f>
        <v/>
      </c>
      <c r="R69" s="13">
        <f>(1-Inputs!$F$53)*R67</f>
        <v/>
      </c>
      <c r="S69" s="13">
        <f>(1-Inputs!$F$53)*S67</f>
        <v/>
      </c>
      <c r="T69" s="13">
        <f>(1-Inputs!$F$53)*T67</f>
        <v/>
      </c>
      <c r="U69" s="13">
        <f>(1-Inputs!$F$53)*U67</f>
        <v/>
      </c>
      <c r="V69" s="13">
        <f>(1-Inputs!$F$53)*V67</f>
        <v/>
      </c>
      <c r="W69" s="13">
        <f>(1-Inputs!$F$53)*W67</f>
        <v/>
      </c>
      <c r="X69" s="13">
        <f>(1-Inputs!$F$53)*X67</f>
        <v/>
      </c>
      <c r="Y69" s="13">
        <f>(1-Inputs!$F$53)*Y67</f>
        <v/>
      </c>
      <c r="Z69" s="13">
        <f>(1-Inputs!$F$53)*Z67</f>
        <v/>
      </c>
      <c r="AA69" s="13">
        <f>(1-Inputs!$F$53)*AA67</f>
        <v/>
      </c>
      <c r="AB69" s="13">
        <f>(1-Inputs!$F$53)*AB67</f>
        <v/>
      </c>
      <c r="AC69" s="13">
        <f>(1-Inputs!$F$53)*AC67</f>
        <v/>
      </c>
      <c r="AD69" s="13">
        <f>(1-Inputs!$F$53)*AD67</f>
        <v/>
      </c>
      <c r="AE69" s="13">
        <f>(1-Inputs!$F$53)*AE67</f>
        <v/>
      </c>
      <c r="AF69" s="13">
        <f>(1-Inputs!$F$53)*AF67</f>
        <v/>
      </c>
      <c r="AG69" s="13">
        <f>(1-Inputs!$F$53)*AG67</f>
        <v/>
      </c>
      <c r="AH69" s="13">
        <f>(1-Inputs!$F$53)*AH67</f>
        <v/>
      </c>
      <c r="AI69" s="13">
        <f>(1-Inputs!$F$53)*AI67</f>
        <v/>
      </c>
      <c r="AJ69" s="13">
        <f>(1-Inputs!$F$53)*AJ67</f>
        <v/>
      </c>
      <c r="AK69" s="13">
        <f>(1-Inputs!$F$53)*AK67</f>
        <v/>
      </c>
      <c r="AL69" s="13">
        <f>(1-Inputs!$F$53)*AL67</f>
        <v/>
      </c>
      <c r="AM69" s="13">
        <f>(1-Inputs!$F$53)*AM67</f>
        <v/>
      </c>
      <c r="AN69" s="13">
        <f>(1-Inputs!$F$53)*AN67</f>
        <v/>
      </c>
      <c r="AO69" s="13">
        <f>(1-Inputs!$F$53)*AO67</f>
        <v/>
      </c>
      <c r="AP69" s="13">
        <f>(1-Inputs!$F$53)*AP67</f>
        <v/>
      </c>
      <c r="AQ69" s="13">
        <f>(1-Inputs!$F$53)*AQ67</f>
        <v/>
      </c>
      <c r="AR69" s="13">
        <f>(1-Inputs!$F$53)*AR67</f>
        <v/>
      </c>
      <c r="AS69" s="13">
        <f>(1-Inputs!$F$53)*AS67</f>
        <v/>
      </c>
      <c r="AT69" s="13">
        <f>(1-Inputs!$F$53)*AT67</f>
        <v/>
      </c>
      <c r="AU69" s="13">
        <f>(1-Inputs!$F$53)*AU67</f>
        <v/>
      </c>
      <c r="AV69" s="13">
        <f>(1-Inputs!$F$53)*AV67</f>
        <v/>
      </c>
      <c r="AW69" s="13">
        <f>(1-Inputs!$F$53)*AW67</f>
        <v/>
      </c>
      <c r="AX69" s="13">
        <f>(1-Inputs!$F$53)*AX67</f>
        <v/>
      </c>
      <c r="AY69" s="13">
        <f>(1-Inputs!$F$53)*AY67</f>
        <v/>
      </c>
      <c r="AZ69" s="13">
        <f>(1-Inputs!$F$53)*AZ67</f>
        <v/>
      </c>
      <c r="BA69" s="13">
        <f>(1-Inputs!$F$53)*BA67</f>
        <v/>
      </c>
      <c r="BB69" s="13">
        <f>(1-Inputs!$F$53)*BB67</f>
        <v/>
      </c>
      <c r="BC69" s="13">
        <f>(1-Inputs!$F$53)*BC67</f>
        <v/>
      </c>
      <c r="BD69" s="13">
        <f>(1-Inputs!$F$53)*BD67</f>
        <v/>
      </c>
      <c r="BE69" s="13">
        <f>(1-Inputs!$F$53)*BE67</f>
        <v/>
      </c>
      <c r="BF69" s="13">
        <f>(1-Inputs!$F$53)*BF67</f>
        <v/>
      </c>
      <c r="BG69" s="13">
        <f>(1-Inputs!$F$53)*BG67</f>
        <v/>
      </c>
      <c r="BH69" s="13">
        <f>(1-Inputs!$F$53)*BH67</f>
        <v/>
      </c>
      <c r="BI69" s="13">
        <f>(1-Inputs!$F$53)*BI67</f>
        <v/>
      </c>
      <c r="BJ69" s="13">
        <f>(1-Inputs!$F$53)*BJ67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3">
        <f>SUM(J70:BJ70)</f>
        <v/>
      </c>
      <c r="J70" s="13">
        <f>Inputs!$F$53*J67</f>
        <v/>
      </c>
      <c r="K70" s="13">
        <f>Inputs!$F$53*K67</f>
        <v/>
      </c>
      <c r="L70" s="13">
        <f>Inputs!$F$53*L67</f>
        <v/>
      </c>
      <c r="M70" s="13">
        <f>Inputs!$F$53*M67</f>
        <v/>
      </c>
      <c r="N70" s="13">
        <f>Inputs!$F$53*N67</f>
        <v/>
      </c>
      <c r="O70" s="13">
        <f>Inputs!$F$53*O67</f>
        <v/>
      </c>
      <c r="P70" s="13">
        <f>Inputs!$F$53*P67</f>
        <v/>
      </c>
      <c r="Q70" s="13">
        <f>Inputs!$F$53*Q67</f>
        <v/>
      </c>
      <c r="R70" s="13">
        <f>Inputs!$F$53*R67</f>
        <v/>
      </c>
      <c r="S70" s="13">
        <f>Inputs!$F$53*S67</f>
        <v/>
      </c>
      <c r="T70" s="13">
        <f>Inputs!$F$53*T67</f>
        <v/>
      </c>
      <c r="U70" s="13">
        <f>Inputs!$F$53*U67</f>
        <v/>
      </c>
      <c r="V70" s="13">
        <f>Inputs!$F$53*V67</f>
        <v/>
      </c>
      <c r="W70" s="13">
        <f>Inputs!$F$53*W67</f>
        <v/>
      </c>
      <c r="X70" s="13">
        <f>Inputs!$F$53*X67</f>
        <v/>
      </c>
      <c r="Y70" s="13">
        <f>Inputs!$F$53*Y67</f>
        <v/>
      </c>
      <c r="Z70" s="13">
        <f>Inputs!$F$53*Z67</f>
        <v/>
      </c>
      <c r="AA70" s="13">
        <f>Inputs!$F$53*AA67</f>
        <v/>
      </c>
      <c r="AB70" s="13">
        <f>Inputs!$F$53*AB67</f>
        <v/>
      </c>
      <c r="AC70" s="13">
        <f>Inputs!$F$53*AC67</f>
        <v/>
      </c>
      <c r="AD70" s="13">
        <f>Inputs!$F$53*AD67</f>
        <v/>
      </c>
      <c r="AE70" s="13">
        <f>Inputs!$F$53*AE67</f>
        <v/>
      </c>
      <c r="AF70" s="13">
        <f>Inputs!$F$53*AF67</f>
        <v/>
      </c>
      <c r="AG70" s="13">
        <f>Inputs!$F$53*AG67</f>
        <v/>
      </c>
      <c r="AH70" s="13">
        <f>Inputs!$F$53*AH67</f>
        <v/>
      </c>
      <c r="AI70" s="13">
        <f>Inputs!$F$53*AI67</f>
        <v/>
      </c>
      <c r="AJ70" s="13">
        <f>Inputs!$F$53*AJ67</f>
        <v/>
      </c>
      <c r="AK70" s="13">
        <f>Inputs!$F$53*AK67</f>
        <v/>
      </c>
      <c r="AL70" s="13">
        <f>Inputs!$F$53*AL67</f>
        <v/>
      </c>
      <c r="AM70" s="13">
        <f>Inputs!$F$53*AM67</f>
        <v/>
      </c>
      <c r="AN70" s="13">
        <f>Inputs!$F$53*AN67</f>
        <v/>
      </c>
      <c r="AO70" s="13">
        <f>Inputs!$F$53*AO67</f>
        <v/>
      </c>
      <c r="AP70" s="13">
        <f>Inputs!$F$53*AP67</f>
        <v/>
      </c>
      <c r="AQ70" s="13">
        <f>Inputs!$F$53*AQ67</f>
        <v/>
      </c>
      <c r="AR70" s="13">
        <f>Inputs!$F$53*AR67</f>
        <v/>
      </c>
      <c r="AS70" s="13">
        <f>Inputs!$F$53*AS67</f>
        <v/>
      </c>
      <c r="AT70" s="13">
        <f>Inputs!$F$53*AT67</f>
        <v/>
      </c>
      <c r="AU70" s="13">
        <f>Inputs!$F$53*AU67</f>
        <v/>
      </c>
      <c r="AV70" s="13">
        <f>Inputs!$F$53*AV67</f>
        <v/>
      </c>
      <c r="AW70" s="13">
        <f>Inputs!$F$53*AW67</f>
        <v/>
      </c>
      <c r="AX70" s="13">
        <f>Inputs!$F$53*AX67</f>
        <v/>
      </c>
      <c r="AY70" s="13">
        <f>Inputs!$F$53*AY67</f>
        <v/>
      </c>
      <c r="AZ70" s="13">
        <f>Inputs!$F$53*AZ67</f>
        <v/>
      </c>
      <c r="BA70" s="13">
        <f>Inputs!$F$53*BA67</f>
        <v/>
      </c>
      <c r="BB70" s="13">
        <f>Inputs!$F$53*BB67</f>
        <v/>
      </c>
      <c r="BC70" s="13">
        <f>Inputs!$F$53*BC67</f>
        <v/>
      </c>
      <c r="BD70" s="13">
        <f>Inputs!$F$53*BD67</f>
        <v/>
      </c>
      <c r="BE70" s="13">
        <f>Inputs!$F$53*BE67</f>
        <v/>
      </c>
      <c r="BF70" s="13">
        <f>Inputs!$F$53*BF67</f>
        <v/>
      </c>
      <c r="BG70" s="13">
        <f>Inputs!$F$53*BG67</f>
        <v/>
      </c>
      <c r="BH70" s="13">
        <f>Inputs!$F$53*BH67</f>
        <v/>
      </c>
      <c r="BI70" s="13">
        <f>Inputs!$F$53*BI67</f>
        <v/>
      </c>
      <c r="BJ70" s="13">
        <f>Inputs!$F$53*BJ67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3">
        <f>SUM(J71:BJ71)</f>
        <v/>
      </c>
      <c r="J71" s="13">
        <f>IF(Construction!J8&lt;=Time!$F$11,I72*Inputs!$F$104/100*Construction!J11/Inputs!$F$248,0)</f>
        <v/>
      </c>
      <c r="K71" s="13">
        <f>IF(Construction!K8&lt;=Time!$F$11,J72*Inputs!$F$104/100*Construction!K11/Inputs!$F$248,0)</f>
        <v/>
      </c>
      <c r="L71" s="13">
        <f>IF(Construction!L8&lt;=Time!$F$11,K72*Inputs!$F$104/100*Construction!L11/Inputs!$F$248,0)</f>
        <v/>
      </c>
      <c r="M71" s="13">
        <f>IF(Construction!M8&lt;=Time!$F$11,L72*Inputs!$F$104/100*Construction!M11/Inputs!$F$248,0)</f>
        <v/>
      </c>
      <c r="N71" s="13">
        <f>IF(Construction!N8&lt;=Time!$F$11,M72*Inputs!$F$104/100*Construction!N11/Inputs!$F$248,0)</f>
        <v/>
      </c>
      <c r="O71" s="13">
        <f>IF(Construction!O8&lt;=Time!$F$11,N72*Inputs!$F$104/100*Construction!O11/Inputs!$F$248,0)</f>
        <v/>
      </c>
      <c r="P71" s="13">
        <f>IF(Construction!P8&lt;=Time!$F$11,O72*Inputs!$F$104/100*Construction!P11/Inputs!$F$248,0)</f>
        <v/>
      </c>
      <c r="Q71" s="13">
        <f>IF(Construction!Q8&lt;=Time!$F$11,P72*Inputs!$F$104/100*Construction!Q11/Inputs!$F$248,0)</f>
        <v/>
      </c>
      <c r="R71" s="13">
        <f>IF(Construction!R8&lt;=Time!$F$11,Q72*Inputs!$F$104/100*Construction!R11/Inputs!$F$248,0)</f>
        <v/>
      </c>
      <c r="S71" s="13">
        <f>IF(Construction!S8&lt;=Time!$F$11,R72*Inputs!$F$104/100*Construction!S11/Inputs!$F$248,0)</f>
        <v/>
      </c>
      <c r="T71" s="13">
        <f>IF(Construction!T8&lt;=Time!$F$11,S72*Inputs!$F$104/100*Construction!T11/Inputs!$F$248,0)</f>
        <v/>
      </c>
      <c r="U71" s="13">
        <f>IF(Construction!U8&lt;=Time!$F$11,T72*Inputs!$F$104/100*Construction!U11/Inputs!$F$248,0)</f>
        <v/>
      </c>
      <c r="V71" s="13">
        <f>IF(Construction!V8&lt;=Time!$F$11,U72*Inputs!$F$104/100*Construction!V11/Inputs!$F$248,0)</f>
        <v/>
      </c>
      <c r="W71" s="13">
        <f>IF(Construction!W8&lt;=Time!$F$11,V72*Inputs!$F$104/100*Construction!W11/Inputs!$F$248,0)</f>
        <v/>
      </c>
      <c r="X71" s="13">
        <f>IF(Construction!X8&lt;=Time!$F$11,W72*Inputs!$F$104/100*Construction!X11/Inputs!$F$248,0)</f>
        <v/>
      </c>
      <c r="Y71" s="13">
        <f>IF(Construction!Y8&lt;=Time!$F$11,X72*Inputs!$F$104/100*Construction!Y11/Inputs!$F$248,0)</f>
        <v/>
      </c>
      <c r="Z71" s="13">
        <f>IF(Construction!Z8&lt;=Time!$F$11,Y72*Inputs!$F$104/100*Construction!Z11/Inputs!$F$248,0)</f>
        <v/>
      </c>
      <c r="AA71" s="13">
        <f>IF(Construction!AA8&lt;=Time!$F$11,Z72*Inputs!$F$104/100*Construction!AA11/Inputs!$F$248,0)</f>
        <v/>
      </c>
      <c r="AB71" s="13">
        <f>IF(Construction!AB8&lt;=Time!$F$11,AA72*Inputs!$F$104/100*Construction!AB11/Inputs!$F$248,0)</f>
        <v/>
      </c>
      <c r="AC71" s="13">
        <f>IF(Construction!AC8&lt;=Time!$F$11,AB72*Inputs!$F$104/100*Construction!AC11/Inputs!$F$248,0)</f>
        <v/>
      </c>
      <c r="AD71" s="13">
        <f>IF(Construction!AD8&lt;=Time!$F$11,AC72*Inputs!$F$104/100*Construction!AD11/Inputs!$F$248,0)</f>
        <v/>
      </c>
      <c r="AE71" s="13">
        <f>IF(Construction!AE8&lt;=Time!$F$11,AD72*Inputs!$F$104/100*Construction!AE11/Inputs!$F$248,0)</f>
        <v/>
      </c>
      <c r="AF71" s="13">
        <f>IF(Construction!AF8&lt;=Time!$F$11,AE72*Inputs!$F$104/100*Construction!AF11/Inputs!$F$248,0)</f>
        <v/>
      </c>
      <c r="AG71" s="13">
        <f>IF(Construction!AG8&lt;=Time!$F$11,AF72*Inputs!$F$104/100*Construction!AG11/Inputs!$F$248,0)</f>
        <v/>
      </c>
      <c r="AH71" s="13">
        <f>IF(Construction!AH8&lt;=Time!$F$11,AG72*Inputs!$F$104/100*Construction!AH11/Inputs!$F$248,0)</f>
        <v/>
      </c>
      <c r="AI71" s="13">
        <f>IF(Construction!AI8&lt;=Time!$F$11,AH72*Inputs!$F$104/100*Construction!AI11/Inputs!$F$248,0)</f>
        <v/>
      </c>
      <c r="AJ71" s="13">
        <f>IF(Construction!AJ8&lt;=Time!$F$11,AI72*Inputs!$F$104/100*Construction!AJ11/Inputs!$F$248,0)</f>
        <v/>
      </c>
      <c r="AK71" s="13">
        <f>IF(Construction!AK8&lt;=Time!$F$11,AJ72*Inputs!$F$104/100*Construction!AK11/Inputs!$F$248,0)</f>
        <v/>
      </c>
      <c r="AL71" s="13">
        <f>IF(Construction!AL8&lt;=Time!$F$11,AK72*Inputs!$F$104/100*Construction!AL11/Inputs!$F$248,0)</f>
        <v/>
      </c>
      <c r="AM71" s="13">
        <f>IF(Construction!AM8&lt;=Time!$F$11,AL72*Inputs!$F$104/100*Construction!AM11/Inputs!$F$248,0)</f>
        <v/>
      </c>
      <c r="AN71" s="13">
        <f>IF(Construction!AN8&lt;=Time!$F$11,AM72*Inputs!$F$104/100*Construction!AN11/Inputs!$F$248,0)</f>
        <v/>
      </c>
      <c r="AO71" s="13">
        <f>IF(Construction!AO8&lt;=Time!$F$11,AN72*Inputs!$F$104/100*Construction!AO11/Inputs!$F$248,0)</f>
        <v/>
      </c>
      <c r="AP71" s="13">
        <f>IF(Construction!AP8&lt;=Time!$F$11,AO72*Inputs!$F$104/100*Construction!AP11/Inputs!$F$248,0)</f>
        <v/>
      </c>
      <c r="AQ71" s="13">
        <f>IF(Construction!AQ8&lt;=Time!$F$11,AP72*Inputs!$F$104/100*Construction!AQ11/Inputs!$F$248,0)</f>
        <v/>
      </c>
      <c r="AR71" s="13">
        <f>IF(Construction!AR8&lt;=Time!$F$11,AQ72*Inputs!$F$104/100*Construction!AR11/Inputs!$F$248,0)</f>
        <v/>
      </c>
      <c r="AS71" s="13">
        <f>IF(Construction!AS8&lt;=Time!$F$11,AR72*Inputs!$F$104/100*Construction!AS11/Inputs!$F$248,0)</f>
        <v/>
      </c>
      <c r="AT71" s="13">
        <f>IF(Construction!AT8&lt;=Time!$F$11,AS72*Inputs!$F$104/100*Construction!AT11/Inputs!$F$248,0)</f>
        <v/>
      </c>
      <c r="AU71" s="13">
        <f>IF(Construction!AU8&lt;=Time!$F$11,AT72*Inputs!$F$104/100*Construction!AU11/Inputs!$F$248,0)</f>
        <v/>
      </c>
      <c r="AV71" s="13">
        <f>IF(Construction!AV8&lt;=Time!$F$11,AU72*Inputs!$F$104/100*Construction!AV11/Inputs!$F$248,0)</f>
        <v/>
      </c>
      <c r="AW71" s="13">
        <f>IF(Construction!AW8&lt;=Time!$F$11,AV72*Inputs!$F$104/100*Construction!AW11/Inputs!$F$248,0)</f>
        <v/>
      </c>
      <c r="AX71" s="13">
        <f>IF(Construction!AX8&lt;=Time!$F$11,AW72*Inputs!$F$104/100*Construction!AX11/Inputs!$F$248,0)</f>
        <v/>
      </c>
      <c r="AY71" s="13">
        <f>IF(Construction!AY8&lt;=Time!$F$11,AX72*Inputs!$F$104/100*Construction!AY11/Inputs!$F$248,0)</f>
        <v/>
      </c>
      <c r="AZ71" s="13">
        <f>IF(Construction!AZ8&lt;=Time!$F$11,AY72*Inputs!$F$104/100*Construction!AZ11/Inputs!$F$248,0)</f>
        <v/>
      </c>
      <c r="BA71" s="13">
        <f>IF(Construction!BA8&lt;=Time!$F$11,AZ72*Inputs!$F$104/100*Construction!BA11/Inputs!$F$248,0)</f>
        <v/>
      </c>
      <c r="BB71" s="13">
        <f>IF(Construction!BB8&lt;=Time!$F$11,BA72*Inputs!$F$104/100*Construction!BB11/Inputs!$F$248,0)</f>
        <v/>
      </c>
      <c r="BC71" s="13">
        <f>IF(Construction!BC8&lt;=Time!$F$11,BB72*Inputs!$F$104/100*Construction!BC11/Inputs!$F$248,0)</f>
        <v/>
      </c>
      <c r="BD71" s="13">
        <f>IF(Construction!BD8&lt;=Time!$F$11,BC72*Inputs!$F$104/100*Construction!BD11/Inputs!$F$248,0)</f>
        <v/>
      </c>
      <c r="BE71" s="13">
        <f>IF(Construction!BE8&lt;=Time!$F$11,BD72*Inputs!$F$104/100*Construction!BE11/Inputs!$F$248,0)</f>
        <v/>
      </c>
      <c r="BF71" s="13">
        <f>IF(Construction!BF8&lt;=Time!$F$11,BE72*Inputs!$F$104/100*Construction!BF11/Inputs!$F$248,0)</f>
        <v/>
      </c>
      <c r="BG71" s="13">
        <f>IF(Construction!BG8&lt;=Time!$F$11,BF72*Inputs!$F$104/100*Construction!BG11/Inputs!$F$248,0)</f>
        <v/>
      </c>
      <c r="BH71" s="13">
        <f>IF(Construction!BH8&lt;=Time!$F$11,BG72*Inputs!$F$104/100*Construction!BH11/Inputs!$F$248,0)</f>
        <v/>
      </c>
      <c r="BI71" s="13">
        <f>IF(Construction!BI8&lt;=Time!$F$11,BH72*Inputs!$F$104/100*Construction!BI11/Inputs!$F$248,0)</f>
        <v/>
      </c>
      <c r="BJ71" s="13">
        <f>IF(Construction!BJ8&lt;=Time!$F$11,BI72*Inputs!$F$104/100*Construction!BJ11/Inputs!$F$248,0)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3">
        <f>I72+J71+J70</f>
        <v/>
      </c>
      <c r="K72" s="13">
        <f>J72+K71+K70</f>
        <v/>
      </c>
      <c r="L72" s="13">
        <f>K72+L71+L70</f>
        <v/>
      </c>
      <c r="M72" s="13">
        <f>L72+M71+M70</f>
        <v/>
      </c>
      <c r="N72" s="13">
        <f>M72+N71+N70</f>
        <v/>
      </c>
      <c r="O72" s="13">
        <f>N72+O71+O70</f>
        <v/>
      </c>
      <c r="P72" s="13">
        <f>O72+P71+P70</f>
        <v/>
      </c>
      <c r="Q72" s="13">
        <f>P72+Q71+Q70</f>
        <v/>
      </c>
      <c r="R72" s="13">
        <f>Q72+R71+R70</f>
        <v/>
      </c>
      <c r="S72" s="13">
        <f>R72+S71+S70</f>
        <v/>
      </c>
      <c r="T72" s="13">
        <f>S72+T71+T70</f>
        <v/>
      </c>
      <c r="U72" s="13">
        <f>T72+U71+U70</f>
        <v/>
      </c>
      <c r="V72" s="13">
        <f>U72+V71+V70</f>
        <v/>
      </c>
      <c r="W72" s="13">
        <f>V72+W71+W70</f>
        <v/>
      </c>
      <c r="X72" s="13">
        <f>W72+X71+X70</f>
        <v/>
      </c>
      <c r="Y72" s="13">
        <f>X72+Y71+Y70</f>
        <v/>
      </c>
      <c r="Z72" s="13">
        <f>Y72+Z71+Z70</f>
        <v/>
      </c>
      <c r="AA72" s="13">
        <f>Z72+AA71+AA70</f>
        <v/>
      </c>
      <c r="AB72" s="13">
        <f>AA72+AB71+AB70</f>
        <v/>
      </c>
      <c r="AC72" s="13">
        <f>AB72+AC71+AC70</f>
        <v/>
      </c>
      <c r="AD72" s="13">
        <f>AC72+AD71+AD70</f>
        <v/>
      </c>
      <c r="AE72" s="13">
        <f>AD72+AE71+AE70</f>
        <v/>
      </c>
      <c r="AF72" s="13">
        <f>AE72+AF71+AF70</f>
        <v/>
      </c>
      <c r="AG72" s="13">
        <f>AF72+AG71+AG70</f>
        <v/>
      </c>
      <c r="AH72" s="13">
        <f>AG72+AH71+AH70</f>
        <v/>
      </c>
      <c r="AI72" s="13">
        <f>AH72+AI71+AI70</f>
        <v/>
      </c>
      <c r="AJ72" s="13">
        <f>AI72+AJ71+AJ70</f>
        <v/>
      </c>
      <c r="AK72" s="13">
        <f>AJ72+AK71+AK70</f>
        <v/>
      </c>
      <c r="AL72" s="13">
        <f>AK72+AL71+AL70</f>
        <v/>
      </c>
      <c r="AM72" s="13">
        <f>AL72+AM71+AM70</f>
        <v/>
      </c>
      <c r="AN72" s="13">
        <f>AM72+AN71+AN70</f>
        <v/>
      </c>
      <c r="AO72" s="13">
        <f>AN72+AO71+AO70</f>
        <v/>
      </c>
      <c r="AP72" s="13">
        <f>AO72+AP71+AP70</f>
        <v/>
      </c>
      <c r="AQ72" s="13">
        <f>AP72+AQ71+AQ70</f>
        <v/>
      </c>
      <c r="AR72" s="13">
        <f>AQ72+AR71+AR70</f>
        <v/>
      </c>
      <c r="AS72" s="13">
        <f>AR72+AS71+AS70</f>
        <v/>
      </c>
      <c r="AT72" s="13">
        <f>AS72+AT71+AT70</f>
        <v/>
      </c>
      <c r="AU72" s="13">
        <f>AT72+AU71+AU70</f>
        <v/>
      </c>
      <c r="AV72" s="13">
        <f>AU72+AV71+AV70</f>
        <v/>
      </c>
      <c r="AW72" s="13">
        <f>AV72+AW71+AW70</f>
        <v/>
      </c>
      <c r="AX72" s="13">
        <f>AW72+AX71+AX70</f>
        <v/>
      </c>
      <c r="AY72" s="13">
        <f>AX72+AY71+AY70</f>
        <v/>
      </c>
      <c r="AZ72" s="13">
        <f>AY72+AZ71+AZ70</f>
        <v/>
      </c>
      <c r="BA72" s="13">
        <f>AZ72+BA71+BA70</f>
        <v/>
      </c>
      <c r="BB72" s="13">
        <f>BA72+BB71+BB70</f>
        <v/>
      </c>
      <c r="BC72" s="13">
        <f>BB72+BC71+BC70</f>
        <v/>
      </c>
      <c r="BD72" s="13">
        <f>BC72+BD71+BD70</f>
        <v/>
      </c>
      <c r="BE72" s="13">
        <f>BD72+BE71+BE70</f>
        <v/>
      </c>
      <c r="BF72" s="13">
        <f>BE72+BF71+BF70</f>
        <v/>
      </c>
      <c r="BG72" s="13">
        <f>BF72+BG71+BG70</f>
        <v/>
      </c>
      <c r="BH72" s="13">
        <f>BG72+BH71+BH70</f>
        <v/>
      </c>
      <c r="BI72" s="13">
        <f>BH72+BI71+BI70</f>
        <v/>
      </c>
      <c r="BJ72" s="13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3">
        <f>SUM(J73:BJ73)</f>
        <v/>
      </c>
      <c r="J73" s="13">
        <f>J47+J55</f>
        <v/>
      </c>
      <c r="K73" s="13">
        <f>K47+K55</f>
        <v/>
      </c>
      <c r="L73" s="13">
        <f>L47+L55</f>
        <v/>
      </c>
      <c r="M73" s="13">
        <f>M47+M55</f>
        <v/>
      </c>
      <c r="N73" s="13">
        <f>N47+N55</f>
        <v/>
      </c>
      <c r="O73" s="13">
        <f>O47+O55</f>
        <v/>
      </c>
      <c r="P73" s="13">
        <f>P47+P55</f>
        <v/>
      </c>
      <c r="Q73" s="13">
        <f>Q47+Q55</f>
        <v/>
      </c>
      <c r="R73" s="13">
        <f>R47+R55</f>
        <v/>
      </c>
      <c r="S73" s="13">
        <f>S47+S55</f>
        <v/>
      </c>
      <c r="T73" s="13">
        <f>T47+T55</f>
        <v/>
      </c>
      <c r="U73" s="13">
        <f>U47+U55</f>
        <v/>
      </c>
      <c r="V73" s="13">
        <f>V47+V55</f>
        <v/>
      </c>
      <c r="W73" s="13">
        <f>W47+W55</f>
        <v/>
      </c>
      <c r="X73" s="13">
        <f>X47+X55</f>
        <v/>
      </c>
      <c r="Y73" s="13">
        <f>Y47+Y55</f>
        <v/>
      </c>
      <c r="Z73" s="13">
        <f>Z47+Z55</f>
        <v/>
      </c>
      <c r="AA73" s="13">
        <f>AA47+AA55</f>
        <v/>
      </c>
      <c r="AB73" s="13">
        <f>AB47+AB55</f>
        <v/>
      </c>
      <c r="AC73" s="13">
        <f>AC47+AC55</f>
        <v/>
      </c>
      <c r="AD73" s="13">
        <f>AD47+AD55</f>
        <v/>
      </c>
      <c r="AE73" s="13">
        <f>AE47+AE55</f>
        <v/>
      </c>
      <c r="AF73" s="13">
        <f>AF47+AF55</f>
        <v/>
      </c>
      <c r="AG73" s="13">
        <f>AG47+AG55</f>
        <v/>
      </c>
      <c r="AH73" s="13">
        <f>AH47+AH55</f>
        <v/>
      </c>
      <c r="AI73" s="13">
        <f>AI47+AI55</f>
        <v/>
      </c>
      <c r="AJ73" s="13">
        <f>AJ47+AJ55</f>
        <v/>
      </c>
      <c r="AK73" s="13">
        <f>AK47+AK55</f>
        <v/>
      </c>
      <c r="AL73" s="13">
        <f>AL47+AL55</f>
        <v/>
      </c>
      <c r="AM73" s="13">
        <f>AM47+AM55</f>
        <v/>
      </c>
      <c r="AN73" s="13">
        <f>AN47+AN55</f>
        <v/>
      </c>
      <c r="AO73" s="13">
        <f>AO47+AO55</f>
        <v/>
      </c>
      <c r="AP73" s="13">
        <f>AP47+AP55</f>
        <v/>
      </c>
      <c r="AQ73" s="13">
        <f>AQ47+AQ55</f>
        <v/>
      </c>
      <c r="AR73" s="13">
        <f>AR47+AR55</f>
        <v/>
      </c>
      <c r="AS73" s="13">
        <f>AS47+AS55</f>
        <v/>
      </c>
      <c r="AT73" s="13">
        <f>AT47+AT55</f>
        <v/>
      </c>
      <c r="AU73" s="13">
        <f>AU47+AU55</f>
        <v/>
      </c>
      <c r="AV73" s="13">
        <f>AV47+AV55</f>
        <v/>
      </c>
      <c r="AW73" s="13">
        <f>AW47+AW55</f>
        <v/>
      </c>
      <c r="AX73" s="13">
        <f>AX47+AX55</f>
        <v/>
      </c>
      <c r="AY73" s="13">
        <f>AY47+AY55</f>
        <v/>
      </c>
      <c r="AZ73" s="13">
        <f>AZ47+AZ55</f>
        <v/>
      </c>
      <c r="BA73" s="13">
        <f>BA47+BA55</f>
        <v/>
      </c>
      <c r="BB73" s="13">
        <f>BB47+BB55</f>
        <v/>
      </c>
      <c r="BC73" s="13">
        <f>BC47+BC55</f>
        <v/>
      </c>
      <c r="BD73" s="13">
        <f>BD47+BD55</f>
        <v/>
      </c>
      <c r="BE73" s="13">
        <f>BE47+BE55</f>
        <v/>
      </c>
      <c r="BF73" s="13">
        <f>BF47+BF55</f>
        <v/>
      </c>
      <c r="BG73" s="13">
        <f>BG47+BG55</f>
        <v/>
      </c>
      <c r="BH73" s="13">
        <f>BH47+BH55</f>
        <v/>
      </c>
      <c r="BI73" s="13">
        <f>BI47+BI55</f>
        <v/>
      </c>
      <c r="BJ73" s="13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3">
        <f>SUM(J74:BJ74)</f>
        <v/>
      </c>
      <c r="J74" s="13">
        <f>J33+J34+J35+J36+J37+J38+J39+J40+J41+J42+J43+J48+Construction!J14*Construction!J38</f>
        <v/>
      </c>
      <c r="K74" s="13">
        <f>K33+K34+K35+K36+K37+K38+K39+K40+K41+K42+K43+K48+Construction!K14*Construction!K38</f>
        <v/>
      </c>
      <c r="L74" s="13">
        <f>L33+L34+L35+L36+L37+L38+L39+L40+L41+L42+L43+L48+Construction!L14*Construction!L38</f>
        <v/>
      </c>
      <c r="M74" s="13">
        <f>M33+M34+M35+M36+M37+M38+M39+M40+M41+M42+M43+M48+Construction!M14*Construction!M38</f>
        <v/>
      </c>
      <c r="N74" s="13">
        <f>N33+N34+N35+N36+N37+N38+N39+N40+N41+N42+N43+N48+Construction!N14*Construction!N38</f>
        <v/>
      </c>
      <c r="O74" s="13">
        <f>O33+O34+O35+O36+O37+O38+O39+O40+O41+O42+O43+O48+Construction!O14*Construction!O38</f>
        <v/>
      </c>
      <c r="P74" s="13">
        <f>P33+P34+P35+P36+P37+P38+P39+P40+P41+P42+P43+P48+Construction!P14*Construction!P38</f>
        <v/>
      </c>
      <c r="Q74" s="13">
        <f>Q33+Q34+Q35+Q36+Q37+Q38+Q39+Q40+Q41+Q42+Q43+Q48+Construction!Q14*Construction!Q38</f>
        <v/>
      </c>
      <c r="R74" s="13">
        <f>R33+R34+R35+R36+R37+R38+R39+R40+R41+R42+R43+R48+Construction!R14*Construction!R38</f>
        <v/>
      </c>
      <c r="S74" s="13">
        <f>S33+S34+S35+S36+S37+S38+S39+S40+S41+S42+S43+S48+Construction!S14*Construction!S38</f>
        <v/>
      </c>
      <c r="T74" s="13">
        <f>T33+T34+T35+T36+T37+T38+T39+T40+T41+T42+T43+T48+Construction!T14*Construction!T38</f>
        <v/>
      </c>
      <c r="U74" s="13">
        <f>U33+U34+U35+U36+U37+U38+U39+U40+U41+U42+U43+U48+Construction!U14*Construction!U38</f>
        <v/>
      </c>
      <c r="V74" s="13">
        <f>V33+V34+V35+V36+V37+V38+V39+V40+V41+V42+V43+V48+Construction!V14*Construction!V38</f>
        <v/>
      </c>
      <c r="W74" s="13">
        <f>W33+W34+W35+W36+W37+W38+W39+W40+W41+W42+W43+W48+Construction!W14*Construction!W38</f>
        <v/>
      </c>
      <c r="X74" s="13">
        <f>X33+X34+X35+X36+X37+X38+X39+X40+X41+X42+X43+X48+Construction!X14*Construction!X38</f>
        <v/>
      </c>
      <c r="Y74" s="13">
        <f>Y33+Y34+Y35+Y36+Y37+Y38+Y39+Y40+Y41+Y42+Y43+Y48+Construction!Y14*Construction!Y38</f>
        <v/>
      </c>
      <c r="Z74" s="13">
        <f>Z33+Z34+Z35+Z36+Z37+Z38+Z39+Z40+Z41+Z42+Z43+Z48+Construction!Z14*Construction!Z38</f>
        <v/>
      </c>
      <c r="AA74" s="13">
        <f>AA33+AA34+AA35+AA36+AA37+AA38+AA39+AA40+AA41+AA42+AA43+AA48+Construction!AA14*Construction!AA38</f>
        <v/>
      </c>
      <c r="AB74" s="13">
        <f>AB33+AB34+AB35+AB36+AB37+AB38+AB39+AB40+AB41+AB42+AB43+AB48+Construction!AB14*Construction!AB38</f>
        <v/>
      </c>
      <c r="AC74" s="13">
        <f>AC33+AC34+AC35+AC36+AC37+AC38+AC39+AC40+AC41+AC42+AC43+AC48+Construction!AC14*Construction!AC38</f>
        <v/>
      </c>
      <c r="AD74" s="13">
        <f>AD33+AD34+AD35+AD36+AD37+AD38+AD39+AD40+AD41+AD42+AD43+AD48+Construction!AD14*Construction!AD38</f>
        <v/>
      </c>
      <c r="AE74" s="13">
        <f>AE33+AE34+AE35+AE36+AE37+AE38+AE39+AE40+AE41+AE42+AE43+AE48+Construction!AE14*Construction!AE38</f>
        <v/>
      </c>
      <c r="AF74" s="13">
        <f>AF33+AF34+AF35+AF36+AF37+AF38+AF39+AF40+AF41+AF42+AF43+AF48+Construction!AF14*Construction!AF38</f>
        <v/>
      </c>
      <c r="AG74" s="13">
        <f>AG33+AG34+AG35+AG36+AG37+AG38+AG39+AG40+AG41+AG42+AG43+AG48+Construction!AG14*Construction!AG38</f>
        <v/>
      </c>
      <c r="AH74" s="13">
        <f>AH33+AH34+AH35+AH36+AH37+AH38+AH39+AH40+AH41+AH42+AH43+AH48+Construction!AH14*Construction!AH38</f>
        <v/>
      </c>
      <c r="AI74" s="13">
        <f>AI33+AI34+AI35+AI36+AI37+AI38+AI39+AI40+AI41+AI42+AI43+AI48+Construction!AI14*Construction!AI38</f>
        <v/>
      </c>
      <c r="AJ74" s="13">
        <f>AJ33+AJ34+AJ35+AJ36+AJ37+AJ38+AJ39+AJ40+AJ41+AJ42+AJ43+AJ48+Construction!AJ14*Construction!AJ38</f>
        <v/>
      </c>
      <c r="AK74" s="13">
        <f>AK33+AK34+AK35+AK36+AK37+AK38+AK39+AK40+AK41+AK42+AK43+AK48+Construction!AK14*Construction!AK38</f>
        <v/>
      </c>
      <c r="AL74" s="13">
        <f>AL33+AL34+AL35+AL36+AL37+AL38+AL39+AL40+AL41+AL42+AL43+AL48+Construction!AL14*Construction!AL38</f>
        <v/>
      </c>
      <c r="AM74" s="13">
        <f>AM33+AM34+AM35+AM36+AM37+AM38+AM39+AM40+AM41+AM42+AM43+AM48+Construction!AM14*Construction!AM38</f>
        <v/>
      </c>
      <c r="AN74" s="13">
        <f>AN33+AN34+AN35+AN36+AN37+AN38+AN39+AN40+AN41+AN42+AN43+AN48+Construction!AN14*Construction!AN38</f>
        <v/>
      </c>
      <c r="AO74" s="13">
        <f>AO33+AO34+AO35+AO36+AO37+AO38+AO39+AO40+AO41+AO42+AO43+AO48+Construction!AO14*Construction!AO38</f>
        <v/>
      </c>
      <c r="AP74" s="13">
        <f>AP33+AP34+AP35+AP36+AP37+AP38+AP39+AP40+AP41+AP42+AP43+AP48+Construction!AP14*Construction!AP38</f>
        <v/>
      </c>
      <c r="AQ74" s="13">
        <f>AQ33+AQ34+AQ35+AQ36+AQ37+AQ38+AQ39+AQ40+AQ41+AQ42+AQ43+AQ48+Construction!AQ14*Construction!AQ38</f>
        <v/>
      </c>
      <c r="AR74" s="13">
        <f>AR33+AR34+AR35+AR36+AR37+AR38+AR39+AR40+AR41+AR42+AR43+AR48+Construction!AR14*Construction!AR38</f>
        <v/>
      </c>
      <c r="AS74" s="13">
        <f>AS33+AS34+AS35+AS36+AS37+AS38+AS39+AS40+AS41+AS42+AS43+AS48+Construction!AS14*Construction!AS38</f>
        <v/>
      </c>
      <c r="AT74" s="13">
        <f>AT33+AT34+AT35+AT36+AT37+AT38+AT39+AT40+AT41+AT42+AT43+AT48+Construction!AT14*Construction!AT38</f>
        <v/>
      </c>
      <c r="AU74" s="13">
        <f>AU33+AU34+AU35+AU36+AU37+AU38+AU39+AU40+AU41+AU42+AU43+AU48+Construction!AU14*Construction!AU38</f>
        <v/>
      </c>
      <c r="AV74" s="13">
        <f>AV33+AV34+AV35+AV36+AV37+AV38+AV39+AV40+AV41+AV42+AV43+AV48+Construction!AV14*Construction!AV38</f>
        <v/>
      </c>
      <c r="AW74" s="13">
        <f>AW33+AW34+AW35+AW36+AW37+AW38+AW39+AW40+AW41+AW42+AW43+AW48+Construction!AW14*Construction!AW38</f>
        <v/>
      </c>
      <c r="AX74" s="13">
        <f>AX33+AX34+AX35+AX36+AX37+AX38+AX39+AX40+AX41+AX42+AX43+AX48+Construction!AX14*Construction!AX38</f>
        <v/>
      </c>
      <c r="AY74" s="13">
        <f>AY33+AY34+AY35+AY36+AY37+AY38+AY39+AY40+AY41+AY42+AY43+AY48+Construction!AY14*Construction!AY38</f>
        <v/>
      </c>
      <c r="AZ74" s="13">
        <f>AZ33+AZ34+AZ35+AZ36+AZ37+AZ38+AZ39+AZ40+AZ41+AZ42+AZ43+AZ48+Construction!AZ14*Construction!AZ38</f>
        <v/>
      </c>
      <c r="BA74" s="13">
        <f>BA33+BA34+BA35+BA36+BA37+BA38+BA39+BA40+BA41+BA42+BA43+BA48+Construction!BA14*Construction!BA38</f>
        <v/>
      </c>
      <c r="BB74" s="13">
        <f>BB33+BB34+BB35+BB36+BB37+BB38+BB39+BB40+BB41+BB42+BB43+BB48+Construction!BB14*Construction!BB38</f>
        <v/>
      </c>
      <c r="BC74" s="13">
        <f>BC33+BC34+BC35+BC36+BC37+BC38+BC39+BC40+BC41+BC42+BC43+BC48+Construction!BC14*Construction!BC38</f>
        <v/>
      </c>
      <c r="BD74" s="13">
        <f>BD33+BD34+BD35+BD36+BD37+BD38+BD39+BD40+BD41+BD42+BD43+BD48+Construction!BD14*Construction!BD38</f>
        <v/>
      </c>
      <c r="BE74" s="13">
        <f>BE33+BE34+BE35+BE36+BE37+BE38+BE39+BE40+BE41+BE42+BE43+BE48+Construction!BE14*Construction!BE38</f>
        <v/>
      </c>
      <c r="BF74" s="13">
        <f>BF33+BF34+BF35+BF36+BF37+BF38+BF39+BF40+BF41+BF42+BF43+BF48+Construction!BF14*Construction!BF38</f>
        <v/>
      </c>
      <c r="BG74" s="13">
        <f>BG33+BG34+BG35+BG36+BG37+BG38+BG39+BG40+BG41+BG42+BG43+BG48+Construction!BG14*Construction!BG38</f>
        <v/>
      </c>
      <c r="BH74" s="13">
        <f>BH33+BH34+BH35+BH36+BH37+BH38+BH39+BH40+BH41+BH42+BH43+BH48+Construction!BH14*Construction!BH38</f>
        <v/>
      </c>
      <c r="BI74" s="13">
        <f>BI33+BI34+BI35+BI36+BI37+BI38+BI39+BI40+BI41+BI42+BI43+BI48+Construction!BI14*Construction!BI38</f>
        <v/>
      </c>
      <c r="BJ74" s="13">
        <f>BJ33+BJ34+BJ35+BJ36+BJ37+BJ38+BJ39+BJ40+BJ41+BJ42+BJ43+BJ48+Construction!BJ14*Construction!BJ38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7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7">
        <f>SUM(Funding!$J$49:$BJ$49)-SUM(Funding!$J$44:$BJ$44)-SUM(Construction!$J$28:$BJ$28)+SUM(Funding!$J$71:$BJ$71)-SUM(Funding!$J$52:$BJ$52)-Inputs!$F$48*Inputs!$F$267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3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3">
        <f>IF(Time!J22&lt;Inputs!$F$207,Inputs!$F$82,IF(Time!J22&lt;Inputs!$F$208,Inputs!$F$83,Inputs!$F$84))</f>
        <v/>
      </c>
      <c r="K8" s="13">
        <f>IF(Time!K22&lt;Inputs!$F$207,Inputs!$F$82,IF(Time!K22&lt;Inputs!$F$208,Inputs!$F$83,Inputs!$F$84))</f>
        <v/>
      </c>
      <c r="L8" s="13">
        <f>IF(Time!L22&lt;Inputs!$F$207,Inputs!$F$82,IF(Time!L22&lt;Inputs!$F$208,Inputs!$F$83,Inputs!$F$84))</f>
        <v/>
      </c>
      <c r="M8" s="13">
        <f>IF(Time!M22&lt;Inputs!$F$207,Inputs!$F$82,IF(Time!M22&lt;Inputs!$F$208,Inputs!$F$83,Inputs!$F$84))</f>
        <v/>
      </c>
      <c r="N8" s="13">
        <f>IF(Time!N22&lt;Inputs!$F$207,Inputs!$F$82,IF(Time!N22&lt;Inputs!$F$208,Inputs!$F$83,Inputs!$F$84))</f>
        <v/>
      </c>
      <c r="O8" s="13">
        <f>IF(Time!O22&lt;Inputs!$F$207,Inputs!$F$82,IF(Time!O22&lt;Inputs!$F$208,Inputs!$F$83,Inputs!$F$84))</f>
        <v/>
      </c>
      <c r="P8" s="13">
        <f>IF(Time!P22&lt;Inputs!$F$207,Inputs!$F$82,IF(Time!P22&lt;Inputs!$F$208,Inputs!$F$83,Inputs!$F$84))</f>
        <v/>
      </c>
      <c r="Q8" s="13">
        <f>IF(Time!Q22&lt;Inputs!$F$207,Inputs!$F$82,IF(Time!Q22&lt;Inputs!$F$208,Inputs!$F$83,Inputs!$F$84))</f>
        <v/>
      </c>
      <c r="R8" s="13">
        <f>IF(Time!R22&lt;Inputs!$F$207,Inputs!$F$82,IF(Time!R22&lt;Inputs!$F$208,Inputs!$F$83,Inputs!$F$84))</f>
        <v/>
      </c>
      <c r="S8" s="13">
        <f>IF(Time!S22&lt;Inputs!$F$207,Inputs!$F$82,IF(Time!S22&lt;Inputs!$F$208,Inputs!$F$83,Inputs!$F$84))</f>
        <v/>
      </c>
      <c r="T8" s="13">
        <f>IF(Time!T22&lt;Inputs!$F$207,Inputs!$F$82,IF(Time!T22&lt;Inputs!$F$208,Inputs!$F$83,Inputs!$F$84))</f>
        <v/>
      </c>
      <c r="U8" s="13">
        <f>IF(Time!U22&lt;Inputs!$F$207,Inputs!$F$82,IF(Time!U22&lt;Inputs!$F$208,Inputs!$F$83,Inputs!$F$84))</f>
        <v/>
      </c>
      <c r="V8" s="13">
        <f>IF(Time!V22&lt;Inputs!$F$207,Inputs!$F$82,IF(Time!V22&lt;Inputs!$F$208,Inputs!$F$83,Inputs!$F$84))</f>
        <v/>
      </c>
      <c r="W8" s="13">
        <f>IF(Time!W22&lt;Inputs!$F$207,Inputs!$F$82,IF(Time!W22&lt;Inputs!$F$208,Inputs!$F$83,Inputs!$F$84))</f>
        <v/>
      </c>
      <c r="X8" s="13">
        <f>IF(Time!X22&lt;Inputs!$F$207,Inputs!$F$82,IF(Time!X22&lt;Inputs!$F$208,Inputs!$F$83,Inputs!$F$84))</f>
        <v/>
      </c>
      <c r="Y8" s="13">
        <f>IF(Time!Y22&lt;Inputs!$F$207,Inputs!$F$82,IF(Time!Y22&lt;Inputs!$F$208,Inputs!$F$83,Inputs!$F$84))</f>
        <v/>
      </c>
      <c r="Z8" s="13">
        <f>IF(Time!Z22&lt;Inputs!$F$207,Inputs!$F$82,IF(Time!Z22&lt;Inputs!$F$208,Inputs!$F$83,Inputs!$F$84))</f>
        <v/>
      </c>
      <c r="AA8" s="13">
        <f>IF(Time!AA22&lt;Inputs!$F$207,Inputs!$F$82,IF(Time!AA22&lt;Inputs!$F$208,Inputs!$F$83,Inputs!$F$84))</f>
        <v/>
      </c>
      <c r="AB8" s="13">
        <f>IF(Time!AB22&lt;Inputs!$F$207,Inputs!$F$82,IF(Time!AB22&lt;Inputs!$F$208,Inputs!$F$83,Inputs!$F$84))</f>
        <v/>
      </c>
      <c r="AC8" s="13">
        <f>IF(Time!AC22&lt;Inputs!$F$207,Inputs!$F$82,IF(Time!AC22&lt;Inputs!$F$208,Inputs!$F$83,Inputs!$F$84))</f>
        <v/>
      </c>
      <c r="AD8" s="13">
        <f>IF(Time!AD22&lt;Inputs!$F$207,Inputs!$F$82,IF(Time!AD22&lt;Inputs!$F$208,Inputs!$F$83,Inputs!$F$84))</f>
        <v/>
      </c>
      <c r="AE8" s="13">
        <f>IF(Time!AE22&lt;Inputs!$F$207,Inputs!$F$82,IF(Time!AE22&lt;Inputs!$F$208,Inputs!$F$83,Inputs!$F$84))</f>
        <v/>
      </c>
      <c r="AF8" s="13">
        <f>IF(Time!AF22&lt;Inputs!$F$207,Inputs!$F$82,IF(Time!AF22&lt;Inputs!$F$208,Inputs!$F$83,Inputs!$F$84))</f>
        <v/>
      </c>
      <c r="AG8" s="13">
        <f>IF(Time!AG22&lt;Inputs!$F$207,Inputs!$F$82,IF(Time!AG22&lt;Inputs!$F$208,Inputs!$F$83,Inputs!$F$84))</f>
        <v/>
      </c>
      <c r="AH8" s="13">
        <f>IF(Time!AH22&lt;Inputs!$F$207,Inputs!$F$82,IF(Time!AH22&lt;Inputs!$F$208,Inputs!$F$83,Inputs!$F$84))</f>
        <v/>
      </c>
      <c r="AI8" s="13">
        <f>IF(Time!AI22&lt;Inputs!$F$207,Inputs!$F$82,IF(Time!AI22&lt;Inputs!$F$208,Inputs!$F$83,Inputs!$F$84))</f>
        <v/>
      </c>
      <c r="AJ8" s="13">
        <f>IF(Time!AJ22&lt;Inputs!$F$207,Inputs!$F$82,IF(Time!AJ22&lt;Inputs!$F$208,Inputs!$F$83,Inputs!$F$84))</f>
        <v/>
      </c>
      <c r="AK8" s="13">
        <f>IF(Time!AK22&lt;Inputs!$F$207,Inputs!$F$82,IF(Time!AK22&lt;Inputs!$F$208,Inputs!$F$83,Inputs!$F$84))</f>
        <v/>
      </c>
      <c r="AL8" s="13">
        <f>IF(Time!AL22&lt;Inputs!$F$207,Inputs!$F$82,IF(Time!AL22&lt;Inputs!$F$208,Inputs!$F$83,Inputs!$F$84))</f>
        <v/>
      </c>
      <c r="AM8" s="13">
        <f>IF(Time!AM22&lt;Inputs!$F$207,Inputs!$F$82,IF(Time!AM22&lt;Inputs!$F$208,Inputs!$F$83,Inputs!$F$84))</f>
        <v/>
      </c>
      <c r="AN8" s="13">
        <f>IF(Time!AN22&lt;Inputs!$F$207,Inputs!$F$82,IF(Time!AN22&lt;Inputs!$F$208,Inputs!$F$83,Inputs!$F$84))</f>
        <v/>
      </c>
      <c r="AO8" s="13">
        <f>IF(Time!AO22&lt;Inputs!$F$207,Inputs!$F$82,IF(Time!AO22&lt;Inputs!$F$208,Inputs!$F$83,Inputs!$F$84))</f>
        <v/>
      </c>
      <c r="AP8" s="13">
        <f>IF(Time!AP22&lt;Inputs!$F$207,Inputs!$F$82,IF(Time!AP22&lt;Inputs!$F$208,Inputs!$F$83,Inputs!$F$84))</f>
        <v/>
      </c>
      <c r="AQ8" s="13">
        <f>IF(Time!AQ22&lt;Inputs!$F$207,Inputs!$F$82,IF(Time!AQ22&lt;Inputs!$F$208,Inputs!$F$83,Inputs!$F$84))</f>
        <v/>
      </c>
      <c r="AR8" s="13">
        <f>IF(Time!AR22&lt;Inputs!$F$207,Inputs!$F$82,IF(Time!AR22&lt;Inputs!$F$208,Inputs!$F$83,Inputs!$F$84))</f>
        <v/>
      </c>
      <c r="AS8" s="13">
        <f>IF(Time!AS22&lt;Inputs!$F$207,Inputs!$F$82,IF(Time!AS22&lt;Inputs!$F$208,Inputs!$F$83,Inputs!$F$84))</f>
        <v/>
      </c>
      <c r="AT8" s="13">
        <f>IF(Time!AT22&lt;Inputs!$F$207,Inputs!$F$82,IF(Time!AT22&lt;Inputs!$F$208,Inputs!$F$83,Inputs!$F$84))</f>
        <v/>
      </c>
      <c r="AU8" s="13">
        <f>IF(Time!AU22&lt;Inputs!$F$207,Inputs!$F$82,IF(Time!AU22&lt;Inputs!$F$208,Inputs!$F$83,Inputs!$F$84))</f>
        <v/>
      </c>
      <c r="AV8" s="13">
        <f>IF(Time!AV22&lt;Inputs!$F$207,Inputs!$F$82,IF(Time!AV22&lt;Inputs!$F$208,Inputs!$F$83,Inputs!$F$84))</f>
        <v/>
      </c>
      <c r="AW8" s="13">
        <f>IF(Time!AW22&lt;Inputs!$F$207,Inputs!$F$82,IF(Time!AW22&lt;Inputs!$F$208,Inputs!$F$83,Inputs!$F$84))</f>
        <v/>
      </c>
      <c r="AX8" s="13">
        <f>IF(Time!AX22&lt;Inputs!$F$207,Inputs!$F$82,IF(Time!AX22&lt;Inputs!$F$208,Inputs!$F$83,Inputs!$F$84))</f>
        <v/>
      </c>
      <c r="AY8" s="13">
        <f>IF(Time!AY22&lt;Inputs!$F$207,Inputs!$F$82,IF(Time!AY22&lt;Inputs!$F$208,Inputs!$F$83,Inputs!$F$84))</f>
        <v/>
      </c>
      <c r="AZ8" s="13">
        <f>IF(Time!AZ22&lt;Inputs!$F$207,Inputs!$F$82,IF(Time!AZ22&lt;Inputs!$F$208,Inputs!$F$83,Inputs!$F$84))</f>
        <v/>
      </c>
      <c r="BA8" s="13">
        <f>IF(Time!BA22&lt;Inputs!$F$207,Inputs!$F$82,IF(Time!BA22&lt;Inputs!$F$208,Inputs!$F$83,Inputs!$F$84))</f>
        <v/>
      </c>
      <c r="BB8" s="13">
        <f>IF(Time!BB22&lt;Inputs!$F$207,Inputs!$F$82,IF(Time!BB22&lt;Inputs!$F$208,Inputs!$F$83,Inputs!$F$84))</f>
        <v/>
      </c>
      <c r="BC8" s="13">
        <f>IF(Time!BC22&lt;Inputs!$F$207,Inputs!$F$82,IF(Time!BC22&lt;Inputs!$F$208,Inputs!$F$83,Inputs!$F$84))</f>
        <v/>
      </c>
      <c r="BD8" s="13">
        <f>IF(Time!BD22&lt;Inputs!$F$207,Inputs!$F$82,IF(Time!BD22&lt;Inputs!$F$208,Inputs!$F$83,Inputs!$F$84))</f>
        <v/>
      </c>
      <c r="BE8" s="13">
        <f>IF(Time!BE22&lt;Inputs!$F$207,Inputs!$F$82,IF(Time!BE22&lt;Inputs!$F$208,Inputs!$F$83,Inputs!$F$84))</f>
        <v/>
      </c>
      <c r="BF8" s="13">
        <f>IF(Time!BF22&lt;Inputs!$F$207,Inputs!$F$82,IF(Time!BF22&lt;Inputs!$F$208,Inputs!$F$83,Inputs!$F$84))</f>
        <v/>
      </c>
      <c r="BG8" s="13">
        <f>IF(Time!BG22&lt;Inputs!$F$207,Inputs!$F$82,IF(Time!BG22&lt;Inputs!$F$208,Inputs!$F$83,Inputs!$F$84))</f>
        <v/>
      </c>
      <c r="BH8" s="13">
        <f>IF(Time!BH22&lt;Inputs!$F$207,Inputs!$F$82,IF(Time!BH22&lt;Inputs!$F$208,Inputs!$F$83,Inputs!$F$84))</f>
        <v/>
      </c>
      <c r="BI8" s="13">
        <f>IF(Time!BI22&lt;Inputs!$F$207,Inputs!$F$82,IF(Time!BI22&lt;Inputs!$F$208,Inputs!$F$83,Inputs!$F$84))</f>
        <v/>
      </c>
      <c r="BJ8" s="13">
        <f>IF(Time!BJ22&lt;Inputs!$F$207,Inputs!$F$82,IF(Time!BJ22&lt;Inputs!$F$208,Inputs!$F$83,Inputs!$F$84))</f>
        <v/>
      </c>
      <c r="BK8" s="13">
        <f>IF(Time!BK22&lt;Inputs!$F$207,Inputs!$F$82,IF(Time!BK22&lt;Inputs!$F$208,Inputs!$F$83,Inputs!$F$84))</f>
        <v/>
      </c>
      <c r="BL8" s="13">
        <f>IF(Time!BL22&lt;Inputs!$F$207,Inputs!$F$82,IF(Time!BL22&lt;Inputs!$F$208,Inputs!$F$83,Inputs!$F$84))</f>
        <v/>
      </c>
      <c r="BM8" s="13">
        <f>IF(Time!BM22&lt;Inputs!$F$207,Inputs!$F$82,IF(Time!BM22&lt;Inputs!$F$208,Inputs!$F$83,Inputs!$F$84))</f>
        <v/>
      </c>
      <c r="BN8" s="13">
        <f>IF(Time!BN22&lt;Inputs!$F$207,Inputs!$F$82,IF(Time!BN22&lt;Inputs!$F$208,Inputs!$F$83,Inputs!$F$84))</f>
        <v/>
      </c>
    </row>
    <row r="9">
      <c r="D9" t="inlineStr">
        <is>
          <t>Waiver margin uplift</t>
        </is>
      </c>
      <c r="E9" t="inlineStr">
        <is>
          <t>%</t>
        </is>
      </c>
      <c r="J9" s="13">
        <f>Time!J44*Inputs!$F$269</f>
        <v/>
      </c>
      <c r="K9" s="13">
        <f>Time!K44*Inputs!$F$269</f>
        <v/>
      </c>
      <c r="L9" s="13">
        <f>Time!L44*Inputs!$F$269</f>
        <v/>
      </c>
      <c r="M9" s="13">
        <f>Time!M44*Inputs!$F$269</f>
        <v/>
      </c>
      <c r="N9" s="13">
        <f>Time!N44*Inputs!$F$269</f>
        <v/>
      </c>
      <c r="O9" s="13">
        <f>Time!O44*Inputs!$F$269</f>
        <v/>
      </c>
      <c r="P9" s="13">
        <f>Time!P44*Inputs!$F$269</f>
        <v/>
      </c>
      <c r="Q9" s="13">
        <f>Time!Q44*Inputs!$F$269</f>
        <v/>
      </c>
      <c r="R9" s="13">
        <f>Time!R44*Inputs!$F$269</f>
        <v/>
      </c>
      <c r="S9" s="13">
        <f>Time!S44*Inputs!$F$269</f>
        <v/>
      </c>
      <c r="T9" s="13">
        <f>Time!T44*Inputs!$F$269</f>
        <v/>
      </c>
      <c r="U9" s="13">
        <f>Time!U44*Inputs!$F$269</f>
        <v/>
      </c>
      <c r="V9" s="13">
        <f>Time!V44*Inputs!$F$269</f>
        <v/>
      </c>
      <c r="W9" s="13">
        <f>Time!W44*Inputs!$F$269</f>
        <v/>
      </c>
      <c r="X9" s="13">
        <f>Time!X44*Inputs!$F$269</f>
        <v/>
      </c>
      <c r="Y9" s="13">
        <f>Time!Y44*Inputs!$F$269</f>
        <v/>
      </c>
      <c r="Z9" s="13">
        <f>Time!Z44*Inputs!$F$269</f>
        <v/>
      </c>
      <c r="AA9" s="13">
        <f>Time!AA44*Inputs!$F$269</f>
        <v/>
      </c>
      <c r="AB9" s="13">
        <f>Time!AB44*Inputs!$F$269</f>
        <v/>
      </c>
      <c r="AC9" s="13">
        <f>Time!AC44*Inputs!$F$269</f>
        <v/>
      </c>
      <c r="AD9" s="13">
        <f>Time!AD44*Inputs!$F$269</f>
        <v/>
      </c>
      <c r="AE9" s="13">
        <f>Time!AE44*Inputs!$F$269</f>
        <v/>
      </c>
      <c r="AF9" s="13">
        <f>Time!AF44*Inputs!$F$269</f>
        <v/>
      </c>
      <c r="AG9" s="13">
        <f>Time!AG44*Inputs!$F$269</f>
        <v/>
      </c>
      <c r="AH9" s="13">
        <f>Time!AH44*Inputs!$F$269</f>
        <v/>
      </c>
      <c r="AI9" s="13">
        <f>Time!AI44*Inputs!$F$269</f>
        <v/>
      </c>
      <c r="AJ9" s="13">
        <f>Time!AJ44*Inputs!$F$269</f>
        <v/>
      </c>
      <c r="AK9" s="13">
        <f>Time!AK44*Inputs!$F$269</f>
        <v/>
      </c>
      <c r="AL9" s="13">
        <f>Time!AL44*Inputs!$F$269</f>
        <v/>
      </c>
      <c r="AM9" s="13">
        <f>Time!AM44*Inputs!$F$269</f>
        <v/>
      </c>
      <c r="AN9" s="13">
        <f>Time!AN44*Inputs!$F$269</f>
        <v/>
      </c>
      <c r="AO9" s="13">
        <f>Time!AO44*Inputs!$F$269</f>
        <v/>
      </c>
      <c r="AP9" s="13">
        <f>Time!AP44*Inputs!$F$269</f>
        <v/>
      </c>
      <c r="AQ9" s="13">
        <f>Time!AQ44*Inputs!$F$269</f>
        <v/>
      </c>
      <c r="AR9" s="13">
        <f>Time!AR44*Inputs!$F$269</f>
        <v/>
      </c>
      <c r="AS9" s="13">
        <f>Time!AS44*Inputs!$F$269</f>
        <v/>
      </c>
      <c r="AT9" s="13">
        <f>Time!AT44*Inputs!$F$269</f>
        <v/>
      </c>
      <c r="AU9" s="13">
        <f>Time!AU44*Inputs!$F$269</f>
        <v/>
      </c>
      <c r="AV9" s="13">
        <f>Time!AV44*Inputs!$F$269</f>
        <v/>
      </c>
      <c r="AW9" s="13">
        <f>Time!AW44*Inputs!$F$269</f>
        <v/>
      </c>
      <c r="AX9" s="13">
        <f>Time!AX44*Inputs!$F$269</f>
        <v/>
      </c>
      <c r="AY9" s="13">
        <f>Time!AY44*Inputs!$F$269</f>
        <v/>
      </c>
      <c r="AZ9" s="13">
        <f>Time!AZ44*Inputs!$F$269</f>
        <v/>
      </c>
      <c r="BA9" s="13">
        <f>Time!BA44*Inputs!$F$269</f>
        <v/>
      </c>
      <c r="BB9" s="13">
        <f>Time!BB44*Inputs!$F$269</f>
        <v/>
      </c>
      <c r="BC9" s="13">
        <f>Time!BC44*Inputs!$F$269</f>
        <v/>
      </c>
      <c r="BD9" s="13">
        <f>Time!BD44*Inputs!$F$269</f>
        <v/>
      </c>
      <c r="BE9" s="13">
        <f>Time!BE44*Inputs!$F$269</f>
        <v/>
      </c>
      <c r="BF9" s="13">
        <f>Time!BF44*Inputs!$F$269</f>
        <v/>
      </c>
      <c r="BG9" s="13">
        <f>Time!BG44*Inputs!$F$269</f>
        <v/>
      </c>
      <c r="BH9" s="13">
        <f>Time!BH44*Inputs!$F$269</f>
        <v/>
      </c>
      <c r="BI9" s="13">
        <f>Time!BI44*Inputs!$F$269</f>
        <v/>
      </c>
      <c r="BJ9" s="13">
        <f>Time!BJ44*Inputs!$F$269</f>
        <v/>
      </c>
      <c r="BK9" s="13">
        <f>Time!BK44*Inputs!$F$269</f>
        <v/>
      </c>
      <c r="BL9" s="13">
        <f>Time!BL44*Inputs!$F$269</f>
        <v/>
      </c>
      <c r="BM9" s="13">
        <f>Time!BM44*Inputs!$F$269</f>
        <v/>
      </c>
      <c r="BN9" s="13">
        <f>Time!BN44*Inputs!$F$269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6">
        <f>(Operations!J9+Inputs!$F$79+J9)/100*0.5</f>
        <v/>
      </c>
      <c r="K10" s="16">
        <f>(Operations!K9+Inputs!$F$79+K9)/100*0.5</f>
        <v/>
      </c>
      <c r="L10" s="16">
        <f>(Operations!L9+Inputs!$F$79+L9)/100*0.5</f>
        <v/>
      </c>
      <c r="M10" s="16">
        <f>(Operations!M9+Inputs!$F$79+M9)/100*0.5</f>
        <v/>
      </c>
      <c r="N10" s="16">
        <f>(Operations!N9+Inputs!$F$79+N9)/100*0.5</f>
        <v/>
      </c>
      <c r="O10" s="16">
        <f>(Operations!O9+Inputs!$F$79+O9)/100*0.5</f>
        <v/>
      </c>
      <c r="P10" s="16">
        <f>(Operations!P9+Inputs!$F$79+P9)/100*0.5</f>
        <v/>
      </c>
      <c r="Q10" s="16">
        <f>(Operations!Q9+Inputs!$F$79+Q9)/100*0.5</f>
        <v/>
      </c>
      <c r="R10" s="16">
        <f>(Operations!R9+Inputs!$F$79+R9)/100*0.5</f>
        <v/>
      </c>
      <c r="S10" s="16">
        <f>(Operations!S9+Inputs!$F$79+S9)/100*0.5</f>
        <v/>
      </c>
      <c r="T10" s="16">
        <f>(Operations!T9+Inputs!$F$79+T9)/100*0.5</f>
        <v/>
      </c>
      <c r="U10" s="16">
        <f>(Operations!U9+Inputs!$F$79+U9)/100*0.5</f>
        <v/>
      </c>
      <c r="V10" s="16">
        <f>(Operations!V9+Inputs!$F$79+V9)/100*0.5</f>
        <v/>
      </c>
      <c r="W10" s="16">
        <f>(Operations!W9+Inputs!$F$79+W9)/100*0.5</f>
        <v/>
      </c>
      <c r="X10" s="16">
        <f>(Operations!X9+Inputs!$F$79+X9)/100*0.5</f>
        <v/>
      </c>
      <c r="Y10" s="16">
        <f>(Operations!Y9+Inputs!$F$79+Y9)/100*0.5</f>
        <v/>
      </c>
      <c r="Z10" s="16">
        <f>(Operations!Z9+Inputs!$F$79+Z9)/100*0.5</f>
        <v/>
      </c>
      <c r="AA10" s="16">
        <f>(Operations!AA9+Inputs!$F$79+AA9)/100*0.5</f>
        <v/>
      </c>
      <c r="AB10" s="16">
        <f>(Operations!AB9+Inputs!$F$79+AB9)/100*0.5</f>
        <v/>
      </c>
      <c r="AC10" s="16">
        <f>(Operations!AC9+Inputs!$F$79+AC9)/100*0.5</f>
        <v/>
      </c>
      <c r="AD10" s="16">
        <f>(Operations!AD9+Inputs!$F$79+AD9)/100*0.5</f>
        <v/>
      </c>
      <c r="AE10" s="16">
        <f>(Operations!AE9+Inputs!$F$79+AE9)/100*0.5</f>
        <v/>
      </c>
      <c r="AF10" s="16">
        <f>(Operations!AF9+Inputs!$F$79+AF9)/100*0.5</f>
        <v/>
      </c>
      <c r="AG10" s="16">
        <f>(Operations!AG9+Inputs!$F$79+AG9)/100*0.5</f>
        <v/>
      </c>
      <c r="AH10" s="16">
        <f>(Operations!AH9+Inputs!$F$79+AH9)/100*0.5</f>
        <v/>
      </c>
      <c r="AI10" s="16">
        <f>(Operations!AI9+Inputs!$F$79+AI9)/100*0.5</f>
        <v/>
      </c>
      <c r="AJ10" s="16">
        <f>(Operations!AJ9+Inputs!$F$79+AJ9)/100*0.5</f>
        <v/>
      </c>
      <c r="AK10" s="16">
        <f>(Operations!AK9+Inputs!$F$79+AK9)/100*0.5</f>
        <v/>
      </c>
      <c r="AL10" s="16">
        <f>(Operations!AL9+Inputs!$F$79+AL9)/100*0.5</f>
        <v/>
      </c>
      <c r="AM10" s="16">
        <f>(Operations!AM9+Inputs!$F$79+AM9)/100*0.5</f>
        <v/>
      </c>
      <c r="AN10" s="16">
        <f>(Operations!AN9+Inputs!$F$79+AN9)/100*0.5</f>
        <v/>
      </c>
      <c r="AO10" s="16">
        <f>(Operations!AO9+Inputs!$F$79+AO9)/100*0.5</f>
        <v/>
      </c>
      <c r="AP10" s="16">
        <f>(Operations!AP9+Inputs!$F$79+AP9)/100*0.5</f>
        <v/>
      </c>
      <c r="AQ10" s="16">
        <f>(Operations!AQ9+Inputs!$F$79+AQ9)/100*0.5</f>
        <v/>
      </c>
      <c r="AR10" s="16">
        <f>(Operations!AR9+Inputs!$F$79+AR9)/100*0.5</f>
        <v/>
      </c>
      <c r="AS10" s="16">
        <f>(Operations!AS9+Inputs!$F$79+AS9)/100*0.5</f>
        <v/>
      </c>
      <c r="AT10" s="16">
        <f>(Operations!AT9+Inputs!$F$79+AT9)/100*0.5</f>
        <v/>
      </c>
      <c r="AU10" s="16">
        <f>(Operations!AU9+Inputs!$F$79+AU9)/100*0.5</f>
        <v/>
      </c>
      <c r="AV10" s="16">
        <f>(Operations!AV9+Inputs!$F$79+AV9)/100*0.5</f>
        <v/>
      </c>
      <c r="AW10" s="16">
        <f>(Operations!AW9+Inputs!$F$79+AW9)/100*0.5</f>
        <v/>
      </c>
      <c r="AX10" s="16">
        <f>(Operations!AX9+Inputs!$F$79+AX9)/100*0.5</f>
        <v/>
      </c>
      <c r="AY10" s="16">
        <f>(Operations!AY9+Inputs!$F$79+AY9)/100*0.5</f>
        <v/>
      </c>
      <c r="AZ10" s="16">
        <f>(Operations!AZ9+Inputs!$F$79+AZ9)/100*0.5</f>
        <v/>
      </c>
      <c r="BA10" s="16">
        <f>(Operations!BA9+Inputs!$F$79+BA9)/100*0.5</f>
        <v/>
      </c>
      <c r="BB10" s="16">
        <f>(Operations!BB9+Inputs!$F$79+BB9)/100*0.5</f>
        <v/>
      </c>
      <c r="BC10" s="16">
        <f>(Operations!BC9+Inputs!$F$79+BC9)/100*0.5</f>
        <v/>
      </c>
      <c r="BD10" s="16">
        <f>(Operations!BD9+Inputs!$F$79+BD9)/100*0.5</f>
        <v/>
      </c>
      <c r="BE10" s="16">
        <f>(Operations!BE9+Inputs!$F$79+BE9)/100*0.5</f>
        <v/>
      </c>
      <c r="BF10" s="16">
        <f>(Operations!BF9+Inputs!$F$79+BF9)/100*0.5</f>
        <v/>
      </c>
      <c r="BG10" s="16">
        <f>(Operations!BG9+Inputs!$F$79+BG9)/100*0.5</f>
        <v/>
      </c>
      <c r="BH10" s="16">
        <f>(Operations!BH9+Inputs!$F$79+BH9)/100*0.5</f>
        <v/>
      </c>
      <c r="BI10" s="16">
        <f>(Operations!BI9+Inputs!$F$79+BI9)/100*0.5</f>
        <v/>
      </c>
      <c r="BJ10" s="16">
        <f>(Operations!BJ9+Inputs!$F$79+BJ9)/100*0.5</f>
        <v/>
      </c>
      <c r="BK10" s="16">
        <f>(Operations!BK9+Inputs!$F$79+BK9)/100*0.5</f>
        <v/>
      </c>
      <c r="BL10" s="16">
        <f>(Operations!BL9+Inputs!$F$79+BL9)/100*0.5</f>
        <v/>
      </c>
      <c r="BM10" s="16">
        <f>(Operations!BM9+Inputs!$F$79+BM9)/100*0.5</f>
        <v/>
      </c>
      <c r="BN10" s="16">
        <f>(Operations!BN9+Inputs!$F$79+BN9)/100*0.5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6">
        <f>(Operations!J9+Inputs!$F$80+J9)/100*0.5</f>
        <v/>
      </c>
      <c r="K11" s="16">
        <f>(Operations!K9+Inputs!$F$80+K9)/100*0.5</f>
        <v/>
      </c>
      <c r="L11" s="16">
        <f>(Operations!L9+Inputs!$F$80+L9)/100*0.5</f>
        <v/>
      </c>
      <c r="M11" s="16">
        <f>(Operations!M9+Inputs!$F$80+M9)/100*0.5</f>
        <v/>
      </c>
      <c r="N11" s="16">
        <f>(Operations!N9+Inputs!$F$80+N9)/100*0.5</f>
        <v/>
      </c>
      <c r="O11" s="16">
        <f>(Operations!O9+Inputs!$F$80+O9)/100*0.5</f>
        <v/>
      </c>
      <c r="P11" s="16">
        <f>(Operations!P9+Inputs!$F$80+P9)/100*0.5</f>
        <v/>
      </c>
      <c r="Q11" s="16">
        <f>(Operations!Q9+Inputs!$F$80+Q9)/100*0.5</f>
        <v/>
      </c>
      <c r="R11" s="16">
        <f>(Operations!R9+Inputs!$F$80+R9)/100*0.5</f>
        <v/>
      </c>
      <c r="S11" s="16">
        <f>(Operations!S9+Inputs!$F$80+S9)/100*0.5</f>
        <v/>
      </c>
      <c r="T11" s="16">
        <f>(Operations!T9+Inputs!$F$80+T9)/100*0.5</f>
        <v/>
      </c>
      <c r="U11" s="16">
        <f>(Operations!U9+Inputs!$F$80+U9)/100*0.5</f>
        <v/>
      </c>
      <c r="V11" s="16">
        <f>(Operations!V9+Inputs!$F$80+V9)/100*0.5</f>
        <v/>
      </c>
      <c r="W11" s="16">
        <f>(Operations!W9+Inputs!$F$80+W9)/100*0.5</f>
        <v/>
      </c>
      <c r="X11" s="16">
        <f>(Operations!X9+Inputs!$F$80+X9)/100*0.5</f>
        <v/>
      </c>
      <c r="Y11" s="16">
        <f>(Operations!Y9+Inputs!$F$80+Y9)/100*0.5</f>
        <v/>
      </c>
      <c r="Z11" s="16">
        <f>(Operations!Z9+Inputs!$F$80+Z9)/100*0.5</f>
        <v/>
      </c>
      <c r="AA11" s="16">
        <f>(Operations!AA9+Inputs!$F$80+AA9)/100*0.5</f>
        <v/>
      </c>
      <c r="AB11" s="16">
        <f>(Operations!AB9+Inputs!$F$80+AB9)/100*0.5</f>
        <v/>
      </c>
      <c r="AC11" s="16">
        <f>(Operations!AC9+Inputs!$F$80+AC9)/100*0.5</f>
        <v/>
      </c>
      <c r="AD11" s="16">
        <f>(Operations!AD9+Inputs!$F$80+AD9)/100*0.5</f>
        <v/>
      </c>
      <c r="AE11" s="16">
        <f>(Operations!AE9+Inputs!$F$80+AE9)/100*0.5</f>
        <v/>
      </c>
      <c r="AF11" s="16">
        <f>(Operations!AF9+Inputs!$F$80+AF9)/100*0.5</f>
        <v/>
      </c>
      <c r="AG11" s="16">
        <f>(Operations!AG9+Inputs!$F$80+AG9)/100*0.5</f>
        <v/>
      </c>
      <c r="AH11" s="16">
        <f>(Operations!AH9+Inputs!$F$80+AH9)/100*0.5</f>
        <v/>
      </c>
      <c r="AI11" s="16">
        <f>(Operations!AI9+Inputs!$F$80+AI9)/100*0.5</f>
        <v/>
      </c>
      <c r="AJ11" s="16">
        <f>(Operations!AJ9+Inputs!$F$80+AJ9)/100*0.5</f>
        <v/>
      </c>
      <c r="AK11" s="16">
        <f>(Operations!AK9+Inputs!$F$80+AK9)/100*0.5</f>
        <v/>
      </c>
      <c r="AL11" s="16">
        <f>(Operations!AL9+Inputs!$F$80+AL9)/100*0.5</f>
        <v/>
      </c>
      <c r="AM11" s="16">
        <f>(Operations!AM9+Inputs!$F$80+AM9)/100*0.5</f>
        <v/>
      </c>
      <c r="AN11" s="16">
        <f>(Operations!AN9+Inputs!$F$80+AN9)/100*0.5</f>
        <v/>
      </c>
      <c r="AO11" s="16">
        <f>(Operations!AO9+Inputs!$F$80+AO9)/100*0.5</f>
        <v/>
      </c>
      <c r="AP11" s="16">
        <f>(Operations!AP9+Inputs!$F$80+AP9)/100*0.5</f>
        <v/>
      </c>
      <c r="AQ11" s="16">
        <f>(Operations!AQ9+Inputs!$F$80+AQ9)/100*0.5</f>
        <v/>
      </c>
      <c r="AR11" s="16">
        <f>(Operations!AR9+Inputs!$F$80+AR9)/100*0.5</f>
        <v/>
      </c>
      <c r="AS11" s="16">
        <f>(Operations!AS9+Inputs!$F$80+AS9)/100*0.5</f>
        <v/>
      </c>
      <c r="AT11" s="16">
        <f>(Operations!AT9+Inputs!$F$80+AT9)/100*0.5</f>
        <v/>
      </c>
      <c r="AU11" s="16">
        <f>(Operations!AU9+Inputs!$F$80+AU9)/100*0.5</f>
        <v/>
      </c>
      <c r="AV11" s="16">
        <f>(Operations!AV9+Inputs!$F$80+AV9)/100*0.5</f>
        <v/>
      </c>
      <c r="AW11" s="16">
        <f>(Operations!AW9+Inputs!$F$80+AW9)/100*0.5</f>
        <v/>
      </c>
      <c r="AX11" s="16">
        <f>(Operations!AX9+Inputs!$F$80+AX9)/100*0.5</f>
        <v/>
      </c>
      <c r="AY11" s="16">
        <f>(Operations!AY9+Inputs!$F$80+AY9)/100*0.5</f>
        <v/>
      </c>
      <c r="AZ11" s="16">
        <f>(Operations!AZ9+Inputs!$F$80+AZ9)/100*0.5</f>
        <v/>
      </c>
      <c r="BA11" s="16">
        <f>(Operations!BA9+Inputs!$F$80+BA9)/100*0.5</f>
        <v/>
      </c>
      <c r="BB11" s="16">
        <f>(Operations!BB9+Inputs!$F$80+BB9)/100*0.5</f>
        <v/>
      </c>
      <c r="BC11" s="16">
        <f>(Operations!BC9+Inputs!$F$80+BC9)/100*0.5</f>
        <v/>
      </c>
      <c r="BD11" s="16">
        <f>(Operations!BD9+Inputs!$F$80+BD9)/100*0.5</f>
        <v/>
      </c>
      <c r="BE11" s="16">
        <f>(Operations!BE9+Inputs!$F$80+BE9)/100*0.5</f>
        <v/>
      </c>
      <c r="BF11" s="16">
        <f>(Operations!BF9+Inputs!$F$80+BF9)/100*0.5</f>
        <v/>
      </c>
      <c r="BG11" s="16">
        <f>(Operations!BG9+Inputs!$F$80+BG9)/100*0.5</f>
        <v/>
      </c>
      <c r="BH11" s="16">
        <f>(Operations!BH9+Inputs!$F$80+BH9)/100*0.5</f>
        <v/>
      </c>
      <c r="BI11" s="16">
        <f>(Operations!BI9+Inputs!$F$80+BI9)/100*0.5</f>
        <v/>
      </c>
      <c r="BJ11" s="16">
        <f>(Operations!BJ9+Inputs!$F$80+BJ9)/100*0.5</f>
        <v/>
      </c>
      <c r="BK11" s="16">
        <f>(Operations!BK9+Inputs!$F$80+BK9)/100*0.5</f>
        <v/>
      </c>
      <c r="BL11" s="16">
        <f>(Operations!BL9+Inputs!$F$80+BL9)/100*0.5</f>
        <v/>
      </c>
      <c r="BM11" s="16">
        <f>(Operations!BM9+Inputs!$F$80+BM9)/100*0.5</f>
        <v/>
      </c>
      <c r="BN11" s="16">
        <f>(Operations!BN9+Inputs!$F$80+BN9)/100*0.5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6">
        <f>(Operations!J9+Inputs!$F$81+J9)/100*0.5</f>
        <v/>
      </c>
      <c r="K12" s="16">
        <f>(Operations!K9+Inputs!$F$81+K9)/100*0.5</f>
        <v/>
      </c>
      <c r="L12" s="16">
        <f>(Operations!L9+Inputs!$F$81+L9)/100*0.5</f>
        <v/>
      </c>
      <c r="M12" s="16">
        <f>(Operations!M9+Inputs!$F$81+M9)/100*0.5</f>
        <v/>
      </c>
      <c r="N12" s="16">
        <f>(Operations!N9+Inputs!$F$81+N9)/100*0.5</f>
        <v/>
      </c>
      <c r="O12" s="16">
        <f>(Operations!O9+Inputs!$F$81+O9)/100*0.5</f>
        <v/>
      </c>
      <c r="P12" s="16">
        <f>(Operations!P9+Inputs!$F$81+P9)/100*0.5</f>
        <v/>
      </c>
      <c r="Q12" s="16">
        <f>(Operations!Q9+Inputs!$F$81+Q9)/100*0.5</f>
        <v/>
      </c>
      <c r="R12" s="16">
        <f>(Operations!R9+Inputs!$F$81+R9)/100*0.5</f>
        <v/>
      </c>
      <c r="S12" s="16">
        <f>(Operations!S9+Inputs!$F$81+S9)/100*0.5</f>
        <v/>
      </c>
      <c r="T12" s="16">
        <f>(Operations!T9+Inputs!$F$81+T9)/100*0.5</f>
        <v/>
      </c>
      <c r="U12" s="16">
        <f>(Operations!U9+Inputs!$F$81+U9)/100*0.5</f>
        <v/>
      </c>
      <c r="V12" s="16">
        <f>(Operations!V9+Inputs!$F$81+V9)/100*0.5</f>
        <v/>
      </c>
      <c r="W12" s="16">
        <f>(Operations!W9+Inputs!$F$81+W9)/100*0.5</f>
        <v/>
      </c>
      <c r="X12" s="16">
        <f>(Operations!X9+Inputs!$F$81+X9)/100*0.5</f>
        <v/>
      </c>
      <c r="Y12" s="16">
        <f>(Operations!Y9+Inputs!$F$81+Y9)/100*0.5</f>
        <v/>
      </c>
      <c r="Z12" s="16">
        <f>(Operations!Z9+Inputs!$F$81+Z9)/100*0.5</f>
        <v/>
      </c>
      <c r="AA12" s="16">
        <f>(Operations!AA9+Inputs!$F$81+AA9)/100*0.5</f>
        <v/>
      </c>
      <c r="AB12" s="16">
        <f>(Operations!AB9+Inputs!$F$81+AB9)/100*0.5</f>
        <v/>
      </c>
      <c r="AC12" s="16">
        <f>(Operations!AC9+Inputs!$F$81+AC9)/100*0.5</f>
        <v/>
      </c>
      <c r="AD12" s="16">
        <f>(Operations!AD9+Inputs!$F$81+AD9)/100*0.5</f>
        <v/>
      </c>
      <c r="AE12" s="16">
        <f>(Operations!AE9+Inputs!$F$81+AE9)/100*0.5</f>
        <v/>
      </c>
      <c r="AF12" s="16">
        <f>(Operations!AF9+Inputs!$F$81+AF9)/100*0.5</f>
        <v/>
      </c>
      <c r="AG12" s="16">
        <f>(Operations!AG9+Inputs!$F$81+AG9)/100*0.5</f>
        <v/>
      </c>
      <c r="AH12" s="16">
        <f>(Operations!AH9+Inputs!$F$81+AH9)/100*0.5</f>
        <v/>
      </c>
      <c r="AI12" s="16">
        <f>(Operations!AI9+Inputs!$F$81+AI9)/100*0.5</f>
        <v/>
      </c>
      <c r="AJ12" s="16">
        <f>(Operations!AJ9+Inputs!$F$81+AJ9)/100*0.5</f>
        <v/>
      </c>
      <c r="AK12" s="16">
        <f>(Operations!AK9+Inputs!$F$81+AK9)/100*0.5</f>
        <v/>
      </c>
      <c r="AL12" s="16">
        <f>(Operations!AL9+Inputs!$F$81+AL9)/100*0.5</f>
        <v/>
      </c>
      <c r="AM12" s="16">
        <f>(Operations!AM9+Inputs!$F$81+AM9)/100*0.5</f>
        <v/>
      </c>
      <c r="AN12" s="16">
        <f>(Operations!AN9+Inputs!$F$81+AN9)/100*0.5</f>
        <v/>
      </c>
      <c r="AO12" s="16">
        <f>(Operations!AO9+Inputs!$F$81+AO9)/100*0.5</f>
        <v/>
      </c>
      <c r="AP12" s="16">
        <f>(Operations!AP9+Inputs!$F$81+AP9)/100*0.5</f>
        <v/>
      </c>
      <c r="AQ12" s="16">
        <f>(Operations!AQ9+Inputs!$F$81+AQ9)/100*0.5</f>
        <v/>
      </c>
      <c r="AR12" s="16">
        <f>(Operations!AR9+Inputs!$F$81+AR9)/100*0.5</f>
        <v/>
      </c>
      <c r="AS12" s="16">
        <f>(Operations!AS9+Inputs!$F$81+AS9)/100*0.5</f>
        <v/>
      </c>
      <c r="AT12" s="16">
        <f>(Operations!AT9+Inputs!$F$81+AT9)/100*0.5</f>
        <v/>
      </c>
      <c r="AU12" s="16">
        <f>(Operations!AU9+Inputs!$F$81+AU9)/100*0.5</f>
        <v/>
      </c>
      <c r="AV12" s="16">
        <f>(Operations!AV9+Inputs!$F$81+AV9)/100*0.5</f>
        <v/>
      </c>
      <c r="AW12" s="16">
        <f>(Operations!AW9+Inputs!$F$81+AW9)/100*0.5</f>
        <v/>
      </c>
      <c r="AX12" s="16">
        <f>(Operations!AX9+Inputs!$F$81+AX9)/100*0.5</f>
        <v/>
      </c>
      <c r="AY12" s="16">
        <f>(Operations!AY9+Inputs!$F$81+AY9)/100*0.5</f>
        <v/>
      </c>
      <c r="AZ12" s="16">
        <f>(Operations!AZ9+Inputs!$F$81+AZ9)/100*0.5</f>
        <v/>
      </c>
      <c r="BA12" s="16">
        <f>(Operations!BA9+Inputs!$F$81+BA9)/100*0.5</f>
        <v/>
      </c>
      <c r="BB12" s="16">
        <f>(Operations!BB9+Inputs!$F$81+BB9)/100*0.5</f>
        <v/>
      </c>
      <c r="BC12" s="16">
        <f>(Operations!BC9+Inputs!$F$81+BC9)/100*0.5</f>
        <v/>
      </c>
      <c r="BD12" s="16">
        <f>(Operations!BD9+Inputs!$F$81+BD9)/100*0.5</f>
        <v/>
      </c>
      <c r="BE12" s="16">
        <f>(Operations!BE9+Inputs!$F$81+BE9)/100*0.5</f>
        <v/>
      </c>
      <c r="BF12" s="16">
        <f>(Operations!BF9+Inputs!$F$81+BF9)/100*0.5</f>
        <v/>
      </c>
      <c r="BG12" s="16">
        <f>(Operations!BG9+Inputs!$F$81+BG9)/100*0.5</f>
        <v/>
      </c>
      <c r="BH12" s="16">
        <f>(Operations!BH9+Inputs!$F$81+BH9)/100*0.5</f>
        <v/>
      </c>
      <c r="BI12" s="16">
        <f>(Operations!BI9+Inputs!$F$81+BI9)/100*0.5</f>
        <v/>
      </c>
      <c r="BJ12" s="16">
        <f>(Operations!BJ9+Inputs!$F$81+BJ9)/100*0.5</f>
        <v/>
      </c>
      <c r="BK12" s="16">
        <f>(Operations!BK9+Inputs!$F$81+BK9)/100*0.5</f>
        <v/>
      </c>
      <c r="BL12" s="16">
        <f>(Operations!BL9+Inputs!$F$81+BL9)/100*0.5</f>
        <v/>
      </c>
      <c r="BM12" s="16">
        <f>(Operations!BM9+Inputs!$F$81+BM9)/100*0.5</f>
        <v/>
      </c>
      <c r="BN12" s="16">
        <f>(Operations!BN9+Inputs!$F$81+BN9)/100*0.5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6">
        <f>(Operations!J9+J8+J9)/100*0.5/(1-Inputs!$F$93/100)</f>
        <v/>
      </c>
      <c r="K13" s="16">
        <f>(Operations!K9+K8+K9)/100*0.5/(1-Inputs!$F$93/100)</f>
        <v/>
      </c>
      <c r="L13" s="16">
        <f>(Operations!L9+L8+L9)/100*0.5/(1-Inputs!$F$93/100)</f>
        <v/>
      </c>
      <c r="M13" s="16">
        <f>(Operations!M9+M8+M9)/100*0.5/(1-Inputs!$F$93/100)</f>
        <v/>
      </c>
      <c r="N13" s="16">
        <f>(Operations!N9+N8+N9)/100*0.5/(1-Inputs!$F$93/100)</f>
        <v/>
      </c>
      <c r="O13" s="16">
        <f>(Operations!O9+O8+O9)/100*0.5/(1-Inputs!$F$93/100)</f>
        <v/>
      </c>
      <c r="P13" s="16">
        <f>(Operations!P9+P8+P9)/100*0.5/(1-Inputs!$F$93/100)</f>
        <v/>
      </c>
      <c r="Q13" s="16">
        <f>(Operations!Q9+Q8+Q9)/100*0.5/(1-Inputs!$F$93/100)</f>
        <v/>
      </c>
      <c r="R13" s="16">
        <f>(Operations!R9+R8+R9)/100*0.5/(1-Inputs!$F$93/100)</f>
        <v/>
      </c>
      <c r="S13" s="16">
        <f>(Operations!S9+S8+S9)/100*0.5/(1-Inputs!$F$93/100)</f>
        <v/>
      </c>
      <c r="T13" s="16">
        <f>(Operations!T9+T8+T9)/100*0.5/(1-Inputs!$F$93/100)</f>
        <v/>
      </c>
      <c r="U13" s="16">
        <f>(Operations!U9+U8+U9)/100*0.5/(1-Inputs!$F$93/100)</f>
        <v/>
      </c>
      <c r="V13" s="16">
        <f>(Operations!V9+V8+V9)/100*0.5/(1-Inputs!$F$93/100)</f>
        <v/>
      </c>
      <c r="W13" s="16">
        <f>(Operations!W9+W8+W9)/100*0.5/(1-Inputs!$F$93/100)</f>
        <v/>
      </c>
      <c r="X13" s="16">
        <f>(Operations!X9+X8+X9)/100*0.5/(1-Inputs!$F$93/100)</f>
        <v/>
      </c>
      <c r="Y13" s="16">
        <f>(Operations!Y9+Y8+Y9)/100*0.5/(1-Inputs!$F$93/100)</f>
        <v/>
      </c>
      <c r="Z13" s="16">
        <f>(Operations!Z9+Z8+Z9)/100*0.5/(1-Inputs!$F$93/100)</f>
        <v/>
      </c>
      <c r="AA13" s="16">
        <f>(Operations!AA9+AA8+AA9)/100*0.5/(1-Inputs!$F$93/100)</f>
        <v/>
      </c>
      <c r="AB13" s="16">
        <f>(Operations!AB9+AB8+AB9)/100*0.5/(1-Inputs!$F$93/100)</f>
        <v/>
      </c>
      <c r="AC13" s="16">
        <f>(Operations!AC9+AC8+AC9)/100*0.5/(1-Inputs!$F$93/100)</f>
        <v/>
      </c>
      <c r="AD13" s="16">
        <f>(Operations!AD9+AD8+AD9)/100*0.5/(1-Inputs!$F$93/100)</f>
        <v/>
      </c>
      <c r="AE13" s="16">
        <f>(Operations!AE9+AE8+AE9)/100*0.5/(1-Inputs!$F$93/100)</f>
        <v/>
      </c>
      <c r="AF13" s="16">
        <f>(Operations!AF9+AF8+AF9)/100*0.5/(1-Inputs!$F$93/100)</f>
        <v/>
      </c>
      <c r="AG13" s="16">
        <f>(Operations!AG9+AG8+AG9)/100*0.5/(1-Inputs!$F$93/100)</f>
        <v/>
      </c>
      <c r="AH13" s="16">
        <f>(Operations!AH9+AH8+AH9)/100*0.5/(1-Inputs!$F$93/100)</f>
        <v/>
      </c>
      <c r="AI13" s="16">
        <f>(Operations!AI9+AI8+AI9)/100*0.5/(1-Inputs!$F$93/100)</f>
        <v/>
      </c>
      <c r="AJ13" s="16">
        <f>(Operations!AJ9+AJ8+AJ9)/100*0.5/(1-Inputs!$F$93/100)</f>
        <v/>
      </c>
      <c r="AK13" s="16">
        <f>(Operations!AK9+AK8+AK9)/100*0.5/(1-Inputs!$F$93/100)</f>
        <v/>
      </c>
      <c r="AL13" s="16">
        <f>(Operations!AL9+AL8+AL9)/100*0.5/(1-Inputs!$F$93/100)</f>
        <v/>
      </c>
      <c r="AM13" s="16">
        <f>(Operations!AM9+AM8+AM9)/100*0.5/(1-Inputs!$F$93/100)</f>
        <v/>
      </c>
      <c r="AN13" s="16">
        <f>(Operations!AN9+AN8+AN9)/100*0.5/(1-Inputs!$F$93/100)</f>
        <v/>
      </c>
      <c r="AO13" s="16">
        <f>(Operations!AO9+AO8+AO9)/100*0.5/(1-Inputs!$F$93/100)</f>
        <v/>
      </c>
      <c r="AP13" s="16">
        <f>(Operations!AP9+AP8+AP9)/100*0.5/(1-Inputs!$F$93/100)</f>
        <v/>
      </c>
      <c r="AQ13" s="16">
        <f>(Operations!AQ9+AQ8+AQ9)/100*0.5/(1-Inputs!$F$93/100)</f>
        <v/>
      </c>
      <c r="AR13" s="16">
        <f>(Operations!AR9+AR8+AR9)/100*0.5/(1-Inputs!$F$93/100)</f>
        <v/>
      </c>
      <c r="AS13" s="16">
        <f>(Operations!AS9+AS8+AS9)/100*0.5/(1-Inputs!$F$93/100)</f>
        <v/>
      </c>
      <c r="AT13" s="16">
        <f>(Operations!AT9+AT8+AT9)/100*0.5/(1-Inputs!$F$93/100)</f>
        <v/>
      </c>
      <c r="AU13" s="16">
        <f>(Operations!AU9+AU8+AU9)/100*0.5/(1-Inputs!$F$93/100)</f>
        <v/>
      </c>
      <c r="AV13" s="16">
        <f>(Operations!AV9+AV8+AV9)/100*0.5/(1-Inputs!$F$93/100)</f>
        <v/>
      </c>
      <c r="AW13" s="16">
        <f>(Operations!AW9+AW8+AW9)/100*0.5/(1-Inputs!$F$93/100)</f>
        <v/>
      </c>
      <c r="AX13" s="16">
        <f>(Operations!AX9+AX8+AX9)/100*0.5/(1-Inputs!$F$93/100)</f>
        <v/>
      </c>
      <c r="AY13" s="16">
        <f>(Operations!AY9+AY8+AY9)/100*0.5/(1-Inputs!$F$93/100)</f>
        <v/>
      </c>
      <c r="AZ13" s="16">
        <f>(Operations!AZ9+AZ8+AZ9)/100*0.5/(1-Inputs!$F$93/100)</f>
        <v/>
      </c>
      <c r="BA13" s="16">
        <f>(Operations!BA9+BA8+BA9)/100*0.5/(1-Inputs!$F$93/100)</f>
        <v/>
      </c>
      <c r="BB13" s="16">
        <f>(Operations!BB9+BB8+BB9)/100*0.5/(1-Inputs!$F$93/100)</f>
        <v/>
      </c>
      <c r="BC13" s="16">
        <f>(Operations!BC9+BC8+BC9)/100*0.5/(1-Inputs!$F$93/100)</f>
        <v/>
      </c>
      <c r="BD13" s="16">
        <f>(Operations!BD9+BD8+BD9)/100*0.5/(1-Inputs!$F$93/100)</f>
        <v/>
      </c>
      <c r="BE13" s="16">
        <f>(Operations!BE9+BE8+BE9)/100*0.5/(1-Inputs!$F$93/100)</f>
        <v/>
      </c>
      <c r="BF13" s="16">
        <f>(Operations!BF9+BF8+BF9)/100*0.5/(1-Inputs!$F$93/100)</f>
        <v/>
      </c>
      <c r="BG13" s="16">
        <f>(Operations!BG9+BG8+BG9)/100*0.5/(1-Inputs!$F$93/100)</f>
        <v/>
      </c>
      <c r="BH13" s="16">
        <f>(Operations!BH9+BH8+BH9)/100*0.5/(1-Inputs!$F$93/100)</f>
        <v/>
      </c>
      <c r="BI13" s="16">
        <f>(Operations!BI9+BI8+BI9)/100*0.5/(1-Inputs!$F$93/100)</f>
        <v/>
      </c>
      <c r="BJ13" s="16">
        <f>(Operations!BJ9+BJ8+BJ9)/100*0.5/(1-Inputs!$F$93/100)</f>
        <v/>
      </c>
      <c r="BK13" s="16">
        <f>(Operations!BK9+BK8+BK9)/100*0.5/(1-Inputs!$F$93/100)</f>
        <v/>
      </c>
      <c r="BL13" s="16">
        <f>(Operations!BL9+BL8+BL9)/100*0.5/(1-Inputs!$F$93/100)</f>
        <v/>
      </c>
      <c r="BM13" s="16">
        <f>(Operations!BM9+BM8+BM9)/100*0.5/(1-Inputs!$F$93/100)</f>
        <v/>
      </c>
      <c r="BN13" s="16">
        <f>(Operations!BN9+BN8+BN9)/100*0.5/(1-Inputs!$F$93/100)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6">
        <f>(Inputs!$F$102*(Operations!J9+J8+Inputs!$F$101+J9)/(1-Inputs!$F$93/100)+(1-Inputs!$F$102)*(Operations!J9+Inputs!$F$80+Inputs!$F$101+J9))/100*Time!J25/Inputs!$F$247</f>
        <v/>
      </c>
      <c r="K14" s="16">
        <f>(Inputs!$F$102*(Operations!K9+K8+Inputs!$F$101+K9)/(1-Inputs!$F$93/100)+(1-Inputs!$F$102)*(Operations!K9+Inputs!$F$80+Inputs!$F$101+K9))/100*Time!K25/Inputs!$F$247</f>
        <v/>
      </c>
      <c r="L14" s="16">
        <f>(Inputs!$F$102*(Operations!L9+L8+Inputs!$F$101+L9)/(1-Inputs!$F$93/100)+(1-Inputs!$F$102)*(Operations!L9+Inputs!$F$80+Inputs!$F$101+L9))/100*Time!L25/Inputs!$F$247</f>
        <v/>
      </c>
      <c r="M14" s="16">
        <f>(Inputs!$F$102*(Operations!M9+M8+Inputs!$F$101+M9)/(1-Inputs!$F$93/100)+(1-Inputs!$F$102)*(Operations!M9+Inputs!$F$80+Inputs!$F$101+M9))/100*Time!M25/Inputs!$F$247</f>
        <v/>
      </c>
      <c r="N14" s="16">
        <f>(Inputs!$F$102*(Operations!N9+N8+Inputs!$F$101+N9)/(1-Inputs!$F$93/100)+(1-Inputs!$F$102)*(Operations!N9+Inputs!$F$80+Inputs!$F$101+N9))/100*Time!N25/Inputs!$F$247</f>
        <v/>
      </c>
      <c r="O14" s="16">
        <f>(Inputs!$F$102*(Operations!O9+O8+Inputs!$F$101+O9)/(1-Inputs!$F$93/100)+(1-Inputs!$F$102)*(Operations!O9+Inputs!$F$80+Inputs!$F$101+O9))/100*Time!O25/Inputs!$F$247</f>
        <v/>
      </c>
      <c r="P14" s="16">
        <f>(Inputs!$F$102*(Operations!P9+P8+Inputs!$F$101+P9)/(1-Inputs!$F$93/100)+(1-Inputs!$F$102)*(Operations!P9+Inputs!$F$80+Inputs!$F$101+P9))/100*Time!P25/Inputs!$F$247</f>
        <v/>
      </c>
      <c r="Q14" s="16">
        <f>(Inputs!$F$102*(Operations!Q9+Q8+Inputs!$F$101+Q9)/(1-Inputs!$F$93/100)+(1-Inputs!$F$102)*(Operations!Q9+Inputs!$F$80+Inputs!$F$101+Q9))/100*Time!Q25/Inputs!$F$247</f>
        <v/>
      </c>
      <c r="R14" s="16">
        <f>(Inputs!$F$102*(Operations!R9+R8+Inputs!$F$101+R9)/(1-Inputs!$F$93/100)+(1-Inputs!$F$102)*(Operations!R9+Inputs!$F$80+Inputs!$F$101+R9))/100*Time!R25/Inputs!$F$247</f>
        <v/>
      </c>
      <c r="S14" s="16">
        <f>(Inputs!$F$102*(Operations!S9+S8+Inputs!$F$101+S9)/(1-Inputs!$F$93/100)+(1-Inputs!$F$102)*(Operations!S9+Inputs!$F$80+Inputs!$F$101+S9))/100*Time!S25/Inputs!$F$247</f>
        <v/>
      </c>
      <c r="T14" s="16">
        <f>(Inputs!$F$102*(Operations!T9+T8+Inputs!$F$101+T9)/(1-Inputs!$F$93/100)+(1-Inputs!$F$102)*(Operations!T9+Inputs!$F$80+Inputs!$F$101+T9))/100*Time!T25/Inputs!$F$247</f>
        <v/>
      </c>
      <c r="U14" s="16">
        <f>(Inputs!$F$102*(Operations!U9+U8+Inputs!$F$101+U9)/(1-Inputs!$F$93/100)+(1-Inputs!$F$102)*(Operations!U9+Inputs!$F$80+Inputs!$F$101+U9))/100*Time!U25/Inputs!$F$247</f>
        <v/>
      </c>
      <c r="V14" s="16">
        <f>(Inputs!$F$102*(Operations!V9+V8+Inputs!$F$101+V9)/(1-Inputs!$F$93/100)+(1-Inputs!$F$102)*(Operations!V9+Inputs!$F$80+Inputs!$F$101+V9))/100*Time!V25/Inputs!$F$247</f>
        <v/>
      </c>
      <c r="W14" s="16">
        <f>(Inputs!$F$102*(Operations!W9+W8+Inputs!$F$101+W9)/(1-Inputs!$F$93/100)+(1-Inputs!$F$102)*(Operations!W9+Inputs!$F$80+Inputs!$F$101+W9))/100*Time!W25/Inputs!$F$247</f>
        <v/>
      </c>
      <c r="X14" s="16">
        <f>(Inputs!$F$102*(Operations!X9+X8+Inputs!$F$101+X9)/(1-Inputs!$F$93/100)+(1-Inputs!$F$102)*(Operations!X9+Inputs!$F$80+Inputs!$F$101+X9))/100*Time!X25/Inputs!$F$247</f>
        <v/>
      </c>
      <c r="Y14" s="16">
        <f>(Inputs!$F$102*(Operations!Y9+Y8+Inputs!$F$101+Y9)/(1-Inputs!$F$93/100)+(1-Inputs!$F$102)*(Operations!Y9+Inputs!$F$80+Inputs!$F$101+Y9))/100*Time!Y25/Inputs!$F$247</f>
        <v/>
      </c>
      <c r="Z14" s="16">
        <f>(Inputs!$F$102*(Operations!Z9+Z8+Inputs!$F$101+Z9)/(1-Inputs!$F$93/100)+(1-Inputs!$F$102)*(Operations!Z9+Inputs!$F$80+Inputs!$F$101+Z9))/100*Time!Z25/Inputs!$F$247</f>
        <v/>
      </c>
      <c r="AA14" s="16">
        <f>(Inputs!$F$102*(Operations!AA9+AA8+Inputs!$F$101+AA9)/(1-Inputs!$F$93/100)+(1-Inputs!$F$102)*(Operations!AA9+Inputs!$F$80+Inputs!$F$101+AA9))/100*Time!AA25/Inputs!$F$247</f>
        <v/>
      </c>
      <c r="AB14" s="16">
        <f>(Inputs!$F$102*(Operations!AB9+AB8+Inputs!$F$101+AB9)/(1-Inputs!$F$93/100)+(1-Inputs!$F$102)*(Operations!AB9+Inputs!$F$80+Inputs!$F$101+AB9))/100*Time!AB25/Inputs!$F$247</f>
        <v/>
      </c>
      <c r="AC14" s="16">
        <f>(Inputs!$F$102*(Operations!AC9+AC8+Inputs!$F$101+AC9)/(1-Inputs!$F$93/100)+(1-Inputs!$F$102)*(Operations!AC9+Inputs!$F$80+Inputs!$F$101+AC9))/100*Time!AC25/Inputs!$F$247</f>
        <v/>
      </c>
      <c r="AD14" s="16">
        <f>(Inputs!$F$102*(Operations!AD9+AD8+Inputs!$F$101+AD9)/(1-Inputs!$F$93/100)+(1-Inputs!$F$102)*(Operations!AD9+Inputs!$F$80+Inputs!$F$101+AD9))/100*Time!AD25/Inputs!$F$247</f>
        <v/>
      </c>
      <c r="AE14" s="16">
        <f>(Inputs!$F$102*(Operations!AE9+AE8+Inputs!$F$101+AE9)/(1-Inputs!$F$93/100)+(1-Inputs!$F$102)*(Operations!AE9+Inputs!$F$80+Inputs!$F$101+AE9))/100*Time!AE25/Inputs!$F$247</f>
        <v/>
      </c>
      <c r="AF14" s="16">
        <f>(Inputs!$F$102*(Operations!AF9+AF8+Inputs!$F$101+AF9)/(1-Inputs!$F$93/100)+(1-Inputs!$F$102)*(Operations!AF9+Inputs!$F$80+Inputs!$F$101+AF9))/100*Time!AF25/Inputs!$F$247</f>
        <v/>
      </c>
      <c r="AG14" s="16">
        <f>(Inputs!$F$102*(Operations!AG9+AG8+Inputs!$F$101+AG9)/(1-Inputs!$F$93/100)+(1-Inputs!$F$102)*(Operations!AG9+Inputs!$F$80+Inputs!$F$101+AG9))/100*Time!AG25/Inputs!$F$247</f>
        <v/>
      </c>
      <c r="AH14" s="16">
        <f>(Inputs!$F$102*(Operations!AH9+AH8+Inputs!$F$101+AH9)/(1-Inputs!$F$93/100)+(1-Inputs!$F$102)*(Operations!AH9+Inputs!$F$80+Inputs!$F$101+AH9))/100*Time!AH25/Inputs!$F$247</f>
        <v/>
      </c>
      <c r="AI14" s="16">
        <f>(Inputs!$F$102*(Operations!AI9+AI8+Inputs!$F$101+AI9)/(1-Inputs!$F$93/100)+(1-Inputs!$F$102)*(Operations!AI9+Inputs!$F$80+Inputs!$F$101+AI9))/100*Time!AI25/Inputs!$F$247</f>
        <v/>
      </c>
      <c r="AJ14" s="16">
        <f>(Inputs!$F$102*(Operations!AJ9+AJ8+Inputs!$F$101+AJ9)/(1-Inputs!$F$93/100)+(1-Inputs!$F$102)*(Operations!AJ9+Inputs!$F$80+Inputs!$F$101+AJ9))/100*Time!AJ25/Inputs!$F$247</f>
        <v/>
      </c>
      <c r="AK14" s="16">
        <f>(Inputs!$F$102*(Operations!AK9+AK8+Inputs!$F$101+AK9)/(1-Inputs!$F$93/100)+(1-Inputs!$F$102)*(Operations!AK9+Inputs!$F$80+Inputs!$F$101+AK9))/100*Time!AK25/Inputs!$F$247</f>
        <v/>
      </c>
      <c r="AL14" s="16">
        <f>(Inputs!$F$102*(Operations!AL9+AL8+Inputs!$F$101+AL9)/(1-Inputs!$F$93/100)+(1-Inputs!$F$102)*(Operations!AL9+Inputs!$F$80+Inputs!$F$101+AL9))/100*Time!AL25/Inputs!$F$247</f>
        <v/>
      </c>
      <c r="AM14" s="16">
        <f>(Inputs!$F$102*(Operations!AM9+AM8+Inputs!$F$101+AM9)/(1-Inputs!$F$93/100)+(1-Inputs!$F$102)*(Operations!AM9+Inputs!$F$80+Inputs!$F$101+AM9))/100*Time!AM25/Inputs!$F$247</f>
        <v/>
      </c>
      <c r="AN14" s="16">
        <f>(Inputs!$F$102*(Operations!AN9+AN8+Inputs!$F$101+AN9)/(1-Inputs!$F$93/100)+(1-Inputs!$F$102)*(Operations!AN9+Inputs!$F$80+Inputs!$F$101+AN9))/100*Time!AN25/Inputs!$F$247</f>
        <v/>
      </c>
      <c r="AO14" s="16">
        <f>(Inputs!$F$102*(Operations!AO9+AO8+Inputs!$F$101+AO9)/(1-Inputs!$F$93/100)+(1-Inputs!$F$102)*(Operations!AO9+Inputs!$F$80+Inputs!$F$101+AO9))/100*Time!AO25/Inputs!$F$247</f>
        <v/>
      </c>
      <c r="AP14" s="16">
        <f>(Inputs!$F$102*(Operations!AP9+AP8+Inputs!$F$101+AP9)/(1-Inputs!$F$93/100)+(1-Inputs!$F$102)*(Operations!AP9+Inputs!$F$80+Inputs!$F$101+AP9))/100*Time!AP25/Inputs!$F$247</f>
        <v/>
      </c>
      <c r="AQ14" s="16">
        <f>(Inputs!$F$102*(Operations!AQ9+AQ8+Inputs!$F$101+AQ9)/(1-Inputs!$F$93/100)+(1-Inputs!$F$102)*(Operations!AQ9+Inputs!$F$80+Inputs!$F$101+AQ9))/100*Time!AQ25/Inputs!$F$247</f>
        <v/>
      </c>
      <c r="AR14" s="16">
        <f>(Inputs!$F$102*(Operations!AR9+AR8+Inputs!$F$101+AR9)/(1-Inputs!$F$93/100)+(1-Inputs!$F$102)*(Operations!AR9+Inputs!$F$80+Inputs!$F$101+AR9))/100*Time!AR25/Inputs!$F$247</f>
        <v/>
      </c>
      <c r="AS14" s="16">
        <f>(Inputs!$F$102*(Operations!AS9+AS8+Inputs!$F$101+AS9)/(1-Inputs!$F$93/100)+(1-Inputs!$F$102)*(Operations!AS9+Inputs!$F$80+Inputs!$F$101+AS9))/100*Time!AS25/Inputs!$F$247</f>
        <v/>
      </c>
      <c r="AT14" s="16">
        <f>(Inputs!$F$102*(Operations!AT9+AT8+Inputs!$F$101+AT9)/(1-Inputs!$F$93/100)+(1-Inputs!$F$102)*(Operations!AT9+Inputs!$F$80+Inputs!$F$101+AT9))/100*Time!AT25/Inputs!$F$247</f>
        <v/>
      </c>
      <c r="AU14" s="16">
        <f>(Inputs!$F$102*(Operations!AU9+AU8+Inputs!$F$101+AU9)/(1-Inputs!$F$93/100)+(1-Inputs!$F$102)*(Operations!AU9+Inputs!$F$80+Inputs!$F$101+AU9))/100*Time!AU25/Inputs!$F$247</f>
        <v/>
      </c>
      <c r="AV14" s="16">
        <f>(Inputs!$F$102*(Operations!AV9+AV8+Inputs!$F$101+AV9)/(1-Inputs!$F$93/100)+(1-Inputs!$F$102)*(Operations!AV9+Inputs!$F$80+Inputs!$F$101+AV9))/100*Time!AV25/Inputs!$F$247</f>
        <v/>
      </c>
      <c r="AW14" s="16">
        <f>(Inputs!$F$102*(Operations!AW9+AW8+Inputs!$F$101+AW9)/(1-Inputs!$F$93/100)+(1-Inputs!$F$102)*(Operations!AW9+Inputs!$F$80+Inputs!$F$101+AW9))/100*Time!AW25/Inputs!$F$247</f>
        <v/>
      </c>
      <c r="AX14" s="16">
        <f>(Inputs!$F$102*(Operations!AX9+AX8+Inputs!$F$101+AX9)/(1-Inputs!$F$93/100)+(1-Inputs!$F$102)*(Operations!AX9+Inputs!$F$80+Inputs!$F$101+AX9))/100*Time!AX25/Inputs!$F$247</f>
        <v/>
      </c>
      <c r="AY14" s="16">
        <f>(Inputs!$F$102*(Operations!AY9+AY8+Inputs!$F$101+AY9)/(1-Inputs!$F$93/100)+(1-Inputs!$F$102)*(Operations!AY9+Inputs!$F$80+Inputs!$F$101+AY9))/100*Time!AY25/Inputs!$F$247</f>
        <v/>
      </c>
      <c r="AZ14" s="16">
        <f>(Inputs!$F$102*(Operations!AZ9+AZ8+Inputs!$F$101+AZ9)/(1-Inputs!$F$93/100)+(1-Inputs!$F$102)*(Operations!AZ9+Inputs!$F$80+Inputs!$F$101+AZ9))/100*Time!AZ25/Inputs!$F$247</f>
        <v/>
      </c>
      <c r="BA14" s="16">
        <f>(Inputs!$F$102*(Operations!BA9+BA8+Inputs!$F$101+BA9)/(1-Inputs!$F$93/100)+(1-Inputs!$F$102)*(Operations!BA9+Inputs!$F$80+Inputs!$F$101+BA9))/100*Time!BA25/Inputs!$F$247</f>
        <v/>
      </c>
      <c r="BB14" s="16">
        <f>(Inputs!$F$102*(Operations!BB9+BB8+Inputs!$F$101+BB9)/(1-Inputs!$F$93/100)+(1-Inputs!$F$102)*(Operations!BB9+Inputs!$F$80+Inputs!$F$101+BB9))/100*Time!BB25/Inputs!$F$247</f>
        <v/>
      </c>
      <c r="BC14" s="16">
        <f>(Inputs!$F$102*(Operations!BC9+BC8+Inputs!$F$101+BC9)/(1-Inputs!$F$93/100)+(1-Inputs!$F$102)*(Operations!BC9+Inputs!$F$80+Inputs!$F$101+BC9))/100*Time!BC25/Inputs!$F$247</f>
        <v/>
      </c>
      <c r="BD14" s="16">
        <f>(Inputs!$F$102*(Operations!BD9+BD8+Inputs!$F$101+BD9)/(1-Inputs!$F$93/100)+(1-Inputs!$F$102)*(Operations!BD9+Inputs!$F$80+Inputs!$F$101+BD9))/100*Time!BD25/Inputs!$F$247</f>
        <v/>
      </c>
      <c r="BE14" s="16">
        <f>(Inputs!$F$102*(Operations!BE9+BE8+Inputs!$F$101+BE9)/(1-Inputs!$F$93/100)+(1-Inputs!$F$102)*(Operations!BE9+Inputs!$F$80+Inputs!$F$101+BE9))/100*Time!BE25/Inputs!$F$247</f>
        <v/>
      </c>
      <c r="BF14" s="16">
        <f>(Inputs!$F$102*(Operations!BF9+BF8+Inputs!$F$101+BF9)/(1-Inputs!$F$93/100)+(1-Inputs!$F$102)*(Operations!BF9+Inputs!$F$80+Inputs!$F$101+BF9))/100*Time!BF25/Inputs!$F$247</f>
        <v/>
      </c>
      <c r="BG14" s="16">
        <f>(Inputs!$F$102*(Operations!BG9+BG8+Inputs!$F$101+BG9)/(1-Inputs!$F$93/100)+(1-Inputs!$F$102)*(Operations!BG9+Inputs!$F$80+Inputs!$F$101+BG9))/100*Time!BG25/Inputs!$F$247</f>
        <v/>
      </c>
      <c r="BH14" s="16">
        <f>(Inputs!$F$102*(Operations!BH9+BH8+Inputs!$F$101+BH9)/(1-Inputs!$F$93/100)+(1-Inputs!$F$102)*(Operations!BH9+Inputs!$F$80+Inputs!$F$101+BH9))/100*Time!BH25/Inputs!$F$247</f>
        <v/>
      </c>
      <c r="BI14" s="16">
        <f>(Inputs!$F$102*(Operations!BI9+BI8+Inputs!$F$101+BI9)/(1-Inputs!$F$93/100)+(1-Inputs!$F$102)*(Operations!BI9+Inputs!$F$80+Inputs!$F$101+BI9))/100*Time!BI25/Inputs!$F$247</f>
        <v/>
      </c>
      <c r="BJ14" s="16">
        <f>(Inputs!$F$102*(Operations!BJ9+BJ8+Inputs!$F$101+BJ9)/(1-Inputs!$F$93/100)+(1-Inputs!$F$102)*(Operations!BJ9+Inputs!$F$80+Inputs!$F$101+BJ9))/100*Time!BJ25/Inputs!$F$247</f>
        <v/>
      </c>
      <c r="BK14" s="16">
        <f>(Inputs!$F$102*(Operations!BK9+BK8+Inputs!$F$101+BK9)/(1-Inputs!$F$93/100)+(1-Inputs!$F$102)*(Operations!BK9+Inputs!$F$80+Inputs!$F$101+BK9))/100*Time!BK25/Inputs!$F$247</f>
        <v/>
      </c>
      <c r="BL14" s="16">
        <f>(Inputs!$F$102*(Operations!BL9+BL8+Inputs!$F$101+BL9)/(1-Inputs!$F$93/100)+(1-Inputs!$F$102)*(Operations!BL9+Inputs!$F$80+Inputs!$F$101+BL9))/100*Time!BL25/Inputs!$F$247</f>
        <v/>
      </c>
      <c r="BM14" s="16">
        <f>(Inputs!$F$102*(Operations!BM9+BM8+Inputs!$F$101+BM9)/(1-Inputs!$F$93/100)+(1-Inputs!$F$102)*(Operations!BM9+Inputs!$F$80+Inputs!$F$101+BM9))/100*Time!BM25/Inputs!$F$247</f>
        <v/>
      </c>
      <c r="BN14" s="16">
        <f>(Inputs!$F$102*(Operations!BN9+BN8+Inputs!$F$101+BN9)/(1-Inputs!$F$93/100)+(1-Inputs!$F$102)*(Operations!BN9+Inputs!$F$80+Inputs!$F$101+BN9))/100*Time!BN25/Inputs!$F$247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6">
        <f>Inputs!$F$271/100*Time!J24</f>
        <v/>
      </c>
      <c r="K15" s="16">
        <f>Inputs!$F$271/100*Time!K24</f>
        <v/>
      </c>
      <c r="L15" s="16">
        <f>Inputs!$F$271/100*Time!L24</f>
        <v/>
      </c>
      <c r="M15" s="16">
        <f>Inputs!$F$271/100*Time!M24</f>
        <v/>
      </c>
      <c r="N15" s="16">
        <f>Inputs!$F$271/100*Time!N24</f>
        <v/>
      </c>
      <c r="O15" s="16">
        <f>Inputs!$F$271/100*Time!O24</f>
        <v/>
      </c>
      <c r="P15" s="16">
        <f>Inputs!$F$271/100*Time!P24</f>
        <v/>
      </c>
      <c r="Q15" s="16">
        <f>Inputs!$F$271/100*Time!Q24</f>
        <v/>
      </c>
      <c r="R15" s="16">
        <f>Inputs!$F$271/100*Time!R24</f>
        <v/>
      </c>
      <c r="S15" s="16">
        <f>Inputs!$F$271/100*Time!S24</f>
        <v/>
      </c>
      <c r="T15" s="16">
        <f>Inputs!$F$271/100*Time!T24</f>
        <v/>
      </c>
      <c r="U15" s="16">
        <f>Inputs!$F$271/100*Time!U24</f>
        <v/>
      </c>
      <c r="V15" s="16">
        <f>Inputs!$F$271/100*Time!V24</f>
        <v/>
      </c>
      <c r="W15" s="16">
        <f>Inputs!$F$271/100*Time!W24</f>
        <v/>
      </c>
      <c r="X15" s="16">
        <f>Inputs!$F$271/100*Time!X24</f>
        <v/>
      </c>
      <c r="Y15" s="16">
        <f>Inputs!$F$271/100*Time!Y24</f>
        <v/>
      </c>
      <c r="Z15" s="16">
        <f>Inputs!$F$271/100*Time!Z24</f>
        <v/>
      </c>
      <c r="AA15" s="16">
        <f>Inputs!$F$271/100*Time!AA24</f>
        <v/>
      </c>
      <c r="AB15" s="16">
        <f>Inputs!$F$271/100*Time!AB24</f>
        <v/>
      </c>
      <c r="AC15" s="16">
        <f>Inputs!$F$271/100*Time!AC24</f>
        <v/>
      </c>
      <c r="AD15" s="16">
        <f>Inputs!$F$271/100*Time!AD24</f>
        <v/>
      </c>
      <c r="AE15" s="16">
        <f>Inputs!$F$271/100*Time!AE24</f>
        <v/>
      </c>
      <c r="AF15" s="16">
        <f>Inputs!$F$271/100*Time!AF24</f>
        <v/>
      </c>
      <c r="AG15" s="16">
        <f>Inputs!$F$271/100*Time!AG24</f>
        <v/>
      </c>
      <c r="AH15" s="16">
        <f>Inputs!$F$271/100*Time!AH24</f>
        <v/>
      </c>
      <c r="AI15" s="16">
        <f>Inputs!$F$271/100*Time!AI24</f>
        <v/>
      </c>
      <c r="AJ15" s="16">
        <f>Inputs!$F$271/100*Time!AJ24</f>
        <v/>
      </c>
      <c r="AK15" s="16">
        <f>Inputs!$F$271/100*Time!AK24</f>
        <v/>
      </c>
      <c r="AL15" s="16">
        <f>Inputs!$F$271/100*Time!AL24</f>
        <v/>
      </c>
      <c r="AM15" s="16">
        <f>Inputs!$F$271/100*Time!AM24</f>
        <v/>
      </c>
      <c r="AN15" s="16">
        <f>Inputs!$F$271/100*Time!AN24</f>
        <v/>
      </c>
      <c r="AO15" s="16">
        <f>Inputs!$F$271/100*Time!AO24</f>
        <v/>
      </c>
      <c r="AP15" s="16">
        <f>Inputs!$F$271/100*Time!AP24</f>
        <v/>
      </c>
      <c r="AQ15" s="16">
        <f>Inputs!$F$271/100*Time!AQ24</f>
        <v/>
      </c>
      <c r="AR15" s="16">
        <f>Inputs!$F$271/100*Time!AR24</f>
        <v/>
      </c>
      <c r="AS15" s="16">
        <f>Inputs!$F$271/100*Time!AS24</f>
        <v/>
      </c>
      <c r="AT15" s="16">
        <f>Inputs!$F$271/100*Time!AT24</f>
        <v/>
      </c>
      <c r="AU15" s="16">
        <f>Inputs!$F$271/100*Time!AU24</f>
        <v/>
      </c>
      <c r="AV15" s="16">
        <f>Inputs!$F$271/100*Time!AV24</f>
        <v/>
      </c>
      <c r="AW15" s="16">
        <f>Inputs!$F$271/100*Time!AW24</f>
        <v/>
      </c>
      <c r="AX15" s="16">
        <f>Inputs!$F$271/100*Time!AX24</f>
        <v/>
      </c>
      <c r="AY15" s="16">
        <f>Inputs!$F$271/100*Time!AY24</f>
        <v/>
      </c>
      <c r="AZ15" s="16">
        <f>Inputs!$F$271/100*Time!AZ24</f>
        <v/>
      </c>
      <c r="BA15" s="16">
        <f>Inputs!$F$271/100*Time!BA24</f>
        <v/>
      </c>
      <c r="BB15" s="16">
        <f>Inputs!$F$271/100*Time!BB24</f>
        <v/>
      </c>
      <c r="BC15" s="16">
        <f>Inputs!$F$271/100*Time!BC24</f>
        <v/>
      </c>
      <c r="BD15" s="16">
        <f>Inputs!$F$271/100*Time!BD24</f>
        <v/>
      </c>
      <c r="BE15" s="16">
        <f>Inputs!$F$271/100*Time!BE24</f>
        <v/>
      </c>
      <c r="BF15" s="16">
        <f>Inputs!$F$271/100*Time!BF24</f>
        <v/>
      </c>
      <c r="BG15" s="16">
        <f>Inputs!$F$271/100*Time!BG24</f>
        <v/>
      </c>
      <c r="BH15" s="16">
        <f>Inputs!$F$271/100*Time!BH24</f>
        <v/>
      </c>
      <c r="BI15" s="16">
        <f>Inputs!$F$271/100*Time!BI24</f>
        <v/>
      </c>
      <c r="BJ15" s="16">
        <f>Inputs!$F$271/100*Time!BJ24</f>
        <v/>
      </c>
      <c r="BK15" s="16">
        <f>Inputs!$F$271/100*Time!BK24</f>
        <v/>
      </c>
      <c r="BL15" s="16">
        <f>Inputs!$F$271/100*Time!BL24</f>
        <v/>
      </c>
      <c r="BM15" s="16">
        <f>Inputs!$F$271/100*Time!BM24</f>
        <v/>
      </c>
      <c r="BN15" s="16">
        <f>Inputs!$F$271/100*Time!BN24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1">
        <f>IF(Inputs!$F$47=1,Inputs!J298,Inputs!J299)</f>
        <v/>
      </c>
      <c r="K17" s="11">
        <f>IF(Inputs!$F$47=1,Inputs!K298,Inputs!K299)</f>
        <v/>
      </c>
      <c r="L17" s="11">
        <f>IF(Inputs!$F$47=1,Inputs!L298,Inputs!L299)</f>
        <v/>
      </c>
      <c r="M17" s="11">
        <f>IF(Inputs!$F$47=1,Inputs!M298,Inputs!M299)</f>
        <v/>
      </c>
      <c r="N17" s="11">
        <f>IF(Inputs!$F$47=1,Inputs!N298,Inputs!N299)</f>
        <v/>
      </c>
      <c r="O17" s="11">
        <f>IF(Inputs!$F$47=1,Inputs!O298,Inputs!O299)</f>
        <v/>
      </c>
      <c r="P17" s="11">
        <f>IF(Inputs!$F$47=1,Inputs!P298,Inputs!P299)</f>
        <v/>
      </c>
      <c r="Q17" s="11">
        <f>IF(Inputs!$F$47=1,Inputs!Q298,Inputs!Q299)</f>
        <v/>
      </c>
      <c r="R17" s="11">
        <f>IF(Inputs!$F$47=1,Inputs!R298,Inputs!R299)</f>
        <v/>
      </c>
      <c r="S17" s="11">
        <f>IF(Inputs!$F$47=1,Inputs!S298,Inputs!S299)</f>
        <v/>
      </c>
      <c r="T17" s="11">
        <f>IF(Inputs!$F$47=1,Inputs!T298,Inputs!T299)</f>
        <v/>
      </c>
      <c r="U17" s="11">
        <f>IF(Inputs!$F$47=1,Inputs!U298,Inputs!U299)</f>
        <v/>
      </c>
      <c r="V17" s="11">
        <f>IF(Inputs!$F$47=1,Inputs!V298,Inputs!V299)</f>
        <v/>
      </c>
      <c r="W17" s="11">
        <f>IF(Inputs!$F$47=1,Inputs!W298,Inputs!W299)</f>
        <v/>
      </c>
      <c r="X17" s="11">
        <f>IF(Inputs!$F$47=1,Inputs!X298,Inputs!X299)</f>
        <v/>
      </c>
      <c r="Y17" s="11">
        <f>IF(Inputs!$F$47=1,Inputs!Y298,Inputs!Y299)</f>
        <v/>
      </c>
      <c r="Z17" s="11">
        <f>IF(Inputs!$F$47=1,Inputs!Z298,Inputs!Z299)</f>
        <v/>
      </c>
      <c r="AA17" s="11">
        <f>IF(Inputs!$F$47=1,Inputs!AA298,Inputs!AA299)</f>
        <v/>
      </c>
      <c r="AB17" s="11">
        <f>IF(Inputs!$F$47=1,Inputs!AB298,Inputs!AB299)</f>
        <v/>
      </c>
      <c r="AC17" s="11">
        <f>IF(Inputs!$F$47=1,Inputs!AC298,Inputs!AC299)</f>
        <v/>
      </c>
      <c r="AD17" s="11">
        <f>IF(Inputs!$F$47=1,Inputs!AD298,Inputs!AD299)</f>
        <v/>
      </c>
      <c r="AE17" s="11">
        <f>IF(Inputs!$F$47=1,Inputs!AE298,Inputs!AE299)</f>
        <v/>
      </c>
      <c r="AF17" s="11">
        <f>IF(Inputs!$F$47=1,Inputs!AF298,Inputs!AF299)</f>
        <v/>
      </c>
      <c r="AG17" s="11">
        <f>IF(Inputs!$F$47=1,Inputs!AG298,Inputs!AG299)</f>
        <v/>
      </c>
      <c r="AH17" s="11">
        <f>IF(Inputs!$F$47=1,Inputs!AH298,Inputs!AH299)</f>
        <v/>
      </c>
      <c r="AI17" s="11">
        <f>IF(Inputs!$F$47=1,Inputs!AI298,Inputs!AI299)</f>
        <v/>
      </c>
      <c r="AJ17" s="11">
        <f>IF(Inputs!$F$47=1,Inputs!AJ298,Inputs!AJ299)</f>
        <v/>
      </c>
      <c r="AK17" s="11">
        <f>IF(Inputs!$F$47=1,Inputs!AK298,Inputs!AK299)</f>
        <v/>
      </c>
      <c r="AL17" s="11">
        <f>IF(Inputs!$F$47=1,Inputs!AL298,Inputs!AL299)</f>
        <v/>
      </c>
      <c r="AM17" s="11">
        <f>IF(Inputs!$F$47=1,Inputs!AM298,Inputs!AM299)</f>
        <v/>
      </c>
      <c r="AN17" s="11">
        <f>IF(Inputs!$F$47=1,Inputs!AN298,Inputs!AN299)</f>
        <v/>
      </c>
      <c r="AO17" s="11">
        <f>IF(Inputs!$F$47=1,Inputs!AO298,Inputs!AO299)</f>
        <v/>
      </c>
      <c r="AP17" s="11">
        <f>IF(Inputs!$F$47=1,Inputs!AP298,Inputs!AP299)</f>
        <v/>
      </c>
      <c r="AQ17" s="11">
        <f>IF(Inputs!$F$47=1,Inputs!AQ298,Inputs!AQ299)</f>
        <v/>
      </c>
      <c r="AR17" s="11">
        <f>IF(Inputs!$F$47=1,Inputs!AR298,Inputs!AR299)</f>
        <v/>
      </c>
      <c r="AS17" s="11">
        <f>IF(Inputs!$F$47=1,Inputs!AS298,Inputs!AS299)</f>
        <v/>
      </c>
      <c r="AT17" s="11">
        <f>IF(Inputs!$F$47=1,Inputs!AT298,Inputs!AT299)</f>
        <v/>
      </c>
      <c r="AU17" s="11">
        <f>IF(Inputs!$F$47=1,Inputs!AU298,Inputs!AU299)</f>
        <v/>
      </c>
      <c r="AV17" s="11">
        <f>IF(Inputs!$F$47=1,Inputs!AV298,Inputs!AV299)</f>
        <v/>
      </c>
      <c r="AW17" s="11">
        <f>IF(Inputs!$F$47=1,Inputs!AW298,Inputs!AW299)</f>
        <v/>
      </c>
      <c r="AX17" s="11">
        <f>IF(Inputs!$F$47=1,Inputs!AX298,Inputs!AX299)</f>
        <v/>
      </c>
      <c r="AY17" s="11">
        <f>IF(Inputs!$F$47=1,Inputs!AY298,Inputs!AY299)</f>
        <v/>
      </c>
      <c r="AZ17" s="11">
        <f>IF(Inputs!$F$47=1,Inputs!AZ298,Inputs!AZ299)</f>
        <v/>
      </c>
      <c r="BA17" s="11">
        <f>IF(Inputs!$F$47=1,Inputs!BA298,Inputs!BA299)</f>
        <v/>
      </c>
      <c r="BB17" s="11">
        <f>IF(Inputs!$F$47=1,Inputs!BB298,Inputs!BB299)</f>
        <v/>
      </c>
      <c r="BC17" s="11">
        <f>IF(Inputs!$F$47=1,Inputs!BC298,Inputs!BC299)</f>
        <v/>
      </c>
      <c r="BD17" s="11">
        <f>IF(Inputs!$F$47=1,Inputs!BD298,Inputs!BD299)</f>
        <v/>
      </c>
      <c r="BE17" s="11">
        <f>IF(Inputs!$F$47=1,Inputs!BE298,Inputs!BE299)</f>
        <v/>
      </c>
      <c r="BF17" s="11">
        <f>IF(Inputs!$F$47=1,Inputs!BF298,Inputs!BF299)</f>
        <v/>
      </c>
      <c r="BG17" s="11">
        <f>IF(Inputs!$F$47=1,Inputs!BG298,Inputs!BG299)</f>
        <v/>
      </c>
      <c r="BH17" s="11">
        <f>IF(Inputs!$F$47=1,Inputs!BH298,Inputs!BH299)</f>
        <v/>
      </c>
      <c r="BI17" s="11">
        <f>IF(Inputs!$F$47=1,Inputs!BI298,Inputs!BI299)</f>
        <v/>
      </c>
      <c r="BJ17" s="11">
        <f>IF(Inputs!$F$47=1,Inputs!BJ298,Inputs!BJ299)</f>
        <v/>
      </c>
      <c r="BK17" s="11">
        <f>IF(Inputs!$F$47=1,Inputs!BK298,Inputs!BK299)</f>
        <v/>
      </c>
      <c r="BL17" s="11">
        <f>IF(Inputs!$F$47=1,Inputs!BL298,Inputs!BL299)</f>
        <v/>
      </c>
      <c r="BM17" s="11">
        <f>IF(Inputs!$F$47=1,Inputs!BM298,Inputs!BM299)</f>
        <v/>
      </c>
      <c r="BN17" s="11">
        <f>IF(Inputs!$F$47=1,Inputs!BN298,Inputs!BN299)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1">
        <f>SUM(J17:BN17)</f>
        <v/>
      </c>
      <c r="K18" s="11">
        <f>SUM(K17:BN17)</f>
        <v/>
      </c>
      <c r="L18" s="11">
        <f>SUM(L17:BN17)</f>
        <v/>
      </c>
      <c r="M18" s="11">
        <f>SUM(M17:BN17)</f>
        <v/>
      </c>
      <c r="N18" s="11">
        <f>SUM(N17:BN17)</f>
        <v/>
      </c>
      <c r="O18" s="11">
        <f>SUM(O17:BN17)</f>
        <v/>
      </c>
      <c r="P18" s="11">
        <f>SUM(P17:BN17)</f>
        <v/>
      </c>
      <c r="Q18" s="11">
        <f>SUM(Q17:BN17)</f>
        <v/>
      </c>
      <c r="R18" s="11">
        <f>SUM(R17:BN17)</f>
        <v/>
      </c>
      <c r="S18" s="11">
        <f>SUM(S17:BN17)</f>
        <v/>
      </c>
      <c r="T18" s="11">
        <f>SUM(T17:BN17)</f>
        <v/>
      </c>
      <c r="U18" s="11">
        <f>SUM(U17:BN17)</f>
        <v/>
      </c>
      <c r="V18" s="11">
        <f>SUM(V17:BN17)</f>
        <v/>
      </c>
      <c r="W18" s="11">
        <f>SUM(W17:BN17)</f>
        <v/>
      </c>
      <c r="X18" s="11">
        <f>SUM(X17:BN17)</f>
        <v/>
      </c>
      <c r="Y18" s="11">
        <f>SUM(Y17:BN17)</f>
        <v/>
      </c>
      <c r="Z18" s="11">
        <f>SUM(Z17:BN17)</f>
        <v/>
      </c>
      <c r="AA18" s="11">
        <f>SUM(AA17:BN17)</f>
        <v/>
      </c>
      <c r="AB18" s="11">
        <f>SUM(AB17:BN17)</f>
        <v/>
      </c>
      <c r="AC18" s="11">
        <f>SUM(AC17:BN17)</f>
        <v/>
      </c>
      <c r="AD18" s="11">
        <f>SUM(AD17:BN17)</f>
        <v/>
      </c>
      <c r="AE18" s="11">
        <f>SUM(AE17:BN17)</f>
        <v/>
      </c>
      <c r="AF18" s="11">
        <f>SUM(AF17:BN17)</f>
        <v/>
      </c>
      <c r="AG18" s="11">
        <f>SUM(AG17:BN17)</f>
        <v/>
      </c>
      <c r="AH18" s="11">
        <f>SUM(AH17:BN17)</f>
        <v/>
      </c>
      <c r="AI18" s="11">
        <f>SUM(AI17:BN17)</f>
        <v/>
      </c>
      <c r="AJ18" s="11">
        <f>SUM(AJ17:BN17)</f>
        <v/>
      </c>
      <c r="AK18" s="11">
        <f>SUM(AK17:BN17)</f>
        <v/>
      </c>
      <c r="AL18" s="11">
        <f>SUM(AL17:BN17)</f>
        <v/>
      </c>
      <c r="AM18" s="11">
        <f>SUM(AM17:BN17)</f>
        <v/>
      </c>
      <c r="AN18" s="11">
        <f>SUM(AN17:BN17)</f>
        <v/>
      </c>
      <c r="AO18" s="11">
        <f>SUM(AO17:BN17)</f>
        <v/>
      </c>
      <c r="AP18" s="11">
        <f>SUM(AP17:BN17)</f>
        <v/>
      </c>
      <c r="AQ18" s="11">
        <f>SUM(AQ17:BN17)</f>
        <v/>
      </c>
      <c r="AR18" s="11">
        <f>SUM(AR17:BN17)</f>
        <v/>
      </c>
      <c r="AS18" s="11">
        <f>SUM(AS17:BN17)</f>
        <v/>
      </c>
      <c r="AT18" s="11">
        <f>SUM(AT17:BN17)</f>
        <v/>
      </c>
      <c r="AU18" s="11">
        <f>SUM(AU17:BN17)</f>
        <v/>
      </c>
      <c r="AV18" s="11">
        <f>SUM(AV17:BN17)</f>
        <v/>
      </c>
      <c r="AW18" s="11">
        <f>SUM(AW17:BN17)</f>
        <v/>
      </c>
      <c r="AX18" s="11">
        <f>SUM(AX17:BN17)</f>
        <v/>
      </c>
      <c r="AY18" s="11">
        <f>SUM(AY17:BN17)</f>
        <v/>
      </c>
      <c r="AZ18" s="11">
        <f>SUM(AZ17:BN17)</f>
        <v/>
      </c>
      <c r="BA18" s="11">
        <f>SUM(BA17:BN17)</f>
        <v/>
      </c>
      <c r="BB18" s="11">
        <f>SUM(BB17:BN17)</f>
        <v/>
      </c>
      <c r="BC18" s="11">
        <f>SUM(BC17:BN17)</f>
        <v/>
      </c>
      <c r="BD18" s="11">
        <f>SUM(BD17:BN17)</f>
        <v/>
      </c>
      <c r="BE18" s="11">
        <f>SUM(BE17:BN17)</f>
        <v/>
      </c>
      <c r="BF18" s="11">
        <f>SUM(BF17:BN17)</f>
        <v/>
      </c>
      <c r="BG18" s="11">
        <f>SUM(BG17:BN17)</f>
        <v/>
      </c>
      <c r="BH18" s="11">
        <f>SUM(BH17:BN17)</f>
        <v/>
      </c>
      <c r="BI18" s="11">
        <f>SUM(BI17:BN17)</f>
        <v/>
      </c>
      <c r="BJ18" s="11">
        <f>SUM(BJ17:BN17)</f>
        <v/>
      </c>
      <c r="BK18" s="11">
        <f>SUM(BK17:BN17)</f>
        <v/>
      </c>
      <c r="BL18" s="11">
        <f>SUM(BL17:BN17)</f>
        <v/>
      </c>
      <c r="BM18" s="11">
        <f>SUM(BM17:BN17)</f>
        <v/>
      </c>
      <c r="BN18" s="11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1">
        <f>IF(J18&gt;Inputs!$F$253,J17/J18,0)</f>
        <v/>
      </c>
      <c r="K19" s="11">
        <f>IF(K18&gt;Inputs!$F$253,K17/K18,0)</f>
        <v/>
      </c>
      <c r="L19" s="11">
        <f>IF(L18&gt;Inputs!$F$253,L17/L18,0)</f>
        <v/>
      </c>
      <c r="M19" s="11">
        <f>IF(M18&gt;Inputs!$F$253,M17/M18,0)</f>
        <v/>
      </c>
      <c r="N19" s="11">
        <f>IF(N18&gt;Inputs!$F$253,N17/N18,0)</f>
        <v/>
      </c>
      <c r="O19" s="11">
        <f>IF(O18&gt;Inputs!$F$253,O17/O18,0)</f>
        <v/>
      </c>
      <c r="P19" s="11">
        <f>IF(P18&gt;Inputs!$F$253,P17/P18,0)</f>
        <v/>
      </c>
      <c r="Q19" s="11">
        <f>IF(Q18&gt;Inputs!$F$253,Q17/Q18,0)</f>
        <v/>
      </c>
      <c r="R19" s="11">
        <f>IF(R18&gt;Inputs!$F$253,R17/R18,0)</f>
        <v/>
      </c>
      <c r="S19" s="11">
        <f>IF(S18&gt;Inputs!$F$253,S17/S18,0)</f>
        <v/>
      </c>
      <c r="T19" s="11">
        <f>IF(T18&gt;Inputs!$F$253,T17/T18,0)</f>
        <v/>
      </c>
      <c r="U19" s="11">
        <f>IF(U18&gt;Inputs!$F$253,U17/U18,0)</f>
        <v/>
      </c>
      <c r="V19" s="11">
        <f>IF(V18&gt;Inputs!$F$253,V17/V18,0)</f>
        <v/>
      </c>
      <c r="W19" s="11">
        <f>IF(W18&gt;Inputs!$F$253,W17/W18,0)</f>
        <v/>
      </c>
      <c r="X19" s="11">
        <f>IF(X18&gt;Inputs!$F$253,X17/X18,0)</f>
        <v/>
      </c>
      <c r="Y19" s="11">
        <f>IF(Y18&gt;Inputs!$F$253,Y17/Y18,0)</f>
        <v/>
      </c>
      <c r="Z19" s="11">
        <f>IF(Z18&gt;Inputs!$F$253,Z17/Z18,0)</f>
        <v/>
      </c>
      <c r="AA19" s="11">
        <f>IF(AA18&gt;Inputs!$F$253,AA17/AA18,0)</f>
        <v/>
      </c>
      <c r="AB19" s="11">
        <f>IF(AB18&gt;Inputs!$F$253,AB17/AB18,0)</f>
        <v/>
      </c>
      <c r="AC19" s="11">
        <f>IF(AC18&gt;Inputs!$F$253,AC17/AC18,0)</f>
        <v/>
      </c>
      <c r="AD19" s="11">
        <f>IF(AD18&gt;Inputs!$F$253,AD17/AD18,0)</f>
        <v/>
      </c>
      <c r="AE19" s="11">
        <f>IF(AE18&gt;Inputs!$F$253,AE17/AE18,0)</f>
        <v/>
      </c>
      <c r="AF19" s="11">
        <f>IF(AF18&gt;Inputs!$F$253,AF17/AF18,0)</f>
        <v/>
      </c>
      <c r="AG19" s="11">
        <f>IF(AG18&gt;Inputs!$F$253,AG17/AG18,0)</f>
        <v/>
      </c>
      <c r="AH19" s="11">
        <f>IF(AH18&gt;Inputs!$F$253,AH17/AH18,0)</f>
        <v/>
      </c>
      <c r="AI19" s="11">
        <f>IF(AI18&gt;Inputs!$F$253,AI17/AI18,0)</f>
        <v/>
      </c>
      <c r="AJ19" s="11">
        <f>IF(AJ18&gt;Inputs!$F$253,AJ17/AJ18,0)</f>
        <v/>
      </c>
      <c r="AK19" s="11">
        <f>IF(AK18&gt;Inputs!$F$253,AK17/AK18,0)</f>
        <v/>
      </c>
      <c r="AL19" s="11">
        <f>IF(AL18&gt;Inputs!$F$253,AL17/AL18,0)</f>
        <v/>
      </c>
      <c r="AM19" s="11">
        <f>IF(AM18&gt;Inputs!$F$253,AM17/AM18,0)</f>
        <v/>
      </c>
      <c r="AN19" s="11">
        <f>IF(AN18&gt;Inputs!$F$253,AN17/AN18,0)</f>
        <v/>
      </c>
      <c r="AO19" s="11">
        <f>IF(AO18&gt;Inputs!$F$253,AO17/AO18,0)</f>
        <v/>
      </c>
      <c r="AP19" s="11">
        <f>IF(AP18&gt;Inputs!$F$253,AP17/AP18,0)</f>
        <v/>
      </c>
      <c r="AQ19" s="11">
        <f>IF(AQ18&gt;Inputs!$F$253,AQ17/AQ18,0)</f>
        <v/>
      </c>
      <c r="AR19" s="11">
        <f>IF(AR18&gt;Inputs!$F$253,AR17/AR18,0)</f>
        <v/>
      </c>
      <c r="AS19" s="11">
        <f>IF(AS18&gt;Inputs!$F$253,AS17/AS18,0)</f>
        <v/>
      </c>
      <c r="AT19" s="11">
        <f>IF(AT18&gt;Inputs!$F$253,AT17/AT18,0)</f>
        <v/>
      </c>
      <c r="AU19" s="11">
        <f>IF(AU18&gt;Inputs!$F$253,AU17/AU18,0)</f>
        <v/>
      </c>
      <c r="AV19" s="11">
        <f>IF(AV18&gt;Inputs!$F$253,AV17/AV18,0)</f>
        <v/>
      </c>
      <c r="AW19" s="11">
        <f>IF(AW18&gt;Inputs!$F$253,AW17/AW18,0)</f>
        <v/>
      </c>
      <c r="AX19" s="11">
        <f>IF(AX18&gt;Inputs!$F$253,AX17/AX18,0)</f>
        <v/>
      </c>
      <c r="AY19" s="11">
        <f>IF(AY18&gt;Inputs!$F$253,AY17/AY18,0)</f>
        <v/>
      </c>
      <c r="AZ19" s="11">
        <f>IF(AZ18&gt;Inputs!$F$253,AZ17/AZ18,0)</f>
        <v/>
      </c>
      <c r="BA19" s="11">
        <f>IF(BA18&gt;Inputs!$F$253,BA17/BA18,0)</f>
        <v/>
      </c>
      <c r="BB19" s="11">
        <f>IF(BB18&gt;Inputs!$F$253,BB17/BB18,0)</f>
        <v/>
      </c>
      <c r="BC19" s="11">
        <f>IF(BC18&gt;Inputs!$F$253,BC17/BC18,0)</f>
        <v/>
      </c>
      <c r="BD19" s="11">
        <f>IF(BD18&gt;Inputs!$F$253,BD17/BD18,0)</f>
        <v/>
      </c>
      <c r="BE19" s="11">
        <f>IF(BE18&gt;Inputs!$F$253,BE17/BE18,0)</f>
        <v/>
      </c>
      <c r="BF19" s="11">
        <f>IF(BF18&gt;Inputs!$F$253,BF17/BF18,0)</f>
        <v/>
      </c>
      <c r="BG19" s="11">
        <f>IF(BG18&gt;Inputs!$F$253,BG17/BG18,0)</f>
        <v/>
      </c>
      <c r="BH19" s="11">
        <f>IF(BH18&gt;Inputs!$F$253,BH17/BH18,0)</f>
        <v/>
      </c>
      <c r="BI19" s="11">
        <f>IF(BI18&gt;Inputs!$F$253,BI17/BI18,0)</f>
        <v/>
      </c>
      <c r="BJ19" s="11">
        <f>IF(BJ18&gt;Inputs!$F$253,BJ17/BJ18,0)</f>
        <v/>
      </c>
      <c r="BK19" s="11">
        <f>IF(BK18&gt;Inputs!$F$253,BK17/BK18,0)</f>
        <v/>
      </c>
      <c r="BL19" s="11">
        <f>IF(BL18&gt;Inputs!$F$253,BL17/BL18,0)</f>
        <v/>
      </c>
      <c r="BM19" s="11">
        <f>IF(BM18&gt;Inputs!$F$253,BM17/BM18,0)</f>
        <v/>
      </c>
      <c r="BN19" s="11">
        <f>IF(BN18&gt;Inputs!$F$253,BN17/BN18,0)</f>
        <v/>
      </c>
    </row>
    <row r="20">
      <c r="B20" s="2" t="inlineStr">
        <is>
          <t>ECA-covered tranche</t>
        </is>
      </c>
    </row>
    <row r="21">
      <c r="D21" t="inlineStr">
        <is>
          <t>Opening balance</t>
        </is>
      </c>
      <c r="E21" t="inlineStr">
        <is>
          <t>USD m</t>
        </is>
      </c>
      <c r="J21" s="13">
        <f>Time!J35*I33</f>
        <v/>
      </c>
      <c r="K21" s="13">
        <f>Time!K35*J33</f>
        <v/>
      </c>
      <c r="L21" s="13">
        <f>Time!L35*K33</f>
        <v/>
      </c>
      <c r="M21" s="13">
        <f>Time!M35*L33</f>
        <v/>
      </c>
      <c r="N21" s="13">
        <f>Time!N35*M33</f>
        <v/>
      </c>
      <c r="O21" s="13">
        <f>Time!O35*N33</f>
        <v/>
      </c>
      <c r="P21" s="13">
        <f>Time!P35*O33</f>
        <v/>
      </c>
      <c r="Q21" s="13">
        <f>Time!Q35*P33</f>
        <v/>
      </c>
      <c r="R21" s="13">
        <f>Time!R35*Q33</f>
        <v/>
      </c>
      <c r="S21" s="13">
        <f>Time!S35*R33</f>
        <v/>
      </c>
      <c r="T21" s="13">
        <f>Time!T35*S33</f>
        <v/>
      </c>
      <c r="U21" s="13">
        <f>Time!U35*T33</f>
        <v/>
      </c>
      <c r="V21" s="13">
        <f>Time!V35*U33</f>
        <v/>
      </c>
      <c r="W21" s="13">
        <f>Time!W35*V33</f>
        <v/>
      </c>
      <c r="X21" s="13">
        <f>Time!X35*W33</f>
        <v/>
      </c>
      <c r="Y21" s="13">
        <f>Time!Y35*X33</f>
        <v/>
      </c>
      <c r="Z21" s="13">
        <f>Time!Z35*Y33</f>
        <v/>
      </c>
      <c r="AA21" s="13">
        <f>Time!AA35*Z33</f>
        <v/>
      </c>
      <c r="AB21" s="13">
        <f>Time!AB35*AA33</f>
        <v/>
      </c>
      <c r="AC21" s="13">
        <f>Time!AC35*AB33</f>
        <v/>
      </c>
      <c r="AD21" s="13">
        <f>Time!AD35*AC33</f>
        <v/>
      </c>
      <c r="AE21" s="13">
        <f>Time!AE35*AD33</f>
        <v/>
      </c>
      <c r="AF21" s="13">
        <f>Time!AF35*AE33</f>
        <v/>
      </c>
      <c r="AG21" s="13">
        <f>Time!AG35*AF33</f>
        <v/>
      </c>
      <c r="AH21" s="13">
        <f>Time!AH35*AG33</f>
        <v/>
      </c>
      <c r="AI21" s="13">
        <f>Time!AI35*AH33</f>
        <v/>
      </c>
      <c r="AJ21" s="13">
        <f>Time!AJ35*AI33</f>
        <v/>
      </c>
      <c r="AK21" s="13">
        <f>Time!AK35*AJ33</f>
        <v/>
      </c>
      <c r="AL21" s="13">
        <f>Time!AL35*AK33</f>
        <v/>
      </c>
      <c r="AM21" s="13">
        <f>Time!AM35*AL33</f>
        <v/>
      </c>
      <c r="AN21" s="13">
        <f>Time!AN35*AM33</f>
        <v/>
      </c>
      <c r="AO21" s="13">
        <f>Time!AO35*AN33</f>
        <v/>
      </c>
      <c r="AP21" s="13">
        <f>Time!AP35*AO33</f>
        <v/>
      </c>
      <c r="AQ21" s="13">
        <f>Time!AQ35*AP33</f>
        <v/>
      </c>
      <c r="AR21" s="13">
        <f>Time!AR35*AQ33</f>
        <v/>
      </c>
      <c r="AS21" s="13">
        <f>Time!AS35*AR33</f>
        <v/>
      </c>
      <c r="AT21" s="13">
        <f>Time!AT35*AS33</f>
        <v/>
      </c>
      <c r="AU21" s="13">
        <f>Time!AU35*AT33</f>
        <v/>
      </c>
      <c r="AV21" s="13">
        <f>Time!AV35*AU33</f>
        <v/>
      </c>
      <c r="AW21" s="13">
        <f>Time!AW35*AV33</f>
        <v/>
      </c>
      <c r="AX21" s="13">
        <f>Time!AX35*AW33</f>
        <v/>
      </c>
      <c r="AY21" s="13">
        <f>Time!AY35*AX33</f>
        <v/>
      </c>
      <c r="AZ21" s="13">
        <f>Time!AZ35*AY33</f>
        <v/>
      </c>
      <c r="BA21" s="13">
        <f>Time!BA35*AZ33</f>
        <v/>
      </c>
      <c r="BB21" s="13">
        <f>Time!BB35*BA33</f>
        <v/>
      </c>
      <c r="BC21" s="13">
        <f>Time!BC35*BB33</f>
        <v/>
      </c>
      <c r="BD21" s="13">
        <f>Time!BD35*BC33</f>
        <v/>
      </c>
      <c r="BE21" s="13">
        <f>Time!BE35*BD33</f>
        <v/>
      </c>
      <c r="BF21" s="13">
        <f>Time!BF35*BE33</f>
        <v/>
      </c>
      <c r="BG21" s="13">
        <f>Time!BG35*BF33</f>
        <v/>
      </c>
      <c r="BH21" s="13">
        <f>Time!BH35*BG33</f>
        <v/>
      </c>
      <c r="BI21" s="13">
        <f>Time!BI35*BH33</f>
        <v/>
      </c>
      <c r="BJ21" s="13">
        <f>Time!BJ35*BI33</f>
        <v/>
      </c>
      <c r="BK21" s="13">
        <f>Time!BK35*BJ33</f>
        <v/>
      </c>
      <c r="BL21" s="13">
        <f>Time!BL35*BK33</f>
        <v/>
      </c>
      <c r="BM21" s="13">
        <f>Time!BM35*BL33</f>
        <v/>
      </c>
      <c r="BN21" s="13">
        <f>Time!BN35*BM33</f>
        <v/>
      </c>
    </row>
    <row r="22">
      <c r="D22" t="inlineStr">
        <is>
          <t>Deferred principal, opening</t>
        </is>
      </c>
      <c r="E22" t="inlineStr">
        <is>
          <t>USD m</t>
        </is>
      </c>
      <c r="J22" s="13">
        <f>I30</f>
        <v/>
      </c>
      <c r="K22" s="13">
        <f>J30</f>
        <v/>
      </c>
      <c r="L22" s="13">
        <f>K30</f>
        <v/>
      </c>
      <c r="M22" s="13">
        <f>L30</f>
        <v/>
      </c>
      <c r="N22" s="13">
        <f>M30</f>
        <v/>
      </c>
      <c r="O22" s="13">
        <f>N30</f>
        <v/>
      </c>
      <c r="P22" s="13">
        <f>O30</f>
        <v/>
      </c>
      <c r="Q22" s="13">
        <f>P30</f>
        <v/>
      </c>
      <c r="R22" s="13">
        <f>Q30</f>
        <v/>
      </c>
      <c r="S22" s="13">
        <f>R30</f>
        <v/>
      </c>
      <c r="T22" s="13">
        <f>S30</f>
        <v/>
      </c>
      <c r="U22" s="13">
        <f>T30</f>
        <v/>
      </c>
      <c r="V22" s="13">
        <f>U30</f>
        <v/>
      </c>
      <c r="W22" s="13">
        <f>V30</f>
        <v/>
      </c>
      <c r="X22" s="13">
        <f>W30</f>
        <v/>
      </c>
      <c r="Y22" s="13">
        <f>X30</f>
        <v/>
      </c>
      <c r="Z22" s="13">
        <f>Y30</f>
        <v/>
      </c>
      <c r="AA22" s="13">
        <f>Z30</f>
        <v/>
      </c>
      <c r="AB22" s="13">
        <f>AA30</f>
        <v/>
      </c>
      <c r="AC22" s="13">
        <f>AB30</f>
        <v/>
      </c>
      <c r="AD22" s="13">
        <f>AC30</f>
        <v/>
      </c>
      <c r="AE22" s="13">
        <f>AD30</f>
        <v/>
      </c>
      <c r="AF22" s="13">
        <f>AE30</f>
        <v/>
      </c>
      <c r="AG22" s="13">
        <f>AF30</f>
        <v/>
      </c>
      <c r="AH22" s="13">
        <f>AG30</f>
        <v/>
      </c>
      <c r="AI22" s="13">
        <f>AH30</f>
        <v/>
      </c>
      <c r="AJ22" s="13">
        <f>AI30</f>
        <v/>
      </c>
      <c r="AK22" s="13">
        <f>AJ30</f>
        <v/>
      </c>
      <c r="AL22" s="13">
        <f>AK30</f>
        <v/>
      </c>
      <c r="AM22" s="13">
        <f>AL30</f>
        <v/>
      </c>
      <c r="AN22" s="13">
        <f>AM30</f>
        <v/>
      </c>
      <c r="AO22" s="13">
        <f>AN30</f>
        <v/>
      </c>
      <c r="AP22" s="13">
        <f>AO30</f>
        <v/>
      </c>
      <c r="AQ22" s="13">
        <f>AP30</f>
        <v/>
      </c>
      <c r="AR22" s="13">
        <f>AQ30</f>
        <v/>
      </c>
      <c r="AS22" s="13">
        <f>AR30</f>
        <v/>
      </c>
      <c r="AT22" s="13">
        <f>AS30</f>
        <v/>
      </c>
      <c r="AU22" s="13">
        <f>AT30</f>
        <v/>
      </c>
      <c r="AV22" s="13">
        <f>AU30</f>
        <v/>
      </c>
      <c r="AW22" s="13">
        <f>AV30</f>
        <v/>
      </c>
      <c r="AX22" s="13">
        <f>AW30</f>
        <v/>
      </c>
      <c r="AY22" s="13">
        <f>AX30</f>
        <v/>
      </c>
      <c r="AZ22" s="13">
        <f>AY30</f>
        <v/>
      </c>
      <c r="BA22" s="13">
        <f>AZ30</f>
        <v/>
      </c>
      <c r="BB22" s="13">
        <f>BA30</f>
        <v/>
      </c>
      <c r="BC22" s="13">
        <f>BB30</f>
        <v/>
      </c>
      <c r="BD22" s="13">
        <f>BC30</f>
        <v/>
      </c>
      <c r="BE22" s="13">
        <f>BD30</f>
        <v/>
      </c>
      <c r="BF22" s="13">
        <f>BE30</f>
        <v/>
      </c>
      <c r="BG22" s="13">
        <f>BF30</f>
        <v/>
      </c>
      <c r="BH22" s="13">
        <f>BG30</f>
        <v/>
      </c>
      <c r="BI22" s="13">
        <f>BH30</f>
        <v/>
      </c>
      <c r="BJ22" s="13">
        <f>BI30</f>
        <v/>
      </c>
      <c r="BK22" s="13">
        <f>BJ30</f>
        <v/>
      </c>
      <c r="BL22" s="13">
        <f>BK30</f>
        <v/>
      </c>
      <c r="BM22" s="13">
        <f>BL30</f>
        <v/>
      </c>
      <c r="BN22" s="13">
        <f>BM30</f>
        <v/>
      </c>
    </row>
    <row r="23">
      <c r="D23" t="inlineStr">
        <is>
          <t>Interest (incl. WHT gross-up where applicable)</t>
        </is>
      </c>
      <c r="E23" t="inlineStr">
        <is>
          <t>USD m</t>
        </is>
      </c>
      <c r="G23" s="13">
        <f>SUM(J23:BN23)</f>
        <v/>
      </c>
      <c r="J23" s="13">
        <f>J21*J10</f>
        <v/>
      </c>
      <c r="K23" s="13">
        <f>K21*K10</f>
        <v/>
      </c>
      <c r="L23" s="13">
        <f>L21*L10</f>
        <v/>
      </c>
      <c r="M23" s="13">
        <f>M21*M10</f>
        <v/>
      </c>
      <c r="N23" s="13">
        <f>N21*N10</f>
        <v/>
      </c>
      <c r="O23" s="13">
        <f>O21*O10</f>
        <v/>
      </c>
      <c r="P23" s="13">
        <f>P21*P10</f>
        <v/>
      </c>
      <c r="Q23" s="13">
        <f>Q21*Q10</f>
        <v/>
      </c>
      <c r="R23" s="13">
        <f>R21*R10</f>
        <v/>
      </c>
      <c r="S23" s="13">
        <f>S21*S10</f>
        <v/>
      </c>
      <c r="T23" s="13">
        <f>T21*T10</f>
        <v/>
      </c>
      <c r="U23" s="13">
        <f>U21*U10</f>
        <v/>
      </c>
      <c r="V23" s="13">
        <f>V21*V10</f>
        <v/>
      </c>
      <c r="W23" s="13">
        <f>W21*W10</f>
        <v/>
      </c>
      <c r="X23" s="13">
        <f>X21*X10</f>
        <v/>
      </c>
      <c r="Y23" s="13">
        <f>Y21*Y10</f>
        <v/>
      </c>
      <c r="Z23" s="13">
        <f>Z21*Z10</f>
        <v/>
      </c>
      <c r="AA23" s="13">
        <f>AA21*AA10</f>
        <v/>
      </c>
      <c r="AB23" s="13">
        <f>AB21*AB10</f>
        <v/>
      </c>
      <c r="AC23" s="13">
        <f>AC21*AC10</f>
        <v/>
      </c>
      <c r="AD23" s="13">
        <f>AD21*AD10</f>
        <v/>
      </c>
      <c r="AE23" s="13">
        <f>AE21*AE10</f>
        <v/>
      </c>
      <c r="AF23" s="13">
        <f>AF21*AF10</f>
        <v/>
      </c>
      <c r="AG23" s="13">
        <f>AG21*AG10</f>
        <v/>
      </c>
      <c r="AH23" s="13">
        <f>AH21*AH10</f>
        <v/>
      </c>
      <c r="AI23" s="13">
        <f>AI21*AI10</f>
        <v/>
      </c>
      <c r="AJ23" s="13">
        <f>AJ21*AJ10</f>
        <v/>
      </c>
      <c r="AK23" s="13">
        <f>AK21*AK10</f>
        <v/>
      </c>
      <c r="AL23" s="13">
        <f>AL21*AL10</f>
        <v/>
      </c>
      <c r="AM23" s="13">
        <f>AM21*AM10</f>
        <v/>
      </c>
      <c r="AN23" s="13">
        <f>AN21*AN10</f>
        <v/>
      </c>
      <c r="AO23" s="13">
        <f>AO21*AO10</f>
        <v/>
      </c>
      <c r="AP23" s="13">
        <f>AP21*AP10</f>
        <v/>
      </c>
      <c r="AQ23" s="13">
        <f>AQ21*AQ10</f>
        <v/>
      </c>
      <c r="AR23" s="13">
        <f>AR21*AR10</f>
        <v/>
      </c>
      <c r="AS23" s="13">
        <f>AS21*AS10</f>
        <v/>
      </c>
      <c r="AT23" s="13">
        <f>AT21*AT10</f>
        <v/>
      </c>
      <c r="AU23" s="13">
        <f>AU21*AU10</f>
        <v/>
      </c>
      <c r="AV23" s="13">
        <f>AV21*AV10</f>
        <v/>
      </c>
      <c r="AW23" s="13">
        <f>AW21*AW10</f>
        <v/>
      </c>
      <c r="AX23" s="13">
        <f>AX21*AX10</f>
        <v/>
      </c>
      <c r="AY23" s="13">
        <f>AY21*AY10</f>
        <v/>
      </c>
      <c r="AZ23" s="13">
        <f>AZ21*AZ10</f>
        <v/>
      </c>
      <c r="BA23" s="13">
        <f>BA21*BA10</f>
        <v/>
      </c>
      <c r="BB23" s="13">
        <f>BB21*BB10</f>
        <v/>
      </c>
      <c r="BC23" s="13">
        <f>BC21*BC10</f>
        <v/>
      </c>
      <c r="BD23" s="13">
        <f>BD21*BD10</f>
        <v/>
      </c>
      <c r="BE23" s="13">
        <f>BE21*BE10</f>
        <v/>
      </c>
      <c r="BF23" s="13">
        <f>BF21*BF10</f>
        <v/>
      </c>
      <c r="BG23" s="13">
        <f>BG21*BG10</f>
        <v/>
      </c>
      <c r="BH23" s="13">
        <f>BH21*BH10</f>
        <v/>
      </c>
      <c r="BI23" s="13">
        <f>BI21*BI10</f>
        <v/>
      </c>
      <c r="BJ23" s="13">
        <f>BJ21*BJ10</f>
        <v/>
      </c>
      <c r="BK23" s="13">
        <f>BK21*BK10</f>
        <v/>
      </c>
      <c r="BL23" s="13">
        <f>BL21*BL10</f>
        <v/>
      </c>
      <c r="BM23" s="13">
        <f>BM21*BM10</f>
        <v/>
      </c>
      <c r="BN23" s="13">
        <f>BN21*BN10</f>
        <v/>
      </c>
    </row>
    <row r="24">
      <c r="D24" t="inlineStr">
        <is>
          <t>Scheduled principal per profile</t>
        </is>
      </c>
      <c r="E24" t="inlineStr">
        <is>
          <t>USD m</t>
        </is>
      </c>
      <c r="G24" s="13">
        <f>SUM(J24:BN24)</f>
        <v/>
      </c>
      <c r="J24" s="13">
        <f>Time!J35*(J21-J22)*J19</f>
        <v/>
      </c>
      <c r="K24" s="13">
        <f>Time!K35*(K21-K22)*K19</f>
        <v/>
      </c>
      <c r="L24" s="13">
        <f>Time!L35*(L21-L22)*L19</f>
        <v/>
      </c>
      <c r="M24" s="13">
        <f>Time!M35*(M21-M22)*M19</f>
        <v/>
      </c>
      <c r="N24" s="13">
        <f>Time!N35*(N21-N22)*N19</f>
        <v/>
      </c>
      <c r="O24" s="13">
        <f>Time!O35*(O21-O22)*O19</f>
        <v/>
      </c>
      <c r="P24" s="13">
        <f>Time!P35*(P21-P22)*P19</f>
        <v/>
      </c>
      <c r="Q24" s="13">
        <f>Time!Q35*(Q21-Q22)*Q19</f>
        <v/>
      </c>
      <c r="R24" s="13">
        <f>Time!R35*(R21-R22)*R19</f>
        <v/>
      </c>
      <c r="S24" s="13">
        <f>Time!S35*(S21-S22)*S19</f>
        <v/>
      </c>
      <c r="T24" s="13">
        <f>Time!T35*(T21-T22)*T19</f>
        <v/>
      </c>
      <c r="U24" s="13">
        <f>Time!U35*(U21-U22)*U19</f>
        <v/>
      </c>
      <c r="V24" s="13">
        <f>Time!V35*(V21-V22)*V19</f>
        <v/>
      </c>
      <c r="W24" s="13">
        <f>Time!W35*(W21-W22)*W19</f>
        <v/>
      </c>
      <c r="X24" s="13">
        <f>Time!X35*(X21-X22)*X19</f>
        <v/>
      </c>
      <c r="Y24" s="13">
        <f>Time!Y35*(Y21-Y22)*Y19</f>
        <v/>
      </c>
      <c r="Z24" s="13">
        <f>Time!Z35*(Z21-Z22)*Z19</f>
        <v/>
      </c>
      <c r="AA24" s="13">
        <f>Time!AA35*(AA21-AA22)*AA19</f>
        <v/>
      </c>
      <c r="AB24" s="13">
        <f>Time!AB35*(AB21-AB22)*AB19</f>
        <v/>
      </c>
      <c r="AC24" s="13">
        <f>Time!AC35*(AC21-AC22)*AC19</f>
        <v/>
      </c>
      <c r="AD24" s="13">
        <f>Time!AD35*(AD21-AD22)*AD19</f>
        <v/>
      </c>
      <c r="AE24" s="13">
        <f>Time!AE35*(AE21-AE22)*AE19</f>
        <v/>
      </c>
      <c r="AF24" s="13">
        <f>Time!AF35*(AF21-AF22)*AF19</f>
        <v/>
      </c>
      <c r="AG24" s="13">
        <f>Time!AG35*(AG21-AG22)*AG19</f>
        <v/>
      </c>
      <c r="AH24" s="13">
        <f>Time!AH35*(AH21-AH22)*AH19</f>
        <v/>
      </c>
      <c r="AI24" s="13">
        <f>Time!AI35*(AI21-AI22)*AI19</f>
        <v/>
      </c>
      <c r="AJ24" s="13">
        <f>Time!AJ35*(AJ21-AJ22)*AJ19</f>
        <v/>
      </c>
      <c r="AK24" s="13">
        <f>Time!AK35*(AK21-AK22)*AK19</f>
        <v/>
      </c>
      <c r="AL24" s="13">
        <f>Time!AL35*(AL21-AL22)*AL19</f>
        <v/>
      </c>
      <c r="AM24" s="13">
        <f>Time!AM35*(AM21-AM22)*AM19</f>
        <v/>
      </c>
      <c r="AN24" s="13">
        <f>Time!AN35*(AN21-AN22)*AN19</f>
        <v/>
      </c>
      <c r="AO24" s="13">
        <f>Time!AO35*(AO21-AO22)*AO19</f>
        <v/>
      </c>
      <c r="AP24" s="13">
        <f>Time!AP35*(AP21-AP22)*AP19</f>
        <v/>
      </c>
      <c r="AQ24" s="13">
        <f>Time!AQ35*(AQ21-AQ22)*AQ19</f>
        <v/>
      </c>
      <c r="AR24" s="13">
        <f>Time!AR35*(AR21-AR22)*AR19</f>
        <v/>
      </c>
      <c r="AS24" s="13">
        <f>Time!AS35*(AS21-AS22)*AS19</f>
        <v/>
      </c>
      <c r="AT24" s="13">
        <f>Time!AT35*(AT21-AT22)*AT19</f>
        <v/>
      </c>
      <c r="AU24" s="13">
        <f>Time!AU35*(AU21-AU22)*AU19</f>
        <v/>
      </c>
      <c r="AV24" s="13">
        <f>Time!AV35*(AV21-AV22)*AV19</f>
        <v/>
      </c>
      <c r="AW24" s="13">
        <f>Time!AW35*(AW21-AW22)*AW19</f>
        <v/>
      </c>
      <c r="AX24" s="13">
        <f>Time!AX35*(AX21-AX22)*AX19</f>
        <v/>
      </c>
      <c r="AY24" s="13">
        <f>Time!AY35*(AY21-AY22)*AY19</f>
        <v/>
      </c>
      <c r="AZ24" s="13">
        <f>Time!AZ35*(AZ21-AZ22)*AZ19</f>
        <v/>
      </c>
      <c r="BA24" s="13">
        <f>Time!BA35*(BA21-BA22)*BA19</f>
        <v/>
      </c>
      <c r="BB24" s="13">
        <f>Time!BB35*(BB21-BB22)*BB19</f>
        <v/>
      </c>
      <c r="BC24" s="13">
        <f>Time!BC35*(BC21-BC22)*BC19</f>
        <v/>
      </c>
      <c r="BD24" s="13">
        <f>Time!BD35*(BD21-BD22)*BD19</f>
        <v/>
      </c>
      <c r="BE24" s="13">
        <f>Time!BE35*(BE21-BE22)*BE19</f>
        <v/>
      </c>
      <c r="BF24" s="13">
        <f>Time!BF35*(BF21-BF22)*BF19</f>
        <v/>
      </c>
      <c r="BG24" s="13">
        <f>Time!BG35*(BG21-BG22)*BG19</f>
        <v/>
      </c>
      <c r="BH24" s="13">
        <f>Time!BH35*(BH21-BH22)*BH19</f>
        <v/>
      </c>
      <c r="BI24" s="13">
        <f>Time!BI35*(BI21-BI22)*BI19</f>
        <v/>
      </c>
      <c r="BJ24" s="13">
        <f>Time!BJ35*(BJ21-BJ22)*BJ19</f>
        <v/>
      </c>
      <c r="BK24" s="13">
        <f>Time!BK35*(BK21-BK22)*BK19</f>
        <v/>
      </c>
      <c r="BL24" s="13">
        <f>Time!BL35*(BL21-BL22)*BL19</f>
        <v/>
      </c>
      <c r="BM24" s="13">
        <f>Time!BM35*(BM21-BM22)*BM19</f>
        <v/>
      </c>
      <c r="BN24" s="13">
        <f>Time!BN35*(BN21-BN22)*BN19</f>
        <v/>
      </c>
    </row>
    <row r="25">
      <c r="D25" t="inlineStr">
        <is>
          <t>Principal deferred under the waiver</t>
        </is>
      </c>
      <c r="E25" t="inlineStr">
        <is>
          <t>USD m</t>
        </is>
      </c>
      <c r="G25" s="13">
        <f>SUM(J25:BN25)</f>
        <v/>
      </c>
      <c r="J25" s="13">
        <f>Time!J43*Inputs!$F$270*J24</f>
        <v/>
      </c>
      <c r="K25" s="13">
        <f>Time!K43*Inputs!$F$270*K24</f>
        <v/>
      </c>
      <c r="L25" s="13">
        <f>Time!L43*Inputs!$F$270*L24</f>
        <v/>
      </c>
      <c r="M25" s="13">
        <f>Time!M43*Inputs!$F$270*M24</f>
        <v/>
      </c>
      <c r="N25" s="13">
        <f>Time!N43*Inputs!$F$270*N24</f>
        <v/>
      </c>
      <c r="O25" s="13">
        <f>Time!O43*Inputs!$F$270*O24</f>
        <v/>
      </c>
      <c r="P25" s="13">
        <f>Time!P43*Inputs!$F$270*P24</f>
        <v/>
      </c>
      <c r="Q25" s="13">
        <f>Time!Q43*Inputs!$F$270*Q24</f>
        <v/>
      </c>
      <c r="R25" s="13">
        <f>Time!R43*Inputs!$F$270*R24</f>
        <v/>
      </c>
      <c r="S25" s="13">
        <f>Time!S43*Inputs!$F$270*S24</f>
        <v/>
      </c>
      <c r="T25" s="13">
        <f>Time!T43*Inputs!$F$270*T24</f>
        <v/>
      </c>
      <c r="U25" s="13">
        <f>Time!U43*Inputs!$F$270*U24</f>
        <v/>
      </c>
      <c r="V25" s="13">
        <f>Time!V43*Inputs!$F$270*V24</f>
        <v/>
      </c>
      <c r="W25" s="13">
        <f>Time!W43*Inputs!$F$270*W24</f>
        <v/>
      </c>
      <c r="X25" s="13">
        <f>Time!X43*Inputs!$F$270*X24</f>
        <v/>
      </c>
      <c r="Y25" s="13">
        <f>Time!Y43*Inputs!$F$270*Y24</f>
        <v/>
      </c>
      <c r="Z25" s="13">
        <f>Time!Z43*Inputs!$F$270*Z24</f>
        <v/>
      </c>
      <c r="AA25" s="13">
        <f>Time!AA43*Inputs!$F$270*AA24</f>
        <v/>
      </c>
      <c r="AB25" s="13">
        <f>Time!AB43*Inputs!$F$270*AB24</f>
        <v/>
      </c>
      <c r="AC25" s="13">
        <f>Time!AC43*Inputs!$F$270*AC24</f>
        <v/>
      </c>
      <c r="AD25" s="13">
        <f>Time!AD43*Inputs!$F$270*AD24</f>
        <v/>
      </c>
      <c r="AE25" s="13">
        <f>Time!AE43*Inputs!$F$270*AE24</f>
        <v/>
      </c>
      <c r="AF25" s="13">
        <f>Time!AF43*Inputs!$F$270*AF24</f>
        <v/>
      </c>
      <c r="AG25" s="13">
        <f>Time!AG43*Inputs!$F$270*AG24</f>
        <v/>
      </c>
      <c r="AH25" s="13">
        <f>Time!AH43*Inputs!$F$270*AH24</f>
        <v/>
      </c>
      <c r="AI25" s="13">
        <f>Time!AI43*Inputs!$F$270*AI24</f>
        <v/>
      </c>
      <c r="AJ25" s="13">
        <f>Time!AJ43*Inputs!$F$270*AJ24</f>
        <v/>
      </c>
      <c r="AK25" s="13">
        <f>Time!AK43*Inputs!$F$270*AK24</f>
        <v/>
      </c>
      <c r="AL25" s="13">
        <f>Time!AL43*Inputs!$F$270*AL24</f>
        <v/>
      </c>
      <c r="AM25" s="13">
        <f>Time!AM43*Inputs!$F$270*AM24</f>
        <v/>
      </c>
      <c r="AN25" s="13">
        <f>Time!AN43*Inputs!$F$270*AN24</f>
        <v/>
      </c>
      <c r="AO25" s="13">
        <f>Time!AO43*Inputs!$F$270*AO24</f>
        <v/>
      </c>
      <c r="AP25" s="13">
        <f>Time!AP43*Inputs!$F$270*AP24</f>
        <v/>
      </c>
      <c r="AQ25" s="13">
        <f>Time!AQ43*Inputs!$F$270*AQ24</f>
        <v/>
      </c>
      <c r="AR25" s="13">
        <f>Time!AR43*Inputs!$F$270*AR24</f>
        <v/>
      </c>
      <c r="AS25" s="13">
        <f>Time!AS43*Inputs!$F$270*AS24</f>
        <v/>
      </c>
      <c r="AT25" s="13">
        <f>Time!AT43*Inputs!$F$270*AT24</f>
        <v/>
      </c>
      <c r="AU25" s="13">
        <f>Time!AU43*Inputs!$F$270*AU24</f>
        <v/>
      </c>
      <c r="AV25" s="13">
        <f>Time!AV43*Inputs!$F$270*AV24</f>
        <v/>
      </c>
      <c r="AW25" s="13">
        <f>Time!AW43*Inputs!$F$270*AW24</f>
        <v/>
      </c>
      <c r="AX25" s="13">
        <f>Time!AX43*Inputs!$F$270*AX24</f>
        <v/>
      </c>
      <c r="AY25" s="13">
        <f>Time!AY43*Inputs!$F$270*AY24</f>
        <v/>
      </c>
      <c r="AZ25" s="13">
        <f>Time!AZ43*Inputs!$F$270*AZ24</f>
        <v/>
      </c>
      <c r="BA25" s="13">
        <f>Time!BA43*Inputs!$F$270*BA24</f>
        <v/>
      </c>
      <c r="BB25" s="13">
        <f>Time!BB43*Inputs!$F$270*BB24</f>
        <v/>
      </c>
      <c r="BC25" s="13">
        <f>Time!BC43*Inputs!$F$270*BC24</f>
        <v/>
      </c>
      <c r="BD25" s="13">
        <f>Time!BD43*Inputs!$F$270*BD24</f>
        <v/>
      </c>
      <c r="BE25" s="13">
        <f>Time!BE43*Inputs!$F$270*BE24</f>
        <v/>
      </c>
      <c r="BF25" s="13">
        <f>Time!BF43*Inputs!$F$270*BF24</f>
        <v/>
      </c>
      <c r="BG25" s="13">
        <f>Time!BG43*Inputs!$F$270*BG24</f>
        <v/>
      </c>
      <c r="BH25" s="13">
        <f>Time!BH43*Inputs!$F$270*BH24</f>
        <v/>
      </c>
      <c r="BI25" s="13">
        <f>Time!BI43*Inputs!$F$270*BI24</f>
        <v/>
      </c>
      <c r="BJ25" s="13">
        <f>Time!BJ43*Inputs!$F$270*BJ24</f>
        <v/>
      </c>
      <c r="BK25" s="13">
        <f>Time!BK43*Inputs!$F$270*BK24</f>
        <v/>
      </c>
      <c r="BL25" s="13">
        <f>Time!BL43*Inputs!$F$270*BL24</f>
        <v/>
      </c>
      <c r="BM25" s="13">
        <f>Time!BM43*Inputs!$F$270*BM24</f>
        <v/>
      </c>
      <c r="BN25" s="13">
        <f>Time!BN43*Inputs!$F$270*BN24</f>
        <v/>
      </c>
    </row>
    <row r="26">
      <c r="D26" t="inlineStr">
        <is>
          <t>Deferred principal repaid (equal parts over the remaining repayment dates)</t>
        </is>
      </c>
      <c r="E26" t="inlineStr">
        <is>
          <t>USD m</t>
        </is>
      </c>
      <c r="G26" s="13">
        <f>SUM(J26:BN26)</f>
        <v/>
      </c>
      <c r="J26" s="13">
        <f>IF(Time!J46&gt;0,Time!J45*J22/Time!J46,0)</f>
        <v/>
      </c>
      <c r="K26" s="13">
        <f>IF(Time!K46&gt;0,Time!K45*K22/Time!K46,0)</f>
        <v/>
      </c>
      <c r="L26" s="13">
        <f>IF(Time!L46&gt;0,Time!L45*L22/Time!L46,0)</f>
        <v/>
      </c>
      <c r="M26" s="13">
        <f>IF(Time!M46&gt;0,Time!M45*M22/Time!M46,0)</f>
        <v/>
      </c>
      <c r="N26" s="13">
        <f>IF(Time!N46&gt;0,Time!N45*N22/Time!N46,0)</f>
        <v/>
      </c>
      <c r="O26" s="13">
        <f>IF(Time!O46&gt;0,Time!O45*O22/Time!O46,0)</f>
        <v/>
      </c>
      <c r="P26" s="13">
        <f>IF(Time!P46&gt;0,Time!P45*P22/Time!P46,0)</f>
        <v/>
      </c>
      <c r="Q26" s="13">
        <f>IF(Time!Q46&gt;0,Time!Q45*Q22/Time!Q46,0)</f>
        <v/>
      </c>
      <c r="R26" s="13">
        <f>IF(Time!R46&gt;0,Time!R45*R22/Time!R46,0)</f>
        <v/>
      </c>
      <c r="S26" s="13">
        <f>IF(Time!S46&gt;0,Time!S45*S22/Time!S46,0)</f>
        <v/>
      </c>
      <c r="T26" s="13">
        <f>IF(Time!T46&gt;0,Time!T45*T22/Time!T46,0)</f>
        <v/>
      </c>
      <c r="U26" s="13">
        <f>IF(Time!U46&gt;0,Time!U45*U22/Time!U46,0)</f>
        <v/>
      </c>
      <c r="V26" s="13">
        <f>IF(Time!V46&gt;0,Time!V45*V22/Time!V46,0)</f>
        <v/>
      </c>
      <c r="W26" s="13">
        <f>IF(Time!W46&gt;0,Time!W45*W22/Time!W46,0)</f>
        <v/>
      </c>
      <c r="X26" s="13">
        <f>IF(Time!X46&gt;0,Time!X45*X22/Time!X46,0)</f>
        <v/>
      </c>
      <c r="Y26" s="13">
        <f>IF(Time!Y46&gt;0,Time!Y45*Y22/Time!Y46,0)</f>
        <v/>
      </c>
      <c r="Z26" s="13">
        <f>IF(Time!Z46&gt;0,Time!Z45*Z22/Time!Z46,0)</f>
        <v/>
      </c>
      <c r="AA26" s="13">
        <f>IF(Time!AA46&gt;0,Time!AA45*AA22/Time!AA46,0)</f>
        <v/>
      </c>
      <c r="AB26" s="13">
        <f>IF(Time!AB46&gt;0,Time!AB45*AB22/Time!AB46,0)</f>
        <v/>
      </c>
      <c r="AC26" s="13">
        <f>IF(Time!AC46&gt;0,Time!AC45*AC22/Time!AC46,0)</f>
        <v/>
      </c>
      <c r="AD26" s="13">
        <f>IF(Time!AD46&gt;0,Time!AD45*AD22/Time!AD46,0)</f>
        <v/>
      </c>
      <c r="AE26" s="13">
        <f>IF(Time!AE46&gt;0,Time!AE45*AE22/Time!AE46,0)</f>
        <v/>
      </c>
      <c r="AF26" s="13">
        <f>IF(Time!AF46&gt;0,Time!AF45*AF22/Time!AF46,0)</f>
        <v/>
      </c>
      <c r="AG26" s="13">
        <f>IF(Time!AG46&gt;0,Time!AG45*AG22/Time!AG46,0)</f>
        <v/>
      </c>
      <c r="AH26" s="13">
        <f>IF(Time!AH46&gt;0,Time!AH45*AH22/Time!AH46,0)</f>
        <v/>
      </c>
      <c r="AI26" s="13">
        <f>IF(Time!AI46&gt;0,Time!AI45*AI22/Time!AI46,0)</f>
        <v/>
      </c>
      <c r="AJ26" s="13">
        <f>IF(Time!AJ46&gt;0,Time!AJ45*AJ22/Time!AJ46,0)</f>
        <v/>
      </c>
      <c r="AK26" s="13">
        <f>IF(Time!AK46&gt;0,Time!AK45*AK22/Time!AK46,0)</f>
        <v/>
      </c>
      <c r="AL26" s="13">
        <f>IF(Time!AL46&gt;0,Time!AL45*AL22/Time!AL46,0)</f>
        <v/>
      </c>
      <c r="AM26" s="13">
        <f>IF(Time!AM46&gt;0,Time!AM45*AM22/Time!AM46,0)</f>
        <v/>
      </c>
      <c r="AN26" s="13">
        <f>IF(Time!AN46&gt;0,Time!AN45*AN22/Time!AN46,0)</f>
        <v/>
      </c>
      <c r="AO26" s="13">
        <f>IF(Time!AO46&gt;0,Time!AO45*AO22/Time!AO46,0)</f>
        <v/>
      </c>
      <c r="AP26" s="13">
        <f>IF(Time!AP46&gt;0,Time!AP45*AP22/Time!AP46,0)</f>
        <v/>
      </c>
      <c r="AQ26" s="13">
        <f>IF(Time!AQ46&gt;0,Time!AQ45*AQ22/Time!AQ46,0)</f>
        <v/>
      </c>
      <c r="AR26" s="13">
        <f>IF(Time!AR46&gt;0,Time!AR45*AR22/Time!AR46,0)</f>
        <v/>
      </c>
      <c r="AS26" s="13">
        <f>IF(Time!AS46&gt;0,Time!AS45*AS22/Time!AS46,0)</f>
        <v/>
      </c>
      <c r="AT26" s="13">
        <f>IF(Time!AT46&gt;0,Time!AT45*AT22/Time!AT46,0)</f>
        <v/>
      </c>
      <c r="AU26" s="13">
        <f>IF(Time!AU46&gt;0,Time!AU45*AU22/Time!AU46,0)</f>
        <v/>
      </c>
      <c r="AV26" s="13">
        <f>IF(Time!AV46&gt;0,Time!AV45*AV22/Time!AV46,0)</f>
        <v/>
      </c>
      <c r="AW26" s="13">
        <f>IF(Time!AW46&gt;0,Time!AW45*AW22/Time!AW46,0)</f>
        <v/>
      </c>
      <c r="AX26" s="13">
        <f>IF(Time!AX46&gt;0,Time!AX45*AX22/Time!AX46,0)</f>
        <v/>
      </c>
      <c r="AY26" s="13">
        <f>IF(Time!AY46&gt;0,Time!AY45*AY22/Time!AY46,0)</f>
        <v/>
      </c>
      <c r="AZ26" s="13">
        <f>IF(Time!AZ46&gt;0,Time!AZ45*AZ22/Time!AZ46,0)</f>
        <v/>
      </c>
      <c r="BA26" s="13">
        <f>IF(Time!BA46&gt;0,Time!BA45*BA22/Time!BA46,0)</f>
        <v/>
      </c>
      <c r="BB26" s="13">
        <f>IF(Time!BB46&gt;0,Time!BB45*BB22/Time!BB46,0)</f>
        <v/>
      </c>
      <c r="BC26" s="13">
        <f>IF(Time!BC46&gt;0,Time!BC45*BC22/Time!BC46,0)</f>
        <v/>
      </c>
      <c r="BD26" s="13">
        <f>IF(Time!BD46&gt;0,Time!BD45*BD22/Time!BD46,0)</f>
        <v/>
      </c>
      <c r="BE26" s="13">
        <f>IF(Time!BE46&gt;0,Time!BE45*BE22/Time!BE46,0)</f>
        <v/>
      </c>
      <c r="BF26" s="13">
        <f>IF(Time!BF46&gt;0,Time!BF45*BF22/Time!BF46,0)</f>
        <v/>
      </c>
      <c r="BG26" s="13">
        <f>IF(Time!BG46&gt;0,Time!BG45*BG22/Time!BG46,0)</f>
        <v/>
      </c>
      <c r="BH26" s="13">
        <f>IF(Time!BH46&gt;0,Time!BH45*BH22/Time!BH46,0)</f>
        <v/>
      </c>
      <c r="BI26" s="13">
        <f>IF(Time!BI46&gt;0,Time!BI45*BI22/Time!BI46,0)</f>
        <v/>
      </c>
      <c r="BJ26" s="13">
        <f>IF(Time!BJ46&gt;0,Time!BJ45*BJ22/Time!BJ46,0)</f>
        <v/>
      </c>
      <c r="BK26" s="13">
        <f>IF(Time!BK46&gt;0,Time!BK45*BK22/Time!BK46,0)</f>
        <v/>
      </c>
      <c r="BL26" s="13">
        <f>IF(Time!BL46&gt;0,Time!BL45*BL22/Time!BL46,0)</f>
        <v/>
      </c>
      <c r="BM26" s="13">
        <f>IF(Time!BM46&gt;0,Time!BM45*BM22/Time!BM46,0)</f>
        <v/>
      </c>
      <c r="BN26" s="13">
        <f>IF(Time!BN46&gt;0,Time!BN45*BN22/Time!BN46,0)</f>
        <v/>
      </c>
    </row>
    <row r="27">
      <c r="D27" t="inlineStr">
        <is>
          <t>Principal paid</t>
        </is>
      </c>
      <c r="E27" t="inlineStr">
        <is>
          <t>USD m</t>
        </is>
      </c>
      <c r="G27" s="13">
        <f>SUM(J27:BN27)</f>
        <v/>
      </c>
      <c r="J27" s="13">
        <f>J24-J25+J26</f>
        <v/>
      </c>
      <c r="K27" s="13">
        <f>K24-K25+K26</f>
        <v/>
      </c>
      <c r="L27" s="13">
        <f>L24-L25+L26</f>
        <v/>
      </c>
      <c r="M27" s="13">
        <f>M24-M25+M26</f>
        <v/>
      </c>
      <c r="N27" s="13">
        <f>N24-N25+N26</f>
        <v/>
      </c>
      <c r="O27" s="13">
        <f>O24-O25+O26</f>
        <v/>
      </c>
      <c r="P27" s="13">
        <f>P24-P25+P26</f>
        <v/>
      </c>
      <c r="Q27" s="13">
        <f>Q24-Q25+Q26</f>
        <v/>
      </c>
      <c r="R27" s="13">
        <f>R24-R25+R26</f>
        <v/>
      </c>
      <c r="S27" s="13">
        <f>S24-S25+S26</f>
        <v/>
      </c>
      <c r="T27" s="13">
        <f>T24-T25+T26</f>
        <v/>
      </c>
      <c r="U27" s="13">
        <f>U24-U25+U26</f>
        <v/>
      </c>
      <c r="V27" s="13">
        <f>V24-V25+V26</f>
        <v/>
      </c>
      <c r="W27" s="13">
        <f>W24-W25+W26</f>
        <v/>
      </c>
      <c r="X27" s="13">
        <f>X24-X25+X26</f>
        <v/>
      </c>
      <c r="Y27" s="13">
        <f>Y24-Y25+Y26</f>
        <v/>
      </c>
      <c r="Z27" s="13">
        <f>Z24-Z25+Z26</f>
        <v/>
      </c>
      <c r="AA27" s="13">
        <f>AA24-AA25+AA26</f>
        <v/>
      </c>
      <c r="AB27" s="13">
        <f>AB24-AB25+AB26</f>
        <v/>
      </c>
      <c r="AC27" s="13">
        <f>AC24-AC25+AC26</f>
        <v/>
      </c>
      <c r="AD27" s="13">
        <f>AD24-AD25+AD26</f>
        <v/>
      </c>
      <c r="AE27" s="13">
        <f>AE24-AE25+AE26</f>
        <v/>
      </c>
      <c r="AF27" s="13">
        <f>AF24-AF25+AF26</f>
        <v/>
      </c>
      <c r="AG27" s="13">
        <f>AG24-AG25+AG26</f>
        <v/>
      </c>
      <c r="AH27" s="13">
        <f>AH24-AH25+AH26</f>
        <v/>
      </c>
      <c r="AI27" s="13">
        <f>AI24-AI25+AI26</f>
        <v/>
      </c>
      <c r="AJ27" s="13">
        <f>AJ24-AJ25+AJ26</f>
        <v/>
      </c>
      <c r="AK27" s="13">
        <f>AK24-AK25+AK26</f>
        <v/>
      </c>
      <c r="AL27" s="13">
        <f>AL24-AL25+AL26</f>
        <v/>
      </c>
      <c r="AM27" s="13">
        <f>AM24-AM25+AM26</f>
        <v/>
      </c>
      <c r="AN27" s="13">
        <f>AN24-AN25+AN26</f>
        <v/>
      </c>
      <c r="AO27" s="13">
        <f>AO24-AO25+AO26</f>
        <v/>
      </c>
      <c r="AP27" s="13">
        <f>AP24-AP25+AP26</f>
        <v/>
      </c>
      <c r="AQ27" s="13">
        <f>AQ24-AQ25+AQ26</f>
        <v/>
      </c>
      <c r="AR27" s="13">
        <f>AR24-AR25+AR26</f>
        <v/>
      </c>
      <c r="AS27" s="13">
        <f>AS24-AS25+AS26</f>
        <v/>
      </c>
      <c r="AT27" s="13">
        <f>AT24-AT25+AT26</f>
        <v/>
      </c>
      <c r="AU27" s="13">
        <f>AU24-AU25+AU26</f>
        <v/>
      </c>
      <c r="AV27" s="13">
        <f>AV24-AV25+AV26</f>
        <v/>
      </c>
      <c r="AW27" s="13">
        <f>AW24-AW25+AW26</f>
        <v/>
      </c>
      <c r="AX27" s="13">
        <f>AX24-AX25+AX26</f>
        <v/>
      </c>
      <c r="AY27" s="13">
        <f>AY24-AY25+AY26</f>
        <v/>
      </c>
      <c r="AZ27" s="13">
        <f>AZ24-AZ25+AZ26</f>
        <v/>
      </c>
      <c r="BA27" s="13">
        <f>BA24-BA25+BA26</f>
        <v/>
      </c>
      <c r="BB27" s="13">
        <f>BB24-BB25+BB26</f>
        <v/>
      </c>
      <c r="BC27" s="13">
        <f>BC24-BC25+BC26</f>
        <v/>
      </c>
      <c r="BD27" s="13">
        <f>BD24-BD25+BD26</f>
        <v/>
      </c>
      <c r="BE27" s="13">
        <f>BE24-BE25+BE26</f>
        <v/>
      </c>
      <c r="BF27" s="13">
        <f>BF24-BF25+BF26</f>
        <v/>
      </c>
      <c r="BG27" s="13">
        <f>BG24-BG25+BG26</f>
        <v/>
      </c>
      <c r="BH27" s="13">
        <f>BH24-BH25+BH26</f>
        <v/>
      </c>
      <c r="BI27" s="13">
        <f>BI24-BI25+BI26</f>
        <v/>
      </c>
      <c r="BJ27" s="13">
        <f>BJ24-BJ25+BJ26</f>
        <v/>
      </c>
      <c r="BK27" s="13">
        <f>BK24-BK25+BK26</f>
        <v/>
      </c>
      <c r="BL27" s="13">
        <f>BL24-BL25+BL26</f>
        <v/>
      </c>
      <c r="BM27" s="13">
        <f>BM24-BM25+BM26</f>
        <v/>
      </c>
      <c r="BN27" s="13">
        <f>BN24-BN25+BN26</f>
        <v/>
      </c>
    </row>
    <row r="28">
      <c r="D28" t="inlineStr">
        <is>
          <t>Performance LD prepayment</t>
        </is>
      </c>
      <c r="E28" t="inlineStr">
        <is>
          <t>USD m</t>
        </is>
      </c>
      <c r="G28" s="13">
        <f>SUM(J28:BN28)</f>
        <v/>
      </c>
      <c r="J28" s="13">
        <f>Time!J42*Inputs!$F$267*(J21-J27)/(J21-J27+J35-J41+J49-J55+J63-J69+J77-J83+Inputs!$F$253)</f>
        <v/>
      </c>
      <c r="K28" s="13">
        <f>Time!K42*Inputs!$F$267*(K21-K27)/(K21-K27+K35-K41+K49-K55+K63-K69+K77-K83+Inputs!$F$253)</f>
        <v/>
      </c>
      <c r="L28" s="13">
        <f>Time!L42*Inputs!$F$267*(L21-L27)/(L21-L27+L35-L41+L49-L55+L63-L69+L77-L83+Inputs!$F$253)</f>
        <v/>
      </c>
      <c r="M28" s="13">
        <f>Time!M42*Inputs!$F$267*(M21-M27)/(M21-M27+M35-M41+M49-M55+M63-M69+M77-M83+Inputs!$F$253)</f>
        <v/>
      </c>
      <c r="N28" s="13">
        <f>Time!N42*Inputs!$F$267*(N21-N27)/(N21-N27+N35-N41+N49-N55+N63-N69+N77-N83+Inputs!$F$253)</f>
        <v/>
      </c>
      <c r="O28" s="13">
        <f>Time!O42*Inputs!$F$267*(O21-O27)/(O21-O27+O35-O41+O49-O55+O63-O69+O77-O83+Inputs!$F$253)</f>
        <v/>
      </c>
      <c r="P28" s="13">
        <f>Time!P42*Inputs!$F$267*(P21-P27)/(P21-P27+P35-P41+P49-P55+P63-P69+P77-P83+Inputs!$F$253)</f>
        <v/>
      </c>
      <c r="Q28" s="13">
        <f>Time!Q42*Inputs!$F$267*(Q21-Q27)/(Q21-Q27+Q35-Q41+Q49-Q55+Q63-Q69+Q77-Q83+Inputs!$F$253)</f>
        <v/>
      </c>
      <c r="R28" s="13">
        <f>Time!R42*Inputs!$F$267*(R21-R27)/(R21-R27+R35-R41+R49-R55+R63-R69+R77-R83+Inputs!$F$253)</f>
        <v/>
      </c>
      <c r="S28" s="13">
        <f>Time!S42*Inputs!$F$267*(S21-S27)/(S21-S27+S35-S41+S49-S55+S63-S69+S77-S83+Inputs!$F$253)</f>
        <v/>
      </c>
      <c r="T28" s="13">
        <f>Time!T42*Inputs!$F$267*(T21-T27)/(T21-T27+T35-T41+T49-T55+T63-T69+T77-T83+Inputs!$F$253)</f>
        <v/>
      </c>
      <c r="U28" s="13">
        <f>Time!U42*Inputs!$F$267*(U21-U27)/(U21-U27+U35-U41+U49-U55+U63-U69+U77-U83+Inputs!$F$253)</f>
        <v/>
      </c>
      <c r="V28" s="13">
        <f>Time!V42*Inputs!$F$267*(V21-V27)/(V21-V27+V35-V41+V49-V55+V63-V69+V77-V83+Inputs!$F$253)</f>
        <v/>
      </c>
      <c r="W28" s="13">
        <f>Time!W42*Inputs!$F$267*(W21-W27)/(W21-W27+W35-W41+W49-W55+W63-W69+W77-W83+Inputs!$F$253)</f>
        <v/>
      </c>
      <c r="X28" s="13">
        <f>Time!X42*Inputs!$F$267*(X21-X27)/(X21-X27+X35-X41+X49-X55+X63-X69+X77-X83+Inputs!$F$253)</f>
        <v/>
      </c>
      <c r="Y28" s="13">
        <f>Time!Y42*Inputs!$F$267*(Y21-Y27)/(Y21-Y27+Y35-Y41+Y49-Y55+Y63-Y69+Y77-Y83+Inputs!$F$253)</f>
        <v/>
      </c>
      <c r="Z28" s="13">
        <f>Time!Z42*Inputs!$F$267*(Z21-Z27)/(Z21-Z27+Z35-Z41+Z49-Z55+Z63-Z69+Z77-Z83+Inputs!$F$253)</f>
        <v/>
      </c>
      <c r="AA28" s="13">
        <f>Time!AA42*Inputs!$F$267*(AA21-AA27)/(AA21-AA27+AA35-AA41+AA49-AA55+AA63-AA69+AA77-AA83+Inputs!$F$253)</f>
        <v/>
      </c>
      <c r="AB28" s="13">
        <f>Time!AB42*Inputs!$F$267*(AB21-AB27)/(AB21-AB27+AB35-AB41+AB49-AB55+AB63-AB69+AB77-AB83+Inputs!$F$253)</f>
        <v/>
      </c>
      <c r="AC28" s="13">
        <f>Time!AC42*Inputs!$F$267*(AC21-AC27)/(AC21-AC27+AC35-AC41+AC49-AC55+AC63-AC69+AC77-AC83+Inputs!$F$253)</f>
        <v/>
      </c>
      <c r="AD28" s="13">
        <f>Time!AD42*Inputs!$F$267*(AD21-AD27)/(AD21-AD27+AD35-AD41+AD49-AD55+AD63-AD69+AD77-AD83+Inputs!$F$253)</f>
        <v/>
      </c>
      <c r="AE28" s="13">
        <f>Time!AE42*Inputs!$F$267*(AE21-AE27)/(AE21-AE27+AE35-AE41+AE49-AE55+AE63-AE69+AE77-AE83+Inputs!$F$253)</f>
        <v/>
      </c>
      <c r="AF28" s="13">
        <f>Time!AF42*Inputs!$F$267*(AF21-AF27)/(AF21-AF27+AF35-AF41+AF49-AF55+AF63-AF69+AF77-AF83+Inputs!$F$253)</f>
        <v/>
      </c>
      <c r="AG28" s="13">
        <f>Time!AG42*Inputs!$F$267*(AG21-AG27)/(AG21-AG27+AG35-AG41+AG49-AG55+AG63-AG69+AG77-AG83+Inputs!$F$253)</f>
        <v/>
      </c>
      <c r="AH28" s="13">
        <f>Time!AH42*Inputs!$F$267*(AH21-AH27)/(AH21-AH27+AH35-AH41+AH49-AH55+AH63-AH69+AH77-AH83+Inputs!$F$253)</f>
        <v/>
      </c>
      <c r="AI28" s="13">
        <f>Time!AI42*Inputs!$F$267*(AI21-AI27)/(AI21-AI27+AI35-AI41+AI49-AI55+AI63-AI69+AI77-AI83+Inputs!$F$253)</f>
        <v/>
      </c>
      <c r="AJ28" s="13">
        <f>Time!AJ42*Inputs!$F$267*(AJ21-AJ27)/(AJ21-AJ27+AJ35-AJ41+AJ49-AJ55+AJ63-AJ69+AJ77-AJ83+Inputs!$F$253)</f>
        <v/>
      </c>
      <c r="AK28" s="13">
        <f>Time!AK42*Inputs!$F$267*(AK21-AK27)/(AK21-AK27+AK35-AK41+AK49-AK55+AK63-AK69+AK77-AK83+Inputs!$F$253)</f>
        <v/>
      </c>
      <c r="AL28" s="13">
        <f>Time!AL42*Inputs!$F$267*(AL21-AL27)/(AL21-AL27+AL35-AL41+AL49-AL55+AL63-AL69+AL77-AL83+Inputs!$F$253)</f>
        <v/>
      </c>
      <c r="AM28" s="13">
        <f>Time!AM42*Inputs!$F$267*(AM21-AM27)/(AM21-AM27+AM35-AM41+AM49-AM55+AM63-AM69+AM77-AM83+Inputs!$F$253)</f>
        <v/>
      </c>
      <c r="AN28" s="13">
        <f>Time!AN42*Inputs!$F$267*(AN21-AN27)/(AN21-AN27+AN35-AN41+AN49-AN55+AN63-AN69+AN77-AN83+Inputs!$F$253)</f>
        <v/>
      </c>
      <c r="AO28" s="13">
        <f>Time!AO42*Inputs!$F$267*(AO21-AO27)/(AO21-AO27+AO35-AO41+AO49-AO55+AO63-AO69+AO77-AO83+Inputs!$F$253)</f>
        <v/>
      </c>
      <c r="AP28" s="13">
        <f>Time!AP42*Inputs!$F$267*(AP21-AP27)/(AP21-AP27+AP35-AP41+AP49-AP55+AP63-AP69+AP77-AP83+Inputs!$F$253)</f>
        <v/>
      </c>
      <c r="AQ28" s="13">
        <f>Time!AQ42*Inputs!$F$267*(AQ21-AQ27)/(AQ21-AQ27+AQ35-AQ41+AQ49-AQ55+AQ63-AQ69+AQ77-AQ83+Inputs!$F$253)</f>
        <v/>
      </c>
      <c r="AR28" s="13">
        <f>Time!AR42*Inputs!$F$267*(AR21-AR27)/(AR21-AR27+AR35-AR41+AR49-AR55+AR63-AR69+AR77-AR83+Inputs!$F$253)</f>
        <v/>
      </c>
      <c r="AS28" s="13">
        <f>Time!AS42*Inputs!$F$267*(AS21-AS27)/(AS21-AS27+AS35-AS41+AS49-AS55+AS63-AS69+AS77-AS83+Inputs!$F$253)</f>
        <v/>
      </c>
      <c r="AT28" s="13">
        <f>Time!AT42*Inputs!$F$267*(AT21-AT27)/(AT21-AT27+AT35-AT41+AT49-AT55+AT63-AT69+AT77-AT83+Inputs!$F$253)</f>
        <v/>
      </c>
      <c r="AU28" s="13">
        <f>Time!AU42*Inputs!$F$267*(AU21-AU27)/(AU21-AU27+AU35-AU41+AU49-AU55+AU63-AU69+AU77-AU83+Inputs!$F$253)</f>
        <v/>
      </c>
      <c r="AV28" s="13">
        <f>Time!AV42*Inputs!$F$267*(AV21-AV27)/(AV21-AV27+AV35-AV41+AV49-AV55+AV63-AV69+AV77-AV83+Inputs!$F$253)</f>
        <v/>
      </c>
      <c r="AW28" s="13">
        <f>Time!AW42*Inputs!$F$267*(AW21-AW27)/(AW21-AW27+AW35-AW41+AW49-AW55+AW63-AW69+AW77-AW83+Inputs!$F$253)</f>
        <v/>
      </c>
      <c r="AX28" s="13">
        <f>Time!AX42*Inputs!$F$267*(AX21-AX27)/(AX21-AX27+AX35-AX41+AX49-AX55+AX63-AX69+AX77-AX83+Inputs!$F$253)</f>
        <v/>
      </c>
      <c r="AY28" s="13">
        <f>Time!AY42*Inputs!$F$267*(AY21-AY27)/(AY21-AY27+AY35-AY41+AY49-AY55+AY63-AY69+AY77-AY83+Inputs!$F$253)</f>
        <v/>
      </c>
      <c r="AZ28" s="13">
        <f>Time!AZ42*Inputs!$F$267*(AZ21-AZ27)/(AZ21-AZ27+AZ35-AZ41+AZ49-AZ55+AZ63-AZ69+AZ77-AZ83+Inputs!$F$253)</f>
        <v/>
      </c>
      <c r="BA28" s="13">
        <f>Time!BA42*Inputs!$F$267*(BA21-BA27)/(BA21-BA27+BA35-BA41+BA49-BA55+BA63-BA69+BA77-BA83+Inputs!$F$253)</f>
        <v/>
      </c>
      <c r="BB28" s="13">
        <f>Time!BB42*Inputs!$F$267*(BB21-BB27)/(BB21-BB27+BB35-BB41+BB49-BB55+BB63-BB69+BB77-BB83+Inputs!$F$253)</f>
        <v/>
      </c>
      <c r="BC28" s="13">
        <f>Time!BC42*Inputs!$F$267*(BC21-BC27)/(BC21-BC27+BC35-BC41+BC49-BC55+BC63-BC69+BC77-BC83+Inputs!$F$253)</f>
        <v/>
      </c>
      <c r="BD28" s="13">
        <f>Time!BD42*Inputs!$F$267*(BD21-BD27)/(BD21-BD27+BD35-BD41+BD49-BD55+BD63-BD69+BD77-BD83+Inputs!$F$253)</f>
        <v/>
      </c>
      <c r="BE28" s="13">
        <f>Time!BE42*Inputs!$F$267*(BE21-BE27)/(BE21-BE27+BE35-BE41+BE49-BE55+BE63-BE69+BE77-BE83+Inputs!$F$253)</f>
        <v/>
      </c>
      <c r="BF28" s="13">
        <f>Time!BF42*Inputs!$F$267*(BF21-BF27)/(BF21-BF27+BF35-BF41+BF49-BF55+BF63-BF69+BF77-BF83+Inputs!$F$253)</f>
        <v/>
      </c>
      <c r="BG28" s="13">
        <f>Time!BG42*Inputs!$F$267*(BG21-BG27)/(BG21-BG27+BG35-BG41+BG49-BG55+BG63-BG69+BG77-BG83+Inputs!$F$253)</f>
        <v/>
      </c>
      <c r="BH28" s="13">
        <f>Time!BH42*Inputs!$F$267*(BH21-BH27)/(BH21-BH27+BH35-BH41+BH49-BH55+BH63-BH69+BH77-BH83+Inputs!$F$253)</f>
        <v/>
      </c>
      <c r="BI28" s="13">
        <f>Time!BI42*Inputs!$F$267*(BI21-BI27)/(BI21-BI27+BI35-BI41+BI49-BI55+BI63-BI69+BI77-BI83+Inputs!$F$253)</f>
        <v/>
      </c>
      <c r="BJ28" s="13">
        <f>Time!BJ42*Inputs!$F$267*(BJ21-BJ27)/(BJ21-BJ27+BJ35-BJ41+BJ49-BJ55+BJ63-BJ69+BJ77-BJ83+Inputs!$F$253)</f>
        <v/>
      </c>
      <c r="BK28" s="13">
        <f>Time!BK42*Inputs!$F$267*(BK21-BK27)/(BK21-BK27+BK35-BK41+BK49-BK55+BK63-BK69+BK77-BK83+Inputs!$F$253)</f>
        <v/>
      </c>
      <c r="BL28" s="13">
        <f>Time!BL42*Inputs!$F$267*(BL21-BL27)/(BL21-BL27+BL35-BL41+BL49-BL55+BL63-BL69+BL77-BL83+Inputs!$F$253)</f>
        <v/>
      </c>
      <c r="BM28" s="13">
        <f>Time!BM42*Inputs!$F$267*(BM21-BM27)/(BM21-BM27+BM35-BM41+BM49-BM55+BM63-BM69+BM77-BM83+Inputs!$F$253)</f>
        <v/>
      </c>
      <c r="BN28" s="13">
        <f>Time!BN42*Inputs!$F$267*(BN21-BN27)/(BN21-BN27+BN35-BN41+BN49-BN55+BN63-BN69+BN77-BN83+Inputs!$F$253)</f>
        <v/>
      </c>
    </row>
    <row r="29">
      <c r="D29" t="inlineStr">
        <is>
          <t>Refinanced (not refinanced: stays in place)</t>
        </is>
      </c>
      <c r="E29" t="inlineStr">
        <is>
          <t>USD m</t>
        </is>
      </c>
      <c r="G29" s="13">
        <f>SUM(J29:BN29)</f>
        <v/>
      </c>
      <c r="J29" s="13">
        <f>Time!J47*0</f>
        <v/>
      </c>
      <c r="K29" s="13">
        <f>Time!K47*0</f>
        <v/>
      </c>
      <c r="L29" s="13">
        <f>Time!L47*0</f>
        <v/>
      </c>
      <c r="M29" s="13">
        <f>Time!M47*0</f>
        <v/>
      </c>
      <c r="N29" s="13">
        <f>Time!N47*0</f>
        <v/>
      </c>
      <c r="O29" s="13">
        <f>Time!O47*0</f>
        <v/>
      </c>
      <c r="P29" s="13">
        <f>Time!P47*0</f>
        <v/>
      </c>
      <c r="Q29" s="13">
        <f>Time!Q47*0</f>
        <v/>
      </c>
      <c r="R29" s="13">
        <f>Time!R47*0</f>
        <v/>
      </c>
      <c r="S29" s="13">
        <f>Time!S47*0</f>
        <v/>
      </c>
      <c r="T29" s="13">
        <f>Time!T47*0</f>
        <v/>
      </c>
      <c r="U29" s="13">
        <f>Time!U47*0</f>
        <v/>
      </c>
      <c r="V29" s="13">
        <f>Time!V47*0</f>
        <v/>
      </c>
      <c r="W29" s="13">
        <f>Time!W47*0</f>
        <v/>
      </c>
      <c r="X29" s="13">
        <f>Time!X47*0</f>
        <v/>
      </c>
      <c r="Y29" s="13">
        <f>Time!Y47*0</f>
        <v/>
      </c>
      <c r="Z29" s="13">
        <f>Time!Z47*0</f>
        <v/>
      </c>
      <c r="AA29" s="13">
        <f>Time!AA47*0</f>
        <v/>
      </c>
      <c r="AB29" s="13">
        <f>Time!AB47*0</f>
        <v/>
      </c>
      <c r="AC29" s="13">
        <f>Time!AC47*0</f>
        <v/>
      </c>
      <c r="AD29" s="13">
        <f>Time!AD47*0</f>
        <v/>
      </c>
      <c r="AE29" s="13">
        <f>Time!AE47*0</f>
        <v/>
      </c>
      <c r="AF29" s="13">
        <f>Time!AF47*0</f>
        <v/>
      </c>
      <c r="AG29" s="13">
        <f>Time!AG47*0</f>
        <v/>
      </c>
      <c r="AH29" s="13">
        <f>Time!AH47*0</f>
        <v/>
      </c>
      <c r="AI29" s="13">
        <f>Time!AI47*0</f>
        <v/>
      </c>
      <c r="AJ29" s="13">
        <f>Time!AJ47*0</f>
        <v/>
      </c>
      <c r="AK29" s="13">
        <f>Time!AK47*0</f>
        <v/>
      </c>
      <c r="AL29" s="13">
        <f>Time!AL47*0</f>
        <v/>
      </c>
      <c r="AM29" s="13">
        <f>Time!AM47*0</f>
        <v/>
      </c>
      <c r="AN29" s="13">
        <f>Time!AN47*0</f>
        <v/>
      </c>
      <c r="AO29" s="13">
        <f>Time!AO47*0</f>
        <v/>
      </c>
      <c r="AP29" s="13">
        <f>Time!AP47*0</f>
        <v/>
      </c>
      <c r="AQ29" s="13">
        <f>Time!AQ47*0</f>
        <v/>
      </c>
      <c r="AR29" s="13">
        <f>Time!AR47*0</f>
        <v/>
      </c>
      <c r="AS29" s="13">
        <f>Time!AS47*0</f>
        <v/>
      </c>
      <c r="AT29" s="13">
        <f>Time!AT47*0</f>
        <v/>
      </c>
      <c r="AU29" s="13">
        <f>Time!AU47*0</f>
        <v/>
      </c>
      <c r="AV29" s="13">
        <f>Time!AV47*0</f>
        <v/>
      </c>
      <c r="AW29" s="13">
        <f>Time!AW47*0</f>
        <v/>
      </c>
      <c r="AX29" s="13">
        <f>Time!AX47*0</f>
        <v/>
      </c>
      <c r="AY29" s="13">
        <f>Time!AY47*0</f>
        <v/>
      </c>
      <c r="AZ29" s="13">
        <f>Time!AZ47*0</f>
        <v/>
      </c>
      <c r="BA29" s="13">
        <f>Time!BA47*0</f>
        <v/>
      </c>
      <c r="BB29" s="13">
        <f>Time!BB47*0</f>
        <v/>
      </c>
      <c r="BC29" s="13">
        <f>Time!BC47*0</f>
        <v/>
      </c>
      <c r="BD29" s="13">
        <f>Time!BD47*0</f>
        <v/>
      </c>
      <c r="BE29" s="13">
        <f>Time!BE47*0</f>
        <v/>
      </c>
      <c r="BF29" s="13">
        <f>Time!BF47*0</f>
        <v/>
      </c>
      <c r="BG29" s="13">
        <f>Time!BG47*0</f>
        <v/>
      </c>
      <c r="BH29" s="13">
        <f>Time!BH47*0</f>
        <v/>
      </c>
      <c r="BI29" s="13">
        <f>Time!BI47*0</f>
        <v/>
      </c>
      <c r="BJ29" s="13">
        <f>Time!BJ47*0</f>
        <v/>
      </c>
      <c r="BK29" s="13">
        <f>Time!BK47*0</f>
        <v/>
      </c>
      <c r="BL29" s="13">
        <f>Time!BL47*0</f>
        <v/>
      </c>
      <c r="BM29" s="13">
        <f>Time!BM47*0</f>
        <v/>
      </c>
      <c r="BN29" s="13">
        <f>Time!BN47*0</f>
        <v/>
      </c>
    </row>
    <row r="30">
      <c r="D30" t="inlineStr">
        <is>
          <t>Deferred principal, closing</t>
        </is>
      </c>
      <c r="E30" t="inlineStr">
        <is>
          <t>USD m</t>
        </is>
      </c>
      <c r="J30" s="13">
        <f>J22+J25-J26</f>
        <v/>
      </c>
      <c r="K30" s="13">
        <f>K22+K25-K26</f>
        <v/>
      </c>
      <c r="L30" s="13">
        <f>L22+L25-L26</f>
        <v/>
      </c>
      <c r="M30" s="13">
        <f>M22+M25-M26</f>
        <v/>
      </c>
      <c r="N30" s="13">
        <f>N22+N25-N26</f>
        <v/>
      </c>
      <c r="O30" s="13">
        <f>O22+O25-O26</f>
        <v/>
      </c>
      <c r="P30" s="13">
        <f>P22+P25-P26</f>
        <v/>
      </c>
      <c r="Q30" s="13">
        <f>Q22+Q25-Q26</f>
        <v/>
      </c>
      <c r="R30" s="13">
        <f>R22+R25-R26</f>
        <v/>
      </c>
      <c r="S30" s="13">
        <f>S22+S25-S26</f>
        <v/>
      </c>
      <c r="T30" s="13">
        <f>T22+T25-T26</f>
        <v/>
      </c>
      <c r="U30" s="13">
        <f>U22+U25-U26</f>
        <v/>
      </c>
      <c r="V30" s="13">
        <f>V22+V25-V26</f>
        <v/>
      </c>
      <c r="W30" s="13">
        <f>W22+W25-W26</f>
        <v/>
      </c>
      <c r="X30" s="13">
        <f>X22+X25-X26</f>
        <v/>
      </c>
      <c r="Y30" s="13">
        <f>Y22+Y25-Y26</f>
        <v/>
      </c>
      <c r="Z30" s="13">
        <f>Z22+Z25-Z26</f>
        <v/>
      </c>
      <c r="AA30" s="13">
        <f>AA22+AA25-AA26</f>
        <v/>
      </c>
      <c r="AB30" s="13">
        <f>AB22+AB25-AB26</f>
        <v/>
      </c>
      <c r="AC30" s="13">
        <f>AC22+AC25-AC26</f>
        <v/>
      </c>
      <c r="AD30" s="13">
        <f>AD22+AD25-AD26</f>
        <v/>
      </c>
      <c r="AE30" s="13">
        <f>AE22+AE25-AE26</f>
        <v/>
      </c>
      <c r="AF30" s="13">
        <f>AF22+AF25-AF26</f>
        <v/>
      </c>
      <c r="AG30" s="13">
        <f>AG22+AG25-AG26</f>
        <v/>
      </c>
      <c r="AH30" s="13">
        <f>AH22+AH25-AH26</f>
        <v/>
      </c>
      <c r="AI30" s="13">
        <f>AI22+AI25-AI26</f>
        <v/>
      </c>
      <c r="AJ30" s="13">
        <f>AJ22+AJ25-AJ26</f>
        <v/>
      </c>
      <c r="AK30" s="13">
        <f>AK22+AK25-AK26</f>
        <v/>
      </c>
      <c r="AL30" s="13">
        <f>AL22+AL25-AL26</f>
        <v/>
      </c>
      <c r="AM30" s="13">
        <f>AM22+AM25-AM26</f>
        <v/>
      </c>
      <c r="AN30" s="13">
        <f>AN22+AN25-AN26</f>
        <v/>
      </c>
      <c r="AO30" s="13">
        <f>AO22+AO25-AO26</f>
        <v/>
      </c>
      <c r="AP30" s="13">
        <f>AP22+AP25-AP26</f>
        <v/>
      </c>
      <c r="AQ30" s="13">
        <f>AQ22+AQ25-AQ26</f>
        <v/>
      </c>
      <c r="AR30" s="13">
        <f>AR22+AR25-AR26</f>
        <v/>
      </c>
      <c r="AS30" s="13">
        <f>AS22+AS25-AS26</f>
        <v/>
      </c>
      <c r="AT30" s="13">
        <f>AT22+AT25-AT26</f>
        <v/>
      </c>
      <c r="AU30" s="13">
        <f>AU22+AU25-AU26</f>
        <v/>
      </c>
      <c r="AV30" s="13">
        <f>AV22+AV25-AV26</f>
        <v/>
      </c>
      <c r="AW30" s="13">
        <f>AW22+AW25-AW26</f>
        <v/>
      </c>
      <c r="AX30" s="13">
        <f>AX22+AX25-AX26</f>
        <v/>
      </c>
      <c r="AY30" s="13">
        <f>AY22+AY25-AY26</f>
        <v/>
      </c>
      <c r="AZ30" s="13">
        <f>AZ22+AZ25-AZ26</f>
        <v/>
      </c>
      <c r="BA30" s="13">
        <f>BA22+BA25-BA26</f>
        <v/>
      </c>
      <c r="BB30" s="13">
        <f>BB22+BB25-BB26</f>
        <v/>
      </c>
      <c r="BC30" s="13">
        <f>BC22+BC25-BC26</f>
        <v/>
      </c>
      <c r="BD30" s="13">
        <f>BD22+BD25-BD26</f>
        <v/>
      </c>
      <c r="BE30" s="13">
        <f>BE22+BE25-BE26</f>
        <v/>
      </c>
      <c r="BF30" s="13">
        <f>BF22+BF25-BF26</f>
        <v/>
      </c>
      <c r="BG30" s="13">
        <f>BG22+BG25-BG26</f>
        <v/>
      </c>
      <c r="BH30" s="13">
        <f>BH22+BH25-BH26</f>
        <v/>
      </c>
      <c r="BI30" s="13">
        <f>BI22+BI25-BI26</f>
        <v/>
      </c>
      <c r="BJ30" s="13">
        <f>BJ22+BJ25-BJ26</f>
        <v/>
      </c>
      <c r="BK30" s="13">
        <f>BK22+BK25-BK26</f>
        <v/>
      </c>
      <c r="BL30" s="13">
        <f>BL22+BL25-BL26</f>
        <v/>
      </c>
      <c r="BM30" s="13">
        <f>BM22+BM25-BM26</f>
        <v/>
      </c>
      <c r="BN30" s="13">
        <f>BN22+BN25-BN26</f>
        <v/>
      </c>
    </row>
    <row r="31">
      <c r="D31" t="inlineStr">
        <is>
          <t>Balance after scheduled payment, LDs and refinancing</t>
        </is>
      </c>
      <c r="E31" t="inlineStr">
        <is>
          <t>USD m</t>
        </is>
      </c>
      <c r="J31" s="13">
        <f>J21-J27-J28-J29</f>
        <v/>
      </c>
      <c r="K31" s="13">
        <f>K21-K27-K28-K29</f>
        <v/>
      </c>
      <c r="L31" s="13">
        <f>L21-L27-L28-L29</f>
        <v/>
      </c>
      <c r="M31" s="13">
        <f>M21-M27-M28-M29</f>
        <v/>
      </c>
      <c r="N31" s="13">
        <f>N21-N27-N28-N29</f>
        <v/>
      </c>
      <c r="O31" s="13">
        <f>O21-O27-O28-O29</f>
        <v/>
      </c>
      <c r="P31" s="13">
        <f>P21-P27-P28-P29</f>
        <v/>
      </c>
      <c r="Q31" s="13">
        <f>Q21-Q27-Q28-Q29</f>
        <v/>
      </c>
      <c r="R31" s="13">
        <f>R21-R27-R28-R29</f>
        <v/>
      </c>
      <c r="S31" s="13">
        <f>S21-S27-S28-S29</f>
        <v/>
      </c>
      <c r="T31" s="13">
        <f>T21-T27-T28-T29</f>
        <v/>
      </c>
      <c r="U31" s="13">
        <f>U21-U27-U28-U29</f>
        <v/>
      </c>
      <c r="V31" s="13">
        <f>V21-V27-V28-V29</f>
        <v/>
      </c>
      <c r="W31" s="13">
        <f>W21-W27-W28-W29</f>
        <v/>
      </c>
      <c r="X31" s="13">
        <f>X21-X27-X28-X29</f>
        <v/>
      </c>
      <c r="Y31" s="13">
        <f>Y21-Y27-Y28-Y29</f>
        <v/>
      </c>
      <c r="Z31" s="13">
        <f>Z21-Z27-Z28-Z29</f>
        <v/>
      </c>
      <c r="AA31" s="13">
        <f>AA21-AA27-AA28-AA29</f>
        <v/>
      </c>
      <c r="AB31" s="13">
        <f>AB21-AB27-AB28-AB29</f>
        <v/>
      </c>
      <c r="AC31" s="13">
        <f>AC21-AC27-AC28-AC29</f>
        <v/>
      </c>
      <c r="AD31" s="13">
        <f>AD21-AD27-AD28-AD29</f>
        <v/>
      </c>
      <c r="AE31" s="13">
        <f>AE21-AE27-AE28-AE29</f>
        <v/>
      </c>
      <c r="AF31" s="13">
        <f>AF21-AF27-AF28-AF29</f>
        <v/>
      </c>
      <c r="AG31" s="13">
        <f>AG21-AG27-AG28-AG29</f>
        <v/>
      </c>
      <c r="AH31" s="13">
        <f>AH21-AH27-AH28-AH29</f>
        <v/>
      </c>
      <c r="AI31" s="13">
        <f>AI21-AI27-AI28-AI29</f>
        <v/>
      </c>
      <c r="AJ31" s="13">
        <f>AJ21-AJ27-AJ28-AJ29</f>
        <v/>
      </c>
      <c r="AK31" s="13">
        <f>AK21-AK27-AK28-AK29</f>
        <v/>
      </c>
      <c r="AL31" s="13">
        <f>AL21-AL27-AL28-AL29</f>
        <v/>
      </c>
      <c r="AM31" s="13">
        <f>AM21-AM27-AM28-AM29</f>
        <v/>
      </c>
      <c r="AN31" s="13">
        <f>AN21-AN27-AN28-AN29</f>
        <v/>
      </c>
      <c r="AO31" s="13">
        <f>AO21-AO27-AO28-AO29</f>
        <v/>
      </c>
      <c r="AP31" s="13">
        <f>AP21-AP27-AP28-AP29</f>
        <v/>
      </c>
      <c r="AQ31" s="13">
        <f>AQ21-AQ27-AQ28-AQ29</f>
        <v/>
      </c>
      <c r="AR31" s="13">
        <f>AR21-AR27-AR28-AR29</f>
        <v/>
      </c>
      <c r="AS31" s="13">
        <f>AS21-AS27-AS28-AS29</f>
        <v/>
      </c>
      <c r="AT31" s="13">
        <f>AT21-AT27-AT28-AT29</f>
        <v/>
      </c>
      <c r="AU31" s="13">
        <f>AU21-AU27-AU28-AU29</f>
        <v/>
      </c>
      <c r="AV31" s="13">
        <f>AV21-AV27-AV28-AV29</f>
        <v/>
      </c>
      <c r="AW31" s="13">
        <f>AW21-AW27-AW28-AW29</f>
        <v/>
      </c>
      <c r="AX31" s="13">
        <f>AX21-AX27-AX28-AX29</f>
        <v/>
      </c>
      <c r="AY31" s="13">
        <f>AY21-AY27-AY28-AY29</f>
        <v/>
      </c>
      <c r="AZ31" s="13">
        <f>AZ21-AZ27-AZ28-AZ29</f>
        <v/>
      </c>
      <c r="BA31" s="13">
        <f>BA21-BA27-BA28-BA29</f>
        <v/>
      </c>
      <c r="BB31" s="13">
        <f>BB21-BB27-BB28-BB29</f>
        <v/>
      </c>
      <c r="BC31" s="13">
        <f>BC21-BC27-BC28-BC29</f>
        <v/>
      </c>
      <c r="BD31" s="13">
        <f>BD21-BD27-BD28-BD29</f>
        <v/>
      </c>
      <c r="BE31" s="13">
        <f>BE21-BE27-BE28-BE29</f>
        <v/>
      </c>
      <c r="BF31" s="13">
        <f>BF21-BF27-BF28-BF29</f>
        <v/>
      </c>
      <c r="BG31" s="13">
        <f>BG21-BG27-BG28-BG29</f>
        <v/>
      </c>
      <c r="BH31" s="13">
        <f>BH21-BH27-BH28-BH29</f>
        <v/>
      </c>
      <c r="BI31" s="13">
        <f>BI21-BI27-BI28-BI29</f>
        <v/>
      </c>
      <c r="BJ31" s="13">
        <f>BJ21-BJ27-BJ28-BJ29</f>
        <v/>
      </c>
      <c r="BK31" s="13">
        <f>BK21-BK27-BK28-BK29</f>
        <v/>
      </c>
      <c r="BL31" s="13">
        <f>BL21-BL27-BL28-BL29</f>
        <v/>
      </c>
      <c r="BM31" s="13">
        <f>BM21-BM27-BM28-BM29</f>
        <v/>
      </c>
      <c r="BN31" s="13">
        <f>BN21-BN27-BN28-BN29</f>
        <v/>
      </c>
    </row>
    <row r="32">
      <c r="D32" t="inlineStr">
        <is>
          <t>Cash sweep prepayment</t>
        </is>
      </c>
      <c r="E32" t="inlineStr">
        <is>
          <t>USD m</t>
        </is>
      </c>
      <c r="G32" s="13">
        <f>SUM(J32:BN32)</f>
        <v/>
      </c>
      <c r="J32" s="13">
        <f>Waterfall!J28*J31/(J31+J45+J59+J73+J87+Inputs!$F$253)</f>
        <v/>
      </c>
      <c r="K32" s="13">
        <f>Waterfall!K28*K31/(K31+K45+K59+K73+K87+Inputs!$F$253)</f>
        <v/>
      </c>
      <c r="L32" s="13">
        <f>Waterfall!L28*L31/(L31+L45+L59+L73+L87+Inputs!$F$253)</f>
        <v/>
      </c>
      <c r="M32" s="13">
        <f>Waterfall!M28*M31/(M31+M45+M59+M73+M87+Inputs!$F$253)</f>
        <v/>
      </c>
      <c r="N32" s="13">
        <f>Waterfall!N28*N31/(N31+N45+N59+N73+N87+Inputs!$F$253)</f>
        <v/>
      </c>
      <c r="O32" s="13">
        <f>Waterfall!O28*O31/(O31+O45+O59+O73+O87+Inputs!$F$253)</f>
        <v/>
      </c>
      <c r="P32" s="13">
        <f>Waterfall!P28*P31/(P31+P45+P59+P73+P87+Inputs!$F$253)</f>
        <v/>
      </c>
      <c r="Q32" s="13">
        <f>Waterfall!Q28*Q31/(Q31+Q45+Q59+Q73+Q87+Inputs!$F$253)</f>
        <v/>
      </c>
      <c r="R32" s="13">
        <f>Waterfall!R28*R31/(R31+R45+R59+R73+R87+Inputs!$F$253)</f>
        <v/>
      </c>
      <c r="S32" s="13">
        <f>Waterfall!S28*S31/(S31+S45+S59+S73+S87+Inputs!$F$253)</f>
        <v/>
      </c>
      <c r="T32" s="13">
        <f>Waterfall!T28*T31/(T31+T45+T59+T73+T87+Inputs!$F$253)</f>
        <v/>
      </c>
      <c r="U32" s="13">
        <f>Waterfall!U28*U31/(U31+U45+U59+U73+U87+Inputs!$F$253)</f>
        <v/>
      </c>
      <c r="V32" s="13">
        <f>Waterfall!V28*V31/(V31+V45+V59+V73+V87+Inputs!$F$253)</f>
        <v/>
      </c>
      <c r="W32" s="13">
        <f>Waterfall!W28*W31/(W31+W45+W59+W73+W87+Inputs!$F$253)</f>
        <v/>
      </c>
      <c r="X32" s="13">
        <f>Waterfall!X28*X31/(X31+X45+X59+X73+X87+Inputs!$F$253)</f>
        <v/>
      </c>
      <c r="Y32" s="13">
        <f>Waterfall!Y28*Y31/(Y31+Y45+Y59+Y73+Y87+Inputs!$F$253)</f>
        <v/>
      </c>
      <c r="Z32" s="13">
        <f>Waterfall!Z28*Z31/(Z31+Z45+Z59+Z73+Z87+Inputs!$F$253)</f>
        <v/>
      </c>
      <c r="AA32" s="13">
        <f>Waterfall!AA28*AA31/(AA31+AA45+AA59+AA73+AA87+Inputs!$F$253)</f>
        <v/>
      </c>
      <c r="AB32" s="13">
        <f>Waterfall!AB28*AB31/(AB31+AB45+AB59+AB73+AB87+Inputs!$F$253)</f>
        <v/>
      </c>
      <c r="AC32" s="13">
        <f>Waterfall!AC28*AC31/(AC31+AC45+AC59+AC73+AC87+Inputs!$F$253)</f>
        <v/>
      </c>
      <c r="AD32" s="13">
        <f>Waterfall!AD28*AD31/(AD31+AD45+AD59+AD73+AD87+Inputs!$F$253)</f>
        <v/>
      </c>
      <c r="AE32" s="13">
        <f>Waterfall!AE28*AE31/(AE31+AE45+AE59+AE73+AE87+Inputs!$F$253)</f>
        <v/>
      </c>
      <c r="AF32" s="13">
        <f>Waterfall!AF28*AF31/(AF31+AF45+AF59+AF73+AF87+Inputs!$F$253)</f>
        <v/>
      </c>
      <c r="AG32" s="13">
        <f>Waterfall!AG28*AG31/(AG31+AG45+AG59+AG73+AG87+Inputs!$F$253)</f>
        <v/>
      </c>
      <c r="AH32" s="13">
        <f>Waterfall!AH28*AH31/(AH31+AH45+AH59+AH73+AH87+Inputs!$F$253)</f>
        <v/>
      </c>
      <c r="AI32" s="13">
        <f>Waterfall!AI28*AI31/(AI31+AI45+AI59+AI73+AI87+Inputs!$F$253)</f>
        <v/>
      </c>
      <c r="AJ32" s="13">
        <f>Waterfall!AJ28*AJ31/(AJ31+AJ45+AJ59+AJ73+AJ87+Inputs!$F$253)</f>
        <v/>
      </c>
      <c r="AK32" s="13">
        <f>Waterfall!AK28*AK31/(AK31+AK45+AK59+AK73+AK87+Inputs!$F$253)</f>
        <v/>
      </c>
      <c r="AL32" s="13">
        <f>Waterfall!AL28*AL31/(AL31+AL45+AL59+AL73+AL87+Inputs!$F$253)</f>
        <v/>
      </c>
      <c r="AM32" s="13">
        <f>Waterfall!AM28*AM31/(AM31+AM45+AM59+AM73+AM87+Inputs!$F$253)</f>
        <v/>
      </c>
      <c r="AN32" s="13">
        <f>Waterfall!AN28*AN31/(AN31+AN45+AN59+AN73+AN87+Inputs!$F$253)</f>
        <v/>
      </c>
      <c r="AO32" s="13">
        <f>Waterfall!AO28*AO31/(AO31+AO45+AO59+AO73+AO87+Inputs!$F$253)</f>
        <v/>
      </c>
      <c r="AP32" s="13">
        <f>Waterfall!AP28*AP31/(AP31+AP45+AP59+AP73+AP87+Inputs!$F$253)</f>
        <v/>
      </c>
      <c r="AQ32" s="13">
        <f>Waterfall!AQ28*AQ31/(AQ31+AQ45+AQ59+AQ73+AQ87+Inputs!$F$253)</f>
        <v/>
      </c>
      <c r="AR32" s="13">
        <f>Waterfall!AR28*AR31/(AR31+AR45+AR59+AR73+AR87+Inputs!$F$253)</f>
        <v/>
      </c>
      <c r="AS32" s="13">
        <f>Waterfall!AS28*AS31/(AS31+AS45+AS59+AS73+AS87+Inputs!$F$253)</f>
        <v/>
      </c>
      <c r="AT32" s="13">
        <f>Waterfall!AT28*AT31/(AT31+AT45+AT59+AT73+AT87+Inputs!$F$253)</f>
        <v/>
      </c>
      <c r="AU32" s="13">
        <f>Waterfall!AU28*AU31/(AU31+AU45+AU59+AU73+AU87+Inputs!$F$253)</f>
        <v/>
      </c>
      <c r="AV32" s="13">
        <f>Waterfall!AV28*AV31/(AV31+AV45+AV59+AV73+AV87+Inputs!$F$253)</f>
        <v/>
      </c>
      <c r="AW32" s="13">
        <f>Waterfall!AW28*AW31/(AW31+AW45+AW59+AW73+AW87+Inputs!$F$253)</f>
        <v/>
      </c>
      <c r="AX32" s="13">
        <f>Waterfall!AX28*AX31/(AX31+AX45+AX59+AX73+AX87+Inputs!$F$253)</f>
        <v/>
      </c>
      <c r="AY32" s="13">
        <f>Waterfall!AY28*AY31/(AY31+AY45+AY59+AY73+AY87+Inputs!$F$253)</f>
        <v/>
      </c>
      <c r="AZ32" s="13">
        <f>Waterfall!AZ28*AZ31/(AZ31+AZ45+AZ59+AZ73+AZ87+Inputs!$F$253)</f>
        <v/>
      </c>
      <c r="BA32" s="13">
        <f>Waterfall!BA28*BA31/(BA31+BA45+BA59+BA73+BA87+Inputs!$F$253)</f>
        <v/>
      </c>
      <c r="BB32" s="13">
        <f>Waterfall!BB28*BB31/(BB31+BB45+BB59+BB73+BB87+Inputs!$F$253)</f>
        <v/>
      </c>
      <c r="BC32" s="13">
        <f>Waterfall!BC28*BC31/(BC31+BC45+BC59+BC73+BC87+Inputs!$F$253)</f>
        <v/>
      </c>
      <c r="BD32" s="13">
        <f>Waterfall!BD28*BD31/(BD31+BD45+BD59+BD73+BD87+Inputs!$F$253)</f>
        <v/>
      </c>
      <c r="BE32" s="13">
        <f>Waterfall!BE28*BE31/(BE31+BE45+BE59+BE73+BE87+Inputs!$F$253)</f>
        <v/>
      </c>
      <c r="BF32" s="13">
        <f>Waterfall!BF28*BF31/(BF31+BF45+BF59+BF73+BF87+Inputs!$F$253)</f>
        <v/>
      </c>
      <c r="BG32" s="13">
        <f>Waterfall!BG28*BG31/(BG31+BG45+BG59+BG73+BG87+Inputs!$F$253)</f>
        <v/>
      </c>
      <c r="BH32" s="13">
        <f>Waterfall!BH28*BH31/(BH31+BH45+BH59+BH73+BH87+Inputs!$F$253)</f>
        <v/>
      </c>
      <c r="BI32" s="13">
        <f>Waterfall!BI28*BI31/(BI31+BI45+BI59+BI73+BI87+Inputs!$F$253)</f>
        <v/>
      </c>
      <c r="BJ32" s="13">
        <f>Waterfall!BJ28*BJ31/(BJ31+BJ45+BJ59+BJ73+BJ87+Inputs!$F$253)</f>
        <v/>
      </c>
      <c r="BK32" s="13">
        <f>Waterfall!BK28*BK31/(BK31+BK45+BK59+BK73+BK87+Inputs!$F$253)</f>
        <v/>
      </c>
      <c r="BL32" s="13">
        <f>Waterfall!BL28*BL31/(BL31+BL45+BL59+BL73+BL87+Inputs!$F$253)</f>
        <v/>
      </c>
      <c r="BM32" s="13">
        <f>Waterfall!BM28*BM31/(BM31+BM45+BM59+BM73+BM87+Inputs!$F$253)</f>
        <v/>
      </c>
      <c r="BN32" s="13">
        <f>Waterfall!BN28*BN31/(BN31+BN45+BN59+BN73+BN87+Inputs!$F$253)</f>
        <v/>
      </c>
    </row>
    <row r="33">
      <c r="D33" t="inlineStr">
        <is>
          <t>Closing balance</t>
        </is>
      </c>
      <c r="E33" t="inlineStr">
        <is>
          <t>USD m</t>
        </is>
      </c>
      <c r="J33" s="13">
        <f>IF(Time!J34=1,INDEX(Funding!$J$61:$BJ$61,1,Time!$F$14),Time!J35*(J31-J32))</f>
        <v/>
      </c>
      <c r="K33" s="13">
        <f>IF(Time!K34=1,INDEX(Funding!$J$61:$BJ$61,1,Time!$F$14),Time!K35*(K31-K32))</f>
        <v/>
      </c>
      <c r="L33" s="13">
        <f>IF(Time!L34=1,INDEX(Funding!$J$61:$BJ$61,1,Time!$F$14),Time!L35*(L31-L32))</f>
        <v/>
      </c>
      <c r="M33" s="13">
        <f>IF(Time!M34=1,INDEX(Funding!$J$61:$BJ$61,1,Time!$F$14),Time!M35*(M31-M32))</f>
        <v/>
      </c>
      <c r="N33" s="13">
        <f>IF(Time!N34=1,INDEX(Funding!$J$61:$BJ$61,1,Time!$F$14),Time!N35*(N31-N32))</f>
        <v/>
      </c>
      <c r="O33" s="13">
        <f>IF(Time!O34=1,INDEX(Funding!$J$61:$BJ$61,1,Time!$F$14),Time!O35*(O31-O32))</f>
        <v/>
      </c>
      <c r="P33" s="13">
        <f>IF(Time!P34=1,INDEX(Funding!$J$61:$BJ$61,1,Time!$F$14),Time!P35*(P31-P32))</f>
        <v/>
      </c>
      <c r="Q33" s="13">
        <f>IF(Time!Q34=1,INDEX(Funding!$J$61:$BJ$61,1,Time!$F$14),Time!Q35*(Q31-Q32))</f>
        <v/>
      </c>
      <c r="R33" s="13">
        <f>IF(Time!R34=1,INDEX(Funding!$J$61:$BJ$61,1,Time!$F$14),Time!R35*(R31-R32))</f>
        <v/>
      </c>
      <c r="S33" s="13">
        <f>IF(Time!S34=1,INDEX(Funding!$J$61:$BJ$61,1,Time!$F$14),Time!S35*(S31-S32))</f>
        <v/>
      </c>
      <c r="T33" s="13">
        <f>IF(Time!T34=1,INDEX(Funding!$J$61:$BJ$61,1,Time!$F$14),Time!T35*(T31-T32))</f>
        <v/>
      </c>
      <c r="U33" s="13">
        <f>IF(Time!U34=1,INDEX(Funding!$J$61:$BJ$61,1,Time!$F$14),Time!U35*(U31-U32))</f>
        <v/>
      </c>
      <c r="V33" s="13">
        <f>IF(Time!V34=1,INDEX(Funding!$J$61:$BJ$61,1,Time!$F$14),Time!V35*(V31-V32))</f>
        <v/>
      </c>
      <c r="W33" s="13">
        <f>IF(Time!W34=1,INDEX(Funding!$J$61:$BJ$61,1,Time!$F$14),Time!W35*(W31-W32))</f>
        <v/>
      </c>
      <c r="X33" s="13">
        <f>IF(Time!X34=1,INDEX(Funding!$J$61:$BJ$61,1,Time!$F$14),Time!X35*(X31-X32))</f>
        <v/>
      </c>
      <c r="Y33" s="13">
        <f>IF(Time!Y34=1,INDEX(Funding!$J$61:$BJ$61,1,Time!$F$14),Time!Y35*(Y31-Y32))</f>
        <v/>
      </c>
      <c r="Z33" s="13">
        <f>IF(Time!Z34=1,INDEX(Funding!$J$61:$BJ$61,1,Time!$F$14),Time!Z35*(Z31-Z32))</f>
        <v/>
      </c>
      <c r="AA33" s="13">
        <f>IF(Time!AA34=1,INDEX(Funding!$J$61:$BJ$61,1,Time!$F$14),Time!AA35*(AA31-AA32))</f>
        <v/>
      </c>
      <c r="AB33" s="13">
        <f>IF(Time!AB34=1,INDEX(Funding!$J$61:$BJ$61,1,Time!$F$14),Time!AB35*(AB31-AB32))</f>
        <v/>
      </c>
      <c r="AC33" s="13">
        <f>IF(Time!AC34=1,INDEX(Funding!$J$61:$BJ$61,1,Time!$F$14),Time!AC35*(AC31-AC32))</f>
        <v/>
      </c>
      <c r="AD33" s="13">
        <f>IF(Time!AD34=1,INDEX(Funding!$J$61:$BJ$61,1,Time!$F$14),Time!AD35*(AD31-AD32))</f>
        <v/>
      </c>
      <c r="AE33" s="13">
        <f>IF(Time!AE34=1,INDEX(Funding!$J$61:$BJ$61,1,Time!$F$14),Time!AE35*(AE31-AE32))</f>
        <v/>
      </c>
      <c r="AF33" s="13">
        <f>IF(Time!AF34=1,INDEX(Funding!$J$61:$BJ$61,1,Time!$F$14),Time!AF35*(AF31-AF32))</f>
        <v/>
      </c>
      <c r="AG33" s="13">
        <f>IF(Time!AG34=1,INDEX(Funding!$J$61:$BJ$61,1,Time!$F$14),Time!AG35*(AG31-AG32))</f>
        <v/>
      </c>
      <c r="AH33" s="13">
        <f>IF(Time!AH34=1,INDEX(Funding!$J$61:$BJ$61,1,Time!$F$14),Time!AH35*(AH31-AH32))</f>
        <v/>
      </c>
      <c r="AI33" s="13">
        <f>IF(Time!AI34=1,INDEX(Funding!$J$61:$BJ$61,1,Time!$F$14),Time!AI35*(AI31-AI32))</f>
        <v/>
      </c>
      <c r="AJ33" s="13">
        <f>IF(Time!AJ34=1,INDEX(Funding!$J$61:$BJ$61,1,Time!$F$14),Time!AJ35*(AJ31-AJ32))</f>
        <v/>
      </c>
      <c r="AK33" s="13">
        <f>IF(Time!AK34=1,INDEX(Funding!$J$61:$BJ$61,1,Time!$F$14),Time!AK35*(AK31-AK32))</f>
        <v/>
      </c>
      <c r="AL33" s="13">
        <f>IF(Time!AL34=1,INDEX(Funding!$J$61:$BJ$61,1,Time!$F$14),Time!AL35*(AL31-AL32))</f>
        <v/>
      </c>
      <c r="AM33" s="13">
        <f>IF(Time!AM34=1,INDEX(Funding!$J$61:$BJ$61,1,Time!$F$14),Time!AM35*(AM31-AM32))</f>
        <v/>
      </c>
      <c r="AN33" s="13">
        <f>IF(Time!AN34=1,INDEX(Funding!$J$61:$BJ$61,1,Time!$F$14),Time!AN35*(AN31-AN32))</f>
        <v/>
      </c>
      <c r="AO33" s="13">
        <f>IF(Time!AO34=1,INDEX(Funding!$J$61:$BJ$61,1,Time!$F$14),Time!AO35*(AO31-AO32))</f>
        <v/>
      </c>
      <c r="AP33" s="13">
        <f>IF(Time!AP34=1,INDEX(Funding!$J$61:$BJ$61,1,Time!$F$14),Time!AP35*(AP31-AP32))</f>
        <v/>
      </c>
      <c r="AQ33" s="13">
        <f>IF(Time!AQ34=1,INDEX(Funding!$J$61:$BJ$61,1,Time!$F$14),Time!AQ35*(AQ31-AQ32))</f>
        <v/>
      </c>
      <c r="AR33" s="13">
        <f>IF(Time!AR34=1,INDEX(Funding!$J$61:$BJ$61,1,Time!$F$14),Time!AR35*(AR31-AR32))</f>
        <v/>
      </c>
      <c r="AS33" s="13">
        <f>IF(Time!AS34=1,INDEX(Funding!$J$61:$BJ$61,1,Time!$F$14),Time!AS35*(AS31-AS32))</f>
        <v/>
      </c>
      <c r="AT33" s="13">
        <f>IF(Time!AT34=1,INDEX(Funding!$J$61:$BJ$61,1,Time!$F$14),Time!AT35*(AT31-AT32))</f>
        <v/>
      </c>
      <c r="AU33" s="13">
        <f>IF(Time!AU34=1,INDEX(Funding!$J$61:$BJ$61,1,Time!$F$14),Time!AU35*(AU31-AU32))</f>
        <v/>
      </c>
      <c r="AV33" s="13">
        <f>IF(Time!AV34=1,INDEX(Funding!$J$61:$BJ$61,1,Time!$F$14),Time!AV35*(AV31-AV32))</f>
        <v/>
      </c>
      <c r="AW33" s="13">
        <f>IF(Time!AW34=1,INDEX(Funding!$J$61:$BJ$61,1,Time!$F$14),Time!AW35*(AW31-AW32))</f>
        <v/>
      </c>
      <c r="AX33" s="13">
        <f>IF(Time!AX34=1,INDEX(Funding!$J$61:$BJ$61,1,Time!$F$14),Time!AX35*(AX31-AX32))</f>
        <v/>
      </c>
      <c r="AY33" s="13">
        <f>IF(Time!AY34=1,INDEX(Funding!$J$61:$BJ$61,1,Time!$F$14),Time!AY35*(AY31-AY32))</f>
        <v/>
      </c>
      <c r="AZ33" s="13">
        <f>IF(Time!AZ34=1,INDEX(Funding!$J$61:$BJ$61,1,Time!$F$14),Time!AZ35*(AZ31-AZ32))</f>
        <v/>
      </c>
      <c r="BA33" s="13">
        <f>IF(Time!BA34=1,INDEX(Funding!$J$61:$BJ$61,1,Time!$F$14),Time!BA35*(BA31-BA32))</f>
        <v/>
      </c>
      <c r="BB33" s="13">
        <f>IF(Time!BB34=1,INDEX(Funding!$J$61:$BJ$61,1,Time!$F$14),Time!BB35*(BB31-BB32))</f>
        <v/>
      </c>
      <c r="BC33" s="13">
        <f>IF(Time!BC34=1,INDEX(Funding!$J$61:$BJ$61,1,Time!$F$14),Time!BC35*(BC31-BC32))</f>
        <v/>
      </c>
      <c r="BD33" s="13">
        <f>IF(Time!BD34=1,INDEX(Funding!$J$61:$BJ$61,1,Time!$F$14),Time!BD35*(BD31-BD32))</f>
        <v/>
      </c>
      <c r="BE33" s="13">
        <f>IF(Time!BE34=1,INDEX(Funding!$J$61:$BJ$61,1,Time!$F$14),Time!BE35*(BE31-BE32))</f>
        <v/>
      </c>
      <c r="BF33" s="13">
        <f>IF(Time!BF34=1,INDEX(Funding!$J$61:$BJ$61,1,Time!$F$14),Time!BF35*(BF31-BF32))</f>
        <v/>
      </c>
      <c r="BG33" s="13">
        <f>IF(Time!BG34=1,INDEX(Funding!$J$61:$BJ$61,1,Time!$F$14),Time!BG35*(BG31-BG32))</f>
        <v/>
      </c>
      <c r="BH33" s="13">
        <f>IF(Time!BH34=1,INDEX(Funding!$J$61:$BJ$61,1,Time!$F$14),Time!BH35*(BH31-BH32))</f>
        <v/>
      </c>
      <c r="BI33" s="13">
        <f>IF(Time!BI34=1,INDEX(Funding!$J$61:$BJ$61,1,Time!$F$14),Time!BI35*(BI31-BI32))</f>
        <v/>
      </c>
      <c r="BJ33" s="13">
        <f>IF(Time!BJ34=1,INDEX(Funding!$J$61:$BJ$61,1,Time!$F$14),Time!BJ35*(BJ31-BJ32))</f>
        <v/>
      </c>
      <c r="BK33" s="13">
        <f>IF(Time!BK34=1,INDEX(Funding!$J$61:$BJ$61,1,Time!$F$14),Time!BK35*(BK31-BK32))</f>
        <v/>
      </c>
      <c r="BL33" s="13">
        <f>IF(Time!BL34=1,INDEX(Funding!$J$61:$BJ$61,1,Time!$F$14),Time!BL35*(BL31-BL32))</f>
        <v/>
      </c>
      <c r="BM33" s="13">
        <f>IF(Time!BM34=1,INDEX(Funding!$J$61:$BJ$61,1,Time!$F$14),Time!BM35*(BM31-BM32))</f>
        <v/>
      </c>
      <c r="BN33" s="13">
        <f>IF(Time!BN34=1,INDEX(Funding!$J$61:$BJ$61,1,Time!$F$14),Time!BN35*(BN31-BN32))</f>
        <v/>
      </c>
    </row>
    <row r="34">
      <c r="B34" s="2" t="inlineStr">
        <is>
          <t>ABDB A-loan</t>
        </is>
      </c>
    </row>
    <row r="35">
      <c r="D35" t="inlineStr">
        <is>
          <t>Opening balance</t>
        </is>
      </c>
      <c r="E35" t="inlineStr">
        <is>
          <t>USD m</t>
        </is>
      </c>
      <c r="J35" s="13">
        <f>Time!J35*I47</f>
        <v/>
      </c>
      <c r="K35" s="13">
        <f>Time!K35*J47</f>
        <v/>
      </c>
      <c r="L35" s="13">
        <f>Time!L35*K47</f>
        <v/>
      </c>
      <c r="M35" s="13">
        <f>Time!M35*L47</f>
        <v/>
      </c>
      <c r="N35" s="13">
        <f>Time!N35*M47</f>
        <v/>
      </c>
      <c r="O35" s="13">
        <f>Time!O35*N47</f>
        <v/>
      </c>
      <c r="P35" s="13">
        <f>Time!P35*O47</f>
        <v/>
      </c>
      <c r="Q35" s="13">
        <f>Time!Q35*P47</f>
        <v/>
      </c>
      <c r="R35" s="13">
        <f>Time!R35*Q47</f>
        <v/>
      </c>
      <c r="S35" s="13">
        <f>Time!S35*R47</f>
        <v/>
      </c>
      <c r="T35" s="13">
        <f>Time!T35*S47</f>
        <v/>
      </c>
      <c r="U35" s="13">
        <f>Time!U35*T47</f>
        <v/>
      </c>
      <c r="V35" s="13">
        <f>Time!V35*U47</f>
        <v/>
      </c>
      <c r="W35" s="13">
        <f>Time!W35*V47</f>
        <v/>
      </c>
      <c r="X35" s="13">
        <f>Time!X35*W47</f>
        <v/>
      </c>
      <c r="Y35" s="13">
        <f>Time!Y35*X47</f>
        <v/>
      </c>
      <c r="Z35" s="13">
        <f>Time!Z35*Y47</f>
        <v/>
      </c>
      <c r="AA35" s="13">
        <f>Time!AA35*Z47</f>
        <v/>
      </c>
      <c r="AB35" s="13">
        <f>Time!AB35*AA47</f>
        <v/>
      </c>
      <c r="AC35" s="13">
        <f>Time!AC35*AB47</f>
        <v/>
      </c>
      <c r="AD35" s="13">
        <f>Time!AD35*AC47</f>
        <v/>
      </c>
      <c r="AE35" s="13">
        <f>Time!AE35*AD47</f>
        <v/>
      </c>
      <c r="AF35" s="13">
        <f>Time!AF35*AE47</f>
        <v/>
      </c>
      <c r="AG35" s="13">
        <f>Time!AG35*AF47</f>
        <v/>
      </c>
      <c r="AH35" s="13">
        <f>Time!AH35*AG47</f>
        <v/>
      </c>
      <c r="AI35" s="13">
        <f>Time!AI35*AH47</f>
        <v/>
      </c>
      <c r="AJ35" s="13">
        <f>Time!AJ35*AI47</f>
        <v/>
      </c>
      <c r="AK35" s="13">
        <f>Time!AK35*AJ47</f>
        <v/>
      </c>
      <c r="AL35" s="13">
        <f>Time!AL35*AK47</f>
        <v/>
      </c>
      <c r="AM35" s="13">
        <f>Time!AM35*AL47</f>
        <v/>
      </c>
      <c r="AN35" s="13">
        <f>Time!AN35*AM47</f>
        <v/>
      </c>
      <c r="AO35" s="13">
        <f>Time!AO35*AN47</f>
        <v/>
      </c>
      <c r="AP35" s="13">
        <f>Time!AP35*AO47</f>
        <v/>
      </c>
      <c r="AQ35" s="13">
        <f>Time!AQ35*AP47</f>
        <v/>
      </c>
      <c r="AR35" s="13">
        <f>Time!AR35*AQ47</f>
        <v/>
      </c>
      <c r="AS35" s="13">
        <f>Time!AS35*AR47</f>
        <v/>
      </c>
      <c r="AT35" s="13">
        <f>Time!AT35*AS47</f>
        <v/>
      </c>
      <c r="AU35" s="13">
        <f>Time!AU35*AT47</f>
        <v/>
      </c>
      <c r="AV35" s="13">
        <f>Time!AV35*AU47</f>
        <v/>
      </c>
      <c r="AW35" s="13">
        <f>Time!AW35*AV47</f>
        <v/>
      </c>
      <c r="AX35" s="13">
        <f>Time!AX35*AW47</f>
        <v/>
      </c>
      <c r="AY35" s="13">
        <f>Time!AY35*AX47</f>
        <v/>
      </c>
      <c r="AZ35" s="13">
        <f>Time!AZ35*AY47</f>
        <v/>
      </c>
      <c r="BA35" s="13">
        <f>Time!BA35*AZ47</f>
        <v/>
      </c>
      <c r="BB35" s="13">
        <f>Time!BB35*BA47</f>
        <v/>
      </c>
      <c r="BC35" s="13">
        <f>Time!BC35*BB47</f>
        <v/>
      </c>
      <c r="BD35" s="13">
        <f>Time!BD35*BC47</f>
        <v/>
      </c>
      <c r="BE35" s="13">
        <f>Time!BE35*BD47</f>
        <v/>
      </c>
      <c r="BF35" s="13">
        <f>Time!BF35*BE47</f>
        <v/>
      </c>
      <c r="BG35" s="13">
        <f>Time!BG35*BF47</f>
        <v/>
      </c>
      <c r="BH35" s="13">
        <f>Time!BH35*BG47</f>
        <v/>
      </c>
      <c r="BI35" s="13">
        <f>Time!BI35*BH47</f>
        <v/>
      </c>
      <c r="BJ35" s="13">
        <f>Time!BJ35*BI47</f>
        <v/>
      </c>
      <c r="BK35" s="13">
        <f>Time!BK35*BJ47</f>
        <v/>
      </c>
      <c r="BL35" s="13">
        <f>Time!BL35*BK47</f>
        <v/>
      </c>
      <c r="BM35" s="13">
        <f>Time!BM35*BL47</f>
        <v/>
      </c>
      <c r="BN35" s="13">
        <f>Time!BN35*BM47</f>
        <v/>
      </c>
    </row>
    <row r="36">
      <c r="D36" t="inlineStr">
        <is>
          <t>Deferred principal, opening</t>
        </is>
      </c>
      <c r="E36" t="inlineStr">
        <is>
          <t>USD m</t>
        </is>
      </c>
      <c r="J36" s="13">
        <f>I44</f>
        <v/>
      </c>
      <c r="K36" s="13">
        <f>J44</f>
        <v/>
      </c>
      <c r="L36" s="13">
        <f>K44</f>
        <v/>
      </c>
      <c r="M36" s="13">
        <f>L44</f>
        <v/>
      </c>
      <c r="N36" s="13">
        <f>M44</f>
        <v/>
      </c>
      <c r="O36" s="13">
        <f>N44</f>
        <v/>
      </c>
      <c r="P36" s="13">
        <f>O44</f>
        <v/>
      </c>
      <c r="Q36" s="13">
        <f>P44</f>
        <v/>
      </c>
      <c r="R36" s="13">
        <f>Q44</f>
        <v/>
      </c>
      <c r="S36" s="13">
        <f>R44</f>
        <v/>
      </c>
      <c r="T36" s="13">
        <f>S44</f>
        <v/>
      </c>
      <c r="U36" s="13">
        <f>T44</f>
        <v/>
      </c>
      <c r="V36" s="13">
        <f>U44</f>
        <v/>
      </c>
      <c r="W36" s="13">
        <f>V44</f>
        <v/>
      </c>
      <c r="X36" s="13">
        <f>W44</f>
        <v/>
      </c>
      <c r="Y36" s="13">
        <f>X44</f>
        <v/>
      </c>
      <c r="Z36" s="13">
        <f>Y44</f>
        <v/>
      </c>
      <c r="AA36" s="13">
        <f>Z44</f>
        <v/>
      </c>
      <c r="AB36" s="13">
        <f>AA44</f>
        <v/>
      </c>
      <c r="AC36" s="13">
        <f>AB44</f>
        <v/>
      </c>
      <c r="AD36" s="13">
        <f>AC44</f>
        <v/>
      </c>
      <c r="AE36" s="13">
        <f>AD44</f>
        <v/>
      </c>
      <c r="AF36" s="13">
        <f>AE44</f>
        <v/>
      </c>
      <c r="AG36" s="13">
        <f>AF44</f>
        <v/>
      </c>
      <c r="AH36" s="13">
        <f>AG44</f>
        <v/>
      </c>
      <c r="AI36" s="13">
        <f>AH44</f>
        <v/>
      </c>
      <c r="AJ36" s="13">
        <f>AI44</f>
        <v/>
      </c>
      <c r="AK36" s="13">
        <f>AJ44</f>
        <v/>
      </c>
      <c r="AL36" s="13">
        <f>AK44</f>
        <v/>
      </c>
      <c r="AM36" s="13">
        <f>AL44</f>
        <v/>
      </c>
      <c r="AN36" s="13">
        <f>AM44</f>
        <v/>
      </c>
      <c r="AO36" s="13">
        <f>AN44</f>
        <v/>
      </c>
      <c r="AP36" s="13">
        <f>AO44</f>
        <v/>
      </c>
      <c r="AQ36" s="13">
        <f>AP44</f>
        <v/>
      </c>
      <c r="AR36" s="13">
        <f>AQ44</f>
        <v/>
      </c>
      <c r="AS36" s="13">
        <f>AR44</f>
        <v/>
      </c>
      <c r="AT36" s="13">
        <f>AS44</f>
        <v/>
      </c>
      <c r="AU36" s="13">
        <f>AT44</f>
        <v/>
      </c>
      <c r="AV36" s="13">
        <f>AU44</f>
        <v/>
      </c>
      <c r="AW36" s="13">
        <f>AV44</f>
        <v/>
      </c>
      <c r="AX36" s="13">
        <f>AW44</f>
        <v/>
      </c>
      <c r="AY36" s="13">
        <f>AX44</f>
        <v/>
      </c>
      <c r="AZ36" s="13">
        <f>AY44</f>
        <v/>
      </c>
      <c r="BA36" s="13">
        <f>AZ44</f>
        <v/>
      </c>
      <c r="BB36" s="13">
        <f>BA44</f>
        <v/>
      </c>
      <c r="BC36" s="13">
        <f>BB44</f>
        <v/>
      </c>
      <c r="BD36" s="13">
        <f>BC44</f>
        <v/>
      </c>
      <c r="BE36" s="13">
        <f>BD44</f>
        <v/>
      </c>
      <c r="BF36" s="13">
        <f>BE44</f>
        <v/>
      </c>
      <c r="BG36" s="13">
        <f>BF44</f>
        <v/>
      </c>
      <c r="BH36" s="13">
        <f>BG44</f>
        <v/>
      </c>
      <c r="BI36" s="13">
        <f>BH44</f>
        <v/>
      </c>
      <c r="BJ36" s="13">
        <f>BI44</f>
        <v/>
      </c>
      <c r="BK36" s="13">
        <f>BJ44</f>
        <v/>
      </c>
      <c r="BL36" s="13">
        <f>BK44</f>
        <v/>
      </c>
      <c r="BM36" s="13">
        <f>BL44</f>
        <v/>
      </c>
      <c r="BN36" s="13">
        <f>BM44</f>
        <v/>
      </c>
    </row>
    <row r="37">
      <c r="D37" t="inlineStr">
        <is>
          <t>Interest (incl. WHT gross-up where applicable)</t>
        </is>
      </c>
      <c r="E37" t="inlineStr">
        <is>
          <t>USD m</t>
        </is>
      </c>
      <c r="G37" s="13">
        <f>SUM(J37:BN37)</f>
        <v/>
      </c>
      <c r="J37" s="13">
        <f>J35*J11</f>
        <v/>
      </c>
      <c r="K37" s="13">
        <f>K35*K11</f>
        <v/>
      </c>
      <c r="L37" s="13">
        <f>L35*L11</f>
        <v/>
      </c>
      <c r="M37" s="13">
        <f>M35*M11</f>
        <v/>
      </c>
      <c r="N37" s="13">
        <f>N35*N11</f>
        <v/>
      </c>
      <c r="O37" s="13">
        <f>O35*O11</f>
        <v/>
      </c>
      <c r="P37" s="13">
        <f>P35*P11</f>
        <v/>
      </c>
      <c r="Q37" s="13">
        <f>Q35*Q11</f>
        <v/>
      </c>
      <c r="R37" s="13">
        <f>R35*R11</f>
        <v/>
      </c>
      <c r="S37" s="13">
        <f>S35*S11</f>
        <v/>
      </c>
      <c r="T37" s="13">
        <f>T35*T11</f>
        <v/>
      </c>
      <c r="U37" s="13">
        <f>U35*U11</f>
        <v/>
      </c>
      <c r="V37" s="13">
        <f>V35*V11</f>
        <v/>
      </c>
      <c r="W37" s="13">
        <f>W35*W11</f>
        <v/>
      </c>
      <c r="X37" s="13">
        <f>X35*X11</f>
        <v/>
      </c>
      <c r="Y37" s="13">
        <f>Y35*Y11</f>
        <v/>
      </c>
      <c r="Z37" s="13">
        <f>Z35*Z11</f>
        <v/>
      </c>
      <c r="AA37" s="13">
        <f>AA35*AA11</f>
        <v/>
      </c>
      <c r="AB37" s="13">
        <f>AB35*AB11</f>
        <v/>
      </c>
      <c r="AC37" s="13">
        <f>AC35*AC11</f>
        <v/>
      </c>
      <c r="AD37" s="13">
        <f>AD35*AD11</f>
        <v/>
      </c>
      <c r="AE37" s="13">
        <f>AE35*AE11</f>
        <v/>
      </c>
      <c r="AF37" s="13">
        <f>AF35*AF11</f>
        <v/>
      </c>
      <c r="AG37" s="13">
        <f>AG35*AG11</f>
        <v/>
      </c>
      <c r="AH37" s="13">
        <f>AH35*AH11</f>
        <v/>
      </c>
      <c r="AI37" s="13">
        <f>AI35*AI11</f>
        <v/>
      </c>
      <c r="AJ37" s="13">
        <f>AJ35*AJ11</f>
        <v/>
      </c>
      <c r="AK37" s="13">
        <f>AK35*AK11</f>
        <v/>
      </c>
      <c r="AL37" s="13">
        <f>AL35*AL11</f>
        <v/>
      </c>
      <c r="AM37" s="13">
        <f>AM35*AM11</f>
        <v/>
      </c>
      <c r="AN37" s="13">
        <f>AN35*AN11</f>
        <v/>
      </c>
      <c r="AO37" s="13">
        <f>AO35*AO11</f>
        <v/>
      </c>
      <c r="AP37" s="13">
        <f>AP35*AP11</f>
        <v/>
      </c>
      <c r="AQ37" s="13">
        <f>AQ35*AQ11</f>
        <v/>
      </c>
      <c r="AR37" s="13">
        <f>AR35*AR11</f>
        <v/>
      </c>
      <c r="AS37" s="13">
        <f>AS35*AS11</f>
        <v/>
      </c>
      <c r="AT37" s="13">
        <f>AT35*AT11</f>
        <v/>
      </c>
      <c r="AU37" s="13">
        <f>AU35*AU11</f>
        <v/>
      </c>
      <c r="AV37" s="13">
        <f>AV35*AV11</f>
        <v/>
      </c>
      <c r="AW37" s="13">
        <f>AW35*AW11</f>
        <v/>
      </c>
      <c r="AX37" s="13">
        <f>AX35*AX11</f>
        <v/>
      </c>
      <c r="AY37" s="13">
        <f>AY35*AY11</f>
        <v/>
      </c>
      <c r="AZ37" s="13">
        <f>AZ35*AZ11</f>
        <v/>
      </c>
      <c r="BA37" s="13">
        <f>BA35*BA11</f>
        <v/>
      </c>
      <c r="BB37" s="13">
        <f>BB35*BB11</f>
        <v/>
      </c>
      <c r="BC37" s="13">
        <f>BC35*BC11</f>
        <v/>
      </c>
      <c r="BD37" s="13">
        <f>BD35*BD11</f>
        <v/>
      </c>
      <c r="BE37" s="13">
        <f>BE35*BE11</f>
        <v/>
      </c>
      <c r="BF37" s="13">
        <f>BF35*BF11</f>
        <v/>
      </c>
      <c r="BG37" s="13">
        <f>BG35*BG11</f>
        <v/>
      </c>
      <c r="BH37" s="13">
        <f>BH35*BH11</f>
        <v/>
      </c>
      <c r="BI37" s="13">
        <f>BI35*BI11</f>
        <v/>
      </c>
      <c r="BJ37" s="13">
        <f>BJ35*BJ11</f>
        <v/>
      </c>
      <c r="BK37" s="13">
        <f>BK35*BK11</f>
        <v/>
      </c>
      <c r="BL37" s="13">
        <f>BL35*BL11</f>
        <v/>
      </c>
      <c r="BM37" s="13">
        <f>BM35*BM11</f>
        <v/>
      </c>
      <c r="BN37" s="13">
        <f>BN35*BN11</f>
        <v/>
      </c>
    </row>
    <row r="38">
      <c r="D38" t="inlineStr">
        <is>
          <t>Scheduled principal per profile</t>
        </is>
      </c>
      <c r="E38" t="inlineStr">
        <is>
          <t>USD m</t>
        </is>
      </c>
      <c r="G38" s="13">
        <f>SUM(J38:BN38)</f>
        <v/>
      </c>
      <c r="J38" s="13">
        <f>Time!J35*(J35-J36)*J19</f>
        <v/>
      </c>
      <c r="K38" s="13">
        <f>Time!K35*(K35-K36)*K19</f>
        <v/>
      </c>
      <c r="L38" s="13">
        <f>Time!L35*(L35-L36)*L19</f>
        <v/>
      </c>
      <c r="M38" s="13">
        <f>Time!M35*(M35-M36)*M19</f>
        <v/>
      </c>
      <c r="N38" s="13">
        <f>Time!N35*(N35-N36)*N19</f>
        <v/>
      </c>
      <c r="O38" s="13">
        <f>Time!O35*(O35-O36)*O19</f>
        <v/>
      </c>
      <c r="P38" s="13">
        <f>Time!P35*(P35-P36)*P19</f>
        <v/>
      </c>
      <c r="Q38" s="13">
        <f>Time!Q35*(Q35-Q36)*Q19</f>
        <v/>
      </c>
      <c r="R38" s="13">
        <f>Time!R35*(R35-R36)*R19</f>
        <v/>
      </c>
      <c r="S38" s="13">
        <f>Time!S35*(S35-S36)*S19</f>
        <v/>
      </c>
      <c r="T38" s="13">
        <f>Time!T35*(T35-T36)*T19</f>
        <v/>
      </c>
      <c r="U38" s="13">
        <f>Time!U35*(U35-U36)*U19</f>
        <v/>
      </c>
      <c r="V38" s="13">
        <f>Time!V35*(V35-V36)*V19</f>
        <v/>
      </c>
      <c r="W38" s="13">
        <f>Time!W35*(W35-W36)*W19</f>
        <v/>
      </c>
      <c r="X38" s="13">
        <f>Time!X35*(X35-X36)*X19</f>
        <v/>
      </c>
      <c r="Y38" s="13">
        <f>Time!Y35*(Y35-Y36)*Y19</f>
        <v/>
      </c>
      <c r="Z38" s="13">
        <f>Time!Z35*(Z35-Z36)*Z19</f>
        <v/>
      </c>
      <c r="AA38" s="13">
        <f>Time!AA35*(AA35-AA36)*AA19</f>
        <v/>
      </c>
      <c r="AB38" s="13">
        <f>Time!AB35*(AB35-AB36)*AB19</f>
        <v/>
      </c>
      <c r="AC38" s="13">
        <f>Time!AC35*(AC35-AC36)*AC19</f>
        <v/>
      </c>
      <c r="AD38" s="13">
        <f>Time!AD35*(AD35-AD36)*AD19</f>
        <v/>
      </c>
      <c r="AE38" s="13">
        <f>Time!AE35*(AE35-AE36)*AE19</f>
        <v/>
      </c>
      <c r="AF38" s="13">
        <f>Time!AF35*(AF35-AF36)*AF19</f>
        <v/>
      </c>
      <c r="AG38" s="13">
        <f>Time!AG35*(AG35-AG36)*AG19</f>
        <v/>
      </c>
      <c r="AH38" s="13">
        <f>Time!AH35*(AH35-AH36)*AH19</f>
        <v/>
      </c>
      <c r="AI38" s="13">
        <f>Time!AI35*(AI35-AI36)*AI19</f>
        <v/>
      </c>
      <c r="AJ38" s="13">
        <f>Time!AJ35*(AJ35-AJ36)*AJ19</f>
        <v/>
      </c>
      <c r="AK38" s="13">
        <f>Time!AK35*(AK35-AK36)*AK19</f>
        <v/>
      </c>
      <c r="AL38" s="13">
        <f>Time!AL35*(AL35-AL36)*AL19</f>
        <v/>
      </c>
      <c r="AM38" s="13">
        <f>Time!AM35*(AM35-AM36)*AM19</f>
        <v/>
      </c>
      <c r="AN38" s="13">
        <f>Time!AN35*(AN35-AN36)*AN19</f>
        <v/>
      </c>
      <c r="AO38" s="13">
        <f>Time!AO35*(AO35-AO36)*AO19</f>
        <v/>
      </c>
      <c r="AP38" s="13">
        <f>Time!AP35*(AP35-AP36)*AP19</f>
        <v/>
      </c>
      <c r="AQ38" s="13">
        <f>Time!AQ35*(AQ35-AQ36)*AQ19</f>
        <v/>
      </c>
      <c r="AR38" s="13">
        <f>Time!AR35*(AR35-AR36)*AR19</f>
        <v/>
      </c>
      <c r="AS38" s="13">
        <f>Time!AS35*(AS35-AS36)*AS19</f>
        <v/>
      </c>
      <c r="AT38" s="13">
        <f>Time!AT35*(AT35-AT36)*AT19</f>
        <v/>
      </c>
      <c r="AU38" s="13">
        <f>Time!AU35*(AU35-AU36)*AU19</f>
        <v/>
      </c>
      <c r="AV38" s="13">
        <f>Time!AV35*(AV35-AV36)*AV19</f>
        <v/>
      </c>
      <c r="AW38" s="13">
        <f>Time!AW35*(AW35-AW36)*AW19</f>
        <v/>
      </c>
      <c r="AX38" s="13">
        <f>Time!AX35*(AX35-AX36)*AX19</f>
        <v/>
      </c>
      <c r="AY38" s="13">
        <f>Time!AY35*(AY35-AY36)*AY19</f>
        <v/>
      </c>
      <c r="AZ38" s="13">
        <f>Time!AZ35*(AZ35-AZ36)*AZ19</f>
        <v/>
      </c>
      <c r="BA38" s="13">
        <f>Time!BA35*(BA35-BA36)*BA19</f>
        <v/>
      </c>
      <c r="BB38" s="13">
        <f>Time!BB35*(BB35-BB36)*BB19</f>
        <v/>
      </c>
      <c r="BC38" s="13">
        <f>Time!BC35*(BC35-BC36)*BC19</f>
        <v/>
      </c>
      <c r="BD38" s="13">
        <f>Time!BD35*(BD35-BD36)*BD19</f>
        <v/>
      </c>
      <c r="BE38" s="13">
        <f>Time!BE35*(BE35-BE36)*BE19</f>
        <v/>
      </c>
      <c r="BF38" s="13">
        <f>Time!BF35*(BF35-BF36)*BF19</f>
        <v/>
      </c>
      <c r="BG38" s="13">
        <f>Time!BG35*(BG35-BG36)*BG19</f>
        <v/>
      </c>
      <c r="BH38" s="13">
        <f>Time!BH35*(BH35-BH36)*BH19</f>
        <v/>
      </c>
      <c r="BI38" s="13">
        <f>Time!BI35*(BI35-BI36)*BI19</f>
        <v/>
      </c>
      <c r="BJ38" s="13">
        <f>Time!BJ35*(BJ35-BJ36)*BJ19</f>
        <v/>
      </c>
      <c r="BK38" s="13">
        <f>Time!BK35*(BK35-BK36)*BK19</f>
        <v/>
      </c>
      <c r="BL38" s="13">
        <f>Time!BL35*(BL35-BL36)*BL19</f>
        <v/>
      </c>
      <c r="BM38" s="13">
        <f>Time!BM35*(BM35-BM36)*BM19</f>
        <v/>
      </c>
      <c r="BN38" s="13">
        <f>Time!BN35*(BN35-BN36)*BN19</f>
        <v/>
      </c>
    </row>
    <row r="39">
      <c r="D39" t="inlineStr">
        <is>
          <t>Principal deferred under the waiver</t>
        </is>
      </c>
      <c r="E39" t="inlineStr">
        <is>
          <t>USD m</t>
        </is>
      </c>
      <c r="G39" s="13">
        <f>SUM(J39:BN39)</f>
        <v/>
      </c>
      <c r="J39" s="13">
        <f>Time!J43*Inputs!$F$270*J38</f>
        <v/>
      </c>
      <c r="K39" s="13">
        <f>Time!K43*Inputs!$F$270*K38</f>
        <v/>
      </c>
      <c r="L39" s="13">
        <f>Time!L43*Inputs!$F$270*L38</f>
        <v/>
      </c>
      <c r="M39" s="13">
        <f>Time!M43*Inputs!$F$270*M38</f>
        <v/>
      </c>
      <c r="N39" s="13">
        <f>Time!N43*Inputs!$F$270*N38</f>
        <v/>
      </c>
      <c r="O39" s="13">
        <f>Time!O43*Inputs!$F$270*O38</f>
        <v/>
      </c>
      <c r="P39" s="13">
        <f>Time!P43*Inputs!$F$270*P38</f>
        <v/>
      </c>
      <c r="Q39" s="13">
        <f>Time!Q43*Inputs!$F$270*Q38</f>
        <v/>
      </c>
      <c r="R39" s="13">
        <f>Time!R43*Inputs!$F$270*R38</f>
        <v/>
      </c>
      <c r="S39" s="13">
        <f>Time!S43*Inputs!$F$270*S38</f>
        <v/>
      </c>
      <c r="T39" s="13">
        <f>Time!T43*Inputs!$F$270*T38</f>
        <v/>
      </c>
      <c r="U39" s="13">
        <f>Time!U43*Inputs!$F$270*U38</f>
        <v/>
      </c>
      <c r="V39" s="13">
        <f>Time!V43*Inputs!$F$270*V38</f>
        <v/>
      </c>
      <c r="W39" s="13">
        <f>Time!W43*Inputs!$F$270*W38</f>
        <v/>
      </c>
      <c r="X39" s="13">
        <f>Time!X43*Inputs!$F$270*X38</f>
        <v/>
      </c>
      <c r="Y39" s="13">
        <f>Time!Y43*Inputs!$F$270*Y38</f>
        <v/>
      </c>
      <c r="Z39" s="13">
        <f>Time!Z43*Inputs!$F$270*Z38</f>
        <v/>
      </c>
      <c r="AA39" s="13">
        <f>Time!AA43*Inputs!$F$270*AA38</f>
        <v/>
      </c>
      <c r="AB39" s="13">
        <f>Time!AB43*Inputs!$F$270*AB38</f>
        <v/>
      </c>
      <c r="AC39" s="13">
        <f>Time!AC43*Inputs!$F$270*AC38</f>
        <v/>
      </c>
      <c r="AD39" s="13">
        <f>Time!AD43*Inputs!$F$270*AD38</f>
        <v/>
      </c>
      <c r="AE39" s="13">
        <f>Time!AE43*Inputs!$F$270*AE38</f>
        <v/>
      </c>
      <c r="AF39" s="13">
        <f>Time!AF43*Inputs!$F$270*AF38</f>
        <v/>
      </c>
      <c r="AG39" s="13">
        <f>Time!AG43*Inputs!$F$270*AG38</f>
        <v/>
      </c>
      <c r="AH39" s="13">
        <f>Time!AH43*Inputs!$F$270*AH38</f>
        <v/>
      </c>
      <c r="AI39" s="13">
        <f>Time!AI43*Inputs!$F$270*AI38</f>
        <v/>
      </c>
      <c r="AJ39" s="13">
        <f>Time!AJ43*Inputs!$F$270*AJ38</f>
        <v/>
      </c>
      <c r="AK39" s="13">
        <f>Time!AK43*Inputs!$F$270*AK38</f>
        <v/>
      </c>
      <c r="AL39" s="13">
        <f>Time!AL43*Inputs!$F$270*AL38</f>
        <v/>
      </c>
      <c r="AM39" s="13">
        <f>Time!AM43*Inputs!$F$270*AM38</f>
        <v/>
      </c>
      <c r="AN39" s="13">
        <f>Time!AN43*Inputs!$F$270*AN38</f>
        <v/>
      </c>
      <c r="AO39" s="13">
        <f>Time!AO43*Inputs!$F$270*AO38</f>
        <v/>
      </c>
      <c r="AP39" s="13">
        <f>Time!AP43*Inputs!$F$270*AP38</f>
        <v/>
      </c>
      <c r="AQ39" s="13">
        <f>Time!AQ43*Inputs!$F$270*AQ38</f>
        <v/>
      </c>
      <c r="AR39" s="13">
        <f>Time!AR43*Inputs!$F$270*AR38</f>
        <v/>
      </c>
      <c r="AS39" s="13">
        <f>Time!AS43*Inputs!$F$270*AS38</f>
        <v/>
      </c>
      <c r="AT39" s="13">
        <f>Time!AT43*Inputs!$F$270*AT38</f>
        <v/>
      </c>
      <c r="AU39" s="13">
        <f>Time!AU43*Inputs!$F$270*AU38</f>
        <v/>
      </c>
      <c r="AV39" s="13">
        <f>Time!AV43*Inputs!$F$270*AV38</f>
        <v/>
      </c>
      <c r="AW39" s="13">
        <f>Time!AW43*Inputs!$F$270*AW38</f>
        <v/>
      </c>
      <c r="AX39" s="13">
        <f>Time!AX43*Inputs!$F$270*AX38</f>
        <v/>
      </c>
      <c r="AY39" s="13">
        <f>Time!AY43*Inputs!$F$270*AY38</f>
        <v/>
      </c>
      <c r="AZ39" s="13">
        <f>Time!AZ43*Inputs!$F$270*AZ38</f>
        <v/>
      </c>
      <c r="BA39" s="13">
        <f>Time!BA43*Inputs!$F$270*BA38</f>
        <v/>
      </c>
      <c r="BB39" s="13">
        <f>Time!BB43*Inputs!$F$270*BB38</f>
        <v/>
      </c>
      <c r="BC39" s="13">
        <f>Time!BC43*Inputs!$F$270*BC38</f>
        <v/>
      </c>
      <c r="BD39" s="13">
        <f>Time!BD43*Inputs!$F$270*BD38</f>
        <v/>
      </c>
      <c r="BE39" s="13">
        <f>Time!BE43*Inputs!$F$270*BE38</f>
        <v/>
      </c>
      <c r="BF39" s="13">
        <f>Time!BF43*Inputs!$F$270*BF38</f>
        <v/>
      </c>
      <c r="BG39" s="13">
        <f>Time!BG43*Inputs!$F$270*BG38</f>
        <v/>
      </c>
      <c r="BH39" s="13">
        <f>Time!BH43*Inputs!$F$270*BH38</f>
        <v/>
      </c>
      <c r="BI39" s="13">
        <f>Time!BI43*Inputs!$F$270*BI38</f>
        <v/>
      </c>
      <c r="BJ39" s="13">
        <f>Time!BJ43*Inputs!$F$270*BJ38</f>
        <v/>
      </c>
      <c r="BK39" s="13">
        <f>Time!BK43*Inputs!$F$270*BK38</f>
        <v/>
      </c>
      <c r="BL39" s="13">
        <f>Time!BL43*Inputs!$F$270*BL38</f>
        <v/>
      </c>
      <c r="BM39" s="13">
        <f>Time!BM43*Inputs!$F$270*BM38</f>
        <v/>
      </c>
      <c r="BN39" s="13">
        <f>Time!BN43*Inputs!$F$270*BN38</f>
        <v/>
      </c>
    </row>
    <row r="40">
      <c r="D40" t="inlineStr">
        <is>
          <t>Deferred principal repaid (equal parts over the remaining repayment dates)</t>
        </is>
      </c>
      <c r="E40" t="inlineStr">
        <is>
          <t>USD m</t>
        </is>
      </c>
      <c r="G40" s="13">
        <f>SUM(J40:BN40)</f>
        <v/>
      </c>
      <c r="J40" s="13">
        <f>IF(Time!J46&gt;0,Time!J45*J36/Time!J46,0)</f>
        <v/>
      </c>
      <c r="K40" s="13">
        <f>IF(Time!K46&gt;0,Time!K45*K36/Time!K46,0)</f>
        <v/>
      </c>
      <c r="L40" s="13">
        <f>IF(Time!L46&gt;0,Time!L45*L36/Time!L46,0)</f>
        <v/>
      </c>
      <c r="M40" s="13">
        <f>IF(Time!M46&gt;0,Time!M45*M36/Time!M46,0)</f>
        <v/>
      </c>
      <c r="N40" s="13">
        <f>IF(Time!N46&gt;0,Time!N45*N36/Time!N46,0)</f>
        <v/>
      </c>
      <c r="O40" s="13">
        <f>IF(Time!O46&gt;0,Time!O45*O36/Time!O46,0)</f>
        <v/>
      </c>
      <c r="P40" s="13">
        <f>IF(Time!P46&gt;0,Time!P45*P36/Time!P46,0)</f>
        <v/>
      </c>
      <c r="Q40" s="13">
        <f>IF(Time!Q46&gt;0,Time!Q45*Q36/Time!Q46,0)</f>
        <v/>
      </c>
      <c r="R40" s="13">
        <f>IF(Time!R46&gt;0,Time!R45*R36/Time!R46,0)</f>
        <v/>
      </c>
      <c r="S40" s="13">
        <f>IF(Time!S46&gt;0,Time!S45*S36/Time!S46,0)</f>
        <v/>
      </c>
      <c r="T40" s="13">
        <f>IF(Time!T46&gt;0,Time!T45*T36/Time!T46,0)</f>
        <v/>
      </c>
      <c r="U40" s="13">
        <f>IF(Time!U46&gt;0,Time!U45*U36/Time!U46,0)</f>
        <v/>
      </c>
      <c r="V40" s="13">
        <f>IF(Time!V46&gt;0,Time!V45*V36/Time!V46,0)</f>
        <v/>
      </c>
      <c r="W40" s="13">
        <f>IF(Time!W46&gt;0,Time!W45*W36/Time!W46,0)</f>
        <v/>
      </c>
      <c r="X40" s="13">
        <f>IF(Time!X46&gt;0,Time!X45*X36/Time!X46,0)</f>
        <v/>
      </c>
      <c r="Y40" s="13">
        <f>IF(Time!Y46&gt;0,Time!Y45*Y36/Time!Y46,0)</f>
        <v/>
      </c>
      <c r="Z40" s="13">
        <f>IF(Time!Z46&gt;0,Time!Z45*Z36/Time!Z46,0)</f>
        <v/>
      </c>
      <c r="AA40" s="13">
        <f>IF(Time!AA46&gt;0,Time!AA45*AA36/Time!AA46,0)</f>
        <v/>
      </c>
      <c r="AB40" s="13">
        <f>IF(Time!AB46&gt;0,Time!AB45*AB36/Time!AB46,0)</f>
        <v/>
      </c>
      <c r="AC40" s="13">
        <f>IF(Time!AC46&gt;0,Time!AC45*AC36/Time!AC46,0)</f>
        <v/>
      </c>
      <c r="AD40" s="13">
        <f>IF(Time!AD46&gt;0,Time!AD45*AD36/Time!AD46,0)</f>
        <v/>
      </c>
      <c r="AE40" s="13">
        <f>IF(Time!AE46&gt;0,Time!AE45*AE36/Time!AE46,0)</f>
        <v/>
      </c>
      <c r="AF40" s="13">
        <f>IF(Time!AF46&gt;0,Time!AF45*AF36/Time!AF46,0)</f>
        <v/>
      </c>
      <c r="AG40" s="13">
        <f>IF(Time!AG46&gt;0,Time!AG45*AG36/Time!AG46,0)</f>
        <v/>
      </c>
      <c r="AH40" s="13">
        <f>IF(Time!AH46&gt;0,Time!AH45*AH36/Time!AH46,0)</f>
        <v/>
      </c>
      <c r="AI40" s="13">
        <f>IF(Time!AI46&gt;0,Time!AI45*AI36/Time!AI46,0)</f>
        <v/>
      </c>
      <c r="AJ40" s="13">
        <f>IF(Time!AJ46&gt;0,Time!AJ45*AJ36/Time!AJ46,0)</f>
        <v/>
      </c>
      <c r="AK40" s="13">
        <f>IF(Time!AK46&gt;0,Time!AK45*AK36/Time!AK46,0)</f>
        <v/>
      </c>
      <c r="AL40" s="13">
        <f>IF(Time!AL46&gt;0,Time!AL45*AL36/Time!AL46,0)</f>
        <v/>
      </c>
      <c r="AM40" s="13">
        <f>IF(Time!AM46&gt;0,Time!AM45*AM36/Time!AM46,0)</f>
        <v/>
      </c>
      <c r="AN40" s="13">
        <f>IF(Time!AN46&gt;0,Time!AN45*AN36/Time!AN46,0)</f>
        <v/>
      </c>
      <c r="AO40" s="13">
        <f>IF(Time!AO46&gt;0,Time!AO45*AO36/Time!AO46,0)</f>
        <v/>
      </c>
      <c r="AP40" s="13">
        <f>IF(Time!AP46&gt;0,Time!AP45*AP36/Time!AP46,0)</f>
        <v/>
      </c>
      <c r="AQ40" s="13">
        <f>IF(Time!AQ46&gt;0,Time!AQ45*AQ36/Time!AQ46,0)</f>
        <v/>
      </c>
      <c r="AR40" s="13">
        <f>IF(Time!AR46&gt;0,Time!AR45*AR36/Time!AR46,0)</f>
        <v/>
      </c>
      <c r="AS40" s="13">
        <f>IF(Time!AS46&gt;0,Time!AS45*AS36/Time!AS46,0)</f>
        <v/>
      </c>
      <c r="AT40" s="13">
        <f>IF(Time!AT46&gt;0,Time!AT45*AT36/Time!AT46,0)</f>
        <v/>
      </c>
      <c r="AU40" s="13">
        <f>IF(Time!AU46&gt;0,Time!AU45*AU36/Time!AU46,0)</f>
        <v/>
      </c>
      <c r="AV40" s="13">
        <f>IF(Time!AV46&gt;0,Time!AV45*AV36/Time!AV46,0)</f>
        <v/>
      </c>
      <c r="AW40" s="13">
        <f>IF(Time!AW46&gt;0,Time!AW45*AW36/Time!AW46,0)</f>
        <v/>
      </c>
      <c r="AX40" s="13">
        <f>IF(Time!AX46&gt;0,Time!AX45*AX36/Time!AX46,0)</f>
        <v/>
      </c>
      <c r="AY40" s="13">
        <f>IF(Time!AY46&gt;0,Time!AY45*AY36/Time!AY46,0)</f>
        <v/>
      </c>
      <c r="AZ40" s="13">
        <f>IF(Time!AZ46&gt;0,Time!AZ45*AZ36/Time!AZ46,0)</f>
        <v/>
      </c>
      <c r="BA40" s="13">
        <f>IF(Time!BA46&gt;0,Time!BA45*BA36/Time!BA46,0)</f>
        <v/>
      </c>
      <c r="BB40" s="13">
        <f>IF(Time!BB46&gt;0,Time!BB45*BB36/Time!BB46,0)</f>
        <v/>
      </c>
      <c r="BC40" s="13">
        <f>IF(Time!BC46&gt;0,Time!BC45*BC36/Time!BC46,0)</f>
        <v/>
      </c>
      <c r="BD40" s="13">
        <f>IF(Time!BD46&gt;0,Time!BD45*BD36/Time!BD46,0)</f>
        <v/>
      </c>
      <c r="BE40" s="13">
        <f>IF(Time!BE46&gt;0,Time!BE45*BE36/Time!BE46,0)</f>
        <v/>
      </c>
      <c r="BF40" s="13">
        <f>IF(Time!BF46&gt;0,Time!BF45*BF36/Time!BF46,0)</f>
        <v/>
      </c>
      <c r="BG40" s="13">
        <f>IF(Time!BG46&gt;0,Time!BG45*BG36/Time!BG46,0)</f>
        <v/>
      </c>
      <c r="BH40" s="13">
        <f>IF(Time!BH46&gt;0,Time!BH45*BH36/Time!BH46,0)</f>
        <v/>
      </c>
      <c r="BI40" s="13">
        <f>IF(Time!BI46&gt;0,Time!BI45*BI36/Time!BI46,0)</f>
        <v/>
      </c>
      <c r="BJ40" s="13">
        <f>IF(Time!BJ46&gt;0,Time!BJ45*BJ36/Time!BJ46,0)</f>
        <v/>
      </c>
      <c r="BK40" s="13">
        <f>IF(Time!BK46&gt;0,Time!BK45*BK36/Time!BK46,0)</f>
        <v/>
      </c>
      <c r="BL40" s="13">
        <f>IF(Time!BL46&gt;0,Time!BL45*BL36/Time!BL46,0)</f>
        <v/>
      </c>
      <c r="BM40" s="13">
        <f>IF(Time!BM46&gt;0,Time!BM45*BM36/Time!BM46,0)</f>
        <v/>
      </c>
      <c r="BN40" s="13">
        <f>IF(Time!BN46&gt;0,Time!BN45*BN36/Time!BN46,0)</f>
        <v/>
      </c>
    </row>
    <row r="41">
      <c r="D41" t="inlineStr">
        <is>
          <t>Principal paid</t>
        </is>
      </c>
      <c r="E41" t="inlineStr">
        <is>
          <t>USD m</t>
        </is>
      </c>
      <c r="G41" s="13">
        <f>SUM(J41:BN41)</f>
        <v/>
      </c>
      <c r="J41" s="13">
        <f>J38-J39+J40</f>
        <v/>
      </c>
      <c r="K41" s="13">
        <f>K38-K39+K40</f>
        <v/>
      </c>
      <c r="L41" s="13">
        <f>L38-L39+L40</f>
        <v/>
      </c>
      <c r="M41" s="13">
        <f>M38-M39+M40</f>
        <v/>
      </c>
      <c r="N41" s="13">
        <f>N38-N39+N40</f>
        <v/>
      </c>
      <c r="O41" s="13">
        <f>O38-O39+O40</f>
        <v/>
      </c>
      <c r="P41" s="13">
        <f>P38-P39+P40</f>
        <v/>
      </c>
      <c r="Q41" s="13">
        <f>Q38-Q39+Q40</f>
        <v/>
      </c>
      <c r="R41" s="13">
        <f>R38-R39+R40</f>
        <v/>
      </c>
      <c r="S41" s="13">
        <f>S38-S39+S40</f>
        <v/>
      </c>
      <c r="T41" s="13">
        <f>T38-T39+T40</f>
        <v/>
      </c>
      <c r="U41" s="13">
        <f>U38-U39+U40</f>
        <v/>
      </c>
      <c r="V41" s="13">
        <f>V38-V39+V40</f>
        <v/>
      </c>
      <c r="W41" s="13">
        <f>W38-W39+W40</f>
        <v/>
      </c>
      <c r="X41" s="13">
        <f>X38-X39+X40</f>
        <v/>
      </c>
      <c r="Y41" s="13">
        <f>Y38-Y39+Y40</f>
        <v/>
      </c>
      <c r="Z41" s="13">
        <f>Z38-Z39+Z40</f>
        <v/>
      </c>
      <c r="AA41" s="13">
        <f>AA38-AA39+AA40</f>
        <v/>
      </c>
      <c r="AB41" s="13">
        <f>AB38-AB39+AB40</f>
        <v/>
      </c>
      <c r="AC41" s="13">
        <f>AC38-AC39+AC40</f>
        <v/>
      </c>
      <c r="AD41" s="13">
        <f>AD38-AD39+AD40</f>
        <v/>
      </c>
      <c r="AE41" s="13">
        <f>AE38-AE39+AE40</f>
        <v/>
      </c>
      <c r="AF41" s="13">
        <f>AF38-AF39+AF40</f>
        <v/>
      </c>
      <c r="AG41" s="13">
        <f>AG38-AG39+AG40</f>
        <v/>
      </c>
      <c r="AH41" s="13">
        <f>AH38-AH39+AH40</f>
        <v/>
      </c>
      <c r="AI41" s="13">
        <f>AI38-AI39+AI40</f>
        <v/>
      </c>
      <c r="AJ41" s="13">
        <f>AJ38-AJ39+AJ40</f>
        <v/>
      </c>
      <c r="AK41" s="13">
        <f>AK38-AK39+AK40</f>
        <v/>
      </c>
      <c r="AL41" s="13">
        <f>AL38-AL39+AL40</f>
        <v/>
      </c>
      <c r="AM41" s="13">
        <f>AM38-AM39+AM40</f>
        <v/>
      </c>
      <c r="AN41" s="13">
        <f>AN38-AN39+AN40</f>
        <v/>
      </c>
      <c r="AO41" s="13">
        <f>AO38-AO39+AO40</f>
        <v/>
      </c>
      <c r="AP41" s="13">
        <f>AP38-AP39+AP40</f>
        <v/>
      </c>
      <c r="AQ41" s="13">
        <f>AQ38-AQ39+AQ40</f>
        <v/>
      </c>
      <c r="AR41" s="13">
        <f>AR38-AR39+AR40</f>
        <v/>
      </c>
      <c r="AS41" s="13">
        <f>AS38-AS39+AS40</f>
        <v/>
      </c>
      <c r="AT41" s="13">
        <f>AT38-AT39+AT40</f>
        <v/>
      </c>
      <c r="AU41" s="13">
        <f>AU38-AU39+AU40</f>
        <v/>
      </c>
      <c r="AV41" s="13">
        <f>AV38-AV39+AV40</f>
        <v/>
      </c>
      <c r="AW41" s="13">
        <f>AW38-AW39+AW40</f>
        <v/>
      </c>
      <c r="AX41" s="13">
        <f>AX38-AX39+AX40</f>
        <v/>
      </c>
      <c r="AY41" s="13">
        <f>AY38-AY39+AY40</f>
        <v/>
      </c>
      <c r="AZ41" s="13">
        <f>AZ38-AZ39+AZ40</f>
        <v/>
      </c>
      <c r="BA41" s="13">
        <f>BA38-BA39+BA40</f>
        <v/>
      </c>
      <c r="BB41" s="13">
        <f>BB38-BB39+BB40</f>
        <v/>
      </c>
      <c r="BC41" s="13">
        <f>BC38-BC39+BC40</f>
        <v/>
      </c>
      <c r="BD41" s="13">
        <f>BD38-BD39+BD40</f>
        <v/>
      </c>
      <c r="BE41" s="13">
        <f>BE38-BE39+BE40</f>
        <v/>
      </c>
      <c r="BF41" s="13">
        <f>BF38-BF39+BF40</f>
        <v/>
      </c>
      <c r="BG41" s="13">
        <f>BG38-BG39+BG40</f>
        <v/>
      </c>
      <c r="BH41" s="13">
        <f>BH38-BH39+BH40</f>
        <v/>
      </c>
      <c r="BI41" s="13">
        <f>BI38-BI39+BI40</f>
        <v/>
      </c>
      <c r="BJ41" s="13">
        <f>BJ38-BJ39+BJ40</f>
        <v/>
      </c>
      <c r="BK41" s="13">
        <f>BK38-BK39+BK40</f>
        <v/>
      </c>
      <c r="BL41" s="13">
        <f>BL38-BL39+BL40</f>
        <v/>
      </c>
      <c r="BM41" s="13">
        <f>BM38-BM39+BM40</f>
        <v/>
      </c>
      <c r="BN41" s="13">
        <f>BN38-BN39+BN40</f>
        <v/>
      </c>
    </row>
    <row r="42">
      <c r="D42" t="inlineStr">
        <is>
          <t>Performance LD prepayment</t>
        </is>
      </c>
      <c r="E42" t="inlineStr">
        <is>
          <t>USD m</t>
        </is>
      </c>
      <c r="G42" s="13">
        <f>SUM(J42:BN42)</f>
        <v/>
      </c>
      <c r="J42" s="13">
        <f>Time!J42*Inputs!$F$267*(J35-J41)/(J21-J27+J35-J41+J49-J55+J63-J69+J77-J83+Inputs!$F$253)</f>
        <v/>
      </c>
      <c r="K42" s="13">
        <f>Time!K42*Inputs!$F$267*(K35-K41)/(K21-K27+K35-K41+K49-K55+K63-K69+K77-K83+Inputs!$F$253)</f>
        <v/>
      </c>
      <c r="L42" s="13">
        <f>Time!L42*Inputs!$F$267*(L35-L41)/(L21-L27+L35-L41+L49-L55+L63-L69+L77-L83+Inputs!$F$253)</f>
        <v/>
      </c>
      <c r="M42" s="13">
        <f>Time!M42*Inputs!$F$267*(M35-M41)/(M21-M27+M35-M41+M49-M55+M63-M69+M77-M83+Inputs!$F$253)</f>
        <v/>
      </c>
      <c r="N42" s="13">
        <f>Time!N42*Inputs!$F$267*(N35-N41)/(N21-N27+N35-N41+N49-N55+N63-N69+N77-N83+Inputs!$F$253)</f>
        <v/>
      </c>
      <c r="O42" s="13">
        <f>Time!O42*Inputs!$F$267*(O35-O41)/(O21-O27+O35-O41+O49-O55+O63-O69+O77-O83+Inputs!$F$253)</f>
        <v/>
      </c>
      <c r="P42" s="13">
        <f>Time!P42*Inputs!$F$267*(P35-P41)/(P21-P27+P35-P41+P49-P55+P63-P69+P77-P83+Inputs!$F$253)</f>
        <v/>
      </c>
      <c r="Q42" s="13">
        <f>Time!Q42*Inputs!$F$267*(Q35-Q41)/(Q21-Q27+Q35-Q41+Q49-Q55+Q63-Q69+Q77-Q83+Inputs!$F$253)</f>
        <v/>
      </c>
      <c r="R42" s="13">
        <f>Time!R42*Inputs!$F$267*(R35-R41)/(R21-R27+R35-R41+R49-R55+R63-R69+R77-R83+Inputs!$F$253)</f>
        <v/>
      </c>
      <c r="S42" s="13">
        <f>Time!S42*Inputs!$F$267*(S35-S41)/(S21-S27+S35-S41+S49-S55+S63-S69+S77-S83+Inputs!$F$253)</f>
        <v/>
      </c>
      <c r="T42" s="13">
        <f>Time!T42*Inputs!$F$267*(T35-T41)/(T21-T27+T35-T41+T49-T55+T63-T69+T77-T83+Inputs!$F$253)</f>
        <v/>
      </c>
      <c r="U42" s="13">
        <f>Time!U42*Inputs!$F$267*(U35-U41)/(U21-U27+U35-U41+U49-U55+U63-U69+U77-U83+Inputs!$F$253)</f>
        <v/>
      </c>
      <c r="V42" s="13">
        <f>Time!V42*Inputs!$F$267*(V35-V41)/(V21-V27+V35-V41+V49-V55+V63-V69+V77-V83+Inputs!$F$253)</f>
        <v/>
      </c>
      <c r="W42" s="13">
        <f>Time!W42*Inputs!$F$267*(W35-W41)/(W21-W27+W35-W41+W49-W55+W63-W69+W77-W83+Inputs!$F$253)</f>
        <v/>
      </c>
      <c r="X42" s="13">
        <f>Time!X42*Inputs!$F$267*(X35-X41)/(X21-X27+X35-X41+X49-X55+X63-X69+X77-X83+Inputs!$F$253)</f>
        <v/>
      </c>
      <c r="Y42" s="13">
        <f>Time!Y42*Inputs!$F$267*(Y35-Y41)/(Y21-Y27+Y35-Y41+Y49-Y55+Y63-Y69+Y77-Y83+Inputs!$F$253)</f>
        <v/>
      </c>
      <c r="Z42" s="13">
        <f>Time!Z42*Inputs!$F$267*(Z35-Z41)/(Z21-Z27+Z35-Z41+Z49-Z55+Z63-Z69+Z77-Z83+Inputs!$F$253)</f>
        <v/>
      </c>
      <c r="AA42" s="13">
        <f>Time!AA42*Inputs!$F$267*(AA35-AA41)/(AA21-AA27+AA35-AA41+AA49-AA55+AA63-AA69+AA77-AA83+Inputs!$F$253)</f>
        <v/>
      </c>
      <c r="AB42" s="13">
        <f>Time!AB42*Inputs!$F$267*(AB35-AB41)/(AB21-AB27+AB35-AB41+AB49-AB55+AB63-AB69+AB77-AB83+Inputs!$F$253)</f>
        <v/>
      </c>
      <c r="AC42" s="13">
        <f>Time!AC42*Inputs!$F$267*(AC35-AC41)/(AC21-AC27+AC35-AC41+AC49-AC55+AC63-AC69+AC77-AC83+Inputs!$F$253)</f>
        <v/>
      </c>
      <c r="AD42" s="13">
        <f>Time!AD42*Inputs!$F$267*(AD35-AD41)/(AD21-AD27+AD35-AD41+AD49-AD55+AD63-AD69+AD77-AD83+Inputs!$F$253)</f>
        <v/>
      </c>
      <c r="AE42" s="13">
        <f>Time!AE42*Inputs!$F$267*(AE35-AE41)/(AE21-AE27+AE35-AE41+AE49-AE55+AE63-AE69+AE77-AE83+Inputs!$F$253)</f>
        <v/>
      </c>
      <c r="AF42" s="13">
        <f>Time!AF42*Inputs!$F$267*(AF35-AF41)/(AF21-AF27+AF35-AF41+AF49-AF55+AF63-AF69+AF77-AF83+Inputs!$F$253)</f>
        <v/>
      </c>
      <c r="AG42" s="13">
        <f>Time!AG42*Inputs!$F$267*(AG35-AG41)/(AG21-AG27+AG35-AG41+AG49-AG55+AG63-AG69+AG77-AG83+Inputs!$F$253)</f>
        <v/>
      </c>
      <c r="AH42" s="13">
        <f>Time!AH42*Inputs!$F$267*(AH35-AH41)/(AH21-AH27+AH35-AH41+AH49-AH55+AH63-AH69+AH77-AH83+Inputs!$F$253)</f>
        <v/>
      </c>
      <c r="AI42" s="13">
        <f>Time!AI42*Inputs!$F$267*(AI35-AI41)/(AI21-AI27+AI35-AI41+AI49-AI55+AI63-AI69+AI77-AI83+Inputs!$F$253)</f>
        <v/>
      </c>
      <c r="AJ42" s="13">
        <f>Time!AJ42*Inputs!$F$267*(AJ35-AJ41)/(AJ21-AJ27+AJ35-AJ41+AJ49-AJ55+AJ63-AJ69+AJ77-AJ83+Inputs!$F$253)</f>
        <v/>
      </c>
      <c r="AK42" s="13">
        <f>Time!AK42*Inputs!$F$267*(AK35-AK41)/(AK21-AK27+AK35-AK41+AK49-AK55+AK63-AK69+AK77-AK83+Inputs!$F$253)</f>
        <v/>
      </c>
      <c r="AL42" s="13">
        <f>Time!AL42*Inputs!$F$267*(AL35-AL41)/(AL21-AL27+AL35-AL41+AL49-AL55+AL63-AL69+AL77-AL83+Inputs!$F$253)</f>
        <v/>
      </c>
      <c r="AM42" s="13">
        <f>Time!AM42*Inputs!$F$267*(AM35-AM41)/(AM21-AM27+AM35-AM41+AM49-AM55+AM63-AM69+AM77-AM83+Inputs!$F$253)</f>
        <v/>
      </c>
      <c r="AN42" s="13">
        <f>Time!AN42*Inputs!$F$267*(AN35-AN41)/(AN21-AN27+AN35-AN41+AN49-AN55+AN63-AN69+AN77-AN83+Inputs!$F$253)</f>
        <v/>
      </c>
      <c r="AO42" s="13">
        <f>Time!AO42*Inputs!$F$267*(AO35-AO41)/(AO21-AO27+AO35-AO41+AO49-AO55+AO63-AO69+AO77-AO83+Inputs!$F$253)</f>
        <v/>
      </c>
      <c r="AP42" s="13">
        <f>Time!AP42*Inputs!$F$267*(AP35-AP41)/(AP21-AP27+AP35-AP41+AP49-AP55+AP63-AP69+AP77-AP83+Inputs!$F$253)</f>
        <v/>
      </c>
      <c r="AQ42" s="13">
        <f>Time!AQ42*Inputs!$F$267*(AQ35-AQ41)/(AQ21-AQ27+AQ35-AQ41+AQ49-AQ55+AQ63-AQ69+AQ77-AQ83+Inputs!$F$253)</f>
        <v/>
      </c>
      <c r="AR42" s="13">
        <f>Time!AR42*Inputs!$F$267*(AR35-AR41)/(AR21-AR27+AR35-AR41+AR49-AR55+AR63-AR69+AR77-AR83+Inputs!$F$253)</f>
        <v/>
      </c>
      <c r="AS42" s="13">
        <f>Time!AS42*Inputs!$F$267*(AS35-AS41)/(AS21-AS27+AS35-AS41+AS49-AS55+AS63-AS69+AS77-AS83+Inputs!$F$253)</f>
        <v/>
      </c>
      <c r="AT42" s="13">
        <f>Time!AT42*Inputs!$F$267*(AT35-AT41)/(AT21-AT27+AT35-AT41+AT49-AT55+AT63-AT69+AT77-AT83+Inputs!$F$253)</f>
        <v/>
      </c>
      <c r="AU42" s="13">
        <f>Time!AU42*Inputs!$F$267*(AU35-AU41)/(AU21-AU27+AU35-AU41+AU49-AU55+AU63-AU69+AU77-AU83+Inputs!$F$253)</f>
        <v/>
      </c>
      <c r="AV42" s="13">
        <f>Time!AV42*Inputs!$F$267*(AV35-AV41)/(AV21-AV27+AV35-AV41+AV49-AV55+AV63-AV69+AV77-AV83+Inputs!$F$253)</f>
        <v/>
      </c>
      <c r="AW42" s="13">
        <f>Time!AW42*Inputs!$F$267*(AW35-AW41)/(AW21-AW27+AW35-AW41+AW49-AW55+AW63-AW69+AW77-AW83+Inputs!$F$253)</f>
        <v/>
      </c>
      <c r="AX42" s="13">
        <f>Time!AX42*Inputs!$F$267*(AX35-AX41)/(AX21-AX27+AX35-AX41+AX49-AX55+AX63-AX69+AX77-AX83+Inputs!$F$253)</f>
        <v/>
      </c>
      <c r="AY42" s="13">
        <f>Time!AY42*Inputs!$F$267*(AY35-AY41)/(AY21-AY27+AY35-AY41+AY49-AY55+AY63-AY69+AY77-AY83+Inputs!$F$253)</f>
        <v/>
      </c>
      <c r="AZ42" s="13">
        <f>Time!AZ42*Inputs!$F$267*(AZ35-AZ41)/(AZ21-AZ27+AZ35-AZ41+AZ49-AZ55+AZ63-AZ69+AZ77-AZ83+Inputs!$F$253)</f>
        <v/>
      </c>
      <c r="BA42" s="13">
        <f>Time!BA42*Inputs!$F$267*(BA35-BA41)/(BA21-BA27+BA35-BA41+BA49-BA55+BA63-BA69+BA77-BA83+Inputs!$F$253)</f>
        <v/>
      </c>
      <c r="BB42" s="13">
        <f>Time!BB42*Inputs!$F$267*(BB35-BB41)/(BB21-BB27+BB35-BB41+BB49-BB55+BB63-BB69+BB77-BB83+Inputs!$F$253)</f>
        <v/>
      </c>
      <c r="BC42" s="13">
        <f>Time!BC42*Inputs!$F$267*(BC35-BC41)/(BC21-BC27+BC35-BC41+BC49-BC55+BC63-BC69+BC77-BC83+Inputs!$F$253)</f>
        <v/>
      </c>
      <c r="BD42" s="13">
        <f>Time!BD42*Inputs!$F$267*(BD35-BD41)/(BD21-BD27+BD35-BD41+BD49-BD55+BD63-BD69+BD77-BD83+Inputs!$F$253)</f>
        <v/>
      </c>
      <c r="BE42" s="13">
        <f>Time!BE42*Inputs!$F$267*(BE35-BE41)/(BE21-BE27+BE35-BE41+BE49-BE55+BE63-BE69+BE77-BE83+Inputs!$F$253)</f>
        <v/>
      </c>
      <c r="BF42" s="13">
        <f>Time!BF42*Inputs!$F$267*(BF35-BF41)/(BF21-BF27+BF35-BF41+BF49-BF55+BF63-BF69+BF77-BF83+Inputs!$F$253)</f>
        <v/>
      </c>
      <c r="BG42" s="13">
        <f>Time!BG42*Inputs!$F$267*(BG35-BG41)/(BG21-BG27+BG35-BG41+BG49-BG55+BG63-BG69+BG77-BG83+Inputs!$F$253)</f>
        <v/>
      </c>
      <c r="BH42" s="13">
        <f>Time!BH42*Inputs!$F$267*(BH35-BH41)/(BH21-BH27+BH35-BH41+BH49-BH55+BH63-BH69+BH77-BH83+Inputs!$F$253)</f>
        <v/>
      </c>
      <c r="BI42" s="13">
        <f>Time!BI42*Inputs!$F$267*(BI35-BI41)/(BI21-BI27+BI35-BI41+BI49-BI55+BI63-BI69+BI77-BI83+Inputs!$F$253)</f>
        <v/>
      </c>
      <c r="BJ42" s="13">
        <f>Time!BJ42*Inputs!$F$267*(BJ35-BJ41)/(BJ21-BJ27+BJ35-BJ41+BJ49-BJ55+BJ63-BJ69+BJ77-BJ83+Inputs!$F$253)</f>
        <v/>
      </c>
      <c r="BK42" s="13">
        <f>Time!BK42*Inputs!$F$267*(BK35-BK41)/(BK21-BK27+BK35-BK41+BK49-BK55+BK63-BK69+BK77-BK83+Inputs!$F$253)</f>
        <v/>
      </c>
      <c r="BL42" s="13">
        <f>Time!BL42*Inputs!$F$267*(BL35-BL41)/(BL21-BL27+BL35-BL41+BL49-BL55+BL63-BL69+BL77-BL83+Inputs!$F$253)</f>
        <v/>
      </c>
      <c r="BM42" s="13">
        <f>Time!BM42*Inputs!$F$267*(BM35-BM41)/(BM21-BM27+BM35-BM41+BM49-BM55+BM63-BM69+BM77-BM83+Inputs!$F$253)</f>
        <v/>
      </c>
      <c r="BN42" s="13">
        <f>Time!BN42*Inputs!$F$267*(BN35-BN41)/(BN21-BN27+BN35-BN41+BN49-BN55+BN63-BN69+BN77-BN83+Inputs!$F$253)</f>
        <v/>
      </c>
    </row>
    <row r="43">
      <c r="D43" t="inlineStr">
        <is>
          <t>Refinanced (not refinanced: stays in place)</t>
        </is>
      </c>
      <c r="E43" t="inlineStr">
        <is>
          <t>USD m</t>
        </is>
      </c>
      <c r="G43" s="13">
        <f>SUM(J43:BN43)</f>
        <v/>
      </c>
      <c r="J43" s="13">
        <f>Time!J47*0</f>
        <v/>
      </c>
      <c r="K43" s="13">
        <f>Time!K47*0</f>
        <v/>
      </c>
      <c r="L43" s="13">
        <f>Time!L47*0</f>
        <v/>
      </c>
      <c r="M43" s="13">
        <f>Time!M47*0</f>
        <v/>
      </c>
      <c r="N43" s="13">
        <f>Time!N47*0</f>
        <v/>
      </c>
      <c r="O43" s="13">
        <f>Time!O47*0</f>
        <v/>
      </c>
      <c r="P43" s="13">
        <f>Time!P47*0</f>
        <v/>
      </c>
      <c r="Q43" s="13">
        <f>Time!Q47*0</f>
        <v/>
      </c>
      <c r="R43" s="13">
        <f>Time!R47*0</f>
        <v/>
      </c>
      <c r="S43" s="13">
        <f>Time!S47*0</f>
        <v/>
      </c>
      <c r="T43" s="13">
        <f>Time!T47*0</f>
        <v/>
      </c>
      <c r="U43" s="13">
        <f>Time!U47*0</f>
        <v/>
      </c>
      <c r="V43" s="13">
        <f>Time!V47*0</f>
        <v/>
      </c>
      <c r="W43" s="13">
        <f>Time!W47*0</f>
        <v/>
      </c>
      <c r="X43" s="13">
        <f>Time!X47*0</f>
        <v/>
      </c>
      <c r="Y43" s="13">
        <f>Time!Y47*0</f>
        <v/>
      </c>
      <c r="Z43" s="13">
        <f>Time!Z47*0</f>
        <v/>
      </c>
      <c r="AA43" s="13">
        <f>Time!AA47*0</f>
        <v/>
      </c>
      <c r="AB43" s="13">
        <f>Time!AB47*0</f>
        <v/>
      </c>
      <c r="AC43" s="13">
        <f>Time!AC47*0</f>
        <v/>
      </c>
      <c r="AD43" s="13">
        <f>Time!AD47*0</f>
        <v/>
      </c>
      <c r="AE43" s="13">
        <f>Time!AE47*0</f>
        <v/>
      </c>
      <c r="AF43" s="13">
        <f>Time!AF47*0</f>
        <v/>
      </c>
      <c r="AG43" s="13">
        <f>Time!AG47*0</f>
        <v/>
      </c>
      <c r="AH43" s="13">
        <f>Time!AH47*0</f>
        <v/>
      </c>
      <c r="AI43" s="13">
        <f>Time!AI47*0</f>
        <v/>
      </c>
      <c r="AJ43" s="13">
        <f>Time!AJ47*0</f>
        <v/>
      </c>
      <c r="AK43" s="13">
        <f>Time!AK47*0</f>
        <v/>
      </c>
      <c r="AL43" s="13">
        <f>Time!AL47*0</f>
        <v/>
      </c>
      <c r="AM43" s="13">
        <f>Time!AM47*0</f>
        <v/>
      </c>
      <c r="AN43" s="13">
        <f>Time!AN47*0</f>
        <v/>
      </c>
      <c r="AO43" s="13">
        <f>Time!AO47*0</f>
        <v/>
      </c>
      <c r="AP43" s="13">
        <f>Time!AP47*0</f>
        <v/>
      </c>
      <c r="AQ43" s="13">
        <f>Time!AQ47*0</f>
        <v/>
      </c>
      <c r="AR43" s="13">
        <f>Time!AR47*0</f>
        <v/>
      </c>
      <c r="AS43" s="13">
        <f>Time!AS47*0</f>
        <v/>
      </c>
      <c r="AT43" s="13">
        <f>Time!AT47*0</f>
        <v/>
      </c>
      <c r="AU43" s="13">
        <f>Time!AU47*0</f>
        <v/>
      </c>
      <c r="AV43" s="13">
        <f>Time!AV47*0</f>
        <v/>
      </c>
      <c r="AW43" s="13">
        <f>Time!AW47*0</f>
        <v/>
      </c>
      <c r="AX43" s="13">
        <f>Time!AX47*0</f>
        <v/>
      </c>
      <c r="AY43" s="13">
        <f>Time!AY47*0</f>
        <v/>
      </c>
      <c r="AZ43" s="13">
        <f>Time!AZ47*0</f>
        <v/>
      </c>
      <c r="BA43" s="13">
        <f>Time!BA47*0</f>
        <v/>
      </c>
      <c r="BB43" s="13">
        <f>Time!BB47*0</f>
        <v/>
      </c>
      <c r="BC43" s="13">
        <f>Time!BC47*0</f>
        <v/>
      </c>
      <c r="BD43" s="13">
        <f>Time!BD47*0</f>
        <v/>
      </c>
      <c r="BE43" s="13">
        <f>Time!BE47*0</f>
        <v/>
      </c>
      <c r="BF43" s="13">
        <f>Time!BF47*0</f>
        <v/>
      </c>
      <c r="BG43" s="13">
        <f>Time!BG47*0</f>
        <v/>
      </c>
      <c r="BH43" s="13">
        <f>Time!BH47*0</f>
        <v/>
      </c>
      <c r="BI43" s="13">
        <f>Time!BI47*0</f>
        <v/>
      </c>
      <c r="BJ43" s="13">
        <f>Time!BJ47*0</f>
        <v/>
      </c>
      <c r="BK43" s="13">
        <f>Time!BK47*0</f>
        <v/>
      </c>
      <c r="BL43" s="13">
        <f>Time!BL47*0</f>
        <v/>
      </c>
      <c r="BM43" s="13">
        <f>Time!BM47*0</f>
        <v/>
      </c>
      <c r="BN43" s="13">
        <f>Time!BN47*0</f>
        <v/>
      </c>
    </row>
    <row r="44">
      <c r="D44" t="inlineStr">
        <is>
          <t>Deferred principal, closing</t>
        </is>
      </c>
      <c r="E44" t="inlineStr">
        <is>
          <t>USD m</t>
        </is>
      </c>
      <c r="J44" s="13">
        <f>J36+J39-J40</f>
        <v/>
      </c>
      <c r="K44" s="13">
        <f>K36+K39-K40</f>
        <v/>
      </c>
      <c r="L44" s="13">
        <f>L36+L39-L40</f>
        <v/>
      </c>
      <c r="M44" s="13">
        <f>M36+M39-M40</f>
        <v/>
      </c>
      <c r="N44" s="13">
        <f>N36+N39-N40</f>
        <v/>
      </c>
      <c r="O44" s="13">
        <f>O36+O39-O40</f>
        <v/>
      </c>
      <c r="P44" s="13">
        <f>P36+P39-P40</f>
        <v/>
      </c>
      <c r="Q44" s="13">
        <f>Q36+Q39-Q40</f>
        <v/>
      </c>
      <c r="R44" s="13">
        <f>R36+R39-R40</f>
        <v/>
      </c>
      <c r="S44" s="13">
        <f>S36+S39-S40</f>
        <v/>
      </c>
      <c r="T44" s="13">
        <f>T36+T39-T40</f>
        <v/>
      </c>
      <c r="U44" s="13">
        <f>U36+U39-U40</f>
        <v/>
      </c>
      <c r="V44" s="13">
        <f>V36+V39-V40</f>
        <v/>
      </c>
      <c r="W44" s="13">
        <f>W36+W39-W40</f>
        <v/>
      </c>
      <c r="X44" s="13">
        <f>X36+X39-X40</f>
        <v/>
      </c>
      <c r="Y44" s="13">
        <f>Y36+Y39-Y40</f>
        <v/>
      </c>
      <c r="Z44" s="13">
        <f>Z36+Z39-Z40</f>
        <v/>
      </c>
      <c r="AA44" s="13">
        <f>AA36+AA39-AA40</f>
        <v/>
      </c>
      <c r="AB44" s="13">
        <f>AB36+AB39-AB40</f>
        <v/>
      </c>
      <c r="AC44" s="13">
        <f>AC36+AC39-AC40</f>
        <v/>
      </c>
      <c r="AD44" s="13">
        <f>AD36+AD39-AD40</f>
        <v/>
      </c>
      <c r="AE44" s="13">
        <f>AE36+AE39-AE40</f>
        <v/>
      </c>
      <c r="AF44" s="13">
        <f>AF36+AF39-AF40</f>
        <v/>
      </c>
      <c r="AG44" s="13">
        <f>AG36+AG39-AG40</f>
        <v/>
      </c>
      <c r="AH44" s="13">
        <f>AH36+AH39-AH40</f>
        <v/>
      </c>
      <c r="AI44" s="13">
        <f>AI36+AI39-AI40</f>
        <v/>
      </c>
      <c r="AJ44" s="13">
        <f>AJ36+AJ39-AJ40</f>
        <v/>
      </c>
      <c r="AK44" s="13">
        <f>AK36+AK39-AK40</f>
        <v/>
      </c>
      <c r="AL44" s="13">
        <f>AL36+AL39-AL40</f>
        <v/>
      </c>
      <c r="AM44" s="13">
        <f>AM36+AM39-AM40</f>
        <v/>
      </c>
      <c r="AN44" s="13">
        <f>AN36+AN39-AN40</f>
        <v/>
      </c>
      <c r="AO44" s="13">
        <f>AO36+AO39-AO40</f>
        <v/>
      </c>
      <c r="AP44" s="13">
        <f>AP36+AP39-AP40</f>
        <v/>
      </c>
      <c r="AQ44" s="13">
        <f>AQ36+AQ39-AQ40</f>
        <v/>
      </c>
      <c r="AR44" s="13">
        <f>AR36+AR39-AR40</f>
        <v/>
      </c>
      <c r="AS44" s="13">
        <f>AS36+AS39-AS40</f>
        <v/>
      </c>
      <c r="AT44" s="13">
        <f>AT36+AT39-AT40</f>
        <v/>
      </c>
      <c r="AU44" s="13">
        <f>AU36+AU39-AU40</f>
        <v/>
      </c>
      <c r="AV44" s="13">
        <f>AV36+AV39-AV40</f>
        <v/>
      </c>
      <c r="AW44" s="13">
        <f>AW36+AW39-AW40</f>
        <v/>
      </c>
      <c r="AX44" s="13">
        <f>AX36+AX39-AX40</f>
        <v/>
      </c>
      <c r="AY44" s="13">
        <f>AY36+AY39-AY40</f>
        <v/>
      </c>
      <c r="AZ44" s="13">
        <f>AZ36+AZ39-AZ40</f>
        <v/>
      </c>
      <c r="BA44" s="13">
        <f>BA36+BA39-BA40</f>
        <v/>
      </c>
      <c r="BB44" s="13">
        <f>BB36+BB39-BB40</f>
        <v/>
      </c>
      <c r="BC44" s="13">
        <f>BC36+BC39-BC40</f>
        <v/>
      </c>
      <c r="BD44" s="13">
        <f>BD36+BD39-BD40</f>
        <v/>
      </c>
      <c r="BE44" s="13">
        <f>BE36+BE39-BE40</f>
        <v/>
      </c>
      <c r="BF44" s="13">
        <f>BF36+BF39-BF40</f>
        <v/>
      </c>
      <c r="BG44" s="13">
        <f>BG36+BG39-BG40</f>
        <v/>
      </c>
      <c r="BH44" s="13">
        <f>BH36+BH39-BH40</f>
        <v/>
      </c>
      <c r="BI44" s="13">
        <f>BI36+BI39-BI40</f>
        <v/>
      </c>
      <c r="BJ44" s="13">
        <f>BJ36+BJ39-BJ40</f>
        <v/>
      </c>
      <c r="BK44" s="13">
        <f>BK36+BK39-BK40</f>
        <v/>
      </c>
      <c r="BL44" s="13">
        <f>BL36+BL39-BL40</f>
        <v/>
      </c>
      <c r="BM44" s="13">
        <f>BM36+BM39-BM40</f>
        <v/>
      </c>
      <c r="BN44" s="13">
        <f>BN36+BN39-BN40</f>
        <v/>
      </c>
    </row>
    <row r="45">
      <c r="D45" t="inlineStr">
        <is>
          <t>Balance after scheduled payment, LDs and refinancing</t>
        </is>
      </c>
      <c r="E45" t="inlineStr">
        <is>
          <t>USD m</t>
        </is>
      </c>
      <c r="J45" s="13">
        <f>J35-J41-J42-J43</f>
        <v/>
      </c>
      <c r="K45" s="13">
        <f>K35-K41-K42-K43</f>
        <v/>
      </c>
      <c r="L45" s="13">
        <f>L35-L41-L42-L43</f>
        <v/>
      </c>
      <c r="M45" s="13">
        <f>M35-M41-M42-M43</f>
        <v/>
      </c>
      <c r="N45" s="13">
        <f>N35-N41-N42-N43</f>
        <v/>
      </c>
      <c r="O45" s="13">
        <f>O35-O41-O42-O43</f>
        <v/>
      </c>
      <c r="P45" s="13">
        <f>P35-P41-P42-P43</f>
        <v/>
      </c>
      <c r="Q45" s="13">
        <f>Q35-Q41-Q42-Q43</f>
        <v/>
      </c>
      <c r="R45" s="13">
        <f>R35-R41-R42-R43</f>
        <v/>
      </c>
      <c r="S45" s="13">
        <f>S35-S41-S42-S43</f>
        <v/>
      </c>
      <c r="T45" s="13">
        <f>T35-T41-T42-T43</f>
        <v/>
      </c>
      <c r="U45" s="13">
        <f>U35-U41-U42-U43</f>
        <v/>
      </c>
      <c r="V45" s="13">
        <f>V35-V41-V42-V43</f>
        <v/>
      </c>
      <c r="W45" s="13">
        <f>W35-W41-W42-W43</f>
        <v/>
      </c>
      <c r="X45" s="13">
        <f>X35-X41-X42-X43</f>
        <v/>
      </c>
      <c r="Y45" s="13">
        <f>Y35-Y41-Y42-Y43</f>
        <v/>
      </c>
      <c r="Z45" s="13">
        <f>Z35-Z41-Z42-Z43</f>
        <v/>
      </c>
      <c r="AA45" s="13">
        <f>AA35-AA41-AA42-AA43</f>
        <v/>
      </c>
      <c r="AB45" s="13">
        <f>AB35-AB41-AB42-AB43</f>
        <v/>
      </c>
      <c r="AC45" s="13">
        <f>AC35-AC41-AC42-AC43</f>
        <v/>
      </c>
      <c r="AD45" s="13">
        <f>AD35-AD41-AD42-AD43</f>
        <v/>
      </c>
      <c r="AE45" s="13">
        <f>AE35-AE41-AE42-AE43</f>
        <v/>
      </c>
      <c r="AF45" s="13">
        <f>AF35-AF41-AF42-AF43</f>
        <v/>
      </c>
      <c r="AG45" s="13">
        <f>AG35-AG41-AG42-AG43</f>
        <v/>
      </c>
      <c r="AH45" s="13">
        <f>AH35-AH41-AH42-AH43</f>
        <v/>
      </c>
      <c r="AI45" s="13">
        <f>AI35-AI41-AI42-AI43</f>
        <v/>
      </c>
      <c r="AJ45" s="13">
        <f>AJ35-AJ41-AJ42-AJ43</f>
        <v/>
      </c>
      <c r="AK45" s="13">
        <f>AK35-AK41-AK42-AK43</f>
        <v/>
      </c>
      <c r="AL45" s="13">
        <f>AL35-AL41-AL42-AL43</f>
        <v/>
      </c>
      <c r="AM45" s="13">
        <f>AM35-AM41-AM42-AM43</f>
        <v/>
      </c>
      <c r="AN45" s="13">
        <f>AN35-AN41-AN42-AN43</f>
        <v/>
      </c>
      <c r="AO45" s="13">
        <f>AO35-AO41-AO42-AO43</f>
        <v/>
      </c>
      <c r="AP45" s="13">
        <f>AP35-AP41-AP42-AP43</f>
        <v/>
      </c>
      <c r="AQ45" s="13">
        <f>AQ35-AQ41-AQ42-AQ43</f>
        <v/>
      </c>
      <c r="AR45" s="13">
        <f>AR35-AR41-AR42-AR43</f>
        <v/>
      </c>
      <c r="AS45" s="13">
        <f>AS35-AS41-AS42-AS43</f>
        <v/>
      </c>
      <c r="AT45" s="13">
        <f>AT35-AT41-AT42-AT43</f>
        <v/>
      </c>
      <c r="AU45" s="13">
        <f>AU35-AU41-AU42-AU43</f>
        <v/>
      </c>
      <c r="AV45" s="13">
        <f>AV35-AV41-AV42-AV43</f>
        <v/>
      </c>
      <c r="AW45" s="13">
        <f>AW35-AW41-AW42-AW43</f>
        <v/>
      </c>
      <c r="AX45" s="13">
        <f>AX35-AX41-AX42-AX43</f>
        <v/>
      </c>
      <c r="AY45" s="13">
        <f>AY35-AY41-AY42-AY43</f>
        <v/>
      </c>
      <c r="AZ45" s="13">
        <f>AZ35-AZ41-AZ42-AZ43</f>
        <v/>
      </c>
      <c r="BA45" s="13">
        <f>BA35-BA41-BA42-BA43</f>
        <v/>
      </c>
      <c r="BB45" s="13">
        <f>BB35-BB41-BB42-BB43</f>
        <v/>
      </c>
      <c r="BC45" s="13">
        <f>BC35-BC41-BC42-BC43</f>
        <v/>
      </c>
      <c r="BD45" s="13">
        <f>BD35-BD41-BD42-BD43</f>
        <v/>
      </c>
      <c r="BE45" s="13">
        <f>BE35-BE41-BE42-BE43</f>
        <v/>
      </c>
      <c r="BF45" s="13">
        <f>BF35-BF41-BF42-BF43</f>
        <v/>
      </c>
      <c r="BG45" s="13">
        <f>BG35-BG41-BG42-BG43</f>
        <v/>
      </c>
      <c r="BH45" s="13">
        <f>BH35-BH41-BH42-BH43</f>
        <v/>
      </c>
      <c r="BI45" s="13">
        <f>BI35-BI41-BI42-BI43</f>
        <v/>
      </c>
      <c r="BJ45" s="13">
        <f>BJ35-BJ41-BJ42-BJ43</f>
        <v/>
      </c>
      <c r="BK45" s="13">
        <f>BK35-BK41-BK42-BK43</f>
        <v/>
      </c>
      <c r="BL45" s="13">
        <f>BL35-BL41-BL42-BL43</f>
        <v/>
      </c>
      <c r="BM45" s="13">
        <f>BM35-BM41-BM42-BM43</f>
        <v/>
      </c>
      <c r="BN45" s="13">
        <f>BN35-BN41-BN42-BN43</f>
        <v/>
      </c>
    </row>
    <row r="46">
      <c r="D46" t="inlineStr">
        <is>
          <t>Cash sweep prepayment</t>
        </is>
      </c>
      <c r="E46" t="inlineStr">
        <is>
          <t>USD m</t>
        </is>
      </c>
      <c r="G46" s="13">
        <f>SUM(J46:BN46)</f>
        <v/>
      </c>
      <c r="J46" s="13">
        <f>Waterfall!J28*J45/(J31+J45+J59+J73+J87+Inputs!$F$253)</f>
        <v/>
      </c>
      <c r="K46" s="13">
        <f>Waterfall!K28*K45/(K31+K45+K59+K73+K87+Inputs!$F$253)</f>
        <v/>
      </c>
      <c r="L46" s="13">
        <f>Waterfall!L28*L45/(L31+L45+L59+L73+L87+Inputs!$F$253)</f>
        <v/>
      </c>
      <c r="M46" s="13">
        <f>Waterfall!M28*M45/(M31+M45+M59+M73+M87+Inputs!$F$253)</f>
        <v/>
      </c>
      <c r="N46" s="13">
        <f>Waterfall!N28*N45/(N31+N45+N59+N73+N87+Inputs!$F$253)</f>
        <v/>
      </c>
      <c r="O46" s="13">
        <f>Waterfall!O28*O45/(O31+O45+O59+O73+O87+Inputs!$F$253)</f>
        <v/>
      </c>
      <c r="P46" s="13">
        <f>Waterfall!P28*P45/(P31+P45+P59+P73+P87+Inputs!$F$253)</f>
        <v/>
      </c>
      <c r="Q46" s="13">
        <f>Waterfall!Q28*Q45/(Q31+Q45+Q59+Q73+Q87+Inputs!$F$253)</f>
        <v/>
      </c>
      <c r="R46" s="13">
        <f>Waterfall!R28*R45/(R31+R45+R59+R73+R87+Inputs!$F$253)</f>
        <v/>
      </c>
      <c r="S46" s="13">
        <f>Waterfall!S28*S45/(S31+S45+S59+S73+S87+Inputs!$F$253)</f>
        <v/>
      </c>
      <c r="T46" s="13">
        <f>Waterfall!T28*T45/(T31+T45+T59+T73+T87+Inputs!$F$253)</f>
        <v/>
      </c>
      <c r="U46" s="13">
        <f>Waterfall!U28*U45/(U31+U45+U59+U73+U87+Inputs!$F$253)</f>
        <v/>
      </c>
      <c r="V46" s="13">
        <f>Waterfall!V28*V45/(V31+V45+V59+V73+V87+Inputs!$F$253)</f>
        <v/>
      </c>
      <c r="W46" s="13">
        <f>Waterfall!W28*W45/(W31+W45+W59+W73+W87+Inputs!$F$253)</f>
        <v/>
      </c>
      <c r="X46" s="13">
        <f>Waterfall!X28*X45/(X31+X45+X59+X73+X87+Inputs!$F$253)</f>
        <v/>
      </c>
      <c r="Y46" s="13">
        <f>Waterfall!Y28*Y45/(Y31+Y45+Y59+Y73+Y87+Inputs!$F$253)</f>
        <v/>
      </c>
      <c r="Z46" s="13">
        <f>Waterfall!Z28*Z45/(Z31+Z45+Z59+Z73+Z87+Inputs!$F$253)</f>
        <v/>
      </c>
      <c r="AA46" s="13">
        <f>Waterfall!AA28*AA45/(AA31+AA45+AA59+AA73+AA87+Inputs!$F$253)</f>
        <v/>
      </c>
      <c r="AB46" s="13">
        <f>Waterfall!AB28*AB45/(AB31+AB45+AB59+AB73+AB87+Inputs!$F$253)</f>
        <v/>
      </c>
      <c r="AC46" s="13">
        <f>Waterfall!AC28*AC45/(AC31+AC45+AC59+AC73+AC87+Inputs!$F$253)</f>
        <v/>
      </c>
      <c r="AD46" s="13">
        <f>Waterfall!AD28*AD45/(AD31+AD45+AD59+AD73+AD87+Inputs!$F$253)</f>
        <v/>
      </c>
      <c r="AE46" s="13">
        <f>Waterfall!AE28*AE45/(AE31+AE45+AE59+AE73+AE87+Inputs!$F$253)</f>
        <v/>
      </c>
      <c r="AF46" s="13">
        <f>Waterfall!AF28*AF45/(AF31+AF45+AF59+AF73+AF87+Inputs!$F$253)</f>
        <v/>
      </c>
      <c r="AG46" s="13">
        <f>Waterfall!AG28*AG45/(AG31+AG45+AG59+AG73+AG87+Inputs!$F$253)</f>
        <v/>
      </c>
      <c r="AH46" s="13">
        <f>Waterfall!AH28*AH45/(AH31+AH45+AH59+AH73+AH87+Inputs!$F$253)</f>
        <v/>
      </c>
      <c r="AI46" s="13">
        <f>Waterfall!AI28*AI45/(AI31+AI45+AI59+AI73+AI87+Inputs!$F$253)</f>
        <v/>
      </c>
      <c r="AJ46" s="13">
        <f>Waterfall!AJ28*AJ45/(AJ31+AJ45+AJ59+AJ73+AJ87+Inputs!$F$253)</f>
        <v/>
      </c>
      <c r="AK46" s="13">
        <f>Waterfall!AK28*AK45/(AK31+AK45+AK59+AK73+AK87+Inputs!$F$253)</f>
        <v/>
      </c>
      <c r="AL46" s="13">
        <f>Waterfall!AL28*AL45/(AL31+AL45+AL59+AL73+AL87+Inputs!$F$253)</f>
        <v/>
      </c>
      <c r="AM46" s="13">
        <f>Waterfall!AM28*AM45/(AM31+AM45+AM59+AM73+AM87+Inputs!$F$253)</f>
        <v/>
      </c>
      <c r="AN46" s="13">
        <f>Waterfall!AN28*AN45/(AN31+AN45+AN59+AN73+AN87+Inputs!$F$253)</f>
        <v/>
      </c>
      <c r="AO46" s="13">
        <f>Waterfall!AO28*AO45/(AO31+AO45+AO59+AO73+AO87+Inputs!$F$253)</f>
        <v/>
      </c>
      <c r="AP46" s="13">
        <f>Waterfall!AP28*AP45/(AP31+AP45+AP59+AP73+AP87+Inputs!$F$253)</f>
        <v/>
      </c>
      <c r="AQ46" s="13">
        <f>Waterfall!AQ28*AQ45/(AQ31+AQ45+AQ59+AQ73+AQ87+Inputs!$F$253)</f>
        <v/>
      </c>
      <c r="AR46" s="13">
        <f>Waterfall!AR28*AR45/(AR31+AR45+AR59+AR73+AR87+Inputs!$F$253)</f>
        <v/>
      </c>
      <c r="AS46" s="13">
        <f>Waterfall!AS28*AS45/(AS31+AS45+AS59+AS73+AS87+Inputs!$F$253)</f>
        <v/>
      </c>
      <c r="AT46" s="13">
        <f>Waterfall!AT28*AT45/(AT31+AT45+AT59+AT73+AT87+Inputs!$F$253)</f>
        <v/>
      </c>
      <c r="AU46" s="13">
        <f>Waterfall!AU28*AU45/(AU31+AU45+AU59+AU73+AU87+Inputs!$F$253)</f>
        <v/>
      </c>
      <c r="AV46" s="13">
        <f>Waterfall!AV28*AV45/(AV31+AV45+AV59+AV73+AV87+Inputs!$F$253)</f>
        <v/>
      </c>
      <c r="AW46" s="13">
        <f>Waterfall!AW28*AW45/(AW31+AW45+AW59+AW73+AW87+Inputs!$F$253)</f>
        <v/>
      </c>
      <c r="AX46" s="13">
        <f>Waterfall!AX28*AX45/(AX31+AX45+AX59+AX73+AX87+Inputs!$F$253)</f>
        <v/>
      </c>
      <c r="AY46" s="13">
        <f>Waterfall!AY28*AY45/(AY31+AY45+AY59+AY73+AY87+Inputs!$F$253)</f>
        <v/>
      </c>
      <c r="AZ46" s="13">
        <f>Waterfall!AZ28*AZ45/(AZ31+AZ45+AZ59+AZ73+AZ87+Inputs!$F$253)</f>
        <v/>
      </c>
      <c r="BA46" s="13">
        <f>Waterfall!BA28*BA45/(BA31+BA45+BA59+BA73+BA87+Inputs!$F$253)</f>
        <v/>
      </c>
      <c r="BB46" s="13">
        <f>Waterfall!BB28*BB45/(BB31+BB45+BB59+BB73+BB87+Inputs!$F$253)</f>
        <v/>
      </c>
      <c r="BC46" s="13">
        <f>Waterfall!BC28*BC45/(BC31+BC45+BC59+BC73+BC87+Inputs!$F$253)</f>
        <v/>
      </c>
      <c r="BD46" s="13">
        <f>Waterfall!BD28*BD45/(BD31+BD45+BD59+BD73+BD87+Inputs!$F$253)</f>
        <v/>
      </c>
      <c r="BE46" s="13">
        <f>Waterfall!BE28*BE45/(BE31+BE45+BE59+BE73+BE87+Inputs!$F$253)</f>
        <v/>
      </c>
      <c r="BF46" s="13">
        <f>Waterfall!BF28*BF45/(BF31+BF45+BF59+BF73+BF87+Inputs!$F$253)</f>
        <v/>
      </c>
      <c r="BG46" s="13">
        <f>Waterfall!BG28*BG45/(BG31+BG45+BG59+BG73+BG87+Inputs!$F$253)</f>
        <v/>
      </c>
      <c r="BH46" s="13">
        <f>Waterfall!BH28*BH45/(BH31+BH45+BH59+BH73+BH87+Inputs!$F$253)</f>
        <v/>
      </c>
      <c r="BI46" s="13">
        <f>Waterfall!BI28*BI45/(BI31+BI45+BI59+BI73+BI87+Inputs!$F$253)</f>
        <v/>
      </c>
      <c r="BJ46" s="13">
        <f>Waterfall!BJ28*BJ45/(BJ31+BJ45+BJ59+BJ73+BJ87+Inputs!$F$253)</f>
        <v/>
      </c>
      <c r="BK46" s="13">
        <f>Waterfall!BK28*BK45/(BK31+BK45+BK59+BK73+BK87+Inputs!$F$253)</f>
        <v/>
      </c>
      <c r="BL46" s="13">
        <f>Waterfall!BL28*BL45/(BL31+BL45+BL59+BL73+BL87+Inputs!$F$253)</f>
        <v/>
      </c>
      <c r="BM46" s="13">
        <f>Waterfall!BM28*BM45/(BM31+BM45+BM59+BM73+BM87+Inputs!$F$253)</f>
        <v/>
      </c>
      <c r="BN46" s="13">
        <f>Waterfall!BN28*BN45/(BN31+BN45+BN59+BN73+BN87+Inputs!$F$253)</f>
        <v/>
      </c>
    </row>
    <row r="47">
      <c r="D47" t="inlineStr">
        <is>
          <t>Closing balance</t>
        </is>
      </c>
      <c r="E47" t="inlineStr">
        <is>
          <t>USD m</t>
        </is>
      </c>
      <c r="J47" s="13">
        <f>IF(Time!J34=1,INDEX(Funding!$J$62:$BJ$62,1,Time!$F$14),Time!J35*(J45-J46))</f>
        <v/>
      </c>
      <c r="K47" s="13">
        <f>IF(Time!K34=1,INDEX(Funding!$J$62:$BJ$62,1,Time!$F$14),Time!K35*(K45-K46))</f>
        <v/>
      </c>
      <c r="L47" s="13">
        <f>IF(Time!L34=1,INDEX(Funding!$J$62:$BJ$62,1,Time!$F$14),Time!L35*(L45-L46))</f>
        <v/>
      </c>
      <c r="M47" s="13">
        <f>IF(Time!M34=1,INDEX(Funding!$J$62:$BJ$62,1,Time!$F$14),Time!M35*(M45-M46))</f>
        <v/>
      </c>
      <c r="N47" s="13">
        <f>IF(Time!N34=1,INDEX(Funding!$J$62:$BJ$62,1,Time!$F$14),Time!N35*(N45-N46))</f>
        <v/>
      </c>
      <c r="O47" s="13">
        <f>IF(Time!O34=1,INDEX(Funding!$J$62:$BJ$62,1,Time!$F$14),Time!O35*(O45-O46))</f>
        <v/>
      </c>
      <c r="P47" s="13">
        <f>IF(Time!P34=1,INDEX(Funding!$J$62:$BJ$62,1,Time!$F$14),Time!P35*(P45-P46))</f>
        <v/>
      </c>
      <c r="Q47" s="13">
        <f>IF(Time!Q34=1,INDEX(Funding!$J$62:$BJ$62,1,Time!$F$14),Time!Q35*(Q45-Q46))</f>
        <v/>
      </c>
      <c r="R47" s="13">
        <f>IF(Time!R34=1,INDEX(Funding!$J$62:$BJ$62,1,Time!$F$14),Time!R35*(R45-R46))</f>
        <v/>
      </c>
      <c r="S47" s="13">
        <f>IF(Time!S34=1,INDEX(Funding!$J$62:$BJ$62,1,Time!$F$14),Time!S35*(S45-S46))</f>
        <v/>
      </c>
      <c r="T47" s="13">
        <f>IF(Time!T34=1,INDEX(Funding!$J$62:$BJ$62,1,Time!$F$14),Time!T35*(T45-T46))</f>
        <v/>
      </c>
      <c r="U47" s="13">
        <f>IF(Time!U34=1,INDEX(Funding!$J$62:$BJ$62,1,Time!$F$14),Time!U35*(U45-U46))</f>
        <v/>
      </c>
      <c r="V47" s="13">
        <f>IF(Time!V34=1,INDEX(Funding!$J$62:$BJ$62,1,Time!$F$14),Time!V35*(V45-V46))</f>
        <v/>
      </c>
      <c r="W47" s="13">
        <f>IF(Time!W34=1,INDEX(Funding!$J$62:$BJ$62,1,Time!$F$14),Time!W35*(W45-W46))</f>
        <v/>
      </c>
      <c r="X47" s="13">
        <f>IF(Time!X34=1,INDEX(Funding!$J$62:$BJ$62,1,Time!$F$14),Time!X35*(X45-X46))</f>
        <v/>
      </c>
      <c r="Y47" s="13">
        <f>IF(Time!Y34=1,INDEX(Funding!$J$62:$BJ$62,1,Time!$F$14),Time!Y35*(Y45-Y46))</f>
        <v/>
      </c>
      <c r="Z47" s="13">
        <f>IF(Time!Z34=1,INDEX(Funding!$J$62:$BJ$62,1,Time!$F$14),Time!Z35*(Z45-Z46))</f>
        <v/>
      </c>
      <c r="AA47" s="13">
        <f>IF(Time!AA34=1,INDEX(Funding!$J$62:$BJ$62,1,Time!$F$14),Time!AA35*(AA45-AA46))</f>
        <v/>
      </c>
      <c r="AB47" s="13">
        <f>IF(Time!AB34=1,INDEX(Funding!$J$62:$BJ$62,1,Time!$F$14),Time!AB35*(AB45-AB46))</f>
        <v/>
      </c>
      <c r="AC47" s="13">
        <f>IF(Time!AC34=1,INDEX(Funding!$J$62:$BJ$62,1,Time!$F$14),Time!AC35*(AC45-AC46))</f>
        <v/>
      </c>
      <c r="AD47" s="13">
        <f>IF(Time!AD34=1,INDEX(Funding!$J$62:$BJ$62,1,Time!$F$14),Time!AD35*(AD45-AD46))</f>
        <v/>
      </c>
      <c r="AE47" s="13">
        <f>IF(Time!AE34=1,INDEX(Funding!$J$62:$BJ$62,1,Time!$F$14),Time!AE35*(AE45-AE46))</f>
        <v/>
      </c>
      <c r="AF47" s="13">
        <f>IF(Time!AF34=1,INDEX(Funding!$J$62:$BJ$62,1,Time!$F$14),Time!AF35*(AF45-AF46))</f>
        <v/>
      </c>
      <c r="AG47" s="13">
        <f>IF(Time!AG34=1,INDEX(Funding!$J$62:$BJ$62,1,Time!$F$14),Time!AG35*(AG45-AG46))</f>
        <v/>
      </c>
      <c r="AH47" s="13">
        <f>IF(Time!AH34=1,INDEX(Funding!$J$62:$BJ$62,1,Time!$F$14),Time!AH35*(AH45-AH46))</f>
        <v/>
      </c>
      <c r="AI47" s="13">
        <f>IF(Time!AI34=1,INDEX(Funding!$J$62:$BJ$62,1,Time!$F$14),Time!AI35*(AI45-AI46))</f>
        <v/>
      </c>
      <c r="AJ47" s="13">
        <f>IF(Time!AJ34=1,INDEX(Funding!$J$62:$BJ$62,1,Time!$F$14),Time!AJ35*(AJ45-AJ46))</f>
        <v/>
      </c>
      <c r="AK47" s="13">
        <f>IF(Time!AK34=1,INDEX(Funding!$J$62:$BJ$62,1,Time!$F$14),Time!AK35*(AK45-AK46))</f>
        <v/>
      </c>
      <c r="AL47" s="13">
        <f>IF(Time!AL34=1,INDEX(Funding!$J$62:$BJ$62,1,Time!$F$14),Time!AL35*(AL45-AL46))</f>
        <v/>
      </c>
      <c r="AM47" s="13">
        <f>IF(Time!AM34=1,INDEX(Funding!$J$62:$BJ$62,1,Time!$F$14),Time!AM35*(AM45-AM46))</f>
        <v/>
      </c>
      <c r="AN47" s="13">
        <f>IF(Time!AN34=1,INDEX(Funding!$J$62:$BJ$62,1,Time!$F$14),Time!AN35*(AN45-AN46))</f>
        <v/>
      </c>
      <c r="AO47" s="13">
        <f>IF(Time!AO34=1,INDEX(Funding!$J$62:$BJ$62,1,Time!$F$14),Time!AO35*(AO45-AO46))</f>
        <v/>
      </c>
      <c r="AP47" s="13">
        <f>IF(Time!AP34=1,INDEX(Funding!$J$62:$BJ$62,1,Time!$F$14),Time!AP35*(AP45-AP46))</f>
        <v/>
      </c>
      <c r="AQ47" s="13">
        <f>IF(Time!AQ34=1,INDEX(Funding!$J$62:$BJ$62,1,Time!$F$14),Time!AQ35*(AQ45-AQ46))</f>
        <v/>
      </c>
      <c r="AR47" s="13">
        <f>IF(Time!AR34=1,INDEX(Funding!$J$62:$BJ$62,1,Time!$F$14),Time!AR35*(AR45-AR46))</f>
        <v/>
      </c>
      <c r="AS47" s="13">
        <f>IF(Time!AS34=1,INDEX(Funding!$J$62:$BJ$62,1,Time!$F$14),Time!AS35*(AS45-AS46))</f>
        <v/>
      </c>
      <c r="AT47" s="13">
        <f>IF(Time!AT34=1,INDEX(Funding!$J$62:$BJ$62,1,Time!$F$14),Time!AT35*(AT45-AT46))</f>
        <v/>
      </c>
      <c r="AU47" s="13">
        <f>IF(Time!AU34=1,INDEX(Funding!$J$62:$BJ$62,1,Time!$F$14),Time!AU35*(AU45-AU46))</f>
        <v/>
      </c>
      <c r="AV47" s="13">
        <f>IF(Time!AV34=1,INDEX(Funding!$J$62:$BJ$62,1,Time!$F$14),Time!AV35*(AV45-AV46))</f>
        <v/>
      </c>
      <c r="AW47" s="13">
        <f>IF(Time!AW34=1,INDEX(Funding!$J$62:$BJ$62,1,Time!$F$14),Time!AW35*(AW45-AW46))</f>
        <v/>
      </c>
      <c r="AX47" s="13">
        <f>IF(Time!AX34=1,INDEX(Funding!$J$62:$BJ$62,1,Time!$F$14),Time!AX35*(AX45-AX46))</f>
        <v/>
      </c>
      <c r="AY47" s="13">
        <f>IF(Time!AY34=1,INDEX(Funding!$J$62:$BJ$62,1,Time!$F$14),Time!AY35*(AY45-AY46))</f>
        <v/>
      </c>
      <c r="AZ47" s="13">
        <f>IF(Time!AZ34=1,INDEX(Funding!$J$62:$BJ$62,1,Time!$F$14),Time!AZ35*(AZ45-AZ46))</f>
        <v/>
      </c>
      <c r="BA47" s="13">
        <f>IF(Time!BA34=1,INDEX(Funding!$J$62:$BJ$62,1,Time!$F$14),Time!BA35*(BA45-BA46))</f>
        <v/>
      </c>
      <c r="BB47" s="13">
        <f>IF(Time!BB34=1,INDEX(Funding!$J$62:$BJ$62,1,Time!$F$14),Time!BB35*(BB45-BB46))</f>
        <v/>
      </c>
      <c r="BC47" s="13">
        <f>IF(Time!BC34=1,INDEX(Funding!$J$62:$BJ$62,1,Time!$F$14),Time!BC35*(BC45-BC46))</f>
        <v/>
      </c>
      <c r="BD47" s="13">
        <f>IF(Time!BD34=1,INDEX(Funding!$J$62:$BJ$62,1,Time!$F$14),Time!BD35*(BD45-BD46))</f>
        <v/>
      </c>
      <c r="BE47" s="13">
        <f>IF(Time!BE34=1,INDEX(Funding!$J$62:$BJ$62,1,Time!$F$14),Time!BE35*(BE45-BE46))</f>
        <v/>
      </c>
      <c r="BF47" s="13">
        <f>IF(Time!BF34=1,INDEX(Funding!$J$62:$BJ$62,1,Time!$F$14),Time!BF35*(BF45-BF46))</f>
        <v/>
      </c>
      <c r="BG47" s="13">
        <f>IF(Time!BG34=1,INDEX(Funding!$J$62:$BJ$62,1,Time!$F$14),Time!BG35*(BG45-BG46))</f>
        <v/>
      </c>
      <c r="BH47" s="13">
        <f>IF(Time!BH34=1,INDEX(Funding!$J$62:$BJ$62,1,Time!$F$14),Time!BH35*(BH45-BH46))</f>
        <v/>
      </c>
      <c r="BI47" s="13">
        <f>IF(Time!BI34=1,INDEX(Funding!$J$62:$BJ$62,1,Time!$F$14),Time!BI35*(BI45-BI46))</f>
        <v/>
      </c>
      <c r="BJ47" s="13">
        <f>IF(Time!BJ34=1,INDEX(Funding!$J$62:$BJ$62,1,Time!$F$14),Time!BJ35*(BJ45-BJ46))</f>
        <v/>
      </c>
      <c r="BK47" s="13">
        <f>IF(Time!BK34=1,INDEX(Funding!$J$62:$BJ$62,1,Time!$F$14),Time!BK35*(BK45-BK46))</f>
        <v/>
      </c>
      <c r="BL47" s="13">
        <f>IF(Time!BL34=1,INDEX(Funding!$J$62:$BJ$62,1,Time!$F$14),Time!BL35*(BL45-BL46))</f>
        <v/>
      </c>
      <c r="BM47" s="13">
        <f>IF(Time!BM34=1,INDEX(Funding!$J$62:$BJ$62,1,Time!$F$14),Time!BM35*(BM45-BM46))</f>
        <v/>
      </c>
      <c r="BN47" s="13">
        <f>IF(Time!BN34=1,INDEX(Funding!$J$62:$BJ$62,1,Time!$F$14),Time!BN35*(BN45-BN46))</f>
        <v/>
      </c>
    </row>
    <row r="48">
      <c r="B48" s="2" t="inlineStr">
        <is>
          <t>ABDB B-loan</t>
        </is>
      </c>
    </row>
    <row r="49">
      <c r="D49" t="inlineStr">
        <is>
          <t>Opening balance</t>
        </is>
      </c>
      <c r="E49" t="inlineStr">
        <is>
          <t>USD m</t>
        </is>
      </c>
      <c r="J49" s="13">
        <f>Time!J35*I61</f>
        <v/>
      </c>
      <c r="K49" s="13">
        <f>Time!K35*J61</f>
        <v/>
      </c>
      <c r="L49" s="13">
        <f>Time!L35*K61</f>
        <v/>
      </c>
      <c r="M49" s="13">
        <f>Time!M35*L61</f>
        <v/>
      </c>
      <c r="N49" s="13">
        <f>Time!N35*M61</f>
        <v/>
      </c>
      <c r="O49" s="13">
        <f>Time!O35*N61</f>
        <v/>
      </c>
      <c r="P49" s="13">
        <f>Time!P35*O61</f>
        <v/>
      </c>
      <c r="Q49" s="13">
        <f>Time!Q35*P61</f>
        <v/>
      </c>
      <c r="R49" s="13">
        <f>Time!R35*Q61</f>
        <v/>
      </c>
      <c r="S49" s="13">
        <f>Time!S35*R61</f>
        <v/>
      </c>
      <c r="T49" s="13">
        <f>Time!T35*S61</f>
        <v/>
      </c>
      <c r="U49" s="13">
        <f>Time!U35*T61</f>
        <v/>
      </c>
      <c r="V49" s="13">
        <f>Time!V35*U61</f>
        <v/>
      </c>
      <c r="W49" s="13">
        <f>Time!W35*V61</f>
        <v/>
      </c>
      <c r="X49" s="13">
        <f>Time!X35*W61</f>
        <v/>
      </c>
      <c r="Y49" s="13">
        <f>Time!Y35*X61</f>
        <v/>
      </c>
      <c r="Z49" s="13">
        <f>Time!Z35*Y61</f>
        <v/>
      </c>
      <c r="AA49" s="13">
        <f>Time!AA35*Z61</f>
        <v/>
      </c>
      <c r="AB49" s="13">
        <f>Time!AB35*AA61</f>
        <v/>
      </c>
      <c r="AC49" s="13">
        <f>Time!AC35*AB61</f>
        <v/>
      </c>
      <c r="AD49" s="13">
        <f>Time!AD35*AC61</f>
        <v/>
      </c>
      <c r="AE49" s="13">
        <f>Time!AE35*AD61</f>
        <v/>
      </c>
      <c r="AF49" s="13">
        <f>Time!AF35*AE61</f>
        <v/>
      </c>
      <c r="AG49" s="13">
        <f>Time!AG35*AF61</f>
        <v/>
      </c>
      <c r="AH49" s="13">
        <f>Time!AH35*AG61</f>
        <v/>
      </c>
      <c r="AI49" s="13">
        <f>Time!AI35*AH61</f>
        <v/>
      </c>
      <c r="AJ49" s="13">
        <f>Time!AJ35*AI61</f>
        <v/>
      </c>
      <c r="AK49" s="13">
        <f>Time!AK35*AJ61</f>
        <v/>
      </c>
      <c r="AL49" s="13">
        <f>Time!AL35*AK61</f>
        <v/>
      </c>
      <c r="AM49" s="13">
        <f>Time!AM35*AL61</f>
        <v/>
      </c>
      <c r="AN49" s="13">
        <f>Time!AN35*AM61</f>
        <v/>
      </c>
      <c r="AO49" s="13">
        <f>Time!AO35*AN61</f>
        <v/>
      </c>
      <c r="AP49" s="13">
        <f>Time!AP35*AO61</f>
        <v/>
      </c>
      <c r="AQ49" s="13">
        <f>Time!AQ35*AP61</f>
        <v/>
      </c>
      <c r="AR49" s="13">
        <f>Time!AR35*AQ61</f>
        <v/>
      </c>
      <c r="AS49" s="13">
        <f>Time!AS35*AR61</f>
        <v/>
      </c>
      <c r="AT49" s="13">
        <f>Time!AT35*AS61</f>
        <v/>
      </c>
      <c r="AU49" s="13">
        <f>Time!AU35*AT61</f>
        <v/>
      </c>
      <c r="AV49" s="13">
        <f>Time!AV35*AU61</f>
        <v/>
      </c>
      <c r="AW49" s="13">
        <f>Time!AW35*AV61</f>
        <v/>
      </c>
      <c r="AX49" s="13">
        <f>Time!AX35*AW61</f>
        <v/>
      </c>
      <c r="AY49" s="13">
        <f>Time!AY35*AX61</f>
        <v/>
      </c>
      <c r="AZ49" s="13">
        <f>Time!AZ35*AY61</f>
        <v/>
      </c>
      <c r="BA49" s="13">
        <f>Time!BA35*AZ61</f>
        <v/>
      </c>
      <c r="BB49" s="13">
        <f>Time!BB35*BA61</f>
        <v/>
      </c>
      <c r="BC49" s="13">
        <f>Time!BC35*BB61</f>
        <v/>
      </c>
      <c r="BD49" s="13">
        <f>Time!BD35*BC61</f>
        <v/>
      </c>
      <c r="BE49" s="13">
        <f>Time!BE35*BD61</f>
        <v/>
      </c>
      <c r="BF49" s="13">
        <f>Time!BF35*BE61</f>
        <v/>
      </c>
      <c r="BG49" s="13">
        <f>Time!BG35*BF61</f>
        <v/>
      </c>
      <c r="BH49" s="13">
        <f>Time!BH35*BG61</f>
        <v/>
      </c>
      <c r="BI49" s="13">
        <f>Time!BI35*BH61</f>
        <v/>
      </c>
      <c r="BJ49" s="13">
        <f>Time!BJ35*BI61</f>
        <v/>
      </c>
      <c r="BK49" s="13">
        <f>Time!BK35*BJ61</f>
        <v/>
      </c>
      <c r="BL49" s="13">
        <f>Time!BL35*BK61</f>
        <v/>
      </c>
      <c r="BM49" s="13">
        <f>Time!BM35*BL61</f>
        <v/>
      </c>
      <c r="BN49" s="13">
        <f>Time!BN35*BM61</f>
        <v/>
      </c>
    </row>
    <row r="50">
      <c r="D50" t="inlineStr">
        <is>
          <t>Deferred principal, opening</t>
        </is>
      </c>
      <c r="E50" t="inlineStr">
        <is>
          <t>USD m</t>
        </is>
      </c>
      <c r="J50" s="13">
        <f>I58</f>
        <v/>
      </c>
      <c r="K50" s="13">
        <f>J58</f>
        <v/>
      </c>
      <c r="L50" s="13">
        <f>K58</f>
        <v/>
      </c>
      <c r="M50" s="13">
        <f>L58</f>
        <v/>
      </c>
      <c r="N50" s="13">
        <f>M58</f>
        <v/>
      </c>
      <c r="O50" s="13">
        <f>N58</f>
        <v/>
      </c>
      <c r="P50" s="13">
        <f>O58</f>
        <v/>
      </c>
      <c r="Q50" s="13">
        <f>P58</f>
        <v/>
      </c>
      <c r="R50" s="13">
        <f>Q58</f>
        <v/>
      </c>
      <c r="S50" s="13">
        <f>R58</f>
        <v/>
      </c>
      <c r="T50" s="13">
        <f>S58</f>
        <v/>
      </c>
      <c r="U50" s="13">
        <f>T58</f>
        <v/>
      </c>
      <c r="V50" s="13">
        <f>U58</f>
        <v/>
      </c>
      <c r="W50" s="13">
        <f>V58</f>
        <v/>
      </c>
      <c r="X50" s="13">
        <f>W58</f>
        <v/>
      </c>
      <c r="Y50" s="13">
        <f>X58</f>
        <v/>
      </c>
      <c r="Z50" s="13">
        <f>Y58</f>
        <v/>
      </c>
      <c r="AA50" s="13">
        <f>Z58</f>
        <v/>
      </c>
      <c r="AB50" s="13">
        <f>AA58</f>
        <v/>
      </c>
      <c r="AC50" s="13">
        <f>AB58</f>
        <v/>
      </c>
      <c r="AD50" s="13">
        <f>AC58</f>
        <v/>
      </c>
      <c r="AE50" s="13">
        <f>AD58</f>
        <v/>
      </c>
      <c r="AF50" s="13">
        <f>AE58</f>
        <v/>
      </c>
      <c r="AG50" s="13">
        <f>AF58</f>
        <v/>
      </c>
      <c r="AH50" s="13">
        <f>AG58</f>
        <v/>
      </c>
      <c r="AI50" s="13">
        <f>AH58</f>
        <v/>
      </c>
      <c r="AJ50" s="13">
        <f>AI58</f>
        <v/>
      </c>
      <c r="AK50" s="13">
        <f>AJ58</f>
        <v/>
      </c>
      <c r="AL50" s="13">
        <f>AK58</f>
        <v/>
      </c>
      <c r="AM50" s="13">
        <f>AL58</f>
        <v/>
      </c>
      <c r="AN50" s="13">
        <f>AM58</f>
        <v/>
      </c>
      <c r="AO50" s="13">
        <f>AN58</f>
        <v/>
      </c>
      <c r="AP50" s="13">
        <f>AO58</f>
        <v/>
      </c>
      <c r="AQ50" s="13">
        <f>AP58</f>
        <v/>
      </c>
      <c r="AR50" s="13">
        <f>AQ58</f>
        <v/>
      </c>
      <c r="AS50" s="13">
        <f>AR58</f>
        <v/>
      </c>
      <c r="AT50" s="13">
        <f>AS58</f>
        <v/>
      </c>
      <c r="AU50" s="13">
        <f>AT58</f>
        <v/>
      </c>
      <c r="AV50" s="13">
        <f>AU58</f>
        <v/>
      </c>
      <c r="AW50" s="13">
        <f>AV58</f>
        <v/>
      </c>
      <c r="AX50" s="13">
        <f>AW58</f>
        <v/>
      </c>
      <c r="AY50" s="13">
        <f>AX58</f>
        <v/>
      </c>
      <c r="AZ50" s="13">
        <f>AY58</f>
        <v/>
      </c>
      <c r="BA50" s="13">
        <f>AZ58</f>
        <v/>
      </c>
      <c r="BB50" s="13">
        <f>BA58</f>
        <v/>
      </c>
      <c r="BC50" s="13">
        <f>BB58</f>
        <v/>
      </c>
      <c r="BD50" s="13">
        <f>BC58</f>
        <v/>
      </c>
      <c r="BE50" s="13">
        <f>BD58</f>
        <v/>
      </c>
      <c r="BF50" s="13">
        <f>BE58</f>
        <v/>
      </c>
      <c r="BG50" s="13">
        <f>BF58</f>
        <v/>
      </c>
      <c r="BH50" s="13">
        <f>BG58</f>
        <v/>
      </c>
      <c r="BI50" s="13">
        <f>BH58</f>
        <v/>
      </c>
      <c r="BJ50" s="13">
        <f>BI58</f>
        <v/>
      </c>
      <c r="BK50" s="13">
        <f>BJ58</f>
        <v/>
      </c>
      <c r="BL50" s="13">
        <f>BK58</f>
        <v/>
      </c>
      <c r="BM50" s="13">
        <f>BL58</f>
        <v/>
      </c>
      <c r="BN50" s="13">
        <f>BM58</f>
        <v/>
      </c>
    </row>
    <row r="51">
      <c r="D51" t="inlineStr">
        <is>
          <t>Interest (incl. WHT gross-up where applicable)</t>
        </is>
      </c>
      <c r="E51" t="inlineStr">
        <is>
          <t>USD m</t>
        </is>
      </c>
      <c r="G51" s="13">
        <f>SUM(J51:BN51)</f>
        <v/>
      </c>
      <c r="J51" s="13">
        <f>J49*J12</f>
        <v/>
      </c>
      <c r="K51" s="13">
        <f>K49*K12</f>
        <v/>
      </c>
      <c r="L51" s="13">
        <f>L49*L12</f>
        <v/>
      </c>
      <c r="M51" s="13">
        <f>M49*M12</f>
        <v/>
      </c>
      <c r="N51" s="13">
        <f>N49*N12</f>
        <v/>
      </c>
      <c r="O51" s="13">
        <f>O49*O12</f>
        <v/>
      </c>
      <c r="P51" s="13">
        <f>P49*P12</f>
        <v/>
      </c>
      <c r="Q51" s="13">
        <f>Q49*Q12</f>
        <v/>
      </c>
      <c r="R51" s="13">
        <f>R49*R12</f>
        <v/>
      </c>
      <c r="S51" s="13">
        <f>S49*S12</f>
        <v/>
      </c>
      <c r="T51" s="13">
        <f>T49*T12</f>
        <v/>
      </c>
      <c r="U51" s="13">
        <f>U49*U12</f>
        <v/>
      </c>
      <c r="V51" s="13">
        <f>V49*V12</f>
        <v/>
      </c>
      <c r="W51" s="13">
        <f>W49*W12</f>
        <v/>
      </c>
      <c r="X51" s="13">
        <f>X49*X12</f>
        <v/>
      </c>
      <c r="Y51" s="13">
        <f>Y49*Y12</f>
        <v/>
      </c>
      <c r="Z51" s="13">
        <f>Z49*Z12</f>
        <v/>
      </c>
      <c r="AA51" s="13">
        <f>AA49*AA12</f>
        <v/>
      </c>
      <c r="AB51" s="13">
        <f>AB49*AB12</f>
        <v/>
      </c>
      <c r="AC51" s="13">
        <f>AC49*AC12</f>
        <v/>
      </c>
      <c r="AD51" s="13">
        <f>AD49*AD12</f>
        <v/>
      </c>
      <c r="AE51" s="13">
        <f>AE49*AE12</f>
        <v/>
      </c>
      <c r="AF51" s="13">
        <f>AF49*AF12</f>
        <v/>
      </c>
      <c r="AG51" s="13">
        <f>AG49*AG12</f>
        <v/>
      </c>
      <c r="AH51" s="13">
        <f>AH49*AH12</f>
        <v/>
      </c>
      <c r="AI51" s="13">
        <f>AI49*AI12</f>
        <v/>
      </c>
      <c r="AJ51" s="13">
        <f>AJ49*AJ12</f>
        <v/>
      </c>
      <c r="AK51" s="13">
        <f>AK49*AK12</f>
        <v/>
      </c>
      <c r="AL51" s="13">
        <f>AL49*AL12</f>
        <v/>
      </c>
      <c r="AM51" s="13">
        <f>AM49*AM12</f>
        <v/>
      </c>
      <c r="AN51" s="13">
        <f>AN49*AN12</f>
        <v/>
      </c>
      <c r="AO51" s="13">
        <f>AO49*AO12</f>
        <v/>
      </c>
      <c r="AP51" s="13">
        <f>AP49*AP12</f>
        <v/>
      </c>
      <c r="AQ51" s="13">
        <f>AQ49*AQ12</f>
        <v/>
      </c>
      <c r="AR51" s="13">
        <f>AR49*AR12</f>
        <v/>
      </c>
      <c r="AS51" s="13">
        <f>AS49*AS12</f>
        <v/>
      </c>
      <c r="AT51" s="13">
        <f>AT49*AT12</f>
        <v/>
      </c>
      <c r="AU51" s="13">
        <f>AU49*AU12</f>
        <v/>
      </c>
      <c r="AV51" s="13">
        <f>AV49*AV12</f>
        <v/>
      </c>
      <c r="AW51" s="13">
        <f>AW49*AW12</f>
        <v/>
      </c>
      <c r="AX51" s="13">
        <f>AX49*AX12</f>
        <v/>
      </c>
      <c r="AY51" s="13">
        <f>AY49*AY12</f>
        <v/>
      </c>
      <c r="AZ51" s="13">
        <f>AZ49*AZ12</f>
        <v/>
      </c>
      <c r="BA51" s="13">
        <f>BA49*BA12</f>
        <v/>
      </c>
      <c r="BB51" s="13">
        <f>BB49*BB12</f>
        <v/>
      </c>
      <c r="BC51" s="13">
        <f>BC49*BC12</f>
        <v/>
      </c>
      <c r="BD51" s="13">
        <f>BD49*BD12</f>
        <v/>
      </c>
      <c r="BE51" s="13">
        <f>BE49*BE12</f>
        <v/>
      </c>
      <c r="BF51" s="13">
        <f>BF49*BF12</f>
        <v/>
      </c>
      <c r="BG51" s="13">
        <f>BG49*BG12</f>
        <v/>
      </c>
      <c r="BH51" s="13">
        <f>BH49*BH12</f>
        <v/>
      </c>
      <c r="BI51" s="13">
        <f>BI49*BI12</f>
        <v/>
      </c>
      <c r="BJ51" s="13">
        <f>BJ49*BJ12</f>
        <v/>
      </c>
      <c r="BK51" s="13">
        <f>BK49*BK12</f>
        <v/>
      </c>
      <c r="BL51" s="13">
        <f>BL49*BL12</f>
        <v/>
      </c>
      <c r="BM51" s="13">
        <f>BM49*BM12</f>
        <v/>
      </c>
      <c r="BN51" s="13">
        <f>BN49*BN12</f>
        <v/>
      </c>
    </row>
    <row r="52">
      <c r="D52" t="inlineStr">
        <is>
          <t>Scheduled principal per profile</t>
        </is>
      </c>
      <c r="E52" t="inlineStr">
        <is>
          <t>USD m</t>
        </is>
      </c>
      <c r="G52" s="13">
        <f>SUM(J52:BN52)</f>
        <v/>
      </c>
      <c r="J52" s="13">
        <f>Time!J35*(J49-J50)*J19</f>
        <v/>
      </c>
      <c r="K52" s="13">
        <f>Time!K35*(K49-K50)*K19</f>
        <v/>
      </c>
      <c r="L52" s="13">
        <f>Time!L35*(L49-L50)*L19</f>
        <v/>
      </c>
      <c r="M52" s="13">
        <f>Time!M35*(M49-M50)*M19</f>
        <v/>
      </c>
      <c r="N52" s="13">
        <f>Time!N35*(N49-N50)*N19</f>
        <v/>
      </c>
      <c r="O52" s="13">
        <f>Time!O35*(O49-O50)*O19</f>
        <v/>
      </c>
      <c r="P52" s="13">
        <f>Time!P35*(P49-P50)*P19</f>
        <v/>
      </c>
      <c r="Q52" s="13">
        <f>Time!Q35*(Q49-Q50)*Q19</f>
        <v/>
      </c>
      <c r="R52" s="13">
        <f>Time!R35*(R49-R50)*R19</f>
        <v/>
      </c>
      <c r="S52" s="13">
        <f>Time!S35*(S49-S50)*S19</f>
        <v/>
      </c>
      <c r="T52" s="13">
        <f>Time!T35*(T49-T50)*T19</f>
        <v/>
      </c>
      <c r="U52" s="13">
        <f>Time!U35*(U49-U50)*U19</f>
        <v/>
      </c>
      <c r="V52" s="13">
        <f>Time!V35*(V49-V50)*V19</f>
        <v/>
      </c>
      <c r="W52" s="13">
        <f>Time!W35*(W49-W50)*W19</f>
        <v/>
      </c>
      <c r="X52" s="13">
        <f>Time!X35*(X49-X50)*X19</f>
        <v/>
      </c>
      <c r="Y52" s="13">
        <f>Time!Y35*(Y49-Y50)*Y19</f>
        <v/>
      </c>
      <c r="Z52" s="13">
        <f>Time!Z35*(Z49-Z50)*Z19</f>
        <v/>
      </c>
      <c r="AA52" s="13">
        <f>Time!AA35*(AA49-AA50)*AA19</f>
        <v/>
      </c>
      <c r="AB52" s="13">
        <f>Time!AB35*(AB49-AB50)*AB19</f>
        <v/>
      </c>
      <c r="AC52" s="13">
        <f>Time!AC35*(AC49-AC50)*AC19</f>
        <v/>
      </c>
      <c r="AD52" s="13">
        <f>Time!AD35*(AD49-AD50)*AD19</f>
        <v/>
      </c>
      <c r="AE52" s="13">
        <f>Time!AE35*(AE49-AE50)*AE19</f>
        <v/>
      </c>
      <c r="AF52" s="13">
        <f>Time!AF35*(AF49-AF50)*AF19</f>
        <v/>
      </c>
      <c r="AG52" s="13">
        <f>Time!AG35*(AG49-AG50)*AG19</f>
        <v/>
      </c>
      <c r="AH52" s="13">
        <f>Time!AH35*(AH49-AH50)*AH19</f>
        <v/>
      </c>
      <c r="AI52" s="13">
        <f>Time!AI35*(AI49-AI50)*AI19</f>
        <v/>
      </c>
      <c r="AJ52" s="13">
        <f>Time!AJ35*(AJ49-AJ50)*AJ19</f>
        <v/>
      </c>
      <c r="AK52" s="13">
        <f>Time!AK35*(AK49-AK50)*AK19</f>
        <v/>
      </c>
      <c r="AL52" s="13">
        <f>Time!AL35*(AL49-AL50)*AL19</f>
        <v/>
      </c>
      <c r="AM52" s="13">
        <f>Time!AM35*(AM49-AM50)*AM19</f>
        <v/>
      </c>
      <c r="AN52" s="13">
        <f>Time!AN35*(AN49-AN50)*AN19</f>
        <v/>
      </c>
      <c r="AO52" s="13">
        <f>Time!AO35*(AO49-AO50)*AO19</f>
        <v/>
      </c>
      <c r="AP52" s="13">
        <f>Time!AP35*(AP49-AP50)*AP19</f>
        <v/>
      </c>
      <c r="AQ52" s="13">
        <f>Time!AQ35*(AQ49-AQ50)*AQ19</f>
        <v/>
      </c>
      <c r="AR52" s="13">
        <f>Time!AR35*(AR49-AR50)*AR19</f>
        <v/>
      </c>
      <c r="AS52" s="13">
        <f>Time!AS35*(AS49-AS50)*AS19</f>
        <v/>
      </c>
      <c r="AT52" s="13">
        <f>Time!AT35*(AT49-AT50)*AT19</f>
        <v/>
      </c>
      <c r="AU52" s="13">
        <f>Time!AU35*(AU49-AU50)*AU19</f>
        <v/>
      </c>
      <c r="AV52" s="13">
        <f>Time!AV35*(AV49-AV50)*AV19</f>
        <v/>
      </c>
      <c r="AW52" s="13">
        <f>Time!AW35*(AW49-AW50)*AW19</f>
        <v/>
      </c>
      <c r="AX52" s="13">
        <f>Time!AX35*(AX49-AX50)*AX19</f>
        <v/>
      </c>
      <c r="AY52" s="13">
        <f>Time!AY35*(AY49-AY50)*AY19</f>
        <v/>
      </c>
      <c r="AZ52" s="13">
        <f>Time!AZ35*(AZ49-AZ50)*AZ19</f>
        <v/>
      </c>
      <c r="BA52" s="13">
        <f>Time!BA35*(BA49-BA50)*BA19</f>
        <v/>
      </c>
      <c r="BB52" s="13">
        <f>Time!BB35*(BB49-BB50)*BB19</f>
        <v/>
      </c>
      <c r="BC52" s="13">
        <f>Time!BC35*(BC49-BC50)*BC19</f>
        <v/>
      </c>
      <c r="BD52" s="13">
        <f>Time!BD35*(BD49-BD50)*BD19</f>
        <v/>
      </c>
      <c r="BE52" s="13">
        <f>Time!BE35*(BE49-BE50)*BE19</f>
        <v/>
      </c>
      <c r="BF52" s="13">
        <f>Time!BF35*(BF49-BF50)*BF19</f>
        <v/>
      </c>
      <c r="BG52" s="13">
        <f>Time!BG35*(BG49-BG50)*BG19</f>
        <v/>
      </c>
      <c r="BH52" s="13">
        <f>Time!BH35*(BH49-BH50)*BH19</f>
        <v/>
      </c>
      <c r="BI52" s="13">
        <f>Time!BI35*(BI49-BI50)*BI19</f>
        <v/>
      </c>
      <c r="BJ52" s="13">
        <f>Time!BJ35*(BJ49-BJ50)*BJ19</f>
        <v/>
      </c>
      <c r="BK52" s="13">
        <f>Time!BK35*(BK49-BK50)*BK19</f>
        <v/>
      </c>
      <c r="BL52" s="13">
        <f>Time!BL35*(BL49-BL50)*BL19</f>
        <v/>
      </c>
      <c r="BM52" s="13">
        <f>Time!BM35*(BM49-BM50)*BM19</f>
        <v/>
      </c>
      <c r="BN52" s="13">
        <f>Time!BN35*(BN49-BN50)*BN19</f>
        <v/>
      </c>
    </row>
    <row r="53">
      <c r="D53" t="inlineStr">
        <is>
          <t>Principal deferred under the waiver</t>
        </is>
      </c>
      <c r="E53" t="inlineStr">
        <is>
          <t>USD m</t>
        </is>
      </c>
      <c r="G53" s="13">
        <f>SUM(J53:BN53)</f>
        <v/>
      </c>
      <c r="J53" s="13">
        <f>Time!J43*Inputs!$F$270*J52</f>
        <v/>
      </c>
      <c r="K53" s="13">
        <f>Time!K43*Inputs!$F$270*K52</f>
        <v/>
      </c>
      <c r="L53" s="13">
        <f>Time!L43*Inputs!$F$270*L52</f>
        <v/>
      </c>
      <c r="M53" s="13">
        <f>Time!M43*Inputs!$F$270*M52</f>
        <v/>
      </c>
      <c r="N53" s="13">
        <f>Time!N43*Inputs!$F$270*N52</f>
        <v/>
      </c>
      <c r="O53" s="13">
        <f>Time!O43*Inputs!$F$270*O52</f>
        <v/>
      </c>
      <c r="P53" s="13">
        <f>Time!P43*Inputs!$F$270*P52</f>
        <v/>
      </c>
      <c r="Q53" s="13">
        <f>Time!Q43*Inputs!$F$270*Q52</f>
        <v/>
      </c>
      <c r="R53" s="13">
        <f>Time!R43*Inputs!$F$270*R52</f>
        <v/>
      </c>
      <c r="S53" s="13">
        <f>Time!S43*Inputs!$F$270*S52</f>
        <v/>
      </c>
      <c r="T53" s="13">
        <f>Time!T43*Inputs!$F$270*T52</f>
        <v/>
      </c>
      <c r="U53" s="13">
        <f>Time!U43*Inputs!$F$270*U52</f>
        <v/>
      </c>
      <c r="V53" s="13">
        <f>Time!V43*Inputs!$F$270*V52</f>
        <v/>
      </c>
      <c r="W53" s="13">
        <f>Time!W43*Inputs!$F$270*W52</f>
        <v/>
      </c>
      <c r="X53" s="13">
        <f>Time!X43*Inputs!$F$270*X52</f>
        <v/>
      </c>
      <c r="Y53" s="13">
        <f>Time!Y43*Inputs!$F$270*Y52</f>
        <v/>
      </c>
      <c r="Z53" s="13">
        <f>Time!Z43*Inputs!$F$270*Z52</f>
        <v/>
      </c>
      <c r="AA53" s="13">
        <f>Time!AA43*Inputs!$F$270*AA52</f>
        <v/>
      </c>
      <c r="AB53" s="13">
        <f>Time!AB43*Inputs!$F$270*AB52</f>
        <v/>
      </c>
      <c r="AC53" s="13">
        <f>Time!AC43*Inputs!$F$270*AC52</f>
        <v/>
      </c>
      <c r="AD53" s="13">
        <f>Time!AD43*Inputs!$F$270*AD52</f>
        <v/>
      </c>
      <c r="AE53" s="13">
        <f>Time!AE43*Inputs!$F$270*AE52</f>
        <v/>
      </c>
      <c r="AF53" s="13">
        <f>Time!AF43*Inputs!$F$270*AF52</f>
        <v/>
      </c>
      <c r="AG53" s="13">
        <f>Time!AG43*Inputs!$F$270*AG52</f>
        <v/>
      </c>
      <c r="AH53" s="13">
        <f>Time!AH43*Inputs!$F$270*AH52</f>
        <v/>
      </c>
      <c r="AI53" s="13">
        <f>Time!AI43*Inputs!$F$270*AI52</f>
        <v/>
      </c>
      <c r="AJ53" s="13">
        <f>Time!AJ43*Inputs!$F$270*AJ52</f>
        <v/>
      </c>
      <c r="AK53" s="13">
        <f>Time!AK43*Inputs!$F$270*AK52</f>
        <v/>
      </c>
      <c r="AL53" s="13">
        <f>Time!AL43*Inputs!$F$270*AL52</f>
        <v/>
      </c>
      <c r="AM53" s="13">
        <f>Time!AM43*Inputs!$F$270*AM52</f>
        <v/>
      </c>
      <c r="AN53" s="13">
        <f>Time!AN43*Inputs!$F$270*AN52</f>
        <v/>
      </c>
      <c r="AO53" s="13">
        <f>Time!AO43*Inputs!$F$270*AO52</f>
        <v/>
      </c>
      <c r="AP53" s="13">
        <f>Time!AP43*Inputs!$F$270*AP52</f>
        <v/>
      </c>
      <c r="AQ53" s="13">
        <f>Time!AQ43*Inputs!$F$270*AQ52</f>
        <v/>
      </c>
      <c r="AR53" s="13">
        <f>Time!AR43*Inputs!$F$270*AR52</f>
        <v/>
      </c>
      <c r="AS53" s="13">
        <f>Time!AS43*Inputs!$F$270*AS52</f>
        <v/>
      </c>
      <c r="AT53" s="13">
        <f>Time!AT43*Inputs!$F$270*AT52</f>
        <v/>
      </c>
      <c r="AU53" s="13">
        <f>Time!AU43*Inputs!$F$270*AU52</f>
        <v/>
      </c>
      <c r="AV53" s="13">
        <f>Time!AV43*Inputs!$F$270*AV52</f>
        <v/>
      </c>
      <c r="AW53" s="13">
        <f>Time!AW43*Inputs!$F$270*AW52</f>
        <v/>
      </c>
      <c r="AX53" s="13">
        <f>Time!AX43*Inputs!$F$270*AX52</f>
        <v/>
      </c>
      <c r="AY53" s="13">
        <f>Time!AY43*Inputs!$F$270*AY52</f>
        <v/>
      </c>
      <c r="AZ53" s="13">
        <f>Time!AZ43*Inputs!$F$270*AZ52</f>
        <v/>
      </c>
      <c r="BA53" s="13">
        <f>Time!BA43*Inputs!$F$270*BA52</f>
        <v/>
      </c>
      <c r="BB53" s="13">
        <f>Time!BB43*Inputs!$F$270*BB52</f>
        <v/>
      </c>
      <c r="BC53" s="13">
        <f>Time!BC43*Inputs!$F$270*BC52</f>
        <v/>
      </c>
      <c r="BD53" s="13">
        <f>Time!BD43*Inputs!$F$270*BD52</f>
        <v/>
      </c>
      <c r="BE53" s="13">
        <f>Time!BE43*Inputs!$F$270*BE52</f>
        <v/>
      </c>
      <c r="BF53" s="13">
        <f>Time!BF43*Inputs!$F$270*BF52</f>
        <v/>
      </c>
      <c r="BG53" s="13">
        <f>Time!BG43*Inputs!$F$270*BG52</f>
        <v/>
      </c>
      <c r="BH53" s="13">
        <f>Time!BH43*Inputs!$F$270*BH52</f>
        <v/>
      </c>
      <c r="BI53" s="13">
        <f>Time!BI43*Inputs!$F$270*BI52</f>
        <v/>
      </c>
      <c r="BJ53" s="13">
        <f>Time!BJ43*Inputs!$F$270*BJ52</f>
        <v/>
      </c>
      <c r="BK53" s="13">
        <f>Time!BK43*Inputs!$F$270*BK52</f>
        <v/>
      </c>
      <c r="BL53" s="13">
        <f>Time!BL43*Inputs!$F$270*BL52</f>
        <v/>
      </c>
      <c r="BM53" s="13">
        <f>Time!BM43*Inputs!$F$270*BM52</f>
        <v/>
      </c>
      <c r="BN53" s="13">
        <f>Time!BN43*Inputs!$F$270*BN52</f>
        <v/>
      </c>
    </row>
    <row r="54">
      <c r="D54" t="inlineStr">
        <is>
          <t>Deferred principal repaid (equal parts over the remaining repayment dates)</t>
        </is>
      </c>
      <c r="E54" t="inlineStr">
        <is>
          <t>USD m</t>
        </is>
      </c>
      <c r="G54" s="13">
        <f>SUM(J54:BN54)</f>
        <v/>
      </c>
      <c r="J54" s="13">
        <f>IF(Time!J46&gt;0,Time!J45*J50/Time!J46,0)</f>
        <v/>
      </c>
      <c r="K54" s="13">
        <f>IF(Time!K46&gt;0,Time!K45*K50/Time!K46,0)</f>
        <v/>
      </c>
      <c r="L54" s="13">
        <f>IF(Time!L46&gt;0,Time!L45*L50/Time!L46,0)</f>
        <v/>
      </c>
      <c r="M54" s="13">
        <f>IF(Time!M46&gt;0,Time!M45*M50/Time!M46,0)</f>
        <v/>
      </c>
      <c r="N54" s="13">
        <f>IF(Time!N46&gt;0,Time!N45*N50/Time!N46,0)</f>
        <v/>
      </c>
      <c r="O54" s="13">
        <f>IF(Time!O46&gt;0,Time!O45*O50/Time!O46,0)</f>
        <v/>
      </c>
      <c r="P54" s="13">
        <f>IF(Time!P46&gt;0,Time!P45*P50/Time!P46,0)</f>
        <v/>
      </c>
      <c r="Q54" s="13">
        <f>IF(Time!Q46&gt;0,Time!Q45*Q50/Time!Q46,0)</f>
        <v/>
      </c>
      <c r="R54" s="13">
        <f>IF(Time!R46&gt;0,Time!R45*R50/Time!R46,0)</f>
        <v/>
      </c>
      <c r="S54" s="13">
        <f>IF(Time!S46&gt;0,Time!S45*S50/Time!S46,0)</f>
        <v/>
      </c>
      <c r="T54" s="13">
        <f>IF(Time!T46&gt;0,Time!T45*T50/Time!T46,0)</f>
        <v/>
      </c>
      <c r="U54" s="13">
        <f>IF(Time!U46&gt;0,Time!U45*U50/Time!U46,0)</f>
        <v/>
      </c>
      <c r="V54" s="13">
        <f>IF(Time!V46&gt;0,Time!V45*V50/Time!V46,0)</f>
        <v/>
      </c>
      <c r="W54" s="13">
        <f>IF(Time!W46&gt;0,Time!W45*W50/Time!W46,0)</f>
        <v/>
      </c>
      <c r="X54" s="13">
        <f>IF(Time!X46&gt;0,Time!X45*X50/Time!X46,0)</f>
        <v/>
      </c>
      <c r="Y54" s="13">
        <f>IF(Time!Y46&gt;0,Time!Y45*Y50/Time!Y46,0)</f>
        <v/>
      </c>
      <c r="Z54" s="13">
        <f>IF(Time!Z46&gt;0,Time!Z45*Z50/Time!Z46,0)</f>
        <v/>
      </c>
      <c r="AA54" s="13">
        <f>IF(Time!AA46&gt;0,Time!AA45*AA50/Time!AA46,0)</f>
        <v/>
      </c>
      <c r="AB54" s="13">
        <f>IF(Time!AB46&gt;0,Time!AB45*AB50/Time!AB46,0)</f>
        <v/>
      </c>
      <c r="AC54" s="13">
        <f>IF(Time!AC46&gt;0,Time!AC45*AC50/Time!AC46,0)</f>
        <v/>
      </c>
      <c r="AD54" s="13">
        <f>IF(Time!AD46&gt;0,Time!AD45*AD50/Time!AD46,0)</f>
        <v/>
      </c>
      <c r="AE54" s="13">
        <f>IF(Time!AE46&gt;0,Time!AE45*AE50/Time!AE46,0)</f>
        <v/>
      </c>
      <c r="AF54" s="13">
        <f>IF(Time!AF46&gt;0,Time!AF45*AF50/Time!AF46,0)</f>
        <v/>
      </c>
      <c r="AG54" s="13">
        <f>IF(Time!AG46&gt;0,Time!AG45*AG50/Time!AG46,0)</f>
        <v/>
      </c>
      <c r="AH54" s="13">
        <f>IF(Time!AH46&gt;0,Time!AH45*AH50/Time!AH46,0)</f>
        <v/>
      </c>
      <c r="AI54" s="13">
        <f>IF(Time!AI46&gt;0,Time!AI45*AI50/Time!AI46,0)</f>
        <v/>
      </c>
      <c r="AJ54" s="13">
        <f>IF(Time!AJ46&gt;0,Time!AJ45*AJ50/Time!AJ46,0)</f>
        <v/>
      </c>
      <c r="AK54" s="13">
        <f>IF(Time!AK46&gt;0,Time!AK45*AK50/Time!AK46,0)</f>
        <v/>
      </c>
      <c r="AL54" s="13">
        <f>IF(Time!AL46&gt;0,Time!AL45*AL50/Time!AL46,0)</f>
        <v/>
      </c>
      <c r="AM54" s="13">
        <f>IF(Time!AM46&gt;0,Time!AM45*AM50/Time!AM46,0)</f>
        <v/>
      </c>
      <c r="AN54" s="13">
        <f>IF(Time!AN46&gt;0,Time!AN45*AN50/Time!AN46,0)</f>
        <v/>
      </c>
      <c r="AO54" s="13">
        <f>IF(Time!AO46&gt;0,Time!AO45*AO50/Time!AO46,0)</f>
        <v/>
      </c>
      <c r="AP54" s="13">
        <f>IF(Time!AP46&gt;0,Time!AP45*AP50/Time!AP46,0)</f>
        <v/>
      </c>
      <c r="AQ54" s="13">
        <f>IF(Time!AQ46&gt;0,Time!AQ45*AQ50/Time!AQ46,0)</f>
        <v/>
      </c>
      <c r="AR54" s="13">
        <f>IF(Time!AR46&gt;0,Time!AR45*AR50/Time!AR46,0)</f>
        <v/>
      </c>
      <c r="AS54" s="13">
        <f>IF(Time!AS46&gt;0,Time!AS45*AS50/Time!AS46,0)</f>
        <v/>
      </c>
      <c r="AT54" s="13">
        <f>IF(Time!AT46&gt;0,Time!AT45*AT50/Time!AT46,0)</f>
        <v/>
      </c>
      <c r="AU54" s="13">
        <f>IF(Time!AU46&gt;0,Time!AU45*AU50/Time!AU46,0)</f>
        <v/>
      </c>
      <c r="AV54" s="13">
        <f>IF(Time!AV46&gt;0,Time!AV45*AV50/Time!AV46,0)</f>
        <v/>
      </c>
      <c r="AW54" s="13">
        <f>IF(Time!AW46&gt;0,Time!AW45*AW50/Time!AW46,0)</f>
        <v/>
      </c>
      <c r="AX54" s="13">
        <f>IF(Time!AX46&gt;0,Time!AX45*AX50/Time!AX46,0)</f>
        <v/>
      </c>
      <c r="AY54" s="13">
        <f>IF(Time!AY46&gt;0,Time!AY45*AY50/Time!AY46,0)</f>
        <v/>
      </c>
      <c r="AZ54" s="13">
        <f>IF(Time!AZ46&gt;0,Time!AZ45*AZ50/Time!AZ46,0)</f>
        <v/>
      </c>
      <c r="BA54" s="13">
        <f>IF(Time!BA46&gt;0,Time!BA45*BA50/Time!BA46,0)</f>
        <v/>
      </c>
      <c r="BB54" s="13">
        <f>IF(Time!BB46&gt;0,Time!BB45*BB50/Time!BB46,0)</f>
        <v/>
      </c>
      <c r="BC54" s="13">
        <f>IF(Time!BC46&gt;0,Time!BC45*BC50/Time!BC46,0)</f>
        <v/>
      </c>
      <c r="BD54" s="13">
        <f>IF(Time!BD46&gt;0,Time!BD45*BD50/Time!BD46,0)</f>
        <v/>
      </c>
      <c r="BE54" s="13">
        <f>IF(Time!BE46&gt;0,Time!BE45*BE50/Time!BE46,0)</f>
        <v/>
      </c>
      <c r="BF54" s="13">
        <f>IF(Time!BF46&gt;0,Time!BF45*BF50/Time!BF46,0)</f>
        <v/>
      </c>
      <c r="BG54" s="13">
        <f>IF(Time!BG46&gt;0,Time!BG45*BG50/Time!BG46,0)</f>
        <v/>
      </c>
      <c r="BH54" s="13">
        <f>IF(Time!BH46&gt;0,Time!BH45*BH50/Time!BH46,0)</f>
        <v/>
      </c>
      <c r="BI54" s="13">
        <f>IF(Time!BI46&gt;0,Time!BI45*BI50/Time!BI46,0)</f>
        <v/>
      </c>
      <c r="BJ54" s="13">
        <f>IF(Time!BJ46&gt;0,Time!BJ45*BJ50/Time!BJ46,0)</f>
        <v/>
      </c>
      <c r="BK54" s="13">
        <f>IF(Time!BK46&gt;0,Time!BK45*BK50/Time!BK46,0)</f>
        <v/>
      </c>
      <c r="BL54" s="13">
        <f>IF(Time!BL46&gt;0,Time!BL45*BL50/Time!BL46,0)</f>
        <v/>
      </c>
      <c r="BM54" s="13">
        <f>IF(Time!BM46&gt;0,Time!BM45*BM50/Time!BM46,0)</f>
        <v/>
      </c>
      <c r="BN54" s="13">
        <f>IF(Time!BN46&gt;0,Time!BN45*BN50/Time!BN46,0)</f>
        <v/>
      </c>
    </row>
    <row r="55">
      <c r="D55" t="inlineStr">
        <is>
          <t>Principal paid</t>
        </is>
      </c>
      <c r="E55" t="inlineStr">
        <is>
          <t>USD m</t>
        </is>
      </c>
      <c r="G55" s="13">
        <f>SUM(J55:BN55)</f>
        <v/>
      </c>
      <c r="J55" s="13">
        <f>J52-J53+J54</f>
        <v/>
      </c>
      <c r="K55" s="13">
        <f>K52-K53+K54</f>
        <v/>
      </c>
      <c r="L55" s="13">
        <f>L52-L53+L54</f>
        <v/>
      </c>
      <c r="M55" s="13">
        <f>M52-M53+M54</f>
        <v/>
      </c>
      <c r="N55" s="13">
        <f>N52-N53+N54</f>
        <v/>
      </c>
      <c r="O55" s="13">
        <f>O52-O53+O54</f>
        <v/>
      </c>
      <c r="P55" s="13">
        <f>P52-P53+P54</f>
        <v/>
      </c>
      <c r="Q55" s="13">
        <f>Q52-Q53+Q54</f>
        <v/>
      </c>
      <c r="R55" s="13">
        <f>R52-R53+R54</f>
        <v/>
      </c>
      <c r="S55" s="13">
        <f>S52-S53+S54</f>
        <v/>
      </c>
      <c r="T55" s="13">
        <f>T52-T53+T54</f>
        <v/>
      </c>
      <c r="U55" s="13">
        <f>U52-U53+U54</f>
        <v/>
      </c>
      <c r="V55" s="13">
        <f>V52-V53+V54</f>
        <v/>
      </c>
      <c r="W55" s="13">
        <f>W52-W53+W54</f>
        <v/>
      </c>
      <c r="X55" s="13">
        <f>X52-X53+X54</f>
        <v/>
      </c>
      <c r="Y55" s="13">
        <f>Y52-Y53+Y54</f>
        <v/>
      </c>
      <c r="Z55" s="13">
        <f>Z52-Z53+Z54</f>
        <v/>
      </c>
      <c r="AA55" s="13">
        <f>AA52-AA53+AA54</f>
        <v/>
      </c>
      <c r="AB55" s="13">
        <f>AB52-AB53+AB54</f>
        <v/>
      </c>
      <c r="AC55" s="13">
        <f>AC52-AC53+AC54</f>
        <v/>
      </c>
      <c r="AD55" s="13">
        <f>AD52-AD53+AD54</f>
        <v/>
      </c>
      <c r="AE55" s="13">
        <f>AE52-AE53+AE54</f>
        <v/>
      </c>
      <c r="AF55" s="13">
        <f>AF52-AF53+AF54</f>
        <v/>
      </c>
      <c r="AG55" s="13">
        <f>AG52-AG53+AG54</f>
        <v/>
      </c>
      <c r="AH55" s="13">
        <f>AH52-AH53+AH54</f>
        <v/>
      </c>
      <c r="AI55" s="13">
        <f>AI52-AI53+AI54</f>
        <v/>
      </c>
      <c r="AJ55" s="13">
        <f>AJ52-AJ53+AJ54</f>
        <v/>
      </c>
      <c r="AK55" s="13">
        <f>AK52-AK53+AK54</f>
        <v/>
      </c>
      <c r="AL55" s="13">
        <f>AL52-AL53+AL54</f>
        <v/>
      </c>
      <c r="AM55" s="13">
        <f>AM52-AM53+AM54</f>
        <v/>
      </c>
      <c r="AN55" s="13">
        <f>AN52-AN53+AN54</f>
        <v/>
      </c>
      <c r="AO55" s="13">
        <f>AO52-AO53+AO54</f>
        <v/>
      </c>
      <c r="AP55" s="13">
        <f>AP52-AP53+AP54</f>
        <v/>
      </c>
      <c r="AQ55" s="13">
        <f>AQ52-AQ53+AQ54</f>
        <v/>
      </c>
      <c r="AR55" s="13">
        <f>AR52-AR53+AR54</f>
        <v/>
      </c>
      <c r="AS55" s="13">
        <f>AS52-AS53+AS54</f>
        <v/>
      </c>
      <c r="AT55" s="13">
        <f>AT52-AT53+AT54</f>
        <v/>
      </c>
      <c r="AU55" s="13">
        <f>AU52-AU53+AU54</f>
        <v/>
      </c>
      <c r="AV55" s="13">
        <f>AV52-AV53+AV54</f>
        <v/>
      </c>
      <c r="AW55" s="13">
        <f>AW52-AW53+AW54</f>
        <v/>
      </c>
      <c r="AX55" s="13">
        <f>AX52-AX53+AX54</f>
        <v/>
      </c>
      <c r="AY55" s="13">
        <f>AY52-AY53+AY54</f>
        <v/>
      </c>
      <c r="AZ55" s="13">
        <f>AZ52-AZ53+AZ54</f>
        <v/>
      </c>
      <c r="BA55" s="13">
        <f>BA52-BA53+BA54</f>
        <v/>
      </c>
      <c r="BB55" s="13">
        <f>BB52-BB53+BB54</f>
        <v/>
      </c>
      <c r="BC55" s="13">
        <f>BC52-BC53+BC54</f>
        <v/>
      </c>
      <c r="BD55" s="13">
        <f>BD52-BD53+BD54</f>
        <v/>
      </c>
      <c r="BE55" s="13">
        <f>BE52-BE53+BE54</f>
        <v/>
      </c>
      <c r="BF55" s="13">
        <f>BF52-BF53+BF54</f>
        <v/>
      </c>
      <c r="BG55" s="13">
        <f>BG52-BG53+BG54</f>
        <v/>
      </c>
      <c r="BH55" s="13">
        <f>BH52-BH53+BH54</f>
        <v/>
      </c>
      <c r="BI55" s="13">
        <f>BI52-BI53+BI54</f>
        <v/>
      </c>
      <c r="BJ55" s="13">
        <f>BJ52-BJ53+BJ54</f>
        <v/>
      </c>
      <c r="BK55" s="13">
        <f>BK52-BK53+BK54</f>
        <v/>
      </c>
      <c r="BL55" s="13">
        <f>BL52-BL53+BL54</f>
        <v/>
      </c>
      <c r="BM55" s="13">
        <f>BM52-BM53+BM54</f>
        <v/>
      </c>
      <c r="BN55" s="13">
        <f>BN52-BN53+BN54</f>
        <v/>
      </c>
    </row>
    <row r="56">
      <c r="D56" t="inlineStr">
        <is>
          <t>Performance LD prepayment</t>
        </is>
      </c>
      <c r="E56" t="inlineStr">
        <is>
          <t>USD m</t>
        </is>
      </c>
      <c r="G56" s="13">
        <f>SUM(J56:BN56)</f>
        <v/>
      </c>
      <c r="J56" s="13">
        <f>Time!J42*Inputs!$F$267*(J49-J55)/(J21-J27+J35-J41+J49-J55+J63-J69+J77-J83+Inputs!$F$253)</f>
        <v/>
      </c>
      <c r="K56" s="13">
        <f>Time!K42*Inputs!$F$267*(K49-K55)/(K21-K27+K35-K41+K49-K55+K63-K69+K77-K83+Inputs!$F$253)</f>
        <v/>
      </c>
      <c r="L56" s="13">
        <f>Time!L42*Inputs!$F$267*(L49-L55)/(L21-L27+L35-L41+L49-L55+L63-L69+L77-L83+Inputs!$F$253)</f>
        <v/>
      </c>
      <c r="M56" s="13">
        <f>Time!M42*Inputs!$F$267*(M49-M55)/(M21-M27+M35-M41+M49-M55+M63-M69+M77-M83+Inputs!$F$253)</f>
        <v/>
      </c>
      <c r="N56" s="13">
        <f>Time!N42*Inputs!$F$267*(N49-N55)/(N21-N27+N35-N41+N49-N55+N63-N69+N77-N83+Inputs!$F$253)</f>
        <v/>
      </c>
      <c r="O56" s="13">
        <f>Time!O42*Inputs!$F$267*(O49-O55)/(O21-O27+O35-O41+O49-O55+O63-O69+O77-O83+Inputs!$F$253)</f>
        <v/>
      </c>
      <c r="P56" s="13">
        <f>Time!P42*Inputs!$F$267*(P49-P55)/(P21-P27+P35-P41+P49-P55+P63-P69+P77-P83+Inputs!$F$253)</f>
        <v/>
      </c>
      <c r="Q56" s="13">
        <f>Time!Q42*Inputs!$F$267*(Q49-Q55)/(Q21-Q27+Q35-Q41+Q49-Q55+Q63-Q69+Q77-Q83+Inputs!$F$253)</f>
        <v/>
      </c>
      <c r="R56" s="13">
        <f>Time!R42*Inputs!$F$267*(R49-R55)/(R21-R27+R35-R41+R49-R55+R63-R69+R77-R83+Inputs!$F$253)</f>
        <v/>
      </c>
      <c r="S56" s="13">
        <f>Time!S42*Inputs!$F$267*(S49-S55)/(S21-S27+S35-S41+S49-S55+S63-S69+S77-S83+Inputs!$F$253)</f>
        <v/>
      </c>
      <c r="T56" s="13">
        <f>Time!T42*Inputs!$F$267*(T49-T55)/(T21-T27+T35-T41+T49-T55+T63-T69+T77-T83+Inputs!$F$253)</f>
        <v/>
      </c>
      <c r="U56" s="13">
        <f>Time!U42*Inputs!$F$267*(U49-U55)/(U21-U27+U35-U41+U49-U55+U63-U69+U77-U83+Inputs!$F$253)</f>
        <v/>
      </c>
      <c r="V56" s="13">
        <f>Time!V42*Inputs!$F$267*(V49-V55)/(V21-V27+V35-V41+V49-V55+V63-V69+V77-V83+Inputs!$F$253)</f>
        <v/>
      </c>
      <c r="W56" s="13">
        <f>Time!W42*Inputs!$F$267*(W49-W55)/(W21-W27+W35-W41+W49-W55+W63-W69+W77-W83+Inputs!$F$253)</f>
        <v/>
      </c>
      <c r="X56" s="13">
        <f>Time!X42*Inputs!$F$267*(X49-X55)/(X21-X27+X35-X41+X49-X55+X63-X69+X77-X83+Inputs!$F$253)</f>
        <v/>
      </c>
      <c r="Y56" s="13">
        <f>Time!Y42*Inputs!$F$267*(Y49-Y55)/(Y21-Y27+Y35-Y41+Y49-Y55+Y63-Y69+Y77-Y83+Inputs!$F$253)</f>
        <v/>
      </c>
      <c r="Z56" s="13">
        <f>Time!Z42*Inputs!$F$267*(Z49-Z55)/(Z21-Z27+Z35-Z41+Z49-Z55+Z63-Z69+Z77-Z83+Inputs!$F$253)</f>
        <v/>
      </c>
      <c r="AA56" s="13">
        <f>Time!AA42*Inputs!$F$267*(AA49-AA55)/(AA21-AA27+AA35-AA41+AA49-AA55+AA63-AA69+AA77-AA83+Inputs!$F$253)</f>
        <v/>
      </c>
      <c r="AB56" s="13">
        <f>Time!AB42*Inputs!$F$267*(AB49-AB55)/(AB21-AB27+AB35-AB41+AB49-AB55+AB63-AB69+AB77-AB83+Inputs!$F$253)</f>
        <v/>
      </c>
      <c r="AC56" s="13">
        <f>Time!AC42*Inputs!$F$267*(AC49-AC55)/(AC21-AC27+AC35-AC41+AC49-AC55+AC63-AC69+AC77-AC83+Inputs!$F$253)</f>
        <v/>
      </c>
      <c r="AD56" s="13">
        <f>Time!AD42*Inputs!$F$267*(AD49-AD55)/(AD21-AD27+AD35-AD41+AD49-AD55+AD63-AD69+AD77-AD83+Inputs!$F$253)</f>
        <v/>
      </c>
      <c r="AE56" s="13">
        <f>Time!AE42*Inputs!$F$267*(AE49-AE55)/(AE21-AE27+AE35-AE41+AE49-AE55+AE63-AE69+AE77-AE83+Inputs!$F$253)</f>
        <v/>
      </c>
      <c r="AF56" s="13">
        <f>Time!AF42*Inputs!$F$267*(AF49-AF55)/(AF21-AF27+AF35-AF41+AF49-AF55+AF63-AF69+AF77-AF83+Inputs!$F$253)</f>
        <v/>
      </c>
      <c r="AG56" s="13">
        <f>Time!AG42*Inputs!$F$267*(AG49-AG55)/(AG21-AG27+AG35-AG41+AG49-AG55+AG63-AG69+AG77-AG83+Inputs!$F$253)</f>
        <v/>
      </c>
      <c r="AH56" s="13">
        <f>Time!AH42*Inputs!$F$267*(AH49-AH55)/(AH21-AH27+AH35-AH41+AH49-AH55+AH63-AH69+AH77-AH83+Inputs!$F$253)</f>
        <v/>
      </c>
      <c r="AI56" s="13">
        <f>Time!AI42*Inputs!$F$267*(AI49-AI55)/(AI21-AI27+AI35-AI41+AI49-AI55+AI63-AI69+AI77-AI83+Inputs!$F$253)</f>
        <v/>
      </c>
      <c r="AJ56" s="13">
        <f>Time!AJ42*Inputs!$F$267*(AJ49-AJ55)/(AJ21-AJ27+AJ35-AJ41+AJ49-AJ55+AJ63-AJ69+AJ77-AJ83+Inputs!$F$253)</f>
        <v/>
      </c>
      <c r="AK56" s="13">
        <f>Time!AK42*Inputs!$F$267*(AK49-AK55)/(AK21-AK27+AK35-AK41+AK49-AK55+AK63-AK69+AK77-AK83+Inputs!$F$253)</f>
        <v/>
      </c>
      <c r="AL56" s="13">
        <f>Time!AL42*Inputs!$F$267*(AL49-AL55)/(AL21-AL27+AL35-AL41+AL49-AL55+AL63-AL69+AL77-AL83+Inputs!$F$253)</f>
        <v/>
      </c>
      <c r="AM56" s="13">
        <f>Time!AM42*Inputs!$F$267*(AM49-AM55)/(AM21-AM27+AM35-AM41+AM49-AM55+AM63-AM69+AM77-AM83+Inputs!$F$253)</f>
        <v/>
      </c>
      <c r="AN56" s="13">
        <f>Time!AN42*Inputs!$F$267*(AN49-AN55)/(AN21-AN27+AN35-AN41+AN49-AN55+AN63-AN69+AN77-AN83+Inputs!$F$253)</f>
        <v/>
      </c>
      <c r="AO56" s="13">
        <f>Time!AO42*Inputs!$F$267*(AO49-AO55)/(AO21-AO27+AO35-AO41+AO49-AO55+AO63-AO69+AO77-AO83+Inputs!$F$253)</f>
        <v/>
      </c>
      <c r="AP56" s="13">
        <f>Time!AP42*Inputs!$F$267*(AP49-AP55)/(AP21-AP27+AP35-AP41+AP49-AP55+AP63-AP69+AP77-AP83+Inputs!$F$253)</f>
        <v/>
      </c>
      <c r="AQ56" s="13">
        <f>Time!AQ42*Inputs!$F$267*(AQ49-AQ55)/(AQ21-AQ27+AQ35-AQ41+AQ49-AQ55+AQ63-AQ69+AQ77-AQ83+Inputs!$F$253)</f>
        <v/>
      </c>
      <c r="AR56" s="13">
        <f>Time!AR42*Inputs!$F$267*(AR49-AR55)/(AR21-AR27+AR35-AR41+AR49-AR55+AR63-AR69+AR77-AR83+Inputs!$F$253)</f>
        <v/>
      </c>
      <c r="AS56" s="13">
        <f>Time!AS42*Inputs!$F$267*(AS49-AS55)/(AS21-AS27+AS35-AS41+AS49-AS55+AS63-AS69+AS77-AS83+Inputs!$F$253)</f>
        <v/>
      </c>
      <c r="AT56" s="13">
        <f>Time!AT42*Inputs!$F$267*(AT49-AT55)/(AT21-AT27+AT35-AT41+AT49-AT55+AT63-AT69+AT77-AT83+Inputs!$F$253)</f>
        <v/>
      </c>
      <c r="AU56" s="13">
        <f>Time!AU42*Inputs!$F$267*(AU49-AU55)/(AU21-AU27+AU35-AU41+AU49-AU55+AU63-AU69+AU77-AU83+Inputs!$F$253)</f>
        <v/>
      </c>
      <c r="AV56" s="13">
        <f>Time!AV42*Inputs!$F$267*(AV49-AV55)/(AV21-AV27+AV35-AV41+AV49-AV55+AV63-AV69+AV77-AV83+Inputs!$F$253)</f>
        <v/>
      </c>
      <c r="AW56" s="13">
        <f>Time!AW42*Inputs!$F$267*(AW49-AW55)/(AW21-AW27+AW35-AW41+AW49-AW55+AW63-AW69+AW77-AW83+Inputs!$F$253)</f>
        <v/>
      </c>
      <c r="AX56" s="13">
        <f>Time!AX42*Inputs!$F$267*(AX49-AX55)/(AX21-AX27+AX35-AX41+AX49-AX55+AX63-AX69+AX77-AX83+Inputs!$F$253)</f>
        <v/>
      </c>
      <c r="AY56" s="13">
        <f>Time!AY42*Inputs!$F$267*(AY49-AY55)/(AY21-AY27+AY35-AY41+AY49-AY55+AY63-AY69+AY77-AY83+Inputs!$F$253)</f>
        <v/>
      </c>
      <c r="AZ56" s="13">
        <f>Time!AZ42*Inputs!$F$267*(AZ49-AZ55)/(AZ21-AZ27+AZ35-AZ41+AZ49-AZ55+AZ63-AZ69+AZ77-AZ83+Inputs!$F$253)</f>
        <v/>
      </c>
      <c r="BA56" s="13">
        <f>Time!BA42*Inputs!$F$267*(BA49-BA55)/(BA21-BA27+BA35-BA41+BA49-BA55+BA63-BA69+BA77-BA83+Inputs!$F$253)</f>
        <v/>
      </c>
      <c r="BB56" s="13">
        <f>Time!BB42*Inputs!$F$267*(BB49-BB55)/(BB21-BB27+BB35-BB41+BB49-BB55+BB63-BB69+BB77-BB83+Inputs!$F$253)</f>
        <v/>
      </c>
      <c r="BC56" s="13">
        <f>Time!BC42*Inputs!$F$267*(BC49-BC55)/(BC21-BC27+BC35-BC41+BC49-BC55+BC63-BC69+BC77-BC83+Inputs!$F$253)</f>
        <v/>
      </c>
      <c r="BD56" s="13">
        <f>Time!BD42*Inputs!$F$267*(BD49-BD55)/(BD21-BD27+BD35-BD41+BD49-BD55+BD63-BD69+BD77-BD83+Inputs!$F$253)</f>
        <v/>
      </c>
      <c r="BE56" s="13">
        <f>Time!BE42*Inputs!$F$267*(BE49-BE55)/(BE21-BE27+BE35-BE41+BE49-BE55+BE63-BE69+BE77-BE83+Inputs!$F$253)</f>
        <v/>
      </c>
      <c r="BF56" s="13">
        <f>Time!BF42*Inputs!$F$267*(BF49-BF55)/(BF21-BF27+BF35-BF41+BF49-BF55+BF63-BF69+BF77-BF83+Inputs!$F$253)</f>
        <v/>
      </c>
      <c r="BG56" s="13">
        <f>Time!BG42*Inputs!$F$267*(BG49-BG55)/(BG21-BG27+BG35-BG41+BG49-BG55+BG63-BG69+BG77-BG83+Inputs!$F$253)</f>
        <v/>
      </c>
      <c r="BH56" s="13">
        <f>Time!BH42*Inputs!$F$267*(BH49-BH55)/(BH21-BH27+BH35-BH41+BH49-BH55+BH63-BH69+BH77-BH83+Inputs!$F$253)</f>
        <v/>
      </c>
      <c r="BI56" s="13">
        <f>Time!BI42*Inputs!$F$267*(BI49-BI55)/(BI21-BI27+BI35-BI41+BI49-BI55+BI63-BI69+BI77-BI83+Inputs!$F$253)</f>
        <v/>
      </c>
      <c r="BJ56" s="13">
        <f>Time!BJ42*Inputs!$F$267*(BJ49-BJ55)/(BJ21-BJ27+BJ35-BJ41+BJ49-BJ55+BJ63-BJ69+BJ77-BJ83+Inputs!$F$253)</f>
        <v/>
      </c>
      <c r="BK56" s="13">
        <f>Time!BK42*Inputs!$F$267*(BK49-BK55)/(BK21-BK27+BK35-BK41+BK49-BK55+BK63-BK69+BK77-BK83+Inputs!$F$253)</f>
        <v/>
      </c>
      <c r="BL56" s="13">
        <f>Time!BL42*Inputs!$F$267*(BL49-BL55)/(BL21-BL27+BL35-BL41+BL49-BL55+BL63-BL69+BL77-BL83+Inputs!$F$253)</f>
        <v/>
      </c>
      <c r="BM56" s="13">
        <f>Time!BM42*Inputs!$F$267*(BM49-BM55)/(BM21-BM27+BM35-BM41+BM49-BM55+BM63-BM69+BM77-BM83+Inputs!$F$253)</f>
        <v/>
      </c>
      <c r="BN56" s="13">
        <f>Time!BN42*Inputs!$F$267*(BN49-BN55)/(BN21-BN27+BN35-BN41+BN49-BN55+BN63-BN69+BN77-BN83+Inputs!$F$253)</f>
        <v/>
      </c>
    </row>
    <row r="57">
      <c r="D57" t="inlineStr">
        <is>
          <t>Refinanced (prepaid from bond proceeds)</t>
        </is>
      </c>
      <c r="E57" t="inlineStr">
        <is>
          <t>USD m</t>
        </is>
      </c>
      <c r="G57" s="13">
        <f>SUM(J57:BN57)</f>
        <v/>
      </c>
      <c r="J57" s="13">
        <f>Time!J47*(J49-J55-J56)</f>
        <v/>
      </c>
      <c r="K57" s="13">
        <f>Time!K47*(K49-K55-K56)</f>
        <v/>
      </c>
      <c r="L57" s="13">
        <f>Time!L47*(L49-L55-L56)</f>
        <v/>
      </c>
      <c r="M57" s="13">
        <f>Time!M47*(M49-M55-M56)</f>
        <v/>
      </c>
      <c r="N57" s="13">
        <f>Time!N47*(N49-N55-N56)</f>
        <v/>
      </c>
      <c r="O57" s="13">
        <f>Time!O47*(O49-O55-O56)</f>
        <v/>
      </c>
      <c r="P57" s="13">
        <f>Time!P47*(P49-P55-P56)</f>
        <v/>
      </c>
      <c r="Q57" s="13">
        <f>Time!Q47*(Q49-Q55-Q56)</f>
        <v/>
      </c>
      <c r="R57" s="13">
        <f>Time!R47*(R49-R55-R56)</f>
        <v/>
      </c>
      <c r="S57" s="13">
        <f>Time!S47*(S49-S55-S56)</f>
        <v/>
      </c>
      <c r="T57" s="13">
        <f>Time!T47*(T49-T55-T56)</f>
        <v/>
      </c>
      <c r="U57" s="13">
        <f>Time!U47*(U49-U55-U56)</f>
        <v/>
      </c>
      <c r="V57" s="13">
        <f>Time!V47*(V49-V55-V56)</f>
        <v/>
      </c>
      <c r="W57" s="13">
        <f>Time!W47*(W49-W55-W56)</f>
        <v/>
      </c>
      <c r="X57" s="13">
        <f>Time!X47*(X49-X55-X56)</f>
        <v/>
      </c>
      <c r="Y57" s="13">
        <f>Time!Y47*(Y49-Y55-Y56)</f>
        <v/>
      </c>
      <c r="Z57" s="13">
        <f>Time!Z47*(Z49-Z55-Z56)</f>
        <v/>
      </c>
      <c r="AA57" s="13">
        <f>Time!AA47*(AA49-AA55-AA56)</f>
        <v/>
      </c>
      <c r="AB57" s="13">
        <f>Time!AB47*(AB49-AB55-AB56)</f>
        <v/>
      </c>
      <c r="AC57" s="13">
        <f>Time!AC47*(AC49-AC55-AC56)</f>
        <v/>
      </c>
      <c r="AD57" s="13">
        <f>Time!AD47*(AD49-AD55-AD56)</f>
        <v/>
      </c>
      <c r="AE57" s="13">
        <f>Time!AE47*(AE49-AE55-AE56)</f>
        <v/>
      </c>
      <c r="AF57" s="13">
        <f>Time!AF47*(AF49-AF55-AF56)</f>
        <v/>
      </c>
      <c r="AG57" s="13">
        <f>Time!AG47*(AG49-AG55-AG56)</f>
        <v/>
      </c>
      <c r="AH57" s="13">
        <f>Time!AH47*(AH49-AH55-AH56)</f>
        <v/>
      </c>
      <c r="AI57" s="13">
        <f>Time!AI47*(AI49-AI55-AI56)</f>
        <v/>
      </c>
      <c r="AJ57" s="13">
        <f>Time!AJ47*(AJ49-AJ55-AJ56)</f>
        <v/>
      </c>
      <c r="AK57" s="13">
        <f>Time!AK47*(AK49-AK55-AK56)</f>
        <v/>
      </c>
      <c r="AL57" s="13">
        <f>Time!AL47*(AL49-AL55-AL56)</f>
        <v/>
      </c>
      <c r="AM57" s="13">
        <f>Time!AM47*(AM49-AM55-AM56)</f>
        <v/>
      </c>
      <c r="AN57" s="13">
        <f>Time!AN47*(AN49-AN55-AN56)</f>
        <v/>
      </c>
      <c r="AO57" s="13">
        <f>Time!AO47*(AO49-AO55-AO56)</f>
        <v/>
      </c>
      <c r="AP57" s="13">
        <f>Time!AP47*(AP49-AP55-AP56)</f>
        <v/>
      </c>
      <c r="AQ57" s="13">
        <f>Time!AQ47*(AQ49-AQ55-AQ56)</f>
        <v/>
      </c>
      <c r="AR57" s="13">
        <f>Time!AR47*(AR49-AR55-AR56)</f>
        <v/>
      </c>
      <c r="AS57" s="13">
        <f>Time!AS47*(AS49-AS55-AS56)</f>
        <v/>
      </c>
      <c r="AT57" s="13">
        <f>Time!AT47*(AT49-AT55-AT56)</f>
        <v/>
      </c>
      <c r="AU57" s="13">
        <f>Time!AU47*(AU49-AU55-AU56)</f>
        <v/>
      </c>
      <c r="AV57" s="13">
        <f>Time!AV47*(AV49-AV55-AV56)</f>
        <v/>
      </c>
      <c r="AW57" s="13">
        <f>Time!AW47*(AW49-AW55-AW56)</f>
        <v/>
      </c>
      <c r="AX57" s="13">
        <f>Time!AX47*(AX49-AX55-AX56)</f>
        <v/>
      </c>
      <c r="AY57" s="13">
        <f>Time!AY47*(AY49-AY55-AY56)</f>
        <v/>
      </c>
      <c r="AZ57" s="13">
        <f>Time!AZ47*(AZ49-AZ55-AZ56)</f>
        <v/>
      </c>
      <c r="BA57" s="13">
        <f>Time!BA47*(BA49-BA55-BA56)</f>
        <v/>
      </c>
      <c r="BB57" s="13">
        <f>Time!BB47*(BB49-BB55-BB56)</f>
        <v/>
      </c>
      <c r="BC57" s="13">
        <f>Time!BC47*(BC49-BC55-BC56)</f>
        <v/>
      </c>
      <c r="BD57" s="13">
        <f>Time!BD47*(BD49-BD55-BD56)</f>
        <v/>
      </c>
      <c r="BE57" s="13">
        <f>Time!BE47*(BE49-BE55-BE56)</f>
        <v/>
      </c>
      <c r="BF57" s="13">
        <f>Time!BF47*(BF49-BF55-BF56)</f>
        <v/>
      </c>
      <c r="BG57" s="13">
        <f>Time!BG47*(BG49-BG55-BG56)</f>
        <v/>
      </c>
      <c r="BH57" s="13">
        <f>Time!BH47*(BH49-BH55-BH56)</f>
        <v/>
      </c>
      <c r="BI57" s="13">
        <f>Time!BI47*(BI49-BI55-BI56)</f>
        <v/>
      </c>
      <c r="BJ57" s="13">
        <f>Time!BJ47*(BJ49-BJ55-BJ56)</f>
        <v/>
      </c>
      <c r="BK57" s="13">
        <f>Time!BK47*(BK49-BK55-BK56)</f>
        <v/>
      </c>
      <c r="BL57" s="13">
        <f>Time!BL47*(BL49-BL55-BL56)</f>
        <v/>
      </c>
      <c r="BM57" s="13">
        <f>Time!BM47*(BM49-BM55-BM56)</f>
        <v/>
      </c>
      <c r="BN57" s="13">
        <f>Time!BN47*(BN49-BN55-BN56)</f>
        <v/>
      </c>
    </row>
    <row r="58">
      <c r="D58" t="inlineStr">
        <is>
          <t>Deferred principal, closing</t>
        </is>
      </c>
      <c r="E58" t="inlineStr">
        <is>
          <t>USD m</t>
        </is>
      </c>
      <c r="J58" s="13">
        <f>(1-Time!J47)*(J50+J53-J54)</f>
        <v/>
      </c>
      <c r="K58" s="13">
        <f>(1-Time!K47)*(K50+K53-K54)</f>
        <v/>
      </c>
      <c r="L58" s="13">
        <f>(1-Time!L47)*(L50+L53-L54)</f>
        <v/>
      </c>
      <c r="M58" s="13">
        <f>(1-Time!M47)*(M50+M53-M54)</f>
        <v/>
      </c>
      <c r="N58" s="13">
        <f>(1-Time!N47)*(N50+N53-N54)</f>
        <v/>
      </c>
      <c r="O58" s="13">
        <f>(1-Time!O47)*(O50+O53-O54)</f>
        <v/>
      </c>
      <c r="P58" s="13">
        <f>(1-Time!P47)*(P50+P53-P54)</f>
        <v/>
      </c>
      <c r="Q58" s="13">
        <f>(1-Time!Q47)*(Q50+Q53-Q54)</f>
        <v/>
      </c>
      <c r="R58" s="13">
        <f>(1-Time!R47)*(R50+R53-R54)</f>
        <v/>
      </c>
      <c r="S58" s="13">
        <f>(1-Time!S47)*(S50+S53-S54)</f>
        <v/>
      </c>
      <c r="T58" s="13">
        <f>(1-Time!T47)*(T50+T53-T54)</f>
        <v/>
      </c>
      <c r="U58" s="13">
        <f>(1-Time!U47)*(U50+U53-U54)</f>
        <v/>
      </c>
      <c r="V58" s="13">
        <f>(1-Time!V47)*(V50+V53-V54)</f>
        <v/>
      </c>
      <c r="W58" s="13">
        <f>(1-Time!W47)*(W50+W53-W54)</f>
        <v/>
      </c>
      <c r="X58" s="13">
        <f>(1-Time!X47)*(X50+X53-X54)</f>
        <v/>
      </c>
      <c r="Y58" s="13">
        <f>(1-Time!Y47)*(Y50+Y53-Y54)</f>
        <v/>
      </c>
      <c r="Z58" s="13">
        <f>(1-Time!Z47)*(Z50+Z53-Z54)</f>
        <v/>
      </c>
      <c r="AA58" s="13">
        <f>(1-Time!AA47)*(AA50+AA53-AA54)</f>
        <v/>
      </c>
      <c r="AB58" s="13">
        <f>(1-Time!AB47)*(AB50+AB53-AB54)</f>
        <v/>
      </c>
      <c r="AC58" s="13">
        <f>(1-Time!AC47)*(AC50+AC53-AC54)</f>
        <v/>
      </c>
      <c r="AD58" s="13">
        <f>(1-Time!AD47)*(AD50+AD53-AD54)</f>
        <v/>
      </c>
      <c r="AE58" s="13">
        <f>(1-Time!AE47)*(AE50+AE53-AE54)</f>
        <v/>
      </c>
      <c r="AF58" s="13">
        <f>(1-Time!AF47)*(AF50+AF53-AF54)</f>
        <v/>
      </c>
      <c r="AG58" s="13">
        <f>(1-Time!AG47)*(AG50+AG53-AG54)</f>
        <v/>
      </c>
      <c r="AH58" s="13">
        <f>(1-Time!AH47)*(AH50+AH53-AH54)</f>
        <v/>
      </c>
      <c r="AI58" s="13">
        <f>(1-Time!AI47)*(AI50+AI53-AI54)</f>
        <v/>
      </c>
      <c r="AJ58" s="13">
        <f>(1-Time!AJ47)*(AJ50+AJ53-AJ54)</f>
        <v/>
      </c>
      <c r="AK58" s="13">
        <f>(1-Time!AK47)*(AK50+AK53-AK54)</f>
        <v/>
      </c>
      <c r="AL58" s="13">
        <f>(1-Time!AL47)*(AL50+AL53-AL54)</f>
        <v/>
      </c>
      <c r="AM58" s="13">
        <f>(1-Time!AM47)*(AM50+AM53-AM54)</f>
        <v/>
      </c>
      <c r="AN58" s="13">
        <f>(1-Time!AN47)*(AN50+AN53-AN54)</f>
        <v/>
      </c>
      <c r="AO58" s="13">
        <f>(1-Time!AO47)*(AO50+AO53-AO54)</f>
        <v/>
      </c>
      <c r="AP58" s="13">
        <f>(1-Time!AP47)*(AP50+AP53-AP54)</f>
        <v/>
      </c>
      <c r="AQ58" s="13">
        <f>(1-Time!AQ47)*(AQ50+AQ53-AQ54)</f>
        <v/>
      </c>
      <c r="AR58" s="13">
        <f>(1-Time!AR47)*(AR50+AR53-AR54)</f>
        <v/>
      </c>
      <c r="AS58" s="13">
        <f>(1-Time!AS47)*(AS50+AS53-AS54)</f>
        <v/>
      </c>
      <c r="AT58" s="13">
        <f>(1-Time!AT47)*(AT50+AT53-AT54)</f>
        <v/>
      </c>
      <c r="AU58" s="13">
        <f>(1-Time!AU47)*(AU50+AU53-AU54)</f>
        <v/>
      </c>
      <c r="AV58" s="13">
        <f>(1-Time!AV47)*(AV50+AV53-AV54)</f>
        <v/>
      </c>
      <c r="AW58" s="13">
        <f>(1-Time!AW47)*(AW50+AW53-AW54)</f>
        <v/>
      </c>
      <c r="AX58" s="13">
        <f>(1-Time!AX47)*(AX50+AX53-AX54)</f>
        <v/>
      </c>
      <c r="AY58" s="13">
        <f>(1-Time!AY47)*(AY50+AY53-AY54)</f>
        <v/>
      </c>
      <c r="AZ58" s="13">
        <f>(1-Time!AZ47)*(AZ50+AZ53-AZ54)</f>
        <v/>
      </c>
      <c r="BA58" s="13">
        <f>(1-Time!BA47)*(BA50+BA53-BA54)</f>
        <v/>
      </c>
      <c r="BB58" s="13">
        <f>(1-Time!BB47)*(BB50+BB53-BB54)</f>
        <v/>
      </c>
      <c r="BC58" s="13">
        <f>(1-Time!BC47)*(BC50+BC53-BC54)</f>
        <v/>
      </c>
      <c r="BD58" s="13">
        <f>(1-Time!BD47)*(BD50+BD53-BD54)</f>
        <v/>
      </c>
      <c r="BE58" s="13">
        <f>(1-Time!BE47)*(BE50+BE53-BE54)</f>
        <v/>
      </c>
      <c r="BF58" s="13">
        <f>(1-Time!BF47)*(BF50+BF53-BF54)</f>
        <v/>
      </c>
      <c r="BG58" s="13">
        <f>(1-Time!BG47)*(BG50+BG53-BG54)</f>
        <v/>
      </c>
      <c r="BH58" s="13">
        <f>(1-Time!BH47)*(BH50+BH53-BH54)</f>
        <v/>
      </c>
      <c r="BI58" s="13">
        <f>(1-Time!BI47)*(BI50+BI53-BI54)</f>
        <v/>
      </c>
      <c r="BJ58" s="13">
        <f>(1-Time!BJ47)*(BJ50+BJ53-BJ54)</f>
        <v/>
      </c>
      <c r="BK58" s="13">
        <f>(1-Time!BK47)*(BK50+BK53-BK54)</f>
        <v/>
      </c>
      <c r="BL58" s="13">
        <f>(1-Time!BL47)*(BL50+BL53-BL54)</f>
        <v/>
      </c>
      <c r="BM58" s="13">
        <f>(1-Time!BM47)*(BM50+BM53-BM54)</f>
        <v/>
      </c>
      <c r="BN58" s="13">
        <f>(1-Time!BN47)*(BN50+BN53-BN54)</f>
        <v/>
      </c>
    </row>
    <row r="59">
      <c r="D59" t="inlineStr">
        <is>
          <t>Balance after scheduled payment, LDs and refinancing</t>
        </is>
      </c>
      <c r="E59" t="inlineStr">
        <is>
          <t>USD m</t>
        </is>
      </c>
      <c r="J59" s="13">
        <f>J49-J55-J56-J57</f>
        <v/>
      </c>
      <c r="K59" s="13">
        <f>K49-K55-K56-K57</f>
        <v/>
      </c>
      <c r="L59" s="13">
        <f>L49-L55-L56-L57</f>
        <v/>
      </c>
      <c r="M59" s="13">
        <f>M49-M55-M56-M57</f>
        <v/>
      </c>
      <c r="N59" s="13">
        <f>N49-N55-N56-N57</f>
        <v/>
      </c>
      <c r="O59" s="13">
        <f>O49-O55-O56-O57</f>
        <v/>
      </c>
      <c r="P59" s="13">
        <f>P49-P55-P56-P57</f>
        <v/>
      </c>
      <c r="Q59" s="13">
        <f>Q49-Q55-Q56-Q57</f>
        <v/>
      </c>
      <c r="R59" s="13">
        <f>R49-R55-R56-R57</f>
        <v/>
      </c>
      <c r="S59" s="13">
        <f>S49-S55-S56-S57</f>
        <v/>
      </c>
      <c r="T59" s="13">
        <f>T49-T55-T56-T57</f>
        <v/>
      </c>
      <c r="U59" s="13">
        <f>U49-U55-U56-U57</f>
        <v/>
      </c>
      <c r="V59" s="13">
        <f>V49-V55-V56-V57</f>
        <v/>
      </c>
      <c r="W59" s="13">
        <f>W49-W55-W56-W57</f>
        <v/>
      </c>
      <c r="X59" s="13">
        <f>X49-X55-X56-X57</f>
        <v/>
      </c>
      <c r="Y59" s="13">
        <f>Y49-Y55-Y56-Y57</f>
        <v/>
      </c>
      <c r="Z59" s="13">
        <f>Z49-Z55-Z56-Z57</f>
        <v/>
      </c>
      <c r="AA59" s="13">
        <f>AA49-AA55-AA56-AA57</f>
        <v/>
      </c>
      <c r="AB59" s="13">
        <f>AB49-AB55-AB56-AB57</f>
        <v/>
      </c>
      <c r="AC59" s="13">
        <f>AC49-AC55-AC56-AC57</f>
        <v/>
      </c>
      <c r="AD59" s="13">
        <f>AD49-AD55-AD56-AD57</f>
        <v/>
      </c>
      <c r="AE59" s="13">
        <f>AE49-AE55-AE56-AE57</f>
        <v/>
      </c>
      <c r="AF59" s="13">
        <f>AF49-AF55-AF56-AF57</f>
        <v/>
      </c>
      <c r="AG59" s="13">
        <f>AG49-AG55-AG56-AG57</f>
        <v/>
      </c>
      <c r="AH59" s="13">
        <f>AH49-AH55-AH56-AH57</f>
        <v/>
      </c>
      <c r="AI59" s="13">
        <f>AI49-AI55-AI56-AI57</f>
        <v/>
      </c>
      <c r="AJ59" s="13">
        <f>AJ49-AJ55-AJ56-AJ57</f>
        <v/>
      </c>
      <c r="AK59" s="13">
        <f>AK49-AK55-AK56-AK57</f>
        <v/>
      </c>
      <c r="AL59" s="13">
        <f>AL49-AL55-AL56-AL57</f>
        <v/>
      </c>
      <c r="AM59" s="13">
        <f>AM49-AM55-AM56-AM57</f>
        <v/>
      </c>
      <c r="AN59" s="13">
        <f>AN49-AN55-AN56-AN57</f>
        <v/>
      </c>
      <c r="AO59" s="13">
        <f>AO49-AO55-AO56-AO57</f>
        <v/>
      </c>
      <c r="AP59" s="13">
        <f>AP49-AP55-AP56-AP57</f>
        <v/>
      </c>
      <c r="AQ59" s="13">
        <f>AQ49-AQ55-AQ56-AQ57</f>
        <v/>
      </c>
      <c r="AR59" s="13">
        <f>AR49-AR55-AR56-AR57</f>
        <v/>
      </c>
      <c r="AS59" s="13">
        <f>AS49-AS55-AS56-AS57</f>
        <v/>
      </c>
      <c r="AT59" s="13">
        <f>AT49-AT55-AT56-AT57</f>
        <v/>
      </c>
      <c r="AU59" s="13">
        <f>AU49-AU55-AU56-AU57</f>
        <v/>
      </c>
      <c r="AV59" s="13">
        <f>AV49-AV55-AV56-AV57</f>
        <v/>
      </c>
      <c r="AW59" s="13">
        <f>AW49-AW55-AW56-AW57</f>
        <v/>
      </c>
      <c r="AX59" s="13">
        <f>AX49-AX55-AX56-AX57</f>
        <v/>
      </c>
      <c r="AY59" s="13">
        <f>AY49-AY55-AY56-AY57</f>
        <v/>
      </c>
      <c r="AZ59" s="13">
        <f>AZ49-AZ55-AZ56-AZ57</f>
        <v/>
      </c>
      <c r="BA59" s="13">
        <f>BA49-BA55-BA56-BA57</f>
        <v/>
      </c>
      <c r="BB59" s="13">
        <f>BB49-BB55-BB56-BB57</f>
        <v/>
      </c>
      <c r="BC59" s="13">
        <f>BC49-BC55-BC56-BC57</f>
        <v/>
      </c>
      <c r="BD59" s="13">
        <f>BD49-BD55-BD56-BD57</f>
        <v/>
      </c>
      <c r="BE59" s="13">
        <f>BE49-BE55-BE56-BE57</f>
        <v/>
      </c>
      <c r="BF59" s="13">
        <f>BF49-BF55-BF56-BF57</f>
        <v/>
      </c>
      <c r="BG59" s="13">
        <f>BG49-BG55-BG56-BG57</f>
        <v/>
      </c>
      <c r="BH59" s="13">
        <f>BH49-BH55-BH56-BH57</f>
        <v/>
      </c>
      <c r="BI59" s="13">
        <f>BI49-BI55-BI56-BI57</f>
        <v/>
      </c>
      <c r="BJ59" s="13">
        <f>BJ49-BJ55-BJ56-BJ57</f>
        <v/>
      </c>
      <c r="BK59" s="13">
        <f>BK49-BK55-BK56-BK57</f>
        <v/>
      </c>
      <c r="BL59" s="13">
        <f>BL49-BL55-BL56-BL57</f>
        <v/>
      </c>
      <c r="BM59" s="13">
        <f>BM49-BM55-BM56-BM57</f>
        <v/>
      </c>
      <c r="BN59" s="13">
        <f>BN49-BN55-BN56-BN57</f>
        <v/>
      </c>
    </row>
    <row r="60">
      <c r="D60" t="inlineStr">
        <is>
          <t>Cash sweep prepayment</t>
        </is>
      </c>
      <c r="E60" t="inlineStr">
        <is>
          <t>USD m</t>
        </is>
      </c>
      <c r="G60" s="13">
        <f>SUM(J60:BN60)</f>
        <v/>
      </c>
      <c r="J60" s="13">
        <f>Waterfall!J28*J59/(J31+J45+J59+J73+J87+Inputs!$F$253)</f>
        <v/>
      </c>
      <c r="K60" s="13">
        <f>Waterfall!K28*K59/(K31+K45+K59+K73+K87+Inputs!$F$253)</f>
        <v/>
      </c>
      <c r="L60" s="13">
        <f>Waterfall!L28*L59/(L31+L45+L59+L73+L87+Inputs!$F$253)</f>
        <v/>
      </c>
      <c r="M60" s="13">
        <f>Waterfall!M28*M59/(M31+M45+M59+M73+M87+Inputs!$F$253)</f>
        <v/>
      </c>
      <c r="N60" s="13">
        <f>Waterfall!N28*N59/(N31+N45+N59+N73+N87+Inputs!$F$253)</f>
        <v/>
      </c>
      <c r="O60" s="13">
        <f>Waterfall!O28*O59/(O31+O45+O59+O73+O87+Inputs!$F$253)</f>
        <v/>
      </c>
      <c r="P60" s="13">
        <f>Waterfall!P28*P59/(P31+P45+P59+P73+P87+Inputs!$F$253)</f>
        <v/>
      </c>
      <c r="Q60" s="13">
        <f>Waterfall!Q28*Q59/(Q31+Q45+Q59+Q73+Q87+Inputs!$F$253)</f>
        <v/>
      </c>
      <c r="R60" s="13">
        <f>Waterfall!R28*R59/(R31+R45+R59+R73+R87+Inputs!$F$253)</f>
        <v/>
      </c>
      <c r="S60" s="13">
        <f>Waterfall!S28*S59/(S31+S45+S59+S73+S87+Inputs!$F$253)</f>
        <v/>
      </c>
      <c r="T60" s="13">
        <f>Waterfall!T28*T59/(T31+T45+T59+T73+T87+Inputs!$F$253)</f>
        <v/>
      </c>
      <c r="U60" s="13">
        <f>Waterfall!U28*U59/(U31+U45+U59+U73+U87+Inputs!$F$253)</f>
        <v/>
      </c>
      <c r="V60" s="13">
        <f>Waterfall!V28*V59/(V31+V45+V59+V73+V87+Inputs!$F$253)</f>
        <v/>
      </c>
      <c r="W60" s="13">
        <f>Waterfall!W28*W59/(W31+W45+W59+W73+W87+Inputs!$F$253)</f>
        <v/>
      </c>
      <c r="X60" s="13">
        <f>Waterfall!X28*X59/(X31+X45+X59+X73+X87+Inputs!$F$253)</f>
        <v/>
      </c>
      <c r="Y60" s="13">
        <f>Waterfall!Y28*Y59/(Y31+Y45+Y59+Y73+Y87+Inputs!$F$253)</f>
        <v/>
      </c>
      <c r="Z60" s="13">
        <f>Waterfall!Z28*Z59/(Z31+Z45+Z59+Z73+Z87+Inputs!$F$253)</f>
        <v/>
      </c>
      <c r="AA60" s="13">
        <f>Waterfall!AA28*AA59/(AA31+AA45+AA59+AA73+AA87+Inputs!$F$253)</f>
        <v/>
      </c>
      <c r="AB60" s="13">
        <f>Waterfall!AB28*AB59/(AB31+AB45+AB59+AB73+AB87+Inputs!$F$253)</f>
        <v/>
      </c>
      <c r="AC60" s="13">
        <f>Waterfall!AC28*AC59/(AC31+AC45+AC59+AC73+AC87+Inputs!$F$253)</f>
        <v/>
      </c>
      <c r="AD60" s="13">
        <f>Waterfall!AD28*AD59/(AD31+AD45+AD59+AD73+AD87+Inputs!$F$253)</f>
        <v/>
      </c>
      <c r="AE60" s="13">
        <f>Waterfall!AE28*AE59/(AE31+AE45+AE59+AE73+AE87+Inputs!$F$253)</f>
        <v/>
      </c>
      <c r="AF60" s="13">
        <f>Waterfall!AF28*AF59/(AF31+AF45+AF59+AF73+AF87+Inputs!$F$253)</f>
        <v/>
      </c>
      <c r="AG60" s="13">
        <f>Waterfall!AG28*AG59/(AG31+AG45+AG59+AG73+AG87+Inputs!$F$253)</f>
        <v/>
      </c>
      <c r="AH60" s="13">
        <f>Waterfall!AH28*AH59/(AH31+AH45+AH59+AH73+AH87+Inputs!$F$253)</f>
        <v/>
      </c>
      <c r="AI60" s="13">
        <f>Waterfall!AI28*AI59/(AI31+AI45+AI59+AI73+AI87+Inputs!$F$253)</f>
        <v/>
      </c>
      <c r="AJ60" s="13">
        <f>Waterfall!AJ28*AJ59/(AJ31+AJ45+AJ59+AJ73+AJ87+Inputs!$F$253)</f>
        <v/>
      </c>
      <c r="AK60" s="13">
        <f>Waterfall!AK28*AK59/(AK31+AK45+AK59+AK73+AK87+Inputs!$F$253)</f>
        <v/>
      </c>
      <c r="AL60" s="13">
        <f>Waterfall!AL28*AL59/(AL31+AL45+AL59+AL73+AL87+Inputs!$F$253)</f>
        <v/>
      </c>
      <c r="AM60" s="13">
        <f>Waterfall!AM28*AM59/(AM31+AM45+AM59+AM73+AM87+Inputs!$F$253)</f>
        <v/>
      </c>
      <c r="AN60" s="13">
        <f>Waterfall!AN28*AN59/(AN31+AN45+AN59+AN73+AN87+Inputs!$F$253)</f>
        <v/>
      </c>
      <c r="AO60" s="13">
        <f>Waterfall!AO28*AO59/(AO31+AO45+AO59+AO73+AO87+Inputs!$F$253)</f>
        <v/>
      </c>
      <c r="AP60" s="13">
        <f>Waterfall!AP28*AP59/(AP31+AP45+AP59+AP73+AP87+Inputs!$F$253)</f>
        <v/>
      </c>
      <c r="AQ60" s="13">
        <f>Waterfall!AQ28*AQ59/(AQ31+AQ45+AQ59+AQ73+AQ87+Inputs!$F$253)</f>
        <v/>
      </c>
      <c r="AR60" s="13">
        <f>Waterfall!AR28*AR59/(AR31+AR45+AR59+AR73+AR87+Inputs!$F$253)</f>
        <v/>
      </c>
      <c r="AS60" s="13">
        <f>Waterfall!AS28*AS59/(AS31+AS45+AS59+AS73+AS87+Inputs!$F$253)</f>
        <v/>
      </c>
      <c r="AT60" s="13">
        <f>Waterfall!AT28*AT59/(AT31+AT45+AT59+AT73+AT87+Inputs!$F$253)</f>
        <v/>
      </c>
      <c r="AU60" s="13">
        <f>Waterfall!AU28*AU59/(AU31+AU45+AU59+AU73+AU87+Inputs!$F$253)</f>
        <v/>
      </c>
      <c r="AV60" s="13">
        <f>Waterfall!AV28*AV59/(AV31+AV45+AV59+AV73+AV87+Inputs!$F$253)</f>
        <v/>
      </c>
      <c r="AW60" s="13">
        <f>Waterfall!AW28*AW59/(AW31+AW45+AW59+AW73+AW87+Inputs!$F$253)</f>
        <v/>
      </c>
      <c r="AX60" s="13">
        <f>Waterfall!AX28*AX59/(AX31+AX45+AX59+AX73+AX87+Inputs!$F$253)</f>
        <v/>
      </c>
      <c r="AY60" s="13">
        <f>Waterfall!AY28*AY59/(AY31+AY45+AY59+AY73+AY87+Inputs!$F$253)</f>
        <v/>
      </c>
      <c r="AZ60" s="13">
        <f>Waterfall!AZ28*AZ59/(AZ31+AZ45+AZ59+AZ73+AZ87+Inputs!$F$253)</f>
        <v/>
      </c>
      <c r="BA60" s="13">
        <f>Waterfall!BA28*BA59/(BA31+BA45+BA59+BA73+BA87+Inputs!$F$253)</f>
        <v/>
      </c>
      <c r="BB60" s="13">
        <f>Waterfall!BB28*BB59/(BB31+BB45+BB59+BB73+BB87+Inputs!$F$253)</f>
        <v/>
      </c>
      <c r="BC60" s="13">
        <f>Waterfall!BC28*BC59/(BC31+BC45+BC59+BC73+BC87+Inputs!$F$253)</f>
        <v/>
      </c>
      <c r="BD60" s="13">
        <f>Waterfall!BD28*BD59/(BD31+BD45+BD59+BD73+BD87+Inputs!$F$253)</f>
        <v/>
      </c>
      <c r="BE60" s="13">
        <f>Waterfall!BE28*BE59/(BE31+BE45+BE59+BE73+BE87+Inputs!$F$253)</f>
        <v/>
      </c>
      <c r="BF60" s="13">
        <f>Waterfall!BF28*BF59/(BF31+BF45+BF59+BF73+BF87+Inputs!$F$253)</f>
        <v/>
      </c>
      <c r="BG60" s="13">
        <f>Waterfall!BG28*BG59/(BG31+BG45+BG59+BG73+BG87+Inputs!$F$253)</f>
        <v/>
      </c>
      <c r="BH60" s="13">
        <f>Waterfall!BH28*BH59/(BH31+BH45+BH59+BH73+BH87+Inputs!$F$253)</f>
        <v/>
      </c>
      <c r="BI60" s="13">
        <f>Waterfall!BI28*BI59/(BI31+BI45+BI59+BI73+BI87+Inputs!$F$253)</f>
        <v/>
      </c>
      <c r="BJ60" s="13">
        <f>Waterfall!BJ28*BJ59/(BJ31+BJ45+BJ59+BJ73+BJ87+Inputs!$F$253)</f>
        <v/>
      </c>
      <c r="BK60" s="13">
        <f>Waterfall!BK28*BK59/(BK31+BK45+BK59+BK73+BK87+Inputs!$F$253)</f>
        <v/>
      </c>
      <c r="BL60" s="13">
        <f>Waterfall!BL28*BL59/(BL31+BL45+BL59+BL73+BL87+Inputs!$F$253)</f>
        <v/>
      </c>
      <c r="BM60" s="13">
        <f>Waterfall!BM28*BM59/(BM31+BM45+BM59+BM73+BM87+Inputs!$F$253)</f>
        <v/>
      </c>
      <c r="BN60" s="13">
        <f>Waterfall!BN28*BN59/(BN31+BN45+BN59+BN73+BN87+Inputs!$F$253)</f>
        <v/>
      </c>
    </row>
    <row r="61">
      <c r="D61" t="inlineStr">
        <is>
          <t>Closing balance</t>
        </is>
      </c>
      <c r="E61" t="inlineStr">
        <is>
          <t>USD m</t>
        </is>
      </c>
      <c r="J61" s="13">
        <f>IF(Time!J34=1,INDEX(Funding!$J$63:$BJ$63,1,Time!$F$14),Time!J35*(J59-J60))</f>
        <v/>
      </c>
      <c r="K61" s="13">
        <f>IF(Time!K34=1,INDEX(Funding!$J$63:$BJ$63,1,Time!$F$14),Time!K35*(K59-K60))</f>
        <v/>
      </c>
      <c r="L61" s="13">
        <f>IF(Time!L34=1,INDEX(Funding!$J$63:$BJ$63,1,Time!$F$14),Time!L35*(L59-L60))</f>
        <v/>
      </c>
      <c r="M61" s="13">
        <f>IF(Time!M34=1,INDEX(Funding!$J$63:$BJ$63,1,Time!$F$14),Time!M35*(M59-M60))</f>
        <v/>
      </c>
      <c r="N61" s="13">
        <f>IF(Time!N34=1,INDEX(Funding!$J$63:$BJ$63,1,Time!$F$14),Time!N35*(N59-N60))</f>
        <v/>
      </c>
      <c r="O61" s="13">
        <f>IF(Time!O34=1,INDEX(Funding!$J$63:$BJ$63,1,Time!$F$14),Time!O35*(O59-O60))</f>
        <v/>
      </c>
      <c r="P61" s="13">
        <f>IF(Time!P34=1,INDEX(Funding!$J$63:$BJ$63,1,Time!$F$14),Time!P35*(P59-P60))</f>
        <v/>
      </c>
      <c r="Q61" s="13">
        <f>IF(Time!Q34=1,INDEX(Funding!$J$63:$BJ$63,1,Time!$F$14),Time!Q35*(Q59-Q60))</f>
        <v/>
      </c>
      <c r="R61" s="13">
        <f>IF(Time!R34=1,INDEX(Funding!$J$63:$BJ$63,1,Time!$F$14),Time!R35*(R59-R60))</f>
        <v/>
      </c>
      <c r="S61" s="13">
        <f>IF(Time!S34=1,INDEX(Funding!$J$63:$BJ$63,1,Time!$F$14),Time!S35*(S59-S60))</f>
        <v/>
      </c>
      <c r="T61" s="13">
        <f>IF(Time!T34=1,INDEX(Funding!$J$63:$BJ$63,1,Time!$F$14),Time!T35*(T59-T60))</f>
        <v/>
      </c>
      <c r="U61" s="13">
        <f>IF(Time!U34=1,INDEX(Funding!$J$63:$BJ$63,1,Time!$F$14),Time!U35*(U59-U60))</f>
        <v/>
      </c>
      <c r="V61" s="13">
        <f>IF(Time!V34=1,INDEX(Funding!$J$63:$BJ$63,1,Time!$F$14),Time!V35*(V59-V60))</f>
        <v/>
      </c>
      <c r="W61" s="13">
        <f>IF(Time!W34=1,INDEX(Funding!$J$63:$BJ$63,1,Time!$F$14),Time!W35*(W59-W60))</f>
        <v/>
      </c>
      <c r="X61" s="13">
        <f>IF(Time!X34=1,INDEX(Funding!$J$63:$BJ$63,1,Time!$F$14),Time!X35*(X59-X60))</f>
        <v/>
      </c>
      <c r="Y61" s="13">
        <f>IF(Time!Y34=1,INDEX(Funding!$J$63:$BJ$63,1,Time!$F$14),Time!Y35*(Y59-Y60))</f>
        <v/>
      </c>
      <c r="Z61" s="13">
        <f>IF(Time!Z34=1,INDEX(Funding!$J$63:$BJ$63,1,Time!$F$14),Time!Z35*(Z59-Z60))</f>
        <v/>
      </c>
      <c r="AA61" s="13">
        <f>IF(Time!AA34=1,INDEX(Funding!$J$63:$BJ$63,1,Time!$F$14),Time!AA35*(AA59-AA60))</f>
        <v/>
      </c>
      <c r="AB61" s="13">
        <f>IF(Time!AB34=1,INDEX(Funding!$J$63:$BJ$63,1,Time!$F$14),Time!AB35*(AB59-AB60))</f>
        <v/>
      </c>
      <c r="AC61" s="13">
        <f>IF(Time!AC34=1,INDEX(Funding!$J$63:$BJ$63,1,Time!$F$14),Time!AC35*(AC59-AC60))</f>
        <v/>
      </c>
      <c r="AD61" s="13">
        <f>IF(Time!AD34=1,INDEX(Funding!$J$63:$BJ$63,1,Time!$F$14),Time!AD35*(AD59-AD60))</f>
        <v/>
      </c>
      <c r="AE61" s="13">
        <f>IF(Time!AE34=1,INDEX(Funding!$J$63:$BJ$63,1,Time!$F$14),Time!AE35*(AE59-AE60))</f>
        <v/>
      </c>
      <c r="AF61" s="13">
        <f>IF(Time!AF34=1,INDEX(Funding!$J$63:$BJ$63,1,Time!$F$14),Time!AF35*(AF59-AF60))</f>
        <v/>
      </c>
      <c r="AG61" s="13">
        <f>IF(Time!AG34=1,INDEX(Funding!$J$63:$BJ$63,1,Time!$F$14),Time!AG35*(AG59-AG60))</f>
        <v/>
      </c>
      <c r="AH61" s="13">
        <f>IF(Time!AH34=1,INDEX(Funding!$J$63:$BJ$63,1,Time!$F$14),Time!AH35*(AH59-AH60))</f>
        <v/>
      </c>
      <c r="AI61" s="13">
        <f>IF(Time!AI34=1,INDEX(Funding!$J$63:$BJ$63,1,Time!$F$14),Time!AI35*(AI59-AI60))</f>
        <v/>
      </c>
      <c r="AJ61" s="13">
        <f>IF(Time!AJ34=1,INDEX(Funding!$J$63:$BJ$63,1,Time!$F$14),Time!AJ35*(AJ59-AJ60))</f>
        <v/>
      </c>
      <c r="AK61" s="13">
        <f>IF(Time!AK34=1,INDEX(Funding!$J$63:$BJ$63,1,Time!$F$14),Time!AK35*(AK59-AK60))</f>
        <v/>
      </c>
      <c r="AL61" s="13">
        <f>IF(Time!AL34=1,INDEX(Funding!$J$63:$BJ$63,1,Time!$F$14),Time!AL35*(AL59-AL60))</f>
        <v/>
      </c>
      <c r="AM61" s="13">
        <f>IF(Time!AM34=1,INDEX(Funding!$J$63:$BJ$63,1,Time!$F$14),Time!AM35*(AM59-AM60))</f>
        <v/>
      </c>
      <c r="AN61" s="13">
        <f>IF(Time!AN34=1,INDEX(Funding!$J$63:$BJ$63,1,Time!$F$14),Time!AN35*(AN59-AN60))</f>
        <v/>
      </c>
      <c r="AO61" s="13">
        <f>IF(Time!AO34=1,INDEX(Funding!$J$63:$BJ$63,1,Time!$F$14),Time!AO35*(AO59-AO60))</f>
        <v/>
      </c>
      <c r="AP61" s="13">
        <f>IF(Time!AP34=1,INDEX(Funding!$J$63:$BJ$63,1,Time!$F$14),Time!AP35*(AP59-AP60))</f>
        <v/>
      </c>
      <c r="AQ61" s="13">
        <f>IF(Time!AQ34=1,INDEX(Funding!$J$63:$BJ$63,1,Time!$F$14),Time!AQ35*(AQ59-AQ60))</f>
        <v/>
      </c>
      <c r="AR61" s="13">
        <f>IF(Time!AR34=1,INDEX(Funding!$J$63:$BJ$63,1,Time!$F$14),Time!AR35*(AR59-AR60))</f>
        <v/>
      </c>
      <c r="AS61" s="13">
        <f>IF(Time!AS34=1,INDEX(Funding!$J$63:$BJ$63,1,Time!$F$14),Time!AS35*(AS59-AS60))</f>
        <v/>
      </c>
      <c r="AT61" s="13">
        <f>IF(Time!AT34=1,INDEX(Funding!$J$63:$BJ$63,1,Time!$F$14),Time!AT35*(AT59-AT60))</f>
        <v/>
      </c>
      <c r="AU61" s="13">
        <f>IF(Time!AU34=1,INDEX(Funding!$J$63:$BJ$63,1,Time!$F$14),Time!AU35*(AU59-AU60))</f>
        <v/>
      </c>
      <c r="AV61" s="13">
        <f>IF(Time!AV34=1,INDEX(Funding!$J$63:$BJ$63,1,Time!$F$14),Time!AV35*(AV59-AV60))</f>
        <v/>
      </c>
      <c r="AW61" s="13">
        <f>IF(Time!AW34=1,INDEX(Funding!$J$63:$BJ$63,1,Time!$F$14),Time!AW35*(AW59-AW60))</f>
        <v/>
      </c>
      <c r="AX61" s="13">
        <f>IF(Time!AX34=1,INDEX(Funding!$J$63:$BJ$63,1,Time!$F$14),Time!AX35*(AX59-AX60))</f>
        <v/>
      </c>
      <c r="AY61" s="13">
        <f>IF(Time!AY34=1,INDEX(Funding!$J$63:$BJ$63,1,Time!$F$14),Time!AY35*(AY59-AY60))</f>
        <v/>
      </c>
      <c r="AZ61" s="13">
        <f>IF(Time!AZ34=1,INDEX(Funding!$J$63:$BJ$63,1,Time!$F$14),Time!AZ35*(AZ59-AZ60))</f>
        <v/>
      </c>
      <c r="BA61" s="13">
        <f>IF(Time!BA34=1,INDEX(Funding!$J$63:$BJ$63,1,Time!$F$14),Time!BA35*(BA59-BA60))</f>
        <v/>
      </c>
      <c r="BB61" s="13">
        <f>IF(Time!BB34=1,INDEX(Funding!$J$63:$BJ$63,1,Time!$F$14),Time!BB35*(BB59-BB60))</f>
        <v/>
      </c>
      <c r="BC61" s="13">
        <f>IF(Time!BC34=1,INDEX(Funding!$J$63:$BJ$63,1,Time!$F$14),Time!BC35*(BC59-BC60))</f>
        <v/>
      </c>
      <c r="BD61" s="13">
        <f>IF(Time!BD34=1,INDEX(Funding!$J$63:$BJ$63,1,Time!$F$14),Time!BD35*(BD59-BD60))</f>
        <v/>
      </c>
      <c r="BE61" s="13">
        <f>IF(Time!BE34=1,INDEX(Funding!$J$63:$BJ$63,1,Time!$F$14),Time!BE35*(BE59-BE60))</f>
        <v/>
      </c>
      <c r="BF61" s="13">
        <f>IF(Time!BF34=1,INDEX(Funding!$J$63:$BJ$63,1,Time!$F$14),Time!BF35*(BF59-BF60))</f>
        <v/>
      </c>
      <c r="BG61" s="13">
        <f>IF(Time!BG34=1,INDEX(Funding!$J$63:$BJ$63,1,Time!$F$14),Time!BG35*(BG59-BG60))</f>
        <v/>
      </c>
      <c r="BH61" s="13">
        <f>IF(Time!BH34=1,INDEX(Funding!$J$63:$BJ$63,1,Time!$F$14),Time!BH35*(BH59-BH60))</f>
        <v/>
      </c>
      <c r="BI61" s="13">
        <f>IF(Time!BI34=1,INDEX(Funding!$J$63:$BJ$63,1,Time!$F$14),Time!BI35*(BI59-BI60))</f>
        <v/>
      </c>
      <c r="BJ61" s="13">
        <f>IF(Time!BJ34=1,INDEX(Funding!$J$63:$BJ$63,1,Time!$F$14),Time!BJ35*(BJ59-BJ60))</f>
        <v/>
      </c>
      <c r="BK61" s="13">
        <f>IF(Time!BK34=1,INDEX(Funding!$J$63:$BJ$63,1,Time!$F$14),Time!BK35*(BK59-BK60))</f>
        <v/>
      </c>
      <c r="BL61" s="13">
        <f>IF(Time!BL34=1,INDEX(Funding!$J$63:$BJ$63,1,Time!$F$14),Time!BL35*(BL59-BL60))</f>
        <v/>
      </c>
      <c r="BM61" s="13">
        <f>IF(Time!BM34=1,INDEX(Funding!$J$63:$BJ$63,1,Time!$F$14),Time!BM35*(BM59-BM60))</f>
        <v/>
      </c>
      <c r="BN61" s="13">
        <f>IF(Time!BN34=1,INDEX(Funding!$J$63:$BJ$63,1,Time!$F$14),Time!BN35*(BN59-BN60))</f>
        <v/>
      </c>
    </row>
    <row r="62">
      <c r="B62" s="2" t="inlineStr">
        <is>
          <t>Commercial tranche</t>
        </is>
      </c>
    </row>
    <row r="63">
      <c r="D63" t="inlineStr">
        <is>
          <t>Opening balance</t>
        </is>
      </c>
      <c r="E63" t="inlineStr">
        <is>
          <t>USD m</t>
        </is>
      </c>
      <c r="J63" s="13">
        <f>Time!J35*I75</f>
        <v/>
      </c>
      <c r="K63" s="13">
        <f>Time!K35*J75</f>
        <v/>
      </c>
      <c r="L63" s="13">
        <f>Time!L35*K75</f>
        <v/>
      </c>
      <c r="M63" s="13">
        <f>Time!M35*L75</f>
        <v/>
      </c>
      <c r="N63" s="13">
        <f>Time!N35*M75</f>
        <v/>
      </c>
      <c r="O63" s="13">
        <f>Time!O35*N75</f>
        <v/>
      </c>
      <c r="P63" s="13">
        <f>Time!P35*O75</f>
        <v/>
      </c>
      <c r="Q63" s="13">
        <f>Time!Q35*P75</f>
        <v/>
      </c>
      <c r="R63" s="13">
        <f>Time!R35*Q75</f>
        <v/>
      </c>
      <c r="S63" s="13">
        <f>Time!S35*R75</f>
        <v/>
      </c>
      <c r="T63" s="13">
        <f>Time!T35*S75</f>
        <v/>
      </c>
      <c r="U63" s="13">
        <f>Time!U35*T75</f>
        <v/>
      </c>
      <c r="V63" s="13">
        <f>Time!V35*U75</f>
        <v/>
      </c>
      <c r="W63" s="13">
        <f>Time!W35*V75</f>
        <v/>
      </c>
      <c r="X63" s="13">
        <f>Time!X35*W75</f>
        <v/>
      </c>
      <c r="Y63" s="13">
        <f>Time!Y35*X75</f>
        <v/>
      </c>
      <c r="Z63" s="13">
        <f>Time!Z35*Y75</f>
        <v/>
      </c>
      <c r="AA63" s="13">
        <f>Time!AA35*Z75</f>
        <v/>
      </c>
      <c r="AB63" s="13">
        <f>Time!AB35*AA75</f>
        <v/>
      </c>
      <c r="AC63" s="13">
        <f>Time!AC35*AB75</f>
        <v/>
      </c>
      <c r="AD63" s="13">
        <f>Time!AD35*AC75</f>
        <v/>
      </c>
      <c r="AE63" s="13">
        <f>Time!AE35*AD75</f>
        <v/>
      </c>
      <c r="AF63" s="13">
        <f>Time!AF35*AE75</f>
        <v/>
      </c>
      <c r="AG63" s="13">
        <f>Time!AG35*AF75</f>
        <v/>
      </c>
      <c r="AH63" s="13">
        <f>Time!AH35*AG75</f>
        <v/>
      </c>
      <c r="AI63" s="13">
        <f>Time!AI35*AH75</f>
        <v/>
      </c>
      <c r="AJ63" s="13">
        <f>Time!AJ35*AI75</f>
        <v/>
      </c>
      <c r="AK63" s="13">
        <f>Time!AK35*AJ75</f>
        <v/>
      </c>
      <c r="AL63" s="13">
        <f>Time!AL35*AK75</f>
        <v/>
      </c>
      <c r="AM63" s="13">
        <f>Time!AM35*AL75</f>
        <v/>
      </c>
      <c r="AN63" s="13">
        <f>Time!AN35*AM75</f>
        <v/>
      </c>
      <c r="AO63" s="13">
        <f>Time!AO35*AN75</f>
        <v/>
      </c>
      <c r="AP63" s="13">
        <f>Time!AP35*AO75</f>
        <v/>
      </c>
      <c r="AQ63" s="13">
        <f>Time!AQ35*AP75</f>
        <v/>
      </c>
      <c r="AR63" s="13">
        <f>Time!AR35*AQ75</f>
        <v/>
      </c>
      <c r="AS63" s="13">
        <f>Time!AS35*AR75</f>
        <v/>
      </c>
      <c r="AT63" s="13">
        <f>Time!AT35*AS75</f>
        <v/>
      </c>
      <c r="AU63" s="13">
        <f>Time!AU35*AT75</f>
        <v/>
      </c>
      <c r="AV63" s="13">
        <f>Time!AV35*AU75</f>
        <v/>
      </c>
      <c r="AW63" s="13">
        <f>Time!AW35*AV75</f>
        <v/>
      </c>
      <c r="AX63" s="13">
        <f>Time!AX35*AW75</f>
        <v/>
      </c>
      <c r="AY63" s="13">
        <f>Time!AY35*AX75</f>
        <v/>
      </c>
      <c r="AZ63" s="13">
        <f>Time!AZ35*AY75</f>
        <v/>
      </c>
      <c r="BA63" s="13">
        <f>Time!BA35*AZ75</f>
        <v/>
      </c>
      <c r="BB63" s="13">
        <f>Time!BB35*BA75</f>
        <v/>
      </c>
      <c r="BC63" s="13">
        <f>Time!BC35*BB75</f>
        <v/>
      </c>
      <c r="BD63" s="13">
        <f>Time!BD35*BC75</f>
        <v/>
      </c>
      <c r="BE63" s="13">
        <f>Time!BE35*BD75</f>
        <v/>
      </c>
      <c r="BF63" s="13">
        <f>Time!BF35*BE75</f>
        <v/>
      </c>
      <c r="BG63" s="13">
        <f>Time!BG35*BF75</f>
        <v/>
      </c>
      <c r="BH63" s="13">
        <f>Time!BH35*BG75</f>
        <v/>
      </c>
      <c r="BI63" s="13">
        <f>Time!BI35*BH75</f>
        <v/>
      </c>
      <c r="BJ63" s="13">
        <f>Time!BJ35*BI75</f>
        <v/>
      </c>
      <c r="BK63" s="13">
        <f>Time!BK35*BJ75</f>
        <v/>
      </c>
      <c r="BL63" s="13">
        <f>Time!BL35*BK75</f>
        <v/>
      </c>
      <c r="BM63" s="13">
        <f>Time!BM35*BL75</f>
        <v/>
      </c>
      <c r="BN63" s="13">
        <f>Time!BN35*BM75</f>
        <v/>
      </c>
    </row>
    <row r="64">
      <c r="D64" t="inlineStr">
        <is>
          <t>Deferred principal, opening</t>
        </is>
      </c>
      <c r="E64" t="inlineStr">
        <is>
          <t>USD m</t>
        </is>
      </c>
      <c r="J64" s="13">
        <f>I72</f>
        <v/>
      </c>
      <c r="K64" s="13">
        <f>J72</f>
        <v/>
      </c>
      <c r="L64" s="13">
        <f>K72</f>
        <v/>
      </c>
      <c r="M64" s="13">
        <f>L72</f>
        <v/>
      </c>
      <c r="N64" s="13">
        <f>M72</f>
        <v/>
      </c>
      <c r="O64" s="13">
        <f>N72</f>
        <v/>
      </c>
      <c r="P64" s="13">
        <f>O72</f>
        <v/>
      </c>
      <c r="Q64" s="13">
        <f>P72</f>
        <v/>
      </c>
      <c r="R64" s="13">
        <f>Q72</f>
        <v/>
      </c>
      <c r="S64" s="13">
        <f>R72</f>
        <v/>
      </c>
      <c r="T64" s="13">
        <f>S72</f>
        <v/>
      </c>
      <c r="U64" s="13">
        <f>T72</f>
        <v/>
      </c>
      <c r="V64" s="13">
        <f>U72</f>
        <v/>
      </c>
      <c r="W64" s="13">
        <f>V72</f>
        <v/>
      </c>
      <c r="X64" s="13">
        <f>W72</f>
        <v/>
      </c>
      <c r="Y64" s="13">
        <f>X72</f>
        <v/>
      </c>
      <c r="Z64" s="13">
        <f>Y72</f>
        <v/>
      </c>
      <c r="AA64" s="13">
        <f>Z72</f>
        <v/>
      </c>
      <c r="AB64" s="13">
        <f>AA72</f>
        <v/>
      </c>
      <c r="AC64" s="13">
        <f>AB72</f>
        <v/>
      </c>
      <c r="AD64" s="13">
        <f>AC72</f>
        <v/>
      </c>
      <c r="AE64" s="13">
        <f>AD72</f>
        <v/>
      </c>
      <c r="AF64" s="13">
        <f>AE72</f>
        <v/>
      </c>
      <c r="AG64" s="13">
        <f>AF72</f>
        <v/>
      </c>
      <c r="AH64" s="13">
        <f>AG72</f>
        <v/>
      </c>
      <c r="AI64" s="13">
        <f>AH72</f>
        <v/>
      </c>
      <c r="AJ64" s="13">
        <f>AI72</f>
        <v/>
      </c>
      <c r="AK64" s="13">
        <f>AJ72</f>
        <v/>
      </c>
      <c r="AL64" s="13">
        <f>AK72</f>
        <v/>
      </c>
      <c r="AM64" s="13">
        <f>AL72</f>
        <v/>
      </c>
      <c r="AN64" s="13">
        <f>AM72</f>
        <v/>
      </c>
      <c r="AO64" s="13">
        <f>AN72</f>
        <v/>
      </c>
      <c r="AP64" s="13">
        <f>AO72</f>
        <v/>
      </c>
      <c r="AQ64" s="13">
        <f>AP72</f>
        <v/>
      </c>
      <c r="AR64" s="13">
        <f>AQ72</f>
        <v/>
      </c>
      <c r="AS64" s="13">
        <f>AR72</f>
        <v/>
      </c>
      <c r="AT64" s="13">
        <f>AS72</f>
        <v/>
      </c>
      <c r="AU64" s="13">
        <f>AT72</f>
        <v/>
      </c>
      <c r="AV64" s="13">
        <f>AU72</f>
        <v/>
      </c>
      <c r="AW64" s="13">
        <f>AV72</f>
        <v/>
      </c>
      <c r="AX64" s="13">
        <f>AW72</f>
        <v/>
      </c>
      <c r="AY64" s="13">
        <f>AX72</f>
        <v/>
      </c>
      <c r="AZ64" s="13">
        <f>AY72</f>
        <v/>
      </c>
      <c r="BA64" s="13">
        <f>AZ72</f>
        <v/>
      </c>
      <c r="BB64" s="13">
        <f>BA72</f>
        <v/>
      </c>
      <c r="BC64" s="13">
        <f>BB72</f>
        <v/>
      </c>
      <c r="BD64" s="13">
        <f>BC72</f>
        <v/>
      </c>
      <c r="BE64" s="13">
        <f>BD72</f>
        <v/>
      </c>
      <c r="BF64" s="13">
        <f>BE72</f>
        <v/>
      </c>
      <c r="BG64" s="13">
        <f>BF72</f>
        <v/>
      </c>
      <c r="BH64" s="13">
        <f>BG72</f>
        <v/>
      </c>
      <c r="BI64" s="13">
        <f>BH72</f>
        <v/>
      </c>
      <c r="BJ64" s="13">
        <f>BI72</f>
        <v/>
      </c>
      <c r="BK64" s="13">
        <f>BJ72</f>
        <v/>
      </c>
      <c r="BL64" s="13">
        <f>BK72</f>
        <v/>
      </c>
      <c r="BM64" s="13">
        <f>BL72</f>
        <v/>
      </c>
      <c r="BN64" s="13">
        <f>BM72</f>
        <v/>
      </c>
    </row>
    <row r="65">
      <c r="D65" t="inlineStr">
        <is>
          <t>Interest (incl. WHT gross-up where applicable)</t>
        </is>
      </c>
      <c r="E65" t="inlineStr">
        <is>
          <t>USD m</t>
        </is>
      </c>
      <c r="G65" s="13">
        <f>SUM(J65:BN65)</f>
        <v/>
      </c>
      <c r="J65" s="13">
        <f>J63*J13</f>
        <v/>
      </c>
      <c r="K65" s="13">
        <f>K63*K13</f>
        <v/>
      </c>
      <c r="L65" s="13">
        <f>L63*L13</f>
        <v/>
      </c>
      <c r="M65" s="13">
        <f>M63*M13</f>
        <v/>
      </c>
      <c r="N65" s="13">
        <f>N63*N13</f>
        <v/>
      </c>
      <c r="O65" s="13">
        <f>O63*O13</f>
        <v/>
      </c>
      <c r="P65" s="13">
        <f>P63*P13</f>
        <v/>
      </c>
      <c r="Q65" s="13">
        <f>Q63*Q13</f>
        <v/>
      </c>
      <c r="R65" s="13">
        <f>R63*R13</f>
        <v/>
      </c>
      <c r="S65" s="13">
        <f>S63*S13</f>
        <v/>
      </c>
      <c r="T65" s="13">
        <f>T63*T13</f>
        <v/>
      </c>
      <c r="U65" s="13">
        <f>U63*U13</f>
        <v/>
      </c>
      <c r="V65" s="13">
        <f>V63*V13</f>
        <v/>
      </c>
      <c r="W65" s="13">
        <f>W63*W13</f>
        <v/>
      </c>
      <c r="X65" s="13">
        <f>X63*X13</f>
        <v/>
      </c>
      <c r="Y65" s="13">
        <f>Y63*Y13</f>
        <v/>
      </c>
      <c r="Z65" s="13">
        <f>Z63*Z13</f>
        <v/>
      </c>
      <c r="AA65" s="13">
        <f>AA63*AA13</f>
        <v/>
      </c>
      <c r="AB65" s="13">
        <f>AB63*AB13</f>
        <v/>
      </c>
      <c r="AC65" s="13">
        <f>AC63*AC13</f>
        <v/>
      </c>
      <c r="AD65" s="13">
        <f>AD63*AD13</f>
        <v/>
      </c>
      <c r="AE65" s="13">
        <f>AE63*AE13</f>
        <v/>
      </c>
      <c r="AF65" s="13">
        <f>AF63*AF13</f>
        <v/>
      </c>
      <c r="AG65" s="13">
        <f>AG63*AG13</f>
        <v/>
      </c>
      <c r="AH65" s="13">
        <f>AH63*AH13</f>
        <v/>
      </c>
      <c r="AI65" s="13">
        <f>AI63*AI13</f>
        <v/>
      </c>
      <c r="AJ65" s="13">
        <f>AJ63*AJ13</f>
        <v/>
      </c>
      <c r="AK65" s="13">
        <f>AK63*AK13</f>
        <v/>
      </c>
      <c r="AL65" s="13">
        <f>AL63*AL13</f>
        <v/>
      </c>
      <c r="AM65" s="13">
        <f>AM63*AM13</f>
        <v/>
      </c>
      <c r="AN65" s="13">
        <f>AN63*AN13</f>
        <v/>
      </c>
      <c r="AO65" s="13">
        <f>AO63*AO13</f>
        <v/>
      </c>
      <c r="AP65" s="13">
        <f>AP63*AP13</f>
        <v/>
      </c>
      <c r="AQ65" s="13">
        <f>AQ63*AQ13</f>
        <v/>
      </c>
      <c r="AR65" s="13">
        <f>AR63*AR13</f>
        <v/>
      </c>
      <c r="AS65" s="13">
        <f>AS63*AS13</f>
        <v/>
      </c>
      <c r="AT65" s="13">
        <f>AT63*AT13</f>
        <v/>
      </c>
      <c r="AU65" s="13">
        <f>AU63*AU13</f>
        <v/>
      </c>
      <c r="AV65" s="13">
        <f>AV63*AV13</f>
        <v/>
      </c>
      <c r="AW65" s="13">
        <f>AW63*AW13</f>
        <v/>
      </c>
      <c r="AX65" s="13">
        <f>AX63*AX13</f>
        <v/>
      </c>
      <c r="AY65" s="13">
        <f>AY63*AY13</f>
        <v/>
      </c>
      <c r="AZ65" s="13">
        <f>AZ63*AZ13</f>
        <v/>
      </c>
      <c r="BA65" s="13">
        <f>BA63*BA13</f>
        <v/>
      </c>
      <c r="BB65" s="13">
        <f>BB63*BB13</f>
        <v/>
      </c>
      <c r="BC65" s="13">
        <f>BC63*BC13</f>
        <v/>
      </c>
      <c r="BD65" s="13">
        <f>BD63*BD13</f>
        <v/>
      </c>
      <c r="BE65" s="13">
        <f>BE63*BE13</f>
        <v/>
      </c>
      <c r="BF65" s="13">
        <f>BF63*BF13</f>
        <v/>
      </c>
      <c r="BG65" s="13">
        <f>BG63*BG13</f>
        <v/>
      </c>
      <c r="BH65" s="13">
        <f>BH63*BH13</f>
        <v/>
      </c>
      <c r="BI65" s="13">
        <f>BI63*BI13</f>
        <v/>
      </c>
      <c r="BJ65" s="13">
        <f>BJ63*BJ13</f>
        <v/>
      </c>
      <c r="BK65" s="13">
        <f>BK63*BK13</f>
        <v/>
      </c>
      <c r="BL65" s="13">
        <f>BL63*BL13</f>
        <v/>
      </c>
      <c r="BM65" s="13">
        <f>BM63*BM13</f>
        <v/>
      </c>
      <c r="BN65" s="13">
        <f>BN63*BN13</f>
        <v/>
      </c>
    </row>
    <row r="66">
      <c r="D66" t="inlineStr">
        <is>
          <t>Scheduled principal per profile</t>
        </is>
      </c>
      <c r="E66" t="inlineStr">
        <is>
          <t>USD m</t>
        </is>
      </c>
      <c r="G66" s="13">
        <f>SUM(J66:BN66)</f>
        <v/>
      </c>
      <c r="J66" s="13">
        <f>Time!J35*(J63-J64)*J19</f>
        <v/>
      </c>
      <c r="K66" s="13">
        <f>Time!K35*(K63-K64)*K19</f>
        <v/>
      </c>
      <c r="L66" s="13">
        <f>Time!L35*(L63-L64)*L19</f>
        <v/>
      </c>
      <c r="M66" s="13">
        <f>Time!M35*(M63-M64)*M19</f>
        <v/>
      </c>
      <c r="N66" s="13">
        <f>Time!N35*(N63-N64)*N19</f>
        <v/>
      </c>
      <c r="O66" s="13">
        <f>Time!O35*(O63-O64)*O19</f>
        <v/>
      </c>
      <c r="P66" s="13">
        <f>Time!P35*(P63-P64)*P19</f>
        <v/>
      </c>
      <c r="Q66" s="13">
        <f>Time!Q35*(Q63-Q64)*Q19</f>
        <v/>
      </c>
      <c r="R66" s="13">
        <f>Time!R35*(R63-R64)*R19</f>
        <v/>
      </c>
      <c r="S66" s="13">
        <f>Time!S35*(S63-S64)*S19</f>
        <v/>
      </c>
      <c r="T66" s="13">
        <f>Time!T35*(T63-T64)*T19</f>
        <v/>
      </c>
      <c r="U66" s="13">
        <f>Time!U35*(U63-U64)*U19</f>
        <v/>
      </c>
      <c r="V66" s="13">
        <f>Time!V35*(V63-V64)*V19</f>
        <v/>
      </c>
      <c r="W66" s="13">
        <f>Time!W35*(W63-W64)*W19</f>
        <v/>
      </c>
      <c r="X66" s="13">
        <f>Time!X35*(X63-X64)*X19</f>
        <v/>
      </c>
      <c r="Y66" s="13">
        <f>Time!Y35*(Y63-Y64)*Y19</f>
        <v/>
      </c>
      <c r="Z66" s="13">
        <f>Time!Z35*(Z63-Z64)*Z19</f>
        <v/>
      </c>
      <c r="AA66" s="13">
        <f>Time!AA35*(AA63-AA64)*AA19</f>
        <v/>
      </c>
      <c r="AB66" s="13">
        <f>Time!AB35*(AB63-AB64)*AB19</f>
        <v/>
      </c>
      <c r="AC66" s="13">
        <f>Time!AC35*(AC63-AC64)*AC19</f>
        <v/>
      </c>
      <c r="AD66" s="13">
        <f>Time!AD35*(AD63-AD64)*AD19</f>
        <v/>
      </c>
      <c r="AE66" s="13">
        <f>Time!AE35*(AE63-AE64)*AE19</f>
        <v/>
      </c>
      <c r="AF66" s="13">
        <f>Time!AF35*(AF63-AF64)*AF19</f>
        <v/>
      </c>
      <c r="AG66" s="13">
        <f>Time!AG35*(AG63-AG64)*AG19</f>
        <v/>
      </c>
      <c r="AH66" s="13">
        <f>Time!AH35*(AH63-AH64)*AH19</f>
        <v/>
      </c>
      <c r="AI66" s="13">
        <f>Time!AI35*(AI63-AI64)*AI19</f>
        <v/>
      </c>
      <c r="AJ66" s="13">
        <f>Time!AJ35*(AJ63-AJ64)*AJ19</f>
        <v/>
      </c>
      <c r="AK66" s="13">
        <f>Time!AK35*(AK63-AK64)*AK19</f>
        <v/>
      </c>
      <c r="AL66" s="13">
        <f>Time!AL35*(AL63-AL64)*AL19</f>
        <v/>
      </c>
      <c r="AM66" s="13">
        <f>Time!AM35*(AM63-AM64)*AM19</f>
        <v/>
      </c>
      <c r="AN66" s="13">
        <f>Time!AN35*(AN63-AN64)*AN19</f>
        <v/>
      </c>
      <c r="AO66" s="13">
        <f>Time!AO35*(AO63-AO64)*AO19</f>
        <v/>
      </c>
      <c r="AP66" s="13">
        <f>Time!AP35*(AP63-AP64)*AP19</f>
        <v/>
      </c>
      <c r="AQ66" s="13">
        <f>Time!AQ35*(AQ63-AQ64)*AQ19</f>
        <v/>
      </c>
      <c r="AR66" s="13">
        <f>Time!AR35*(AR63-AR64)*AR19</f>
        <v/>
      </c>
      <c r="AS66" s="13">
        <f>Time!AS35*(AS63-AS64)*AS19</f>
        <v/>
      </c>
      <c r="AT66" s="13">
        <f>Time!AT35*(AT63-AT64)*AT19</f>
        <v/>
      </c>
      <c r="AU66" s="13">
        <f>Time!AU35*(AU63-AU64)*AU19</f>
        <v/>
      </c>
      <c r="AV66" s="13">
        <f>Time!AV35*(AV63-AV64)*AV19</f>
        <v/>
      </c>
      <c r="AW66" s="13">
        <f>Time!AW35*(AW63-AW64)*AW19</f>
        <v/>
      </c>
      <c r="AX66" s="13">
        <f>Time!AX35*(AX63-AX64)*AX19</f>
        <v/>
      </c>
      <c r="AY66" s="13">
        <f>Time!AY35*(AY63-AY64)*AY19</f>
        <v/>
      </c>
      <c r="AZ66" s="13">
        <f>Time!AZ35*(AZ63-AZ64)*AZ19</f>
        <v/>
      </c>
      <c r="BA66" s="13">
        <f>Time!BA35*(BA63-BA64)*BA19</f>
        <v/>
      </c>
      <c r="BB66" s="13">
        <f>Time!BB35*(BB63-BB64)*BB19</f>
        <v/>
      </c>
      <c r="BC66" s="13">
        <f>Time!BC35*(BC63-BC64)*BC19</f>
        <v/>
      </c>
      <c r="BD66" s="13">
        <f>Time!BD35*(BD63-BD64)*BD19</f>
        <v/>
      </c>
      <c r="BE66" s="13">
        <f>Time!BE35*(BE63-BE64)*BE19</f>
        <v/>
      </c>
      <c r="BF66" s="13">
        <f>Time!BF35*(BF63-BF64)*BF19</f>
        <v/>
      </c>
      <c r="BG66" s="13">
        <f>Time!BG35*(BG63-BG64)*BG19</f>
        <v/>
      </c>
      <c r="BH66" s="13">
        <f>Time!BH35*(BH63-BH64)*BH19</f>
        <v/>
      </c>
      <c r="BI66" s="13">
        <f>Time!BI35*(BI63-BI64)*BI19</f>
        <v/>
      </c>
      <c r="BJ66" s="13">
        <f>Time!BJ35*(BJ63-BJ64)*BJ19</f>
        <v/>
      </c>
      <c r="BK66" s="13">
        <f>Time!BK35*(BK63-BK64)*BK19</f>
        <v/>
      </c>
      <c r="BL66" s="13">
        <f>Time!BL35*(BL63-BL64)*BL19</f>
        <v/>
      </c>
      <c r="BM66" s="13">
        <f>Time!BM35*(BM63-BM64)*BM19</f>
        <v/>
      </c>
      <c r="BN66" s="13">
        <f>Time!BN35*(BN63-BN64)*BN19</f>
        <v/>
      </c>
    </row>
    <row r="67">
      <c r="D67" t="inlineStr">
        <is>
          <t>Principal deferred under the waiver</t>
        </is>
      </c>
      <c r="E67" t="inlineStr">
        <is>
          <t>USD m</t>
        </is>
      </c>
      <c r="G67" s="13">
        <f>SUM(J67:BN67)</f>
        <v/>
      </c>
      <c r="J67" s="13">
        <f>Time!J43*Inputs!$F$270*J66</f>
        <v/>
      </c>
      <c r="K67" s="13">
        <f>Time!K43*Inputs!$F$270*K66</f>
        <v/>
      </c>
      <c r="L67" s="13">
        <f>Time!L43*Inputs!$F$270*L66</f>
        <v/>
      </c>
      <c r="M67" s="13">
        <f>Time!M43*Inputs!$F$270*M66</f>
        <v/>
      </c>
      <c r="N67" s="13">
        <f>Time!N43*Inputs!$F$270*N66</f>
        <v/>
      </c>
      <c r="O67" s="13">
        <f>Time!O43*Inputs!$F$270*O66</f>
        <v/>
      </c>
      <c r="P67" s="13">
        <f>Time!P43*Inputs!$F$270*P66</f>
        <v/>
      </c>
      <c r="Q67" s="13">
        <f>Time!Q43*Inputs!$F$270*Q66</f>
        <v/>
      </c>
      <c r="R67" s="13">
        <f>Time!R43*Inputs!$F$270*R66</f>
        <v/>
      </c>
      <c r="S67" s="13">
        <f>Time!S43*Inputs!$F$270*S66</f>
        <v/>
      </c>
      <c r="T67" s="13">
        <f>Time!T43*Inputs!$F$270*T66</f>
        <v/>
      </c>
      <c r="U67" s="13">
        <f>Time!U43*Inputs!$F$270*U66</f>
        <v/>
      </c>
      <c r="V67" s="13">
        <f>Time!V43*Inputs!$F$270*V66</f>
        <v/>
      </c>
      <c r="W67" s="13">
        <f>Time!W43*Inputs!$F$270*W66</f>
        <v/>
      </c>
      <c r="X67" s="13">
        <f>Time!X43*Inputs!$F$270*X66</f>
        <v/>
      </c>
      <c r="Y67" s="13">
        <f>Time!Y43*Inputs!$F$270*Y66</f>
        <v/>
      </c>
      <c r="Z67" s="13">
        <f>Time!Z43*Inputs!$F$270*Z66</f>
        <v/>
      </c>
      <c r="AA67" s="13">
        <f>Time!AA43*Inputs!$F$270*AA66</f>
        <v/>
      </c>
      <c r="AB67" s="13">
        <f>Time!AB43*Inputs!$F$270*AB66</f>
        <v/>
      </c>
      <c r="AC67" s="13">
        <f>Time!AC43*Inputs!$F$270*AC66</f>
        <v/>
      </c>
      <c r="AD67" s="13">
        <f>Time!AD43*Inputs!$F$270*AD66</f>
        <v/>
      </c>
      <c r="AE67" s="13">
        <f>Time!AE43*Inputs!$F$270*AE66</f>
        <v/>
      </c>
      <c r="AF67" s="13">
        <f>Time!AF43*Inputs!$F$270*AF66</f>
        <v/>
      </c>
      <c r="AG67" s="13">
        <f>Time!AG43*Inputs!$F$270*AG66</f>
        <v/>
      </c>
      <c r="AH67" s="13">
        <f>Time!AH43*Inputs!$F$270*AH66</f>
        <v/>
      </c>
      <c r="AI67" s="13">
        <f>Time!AI43*Inputs!$F$270*AI66</f>
        <v/>
      </c>
      <c r="AJ67" s="13">
        <f>Time!AJ43*Inputs!$F$270*AJ66</f>
        <v/>
      </c>
      <c r="AK67" s="13">
        <f>Time!AK43*Inputs!$F$270*AK66</f>
        <v/>
      </c>
      <c r="AL67" s="13">
        <f>Time!AL43*Inputs!$F$270*AL66</f>
        <v/>
      </c>
      <c r="AM67" s="13">
        <f>Time!AM43*Inputs!$F$270*AM66</f>
        <v/>
      </c>
      <c r="AN67" s="13">
        <f>Time!AN43*Inputs!$F$270*AN66</f>
        <v/>
      </c>
      <c r="AO67" s="13">
        <f>Time!AO43*Inputs!$F$270*AO66</f>
        <v/>
      </c>
      <c r="AP67" s="13">
        <f>Time!AP43*Inputs!$F$270*AP66</f>
        <v/>
      </c>
      <c r="AQ67" s="13">
        <f>Time!AQ43*Inputs!$F$270*AQ66</f>
        <v/>
      </c>
      <c r="AR67" s="13">
        <f>Time!AR43*Inputs!$F$270*AR66</f>
        <v/>
      </c>
      <c r="AS67" s="13">
        <f>Time!AS43*Inputs!$F$270*AS66</f>
        <v/>
      </c>
      <c r="AT67" s="13">
        <f>Time!AT43*Inputs!$F$270*AT66</f>
        <v/>
      </c>
      <c r="AU67" s="13">
        <f>Time!AU43*Inputs!$F$270*AU66</f>
        <v/>
      </c>
      <c r="AV67" s="13">
        <f>Time!AV43*Inputs!$F$270*AV66</f>
        <v/>
      </c>
      <c r="AW67" s="13">
        <f>Time!AW43*Inputs!$F$270*AW66</f>
        <v/>
      </c>
      <c r="AX67" s="13">
        <f>Time!AX43*Inputs!$F$270*AX66</f>
        <v/>
      </c>
      <c r="AY67" s="13">
        <f>Time!AY43*Inputs!$F$270*AY66</f>
        <v/>
      </c>
      <c r="AZ67" s="13">
        <f>Time!AZ43*Inputs!$F$270*AZ66</f>
        <v/>
      </c>
      <c r="BA67" s="13">
        <f>Time!BA43*Inputs!$F$270*BA66</f>
        <v/>
      </c>
      <c r="BB67" s="13">
        <f>Time!BB43*Inputs!$F$270*BB66</f>
        <v/>
      </c>
      <c r="BC67" s="13">
        <f>Time!BC43*Inputs!$F$270*BC66</f>
        <v/>
      </c>
      <c r="BD67" s="13">
        <f>Time!BD43*Inputs!$F$270*BD66</f>
        <v/>
      </c>
      <c r="BE67" s="13">
        <f>Time!BE43*Inputs!$F$270*BE66</f>
        <v/>
      </c>
      <c r="BF67" s="13">
        <f>Time!BF43*Inputs!$F$270*BF66</f>
        <v/>
      </c>
      <c r="BG67" s="13">
        <f>Time!BG43*Inputs!$F$270*BG66</f>
        <v/>
      </c>
      <c r="BH67" s="13">
        <f>Time!BH43*Inputs!$F$270*BH66</f>
        <v/>
      </c>
      <c r="BI67" s="13">
        <f>Time!BI43*Inputs!$F$270*BI66</f>
        <v/>
      </c>
      <c r="BJ67" s="13">
        <f>Time!BJ43*Inputs!$F$270*BJ66</f>
        <v/>
      </c>
      <c r="BK67" s="13">
        <f>Time!BK43*Inputs!$F$270*BK66</f>
        <v/>
      </c>
      <c r="BL67" s="13">
        <f>Time!BL43*Inputs!$F$270*BL66</f>
        <v/>
      </c>
      <c r="BM67" s="13">
        <f>Time!BM43*Inputs!$F$270*BM66</f>
        <v/>
      </c>
      <c r="BN67" s="13">
        <f>Time!BN43*Inputs!$F$270*BN66</f>
        <v/>
      </c>
    </row>
    <row r="68">
      <c r="D68" t="inlineStr">
        <is>
          <t>Deferred principal repaid (equal parts over the remaining repayment dates)</t>
        </is>
      </c>
      <c r="E68" t="inlineStr">
        <is>
          <t>USD m</t>
        </is>
      </c>
      <c r="G68" s="13">
        <f>SUM(J68:BN68)</f>
        <v/>
      </c>
      <c r="J68" s="13">
        <f>IF(Time!J46&gt;0,Time!J45*J64/Time!J46,0)</f>
        <v/>
      </c>
      <c r="K68" s="13">
        <f>IF(Time!K46&gt;0,Time!K45*K64/Time!K46,0)</f>
        <v/>
      </c>
      <c r="L68" s="13">
        <f>IF(Time!L46&gt;0,Time!L45*L64/Time!L46,0)</f>
        <v/>
      </c>
      <c r="M68" s="13">
        <f>IF(Time!M46&gt;0,Time!M45*M64/Time!M46,0)</f>
        <v/>
      </c>
      <c r="N68" s="13">
        <f>IF(Time!N46&gt;0,Time!N45*N64/Time!N46,0)</f>
        <v/>
      </c>
      <c r="O68" s="13">
        <f>IF(Time!O46&gt;0,Time!O45*O64/Time!O46,0)</f>
        <v/>
      </c>
      <c r="P68" s="13">
        <f>IF(Time!P46&gt;0,Time!P45*P64/Time!P46,0)</f>
        <v/>
      </c>
      <c r="Q68" s="13">
        <f>IF(Time!Q46&gt;0,Time!Q45*Q64/Time!Q46,0)</f>
        <v/>
      </c>
      <c r="R68" s="13">
        <f>IF(Time!R46&gt;0,Time!R45*R64/Time!R46,0)</f>
        <v/>
      </c>
      <c r="S68" s="13">
        <f>IF(Time!S46&gt;0,Time!S45*S64/Time!S46,0)</f>
        <v/>
      </c>
      <c r="T68" s="13">
        <f>IF(Time!T46&gt;0,Time!T45*T64/Time!T46,0)</f>
        <v/>
      </c>
      <c r="U68" s="13">
        <f>IF(Time!U46&gt;0,Time!U45*U64/Time!U46,0)</f>
        <v/>
      </c>
      <c r="V68" s="13">
        <f>IF(Time!V46&gt;0,Time!V45*V64/Time!V46,0)</f>
        <v/>
      </c>
      <c r="W68" s="13">
        <f>IF(Time!W46&gt;0,Time!W45*W64/Time!W46,0)</f>
        <v/>
      </c>
      <c r="X68" s="13">
        <f>IF(Time!X46&gt;0,Time!X45*X64/Time!X46,0)</f>
        <v/>
      </c>
      <c r="Y68" s="13">
        <f>IF(Time!Y46&gt;0,Time!Y45*Y64/Time!Y46,0)</f>
        <v/>
      </c>
      <c r="Z68" s="13">
        <f>IF(Time!Z46&gt;0,Time!Z45*Z64/Time!Z46,0)</f>
        <v/>
      </c>
      <c r="AA68" s="13">
        <f>IF(Time!AA46&gt;0,Time!AA45*AA64/Time!AA46,0)</f>
        <v/>
      </c>
      <c r="AB68" s="13">
        <f>IF(Time!AB46&gt;0,Time!AB45*AB64/Time!AB46,0)</f>
        <v/>
      </c>
      <c r="AC68" s="13">
        <f>IF(Time!AC46&gt;0,Time!AC45*AC64/Time!AC46,0)</f>
        <v/>
      </c>
      <c r="AD68" s="13">
        <f>IF(Time!AD46&gt;0,Time!AD45*AD64/Time!AD46,0)</f>
        <v/>
      </c>
      <c r="AE68" s="13">
        <f>IF(Time!AE46&gt;0,Time!AE45*AE64/Time!AE46,0)</f>
        <v/>
      </c>
      <c r="AF68" s="13">
        <f>IF(Time!AF46&gt;0,Time!AF45*AF64/Time!AF46,0)</f>
        <v/>
      </c>
      <c r="AG68" s="13">
        <f>IF(Time!AG46&gt;0,Time!AG45*AG64/Time!AG46,0)</f>
        <v/>
      </c>
      <c r="AH68" s="13">
        <f>IF(Time!AH46&gt;0,Time!AH45*AH64/Time!AH46,0)</f>
        <v/>
      </c>
      <c r="AI68" s="13">
        <f>IF(Time!AI46&gt;0,Time!AI45*AI64/Time!AI46,0)</f>
        <v/>
      </c>
      <c r="AJ68" s="13">
        <f>IF(Time!AJ46&gt;0,Time!AJ45*AJ64/Time!AJ46,0)</f>
        <v/>
      </c>
      <c r="AK68" s="13">
        <f>IF(Time!AK46&gt;0,Time!AK45*AK64/Time!AK46,0)</f>
        <v/>
      </c>
      <c r="AL68" s="13">
        <f>IF(Time!AL46&gt;0,Time!AL45*AL64/Time!AL46,0)</f>
        <v/>
      </c>
      <c r="AM68" s="13">
        <f>IF(Time!AM46&gt;0,Time!AM45*AM64/Time!AM46,0)</f>
        <v/>
      </c>
      <c r="AN68" s="13">
        <f>IF(Time!AN46&gt;0,Time!AN45*AN64/Time!AN46,0)</f>
        <v/>
      </c>
      <c r="AO68" s="13">
        <f>IF(Time!AO46&gt;0,Time!AO45*AO64/Time!AO46,0)</f>
        <v/>
      </c>
      <c r="AP68" s="13">
        <f>IF(Time!AP46&gt;0,Time!AP45*AP64/Time!AP46,0)</f>
        <v/>
      </c>
      <c r="AQ68" s="13">
        <f>IF(Time!AQ46&gt;0,Time!AQ45*AQ64/Time!AQ46,0)</f>
        <v/>
      </c>
      <c r="AR68" s="13">
        <f>IF(Time!AR46&gt;0,Time!AR45*AR64/Time!AR46,0)</f>
        <v/>
      </c>
      <c r="AS68" s="13">
        <f>IF(Time!AS46&gt;0,Time!AS45*AS64/Time!AS46,0)</f>
        <v/>
      </c>
      <c r="AT68" s="13">
        <f>IF(Time!AT46&gt;0,Time!AT45*AT64/Time!AT46,0)</f>
        <v/>
      </c>
      <c r="AU68" s="13">
        <f>IF(Time!AU46&gt;0,Time!AU45*AU64/Time!AU46,0)</f>
        <v/>
      </c>
      <c r="AV68" s="13">
        <f>IF(Time!AV46&gt;0,Time!AV45*AV64/Time!AV46,0)</f>
        <v/>
      </c>
      <c r="AW68" s="13">
        <f>IF(Time!AW46&gt;0,Time!AW45*AW64/Time!AW46,0)</f>
        <v/>
      </c>
      <c r="AX68" s="13">
        <f>IF(Time!AX46&gt;0,Time!AX45*AX64/Time!AX46,0)</f>
        <v/>
      </c>
      <c r="AY68" s="13">
        <f>IF(Time!AY46&gt;0,Time!AY45*AY64/Time!AY46,0)</f>
        <v/>
      </c>
      <c r="AZ68" s="13">
        <f>IF(Time!AZ46&gt;0,Time!AZ45*AZ64/Time!AZ46,0)</f>
        <v/>
      </c>
      <c r="BA68" s="13">
        <f>IF(Time!BA46&gt;0,Time!BA45*BA64/Time!BA46,0)</f>
        <v/>
      </c>
      <c r="BB68" s="13">
        <f>IF(Time!BB46&gt;0,Time!BB45*BB64/Time!BB46,0)</f>
        <v/>
      </c>
      <c r="BC68" s="13">
        <f>IF(Time!BC46&gt;0,Time!BC45*BC64/Time!BC46,0)</f>
        <v/>
      </c>
      <c r="BD68" s="13">
        <f>IF(Time!BD46&gt;0,Time!BD45*BD64/Time!BD46,0)</f>
        <v/>
      </c>
      <c r="BE68" s="13">
        <f>IF(Time!BE46&gt;0,Time!BE45*BE64/Time!BE46,0)</f>
        <v/>
      </c>
      <c r="BF68" s="13">
        <f>IF(Time!BF46&gt;0,Time!BF45*BF64/Time!BF46,0)</f>
        <v/>
      </c>
      <c r="BG68" s="13">
        <f>IF(Time!BG46&gt;0,Time!BG45*BG64/Time!BG46,0)</f>
        <v/>
      </c>
      <c r="BH68" s="13">
        <f>IF(Time!BH46&gt;0,Time!BH45*BH64/Time!BH46,0)</f>
        <v/>
      </c>
      <c r="BI68" s="13">
        <f>IF(Time!BI46&gt;0,Time!BI45*BI64/Time!BI46,0)</f>
        <v/>
      </c>
      <c r="BJ68" s="13">
        <f>IF(Time!BJ46&gt;0,Time!BJ45*BJ64/Time!BJ46,0)</f>
        <v/>
      </c>
      <c r="BK68" s="13">
        <f>IF(Time!BK46&gt;0,Time!BK45*BK64/Time!BK46,0)</f>
        <v/>
      </c>
      <c r="BL68" s="13">
        <f>IF(Time!BL46&gt;0,Time!BL45*BL64/Time!BL46,0)</f>
        <v/>
      </c>
      <c r="BM68" s="13">
        <f>IF(Time!BM46&gt;0,Time!BM45*BM64/Time!BM46,0)</f>
        <v/>
      </c>
      <c r="BN68" s="13">
        <f>IF(Time!BN46&gt;0,Time!BN45*BN64/Time!BN46,0)</f>
        <v/>
      </c>
    </row>
    <row r="69">
      <c r="D69" t="inlineStr">
        <is>
          <t>Principal paid</t>
        </is>
      </c>
      <c r="E69" t="inlineStr">
        <is>
          <t>USD m</t>
        </is>
      </c>
      <c r="G69" s="13">
        <f>SUM(J69:BN69)</f>
        <v/>
      </c>
      <c r="J69" s="13">
        <f>J66-J67+J68</f>
        <v/>
      </c>
      <c r="K69" s="13">
        <f>K66-K67+K68</f>
        <v/>
      </c>
      <c r="L69" s="13">
        <f>L66-L67+L68</f>
        <v/>
      </c>
      <c r="M69" s="13">
        <f>M66-M67+M68</f>
        <v/>
      </c>
      <c r="N69" s="13">
        <f>N66-N67+N68</f>
        <v/>
      </c>
      <c r="O69" s="13">
        <f>O66-O67+O68</f>
        <v/>
      </c>
      <c r="P69" s="13">
        <f>P66-P67+P68</f>
        <v/>
      </c>
      <c r="Q69" s="13">
        <f>Q66-Q67+Q68</f>
        <v/>
      </c>
      <c r="R69" s="13">
        <f>R66-R67+R68</f>
        <v/>
      </c>
      <c r="S69" s="13">
        <f>S66-S67+S68</f>
        <v/>
      </c>
      <c r="T69" s="13">
        <f>T66-T67+T68</f>
        <v/>
      </c>
      <c r="U69" s="13">
        <f>U66-U67+U68</f>
        <v/>
      </c>
      <c r="V69" s="13">
        <f>V66-V67+V68</f>
        <v/>
      </c>
      <c r="W69" s="13">
        <f>W66-W67+W68</f>
        <v/>
      </c>
      <c r="X69" s="13">
        <f>X66-X67+X68</f>
        <v/>
      </c>
      <c r="Y69" s="13">
        <f>Y66-Y67+Y68</f>
        <v/>
      </c>
      <c r="Z69" s="13">
        <f>Z66-Z67+Z68</f>
        <v/>
      </c>
      <c r="AA69" s="13">
        <f>AA66-AA67+AA68</f>
        <v/>
      </c>
      <c r="AB69" s="13">
        <f>AB66-AB67+AB68</f>
        <v/>
      </c>
      <c r="AC69" s="13">
        <f>AC66-AC67+AC68</f>
        <v/>
      </c>
      <c r="AD69" s="13">
        <f>AD66-AD67+AD68</f>
        <v/>
      </c>
      <c r="AE69" s="13">
        <f>AE66-AE67+AE68</f>
        <v/>
      </c>
      <c r="AF69" s="13">
        <f>AF66-AF67+AF68</f>
        <v/>
      </c>
      <c r="AG69" s="13">
        <f>AG66-AG67+AG68</f>
        <v/>
      </c>
      <c r="AH69" s="13">
        <f>AH66-AH67+AH68</f>
        <v/>
      </c>
      <c r="AI69" s="13">
        <f>AI66-AI67+AI68</f>
        <v/>
      </c>
      <c r="AJ69" s="13">
        <f>AJ66-AJ67+AJ68</f>
        <v/>
      </c>
      <c r="AK69" s="13">
        <f>AK66-AK67+AK68</f>
        <v/>
      </c>
      <c r="AL69" s="13">
        <f>AL66-AL67+AL68</f>
        <v/>
      </c>
      <c r="AM69" s="13">
        <f>AM66-AM67+AM68</f>
        <v/>
      </c>
      <c r="AN69" s="13">
        <f>AN66-AN67+AN68</f>
        <v/>
      </c>
      <c r="AO69" s="13">
        <f>AO66-AO67+AO68</f>
        <v/>
      </c>
      <c r="AP69" s="13">
        <f>AP66-AP67+AP68</f>
        <v/>
      </c>
      <c r="AQ69" s="13">
        <f>AQ66-AQ67+AQ68</f>
        <v/>
      </c>
      <c r="AR69" s="13">
        <f>AR66-AR67+AR68</f>
        <v/>
      </c>
      <c r="AS69" s="13">
        <f>AS66-AS67+AS68</f>
        <v/>
      </c>
      <c r="AT69" s="13">
        <f>AT66-AT67+AT68</f>
        <v/>
      </c>
      <c r="AU69" s="13">
        <f>AU66-AU67+AU68</f>
        <v/>
      </c>
      <c r="AV69" s="13">
        <f>AV66-AV67+AV68</f>
        <v/>
      </c>
      <c r="AW69" s="13">
        <f>AW66-AW67+AW68</f>
        <v/>
      </c>
      <c r="AX69" s="13">
        <f>AX66-AX67+AX68</f>
        <v/>
      </c>
      <c r="AY69" s="13">
        <f>AY66-AY67+AY68</f>
        <v/>
      </c>
      <c r="AZ69" s="13">
        <f>AZ66-AZ67+AZ68</f>
        <v/>
      </c>
      <c r="BA69" s="13">
        <f>BA66-BA67+BA68</f>
        <v/>
      </c>
      <c r="BB69" s="13">
        <f>BB66-BB67+BB68</f>
        <v/>
      </c>
      <c r="BC69" s="13">
        <f>BC66-BC67+BC68</f>
        <v/>
      </c>
      <c r="BD69" s="13">
        <f>BD66-BD67+BD68</f>
        <v/>
      </c>
      <c r="BE69" s="13">
        <f>BE66-BE67+BE68</f>
        <v/>
      </c>
      <c r="BF69" s="13">
        <f>BF66-BF67+BF68</f>
        <v/>
      </c>
      <c r="BG69" s="13">
        <f>BG66-BG67+BG68</f>
        <v/>
      </c>
      <c r="BH69" s="13">
        <f>BH66-BH67+BH68</f>
        <v/>
      </c>
      <c r="BI69" s="13">
        <f>BI66-BI67+BI68</f>
        <v/>
      </c>
      <c r="BJ69" s="13">
        <f>BJ66-BJ67+BJ68</f>
        <v/>
      </c>
      <c r="BK69" s="13">
        <f>BK66-BK67+BK68</f>
        <v/>
      </c>
      <c r="BL69" s="13">
        <f>BL66-BL67+BL68</f>
        <v/>
      </c>
      <c r="BM69" s="13">
        <f>BM66-BM67+BM68</f>
        <v/>
      </c>
      <c r="BN69" s="13">
        <f>BN66-BN67+BN68</f>
        <v/>
      </c>
    </row>
    <row r="70">
      <c r="D70" t="inlineStr">
        <is>
          <t>Performance LD prepayment</t>
        </is>
      </c>
      <c r="E70" t="inlineStr">
        <is>
          <t>USD m</t>
        </is>
      </c>
      <c r="G70" s="13">
        <f>SUM(J70:BN70)</f>
        <v/>
      </c>
      <c r="J70" s="13">
        <f>Time!J42*Inputs!$F$267*(J63-J69)/(J21-J27+J35-J41+J49-J55+J63-J69+J77-J83+Inputs!$F$253)</f>
        <v/>
      </c>
      <c r="K70" s="13">
        <f>Time!K42*Inputs!$F$267*(K63-K69)/(K21-K27+K35-K41+K49-K55+K63-K69+K77-K83+Inputs!$F$253)</f>
        <v/>
      </c>
      <c r="L70" s="13">
        <f>Time!L42*Inputs!$F$267*(L63-L69)/(L21-L27+L35-L41+L49-L55+L63-L69+L77-L83+Inputs!$F$253)</f>
        <v/>
      </c>
      <c r="M70" s="13">
        <f>Time!M42*Inputs!$F$267*(M63-M69)/(M21-M27+M35-M41+M49-M55+M63-M69+M77-M83+Inputs!$F$253)</f>
        <v/>
      </c>
      <c r="N70" s="13">
        <f>Time!N42*Inputs!$F$267*(N63-N69)/(N21-N27+N35-N41+N49-N55+N63-N69+N77-N83+Inputs!$F$253)</f>
        <v/>
      </c>
      <c r="O70" s="13">
        <f>Time!O42*Inputs!$F$267*(O63-O69)/(O21-O27+O35-O41+O49-O55+O63-O69+O77-O83+Inputs!$F$253)</f>
        <v/>
      </c>
      <c r="P70" s="13">
        <f>Time!P42*Inputs!$F$267*(P63-P69)/(P21-P27+P35-P41+P49-P55+P63-P69+P77-P83+Inputs!$F$253)</f>
        <v/>
      </c>
      <c r="Q70" s="13">
        <f>Time!Q42*Inputs!$F$267*(Q63-Q69)/(Q21-Q27+Q35-Q41+Q49-Q55+Q63-Q69+Q77-Q83+Inputs!$F$253)</f>
        <v/>
      </c>
      <c r="R70" s="13">
        <f>Time!R42*Inputs!$F$267*(R63-R69)/(R21-R27+R35-R41+R49-R55+R63-R69+R77-R83+Inputs!$F$253)</f>
        <v/>
      </c>
      <c r="S70" s="13">
        <f>Time!S42*Inputs!$F$267*(S63-S69)/(S21-S27+S35-S41+S49-S55+S63-S69+S77-S83+Inputs!$F$253)</f>
        <v/>
      </c>
      <c r="T70" s="13">
        <f>Time!T42*Inputs!$F$267*(T63-T69)/(T21-T27+T35-T41+T49-T55+T63-T69+T77-T83+Inputs!$F$253)</f>
        <v/>
      </c>
      <c r="U70" s="13">
        <f>Time!U42*Inputs!$F$267*(U63-U69)/(U21-U27+U35-U41+U49-U55+U63-U69+U77-U83+Inputs!$F$253)</f>
        <v/>
      </c>
      <c r="V70" s="13">
        <f>Time!V42*Inputs!$F$267*(V63-V69)/(V21-V27+V35-V41+V49-V55+V63-V69+V77-V83+Inputs!$F$253)</f>
        <v/>
      </c>
      <c r="W70" s="13">
        <f>Time!W42*Inputs!$F$267*(W63-W69)/(W21-W27+W35-W41+W49-W55+W63-W69+W77-W83+Inputs!$F$253)</f>
        <v/>
      </c>
      <c r="X70" s="13">
        <f>Time!X42*Inputs!$F$267*(X63-X69)/(X21-X27+X35-X41+X49-X55+X63-X69+X77-X83+Inputs!$F$253)</f>
        <v/>
      </c>
      <c r="Y70" s="13">
        <f>Time!Y42*Inputs!$F$267*(Y63-Y69)/(Y21-Y27+Y35-Y41+Y49-Y55+Y63-Y69+Y77-Y83+Inputs!$F$253)</f>
        <v/>
      </c>
      <c r="Z70" s="13">
        <f>Time!Z42*Inputs!$F$267*(Z63-Z69)/(Z21-Z27+Z35-Z41+Z49-Z55+Z63-Z69+Z77-Z83+Inputs!$F$253)</f>
        <v/>
      </c>
      <c r="AA70" s="13">
        <f>Time!AA42*Inputs!$F$267*(AA63-AA69)/(AA21-AA27+AA35-AA41+AA49-AA55+AA63-AA69+AA77-AA83+Inputs!$F$253)</f>
        <v/>
      </c>
      <c r="AB70" s="13">
        <f>Time!AB42*Inputs!$F$267*(AB63-AB69)/(AB21-AB27+AB35-AB41+AB49-AB55+AB63-AB69+AB77-AB83+Inputs!$F$253)</f>
        <v/>
      </c>
      <c r="AC70" s="13">
        <f>Time!AC42*Inputs!$F$267*(AC63-AC69)/(AC21-AC27+AC35-AC41+AC49-AC55+AC63-AC69+AC77-AC83+Inputs!$F$253)</f>
        <v/>
      </c>
      <c r="AD70" s="13">
        <f>Time!AD42*Inputs!$F$267*(AD63-AD69)/(AD21-AD27+AD35-AD41+AD49-AD55+AD63-AD69+AD77-AD83+Inputs!$F$253)</f>
        <v/>
      </c>
      <c r="AE70" s="13">
        <f>Time!AE42*Inputs!$F$267*(AE63-AE69)/(AE21-AE27+AE35-AE41+AE49-AE55+AE63-AE69+AE77-AE83+Inputs!$F$253)</f>
        <v/>
      </c>
      <c r="AF70" s="13">
        <f>Time!AF42*Inputs!$F$267*(AF63-AF69)/(AF21-AF27+AF35-AF41+AF49-AF55+AF63-AF69+AF77-AF83+Inputs!$F$253)</f>
        <v/>
      </c>
      <c r="AG70" s="13">
        <f>Time!AG42*Inputs!$F$267*(AG63-AG69)/(AG21-AG27+AG35-AG41+AG49-AG55+AG63-AG69+AG77-AG83+Inputs!$F$253)</f>
        <v/>
      </c>
      <c r="AH70" s="13">
        <f>Time!AH42*Inputs!$F$267*(AH63-AH69)/(AH21-AH27+AH35-AH41+AH49-AH55+AH63-AH69+AH77-AH83+Inputs!$F$253)</f>
        <v/>
      </c>
      <c r="AI70" s="13">
        <f>Time!AI42*Inputs!$F$267*(AI63-AI69)/(AI21-AI27+AI35-AI41+AI49-AI55+AI63-AI69+AI77-AI83+Inputs!$F$253)</f>
        <v/>
      </c>
      <c r="AJ70" s="13">
        <f>Time!AJ42*Inputs!$F$267*(AJ63-AJ69)/(AJ21-AJ27+AJ35-AJ41+AJ49-AJ55+AJ63-AJ69+AJ77-AJ83+Inputs!$F$253)</f>
        <v/>
      </c>
      <c r="AK70" s="13">
        <f>Time!AK42*Inputs!$F$267*(AK63-AK69)/(AK21-AK27+AK35-AK41+AK49-AK55+AK63-AK69+AK77-AK83+Inputs!$F$253)</f>
        <v/>
      </c>
      <c r="AL70" s="13">
        <f>Time!AL42*Inputs!$F$267*(AL63-AL69)/(AL21-AL27+AL35-AL41+AL49-AL55+AL63-AL69+AL77-AL83+Inputs!$F$253)</f>
        <v/>
      </c>
      <c r="AM70" s="13">
        <f>Time!AM42*Inputs!$F$267*(AM63-AM69)/(AM21-AM27+AM35-AM41+AM49-AM55+AM63-AM69+AM77-AM83+Inputs!$F$253)</f>
        <v/>
      </c>
      <c r="AN70" s="13">
        <f>Time!AN42*Inputs!$F$267*(AN63-AN69)/(AN21-AN27+AN35-AN41+AN49-AN55+AN63-AN69+AN77-AN83+Inputs!$F$253)</f>
        <v/>
      </c>
      <c r="AO70" s="13">
        <f>Time!AO42*Inputs!$F$267*(AO63-AO69)/(AO21-AO27+AO35-AO41+AO49-AO55+AO63-AO69+AO77-AO83+Inputs!$F$253)</f>
        <v/>
      </c>
      <c r="AP70" s="13">
        <f>Time!AP42*Inputs!$F$267*(AP63-AP69)/(AP21-AP27+AP35-AP41+AP49-AP55+AP63-AP69+AP77-AP83+Inputs!$F$253)</f>
        <v/>
      </c>
      <c r="AQ70" s="13">
        <f>Time!AQ42*Inputs!$F$267*(AQ63-AQ69)/(AQ21-AQ27+AQ35-AQ41+AQ49-AQ55+AQ63-AQ69+AQ77-AQ83+Inputs!$F$253)</f>
        <v/>
      </c>
      <c r="AR70" s="13">
        <f>Time!AR42*Inputs!$F$267*(AR63-AR69)/(AR21-AR27+AR35-AR41+AR49-AR55+AR63-AR69+AR77-AR83+Inputs!$F$253)</f>
        <v/>
      </c>
      <c r="AS70" s="13">
        <f>Time!AS42*Inputs!$F$267*(AS63-AS69)/(AS21-AS27+AS35-AS41+AS49-AS55+AS63-AS69+AS77-AS83+Inputs!$F$253)</f>
        <v/>
      </c>
      <c r="AT70" s="13">
        <f>Time!AT42*Inputs!$F$267*(AT63-AT69)/(AT21-AT27+AT35-AT41+AT49-AT55+AT63-AT69+AT77-AT83+Inputs!$F$253)</f>
        <v/>
      </c>
      <c r="AU70" s="13">
        <f>Time!AU42*Inputs!$F$267*(AU63-AU69)/(AU21-AU27+AU35-AU41+AU49-AU55+AU63-AU69+AU77-AU83+Inputs!$F$253)</f>
        <v/>
      </c>
      <c r="AV70" s="13">
        <f>Time!AV42*Inputs!$F$267*(AV63-AV69)/(AV21-AV27+AV35-AV41+AV49-AV55+AV63-AV69+AV77-AV83+Inputs!$F$253)</f>
        <v/>
      </c>
      <c r="AW70" s="13">
        <f>Time!AW42*Inputs!$F$267*(AW63-AW69)/(AW21-AW27+AW35-AW41+AW49-AW55+AW63-AW69+AW77-AW83+Inputs!$F$253)</f>
        <v/>
      </c>
      <c r="AX70" s="13">
        <f>Time!AX42*Inputs!$F$267*(AX63-AX69)/(AX21-AX27+AX35-AX41+AX49-AX55+AX63-AX69+AX77-AX83+Inputs!$F$253)</f>
        <v/>
      </c>
      <c r="AY70" s="13">
        <f>Time!AY42*Inputs!$F$267*(AY63-AY69)/(AY21-AY27+AY35-AY41+AY49-AY55+AY63-AY69+AY77-AY83+Inputs!$F$253)</f>
        <v/>
      </c>
      <c r="AZ70" s="13">
        <f>Time!AZ42*Inputs!$F$267*(AZ63-AZ69)/(AZ21-AZ27+AZ35-AZ41+AZ49-AZ55+AZ63-AZ69+AZ77-AZ83+Inputs!$F$253)</f>
        <v/>
      </c>
      <c r="BA70" s="13">
        <f>Time!BA42*Inputs!$F$267*(BA63-BA69)/(BA21-BA27+BA35-BA41+BA49-BA55+BA63-BA69+BA77-BA83+Inputs!$F$253)</f>
        <v/>
      </c>
      <c r="BB70" s="13">
        <f>Time!BB42*Inputs!$F$267*(BB63-BB69)/(BB21-BB27+BB35-BB41+BB49-BB55+BB63-BB69+BB77-BB83+Inputs!$F$253)</f>
        <v/>
      </c>
      <c r="BC70" s="13">
        <f>Time!BC42*Inputs!$F$267*(BC63-BC69)/(BC21-BC27+BC35-BC41+BC49-BC55+BC63-BC69+BC77-BC83+Inputs!$F$253)</f>
        <v/>
      </c>
      <c r="BD70" s="13">
        <f>Time!BD42*Inputs!$F$267*(BD63-BD69)/(BD21-BD27+BD35-BD41+BD49-BD55+BD63-BD69+BD77-BD83+Inputs!$F$253)</f>
        <v/>
      </c>
      <c r="BE70" s="13">
        <f>Time!BE42*Inputs!$F$267*(BE63-BE69)/(BE21-BE27+BE35-BE41+BE49-BE55+BE63-BE69+BE77-BE83+Inputs!$F$253)</f>
        <v/>
      </c>
      <c r="BF70" s="13">
        <f>Time!BF42*Inputs!$F$267*(BF63-BF69)/(BF21-BF27+BF35-BF41+BF49-BF55+BF63-BF69+BF77-BF83+Inputs!$F$253)</f>
        <v/>
      </c>
      <c r="BG70" s="13">
        <f>Time!BG42*Inputs!$F$267*(BG63-BG69)/(BG21-BG27+BG35-BG41+BG49-BG55+BG63-BG69+BG77-BG83+Inputs!$F$253)</f>
        <v/>
      </c>
      <c r="BH70" s="13">
        <f>Time!BH42*Inputs!$F$267*(BH63-BH69)/(BH21-BH27+BH35-BH41+BH49-BH55+BH63-BH69+BH77-BH83+Inputs!$F$253)</f>
        <v/>
      </c>
      <c r="BI70" s="13">
        <f>Time!BI42*Inputs!$F$267*(BI63-BI69)/(BI21-BI27+BI35-BI41+BI49-BI55+BI63-BI69+BI77-BI83+Inputs!$F$253)</f>
        <v/>
      </c>
      <c r="BJ70" s="13">
        <f>Time!BJ42*Inputs!$F$267*(BJ63-BJ69)/(BJ21-BJ27+BJ35-BJ41+BJ49-BJ55+BJ63-BJ69+BJ77-BJ83+Inputs!$F$253)</f>
        <v/>
      </c>
      <c r="BK70" s="13">
        <f>Time!BK42*Inputs!$F$267*(BK63-BK69)/(BK21-BK27+BK35-BK41+BK49-BK55+BK63-BK69+BK77-BK83+Inputs!$F$253)</f>
        <v/>
      </c>
      <c r="BL70" s="13">
        <f>Time!BL42*Inputs!$F$267*(BL63-BL69)/(BL21-BL27+BL35-BL41+BL49-BL55+BL63-BL69+BL77-BL83+Inputs!$F$253)</f>
        <v/>
      </c>
      <c r="BM70" s="13">
        <f>Time!BM42*Inputs!$F$267*(BM63-BM69)/(BM21-BM27+BM35-BM41+BM49-BM55+BM63-BM69+BM77-BM83+Inputs!$F$253)</f>
        <v/>
      </c>
      <c r="BN70" s="13">
        <f>Time!BN42*Inputs!$F$267*(BN63-BN69)/(BN21-BN27+BN35-BN41+BN49-BN55+BN63-BN69+BN77-BN83+Inputs!$F$253)</f>
        <v/>
      </c>
    </row>
    <row r="71">
      <c r="D71" t="inlineStr">
        <is>
          <t>Refinanced (prepaid from bond proceeds)</t>
        </is>
      </c>
      <c r="E71" t="inlineStr">
        <is>
          <t>USD m</t>
        </is>
      </c>
      <c r="G71" s="13">
        <f>SUM(J71:BN71)</f>
        <v/>
      </c>
      <c r="J71" s="13">
        <f>Time!J47*(J63-J69-J70)</f>
        <v/>
      </c>
      <c r="K71" s="13">
        <f>Time!K47*(K63-K69-K70)</f>
        <v/>
      </c>
      <c r="L71" s="13">
        <f>Time!L47*(L63-L69-L70)</f>
        <v/>
      </c>
      <c r="M71" s="13">
        <f>Time!M47*(M63-M69-M70)</f>
        <v/>
      </c>
      <c r="N71" s="13">
        <f>Time!N47*(N63-N69-N70)</f>
        <v/>
      </c>
      <c r="O71" s="13">
        <f>Time!O47*(O63-O69-O70)</f>
        <v/>
      </c>
      <c r="P71" s="13">
        <f>Time!P47*(P63-P69-P70)</f>
        <v/>
      </c>
      <c r="Q71" s="13">
        <f>Time!Q47*(Q63-Q69-Q70)</f>
        <v/>
      </c>
      <c r="R71" s="13">
        <f>Time!R47*(R63-R69-R70)</f>
        <v/>
      </c>
      <c r="S71" s="13">
        <f>Time!S47*(S63-S69-S70)</f>
        <v/>
      </c>
      <c r="T71" s="13">
        <f>Time!T47*(T63-T69-T70)</f>
        <v/>
      </c>
      <c r="U71" s="13">
        <f>Time!U47*(U63-U69-U70)</f>
        <v/>
      </c>
      <c r="V71" s="13">
        <f>Time!V47*(V63-V69-V70)</f>
        <v/>
      </c>
      <c r="W71" s="13">
        <f>Time!W47*(W63-W69-W70)</f>
        <v/>
      </c>
      <c r="X71" s="13">
        <f>Time!X47*(X63-X69-X70)</f>
        <v/>
      </c>
      <c r="Y71" s="13">
        <f>Time!Y47*(Y63-Y69-Y70)</f>
        <v/>
      </c>
      <c r="Z71" s="13">
        <f>Time!Z47*(Z63-Z69-Z70)</f>
        <v/>
      </c>
      <c r="AA71" s="13">
        <f>Time!AA47*(AA63-AA69-AA70)</f>
        <v/>
      </c>
      <c r="AB71" s="13">
        <f>Time!AB47*(AB63-AB69-AB70)</f>
        <v/>
      </c>
      <c r="AC71" s="13">
        <f>Time!AC47*(AC63-AC69-AC70)</f>
        <v/>
      </c>
      <c r="AD71" s="13">
        <f>Time!AD47*(AD63-AD69-AD70)</f>
        <v/>
      </c>
      <c r="AE71" s="13">
        <f>Time!AE47*(AE63-AE69-AE70)</f>
        <v/>
      </c>
      <c r="AF71" s="13">
        <f>Time!AF47*(AF63-AF69-AF70)</f>
        <v/>
      </c>
      <c r="AG71" s="13">
        <f>Time!AG47*(AG63-AG69-AG70)</f>
        <v/>
      </c>
      <c r="AH71" s="13">
        <f>Time!AH47*(AH63-AH69-AH70)</f>
        <v/>
      </c>
      <c r="AI71" s="13">
        <f>Time!AI47*(AI63-AI69-AI70)</f>
        <v/>
      </c>
      <c r="AJ71" s="13">
        <f>Time!AJ47*(AJ63-AJ69-AJ70)</f>
        <v/>
      </c>
      <c r="AK71" s="13">
        <f>Time!AK47*(AK63-AK69-AK70)</f>
        <v/>
      </c>
      <c r="AL71" s="13">
        <f>Time!AL47*(AL63-AL69-AL70)</f>
        <v/>
      </c>
      <c r="AM71" s="13">
        <f>Time!AM47*(AM63-AM69-AM70)</f>
        <v/>
      </c>
      <c r="AN71" s="13">
        <f>Time!AN47*(AN63-AN69-AN70)</f>
        <v/>
      </c>
      <c r="AO71" s="13">
        <f>Time!AO47*(AO63-AO69-AO70)</f>
        <v/>
      </c>
      <c r="AP71" s="13">
        <f>Time!AP47*(AP63-AP69-AP70)</f>
        <v/>
      </c>
      <c r="AQ71" s="13">
        <f>Time!AQ47*(AQ63-AQ69-AQ70)</f>
        <v/>
      </c>
      <c r="AR71" s="13">
        <f>Time!AR47*(AR63-AR69-AR70)</f>
        <v/>
      </c>
      <c r="AS71" s="13">
        <f>Time!AS47*(AS63-AS69-AS70)</f>
        <v/>
      </c>
      <c r="AT71" s="13">
        <f>Time!AT47*(AT63-AT69-AT70)</f>
        <v/>
      </c>
      <c r="AU71" s="13">
        <f>Time!AU47*(AU63-AU69-AU70)</f>
        <v/>
      </c>
      <c r="AV71" s="13">
        <f>Time!AV47*(AV63-AV69-AV70)</f>
        <v/>
      </c>
      <c r="AW71" s="13">
        <f>Time!AW47*(AW63-AW69-AW70)</f>
        <v/>
      </c>
      <c r="AX71" s="13">
        <f>Time!AX47*(AX63-AX69-AX70)</f>
        <v/>
      </c>
      <c r="AY71" s="13">
        <f>Time!AY47*(AY63-AY69-AY70)</f>
        <v/>
      </c>
      <c r="AZ71" s="13">
        <f>Time!AZ47*(AZ63-AZ69-AZ70)</f>
        <v/>
      </c>
      <c r="BA71" s="13">
        <f>Time!BA47*(BA63-BA69-BA70)</f>
        <v/>
      </c>
      <c r="BB71" s="13">
        <f>Time!BB47*(BB63-BB69-BB70)</f>
        <v/>
      </c>
      <c r="BC71" s="13">
        <f>Time!BC47*(BC63-BC69-BC70)</f>
        <v/>
      </c>
      <c r="BD71" s="13">
        <f>Time!BD47*(BD63-BD69-BD70)</f>
        <v/>
      </c>
      <c r="BE71" s="13">
        <f>Time!BE47*(BE63-BE69-BE70)</f>
        <v/>
      </c>
      <c r="BF71" s="13">
        <f>Time!BF47*(BF63-BF69-BF70)</f>
        <v/>
      </c>
      <c r="BG71" s="13">
        <f>Time!BG47*(BG63-BG69-BG70)</f>
        <v/>
      </c>
      <c r="BH71" s="13">
        <f>Time!BH47*(BH63-BH69-BH70)</f>
        <v/>
      </c>
      <c r="BI71" s="13">
        <f>Time!BI47*(BI63-BI69-BI70)</f>
        <v/>
      </c>
      <c r="BJ71" s="13">
        <f>Time!BJ47*(BJ63-BJ69-BJ70)</f>
        <v/>
      </c>
      <c r="BK71" s="13">
        <f>Time!BK47*(BK63-BK69-BK70)</f>
        <v/>
      </c>
      <c r="BL71" s="13">
        <f>Time!BL47*(BL63-BL69-BL70)</f>
        <v/>
      </c>
      <c r="BM71" s="13">
        <f>Time!BM47*(BM63-BM69-BM70)</f>
        <v/>
      </c>
      <c r="BN71" s="13">
        <f>Time!BN47*(BN63-BN69-BN70)</f>
        <v/>
      </c>
    </row>
    <row r="72">
      <c r="D72" t="inlineStr">
        <is>
          <t>Deferred principal, closing</t>
        </is>
      </c>
      <c r="E72" t="inlineStr">
        <is>
          <t>USD m</t>
        </is>
      </c>
      <c r="J72" s="13">
        <f>(1-Time!J47)*(J64+J67-J68)</f>
        <v/>
      </c>
      <c r="K72" s="13">
        <f>(1-Time!K47)*(K64+K67-K68)</f>
        <v/>
      </c>
      <c r="L72" s="13">
        <f>(1-Time!L47)*(L64+L67-L68)</f>
        <v/>
      </c>
      <c r="M72" s="13">
        <f>(1-Time!M47)*(M64+M67-M68)</f>
        <v/>
      </c>
      <c r="N72" s="13">
        <f>(1-Time!N47)*(N64+N67-N68)</f>
        <v/>
      </c>
      <c r="O72" s="13">
        <f>(1-Time!O47)*(O64+O67-O68)</f>
        <v/>
      </c>
      <c r="P72" s="13">
        <f>(1-Time!P47)*(P64+P67-P68)</f>
        <v/>
      </c>
      <c r="Q72" s="13">
        <f>(1-Time!Q47)*(Q64+Q67-Q68)</f>
        <v/>
      </c>
      <c r="R72" s="13">
        <f>(1-Time!R47)*(R64+R67-R68)</f>
        <v/>
      </c>
      <c r="S72" s="13">
        <f>(1-Time!S47)*(S64+S67-S68)</f>
        <v/>
      </c>
      <c r="T72" s="13">
        <f>(1-Time!T47)*(T64+T67-T68)</f>
        <v/>
      </c>
      <c r="U72" s="13">
        <f>(1-Time!U47)*(U64+U67-U68)</f>
        <v/>
      </c>
      <c r="V72" s="13">
        <f>(1-Time!V47)*(V64+V67-V68)</f>
        <v/>
      </c>
      <c r="W72" s="13">
        <f>(1-Time!W47)*(W64+W67-W68)</f>
        <v/>
      </c>
      <c r="X72" s="13">
        <f>(1-Time!X47)*(X64+X67-X68)</f>
        <v/>
      </c>
      <c r="Y72" s="13">
        <f>(1-Time!Y47)*(Y64+Y67-Y68)</f>
        <v/>
      </c>
      <c r="Z72" s="13">
        <f>(1-Time!Z47)*(Z64+Z67-Z68)</f>
        <v/>
      </c>
      <c r="AA72" s="13">
        <f>(1-Time!AA47)*(AA64+AA67-AA68)</f>
        <v/>
      </c>
      <c r="AB72" s="13">
        <f>(1-Time!AB47)*(AB64+AB67-AB68)</f>
        <v/>
      </c>
      <c r="AC72" s="13">
        <f>(1-Time!AC47)*(AC64+AC67-AC68)</f>
        <v/>
      </c>
      <c r="AD72" s="13">
        <f>(1-Time!AD47)*(AD64+AD67-AD68)</f>
        <v/>
      </c>
      <c r="AE72" s="13">
        <f>(1-Time!AE47)*(AE64+AE67-AE68)</f>
        <v/>
      </c>
      <c r="AF72" s="13">
        <f>(1-Time!AF47)*(AF64+AF67-AF68)</f>
        <v/>
      </c>
      <c r="AG72" s="13">
        <f>(1-Time!AG47)*(AG64+AG67-AG68)</f>
        <v/>
      </c>
      <c r="AH72" s="13">
        <f>(1-Time!AH47)*(AH64+AH67-AH68)</f>
        <v/>
      </c>
      <c r="AI72" s="13">
        <f>(1-Time!AI47)*(AI64+AI67-AI68)</f>
        <v/>
      </c>
      <c r="AJ72" s="13">
        <f>(1-Time!AJ47)*(AJ64+AJ67-AJ68)</f>
        <v/>
      </c>
      <c r="AK72" s="13">
        <f>(1-Time!AK47)*(AK64+AK67-AK68)</f>
        <v/>
      </c>
      <c r="AL72" s="13">
        <f>(1-Time!AL47)*(AL64+AL67-AL68)</f>
        <v/>
      </c>
      <c r="AM72" s="13">
        <f>(1-Time!AM47)*(AM64+AM67-AM68)</f>
        <v/>
      </c>
      <c r="AN72" s="13">
        <f>(1-Time!AN47)*(AN64+AN67-AN68)</f>
        <v/>
      </c>
      <c r="AO72" s="13">
        <f>(1-Time!AO47)*(AO64+AO67-AO68)</f>
        <v/>
      </c>
      <c r="AP72" s="13">
        <f>(1-Time!AP47)*(AP64+AP67-AP68)</f>
        <v/>
      </c>
      <c r="AQ72" s="13">
        <f>(1-Time!AQ47)*(AQ64+AQ67-AQ68)</f>
        <v/>
      </c>
      <c r="AR72" s="13">
        <f>(1-Time!AR47)*(AR64+AR67-AR68)</f>
        <v/>
      </c>
      <c r="AS72" s="13">
        <f>(1-Time!AS47)*(AS64+AS67-AS68)</f>
        <v/>
      </c>
      <c r="AT72" s="13">
        <f>(1-Time!AT47)*(AT64+AT67-AT68)</f>
        <v/>
      </c>
      <c r="AU72" s="13">
        <f>(1-Time!AU47)*(AU64+AU67-AU68)</f>
        <v/>
      </c>
      <c r="AV72" s="13">
        <f>(1-Time!AV47)*(AV64+AV67-AV68)</f>
        <v/>
      </c>
      <c r="AW72" s="13">
        <f>(1-Time!AW47)*(AW64+AW67-AW68)</f>
        <v/>
      </c>
      <c r="AX72" s="13">
        <f>(1-Time!AX47)*(AX64+AX67-AX68)</f>
        <v/>
      </c>
      <c r="AY72" s="13">
        <f>(1-Time!AY47)*(AY64+AY67-AY68)</f>
        <v/>
      </c>
      <c r="AZ72" s="13">
        <f>(1-Time!AZ47)*(AZ64+AZ67-AZ68)</f>
        <v/>
      </c>
      <c r="BA72" s="13">
        <f>(1-Time!BA47)*(BA64+BA67-BA68)</f>
        <v/>
      </c>
      <c r="BB72" s="13">
        <f>(1-Time!BB47)*(BB64+BB67-BB68)</f>
        <v/>
      </c>
      <c r="BC72" s="13">
        <f>(1-Time!BC47)*(BC64+BC67-BC68)</f>
        <v/>
      </c>
      <c r="BD72" s="13">
        <f>(1-Time!BD47)*(BD64+BD67-BD68)</f>
        <v/>
      </c>
      <c r="BE72" s="13">
        <f>(1-Time!BE47)*(BE64+BE67-BE68)</f>
        <v/>
      </c>
      <c r="BF72" s="13">
        <f>(1-Time!BF47)*(BF64+BF67-BF68)</f>
        <v/>
      </c>
      <c r="BG72" s="13">
        <f>(1-Time!BG47)*(BG64+BG67-BG68)</f>
        <v/>
      </c>
      <c r="BH72" s="13">
        <f>(1-Time!BH47)*(BH64+BH67-BH68)</f>
        <v/>
      </c>
      <c r="BI72" s="13">
        <f>(1-Time!BI47)*(BI64+BI67-BI68)</f>
        <v/>
      </c>
      <c r="BJ72" s="13">
        <f>(1-Time!BJ47)*(BJ64+BJ67-BJ68)</f>
        <v/>
      </c>
      <c r="BK72" s="13">
        <f>(1-Time!BK47)*(BK64+BK67-BK68)</f>
        <v/>
      </c>
      <c r="BL72" s="13">
        <f>(1-Time!BL47)*(BL64+BL67-BL68)</f>
        <v/>
      </c>
      <c r="BM72" s="13">
        <f>(1-Time!BM47)*(BM64+BM67-BM68)</f>
        <v/>
      </c>
      <c r="BN72" s="13">
        <f>(1-Time!BN47)*(BN64+BN67-BN68)</f>
        <v/>
      </c>
    </row>
    <row r="73">
      <c r="D73" t="inlineStr">
        <is>
          <t>Balance after scheduled payment, LDs and refinancing</t>
        </is>
      </c>
      <c r="E73" t="inlineStr">
        <is>
          <t>USD m</t>
        </is>
      </c>
      <c r="J73" s="13">
        <f>J63-J69-J70-J71</f>
        <v/>
      </c>
      <c r="K73" s="13">
        <f>K63-K69-K70-K71</f>
        <v/>
      </c>
      <c r="L73" s="13">
        <f>L63-L69-L70-L71</f>
        <v/>
      </c>
      <c r="M73" s="13">
        <f>M63-M69-M70-M71</f>
        <v/>
      </c>
      <c r="N73" s="13">
        <f>N63-N69-N70-N71</f>
        <v/>
      </c>
      <c r="O73" s="13">
        <f>O63-O69-O70-O71</f>
        <v/>
      </c>
      <c r="P73" s="13">
        <f>P63-P69-P70-P71</f>
        <v/>
      </c>
      <c r="Q73" s="13">
        <f>Q63-Q69-Q70-Q71</f>
        <v/>
      </c>
      <c r="R73" s="13">
        <f>R63-R69-R70-R71</f>
        <v/>
      </c>
      <c r="S73" s="13">
        <f>S63-S69-S70-S71</f>
        <v/>
      </c>
      <c r="T73" s="13">
        <f>T63-T69-T70-T71</f>
        <v/>
      </c>
      <c r="U73" s="13">
        <f>U63-U69-U70-U71</f>
        <v/>
      </c>
      <c r="V73" s="13">
        <f>V63-V69-V70-V71</f>
        <v/>
      </c>
      <c r="W73" s="13">
        <f>W63-W69-W70-W71</f>
        <v/>
      </c>
      <c r="X73" s="13">
        <f>X63-X69-X70-X71</f>
        <v/>
      </c>
      <c r="Y73" s="13">
        <f>Y63-Y69-Y70-Y71</f>
        <v/>
      </c>
      <c r="Z73" s="13">
        <f>Z63-Z69-Z70-Z71</f>
        <v/>
      </c>
      <c r="AA73" s="13">
        <f>AA63-AA69-AA70-AA71</f>
        <v/>
      </c>
      <c r="AB73" s="13">
        <f>AB63-AB69-AB70-AB71</f>
        <v/>
      </c>
      <c r="AC73" s="13">
        <f>AC63-AC69-AC70-AC71</f>
        <v/>
      </c>
      <c r="AD73" s="13">
        <f>AD63-AD69-AD70-AD71</f>
        <v/>
      </c>
      <c r="AE73" s="13">
        <f>AE63-AE69-AE70-AE71</f>
        <v/>
      </c>
      <c r="AF73" s="13">
        <f>AF63-AF69-AF70-AF71</f>
        <v/>
      </c>
      <c r="AG73" s="13">
        <f>AG63-AG69-AG70-AG71</f>
        <v/>
      </c>
      <c r="AH73" s="13">
        <f>AH63-AH69-AH70-AH71</f>
        <v/>
      </c>
      <c r="AI73" s="13">
        <f>AI63-AI69-AI70-AI71</f>
        <v/>
      </c>
      <c r="AJ73" s="13">
        <f>AJ63-AJ69-AJ70-AJ71</f>
        <v/>
      </c>
      <c r="AK73" s="13">
        <f>AK63-AK69-AK70-AK71</f>
        <v/>
      </c>
      <c r="AL73" s="13">
        <f>AL63-AL69-AL70-AL71</f>
        <v/>
      </c>
      <c r="AM73" s="13">
        <f>AM63-AM69-AM70-AM71</f>
        <v/>
      </c>
      <c r="AN73" s="13">
        <f>AN63-AN69-AN70-AN71</f>
        <v/>
      </c>
      <c r="AO73" s="13">
        <f>AO63-AO69-AO70-AO71</f>
        <v/>
      </c>
      <c r="AP73" s="13">
        <f>AP63-AP69-AP70-AP71</f>
        <v/>
      </c>
      <c r="AQ73" s="13">
        <f>AQ63-AQ69-AQ70-AQ71</f>
        <v/>
      </c>
      <c r="AR73" s="13">
        <f>AR63-AR69-AR70-AR71</f>
        <v/>
      </c>
      <c r="AS73" s="13">
        <f>AS63-AS69-AS70-AS71</f>
        <v/>
      </c>
      <c r="AT73" s="13">
        <f>AT63-AT69-AT70-AT71</f>
        <v/>
      </c>
      <c r="AU73" s="13">
        <f>AU63-AU69-AU70-AU71</f>
        <v/>
      </c>
      <c r="AV73" s="13">
        <f>AV63-AV69-AV70-AV71</f>
        <v/>
      </c>
      <c r="AW73" s="13">
        <f>AW63-AW69-AW70-AW71</f>
        <v/>
      </c>
      <c r="AX73" s="13">
        <f>AX63-AX69-AX70-AX71</f>
        <v/>
      </c>
      <c r="AY73" s="13">
        <f>AY63-AY69-AY70-AY71</f>
        <v/>
      </c>
      <c r="AZ73" s="13">
        <f>AZ63-AZ69-AZ70-AZ71</f>
        <v/>
      </c>
      <c r="BA73" s="13">
        <f>BA63-BA69-BA70-BA71</f>
        <v/>
      </c>
      <c r="BB73" s="13">
        <f>BB63-BB69-BB70-BB71</f>
        <v/>
      </c>
      <c r="BC73" s="13">
        <f>BC63-BC69-BC70-BC71</f>
        <v/>
      </c>
      <c r="BD73" s="13">
        <f>BD63-BD69-BD70-BD71</f>
        <v/>
      </c>
      <c r="BE73" s="13">
        <f>BE63-BE69-BE70-BE71</f>
        <v/>
      </c>
      <c r="BF73" s="13">
        <f>BF63-BF69-BF70-BF71</f>
        <v/>
      </c>
      <c r="BG73" s="13">
        <f>BG63-BG69-BG70-BG71</f>
        <v/>
      </c>
      <c r="BH73" s="13">
        <f>BH63-BH69-BH70-BH71</f>
        <v/>
      </c>
      <c r="BI73" s="13">
        <f>BI63-BI69-BI70-BI71</f>
        <v/>
      </c>
      <c r="BJ73" s="13">
        <f>BJ63-BJ69-BJ70-BJ71</f>
        <v/>
      </c>
      <c r="BK73" s="13">
        <f>BK63-BK69-BK70-BK71</f>
        <v/>
      </c>
      <c r="BL73" s="13">
        <f>BL63-BL69-BL70-BL71</f>
        <v/>
      </c>
      <c r="BM73" s="13">
        <f>BM63-BM69-BM70-BM71</f>
        <v/>
      </c>
      <c r="BN73" s="13">
        <f>BN63-BN69-BN70-BN71</f>
        <v/>
      </c>
    </row>
    <row r="74">
      <c r="D74" t="inlineStr">
        <is>
          <t>Cash sweep prepayment</t>
        </is>
      </c>
      <c r="E74" t="inlineStr">
        <is>
          <t>USD m</t>
        </is>
      </c>
      <c r="G74" s="13">
        <f>SUM(J74:BN74)</f>
        <v/>
      </c>
      <c r="J74" s="13">
        <f>Waterfall!J28*J73/(J31+J45+J59+J73+J87+Inputs!$F$253)+Waterfall!J29</f>
        <v/>
      </c>
      <c r="K74" s="13">
        <f>Waterfall!K28*K73/(K31+K45+K59+K73+K87+Inputs!$F$253)+Waterfall!K29</f>
        <v/>
      </c>
      <c r="L74" s="13">
        <f>Waterfall!L28*L73/(L31+L45+L59+L73+L87+Inputs!$F$253)+Waterfall!L29</f>
        <v/>
      </c>
      <c r="M74" s="13">
        <f>Waterfall!M28*M73/(M31+M45+M59+M73+M87+Inputs!$F$253)+Waterfall!M29</f>
        <v/>
      </c>
      <c r="N74" s="13">
        <f>Waterfall!N28*N73/(N31+N45+N59+N73+N87+Inputs!$F$253)+Waterfall!N29</f>
        <v/>
      </c>
      <c r="O74" s="13">
        <f>Waterfall!O28*O73/(O31+O45+O59+O73+O87+Inputs!$F$253)+Waterfall!O29</f>
        <v/>
      </c>
      <c r="P74" s="13">
        <f>Waterfall!P28*P73/(P31+P45+P59+P73+P87+Inputs!$F$253)+Waterfall!P29</f>
        <v/>
      </c>
      <c r="Q74" s="13">
        <f>Waterfall!Q28*Q73/(Q31+Q45+Q59+Q73+Q87+Inputs!$F$253)+Waterfall!Q29</f>
        <v/>
      </c>
      <c r="R74" s="13">
        <f>Waterfall!R28*R73/(R31+R45+R59+R73+R87+Inputs!$F$253)+Waterfall!R29</f>
        <v/>
      </c>
      <c r="S74" s="13">
        <f>Waterfall!S28*S73/(S31+S45+S59+S73+S87+Inputs!$F$253)+Waterfall!S29</f>
        <v/>
      </c>
      <c r="T74" s="13">
        <f>Waterfall!T28*T73/(T31+T45+T59+T73+T87+Inputs!$F$253)+Waterfall!T29</f>
        <v/>
      </c>
      <c r="U74" s="13">
        <f>Waterfall!U28*U73/(U31+U45+U59+U73+U87+Inputs!$F$253)+Waterfall!U29</f>
        <v/>
      </c>
      <c r="V74" s="13">
        <f>Waterfall!V28*V73/(V31+V45+V59+V73+V87+Inputs!$F$253)+Waterfall!V29</f>
        <v/>
      </c>
      <c r="W74" s="13">
        <f>Waterfall!W28*W73/(W31+W45+W59+W73+W87+Inputs!$F$253)+Waterfall!W29</f>
        <v/>
      </c>
      <c r="X74" s="13">
        <f>Waterfall!X28*X73/(X31+X45+X59+X73+X87+Inputs!$F$253)+Waterfall!X29</f>
        <v/>
      </c>
      <c r="Y74" s="13">
        <f>Waterfall!Y28*Y73/(Y31+Y45+Y59+Y73+Y87+Inputs!$F$253)+Waterfall!Y29</f>
        <v/>
      </c>
      <c r="Z74" s="13">
        <f>Waterfall!Z28*Z73/(Z31+Z45+Z59+Z73+Z87+Inputs!$F$253)+Waterfall!Z29</f>
        <v/>
      </c>
      <c r="AA74" s="13">
        <f>Waterfall!AA28*AA73/(AA31+AA45+AA59+AA73+AA87+Inputs!$F$253)+Waterfall!AA29</f>
        <v/>
      </c>
      <c r="AB74" s="13">
        <f>Waterfall!AB28*AB73/(AB31+AB45+AB59+AB73+AB87+Inputs!$F$253)+Waterfall!AB29</f>
        <v/>
      </c>
      <c r="AC74" s="13">
        <f>Waterfall!AC28*AC73/(AC31+AC45+AC59+AC73+AC87+Inputs!$F$253)+Waterfall!AC29</f>
        <v/>
      </c>
      <c r="AD74" s="13">
        <f>Waterfall!AD28*AD73/(AD31+AD45+AD59+AD73+AD87+Inputs!$F$253)+Waterfall!AD29</f>
        <v/>
      </c>
      <c r="AE74" s="13">
        <f>Waterfall!AE28*AE73/(AE31+AE45+AE59+AE73+AE87+Inputs!$F$253)+Waterfall!AE29</f>
        <v/>
      </c>
      <c r="AF74" s="13">
        <f>Waterfall!AF28*AF73/(AF31+AF45+AF59+AF73+AF87+Inputs!$F$253)+Waterfall!AF29</f>
        <v/>
      </c>
      <c r="AG74" s="13">
        <f>Waterfall!AG28*AG73/(AG31+AG45+AG59+AG73+AG87+Inputs!$F$253)+Waterfall!AG29</f>
        <v/>
      </c>
      <c r="AH74" s="13">
        <f>Waterfall!AH28*AH73/(AH31+AH45+AH59+AH73+AH87+Inputs!$F$253)+Waterfall!AH29</f>
        <v/>
      </c>
      <c r="AI74" s="13">
        <f>Waterfall!AI28*AI73/(AI31+AI45+AI59+AI73+AI87+Inputs!$F$253)+Waterfall!AI29</f>
        <v/>
      </c>
      <c r="AJ74" s="13">
        <f>Waterfall!AJ28*AJ73/(AJ31+AJ45+AJ59+AJ73+AJ87+Inputs!$F$253)+Waterfall!AJ29</f>
        <v/>
      </c>
      <c r="AK74" s="13">
        <f>Waterfall!AK28*AK73/(AK31+AK45+AK59+AK73+AK87+Inputs!$F$253)+Waterfall!AK29</f>
        <v/>
      </c>
      <c r="AL74" s="13">
        <f>Waterfall!AL28*AL73/(AL31+AL45+AL59+AL73+AL87+Inputs!$F$253)+Waterfall!AL29</f>
        <v/>
      </c>
      <c r="AM74" s="13">
        <f>Waterfall!AM28*AM73/(AM31+AM45+AM59+AM73+AM87+Inputs!$F$253)+Waterfall!AM29</f>
        <v/>
      </c>
      <c r="AN74" s="13">
        <f>Waterfall!AN28*AN73/(AN31+AN45+AN59+AN73+AN87+Inputs!$F$253)+Waterfall!AN29</f>
        <v/>
      </c>
      <c r="AO74" s="13">
        <f>Waterfall!AO28*AO73/(AO31+AO45+AO59+AO73+AO87+Inputs!$F$253)+Waterfall!AO29</f>
        <v/>
      </c>
      <c r="AP74" s="13">
        <f>Waterfall!AP28*AP73/(AP31+AP45+AP59+AP73+AP87+Inputs!$F$253)+Waterfall!AP29</f>
        <v/>
      </c>
      <c r="AQ74" s="13">
        <f>Waterfall!AQ28*AQ73/(AQ31+AQ45+AQ59+AQ73+AQ87+Inputs!$F$253)+Waterfall!AQ29</f>
        <v/>
      </c>
      <c r="AR74" s="13">
        <f>Waterfall!AR28*AR73/(AR31+AR45+AR59+AR73+AR87+Inputs!$F$253)+Waterfall!AR29</f>
        <v/>
      </c>
      <c r="AS74" s="13">
        <f>Waterfall!AS28*AS73/(AS31+AS45+AS59+AS73+AS87+Inputs!$F$253)+Waterfall!AS29</f>
        <v/>
      </c>
      <c r="AT74" s="13">
        <f>Waterfall!AT28*AT73/(AT31+AT45+AT59+AT73+AT87+Inputs!$F$253)+Waterfall!AT29</f>
        <v/>
      </c>
      <c r="AU74" s="13">
        <f>Waterfall!AU28*AU73/(AU31+AU45+AU59+AU73+AU87+Inputs!$F$253)+Waterfall!AU29</f>
        <v/>
      </c>
      <c r="AV74" s="13">
        <f>Waterfall!AV28*AV73/(AV31+AV45+AV59+AV73+AV87+Inputs!$F$253)+Waterfall!AV29</f>
        <v/>
      </c>
      <c r="AW74" s="13">
        <f>Waterfall!AW28*AW73/(AW31+AW45+AW59+AW73+AW87+Inputs!$F$253)+Waterfall!AW29</f>
        <v/>
      </c>
      <c r="AX74" s="13">
        <f>Waterfall!AX28*AX73/(AX31+AX45+AX59+AX73+AX87+Inputs!$F$253)+Waterfall!AX29</f>
        <v/>
      </c>
      <c r="AY74" s="13">
        <f>Waterfall!AY28*AY73/(AY31+AY45+AY59+AY73+AY87+Inputs!$F$253)+Waterfall!AY29</f>
        <v/>
      </c>
      <c r="AZ74" s="13">
        <f>Waterfall!AZ28*AZ73/(AZ31+AZ45+AZ59+AZ73+AZ87+Inputs!$F$253)+Waterfall!AZ29</f>
        <v/>
      </c>
      <c r="BA74" s="13">
        <f>Waterfall!BA28*BA73/(BA31+BA45+BA59+BA73+BA87+Inputs!$F$253)+Waterfall!BA29</f>
        <v/>
      </c>
      <c r="BB74" s="13">
        <f>Waterfall!BB28*BB73/(BB31+BB45+BB59+BB73+BB87+Inputs!$F$253)+Waterfall!BB29</f>
        <v/>
      </c>
      <c r="BC74" s="13">
        <f>Waterfall!BC28*BC73/(BC31+BC45+BC59+BC73+BC87+Inputs!$F$253)+Waterfall!BC29</f>
        <v/>
      </c>
      <c r="BD74" s="13">
        <f>Waterfall!BD28*BD73/(BD31+BD45+BD59+BD73+BD87+Inputs!$F$253)+Waterfall!BD29</f>
        <v/>
      </c>
      <c r="BE74" s="13">
        <f>Waterfall!BE28*BE73/(BE31+BE45+BE59+BE73+BE87+Inputs!$F$253)+Waterfall!BE29</f>
        <v/>
      </c>
      <c r="BF74" s="13">
        <f>Waterfall!BF28*BF73/(BF31+BF45+BF59+BF73+BF87+Inputs!$F$253)+Waterfall!BF29</f>
        <v/>
      </c>
      <c r="BG74" s="13">
        <f>Waterfall!BG28*BG73/(BG31+BG45+BG59+BG73+BG87+Inputs!$F$253)+Waterfall!BG29</f>
        <v/>
      </c>
      <c r="BH74" s="13">
        <f>Waterfall!BH28*BH73/(BH31+BH45+BH59+BH73+BH87+Inputs!$F$253)+Waterfall!BH29</f>
        <v/>
      </c>
      <c r="BI74" s="13">
        <f>Waterfall!BI28*BI73/(BI31+BI45+BI59+BI73+BI87+Inputs!$F$253)+Waterfall!BI29</f>
        <v/>
      </c>
      <c r="BJ74" s="13">
        <f>Waterfall!BJ28*BJ73/(BJ31+BJ45+BJ59+BJ73+BJ87+Inputs!$F$253)+Waterfall!BJ29</f>
        <v/>
      </c>
      <c r="BK74" s="13">
        <f>Waterfall!BK28*BK73/(BK31+BK45+BK59+BK73+BK87+Inputs!$F$253)+Waterfall!BK29</f>
        <v/>
      </c>
      <c r="BL74" s="13">
        <f>Waterfall!BL28*BL73/(BL31+BL45+BL59+BL73+BL87+Inputs!$F$253)+Waterfall!BL29</f>
        <v/>
      </c>
      <c r="BM74" s="13">
        <f>Waterfall!BM28*BM73/(BM31+BM45+BM59+BM73+BM87+Inputs!$F$253)+Waterfall!BM29</f>
        <v/>
      </c>
      <c r="BN74" s="13">
        <f>Waterfall!BN28*BN73/(BN31+BN45+BN59+BN73+BN87+Inputs!$F$253)+Waterfall!BN29</f>
        <v/>
      </c>
    </row>
    <row r="75">
      <c r="D75" t="inlineStr">
        <is>
          <t>Closing balance</t>
        </is>
      </c>
      <c r="E75" t="inlineStr">
        <is>
          <t>USD m</t>
        </is>
      </c>
      <c r="J75" s="13">
        <f>IF(Time!J34=1,INDEX(Funding!$J$64:$BJ$64,1,Time!$F$14),Time!J35*(J73-J74))</f>
        <v/>
      </c>
      <c r="K75" s="13">
        <f>IF(Time!K34=1,INDEX(Funding!$J$64:$BJ$64,1,Time!$F$14),Time!K35*(K73-K74))</f>
        <v/>
      </c>
      <c r="L75" s="13">
        <f>IF(Time!L34=1,INDEX(Funding!$J$64:$BJ$64,1,Time!$F$14),Time!L35*(L73-L74))</f>
        <v/>
      </c>
      <c r="M75" s="13">
        <f>IF(Time!M34=1,INDEX(Funding!$J$64:$BJ$64,1,Time!$F$14),Time!M35*(M73-M74))</f>
        <v/>
      </c>
      <c r="N75" s="13">
        <f>IF(Time!N34=1,INDEX(Funding!$J$64:$BJ$64,1,Time!$F$14),Time!N35*(N73-N74))</f>
        <v/>
      </c>
      <c r="O75" s="13">
        <f>IF(Time!O34=1,INDEX(Funding!$J$64:$BJ$64,1,Time!$F$14),Time!O35*(O73-O74))</f>
        <v/>
      </c>
      <c r="P75" s="13">
        <f>IF(Time!P34=1,INDEX(Funding!$J$64:$BJ$64,1,Time!$F$14),Time!P35*(P73-P74))</f>
        <v/>
      </c>
      <c r="Q75" s="13">
        <f>IF(Time!Q34=1,INDEX(Funding!$J$64:$BJ$64,1,Time!$F$14),Time!Q35*(Q73-Q74))</f>
        <v/>
      </c>
      <c r="R75" s="13">
        <f>IF(Time!R34=1,INDEX(Funding!$J$64:$BJ$64,1,Time!$F$14),Time!R35*(R73-R74))</f>
        <v/>
      </c>
      <c r="S75" s="13">
        <f>IF(Time!S34=1,INDEX(Funding!$J$64:$BJ$64,1,Time!$F$14),Time!S35*(S73-S74))</f>
        <v/>
      </c>
      <c r="T75" s="13">
        <f>IF(Time!T34=1,INDEX(Funding!$J$64:$BJ$64,1,Time!$F$14),Time!T35*(T73-T74))</f>
        <v/>
      </c>
      <c r="U75" s="13">
        <f>IF(Time!U34=1,INDEX(Funding!$J$64:$BJ$64,1,Time!$F$14),Time!U35*(U73-U74))</f>
        <v/>
      </c>
      <c r="V75" s="13">
        <f>IF(Time!V34=1,INDEX(Funding!$J$64:$BJ$64,1,Time!$F$14),Time!V35*(V73-V74))</f>
        <v/>
      </c>
      <c r="W75" s="13">
        <f>IF(Time!W34=1,INDEX(Funding!$J$64:$BJ$64,1,Time!$F$14),Time!W35*(W73-W74))</f>
        <v/>
      </c>
      <c r="X75" s="13">
        <f>IF(Time!X34=1,INDEX(Funding!$J$64:$BJ$64,1,Time!$F$14),Time!X35*(X73-X74))</f>
        <v/>
      </c>
      <c r="Y75" s="13">
        <f>IF(Time!Y34=1,INDEX(Funding!$J$64:$BJ$64,1,Time!$F$14),Time!Y35*(Y73-Y74))</f>
        <v/>
      </c>
      <c r="Z75" s="13">
        <f>IF(Time!Z34=1,INDEX(Funding!$J$64:$BJ$64,1,Time!$F$14),Time!Z35*(Z73-Z74))</f>
        <v/>
      </c>
      <c r="AA75" s="13">
        <f>IF(Time!AA34=1,INDEX(Funding!$J$64:$BJ$64,1,Time!$F$14),Time!AA35*(AA73-AA74))</f>
        <v/>
      </c>
      <c r="AB75" s="13">
        <f>IF(Time!AB34=1,INDEX(Funding!$J$64:$BJ$64,1,Time!$F$14),Time!AB35*(AB73-AB74))</f>
        <v/>
      </c>
      <c r="AC75" s="13">
        <f>IF(Time!AC34=1,INDEX(Funding!$J$64:$BJ$64,1,Time!$F$14),Time!AC35*(AC73-AC74))</f>
        <v/>
      </c>
      <c r="AD75" s="13">
        <f>IF(Time!AD34=1,INDEX(Funding!$J$64:$BJ$64,1,Time!$F$14),Time!AD35*(AD73-AD74))</f>
        <v/>
      </c>
      <c r="AE75" s="13">
        <f>IF(Time!AE34=1,INDEX(Funding!$J$64:$BJ$64,1,Time!$F$14),Time!AE35*(AE73-AE74))</f>
        <v/>
      </c>
      <c r="AF75" s="13">
        <f>IF(Time!AF34=1,INDEX(Funding!$J$64:$BJ$64,1,Time!$F$14),Time!AF35*(AF73-AF74))</f>
        <v/>
      </c>
      <c r="AG75" s="13">
        <f>IF(Time!AG34=1,INDEX(Funding!$J$64:$BJ$64,1,Time!$F$14),Time!AG35*(AG73-AG74))</f>
        <v/>
      </c>
      <c r="AH75" s="13">
        <f>IF(Time!AH34=1,INDEX(Funding!$J$64:$BJ$64,1,Time!$F$14),Time!AH35*(AH73-AH74))</f>
        <v/>
      </c>
      <c r="AI75" s="13">
        <f>IF(Time!AI34=1,INDEX(Funding!$J$64:$BJ$64,1,Time!$F$14),Time!AI35*(AI73-AI74))</f>
        <v/>
      </c>
      <c r="AJ75" s="13">
        <f>IF(Time!AJ34=1,INDEX(Funding!$J$64:$BJ$64,1,Time!$F$14),Time!AJ35*(AJ73-AJ74))</f>
        <v/>
      </c>
      <c r="AK75" s="13">
        <f>IF(Time!AK34=1,INDEX(Funding!$J$64:$BJ$64,1,Time!$F$14),Time!AK35*(AK73-AK74))</f>
        <v/>
      </c>
      <c r="AL75" s="13">
        <f>IF(Time!AL34=1,INDEX(Funding!$J$64:$BJ$64,1,Time!$F$14),Time!AL35*(AL73-AL74))</f>
        <v/>
      </c>
      <c r="AM75" s="13">
        <f>IF(Time!AM34=1,INDEX(Funding!$J$64:$BJ$64,1,Time!$F$14),Time!AM35*(AM73-AM74))</f>
        <v/>
      </c>
      <c r="AN75" s="13">
        <f>IF(Time!AN34=1,INDEX(Funding!$J$64:$BJ$64,1,Time!$F$14),Time!AN35*(AN73-AN74))</f>
        <v/>
      </c>
      <c r="AO75" s="13">
        <f>IF(Time!AO34=1,INDEX(Funding!$J$64:$BJ$64,1,Time!$F$14),Time!AO35*(AO73-AO74))</f>
        <v/>
      </c>
      <c r="AP75" s="13">
        <f>IF(Time!AP34=1,INDEX(Funding!$J$64:$BJ$64,1,Time!$F$14),Time!AP35*(AP73-AP74))</f>
        <v/>
      </c>
      <c r="AQ75" s="13">
        <f>IF(Time!AQ34=1,INDEX(Funding!$J$64:$BJ$64,1,Time!$F$14),Time!AQ35*(AQ73-AQ74))</f>
        <v/>
      </c>
      <c r="AR75" s="13">
        <f>IF(Time!AR34=1,INDEX(Funding!$J$64:$BJ$64,1,Time!$F$14),Time!AR35*(AR73-AR74))</f>
        <v/>
      </c>
      <c r="AS75" s="13">
        <f>IF(Time!AS34=1,INDEX(Funding!$J$64:$BJ$64,1,Time!$F$14),Time!AS35*(AS73-AS74))</f>
        <v/>
      </c>
      <c r="AT75" s="13">
        <f>IF(Time!AT34=1,INDEX(Funding!$J$64:$BJ$64,1,Time!$F$14),Time!AT35*(AT73-AT74))</f>
        <v/>
      </c>
      <c r="AU75" s="13">
        <f>IF(Time!AU34=1,INDEX(Funding!$J$64:$BJ$64,1,Time!$F$14),Time!AU35*(AU73-AU74))</f>
        <v/>
      </c>
      <c r="AV75" s="13">
        <f>IF(Time!AV34=1,INDEX(Funding!$J$64:$BJ$64,1,Time!$F$14),Time!AV35*(AV73-AV74))</f>
        <v/>
      </c>
      <c r="AW75" s="13">
        <f>IF(Time!AW34=1,INDEX(Funding!$J$64:$BJ$64,1,Time!$F$14),Time!AW35*(AW73-AW74))</f>
        <v/>
      </c>
      <c r="AX75" s="13">
        <f>IF(Time!AX34=1,INDEX(Funding!$J$64:$BJ$64,1,Time!$F$14),Time!AX35*(AX73-AX74))</f>
        <v/>
      </c>
      <c r="AY75" s="13">
        <f>IF(Time!AY34=1,INDEX(Funding!$J$64:$BJ$64,1,Time!$F$14),Time!AY35*(AY73-AY74))</f>
        <v/>
      </c>
      <c r="AZ75" s="13">
        <f>IF(Time!AZ34=1,INDEX(Funding!$J$64:$BJ$64,1,Time!$F$14),Time!AZ35*(AZ73-AZ74))</f>
        <v/>
      </c>
      <c r="BA75" s="13">
        <f>IF(Time!BA34=1,INDEX(Funding!$J$64:$BJ$64,1,Time!$F$14),Time!BA35*(BA73-BA74))</f>
        <v/>
      </c>
      <c r="BB75" s="13">
        <f>IF(Time!BB34=1,INDEX(Funding!$J$64:$BJ$64,1,Time!$F$14),Time!BB35*(BB73-BB74))</f>
        <v/>
      </c>
      <c r="BC75" s="13">
        <f>IF(Time!BC34=1,INDEX(Funding!$J$64:$BJ$64,1,Time!$F$14),Time!BC35*(BC73-BC74))</f>
        <v/>
      </c>
      <c r="BD75" s="13">
        <f>IF(Time!BD34=1,INDEX(Funding!$J$64:$BJ$64,1,Time!$F$14),Time!BD35*(BD73-BD74))</f>
        <v/>
      </c>
      <c r="BE75" s="13">
        <f>IF(Time!BE34=1,INDEX(Funding!$J$64:$BJ$64,1,Time!$F$14),Time!BE35*(BE73-BE74))</f>
        <v/>
      </c>
      <c r="BF75" s="13">
        <f>IF(Time!BF34=1,INDEX(Funding!$J$64:$BJ$64,1,Time!$F$14),Time!BF35*(BF73-BF74))</f>
        <v/>
      </c>
      <c r="BG75" s="13">
        <f>IF(Time!BG34=1,INDEX(Funding!$J$64:$BJ$64,1,Time!$F$14),Time!BG35*(BG73-BG74))</f>
        <v/>
      </c>
      <c r="BH75" s="13">
        <f>IF(Time!BH34=1,INDEX(Funding!$J$64:$BJ$64,1,Time!$F$14),Time!BH35*(BH73-BH74))</f>
        <v/>
      </c>
      <c r="BI75" s="13">
        <f>IF(Time!BI34=1,INDEX(Funding!$J$64:$BJ$64,1,Time!$F$14),Time!BI35*(BI73-BI74))</f>
        <v/>
      </c>
      <c r="BJ75" s="13">
        <f>IF(Time!BJ34=1,INDEX(Funding!$J$64:$BJ$64,1,Time!$F$14),Time!BJ35*(BJ73-BJ74))</f>
        <v/>
      </c>
      <c r="BK75" s="13">
        <f>IF(Time!BK34=1,INDEX(Funding!$J$64:$BJ$64,1,Time!$F$14),Time!BK35*(BK73-BK74))</f>
        <v/>
      </c>
      <c r="BL75" s="13">
        <f>IF(Time!BL34=1,INDEX(Funding!$J$64:$BJ$64,1,Time!$F$14),Time!BL35*(BL73-BL74))</f>
        <v/>
      </c>
      <c r="BM75" s="13">
        <f>IF(Time!BM34=1,INDEX(Funding!$J$64:$BJ$64,1,Time!$F$14),Time!BM35*(BM73-BM74))</f>
        <v/>
      </c>
      <c r="BN75" s="13">
        <f>IF(Time!BN34=1,INDEX(Funding!$J$64:$BJ$64,1,Time!$F$14),Time!BN35*(BN73-BN74))</f>
        <v/>
      </c>
    </row>
    <row r="76">
      <c r="B76" s="2" t="inlineStr">
        <is>
          <t>Standby facility</t>
        </is>
      </c>
    </row>
    <row r="77">
      <c r="D77" t="inlineStr">
        <is>
          <t>Opening balance</t>
        </is>
      </c>
      <c r="E77" t="inlineStr">
        <is>
          <t>USD m</t>
        </is>
      </c>
      <c r="J77" s="13">
        <f>Time!J35*I89</f>
        <v/>
      </c>
      <c r="K77" s="13">
        <f>Time!K35*J89</f>
        <v/>
      </c>
      <c r="L77" s="13">
        <f>Time!L35*K89</f>
        <v/>
      </c>
      <c r="M77" s="13">
        <f>Time!M35*L89</f>
        <v/>
      </c>
      <c r="N77" s="13">
        <f>Time!N35*M89</f>
        <v/>
      </c>
      <c r="O77" s="13">
        <f>Time!O35*N89</f>
        <v/>
      </c>
      <c r="P77" s="13">
        <f>Time!P35*O89</f>
        <v/>
      </c>
      <c r="Q77" s="13">
        <f>Time!Q35*P89</f>
        <v/>
      </c>
      <c r="R77" s="13">
        <f>Time!R35*Q89</f>
        <v/>
      </c>
      <c r="S77" s="13">
        <f>Time!S35*R89</f>
        <v/>
      </c>
      <c r="T77" s="13">
        <f>Time!T35*S89</f>
        <v/>
      </c>
      <c r="U77" s="13">
        <f>Time!U35*T89</f>
        <v/>
      </c>
      <c r="V77" s="13">
        <f>Time!V35*U89</f>
        <v/>
      </c>
      <c r="W77" s="13">
        <f>Time!W35*V89</f>
        <v/>
      </c>
      <c r="X77" s="13">
        <f>Time!X35*W89</f>
        <v/>
      </c>
      <c r="Y77" s="13">
        <f>Time!Y35*X89</f>
        <v/>
      </c>
      <c r="Z77" s="13">
        <f>Time!Z35*Y89</f>
        <v/>
      </c>
      <c r="AA77" s="13">
        <f>Time!AA35*Z89</f>
        <v/>
      </c>
      <c r="AB77" s="13">
        <f>Time!AB35*AA89</f>
        <v/>
      </c>
      <c r="AC77" s="13">
        <f>Time!AC35*AB89</f>
        <v/>
      </c>
      <c r="AD77" s="13">
        <f>Time!AD35*AC89</f>
        <v/>
      </c>
      <c r="AE77" s="13">
        <f>Time!AE35*AD89</f>
        <v/>
      </c>
      <c r="AF77" s="13">
        <f>Time!AF35*AE89</f>
        <v/>
      </c>
      <c r="AG77" s="13">
        <f>Time!AG35*AF89</f>
        <v/>
      </c>
      <c r="AH77" s="13">
        <f>Time!AH35*AG89</f>
        <v/>
      </c>
      <c r="AI77" s="13">
        <f>Time!AI35*AH89</f>
        <v/>
      </c>
      <c r="AJ77" s="13">
        <f>Time!AJ35*AI89</f>
        <v/>
      </c>
      <c r="AK77" s="13">
        <f>Time!AK35*AJ89</f>
        <v/>
      </c>
      <c r="AL77" s="13">
        <f>Time!AL35*AK89</f>
        <v/>
      </c>
      <c r="AM77" s="13">
        <f>Time!AM35*AL89</f>
        <v/>
      </c>
      <c r="AN77" s="13">
        <f>Time!AN35*AM89</f>
        <v/>
      </c>
      <c r="AO77" s="13">
        <f>Time!AO35*AN89</f>
        <v/>
      </c>
      <c r="AP77" s="13">
        <f>Time!AP35*AO89</f>
        <v/>
      </c>
      <c r="AQ77" s="13">
        <f>Time!AQ35*AP89</f>
        <v/>
      </c>
      <c r="AR77" s="13">
        <f>Time!AR35*AQ89</f>
        <v/>
      </c>
      <c r="AS77" s="13">
        <f>Time!AS35*AR89</f>
        <v/>
      </c>
      <c r="AT77" s="13">
        <f>Time!AT35*AS89</f>
        <v/>
      </c>
      <c r="AU77" s="13">
        <f>Time!AU35*AT89</f>
        <v/>
      </c>
      <c r="AV77" s="13">
        <f>Time!AV35*AU89</f>
        <v/>
      </c>
      <c r="AW77" s="13">
        <f>Time!AW35*AV89</f>
        <v/>
      </c>
      <c r="AX77" s="13">
        <f>Time!AX35*AW89</f>
        <v/>
      </c>
      <c r="AY77" s="13">
        <f>Time!AY35*AX89</f>
        <v/>
      </c>
      <c r="AZ77" s="13">
        <f>Time!AZ35*AY89</f>
        <v/>
      </c>
      <c r="BA77" s="13">
        <f>Time!BA35*AZ89</f>
        <v/>
      </c>
      <c r="BB77" s="13">
        <f>Time!BB35*BA89</f>
        <v/>
      </c>
      <c r="BC77" s="13">
        <f>Time!BC35*BB89</f>
        <v/>
      </c>
      <c r="BD77" s="13">
        <f>Time!BD35*BC89</f>
        <v/>
      </c>
      <c r="BE77" s="13">
        <f>Time!BE35*BD89</f>
        <v/>
      </c>
      <c r="BF77" s="13">
        <f>Time!BF35*BE89</f>
        <v/>
      </c>
      <c r="BG77" s="13">
        <f>Time!BG35*BF89</f>
        <v/>
      </c>
      <c r="BH77" s="13">
        <f>Time!BH35*BG89</f>
        <v/>
      </c>
      <c r="BI77" s="13">
        <f>Time!BI35*BH89</f>
        <v/>
      </c>
      <c r="BJ77" s="13">
        <f>Time!BJ35*BI89</f>
        <v/>
      </c>
      <c r="BK77" s="13">
        <f>Time!BK35*BJ89</f>
        <v/>
      </c>
      <c r="BL77" s="13">
        <f>Time!BL35*BK89</f>
        <v/>
      </c>
      <c r="BM77" s="13">
        <f>Time!BM35*BL89</f>
        <v/>
      </c>
      <c r="BN77" s="13">
        <f>Time!BN35*BM89</f>
        <v/>
      </c>
    </row>
    <row r="78">
      <c r="D78" t="inlineStr">
        <is>
          <t>Deferred principal, opening</t>
        </is>
      </c>
      <c r="E78" t="inlineStr">
        <is>
          <t>USD m</t>
        </is>
      </c>
      <c r="J78" s="13">
        <f>I86</f>
        <v/>
      </c>
      <c r="K78" s="13">
        <f>J86</f>
        <v/>
      </c>
      <c r="L78" s="13">
        <f>K86</f>
        <v/>
      </c>
      <c r="M78" s="13">
        <f>L86</f>
        <v/>
      </c>
      <c r="N78" s="13">
        <f>M86</f>
        <v/>
      </c>
      <c r="O78" s="13">
        <f>N86</f>
        <v/>
      </c>
      <c r="P78" s="13">
        <f>O86</f>
        <v/>
      </c>
      <c r="Q78" s="13">
        <f>P86</f>
        <v/>
      </c>
      <c r="R78" s="13">
        <f>Q86</f>
        <v/>
      </c>
      <c r="S78" s="13">
        <f>R86</f>
        <v/>
      </c>
      <c r="T78" s="13">
        <f>S86</f>
        <v/>
      </c>
      <c r="U78" s="13">
        <f>T86</f>
        <v/>
      </c>
      <c r="V78" s="13">
        <f>U86</f>
        <v/>
      </c>
      <c r="W78" s="13">
        <f>V86</f>
        <v/>
      </c>
      <c r="X78" s="13">
        <f>W86</f>
        <v/>
      </c>
      <c r="Y78" s="13">
        <f>X86</f>
        <v/>
      </c>
      <c r="Z78" s="13">
        <f>Y86</f>
        <v/>
      </c>
      <c r="AA78" s="13">
        <f>Z86</f>
        <v/>
      </c>
      <c r="AB78" s="13">
        <f>AA86</f>
        <v/>
      </c>
      <c r="AC78" s="13">
        <f>AB86</f>
        <v/>
      </c>
      <c r="AD78" s="13">
        <f>AC86</f>
        <v/>
      </c>
      <c r="AE78" s="13">
        <f>AD86</f>
        <v/>
      </c>
      <c r="AF78" s="13">
        <f>AE86</f>
        <v/>
      </c>
      <c r="AG78" s="13">
        <f>AF86</f>
        <v/>
      </c>
      <c r="AH78" s="13">
        <f>AG86</f>
        <v/>
      </c>
      <c r="AI78" s="13">
        <f>AH86</f>
        <v/>
      </c>
      <c r="AJ78" s="13">
        <f>AI86</f>
        <v/>
      </c>
      <c r="AK78" s="13">
        <f>AJ86</f>
        <v/>
      </c>
      <c r="AL78" s="13">
        <f>AK86</f>
        <v/>
      </c>
      <c r="AM78" s="13">
        <f>AL86</f>
        <v/>
      </c>
      <c r="AN78" s="13">
        <f>AM86</f>
        <v/>
      </c>
      <c r="AO78" s="13">
        <f>AN86</f>
        <v/>
      </c>
      <c r="AP78" s="13">
        <f>AO86</f>
        <v/>
      </c>
      <c r="AQ78" s="13">
        <f>AP86</f>
        <v/>
      </c>
      <c r="AR78" s="13">
        <f>AQ86</f>
        <v/>
      </c>
      <c r="AS78" s="13">
        <f>AR86</f>
        <v/>
      </c>
      <c r="AT78" s="13">
        <f>AS86</f>
        <v/>
      </c>
      <c r="AU78" s="13">
        <f>AT86</f>
        <v/>
      </c>
      <c r="AV78" s="13">
        <f>AU86</f>
        <v/>
      </c>
      <c r="AW78" s="13">
        <f>AV86</f>
        <v/>
      </c>
      <c r="AX78" s="13">
        <f>AW86</f>
        <v/>
      </c>
      <c r="AY78" s="13">
        <f>AX86</f>
        <v/>
      </c>
      <c r="AZ78" s="13">
        <f>AY86</f>
        <v/>
      </c>
      <c r="BA78" s="13">
        <f>AZ86</f>
        <v/>
      </c>
      <c r="BB78" s="13">
        <f>BA86</f>
        <v/>
      </c>
      <c r="BC78" s="13">
        <f>BB86</f>
        <v/>
      </c>
      <c r="BD78" s="13">
        <f>BC86</f>
        <v/>
      </c>
      <c r="BE78" s="13">
        <f>BD86</f>
        <v/>
      </c>
      <c r="BF78" s="13">
        <f>BE86</f>
        <v/>
      </c>
      <c r="BG78" s="13">
        <f>BF86</f>
        <v/>
      </c>
      <c r="BH78" s="13">
        <f>BG86</f>
        <v/>
      </c>
      <c r="BI78" s="13">
        <f>BH86</f>
        <v/>
      </c>
      <c r="BJ78" s="13">
        <f>BI86</f>
        <v/>
      </c>
      <c r="BK78" s="13">
        <f>BJ86</f>
        <v/>
      </c>
      <c r="BL78" s="13">
        <f>BK86</f>
        <v/>
      </c>
      <c r="BM78" s="13">
        <f>BL86</f>
        <v/>
      </c>
      <c r="BN78" s="13">
        <f>BM86</f>
        <v/>
      </c>
    </row>
    <row r="79">
      <c r="D79" t="inlineStr">
        <is>
          <t>Interest (incl. WHT gross-up where applicable)</t>
        </is>
      </c>
      <c r="E79" t="inlineStr">
        <is>
          <t>USD m</t>
        </is>
      </c>
      <c r="G79" s="13">
        <f>SUM(J79:BN79)</f>
        <v/>
      </c>
      <c r="J79" s="13">
        <f>J77*J14</f>
        <v/>
      </c>
      <c r="K79" s="13">
        <f>K77*K14</f>
        <v/>
      </c>
      <c r="L79" s="13">
        <f>L77*L14</f>
        <v/>
      </c>
      <c r="M79" s="13">
        <f>M77*M14</f>
        <v/>
      </c>
      <c r="N79" s="13">
        <f>N77*N14</f>
        <v/>
      </c>
      <c r="O79" s="13">
        <f>O77*O14</f>
        <v/>
      </c>
      <c r="P79" s="13">
        <f>P77*P14</f>
        <v/>
      </c>
      <c r="Q79" s="13">
        <f>Q77*Q14</f>
        <v/>
      </c>
      <c r="R79" s="13">
        <f>R77*R14</f>
        <v/>
      </c>
      <c r="S79" s="13">
        <f>S77*S14</f>
        <v/>
      </c>
      <c r="T79" s="13">
        <f>T77*T14</f>
        <v/>
      </c>
      <c r="U79" s="13">
        <f>U77*U14</f>
        <v/>
      </c>
      <c r="V79" s="13">
        <f>V77*V14</f>
        <v/>
      </c>
      <c r="W79" s="13">
        <f>W77*W14</f>
        <v/>
      </c>
      <c r="X79" s="13">
        <f>X77*X14</f>
        <v/>
      </c>
      <c r="Y79" s="13">
        <f>Y77*Y14</f>
        <v/>
      </c>
      <c r="Z79" s="13">
        <f>Z77*Z14</f>
        <v/>
      </c>
      <c r="AA79" s="13">
        <f>AA77*AA14</f>
        <v/>
      </c>
      <c r="AB79" s="13">
        <f>AB77*AB14</f>
        <v/>
      </c>
      <c r="AC79" s="13">
        <f>AC77*AC14</f>
        <v/>
      </c>
      <c r="AD79" s="13">
        <f>AD77*AD14</f>
        <v/>
      </c>
      <c r="AE79" s="13">
        <f>AE77*AE14</f>
        <v/>
      </c>
      <c r="AF79" s="13">
        <f>AF77*AF14</f>
        <v/>
      </c>
      <c r="AG79" s="13">
        <f>AG77*AG14</f>
        <v/>
      </c>
      <c r="AH79" s="13">
        <f>AH77*AH14</f>
        <v/>
      </c>
      <c r="AI79" s="13">
        <f>AI77*AI14</f>
        <v/>
      </c>
      <c r="AJ79" s="13">
        <f>AJ77*AJ14</f>
        <v/>
      </c>
      <c r="AK79" s="13">
        <f>AK77*AK14</f>
        <v/>
      </c>
      <c r="AL79" s="13">
        <f>AL77*AL14</f>
        <v/>
      </c>
      <c r="AM79" s="13">
        <f>AM77*AM14</f>
        <v/>
      </c>
      <c r="AN79" s="13">
        <f>AN77*AN14</f>
        <v/>
      </c>
      <c r="AO79" s="13">
        <f>AO77*AO14</f>
        <v/>
      </c>
      <c r="AP79" s="13">
        <f>AP77*AP14</f>
        <v/>
      </c>
      <c r="AQ79" s="13">
        <f>AQ77*AQ14</f>
        <v/>
      </c>
      <c r="AR79" s="13">
        <f>AR77*AR14</f>
        <v/>
      </c>
      <c r="AS79" s="13">
        <f>AS77*AS14</f>
        <v/>
      </c>
      <c r="AT79" s="13">
        <f>AT77*AT14</f>
        <v/>
      </c>
      <c r="AU79" s="13">
        <f>AU77*AU14</f>
        <v/>
      </c>
      <c r="AV79" s="13">
        <f>AV77*AV14</f>
        <v/>
      </c>
      <c r="AW79" s="13">
        <f>AW77*AW14</f>
        <v/>
      </c>
      <c r="AX79" s="13">
        <f>AX77*AX14</f>
        <v/>
      </c>
      <c r="AY79" s="13">
        <f>AY77*AY14</f>
        <v/>
      </c>
      <c r="AZ79" s="13">
        <f>AZ77*AZ14</f>
        <v/>
      </c>
      <c r="BA79" s="13">
        <f>BA77*BA14</f>
        <v/>
      </c>
      <c r="BB79" s="13">
        <f>BB77*BB14</f>
        <v/>
      </c>
      <c r="BC79" s="13">
        <f>BC77*BC14</f>
        <v/>
      </c>
      <c r="BD79" s="13">
        <f>BD77*BD14</f>
        <v/>
      </c>
      <c r="BE79" s="13">
        <f>BE77*BE14</f>
        <v/>
      </c>
      <c r="BF79" s="13">
        <f>BF77*BF14</f>
        <v/>
      </c>
      <c r="BG79" s="13">
        <f>BG77*BG14</f>
        <v/>
      </c>
      <c r="BH79" s="13">
        <f>BH77*BH14</f>
        <v/>
      </c>
      <c r="BI79" s="13">
        <f>BI77*BI14</f>
        <v/>
      </c>
      <c r="BJ79" s="13">
        <f>BJ77*BJ14</f>
        <v/>
      </c>
      <c r="BK79" s="13">
        <f>BK77*BK14</f>
        <v/>
      </c>
      <c r="BL79" s="13">
        <f>BL77*BL14</f>
        <v/>
      </c>
      <c r="BM79" s="13">
        <f>BM77*BM14</f>
        <v/>
      </c>
      <c r="BN79" s="13">
        <f>BN77*BN14</f>
        <v/>
      </c>
    </row>
    <row r="80">
      <c r="D80" t="inlineStr">
        <is>
          <t>Scheduled principal per profile</t>
        </is>
      </c>
      <c r="E80" t="inlineStr">
        <is>
          <t>USD m</t>
        </is>
      </c>
      <c r="G80" s="13">
        <f>SUM(J80:BN80)</f>
        <v/>
      </c>
      <c r="J80" s="13">
        <f>Time!J35*(J77-J78)*J19</f>
        <v/>
      </c>
      <c r="K80" s="13">
        <f>Time!K35*(K77-K78)*K19</f>
        <v/>
      </c>
      <c r="L80" s="13">
        <f>Time!L35*(L77-L78)*L19</f>
        <v/>
      </c>
      <c r="M80" s="13">
        <f>Time!M35*(M77-M78)*M19</f>
        <v/>
      </c>
      <c r="N80" s="13">
        <f>Time!N35*(N77-N78)*N19</f>
        <v/>
      </c>
      <c r="O80" s="13">
        <f>Time!O35*(O77-O78)*O19</f>
        <v/>
      </c>
      <c r="P80" s="13">
        <f>Time!P35*(P77-P78)*P19</f>
        <v/>
      </c>
      <c r="Q80" s="13">
        <f>Time!Q35*(Q77-Q78)*Q19</f>
        <v/>
      </c>
      <c r="R80" s="13">
        <f>Time!R35*(R77-R78)*R19</f>
        <v/>
      </c>
      <c r="S80" s="13">
        <f>Time!S35*(S77-S78)*S19</f>
        <v/>
      </c>
      <c r="T80" s="13">
        <f>Time!T35*(T77-T78)*T19</f>
        <v/>
      </c>
      <c r="U80" s="13">
        <f>Time!U35*(U77-U78)*U19</f>
        <v/>
      </c>
      <c r="V80" s="13">
        <f>Time!V35*(V77-V78)*V19</f>
        <v/>
      </c>
      <c r="W80" s="13">
        <f>Time!W35*(W77-W78)*W19</f>
        <v/>
      </c>
      <c r="X80" s="13">
        <f>Time!X35*(X77-X78)*X19</f>
        <v/>
      </c>
      <c r="Y80" s="13">
        <f>Time!Y35*(Y77-Y78)*Y19</f>
        <v/>
      </c>
      <c r="Z80" s="13">
        <f>Time!Z35*(Z77-Z78)*Z19</f>
        <v/>
      </c>
      <c r="AA80" s="13">
        <f>Time!AA35*(AA77-AA78)*AA19</f>
        <v/>
      </c>
      <c r="AB80" s="13">
        <f>Time!AB35*(AB77-AB78)*AB19</f>
        <v/>
      </c>
      <c r="AC80" s="13">
        <f>Time!AC35*(AC77-AC78)*AC19</f>
        <v/>
      </c>
      <c r="AD80" s="13">
        <f>Time!AD35*(AD77-AD78)*AD19</f>
        <v/>
      </c>
      <c r="AE80" s="13">
        <f>Time!AE35*(AE77-AE78)*AE19</f>
        <v/>
      </c>
      <c r="AF80" s="13">
        <f>Time!AF35*(AF77-AF78)*AF19</f>
        <v/>
      </c>
      <c r="AG80" s="13">
        <f>Time!AG35*(AG77-AG78)*AG19</f>
        <v/>
      </c>
      <c r="AH80" s="13">
        <f>Time!AH35*(AH77-AH78)*AH19</f>
        <v/>
      </c>
      <c r="AI80" s="13">
        <f>Time!AI35*(AI77-AI78)*AI19</f>
        <v/>
      </c>
      <c r="AJ80" s="13">
        <f>Time!AJ35*(AJ77-AJ78)*AJ19</f>
        <v/>
      </c>
      <c r="AK80" s="13">
        <f>Time!AK35*(AK77-AK78)*AK19</f>
        <v/>
      </c>
      <c r="AL80" s="13">
        <f>Time!AL35*(AL77-AL78)*AL19</f>
        <v/>
      </c>
      <c r="AM80" s="13">
        <f>Time!AM35*(AM77-AM78)*AM19</f>
        <v/>
      </c>
      <c r="AN80" s="13">
        <f>Time!AN35*(AN77-AN78)*AN19</f>
        <v/>
      </c>
      <c r="AO80" s="13">
        <f>Time!AO35*(AO77-AO78)*AO19</f>
        <v/>
      </c>
      <c r="AP80" s="13">
        <f>Time!AP35*(AP77-AP78)*AP19</f>
        <v/>
      </c>
      <c r="AQ80" s="13">
        <f>Time!AQ35*(AQ77-AQ78)*AQ19</f>
        <v/>
      </c>
      <c r="AR80" s="13">
        <f>Time!AR35*(AR77-AR78)*AR19</f>
        <v/>
      </c>
      <c r="AS80" s="13">
        <f>Time!AS35*(AS77-AS78)*AS19</f>
        <v/>
      </c>
      <c r="AT80" s="13">
        <f>Time!AT35*(AT77-AT78)*AT19</f>
        <v/>
      </c>
      <c r="AU80" s="13">
        <f>Time!AU35*(AU77-AU78)*AU19</f>
        <v/>
      </c>
      <c r="AV80" s="13">
        <f>Time!AV35*(AV77-AV78)*AV19</f>
        <v/>
      </c>
      <c r="AW80" s="13">
        <f>Time!AW35*(AW77-AW78)*AW19</f>
        <v/>
      </c>
      <c r="AX80" s="13">
        <f>Time!AX35*(AX77-AX78)*AX19</f>
        <v/>
      </c>
      <c r="AY80" s="13">
        <f>Time!AY35*(AY77-AY78)*AY19</f>
        <v/>
      </c>
      <c r="AZ80" s="13">
        <f>Time!AZ35*(AZ77-AZ78)*AZ19</f>
        <v/>
      </c>
      <c r="BA80" s="13">
        <f>Time!BA35*(BA77-BA78)*BA19</f>
        <v/>
      </c>
      <c r="BB80" s="13">
        <f>Time!BB35*(BB77-BB78)*BB19</f>
        <v/>
      </c>
      <c r="BC80" s="13">
        <f>Time!BC35*(BC77-BC78)*BC19</f>
        <v/>
      </c>
      <c r="BD80" s="13">
        <f>Time!BD35*(BD77-BD78)*BD19</f>
        <v/>
      </c>
      <c r="BE80" s="13">
        <f>Time!BE35*(BE77-BE78)*BE19</f>
        <v/>
      </c>
      <c r="BF80" s="13">
        <f>Time!BF35*(BF77-BF78)*BF19</f>
        <v/>
      </c>
      <c r="BG80" s="13">
        <f>Time!BG35*(BG77-BG78)*BG19</f>
        <v/>
      </c>
      <c r="BH80" s="13">
        <f>Time!BH35*(BH77-BH78)*BH19</f>
        <v/>
      </c>
      <c r="BI80" s="13">
        <f>Time!BI35*(BI77-BI78)*BI19</f>
        <v/>
      </c>
      <c r="BJ80" s="13">
        <f>Time!BJ35*(BJ77-BJ78)*BJ19</f>
        <v/>
      </c>
      <c r="BK80" s="13">
        <f>Time!BK35*(BK77-BK78)*BK19</f>
        <v/>
      </c>
      <c r="BL80" s="13">
        <f>Time!BL35*(BL77-BL78)*BL19</f>
        <v/>
      </c>
      <c r="BM80" s="13">
        <f>Time!BM35*(BM77-BM78)*BM19</f>
        <v/>
      </c>
      <c r="BN80" s="13">
        <f>Time!BN35*(BN77-BN78)*BN19</f>
        <v/>
      </c>
    </row>
    <row r="81">
      <c r="D81" t="inlineStr">
        <is>
          <t>Principal deferred under the waiver</t>
        </is>
      </c>
      <c r="E81" t="inlineStr">
        <is>
          <t>USD m</t>
        </is>
      </c>
      <c r="G81" s="13">
        <f>SUM(J81:BN81)</f>
        <v/>
      </c>
      <c r="J81" s="13">
        <f>Time!J43*Inputs!$F$270*J80</f>
        <v/>
      </c>
      <c r="K81" s="13">
        <f>Time!K43*Inputs!$F$270*K80</f>
        <v/>
      </c>
      <c r="L81" s="13">
        <f>Time!L43*Inputs!$F$270*L80</f>
        <v/>
      </c>
      <c r="M81" s="13">
        <f>Time!M43*Inputs!$F$270*M80</f>
        <v/>
      </c>
      <c r="N81" s="13">
        <f>Time!N43*Inputs!$F$270*N80</f>
        <v/>
      </c>
      <c r="O81" s="13">
        <f>Time!O43*Inputs!$F$270*O80</f>
        <v/>
      </c>
      <c r="P81" s="13">
        <f>Time!P43*Inputs!$F$270*P80</f>
        <v/>
      </c>
      <c r="Q81" s="13">
        <f>Time!Q43*Inputs!$F$270*Q80</f>
        <v/>
      </c>
      <c r="R81" s="13">
        <f>Time!R43*Inputs!$F$270*R80</f>
        <v/>
      </c>
      <c r="S81" s="13">
        <f>Time!S43*Inputs!$F$270*S80</f>
        <v/>
      </c>
      <c r="T81" s="13">
        <f>Time!T43*Inputs!$F$270*T80</f>
        <v/>
      </c>
      <c r="U81" s="13">
        <f>Time!U43*Inputs!$F$270*U80</f>
        <v/>
      </c>
      <c r="V81" s="13">
        <f>Time!V43*Inputs!$F$270*V80</f>
        <v/>
      </c>
      <c r="W81" s="13">
        <f>Time!W43*Inputs!$F$270*W80</f>
        <v/>
      </c>
      <c r="X81" s="13">
        <f>Time!X43*Inputs!$F$270*X80</f>
        <v/>
      </c>
      <c r="Y81" s="13">
        <f>Time!Y43*Inputs!$F$270*Y80</f>
        <v/>
      </c>
      <c r="Z81" s="13">
        <f>Time!Z43*Inputs!$F$270*Z80</f>
        <v/>
      </c>
      <c r="AA81" s="13">
        <f>Time!AA43*Inputs!$F$270*AA80</f>
        <v/>
      </c>
      <c r="AB81" s="13">
        <f>Time!AB43*Inputs!$F$270*AB80</f>
        <v/>
      </c>
      <c r="AC81" s="13">
        <f>Time!AC43*Inputs!$F$270*AC80</f>
        <v/>
      </c>
      <c r="AD81" s="13">
        <f>Time!AD43*Inputs!$F$270*AD80</f>
        <v/>
      </c>
      <c r="AE81" s="13">
        <f>Time!AE43*Inputs!$F$270*AE80</f>
        <v/>
      </c>
      <c r="AF81" s="13">
        <f>Time!AF43*Inputs!$F$270*AF80</f>
        <v/>
      </c>
      <c r="AG81" s="13">
        <f>Time!AG43*Inputs!$F$270*AG80</f>
        <v/>
      </c>
      <c r="AH81" s="13">
        <f>Time!AH43*Inputs!$F$270*AH80</f>
        <v/>
      </c>
      <c r="AI81" s="13">
        <f>Time!AI43*Inputs!$F$270*AI80</f>
        <v/>
      </c>
      <c r="AJ81" s="13">
        <f>Time!AJ43*Inputs!$F$270*AJ80</f>
        <v/>
      </c>
      <c r="AK81" s="13">
        <f>Time!AK43*Inputs!$F$270*AK80</f>
        <v/>
      </c>
      <c r="AL81" s="13">
        <f>Time!AL43*Inputs!$F$270*AL80</f>
        <v/>
      </c>
      <c r="AM81" s="13">
        <f>Time!AM43*Inputs!$F$270*AM80</f>
        <v/>
      </c>
      <c r="AN81" s="13">
        <f>Time!AN43*Inputs!$F$270*AN80</f>
        <v/>
      </c>
      <c r="AO81" s="13">
        <f>Time!AO43*Inputs!$F$270*AO80</f>
        <v/>
      </c>
      <c r="AP81" s="13">
        <f>Time!AP43*Inputs!$F$270*AP80</f>
        <v/>
      </c>
      <c r="AQ81" s="13">
        <f>Time!AQ43*Inputs!$F$270*AQ80</f>
        <v/>
      </c>
      <c r="AR81" s="13">
        <f>Time!AR43*Inputs!$F$270*AR80</f>
        <v/>
      </c>
      <c r="AS81" s="13">
        <f>Time!AS43*Inputs!$F$270*AS80</f>
        <v/>
      </c>
      <c r="AT81" s="13">
        <f>Time!AT43*Inputs!$F$270*AT80</f>
        <v/>
      </c>
      <c r="AU81" s="13">
        <f>Time!AU43*Inputs!$F$270*AU80</f>
        <v/>
      </c>
      <c r="AV81" s="13">
        <f>Time!AV43*Inputs!$F$270*AV80</f>
        <v/>
      </c>
      <c r="AW81" s="13">
        <f>Time!AW43*Inputs!$F$270*AW80</f>
        <v/>
      </c>
      <c r="AX81" s="13">
        <f>Time!AX43*Inputs!$F$270*AX80</f>
        <v/>
      </c>
      <c r="AY81" s="13">
        <f>Time!AY43*Inputs!$F$270*AY80</f>
        <v/>
      </c>
      <c r="AZ81" s="13">
        <f>Time!AZ43*Inputs!$F$270*AZ80</f>
        <v/>
      </c>
      <c r="BA81" s="13">
        <f>Time!BA43*Inputs!$F$270*BA80</f>
        <v/>
      </c>
      <c r="BB81" s="13">
        <f>Time!BB43*Inputs!$F$270*BB80</f>
        <v/>
      </c>
      <c r="BC81" s="13">
        <f>Time!BC43*Inputs!$F$270*BC80</f>
        <v/>
      </c>
      <c r="BD81" s="13">
        <f>Time!BD43*Inputs!$F$270*BD80</f>
        <v/>
      </c>
      <c r="BE81" s="13">
        <f>Time!BE43*Inputs!$F$270*BE80</f>
        <v/>
      </c>
      <c r="BF81" s="13">
        <f>Time!BF43*Inputs!$F$270*BF80</f>
        <v/>
      </c>
      <c r="BG81" s="13">
        <f>Time!BG43*Inputs!$F$270*BG80</f>
        <v/>
      </c>
      <c r="BH81" s="13">
        <f>Time!BH43*Inputs!$F$270*BH80</f>
        <v/>
      </c>
      <c r="BI81" s="13">
        <f>Time!BI43*Inputs!$F$270*BI80</f>
        <v/>
      </c>
      <c r="BJ81" s="13">
        <f>Time!BJ43*Inputs!$F$270*BJ80</f>
        <v/>
      </c>
      <c r="BK81" s="13">
        <f>Time!BK43*Inputs!$F$270*BK80</f>
        <v/>
      </c>
      <c r="BL81" s="13">
        <f>Time!BL43*Inputs!$F$270*BL80</f>
        <v/>
      </c>
      <c r="BM81" s="13">
        <f>Time!BM43*Inputs!$F$270*BM80</f>
        <v/>
      </c>
      <c r="BN81" s="13">
        <f>Time!BN43*Inputs!$F$270*BN80</f>
        <v/>
      </c>
    </row>
    <row r="82">
      <c r="D82" t="inlineStr">
        <is>
          <t>Deferred principal repaid (equal parts over the remaining repayment dates)</t>
        </is>
      </c>
      <c r="E82" t="inlineStr">
        <is>
          <t>USD m</t>
        </is>
      </c>
      <c r="G82" s="13">
        <f>SUM(J82:BN82)</f>
        <v/>
      </c>
      <c r="J82" s="13">
        <f>IF(Time!J46&gt;0,Time!J45*J78/Time!J46,0)</f>
        <v/>
      </c>
      <c r="K82" s="13">
        <f>IF(Time!K46&gt;0,Time!K45*K78/Time!K46,0)</f>
        <v/>
      </c>
      <c r="L82" s="13">
        <f>IF(Time!L46&gt;0,Time!L45*L78/Time!L46,0)</f>
        <v/>
      </c>
      <c r="M82" s="13">
        <f>IF(Time!M46&gt;0,Time!M45*M78/Time!M46,0)</f>
        <v/>
      </c>
      <c r="N82" s="13">
        <f>IF(Time!N46&gt;0,Time!N45*N78/Time!N46,0)</f>
        <v/>
      </c>
      <c r="O82" s="13">
        <f>IF(Time!O46&gt;0,Time!O45*O78/Time!O46,0)</f>
        <v/>
      </c>
      <c r="P82" s="13">
        <f>IF(Time!P46&gt;0,Time!P45*P78/Time!P46,0)</f>
        <v/>
      </c>
      <c r="Q82" s="13">
        <f>IF(Time!Q46&gt;0,Time!Q45*Q78/Time!Q46,0)</f>
        <v/>
      </c>
      <c r="R82" s="13">
        <f>IF(Time!R46&gt;0,Time!R45*R78/Time!R46,0)</f>
        <v/>
      </c>
      <c r="S82" s="13">
        <f>IF(Time!S46&gt;0,Time!S45*S78/Time!S46,0)</f>
        <v/>
      </c>
      <c r="T82" s="13">
        <f>IF(Time!T46&gt;0,Time!T45*T78/Time!T46,0)</f>
        <v/>
      </c>
      <c r="U82" s="13">
        <f>IF(Time!U46&gt;0,Time!U45*U78/Time!U46,0)</f>
        <v/>
      </c>
      <c r="V82" s="13">
        <f>IF(Time!V46&gt;0,Time!V45*V78/Time!V46,0)</f>
        <v/>
      </c>
      <c r="W82" s="13">
        <f>IF(Time!W46&gt;0,Time!W45*W78/Time!W46,0)</f>
        <v/>
      </c>
      <c r="X82" s="13">
        <f>IF(Time!X46&gt;0,Time!X45*X78/Time!X46,0)</f>
        <v/>
      </c>
      <c r="Y82" s="13">
        <f>IF(Time!Y46&gt;0,Time!Y45*Y78/Time!Y46,0)</f>
        <v/>
      </c>
      <c r="Z82" s="13">
        <f>IF(Time!Z46&gt;0,Time!Z45*Z78/Time!Z46,0)</f>
        <v/>
      </c>
      <c r="AA82" s="13">
        <f>IF(Time!AA46&gt;0,Time!AA45*AA78/Time!AA46,0)</f>
        <v/>
      </c>
      <c r="AB82" s="13">
        <f>IF(Time!AB46&gt;0,Time!AB45*AB78/Time!AB46,0)</f>
        <v/>
      </c>
      <c r="AC82" s="13">
        <f>IF(Time!AC46&gt;0,Time!AC45*AC78/Time!AC46,0)</f>
        <v/>
      </c>
      <c r="AD82" s="13">
        <f>IF(Time!AD46&gt;0,Time!AD45*AD78/Time!AD46,0)</f>
        <v/>
      </c>
      <c r="AE82" s="13">
        <f>IF(Time!AE46&gt;0,Time!AE45*AE78/Time!AE46,0)</f>
        <v/>
      </c>
      <c r="AF82" s="13">
        <f>IF(Time!AF46&gt;0,Time!AF45*AF78/Time!AF46,0)</f>
        <v/>
      </c>
      <c r="AG82" s="13">
        <f>IF(Time!AG46&gt;0,Time!AG45*AG78/Time!AG46,0)</f>
        <v/>
      </c>
      <c r="AH82" s="13">
        <f>IF(Time!AH46&gt;0,Time!AH45*AH78/Time!AH46,0)</f>
        <v/>
      </c>
      <c r="AI82" s="13">
        <f>IF(Time!AI46&gt;0,Time!AI45*AI78/Time!AI46,0)</f>
        <v/>
      </c>
      <c r="AJ82" s="13">
        <f>IF(Time!AJ46&gt;0,Time!AJ45*AJ78/Time!AJ46,0)</f>
        <v/>
      </c>
      <c r="AK82" s="13">
        <f>IF(Time!AK46&gt;0,Time!AK45*AK78/Time!AK46,0)</f>
        <v/>
      </c>
      <c r="AL82" s="13">
        <f>IF(Time!AL46&gt;0,Time!AL45*AL78/Time!AL46,0)</f>
        <v/>
      </c>
      <c r="AM82" s="13">
        <f>IF(Time!AM46&gt;0,Time!AM45*AM78/Time!AM46,0)</f>
        <v/>
      </c>
      <c r="AN82" s="13">
        <f>IF(Time!AN46&gt;0,Time!AN45*AN78/Time!AN46,0)</f>
        <v/>
      </c>
      <c r="AO82" s="13">
        <f>IF(Time!AO46&gt;0,Time!AO45*AO78/Time!AO46,0)</f>
        <v/>
      </c>
      <c r="AP82" s="13">
        <f>IF(Time!AP46&gt;0,Time!AP45*AP78/Time!AP46,0)</f>
        <v/>
      </c>
      <c r="AQ82" s="13">
        <f>IF(Time!AQ46&gt;0,Time!AQ45*AQ78/Time!AQ46,0)</f>
        <v/>
      </c>
      <c r="AR82" s="13">
        <f>IF(Time!AR46&gt;0,Time!AR45*AR78/Time!AR46,0)</f>
        <v/>
      </c>
      <c r="AS82" s="13">
        <f>IF(Time!AS46&gt;0,Time!AS45*AS78/Time!AS46,0)</f>
        <v/>
      </c>
      <c r="AT82" s="13">
        <f>IF(Time!AT46&gt;0,Time!AT45*AT78/Time!AT46,0)</f>
        <v/>
      </c>
      <c r="AU82" s="13">
        <f>IF(Time!AU46&gt;0,Time!AU45*AU78/Time!AU46,0)</f>
        <v/>
      </c>
      <c r="AV82" s="13">
        <f>IF(Time!AV46&gt;0,Time!AV45*AV78/Time!AV46,0)</f>
        <v/>
      </c>
      <c r="AW82" s="13">
        <f>IF(Time!AW46&gt;0,Time!AW45*AW78/Time!AW46,0)</f>
        <v/>
      </c>
      <c r="AX82" s="13">
        <f>IF(Time!AX46&gt;0,Time!AX45*AX78/Time!AX46,0)</f>
        <v/>
      </c>
      <c r="AY82" s="13">
        <f>IF(Time!AY46&gt;0,Time!AY45*AY78/Time!AY46,0)</f>
        <v/>
      </c>
      <c r="AZ82" s="13">
        <f>IF(Time!AZ46&gt;0,Time!AZ45*AZ78/Time!AZ46,0)</f>
        <v/>
      </c>
      <c r="BA82" s="13">
        <f>IF(Time!BA46&gt;0,Time!BA45*BA78/Time!BA46,0)</f>
        <v/>
      </c>
      <c r="BB82" s="13">
        <f>IF(Time!BB46&gt;0,Time!BB45*BB78/Time!BB46,0)</f>
        <v/>
      </c>
      <c r="BC82" s="13">
        <f>IF(Time!BC46&gt;0,Time!BC45*BC78/Time!BC46,0)</f>
        <v/>
      </c>
      <c r="BD82" s="13">
        <f>IF(Time!BD46&gt;0,Time!BD45*BD78/Time!BD46,0)</f>
        <v/>
      </c>
      <c r="BE82" s="13">
        <f>IF(Time!BE46&gt;0,Time!BE45*BE78/Time!BE46,0)</f>
        <v/>
      </c>
      <c r="BF82" s="13">
        <f>IF(Time!BF46&gt;0,Time!BF45*BF78/Time!BF46,0)</f>
        <v/>
      </c>
      <c r="BG82" s="13">
        <f>IF(Time!BG46&gt;0,Time!BG45*BG78/Time!BG46,0)</f>
        <v/>
      </c>
      <c r="BH82" s="13">
        <f>IF(Time!BH46&gt;0,Time!BH45*BH78/Time!BH46,0)</f>
        <v/>
      </c>
      <c r="BI82" s="13">
        <f>IF(Time!BI46&gt;0,Time!BI45*BI78/Time!BI46,0)</f>
        <v/>
      </c>
      <c r="BJ82" s="13">
        <f>IF(Time!BJ46&gt;0,Time!BJ45*BJ78/Time!BJ46,0)</f>
        <v/>
      </c>
      <c r="BK82" s="13">
        <f>IF(Time!BK46&gt;0,Time!BK45*BK78/Time!BK46,0)</f>
        <v/>
      </c>
      <c r="BL82" s="13">
        <f>IF(Time!BL46&gt;0,Time!BL45*BL78/Time!BL46,0)</f>
        <v/>
      </c>
      <c r="BM82" s="13">
        <f>IF(Time!BM46&gt;0,Time!BM45*BM78/Time!BM46,0)</f>
        <v/>
      </c>
      <c r="BN82" s="13">
        <f>IF(Time!BN46&gt;0,Time!BN45*BN78/Time!BN46,0)</f>
        <v/>
      </c>
    </row>
    <row r="83">
      <c r="D83" t="inlineStr">
        <is>
          <t>Principal paid</t>
        </is>
      </c>
      <c r="E83" t="inlineStr">
        <is>
          <t>USD m</t>
        </is>
      </c>
      <c r="G83" s="13">
        <f>SUM(J83:BN83)</f>
        <v/>
      </c>
      <c r="J83" s="13">
        <f>J80-J81+J82</f>
        <v/>
      </c>
      <c r="K83" s="13">
        <f>K80-K81+K82</f>
        <v/>
      </c>
      <c r="L83" s="13">
        <f>L80-L81+L82</f>
        <v/>
      </c>
      <c r="M83" s="13">
        <f>M80-M81+M82</f>
        <v/>
      </c>
      <c r="N83" s="13">
        <f>N80-N81+N82</f>
        <v/>
      </c>
      <c r="O83" s="13">
        <f>O80-O81+O82</f>
        <v/>
      </c>
      <c r="P83" s="13">
        <f>P80-P81+P82</f>
        <v/>
      </c>
      <c r="Q83" s="13">
        <f>Q80-Q81+Q82</f>
        <v/>
      </c>
      <c r="R83" s="13">
        <f>R80-R81+R82</f>
        <v/>
      </c>
      <c r="S83" s="13">
        <f>S80-S81+S82</f>
        <v/>
      </c>
      <c r="T83" s="13">
        <f>T80-T81+T82</f>
        <v/>
      </c>
      <c r="U83" s="13">
        <f>U80-U81+U82</f>
        <v/>
      </c>
      <c r="V83" s="13">
        <f>V80-V81+V82</f>
        <v/>
      </c>
      <c r="W83" s="13">
        <f>W80-W81+W82</f>
        <v/>
      </c>
      <c r="X83" s="13">
        <f>X80-X81+X82</f>
        <v/>
      </c>
      <c r="Y83" s="13">
        <f>Y80-Y81+Y82</f>
        <v/>
      </c>
      <c r="Z83" s="13">
        <f>Z80-Z81+Z82</f>
        <v/>
      </c>
      <c r="AA83" s="13">
        <f>AA80-AA81+AA82</f>
        <v/>
      </c>
      <c r="AB83" s="13">
        <f>AB80-AB81+AB82</f>
        <v/>
      </c>
      <c r="AC83" s="13">
        <f>AC80-AC81+AC82</f>
        <v/>
      </c>
      <c r="AD83" s="13">
        <f>AD80-AD81+AD82</f>
        <v/>
      </c>
      <c r="AE83" s="13">
        <f>AE80-AE81+AE82</f>
        <v/>
      </c>
      <c r="AF83" s="13">
        <f>AF80-AF81+AF82</f>
        <v/>
      </c>
      <c r="AG83" s="13">
        <f>AG80-AG81+AG82</f>
        <v/>
      </c>
      <c r="AH83" s="13">
        <f>AH80-AH81+AH82</f>
        <v/>
      </c>
      <c r="AI83" s="13">
        <f>AI80-AI81+AI82</f>
        <v/>
      </c>
      <c r="AJ83" s="13">
        <f>AJ80-AJ81+AJ82</f>
        <v/>
      </c>
      <c r="AK83" s="13">
        <f>AK80-AK81+AK82</f>
        <v/>
      </c>
      <c r="AL83" s="13">
        <f>AL80-AL81+AL82</f>
        <v/>
      </c>
      <c r="AM83" s="13">
        <f>AM80-AM81+AM82</f>
        <v/>
      </c>
      <c r="AN83" s="13">
        <f>AN80-AN81+AN82</f>
        <v/>
      </c>
      <c r="AO83" s="13">
        <f>AO80-AO81+AO82</f>
        <v/>
      </c>
      <c r="AP83" s="13">
        <f>AP80-AP81+AP82</f>
        <v/>
      </c>
      <c r="AQ83" s="13">
        <f>AQ80-AQ81+AQ82</f>
        <v/>
      </c>
      <c r="AR83" s="13">
        <f>AR80-AR81+AR82</f>
        <v/>
      </c>
      <c r="AS83" s="13">
        <f>AS80-AS81+AS82</f>
        <v/>
      </c>
      <c r="AT83" s="13">
        <f>AT80-AT81+AT82</f>
        <v/>
      </c>
      <c r="AU83" s="13">
        <f>AU80-AU81+AU82</f>
        <v/>
      </c>
      <c r="AV83" s="13">
        <f>AV80-AV81+AV82</f>
        <v/>
      </c>
      <c r="AW83" s="13">
        <f>AW80-AW81+AW82</f>
        <v/>
      </c>
      <c r="AX83" s="13">
        <f>AX80-AX81+AX82</f>
        <v/>
      </c>
      <c r="AY83" s="13">
        <f>AY80-AY81+AY82</f>
        <v/>
      </c>
      <c r="AZ83" s="13">
        <f>AZ80-AZ81+AZ82</f>
        <v/>
      </c>
      <c r="BA83" s="13">
        <f>BA80-BA81+BA82</f>
        <v/>
      </c>
      <c r="BB83" s="13">
        <f>BB80-BB81+BB82</f>
        <v/>
      </c>
      <c r="BC83" s="13">
        <f>BC80-BC81+BC82</f>
        <v/>
      </c>
      <c r="BD83" s="13">
        <f>BD80-BD81+BD82</f>
        <v/>
      </c>
      <c r="BE83" s="13">
        <f>BE80-BE81+BE82</f>
        <v/>
      </c>
      <c r="BF83" s="13">
        <f>BF80-BF81+BF82</f>
        <v/>
      </c>
      <c r="BG83" s="13">
        <f>BG80-BG81+BG82</f>
        <v/>
      </c>
      <c r="BH83" s="13">
        <f>BH80-BH81+BH82</f>
        <v/>
      </c>
      <c r="BI83" s="13">
        <f>BI80-BI81+BI82</f>
        <v/>
      </c>
      <c r="BJ83" s="13">
        <f>BJ80-BJ81+BJ82</f>
        <v/>
      </c>
      <c r="BK83" s="13">
        <f>BK80-BK81+BK82</f>
        <v/>
      </c>
      <c r="BL83" s="13">
        <f>BL80-BL81+BL82</f>
        <v/>
      </c>
      <c r="BM83" s="13">
        <f>BM80-BM81+BM82</f>
        <v/>
      </c>
      <c r="BN83" s="13">
        <f>BN80-BN81+BN82</f>
        <v/>
      </c>
    </row>
    <row r="84">
      <c r="D84" t="inlineStr">
        <is>
          <t>Performance LD prepayment</t>
        </is>
      </c>
      <c r="E84" t="inlineStr">
        <is>
          <t>USD m</t>
        </is>
      </c>
      <c r="G84" s="13">
        <f>SUM(J84:BN84)</f>
        <v/>
      </c>
      <c r="J84" s="13">
        <f>Time!J42*Inputs!$F$267*(J77-J83)/(J21-J27+J35-J41+J49-J55+J63-J69+J77-J83+Inputs!$F$253)</f>
        <v/>
      </c>
      <c r="K84" s="13">
        <f>Time!K42*Inputs!$F$267*(K77-K83)/(K21-K27+K35-K41+K49-K55+K63-K69+K77-K83+Inputs!$F$253)</f>
        <v/>
      </c>
      <c r="L84" s="13">
        <f>Time!L42*Inputs!$F$267*(L77-L83)/(L21-L27+L35-L41+L49-L55+L63-L69+L77-L83+Inputs!$F$253)</f>
        <v/>
      </c>
      <c r="M84" s="13">
        <f>Time!M42*Inputs!$F$267*(M77-M83)/(M21-M27+M35-M41+M49-M55+M63-M69+M77-M83+Inputs!$F$253)</f>
        <v/>
      </c>
      <c r="N84" s="13">
        <f>Time!N42*Inputs!$F$267*(N77-N83)/(N21-N27+N35-N41+N49-N55+N63-N69+N77-N83+Inputs!$F$253)</f>
        <v/>
      </c>
      <c r="O84" s="13">
        <f>Time!O42*Inputs!$F$267*(O77-O83)/(O21-O27+O35-O41+O49-O55+O63-O69+O77-O83+Inputs!$F$253)</f>
        <v/>
      </c>
      <c r="P84" s="13">
        <f>Time!P42*Inputs!$F$267*(P77-P83)/(P21-P27+P35-P41+P49-P55+P63-P69+P77-P83+Inputs!$F$253)</f>
        <v/>
      </c>
      <c r="Q84" s="13">
        <f>Time!Q42*Inputs!$F$267*(Q77-Q83)/(Q21-Q27+Q35-Q41+Q49-Q55+Q63-Q69+Q77-Q83+Inputs!$F$253)</f>
        <v/>
      </c>
      <c r="R84" s="13">
        <f>Time!R42*Inputs!$F$267*(R77-R83)/(R21-R27+R35-R41+R49-R55+R63-R69+R77-R83+Inputs!$F$253)</f>
        <v/>
      </c>
      <c r="S84" s="13">
        <f>Time!S42*Inputs!$F$267*(S77-S83)/(S21-S27+S35-S41+S49-S55+S63-S69+S77-S83+Inputs!$F$253)</f>
        <v/>
      </c>
      <c r="T84" s="13">
        <f>Time!T42*Inputs!$F$267*(T77-T83)/(T21-T27+T35-T41+T49-T55+T63-T69+T77-T83+Inputs!$F$253)</f>
        <v/>
      </c>
      <c r="U84" s="13">
        <f>Time!U42*Inputs!$F$267*(U77-U83)/(U21-U27+U35-U41+U49-U55+U63-U69+U77-U83+Inputs!$F$253)</f>
        <v/>
      </c>
      <c r="V84" s="13">
        <f>Time!V42*Inputs!$F$267*(V77-V83)/(V21-V27+V35-V41+V49-V55+V63-V69+V77-V83+Inputs!$F$253)</f>
        <v/>
      </c>
      <c r="W84" s="13">
        <f>Time!W42*Inputs!$F$267*(W77-W83)/(W21-W27+W35-W41+W49-W55+W63-W69+W77-W83+Inputs!$F$253)</f>
        <v/>
      </c>
      <c r="X84" s="13">
        <f>Time!X42*Inputs!$F$267*(X77-X83)/(X21-X27+X35-X41+X49-X55+X63-X69+X77-X83+Inputs!$F$253)</f>
        <v/>
      </c>
      <c r="Y84" s="13">
        <f>Time!Y42*Inputs!$F$267*(Y77-Y83)/(Y21-Y27+Y35-Y41+Y49-Y55+Y63-Y69+Y77-Y83+Inputs!$F$253)</f>
        <v/>
      </c>
      <c r="Z84" s="13">
        <f>Time!Z42*Inputs!$F$267*(Z77-Z83)/(Z21-Z27+Z35-Z41+Z49-Z55+Z63-Z69+Z77-Z83+Inputs!$F$253)</f>
        <v/>
      </c>
      <c r="AA84" s="13">
        <f>Time!AA42*Inputs!$F$267*(AA77-AA83)/(AA21-AA27+AA35-AA41+AA49-AA55+AA63-AA69+AA77-AA83+Inputs!$F$253)</f>
        <v/>
      </c>
      <c r="AB84" s="13">
        <f>Time!AB42*Inputs!$F$267*(AB77-AB83)/(AB21-AB27+AB35-AB41+AB49-AB55+AB63-AB69+AB77-AB83+Inputs!$F$253)</f>
        <v/>
      </c>
      <c r="AC84" s="13">
        <f>Time!AC42*Inputs!$F$267*(AC77-AC83)/(AC21-AC27+AC35-AC41+AC49-AC55+AC63-AC69+AC77-AC83+Inputs!$F$253)</f>
        <v/>
      </c>
      <c r="AD84" s="13">
        <f>Time!AD42*Inputs!$F$267*(AD77-AD83)/(AD21-AD27+AD35-AD41+AD49-AD55+AD63-AD69+AD77-AD83+Inputs!$F$253)</f>
        <v/>
      </c>
      <c r="AE84" s="13">
        <f>Time!AE42*Inputs!$F$267*(AE77-AE83)/(AE21-AE27+AE35-AE41+AE49-AE55+AE63-AE69+AE77-AE83+Inputs!$F$253)</f>
        <v/>
      </c>
      <c r="AF84" s="13">
        <f>Time!AF42*Inputs!$F$267*(AF77-AF83)/(AF21-AF27+AF35-AF41+AF49-AF55+AF63-AF69+AF77-AF83+Inputs!$F$253)</f>
        <v/>
      </c>
      <c r="AG84" s="13">
        <f>Time!AG42*Inputs!$F$267*(AG77-AG83)/(AG21-AG27+AG35-AG41+AG49-AG55+AG63-AG69+AG77-AG83+Inputs!$F$253)</f>
        <v/>
      </c>
      <c r="AH84" s="13">
        <f>Time!AH42*Inputs!$F$267*(AH77-AH83)/(AH21-AH27+AH35-AH41+AH49-AH55+AH63-AH69+AH77-AH83+Inputs!$F$253)</f>
        <v/>
      </c>
      <c r="AI84" s="13">
        <f>Time!AI42*Inputs!$F$267*(AI77-AI83)/(AI21-AI27+AI35-AI41+AI49-AI55+AI63-AI69+AI77-AI83+Inputs!$F$253)</f>
        <v/>
      </c>
      <c r="AJ84" s="13">
        <f>Time!AJ42*Inputs!$F$267*(AJ77-AJ83)/(AJ21-AJ27+AJ35-AJ41+AJ49-AJ55+AJ63-AJ69+AJ77-AJ83+Inputs!$F$253)</f>
        <v/>
      </c>
      <c r="AK84" s="13">
        <f>Time!AK42*Inputs!$F$267*(AK77-AK83)/(AK21-AK27+AK35-AK41+AK49-AK55+AK63-AK69+AK77-AK83+Inputs!$F$253)</f>
        <v/>
      </c>
      <c r="AL84" s="13">
        <f>Time!AL42*Inputs!$F$267*(AL77-AL83)/(AL21-AL27+AL35-AL41+AL49-AL55+AL63-AL69+AL77-AL83+Inputs!$F$253)</f>
        <v/>
      </c>
      <c r="AM84" s="13">
        <f>Time!AM42*Inputs!$F$267*(AM77-AM83)/(AM21-AM27+AM35-AM41+AM49-AM55+AM63-AM69+AM77-AM83+Inputs!$F$253)</f>
        <v/>
      </c>
      <c r="AN84" s="13">
        <f>Time!AN42*Inputs!$F$267*(AN77-AN83)/(AN21-AN27+AN35-AN41+AN49-AN55+AN63-AN69+AN77-AN83+Inputs!$F$253)</f>
        <v/>
      </c>
      <c r="AO84" s="13">
        <f>Time!AO42*Inputs!$F$267*(AO77-AO83)/(AO21-AO27+AO35-AO41+AO49-AO55+AO63-AO69+AO77-AO83+Inputs!$F$253)</f>
        <v/>
      </c>
      <c r="AP84" s="13">
        <f>Time!AP42*Inputs!$F$267*(AP77-AP83)/(AP21-AP27+AP35-AP41+AP49-AP55+AP63-AP69+AP77-AP83+Inputs!$F$253)</f>
        <v/>
      </c>
      <c r="AQ84" s="13">
        <f>Time!AQ42*Inputs!$F$267*(AQ77-AQ83)/(AQ21-AQ27+AQ35-AQ41+AQ49-AQ55+AQ63-AQ69+AQ77-AQ83+Inputs!$F$253)</f>
        <v/>
      </c>
      <c r="AR84" s="13">
        <f>Time!AR42*Inputs!$F$267*(AR77-AR83)/(AR21-AR27+AR35-AR41+AR49-AR55+AR63-AR69+AR77-AR83+Inputs!$F$253)</f>
        <v/>
      </c>
      <c r="AS84" s="13">
        <f>Time!AS42*Inputs!$F$267*(AS77-AS83)/(AS21-AS27+AS35-AS41+AS49-AS55+AS63-AS69+AS77-AS83+Inputs!$F$253)</f>
        <v/>
      </c>
      <c r="AT84" s="13">
        <f>Time!AT42*Inputs!$F$267*(AT77-AT83)/(AT21-AT27+AT35-AT41+AT49-AT55+AT63-AT69+AT77-AT83+Inputs!$F$253)</f>
        <v/>
      </c>
      <c r="AU84" s="13">
        <f>Time!AU42*Inputs!$F$267*(AU77-AU83)/(AU21-AU27+AU35-AU41+AU49-AU55+AU63-AU69+AU77-AU83+Inputs!$F$253)</f>
        <v/>
      </c>
      <c r="AV84" s="13">
        <f>Time!AV42*Inputs!$F$267*(AV77-AV83)/(AV21-AV27+AV35-AV41+AV49-AV55+AV63-AV69+AV77-AV83+Inputs!$F$253)</f>
        <v/>
      </c>
      <c r="AW84" s="13">
        <f>Time!AW42*Inputs!$F$267*(AW77-AW83)/(AW21-AW27+AW35-AW41+AW49-AW55+AW63-AW69+AW77-AW83+Inputs!$F$253)</f>
        <v/>
      </c>
      <c r="AX84" s="13">
        <f>Time!AX42*Inputs!$F$267*(AX77-AX83)/(AX21-AX27+AX35-AX41+AX49-AX55+AX63-AX69+AX77-AX83+Inputs!$F$253)</f>
        <v/>
      </c>
      <c r="AY84" s="13">
        <f>Time!AY42*Inputs!$F$267*(AY77-AY83)/(AY21-AY27+AY35-AY41+AY49-AY55+AY63-AY69+AY77-AY83+Inputs!$F$253)</f>
        <v/>
      </c>
      <c r="AZ84" s="13">
        <f>Time!AZ42*Inputs!$F$267*(AZ77-AZ83)/(AZ21-AZ27+AZ35-AZ41+AZ49-AZ55+AZ63-AZ69+AZ77-AZ83+Inputs!$F$253)</f>
        <v/>
      </c>
      <c r="BA84" s="13">
        <f>Time!BA42*Inputs!$F$267*(BA77-BA83)/(BA21-BA27+BA35-BA41+BA49-BA55+BA63-BA69+BA77-BA83+Inputs!$F$253)</f>
        <v/>
      </c>
      <c r="BB84" s="13">
        <f>Time!BB42*Inputs!$F$267*(BB77-BB83)/(BB21-BB27+BB35-BB41+BB49-BB55+BB63-BB69+BB77-BB83+Inputs!$F$253)</f>
        <v/>
      </c>
      <c r="BC84" s="13">
        <f>Time!BC42*Inputs!$F$267*(BC77-BC83)/(BC21-BC27+BC35-BC41+BC49-BC55+BC63-BC69+BC77-BC83+Inputs!$F$253)</f>
        <v/>
      </c>
      <c r="BD84" s="13">
        <f>Time!BD42*Inputs!$F$267*(BD77-BD83)/(BD21-BD27+BD35-BD41+BD49-BD55+BD63-BD69+BD77-BD83+Inputs!$F$253)</f>
        <v/>
      </c>
      <c r="BE84" s="13">
        <f>Time!BE42*Inputs!$F$267*(BE77-BE83)/(BE21-BE27+BE35-BE41+BE49-BE55+BE63-BE69+BE77-BE83+Inputs!$F$253)</f>
        <v/>
      </c>
      <c r="BF84" s="13">
        <f>Time!BF42*Inputs!$F$267*(BF77-BF83)/(BF21-BF27+BF35-BF41+BF49-BF55+BF63-BF69+BF77-BF83+Inputs!$F$253)</f>
        <v/>
      </c>
      <c r="BG84" s="13">
        <f>Time!BG42*Inputs!$F$267*(BG77-BG83)/(BG21-BG27+BG35-BG41+BG49-BG55+BG63-BG69+BG77-BG83+Inputs!$F$253)</f>
        <v/>
      </c>
      <c r="BH84" s="13">
        <f>Time!BH42*Inputs!$F$267*(BH77-BH83)/(BH21-BH27+BH35-BH41+BH49-BH55+BH63-BH69+BH77-BH83+Inputs!$F$253)</f>
        <v/>
      </c>
      <c r="BI84" s="13">
        <f>Time!BI42*Inputs!$F$267*(BI77-BI83)/(BI21-BI27+BI35-BI41+BI49-BI55+BI63-BI69+BI77-BI83+Inputs!$F$253)</f>
        <v/>
      </c>
      <c r="BJ84" s="13">
        <f>Time!BJ42*Inputs!$F$267*(BJ77-BJ83)/(BJ21-BJ27+BJ35-BJ41+BJ49-BJ55+BJ63-BJ69+BJ77-BJ83+Inputs!$F$253)</f>
        <v/>
      </c>
      <c r="BK84" s="13">
        <f>Time!BK42*Inputs!$F$267*(BK77-BK83)/(BK21-BK27+BK35-BK41+BK49-BK55+BK63-BK69+BK77-BK83+Inputs!$F$253)</f>
        <v/>
      </c>
      <c r="BL84" s="13">
        <f>Time!BL42*Inputs!$F$267*(BL77-BL83)/(BL21-BL27+BL35-BL41+BL49-BL55+BL63-BL69+BL77-BL83+Inputs!$F$253)</f>
        <v/>
      </c>
      <c r="BM84" s="13">
        <f>Time!BM42*Inputs!$F$267*(BM77-BM83)/(BM21-BM27+BM35-BM41+BM49-BM55+BM63-BM69+BM77-BM83+Inputs!$F$253)</f>
        <v/>
      </c>
      <c r="BN84" s="13">
        <f>Time!BN42*Inputs!$F$267*(BN77-BN83)/(BN21-BN27+BN35-BN41+BN49-BN55+BN63-BN69+BN77-BN83+Inputs!$F$253)</f>
        <v/>
      </c>
    </row>
    <row r="85">
      <c r="D85" t="inlineStr">
        <is>
          <t>Refinanced (prepaid from bond proceeds)</t>
        </is>
      </c>
      <c r="E85" t="inlineStr">
        <is>
          <t>USD m</t>
        </is>
      </c>
      <c r="G85" s="13">
        <f>SUM(J85:BN85)</f>
        <v/>
      </c>
      <c r="J85" s="13">
        <f>Time!J47*(J77-J83-J84)</f>
        <v/>
      </c>
      <c r="K85" s="13">
        <f>Time!K47*(K77-K83-K84)</f>
        <v/>
      </c>
      <c r="L85" s="13">
        <f>Time!L47*(L77-L83-L84)</f>
        <v/>
      </c>
      <c r="M85" s="13">
        <f>Time!M47*(M77-M83-M84)</f>
        <v/>
      </c>
      <c r="N85" s="13">
        <f>Time!N47*(N77-N83-N84)</f>
        <v/>
      </c>
      <c r="O85" s="13">
        <f>Time!O47*(O77-O83-O84)</f>
        <v/>
      </c>
      <c r="P85" s="13">
        <f>Time!P47*(P77-P83-P84)</f>
        <v/>
      </c>
      <c r="Q85" s="13">
        <f>Time!Q47*(Q77-Q83-Q84)</f>
        <v/>
      </c>
      <c r="R85" s="13">
        <f>Time!R47*(R77-R83-R84)</f>
        <v/>
      </c>
      <c r="S85" s="13">
        <f>Time!S47*(S77-S83-S84)</f>
        <v/>
      </c>
      <c r="T85" s="13">
        <f>Time!T47*(T77-T83-T84)</f>
        <v/>
      </c>
      <c r="U85" s="13">
        <f>Time!U47*(U77-U83-U84)</f>
        <v/>
      </c>
      <c r="V85" s="13">
        <f>Time!V47*(V77-V83-V84)</f>
        <v/>
      </c>
      <c r="W85" s="13">
        <f>Time!W47*(W77-W83-W84)</f>
        <v/>
      </c>
      <c r="X85" s="13">
        <f>Time!X47*(X77-X83-X84)</f>
        <v/>
      </c>
      <c r="Y85" s="13">
        <f>Time!Y47*(Y77-Y83-Y84)</f>
        <v/>
      </c>
      <c r="Z85" s="13">
        <f>Time!Z47*(Z77-Z83-Z84)</f>
        <v/>
      </c>
      <c r="AA85" s="13">
        <f>Time!AA47*(AA77-AA83-AA84)</f>
        <v/>
      </c>
      <c r="AB85" s="13">
        <f>Time!AB47*(AB77-AB83-AB84)</f>
        <v/>
      </c>
      <c r="AC85" s="13">
        <f>Time!AC47*(AC77-AC83-AC84)</f>
        <v/>
      </c>
      <c r="AD85" s="13">
        <f>Time!AD47*(AD77-AD83-AD84)</f>
        <v/>
      </c>
      <c r="AE85" s="13">
        <f>Time!AE47*(AE77-AE83-AE84)</f>
        <v/>
      </c>
      <c r="AF85" s="13">
        <f>Time!AF47*(AF77-AF83-AF84)</f>
        <v/>
      </c>
      <c r="AG85" s="13">
        <f>Time!AG47*(AG77-AG83-AG84)</f>
        <v/>
      </c>
      <c r="AH85" s="13">
        <f>Time!AH47*(AH77-AH83-AH84)</f>
        <v/>
      </c>
      <c r="AI85" s="13">
        <f>Time!AI47*(AI77-AI83-AI84)</f>
        <v/>
      </c>
      <c r="AJ85" s="13">
        <f>Time!AJ47*(AJ77-AJ83-AJ84)</f>
        <v/>
      </c>
      <c r="AK85" s="13">
        <f>Time!AK47*(AK77-AK83-AK84)</f>
        <v/>
      </c>
      <c r="AL85" s="13">
        <f>Time!AL47*(AL77-AL83-AL84)</f>
        <v/>
      </c>
      <c r="AM85" s="13">
        <f>Time!AM47*(AM77-AM83-AM84)</f>
        <v/>
      </c>
      <c r="AN85" s="13">
        <f>Time!AN47*(AN77-AN83-AN84)</f>
        <v/>
      </c>
      <c r="AO85" s="13">
        <f>Time!AO47*(AO77-AO83-AO84)</f>
        <v/>
      </c>
      <c r="AP85" s="13">
        <f>Time!AP47*(AP77-AP83-AP84)</f>
        <v/>
      </c>
      <c r="AQ85" s="13">
        <f>Time!AQ47*(AQ77-AQ83-AQ84)</f>
        <v/>
      </c>
      <c r="AR85" s="13">
        <f>Time!AR47*(AR77-AR83-AR84)</f>
        <v/>
      </c>
      <c r="AS85" s="13">
        <f>Time!AS47*(AS77-AS83-AS84)</f>
        <v/>
      </c>
      <c r="AT85" s="13">
        <f>Time!AT47*(AT77-AT83-AT84)</f>
        <v/>
      </c>
      <c r="AU85" s="13">
        <f>Time!AU47*(AU77-AU83-AU84)</f>
        <v/>
      </c>
      <c r="AV85" s="13">
        <f>Time!AV47*(AV77-AV83-AV84)</f>
        <v/>
      </c>
      <c r="AW85" s="13">
        <f>Time!AW47*(AW77-AW83-AW84)</f>
        <v/>
      </c>
      <c r="AX85" s="13">
        <f>Time!AX47*(AX77-AX83-AX84)</f>
        <v/>
      </c>
      <c r="AY85" s="13">
        <f>Time!AY47*(AY77-AY83-AY84)</f>
        <v/>
      </c>
      <c r="AZ85" s="13">
        <f>Time!AZ47*(AZ77-AZ83-AZ84)</f>
        <v/>
      </c>
      <c r="BA85" s="13">
        <f>Time!BA47*(BA77-BA83-BA84)</f>
        <v/>
      </c>
      <c r="BB85" s="13">
        <f>Time!BB47*(BB77-BB83-BB84)</f>
        <v/>
      </c>
      <c r="BC85" s="13">
        <f>Time!BC47*(BC77-BC83-BC84)</f>
        <v/>
      </c>
      <c r="BD85" s="13">
        <f>Time!BD47*(BD77-BD83-BD84)</f>
        <v/>
      </c>
      <c r="BE85" s="13">
        <f>Time!BE47*(BE77-BE83-BE84)</f>
        <v/>
      </c>
      <c r="BF85" s="13">
        <f>Time!BF47*(BF77-BF83-BF84)</f>
        <v/>
      </c>
      <c r="BG85" s="13">
        <f>Time!BG47*(BG77-BG83-BG84)</f>
        <v/>
      </c>
      <c r="BH85" s="13">
        <f>Time!BH47*(BH77-BH83-BH84)</f>
        <v/>
      </c>
      <c r="BI85" s="13">
        <f>Time!BI47*(BI77-BI83-BI84)</f>
        <v/>
      </c>
      <c r="BJ85" s="13">
        <f>Time!BJ47*(BJ77-BJ83-BJ84)</f>
        <v/>
      </c>
      <c r="BK85" s="13">
        <f>Time!BK47*(BK77-BK83-BK84)</f>
        <v/>
      </c>
      <c r="BL85" s="13">
        <f>Time!BL47*(BL77-BL83-BL84)</f>
        <v/>
      </c>
      <c r="BM85" s="13">
        <f>Time!BM47*(BM77-BM83-BM84)</f>
        <v/>
      </c>
      <c r="BN85" s="13">
        <f>Time!BN47*(BN77-BN83-BN84)</f>
        <v/>
      </c>
    </row>
    <row r="86">
      <c r="D86" t="inlineStr">
        <is>
          <t>Deferred principal, closing</t>
        </is>
      </c>
      <c r="E86" t="inlineStr">
        <is>
          <t>USD m</t>
        </is>
      </c>
      <c r="J86" s="13">
        <f>(1-Time!J47)*(J78+J81-J82)</f>
        <v/>
      </c>
      <c r="K86" s="13">
        <f>(1-Time!K47)*(K78+K81-K82)</f>
        <v/>
      </c>
      <c r="L86" s="13">
        <f>(1-Time!L47)*(L78+L81-L82)</f>
        <v/>
      </c>
      <c r="M86" s="13">
        <f>(1-Time!M47)*(M78+M81-M82)</f>
        <v/>
      </c>
      <c r="N86" s="13">
        <f>(1-Time!N47)*(N78+N81-N82)</f>
        <v/>
      </c>
      <c r="O86" s="13">
        <f>(1-Time!O47)*(O78+O81-O82)</f>
        <v/>
      </c>
      <c r="P86" s="13">
        <f>(1-Time!P47)*(P78+P81-P82)</f>
        <v/>
      </c>
      <c r="Q86" s="13">
        <f>(1-Time!Q47)*(Q78+Q81-Q82)</f>
        <v/>
      </c>
      <c r="R86" s="13">
        <f>(1-Time!R47)*(R78+R81-R82)</f>
        <v/>
      </c>
      <c r="S86" s="13">
        <f>(1-Time!S47)*(S78+S81-S82)</f>
        <v/>
      </c>
      <c r="T86" s="13">
        <f>(1-Time!T47)*(T78+T81-T82)</f>
        <v/>
      </c>
      <c r="U86" s="13">
        <f>(1-Time!U47)*(U78+U81-U82)</f>
        <v/>
      </c>
      <c r="V86" s="13">
        <f>(1-Time!V47)*(V78+V81-V82)</f>
        <v/>
      </c>
      <c r="W86" s="13">
        <f>(1-Time!W47)*(W78+W81-W82)</f>
        <v/>
      </c>
      <c r="X86" s="13">
        <f>(1-Time!X47)*(X78+X81-X82)</f>
        <v/>
      </c>
      <c r="Y86" s="13">
        <f>(1-Time!Y47)*(Y78+Y81-Y82)</f>
        <v/>
      </c>
      <c r="Z86" s="13">
        <f>(1-Time!Z47)*(Z78+Z81-Z82)</f>
        <v/>
      </c>
      <c r="AA86" s="13">
        <f>(1-Time!AA47)*(AA78+AA81-AA82)</f>
        <v/>
      </c>
      <c r="AB86" s="13">
        <f>(1-Time!AB47)*(AB78+AB81-AB82)</f>
        <v/>
      </c>
      <c r="AC86" s="13">
        <f>(1-Time!AC47)*(AC78+AC81-AC82)</f>
        <v/>
      </c>
      <c r="AD86" s="13">
        <f>(1-Time!AD47)*(AD78+AD81-AD82)</f>
        <v/>
      </c>
      <c r="AE86" s="13">
        <f>(1-Time!AE47)*(AE78+AE81-AE82)</f>
        <v/>
      </c>
      <c r="AF86" s="13">
        <f>(1-Time!AF47)*(AF78+AF81-AF82)</f>
        <v/>
      </c>
      <c r="AG86" s="13">
        <f>(1-Time!AG47)*(AG78+AG81-AG82)</f>
        <v/>
      </c>
      <c r="AH86" s="13">
        <f>(1-Time!AH47)*(AH78+AH81-AH82)</f>
        <v/>
      </c>
      <c r="AI86" s="13">
        <f>(1-Time!AI47)*(AI78+AI81-AI82)</f>
        <v/>
      </c>
      <c r="AJ86" s="13">
        <f>(1-Time!AJ47)*(AJ78+AJ81-AJ82)</f>
        <v/>
      </c>
      <c r="AK86" s="13">
        <f>(1-Time!AK47)*(AK78+AK81-AK82)</f>
        <v/>
      </c>
      <c r="AL86" s="13">
        <f>(1-Time!AL47)*(AL78+AL81-AL82)</f>
        <v/>
      </c>
      <c r="AM86" s="13">
        <f>(1-Time!AM47)*(AM78+AM81-AM82)</f>
        <v/>
      </c>
      <c r="AN86" s="13">
        <f>(1-Time!AN47)*(AN78+AN81-AN82)</f>
        <v/>
      </c>
      <c r="AO86" s="13">
        <f>(1-Time!AO47)*(AO78+AO81-AO82)</f>
        <v/>
      </c>
      <c r="AP86" s="13">
        <f>(1-Time!AP47)*(AP78+AP81-AP82)</f>
        <v/>
      </c>
      <c r="AQ86" s="13">
        <f>(1-Time!AQ47)*(AQ78+AQ81-AQ82)</f>
        <v/>
      </c>
      <c r="AR86" s="13">
        <f>(1-Time!AR47)*(AR78+AR81-AR82)</f>
        <v/>
      </c>
      <c r="AS86" s="13">
        <f>(1-Time!AS47)*(AS78+AS81-AS82)</f>
        <v/>
      </c>
      <c r="AT86" s="13">
        <f>(1-Time!AT47)*(AT78+AT81-AT82)</f>
        <v/>
      </c>
      <c r="AU86" s="13">
        <f>(1-Time!AU47)*(AU78+AU81-AU82)</f>
        <v/>
      </c>
      <c r="AV86" s="13">
        <f>(1-Time!AV47)*(AV78+AV81-AV82)</f>
        <v/>
      </c>
      <c r="AW86" s="13">
        <f>(1-Time!AW47)*(AW78+AW81-AW82)</f>
        <v/>
      </c>
      <c r="AX86" s="13">
        <f>(1-Time!AX47)*(AX78+AX81-AX82)</f>
        <v/>
      </c>
      <c r="AY86" s="13">
        <f>(1-Time!AY47)*(AY78+AY81-AY82)</f>
        <v/>
      </c>
      <c r="AZ86" s="13">
        <f>(1-Time!AZ47)*(AZ78+AZ81-AZ82)</f>
        <v/>
      </c>
      <c r="BA86" s="13">
        <f>(1-Time!BA47)*(BA78+BA81-BA82)</f>
        <v/>
      </c>
      <c r="BB86" s="13">
        <f>(1-Time!BB47)*(BB78+BB81-BB82)</f>
        <v/>
      </c>
      <c r="BC86" s="13">
        <f>(1-Time!BC47)*(BC78+BC81-BC82)</f>
        <v/>
      </c>
      <c r="BD86" s="13">
        <f>(1-Time!BD47)*(BD78+BD81-BD82)</f>
        <v/>
      </c>
      <c r="BE86" s="13">
        <f>(1-Time!BE47)*(BE78+BE81-BE82)</f>
        <v/>
      </c>
      <c r="BF86" s="13">
        <f>(1-Time!BF47)*(BF78+BF81-BF82)</f>
        <v/>
      </c>
      <c r="BG86" s="13">
        <f>(1-Time!BG47)*(BG78+BG81-BG82)</f>
        <v/>
      </c>
      <c r="BH86" s="13">
        <f>(1-Time!BH47)*(BH78+BH81-BH82)</f>
        <v/>
      </c>
      <c r="BI86" s="13">
        <f>(1-Time!BI47)*(BI78+BI81-BI82)</f>
        <v/>
      </c>
      <c r="BJ86" s="13">
        <f>(1-Time!BJ47)*(BJ78+BJ81-BJ82)</f>
        <v/>
      </c>
      <c r="BK86" s="13">
        <f>(1-Time!BK47)*(BK78+BK81-BK82)</f>
        <v/>
      </c>
      <c r="BL86" s="13">
        <f>(1-Time!BL47)*(BL78+BL81-BL82)</f>
        <v/>
      </c>
      <c r="BM86" s="13">
        <f>(1-Time!BM47)*(BM78+BM81-BM82)</f>
        <v/>
      </c>
      <c r="BN86" s="13">
        <f>(1-Time!BN47)*(BN78+BN81-BN82)</f>
        <v/>
      </c>
    </row>
    <row r="87">
      <c r="D87" t="inlineStr">
        <is>
          <t>Balance after scheduled payment, LDs and refinancing</t>
        </is>
      </c>
      <c r="E87" t="inlineStr">
        <is>
          <t>USD m</t>
        </is>
      </c>
      <c r="J87" s="13">
        <f>J77-J83-J84-J85</f>
        <v/>
      </c>
      <c r="K87" s="13">
        <f>K77-K83-K84-K85</f>
        <v/>
      </c>
      <c r="L87" s="13">
        <f>L77-L83-L84-L85</f>
        <v/>
      </c>
      <c r="M87" s="13">
        <f>M77-M83-M84-M85</f>
        <v/>
      </c>
      <c r="N87" s="13">
        <f>N77-N83-N84-N85</f>
        <v/>
      </c>
      <c r="O87" s="13">
        <f>O77-O83-O84-O85</f>
        <v/>
      </c>
      <c r="P87" s="13">
        <f>P77-P83-P84-P85</f>
        <v/>
      </c>
      <c r="Q87" s="13">
        <f>Q77-Q83-Q84-Q85</f>
        <v/>
      </c>
      <c r="R87" s="13">
        <f>R77-R83-R84-R85</f>
        <v/>
      </c>
      <c r="S87" s="13">
        <f>S77-S83-S84-S85</f>
        <v/>
      </c>
      <c r="T87" s="13">
        <f>T77-T83-T84-T85</f>
        <v/>
      </c>
      <c r="U87" s="13">
        <f>U77-U83-U84-U85</f>
        <v/>
      </c>
      <c r="V87" s="13">
        <f>V77-V83-V84-V85</f>
        <v/>
      </c>
      <c r="W87" s="13">
        <f>W77-W83-W84-W85</f>
        <v/>
      </c>
      <c r="X87" s="13">
        <f>X77-X83-X84-X85</f>
        <v/>
      </c>
      <c r="Y87" s="13">
        <f>Y77-Y83-Y84-Y85</f>
        <v/>
      </c>
      <c r="Z87" s="13">
        <f>Z77-Z83-Z84-Z85</f>
        <v/>
      </c>
      <c r="AA87" s="13">
        <f>AA77-AA83-AA84-AA85</f>
        <v/>
      </c>
      <c r="AB87" s="13">
        <f>AB77-AB83-AB84-AB85</f>
        <v/>
      </c>
      <c r="AC87" s="13">
        <f>AC77-AC83-AC84-AC85</f>
        <v/>
      </c>
      <c r="AD87" s="13">
        <f>AD77-AD83-AD84-AD85</f>
        <v/>
      </c>
      <c r="AE87" s="13">
        <f>AE77-AE83-AE84-AE85</f>
        <v/>
      </c>
      <c r="AF87" s="13">
        <f>AF77-AF83-AF84-AF85</f>
        <v/>
      </c>
      <c r="AG87" s="13">
        <f>AG77-AG83-AG84-AG85</f>
        <v/>
      </c>
      <c r="AH87" s="13">
        <f>AH77-AH83-AH84-AH85</f>
        <v/>
      </c>
      <c r="AI87" s="13">
        <f>AI77-AI83-AI84-AI85</f>
        <v/>
      </c>
      <c r="AJ87" s="13">
        <f>AJ77-AJ83-AJ84-AJ85</f>
        <v/>
      </c>
      <c r="AK87" s="13">
        <f>AK77-AK83-AK84-AK85</f>
        <v/>
      </c>
      <c r="AL87" s="13">
        <f>AL77-AL83-AL84-AL85</f>
        <v/>
      </c>
      <c r="AM87" s="13">
        <f>AM77-AM83-AM84-AM85</f>
        <v/>
      </c>
      <c r="AN87" s="13">
        <f>AN77-AN83-AN84-AN85</f>
        <v/>
      </c>
      <c r="AO87" s="13">
        <f>AO77-AO83-AO84-AO85</f>
        <v/>
      </c>
      <c r="AP87" s="13">
        <f>AP77-AP83-AP84-AP85</f>
        <v/>
      </c>
      <c r="AQ87" s="13">
        <f>AQ77-AQ83-AQ84-AQ85</f>
        <v/>
      </c>
      <c r="AR87" s="13">
        <f>AR77-AR83-AR84-AR85</f>
        <v/>
      </c>
      <c r="AS87" s="13">
        <f>AS77-AS83-AS84-AS85</f>
        <v/>
      </c>
      <c r="AT87" s="13">
        <f>AT77-AT83-AT84-AT85</f>
        <v/>
      </c>
      <c r="AU87" s="13">
        <f>AU77-AU83-AU84-AU85</f>
        <v/>
      </c>
      <c r="AV87" s="13">
        <f>AV77-AV83-AV84-AV85</f>
        <v/>
      </c>
      <c r="AW87" s="13">
        <f>AW77-AW83-AW84-AW85</f>
        <v/>
      </c>
      <c r="AX87" s="13">
        <f>AX77-AX83-AX84-AX85</f>
        <v/>
      </c>
      <c r="AY87" s="13">
        <f>AY77-AY83-AY84-AY85</f>
        <v/>
      </c>
      <c r="AZ87" s="13">
        <f>AZ77-AZ83-AZ84-AZ85</f>
        <v/>
      </c>
      <c r="BA87" s="13">
        <f>BA77-BA83-BA84-BA85</f>
        <v/>
      </c>
      <c r="BB87" s="13">
        <f>BB77-BB83-BB84-BB85</f>
        <v/>
      </c>
      <c r="BC87" s="13">
        <f>BC77-BC83-BC84-BC85</f>
        <v/>
      </c>
      <c r="BD87" s="13">
        <f>BD77-BD83-BD84-BD85</f>
        <v/>
      </c>
      <c r="BE87" s="13">
        <f>BE77-BE83-BE84-BE85</f>
        <v/>
      </c>
      <c r="BF87" s="13">
        <f>BF77-BF83-BF84-BF85</f>
        <v/>
      </c>
      <c r="BG87" s="13">
        <f>BG77-BG83-BG84-BG85</f>
        <v/>
      </c>
      <c r="BH87" s="13">
        <f>BH77-BH83-BH84-BH85</f>
        <v/>
      </c>
      <c r="BI87" s="13">
        <f>BI77-BI83-BI84-BI85</f>
        <v/>
      </c>
      <c r="BJ87" s="13">
        <f>BJ77-BJ83-BJ84-BJ85</f>
        <v/>
      </c>
      <c r="BK87" s="13">
        <f>BK77-BK83-BK84-BK85</f>
        <v/>
      </c>
      <c r="BL87" s="13">
        <f>BL77-BL83-BL84-BL85</f>
        <v/>
      </c>
      <c r="BM87" s="13">
        <f>BM77-BM83-BM84-BM85</f>
        <v/>
      </c>
      <c r="BN87" s="13">
        <f>BN77-BN83-BN84-BN85</f>
        <v/>
      </c>
    </row>
    <row r="88">
      <c r="D88" t="inlineStr">
        <is>
          <t>Cash sweep prepayment</t>
        </is>
      </c>
      <c r="E88" t="inlineStr">
        <is>
          <t>USD m</t>
        </is>
      </c>
      <c r="G88" s="13">
        <f>SUM(J88:BN88)</f>
        <v/>
      </c>
      <c r="J88" s="13">
        <f>Waterfall!J28*J87/(J31+J45+J59+J73+J87+Inputs!$F$253)</f>
        <v/>
      </c>
      <c r="K88" s="13">
        <f>Waterfall!K28*K87/(K31+K45+K59+K73+K87+Inputs!$F$253)</f>
        <v/>
      </c>
      <c r="L88" s="13">
        <f>Waterfall!L28*L87/(L31+L45+L59+L73+L87+Inputs!$F$253)</f>
        <v/>
      </c>
      <c r="M88" s="13">
        <f>Waterfall!M28*M87/(M31+M45+M59+M73+M87+Inputs!$F$253)</f>
        <v/>
      </c>
      <c r="N88" s="13">
        <f>Waterfall!N28*N87/(N31+N45+N59+N73+N87+Inputs!$F$253)</f>
        <v/>
      </c>
      <c r="O88" s="13">
        <f>Waterfall!O28*O87/(O31+O45+O59+O73+O87+Inputs!$F$253)</f>
        <v/>
      </c>
      <c r="P88" s="13">
        <f>Waterfall!P28*P87/(P31+P45+P59+P73+P87+Inputs!$F$253)</f>
        <v/>
      </c>
      <c r="Q88" s="13">
        <f>Waterfall!Q28*Q87/(Q31+Q45+Q59+Q73+Q87+Inputs!$F$253)</f>
        <v/>
      </c>
      <c r="R88" s="13">
        <f>Waterfall!R28*R87/(R31+R45+R59+R73+R87+Inputs!$F$253)</f>
        <v/>
      </c>
      <c r="S88" s="13">
        <f>Waterfall!S28*S87/(S31+S45+S59+S73+S87+Inputs!$F$253)</f>
        <v/>
      </c>
      <c r="T88" s="13">
        <f>Waterfall!T28*T87/(T31+T45+T59+T73+T87+Inputs!$F$253)</f>
        <v/>
      </c>
      <c r="U88" s="13">
        <f>Waterfall!U28*U87/(U31+U45+U59+U73+U87+Inputs!$F$253)</f>
        <v/>
      </c>
      <c r="V88" s="13">
        <f>Waterfall!V28*V87/(V31+V45+V59+V73+V87+Inputs!$F$253)</f>
        <v/>
      </c>
      <c r="W88" s="13">
        <f>Waterfall!W28*W87/(W31+W45+W59+W73+W87+Inputs!$F$253)</f>
        <v/>
      </c>
      <c r="X88" s="13">
        <f>Waterfall!X28*X87/(X31+X45+X59+X73+X87+Inputs!$F$253)</f>
        <v/>
      </c>
      <c r="Y88" s="13">
        <f>Waterfall!Y28*Y87/(Y31+Y45+Y59+Y73+Y87+Inputs!$F$253)</f>
        <v/>
      </c>
      <c r="Z88" s="13">
        <f>Waterfall!Z28*Z87/(Z31+Z45+Z59+Z73+Z87+Inputs!$F$253)</f>
        <v/>
      </c>
      <c r="AA88" s="13">
        <f>Waterfall!AA28*AA87/(AA31+AA45+AA59+AA73+AA87+Inputs!$F$253)</f>
        <v/>
      </c>
      <c r="AB88" s="13">
        <f>Waterfall!AB28*AB87/(AB31+AB45+AB59+AB73+AB87+Inputs!$F$253)</f>
        <v/>
      </c>
      <c r="AC88" s="13">
        <f>Waterfall!AC28*AC87/(AC31+AC45+AC59+AC73+AC87+Inputs!$F$253)</f>
        <v/>
      </c>
      <c r="AD88" s="13">
        <f>Waterfall!AD28*AD87/(AD31+AD45+AD59+AD73+AD87+Inputs!$F$253)</f>
        <v/>
      </c>
      <c r="AE88" s="13">
        <f>Waterfall!AE28*AE87/(AE31+AE45+AE59+AE73+AE87+Inputs!$F$253)</f>
        <v/>
      </c>
      <c r="AF88" s="13">
        <f>Waterfall!AF28*AF87/(AF31+AF45+AF59+AF73+AF87+Inputs!$F$253)</f>
        <v/>
      </c>
      <c r="AG88" s="13">
        <f>Waterfall!AG28*AG87/(AG31+AG45+AG59+AG73+AG87+Inputs!$F$253)</f>
        <v/>
      </c>
      <c r="AH88" s="13">
        <f>Waterfall!AH28*AH87/(AH31+AH45+AH59+AH73+AH87+Inputs!$F$253)</f>
        <v/>
      </c>
      <c r="AI88" s="13">
        <f>Waterfall!AI28*AI87/(AI31+AI45+AI59+AI73+AI87+Inputs!$F$253)</f>
        <v/>
      </c>
      <c r="AJ88" s="13">
        <f>Waterfall!AJ28*AJ87/(AJ31+AJ45+AJ59+AJ73+AJ87+Inputs!$F$253)</f>
        <v/>
      </c>
      <c r="AK88" s="13">
        <f>Waterfall!AK28*AK87/(AK31+AK45+AK59+AK73+AK87+Inputs!$F$253)</f>
        <v/>
      </c>
      <c r="AL88" s="13">
        <f>Waterfall!AL28*AL87/(AL31+AL45+AL59+AL73+AL87+Inputs!$F$253)</f>
        <v/>
      </c>
      <c r="AM88" s="13">
        <f>Waterfall!AM28*AM87/(AM31+AM45+AM59+AM73+AM87+Inputs!$F$253)</f>
        <v/>
      </c>
      <c r="AN88" s="13">
        <f>Waterfall!AN28*AN87/(AN31+AN45+AN59+AN73+AN87+Inputs!$F$253)</f>
        <v/>
      </c>
      <c r="AO88" s="13">
        <f>Waterfall!AO28*AO87/(AO31+AO45+AO59+AO73+AO87+Inputs!$F$253)</f>
        <v/>
      </c>
      <c r="AP88" s="13">
        <f>Waterfall!AP28*AP87/(AP31+AP45+AP59+AP73+AP87+Inputs!$F$253)</f>
        <v/>
      </c>
      <c r="AQ88" s="13">
        <f>Waterfall!AQ28*AQ87/(AQ31+AQ45+AQ59+AQ73+AQ87+Inputs!$F$253)</f>
        <v/>
      </c>
      <c r="AR88" s="13">
        <f>Waterfall!AR28*AR87/(AR31+AR45+AR59+AR73+AR87+Inputs!$F$253)</f>
        <v/>
      </c>
      <c r="AS88" s="13">
        <f>Waterfall!AS28*AS87/(AS31+AS45+AS59+AS73+AS87+Inputs!$F$253)</f>
        <v/>
      </c>
      <c r="AT88" s="13">
        <f>Waterfall!AT28*AT87/(AT31+AT45+AT59+AT73+AT87+Inputs!$F$253)</f>
        <v/>
      </c>
      <c r="AU88" s="13">
        <f>Waterfall!AU28*AU87/(AU31+AU45+AU59+AU73+AU87+Inputs!$F$253)</f>
        <v/>
      </c>
      <c r="AV88" s="13">
        <f>Waterfall!AV28*AV87/(AV31+AV45+AV59+AV73+AV87+Inputs!$F$253)</f>
        <v/>
      </c>
      <c r="AW88" s="13">
        <f>Waterfall!AW28*AW87/(AW31+AW45+AW59+AW73+AW87+Inputs!$F$253)</f>
        <v/>
      </c>
      <c r="AX88" s="13">
        <f>Waterfall!AX28*AX87/(AX31+AX45+AX59+AX73+AX87+Inputs!$F$253)</f>
        <v/>
      </c>
      <c r="AY88" s="13">
        <f>Waterfall!AY28*AY87/(AY31+AY45+AY59+AY73+AY87+Inputs!$F$253)</f>
        <v/>
      </c>
      <c r="AZ88" s="13">
        <f>Waterfall!AZ28*AZ87/(AZ31+AZ45+AZ59+AZ73+AZ87+Inputs!$F$253)</f>
        <v/>
      </c>
      <c r="BA88" s="13">
        <f>Waterfall!BA28*BA87/(BA31+BA45+BA59+BA73+BA87+Inputs!$F$253)</f>
        <v/>
      </c>
      <c r="BB88" s="13">
        <f>Waterfall!BB28*BB87/(BB31+BB45+BB59+BB73+BB87+Inputs!$F$253)</f>
        <v/>
      </c>
      <c r="BC88" s="13">
        <f>Waterfall!BC28*BC87/(BC31+BC45+BC59+BC73+BC87+Inputs!$F$253)</f>
        <v/>
      </c>
      <c r="BD88" s="13">
        <f>Waterfall!BD28*BD87/(BD31+BD45+BD59+BD73+BD87+Inputs!$F$253)</f>
        <v/>
      </c>
      <c r="BE88" s="13">
        <f>Waterfall!BE28*BE87/(BE31+BE45+BE59+BE73+BE87+Inputs!$F$253)</f>
        <v/>
      </c>
      <c r="BF88" s="13">
        <f>Waterfall!BF28*BF87/(BF31+BF45+BF59+BF73+BF87+Inputs!$F$253)</f>
        <v/>
      </c>
      <c r="BG88" s="13">
        <f>Waterfall!BG28*BG87/(BG31+BG45+BG59+BG73+BG87+Inputs!$F$253)</f>
        <v/>
      </c>
      <c r="BH88" s="13">
        <f>Waterfall!BH28*BH87/(BH31+BH45+BH59+BH73+BH87+Inputs!$F$253)</f>
        <v/>
      </c>
      <c r="BI88" s="13">
        <f>Waterfall!BI28*BI87/(BI31+BI45+BI59+BI73+BI87+Inputs!$F$253)</f>
        <v/>
      </c>
      <c r="BJ88" s="13">
        <f>Waterfall!BJ28*BJ87/(BJ31+BJ45+BJ59+BJ73+BJ87+Inputs!$F$253)</f>
        <v/>
      </c>
      <c r="BK88" s="13">
        <f>Waterfall!BK28*BK87/(BK31+BK45+BK59+BK73+BK87+Inputs!$F$253)</f>
        <v/>
      </c>
      <c r="BL88" s="13">
        <f>Waterfall!BL28*BL87/(BL31+BL45+BL59+BL73+BL87+Inputs!$F$253)</f>
        <v/>
      </c>
      <c r="BM88" s="13">
        <f>Waterfall!BM28*BM87/(BM31+BM45+BM59+BM73+BM87+Inputs!$F$253)</f>
        <v/>
      </c>
      <c r="BN88" s="13">
        <f>Waterfall!BN28*BN87/(BN31+BN45+BN59+BN73+BN87+Inputs!$F$253)</f>
        <v/>
      </c>
    </row>
    <row r="89">
      <c r="D89" t="inlineStr">
        <is>
          <t>Closing balance</t>
        </is>
      </c>
      <c r="E89" t="inlineStr">
        <is>
          <t>USD m</t>
        </is>
      </c>
      <c r="J89" s="13">
        <f>IF(Time!J34=1,INDEX(Funding!$J$65:$BJ$65,1,Time!$F$14),Time!J35*(J87-J88))</f>
        <v/>
      </c>
      <c r="K89" s="13">
        <f>IF(Time!K34=1,INDEX(Funding!$J$65:$BJ$65,1,Time!$F$14),Time!K35*(K87-K88))</f>
        <v/>
      </c>
      <c r="L89" s="13">
        <f>IF(Time!L34=1,INDEX(Funding!$J$65:$BJ$65,1,Time!$F$14),Time!L35*(L87-L88))</f>
        <v/>
      </c>
      <c r="M89" s="13">
        <f>IF(Time!M34=1,INDEX(Funding!$J$65:$BJ$65,1,Time!$F$14),Time!M35*(M87-M88))</f>
        <v/>
      </c>
      <c r="N89" s="13">
        <f>IF(Time!N34=1,INDEX(Funding!$J$65:$BJ$65,1,Time!$F$14),Time!N35*(N87-N88))</f>
        <v/>
      </c>
      <c r="O89" s="13">
        <f>IF(Time!O34=1,INDEX(Funding!$J$65:$BJ$65,1,Time!$F$14),Time!O35*(O87-O88))</f>
        <v/>
      </c>
      <c r="P89" s="13">
        <f>IF(Time!P34=1,INDEX(Funding!$J$65:$BJ$65,1,Time!$F$14),Time!P35*(P87-P88))</f>
        <v/>
      </c>
      <c r="Q89" s="13">
        <f>IF(Time!Q34=1,INDEX(Funding!$J$65:$BJ$65,1,Time!$F$14),Time!Q35*(Q87-Q88))</f>
        <v/>
      </c>
      <c r="R89" s="13">
        <f>IF(Time!R34=1,INDEX(Funding!$J$65:$BJ$65,1,Time!$F$14),Time!R35*(R87-R88))</f>
        <v/>
      </c>
      <c r="S89" s="13">
        <f>IF(Time!S34=1,INDEX(Funding!$J$65:$BJ$65,1,Time!$F$14),Time!S35*(S87-S88))</f>
        <v/>
      </c>
      <c r="T89" s="13">
        <f>IF(Time!T34=1,INDEX(Funding!$J$65:$BJ$65,1,Time!$F$14),Time!T35*(T87-T88))</f>
        <v/>
      </c>
      <c r="U89" s="13">
        <f>IF(Time!U34=1,INDEX(Funding!$J$65:$BJ$65,1,Time!$F$14),Time!U35*(U87-U88))</f>
        <v/>
      </c>
      <c r="V89" s="13">
        <f>IF(Time!V34=1,INDEX(Funding!$J$65:$BJ$65,1,Time!$F$14),Time!V35*(V87-V88))</f>
        <v/>
      </c>
      <c r="W89" s="13">
        <f>IF(Time!W34=1,INDEX(Funding!$J$65:$BJ$65,1,Time!$F$14),Time!W35*(W87-W88))</f>
        <v/>
      </c>
      <c r="X89" s="13">
        <f>IF(Time!X34=1,INDEX(Funding!$J$65:$BJ$65,1,Time!$F$14),Time!X35*(X87-X88))</f>
        <v/>
      </c>
      <c r="Y89" s="13">
        <f>IF(Time!Y34=1,INDEX(Funding!$J$65:$BJ$65,1,Time!$F$14),Time!Y35*(Y87-Y88))</f>
        <v/>
      </c>
      <c r="Z89" s="13">
        <f>IF(Time!Z34=1,INDEX(Funding!$J$65:$BJ$65,1,Time!$F$14),Time!Z35*(Z87-Z88))</f>
        <v/>
      </c>
      <c r="AA89" s="13">
        <f>IF(Time!AA34=1,INDEX(Funding!$J$65:$BJ$65,1,Time!$F$14),Time!AA35*(AA87-AA88))</f>
        <v/>
      </c>
      <c r="AB89" s="13">
        <f>IF(Time!AB34=1,INDEX(Funding!$J$65:$BJ$65,1,Time!$F$14),Time!AB35*(AB87-AB88))</f>
        <v/>
      </c>
      <c r="AC89" s="13">
        <f>IF(Time!AC34=1,INDEX(Funding!$J$65:$BJ$65,1,Time!$F$14),Time!AC35*(AC87-AC88))</f>
        <v/>
      </c>
      <c r="AD89" s="13">
        <f>IF(Time!AD34=1,INDEX(Funding!$J$65:$BJ$65,1,Time!$F$14),Time!AD35*(AD87-AD88))</f>
        <v/>
      </c>
      <c r="AE89" s="13">
        <f>IF(Time!AE34=1,INDEX(Funding!$J$65:$BJ$65,1,Time!$F$14),Time!AE35*(AE87-AE88))</f>
        <v/>
      </c>
      <c r="AF89" s="13">
        <f>IF(Time!AF34=1,INDEX(Funding!$J$65:$BJ$65,1,Time!$F$14),Time!AF35*(AF87-AF88))</f>
        <v/>
      </c>
      <c r="AG89" s="13">
        <f>IF(Time!AG34=1,INDEX(Funding!$J$65:$BJ$65,1,Time!$F$14),Time!AG35*(AG87-AG88))</f>
        <v/>
      </c>
      <c r="AH89" s="13">
        <f>IF(Time!AH34=1,INDEX(Funding!$J$65:$BJ$65,1,Time!$F$14),Time!AH35*(AH87-AH88))</f>
        <v/>
      </c>
      <c r="AI89" s="13">
        <f>IF(Time!AI34=1,INDEX(Funding!$J$65:$BJ$65,1,Time!$F$14),Time!AI35*(AI87-AI88))</f>
        <v/>
      </c>
      <c r="AJ89" s="13">
        <f>IF(Time!AJ34=1,INDEX(Funding!$J$65:$BJ$65,1,Time!$F$14),Time!AJ35*(AJ87-AJ88))</f>
        <v/>
      </c>
      <c r="AK89" s="13">
        <f>IF(Time!AK34=1,INDEX(Funding!$J$65:$BJ$65,1,Time!$F$14),Time!AK35*(AK87-AK88))</f>
        <v/>
      </c>
      <c r="AL89" s="13">
        <f>IF(Time!AL34=1,INDEX(Funding!$J$65:$BJ$65,1,Time!$F$14),Time!AL35*(AL87-AL88))</f>
        <v/>
      </c>
      <c r="AM89" s="13">
        <f>IF(Time!AM34=1,INDEX(Funding!$J$65:$BJ$65,1,Time!$F$14),Time!AM35*(AM87-AM88))</f>
        <v/>
      </c>
      <c r="AN89" s="13">
        <f>IF(Time!AN34=1,INDEX(Funding!$J$65:$BJ$65,1,Time!$F$14),Time!AN35*(AN87-AN88))</f>
        <v/>
      </c>
      <c r="AO89" s="13">
        <f>IF(Time!AO34=1,INDEX(Funding!$J$65:$BJ$65,1,Time!$F$14),Time!AO35*(AO87-AO88))</f>
        <v/>
      </c>
      <c r="AP89" s="13">
        <f>IF(Time!AP34=1,INDEX(Funding!$J$65:$BJ$65,1,Time!$F$14),Time!AP35*(AP87-AP88))</f>
        <v/>
      </c>
      <c r="AQ89" s="13">
        <f>IF(Time!AQ34=1,INDEX(Funding!$J$65:$BJ$65,1,Time!$F$14),Time!AQ35*(AQ87-AQ88))</f>
        <v/>
      </c>
      <c r="AR89" s="13">
        <f>IF(Time!AR34=1,INDEX(Funding!$J$65:$BJ$65,1,Time!$F$14),Time!AR35*(AR87-AR88))</f>
        <v/>
      </c>
      <c r="AS89" s="13">
        <f>IF(Time!AS34=1,INDEX(Funding!$J$65:$BJ$65,1,Time!$F$14),Time!AS35*(AS87-AS88))</f>
        <v/>
      </c>
      <c r="AT89" s="13">
        <f>IF(Time!AT34=1,INDEX(Funding!$J$65:$BJ$65,1,Time!$F$14),Time!AT35*(AT87-AT88))</f>
        <v/>
      </c>
      <c r="AU89" s="13">
        <f>IF(Time!AU34=1,INDEX(Funding!$J$65:$BJ$65,1,Time!$F$14),Time!AU35*(AU87-AU88))</f>
        <v/>
      </c>
      <c r="AV89" s="13">
        <f>IF(Time!AV34=1,INDEX(Funding!$J$65:$BJ$65,1,Time!$F$14),Time!AV35*(AV87-AV88))</f>
        <v/>
      </c>
      <c r="AW89" s="13">
        <f>IF(Time!AW34=1,INDEX(Funding!$J$65:$BJ$65,1,Time!$F$14),Time!AW35*(AW87-AW88))</f>
        <v/>
      </c>
      <c r="AX89" s="13">
        <f>IF(Time!AX34=1,INDEX(Funding!$J$65:$BJ$65,1,Time!$F$14),Time!AX35*(AX87-AX88))</f>
        <v/>
      </c>
      <c r="AY89" s="13">
        <f>IF(Time!AY34=1,INDEX(Funding!$J$65:$BJ$65,1,Time!$F$14),Time!AY35*(AY87-AY88))</f>
        <v/>
      </c>
      <c r="AZ89" s="13">
        <f>IF(Time!AZ34=1,INDEX(Funding!$J$65:$BJ$65,1,Time!$F$14),Time!AZ35*(AZ87-AZ88))</f>
        <v/>
      </c>
      <c r="BA89" s="13">
        <f>IF(Time!BA34=1,INDEX(Funding!$J$65:$BJ$65,1,Time!$F$14),Time!BA35*(BA87-BA88))</f>
        <v/>
      </c>
      <c r="BB89" s="13">
        <f>IF(Time!BB34=1,INDEX(Funding!$J$65:$BJ$65,1,Time!$F$14),Time!BB35*(BB87-BB88))</f>
        <v/>
      </c>
      <c r="BC89" s="13">
        <f>IF(Time!BC34=1,INDEX(Funding!$J$65:$BJ$65,1,Time!$F$14),Time!BC35*(BC87-BC88))</f>
        <v/>
      </c>
      <c r="BD89" s="13">
        <f>IF(Time!BD34=1,INDEX(Funding!$J$65:$BJ$65,1,Time!$F$14),Time!BD35*(BD87-BD88))</f>
        <v/>
      </c>
      <c r="BE89" s="13">
        <f>IF(Time!BE34=1,INDEX(Funding!$J$65:$BJ$65,1,Time!$F$14),Time!BE35*(BE87-BE88))</f>
        <v/>
      </c>
      <c r="BF89" s="13">
        <f>IF(Time!BF34=1,INDEX(Funding!$J$65:$BJ$65,1,Time!$F$14),Time!BF35*(BF87-BF88))</f>
        <v/>
      </c>
      <c r="BG89" s="13">
        <f>IF(Time!BG34=1,INDEX(Funding!$J$65:$BJ$65,1,Time!$F$14),Time!BG35*(BG87-BG88))</f>
        <v/>
      </c>
      <c r="BH89" s="13">
        <f>IF(Time!BH34=1,INDEX(Funding!$J$65:$BJ$65,1,Time!$F$14),Time!BH35*(BH87-BH88))</f>
        <v/>
      </c>
      <c r="BI89" s="13">
        <f>IF(Time!BI34=1,INDEX(Funding!$J$65:$BJ$65,1,Time!$F$14),Time!BI35*(BI87-BI88))</f>
        <v/>
      </c>
      <c r="BJ89" s="13">
        <f>IF(Time!BJ34=1,INDEX(Funding!$J$65:$BJ$65,1,Time!$F$14),Time!BJ35*(BJ87-BJ88))</f>
        <v/>
      </c>
      <c r="BK89" s="13">
        <f>IF(Time!BK34=1,INDEX(Funding!$J$65:$BJ$65,1,Time!$F$14),Time!BK35*(BK87-BK88))</f>
        <v/>
      </c>
      <c r="BL89" s="13">
        <f>IF(Time!BL34=1,INDEX(Funding!$J$65:$BJ$65,1,Time!$F$14),Time!BL35*(BL87-BL88))</f>
        <v/>
      </c>
      <c r="BM89" s="13">
        <f>IF(Time!BM34=1,INDEX(Funding!$J$65:$BJ$65,1,Time!$F$14),Time!BM35*(BM87-BM88))</f>
        <v/>
      </c>
      <c r="BN89" s="13">
        <f>IF(Time!BN34=1,INDEX(Funding!$J$65:$BJ$65,1,Time!$F$14),Time!BN35*(BN87-BN88))</f>
        <v/>
      </c>
    </row>
    <row r="90">
      <c r="B90" s="2" t="inlineStr">
        <is>
          <t>2025 project bond</t>
        </is>
      </c>
    </row>
    <row r="91">
      <c r="D91" t="inlineStr">
        <is>
          <t>Opening balance</t>
        </is>
      </c>
      <c r="E91" t="inlineStr">
        <is>
          <t>USD m</t>
        </is>
      </c>
      <c r="J91" s="13">
        <f>Time!J35*I95</f>
        <v/>
      </c>
      <c r="K91" s="13">
        <f>Time!K35*J95</f>
        <v/>
      </c>
      <c r="L91" s="13">
        <f>Time!L35*K95</f>
        <v/>
      </c>
      <c r="M91" s="13">
        <f>Time!M35*L95</f>
        <v/>
      </c>
      <c r="N91" s="13">
        <f>Time!N35*M95</f>
        <v/>
      </c>
      <c r="O91" s="13">
        <f>Time!O35*N95</f>
        <v/>
      </c>
      <c r="P91" s="13">
        <f>Time!P35*O95</f>
        <v/>
      </c>
      <c r="Q91" s="13">
        <f>Time!Q35*P95</f>
        <v/>
      </c>
      <c r="R91" s="13">
        <f>Time!R35*Q95</f>
        <v/>
      </c>
      <c r="S91" s="13">
        <f>Time!S35*R95</f>
        <v/>
      </c>
      <c r="T91" s="13">
        <f>Time!T35*S95</f>
        <v/>
      </c>
      <c r="U91" s="13">
        <f>Time!U35*T95</f>
        <v/>
      </c>
      <c r="V91" s="13">
        <f>Time!V35*U95</f>
        <v/>
      </c>
      <c r="W91" s="13">
        <f>Time!W35*V95</f>
        <v/>
      </c>
      <c r="X91" s="13">
        <f>Time!X35*W95</f>
        <v/>
      </c>
      <c r="Y91" s="13">
        <f>Time!Y35*X95</f>
        <v/>
      </c>
      <c r="Z91" s="13">
        <f>Time!Z35*Y95</f>
        <v/>
      </c>
      <c r="AA91" s="13">
        <f>Time!AA35*Z95</f>
        <v/>
      </c>
      <c r="AB91" s="13">
        <f>Time!AB35*AA95</f>
        <v/>
      </c>
      <c r="AC91" s="13">
        <f>Time!AC35*AB95</f>
        <v/>
      </c>
      <c r="AD91" s="13">
        <f>Time!AD35*AC95</f>
        <v/>
      </c>
      <c r="AE91" s="13">
        <f>Time!AE35*AD95</f>
        <v/>
      </c>
      <c r="AF91" s="13">
        <f>Time!AF35*AE95</f>
        <v/>
      </c>
      <c r="AG91" s="13">
        <f>Time!AG35*AF95</f>
        <v/>
      </c>
      <c r="AH91" s="13">
        <f>Time!AH35*AG95</f>
        <v/>
      </c>
      <c r="AI91" s="13">
        <f>Time!AI35*AH95</f>
        <v/>
      </c>
      <c r="AJ91" s="13">
        <f>Time!AJ35*AI95</f>
        <v/>
      </c>
      <c r="AK91" s="13">
        <f>Time!AK35*AJ95</f>
        <v/>
      </c>
      <c r="AL91" s="13">
        <f>Time!AL35*AK95</f>
        <v/>
      </c>
      <c r="AM91" s="13">
        <f>Time!AM35*AL95</f>
        <v/>
      </c>
      <c r="AN91" s="13">
        <f>Time!AN35*AM95</f>
        <v/>
      </c>
      <c r="AO91" s="13">
        <f>Time!AO35*AN95</f>
        <v/>
      </c>
      <c r="AP91" s="13">
        <f>Time!AP35*AO95</f>
        <v/>
      </c>
      <c r="AQ91" s="13">
        <f>Time!AQ35*AP95</f>
        <v/>
      </c>
      <c r="AR91" s="13">
        <f>Time!AR35*AQ95</f>
        <v/>
      </c>
      <c r="AS91" s="13">
        <f>Time!AS35*AR95</f>
        <v/>
      </c>
      <c r="AT91" s="13">
        <f>Time!AT35*AS95</f>
        <v/>
      </c>
      <c r="AU91" s="13">
        <f>Time!AU35*AT95</f>
        <v/>
      </c>
      <c r="AV91" s="13">
        <f>Time!AV35*AU95</f>
        <v/>
      </c>
      <c r="AW91" s="13">
        <f>Time!AW35*AV95</f>
        <v/>
      </c>
      <c r="AX91" s="13">
        <f>Time!AX35*AW95</f>
        <v/>
      </c>
      <c r="AY91" s="13">
        <f>Time!AY35*AX95</f>
        <v/>
      </c>
      <c r="AZ91" s="13">
        <f>Time!AZ35*AY95</f>
        <v/>
      </c>
      <c r="BA91" s="13">
        <f>Time!BA35*AZ95</f>
        <v/>
      </c>
      <c r="BB91" s="13">
        <f>Time!BB35*BA95</f>
        <v/>
      </c>
      <c r="BC91" s="13">
        <f>Time!BC35*BB95</f>
        <v/>
      </c>
      <c r="BD91" s="13">
        <f>Time!BD35*BC95</f>
        <v/>
      </c>
      <c r="BE91" s="13">
        <f>Time!BE35*BD95</f>
        <v/>
      </c>
      <c r="BF91" s="13">
        <f>Time!BF35*BE95</f>
        <v/>
      </c>
      <c r="BG91" s="13">
        <f>Time!BG35*BF95</f>
        <v/>
      </c>
      <c r="BH91" s="13">
        <f>Time!BH35*BG95</f>
        <v/>
      </c>
      <c r="BI91" s="13">
        <f>Time!BI35*BH95</f>
        <v/>
      </c>
      <c r="BJ91" s="13">
        <f>Time!BJ35*BI95</f>
        <v/>
      </c>
      <c r="BK91" s="13">
        <f>Time!BK35*BJ95</f>
        <v/>
      </c>
      <c r="BL91" s="13">
        <f>Time!BL35*BK95</f>
        <v/>
      </c>
      <c r="BM91" s="13">
        <f>Time!BM35*BL95</f>
        <v/>
      </c>
      <c r="BN91" s="13">
        <f>Time!BN35*BM95</f>
        <v/>
      </c>
    </row>
    <row r="92">
      <c r="D92" t="inlineStr">
        <is>
          <t>Interest (incl. WHT gross-up where applicable)</t>
        </is>
      </c>
      <c r="E92" t="inlineStr">
        <is>
          <t>USD m</t>
        </is>
      </c>
      <c r="G92" s="13">
        <f>SUM(J92:BN92)</f>
        <v/>
      </c>
      <c r="J92" s="13">
        <f>J91*J15</f>
        <v/>
      </c>
      <c r="K92" s="13">
        <f>K91*K15</f>
        <v/>
      </c>
      <c r="L92" s="13">
        <f>L91*L15</f>
        <v/>
      </c>
      <c r="M92" s="13">
        <f>M91*M15</f>
        <v/>
      </c>
      <c r="N92" s="13">
        <f>N91*N15</f>
        <v/>
      </c>
      <c r="O92" s="13">
        <f>O91*O15</f>
        <v/>
      </c>
      <c r="P92" s="13">
        <f>P91*P15</f>
        <v/>
      </c>
      <c r="Q92" s="13">
        <f>Q91*Q15</f>
        <v/>
      </c>
      <c r="R92" s="13">
        <f>R91*R15</f>
        <v/>
      </c>
      <c r="S92" s="13">
        <f>S91*S15</f>
        <v/>
      </c>
      <c r="T92" s="13">
        <f>T91*T15</f>
        <v/>
      </c>
      <c r="U92" s="13">
        <f>U91*U15</f>
        <v/>
      </c>
      <c r="V92" s="13">
        <f>V91*V15</f>
        <v/>
      </c>
      <c r="W92" s="13">
        <f>W91*W15</f>
        <v/>
      </c>
      <c r="X92" s="13">
        <f>X91*X15</f>
        <v/>
      </c>
      <c r="Y92" s="13">
        <f>Y91*Y15</f>
        <v/>
      </c>
      <c r="Z92" s="13">
        <f>Z91*Z15</f>
        <v/>
      </c>
      <c r="AA92" s="13">
        <f>AA91*AA15</f>
        <v/>
      </c>
      <c r="AB92" s="13">
        <f>AB91*AB15</f>
        <v/>
      </c>
      <c r="AC92" s="13">
        <f>AC91*AC15</f>
        <v/>
      </c>
      <c r="AD92" s="13">
        <f>AD91*AD15</f>
        <v/>
      </c>
      <c r="AE92" s="13">
        <f>AE91*AE15</f>
        <v/>
      </c>
      <c r="AF92" s="13">
        <f>AF91*AF15</f>
        <v/>
      </c>
      <c r="AG92" s="13">
        <f>AG91*AG15</f>
        <v/>
      </c>
      <c r="AH92" s="13">
        <f>AH91*AH15</f>
        <v/>
      </c>
      <c r="AI92" s="13">
        <f>AI91*AI15</f>
        <v/>
      </c>
      <c r="AJ92" s="13">
        <f>AJ91*AJ15</f>
        <v/>
      </c>
      <c r="AK92" s="13">
        <f>AK91*AK15</f>
        <v/>
      </c>
      <c r="AL92" s="13">
        <f>AL91*AL15</f>
        <v/>
      </c>
      <c r="AM92" s="13">
        <f>AM91*AM15</f>
        <v/>
      </c>
      <c r="AN92" s="13">
        <f>AN91*AN15</f>
        <v/>
      </c>
      <c r="AO92" s="13">
        <f>AO91*AO15</f>
        <v/>
      </c>
      <c r="AP92" s="13">
        <f>AP91*AP15</f>
        <v/>
      </c>
      <c r="AQ92" s="13">
        <f>AQ91*AQ15</f>
        <v/>
      </c>
      <c r="AR92" s="13">
        <f>AR91*AR15</f>
        <v/>
      </c>
      <c r="AS92" s="13">
        <f>AS91*AS15</f>
        <v/>
      </c>
      <c r="AT92" s="13">
        <f>AT91*AT15</f>
        <v/>
      </c>
      <c r="AU92" s="13">
        <f>AU91*AU15</f>
        <v/>
      </c>
      <c r="AV92" s="13">
        <f>AV91*AV15</f>
        <v/>
      </c>
      <c r="AW92" s="13">
        <f>AW91*AW15</f>
        <v/>
      </c>
      <c r="AX92" s="13">
        <f>AX91*AX15</f>
        <v/>
      </c>
      <c r="AY92" s="13">
        <f>AY91*AY15</f>
        <v/>
      </c>
      <c r="AZ92" s="13">
        <f>AZ91*AZ15</f>
        <v/>
      </c>
      <c r="BA92" s="13">
        <f>BA91*BA15</f>
        <v/>
      </c>
      <c r="BB92" s="13">
        <f>BB91*BB15</f>
        <v/>
      </c>
      <c r="BC92" s="13">
        <f>BC91*BC15</f>
        <v/>
      </c>
      <c r="BD92" s="13">
        <f>BD91*BD15</f>
        <v/>
      </c>
      <c r="BE92" s="13">
        <f>BE91*BE15</f>
        <v/>
      </c>
      <c r="BF92" s="13">
        <f>BF91*BF15</f>
        <v/>
      </c>
      <c r="BG92" s="13">
        <f>BG91*BG15</f>
        <v/>
      </c>
      <c r="BH92" s="13">
        <f>BH91*BH15</f>
        <v/>
      </c>
      <c r="BI92" s="13">
        <f>BI91*BI15</f>
        <v/>
      </c>
      <c r="BJ92" s="13">
        <f>BJ91*BJ15</f>
        <v/>
      </c>
      <c r="BK92" s="13">
        <f>BK91*BK15</f>
        <v/>
      </c>
      <c r="BL92" s="13">
        <f>BL91*BL15</f>
        <v/>
      </c>
      <c r="BM92" s="13">
        <f>BM91*BM15</f>
        <v/>
      </c>
      <c r="BN92" s="13">
        <f>BN91*BN15</f>
        <v/>
      </c>
    </row>
    <row r="93">
      <c r="D93" t="inlineStr">
        <is>
          <t>Principal paid</t>
        </is>
      </c>
      <c r="E93" t="inlineStr">
        <is>
          <t>USD m</t>
        </is>
      </c>
      <c r="G93" s="13">
        <f>SUM(J93:BN93)</f>
        <v/>
      </c>
      <c r="J93" s="13">
        <f>IF(J91&gt;0,MIN(I101*Inputs!J300,J91),0)</f>
        <v/>
      </c>
      <c r="K93" s="13">
        <f>IF(K91&gt;0,MIN(J101*Inputs!K300,K91),0)</f>
        <v/>
      </c>
      <c r="L93" s="13">
        <f>IF(L91&gt;0,MIN(K101*Inputs!L300,L91),0)</f>
        <v/>
      </c>
      <c r="M93" s="13">
        <f>IF(M91&gt;0,MIN(L101*Inputs!M300,M91),0)</f>
        <v/>
      </c>
      <c r="N93" s="13">
        <f>IF(N91&gt;0,MIN(M101*Inputs!N300,N91),0)</f>
        <v/>
      </c>
      <c r="O93" s="13">
        <f>IF(O91&gt;0,MIN(N101*Inputs!O300,O91),0)</f>
        <v/>
      </c>
      <c r="P93" s="13">
        <f>IF(P91&gt;0,MIN(O101*Inputs!P300,P91),0)</f>
        <v/>
      </c>
      <c r="Q93" s="13">
        <f>IF(Q91&gt;0,MIN(P101*Inputs!Q300,Q91),0)</f>
        <v/>
      </c>
      <c r="R93" s="13">
        <f>IF(R91&gt;0,MIN(Q101*Inputs!R300,R91),0)</f>
        <v/>
      </c>
      <c r="S93" s="13">
        <f>IF(S91&gt;0,MIN(R101*Inputs!S300,S91),0)</f>
        <v/>
      </c>
      <c r="T93" s="13">
        <f>IF(T91&gt;0,MIN(S101*Inputs!T300,T91),0)</f>
        <v/>
      </c>
      <c r="U93" s="13">
        <f>IF(U91&gt;0,MIN(T101*Inputs!U300,U91),0)</f>
        <v/>
      </c>
      <c r="V93" s="13">
        <f>IF(V91&gt;0,MIN(U101*Inputs!V300,V91),0)</f>
        <v/>
      </c>
      <c r="W93" s="13">
        <f>IF(W91&gt;0,MIN(V101*Inputs!W300,W91),0)</f>
        <v/>
      </c>
      <c r="X93" s="13">
        <f>IF(X91&gt;0,MIN(W101*Inputs!X300,X91),0)</f>
        <v/>
      </c>
      <c r="Y93" s="13">
        <f>IF(Y91&gt;0,MIN(X101*Inputs!Y300,Y91),0)</f>
        <v/>
      </c>
      <c r="Z93" s="13">
        <f>IF(Z91&gt;0,MIN(Y101*Inputs!Z300,Z91),0)</f>
        <v/>
      </c>
      <c r="AA93" s="13">
        <f>IF(AA91&gt;0,MIN(Z101*Inputs!AA300,AA91),0)</f>
        <v/>
      </c>
      <c r="AB93" s="13">
        <f>IF(AB91&gt;0,MIN(AA101*Inputs!AB300,AB91),0)</f>
        <v/>
      </c>
      <c r="AC93" s="13">
        <f>IF(AC91&gt;0,MIN(AB101*Inputs!AC300,AC91),0)</f>
        <v/>
      </c>
      <c r="AD93" s="13">
        <f>IF(AD91&gt;0,MIN(AC101*Inputs!AD300,AD91),0)</f>
        <v/>
      </c>
      <c r="AE93" s="13">
        <f>IF(AE91&gt;0,MIN(AD101*Inputs!AE300,AE91),0)</f>
        <v/>
      </c>
      <c r="AF93" s="13">
        <f>IF(AF91&gt;0,MIN(AE101*Inputs!AF300,AF91),0)</f>
        <v/>
      </c>
      <c r="AG93" s="13">
        <f>IF(AG91&gt;0,MIN(AF101*Inputs!AG300,AG91),0)</f>
        <v/>
      </c>
      <c r="AH93" s="13">
        <f>IF(AH91&gt;0,MIN(AG101*Inputs!AH300,AH91),0)</f>
        <v/>
      </c>
      <c r="AI93" s="13">
        <f>IF(AI91&gt;0,MIN(AH101*Inputs!AI300,AI91),0)</f>
        <v/>
      </c>
      <c r="AJ93" s="13">
        <f>IF(AJ91&gt;0,MIN(AI101*Inputs!AJ300,AJ91),0)</f>
        <v/>
      </c>
      <c r="AK93" s="13">
        <f>IF(AK91&gt;0,MIN(AJ101*Inputs!AK300,AK91),0)</f>
        <v/>
      </c>
      <c r="AL93" s="13">
        <f>IF(AL91&gt;0,MIN(AK101*Inputs!AL300,AL91),0)</f>
        <v/>
      </c>
      <c r="AM93" s="13">
        <f>IF(AM91&gt;0,MIN(AL101*Inputs!AM300,AM91),0)</f>
        <v/>
      </c>
      <c r="AN93" s="13">
        <f>IF(AN91&gt;0,MIN(AM101*Inputs!AN300,AN91),0)</f>
        <v/>
      </c>
      <c r="AO93" s="13">
        <f>IF(AO91&gt;0,MIN(AN101*Inputs!AO300,AO91),0)</f>
        <v/>
      </c>
      <c r="AP93" s="13">
        <f>IF(AP91&gt;0,MIN(AO101*Inputs!AP300,AP91),0)</f>
        <v/>
      </c>
      <c r="AQ93" s="13">
        <f>IF(AQ91&gt;0,MIN(AP101*Inputs!AQ300,AQ91),0)</f>
        <v/>
      </c>
      <c r="AR93" s="13">
        <f>IF(AR91&gt;0,MIN(AQ101*Inputs!AR300,AR91),0)</f>
        <v/>
      </c>
      <c r="AS93" s="13">
        <f>IF(AS91&gt;0,MIN(AR101*Inputs!AS300,AS91),0)</f>
        <v/>
      </c>
      <c r="AT93" s="13">
        <f>IF(AT91&gt;0,MIN(AS101*Inputs!AT300,AT91),0)</f>
        <v/>
      </c>
      <c r="AU93" s="13">
        <f>IF(AU91&gt;0,MIN(AT101*Inputs!AU300,AU91),0)</f>
        <v/>
      </c>
      <c r="AV93" s="13">
        <f>IF(AV91&gt;0,MIN(AU101*Inputs!AV300,AV91),0)</f>
        <v/>
      </c>
      <c r="AW93" s="13">
        <f>IF(AW91&gt;0,MIN(AV101*Inputs!AW300,AW91),0)</f>
        <v/>
      </c>
      <c r="AX93" s="13">
        <f>IF(AX91&gt;0,MIN(AW101*Inputs!AX300,AX91),0)</f>
        <v/>
      </c>
      <c r="AY93" s="13">
        <f>IF(AY91&gt;0,MIN(AX101*Inputs!AY300,AY91),0)</f>
        <v/>
      </c>
      <c r="AZ93" s="13">
        <f>IF(AZ91&gt;0,MIN(AY101*Inputs!AZ300,AZ91),0)</f>
        <v/>
      </c>
      <c r="BA93" s="13">
        <f>IF(BA91&gt;0,MIN(AZ101*Inputs!BA300,BA91),0)</f>
        <v/>
      </c>
      <c r="BB93" s="13">
        <f>IF(BB91&gt;0,MIN(BA101*Inputs!BB300,BB91),0)</f>
        <v/>
      </c>
      <c r="BC93" s="13">
        <f>IF(BC91&gt;0,MIN(BB101*Inputs!BC300,BC91),0)</f>
        <v/>
      </c>
      <c r="BD93" s="13">
        <f>IF(BD91&gt;0,MIN(BC101*Inputs!BD300,BD91),0)</f>
        <v/>
      </c>
      <c r="BE93" s="13">
        <f>IF(BE91&gt;0,MIN(BD101*Inputs!BE300,BE91),0)</f>
        <v/>
      </c>
      <c r="BF93" s="13">
        <f>IF(BF91&gt;0,MIN(BE101*Inputs!BF300,BF91),0)</f>
        <v/>
      </c>
      <c r="BG93" s="13">
        <f>IF(BG91&gt;0,MIN(BF101*Inputs!BG300,BG91),0)</f>
        <v/>
      </c>
      <c r="BH93" s="13">
        <f>IF(BH91&gt;0,MIN(BG101*Inputs!BH300,BH91),0)</f>
        <v/>
      </c>
      <c r="BI93" s="13">
        <f>IF(BI91&gt;0,MIN(BH101*Inputs!BI300,BI91),0)</f>
        <v/>
      </c>
      <c r="BJ93" s="13">
        <f>IF(BJ91&gt;0,MIN(BI101*Inputs!BJ300,BJ91),0)</f>
        <v/>
      </c>
      <c r="BK93" s="13">
        <f>IF(BK91&gt;0,MIN(BJ101*Inputs!BK300,BK91),0)</f>
        <v/>
      </c>
      <c r="BL93" s="13">
        <f>IF(BL91&gt;0,MIN(BK101*Inputs!BL300,BL91),0)</f>
        <v/>
      </c>
      <c r="BM93" s="13">
        <f>IF(BM91&gt;0,MIN(BL101*Inputs!BM300,BM91),0)</f>
        <v/>
      </c>
      <c r="BN93" s="13">
        <f>IF(BN91&gt;0,MIN(BM101*Inputs!BN300,BN91),0)</f>
        <v/>
      </c>
    </row>
    <row r="94">
      <c r="D94" t="inlineStr">
        <is>
          <t>Balance after scheduled payment</t>
        </is>
      </c>
      <c r="E94" t="inlineStr">
        <is>
          <t>USD m</t>
        </is>
      </c>
      <c r="J94" s="13">
        <f>J91-J93</f>
        <v/>
      </c>
      <c r="K94" s="13">
        <f>K91-K93</f>
        <v/>
      </c>
      <c r="L94" s="13">
        <f>L91-L93</f>
        <v/>
      </c>
      <c r="M94" s="13">
        <f>M91-M93</f>
        <v/>
      </c>
      <c r="N94" s="13">
        <f>N91-N93</f>
        <v/>
      </c>
      <c r="O94" s="13">
        <f>O91-O93</f>
        <v/>
      </c>
      <c r="P94" s="13">
        <f>P91-P93</f>
        <v/>
      </c>
      <c r="Q94" s="13">
        <f>Q91-Q93</f>
        <v/>
      </c>
      <c r="R94" s="13">
        <f>R91-R93</f>
        <v/>
      </c>
      <c r="S94" s="13">
        <f>S91-S93</f>
        <v/>
      </c>
      <c r="T94" s="13">
        <f>T91-T93</f>
        <v/>
      </c>
      <c r="U94" s="13">
        <f>U91-U93</f>
        <v/>
      </c>
      <c r="V94" s="13">
        <f>V91-V93</f>
        <v/>
      </c>
      <c r="W94" s="13">
        <f>W91-W93</f>
        <v/>
      </c>
      <c r="X94" s="13">
        <f>X91-X93</f>
        <v/>
      </c>
      <c r="Y94" s="13">
        <f>Y91-Y93</f>
        <v/>
      </c>
      <c r="Z94" s="13">
        <f>Z91-Z93</f>
        <v/>
      </c>
      <c r="AA94" s="13">
        <f>AA91-AA93</f>
        <v/>
      </c>
      <c r="AB94" s="13">
        <f>AB91-AB93</f>
        <v/>
      </c>
      <c r="AC94" s="13">
        <f>AC91-AC93</f>
        <v/>
      </c>
      <c r="AD94" s="13">
        <f>AD91-AD93</f>
        <v/>
      </c>
      <c r="AE94" s="13">
        <f>AE91-AE93</f>
        <v/>
      </c>
      <c r="AF94" s="13">
        <f>AF91-AF93</f>
        <v/>
      </c>
      <c r="AG94" s="13">
        <f>AG91-AG93</f>
        <v/>
      </c>
      <c r="AH94" s="13">
        <f>AH91-AH93</f>
        <v/>
      </c>
      <c r="AI94" s="13">
        <f>AI91-AI93</f>
        <v/>
      </c>
      <c r="AJ94" s="13">
        <f>AJ91-AJ93</f>
        <v/>
      </c>
      <c r="AK94" s="13">
        <f>AK91-AK93</f>
        <v/>
      </c>
      <c r="AL94" s="13">
        <f>AL91-AL93</f>
        <v/>
      </c>
      <c r="AM94" s="13">
        <f>AM91-AM93</f>
        <v/>
      </c>
      <c r="AN94" s="13">
        <f>AN91-AN93</f>
        <v/>
      </c>
      <c r="AO94" s="13">
        <f>AO91-AO93</f>
        <v/>
      </c>
      <c r="AP94" s="13">
        <f>AP91-AP93</f>
        <v/>
      </c>
      <c r="AQ94" s="13">
        <f>AQ91-AQ93</f>
        <v/>
      </c>
      <c r="AR94" s="13">
        <f>AR91-AR93</f>
        <v/>
      </c>
      <c r="AS94" s="13">
        <f>AS91-AS93</f>
        <v/>
      </c>
      <c r="AT94" s="13">
        <f>AT91-AT93</f>
        <v/>
      </c>
      <c r="AU94" s="13">
        <f>AU91-AU93</f>
        <v/>
      </c>
      <c r="AV94" s="13">
        <f>AV91-AV93</f>
        <v/>
      </c>
      <c r="AW94" s="13">
        <f>AW91-AW93</f>
        <v/>
      </c>
      <c r="AX94" s="13">
        <f>AX91-AX93</f>
        <v/>
      </c>
      <c r="AY94" s="13">
        <f>AY91-AY93</f>
        <v/>
      </c>
      <c r="AZ94" s="13">
        <f>AZ91-AZ93</f>
        <v/>
      </c>
      <c r="BA94" s="13">
        <f>BA91-BA93</f>
        <v/>
      </c>
      <c r="BB94" s="13">
        <f>BB91-BB93</f>
        <v/>
      </c>
      <c r="BC94" s="13">
        <f>BC91-BC93</f>
        <v/>
      </c>
      <c r="BD94" s="13">
        <f>BD91-BD93</f>
        <v/>
      </c>
      <c r="BE94" s="13">
        <f>BE91-BE93</f>
        <v/>
      </c>
      <c r="BF94" s="13">
        <f>BF91-BF93</f>
        <v/>
      </c>
      <c r="BG94" s="13">
        <f>BG91-BG93</f>
        <v/>
      </c>
      <c r="BH94" s="13">
        <f>BH91-BH93</f>
        <v/>
      </c>
      <c r="BI94" s="13">
        <f>BI91-BI93</f>
        <v/>
      </c>
      <c r="BJ94" s="13">
        <f>BJ91-BJ93</f>
        <v/>
      </c>
      <c r="BK94" s="13">
        <f>BK91-BK93</f>
        <v/>
      </c>
      <c r="BL94" s="13">
        <f>BL91-BL93</f>
        <v/>
      </c>
      <c r="BM94" s="13">
        <f>BM91-BM93</f>
        <v/>
      </c>
      <c r="BN94" s="13">
        <f>BN91-BN93</f>
        <v/>
      </c>
    </row>
    <row r="95">
      <c r="D95" t="inlineStr">
        <is>
          <t>Closing balance (incl. bond issued)</t>
        </is>
      </c>
      <c r="E95" t="inlineStr">
        <is>
          <t>USD m</t>
        </is>
      </c>
      <c r="J95" s="13">
        <f>J94+J100</f>
        <v/>
      </c>
      <c r="K95" s="13">
        <f>K94+K100</f>
        <v/>
      </c>
      <c r="L95" s="13">
        <f>L94+L100</f>
        <v/>
      </c>
      <c r="M95" s="13">
        <f>M94+M100</f>
        <v/>
      </c>
      <c r="N95" s="13">
        <f>N94+N100</f>
        <v/>
      </c>
      <c r="O95" s="13">
        <f>O94+O100</f>
        <v/>
      </c>
      <c r="P95" s="13">
        <f>P94+P100</f>
        <v/>
      </c>
      <c r="Q95" s="13">
        <f>Q94+Q100</f>
        <v/>
      </c>
      <c r="R95" s="13">
        <f>R94+R100</f>
        <v/>
      </c>
      <c r="S95" s="13">
        <f>S94+S100</f>
        <v/>
      </c>
      <c r="T95" s="13">
        <f>T94+T100</f>
        <v/>
      </c>
      <c r="U95" s="13">
        <f>U94+U100</f>
        <v/>
      </c>
      <c r="V95" s="13">
        <f>V94+V100</f>
        <v/>
      </c>
      <c r="W95" s="13">
        <f>W94+W100</f>
        <v/>
      </c>
      <c r="X95" s="13">
        <f>X94+X100</f>
        <v/>
      </c>
      <c r="Y95" s="13">
        <f>Y94+Y100</f>
        <v/>
      </c>
      <c r="Z95" s="13">
        <f>Z94+Z100</f>
        <v/>
      </c>
      <c r="AA95" s="13">
        <f>AA94+AA100</f>
        <v/>
      </c>
      <c r="AB95" s="13">
        <f>AB94+AB100</f>
        <v/>
      </c>
      <c r="AC95" s="13">
        <f>AC94+AC100</f>
        <v/>
      </c>
      <c r="AD95" s="13">
        <f>AD94+AD100</f>
        <v/>
      </c>
      <c r="AE95" s="13">
        <f>AE94+AE100</f>
        <v/>
      </c>
      <c r="AF95" s="13">
        <f>AF94+AF100</f>
        <v/>
      </c>
      <c r="AG95" s="13">
        <f>AG94+AG100</f>
        <v/>
      </c>
      <c r="AH95" s="13">
        <f>AH94+AH100</f>
        <v/>
      </c>
      <c r="AI95" s="13">
        <f>AI94+AI100</f>
        <v/>
      </c>
      <c r="AJ95" s="13">
        <f>AJ94+AJ100</f>
        <v/>
      </c>
      <c r="AK95" s="13">
        <f>AK94+AK100</f>
        <v/>
      </c>
      <c r="AL95" s="13">
        <f>AL94+AL100</f>
        <v/>
      </c>
      <c r="AM95" s="13">
        <f>AM94+AM100</f>
        <v/>
      </c>
      <c r="AN95" s="13">
        <f>AN94+AN100</f>
        <v/>
      </c>
      <c r="AO95" s="13">
        <f>AO94+AO100</f>
        <v/>
      </c>
      <c r="AP95" s="13">
        <f>AP94+AP100</f>
        <v/>
      </c>
      <c r="AQ95" s="13">
        <f>AQ94+AQ100</f>
        <v/>
      </c>
      <c r="AR95" s="13">
        <f>AR94+AR100</f>
        <v/>
      </c>
      <c r="AS95" s="13">
        <f>AS94+AS100</f>
        <v/>
      </c>
      <c r="AT95" s="13">
        <f>AT94+AT100</f>
        <v/>
      </c>
      <c r="AU95" s="13">
        <f>AU94+AU100</f>
        <v/>
      </c>
      <c r="AV95" s="13">
        <f>AV94+AV100</f>
        <v/>
      </c>
      <c r="AW95" s="13">
        <f>AW94+AW100</f>
        <v/>
      </c>
      <c r="AX95" s="13">
        <f>AX94+AX100</f>
        <v/>
      </c>
      <c r="AY95" s="13">
        <f>AY94+AY100</f>
        <v/>
      </c>
      <c r="AZ95" s="13">
        <f>AZ94+AZ100</f>
        <v/>
      </c>
      <c r="BA95" s="13">
        <f>BA94+BA100</f>
        <v/>
      </c>
      <c r="BB95" s="13">
        <f>BB94+BB100</f>
        <v/>
      </c>
      <c r="BC95" s="13">
        <f>BC94+BC100</f>
        <v/>
      </c>
      <c r="BD95" s="13">
        <f>BD94+BD100</f>
        <v/>
      </c>
      <c r="BE95" s="13">
        <f>BE94+BE100</f>
        <v/>
      </c>
      <c r="BF95" s="13">
        <f>BF94+BF100</f>
        <v/>
      </c>
      <c r="BG95" s="13">
        <f>BG94+BG100</f>
        <v/>
      </c>
      <c r="BH95" s="13">
        <f>BH94+BH100</f>
        <v/>
      </c>
      <c r="BI95" s="13">
        <f>BI94+BI100</f>
        <v/>
      </c>
      <c r="BJ95" s="13">
        <f>BJ94+BJ100</f>
        <v/>
      </c>
      <c r="BK95" s="13">
        <f>BK94+BK100</f>
        <v/>
      </c>
      <c r="BL95" s="13">
        <f>BL94+BL100</f>
        <v/>
      </c>
      <c r="BM95" s="13">
        <f>BM94+BM100</f>
        <v/>
      </c>
      <c r="BN95" s="13">
        <f>BN94+BN100</f>
        <v/>
      </c>
    </row>
    <row r="96">
      <c r="B96" s="2" t="inlineStr">
        <is>
          <t>Refinancing 2025 (USD m)</t>
        </is>
      </c>
    </row>
    <row r="97">
      <c r="D97" t="inlineStr">
        <is>
          <t>Swap unwind discount factor at the flat swap rate</t>
        </is>
      </c>
      <c r="E97" t="inlineStr">
        <is>
          <t>factor</t>
        </is>
      </c>
      <c r="J97" s="11">
        <f>IF(Time!J23&gt;Inputs!$F$205,(1+Inputs!$F$278/100*Time!J24)^-(Time!J20-Time!$F$17),0)</f>
        <v/>
      </c>
      <c r="K97" s="11">
        <f>IF(Time!K23&gt;Inputs!$F$205,(1+Inputs!$F$278/100*Time!K24)^-(Time!K20-Time!$F$17),0)</f>
        <v/>
      </c>
      <c r="L97" s="11">
        <f>IF(Time!L23&gt;Inputs!$F$205,(1+Inputs!$F$278/100*Time!L24)^-(Time!L20-Time!$F$17),0)</f>
        <v/>
      </c>
      <c r="M97" s="11">
        <f>IF(Time!M23&gt;Inputs!$F$205,(1+Inputs!$F$278/100*Time!M24)^-(Time!M20-Time!$F$17),0)</f>
        <v/>
      </c>
      <c r="N97" s="11">
        <f>IF(Time!N23&gt;Inputs!$F$205,(1+Inputs!$F$278/100*Time!N24)^-(Time!N20-Time!$F$17),0)</f>
        <v/>
      </c>
      <c r="O97" s="11">
        <f>IF(Time!O23&gt;Inputs!$F$205,(1+Inputs!$F$278/100*Time!O24)^-(Time!O20-Time!$F$17),0)</f>
        <v/>
      </c>
      <c r="P97" s="11">
        <f>IF(Time!P23&gt;Inputs!$F$205,(1+Inputs!$F$278/100*Time!P24)^-(Time!P20-Time!$F$17),0)</f>
        <v/>
      </c>
      <c r="Q97" s="11">
        <f>IF(Time!Q23&gt;Inputs!$F$205,(1+Inputs!$F$278/100*Time!Q24)^-(Time!Q20-Time!$F$17),0)</f>
        <v/>
      </c>
      <c r="R97" s="11">
        <f>IF(Time!R23&gt;Inputs!$F$205,(1+Inputs!$F$278/100*Time!R24)^-(Time!R20-Time!$F$17),0)</f>
        <v/>
      </c>
      <c r="S97" s="11">
        <f>IF(Time!S23&gt;Inputs!$F$205,(1+Inputs!$F$278/100*Time!S24)^-(Time!S20-Time!$F$17),0)</f>
        <v/>
      </c>
      <c r="T97" s="11">
        <f>IF(Time!T23&gt;Inputs!$F$205,(1+Inputs!$F$278/100*Time!T24)^-(Time!T20-Time!$F$17),0)</f>
        <v/>
      </c>
      <c r="U97" s="11">
        <f>IF(Time!U23&gt;Inputs!$F$205,(1+Inputs!$F$278/100*Time!U24)^-(Time!U20-Time!$F$17),0)</f>
        <v/>
      </c>
      <c r="V97" s="11">
        <f>IF(Time!V23&gt;Inputs!$F$205,(1+Inputs!$F$278/100*Time!V24)^-(Time!V20-Time!$F$17),0)</f>
        <v/>
      </c>
      <c r="W97" s="11">
        <f>IF(Time!W23&gt;Inputs!$F$205,(1+Inputs!$F$278/100*Time!W24)^-(Time!W20-Time!$F$17),0)</f>
        <v/>
      </c>
      <c r="X97" s="11">
        <f>IF(Time!X23&gt;Inputs!$F$205,(1+Inputs!$F$278/100*Time!X24)^-(Time!X20-Time!$F$17),0)</f>
        <v/>
      </c>
      <c r="Y97" s="11">
        <f>IF(Time!Y23&gt;Inputs!$F$205,(1+Inputs!$F$278/100*Time!Y24)^-(Time!Y20-Time!$F$17),0)</f>
        <v/>
      </c>
      <c r="Z97" s="11">
        <f>IF(Time!Z23&gt;Inputs!$F$205,(1+Inputs!$F$278/100*Time!Z24)^-(Time!Z20-Time!$F$17),0)</f>
        <v/>
      </c>
      <c r="AA97" s="11">
        <f>IF(Time!AA23&gt;Inputs!$F$205,(1+Inputs!$F$278/100*Time!AA24)^-(Time!AA20-Time!$F$17),0)</f>
        <v/>
      </c>
      <c r="AB97" s="11">
        <f>IF(Time!AB23&gt;Inputs!$F$205,(1+Inputs!$F$278/100*Time!AB24)^-(Time!AB20-Time!$F$17),0)</f>
        <v/>
      </c>
      <c r="AC97" s="11">
        <f>IF(Time!AC23&gt;Inputs!$F$205,(1+Inputs!$F$278/100*Time!AC24)^-(Time!AC20-Time!$F$17),0)</f>
        <v/>
      </c>
      <c r="AD97" s="11">
        <f>IF(Time!AD23&gt;Inputs!$F$205,(1+Inputs!$F$278/100*Time!AD24)^-(Time!AD20-Time!$F$17),0)</f>
        <v/>
      </c>
      <c r="AE97" s="11">
        <f>IF(Time!AE23&gt;Inputs!$F$205,(1+Inputs!$F$278/100*Time!AE24)^-(Time!AE20-Time!$F$17),0)</f>
        <v/>
      </c>
      <c r="AF97" s="11">
        <f>IF(Time!AF23&gt;Inputs!$F$205,(1+Inputs!$F$278/100*Time!AF24)^-(Time!AF20-Time!$F$17),0)</f>
        <v/>
      </c>
      <c r="AG97" s="11">
        <f>IF(Time!AG23&gt;Inputs!$F$205,(1+Inputs!$F$278/100*Time!AG24)^-(Time!AG20-Time!$F$17),0)</f>
        <v/>
      </c>
      <c r="AH97" s="11">
        <f>IF(Time!AH23&gt;Inputs!$F$205,(1+Inputs!$F$278/100*Time!AH24)^-(Time!AH20-Time!$F$17),0)</f>
        <v/>
      </c>
      <c r="AI97" s="11">
        <f>IF(Time!AI23&gt;Inputs!$F$205,(1+Inputs!$F$278/100*Time!AI24)^-(Time!AI20-Time!$F$17),0)</f>
        <v/>
      </c>
      <c r="AJ97" s="11">
        <f>IF(Time!AJ23&gt;Inputs!$F$205,(1+Inputs!$F$278/100*Time!AJ24)^-(Time!AJ20-Time!$F$17),0)</f>
        <v/>
      </c>
      <c r="AK97" s="11">
        <f>IF(Time!AK23&gt;Inputs!$F$205,(1+Inputs!$F$278/100*Time!AK24)^-(Time!AK20-Time!$F$17),0)</f>
        <v/>
      </c>
      <c r="AL97" s="11">
        <f>IF(Time!AL23&gt;Inputs!$F$205,(1+Inputs!$F$278/100*Time!AL24)^-(Time!AL20-Time!$F$17),0)</f>
        <v/>
      </c>
      <c r="AM97" s="11">
        <f>IF(Time!AM23&gt;Inputs!$F$205,(1+Inputs!$F$278/100*Time!AM24)^-(Time!AM20-Time!$F$17),0)</f>
        <v/>
      </c>
      <c r="AN97" s="11">
        <f>IF(Time!AN23&gt;Inputs!$F$205,(1+Inputs!$F$278/100*Time!AN24)^-(Time!AN20-Time!$F$17),0)</f>
        <v/>
      </c>
      <c r="AO97" s="11">
        <f>IF(Time!AO23&gt;Inputs!$F$205,(1+Inputs!$F$278/100*Time!AO24)^-(Time!AO20-Time!$F$17),0)</f>
        <v/>
      </c>
      <c r="AP97" s="11">
        <f>IF(Time!AP23&gt;Inputs!$F$205,(1+Inputs!$F$278/100*Time!AP24)^-(Time!AP20-Time!$F$17),0)</f>
        <v/>
      </c>
      <c r="AQ97" s="11">
        <f>IF(Time!AQ23&gt;Inputs!$F$205,(1+Inputs!$F$278/100*Time!AQ24)^-(Time!AQ20-Time!$F$17),0)</f>
        <v/>
      </c>
      <c r="AR97" s="11">
        <f>IF(Time!AR23&gt;Inputs!$F$205,(1+Inputs!$F$278/100*Time!AR24)^-(Time!AR20-Time!$F$17),0)</f>
        <v/>
      </c>
      <c r="AS97" s="11">
        <f>IF(Time!AS23&gt;Inputs!$F$205,(1+Inputs!$F$278/100*Time!AS24)^-(Time!AS20-Time!$F$17),0)</f>
        <v/>
      </c>
      <c r="AT97" s="11">
        <f>IF(Time!AT23&gt;Inputs!$F$205,(1+Inputs!$F$278/100*Time!AT24)^-(Time!AT20-Time!$F$17),0)</f>
        <v/>
      </c>
      <c r="AU97" s="11">
        <f>IF(Time!AU23&gt;Inputs!$F$205,(1+Inputs!$F$278/100*Time!AU24)^-(Time!AU20-Time!$F$17),0)</f>
        <v/>
      </c>
      <c r="AV97" s="11">
        <f>IF(Time!AV23&gt;Inputs!$F$205,(1+Inputs!$F$278/100*Time!AV24)^-(Time!AV20-Time!$F$17),0)</f>
        <v/>
      </c>
      <c r="AW97" s="11">
        <f>IF(Time!AW23&gt;Inputs!$F$205,(1+Inputs!$F$278/100*Time!AW24)^-(Time!AW20-Time!$F$17),0)</f>
        <v/>
      </c>
      <c r="AX97" s="11">
        <f>IF(Time!AX23&gt;Inputs!$F$205,(1+Inputs!$F$278/100*Time!AX24)^-(Time!AX20-Time!$F$17),0)</f>
        <v/>
      </c>
      <c r="AY97" s="11">
        <f>IF(Time!AY23&gt;Inputs!$F$205,(1+Inputs!$F$278/100*Time!AY24)^-(Time!AY20-Time!$F$17),0)</f>
        <v/>
      </c>
      <c r="AZ97" s="11">
        <f>IF(Time!AZ23&gt;Inputs!$F$205,(1+Inputs!$F$278/100*Time!AZ24)^-(Time!AZ20-Time!$F$17),0)</f>
        <v/>
      </c>
      <c r="BA97" s="11">
        <f>IF(Time!BA23&gt;Inputs!$F$205,(1+Inputs!$F$278/100*Time!BA24)^-(Time!BA20-Time!$F$17),0)</f>
        <v/>
      </c>
      <c r="BB97" s="11">
        <f>IF(Time!BB23&gt;Inputs!$F$205,(1+Inputs!$F$278/100*Time!BB24)^-(Time!BB20-Time!$F$17),0)</f>
        <v/>
      </c>
      <c r="BC97" s="11">
        <f>IF(Time!BC23&gt;Inputs!$F$205,(1+Inputs!$F$278/100*Time!BC24)^-(Time!BC20-Time!$F$17),0)</f>
        <v/>
      </c>
      <c r="BD97" s="11">
        <f>IF(Time!BD23&gt;Inputs!$F$205,(1+Inputs!$F$278/100*Time!BD24)^-(Time!BD20-Time!$F$17),0)</f>
        <v/>
      </c>
      <c r="BE97" s="11">
        <f>IF(Time!BE23&gt;Inputs!$F$205,(1+Inputs!$F$278/100*Time!BE24)^-(Time!BE20-Time!$F$17),0)</f>
        <v/>
      </c>
      <c r="BF97" s="11">
        <f>IF(Time!BF23&gt;Inputs!$F$205,(1+Inputs!$F$278/100*Time!BF24)^-(Time!BF20-Time!$F$17),0)</f>
        <v/>
      </c>
      <c r="BG97" s="11">
        <f>IF(Time!BG23&gt;Inputs!$F$205,(1+Inputs!$F$278/100*Time!BG24)^-(Time!BG20-Time!$F$17),0)</f>
        <v/>
      </c>
      <c r="BH97" s="11">
        <f>IF(Time!BH23&gt;Inputs!$F$205,(1+Inputs!$F$278/100*Time!BH24)^-(Time!BH20-Time!$F$17),0)</f>
        <v/>
      </c>
      <c r="BI97" s="11">
        <f>IF(Time!BI23&gt;Inputs!$F$205,(1+Inputs!$F$278/100*Time!BI24)^-(Time!BI20-Time!$F$17),0)</f>
        <v/>
      </c>
      <c r="BJ97" s="11">
        <f>IF(Time!BJ23&gt;Inputs!$F$205,(1+Inputs!$F$278/100*Time!BJ24)^-(Time!BJ20-Time!$F$17),0)</f>
        <v/>
      </c>
      <c r="BK97" s="11">
        <f>IF(Time!BK23&gt;Inputs!$F$205,(1+Inputs!$F$278/100*Time!BK24)^-(Time!BK20-Time!$F$17),0)</f>
        <v/>
      </c>
      <c r="BL97" s="11">
        <f>IF(Time!BL23&gt;Inputs!$F$205,(1+Inputs!$F$278/100*Time!BL24)^-(Time!BL20-Time!$F$17),0)</f>
        <v/>
      </c>
      <c r="BM97" s="11">
        <f>IF(Time!BM23&gt;Inputs!$F$205,(1+Inputs!$F$278/100*Time!BM24)^-(Time!BM20-Time!$F$17),0)</f>
        <v/>
      </c>
      <c r="BN97" s="11">
        <f>IF(Time!BN23&gt;Inputs!$F$205,(1+Inputs!$F$278/100*Time!BN24)^-(Time!BN20-Time!$F$17),0)</f>
        <v/>
      </c>
    </row>
    <row r="98">
      <c r="D98" t="inlineStr">
        <is>
          <t>Swap unwind receipt (terminated share, MTM at the flat swap rate)</t>
        </is>
      </c>
      <c r="E98" t="inlineStr">
        <is>
          <t>USD m</t>
        </is>
      </c>
      <c r="F98" s="17">
        <f>Inputs!$F$50*Inputs!$F$279*(Inputs!$F$278-Inputs!$F$97)/100*SUMPRODUCT(Inputs!$J$301:$BN$301,$J$97:$BN$97,Time!$J$24:$BN$24)</f>
        <v/>
      </c>
    </row>
    <row r="99">
      <c r="D99" t="inlineStr">
        <is>
          <t>Principal prepaid from bond proceeds (B-loan, commercial, standby)</t>
        </is>
      </c>
      <c r="E99" t="inlineStr">
        <is>
          <t>USD m</t>
        </is>
      </c>
      <c r="G99" s="13">
        <f>SUM(J99:BN99)</f>
        <v/>
      </c>
      <c r="J99" s="13">
        <f>J57+J71+J85</f>
        <v/>
      </c>
      <c r="K99" s="13">
        <f>K57+K71+K85</f>
        <v/>
      </c>
      <c r="L99" s="13">
        <f>L57+L71+L85</f>
        <v/>
      </c>
      <c r="M99" s="13">
        <f>M57+M71+M85</f>
        <v/>
      </c>
      <c r="N99" s="13">
        <f>N57+N71+N85</f>
        <v/>
      </c>
      <c r="O99" s="13">
        <f>O57+O71+O85</f>
        <v/>
      </c>
      <c r="P99" s="13">
        <f>P57+P71+P85</f>
        <v/>
      </c>
      <c r="Q99" s="13">
        <f>Q57+Q71+Q85</f>
        <v/>
      </c>
      <c r="R99" s="13">
        <f>R57+R71+R85</f>
        <v/>
      </c>
      <c r="S99" s="13">
        <f>S57+S71+S85</f>
        <v/>
      </c>
      <c r="T99" s="13">
        <f>T57+T71+T85</f>
        <v/>
      </c>
      <c r="U99" s="13">
        <f>U57+U71+U85</f>
        <v/>
      </c>
      <c r="V99" s="13">
        <f>V57+V71+V85</f>
        <v/>
      </c>
      <c r="W99" s="13">
        <f>W57+W71+W85</f>
        <v/>
      </c>
      <c r="X99" s="13">
        <f>X57+X71+X85</f>
        <v/>
      </c>
      <c r="Y99" s="13">
        <f>Y57+Y71+Y85</f>
        <v/>
      </c>
      <c r="Z99" s="13">
        <f>Z57+Z71+Z85</f>
        <v/>
      </c>
      <c r="AA99" s="13">
        <f>AA57+AA71+AA85</f>
        <v/>
      </c>
      <c r="AB99" s="13">
        <f>AB57+AB71+AB85</f>
        <v/>
      </c>
      <c r="AC99" s="13">
        <f>AC57+AC71+AC85</f>
        <v/>
      </c>
      <c r="AD99" s="13">
        <f>AD57+AD71+AD85</f>
        <v/>
      </c>
      <c r="AE99" s="13">
        <f>AE57+AE71+AE85</f>
        <v/>
      </c>
      <c r="AF99" s="13">
        <f>AF57+AF71+AF85</f>
        <v/>
      </c>
      <c r="AG99" s="13">
        <f>AG57+AG71+AG85</f>
        <v/>
      </c>
      <c r="AH99" s="13">
        <f>AH57+AH71+AH85</f>
        <v/>
      </c>
      <c r="AI99" s="13">
        <f>AI57+AI71+AI85</f>
        <v/>
      </c>
      <c r="AJ99" s="13">
        <f>AJ57+AJ71+AJ85</f>
        <v/>
      </c>
      <c r="AK99" s="13">
        <f>AK57+AK71+AK85</f>
        <v/>
      </c>
      <c r="AL99" s="13">
        <f>AL57+AL71+AL85</f>
        <v/>
      </c>
      <c r="AM99" s="13">
        <f>AM57+AM71+AM85</f>
        <v/>
      </c>
      <c r="AN99" s="13">
        <f>AN57+AN71+AN85</f>
        <v/>
      </c>
      <c r="AO99" s="13">
        <f>AO57+AO71+AO85</f>
        <v/>
      </c>
      <c r="AP99" s="13">
        <f>AP57+AP71+AP85</f>
        <v/>
      </c>
      <c r="AQ99" s="13">
        <f>AQ57+AQ71+AQ85</f>
        <v/>
      </c>
      <c r="AR99" s="13">
        <f>AR57+AR71+AR85</f>
        <v/>
      </c>
      <c r="AS99" s="13">
        <f>AS57+AS71+AS85</f>
        <v/>
      </c>
      <c r="AT99" s="13">
        <f>AT57+AT71+AT85</f>
        <v/>
      </c>
      <c r="AU99" s="13">
        <f>AU57+AU71+AU85</f>
        <v/>
      </c>
      <c r="AV99" s="13">
        <f>AV57+AV71+AV85</f>
        <v/>
      </c>
      <c r="AW99" s="13">
        <f>AW57+AW71+AW85</f>
        <v/>
      </c>
      <c r="AX99" s="13">
        <f>AX57+AX71+AX85</f>
        <v/>
      </c>
      <c r="AY99" s="13">
        <f>AY57+AY71+AY85</f>
        <v/>
      </c>
      <c r="AZ99" s="13">
        <f>AZ57+AZ71+AZ85</f>
        <v/>
      </c>
      <c r="BA99" s="13">
        <f>BA57+BA71+BA85</f>
        <v/>
      </c>
      <c r="BB99" s="13">
        <f>BB57+BB71+BB85</f>
        <v/>
      </c>
      <c r="BC99" s="13">
        <f>BC57+BC71+BC85</f>
        <v/>
      </c>
      <c r="BD99" s="13">
        <f>BD57+BD71+BD85</f>
        <v/>
      </c>
      <c r="BE99" s="13">
        <f>BE57+BE71+BE85</f>
        <v/>
      </c>
      <c r="BF99" s="13">
        <f>BF57+BF71+BF85</f>
        <v/>
      </c>
      <c r="BG99" s="13">
        <f>BG57+BG71+BG85</f>
        <v/>
      </c>
      <c r="BH99" s="13">
        <f>BH57+BH71+BH85</f>
        <v/>
      </c>
      <c r="BI99" s="13">
        <f>BI57+BI71+BI85</f>
        <v/>
      </c>
      <c r="BJ99" s="13">
        <f>BJ57+BJ71+BJ85</f>
        <v/>
      </c>
      <c r="BK99" s="13">
        <f>BK57+BK71+BK85</f>
        <v/>
      </c>
      <c r="BL99" s="13">
        <f>BL57+BL71+BL85</f>
        <v/>
      </c>
      <c r="BM99" s="13">
        <f>BM57+BM71+BM85</f>
        <v/>
      </c>
      <c r="BN99" s="13">
        <f>BN57+BN71+BN85</f>
        <v/>
      </c>
    </row>
    <row r="100">
      <c r="D100" t="inlineStr">
        <is>
          <t>Bond issued (face)</t>
        </is>
      </c>
      <c r="E100" t="inlineStr">
        <is>
          <t>USD m</t>
        </is>
      </c>
      <c r="G100" s="13">
        <f>SUM(J100:BN100)</f>
        <v/>
      </c>
      <c r="J100" s="13">
        <f>Time!J47*(J99+Inputs!$F$274+Inputs!$F$277/100*Inputs!$F$275-$F$98)/(Inputs!$F$272-Inputs!$F$273)</f>
        <v/>
      </c>
      <c r="K100" s="13">
        <f>Time!K47*(K99+Inputs!$F$274+Inputs!$F$277/100*Inputs!$F$275-$F$98)/(Inputs!$F$272-Inputs!$F$273)</f>
        <v/>
      </c>
      <c r="L100" s="13">
        <f>Time!L47*(L99+Inputs!$F$274+Inputs!$F$277/100*Inputs!$F$275-$F$98)/(Inputs!$F$272-Inputs!$F$273)</f>
        <v/>
      </c>
      <c r="M100" s="13">
        <f>Time!M47*(M99+Inputs!$F$274+Inputs!$F$277/100*Inputs!$F$275-$F$98)/(Inputs!$F$272-Inputs!$F$273)</f>
        <v/>
      </c>
      <c r="N100" s="13">
        <f>Time!N47*(N99+Inputs!$F$274+Inputs!$F$277/100*Inputs!$F$275-$F$98)/(Inputs!$F$272-Inputs!$F$273)</f>
        <v/>
      </c>
      <c r="O100" s="13">
        <f>Time!O47*(O99+Inputs!$F$274+Inputs!$F$277/100*Inputs!$F$275-$F$98)/(Inputs!$F$272-Inputs!$F$273)</f>
        <v/>
      </c>
      <c r="P100" s="13">
        <f>Time!P47*(P99+Inputs!$F$274+Inputs!$F$277/100*Inputs!$F$275-$F$98)/(Inputs!$F$272-Inputs!$F$273)</f>
        <v/>
      </c>
      <c r="Q100" s="13">
        <f>Time!Q47*(Q99+Inputs!$F$274+Inputs!$F$277/100*Inputs!$F$275-$F$98)/(Inputs!$F$272-Inputs!$F$273)</f>
        <v/>
      </c>
      <c r="R100" s="13">
        <f>Time!R47*(R99+Inputs!$F$274+Inputs!$F$277/100*Inputs!$F$275-$F$98)/(Inputs!$F$272-Inputs!$F$273)</f>
        <v/>
      </c>
      <c r="S100" s="13">
        <f>Time!S47*(S99+Inputs!$F$274+Inputs!$F$277/100*Inputs!$F$275-$F$98)/(Inputs!$F$272-Inputs!$F$273)</f>
        <v/>
      </c>
      <c r="T100" s="13">
        <f>Time!T47*(T99+Inputs!$F$274+Inputs!$F$277/100*Inputs!$F$275-$F$98)/(Inputs!$F$272-Inputs!$F$273)</f>
        <v/>
      </c>
      <c r="U100" s="13">
        <f>Time!U47*(U99+Inputs!$F$274+Inputs!$F$277/100*Inputs!$F$275-$F$98)/(Inputs!$F$272-Inputs!$F$273)</f>
        <v/>
      </c>
      <c r="V100" s="13">
        <f>Time!V47*(V99+Inputs!$F$274+Inputs!$F$277/100*Inputs!$F$275-$F$98)/(Inputs!$F$272-Inputs!$F$273)</f>
        <v/>
      </c>
      <c r="W100" s="13">
        <f>Time!W47*(W99+Inputs!$F$274+Inputs!$F$277/100*Inputs!$F$275-$F$98)/(Inputs!$F$272-Inputs!$F$273)</f>
        <v/>
      </c>
      <c r="X100" s="13">
        <f>Time!X47*(X99+Inputs!$F$274+Inputs!$F$277/100*Inputs!$F$275-$F$98)/(Inputs!$F$272-Inputs!$F$273)</f>
        <v/>
      </c>
      <c r="Y100" s="13">
        <f>Time!Y47*(Y99+Inputs!$F$274+Inputs!$F$277/100*Inputs!$F$275-$F$98)/(Inputs!$F$272-Inputs!$F$273)</f>
        <v/>
      </c>
      <c r="Z100" s="13">
        <f>Time!Z47*(Z99+Inputs!$F$274+Inputs!$F$277/100*Inputs!$F$275-$F$98)/(Inputs!$F$272-Inputs!$F$273)</f>
        <v/>
      </c>
      <c r="AA100" s="13">
        <f>Time!AA47*(AA99+Inputs!$F$274+Inputs!$F$277/100*Inputs!$F$275-$F$98)/(Inputs!$F$272-Inputs!$F$273)</f>
        <v/>
      </c>
      <c r="AB100" s="13">
        <f>Time!AB47*(AB99+Inputs!$F$274+Inputs!$F$277/100*Inputs!$F$275-$F$98)/(Inputs!$F$272-Inputs!$F$273)</f>
        <v/>
      </c>
      <c r="AC100" s="13">
        <f>Time!AC47*(AC99+Inputs!$F$274+Inputs!$F$277/100*Inputs!$F$275-$F$98)/(Inputs!$F$272-Inputs!$F$273)</f>
        <v/>
      </c>
      <c r="AD100" s="13">
        <f>Time!AD47*(AD99+Inputs!$F$274+Inputs!$F$277/100*Inputs!$F$275-$F$98)/(Inputs!$F$272-Inputs!$F$273)</f>
        <v/>
      </c>
      <c r="AE100" s="13">
        <f>Time!AE47*(AE99+Inputs!$F$274+Inputs!$F$277/100*Inputs!$F$275-$F$98)/(Inputs!$F$272-Inputs!$F$273)</f>
        <v/>
      </c>
      <c r="AF100" s="13">
        <f>Time!AF47*(AF99+Inputs!$F$274+Inputs!$F$277/100*Inputs!$F$275-$F$98)/(Inputs!$F$272-Inputs!$F$273)</f>
        <v/>
      </c>
      <c r="AG100" s="13">
        <f>Time!AG47*(AG99+Inputs!$F$274+Inputs!$F$277/100*Inputs!$F$275-$F$98)/(Inputs!$F$272-Inputs!$F$273)</f>
        <v/>
      </c>
      <c r="AH100" s="13">
        <f>Time!AH47*(AH99+Inputs!$F$274+Inputs!$F$277/100*Inputs!$F$275-$F$98)/(Inputs!$F$272-Inputs!$F$273)</f>
        <v/>
      </c>
      <c r="AI100" s="13">
        <f>Time!AI47*(AI99+Inputs!$F$274+Inputs!$F$277/100*Inputs!$F$275-$F$98)/(Inputs!$F$272-Inputs!$F$273)</f>
        <v/>
      </c>
      <c r="AJ100" s="13">
        <f>Time!AJ47*(AJ99+Inputs!$F$274+Inputs!$F$277/100*Inputs!$F$275-$F$98)/(Inputs!$F$272-Inputs!$F$273)</f>
        <v/>
      </c>
      <c r="AK100" s="13">
        <f>Time!AK47*(AK99+Inputs!$F$274+Inputs!$F$277/100*Inputs!$F$275-$F$98)/(Inputs!$F$272-Inputs!$F$273)</f>
        <v/>
      </c>
      <c r="AL100" s="13">
        <f>Time!AL47*(AL99+Inputs!$F$274+Inputs!$F$277/100*Inputs!$F$275-$F$98)/(Inputs!$F$272-Inputs!$F$273)</f>
        <v/>
      </c>
      <c r="AM100" s="13">
        <f>Time!AM47*(AM99+Inputs!$F$274+Inputs!$F$277/100*Inputs!$F$275-$F$98)/(Inputs!$F$272-Inputs!$F$273)</f>
        <v/>
      </c>
      <c r="AN100" s="13">
        <f>Time!AN47*(AN99+Inputs!$F$274+Inputs!$F$277/100*Inputs!$F$275-$F$98)/(Inputs!$F$272-Inputs!$F$273)</f>
        <v/>
      </c>
      <c r="AO100" s="13">
        <f>Time!AO47*(AO99+Inputs!$F$274+Inputs!$F$277/100*Inputs!$F$275-$F$98)/(Inputs!$F$272-Inputs!$F$273)</f>
        <v/>
      </c>
      <c r="AP100" s="13">
        <f>Time!AP47*(AP99+Inputs!$F$274+Inputs!$F$277/100*Inputs!$F$275-$F$98)/(Inputs!$F$272-Inputs!$F$273)</f>
        <v/>
      </c>
      <c r="AQ100" s="13">
        <f>Time!AQ47*(AQ99+Inputs!$F$274+Inputs!$F$277/100*Inputs!$F$275-$F$98)/(Inputs!$F$272-Inputs!$F$273)</f>
        <v/>
      </c>
      <c r="AR100" s="13">
        <f>Time!AR47*(AR99+Inputs!$F$274+Inputs!$F$277/100*Inputs!$F$275-$F$98)/(Inputs!$F$272-Inputs!$F$273)</f>
        <v/>
      </c>
      <c r="AS100" s="13">
        <f>Time!AS47*(AS99+Inputs!$F$274+Inputs!$F$277/100*Inputs!$F$275-$F$98)/(Inputs!$F$272-Inputs!$F$273)</f>
        <v/>
      </c>
      <c r="AT100" s="13">
        <f>Time!AT47*(AT99+Inputs!$F$274+Inputs!$F$277/100*Inputs!$F$275-$F$98)/(Inputs!$F$272-Inputs!$F$273)</f>
        <v/>
      </c>
      <c r="AU100" s="13">
        <f>Time!AU47*(AU99+Inputs!$F$274+Inputs!$F$277/100*Inputs!$F$275-$F$98)/(Inputs!$F$272-Inputs!$F$273)</f>
        <v/>
      </c>
      <c r="AV100" s="13">
        <f>Time!AV47*(AV99+Inputs!$F$274+Inputs!$F$277/100*Inputs!$F$275-$F$98)/(Inputs!$F$272-Inputs!$F$273)</f>
        <v/>
      </c>
      <c r="AW100" s="13">
        <f>Time!AW47*(AW99+Inputs!$F$274+Inputs!$F$277/100*Inputs!$F$275-$F$98)/(Inputs!$F$272-Inputs!$F$273)</f>
        <v/>
      </c>
      <c r="AX100" s="13">
        <f>Time!AX47*(AX99+Inputs!$F$274+Inputs!$F$277/100*Inputs!$F$275-$F$98)/(Inputs!$F$272-Inputs!$F$273)</f>
        <v/>
      </c>
      <c r="AY100" s="13">
        <f>Time!AY47*(AY99+Inputs!$F$274+Inputs!$F$277/100*Inputs!$F$275-$F$98)/(Inputs!$F$272-Inputs!$F$273)</f>
        <v/>
      </c>
      <c r="AZ100" s="13">
        <f>Time!AZ47*(AZ99+Inputs!$F$274+Inputs!$F$277/100*Inputs!$F$275-$F$98)/(Inputs!$F$272-Inputs!$F$273)</f>
        <v/>
      </c>
      <c r="BA100" s="13">
        <f>Time!BA47*(BA99+Inputs!$F$274+Inputs!$F$277/100*Inputs!$F$275-$F$98)/(Inputs!$F$272-Inputs!$F$273)</f>
        <v/>
      </c>
      <c r="BB100" s="13">
        <f>Time!BB47*(BB99+Inputs!$F$274+Inputs!$F$277/100*Inputs!$F$275-$F$98)/(Inputs!$F$272-Inputs!$F$273)</f>
        <v/>
      </c>
      <c r="BC100" s="13">
        <f>Time!BC47*(BC99+Inputs!$F$274+Inputs!$F$277/100*Inputs!$F$275-$F$98)/(Inputs!$F$272-Inputs!$F$273)</f>
        <v/>
      </c>
      <c r="BD100" s="13">
        <f>Time!BD47*(BD99+Inputs!$F$274+Inputs!$F$277/100*Inputs!$F$275-$F$98)/(Inputs!$F$272-Inputs!$F$273)</f>
        <v/>
      </c>
      <c r="BE100" s="13">
        <f>Time!BE47*(BE99+Inputs!$F$274+Inputs!$F$277/100*Inputs!$F$275-$F$98)/(Inputs!$F$272-Inputs!$F$273)</f>
        <v/>
      </c>
      <c r="BF100" s="13">
        <f>Time!BF47*(BF99+Inputs!$F$274+Inputs!$F$277/100*Inputs!$F$275-$F$98)/(Inputs!$F$272-Inputs!$F$273)</f>
        <v/>
      </c>
      <c r="BG100" s="13">
        <f>Time!BG47*(BG99+Inputs!$F$274+Inputs!$F$277/100*Inputs!$F$275-$F$98)/(Inputs!$F$272-Inputs!$F$273)</f>
        <v/>
      </c>
      <c r="BH100" s="13">
        <f>Time!BH47*(BH99+Inputs!$F$274+Inputs!$F$277/100*Inputs!$F$275-$F$98)/(Inputs!$F$272-Inputs!$F$273)</f>
        <v/>
      </c>
      <c r="BI100" s="13">
        <f>Time!BI47*(BI99+Inputs!$F$274+Inputs!$F$277/100*Inputs!$F$275-$F$98)/(Inputs!$F$272-Inputs!$F$273)</f>
        <v/>
      </c>
      <c r="BJ100" s="13">
        <f>Time!BJ47*(BJ99+Inputs!$F$274+Inputs!$F$277/100*Inputs!$F$275-$F$98)/(Inputs!$F$272-Inputs!$F$273)</f>
        <v/>
      </c>
      <c r="BK100" s="13">
        <f>Time!BK47*(BK99+Inputs!$F$274+Inputs!$F$277/100*Inputs!$F$275-$F$98)/(Inputs!$F$272-Inputs!$F$273)</f>
        <v/>
      </c>
      <c r="BL100" s="13">
        <f>Time!BL47*(BL99+Inputs!$F$274+Inputs!$F$277/100*Inputs!$F$275-$F$98)/(Inputs!$F$272-Inputs!$F$273)</f>
        <v/>
      </c>
      <c r="BM100" s="13">
        <f>Time!BM47*(BM99+Inputs!$F$274+Inputs!$F$277/100*Inputs!$F$275-$F$98)/(Inputs!$F$272-Inputs!$F$273)</f>
        <v/>
      </c>
      <c r="BN100" s="13">
        <f>Time!BN47*(BN99+Inputs!$F$274+Inputs!$F$277/100*Inputs!$F$275-$F$98)/(Inputs!$F$272-Inputs!$F$273)</f>
        <v/>
      </c>
    </row>
    <row r="101">
      <c r="D101" t="inlineStr">
        <is>
          <t>Bond face, cumulative</t>
        </is>
      </c>
      <c r="E101" t="inlineStr">
        <is>
          <t>USD m</t>
        </is>
      </c>
      <c r="J101" s="13">
        <f>I101+J100</f>
        <v/>
      </c>
      <c r="K101" s="13">
        <f>J101+K100</f>
        <v/>
      </c>
      <c r="L101" s="13">
        <f>K101+L100</f>
        <v/>
      </c>
      <c r="M101" s="13">
        <f>L101+M100</f>
        <v/>
      </c>
      <c r="N101" s="13">
        <f>M101+N100</f>
        <v/>
      </c>
      <c r="O101" s="13">
        <f>N101+O100</f>
        <v/>
      </c>
      <c r="P101" s="13">
        <f>O101+P100</f>
        <v/>
      </c>
      <c r="Q101" s="13">
        <f>P101+Q100</f>
        <v/>
      </c>
      <c r="R101" s="13">
        <f>Q101+R100</f>
        <v/>
      </c>
      <c r="S101" s="13">
        <f>R101+S100</f>
        <v/>
      </c>
      <c r="T101" s="13">
        <f>S101+T100</f>
        <v/>
      </c>
      <c r="U101" s="13">
        <f>T101+U100</f>
        <v/>
      </c>
      <c r="V101" s="13">
        <f>U101+V100</f>
        <v/>
      </c>
      <c r="W101" s="13">
        <f>V101+W100</f>
        <v/>
      </c>
      <c r="X101" s="13">
        <f>W101+X100</f>
        <v/>
      </c>
      <c r="Y101" s="13">
        <f>X101+Y100</f>
        <v/>
      </c>
      <c r="Z101" s="13">
        <f>Y101+Z100</f>
        <v/>
      </c>
      <c r="AA101" s="13">
        <f>Z101+AA100</f>
        <v/>
      </c>
      <c r="AB101" s="13">
        <f>AA101+AB100</f>
        <v/>
      </c>
      <c r="AC101" s="13">
        <f>AB101+AC100</f>
        <v/>
      </c>
      <c r="AD101" s="13">
        <f>AC101+AD100</f>
        <v/>
      </c>
      <c r="AE101" s="13">
        <f>AD101+AE100</f>
        <v/>
      </c>
      <c r="AF101" s="13">
        <f>AE101+AF100</f>
        <v/>
      </c>
      <c r="AG101" s="13">
        <f>AF101+AG100</f>
        <v/>
      </c>
      <c r="AH101" s="13">
        <f>AG101+AH100</f>
        <v/>
      </c>
      <c r="AI101" s="13">
        <f>AH101+AI100</f>
        <v/>
      </c>
      <c r="AJ101" s="13">
        <f>AI101+AJ100</f>
        <v/>
      </c>
      <c r="AK101" s="13">
        <f>AJ101+AK100</f>
        <v/>
      </c>
      <c r="AL101" s="13">
        <f>AK101+AL100</f>
        <v/>
      </c>
      <c r="AM101" s="13">
        <f>AL101+AM100</f>
        <v/>
      </c>
      <c r="AN101" s="13">
        <f>AM101+AN100</f>
        <v/>
      </c>
      <c r="AO101" s="13">
        <f>AN101+AO100</f>
        <v/>
      </c>
      <c r="AP101" s="13">
        <f>AO101+AP100</f>
        <v/>
      </c>
      <c r="AQ101" s="13">
        <f>AP101+AQ100</f>
        <v/>
      </c>
      <c r="AR101" s="13">
        <f>AQ101+AR100</f>
        <v/>
      </c>
      <c r="AS101" s="13">
        <f>AR101+AS100</f>
        <v/>
      </c>
      <c r="AT101" s="13">
        <f>AS101+AT100</f>
        <v/>
      </c>
      <c r="AU101" s="13">
        <f>AT101+AU100</f>
        <v/>
      </c>
      <c r="AV101" s="13">
        <f>AU101+AV100</f>
        <v/>
      </c>
      <c r="AW101" s="13">
        <f>AV101+AW100</f>
        <v/>
      </c>
      <c r="AX101" s="13">
        <f>AW101+AX100</f>
        <v/>
      </c>
      <c r="AY101" s="13">
        <f>AX101+AY100</f>
        <v/>
      </c>
      <c r="AZ101" s="13">
        <f>AY101+AZ100</f>
        <v/>
      </c>
      <c r="BA101" s="13">
        <f>AZ101+BA100</f>
        <v/>
      </c>
      <c r="BB101" s="13">
        <f>BA101+BB100</f>
        <v/>
      </c>
      <c r="BC101" s="13">
        <f>BB101+BC100</f>
        <v/>
      </c>
      <c r="BD101" s="13">
        <f>BC101+BD100</f>
        <v/>
      </c>
      <c r="BE101" s="13">
        <f>BD101+BE100</f>
        <v/>
      </c>
      <c r="BF101" s="13">
        <f>BE101+BF100</f>
        <v/>
      </c>
      <c r="BG101" s="13">
        <f>BF101+BG100</f>
        <v/>
      </c>
      <c r="BH101" s="13">
        <f>BG101+BH100</f>
        <v/>
      </c>
      <c r="BI101" s="13">
        <f>BH101+BI100</f>
        <v/>
      </c>
      <c r="BJ101" s="13">
        <f>BI101+BJ100</f>
        <v/>
      </c>
      <c r="BK101" s="13">
        <f>BJ101+BK100</f>
        <v/>
      </c>
      <c r="BL101" s="13">
        <f>BK101+BL100</f>
        <v/>
      </c>
      <c r="BM101" s="13">
        <f>BL101+BM100</f>
        <v/>
      </c>
      <c r="BN101" s="13">
        <f>BM101+BN100</f>
        <v/>
      </c>
    </row>
    <row r="102">
      <c r="D102" t="inlineStr">
        <is>
          <t>Bond face amount</t>
        </is>
      </c>
      <c r="E102" t="inlineStr">
        <is>
          <t>USD m</t>
        </is>
      </c>
      <c r="F102" s="17">
        <f>SUM($J$100:$BN$100)</f>
        <v/>
      </c>
    </row>
    <row r="103">
      <c r="D103" t="inlineStr">
        <is>
          <t>Swap unwind receipt</t>
        </is>
      </c>
      <c r="E103" t="inlineStr">
        <is>
          <t>USD m</t>
        </is>
      </c>
      <c r="G103" s="13">
        <f>SUM(J103:BN103)</f>
        <v/>
      </c>
      <c r="J103" s="13">
        <f>Time!J47*$F$98</f>
        <v/>
      </c>
      <c r="K103" s="13">
        <f>Time!K47*$F$98</f>
        <v/>
      </c>
      <c r="L103" s="13">
        <f>Time!L47*$F$98</f>
        <v/>
      </c>
      <c r="M103" s="13">
        <f>Time!M47*$F$98</f>
        <v/>
      </c>
      <c r="N103" s="13">
        <f>Time!N47*$F$98</f>
        <v/>
      </c>
      <c r="O103" s="13">
        <f>Time!O47*$F$98</f>
        <v/>
      </c>
      <c r="P103" s="13">
        <f>Time!P47*$F$98</f>
        <v/>
      </c>
      <c r="Q103" s="13">
        <f>Time!Q47*$F$98</f>
        <v/>
      </c>
      <c r="R103" s="13">
        <f>Time!R47*$F$98</f>
        <v/>
      </c>
      <c r="S103" s="13">
        <f>Time!S47*$F$98</f>
        <v/>
      </c>
      <c r="T103" s="13">
        <f>Time!T47*$F$98</f>
        <v/>
      </c>
      <c r="U103" s="13">
        <f>Time!U47*$F$98</f>
        <v/>
      </c>
      <c r="V103" s="13">
        <f>Time!V47*$F$98</f>
        <v/>
      </c>
      <c r="W103" s="13">
        <f>Time!W47*$F$98</f>
        <v/>
      </c>
      <c r="X103" s="13">
        <f>Time!X47*$F$98</f>
        <v/>
      </c>
      <c r="Y103" s="13">
        <f>Time!Y47*$F$98</f>
        <v/>
      </c>
      <c r="Z103" s="13">
        <f>Time!Z47*$F$98</f>
        <v/>
      </c>
      <c r="AA103" s="13">
        <f>Time!AA47*$F$98</f>
        <v/>
      </c>
      <c r="AB103" s="13">
        <f>Time!AB47*$F$98</f>
        <v/>
      </c>
      <c r="AC103" s="13">
        <f>Time!AC47*$F$98</f>
        <v/>
      </c>
      <c r="AD103" s="13">
        <f>Time!AD47*$F$98</f>
        <v/>
      </c>
      <c r="AE103" s="13">
        <f>Time!AE47*$F$98</f>
        <v/>
      </c>
      <c r="AF103" s="13">
        <f>Time!AF47*$F$98</f>
        <v/>
      </c>
      <c r="AG103" s="13">
        <f>Time!AG47*$F$98</f>
        <v/>
      </c>
      <c r="AH103" s="13">
        <f>Time!AH47*$F$98</f>
        <v/>
      </c>
      <c r="AI103" s="13">
        <f>Time!AI47*$F$98</f>
        <v/>
      </c>
      <c r="AJ103" s="13">
        <f>Time!AJ47*$F$98</f>
        <v/>
      </c>
      <c r="AK103" s="13">
        <f>Time!AK47*$F$98</f>
        <v/>
      </c>
      <c r="AL103" s="13">
        <f>Time!AL47*$F$98</f>
        <v/>
      </c>
      <c r="AM103" s="13">
        <f>Time!AM47*$F$98</f>
        <v/>
      </c>
      <c r="AN103" s="13">
        <f>Time!AN47*$F$98</f>
        <v/>
      </c>
      <c r="AO103" s="13">
        <f>Time!AO47*$F$98</f>
        <v/>
      </c>
      <c r="AP103" s="13">
        <f>Time!AP47*$F$98</f>
        <v/>
      </c>
      <c r="AQ103" s="13">
        <f>Time!AQ47*$F$98</f>
        <v/>
      </c>
      <c r="AR103" s="13">
        <f>Time!AR47*$F$98</f>
        <v/>
      </c>
      <c r="AS103" s="13">
        <f>Time!AS47*$F$98</f>
        <v/>
      </c>
      <c r="AT103" s="13">
        <f>Time!AT47*$F$98</f>
        <v/>
      </c>
      <c r="AU103" s="13">
        <f>Time!AU47*$F$98</f>
        <v/>
      </c>
      <c r="AV103" s="13">
        <f>Time!AV47*$F$98</f>
        <v/>
      </c>
      <c r="AW103" s="13">
        <f>Time!AW47*$F$98</f>
        <v/>
      </c>
      <c r="AX103" s="13">
        <f>Time!AX47*$F$98</f>
        <v/>
      </c>
      <c r="AY103" s="13">
        <f>Time!AY47*$F$98</f>
        <v/>
      </c>
      <c r="AZ103" s="13">
        <f>Time!AZ47*$F$98</f>
        <v/>
      </c>
      <c r="BA103" s="13">
        <f>Time!BA47*$F$98</f>
        <v/>
      </c>
      <c r="BB103" s="13">
        <f>Time!BB47*$F$98</f>
        <v/>
      </c>
      <c r="BC103" s="13">
        <f>Time!BC47*$F$98</f>
        <v/>
      </c>
      <c r="BD103" s="13">
        <f>Time!BD47*$F$98</f>
        <v/>
      </c>
      <c r="BE103" s="13">
        <f>Time!BE47*$F$98</f>
        <v/>
      </c>
      <c r="BF103" s="13">
        <f>Time!BF47*$F$98</f>
        <v/>
      </c>
      <c r="BG103" s="13">
        <f>Time!BG47*$F$98</f>
        <v/>
      </c>
      <c r="BH103" s="13">
        <f>Time!BH47*$F$98</f>
        <v/>
      </c>
      <c r="BI103" s="13">
        <f>Time!BI47*$F$98</f>
        <v/>
      </c>
      <c r="BJ103" s="13">
        <f>Time!BJ47*$F$98</f>
        <v/>
      </c>
      <c r="BK103" s="13">
        <f>Time!BK47*$F$98</f>
        <v/>
      </c>
      <c r="BL103" s="13">
        <f>Time!BL47*$F$98</f>
        <v/>
      </c>
      <c r="BM103" s="13">
        <f>Time!BM47*$F$98</f>
        <v/>
      </c>
      <c r="BN103" s="13">
        <f>Time!BN47*$F$98</f>
        <v/>
      </c>
    </row>
    <row r="104">
      <c r="D104" t="inlineStr">
        <is>
          <t>Refinancing costs (OID, underwriting, other, PCG upfront)</t>
        </is>
      </c>
      <c r="E104" t="inlineStr">
        <is>
          <t>USD m</t>
        </is>
      </c>
      <c r="G104" s="13">
        <f>SUM(J104:BN104)</f>
        <v/>
      </c>
      <c r="J104" s="13">
        <f>J100*(1-Inputs!$F$272)+Inputs!$F$273*J100+Time!J47*(Inputs!$F$274+Inputs!$F$277/100*Inputs!$F$275)</f>
        <v/>
      </c>
      <c r="K104" s="13">
        <f>K100*(1-Inputs!$F$272)+Inputs!$F$273*K100+Time!K47*(Inputs!$F$274+Inputs!$F$277/100*Inputs!$F$275)</f>
        <v/>
      </c>
      <c r="L104" s="13">
        <f>L100*(1-Inputs!$F$272)+Inputs!$F$273*L100+Time!L47*(Inputs!$F$274+Inputs!$F$277/100*Inputs!$F$275)</f>
        <v/>
      </c>
      <c r="M104" s="13">
        <f>M100*(1-Inputs!$F$272)+Inputs!$F$273*M100+Time!M47*(Inputs!$F$274+Inputs!$F$277/100*Inputs!$F$275)</f>
        <v/>
      </c>
      <c r="N104" s="13">
        <f>N100*(1-Inputs!$F$272)+Inputs!$F$273*N100+Time!N47*(Inputs!$F$274+Inputs!$F$277/100*Inputs!$F$275)</f>
        <v/>
      </c>
      <c r="O104" s="13">
        <f>O100*(1-Inputs!$F$272)+Inputs!$F$273*O100+Time!O47*(Inputs!$F$274+Inputs!$F$277/100*Inputs!$F$275)</f>
        <v/>
      </c>
      <c r="P104" s="13">
        <f>P100*(1-Inputs!$F$272)+Inputs!$F$273*P100+Time!P47*(Inputs!$F$274+Inputs!$F$277/100*Inputs!$F$275)</f>
        <v/>
      </c>
      <c r="Q104" s="13">
        <f>Q100*(1-Inputs!$F$272)+Inputs!$F$273*Q100+Time!Q47*(Inputs!$F$274+Inputs!$F$277/100*Inputs!$F$275)</f>
        <v/>
      </c>
      <c r="R104" s="13">
        <f>R100*(1-Inputs!$F$272)+Inputs!$F$273*R100+Time!R47*(Inputs!$F$274+Inputs!$F$277/100*Inputs!$F$275)</f>
        <v/>
      </c>
      <c r="S104" s="13">
        <f>S100*(1-Inputs!$F$272)+Inputs!$F$273*S100+Time!S47*(Inputs!$F$274+Inputs!$F$277/100*Inputs!$F$275)</f>
        <v/>
      </c>
      <c r="T104" s="13">
        <f>T100*(1-Inputs!$F$272)+Inputs!$F$273*T100+Time!T47*(Inputs!$F$274+Inputs!$F$277/100*Inputs!$F$275)</f>
        <v/>
      </c>
      <c r="U104" s="13">
        <f>U100*(1-Inputs!$F$272)+Inputs!$F$273*U100+Time!U47*(Inputs!$F$274+Inputs!$F$277/100*Inputs!$F$275)</f>
        <v/>
      </c>
      <c r="V104" s="13">
        <f>V100*(1-Inputs!$F$272)+Inputs!$F$273*V100+Time!V47*(Inputs!$F$274+Inputs!$F$277/100*Inputs!$F$275)</f>
        <v/>
      </c>
      <c r="W104" s="13">
        <f>W100*(1-Inputs!$F$272)+Inputs!$F$273*W100+Time!W47*(Inputs!$F$274+Inputs!$F$277/100*Inputs!$F$275)</f>
        <v/>
      </c>
      <c r="X104" s="13">
        <f>X100*(1-Inputs!$F$272)+Inputs!$F$273*X100+Time!X47*(Inputs!$F$274+Inputs!$F$277/100*Inputs!$F$275)</f>
        <v/>
      </c>
      <c r="Y104" s="13">
        <f>Y100*(1-Inputs!$F$272)+Inputs!$F$273*Y100+Time!Y47*(Inputs!$F$274+Inputs!$F$277/100*Inputs!$F$275)</f>
        <v/>
      </c>
      <c r="Z104" s="13">
        <f>Z100*(1-Inputs!$F$272)+Inputs!$F$273*Z100+Time!Z47*(Inputs!$F$274+Inputs!$F$277/100*Inputs!$F$275)</f>
        <v/>
      </c>
      <c r="AA104" s="13">
        <f>AA100*(1-Inputs!$F$272)+Inputs!$F$273*AA100+Time!AA47*(Inputs!$F$274+Inputs!$F$277/100*Inputs!$F$275)</f>
        <v/>
      </c>
      <c r="AB104" s="13">
        <f>AB100*(1-Inputs!$F$272)+Inputs!$F$273*AB100+Time!AB47*(Inputs!$F$274+Inputs!$F$277/100*Inputs!$F$275)</f>
        <v/>
      </c>
      <c r="AC104" s="13">
        <f>AC100*(1-Inputs!$F$272)+Inputs!$F$273*AC100+Time!AC47*(Inputs!$F$274+Inputs!$F$277/100*Inputs!$F$275)</f>
        <v/>
      </c>
      <c r="AD104" s="13">
        <f>AD100*(1-Inputs!$F$272)+Inputs!$F$273*AD100+Time!AD47*(Inputs!$F$274+Inputs!$F$277/100*Inputs!$F$275)</f>
        <v/>
      </c>
      <c r="AE104" s="13">
        <f>AE100*(1-Inputs!$F$272)+Inputs!$F$273*AE100+Time!AE47*(Inputs!$F$274+Inputs!$F$277/100*Inputs!$F$275)</f>
        <v/>
      </c>
      <c r="AF104" s="13">
        <f>AF100*(1-Inputs!$F$272)+Inputs!$F$273*AF100+Time!AF47*(Inputs!$F$274+Inputs!$F$277/100*Inputs!$F$275)</f>
        <v/>
      </c>
      <c r="AG104" s="13">
        <f>AG100*(1-Inputs!$F$272)+Inputs!$F$273*AG100+Time!AG47*(Inputs!$F$274+Inputs!$F$277/100*Inputs!$F$275)</f>
        <v/>
      </c>
      <c r="AH104" s="13">
        <f>AH100*(1-Inputs!$F$272)+Inputs!$F$273*AH100+Time!AH47*(Inputs!$F$274+Inputs!$F$277/100*Inputs!$F$275)</f>
        <v/>
      </c>
      <c r="AI104" s="13">
        <f>AI100*(1-Inputs!$F$272)+Inputs!$F$273*AI100+Time!AI47*(Inputs!$F$274+Inputs!$F$277/100*Inputs!$F$275)</f>
        <v/>
      </c>
      <c r="AJ104" s="13">
        <f>AJ100*(1-Inputs!$F$272)+Inputs!$F$273*AJ100+Time!AJ47*(Inputs!$F$274+Inputs!$F$277/100*Inputs!$F$275)</f>
        <v/>
      </c>
      <c r="AK104" s="13">
        <f>AK100*(1-Inputs!$F$272)+Inputs!$F$273*AK100+Time!AK47*(Inputs!$F$274+Inputs!$F$277/100*Inputs!$F$275)</f>
        <v/>
      </c>
      <c r="AL104" s="13">
        <f>AL100*(1-Inputs!$F$272)+Inputs!$F$273*AL100+Time!AL47*(Inputs!$F$274+Inputs!$F$277/100*Inputs!$F$275)</f>
        <v/>
      </c>
      <c r="AM104" s="13">
        <f>AM100*(1-Inputs!$F$272)+Inputs!$F$273*AM100+Time!AM47*(Inputs!$F$274+Inputs!$F$277/100*Inputs!$F$275)</f>
        <v/>
      </c>
      <c r="AN104" s="13">
        <f>AN100*(1-Inputs!$F$272)+Inputs!$F$273*AN100+Time!AN47*(Inputs!$F$274+Inputs!$F$277/100*Inputs!$F$275)</f>
        <v/>
      </c>
      <c r="AO104" s="13">
        <f>AO100*(1-Inputs!$F$272)+Inputs!$F$273*AO100+Time!AO47*(Inputs!$F$274+Inputs!$F$277/100*Inputs!$F$275)</f>
        <v/>
      </c>
      <c r="AP104" s="13">
        <f>AP100*(1-Inputs!$F$272)+Inputs!$F$273*AP100+Time!AP47*(Inputs!$F$274+Inputs!$F$277/100*Inputs!$F$275)</f>
        <v/>
      </c>
      <c r="AQ104" s="13">
        <f>AQ100*(1-Inputs!$F$272)+Inputs!$F$273*AQ100+Time!AQ47*(Inputs!$F$274+Inputs!$F$277/100*Inputs!$F$275)</f>
        <v/>
      </c>
      <c r="AR104" s="13">
        <f>AR100*(1-Inputs!$F$272)+Inputs!$F$273*AR100+Time!AR47*(Inputs!$F$274+Inputs!$F$277/100*Inputs!$F$275)</f>
        <v/>
      </c>
      <c r="AS104" s="13">
        <f>AS100*(1-Inputs!$F$272)+Inputs!$F$273*AS100+Time!AS47*(Inputs!$F$274+Inputs!$F$277/100*Inputs!$F$275)</f>
        <v/>
      </c>
      <c r="AT104" s="13">
        <f>AT100*(1-Inputs!$F$272)+Inputs!$F$273*AT100+Time!AT47*(Inputs!$F$274+Inputs!$F$277/100*Inputs!$F$275)</f>
        <v/>
      </c>
      <c r="AU104" s="13">
        <f>AU100*(1-Inputs!$F$272)+Inputs!$F$273*AU100+Time!AU47*(Inputs!$F$274+Inputs!$F$277/100*Inputs!$F$275)</f>
        <v/>
      </c>
      <c r="AV104" s="13">
        <f>AV100*(1-Inputs!$F$272)+Inputs!$F$273*AV100+Time!AV47*(Inputs!$F$274+Inputs!$F$277/100*Inputs!$F$275)</f>
        <v/>
      </c>
      <c r="AW104" s="13">
        <f>AW100*(1-Inputs!$F$272)+Inputs!$F$273*AW100+Time!AW47*(Inputs!$F$274+Inputs!$F$277/100*Inputs!$F$275)</f>
        <v/>
      </c>
      <c r="AX104" s="13">
        <f>AX100*(1-Inputs!$F$272)+Inputs!$F$273*AX100+Time!AX47*(Inputs!$F$274+Inputs!$F$277/100*Inputs!$F$275)</f>
        <v/>
      </c>
      <c r="AY104" s="13">
        <f>AY100*(1-Inputs!$F$272)+Inputs!$F$273*AY100+Time!AY47*(Inputs!$F$274+Inputs!$F$277/100*Inputs!$F$275)</f>
        <v/>
      </c>
      <c r="AZ104" s="13">
        <f>AZ100*(1-Inputs!$F$272)+Inputs!$F$273*AZ100+Time!AZ47*(Inputs!$F$274+Inputs!$F$277/100*Inputs!$F$275)</f>
        <v/>
      </c>
      <c r="BA104" s="13">
        <f>BA100*(1-Inputs!$F$272)+Inputs!$F$273*BA100+Time!BA47*(Inputs!$F$274+Inputs!$F$277/100*Inputs!$F$275)</f>
        <v/>
      </c>
      <c r="BB104" s="13">
        <f>BB100*(1-Inputs!$F$272)+Inputs!$F$273*BB100+Time!BB47*(Inputs!$F$274+Inputs!$F$277/100*Inputs!$F$275)</f>
        <v/>
      </c>
      <c r="BC104" s="13">
        <f>BC100*(1-Inputs!$F$272)+Inputs!$F$273*BC100+Time!BC47*(Inputs!$F$274+Inputs!$F$277/100*Inputs!$F$275)</f>
        <v/>
      </c>
      <c r="BD104" s="13">
        <f>BD100*(1-Inputs!$F$272)+Inputs!$F$273*BD100+Time!BD47*(Inputs!$F$274+Inputs!$F$277/100*Inputs!$F$275)</f>
        <v/>
      </c>
      <c r="BE104" s="13">
        <f>BE100*(1-Inputs!$F$272)+Inputs!$F$273*BE100+Time!BE47*(Inputs!$F$274+Inputs!$F$277/100*Inputs!$F$275)</f>
        <v/>
      </c>
      <c r="BF104" s="13">
        <f>BF100*(1-Inputs!$F$272)+Inputs!$F$273*BF100+Time!BF47*(Inputs!$F$274+Inputs!$F$277/100*Inputs!$F$275)</f>
        <v/>
      </c>
      <c r="BG104" s="13">
        <f>BG100*(1-Inputs!$F$272)+Inputs!$F$273*BG100+Time!BG47*(Inputs!$F$274+Inputs!$F$277/100*Inputs!$F$275)</f>
        <v/>
      </c>
      <c r="BH104" s="13">
        <f>BH100*(1-Inputs!$F$272)+Inputs!$F$273*BH100+Time!BH47*(Inputs!$F$274+Inputs!$F$277/100*Inputs!$F$275)</f>
        <v/>
      </c>
      <c r="BI104" s="13">
        <f>BI100*(1-Inputs!$F$272)+Inputs!$F$273*BI100+Time!BI47*(Inputs!$F$274+Inputs!$F$277/100*Inputs!$F$275)</f>
        <v/>
      </c>
      <c r="BJ104" s="13">
        <f>BJ100*(1-Inputs!$F$272)+Inputs!$F$273*BJ100+Time!BJ47*(Inputs!$F$274+Inputs!$F$277/100*Inputs!$F$275)</f>
        <v/>
      </c>
      <c r="BK104" s="13">
        <f>BK100*(1-Inputs!$F$272)+Inputs!$F$273*BK100+Time!BK47*(Inputs!$F$274+Inputs!$F$277/100*Inputs!$F$275)</f>
        <v/>
      </c>
      <c r="BL104" s="13">
        <f>BL100*(1-Inputs!$F$272)+Inputs!$F$273*BL100+Time!BL47*(Inputs!$F$274+Inputs!$F$277/100*Inputs!$F$275)</f>
        <v/>
      </c>
      <c r="BM104" s="13">
        <f>BM100*(1-Inputs!$F$272)+Inputs!$F$273*BM100+Time!BM47*(Inputs!$F$274+Inputs!$F$277/100*Inputs!$F$275)</f>
        <v/>
      </c>
      <c r="BN104" s="13">
        <f>BN100*(1-Inputs!$F$272)+Inputs!$F$273*BN100+Time!BN47*(Inputs!$F$274+Inputs!$F$277/100*Inputs!$F$275)</f>
        <v/>
      </c>
    </row>
    <row r="105">
      <c r="B105" s="2" t="inlineStr">
        <is>
          <t>Swap, premiums and fees (USD m)</t>
        </is>
      </c>
    </row>
    <row r="106">
      <c r="D106" t="inlineStr">
        <is>
          <t>Swap share outstanding</t>
        </is>
      </c>
      <c r="E106" t="inlineStr">
        <is>
          <t>fraction</t>
        </is>
      </c>
      <c r="J106" s="13">
        <f>IF(Time!J48=1,Inputs!$F$280,1)</f>
        <v/>
      </c>
      <c r="K106" s="13">
        <f>IF(Time!K48=1,Inputs!$F$280,1)</f>
        <v/>
      </c>
      <c r="L106" s="13">
        <f>IF(Time!L48=1,Inputs!$F$280,1)</f>
        <v/>
      </c>
      <c r="M106" s="13">
        <f>IF(Time!M48=1,Inputs!$F$280,1)</f>
        <v/>
      </c>
      <c r="N106" s="13">
        <f>IF(Time!N48=1,Inputs!$F$280,1)</f>
        <v/>
      </c>
      <c r="O106" s="13">
        <f>IF(Time!O48=1,Inputs!$F$280,1)</f>
        <v/>
      </c>
      <c r="P106" s="13">
        <f>IF(Time!P48=1,Inputs!$F$280,1)</f>
        <v/>
      </c>
      <c r="Q106" s="13">
        <f>IF(Time!Q48=1,Inputs!$F$280,1)</f>
        <v/>
      </c>
      <c r="R106" s="13">
        <f>IF(Time!R48=1,Inputs!$F$280,1)</f>
        <v/>
      </c>
      <c r="S106" s="13">
        <f>IF(Time!S48=1,Inputs!$F$280,1)</f>
        <v/>
      </c>
      <c r="T106" s="13">
        <f>IF(Time!T48=1,Inputs!$F$280,1)</f>
        <v/>
      </c>
      <c r="U106" s="13">
        <f>IF(Time!U48=1,Inputs!$F$280,1)</f>
        <v/>
      </c>
      <c r="V106" s="13">
        <f>IF(Time!V48=1,Inputs!$F$280,1)</f>
        <v/>
      </c>
      <c r="W106" s="13">
        <f>IF(Time!W48=1,Inputs!$F$280,1)</f>
        <v/>
      </c>
      <c r="X106" s="13">
        <f>IF(Time!X48=1,Inputs!$F$280,1)</f>
        <v/>
      </c>
      <c r="Y106" s="13">
        <f>IF(Time!Y48=1,Inputs!$F$280,1)</f>
        <v/>
      </c>
      <c r="Z106" s="13">
        <f>IF(Time!Z48=1,Inputs!$F$280,1)</f>
        <v/>
      </c>
      <c r="AA106" s="13">
        <f>IF(Time!AA48=1,Inputs!$F$280,1)</f>
        <v/>
      </c>
      <c r="AB106" s="13">
        <f>IF(Time!AB48=1,Inputs!$F$280,1)</f>
        <v/>
      </c>
      <c r="AC106" s="13">
        <f>IF(Time!AC48=1,Inputs!$F$280,1)</f>
        <v/>
      </c>
      <c r="AD106" s="13">
        <f>IF(Time!AD48=1,Inputs!$F$280,1)</f>
        <v/>
      </c>
      <c r="AE106" s="13">
        <f>IF(Time!AE48=1,Inputs!$F$280,1)</f>
        <v/>
      </c>
      <c r="AF106" s="13">
        <f>IF(Time!AF48=1,Inputs!$F$280,1)</f>
        <v/>
      </c>
      <c r="AG106" s="13">
        <f>IF(Time!AG48=1,Inputs!$F$280,1)</f>
        <v/>
      </c>
      <c r="AH106" s="13">
        <f>IF(Time!AH48=1,Inputs!$F$280,1)</f>
        <v/>
      </c>
      <c r="AI106" s="13">
        <f>IF(Time!AI48=1,Inputs!$F$280,1)</f>
        <v/>
      </c>
      <c r="AJ106" s="13">
        <f>IF(Time!AJ48=1,Inputs!$F$280,1)</f>
        <v/>
      </c>
      <c r="AK106" s="13">
        <f>IF(Time!AK48=1,Inputs!$F$280,1)</f>
        <v/>
      </c>
      <c r="AL106" s="13">
        <f>IF(Time!AL48=1,Inputs!$F$280,1)</f>
        <v/>
      </c>
      <c r="AM106" s="13">
        <f>IF(Time!AM48=1,Inputs!$F$280,1)</f>
        <v/>
      </c>
      <c r="AN106" s="13">
        <f>IF(Time!AN48=1,Inputs!$F$280,1)</f>
        <v/>
      </c>
      <c r="AO106" s="13">
        <f>IF(Time!AO48=1,Inputs!$F$280,1)</f>
        <v/>
      </c>
      <c r="AP106" s="13">
        <f>IF(Time!AP48=1,Inputs!$F$280,1)</f>
        <v/>
      </c>
      <c r="AQ106" s="13">
        <f>IF(Time!AQ48=1,Inputs!$F$280,1)</f>
        <v/>
      </c>
      <c r="AR106" s="13">
        <f>IF(Time!AR48=1,Inputs!$F$280,1)</f>
        <v/>
      </c>
      <c r="AS106" s="13">
        <f>IF(Time!AS48=1,Inputs!$F$280,1)</f>
        <v/>
      </c>
      <c r="AT106" s="13">
        <f>IF(Time!AT48=1,Inputs!$F$280,1)</f>
        <v/>
      </c>
      <c r="AU106" s="13">
        <f>IF(Time!AU48=1,Inputs!$F$280,1)</f>
        <v/>
      </c>
      <c r="AV106" s="13">
        <f>IF(Time!AV48=1,Inputs!$F$280,1)</f>
        <v/>
      </c>
      <c r="AW106" s="13">
        <f>IF(Time!AW48=1,Inputs!$F$280,1)</f>
        <v/>
      </c>
      <c r="AX106" s="13">
        <f>IF(Time!AX48=1,Inputs!$F$280,1)</f>
        <v/>
      </c>
      <c r="AY106" s="13">
        <f>IF(Time!AY48=1,Inputs!$F$280,1)</f>
        <v/>
      </c>
      <c r="AZ106" s="13">
        <f>IF(Time!AZ48=1,Inputs!$F$280,1)</f>
        <v/>
      </c>
      <c r="BA106" s="13">
        <f>IF(Time!BA48=1,Inputs!$F$280,1)</f>
        <v/>
      </c>
      <c r="BB106" s="13">
        <f>IF(Time!BB48=1,Inputs!$F$280,1)</f>
        <v/>
      </c>
      <c r="BC106" s="13">
        <f>IF(Time!BC48=1,Inputs!$F$280,1)</f>
        <v/>
      </c>
      <c r="BD106" s="13">
        <f>IF(Time!BD48=1,Inputs!$F$280,1)</f>
        <v/>
      </c>
      <c r="BE106" s="13">
        <f>IF(Time!BE48=1,Inputs!$F$280,1)</f>
        <v/>
      </c>
      <c r="BF106" s="13">
        <f>IF(Time!BF48=1,Inputs!$F$280,1)</f>
        <v/>
      </c>
      <c r="BG106" s="13">
        <f>IF(Time!BG48=1,Inputs!$F$280,1)</f>
        <v/>
      </c>
      <c r="BH106" s="13">
        <f>IF(Time!BH48=1,Inputs!$F$280,1)</f>
        <v/>
      </c>
      <c r="BI106" s="13">
        <f>IF(Time!BI48=1,Inputs!$F$280,1)</f>
        <v/>
      </c>
      <c r="BJ106" s="13">
        <f>IF(Time!BJ48=1,Inputs!$F$280,1)</f>
        <v/>
      </c>
      <c r="BK106" s="13">
        <f>IF(Time!BK48=1,Inputs!$F$280,1)</f>
        <v/>
      </c>
      <c r="BL106" s="13">
        <f>IF(Time!BL48=1,Inputs!$F$280,1)</f>
        <v/>
      </c>
      <c r="BM106" s="13">
        <f>IF(Time!BM48=1,Inputs!$F$280,1)</f>
        <v/>
      </c>
      <c r="BN106" s="13">
        <f>IF(Time!BN48=1,Inputs!$F$280,1)</f>
        <v/>
      </c>
    </row>
    <row r="107">
      <c r="D107" t="inlineStr">
        <is>
          <t>Swap net payment (fixed 30/360 less floating ACT/360)</t>
        </is>
      </c>
      <c r="E107" t="inlineStr">
        <is>
          <t>USD m</t>
        </is>
      </c>
      <c r="G107" s="13">
        <f>SUM(J107:BN107)</f>
        <v/>
      </c>
      <c r="J107" s="13">
        <f>-1*Time!J35*Inputs!J301*J106*(Inputs!$F$97/100*Time!J24-Operations!J9/100*Time!J25/Inputs!$F$247)</f>
        <v/>
      </c>
      <c r="K107" s="13">
        <f>-1*Time!K35*Inputs!K301*K106*(Inputs!$F$97/100*Time!K24-Operations!K9/100*Time!K25/Inputs!$F$247)</f>
        <v/>
      </c>
      <c r="L107" s="13">
        <f>-1*Time!L35*Inputs!L301*L106*(Inputs!$F$97/100*Time!L24-Operations!L9/100*Time!L25/Inputs!$F$247)</f>
        <v/>
      </c>
      <c r="M107" s="13">
        <f>-1*Time!M35*Inputs!M301*M106*(Inputs!$F$97/100*Time!M24-Operations!M9/100*Time!M25/Inputs!$F$247)</f>
        <v/>
      </c>
      <c r="N107" s="13">
        <f>-1*Time!N35*Inputs!N301*N106*(Inputs!$F$97/100*Time!N24-Operations!N9/100*Time!N25/Inputs!$F$247)</f>
        <v/>
      </c>
      <c r="O107" s="13">
        <f>-1*Time!O35*Inputs!O301*O106*(Inputs!$F$97/100*Time!O24-Operations!O9/100*Time!O25/Inputs!$F$247)</f>
        <v/>
      </c>
      <c r="P107" s="13">
        <f>-1*Time!P35*Inputs!P301*P106*(Inputs!$F$97/100*Time!P24-Operations!P9/100*Time!P25/Inputs!$F$247)</f>
        <v/>
      </c>
      <c r="Q107" s="13">
        <f>-1*Time!Q35*Inputs!Q301*Q106*(Inputs!$F$97/100*Time!Q24-Operations!Q9/100*Time!Q25/Inputs!$F$247)</f>
        <v/>
      </c>
      <c r="R107" s="13">
        <f>-1*Time!R35*Inputs!R301*R106*(Inputs!$F$97/100*Time!R24-Operations!R9/100*Time!R25/Inputs!$F$247)</f>
        <v/>
      </c>
      <c r="S107" s="13">
        <f>-1*Time!S35*Inputs!S301*S106*(Inputs!$F$97/100*Time!S24-Operations!S9/100*Time!S25/Inputs!$F$247)</f>
        <v/>
      </c>
      <c r="T107" s="13">
        <f>-1*Time!T35*Inputs!T301*T106*(Inputs!$F$97/100*Time!T24-Operations!T9/100*Time!T25/Inputs!$F$247)</f>
        <v/>
      </c>
      <c r="U107" s="13">
        <f>-1*Time!U35*Inputs!U301*U106*(Inputs!$F$97/100*Time!U24-Operations!U9/100*Time!U25/Inputs!$F$247)</f>
        <v/>
      </c>
      <c r="V107" s="13">
        <f>-1*Time!V35*Inputs!V301*V106*(Inputs!$F$97/100*Time!V24-Operations!V9/100*Time!V25/Inputs!$F$247)</f>
        <v/>
      </c>
      <c r="W107" s="13">
        <f>-1*Time!W35*Inputs!W301*W106*(Inputs!$F$97/100*Time!W24-Operations!W9/100*Time!W25/Inputs!$F$247)</f>
        <v/>
      </c>
      <c r="X107" s="13">
        <f>-1*Time!X35*Inputs!X301*X106*(Inputs!$F$97/100*Time!X24-Operations!X9/100*Time!X25/Inputs!$F$247)</f>
        <v/>
      </c>
      <c r="Y107" s="13">
        <f>-1*Time!Y35*Inputs!Y301*Y106*(Inputs!$F$97/100*Time!Y24-Operations!Y9/100*Time!Y25/Inputs!$F$247)</f>
        <v/>
      </c>
      <c r="Z107" s="13">
        <f>-1*Time!Z35*Inputs!Z301*Z106*(Inputs!$F$97/100*Time!Z24-Operations!Z9/100*Time!Z25/Inputs!$F$247)</f>
        <v/>
      </c>
      <c r="AA107" s="13">
        <f>-1*Time!AA35*Inputs!AA301*AA106*(Inputs!$F$97/100*Time!AA24-Operations!AA9/100*Time!AA25/Inputs!$F$247)</f>
        <v/>
      </c>
      <c r="AB107" s="13">
        <f>-1*Time!AB35*Inputs!AB301*AB106*(Inputs!$F$97/100*Time!AB24-Operations!AB9/100*Time!AB25/Inputs!$F$247)</f>
        <v/>
      </c>
      <c r="AC107" s="13">
        <f>-1*Time!AC35*Inputs!AC301*AC106*(Inputs!$F$97/100*Time!AC24-Operations!AC9/100*Time!AC25/Inputs!$F$247)</f>
        <v/>
      </c>
      <c r="AD107" s="13">
        <f>-1*Time!AD35*Inputs!AD301*AD106*(Inputs!$F$97/100*Time!AD24-Operations!AD9/100*Time!AD25/Inputs!$F$247)</f>
        <v/>
      </c>
      <c r="AE107" s="13">
        <f>-1*Time!AE35*Inputs!AE301*AE106*(Inputs!$F$97/100*Time!AE24-Operations!AE9/100*Time!AE25/Inputs!$F$247)</f>
        <v/>
      </c>
      <c r="AF107" s="13">
        <f>-1*Time!AF35*Inputs!AF301*AF106*(Inputs!$F$97/100*Time!AF24-Operations!AF9/100*Time!AF25/Inputs!$F$247)</f>
        <v/>
      </c>
      <c r="AG107" s="13">
        <f>-1*Time!AG35*Inputs!AG301*AG106*(Inputs!$F$97/100*Time!AG24-Operations!AG9/100*Time!AG25/Inputs!$F$247)</f>
        <v/>
      </c>
      <c r="AH107" s="13">
        <f>-1*Time!AH35*Inputs!AH301*AH106*(Inputs!$F$97/100*Time!AH24-Operations!AH9/100*Time!AH25/Inputs!$F$247)</f>
        <v/>
      </c>
      <c r="AI107" s="13">
        <f>-1*Time!AI35*Inputs!AI301*AI106*(Inputs!$F$97/100*Time!AI24-Operations!AI9/100*Time!AI25/Inputs!$F$247)</f>
        <v/>
      </c>
      <c r="AJ107" s="13">
        <f>-1*Time!AJ35*Inputs!AJ301*AJ106*(Inputs!$F$97/100*Time!AJ24-Operations!AJ9/100*Time!AJ25/Inputs!$F$247)</f>
        <v/>
      </c>
      <c r="AK107" s="13">
        <f>-1*Time!AK35*Inputs!AK301*AK106*(Inputs!$F$97/100*Time!AK24-Operations!AK9/100*Time!AK25/Inputs!$F$247)</f>
        <v/>
      </c>
      <c r="AL107" s="13">
        <f>-1*Time!AL35*Inputs!AL301*AL106*(Inputs!$F$97/100*Time!AL24-Operations!AL9/100*Time!AL25/Inputs!$F$247)</f>
        <v/>
      </c>
      <c r="AM107" s="13">
        <f>-1*Time!AM35*Inputs!AM301*AM106*(Inputs!$F$97/100*Time!AM24-Operations!AM9/100*Time!AM25/Inputs!$F$247)</f>
        <v/>
      </c>
      <c r="AN107" s="13">
        <f>-1*Time!AN35*Inputs!AN301*AN106*(Inputs!$F$97/100*Time!AN24-Operations!AN9/100*Time!AN25/Inputs!$F$247)</f>
        <v/>
      </c>
      <c r="AO107" s="13">
        <f>-1*Time!AO35*Inputs!AO301*AO106*(Inputs!$F$97/100*Time!AO24-Operations!AO9/100*Time!AO25/Inputs!$F$247)</f>
        <v/>
      </c>
      <c r="AP107" s="13">
        <f>-1*Time!AP35*Inputs!AP301*AP106*(Inputs!$F$97/100*Time!AP24-Operations!AP9/100*Time!AP25/Inputs!$F$247)</f>
        <v/>
      </c>
      <c r="AQ107" s="13">
        <f>-1*Time!AQ35*Inputs!AQ301*AQ106*(Inputs!$F$97/100*Time!AQ24-Operations!AQ9/100*Time!AQ25/Inputs!$F$247)</f>
        <v/>
      </c>
      <c r="AR107" s="13">
        <f>-1*Time!AR35*Inputs!AR301*AR106*(Inputs!$F$97/100*Time!AR24-Operations!AR9/100*Time!AR25/Inputs!$F$247)</f>
        <v/>
      </c>
      <c r="AS107" s="13">
        <f>-1*Time!AS35*Inputs!AS301*AS106*(Inputs!$F$97/100*Time!AS24-Operations!AS9/100*Time!AS25/Inputs!$F$247)</f>
        <v/>
      </c>
      <c r="AT107" s="13">
        <f>-1*Time!AT35*Inputs!AT301*AT106*(Inputs!$F$97/100*Time!AT24-Operations!AT9/100*Time!AT25/Inputs!$F$247)</f>
        <v/>
      </c>
      <c r="AU107" s="13">
        <f>-1*Time!AU35*Inputs!AU301*AU106*(Inputs!$F$97/100*Time!AU24-Operations!AU9/100*Time!AU25/Inputs!$F$247)</f>
        <v/>
      </c>
      <c r="AV107" s="13">
        <f>-1*Time!AV35*Inputs!AV301*AV106*(Inputs!$F$97/100*Time!AV24-Operations!AV9/100*Time!AV25/Inputs!$F$247)</f>
        <v/>
      </c>
      <c r="AW107" s="13">
        <f>-1*Time!AW35*Inputs!AW301*AW106*(Inputs!$F$97/100*Time!AW24-Operations!AW9/100*Time!AW25/Inputs!$F$247)</f>
        <v/>
      </c>
      <c r="AX107" s="13">
        <f>-1*Time!AX35*Inputs!AX301*AX106*(Inputs!$F$97/100*Time!AX24-Operations!AX9/100*Time!AX25/Inputs!$F$247)</f>
        <v/>
      </c>
      <c r="AY107" s="13">
        <f>-1*Time!AY35*Inputs!AY301*AY106*(Inputs!$F$97/100*Time!AY24-Operations!AY9/100*Time!AY25/Inputs!$F$247)</f>
        <v/>
      </c>
      <c r="AZ107" s="13">
        <f>-1*Time!AZ35*Inputs!AZ301*AZ106*(Inputs!$F$97/100*Time!AZ24-Operations!AZ9/100*Time!AZ25/Inputs!$F$247)</f>
        <v/>
      </c>
      <c r="BA107" s="13">
        <f>-1*Time!BA35*Inputs!BA301*BA106*(Inputs!$F$97/100*Time!BA24-Operations!BA9/100*Time!BA25/Inputs!$F$247)</f>
        <v/>
      </c>
      <c r="BB107" s="13">
        <f>-1*Time!BB35*Inputs!BB301*BB106*(Inputs!$F$97/100*Time!BB24-Operations!BB9/100*Time!BB25/Inputs!$F$247)</f>
        <v/>
      </c>
      <c r="BC107" s="13">
        <f>-1*Time!BC35*Inputs!BC301*BC106*(Inputs!$F$97/100*Time!BC24-Operations!BC9/100*Time!BC25/Inputs!$F$247)</f>
        <v/>
      </c>
      <c r="BD107" s="13">
        <f>-1*Time!BD35*Inputs!BD301*BD106*(Inputs!$F$97/100*Time!BD24-Operations!BD9/100*Time!BD25/Inputs!$F$247)</f>
        <v/>
      </c>
      <c r="BE107" s="13">
        <f>-1*Time!BE35*Inputs!BE301*BE106*(Inputs!$F$97/100*Time!BE24-Operations!BE9/100*Time!BE25/Inputs!$F$247)</f>
        <v/>
      </c>
      <c r="BF107" s="13">
        <f>-1*Time!BF35*Inputs!BF301*BF106*(Inputs!$F$97/100*Time!BF24-Operations!BF9/100*Time!BF25/Inputs!$F$247)</f>
        <v/>
      </c>
      <c r="BG107" s="13">
        <f>-1*Time!BG35*Inputs!BG301*BG106*(Inputs!$F$97/100*Time!BG24-Operations!BG9/100*Time!BG25/Inputs!$F$247)</f>
        <v/>
      </c>
      <c r="BH107" s="13">
        <f>-1*Time!BH35*Inputs!BH301*BH106*(Inputs!$F$97/100*Time!BH24-Operations!BH9/100*Time!BH25/Inputs!$F$247)</f>
        <v/>
      </c>
      <c r="BI107" s="13">
        <f>-1*Time!BI35*Inputs!BI301*BI106*(Inputs!$F$97/100*Time!BI24-Operations!BI9/100*Time!BI25/Inputs!$F$247)</f>
        <v/>
      </c>
      <c r="BJ107" s="13">
        <f>-1*Time!BJ35*Inputs!BJ301*BJ106*(Inputs!$F$97/100*Time!BJ24-Operations!BJ9/100*Time!BJ25/Inputs!$F$247)</f>
        <v/>
      </c>
      <c r="BK107" s="13">
        <f>-1*Time!BK35*Inputs!BK301*BK106*(Inputs!$F$97/100*Time!BK24-Operations!BK9/100*Time!BK25/Inputs!$F$247)</f>
        <v/>
      </c>
      <c r="BL107" s="13">
        <f>-1*Time!BL35*Inputs!BL301*BL106*(Inputs!$F$97/100*Time!BL24-Operations!BL9/100*Time!BL25/Inputs!$F$247)</f>
        <v/>
      </c>
      <c r="BM107" s="13">
        <f>-1*Time!BM35*Inputs!BM301*BM106*(Inputs!$F$97/100*Time!BM24-Operations!BM9/100*Time!BM25/Inputs!$F$247)</f>
        <v/>
      </c>
      <c r="BN107" s="13">
        <f>-1*Time!BN35*Inputs!BN301*BN106*(Inputs!$F$97/100*Time!BN24-Operations!BN9/100*Time!BN25/Inputs!$F$247)</f>
        <v/>
      </c>
    </row>
    <row r="108">
      <c r="D108" t="inlineStr">
        <is>
          <t>PRI premium (commercial tranche)</t>
        </is>
      </c>
      <c r="E108" t="inlineStr">
        <is>
          <t>USD m</t>
        </is>
      </c>
      <c r="G108" s="13">
        <f>SUM(J108:BN108)</f>
        <v/>
      </c>
      <c r="J108" s="13">
        <f>(Inputs!$F$95/100*Inputs!$F$96/100)*J63*Time!J25/Inputs!$F$248</f>
        <v/>
      </c>
      <c r="K108" s="13">
        <f>(Inputs!$F$95/100*Inputs!$F$96/100)*K63*Time!K25/Inputs!$F$248</f>
        <v/>
      </c>
      <c r="L108" s="13">
        <f>(Inputs!$F$95/100*Inputs!$F$96/100)*L63*Time!L25/Inputs!$F$248</f>
        <v/>
      </c>
      <c r="M108" s="13">
        <f>(Inputs!$F$95/100*Inputs!$F$96/100)*M63*Time!M25/Inputs!$F$248</f>
        <v/>
      </c>
      <c r="N108" s="13">
        <f>(Inputs!$F$95/100*Inputs!$F$96/100)*N63*Time!N25/Inputs!$F$248</f>
        <v/>
      </c>
      <c r="O108" s="13">
        <f>(Inputs!$F$95/100*Inputs!$F$96/100)*O63*Time!O25/Inputs!$F$248</f>
        <v/>
      </c>
      <c r="P108" s="13">
        <f>(Inputs!$F$95/100*Inputs!$F$96/100)*P63*Time!P25/Inputs!$F$248</f>
        <v/>
      </c>
      <c r="Q108" s="13">
        <f>(Inputs!$F$95/100*Inputs!$F$96/100)*Q63*Time!Q25/Inputs!$F$248</f>
        <v/>
      </c>
      <c r="R108" s="13">
        <f>(Inputs!$F$95/100*Inputs!$F$96/100)*R63*Time!R25/Inputs!$F$248</f>
        <v/>
      </c>
      <c r="S108" s="13">
        <f>(Inputs!$F$95/100*Inputs!$F$96/100)*S63*Time!S25/Inputs!$F$248</f>
        <v/>
      </c>
      <c r="T108" s="13">
        <f>(Inputs!$F$95/100*Inputs!$F$96/100)*T63*Time!T25/Inputs!$F$248</f>
        <v/>
      </c>
      <c r="U108" s="13">
        <f>(Inputs!$F$95/100*Inputs!$F$96/100)*U63*Time!U25/Inputs!$F$248</f>
        <v/>
      </c>
      <c r="V108" s="13">
        <f>(Inputs!$F$95/100*Inputs!$F$96/100)*V63*Time!V25/Inputs!$F$248</f>
        <v/>
      </c>
      <c r="W108" s="13">
        <f>(Inputs!$F$95/100*Inputs!$F$96/100)*W63*Time!W25/Inputs!$F$248</f>
        <v/>
      </c>
      <c r="X108" s="13">
        <f>(Inputs!$F$95/100*Inputs!$F$96/100)*X63*Time!X25/Inputs!$F$248</f>
        <v/>
      </c>
      <c r="Y108" s="13">
        <f>(Inputs!$F$95/100*Inputs!$F$96/100)*Y63*Time!Y25/Inputs!$F$248</f>
        <v/>
      </c>
      <c r="Z108" s="13">
        <f>(Inputs!$F$95/100*Inputs!$F$96/100)*Z63*Time!Z25/Inputs!$F$248</f>
        <v/>
      </c>
      <c r="AA108" s="13">
        <f>(Inputs!$F$95/100*Inputs!$F$96/100)*AA63*Time!AA25/Inputs!$F$248</f>
        <v/>
      </c>
      <c r="AB108" s="13">
        <f>(Inputs!$F$95/100*Inputs!$F$96/100)*AB63*Time!AB25/Inputs!$F$248</f>
        <v/>
      </c>
      <c r="AC108" s="13">
        <f>(Inputs!$F$95/100*Inputs!$F$96/100)*AC63*Time!AC25/Inputs!$F$248</f>
        <v/>
      </c>
      <c r="AD108" s="13">
        <f>(Inputs!$F$95/100*Inputs!$F$96/100)*AD63*Time!AD25/Inputs!$F$248</f>
        <v/>
      </c>
      <c r="AE108" s="13">
        <f>(Inputs!$F$95/100*Inputs!$F$96/100)*AE63*Time!AE25/Inputs!$F$248</f>
        <v/>
      </c>
      <c r="AF108" s="13">
        <f>(Inputs!$F$95/100*Inputs!$F$96/100)*AF63*Time!AF25/Inputs!$F$248</f>
        <v/>
      </c>
      <c r="AG108" s="13">
        <f>(Inputs!$F$95/100*Inputs!$F$96/100)*AG63*Time!AG25/Inputs!$F$248</f>
        <v/>
      </c>
      <c r="AH108" s="13">
        <f>(Inputs!$F$95/100*Inputs!$F$96/100)*AH63*Time!AH25/Inputs!$F$248</f>
        <v/>
      </c>
      <c r="AI108" s="13">
        <f>(Inputs!$F$95/100*Inputs!$F$96/100)*AI63*Time!AI25/Inputs!$F$248</f>
        <v/>
      </c>
      <c r="AJ108" s="13">
        <f>(Inputs!$F$95/100*Inputs!$F$96/100)*AJ63*Time!AJ25/Inputs!$F$248</f>
        <v/>
      </c>
      <c r="AK108" s="13">
        <f>(Inputs!$F$95/100*Inputs!$F$96/100)*AK63*Time!AK25/Inputs!$F$248</f>
        <v/>
      </c>
      <c r="AL108" s="13">
        <f>(Inputs!$F$95/100*Inputs!$F$96/100)*AL63*Time!AL25/Inputs!$F$248</f>
        <v/>
      </c>
      <c r="AM108" s="13">
        <f>(Inputs!$F$95/100*Inputs!$F$96/100)*AM63*Time!AM25/Inputs!$F$248</f>
        <v/>
      </c>
      <c r="AN108" s="13">
        <f>(Inputs!$F$95/100*Inputs!$F$96/100)*AN63*Time!AN25/Inputs!$F$248</f>
        <v/>
      </c>
      <c r="AO108" s="13">
        <f>(Inputs!$F$95/100*Inputs!$F$96/100)*AO63*Time!AO25/Inputs!$F$248</f>
        <v/>
      </c>
      <c r="AP108" s="13">
        <f>(Inputs!$F$95/100*Inputs!$F$96/100)*AP63*Time!AP25/Inputs!$F$248</f>
        <v/>
      </c>
      <c r="AQ108" s="13">
        <f>(Inputs!$F$95/100*Inputs!$F$96/100)*AQ63*Time!AQ25/Inputs!$F$248</f>
        <v/>
      </c>
      <c r="AR108" s="13">
        <f>(Inputs!$F$95/100*Inputs!$F$96/100)*AR63*Time!AR25/Inputs!$F$248</f>
        <v/>
      </c>
      <c r="AS108" s="13">
        <f>(Inputs!$F$95/100*Inputs!$F$96/100)*AS63*Time!AS25/Inputs!$F$248</f>
        <v/>
      </c>
      <c r="AT108" s="13">
        <f>(Inputs!$F$95/100*Inputs!$F$96/100)*AT63*Time!AT25/Inputs!$F$248</f>
        <v/>
      </c>
      <c r="AU108" s="13">
        <f>(Inputs!$F$95/100*Inputs!$F$96/100)*AU63*Time!AU25/Inputs!$F$248</f>
        <v/>
      </c>
      <c r="AV108" s="13">
        <f>(Inputs!$F$95/100*Inputs!$F$96/100)*AV63*Time!AV25/Inputs!$F$248</f>
        <v/>
      </c>
      <c r="AW108" s="13">
        <f>(Inputs!$F$95/100*Inputs!$F$96/100)*AW63*Time!AW25/Inputs!$F$248</f>
        <v/>
      </c>
      <c r="AX108" s="13">
        <f>(Inputs!$F$95/100*Inputs!$F$96/100)*AX63*Time!AX25/Inputs!$F$248</f>
        <v/>
      </c>
      <c r="AY108" s="13">
        <f>(Inputs!$F$95/100*Inputs!$F$96/100)*AY63*Time!AY25/Inputs!$F$248</f>
        <v/>
      </c>
      <c r="AZ108" s="13">
        <f>(Inputs!$F$95/100*Inputs!$F$96/100)*AZ63*Time!AZ25/Inputs!$F$248</f>
        <v/>
      </c>
      <c r="BA108" s="13">
        <f>(Inputs!$F$95/100*Inputs!$F$96/100)*BA63*Time!BA25/Inputs!$F$248</f>
        <v/>
      </c>
      <c r="BB108" s="13">
        <f>(Inputs!$F$95/100*Inputs!$F$96/100)*BB63*Time!BB25/Inputs!$F$248</f>
        <v/>
      </c>
      <c r="BC108" s="13">
        <f>(Inputs!$F$95/100*Inputs!$F$96/100)*BC63*Time!BC25/Inputs!$F$248</f>
        <v/>
      </c>
      <c r="BD108" s="13">
        <f>(Inputs!$F$95/100*Inputs!$F$96/100)*BD63*Time!BD25/Inputs!$F$248</f>
        <v/>
      </c>
      <c r="BE108" s="13">
        <f>(Inputs!$F$95/100*Inputs!$F$96/100)*BE63*Time!BE25/Inputs!$F$248</f>
        <v/>
      </c>
      <c r="BF108" s="13">
        <f>(Inputs!$F$95/100*Inputs!$F$96/100)*BF63*Time!BF25/Inputs!$F$248</f>
        <v/>
      </c>
      <c r="BG108" s="13">
        <f>(Inputs!$F$95/100*Inputs!$F$96/100)*BG63*Time!BG25/Inputs!$F$248</f>
        <v/>
      </c>
      <c r="BH108" s="13">
        <f>(Inputs!$F$95/100*Inputs!$F$96/100)*BH63*Time!BH25/Inputs!$F$248</f>
        <v/>
      </c>
      <c r="BI108" s="13">
        <f>(Inputs!$F$95/100*Inputs!$F$96/100)*BI63*Time!BI25/Inputs!$F$248</f>
        <v/>
      </c>
      <c r="BJ108" s="13">
        <f>(Inputs!$F$95/100*Inputs!$F$96/100)*BJ63*Time!BJ25/Inputs!$F$248</f>
        <v/>
      </c>
      <c r="BK108" s="13">
        <f>(Inputs!$F$95/100*Inputs!$F$96/100)*BK63*Time!BK25/Inputs!$F$248</f>
        <v/>
      </c>
      <c r="BL108" s="13">
        <f>(Inputs!$F$95/100*Inputs!$F$96/100)*BL63*Time!BL25/Inputs!$F$248</f>
        <v/>
      </c>
      <c r="BM108" s="13">
        <f>(Inputs!$F$95/100*Inputs!$F$96/100)*BM63*Time!BM25/Inputs!$F$248</f>
        <v/>
      </c>
      <c r="BN108" s="13">
        <f>(Inputs!$F$95/100*Inputs!$F$96/100)*BN63*Time!BN25/Inputs!$F$248</f>
        <v/>
      </c>
    </row>
    <row r="109">
      <c r="D109" t="inlineStr">
        <is>
          <t>ABDB PCG fee (bond)</t>
        </is>
      </c>
      <c r="E109" t="inlineStr">
        <is>
          <t>USD m</t>
        </is>
      </c>
      <c r="G109" s="13">
        <f>SUM(J109:BN109)</f>
        <v/>
      </c>
      <c r="J109" s="13">
        <f>IF(I101&gt;0,Inputs!$F$276/100*Time!J24*J91*Inputs!$F$275/I101,0)</f>
        <v/>
      </c>
      <c r="K109" s="13">
        <f>IF(J101&gt;0,Inputs!$F$276/100*Time!K24*K91*Inputs!$F$275/J101,0)</f>
        <v/>
      </c>
      <c r="L109" s="13">
        <f>IF(K101&gt;0,Inputs!$F$276/100*Time!L24*L91*Inputs!$F$275/K101,0)</f>
        <v/>
      </c>
      <c r="M109" s="13">
        <f>IF(L101&gt;0,Inputs!$F$276/100*Time!M24*M91*Inputs!$F$275/L101,0)</f>
        <v/>
      </c>
      <c r="N109" s="13">
        <f>IF(M101&gt;0,Inputs!$F$276/100*Time!N24*N91*Inputs!$F$275/M101,0)</f>
        <v/>
      </c>
      <c r="O109" s="13">
        <f>IF(N101&gt;0,Inputs!$F$276/100*Time!O24*O91*Inputs!$F$275/N101,0)</f>
        <v/>
      </c>
      <c r="P109" s="13">
        <f>IF(O101&gt;0,Inputs!$F$276/100*Time!P24*P91*Inputs!$F$275/O101,0)</f>
        <v/>
      </c>
      <c r="Q109" s="13">
        <f>IF(P101&gt;0,Inputs!$F$276/100*Time!Q24*Q91*Inputs!$F$275/P101,0)</f>
        <v/>
      </c>
      <c r="R109" s="13">
        <f>IF(Q101&gt;0,Inputs!$F$276/100*Time!R24*R91*Inputs!$F$275/Q101,0)</f>
        <v/>
      </c>
      <c r="S109" s="13">
        <f>IF(R101&gt;0,Inputs!$F$276/100*Time!S24*S91*Inputs!$F$275/R101,0)</f>
        <v/>
      </c>
      <c r="T109" s="13">
        <f>IF(S101&gt;0,Inputs!$F$276/100*Time!T24*T91*Inputs!$F$275/S101,0)</f>
        <v/>
      </c>
      <c r="U109" s="13">
        <f>IF(T101&gt;0,Inputs!$F$276/100*Time!U24*U91*Inputs!$F$275/T101,0)</f>
        <v/>
      </c>
      <c r="V109" s="13">
        <f>IF(U101&gt;0,Inputs!$F$276/100*Time!V24*V91*Inputs!$F$275/U101,0)</f>
        <v/>
      </c>
      <c r="W109" s="13">
        <f>IF(V101&gt;0,Inputs!$F$276/100*Time!W24*W91*Inputs!$F$275/V101,0)</f>
        <v/>
      </c>
      <c r="X109" s="13">
        <f>IF(W101&gt;0,Inputs!$F$276/100*Time!X24*X91*Inputs!$F$275/W101,0)</f>
        <v/>
      </c>
      <c r="Y109" s="13">
        <f>IF(X101&gt;0,Inputs!$F$276/100*Time!Y24*Y91*Inputs!$F$275/X101,0)</f>
        <v/>
      </c>
      <c r="Z109" s="13">
        <f>IF(Y101&gt;0,Inputs!$F$276/100*Time!Z24*Z91*Inputs!$F$275/Y101,0)</f>
        <v/>
      </c>
      <c r="AA109" s="13">
        <f>IF(Z101&gt;0,Inputs!$F$276/100*Time!AA24*AA91*Inputs!$F$275/Z101,0)</f>
        <v/>
      </c>
      <c r="AB109" s="13">
        <f>IF(AA101&gt;0,Inputs!$F$276/100*Time!AB24*AB91*Inputs!$F$275/AA101,0)</f>
        <v/>
      </c>
      <c r="AC109" s="13">
        <f>IF(AB101&gt;0,Inputs!$F$276/100*Time!AC24*AC91*Inputs!$F$275/AB101,0)</f>
        <v/>
      </c>
      <c r="AD109" s="13">
        <f>IF(AC101&gt;0,Inputs!$F$276/100*Time!AD24*AD91*Inputs!$F$275/AC101,0)</f>
        <v/>
      </c>
      <c r="AE109" s="13">
        <f>IF(AD101&gt;0,Inputs!$F$276/100*Time!AE24*AE91*Inputs!$F$275/AD101,0)</f>
        <v/>
      </c>
      <c r="AF109" s="13">
        <f>IF(AE101&gt;0,Inputs!$F$276/100*Time!AF24*AF91*Inputs!$F$275/AE101,0)</f>
        <v/>
      </c>
      <c r="AG109" s="13">
        <f>IF(AF101&gt;0,Inputs!$F$276/100*Time!AG24*AG91*Inputs!$F$275/AF101,0)</f>
        <v/>
      </c>
      <c r="AH109" s="13">
        <f>IF(AG101&gt;0,Inputs!$F$276/100*Time!AH24*AH91*Inputs!$F$275/AG101,0)</f>
        <v/>
      </c>
      <c r="AI109" s="13">
        <f>IF(AH101&gt;0,Inputs!$F$276/100*Time!AI24*AI91*Inputs!$F$275/AH101,0)</f>
        <v/>
      </c>
      <c r="AJ109" s="13">
        <f>IF(AI101&gt;0,Inputs!$F$276/100*Time!AJ24*AJ91*Inputs!$F$275/AI101,0)</f>
        <v/>
      </c>
      <c r="AK109" s="13">
        <f>IF(AJ101&gt;0,Inputs!$F$276/100*Time!AK24*AK91*Inputs!$F$275/AJ101,0)</f>
        <v/>
      </c>
      <c r="AL109" s="13">
        <f>IF(AK101&gt;0,Inputs!$F$276/100*Time!AL24*AL91*Inputs!$F$275/AK101,0)</f>
        <v/>
      </c>
      <c r="AM109" s="13">
        <f>IF(AL101&gt;0,Inputs!$F$276/100*Time!AM24*AM91*Inputs!$F$275/AL101,0)</f>
        <v/>
      </c>
      <c r="AN109" s="13">
        <f>IF(AM101&gt;0,Inputs!$F$276/100*Time!AN24*AN91*Inputs!$F$275/AM101,0)</f>
        <v/>
      </c>
      <c r="AO109" s="13">
        <f>IF(AN101&gt;0,Inputs!$F$276/100*Time!AO24*AO91*Inputs!$F$275/AN101,0)</f>
        <v/>
      </c>
      <c r="AP109" s="13">
        <f>IF(AO101&gt;0,Inputs!$F$276/100*Time!AP24*AP91*Inputs!$F$275/AO101,0)</f>
        <v/>
      </c>
      <c r="AQ109" s="13">
        <f>IF(AP101&gt;0,Inputs!$F$276/100*Time!AQ24*AQ91*Inputs!$F$275/AP101,0)</f>
        <v/>
      </c>
      <c r="AR109" s="13">
        <f>IF(AQ101&gt;0,Inputs!$F$276/100*Time!AR24*AR91*Inputs!$F$275/AQ101,0)</f>
        <v/>
      </c>
      <c r="AS109" s="13">
        <f>IF(AR101&gt;0,Inputs!$F$276/100*Time!AS24*AS91*Inputs!$F$275/AR101,0)</f>
        <v/>
      </c>
      <c r="AT109" s="13">
        <f>IF(AS101&gt;0,Inputs!$F$276/100*Time!AT24*AT91*Inputs!$F$275/AS101,0)</f>
        <v/>
      </c>
      <c r="AU109" s="13">
        <f>IF(AT101&gt;0,Inputs!$F$276/100*Time!AU24*AU91*Inputs!$F$275/AT101,0)</f>
        <v/>
      </c>
      <c r="AV109" s="13">
        <f>IF(AU101&gt;0,Inputs!$F$276/100*Time!AV24*AV91*Inputs!$F$275/AU101,0)</f>
        <v/>
      </c>
      <c r="AW109" s="13">
        <f>IF(AV101&gt;0,Inputs!$F$276/100*Time!AW24*AW91*Inputs!$F$275/AV101,0)</f>
        <v/>
      </c>
      <c r="AX109" s="13">
        <f>IF(AW101&gt;0,Inputs!$F$276/100*Time!AX24*AX91*Inputs!$F$275/AW101,0)</f>
        <v/>
      </c>
      <c r="AY109" s="13">
        <f>IF(AX101&gt;0,Inputs!$F$276/100*Time!AY24*AY91*Inputs!$F$275/AX101,0)</f>
        <v/>
      </c>
      <c r="AZ109" s="13">
        <f>IF(AY101&gt;0,Inputs!$F$276/100*Time!AZ24*AZ91*Inputs!$F$275/AY101,0)</f>
        <v/>
      </c>
      <c r="BA109" s="13">
        <f>IF(AZ101&gt;0,Inputs!$F$276/100*Time!BA24*BA91*Inputs!$F$275/AZ101,0)</f>
        <v/>
      </c>
      <c r="BB109" s="13">
        <f>IF(BA101&gt;0,Inputs!$F$276/100*Time!BB24*BB91*Inputs!$F$275/BA101,0)</f>
        <v/>
      </c>
      <c r="BC109" s="13">
        <f>IF(BB101&gt;0,Inputs!$F$276/100*Time!BC24*BC91*Inputs!$F$275/BB101,0)</f>
        <v/>
      </c>
      <c r="BD109" s="13">
        <f>IF(BC101&gt;0,Inputs!$F$276/100*Time!BD24*BD91*Inputs!$F$275/BC101,0)</f>
        <v/>
      </c>
      <c r="BE109" s="13">
        <f>IF(BD101&gt;0,Inputs!$F$276/100*Time!BE24*BE91*Inputs!$F$275/BD101,0)</f>
        <v/>
      </c>
      <c r="BF109" s="13">
        <f>IF(BE101&gt;0,Inputs!$F$276/100*Time!BF24*BF91*Inputs!$F$275/BE101,0)</f>
        <v/>
      </c>
      <c r="BG109" s="13">
        <f>IF(BF101&gt;0,Inputs!$F$276/100*Time!BG24*BG91*Inputs!$F$275/BF101,0)</f>
        <v/>
      </c>
      <c r="BH109" s="13">
        <f>IF(BG101&gt;0,Inputs!$F$276/100*Time!BH24*BH91*Inputs!$F$275/BG101,0)</f>
        <v/>
      </c>
      <c r="BI109" s="13">
        <f>IF(BH101&gt;0,Inputs!$F$276/100*Time!BI24*BI91*Inputs!$F$275/BH101,0)</f>
        <v/>
      </c>
      <c r="BJ109" s="13">
        <f>IF(BI101&gt;0,Inputs!$F$276/100*Time!BJ24*BJ91*Inputs!$F$275/BI101,0)</f>
        <v/>
      </c>
      <c r="BK109" s="13">
        <f>IF(BJ101&gt;0,Inputs!$F$276/100*Time!BK24*BK91*Inputs!$F$275/BJ101,0)</f>
        <v/>
      </c>
      <c r="BL109" s="13">
        <f>IF(BK101&gt;0,Inputs!$F$276/100*Time!BL24*BL91*Inputs!$F$275/BK101,0)</f>
        <v/>
      </c>
      <c r="BM109" s="13">
        <f>IF(BL101&gt;0,Inputs!$F$276/100*Time!BM24*BM91*Inputs!$F$275/BL101,0)</f>
        <v/>
      </c>
      <c r="BN109" s="13">
        <f>IF(BM101&gt;0,Inputs!$F$276/100*Time!BN24*BN91*Inputs!$F$275/BM101,0)</f>
        <v/>
      </c>
    </row>
    <row r="110">
      <c r="D110" t="inlineStr">
        <is>
          <t>Waiver fee</t>
        </is>
      </c>
      <c r="E110" t="inlineStr">
        <is>
          <t>USD m</t>
        </is>
      </c>
      <c r="G110" s="13">
        <f>SUM(J110:BN110)</f>
        <v/>
      </c>
      <c r="J110" s="13">
        <f>Time!J43*Inputs!$F$268/100*(J21+J35+J49+J63+J77)</f>
        <v/>
      </c>
      <c r="K110" s="13">
        <f>Time!K43*Inputs!$F$268/100*(K21+K35+K49+K63+K77)</f>
        <v/>
      </c>
      <c r="L110" s="13">
        <f>Time!L43*Inputs!$F$268/100*(L21+L35+L49+L63+L77)</f>
        <v/>
      </c>
      <c r="M110" s="13">
        <f>Time!M43*Inputs!$F$268/100*(M21+M35+M49+M63+M77)</f>
        <v/>
      </c>
      <c r="N110" s="13">
        <f>Time!N43*Inputs!$F$268/100*(N21+N35+N49+N63+N77)</f>
        <v/>
      </c>
      <c r="O110" s="13">
        <f>Time!O43*Inputs!$F$268/100*(O21+O35+O49+O63+O77)</f>
        <v/>
      </c>
      <c r="P110" s="13">
        <f>Time!P43*Inputs!$F$268/100*(P21+P35+P49+P63+P77)</f>
        <v/>
      </c>
      <c r="Q110" s="13">
        <f>Time!Q43*Inputs!$F$268/100*(Q21+Q35+Q49+Q63+Q77)</f>
        <v/>
      </c>
      <c r="R110" s="13">
        <f>Time!R43*Inputs!$F$268/100*(R21+R35+R49+R63+R77)</f>
        <v/>
      </c>
      <c r="S110" s="13">
        <f>Time!S43*Inputs!$F$268/100*(S21+S35+S49+S63+S77)</f>
        <v/>
      </c>
      <c r="T110" s="13">
        <f>Time!T43*Inputs!$F$268/100*(T21+T35+T49+T63+T77)</f>
        <v/>
      </c>
      <c r="U110" s="13">
        <f>Time!U43*Inputs!$F$268/100*(U21+U35+U49+U63+U77)</f>
        <v/>
      </c>
      <c r="V110" s="13">
        <f>Time!V43*Inputs!$F$268/100*(V21+V35+V49+V63+V77)</f>
        <v/>
      </c>
      <c r="W110" s="13">
        <f>Time!W43*Inputs!$F$268/100*(W21+W35+W49+W63+W77)</f>
        <v/>
      </c>
      <c r="X110" s="13">
        <f>Time!X43*Inputs!$F$268/100*(X21+X35+X49+X63+X77)</f>
        <v/>
      </c>
      <c r="Y110" s="13">
        <f>Time!Y43*Inputs!$F$268/100*(Y21+Y35+Y49+Y63+Y77)</f>
        <v/>
      </c>
      <c r="Z110" s="13">
        <f>Time!Z43*Inputs!$F$268/100*(Z21+Z35+Z49+Z63+Z77)</f>
        <v/>
      </c>
      <c r="AA110" s="13">
        <f>Time!AA43*Inputs!$F$268/100*(AA21+AA35+AA49+AA63+AA77)</f>
        <v/>
      </c>
      <c r="AB110" s="13">
        <f>Time!AB43*Inputs!$F$268/100*(AB21+AB35+AB49+AB63+AB77)</f>
        <v/>
      </c>
      <c r="AC110" s="13">
        <f>Time!AC43*Inputs!$F$268/100*(AC21+AC35+AC49+AC63+AC77)</f>
        <v/>
      </c>
      <c r="AD110" s="13">
        <f>Time!AD43*Inputs!$F$268/100*(AD21+AD35+AD49+AD63+AD77)</f>
        <v/>
      </c>
      <c r="AE110" s="13">
        <f>Time!AE43*Inputs!$F$268/100*(AE21+AE35+AE49+AE63+AE77)</f>
        <v/>
      </c>
      <c r="AF110" s="13">
        <f>Time!AF43*Inputs!$F$268/100*(AF21+AF35+AF49+AF63+AF77)</f>
        <v/>
      </c>
      <c r="AG110" s="13">
        <f>Time!AG43*Inputs!$F$268/100*(AG21+AG35+AG49+AG63+AG77)</f>
        <v/>
      </c>
      <c r="AH110" s="13">
        <f>Time!AH43*Inputs!$F$268/100*(AH21+AH35+AH49+AH63+AH77)</f>
        <v/>
      </c>
      <c r="AI110" s="13">
        <f>Time!AI43*Inputs!$F$268/100*(AI21+AI35+AI49+AI63+AI77)</f>
        <v/>
      </c>
      <c r="AJ110" s="13">
        <f>Time!AJ43*Inputs!$F$268/100*(AJ21+AJ35+AJ49+AJ63+AJ77)</f>
        <v/>
      </c>
      <c r="AK110" s="13">
        <f>Time!AK43*Inputs!$F$268/100*(AK21+AK35+AK49+AK63+AK77)</f>
        <v/>
      </c>
      <c r="AL110" s="13">
        <f>Time!AL43*Inputs!$F$268/100*(AL21+AL35+AL49+AL63+AL77)</f>
        <v/>
      </c>
      <c r="AM110" s="13">
        <f>Time!AM43*Inputs!$F$268/100*(AM21+AM35+AM49+AM63+AM77)</f>
        <v/>
      </c>
      <c r="AN110" s="13">
        <f>Time!AN43*Inputs!$F$268/100*(AN21+AN35+AN49+AN63+AN77)</f>
        <v/>
      </c>
      <c r="AO110" s="13">
        <f>Time!AO43*Inputs!$F$268/100*(AO21+AO35+AO49+AO63+AO77)</f>
        <v/>
      </c>
      <c r="AP110" s="13">
        <f>Time!AP43*Inputs!$F$268/100*(AP21+AP35+AP49+AP63+AP77)</f>
        <v/>
      </c>
      <c r="AQ110" s="13">
        <f>Time!AQ43*Inputs!$F$268/100*(AQ21+AQ35+AQ49+AQ63+AQ77)</f>
        <v/>
      </c>
      <c r="AR110" s="13">
        <f>Time!AR43*Inputs!$F$268/100*(AR21+AR35+AR49+AR63+AR77)</f>
        <v/>
      </c>
      <c r="AS110" s="13">
        <f>Time!AS43*Inputs!$F$268/100*(AS21+AS35+AS49+AS63+AS77)</f>
        <v/>
      </c>
      <c r="AT110" s="13">
        <f>Time!AT43*Inputs!$F$268/100*(AT21+AT35+AT49+AT63+AT77)</f>
        <v/>
      </c>
      <c r="AU110" s="13">
        <f>Time!AU43*Inputs!$F$268/100*(AU21+AU35+AU49+AU63+AU77)</f>
        <v/>
      </c>
      <c r="AV110" s="13">
        <f>Time!AV43*Inputs!$F$268/100*(AV21+AV35+AV49+AV63+AV77)</f>
        <v/>
      </c>
      <c r="AW110" s="13">
        <f>Time!AW43*Inputs!$F$268/100*(AW21+AW35+AW49+AW63+AW77)</f>
        <v/>
      </c>
      <c r="AX110" s="13">
        <f>Time!AX43*Inputs!$F$268/100*(AX21+AX35+AX49+AX63+AX77)</f>
        <v/>
      </c>
      <c r="AY110" s="13">
        <f>Time!AY43*Inputs!$F$268/100*(AY21+AY35+AY49+AY63+AY77)</f>
        <v/>
      </c>
      <c r="AZ110" s="13">
        <f>Time!AZ43*Inputs!$F$268/100*(AZ21+AZ35+AZ49+AZ63+AZ77)</f>
        <v/>
      </c>
      <c r="BA110" s="13">
        <f>Time!BA43*Inputs!$F$268/100*(BA21+BA35+BA49+BA63+BA77)</f>
        <v/>
      </c>
      <c r="BB110" s="13">
        <f>Time!BB43*Inputs!$F$268/100*(BB21+BB35+BB49+BB63+BB77)</f>
        <v/>
      </c>
      <c r="BC110" s="13">
        <f>Time!BC43*Inputs!$F$268/100*(BC21+BC35+BC49+BC63+BC77)</f>
        <v/>
      </c>
      <c r="BD110" s="13">
        <f>Time!BD43*Inputs!$F$268/100*(BD21+BD35+BD49+BD63+BD77)</f>
        <v/>
      </c>
      <c r="BE110" s="13">
        <f>Time!BE43*Inputs!$F$268/100*(BE21+BE35+BE49+BE63+BE77)</f>
        <v/>
      </c>
      <c r="BF110" s="13">
        <f>Time!BF43*Inputs!$F$268/100*(BF21+BF35+BF49+BF63+BF77)</f>
        <v/>
      </c>
      <c r="BG110" s="13">
        <f>Time!BG43*Inputs!$F$268/100*(BG21+BG35+BG49+BG63+BG77)</f>
        <v/>
      </c>
      <c r="BH110" s="13">
        <f>Time!BH43*Inputs!$F$268/100*(BH21+BH35+BH49+BH63+BH77)</f>
        <v/>
      </c>
      <c r="BI110" s="13">
        <f>Time!BI43*Inputs!$F$268/100*(BI21+BI35+BI49+BI63+BI77)</f>
        <v/>
      </c>
      <c r="BJ110" s="13">
        <f>Time!BJ43*Inputs!$F$268/100*(BJ21+BJ35+BJ49+BJ63+BJ77)</f>
        <v/>
      </c>
      <c r="BK110" s="13">
        <f>Time!BK43*Inputs!$F$268/100*(BK21+BK35+BK49+BK63+BK77)</f>
        <v/>
      </c>
      <c r="BL110" s="13">
        <f>Time!BL43*Inputs!$F$268/100*(BL21+BL35+BL49+BL63+BL77)</f>
        <v/>
      </c>
      <c r="BM110" s="13">
        <f>Time!BM43*Inputs!$F$268/100*(BM21+BM35+BM49+BM63+BM77)</f>
        <v/>
      </c>
      <c r="BN110" s="13">
        <f>Time!BN43*Inputs!$F$268/100*(BN21+BN35+BN49+BN63+BN77)</f>
        <v/>
      </c>
    </row>
    <row r="111">
      <c r="D111" t="inlineStr">
        <is>
          <t>Interest, all tranches</t>
        </is>
      </c>
      <c r="E111" t="inlineStr">
        <is>
          <t>USD m</t>
        </is>
      </c>
      <c r="G111" s="13">
        <f>SUM(J111:BN111)</f>
        <v/>
      </c>
      <c r="J111" s="13">
        <f>J23+J37+J51+J65+J79+J92</f>
        <v/>
      </c>
      <c r="K111" s="13">
        <f>K23+K37+K51+K65+K79+K92</f>
        <v/>
      </c>
      <c r="L111" s="13">
        <f>L23+L37+L51+L65+L79+L92</f>
        <v/>
      </c>
      <c r="M111" s="13">
        <f>M23+M37+M51+M65+M79+M92</f>
        <v/>
      </c>
      <c r="N111" s="13">
        <f>N23+N37+N51+N65+N79+N92</f>
        <v/>
      </c>
      <c r="O111" s="13">
        <f>O23+O37+O51+O65+O79+O92</f>
        <v/>
      </c>
      <c r="P111" s="13">
        <f>P23+P37+P51+P65+P79+P92</f>
        <v/>
      </c>
      <c r="Q111" s="13">
        <f>Q23+Q37+Q51+Q65+Q79+Q92</f>
        <v/>
      </c>
      <c r="R111" s="13">
        <f>R23+R37+R51+R65+R79+R92</f>
        <v/>
      </c>
      <c r="S111" s="13">
        <f>S23+S37+S51+S65+S79+S92</f>
        <v/>
      </c>
      <c r="T111" s="13">
        <f>T23+T37+T51+T65+T79+T92</f>
        <v/>
      </c>
      <c r="U111" s="13">
        <f>U23+U37+U51+U65+U79+U92</f>
        <v/>
      </c>
      <c r="V111" s="13">
        <f>V23+V37+V51+V65+V79+V92</f>
        <v/>
      </c>
      <c r="W111" s="13">
        <f>W23+W37+W51+W65+W79+W92</f>
        <v/>
      </c>
      <c r="X111" s="13">
        <f>X23+X37+X51+X65+X79+X92</f>
        <v/>
      </c>
      <c r="Y111" s="13">
        <f>Y23+Y37+Y51+Y65+Y79+Y92</f>
        <v/>
      </c>
      <c r="Z111" s="13">
        <f>Z23+Z37+Z51+Z65+Z79+Z92</f>
        <v/>
      </c>
      <c r="AA111" s="13">
        <f>AA23+AA37+AA51+AA65+AA79+AA92</f>
        <v/>
      </c>
      <c r="AB111" s="13">
        <f>AB23+AB37+AB51+AB65+AB79+AB92</f>
        <v/>
      </c>
      <c r="AC111" s="13">
        <f>AC23+AC37+AC51+AC65+AC79+AC92</f>
        <v/>
      </c>
      <c r="AD111" s="13">
        <f>AD23+AD37+AD51+AD65+AD79+AD92</f>
        <v/>
      </c>
      <c r="AE111" s="13">
        <f>AE23+AE37+AE51+AE65+AE79+AE92</f>
        <v/>
      </c>
      <c r="AF111" s="13">
        <f>AF23+AF37+AF51+AF65+AF79+AF92</f>
        <v/>
      </c>
      <c r="AG111" s="13">
        <f>AG23+AG37+AG51+AG65+AG79+AG92</f>
        <v/>
      </c>
      <c r="AH111" s="13">
        <f>AH23+AH37+AH51+AH65+AH79+AH92</f>
        <v/>
      </c>
      <c r="AI111" s="13">
        <f>AI23+AI37+AI51+AI65+AI79+AI92</f>
        <v/>
      </c>
      <c r="AJ111" s="13">
        <f>AJ23+AJ37+AJ51+AJ65+AJ79+AJ92</f>
        <v/>
      </c>
      <c r="AK111" s="13">
        <f>AK23+AK37+AK51+AK65+AK79+AK92</f>
        <v/>
      </c>
      <c r="AL111" s="13">
        <f>AL23+AL37+AL51+AL65+AL79+AL92</f>
        <v/>
      </c>
      <c r="AM111" s="13">
        <f>AM23+AM37+AM51+AM65+AM79+AM92</f>
        <v/>
      </c>
      <c r="AN111" s="13">
        <f>AN23+AN37+AN51+AN65+AN79+AN92</f>
        <v/>
      </c>
      <c r="AO111" s="13">
        <f>AO23+AO37+AO51+AO65+AO79+AO92</f>
        <v/>
      </c>
      <c r="AP111" s="13">
        <f>AP23+AP37+AP51+AP65+AP79+AP92</f>
        <v/>
      </c>
      <c r="AQ111" s="13">
        <f>AQ23+AQ37+AQ51+AQ65+AQ79+AQ92</f>
        <v/>
      </c>
      <c r="AR111" s="13">
        <f>AR23+AR37+AR51+AR65+AR79+AR92</f>
        <v/>
      </c>
      <c r="AS111" s="13">
        <f>AS23+AS37+AS51+AS65+AS79+AS92</f>
        <v/>
      </c>
      <c r="AT111" s="13">
        <f>AT23+AT37+AT51+AT65+AT79+AT92</f>
        <v/>
      </c>
      <c r="AU111" s="13">
        <f>AU23+AU37+AU51+AU65+AU79+AU92</f>
        <v/>
      </c>
      <c r="AV111" s="13">
        <f>AV23+AV37+AV51+AV65+AV79+AV92</f>
        <v/>
      </c>
      <c r="AW111" s="13">
        <f>AW23+AW37+AW51+AW65+AW79+AW92</f>
        <v/>
      </c>
      <c r="AX111" s="13">
        <f>AX23+AX37+AX51+AX65+AX79+AX92</f>
        <v/>
      </c>
      <c r="AY111" s="13">
        <f>AY23+AY37+AY51+AY65+AY79+AY92</f>
        <v/>
      </c>
      <c r="AZ111" s="13">
        <f>AZ23+AZ37+AZ51+AZ65+AZ79+AZ92</f>
        <v/>
      </c>
      <c r="BA111" s="13">
        <f>BA23+BA37+BA51+BA65+BA79+BA92</f>
        <v/>
      </c>
      <c r="BB111" s="13">
        <f>BB23+BB37+BB51+BB65+BB79+BB92</f>
        <v/>
      </c>
      <c r="BC111" s="13">
        <f>BC23+BC37+BC51+BC65+BC79+BC92</f>
        <v/>
      </c>
      <c r="BD111" s="13">
        <f>BD23+BD37+BD51+BD65+BD79+BD92</f>
        <v/>
      </c>
      <c r="BE111" s="13">
        <f>BE23+BE37+BE51+BE65+BE79+BE92</f>
        <v/>
      </c>
      <c r="BF111" s="13">
        <f>BF23+BF37+BF51+BF65+BF79+BF92</f>
        <v/>
      </c>
      <c r="BG111" s="13">
        <f>BG23+BG37+BG51+BG65+BG79+BG92</f>
        <v/>
      </c>
      <c r="BH111" s="13">
        <f>BH23+BH37+BH51+BH65+BH79+BH92</f>
        <v/>
      </c>
      <c r="BI111" s="13">
        <f>BI23+BI37+BI51+BI65+BI79+BI92</f>
        <v/>
      </c>
      <c r="BJ111" s="13">
        <f>BJ23+BJ37+BJ51+BJ65+BJ79+BJ92</f>
        <v/>
      </c>
      <c r="BK111" s="13">
        <f>BK23+BK37+BK51+BK65+BK79+BK92</f>
        <v/>
      </c>
      <c r="BL111" s="13">
        <f>BL23+BL37+BL51+BL65+BL79+BL92</f>
        <v/>
      </c>
      <c r="BM111" s="13">
        <f>BM23+BM37+BM51+BM65+BM79+BM92</f>
        <v/>
      </c>
      <c r="BN111" s="13">
        <f>BN23+BN37+BN51+BN65+BN79+BN92</f>
        <v/>
      </c>
    </row>
    <row r="112">
      <c r="D112" t="inlineStr">
        <is>
          <t>Senior financing costs (interest, swap, PRI, PCG)</t>
        </is>
      </c>
      <c r="E112" t="inlineStr">
        <is>
          <t>USD m</t>
        </is>
      </c>
      <c r="G112" s="13">
        <f>SUM(J112:BN112)</f>
        <v/>
      </c>
      <c r="J112" s="13">
        <f>J111+J107+J108+J109</f>
        <v/>
      </c>
      <c r="K112" s="13">
        <f>K111+K107+K108+K109</f>
        <v/>
      </c>
      <c r="L112" s="13">
        <f>L111+L107+L108+L109</f>
        <v/>
      </c>
      <c r="M112" s="13">
        <f>M111+M107+M108+M109</f>
        <v/>
      </c>
      <c r="N112" s="13">
        <f>N111+N107+N108+N109</f>
        <v/>
      </c>
      <c r="O112" s="13">
        <f>O111+O107+O108+O109</f>
        <v/>
      </c>
      <c r="P112" s="13">
        <f>P111+P107+P108+P109</f>
        <v/>
      </c>
      <c r="Q112" s="13">
        <f>Q111+Q107+Q108+Q109</f>
        <v/>
      </c>
      <c r="R112" s="13">
        <f>R111+R107+R108+R109</f>
        <v/>
      </c>
      <c r="S112" s="13">
        <f>S111+S107+S108+S109</f>
        <v/>
      </c>
      <c r="T112" s="13">
        <f>T111+T107+T108+T109</f>
        <v/>
      </c>
      <c r="U112" s="13">
        <f>U111+U107+U108+U109</f>
        <v/>
      </c>
      <c r="V112" s="13">
        <f>V111+V107+V108+V109</f>
        <v/>
      </c>
      <c r="W112" s="13">
        <f>W111+W107+W108+W109</f>
        <v/>
      </c>
      <c r="X112" s="13">
        <f>X111+X107+X108+X109</f>
        <v/>
      </c>
      <c r="Y112" s="13">
        <f>Y111+Y107+Y108+Y109</f>
        <v/>
      </c>
      <c r="Z112" s="13">
        <f>Z111+Z107+Z108+Z109</f>
        <v/>
      </c>
      <c r="AA112" s="13">
        <f>AA111+AA107+AA108+AA109</f>
        <v/>
      </c>
      <c r="AB112" s="13">
        <f>AB111+AB107+AB108+AB109</f>
        <v/>
      </c>
      <c r="AC112" s="13">
        <f>AC111+AC107+AC108+AC109</f>
        <v/>
      </c>
      <c r="AD112" s="13">
        <f>AD111+AD107+AD108+AD109</f>
        <v/>
      </c>
      <c r="AE112" s="13">
        <f>AE111+AE107+AE108+AE109</f>
        <v/>
      </c>
      <c r="AF112" s="13">
        <f>AF111+AF107+AF108+AF109</f>
        <v/>
      </c>
      <c r="AG112" s="13">
        <f>AG111+AG107+AG108+AG109</f>
        <v/>
      </c>
      <c r="AH112" s="13">
        <f>AH111+AH107+AH108+AH109</f>
        <v/>
      </c>
      <c r="AI112" s="13">
        <f>AI111+AI107+AI108+AI109</f>
        <v/>
      </c>
      <c r="AJ112" s="13">
        <f>AJ111+AJ107+AJ108+AJ109</f>
        <v/>
      </c>
      <c r="AK112" s="13">
        <f>AK111+AK107+AK108+AK109</f>
        <v/>
      </c>
      <c r="AL112" s="13">
        <f>AL111+AL107+AL108+AL109</f>
        <v/>
      </c>
      <c r="AM112" s="13">
        <f>AM111+AM107+AM108+AM109</f>
        <v/>
      </c>
      <c r="AN112" s="13">
        <f>AN111+AN107+AN108+AN109</f>
        <v/>
      </c>
      <c r="AO112" s="13">
        <f>AO111+AO107+AO108+AO109</f>
        <v/>
      </c>
      <c r="AP112" s="13">
        <f>AP111+AP107+AP108+AP109</f>
        <v/>
      </c>
      <c r="AQ112" s="13">
        <f>AQ111+AQ107+AQ108+AQ109</f>
        <v/>
      </c>
      <c r="AR112" s="13">
        <f>AR111+AR107+AR108+AR109</f>
        <v/>
      </c>
      <c r="AS112" s="13">
        <f>AS111+AS107+AS108+AS109</f>
        <v/>
      </c>
      <c r="AT112" s="13">
        <f>AT111+AT107+AT108+AT109</f>
        <v/>
      </c>
      <c r="AU112" s="13">
        <f>AU111+AU107+AU108+AU109</f>
        <v/>
      </c>
      <c r="AV112" s="13">
        <f>AV111+AV107+AV108+AV109</f>
        <v/>
      </c>
      <c r="AW112" s="13">
        <f>AW111+AW107+AW108+AW109</f>
        <v/>
      </c>
      <c r="AX112" s="13">
        <f>AX111+AX107+AX108+AX109</f>
        <v/>
      </c>
      <c r="AY112" s="13">
        <f>AY111+AY107+AY108+AY109</f>
        <v/>
      </c>
      <c r="AZ112" s="13">
        <f>AZ111+AZ107+AZ108+AZ109</f>
        <v/>
      </c>
      <c r="BA112" s="13">
        <f>BA111+BA107+BA108+BA109</f>
        <v/>
      </c>
      <c r="BB112" s="13">
        <f>BB111+BB107+BB108+BB109</f>
        <v/>
      </c>
      <c r="BC112" s="13">
        <f>BC111+BC107+BC108+BC109</f>
        <v/>
      </c>
      <c r="BD112" s="13">
        <f>BD111+BD107+BD108+BD109</f>
        <v/>
      </c>
      <c r="BE112" s="13">
        <f>BE111+BE107+BE108+BE109</f>
        <v/>
      </c>
      <c r="BF112" s="13">
        <f>BF111+BF107+BF108+BF109</f>
        <v/>
      </c>
      <c r="BG112" s="13">
        <f>BG111+BG107+BG108+BG109</f>
        <v/>
      </c>
      <c r="BH112" s="13">
        <f>BH111+BH107+BH108+BH109</f>
        <v/>
      </c>
      <c r="BI112" s="13">
        <f>BI111+BI107+BI108+BI109</f>
        <v/>
      </c>
      <c r="BJ112" s="13">
        <f>BJ111+BJ107+BJ108+BJ109</f>
        <v/>
      </c>
      <c r="BK112" s="13">
        <f>BK111+BK107+BK108+BK109</f>
        <v/>
      </c>
      <c r="BL112" s="13">
        <f>BL111+BL107+BL108+BL109</f>
        <v/>
      </c>
      <c r="BM112" s="13">
        <f>BM111+BM107+BM108+BM109</f>
        <v/>
      </c>
      <c r="BN112" s="13">
        <f>BN111+BN107+BN108+BN109</f>
        <v/>
      </c>
    </row>
    <row r="113">
      <c r="D113" t="inlineStr">
        <is>
          <t>Principal paid, all tranches</t>
        </is>
      </c>
      <c r="E113" t="inlineStr">
        <is>
          <t>USD m</t>
        </is>
      </c>
      <c r="G113" s="13">
        <f>SUM(J113:BN113)</f>
        <v/>
      </c>
      <c r="J113" s="13">
        <f>J27+J41+J55+J69+J83+J93</f>
        <v/>
      </c>
      <c r="K113" s="13">
        <f>K27+K41+K55+K69+K83+K93</f>
        <v/>
      </c>
      <c r="L113" s="13">
        <f>L27+L41+L55+L69+L83+L93</f>
        <v/>
      </c>
      <c r="M113" s="13">
        <f>M27+M41+M55+M69+M83+M93</f>
        <v/>
      </c>
      <c r="N113" s="13">
        <f>N27+N41+N55+N69+N83+N93</f>
        <v/>
      </c>
      <c r="O113" s="13">
        <f>O27+O41+O55+O69+O83+O93</f>
        <v/>
      </c>
      <c r="P113" s="13">
        <f>P27+P41+P55+P69+P83+P93</f>
        <v/>
      </c>
      <c r="Q113" s="13">
        <f>Q27+Q41+Q55+Q69+Q83+Q93</f>
        <v/>
      </c>
      <c r="R113" s="13">
        <f>R27+R41+R55+R69+R83+R93</f>
        <v/>
      </c>
      <c r="S113" s="13">
        <f>S27+S41+S55+S69+S83+S93</f>
        <v/>
      </c>
      <c r="T113" s="13">
        <f>T27+T41+T55+T69+T83+T93</f>
        <v/>
      </c>
      <c r="U113" s="13">
        <f>U27+U41+U55+U69+U83+U93</f>
        <v/>
      </c>
      <c r="V113" s="13">
        <f>V27+V41+V55+V69+V83+V93</f>
        <v/>
      </c>
      <c r="W113" s="13">
        <f>W27+W41+W55+W69+W83+W93</f>
        <v/>
      </c>
      <c r="X113" s="13">
        <f>X27+X41+X55+X69+X83+X93</f>
        <v/>
      </c>
      <c r="Y113" s="13">
        <f>Y27+Y41+Y55+Y69+Y83+Y93</f>
        <v/>
      </c>
      <c r="Z113" s="13">
        <f>Z27+Z41+Z55+Z69+Z83+Z93</f>
        <v/>
      </c>
      <c r="AA113" s="13">
        <f>AA27+AA41+AA55+AA69+AA83+AA93</f>
        <v/>
      </c>
      <c r="AB113" s="13">
        <f>AB27+AB41+AB55+AB69+AB83+AB93</f>
        <v/>
      </c>
      <c r="AC113" s="13">
        <f>AC27+AC41+AC55+AC69+AC83+AC93</f>
        <v/>
      </c>
      <c r="AD113" s="13">
        <f>AD27+AD41+AD55+AD69+AD83+AD93</f>
        <v/>
      </c>
      <c r="AE113" s="13">
        <f>AE27+AE41+AE55+AE69+AE83+AE93</f>
        <v/>
      </c>
      <c r="AF113" s="13">
        <f>AF27+AF41+AF55+AF69+AF83+AF93</f>
        <v/>
      </c>
      <c r="AG113" s="13">
        <f>AG27+AG41+AG55+AG69+AG83+AG93</f>
        <v/>
      </c>
      <c r="AH113" s="13">
        <f>AH27+AH41+AH55+AH69+AH83+AH93</f>
        <v/>
      </c>
      <c r="AI113" s="13">
        <f>AI27+AI41+AI55+AI69+AI83+AI93</f>
        <v/>
      </c>
      <c r="AJ113" s="13">
        <f>AJ27+AJ41+AJ55+AJ69+AJ83+AJ93</f>
        <v/>
      </c>
      <c r="AK113" s="13">
        <f>AK27+AK41+AK55+AK69+AK83+AK93</f>
        <v/>
      </c>
      <c r="AL113" s="13">
        <f>AL27+AL41+AL55+AL69+AL83+AL93</f>
        <v/>
      </c>
      <c r="AM113" s="13">
        <f>AM27+AM41+AM55+AM69+AM83+AM93</f>
        <v/>
      </c>
      <c r="AN113" s="13">
        <f>AN27+AN41+AN55+AN69+AN83+AN93</f>
        <v/>
      </c>
      <c r="AO113" s="13">
        <f>AO27+AO41+AO55+AO69+AO83+AO93</f>
        <v/>
      </c>
      <c r="AP113" s="13">
        <f>AP27+AP41+AP55+AP69+AP83+AP93</f>
        <v/>
      </c>
      <c r="AQ113" s="13">
        <f>AQ27+AQ41+AQ55+AQ69+AQ83+AQ93</f>
        <v/>
      </c>
      <c r="AR113" s="13">
        <f>AR27+AR41+AR55+AR69+AR83+AR93</f>
        <v/>
      </c>
      <c r="AS113" s="13">
        <f>AS27+AS41+AS55+AS69+AS83+AS93</f>
        <v/>
      </c>
      <c r="AT113" s="13">
        <f>AT27+AT41+AT55+AT69+AT83+AT93</f>
        <v/>
      </c>
      <c r="AU113" s="13">
        <f>AU27+AU41+AU55+AU69+AU83+AU93</f>
        <v/>
      </c>
      <c r="AV113" s="13">
        <f>AV27+AV41+AV55+AV69+AV83+AV93</f>
        <v/>
      </c>
      <c r="AW113" s="13">
        <f>AW27+AW41+AW55+AW69+AW83+AW93</f>
        <v/>
      </c>
      <c r="AX113" s="13">
        <f>AX27+AX41+AX55+AX69+AX83+AX93</f>
        <v/>
      </c>
      <c r="AY113" s="13">
        <f>AY27+AY41+AY55+AY69+AY83+AY93</f>
        <v/>
      </c>
      <c r="AZ113" s="13">
        <f>AZ27+AZ41+AZ55+AZ69+AZ83+AZ93</f>
        <v/>
      </c>
      <c r="BA113" s="13">
        <f>BA27+BA41+BA55+BA69+BA83+BA93</f>
        <v/>
      </c>
      <c r="BB113" s="13">
        <f>BB27+BB41+BB55+BB69+BB83+BB93</f>
        <v/>
      </c>
      <c r="BC113" s="13">
        <f>BC27+BC41+BC55+BC69+BC83+BC93</f>
        <v/>
      </c>
      <c r="BD113" s="13">
        <f>BD27+BD41+BD55+BD69+BD83+BD93</f>
        <v/>
      </c>
      <c r="BE113" s="13">
        <f>BE27+BE41+BE55+BE69+BE83+BE93</f>
        <v/>
      </c>
      <c r="BF113" s="13">
        <f>BF27+BF41+BF55+BF69+BF83+BF93</f>
        <v/>
      </c>
      <c r="BG113" s="13">
        <f>BG27+BG41+BG55+BG69+BG83+BG93</f>
        <v/>
      </c>
      <c r="BH113" s="13">
        <f>BH27+BH41+BH55+BH69+BH83+BH93</f>
        <v/>
      </c>
      <c r="BI113" s="13">
        <f>BI27+BI41+BI55+BI69+BI83+BI93</f>
        <v/>
      </c>
      <c r="BJ113" s="13">
        <f>BJ27+BJ41+BJ55+BJ69+BJ83+BJ93</f>
        <v/>
      </c>
      <c r="BK113" s="13">
        <f>BK27+BK41+BK55+BK69+BK83+BK93</f>
        <v/>
      </c>
      <c r="BL113" s="13">
        <f>BL27+BL41+BL55+BL69+BL83+BL93</f>
        <v/>
      </c>
      <c r="BM113" s="13">
        <f>BM27+BM41+BM55+BM69+BM83+BM93</f>
        <v/>
      </c>
      <c r="BN113" s="13">
        <f>BN27+BN41+BN55+BN69+BN83+BN93</f>
        <v/>
      </c>
    </row>
    <row r="114">
      <c r="D114" t="inlineStr">
        <is>
          <t>Senior debt service</t>
        </is>
      </c>
      <c r="E114" t="inlineStr">
        <is>
          <t>USD m</t>
        </is>
      </c>
      <c r="G114" s="13">
        <f>SUM(J114:BN114)</f>
        <v/>
      </c>
      <c r="J114" s="13">
        <f>J112+J113</f>
        <v/>
      </c>
      <c r="K114" s="13">
        <f>K112+K113</f>
        <v/>
      </c>
      <c r="L114" s="13">
        <f>L112+L113</f>
        <v/>
      </c>
      <c r="M114" s="13">
        <f>M112+M113</f>
        <v/>
      </c>
      <c r="N114" s="13">
        <f>N112+N113</f>
        <v/>
      </c>
      <c r="O114" s="13">
        <f>O112+O113</f>
        <v/>
      </c>
      <c r="P114" s="13">
        <f>P112+P113</f>
        <v/>
      </c>
      <c r="Q114" s="13">
        <f>Q112+Q113</f>
        <v/>
      </c>
      <c r="R114" s="13">
        <f>R112+R113</f>
        <v/>
      </c>
      <c r="S114" s="13">
        <f>S112+S113</f>
        <v/>
      </c>
      <c r="T114" s="13">
        <f>T112+T113</f>
        <v/>
      </c>
      <c r="U114" s="13">
        <f>U112+U113</f>
        <v/>
      </c>
      <c r="V114" s="13">
        <f>V112+V113</f>
        <v/>
      </c>
      <c r="W114" s="13">
        <f>W112+W113</f>
        <v/>
      </c>
      <c r="X114" s="13">
        <f>X112+X113</f>
        <v/>
      </c>
      <c r="Y114" s="13">
        <f>Y112+Y113</f>
        <v/>
      </c>
      <c r="Z114" s="13">
        <f>Z112+Z113</f>
        <v/>
      </c>
      <c r="AA114" s="13">
        <f>AA112+AA113</f>
        <v/>
      </c>
      <c r="AB114" s="13">
        <f>AB112+AB113</f>
        <v/>
      </c>
      <c r="AC114" s="13">
        <f>AC112+AC113</f>
        <v/>
      </c>
      <c r="AD114" s="13">
        <f>AD112+AD113</f>
        <v/>
      </c>
      <c r="AE114" s="13">
        <f>AE112+AE113</f>
        <v/>
      </c>
      <c r="AF114" s="13">
        <f>AF112+AF113</f>
        <v/>
      </c>
      <c r="AG114" s="13">
        <f>AG112+AG113</f>
        <v/>
      </c>
      <c r="AH114" s="13">
        <f>AH112+AH113</f>
        <v/>
      </c>
      <c r="AI114" s="13">
        <f>AI112+AI113</f>
        <v/>
      </c>
      <c r="AJ114" s="13">
        <f>AJ112+AJ113</f>
        <v/>
      </c>
      <c r="AK114" s="13">
        <f>AK112+AK113</f>
        <v/>
      </c>
      <c r="AL114" s="13">
        <f>AL112+AL113</f>
        <v/>
      </c>
      <c r="AM114" s="13">
        <f>AM112+AM113</f>
        <v/>
      </c>
      <c r="AN114" s="13">
        <f>AN112+AN113</f>
        <v/>
      </c>
      <c r="AO114" s="13">
        <f>AO112+AO113</f>
        <v/>
      </c>
      <c r="AP114" s="13">
        <f>AP112+AP113</f>
        <v/>
      </c>
      <c r="AQ114" s="13">
        <f>AQ112+AQ113</f>
        <v/>
      </c>
      <c r="AR114" s="13">
        <f>AR112+AR113</f>
        <v/>
      </c>
      <c r="AS114" s="13">
        <f>AS112+AS113</f>
        <v/>
      </c>
      <c r="AT114" s="13">
        <f>AT112+AT113</f>
        <v/>
      </c>
      <c r="AU114" s="13">
        <f>AU112+AU113</f>
        <v/>
      </c>
      <c r="AV114" s="13">
        <f>AV112+AV113</f>
        <v/>
      </c>
      <c r="AW114" s="13">
        <f>AW112+AW113</f>
        <v/>
      </c>
      <c r="AX114" s="13">
        <f>AX112+AX113</f>
        <v/>
      </c>
      <c r="AY114" s="13">
        <f>AY112+AY113</f>
        <v/>
      </c>
      <c r="AZ114" s="13">
        <f>AZ112+AZ113</f>
        <v/>
      </c>
      <c r="BA114" s="13">
        <f>BA112+BA113</f>
        <v/>
      </c>
      <c r="BB114" s="13">
        <f>BB112+BB113</f>
        <v/>
      </c>
      <c r="BC114" s="13">
        <f>BC112+BC113</f>
        <v/>
      </c>
      <c r="BD114" s="13">
        <f>BD112+BD113</f>
        <v/>
      </c>
      <c r="BE114" s="13">
        <f>BE112+BE113</f>
        <v/>
      </c>
      <c r="BF114" s="13">
        <f>BF112+BF113</f>
        <v/>
      </c>
      <c r="BG114" s="13">
        <f>BG112+BG113</f>
        <v/>
      </c>
      <c r="BH114" s="13">
        <f>BH112+BH113</f>
        <v/>
      </c>
      <c r="BI114" s="13">
        <f>BI112+BI113</f>
        <v/>
      </c>
      <c r="BJ114" s="13">
        <f>BJ112+BJ113</f>
        <v/>
      </c>
      <c r="BK114" s="13">
        <f>BK112+BK113</f>
        <v/>
      </c>
      <c r="BL114" s="13">
        <f>BL112+BL113</f>
        <v/>
      </c>
      <c r="BM114" s="13">
        <f>BM112+BM113</f>
        <v/>
      </c>
      <c r="BN114" s="13">
        <f>BN112+BN113</f>
        <v/>
      </c>
    </row>
    <row r="115">
      <c r="D115" t="inlineStr">
        <is>
          <t>Senior debt outstanding, opening</t>
        </is>
      </c>
      <c r="E115" t="inlineStr">
        <is>
          <t>USD m</t>
        </is>
      </c>
      <c r="J115" s="13">
        <f>J21+J35+J49+J63+J77+J91</f>
        <v/>
      </c>
      <c r="K115" s="13">
        <f>K21+K35+K49+K63+K77+K91</f>
        <v/>
      </c>
      <c r="L115" s="13">
        <f>L21+L35+L49+L63+L77+L91</f>
        <v/>
      </c>
      <c r="M115" s="13">
        <f>M21+M35+M49+M63+M77+M91</f>
        <v/>
      </c>
      <c r="N115" s="13">
        <f>N21+N35+N49+N63+N77+N91</f>
        <v/>
      </c>
      <c r="O115" s="13">
        <f>O21+O35+O49+O63+O77+O91</f>
        <v/>
      </c>
      <c r="P115" s="13">
        <f>P21+P35+P49+P63+P77+P91</f>
        <v/>
      </c>
      <c r="Q115" s="13">
        <f>Q21+Q35+Q49+Q63+Q77+Q91</f>
        <v/>
      </c>
      <c r="R115" s="13">
        <f>R21+R35+R49+R63+R77+R91</f>
        <v/>
      </c>
      <c r="S115" s="13">
        <f>S21+S35+S49+S63+S77+S91</f>
        <v/>
      </c>
      <c r="T115" s="13">
        <f>T21+T35+T49+T63+T77+T91</f>
        <v/>
      </c>
      <c r="U115" s="13">
        <f>U21+U35+U49+U63+U77+U91</f>
        <v/>
      </c>
      <c r="V115" s="13">
        <f>V21+V35+V49+V63+V77+V91</f>
        <v/>
      </c>
      <c r="W115" s="13">
        <f>W21+W35+W49+W63+W77+W91</f>
        <v/>
      </c>
      <c r="X115" s="13">
        <f>X21+X35+X49+X63+X77+X91</f>
        <v/>
      </c>
      <c r="Y115" s="13">
        <f>Y21+Y35+Y49+Y63+Y77+Y91</f>
        <v/>
      </c>
      <c r="Z115" s="13">
        <f>Z21+Z35+Z49+Z63+Z77+Z91</f>
        <v/>
      </c>
      <c r="AA115" s="13">
        <f>AA21+AA35+AA49+AA63+AA77+AA91</f>
        <v/>
      </c>
      <c r="AB115" s="13">
        <f>AB21+AB35+AB49+AB63+AB77+AB91</f>
        <v/>
      </c>
      <c r="AC115" s="13">
        <f>AC21+AC35+AC49+AC63+AC77+AC91</f>
        <v/>
      </c>
      <c r="AD115" s="13">
        <f>AD21+AD35+AD49+AD63+AD77+AD91</f>
        <v/>
      </c>
      <c r="AE115" s="13">
        <f>AE21+AE35+AE49+AE63+AE77+AE91</f>
        <v/>
      </c>
      <c r="AF115" s="13">
        <f>AF21+AF35+AF49+AF63+AF77+AF91</f>
        <v/>
      </c>
      <c r="AG115" s="13">
        <f>AG21+AG35+AG49+AG63+AG77+AG91</f>
        <v/>
      </c>
      <c r="AH115" s="13">
        <f>AH21+AH35+AH49+AH63+AH77+AH91</f>
        <v/>
      </c>
      <c r="AI115" s="13">
        <f>AI21+AI35+AI49+AI63+AI77+AI91</f>
        <v/>
      </c>
      <c r="AJ115" s="13">
        <f>AJ21+AJ35+AJ49+AJ63+AJ77+AJ91</f>
        <v/>
      </c>
      <c r="AK115" s="13">
        <f>AK21+AK35+AK49+AK63+AK77+AK91</f>
        <v/>
      </c>
      <c r="AL115" s="13">
        <f>AL21+AL35+AL49+AL63+AL77+AL91</f>
        <v/>
      </c>
      <c r="AM115" s="13">
        <f>AM21+AM35+AM49+AM63+AM77+AM91</f>
        <v/>
      </c>
      <c r="AN115" s="13">
        <f>AN21+AN35+AN49+AN63+AN77+AN91</f>
        <v/>
      </c>
      <c r="AO115" s="13">
        <f>AO21+AO35+AO49+AO63+AO77+AO91</f>
        <v/>
      </c>
      <c r="AP115" s="13">
        <f>AP21+AP35+AP49+AP63+AP77+AP91</f>
        <v/>
      </c>
      <c r="AQ115" s="13">
        <f>AQ21+AQ35+AQ49+AQ63+AQ77+AQ91</f>
        <v/>
      </c>
      <c r="AR115" s="13">
        <f>AR21+AR35+AR49+AR63+AR77+AR91</f>
        <v/>
      </c>
      <c r="AS115" s="13">
        <f>AS21+AS35+AS49+AS63+AS77+AS91</f>
        <v/>
      </c>
      <c r="AT115" s="13">
        <f>AT21+AT35+AT49+AT63+AT77+AT91</f>
        <v/>
      </c>
      <c r="AU115" s="13">
        <f>AU21+AU35+AU49+AU63+AU77+AU91</f>
        <v/>
      </c>
      <c r="AV115" s="13">
        <f>AV21+AV35+AV49+AV63+AV77+AV91</f>
        <v/>
      </c>
      <c r="AW115" s="13">
        <f>AW21+AW35+AW49+AW63+AW77+AW91</f>
        <v/>
      </c>
      <c r="AX115" s="13">
        <f>AX21+AX35+AX49+AX63+AX77+AX91</f>
        <v/>
      </c>
      <c r="AY115" s="13">
        <f>AY21+AY35+AY49+AY63+AY77+AY91</f>
        <v/>
      </c>
      <c r="AZ115" s="13">
        <f>AZ21+AZ35+AZ49+AZ63+AZ77+AZ91</f>
        <v/>
      </c>
      <c r="BA115" s="13">
        <f>BA21+BA35+BA49+BA63+BA77+BA91</f>
        <v/>
      </c>
      <c r="BB115" s="13">
        <f>BB21+BB35+BB49+BB63+BB77+BB91</f>
        <v/>
      </c>
      <c r="BC115" s="13">
        <f>BC21+BC35+BC49+BC63+BC77+BC91</f>
        <v/>
      </c>
      <c r="BD115" s="13">
        <f>BD21+BD35+BD49+BD63+BD77+BD91</f>
        <v/>
      </c>
      <c r="BE115" s="13">
        <f>BE21+BE35+BE49+BE63+BE77+BE91</f>
        <v/>
      </c>
      <c r="BF115" s="13">
        <f>BF21+BF35+BF49+BF63+BF77+BF91</f>
        <v/>
      </c>
      <c r="BG115" s="13">
        <f>BG21+BG35+BG49+BG63+BG77+BG91</f>
        <v/>
      </c>
      <c r="BH115" s="13">
        <f>BH21+BH35+BH49+BH63+BH77+BH91</f>
        <v/>
      </c>
      <c r="BI115" s="13">
        <f>BI21+BI35+BI49+BI63+BI77+BI91</f>
        <v/>
      </c>
      <c r="BJ115" s="13">
        <f>BJ21+BJ35+BJ49+BJ63+BJ77+BJ91</f>
        <v/>
      </c>
      <c r="BK115" s="13">
        <f>BK21+BK35+BK49+BK63+BK77+BK91</f>
        <v/>
      </c>
      <c r="BL115" s="13">
        <f>BL21+BL35+BL49+BL63+BL77+BL91</f>
        <v/>
      </c>
      <c r="BM115" s="13">
        <f>BM21+BM35+BM49+BM63+BM77+BM91</f>
        <v/>
      </c>
      <c r="BN115" s="13">
        <f>BN21+BN35+BN49+BN63+BN77+BN91</f>
        <v/>
      </c>
    </row>
    <row r="116">
      <c r="D116" t="inlineStr">
        <is>
          <t>Senior debt outstanding, closing</t>
        </is>
      </c>
      <c r="E116" t="inlineStr">
        <is>
          <t>USD m</t>
        </is>
      </c>
      <c r="J116" s="13">
        <f>J33+J47+J61+J75+J89+J95</f>
        <v/>
      </c>
      <c r="K116" s="13">
        <f>K33+K47+K61+K75+K89+K95</f>
        <v/>
      </c>
      <c r="L116" s="13">
        <f>L33+L47+L61+L75+L89+L95</f>
        <v/>
      </c>
      <c r="M116" s="13">
        <f>M33+M47+M61+M75+M89+M95</f>
        <v/>
      </c>
      <c r="N116" s="13">
        <f>N33+N47+N61+N75+N89+N95</f>
        <v/>
      </c>
      <c r="O116" s="13">
        <f>O33+O47+O61+O75+O89+O95</f>
        <v/>
      </c>
      <c r="P116" s="13">
        <f>P33+P47+P61+P75+P89+P95</f>
        <v/>
      </c>
      <c r="Q116" s="13">
        <f>Q33+Q47+Q61+Q75+Q89+Q95</f>
        <v/>
      </c>
      <c r="R116" s="13">
        <f>R33+R47+R61+R75+R89+R95</f>
        <v/>
      </c>
      <c r="S116" s="13">
        <f>S33+S47+S61+S75+S89+S95</f>
        <v/>
      </c>
      <c r="T116" s="13">
        <f>T33+T47+T61+T75+T89+T95</f>
        <v/>
      </c>
      <c r="U116" s="13">
        <f>U33+U47+U61+U75+U89+U95</f>
        <v/>
      </c>
      <c r="V116" s="13">
        <f>V33+V47+V61+V75+V89+V95</f>
        <v/>
      </c>
      <c r="W116" s="13">
        <f>W33+W47+W61+W75+W89+W95</f>
        <v/>
      </c>
      <c r="X116" s="13">
        <f>X33+X47+X61+X75+X89+X95</f>
        <v/>
      </c>
      <c r="Y116" s="13">
        <f>Y33+Y47+Y61+Y75+Y89+Y95</f>
        <v/>
      </c>
      <c r="Z116" s="13">
        <f>Z33+Z47+Z61+Z75+Z89+Z95</f>
        <v/>
      </c>
      <c r="AA116" s="13">
        <f>AA33+AA47+AA61+AA75+AA89+AA95</f>
        <v/>
      </c>
      <c r="AB116" s="13">
        <f>AB33+AB47+AB61+AB75+AB89+AB95</f>
        <v/>
      </c>
      <c r="AC116" s="13">
        <f>AC33+AC47+AC61+AC75+AC89+AC95</f>
        <v/>
      </c>
      <c r="AD116" s="13">
        <f>AD33+AD47+AD61+AD75+AD89+AD95</f>
        <v/>
      </c>
      <c r="AE116" s="13">
        <f>AE33+AE47+AE61+AE75+AE89+AE95</f>
        <v/>
      </c>
      <c r="AF116" s="13">
        <f>AF33+AF47+AF61+AF75+AF89+AF95</f>
        <v/>
      </c>
      <c r="AG116" s="13">
        <f>AG33+AG47+AG61+AG75+AG89+AG95</f>
        <v/>
      </c>
      <c r="AH116" s="13">
        <f>AH33+AH47+AH61+AH75+AH89+AH95</f>
        <v/>
      </c>
      <c r="AI116" s="13">
        <f>AI33+AI47+AI61+AI75+AI89+AI95</f>
        <v/>
      </c>
      <c r="AJ116" s="13">
        <f>AJ33+AJ47+AJ61+AJ75+AJ89+AJ95</f>
        <v/>
      </c>
      <c r="AK116" s="13">
        <f>AK33+AK47+AK61+AK75+AK89+AK95</f>
        <v/>
      </c>
      <c r="AL116" s="13">
        <f>AL33+AL47+AL61+AL75+AL89+AL95</f>
        <v/>
      </c>
      <c r="AM116" s="13">
        <f>AM33+AM47+AM61+AM75+AM89+AM95</f>
        <v/>
      </c>
      <c r="AN116" s="13">
        <f>AN33+AN47+AN61+AN75+AN89+AN95</f>
        <v/>
      </c>
      <c r="AO116" s="13">
        <f>AO33+AO47+AO61+AO75+AO89+AO95</f>
        <v/>
      </c>
      <c r="AP116" s="13">
        <f>AP33+AP47+AP61+AP75+AP89+AP95</f>
        <v/>
      </c>
      <c r="AQ116" s="13">
        <f>AQ33+AQ47+AQ61+AQ75+AQ89+AQ95</f>
        <v/>
      </c>
      <c r="AR116" s="13">
        <f>AR33+AR47+AR61+AR75+AR89+AR95</f>
        <v/>
      </c>
      <c r="AS116" s="13">
        <f>AS33+AS47+AS61+AS75+AS89+AS95</f>
        <v/>
      </c>
      <c r="AT116" s="13">
        <f>AT33+AT47+AT61+AT75+AT89+AT95</f>
        <v/>
      </c>
      <c r="AU116" s="13">
        <f>AU33+AU47+AU61+AU75+AU89+AU95</f>
        <v/>
      </c>
      <c r="AV116" s="13">
        <f>AV33+AV47+AV61+AV75+AV89+AV95</f>
        <v/>
      </c>
      <c r="AW116" s="13">
        <f>AW33+AW47+AW61+AW75+AW89+AW95</f>
        <v/>
      </c>
      <c r="AX116" s="13">
        <f>AX33+AX47+AX61+AX75+AX89+AX95</f>
        <v/>
      </c>
      <c r="AY116" s="13">
        <f>AY33+AY47+AY61+AY75+AY89+AY95</f>
        <v/>
      </c>
      <c r="AZ116" s="13">
        <f>AZ33+AZ47+AZ61+AZ75+AZ89+AZ95</f>
        <v/>
      </c>
      <c r="BA116" s="13">
        <f>BA33+BA47+BA61+BA75+BA89+BA95</f>
        <v/>
      </c>
      <c r="BB116" s="13">
        <f>BB33+BB47+BB61+BB75+BB89+BB95</f>
        <v/>
      </c>
      <c r="BC116" s="13">
        <f>BC33+BC47+BC61+BC75+BC89+BC95</f>
        <v/>
      </c>
      <c r="BD116" s="13">
        <f>BD33+BD47+BD61+BD75+BD89+BD95</f>
        <v/>
      </c>
      <c r="BE116" s="13">
        <f>BE33+BE47+BE61+BE75+BE89+BE95</f>
        <v/>
      </c>
      <c r="BF116" s="13">
        <f>BF33+BF47+BF61+BF75+BF89+BF95</f>
        <v/>
      </c>
      <c r="BG116" s="13">
        <f>BG33+BG47+BG61+BG75+BG89+BG95</f>
        <v/>
      </c>
      <c r="BH116" s="13">
        <f>BH33+BH47+BH61+BH75+BH89+BH95</f>
        <v/>
      </c>
      <c r="BI116" s="13">
        <f>BI33+BI47+BI61+BI75+BI89+BI95</f>
        <v/>
      </c>
      <c r="BJ116" s="13">
        <f>BJ33+BJ47+BJ61+BJ75+BJ89+BJ95</f>
        <v/>
      </c>
      <c r="BK116" s="13">
        <f>BK33+BK47+BK61+BK75+BK89+BK95</f>
        <v/>
      </c>
      <c r="BL116" s="13">
        <f>BL33+BL47+BL61+BL75+BL89+BL95</f>
        <v/>
      </c>
      <c r="BM116" s="13">
        <f>BM33+BM47+BM61+BM75+BM89+BM95</f>
        <v/>
      </c>
      <c r="BN116" s="13">
        <f>BN33+BN47+BN61+BN75+BN89+BN95</f>
        <v/>
      </c>
    </row>
    <row r="117">
      <c r="B117" s="2" t="inlineStr">
        <is>
          <t>DSRA target: next period scheduled debt service (USD m)</t>
        </is>
      </c>
    </row>
    <row r="118">
      <c r="D118" t="inlineStr">
        <is>
          <t>Commercial balance carried to next period</t>
        </is>
      </c>
      <c r="E118" t="inlineStr">
        <is>
          <t>USD m</t>
        </is>
      </c>
      <c r="J118" s="13">
        <f>IF(Time!J34=1,J75,J73)</f>
        <v/>
      </c>
      <c r="K118" s="13">
        <f>IF(Time!K34=1,K75,K73)</f>
        <v/>
      </c>
      <c r="L118" s="13">
        <f>IF(Time!L34=1,L75,L73)</f>
        <v/>
      </c>
      <c r="M118" s="13">
        <f>IF(Time!M34=1,M75,M73)</f>
        <v/>
      </c>
      <c r="N118" s="13">
        <f>IF(Time!N34=1,N75,N73)</f>
        <v/>
      </c>
      <c r="O118" s="13">
        <f>IF(Time!O34=1,O75,O73)</f>
        <v/>
      </c>
      <c r="P118" s="13">
        <f>IF(Time!P34=1,P75,P73)</f>
        <v/>
      </c>
      <c r="Q118" s="13">
        <f>IF(Time!Q34=1,Q75,Q73)</f>
        <v/>
      </c>
      <c r="R118" s="13">
        <f>IF(Time!R34=1,R75,R73)</f>
        <v/>
      </c>
      <c r="S118" s="13">
        <f>IF(Time!S34=1,S75,S73)</f>
        <v/>
      </c>
      <c r="T118" s="13">
        <f>IF(Time!T34=1,T75,T73)</f>
        <v/>
      </c>
      <c r="U118" s="13">
        <f>IF(Time!U34=1,U75,U73)</f>
        <v/>
      </c>
      <c r="V118" s="13">
        <f>IF(Time!V34=1,V75,V73)</f>
        <v/>
      </c>
      <c r="W118" s="13">
        <f>IF(Time!W34=1,W75,W73)</f>
        <v/>
      </c>
      <c r="X118" s="13">
        <f>IF(Time!X34=1,X75,X73)</f>
        <v/>
      </c>
      <c r="Y118" s="13">
        <f>IF(Time!Y34=1,Y75,Y73)</f>
        <v/>
      </c>
      <c r="Z118" s="13">
        <f>IF(Time!Z34=1,Z75,Z73)</f>
        <v/>
      </c>
      <c r="AA118" s="13">
        <f>IF(Time!AA34=1,AA75,AA73)</f>
        <v/>
      </c>
      <c r="AB118" s="13">
        <f>IF(Time!AB34=1,AB75,AB73)</f>
        <v/>
      </c>
      <c r="AC118" s="13">
        <f>IF(Time!AC34=1,AC75,AC73)</f>
        <v/>
      </c>
      <c r="AD118" s="13">
        <f>IF(Time!AD34=1,AD75,AD73)</f>
        <v/>
      </c>
      <c r="AE118" s="13">
        <f>IF(Time!AE34=1,AE75,AE73)</f>
        <v/>
      </c>
      <c r="AF118" s="13">
        <f>IF(Time!AF34=1,AF75,AF73)</f>
        <v/>
      </c>
      <c r="AG118" s="13">
        <f>IF(Time!AG34=1,AG75,AG73)</f>
        <v/>
      </c>
      <c r="AH118" s="13">
        <f>IF(Time!AH34=1,AH75,AH73)</f>
        <v/>
      </c>
      <c r="AI118" s="13">
        <f>IF(Time!AI34=1,AI75,AI73)</f>
        <v/>
      </c>
      <c r="AJ118" s="13">
        <f>IF(Time!AJ34=1,AJ75,AJ73)</f>
        <v/>
      </c>
      <c r="AK118" s="13">
        <f>IF(Time!AK34=1,AK75,AK73)</f>
        <v/>
      </c>
      <c r="AL118" s="13">
        <f>IF(Time!AL34=1,AL75,AL73)</f>
        <v/>
      </c>
      <c r="AM118" s="13">
        <f>IF(Time!AM34=1,AM75,AM73)</f>
        <v/>
      </c>
      <c r="AN118" s="13">
        <f>IF(Time!AN34=1,AN75,AN73)</f>
        <v/>
      </c>
      <c r="AO118" s="13">
        <f>IF(Time!AO34=1,AO75,AO73)</f>
        <v/>
      </c>
      <c r="AP118" s="13">
        <f>IF(Time!AP34=1,AP75,AP73)</f>
        <v/>
      </c>
      <c r="AQ118" s="13">
        <f>IF(Time!AQ34=1,AQ75,AQ73)</f>
        <v/>
      </c>
      <c r="AR118" s="13">
        <f>IF(Time!AR34=1,AR75,AR73)</f>
        <v/>
      </c>
      <c r="AS118" s="13">
        <f>IF(Time!AS34=1,AS75,AS73)</f>
        <v/>
      </c>
      <c r="AT118" s="13">
        <f>IF(Time!AT34=1,AT75,AT73)</f>
        <v/>
      </c>
      <c r="AU118" s="13">
        <f>IF(Time!AU34=1,AU75,AU73)</f>
        <v/>
      </c>
      <c r="AV118" s="13">
        <f>IF(Time!AV34=1,AV75,AV73)</f>
        <v/>
      </c>
      <c r="AW118" s="13">
        <f>IF(Time!AW34=1,AW75,AW73)</f>
        <v/>
      </c>
      <c r="AX118" s="13">
        <f>IF(Time!AX34=1,AX75,AX73)</f>
        <v/>
      </c>
      <c r="AY118" s="13">
        <f>IF(Time!AY34=1,AY75,AY73)</f>
        <v/>
      </c>
      <c r="AZ118" s="13">
        <f>IF(Time!AZ34=1,AZ75,AZ73)</f>
        <v/>
      </c>
      <c r="BA118" s="13">
        <f>IF(Time!BA34=1,BA75,BA73)</f>
        <v/>
      </c>
      <c r="BB118" s="13">
        <f>IF(Time!BB34=1,BB75,BB73)</f>
        <v/>
      </c>
      <c r="BC118" s="13">
        <f>IF(Time!BC34=1,BC75,BC73)</f>
        <v/>
      </c>
      <c r="BD118" s="13">
        <f>IF(Time!BD34=1,BD75,BD73)</f>
        <v/>
      </c>
      <c r="BE118" s="13">
        <f>IF(Time!BE34=1,BE75,BE73)</f>
        <v/>
      </c>
      <c r="BF118" s="13">
        <f>IF(Time!BF34=1,BF75,BF73)</f>
        <v/>
      </c>
      <c r="BG118" s="13">
        <f>IF(Time!BG34=1,BG75,BG73)</f>
        <v/>
      </c>
      <c r="BH118" s="13">
        <f>IF(Time!BH34=1,BH75,BH73)</f>
        <v/>
      </c>
      <c r="BI118" s="13">
        <f>IF(Time!BI34=1,BI75,BI73)</f>
        <v/>
      </c>
      <c r="BJ118" s="13">
        <f>IF(Time!BJ34=1,BJ75,BJ73)</f>
        <v/>
      </c>
      <c r="BK118" s="13">
        <f>IF(Time!BK34=1,BK75,BK73)</f>
        <v/>
      </c>
      <c r="BL118" s="13">
        <f>IF(Time!BL34=1,BL75,BL73)</f>
        <v/>
      </c>
      <c r="BM118" s="13">
        <f>IF(Time!BM34=1,BM75,BM73)</f>
        <v/>
      </c>
      <c r="BN118" s="13">
        <f>IF(Time!BN34=1,BN75,BN73)</f>
        <v/>
      </c>
    </row>
    <row r="119">
      <c r="D119" t="inlineStr">
        <is>
          <t>ECA-covered tranche: next period debt service</t>
        </is>
      </c>
      <c r="E119" t="inlineStr">
        <is>
          <t>USD m</t>
        </is>
      </c>
      <c r="J119" s="13">
        <f>IF(AND(Time!J20&gt;=Time!$F$12,Time!K20&gt;0),(IF(Time!J34=1,J33,J31)-J30)*K19+IF(Time!K46&gt;0,Time!K45*J30/Time!K46,0)+IF(Time!J34=1,J33,J31)*K10,0)</f>
        <v/>
      </c>
      <c r="K119" s="13">
        <f>IF(AND(Time!K20&gt;=Time!$F$12,Time!L20&gt;0),(IF(Time!K34=1,K33,K31)-K30)*L19+IF(Time!L46&gt;0,Time!L45*K30/Time!L46,0)+IF(Time!K34=1,K33,K31)*L10,0)</f>
        <v/>
      </c>
      <c r="L119" s="13">
        <f>IF(AND(Time!L20&gt;=Time!$F$12,Time!M20&gt;0),(IF(Time!L34=1,L33,L31)-L30)*M19+IF(Time!M46&gt;0,Time!M45*L30/Time!M46,0)+IF(Time!L34=1,L33,L31)*M10,0)</f>
        <v/>
      </c>
      <c r="M119" s="13">
        <f>IF(AND(Time!M20&gt;=Time!$F$12,Time!N20&gt;0),(IF(Time!M34=1,M33,M31)-M30)*N19+IF(Time!N46&gt;0,Time!N45*M30/Time!N46,0)+IF(Time!M34=1,M33,M31)*N10,0)</f>
        <v/>
      </c>
      <c r="N119" s="13">
        <f>IF(AND(Time!N20&gt;=Time!$F$12,Time!O20&gt;0),(IF(Time!N34=1,N33,N31)-N30)*O19+IF(Time!O46&gt;0,Time!O45*N30/Time!O46,0)+IF(Time!N34=1,N33,N31)*O10,0)</f>
        <v/>
      </c>
      <c r="O119" s="13">
        <f>IF(AND(Time!O20&gt;=Time!$F$12,Time!P20&gt;0),(IF(Time!O34=1,O33,O31)-O30)*P19+IF(Time!P46&gt;0,Time!P45*O30/Time!P46,0)+IF(Time!O34=1,O33,O31)*P10,0)</f>
        <v/>
      </c>
      <c r="P119" s="13">
        <f>IF(AND(Time!P20&gt;=Time!$F$12,Time!Q20&gt;0),(IF(Time!P34=1,P33,P31)-P30)*Q19+IF(Time!Q46&gt;0,Time!Q45*P30/Time!Q46,0)+IF(Time!P34=1,P33,P31)*Q10,0)</f>
        <v/>
      </c>
      <c r="Q119" s="13">
        <f>IF(AND(Time!Q20&gt;=Time!$F$12,Time!R20&gt;0),(IF(Time!Q34=1,Q33,Q31)-Q30)*R19+IF(Time!R46&gt;0,Time!R45*Q30/Time!R46,0)+IF(Time!Q34=1,Q33,Q31)*R10,0)</f>
        <v/>
      </c>
      <c r="R119" s="13">
        <f>IF(AND(Time!R20&gt;=Time!$F$12,Time!S20&gt;0),(IF(Time!R34=1,R33,R31)-R30)*S19+IF(Time!S46&gt;0,Time!S45*R30/Time!S46,0)+IF(Time!R34=1,R33,R31)*S10,0)</f>
        <v/>
      </c>
      <c r="S119" s="13">
        <f>IF(AND(Time!S20&gt;=Time!$F$12,Time!T20&gt;0),(IF(Time!S34=1,S33,S31)-S30)*T19+IF(Time!T46&gt;0,Time!T45*S30/Time!T46,0)+IF(Time!S34=1,S33,S31)*T10,0)</f>
        <v/>
      </c>
      <c r="T119" s="13">
        <f>IF(AND(Time!T20&gt;=Time!$F$12,Time!U20&gt;0),(IF(Time!T34=1,T33,T31)-T30)*U19+IF(Time!U46&gt;0,Time!U45*T30/Time!U46,0)+IF(Time!T34=1,T33,T31)*U10,0)</f>
        <v/>
      </c>
      <c r="U119" s="13">
        <f>IF(AND(Time!U20&gt;=Time!$F$12,Time!V20&gt;0),(IF(Time!U34=1,U33,U31)-U30)*V19+IF(Time!V46&gt;0,Time!V45*U30/Time!V46,0)+IF(Time!U34=1,U33,U31)*V10,0)</f>
        <v/>
      </c>
      <c r="V119" s="13">
        <f>IF(AND(Time!V20&gt;=Time!$F$12,Time!W20&gt;0),(IF(Time!V34=1,V33,V31)-V30)*W19+IF(Time!W46&gt;0,Time!W45*V30/Time!W46,0)+IF(Time!V34=1,V33,V31)*W10,0)</f>
        <v/>
      </c>
      <c r="W119" s="13">
        <f>IF(AND(Time!W20&gt;=Time!$F$12,Time!X20&gt;0),(IF(Time!W34=1,W33,W31)-W30)*X19+IF(Time!X46&gt;0,Time!X45*W30/Time!X46,0)+IF(Time!W34=1,W33,W31)*X10,0)</f>
        <v/>
      </c>
      <c r="X119" s="13">
        <f>IF(AND(Time!X20&gt;=Time!$F$12,Time!Y20&gt;0),(IF(Time!X34=1,X33,X31)-X30)*Y19+IF(Time!Y46&gt;0,Time!Y45*X30/Time!Y46,0)+IF(Time!X34=1,X33,X31)*Y10,0)</f>
        <v/>
      </c>
      <c r="Y119" s="13">
        <f>IF(AND(Time!Y20&gt;=Time!$F$12,Time!Z20&gt;0),(IF(Time!Y34=1,Y33,Y31)-Y30)*Z19+IF(Time!Z46&gt;0,Time!Z45*Y30/Time!Z46,0)+IF(Time!Y34=1,Y33,Y31)*Z10,0)</f>
        <v/>
      </c>
      <c r="Z119" s="13">
        <f>IF(AND(Time!Z20&gt;=Time!$F$12,Time!AA20&gt;0),(IF(Time!Z34=1,Z33,Z31)-Z30)*AA19+IF(Time!AA46&gt;0,Time!AA45*Z30/Time!AA46,0)+IF(Time!Z34=1,Z33,Z31)*AA10,0)</f>
        <v/>
      </c>
      <c r="AA119" s="13">
        <f>IF(AND(Time!AA20&gt;=Time!$F$12,Time!AB20&gt;0),(IF(Time!AA34=1,AA33,AA31)-AA30)*AB19+IF(Time!AB46&gt;0,Time!AB45*AA30/Time!AB46,0)+IF(Time!AA34=1,AA33,AA31)*AB10,0)</f>
        <v/>
      </c>
      <c r="AB119" s="13">
        <f>IF(AND(Time!AB20&gt;=Time!$F$12,Time!AC20&gt;0),(IF(Time!AB34=1,AB33,AB31)-AB30)*AC19+IF(Time!AC46&gt;0,Time!AC45*AB30/Time!AC46,0)+IF(Time!AB34=1,AB33,AB31)*AC10,0)</f>
        <v/>
      </c>
      <c r="AC119" s="13">
        <f>IF(AND(Time!AC20&gt;=Time!$F$12,Time!AD20&gt;0),(IF(Time!AC34=1,AC33,AC31)-AC30)*AD19+IF(Time!AD46&gt;0,Time!AD45*AC30/Time!AD46,0)+IF(Time!AC34=1,AC33,AC31)*AD10,0)</f>
        <v/>
      </c>
      <c r="AD119" s="13">
        <f>IF(AND(Time!AD20&gt;=Time!$F$12,Time!AE20&gt;0),(IF(Time!AD34=1,AD33,AD31)-AD30)*AE19+IF(Time!AE46&gt;0,Time!AE45*AD30/Time!AE46,0)+IF(Time!AD34=1,AD33,AD31)*AE10,0)</f>
        <v/>
      </c>
      <c r="AE119" s="13">
        <f>IF(AND(Time!AE20&gt;=Time!$F$12,Time!AF20&gt;0),(IF(Time!AE34=1,AE33,AE31)-AE30)*AF19+IF(Time!AF46&gt;0,Time!AF45*AE30/Time!AF46,0)+IF(Time!AE34=1,AE33,AE31)*AF10,0)</f>
        <v/>
      </c>
      <c r="AF119" s="13">
        <f>IF(AND(Time!AF20&gt;=Time!$F$12,Time!AG20&gt;0),(IF(Time!AF34=1,AF33,AF31)-AF30)*AG19+IF(Time!AG46&gt;0,Time!AG45*AF30/Time!AG46,0)+IF(Time!AF34=1,AF33,AF31)*AG10,0)</f>
        <v/>
      </c>
      <c r="AG119" s="13">
        <f>IF(AND(Time!AG20&gt;=Time!$F$12,Time!AH20&gt;0),(IF(Time!AG34=1,AG33,AG31)-AG30)*AH19+IF(Time!AH46&gt;0,Time!AH45*AG30/Time!AH46,0)+IF(Time!AG34=1,AG33,AG31)*AH10,0)</f>
        <v/>
      </c>
      <c r="AH119" s="13">
        <f>IF(AND(Time!AH20&gt;=Time!$F$12,Time!AI20&gt;0),(IF(Time!AH34=1,AH33,AH31)-AH30)*AI19+IF(Time!AI46&gt;0,Time!AI45*AH30/Time!AI46,0)+IF(Time!AH34=1,AH33,AH31)*AI10,0)</f>
        <v/>
      </c>
      <c r="AI119" s="13">
        <f>IF(AND(Time!AI20&gt;=Time!$F$12,Time!AJ20&gt;0),(IF(Time!AI34=1,AI33,AI31)-AI30)*AJ19+IF(Time!AJ46&gt;0,Time!AJ45*AI30/Time!AJ46,0)+IF(Time!AI34=1,AI33,AI31)*AJ10,0)</f>
        <v/>
      </c>
      <c r="AJ119" s="13">
        <f>IF(AND(Time!AJ20&gt;=Time!$F$12,Time!AK20&gt;0),(IF(Time!AJ34=1,AJ33,AJ31)-AJ30)*AK19+IF(Time!AK46&gt;0,Time!AK45*AJ30/Time!AK46,0)+IF(Time!AJ34=1,AJ33,AJ31)*AK10,0)</f>
        <v/>
      </c>
      <c r="AK119" s="13">
        <f>IF(AND(Time!AK20&gt;=Time!$F$12,Time!AL20&gt;0),(IF(Time!AK34=1,AK33,AK31)-AK30)*AL19+IF(Time!AL46&gt;0,Time!AL45*AK30/Time!AL46,0)+IF(Time!AK34=1,AK33,AK31)*AL10,0)</f>
        <v/>
      </c>
      <c r="AL119" s="13">
        <f>IF(AND(Time!AL20&gt;=Time!$F$12,Time!AM20&gt;0),(IF(Time!AL34=1,AL33,AL31)-AL30)*AM19+IF(Time!AM46&gt;0,Time!AM45*AL30/Time!AM46,0)+IF(Time!AL34=1,AL33,AL31)*AM10,0)</f>
        <v/>
      </c>
      <c r="AM119" s="13">
        <f>IF(AND(Time!AM20&gt;=Time!$F$12,Time!AN20&gt;0),(IF(Time!AM34=1,AM33,AM31)-AM30)*AN19+IF(Time!AN46&gt;0,Time!AN45*AM30/Time!AN46,0)+IF(Time!AM34=1,AM33,AM31)*AN10,0)</f>
        <v/>
      </c>
      <c r="AN119" s="13">
        <f>IF(AND(Time!AN20&gt;=Time!$F$12,Time!AO20&gt;0),(IF(Time!AN34=1,AN33,AN31)-AN30)*AO19+IF(Time!AO46&gt;0,Time!AO45*AN30/Time!AO46,0)+IF(Time!AN34=1,AN33,AN31)*AO10,0)</f>
        <v/>
      </c>
      <c r="AO119" s="13">
        <f>IF(AND(Time!AO20&gt;=Time!$F$12,Time!AP20&gt;0),(IF(Time!AO34=1,AO33,AO31)-AO30)*AP19+IF(Time!AP46&gt;0,Time!AP45*AO30/Time!AP46,0)+IF(Time!AO34=1,AO33,AO31)*AP10,0)</f>
        <v/>
      </c>
      <c r="AP119" s="13">
        <f>IF(AND(Time!AP20&gt;=Time!$F$12,Time!AQ20&gt;0),(IF(Time!AP34=1,AP33,AP31)-AP30)*AQ19+IF(Time!AQ46&gt;0,Time!AQ45*AP30/Time!AQ46,0)+IF(Time!AP34=1,AP33,AP31)*AQ10,0)</f>
        <v/>
      </c>
      <c r="AQ119" s="13">
        <f>IF(AND(Time!AQ20&gt;=Time!$F$12,Time!AR20&gt;0),(IF(Time!AQ34=1,AQ33,AQ31)-AQ30)*AR19+IF(Time!AR46&gt;0,Time!AR45*AQ30/Time!AR46,0)+IF(Time!AQ34=1,AQ33,AQ31)*AR10,0)</f>
        <v/>
      </c>
      <c r="AR119" s="13">
        <f>IF(AND(Time!AR20&gt;=Time!$F$12,Time!AS20&gt;0),(IF(Time!AR34=1,AR33,AR31)-AR30)*AS19+IF(Time!AS46&gt;0,Time!AS45*AR30/Time!AS46,0)+IF(Time!AR34=1,AR33,AR31)*AS10,0)</f>
        <v/>
      </c>
      <c r="AS119" s="13">
        <f>IF(AND(Time!AS20&gt;=Time!$F$12,Time!AT20&gt;0),(IF(Time!AS34=1,AS33,AS31)-AS30)*AT19+IF(Time!AT46&gt;0,Time!AT45*AS30/Time!AT46,0)+IF(Time!AS34=1,AS33,AS31)*AT10,0)</f>
        <v/>
      </c>
      <c r="AT119" s="13">
        <f>IF(AND(Time!AT20&gt;=Time!$F$12,Time!AU20&gt;0),(IF(Time!AT34=1,AT33,AT31)-AT30)*AU19+IF(Time!AU46&gt;0,Time!AU45*AT30/Time!AU46,0)+IF(Time!AT34=1,AT33,AT31)*AU10,0)</f>
        <v/>
      </c>
      <c r="AU119" s="13">
        <f>IF(AND(Time!AU20&gt;=Time!$F$12,Time!AV20&gt;0),(IF(Time!AU34=1,AU33,AU31)-AU30)*AV19+IF(Time!AV46&gt;0,Time!AV45*AU30/Time!AV46,0)+IF(Time!AU34=1,AU33,AU31)*AV10,0)</f>
        <v/>
      </c>
      <c r="AV119" s="13">
        <f>IF(AND(Time!AV20&gt;=Time!$F$12,Time!AW20&gt;0),(IF(Time!AV34=1,AV33,AV31)-AV30)*AW19+IF(Time!AW46&gt;0,Time!AW45*AV30/Time!AW46,0)+IF(Time!AV34=1,AV33,AV31)*AW10,0)</f>
        <v/>
      </c>
      <c r="AW119" s="13">
        <f>IF(AND(Time!AW20&gt;=Time!$F$12,Time!AX20&gt;0),(IF(Time!AW34=1,AW33,AW31)-AW30)*AX19+IF(Time!AX46&gt;0,Time!AX45*AW30/Time!AX46,0)+IF(Time!AW34=1,AW33,AW31)*AX10,0)</f>
        <v/>
      </c>
      <c r="AX119" s="13">
        <f>IF(AND(Time!AX20&gt;=Time!$F$12,Time!AY20&gt;0),(IF(Time!AX34=1,AX33,AX31)-AX30)*AY19+IF(Time!AY46&gt;0,Time!AY45*AX30/Time!AY46,0)+IF(Time!AX34=1,AX33,AX31)*AY10,0)</f>
        <v/>
      </c>
      <c r="AY119" s="13">
        <f>IF(AND(Time!AY20&gt;=Time!$F$12,Time!AZ20&gt;0),(IF(Time!AY34=1,AY33,AY31)-AY30)*AZ19+IF(Time!AZ46&gt;0,Time!AZ45*AY30/Time!AZ46,0)+IF(Time!AY34=1,AY33,AY31)*AZ10,0)</f>
        <v/>
      </c>
      <c r="AZ119" s="13">
        <f>IF(AND(Time!AZ20&gt;=Time!$F$12,Time!BA20&gt;0),(IF(Time!AZ34=1,AZ33,AZ31)-AZ30)*BA19+IF(Time!BA46&gt;0,Time!BA45*AZ30/Time!BA46,0)+IF(Time!AZ34=1,AZ33,AZ31)*BA10,0)</f>
        <v/>
      </c>
      <c r="BA119" s="13">
        <f>IF(AND(Time!BA20&gt;=Time!$F$12,Time!BB20&gt;0),(IF(Time!BA34=1,BA33,BA31)-BA30)*BB19+IF(Time!BB46&gt;0,Time!BB45*BA30/Time!BB46,0)+IF(Time!BA34=1,BA33,BA31)*BB10,0)</f>
        <v/>
      </c>
      <c r="BB119" s="13">
        <f>IF(AND(Time!BB20&gt;=Time!$F$12,Time!BC20&gt;0),(IF(Time!BB34=1,BB33,BB31)-BB30)*BC19+IF(Time!BC46&gt;0,Time!BC45*BB30/Time!BC46,0)+IF(Time!BB34=1,BB33,BB31)*BC10,0)</f>
        <v/>
      </c>
      <c r="BC119" s="13">
        <f>IF(AND(Time!BC20&gt;=Time!$F$12,Time!BD20&gt;0),(IF(Time!BC34=1,BC33,BC31)-BC30)*BD19+IF(Time!BD46&gt;0,Time!BD45*BC30/Time!BD46,0)+IF(Time!BC34=1,BC33,BC31)*BD10,0)</f>
        <v/>
      </c>
      <c r="BD119" s="13">
        <f>IF(AND(Time!BD20&gt;=Time!$F$12,Time!BE20&gt;0),(IF(Time!BD34=1,BD33,BD31)-BD30)*BE19+IF(Time!BE46&gt;0,Time!BE45*BD30/Time!BE46,0)+IF(Time!BD34=1,BD33,BD31)*BE10,0)</f>
        <v/>
      </c>
      <c r="BE119" s="13">
        <f>IF(AND(Time!BE20&gt;=Time!$F$12,Time!BF20&gt;0),(IF(Time!BE34=1,BE33,BE31)-BE30)*BF19+IF(Time!BF46&gt;0,Time!BF45*BE30/Time!BF46,0)+IF(Time!BE34=1,BE33,BE31)*BF10,0)</f>
        <v/>
      </c>
      <c r="BF119" s="13">
        <f>IF(AND(Time!BF20&gt;=Time!$F$12,Time!BG20&gt;0),(IF(Time!BF34=1,BF33,BF31)-BF30)*BG19+IF(Time!BG46&gt;0,Time!BG45*BF30/Time!BG46,0)+IF(Time!BF34=1,BF33,BF31)*BG10,0)</f>
        <v/>
      </c>
      <c r="BG119" s="13">
        <f>IF(AND(Time!BG20&gt;=Time!$F$12,Time!BH20&gt;0),(IF(Time!BG34=1,BG33,BG31)-BG30)*BH19+IF(Time!BH46&gt;0,Time!BH45*BG30/Time!BH46,0)+IF(Time!BG34=1,BG33,BG31)*BH10,0)</f>
        <v/>
      </c>
      <c r="BH119" s="13">
        <f>IF(AND(Time!BH20&gt;=Time!$F$12,Time!BI20&gt;0),(IF(Time!BH34=1,BH33,BH31)-BH30)*BI19+IF(Time!BI46&gt;0,Time!BI45*BH30/Time!BI46,0)+IF(Time!BH34=1,BH33,BH31)*BI10,0)</f>
        <v/>
      </c>
      <c r="BI119" s="13">
        <f>IF(AND(Time!BI20&gt;=Time!$F$12,Time!BJ20&gt;0),(IF(Time!BI34=1,BI33,BI31)-BI30)*BJ19+IF(Time!BJ46&gt;0,Time!BJ45*BI30/Time!BJ46,0)+IF(Time!BI34=1,BI33,BI31)*BJ10,0)</f>
        <v/>
      </c>
      <c r="BJ119" s="13">
        <f>IF(AND(Time!BJ20&gt;=Time!$F$12,Time!BK20&gt;0),(IF(Time!BJ34=1,BJ33,BJ31)-BJ30)*BK19+IF(Time!BK46&gt;0,Time!BK45*BJ30/Time!BK46,0)+IF(Time!BJ34=1,BJ33,BJ31)*BK10,0)</f>
        <v/>
      </c>
      <c r="BK119" s="13">
        <f>IF(AND(Time!BK20&gt;=Time!$F$12,Time!BL20&gt;0),(IF(Time!BK34=1,BK33,BK31)-BK30)*BL19+IF(Time!BL46&gt;0,Time!BL45*BK30/Time!BL46,0)+IF(Time!BK34=1,BK33,BK31)*BL10,0)</f>
        <v/>
      </c>
      <c r="BL119" s="13">
        <f>IF(AND(Time!BL20&gt;=Time!$F$12,Time!BM20&gt;0),(IF(Time!BL34=1,BL33,BL31)-BL30)*BM19+IF(Time!BM46&gt;0,Time!BM45*BL30/Time!BM46,0)+IF(Time!BL34=1,BL33,BL31)*BM10,0)</f>
        <v/>
      </c>
      <c r="BM119" s="13">
        <f>IF(AND(Time!BM20&gt;=Time!$F$12,Time!BN20&gt;0),(IF(Time!BM34=1,BM33,BM31)-BM30)*BN19+IF(Time!BN46&gt;0,Time!BN45*BM30/Time!BN46,0)+IF(Time!BM34=1,BM33,BM31)*BN10,0)</f>
        <v/>
      </c>
      <c r="BN119" s="13">
        <f>IF(AND(Time!BN20&gt;=Time!$F$12,Time!BO20&gt;0),(IF(Time!BN34=1,BN33,BN31)-BN30)*BO19+IF(Time!BO46&gt;0,Time!BO45*BN30/Time!BO46,0)+IF(Time!BN34=1,BN33,BN31)*BO10,0)</f>
        <v/>
      </c>
    </row>
    <row r="120">
      <c r="D120" t="inlineStr">
        <is>
          <t>ABDB A-loan: next period debt service</t>
        </is>
      </c>
      <c r="E120" t="inlineStr">
        <is>
          <t>USD m</t>
        </is>
      </c>
      <c r="J120" s="13">
        <f>IF(AND(Time!J20&gt;=Time!$F$12,Time!K20&gt;0),(IF(Time!J34=1,J47,J45)-J44)*K19+IF(Time!K46&gt;0,Time!K45*J44/Time!K46,0)+IF(Time!J34=1,J47,J45)*K11,0)</f>
        <v/>
      </c>
      <c r="K120" s="13">
        <f>IF(AND(Time!K20&gt;=Time!$F$12,Time!L20&gt;0),(IF(Time!K34=1,K47,K45)-K44)*L19+IF(Time!L46&gt;0,Time!L45*K44/Time!L46,0)+IF(Time!K34=1,K47,K45)*L11,0)</f>
        <v/>
      </c>
      <c r="L120" s="13">
        <f>IF(AND(Time!L20&gt;=Time!$F$12,Time!M20&gt;0),(IF(Time!L34=1,L47,L45)-L44)*M19+IF(Time!M46&gt;0,Time!M45*L44/Time!M46,0)+IF(Time!L34=1,L47,L45)*M11,0)</f>
        <v/>
      </c>
      <c r="M120" s="13">
        <f>IF(AND(Time!M20&gt;=Time!$F$12,Time!N20&gt;0),(IF(Time!M34=1,M47,M45)-M44)*N19+IF(Time!N46&gt;0,Time!N45*M44/Time!N46,0)+IF(Time!M34=1,M47,M45)*N11,0)</f>
        <v/>
      </c>
      <c r="N120" s="13">
        <f>IF(AND(Time!N20&gt;=Time!$F$12,Time!O20&gt;0),(IF(Time!N34=1,N47,N45)-N44)*O19+IF(Time!O46&gt;0,Time!O45*N44/Time!O46,0)+IF(Time!N34=1,N47,N45)*O11,0)</f>
        <v/>
      </c>
      <c r="O120" s="13">
        <f>IF(AND(Time!O20&gt;=Time!$F$12,Time!P20&gt;0),(IF(Time!O34=1,O47,O45)-O44)*P19+IF(Time!P46&gt;0,Time!P45*O44/Time!P46,0)+IF(Time!O34=1,O47,O45)*P11,0)</f>
        <v/>
      </c>
      <c r="P120" s="13">
        <f>IF(AND(Time!P20&gt;=Time!$F$12,Time!Q20&gt;0),(IF(Time!P34=1,P47,P45)-P44)*Q19+IF(Time!Q46&gt;0,Time!Q45*P44/Time!Q46,0)+IF(Time!P34=1,P47,P45)*Q11,0)</f>
        <v/>
      </c>
      <c r="Q120" s="13">
        <f>IF(AND(Time!Q20&gt;=Time!$F$12,Time!R20&gt;0),(IF(Time!Q34=1,Q47,Q45)-Q44)*R19+IF(Time!R46&gt;0,Time!R45*Q44/Time!R46,0)+IF(Time!Q34=1,Q47,Q45)*R11,0)</f>
        <v/>
      </c>
      <c r="R120" s="13">
        <f>IF(AND(Time!R20&gt;=Time!$F$12,Time!S20&gt;0),(IF(Time!R34=1,R47,R45)-R44)*S19+IF(Time!S46&gt;0,Time!S45*R44/Time!S46,0)+IF(Time!R34=1,R47,R45)*S11,0)</f>
        <v/>
      </c>
      <c r="S120" s="13">
        <f>IF(AND(Time!S20&gt;=Time!$F$12,Time!T20&gt;0),(IF(Time!S34=1,S47,S45)-S44)*T19+IF(Time!T46&gt;0,Time!T45*S44/Time!T46,0)+IF(Time!S34=1,S47,S45)*T11,0)</f>
        <v/>
      </c>
      <c r="T120" s="13">
        <f>IF(AND(Time!T20&gt;=Time!$F$12,Time!U20&gt;0),(IF(Time!T34=1,T47,T45)-T44)*U19+IF(Time!U46&gt;0,Time!U45*T44/Time!U46,0)+IF(Time!T34=1,T47,T45)*U11,0)</f>
        <v/>
      </c>
      <c r="U120" s="13">
        <f>IF(AND(Time!U20&gt;=Time!$F$12,Time!V20&gt;0),(IF(Time!U34=1,U47,U45)-U44)*V19+IF(Time!V46&gt;0,Time!V45*U44/Time!V46,0)+IF(Time!U34=1,U47,U45)*V11,0)</f>
        <v/>
      </c>
      <c r="V120" s="13">
        <f>IF(AND(Time!V20&gt;=Time!$F$12,Time!W20&gt;0),(IF(Time!V34=1,V47,V45)-V44)*W19+IF(Time!W46&gt;0,Time!W45*V44/Time!W46,0)+IF(Time!V34=1,V47,V45)*W11,0)</f>
        <v/>
      </c>
      <c r="W120" s="13">
        <f>IF(AND(Time!W20&gt;=Time!$F$12,Time!X20&gt;0),(IF(Time!W34=1,W47,W45)-W44)*X19+IF(Time!X46&gt;0,Time!X45*W44/Time!X46,0)+IF(Time!W34=1,W47,W45)*X11,0)</f>
        <v/>
      </c>
      <c r="X120" s="13">
        <f>IF(AND(Time!X20&gt;=Time!$F$12,Time!Y20&gt;0),(IF(Time!X34=1,X47,X45)-X44)*Y19+IF(Time!Y46&gt;0,Time!Y45*X44/Time!Y46,0)+IF(Time!X34=1,X47,X45)*Y11,0)</f>
        <v/>
      </c>
      <c r="Y120" s="13">
        <f>IF(AND(Time!Y20&gt;=Time!$F$12,Time!Z20&gt;0),(IF(Time!Y34=1,Y47,Y45)-Y44)*Z19+IF(Time!Z46&gt;0,Time!Z45*Y44/Time!Z46,0)+IF(Time!Y34=1,Y47,Y45)*Z11,0)</f>
        <v/>
      </c>
      <c r="Z120" s="13">
        <f>IF(AND(Time!Z20&gt;=Time!$F$12,Time!AA20&gt;0),(IF(Time!Z34=1,Z47,Z45)-Z44)*AA19+IF(Time!AA46&gt;0,Time!AA45*Z44/Time!AA46,0)+IF(Time!Z34=1,Z47,Z45)*AA11,0)</f>
        <v/>
      </c>
      <c r="AA120" s="13">
        <f>IF(AND(Time!AA20&gt;=Time!$F$12,Time!AB20&gt;0),(IF(Time!AA34=1,AA47,AA45)-AA44)*AB19+IF(Time!AB46&gt;0,Time!AB45*AA44/Time!AB46,0)+IF(Time!AA34=1,AA47,AA45)*AB11,0)</f>
        <v/>
      </c>
      <c r="AB120" s="13">
        <f>IF(AND(Time!AB20&gt;=Time!$F$12,Time!AC20&gt;0),(IF(Time!AB34=1,AB47,AB45)-AB44)*AC19+IF(Time!AC46&gt;0,Time!AC45*AB44/Time!AC46,0)+IF(Time!AB34=1,AB47,AB45)*AC11,0)</f>
        <v/>
      </c>
      <c r="AC120" s="13">
        <f>IF(AND(Time!AC20&gt;=Time!$F$12,Time!AD20&gt;0),(IF(Time!AC34=1,AC47,AC45)-AC44)*AD19+IF(Time!AD46&gt;0,Time!AD45*AC44/Time!AD46,0)+IF(Time!AC34=1,AC47,AC45)*AD11,0)</f>
        <v/>
      </c>
      <c r="AD120" s="13">
        <f>IF(AND(Time!AD20&gt;=Time!$F$12,Time!AE20&gt;0),(IF(Time!AD34=1,AD47,AD45)-AD44)*AE19+IF(Time!AE46&gt;0,Time!AE45*AD44/Time!AE46,0)+IF(Time!AD34=1,AD47,AD45)*AE11,0)</f>
        <v/>
      </c>
      <c r="AE120" s="13">
        <f>IF(AND(Time!AE20&gt;=Time!$F$12,Time!AF20&gt;0),(IF(Time!AE34=1,AE47,AE45)-AE44)*AF19+IF(Time!AF46&gt;0,Time!AF45*AE44/Time!AF46,0)+IF(Time!AE34=1,AE47,AE45)*AF11,0)</f>
        <v/>
      </c>
      <c r="AF120" s="13">
        <f>IF(AND(Time!AF20&gt;=Time!$F$12,Time!AG20&gt;0),(IF(Time!AF34=1,AF47,AF45)-AF44)*AG19+IF(Time!AG46&gt;0,Time!AG45*AF44/Time!AG46,0)+IF(Time!AF34=1,AF47,AF45)*AG11,0)</f>
        <v/>
      </c>
      <c r="AG120" s="13">
        <f>IF(AND(Time!AG20&gt;=Time!$F$12,Time!AH20&gt;0),(IF(Time!AG34=1,AG47,AG45)-AG44)*AH19+IF(Time!AH46&gt;0,Time!AH45*AG44/Time!AH46,0)+IF(Time!AG34=1,AG47,AG45)*AH11,0)</f>
        <v/>
      </c>
      <c r="AH120" s="13">
        <f>IF(AND(Time!AH20&gt;=Time!$F$12,Time!AI20&gt;0),(IF(Time!AH34=1,AH47,AH45)-AH44)*AI19+IF(Time!AI46&gt;0,Time!AI45*AH44/Time!AI46,0)+IF(Time!AH34=1,AH47,AH45)*AI11,0)</f>
        <v/>
      </c>
      <c r="AI120" s="13">
        <f>IF(AND(Time!AI20&gt;=Time!$F$12,Time!AJ20&gt;0),(IF(Time!AI34=1,AI47,AI45)-AI44)*AJ19+IF(Time!AJ46&gt;0,Time!AJ45*AI44/Time!AJ46,0)+IF(Time!AI34=1,AI47,AI45)*AJ11,0)</f>
        <v/>
      </c>
      <c r="AJ120" s="13">
        <f>IF(AND(Time!AJ20&gt;=Time!$F$12,Time!AK20&gt;0),(IF(Time!AJ34=1,AJ47,AJ45)-AJ44)*AK19+IF(Time!AK46&gt;0,Time!AK45*AJ44/Time!AK46,0)+IF(Time!AJ34=1,AJ47,AJ45)*AK11,0)</f>
        <v/>
      </c>
      <c r="AK120" s="13">
        <f>IF(AND(Time!AK20&gt;=Time!$F$12,Time!AL20&gt;0),(IF(Time!AK34=1,AK47,AK45)-AK44)*AL19+IF(Time!AL46&gt;0,Time!AL45*AK44/Time!AL46,0)+IF(Time!AK34=1,AK47,AK45)*AL11,0)</f>
        <v/>
      </c>
      <c r="AL120" s="13">
        <f>IF(AND(Time!AL20&gt;=Time!$F$12,Time!AM20&gt;0),(IF(Time!AL34=1,AL47,AL45)-AL44)*AM19+IF(Time!AM46&gt;0,Time!AM45*AL44/Time!AM46,0)+IF(Time!AL34=1,AL47,AL45)*AM11,0)</f>
        <v/>
      </c>
      <c r="AM120" s="13">
        <f>IF(AND(Time!AM20&gt;=Time!$F$12,Time!AN20&gt;0),(IF(Time!AM34=1,AM47,AM45)-AM44)*AN19+IF(Time!AN46&gt;0,Time!AN45*AM44/Time!AN46,0)+IF(Time!AM34=1,AM47,AM45)*AN11,0)</f>
        <v/>
      </c>
      <c r="AN120" s="13">
        <f>IF(AND(Time!AN20&gt;=Time!$F$12,Time!AO20&gt;0),(IF(Time!AN34=1,AN47,AN45)-AN44)*AO19+IF(Time!AO46&gt;0,Time!AO45*AN44/Time!AO46,0)+IF(Time!AN34=1,AN47,AN45)*AO11,0)</f>
        <v/>
      </c>
      <c r="AO120" s="13">
        <f>IF(AND(Time!AO20&gt;=Time!$F$12,Time!AP20&gt;0),(IF(Time!AO34=1,AO47,AO45)-AO44)*AP19+IF(Time!AP46&gt;0,Time!AP45*AO44/Time!AP46,0)+IF(Time!AO34=1,AO47,AO45)*AP11,0)</f>
        <v/>
      </c>
      <c r="AP120" s="13">
        <f>IF(AND(Time!AP20&gt;=Time!$F$12,Time!AQ20&gt;0),(IF(Time!AP34=1,AP47,AP45)-AP44)*AQ19+IF(Time!AQ46&gt;0,Time!AQ45*AP44/Time!AQ46,0)+IF(Time!AP34=1,AP47,AP45)*AQ11,0)</f>
        <v/>
      </c>
      <c r="AQ120" s="13">
        <f>IF(AND(Time!AQ20&gt;=Time!$F$12,Time!AR20&gt;0),(IF(Time!AQ34=1,AQ47,AQ45)-AQ44)*AR19+IF(Time!AR46&gt;0,Time!AR45*AQ44/Time!AR46,0)+IF(Time!AQ34=1,AQ47,AQ45)*AR11,0)</f>
        <v/>
      </c>
      <c r="AR120" s="13">
        <f>IF(AND(Time!AR20&gt;=Time!$F$12,Time!AS20&gt;0),(IF(Time!AR34=1,AR47,AR45)-AR44)*AS19+IF(Time!AS46&gt;0,Time!AS45*AR44/Time!AS46,0)+IF(Time!AR34=1,AR47,AR45)*AS11,0)</f>
        <v/>
      </c>
      <c r="AS120" s="13">
        <f>IF(AND(Time!AS20&gt;=Time!$F$12,Time!AT20&gt;0),(IF(Time!AS34=1,AS47,AS45)-AS44)*AT19+IF(Time!AT46&gt;0,Time!AT45*AS44/Time!AT46,0)+IF(Time!AS34=1,AS47,AS45)*AT11,0)</f>
        <v/>
      </c>
      <c r="AT120" s="13">
        <f>IF(AND(Time!AT20&gt;=Time!$F$12,Time!AU20&gt;0),(IF(Time!AT34=1,AT47,AT45)-AT44)*AU19+IF(Time!AU46&gt;0,Time!AU45*AT44/Time!AU46,0)+IF(Time!AT34=1,AT47,AT45)*AU11,0)</f>
        <v/>
      </c>
      <c r="AU120" s="13">
        <f>IF(AND(Time!AU20&gt;=Time!$F$12,Time!AV20&gt;0),(IF(Time!AU34=1,AU47,AU45)-AU44)*AV19+IF(Time!AV46&gt;0,Time!AV45*AU44/Time!AV46,0)+IF(Time!AU34=1,AU47,AU45)*AV11,0)</f>
        <v/>
      </c>
      <c r="AV120" s="13">
        <f>IF(AND(Time!AV20&gt;=Time!$F$12,Time!AW20&gt;0),(IF(Time!AV34=1,AV47,AV45)-AV44)*AW19+IF(Time!AW46&gt;0,Time!AW45*AV44/Time!AW46,0)+IF(Time!AV34=1,AV47,AV45)*AW11,0)</f>
        <v/>
      </c>
      <c r="AW120" s="13">
        <f>IF(AND(Time!AW20&gt;=Time!$F$12,Time!AX20&gt;0),(IF(Time!AW34=1,AW47,AW45)-AW44)*AX19+IF(Time!AX46&gt;0,Time!AX45*AW44/Time!AX46,0)+IF(Time!AW34=1,AW47,AW45)*AX11,0)</f>
        <v/>
      </c>
      <c r="AX120" s="13">
        <f>IF(AND(Time!AX20&gt;=Time!$F$12,Time!AY20&gt;0),(IF(Time!AX34=1,AX47,AX45)-AX44)*AY19+IF(Time!AY46&gt;0,Time!AY45*AX44/Time!AY46,0)+IF(Time!AX34=1,AX47,AX45)*AY11,0)</f>
        <v/>
      </c>
      <c r="AY120" s="13">
        <f>IF(AND(Time!AY20&gt;=Time!$F$12,Time!AZ20&gt;0),(IF(Time!AY34=1,AY47,AY45)-AY44)*AZ19+IF(Time!AZ46&gt;0,Time!AZ45*AY44/Time!AZ46,0)+IF(Time!AY34=1,AY47,AY45)*AZ11,0)</f>
        <v/>
      </c>
      <c r="AZ120" s="13">
        <f>IF(AND(Time!AZ20&gt;=Time!$F$12,Time!BA20&gt;0),(IF(Time!AZ34=1,AZ47,AZ45)-AZ44)*BA19+IF(Time!BA46&gt;0,Time!BA45*AZ44/Time!BA46,0)+IF(Time!AZ34=1,AZ47,AZ45)*BA11,0)</f>
        <v/>
      </c>
      <c r="BA120" s="13">
        <f>IF(AND(Time!BA20&gt;=Time!$F$12,Time!BB20&gt;0),(IF(Time!BA34=1,BA47,BA45)-BA44)*BB19+IF(Time!BB46&gt;0,Time!BB45*BA44/Time!BB46,0)+IF(Time!BA34=1,BA47,BA45)*BB11,0)</f>
        <v/>
      </c>
      <c r="BB120" s="13">
        <f>IF(AND(Time!BB20&gt;=Time!$F$12,Time!BC20&gt;0),(IF(Time!BB34=1,BB47,BB45)-BB44)*BC19+IF(Time!BC46&gt;0,Time!BC45*BB44/Time!BC46,0)+IF(Time!BB34=1,BB47,BB45)*BC11,0)</f>
        <v/>
      </c>
      <c r="BC120" s="13">
        <f>IF(AND(Time!BC20&gt;=Time!$F$12,Time!BD20&gt;0),(IF(Time!BC34=1,BC47,BC45)-BC44)*BD19+IF(Time!BD46&gt;0,Time!BD45*BC44/Time!BD46,0)+IF(Time!BC34=1,BC47,BC45)*BD11,0)</f>
        <v/>
      </c>
      <c r="BD120" s="13">
        <f>IF(AND(Time!BD20&gt;=Time!$F$12,Time!BE20&gt;0),(IF(Time!BD34=1,BD47,BD45)-BD44)*BE19+IF(Time!BE46&gt;0,Time!BE45*BD44/Time!BE46,0)+IF(Time!BD34=1,BD47,BD45)*BE11,0)</f>
        <v/>
      </c>
      <c r="BE120" s="13">
        <f>IF(AND(Time!BE20&gt;=Time!$F$12,Time!BF20&gt;0),(IF(Time!BE34=1,BE47,BE45)-BE44)*BF19+IF(Time!BF46&gt;0,Time!BF45*BE44/Time!BF46,0)+IF(Time!BE34=1,BE47,BE45)*BF11,0)</f>
        <v/>
      </c>
      <c r="BF120" s="13">
        <f>IF(AND(Time!BF20&gt;=Time!$F$12,Time!BG20&gt;0),(IF(Time!BF34=1,BF47,BF45)-BF44)*BG19+IF(Time!BG46&gt;0,Time!BG45*BF44/Time!BG46,0)+IF(Time!BF34=1,BF47,BF45)*BG11,0)</f>
        <v/>
      </c>
      <c r="BG120" s="13">
        <f>IF(AND(Time!BG20&gt;=Time!$F$12,Time!BH20&gt;0),(IF(Time!BG34=1,BG47,BG45)-BG44)*BH19+IF(Time!BH46&gt;0,Time!BH45*BG44/Time!BH46,0)+IF(Time!BG34=1,BG47,BG45)*BH11,0)</f>
        <v/>
      </c>
      <c r="BH120" s="13">
        <f>IF(AND(Time!BH20&gt;=Time!$F$12,Time!BI20&gt;0),(IF(Time!BH34=1,BH47,BH45)-BH44)*BI19+IF(Time!BI46&gt;0,Time!BI45*BH44/Time!BI46,0)+IF(Time!BH34=1,BH47,BH45)*BI11,0)</f>
        <v/>
      </c>
      <c r="BI120" s="13">
        <f>IF(AND(Time!BI20&gt;=Time!$F$12,Time!BJ20&gt;0),(IF(Time!BI34=1,BI47,BI45)-BI44)*BJ19+IF(Time!BJ46&gt;0,Time!BJ45*BI44/Time!BJ46,0)+IF(Time!BI34=1,BI47,BI45)*BJ11,0)</f>
        <v/>
      </c>
      <c r="BJ120" s="13">
        <f>IF(AND(Time!BJ20&gt;=Time!$F$12,Time!BK20&gt;0),(IF(Time!BJ34=1,BJ47,BJ45)-BJ44)*BK19+IF(Time!BK46&gt;0,Time!BK45*BJ44/Time!BK46,0)+IF(Time!BJ34=1,BJ47,BJ45)*BK11,0)</f>
        <v/>
      </c>
      <c r="BK120" s="13">
        <f>IF(AND(Time!BK20&gt;=Time!$F$12,Time!BL20&gt;0),(IF(Time!BK34=1,BK47,BK45)-BK44)*BL19+IF(Time!BL46&gt;0,Time!BL45*BK44/Time!BL46,0)+IF(Time!BK34=1,BK47,BK45)*BL11,0)</f>
        <v/>
      </c>
      <c r="BL120" s="13">
        <f>IF(AND(Time!BL20&gt;=Time!$F$12,Time!BM20&gt;0),(IF(Time!BL34=1,BL47,BL45)-BL44)*BM19+IF(Time!BM46&gt;0,Time!BM45*BL44/Time!BM46,0)+IF(Time!BL34=1,BL47,BL45)*BM11,0)</f>
        <v/>
      </c>
      <c r="BM120" s="13">
        <f>IF(AND(Time!BM20&gt;=Time!$F$12,Time!BN20&gt;0),(IF(Time!BM34=1,BM47,BM45)-BM44)*BN19+IF(Time!BN46&gt;0,Time!BN45*BM44/Time!BN46,0)+IF(Time!BM34=1,BM47,BM45)*BN11,0)</f>
        <v/>
      </c>
      <c r="BN120" s="13">
        <f>IF(AND(Time!BN20&gt;=Time!$F$12,Time!BO20&gt;0),(IF(Time!BN34=1,BN47,BN45)-BN44)*BO19+IF(Time!BO46&gt;0,Time!BO45*BN44/Time!BO46,0)+IF(Time!BN34=1,BN47,BN45)*BO11,0)</f>
        <v/>
      </c>
    </row>
    <row r="121">
      <c r="D121" t="inlineStr">
        <is>
          <t>ABDB B-loan: next period debt service</t>
        </is>
      </c>
      <c r="E121" t="inlineStr">
        <is>
          <t>USD m</t>
        </is>
      </c>
      <c r="J121" s="13">
        <f>IF(AND(Time!J20&gt;=Time!$F$12,Time!K20&gt;0),(IF(Time!J34=1,J61,J59)-J58)*K19+IF(Time!K46&gt;0,Time!K45*J58/Time!K46,0)+IF(Time!J34=1,J61,J59)*K12,0)</f>
        <v/>
      </c>
      <c r="K121" s="13">
        <f>IF(AND(Time!K20&gt;=Time!$F$12,Time!L20&gt;0),(IF(Time!K34=1,K61,K59)-K58)*L19+IF(Time!L46&gt;0,Time!L45*K58/Time!L46,0)+IF(Time!K34=1,K61,K59)*L12,0)</f>
        <v/>
      </c>
      <c r="L121" s="13">
        <f>IF(AND(Time!L20&gt;=Time!$F$12,Time!M20&gt;0),(IF(Time!L34=1,L61,L59)-L58)*M19+IF(Time!M46&gt;0,Time!M45*L58/Time!M46,0)+IF(Time!L34=1,L61,L59)*M12,0)</f>
        <v/>
      </c>
      <c r="M121" s="13">
        <f>IF(AND(Time!M20&gt;=Time!$F$12,Time!N20&gt;0),(IF(Time!M34=1,M61,M59)-M58)*N19+IF(Time!N46&gt;0,Time!N45*M58/Time!N46,0)+IF(Time!M34=1,M61,M59)*N12,0)</f>
        <v/>
      </c>
      <c r="N121" s="13">
        <f>IF(AND(Time!N20&gt;=Time!$F$12,Time!O20&gt;0),(IF(Time!N34=1,N61,N59)-N58)*O19+IF(Time!O46&gt;0,Time!O45*N58/Time!O46,0)+IF(Time!N34=1,N61,N59)*O12,0)</f>
        <v/>
      </c>
      <c r="O121" s="13">
        <f>IF(AND(Time!O20&gt;=Time!$F$12,Time!P20&gt;0),(IF(Time!O34=1,O61,O59)-O58)*P19+IF(Time!P46&gt;0,Time!P45*O58/Time!P46,0)+IF(Time!O34=1,O61,O59)*P12,0)</f>
        <v/>
      </c>
      <c r="P121" s="13">
        <f>IF(AND(Time!P20&gt;=Time!$F$12,Time!Q20&gt;0),(IF(Time!P34=1,P61,P59)-P58)*Q19+IF(Time!Q46&gt;0,Time!Q45*P58/Time!Q46,0)+IF(Time!P34=1,P61,P59)*Q12,0)</f>
        <v/>
      </c>
      <c r="Q121" s="13">
        <f>IF(AND(Time!Q20&gt;=Time!$F$12,Time!R20&gt;0),(IF(Time!Q34=1,Q61,Q59)-Q58)*R19+IF(Time!R46&gt;0,Time!R45*Q58/Time!R46,0)+IF(Time!Q34=1,Q61,Q59)*R12,0)</f>
        <v/>
      </c>
      <c r="R121" s="13">
        <f>IF(AND(Time!R20&gt;=Time!$F$12,Time!S20&gt;0),(IF(Time!R34=1,R61,R59)-R58)*S19+IF(Time!S46&gt;0,Time!S45*R58/Time!S46,0)+IF(Time!R34=1,R61,R59)*S12,0)</f>
        <v/>
      </c>
      <c r="S121" s="13">
        <f>IF(AND(Time!S20&gt;=Time!$F$12,Time!T20&gt;0),(IF(Time!S34=1,S61,S59)-S58)*T19+IF(Time!T46&gt;0,Time!T45*S58/Time!T46,0)+IF(Time!S34=1,S61,S59)*T12,0)</f>
        <v/>
      </c>
      <c r="T121" s="13">
        <f>IF(AND(Time!T20&gt;=Time!$F$12,Time!U20&gt;0),(IF(Time!T34=1,T61,T59)-T58)*U19+IF(Time!U46&gt;0,Time!U45*T58/Time!U46,0)+IF(Time!T34=1,T61,T59)*U12,0)</f>
        <v/>
      </c>
      <c r="U121" s="13">
        <f>IF(AND(Time!U20&gt;=Time!$F$12,Time!V20&gt;0),(IF(Time!U34=1,U61,U59)-U58)*V19+IF(Time!V46&gt;0,Time!V45*U58/Time!V46,0)+IF(Time!U34=1,U61,U59)*V12,0)</f>
        <v/>
      </c>
      <c r="V121" s="13">
        <f>IF(AND(Time!V20&gt;=Time!$F$12,Time!W20&gt;0),(IF(Time!V34=1,V61,V59)-V58)*W19+IF(Time!W46&gt;0,Time!W45*V58/Time!W46,0)+IF(Time!V34=1,V61,V59)*W12,0)</f>
        <v/>
      </c>
      <c r="W121" s="13">
        <f>IF(AND(Time!W20&gt;=Time!$F$12,Time!X20&gt;0),(IF(Time!W34=1,W61,W59)-W58)*X19+IF(Time!X46&gt;0,Time!X45*W58/Time!X46,0)+IF(Time!W34=1,W61,W59)*X12,0)</f>
        <v/>
      </c>
      <c r="X121" s="13">
        <f>IF(AND(Time!X20&gt;=Time!$F$12,Time!Y20&gt;0),(IF(Time!X34=1,X61,X59)-X58)*Y19+IF(Time!Y46&gt;0,Time!Y45*X58/Time!Y46,0)+IF(Time!X34=1,X61,X59)*Y12,0)</f>
        <v/>
      </c>
      <c r="Y121" s="13">
        <f>IF(AND(Time!Y20&gt;=Time!$F$12,Time!Z20&gt;0),(IF(Time!Y34=1,Y61,Y59)-Y58)*Z19+IF(Time!Z46&gt;0,Time!Z45*Y58/Time!Z46,0)+IF(Time!Y34=1,Y61,Y59)*Z12,0)</f>
        <v/>
      </c>
      <c r="Z121" s="13">
        <f>IF(AND(Time!Z20&gt;=Time!$F$12,Time!AA20&gt;0),(IF(Time!Z34=1,Z61,Z59)-Z58)*AA19+IF(Time!AA46&gt;0,Time!AA45*Z58/Time!AA46,0)+IF(Time!Z34=1,Z61,Z59)*AA12,0)</f>
        <v/>
      </c>
      <c r="AA121" s="13">
        <f>IF(AND(Time!AA20&gt;=Time!$F$12,Time!AB20&gt;0),(IF(Time!AA34=1,AA61,AA59)-AA58)*AB19+IF(Time!AB46&gt;0,Time!AB45*AA58/Time!AB46,0)+IF(Time!AA34=1,AA61,AA59)*AB12,0)</f>
        <v/>
      </c>
      <c r="AB121" s="13">
        <f>IF(AND(Time!AB20&gt;=Time!$F$12,Time!AC20&gt;0),(IF(Time!AB34=1,AB61,AB59)-AB58)*AC19+IF(Time!AC46&gt;0,Time!AC45*AB58/Time!AC46,0)+IF(Time!AB34=1,AB61,AB59)*AC12,0)</f>
        <v/>
      </c>
      <c r="AC121" s="13">
        <f>IF(AND(Time!AC20&gt;=Time!$F$12,Time!AD20&gt;0),(IF(Time!AC34=1,AC61,AC59)-AC58)*AD19+IF(Time!AD46&gt;0,Time!AD45*AC58/Time!AD46,0)+IF(Time!AC34=1,AC61,AC59)*AD12,0)</f>
        <v/>
      </c>
      <c r="AD121" s="13">
        <f>IF(AND(Time!AD20&gt;=Time!$F$12,Time!AE20&gt;0),(IF(Time!AD34=1,AD61,AD59)-AD58)*AE19+IF(Time!AE46&gt;0,Time!AE45*AD58/Time!AE46,0)+IF(Time!AD34=1,AD61,AD59)*AE12,0)</f>
        <v/>
      </c>
      <c r="AE121" s="13">
        <f>IF(AND(Time!AE20&gt;=Time!$F$12,Time!AF20&gt;0),(IF(Time!AE34=1,AE61,AE59)-AE58)*AF19+IF(Time!AF46&gt;0,Time!AF45*AE58/Time!AF46,0)+IF(Time!AE34=1,AE61,AE59)*AF12,0)</f>
        <v/>
      </c>
      <c r="AF121" s="13">
        <f>IF(AND(Time!AF20&gt;=Time!$F$12,Time!AG20&gt;0),(IF(Time!AF34=1,AF61,AF59)-AF58)*AG19+IF(Time!AG46&gt;0,Time!AG45*AF58/Time!AG46,0)+IF(Time!AF34=1,AF61,AF59)*AG12,0)</f>
        <v/>
      </c>
      <c r="AG121" s="13">
        <f>IF(AND(Time!AG20&gt;=Time!$F$12,Time!AH20&gt;0),(IF(Time!AG34=1,AG61,AG59)-AG58)*AH19+IF(Time!AH46&gt;0,Time!AH45*AG58/Time!AH46,0)+IF(Time!AG34=1,AG61,AG59)*AH12,0)</f>
        <v/>
      </c>
      <c r="AH121" s="13">
        <f>IF(AND(Time!AH20&gt;=Time!$F$12,Time!AI20&gt;0),(IF(Time!AH34=1,AH61,AH59)-AH58)*AI19+IF(Time!AI46&gt;0,Time!AI45*AH58/Time!AI46,0)+IF(Time!AH34=1,AH61,AH59)*AI12,0)</f>
        <v/>
      </c>
      <c r="AI121" s="13">
        <f>IF(AND(Time!AI20&gt;=Time!$F$12,Time!AJ20&gt;0),(IF(Time!AI34=1,AI61,AI59)-AI58)*AJ19+IF(Time!AJ46&gt;0,Time!AJ45*AI58/Time!AJ46,0)+IF(Time!AI34=1,AI61,AI59)*AJ12,0)</f>
        <v/>
      </c>
      <c r="AJ121" s="13">
        <f>IF(AND(Time!AJ20&gt;=Time!$F$12,Time!AK20&gt;0),(IF(Time!AJ34=1,AJ61,AJ59)-AJ58)*AK19+IF(Time!AK46&gt;0,Time!AK45*AJ58/Time!AK46,0)+IF(Time!AJ34=1,AJ61,AJ59)*AK12,0)</f>
        <v/>
      </c>
      <c r="AK121" s="13">
        <f>IF(AND(Time!AK20&gt;=Time!$F$12,Time!AL20&gt;0),(IF(Time!AK34=1,AK61,AK59)-AK58)*AL19+IF(Time!AL46&gt;0,Time!AL45*AK58/Time!AL46,0)+IF(Time!AK34=1,AK61,AK59)*AL12,0)</f>
        <v/>
      </c>
      <c r="AL121" s="13">
        <f>IF(AND(Time!AL20&gt;=Time!$F$12,Time!AM20&gt;0),(IF(Time!AL34=1,AL61,AL59)-AL58)*AM19+IF(Time!AM46&gt;0,Time!AM45*AL58/Time!AM46,0)+IF(Time!AL34=1,AL61,AL59)*AM12,0)</f>
        <v/>
      </c>
      <c r="AM121" s="13">
        <f>IF(AND(Time!AM20&gt;=Time!$F$12,Time!AN20&gt;0),(IF(Time!AM34=1,AM61,AM59)-AM58)*AN19+IF(Time!AN46&gt;0,Time!AN45*AM58/Time!AN46,0)+IF(Time!AM34=1,AM61,AM59)*AN12,0)</f>
        <v/>
      </c>
      <c r="AN121" s="13">
        <f>IF(AND(Time!AN20&gt;=Time!$F$12,Time!AO20&gt;0),(IF(Time!AN34=1,AN61,AN59)-AN58)*AO19+IF(Time!AO46&gt;0,Time!AO45*AN58/Time!AO46,0)+IF(Time!AN34=1,AN61,AN59)*AO12,0)</f>
        <v/>
      </c>
      <c r="AO121" s="13">
        <f>IF(AND(Time!AO20&gt;=Time!$F$12,Time!AP20&gt;0),(IF(Time!AO34=1,AO61,AO59)-AO58)*AP19+IF(Time!AP46&gt;0,Time!AP45*AO58/Time!AP46,0)+IF(Time!AO34=1,AO61,AO59)*AP12,0)</f>
        <v/>
      </c>
      <c r="AP121" s="13">
        <f>IF(AND(Time!AP20&gt;=Time!$F$12,Time!AQ20&gt;0),(IF(Time!AP34=1,AP61,AP59)-AP58)*AQ19+IF(Time!AQ46&gt;0,Time!AQ45*AP58/Time!AQ46,0)+IF(Time!AP34=1,AP61,AP59)*AQ12,0)</f>
        <v/>
      </c>
      <c r="AQ121" s="13">
        <f>IF(AND(Time!AQ20&gt;=Time!$F$12,Time!AR20&gt;0),(IF(Time!AQ34=1,AQ61,AQ59)-AQ58)*AR19+IF(Time!AR46&gt;0,Time!AR45*AQ58/Time!AR46,0)+IF(Time!AQ34=1,AQ61,AQ59)*AR12,0)</f>
        <v/>
      </c>
      <c r="AR121" s="13">
        <f>IF(AND(Time!AR20&gt;=Time!$F$12,Time!AS20&gt;0),(IF(Time!AR34=1,AR61,AR59)-AR58)*AS19+IF(Time!AS46&gt;0,Time!AS45*AR58/Time!AS46,0)+IF(Time!AR34=1,AR61,AR59)*AS12,0)</f>
        <v/>
      </c>
      <c r="AS121" s="13">
        <f>IF(AND(Time!AS20&gt;=Time!$F$12,Time!AT20&gt;0),(IF(Time!AS34=1,AS61,AS59)-AS58)*AT19+IF(Time!AT46&gt;0,Time!AT45*AS58/Time!AT46,0)+IF(Time!AS34=1,AS61,AS59)*AT12,0)</f>
        <v/>
      </c>
      <c r="AT121" s="13">
        <f>IF(AND(Time!AT20&gt;=Time!$F$12,Time!AU20&gt;0),(IF(Time!AT34=1,AT61,AT59)-AT58)*AU19+IF(Time!AU46&gt;0,Time!AU45*AT58/Time!AU46,0)+IF(Time!AT34=1,AT61,AT59)*AU12,0)</f>
        <v/>
      </c>
      <c r="AU121" s="13">
        <f>IF(AND(Time!AU20&gt;=Time!$F$12,Time!AV20&gt;0),(IF(Time!AU34=1,AU61,AU59)-AU58)*AV19+IF(Time!AV46&gt;0,Time!AV45*AU58/Time!AV46,0)+IF(Time!AU34=1,AU61,AU59)*AV12,0)</f>
        <v/>
      </c>
      <c r="AV121" s="13">
        <f>IF(AND(Time!AV20&gt;=Time!$F$12,Time!AW20&gt;0),(IF(Time!AV34=1,AV61,AV59)-AV58)*AW19+IF(Time!AW46&gt;0,Time!AW45*AV58/Time!AW46,0)+IF(Time!AV34=1,AV61,AV59)*AW12,0)</f>
        <v/>
      </c>
      <c r="AW121" s="13">
        <f>IF(AND(Time!AW20&gt;=Time!$F$12,Time!AX20&gt;0),(IF(Time!AW34=1,AW61,AW59)-AW58)*AX19+IF(Time!AX46&gt;0,Time!AX45*AW58/Time!AX46,0)+IF(Time!AW34=1,AW61,AW59)*AX12,0)</f>
        <v/>
      </c>
      <c r="AX121" s="13">
        <f>IF(AND(Time!AX20&gt;=Time!$F$12,Time!AY20&gt;0),(IF(Time!AX34=1,AX61,AX59)-AX58)*AY19+IF(Time!AY46&gt;0,Time!AY45*AX58/Time!AY46,0)+IF(Time!AX34=1,AX61,AX59)*AY12,0)</f>
        <v/>
      </c>
      <c r="AY121" s="13">
        <f>IF(AND(Time!AY20&gt;=Time!$F$12,Time!AZ20&gt;0),(IF(Time!AY34=1,AY61,AY59)-AY58)*AZ19+IF(Time!AZ46&gt;0,Time!AZ45*AY58/Time!AZ46,0)+IF(Time!AY34=1,AY61,AY59)*AZ12,0)</f>
        <v/>
      </c>
      <c r="AZ121" s="13">
        <f>IF(AND(Time!AZ20&gt;=Time!$F$12,Time!BA20&gt;0),(IF(Time!AZ34=1,AZ61,AZ59)-AZ58)*BA19+IF(Time!BA46&gt;0,Time!BA45*AZ58/Time!BA46,0)+IF(Time!AZ34=1,AZ61,AZ59)*BA12,0)</f>
        <v/>
      </c>
      <c r="BA121" s="13">
        <f>IF(AND(Time!BA20&gt;=Time!$F$12,Time!BB20&gt;0),(IF(Time!BA34=1,BA61,BA59)-BA58)*BB19+IF(Time!BB46&gt;0,Time!BB45*BA58/Time!BB46,0)+IF(Time!BA34=1,BA61,BA59)*BB12,0)</f>
        <v/>
      </c>
      <c r="BB121" s="13">
        <f>IF(AND(Time!BB20&gt;=Time!$F$12,Time!BC20&gt;0),(IF(Time!BB34=1,BB61,BB59)-BB58)*BC19+IF(Time!BC46&gt;0,Time!BC45*BB58/Time!BC46,0)+IF(Time!BB34=1,BB61,BB59)*BC12,0)</f>
        <v/>
      </c>
      <c r="BC121" s="13">
        <f>IF(AND(Time!BC20&gt;=Time!$F$12,Time!BD20&gt;0),(IF(Time!BC34=1,BC61,BC59)-BC58)*BD19+IF(Time!BD46&gt;0,Time!BD45*BC58/Time!BD46,0)+IF(Time!BC34=1,BC61,BC59)*BD12,0)</f>
        <v/>
      </c>
      <c r="BD121" s="13">
        <f>IF(AND(Time!BD20&gt;=Time!$F$12,Time!BE20&gt;0),(IF(Time!BD34=1,BD61,BD59)-BD58)*BE19+IF(Time!BE46&gt;0,Time!BE45*BD58/Time!BE46,0)+IF(Time!BD34=1,BD61,BD59)*BE12,0)</f>
        <v/>
      </c>
      <c r="BE121" s="13">
        <f>IF(AND(Time!BE20&gt;=Time!$F$12,Time!BF20&gt;0),(IF(Time!BE34=1,BE61,BE59)-BE58)*BF19+IF(Time!BF46&gt;0,Time!BF45*BE58/Time!BF46,0)+IF(Time!BE34=1,BE61,BE59)*BF12,0)</f>
        <v/>
      </c>
      <c r="BF121" s="13">
        <f>IF(AND(Time!BF20&gt;=Time!$F$12,Time!BG20&gt;0),(IF(Time!BF34=1,BF61,BF59)-BF58)*BG19+IF(Time!BG46&gt;0,Time!BG45*BF58/Time!BG46,0)+IF(Time!BF34=1,BF61,BF59)*BG12,0)</f>
        <v/>
      </c>
      <c r="BG121" s="13">
        <f>IF(AND(Time!BG20&gt;=Time!$F$12,Time!BH20&gt;0),(IF(Time!BG34=1,BG61,BG59)-BG58)*BH19+IF(Time!BH46&gt;0,Time!BH45*BG58/Time!BH46,0)+IF(Time!BG34=1,BG61,BG59)*BH12,0)</f>
        <v/>
      </c>
      <c r="BH121" s="13">
        <f>IF(AND(Time!BH20&gt;=Time!$F$12,Time!BI20&gt;0),(IF(Time!BH34=1,BH61,BH59)-BH58)*BI19+IF(Time!BI46&gt;0,Time!BI45*BH58/Time!BI46,0)+IF(Time!BH34=1,BH61,BH59)*BI12,0)</f>
        <v/>
      </c>
      <c r="BI121" s="13">
        <f>IF(AND(Time!BI20&gt;=Time!$F$12,Time!BJ20&gt;0),(IF(Time!BI34=1,BI61,BI59)-BI58)*BJ19+IF(Time!BJ46&gt;0,Time!BJ45*BI58/Time!BJ46,0)+IF(Time!BI34=1,BI61,BI59)*BJ12,0)</f>
        <v/>
      </c>
      <c r="BJ121" s="13">
        <f>IF(AND(Time!BJ20&gt;=Time!$F$12,Time!BK20&gt;0),(IF(Time!BJ34=1,BJ61,BJ59)-BJ58)*BK19+IF(Time!BK46&gt;0,Time!BK45*BJ58/Time!BK46,0)+IF(Time!BJ34=1,BJ61,BJ59)*BK12,0)</f>
        <v/>
      </c>
      <c r="BK121" s="13">
        <f>IF(AND(Time!BK20&gt;=Time!$F$12,Time!BL20&gt;0),(IF(Time!BK34=1,BK61,BK59)-BK58)*BL19+IF(Time!BL46&gt;0,Time!BL45*BK58/Time!BL46,0)+IF(Time!BK34=1,BK61,BK59)*BL12,0)</f>
        <v/>
      </c>
      <c r="BL121" s="13">
        <f>IF(AND(Time!BL20&gt;=Time!$F$12,Time!BM20&gt;0),(IF(Time!BL34=1,BL61,BL59)-BL58)*BM19+IF(Time!BM46&gt;0,Time!BM45*BL58/Time!BM46,0)+IF(Time!BL34=1,BL61,BL59)*BM12,0)</f>
        <v/>
      </c>
      <c r="BM121" s="13">
        <f>IF(AND(Time!BM20&gt;=Time!$F$12,Time!BN20&gt;0),(IF(Time!BM34=1,BM61,BM59)-BM58)*BN19+IF(Time!BN46&gt;0,Time!BN45*BM58/Time!BN46,0)+IF(Time!BM34=1,BM61,BM59)*BN12,0)</f>
        <v/>
      </c>
      <c r="BN121" s="13">
        <f>IF(AND(Time!BN20&gt;=Time!$F$12,Time!BO20&gt;0),(IF(Time!BN34=1,BN61,BN59)-BN58)*BO19+IF(Time!BO46&gt;0,Time!BO45*BN58/Time!BO46,0)+IF(Time!BN34=1,BN61,BN59)*BO12,0)</f>
        <v/>
      </c>
    </row>
    <row r="122">
      <c r="D122" t="inlineStr">
        <is>
          <t>Commercial tranche: next period debt service</t>
        </is>
      </c>
      <c r="E122" t="inlineStr">
        <is>
          <t>USD m</t>
        </is>
      </c>
      <c r="J122" s="13">
        <f>IF(AND(Time!J20&gt;=Time!$F$12,Time!K20&gt;0),(IF(Time!J34=1,J75,J73)-J72)*K19+IF(Time!K46&gt;0,Time!K45*J72/Time!K46,0)+IF(Time!J34=1,J75,J73)*K13,0)</f>
        <v/>
      </c>
      <c r="K122" s="13">
        <f>IF(AND(Time!K20&gt;=Time!$F$12,Time!L20&gt;0),(IF(Time!K34=1,K75,K73)-K72)*L19+IF(Time!L46&gt;0,Time!L45*K72/Time!L46,0)+IF(Time!K34=1,K75,K73)*L13,0)</f>
        <v/>
      </c>
      <c r="L122" s="13">
        <f>IF(AND(Time!L20&gt;=Time!$F$12,Time!M20&gt;0),(IF(Time!L34=1,L75,L73)-L72)*M19+IF(Time!M46&gt;0,Time!M45*L72/Time!M46,0)+IF(Time!L34=1,L75,L73)*M13,0)</f>
        <v/>
      </c>
      <c r="M122" s="13">
        <f>IF(AND(Time!M20&gt;=Time!$F$12,Time!N20&gt;0),(IF(Time!M34=1,M75,M73)-M72)*N19+IF(Time!N46&gt;0,Time!N45*M72/Time!N46,0)+IF(Time!M34=1,M75,M73)*N13,0)</f>
        <v/>
      </c>
      <c r="N122" s="13">
        <f>IF(AND(Time!N20&gt;=Time!$F$12,Time!O20&gt;0),(IF(Time!N34=1,N75,N73)-N72)*O19+IF(Time!O46&gt;0,Time!O45*N72/Time!O46,0)+IF(Time!N34=1,N75,N73)*O13,0)</f>
        <v/>
      </c>
      <c r="O122" s="13">
        <f>IF(AND(Time!O20&gt;=Time!$F$12,Time!P20&gt;0),(IF(Time!O34=1,O75,O73)-O72)*P19+IF(Time!P46&gt;0,Time!P45*O72/Time!P46,0)+IF(Time!O34=1,O75,O73)*P13,0)</f>
        <v/>
      </c>
      <c r="P122" s="13">
        <f>IF(AND(Time!P20&gt;=Time!$F$12,Time!Q20&gt;0),(IF(Time!P34=1,P75,P73)-P72)*Q19+IF(Time!Q46&gt;0,Time!Q45*P72/Time!Q46,0)+IF(Time!P34=1,P75,P73)*Q13,0)</f>
        <v/>
      </c>
      <c r="Q122" s="13">
        <f>IF(AND(Time!Q20&gt;=Time!$F$12,Time!R20&gt;0),(IF(Time!Q34=1,Q75,Q73)-Q72)*R19+IF(Time!R46&gt;0,Time!R45*Q72/Time!R46,0)+IF(Time!Q34=1,Q75,Q73)*R13,0)</f>
        <v/>
      </c>
      <c r="R122" s="13">
        <f>IF(AND(Time!R20&gt;=Time!$F$12,Time!S20&gt;0),(IF(Time!R34=1,R75,R73)-R72)*S19+IF(Time!S46&gt;0,Time!S45*R72/Time!S46,0)+IF(Time!R34=1,R75,R73)*S13,0)</f>
        <v/>
      </c>
      <c r="S122" s="13">
        <f>IF(AND(Time!S20&gt;=Time!$F$12,Time!T20&gt;0),(IF(Time!S34=1,S75,S73)-S72)*T19+IF(Time!T46&gt;0,Time!T45*S72/Time!T46,0)+IF(Time!S34=1,S75,S73)*T13,0)</f>
        <v/>
      </c>
      <c r="T122" s="13">
        <f>IF(AND(Time!T20&gt;=Time!$F$12,Time!U20&gt;0),(IF(Time!T34=1,T75,T73)-T72)*U19+IF(Time!U46&gt;0,Time!U45*T72/Time!U46,0)+IF(Time!T34=1,T75,T73)*U13,0)</f>
        <v/>
      </c>
      <c r="U122" s="13">
        <f>IF(AND(Time!U20&gt;=Time!$F$12,Time!V20&gt;0),(IF(Time!U34=1,U75,U73)-U72)*V19+IF(Time!V46&gt;0,Time!V45*U72/Time!V46,0)+IF(Time!U34=1,U75,U73)*V13,0)</f>
        <v/>
      </c>
      <c r="V122" s="13">
        <f>IF(AND(Time!V20&gt;=Time!$F$12,Time!W20&gt;0),(IF(Time!V34=1,V75,V73)-V72)*W19+IF(Time!W46&gt;0,Time!W45*V72/Time!W46,0)+IF(Time!V34=1,V75,V73)*W13,0)</f>
        <v/>
      </c>
      <c r="W122" s="13">
        <f>IF(AND(Time!W20&gt;=Time!$F$12,Time!X20&gt;0),(IF(Time!W34=1,W75,W73)-W72)*X19+IF(Time!X46&gt;0,Time!X45*W72/Time!X46,0)+IF(Time!W34=1,W75,W73)*X13,0)</f>
        <v/>
      </c>
      <c r="X122" s="13">
        <f>IF(AND(Time!X20&gt;=Time!$F$12,Time!Y20&gt;0),(IF(Time!X34=1,X75,X73)-X72)*Y19+IF(Time!Y46&gt;0,Time!Y45*X72/Time!Y46,0)+IF(Time!X34=1,X75,X73)*Y13,0)</f>
        <v/>
      </c>
      <c r="Y122" s="13">
        <f>IF(AND(Time!Y20&gt;=Time!$F$12,Time!Z20&gt;0),(IF(Time!Y34=1,Y75,Y73)-Y72)*Z19+IF(Time!Z46&gt;0,Time!Z45*Y72/Time!Z46,0)+IF(Time!Y34=1,Y75,Y73)*Z13,0)</f>
        <v/>
      </c>
      <c r="Z122" s="13">
        <f>IF(AND(Time!Z20&gt;=Time!$F$12,Time!AA20&gt;0),(IF(Time!Z34=1,Z75,Z73)-Z72)*AA19+IF(Time!AA46&gt;0,Time!AA45*Z72/Time!AA46,0)+IF(Time!Z34=1,Z75,Z73)*AA13,0)</f>
        <v/>
      </c>
      <c r="AA122" s="13">
        <f>IF(AND(Time!AA20&gt;=Time!$F$12,Time!AB20&gt;0),(IF(Time!AA34=1,AA75,AA73)-AA72)*AB19+IF(Time!AB46&gt;0,Time!AB45*AA72/Time!AB46,0)+IF(Time!AA34=1,AA75,AA73)*AB13,0)</f>
        <v/>
      </c>
      <c r="AB122" s="13">
        <f>IF(AND(Time!AB20&gt;=Time!$F$12,Time!AC20&gt;0),(IF(Time!AB34=1,AB75,AB73)-AB72)*AC19+IF(Time!AC46&gt;0,Time!AC45*AB72/Time!AC46,0)+IF(Time!AB34=1,AB75,AB73)*AC13,0)</f>
        <v/>
      </c>
      <c r="AC122" s="13">
        <f>IF(AND(Time!AC20&gt;=Time!$F$12,Time!AD20&gt;0),(IF(Time!AC34=1,AC75,AC73)-AC72)*AD19+IF(Time!AD46&gt;0,Time!AD45*AC72/Time!AD46,0)+IF(Time!AC34=1,AC75,AC73)*AD13,0)</f>
        <v/>
      </c>
      <c r="AD122" s="13">
        <f>IF(AND(Time!AD20&gt;=Time!$F$12,Time!AE20&gt;0),(IF(Time!AD34=1,AD75,AD73)-AD72)*AE19+IF(Time!AE46&gt;0,Time!AE45*AD72/Time!AE46,0)+IF(Time!AD34=1,AD75,AD73)*AE13,0)</f>
        <v/>
      </c>
      <c r="AE122" s="13">
        <f>IF(AND(Time!AE20&gt;=Time!$F$12,Time!AF20&gt;0),(IF(Time!AE34=1,AE75,AE73)-AE72)*AF19+IF(Time!AF46&gt;0,Time!AF45*AE72/Time!AF46,0)+IF(Time!AE34=1,AE75,AE73)*AF13,0)</f>
        <v/>
      </c>
      <c r="AF122" s="13">
        <f>IF(AND(Time!AF20&gt;=Time!$F$12,Time!AG20&gt;0),(IF(Time!AF34=1,AF75,AF73)-AF72)*AG19+IF(Time!AG46&gt;0,Time!AG45*AF72/Time!AG46,0)+IF(Time!AF34=1,AF75,AF73)*AG13,0)</f>
        <v/>
      </c>
      <c r="AG122" s="13">
        <f>IF(AND(Time!AG20&gt;=Time!$F$12,Time!AH20&gt;0),(IF(Time!AG34=1,AG75,AG73)-AG72)*AH19+IF(Time!AH46&gt;0,Time!AH45*AG72/Time!AH46,0)+IF(Time!AG34=1,AG75,AG73)*AH13,0)</f>
        <v/>
      </c>
      <c r="AH122" s="13">
        <f>IF(AND(Time!AH20&gt;=Time!$F$12,Time!AI20&gt;0),(IF(Time!AH34=1,AH75,AH73)-AH72)*AI19+IF(Time!AI46&gt;0,Time!AI45*AH72/Time!AI46,0)+IF(Time!AH34=1,AH75,AH73)*AI13,0)</f>
        <v/>
      </c>
      <c r="AI122" s="13">
        <f>IF(AND(Time!AI20&gt;=Time!$F$12,Time!AJ20&gt;0),(IF(Time!AI34=1,AI75,AI73)-AI72)*AJ19+IF(Time!AJ46&gt;0,Time!AJ45*AI72/Time!AJ46,0)+IF(Time!AI34=1,AI75,AI73)*AJ13,0)</f>
        <v/>
      </c>
      <c r="AJ122" s="13">
        <f>IF(AND(Time!AJ20&gt;=Time!$F$12,Time!AK20&gt;0),(IF(Time!AJ34=1,AJ75,AJ73)-AJ72)*AK19+IF(Time!AK46&gt;0,Time!AK45*AJ72/Time!AK46,0)+IF(Time!AJ34=1,AJ75,AJ73)*AK13,0)</f>
        <v/>
      </c>
      <c r="AK122" s="13">
        <f>IF(AND(Time!AK20&gt;=Time!$F$12,Time!AL20&gt;0),(IF(Time!AK34=1,AK75,AK73)-AK72)*AL19+IF(Time!AL46&gt;0,Time!AL45*AK72/Time!AL46,0)+IF(Time!AK34=1,AK75,AK73)*AL13,0)</f>
        <v/>
      </c>
      <c r="AL122" s="13">
        <f>IF(AND(Time!AL20&gt;=Time!$F$12,Time!AM20&gt;0),(IF(Time!AL34=1,AL75,AL73)-AL72)*AM19+IF(Time!AM46&gt;0,Time!AM45*AL72/Time!AM46,0)+IF(Time!AL34=1,AL75,AL73)*AM13,0)</f>
        <v/>
      </c>
      <c r="AM122" s="13">
        <f>IF(AND(Time!AM20&gt;=Time!$F$12,Time!AN20&gt;0),(IF(Time!AM34=1,AM75,AM73)-AM72)*AN19+IF(Time!AN46&gt;0,Time!AN45*AM72/Time!AN46,0)+IF(Time!AM34=1,AM75,AM73)*AN13,0)</f>
        <v/>
      </c>
      <c r="AN122" s="13">
        <f>IF(AND(Time!AN20&gt;=Time!$F$12,Time!AO20&gt;0),(IF(Time!AN34=1,AN75,AN73)-AN72)*AO19+IF(Time!AO46&gt;0,Time!AO45*AN72/Time!AO46,0)+IF(Time!AN34=1,AN75,AN73)*AO13,0)</f>
        <v/>
      </c>
      <c r="AO122" s="13">
        <f>IF(AND(Time!AO20&gt;=Time!$F$12,Time!AP20&gt;0),(IF(Time!AO34=1,AO75,AO73)-AO72)*AP19+IF(Time!AP46&gt;0,Time!AP45*AO72/Time!AP46,0)+IF(Time!AO34=1,AO75,AO73)*AP13,0)</f>
        <v/>
      </c>
      <c r="AP122" s="13">
        <f>IF(AND(Time!AP20&gt;=Time!$F$12,Time!AQ20&gt;0),(IF(Time!AP34=1,AP75,AP73)-AP72)*AQ19+IF(Time!AQ46&gt;0,Time!AQ45*AP72/Time!AQ46,0)+IF(Time!AP34=1,AP75,AP73)*AQ13,0)</f>
        <v/>
      </c>
      <c r="AQ122" s="13">
        <f>IF(AND(Time!AQ20&gt;=Time!$F$12,Time!AR20&gt;0),(IF(Time!AQ34=1,AQ75,AQ73)-AQ72)*AR19+IF(Time!AR46&gt;0,Time!AR45*AQ72/Time!AR46,0)+IF(Time!AQ34=1,AQ75,AQ73)*AR13,0)</f>
        <v/>
      </c>
      <c r="AR122" s="13">
        <f>IF(AND(Time!AR20&gt;=Time!$F$12,Time!AS20&gt;0),(IF(Time!AR34=1,AR75,AR73)-AR72)*AS19+IF(Time!AS46&gt;0,Time!AS45*AR72/Time!AS46,0)+IF(Time!AR34=1,AR75,AR73)*AS13,0)</f>
        <v/>
      </c>
      <c r="AS122" s="13">
        <f>IF(AND(Time!AS20&gt;=Time!$F$12,Time!AT20&gt;0),(IF(Time!AS34=1,AS75,AS73)-AS72)*AT19+IF(Time!AT46&gt;0,Time!AT45*AS72/Time!AT46,0)+IF(Time!AS34=1,AS75,AS73)*AT13,0)</f>
        <v/>
      </c>
      <c r="AT122" s="13">
        <f>IF(AND(Time!AT20&gt;=Time!$F$12,Time!AU20&gt;0),(IF(Time!AT34=1,AT75,AT73)-AT72)*AU19+IF(Time!AU46&gt;0,Time!AU45*AT72/Time!AU46,0)+IF(Time!AT34=1,AT75,AT73)*AU13,0)</f>
        <v/>
      </c>
      <c r="AU122" s="13">
        <f>IF(AND(Time!AU20&gt;=Time!$F$12,Time!AV20&gt;0),(IF(Time!AU34=1,AU75,AU73)-AU72)*AV19+IF(Time!AV46&gt;0,Time!AV45*AU72/Time!AV46,0)+IF(Time!AU34=1,AU75,AU73)*AV13,0)</f>
        <v/>
      </c>
      <c r="AV122" s="13">
        <f>IF(AND(Time!AV20&gt;=Time!$F$12,Time!AW20&gt;0),(IF(Time!AV34=1,AV75,AV73)-AV72)*AW19+IF(Time!AW46&gt;0,Time!AW45*AV72/Time!AW46,0)+IF(Time!AV34=1,AV75,AV73)*AW13,0)</f>
        <v/>
      </c>
      <c r="AW122" s="13">
        <f>IF(AND(Time!AW20&gt;=Time!$F$12,Time!AX20&gt;0),(IF(Time!AW34=1,AW75,AW73)-AW72)*AX19+IF(Time!AX46&gt;0,Time!AX45*AW72/Time!AX46,0)+IF(Time!AW34=1,AW75,AW73)*AX13,0)</f>
        <v/>
      </c>
      <c r="AX122" s="13">
        <f>IF(AND(Time!AX20&gt;=Time!$F$12,Time!AY20&gt;0),(IF(Time!AX34=1,AX75,AX73)-AX72)*AY19+IF(Time!AY46&gt;0,Time!AY45*AX72/Time!AY46,0)+IF(Time!AX34=1,AX75,AX73)*AY13,0)</f>
        <v/>
      </c>
      <c r="AY122" s="13">
        <f>IF(AND(Time!AY20&gt;=Time!$F$12,Time!AZ20&gt;0),(IF(Time!AY34=1,AY75,AY73)-AY72)*AZ19+IF(Time!AZ46&gt;0,Time!AZ45*AY72/Time!AZ46,0)+IF(Time!AY34=1,AY75,AY73)*AZ13,0)</f>
        <v/>
      </c>
      <c r="AZ122" s="13">
        <f>IF(AND(Time!AZ20&gt;=Time!$F$12,Time!BA20&gt;0),(IF(Time!AZ34=1,AZ75,AZ73)-AZ72)*BA19+IF(Time!BA46&gt;0,Time!BA45*AZ72/Time!BA46,0)+IF(Time!AZ34=1,AZ75,AZ73)*BA13,0)</f>
        <v/>
      </c>
      <c r="BA122" s="13">
        <f>IF(AND(Time!BA20&gt;=Time!$F$12,Time!BB20&gt;0),(IF(Time!BA34=1,BA75,BA73)-BA72)*BB19+IF(Time!BB46&gt;0,Time!BB45*BA72/Time!BB46,0)+IF(Time!BA34=1,BA75,BA73)*BB13,0)</f>
        <v/>
      </c>
      <c r="BB122" s="13">
        <f>IF(AND(Time!BB20&gt;=Time!$F$12,Time!BC20&gt;0),(IF(Time!BB34=1,BB75,BB73)-BB72)*BC19+IF(Time!BC46&gt;0,Time!BC45*BB72/Time!BC46,0)+IF(Time!BB34=1,BB75,BB73)*BC13,0)</f>
        <v/>
      </c>
      <c r="BC122" s="13">
        <f>IF(AND(Time!BC20&gt;=Time!$F$12,Time!BD20&gt;0),(IF(Time!BC34=1,BC75,BC73)-BC72)*BD19+IF(Time!BD46&gt;0,Time!BD45*BC72/Time!BD46,0)+IF(Time!BC34=1,BC75,BC73)*BD13,0)</f>
        <v/>
      </c>
      <c r="BD122" s="13">
        <f>IF(AND(Time!BD20&gt;=Time!$F$12,Time!BE20&gt;0),(IF(Time!BD34=1,BD75,BD73)-BD72)*BE19+IF(Time!BE46&gt;0,Time!BE45*BD72/Time!BE46,0)+IF(Time!BD34=1,BD75,BD73)*BE13,0)</f>
        <v/>
      </c>
      <c r="BE122" s="13">
        <f>IF(AND(Time!BE20&gt;=Time!$F$12,Time!BF20&gt;0),(IF(Time!BE34=1,BE75,BE73)-BE72)*BF19+IF(Time!BF46&gt;0,Time!BF45*BE72/Time!BF46,0)+IF(Time!BE34=1,BE75,BE73)*BF13,0)</f>
        <v/>
      </c>
      <c r="BF122" s="13">
        <f>IF(AND(Time!BF20&gt;=Time!$F$12,Time!BG20&gt;0),(IF(Time!BF34=1,BF75,BF73)-BF72)*BG19+IF(Time!BG46&gt;0,Time!BG45*BF72/Time!BG46,0)+IF(Time!BF34=1,BF75,BF73)*BG13,0)</f>
        <v/>
      </c>
      <c r="BG122" s="13">
        <f>IF(AND(Time!BG20&gt;=Time!$F$12,Time!BH20&gt;0),(IF(Time!BG34=1,BG75,BG73)-BG72)*BH19+IF(Time!BH46&gt;0,Time!BH45*BG72/Time!BH46,0)+IF(Time!BG34=1,BG75,BG73)*BH13,0)</f>
        <v/>
      </c>
      <c r="BH122" s="13">
        <f>IF(AND(Time!BH20&gt;=Time!$F$12,Time!BI20&gt;0),(IF(Time!BH34=1,BH75,BH73)-BH72)*BI19+IF(Time!BI46&gt;0,Time!BI45*BH72/Time!BI46,0)+IF(Time!BH34=1,BH75,BH73)*BI13,0)</f>
        <v/>
      </c>
      <c r="BI122" s="13">
        <f>IF(AND(Time!BI20&gt;=Time!$F$12,Time!BJ20&gt;0),(IF(Time!BI34=1,BI75,BI73)-BI72)*BJ19+IF(Time!BJ46&gt;0,Time!BJ45*BI72/Time!BJ46,0)+IF(Time!BI34=1,BI75,BI73)*BJ13,0)</f>
        <v/>
      </c>
      <c r="BJ122" s="13">
        <f>IF(AND(Time!BJ20&gt;=Time!$F$12,Time!BK20&gt;0),(IF(Time!BJ34=1,BJ75,BJ73)-BJ72)*BK19+IF(Time!BK46&gt;0,Time!BK45*BJ72/Time!BK46,0)+IF(Time!BJ34=1,BJ75,BJ73)*BK13,0)</f>
        <v/>
      </c>
      <c r="BK122" s="13">
        <f>IF(AND(Time!BK20&gt;=Time!$F$12,Time!BL20&gt;0),(IF(Time!BK34=1,BK75,BK73)-BK72)*BL19+IF(Time!BL46&gt;0,Time!BL45*BK72/Time!BL46,0)+IF(Time!BK34=1,BK75,BK73)*BL13,0)</f>
        <v/>
      </c>
      <c r="BL122" s="13">
        <f>IF(AND(Time!BL20&gt;=Time!$F$12,Time!BM20&gt;0),(IF(Time!BL34=1,BL75,BL73)-BL72)*BM19+IF(Time!BM46&gt;0,Time!BM45*BL72/Time!BM46,0)+IF(Time!BL34=1,BL75,BL73)*BM13,0)</f>
        <v/>
      </c>
      <c r="BM122" s="13">
        <f>IF(AND(Time!BM20&gt;=Time!$F$12,Time!BN20&gt;0),(IF(Time!BM34=1,BM75,BM73)-BM72)*BN19+IF(Time!BN46&gt;0,Time!BN45*BM72/Time!BN46,0)+IF(Time!BM34=1,BM75,BM73)*BN13,0)</f>
        <v/>
      </c>
      <c r="BN122" s="13">
        <f>IF(AND(Time!BN20&gt;=Time!$F$12,Time!BO20&gt;0),(IF(Time!BN34=1,BN75,BN73)-BN72)*BO19+IF(Time!BO46&gt;0,Time!BO45*BN72/Time!BO46,0)+IF(Time!BN34=1,BN75,BN73)*BO13,0)</f>
        <v/>
      </c>
    </row>
    <row r="123">
      <c r="D123" t="inlineStr">
        <is>
          <t>Standby facility: next period debt service</t>
        </is>
      </c>
      <c r="E123" t="inlineStr">
        <is>
          <t>USD m</t>
        </is>
      </c>
      <c r="J123" s="13">
        <f>IF(AND(Time!J20&gt;=Time!$F$12,Time!K20&gt;0),(IF(Time!J34=1,J89,J87)-J86)*K19+IF(Time!K46&gt;0,Time!K45*J86/Time!K46,0)+IF(Time!J34=1,J89,J87)*K14,0)</f>
        <v/>
      </c>
      <c r="K123" s="13">
        <f>IF(AND(Time!K20&gt;=Time!$F$12,Time!L20&gt;0),(IF(Time!K34=1,K89,K87)-K86)*L19+IF(Time!L46&gt;0,Time!L45*K86/Time!L46,0)+IF(Time!K34=1,K89,K87)*L14,0)</f>
        <v/>
      </c>
      <c r="L123" s="13">
        <f>IF(AND(Time!L20&gt;=Time!$F$12,Time!M20&gt;0),(IF(Time!L34=1,L89,L87)-L86)*M19+IF(Time!M46&gt;0,Time!M45*L86/Time!M46,0)+IF(Time!L34=1,L89,L87)*M14,0)</f>
        <v/>
      </c>
      <c r="M123" s="13">
        <f>IF(AND(Time!M20&gt;=Time!$F$12,Time!N20&gt;0),(IF(Time!M34=1,M89,M87)-M86)*N19+IF(Time!N46&gt;0,Time!N45*M86/Time!N46,0)+IF(Time!M34=1,M89,M87)*N14,0)</f>
        <v/>
      </c>
      <c r="N123" s="13">
        <f>IF(AND(Time!N20&gt;=Time!$F$12,Time!O20&gt;0),(IF(Time!N34=1,N89,N87)-N86)*O19+IF(Time!O46&gt;0,Time!O45*N86/Time!O46,0)+IF(Time!N34=1,N89,N87)*O14,0)</f>
        <v/>
      </c>
      <c r="O123" s="13">
        <f>IF(AND(Time!O20&gt;=Time!$F$12,Time!P20&gt;0),(IF(Time!O34=1,O89,O87)-O86)*P19+IF(Time!P46&gt;0,Time!P45*O86/Time!P46,0)+IF(Time!O34=1,O89,O87)*P14,0)</f>
        <v/>
      </c>
      <c r="P123" s="13">
        <f>IF(AND(Time!P20&gt;=Time!$F$12,Time!Q20&gt;0),(IF(Time!P34=1,P89,P87)-P86)*Q19+IF(Time!Q46&gt;0,Time!Q45*P86/Time!Q46,0)+IF(Time!P34=1,P89,P87)*Q14,0)</f>
        <v/>
      </c>
      <c r="Q123" s="13">
        <f>IF(AND(Time!Q20&gt;=Time!$F$12,Time!R20&gt;0),(IF(Time!Q34=1,Q89,Q87)-Q86)*R19+IF(Time!R46&gt;0,Time!R45*Q86/Time!R46,0)+IF(Time!Q34=1,Q89,Q87)*R14,0)</f>
        <v/>
      </c>
      <c r="R123" s="13">
        <f>IF(AND(Time!R20&gt;=Time!$F$12,Time!S20&gt;0),(IF(Time!R34=1,R89,R87)-R86)*S19+IF(Time!S46&gt;0,Time!S45*R86/Time!S46,0)+IF(Time!R34=1,R89,R87)*S14,0)</f>
        <v/>
      </c>
      <c r="S123" s="13">
        <f>IF(AND(Time!S20&gt;=Time!$F$12,Time!T20&gt;0),(IF(Time!S34=1,S89,S87)-S86)*T19+IF(Time!T46&gt;0,Time!T45*S86/Time!T46,0)+IF(Time!S34=1,S89,S87)*T14,0)</f>
        <v/>
      </c>
      <c r="T123" s="13">
        <f>IF(AND(Time!T20&gt;=Time!$F$12,Time!U20&gt;0),(IF(Time!T34=1,T89,T87)-T86)*U19+IF(Time!U46&gt;0,Time!U45*T86/Time!U46,0)+IF(Time!T34=1,T89,T87)*U14,0)</f>
        <v/>
      </c>
      <c r="U123" s="13">
        <f>IF(AND(Time!U20&gt;=Time!$F$12,Time!V20&gt;0),(IF(Time!U34=1,U89,U87)-U86)*V19+IF(Time!V46&gt;0,Time!V45*U86/Time!V46,0)+IF(Time!U34=1,U89,U87)*V14,0)</f>
        <v/>
      </c>
      <c r="V123" s="13">
        <f>IF(AND(Time!V20&gt;=Time!$F$12,Time!W20&gt;0),(IF(Time!V34=1,V89,V87)-V86)*W19+IF(Time!W46&gt;0,Time!W45*V86/Time!W46,0)+IF(Time!V34=1,V89,V87)*W14,0)</f>
        <v/>
      </c>
      <c r="W123" s="13">
        <f>IF(AND(Time!W20&gt;=Time!$F$12,Time!X20&gt;0),(IF(Time!W34=1,W89,W87)-W86)*X19+IF(Time!X46&gt;0,Time!X45*W86/Time!X46,0)+IF(Time!W34=1,W89,W87)*X14,0)</f>
        <v/>
      </c>
      <c r="X123" s="13">
        <f>IF(AND(Time!X20&gt;=Time!$F$12,Time!Y20&gt;0),(IF(Time!X34=1,X89,X87)-X86)*Y19+IF(Time!Y46&gt;0,Time!Y45*X86/Time!Y46,0)+IF(Time!X34=1,X89,X87)*Y14,0)</f>
        <v/>
      </c>
      <c r="Y123" s="13">
        <f>IF(AND(Time!Y20&gt;=Time!$F$12,Time!Z20&gt;0),(IF(Time!Y34=1,Y89,Y87)-Y86)*Z19+IF(Time!Z46&gt;0,Time!Z45*Y86/Time!Z46,0)+IF(Time!Y34=1,Y89,Y87)*Z14,0)</f>
        <v/>
      </c>
      <c r="Z123" s="13">
        <f>IF(AND(Time!Z20&gt;=Time!$F$12,Time!AA20&gt;0),(IF(Time!Z34=1,Z89,Z87)-Z86)*AA19+IF(Time!AA46&gt;0,Time!AA45*Z86/Time!AA46,0)+IF(Time!Z34=1,Z89,Z87)*AA14,0)</f>
        <v/>
      </c>
      <c r="AA123" s="13">
        <f>IF(AND(Time!AA20&gt;=Time!$F$12,Time!AB20&gt;0),(IF(Time!AA34=1,AA89,AA87)-AA86)*AB19+IF(Time!AB46&gt;0,Time!AB45*AA86/Time!AB46,0)+IF(Time!AA34=1,AA89,AA87)*AB14,0)</f>
        <v/>
      </c>
      <c r="AB123" s="13">
        <f>IF(AND(Time!AB20&gt;=Time!$F$12,Time!AC20&gt;0),(IF(Time!AB34=1,AB89,AB87)-AB86)*AC19+IF(Time!AC46&gt;0,Time!AC45*AB86/Time!AC46,0)+IF(Time!AB34=1,AB89,AB87)*AC14,0)</f>
        <v/>
      </c>
      <c r="AC123" s="13">
        <f>IF(AND(Time!AC20&gt;=Time!$F$12,Time!AD20&gt;0),(IF(Time!AC34=1,AC89,AC87)-AC86)*AD19+IF(Time!AD46&gt;0,Time!AD45*AC86/Time!AD46,0)+IF(Time!AC34=1,AC89,AC87)*AD14,0)</f>
        <v/>
      </c>
      <c r="AD123" s="13">
        <f>IF(AND(Time!AD20&gt;=Time!$F$12,Time!AE20&gt;0),(IF(Time!AD34=1,AD89,AD87)-AD86)*AE19+IF(Time!AE46&gt;0,Time!AE45*AD86/Time!AE46,0)+IF(Time!AD34=1,AD89,AD87)*AE14,0)</f>
        <v/>
      </c>
      <c r="AE123" s="13">
        <f>IF(AND(Time!AE20&gt;=Time!$F$12,Time!AF20&gt;0),(IF(Time!AE34=1,AE89,AE87)-AE86)*AF19+IF(Time!AF46&gt;0,Time!AF45*AE86/Time!AF46,0)+IF(Time!AE34=1,AE89,AE87)*AF14,0)</f>
        <v/>
      </c>
      <c r="AF123" s="13">
        <f>IF(AND(Time!AF20&gt;=Time!$F$12,Time!AG20&gt;0),(IF(Time!AF34=1,AF89,AF87)-AF86)*AG19+IF(Time!AG46&gt;0,Time!AG45*AF86/Time!AG46,0)+IF(Time!AF34=1,AF89,AF87)*AG14,0)</f>
        <v/>
      </c>
      <c r="AG123" s="13">
        <f>IF(AND(Time!AG20&gt;=Time!$F$12,Time!AH20&gt;0),(IF(Time!AG34=1,AG89,AG87)-AG86)*AH19+IF(Time!AH46&gt;0,Time!AH45*AG86/Time!AH46,0)+IF(Time!AG34=1,AG89,AG87)*AH14,0)</f>
        <v/>
      </c>
      <c r="AH123" s="13">
        <f>IF(AND(Time!AH20&gt;=Time!$F$12,Time!AI20&gt;0),(IF(Time!AH34=1,AH89,AH87)-AH86)*AI19+IF(Time!AI46&gt;0,Time!AI45*AH86/Time!AI46,0)+IF(Time!AH34=1,AH89,AH87)*AI14,0)</f>
        <v/>
      </c>
      <c r="AI123" s="13">
        <f>IF(AND(Time!AI20&gt;=Time!$F$12,Time!AJ20&gt;0),(IF(Time!AI34=1,AI89,AI87)-AI86)*AJ19+IF(Time!AJ46&gt;0,Time!AJ45*AI86/Time!AJ46,0)+IF(Time!AI34=1,AI89,AI87)*AJ14,0)</f>
        <v/>
      </c>
      <c r="AJ123" s="13">
        <f>IF(AND(Time!AJ20&gt;=Time!$F$12,Time!AK20&gt;0),(IF(Time!AJ34=1,AJ89,AJ87)-AJ86)*AK19+IF(Time!AK46&gt;0,Time!AK45*AJ86/Time!AK46,0)+IF(Time!AJ34=1,AJ89,AJ87)*AK14,0)</f>
        <v/>
      </c>
      <c r="AK123" s="13">
        <f>IF(AND(Time!AK20&gt;=Time!$F$12,Time!AL20&gt;0),(IF(Time!AK34=1,AK89,AK87)-AK86)*AL19+IF(Time!AL46&gt;0,Time!AL45*AK86/Time!AL46,0)+IF(Time!AK34=1,AK89,AK87)*AL14,0)</f>
        <v/>
      </c>
      <c r="AL123" s="13">
        <f>IF(AND(Time!AL20&gt;=Time!$F$12,Time!AM20&gt;0),(IF(Time!AL34=1,AL89,AL87)-AL86)*AM19+IF(Time!AM46&gt;0,Time!AM45*AL86/Time!AM46,0)+IF(Time!AL34=1,AL89,AL87)*AM14,0)</f>
        <v/>
      </c>
      <c r="AM123" s="13">
        <f>IF(AND(Time!AM20&gt;=Time!$F$12,Time!AN20&gt;0),(IF(Time!AM34=1,AM89,AM87)-AM86)*AN19+IF(Time!AN46&gt;0,Time!AN45*AM86/Time!AN46,0)+IF(Time!AM34=1,AM89,AM87)*AN14,0)</f>
        <v/>
      </c>
      <c r="AN123" s="13">
        <f>IF(AND(Time!AN20&gt;=Time!$F$12,Time!AO20&gt;0),(IF(Time!AN34=1,AN89,AN87)-AN86)*AO19+IF(Time!AO46&gt;0,Time!AO45*AN86/Time!AO46,0)+IF(Time!AN34=1,AN89,AN87)*AO14,0)</f>
        <v/>
      </c>
      <c r="AO123" s="13">
        <f>IF(AND(Time!AO20&gt;=Time!$F$12,Time!AP20&gt;0),(IF(Time!AO34=1,AO89,AO87)-AO86)*AP19+IF(Time!AP46&gt;0,Time!AP45*AO86/Time!AP46,0)+IF(Time!AO34=1,AO89,AO87)*AP14,0)</f>
        <v/>
      </c>
      <c r="AP123" s="13">
        <f>IF(AND(Time!AP20&gt;=Time!$F$12,Time!AQ20&gt;0),(IF(Time!AP34=1,AP89,AP87)-AP86)*AQ19+IF(Time!AQ46&gt;0,Time!AQ45*AP86/Time!AQ46,0)+IF(Time!AP34=1,AP89,AP87)*AQ14,0)</f>
        <v/>
      </c>
      <c r="AQ123" s="13">
        <f>IF(AND(Time!AQ20&gt;=Time!$F$12,Time!AR20&gt;0),(IF(Time!AQ34=1,AQ89,AQ87)-AQ86)*AR19+IF(Time!AR46&gt;0,Time!AR45*AQ86/Time!AR46,0)+IF(Time!AQ34=1,AQ89,AQ87)*AR14,0)</f>
        <v/>
      </c>
      <c r="AR123" s="13">
        <f>IF(AND(Time!AR20&gt;=Time!$F$12,Time!AS20&gt;0),(IF(Time!AR34=1,AR89,AR87)-AR86)*AS19+IF(Time!AS46&gt;0,Time!AS45*AR86/Time!AS46,0)+IF(Time!AR34=1,AR89,AR87)*AS14,0)</f>
        <v/>
      </c>
      <c r="AS123" s="13">
        <f>IF(AND(Time!AS20&gt;=Time!$F$12,Time!AT20&gt;0),(IF(Time!AS34=1,AS89,AS87)-AS86)*AT19+IF(Time!AT46&gt;0,Time!AT45*AS86/Time!AT46,0)+IF(Time!AS34=1,AS89,AS87)*AT14,0)</f>
        <v/>
      </c>
      <c r="AT123" s="13">
        <f>IF(AND(Time!AT20&gt;=Time!$F$12,Time!AU20&gt;0),(IF(Time!AT34=1,AT89,AT87)-AT86)*AU19+IF(Time!AU46&gt;0,Time!AU45*AT86/Time!AU46,0)+IF(Time!AT34=1,AT89,AT87)*AU14,0)</f>
        <v/>
      </c>
      <c r="AU123" s="13">
        <f>IF(AND(Time!AU20&gt;=Time!$F$12,Time!AV20&gt;0),(IF(Time!AU34=1,AU89,AU87)-AU86)*AV19+IF(Time!AV46&gt;0,Time!AV45*AU86/Time!AV46,0)+IF(Time!AU34=1,AU89,AU87)*AV14,0)</f>
        <v/>
      </c>
      <c r="AV123" s="13">
        <f>IF(AND(Time!AV20&gt;=Time!$F$12,Time!AW20&gt;0),(IF(Time!AV34=1,AV89,AV87)-AV86)*AW19+IF(Time!AW46&gt;0,Time!AW45*AV86/Time!AW46,0)+IF(Time!AV34=1,AV89,AV87)*AW14,0)</f>
        <v/>
      </c>
      <c r="AW123" s="13">
        <f>IF(AND(Time!AW20&gt;=Time!$F$12,Time!AX20&gt;0),(IF(Time!AW34=1,AW89,AW87)-AW86)*AX19+IF(Time!AX46&gt;0,Time!AX45*AW86/Time!AX46,0)+IF(Time!AW34=1,AW89,AW87)*AX14,0)</f>
        <v/>
      </c>
      <c r="AX123" s="13">
        <f>IF(AND(Time!AX20&gt;=Time!$F$12,Time!AY20&gt;0),(IF(Time!AX34=1,AX89,AX87)-AX86)*AY19+IF(Time!AY46&gt;0,Time!AY45*AX86/Time!AY46,0)+IF(Time!AX34=1,AX89,AX87)*AY14,0)</f>
        <v/>
      </c>
      <c r="AY123" s="13">
        <f>IF(AND(Time!AY20&gt;=Time!$F$12,Time!AZ20&gt;0),(IF(Time!AY34=1,AY89,AY87)-AY86)*AZ19+IF(Time!AZ46&gt;0,Time!AZ45*AY86/Time!AZ46,0)+IF(Time!AY34=1,AY89,AY87)*AZ14,0)</f>
        <v/>
      </c>
      <c r="AZ123" s="13">
        <f>IF(AND(Time!AZ20&gt;=Time!$F$12,Time!BA20&gt;0),(IF(Time!AZ34=1,AZ89,AZ87)-AZ86)*BA19+IF(Time!BA46&gt;0,Time!BA45*AZ86/Time!BA46,0)+IF(Time!AZ34=1,AZ89,AZ87)*BA14,0)</f>
        <v/>
      </c>
      <c r="BA123" s="13">
        <f>IF(AND(Time!BA20&gt;=Time!$F$12,Time!BB20&gt;0),(IF(Time!BA34=1,BA89,BA87)-BA86)*BB19+IF(Time!BB46&gt;0,Time!BB45*BA86/Time!BB46,0)+IF(Time!BA34=1,BA89,BA87)*BB14,0)</f>
        <v/>
      </c>
      <c r="BB123" s="13">
        <f>IF(AND(Time!BB20&gt;=Time!$F$12,Time!BC20&gt;0),(IF(Time!BB34=1,BB89,BB87)-BB86)*BC19+IF(Time!BC46&gt;0,Time!BC45*BB86/Time!BC46,0)+IF(Time!BB34=1,BB89,BB87)*BC14,0)</f>
        <v/>
      </c>
      <c r="BC123" s="13">
        <f>IF(AND(Time!BC20&gt;=Time!$F$12,Time!BD20&gt;0),(IF(Time!BC34=1,BC89,BC87)-BC86)*BD19+IF(Time!BD46&gt;0,Time!BD45*BC86/Time!BD46,0)+IF(Time!BC34=1,BC89,BC87)*BD14,0)</f>
        <v/>
      </c>
      <c r="BD123" s="13">
        <f>IF(AND(Time!BD20&gt;=Time!$F$12,Time!BE20&gt;0),(IF(Time!BD34=1,BD89,BD87)-BD86)*BE19+IF(Time!BE46&gt;0,Time!BE45*BD86/Time!BE46,0)+IF(Time!BD34=1,BD89,BD87)*BE14,0)</f>
        <v/>
      </c>
      <c r="BE123" s="13">
        <f>IF(AND(Time!BE20&gt;=Time!$F$12,Time!BF20&gt;0),(IF(Time!BE34=1,BE89,BE87)-BE86)*BF19+IF(Time!BF46&gt;0,Time!BF45*BE86/Time!BF46,0)+IF(Time!BE34=1,BE89,BE87)*BF14,0)</f>
        <v/>
      </c>
      <c r="BF123" s="13">
        <f>IF(AND(Time!BF20&gt;=Time!$F$12,Time!BG20&gt;0),(IF(Time!BF34=1,BF89,BF87)-BF86)*BG19+IF(Time!BG46&gt;0,Time!BG45*BF86/Time!BG46,0)+IF(Time!BF34=1,BF89,BF87)*BG14,0)</f>
        <v/>
      </c>
      <c r="BG123" s="13">
        <f>IF(AND(Time!BG20&gt;=Time!$F$12,Time!BH20&gt;0),(IF(Time!BG34=1,BG89,BG87)-BG86)*BH19+IF(Time!BH46&gt;0,Time!BH45*BG86/Time!BH46,0)+IF(Time!BG34=1,BG89,BG87)*BH14,0)</f>
        <v/>
      </c>
      <c r="BH123" s="13">
        <f>IF(AND(Time!BH20&gt;=Time!$F$12,Time!BI20&gt;0),(IF(Time!BH34=1,BH89,BH87)-BH86)*BI19+IF(Time!BI46&gt;0,Time!BI45*BH86/Time!BI46,0)+IF(Time!BH34=1,BH89,BH87)*BI14,0)</f>
        <v/>
      </c>
      <c r="BI123" s="13">
        <f>IF(AND(Time!BI20&gt;=Time!$F$12,Time!BJ20&gt;0),(IF(Time!BI34=1,BI89,BI87)-BI86)*BJ19+IF(Time!BJ46&gt;0,Time!BJ45*BI86/Time!BJ46,0)+IF(Time!BI34=1,BI89,BI87)*BJ14,0)</f>
        <v/>
      </c>
      <c r="BJ123" s="13">
        <f>IF(AND(Time!BJ20&gt;=Time!$F$12,Time!BK20&gt;0),(IF(Time!BJ34=1,BJ89,BJ87)-BJ86)*BK19+IF(Time!BK46&gt;0,Time!BK45*BJ86/Time!BK46,0)+IF(Time!BJ34=1,BJ89,BJ87)*BK14,0)</f>
        <v/>
      </c>
      <c r="BK123" s="13">
        <f>IF(AND(Time!BK20&gt;=Time!$F$12,Time!BL20&gt;0),(IF(Time!BK34=1,BK89,BK87)-BK86)*BL19+IF(Time!BL46&gt;0,Time!BL45*BK86/Time!BL46,0)+IF(Time!BK34=1,BK89,BK87)*BL14,0)</f>
        <v/>
      </c>
      <c r="BL123" s="13">
        <f>IF(AND(Time!BL20&gt;=Time!$F$12,Time!BM20&gt;0),(IF(Time!BL34=1,BL89,BL87)-BL86)*BM19+IF(Time!BM46&gt;0,Time!BM45*BL86/Time!BM46,0)+IF(Time!BL34=1,BL89,BL87)*BM14,0)</f>
        <v/>
      </c>
      <c r="BM123" s="13">
        <f>IF(AND(Time!BM20&gt;=Time!$F$12,Time!BN20&gt;0),(IF(Time!BM34=1,BM89,BM87)-BM86)*BN19+IF(Time!BN46&gt;0,Time!BN45*BM86/Time!BN46,0)+IF(Time!BM34=1,BM89,BM87)*BN14,0)</f>
        <v/>
      </c>
      <c r="BN123" s="13">
        <f>IF(AND(Time!BN20&gt;=Time!$F$12,Time!BO20&gt;0),(IF(Time!BN34=1,BN89,BN87)-BN86)*BO19+IF(Time!BO46&gt;0,Time!BO45*BN86/Time!BO46,0)+IF(Time!BN34=1,BN89,BN87)*BO14,0)</f>
        <v/>
      </c>
    </row>
    <row r="124">
      <c r="D124" t="inlineStr">
        <is>
          <t>Bond: next period debt service</t>
        </is>
      </c>
      <c r="E124" t="inlineStr">
        <is>
          <t>USD m</t>
        </is>
      </c>
      <c r="J124" s="13">
        <f>IF(AND(AND(Time!J20&gt;=Time!$F$12,Time!K20&gt;0),(J94+J100)&gt;Inputs!$F$253),MIN(J101*Inputs!K300,(J94+J100))+(J94+J100)*(K15+Inputs!$F$276/100*Time!K24*Inputs!$F$275/J101),0)</f>
        <v/>
      </c>
      <c r="K124" s="13">
        <f>IF(AND(AND(Time!K20&gt;=Time!$F$12,Time!L20&gt;0),(K94+K100)&gt;Inputs!$F$253),MIN(K101*Inputs!L300,(K94+K100))+(K94+K100)*(L15+Inputs!$F$276/100*Time!L24*Inputs!$F$275/K101),0)</f>
        <v/>
      </c>
      <c r="L124" s="13">
        <f>IF(AND(AND(Time!L20&gt;=Time!$F$12,Time!M20&gt;0),(L94+L100)&gt;Inputs!$F$253),MIN(L101*Inputs!M300,(L94+L100))+(L94+L100)*(M15+Inputs!$F$276/100*Time!M24*Inputs!$F$275/L101),0)</f>
        <v/>
      </c>
      <c r="M124" s="13">
        <f>IF(AND(AND(Time!M20&gt;=Time!$F$12,Time!N20&gt;0),(M94+M100)&gt;Inputs!$F$253),MIN(M101*Inputs!N300,(M94+M100))+(M94+M100)*(N15+Inputs!$F$276/100*Time!N24*Inputs!$F$275/M101),0)</f>
        <v/>
      </c>
      <c r="N124" s="13">
        <f>IF(AND(AND(Time!N20&gt;=Time!$F$12,Time!O20&gt;0),(N94+N100)&gt;Inputs!$F$253),MIN(N101*Inputs!O300,(N94+N100))+(N94+N100)*(O15+Inputs!$F$276/100*Time!O24*Inputs!$F$275/N101),0)</f>
        <v/>
      </c>
      <c r="O124" s="13">
        <f>IF(AND(AND(Time!O20&gt;=Time!$F$12,Time!P20&gt;0),(O94+O100)&gt;Inputs!$F$253),MIN(O101*Inputs!P300,(O94+O100))+(O94+O100)*(P15+Inputs!$F$276/100*Time!P24*Inputs!$F$275/O101),0)</f>
        <v/>
      </c>
      <c r="P124" s="13">
        <f>IF(AND(AND(Time!P20&gt;=Time!$F$12,Time!Q20&gt;0),(P94+P100)&gt;Inputs!$F$253),MIN(P101*Inputs!Q300,(P94+P100))+(P94+P100)*(Q15+Inputs!$F$276/100*Time!Q24*Inputs!$F$275/P101),0)</f>
        <v/>
      </c>
      <c r="Q124" s="13">
        <f>IF(AND(AND(Time!Q20&gt;=Time!$F$12,Time!R20&gt;0),(Q94+Q100)&gt;Inputs!$F$253),MIN(Q101*Inputs!R300,(Q94+Q100))+(Q94+Q100)*(R15+Inputs!$F$276/100*Time!R24*Inputs!$F$275/Q101),0)</f>
        <v/>
      </c>
      <c r="R124" s="13">
        <f>IF(AND(AND(Time!R20&gt;=Time!$F$12,Time!S20&gt;0),(R94+R100)&gt;Inputs!$F$253),MIN(R101*Inputs!S300,(R94+R100))+(R94+R100)*(S15+Inputs!$F$276/100*Time!S24*Inputs!$F$275/R101),0)</f>
        <v/>
      </c>
      <c r="S124" s="13">
        <f>IF(AND(AND(Time!S20&gt;=Time!$F$12,Time!T20&gt;0),(S94+S100)&gt;Inputs!$F$253),MIN(S101*Inputs!T300,(S94+S100))+(S94+S100)*(T15+Inputs!$F$276/100*Time!T24*Inputs!$F$275/S101),0)</f>
        <v/>
      </c>
      <c r="T124" s="13">
        <f>IF(AND(AND(Time!T20&gt;=Time!$F$12,Time!U20&gt;0),(T94+T100)&gt;Inputs!$F$253),MIN(T101*Inputs!U300,(T94+T100))+(T94+T100)*(U15+Inputs!$F$276/100*Time!U24*Inputs!$F$275/T101),0)</f>
        <v/>
      </c>
      <c r="U124" s="13">
        <f>IF(AND(AND(Time!U20&gt;=Time!$F$12,Time!V20&gt;0),(U94+U100)&gt;Inputs!$F$253),MIN(U101*Inputs!V300,(U94+U100))+(U94+U100)*(V15+Inputs!$F$276/100*Time!V24*Inputs!$F$275/U101),0)</f>
        <v/>
      </c>
      <c r="V124" s="13">
        <f>IF(AND(AND(Time!V20&gt;=Time!$F$12,Time!W20&gt;0),(V94+V100)&gt;Inputs!$F$253),MIN(V101*Inputs!W300,(V94+V100))+(V94+V100)*(W15+Inputs!$F$276/100*Time!W24*Inputs!$F$275/V101),0)</f>
        <v/>
      </c>
      <c r="W124" s="13">
        <f>IF(AND(AND(Time!W20&gt;=Time!$F$12,Time!X20&gt;0),(W94+W100)&gt;Inputs!$F$253),MIN(W101*Inputs!X300,(W94+W100))+(W94+W100)*(X15+Inputs!$F$276/100*Time!X24*Inputs!$F$275/W101),0)</f>
        <v/>
      </c>
      <c r="X124" s="13">
        <f>IF(AND(AND(Time!X20&gt;=Time!$F$12,Time!Y20&gt;0),(X94+X100)&gt;Inputs!$F$253),MIN(X101*Inputs!Y300,(X94+X100))+(X94+X100)*(Y15+Inputs!$F$276/100*Time!Y24*Inputs!$F$275/X101),0)</f>
        <v/>
      </c>
      <c r="Y124" s="13">
        <f>IF(AND(AND(Time!Y20&gt;=Time!$F$12,Time!Z20&gt;0),(Y94+Y100)&gt;Inputs!$F$253),MIN(Y101*Inputs!Z300,(Y94+Y100))+(Y94+Y100)*(Z15+Inputs!$F$276/100*Time!Z24*Inputs!$F$275/Y101),0)</f>
        <v/>
      </c>
      <c r="Z124" s="13">
        <f>IF(AND(AND(Time!Z20&gt;=Time!$F$12,Time!AA20&gt;0),(Z94+Z100)&gt;Inputs!$F$253),MIN(Z101*Inputs!AA300,(Z94+Z100))+(Z94+Z100)*(AA15+Inputs!$F$276/100*Time!AA24*Inputs!$F$275/Z101),0)</f>
        <v/>
      </c>
      <c r="AA124" s="13">
        <f>IF(AND(AND(Time!AA20&gt;=Time!$F$12,Time!AB20&gt;0),(AA94+AA100)&gt;Inputs!$F$253),MIN(AA101*Inputs!AB300,(AA94+AA100))+(AA94+AA100)*(AB15+Inputs!$F$276/100*Time!AB24*Inputs!$F$275/AA101),0)</f>
        <v/>
      </c>
      <c r="AB124" s="13">
        <f>IF(AND(AND(Time!AB20&gt;=Time!$F$12,Time!AC20&gt;0),(AB94+AB100)&gt;Inputs!$F$253),MIN(AB101*Inputs!AC300,(AB94+AB100))+(AB94+AB100)*(AC15+Inputs!$F$276/100*Time!AC24*Inputs!$F$275/AB101),0)</f>
        <v/>
      </c>
      <c r="AC124" s="13">
        <f>IF(AND(AND(Time!AC20&gt;=Time!$F$12,Time!AD20&gt;0),(AC94+AC100)&gt;Inputs!$F$253),MIN(AC101*Inputs!AD300,(AC94+AC100))+(AC94+AC100)*(AD15+Inputs!$F$276/100*Time!AD24*Inputs!$F$275/AC101),0)</f>
        <v/>
      </c>
      <c r="AD124" s="13">
        <f>IF(AND(AND(Time!AD20&gt;=Time!$F$12,Time!AE20&gt;0),(AD94+AD100)&gt;Inputs!$F$253),MIN(AD101*Inputs!AE300,(AD94+AD100))+(AD94+AD100)*(AE15+Inputs!$F$276/100*Time!AE24*Inputs!$F$275/AD101),0)</f>
        <v/>
      </c>
      <c r="AE124" s="13">
        <f>IF(AND(AND(Time!AE20&gt;=Time!$F$12,Time!AF20&gt;0),(AE94+AE100)&gt;Inputs!$F$253),MIN(AE101*Inputs!AF300,(AE94+AE100))+(AE94+AE100)*(AF15+Inputs!$F$276/100*Time!AF24*Inputs!$F$275/AE101),0)</f>
        <v/>
      </c>
      <c r="AF124" s="13">
        <f>IF(AND(AND(Time!AF20&gt;=Time!$F$12,Time!AG20&gt;0),(AF94+AF100)&gt;Inputs!$F$253),MIN(AF101*Inputs!AG300,(AF94+AF100))+(AF94+AF100)*(AG15+Inputs!$F$276/100*Time!AG24*Inputs!$F$275/AF101),0)</f>
        <v/>
      </c>
      <c r="AG124" s="13">
        <f>IF(AND(AND(Time!AG20&gt;=Time!$F$12,Time!AH20&gt;0),(AG94+AG100)&gt;Inputs!$F$253),MIN(AG101*Inputs!AH300,(AG94+AG100))+(AG94+AG100)*(AH15+Inputs!$F$276/100*Time!AH24*Inputs!$F$275/AG101),0)</f>
        <v/>
      </c>
      <c r="AH124" s="13">
        <f>IF(AND(AND(Time!AH20&gt;=Time!$F$12,Time!AI20&gt;0),(AH94+AH100)&gt;Inputs!$F$253),MIN(AH101*Inputs!AI300,(AH94+AH100))+(AH94+AH100)*(AI15+Inputs!$F$276/100*Time!AI24*Inputs!$F$275/AH101),0)</f>
        <v/>
      </c>
      <c r="AI124" s="13">
        <f>IF(AND(AND(Time!AI20&gt;=Time!$F$12,Time!AJ20&gt;0),(AI94+AI100)&gt;Inputs!$F$253),MIN(AI101*Inputs!AJ300,(AI94+AI100))+(AI94+AI100)*(AJ15+Inputs!$F$276/100*Time!AJ24*Inputs!$F$275/AI101),0)</f>
        <v/>
      </c>
      <c r="AJ124" s="13">
        <f>IF(AND(AND(Time!AJ20&gt;=Time!$F$12,Time!AK20&gt;0),(AJ94+AJ100)&gt;Inputs!$F$253),MIN(AJ101*Inputs!AK300,(AJ94+AJ100))+(AJ94+AJ100)*(AK15+Inputs!$F$276/100*Time!AK24*Inputs!$F$275/AJ101),0)</f>
        <v/>
      </c>
      <c r="AK124" s="13">
        <f>IF(AND(AND(Time!AK20&gt;=Time!$F$12,Time!AL20&gt;0),(AK94+AK100)&gt;Inputs!$F$253),MIN(AK101*Inputs!AL300,(AK94+AK100))+(AK94+AK100)*(AL15+Inputs!$F$276/100*Time!AL24*Inputs!$F$275/AK101),0)</f>
        <v/>
      </c>
      <c r="AL124" s="13">
        <f>IF(AND(AND(Time!AL20&gt;=Time!$F$12,Time!AM20&gt;0),(AL94+AL100)&gt;Inputs!$F$253),MIN(AL101*Inputs!AM300,(AL94+AL100))+(AL94+AL100)*(AM15+Inputs!$F$276/100*Time!AM24*Inputs!$F$275/AL101),0)</f>
        <v/>
      </c>
      <c r="AM124" s="13">
        <f>IF(AND(AND(Time!AM20&gt;=Time!$F$12,Time!AN20&gt;0),(AM94+AM100)&gt;Inputs!$F$253),MIN(AM101*Inputs!AN300,(AM94+AM100))+(AM94+AM100)*(AN15+Inputs!$F$276/100*Time!AN24*Inputs!$F$275/AM101),0)</f>
        <v/>
      </c>
      <c r="AN124" s="13">
        <f>IF(AND(AND(Time!AN20&gt;=Time!$F$12,Time!AO20&gt;0),(AN94+AN100)&gt;Inputs!$F$253),MIN(AN101*Inputs!AO300,(AN94+AN100))+(AN94+AN100)*(AO15+Inputs!$F$276/100*Time!AO24*Inputs!$F$275/AN101),0)</f>
        <v/>
      </c>
      <c r="AO124" s="13">
        <f>IF(AND(AND(Time!AO20&gt;=Time!$F$12,Time!AP20&gt;0),(AO94+AO100)&gt;Inputs!$F$253),MIN(AO101*Inputs!AP300,(AO94+AO100))+(AO94+AO100)*(AP15+Inputs!$F$276/100*Time!AP24*Inputs!$F$275/AO101),0)</f>
        <v/>
      </c>
      <c r="AP124" s="13">
        <f>IF(AND(AND(Time!AP20&gt;=Time!$F$12,Time!AQ20&gt;0),(AP94+AP100)&gt;Inputs!$F$253),MIN(AP101*Inputs!AQ300,(AP94+AP100))+(AP94+AP100)*(AQ15+Inputs!$F$276/100*Time!AQ24*Inputs!$F$275/AP101),0)</f>
        <v/>
      </c>
      <c r="AQ124" s="13">
        <f>IF(AND(AND(Time!AQ20&gt;=Time!$F$12,Time!AR20&gt;0),(AQ94+AQ100)&gt;Inputs!$F$253),MIN(AQ101*Inputs!AR300,(AQ94+AQ100))+(AQ94+AQ100)*(AR15+Inputs!$F$276/100*Time!AR24*Inputs!$F$275/AQ101),0)</f>
        <v/>
      </c>
      <c r="AR124" s="13">
        <f>IF(AND(AND(Time!AR20&gt;=Time!$F$12,Time!AS20&gt;0),(AR94+AR100)&gt;Inputs!$F$253),MIN(AR101*Inputs!AS300,(AR94+AR100))+(AR94+AR100)*(AS15+Inputs!$F$276/100*Time!AS24*Inputs!$F$275/AR101),0)</f>
        <v/>
      </c>
      <c r="AS124" s="13">
        <f>IF(AND(AND(Time!AS20&gt;=Time!$F$12,Time!AT20&gt;0),(AS94+AS100)&gt;Inputs!$F$253),MIN(AS101*Inputs!AT300,(AS94+AS100))+(AS94+AS100)*(AT15+Inputs!$F$276/100*Time!AT24*Inputs!$F$275/AS101),0)</f>
        <v/>
      </c>
      <c r="AT124" s="13">
        <f>IF(AND(AND(Time!AT20&gt;=Time!$F$12,Time!AU20&gt;0),(AT94+AT100)&gt;Inputs!$F$253),MIN(AT101*Inputs!AU300,(AT94+AT100))+(AT94+AT100)*(AU15+Inputs!$F$276/100*Time!AU24*Inputs!$F$275/AT101),0)</f>
        <v/>
      </c>
      <c r="AU124" s="13">
        <f>IF(AND(AND(Time!AU20&gt;=Time!$F$12,Time!AV20&gt;0),(AU94+AU100)&gt;Inputs!$F$253),MIN(AU101*Inputs!AV300,(AU94+AU100))+(AU94+AU100)*(AV15+Inputs!$F$276/100*Time!AV24*Inputs!$F$275/AU101),0)</f>
        <v/>
      </c>
      <c r="AV124" s="13">
        <f>IF(AND(AND(Time!AV20&gt;=Time!$F$12,Time!AW20&gt;0),(AV94+AV100)&gt;Inputs!$F$253),MIN(AV101*Inputs!AW300,(AV94+AV100))+(AV94+AV100)*(AW15+Inputs!$F$276/100*Time!AW24*Inputs!$F$275/AV101),0)</f>
        <v/>
      </c>
      <c r="AW124" s="13">
        <f>IF(AND(AND(Time!AW20&gt;=Time!$F$12,Time!AX20&gt;0),(AW94+AW100)&gt;Inputs!$F$253),MIN(AW101*Inputs!AX300,(AW94+AW100))+(AW94+AW100)*(AX15+Inputs!$F$276/100*Time!AX24*Inputs!$F$275/AW101),0)</f>
        <v/>
      </c>
      <c r="AX124" s="13">
        <f>IF(AND(AND(Time!AX20&gt;=Time!$F$12,Time!AY20&gt;0),(AX94+AX100)&gt;Inputs!$F$253),MIN(AX101*Inputs!AY300,(AX94+AX100))+(AX94+AX100)*(AY15+Inputs!$F$276/100*Time!AY24*Inputs!$F$275/AX101),0)</f>
        <v/>
      </c>
      <c r="AY124" s="13">
        <f>IF(AND(AND(Time!AY20&gt;=Time!$F$12,Time!AZ20&gt;0),(AY94+AY100)&gt;Inputs!$F$253),MIN(AY101*Inputs!AZ300,(AY94+AY100))+(AY94+AY100)*(AZ15+Inputs!$F$276/100*Time!AZ24*Inputs!$F$275/AY101),0)</f>
        <v/>
      </c>
      <c r="AZ124" s="13">
        <f>IF(AND(AND(Time!AZ20&gt;=Time!$F$12,Time!BA20&gt;0),(AZ94+AZ100)&gt;Inputs!$F$253),MIN(AZ101*Inputs!BA300,(AZ94+AZ100))+(AZ94+AZ100)*(BA15+Inputs!$F$276/100*Time!BA24*Inputs!$F$275/AZ101),0)</f>
        <v/>
      </c>
      <c r="BA124" s="13">
        <f>IF(AND(AND(Time!BA20&gt;=Time!$F$12,Time!BB20&gt;0),(BA94+BA100)&gt;Inputs!$F$253),MIN(BA101*Inputs!BB300,(BA94+BA100))+(BA94+BA100)*(BB15+Inputs!$F$276/100*Time!BB24*Inputs!$F$275/BA101),0)</f>
        <v/>
      </c>
      <c r="BB124" s="13">
        <f>IF(AND(AND(Time!BB20&gt;=Time!$F$12,Time!BC20&gt;0),(BB94+BB100)&gt;Inputs!$F$253),MIN(BB101*Inputs!BC300,(BB94+BB100))+(BB94+BB100)*(BC15+Inputs!$F$276/100*Time!BC24*Inputs!$F$275/BB101),0)</f>
        <v/>
      </c>
      <c r="BC124" s="13">
        <f>IF(AND(AND(Time!BC20&gt;=Time!$F$12,Time!BD20&gt;0),(BC94+BC100)&gt;Inputs!$F$253),MIN(BC101*Inputs!BD300,(BC94+BC100))+(BC94+BC100)*(BD15+Inputs!$F$276/100*Time!BD24*Inputs!$F$275/BC101),0)</f>
        <v/>
      </c>
      <c r="BD124" s="13">
        <f>IF(AND(AND(Time!BD20&gt;=Time!$F$12,Time!BE20&gt;0),(BD94+BD100)&gt;Inputs!$F$253),MIN(BD101*Inputs!BE300,(BD94+BD100))+(BD94+BD100)*(BE15+Inputs!$F$276/100*Time!BE24*Inputs!$F$275/BD101),0)</f>
        <v/>
      </c>
      <c r="BE124" s="13">
        <f>IF(AND(AND(Time!BE20&gt;=Time!$F$12,Time!BF20&gt;0),(BE94+BE100)&gt;Inputs!$F$253),MIN(BE101*Inputs!BF300,(BE94+BE100))+(BE94+BE100)*(BF15+Inputs!$F$276/100*Time!BF24*Inputs!$F$275/BE101),0)</f>
        <v/>
      </c>
      <c r="BF124" s="13">
        <f>IF(AND(AND(Time!BF20&gt;=Time!$F$12,Time!BG20&gt;0),(BF94+BF100)&gt;Inputs!$F$253),MIN(BF101*Inputs!BG300,(BF94+BF100))+(BF94+BF100)*(BG15+Inputs!$F$276/100*Time!BG24*Inputs!$F$275/BF101),0)</f>
        <v/>
      </c>
      <c r="BG124" s="13">
        <f>IF(AND(AND(Time!BG20&gt;=Time!$F$12,Time!BH20&gt;0),(BG94+BG100)&gt;Inputs!$F$253),MIN(BG101*Inputs!BH300,(BG94+BG100))+(BG94+BG100)*(BH15+Inputs!$F$276/100*Time!BH24*Inputs!$F$275/BG101),0)</f>
        <v/>
      </c>
      <c r="BH124" s="13">
        <f>IF(AND(AND(Time!BH20&gt;=Time!$F$12,Time!BI20&gt;0),(BH94+BH100)&gt;Inputs!$F$253),MIN(BH101*Inputs!BI300,(BH94+BH100))+(BH94+BH100)*(BI15+Inputs!$F$276/100*Time!BI24*Inputs!$F$275/BH101),0)</f>
        <v/>
      </c>
      <c r="BI124" s="13">
        <f>IF(AND(AND(Time!BI20&gt;=Time!$F$12,Time!BJ20&gt;0),(BI94+BI100)&gt;Inputs!$F$253),MIN(BI101*Inputs!BJ300,(BI94+BI100))+(BI94+BI100)*(BJ15+Inputs!$F$276/100*Time!BJ24*Inputs!$F$275/BI101),0)</f>
        <v/>
      </c>
      <c r="BJ124" s="13">
        <f>IF(AND(AND(Time!BJ20&gt;=Time!$F$12,Time!BK20&gt;0),(BJ94+BJ100)&gt;Inputs!$F$253),MIN(BJ101*Inputs!BK300,(BJ94+BJ100))+(BJ94+BJ100)*(BK15+Inputs!$F$276/100*Time!BK24*Inputs!$F$275/BJ101),0)</f>
        <v/>
      </c>
      <c r="BK124" s="13">
        <f>IF(AND(AND(Time!BK20&gt;=Time!$F$12,Time!BL20&gt;0),(BK94+BK100)&gt;Inputs!$F$253),MIN(BK101*Inputs!BL300,(BK94+BK100))+(BK94+BK100)*(BL15+Inputs!$F$276/100*Time!BL24*Inputs!$F$275/BK101),0)</f>
        <v/>
      </c>
      <c r="BL124" s="13">
        <f>IF(AND(AND(Time!BL20&gt;=Time!$F$12,Time!BM20&gt;0),(BL94+BL100)&gt;Inputs!$F$253),MIN(BL101*Inputs!BM300,(BL94+BL100))+(BL94+BL100)*(BM15+Inputs!$F$276/100*Time!BM24*Inputs!$F$275/BL101),0)</f>
        <v/>
      </c>
      <c r="BM124" s="13">
        <f>IF(AND(AND(Time!BM20&gt;=Time!$F$12,Time!BN20&gt;0),(BM94+BM100)&gt;Inputs!$F$253),MIN(BM101*Inputs!BN300,(BM94+BM100))+(BM94+BM100)*(BN15+Inputs!$F$276/100*Time!BN24*Inputs!$F$275/BM101),0)</f>
        <v/>
      </c>
      <c r="BN124" s="13">
        <f>IF(AND(AND(Time!BN20&gt;=Time!$F$12,Time!BO20&gt;0),(BN94+BN100)&gt;Inputs!$F$253),MIN(BN101*Inputs!BO300,(BN94+BN100))+(BN94+BN100)*(BO15+Inputs!$F$276/100*Time!BO24*Inputs!$F$275/BN101),0)</f>
        <v/>
      </c>
    </row>
    <row r="125">
      <c r="D125" t="inlineStr">
        <is>
          <t>DSRA target (six months of next debt service)</t>
        </is>
      </c>
      <c r="E125" t="inlineStr">
        <is>
          <t>USD m</t>
        </is>
      </c>
      <c r="J125" s="13">
        <f>IF(AND(Time!J20&gt;=Time!$F$12,Time!K20&gt;0),J119+J120+J121+J122+J123+J124+-1*Inputs!K301*K106*(Inputs!$F$97/100*Time!K24-Operations!K9/100*Time!K25/Inputs!$F$247)+(Inputs!$F$95/100*Inputs!$F$96/100)*J118*Time!K25/Inputs!$F$248,0)</f>
        <v/>
      </c>
      <c r="K125" s="13">
        <f>IF(AND(Time!K20&gt;=Time!$F$12,Time!L20&gt;0),K119+K120+K121+K122+K123+K124+-1*Inputs!L301*L106*(Inputs!$F$97/100*Time!L24-Operations!L9/100*Time!L25/Inputs!$F$247)+(Inputs!$F$95/100*Inputs!$F$96/100)*K118*Time!L25/Inputs!$F$248,0)</f>
        <v/>
      </c>
      <c r="L125" s="13">
        <f>IF(AND(Time!L20&gt;=Time!$F$12,Time!M20&gt;0),L119+L120+L121+L122+L123+L124+-1*Inputs!M301*M106*(Inputs!$F$97/100*Time!M24-Operations!M9/100*Time!M25/Inputs!$F$247)+(Inputs!$F$95/100*Inputs!$F$96/100)*L118*Time!M25/Inputs!$F$248,0)</f>
        <v/>
      </c>
      <c r="M125" s="13">
        <f>IF(AND(Time!M20&gt;=Time!$F$12,Time!N20&gt;0),M119+M120+M121+M122+M123+M124+-1*Inputs!N301*N106*(Inputs!$F$97/100*Time!N24-Operations!N9/100*Time!N25/Inputs!$F$247)+(Inputs!$F$95/100*Inputs!$F$96/100)*M118*Time!N25/Inputs!$F$248,0)</f>
        <v/>
      </c>
      <c r="N125" s="13">
        <f>IF(AND(Time!N20&gt;=Time!$F$12,Time!O20&gt;0),N119+N120+N121+N122+N123+N124+-1*Inputs!O301*O106*(Inputs!$F$97/100*Time!O24-Operations!O9/100*Time!O25/Inputs!$F$247)+(Inputs!$F$95/100*Inputs!$F$96/100)*N118*Time!O25/Inputs!$F$248,0)</f>
        <v/>
      </c>
      <c r="O125" s="13">
        <f>IF(AND(Time!O20&gt;=Time!$F$12,Time!P20&gt;0),O119+O120+O121+O122+O123+O124+-1*Inputs!P301*P106*(Inputs!$F$97/100*Time!P24-Operations!P9/100*Time!P25/Inputs!$F$247)+(Inputs!$F$95/100*Inputs!$F$96/100)*O118*Time!P25/Inputs!$F$248,0)</f>
        <v/>
      </c>
      <c r="P125" s="13">
        <f>IF(AND(Time!P20&gt;=Time!$F$12,Time!Q20&gt;0),P119+P120+P121+P122+P123+P124+-1*Inputs!Q301*Q106*(Inputs!$F$97/100*Time!Q24-Operations!Q9/100*Time!Q25/Inputs!$F$247)+(Inputs!$F$95/100*Inputs!$F$96/100)*P118*Time!Q25/Inputs!$F$248,0)</f>
        <v/>
      </c>
      <c r="Q125" s="13">
        <f>IF(AND(Time!Q20&gt;=Time!$F$12,Time!R20&gt;0),Q119+Q120+Q121+Q122+Q123+Q124+-1*Inputs!R301*R106*(Inputs!$F$97/100*Time!R24-Operations!R9/100*Time!R25/Inputs!$F$247)+(Inputs!$F$95/100*Inputs!$F$96/100)*Q118*Time!R25/Inputs!$F$248,0)</f>
        <v/>
      </c>
      <c r="R125" s="13">
        <f>IF(AND(Time!R20&gt;=Time!$F$12,Time!S20&gt;0),R119+R120+R121+R122+R123+R124+-1*Inputs!S301*S106*(Inputs!$F$97/100*Time!S24-Operations!S9/100*Time!S25/Inputs!$F$247)+(Inputs!$F$95/100*Inputs!$F$96/100)*R118*Time!S25/Inputs!$F$248,0)</f>
        <v/>
      </c>
      <c r="S125" s="13">
        <f>IF(AND(Time!S20&gt;=Time!$F$12,Time!T20&gt;0),S119+S120+S121+S122+S123+S124+-1*Inputs!T301*T106*(Inputs!$F$97/100*Time!T24-Operations!T9/100*Time!T25/Inputs!$F$247)+(Inputs!$F$95/100*Inputs!$F$96/100)*S118*Time!T25/Inputs!$F$248,0)</f>
        <v/>
      </c>
      <c r="T125" s="13">
        <f>IF(AND(Time!T20&gt;=Time!$F$12,Time!U20&gt;0),T119+T120+T121+T122+T123+T124+-1*Inputs!U301*U106*(Inputs!$F$97/100*Time!U24-Operations!U9/100*Time!U25/Inputs!$F$247)+(Inputs!$F$95/100*Inputs!$F$96/100)*T118*Time!U25/Inputs!$F$248,0)</f>
        <v/>
      </c>
      <c r="U125" s="13">
        <f>IF(AND(Time!U20&gt;=Time!$F$12,Time!V20&gt;0),U119+U120+U121+U122+U123+U124+-1*Inputs!V301*V106*(Inputs!$F$97/100*Time!V24-Operations!V9/100*Time!V25/Inputs!$F$247)+(Inputs!$F$95/100*Inputs!$F$96/100)*U118*Time!V25/Inputs!$F$248,0)</f>
        <v/>
      </c>
      <c r="V125" s="13">
        <f>IF(AND(Time!V20&gt;=Time!$F$12,Time!W20&gt;0),V119+V120+V121+V122+V123+V124+-1*Inputs!W301*W106*(Inputs!$F$97/100*Time!W24-Operations!W9/100*Time!W25/Inputs!$F$247)+(Inputs!$F$95/100*Inputs!$F$96/100)*V118*Time!W25/Inputs!$F$248,0)</f>
        <v/>
      </c>
      <c r="W125" s="13">
        <f>IF(AND(Time!W20&gt;=Time!$F$12,Time!X20&gt;0),W119+W120+W121+W122+W123+W124+-1*Inputs!X301*X106*(Inputs!$F$97/100*Time!X24-Operations!X9/100*Time!X25/Inputs!$F$247)+(Inputs!$F$95/100*Inputs!$F$96/100)*W118*Time!X25/Inputs!$F$248,0)</f>
        <v/>
      </c>
      <c r="X125" s="13">
        <f>IF(AND(Time!X20&gt;=Time!$F$12,Time!Y20&gt;0),X119+X120+X121+X122+X123+X124+-1*Inputs!Y301*Y106*(Inputs!$F$97/100*Time!Y24-Operations!Y9/100*Time!Y25/Inputs!$F$247)+(Inputs!$F$95/100*Inputs!$F$96/100)*X118*Time!Y25/Inputs!$F$248,0)</f>
        <v/>
      </c>
      <c r="Y125" s="13">
        <f>IF(AND(Time!Y20&gt;=Time!$F$12,Time!Z20&gt;0),Y119+Y120+Y121+Y122+Y123+Y124+-1*Inputs!Z301*Z106*(Inputs!$F$97/100*Time!Z24-Operations!Z9/100*Time!Z25/Inputs!$F$247)+(Inputs!$F$95/100*Inputs!$F$96/100)*Y118*Time!Z25/Inputs!$F$248,0)</f>
        <v/>
      </c>
      <c r="Z125" s="13">
        <f>IF(AND(Time!Z20&gt;=Time!$F$12,Time!AA20&gt;0),Z119+Z120+Z121+Z122+Z123+Z124+-1*Inputs!AA301*AA106*(Inputs!$F$97/100*Time!AA24-Operations!AA9/100*Time!AA25/Inputs!$F$247)+(Inputs!$F$95/100*Inputs!$F$96/100)*Z118*Time!AA25/Inputs!$F$248,0)</f>
        <v/>
      </c>
      <c r="AA125" s="13">
        <f>IF(AND(Time!AA20&gt;=Time!$F$12,Time!AB20&gt;0),AA119+AA120+AA121+AA122+AA123+AA124+-1*Inputs!AB301*AB106*(Inputs!$F$97/100*Time!AB24-Operations!AB9/100*Time!AB25/Inputs!$F$247)+(Inputs!$F$95/100*Inputs!$F$96/100)*AA118*Time!AB25/Inputs!$F$248,0)</f>
        <v/>
      </c>
      <c r="AB125" s="13">
        <f>IF(AND(Time!AB20&gt;=Time!$F$12,Time!AC20&gt;0),AB119+AB120+AB121+AB122+AB123+AB124+-1*Inputs!AC301*AC106*(Inputs!$F$97/100*Time!AC24-Operations!AC9/100*Time!AC25/Inputs!$F$247)+(Inputs!$F$95/100*Inputs!$F$96/100)*AB118*Time!AC25/Inputs!$F$248,0)</f>
        <v/>
      </c>
      <c r="AC125" s="13">
        <f>IF(AND(Time!AC20&gt;=Time!$F$12,Time!AD20&gt;0),AC119+AC120+AC121+AC122+AC123+AC124+-1*Inputs!AD301*AD106*(Inputs!$F$97/100*Time!AD24-Operations!AD9/100*Time!AD25/Inputs!$F$247)+(Inputs!$F$95/100*Inputs!$F$96/100)*AC118*Time!AD25/Inputs!$F$248,0)</f>
        <v/>
      </c>
      <c r="AD125" s="13">
        <f>IF(AND(Time!AD20&gt;=Time!$F$12,Time!AE20&gt;0),AD119+AD120+AD121+AD122+AD123+AD124+-1*Inputs!AE301*AE106*(Inputs!$F$97/100*Time!AE24-Operations!AE9/100*Time!AE25/Inputs!$F$247)+(Inputs!$F$95/100*Inputs!$F$96/100)*AD118*Time!AE25/Inputs!$F$248,0)</f>
        <v/>
      </c>
      <c r="AE125" s="13">
        <f>IF(AND(Time!AE20&gt;=Time!$F$12,Time!AF20&gt;0),AE119+AE120+AE121+AE122+AE123+AE124+-1*Inputs!AF301*AF106*(Inputs!$F$97/100*Time!AF24-Operations!AF9/100*Time!AF25/Inputs!$F$247)+(Inputs!$F$95/100*Inputs!$F$96/100)*AE118*Time!AF25/Inputs!$F$248,0)</f>
        <v/>
      </c>
      <c r="AF125" s="13">
        <f>IF(AND(Time!AF20&gt;=Time!$F$12,Time!AG20&gt;0),AF119+AF120+AF121+AF122+AF123+AF124+-1*Inputs!AG301*AG106*(Inputs!$F$97/100*Time!AG24-Operations!AG9/100*Time!AG25/Inputs!$F$247)+(Inputs!$F$95/100*Inputs!$F$96/100)*AF118*Time!AG25/Inputs!$F$248,0)</f>
        <v/>
      </c>
      <c r="AG125" s="13">
        <f>IF(AND(Time!AG20&gt;=Time!$F$12,Time!AH20&gt;0),AG119+AG120+AG121+AG122+AG123+AG124+-1*Inputs!AH301*AH106*(Inputs!$F$97/100*Time!AH24-Operations!AH9/100*Time!AH25/Inputs!$F$247)+(Inputs!$F$95/100*Inputs!$F$96/100)*AG118*Time!AH25/Inputs!$F$248,0)</f>
        <v/>
      </c>
      <c r="AH125" s="13">
        <f>IF(AND(Time!AH20&gt;=Time!$F$12,Time!AI20&gt;0),AH119+AH120+AH121+AH122+AH123+AH124+-1*Inputs!AI301*AI106*(Inputs!$F$97/100*Time!AI24-Operations!AI9/100*Time!AI25/Inputs!$F$247)+(Inputs!$F$95/100*Inputs!$F$96/100)*AH118*Time!AI25/Inputs!$F$248,0)</f>
        <v/>
      </c>
      <c r="AI125" s="13">
        <f>IF(AND(Time!AI20&gt;=Time!$F$12,Time!AJ20&gt;0),AI119+AI120+AI121+AI122+AI123+AI124+-1*Inputs!AJ301*AJ106*(Inputs!$F$97/100*Time!AJ24-Operations!AJ9/100*Time!AJ25/Inputs!$F$247)+(Inputs!$F$95/100*Inputs!$F$96/100)*AI118*Time!AJ25/Inputs!$F$248,0)</f>
        <v/>
      </c>
      <c r="AJ125" s="13">
        <f>IF(AND(Time!AJ20&gt;=Time!$F$12,Time!AK20&gt;0),AJ119+AJ120+AJ121+AJ122+AJ123+AJ124+-1*Inputs!AK301*AK106*(Inputs!$F$97/100*Time!AK24-Operations!AK9/100*Time!AK25/Inputs!$F$247)+(Inputs!$F$95/100*Inputs!$F$96/100)*AJ118*Time!AK25/Inputs!$F$248,0)</f>
        <v/>
      </c>
      <c r="AK125" s="13">
        <f>IF(AND(Time!AK20&gt;=Time!$F$12,Time!AL20&gt;0),AK119+AK120+AK121+AK122+AK123+AK124+-1*Inputs!AL301*AL106*(Inputs!$F$97/100*Time!AL24-Operations!AL9/100*Time!AL25/Inputs!$F$247)+(Inputs!$F$95/100*Inputs!$F$96/100)*AK118*Time!AL25/Inputs!$F$248,0)</f>
        <v/>
      </c>
      <c r="AL125" s="13">
        <f>IF(AND(Time!AL20&gt;=Time!$F$12,Time!AM20&gt;0),AL119+AL120+AL121+AL122+AL123+AL124+-1*Inputs!AM301*AM106*(Inputs!$F$97/100*Time!AM24-Operations!AM9/100*Time!AM25/Inputs!$F$247)+(Inputs!$F$95/100*Inputs!$F$96/100)*AL118*Time!AM25/Inputs!$F$248,0)</f>
        <v/>
      </c>
      <c r="AM125" s="13">
        <f>IF(AND(Time!AM20&gt;=Time!$F$12,Time!AN20&gt;0),AM119+AM120+AM121+AM122+AM123+AM124+-1*Inputs!AN301*AN106*(Inputs!$F$97/100*Time!AN24-Operations!AN9/100*Time!AN25/Inputs!$F$247)+(Inputs!$F$95/100*Inputs!$F$96/100)*AM118*Time!AN25/Inputs!$F$248,0)</f>
        <v/>
      </c>
      <c r="AN125" s="13">
        <f>IF(AND(Time!AN20&gt;=Time!$F$12,Time!AO20&gt;0),AN119+AN120+AN121+AN122+AN123+AN124+-1*Inputs!AO301*AO106*(Inputs!$F$97/100*Time!AO24-Operations!AO9/100*Time!AO25/Inputs!$F$247)+(Inputs!$F$95/100*Inputs!$F$96/100)*AN118*Time!AO25/Inputs!$F$248,0)</f>
        <v/>
      </c>
      <c r="AO125" s="13">
        <f>IF(AND(Time!AO20&gt;=Time!$F$12,Time!AP20&gt;0),AO119+AO120+AO121+AO122+AO123+AO124+-1*Inputs!AP301*AP106*(Inputs!$F$97/100*Time!AP24-Operations!AP9/100*Time!AP25/Inputs!$F$247)+(Inputs!$F$95/100*Inputs!$F$96/100)*AO118*Time!AP25/Inputs!$F$248,0)</f>
        <v/>
      </c>
      <c r="AP125" s="13">
        <f>IF(AND(Time!AP20&gt;=Time!$F$12,Time!AQ20&gt;0),AP119+AP120+AP121+AP122+AP123+AP124+-1*Inputs!AQ301*AQ106*(Inputs!$F$97/100*Time!AQ24-Operations!AQ9/100*Time!AQ25/Inputs!$F$247)+(Inputs!$F$95/100*Inputs!$F$96/100)*AP118*Time!AQ25/Inputs!$F$248,0)</f>
        <v/>
      </c>
      <c r="AQ125" s="13">
        <f>IF(AND(Time!AQ20&gt;=Time!$F$12,Time!AR20&gt;0),AQ119+AQ120+AQ121+AQ122+AQ123+AQ124+-1*Inputs!AR301*AR106*(Inputs!$F$97/100*Time!AR24-Operations!AR9/100*Time!AR25/Inputs!$F$247)+(Inputs!$F$95/100*Inputs!$F$96/100)*AQ118*Time!AR25/Inputs!$F$248,0)</f>
        <v/>
      </c>
      <c r="AR125" s="13">
        <f>IF(AND(Time!AR20&gt;=Time!$F$12,Time!AS20&gt;0),AR119+AR120+AR121+AR122+AR123+AR124+-1*Inputs!AS301*AS106*(Inputs!$F$97/100*Time!AS24-Operations!AS9/100*Time!AS25/Inputs!$F$247)+(Inputs!$F$95/100*Inputs!$F$96/100)*AR118*Time!AS25/Inputs!$F$248,0)</f>
        <v/>
      </c>
      <c r="AS125" s="13">
        <f>IF(AND(Time!AS20&gt;=Time!$F$12,Time!AT20&gt;0),AS119+AS120+AS121+AS122+AS123+AS124+-1*Inputs!AT301*AT106*(Inputs!$F$97/100*Time!AT24-Operations!AT9/100*Time!AT25/Inputs!$F$247)+(Inputs!$F$95/100*Inputs!$F$96/100)*AS118*Time!AT25/Inputs!$F$248,0)</f>
        <v/>
      </c>
      <c r="AT125" s="13">
        <f>IF(AND(Time!AT20&gt;=Time!$F$12,Time!AU20&gt;0),AT119+AT120+AT121+AT122+AT123+AT124+-1*Inputs!AU301*AU106*(Inputs!$F$97/100*Time!AU24-Operations!AU9/100*Time!AU25/Inputs!$F$247)+(Inputs!$F$95/100*Inputs!$F$96/100)*AT118*Time!AU25/Inputs!$F$248,0)</f>
        <v/>
      </c>
      <c r="AU125" s="13">
        <f>IF(AND(Time!AU20&gt;=Time!$F$12,Time!AV20&gt;0),AU119+AU120+AU121+AU122+AU123+AU124+-1*Inputs!AV301*AV106*(Inputs!$F$97/100*Time!AV24-Operations!AV9/100*Time!AV25/Inputs!$F$247)+(Inputs!$F$95/100*Inputs!$F$96/100)*AU118*Time!AV25/Inputs!$F$248,0)</f>
        <v/>
      </c>
      <c r="AV125" s="13">
        <f>IF(AND(Time!AV20&gt;=Time!$F$12,Time!AW20&gt;0),AV119+AV120+AV121+AV122+AV123+AV124+-1*Inputs!AW301*AW106*(Inputs!$F$97/100*Time!AW24-Operations!AW9/100*Time!AW25/Inputs!$F$247)+(Inputs!$F$95/100*Inputs!$F$96/100)*AV118*Time!AW25/Inputs!$F$248,0)</f>
        <v/>
      </c>
      <c r="AW125" s="13">
        <f>IF(AND(Time!AW20&gt;=Time!$F$12,Time!AX20&gt;0),AW119+AW120+AW121+AW122+AW123+AW124+-1*Inputs!AX301*AX106*(Inputs!$F$97/100*Time!AX24-Operations!AX9/100*Time!AX25/Inputs!$F$247)+(Inputs!$F$95/100*Inputs!$F$96/100)*AW118*Time!AX25/Inputs!$F$248,0)</f>
        <v/>
      </c>
      <c r="AX125" s="13">
        <f>IF(AND(Time!AX20&gt;=Time!$F$12,Time!AY20&gt;0),AX119+AX120+AX121+AX122+AX123+AX124+-1*Inputs!AY301*AY106*(Inputs!$F$97/100*Time!AY24-Operations!AY9/100*Time!AY25/Inputs!$F$247)+(Inputs!$F$95/100*Inputs!$F$96/100)*AX118*Time!AY25/Inputs!$F$248,0)</f>
        <v/>
      </c>
      <c r="AY125" s="13">
        <f>IF(AND(Time!AY20&gt;=Time!$F$12,Time!AZ20&gt;0),AY119+AY120+AY121+AY122+AY123+AY124+-1*Inputs!AZ301*AZ106*(Inputs!$F$97/100*Time!AZ24-Operations!AZ9/100*Time!AZ25/Inputs!$F$247)+(Inputs!$F$95/100*Inputs!$F$96/100)*AY118*Time!AZ25/Inputs!$F$248,0)</f>
        <v/>
      </c>
      <c r="AZ125" s="13">
        <f>IF(AND(Time!AZ20&gt;=Time!$F$12,Time!BA20&gt;0),AZ119+AZ120+AZ121+AZ122+AZ123+AZ124+-1*Inputs!BA301*BA106*(Inputs!$F$97/100*Time!BA24-Operations!BA9/100*Time!BA25/Inputs!$F$247)+(Inputs!$F$95/100*Inputs!$F$96/100)*AZ118*Time!BA25/Inputs!$F$248,0)</f>
        <v/>
      </c>
      <c r="BA125" s="13">
        <f>IF(AND(Time!BA20&gt;=Time!$F$12,Time!BB20&gt;0),BA119+BA120+BA121+BA122+BA123+BA124+-1*Inputs!BB301*BB106*(Inputs!$F$97/100*Time!BB24-Operations!BB9/100*Time!BB25/Inputs!$F$247)+(Inputs!$F$95/100*Inputs!$F$96/100)*BA118*Time!BB25/Inputs!$F$248,0)</f>
        <v/>
      </c>
      <c r="BB125" s="13">
        <f>IF(AND(Time!BB20&gt;=Time!$F$12,Time!BC20&gt;0),BB119+BB120+BB121+BB122+BB123+BB124+-1*Inputs!BC301*BC106*(Inputs!$F$97/100*Time!BC24-Operations!BC9/100*Time!BC25/Inputs!$F$247)+(Inputs!$F$95/100*Inputs!$F$96/100)*BB118*Time!BC25/Inputs!$F$248,0)</f>
        <v/>
      </c>
      <c r="BC125" s="13">
        <f>IF(AND(Time!BC20&gt;=Time!$F$12,Time!BD20&gt;0),BC119+BC120+BC121+BC122+BC123+BC124+-1*Inputs!BD301*BD106*(Inputs!$F$97/100*Time!BD24-Operations!BD9/100*Time!BD25/Inputs!$F$247)+(Inputs!$F$95/100*Inputs!$F$96/100)*BC118*Time!BD25/Inputs!$F$248,0)</f>
        <v/>
      </c>
      <c r="BD125" s="13">
        <f>IF(AND(Time!BD20&gt;=Time!$F$12,Time!BE20&gt;0),BD119+BD120+BD121+BD122+BD123+BD124+-1*Inputs!BE301*BE106*(Inputs!$F$97/100*Time!BE24-Operations!BE9/100*Time!BE25/Inputs!$F$247)+(Inputs!$F$95/100*Inputs!$F$96/100)*BD118*Time!BE25/Inputs!$F$248,0)</f>
        <v/>
      </c>
      <c r="BE125" s="13">
        <f>IF(AND(Time!BE20&gt;=Time!$F$12,Time!BF20&gt;0),BE119+BE120+BE121+BE122+BE123+BE124+-1*Inputs!BF301*BF106*(Inputs!$F$97/100*Time!BF24-Operations!BF9/100*Time!BF25/Inputs!$F$247)+(Inputs!$F$95/100*Inputs!$F$96/100)*BE118*Time!BF25/Inputs!$F$248,0)</f>
        <v/>
      </c>
      <c r="BF125" s="13">
        <f>IF(AND(Time!BF20&gt;=Time!$F$12,Time!BG20&gt;0),BF119+BF120+BF121+BF122+BF123+BF124+-1*Inputs!BG301*BG106*(Inputs!$F$97/100*Time!BG24-Operations!BG9/100*Time!BG25/Inputs!$F$247)+(Inputs!$F$95/100*Inputs!$F$96/100)*BF118*Time!BG25/Inputs!$F$248,0)</f>
        <v/>
      </c>
      <c r="BG125" s="13">
        <f>IF(AND(Time!BG20&gt;=Time!$F$12,Time!BH20&gt;0),BG119+BG120+BG121+BG122+BG123+BG124+-1*Inputs!BH301*BH106*(Inputs!$F$97/100*Time!BH24-Operations!BH9/100*Time!BH25/Inputs!$F$247)+(Inputs!$F$95/100*Inputs!$F$96/100)*BG118*Time!BH25/Inputs!$F$248,0)</f>
        <v/>
      </c>
      <c r="BH125" s="13">
        <f>IF(AND(Time!BH20&gt;=Time!$F$12,Time!BI20&gt;0),BH119+BH120+BH121+BH122+BH123+BH124+-1*Inputs!BI301*BI106*(Inputs!$F$97/100*Time!BI24-Operations!BI9/100*Time!BI25/Inputs!$F$247)+(Inputs!$F$95/100*Inputs!$F$96/100)*BH118*Time!BI25/Inputs!$F$248,0)</f>
        <v/>
      </c>
      <c r="BI125" s="13">
        <f>IF(AND(Time!BI20&gt;=Time!$F$12,Time!BJ20&gt;0),BI119+BI120+BI121+BI122+BI123+BI124+-1*Inputs!BJ301*BJ106*(Inputs!$F$97/100*Time!BJ24-Operations!BJ9/100*Time!BJ25/Inputs!$F$247)+(Inputs!$F$95/100*Inputs!$F$96/100)*BI118*Time!BJ25/Inputs!$F$248,0)</f>
        <v/>
      </c>
      <c r="BJ125" s="13">
        <f>IF(AND(Time!BJ20&gt;=Time!$F$12,Time!BK20&gt;0),BJ119+BJ120+BJ121+BJ122+BJ123+BJ124+-1*Inputs!BK301*BK106*(Inputs!$F$97/100*Time!BK24-Operations!BK9/100*Time!BK25/Inputs!$F$247)+(Inputs!$F$95/100*Inputs!$F$96/100)*BJ118*Time!BK25/Inputs!$F$248,0)</f>
        <v/>
      </c>
      <c r="BK125" s="13">
        <f>IF(AND(Time!BK20&gt;=Time!$F$12,Time!BL20&gt;0),BK119+BK120+BK121+BK122+BK123+BK124+-1*Inputs!BL301*BL106*(Inputs!$F$97/100*Time!BL24-Operations!BL9/100*Time!BL25/Inputs!$F$247)+(Inputs!$F$95/100*Inputs!$F$96/100)*BK118*Time!BL25/Inputs!$F$248,0)</f>
        <v/>
      </c>
      <c r="BL125" s="13">
        <f>IF(AND(Time!BL20&gt;=Time!$F$12,Time!BM20&gt;0),BL119+BL120+BL121+BL122+BL123+BL124+-1*Inputs!BM301*BM106*(Inputs!$F$97/100*Time!BM24-Operations!BM9/100*Time!BM25/Inputs!$F$247)+(Inputs!$F$95/100*Inputs!$F$96/100)*BL118*Time!BM25/Inputs!$F$248,0)</f>
        <v/>
      </c>
      <c r="BM125" s="13">
        <f>IF(AND(Time!BM20&gt;=Time!$F$12,Time!BN20&gt;0),BM119+BM120+BM121+BM122+BM123+BM124+-1*Inputs!BN301*BN106*(Inputs!$F$97/100*Time!BN24-Operations!BN9/100*Time!BN25/Inputs!$F$247)+(Inputs!$F$95/100*Inputs!$F$96/100)*BM118*Time!BN25/Inputs!$F$248,0)</f>
        <v/>
      </c>
      <c r="BN125" s="13">
        <f>IF(AND(Time!BN20&gt;=Time!$F$12,Time!BO20&gt;0),BN119+BN120+BN121+BN122+BN123+BN124+-1*Inputs!BO301*BO106*(Inputs!$F$97/100*Time!BO24-Operations!BO9/100*Time!BO25/Inputs!$F$247)+(Inputs!$F$95/100*Inputs!$F$96/100)*BN118*Time!BO25/Inputs!$F$248,0)</f>
        <v/>
      </c>
    </row>
    <row r="126">
      <c r="B126" s="2" t="inlineStr">
        <is>
          <t>Live sculpting check (FC base: constant-DSCR profile from CFADS)</t>
        </is>
      </c>
    </row>
    <row r="127">
      <c r="D127" t="inlineStr">
        <is>
          <t>Sculpting rate on scheduled balance</t>
        </is>
      </c>
      <c r="E127" t="inlineStr">
        <is>
          <t>factor</t>
        </is>
      </c>
      <c r="J127" s="16">
        <f>IF(Time!J53=1,Inputs!$F$75*J10+Inputs!$F$76*J11+Inputs!$F$77*J12+Inputs!$F$78*(J13+(Inputs!$F$95/100*Inputs!$F$96/100)*Time!J25/Inputs!$F$248)+-1*Inputs!J301/(Funding!$F$25*J18)*(Inputs!$F$97/100*Time!J24-Operations!J9/100*Time!J25/Inputs!$F$247),0)</f>
        <v/>
      </c>
      <c r="K127" s="16">
        <f>IF(Time!K53=1,Inputs!$F$75*K10+Inputs!$F$76*K11+Inputs!$F$77*K12+Inputs!$F$78*(K13+(Inputs!$F$95/100*Inputs!$F$96/100)*Time!K25/Inputs!$F$248)+-1*Inputs!K301/(Funding!$F$25*K18)*(Inputs!$F$97/100*Time!K24-Operations!K9/100*Time!K25/Inputs!$F$247),0)</f>
        <v/>
      </c>
      <c r="L127" s="16">
        <f>IF(Time!L53=1,Inputs!$F$75*L10+Inputs!$F$76*L11+Inputs!$F$77*L12+Inputs!$F$78*(L13+(Inputs!$F$95/100*Inputs!$F$96/100)*Time!L25/Inputs!$F$248)+-1*Inputs!L301/(Funding!$F$25*L18)*(Inputs!$F$97/100*Time!L24-Operations!L9/100*Time!L25/Inputs!$F$247),0)</f>
        <v/>
      </c>
      <c r="M127" s="16">
        <f>IF(Time!M53=1,Inputs!$F$75*M10+Inputs!$F$76*M11+Inputs!$F$77*M12+Inputs!$F$78*(M13+(Inputs!$F$95/100*Inputs!$F$96/100)*Time!M25/Inputs!$F$248)+-1*Inputs!M301/(Funding!$F$25*M18)*(Inputs!$F$97/100*Time!M24-Operations!M9/100*Time!M25/Inputs!$F$247),0)</f>
        <v/>
      </c>
      <c r="N127" s="16">
        <f>IF(Time!N53=1,Inputs!$F$75*N10+Inputs!$F$76*N11+Inputs!$F$77*N12+Inputs!$F$78*(N13+(Inputs!$F$95/100*Inputs!$F$96/100)*Time!N25/Inputs!$F$248)+-1*Inputs!N301/(Funding!$F$25*N18)*(Inputs!$F$97/100*Time!N24-Operations!N9/100*Time!N25/Inputs!$F$247),0)</f>
        <v/>
      </c>
      <c r="O127" s="16">
        <f>IF(Time!O53=1,Inputs!$F$75*O10+Inputs!$F$76*O11+Inputs!$F$77*O12+Inputs!$F$78*(O13+(Inputs!$F$95/100*Inputs!$F$96/100)*Time!O25/Inputs!$F$248)+-1*Inputs!O301/(Funding!$F$25*O18)*(Inputs!$F$97/100*Time!O24-Operations!O9/100*Time!O25/Inputs!$F$247),0)</f>
        <v/>
      </c>
      <c r="P127" s="16">
        <f>IF(Time!P53=1,Inputs!$F$75*P10+Inputs!$F$76*P11+Inputs!$F$77*P12+Inputs!$F$78*(P13+(Inputs!$F$95/100*Inputs!$F$96/100)*Time!P25/Inputs!$F$248)+-1*Inputs!P301/(Funding!$F$25*P18)*(Inputs!$F$97/100*Time!P24-Operations!P9/100*Time!P25/Inputs!$F$247),0)</f>
        <v/>
      </c>
      <c r="Q127" s="16">
        <f>IF(Time!Q53=1,Inputs!$F$75*Q10+Inputs!$F$76*Q11+Inputs!$F$77*Q12+Inputs!$F$78*(Q13+(Inputs!$F$95/100*Inputs!$F$96/100)*Time!Q25/Inputs!$F$248)+-1*Inputs!Q301/(Funding!$F$25*Q18)*(Inputs!$F$97/100*Time!Q24-Operations!Q9/100*Time!Q25/Inputs!$F$247),0)</f>
        <v/>
      </c>
      <c r="R127" s="16">
        <f>IF(Time!R53=1,Inputs!$F$75*R10+Inputs!$F$76*R11+Inputs!$F$77*R12+Inputs!$F$78*(R13+(Inputs!$F$95/100*Inputs!$F$96/100)*Time!R25/Inputs!$F$248)+-1*Inputs!R301/(Funding!$F$25*R18)*(Inputs!$F$97/100*Time!R24-Operations!R9/100*Time!R25/Inputs!$F$247),0)</f>
        <v/>
      </c>
      <c r="S127" s="16">
        <f>IF(Time!S53=1,Inputs!$F$75*S10+Inputs!$F$76*S11+Inputs!$F$77*S12+Inputs!$F$78*(S13+(Inputs!$F$95/100*Inputs!$F$96/100)*Time!S25/Inputs!$F$248)+-1*Inputs!S301/(Funding!$F$25*S18)*(Inputs!$F$97/100*Time!S24-Operations!S9/100*Time!S25/Inputs!$F$247),0)</f>
        <v/>
      </c>
      <c r="T127" s="16">
        <f>IF(Time!T53=1,Inputs!$F$75*T10+Inputs!$F$76*T11+Inputs!$F$77*T12+Inputs!$F$78*(T13+(Inputs!$F$95/100*Inputs!$F$96/100)*Time!T25/Inputs!$F$248)+-1*Inputs!T301/(Funding!$F$25*T18)*(Inputs!$F$97/100*Time!T24-Operations!T9/100*Time!T25/Inputs!$F$247),0)</f>
        <v/>
      </c>
      <c r="U127" s="16">
        <f>IF(Time!U53=1,Inputs!$F$75*U10+Inputs!$F$76*U11+Inputs!$F$77*U12+Inputs!$F$78*(U13+(Inputs!$F$95/100*Inputs!$F$96/100)*Time!U25/Inputs!$F$248)+-1*Inputs!U301/(Funding!$F$25*U18)*(Inputs!$F$97/100*Time!U24-Operations!U9/100*Time!U25/Inputs!$F$247),0)</f>
        <v/>
      </c>
      <c r="V127" s="16">
        <f>IF(Time!V53=1,Inputs!$F$75*V10+Inputs!$F$76*V11+Inputs!$F$77*V12+Inputs!$F$78*(V13+(Inputs!$F$95/100*Inputs!$F$96/100)*Time!V25/Inputs!$F$248)+-1*Inputs!V301/(Funding!$F$25*V18)*(Inputs!$F$97/100*Time!V24-Operations!V9/100*Time!V25/Inputs!$F$247),0)</f>
        <v/>
      </c>
      <c r="W127" s="16">
        <f>IF(Time!W53=1,Inputs!$F$75*W10+Inputs!$F$76*W11+Inputs!$F$77*W12+Inputs!$F$78*(W13+(Inputs!$F$95/100*Inputs!$F$96/100)*Time!W25/Inputs!$F$248)+-1*Inputs!W301/(Funding!$F$25*W18)*(Inputs!$F$97/100*Time!W24-Operations!W9/100*Time!W25/Inputs!$F$247),0)</f>
        <v/>
      </c>
      <c r="X127" s="16">
        <f>IF(Time!X53=1,Inputs!$F$75*X10+Inputs!$F$76*X11+Inputs!$F$77*X12+Inputs!$F$78*(X13+(Inputs!$F$95/100*Inputs!$F$96/100)*Time!X25/Inputs!$F$248)+-1*Inputs!X301/(Funding!$F$25*X18)*(Inputs!$F$97/100*Time!X24-Operations!X9/100*Time!X25/Inputs!$F$247),0)</f>
        <v/>
      </c>
      <c r="Y127" s="16">
        <f>IF(Time!Y53=1,Inputs!$F$75*Y10+Inputs!$F$76*Y11+Inputs!$F$77*Y12+Inputs!$F$78*(Y13+(Inputs!$F$95/100*Inputs!$F$96/100)*Time!Y25/Inputs!$F$248)+-1*Inputs!Y301/(Funding!$F$25*Y18)*(Inputs!$F$97/100*Time!Y24-Operations!Y9/100*Time!Y25/Inputs!$F$247),0)</f>
        <v/>
      </c>
      <c r="Z127" s="16">
        <f>IF(Time!Z53=1,Inputs!$F$75*Z10+Inputs!$F$76*Z11+Inputs!$F$77*Z12+Inputs!$F$78*(Z13+(Inputs!$F$95/100*Inputs!$F$96/100)*Time!Z25/Inputs!$F$248)+-1*Inputs!Z301/(Funding!$F$25*Z18)*(Inputs!$F$97/100*Time!Z24-Operations!Z9/100*Time!Z25/Inputs!$F$247),0)</f>
        <v/>
      </c>
      <c r="AA127" s="16">
        <f>IF(Time!AA53=1,Inputs!$F$75*AA10+Inputs!$F$76*AA11+Inputs!$F$77*AA12+Inputs!$F$78*(AA13+(Inputs!$F$95/100*Inputs!$F$96/100)*Time!AA25/Inputs!$F$248)+-1*Inputs!AA301/(Funding!$F$25*AA18)*(Inputs!$F$97/100*Time!AA24-Operations!AA9/100*Time!AA25/Inputs!$F$247),0)</f>
        <v/>
      </c>
      <c r="AB127" s="16">
        <f>IF(Time!AB53=1,Inputs!$F$75*AB10+Inputs!$F$76*AB11+Inputs!$F$77*AB12+Inputs!$F$78*(AB13+(Inputs!$F$95/100*Inputs!$F$96/100)*Time!AB25/Inputs!$F$248)+-1*Inputs!AB301/(Funding!$F$25*AB18)*(Inputs!$F$97/100*Time!AB24-Operations!AB9/100*Time!AB25/Inputs!$F$247),0)</f>
        <v/>
      </c>
      <c r="AC127" s="16">
        <f>IF(Time!AC53=1,Inputs!$F$75*AC10+Inputs!$F$76*AC11+Inputs!$F$77*AC12+Inputs!$F$78*(AC13+(Inputs!$F$95/100*Inputs!$F$96/100)*Time!AC25/Inputs!$F$248)+-1*Inputs!AC301/(Funding!$F$25*AC18)*(Inputs!$F$97/100*Time!AC24-Operations!AC9/100*Time!AC25/Inputs!$F$247),0)</f>
        <v/>
      </c>
      <c r="AD127" s="16">
        <f>IF(Time!AD53=1,Inputs!$F$75*AD10+Inputs!$F$76*AD11+Inputs!$F$77*AD12+Inputs!$F$78*(AD13+(Inputs!$F$95/100*Inputs!$F$96/100)*Time!AD25/Inputs!$F$248)+-1*Inputs!AD301/(Funding!$F$25*AD18)*(Inputs!$F$97/100*Time!AD24-Operations!AD9/100*Time!AD25/Inputs!$F$247),0)</f>
        <v/>
      </c>
      <c r="AE127" s="16">
        <f>IF(Time!AE53=1,Inputs!$F$75*AE10+Inputs!$F$76*AE11+Inputs!$F$77*AE12+Inputs!$F$78*(AE13+(Inputs!$F$95/100*Inputs!$F$96/100)*Time!AE25/Inputs!$F$248)+-1*Inputs!AE301/(Funding!$F$25*AE18)*(Inputs!$F$97/100*Time!AE24-Operations!AE9/100*Time!AE25/Inputs!$F$247),0)</f>
        <v/>
      </c>
      <c r="AF127" s="16">
        <f>IF(Time!AF53=1,Inputs!$F$75*AF10+Inputs!$F$76*AF11+Inputs!$F$77*AF12+Inputs!$F$78*(AF13+(Inputs!$F$95/100*Inputs!$F$96/100)*Time!AF25/Inputs!$F$248)+-1*Inputs!AF301/(Funding!$F$25*AF18)*(Inputs!$F$97/100*Time!AF24-Operations!AF9/100*Time!AF25/Inputs!$F$247),0)</f>
        <v/>
      </c>
      <c r="AG127" s="16">
        <f>IF(Time!AG53=1,Inputs!$F$75*AG10+Inputs!$F$76*AG11+Inputs!$F$77*AG12+Inputs!$F$78*(AG13+(Inputs!$F$95/100*Inputs!$F$96/100)*Time!AG25/Inputs!$F$248)+-1*Inputs!AG301/(Funding!$F$25*AG18)*(Inputs!$F$97/100*Time!AG24-Operations!AG9/100*Time!AG25/Inputs!$F$247),0)</f>
        <v/>
      </c>
      <c r="AH127" s="16">
        <f>IF(Time!AH53=1,Inputs!$F$75*AH10+Inputs!$F$76*AH11+Inputs!$F$77*AH12+Inputs!$F$78*(AH13+(Inputs!$F$95/100*Inputs!$F$96/100)*Time!AH25/Inputs!$F$248)+-1*Inputs!AH301/(Funding!$F$25*AH18)*(Inputs!$F$97/100*Time!AH24-Operations!AH9/100*Time!AH25/Inputs!$F$247),0)</f>
        <v/>
      </c>
      <c r="AI127" s="16">
        <f>IF(Time!AI53=1,Inputs!$F$75*AI10+Inputs!$F$76*AI11+Inputs!$F$77*AI12+Inputs!$F$78*(AI13+(Inputs!$F$95/100*Inputs!$F$96/100)*Time!AI25/Inputs!$F$248)+-1*Inputs!AI301/(Funding!$F$25*AI18)*(Inputs!$F$97/100*Time!AI24-Operations!AI9/100*Time!AI25/Inputs!$F$247),0)</f>
        <v/>
      </c>
      <c r="AJ127" s="16">
        <f>IF(Time!AJ53=1,Inputs!$F$75*AJ10+Inputs!$F$76*AJ11+Inputs!$F$77*AJ12+Inputs!$F$78*(AJ13+(Inputs!$F$95/100*Inputs!$F$96/100)*Time!AJ25/Inputs!$F$248)+-1*Inputs!AJ301/(Funding!$F$25*AJ18)*(Inputs!$F$97/100*Time!AJ24-Operations!AJ9/100*Time!AJ25/Inputs!$F$247),0)</f>
        <v/>
      </c>
      <c r="AK127" s="16">
        <f>IF(Time!AK53=1,Inputs!$F$75*AK10+Inputs!$F$76*AK11+Inputs!$F$77*AK12+Inputs!$F$78*(AK13+(Inputs!$F$95/100*Inputs!$F$96/100)*Time!AK25/Inputs!$F$248)+-1*Inputs!AK301/(Funding!$F$25*AK18)*(Inputs!$F$97/100*Time!AK24-Operations!AK9/100*Time!AK25/Inputs!$F$247),0)</f>
        <v/>
      </c>
      <c r="AL127" s="16">
        <f>IF(Time!AL53=1,Inputs!$F$75*AL10+Inputs!$F$76*AL11+Inputs!$F$77*AL12+Inputs!$F$78*(AL13+(Inputs!$F$95/100*Inputs!$F$96/100)*Time!AL25/Inputs!$F$248)+-1*Inputs!AL301/(Funding!$F$25*AL18)*(Inputs!$F$97/100*Time!AL24-Operations!AL9/100*Time!AL25/Inputs!$F$247),0)</f>
        <v/>
      </c>
      <c r="AM127" s="16">
        <f>IF(Time!AM53=1,Inputs!$F$75*AM10+Inputs!$F$76*AM11+Inputs!$F$77*AM12+Inputs!$F$78*(AM13+(Inputs!$F$95/100*Inputs!$F$96/100)*Time!AM25/Inputs!$F$248)+-1*Inputs!AM301/(Funding!$F$25*AM18)*(Inputs!$F$97/100*Time!AM24-Operations!AM9/100*Time!AM25/Inputs!$F$247),0)</f>
        <v/>
      </c>
      <c r="AN127" s="16">
        <f>IF(Time!AN53=1,Inputs!$F$75*AN10+Inputs!$F$76*AN11+Inputs!$F$77*AN12+Inputs!$F$78*(AN13+(Inputs!$F$95/100*Inputs!$F$96/100)*Time!AN25/Inputs!$F$248)+-1*Inputs!AN301/(Funding!$F$25*AN18)*(Inputs!$F$97/100*Time!AN24-Operations!AN9/100*Time!AN25/Inputs!$F$247),0)</f>
        <v/>
      </c>
      <c r="AO127" s="16">
        <f>IF(Time!AO53=1,Inputs!$F$75*AO10+Inputs!$F$76*AO11+Inputs!$F$77*AO12+Inputs!$F$78*(AO13+(Inputs!$F$95/100*Inputs!$F$96/100)*Time!AO25/Inputs!$F$248)+-1*Inputs!AO301/(Funding!$F$25*AO18)*(Inputs!$F$97/100*Time!AO24-Operations!AO9/100*Time!AO25/Inputs!$F$247),0)</f>
        <v/>
      </c>
      <c r="AP127" s="16">
        <f>IF(Time!AP53=1,Inputs!$F$75*AP10+Inputs!$F$76*AP11+Inputs!$F$77*AP12+Inputs!$F$78*(AP13+(Inputs!$F$95/100*Inputs!$F$96/100)*Time!AP25/Inputs!$F$248)+-1*Inputs!AP301/(Funding!$F$25*AP18)*(Inputs!$F$97/100*Time!AP24-Operations!AP9/100*Time!AP25/Inputs!$F$247),0)</f>
        <v/>
      </c>
      <c r="AQ127" s="16">
        <f>IF(Time!AQ53=1,Inputs!$F$75*AQ10+Inputs!$F$76*AQ11+Inputs!$F$77*AQ12+Inputs!$F$78*(AQ13+(Inputs!$F$95/100*Inputs!$F$96/100)*Time!AQ25/Inputs!$F$248)+-1*Inputs!AQ301/(Funding!$F$25*AQ18)*(Inputs!$F$97/100*Time!AQ24-Operations!AQ9/100*Time!AQ25/Inputs!$F$247),0)</f>
        <v/>
      </c>
      <c r="AR127" s="16">
        <f>IF(Time!AR53=1,Inputs!$F$75*AR10+Inputs!$F$76*AR11+Inputs!$F$77*AR12+Inputs!$F$78*(AR13+(Inputs!$F$95/100*Inputs!$F$96/100)*Time!AR25/Inputs!$F$248)+-1*Inputs!AR301/(Funding!$F$25*AR18)*(Inputs!$F$97/100*Time!AR24-Operations!AR9/100*Time!AR25/Inputs!$F$247),0)</f>
        <v/>
      </c>
      <c r="AS127" s="16">
        <f>IF(Time!AS53=1,Inputs!$F$75*AS10+Inputs!$F$76*AS11+Inputs!$F$77*AS12+Inputs!$F$78*(AS13+(Inputs!$F$95/100*Inputs!$F$96/100)*Time!AS25/Inputs!$F$248)+-1*Inputs!AS301/(Funding!$F$25*AS18)*(Inputs!$F$97/100*Time!AS24-Operations!AS9/100*Time!AS25/Inputs!$F$247),0)</f>
        <v/>
      </c>
      <c r="AT127" s="16">
        <f>IF(Time!AT53=1,Inputs!$F$75*AT10+Inputs!$F$76*AT11+Inputs!$F$77*AT12+Inputs!$F$78*(AT13+(Inputs!$F$95/100*Inputs!$F$96/100)*Time!AT25/Inputs!$F$248)+-1*Inputs!AT301/(Funding!$F$25*AT18)*(Inputs!$F$97/100*Time!AT24-Operations!AT9/100*Time!AT25/Inputs!$F$247),0)</f>
        <v/>
      </c>
      <c r="AU127" s="16">
        <f>IF(Time!AU53=1,Inputs!$F$75*AU10+Inputs!$F$76*AU11+Inputs!$F$77*AU12+Inputs!$F$78*(AU13+(Inputs!$F$95/100*Inputs!$F$96/100)*Time!AU25/Inputs!$F$248)+-1*Inputs!AU301/(Funding!$F$25*AU18)*(Inputs!$F$97/100*Time!AU24-Operations!AU9/100*Time!AU25/Inputs!$F$247),0)</f>
        <v/>
      </c>
      <c r="AV127" s="16">
        <f>IF(Time!AV53=1,Inputs!$F$75*AV10+Inputs!$F$76*AV11+Inputs!$F$77*AV12+Inputs!$F$78*(AV13+(Inputs!$F$95/100*Inputs!$F$96/100)*Time!AV25/Inputs!$F$248)+-1*Inputs!AV301/(Funding!$F$25*AV18)*(Inputs!$F$97/100*Time!AV24-Operations!AV9/100*Time!AV25/Inputs!$F$247),0)</f>
        <v/>
      </c>
      <c r="AW127" s="16">
        <f>IF(Time!AW53=1,Inputs!$F$75*AW10+Inputs!$F$76*AW11+Inputs!$F$77*AW12+Inputs!$F$78*(AW13+(Inputs!$F$95/100*Inputs!$F$96/100)*Time!AW25/Inputs!$F$248)+-1*Inputs!AW301/(Funding!$F$25*AW18)*(Inputs!$F$97/100*Time!AW24-Operations!AW9/100*Time!AW25/Inputs!$F$247),0)</f>
        <v/>
      </c>
      <c r="AX127" s="16">
        <f>IF(Time!AX53=1,Inputs!$F$75*AX10+Inputs!$F$76*AX11+Inputs!$F$77*AX12+Inputs!$F$78*(AX13+(Inputs!$F$95/100*Inputs!$F$96/100)*Time!AX25/Inputs!$F$248)+-1*Inputs!AX301/(Funding!$F$25*AX18)*(Inputs!$F$97/100*Time!AX24-Operations!AX9/100*Time!AX25/Inputs!$F$247),0)</f>
        <v/>
      </c>
      <c r="AY127" s="16">
        <f>IF(Time!AY53=1,Inputs!$F$75*AY10+Inputs!$F$76*AY11+Inputs!$F$77*AY12+Inputs!$F$78*(AY13+(Inputs!$F$95/100*Inputs!$F$96/100)*Time!AY25/Inputs!$F$248)+-1*Inputs!AY301/(Funding!$F$25*AY18)*(Inputs!$F$97/100*Time!AY24-Operations!AY9/100*Time!AY25/Inputs!$F$247),0)</f>
        <v/>
      </c>
      <c r="AZ127" s="16">
        <f>IF(Time!AZ53=1,Inputs!$F$75*AZ10+Inputs!$F$76*AZ11+Inputs!$F$77*AZ12+Inputs!$F$78*(AZ13+(Inputs!$F$95/100*Inputs!$F$96/100)*Time!AZ25/Inputs!$F$248)+-1*Inputs!AZ301/(Funding!$F$25*AZ18)*(Inputs!$F$97/100*Time!AZ24-Operations!AZ9/100*Time!AZ25/Inputs!$F$247),0)</f>
        <v/>
      </c>
      <c r="BA127" s="16">
        <f>IF(Time!BA53=1,Inputs!$F$75*BA10+Inputs!$F$76*BA11+Inputs!$F$77*BA12+Inputs!$F$78*(BA13+(Inputs!$F$95/100*Inputs!$F$96/100)*Time!BA25/Inputs!$F$248)+-1*Inputs!BA301/(Funding!$F$25*BA18)*(Inputs!$F$97/100*Time!BA24-Operations!BA9/100*Time!BA25/Inputs!$F$247),0)</f>
        <v/>
      </c>
      <c r="BB127" s="16">
        <f>IF(Time!BB53=1,Inputs!$F$75*BB10+Inputs!$F$76*BB11+Inputs!$F$77*BB12+Inputs!$F$78*(BB13+(Inputs!$F$95/100*Inputs!$F$96/100)*Time!BB25/Inputs!$F$248)+-1*Inputs!BB301/(Funding!$F$25*BB18)*(Inputs!$F$97/100*Time!BB24-Operations!BB9/100*Time!BB25/Inputs!$F$247),0)</f>
        <v/>
      </c>
      <c r="BC127" s="16">
        <f>IF(Time!BC53=1,Inputs!$F$75*BC10+Inputs!$F$76*BC11+Inputs!$F$77*BC12+Inputs!$F$78*(BC13+(Inputs!$F$95/100*Inputs!$F$96/100)*Time!BC25/Inputs!$F$248)+-1*Inputs!BC301/(Funding!$F$25*BC18)*(Inputs!$F$97/100*Time!BC24-Operations!BC9/100*Time!BC25/Inputs!$F$247),0)</f>
        <v/>
      </c>
      <c r="BD127" s="16">
        <f>IF(Time!BD53=1,Inputs!$F$75*BD10+Inputs!$F$76*BD11+Inputs!$F$77*BD12+Inputs!$F$78*(BD13+(Inputs!$F$95/100*Inputs!$F$96/100)*Time!BD25/Inputs!$F$248)+-1*Inputs!BD301/(Funding!$F$25*BD18)*(Inputs!$F$97/100*Time!BD24-Operations!BD9/100*Time!BD25/Inputs!$F$247),0)</f>
        <v/>
      </c>
      <c r="BE127" s="16">
        <f>IF(Time!BE53=1,Inputs!$F$75*BE10+Inputs!$F$76*BE11+Inputs!$F$77*BE12+Inputs!$F$78*(BE13+(Inputs!$F$95/100*Inputs!$F$96/100)*Time!BE25/Inputs!$F$248)+-1*Inputs!BE301/(Funding!$F$25*BE18)*(Inputs!$F$97/100*Time!BE24-Operations!BE9/100*Time!BE25/Inputs!$F$247),0)</f>
        <v/>
      </c>
      <c r="BF127" s="16">
        <f>IF(Time!BF53=1,Inputs!$F$75*BF10+Inputs!$F$76*BF11+Inputs!$F$77*BF12+Inputs!$F$78*(BF13+(Inputs!$F$95/100*Inputs!$F$96/100)*Time!BF25/Inputs!$F$248)+-1*Inputs!BF301/(Funding!$F$25*BF18)*(Inputs!$F$97/100*Time!BF24-Operations!BF9/100*Time!BF25/Inputs!$F$247),0)</f>
        <v/>
      </c>
      <c r="BG127" s="16">
        <f>IF(Time!BG53=1,Inputs!$F$75*BG10+Inputs!$F$76*BG11+Inputs!$F$77*BG12+Inputs!$F$78*(BG13+(Inputs!$F$95/100*Inputs!$F$96/100)*Time!BG25/Inputs!$F$248)+-1*Inputs!BG301/(Funding!$F$25*BG18)*(Inputs!$F$97/100*Time!BG24-Operations!BG9/100*Time!BG25/Inputs!$F$247),0)</f>
        <v/>
      </c>
      <c r="BH127" s="16">
        <f>IF(Time!BH53=1,Inputs!$F$75*BH10+Inputs!$F$76*BH11+Inputs!$F$77*BH12+Inputs!$F$78*(BH13+(Inputs!$F$95/100*Inputs!$F$96/100)*Time!BH25/Inputs!$F$248)+-1*Inputs!BH301/(Funding!$F$25*BH18)*(Inputs!$F$97/100*Time!BH24-Operations!BH9/100*Time!BH25/Inputs!$F$247),0)</f>
        <v/>
      </c>
      <c r="BI127" s="16">
        <f>IF(Time!BI53=1,Inputs!$F$75*BI10+Inputs!$F$76*BI11+Inputs!$F$77*BI12+Inputs!$F$78*(BI13+(Inputs!$F$95/100*Inputs!$F$96/100)*Time!BI25/Inputs!$F$248)+-1*Inputs!BI301/(Funding!$F$25*BI18)*(Inputs!$F$97/100*Time!BI24-Operations!BI9/100*Time!BI25/Inputs!$F$247),0)</f>
        <v/>
      </c>
      <c r="BJ127" s="16">
        <f>IF(Time!BJ53=1,Inputs!$F$75*BJ10+Inputs!$F$76*BJ11+Inputs!$F$77*BJ12+Inputs!$F$78*(BJ13+(Inputs!$F$95/100*Inputs!$F$96/100)*Time!BJ25/Inputs!$F$248)+-1*Inputs!BJ301/(Funding!$F$25*BJ18)*(Inputs!$F$97/100*Time!BJ24-Operations!BJ9/100*Time!BJ25/Inputs!$F$247),0)</f>
        <v/>
      </c>
      <c r="BK127" s="16">
        <f>IF(Time!BK53=1,Inputs!$F$75*BK10+Inputs!$F$76*BK11+Inputs!$F$77*BK12+Inputs!$F$78*(BK13+(Inputs!$F$95/100*Inputs!$F$96/100)*Time!BK25/Inputs!$F$248)+-1*Inputs!BK301/(Funding!$F$25*BK18)*(Inputs!$F$97/100*Time!BK24-Operations!BK9/100*Time!BK25/Inputs!$F$247),0)</f>
        <v/>
      </c>
      <c r="BL127" s="16">
        <f>IF(Time!BL53=1,Inputs!$F$75*BL10+Inputs!$F$76*BL11+Inputs!$F$77*BL12+Inputs!$F$78*(BL13+(Inputs!$F$95/100*Inputs!$F$96/100)*Time!BL25/Inputs!$F$248)+-1*Inputs!BL301/(Funding!$F$25*BL18)*(Inputs!$F$97/100*Time!BL24-Operations!BL9/100*Time!BL25/Inputs!$F$247),0)</f>
        <v/>
      </c>
      <c r="BM127" s="16">
        <f>IF(Time!BM53=1,Inputs!$F$75*BM10+Inputs!$F$76*BM11+Inputs!$F$77*BM12+Inputs!$F$78*(BM13+(Inputs!$F$95/100*Inputs!$F$96/100)*Time!BM25/Inputs!$F$248)+-1*Inputs!BM301/(Funding!$F$25*BM18)*(Inputs!$F$97/100*Time!BM24-Operations!BM9/100*Time!BM25/Inputs!$F$247),0)</f>
        <v/>
      </c>
      <c r="BN127" s="16">
        <f>IF(Time!BN53=1,Inputs!$F$75*BN10+Inputs!$F$76*BN11+Inputs!$F$77*BN12+Inputs!$F$78*(BN13+(Inputs!$F$95/100*Inputs!$F$96/100)*Time!BN25/Inputs!$F$248)+-1*Inputs!BN301/(Funding!$F$25*BN18)*(Inputs!$F$97/100*Time!BN24-Operations!BN9/100*Time!BN25/Inputs!$F$247),0)</f>
        <v/>
      </c>
    </row>
    <row r="128">
      <c r="D128" t="inlineStr">
        <is>
          <t>PV of CFADS to final maturity at the sculpting rate</t>
        </is>
      </c>
      <c r="E128" t="inlineStr">
        <is>
          <t>USD m</t>
        </is>
      </c>
      <c r="J128" s="13">
        <f>IF(Time!J53=1,(Waterfall!J7+Tax!J27+K128)/(1+J127),0)</f>
        <v/>
      </c>
      <c r="K128" s="13">
        <f>IF(Time!K53=1,(Waterfall!K7+Tax!K27+L128)/(1+K127),0)</f>
        <v/>
      </c>
      <c r="L128" s="13">
        <f>IF(Time!L53=1,(Waterfall!L7+Tax!L27+M128)/(1+L127),0)</f>
        <v/>
      </c>
      <c r="M128" s="13">
        <f>IF(Time!M53=1,(Waterfall!M7+Tax!M27+N128)/(1+M127),0)</f>
        <v/>
      </c>
      <c r="N128" s="13">
        <f>IF(Time!N53=1,(Waterfall!N7+Tax!N27+O128)/(1+N127),0)</f>
        <v/>
      </c>
      <c r="O128" s="13">
        <f>IF(Time!O53=1,(Waterfall!O7+Tax!O27+P128)/(1+O127),0)</f>
        <v/>
      </c>
      <c r="P128" s="13">
        <f>IF(Time!P53=1,(Waterfall!P7+Tax!P27+Q128)/(1+P127),0)</f>
        <v/>
      </c>
      <c r="Q128" s="13">
        <f>IF(Time!Q53=1,(Waterfall!Q7+Tax!Q27+R128)/(1+Q127),0)</f>
        <v/>
      </c>
      <c r="R128" s="13">
        <f>IF(Time!R53=1,(Waterfall!R7+Tax!R27+S128)/(1+R127),0)</f>
        <v/>
      </c>
      <c r="S128" s="13">
        <f>IF(Time!S53=1,(Waterfall!S7+Tax!S27+T128)/(1+S127),0)</f>
        <v/>
      </c>
      <c r="T128" s="13">
        <f>IF(Time!T53=1,(Waterfall!T7+Tax!T27+U128)/(1+T127),0)</f>
        <v/>
      </c>
      <c r="U128" s="13">
        <f>IF(Time!U53=1,(Waterfall!U7+Tax!U27+V128)/(1+U127),0)</f>
        <v/>
      </c>
      <c r="V128" s="13">
        <f>IF(Time!V53=1,(Waterfall!V7+Tax!V27+W128)/(1+V127),0)</f>
        <v/>
      </c>
      <c r="W128" s="13">
        <f>IF(Time!W53=1,(Waterfall!W7+Tax!W27+X128)/(1+W127),0)</f>
        <v/>
      </c>
      <c r="X128" s="13">
        <f>IF(Time!X53=1,(Waterfall!X7+Tax!X27+Y128)/(1+X127),0)</f>
        <v/>
      </c>
      <c r="Y128" s="13">
        <f>IF(Time!Y53=1,(Waterfall!Y7+Tax!Y27+Z128)/(1+Y127),0)</f>
        <v/>
      </c>
      <c r="Z128" s="13">
        <f>IF(Time!Z53=1,(Waterfall!Z7+Tax!Z27+AA128)/(1+Z127),0)</f>
        <v/>
      </c>
      <c r="AA128" s="13">
        <f>IF(Time!AA53=1,(Waterfall!AA7+Tax!AA27+AB128)/(1+AA127),0)</f>
        <v/>
      </c>
      <c r="AB128" s="13">
        <f>IF(Time!AB53=1,(Waterfall!AB7+Tax!AB27+AC128)/(1+AB127),0)</f>
        <v/>
      </c>
      <c r="AC128" s="13">
        <f>IF(Time!AC53=1,(Waterfall!AC7+Tax!AC27+AD128)/(1+AC127),0)</f>
        <v/>
      </c>
      <c r="AD128" s="13">
        <f>IF(Time!AD53=1,(Waterfall!AD7+Tax!AD27+AE128)/(1+AD127),0)</f>
        <v/>
      </c>
      <c r="AE128" s="13">
        <f>IF(Time!AE53=1,(Waterfall!AE7+Tax!AE27+AF128)/(1+AE127),0)</f>
        <v/>
      </c>
      <c r="AF128" s="13">
        <f>IF(Time!AF53=1,(Waterfall!AF7+Tax!AF27+AG128)/(1+AF127),0)</f>
        <v/>
      </c>
      <c r="AG128" s="13">
        <f>IF(Time!AG53=1,(Waterfall!AG7+Tax!AG27+AH128)/(1+AG127),0)</f>
        <v/>
      </c>
      <c r="AH128" s="13">
        <f>IF(Time!AH53=1,(Waterfall!AH7+Tax!AH27+AI128)/(1+AH127),0)</f>
        <v/>
      </c>
      <c r="AI128" s="13">
        <f>IF(Time!AI53=1,(Waterfall!AI7+Tax!AI27+AJ128)/(1+AI127),0)</f>
        <v/>
      </c>
      <c r="AJ128" s="13">
        <f>IF(Time!AJ53=1,(Waterfall!AJ7+Tax!AJ27+AK128)/(1+AJ127),0)</f>
        <v/>
      </c>
      <c r="AK128" s="13">
        <f>IF(Time!AK53=1,(Waterfall!AK7+Tax!AK27+AL128)/(1+AK127),0)</f>
        <v/>
      </c>
      <c r="AL128" s="13">
        <f>IF(Time!AL53=1,(Waterfall!AL7+Tax!AL27+AM128)/(1+AL127),0)</f>
        <v/>
      </c>
      <c r="AM128" s="13">
        <f>IF(Time!AM53=1,(Waterfall!AM7+Tax!AM27+AN128)/(1+AM127),0)</f>
        <v/>
      </c>
      <c r="AN128" s="13">
        <f>IF(Time!AN53=1,(Waterfall!AN7+Tax!AN27+AO128)/(1+AN127),0)</f>
        <v/>
      </c>
      <c r="AO128" s="13">
        <f>IF(Time!AO53=1,(Waterfall!AO7+Tax!AO27+AP128)/(1+AO127),0)</f>
        <v/>
      </c>
      <c r="AP128" s="13">
        <f>IF(Time!AP53=1,(Waterfall!AP7+Tax!AP27+AQ128)/(1+AP127),0)</f>
        <v/>
      </c>
      <c r="AQ128" s="13">
        <f>IF(Time!AQ53=1,(Waterfall!AQ7+Tax!AQ27+AR128)/(1+AQ127),0)</f>
        <v/>
      </c>
      <c r="AR128" s="13">
        <f>IF(Time!AR53=1,(Waterfall!AR7+Tax!AR27+AS128)/(1+AR127),0)</f>
        <v/>
      </c>
      <c r="AS128" s="13">
        <f>IF(Time!AS53=1,(Waterfall!AS7+Tax!AS27+AT128)/(1+AS127),0)</f>
        <v/>
      </c>
      <c r="AT128" s="13">
        <f>IF(Time!AT53=1,(Waterfall!AT7+Tax!AT27+AU128)/(1+AT127),0)</f>
        <v/>
      </c>
      <c r="AU128" s="13">
        <f>IF(Time!AU53=1,(Waterfall!AU7+Tax!AU27+AV128)/(1+AU127),0)</f>
        <v/>
      </c>
      <c r="AV128" s="13">
        <f>IF(Time!AV53=1,(Waterfall!AV7+Tax!AV27+AW128)/(1+AV127),0)</f>
        <v/>
      </c>
      <c r="AW128" s="13">
        <f>IF(Time!AW53=1,(Waterfall!AW7+Tax!AW27+AX128)/(1+AW127),0)</f>
        <v/>
      </c>
      <c r="AX128" s="13">
        <f>IF(Time!AX53=1,(Waterfall!AX7+Tax!AX27+AY128)/(1+AX127),0)</f>
        <v/>
      </c>
      <c r="AY128" s="13">
        <f>IF(Time!AY53=1,(Waterfall!AY7+Tax!AY27+AZ128)/(1+AY127),0)</f>
        <v/>
      </c>
      <c r="AZ128" s="13">
        <f>IF(Time!AZ53=1,(Waterfall!AZ7+Tax!AZ27+BA128)/(1+AZ127),0)</f>
        <v/>
      </c>
      <c r="BA128" s="13">
        <f>IF(Time!BA53=1,(Waterfall!BA7+Tax!BA27+BB128)/(1+BA127),0)</f>
        <v/>
      </c>
      <c r="BB128" s="13">
        <f>IF(Time!BB53=1,(Waterfall!BB7+Tax!BB27+BC128)/(1+BB127),0)</f>
        <v/>
      </c>
      <c r="BC128" s="13">
        <f>IF(Time!BC53=1,(Waterfall!BC7+Tax!BC27+BD128)/(1+BC127),0)</f>
        <v/>
      </c>
      <c r="BD128" s="13">
        <f>IF(Time!BD53=1,(Waterfall!BD7+Tax!BD27+BE128)/(1+BD127),0)</f>
        <v/>
      </c>
      <c r="BE128" s="13">
        <f>IF(Time!BE53=1,(Waterfall!BE7+Tax!BE27+BF128)/(1+BE127),0)</f>
        <v/>
      </c>
      <c r="BF128" s="13">
        <f>IF(Time!BF53=1,(Waterfall!BF7+Tax!BF27+BG128)/(1+BF127),0)</f>
        <v/>
      </c>
      <c r="BG128" s="13">
        <f>IF(Time!BG53=1,(Waterfall!BG7+Tax!BG27+BH128)/(1+BG127),0)</f>
        <v/>
      </c>
      <c r="BH128" s="13">
        <f>IF(Time!BH53=1,(Waterfall!BH7+Tax!BH27+BI128)/(1+BH127),0)</f>
        <v/>
      </c>
      <c r="BI128" s="13">
        <f>IF(Time!BI53=1,(Waterfall!BI7+Tax!BI27+BJ128)/(1+BI127),0)</f>
        <v/>
      </c>
      <c r="BJ128" s="13">
        <f>IF(Time!BJ53=1,(Waterfall!BJ7+Tax!BJ27+BK128)/(1+BJ127),0)</f>
        <v/>
      </c>
      <c r="BK128" s="13">
        <f>IF(Time!BK53=1,(Waterfall!BK7+Tax!BK27+BL128)/(1+BK127),0)</f>
        <v/>
      </c>
      <c r="BL128" s="13">
        <f>IF(Time!BL53=1,(Waterfall!BL7+Tax!BL27+BM128)/(1+BL127),0)</f>
        <v/>
      </c>
      <c r="BM128" s="13">
        <f>IF(Time!BM53=1,(Waterfall!BM7+Tax!BM27+BN128)/(1+BM127),0)</f>
        <v/>
      </c>
      <c r="BN128" s="13">
        <f>IF(Time!BN53=1,(Waterfall!BN7+Tax!BN27+BO128)/(1+BN127),0)</f>
        <v/>
      </c>
    </row>
    <row r="129">
      <c r="D129" t="inlineStr">
        <is>
          <t>Sculpted DSCR = PV(CFADS) / debt</t>
        </is>
      </c>
      <c r="E129" t="inlineStr">
        <is>
          <t>x</t>
        </is>
      </c>
      <c r="F129" s="11">
        <f>INDEX($J$128:$BN$128,1,Time!$F$13)/Funding!$F$25</f>
        <v/>
      </c>
    </row>
    <row r="130">
      <c r="D130" t="inlineStr">
        <is>
          <t>Debt capacity at the target DSCR</t>
        </is>
      </c>
      <c r="E130" t="inlineStr">
        <is>
          <t>USD m</t>
        </is>
      </c>
      <c r="F130" s="17">
        <f>INDEX($J$128:$BN$128,1,Time!$F$13)/Inputs!$F$106</f>
        <v/>
      </c>
    </row>
    <row r="131">
      <c r="D131" t="inlineStr">
        <is>
          <t>Debt at the gearing cap (closed form)</t>
        </is>
      </c>
      <c r="E131" t="inlineStr">
        <is>
          <t>USD m</t>
        </is>
      </c>
      <c r="F131" s="17">
        <f>Inputs!$F$105*Funding!$F$24</f>
        <v/>
      </c>
    </row>
    <row r="132">
      <c r="D132" t="inlineStr">
        <is>
          <t>Sculpted debt service</t>
        </is>
      </c>
      <c r="E132" t="inlineStr">
        <is>
          <t>USD m</t>
        </is>
      </c>
      <c r="J132" s="13">
        <f>IF(Time!J53=1,(Waterfall!J7+Tax!J27)/$F$129,0)</f>
        <v/>
      </c>
      <c r="K132" s="13">
        <f>IF(Time!K53=1,(Waterfall!K7+Tax!K27)/$F$129,0)</f>
        <v/>
      </c>
      <c r="L132" s="13">
        <f>IF(Time!L53=1,(Waterfall!L7+Tax!L27)/$F$129,0)</f>
        <v/>
      </c>
      <c r="M132" s="13">
        <f>IF(Time!M53=1,(Waterfall!M7+Tax!M27)/$F$129,0)</f>
        <v/>
      </c>
      <c r="N132" s="13">
        <f>IF(Time!N53=1,(Waterfall!N7+Tax!N27)/$F$129,0)</f>
        <v/>
      </c>
      <c r="O132" s="13">
        <f>IF(Time!O53=1,(Waterfall!O7+Tax!O27)/$F$129,0)</f>
        <v/>
      </c>
      <c r="P132" s="13">
        <f>IF(Time!P53=1,(Waterfall!P7+Tax!P27)/$F$129,0)</f>
        <v/>
      </c>
      <c r="Q132" s="13">
        <f>IF(Time!Q53=1,(Waterfall!Q7+Tax!Q27)/$F$129,0)</f>
        <v/>
      </c>
      <c r="R132" s="13">
        <f>IF(Time!R53=1,(Waterfall!R7+Tax!R27)/$F$129,0)</f>
        <v/>
      </c>
      <c r="S132" s="13">
        <f>IF(Time!S53=1,(Waterfall!S7+Tax!S27)/$F$129,0)</f>
        <v/>
      </c>
      <c r="T132" s="13">
        <f>IF(Time!T53=1,(Waterfall!T7+Tax!T27)/$F$129,0)</f>
        <v/>
      </c>
      <c r="U132" s="13">
        <f>IF(Time!U53=1,(Waterfall!U7+Tax!U27)/$F$129,0)</f>
        <v/>
      </c>
      <c r="V132" s="13">
        <f>IF(Time!V53=1,(Waterfall!V7+Tax!V27)/$F$129,0)</f>
        <v/>
      </c>
      <c r="W132" s="13">
        <f>IF(Time!W53=1,(Waterfall!W7+Tax!W27)/$F$129,0)</f>
        <v/>
      </c>
      <c r="X132" s="13">
        <f>IF(Time!X53=1,(Waterfall!X7+Tax!X27)/$F$129,0)</f>
        <v/>
      </c>
      <c r="Y132" s="13">
        <f>IF(Time!Y53=1,(Waterfall!Y7+Tax!Y27)/$F$129,0)</f>
        <v/>
      </c>
      <c r="Z132" s="13">
        <f>IF(Time!Z53=1,(Waterfall!Z7+Tax!Z27)/$F$129,0)</f>
        <v/>
      </c>
      <c r="AA132" s="13">
        <f>IF(Time!AA53=1,(Waterfall!AA7+Tax!AA27)/$F$129,0)</f>
        <v/>
      </c>
      <c r="AB132" s="13">
        <f>IF(Time!AB53=1,(Waterfall!AB7+Tax!AB27)/$F$129,0)</f>
        <v/>
      </c>
      <c r="AC132" s="13">
        <f>IF(Time!AC53=1,(Waterfall!AC7+Tax!AC27)/$F$129,0)</f>
        <v/>
      </c>
      <c r="AD132" s="13">
        <f>IF(Time!AD53=1,(Waterfall!AD7+Tax!AD27)/$F$129,0)</f>
        <v/>
      </c>
      <c r="AE132" s="13">
        <f>IF(Time!AE53=1,(Waterfall!AE7+Tax!AE27)/$F$129,0)</f>
        <v/>
      </c>
      <c r="AF132" s="13">
        <f>IF(Time!AF53=1,(Waterfall!AF7+Tax!AF27)/$F$129,0)</f>
        <v/>
      </c>
      <c r="AG132" s="13">
        <f>IF(Time!AG53=1,(Waterfall!AG7+Tax!AG27)/$F$129,0)</f>
        <v/>
      </c>
      <c r="AH132" s="13">
        <f>IF(Time!AH53=1,(Waterfall!AH7+Tax!AH27)/$F$129,0)</f>
        <v/>
      </c>
      <c r="AI132" s="13">
        <f>IF(Time!AI53=1,(Waterfall!AI7+Tax!AI27)/$F$129,0)</f>
        <v/>
      </c>
      <c r="AJ132" s="13">
        <f>IF(Time!AJ53=1,(Waterfall!AJ7+Tax!AJ27)/$F$129,0)</f>
        <v/>
      </c>
      <c r="AK132" s="13">
        <f>IF(Time!AK53=1,(Waterfall!AK7+Tax!AK27)/$F$129,0)</f>
        <v/>
      </c>
      <c r="AL132" s="13">
        <f>IF(Time!AL53=1,(Waterfall!AL7+Tax!AL27)/$F$129,0)</f>
        <v/>
      </c>
      <c r="AM132" s="13">
        <f>IF(Time!AM53=1,(Waterfall!AM7+Tax!AM27)/$F$129,0)</f>
        <v/>
      </c>
      <c r="AN132" s="13">
        <f>IF(Time!AN53=1,(Waterfall!AN7+Tax!AN27)/$F$129,0)</f>
        <v/>
      </c>
      <c r="AO132" s="13">
        <f>IF(Time!AO53=1,(Waterfall!AO7+Tax!AO27)/$F$129,0)</f>
        <v/>
      </c>
      <c r="AP132" s="13">
        <f>IF(Time!AP53=1,(Waterfall!AP7+Tax!AP27)/$F$129,0)</f>
        <v/>
      </c>
      <c r="AQ132" s="13">
        <f>IF(Time!AQ53=1,(Waterfall!AQ7+Tax!AQ27)/$F$129,0)</f>
        <v/>
      </c>
      <c r="AR132" s="13">
        <f>IF(Time!AR53=1,(Waterfall!AR7+Tax!AR27)/$F$129,0)</f>
        <v/>
      </c>
      <c r="AS132" s="13">
        <f>IF(Time!AS53=1,(Waterfall!AS7+Tax!AS27)/$F$129,0)</f>
        <v/>
      </c>
      <c r="AT132" s="13">
        <f>IF(Time!AT53=1,(Waterfall!AT7+Tax!AT27)/$F$129,0)</f>
        <v/>
      </c>
      <c r="AU132" s="13">
        <f>IF(Time!AU53=1,(Waterfall!AU7+Tax!AU27)/$F$129,0)</f>
        <v/>
      </c>
      <c r="AV132" s="13">
        <f>IF(Time!AV53=1,(Waterfall!AV7+Tax!AV27)/$F$129,0)</f>
        <v/>
      </c>
      <c r="AW132" s="13">
        <f>IF(Time!AW53=1,(Waterfall!AW7+Tax!AW27)/$F$129,0)</f>
        <v/>
      </c>
      <c r="AX132" s="13">
        <f>IF(Time!AX53=1,(Waterfall!AX7+Tax!AX27)/$F$129,0)</f>
        <v/>
      </c>
      <c r="AY132" s="13">
        <f>IF(Time!AY53=1,(Waterfall!AY7+Tax!AY27)/$F$129,0)</f>
        <v/>
      </c>
      <c r="AZ132" s="13">
        <f>IF(Time!AZ53=1,(Waterfall!AZ7+Tax!AZ27)/$F$129,0)</f>
        <v/>
      </c>
      <c r="BA132" s="13">
        <f>IF(Time!BA53=1,(Waterfall!BA7+Tax!BA27)/$F$129,0)</f>
        <v/>
      </c>
      <c r="BB132" s="13">
        <f>IF(Time!BB53=1,(Waterfall!BB7+Tax!BB27)/$F$129,0)</f>
        <v/>
      </c>
      <c r="BC132" s="13">
        <f>IF(Time!BC53=1,(Waterfall!BC7+Tax!BC27)/$F$129,0)</f>
        <v/>
      </c>
      <c r="BD132" s="13">
        <f>IF(Time!BD53=1,(Waterfall!BD7+Tax!BD27)/$F$129,0)</f>
        <v/>
      </c>
      <c r="BE132" s="13">
        <f>IF(Time!BE53=1,(Waterfall!BE7+Tax!BE27)/$F$129,0)</f>
        <v/>
      </c>
      <c r="BF132" s="13">
        <f>IF(Time!BF53=1,(Waterfall!BF7+Tax!BF27)/$F$129,0)</f>
        <v/>
      </c>
      <c r="BG132" s="13">
        <f>IF(Time!BG53=1,(Waterfall!BG7+Tax!BG27)/$F$129,0)</f>
        <v/>
      </c>
      <c r="BH132" s="13">
        <f>IF(Time!BH53=1,(Waterfall!BH7+Tax!BH27)/$F$129,0)</f>
        <v/>
      </c>
      <c r="BI132" s="13">
        <f>IF(Time!BI53=1,(Waterfall!BI7+Tax!BI27)/$F$129,0)</f>
        <v/>
      </c>
      <c r="BJ132" s="13">
        <f>IF(Time!BJ53=1,(Waterfall!BJ7+Tax!BJ27)/$F$129,0)</f>
        <v/>
      </c>
      <c r="BK132" s="13">
        <f>IF(Time!BK53=1,(Waterfall!BK7+Tax!BK27)/$F$129,0)</f>
        <v/>
      </c>
      <c r="BL132" s="13">
        <f>IF(Time!BL53=1,(Waterfall!BL7+Tax!BL27)/$F$129,0)</f>
        <v/>
      </c>
      <c r="BM132" s="13">
        <f>IF(Time!BM53=1,(Waterfall!BM7+Tax!BM27)/$F$129,0)</f>
        <v/>
      </c>
      <c r="BN132" s="13">
        <f>IF(Time!BN53=1,(Waterfall!BN7+Tax!BN27)/$F$129,0)</f>
        <v/>
      </c>
    </row>
    <row r="133">
      <c r="D133" t="inlineStr">
        <is>
          <t>Sculpted balance, opening</t>
        </is>
      </c>
      <c r="E133" t="inlineStr">
        <is>
          <t>USD m</t>
        </is>
      </c>
      <c r="J133" s="13">
        <f>IF(Time!J53=1,IF(Time!J20=Time!$F$13,Funding!$F$25,I133-I134),0)</f>
        <v/>
      </c>
      <c r="K133" s="13">
        <f>IF(Time!K53=1,IF(Time!K20=Time!$F$13,Funding!$F$25,J133-J134),0)</f>
        <v/>
      </c>
      <c r="L133" s="13">
        <f>IF(Time!L53=1,IF(Time!L20=Time!$F$13,Funding!$F$25,K133-K134),0)</f>
        <v/>
      </c>
      <c r="M133" s="13">
        <f>IF(Time!M53=1,IF(Time!M20=Time!$F$13,Funding!$F$25,L133-L134),0)</f>
        <v/>
      </c>
      <c r="N133" s="13">
        <f>IF(Time!N53=1,IF(Time!N20=Time!$F$13,Funding!$F$25,M133-M134),0)</f>
        <v/>
      </c>
      <c r="O133" s="13">
        <f>IF(Time!O53=1,IF(Time!O20=Time!$F$13,Funding!$F$25,N133-N134),0)</f>
        <v/>
      </c>
      <c r="P133" s="13">
        <f>IF(Time!P53=1,IF(Time!P20=Time!$F$13,Funding!$F$25,O133-O134),0)</f>
        <v/>
      </c>
      <c r="Q133" s="13">
        <f>IF(Time!Q53=1,IF(Time!Q20=Time!$F$13,Funding!$F$25,P133-P134),0)</f>
        <v/>
      </c>
      <c r="R133" s="13">
        <f>IF(Time!R53=1,IF(Time!R20=Time!$F$13,Funding!$F$25,Q133-Q134),0)</f>
        <v/>
      </c>
      <c r="S133" s="13">
        <f>IF(Time!S53=1,IF(Time!S20=Time!$F$13,Funding!$F$25,R133-R134),0)</f>
        <v/>
      </c>
      <c r="T133" s="13">
        <f>IF(Time!T53=1,IF(Time!T20=Time!$F$13,Funding!$F$25,S133-S134),0)</f>
        <v/>
      </c>
      <c r="U133" s="13">
        <f>IF(Time!U53=1,IF(Time!U20=Time!$F$13,Funding!$F$25,T133-T134),0)</f>
        <v/>
      </c>
      <c r="V133" s="13">
        <f>IF(Time!V53=1,IF(Time!V20=Time!$F$13,Funding!$F$25,U133-U134),0)</f>
        <v/>
      </c>
      <c r="W133" s="13">
        <f>IF(Time!W53=1,IF(Time!W20=Time!$F$13,Funding!$F$25,V133-V134),0)</f>
        <v/>
      </c>
      <c r="X133" s="13">
        <f>IF(Time!X53=1,IF(Time!X20=Time!$F$13,Funding!$F$25,W133-W134),0)</f>
        <v/>
      </c>
      <c r="Y133" s="13">
        <f>IF(Time!Y53=1,IF(Time!Y20=Time!$F$13,Funding!$F$25,X133-X134),0)</f>
        <v/>
      </c>
      <c r="Z133" s="13">
        <f>IF(Time!Z53=1,IF(Time!Z20=Time!$F$13,Funding!$F$25,Y133-Y134),0)</f>
        <v/>
      </c>
      <c r="AA133" s="13">
        <f>IF(Time!AA53=1,IF(Time!AA20=Time!$F$13,Funding!$F$25,Z133-Z134),0)</f>
        <v/>
      </c>
      <c r="AB133" s="13">
        <f>IF(Time!AB53=1,IF(Time!AB20=Time!$F$13,Funding!$F$25,AA133-AA134),0)</f>
        <v/>
      </c>
      <c r="AC133" s="13">
        <f>IF(Time!AC53=1,IF(Time!AC20=Time!$F$13,Funding!$F$25,AB133-AB134),0)</f>
        <v/>
      </c>
      <c r="AD133" s="13">
        <f>IF(Time!AD53=1,IF(Time!AD20=Time!$F$13,Funding!$F$25,AC133-AC134),0)</f>
        <v/>
      </c>
      <c r="AE133" s="13">
        <f>IF(Time!AE53=1,IF(Time!AE20=Time!$F$13,Funding!$F$25,AD133-AD134),0)</f>
        <v/>
      </c>
      <c r="AF133" s="13">
        <f>IF(Time!AF53=1,IF(Time!AF20=Time!$F$13,Funding!$F$25,AE133-AE134),0)</f>
        <v/>
      </c>
      <c r="AG133" s="13">
        <f>IF(Time!AG53=1,IF(Time!AG20=Time!$F$13,Funding!$F$25,AF133-AF134),0)</f>
        <v/>
      </c>
      <c r="AH133" s="13">
        <f>IF(Time!AH53=1,IF(Time!AH20=Time!$F$13,Funding!$F$25,AG133-AG134),0)</f>
        <v/>
      </c>
      <c r="AI133" s="13">
        <f>IF(Time!AI53=1,IF(Time!AI20=Time!$F$13,Funding!$F$25,AH133-AH134),0)</f>
        <v/>
      </c>
      <c r="AJ133" s="13">
        <f>IF(Time!AJ53=1,IF(Time!AJ20=Time!$F$13,Funding!$F$25,AI133-AI134),0)</f>
        <v/>
      </c>
      <c r="AK133" s="13">
        <f>IF(Time!AK53=1,IF(Time!AK20=Time!$F$13,Funding!$F$25,AJ133-AJ134),0)</f>
        <v/>
      </c>
      <c r="AL133" s="13">
        <f>IF(Time!AL53=1,IF(Time!AL20=Time!$F$13,Funding!$F$25,AK133-AK134),0)</f>
        <v/>
      </c>
      <c r="AM133" s="13">
        <f>IF(Time!AM53=1,IF(Time!AM20=Time!$F$13,Funding!$F$25,AL133-AL134),0)</f>
        <v/>
      </c>
      <c r="AN133" s="13">
        <f>IF(Time!AN53=1,IF(Time!AN20=Time!$F$13,Funding!$F$25,AM133-AM134),0)</f>
        <v/>
      </c>
      <c r="AO133" s="13">
        <f>IF(Time!AO53=1,IF(Time!AO20=Time!$F$13,Funding!$F$25,AN133-AN134),0)</f>
        <v/>
      </c>
      <c r="AP133" s="13">
        <f>IF(Time!AP53=1,IF(Time!AP20=Time!$F$13,Funding!$F$25,AO133-AO134),0)</f>
        <v/>
      </c>
      <c r="AQ133" s="13">
        <f>IF(Time!AQ53=1,IF(Time!AQ20=Time!$F$13,Funding!$F$25,AP133-AP134),0)</f>
        <v/>
      </c>
      <c r="AR133" s="13">
        <f>IF(Time!AR53=1,IF(Time!AR20=Time!$F$13,Funding!$F$25,AQ133-AQ134),0)</f>
        <v/>
      </c>
      <c r="AS133" s="13">
        <f>IF(Time!AS53=1,IF(Time!AS20=Time!$F$13,Funding!$F$25,AR133-AR134),0)</f>
        <v/>
      </c>
      <c r="AT133" s="13">
        <f>IF(Time!AT53=1,IF(Time!AT20=Time!$F$13,Funding!$F$25,AS133-AS134),0)</f>
        <v/>
      </c>
      <c r="AU133" s="13">
        <f>IF(Time!AU53=1,IF(Time!AU20=Time!$F$13,Funding!$F$25,AT133-AT134),0)</f>
        <v/>
      </c>
      <c r="AV133" s="13">
        <f>IF(Time!AV53=1,IF(Time!AV20=Time!$F$13,Funding!$F$25,AU133-AU134),0)</f>
        <v/>
      </c>
      <c r="AW133" s="13">
        <f>IF(Time!AW53=1,IF(Time!AW20=Time!$F$13,Funding!$F$25,AV133-AV134),0)</f>
        <v/>
      </c>
      <c r="AX133" s="13">
        <f>IF(Time!AX53=1,IF(Time!AX20=Time!$F$13,Funding!$F$25,AW133-AW134),0)</f>
        <v/>
      </c>
      <c r="AY133" s="13">
        <f>IF(Time!AY53=1,IF(Time!AY20=Time!$F$13,Funding!$F$25,AX133-AX134),0)</f>
        <v/>
      </c>
      <c r="AZ133" s="13">
        <f>IF(Time!AZ53=1,IF(Time!AZ20=Time!$F$13,Funding!$F$25,AY133-AY134),0)</f>
        <v/>
      </c>
      <c r="BA133" s="13">
        <f>IF(Time!BA53=1,IF(Time!BA20=Time!$F$13,Funding!$F$25,AZ133-AZ134),0)</f>
        <v/>
      </c>
      <c r="BB133" s="13">
        <f>IF(Time!BB53=1,IF(Time!BB20=Time!$F$13,Funding!$F$25,BA133-BA134),0)</f>
        <v/>
      </c>
      <c r="BC133" s="13">
        <f>IF(Time!BC53=1,IF(Time!BC20=Time!$F$13,Funding!$F$25,BB133-BB134),0)</f>
        <v/>
      </c>
      <c r="BD133" s="13">
        <f>IF(Time!BD53=1,IF(Time!BD20=Time!$F$13,Funding!$F$25,BC133-BC134),0)</f>
        <v/>
      </c>
      <c r="BE133" s="13">
        <f>IF(Time!BE53=1,IF(Time!BE20=Time!$F$13,Funding!$F$25,BD133-BD134),0)</f>
        <v/>
      </c>
      <c r="BF133" s="13">
        <f>IF(Time!BF53=1,IF(Time!BF20=Time!$F$13,Funding!$F$25,BE133-BE134),0)</f>
        <v/>
      </c>
      <c r="BG133" s="13">
        <f>IF(Time!BG53=1,IF(Time!BG20=Time!$F$13,Funding!$F$25,BF133-BF134),0)</f>
        <v/>
      </c>
      <c r="BH133" s="13">
        <f>IF(Time!BH53=1,IF(Time!BH20=Time!$F$13,Funding!$F$25,BG133-BG134),0)</f>
        <v/>
      </c>
      <c r="BI133" s="13">
        <f>IF(Time!BI53=1,IF(Time!BI20=Time!$F$13,Funding!$F$25,BH133-BH134),0)</f>
        <v/>
      </c>
      <c r="BJ133" s="13">
        <f>IF(Time!BJ53=1,IF(Time!BJ20=Time!$F$13,Funding!$F$25,BI133-BI134),0)</f>
        <v/>
      </c>
      <c r="BK133" s="13">
        <f>IF(Time!BK53=1,IF(Time!BK20=Time!$F$13,Funding!$F$25,BJ133-BJ134),0)</f>
        <v/>
      </c>
      <c r="BL133" s="13">
        <f>IF(Time!BL53=1,IF(Time!BL20=Time!$F$13,Funding!$F$25,BK133-BK134),0)</f>
        <v/>
      </c>
      <c r="BM133" s="13">
        <f>IF(Time!BM53=1,IF(Time!BM20=Time!$F$13,Funding!$F$25,BL133-BL134),0)</f>
        <v/>
      </c>
      <c r="BN133" s="13">
        <f>IF(Time!BN53=1,IF(Time!BN20=Time!$F$13,Funding!$F$25,BM133-BM134),0)</f>
        <v/>
      </c>
    </row>
    <row r="134">
      <c r="D134" t="inlineStr">
        <is>
          <t>Sculpted principal</t>
        </is>
      </c>
      <c r="E134" t="inlineStr">
        <is>
          <t>USD m</t>
        </is>
      </c>
      <c r="J134" s="13">
        <f>J132-J133*J127</f>
        <v/>
      </c>
      <c r="K134" s="13">
        <f>K132-K133*K127</f>
        <v/>
      </c>
      <c r="L134" s="13">
        <f>L132-L133*L127</f>
        <v/>
      </c>
      <c r="M134" s="13">
        <f>M132-M133*M127</f>
        <v/>
      </c>
      <c r="N134" s="13">
        <f>N132-N133*N127</f>
        <v/>
      </c>
      <c r="O134" s="13">
        <f>O132-O133*O127</f>
        <v/>
      </c>
      <c r="P134" s="13">
        <f>P132-P133*P127</f>
        <v/>
      </c>
      <c r="Q134" s="13">
        <f>Q132-Q133*Q127</f>
        <v/>
      </c>
      <c r="R134" s="13">
        <f>R132-R133*R127</f>
        <v/>
      </c>
      <c r="S134" s="13">
        <f>S132-S133*S127</f>
        <v/>
      </c>
      <c r="T134" s="13">
        <f>T132-T133*T127</f>
        <v/>
      </c>
      <c r="U134" s="13">
        <f>U132-U133*U127</f>
        <v/>
      </c>
      <c r="V134" s="13">
        <f>V132-V133*V127</f>
        <v/>
      </c>
      <c r="W134" s="13">
        <f>W132-W133*W127</f>
        <v/>
      </c>
      <c r="X134" s="13">
        <f>X132-X133*X127</f>
        <v/>
      </c>
      <c r="Y134" s="13">
        <f>Y132-Y133*Y127</f>
        <v/>
      </c>
      <c r="Z134" s="13">
        <f>Z132-Z133*Z127</f>
        <v/>
      </c>
      <c r="AA134" s="13">
        <f>AA132-AA133*AA127</f>
        <v/>
      </c>
      <c r="AB134" s="13">
        <f>AB132-AB133*AB127</f>
        <v/>
      </c>
      <c r="AC134" s="13">
        <f>AC132-AC133*AC127</f>
        <v/>
      </c>
      <c r="AD134" s="13">
        <f>AD132-AD133*AD127</f>
        <v/>
      </c>
      <c r="AE134" s="13">
        <f>AE132-AE133*AE127</f>
        <v/>
      </c>
      <c r="AF134" s="13">
        <f>AF132-AF133*AF127</f>
        <v/>
      </c>
      <c r="AG134" s="13">
        <f>AG132-AG133*AG127</f>
        <v/>
      </c>
      <c r="AH134" s="13">
        <f>AH132-AH133*AH127</f>
        <v/>
      </c>
      <c r="AI134" s="13">
        <f>AI132-AI133*AI127</f>
        <v/>
      </c>
      <c r="AJ134" s="13">
        <f>AJ132-AJ133*AJ127</f>
        <v/>
      </c>
      <c r="AK134" s="13">
        <f>AK132-AK133*AK127</f>
        <v/>
      </c>
      <c r="AL134" s="13">
        <f>AL132-AL133*AL127</f>
        <v/>
      </c>
      <c r="AM134" s="13">
        <f>AM132-AM133*AM127</f>
        <v/>
      </c>
      <c r="AN134" s="13">
        <f>AN132-AN133*AN127</f>
        <v/>
      </c>
      <c r="AO134" s="13">
        <f>AO132-AO133*AO127</f>
        <v/>
      </c>
      <c r="AP134" s="13">
        <f>AP132-AP133*AP127</f>
        <v/>
      </c>
      <c r="AQ134" s="13">
        <f>AQ132-AQ133*AQ127</f>
        <v/>
      </c>
      <c r="AR134" s="13">
        <f>AR132-AR133*AR127</f>
        <v/>
      </c>
      <c r="AS134" s="13">
        <f>AS132-AS133*AS127</f>
        <v/>
      </c>
      <c r="AT134" s="13">
        <f>AT132-AT133*AT127</f>
        <v/>
      </c>
      <c r="AU134" s="13">
        <f>AU132-AU133*AU127</f>
        <v/>
      </c>
      <c r="AV134" s="13">
        <f>AV132-AV133*AV127</f>
        <v/>
      </c>
      <c r="AW134" s="13">
        <f>AW132-AW133*AW127</f>
        <v/>
      </c>
      <c r="AX134" s="13">
        <f>AX132-AX133*AX127</f>
        <v/>
      </c>
      <c r="AY134" s="13">
        <f>AY132-AY133*AY127</f>
        <v/>
      </c>
      <c r="AZ134" s="13">
        <f>AZ132-AZ133*AZ127</f>
        <v/>
      </c>
      <c r="BA134" s="13">
        <f>BA132-BA133*BA127</f>
        <v/>
      </c>
      <c r="BB134" s="13">
        <f>BB132-BB133*BB127</f>
        <v/>
      </c>
      <c r="BC134" s="13">
        <f>BC132-BC133*BC127</f>
        <v/>
      </c>
      <c r="BD134" s="13">
        <f>BD132-BD133*BD127</f>
        <v/>
      </c>
      <c r="BE134" s="13">
        <f>BE132-BE133*BE127</f>
        <v/>
      </c>
      <c r="BF134" s="13">
        <f>BF132-BF133*BF127</f>
        <v/>
      </c>
      <c r="BG134" s="13">
        <f>BG132-BG133*BG127</f>
        <v/>
      </c>
      <c r="BH134" s="13">
        <f>BH132-BH133*BH127</f>
        <v/>
      </c>
      <c r="BI134" s="13">
        <f>BI132-BI133*BI127</f>
        <v/>
      </c>
      <c r="BJ134" s="13">
        <f>BJ132-BJ133*BJ127</f>
        <v/>
      </c>
      <c r="BK134" s="13">
        <f>BK132-BK133*BK127</f>
        <v/>
      </c>
      <c r="BL134" s="13">
        <f>BL132-BL133*BL127</f>
        <v/>
      </c>
      <c r="BM134" s="13">
        <f>BM132-BM133*BM127</f>
        <v/>
      </c>
      <c r="BN134" s="13">
        <f>BN132-BN133*BN127</f>
        <v/>
      </c>
    </row>
    <row r="135">
      <c r="D135" t="inlineStr">
        <is>
          <t>Sculpted principal less contract principal (FC base)</t>
        </is>
      </c>
      <c r="E135" t="inlineStr">
        <is>
          <t>USD m</t>
        </is>
      </c>
      <c r="J135" s="13">
        <f>IF(Inputs!$F$8=1,J134-Time!J53*Inputs!J298*Funding!$F$25,0)</f>
        <v/>
      </c>
      <c r="K135" s="13">
        <f>IF(Inputs!$F$8=1,K134-Time!K53*Inputs!K298*Funding!$F$25,0)</f>
        <v/>
      </c>
      <c r="L135" s="13">
        <f>IF(Inputs!$F$8=1,L134-Time!L53*Inputs!L298*Funding!$F$25,0)</f>
        <v/>
      </c>
      <c r="M135" s="13">
        <f>IF(Inputs!$F$8=1,M134-Time!M53*Inputs!M298*Funding!$F$25,0)</f>
        <v/>
      </c>
      <c r="N135" s="13">
        <f>IF(Inputs!$F$8=1,N134-Time!N53*Inputs!N298*Funding!$F$25,0)</f>
        <v/>
      </c>
      <c r="O135" s="13">
        <f>IF(Inputs!$F$8=1,O134-Time!O53*Inputs!O298*Funding!$F$25,0)</f>
        <v/>
      </c>
      <c r="P135" s="13">
        <f>IF(Inputs!$F$8=1,P134-Time!P53*Inputs!P298*Funding!$F$25,0)</f>
        <v/>
      </c>
      <c r="Q135" s="13">
        <f>IF(Inputs!$F$8=1,Q134-Time!Q53*Inputs!Q298*Funding!$F$25,0)</f>
        <v/>
      </c>
      <c r="R135" s="13">
        <f>IF(Inputs!$F$8=1,R134-Time!R53*Inputs!R298*Funding!$F$25,0)</f>
        <v/>
      </c>
      <c r="S135" s="13">
        <f>IF(Inputs!$F$8=1,S134-Time!S53*Inputs!S298*Funding!$F$25,0)</f>
        <v/>
      </c>
      <c r="T135" s="13">
        <f>IF(Inputs!$F$8=1,T134-Time!T53*Inputs!T298*Funding!$F$25,0)</f>
        <v/>
      </c>
      <c r="U135" s="13">
        <f>IF(Inputs!$F$8=1,U134-Time!U53*Inputs!U298*Funding!$F$25,0)</f>
        <v/>
      </c>
      <c r="V135" s="13">
        <f>IF(Inputs!$F$8=1,V134-Time!V53*Inputs!V298*Funding!$F$25,0)</f>
        <v/>
      </c>
      <c r="W135" s="13">
        <f>IF(Inputs!$F$8=1,W134-Time!W53*Inputs!W298*Funding!$F$25,0)</f>
        <v/>
      </c>
      <c r="X135" s="13">
        <f>IF(Inputs!$F$8=1,X134-Time!X53*Inputs!X298*Funding!$F$25,0)</f>
        <v/>
      </c>
      <c r="Y135" s="13">
        <f>IF(Inputs!$F$8=1,Y134-Time!Y53*Inputs!Y298*Funding!$F$25,0)</f>
        <v/>
      </c>
      <c r="Z135" s="13">
        <f>IF(Inputs!$F$8=1,Z134-Time!Z53*Inputs!Z298*Funding!$F$25,0)</f>
        <v/>
      </c>
      <c r="AA135" s="13">
        <f>IF(Inputs!$F$8=1,AA134-Time!AA53*Inputs!AA298*Funding!$F$25,0)</f>
        <v/>
      </c>
      <c r="AB135" s="13">
        <f>IF(Inputs!$F$8=1,AB134-Time!AB53*Inputs!AB298*Funding!$F$25,0)</f>
        <v/>
      </c>
      <c r="AC135" s="13">
        <f>IF(Inputs!$F$8=1,AC134-Time!AC53*Inputs!AC298*Funding!$F$25,0)</f>
        <v/>
      </c>
      <c r="AD135" s="13">
        <f>IF(Inputs!$F$8=1,AD134-Time!AD53*Inputs!AD298*Funding!$F$25,0)</f>
        <v/>
      </c>
      <c r="AE135" s="13">
        <f>IF(Inputs!$F$8=1,AE134-Time!AE53*Inputs!AE298*Funding!$F$25,0)</f>
        <v/>
      </c>
      <c r="AF135" s="13">
        <f>IF(Inputs!$F$8=1,AF134-Time!AF53*Inputs!AF298*Funding!$F$25,0)</f>
        <v/>
      </c>
      <c r="AG135" s="13">
        <f>IF(Inputs!$F$8=1,AG134-Time!AG53*Inputs!AG298*Funding!$F$25,0)</f>
        <v/>
      </c>
      <c r="AH135" s="13">
        <f>IF(Inputs!$F$8=1,AH134-Time!AH53*Inputs!AH298*Funding!$F$25,0)</f>
        <v/>
      </c>
      <c r="AI135" s="13">
        <f>IF(Inputs!$F$8=1,AI134-Time!AI53*Inputs!AI298*Funding!$F$25,0)</f>
        <v/>
      </c>
      <c r="AJ135" s="13">
        <f>IF(Inputs!$F$8=1,AJ134-Time!AJ53*Inputs!AJ298*Funding!$F$25,0)</f>
        <v/>
      </c>
      <c r="AK135" s="13">
        <f>IF(Inputs!$F$8=1,AK134-Time!AK53*Inputs!AK298*Funding!$F$25,0)</f>
        <v/>
      </c>
      <c r="AL135" s="13">
        <f>IF(Inputs!$F$8=1,AL134-Time!AL53*Inputs!AL298*Funding!$F$25,0)</f>
        <v/>
      </c>
      <c r="AM135" s="13">
        <f>IF(Inputs!$F$8=1,AM134-Time!AM53*Inputs!AM298*Funding!$F$25,0)</f>
        <v/>
      </c>
      <c r="AN135" s="13">
        <f>IF(Inputs!$F$8=1,AN134-Time!AN53*Inputs!AN298*Funding!$F$25,0)</f>
        <v/>
      </c>
      <c r="AO135" s="13">
        <f>IF(Inputs!$F$8=1,AO134-Time!AO53*Inputs!AO298*Funding!$F$25,0)</f>
        <v/>
      </c>
      <c r="AP135" s="13">
        <f>IF(Inputs!$F$8=1,AP134-Time!AP53*Inputs!AP298*Funding!$F$25,0)</f>
        <v/>
      </c>
      <c r="AQ135" s="13">
        <f>IF(Inputs!$F$8=1,AQ134-Time!AQ53*Inputs!AQ298*Funding!$F$25,0)</f>
        <v/>
      </c>
      <c r="AR135" s="13">
        <f>IF(Inputs!$F$8=1,AR134-Time!AR53*Inputs!AR298*Funding!$F$25,0)</f>
        <v/>
      </c>
      <c r="AS135" s="13">
        <f>IF(Inputs!$F$8=1,AS134-Time!AS53*Inputs!AS298*Funding!$F$25,0)</f>
        <v/>
      </c>
      <c r="AT135" s="13">
        <f>IF(Inputs!$F$8=1,AT134-Time!AT53*Inputs!AT298*Funding!$F$25,0)</f>
        <v/>
      </c>
      <c r="AU135" s="13">
        <f>IF(Inputs!$F$8=1,AU134-Time!AU53*Inputs!AU298*Funding!$F$25,0)</f>
        <v/>
      </c>
      <c r="AV135" s="13">
        <f>IF(Inputs!$F$8=1,AV134-Time!AV53*Inputs!AV298*Funding!$F$25,0)</f>
        <v/>
      </c>
      <c r="AW135" s="13">
        <f>IF(Inputs!$F$8=1,AW134-Time!AW53*Inputs!AW298*Funding!$F$25,0)</f>
        <v/>
      </c>
      <c r="AX135" s="13">
        <f>IF(Inputs!$F$8=1,AX134-Time!AX53*Inputs!AX298*Funding!$F$25,0)</f>
        <v/>
      </c>
      <c r="AY135" s="13">
        <f>IF(Inputs!$F$8=1,AY134-Time!AY53*Inputs!AY298*Funding!$F$25,0)</f>
        <v/>
      </c>
      <c r="AZ135" s="13">
        <f>IF(Inputs!$F$8=1,AZ134-Time!AZ53*Inputs!AZ298*Funding!$F$25,0)</f>
        <v/>
      </c>
      <c r="BA135" s="13">
        <f>IF(Inputs!$F$8=1,BA134-Time!BA53*Inputs!BA298*Funding!$F$25,0)</f>
        <v/>
      </c>
      <c r="BB135" s="13">
        <f>IF(Inputs!$F$8=1,BB134-Time!BB53*Inputs!BB298*Funding!$F$25,0)</f>
        <v/>
      </c>
      <c r="BC135" s="13">
        <f>IF(Inputs!$F$8=1,BC134-Time!BC53*Inputs!BC298*Funding!$F$25,0)</f>
        <v/>
      </c>
      <c r="BD135" s="13">
        <f>IF(Inputs!$F$8=1,BD134-Time!BD53*Inputs!BD298*Funding!$F$25,0)</f>
        <v/>
      </c>
      <c r="BE135" s="13">
        <f>IF(Inputs!$F$8=1,BE134-Time!BE53*Inputs!BE298*Funding!$F$25,0)</f>
        <v/>
      </c>
      <c r="BF135" s="13">
        <f>IF(Inputs!$F$8=1,BF134-Time!BF53*Inputs!BF298*Funding!$F$25,0)</f>
        <v/>
      </c>
      <c r="BG135" s="13">
        <f>IF(Inputs!$F$8=1,BG134-Time!BG53*Inputs!BG298*Funding!$F$25,0)</f>
        <v/>
      </c>
      <c r="BH135" s="13">
        <f>IF(Inputs!$F$8=1,BH134-Time!BH53*Inputs!BH298*Funding!$F$25,0)</f>
        <v/>
      </c>
      <c r="BI135" s="13">
        <f>IF(Inputs!$F$8=1,BI134-Time!BI53*Inputs!BI298*Funding!$F$25,0)</f>
        <v/>
      </c>
      <c r="BJ135" s="13">
        <f>IF(Inputs!$F$8=1,BJ134-Time!BJ53*Inputs!BJ298*Funding!$F$25,0)</f>
        <v/>
      </c>
      <c r="BK135" s="13">
        <f>IF(Inputs!$F$8=1,BK134-Time!BK53*Inputs!BK298*Funding!$F$25,0)</f>
        <v/>
      </c>
      <c r="BL135" s="13">
        <f>IF(Inputs!$F$8=1,BL134-Time!BL53*Inputs!BL298*Funding!$F$25,0)</f>
        <v/>
      </c>
      <c r="BM135" s="13">
        <f>IF(Inputs!$F$8=1,BM134-Time!BM53*Inputs!BM298*Funding!$F$25,0)</f>
        <v/>
      </c>
      <c r="BN135" s="13">
        <f>IF(Inputs!$F$8=1,BN134-Time!BN53*Inputs!BN298*Funding!$F$25,0)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3">
        <f>SUM(J7:BN7)</f>
        <v/>
      </c>
      <c r="J7" s="13">
        <f>SUM(Operations!K79:P79)/Inputs!$F$225</f>
        <v/>
      </c>
      <c r="K7" s="13">
        <f>SUM(Operations!L79:Q79)/Inputs!$F$225</f>
        <v/>
      </c>
      <c r="L7" s="13">
        <f>SUM(Operations!M79:R79)/Inputs!$F$225</f>
        <v/>
      </c>
      <c r="M7" s="13">
        <f>SUM(Operations!N79:S79)/Inputs!$F$225</f>
        <v/>
      </c>
      <c r="N7" s="13">
        <f>SUM(Operations!O79:T79)/Inputs!$F$225</f>
        <v/>
      </c>
      <c r="O7" s="13">
        <f>SUM(Operations!P79:U79)/Inputs!$F$225</f>
        <v/>
      </c>
      <c r="P7" s="13">
        <f>SUM(Operations!Q79:V79)/Inputs!$F$225</f>
        <v/>
      </c>
      <c r="Q7" s="13">
        <f>SUM(Operations!R79:W79)/Inputs!$F$225</f>
        <v/>
      </c>
      <c r="R7" s="13">
        <f>SUM(Operations!S79:X79)/Inputs!$F$225</f>
        <v/>
      </c>
      <c r="S7" s="13">
        <f>SUM(Operations!T79:Y79)/Inputs!$F$225</f>
        <v/>
      </c>
      <c r="T7" s="13">
        <f>SUM(Operations!U79:Z79)/Inputs!$F$225</f>
        <v/>
      </c>
      <c r="U7" s="13">
        <f>SUM(Operations!V79:AA79)/Inputs!$F$225</f>
        <v/>
      </c>
      <c r="V7" s="13">
        <f>SUM(Operations!W79:AB79)/Inputs!$F$225</f>
        <v/>
      </c>
      <c r="W7" s="13">
        <f>SUM(Operations!X79:AC79)/Inputs!$F$225</f>
        <v/>
      </c>
      <c r="X7" s="13">
        <f>SUM(Operations!Y79:AD79)/Inputs!$F$225</f>
        <v/>
      </c>
      <c r="Y7" s="13">
        <f>SUM(Operations!Z79:AE79)/Inputs!$F$225</f>
        <v/>
      </c>
      <c r="Z7" s="13">
        <f>SUM(Operations!AA79:AF79)/Inputs!$F$225</f>
        <v/>
      </c>
      <c r="AA7" s="13">
        <f>SUM(Operations!AB79:AG79)/Inputs!$F$225</f>
        <v/>
      </c>
      <c r="AB7" s="13">
        <f>SUM(Operations!AC79:AH79)/Inputs!$F$225</f>
        <v/>
      </c>
      <c r="AC7" s="13">
        <f>SUM(Operations!AD79:AI79)/Inputs!$F$225</f>
        <v/>
      </c>
      <c r="AD7" s="13">
        <f>SUM(Operations!AE79:AJ79)/Inputs!$F$225</f>
        <v/>
      </c>
      <c r="AE7" s="13">
        <f>SUM(Operations!AF79:AK79)/Inputs!$F$225</f>
        <v/>
      </c>
      <c r="AF7" s="13">
        <f>SUM(Operations!AG79:AL79)/Inputs!$F$225</f>
        <v/>
      </c>
      <c r="AG7" s="13">
        <f>SUM(Operations!AH79:AM79)/Inputs!$F$225</f>
        <v/>
      </c>
      <c r="AH7" s="13">
        <f>SUM(Operations!AI79:AN79)/Inputs!$F$225</f>
        <v/>
      </c>
      <c r="AI7" s="13">
        <f>SUM(Operations!AJ79:AO79)/Inputs!$F$225</f>
        <v/>
      </c>
      <c r="AJ7" s="13">
        <f>SUM(Operations!AK79:AP79)/Inputs!$F$225</f>
        <v/>
      </c>
      <c r="AK7" s="13">
        <f>SUM(Operations!AL79:AQ79)/Inputs!$F$225</f>
        <v/>
      </c>
      <c r="AL7" s="13">
        <f>SUM(Operations!AM79:AR79)/Inputs!$F$225</f>
        <v/>
      </c>
      <c r="AM7" s="13">
        <f>SUM(Operations!AN79:AS79)/Inputs!$F$225</f>
        <v/>
      </c>
      <c r="AN7" s="13">
        <f>SUM(Operations!AO79:AT79)/Inputs!$F$225</f>
        <v/>
      </c>
      <c r="AO7" s="13">
        <f>SUM(Operations!AP79:AU79)/Inputs!$F$225</f>
        <v/>
      </c>
      <c r="AP7" s="13">
        <f>SUM(Operations!AQ79:AV79)/Inputs!$F$225</f>
        <v/>
      </c>
      <c r="AQ7" s="13">
        <f>SUM(Operations!AR79:AW79)/Inputs!$F$225</f>
        <v/>
      </c>
      <c r="AR7" s="13">
        <f>SUM(Operations!AS79:AX79)/Inputs!$F$225</f>
        <v/>
      </c>
      <c r="AS7" s="13">
        <f>SUM(Operations!AT79:AY79)/Inputs!$F$225</f>
        <v/>
      </c>
      <c r="AT7" s="13">
        <f>SUM(Operations!AU79:AZ79)/Inputs!$F$225</f>
        <v/>
      </c>
      <c r="AU7" s="13">
        <f>SUM(Operations!AV79:BA79)/Inputs!$F$225</f>
        <v/>
      </c>
      <c r="AV7" s="13">
        <f>SUM(Operations!AW79:BB79)/Inputs!$F$225</f>
        <v/>
      </c>
      <c r="AW7" s="13">
        <f>SUM(Operations!AX79:BC79)/Inputs!$F$225</f>
        <v/>
      </c>
      <c r="AX7" s="13">
        <f>SUM(Operations!AY79:BD79)/Inputs!$F$225</f>
        <v/>
      </c>
      <c r="AY7" s="13">
        <f>SUM(Operations!AZ79:BE79)/Inputs!$F$225</f>
        <v/>
      </c>
      <c r="AZ7" s="13">
        <f>SUM(Operations!BA79:BF79)/Inputs!$F$225</f>
        <v/>
      </c>
      <c r="BA7" s="13">
        <f>SUM(Operations!BB79:BG79)/Inputs!$F$225</f>
        <v/>
      </c>
      <c r="BB7" s="13">
        <f>SUM(Operations!BC79:BH79)/Inputs!$F$225</f>
        <v/>
      </c>
      <c r="BC7" s="13">
        <f>SUM(Operations!BD79:BI79)/Inputs!$F$225</f>
        <v/>
      </c>
      <c r="BD7" s="13">
        <f>SUM(Operations!BE79:BJ79)/Inputs!$F$225</f>
        <v/>
      </c>
      <c r="BE7" s="13">
        <f>SUM(Operations!BF79:BK79)/Inputs!$F$225</f>
        <v/>
      </c>
      <c r="BF7" s="13">
        <f>SUM(Operations!BG79:BL79)/Inputs!$F$225</f>
        <v/>
      </c>
      <c r="BG7" s="13">
        <f>SUM(Operations!BH79:BM79)/Inputs!$F$225</f>
        <v/>
      </c>
      <c r="BH7" s="13">
        <f>SUM(Operations!BI79:BN79)/Inputs!$F$225</f>
        <v/>
      </c>
      <c r="BI7" s="13">
        <f>SUM(Operations!BJ79:BO79)/Inputs!$F$225</f>
        <v/>
      </c>
      <c r="BJ7" s="13">
        <f>SUM(Operations!BK79:BP79)/Inputs!$F$225</f>
        <v/>
      </c>
      <c r="BK7" s="13">
        <f>SUM(Operations!BL79:BQ79)/Inputs!$F$225</f>
        <v/>
      </c>
      <c r="BL7" s="13">
        <f>SUM(Operations!BM79:BR79)/Inputs!$F$225</f>
        <v/>
      </c>
      <c r="BM7" s="13">
        <f>SUM(Operations!BN79:BS79)/Inputs!$F$225</f>
        <v/>
      </c>
      <c r="BN7" s="13">
        <f>SUM(Operations!BO79:BT79)/Inputs!$F$225</f>
        <v/>
      </c>
    </row>
    <row r="8">
      <c r="D8" t="inlineStr">
        <is>
          <t>MMRA balance</t>
        </is>
      </c>
      <c r="E8" t="inlineStr">
        <is>
          <t>USD m</t>
        </is>
      </c>
      <c r="J8" s="13">
        <f>I8+J7-Operations!J79</f>
        <v/>
      </c>
      <c r="K8" s="13">
        <f>J8+K7-Operations!K79</f>
        <v/>
      </c>
      <c r="L8" s="13">
        <f>K8+L7-Operations!L79</f>
        <v/>
      </c>
      <c r="M8" s="13">
        <f>L8+M7-Operations!M79</f>
        <v/>
      </c>
      <c r="N8" s="13">
        <f>M8+N7-Operations!N79</f>
        <v/>
      </c>
      <c r="O8" s="13">
        <f>N8+O7-Operations!O79</f>
        <v/>
      </c>
      <c r="P8" s="13">
        <f>O8+P7-Operations!P79</f>
        <v/>
      </c>
      <c r="Q8" s="13">
        <f>P8+Q7-Operations!Q79</f>
        <v/>
      </c>
      <c r="R8" s="13">
        <f>Q8+R7-Operations!R79</f>
        <v/>
      </c>
      <c r="S8" s="13">
        <f>R8+S7-Operations!S79</f>
        <v/>
      </c>
      <c r="T8" s="13">
        <f>S8+T7-Operations!T79</f>
        <v/>
      </c>
      <c r="U8" s="13">
        <f>T8+U7-Operations!U79</f>
        <v/>
      </c>
      <c r="V8" s="13">
        <f>U8+V7-Operations!V79</f>
        <v/>
      </c>
      <c r="W8" s="13">
        <f>V8+W7-Operations!W79</f>
        <v/>
      </c>
      <c r="X8" s="13">
        <f>W8+X7-Operations!X79</f>
        <v/>
      </c>
      <c r="Y8" s="13">
        <f>X8+Y7-Operations!Y79</f>
        <v/>
      </c>
      <c r="Z8" s="13">
        <f>Y8+Z7-Operations!Z79</f>
        <v/>
      </c>
      <c r="AA8" s="13">
        <f>Z8+AA7-Operations!AA79</f>
        <v/>
      </c>
      <c r="AB8" s="13">
        <f>AA8+AB7-Operations!AB79</f>
        <v/>
      </c>
      <c r="AC8" s="13">
        <f>AB8+AC7-Operations!AC79</f>
        <v/>
      </c>
      <c r="AD8" s="13">
        <f>AC8+AD7-Operations!AD79</f>
        <v/>
      </c>
      <c r="AE8" s="13">
        <f>AD8+AE7-Operations!AE79</f>
        <v/>
      </c>
      <c r="AF8" s="13">
        <f>AE8+AF7-Operations!AF79</f>
        <v/>
      </c>
      <c r="AG8" s="13">
        <f>AF8+AG7-Operations!AG79</f>
        <v/>
      </c>
      <c r="AH8" s="13">
        <f>AG8+AH7-Operations!AH79</f>
        <v/>
      </c>
      <c r="AI8" s="13">
        <f>AH8+AI7-Operations!AI79</f>
        <v/>
      </c>
      <c r="AJ8" s="13">
        <f>AI8+AJ7-Operations!AJ79</f>
        <v/>
      </c>
      <c r="AK8" s="13">
        <f>AJ8+AK7-Operations!AK79</f>
        <v/>
      </c>
      <c r="AL8" s="13">
        <f>AK8+AL7-Operations!AL79</f>
        <v/>
      </c>
      <c r="AM8" s="13">
        <f>AL8+AM7-Operations!AM79</f>
        <v/>
      </c>
      <c r="AN8" s="13">
        <f>AM8+AN7-Operations!AN79</f>
        <v/>
      </c>
      <c r="AO8" s="13">
        <f>AN8+AO7-Operations!AO79</f>
        <v/>
      </c>
      <c r="AP8" s="13">
        <f>AO8+AP7-Operations!AP79</f>
        <v/>
      </c>
      <c r="AQ8" s="13">
        <f>AP8+AQ7-Operations!AQ79</f>
        <v/>
      </c>
      <c r="AR8" s="13">
        <f>AQ8+AR7-Operations!AR79</f>
        <v/>
      </c>
      <c r="AS8" s="13">
        <f>AR8+AS7-Operations!AS79</f>
        <v/>
      </c>
      <c r="AT8" s="13">
        <f>AS8+AT7-Operations!AT79</f>
        <v/>
      </c>
      <c r="AU8" s="13">
        <f>AT8+AU7-Operations!AU79</f>
        <v/>
      </c>
      <c r="AV8" s="13">
        <f>AU8+AV7-Operations!AV79</f>
        <v/>
      </c>
      <c r="AW8" s="13">
        <f>AV8+AW7-Operations!AW79</f>
        <v/>
      </c>
      <c r="AX8" s="13">
        <f>AW8+AX7-Operations!AX79</f>
        <v/>
      </c>
      <c r="AY8" s="13">
        <f>AX8+AY7-Operations!AY79</f>
        <v/>
      </c>
      <c r="AZ8" s="13">
        <f>AY8+AZ7-Operations!AZ79</f>
        <v/>
      </c>
      <c r="BA8" s="13">
        <f>AZ8+BA7-Operations!BA79</f>
        <v/>
      </c>
      <c r="BB8" s="13">
        <f>BA8+BB7-Operations!BB79</f>
        <v/>
      </c>
      <c r="BC8" s="13">
        <f>BB8+BC7-Operations!BC79</f>
        <v/>
      </c>
      <c r="BD8" s="13">
        <f>BC8+BD7-Operations!BD79</f>
        <v/>
      </c>
      <c r="BE8" s="13">
        <f>BD8+BE7-Operations!BE79</f>
        <v/>
      </c>
      <c r="BF8" s="13">
        <f>BE8+BF7-Operations!BF79</f>
        <v/>
      </c>
      <c r="BG8" s="13">
        <f>BF8+BG7-Operations!BG79</f>
        <v/>
      </c>
      <c r="BH8" s="13">
        <f>BG8+BH7-Operations!BH79</f>
        <v/>
      </c>
      <c r="BI8" s="13">
        <f>BH8+BI7-Operations!BI79</f>
        <v/>
      </c>
      <c r="BJ8" s="13">
        <f>BI8+BJ7-Operations!BJ79</f>
        <v/>
      </c>
      <c r="BK8" s="13">
        <f>BJ8+BK7-Operations!BK79</f>
        <v/>
      </c>
      <c r="BL8" s="13">
        <f>BK8+BL7-Operations!BL79</f>
        <v/>
      </c>
      <c r="BM8" s="13">
        <f>BL8+BM7-Operations!BM79</f>
        <v/>
      </c>
      <c r="BN8" s="13">
        <f>BM8+BN7-Operations!BN79</f>
        <v/>
      </c>
    </row>
    <row r="9">
      <c r="D9" t="inlineStr">
        <is>
          <t>DSRA opening</t>
        </is>
      </c>
      <c r="E9" t="inlineStr">
        <is>
          <t>USD m</t>
        </is>
      </c>
      <c r="J9" s="13">
        <f>IF(Time!J34=1,SUM(Funding!$J$44:$BJ$44),I13)</f>
        <v/>
      </c>
      <c r="K9" s="13">
        <f>IF(Time!K34=1,SUM(Funding!$J$44:$BJ$44),J13)</f>
        <v/>
      </c>
      <c r="L9" s="13">
        <f>IF(Time!L34=1,SUM(Funding!$J$44:$BJ$44),K13)</f>
        <v/>
      </c>
      <c r="M9" s="13">
        <f>IF(Time!M34=1,SUM(Funding!$J$44:$BJ$44),L13)</f>
        <v/>
      </c>
      <c r="N9" s="13">
        <f>IF(Time!N34=1,SUM(Funding!$J$44:$BJ$44),M13)</f>
        <v/>
      </c>
      <c r="O9" s="13">
        <f>IF(Time!O34=1,SUM(Funding!$J$44:$BJ$44),N13)</f>
        <v/>
      </c>
      <c r="P9" s="13">
        <f>IF(Time!P34=1,SUM(Funding!$J$44:$BJ$44),O13)</f>
        <v/>
      </c>
      <c r="Q9" s="13">
        <f>IF(Time!Q34=1,SUM(Funding!$J$44:$BJ$44),P13)</f>
        <v/>
      </c>
      <c r="R9" s="13">
        <f>IF(Time!R34=1,SUM(Funding!$J$44:$BJ$44),Q13)</f>
        <v/>
      </c>
      <c r="S9" s="13">
        <f>IF(Time!S34=1,SUM(Funding!$J$44:$BJ$44),R13)</f>
        <v/>
      </c>
      <c r="T9" s="13">
        <f>IF(Time!T34=1,SUM(Funding!$J$44:$BJ$44),S13)</f>
        <v/>
      </c>
      <c r="U9" s="13">
        <f>IF(Time!U34=1,SUM(Funding!$J$44:$BJ$44),T13)</f>
        <v/>
      </c>
      <c r="V9" s="13">
        <f>IF(Time!V34=1,SUM(Funding!$J$44:$BJ$44),U13)</f>
        <v/>
      </c>
      <c r="W9" s="13">
        <f>IF(Time!W34=1,SUM(Funding!$J$44:$BJ$44),V13)</f>
        <v/>
      </c>
      <c r="X9" s="13">
        <f>IF(Time!X34=1,SUM(Funding!$J$44:$BJ$44),W13)</f>
        <v/>
      </c>
      <c r="Y9" s="13">
        <f>IF(Time!Y34=1,SUM(Funding!$J$44:$BJ$44),X13)</f>
        <v/>
      </c>
      <c r="Z9" s="13">
        <f>IF(Time!Z34=1,SUM(Funding!$J$44:$BJ$44),Y13)</f>
        <v/>
      </c>
      <c r="AA9" s="13">
        <f>IF(Time!AA34=1,SUM(Funding!$J$44:$BJ$44),Z13)</f>
        <v/>
      </c>
      <c r="AB9" s="13">
        <f>IF(Time!AB34=1,SUM(Funding!$J$44:$BJ$44),AA13)</f>
        <v/>
      </c>
      <c r="AC9" s="13">
        <f>IF(Time!AC34=1,SUM(Funding!$J$44:$BJ$44),AB13)</f>
        <v/>
      </c>
      <c r="AD9" s="13">
        <f>IF(Time!AD34=1,SUM(Funding!$J$44:$BJ$44),AC13)</f>
        <v/>
      </c>
      <c r="AE9" s="13">
        <f>IF(Time!AE34=1,SUM(Funding!$J$44:$BJ$44),AD13)</f>
        <v/>
      </c>
      <c r="AF9" s="13">
        <f>IF(Time!AF34=1,SUM(Funding!$J$44:$BJ$44),AE13)</f>
        <v/>
      </c>
      <c r="AG9" s="13">
        <f>IF(Time!AG34=1,SUM(Funding!$J$44:$BJ$44),AF13)</f>
        <v/>
      </c>
      <c r="AH9" s="13">
        <f>IF(Time!AH34=1,SUM(Funding!$J$44:$BJ$44),AG13)</f>
        <v/>
      </c>
      <c r="AI9" s="13">
        <f>IF(Time!AI34=1,SUM(Funding!$J$44:$BJ$44),AH13)</f>
        <v/>
      </c>
      <c r="AJ9" s="13">
        <f>IF(Time!AJ34=1,SUM(Funding!$J$44:$BJ$44),AI13)</f>
        <v/>
      </c>
      <c r="AK9" s="13">
        <f>IF(Time!AK34=1,SUM(Funding!$J$44:$BJ$44),AJ13)</f>
        <v/>
      </c>
      <c r="AL9" s="13">
        <f>IF(Time!AL34=1,SUM(Funding!$J$44:$BJ$44),AK13)</f>
        <v/>
      </c>
      <c r="AM9" s="13">
        <f>IF(Time!AM34=1,SUM(Funding!$J$44:$BJ$44),AL13)</f>
        <v/>
      </c>
      <c r="AN9" s="13">
        <f>IF(Time!AN34=1,SUM(Funding!$J$44:$BJ$44),AM13)</f>
        <v/>
      </c>
      <c r="AO9" s="13">
        <f>IF(Time!AO34=1,SUM(Funding!$J$44:$BJ$44),AN13)</f>
        <v/>
      </c>
      <c r="AP9" s="13">
        <f>IF(Time!AP34=1,SUM(Funding!$J$44:$BJ$44),AO13)</f>
        <v/>
      </c>
      <c r="AQ9" s="13">
        <f>IF(Time!AQ34=1,SUM(Funding!$J$44:$BJ$44),AP13)</f>
        <v/>
      </c>
      <c r="AR9" s="13">
        <f>IF(Time!AR34=1,SUM(Funding!$J$44:$BJ$44),AQ13)</f>
        <v/>
      </c>
      <c r="AS9" s="13">
        <f>IF(Time!AS34=1,SUM(Funding!$J$44:$BJ$44),AR13)</f>
        <v/>
      </c>
      <c r="AT9" s="13">
        <f>IF(Time!AT34=1,SUM(Funding!$J$44:$BJ$44),AS13)</f>
        <v/>
      </c>
      <c r="AU9" s="13">
        <f>IF(Time!AU34=1,SUM(Funding!$J$44:$BJ$44),AT13)</f>
        <v/>
      </c>
      <c r="AV9" s="13">
        <f>IF(Time!AV34=1,SUM(Funding!$J$44:$BJ$44),AU13)</f>
        <v/>
      </c>
      <c r="AW9" s="13">
        <f>IF(Time!AW34=1,SUM(Funding!$J$44:$BJ$44),AV13)</f>
        <v/>
      </c>
      <c r="AX9" s="13">
        <f>IF(Time!AX34=1,SUM(Funding!$J$44:$BJ$44),AW13)</f>
        <v/>
      </c>
      <c r="AY9" s="13">
        <f>IF(Time!AY34=1,SUM(Funding!$J$44:$BJ$44),AX13)</f>
        <v/>
      </c>
      <c r="AZ9" s="13">
        <f>IF(Time!AZ34=1,SUM(Funding!$J$44:$BJ$44),AY13)</f>
        <v/>
      </c>
      <c r="BA9" s="13">
        <f>IF(Time!BA34=1,SUM(Funding!$J$44:$BJ$44),AZ13)</f>
        <v/>
      </c>
      <c r="BB9" s="13">
        <f>IF(Time!BB34=1,SUM(Funding!$J$44:$BJ$44),BA13)</f>
        <v/>
      </c>
      <c r="BC9" s="13">
        <f>IF(Time!BC34=1,SUM(Funding!$J$44:$BJ$44),BB13)</f>
        <v/>
      </c>
      <c r="BD9" s="13">
        <f>IF(Time!BD34=1,SUM(Funding!$J$44:$BJ$44),BC13)</f>
        <v/>
      </c>
      <c r="BE9" s="13">
        <f>IF(Time!BE34=1,SUM(Funding!$J$44:$BJ$44),BD13)</f>
        <v/>
      </c>
      <c r="BF9" s="13">
        <f>IF(Time!BF34=1,SUM(Funding!$J$44:$BJ$44),BE13)</f>
        <v/>
      </c>
      <c r="BG9" s="13">
        <f>IF(Time!BG34=1,SUM(Funding!$J$44:$BJ$44),BF13)</f>
        <v/>
      </c>
      <c r="BH9" s="13">
        <f>IF(Time!BH34=1,SUM(Funding!$J$44:$BJ$44),BG13)</f>
        <v/>
      </c>
      <c r="BI9" s="13">
        <f>IF(Time!BI34=1,SUM(Funding!$J$44:$BJ$44),BH13)</f>
        <v/>
      </c>
      <c r="BJ9" s="13">
        <f>IF(Time!BJ34=1,SUM(Funding!$J$44:$BJ$44),BI13)</f>
        <v/>
      </c>
      <c r="BK9" s="13">
        <f>IF(Time!BK34=1,SUM(Funding!$J$44:$BJ$44),BJ13)</f>
        <v/>
      </c>
      <c r="BL9" s="13">
        <f>IF(Time!BL34=1,SUM(Funding!$J$44:$BJ$44),BK13)</f>
        <v/>
      </c>
      <c r="BM9" s="13">
        <f>IF(Time!BM34=1,SUM(Funding!$J$44:$BJ$44),BL13)</f>
        <v/>
      </c>
      <c r="BN9" s="13">
        <f>IF(Time!BN34=1,SUM(Funding!$J$44:$BJ$44),BM13)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3">
        <f>SUM(J10:BN10)</f>
        <v/>
      </c>
      <c r="J10" s="13">
        <f>MIN(J9,Waterfall!J11)</f>
        <v/>
      </c>
      <c r="K10" s="13">
        <f>MIN(K9,Waterfall!K11)</f>
        <v/>
      </c>
      <c r="L10" s="13">
        <f>MIN(L9,Waterfall!L11)</f>
        <v/>
      </c>
      <c r="M10" s="13">
        <f>MIN(M9,Waterfall!M11)</f>
        <v/>
      </c>
      <c r="N10" s="13">
        <f>MIN(N9,Waterfall!N11)</f>
        <v/>
      </c>
      <c r="O10" s="13">
        <f>MIN(O9,Waterfall!O11)</f>
        <v/>
      </c>
      <c r="P10" s="13">
        <f>MIN(P9,Waterfall!P11)</f>
        <v/>
      </c>
      <c r="Q10" s="13">
        <f>MIN(Q9,Waterfall!Q11)</f>
        <v/>
      </c>
      <c r="R10" s="13">
        <f>MIN(R9,Waterfall!R11)</f>
        <v/>
      </c>
      <c r="S10" s="13">
        <f>MIN(S9,Waterfall!S11)</f>
        <v/>
      </c>
      <c r="T10" s="13">
        <f>MIN(T9,Waterfall!T11)</f>
        <v/>
      </c>
      <c r="U10" s="13">
        <f>MIN(U9,Waterfall!U11)</f>
        <v/>
      </c>
      <c r="V10" s="13">
        <f>MIN(V9,Waterfall!V11)</f>
        <v/>
      </c>
      <c r="W10" s="13">
        <f>MIN(W9,Waterfall!W11)</f>
        <v/>
      </c>
      <c r="X10" s="13">
        <f>MIN(X9,Waterfall!X11)</f>
        <v/>
      </c>
      <c r="Y10" s="13">
        <f>MIN(Y9,Waterfall!Y11)</f>
        <v/>
      </c>
      <c r="Z10" s="13">
        <f>MIN(Z9,Waterfall!Z11)</f>
        <v/>
      </c>
      <c r="AA10" s="13">
        <f>MIN(AA9,Waterfall!AA11)</f>
        <v/>
      </c>
      <c r="AB10" s="13">
        <f>MIN(AB9,Waterfall!AB11)</f>
        <v/>
      </c>
      <c r="AC10" s="13">
        <f>MIN(AC9,Waterfall!AC11)</f>
        <v/>
      </c>
      <c r="AD10" s="13">
        <f>MIN(AD9,Waterfall!AD11)</f>
        <v/>
      </c>
      <c r="AE10" s="13">
        <f>MIN(AE9,Waterfall!AE11)</f>
        <v/>
      </c>
      <c r="AF10" s="13">
        <f>MIN(AF9,Waterfall!AF11)</f>
        <v/>
      </c>
      <c r="AG10" s="13">
        <f>MIN(AG9,Waterfall!AG11)</f>
        <v/>
      </c>
      <c r="AH10" s="13">
        <f>MIN(AH9,Waterfall!AH11)</f>
        <v/>
      </c>
      <c r="AI10" s="13">
        <f>MIN(AI9,Waterfall!AI11)</f>
        <v/>
      </c>
      <c r="AJ10" s="13">
        <f>MIN(AJ9,Waterfall!AJ11)</f>
        <v/>
      </c>
      <c r="AK10" s="13">
        <f>MIN(AK9,Waterfall!AK11)</f>
        <v/>
      </c>
      <c r="AL10" s="13">
        <f>MIN(AL9,Waterfall!AL11)</f>
        <v/>
      </c>
      <c r="AM10" s="13">
        <f>MIN(AM9,Waterfall!AM11)</f>
        <v/>
      </c>
      <c r="AN10" s="13">
        <f>MIN(AN9,Waterfall!AN11)</f>
        <v/>
      </c>
      <c r="AO10" s="13">
        <f>MIN(AO9,Waterfall!AO11)</f>
        <v/>
      </c>
      <c r="AP10" s="13">
        <f>MIN(AP9,Waterfall!AP11)</f>
        <v/>
      </c>
      <c r="AQ10" s="13">
        <f>MIN(AQ9,Waterfall!AQ11)</f>
        <v/>
      </c>
      <c r="AR10" s="13">
        <f>MIN(AR9,Waterfall!AR11)</f>
        <v/>
      </c>
      <c r="AS10" s="13">
        <f>MIN(AS9,Waterfall!AS11)</f>
        <v/>
      </c>
      <c r="AT10" s="13">
        <f>MIN(AT9,Waterfall!AT11)</f>
        <v/>
      </c>
      <c r="AU10" s="13">
        <f>MIN(AU9,Waterfall!AU11)</f>
        <v/>
      </c>
      <c r="AV10" s="13">
        <f>MIN(AV9,Waterfall!AV11)</f>
        <v/>
      </c>
      <c r="AW10" s="13">
        <f>MIN(AW9,Waterfall!AW11)</f>
        <v/>
      </c>
      <c r="AX10" s="13">
        <f>MIN(AX9,Waterfall!AX11)</f>
        <v/>
      </c>
      <c r="AY10" s="13">
        <f>MIN(AY9,Waterfall!AY11)</f>
        <v/>
      </c>
      <c r="AZ10" s="13">
        <f>MIN(AZ9,Waterfall!AZ11)</f>
        <v/>
      </c>
      <c r="BA10" s="13">
        <f>MIN(BA9,Waterfall!BA11)</f>
        <v/>
      </c>
      <c r="BB10" s="13">
        <f>MIN(BB9,Waterfall!BB11)</f>
        <v/>
      </c>
      <c r="BC10" s="13">
        <f>MIN(BC9,Waterfall!BC11)</f>
        <v/>
      </c>
      <c r="BD10" s="13">
        <f>MIN(BD9,Waterfall!BD11)</f>
        <v/>
      </c>
      <c r="BE10" s="13">
        <f>MIN(BE9,Waterfall!BE11)</f>
        <v/>
      </c>
      <c r="BF10" s="13">
        <f>MIN(BF9,Waterfall!BF11)</f>
        <v/>
      </c>
      <c r="BG10" s="13">
        <f>MIN(BG9,Waterfall!BG11)</f>
        <v/>
      </c>
      <c r="BH10" s="13">
        <f>MIN(BH9,Waterfall!BH11)</f>
        <v/>
      </c>
      <c r="BI10" s="13">
        <f>MIN(BI9,Waterfall!BI11)</f>
        <v/>
      </c>
      <c r="BJ10" s="13">
        <f>MIN(BJ9,Waterfall!BJ11)</f>
        <v/>
      </c>
      <c r="BK10" s="13">
        <f>MIN(BK9,Waterfall!BK11)</f>
        <v/>
      </c>
      <c r="BL10" s="13">
        <f>MIN(BL9,Waterfall!BL11)</f>
        <v/>
      </c>
      <c r="BM10" s="13">
        <f>MIN(BM9,Waterfall!BM11)</f>
        <v/>
      </c>
      <c r="BN10" s="13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3">
        <f>SUM(J11:BN11)</f>
        <v/>
      </c>
      <c r="J11" s="13">
        <f>MIN(Waterfall!J13,MAX(0,Debt!J125-(J9-J10)))</f>
        <v/>
      </c>
      <c r="K11" s="13">
        <f>MIN(Waterfall!K13,MAX(0,Debt!K125-(K9-K10)))</f>
        <v/>
      </c>
      <c r="L11" s="13">
        <f>MIN(Waterfall!L13,MAX(0,Debt!L125-(L9-L10)))</f>
        <v/>
      </c>
      <c r="M11" s="13">
        <f>MIN(Waterfall!M13,MAX(0,Debt!M125-(M9-M10)))</f>
        <v/>
      </c>
      <c r="N11" s="13">
        <f>MIN(Waterfall!N13,MAX(0,Debt!N125-(N9-N10)))</f>
        <v/>
      </c>
      <c r="O11" s="13">
        <f>MIN(Waterfall!O13,MAX(0,Debt!O125-(O9-O10)))</f>
        <v/>
      </c>
      <c r="P11" s="13">
        <f>MIN(Waterfall!P13,MAX(0,Debt!P125-(P9-P10)))</f>
        <v/>
      </c>
      <c r="Q11" s="13">
        <f>MIN(Waterfall!Q13,MAX(0,Debt!Q125-(Q9-Q10)))</f>
        <v/>
      </c>
      <c r="R11" s="13">
        <f>MIN(Waterfall!R13,MAX(0,Debt!R125-(R9-R10)))</f>
        <v/>
      </c>
      <c r="S11" s="13">
        <f>MIN(Waterfall!S13,MAX(0,Debt!S125-(S9-S10)))</f>
        <v/>
      </c>
      <c r="T11" s="13">
        <f>MIN(Waterfall!T13,MAX(0,Debt!T125-(T9-T10)))</f>
        <v/>
      </c>
      <c r="U11" s="13">
        <f>MIN(Waterfall!U13,MAX(0,Debt!U125-(U9-U10)))</f>
        <v/>
      </c>
      <c r="V11" s="13">
        <f>MIN(Waterfall!V13,MAX(0,Debt!V125-(V9-V10)))</f>
        <v/>
      </c>
      <c r="W11" s="13">
        <f>MIN(Waterfall!W13,MAX(0,Debt!W125-(W9-W10)))</f>
        <v/>
      </c>
      <c r="X11" s="13">
        <f>MIN(Waterfall!X13,MAX(0,Debt!X125-(X9-X10)))</f>
        <v/>
      </c>
      <c r="Y11" s="13">
        <f>MIN(Waterfall!Y13,MAX(0,Debt!Y125-(Y9-Y10)))</f>
        <v/>
      </c>
      <c r="Z11" s="13">
        <f>MIN(Waterfall!Z13,MAX(0,Debt!Z125-(Z9-Z10)))</f>
        <v/>
      </c>
      <c r="AA11" s="13">
        <f>MIN(Waterfall!AA13,MAX(0,Debt!AA125-(AA9-AA10)))</f>
        <v/>
      </c>
      <c r="AB11" s="13">
        <f>MIN(Waterfall!AB13,MAX(0,Debt!AB125-(AB9-AB10)))</f>
        <v/>
      </c>
      <c r="AC11" s="13">
        <f>MIN(Waterfall!AC13,MAX(0,Debt!AC125-(AC9-AC10)))</f>
        <v/>
      </c>
      <c r="AD11" s="13">
        <f>MIN(Waterfall!AD13,MAX(0,Debt!AD125-(AD9-AD10)))</f>
        <v/>
      </c>
      <c r="AE11" s="13">
        <f>MIN(Waterfall!AE13,MAX(0,Debt!AE125-(AE9-AE10)))</f>
        <v/>
      </c>
      <c r="AF11" s="13">
        <f>MIN(Waterfall!AF13,MAX(0,Debt!AF125-(AF9-AF10)))</f>
        <v/>
      </c>
      <c r="AG11" s="13">
        <f>MIN(Waterfall!AG13,MAX(0,Debt!AG125-(AG9-AG10)))</f>
        <v/>
      </c>
      <c r="AH11" s="13">
        <f>MIN(Waterfall!AH13,MAX(0,Debt!AH125-(AH9-AH10)))</f>
        <v/>
      </c>
      <c r="AI11" s="13">
        <f>MIN(Waterfall!AI13,MAX(0,Debt!AI125-(AI9-AI10)))</f>
        <v/>
      </c>
      <c r="AJ11" s="13">
        <f>MIN(Waterfall!AJ13,MAX(0,Debt!AJ125-(AJ9-AJ10)))</f>
        <v/>
      </c>
      <c r="AK11" s="13">
        <f>MIN(Waterfall!AK13,MAX(0,Debt!AK125-(AK9-AK10)))</f>
        <v/>
      </c>
      <c r="AL11" s="13">
        <f>MIN(Waterfall!AL13,MAX(0,Debt!AL125-(AL9-AL10)))</f>
        <v/>
      </c>
      <c r="AM11" s="13">
        <f>MIN(Waterfall!AM13,MAX(0,Debt!AM125-(AM9-AM10)))</f>
        <v/>
      </c>
      <c r="AN11" s="13">
        <f>MIN(Waterfall!AN13,MAX(0,Debt!AN125-(AN9-AN10)))</f>
        <v/>
      </c>
      <c r="AO11" s="13">
        <f>MIN(Waterfall!AO13,MAX(0,Debt!AO125-(AO9-AO10)))</f>
        <v/>
      </c>
      <c r="AP11" s="13">
        <f>MIN(Waterfall!AP13,MAX(0,Debt!AP125-(AP9-AP10)))</f>
        <v/>
      </c>
      <c r="AQ11" s="13">
        <f>MIN(Waterfall!AQ13,MAX(0,Debt!AQ125-(AQ9-AQ10)))</f>
        <v/>
      </c>
      <c r="AR11" s="13">
        <f>MIN(Waterfall!AR13,MAX(0,Debt!AR125-(AR9-AR10)))</f>
        <v/>
      </c>
      <c r="AS11" s="13">
        <f>MIN(Waterfall!AS13,MAX(0,Debt!AS125-(AS9-AS10)))</f>
        <v/>
      </c>
      <c r="AT11" s="13">
        <f>MIN(Waterfall!AT13,MAX(0,Debt!AT125-(AT9-AT10)))</f>
        <v/>
      </c>
      <c r="AU11" s="13">
        <f>MIN(Waterfall!AU13,MAX(0,Debt!AU125-(AU9-AU10)))</f>
        <v/>
      </c>
      <c r="AV11" s="13">
        <f>MIN(Waterfall!AV13,MAX(0,Debt!AV125-(AV9-AV10)))</f>
        <v/>
      </c>
      <c r="AW11" s="13">
        <f>MIN(Waterfall!AW13,MAX(0,Debt!AW125-(AW9-AW10)))</f>
        <v/>
      </c>
      <c r="AX11" s="13">
        <f>MIN(Waterfall!AX13,MAX(0,Debt!AX125-(AX9-AX10)))</f>
        <v/>
      </c>
      <c r="AY11" s="13">
        <f>MIN(Waterfall!AY13,MAX(0,Debt!AY125-(AY9-AY10)))</f>
        <v/>
      </c>
      <c r="AZ11" s="13">
        <f>MIN(Waterfall!AZ13,MAX(0,Debt!AZ125-(AZ9-AZ10)))</f>
        <v/>
      </c>
      <c r="BA11" s="13">
        <f>MIN(Waterfall!BA13,MAX(0,Debt!BA125-(BA9-BA10)))</f>
        <v/>
      </c>
      <c r="BB11" s="13">
        <f>MIN(Waterfall!BB13,MAX(0,Debt!BB125-(BB9-BB10)))</f>
        <v/>
      </c>
      <c r="BC11" s="13">
        <f>MIN(Waterfall!BC13,MAX(0,Debt!BC125-(BC9-BC10)))</f>
        <v/>
      </c>
      <c r="BD11" s="13">
        <f>MIN(Waterfall!BD13,MAX(0,Debt!BD125-(BD9-BD10)))</f>
        <v/>
      </c>
      <c r="BE11" s="13">
        <f>MIN(Waterfall!BE13,MAX(0,Debt!BE125-(BE9-BE10)))</f>
        <v/>
      </c>
      <c r="BF11" s="13">
        <f>MIN(Waterfall!BF13,MAX(0,Debt!BF125-(BF9-BF10)))</f>
        <v/>
      </c>
      <c r="BG11" s="13">
        <f>MIN(Waterfall!BG13,MAX(0,Debt!BG125-(BG9-BG10)))</f>
        <v/>
      </c>
      <c r="BH11" s="13">
        <f>MIN(Waterfall!BH13,MAX(0,Debt!BH125-(BH9-BH10)))</f>
        <v/>
      </c>
      <c r="BI11" s="13">
        <f>MIN(Waterfall!BI13,MAX(0,Debt!BI125-(BI9-BI10)))</f>
        <v/>
      </c>
      <c r="BJ11" s="13">
        <f>MIN(Waterfall!BJ13,MAX(0,Debt!BJ125-(BJ9-BJ10)))</f>
        <v/>
      </c>
      <c r="BK11" s="13">
        <f>MIN(Waterfall!BK13,MAX(0,Debt!BK125-(BK9-BK10)))</f>
        <v/>
      </c>
      <c r="BL11" s="13">
        <f>MIN(Waterfall!BL13,MAX(0,Debt!BL125-(BL9-BL10)))</f>
        <v/>
      </c>
      <c r="BM11" s="13">
        <f>MIN(Waterfall!BM13,MAX(0,Debt!BM125-(BM9-BM10)))</f>
        <v/>
      </c>
      <c r="BN11" s="13">
        <f>MIN(Waterfall!BN13,MAX(0,Debt!BN125-(BN9-BN10)))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3">
        <f>SUM(J12:BN12)</f>
        <v/>
      </c>
      <c r="J12" s="13">
        <f>MAX(0,J9-J10-Debt!J125)</f>
        <v/>
      </c>
      <c r="K12" s="13">
        <f>MAX(0,K9-K10-Debt!K125)</f>
        <v/>
      </c>
      <c r="L12" s="13">
        <f>MAX(0,L9-L10-Debt!L125)</f>
        <v/>
      </c>
      <c r="M12" s="13">
        <f>MAX(0,M9-M10-Debt!M125)</f>
        <v/>
      </c>
      <c r="N12" s="13">
        <f>MAX(0,N9-N10-Debt!N125)</f>
        <v/>
      </c>
      <c r="O12" s="13">
        <f>MAX(0,O9-O10-Debt!O125)</f>
        <v/>
      </c>
      <c r="P12" s="13">
        <f>MAX(0,P9-P10-Debt!P125)</f>
        <v/>
      </c>
      <c r="Q12" s="13">
        <f>MAX(0,Q9-Q10-Debt!Q125)</f>
        <v/>
      </c>
      <c r="R12" s="13">
        <f>MAX(0,R9-R10-Debt!R125)</f>
        <v/>
      </c>
      <c r="S12" s="13">
        <f>MAX(0,S9-S10-Debt!S125)</f>
        <v/>
      </c>
      <c r="T12" s="13">
        <f>MAX(0,T9-T10-Debt!T125)</f>
        <v/>
      </c>
      <c r="U12" s="13">
        <f>MAX(0,U9-U10-Debt!U125)</f>
        <v/>
      </c>
      <c r="V12" s="13">
        <f>MAX(0,V9-V10-Debt!V125)</f>
        <v/>
      </c>
      <c r="W12" s="13">
        <f>MAX(0,W9-W10-Debt!W125)</f>
        <v/>
      </c>
      <c r="X12" s="13">
        <f>MAX(0,X9-X10-Debt!X125)</f>
        <v/>
      </c>
      <c r="Y12" s="13">
        <f>MAX(0,Y9-Y10-Debt!Y125)</f>
        <v/>
      </c>
      <c r="Z12" s="13">
        <f>MAX(0,Z9-Z10-Debt!Z125)</f>
        <v/>
      </c>
      <c r="AA12" s="13">
        <f>MAX(0,AA9-AA10-Debt!AA125)</f>
        <v/>
      </c>
      <c r="AB12" s="13">
        <f>MAX(0,AB9-AB10-Debt!AB125)</f>
        <v/>
      </c>
      <c r="AC12" s="13">
        <f>MAX(0,AC9-AC10-Debt!AC125)</f>
        <v/>
      </c>
      <c r="AD12" s="13">
        <f>MAX(0,AD9-AD10-Debt!AD125)</f>
        <v/>
      </c>
      <c r="AE12" s="13">
        <f>MAX(0,AE9-AE10-Debt!AE125)</f>
        <v/>
      </c>
      <c r="AF12" s="13">
        <f>MAX(0,AF9-AF10-Debt!AF125)</f>
        <v/>
      </c>
      <c r="AG12" s="13">
        <f>MAX(0,AG9-AG10-Debt!AG125)</f>
        <v/>
      </c>
      <c r="AH12" s="13">
        <f>MAX(0,AH9-AH10-Debt!AH125)</f>
        <v/>
      </c>
      <c r="AI12" s="13">
        <f>MAX(0,AI9-AI10-Debt!AI125)</f>
        <v/>
      </c>
      <c r="AJ12" s="13">
        <f>MAX(0,AJ9-AJ10-Debt!AJ125)</f>
        <v/>
      </c>
      <c r="AK12" s="13">
        <f>MAX(0,AK9-AK10-Debt!AK125)</f>
        <v/>
      </c>
      <c r="AL12" s="13">
        <f>MAX(0,AL9-AL10-Debt!AL125)</f>
        <v/>
      </c>
      <c r="AM12" s="13">
        <f>MAX(0,AM9-AM10-Debt!AM125)</f>
        <v/>
      </c>
      <c r="AN12" s="13">
        <f>MAX(0,AN9-AN10-Debt!AN125)</f>
        <v/>
      </c>
      <c r="AO12" s="13">
        <f>MAX(0,AO9-AO10-Debt!AO125)</f>
        <v/>
      </c>
      <c r="AP12" s="13">
        <f>MAX(0,AP9-AP10-Debt!AP125)</f>
        <v/>
      </c>
      <c r="AQ12" s="13">
        <f>MAX(0,AQ9-AQ10-Debt!AQ125)</f>
        <v/>
      </c>
      <c r="AR12" s="13">
        <f>MAX(0,AR9-AR10-Debt!AR125)</f>
        <v/>
      </c>
      <c r="AS12" s="13">
        <f>MAX(0,AS9-AS10-Debt!AS125)</f>
        <v/>
      </c>
      <c r="AT12" s="13">
        <f>MAX(0,AT9-AT10-Debt!AT125)</f>
        <v/>
      </c>
      <c r="AU12" s="13">
        <f>MAX(0,AU9-AU10-Debt!AU125)</f>
        <v/>
      </c>
      <c r="AV12" s="13">
        <f>MAX(0,AV9-AV10-Debt!AV125)</f>
        <v/>
      </c>
      <c r="AW12" s="13">
        <f>MAX(0,AW9-AW10-Debt!AW125)</f>
        <v/>
      </c>
      <c r="AX12" s="13">
        <f>MAX(0,AX9-AX10-Debt!AX125)</f>
        <v/>
      </c>
      <c r="AY12" s="13">
        <f>MAX(0,AY9-AY10-Debt!AY125)</f>
        <v/>
      </c>
      <c r="AZ12" s="13">
        <f>MAX(0,AZ9-AZ10-Debt!AZ125)</f>
        <v/>
      </c>
      <c r="BA12" s="13">
        <f>MAX(0,BA9-BA10-Debt!BA125)</f>
        <v/>
      </c>
      <c r="BB12" s="13">
        <f>MAX(0,BB9-BB10-Debt!BB125)</f>
        <v/>
      </c>
      <c r="BC12" s="13">
        <f>MAX(0,BC9-BC10-Debt!BC125)</f>
        <v/>
      </c>
      <c r="BD12" s="13">
        <f>MAX(0,BD9-BD10-Debt!BD125)</f>
        <v/>
      </c>
      <c r="BE12" s="13">
        <f>MAX(0,BE9-BE10-Debt!BE125)</f>
        <v/>
      </c>
      <c r="BF12" s="13">
        <f>MAX(0,BF9-BF10-Debt!BF125)</f>
        <v/>
      </c>
      <c r="BG12" s="13">
        <f>MAX(0,BG9-BG10-Debt!BG125)</f>
        <v/>
      </c>
      <c r="BH12" s="13">
        <f>MAX(0,BH9-BH10-Debt!BH125)</f>
        <v/>
      </c>
      <c r="BI12" s="13">
        <f>MAX(0,BI9-BI10-Debt!BI125)</f>
        <v/>
      </c>
      <c r="BJ12" s="13">
        <f>MAX(0,BJ9-BJ10-Debt!BJ125)</f>
        <v/>
      </c>
      <c r="BK12" s="13">
        <f>MAX(0,BK9-BK10-Debt!BK125)</f>
        <v/>
      </c>
      <c r="BL12" s="13">
        <f>MAX(0,BL9-BL10-Debt!BL125)</f>
        <v/>
      </c>
      <c r="BM12" s="13">
        <f>MAX(0,BM9-BM10-Debt!BM125)</f>
        <v/>
      </c>
      <c r="BN12" s="13">
        <f>MAX(0,BN9-BN10-Debt!BN125)</f>
        <v/>
      </c>
    </row>
    <row r="13">
      <c r="D13" t="inlineStr">
        <is>
          <t>DSRA closing</t>
        </is>
      </c>
      <c r="E13" t="inlineStr">
        <is>
          <t>USD m</t>
        </is>
      </c>
      <c r="J13" s="13">
        <f>(1-Time!J37)*(J9-J10+J11-J12)</f>
        <v/>
      </c>
      <c r="K13" s="13">
        <f>(1-Time!K37)*(K9-K10+K11-K12)</f>
        <v/>
      </c>
      <c r="L13" s="13">
        <f>(1-Time!L37)*(L9-L10+L11-L12)</f>
        <v/>
      </c>
      <c r="M13" s="13">
        <f>(1-Time!M37)*(M9-M10+M11-M12)</f>
        <v/>
      </c>
      <c r="N13" s="13">
        <f>(1-Time!N37)*(N9-N10+N11-N12)</f>
        <v/>
      </c>
      <c r="O13" s="13">
        <f>(1-Time!O37)*(O9-O10+O11-O12)</f>
        <v/>
      </c>
      <c r="P13" s="13">
        <f>(1-Time!P37)*(P9-P10+P11-P12)</f>
        <v/>
      </c>
      <c r="Q13" s="13">
        <f>(1-Time!Q37)*(Q9-Q10+Q11-Q12)</f>
        <v/>
      </c>
      <c r="R13" s="13">
        <f>(1-Time!R37)*(R9-R10+R11-R12)</f>
        <v/>
      </c>
      <c r="S13" s="13">
        <f>(1-Time!S37)*(S9-S10+S11-S12)</f>
        <v/>
      </c>
      <c r="T13" s="13">
        <f>(1-Time!T37)*(T9-T10+T11-T12)</f>
        <v/>
      </c>
      <c r="U13" s="13">
        <f>(1-Time!U37)*(U9-U10+U11-U12)</f>
        <v/>
      </c>
      <c r="V13" s="13">
        <f>(1-Time!V37)*(V9-V10+V11-V12)</f>
        <v/>
      </c>
      <c r="W13" s="13">
        <f>(1-Time!W37)*(W9-W10+W11-W12)</f>
        <v/>
      </c>
      <c r="X13" s="13">
        <f>(1-Time!X37)*(X9-X10+X11-X12)</f>
        <v/>
      </c>
      <c r="Y13" s="13">
        <f>(1-Time!Y37)*(Y9-Y10+Y11-Y12)</f>
        <v/>
      </c>
      <c r="Z13" s="13">
        <f>(1-Time!Z37)*(Z9-Z10+Z11-Z12)</f>
        <v/>
      </c>
      <c r="AA13" s="13">
        <f>(1-Time!AA37)*(AA9-AA10+AA11-AA12)</f>
        <v/>
      </c>
      <c r="AB13" s="13">
        <f>(1-Time!AB37)*(AB9-AB10+AB11-AB12)</f>
        <v/>
      </c>
      <c r="AC13" s="13">
        <f>(1-Time!AC37)*(AC9-AC10+AC11-AC12)</f>
        <v/>
      </c>
      <c r="AD13" s="13">
        <f>(1-Time!AD37)*(AD9-AD10+AD11-AD12)</f>
        <v/>
      </c>
      <c r="AE13" s="13">
        <f>(1-Time!AE37)*(AE9-AE10+AE11-AE12)</f>
        <v/>
      </c>
      <c r="AF13" s="13">
        <f>(1-Time!AF37)*(AF9-AF10+AF11-AF12)</f>
        <v/>
      </c>
      <c r="AG13" s="13">
        <f>(1-Time!AG37)*(AG9-AG10+AG11-AG12)</f>
        <v/>
      </c>
      <c r="AH13" s="13">
        <f>(1-Time!AH37)*(AH9-AH10+AH11-AH12)</f>
        <v/>
      </c>
      <c r="AI13" s="13">
        <f>(1-Time!AI37)*(AI9-AI10+AI11-AI12)</f>
        <v/>
      </c>
      <c r="AJ13" s="13">
        <f>(1-Time!AJ37)*(AJ9-AJ10+AJ11-AJ12)</f>
        <v/>
      </c>
      <c r="AK13" s="13">
        <f>(1-Time!AK37)*(AK9-AK10+AK11-AK12)</f>
        <v/>
      </c>
      <c r="AL13" s="13">
        <f>(1-Time!AL37)*(AL9-AL10+AL11-AL12)</f>
        <v/>
      </c>
      <c r="AM13" s="13">
        <f>(1-Time!AM37)*(AM9-AM10+AM11-AM12)</f>
        <v/>
      </c>
      <c r="AN13" s="13">
        <f>(1-Time!AN37)*(AN9-AN10+AN11-AN12)</f>
        <v/>
      </c>
      <c r="AO13" s="13">
        <f>(1-Time!AO37)*(AO9-AO10+AO11-AO12)</f>
        <v/>
      </c>
      <c r="AP13" s="13">
        <f>(1-Time!AP37)*(AP9-AP10+AP11-AP12)</f>
        <v/>
      </c>
      <c r="AQ13" s="13">
        <f>(1-Time!AQ37)*(AQ9-AQ10+AQ11-AQ12)</f>
        <v/>
      </c>
      <c r="AR13" s="13">
        <f>(1-Time!AR37)*(AR9-AR10+AR11-AR12)</f>
        <v/>
      </c>
      <c r="AS13" s="13">
        <f>(1-Time!AS37)*(AS9-AS10+AS11-AS12)</f>
        <v/>
      </c>
      <c r="AT13" s="13">
        <f>(1-Time!AT37)*(AT9-AT10+AT11-AT12)</f>
        <v/>
      </c>
      <c r="AU13" s="13">
        <f>(1-Time!AU37)*(AU9-AU10+AU11-AU12)</f>
        <v/>
      </c>
      <c r="AV13" s="13">
        <f>(1-Time!AV37)*(AV9-AV10+AV11-AV12)</f>
        <v/>
      </c>
      <c r="AW13" s="13">
        <f>(1-Time!AW37)*(AW9-AW10+AW11-AW12)</f>
        <v/>
      </c>
      <c r="AX13" s="13">
        <f>(1-Time!AX37)*(AX9-AX10+AX11-AX12)</f>
        <v/>
      </c>
      <c r="AY13" s="13">
        <f>(1-Time!AY37)*(AY9-AY10+AY11-AY12)</f>
        <v/>
      </c>
      <c r="AZ13" s="13">
        <f>(1-Time!AZ37)*(AZ9-AZ10+AZ11-AZ12)</f>
        <v/>
      </c>
      <c r="BA13" s="13">
        <f>(1-Time!BA37)*(BA9-BA10+BA11-BA12)</f>
        <v/>
      </c>
      <c r="BB13" s="13">
        <f>(1-Time!BB37)*(BB9-BB10+BB11-BB12)</f>
        <v/>
      </c>
      <c r="BC13" s="13">
        <f>(1-Time!BC37)*(BC9-BC10+BC11-BC12)</f>
        <v/>
      </c>
      <c r="BD13" s="13">
        <f>(1-Time!BD37)*(BD9-BD10+BD11-BD12)</f>
        <v/>
      </c>
      <c r="BE13" s="13">
        <f>(1-Time!BE37)*(BE9-BE10+BE11-BE12)</f>
        <v/>
      </c>
      <c r="BF13" s="13">
        <f>(1-Time!BF37)*(BF9-BF10+BF11-BF12)</f>
        <v/>
      </c>
      <c r="BG13" s="13">
        <f>(1-Time!BG37)*(BG9-BG10+BG11-BG12)</f>
        <v/>
      </c>
      <c r="BH13" s="13">
        <f>(1-Time!BH37)*(BH9-BH10+BH11-BH12)</f>
        <v/>
      </c>
      <c r="BI13" s="13">
        <f>(1-Time!BI37)*(BI9-BI10+BI11-BI12)</f>
        <v/>
      </c>
      <c r="BJ13" s="13">
        <f>(1-Time!BJ37)*(BJ9-BJ10+BJ11-BJ12)</f>
        <v/>
      </c>
      <c r="BK13" s="13">
        <f>(1-Time!BK37)*(BK9-BK10+BK11-BK12)</f>
        <v/>
      </c>
      <c r="BL13" s="13">
        <f>(1-Time!BL37)*(BL9-BL10+BL11-BL12)</f>
        <v/>
      </c>
      <c r="BM13" s="13">
        <f>(1-Time!BM37)*(BM9-BM10+BM11-BM12)</f>
        <v/>
      </c>
      <c r="BN13" s="13">
        <f>(1-Time!BN37)*(BN9-BN10+BN11-BN12)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3">
        <f>SUM(J14:BN14)</f>
        <v/>
      </c>
      <c r="J14" s="13">
        <f>MIN(Waterfall!J14,Operations!J81)</f>
        <v/>
      </c>
      <c r="K14" s="13">
        <f>MIN(Waterfall!K14,Operations!K81)</f>
        <v/>
      </c>
      <c r="L14" s="13">
        <f>MIN(Waterfall!L14,Operations!L81)</f>
        <v/>
      </c>
      <c r="M14" s="13">
        <f>MIN(Waterfall!M14,Operations!M81)</f>
        <v/>
      </c>
      <c r="N14" s="13">
        <f>MIN(Waterfall!N14,Operations!N81)</f>
        <v/>
      </c>
      <c r="O14" s="13">
        <f>MIN(Waterfall!O14,Operations!O81)</f>
        <v/>
      </c>
      <c r="P14" s="13">
        <f>MIN(Waterfall!P14,Operations!P81)</f>
        <v/>
      </c>
      <c r="Q14" s="13">
        <f>MIN(Waterfall!Q14,Operations!Q81)</f>
        <v/>
      </c>
      <c r="R14" s="13">
        <f>MIN(Waterfall!R14,Operations!R81)</f>
        <v/>
      </c>
      <c r="S14" s="13">
        <f>MIN(Waterfall!S14,Operations!S81)</f>
        <v/>
      </c>
      <c r="T14" s="13">
        <f>MIN(Waterfall!T14,Operations!T81)</f>
        <v/>
      </c>
      <c r="U14" s="13">
        <f>MIN(Waterfall!U14,Operations!U81)</f>
        <v/>
      </c>
      <c r="V14" s="13">
        <f>MIN(Waterfall!V14,Operations!V81)</f>
        <v/>
      </c>
      <c r="W14" s="13">
        <f>MIN(Waterfall!W14,Operations!W81)</f>
        <v/>
      </c>
      <c r="X14" s="13">
        <f>MIN(Waterfall!X14,Operations!X81)</f>
        <v/>
      </c>
      <c r="Y14" s="13">
        <f>MIN(Waterfall!Y14,Operations!Y81)</f>
        <v/>
      </c>
      <c r="Z14" s="13">
        <f>MIN(Waterfall!Z14,Operations!Z81)</f>
        <v/>
      </c>
      <c r="AA14" s="13">
        <f>MIN(Waterfall!AA14,Operations!AA81)</f>
        <v/>
      </c>
      <c r="AB14" s="13">
        <f>MIN(Waterfall!AB14,Operations!AB81)</f>
        <v/>
      </c>
      <c r="AC14" s="13">
        <f>MIN(Waterfall!AC14,Operations!AC81)</f>
        <v/>
      </c>
      <c r="AD14" s="13">
        <f>MIN(Waterfall!AD14,Operations!AD81)</f>
        <v/>
      </c>
      <c r="AE14" s="13">
        <f>MIN(Waterfall!AE14,Operations!AE81)</f>
        <v/>
      </c>
      <c r="AF14" s="13">
        <f>MIN(Waterfall!AF14,Operations!AF81)</f>
        <v/>
      </c>
      <c r="AG14" s="13">
        <f>MIN(Waterfall!AG14,Operations!AG81)</f>
        <v/>
      </c>
      <c r="AH14" s="13">
        <f>MIN(Waterfall!AH14,Operations!AH81)</f>
        <v/>
      </c>
      <c r="AI14" s="13">
        <f>MIN(Waterfall!AI14,Operations!AI81)</f>
        <v/>
      </c>
      <c r="AJ14" s="13">
        <f>MIN(Waterfall!AJ14,Operations!AJ81)</f>
        <v/>
      </c>
      <c r="AK14" s="13">
        <f>MIN(Waterfall!AK14,Operations!AK81)</f>
        <v/>
      </c>
      <c r="AL14" s="13">
        <f>MIN(Waterfall!AL14,Operations!AL81)</f>
        <v/>
      </c>
      <c r="AM14" s="13">
        <f>MIN(Waterfall!AM14,Operations!AM81)</f>
        <v/>
      </c>
      <c r="AN14" s="13">
        <f>MIN(Waterfall!AN14,Operations!AN81)</f>
        <v/>
      </c>
      <c r="AO14" s="13">
        <f>MIN(Waterfall!AO14,Operations!AO81)</f>
        <v/>
      </c>
      <c r="AP14" s="13">
        <f>MIN(Waterfall!AP14,Operations!AP81)</f>
        <v/>
      </c>
      <c r="AQ14" s="13">
        <f>MIN(Waterfall!AQ14,Operations!AQ81)</f>
        <v/>
      </c>
      <c r="AR14" s="13">
        <f>MIN(Waterfall!AR14,Operations!AR81)</f>
        <v/>
      </c>
      <c r="AS14" s="13">
        <f>MIN(Waterfall!AS14,Operations!AS81)</f>
        <v/>
      </c>
      <c r="AT14" s="13">
        <f>MIN(Waterfall!AT14,Operations!AT81)</f>
        <v/>
      </c>
      <c r="AU14" s="13">
        <f>MIN(Waterfall!AU14,Operations!AU81)</f>
        <v/>
      </c>
      <c r="AV14" s="13">
        <f>MIN(Waterfall!AV14,Operations!AV81)</f>
        <v/>
      </c>
      <c r="AW14" s="13">
        <f>MIN(Waterfall!AW14,Operations!AW81)</f>
        <v/>
      </c>
      <c r="AX14" s="13">
        <f>MIN(Waterfall!AX14,Operations!AX81)</f>
        <v/>
      </c>
      <c r="AY14" s="13">
        <f>MIN(Waterfall!AY14,Operations!AY81)</f>
        <v/>
      </c>
      <c r="AZ14" s="13">
        <f>MIN(Waterfall!AZ14,Operations!AZ81)</f>
        <v/>
      </c>
      <c r="BA14" s="13">
        <f>MIN(Waterfall!BA14,Operations!BA81)</f>
        <v/>
      </c>
      <c r="BB14" s="13">
        <f>MIN(Waterfall!BB14,Operations!BB81)</f>
        <v/>
      </c>
      <c r="BC14" s="13">
        <f>MIN(Waterfall!BC14,Operations!BC81)</f>
        <v/>
      </c>
      <c r="BD14" s="13">
        <f>MIN(Waterfall!BD14,Operations!BD81)</f>
        <v/>
      </c>
      <c r="BE14" s="13">
        <f>MIN(Waterfall!BE14,Operations!BE81)</f>
        <v/>
      </c>
      <c r="BF14" s="13">
        <f>MIN(Waterfall!BF14,Operations!BF81)</f>
        <v/>
      </c>
      <c r="BG14" s="13">
        <f>MIN(Waterfall!BG14,Operations!BG81)</f>
        <v/>
      </c>
      <c r="BH14" s="13">
        <f>MIN(Waterfall!BH14,Operations!BH81)</f>
        <v/>
      </c>
      <c r="BI14" s="13">
        <f>MIN(Waterfall!BI14,Operations!BI81)</f>
        <v/>
      </c>
      <c r="BJ14" s="13">
        <f>MIN(Waterfall!BJ14,Operations!BJ81)</f>
        <v/>
      </c>
      <c r="BK14" s="13">
        <f>MIN(Waterfall!BK14,Operations!BK81)</f>
        <v/>
      </c>
      <c r="BL14" s="13">
        <f>MIN(Waterfall!BL14,Operations!BL81)</f>
        <v/>
      </c>
      <c r="BM14" s="13">
        <f>MIN(Waterfall!BM14,Operations!BM81)</f>
        <v/>
      </c>
      <c r="BN14" s="13">
        <f>MIN(Waterfall!BN14,Operations!BN81)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3">
        <f>SUM(J15:BN15)</f>
        <v/>
      </c>
      <c r="J15" s="13">
        <f>Time!J37*(I16+J14)</f>
        <v/>
      </c>
      <c r="K15" s="13">
        <f>Time!K37*(J16+K14)</f>
        <v/>
      </c>
      <c r="L15" s="13">
        <f>Time!L37*(K16+L14)</f>
        <v/>
      </c>
      <c r="M15" s="13">
        <f>Time!M37*(L16+M14)</f>
        <v/>
      </c>
      <c r="N15" s="13">
        <f>Time!N37*(M16+N14)</f>
        <v/>
      </c>
      <c r="O15" s="13">
        <f>Time!O37*(N16+O14)</f>
        <v/>
      </c>
      <c r="P15" s="13">
        <f>Time!P37*(O16+P14)</f>
        <v/>
      </c>
      <c r="Q15" s="13">
        <f>Time!Q37*(P16+Q14)</f>
        <v/>
      </c>
      <c r="R15" s="13">
        <f>Time!R37*(Q16+R14)</f>
        <v/>
      </c>
      <c r="S15" s="13">
        <f>Time!S37*(R16+S14)</f>
        <v/>
      </c>
      <c r="T15" s="13">
        <f>Time!T37*(S16+T14)</f>
        <v/>
      </c>
      <c r="U15" s="13">
        <f>Time!U37*(T16+U14)</f>
        <v/>
      </c>
      <c r="V15" s="13">
        <f>Time!V37*(U16+V14)</f>
        <v/>
      </c>
      <c r="W15" s="13">
        <f>Time!W37*(V16+W14)</f>
        <v/>
      </c>
      <c r="X15" s="13">
        <f>Time!X37*(W16+X14)</f>
        <v/>
      </c>
      <c r="Y15" s="13">
        <f>Time!Y37*(X16+Y14)</f>
        <v/>
      </c>
      <c r="Z15" s="13">
        <f>Time!Z37*(Y16+Z14)</f>
        <v/>
      </c>
      <c r="AA15" s="13">
        <f>Time!AA37*(Z16+AA14)</f>
        <v/>
      </c>
      <c r="AB15" s="13">
        <f>Time!AB37*(AA16+AB14)</f>
        <v/>
      </c>
      <c r="AC15" s="13">
        <f>Time!AC37*(AB16+AC14)</f>
        <v/>
      </c>
      <c r="AD15" s="13">
        <f>Time!AD37*(AC16+AD14)</f>
        <v/>
      </c>
      <c r="AE15" s="13">
        <f>Time!AE37*(AD16+AE14)</f>
        <v/>
      </c>
      <c r="AF15" s="13">
        <f>Time!AF37*(AE16+AF14)</f>
        <v/>
      </c>
      <c r="AG15" s="13">
        <f>Time!AG37*(AF16+AG14)</f>
        <v/>
      </c>
      <c r="AH15" s="13">
        <f>Time!AH37*(AG16+AH14)</f>
        <v/>
      </c>
      <c r="AI15" s="13">
        <f>Time!AI37*(AH16+AI14)</f>
        <v/>
      </c>
      <c r="AJ15" s="13">
        <f>Time!AJ37*(AI16+AJ14)</f>
        <v/>
      </c>
      <c r="AK15" s="13">
        <f>Time!AK37*(AJ16+AK14)</f>
        <v/>
      </c>
      <c r="AL15" s="13">
        <f>Time!AL37*(AK16+AL14)</f>
        <v/>
      </c>
      <c r="AM15" s="13">
        <f>Time!AM37*(AL16+AM14)</f>
        <v/>
      </c>
      <c r="AN15" s="13">
        <f>Time!AN37*(AM16+AN14)</f>
        <v/>
      </c>
      <c r="AO15" s="13">
        <f>Time!AO37*(AN16+AO14)</f>
        <v/>
      </c>
      <c r="AP15" s="13">
        <f>Time!AP37*(AO16+AP14)</f>
        <v/>
      </c>
      <c r="AQ15" s="13">
        <f>Time!AQ37*(AP16+AQ14)</f>
        <v/>
      </c>
      <c r="AR15" s="13">
        <f>Time!AR37*(AQ16+AR14)</f>
        <v/>
      </c>
      <c r="AS15" s="13">
        <f>Time!AS37*(AR16+AS14)</f>
        <v/>
      </c>
      <c r="AT15" s="13">
        <f>Time!AT37*(AS16+AT14)</f>
        <v/>
      </c>
      <c r="AU15" s="13">
        <f>Time!AU37*(AT16+AU14)</f>
        <v/>
      </c>
      <c r="AV15" s="13">
        <f>Time!AV37*(AU16+AV14)</f>
        <v/>
      </c>
      <c r="AW15" s="13">
        <f>Time!AW37*(AV16+AW14)</f>
        <v/>
      </c>
      <c r="AX15" s="13">
        <f>Time!AX37*(AW16+AX14)</f>
        <v/>
      </c>
      <c r="AY15" s="13">
        <f>Time!AY37*(AX16+AY14)</f>
        <v/>
      </c>
      <c r="AZ15" s="13">
        <f>Time!AZ37*(AY16+AZ14)</f>
        <v/>
      </c>
      <c r="BA15" s="13">
        <f>Time!BA37*(AZ16+BA14)</f>
        <v/>
      </c>
      <c r="BB15" s="13">
        <f>Time!BB37*(BA16+BB14)</f>
        <v/>
      </c>
      <c r="BC15" s="13">
        <f>Time!BC37*(BB16+BC14)</f>
        <v/>
      </c>
      <c r="BD15" s="13">
        <f>Time!BD37*(BC16+BD14)</f>
        <v/>
      </c>
      <c r="BE15" s="13">
        <f>Time!BE37*(BD16+BE14)</f>
        <v/>
      </c>
      <c r="BF15" s="13">
        <f>Time!BF37*(BE16+BF14)</f>
        <v/>
      </c>
      <c r="BG15" s="13">
        <f>Time!BG37*(BF16+BG14)</f>
        <v/>
      </c>
      <c r="BH15" s="13">
        <f>Time!BH37*(BG16+BH14)</f>
        <v/>
      </c>
      <c r="BI15" s="13">
        <f>Time!BI37*(BH16+BI14)</f>
        <v/>
      </c>
      <c r="BJ15" s="13">
        <f>Time!BJ37*(BI16+BJ14)</f>
        <v/>
      </c>
      <c r="BK15" s="13">
        <f>Time!BK37*(BJ16+BK14)</f>
        <v/>
      </c>
      <c r="BL15" s="13">
        <f>Time!BL37*(BK16+BL14)</f>
        <v/>
      </c>
      <c r="BM15" s="13">
        <f>Time!BM37*(BL16+BM14)</f>
        <v/>
      </c>
      <c r="BN15" s="13">
        <f>Time!BN37*(BM16+BN14)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3">
        <f>I16+J14-J15</f>
        <v/>
      </c>
      <c r="K16" s="13">
        <f>J16+K14-K15</f>
        <v/>
      </c>
      <c r="L16" s="13">
        <f>K16+L14-L15</f>
        <v/>
      </c>
      <c r="M16" s="13">
        <f>L16+M14-M15</f>
        <v/>
      </c>
      <c r="N16" s="13">
        <f>M16+N14-N15</f>
        <v/>
      </c>
      <c r="O16" s="13">
        <f>N16+O14-O15</f>
        <v/>
      </c>
      <c r="P16" s="13">
        <f>O16+P14-P15</f>
        <v/>
      </c>
      <c r="Q16" s="13">
        <f>P16+Q14-Q15</f>
        <v/>
      </c>
      <c r="R16" s="13">
        <f>Q16+R14-R15</f>
        <v/>
      </c>
      <c r="S16" s="13">
        <f>R16+S14-S15</f>
        <v/>
      </c>
      <c r="T16" s="13">
        <f>S16+T14-T15</f>
        <v/>
      </c>
      <c r="U16" s="13">
        <f>T16+U14-U15</f>
        <v/>
      </c>
      <c r="V16" s="13">
        <f>U16+V14-V15</f>
        <v/>
      </c>
      <c r="W16" s="13">
        <f>V16+W14-W15</f>
        <v/>
      </c>
      <c r="X16" s="13">
        <f>W16+X14-X15</f>
        <v/>
      </c>
      <c r="Y16" s="13">
        <f>X16+Y14-Y15</f>
        <v/>
      </c>
      <c r="Z16" s="13">
        <f>Y16+Z14-Z15</f>
        <v/>
      </c>
      <c r="AA16" s="13">
        <f>Z16+AA14-AA15</f>
        <v/>
      </c>
      <c r="AB16" s="13">
        <f>AA16+AB14-AB15</f>
        <v/>
      </c>
      <c r="AC16" s="13">
        <f>AB16+AC14-AC15</f>
        <v/>
      </c>
      <c r="AD16" s="13">
        <f>AC16+AD14-AD15</f>
        <v/>
      </c>
      <c r="AE16" s="13">
        <f>AD16+AE14-AE15</f>
        <v/>
      </c>
      <c r="AF16" s="13">
        <f>AE16+AF14-AF15</f>
        <v/>
      </c>
      <c r="AG16" s="13">
        <f>AF16+AG14-AG15</f>
        <v/>
      </c>
      <c r="AH16" s="13">
        <f>AG16+AH14-AH15</f>
        <v/>
      </c>
      <c r="AI16" s="13">
        <f>AH16+AI14-AI15</f>
        <v/>
      </c>
      <c r="AJ16" s="13">
        <f>AI16+AJ14-AJ15</f>
        <v/>
      </c>
      <c r="AK16" s="13">
        <f>AJ16+AK14-AK15</f>
        <v/>
      </c>
      <c r="AL16" s="13">
        <f>AK16+AL14-AL15</f>
        <v/>
      </c>
      <c r="AM16" s="13">
        <f>AL16+AM14-AM15</f>
        <v/>
      </c>
      <c r="AN16" s="13">
        <f>AM16+AN14-AN15</f>
        <v/>
      </c>
      <c r="AO16" s="13">
        <f>AN16+AO14-AO15</f>
        <v/>
      </c>
      <c r="AP16" s="13">
        <f>AO16+AP14-AP15</f>
        <v/>
      </c>
      <c r="AQ16" s="13">
        <f>AP16+AQ14-AQ15</f>
        <v/>
      </c>
      <c r="AR16" s="13">
        <f>AQ16+AR14-AR15</f>
        <v/>
      </c>
      <c r="AS16" s="13">
        <f>AR16+AS14-AS15</f>
        <v/>
      </c>
      <c r="AT16" s="13">
        <f>AS16+AT14-AT15</f>
        <v/>
      </c>
      <c r="AU16" s="13">
        <f>AT16+AU14-AU15</f>
        <v/>
      </c>
      <c r="AV16" s="13">
        <f>AU16+AV14-AV15</f>
        <v/>
      </c>
      <c r="AW16" s="13">
        <f>AV16+AW14-AW15</f>
        <v/>
      </c>
      <c r="AX16" s="13">
        <f>AW16+AX14-AX15</f>
        <v/>
      </c>
      <c r="AY16" s="13">
        <f>AX16+AY14-AY15</f>
        <v/>
      </c>
      <c r="AZ16" s="13">
        <f>AY16+AZ14-AZ15</f>
        <v/>
      </c>
      <c r="BA16" s="13">
        <f>AZ16+BA14-BA15</f>
        <v/>
      </c>
      <c r="BB16" s="13">
        <f>BA16+BB14-BB15</f>
        <v/>
      </c>
      <c r="BC16" s="13">
        <f>BB16+BC14-BC15</f>
        <v/>
      </c>
      <c r="BD16" s="13">
        <f>BC16+BD14-BD15</f>
        <v/>
      </c>
      <c r="BE16" s="13">
        <f>BD16+BE14-BE15</f>
        <v/>
      </c>
      <c r="BF16" s="13">
        <f>BE16+BF14-BF15</f>
        <v/>
      </c>
      <c r="BG16" s="13">
        <f>BF16+BG14-BG15</f>
        <v/>
      </c>
      <c r="BH16" s="13">
        <f>BG16+BH14-BH15</f>
        <v/>
      </c>
      <c r="BI16" s="13">
        <f>BH16+BI14-BI15</f>
        <v/>
      </c>
      <c r="BJ16" s="13">
        <f>BI16+BJ14-BJ15</f>
        <v/>
      </c>
      <c r="BK16" s="13">
        <f>BJ16+BK14-BK15</f>
        <v/>
      </c>
      <c r="BL16" s="13">
        <f>BK16+BL14-BL15</f>
        <v/>
      </c>
      <c r="BM16" s="13">
        <f>BL16+BM14-BM15</f>
        <v/>
      </c>
      <c r="BN16" s="13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3">
        <f>Inputs!$F$48*IF(AND(Time!J20&gt;=Time!$F$12,Time!J23&lt;Inputs!$F$198),Inputs!$F$267,0)</f>
        <v/>
      </c>
      <c r="K17" s="13">
        <f>Inputs!$F$48*IF(AND(Time!K20&gt;=Time!$F$12,Time!K23&lt;Inputs!$F$198),Inputs!$F$267,0)</f>
        <v/>
      </c>
      <c r="L17" s="13">
        <f>Inputs!$F$48*IF(AND(Time!L20&gt;=Time!$F$12,Time!L23&lt;Inputs!$F$198),Inputs!$F$267,0)</f>
        <v/>
      </c>
      <c r="M17" s="13">
        <f>Inputs!$F$48*IF(AND(Time!M20&gt;=Time!$F$12,Time!M23&lt;Inputs!$F$198),Inputs!$F$267,0)</f>
        <v/>
      </c>
      <c r="N17" s="13">
        <f>Inputs!$F$48*IF(AND(Time!N20&gt;=Time!$F$12,Time!N23&lt;Inputs!$F$198),Inputs!$F$267,0)</f>
        <v/>
      </c>
      <c r="O17" s="13">
        <f>Inputs!$F$48*IF(AND(Time!O20&gt;=Time!$F$12,Time!O23&lt;Inputs!$F$198),Inputs!$F$267,0)</f>
        <v/>
      </c>
      <c r="P17" s="13">
        <f>Inputs!$F$48*IF(AND(Time!P20&gt;=Time!$F$12,Time!P23&lt;Inputs!$F$198),Inputs!$F$267,0)</f>
        <v/>
      </c>
      <c r="Q17" s="13">
        <f>Inputs!$F$48*IF(AND(Time!Q20&gt;=Time!$F$12,Time!Q23&lt;Inputs!$F$198),Inputs!$F$267,0)</f>
        <v/>
      </c>
      <c r="R17" s="13">
        <f>Inputs!$F$48*IF(AND(Time!R20&gt;=Time!$F$12,Time!R23&lt;Inputs!$F$198),Inputs!$F$267,0)</f>
        <v/>
      </c>
      <c r="S17" s="13">
        <f>Inputs!$F$48*IF(AND(Time!S20&gt;=Time!$F$12,Time!S23&lt;Inputs!$F$198),Inputs!$F$267,0)</f>
        <v/>
      </c>
      <c r="T17" s="13">
        <f>Inputs!$F$48*IF(AND(Time!T20&gt;=Time!$F$12,Time!T23&lt;Inputs!$F$198),Inputs!$F$267,0)</f>
        <v/>
      </c>
      <c r="U17" s="13">
        <f>Inputs!$F$48*IF(AND(Time!U20&gt;=Time!$F$12,Time!U23&lt;Inputs!$F$198),Inputs!$F$267,0)</f>
        <v/>
      </c>
      <c r="V17" s="13">
        <f>Inputs!$F$48*IF(AND(Time!V20&gt;=Time!$F$12,Time!V23&lt;Inputs!$F$198),Inputs!$F$267,0)</f>
        <v/>
      </c>
      <c r="W17" s="13">
        <f>Inputs!$F$48*IF(AND(Time!W20&gt;=Time!$F$12,Time!W23&lt;Inputs!$F$198),Inputs!$F$267,0)</f>
        <v/>
      </c>
      <c r="X17" s="13">
        <f>Inputs!$F$48*IF(AND(Time!X20&gt;=Time!$F$12,Time!X23&lt;Inputs!$F$198),Inputs!$F$267,0)</f>
        <v/>
      </c>
      <c r="Y17" s="13">
        <f>Inputs!$F$48*IF(AND(Time!Y20&gt;=Time!$F$12,Time!Y23&lt;Inputs!$F$198),Inputs!$F$267,0)</f>
        <v/>
      </c>
      <c r="Z17" s="13">
        <f>Inputs!$F$48*IF(AND(Time!Z20&gt;=Time!$F$12,Time!Z23&lt;Inputs!$F$198),Inputs!$F$267,0)</f>
        <v/>
      </c>
      <c r="AA17" s="13">
        <f>Inputs!$F$48*IF(AND(Time!AA20&gt;=Time!$F$12,Time!AA23&lt;Inputs!$F$198),Inputs!$F$267,0)</f>
        <v/>
      </c>
      <c r="AB17" s="13">
        <f>Inputs!$F$48*IF(AND(Time!AB20&gt;=Time!$F$12,Time!AB23&lt;Inputs!$F$198),Inputs!$F$267,0)</f>
        <v/>
      </c>
      <c r="AC17" s="13">
        <f>Inputs!$F$48*IF(AND(Time!AC20&gt;=Time!$F$12,Time!AC23&lt;Inputs!$F$198),Inputs!$F$267,0)</f>
        <v/>
      </c>
      <c r="AD17" s="13">
        <f>Inputs!$F$48*IF(AND(Time!AD20&gt;=Time!$F$12,Time!AD23&lt;Inputs!$F$198),Inputs!$F$267,0)</f>
        <v/>
      </c>
      <c r="AE17" s="13">
        <f>Inputs!$F$48*IF(AND(Time!AE20&gt;=Time!$F$12,Time!AE23&lt;Inputs!$F$198),Inputs!$F$267,0)</f>
        <v/>
      </c>
      <c r="AF17" s="13">
        <f>Inputs!$F$48*IF(AND(Time!AF20&gt;=Time!$F$12,Time!AF23&lt;Inputs!$F$198),Inputs!$F$267,0)</f>
        <v/>
      </c>
      <c r="AG17" s="13">
        <f>Inputs!$F$48*IF(AND(Time!AG20&gt;=Time!$F$12,Time!AG23&lt;Inputs!$F$198),Inputs!$F$267,0)</f>
        <v/>
      </c>
      <c r="AH17" s="13">
        <f>Inputs!$F$48*IF(AND(Time!AH20&gt;=Time!$F$12,Time!AH23&lt;Inputs!$F$198),Inputs!$F$267,0)</f>
        <v/>
      </c>
      <c r="AI17" s="13">
        <f>Inputs!$F$48*IF(AND(Time!AI20&gt;=Time!$F$12,Time!AI23&lt;Inputs!$F$198),Inputs!$F$267,0)</f>
        <v/>
      </c>
      <c r="AJ17" s="13">
        <f>Inputs!$F$48*IF(AND(Time!AJ20&gt;=Time!$F$12,Time!AJ23&lt;Inputs!$F$198),Inputs!$F$267,0)</f>
        <v/>
      </c>
      <c r="AK17" s="13">
        <f>Inputs!$F$48*IF(AND(Time!AK20&gt;=Time!$F$12,Time!AK23&lt;Inputs!$F$198),Inputs!$F$267,0)</f>
        <v/>
      </c>
      <c r="AL17" s="13">
        <f>Inputs!$F$48*IF(AND(Time!AL20&gt;=Time!$F$12,Time!AL23&lt;Inputs!$F$198),Inputs!$F$267,0)</f>
        <v/>
      </c>
      <c r="AM17" s="13">
        <f>Inputs!$F$48*IF(AND(Time!AM20&gt;=Time!$F$12,Time!AM23&lt;Inputs!$F$198),Inputs!$F$267,0)</f>
        <v/>
      </c>
      <c r="AN17" s="13">
        <f>Inputs!$F$48*IF(AND(Time!AN20&gt;=Time!$F$12,Time!AN23&lt;Inputs!$F$198),Inputs!$F$267,0)</f>
        <v/>
      </c>
      <c r="AO17" s="13">
        <f>Inputs!$F$48*IF(AND(Time!AO20&gt;=Time!$F$12,Time!AO23&lt;Inputs!$F$198),Inputs!$F$267,0)</f>
        <v/>
      </c>
      <c r="AP17" s="13">
        <f>Inputs!$F$48*IF(AND(Time!AP20&gt;=Time!$F$12,Time!AP23&lt;Inputs!$F$198),Inputs!$F$267,0)</f>
        <v/>
      </c>
      <c r="AQ17" s="13">
        <f>Inputs!$F$48*IF(AND(Time!AQ20&gt;=Time!$F$12,Time!AQ23&lt;Inputs!$F$198),Inputs!$F$267,0)</f>
        <v/>
      </c>
      <c r="AR17" s="13">
        <f>Inputs!$F$48*IF(AND(Time!AR20&gt;=Time!$F$12,Time!AR23&lt;Inputs!$F$198),Inputs!$F$267,0)</f>
        <v/>
      </c>
      <c r="AS17" s="13">
        <f>Inputs!$F$48*IF(AND(Time!AS20&gt;=Time!$F$12,Time!AS23&lt;Inputs!$F$198),Inputs!$F$267,0)</f>
        <v/>
      </c>
      <c r="AT17" s="13">
        <f>Inputs!$F$48*IF(AND(Time!AT20&gt;=Time!$F$12,Time!AT23&lt;Inputs!$F$198),Inputs!$F$267,0)</f>
        <v/>
      </c>
      <c r="AU17" s="13">
        <f>Inputs!$F$48*IF(AND(Time!AU20&gt;=Time!$F$12,Time!AU23&lt;Inputs!$F$198),Inputs!$F$267,0)</f>
        <v/>
      </c>
      <c r="AV17" s="13">
        <f>Inputs!$F$48*IF(AND(Time!AV20&gt;=Time!$F$12,Time!AV23&lt;Inputs!$F$198),Inputs!$F$267,0)</f>
        <v/>
      </c>
      <c r="AW17" s="13">
        <f>Inputs!$F$48*IF(AND(Time!AW20&gt;=Time!$F$12,Time!AW23&lt;Inputs!$F$198),Inputs!$F$267,0)</f>
        <v/>
      </c>
      <c r="AX17" s="13">
        <f>Inputs!$F$48*IF(AND(Time!AX20&gt;=Time!$F$12,Time!AX23&lt;Inputs!$F$198),Inputs!$F$267,0)</f>
        <v/>
      </c>
      <c r="AY17" s="13">
        <f>Inputs!$F$48*IF(AND(Time!AY20&gt;=Time!$F$12,Time!AY23&lt;Inputs!$F$198),Inputs!$F$267,0)</f>
        <v/>
      </c>
      <c r="AZ17" s="13">
        <f>Inputs!$F$48*IF(AND(Time!AZ20&gt;=Time!$F$12,Time!AZ23&lt;Inputs!$F$198),Inputs!$F$267,0)</f>
        <v/>
      </c>
      <c r="BA17" s="13">
        <f>Inputs!$F$48*IF(AND(Time!BA20&gt;=Time!$F$12,Time!BA23&lt;Inputs!$F$198),Inputs!$F$267,0)</f>
        <v/>
      </c>
      <c r="BB17" s="13">
        <f>Inputs!$F$48*IF(AND(Time!BB20&gt;=Time!$F$12,Time!BB23&lt;Inputs!$F$198),Inputs!$F$267,0)</f>
        <v/>
      </c>
      <c r="BC17" s="13">
        <f>Inputs!$F$48*IF(AND(Time!BC20&gt;=Time!$F$12,Time!BC23&lt;Inputs!$F$198),Inputs!$F$267,0)</f>
        <v/>
      </c>
      <c r="BD17" s="13">
        <f>Inputs!$F$48*IF(AND(Time!BD20&gt;=Time!$F$12,Time!BD23&lt;Inputs!$F$198),Inputs!$F$267,0)</f>
        <v/>
      </c>
      <c r="BE17" s="13">
        <f>Inputs!$F$48*IF(AND(Time!BE20&gt;=Time!$F$12,Time!BE23&lt;Inputs!$F$198),Inputs!$F$267,0)</f>
        <v/>
      </c>
      <c r="BF17" s="13">
        <f>Inputs!$F$48*IF(AND(Time!BF20&gt;=Time!$F$12,Time!BF23&lt;Inputs!$F$198),Inputs!$F$267,0)</f>
        <v/>
      </c>
      <c r="BG17" s="13">
        <f>Inputs!$F$48*IF(AND(Time!BG20&gt;=Time!$F$12,Time!BG23&lt;Inputs!$F$198),Inputs!$F$267,0)</f>
        <v/>
      </c>
      <c r="BH17" s="13">
        <f>Inputs!$F$48*IF(AND(Time!BH20&gt;=Time!$F$12,Time!BH23&lt;Inputs!$F$198),Inputs!$F$267,0)</f>
        <v/>
      </c>
      <c r="BI17" s="13">
        <f>Inputs!$F$48*IF(AND(Time!BI20&gt;=Time!$F$12,Time!BI23&lt;Inputs!$F$198),Inputs!$F$267,0)</f>
        <v/>
      </c>
      <c r="BJ17" s="13">
        <f>Inputs!$F$48*IF(AND(Time!BJ20&gt;=Time!$F$12,Time!BJ23&lt;Inputs!$F$198),Inputs!$F$267,0)</f>
        <v/>
      </c>
      <c r="BK17" s="13">
        <f>Inputs!$F$48*IF(AND(Time!BK20&gt;=Time!$F$12,Time!BK23&lt;Inputs!$F$198),Inputs!$F$267,0)</f>
        <v/>
      </c>
      <c r="BL17" s="13">
        <f>Inputs!$F$48*IF(AND(Time!BL20&gt;=Time!$F$12,Time!BL23&lt;Inputs!$F$198),Inputs!$F$267,0)</f>
        <v/>
      </c>
      <c r="BM17" s="13">
        <f>Inputs!$F$48*IF(AND(Time!BM20&gt;=Time!$F$12,Time!BM23&lt;Inputs!$F$198),Inputs!$F$267,0)</f>
        <v/>
      </c>
      <c r="BN17" s="13">
        <f>Inputs!$F$48*IF(AND(Time!BN20&gt;=Time!$F$12,Time!BN23&lt;Inputs!$F$198),Inputs!$F$267,0)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3">
        <f>SUM(J7:BN7)</f>
        <v/>
      </c>
      <c r="J7" s="13">
        <f>Operations!J84-Tax!J27-Operations!J96-Reserves!J7+Operations!J79+Operations!J97</f>
        <v/>
      </c>
      <c r="K7" s="13">
        <f>Operations!K84-Tax!K27-Operations!K96-Reserves!K7+Operations!K79+Operations!K97</f>
        <v/>
      </c>
      <c r="L7" s="13">
        <f>Operations!L84-Tax!L27-Operations!L96-Reserves!L7+Operations!L79+Operations!L97</f>
        <v/>
      </c>
      <c r="M7" s="13">
        <f>Operations!M84-Tax!M27-Operations!M96-Reserves!M7+Operations!M79+Operations!M97</f>
        <v/>
      </c>
      <c r="N7" s="13">
        <f>Operations!N84-Tax!N27-Operations!N96-Reserves!N7+Operations!N79+Operations!N97</f>
        <v/>
      </c>
      <c r="O7" s="13">
        <f>Operations!O84-Tax!O27-Operations!O96-Reserves!O7+Operations!O79+Operations!O97</f>
        <v/>
      </c>
      <c r="P7" s="13">
        <f>Operations!P84-Tax!P27-Operations!P96-Reserves!P7+Operations!P79+Operations!P97</f>
        <v/>
      </c>
      <c r="Q7" s="13">
        <f>Operations!Q84-Tax!Q27-Operations!Q96-Reserves!Q7+Operations!Q79+Operations!Q97</f>
        <v/>
      </c>
      <c r="R7" s="13">
        <f>Operations!R84-Tax!R27-Operations!R96-Reserves!R7+Operations!R79+Operations!R97</f>
        <v/>
      </c>
      <c r="S7" s="13">
        <f>Operations!S84-Tax!S27-Operations!S96-Reserves!S7+Operations!S79+Operations!S97</f>
        <v/>
      </c>
      <c r="T7" s="13">
        <f>Operations!T84-Tax!T27-Operations!T96-Reserves!T7+Operations!T79+Operations!T97</f>
        <v/>
      </c>
      <c r="U7" s="13">
        <f>Operations!U84-Tax!U27-Operations!U96-Reserves!U7+Operations!U79+Operations!U97</f>
        <v/>
      </c>
      <c r="V7" s="13">
        <f>Operations!V84-Tax!V27-Operations!V96-Reserves!V7+Operations!V79+Operations!V97</f>
        <v/>
      </c>
      <c r="W7" s="13">
        <f>Operations!W84-Tax!W27-Operations!W96-Reserves!W7+Operations!W79+Operations!W97</f>
        <v/>
      </c>
      <c r="X7" s="13">
        <f>Operations!X84-Tax!X27-Operations!X96-Reserves!X7+Operations!X79+Operations!X97</f>
        <v/>
      </c>
      <c r="Y7" s="13">
        <f>Operations!Y84-Tax!Y27-Operations!Y96-Reserves!Y7+Operations!Y79+Operations!Y97</f>
        <v/>
      </c>
      <c r="Z7" s="13">
        <f>Operations!Z84-Tax!Z27-Operations!Z96-Reserves!Z7+Operations!Z79+Operations!Z97</f>
        <v/>
      </c>
      <c r="AA7" s="13">
        <f>Operations!AA84-Tax!AA27-Operations!AA96-Reserves!AA7+Operations!AA79+Operations!AA97</f>
        <v/>
      </c>
      <c r="AB7" s="13">
        <f>Operations!AB84-Tax!AB27-Operations!AB96-Reserves!AB7+Operations!AB79+Operations!AB97</f>
        <v/>
      </c>
      <c r="AC7" s="13">
        <f>Operations!AC84-Tax!AC27-Operations!AC96-Reserves!AC7+Operations!AC79+Operations!AC97</f>
        <v/>
      </c>
      <c r="AD7" s="13">
        <f>Operations!AD84-Tax!AD27-Operations!AD96-Reserves!AD7+Operations!AD79+Operations!AD97</f>
        <v/>
      </c>
      <c r="AE7" s="13">
        <f>Operations!AE84-Tax!AE27-Operations!AE96-Reserves!AE7+Operations!AE79+Operations!AE97</f>
        <v/>
      </c>
      <c r="AF7" s="13">
        <f>Operations!AF84-Tax!AF27-Operations!AF96-Reserves!AF7+Operations!AF79+Operations!AF97</f>
        <v/>
      </c>
      <c r="AG7" s="13">
        <f>Operations!AG84-Tax!AG27-Operations!AG96-Reserves!AG7+Operations!AG79+Operations!AG97</f>
        <v/>
      </c>
      <c r="AH7" s="13">
        <f>Operations!AH84-Tax!AH27-Operations!AH96-Reserves!AH7+Operations!AH79+Operations!AH97</f>
        <v/>
      </c>
      <c r="AI7" s="13">
        <f>Operations!AI84-Tax!AI27-Operations!AI96-Reserves!AI7+Operations!AI79+Operations!AI97</f>
        <v/>
      </c>
      <c r="AJ7" s="13">
        <f>Operations!AJ84-Tax!AJ27-Operations!AJ96-Reserves!AJ7+Operations!AJ79+Operations!AJ97</f>
        <v/>
      </c>
      <c r="AK7" s="13">
        <f>Operations!AK84-Tax!AK27-Operations!AK96-Reserves!AK7+Operations!AK79+Operations!AK97</f>
        <v/>
      </c>
      <c r="AL7" s="13">
        <f>Operations!AL84-Tax!AL27-Operations!AL96-Reserves!AL7+Operations!AL79+Operations!AL97</f>
        <v/>
      </c>
      <c r="AM7" s="13">
        <f>Operations!AM84-Tax!AM27-Operations!AM96-Reserves!AM7+Operations!AM79+Operations!AM97</f>
        <v/>
      </c>
      <c r="AN7" s="13">
        <f>Operations!AN84-Tax!AN27-Operations!AN96-Reserves!AN7+Operations!AN79+Operations!AN97</f>
        <v/>
      </c>
      <c r="AO7" s="13">
        <f>Operations!AO84-Tax!AO27-Operations!AO96-Reserves!AO7+Operations!AO79+Operations!AO97</f>
        <v/>
      </c>
      <c r="AP7" s="13">
        <f>Operations!AP84-Tax!AP27-Operations!AP96-Reserves!AP7+Operations!AP79+Operations!AP97</f>
        <v/>
      </c>
      <c r="AQ7" s="13">
        <f>Operations!AQ84-Tax!AQ27-Operations!AQ96-Reserves!AQ7+Operations!AQ79+Operations!AQ97</f>
        <v/>
      </c>
      <c r="AR7" s="13">
        <f>Operations!AR84-Tax!AR27-Operations!AR96-Reserves!AR7+Operations!AR79+Operations!AR97</f>
        <v/>
      </c>
      <c r="AS7" s="13">
        <f>Operations!AS84-Tax!AS27-Operations!AS96-Reserves!AS7+Operations!AS79+Operations!AS97</f>
        <v/>
      </c>
      <c r="AT7" s="13">
        <f>Operations!AT84-Tax!AT27-Operations!AT96-Reserves!AT7+Operations!AT79+Operations!AT97</f>
        <v/>
      </c>
      <c r="AU7" s="13">
        <f>Operations!AU84-Tax!AU27-Operations!AU96-Reserves!AU7+Operations!AU79+Operations!AU97</f>
        <v/>
      </c>
      <c r="AV7" s="13">
        <f>Operations!AV84-Tax!AV27-Operations!AV96-Reserves!AV7+Operations!AV79+Operations!AV97</f>
        <v/>
      </c>
      <c r="AW7" s="13">
        <f>Operations!AW84-Tax!AW27-Operations!AW96-Reserves!AW7+Operations!AW79+Operations!AW97</f>
        <v/>
      </c>
      <c r="AX7" s="13">
        <f>Operations!AX84-Tax!AX27-Operations!AX96-Reserves!AX7+Operations!AX79+Operations!AX97</f>
        <v/>
      </c>
      <c r="AY7" s="13">
        <f>Operations!AY84-Tax!AY27-Operations!AY96-Reserves!AY7+Operations!AY79+Operations!AY97</f>
        <v/>
      </c>
      <c r="AZ7" s="13">
        <f>Operations!AZ84-Tax!AZ27-Operations!AZ96-Reserves!AZ7+Operations!AZ79+Operations!AZ97</f>
        <v/>
      </c>
      <c r="BA7" s="13">
        <f>Operations!BA84-Tax!BA27-Operations!BA96-Reserves!BA7+Operations!BA79+Operations!BA97</f>
        <v/>
      </c>
      <c r="BB7" s="13">
        <f>Operations!BB84-Tax!BB27-Operations!BB96-Reserves!BB7+Operations!BB79+Operations!BB97</f>
        <v/>
      </c>
      <c r="BC7" s="13">
        <f>Operations!BC84-Tax!BC27-Operations!BC96-Reserves!BC7+Operations!BC79+Operations!BC97</f>
        <v/>
      </c>
      <c r="BD7" s="13">
        <f>Operations!BD84-Tax!BD27-Operations!BD96-Reserves!BD7+Operations!BD79+Operations!BD97</f>
        <v/>
      </c>
      <c r="BE7" s="13">
        <f>Operations!BE84-Tax!BE27-Operations!BE96-Reserves!BE7+Operations!BE79+Operations!BE97</f>
        <v/>
      </c>
      <c r="BF7" s="13">
        <f>Operations!BF84-Tax!BF27-Operations!BF96-Reserves!BF7+Operations!BF79+Operations!BF97</f>
        <v/>
      </c>
      <c r="BG7" s="13">
        <f>Operations!BG84-Tax!BG27-Operations!BG96-Reserves!BG7+Operations!BG79+Operations!BG97</f>
        <v/>
      </c>
      <c r="BH7" s="13">
        <f>Operations!BH84-Tax!BH27-Operations!BH96-Reserves!BH7+Operations!BH79+Operations!BH97</f>
        <v/>
      </c>
      <c r="BI7" s="13">
        <f>Operations!BI84-Tax!BI27-Operations!BI96-Reserves!BI7+Operations!BI79+Operations!BI97</f>
        <v/>
      </c>
      <c r="BJ7" s="13">
        <f>Operations!BJ84-Tax!BJ27-Operations!BJ96-Reserves!BJ7+Operations!BJ79+Operations!BJ97</f>
        <v/>
      </c>
      <c r="BK7" s="13">
        <f>Operations!BK84-Tax!BK27-Operations!BK96-Reserves!BK7+Operations!BK79+Operations!BK97</f>
        <v/>
      </c>
      <c r="BL7" s="13">
        <f>Operations!BL84-Tax!BL27-Operations!BL96-Reserves!BL7+Operations!BL79+Operations!BL97</f>
        <v/>
      </c>
      <c r="BM7" s="13">
        <f>Operations!BM84-Tax!BM27-Operations!BM96-Reserves!BM7+Operations!BM79+Operations!BM97</f>
        <v/>
      </c>
      <c r="BN7" s="13">
        <f>Operations!BN84-Tax!BN27-Operations!BN96-Reserves!BN7+Operations!BN79+Operations!BN97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3">
        <f>IF(Time!J34=1,INDEX(Funding!$J$54:$BJ$54,1,Time!$F$14),0)+I30+I42</f>
        <v/>
      </c>
      <c r="K8" s="13">
        <f>IF(Time!K34=1,INDEX(Funding!$J$54:$BJ$54,1,Time!$F$14),0)+J30+J42</f>
        <v/>
      </c>
      <c r="L8" s="13">
        <f>IF(Time!L34=1,INDEX(Funding!$J$54:$BJ$54,1,Time!$F$14),0)+K30+K42</f>
        <v/>
      </c>
      <c r="M8" s="13">
        <f>IF(Time!M34=1,INDEX(Funding!$J$54:$BJ$54,1,Time!$F$14),0)+L30+L42</f>
        <v/>
      </c>
      <c r="N8" s="13">
        <f>IF(Time!N34=1,INDEX(Funding!$J$54:$BJ$54,1,Time!$F$14),0)+M30+M42</f>
        <v/>
      </c>
      <c r="O8" s="13">
        <f>IF(Time!O34=1,INDEX(Funding!$J$54:$BJ$54,1,Time!$F$14),0)+N30+N42</f>
        <v/>
      </c>
      <c r="P8" s="13">
        <f>IF(Time!P34=1,INDEX(Funding!$J$54:$BJ$54,1,Time!$F$14),0)+O30+O42</f>
        <v/>
      </c>
      <c r="Q8" s="13">
        <f>IF(Time!Q34=1,INDEX(Funding!$J$54:$BJ$54,1,Time!$F$14),0)+P30+P42</f>
        <v/>
      </c>
      <c r="R8" s="13">
        <f>IF(Time!R34=1,INDEX(Funding!$J$54:$BJ$54,1,Time!$F$14),0)+Q30+Q42</f>
        <v/>
      </c>
      <c r="S8" s="13">
        <f>IF(Time!S34=1,INDEX(Funding!$J$54:$BJ$54,1,Time!$F$14),0)+R30+R42</f>
        <v/>
      </c>
      <c r="T8" s="13">
        <f>IF(Time!T34=1,INDEX(Funding!$J$54:$BJ$54,1,Time!$F$14),0)+S30+S42</f>
        <v/>
      </c>
      <c r="U8" s="13">
        <f>IF(Time!U34=1,INDEX(Funding!$J$54:$BJ$54,1,Time!$F$14),0)+T30+T42</f>
        <v/>
      </c>
      <c r="V8" s="13">
        <f>IF(Time!V34=1,INDEX(Funding!$J$54:$BJ$54,1,Time!$F$14),0)+U30+U42</f>
        <v/>
      </c>
      <c r="W8" s="13">
        <f>IF(Time!W34=1,INDEX(Funding!$J$54:$BJ$54,1,Time!$F$14),0)+V30+V42</f>
        <v/>
      </c>
      <c r="X8" s="13">
        <f>IF(Time!X34=1,INDEX(Funding!$J$54:$BJ$54,1,Time!$F$14),0)+W30+W42</f>
        <v/>
      </c>
      <c r="Y8" s="13">
        <f>IF(Time!Y34=1,INDEX(Funding!$J$54:$BJ$54,1,Time!$F$14),0)+X30+X42</f>
        <v/>
      </c>
      <c r="Z8" s="13">
        <f>IF(Time!Z34=1,INDEX(Funding!$J$54:$BJ$54,1,Time!$F$14),0)+Y30+Y42</f>
        <v/>
      </c>
      <c r="AA8" s="13">
        <f>IF(Time!AA34=1,INDEX(Funding!$J$54:$BJ$54,1,Time!$F$14),0)+Z30+Z42</f>
        <v/>
      </c>
      <c r="AB8" s="13">
        <f>IF(Time!AB34=1,INDEX(Funding!$J$54:$BJ$54,1,Time!$F$14),0)+AA30+AA42</f>
        <v/>
      </c>
      <c r="AC8" s="13">
        <f>IF(Time!AC34=1,INDEX(Funding!$J$54:$BJ$54,1,Time!$F$14),0)+AB30+AB42</f>
        <v/>
      </c>
      <c r="AD8" s="13">
        <f>IF(Time!AD34=1,INDEX(Funding!$J$54:$BJ$54,1,Time!$F$14),0)+AC30+AC42</f>
        <v/>
      </c>
      <c r="AE8" s="13">
        <f>IF(Time!AE34=1,INDEX(Funding!$J$54:$BJ$54,1,Time!$F$14),0)+AD30+AD42</f>
        <v/>
      </c>
      <c r="AF8" s="13">
        <f>IF(Time!AF34=1,INDEX(Funding!$J$54:$BJ$54,1,Time!$F$14),0)+AE30+AE42</f>
        <v/>
      </c>
      <c r="AG8" s="13">
        <f>IF(Time!AG34=1,INDEX(Funding!$J$54:$BJ$54,1,Time!$F$14),0)+AF30+AF42</f>
        <v/>
      </c>
      <c r="AH8" s="13">
        <f>IF(Time!AH34=1,INDEX(Funding!$J$54:$BJ$54,1,Time!$F$14),0)+AG30+AG42</f>
        <v/>
      </c>
      <c r="AI8" s="13">
        <f>IF(Time!AI34=1,INDEX(Funding!$J$54:$BJ$54,1,Time!$F$14),0)+AH30+AH42</f>
        <v/>
      </c>
      <c r="AJ8" s="13">
        <f>IF(Time!AJ34=1,INDEX(Funding!$J$54:$BJ$54,1,Time!$F$14),0)+AI30+AI42</f>
        <v/>
      </c>
      <c r="AK8" s="13">
        <f>IF(Time!AK34=1,INDEX(Funding!$J$54:$BJ$54,1,Time!$F$14),0)+AJ30+AJ42</f>
        <v/>
      </c>
      <c r="AL8" s="13">
        <f>IF(Time!AL34=1,INDEX(Funding!$J$54:$BJ$54,1,Time!$F$14),0)+AK30+AK42</f>
        <v/>
      </c>
      <c r="AM8" s="13">
        <f>IF(Time!AM34=1,INDEX(Funding!$J$54:$BJ$54,1,Time!$F$14),0)+AL30+AL42</f>
        <v/>
      </c>
      <c r="AN8" s="13">
        <f>IF(Time!AN34=1,INDEX(Funding!$J$54:$BJ$54,1,Time!$F$14),0)+AM30+AM42</f>
        <v/>
      </c>
      <c r="AO8" s="13">
        <f>IF(Time!AO34=1,INDEX(Funding!$J$54:$BJ$54,1,Time!$F$14),0)+AN30+AN42</f>
        <v/>
      </c>
      <c r="AP8" s="13">
        <f>IF(Time!AP34=1,INDEX(Funding!$J$54:$BJ$54,1,Time!$F$14),0)+AO30+AO42</f>
        <v/>
      </c>
      <c r="AQ8" s="13">
        <f>IF(Time!AQ34=1,INDEX(Funding!$J$54:$BJ$54,1,Time!$F$14),0)+AP30+AP42</f>
        <v/>
      </c>
      <c r="AR8" s="13">
        <f>IF(Time!AR34=1,INDEX(Funding!$J$54:$BJ$54,1,Time!$F$14),0)+AQ30+AQ42</f>
        <v/>
      </c>
      <c r="AS8" s="13">
        <f>IF(Time!AS34=1,INDEX(Funding!$J$54:$BJ$54,1,Time!$F$14),0)+AR30+AR42</f>
        <v/>
      </c>
      <c r="AT8" s="13">
        <f>IF(Time!AT34=1,INDEX(Funding!$J$54:$BJ$54,1,Time!$F$14),0)+AS30+AS42</f>
        <v/>
      </c>
      <c r="AU8" s="13">
        <f>IF(Time!AU34=1,INDEX(Funding!$J$54:$BJ$54,1,Time!$F$14),0)+AT30+AT42</f>
        <v/>
      </c>
      <c r="AV8" s="13">
        <f>IF(Time!AV34=1,INDEX(Funding!$J$54:$BJ$54,1,Time!$F$14),0)+AU30+AU42</f>
        <v/>
      </c>
      <c r="AW8" s="13">
        <f>IF(Time!AW34=1,INDEX(Funding!$J$54:$BJ$54,1,Time!$F$14),0)+AV30+AV42</f>
        <v/>
      </c>
      <c r="AX8" s="13">
        <f>IF(Time!AX34=1,INDEX(Funding!$J$54:$BJ$54,1,Time!$F$14),0)+AW30+AW42</f>
        <v/>
      </c>
      <c r="AY8" s="13">
        <f>IF(Time!AY34=1,INDEX(Funding!$J$54:$BJ$54,1,Time!$F$14),0)+AX30+AX42</f>
        <v/>
      </c>
      <c r="AZ8" s="13">
        <f>IF(Time!AZ34=1,INDEX(Funding!$J$54:$BJ$54,1,Time!$F$14),0)+AY30+AY42</f>
        <v/>
      </c>
      <c r="BA8" s="13">
        <f>IF(Time!BA34=1,INDEX(Funding!$J$54:$BJ$54,1,Time!$F$14),0)+AZ30+AZ42</f>
        <v/>
      </c>
      <c r="BB8" s="13">
        <f>IF(Time!BB34=1,INDEX(Funding!$J$54:$BJ$54,1,Time!$F$14),0)+BA30+BA42</f>
        <v/>
      </c>
      <c r="BC8" s="13">
        <f>IF(Time!BC34=1,INDEX(Funding!$J$54:$BJ$54,1,Time!$F$14),0)+BB30+BB42</f>
        <v/>
      </c>
      <c r="BD8" s="13">
        <f>IF(Time!BD34=1,INDEX(Funding!$J$54:$BJ$54,1,Time!$F$14),0)+BC30+BC42</f>
        <v/>
      </c>
      <c r="BE8" s="13">
        <f>IF(Time!BE34=1,INDEX(Funding!$J$54:$BJ$54,1,Time!$F$14),0)+BD30+BD42</f>
        <v/>
      </c>
      <c r="BF8" s="13">
        <f>IF(Time!BF34=1,INDEX(Funding!$J$54:$BJ$54,1,Time!$F$14),0)+BE30+BE42</f>
        <v/>
      </c>
      <c r="BG8" s="13">
        <f>IF(Time!BG34=1,INDEX(Funding!$J$54:$BJ$54,1,Time!$F$14),0)+BF30+BF42</f>
        <v/>
      </c>
      <c r="BH8" s="13">
        <f>IF(Time!BH34=1,INDEX(Funding!$J$54:$BJ$54,1,Time!$F$14),0)+BG30+BG42</f>
        <v/>
      </c>
      <c r="BI8" s="13">
        <f>IF(Time!BI34=1,INDEX(Funding!$J$54:$BJ$54,1,Time!$F$14),0)+BH30+BH42</f>
        <v/>
      </c>
      <c r="BJ8" s="13">
        <f>IF(Time!BJ34=1,INDEX(Funding!$J$54:$BJ$54,1,Time!$F$14),0)+BI30+BI42</f>
        <v/>
      </c>
      <c r="BK8" s="13">
        <f>IF(Time!BK34=1,INDEX(Funding!$J$54:$BJ$54,1,Time!$F$14),0)+BJ30+BJ42</f>
        <v/>
      </c>
      <c r="BL8" s="13">
        <f>IF(Time!BL34=1,INDEX(Funding!$J$54:$BJ$54,1,Time!$F$14),0)+BK30+BK42</f>
        <v/>
      </c>
      <c r="BM8" s="13">
        <f>IF(Time!BM34=1,INDEX(Funding!$J$54:$BJ$54,1,Time!$F$14),0)+BL30+BL42</f>
        <v/>
      </c>
      <c r="BN8" s="13">
        <f>IF(Time!BN34=1,INDEX(Funding!$J$54:$BJ$54,1,Time!$F$14),0)+BM30+BM42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3">
        <f>J7+J8</f>
        <v/>
      </c>
      <c r="K9" s="13">
        <f>K7+K8</f>
        <v/>
      </c>
      <c r="L9" s="13">
        <f>L7+L8</f>
        <v/>
      </c>
      <c r="M9" s="13">
        <f>M7+M8</f>
        <v/>
      </c>
      <c r="N9" s="13">
        <f>N7+N8</f>
        <v/>
      </c>
      <c r="O9" s="13">
        <f>O7+O8</f>
        <v/>
      </c>
      <c r="P9" s="13">
        <f>P7+P8</f>
        <v/>
      </c>
      <c r="Q9" s="13">
        <f>Q7+Q8</f>
        <v/>
      </c>
      <c r="R9" s="13">
        <f>R7+R8</f>
        <v/>
      </c>
      <c r="S9" s="13">
        <f>S7+S8</f>
        <v/>
      </c>
      <c r="T9" s="13">
        <f>T7+T8</f>
        <v/>
      </c>
      <c r="U9" s="13">
        <f>U7+U8</f>
        <v/>
      </c>
      <c r="V9" s="13">
        <f>V7+V8</f>
        <v/>
      </c>
      <c r="W9" s="13">
        <f>W7+W8</f>
        <v/>
      </c>
      <c r="X9" s="13">
        <f>X7+X8</f>
        <v/>
      </c>
      <c r="Y9" s="13">
        <f>Y7+Y8</f>
        <v/>
      </c>
      <c r="Z9" s="13">
        <f>Z7+Z8</f>
        <v/>
      </c>
      <c r="AA9" s="13">
        <f>AA7+AA8</f>
        <v/>
      </c>
      <c r="AB9" s="13">
        <f>AB7+AB8</f>
        <v/>
      </c>
      <c r="AC9" s="13">
        <f>AC7+AC8</f>
        <v/>
      </c>
      <c r="AD9" s="13">
        <f>AD7+AD8</f>
        <v/>
      </c>
      <c r="AE9" s="13">
        <f>AE7+AE8</f>
        <v/>
      </c>
      <c r="AF9" s="13">
        <f>AF7+AF8</f>
        <v/>
      </c>
      <c r="AG9" s="13">
        <f>AG7+AG8</f>
        <v/>
      </c>
      <c r="AH9" s="13">
        <f>AH7+AH8</f>
        <v/>
      </c>
      <c r="AI9" s="13">
        <f>AI7+AI8</f>
        <v/>
      </c>
      <c r="AJ9" s="13">
        <f>AJ7+AJ8</f>
        <v/>
      </c>
      <c r="AK9" s="13">
        <f>AK7+AK8</f>
        <v/>
      </c>
      <c r="AL9" s="13">
        <f>AL7+AL8</f>
        <v/>
      </c>
      <c r="AM9" s="13">
        <f>AM7+AM8</f>
        <v/>
      </c>
      <c r="AN9" s="13">
        <f>AN7+AN8</f>
        <v/>
      </c>
      <c r="AO9" s="13">
        <f>AO7+AO8</f>
        <v/>
      </c>
      <c r="AP9" s="13">
        <f>AP7+AP8</f>
        <v/>
      </c>
      <c r="AQ9" s="13">
        <f>AQ7+AQ8</f>
        <v/>
      </c>
      <c r="AR9" s="13">
        <f>AR7+AR8</f>
        <v/>
      </c>
      <c r="AS9" s="13">
        <f>AS7+AS8</f>
        <v/>
      </c>
      <c r="AT9" s="13">
        <f>AT7+AT8</f>
        <v/>
      </c>
      <c r="AU9" s="13">
        <f>AU7+AU8</f>
        <v/>
      </c>
      <c r="AV9" s="13">
        <f>AV7+AV8</f>
        <v/>
      </c>
      <c r="AW9" s="13">
        <f>AW7+AW8</f>
        <v/>
      </c>
      <c r="AX9" s="13">
        <f>AX7+AX8</f>
        <v/>
      </c>
      <c r="AY9" s="13">
        <f>AY7+AY8</f>
        <v/>
      </c>
      <c r="AZ9" s="13">
        <f>AZ7+AZ8</f>
        <v/>
      </c>
      <c r="BA9" s="13">
        <f>BA7+BA8</f>
        <v/>
      </c>
      <c r="BB9" s="13">
        <f>BB7+BB8</f>
        <v/>
      </c>
      <c r="BC9" s="13">
        <f>BC7+BC8</f>
        <v/>
      </c>
      <c r="BD9" s="13">
        <f>BD7+BD8</f>
        <v/>
      </c>
      <c r="BE9" s="13">
        <f>BE7+BE8</f>
        <v/>
      </c>
      <c r="BF9" s="13">
        <f>BF7+BF8</f>
        <v/>
      </c>
      <c r="BG9" s="13">
        <f>BG7+BG8</f>
        <v/>
      </c>
      <c r="BH9" s="13">
        <f>BH7+BH8</f>
        <v/>
      </c>
      <c r="BI9" s="13">
        <f>BI7+BI8</f>
        <v/>
      </c>
      <c r="BJ9" s="13">
        <f>BJ7+BJ8</f>
        <v/>
      </c>
      <c r="BK9" s="13">
        <f>BK7+BK8</f>
        <v/>
      </c>
      <c r="BL9" s="13">
        <f>BL7+BL8</f>
        <v/>
      </c>
      <c r="BM9" s="13">
        <f>BM7+BM8</f>
        <v/>
      </c>
      <c r="BN9" s="13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3">
        <f>SUM(J10:BN10)</f>
        <v/>
      </c>
      <c r="J10" s="13">
        <f>Debt!J114+Debt!J110</f>
        <v/>
      </c>
      <c r="K10" s="13">
        <f>Debt!K114+Debt!K110</f>
        <v/>
      </c>
      <c r="L10" s="13">
        <f>Debt!L114+Debt!L110</f>
        <v/>
      </c>
      <c r="M10" s="13">
        <f>Debt!M114+Debt!M110</f>
        <v/>
      </c>
      <c r="N10" s="13">
        <f>Debt!N114+Debt!N110</f>
        <v/>
      </c>
      <c r="O10" s="13">
        <f>Debt!O114+Debt!O110</f>
        <v/>
      </c>
      <c r="P10" s="13">
        <f>Debt!P114+Debt!P110</f>
        <v/>
      </c>
      <c r="Q10" s="13">
        <f>Debt!Q114+Debt!Q110</f>
        <v/>
      </c>
      <c r="R10" s="13">
        <f>Debt!R114+Debt!R110</f>
        <v/>
      </c>
      <c r="S10" s="13">
        <f>Debt!S114+Debt!S110</f>
        <v/>
      </c>
      <c r="T10" s="13">
        <f>Debt!T114+Debt!T110</f>
        <v/>
      </c>
      <c r="U10" s="13">
        <f>Debt!U114+Debt!U110</f>
        <v/>
      </c>
      <c r="V10" s="13">
        <f>Debt!V114+Debt!V110</f>
        <v/>
      </c>
      <c r="W10" s="13">
        <f>Debt!W114+Debt!W110</f>
        <v/>
      </c>
      <c r="X10" s="13">
        <f>Debt!X114+Debt!X110</f>
        <v/>
      </c>
      <c r="Y10" s="13">
        <f>Debt!Y114+Debt!Y110</f>
        <v/>
      </c>
      <c r="Z10" s="13">
        <f>Debt!Z114+Debt!Z110</f>
        <v/>
      </c>
      <c r="AA10" s="13">
        <f>Debt!AA114+Debt!AA110</f>
        <v/>
      </c>
      <c r="AB10" s="13">
        <f>Debt!AB114+Debt!AB110</f>
        <v/>
      </c>
      <c r="AC10" s="13">
        <f>Debt!AC114+Debt!AC110</f>
        <v/>
      </c>
      <c r="AD10" s="13">
        <f>Debt!AD114+Debt!AD110</f>
        <v/>
      </c>
      <c r="AE10" s="13">
        <f>Debt!AE114+Debt!AE110</f>
        <v/>
      </c>
      <c r="AF10" s="13">
        <f>Debt!AF114+Debt!AF110</f>
        <v/>
      </c>
      <c r="AG10" s="13">
        <f>Debt!AG114+Debt!AG110</f>
        <v/>
      </c>
      <c r="AH10" s="13">
        <f>Debt!AH114+Debt!AH110</f>
        <v/>
      </c>
      <c r="AI10" s="13">
        <f>Debt!AI114+Debt!AI110</f>
        <v/>
      </c>
      <c r="AJ10" s="13">
        <f>Debt!AJ114+Debt!AJ110</f>
        <v/>
      </c>
      <c r="AK10" s="13">
        <f>Debt!AK114+Debt!AK110</f>
        <v/>
      </c>
      <c r="AL10" s="13">
        <f>Debt!AL114+Debt!AL110</f>
        <v/>
      </c>
      <c r="AM10" s="13">
        <f>Debt!AM114+Debt!AM110</f>
        <v/>
      </c>
      <c r="AN10" s="13">
        <f>Debt!AN114+Debt!AN110</f>
        <v/>
      </c>
      <c r="AO10" s="13">
        <f>Debt!AO114+Debt!AO110</f>
        <v/>
      </c>
      <c r="AP10" s="13">
        <f>Debt!AP114+Debt!AP110</f>
        <v/>
      </c>
      <c r="AQ10" s="13">
        <f>Debt!AQ114+Debt!AQ110</f>
        <v/>
      </c>
      <c r="AR10" s="13">
        <f>Debt!AR114+Debt!AR110</f>
        <v/>
      </c>
      <c r="AS10" s="13">
        <f>Debt!AS114+Debt!AS110</f>
        <v/>
      </c>
      <c r="AT10" s="13">
        <f>Debt!AT114+Debt!AT110</f>
        <v/>
      </c>
      <c r="AU10" s="13">
        <f>Debt!AU114+Debt!AU110</f>
        <v/>
      </c>
      <c r="AV10" s="13">
        <f>Debt!AV114+Debt!AV110</f>
        <v/>
      </c>
      <c r="AW10" s="13">
        <f>Debt!AW114+Debt!AW110</f>
        <v/>
      </c>
      <c r="AX10" s="13">
        <f>Debt!AX114+Debt!AX110</f>
        <v/>
      </c>
      <c r="AY10" s="13">
        <f>Debt!AY114+Debt!AY110</f>
        <v/>
      </c>
      <c r="AZ10" s="13">
        <f>Debt!AZ114+Debt!AZ110</f>
        <v/>
      </c>
      <c r="BA10" s="13">
        <f>Debt!BA114+Debt!BA110</f>
        <v/>
      </c>
      <c r="BB10" s="13">
        <f>Debt!BB114+Debt!BB110</f>
        <v/>
      </c>
      <c r="BC10" s="13">
        <f>Debt!BC114+Debt!BC110</f>
        <v/>
      </c>
      <c r="BD10" s="13">
        <f>Debt!BD114+Debt!BD110</f>
        <v/>
      </c>
      <c r="BE10" s="13">
        <f>Debt!BE114+Debt!BE110</f>
        <v/>
      </c>
      <c r="BF10" s="13">
        <f>Debt!BF114+Debt!BF110</f>
        <v/>
      </c>
      <c r="BG10" s="13">
        <f>Debt!BG114+Debt!BG110</f>
        <v/>
      </c>
      <c r="BH10" s="13">
        <f>Debt!BH114+Debt!BH110</f>
        <v/>
      </c>
      <c r="BI10" s="13">
        <f>Debt!BI114+Debt!BI110</f>
        <v/>
      </c>
      <c r="BJ10" s="13">
        <f>Debt!BJ114+Debt!BJ110</f>
        <v/>
      </c>
      <c r="BK10" s="13">
        <f>Debt!BK114+Debt!BK110</f>
        <v/>
      </c>
      <c r="BL10" s="13">
        <f>Debt!BL114+Debt!BL110</f>
        <v/>
      </c>
      <c r="BM10" s="13">
        <f>Debt!BM114+Debt!BM110</f>
        <v/>
      </c>
      <c r="BN10" s="13">
        <f>Debt!BN114+Debt!BN110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3">
        <f>SUM(J11:BN11)</f>
        <v/>
      </c>
      <c r="J11" s="13">
        <f>MAX(0,J10-J9)</f>
        <v/>
      </c>
      <c r="K11" s="13">
        <f>MAX(0,K10-K9)</f>
        <v/>
      </c>
      <c r="L11" s="13">
        <f>MAX(0,L10-L9)</f>
        <v/>
      </c>
      <c r="M11" s="13">
        <f>MAX(0,M10-M9)</f>
        <v/>
      </c>
      <c r="N11" s="13">
        <f>MAX(0,N10-N9)</f>
        <v/>
      </c>
      <c r="O11" s="13">
        <f>MAX(0,O10-O9)</f>
        <v/>
      </c>
      <c r="P11" s="13">
        <f>MAX(0,P10-P9)</f>
        <v/>
      </c>
      <c r="Q11" s="13">
        <f>MAX(0,Q10-Q9)</f>
        <v/>
      </c>
      <c r="R11" s="13">
        <f>MAX(0,R10-R9)</f>
        <v/>
      </c>
      <c r="S11" s="13">
        <f>MAX(0,S10-S9)</f>
        <v/>
      </c>
      <c r="T11" s="13">
        <f>MAX(0,T10-T9)</f>
        <v/>
      </c>
      <c r="U11" s="13">
        <f>MAX(0,U10-U9)</f>
        <v/>
      </c>
      <c r="V11" s="13">
        <f>MAX(0,V10-V9)</f>
        <v/>
      </c>
      <c r="W11" s="13">
        <f>MAX(0,W10-W9)</f>
        <v/>
      </c>
      <c r="X11" s="13">
        <f>MAX(0,X10-X9)</f>
        <v/>
      </c>
      <c r="Y11" s="13">
        <f>MAX(0,Y10-Y9)</f>
        <v/>
      </c>
      <c r="Z11" s="13">
        <f>MAX(0,Z10-Z9)</f>
        <v/>
      </c>
      <c r="AA11" s="13">
        <f>MAX(0,AA10-AA9)</f>
        <v/>
      </c>
      <c r="AB11" s="13">
        <f>MAX(0,AB10-AB9)</f>
        <v/>
      </c>
      <c r="AC11" s="13">
        <f>MAX(0,AC10-AC9)</f>
        <v/>
      </c>
      <c r="AD11" s="13">
        <f>MAX(0,AD10-AD9)</f>
        <v/>
      </c>
      <c r="AE11" s="13">
        <f>MAX(0,AE10-AE9)</f>
        <v/>
      </c>
      <c r="AF11" s="13">
        <f>MAX(0,AF10-AF9)</f>
        <v/>
      </c>
      <c r="AG11" s="13">
        <f>MAX(0,AG10-AG9)</f>
        <v/>
      </c>
      <c r="AH11" s="13">
        <f>MAX(0,AH10-AH9)</f>
        <v/>
      </c>
      <c r="AI11" s="13">
        <f>MAX(0,AI10-AI9)</f>
        <v/>
      </c>
      <c r="AJ11" s="13">
        <f>MAX(0,AJ10-AJ9)</f>
        <v/>
      </c>
      <c r="AK11" s="13">
        <f>MAX(0,AK10-AK9)</f>
        <v/>
      </c>
      <c r="AL11" s="13">
        <f>MAX(0,AL10-AL9)</f>
        <v/>
      </c>
      <c r="AM11" s="13">
        <f>MAX(0,AM10-AM9)</f>
        <v/>
      </c>
      <c r="AN11" s="13">
        <f>MAX(0,AN10-AN9)</f>
        <v/>
      </c>
      <c r="AO11" s="13">
        <f>MAX(0,AO10-AO9)</f>
        <v/>
      </c>
      <c r="AP11" s="13">
        <f>MAX(0,AP10-AP9)</f>
        <v/>
      </c>
      <c r="AQ11" s="13">
        <f>MAX(0,AQ10-AQ9)</f>
        <v/>
      </c>
      <c r="AR11" s="13">
        <f>MAX(0,AR10-AR9)</f>
        <v/>
      </c>
      <c r="AS11" s="13">
        <f>MAX(0,AS10-AS9)</f>
        <v/>
      </c>
      <c r="AT11" s="13">
        <f>MAX(0,AT10-AT9)</f>
        <v/>
      </c>
      <c r="AU11" s="13">
        <f>MAX(0,AU10-AU9)</f>
        <v/>
      </c>
      <c r="AV11" s="13">
        <f>MAX(0,AV10-AV9)</f>
        <v/>
      </c>
      <c r="AW11" s="13">
        <f>MAX(0,AW10-AW9)</f>
        <v/>
      </c>
      <c r="AX11" s="13">
        <f>MAX(0,AX10-AX9)</f>
        <v/>
      </c>
      <c r="AY11" s="13">
        <f>MAX(0,AY10-AY9)</f>
        <v/>
      </c>
      <c r="AZ11" s="13">
        <f>MAX(0,AZ10-AZ9)</f>
        <v/>
      </c>
      <c r="BA11" s="13">
        <f>MAX(0,BA10-BA9)</f>
        <v/>
      </c>
      <c r="BB11" s="13">
        <f>MAX(0,BB10-BB9)</f>
        <v/>
      </c>
      <c r="BC11" s="13">
        <f>MAX(0,BC10-BC9)</f>
        <v/>
      </c>
      <c r="BD11" s="13">
        <f>MAX(0,BD10-BD9)</f>
        <v/>
      </c>
      <c r="BE11" s="13">
        <f>MAX(0,BE10-BE9)</f>
        <v/>
      </c>
      <c r="BF11" s="13">
        <f>MAX(0,BF10-BF9)</f>
        <v/>
      </c>
      <c r="BG11" s="13">
        <f>MAX(0,BG10-BG9)</f>
        <v/>
      </c>
      <c r="BH11" s="13">
        <f>MAX(0,BH10-BH9)</f>
        <v/>
      </c>
      <c r="BI11" s="13">
        <f>MAX(0,BI10-BI9)</f>
        <v/>
      </c>
      <c r="BJ11" s="13">
        <f>MAX(0,BJ10-BJ9)</f>
        <v/>
      </c>
      <c r="BK11" s="13">
        <f>MAX(0,BK10-BK9)</f>
        <v/>
      </c>
      <c r="BL11" s="13">
        <f>MAX(0,BL10-BL9)</f>
        <v/>
      </c>
      <c r="BM11" s="13">
        <f>MAX(0,BM10-BM9)</f>
        <v/>
      </c>
      <c r="BN11" s="13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3">
        <f>SUM(J12:BN12)</f>
        <v/>
      </c>
      <c r="J12" s="13">
        <f>J11-Reserves!J10</f>
        <v/>
      </c>
      <c r="K12" s="13">
        <f>K11-Reserves!K10</f>
        <v/>
      </c>
      <c r="L12" s="13">
        <f>L11-Reserves!L10</f>
        <v/>
      </c>
      <c r="M12" s="13">
        <f>M11-Reserves!M10</f>
        <v/>
      </c>
      <c r="N12" s="13">
        <f>N11-Reserves!N10</f>
        <v/>
      </c>
      <c r="O12" s="13">
        <f>O11-Reserves!O10</f>
        <v/>
      </c>
      <c r="P12" s="13">
        <f>P11-Reserves!P10</f>
        <v/>
      </c>
      <c r="Q12" s="13">
        <f>Q11-Reserves!Q10</f>
        <v/>
      </c>
      <c r="R12" s="13">
        <f>R11-Reserves!R10</f>
        <v/>
      </c>
      <c r="S12" s="13">
        <f>S11-Reserves!S10</f>
        <v/>
      </c>
      <c r="T12" s="13">
        <f>T11-Reserves!T10</f>
        <v/>
      </c>
      <c r="U12" s="13">
        <f>U11-Reserves!U10</f>
        <v/>
      </c>
      <c r="V12" s="13">
        <f>V11-Reserves!V10</f>
        <v/>
      </c>
      <c r="W12" s="13">
        <f>W11-Reserves!W10</f>
        <v/>
      </c>
      <c r="X12" s="13">
        <f>X11-Reserves!X10</f>
        <v/>
      </c>
      <c r="Y12" s="13">
        <f>Y11-Reserves!Y10</f>
        <v/>
      </c>
      <c r="Z12" s="13">
        <f>Z11-Reserves!Z10</f>
        <v/>
      </c>
      <c r="AA12" s="13">
        <f>AA11-Reserves!AA10</f>
        <v/>
      </c>
      <c r="AB12" s="13">
        <f>AB11-Reserves!AB10</f>
        <v/>
      </c>
      <c r="AC12" s="13">
        <f>AC11-Reserves!AC10</f>
        <v/>
      </c>
      <c r="AD12" s="13">
        <f>AD11-Reserves!AD10</f>
        <v/>
      </c>
      <c r="AE12" s="13">
        <f>AE11-Reserves!AE10</f>
        <v/>
      </c>
      <c r="AF12" s="13">
        <f>AF11-Reserves!AF10</f>
        <v/>
      </c>
      <c r="AG12" s="13">
        <f>AG11-Reserves!AG10</f>
        <v/>
      </c>
      <c r="AH12" s="13">
        <f>AH11-Reserves!AH10</f>
        <v/>
      </c>
      <c r="AI12" s="13">
        <f>AI11-Reserves!AI10</f>
        <v/>
      </c>
      <c r="AJ12" s="13">
        <f>AJ11-Reserves!AJ10</f>
        <v/>
      </c>
      <c r="AK12" s="13">
        <f>AK11-Reserves!AK10</f>
        <v/>
      </c>
      <c r="AL12" s="13">
        <f>AL11-Reserves!AL10</f>
        <v/>
      </c>
      <c r="AM12" s="13">
        <f>AM11-Reserves!AM10</f>
        <v/>
      </c>
      <c r="AN12" s="13">
        <f>AN11-Reserves!AN10</f>
        <v/>
      </c>
      <c r="AO12" s="13">
        <f>AO11-Reserves!AO10</f>
        <v/>
      </c>
      <c r="AP12" s="13">
        <f>AP11-Reserves!AP10</f>
        <v/>
      </c>
      <c r="AQ12" s="13">
        <f>AQ11-Reserves!AQ10</f>
        <v/>
      </c>
      <c r="AR12" s="13">
        <f>AR11-Reserves!AR10</f>
        <v/>
      </c>
      <c r="AS12" s="13">
        <f>AS11-Reserves!AS10</f>
        <v/>
      </c>
      <c r="AT12" s="13">
        <f>AT11-Reserves!AT10</f>
        <v/>
      </c>
      <c r="AU12" s="13">
        <f>AU11-Reserves!AU10</f>
        <v/>
      </c>
      <c r="AV12" s="13">
        <f>AV11-Reserves!AV10</f>
        <v/>
      </c>
      <c r="AW12" s="13">
        <f>AW11-Reserves!AW10</f>
        <v/>
      </c>
      <c r="AX12" s="13">
        <f>AX11-Reserves!AX10</f>
        <v/>
      </c>
      <c r="AY12" s="13">
        <f>AY11-Reserves!AY10</f>
        <v/>
      </c>
      <c r="AZ12" s="13">
        <f>AZ11-Reserves!AZ10</f>
        <v/>
      </c>
      <c r="BA12" s="13">
        <f>BA11-Reserves!BA10</f>
        <v/>
      </c>
      <c r="BB12" s="13">
        <f>BB11-Reserves!BB10</f>
        <v/>
      </c>
      <c r="BC12" s="13">
        <f>BC11-Reserves!BC10</f>
        <v/>
      </c>
      <c r="BD12" s="13">
        <f>BD11-Reserves!BD10</f>
        <v/>
      </c>
      <c r="BE12" s="13">
        <f>BE11-Reserves!BE10</f>
        <v/>
      </c>
      <c r="BF12" s="13">
        <f>BF11-Reserves!BF10</f>
        <v/>
      </c>
      <c r="BG12" s="13">
        <f>BG11-Reserves!BG10</f>
        <v/>
      </c>
      <c r="BH12" s="13">
        <f>BH11-Reserves!BH10</f>
        <v/>
      </c>
      <c r="BI12" s="13">
        <f>BI11-Reserves!BI10</f>
        <v/>
      </c>
      <c r="BJ12" s="13">
        <f>BJ11-Reserves!BJ10</f>
        <v/>
      </c>
      <c r="BK12" s="13">
        <f>BK11-Reserves!BK10</f>
        <v/>
      </c>
      <c r="BL12" s="13">
        <f>BL11-Reserves!BL10</f>
        <v/>
      </c>
      <c r="BM12" s="13">
        <f>BM11-Reserves!BM10</f>
        <v/>
      </c>
      <c r="BN12" s="13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3">
        <f>MAX(0,J9-J10)</f>
        <v/>
      </c>
      <c r="K13" s="13">
        <f>MAX(0,K9-K10)</f>
        <v/>
      </c>
      <c r="L13" s="13">
        <f>MAX(0,L9-L10)</f>
        <v/>
      </c>
      <c r="M13" s="13">
        <f>MAX(0,M9-M10)</f>
        <v/>
      </c>
      <c r="N13" s="13">
        <f>MAX(0,N9-N10)</f>
        <v/>
      </c>
      <c r="O13" s="13">
        <f>MAX(0,O9-O10)</f>
        <v/>
      </c>
      <c r="P13" s="13">
        <f>MAX(0,P9-P10)</f>
        <v/>
      </c>
      <c r="Q13" s="13">
        <f>MAX(0,Q9-Q10)</f>
        <v/>
      </c>
      <c r="R13" s="13">
        <f>MAX(0,R9-R10)</f>
        <v/>
      </c>
      <c r="S13" s="13">
        <f>MAX(0,S9-S10)</f>
        <v/>
      </c>
      <c r="T13" s="13">
        <f>MAX(0,T9-T10)</f>
        <v/>
      </c>
      <c r="U13" s="13">
        <f>MAX(0,U9-U10)</f>
        <v/>
      </c>
      <c r="V13" s="13">
        <f>MAX(0,V9-V10)</f>
        <v/>
      </c>
      <c r="W13" s="13">
        <f>MAX(0,W9-W10)</f>
        <v/>
      </c>
      <c r="X13" s="13">
        <f>MAX(0,X9-X10)</f>
        <v/>
      </c>
      <c r="Y13" s="13">
        <f>MAX(0,Y9-Y10)</f>
        <v/>
      </c>
      <c r="Z13" s="13">
        <f>MAX(0,Z9-Z10)</f>
        <v/>
      </c>
      <c r="AA13" s="13">
        <f>MAX(0,AA9-AA10)</f>
        <v/>
      </c>
      <c r="AB13" s="13">
        <f>MAX(0,AB9-AB10)</f>
        <v/>
      </c>
      <c r="AC13" s="13">
        <f>MAX(0,AC9-AC10)</f>
        <v/>
      </c>
      <c r="AD13" s="13">
        <f>MAX(0,AD9-AD10)</f>
        <v/>
      </c>
      <c r="AE13" s="13">
        <f>MAX(0,AE9-AE10)</f>
        <v/>
      </c>
      <c r="AF13" s="13">
        <f>MAX(0,AF9-AF10)</f>
        <v/>
      </c>
      <c r="AG13" s="13">
        <f>MAX(0,AG9-AG10)</f>
        <v/>
      </c>
      <c r="AH13" s="13">
        <f>MAX(0,AH9-AH10)</f>
        <v/>
      </c>
      <c r="AI13" s="13">
        <f>MAX(0,AI9-AI10)</f>
        <v/>
      </c>
      <c r="AJ13" s="13">
        <f>MAX(0,AJ9-AJ10)</f>
        <v/>
      </c>
      <c r="AK13" s="13">
        <f>MAX(0,AK9-AK10)</f>
        <v/>
      </c>
      <c r="AL13" s="13">
        <f>MAX(0,AL9-AL10)</f>
        <v/>
      </c>
      <c r="AM13" s="13">
        <f>MAX(0,AM9-AM10)</f>
        <v/>
      </c>
      <c r="AN13" s="13">
        <f>MAX(0,AN9-AN10)</f>
        <v/>
      </c>
      <c r="AO13" s="13">
        <f>MAX(0,AO9-AO10)</f>
        <v/>
      </c>
      <c r="AP13" s="13">
        <f>MAX(0,AP9-AP10)</f>
        <v/>
      </c>
      <c r="AQ13" s="13">
        <f>MAX(0,AQ9-AQ10)</f>
        <v/>
      </c>
      <c r="AR13" s="13">
        <f>MAX(0,AR9-AR10)</f>
        <v/>
      </c>
      <c r="AS13" s="13">
        <f>MAX(0,AS9-AS10)</f>
        <v/>
      </c>
      <c r="AT13" s="13">
        <f>MAX(0,AT9-AT10)</f>
        <v/>
      </c>
      <c r="AU13" s="13">
        <f>MAX(0,AU9-AU10)</f>
        <v/>
      </c>
      <c r="AV13" s="13">
        <f>MAX(0,AV9-AV10)</f>
        <v/>
      </c>
      <c r="AW13" s="13">
        <f>MAX(0,AW9-AW10)</f>
        <v/>
      </c>
      <c r="AX13" s="13">
        <f>MAX(0,AX9-AX10)</f>
        <v/>
      </c>
      <c r="AY13" s="13">
        <f>MAX(0,AY9-AY10)</f>
        <v/>
      </c>
      <c r="AZ13" s="13">
        <f>MAX(0,AZ9-AZ10)</f>
        <v/>
      </c>
      <c r="BA13" s="13">
        <f>MAX(0,BA9-BA10)</f>
        <v/>
      </c>
      <c r="BB13" s="13">
        <f>MAX(0,BB9-BB10)</f>
        <v/>
      </c>
      <c r="BC13" s="13">
        <f>MAX(0,BC9-BC10)</f>
        <v/>
      </c>
      <c r="BD13" s="13">
        <f>MAX(0,BD9-BD10)</f>
        <v/>
      </c>
      <c r="BE13" s="13">
        <f>MAX(0,BE9-BE10)</f>
        <v/>
      </c>
      <c r="BF13" s="13">
        <f>MAX(0,BF9-BF10)</f>
        <v/>
      </c>
      <c r="BG13" s="13">
        <f>MAX(0,BG9-BG10)</f>
        <v/>
      </c>
      <c r="BH13" s="13">
        <f>MAX(0,BH9-BH10)</f>
        <v/>
      </c>
      <c r="BI13" s="13">
        <f>MAX(0,BI9-BI10)</f>
        <v/>
      </c>
      <c r="BJ13" s="13">
        <f>MAX(0,BJ9-BJ10)</f>
        <v/>
      </c>
      <c r="BK13" s="13">
        <f>MAX(0,BK9-BK10)</f>
        <v/>
      </c>
      <c r="BL13" s="13">
        <f>MAX(0,BL9-BL10)</f>
        <v/>
      </c>
      <c r="BM13" s="13">
        <f>MAX(0,BM9-BM10)</f>
        <v/>
      </c>
      <c r="BN13" s="13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3">
        <f>J13-Reserves!J11+Reserves!J12</f>
        <v/>
      </c>
      <c r="K14" s="13">
        <f>K13-Reserves!K11+Reserves!K12</f>
        <v/>
      </c>
      <c r="L14" s="13">
        <f>L13-Reserves!L11+Reserves!L12</f>
        <v/>
      </c>
      <c r="M14" s="13">
        <f>M13-Reserves!M11+Reserves!M12</f>
        <v/>
      </c>
      <c r="N14" s="13">
        <f>N13-Reserves!N11+Reserves!N12</f>
        <v/>
      </c>
      <c r="O14" s="13">
        <f>O13-Reserves!O11+Reserves!O12</f>
        <v/>
      </c>
      <c r="P14" s="13">
        <f>P13-Reserves!P11+Reserves!P12</f>
        <v/>
      </c>
      <c r="Q14" s="13">
        <f>Q13-Reserves!Q11+Reserves!Q12</f>
        <v/>
      </c>
      <c r="R14" s="13">
        <f>R13-Reserves!R11+Reserves!R12</f>
        <v/>
      </c>
      <c r="S14" s="13">
        <f>S13-Reserves!S11+Reserves!S12</f>
        <v/>
      </c>
      <c r="T14" s="13">
        <f>T13-Reserves!T11+Reserves!T12</f>
        <v/>
      </c>
      <c r="U14" s="13">
        <f>U13-Reserves!U11+Reserves!U12</f>
        <v/>
      </c>
      <c r="V14" s="13">
        <f>V13-Reserves!V11+Reserves!V12</f>
        <v/>
      </c>
      <c r="W14" s="13">
        <f>W13-Reserves!W11+Reserves!W12</f>
        <v/>
      </c>
      <c r="X14" s="13">
        <f>X13-Reserves!X11+Reserves!X12</f>
        <v/>
      </c>
      <c r="Y14" s="13">
        <f>Y13-Reserves!Y11+Reserves!Y12</f>
        <v/>
      </c>
      <c r="Z14" s="13">
        <f>Z13-Reserves!Z11+Reserves!Z12</f>
        <v/>
      </c>
      <c r="AA14" s="13">
        <f>AA13-Reserves!AA11+Reserves!AA12</f>
        <v/>
      </c>
      <c r="AB14" s="13">
        <f>AB13-Reserves!AB11+Reserves!AB12</f>
        <v/>
      </c>
      <c r="AC14" s="13">
        <f>AC13-Reserves!AC11+Reserves!AC12</f>
        <v/>
      </c>
      <c r="AD14" s="13">
        <f>AD13-Reserves!AD11+Reserves!AD12</f>
        <v/>
      </c>
      <c r="AE14" s="13">
        <f>AE13-Reserves!AE11+Reserves!AE12</f>
        <v/>
      </c>
      <c r="AF14" s="13">
        <f>AF13-Reserves!AF11+Reserves!AF12</f>
        <v/>
      </c>
      <c r="AG14" s="13">
        <f>AG13-Reserves!AG11+Reserves!AG12</f>
        <v/>
      </c>
      <c r="AH14" s="13">
        <f>AH13-Reserves!AH11+Reserves!AH12</f>
        <v/>
      </c>
      <c r="AI14" s="13">
        <f>AI13-Reserves!AI11+Reserves!AI12</f>
        <v/>
      </c>
      <c r="AJ14" s="13">
        <f>AJ13-Reserves!AJ11+Reserves!AJ12</f>
        <v/>
      </c>
      <c r="AK14" s="13">
        <f>AK13-Reserves!AK11+Reserves!AK12</f>
        <v/>
      </c>
      <c r="AL14" s="13">
        <f>AL13-Reserves!AL11+Reserves!AL12</f>
        <v/>
      </c>
      <c r="AM14" s="13">
        <f>AM13-Reserves!AM11+Reserves!AM12</f>
        <v/>
      </c>
      <c r="AN14" s="13">
        <f>AN13-Reserves!AN11+Reserves!AN12</f>
        <v/>
      </c>
      <c r="AO14" s="13">
        <f>AO13-Reserves!AO11+Reserves!AO12</f>
        <v/>
      </c>
      <c r="AP14" s="13">
        <f>AP13-Reserves!AP11+Reserves!AP12</f>
        <v/>
      </c>
      <c r="AQ14" s="13">
        <f>AQ13-Reserves!AQ11+Reserves!AQ12</f>
        <v/>
      </c>
      <c r="AR14" s="13">
        <f>AR13-Reserves!AR11+Reserves!AR12</f>
        <v/>
      </c>
      <c r="AS14" s="13">
        <f>AS13-Reserves!AS11+Reserves!AS12</f>
        <v/>
      </c>
      <c r="AT14" s="13">
        <f>AT13-Reserves!AT11+Reserves!AT12</f>
        <v/>
      </c>
      <c r="AU14" s="13">
        <f>AU13-Reserves!AU11+Reserves!AU12</f>
        <v/>
      </c>
      <c r="AV14" s="13">
        <f>AV13-Reserves!AV11+Reserves!AV12</f>
        <v/>
      </c>
      <c r="AW14" s="13">
        <f>AW13-Reserves!AW11+Reserves!AW12</f>
        <v/>
      </c>
      <c r="AX14" s="13">
        <f>AX13-Reserves!AX11+Reserves!AX12</f>
        <v/>
      </c>
      <c r="AY14" s="13">
        <f>AY13-Reserves!AY11+Reserves!AY12</f>
        <v/>
      </c>
      <c r="AZ14" s="13">
        <f>AZ13-Reserves!AZ11+Reserves!AZ12</f>
        <v/>
      </c>
      <c r="BA14" s="13">
        <f>BA13-Reserves!BA11+Reserves!BA12</f>
        <v/>
      </c>
      <c r="BB14" s="13">
        <f>BB13-Reserves!BB11+Reserves!BB12</f>
        <v/>
      </c>
      <c r="BC14" s="13">
        <f>BC13-Reserves!BC11+Reserves!BC12</f>
        <v/>
      </c>
      <c r="BD14" s="13">
        <f>BD13-Reserves!BD11+Reserves!BD12</f>
        <v/>
      </c>
      <c r="BE14" s="13">
        <f>BE13-Reserves!BE11+Reserves!BE12</f>
        <v/>
      </c>
      <c r="BF14" s="13">
        <f>BF13-Reserves!BF11+Reserves!BF12</f>
        <v/>
      </c>
      <c r="BG14" s="13">
        <f>BG13-Reserves!BG11+Reserves!BG12</f>
        <v/>
      </c>
      <c r="BH14" s="13">
        <f>BH13-Reserves!BH11+Reserves!BH12</f>
        <v/>
      </c>
      <c r="BI14" s="13">
        <f>BI13-Reserves!BI11+Reserves!BI12</f>
        <v/>
      </c>
      <c r="BJ14" s="13">
        <f>BJ13-Reserves!BJ11+Reserves!BJ12</f>
        <v/>
      </c>
      <c r="BK14" s="13">
        <f>BK13-Reserves!BK11+Reserves!BK12</f>
        <v/>
      </c>
      <c r="BL14" s="13">
        <f>BL13-Reserves!BL11+Reserves!BL12</f>
        <v/>
      </c>
      <c r="BM14" s="13">
        <f>BM13-Reserves!BM11+Reserves!BM12</f>
        <v/>
      </c>
      <c r="BN14" s="13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3">
        <f>J14-Reserves!J14+Reserves!J15</f>
        <v/>
      </c>
      <c r="K15" s="13">
        <f>K14-Reserves!K14+Reserves!K15</f>
        <v/>
      </c>
      <c r="L15" s="13">
        <f>L14-Reserves!L14+Reserves!L15</f>
        <v/>
      </c>
      <c r="M15" s="13">
        <f>M14-Reserves!M14+Reserves!M15</f>
        <v/>
      </c>
      <c r="N15" s="13">
        <f>N14-Reserves!N14+Reserves!N15</f>
        <v/>
      </c>
      <c r="O15" s="13">
        <f>O14-Reserves!O14+Reserves!O15</f>
        <v/>
      </c>
      <c r="P15" s="13">
        <f>P14-Reserves!P14+Reserves!P15</f>
        <v/>
      </c>
      <c r="Q15" s="13">
        <f>Q14-Reserves!Q14+Reserves!Q15</f>
        <v/>
      </c>
      <c r="R15" s="13">
        <f>R14-Reserves!R14+Reserves!R15</f>
        <v/>
      </c>
      <c r="S15" s="13">
        <f>S14-Reserves!S14+Reserves!S15</f>
        <v/>
      </c>
      <c r="T15" s="13">
        <f>T14-Reserves!T14+Reserves!T15</f>
        <v/>
      </c>
      <c r="U15" s="13">
        <f>U14-Reserves!U14+Reserves!U15</f>
        <v/>
      </c>
      <c r="V15" s="13">
        <f>V14-Reserves!V14+Reserves!V15</f>
        <v/>
      </c>
      <c r="W15" s="13">
        <f>W14-Reserves!W14+Reserves!W15</f>
        <v/>
      </c>
      <c r="X15" s="13">
        <f>X14-Reserves!X14+Reserves!X15</f>
        <v/>
      </c>
      <c r="Y15" s="13">
        <f>Y14-Reserves!Y14+Reserves!Y15</f>
        <v/>
      </c>
      <c r="Z15" s="13">
        <f>Z14-Reserves!Z14+Reserves!Z15</f>
        <v/>
      </c>
      <c r="AA15" s="13">
        <f>AA14-Reserves!AA14+Reserves!AA15</f>
        <v/>
      </c>
      <c r="AB15" s="13">
        <f>AB14-Reserves!AB14+Reserves!AB15</f>
        <v/>
      </c>
      <c r="AC15" s="13">
        <f>AC14-Reserves!AC14+Reserves!AC15</f>
        <v/>
      </c>
      <c r="AD15" s="13">
        <f>AD14-Reserves!AD14+Reserves!AD15</f>
        <v/>
      </c>
      <c r="AE15" s="13">
        <f>AE14-Reserves!AE14+Reserves!AE15</f>
        <v/>
      </c>
      <c r="AF15" s="13">
        <f>AF14-Reserves!AF14+Reserves!AF15</f>
        <v/>
      </c>
      <c r="AG15" s="13">
        <f>AG14-Reserves!AG14+Reserves!AG15</f>
        <v/>
      </c>
      <c r="AH15" s="13">
        <f>AH14-Reserves!AH14+Reserves!AH15</f>
        <v/>
      </c>
      <c r="AI15" s="13">
        <f>AI14-Reserves!AI14+Reserves!AI15</f>
        <v/>
      </c>
      <c r="AJ15" s="13">
        <f>AJ14-Reserves!AJ14+Reserves!AJ15</f>
        <v/>
      </c>
      <c r="AK15" s="13">
        <f>AK14-Reserves!AK14+Reserves!AK15</f>
        <v/>
      </c>
      <c r="AL15" s="13">
        <f>AL14-Reserves!AL14+Reserves!AL15</f>
        <v/>
      </c>
      <c r="AM15" s="13">
        <f>AM14-Reserves!AM14+Reserves!AM15</f>
        <v/>
      </c>
      <c r="AN15" s="13">
        <f>AN14-Reserves!AN14+Reserves!AN15</f>
        <v/>
      </c>
      <c r="AO15" s="13">
        <f>AO14-Reserves!AO14+Reserves!AO15</f>
        <v/>
      </c>
      <c r="AP15" s="13">
        <f>AP14-Reserves!AP14+Reserves!AP15</f>
        <v/>
      </c>
      <c r="AQ15" s="13">
        <f>AQ14-Reserves!AQ14+Reserves!AQ15</f>
        <v/>
      </c>
      <c r="AR15" s="13">
        <f>AR14-Reserves!AR14+Reserves!AR15</f>
        <v/>
      </c>
      <c r="AS15" s="13">
        <f>AS14-Reserves!AS14+Reserves!AS15</f>
        <v/>
      </c>
      <c r="AT15" s="13">
        <f>AT14-Reserves!AT14+Reserves!AT15</f>
        <v/>
      </c>
      <c r="AU15" s="13">
        <f>AU14-Reserves!AU14+Reserves!AU15</f>
        <v/>
      </c>
      <c r="AV15" s="13">
        <f>AV14-Reserves!AV14+Reserves!AV15</f>
        <v/>
      </c>
      <c r="AW15" s="13">
        <f>AW14-Reserves!AW14+Reserves!AW15</f>
        <v/>
      </c>
      <c r="AX15" s="13">
        <f>AX14-Reserves!AX14+Reserves!AX15</f>
        <v/>
      </c>
      <c r="AY15" s="13">
        <f>AY14-Reserves!AY14+Reserves!AY15</f>
        <v/>
      </c>
      <c r="AZ15" s="13">
        <f>AZ14-Reserves!AZ14+Reserves!AZ15</f>
        <v/>
      </c>
      <c r="BA15" s="13">
        <f>BA14-Reserves!BA14+Reserves!BA15</f>
        <v/>
      </c>
      <c r="BB15" s="13">
        <f>BB14-Reserves!BB14+Reserves!BB15</f>
        <v/>
      </c>
      <c r="BC15" s="13">
        <f>BC14-Reserves!BC14+Reserves!BC15</f>
        <v/>
      </c>
      <c r="BD15" s="13">
        <f>BD14-Reserves!BD14+Reserves!BD15</f>
        <v/>
      </c>
      <c r="BE15" s="13">
        <f>BE14-Reserves!BE14+Reserves!BE15</f>
        <v/>
      </c>
      <c r="BF15" s="13">
        <f>BF14-Reserves!BF14+Reserves!BF15</f>
        <v/>
      </c>
      <c r="BG15" s="13">
        <f>BG14-Reserves!BG14+Reserves!BG15</f>
        <v/>
      </c>
      <c r="BH15" s="13">
        <f>BH14-Reserves!BH14+Reserves!BH15</f>
        <v/>
      </c>
      <c r="BI15" s="13">
        <f>BI14-Reserves!BI14+Reserves!BI15</f>
        <v/>
      </c>
      <c r="BJ15" s="13">
        <f>BJ14-Reserves!BJ14+Reserves!BJ15</f>
        <v/>
      </c>
      <c r="BK15" s="13">
        <f>BK14-Reserves!BK14+Reserves!BK15</f>
        <v/>
      </c>
      <c r="BL15" s="13">
        <f>BL14-Reserves!BL14+Reserves!BL15</f>
        <v/>
      </c>
      <c r="BM15" s="13">
        <f>BM14-Reserves!BM14+Reserves!BM15</f>
        <v/>
      </c>
      <c r="BN15" s="13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IF(Debt!J114&gt;Inputs!$F$253,J7/Debt!J114,0)</f>
        <v/>
      </c>
      <c r="K17" s="6">
        <f>IF(Debt!K114&gt;Inputs!$F$253,K7/Debt!K114,0)</f>
        <v/>
      </c>
      <c r="L17" s="6">
        <f>IF(Debt!L114&gt;Inputs!$F$253,L7/Debt!L114,0)</f>
        <v/>
      </c>
      <c r="M17" s="6">
        <f>IF(Debt!M114&gt;Inputs!$F$253,M7/Debt!M114,0)</f>
        <v/>
      </c>
      <c r="N17" s="6">
        <f>IF(Debt!N114&gt;Inputs!$F$253,N7/Debt!N114,0)</f>
        <v/>
      </c>
      <c r="O17" s="6">
        <f>IF(Debt!O114&gt;Inputs!$F$253,O7/Debt!O114,0)</f>
        <v/>
      </c>
      <c r="P17" s="6">
        <f>IF(Debt!P114&gt;Inputs!$F$253,P7/Debt!P114,0)</f>
        <v/>
      </c>
      <c r="Q17" s="6">
        <f>IF(Debt!Q114&gt;Inputs!$F$253,Q7/Debt!Q114,0)</f>
        <v/>
      </c>
      <c r="R17" s="6">
        <f>IF(Debt!R114&gt;Inputs!$F$253,R7/Debt!R114,0)</f>
        <v/>
      </c>
      <c r="S17" s="6">
        <f>IF(Debt!S114&gt;Inputs!$F$253,S7/Debt!S114,0)</f>
        <v/>
      </c>
      <c r="T17" s="6">
        <f>IF(Debt!T114&gt;Inputs!$F$253,T7/Debt!T114,0)</f>
        <v/>
      </c>
      <c r="U17" s="6">
        <f>IF(Debt!U114&gt;Inputs!$F$253,U7/Debt!U114,0)</f>
        <v/>
      </c>
      <c r="V17" s="6">
        <f>IF(Debt!V114&gt;Inputs!$F$253,V7/Debt!V114,0)</f>
        <v/>
      </c>
      <c r="W17" s="6">
        <f>IF(Debt!W114&gt;Inputs!$F$253,W7/Debt!W114,0)</f>
        <v/>
      </c>
      <c r="X17" s="6">
        <f>IF(Debt!X114&gt;Inputs!$F$253,X7/Debt!X114,0)</f>
        <v/>
      </c>
      <c r="Y17" s="6">
        <f>IF(Debt!Y114&gt;Inputs!$F$253,Y7/Debt!Y114,0)</f>
        <v/>
      </c>
      <c r="Z17" s="6">
        <f>IF(Debt!Z114&gt;Inputs!$F$253,Z7/Debt!Z114,0)</f>
        <v/>
      </c>
      <c r="AA17" s="6">
        <f>IF(Debt!AA114&gt;Inputs!$F$253,AA7/Debt!AA114,0)</f>
        <v/>
      </c>
      <c r="AB17" s="6">
        <f>IF(Debt!AB114&gt;Inputs!$F$253,AB7/Debt!AB114,0)</f>
        <v/>
      </c>
      <c r="AC17" s="6">
        <f>IF(Debt!AC114&gt;Inputs!$F$253,AC7/Debt!AC114,0)</f>
        <v/>
      </c>
      <c r="AD17" s="6">
        <f>IF(Debt!AD114&gt;Inputs!$F$253,AD7/Debt!AD114,0)</f>
        <v/>
      </c>
      <c r="AE17" s="6">
        <f>IF(Debt!AE114&gt;Inputs!$F$253,AE7/Debt!AE114,0)</f>
        <v/>
      </c>
      <c r="AF17" s="6">
        <f>IF(Debt!AF114&gt;Inputs!$F$253,AF7/Debt!AF114,0)</f>
        <v/>
      </c>
      <c r="AG17" s="6">
        <f>IF(Debt!AG114&gt;Inputs!$F$253,AG7/Debt!AG114,0)</f>
        <v/>
      </c>
      <c r="AH17" s="6">
        <f>IF(Debt!AH114&gt;Inputs!$F$253,AH7/Debt!AH114,0)</f>
        <v/>
      </c>
      <c r="AI17" s="6">
        <f>IF(Debt!AI114&gt;Inputs!$F$253,AI7/Debt!AI114,0)</f>
        <v/>
      </c>
      <c r="AJ17" s="6">
        <f>IF(Debt!AJ114&gt;Inputs!$F$253,AJ7/Debt!AJ114,0)</f>
        <v/>
      </c>
      <c r="AK17" s="6">
        <f>IF(Debt!AK114&gt;Inputs!$F$253,AK7/Debt!AK114,0)</f>
        <v/>
      </c>
      <c r="AL17" s="6">
        <f>IF(Debt!AL114&gt;Inputs!$F$253,AL7/Debt!AL114,0)</f>
        <v/>
      </c>
      <c r="AM17" s="6">
        <f>IF(Debt!AM114&gt;Inputs!$F$253,AM7/Debt!AM114,0)</f>
        <v/>
      </c>
      <c r="AN17" s="6">
        <f>IF(Debt!AN114&gt;Inputs!$F$253,AN7/Debt!AN114,0)</f>
        <v/>
      </c>
      <c r="AO17" s="6">
        <f>IF(Debt!AO114&gt;Inputs!$F$253,AO7/Debt!AO114,0)</f>
        <v/>
      </c>
      <c r="AP17" s="6">
        <f>IF(Debt!AP114&gt;Inputs!$F$253,AP7/Debt!AP114,0)</f>
        <v/>
      </c>
      <c r="AQ17" s="6">
        <f>IF(Debt!AQ114&gt;Inputs!$F$253,AQ7/Debt!AQ114,0)</f>
        <v/>
      </c>
      <c r="AR17" s="6">
        <f>IF(Debt!AR114&gt;Inputs!$F$253,AR7/Debt!AR114,0)</f>
        <v/>
      </c>
      <c r="AS17" s="6">
        <f>IF(Debt!AS114&gt;Inputs!$F$253,AS7/Debt!AS114,0)</f>
        <v/>
      </c>
      <c r="AT17" s="6">
        <f>IF(Debt!AT114&gt;Inputs!$F$253,AT7/Debt!AT114,0)</f>
        <v/>
      </c>
      <c r="AU17" s="6">
        <f>IF(Debt!AU114&gt;Inputs!$F$253,AU7/Debt!AU114,0)</f>
        <v/>
      </c>
      <c r="AV17" s="6">
        <f>IF(Debt!AV114&gt;Inputs!$F$253,AV7/Debt!AV114,0)</f>
        <v/>
      </c>
      <c r="AW17" s="6">
        <f>IF(Debt!AW114&gt;Inputs!$F$253,AW7/Debt!AW114,0)</f>
        <v/>
      </c>
      <c r="AX17" s="6">
        <f>IF(Debt!AX114&gt;Inputs!$F$253,AX7/Debt!AX114,0)</f>
        <v/>
      </c>
      <c r="AY17" s="6">
        <f>IF(Debt!AY114&gt;Inputs!$F$253,AY7/Debt!AY114,0)</f>
        <v/>
      </c>
      <c r="AZ17" s="6">
        <f>IF(Debt!AZ114&gt;Inputs!$F$253,AZ7/Debt!AZ114,0)</f>
        <v/>
      </c>
      <c r="BA17" s="6">
        <f>IF(Debt!BA114&gt;Inputs!$F$253,BA7/Debt!BA114,0)</f>
        <v/>
      </c>
      <c r="BB17" s="6">
        <f>IF(Debt!BB114&gt;Inputs!$F$253,BB7/Debt!BB114,0)</f>
        <v/>
      </c>
      <c r="BC17" s="6">
        <f>IF(Debt!BC114&gt;Inputs!$F$253,BC7/Debt!BC114,0)</f>
        <v/>
      </c>
      <c r="BD17" s="6">
        <f>IF(Debt!BD114&gt;Inputs!$F$253,BD7/Debt!BD114,0)</f>
        <v/>
      </c>
      <c r="BE17" s="6">
        <f>IF(Debt!BE114&gt;Inputs!$F$253,BE7/Debt!BE114,0)</f>
        <v/>
      </c>
      <c r="BF17" s="6">
        <f>IF(Debt!BF114&gt;Inputs!$F$253,BF7/Debt!BF114,0)</f>
        <v/>
      </c>
      <c r="BG17" s="6">
        <f>IF(Debt!BG114&gt;Inputs!$F$253,BG7/Debt!BG114,0)</f>
        <v/>
      </c>
      <c r="BH17" s="6">
        <f>IF(Debt!BH114&gt;Inputs!$F$253,BH7/Debt!BH114,0)</f>
        <v/>
      </c>
      <c r="BI17" s="6">
        <f>IF(Debt!BI114&gt;Inputs!$F$253,BI7/Debt!BI114,0)</f>
        <v/>
      </c>
      <c r="BJ17" s="6">
        <f>IF(Debt!BJ114&gt;Inputs!$F$253,BJ7/Debt!BJ114,0)</f>
        <v/>
      </c>
      <c r="BK17" s="6">
        <f>IF(Debt!BK114&gt;Inputs!$F$253,BK7/Debt!BK114,0)</f>
        <v/>
      </c>
      <c r="BL17" s="6">
        <f>IF(Debt!BL114&gt;Inputs!$F$253,BL7/Debt!BL114,0)</f>
        <v/>
      </c>
      <c r="BM17" s="6">
        <f>IF(Debt!BM114&gt;Inputs!$F$253,BM7/Debt!BM114,0)</f>
        <v/>
      </c>
      <c r="BN17" s="6">
        <f>IF(Debt!BN114&gt;Inputs!$F$253,BN7/Debt!BN114,0)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IF(Debt!J114&gt;Inputs!$F$253,IF(Debt!I114&gt;Inputs!$F$253,(J7+I7)/(Debt!J114+Debt!I114),J17),0)</f>
        <v/>
      </c>
      <c r="K18" s="6">
        <f>IF(Debt!K114&gt;Inputs!$F$253,IF(Debt!J114&gt;Inputs!$F$253,(K7+J7)/(Debt!K114+Debt!J114),K17),0)</f>
        <v/>
      </c>
      <c r="L18" s="6">
        <f>IF(Debt!L114&gt;Inputs!$F$253,IF(Debt!K114&gt;Inputs!$F$253,(L7+K7)/(Debt!L114+Debt!K114),L17),0)</f>
        <v/>
      </c>
      <c r="M18" s="6">
        <f>IF(Debt!M114&gt;Inputs!$F$253,IF(Debt!L114&gt;Inputs!$F$253,(M7+L7)/(Debt!M114+Debt!L114),M17),0)</f>
        <v/>
      </c>
      <c r="N18" s="6">
        <f>IF(Debt!N114&gt;Inputs!$F$253,IF(Debt!M114&gt;Inputs!$F$253,(N7+M7)/(Debt!N114+Debt!M114),N17),0)</f>
        <v/>
      </c>
      <c r="O18" s="6">
        <f>IF(Debt!O114&gt;Inputs!$F$253,IF(Debt!N114&gt;Inputs!$F$253,(O7+N7)/(Debt!O114+Debt!N114),O17),0)</f>
        <v/>
      </c>
      <c r="P18" s="6">
        <f>IF(Debt!P114&gt;Inputs!$F$253,IF(Debt!O114&gt;Inputs!$F$253,(P7+O7)/(Debt!P114+Debt!O114),P17),0)</f>
        <v/>
      </c>
      <c r="Q18" s="6">
        <f>IF(Debt!Q114&gt;Inputs!$F$253,IF(Debt!P114&gt;Inputs!$F$253,(Q7+P7)/(Debt!Q114+Debt!P114),Q17),0)</f>
        <v/>
      </c>
      <c r="R18" s="6">
        <f>IF(Debt!R114&gt;Inputs!$F$253,IF(Debt!Q114&gt;Inputs!$F$253,(R7+Q7)/(Debt!R114+Debt!Q114),R17),0)</f>
        <v/>
      </c>
      <c r="S18" s="6">
        <f>IF(Debt!S114&gt;Inputs!$F$253,IF(Debt!R114&gt;Inputs!$F$253,(S7+R7)/(Debt!S114+Debt!R114),S17),0)</f>
        <v/>
      </c>
      <c r="T18" s="6">
        <f>IF(Debt!T114&gt;Inputs!$F$253,IF(Debt!S114&gt;Inputs!$F$253,(T7+S7)/(Debt!T114+Debt!S114),T17),0)</f>
        <v/>
      </c>
      <c r="U18" s="6">
        <f>IF(Debt!U114&gt;Inputs!$F$253,IF(Debt!T114&gt;Inputs!$F$253,(U7+T7)/(Debt!U114+Debt!T114),U17),0)</f>
        <v/>
      </c>
      <c r="V18" s="6">
        <f>IF(Debt!V114&gt;Inputs!$F$253,IF(Debt!U114&gt;Inputs!$F$253,(V7+U7)/(Debt!V114+Debt!U114),V17),0)</f>
        <v/>
      </c>
      <c r="W18" s="6">
        <f>IF(Debt!W114&gt;Inputs!$F$253,IF(Debt!V114&gt;Inputs!$F$253,(W7+V7)/(Debt!W114+Debt!V114),W17),0)</f>
        <v/>
      </c>
      <c r="X18" s="6">
        <f>IF(Debt!X114&gt;Inputs!$F$253,IF(Debt!W114&gt;Inputs!$F$253,(X7+W7)/(Debt!X114+Debt!W114),X17),0)</f>
        <v/>
      </c>
      <c r="Y18" s="6">
        <f>IF(Debt!Y114&gt;Inputs!$F$253,IF(Debt!X114&gt;Inputs!$F$253,(Y7+X7)/(Debt!Y114+Debt!X114),Y17),0)</f>
        <v/>
      </c>
      <c r="Z18" s="6">
        <f>IF(Debt!Z114&gt;Inputs!$F$253,IF(Debt!Y114&gt;Inputs!$F$253,(Z7+Y7)/(Debt!Z114+Debt!Y114),Z17),0)</f>
        <v/>
      </c>
      <c r="AA18" s="6">
        <f>IF(Debt!AA114&gt;Inputs!$F$253,IF(Debt!Z114&gt;Inputs!$F$253,(AA7+Z7)/(Debt!AA114+Debt!Z114),AA17),0)</f>
        <v/>
      </c>
      <c r="AB18" s="6">
        <f>IF(Debt!AB114&gt;Inputs!$F$253,IF(Debt!AA114&gt;Inputs!$F$253,(AB7+AA7)/(Debt!AB114+Debt!AA114),AB17),0)</f>
        <v/>
      </c>
      <c r="AC18" s="6">
        <f>IF(Debt!AC114&gt;Inputs!$F$253,IF(Debt!AB114&gt;Inputs!$F$253,(AC7+AB7)/(Debt!AC114+Debt!AB114),AC17),0)</f>
        <v/>
      </c>
      <c r="AD18" s="6">
        <f>IF(Debt!AD114&gt;Inputs!$F$253,IF(Debt!AC114&gt;Inputs!$F$253,(AD7+AC7)/(Debt!AD114+Debt!AC114),AD17),0)</f>
        <v/>
      </c>
      <c r="AE18" s="6">
        <f>IF(Debt!AE114&gt;Inputs!$F$253,IF(Debt!AD114&gt;Inputs!$F$253,(AE7+AD7)/(Debt!AE114+Debt!AD114),AE17),0)</f>
        <v/>
      </c>
      <c r="AF18" s="6">
        <f>IF(Debt!AF114&gt;Inputs!$F$253,IF(Debt!AE114&gt;Inputs!$F$253,(AF7+AE7)/(Debt!AF114+Debt!AE114),AF17),0)</f>
        <v/>
      </c>
      <c r="AG18" s="6">
        <f>IF(Debt!AG114&gt;Inputs!$F$253,IF(Debt!AF114&gt;Inputs!$F$253,(AG7+AF7)/(Debt!AG114+Debt!AF114),AG17),0)</f>
        <v/>
      </c>
      <c r="AH18" s="6">
        <f>IF(Debt!AH114&gt;Inputs!$F$253,IF(Debt!AG114&gt;Inputs!$F$253,(AH7+AG7)/(Debt!AH114+Debt!AG114),AH17),0)</f>
        <v/>
      </c>
      <c r="AI18" s="6">
        <f>IF(Debt!AI114&gt;Inputs!$F$253,IF(Debt!AH114&gt;Inputs!$F$253,(AI7+AH7)/(Debt!AI114+Debt!AH114),AI17),0)</f>
        <v/>
      </c>
      <c r="AJ18" s="6">
        <f>IF(Debt!AJ114&gt;Inputs!$F$253,IF(Debt!AI114&gt;Inputs!$F$253,(AJ7+AI7)/(Debt!AJ114+Debt!AI114),AJ17),0)</f>
        <v/>
      </c>
      <c r="AK18" s="6">
        <f>IF(Debt!AK114&gt;Inputs!$F$253,IF(Debt!AJ114&gt;Inputs!$F$253,(AK7+AJ7)/(Debt!AK114+Debt!AJ114),AK17),0)</f>
        <v/>
      </c>
      <c r="AL18" s="6">
        <f>IF(Debt!AL114&gt;Inputs!$F$253,IF(Debt!AK114&gt;Inputs!$F$253,(AL7+AK7)/(Debt!AL114+Debt!AK114),AL17),0)</f>
        <v/>
      </c>
      <c r="AM18" s="6">
        <f>IF(Debt!AM114&gt;Inputs!$F$253,IF(Debt!AL114&gt;Inputs!$F$253,(AM7+AL7)/(Debt!AM114+Debt!AL114),AM17),0)</f>
        <v/>
      </c>
      <c r="AN18" s="6">
        <f>IF(Debt!AN114&gt;Inputs!$F$253,IF(Debt!AM114&gt;Inputs!$F$253,(AN7+AM7)/(Debt!AN114+Debt!AM114),AN17),0)</f>
        <v/>
      </c>
      <c r="AO18" s="6">
        <f>IF(Debt!AO114&gt;Inputs!$F$253,IF(Debt!AN114&gt;Inputs!$F$253,(AO7+AN7)/(Debt!AO114+Debt!AN114),AO17),0)</f>
        <v/>
      </c>
      <c r="AP18" s="6">
        <f>IF(Debt!AP114&gt;Inputs!$F$253,IF(Debt!AO114&gt;Inputs!$F$253,(AP7+AO7)/(Debt!AP114+Debt!AO114),AP17),0)</f>
        <v/>
      </c>
      <c r="AQ18" s="6">
        <f>IF(Debt!AQ114&gt;Inputs!$F$253,IF(Debt!AP114&gt;Inputs!$F$253,(AQ7+AP7)/(Debt!AQ114+Debt!AP114),AQ17),0)</f>
        <v/>
      </c>
      <c r="AR18" s="6">
        <f>IF(Debt!AR114&gt;Inputs!$F$253,IF(Debt!AQ114&gt;Inputs!$F$253,(AR7+AQ7)/(Debt!AR114+Debt!AQ114),AR17),0)</f>
        <v/>
      </c>
      <c r="AS18" s="6">
        <f>IF(Debt!AS114&gt;Inputs!$F$253,IF(Debt!AR114&gt;Inputs!$F$253,(AS7+AR7)/(Debt!AS114+Debt!AR114),AS17),0)</f>
        <v/>
      </c>
      <c r="AT18" s="6">
        <f>IF(Debt!AT114&gt;Inputs!$F$253,IF(Debt!AS114&gt;Inputs!$F$253,(AT7+AS7)/(Debt!AT114+Debt!AS114),AT17),0)</f>
        <v/>
      </c>
      <c r="AU18" s="6">
        <f>IF(Debt!AU114&gt;Inputs!$F$253,IF(Debt!AT114&gt;Inputs!$F$253,(AU7+AT7)/(Debt!AU114+Debt!AT114),AU17),0)</f>
        <v/>
      </c>
      <c r="AV18" s="6">
        <f>IF(Debt!AV114&gt;Inputs!$F$253,IF(Debt!AU114&gt;Inputs!$F$253,(AV7+AU7)/(Debt!AV114+Debt!AU114),AV17),0)</f>
        <v/>
      </c>
      <c r="AW18" s="6">
        <f>IF(Debt!AW114&gt;Inputs!$F$253,IF(Debt!AV114&gt;Inputs!$F$253,(AW7+AV7)/(Debt!AW114+Debt!AV114),AW17),0)</f>
        <v/>
      </c>
      <c r="AX18" s="6">
        <f>IF(Debt!AX114&gt;Inputs!$F$253,IF(Debt!AW114&gt;Inputs!$F$253,(AX7+AW7)/(Debt!AX114+Debt!AW114),AX17),0)</f>
        <v/>
      </c>
      <c r="AY18" s="6">
        <f>IF(Debt!AY114&gt;Inputs!$F$253,IF(Debt!AX114&gt;Inputs!$F$253,(AY7+AX7)/(Debt!AY114+Debt!AX114),AY17),0)</f>
        <v/>
      </c>
      <c r="AZ18" s="6">
        <f>IF(Debt!AZ114&gt;Inputs!$F$253,IF(Debt!AY114&gt;Inputs!$F$253,(AZ7+AY7)/(Debt!AZ114+Debt!AY114),AZ17),0)</f>
        <v/>
      </c>
      <c r="BA18" s="6">
        <f>IF(Debt!BA114&gt;Inputs!$F$253,IF(Debt!AZ114&gt;Inputs!$F$253,(BA7+AZ7)/(Debt!BA114+Debt!AZ114),BA17),0)</f>
        <v/>
      </c>
      <c r="BB18" s="6">
        <f>IF(Debt!BB114&gt;Inputs!$F$253,IF(Debt!BA114&gt;Inputs!$F$253,(BB7+BA7)/(Debt!BB114+Debt!BA114),BB17),0)</f>
        <v/>
      </c>
      <c r="BC18" s="6">
        <f>IF(Debt!BC114&gt;Inputs!$F$253,IF(Debt!BB114&gt;Inputs!$F$253,(BC7+BB7)/(Debt!BC114+Debt!BB114),BC17),0)</f>
        <v/>
      </c>
      <c r="BD18" s="6">
        <f>IF(Debt!BD114&gt;Inputs!$F$253,IF(Debt!BC114&gt;Inputs!$F$253,(BD7+BC7)/(Debt!BD114+Debt!BC114),BD17),0)</f>
        <v/>
      </c>
      <c r="BE18" s="6">
        <f>IF(Debt!BE114&gt;Inputs!$F$253,IF(Debt!BD114&gt;Inputs!$F$253,(BE7+BD7)/(Debt!BE114+Debt!BD114),BE17),0)</f>
        <v/>
      </c>
      <c r="BF18" s="6">
        <f>IF(Debt!BF114&gt;Inputs!$F$253,IF(Debt!BE114&gt;Inputs!$F$253,(BF7+BE7)/(Debt!BF114+Debt!BE114),BF17),0)</f>
        <v/>
      </c>
      <c r="BG18" s="6">
        <f>IF(Debt!BG114&gt;Inputs!$F$253,IF(Debt!BF114&gt;Inputs!$F$253,(BG7+BF7)/(Debt!BG114+Debt!BF114),BG17),0)</f>
        <v/>
      </c>
      <c r="BH18" s="6">
        <f>IF(Debt!BH114&gt;Inputs!$F$253,IF(Debt!BG114&gt;Inputs!$F$253,(BH7+BG7)/(Debt!BH114+Debt!BG114),BH17),0)</f>
        <v/>
      </c>
      <c r="BI18" s="6">
        <f>IF(Debt!BI114&gt;Inputs!$F$253,IF(Debt!BH114&gt;Inputs!$F$253,(BI7+BH7)/(Debt!BI114+Debt!BH114),BI17),0)</f>
        <v/>
      </c>
      <c r="BJ18" s="6">
        <f>IF(Debt!BJ114&gt;Inputs!$F$253,IF(Debt!BI114&gt;Inputs!$F$253,(BJ7+BI7)/(Debt!BJ114+Debt!BI114),BJ17),0)</f>
        <v/>
      </c>
      <c r="BK18" s="6">
        <f>IF(Debt!BK114&gt;Inputs!$F$253,IF(Debt!BJ114&gt;Inputs!$F$253,(BK7+BJ7)/(Debt!BK114+Debt!BJ114),BK17),0)</f>
        <v/>
      </c>
      <c r="BL18" s="6">
        <f>IF(Debt!BL114&gt;Inputs!$F$253,IF(Debt!BK114&gt;Inputs!$F$253,(BL7+BK7)/(Debt!BL114+Debt!BK114),BL17),0)</f>
        <v/>
      </c>
      <c r="BM18" s="6">
        <f>IF(Debt!BM114&gt;Inputs!$F$253,IF(Debt!BL114&gt;Inputs!$F$253,(BM7+BL7)/(Debt!BM114+Debt!BL114),BM17),0)</f>
        <v/>
      </c>
      <c r="BN18" s="6">
        <f>IF(Debt!BN114&gt;Inputs!$F$253,IF(Debt!BM114&gt;Inputs!$F$253,(BN7+BM7)/(Debt!BN114+Debt!BM114),BN17),0)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10">
        <f>IF(SUM(Debt!J$113:J$113)&gt;Inputs!$F$253,1,0)</f>
        <v/>
      </c>
      <c r="K19" s="10">
        <f>IF(SUM(Debt!$J$113:K$113)&gt;Inputs!$F$253,1,0)</f>
        <v/>
      </c>
      <c r="L19" s="10">
        <f>IF(SUM(Debt!$J$113:L$113)&gt;Inputs!$F$253,1,0)</f>
        <v/>
      </c>
      <c r="M19" s="10">
        <f>IF(SUM(Debt!$J$113:M$113)&gt;Inputs!$F$253,1,0)</f>
        <v/>
      </c>
      <c r="N19" s="10">
        <f>IF(SUM(Debt!$J$113:N$113)&gt;Inputs!$F$253,1,0)</f>
        <v/>
      </c>
      <c r="O19" s="10">
        <f>IF(SUM(Debt!$J$113:O$113)&gt;Inputs!$F$253,1,0)</f>
        <v/>
      </c>
      <c r="P19" s="10">
        <f>IF(SUM(Debt!$J$113:P$113)&gt;Inputs!$F$253,1,0)</f>
        <v/>
      </c>
      <c r="Q19" s="10">
        <f>IF(SUM(Debt!$J$113:Q$113)&gt;Inputs!$F$253,1,0)</f>
        <v/>
      </c>
      <c r="R19" s="10">
        <f>IF(SUM(Debt!$J$113:R$113)&gt;Inputs!$F$253,1,0)</f>
        <v/>
      </c>
      <c r="S19" s="10">
        <f>IF(SUM(Debt!$J$113:S$113)&gt;Inputs!$F$253,1,0)</f>
        <v/>
      </c>
      <c r="T19" s="10">
        <f>IF(SUM(Debt!$J$113:T$113)&gt;Inputs!$F$253,1,0)</f>
        <v/>
      </c>
      <c r="U19" s="10">
        <f>IF(SUM(Debt!$J$113:U$113)&gt;Inputs!$F$253,1,0)</f>
        <v/>
      </c>
      <c r="V19" s="10">
        <f>IF(SUM(Debt!$J$113:V$113)&gt;Inputs!$F$253,1,0)</f>
        <v/>
      </c>
      <c r="W19" s="10">
        <f>IF(SUM(Debt!$J$113:W$113)&gt;Inputs!$F$253,1,0)</f>
        <v/>
      </c>
      <c r="X19" s="10">
        <f>IF(SUM(Debt!$J$113:X$113)&gt;Inputs!$F$253,1,0)</f>
        <v/>
      </c>
      <c r="Y19" s="10">
        <f>IF(SUM(Debt!$J$113:Y$113)&gt;Inputs!$F$253,1,0)</f>
        <v/>
      </c>
      <c r="Z19" s="10">
        <f>IF(SUM(Debt!$J$113:Z$113)&gt;Inputs!$F$253,1,0)</f>
        <v/>
      </c>
      <c r="AA19" s="10">
        <f>IF(SUM(Debt!$J$113:AA$113)&gt;Inputs!$F$253,1,0)</f>
        <v/>
      </c>
      <c r="AB19" s="10">
        <f>IF(SUM(Debt!$J$113:AB$113)&gt;Inputs!$F$253,1,0)</f>
        <v/>
      </c>
      <c r="AC19" s="10">
        <f>IF(SUM(Debt!$J$113:AC$113)&gt;Inputs!$F$253,1,0)</f>
        <v/>
      </c>
      <c r="AD19" s="10">
        <f>IF(SUM(Debt!$J$113:AD$113)&gt;Inputs!$F$253,1,0)</f>
        <v/>
      </c>
      <c r="AE19" s="10">
        <f>IF(SUM(Debt!$J$113:AE$113)&gt;Inputs!$F$253,1,0)</f>
        <v/>
      </c>
      <c r="AF19" s="10">
        <f>IF(SUM(Debt!$J$113:AF$113)&gt;Inputs!$F$253,1,0)</f>
        <v/>
      </c>
      <c r="AG19" s="10">
        <f>IF(SUM(Debt!$J$113:AG$113)&gt;Inputs!$F$253,1,0)</f>
        <v/>
      </c>
      <c r="AH19" s="10">
        <f>IF(SUM(Debt!$J$113:AH$113)&gt;Inputs!$F$253,1,0)</f>
        <v/>
      </c>
      <c r="AI19" s="10">
        <f>IF(SUM(Debt!$J$113:AI$113)&gt;Inputs!$F$253,1,0)</f>
        <v/>
      </c>
      <c r="AJ19" s="10">
        <f>IF(SUM(Debt!$J$113:AJ$113)&gt;Inputs!$F$253,1,0)</f>
        <v/>
      </c>
      <c r="AK19" s="10">
        <f>IF(SUM(Debt!$J$113:AK$113)&gt;Inputs!$F$253,1,0)</f>
        <v/>
      </c>
      <c r="AL19" s="10">
        <f>IF(SUM(Debt!$J$113:AL$113)&gt;Inputs!$F$253,1,0)</f>
        <v/>
      </c>
      <c r="AM19" s="10">
        <f>IF(SUM(Debt!$J$113:AM$113)&gt;Inputs!$F$253,1,0)</f>
        <v/>
      </c>
      <c r="AN19" s="10">
        <f>IF(SUM(Debt!$J$113:AN$113)&gt;Inputs!$F$253,1,0)</f>
        <v/>
      </c>
      <c r="AO19" s="10">
        <f>IF(SUM(Debt!$J$113:AO$113)&gt;Inputs!$F$253,1,0)</f>
        <v/>
      </c>
      <c r="AP19" s="10">
        <f>IF(SUM(Debt!$J$113:AP$113)&gt;Inputs!$F$253,1,0)</f>
        <v/>
      </c>
      <c r="AQ19" s="10">
        <f>IF(SUM(Debt!$J$113:AQ$113)&gt;Inputs!$F$253,1,0)</f>
        <v/>
      </c>
      <c r="AR19" s="10">
        <f>IF(SUM(Debt!$J$113:AR$113)&gt;Inputs!$F$253,1,0)</f>
        <v/>
      </c>
      <c r="AS19" s="10">
        <f>IF(SUM(Debt!$J$113:AS$113)&gt;Inputs!$F$253,1,0)</f>
        <v/>
      </c>
      <c r="AT19" s="10">
        <f>IF(SUM(Debt!$J$113:AT$113)&gt;Inputs!$F$253,1,0)</f>
        <v/>
      </c>
      <c r="AU19" s="10">
        <f>IF(SUM(Debt!$J$113:AU$113)&gt;Inputs!$F$253,1,0)</f>
        <v/>
      </c>
      <c r="AV19" s="10">
        <f>IF(SUM(Debt!$J$113:AV$113)&gt;Inputs!$F$253,1,0)</f>
        <v/>
      </c>
      <c r="AW19" s="10">
        <f>IF(SUM(Debt!$J$113:AW$113)&gt;Inputs!$F$253,1,0)</f>
        <v/>
      </c>
      <c r="AX19" s="10">
        <f>IF(SUM(Debt!$J$113:AX$113)&gt;Inputs!$F$253,1,0)</f>
        <v/>
      </c>
      <c r="AY19" s="10">
        <f>IF(SUM(Debt!$J$113:AY$113)&gt;Inputs!$F$253,1,0)</f>
        <v/>
      </c>
      <c r="AZ19" s="10">
        <f>IF(SUM(Debt!$J$113:AZ$113)&gt;Inputs!$F$253,1,0)</f>
        <v/>
      </c>
      <c r="BA19" s="10">
        <f>IF(SUM(Debt!$J$113:BA$113)&gt;Inputs!$F$253,1,0)</f>
        <v/>
      </c>
      <c r="BB19" s="10">
        <f>IF(SUM(Debt!$J$113:BB$113)&gt;Inputs!$F$253,1,0)</f>
        <v/>
      </c>
      <c r="BC19" s="10">
        <f>IF(SUM(Debt!$J$113:BC$113)&gt;Inputs!$F$253,1,0)</f>
        <v/>
      </c>
      <c r="BD19" s="10">
        <f>IF(SUM(Debt!$J$113:BD$113)&gt;Inputs!$F$253,1,0)</f>
        <v/>
      </c>
      <c r="BE19" s="10">
        <f>IF(SUM(Debt!$J$113:BE$113)&gt;Inputs!$F$253,1,0)</f>
        <v/>
      </c>
      <c r="BF19" s="10">
        <f>IF(SUM(Debt!$J$113:BF$113)&gt;Inputs!$F$253,1,0)</f>
        <v/>
      </c>
      <c r="BG19" s="10">
        <f>IF(SUM(Debt!$J$113:BG$113)&gt;Inputs!$F$253,1,0)</f>
        <v/>
      </c>
      <c r="BH19" s="10">
        <f>IF(SUM(Debt!$J$113:BH$113)&gt;Inputs!$F$253,1,0)</f>
        <v/>
      </c>
      <c r="BI19" s="10">
        <f>IF(SUM(Debt!$J$113:BI$113)&gt;Inputs!$F$253,1,0)</f>
        <v/>
      </c>
      <c r="BJ19" s="10">
        <f>IF(SUM(Debt!$J$113:BJ$113)&gt;Inputs!$F$253,1,0)</f>
        <v/>
      </c>
      <c r="BK19" s="10">
        <f>IF(SUM(Debt!$J$113:BK$113)&gt;Inputs!$F$253,1,0)</f>
        <v/>
      </c>
      <c r="BL19" s="10">
        <f>IF(SUM(Debt!$J$113:BL$113)&gt;Inputs!$F$253,1,0)</f>
        <v/>
      </c>
      <c r="BM19" s="10">
        <f>IF(SUM(Debt!$J$113:BM$113)&gt;Inputs!$F$253,1,0)</f>
        <v/>
      </c>
      <c r="BN19" s="10">
        <f>IF(SUM(Debt!$J$113:BN$113)&gt;Inputs!$F$253,1,0)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10">
        <f>IF(AND(Debt!J114&gt;Inputs!$F$253,J18&lt;Inputs!$F$109),1,0)</f>
        <v/>
      </c>
      <c r="K20" s="10">
        <f>IF(AND(Debt!K114&gt;Inputs!$F$253,K18&lt;Inputs!$F$109),1,0)</f>
        <v/>
      </c>
      <c r="L20" s="10">
        <f>IF(AND(Debt!L114&gt;Inputs!$F$253,L18&lt;Inputs!$F$109),1,0)</f>
        <v/>
      </c>
      <c r="M20" s="10">
        <f>IF(AND(Debt!M114&gt;Inputs!$F$253,M18&lt;Inputs!$F$109),1,0)</f>
        <v/>
      </c>
      <c r="N20" s="10">
        <f>IF(AND(Debt!N114&gt;Inputs!$F$253,N18&lt;Inputs!$F$109),1,0)</f>
        <v/>
      </c>
      <c r="O20" s="10">
        <f>IF(AND(Debt!O114&gt;Inputs!$F$253,O18&lt;Inputs!$F$109),1,0)</f>
        <v/>
      </c>
      <c r="P20" s="10">
        <f>IF(AND(Debt!P114&gt;Inputs!$F$253,P18&lt;Inputs!$F$109),1,0)</f>
        <v/>
      </c>
      <c r="Q20" s="10">
        <f>IF(AND(Debt!Q114&gt;Inputs!$F$253,Q18&lt;Inputs!$F$109),1,0)</f>
        <v/>
      </c>
      <c r="R20" s="10">
        <f>IF(AND(Debt!R114&gt;Inputs!$F$253,R18&lt;Inputs!$F$109),1,0)</f>
        <v/>
      </c>
      <c r="S20" s="10">
        <f>IF(AND(Debt!S114&gt;Inputs!$F$253,S18&lt;Inputs!$F$109),1,0)</f>
        <v/>
      </c>
      <c r="T20" s="10">
        <f>IF(AND(Debt!T114&gt;Inputs!$F$253,T18&lt;Inputs!$F$109),1,0)</f>
        <v/>
      </c>
      <c r="U20" s="10">
        <f>IF(AND(Debt!U114&gt;Inputs!$F$253,U18&lt;Inputs!$F$109),1,0)</f>
        <v/>
      </c>
      <c r="V20" s="10">
        <f>IF(AND(Debt!V114&gt;Inputs!$F$253,V18&lt;Inputs!$F$109),1,0)</f>
        <v/>
      </c>
      <c r="W20" s="10">
        <f>IF(AND(Debt!W114&gt;Inputs!$F$253,W18&lt;Inputs!$F$109),1,0)</f>
        <v/>
      </c>
      <c r="X20" s="10">
        <f>IF(AND(Debt!X114&gt;Inputs!$F$253,X18&lt;Inputs!$F$109),1,0)</f>
        <v/>
      </c>
      <c r="Y20" s="10">
        <f>IF(AND(Debt!Y114&gt;Inputs!$F$253,Y18&lt;Inputs!$F$109),1,0)</f>
        <v/>
      </c>
      <c r="Z20" s="10">
        <f>IF(AND(Debt!Z114&gt;Inputs!$F$253,Z18&lt;Inputs!$F$109),1,0)</f>
        <v/>
      </c>
      <c r="AA20" s="10">
        <f>IF(AND(Debt!AA114&gt;Inputs!$F$253,AA18&lt;Inputs!$F$109),1,0)</f>
        <v/>
      </c>
      <c r="AB20" s="10">
        <f>IF(AND(Debt!AB114&gt;Inputs!$F$253,AB18&lt;Inputs!$F$109),1,0)</f>
        <v/>
      </c>
      <c r="AC20" s="10">
        <f>IF(AND(Debt!AC114&gt;Inputs!$F$253,AC18&lt;Inputs!$F$109),1,0)</f>
        <v/>
      </c>
      <c r="AD20" s="10">
        <f>IF(AND(Debt!AD114&gt;Inputs!$F$253,AD18&lt;Inputs!$F$109),1,0)</f>
        <v/>
      </c>
      <c r="AE20" s="10">
        <f>IF(AND(Debt!AE114&gt;Inputs!$F$253,AE18&lt;Inputs!$F$109),1,0)</f>
        <v/>
      </c>
      <c r="AF20" s="10">
        <f>IF(AND(Debt!AF114&gt;Inputs!$F$253,AF18&lt;Inputs!$F$109),1,0)</f>
        <v/>
      </c>
      <c r="AG20" s="10">
        <f>IF(AND(Debt!AG114&gt;Inputs!$F$253,AG18&lt;Inputs!$F$109),1,0)</f>
        <v/>
      </c>
      <c r="AH20" s="10">
        <f>IF(AND(Debt!AH114&gt;Inputs!$F$253,AH18&lt;Inputs!$F$109),1,0)</f>
        <v/>
      </c>
      <c r="AI20" s="10">
        <f>IF(AND(Debt!AI114&gt;Inputs!$F$253,AI18&lt;Inputs!$F$109),1,0)</f>
        <v/>
      </c>
      <c r="AJ20" s="10">
        <f>IF(AND(Debt!AJ114&gt;Inputs!$F$253,AJ18&lt;Inputs!$F$109),1,0)</f>
        <v/>
      </c>
      <c r="AK20" s="10">
        <f>IF(AND(Debt!AK114&gt;Inputs!$F$253,AK18&lt;Inputs!$F$109),1,0)</f>
        <v/>
      </c>
      <c r="AL20" s="10">
        <f>IF(AND(Debt!AL114&gt;Inputs!$F$253,AL18&lt;Inputs!$F$109),1,0)</f>
        <v/>
      </c>
      <c r="AM20" s="10">
        <f>IF(AND(Debt!AM114&gt;Inputs!$F$253,AM18&lt;Inputs!$F$109),1,0)</f>
        <v/>
      </c>
      <c r="AN20" s="10">
        <f>IF(AND(Debt!AN114&gt;Inputs!$F$253,AN18&lt;Inputs!$F$109),1,0)</f>
        <v/>
      </c>
      <c r="AO20" s="10">
        <f>IF(AND(Debt!AO114&gt;Inputs!$F$253,AO18&lt;Inputs!$F$109),1,0)</f>
        <v/>
      </c>
      <c r="AP20" s="10">
        <f>IF(AND(Debt!AP114&gt;Inputs!$F$253,AP18&lt;Inputs!$F$109),1,0)</f>
        <v/>
      </c>
      <c r="AQ20" s="10">
        <f>IF(AND(Debt!AQ114&gt;Inputs!$F$253,AQ18&lt;Inputs!$F$109),1,0)</f>
        <v/>
      </c>
      <c r="AR20" s="10">
        <f>IF(AND(Debt!AR114&gt;Inputs!$F$253,AR18&lt;Inputs!$F$109),1,0)</f>
        <v/>
      </c>
      <c r="AS20" s="10">
        <f>IF(AND(Debt!AS114&gt;Inputs!$F$253,AS18&lt;Inputs!$F$109),1,0)</f>
        <v/>
      </c>
      <c r="AT20" s="10">
        <f>IF(AND(Debt!AT114&gt;Inputs!$F$253,AT18&lt;Inputs!$F$109),1,0)</f>
        <v/>
      </c>
      <c r="AU20" s="10">
        <f>IF(AND(Debt!AU114&gt;Inputs!$F$253,AU18&lt;Inputs!$F$109),1,0)</f>
        <v/>
      </c>
      <c r="AV20" s="10">
        <f>IF(AND(Debt!AV114&gt;Inputs!$F$253,AV18&lt;Inputs!$F$109),1,0)</f>
        <v/>
      </c>
      <c r="AW20" s="10">
        <f>IF(AND(Debt!AW114&gt;Inputs!$F$253,AW18&lt;Inputs!$F$109),1,0)</f>
        <v/>
      </c>
      <c r="AX20" s="10">
        <f>IF(AND(Debt!AX114&gt;Inputs!$F$253,AX18&lt;Inputs!$F$109),1,0)</f>
        <v/>
      </c>
      <c r="AY20" s="10">
        <f>IF(AND(Debt!AY114&gt;Inputs!$F$253,AY18&lt;Inputs!$F$109),1,0)</f>
        <v/>
      </c>
      <c r="AZ20" s="10">
        <f>IF(AND(Debt!AZ114&gt;Inputs!$F$253,AZ18&lt;Inputs!$F$109),1,0)</f>
        <v/>
      </c>
      <c r="BA20" s="10">
        <f>IF(AND(Debt!BA114&gt;Inputs!$F$253,BA18&lt;Inputs!$F$109),1,0)</f>
        <v/>
      </c>
      <c r="BB20" s="10">
        <f>IF(AND(Debt!BB114&gt;Inputs!$F$253,BB18&lt;Inputs!$F$109),1,0)</f>
        <v/>
      </c>
      <c r="BC20" s="10">
        <f>IF(AND(Debt!BC114&gt;Inputs!$F$253,BC18&lt;Inputs!$F$109),1,0)</f>
        <v/>
      </c>
      <c r="BD20" s="10">
        <f>IF(AND(Debt!BD114&gt;Inputs!$F$253,BD18&lt;Inputs!$F$109),1,0)</f>
        <v/>
      </c>
      <c r="BE20" s="10">
        <f>IF(AND(Debt!BE114&gt;Inputs!$F$253,BE18&lt;Inputs!$F$109),1,0)</f>
        <v/>
      </c>
      <c r="BF20" s="10">
        <f>IF(AND(Debt!BF114&gt;Inputs!$F$253,BF18&lt;Inputs!$F$109),1,0)</f>
        <v/>
      </c>
      <c r="BG20" s="10">
        <f>IF(AND(Debt!BG114&gt;Inputs!$F$253,BG18&lt;Inputs!$F$109),1,0)</f>
        <v/>
      </c>
      <c r="BH20" s="10">
        <f>IF(AND(Debt!BH114&gt;Inputs!$F$253,BH18&lt;Inputs!$F$109),1,0)</f>
        <v/>
      </c>
      <c r="BI20" s="10">
        <f>IF(AND(Debt!BI114&gt;Inputs!$F$253,BI18&lt;Inputs!$F$109),1,0)</f>
        <v/>
      </c>
      <c r="BJ20" s="10">
        <f>IF(AND(Debt!BJ114&gt;Inputs!$F$253,BJ18&lt;Inputs!$F$109),1,0)</f>
        <v/>
      </c>
      <c r="BK20" s="10">
        <f>IF(AND(Debt!BK114&gt;Inputs!$F$253,BK18&lt;Inputs!$F$109),1,0)</f>
        <v/>
      </c>
      <c r="BL20" s="10">
        <f>IF(AND(Debt!BL114&gt;Inputs!$F$253,BL18&lt;Inputs!$F$109),1,0)</f>
        <v/>
      </c>
      <c r="BM20" s="10">
        <f>IF(AND(Debt!BM114&gt;Inputs!$F$253,BM18&lt;Inputs!$F$109),1,0)</f>
        <v/>
      </c>
      <c r="BN20" s="10">
        <f>IF(AND(Debt!BN114&gt;Inputs!$F$253,BN18&lt;Inputs!$F$109),1,0)</f>
        <v/>
      </c>
    </row>
    <row r="21">
      <c r="D21" t="inlineStr">
        <is>
          <t>Tests waived</t>
        </is>
      </c>
      <c r="E21" t="inlineStr">
        <is>
          <t>flag</t>
        </is>
      </c>
      <c r="J21" s="12">
        <f>Time!J49</f>
        <v/>
      </c>
      <c r="K21" s="12">
        <f>Time!K49</f>
        <v/>
      </c>
      <c r="L21" s="12">
        <f>Time!L49</f>
        <v/>
      </c>
      <c r="M21" s="12">
        <f>Time!M49</f>
        <v/>
      </c>
      <c r="N21" s="12">
        <f>Time!N49</f>
        <v/>
      </c>
      <c r="O21" s="12">
        <f>Time!O49</f>
        <v/>
      </c>
      <c r="P21" s="12">
        <f>Time!P49</f>
        <v/>
      </c>
      <c r="Q21" s="12">
        <f>Time!Q49</f>
        <v/>
      </c>
      <c r="R21" s="12">
        <f>Time!R49</f>
        <v/>
      </c>
      <c r="S21" s="12">
        <f>Time!S49</f>
        <v/>
      </c>
      <c r="T21" s="12">
        <f>Time!T49</f>
        <v/>
      </c>
      <c r="U21" s="12">
        <f>Time!U49</f>
        <v/>
      </c>
      <c r="V21" s="12">
        <f>Time!V49</f>
        <v/>
      </c>
      <c r="W21" s="12">
        <f>Time!W49</f>
        <v/>
      </c>
      <c r="X21" s="12">
        <f>Time!X49</f>
        <v/>
      </c>
      <c r="Y21" s="12">
        <f>Time!Y49</f>
        <v/>
      </c>
      <c r="Z21" s="12">
        <f>Time!Z49</f>
        <v/>
      </c>
      <c r="AA21" s="12">
        <f>Time!AA49</f>
        <v/>
      </c>
      <c r="AB21" s="12">
        <f>Time!AB49</f>
        <v/>
      </c>
      <c r="AC21" s="12">
        <f>Time!AC49</f>
        <v/>
      </c>
      <c r="AD21" s="12">
        <f>Time!AD49</f>
        <v/>
      </c>
      <c r="AE21" s="12">
        <f>Time!AE49</f>
        <v/>
      </c>
      <c r="AF21" s="12">
        <f>Time!AF49</f>
        <v/>
      </c>
      <c r="AG21" s="12">
        <f>Time!AG49</f>
        <v/>
      </c>
      <c r="AH21" s="12">
        <f>Time!AH49</f>
        <v/>
      </c>
      <c r="AI21" s="12">
        <f>Time!AI49</f>
        <v/>
      </c>
      <c r="AJ21" s="12">
        <f>Time!AJ49</f>
        <v/>
      </c>
      <c r="AK21" s="12">
        <f>Time!AK49</f>
        <v/>
      </c>
      <c r="AL21" s="12">
        <f>Time!AL49</f>
        <v/>
      </c>
      <c r="AM21" s="12">
        <f>Time!AM49</f>
        <v/>
      </c>
      <c r="AN21" s="12">
        <f>Time!AN49</f>
        <v/>
      </c>
      <c r="AO21" s="12">
        <f>Time!AO49</f>
        <v/>
      </c>
      <c r="AP21" s="12">
        <f>Time!AP49</f>
        <v/>
      </c>
      <c r="AQ21" s="12">
        <f>Time!AQ49</f>
        <v/>
      </c>
      <c r="AR21" s="12">
        <f>Time!AR49</f>
        <v/>
      </c>
      <c r="AS21" s="12">
        <f>Time!AS49</f>
        <v/>
      </c>
      <c r="AT21" s="12">
        <f>Time!AT49</f>
        <v/>
      </c>
      <c r="AU21" s="12">
        <f>Time!AU49</f>
        <v/>
      </c>
      <c r="AV21" s="12">
        <f>Time!AV49</f>
        <v/>
      </c>
      <c r="AW21" s="12">
        <f>Time!AW49</f>
        <v/>
      </c>
      <c r="AX21" s="12">
        <f>Time!AX49</f>
        <v/>
      </c>
      <c r="AY21" s="12">
        <f>Time!AY49</f>
        <v/>
      </c>
      <c r="AZ21" s="12">
        <f>Time!AZ49</f>
        <v/>
      </c>
      <c r="BA21" s="12">
        <f>Time!BA49</f>
        <v/>
      </c>
      <c r="BB21" s="12">
        <f>Time!BB49</f>
        <v/>
      </c>
      <c r="BC21" s="12">
        <f>Time!BC49</f>
        <v/>
      </c>
      <c r="BD21" s="12">
        <f>Time!BD49</f>
        <v/>
      </c>
      <c r="BE21" s="12">
        <f>Time!BE49</f>
        <v/>
      </c>
      <c r="BF21" s="12">
        <f>Time!BF49</f>
        <v/>
      </c>
      <c r="BG21" s="12">
        <f>Time!BG49</f>
        <v/>
      </c>
      <c r="BH21" s="12">
        <f>Time!BH49</f>
        <v/>
      </c>
      <c r="BI21" s="12">
        <f>Time!BI49</f>
        <v/>
      </c>
      <c r="BJ21" s="12">
        <f>Time!BJ49</f>
        <v/>
      </c>
      <c r="BK21" s="12">
        <f>Time!BK49</f>
        <v/>
      </c>
      <c r="BL21" s="12">
        <f>Time!BL49</f>
        <v/>
      </c>
      <c r="BM21" s="12">
        <f>Time!BM49</f>
        <v/>
      </c>
      <c r="BN21" s="12">
        <f>Time!BN49</f>
        <v/>
      </c>
    </row>
    <row r="22">
      <c r="D22" t="inlineStr">
        <is>
          <t>Waiver regime</t>
        </is>
      </c>
      <c r="E22" t="inlineStr">
        <is>
          <t>flag</t>
        </is>
      </c>
      <c r="J22" s="12">
        <f>Time!J50</f>
        <v/>
      </c>
      <c r="K22" s="12">
        <f>Time!K50</f>
        <v/>
      </c>
      <c r="L22" s="12">
        <f>Time!L50</f>
        <v/>
      </c>
      <c r="M22" s="12">
        <f>Time!M50</f>
        <v/>
      </c>
      <c r="N22" s="12">
        <f>Time!N50</f>
        <v/>
      </c>
      <c r="O22" s="12">
        <f>Time!O50</f>
        <v/>
      </c>
      <c r="P22" s="12">
        <f>Time!P50</f>
        <v/>
      </c>
      <c r="Q22" s="12">
        <f>Time!Q50</f>
        <v/>
      </c>
      <c r="R22" s="12">
        <f>Time!R50</f>
        <v/>
      </c>
      <c r="S22" s="12">
        <f>Time!S50</f>
        <v/>
      </c>
      <c r="T22" s="12">
        <f>Time!T50</f>
        <v/>
      </c>
      <c r="U22" s="12">
        <f>Time!U50</f>
        <v/>
      </c>
      <c r="V22" s="12">
        <f>Time!V50</f>
        <v/>
      </c>
      <c r="W22" s="12">
        <f>Time!W50</f>
        <v/>
      </c>
      <c r="X22" s="12">
        <f>Time!X50</f>
        <v/>
      </c>
      <c r="Y22" s="12">
        <f>Time!Y50</f>
        <v/>
      </c>
      <c r="Z22" s="12">
        <f>Time!Z50</f>
        <v/>
      </c>
      <c r="AA22" s="12">
        <f>Time!AA50</f>
        <v/>
      </c>
      <c r="AB22" s="12">
        <f>Time!AB50</f>
        <v/>
      </c>
      <c r="AC22" s="12">
        <f>Time!AC50</f>
        <v/>
      </c>
      <c r="AD22" s="12">
        <f>Time!AD50</f>
        <v/>
      </c>
      <c r="AE22" s="12">
        <f>Time!AE50</f>
        <v/>
      </c>
      <c r="AF22" s="12">
        <f>Time!AF50</f>
        <v/>
      </c>
      <c r="AG22" s="12">
        <f>Time!AG50</f>
        <v/>
      </c>
      <c r="AH22" s="12">
        <f>Time!AH50</f>
        <v/>
      </c>
      <c r="AI22" s="12">
        <f>Time!AI50</f>
        <v/>
      </c>
      <c r="AJ22" s="12">
        <f>Time!AJ50</f>
        <v/>
      </c>
      <c r="AK22" s="12">
        <f>Time!AK50</f>
        <v/>
      </c>
      <c r="AL22" s="12">
        <f>Time!AL50</f>
        <v/>
      </c>
      <c r="AM22" s="12">
        <f>Time!AM50</f>
        <v/>
      </c>
      <c r="AN22" s="12">
        <f>Time!AN50</f>
        <v/>
      </c>
      <c r="AO22" s="12">
        <f>Time!AO50</f>
        <v/>
      </c>
      <c r="AP22" s="12">
        <f>Time!AP50</f>
        <v/>
      </c>
      <c r="AQ22" s="12">
        <f>Time!AQ50</f>
        <v/>
      </c>
      <c r="AR22" s="12">
        <f>Time!AR50</f>
        <v/>
      </c>
      <c r="AS22" s="12">
        <f>Time!AS50</f>
        <v/>
      </c>
      <c r="AT22" s="12">
        <f>Time!AT50</f>
        <v/>
      </c>
      <c r="AU22" s="12">
        <f>Time!AU50</f>
        <v/>
      </c>
      <c r="AV22" s="12">
        <f>Time!AV50</f>
        <v/>
      </c>
      <c r="AW22" s="12">
        <f>Time!AW50</f>
        <v/>
      </c>
      <c r="AX22" s="12">
        <f>Time!AX50</f>
        <v/>
      </c>
      <c r="AY22" s="12">
        <f>Time!AY50</f>
        <v/>
      </c>
      <c r="AZ22" s="12">
        <f>Time!AZ50</f>
        <v/>
      </c>
      <c r="BA22" s="12">
        <f>Time!BA50</f>
        <v/>
      </c>
      <c r="BB22" s="12">
        <f>Time!BB50</f>
        <v/>
      </c>
      <c r="BC22" s="12">
        <f>Time!BC50</f>
        <v/>
      </c>
      <c r="BD22" s="12">
        <f>Time!BD50</f>
        <v/>
      </c>
      <c r="BE22" s="12">
        <f>Time!BE50</f>
        <v/>
      </c>
      <c r="BF22" s="12">
        <f>Time!BF50</f>
        <v/>
      </c>
      <c r="BG22" s="12">
        <f>Time!BG50</f>
        <v/>
      </c>
      <c r="BH22" s="12">
        <f>Time!BH50</f>
        <v/>
      </c>
      <c r="BI22" s="12">
        <f>Time!BI50</f>
        <v/>
      </c>
      <c r="BJ22" s="12">
        <f>Time!BJ50</f>
        <v/>
      </c>
      <c r="BK22" s="12">
        <f>Time!BK50</f>
        <v/>
      </c>
      <c r="BL22" s="12">
        <f>Time!BL50</f>
        <v/>
      </c>
      <c r="BM22" s="12">
        <f>Time!BM50</f>
        <v/>
      </c>
      <c r="BN22" s="12">
        <f>Time!BN50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10">
        <f>MAX(I23,IF(AND(J22=1,Time!J51=1,J18&gt;=Inputs!$F$110,Time!I51=1,I18&gt;=Inputs!$F$110,Reserves!J13&gt;=Debt!J125-Inputs!$F$254),1,0))</f>
        <v/>
      </c>
      <c r="K23" s="10">
        <f>MAX(J23,IF(AND(K22=1,Time!K51=1,K18&gt;=Inputs!$F$110,Time!J51=1,J18&gt;=Inputs!$F$110,Reserves!K13&gt;=Debt!K125-Inputs!$F$254),1,0))</f>
        <v/>
      </c>
      <c r="L23" s="10">
        <f>MAX(K23,IF(AND(L22=1,Time!L51=1,L18&gt;=Inputs!$F$110,Time!K51=1,K18&gt;=Inputs!$F$110,Reserves!L13&gt;=Debt!L125-Inputs!$F$254),1,0))</f>
        <v/>
      </c>
      <c r="M23" s="10">
        <f>MAX(L23,IF(AND(M22=1,Time!M51=1,M18&gt;=Inputs!$F$110,Time!L51=1,L18&gt;=Inputs!$F$110,Reserves!M13&gt;=Debt!M125-Inputs!$F$254),1,0))</f>
        <v/>
      </c>
      <c r="N23" s="10">
        <f>MAX(M23,IF(AND(N22=1,Time!N51=1,N18&gt;=Inputs!$F$110,Time!M51=1,M18&gt;=Inputs!$F$110,Reserves!N13&gt;=Debt!N125-Inputs!$F$254),1,0))</f>
        <v/>
      </c>
      <c r="O23" s="10">
        <f>MAX(N23,IF(AND(O22=1,Time!O51=1,O18&gt;=Inputs!$F$110,Time!N51=1,N18&gt;=Inputs!$F$110,Reserves!O13&gt;=Debt!O125-Inputs!$F$254),1,0))</f>
        <v/>
      </c>
      <c r="P23" s="10">
        <f>MAX(O23,IF(AND(P22=1,Time!P51=1,P18&gt;=Inputs!$F$110,Time!O51=1,O18&gt;=Inputs!$F$110,Reserves!P13&gt;=Debt!P125-Inputs!$F$254),1,0))</f>
        <v/>
      </c>
      <c r="Q23" s="10">
        <f>MAX(P23,IF(AND(Q22=1,Time!Q51=1,Q18&gt;=Inputs!$F$110,Time!P51=1,P18&gt;=Inputs!$F$110,Reserves!Q13&gt;=Debt!Q125-Inputs!$F$254),1,0))</f>
        <v/>
      </c>
      <c r="R23" s="10">
        <f>MAX(Q23,IF(AND(R22=1,Time!R51=1,R18&gt;=Inputs!$F$110,Time!Q51=1,Q18&gt;=Inputs!$F$110,Reserves!R13&gt;=Debt!R125-Inputs!$F$254),1,0))</f>
        <v/>
      </c>
      <c r="S23" s="10">
        <f>MAX(R23,IF(AND(S22=1,Time!S51=1,S18&gt;=Inputs!$F$110,Time!R51=1,R18&gt;=Inputs!$F$110,Reserves!S13&gt;=Debt!S125-Inputs!$F$254),1,0))</f>
        <v/>
      </c>
      <c r="T23" s="10">
        <f>MAX(S23,IF(AND(T22=1,Time!T51=1,T18&gt;=Inputs!$F$110,Time!S51=1,S18&gt;=Inputs!$F$110,Reserves!T13&gt;=Debt!T125-Inputs!$F$254),1,0))</f>
        <v/>
      </c>
      <c r="U23" s="10">
        <f>MAX(T23,IF(AND(U22=1,Time!U51=1,U18&gt;=Inputs!$F$110,Time!T51=1,T18&gt;=Inputs!$F$110,Reserves!U13&gt;=Debt!U125-Inputs!$F$254),1,0))</f>
        <v/>
      </c>
      <c r="V23" s="10">
        <f>MAX(U23,IF(AND(V22=1,Time!V51=1,V18&gt;=Inputs!$F$110,Time!U51=1,U18&gt;=Inputs!$F$110,Reserves!V13&gt;=Debt!V125-Inputs!$F$254),1,0))</f>
        <v/>
      </c>
      <c r="W23" s="10">
        <f>MAX(V23,IF(AND(W22=1,Time!W51=1,W18&gt;=Inputs!$F$110,Time!V51=1,V18&gt;=Inputs!$F$110,Reserves!W13&gt;=Debt!W125-Inputs!$F$254),1,0))</f>
        <v/>
      </c>
      <c r="X23" s="10">
        <f>MAX(W23,IF(AND(X22=1,Time!X51=1,X18&gt;=Inputs!$F$110,Time!W51=1,W18&gt;=Inputs!$F$110,Reserves!X13&gt;=Debt!X125-Inputs!$F$254),1,0))</f>
        <v/>
      </c>
      <c r="Y23" s="10">
        <f>MAX(X23,IF(AND(Y22=1,Time!Y51=1,Y18&gt;=Inputs!$F$110,Time!X51=1,X18&gt;=Inputs!$F$110,Reserves!Y13&gt;=Debt!Y125-Inputs!$F$254),1,0))</f>
        <v/>
      </c>
      <c r="Z23" s="10">
        <f>MAX(Y23,IF(AND(Z22=1,Time!Z51=1,Z18&gt;=Inputs!$F$110,Time!Y51=1,Y18&gt;=Inputs!$F$110,Reserves!Z13&gt;=Debt!Z125-Inputs!$F$254),1,0))</f>
        <v/>
      </c>
      <c r="AA23" s="10">
        <f>MAX(Z23,IF(AND(AA22=1,Time!AA51=1,AA18&gt;=Inputs!$F$110,Time!Z51=1,Z18&gt;=Inputs!$F$110,Reserves!AA13&gt;=Debt!AA125-Inputs!$F$254),1,0))</f>
        <v/>
      </c>
      <c r="AB23" s="10">
        <f>MAX(AA23,IF(AND(AB22=1,Time!AB51=1,AB18&gt;=Inputs!$F$110,Time!AA51=1,AA18&gt;=Inputs!$F$110,Reserves!AB13&gt;=Debt!AB125-Inputs!$F$254),1,0))</f>
        <v/>
      </c>
      <c r="AC23" s="10">
        <f>MAX(AB23,IF(AND(AC22=1,Time!AC51=1,AC18&gt;=Inputs!$F$110,Time!AB51=1,AB18&gt;=Inputs!$F$110,Reserves!AC13&gt;=Debt!AC125-Inputs!$F$254),1,0))</f>
        <v/>
      </c>
      <c r="AD23" s="10">
        <f>MAX(AC23,IF(AND(AD22=1,Time!AD51=1,AD18&gt;=Inputs!$F$110,Time!AC51=1,AC18&gt;=Inputs!$F$110,Reserves!AD13&gt;=Debt!AD125-Inputs!$F$254),1,0))</f>
        <v/>
      </c>
      <c r="AE23" s="10">
        <f>MAX(AD23,IF(AND(AE22=1,Time!AE51=1,AE18&gt;=Inputs!$F$110,Time!AD51=1,AD18&gt;=Inputs!$F$110,Reserves!AE13&gt;=Debt!AE125-Inputs!$F$254),1,0))</f>
        <v/>
      </c>
      <c r="AF23" s="10">
        <f>MAX(AE23,IF(AND(AF22=1,Time!AF51=1,AF18&gt;=Inputs!$F$110,Time!AE51=1,AE18&gt;=Inputs!$F$110,Reserves!AF13&gt;=Debt!AF125-Inputs!$F$254),1,0))</f>
        <v/>
      </c>
      <c r="AG23" s="10">
        <f>MAX(AF23,IF(AND(AG22=1,Time!AG51=1,AG18&gt;=Inputs!$F$110,Time!AF51=1,AF18&gt;=Inputs!$F$110,Reserves!AG13&gt;=Debt!AG125-Inputs!$F$254),1,0))</f>
        <v/>
      </c>
      <c r="AH23" s="10">
        <f>MAX(AG23,IF(AND(AH22=1,Time!AH51=1,AH18&gt;=Inputs!$F$110,Time!AG51=1,AG18&gt;=Inputs!$F$110,Reserves!AH13&gt;=Debt!AH125-Inputs!$F$254),1,0))</f>
        <v/>
      </c>
      <c r="AI23" s="10">
        <f>MAX(AH23,IF(AND(AI22=1,Time!AI51=1,AI18&gt;=Inputs!$F$110,Time!AH51=1,AH18&gt;=Inputs!$F$110,Reserves!AI13&gt;=Debt!AI125-Inputs!$F$254),1,0))</f>
        <v/>
      </c>
      <c r="AJ23" s="10">
        <f>MAX(AI23,IF(AND(AJ22=1,Time!AJ51=1,AJ18&gt;=Inputs!$F$110,Time!AI51=1,AI18&gt;=Inputs!$F$110,Reserves!AJ13&gt;=Debt!AJ125-Inputs!$F$254),1,0))</f>
        <v/>
      </c>
      <c r="AK23" s="10">
        <f>MAX(AJ23,IF(AND(AK22=1,Time!AK51=1,AK18&gt;=Inputs!$F$110,Time!AJ51=1,AJ18&gt;=Inputs!$F$110,Reserves!AK13&gt;=Debt!AK125-Inputs!$F$254),1,0))</f>
        <v/>
      </c>
      <c r="AL23" s="10">
        <f>MAX(AK23,IF(AND(AL22=1,Time!AL51=1,AL18&gt;=Inputs!$F$110,Time!AK51=1,AK18&gt;=Inputs!$F$110,Reserves!AL13&gt;=Debt!AL125-Inputs!$F$254),1,0))</f>
        <v/>
      </c>
      <c r="AM23" s="10">
        <f>MAX(AL23,IF(AND(AM22=1,Time!AM51=1,AM18&gt;=Inputs!$F$110,Time!AL51=1,AL18&gt;=Inputs!$F$110,Reserves!AM13&gt;=Debt!AM125-Inputs!$F$254),1,0))</f>
        <v/>
      </c>
      <c r="AN23" s="10">
        <f>MAX(AM23,IF(AND(AN22=1,Time!AN51=1,AN18&gt;=Inputs!$F$110,Time!AM51=1,AM18&gt;=Inputs!$F$110,Reserves!AN13&gt;=Debt!AN125-Inputs!$F$254),1,0))</f>
        <v/>
      </c>
      <c r="AO23" s="10">
        <f>MAX(AN23,IF(AND(AO22=1,Time!AO51=1,AO18&gt;=Inputs!$F$110,Time!AN51=1,AN18&gt;=Inputs!$F$110,Reserves!AO13&gt;=Debt!AO125-Inputs!$F$254),1,0))</f>
        <v/>
      </c>
      <c r="AP23" s="10">
        <f>MAX(AO23,IF(AND(AP22=1,Time!AP51=1,AP18&gt;=Inputs!$F$110,Time!AO51=1,AO18&gt;=Inputs!$F$110,Reserves!AP13&gt;=Debt!AP125-Inputs!$F$254),1,0))</f>
        <v/>
      </c>
      <c r="AQ23" s="10">
        <f>MAX(AP23,IF(AND(AQ22=1,Time!AQ51=1,AQ18&gt;=Inputs!$F$110,Time!AP51=1,AP18&gt;=Inputs!$F$110,Reserves!AQ13&gt;=Debt!AQ125-Inputs!$F$254),1,0))</f>
        <v/>
      </c>
      <c r="AR23" s="10">
        <f>MAX(AQ23,IF(AND(AR22=1,Time!AR51=1,AR18&gt;=Inputs!$F$110,Time!AQ51=1,AQ18&gt;=Inputs!$F$110,Reserves!AR13&gt;=Debt!AR125-Inputs!$F$254),1,0))</f>
        <v/>
      </c>
      <c r="AS23" s="10">
        <f>MAX(AR23,IF(AND(AS22=1,Time!AS51=1,AS18&gt;=Inputs!$F$110,Time!AR51=1,AR18&gt;=Inputs!$F$110,Reserves!AS13&gt;=Debt!AS125-Inputs!$F$254),1,0))</f>
        <v/>
      </c>
      <c r="AT23" s="10">
        <f>MAX(AS23,IF(AND(AT22=1,Time!AT51=1,AT18&gt;=Inputs!$F$110,Time!AS51=1,AS18&gt;=Inputs!$F$110,Reserves!AT13&gt;=Debt!AT125-Inputs!$F$254),1,0))</f>
        <v/>
      </c>
      <c r="AU23" s="10">
        <f>MAX(AT23,IF(AND(AU22=1,Time!AU51=1,AU18&gt;=Inputs!$F$110,Time!AT51=1,AT18&gt;=Inputs!$F$110,Reserves!AU13&gt;=Debt!AU125-Inputs!$F$254),1,0))</f>
        <v/>
      </c>
      <c r="AV23" s="10">
        <f>MAX(AU23,IF(AND(AV22=1,Time!AV51=1,AV18&gt;=Inputs!$F$110,Time!AU51=1,AU18&gt;=Inputs!$F$110,Reserves!AV13&gt;=Debt!AV125-Inputs!$F$254),1,0))</f>
        <v/>
      </c>
      <c r="AW23" s="10">
        <f>MAX(AV23,IF(AND(AW22=1,Time!AW51=1,AW18&gt;=Inputs!$F$110,Time!AV51=1,AV18&gt;=Inputs!$F$110,Reserves!AW13&gt;=Debt!AW125-Inputs!$F$254),1,0))</f>
        <v/>
      </c>
      <c r="AX23" s="10">
        <f>MAX(AW23,IF(AND(AX22=1,Time!AX51=1,AX18&gt;=Inputs!$F$110,Time!AW51=1,AW18&gt;=Inputs!$F$110,Reserves!AX13&gt;=Debt!AX125-Inputs!$F$254),1,0))</f>
        <v/>
      </c>
      <c r="AY23" s="10">
        <f>MAX(AX23,IF(AND(AY22=1,Time!AY51=1,AY18&gt;=Inputs!$F$110,Time!AX51=1,AX18&gt;=Inputs!$F$110,Reserves!AY13&gt;=Debt!AY125-Inputs!$F$254),1,0))</f>
        <v/>
      </c>
      <c r="AZ23" s="10">
        <f>MAX(AY23,IF(AND(AZ22=1,Time!AZ51=1,AZ18&gt;=Inputs!$F$110,Time!AY51=1,AY18&gt;=Inputs!$F$110,Reserves!AZ13&gt;=Debt!AZ125-Inputs!$F$254),1,0))</f>
        <v/>
      </c>
      <c r="BA23" s="10">
        <f>MAX(AZ23,IF(AND(BA22=1,Time!BA51=1,BA18&gt;=Inputs!$F$110,Time!AZ51=1,AZ18&gt;=Inputs!$F$110,Reserves!BA13&gt;=Debt!BA125-Inputs!$F$254),1,0))</f>
        <v/>
      </c>
      <c r="BB23" s="10">
        <f>MAX(BA23,IF(AND(BB22=1,Time!BB51=1,BB18&gt;=Inputs!$F$110,Time!BA51=1,BA18&gt;=Inputs!$F$110,Reserves!BB13&gt;=Debt!BB125-Inputs!$F$254),1,0))</f>
        <v/>
      </c>
      <c r="BC23" s="10">
        <f>MAX(BB23,IF(AND(BC22=1,Time!BC51=1,BC18&gt;=Inputs!$F$110,Time!BB51=1,BB18&gt;=Inputs!$F$110,Reserves!BC13&gt;=Debt!BC125-Inputs!$F$254),1,0))</f>
        <v/>
      </c>
      <c r="BD23" s="10">
        <f>MAX(BC23,IF(AND(BD22=1,Time!BD51=1,BD18&gt;=Inputs!$F$110,Time!BC51=1,BC18&gt;=Inputs!$F$110,Reserves!BD13&gt;=Debt!BD125-Inputs!$F$254),1,0))</f>
        <v/>
      </c>
      <c r="BE23" s="10">
        <f>MAX(BD23,IF(AND(BE22=1,Time!BE51=1,BE18&gt;=Inputs!$F$110,Time!BD51=1,BD18&gt;=Inputs!$F$110,Reserves!BE13&gt;=Debt!BE125-Inputs!$F$254),1,0))</f>
        <v/>
      </c>
      <c r="BF23" s="10">
        <f>MAX(BE23,IF(AND(BF22=1,Time!BF51=1,BF18&gt;=Inputs!$F$110,Time!BE51=1,BE18&gt;=Inputs!$F$110,Reserves!BF13&gt;=Debt!BF125-Inputs!$F$254),1,0))</f>
        <v/>
      </c>
      <c r="BG23" s="10">
        <f>MAX(BF23,IF(AND(BG22=1,Time!BG51=1,BG18&gt;=Inputs!$F$110,Time!BF51=1,BF18&gt;=Inputs!$F$110,Reserves!BG13&gt;=Debt!BG125-Inputs!$F$254),1,0))</f>
        <v/>
      </c>
      <c r="BH23" s="10">
        <f>MAX(BG23,IF(AND(BH22=1,Time!BH51=1,BH18&gt;=Inputs!$F$110,Time!BG51=1,BG18&gt;=Inputs!$F$110,Reserves!BH13&gt;=Debt!BH125-Inputs!$F$254),1,0))</f>
        <v/>
      </c>
      <c r="BI23" s="10">
        <f>MAX(BH23,IF(AND(BI22=1,Time!BI51=1,BI18&gt;=Inputs!$F$110,Time!BH51=1,BH18&gt;=Inputs!$F$110,Reserves!BI13&gt;=Debt!BI125-Inputs!$F$254),1,0))</f>
        <v/>
      </c>
      <c r="BJ23" s="10">
        <f>MAX(BI23,IF(AND(BJ22=1,Time!BJ51=1,BJ18&gt;=Inputs!$F$110,Time!BI51=1,BI18&gt;=Inputs!$F$110,Reserves!BJ13&gt;=Debt!BJ125-Inputs!$F$254),1,0))</f>
        <v/>
      </c>
      <c r="BK23" s="10">
        <f>MAX(BJ23,IF(AND(BK22=1,Time!BK51=1,BK18&gt;=Inputs!$F$110,Time!BJ51=1,BJ18&gt;=Inputs!$F$110,Reserves!BK13&gt;=Debt!BK125-Inputs!$F$254),1,0))</f>
        <v/>
      </c>
      <c r="BL23" s="10">
        <f>MAX(BK23,IF(AND(BL22=1,Time!BL51=1,BL18&gt;=Inputs!$F$110,Time!BK51=1,BK18&gt;=Inputs!$F$110,Reserves!BL13&gt;=Debt!BL125-Inputs!$F$254),1,0))</f>
        <v/>
      </c>
      <c r="BM23" s="10">
        <f>MAX(BL23,IF(AND(BM22=1,Time!BM51=1,BM18&gt;=Inputs!$F$110,Time!BL51=1,BL18&gt;=Inputs!$F$110,Reserves!BM13&gt;=Debt!BM125-Inputs!$F$254),1,0))</f>
        <v/>
      </c>
      <c r="BN23" s="10">
        <f>MAX(BM23,IF(AND(BN22=1,Time!BN51=1,BN18&gt;=Inputs!$F$110,Time!BM51=1,BM18&gt;=Inputs!$F$110,Reserves!BN13&gt;=Debt!BN125-Inputs!$F$254),1,0))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10">
        <f>IF(OR(AND(J19=1,J18&gt;=Inputs!$F$108,Reserves!J13&gt;=Debt!J125-Inputs!$F$254,OR(J20=0,J21=1),Debt!J114&gt;Inputs!$F$253,OR(J22=0,J23=1)),AND(Time!J37=1,Debt!J114&lt;=Inputs!$F$253),AND(Debt!J114&lt;=Inputs!$F$253,Time!J35=1,Debt!J115&lt;Inputs!$F$253)),1,0)</f>
        <v/>
      </c>
      <c r="K24" s="10">
        <f>IF(OR(AND(K19=1,K18&gt;=Inputs!$F$108,Reserves!K13&gt;=Debt!K125-Inputs!$F$254,OR(K20=0,K21=1),Debt!K114&gt;Inputs!$F$253,OR(K22=0,K23=1)),AND(Time!K37=1,Debt!K114&lt;=Inputs!$F$253),AND(Debt!K114&lt;=Inputs!$F$253,Time!K35=1,Debt!K115&lt;Inputs!$F$253)),1,0)</f>
        <v/>
      </c>
      <c r="L24" s="10">
        <f>IF(OR(AND(L19=1,L18&gt;=Inputs!$F$108,Reserves!L13&gt;=Debt!L125-Inputs!$F$254,OR(L20=0,L21=1),Debt!L114&gt;Inputs!$F$253,OR(L22=0,L23=1)),AND(Time!L37=1,Debt!L114&lt;=Inputs!$F$253),AND(Debt!L114&lt;=Inputs!$F$253,Time!L35=1,Debt!L115&lt;Inputs!$F$253)),1,0)</f>
        <v/>
      </c>
      <c r="M24" s="10">
        <f>IF(OR(AND(M19=1,M18&gt;=Inputs!$F$108,Reserves!M13&gt;=Debt!M125-Inputs!$F$254,OR(M20=0,M21=1),Debt!M114&gt;Inputs!$F$253,OR(M22=0,M23=1)),AND(Time!M37=1,Debt!M114&lt;=Inputs!$F$253),AND(Debt!M114&lt;=Inputs!$F$253,Time!M35=1,Debt!M115&lt;Inputs!$F$253)),1,0)</f>
        <v/>
      </c>
      <c r="N24" s="10">
        <f>IF(OR(AND(N19=1,N18&gt;=Inputs!$F$108,Reserves!N13&gt;=Debt!N125-Inputs!$F$254,OR(N20=0,N21=1),Debt!N114&gt;Inputs!$F$253,OR(N22=0,N23=1)),AND(Time!N37=1,Debt!N114&lt;=Inputs!$F$253),AND(Debt!N114&lt;=Inputs!$F$253,Time!N35=1,Debt!N115&lt;Inputs!$F$253)),1,0)</f>
        <v/>
      </c>
      <c r="O24" s="10">
        <f>IF(OR(AND(O19=1,O18&gt;=Inputs!$F$108,Reserves!O13&gt;=Debt!O125-Inputs!$F$254,OR(O20=0,O21=1),Debt!O114&gt;Inputs!$F$253,OR(O22=0,O23=1)),AND(Time!O37=1,Debt!O114&lt;=Inputs!$F$253),AND(Debt!O114&lt;=Inputs!$F$253,Time!O35=1,Debt!O115&lt;Inputs!$F$253)),1,0)</f>
        <v/>
      </c>
      <c r="P24" s="10">
        <f>IF(OR(AND(P19=1,P18&gt;=Inputs!$F$108,Reserves!P13&gt;=Debt!P125-Inputs!$F$254,OR(P20=0,P21=1),Debt!P114&gt;Inputs!$F$253,OR(P22=0,P23=1)),AND(Time!P37=1,Debt!P114&lt;=Inputs!$F$253),AND(Debt!P114&lt;=Inputs!$F$253,Time!P35=1,Debt!P115&lt;Inputs!$F$253)),1,0)</f>
        <v/>
      </c>
      <c r="Q24" s="10">
        <f>IF(OR(AND(Q19=1,Q18&gt;=Inputs!$F$108,Reserves!Q13&gt;=Debt!Q125-Inputs!$F$254,OR(Q20=0,Q21=1),Debt!Q114&gt;Inputs!$F$253,OR(Q22=0,Q23=1)),AND(Time!Q37=1,Debt!Q114&lt;=Inputs!$F$253),AND(Debt!Q114&lt;=Inputs!$F$253,Time!Q35=1,Debt!Q115&lt;Inputs!$F$253)),1,0)</f>
        <v/>
      </c>
      <c r="R24" s="10">
        <f>IF(OR(AND(R19=1,R18&gt;=Inputs!$F$108,Reserves!R13&gt;=Debt!R125-Inputs!$F$254,OR(R20=0,R21=1),Debt!R114&gt;Inputs!$F$253,OR(R22=0,R23=1)),AND(Time!R37=1,Debt!R114&lt;=Inputs!$F$253),AND(Debt!R114&lt;=Inputs!$F$253,Time!R35=1,Debt!R115&lt;Inputs!$F$253)),1,0)</f>
        <v/>
      </c>
      <c r="S24" s="10">
        <f>IF(OR(AND(S19=1,S18&gt;=Inputs!$F$108,Reserves!S13&gt;=Debt!S125-Inputs!$F$254,OR(S20=0,S21=1),Debt!S114&gt;Inputs!$F$253,OR(S22=0,S23=1)),AND(Time!S37=1,Debt!S114&lt;=Inputs!$F$253),AND(Debt!S114&lt;=Inputs!$F$253,Time!S35=1,Debt!S115&lt;Inputs!$F$253)),1,0)</f>
        <v/>
      </c>
      <c r="T24" s="10">
        <f>IF(OR(AND(T19=1,T18&gt;=Inputs!$F$108,Reserves!T13&gt;=Debt!T125-Inputs!$F$254,OR(T20=0,T21=1),Debt!T114&gt;Inputs!$F$253,OR(T22=0,T23=1)),AND(Time!T37=1,Debt!T114&lt;=Inputs!$F$253),AND(Debt!T114&lt;=Inputs!$F$253,Time!T35=1,Debt!T115&lt;Inputs!$F$253)),1,0)</f>
        <v/>
      </c>
      <c r="U24" s="10">
        <f>IF(OR(AND(U19=1,U18&gt;=Inputs!$F$108,Reserves!U13&gt;=Debt!U125-Inputs!$F$254,OR(U20=0,U21=1),Debt!U114&gt;Inputs!$F$253,OR(U22=0,U23=1)),AND(Time!U37=1,Debt!U114&lt;=Inputs!$F$253),AND(Debt!U114&lt;=Inputs!$F$253,Time!U35=1,Debt!U115&lt;Inputs!$F$253)),1,0)</f>
        <v/>
      </c>
      <c r="V24" s="10">
        <f>IF(OR(AND(V19=1,V18&gt;=Inputs!$F$108,Reserves!V13&gt;=Debt!V125-Inputs!$F$254,OR(V20=0,V21=1),Debt!V114&gt;Inputs!$F$253,OR(V22=0,V23=1)),AND(Time!V37=1,Debt!V114&lt;=Inputs!$F$253),AND(Debt!V114&lt;=Inputs!$F$253,Time!V35=1,Debt!V115&lt;Inputs!$F$253)),1,0)</f>
        <v/>
      </c>
      <c r="W24" s="10">
        <f>IF(OR(AND(W19=1,W18&gt;=Inputs!$F$108,Reserves!W13&gt;=Debt!W125-Inputs!$F$254,OR(W20=0,W21=1),Debt!W114&gt;Inputs!$F$253,OR(W22=0,W23=1)),AND(Time!W37=1,Debt!W114&lt;=Inputs!$F$253),AND(Debt!W114&lt;=Inputs!$F$253,Time!W35=1,Debt!W115&lt;Inputs!$F$253)),1,0)</f>
        <v/>
      </c>
      <c r="X24" s="10">
        <f>IF(OR(AND(X19=1,X18&gt;=Inputs!$F$108,Reserves!X13&gt;=Debt!X125-Inputs!$F$254,OR(X20=0,X21=1),Debt!X114&gt;Inputs!$F$253,OR(X22=0,X23=1)),AND(Time!X37=1,Debt!X114&lt;=Inputs!$F$253),AND(Debt!X114&lt;=Inputs!$F$253,Time!X35=1,Debt!X115&lt;Inputs!$F$253)),1,0)</f>
        <v/>
      </c>
      <c r="Y24" s="10">
        <f>IF(OR(AND(Y19=1,Y18&gt;=Inputs!$F$108,Reserves!Y13&gt;=Debt!Y125-Inputs!$F$254,OR(Y20=0,Y21=1),Debt!Y114&gt;Inputs!$F$253,OR(Y22=0,Y23=1)),AND(Time!Y37=1,Debt!Y114&lt;=Inputs!$F$253),AND(Debt!Y114&lt;=Inputs!$F$253,Time!Y35=1,Debt!Y115&lt;Inputs!$F$253)),1,0)</f>
        <v/>
      </c>
      <c r="Z24" s="10">
        <f>IF(OR(AND(Z19=1,Z18&gt;=Inputs!$F$108,Reserves!Z13&gt;=Debt!Z125-Inputs!$F$254,OR(Z20=0,Z21=1),Debt!Z114&gt;Inputs!$F$253,OR(Z22=0,Z23=1)),AND(Time!Z37=1,Debt!Z114&lt;=Inputs!$F$253),AND(Debt!Z114&lt;=Inputs!$F$253,Time!Z35=1,Debt!Z115&lt;Inputs!$F$253)),1,0)</f>
        <v/>
      </c>
      <c r="AA24" s="10">
        <f>IF(OR(AND(AA19=1,AA18&gt;=Inputs!$F$108,Reserves!AA13&gt;=Debt!AA125-Inputs!$F$254,OR(AA20=0,AA21=1),Debt!AA114&gt;Inputs!$F$253,OR(AA22=0,AA23=1)),AND(Time!AA37=1,Debt!AA114&lt;=Inputs!$F$253),AND(Debt!AA114&lt;=Inputs!$F$253,Time!AA35=1,Debt!AA115&lt;Inputs!$F$253)),1,0)</f>
        <v/>
      </c>
      <c r="AB24" s="10">
        <f>IF(OR(AND(AB19=1,AB18&gt;=Inputs!$F$108,Reserves!AB13&gt;=Debt!AB125-Inputs!$F$254,OR(AB20=0,AB21=1),Debt!AB114&gt;Inputs!$F$253,OR(AB22=0,AB23=1)),AND(Time!AB37=1,Debt!AB114&lt;=Inputs!$F$253),AND(Debt!AB114&lt;=Inputs!$F$253,Time!AB35=1,Debt!AB115&lt;Inputs!$F$253)),1,0)</f>
        <v/>
      </c>
      <c r="AC24" s="10">
        <f>IF(OR(AND(AC19=1,AC18&gt;=Inputs!$F$108,Reserves!AC13&gt;=Debt!AC125-Inputs!$F$254,OR(AC20=0,AC21=1),Debt!AC114&gt;Inputs!$F$253,OR(AC22=0,AC23=1)),AND(Time!AC37=1,Debt!AC114&lt;=Inputs!$F$253),AND(Debt!AC114&lt;=Inputs!$F$253,Time!AC35=1,Debt!AC115&lt;Inputs!$F$253)),1,0)</f>
        <v/>
      </c>
      <c r="AD24" s="10">
        <f>IF(OR(AND(AD19=1,AD18&gt;=Inputs!$F$108,Reserves!AD13&gt;=Debt!AD125-Inputs!$F$254,OR(AD20=0,AD21=1),Debt!AD114&gt;Inputs!$F$253,OR(AD22=0,AD23=1)),AND(Time!AD37=1,Debt!AD114&lt;=Inputs!$F$253),AND(Debt!AD114&lt;=Inputs!$F$253,Time!AD35=1,Debt!AD115&lt;Inputs!$F$253)),1,0)</f>
        <v/>
      </c>
      <c r="AE24" s="10">
        <f>IF(OR(AND(AE19=1,AE18&gt;=Inputs!$F$108,Reserves!AE13&gt;=Debt!AE125-Inputs!$F$254,OR(AE20=0,AE21=1),Debt!AE114&gt;Inputs!$F$253,OR(AE22=0,AE23=1)),AND(Time!AE37=1,Debt!AE114&lt;=Inputs!$F$253),AND(Debt!AE114&lt;=Inputs!$F$253,Time!AE35=1,Debt!AE115&lt;Inputs!$F$253)),1,0)</f>
        <v/>
      </c>
      <c r="AF24" s="10">
        <f>IF(OR(AND(AF19=1,AF18&gt;=Inputs!$F$108,Reserves!AF13&gt;=Debt!AF125-Inputs!$F$254,OR(AF20=0,AF21=1),Debt!AF114&gt;Inputs!$F$253,OR(AF22=0,AF23=1)),AND(Time!AF37=1,Debt!AF114&lt;=Inputs!$F$253),AND(Debt!AF114&lt;=Inputs!$F$253,Time!AF35=1,Debt!AF115&lt;Inputs!$F$253)),1,0)</f>
        <v/>
      </c>
      <c r="AG24" s="10">
        <f>IF(OR(AND(AG19=1,AG18&gt;=Inputs!$F$108,Reserves!AG13&gt;=Debt!AG125-Inputs!$F$254,OR(AG20=0,AG21=1),Debt!AG114&gt;Inputs!$F$253,OR(AG22=0,AG23=1)),AND(Time!AG37=1,Debt!AG114&lt;=Inputs!$F$253),AND(Debt!AG114&lt;=Inputs!$F$253,Time!AG35=1,Debt!AG115&lt;Inputs!$F$253)),1,0)</f>
        <v/>
      </c>
      <c r="AH24" s="10">
        <f>IF(OR(AND(AH19=1,AH18&gt;=Inputs!$F$108,Reserves!AH13&gt;=Debt!AH125-Inputs!$F$254,OR(AH20=0,AH21=1),Debt!AH114&gt;Inputs!$F$253,OR(AH22=0,AH23=1)),AND(Time!AH37=1,Debt!AH114&lt;=Inputs!$F$253),AND(Debt!AH114&lt;=Inputs!$F$253,Time!AH35=1,Debt!AH115&lt;Inputs!$F$253)),1,0)</f>
        <v/>
      </c>
      <c r="AI24" s="10">
        <f>IF(OR(AND(AI19=1,AI18&gt;=Inputs!$F$108,Reserves!AI13&gt;=Debt!AI125-Inputs!$F$254,OR(AI20=0,AI21=1),Debt!AI114&gt;Inputs!$F$253,OR(AI22=0,AI23=1)),AND(Time!AI37=1,Debt!AI114&lt;=Inputs!$F$253),AND(Debt!AI114&lt;=Inputs!$F$253,Time!AI35=1,Debt!AI115&lt;Inputs!$F$253)),1,0)</f>
        <v/>
      </c>
      <c r="AJ24" s="10">
        <f>IF(OR(AND(AJ19=1,AJ18&gt;=Inputs!$F$108,Reserves!AJ13&gt;=Debt!AJ125-Inputs!$F$254,OR(AJ20=0,AJ21=1),Debt!AJ114&gt;Inputs!$F$253,OR(AJ22=0,AJ23=1)),AND(Time!AJ37=1,Debt!AJ114&lt;=Inputs!$F$253),AND(Debt!AJ114&lt;=Inputs!$F$253,Time!AJ35=1,Debt!AJ115&lt;Inputs!$F$253)),1,0)</f>
        <v/>
      </c>
      <c r="AK24" s="10">
        <f>IF(OR(AND(AK19=1,AK18&gt;=Inputs!$F$108,Reserves!AK13&gt;=Debt!AK125-Inputs!$F$254,OR(AK20=0,AK21=1),Debt!AK114&gt;Inputs!$F$253,OR(AK22=0,AK23=1)),AND(Time!AK37=1,Debt!AK114&lt;=Inputs!$F$253),AND(Debt!AK114&lt;=Inputs!$F$253,Time!AK35=1,Debt!AK115&lt;Inputs!$F$253)),1,0)</f>
        <v/>
      </c>
      <c r="AL24" s="10">
        <f>IF(OR(AND(AL19=1,AL18&gt;=Inputs!$F$108,Reserves!AL13&gt;=Debt!AL125-Inputs!$F$254,OR(AL20=0,AL21=1),Debt!AL114&gt;Inputs!$F$253,OR(AL22=0,AL23=1)),AND(Time!AL37=1,Debt!AL114&lt;=Inputs!$F$253),AND(Debt!AL114&lt;=Inputs!$F$253,Time!AL35=1,Debt!AL115&lt;Inputs!$F$253)),1,0)</f>
        <v/>
      </c>
      <c r="AM24" s="10">
        <f>IF(OR(AND(AM19=1,AM18&gt;=Inputs!$F$108,Reserves!AM13&gt;=Debt!AM125-Inputs!$F$254,OR(AM20=0,AM21=1),Debt!AM114&gt;Inputs!$F$253,OR(AM22=0,AM23=1)),AND(Time!AM37=1,Debt!AM114&lt;=Inputs!$F$253),AND(Debt!AM114&lt;=Inputs!$F$253,Time!AM35=1,Debt!AM115&lt;Inputs!$F$253)),1,0)</f>
        <v/>
      </c>
      <c r="AN24" s="10">
        <f>IF(OR(AND(AN19=1,AN18&gt;=Inputs!$F$108,Reserves!AN13&gt;=Debt!AN125-Inputs!$F$254,OR(AN20=0,AN21=1),Debt!AN114&gt;Inputs!$F$253,OR(AN22=0,AN23=1)),AND(Time!AN37=1,Debt!AN114&lt;=Inputs!$F$253),AND(Debt!AN114&lt;=Inputs!$F$253,Time!AN35=1,Debt!AN115&lt;Inputs!$F$253)),1,0)</f>
        <v/>
      </c>
      <c r="AO24" s="10">
        <f>IF(OR(AND(AO19=1,AO18&gt;=Inputs!$F$108,Reserves!AO13&gt;=Debt!AO125-Inputs!$F$254,OR(AO20=0,AO21=1),Debt!AO114&gt;Inputs!$F$253,OR(AO22=0,AO23=1)),AND(Time!AO37=1,Debt!AO114&lt;=Inputs!$F$253),AND(Debt!AO114&lt;=Inputs!$F$253,Time!AO35=1,Debt!AO115&lt;Inputs!$F$253)),1,0)</f>
        <v/>
      </c>
      <c r="AP24" s="10">
        <f>IF(OR(AND(AP19=1,AP18&gt;=Inputs!$F$108,Reserves!AP13&gt;=Debt!AP125-Inputs!$F$254,OR(AP20=0,AP21=1),Debt!AP114&gt;Inputs!$F$253,OR(AP22=0,AP23=1)),AND(Time!AP37=1,Debt!AP114&lt;=Inputs!$F$253),AND(Debt!AP114&lt;=Inputs!$F$253,Time!AP35=1,Debt!AP115&lt;Inputs!$F$253)),1,0)</f>
        <v/>
      </c>
      <c r="AQ24" s="10">
        <f>IF(OR(AND(AQ19=1,AQ18&gt;=Inputs!$F$108,Reserves!AQ13&gt;=Debt!AQ125-Inputs!$F$254,OR(AQ20=0,AQ21=1),Debt!AQ114&gt;Inputs!$F$253,OR(AQ22=0,AQ23=1)),AND(Time!AQ37=1,Debt!AQ114&lt;=Inputs!$F$253),AND(Debt!AQ114&lt;=Inputs!$F$253,Time!AQ35=1,Debt!AQ115&lt;Inputs!$F$253)),1,0)</f>
        <v/>
      </c>
      <c r="AR24" s="10">
        <f>IF(OR(AND(AR19=1,AR18&gt;=Inputs!$F$108,Reserves!AR13&gt;=Debt!AR125-Inputs!$F$254,OR(AR20=0,AR21=1),Debt!AR114&gt;Inputs!$F$253,OR(AR22=0,AR23=1)),AND(Time!AR37=1,Debt!AR114&lt;=Inputs!$F$253),AND(Debt!AR114&lt;=Inputs!$F$253,Time!AR35=1,Debt!AR115&lt;Inputs!$F$253)),1,0)</f>
        <v/>
      </c>
      <c r="AS24" s="10">
        <f>IF(OR(AND(AS19=1,AS18&gt;=Inputs!$F$108,Reserves!AS13&gt;=Debt!AS125-Inputs!$F$254,OR(AS20=0,AS21=1),Debt!AS114&gt;Inputs!$F$253,OR(AS22=0,AS23=1)),AND(Time!AS37=1,Debt!AS114&lt;=Inputs!$F$253),AND(Debt!AS114&lt;=Inputs!$F$253,Time!AS35=1,Debt!AS115&lt;Inputs!$F$253)),1,0)</f>
        <v/>
      </c>
      <c r="AT24" s="10">
        <f>IF(OR(AND(AT19=1,AT18&gt;=Inputs!$F$108,Reserves!AT13&gt;=Debt!AT125-Inputs!$F$254,OR(AT20=0,AT21=1),Debt!AT114&gt;Inputs!$F$253,OR(AT22=0,AT23=1)),AND(Time!AT37=1,Debt!AT114&lt;=Inputs!$F$253),AND(Debt!AT114&lt;=Inputs!$F$253,Time!AT35=1,Debt!AT115&lt;Inputs!$F$253)),1,0)</f>
        <v/>
      </c>
      <c r="AU24" s="10">
        <f>IF(OR(AND(AU19=1,AU18&gt;=Inputs!$F$108,Reserves!AU13&gt;=Debt!AU125-Inputs!$F$254,OR(AU20=0,AU21=1),Debt!AU114&gt;Inputs!$F$253,OR(AU22=0,AU23=1)),AND(Time!AU37=1,Debt!AU114&lt;=Inputs!$F$253),AND(Debt!AU114&lt;=Inputs!$F$253,Time!AU35=1,Debt!AU115&lt;Inputs!$F$253)),1,0)</f>
        <v/>
      </c>
      <c r="AV24" s="10">
        <f>IF(OR(AND(AV19=1,AV18&gt;=Inputs!$F$108,Reserves!AV13&gt;=Debt!AV125-Inputs!$F$254,OR(AV20=0,AV21=1),Debt!AV114&gt;Inputs!$F$253,OR(AV22=0,AV23=1)),AND(Time!AV37=1,Debt!AV114&lt;=Inputs!$F$253),AND(Debt!AV114&lt;=Inputs!$F$253,Time!AV35=1,Debt!AV115&lt;Inputs!$F$253)),1,0)</f>
        <v/>
      </c>
      <c r="AW24" s="10">
        <f>IF(OR(AND(AW19=1,AW18&gt;=Inputs!$F$108,Reserves!AW13&gt;=Debt!AW125-Inputs!$F$254,OR(AW20=0,AW21=1),Debt!AW114&gt;Inputs!$F$253,OR(AW22=0,AW23=1)),AND(Time!AW37=1,Debt!AW114&lt;=Inputs!$F$253),AND(Debt!AW114&lt;=Inputs!$F$253,Time!AW35=1,Debt!AW115&lt;Inputs!$F$253)),1,0)</f>
        <v/>
      </c>
      <c r="AX24" s="10">
        <f>IF(OR(AND(AX19=1,AX18&gt;=Inputs!$F$108,Reserves!AX13&gt;=Debt!AX125-Inputs!$F$254,OR(AX20=0,AX21=1),Debt!AX114&gt;Inputs!$F$253,OR(AX22=0,AX23=1)),AND(Time!AX37=1,Debt!AX114&lt;=Inputs!$F$253),AND(Debt!AX114&lt;=Inputs!$F$253,Time!AX35=1,Debt!AX115&lt;Inputs!$F$253)),1,0)</f>
        <v/>
      </c>
      <c r="AY24" s="10">
        <f>IF(OR(AND(AY19=1,AY18&gt;=Inputs!$F$108,Reserves!AY13&gt;=Debt!AY125-Inputs!$F$254,OR(AY20=0,AY21=1),Debt!AY114&gt;Inputs!$F$253,OR(AY22=0,AY23=1)),AND(Time!AY37=1,Debt!AY114&lt;=Inputs!$F$253),AND(Debt!AY114&lt;=Inputs!$F$253,Time!AY35=1,Debt!AY115&lt;Inputs!$F$253)),1,0)</f>
        <v/>
      </c>
      <c r="AZ24" s="10">
        <f>IF(OR(AND(AZ19=1,AZ18&gt;=Inputs!$F$108,Reserves!AZ13&gt;=Debt!AZ125-Inputs!$F$254,OR(AZ20=0,AZ21=1),Debt!AZ114&gt;Inputs!$F$253,OR(AZ22=0,AZ23=1)),AND(Time!AZ37=1,Debt!AZ114&lt;=Inputs!$F$253),AND(Debt!AZ114&lt;=Inputs!$F$253,Time!AZ35=1,Debt!AZ115&lt;Inputs!$F$253)),1,0)</f>
        <v/>
      </c>
      <c r="BA24" s="10">
        <f>IF(OR(AND(BA19=1,BA18&gt;=Inputs!$F$108,Reserves!BA13&gt;=Debt!BA125-Inputs!$F$254,OR(BA20=0,BA21=1),Debt!BA114&gt;Inputs!$F$253,OR(BA22=0,BA23=1)),AND(Time!BA37=1,Debt!BA114&lt;=Inputs!$F$253),AND(Debt!BA114&lt;=Inputs!$F$253,Time!BA35=1,Debt!BA115&lt;Inputs!$F$253)),1,0)</f>
        <v/>
      </c>
      <c r="BB24" s="10">
        <f>IF(OR(AND(BB19=1,BB18&gt;=Inputs!$F$108,Reserves!BB13&gt;=Debt!BB125-Inputs!$F$254,OR(BB20=0,BB21=1),Debt!BB114&gt;Inputs!$F$253,OR(BB22=0,BB23=1)),AND(Time!BB37=1,Debt!BB114&lt;=Inputs!$F$253),AND(Debt!BB114&lt;=Inputs!$F$253,Time!BB35=1,Debt!BB115&lt;Inputs!$F$253)),1,0)</f>
        <v/>
      </c>
      <c r="BC24" s="10">
        <f>IF(OR(AND(BC19=1,BC18&gt;=Inputs!$F$108,Reserves!BC13&gt;=Debt!BC125-Inputs!$F$254,OR(BC20=0,BC21=1),Debt!BC114&gt;Inputs!$F$253,OR(BC22=0,BC23=1)),AND(Time!BC37=1,Debt!BC114&lt;=Inputs!$F$253),AND(Debt!BC114&lt;=Inputs!$F$253,Time!BC35=1,Debt!BC115&lt;Inputs!$F$253)),1,0)</f>
        <v/>
      </c>
      <c r="BD24" s="10">
        <f>IF(OR(AND(BD19=1,BD18&gt;=Inputs!$F$108,Reserves!BD13&gt;=Debt!BD125-Inputs!$F$254,OR(BD20=0,BD21=1),Debt!BD114&gt;Inputs!$F$253,OR(BD22=0,BD23=1)),AND(Time!BD37=1,Debt!BD114&lt;=Inputs!$F$253),AND(Debt!BD114&lt;=Inputs!$F$253,Time!BD35=1,Debt!BD115&lt;Inputs!$F$253)),1,0)</f>
        <v/>
      </c>
      <c r="BE24" s="10">
        <f>IF(OR(AND(BE19=1,BE18&gt;=Inputs!$F$108,Reserves!BE13&gt;=Debt!BE125-Inputs!$F$254,OR(BE20=0,BE21=1),Debt!BE114&gt;Inputs!$F$253,OR(BE22=0,BE23=1)),AND(Time!BE37=1,Debt!BE114&lt;=Inputs!$F$253),AND(Debt!BE114&lt;=Inputs!$F$253,Time!BE35=1,Debt!BE115&lt;Inputs!$F$253)),1,0)</f>
        <v/>
      </c>
      <c r="BF24" s="10">
        <f>IF(OR(AND(BF19=1,BF18&gt;=Inputs!$F$108,Reserves!BF13&gt;=Debt!BF125-Inputs!$F$254,OR(BF20=0,BF21=1),Debt!BF114&gt;Inputs!$F$253,OR(BF22=0,BF23=1)),AND(Time!BF37=1,Debt!BF114&lt;=Inputs!$F$253),AND(Debt!BF114&lt;=Inputs!$F$253,Time!BF35=1,Debt!BF115&lt;Inputs!$F$253)),1,0)</f>
        <v/>
      </c>
      <c r="BG24" s="10">
        <f>IF(OR(AND(BG19=1,BG18&gt;=Inputs!$F$108,Reserves!BG13&gt;=Debt!BG125-Inputs!$F$254,OR(BG20=0,BG21=1),Debt!BG114&gt;Inputs!$F$253,OR(BG22=0,BG23=1)),AND(Time!BG37=1,Debt!BG114&lt;=Inputs!$F$253),AND(Debt!BG114&lt;=Inputs!$F$253,Time!BG35=1,Debt!BG115&lt;Inputs!$F$253)),1,0)</f>
        <v/>
      </c>
      <c r="BH24" s="10">
        <f>IF(OR(AND(BH19=1,BH18&gt;=Inputs!$F$108,Reserves!BH13&gt;=Debt!BH125-Inputs!$F$254,OR(BH20=0,BH21=1),Debt!BH114&gt;Inputs!$F$253,OR(BH22=0,BH23=1)),AND(Time!BH37=1,Debt!BH114&lt;=Inputs!$F$253),AND(Debt!BH114&lt;=Inputs!$F$253,Time!BH35=1,Debt!BH115&lt;Inputs!$F$253)),1,0)</f>
        <v/>
      </c>
      <c r="BI24" s="10">
        <f>IF(OR(AND(BI19=1,BI18&gt;=Inputs!$F$108,Reserves!BI13&gt;=Debt!BI125-Inputs!$F$254,OR(BI20=0,BI21=1),Debt!BI114&gt;Inputs!$F$253,OR(BI22=0,BI23=1)),AND(Time!BI37=1,Debt!BI114&lt;=Inputs!$F$253),AND(Debt!BI114&lt;=Inputs!$F$253,Time!BI35=1,Debt!BI115&lt;Inputs!$F$253)),1,0)</f>
        <v/>
      </c>
      <c r="BJ24" s="10">
        <f>IF(OR(AND(BJ19=1,BJ18&gt;=Inputs!$F$108,Reserves!BJ13&gt;=Debt!BJ125-Inputs!$F$254,OR(BJ20=0,BJ21=1),Debt!BJ114&gt;Inputs!$F$253,OR(BJ22=0,BJ23=1)),AND(Time!BJ37=1,Debt!BJ114&lt;=Inputs!$F$253),AND(Debt!BJ114&lt;=Inputs!$F$253,Time!BJ35=1,Debt!BJ115&lt;Inputs!$F$253)),1,0)</f>
        <v/>
      </c>
      <c r="BK24" s="10">
        <f>IF(OR(AND(BK19=1,BK18&gt;=Inputs!$F$108,Reserves!BK13&gt;=Debt!BK125-Inputs!$F$254,OR(BK20=0,BK21=1),Debt!BK114&gt;Inputs!$F$253,OR(BK22=0,BK23=1)),AND(Time!BK37=1,Debt!BK114&lt;=Inputs!$F$253),AND(Debt!BK114&lt;=Inputs!$F$253,Time!BK35=1,Debt!BK115&lt;Inputs!$F$253)),1,0)</f>
        <v/>
      </c>
      <c r="BL24" s="10">
        <f>IF(OR(AND(BL19=1,BL18&gt;=Inputs!$F$108,Reserves!BL13&gt;=Debt!BL125-Inputs!$F$254,OR(BL20=0,BL21=1),Debt!BL114&gt;Inputs!$F$253,OR(BL22=0,BL23=1)),AND(Time!BL37=1,Debt!BL114&lt;=Inputs!$F$253),AND(Debt!BL114&lt;=Inputs!$F$253,Time!BL35=1,Debt!BL115&lt;Inputs!$F$253)),1,0)</f>
        <v/>
      </c>
      <c r="BM24" s="10">
        <f>IF(OR(AND(BM19=1,BM18&gt;=Inputs!$F$108,Reserves!BM13&gt;=Debt!BM125-Inputs!$F$254,OR(BM20=0,BM21=1),Debt!BM114&gt;Inputs!$F$253,OR(BM22=0,BM23=1)),AND(Time!BM37=1,Debt!BM114&lt;=Inputs!$F$253),AND(Debt!BM114&lt;=Inputs!$F$253,Time!BM35=1,Debt!BM115&lt;Inputs!$F$253)),1,0)</f>
        <v/>
      </c>
      <c r="BN24" s="10">
        <f>IF(OR(AND(BN19=1,BN18&gt;=Inputs!$F$108,Reserves!BN13&gt;=Debt!BN125-Inputs!$F$254,OR(BN20=0,BN21=1),Debt!BN114&gt;Inputs!$F$253,OR(BN22=0,BN23=1)),AND(Time!BN37=1,Debt!BN114&lt;=Inputs!$F$253),AND(Debt!BN114&lt;=Inputs!$F$253,Time!BN35=1,Debt!BN115&lt;Inputs!$F$253)),1,0)</f>
        <v/>
      </c>
    </row>
    <row r="25">
      <c r="D25" t="inlineStr">
        <is>
          <t>Lock-up</t>
        </is>
      </c>
      <c r="E25" t="inlineStr">
        <is>
          <t>flag</t>
        </is>
      </c>
      <c r="J25" s="10">
        <f>IF(AND(J24=0,J19=1,Debt!J114&gt;Inputs!$F$253),1,0)</f>
        <v/>
      </c>
      <c r="K25" s="10">
        <f>IF(AND(K24=0,K19=1,Debt!K114&gt;Inputs!$F$253),1,0)</f>
        <v/>
      </c>
      <c r="L25" s="10">
        <f>IF(AND(L24=0,L19=1,Debt!L114&gt;Inputs!$F$253),1,0)</f>
        <v/>
      </c>
      <c r="M25" s="10">
        <f>IF(AND(M24=0,M19=1,Debt!M114&gt;Inputs!$F$253),1,0)</f>
        <v/>
      </c>
      <c r="N25" s="10">
        <f>IF(AND(N24=0,N19=1,Debt!N114&gt;Inputs!$F$253),1,0)</f>
        <v/>
      </c>
      <c r="O25" s="10">
        <f>IF(AND(O24=0,O19=1,Debt!O114&gt;Inputs!$F$253),1,0)</f>
        <v/>
      </c>
      <c r="P25" s="10">
        <f>IF(AND(P24=0,P19=1,Debt!P114&gt;Inputs!$F$253),1,0)</f>
        <v/>
      </c>
      <c r="Q25" s="10">
        <f>IF(AND(Q24=0,Q19=1,Debt!Q114&gt;Inputs!$F$253),1,0)</f>
        <v/>
      </c>
      <c r="R25" s="10">
        <f>IF(AND(R24=0,R19=1,Debt!R114&gt;Inputs!$F$253),1,0)</f>
        <v/>
      </c>
      <c r="S25" s="10">
        <f>IF(AND(S24=0,S19=1,Debt!S114&gt;Inputs!$F$253),1,0)</f>
        <v/>
      </c>
      <c r="T25" s="10">
        <f>IF(AND(T24=0,T19=1,Debt!T114&gt;Inputs!$F$253),1,0)</f>
        <v/>
      </c>
      <c r="U25" s="10">
        <f>IF(AND(U24=0,U19=1,Debt!U114&gt;Inputs!$F$253),1,0)</f>
        <v/>
      </c>
      <c r="V25" s="10">
        <f>IF(AND(V24=0,V19=1,Debt!V114&gt;Inputs!$F$253),1,0)</f>
        <v/>
      </c>
      <c r="W25" s="10">
        <f>IF(AND(W24=0,W19=1,Debt!W114&gt;Inputs!$F$253),1,0)</f>
        <v/>
      </c>
      <c r="X25" s="10">
        <f>IF(AND(X24=0,X19=1,Debt!X114&gt;Inputs!$F$253),1,0)</f>
        <v/>
      </c>
      <c r="Y25" s="10">
        <f>IF(AND(Y24=0,Y19=1,Debt!Y114&gt;Inputs!$F$253),1,0)</f>
        <v/>
      </c>
      <c r="Z25" s="10">
        <f>IF(AND(Z24=0,Z19=1,Debt!Z114&gt;Inputs!$F$253),1,0)</f>
        <v/>
      </c>
      <c r="AA25" s="10">
        <f>IF(AND(AA24=0,AA19=1,Debt!AA114&gt;Inputs!$F$253),1,0)</f>
        <v/>
      </c>
      <c r="AB25" s="10">
        <f>IF(AND(AB24=0,AB19=1,Debt!AB114&gt;Inputs!$F$253),1,0)</f>
        <v/>
      </c>
      <c r="AC25" s="10">
        <f>IF(AND(AC24=0,AC19=1,Debt!AC114&gt;Inputs!$F$253),1,0)</f>
        <v/>
      </c>
      <c r="AD25" s="10">
        <f>IF(AND(AD24=0,AD19=1,Debt!AD114&gt;Inputs!$F$253),1,0)</f>
        <v/>
      </c>
      <c r="AE25" s="10">
        <f>IF(AND(AE24=0,AE19=1,Debt!AE114&gt;Inputs!$F$253),1,0)</f>
        <v/>
      </c>
      <c r="AF25" s="10">
        <f>IF(AND(AF24=0,AF19=1,Debt!AF114&gt;Inputs!$F$253),1,0)</f>
        <v/>
      </c>
      <c r="AG25" s="10">
        <f>IF(AND(AG24=0,AG19=1,Debt!AG114&gt;Inputs!$F$253),1,0)</f>
        <v/>
      </c>
      <c r="AH25" s="10">
        <f>IF(AND(AH24=0,AH19=1,Debt!AH114&gt;Inputs!$F$253),1,0)</f>
        <v/>
      </c>
      <c r="AI25" s="10">
        <f>IF(AND(AI24=0,AI19=1,Debt!AI114&gt;Inputs!$F$253),1,0)</f>
        <v/>
      </c>
      <c r="AJ25" s="10">
        <f>IF(AND(AJ24=0,AJ19=1,Debt!AJ114&gt;Inputs!$F$253),1,0)</f>
        <v/>
      </c>
      <c r="AK25" s="10">
        <f>IF(AND(AK24=0,AK19=1,Debt!AK114&gt;Inputs!$F$253),1,0)</f>
        <v/>
      </c>
      <c r="AL25" s="10">
        <f>IF(AND(AL24=0,AL19=1,Debt!AL114&gt;Inputs!$F$253),1,0)</f>
        <v/>
      </c>
      <c r="AM25" s="10">
        <f>IF(AND(AM24=0,AM19=1,Debt!AM114&gt;Inputs!$F$253),1,0)</f>
        <v/>
      </c>
      <c r="AN25" s="10">
        <f>IF(AND(AN24=0,AN19=1,Debt!AN114&gt;Inputs!$F$253),1,0)</f>
        <v/>
      </c>
      <c r="AO25" s="10">
        <f>IF(AND(AO24=0,AO19=1,Debt!AO114&gt;Inputs!$F$253),1,0)</f>
        <v/>
      </c>
      <c r="AP25" s="10">
        <f>IF(AND(AP24=0,AP19=1,Debt!AP114&gt;Inputs!$F$253),1,0)</f>
        <v/>
      </c>
      <c r="AQ25" s="10">
        <f>IF(AND(AQ24=0,AQ19=1,Debt!AQ114&gt;Inputs!$F$253),1,0)</f>
        <v/>
      </c>
      <c r="AR25" s="10">
        <f>IF(AND(AR24=0,AR19=1,Debt!AR114&gt;Inputs!$F$253),1,0)</f>
        <v/>
      </c>
      <c r="AS25" s="10">
        <f>IF(AND(AS24=0,AS19=1,Debt!AS114&gt;Inputs!$F$253),1,0)</f>
        <v/>
      </c>
      <c r="AT25" s="10">
        <f>IF(AND(AT24=0,AT19=1,Debt!AT114&gt;Inputs!$F$253),1,0)</f>
        <v/>
      </c>
      <c r="AU25" s="10">
        <f>IF(AND(AU24=0,AU19=1,Debt!AU114&gt;Inputs!$F$253),1,0)</f>
        <v/>
      </c>
      <c r="AV25" s="10">
        <f>IF(AND(AV24=0,AV19=1,Debt!AV114&gt;Inputs!$F$253),1,0)</f>
        <v/>
      </c>
      <c r="AW25" s="10">
        <f>IF(AND(AW24=0,AW19=1,Debt!AW114&gt;Inputs!$F$253),1,0)</f>
        <v/>
      </c>
      <c r="AX25" s="10">
        <f>IF(AND(AX24=0,AX19=1,Debt!AX114&gt;Inputs!$F$253),1,0)</f>
        <v/>
      </c>
      <c r="AY25" s="10">
        <f>IF(AND(AY24=0,AY19=1,Debt!AY114&gt;Inputs!$F$253),1,0)</f>
        <v/>
      </c>
      <c r="AZ25" s="10">
        <f>IF(AND(AZ24=0,AZ19=1,Debt!AZ114&gt;Inputs!$F$253),1,0)</f>
        <v/>
      </c>
      <c r="BA25" s="10">
        <f>IF(AND(BA24=0,BA19=1,Debt!BA114&gt;Inputs!$F$253),1,0)</f>
        <v/>
      </c>
      <c r="BB25" s="10">
        <f>IF(AND(BB24=0,BB19=1,Debt!BB114&gt;Inputs!$F$253),1,0)</f>
        <v/>
      </c>
      <c r="BC25" s="10">
        <f>IF(AND(BC24=0,BC19=1,Debt!BC114&gt;Inputs!$F$253),1,0)</f>
        <v/>
      </c>
      <c r="BD25" s="10">
        <f>IF(AND(BD24=0,BD19=1,Debt!BD114&gt;Inputs!$F$253),1,0)</f>
        <v/>
      </c>
      <c r="BE25" s="10">
        <f>IF(AND(BE24=0,BE19=1,Debt!BE114&gt;Inputs!$F$253),1,0)</f>
        <v/>
      </c>
      <c r="BF25" s="10">
        <f>IF(AND(BF24=0,BF19=1,Debt!BF114&gt;Inputs!$F$253),1,0)</f>
        <v/>
      </c>
      <c r="BG25" s="10">
        <f>IF(AND(BG24=0,BG19=1,Debt!BG114&gt;Inputs!$F$253),1,0)</f>
        <v/>
      </c>
      <c r="BH25" s="10">
        <f>IF(AND(BH24=0,BH19=1,Debt!BH114&gt;Inputs!$F$253),1,0)</f>
        <v/>
      </c>
      <c r="BI25" s="10">
        <f>IF(AND(BI24=0,BI19=1,Debt!BI114&gt;Inputs!$F$253),1,0)</f>
        <v/>
      </c>
      <c r="BJ25" s="10">
        <f>IF(AND(BJ24=0,BJ19=1,Debt!BJ114&gt;Inputs!$F$253),1,0)</f>
        <v/>
      </c>
      <c r="BK25" s="10">
        <f>IF(AND(BK24=0,BK19=1,Debt!BK114&gt;Inputs!$F$253),1,0)</f>
        <v/>
      </c>
      <c r="BL25" s="10">
        <f>IF(AND(BL24=0,BL19=1,Debt!BL114&gt;Inputs!$F$253),1,0)</f>
        <v/>
      </c>
      <c r="BM25" s="10">
        <f>IF(AND(BM24=0,BM19=1,Debt!BM114&gt;Inputs!$F$253),1,0)</f>
        <v/>
      </c>
      <c r="BN25" s="10">
        <f>IF(AND(BN24=0,BN19=1,Debt!BN114&gt;Inputs!$F$253),1,0)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10">
        <f>IF(J25=1,I26+1,0)</f>
        <v/>
      </c>
      <c r="K26" s="10">
        <f>IF(K25=1,J26+1,0)</f>
        <v/>
      </c>
      <c r="L26" s="10">
        <f>IF(L25=1,K26+1,0)</f>
        <v/>
      </c>
      <c r="M26" s="10">
        <f>IF(M25=1,L26+1,0)</f>
        <v/>
      </c>
      <c r="N26" s="10">
        <f>IF(N25=1,M26+1,0)</f>
        <v/>
      </c>
      <c r="O26" s="10">
        <f>IF(O25=1,N26+1,0)</f>
        <v/>
      </c>
      <c r="P26" s="10">
        <f>IF(P25=1,O26+1,0)</f>
        <v/>
      </c>
      <c r="Q26" s="10">
        <f>IF(Q25=1,P26+1,0)</f>
        <v/>
      </c>
      <c r="R26" s="10">
        <f>IF(R25=1,Q26+1,0)</f>
        <v/>
      </c>
      <c r="S26" s="10">
        <f>IF(S25=1,R26+1,0)</f>
        <v/>
      </c>
      <c r="T26" s="10">
        <f>IF(T25=1,S26+1,0)</f>
        <v/>
      </c>
      <c r="U26" s="10">
        <f>IF(U25=1,T26+1,0)</f>
        <v/>
      </c>
      <c r="V26" s="10">
        <f>IF(V25=1,U26+1,0)</f>
        <v/>
      </c>
      <c r="W26" s="10">
        <f>IF(W25=1,V26+1,0)</f>
        <v/>
      </c>
      <c r="X26" s="10">
        <f>IF(X25=1,W26+1,0)</f>
        <v/>
      </c>
      <c r="Y26" s="10">
        <f>IF(Y25=1,X26+1,0)</f>
        <v/>
      </c>
      <c r="Z26" s="10">
        <f>IF(Z25=1,Y26+1,0)</f>
        <v/>
      </c>
      <c r="AA26" s="10">
        <f>IF(AA25=1,Z26+1,0)</f>
        <v/>
      </c>
      <c r="AB26" s="10">
        <f>IF(AB25=1,AA26+1,0)</f>
        <v/>
      </c>
      <c r="AC26" s="10">
        <f>IF(AC25=1,AB26+1,0)</f>
        <v/>
      </c>
      <c r="AD26" s="10">
        <f>IF(AD25=1,AC26+1,0)</f>
        <v/>
      </c>
      <c r="AE26" s="10">
        <f>IF(AE25=1,AD26+1,0)</f>
        <v/>
      </c>
      <c r="AF26" s="10">
        <f>IF(AF25=1,AE26+1,0)</f>
        <v/>
      </c>
      <c r="AG26" s="10">
        <f>IF(AG25=1,AF26+1,0)</f>
        <v/>
      </c>
      <c r="AH26" s="10">
        <f>IF(AH25=1,AG26+1,0)</f>
        <v/>
      </c>
      <c r="AI26" s="10">
        <f>IF(AI25=1,AH26+1,0)</f>
        <v/>
      </c>
      <c r="AJ26" s="10">
        <f>IF(AJ25=1,AI26+1,0)</f>
        <v/>
      </c>
      <c r="AK26" s="10">
        <f>IF(AK25=1,AJ26+1,0)</f>
        <v/>
      </c>
      <c r="AL26" s="10">
        <f>IF(AL25=1,AK26+1,0)</f>
        <v/>
      </c>
      <c r="AM26" s="10">
        <f>IF(AM25=1,AL26+1,0)</f>
        <v/>
      </c>
      <c r="AN26" s="10">
        <f>IF(AN25=1,AM26+1,0)</f>
        <v/>
      </c>
      <c r="AO26" s="10">
        <f>IF(AO25=1,AN26+1,0)</f>
        <v/>
      </c>
      <c r="AP26" s="10">
        <f>IF(AP25=1,AO26+1,0)</f>
        <v/>
      </c>
      <c r="AQ26" s="10">
        <f>IF(AQ25=1,AP26+1,0)</f>
        <v/>
      </c>
      <c r="AR26" s="10">
        <f>IF(AR25=1,AQ26+1,0)</f>
        <v/>
      </c>
      <c r="AS26" s="10">
        <f>IF(AS25=1,AR26+1,0)</f>
        <v/>
      </c>
      <c r="AT26" s="10">
        <f>IF(AT25=1,AS26+1,0)</f>
        <v/>
      </c>
      <c r="AU26" s="10">
        <f>IF(AU25=1,AT26+1,0)</f>
        <v/>
      </c>
      <c r="AV26" s="10">
        <f>IF(AV25=1,AU26+1,0)</f>
        <v/>
      </c>
      <c r="AW26" s="10">
        <f>IF(AW25=1,AV26+1,0)</f>
        <v/>
      </c>
      <c r="AX26" s="10">
        <f>IF(AX25=1,AW26+1,0)</f>
        <v/>
      </c>
      <c r="AY26" s="10">
        <f>IF(AY25=1,AX26+1,0)</f>
        <v/>
      </c>
      <c r="AZ26" s="10">
        <f>IF(AZ25=1,AY26+1,0)</f>
        <v/>
      </c>
      <c r="BA26" s="10">
        <f>IF(BA25=1,AZ26+1,0)</f>
        <v/>
      </c>
      <c r="BB26" s="10">
        <f>IF(BB25=1,BA26+1,0)</f>
        <v/>
      </c>
      <c r="BC26" s="10">
        <f>IF(BC25=1,BB26+1,0)</f>
        <v/>
      </c>
      <c r="BD26" s="10">
        <f>IF(BD25=1,BC26+1,0)</f>
        <v/>
      </c>
      <c r="BE26" s="10">
        <f>IF(BE25=1,BD26+1,0)</f>
        <v/>
      </c>
      <c r="BF26" s="10">
        <f>IF(BF25=1,BE26+1,0)</f>
        <v/>
      </c>
      <c r="BG26" s="10">
        <f>IF(BG25=1,BF26+1,0)</f>
        <v/>
      </c>
      <c r="BH26" s="10">
        <f>IF(BH25=1,BG26+1,0)</f>
        <v/>
      </c>
      <c r="BI26" s="10">
        <f>IF(BI25=1,BH26+1,0)</f>
        <v/>
      </c>
      <c r="BJ26" s="10">
        <f>IF(BJ25=1,BI26+1,0)</f>
        <v/>
      </c>
      <c r="BK26" s="10">
        <f>IF(BK25=1,BJ26+1,0)</f>
        <v/>
      </c>
      <c r="BL26" s="10">
        <f>IF(BL25=1,BK26+1,0)</f>
        <v/>
      </c>
      <c r="BM26" s="10">
        <f>IF(BM25=1,BL26+1,0)</f>
        <v/>
      </c>
      <c r="BN26" s="10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3">
        <f>SUM(J28:BN28)</f>
        <v/>
      </c>
      <c r="J28" s="13">
        <f>IF(AND(J24=0,J26&gt;=Inputs!$F$257,J22=0),MIN(J15,Debt!J31+Debt!J45+Debt!J59+Debt!J73+Debt!J87),0)</f>
        <v/>
      </c>
      <c r="K28" s="13">
        <f>IF(AND(K24=0,K26&gt;=Inputs!$F$257,K22=0),MIN(K15,Debt!K31+Debt!K45+Debt!K59+Debt!K73+Debt!K87),0)</f>
        <v/>
      </c>
      <c r="L28" s="13">
        <f>IF(AND(L24=0,L26&gt;=Inputs!$F$257,L22=0),MIN(L15,Debt!L31+Debt!L45+Debt!L59+Debt!L73+Debt!L87),0)</f>
        <v/>
      </c>
      <c r="M28" s="13">
        <f>IF(AND(M24=0,M26&gt;=Inputs!$F$257,M22=0),MIN(M15,Debt!M31+Debt!M45+Debt!M59+Debt!M73+Debt!M87),0)</f>
        <v/>
      </c>
      <c r="N28" s="13">
        <f>IF(AND(N24=0,N26&gt;=Inputs!$F$257,N22=0),MIN(N15,Debt!N31+Debt!N45+Debt!N59+Debt!N73+Debt!N87),0)</f>
        <v/>
      </c>
      <c r="O28" s="13">
        <f>IF(AND(O24=0,O26&gt;=Inputs!$F$257,O22=0),MIN(O15,Debt!O31+Debt!O45+Debt!O59+Debt!O73+Debt!O87),0)</f>
        <v/>
      </c>
      <c r="P28" s="13">
        <f>IF(AND(P24=0,P26&gt;=Inputs!$F$257,P22=0),MIN(P15,Debt!P31+Debt!P45+Debt!P59+Debt!P73+Debt!P87),0)</f>
        <v/>
      </c>
      <c r="Q28" s="13">
        <f>IF(AND(Q24=0,Q26&gt;=Inputs!$F$257,Q22=0),MIN(Q15,Debt!Q31+Debt!Q45+Debt!Q59+Debt!Q73+Debt!Q87),0)</f>
        <v/>
      </c>
      <c r="R28" s="13">
        <f>IF(AND(R24=0,R26&gt;=Inputs!$F$257,R22=0),MIN(R15,Debt!R31+Debt!R45+Debt!R59+Debt!R73+Debt!R87),0)</f>
        <v/>
      </c>
      <c r="S28" s="13">
        <f>IF(AND(S24=0,S26&gt;=Inputs!$F$257,S22=0),MIN(S15,Debt!S31+Debt!S45+Debt!S59+Debt!S73+Debt!S87),0)</f>
        <v/>
      </c>
      <c r="T28" s="13">
        <f>IF(AND(T24=0,T26&gt;=Inputs!$F$257,T22=0),MIN(T15,Debt!T31+Debt!T45+Debt!T59+Debt!T73+Debt!T87),0)</f>
        <v/>
      </c>
      <c r="U28" s="13">
        <f>IF(AND(U24=0,U26&gt;=Inputs!$F$257,U22=0),MIN(U15,Debt!U31+Debt!U45+Debt!U59+Debt!U73+Debt!U87),0)</f>
        <v/>
      </c>
      <c r="V28" s="13">
        <f>IF(AND(V24=0,V26&gt;=Inputs!$F$257,V22=0),MIN(V15,Debt!V31+Debt!V45+Debt!V59+Debt!V73+Debt!V87),0)</f>
        <v/>
      </c>
      <c r="W28" s="13">
        <f>IF(AND(W24=0,W26&gt;=Inputs!$F$257,W22=0),MIN(W15,Debt!W31+Debt!W45+Debt!W59+Debt!W73+Debt!W87),0)</f>
        <v/>
      </c>
      <c r="X28" s="13">
        <f>IF(AND(X24=0,X26&gt;=Inputs!$F$257,X22=0),MIN(X15,Debt!X31+Debt!X45+Debt!X59+Debt!X73+Debt!X87),0)</f>
        <v/>
      </c>
      <c r="Y28" s="13">
        <f>IF(AND(Y24=0,Y26&gt;=Inputs!$F$257,Y22=0),MIN(Y15,Debt!Y31+Debt!Y45+Debt!Y59+Debt!Y73+Debt!Y87),0)</f>
        <v/>
      </c>
      <c r="Z28" s="13">
        <f>IF(AND(Z24=0,Z26&gt;=Inputs!$F$257,Z22=0),MIN(Z15,Debt!Z31+Debt!Z45+Debt!Z59+Debt!Z73+Debt!Z87),0)</f>
        <v/>
      </c>
      <c r="AA28" s="13">
        <f>IF(AND(AA24=0,AA26&gt;=Inputs!$F$257,AA22=0),MIN(AA15,Debt!AA31+Debt!AA45+Debt!AA59+Debt!AA73+Debt!AA87),0)</f>
        <v/>
      </c>
      <c r="AB28" s="13">
        <f>IF(AND(AB24=0,AB26&gt;=Inputs!$F$257,AB22=0),MIN(AB15,Debt!AB31+Debt!AB45+Debt!AB59+Debt!AB73+Debt!AB87),0)</f>
        <v/>
      </c>
      <c r="AC28" s="13">
        <f>IF(AND(AC24=0,AC26&gt;=Inputs!$F$257,AC22=0),MIN(AC15,Debt!AC31+Debt!AC45+Debt!AC59+Debt!AC73+Debt!AC87),0)</f>
        <v/>
      </c>
      <c r="AD28" s="13">
        <f>IF(AND(AD24=0,AD26&gt;=Inputs!$F$257,AD22=0),MIN(AD15,Debt!AD31+Debt!AD45+Debt!AD59+Debt!AD73+Debt!AD87),0)</f>
        <v/>
      </c>
      <c r="AE28" s="13">
        <f>IF(AND(AE24=0,AE26&gt;=Inputs!$F$257,AE22=0),MIN(AE15,Debt!AE31+Debt!AE45+Debt!AE59+Debt!AE73+Debt!AE87),0)</f>
        <v/>
      </c>
      <c r="AF28" s="13">
        <f>IF(AND(AF24=0,AF26&gt;=Inputs!$F$257,AF22=0),MIN(AF15,Debt!AF31+Debt!AF45+Debt!AF59+Debt!AF73+Debt!AF87),0)</f>
        <v/>
      </c>
      <c r="AG28" s="13">
        <f>IF(AND(AG24=0,AG26&gt;=Inputs!$F$257,AG22=0),MIN(AG15,Debt!AG31+Debt!AG45+Debt!AG59+Debt!AG73+Debt!AG87),0)</f>
        <v/>
      </c>
      <c r="AH28" s="13">
        <f>IF(AND(AH24=0,AH26&gt;=Inputs!$F$257,AH22=0),MIN(AH15,Debt!AH31+Debt!AH45+Debt!AH59+Debt!AH73+Debt!AH87),0)</f>
        <v/>
      </c>
      <c r="AI28" s="13">
        <f>IF(AND(AI24=0,AI26&gt;=Inputs!$F$257,AI22=0),MIN(AI15,Debt!AI31+Debt!AI45+Debt!AI59+Debt!AI73+Debt!AI87),0)</f>
        <v/>
      </c>
      <c r="AJ28" s="13">
        <f>IF(AND(AJ24=0,AJ26&gt;=Inputs!$F$257,AJ22=0),MIN(AJ15,Debt!AJ31+Debt!AJ45+Debt!AJ59+Debt!AJ73+Debt!AJ87),0)</f>
        <v/>
      </c>
      <c r="AK28" s="13">
        <f>IF(AND(AK24=0,AK26&gt;=Inputs!$F$257,AK22=0),MIN(AK15,Debt!AK31+Debt!AK45+Debt!AK59+Debt!AK73+Debt!AK87),0)</f>
        <v/>
      </c>
      <c r="AL28" s="13">
        <f>IF(AND(AL24=0,AL26&gt;=Inputs!$F$257,AL22=0),MIN(AL15,Debt!AL31+Debt!AL45+Debt!AL59+Debt!AL73+Debt!AL87),0)</f>
        <v/>
      </c>
      <c r="AM28" s="13">
        <f>IF(AND(AM24=0,AM26&gt;=Inputs!$F$257,AM22=0),MIN(AM15,Debt!AM31+Debt!AM45+Debt!AM59+Debt!AM73+Debt!AM87),0)</f>
        <v/>
      </c>
      <c r="AN28" s="13">
        <f>IF(AND(AN24=0,AN26&gt;=Inputs!$F$257,AN22=0),MIN(AN15,Debt!AN31+Debt!AN45+Debt!AN59+Debt!AN73+Debt!AN87),0)</f>
        <v/>
      </c>
      <c r="AO28" s="13">
        <f>IF(AND(AO24=0,AO26&gt;=Inputs!$F$257,AO22=0),MIN(AO15,Debt!AO31+Debt!AO45+Debt!AO59+Debt!AO73+Debt!AO87),0)</f>
        <v/>
      </c>
      <c r="AP28" s="13">
        <f>IF(AND(AP24=0,AP26&gt;=Inputs!$F$257,AP22=0),MIN(AP15,Debt!AP31+Debt!AP45+Debt!AP59+Debt!AP73+Debt!AP87),0)</f>
        <v/>
      </c>
      <c r="AQ28" s="13">
        <f>IF(AND(AQ24=0,AQ26&gt;=Inputs!$F$257,AQ22=0),MIN(AQ15,Debt!AQ31+Debt!AQ45+Debt!AQ59+Debt!AQ73+Debt!AQ87),0)</f>
        <v/>
      </c>
      <c r="AR28" s="13">
        <f>IF(AND(AR24=0,AR26&gt;=Inputs!$F$257,AR22=0),MIN(AR15,Debt!AR31+Debt!AR45+Debt!AR59+Debt!AR73+Debt!AR87),0)</f>
        <v/>
      </c>
      <c r="AS28" s="13">
        <f>IF(AND(AS24=0,AS26&gt;=Inputs!$F$257,AS22=0),MIN(AS15,Debt!AS31+Debt!AS45+Debt!AS59+Debt!AS73+Debt!AS87),0)</f>
        <v/>
      </c>
      <c r="AT28" s="13">
        <f>IF(AND(AT24=0,AT26&gt;=Inputs!$F$257,AT22=0),MIN(AT15,Debt!AT31+Debt!AT45+Debt!AT59+Debt!AT73+Debt!AT87),0)</f>
        <v/>
      </c>
      <c r="AU28" s="13">
        <f>IF(AND(AU24=0,AU26&gt;=Inputs!$F$257,AU22=0),MIN(AU15,Debt!AU31+Debt!AU45+Debt!AU59+Debt!AU73+Debt!AU87),0)</f>
        <v/>
      </c>
      <c r="AV28" s="13">
        <f>IF(AND(AV24=0,AV26&gt;=Inputs!$F$257,AV22=0),MIN(AV15,Debt!AV31+Debt!AV45+Debt!AV59+Debt!AV73+Debt!AV87),0)</f>
        <v/>
      </c>
      <c r="AW28" s="13">
        <f>IF(AND(AW24=0,AW26&gt;=Inputs!$F$257,AW22=0),MIN(AW15,Debt!AW31+Debt!AW45+Debt!AW59+Debt!AW73+Debt!AW87),0)</f>
        <v/>
      </c>
      <c r="AX28" s="13">
        <f>IF(AND(AX24=0,AX26&gt;=Inputs!$F$257,AX22=0),MIN(AX15,Debt!AX31+Debt!AX45+Debt!AX59+Debt!AX73+Debt!AX87),0)</f>
        <v/>
      </c>
      <c r="AY28" s="13">
        <f>IF(AND(AY24=0,AY26&gt;=Inputs!$F$257,AY22=0),MIN(AY15,Debt!AY31+Debt!AY45+Debt!AY59+Debt!AY73+Debt!AY87),0)</f>
        <v/>
      </c>
      <c r="AZ28" s="13">
        <f>IF(AND(AZ24=0,AZ26&gt;=Inputs!$F$257,AZ22=0),MIN(AZ15,Debt!AZ31+Debt!AZ45+Debt!AZ59+Debt!AZ73+Debt!AZ87),0)</f>
        <v/>
      </c>
      <c r="BA28" s="13">
        <f>IF(AND(BA24=0,BA26&gt;=Inputs!$F$257,BA22=0),MIN(BA15,Debt!BA31+Debt!BA45+Debt!BA59+Debt!BA73+Debt!BA87),0)</f>
        <v/>
      </c>
      <c r="BB28" s="13">
        <f>IF(AND(BB24=0,BB26&gt;=Inputs!$F$257,BB22=0),MIN(BB15,Debt!BB31+Debt!BB45+Debt!BB59+Debt!BB73+Debt!BB87),0)</f>
        <v/>
      </c>
      <c r="BC28" s="13">
        <f>IF(AND(BC24=0,BC26&gt;=Inputs!$F$257,BC22=0),MIN(BC15,Debt!BC31+Debt!BC45+Debt!BC59+Debt!BC73+Debt!BC87),0)</f>
        <v/>
      </c>
      <c r="BD28" s="13">
        <f>IF(AND(BD24=0,BD26&gt;=Inputs!$F$257,BD22=0),MIN(BD15,Debt!BD31+Debt!BD45+Debt!BD59+Debt!BD73+Debt!BD87),0)</f>
        <v/>
      </c>
      <c r="BE28" s="13">
        <f>IF(AND(BE24=0,BE26&gt;=Inputs!$F$257,BE22=0),MIN(BE15,Debt!BE31+Debt!BE45+Debt!BE59+Debt!BE73+Debt!BE87),0)</f>
        <v/>
      </c>
      <c r="BF28" s="13">
        <f>IF(AND(BF24=0,BF26&gt;=Inputs!$F$257,BF22=0),MIN(BF15,Debt!BF31+Debt!BF45+Debt!BF59+Debt!BF73+Debt!BF87),0)</f>
        <v/>
      </c>
      <c r="BG28" s="13">
        <f>IF(AND(BG24=0,BG26&gt;=Inputs!$F$257,BG22=0),MIN(BG15,Debt!BG31+Debt!BG45+Debt!BG59+Debt!BG73+Debt!BG87),0)</f>
        <v/>
      </c>
      <c r="BH28" s="13">
        <f>IF(AND(BH24=0,BH26&gt;=Inputs!$F$257,BH22=0),MIN(BH15,Debt!BH31+Debt!BH45+Debt!BH59+Debt!BH73+Debt!BH87),0)</f>
        <v/>
      </c>
      <c r="BI28" s="13">
        <f>IF(AND(BI24=0,BI26&gt;=Inputs!$F$257,BI22=0),MIN(BI15,Debt!BI31+Debt!BI45+Debt!BI59+Debt!BI73+Debt!BI87),0)</f>
        <v/>
      </c>
      <c r="BJ28" s="13">
        <f>IF(AND(BJ24=0,BJ26&gt;=Inputs!$F$257,BJ22=0),MIN(BJ15,Debt!BJ31+Debt!BJ45+Debt!BJ59+Debt!BJ73+Debt!BJ87),0)</f>
        <v/>
      </c>
      <c r="BK28" s="13">
        <f>IF(AND(BK24=0,BK26&gt;=Inputs!$F$257,BK22=0),MIN(BK15,Debt!BK31+Debt!BK45+Debt!BK59+Debt!BK73+Debt!BK87),0)</f>
        <v/>
      </c>
      <c r="BL28" s="13">
        <f>IF(AND(BL24=0,BL26&gt;=Inputs!$F$257,BL22=0),MIN(BL15,Debt!BL31+Debt!BL45+Debt!BL59+Debt!BL73+Debt!BL87),0)</f>
        <v/>
      </c>
      <c r="BM28" s="13">
        <f>IF(AND(BM24=0,BM26&gt;=Inputs!$F$257,BM22=0),MIN(BM15,Debt!BM31+Debt!BM45+Debt!BM59+Debt!BM73+Debt!BM87),0)</f>
        <v/>
      </c>
      <c r="BN28" s="13">
        <f>IF(AND(BN24=0,BN26&gt;=Inputs!$F$257,BN22=0),MIN(BN15,Debt!BN31+Debt!BN45+Debt!BN59+Debt!BN73+Debt!BN87),0)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3">
        <f>SUM(J29:BN29)</f>
        <v/>
      </c>
      <c r="J29" s="13">
        <f>IF(AND(J24=1,Time!J52=1,Inputs!$F$52=1),MIN(Inputs!$F$111*J15,Debt!J73),0)</f>
        <v/>
      </c>
      <c r="K29" s="13">
        <f>IF(AND(K24=1,Time!K52=1,Inputs!$F$52=1),MIN(Inputs!$F$111*K15,Debt!K73),0)</f>
        <v/>
      </c>
      <c r="L29" s="13">
        <f>IF(AND(L24=1,Time!L52=1,Inputs!$F$52=1),MIN(Inputs!$F$111*L15,Debt!L73),0)</f>
        <v/>
      </c>
      <c r="M29" s="13">
        <f>IF(AND(M24=1,Time!M52=1,Inputs!$F$52=1),MIN(Inputs!$F$111*M15,Debt!M73),0)</f>
        <v/>
      </c>
      <c r="N29" s="13">
        <f>IF(AND(N24=1,Time!N52=1,Inputs!$F$52=1),MIN(Inputs!$F$111*N15,Debt!N73),0)</f>
        <v/>
      </c>
      <c r="O29" s="13">
        <f>IF(AND(O24=1,Time!O52=1,Inputs!$F$52=1),MIN(Inputs!$F$111*O15,Debt!O73),0)</f>
        <v/>
      </c>
      <c r="P29" s="13">
        <f>IF(AND(P24=1,Time!P52=1,Inputs!$F$52=1),MIN(Inputs!$F$111*P15,Debt!P73),0)</f>
        <v/>
      </c>
      <c r="Q29" s="13">
        <f>IF(AND(Q24=1,Time!Q52=1,Inputs!$F$52=1),MIN(Inputs!$F$111*Q15,Debt!Q73),0)</f>
        <v/>
      </c>
      <c r="R29" s="13">
        <f>IF(AND(R24=1,Time!R52=1,Inputs!$F$52=1),MIN(Inputs!$F$111*R15,Debt!R73),0)</f>
        <v/>
      </c>
      <c r="S29" s="13">
        <f>IF(AND(S24=1,Time!S52=1,Inputs!$F$52=1),MIN(Inputs!$F$111*S15,Debt!S73),0)</f>
        <v/>
      </c>
      <c r="T29" s="13">
        <f>IF(AND(T24=1,Time!T52=1,Inputs!$F$52=1),MIN(Inputs!$F$111*T15,Debt!T73),0)</f>
        <v/>
      </c>
      <c r="U29" s="13">
        <f>IF(AND(U24=1,Time!U52=1,Inputs!$F$52=1),MIN(Inputs!$F$111*U15,Debt!U73),0)</f>
        <v/>
      </c>
      <c r="V29" s="13">
        <f>IF(AND(V24=1,Time!V52=1,Inputs!$F$52=1),MIN(Inputs!$F$111*V15,Debt!V73),0)</f>
        <v/>
      </c>
      <c r="W29" s="13">
        <f>IF(AND(W24=1,Time!W52=1,Inputs!$F$52=1),MIN(Inputs!$F$111*W15,Debt!W73),0)</f>
        <v/>
      </c>
      <c r="X29" s="13">
        <f>IF(AND(X24=1,Time!X52=1,Inputs!$F$52=1),MIN(Inputs!$F$111*X15,Debt!X73),0)</f>
        <v/>
      </c>
      <c r="Y29" s="13">
        <f>IF(AND(Y24=1,Time!Y52=1,Inputs!$F$52=1),MIN(Inputs!$F$111*Y15,Debt!Y73),0)</f>
        <v/>
      </c>
      <c r="Z29" s="13">
        <f>IF(AND(Z24=1,Time!Z52=1,Inputs!$F$52=1),MIN(Inputs!$F$111*Z15,Debt!Z73),0)</f>
        <v/>
      </c>
      <c r="AA29" s="13">
        <f>IF(AND(AA24=1,Time!AA52=1,Inputs!$F$52=1),MIN(Inputs!$F$111*AA15,Debt!AA73),0)</f>
        <v/>
      </c>
      <c r="AB29" s="13">
        <f>IF(AND(AB24=1,Time!AB52=1,Inputs!$F$52=1),MIN(Inputs!$F$111*AB15,Debt!AB73),0)</f>
        <v/>
      </c>
      <c r="AC29" s="13">
        <f>IF(AND(AC24=1,Time!AC52=1,Inputs!$F$52=1),MIN(Inputs!$F$111*AC15,Debt!AC73),0)</f>
        <v/>
      </c>
      <c r="AD29" s="13">
        <f>IF(AND(AD24=1,Time!AD52=1,Inputs!$F$52=1),MIN(Inputs!$F$111*AD15,Debt!AD73),0)</f>
        <v/>
      </c>
      <c r="AE29" s="13">
        <f>IF(AND(AE24=1,Time!AE52=1,Inputs!$F$52=1),MIN(Inputs!$F$111*AE15,Debt!AE73),0)</f>
        <v/>
      </c>
      <c r="AF29" s="13">
        <f>IF(AND(AF24=1,Time!AF52=1,Inputs!$F$52=1),MIN(Inputs!$F$111*AF15,Debt!AF73),0)</f>
        <v/>
      </c>
      <c r="AG29" s="13">
        <f>IF(AND(AG24=1,Time!AG52=1,Inputs!$F$52=1),MIN(Inputs!$F$111*AG15,Debt!AG73),0)</f>
        <v/>
      </c>
      <c r="AH29" s="13">
        <f>IF(AND(AH24=1,Time!AH52=1,Inputs!$F$52=1),MIN(Inputs!$F$111*AH15,Debt!AH73),0)</f>
        <v/>
      </c>
      <c r="AI29" s="13">
        <f>IF(AND(AI24=1,Time!AI52=1,Inputs!$F$52=1),MIN(Inputs!$F$111*AI15,Debt!AI73),0)</f>
        <v/>
      </c>
      <c r="AJ29" s="13">
        <f>IF(AND(AJ24=1,Time!AJ52=1,Inputs!$F$52=1),MIN(Inputs!$F$111*AJ15,Debt!AJ73),0)</f>
        <v/>
      </c>
      <c r="AK29" s="13">
        <f>IF(AND(AK24=1,Time!AK52=1,Inputs!$F$52=1),MIN(Inputs!$F$111*AK15,Debt!AK73),0)</f>
        <v/>
      </c>
      <c r="AL29" s="13">
        <f>IF(AND(AL24=1,Time!AL52=1,Inputs!$F$52=1),MIN(Inputs!$F$111*AL15,Debt!AL73),0)</f>
        <v/>
      </c>
      <c r="AM29" s="13">
        <f>IF(AND(AM24=1,Time!AM52=1,Inputs!$F$52=1),MIN(Inputs!$F$111*AM15,Debt!AM73),0)</f>
        <v/>
      </c>
      <c r="AN29" s="13">
        <f>IF(AND(AN24=1,Time!AN52=1,Inputs!$F$52=1),MIN(Inputs!$F$111*AN15,Debt!AN73),0)</f>
        <v/>
      </c>
      <c r="AO29" s="13">
        <f>IF(AND(AO24=1,Time!AO52=1,Inputs!$F$52=1),MIN(Inputs!$F$111*AO15,Debt!AO73),0)</f>
        <v/>
      </c>
      <c r="AP29" s="13">
        <f>IF(AND(AP24=1,Time!AP52=1,Inputs!$F$52=1),MIN(Inputs!$F$111*AP15,Debt!AP73),0)</f>
        <v/>
      </c>
      <c r="AQ29" s="13">
        <f>IF(AND(AQ24=1,Time!AQ52=1,Inputs!$F$52=1),MIN(Inputs!$F$111*AQ15,Debt!AQ73),0)</f>
        <v/>
      </c>
      <c r="AR29" s="13">
        <f>IF(AND(AR24=1,Time!AR52=1,Inputs!$F$52=1),MIN(Inputs!$F$111*AR15,Debt!AR73),0)</f>
        <v/>
      </c>
      <c r="AS29" s="13">
        <f>IF(AND(AS24=1,Time!AS52=1,Inputs!$F$52=1),MIN(Inputs!$F$111*AS15,Debt!AS73),0)</f>
        <v/>
      </c>
      <c r="AT29" s="13">
        <f>IF(AND(AT24=1,Time!AT52=1,Inputs!$F$52=1),MIN(Inputs!$F$111*AT15,Debt!AT73),0)</f>
        <v/>
      </c>
      <c r="AU29" s="13">
        <f>IF(AND(AU24=1,Time!AU52=1,Inputs!$F$52=1),MIN(Inputs!$F$111*AU15,Debt!AU73),0)</f>
        <v/>
      </c>
      <c r="AV29" s="13">
        <f>IF(AND(AV24=1,Time!AV52=1,Inputs!$F$52=1),MIN(Inputs!$F$111*AV15,Debt!AV73),0)</f>
        <v/>
      </c>
      <c r="AW29" s="13">
        <f>IF(AND(AW24=1,Time!AW52=1,Inputs!$F$52=1),MIN(Inputs!$F$111*AW15,Debt!AW73),0)</f>
        <v/>
      </c>
      <c r="AX29" s="13">
        <f>IF(AND(AX24=1,Time!AX52=1,Inputs!$F$52=1),MIN(Inputs!$F$111*AX15,Debt!AX73),0)</f>
        <v/>
      </c>
      <c r="AY29" s="13">
        <f>IF(AND(AY24=1,Time!AY52=1,Inputs!$F$52=1),MIN(Inputs!$F$111*AY15,Debt!AY73),0)</f>
        <v/>
      </c>
      <c r="AZ29" s="13">
        <f>IF(AND(AZ24=1,Time!AZ52=1,Inputs!$F$52=1),MIN(Inputs!$F$111*AZ15,Debt!AZ73),0)</f>
        <v/>
      </c>
      <c r="BA29" s="13">
        <f>IF(AND(BA24=1,Time!BA52=1,Inputs!$F$52=1),MIN(Inputs!$F$111*BA15,Debt!BA73),0)</f>
        <v/>
      </c>
      <c r="BB29" s="13">
        <f>IF(AND(BB24=1,Time!BB52=1,Inputs!$F$52=1),MIN(Inputs!$F$111*BB15,Debt!BB73),0)</f>
        <v/>
      </c>
      <c r="BC29" s="13">
        <f>IF(AND(BC24=1,Time!BC52=1,Inputs!$F$52=1),MIN(Inputs!$F$111*BC15,Debt!BC73),0)</f>
        <v/>
      </c>
      <c r="BD29" s="13">
        <f>IF(AND(BD24=1,Time!BD52=1,Inputs!$F$52=1),MIN(Inputs!$F$111*BD15,Debt!BD73),0)</f>
        <v/>
      </c>
      <c r="BE29" s="13">
        <f>IF(AND(BE24=1,Time!BE52=1,Inputs!$F$52=1),MIN(Inputs!$F$111*BE15,Debt!BE73),0)</f>
        <v/>
      </c>
      <c r="BF29" s="13">
        <f>IF(AND(BF24=1,Time!BF52=1,Inputs!$F$52=1),MIN(Inputs!$F$111*BF15,Debt!BF73),0)</f>
        <v/>
      </c>
      <c r="BG29" s="13">
        <f>IF(AND(BG24=1,Time!BG52=1,Inputs!$F$52=1),MIN(Inputs!$F$111*BG15,Debt!BG73),0)</f>
        <v/>
      </c>
      <c r="BH29" s="13">
        <f>IF(AND(BH24=1,Time!BH52=1,Inputs!$F$52=1),MIN(Inputs!$F$111*BH15,Debt!BH73),0)</f>
        <v/>
      </c>
      <c r="BI29" s="13">
        <f>IF(AND(BI24=1,Time!BI52=1,Inputs!$F$52=1),MIN(Inputs!$F$111*BI15,Debt!BI73),0)</f>
        <v/>
      </c>
      <c r="BJ29" s="13">
        <f>IF(AND(BJ24=1,Time!BJ52=1,Inputs!$F$52=1),MIN(Inputs!$F$111*BJ15,Debt!BJ73),0)</f>
        <v/>
      </c>
      <c r="BK29" s="13">
        <f>IF(AND(BK24=1,Time!BK52=1,Inputs!$F$52=1),MIN(Inputs!$F$111*BK15,Debt!BK73),0)</f>
        <v/>
      </c>
      <c r="BL29" s="13">
        <f>IF(AND(BL24=1,Time!BL52=1,Inputs!$F$52=1),MIN(Inputs!$F$111*BL15,Debt!BL73),0)</f>
        <v/>
      </c>
      <c r="BM29" s="13">
        <f>IF(AND(BM24=1,Time!BM52=1,Inputs!$F$52=1),MIN(Inputs!$F$111*BM15,Debt!BM73),0)</f>
        <v/>
      </c>
      <c r="BN29" s="13">
        <f>IF(AND(BN24=1,Time!BN52=1,Inputs!$F$52=1),MIN(Inputs!$F$111*BN15,Debt!BN73),0)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3">
        <f>IF(J24=0,J15-J28,0)</f>
        <v/>
      </c>
      <c r="K30" s="13">
        <f>IF(K24=0,K15-K28,0)</f>
        <v/>
      </c>
      <c r="L30" s="13">
        <f>IF(L24=0,L15-L28,0)</f>
        <v/>
      </c>
      <c r="M30" s="13">
        <f>IF(M24=0,M15-M28,0)</f>
        <v/>
      </c>
      <c r="N30" s="13">
        <f>IF(N24=0,N15-N28,0)</f>
        <v/>
      </c>
      <c r="O30" s="13">
        <f>IF(O24=0,O15-O28,0)</f>
        <v/>
      </c>
      <c r="P30" s="13">
        <f>IF(P24=0,P15-P28,0)</f>
        <v/>
      </c>
      <c r="Q30" s="13">
        <f>IF(Q24=0,Q15-Q28,0)</f>
        <v/>
      </c>
      <c r="R30" s="13">
        <f>IF(R24=0,R15-R28,0)</f>
        <v/>
      </c>
      <c r="S30" s="13">
        <f>IF(S24=0,S15-S28,0)</f>
        <v/>
      </c>
      <c r="T30" s="13">
        <f>IF(T24=0,T15-T28,0)</f>
        <v/>
      </c>
      <c r="U30" s="13">
        <f>IF(U24=0,U15-U28,0)</f>
        <v/>
      </c>
      <c r="V30" s="13">
        <f>IF(V24=0,V15-V28,0)</f>
        <v/>
      </c>
      <c r="W30" s="13">
        <f>IF(W24=0,W15-W28,0)</f>
        <v/>
      </c>
      <c r="X30" s="13">
        <f>IF(X24=0,X15-X28,0)</f>
        <v/>
      </c>
      <c r="Y30" s="13">
        <f>IF(Y24=0,Y15-Y28,0)</f>
        <v/>
      </c>
      <c r="Z30" s="13">
        <f>IF(Z24=0,Z15-Z28,0)</f>
        <v/>
      </c>
      <c r="AA30" s="13">
        <f>IF(AA24=0,AA15-AA28,0)</f>
        <v/>
      </c>
      <c r="AB30" s="13">
        <f>IF(AB24=0,AB15-AB28,0)</f>
        <v/>
      </c>
      <c r="AC30" s="13">
        <f>IF(AC24=0,AC15-AC28,0)</f>
        <v/>
      </c>
      <c r="AD30" s="13">
        <f>IF(AD24=0,AD15-AD28,0)</f>
        <v/>
      </c>
      <c r="AE30" s="13">
        <f>IF(AE24=0,AE15-AE28,0)</f>
        <v/>
      </c>
      <c r="AF30" s="13">
        <f>IF(AF24=0,AF15-AF28,0)</f>
        <v/>
      </c>
      <c r="AG30" s="13">
        <f>IF(AG24=0,AG15-AG28,0)</f>
        <v/>
      </c>
      <c r="AH30" s="13">
        <f>IF(AH24=0,AH15-AH28,0)</f>
        <v/>
      </c>
      <c r="AI30" s="13">
        <f>IF(AI24=0,AI15-AI28,0)</f>
        <v/>
      </c>
      <c r="AJ30" s="13">
        <f>IF(AJ24=0,AJ15-AJ28,0)</f>
        <v/>
      </c>
      <c r="AK30" s="13">
        <f>IF(AK24=0,AK15-AK28,0)</f>
        <v/>
      </c>
      <c r="AL30" s="13">
        <f>IF(AL24=0,AL15-AL28,0)</f>
        <v/>
      </c>
      <c r="AM30" s="13">
        <f>IF(AM24=0,AM15-AM28,0)</f>
        <v/>
      </c>
      <c r="AN30" s="13">
        <f>IF(AN24=0,AN15-AN28,0)</f>
        <v/>
      </c>
      <c r="AO30" s="13">
        <f>IF(AO24=0,AO15-AO28,0)</f>
        <v/>
      </c>
      <c r="AP30" s="13">
        <f>IF(AP24=0,AP15-AP28,0)</f>
        <v/>
      </c>
      <c r="AQ30" s="13">
        <f>IF(AQ24=0,AQ15-AQ28,0)</f>
        <v/>
      </c>
      <c r="AR30" s="13">
        <f>IF(AR24=0,AR15-AR28,0)</f>
        <v/>
      </c>
      <c r="AS30" s="13">
        <f>IF(AS24=0,AS15-AS28,0)</f>
        <v/>
      </c>
      <c r="AT30" s="13">
        <f>IF(AT24=0,AT15-AT28,0)</f>
        <v/>
      </c>
      <c r="AU30" s="13">
        <f>IF(AU24=0,AU15-AU28,0)</f>
        <v/>
      </c>
      <c r="AV30" s="13">
        <f>IF(AV24=0,AV15-AV28,0)</f>
        <v/>
      </c>
      <c r="AW30" s="13">
        <f>IF(AW24=0,AW15-AW28,0)</f>
        <v/>
      </c>
      <c r="AX30" s="13">
        <f>IF(AX24=0,AX15-AX28,0)</f>
        <v/>
      </c>
      <c r="AY30" s="13">
        <f>IF(AY24=0,AY15-AY28,0)</f>
        <v/>
      </c>
      <c r="AZ30" s="13">
        <f>IF(AZ24=0,AZ15-AZ28,0)</f>
        <v/>
      </c>
      <c r="BA30" s="13">
        <f>IF(BA24=0,BA15-BA28,0)</f>
        <v/>
      </c>
      <c r="BB30" s="13">
        <f>IF(BB24=0,BB15-BB28,0)</f>
        <v/>
      </c>
      <c r="BC30" s="13">
        <f>IF(BC24=0,BC15-BC28,0)</f>
        <v/>
      </c>
      <c r="BD30" s="13">
        <f>IF(BD24=0,BD15-BD28,0)</f>
        <v/>
      </c>
      <c r="BE30" s="13">
        <f>IF(BE24=0,BE15-BE28,0)</f>
        <v/>
      </c>
      <c r="BF30" s="13">
        <f>IF(BF24=0,BF15-BF28,0)</f>
        <v/>
      </c>
      <c r="BG30" s="13">
        <f>IF(BG24=0,BG15-BG28,0)</f>
        <v/>
      </c>
      <c r="BH30" s="13">
        <f>IF(BH24=0,BH15-BH28,0)</f>
        <v/>
      </c>
      <c r="BI30" s="13">
        <f>IF(BI24=0,BI15-BI28,0)</f>
        <v/>
      </c>
      <c r="BJ30" s="13">
        <f>IF(BJ24=0,BJ15-BJ28,0)</f>
        <v/>
      </c>
      <c r="BK30" s="13">
        <f>IF(BK24=0,BK15-BK28,0)</f>
        <v/>
      </c>
      <c r="BL30" s="13">
        <f>IF(BL24=0,BL15-BL28,0)</f>
        <v/>
      </c>
      <c r="BM30" s="13">
        <f>IF(BM24=0,BM15-BM28,0)</f>
        <v/>
      </c>
      <c r="BN30" s="13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3">
        <f>SUM(J31:BN31)</f>
        <v/>
      </c>
      <c r="J31" s="13">
        <f>IF(J24=1,J15-J29,0)</f>
        <v/>
      </c>
      <c r="K31" s="13">
        <f>IF(K24=1,K15-K29,0)</f>
        <v/>
      </c>
      <c r="L31" s="13">
        <f>IF(L24=1,L15-L29,0)</f>
        <v/>
      </c>
      <c r="M31" s="13">
        <f>IF(M24=1,M15-M29,0)</f>
        <v/>
      </c>
      <c r="N31" s="13">
        <f>IF(N24=1,N15-N29,0)</f>
        <v/>
      </c>
      <c r="O31" s="13">
        <f>IF(O24=1,O15-O29,0)</f>
        <v/>
      </c>
      <c r="P31" s="13">
        <f>IF(P24=1,P15-P29,0)</f>
        <v/>
      </c>
      <c r="Q31" s="13">
        <f>IF(Q24=1,Q15-Q29,0)</f>
        <v/>
      </c>
      <c r="R31" s="13">
        <f>IF(R24=1,R15-R29,0)</f>
        <v/>
      </c>
      <c r="S31" s="13">
        <f>IF(S24=1,S15-S29,0)</f>
        <v/>
      </c>
      <c r="T31" s="13">
        <f>IF(T24=1,T15-T29,0)</f>
        <v/>
      </c>
      <c r="U31" s="13">
        <f>IF(U24=1,U15-U29,0)</f>
        <v/>
      </c>
      <c r="V31" s="13">
        <f>IF(V24=1,V15-V29,0)</f>
        <v/>
      </c>
      <c r="W31" s="13">
        <f>IF(W24=1,W15-W29,0)</f>
        <v/>
      </c>
      <c r="X31" s="13">
        <f>IF(X24=1,X15-X29,0)</f>
        <v/>
      </c>
      <c r="Y31" s="13">
        <f>IF(Y24=1,Y15-Y29,0)</f>
        <v/>
      </c>
      <c r="Z31" s="13">
        <f>IF(Z24=1,Z15-Z29,0)</f>
        <v/>
      </c>
      <c r="AA31" s="13">
        <f>IF(AA24=1,AA15-AA29,0)</f>
        <v/>
      </c>
      <c r="AB31" s="13">
        <f>IF(AB24=1,AB15-AB29,0)</f>
        <v/>
      </c>
      <c r="AC31" s="13">
        <f>IF(AC24=1,AC15-AC29,0)</f>
        <v/>
      </c>
      <c r="AD31" s="13">
        <f>IF(AD24=1,AD15-AD29,0)</f>
        <v/>
      </c>
      <c r="AE31" s="13">
        <f>IF(AE24=1,AE15-AE29,0)</f>
        <v/>
      </c>
      <c r="AF31" s="13">
        <f>IF(AF24=1,AF15-AF29,0)</f>
        <v/>
      </c>
      <c r="AG31" s="13">
        <f>IF(AG24=1,AG15-AG29,0)</f>
        <v/>
      </c>
      <c r="AH31" s="13">
        <f>IF(AH24=1,AH15-AH29,0)</f>
        <v/>
      </c>
      <c r="AI31" s="13">
        <f>IF(AI24=1,AI15-AI29,0)</f>
        <v/>
      </c>
      <c r="AJ31" s="13">
        <f>IF(AJ24=1,AJ15-AJ29,0)</f>
        <v/>
      </c>
      <c r="AK31" s="13">
        <f>IF(AK24=1,AK15-AK29,0)</f>
        <v/>
      </c>
      <c r="AL31" s="13">
        <f>IF(AL24=1,AL15-AL29,0)</f>
        <v/>
      </c>
      <c r="AM31" s="13">
        <f>IF(AM24=1,AM15-AM29,0)</f>
        <v/>
      </c>
      <c r="AN31" s="13">
        <f>IF(AN24=1,AN15-AN29,0)</f>
        <v/>
      </c>
      <c r="AO31" s="13">
        <f>IF(AO24=1,AO15-AO29,0)</f>
        <v/>
      </c>
      <c r="AP31" s="13">
        <f>IF(AP24=1,AP15-AP29,0)</f>
        <v/>
      </c>
      <c r="AQ31" s="13">
        <f>IF(AQ24=1,AQ15-AQ29,0)</f>
        <v/>
      </c>
      <c r="AR31" s="13">
        <f>IF(AR24=1,AR15-AR29,0)</f>
        <v/>
      </c>
      <c r="AS31" s="13">
        <f>IF(AS24=1,AS15-AS29,0)</f>
        <v/>
      </c>
      <c r="AT31" s="13">
        <f>IF(AT24=1,AT15-AT29,0)</f>
        <v/>
      </c>
      <c r="AU31" s="13">
        <f>IF(AU24=1,AU15-AU29,0)</f>
        <v/>
      </c>
      <c r="AV31" s="13">
        <f>IF(AV24=1,AV15-AV29,0)</f>
        <v/>
      </c>
      <c r="AW31" s="13">
        <f>IF(AW24=1,AW15-AW29,0)</f>
        <v/>
      </c>
      <c r="AX31" s="13">
        <f>IF(AX24=1,AX15-AX29,0)</f>
        <v/>
      </c>
      <c r="AY31" s="13">
        <f>IF(AY24=1,AY15-AY29,0)</f>
        <v/>
      </c>
      <c r="AZ31" s="13">
        <f>IF(AZ24=1,AZ15-AZ29,0)</f>
        <v/>
      </c>
      <c r="BA31" s="13">
        <f>IF(BA24=1,BA15-BA29,0)</f>
        <v/>
      </c>
      <c r="BB31" s="13">
        <f>IF(BB24=1,BB15-BB29,0)</f>
        <v/>
      </c>
      <c r="BC31" s="13">
        <f>IF(BC24=1,BC15-BC29,0)</f>
        <v/>
      </c>
      <c r="BD31" s="13">
        <f>IF(BD24=1,BD15-BD29,0)</f>
        <v/>
      </c>
      <c r="BE31" s="13">
        <f>IF(BE24=1,BE15-BE29,0)</f>
        <v/>
      </c>
      <c r="BF31" s="13">
        <f>IF(BF24=1,BF15-BF29,0)</f>
        <v/>
      </c>
      <c r="BG31" s="13">
        <f>IF(BG24=1,BG15-BG29,0)</f>
        <v/>
      </c>
      <c r="BH31" s="13">
        <f>IF(BH24=1,BH15-BH29,0)</f>
        <v/>
      </c>
      <c r="BI31" s="13">
        <f>IF(BI24=1,BI15-BI29,0)</f>
        <v/>
      </c>
      <c r="BJ31" s="13">
        <f>IF(BJ24=1,BJ15-BJ29,0)</f>
        <v/>
      </c>
      <c r="BK31" s="13">
        <f>IF(BK24=1,BK15-BK29,0)</f>
        <v/>
      </c>
      <c r="BL31" s="13">
        <f>IF(BL24=1,BL15-BL29,0)</f>
        <v/>
      </c>
      <c r="BM31" s="13">
        <f>IF(BM24=1,BM15-BM29,0)</f>
        <v/>
      </c>
      <c r="BN31" s="13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7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3">
        <f>IF(Time!J20&lt;Time!$F$12,0,IF(Time!J34=1,INDEX(Funding!$J$72:$BJ$72,1,Time!$F$14),I36))</f>
        <v/>
      </c>
      <c r="K33" s="13">
        <f>IF(Time!K20&lt;Time!$F$12,0,IF(Time!K34=1,INDEX(Funding!$J$72:$BJ$72,1,Time!$F$14),J36))</f>
        <v/>
      </c>
      <c r="L33" s="13">
        <f>IF(Time!L20&lt;Time!$F$12,0,IF(Time!L34=1,INDEX(Funding!$J$72:$BJ$72,1,Time!$F$14),K36))</f>
        <v/>
      </c>
      <c r="M33" s="13">
        <f>IF(Time!M20&lt;Time!$F$12,0,IF(Time!M34=1,INDEX(Funding!$J$72:$BJ$72,1,Time!$F$14),L36))</f>
        <v/>
      </c>
      <c r="N33" s="13">
        <f>IF(Time!N20&lt;Time!$F$12,0,IF(Time!N34=1,INDEX(Funding!$J$72:$BJ$72,1,Time!$F$14),M36))</f>
        <v/>
      </c>
      <c r="O33" s="13">
        <f>IF(Time!O20&lt;Time!$F$12,0,IF(Time!O34=1,INDEX(Funding!$J$72:$BJ$72,1,Time!$F$14),N36))</f>
        <v/>
      </c>
      <c r="P33" s="13">
        <f>IF(Time!P20&lt;Time!$F$12,0,IF(Time!P34=1,INDEX(Funding!$J$72:$BJ$72,1,Time!$F$14),O36))</f>
        <v/>
      </c>
      <c r="Q33" s="13">
        <f>IF(Time!Q20&lt;Time!$F$12,0,IF(Time!Q34=1,INDEX(Funding!$J$72:$BJ$72,1,Time!$F$14),P36))</f>
        <v/>
      </c>
      <c r="R33" s="13">
        <f>IF(Time!R20&lt;Time!$F$12,0,IF(Time!R34=1,INDEX(Funding!$J$72:$BJ$72,1,Time!$F$14),Q36))</f>
        <v/>
      </c>
      <c r="S33" s="13">
        <f>IF(Time!S20&lt;Time!$F$12,0,IF(Time!S34=1,INDEX(Funding!$J$72:$BJ$72,1,Time!$F$14),R36))</f>
        <v/>
      </c>
      <c r="T33" s="13">
        <f>IF(Time!T20&lt;Time!$F$12,0,IF(Time!T34=1,INDEX(Funding!$J$72:$BJ$72,1,Time!$F$14),S36))</f>
        <v/>
      </c>
      <c r="U33" s="13">
        <f>IF(Time!U20&lt;Time!$F$12,0,IF(Time!U34=1,INDEX(Funding!$J$72:$BJ$72,1,Time!$F$14),T36))</f>
        <v/>
      </c>
      <c r="V33" s="13">
        <f>IF(Time!V20&lt;Time!$F$12,0,IF(Time!V34=1,INDEX(Funding!$J$72:$BJ$72,1,Time!$F$14),U36))</f>
        <v/>
      </c>
      <c r="W33" s="13">
        <f>IF(Time!W20&lt;Time!$F$12,0,IF(Time!W34=1,INDEX(Funding!$J$72:$BJ$72,1,Time!$F$14),V36))</f>
        <v/>
      </c>
      <c r="X33" s="13">
        <f>IF(Time!X20&lt;Time!$F$12,0,IF(Time!X34=1,INDEX(Funding!$J$72:$BJ$72,1,Time!$F$14),W36))</f>
        <v/>
      </c>
      <c r="Y33" s="13">
        <f>IF(Time!Y20&lt;Time!$F$12,0,IF(Time!Y34=1,INDEX(Funding!$J$72:$BJ$72,1,Time!$F$14),X36))</f>
        <v/>
      </c>
      <c r="Z33" s="13">
        <f>IF(Time!Z20&lt;Time!$F$12,0,IF(Time!Z34=1,INDEX(Funding!$J$72:$BJ$72,1,Time!$F$14),Y36))</f>
        <v/>
      </c>
      <c r="AA33" s="13">
        <f>IF(Time!AA20&lt;Time!$F$12,0,IF(Time!AA34=1,INDEX(Funding!$J$72:$BJ$72,1,Time!$F$14),Z36))</f>
        <v/>
      </c>
      <c r="AB33" s="13">
        <f>IF(Time!AB20&lt;Time!$F$12,0,IF(Time!AB34=1,INDEX(Funding!$J$72:$BJ$72,1,Time!$F$14),AA36))</f>
        <v/>
      </c>
      <c r="AC33" s="13">
        <f>IF(Time!AC20&lt;Time!$F$12,0,IF(Time!AC34=1,INDEX(Funding!$J$72:$BJ$72,1,Time!$F$14),AB36))</f>
        <v/>
      </c>
      <c r="AD33" s="13">
        <f>IF(Time!AD20&lt;Time!$F$12,0,IF(Time!AD34=1,INDEX(Funding!$J$72:$BJ$72,1,Time!$F$14),AC36))</f>
        <v/>
      </c>
      <c r="AE33" s="13">
        <f>IF(Time!AE20&lt;Time!$F$12,0,IF(Time!AE34=1,INDEX(Funding!$J$72:$BJ$72,1,Time!$F$14),AD36))</f>
        <v/>
      </c>
      <c r="AF33" s="13">
        <f>IF(Time!AF20&lt;Time!$F$12,0,IF(Time!AF34=1,INDEX(Funding!$J$72:$BJ$72,1,Time!$F$14),AE36))</f>
        <v/>
      </c>
      <c r="AG33" s="13">
        <f>IF(Time!AG20&lt;Time!$F$12,0,IF(Time!AG34=1,INDEX(Funding!$J$72:$BJ$72,1,Time!$F$14),AF36))</f>
        <v/>
      </c>
      <c r="AH33" s="13">
        <f>IF(Time!AH20&lt;Time!$F$12,0,IF(Time!AH34=1,INDEX(Funding!$J$72:$BJ$72,1,Time!$F$14),AG36))</f>
        <v/>
      </c>
      <c r="AI33" s="13">
        <f>IF(Time!AI20&lt;Time!$F$12,0,IF(Time!AI34=1,INDEX(Funding!$J$72:$BJ$72,1,Time!$F$14),AH36))</f>
        <v/>
      </c>
      <c r="AJ33" s="13">
        <f>IF(Time!AJ20&lt;Time!$F$12,0,IF(Time!AJ34=1,INDEX(Funding!$J$72:$BJ$72,1,Time!$F$14),AI36))</f>
        <v/>
      </c>
      <c r="AK33" s="13">
        <f>IF(Time!AK20&lt;Time!$F$12,0,IF(Time!AK34=1,INDEX(Funding!$J$72:$BJ$72,1,Time!$F$14),AJ36))</f>
        <v/>
      </c>
      <c r="AL33" s="13">
        <f>IF(Time!AL20&lt;Time!$F$12,0,IF(Time!AL34=1,INDEX(Funding!$J$72:$BJ$72,1,Time!$F$14),AK36))</f>
        <v/>
      </c>
      <c r="AM33" s="13">
        <f>IF(Time!AM20&lt;Time!$F$12,0,IF(Time!AM34=1,INDEX(Funding!$J$72:$BJ$72,1,Time!$F$14),AL36))</f>
        <v/>
      </c>
      <c r="AN33" s="13">
        <f>IF(Time!AN20&lt;Time!$F$12,0,IF(Time!AN34=1,INDEX(Funding!$J$72:$BJ$72,1,Time!$F$14),AM36))</f>
        <v/>
      </c>
      <c r="AO33" s="13">
        <f>IF(Time!AO20&lt;Time!$F$12,0,IF(Time!AO34=1,INDEX(Funding!$J$72:$BJ$72,1,Time!$F$14),AN36))</f>
        <v/>
      </c>
      <c r="AP33" s="13">
        <f>IF(Time!AP20&lt;Time!$F$12,0,IF(Time!AP34=1,INDEX(Funding!$J$72:$BJ$72,1,Time!$F$14),AO36))</f>
        <v/>
      </c>
      <c r="AQ33" s="13">
        <f>IF(Time!AQ20&lt;Time!$F$12,0,IF(Time!AQ34=1,INDEX(Funding!$J$72:$BJ$72,1,Time!$F$14),AP36))</f>
        <v/>
      </c>
      <c r="AR33" s="13">
        <f>IF(Time!AR20&lt;Time!$F$12,0,IF(Time!AR34=1,INDEX(Funding!$J$72:$BJ$72,1,Time!$F$14),AQ36))</f>
        <v/>
      </c>
      <c r="AS33" s="13">
        <f>IF(Time!AS20&lt;Time!$F$12,0,IF(Time!AS34=1,INDEX(Funding!$J$72:$BJ$72,1,Time!$F$14),AR36))</f>
        <v/>
      </c>
      <c r="AT33" s="13">
        <f>IF(Time!AT20&lt;Time!$F$12,0,IF(Time!AT34=1,INDEX(Funding!$J$72:$BJ$72,1,Time!$F$14),AS36))</f>
        <v/>
      </c>
      <c r="AU33" s="13">
        <f>IF(Time!AU20&lt;Time!$F$12,0,IF(Time!AU34=1,INDEX(Funding!$J$72:$BJ$72,1,Time!$F$14),AT36))</f>
        <v/>
      </c>
      <c r="AV33" s="13">
        <f>IF(Time!AV20&lt;Time!$F$12,0,IF(Time!AV34=1,INDEX(Funding!$J$72:$BJ$72,1,Time!$F$14),AU36))</f>
        <v/>
      </c>
      <c r="AW33" s="13">
        <f>IF(Time!AW20&lt;Time!$F$12,0,IF(Time!AW34=1,INDEX(Funding!$J$72:$BJ$72,1,Time!$F$14),AV36))</f>
        <v/>
      </c>
      <c r="AX33" s="13">
        <f>IF(Time!AX20&lt;Time!$F$12,0,IF(Time!AX34=1,INDEX(Funding!$J$72:$BJ$72,1,Time!$F$14),AW36))</f>
        <v/>
      </c>
      <c r="AY33" s="13">
        <f>IF(Time!AY20&lt;Time!$F$12,0,IF(Time!AY34=1,INDEX(Funding!$J$72:$BJ$72,1,Time!$F$14),AX36))</f>
        <v/>
      </c>
      <c r="AZ33" s="13">
        <f>IF(Time!AZ20&lt;Time!$F$12,0,IF(Time!AZ34=1,INDEX(Funding!$J$72:$BJ$72,1,Time!$F$14),AY36))</f>
        <v/>
      </c>
      <c r="BA33" s="13">
        <f>IF(Time!BA20&lt;Time!$F$12,0,IF(Time!BA34=1,INDEX(Funding!$J$72:$BJ$72,1,Time!$F$14),AZ36))</f>
        <v/>
      </c>
      <c r="BB33" s="13">
        <f>IF(Time!BB20&lt;Time!$F$12,0,IF(Time!BB34=1,INDEX(Funding!$J$72:$BJ$72,1,Time!$F$14),BA36))</f>
        <v/>
      </c>
      <c r="BC33" s="13">
        <f>IF(Time!BC20&lt;Time!$F$12,0,IF(Time!BC34=1,INDEX(Funding!$J$72:$BJ$72,1,Time!$F$14),BB36))</f>
        <v/>
      </c>
      <c r="BD33" s="13">
        <f>IF(Time!BD20&lt;Time!$F$12,0,IF(Time!BD34=1,INDEX(Funding!$J$72:$BJ$72,1,Time!$F$14),BC36))</f>
        <v/>
      </c>
      <c r="BE33" s="13">
        <f>IF(Time!BE20&lt;Time!$F$12,0,IF(Time!BE34=1,INDEX(Funding!$J$72:$BJ$72,1,Time!$F$14),BD36))</f>
        <v/>
      </c>
      <c r="BF33" s="13">
        <f>IF(Time!BF20&lt;Time!$F$12,0,IF(Time!BF34=1,INDEX(Funding!$J$72:$BJ$72,1,Time!$F$14),BE36))</f>
        <v/>
      </c>
      <c r="BG33" s="13">
        <f>IF(Time!BG20&lt;Time!$F$12,0,IF(Time!BG34=1,INDEX(Funding!$J$72:$BJ$72,1,Time!$F$14),BF36))</f>
        <v/>
      </c>
      <c r="BH33" s="13">
        <f>IF(Time!BH20&lt;Time!$F$12,0,IF(Time!BH34=1,INDEX(Funding!$J$72:$BJ$72,1,Time!$F$14),BG36))</f>
        <v/>
      </c>
      <c r="BI33" s="13">
        <f>IF(Time!BI20&lt;Time!$F$12,0,IF(Time!BI34=1,INDEX(Funding!$J$72:$BJ$72,1,Time!$F$14),BH36))</f>
        <v/>
      </c>
      <c r="BJ33" s="13">
        <f>IF(Time!BJ20&lt;Time!$F$12,0,IF(Time!BJ34=1,INDEX(Funding!$J$72:$BJ$72,1,Time!$F$14),BI36))</f>
        <v/>
      </c>
      <c r="BK33" s="13">
        <f>IF(Time!BK20&lt;Time!$F$12,0,IF(Time!BK34=1,INDEX(Funding!$J$72:$BJ$72,1,Time!$F$14),BJ36))</f>
        <v/>
      </c>
      <c r="BL33" s="13">
        <f>IF(Time!BL20&lt;Time!$F$12,0,IF(Time!BL34=1,INDEX(Funding!$J$72:$BJ$72,1,Time!$F$14),BK36))</f>
        <v/>
      </c>
      <c r="BM33" s="13">
        <f>IF(Time!BM20&lt;Time!$F$12,0,IF(Time!BM34=1,INDEX(Funding!$J$72:$BJ$72,1,Time!$F$14),BL36))</f>
        <v/>
      </c>
      <c r="BN33" s="13">
        <f>IF(Time!BN20&lt;Time!$F$12,0,IF(Time!BN34=1,INDEX(Funding!$J$72:$BJ$72,1,Time!$F$14),BM36))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3">
        <f>SUM(J34:BN34)</f>
        <v/>
      </c>
      <c r="J34" s="13">
        <f>J24*MIN(J31,Tax!J13)</f>
        <v/>
      </c>
      <c r="K34" s="13">
        <f>K24*MIN(K31,Tax!K13)</f>
        <v/>
      </c>
      <c r="L34" s="13">
        <f>L24*MIN(L31,Tax!L13)</f>
        <v/>
      </c>
      <c r="M34" s="13">
        <f>M24*MIN(M31,Tax!M13)</f>
        <v/>
      </c>
      <c r="N34" s="13">
        <f>N24*MIN(N31,Tax!N13)</f>
        <v/>
      </c>
      <c r="O34" s="13">
        <f>O24*MIN(O31,Tax!O13)</f>
        <v/>
      </c>
      <c r="P34" s="13">
        <f>P24*MIN(P31,Tax!P13)</f>
        <v/>
      </c>
      <c r="Q34" s="13">
        <f>Q24*MIN(Q31,Tax!Q13)</f>
        <v/>
      </c>
      <c r="R34" s="13">
        <f>R24*MIN(R31,Tax!R13)</f>
        <v/>
      </c>
      <c r="S34" s="13">
        <f>S24*MIN(S31,Tax!S13)</f>
        <v/>
      </c>
      <c r="T34" s="13">
        <f>T24*MIN(T31,Tax!T13)</f>
        <v/>
      </c>
      <c r="U34" s="13">
        <f>U24*MIN(U31,Tax!U13)</f>
        <v/>
      </c>
      <c r="V34" s="13">
        <f>V24*MIN(V31,Tax!V13)</f>
        <v/>
      </c>
      <c r="W34" s="13">
        <f>W24*MIN(W31,Tax!W13)</f>
        <v/>
      </c>
      <c r="X34" s="13">
        <f>X24*MIN(X31,Tax!X13)</f>
        <v/>
      </c>
      <c r="Y34" s="13">
        <f>Y24*MIN(Y31,Tax!Y13)</f>
        <v/>
      </c>
      <c r="Z34" s="13">
        <f>Z24*MIN(Z31,Tax!Z13)</f>
        <v/>
      </c>
      <c r="AA34" s="13">
        <f>AA24*MIN(AA31,Tax!AA13)</f>
        <v/>
      </c>
      <c r="AB34" s="13">
        <f>AB24*MIN(AB31,Tax!AB13)</f>
        <v/>
      </c>
      <c r="AC34" s="13">
        <f>AC24*MIN(AC31,Tax!AC13)</f>
        <v/>
      </c>
      <c r="AD34" s="13">
        <f>AD24*MIN(AD31,Tax!AD13)</f>
        <v/>
      </c>
      <c r="AE34" s="13">
        <f>AE24*MIN(AE31,Tax!AE13)</f>
        <v/>
      </c>
      <c r="AF34" s="13">
        <f>AF24*MIN(AF31,Tax!AF13)</f>
        <v/>
      </c>
      <c r="AG34" s="13">
        <f>AG24*MIN(AG31,Tax!AG13)</f>
        <v/>
      </c>
      <c r="AH34" s="13">
        <f>AH24*MIN(AH31,Tax!AH13)</f>
        <v/>
      </c>
      <c r="AI34" s="13">
        <f>AI24*MIN(AI31,Tax!AI13)</f>
        <v/>
      </c>
      <c r="AJ34" s="13">
        <f>AJ24*MIN(AJ31,Tax!AJ13)</f>
        <v/>
      </c>
      <c r="AK34" s="13">
        <f>AK24*MIN(AK31,Tax!AK13)</f>
        <v/>
      </c>
      <c r="AL34" s="13">
        <f>AL24*MIN(AL31,Tax!AL13)</f>
        <v/>
      </c>
      <c r="AM34" s="13">
        <f>AM24*MIN(AM31,Tax!AM13)</f>
        <v/>
      </c>
      <c r="AN34" s="13">
        <f>AN24*MIN(AN31,Tax!AN13)</f>
        <v/>
      </c>
      <c r="AO34" s="13">
        <f>AO24*MIN(AO31,Tax!AO13)</f>
        <v/>
      </c>
      <c r="AP34" s="13">
        <f>AP24*MIN(AP31,Tax!AP13)</f>
        <v/>
      </c>
      <c r="AQ34" s="13">
        <f>AQ24*MIN(AQ31,Tax!AQ13)</f>
        <v/>
      </c>
      <c r="AR34" s="13">
        <f>AR24*MIN(AR31,Tax!AR13)</f>
        <v/>
      </c>
      <c r="AS34" s="13">
        <f>AS24*MIN(AS31,Tax!AS13)</f>
        <v/>
      </c>
      <c r="AT34" s="13">
        <f>AT24*MIN(AT31,Tax!AT13)</f>
        <v/>
      </c>
      <c r="AU34" s="13">
        <f>AU24*MIN(AU31,Tax!AU13)</f>
        <v/>
      </c>
      <c r="AV34" s="13">
        <f>AV24*MIN(AV31,Tax!AV13)</f>
        <v/>
      </c>
      <c r="AW34" s="13">
        <f>AW24*MIN(AW31,Tax!AW13)</f>
        <v/>
      </c>
      <c r="AX34" s="13">
        <f>AX24*MIN(AX31,Tax!AX13)</f>
        <v/>
      </c>
      <c r="AY34" s="13">
        <f>AY24*MIN(AY31,Tax!AY13)</f>
        <v/>
      </c>
      <c r="AZ34" s="13">
        <f>AZ24*MIN(AZ31,Tax!AZ13)</f>
        <v/>
      </c>
      <c r="BA34" s="13">
        <f>BA24*MIN(BA31,Tax!BA13)</f>
        <v/>
      </c>
      <c r="BB34" s="13">
        <f>BB24*MIN(BB31,Tax!BB13)</f>
        <v/>
      </c>
      <c r="BC34" s="13">
        <f>BC24*MIN(BC31,Tax!BC13)</f>
        <v/>
      </c>
      <c r="BD34" s="13">
        <f>BD24*MIN(BD31,Tax!BD13)</f>
        <v/>
      </c>
      <c r="BE34" s="13">
        <f>BE24*MIN(BE31,Tax!BE13)</f>
        <v/>
      </c>
      <c r="BF34" s="13">
        <f>BF24*MIN(BF31,Tax!BF13)</f>
        <v/>
      </c>
      <c r="BG34" s="13">
        <f>BG24*MIN(BG31,Tax!BG13)</f>
        <v/>
      </c>
      <c r="BH34" s="13">
        <f>BH24*MIN(BH31,Tax!BH13)</f>
        <v/>
      </c>
      <c r="BI34" s="13">
        <f>BI24*MIN(BI31,Tax!BI13)</f>
        <v/>
      </c>
      <c r="BJ34" s="13">
        <f>BJ24*MIN(BJ31,Tax!BJ13)</f>
        <v/>
      </c>
      <c r="BK34" s="13">
        <f>BK24*MIN(BK31,Tax!BK13)</f>
        <v/>
      </c>
      <c r="BL34" s="13">
        <f>BL24*MIN(BL31,Tax!BL13)</f>
        <v/>
      </c>
      <c r="BM34" s="13">
        <f>BM24*MIN(BM31,Tax!BM13)</f>
        <v/>
      </c>
      <c r="BN34" s="13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3">
        <f>SUM(J35:BN35)</f>
        <v/>
      </c>
      <c r="J35" s="13">
        <f>J24*MIN(J31-J34,J33+Tax!J13-J34)</f>
        <v/>
      </c>
      <c r="K35" s="13">
        <f>K24*MIN(K31-K34,K33+Tax!K13-K34)</f>
        <v/>
      </c>
      <c r="L35" s="13">
        <f>L24*MIN(L31-L34,L33+Tax!L13-L34)</f>
        <v/>
      </c>
      <c r="M35" s="13">
        <f>M24*MIN(M31-M34,M33+Tax!M13-M34)</f>
        <v/>
      </c>
      <c r="N35" s="13">
        <f>N24*MIN(N31-N34,N33+Tax!N13-N34)</f>
        <v/>
      </c>
      <c r="O35" s="13">
        <f>O24*MIN(O31-O34,O33+Tax!O13-O34)</f>
        <v/>
      </c>
      <c r="P35" s="13">
        <f>P24*MIN(P31-P34,P33+Tax!P13-P34)</f>
        <v/>
      </c>
      <c r="Q35" s="13">
        <f>Q24*MIN(Q31-Q34,Q33+Tax!Q13-Q34)</f>
        <v/>
      </c>
      <c r="R35" s="13">
        <f>R24*MIN(R31-R34,R33+Tax!R13-R34)</f>
        <v/>
      </c>
      <c r="S35" s="13">
        <f>S24*MIN(S31-S34,S33+Tax!S13-S34)</f>
        <v/>
      </c>
      <c r="T35" s="13">
        <f>T24*MIN(T31-T34,T33+Tax!T13-T34)</f>
        <v/>
      </c>
      <c r="U35" s="13">
        <f>U24*MIN(U31-U34,U33+Tax!U13-U34)</f>
        <v/>
      </c>
      <c r="V35" s="13">
        <f>V24*MIN(V31-V34,V33+Tax!V13-V34)</f>
        <v/>
      </c>
      <c r="W35" s="13">
        <f>W24*MIN(W31-W34,W33+Tax!W13-W34)</f>
        <v/>
      </c>
      <c r="X35" s="13">
        <f>X24*MIN(X31-X34,X33+Tax!X13-X34)</f>
        <v/>
      </c>
      <c r="Y35" s="13">
        <f>Y24*MIN(Y31-Y34,Y33+Tax!Y13-Y34)</f>
        <v/>
      </c>
      <c r="Z35" s="13">
        <f>Z24*MIN(Z31-Z34,Z33+Tax!Z13-Z34)</f>
        <v/>
      </c>
      <c r="AA35" s="13">
        <f>AA24*MIN(AA31-AA34,AA33+Tax!AA13-AA34)</f>
        <v/>
      </c>
      <c r="AB35" s="13">
        <f>AB24*MIN(AB31-AB34,AB33+Tax!AB13-AB34)</f>
        <v/>
      </c>
      <c r="AC35" s="13">
        <f>AC24*MIN(AC31-AC34,AC33+Tax!AC13-AC34)</f>
        <v/>
      </c>
      <c r="AD35" s="13">
        <f>AD24*MIN(AD31-AD34,AD33+Tax!AD13-AD34)</f>
        <v/>
      </c>
      <c r="AE35" s="13">
        <f>AE24*MIN(AE31-AE34,AE33+Tax!AE13-AE34)</f>
        <v/>
      </c>
      <c r="AF35" s="13">
        <f>AF24*MIN(AF31-AF34,AF33+Tax!AF13-AF34)</f>
        <v/>
      </c>
      <c r="AG35" s="13">
        <f>AG24*MIN(AG31-AG34,AG33+Tax!AG13-AG34)</f>
        <v/>
      </c>
      <c r="AH35" s="13">
        <f>AH24*MIN(AH31-AH34,AH33+Tax!AH13-AH34)</f>
        <v/>
      </c>
      <c r="AI35" s="13">
        <f>AI24*MIN(AI31-AI34,AI33+Tax!AI13-AI34)</f>
        <v/>
      </c>
      <c r="AJ35" s="13">
        <f>AJ24*MIN(AJ31-AJ34,AJ33+Tax!AJ13-AJ34)</f>
        <v/>
      </c>
      <c r="AK35" s="13">
        <f>AK24*MIN(AK31-AK34,AK33+Tax!AK13-AK34)</f>
        <v/>
      </c>
      <c r="AL35" s="13">
        <f>AL24*MIN(AL31-AL34,AL33+Tax!AL13-AL34)</f>
        <v/>
      </c>
      <c r="AM35" s="13">
        <f>AM24*MIN(AM31-AM34,AM33+Tax!AM13-AM34)</f>
        <v/>
      </c>
      <c r="AN35" s="13">
        <f>AN24*MIN(AN31-AN34,AN33+Tax!AN13-AN34)</f>
        <v/>
      </c>
      <c r="AO35" s="13">
        <f>AO24*MIN(AO31-AO34,AO33+Tax!AO13-AO34)</f>
        <v/>
      </c>
      <c r="AP35" s="13">
        <f>AP24*MIN(AP31-AP34,AP33+Tax!AP13-AP34)</f>
        <v/>
      </c>
      <c r="AQ35" s="13">
        <f>AQ24*MIN(AQ31-AQ34,AQ33+Tax!AQ13-AQ34)</f>
        <v/>
      </c>
      <c r="AR35" s="13">
        <f>AR24*MIN(AR31-AR34,AR33+Tax!AR13-AR34)</f>
        <v/>
      </c>
      <c r="AS35" s="13">
        <f>AS24*MIN(AS31-AS34,AS33+Tax!AS13-AS34)</f>
        <v/>
      </c>
      <c r="AT35" s="13">
        <f>AT24*MIN(AT31-AT34,AT33+Tax!AT13-AT34)</f>
        <v/>
      </c>
      <c r="AU35" s="13">
        <f>AU24*MIN(AU31-AU34,AU33+Tax!AU13-AU34)</f>
        <v/>
      </c>
      <c r="AV35" s="13">
        <f>AV24*MIN(AV31-AV34,AV33+Tax!AV13-AV34)</f>
        <v/>
      </c>
      <c r="AW35" s="13">
        <f>AW24*MIN(AW31-AW34,AW33+Tax!AW13-AW34)</f>
        <v/>
      </c>
      <c r="AX35" s="13">
        <f>AX24*MIN(AX31-AX34,AX33+Tax!AX13-AX34)</f>
        <v/>
      </c>
      <c r="AY35" s="13">
        <f>AY24*MIN(AY31-AY34,AY33+Tax!AY13-AY34)</f>
        <v/>
      </c>
      <c r="AZ35" s="13">
        <f>AZ24*MIN(AZ31-AZ34,AZ33+Tax!AZ13-AZ34)</f>
        <v/>
      </c>
      <c r="BA35" s="13">
        <f>BA24*MIN(BA31-BA34,BA33+Tax!BA13-BA34)</f>
        <v/>
      </c>
      <c r="BB35" s="13">
        <f>BB24*MIN(BB31-BB34,BB33+Tax!BB13-BB34)</f>
        <v/>
      </c>
      <c r="BC35" s="13">
        <f>BC24*MIN(BC31-BC34,BC33+Tax!BC13-BC34)</f>
        <v/>
      </c>
      <c r="BD35" s="13">
        <f>BD24*MIN(BD31-BD34,BD33+Tax!BD13-BD34)</f>
        <v/>
      </c>
      <c r="BE35" s="13">
        <f>BE24*MIN(BE31-BE34,BE33+Tax!BE13-BE34)</f>
        <v/>
      </c>
      <c r="BF35" s="13">
        <f>BF24*MIN(BF31-BF34,BF33+Tax!BF13-BF34)</f>
        <v/>
      </c>
      <c r="BG35" s="13">
        <f>BG24*MIN(BG31-BG34,BG33+Tax!BG13-BG34)</f>
        <v/>
      </c>
      <c r="BH35" s="13">
        <f>BH24*MIN(BH31-BH34,BH33+Tax!BH13-BH34)</f>
        <v/>
      </c>
      <c r="BI35" s="13">
        <f>BI24*MIN(BI31-BI34,BI33+Tax!BI13-BI34)</f>
        <v/>
      </c>
      <c r="BJ35" s="13">
        <f>BJ24*MIN(BJ31-BJ34,BJ33+Tax!BJ13-BJ34)</f>
        <v/>
      </c>
      <c r="BK35" s="13">
        <f>BK24*MIN(BK31-BK34,BK33+Tax!BK13-BK34)</f>
        <v/>
      </c>
      <c r="BL35" s="13">
        <f>BL24*MIN(BL31-BL34,BL33+Tax!BL13-BL34)</f>
        <v/>
      </c>
      <c r="BM35" s="13">
        <f>BM24*MIN(BM31-BM34,BM33+Tax!BM13-BM34)</f>
        <v/>
      </c>
      <c r="BN35" s="13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3">
        <f>J33+Tax!J13-J34-J35</f>
        <v/>
      </c>
      <c r="K36" s="13">
        <f>K33+Tax!K13-K34-K35</f>
        <v/>
      </c>
      <c r="L36" s="13">
        <f>L33+Tax!L13-L34-L35</f>
        <v/>
      </c>
      <c r="M36" s="13">
        <f>M33+Tax!M13-M34-M35</f>
        <v/>
      </c>
      <c r="N36" s="13">
        <f>N33+Tax!N13-N34-N35</f>
        <v/>
      </c>
      <c r="O36" s="13">
        <f>O33+Tax!O13-O34-O35</f>
        <v/>
      </c>
      <c r="P36" s="13">
        <f>P33+Tax!P13-P34-P35</f>
        <v/>
      </c>
      <c r="Q36" s="13">
        <f>Q33+Tax!Q13-Q34-Q35</f>
        <v/>
      </c>
      <c r="R36" s="13">
        <f>R33+Tax!R13-R34-R35</f>
        <v/>
      </c>
      <c r="S36" s="13">
        <f>S33+Tax!S13-S34-S35</f>
        <v/>
      </c>
      <c r="T36" s="13">
        <f>T33+Tax!T13-T34-T35</f>
        <v/>
      </c>
      <c r="U36" s="13">
        <f>U33+Tax!U13-U34-U35</f>
        <v/>
      </c>
      <c r="V36" s="13">
        <f>V33+Tax!V13-V34-V35</f>
        <v/>
      </c>
      <c r="W36" s="13">
        <f>W33+Tax!W13-W34-W35</f>
        <v/>
      </c>
      <c r="X36" s="13">
        <f>X33+Tax!X13-X34-X35</f>
        <v/>
      </c>
      <c r="Y36" s="13">
        <f>Y33+Tax!Y13-Y34-Y35</f>
        <v/>
      </c>
      <c r="Z36" s="13">
        <f>Z33+Tax!Z13-Z34-Z35</f>
        <v/>
      </c>
      <c r="AA36" s="13">
        <f>AA33+Tax!AA13-AA34-AA35</f>
        <v/>
      </c>
      <c r="AB36" s="13">
        <f>AB33+Tax!AB13-AB34-AB35</f>
        <v/>
      </c>
      <c r="AC36" s="13">
        <f>AC33+Tax!AC13-AC34-AC35</f>
        <v/>
      </c>
      <c r="AD36" s="13">
        <f>AD33+Tax!AD13-AD34-AD35</f>
        <v/>
      </c>
      <c r="AE36" s="13">
        <f>AE33+Tax!AE13-AE34-AE35</f>
        <v/>
      </c>
      <c r="AF36" s="13">
        <f>AF33+Tax!AF13-AF34-AF35</f>
        <v/>
      </c>
      <c r="AG36" s="13">
        <f>AG33+Tax!AG13-AG34-AG35</f>
        <v/>
      </c>
      <c r="AH36" s="13">
        <f>AH33+Tax!AH13-AH34-AH35</f>
        <v/>
      </c>
      <c r="AI36" s="13">
        <f>AI33+Tax!AI13-AI34-AI35</f>
        <v/>
      </c>
      <c r="AJ36" s="13">
        <f>AJ33+Tax!AJ13-AJ34-AJ35</f>
        <v/>
      </c>
      <c r="AK36" s="13">
        <f>AK33+Tax!AK13-AK34-AK35</f>
        <v/>
      </c>
      <c r="AL36" s="13">
        <f>AL33+Tax!AL13-AL34-AL35</f>
        <v/>
      </c>
      <c r="AM36" s="13">
        <f>AM33+Tax!AM13-AM34-AM35</f>
        <v/>
      </c>
      <c r="AN36" s="13">
        <f>AN33+Tax!AN13-AN34-AN35</f>
        <v/>
      </c>
      <c r="AO36" s="13">
        <f>AO33+Tax!AO13-AO34-AO35</f>
        <v/>
      </c>
      <c r="AP36" s="13">
        <f>AP33+Tax!AP13-AP34-AP35</f>
        <v/>
      </c>
      <c r="AQ36" s="13">
        <f>AQ33+Tax!AQ13-AQ34-AQ35</f>
        <v/>
      </c>
      <c r="AR36" s="13">
        <f>AR33+Tax!AR13-AR34-AR35</f>
        <v/>
      </c>
      <c r="AS36" s="13">
        <f>AS33+Tax!AS13-AS34-AS35</f>
        <v/>
      </c>
      <c r="AT36" s="13">
        <f>AT33+Tax!AT13-AT34-AT35</f>
        <v/>
      </c>
      <c r="AU36" s="13">
        <f>AU33+Tax!AU13-AU34-AU35</f>
        <v/>
      </c>
      <c r="AV36" s="13">
        <f>AV33+Tax!AV13-AV34-AV35</f>
        <v/>
      </c>
      <c r="AW36" s="13">
        <f>AW33+Tax!AW13-AW34-AW35</f>
        <v/>
      </c>
      <c r="AX36" s="13">
        <f>AX33+Tax!AX13-AX34-AX35</f>
        <v/>
      </c>
      <c r="AY36" s="13">
        <f>AY33+Tax!AY13-AY34-AY35</f>
        <v/>
      </c>
      <c r="AZ36" s="13">
        <f>AZ33+Tax!AZ13-AZ34-AZ35</f>
        <v/>
      </c>
      <c r="BA36" s="13">
        <f>BA33+Tax!BA13-BA34-BA35</f>
        <v/>
      </c>
      <c r="BB36" s="13">
        <f>BB33+Tax!BB13-BB34-BB35</f>
        <v/>
      </c>
      <c r="BC36" s="13">
        <f>BC33+Tax!BC13-BC34-BC35</f>
        <v/>
      </c>
      <c r="BD36" s="13">
        <f>BD33+Tax!BD13-BD34-BD35</f>
        <v/>
      </c>
      <c r="BE36" s="13">
        <f>BE33+Tax!BE13-BE34-BE35</f>
        <v/>
      </c>
      <c r="BF36" s="13">
        <f>BF33+Tax!BF13-BF34-BF35</f>
        <v/>
      </c>
      <c r="BG36" s="13">
        <f>BG33+Tax!BG13-BG34-BG35</f>
        <v/>
      </c>
      <c r="BH36" s="13">
        <f>BH33+Tax!BH13-BH34-BH35</f>
        <v/>
      </c>
      <c r="BI36" s="13">
        <f>BI33+Tax!BI13-BI34-BI35</f>
        <v/>
      </c>
      <c r="BJ36" s="13">
        <f>BJ33+Tax!BJ13-BJ34-BJ35</f>
        <v/>
      </c>
      <c r="BK36" s="13">
        <f>BK33+Tax!BK13-BK34-BK35</f>
        <v/>
      </c>
      <c r="BL36" s="13">
        <f>BL33+Tax!BL13-BL34-BL35</f>
        <v/>
      </c>
      <c r="BM36" s="13">
        <f>BM33+Tax!BM13-BM34-BM35</f>
        <v/>
      </c>
      <c r="BN36" s="13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3">
        <f>MAX(0,I43+Financials!J14)</f>
        <v/>
      </c>
      <c r="K37" s="13">
        <f>MAX(0,J43+Financials!K14)</f>
        <v/>
      </c>
      <c r="L37" s="13">
        <f>MAX(0,K43+Financials!L14)</f>
        <v/>
      </c>
      <c r="M37" s="13">
        <f>MAX(0,L43+Financials!M14)</f>
        <v/>
      </c>
      <c r="N37" s="13">
        <f>MAX(0,M43+Financials!N14)</f>
        <v/>
      </c>
      <c r="O37" s="13">
        <f>MAX(0,N43+Financials!O14)</f>
        <v/>
      </c>
      <c r="P37" s="13">
        <f>MAX(0,O43+Financials!P14)</f>
        <v/>
      </c>
      <c r="Q37" s="13">
        <f>MAX(0,P43+Financials!Q14)</f>
        <v/>
      </c>
      <c r="R37" s="13">
        <f>MAX(0,Q43+Financials!R14)</f>
        <v/>
      </c>
      <c r="S37" s="13">
        <f>MAX(0,R43+Financials!S14)</f>
        <v/>
      </c>
      <c r="T37" s="13">
        <f>MAX(0,S43+Financials!T14)</f>
        <v/>
      </c>
      <c r="U37" s="13">
        <f>MAX(0,T43+Financials!U14)</f>
        <v/>
      </c>
      <c r="V37" s="13">
        <f>MAX(0,U43+Financials!V14)</f>
        <v/>
      </c>
      <c r="W37" s="13">
        <f>MAX(0,V43+Financials!W14)</f>
        <v/>
      </c>
      <c r="X37" s="13">
        <f>MAX(0,W43+Financials!X14)</f>
        <v/>
      </c>
      <c r="Y37" s="13">
        <f>MAX(0,X43+Financials!Y14)</f>
        <v/>
      </c>
      <c r="Z37" s="13">
        <f>MAX(0,Y43+Financials!Z14)</f>
        <v/>
      </c>
      <c r="AA37" s="13">
        <f>MAX(0,Z43+Financials!AA14)</f>
        <v/>
      </c>
      <c r="AB37" s="13">
        <f>MAX(0,AA43+Financials!AB14)</f>
        <v/>
      </c>
      <c r="AC37" s="13">
        <f>MAX(0,AB43+Financials!AC14)</f>
        <v/>
      </c>
      <c r="AD37" s="13">
        <f>MAX(0,AC43+Financials!AD14)</f>
        <v/>
      </c>
      <c r="AE37" s="13">
        <f>MAX(0,AD43+Financials!AE14)</f>
        <v/>
      </c>
      <c r="AF37" s="13">
        <f>MAX(0,AE43+Financials!AF14)</f>
        <v/>
      </c>
      <c r="AG37" s="13">
        <f>MAX(0,AF43+Financials!AG14)</f>
        <v/>
      </c>
      <c r="AH37" s="13">
        <f>MAX(0,AG43+Financials!AH14)</f>
        <v/>
      </c>
      <c r="AI37" s="13">
        <f>MAX(0,AH43+Financials!AI14)</f>
        <v/>
      </c>
      <c r="AJ37" s="13">
        <f>MAX(0,AI43+Financials!AJ14)</f>
        <v/>
      </c>
      <c r="AK37" s="13">
        <f>MAX(0,AJ43+Financials!AK14)</f>
        <v/>
      </c>
      <c r="AL37" s="13">
        <f>MAX(0,AK43+Financials!AL14)</f>
        <v/>
      </c>
      <c r="AM37" s="13">
        <f>MAX(0,AL43+Financials!AM14)</f>
        <v/>
      </c>
      <c r="AN37" s="13">
        <f>MAX(0,AM43+Financials!AN14)</f>
        <v/>
      </c>
      <c r="AO37" s="13">
        <f>MAX(0,AN43+Financials!AO14)</f>
        <v/>
      </c>
      <c r="AP37" s="13">
        <f>MAX(0,AO43+Financials!AP14)</f>
        <v/>
      </c>
      <c r="AQ37" s="13">
        <f>MAX(0,AP43+Financials!AQ14)</f>
        <v/>
      </c>
      <c r="AR37" s="13">
        <f>MAX(0,AQ43+Financials!AR14)</f>
        <v/>
      </c>
      <c r="AS37" s="13">
        <f>MAX(0,AR43+Financials!AS14)</f>
        <v/>
      </c>
      <c r="AT37" s="13">
        <f>MAX(0,AS43+Financials!AT14)</f>
        <v/>
      </c>
      <c r="AU37" s="13">
        <f>MAX(0,AT43+Financials!AU14)</f>
        <v/>
      </c>
      <c r="AV37" s="13">
        <f>MAX(0,AU43+Financials!AV14)</f>
        <v/>
      </c>
      <c r="AW37" s="13">
        <f>MAX(0,AV43+Financials!AW14)</f>
        <v/>
      </c>
      <c r="AX37" s="13">
        <f>MAX(0,AW43+Financials!AX14)</f>
        <v/>
      </c>
      <c r="AY37" s="13">
        <f>MAX(0,AX43+Financials!AY14)</f>
        <v/>
      </c>
      <c r="AZ37" s="13">
        <f>MAX(0,AY43+Financials!AZ14)</f>
        <v/>
      </c>
      <c r="BA37" s="13">
        <f>MAX(0,AZ43+Financials!BA14)</f>
        <v/>
      </c>
      <c r="BB37" s="13">
        <f>MAX(0,BA43+Financials!BB14)</f>
        <v/>
      </c>
      <c r="BC37" s="13">
        <f>MAX(0,BB43+Financials!BC14)</f>
        <v/>
      </c>
      <c r="BD37" s="13">
        <f>MAX(0,BC43+Financials!BD14)</f>
        <v/>
      </c>
      <c r="BE37" s="13">
        <f>MAX(0,BD43+Financials!BE14)</f>
        <v/>
      </c>
      <c r="BF37" s="13">
        <f>MAX(0,BE43+Financials!BF14)</f>
        <v/>
      </c>
      <c r="BG37" s="13">
        <f>MAX(0,BF43+Financials!BG14)</f>
        <v/>
      </c>
      <c r="BH37" s="13">
        <f>MAX(0,BG43+Financials!BH14)</f>
        <v/>
      </c>
      <c r="BI37" s="13">
        <f>MAX(0,BH43+Financials!BI14)</f>
        <v/>
      </c>
      <c r="BJ37" s="13">
        <f>MAX(0,BI43+Financials!BJ14)</f>
        <v/>
      </c>
      <c r="BK37" s="13">
        <f>MAX(0,BJ43+Financials!BK14)</f>
        <v/>
      </c>
      <c r="BL37" s="13">
        <f>MAX(0,BK43+Financials!BL14)</f>
        <v/>
      </c>
      <c r="BM37" s="13">
        <f>MAX(0,BL43+Financials!BM14)</f>
        <v/>
      </c>
      <c r="BN37" s="13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3">
        <f>J24*MIN(J31-J34-J35,J37)</f>
        <v/>
      </c>
      <c r="K38" s="13">
        <f>K24*MIN(K31-K34-K35,K37)</f>
        <v/>
      </c>
      <c r="L38" s="13">
        <f>L24*MIN(L31-L34-L35,L37)</f>
        <v/>
      </c>
      <c r="M38" s="13">
        <f>M24*MIN(M31-M34-M35,M37)</f>
        <v/>
      </c>
      <c r="N38" s="13">
        <f>N24*MIN(N31-N34-N35,N37)</f>
        <v/>
      </c>
      <c r="O38" s="13">
        <f>O24*MIN(O31-O34-O35,O37)</f>
        <v/>
      </c>
      <c r="P38" s="13">
        <f>P24*MIN(P31-P34-P35,P37)</f>
        <v/>
      </c>
      <c r="Q38" s="13">
        <f>Q24*MIN(Q31-Q34-Q35,Q37)</f>
        <v/>
      </c>
      <c r="R38" s="13">
        <f>R24*MIN(R31-R34-R35,R37)</f>
        <v/>
      </c>
      <c r="S38" s="13">
        <f>S24*MIN(S31-S34-S35,S37)</f>
        <v/>
      </c>
      <c r="T38" s="13">
        <f>T24*MIN(T31-T34-T35,T37)</f>
        <v/>
      </c>
      <c r="U38" s="13">
        <f>U24*MIN(U31-U34-U35,U37)</f>
        <v/>
      </c>
      <c r="V38" s="13">
        <f>V24*MIN(V31-V34-V35,V37)</f>
        <v/>
      </c>
      <c r="W38" s="13">
        <f>W24*MIN(W31-W34-W35,W37)</f>
        <v/>
      </c>
      <c r="X38" s="13">
        <f>X24*MIN(X31-X34-X35,X37)</f>
        <v/>
      </c>
      <c r="Y38" s="13">
        <f>Y24*MIN(Y31-Y34-Y35,Y37)</f>
        <v/>
      </c>
      <c r="Z38" s="13">
        <f>Z24*MIN(Z31-Z34-Z35,Z37)</f>
        <v/>
      </c>
      <c r="AA38" s="13">
        <f>AA24*MIN(AA31-AA34-AA35,AA37)</f>
        <v/>
      </c>
      <c r="AB38" s="13">
        <f>AB24*MIN(AB31-AB34-AB35,AB37)</f>
        <v/>
      </c>
      <c r="AC38" s="13">
        <f>AC24*MIN(AC31-AC34-AC35,AC37)</f>
        <v/>
      </c>
      <c r="AD38" s="13">
        <f>AD24*MIN(AD31-AD34-AD35,AD37)</f>
        <v/>
      </c>
      <c r="AE38" s="13">
        <f>AE24*MIN(AE31-AE34-AE35,AE37)</f>
        <v/>
      </c>
      <c r="AF38" s="13">
        <f>AF24*MIN(AF31-AF34-AF35,AF37)</f>
        <v/>
      </c>
      <c r="AG38" s="13">
        <f>AG24*MIN(AG31-AG34-AG35,AG37)</f>
        <v/>
      </c>
      <c r="AH38" s="13">
        <f>AH24*MIN(AH31-AH34-AH35,AH37)</f>
        <v/>
      </c>
      <c r="AI38" s="13">
        <f>AI24*MIN(AI31-AI34-AI35,AI37)</f>
        <v/>
      </c>
      <c r="AJ38" s="13">
        <f>AJ24*MIN(AJ31-AJ34-AJ35,AJ37)</f>
        <v/>
      </c>
      <c r="AK38" s="13">
        <f>AK24*MIN(AK31-AK34-AK35,AK37)</f>
        <v/>
      </c>
      <c r="AL38" s="13">
        <f>AL24*MIN(AL31-AL34-AL35,AL37)</f>
        <v/>
      </c>
      <c r="AM38" s="13">
        <f>AM24*MIN(AM31-AM34-AM35,AM37)</f>
        <v/>
      </c>
      <c r="AN38" s="13">
        <f>AN24*MIN(AN31-AN34-AN35,AN37)</f>
        <v/>
      </c>
      <c r="AO38" s="13">
        <f>AO24*MIN(AO31-AO34-AO35,AO37)</f>
        <v/>
      </c>
      <c r="AP38" s="13">
        <f>AP24*MIN(AP31-AP34-AP35,AP37)</f>
        <v/>
      </c>
      <c r="AQ38" s="13">
        <f>AQ24*MIN(AQ31-AQ34-AQ35,AQ37)</f>
        <v/>
      </c>
      <c r="AR38" s="13">
        <f>AR24*MIN(AR31-AR34-AR35,AR37)</f>
        <v/>
      </c>
      <c r="AS38" s="13">
        <f>AS24*MIN(AS31-AS34-AS35,AS37)</f>
        <v/>
      </c>
      <c r="AT38" s="13">
        <f>AT24*MIN(AT31-AT34-AT35,AT37)</f>
        <v/>
      </c>
      <c r="AU38" s="13">
        <f>AU24*MIN(AU31-AU34-AU35,AU37)</f>
        <v/>
      </c>
      <c r="AV38" s="13">
        <f>AV24*MIN(AV31-AV34-AV35,AV37)</f>
        <v/>
      </c>
      <c r="AW38" s="13">
        <f>AW24*MIN(AW31-AW34-AW35,AW37)</f>
        <v/>
      </c>
      <c r="AX38" s="13">
        <f>AX24*MIN(AX31-AX34-AX35,AX37)</f>
        <v/>
      </c>
      <c r="AY38" s="13">
        <f>AY24*MIN(AY31-AY34-AY35,AY37)</f>
        <v/>
      </c>
      <c r="AZ38" s="13">
        <f>AZ24*MIN(AZ31-AZ34-AZ35,AZ37)</f>
        <v/>
      </c>
      <c r="BA38" s="13">
        <f>BA24*MIN(BA31-BA34-BA35,BA37)</f>
        <v/>
      </c>
      <c r="BB38" s="13">
        <f>BB24*MIN(BB31-BB34-BB35,BB37)</f>
        <v/>
      </c>
      <c r="BC38" s="13">
        <f>BC24*MIN(BC31-BC34-BC35,BC37)</f>
        <v/>
      </c>
      <c r="BD38" s="13">
        <f>BD24*MIN(BD31-BD34-BD35,BD37)</f>
        <v/>
      </c>
      <c r="BE38" s="13">
        <f>BE24*MIN(BE31-BE34-BE35,BE37)</f>
        <v/>
      </c>
      <c r="BF38" s="13">
        <f>BF24*MIN(BF31-BF34-BF35,BF37)</f>
        <v/>
      </c>
      <c r="BG38" s="13">
        <f>BG24*MIN(BG31-BG34-BG35,BG37)</f>
        <v/>
      </c>
      <c r="BH38" s="13">
        <f>BH24*MIN(BH31-BH34-BH35,BH37)</f>
        <v/>
      </c>
      <c r="BI38" s="13">
        <f>BI24*MIN(BI31-BI34-BI35,BI37)</f>
        <v/>
      </c>
      <c r="BJ38" s="13">
        <f>BJ24*MIN(BJ31-BJ34-BJ35,BJ37)</f>
        <v/>
      </c>
      <c r="BK38" s="13">
        <f>BK24*MIN(BK31-BK34-BK35,BK37)</f>
        <v/>
      </c>
      <c r="BL38" s="13">
        <f>BL24*MIN(BL31-BL34-BL35,BL37)</f>
        <v/>
      </c>
      <c r="BM38" s="13">
        <f>BM24*MIN(BM31-BM34-BM35,BM37)</f>
        <v/>
      </c>
      <c r="BN38" s="13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3">
        <f>J24*(J31-J34-J35-J38)</f>
        <v/>
      </c>
      <c r="K39" s="13">
        <f>K24*(K31-K34-K35-K38)</f>
        <v/>
      </c>
      <c r="L39" s="13">
        <f>L24*(L31-L34-L35-L38)</f>
        <v/>
      </c>
      <c r="M39" s="13">
        <f>M24*(M31-M34-M35-M38)</f>
        <v/>
      </c>
      <c r="N39" s="13">
        <f>N24*(N31-N34-N35-N38)</f>
        <v/>
      </c>
      <c r="O39" s="13">
        <f>O24*(O31-O34-O35-O38)</f>
        <v/>
      </c>
      <c r="P39" s="13">
        <f>P24*(P31-P34-P35-P38)</f>
        <v/>
      </c>
      <c r="Q39" s="13">
        <f>Q24*(Q31-Q34-Q35-Q38)</f>
        <v/>
      </c>
      <c r="R39" s="13">
        <f>R24*(R31-R34-R35-R38)</f>
        <v/>
      </c>
      <c r="S39" s="13">
        <f>S24*(S31-S34-S35-S38)</f>
        <v/>
      </c>
      <c r="T39" s="13">
        <f>T24*(T31-T34-T35-T38)</f>
        <v/>
      </c>
      <c r="U39" s="13">
        <f>U24*(U31-U34-U35-U38)</f>
        <v/>
      </c>
      <c r="V39" s="13">
        <f>V24*(V31-V34-V35-V38)</f>
        <v/>
      </c>
      <c r="W39" s="13">
        <f>W24*(W31-W34-W35-W38)</f>
        <v/>
      </c>
      <c r="X39" s="13">
        <f>X24*(X31-X34-X35-X38)</f>
        <v/>
      </c>
      <c r="Y39" s="13">
        <f>Y24*(Y31-Y34-Y35-Y38)</f>
        <v/>
      </c>
      <c r="Z39" s="13">
        <f>Z24*(Z31-Z34-Z35-Z38)</f>
        <v/>
      </c>
      <c r="AA39" s="13">
        <f>AA24*(AA31-AA34-AA35-AA38)</f>
        <v/>
      </c>
      <c r="AB39" s="13">
        <f>AB24*(AB31-AB34-AB35-AB38)</f>
        <v/>
      </c>
      <c r="AC39" s="13">
        <f>AC24*(AC31-AC34-AC35-AC38)</f>
        <v/>
      </c>
      <c r="AD39" s="13">
        <f>AD24*(AD31-AD34-AD35-AD38)</f>
        <v/>
      </c>
      <c r="AE39" s="13">
        <f>AE24*(AE31-AE34-AE35-AE38)</f>
        <v/>
      </c>
      <c r="AF39" s="13">
        <f>AF24*(AF31-AF34-AF35-AF38)</f>
        <v/>
      </c>
      <c r="AG39" s="13">
        <f>AG24*(AG31-AG34-AG35-AG38)</f>
        <v/>
      </c>
      <c r="AH39" s="13">
        <f>AH24*(AH31-AH34-AH35-AH38)</f>
        <v/>
      </c>
      <c r="AI39" s="13">
        <f>AI24*(AI31-AI34-AI35-AI38)</f>
        <v/>
      </c>
      <c r="AJ39" s="13">
        <f>AJ24*(AJ31-AJ34-AJ35-AJ38)</f>
        <v/>
      </c>
      <c r="AK39" s="13">
        <f>AK24*(AK31-AK34-AK35-AK38)</f>
        <v/>
      </c>
      <c r="AL39" s="13">
        <f>AL24*(AL31-AL34-AL35-AL38)</f>
        <v/>
      </c>
      <c r="AM39" s="13">
        <f>AM24*(AM31-AM34-AM35-AM38)</f>
        <v/>
      </c>
      <c r="AN39" s="13">
        <f>AN24*(AN31-AN34-AN35-AN38)</f>
        <v/>
      </c>
      <c r="AO39" s="13">
        <f>AO24*(AO31-AO34-AO35-AO38)</f>
        <v/>
      </c>
      <c r="AP39" s="13">
        <f>AP24*(AP31-AP34-AP35-AP38)</f>
        <v/>
      </c>
      <c r="AQ39" s="13">
        <f>AQ24*(AQ31-AQ34-AQ35-AQ38)</f>
        <v/>
      </c>
      <c r="AR39" s="13">
        <f>AR24*(AR31-AR34-AR35-AR38)</f>
        <v/>
      </c>
      <c r="AS39" s="13">
        <f>AS24*(AS31-AS34-AS35-AS38)</f>
        <v/>
      </c>
      <c r="AT39" s="13">
        <f>AT24*(AT31-AT34-AT35-AT38)</f>
        <v/>
      </c>
      <c r="AU39" s="13">
        <f>AU24*(AU31-AU34-AU35-AU38)</f>
        <v/>
      </c>
      <c r="AV39" s="13">
        <f>AV24*(AV31-AV34-AV35-AV38)</f>
        <v/>
      </c>
      <c r="AW39" s="13">
        <f>AW24*(AW31-AW34-AW35-AW38)</f>
        <v/>
      </c>
      <c r="AX39" s="13">
        <f>AX24*(AX31-AX34-AX35-AX38)</f>
        <v/>
      </c>
      <c r="AY39" s="13">
        <f>AY24*(AY31-AY34-AY35-AY38)</f>
        <v/>
      </c>
      <c r="AZ39" s="13">
        <f>AZ24*(AZ31-AZ34-AZ35-AZ38)</f>
        <v/>
      </c>
      <c r="BA39" s="13">
        <f>BA24*(BA31-BA34-BA35-BA38)</f>
        <v/>
      </c>
      <c r="BB39" s="13">
        <f>BB24*(BB31-BB34-BB35-BB38)</f>
        <v/>
      </c>
      <c r="BC39" s="13">
        <f>BC24*(BC31-BC34-BC35-BC38)</f>
        <v/>
      </c>
      <c r="BD39" s="13">
        <f>BD24*(BD31-BD34-BD35-BD38)</f>
        <v/>
      </c>
      <c r="BE39" s="13">
        <f>BE24*(BE31-BE34-BE35-BE38)</f>
        <v/>
      </c>
      <c r="BF39" s="13">
        <f>BF24*(BF31-BF34-BF35-BF38)</f>
        <v/>
      </c>
      <c r="BG39" s="13">
        <f>BG24*(BG31-BG34-BG35-BG38)</f>
        <v/>
      </c>
      <c r="BH39" s="13">
        <f>BH24*(BH31-BH34-BH35-BH38)</f>
        <v/>
      </c>
      <c r="BI39" s="13">
        <f>BI24*(BI31-BI34-BI35-BI38)</f>
        <v/>
      </c>
      <c r="BJ39" s="13">
        <f>BJ24*(BJ31-BJ34-BJ35-BJ38)</f>
        <v/>
      </c>
      <c r="BK39" s="13">
        <f>BK24*(BK31-BK34-BK35-BK38)</f>
        <v/>
      </c>
      <c r="BL39" s="13">
        <f>BL24*(BL31-BL34-BL35-BL38)</f>
        <v/>
      </c>
      <c r="BM39" s="13">
        <f>BM24*(BM31-BM34-BM35-BM38)</f>
        <v/>
      </c>
      <c r="BN39" s="13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3">
        <f>SUM(J40:BN40)</f>
        <v/>
      </c>
      <c r="J40" s="13">
        <f>Time!J37*(J39+J30+Reserves!J9-Reserves!J10+Reserves!J11-Reserves!J12)</f>
        <v/>
      </c>
      <c r="K40" s="13">
        <f>Time!K37*(K39+K30+Reserves!K9-Reserves!K10+Reserves!K11-Reserves!K12)</f>
        <v/>
      </c>
      <c r="L40" s="13">
        <f>Time!L37*(L39+L30+Reserves!L9-Reserves!L10+Reserves!L11-Reserves!L12)</f>
        <v/>
      </c>
      <c r="M40" s="13">
        <f>Time!M37*(M39+M30+Reserves!M9-Reserves!M10+Reserves!M11-Reserves!M12)</f>
        <v/>
      </c>
      <c r="N40" s="13">
        <f>Time!N37*(N39+N30+Reserves!N9-Reserves!N10+Reserves!N11-Reserves!N12)</f>
        <v/>
      </c>
      <c r="O40" s="13">
        <f>Time!O37*(O39+O30+Reserves!O9-Reserves!O10+Reserves!O11-Reserves!O12)</f>
        <v/>
      </c>
      <c r="P40" s="13">
        <f>Time!P37*(P39+P30+Reserves!P9-Reserves!P10+Reserves!P11-Reserves!P12)</f>
        <v/>
      </c>
      <c r="Q40" s="13">
        <f>Time!Q37*(Q39+Q30+Reserves!Q9-Reserves!Q10+Reserves!Q11-Reserves!Q12)</f>
        <v/>
      </c>
      <c r="R40" s="13">
        <f>Time!R37*(R39+R30+Reserves!R9-Reserves!R10+Reserves!R11-Reserves!R12)</f>
        <v/>
      </c>
      <c r="S40" s="13">
        <f>Time!S37*(S39+S30+Reserves!S9-Reserves!S10+Reserves!S11-Reserves!S12)</f>
        <v/>
      </c>
      <c r="T40" s="13">
        <f>Time!T37*(T39+T30+Reserves!T9-Reserves!T10+Reserves!T11-Reserves!T12)</f>
        <v/>
      </c>
      <c r="U40" s="13">
        <f>Time!U37*(U39+U30+Reserves!U9-Reserves!U10+Reserves!U11-Reserves!U12)</f>
        <v/>
      </c>
      <c r="V40" s="13">
        <f>Time!V37*(V39+V30+Reserves!V9-Reserves!V10+Reserves!V11-Reserves!V12)</f>
        <v/>
      </c>
      <c r="W40" s="13">
        <f>Time!W37*(W39+W30+Reserves!W9-Reserves!W10+Reserves!W11-Reserves!W12)</f>
        <v/>
      </c>
      <c r="X40" s="13">
        <f>Time!X37*(X39+X30+Reserves!X9-Reserves!X10+Reserves!X11-Reserves!X12)</f>
        <v/>
      </c>
      <c r="Y40" s="13">
        <f>Time!Y37*(Y39+Y30+Reserves!Y9-Reserves!Y10+Reserves!Y11-Reserves!Y12)</f>
        <v/>
      </c>
      <c r="Z40" s="13">
        <f>Time!Z37*(Z39+Z30+Reserves!Z9-Reserves!Z10+Reserves!Z11-Reserves!Z12)</f>
        <v/>
      </c>
      <c r="AA40" s="13">
        <f>Time!AA37*(AA39+AA30+Reserves!AA9-Reserves!AA10+Reserves!AA11-Reserves!AA12)</f>
        <v/>
      </c>
      <c r="AB40" s="13">
        <f>Time!AB37*(AB39+AB30+Reserves!AB9-Reserves!AB10+Reserves!AB11-Reserves!AB12)</f>
        <v/>
      </c>
      <c r="AC40" s="13">
        <f>Time!AC37*(AC39+AC30+Reserves!AC9-Reserves!AC10+Reserves!AC11-Reserves!AC12)</f>
        <v/>
      </c>
      <c r="AD40" s="13">
        <f>Time!AD37*(AD39+AD30+Reserves!AD9-Reserves!AD10+Reserves!AD11-Reserves!AD12)</f>
        <v/>
      </c>
      <c r="AE40" s="13">
        <f>Time!AE37*(AE39+AE30+Reserves!AE9-Reserves!AE10+Reserves!AE11-Reserves!AE12)</f>
        <v/>
      </c>
      <c r="AF40" s="13">
        <f>Time!AF37*(AF39+AF30+Reserves!AF9-Reserves!AF10+Reserves!AF11-Reserves!AF12)</f>
        <v/>
      </c>
      <c r="AG40" s="13">
        <f>Time!AG37*(AG39+AG30+Reserves!AG9-Reserves!AG10+Reserves!AG11-Reserves!AG12)</f>
        <v/>
      </c>
      <c r="AH40" s="13">
        <f>Time!AH37*(AH39+AH30+Reserves!AH9-Reserves!AH10+Reserves!AH11-Reserves!AH12)</f>
        <v/>
      </c>
      <c r="AI40" s="13">
        <f>Time!AI37*(AI39+AI30+Reserves!AI9-Reserves!AI10+Reserves!AI11-Reserves!AI12)</f>
        <v/>
      </c>
      <c r="AJ40" s="13">
        <f>Time!AJ37*(AJ39+AJ30+Reserves!AJ9-Reserves!AJ10+Reserves!AJ11-Reserves!AJ12)</f>
        <v/>
      </c>
      <c r="AK40" s="13">
        <f>Time!AK37*(AK39+AK30+Reserves!AK9-Reserves!AK10+Reserves!AK11-Reserves!AK12)</f>
        <v/>
      </c>
      <c r="AL40" s="13">
        <f>Time!AL37*(AL39+AL30+Reserves!AL9-Reserves!AL10+Reserves!AL11-Reserves!AL12)</f>
        <v/>
      </c>
      <c r="AM40" s="13">
        <f>Time!AM37*(AM39+AM30+Reserves!AM9-Reserves!AM10+Reserves!AM11-Reserves!AM12)</f>
        <v/>
      </c>
      <c r="AN40" s="13">
        <f>Time!AN37*(AN39+AN30+Reserves!AN9-Reserves!AN10+Reserves!AN11-Reserves!AN12)</f>
        <v/>
      </c>
      <c r="AO40" s="13">
        <f>Time!AO37*(AO39+AO30+Reserves!AO9-Reserves!AO10+Reserves!AO11-Reserves!AO12)</f>
        <v/>
      </c>
      <c r="AP40" s="13">
        <f>Time!AP37*(AP39+AP30+Reserves!AP9-Reserves!AP10+Reserves!AP11-Reserves!AP12)</f>
        <v/>
      </c>
      <c r="AQ40" s="13">
        <f>Time!AQ37*(AQ39+AQ30+Reserves!AQ9-Reserves!AQ10+Reserves!AQ11-Reserves!AQ12)</f>
        <v/>
      </c>
      <c r="AR40" s="13">
        <f>Time!AR37*(AR39+AR30+Reserves!AR9-Reserves!AR10+Reserves!AR11-Reserves!AR12)</f>
        <v/>
      </c>
      <c r="AS40" s="13">
        <f>Time!AS37*(AS39+AS30+Reserves!AS9-Reserves!AS10+Reserves!AS11-Reserves!AS12)</f>
        <v/>
      </c>
      <c r="AT40" s="13">
        <f>Time!AT37*(AT39+AT30+Reserves!AT9-Reserves!AT10+Reserves!AT11-Reserves!AT12)</f>
        <v/>
      </c>
      <c r="AU40" s="13">
        <f>Time!AU37*(AU39+AU30+Reserves!AU9-Reserves!AU10+Reserves!AU11-Reserves!AU12)</f>
        <v/>
      </c>
      <c r="AV40" s="13">
        <f>Time!AV37*(AV39+AV30+Reserves!AV9-Reserves!AV10+Reserves!AV11-Reserves!AV12)</f>
        <v/>
      </c>
      <c r="AW40" s="13">
        <f>Time!AW37*(AW39+AW30+Reserves!AW9-Reserves!AW10+Reserves!AW11-Reserves!AW12)</f>
        <v/>
      </c>
      <c r="AX40" s="13">
        <f>Time!AX37*(AX39+AX30+Reserves!AX9-Reserves!AX10+Reserves!AX11-Reserves!AX12)</f>
        <v/>
      </c>
      <c r="AY40" s="13">
        <f>Time!AY37*(AY39+AY30+Reserves!AY9-Reserves!AY10+Reserves!AY11-Reserves!AY12)</f>
        <v/>
      </c>
      <c r="AZ40" s="13">
        <f>Time!AZ37*(AZ39+AZ30+Reserves!AZ9-Reserves!AZ10+Reserves!AZ11-Reserves!AZ12)</f>
        <v/>
      </c>
      <c r="BA40" s="13">
        <f>Time!BA37*(BA39+BA30+Reserves!BA9-Reserves!BA10+Reserves!BA11-Reserves!BA12)</f>
        <v/>
      </c>
      <c r="BB40" s="13">
        <f>Time!BB37*(BB39+BB30+Reserves!BB9-Reserves!BB10+Reserves!BB11-Reserves!BB12)</f>
        <v/>
      </c>
      <c r="BC40" s="13">
        <f>Time!BC37*(BC39+BC30+Reserves!BC9-Reserves!BC10+Reserves!BC11-Reserves!BC12)</f>
        <v/>
      </c>
      <c r="BD40" s="13">
        <f>Time!BD37*(BD39+BD30+Reserves!BD9-Reserves!BD10+Reserves!BD11-Reserves!BD12)</f>
        <v/>
      </c>
      <c r="BE40" s="13">
        <f>Time!BE37*(BE39+BE30+Reserves!BE9-Reserves!BE10+Reserves!BE11-Reserves!BE12)</f>
        <v/>
      </c>
      <c r="BF40" s="13">
        <f>Time!BF37*(BF39+BF30+Reserves!BF9-Reserves!BF10+Reserves!BF11-Reserves!BF12)</f>
        <v/>
      </c>
      <c r="BG40" s="13">
        <f>Time!BG37*(BG39+BG30+Reserves!BG9-Reserves!BG10+Reserves!BG11-Reserves!BG12)</f>
        <v/>
      </c>
      <c r="BH40" s="13">
        <f>Time!BH37*(BH39+BH30+Reserves!BH9-Reserves!BH10+Reserves!BH11-Reserves!BH12)</f>
        <v/>
      </c>
      <c r="BI40" s="13">
        <f>Time!BI37*(BI39+BI30+Reserves!BI9-Reserves!BI10+Reserves!BI11-Reserves!BI12)</f>
        <v/>
      </c>
      <c r="BJ40" s="13">
        <f>Time!BJ37*(BJ39+BJ30+Reserves!BJ9-Reserves!BJ10+Reserves!BJ11-Reserves!BJ12)</f>
        <v/>
      </c>
      <c r="BK40" s="13">
        <f>Time!BK37*(BK39+BK30+Reserves!BK9-Reserves!BK10+Reserves!BK11-Reserves!BK12)</f>
        <v/>
      </c>
      <c r="BL40" s="13">
        <f>Time!BL37*(BL39+BL30+Reserves!BL9-Reserves!BL10+Reserves!BL11-Reserves!BL12)</f>
        <v/>
      </c>
      <c r="BM40" s="13">
        <f>Time!BM37*(BM39+BM30+Reserves!BM9-Reserves!BM10+Reserves!BM11-Reserves!BM12)</f>
        <v/>
      </c>
      <c r="BN40" s="13">
        <f>Time!BN37*(BN39+BN30+Reserves!BN9-Reserves!BN10+Reserves!BN11-Reserves!BN12)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3">
        <f>SUM(J41:BN41)</f>
        <v/>
      </c>
      <c r="J41" s="13">
        <f>J38+J40</f>
        <v/>
      </c>
      <c r="K41" s="13">
        <f>K38+K40</f>
        <v/>
      </c>
      <c r="L41" s="13">
        <f>L38+L40</f>
        <v/>
      </c>
      <c r="M41" s="13">
        <f>M38+M40</f>
        <v/>
      </c>
      <c r="N41" s="13">
        <f>N38+N40</f>
        <v/>
      </c>
      <c r="O41" s="13">
        <f>O38+O40</f>
        <v/>
      </c>
      <c r="P41" s="13">
        <f>P38+P40</f>
        <v/>
      </c>
      <c r="Q41" s="13">
        <f>Q38+Q40</f>
        <v/>
      </c>
      <c r="R41" s="13">
        <f>R38+R40</f>
        <v/>
      </c>
      <c r="S41" s="13">
        <f>S38+S40</f>
        <v/>
      </c>
      <c r="T41" s="13">
        <f>T38+T40</f>
        <v/>
      </c>
      <c r="U41" s="13">
        <f>U38+U40</f>
        <v/>
      </c>
      <c r="V41" s="13">
        <f>V38+V40</f>
        <v/>
      </c>
      <c r="W41" s="13">
        <f>W38+W40</f>
        <v/>
      </c>
      <c r="X41" s="13">
        <f>X38+X40</f>
        <v/>
      </c>
      <c r="Y41" s="13">
        <f>Y38+Y40</f>
        <v/>
      </c>
      <c r="Z41" s="13">
        <f>Z38+Z40</f>
        <v/>
      </c>
      <c r="AA41" s="13">
        <f>AA38+AA40</f>
        <v/>
      </c>
      <c r="AB41" s="13">
        <f>AB38+AB40</f>
        <v/>
      </c>
      <c r="AC41" s="13">
        <f>AC38+AC40</f>
        <v/>
      </c>
      <c r="AD41" s="13">
        <f>AD38+AD40</f>
        <v/>
      </c>
      <c r="AE41" s="13">
        <f>AE38+AE40</f>
        <v/>
      </c>
      <c r="AF41" s="13">
        <f>AF38+AF40</f>
        <v/>
      </c>
      <c r="AG41" s="13">
        <f>AG38+AG40</f>
        <v/>
      </c>
      <c r="AH41" s="13">
        <f>AH38+AH40</f>
        <v/>
      </c>
      <c r="AI41" s="13">
        <f>AI38+AI40</f>
        <v/>
      </c>
      <c r="AJ41" s="13">
        <f>AJ38+AJ40</f>
        <v/>
      </c>
      <c r="AK41" s="13">
        <f>AK38+AK40</f>
        <v/>
      </c>
      <c r="AL41" s="13">
        <f>AL38+AL40</f>
        <v/>
      </c>
      <c r="AM41" s="13">
        <f>AM38+AM40</f>
        <v/>
      </c>
      <c r="AN41" s="13">
        <f>AN38+AN40</f>
        <v/>
      </c>
      <c r="AO41" s="13">
        <f>AO38+AO40</f>
        <v/>
      </c>
      <c r="AP41" s="13">
        <f>AP38+AP40</f>
        <v/>
      </c>
      <c r="AQ41" s="13">
        <f>AQ38+AQ40</f>
        <v/>
      </c>
      <c r="AR41" s="13">
        <f>AR38+AR40</f>
        <v/>
      </c>
      <c r="AS41" s="13">
        <f>AS38+AS40</f>
        <v/>
      </c>
      <c r="AT41" s="13">
        <f>AT38+AT40</f>
        <v/>
      </c>
      <c r="AU41" s="13">
        <f>AU38+AU40</f>
        <v/>
      </c>
      <c r="AV41" s="13">
        <f>AV38+AV40</f>
        <v/>
      </c>
      <c r="AW41" s="13">
        <f>AW38+AW40</f>
        <v/>
      </c>
      <c r="AX41" s="13">
        <f>AX38+AX40</f>
        <v/>
      </c>
      <c r="AY41" s="13">
        <f>AY38+AY40</f>
        <v/>
      </c>
      <c r="AZ41" s="13">
        <f>AZ38+AZ40</f>
        <v/>
      </c>
      <c r="BA41" s="13">
        <f>BA38+BA40</f>
        <v/>
      </c>
      <c r="BB41" s="13">
        <f>BB38+BB40</f>
        <v/>
      </c>
      <c r="BC41" s="13">
        <f>BC38+BC40</f>
        <v/>
      </c>
      <c r="BD41" s="13">
        <f>BD38+BD40</f>
        <v/>
      </c>
      <c r="BE41" s="13">
        <f>BE38+BE40</f>
        <v/>
      </c>
      <c r="BF41" s="13">
        <f>BF38+BF40</f>
        <v/>
      </c>
      <c r="BG41" s="13">
        <f>BG38+BG40</f>
        <v/>
      </c>
      <c r="BH41" s="13">
        <f>BH38+BH40</f>
        <v/>
      </c>
      <c r="BI41" s="13">
        <f>BI38+BI40</f>
        <v/>
      </c>
      <c r="BJ41" s="13">
        <f>BJ38+BJ40</f>
        <v/>
      </c>
      <c r="BK41" s="13">
        <f>BK38+BK40</f>
        <v/>
      </c>
      <c r="BL41" s="13">
        <f>BL38+BL40</f>
        <v/>
      </c>
      <c r="BM41" s="13">
        <f>BM38+BM40</f>
        <v/>
      </c>
      <c r="BN41" s="13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3">
        <f>(1-Time!J37)*J39</f>
        <v/>
      </c>
      <c r="K42" s="13">
        <f>(1-Time!K37)*K39</f>
        <v/>
      </c>
      <c r="L42" s="13">
        <f>(1-Time!L37)*L39</f>
        <v/>
      </c>
      <c r="M42" s="13">
        <f>(1-Time!M37)*M39</f>
        <v/>
      </c>
      <c r="N42" s="13">
        <f>(1-Time!N37)*N39</f>
        <v/>
      </c>
      <c r="O42" s="13">
        <f>(1-Time!O37)*O39</f>
        <v/>
      </c>
      <c r="P42" s="13">
        <f>(1-Time!P37)*P39</f>
        <v/>
      </c>
      <c r="Q42" s="13">
        <f>(1-Time!Q37)*Q39</f>
        <v/>
      </c>
      <c r="R42" s="13">
        <f>(1-Time!R37)*R39</f>
        <v/>
      </c>
      <c r="S42" s="13">
        <f>(1-Time!S37)*S39</f>
        <v/>
      </c>
      <c r="T42" s="13">
        <f>(1-Time!T37)*T39</f>
        <v/>
      </c>
      <c r="U42" s="13">
        <f>(1-Time!U37)*U39</f>
        <v/>
      </c>
      <c r="V42" s="13">
        <f>(1-Time!V37)*V39</f>
        <v/>
      </c>
      <c r="W42" s="13">
        <f>(1-Time!W37)*W39</f>
        <v/>
      </c>
      <c r="X42" s="13">
        <f>(1-Time!X37)*X39</f>
        <v/>
      </c>
      <c r="Y42" s="13">
        <f>(1-Time!Y37)*Y39</f>
        <v/>
      </c>
      <c r="Z42" s="13">
        <f>(1-Time!Z37)*Z39</f>
        <v/>
      </c>
      <c r="AA42" s="13">
        <f>(1-Time!AA37)*AA39</f>
        <v/>
      </c>
      <c r="AB42" s="13">
        <f>(1-Time!AB37)*AB39</f>
        <v/>
      </c>
      <c r="AC42" s="13">
        <f>(1-Time!AC37)*AC39</f>
        <v/>
      </c>
      <c r="AD42" s="13">
        <f>(1-Time!AD37)*AD39</f>
        <v/>
      </c>
      <c r="AE42" s="13">
        <f>(1-Time!AE37)*AE39</f>
        <v/>
      </c>
      <c r="AF42" s="13">
        <f>(1-Time!AF37)*AF39</f>
        <v/>
      </c>
      <c r="AG42" s="13">
        <f>(1-Time!AG37)*AG39</f>
        <v/>
      </c>
      <c r="AH42" s="13">
        <f>(1-Time!AH37)*AH39</f>
        <v/>
      </c>
      <c r="AI42" s="13">
        <f>(1-Time!AI37)*AI39</f>
        <v/>
      </c>
      <c r="AJ42" s="13">
        <f>(1-Time!AJ37)*AJ39</f>
        <v/>
      </c>
      <c r="AK42" s="13">
        <f>(1-Time!AK37)*AK39</f>
        <v/>
      </c>
      <c r="AL42" s="13">
        <f>(1-Time!AL37)*AL39</f>
        <v/>
      </c>
      <c r="AM42" s="13">
        <f>(1-Time!AM37)*AM39</f>
        <v/>
      </c>
      <c r="AN42" s="13">
        <f>(1-Time!AN37)*AN39</f>
        <v/>
      </c>
      <c r="AO42" s="13">
        <f>(1-Time!AO37)*AO39</f>
        <v/>
      </c>
      <c r="AP42" s="13">
        <f>(1-Time!AP37)*AP39</f>
        <v/>
      </c>
      <c r="AQ42" s="13">
        <f>(1-Time!AQ37)*AQ39</f>
        <v/>
      </c>
      <c r="AR42" s="13">
        <f>(1-Time!AR37)*AR39</f>
        <v/>
      </c>
      <c r="AS42" s="13">
        <f>(1-Time!AS37)*AS39</f>
        <v/>
      </c>
      <c r="AT42" s="13">
        <f>(1-Time!AT37)*AT39</f>
        <v/>
      </c>
      <c r="AU42" s="13">
        <f>(1-Time!AU37)*AU39</f>
        <v/>
      </c>
      <c r="AV42" s="13">
        <f>(1-Time!AV37)*AV39</f>
        <v/>
      </c>
      <c r="AW42" s="13">
        <f>(1-Time!AW37)*AW39</f>
        <v/>
      </c>
      <c r="AX42" s="13">
        <f>(1-Time!AX37)*AX39</f>
        <v/>
      </c>
      <c r="AY42" s="13">
        <f>(1-Time!AY37)*AY39</f>
        <v/>
      </c>
      <c r="AZ42" s="13">
        <f>(1-Time!AZ37)*AZ39</f>
        <v/>
      </c>
      <c r="BA42" s="13">
        <f>(1-Time!BA37)*BA39</f>
        <v/>
      </c>
      <c r="BB42" s="13">
        <f>(1-Time!BB37)*BB39</f>
        <v/>
      </c>
      <c r="BC42" s="13">
        <f>(1-Time!BC37)*BC39</f>
        <v/>
      </c>
      <c r="BD42" s="13">
        <f>(1-Time!BD37)*BD39</f>
        <v/>
      </c>
      <c r="BE42" s="13">
        <f>(1-Time!BE37)*BE39</f>
        <v/>
      </c>
      <c r="BF42" s="13">
        <f>(1-Time!BF37)*BF39</f>
        <v/>
      </c>
      <c r="BG42" s="13">
        <f>(1-Time!BG37)*BG39</f>
        <v/>
      </c>
      <c r="BH42" s="13">
        <f>(1-Time!BH37)*BH39</f>
        <v/>
      </c>
      <c r="BI42" s="13">
        <f>(1-Time!BI37)*BI39</f>
        <v/>
      </c>
      <c r="BJ42" s="13">
        <f>(1-Time!BJ37)*BJ39</f>
        <v/>
      </c>
      <c r="BK42" s="13">
        <f>(1-Time!BK37)*BK39</f>
        <v/>
      </c>
      <c r="BL42" s="13">
        <f>(1-Time!BL37)*BL39</f>
        <v/>
      </c>
      <c r="BM42" s="13">
        <f>(1-Time!BM37)*BM39</f>
        <v/>
      </c>
      <c r="BN42" s="13">
        <f>(1-Time!BN37)*BN39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3">
        <f>IF(Time!J20&lt;Time!$F$12,0,I43+Financials!J14-J41)</f>
        <v/>
      </c>
      <c r="K43" s="13">
        <f>IF(Time!K20&lt;Time!$F$12,0,J43+Financials!K14-K41)</f>
        <v/>
      </c>
      <c r="L43" s="13">
        <f>IF(Time!L20&lt;Time!$F$12,0,K43+Financials!L14-L41)</f>
        <v/>
      </c>
      <c r="M43" s="13">
        <f>IF(Time!M20&lt;Time!$F$12,0,L43+Financials!M14-M41)</f>
        <v/>
      </c>
      <c r="N43" s="13">
        <f>IF(Time!N20&lt;Time!$F$12,0,M43+Financials!N14-N41)</f>
        <v/>
      </c>
      <c r="O43" s="13">
        <f>IF(Time!O20&lt;Time!$F$12,0,N43+Financials!O14-O41)</f>
        <v/>
      </c>
      <c r="P43" s="13">
        <f>IF(Time!P20&lt;Time!$F$12,0,O43+Financials!P14-P41)</f>
        <v/>
      </c>
      <c r="Q43" s="13">
        <f>IF(Time!Q20&lt;Time!$F$12,0,P43+Financials!Q14-Q41)</f>
        <v/>
      </c>
      <c r="R43" s="13">
        <f>IF(Time!R20&lt;Time!$F$12,0,Q43+Financials!R14-R41)</f>
        <v/>
      </c>
      <c r="S43" s="13">
        <f>IF(Time!S20&lt;Time!$F$12,0,R43+Financials!S14-S41)</f>
        <v/>
      </c>
      <c r="T43" s="13">
        <f>IF(Time!T20&lt;Time!$F$12,0,S43+Financials!T14-T41)</f>
        <v/>
      </c>
      <c r="U43" s="13">
        <f>IF(Time!U20&lt;Time!$F$12,0,T43+Financials!U14-U41)</f>
        <v/>
      </c>
      <c r="V43" s="13">
        <f>IF(Time!V20&lt;Time!$F$12,0,U43+Financials!V14-V41)</f>
        <v/>
      </c>
      <c r="W43" s="13">
        <f>IF(Time!W20&lt;Time!$F$12,0,V43+Financials!W14-W41)</f>
        <v/>
      </c>
      <c r="X43" s="13">
        <f>IF(Time!X20&lt;Time!$F$12,0,W43+Financials!X14-X41)</f>
        <v/>
      </c>
      <c r="Y43" s="13">
        <f>IF(Time!Y20&lt;Time!$F$12,0,X43+Financials!Y14-Y41)</f>
        <v/>
      </c>
      <c r="Z43" s="13">
        <f>IF(Time!Z20&lt;Time!$F$12,0,Y43+Financials!Z14-Z41)</f>
        <v/>
      </c>
      <c r="AA43" s="13">
        <f>IF(Time!AA20&lt;Time!$F$12,0,Z43+Financials!AA14-AA41)</f>
        <v/>
      </c>
      <c r="AB43" s="13">
        <f>IF(Time!AB20&lt;Time!$F$12,0,AA43+Financials!AB14-AB41)</f>
        <v/>
      </c>
      <c r="AC43" s="13">
        <f>IF(Time!AC20&lt;Time!$F$12,0,AB43+Financials!AC14-AC41)</f>
        <v/>
      </c>
      <c r="AD43" s="13">
        <f>IF(Time!AD20&lt;Time!$F$12,0,AC43+Financials!AD14-AD41)</f>
        <v/>
      </c>
      <c r="AE43" s="13">
        <f>IF(Time!AE20&lt;Time!$F$12,0,AD43+Financials!AE14-AE41)</f>
        <v/>
      </c>
      <c r="AF43" s="13">
        <f>IF(Time!AF20&lt;Time!$F$12,0,AE43+Financials!AF14-AF41)</f>
        <v/>
      </c>
      <c r="AG43" s="13">
        <f>IF(Time!AG20&lt;Time!$F$12,0,AF43+Financials!AG14-AG41)</f>
        <v/>
      </c>
      <c r="AH43" s="13">
        <f>IF(Time!AH20&lt;Time!$F$12,0,AG43+Financials!AH14-AH41)</f>
        <v/>
      </c>
      <c r="AI43" s="13">
        <f>IF(Time!AI20&lt;Time!$F$12,0,AH43+Financials!AI14-AI41)</f>
        <v/>
      </c>
      <c r="AJ43" s="13">
        <f>IF(Time!AJ20&lt;Time!$F$12,0,AI43+Financials!AJ14-AJ41)</f>
        <v/>
      </c>
      <c r="AK43" s="13">
        <f>IF(Time!AK20&lt;Time!$F$12,0,AJ43+Financials!AK14-AK41)</f>
        <v/>
      </c>
      <c r="AL43" s="13">
        <f>IF(Time!AL20&lt;Time!$F$12,0,AK43+Financials!AL14-AL41)</f>
        <v/>
      </c>
      <c r="AM43" s="13">
        <f>IF(Time!AM20&lt;Time!$F$12,0,AL43+Financials!AM14-AM41)</f>
        <v/>
      </c>
      <c r="AN43" s="13">
        <f>IF(Time!AN20&lt;Time!$F$12,0,AM43+Financials!AN14-AN41)</f>
        <v/>
      </c>
      <c r="AO43" s="13">
        <f>IF(Time!AO20&lt;Time!$F$12,0,AN43+Financials!AO14-AO41)</f>
        <v/>
      </c>
      <c r="AP43" s="13">
        <f>IF(Time!AP20&lt;Time!$F$12,0,AO43+Financials!AP14-AP41)</f>
        <v/>
      </c>
      <c r="AQ43" s="13">
        <f>IF(Time!AQ20&lt;Time!$F$12,0,AP43+Financials!AQ14-AQ41)</f>
        <v/>
      </c>
      <c r="AR43" s="13">
        <f>IF(Time!AR20&lt;Time!$F$12,0,AQ43+Financials!AR14-AR41)</f>
        <v/>
      </c>
      <c r="AS43" s="13">
        <f>IF(Time!AS20&lt;Time!$F$12,0,AR43+Financials!AS14-AS41)</f>
        <v/>
      </c>
      <c r="AT43" s="13">
        <f>IF(Time!AT20&lt;Time!$F$12,0,AS43+Financials!AT14-AT41)</f>
        <v/>
      </c>
      <c r="AU43" s="13">
        <f>IF(Time!AU20&lt;Time!$F$12,0,AT43+Financials!AU14-AU41)</f>
        <v/>
      </c>
      <c r="AV43" s="13">
        <f>IF(Time!AV20&lt;Time!$F$12,0,AU43+Financials!AV14-AV41)</f>
        <v/>
      </c>
      <c r="AW43" s="13">
        <f>IF(Time!AW20&lt;Time!$F$12,0,AV43+Financials!AW14-AW41)</f>
        <v/>
      </c>
      <c r="AX43" s="13">
        <f>IF(Time!AX20&lt;Time!$F$12,0,AW43+Financials!AX14-AX41)</f>
        <v/>
      </c>
      <c r="AY43" s="13">
        <f>IF(Time!AY20&lt;Time!$F$12,0,AX43+Financials!AY14-AY41)</f>
        <v/>
      </c>
      <c r="AZ43" s="13">
        <f>IF(Time!AZ20&lt;Time!$F$12,0,AY43+Financials!AZ14-AZ41)</f>
        <v/>
      </c>
      <c r="BA43" s="13">
        <f>IF(Time!BA20&lt;Time!$F$12,0,AZ43+Financials!BA14-BA41)</f>
        <v/>
      </c>
      <c r="BB43" s="13">
        <f>IF(Time!BB20&lt;Time!$F$12,0,BA43+Financials!BB14-BB41)</f>
        <v/>
      </c>
      <c r="BC43" s="13">
        <f>IF(Time!BC20&lt;Time!$F$12,0,BB43+Financials!BC14-BC41)</f>
        <v/>
      </c>
      <c r="BD43" s="13">
        <f>IF(Time!BD20&lt;Time!$F$12,0,BC43+Financials!BD14-BD41)</f>
        <v/>
      </c>
      <c r="BE43" s="13">
        <f>IF(Time!BE20&lt;Time!$F$12,0,BD43+Financials!BE14-BE41)</f>
        <v/>
      </c>
      <c r="BF43" s="13">
        <f>IF(Time!BF20&lt;Time!$F$12,0,BE43+Financials!BF14-BF41)</f>
        <v/>
      </c>
      <c r="BG43" s="13">
        <f>IF(Time!BG20&lt;Time!$F$12,0,BF43+Financials!BG14-BG41)</f>
        <v/>
      </c>
      <c r="BH43" s="13">
        <f>IF(Time!BH20&lt;Time!$F$12,0,BG43+Financials!BH14-BH41)</f>
        <v/>
      </c>
      <c r="BI43" s="13">
        <f>IF(Time!BI20&lt;Time!$F$12,0,BH43+Financials!BI14-BI41)</f>
        <v/>
      </c>
      <c r="BJ43" s="13">
        <f>IF(Time!BJ20&lt;Time!$F$12,0,BI43+Financials!BJ14-BJ41)</f>
        <v/>
      </c>
      <c r="BK43" s="13">
        <f>IF(Time!BK20&lt;Time!$F$12,0,BJ43+Financials!BK14-BK41)</f>
        <v/>
      </c>
      <c r="BL43" s="13">
        <f>IF(Time!BL20&lt;Time!$F$12,0,BK43+Financials!BL14-BL41)</f>
        <v/>
      </c>
      <c r="BM43" s="13">
        <f>IF(Time!BM20&lt;Time!$F$12,0,BL43+Financials!BM14-BM41)</f>
        <v/>
      </c>
      <c r="BN43" s="13">
        <f>IF(Time!BN20&lt;Time!$F$12,0,BM43+Financials!BN14-BN41)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3">
        <f>SUM(J44:BN44)</f>
        <v/>
      </c>
      <c r="J44" s="13">
        <f>J34+J35+J41</f>
        <v/>
      </c>
      <c r="K44" s="13">
        <f>K34+K35+K41</f>
        <v/>
      </c>
      <c r="L44" s="13">
        <f>L34+L35+L41</f>
        <v/>
      </c>
      <c r="M44" s="13">
        <f>M34+M35+M41</f>
        <v/>
      </c>
      <c r="N44" s="13">
        <f>N34+N35+N41</f>
        <v/>
      </c>
      <c r="O44" s="13">
        <f>O34+O35+O41</f>
        <v/>
      </c>
      <c r="P44" s="13">
        <f>P34+P35+P41</f>
        <v/>
      </c>
      <c r="Q44" s="13">
        <f>Q34+Q35+Q41</f>
        <v/>
      </c>
      <c r="R44" s="13">
        <f>R34+R35+R41</f>
        <v/>
      </c>
      <c r="S44" s="13">
        <f>S34+S35+S41</f>
        <v/>
      </c>
      <c r="T44" s="13">
        <f>T34+T35+T41</f>
        <v/>
      </c>
      <c r="U44" s="13">
        <f>U34+U35+U41</f>
        <v/>
      </c>
      <c r="V44" s="13">
        <f>V34+V35+V41</f>
        <v/>
      </c>
      <c r="W44" s="13">
        <f>W34+W35+W41</f>
        <v/>
      </c>
      <c r="X44" s="13">
        <f>X34+X35+X41</f>
        <v/>
      </c>
      <c r="Y44" s="13">
        <f>Y34+Y35+Y41</f>
        <v/>
      </c>
      <c r="Z44" s="13">
        <f>Z34+Z35+Z41</f>
        <v/>
      </c>
      <c r="AA44" s="13">
        <f>AA34+AA35+AA41</f>
        <v/>
      </c>
      <c r="AB44" s="13">
        <f>AB34+AB35+AB41</f>
        <v/>
      </c>
      <c r="AC44" s="13">
        <f>AC34+AC35+AC41</f>
        <v/>
      </c>
      <c r="AD44" s="13">
        <f>AD34+AD35+AD41</f>
        <v/>
      </c>
      <c r="AE44" s="13">
        <f>AE34+AE35+AE41</f>
        <v/>
      </c>
      <c r="AF44" s="13">
        <f>AF34+AF35+AF41</f>
        <v/>
      </c>
      <c r="AG44" s="13">
        <f>AG34+AG35+AG41</f>
        <v/>
      </c>
      <c r="AH44" s="13">
        <f>AH34+AH35+AH41</f>
        <v/>
      </c>
      <c r="AI44" s="13">
        <f>AI34+AI35+AI41</f>
        <v/>
      </c>
      <c r="AJ44" s="13">
        <f>AJ34+AJ35+AJ41</f>
        <v/>
      </c>
      <c r="AK44" s="13">
        <f>AK34+AK35+AK41</f>
        <v/>
      </c>
      <c r="AL44" s="13">
        <f>AL34+AL35+AL41</f>
        <v/>
      </c>
      <c r="AM44" s="13">
        <f>AM34+AM35+AM41</f>
        <v/>
      </c>
      <c r="AN44" s="13">
        <f>AN34+AN35+AN41</f>
        <v/>
      </c>
      <c r="AO44" s="13">
        <f>AO34+AO35+AO41</f>
        <v/>
      </c>
      <c r="AP44" s="13">
        <f>AP34+AP35+AP41</f>
        <v/>
      </c>
      <c r="AQ44" s="13">
        <f>AQ34+AQ35+AQ41</f>
        <v/>
      </c>
      <c r="AR44" s="13">
        <f>AR34+AR35+AR41</f>
        <v/>
      </c>
      <c r="AS44" s="13">
        <f>AS34+AS35+AS41</f>
        <v/>
      </c>
      <c r="AT44" s="13">
        <f>AT34+AT35+AT41</f>
        <v/>
      </c>
      <c r="AU44" s="13">
        <f>AU34+AU35+AU41</f>
        <v/>
      </c>
      <c r="AV44" s="13">
        <f>AV34+AV35+AV41</f>
        <v/>
      </c>
      <c r="AW44" s="13">
        <f>AW34+AW35+AW41</f>
        <v/>
      </c>
      <c r="AX44" s="13">
        <f>AX34+AX35+AX41</f>
        <v/>
      </c>
      <c r="AY44" s="13">
        <f>AY34+AY35+AY41</f>
        <v/>
      </c>
      <c r="AZ44" s="13">
        <f>AZ34+AZ35+AZ41</f>
        <v/>
      </c>
      <c r="BA44" s="13">
        <f>BA34+BA35+BA41</f>
        <v/>
      </c>
      <c r="BB44" s="13">
        <f>BB34+BB35+BB41</f>
        <v/>
      </c>
      <c r="BC44" s="13">
        <f>BC34+BC35+BC41</f>
        <v/>
      </c>
      <c r="BD44" s="13">
        <f>BD34+BD35+BD41</f>
        <v/>
      </c>
      <c r="BE44" s="13">
        <f>BE34+BE35+BE41</f>
        <v/>
      </c>
      <c r="BF44" s="13">
        <f>BF34+BF35+BF41</f>
        <v/>
      </c>
      <c r="BG44" s="13">
        <f>BG34+BG35+BG41</f>
        <v/>
      </c>
      <c r="BH44" s="13">
        <f>BH34+BH35+BH41</f>
        <v/>
      </c>
      <c r="BI44" s="13">
        <f>BI34+BI35+BI41</f>
        <v/>
      </c>
      <c r="BJ44" s="13">
        <f>BJ34+BJ35+BJ41</f>
        <v/>
      </c>
      <c r="BK44" s="13">
        <f>BK34+BK35+BK41</f>
        <v/>
      </c>
      <c r="BL44" s="13">
        <f>BL34+BL35+BL41</f>
        <v/>
      </c>
      <c r="BM44" s="13">
        <f>BM34+BM35+BM41</f>
        <v/>
      </c>
      <c r="BN44" s="13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3">
        <f>SUM(J8:BN8)</f>
        <v/>
      </c>
      <c r="J8" s="13">
        <f>Funding!$F$76/Time!$F$9*Time!J30</f>
        <v/>
      </c>
      <c r="K8" s="13">
        <f>Funding!$F$76/Time!$F$9*Time!K30</f>
        <v/>
      </c>
      <c r="L8" s="13">
        <f>Funding!$F$76/Time!$F$9*Time!L30</f>
        <v/>
      </c>
      <c r="M8" s="13">
        <f>Funding!$F$76/Time!$F$9*Time!M30</f>
        <v/>
      </c>
      <c r="N8" s="13">
        <f>Funding!$F$76/Time!$F$9*Time!N30</f>
        <v/>
      </c>
      <c r="O8" s="13">
        <f>Funding!$F$76/Time!$F$9*Time!O30</f>
        <v/>
      </c>
      <c r="P8" s="13">
        <f>Funding!$F$76/Time!$F$9*Time!P30</f>
        <v/>
      </c>
      <c r="Q8" s="13">
        <f>Funding!$F$76/Time!$F$9*Time!Q30</f>
        <v/>
      </c>
      <c r="R8" s="13">
        <f>Funding!$F$76/Time!$F$9*Time!R30</f>
        <v/>
      </c>
      <c r="S8" s="13">
        <f>Funding!$F$76/Time!$F$9*Time!S30</f>
        <v/>
      </c>
      <c r="T8" s="13">
        <f>Funding!$F$76/Time!$F$9*Time!T30</f>
        <v/>
      </c>
      <c r="U8" s="13">
        <f>Funding!$F$76/Time!$F$9*Time!U30</f>
        <v/>
      </c>
      <c r="V8" s="13">
        <f>Funding!$F$76/Time!$F$9*Time!V30</f>
        <v/>
      </c>
      <c r="W8" s="13">
        <f>Funding!$F$76/Time!$F$9*Time!W30</f>
        <v/>
      </c>
      <c r="X8" s="13">
        <f>Funding!$F$76/Time!$F$9*Time!X30</f>
        <v/>
      </c>
      <c r="Y8" s="13">
        <f>Funding!$F$76/Time!$F$9*Time!Y30</f>
        <v/>
      </c>
      <c r="Z8" s="13">
        <f>Funding!$F$76/Time!$F$9*Time!Z30</f>
        <v/>
      </c>
      <c r="AA8" s="13">
        <f>Funding!$F$76/Time!$F$9*Time!AA30</f>
        <v/>
      </c>
      <c r="AB8" s="13">
        <f>Funding!$F$76/Time!$F$9*Time!AB30</f>
        <v/>
      </c>
      <c r="AC8" s="13">
        <f>Funding!$F$76/Time!$F$9*Time!AC30</f>
        <v/>
      </c>
      <c r="AD8" s="13">
        <f>Funding!$F$76/Time!$F$9*Time!AD30</f>
        <v/>
      </c>
      <c r="AE8" s="13">
        <f>Funding!$F$76/Time!$F$9*Time!AE30</f>
        <v/>
      </c>
      <c r="AF8" s="13">
        <f>Funding!$F$76/Time!$F$9*Time!AF30</f>
        <v/>
      </c>
      <c r="AG8" s="13">
        <f>Funding!$F$76/Time!$F$9*Time!AG30</f>
        <v/>
      </c>
      <c r="AH8" s="13">
        <f>Funding!$F$76/Time!$F$9*Time!AH30</f>
        <v/>
      </c>
      <c r="AI8" s="13">
        <f>Funding!$F$76/Time!$F$9*Time!AI30</f>
        <v/>
      </c>
      <c r="AJ8" s="13">
        <f>Funding!$F$76/Time!$F$9*Time!AJ30</f>
        <v/>
      </c>
      <c r="AK8" s="13">
        <f>Funding!$F$76/Time!$F$9*Time!AK30</f>
        <v/>
      </c>
      <c r="AL8" s="13">
        <f>Funding!$F$76/Time!$F$9*Time!AL30</f>
        <v/>
      </c>
      <c r="AM8" s="13">
        <f>Funding!$F$76/Time!$F$9*Time!AM30</f>
        <v/>
      </c>
      <c r="AN8" s="13">
        <f>Funding!$F$76/Time!$F$9*Time!AN30</f>
        <v/>
      </c>
      <c r="AO8" s="13">
        <f>Funding!$F$76/Time!$F$9*Time!AO30</f>
        <v/>
      </c>
      <c r="AP8" s="13">
        <f>Funding!$F$76/Time!$F$9*Time!AP30</f>
        <v/>
      </c>
      <c r="AQ8" s="13">
        <f>Funding!$F$76/Time!$F$9*Time!AQ30</f>
        <v/>
      </c>
      <c r="AR8" s="13">
        <f>Funding!$F$76/Time!$F$9*Time!AR30</f>
        <v/>
      </c>
      <c r="AS8" s="13">
        <f>Funding!$F$76/Time!$F$9*Time!AS30</f>
        <v/>
      </c>
      <c r="AT8" s="13">
        <f>Funding!$F$76/Time!$F$9*Time!AT30</f>
        <v/>
      </c>
      <c r="AU8" s="13">
        <f>Funding!$F$76/Time!$F$9*Time!AU30</f>
        <v/>
      </c>
      <c r="AV8" s="13">
        <f>Funding!$F$76/Time!$F$9*Time!AV30</f>
        <v/>
      </c>
      <c r="AW8" s="13">
        <f>Funding!$F$76/Time!$F$9*Time!AW30</f>
        <v/>
      </c>
      <c r="AX8" s="13">
        <f>Funding!$F$76/Time!$F$9*Time!AX30</f>
        <v/>
      </c>
      <c r="AY8" s="13">
        <f>Funding!$F$76/Time!$F$9*Time!AY30</f>
        <v/>
      </c>
      <c r="AZ8" s="13">
        <f>Funding!$F$76/Time!$F$9*Time!AZ30</f>
        <v/>
      </c>
      <c r="BA8" s="13">
        <f>Funding!$F$76/Time!$F$9*Time!BA30</f>
        <v/>
      </c>
      <c r="BB8" s="13">
        <f>Funding!$F$76/Time!$F$9*Time!BB30</f>
        <v/>
      </c>
      <c r="BC8" s="13">
        <f>Funding!$F$76/Time!$F$9*Time!BC30</f>
        <v/>
      </c>
      <c r="BD8" s="13">
        <f>Funding!$F$76/Time!$F$9*Time!BD30</f>
        <v/>
      </c>
      <c r="BE8" s="13">
        <f>Funding!$F$76/Time!$F$9*Time!BE30</f>
        <v/>
      </c>
      <c r="BF8" s="13">
        <f>Funding!$F$76/Time!$F$9*Time!BF30</f>
        <v/>
      </c>
      <c r="BG8" s="13">
        <f>Funding!$F$76/Time!$F$9*Time!BG30</f>
        <v/>
      </c>
      <c r="BH8" s="13">
        <f>Funding!$F$76/Time!$F$9*Time!BH30</f>
        <v/>
      </c>
      <c r="BI8" s="13">
        <f>Funding!$F$76/Time!$F$9*Time!BI30</f>
        <v/>
      </c>
      <c r="BJ8" s="13">
        <f>Funding!$F$76/Time!$F$9*Time!BJ30</f>
        <v/>
      </c>
      <c r="BK8" s="13">
        <f>Funding!$F$76/Time!$F$9*Time!BK30</f>
        <v/>
      </c>
      <c r="BL8" s="13">
        <f>Funding!$F$76/Time!$F$9*Time!BL30</f>
        <v/>
      </c>
      <c r="BM8" s="13">
        <f>Funding!$F$76/Time!$F$9*Time!BM30</f>
        <v/>
      </c>
      <c r="BN8" s="13">
        <f>Funding!$F$76/Time!$F$9*Time!BN30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3">
        <f>SUM(J9:BN9)</f>
        <v/>
      </c>
      <c r="J9" s="13">
        <f>Debt!J112+Debt!J110+Debt!J104-Debt!J103+Tax!J13</f>
        <v/>
      </c>
      <c r="K9" s="13">
        <f>Debt!K112+Debt!K110+Debt!K104-Debt!K103+Tax!K13</f>
        <v/>
      </c>
      <c r="L9" s="13">
        <f>Debt!L112+Debt!L110+Debt!L104-Debt!L103+Tax!L13</f>
        <v/>
      </c>
      <c r="M9" s="13">
        <f>Debt!M112+Debt!M110+Debt!M104-Debt!M103+Tax!M13</f>
        <v/>
      </c>
      <c r="N9" s="13">
        <f>Debt!N112+Debt!N110+Debt!N104-Debt!N103+Tax!N13</f>
        <v/>
      </c>
      <c r="O9" s="13">
        <f>Debt!O112+Debt!O110+Debt!O104-Debt!O103+Tax!O13</f>
        <v/>
      </c>
      <c r="P9" s="13">
        <f>Debt!P112+Debt!P110+Debt!P104-Debt!P103+Tax!P13</f>
        <v/>
      </c>
      <c r="Q9" s="13">
        <f>Debt!Q112+Debt!Q110+Debt!Q104-Debt!Q103+Tax!Q13</f>
        <v/>
      </c>
      <c r="R9" s="13">
        <f>Debt!R112+Debt!R110+Debt!R104-Debt!R103+Tax!R13</f>
        <v/>
      </c>
      <c r="S9" s="13">
        <f>Debt!S112+Debt!S110+Debt!S104-Debt!S103+Tax!S13</f>
        <v/>
      </c>
      <c r="T9" s="13">
        <f>Debt!T112+Debt!T110+Debt!T104-Debt!T103+Tax!T13</f>
        <v/>
      </c>
      <c r="U9" s="13">
        <f>Debt!U112+Debt!U110+Debt!U104-Debt!U103+Tax!U13</f>
        <v/>
      </c>
      <c r="V9" s="13">
        <f>Debt!V112+Debt!V110+Debt!V104-Debt!V103+Tax!V13</f>
        <v/>
      </c>
      <c r="W9" s="13">
        <f>Debt!W112+Debt!W110+Debt!W104-Debt!W103+Tax!W13</f>
        <v/>
      </c>
      <c r="X9" s="13">
        <f>Debt!X112+Debt!X110+Debt!X104-Debt!X103+Tax!X13</f>
        <v/>
      </c>
      <c r="Y9" s="13">
        <f>Debt!Y112+Debt!Y110+Debt!Y104-Debt!Y103+Tax!Y13</f>
        <v/>
      </c>
      <c r="Z9" s="13">
        <f>Debt!Z112+Debt!Z110+Debt!Z104-Debt!Z103+Tax!Z13</f>
        <v/>
      </c>
      <c r="AA9" s="13">
        <f>Debt!AA112+Debt!AA110+Debt!AA104-Debt!AA103+Tax!AA13</f>
        <v/>
      </c>
      <c r="AB9" s="13">
        <f>Debt!AB112+Debt!AB110+Debt!AB104-Debt!AB103+Tax!AB13</f>
        <v/>
      </c>
      <c r="AC9" s="13">
        <f>Debt!AC112+Debt!AC110+Debt!AC104-Debt!AC103+Tax!AC13</f>
        <v/>
      </c>
      <c r="AD9" s="13">
        <f>Debt!AD112+Debt!AD110+Debt!AD104-Debt!AD103+Tax!AD13</f>
        <v/>
      </c>
      <c r="AE9" s="13">
        <f>Debt!AE112+Debt!AE110+Debt!AE104-Debt!AE103+Tax!AE13</f>
        <v/>
      </c>
      <c r="AF9" s="13">
        <f>Debt!AF112+Debt!AF110+Debt!AF104-Debt!AF103+Tax!AF13</f>
        <v/>
      </c>
      <c r="AG9" s="13">
        <f>Debt!AG112+Debt!AG110+Debt!AG104-Debt!AG103+Tax!AG13</f>
        <v/>
      </c>
      <c r="AH9" s="13">
        <f>Debt!AH112+Debt!AH110+Debt!AH104-Debt!AH103+Tax!AH13</f>
        <v/>
      </c>
      <c r="AI9" s="13">
        <f>Debt!AI112+Debt!AI110+Debt!AI104-Debt!AI103+Tax!AI13</f>
        <v/>
      </c>
      <c r="AJ9" s="13">
        <f>Debt!AJ112+Debt!AJ110+Debt!AJ104-Debt!AJ103+Tax!AJ13</f>
        <v/>
      </c>
      <c r="AK9" s="13">
        <f>Debt!AK112+Debt!AK110+Debt!AK104-Debt!AK103+Tax!AK13</f>
        <v/>
      </c>
      <c r="AL9" s="13">
        <f>Debt!AL112+Debt!AL110+Debt!AL104-Debt!AL103+Tax!AL13</f>
        <v/>
      </c>
      <c r="AM9" s="13">
        <f>Debt!AM112+Debt!AM110+Debt!AM104-Debt!AM103+Tax!AM13</f>
        <v/>
      </c>
      <c r="AN9" s="13">
        <f>Debt!AN112+Debt!AN110+Debt!AN104-Debt!AN103+Tax!AN13</f>
        <v/>
      </c>
      <c r="AO9" s="13">
        <f>Debt!AO112+Debt!AO110+Debt!AO104-Debt!AO103+Tax!AO13</f>
        <v/>
      </c>
      <c r="AP9" s="13">
        <f>Debt!AP112+Debt!AP110+Debt!AP104-Debt!AP103+Tax!AP13</f>
        <v/>
      </c>
      <c r="AQ9" s="13">
        <f>Debt!AQ112+Debt!AQ110+Debt!AQ104-Debt!AQ103+Tax!AQ13</f>
        <v/>
      </c>
      <c r="AR9" s="13">
        <f>Debt!AR112+Debt!AR110+Debt!AR104-Debt!AR103+Tax!AR13</f>
        <v/>
      </c>
      <c r="AS9" s="13">
        <f>Debt!AS112+Debt!AS110+Debt!AS104-Debt!AS103+Tax!AS13</f>
        <v/>
      </c>
      <c r="AT9" s="13">
        <f>Debt!AT112+Debt!AT110+Debt!AT104-Debt!AT103+Tax!AT13</f>
        <v/>
      </c>
      <c r="AU9" s="13">
        <f>Debt!AU112+Debt!AU110+Debt!AU104-Debt!AU103+Tax!AU13</f>
        <v/>
      </c>
      <c r="AV9" s="13">
        <f>Debt!AV112+Debt!AV110+Debt!AV104-Debt!AV103+Tax!AV13</f>
        <v/>
      </c>
      <c r="AW9" s="13">
        <f>Debt!AW112+Debt!AW110+Debt!AW104-Debt!AW103+Tax!AW13</f>
        <v/>
      </c>
      <c r="AX9" s="13">
        <f>Debt!AX112+Debt!AX110+Debt!AX104-Debt!AX103+Tax!AX13</f>
        <v/>
      </c>
      <c r="AY9" s="13">
        <f>Debt!AY112+Debt!AY110+Debt!AY104-Debt!AY103+Tax!AY13</f>
        <v/>
      </c>
      <c r="AZ9" s="13">
        <f>Debt!AZ112+Debt!AZ110+Debt!AZ104-Debt!AZ103+Tax!AZ13</f>
        <v/>
      </c>
      <c r="BA9" s="13">
        <f>Debt!BA112+Debt!BA110+Debt!BA104-Debt!BA103+Tax!BA13</f>
        <v/>
      </c>
      <c r="BB9" s="13">
        <f>Debt!BB112+Debt!BB110+Debt!BB104-Debt!BB103+Tax!BB13</f>
        <v/>
      </c>
      <c r="BC9" s="13">
        <f>Debt!BC112+Debt!BC110+Debt!BC104-Debt!BC103+Tax!BC13</f>
        <v/>
      </c>
      <c r="BD9" s="13">
        <f>Debt!BD112+Debt!BD110+Debt!BD104-Debt!BD103+Tax!BD13</f>
        <v/>
      </c>
      <c r="BE9" s="13">
        <f>Debt!BE112+Debt!BE110+Debt!BE104-Debt!BE103+Tax!BE13</f>
        <v/>
      </c>
      <c r="BF9" s="13">
        <f>Debt!BF112+Debt!BF110+Debt!BF104-Debt!BF103+Tax!BF13</f>
        <v/>
      </c>
      <c r="BG9" s="13">
        <f>Debt!BG112+Debt!BG110+Debt!BG104-Debt!BG103+Tax!BG13</f>
        <v/>
      </c>
      <c r="BH9" s="13">
        <f>Debt!BH112+Debt!BH110+Debt!BH104-Debt!BH103+Tax!BH13</f>
        <v/>
      </c>
      <c r="BI9" s="13">
        <f>Debt!BI112+Debt!BI110+Debt!BI104-Debt!BI103+Tax!BI13</f>
        <v/>
      </c>
      <c r="BJ9" s="13">
        <f>Debt!BJ112+Debt!BJ110+Debt!BJ104-Debt!BJ103+Tax!BJ13</f>
        <v/>
      </c>
      <c r="BK9" s="13">
        <f>Debt!BK112+Debt!BK110+Debt!BK104-Debt!BK103+Tax!BK13</f>
        <v/>
      </c>
      <c r="BL9" s="13">
        <f>Debt!BL112+Debt!BL110+Debt!BL104-Debt!BL103+Tax!BL13</f>
        <v/>
      </c>
      <c r="BM9" s="13">
        <f>Debt!BM112+Debt!BM110+Debt!BM104-Debt!BM103+Tax!BM13</f>
        <v/>
      </c>
      <c r="BN9" s="13">
        <f>Debt!BN112+Debt!BN110+Debt!BN104-Debt!BN103+Tax!BN13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3">
        <f>Funding!$F$76-SUM(Tax!J$10:J$10)</f>
        <v/>
      </c>
      <c r="K10" s="13">
        <f>Funding!$F$76-SUM(Tax!$J$10:K$10)</f>
        <v/>
      </c>
      <c r="L10" s="13">
        <f>Funding!$F$76-SUM(Tax!$J$10:L$10)</f>
        <v/>
      </c>
      <c r="M10" s="13">
        <f>Funding!$F$76-SUM(Tax!$J$10:M$10)</f>
        <v/>
      </c>
      <c r="N10" s="13">
        <f>Funding!$F$76-SUM(Tax!$J$10:N$10)</f>
        <v/>
      </c>
      <c r="O10" s="13">
        <f>Funding!$F$76-SUM(Tax!$J$10:O$10)</f>
        <v/>
      </c>
      <c r="P10" s="13">
        <f>Funding!$F$76-SUM(Tax!$J$10:P$10)</f>
        <v/>
      </c>
      <c r="Q10" s="13">
        <f>Funding!$F$76-SUM(Tax!$J$10:Q$10)</f>
        <v/>
      </c>
      <c r="R10" s="13">
        <f>Funding!$F$76-SUM(Tax!$J$10:R$10)</f>
        <v/>
      </c>
      <c r="S10" s="13">
        <f>Funding!$F$76-SUM(Tax!$J$10:S$10)</f>
        <v/>
      </c>
      <c r="T10" s="13">
        <f>Funding!$F$76-SUM(Tax!$J$10:T$10)</f>
        <v/>
      </c>
      <c r="U10" s="13">
        <f>Funding!$F$76-SUM(Tax!$J$10:U$10)</f>
        <v/>
      </c>
      <c r="V10" s="13">
        <f>Funding!$F$76-SUM(Tax!$J$10:V$10)</f>
        <v/>
      </c>
      <c r="W10" s="13">
        <f>Funding!$F$76-SUM(Tax!$J$10:W$10)</f>
        <v/>
      </c>
      <c r="X10" s="13">
        <f>Funding!$F$76-SUM(Tax!$J$10:X$10)</f>
        <v/>
      </c>
      <c r="Y10" s="13">
        <f>Funding!$F$76-SUM(Tax!$J$10:Y$10)</f>
        <v/>
      </c>
      <c r="Z10" s="13">
        <f>Funding!$F$76-SUM(Tax!$J$10:Z$10)</f>
        <v/>
      </c>
      <c r="AA10" s="13">
        <f>Funding!$F$76-SUM(Tax!$J$10:AA$10)</f>
        <v/>
      </c>
      <c r="AB10" s="13">
        <f>Funding!$F$76-SUM(Tax!$J$10:AB$10)</f>
        <v/>
      </c>
      <c r="AC10" s="13">
        <f>Funding!$F$76-SUM(Tax!$J$10:AC$10)</f>
        <v/>
      </c>
      <c r="AD10" s="13">
        <f>Funding!$F$76-SUM(Tax!$J$10:AD$10)</f>
        <v/>
      </c>
      <c r="AE10" s="13">
        <f>Funding!$F$76-SUM(Tax!$J$10:AE$10)</f>
        <v/>
      </c>
      <c r="AF10" s="13">
        <f>Funding!$F$76-SUM(Tax!$J$10:AF$10)</f>
        <v/>
      </c>
      <c r="AG10" s="13">
        <f>Funding!$F$76-SUM(Tax!$J$10:AG$10)</f>
        <v/>
      </c>
      <c r="AH10" s="13">
        <f>Funding!$F$76-SUM(Tax!$J$10:AH$10)</f>
        <v/>
      </c>
      <c r="AI10" s="13">
        <f>Funding!$F$76-SUM(Tax!$J$10:AI$10)</f>
        <v/>
      </c>
      <c r="AJ10" s="13">
        <f>Funding!$F$76-SUM(Tax!$J$10:AJ$10)</f>
        <v/>
      </c>
      <c r="AK10" s="13">
        <f>Funding!$F$76-SUM(Tax!$J$10:AK$10)</f>
        <v/>
      </c>
      <c r="AL10" s="13">
        <f>Funding!$F$76-SUM(Tax!$J$10:AL$10)</f>
        <v/>
      </c>
      <c r="AM10" s="13">
        <f>Funding!$F$76-SUM(Tax!$J$10:AM$10)</f>
        <v/>
      </c>
      <c r="AN10" s="13">
        <f>Funding!$F$76-SUM(Tax!$J$10:AN$10)</f>
        <v/>
      </c>
      <c r="AO10" s="13">
        <f>Funding!$F$76-SUM(Tax!$J$10:AO$10)</f>
        <v/>
      </c>
      <c r="AP10" s="13">
        <f>Funding!$F$76-SUM(Tax!$J$10:AP$10)</f>
        <v/>
      </c>
      <c r="AQ10" s="13">
        <f>Funding!$F$76-SUM(Tax!$J$10:AQ$10)</f>
        <v/>
      </c>
      <c r="AR10" s="13">
        <f>Funding!$F$76-SUM(Tax!$J$10:AR$10)</f>
        <v/>
      </c>
      <c r="AS10" s="13">
        <f>Funding!$F$76-SUM(Tax!$J$10:AS$10)</f>
        <v/>
      </c>
      <c r="AT10" s="13">
        <f>Funding!$F$76-SUM(Tax!$J$10:AT$10)</f>
        <v/>
      </c>
      <c r="AU10" s="13">
        <f>Funding!$F$76-SUM(Tax!$J$10:AU$10)</f>
        <v/>
      </c>
      <c r="AV10" s="13">
        <f>Funding!$F$76-SUM(Tax!$J$10:AV$10)</f>
        <v/>
      </c>
      <c r="AW10" s="13">
        <f>Funding!$F$76-SUM(Tax!$J$10:AW$10)</f>
        <v/>
      </c>
      <c r="AX10" s="13">
        <f>Funding!$F$76-SUM(Tax!$J$10:AX$10)</f>
        <v/>
      </c>
      <c r="AY10" s="13">
        <f>Funding!$F$76-SUM(Tax!$J$10:AY$10)</f>
        <v/>
      </c>
      <c r="AZ10" s="13">
        <f>Funding!$F$76-SUM(Tax!$J$10:AZ$10)</f>
        <v/>
      </c>
      <c r="BA10" s="13">
        <f>Funding!$F$76-SUM(Tax!$J$10:BA$10)</f>
        <v/>
      </c>
      <c r="BB10" s="13">
        <f>Funding!$F$76-SUM(Tax!$J$10:BB$10)</f>
        <v/>
      </c>
      <c r="BC10" s="13">
        <f>Funding!$F$76-SUM(Tax!$J$10:BC$10)</f>
        <v/>
      </c>
      <c r="BD10" s="13">
        <f>Funding!$F$76-SUM(Tax!$J$10:BD$10)</f>
        <v/>
      </c>
      <c r="BE10" s="13">
        <f>Funding!$F$76-SUM(Tax!$J$10:BE$10)</f>
        <v/>
      </c>
      <c r="BF10" s="13">
        <f>Funding!$F$76-SUM(Tax!$J$10:BF$10)</f>
        <v/>
      </c>
      <c r="BG10" s="13">
        <f>Funding!$F$76-SUM(Tax!$J$10:BG$10)</f>
        <v/>
      </c>
      <c r="BH10" s="13">
        <f>Funding!$F$76-SUM(Tax!$J$10:BH$10)</f>
        <v/>
      </c>
      <c r="BI10" s="13">
        <f>Funding!$F$76-SUM(Tax!$J$10:BI$10)</f>
        <v/>
      </c>
      <c r="BJ10" s="13">
        <f>Funding!$F$76-SUM(Tax!$J$10:BJ$10)</f>
        <v/>
      </c>
      <c r="BK10" s="13">
        <f>Funding!$F$76-SUM(Tax!$J$10:BK$10)</f>
        <v/>
      </c>
      <c r="BL10" s="13">
        <f>Funding!$F$76-SUM(Tax!$J$10:BL$10)</f>
        <v/>
      </c>
      <c r="BM10" s="13">
        <f>Funding!$F$76-SUM(Tax!$J$10:BM$10)</f>
        <v/>
      </c>
      <c r="BN10" s="13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3">
        <f>Funding!$F$76-SUM(J$8:J$8)</f>
        <v/>
      </c>
      <c r="K11" s="13">
        <f>Funding!$F$76-SUM($J$8:K$8)</f>
        <v/>
      </c>
      <c r="L11" s="13">
        <f>Funding!$F$76-SUM($J$8:L$8)</f>
        <v/>
      </c>
      <c r="M11" s="13">
        <f>Funding!$F$76-SUM($J$8:M$8)</f>
        <v/>
      </c>
      <c r="N11" s="13">
        <f>Funding!$F$76-SUM($J$8:N$8)</f>
        <v/>
      </c>
      <c r="O11" s="13">
        <f>Funding!$F$76-SUM($J$8:O$8)</f>
        <v/>
      </c>
      <c r="P11" s="13">
        <f>Funding!$F$76-SUM($J$8:P$8)</f>
        <v/>
      </c>
      <c r="Q11" s="13">
        <f>Funding!$F$76-SUM($J$8:Q$8)</f>
        <v/>
      </c>
      <c r="R11" s="13">
        <f>Funding!$F$76-SUM($J$8:R$8)</f>
        <v/>
      </c>
      <c r="S11" s="13">
        <f>Funding!$F$76-SUM($J$8:S$8)</f>
        <v/>
      </c>
      <c r="T11" s="13">
        <f>Funding!$F$76-SUM($J$8:T$8)</f>
        <v/>
      </c>
      <c r="U11" s="13">
        <f>Funding!$F$76-SUM($J$8:U$8)</f>
        <v/>
      </c>
      <c r="V11" s="13">
        <f>Funding!$F$76-SUM($J$8:V$8)</f>
        <v/>
      </c>
      <c r="W11" s="13">
        <f>Funding!$F$76-SUM($J$8:W$8)</f>
        <v/>
      </c>
      <c r="X11" s="13">
        <f>Funding!$F$76-SUM($J$8:X$8)</f>
        <v/>
      </c>
      <c r="Y11" s="13">
        <f>Funding!$F$76-SUM($J$8:Y$8)</f>
        <v/>
      </c>
      <c r="Z11" s="13">
        <f>Funding!$F$76-SUM($J$8:Z$8)</f>
        <v/>
      </c>
      <c r="AA11" s="13">
        <f>Funding!$F$76-SUM($J$8:AA$8)</f>
        <v/>
      </c>
      <c r="AB11" s="13">
        <f>Funding!$F$76-SUM($J$8:AB$8)</f>
        <v/>
      </c>
      <c r="AC11" s="13">
        <f>Funding!$F$76-SUM($J$8:AC$8)</f>
        <v/>
      </c>
      <c r="AD11" s="13">
        <f>Funding!$F$76-SUM($J$8:AD$8)</f>
        <v/>
      </c>
      <c r="AE11" s="13">
        <f>Funding!$F$76-SUM($J$8:AE$8)</f>
        <v/>
      </c>
      <c r="AF11" s="13">
        <f>Funding!$F$76-SUM($J$8:AF$8)</f>
        <v/>
      </c>
      <c r="AG11" s="13">
        <f>Funding!$F$76-SUM($J$8:AG$8)</f>
        <v/>
      </c>
      <c r="AH11" s="13">
        <f>Funding!$F$76-SUM($J$8:AH$8)</f>
        <v/>
      </c>
      <c r="AI11" s="13">
        <f>Funding!$F$76-SUM($J$8:AI$8)</f>
        <v/>
      </c>
      <c r="AJ11" s="13">
        <f>Funding!$F$76-SUM($J$8:AJ$8)</f>
        <v/>
      </c>
      <c r="AK11" s="13">
        <f>Funding!$F$76-SUM($J$8:AK$8)</f>
        <v/>
      </c>
      <c r="AL11" s="13">
        <f>Funding!$F$76-SUM($J$8:AL$8)</f>
        <v/>
      </c>
      <c r="AM11" s="13">
        <f>Funding!$F$76-SUM($J$8:AM$8)</f>
        <v/>
      </c>
      <c r="AN11" s="13">
        <f>Funding!$F$76-SUM($J$8:AN$8)</f>
        <v/>
      </c>
      <c r="AO11" s="13">
        <f>Funding!$F$76-SUM($J$8:AO$8)</f>
        <v/>
      </c>
      <c r="AP11" s="13">
        <f>Funding!$F$76-SUM($J$8:AP$8)</f>
        <v/>
      </c>
      <c r="AQ11" s="13">
        <f>Funding!$F$76-SUM($J$8:AQ$8)</f>
        <v/>
      </c>
      <c r="AR11" s="13">
        <f>Funding!$F$76-SUM($J$8:AR$8)</f>
        <v/>
      </c>
      <c r="AS11" s="13">
        <f>Funding!$F$76-SUM($J$8:AS$8)</f>
        <v/>
      </c>
      <c r="AT11" s="13">
        <f>Funding!$F$76-SUM($J$8:AT$8)</f>
        <v/>
      </c>
      <c r="AU11" s="13">
        <f>Funding!$F$76-SUM($J$8:AU$8)</f>
        <v/>
      </c>
      <c r="AV11" s="13">
        <f>Funding!$F$76-SUM($J$8:AV$8)</f>
        <v/>
      </c>
      <c r="AW11" s="13">
        <f>Funding!$F$76-SUM($J$8:AW$8)</f>
        <v/>
      </c>
      <c r="AX11" s="13">
        <f>Funding!$F$76-SUM($J$8:AX$8)</f>
        <v/>
      </c>
      <c r="AY11" s="13">
        <f>Funding!$F$76-SUM($J$8:AY$8)</f>
        <v/>
      </c>
      <c r="AZ11" s="13">
        <f>Funding!$F$76-SUM($J$8:AZ$8)</f>
        <v/>
      </c>
      <c r="BA11" s="13">
        <f>Funding!$F$76-SUM($J$8:BA$8)</f>
        <v/>
      </c>
      <c r="BB11" s="13">
        <f>Funding!$F$76-SUM($J$8:BB$8)</f>
        <v/>
      </c>
      <c r="BC11" s="13">
        <f>Funding!$F$76-SUM($J$8:BC$8)</f>
        <v/>
      </c>
      <c r="BD11" s="13">
        <f>Funding!$F$76-SUM($J$8:BD$8)</f>
        <v/>
      </c>
      <c r="BE11" s="13">
        <f>Funding!$F$76-SUM($J$8:BE$8)</f>
        <v/>
      </c>
      <c r="BF11" s="13">
        <f>Funding!$F$76-SUM($J$8:BF$8)</f>
        <v/>
      </c>
      <c r="BG11" s="13">
        <f>Funding!$F$76-SUM($J$8:BG$8)</f>
        <v/>
      </c>
      <c r="BH11" s="13">
        <f>Funding!$F$76-SUM($J$8:BH$8)</f>
        <v/>
      </c>
      <c r="BI11" s="13">
        <f>Funding!$F$76-SUM($J$8:BI$8)</f>
        <v/>
      </c>
      <c r="BJ11" s="13">
        <f>Funding!$F$76-SUM($J$8:BJ$8)</f>
        <v/>
      </c>
      <c r="BK11" s="13">
        <f>Funding!$F$76-SUM($J$8:BK$8)</f>
        <v/>
      </c>
      <c r="BL11" s="13">
        <f>Funding!$F$76-SUM($J$8:BL$8)</f>
        <v/>
      </c>
      <c r="BM11" s="13">
        <f>Funding!$F$76-SUM($J$8:BM$8)</f>
        <v/>
      </c>
      <c r="BN11" s="13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3">
        <f>IF(Time!J20&gt;=Time!$F$12,Inputs!$F$184/100*(J11-J10-Tax!J21),0)</f>
        <v/>
      </c>
      <c r="K12" s="13">
        <f>IF(Time!K20&gt;=Time!$F$12,Inputs!$F$184/100*(K11-K10-Tax!K21),0)</f>
        <v/>
      </c>
      <c r="L12" s="13">
        <f>IF(Time!L20&gt;=Time!$F$12,Inputs!$F$184/100*(L11-L10-Tax!L21),0)</f>
        <v/>
      </c>
      <c r="M12" s="13">
        <f>IF(Time!M20&gt;=Time!$F$12,Inputs!$F$184/100*(M11-M10-Tax!M21),0)</f>
        <v/>
      </c>
      <c r="N12" s="13">
        <f>IF(Time!N20&gt;=Time!$F$12,Inputs!$F$184/100*(N11-N10-Tax!N21),0)</f>
        <v/>
      </c>
      <c r="O12" s="13">
        <f>IF(Time!O20&gt;=Time!$F$12,Inputs!$F$184/100*(O11-O10-Tax!O21),0)</f>
        <v/>
      </c>
      <c r="P12" s="13">
        <f>IF(Time!P20&gt;=Time!$F$12,Inputs!$F$184/100*(P11-P10-Tax!P21),0)</f>
        <v/>
      </c>
      <c r="Q12" s="13">
        <f>IF(Time!Q20&gt;=Time!$F$12,Inputs!$F$184/100*(Q11-Q10-Tax!Q21),0)</f>
        <v/>
      </c>
      <c r="R12" s="13">
        <f>IF(Time!R20&gt;=Time!$F$12,Inputs!$F$184/100*(R11-R10-Tax!R21),0)</f>
        <v/>
      </c>
      <c r="S12" s="13">
        <f>IF(Time!S20&gt;=Time!$F$12,Inputs!$F$184/100*(S11-S10-Tax!S21),0)</f>
        <v/>
      </c>
      <c r="T12" s="13">
        <f>IF(Time!T20&gt;=Time!$F$12,Inputs!$F$184/100*(T11-T10-Tax!T21),0)</f>
        <v/>
      </c>
      <c r="U12" s="13">
        <f>IF(Time!U20&gt;=Time!$F$12,Inputs!$F$184/100*(U11-U10-Tax!U21),0)</f>
        <v/>
      </c>
      <c r="V12" s="13">
        <f>IF(Time!V20&gt;=Time!$F$12,Inputs!$F$184/100*(V11-V10-Tax!V21),0)</f>
        <v/>
      </c>
      <c r="W12" s="13">
        <f>IF(Time!W20&gt;=Time!$F$12,Inputs!$F$184/100*(W11-W10-Tax!W21),0)</f>
        <v/>
      </c>
      <c r="X12" s="13">
        <f>IF(Time!X20&gt;=Time!$F$12,Inputs!$F$184/100*(X11-X10-Tax!X21),0)</f>
        <v/>
      </c>
      <c r="Y12" s="13">
        <f>IF(Time!Y20&gt;=Time!$F$12,Inputs!$F$184/100*(Y11-Y10-Tax!Y21),0)</f>
        <v/>
      </c>
      <c r="Z12" s="13">
        <f>IF(Time!Z20&gt;=Time!$F$12,Inputs!$F$184/100*(Z11-Z10-Tax!Z21),0)</f>
        <v/>
      </c>
      <c r="AA12" s="13">
        <f>IF(Time!AA20&gt;=Time!$F$12,Inputs!$F$184/100*(AA11-AA10-Tax!AA21),0)</f>
        <v/>
      </c>
      <c r="AB12" s="13">
        <f>IF(Time!AB20&gt;=Time!$F$12,Inputs!$F$184/100*(AB11-AB10-Tax!AB21),0)</f>
        <v/>
      </c>
      <c r="AC12" s="13">
        <f>IF(Time!AC20&gt;=Time!$F$12,Inputs!$F$184/100*(AC11-AC10-Tax!AC21),0)</f>
        <v/>
      </c>
      <c r="AD12" s="13">
        <f>IF(Time!AD20&gt;=Time!$F$12,Inputs!$F$184/100*(AD11-AD10-Tax!AD21),0)</f>
        <v/>
      </c>
      <c r="AE12" s="13">
        <f>IF(Time!AE20&gt;=Time!$F$12,Inputs!$F$184/100*(AE11-AE10-Tax!AE21),0)</f>
        <v/>
      </c>
      <c r="AF12" s="13">
        <f>IF(Time!AF20&gt;=Time!$F$12,Inputs!$F$184/100*(AF11-AF10-Tax!AF21),0)</f>
        <v/>
      </c>
      <c r="AG12" s="13">
        <f>IF(Time!AG20&gt;=Time!$F$12,Inputs!$F$184/100*(AG11-AG10-Tax!AG21),0)</f>
        <v/>
      </c>
      <c r="AH12" s="13">
        <f>IF(Time!AH20&gt;=Time!$F$12,Inputs!$F$184/100*(AH11-AH10-Tax!AH21),0)</f>
        <v/>
      </c>
      <c r="AI12" s="13">
        <f>IF(Time!AI20&gt;=Time!$F$12,Inputs!$F$184/100*(AI11-AI10-Tax!AI21),0)</f>
        <v/>
      </c>
      <c r="AJ12" s="13">
        <f>IF(Time!AJ20&gt;=Time!$F$12,Inputs!$F$184/100*(AJ11-AJ10-Tax!AJ21),0)</f>
        <v/>
      </c>
      <c r="AK12" s="13">
        <f>IF(Time!AK20&gt;=Time!$F$12,Inputs!$F$184/100*(AK11-AK10-Tax!AK21),0)</f>
        <v/>
      </c>
      <c r="AL12" s="13">
        <f>IF(Time!AL20&gt;=Time!$F$12,Inputs!$F$184/100*(AL11-AL10-Tax!AL21),0)</f>
        <v/>
      </c>
      <c r="AM12" s="13">
        <f>IF(Time!AM20&gt;=Time!$F$12,Inputs!$F$184/100*(AM11-AM10-Tax!AM21),0)</f>
        <v/>
      </c>
      <c r="AN12" s="13">
        <f>IF(Time!AN20&gt;=Time!$F$12,Inputs!$F$184/100*(AN11-AN10-Tax!AN21),0)</f>
        <v/>
      </c>
      <c r="AO12" s="13">
        <f>IF(Time!AO20&gt;=Time!$F$12,Inputs!$F$184/100*(AO11-AO10-Tax!AO21),0)</f>
        <v/>
      </c>
      <c r="AP12" s="13">
        <f>IF(Time!AP20&gt;=Time!$F$12,Inputs!$F$184/100*(AP11-AP10-Tax!AP21),0)</f>
        <v/>
      </c>
      <c r="AQ12" s="13">
        <f>IF(Time!AQ20&gt;=Time!$F$12,Inputs!$F$184/100*(AQ11-AQ10-Tax!AQ21),0)</f>
        <v/>
      </c>
      <c r="AR12" s="13">
        <f>IF(Time!AR20&gt;=Time!$F$12,Inputs!$F$184/100*(AR11-AR10-Tax!AR21),0)</f>
        <v/>
      </c>
      <c r="AS12" s="13">
        <f>IF(Time!AS20&gt;=Time!$F$12,Inputs!$F$184/100*(AS11-AS10-Tax!AS21),0)</f>
        <v/>
      </c>
      <c r="AT12" s="13">
        <f>IF(Time!AT20&gt;=Time!$F$12,Inputs!$F$184/100*(AT11-AT10-Tax!AT21),0)</f>
        <v/>
      </c>
      <c r="AU12" s="13">
        <f>IF(Time!AU20&gt;=Time!$F$12,Inputs!$F$184/100*(AU11-AU10-Tax!AU21),0)</f>
        <v/>
      </c>
      <c r="AV12" s="13">
        <f>IF(Time!AV20&gt;=Time!$F$12,Inputs!$F$184/100*(AV11-AV10-Tax!AV21),0)</f>
        <v/>
      </c>
      <c r="AW12" s="13">
        <f>IF(Time!AW20&gt;=Time!$F$12,Inputs!$F$184/100*(AW11-AW10-Tax!AW21),0)</f>
        <v/>
      </c>
      <c r="AX12" s="13">
        <f>IF(Time!AX20&gt;=Time!$F$12,Inputs!$F$184/100*(AX11-AX10-Tax!AX21),0)</f>
        <v/>
      </c>
      <c r="AY12" s="13">
        <f>IF(Time!AY20&gt;=Time!$F$12,Inputs!$F$184/100*(AY11-AY10-Tax!AY21),0)</f>
        <v/>
      </c>
      <c r="AZ12" s="13">
        <f>IF(Time!AZ20&gt;=Time!$F$12,Inputs!$F$184/100*(AZ11-AZ10-Tax!AZ21),0)</f>
        <v/>
      </c>
      <c r="BA12" s="13">
        <f>IF(Time!BA20&gt;=Time!$F$12,Inputs!$F$184/100*(BA11-BA10-Tax!BA21),0)</f>
        <v/>
      </c>
      <c r="BB12" s="13">
        <f>IF(Time!BB20&gt;=Time!$F$12,Inputs!$F$184/100*(BB11-BB10-Tax!BB21),0)</f>
        <v/>
      </c>
      <c r="BC12" s="13">
        <f>IF(Time!BC20&gt;=Time!$F$12,Inputs!$F$184/100*(BC11-BC10-Tax!BC21),0)</f>
        <v/>
      </c>
      <c r="BD12" s="13">
        <f>IF(Time!BD20&gt;=Time!$F$12,Inputs!$F$184/100*(BD11-BD10-Tax!BD21),0)</f>
        <v/>
      </c>
      <c r="BE12" s="13">
        <f>IF(Time!BE20&gt;=Time!$F$12,Inputs!$F$184/100*(BE11-BE10-Tax!BE21),0)</f>
        <v/>
      </c>
      <c r="BF12" s="13">
        <f>IF(Time!BF20&gt;=Time!$F$12,Inputs!$F$184/100*(BF11-BF10-Tax!BF21),0)</f>
        <v/>
      </c>
      <c r="BG12" s="13">
        <f>IF(Time!BG20&gt;=Time!$F$12,Inputs!$F$184/100*(BG11-BG10-Tax!BG21),0)</f>
        <v/>
      </c>
      <c r="BH12" s="13">
        <f>IF(Time!BH20&gt;=Time!$F$12,Inputs!$F$184/100*(BH11-BH10-Tax!BH21),0)</f>
        <v/>
      </c>
      <c r="BI12" s="13">
        <f>IF(Time!BI20&gt;=Time!$F$12,Inputs!$F$184/100*(BI11-BI10-Tax!BI21),0)</f>
        <v/>
      </c>
      <c r="BJ12" s="13">
        <f>IF(Time!BJ20&gt;=Time!$F$12,Inputs!$F$184/100*(BJ11-BJ10-Tax!BJ21),0)</f>
        <v/>
      </c>
      <c r="BK12" s="13">
        <f>IF(Time!BK20&gt;=Time!$F$12,Inputs!$F$184/100*(BK11-BK10-Tax!BK21),0)</f>
        <v/>
      </c>
      <c r="BL12" s="13">
        <f>IF(Time!BL20&gt;=Time!$F$12,Inputs!$F$184/100*(BL11-BL10-Tax!BL21),0)</f>
        <v/>
      </c>
      <c r="BM12" s="13">
        <f>IF(Time!BM20&gt;=Time!$F$12,Inputs!$F$184/100*(BM11-BM10-Tax!BM21),0)</f>
        <v/>
      </c>
      <c r="BN12" s="13">
        <f>IF(Time!BN20&gt;=Time!$F$12,Inputs!$F$184/100*(BN11-BN10-Tax!BN21),0)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3">
        <f>SUM(J13:BN13)</f>
        <v/>
      </c>
      <c r="J13" s="13">
        <f>J12-I12</f>
        <v/>
      </c>
      <c r="K13" s="13">
        <f>K12-J12</f>
        <v/>
      </c>
      <c r="L13" s="13">
        <f>L12-K12</f>
        <v/>
      </c>
      <c r="M13" s="13">
        <f>M12-L12</f>
        <v/>
      </c>
      <c r="N13" s="13">
        <f>N12-M12</f>
        <v/>
      </c>
      <c r="O13" s="13">
        <f>O12-N12</f>
        <v/>
      </c>
      <c r="P13" s="13">
        <f>P12-O12</f>
        <v/>
      </c>
      <c r="Q13" s="13">
        <f>Q12-P12</f>
        <v/>
      </c>
      <c r="R13" s="13">
        <f>R12-Q12</f>
        <v/>
      </c>
      <c r="S13" s="13">
        <f>S12-R12</f>
        <v/>
      </c>
      <c r="T13" s="13">
        <f>T12-S12</f>
        <v/>
      </c>
      <c r="U13" s="13">
        <f>U12-T12</f>
        <v/>
      </c>
      <c r="V13" s="13">
        <f>V12-U12</f>
        <v/>
      </c>
      <c r="W13" s="13">
        <f>W12-V12</f>
        <v/>
      </c>
      <c r="X13" s="13">
        <f>X12-W12</f>
        <v/>
      </c>
      <c r="Y13" s="13">
        <f>Y12-X12</f>
        <v/>
      </c>
      <c r="Z13" s="13">
        <f>Z12-Y12</f>
        <v/>
      </c>
      <c r="AA13" s="13">
        <f>AA12-Z12</f>
        <v/>
      </c>
      <c r="AB13" s="13">
        <f>AB12-AA12</f>
        <v/>
      </c>
      <c r="AC13" s="13">
        <f>AC12-AB12</f>
        <v/>
      </c>
      <c r="AD13" s="13">
        <f>AD12-AC12</f>
        <v/>
      </c>
      <c r="AE13" s="13">
        <f>AE12-AD12</f>
        <v/>
      </c>
      <c r="AF13" s="13">
        <f>AF12-AE12</f>
        <v/>
      </c>
      <c r="AG13" s="13">
        <f>AG12-AF12</f>
        <v/>
      </c>
      <c r="AH13" s="13">
        <f>AH12-AG12</f>
        <v/>
      </c>
      <c r="AI13" s="13">
        <f>AI12-AH12</f>
        <v/>
      </c>
      <c r="AJ13" s="13">
        <f>AJ12-AI12</f>
        <v/>
      </c>
      <c r="AK13" s="13">
        <f>AK12-AJ12</f>
        <v/>
      </c>
      <c r="AL13" s="13">
        <f>AL12-AK12</f>
        <v/>
      </c>
      <c r="AM13" s="13">
        <f>AM12-AL12</f>
        <v/>
      </c>
      <c r="AN13" s="13">
        <f>AN12-AM12</f>
        <v/>
      </c>
      <c r="AO13" s="13">
        <f>AO12-AN12</f>
        <v/>
      </c>
      <c r="AP13" s="13">
        <f>AP12-AO12</f>
        <v/>
      </c>
      <c r="AQ13" s="13">
        <f>AQ12-AP12</f>
        <v/>
      </c>
      <c r="AR13" s="13">
        <f>AR12-AQ12</f>
        <v/>
      </c>
      <c r="AS13" s="13">
        <f>AS12-AR12</f>
        <v/>
      </c>
      <c r="AT13" s="13">
        <f>AT12-AS12</f>
        <v/>
      </c>
      <c r="AU13" s="13">
        <f>AU12-AT12</f>
        <v/>
      </c>
      <c r="AV13" s="13">
        <f>AV12-AU12</f>
        <v/>
      </c>
      <c r="AW13" s="13">
        <f>AW12-AV12</f>
        <v/>
      </c>
      <c r="AX13" s="13">
        <f>AX12-AW12</f>
        <v/>
      </c>
      <c r="AY13" s="13">
        <f>AY12-AX12</f>
        <v/>
      </c>
      <c r="AZ13" s="13">
        <f>AZ12-AY12</f>
        <v/>
      </c>
      <c r="BA13" s="13">
        <f>BA12-AZ12</f>
        <v/>
      </c>
      <c r="BB13" s="13">
        <f>BB12-BA12</f>
        <v/>
      </c>
      <c r="BC13" s="13">
        <f>BC12-BB12</f>
        <v/>
      </c>
      <c r="BD13" s="13">
        <f>BD12-BC12</f>
        <v/>
      </c>
      <c r="BE13" s="13">
        <f>BE12-BD12</f>
        <v/>
      </c>
      <c r="BF13" s="13">
        <f>BF12-BE12</f>
        <v/>
      </c>
      <c r="BG13" s="13">
        <f>BG12-BF12</f>
        <v/>
      </c>
      <c r="BH13" s="13">
        <f>BH12-BG12</f>
        <v/>
      </c>
      <c r="BI13" s="13">
        <f>BI12-BH12</f>
        <v/>
      </c>
      <c r="BJ13" s="13">
        <f>BJ12-BI12</f>
        <v/>
      </c>
      <c r="BK13" s="13">
        <f>BK12-BJ12</f>
        <v/>
      </c>
      <c r="BL13" s="13">
        <f>BL12-BK12</f>
        <v/>
      </c>
      <c r="BM13" s="13">
        <f>BM12-BL12</f>
        <v/>
      </c>
      <c r="BN13" s="13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3">
        <f>SUM(J14:BN14)</f>
        <v/>
      </c>
      <c r="J14" s="13">
        <f>Operations!J84-J8-J9-Tax!J27-J13</f>
        <v/>
      </c>
      <c r="K14" s="13">
        <f>Operations!K84-K8-K9-Tax!K27-K13</f>
        <v/>
      </c>
      <c r="L14" s="13">
        <f>Operations!L84-L8-L9-Tax!L27-L13</f>
        <v/>
      </c>
      <c r="M14" s="13">
        <f>Operations!M84-M8-M9-Tax!M27-M13</f>
        <v/>
      </c>
      <c r="N14" s="13">
        <f>Operations!N84-N8-N9-Tax!N27-N13</f>
        <v/>
      </c>
      <c r="O14" s="13">
        <f>Operations!O84-O8-O9-Tax!O27-O13</f>
        <v/>
      </c>
      <c r="P14" s="13">
        <f>Operations!P84-P8-P9-Tax!P27-P13</f>
        <v/>
      </c>
      <c r="Q14" s="13">
        <f>Operations!Q84-Q8-Q9-Tax!Q27-Q13</f>
        <v/>
      </c>
      <c r="R14" s="13">
        <f>Operations!R84-R8-R9-Tax!R27-R13</f>
        <v/>
      </c>
      <c r="S14" s="13">
        <f>Operations!S84-S8-S9-Tax!S27-S13</f>
        <v/>
      </c>
      <c r="T14" s="13">
        <f>Operations!T84-T8-T9-Tax!T27-T13</f>
        <v/>
      </c>
      <c r="U14" s="13">
        <f>Operations!U84-U8-U9-Tax!U27-U13</f>
        <v/>
      </c>
      <c r="V14" s="13">
        <f>Operations!V84-V8-V9-Tax!V27-V13</f>
        <v/>
      </c>
      <c r="W14" s="13">
        <f>Operations!W84-W8-W9-Tax!W27-W13</f>
        <v/>
      </c>
      <c r="X14" s="13">
        <f>Operations!X84-X8-X9-Tax!X27-X13</f>
        <v/>
      </c>
      <c r="Y14" s="13">
        <f>Operations!Y84-Y8-Y9-Tax!Y27-Y13</f>
        <v/>
      </c>
      <c r="Z14" s="13">
        <f>Operations!Z84-Z8-Z9-Tax!Z27-Z13</f>
        <v/>
      </c>
      <c r="AA14" s="13">
        <f>Operations!AA84-AA8-AA9-Tax!AA27-AA13</f>
        <v/>
      </c>
      <c r="AB14" s="13">
        <f>Operations!AB84-AB8-AB9-Tax!AB27-AB13</f>
        <v/>
      </c>
      <c r="AC14" s="13">
        <f>Operations!AC84-AC8-AC9-Tax!AC27-AC13</f>
        <v/>
      </c>
      <c r="AD14" s="13">
        <f>Operations!AD84-AD8-AD9-Tax!AD27-AD13</f>
        <v/>
      </c>
      <c r="AE14" s="13">
        <f>Operations!AE84-AE8-AE9-Tax!AE27-AE13</f>
        <v/>
      </c>
      <c r="AF14" s="13">
        <f>Operations!AF84-AF8-AF9-Tax!AF27-AF13</f>
        <v/>
      </c>
      <c r="AG14" s="13">
        <f>Operations!AG84-AG8-AG9-Tax!AG27-AG13</f>
        <v/>
      </c>
      <c r="AH14" s="13">
        <f>Operations!AH84-AH8-AH9-Tax!AH27-AH13</f>
        <v/>
      </c>
      <c r="AI14" s="13">
        <f>Operations!AI84-AI8-AI9-Tax!AI27-AI13</f>
        <v/>
      </c>
      <c r="AJ14" s="13">
        <f>Operations!AJ84-AJ8-AJ9-Tax!AJ27-AJ13</f>
        <v/>
      </c>
      <c r="AK14" s="13">
        <f>Operations!AK84-AK8-AK9-Tax!AK27-AK13</f>
        <v/>
      </c>
      <c r="AL14" s="13">
        <f>Operations!AL84-AL8-AL9-Tax!AL27-AL13</f>
        <v/>
      </c>
      <c r="AM14" s="13">
        <f>Operations!AM84-AM8-AM9-Tax!AM27-AM13</f>
        <v/>
      </c>
      <c r="AN14" s="13">
        <f>Operations!AN84-AN8-AN9-Tax!AN27-AN13</f>
        <v/>
      </c>
      <c r="AO14" s="13">
        <f>Operations!AO84-AO8-AO9-Tax!AO27-AO13</f>
        <v/>
      </c>
      <c r="AP14" s="13">
        <f>Operations!AP84-AP8-AP9-Tax!AP27-AP13</f>
        <v/>
      </c>
      <c r="AQ14" s="13">
        <f>Operations!AQ84-AQ8-AQ9-Tax!AQ27-AQ13</f>
        <v/>
      </c>
      <c r="AR14" s="13">
        <f>Operations!AR84-AR8-AR9-Tax!AR27-AR13</f>
        <v/>
      </c>
      <c r="AS14" s="13">
        <f>Operations!AS84-AS8-AS9-Tax!AS27-AS13</f>
        <v/>
      </c>
      <c r="AT14" s="13">
        <f>Operations!AT84-AT8-AT9-Tax!AT27-AT13</f>
        <v/>
      </c>
      <c r="AU14" s="13">
        <f>Operations!AU84-AU8-AU9-Tax!AU27-AU13</f>
        <v/>
      </c>
      <c r="AV14" s="13">
        <f>Operations!AV84-AV8-AV9-Tax!AV27-AV13</f>
        <v/>
      </c>
      <c r="AW14" s="13">
        <f>Operations!AW84-AW8-AW9-Tax!AW27-AW13</f>
        <v/>
      </c>
      <c r="AX14" s="13">
        <f>Operations!AX84-AX8-AX9-Tax!AX27-AX13</f>
        <v/>
      </c>
      <c r="AY14" s="13">
        <f>Operations!AY84-AY8-AY9-Tax!AY27-AY13</f>
        <v/>
      </c>
      <c r="AZ14" s="13">
        <f>Operations!AZ84-AZ8-AZ9-Tax!AZ27-AZ13</f>
        <v/>
      </c>
      <c r="BA14" s="13">
        <f>Operations!BA84-BA8-BA9-Tax!BA27-BA13</f>
        <v/>
      </c>
      <c r="BB14" s="13">
        <f>Operations!BB84-BB8-BB9-Tax!BB27-BB13</f>
        <v/>
      </c>
      <c r="BC14" s="13">
        <f>Operations!BC84-BC8-BC9-Tax!BC27-BC13</f>
        <v/>
      </c>
      <c r="BD14" s="13">
        <f>Operations!BD84-BD8-BD9-Tax!BD27-BD13</f>
        <v/>
      </c>
      <c r="BE14" s="13">
        <f>Operations!BE84-BE8-BE9-Tax!BE27-BE13</f>
        <v/>
      </c>
      <c r="BF14" s="13">
        <f>Operations!BF84-BF8-BF9-Tax!BF27-BF13</f>
        <v/>
      </c>
      <c r="BG14" s="13">
        <f>Operations!BG84-BG8-BG9-Tax!BG27-BG13</f>
        <v/>
      </c>
      <c r="BH14" s="13">
        <f>Operations!BH84-BH8-BH9-Tax!BH27-BH13</f>
        <v/>
      </c>
      <c r="BI14" s="13">
        <f>Operations!BI84-BI8-BI9-Tax!BI27-BI13</f>
        <v/>
      </c>
      <c r="BJ14" s="13">
        <f>Operations!BJ84-BJ8-BJ9-Tax!BJ27-BJ13</f>
        <v/>
      </c>
      <c r="BK14" s="13">
        <f>Operations!BK84-BK8-BK9-Tax!BK27-BK13</f>
        <v/>
      </c>
      <c r="BL14" s="13">
        <f>Operations!BL84-BL8-BL9-Tax!BL27-BL13</f>
        <v/>
      </c>
      <c r="BM14" s="13">
        <f>Operations!BM84-BM8-BM9-Tax!BM27-BM13</f>
        <v/>
      </c>
      <c r="BN14" s="13">
        <f>Operations!BN84-BN8-BN9-Tax!BN27-BN13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3">
        <f>IF(Time!J20&gt;=Time!$F$12,J11,SUMIFS(Funding!$J$49:$BJ$49,Construction!$J$12:$BJ$12,"&lt;="&amp;Time!J20)-SUMIFS(Funding!$J$44:$BJ$44,Construction!$J$12:$BJ$12,"&lt;="&amp;Time!J20)-SUMIFS(Construction!$J$28:$BJ$28,Construction!$J$12:$BJ$12,"&lt;="&amp;Time!J20)+SUMIFS(Funding!$J$71:$BJ$71,Construction!$J$12:$BJ$12,"&lt;="&amp;Time!J20)-SUMIFS(Funding!$J$52:$BJ$52,Construction!$J$12:$BJ$12,"&lt;="&amp;Time!J20))</f>
        <v/>
      </c>
      <c r="K16" s="13">
        <f>IF(Time!K20&gt;=Time!$F$12,K11,SUMIFS(Funding!$J$49:$BJ$49,Construction!$J$12:$BJ$12,"&lt;="&amp;Time!K20)-SUMIFS(Funding!$J$44:$BJ$44,Construction!$J$12:$BJ$12,"&lt;="&amp;Time!K20)-SUMIFS(Construction!$J$28:$BJ$28,Construction!$J$12:$BJ$12,"&lt;="&amp;Time!K20)+SUMIFS(Funding!$J$71:$BJ$71,Construction!$J$12:$BJ$12,"&lt;="&amp;Time!K20)-SUMIFS(Funding!$J$52:$BJ$52,Construction!$J$12:$BJ$12,"&lt;="&amp;Time!K20))</f>
        <v/>
      </c>
      <c r="L16" s="13">
        <f>IF(Time!L20&gt;=Time!$F$12,L11,SUMIFS(Funding!$J$49:$BJ$49,Construction!$J$12:$BJ$12,"&lt;="&amp;Time!L20)-SUMIFS(Funding!$J$44:$BJ$44,Construction!$J$12:$BJ$12,"&lt;="&amp;Time!L20)-SUMIFS(Construction!$J$28:$BJ$28,Construction!$J$12:$BJ$12,"&lt;="&amp;Time!L20)+SUMIFS(Funding!$J$71:$BJ$71,Construction!$J$12:$BJ$12,"&lt;="&amp;Time!L20)-SUMIFS(Funding!$J$52:$BJ$52,Construction!$J$12:$BJ$12,"&lt;="&amp;Time!L20))</f>
        <v/>
      </c>
      <c r="M16" s="13">
        <f>IF(Time!M20&gt;=Time!$F$12,M11,SUMIFS(Funding!$J$49:$BJ$49,Construction!$J$12:$BJ$12,"&lt;="&amp;Time!M20)-SUMIFS(Funding!$J$44:$BJ$44,Construction!$J$12:$BJ$12,"&lt;="&amp;Time!M20)-SUMIFS(Construction!$J$28:$BJ$28,Construction!$J$12:$BJ$12,"&lt;="&amp;Time!M20)+SUMIFS(Funding!$J$71:$BJ$71,Construction!$J$12:$BJ$12,"&lt;="&amp;Time!M20)-SUMIFS(Funding!$J$52:$BJ$52,Construction!$J$12:$BJ$12,"&lt;="&amp;Time!M20))</f>
        <v/>
      </c>
      <c r="N16" s="13">
        <f>IF(Time!N20&gt;=Time!$F$12,N11,SUMIFS(Funding!$J$49:$BJ$49,Construction!$J$12:$BJ$12,"&lt;="&amp;Time!N20)-SUMIFS(Funding!$J$44:$BJ$44,Construction!$J$12:$BJ$12,"&lt;="&amp;Time!N20)-SUMIFS(Construction!$J$28:$BJ$28,Construction!$J$12:$BJ$12,"&lt;="&amp;Time!N20)+SUMIFS(Funding!$J$71:$BJ$71,Construction!$J$12:$BJ$12,"&lt;="&amp;Time!N20)-SUMIFS(Funding!$J$52:$BJ$52,Construction!$J$12:$BJ$12,"&lt;="&amp;Time!N20))</f>
        <v/>
      </c>
      <c r="O16" s="13">
        <f>IF(Time!O20&gt;=Time!$F$12,O11,SUMIFS(Funding!$J$49:$BJ$49,Construction!$J$12:$BJ$12,"&lt;="&amp;Time!O20)-SUMIFS(Funding!$J$44:$BJ$44,Construction!$J$12:$BJ$12,"&lt;="&amp;Time!O20)-SUMIFS(Construction!$J$28:$BJ$28,Construction!$J$12:$BJ$12,"&lt;="&amp;Time!O20)+SUMIFS(Funding!$J$71:$BJ$71,Construction!$J$12:$BJ$12,"&lt;="&amp;Time!O20)-SUMIFS(Funding!$J$52:$BJ$52,Construction!$J$12:$BJ$12,"&lt;="&amp;Time!O20))</f>
        <v/>
      </c>
      <c r="P16" s="13">
        <f>IF(Time!P20&gt;=Time!$F$12,P11,SUMIFS(Funding!$J$49:$BJ$49,Construction!$J$12:$BJ$12,"&lt;="&amp;Time!P20)-SUMIFS(Funding!$J$44:$BJ$44,Construction!$J$12:$BJ$12,"&lt;="&amp;Time!P20)-SUMIFS(Construction!$J$28:$BJ$28,Construction!$J$12:$BJ$12,"&lt;="&amp;Time!P20)+SUMIFS(Funding!$J$71:$BJ$71,Construction!$J$12:$BJ$12,"&lt;="&amp;Time!P20)-SUMIFS(Funding!$J$52:$BJ$52,Construction!$J$12:$BJ$12,"&lt;="&amp;Time!P20))</f>
        <v/>
      </c>
      <c r="Q16" s="13">
        <f>IF(Time!Q20&gt;=Time!$F$12,Q11,SUMIFS(Funding!$J$49:$BJ$49,Construction!$J$12:$BJ$12,"&lt;="&amp;Time!Q20)-SUMIFS(Funding!$J$44:$BJ$44,Construction!$J$12:$BJ$12,"&lt;="&amp;Time!Q20)-SUMIFS(Construction!$J$28:$BJ$28,Construction!$J$12:$BJ$12,"&lt;="&amp;Time!Q20)+SUMIFS(Funding!$J$71:$BJ$71,Construction!$J$12:$BJ$12,"&lt;="&amp;Time!Q20)-SUMIFS(Funding!$J$52:$BJ$52,Construction!$J$12:$BJ$12,"&lt;="&amp;Time!Q20))</f>
        <v/>
      </c>
      <c r="R16" s="13">
        <f>IF(Time!R20&gt;=Time!$F$12,R11,SUMIFS(Funding!$J$49:$BJ$49,Construction!$J$12:$BJ$12,"&lt;="&amp;Time!R20)-SUMIFS(Funding!$J$44:$BJ$44,Construction!$J$12:$BJ$12,"&lt;="&amp;Time!R20)-SUMIFS(Construction!$J$28:$BJ$28,Construction!$J$12:$BJ$12,"&lt;="&amp;Time!R20)+SUMIFS(Funding!$J$71:$BJ$71,Construction!$J$12:$BJ$12,"&lt;="&amp;Time!R20)-SUMIFS(Funding!$J$52:$BJ$52,Construction!$J$12:$BJ$12,"&lt;="&amp;Time!R20))</f>
        <v/>
      </c>
      <c r="S16" s="13">
        <f>IF(Time!S20&gt;=Time!$F$12,S11,SUMIFS(Funding!$J$49:$BJ$49,Construction!$J$12:$BJ$12,"&lt;="&amp;Time!S20)-SUMIFS(Funding!$J$44:$BJ$44,Construction!$J$12:$BJ$12,"&lt;="&amp;Time!S20)-SUMIFS(Construction!$J$28:$BJ$28,Construction!$J$12:$BJ$12,"&lt;="&amp;Time!S20)+SUMIFS(Funding!$J$71:$BJ$71,Construction!$J$12:$BJ$12,"&lt;="&amp;Time!S20)-SUMIFS(Funding!$J$52:$BJ$52,Construction!$J$12:$BJ$12,"&lt;="&amp;Time!S20))</f>
        <v/>
      </c>
      <c r="T16" s="13">
        <f>IF(Time!T20&gt;=Time!$F$12,T11,SUMIFS(Funding!$J$49:$BJ$49,Construction!$J$12:$BJ$12,"&lt;="&amp;Time!T20)-SUMIFS(Funding!$J$44:$BJ$44,Construction!$J$12:$BJ$12,"&lt;="&amp;Time!T20)-SUMIFS(Construction!$J$28:$BJ$28,Construction!$J$12:$BJ$12,"&lt;="&amp;Time!T20)+SUMIFS(Funding!$J$71:$BJ$71,Construction!$J$12:$BJ$12,"&lt;="&amp;Time!T20)-SUMIFS(Funding!$J$52:$BJ$52,Construction!$J$12:$BJ$12,"&lt;="&amp;Time!T20))</f>
        <v/>
      </c>
      <c r="U16" s="13">
        <f>IF(Time!U20&gt;=Time!$F$12,U11,SUMIFS(Funding!$J$49:$BJ$49,Construction!$J$12:$BJ$12,"&lt;="&amp;Time!U20)-SUMIFS(Funding!$J$44:$BJ$44,Construction!$J$12:$BJ$12,"&lt;="&amp;Time!U20)-SUMIFS(Construction!$J$28:$BJ$28,Construction!$J$12:$BJ$12,"&lt;="&amp;Time!U20)+SUMIFS(Funding!$J$71:$BJ$71,Construction!$J$12:$BJ$12,"&lt;="&amp;Time!U20)-SUMIFS(Funding!$J$52:$BJ$52,Construction!$J$12:$BJ$12,"&lt;="&amp;Time!U20))</f>
        <v/>
      </c>
      <c r="V16" s="13">
        <f>IF(Time!V20&gt;=Time!$F$12,V11,SUMIFS(Funding!$J$49:$BJ$49,Construction!$J$12:$BJ$12,"&lt;="&amp;Time!V20)-SUMIFS(Funding!$J$44:$BJ$44,Construction!$J$12:$BJ$12,"&lt;="&amp;Time!V20)-SUMIFS(Construction!$J$28:$BJ$28,Construction!$J$12:$BJ$12,"&lt;="&amp;Time!V20)+SUMIFS(Funding!$J$71:$BJ$71,Construction!$J$12:$BJ$12,"&lt;="&amp;Time!V20)-SUMIFS(Funding!$J$52:$BJ$52,Construction!$J$12:$BJ$12,"&lt;="&amp;Time!V20))</f>
        <v/>
      </c>
      <c r="W16" s="13">
        <f>IF(Time!W20&gt;=Time!$F$12,W11,SUMIFS(Funding!$J$49:$BJ$49,Construction!$J$12:$BJ$12,"&lt;="&amp;Time!W20)-SUMIFS(Funding!$J$44:$BJ$44,Construction!$J$12:$BJ$12,"&lt;="&amp;Time!W20)-SUMIFS(Construction!$J$28:$BJ$28,Construction!$J$12:$BJ$12,"&lt;="&amp;Time!W20)+SUMIFS(Funding!$J$71:$BJ$71,Construction!$J$12:$BJ$12,"&lt;="&amp;Time!W20)-SUMIFS(Funding!$J$52:$BJ$52,Construction!$J$12:$BJ$12,"&lt;="&amp;Time!W20))</f>
        <v/>
      </c>
      <c r="X16" s="13">
        <f>IF(Time!X20&gt;=Time!$F$12,X11,SUMIFS(Funding!$J$49:$BJ$49,Construction!$J$12:$BJ$12,"&lt;="&amp;Time!X20)-SUMIFS(Funding!$J$44:$BJ$44,Construction!$J$12:$BJ$12,"&lt;="&amp;Time!X20)-SUMIFS(Construction!$J$28:$BJ$28,Construction!$J$12:$BJ$12,"&lt;="&amp;Time!X20)+SUMIFS(Funding!$J$71:$BJ$71,Construction!$J$12:$BJ$12,"&lt;="&amp;Time!X20)-SUMIFS(Funding!$J$52:$BJ$52,Construction!$J$12:$BJ$12,"&lt;="&amp;Time!X20))</f>
        <v/>
      </c>
      <c r="Y16" s="13">
        <f>IF(Time!Y20&gt;=Time!$F$12,Y11,SUMIFS(Funding!$J$49:$BJ$49,Construction!$J$12:$BJ$12,"&lt;="&amp;Time!Y20)-SUMIFS(Funding!$J$44:$BJ$44,Construction!$J$12:$BJ$12,"&lt;="&amp;Time!Y20)-SUMIFS(Construction!$J$28:$BJ$28,Construction!$J$12:$BJ$12,"&lt;="&amp;Time!Y20)+SUMIFS(Funding!$J$71:$BJ$71,Construction!$J$12:$BJ$12,"&lt;="&amp;Time!Y20)-SUMIFS(Funding!$J$52:$BJ$52,Construction!$J$12:$BJ$12,"&lt;="&amp;Time!Y20))</f>
        <v/>
      </c>
      <c r="Z16" s="13">
        <f>IF(Time!Z20&gt;=Time!$F$12,Z11,SUMIFS(Funding!$J$49:$BJ$49,Construction!$J$12:$BJ$12,"&lt;="&amp;Time!Z20)-SUMIFS(Funding!$J$44:$BJ$44,Construction!$J$12:$BJ$12,"&lt;="&amp;Time!Z20)-SUMIFS(Construction!$J$28:$BJ$28,Construction!$J$12:$BJ$12,"&lt;="&amp;Time!Z20)+SUMIFS(Funding!$J$71:$BJ$71,Construction!$J$12:$BJ$12,"&lt;="&amp;Time!Z20)-SUMIFS(Funding!$J$52:$BJ$52,Construction!$J$12:$BJ$12,"&lt;="&amp;Time!Z20))</f>
        <v/>
      </c>
      <c r="AA16" s="13">
        <f>IF(Time!AA20&gt;=Time!$F$12,AA11,SUMIFS(Funding!$J$49:$BJ$49,Construction!$J$12:$BJ$12,"&lt;="&amp;Time!AA20)-SUMIFS(Funding!$J$44:$BJ$44,Construction!$J$12:$BJ$12,"&lt;="&amp;Time!AA20)-SUMIFS(Construction!$J$28:$BJ$28,Construction!$J$12:$BJ$12,"&lt;="&amp;Time!AA20)+SUMIFS(Funding!$J$71:$BJ$71,Construction!$J$12:$BJ$12,"&lt;="&amp;Time!AA20)-SUMIFS(Funding!$J$52:$BJ$52,Construction!$J$12:$BJ$12,"&lt;="&amp;Time!AA20))</f>
        <v/>
      </c>
      <c r="AB16" s="13">
        <f>IF(Time!AB20&gt;=Time!$F$12,AB11,SUMIFS(Funding!$J$49:$BJ$49,Construction!$J$12:$BJ$12,"&lt;="&amp;Time!AB20)-SUMIFS(Funding!$J$44:$BJ$44,Construction!$J$12:$BJ$12,"&lt;="&amp;Time!AB20)-SUMIFS(Construction!$J$28:$BJ$28,Construction!$J$12:$BJ$12,"&lt;="&amp;Time!AB20)+SUMIFS(Funding!$J$71:$BJ$71,Construction!$J$12:$BJ$12,"&lt;="&amp;Time!AB20)-SUMIFS(Funding!$J$52:$BJ$52,Construction!$J$12:$BJ$12,"&lt;="&amp;Time!AB20))</f>
        <v/>
      </c>
      <c r="AC16" s="13">
        <f>IF(Time!AC20&gt;=Time!$F$12,AC11,SUMIFS(Funding!$J$49:$BJ$49,Construction!$J$12:$BJ$12,"&lt;="&amp;Time!AC20)-SUMIFS(Funding!$J$44:$BJ$44,Construction!$J$12:$BJ$12,"&lt;="&amp;Time!AC20)-SUMIFS(Construction!$J$28:$BJ$28,Construction!$J$12:$BJ$12,"&lt;="&amp;Time!AC20)+SUMIFS(Funding!$J$71:$BJ$71,Construction!$J$12:$BJ$12,"&lt;="&amp;Time!AC20)-SUMIFS(Funding!$J$52:$BJ$52,Construction!$J$12:$BJ$12,"&lt;="&amp;Time!AC20))</f>
        <v/>
      </c>
      <c r="AD16" s="13">
        <f>IF(Time!AD20&gt;=Time!$F$12,AD11,SUMIFS(Funding!$J$49:$BJ$49,Construction!$J$12:$BJ$12,"&lt;="&amp;Time!AD20)-SUMIFS(Funding!$J$44:$BJ$44,Construction!$J$12:$BJ$12,"&lt;="&amp;Time!AD20)-SUMIFS(Construction!$J$28:$BJ$28,Construction!$J$12:$BJ$12,"&lt;="&amp;Time!AD20)+SUMIFS(Funding!$J$71:$BJ$71,Construction!$J$12:$BJ$12,"&lt;="&amp;Time!AD20)-SUMIFS(Funding!$J$52:$BJ$52,Construction!$J$12:$BJ$12,"&lt;="&amp;Time!AD20))</f>
        <v/>
      </c>
      <c r="AE16" s="13">
        <f>IF(Time!AE20&gt;=Time!$F$12,AE11,SUMIFS(Funding!$J$49:$BJ$49,Construction!$J$12:$BJ$12,"&lt;="&amp;Time!AE20)-SUMIFS(Funding!$J$44:$BJ$44,Construction!$J$12:$BJ$12,"&lt;="&amp;Time!AE20)-SUMIFS(Construction!$J$28:$BJ$28,Construction!$J$12:$BJ$12,"&lt;="&amp;Time!AE20)+SUMIFS(Funding!$J$71:$BJ$71,Construction!$J$12:$BJ$12,"&lt;="&amp;Time!AE20)-SUMIFS(Funding!$J$52:$BJ$52,Construction!$J$12:$BJ$12,"&lt;="&amp;Time!AE20))</f>
        <v/>
      </c>
      <c r="AF16" s="13">
        <f>IF(Time!AF20&gt;=Time!$F$12,AF11,SUMIFS(Funding!$J$49:$BJ$49,Construction!$J$12:$BJ$12,"&lt;="&amp;Time!AF20)-SUMIFS(Funding!$J$44:$BJ$44,Construction!$J$12:$BJ$12,"&lt;="&amp;Time!AF20)-SUMIFS(Construction!$J$28:$BJ$28,Construction!$J$12:$BJ$12,"&lt;="&amp;Time!AF20)+SUMIFS(Funding!$J$71:$BJ$71,Construction!$J$12:$BJ$12,"&lt;="&amp;Time!AF20)-SUMIFS(Funding!$J$52:$BJ$52,Construction!$J$12:$BJ$12,"&lt;="&amp;Time!AF20))</f>
        <v/>
      </c>
      <c r="AG16" s="13">
        <f>IF(Time!AG20&gt;=Time!$F$12,AG11,SUMIFS(Funding!$J$49:$BJ$49,Construction!$J$12:$BJ$12,"&lt;="&amp;Time!AG20)-SUMIFS(Funding!$J$44:$BJ$44,Construction!$J$12:$BJ$12,"&lt;="&amp;Time!AG20)-SUMIFS(Construction!$J$28:$BJ$28,Construction!$J$12:$BJ$12,"&lt;="&amp;Time!AG20)+SUMIFS(Funding!$J$71:$BJ$71,Construction!$J$12:$BJ$12,"&lt;="&amp;Time!AG20)-SUMIFS(Funding!$J$52:$BJ$52,Construction!$J$12:$BJ$12,"&lt;="&amp;Time!AG20))</f>
        <v/>
      </c>
      <c r="AH16" s="13">
        <f>IF(Time!AH20&gt;=Time!$F$12,AH11,SUMIFS(Funding!$J$49:$BJ$49,Construction!$J$12:$BJ$12,"&lt;="&amp;Time!AH20)-SUMIFS(Funding!$J$44:$BJ$44,Construction!$J$12:$BJ$12,"&lt;="&amp;Time!AH20)-SUMIFS(Construction!$J$28:$BJ$28,Construction!$J$12:$BJ$12,"&lt;="&amp;Time!AH20)+SUMIFS(Funding!$J$71:$BJ$71,Construction!$J$12:$BJ$12,"&lt;="&amp;Time!AH20)-SUMIFS(Funding!$J$52:$BJ$52,Construction!$J$12:$BJ$12,"&lt;="&amp;Time!AH20))</f>
        <v/>
      </c>
      <c r="AI16" s="13">
        <f>IF(Time!AI20&gt;=Time!$F$12,AI11,SUMIFS(Funding!$J$49:$BJ$49,Construction!$J$12:$BJ$12,"&lt;="&amp;Time!AI20)-SUMIFS(Funding!$J$44:$BJ$44,Construction!$J$12:$BJ$12,"&lt;="&amp;Time!AI20)-SUMIFS(Construction!$J$28:$BJ$28,Construction!$J$12:$BJ$12,"&lt;="&amp;Time!AI20)+SUMIFS(Funding!$J$71:$BJ$71,Construction!$J$12:$BJ$12,"&lt;="&amp;Time!AI20)-SUMIFS(Funding!$J$52:$BJ$52,Construction!$J$12:$BJ$12,"&lt;="&amp;Time!AI20))</f>
        <v/>
      </c>
      <c r="AJ16" s="13">
        <f>IF(Time!AJ20&gt;=Time!$F$12,AJ11,SUMIFS(Funding!$J$49:$BJ$49,Construction!$J$12:$BJ$12,"&lt;="&amp;Time!AJ20)-SUMIFS(Funding!$J$44:$BJ$44,Construction!$J$12:$BJ$12,"&lt;="&amp;Time!AJ20)-SUMIFS(Construction!$J$28:$BJ$28,Construction!$J$12:$BJ$12,"&lt;="&amp;Time!AJ20)+SUMIFS(Funding!$J$71:$BJ$71,Construction!$J$12:$BJ$12,"&lt;="&amp;Time!AJ20)-SUMIFS(Funding!$J$52:$BJ$52,Construction!$J$12:$BJ$12,"&lt;="&amp;Time!AJ20))</f>
        <v/>
      </c>
      <c r="AK16" s="13">
        <f>IF(Time!AK20&gt;=Time!$F$12,AK11,SUMIFS(Funding!$J$49:$BJ$49,Construction!$J$12:$BJ$12,"&lt;="&amp;Time!AK20)-SUMIFS(Funding!$J$44:$BJ$44,Construction!$J$12:$BJ$12,"&lt;="&amp;Time!AK20)-SUMIFS(Construction!$J$28:$BJ$28,Construction!$J$12:$BJ$12,"&lt;="&amp;Time!AK20)+SUMIFS(Funding!$J$71:$BJ$71,Construction!$J$12:$BJ$12,"&lt;="&amp;Time!AK20)-SUMIFS(Funding!$J$52:$BJ$52,Construction!$J$12:$BJ$12,"&lt;="&amp;Time!AK20))</f>
        <v/>
      </c>
      <c r="AL16" s="13">
        <f>IF(Time!AL20&gt;=Time!$F$12,AL11,SUMIFS(Funding!$J$49:$BJ$49,Construction!$J$12:$BJ$12,"&lt;="&amp;Time!AL20)-SUMIFS(Funding!$J$44:$BJ$44,Construction!$J$12:$BJ$12,"&lt;="&amp;Time!AL20)-SUMIFS(Construction!$J$28:$BJ$28,Construction!$J$12:$BJ$12,"&lt;="&amp;Time!AL20)+SUMIFS(Funding!$J$71:$BJ$71,Construction!$J$12:$BJ$12,"&lt;="&amp;Time!AL20)-SUMIFS(Funding!$J$52:$BJ$52,Construction!$J$12:$BJ$12,"&lt;="&amp;Time!AL20))</f>
        <v/>
      </c>
      <c r="AM16" s="13">
        <f>IF(Time!AM20&gt;=Time!$F$12,AM11,SUMIFS(Funding!$J$49:$BJ$49,Construction!$J$12:$BJ$12,"&lt;="&amp;Time!AM20)-SUMIFS(Funding!$J$44:$BJ$44,Construction!$J$12:$BJ$12,"&lt;="&amp;Time!AM20)-SUMIFS(Construction!$J$28:$BJ$28,Construction!$J$12:$BJ$12,"&lt;="&amp;Time!AM20)+SUMIFS(Funding!$J$71:$BJ$71,Construction!$J$12:$BJ$12,"&lt;="&amp;Time!AM20)-SUMIFS(Funding!$J$52:$BJ$52,Construction!$J$12:$BJ$12,"&lt;="&amp;Time!AM20))</f>
        <v/>
      </c>
      <c r="AN16" s="13">
        <f>IF(Time!AN20&gt;=Time!$F$12,AN11,SUMIFS(Funding!$J$49:$BJ$49,Construction!$J$12:$BJ$12,"&lt;="&amp;Time!AN20)-SUMIFS(Funding!$J$44:$BJ$44,Construction!$J$12:$BJ$12,"&lt;="&amp;Time!AN20)-SUMIFS(Construction!$J$28:$BJ$28,Construction!$J$12:$BJ$12,"&lt;="&amp;Time!AN20)+SUMIFS(Funding!$J$71:$BJ$71,Construction!$J$12:$BJ$12,"&lt;="&amp;Time!AN20)-SUMIFS(Funding!$J$52:$BJ$52,Construction!$J$12:$BJ$12,"&lt;="&amp;Time!AN20))</f>
        <v/>
      </c>
      <c r="AO16" s="13">
        <f>IF(Time!AO20&gt;=Time!$F$12,AO11,SUMIFS(Funding!$J$49:$BJ$49,Construction!$J$12:$BJ$12,"&lt;="&amp;Time!AO20)-SUMIFS(Funding!$J$44:$BJ$44,Construction!$J$12:$BJ$12,"&lt;="&amp;Time!AO20)-SUMIFS(Construction!$J$28:$BJ$28,Construction!$J$12:$BJ$12,"&lt;="&amp;Time!AO20)+SUMIFS(Funding!$J$71:$BJ$71,Construction!$J$12:$BJ$12,"&lt;="&amp;Time!AO20)-SUMIFS(Funding!$J$52:$BJ$52,Construction!$J$12:$BJ$12,"&lt;="&amp;Time!AO20))</f>
        <v/>
      </c>
      <c r="AP16" s="13">
        <f>IF(Time!AP20&gt;=Time!$F$12,AP11,SUMIFS(Funding!$J$49:$BJ$49,Construction!$J$12:$BJ$12,"&lt;="&amp;Time!AP20)-SUMIFS(Funding!$J$44:$BJ$44,Construction!$J$12:$BJ$12,"&lt;="&amp;Time!AP20)-SUMIFS(Construction!$J$28:$BJ$28,Construction!$J$12:$BJ$12,"&lt;="&amp;Time!AP20)+SUMIFS(Funding!$J$71:$BJ$71,Construction!$J$12:$BJ$12,"&lt;="&amp;Time!AP20)-SUMIFS(Funding!$J$52:$BJ$52,Construction!$J$12:$BJ$12,"&lt;="&amp;Time!AP20))</f>
        <v/>
      </c>
      <c r="AQ16" s="13">
        <f>IF(Time!AQ20&gt;=Time!$F$12,AQ11,SUMIFS(Funding!$J$49:$BJ$49,Construction!$J$12:$BJ$12,"&lt;="&amp;Time!AQ20)-SUMIFS(Funding!$J$44:$BJ$44,Construction!$J$12:$BJ$12,"&lt;="&amp;Time!AQ20)-SUMIFS(Construction!$J$28:$BJ$28,Construction!$J$12:$BJ$12,"&lt;="&amp;Time!AQ20)+SUMIFS(Funding!$J$71:$BJ$71,Construction!$J$12:$BJ$12,"&lt;="&amp;Time!AQ20)-SUMIFS(Funding!$J$52:$BJ$52,Construction!$J$12:$BJ$12,"&lt;="&amp;Time!AQ20))</f>
        <v/>
      </c>
      <c r="AR16" s="13">
        <f>IF(Time!AR20&gt;=Time!$F$12,AR11,SUMIFS(Funding!$J$49:$BJ$49,Construction!$J$12:$BJ$12,"&lt;="&amp;Time!AR20)-SUMIFS(Funding!$J$44:$BJ$44,Construction!$J$12:$BJ$12,"&lt;="&amp;Time!AR20)-SUMIFS(Construction!$J$28:$BJ$28,Construction!$J$12:$BJ$12,"&lt;="&amp;Time!AR20)+SUMIFS(Funding!$J$71:$BJ$71,Construction!$J$12:$BJ$12,"&lt;="&amp;Time!AR20)-SUMIFS(Funding!$J$52:$BJ$52,Construction!$J$12:$BJ$12,"&lt;="&amp;Time!AR20))</f>
        <v/>
      </c>
      <c r="AS16" s="13">
        <f>IF(Time!AS20&gt;=Time!$F$12,AS11,SUMIFS(Funding!$J$49:$BJ$49,Construction!$J$12:$BJ$12,"&lt;="&amp;Time!AS20)-SUMIFS(Funding!$J$44:$BJ$44,Construction!$J$12:$BJ$12,"&lt;="&amp;Time!AS20)-SUMIFS(Construction!$J$28:$BJ$28,Construction!$J$12:$BJ$12,"&lt;="&amp;Time!AS20)+SUMIFS(Funding!$J$71:$BJ$71,Construction!$J$12:$BJ$12,"&lt;="&amp;Time!AS20)-SUMIFS(Funding!$J$52:$BJ$52,Construction!$J$12:$BJ$12,"&lt;="&amp;Time!AS20))</f>
        <v/>
      </c>
      <c r="AT16" s="13">
        <f>IF(Time!AT20&gt;=Time!$F$12,AT11,SUMIFS(Funding!$J$49:$BJ$49,Construction!$J$12:$BJ$12,"&lt;="&amp;Time!AT20)-SUMIFS(Funding!$J$44:$BJ$44,Construction!$J$12:$BJ$12,"&lt;="&amp;Time!AT20)-SUMIFS(Construction!$J$28:$BJ$28,Construction!$J$12:$BJ$12,"&lt;="&amp;Time!AT20)+SUMIFS(Funding!$J$71:$BJ$71,Construction!$J$12:$BJ$12,"&lt;="&amp;Time!AT20)-SUMIFS(Funding!$J$52:$BJ$52,Construction!$J$12:$BJ$12,"&lt;="&amp;Time!AT20))</f>
        <v/>
      </c>
      <c r="AU16" s="13">
        <f>IF(Time!AU20&gt;=Time!$F$12,AU11,SUMIFS(Funding!$J$49:$BJ$49,Construction!$J$12:$BJ$12,"&lt;="&amp;Time!AU20)-SUMIFS(Funding!$J$44:$BJ$44,Construction!$J$12:$BJ$12,"&lt;="&amp;Time!AU20)-SUMIFS(Construction!$J$28:$BJ$28,Construction!$J$12:$BJ$12,"&lt;="&amp;Time!AU20)+SUMIFS(Funding!$J$71:$BJ$71,Construction!$J$12:$BJ$12,"&lt;="&amp;Time!AU20)-SUMIFS(Funding!$J$52:$BJ$52,Construction!$J$12:$BJ$12,"&lt;="&amp;Time!AU20))</f>
        <v/>
      </c>
      <c r="AV16" s="13">
        <f>IF(Time!AV20&gt;=Time!$F$12,AV11,SUMIFS(Funding!$J$49:$BJ$49,Construction!$J$12:$BJ$12,"&lt;="&amp;Time!AV20)-SUMIFS(Funding!$J$44:$BJ$44,Construction!$J$12:$BJ$12,"&lt;="&amp;Time!AV20)-SUMIFS(Construction!$J$28:$BJ$28,Construction!$J$12:$BJ$12,"&lt;="&amp;Time!AV20)+SUMIFS(Funding!$J$71:$BJ$71,Construction!$J$12:$BJ$12,"&lt;="&amp;Time!AV20)-SUMIFS(Funding!$J$52:$BJ$52,Construction!$J$12:$BJ$12,"&lt;="&amp;Time!AV20))</f>
        <v/>
      </c>
      <c r="AW16" s="13">
        <f>IF(Time!AW20&gt;=Time!$F$12,AW11,SUMIFS(Funding!$J$49:$BJ$49,Construction!$J$12:$BJ$12,"&lt;="&amp;Time!AW20)-SUMIFS(Funding!$J$44:$BJ$44,Construction!$J$12:$BJ$12,"&lt;="&amp;Time!AW20)-SUMIFS(Construction!$J$28:$BJ$28,Construction!$J$12:$BJ$12,"&lt;="&amp;Time!AW20)+SUMIFS(Funding!$J$71:$BJ$71,Construction!$J$12:$BJ$12,"&lt;="&amp;Time!AW20)-SUMIFS(Funding!$J$52:$BJ$52,Construction!$J$12:$BJ$12,"&lt;="&amp;Time!AW20))</f>
        <v/>
      </c>
      <c r="AX16" s="13">
        <f>IF(Time!AX20&gt;=Time!$F$12,AX11,SUMIFS(Funding!$J$49:$BJ$49,Construction!$J$12:$BJ$12,"&lt;="&amp;Time!AX20)-SUMIFS(Funding!$J$44:$BJ$44,Construction!$J$12:$BJ$12,"&lt;="&amp;Time!AX20)-SUMIFS(Construction!$J$28:$BJ$28,Construction!$J$12:$BJ$12,"&lt;="&amp;Time!AX20)+SUMIFS(Funding!$J$71:$BJ$71,Construction!$J$12:$BJ$12,"&lt;="&amp;Time!AX20)-SUMIFS(Funding!$J$52:$BJ$52,Construction!$J$12:$BJ$12,"&lt;="&amp;Time!AX20))</f>
        <v/>
      </c>
      <c r="AY16" s="13">
        <f>IF(Time!AY20&gt;=Time!$F$12,AY11,SUMIFS(Funding!$J$49:$BJ$49,Construction!$J$12:$BJ$12,"&lt;="&amp;Time!AY20)-SUMIFS(Funding!$J$44:$BJ$44,Construction!$J$12:$BJ$12,"&lt;="&amp;Time!AY20)-SUMIFS(Construction!$J$28:$BJ$28,Construction!$J$12:$BJ$12,"&lt;="&amp;Time!AY20)+SUMIFS(Funding!$J$71:$BJ$71,Construction!$J$12:$BJ$12,"&lt;="&amp;Time!AY20)-SUMIFS(Funding!$J$52:$BJ$52,Construction!$J$12:$BJ$12,"&lt;="&amp;Time!AY20))</f>
        <v/>
      </c>
      <c r="AZ16" s="13">
        <f>IF(Time!AZ20&gt;=Time!$F$12,AZ11,SUMIFS(Funding!$J$49:$BJ$49,Construction!$J$12:$BJ$12,"&lt;="&amp;Time!AZ20)-SUMIFS(Funding!$J$44:$BJ$44,Construction!$J$12:$BJ$12,"&lt;="&amp;Time!AZ20)-SUMIFS(Construction!$J$28:$BJ$28,Construction!$J$12:$BJ$12,"&lt;="&amp;Time!AZ20)+SUMIFS(Funding!$J$71:$BJ$71,Construction!$J$12:$BJ$12,"&lt;="&amp;Time!AZ20)-SUMIFS(Funding!$J$52:$BJ$52,Construction!$J$12:$BJ$12,"&lt;="&amp;Time!AZ20))</f>
        <v/>
      </c>
      <c r="BA16" s="13">
        <f>IF(Time!BA20&gt;=Time!$F$12,BA11,SUMIFS(Funding!$J$49:$BJ$49,Construction!$J$12:$BJ$12,"&lt;="&amp;Time!BA20)-SUMIFS(Funding!$J$44:$BJ$44,Construction!$J$12:$BJ$12,"&lt;="&amp;Time!BA20)-SUMIFS(Construction!$J$28:$BJ$28,Construction!$J$12:$BJ$12,"&lt;="&amp;Time!BA20)+SUMIFS(Funding!$J$71:$BJ$71,Construction!$J$12:$BJ$12,"&lt;="&amp;Time!BA20)-SUMIFS(Funding!$J$52:$BJ$52,Construction!$J$12:$BJ$12,"&lt;="&amp;Time!BA20))</f>
        <v/>
      </c>
      <c r="BB16" s="13">
        <f>IF(Time!BB20&gt;=Time!$F$12,BB11,SUMIFS(Funding!$J$49:$BJ$49,Construction!$J$12:$BJ$12,"&lt;="&amp;Time!BB20)-SUMIFS(Funding!$J$44:$BJ$44,Construction!$J$12:$BJ$12,"&lt;="&amp;Time!BB20)-SUMIFS(Construction!$J$28:$BJ$28,Construction!$J$12:$BJ$12,"&lt;="&amp;Time!BB20)+SUMIFS(Funding!$J$71:$BJ$71,Construction!$J$12:$BJ$12,"&lt;="&amp;Time!BB20)-SUMIFS(Funding!$J$52:$BJ$52,Construction!$J$12:$BJ$12,"&lt;="&amp;Time!BB20))</f>
        <v/>
      </c>
      <c r="BC16" s="13">
        <f>IF(Time!BC20&gt;=Time!$F$12,BC11,SUMIFS(Funding!$J$49:$BJ$49,Construction!$J$12:$BJ$12,"&lt;="&amp;Time!BC20)-SUMIFS(Funding!$J$44:$BJ$44,Construction!$J$12:$BJ$12,"&lt;="&amp;Time!BC20)-SUMIFS(Construction!$J$28:$BJ$28,Construction!$J$12:$BJ$12,"&lt;="&amp;Time!BC20)+SUMIFS(Funding!$J$71:$BJ$71,Construction!$J$12:$BJ$12,"&lt;="&amp;Time!BC20)-SUMIFS(Funding!$J$52:$BJ$52,Construction!$J$12:$BJ$12,"&lt;="&amp;Time!BC20))</f>
        <v/>
      </c>
      <c r="BD16" s="13">
        <f>IF(Time!BD20&gt;=Time!$F$12,BD11,SUMIFS(Funding!$J$49:$BJ$49,Construction!$J$12:$BJ$12,"&lt;="&amp;Time!BD20)-SUMIFS(Funding!$J$44:$BJ$44,Construction!$J$12:$BJ$12,"&lt;="&amp;Time!BD20)-SUMIFS(Construction!$J$28:$BJ$28,Construction!$J$12:$BJ$12,"&lt;="&amp;Time!BD20)+SUMIFS(Funding!$J$71:$BJ$71,Construction!$J$12:$BJ$12,"&lt;="&amp;Time!BD20)-SUMIFS(Funding!$J$52:$BJ$52,Construction!$J$12:$BJ$12,"&lt;="&amp;Time!BD20))</f>
        <v/>
      </c>
      <c r="BE16" s="13">
        <f>IF(Time!BE20&gt;=Time!$F$12,BE11,SUMIFS(Funding!$J$49:$BJ$49,Construction!$J$12:$BJ$12,"&lt;="&amp;Time!BE20)-SUMIFS(Funding!$J$44:$BJ$44,Construction!$J$12:$BJ$12,"&lt;="&amp;Time!BE20)-SUMIFS(Construction!$J$28:$BJ$28,Construction!$J$12:$BJ$12,"&lt;="&amp;Time!BE20)+SUMIFS(Funding!$J$71:$BJ$71,Construction!$J$12:$BJ$12,"&lt;="&amp;Time!BE20)-SUMIFS(Funding!$J$52:$BJ$52,Construction!$J$12:$BJ$12,"&lt;="&amp;Time!BE20))</f>
        <v/>
      </c>
      <c r="BF16" s="13">
        <f>IF(Time!BF20&gt;=Time!$F$12,BF11,SUMIFS(Funding!$J$49:$BJ$49,Construction!$J$12:$BJ$12,"&lt;="&amp;Time!BF20)-SUMIFS(Funding!$J$44:$BJ$44,Construction!$J$12:$BJ$12,"&lt;="&amp;Time!BF20)-SUMIFS(Construction!$J$28:$BJ$28,Construction!$J$12:$BJ$12,"&lt;="&amp;Time!BF20)+SUMIFS(Funding!$J$71:$BJ$71,Construction!$J$12:$BJ$12,"&lt;="&amp;Time!BF20)-SUMIFS(Funding!$J$52:$BJ$52,Construction!$J$12:$BJ$12,"&lt;="&amp;Time!BF20))</f>
        <v/>
      </c>
      <c r="BG16" s="13">
        <f>IF(Time!BG20&gt;=Time!$F$12,BG11,SUMIFS(Funding!$J$49:$BJ$49,Construction!$J$12:$BJ$12,"&lt;="&amp;Time!BG20)-SUMIFS(Funding!$J$44:$BJ$44,Construction!$J$12:$BJ$12,"&lt;="&amp;Time!BG20)-SUMIFS(Construction!$J$28:$BJ$28,Construction!$J$12:$BJ$12,"&lt;="&amp;Time!BG20)+SUMIFS(Funding!$J$71:$BJ$71,Construction!$J$12:$BJ$12,"&lt;="&amp;Time!BG20)-SUMIFS(Funding!$J$52:$BJ$52,Construction!$J$12:$BJ$12,"&lt;="&amp;Time!BG20))</f>
        <v/>
      </c>
      <c r="BH16" s="13">
        <f>IF(Time!BH20&gt;=Time!$F$12,BH11,SUMIFS(Funding!$J$49:$BJ$49,Construction!$J$12:$BJ$12,"&lt;="&amp;Time!BH20)-SUMIFS(Funding!$J$44:$BJ$44,Construction!$J$12:$BJ$12,"&lt;="&amp;Time!BH20)-SUMIFS(Construction!$J$28:$BJ$28,Construction!$J$12:$BJ$12,"&lt;="&amp;Time!BH20)+SUMIFS(Funding!$J$71:$BJ$71,Construction!$J$12:$BJ$12,"&lt;="&amp;Time!BH20)-SUMIFS(Funding!$J$52:$BJ$52,Construction!$J$12:$BJ$12,"&lt;="&amp;Time!BH20))</f>
        <v/>
      </c>
      <c r="BI16" s="13">
        <f>IF(Time!BI20&gt;=Time!$F$12,BI11,SUMIFS(Funding!$J$49:$BJ$49,Construction!$J$12:$BJ$12,"&lt;="&amp;Time!BI20)-SUMIFS(Funding!$J$44:$BJ$44,Construction!$J$12:$BJ$12,"&lt;="&amp;Time!BI20)-SUMIFS(Construction!$J$28:$BJ$28,Construction!$J$12:$BJ$12,"&lt;="&amp;Time!BI20)+SUMIFS(Funding!$J$71:$BJ$71,Construction!$J$12:$BJ$12,"&lt;="&amp;Time!BI20)-SUMIFS(Funding!$J$52:$BJ$52,Construction!$J$12:$BJ$12,"&lt;="&amp;Time!BI20))</f>
        <v/>
      </c>
      <c r="BJ16" s="13">
        <f>IF(Time!BJ20&gt;=Time!$F$12,BJ11,SUMIFS(Funding!$J$49:$BJ$49,Construction!$J$12:$BJ$12,"&lt;="&amp;Time!BJ20)-SUMIFS(Funding!$J$44:$BJ$44,Construction!$J$12:$BJ$12,"&lt;="&amp;Time!BJ20)-SUMIFS(Construction!$J$28:$BJ$28,Construction!$J$12:$BJ$12,"&lt;="&amp;Time!BJ20)+SUMIFS(Funding!$J$71:$BJ$71,Construction!$J$12:$BJ$12,"&lt;="&amp;Time!BJ20)-SUMIFS(Funding!$J$52:$BJ$52,Construction!$J$12:$BJ$12,"&lt;="&amp;Time!BJ20))</f>
        <v/>
      </c>
      <c r="BK16" s="13">
        <f>IF(Time!BK20&gt;=Time!$F$12,BK11,SUMIFS(Funding!$J$49:$BJ$49,Construction!$J$12:$BJ$12,"&lt;="&amp;Time!BK20)-SUMIFS(Funding!$J$44:$BJ$44,Construction!$J$12:$BJ$12,"&lt;="&amp;Time!BK20)-SUMIFS(Construction!$J$28:$BJ$28,Construction!$J$12:$BJ$12,"&lt;="&amp;Time!BK20)+SUMIFS(Funding!$J$71:$BJ$71,Construction!$J$12:$BJ$12,"&lt;="&amp;Time!BK20)-SUMIFS(Funding!$J$52:$BJ$52,Construction!$J$12:$BJ$12,"&lt;="&amp;Time!BK20))</f>
        <v/>
      </c>
      <c r="BL16" s="13">
        <f>IF(Time!BL20&gt;=Time!$F$12,BL11,SUMIFS(Funding!$J$49:$BJ$49,Construction!$J$12:$BJ$12,"&lt;="&amp;Time!BL20)-SUMIFS(Funding!$J$44:$BJ$44,Construction!$J$12:$BJ$12,"&lt;="&amp;Time!BL20)-SUMIFS(Construction!$J$28:$BJ$28,Construction!$J$12:$BJ$12,"&lt;="&amp;Time!BL20)+SUMIFS(Funding!$J$71:$BJ$71,Construction!$J$12:$BJ$12,"&lt;="&amp;Time!BL20)-SUMIFS(Funding!$J$52:$BJ$52,Construction!$J$12:$BJ$12,"&lt;="&amp;Time!BL20))</f>
        <v/>
      </c>
      <c r="BM16" s="13">
        <f>IF(Time!BM20&gt;=Time!$F$12,BM11,SUMIFS(Funding!$J$49:$BJ$49,Construction!$J$12:$BJ$12,"&lt;="&amp;Time!BM20)-SUMIFS(Funding!$J$44:$BJ$44,Construction!$J$12:$BJ$12,"&lt;="&amp;Time!BM20)-SUMIFS(Construction!$J$28:$BJ$28,Construction!$J$12:$BJ$12,"&lt;="&amp;Time!BM20)+SUMIFS(Funding!$J$71:$BJ$71,Construction!$J$12:$BJ$12,"&lt;="&amp;Time!BM20)-SUMIFS(Funding!$J$52:$BJ$52,Construction!$J$12:$BJ$12,"&lt;="&amp;Time!BM20))</f>
        <v/>
      </c>
      <c r="BN16" s="13">
        <f>IF(Time!BN20&gt;=Time!$F$12,BN11,SUMIFS(Funding!$J$49:$BJ$49,Construction!$J$12:$BJ$12,"&lt;="&amp;Time!BN20)-SUMIFS(Funding!$J$44:$BJ$44,Construction!$J$12:$BJ$12,"&lt;="&amp;Time!BN20)-SUMIFS(Construction!$J$28:$BJ$28,Construction!$J$12:$BJ$12,"&lt;="&amp;Time!BN20)+SUMIFS(Funding!$J$71:$BJ$71,Construction!$J$12:$BJ$12,"&lt;="&amp;Time!BN20)-SUMIFS(Funding!$J$52:$BJ$52,Construction!$J$12:$BJ$12,"&lt;="&amp;Time!BN20)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3">
        <f>Reserves!J13+Reserves!J8+Reserves!J16+Waterfall!J30+Waterfall!J42+Reserves!J17+IF(Time!J20&lt;Time!$F$12,SUMIFS(Funding!$J$52:$BJ$52,Construction!$J$12:$BJ$12,"&lt;="&amp;Time!J20)-SUMIFS(Funding!$J$53:$BJ$53,Construction!$J$12:$BJ$12,"&lt;="&amp;Time!J20),0)</f>
        <v/>
      </c>
      <c r="K17" s="13">
        <f>Reserves!K13+Reserves!K8+Reserves!K16+Waterfall!K30+Waterfall!K42+Reserves!K17+IF(Time!K20&lt;Time!$F$12,SUMIFS(Funding!$J$52:$BJ$52,Construction!$J$12:$BJ$12,"&lt;="&amp;Time!K20)-SUMIFS(Funding!$J$53:$BJ$53,Construction!$J$12:$BJ$12,"&lt;="&amp;Time!K20),0)</f>
        <v/>
      </c>
      <c r="L17" s="13">
        <f>Reserves!L13+Reserves!L8+Reserves!L16+Waterfall!L30+Waterfall!L42+Reserves!L17+IF(Time!L20&lt;Time!$F$12,SUMIFS(Funding!$J$52:$BJ$52,Construction!$J$12:$BJ$12,"&lt;="&amp;Time!L20)-SUMIFS(Funding!$J$53:$BJ$53,Construction!$J$12:$BJ$12,"&lt;="&amp;Time!L20),0)</f>
        <v/>
      </c>
      <c r="M17" s="13">
        <f>Reserves!M13+Reserves!M8+Reserves!M16+Waterfall!M30+Waterfall!M42+Reserves!M17+IF(Time!M20&lt;Time!$F$12,SUMIFS(Funding!$J$52:$BJ$52,Construction!$J$12:$BJ$12,"&lt;="&amp;Time!M20)-SUMIFS(Funding!$J$53:$BJ$53,Construction!$J$12:$BJ$12,"&lt;="&amp;Time!M20),0)</f>
        <v/>
      </c>
      <c r="N17" s="13">
        <f>Reserves!N13+Reserves!N8+Reserves!N16+Waterfall!N30+Waterfall!N42+Reserves!N17+IF(Time!N20&lt;Time!$F$12,SUMIFS(Funding!$J$52:$BJ$52,Construction!$J$12:$BJ$12,"&lt;="&amp;Time!N20)-SUMIFS(Funding!$J$53:$BJ$53,Construction!$J$12:$BJ$12,"&lt;="&amp;Time!N20),0)</f>
        <v/>
      </c>
      <c r="O17" s="13">
        <f>Reserves!O13+Reserves!O8+Reserves!O16+Waterfall!O30+Waterfall!O42+Reserves!O17+IF(Time!O20&lt;Time!$F$12,SUMIFS(Funding!$J$52:$BJ$52,Construction!$J$12:$BJ$12,"&lt;="&amp;Time!O20)-SUMIFS(Funding!$J$53:$BJ$53,Construction!$J$12:$BJ$12,"&lt;="&amp;Time!O20),0)</f>
        <v/>
      </c>
      <c r="P17" s="13">
        <f>Reserves!P13+Reserves!P8+Reserves!P16+Waterfall!P30+Waterfall!P42+Reserves!P17+IF(Time!P20&lt;Time!$F$12,SUMIFS(Funding!$J$52:$BJ$52,Construction!$J$12:$BJ$12,"&lt;="&amp;Time!P20)-SUMIFS(Funding!$J$53:$BJ$53,Construction!$J$12:$BJ$12,"&lt;="&amp;Time!P20),0)</f>
        <v/>
      </c>
      <c r="Q17" s="13">
        <f>Reserves!Q13+Reserves!Q8+Reserves!Q16+Waterfall!Q30+Waterfall!Q42+Reserves!Q17+IF(Time!Q20&lt;Time!$F$12,SUMIFS(Funding!$J$52:$BJ$52,Construction!$J$12:$BJ$12,"&lt;="&amp;Time!Q20)-SUMIFS(Funding!$J$53:$BJ$53,Construction!$J$12:$BJ$12,"&lt;="&amp;Time!Q20),0)</f>
        <v/>
      </c>
      <c r="R17" s="13">
        <f>Reserves!R13+Reserves!R8+Reserves!R16+Waterfall!R30+Waterfall!R42+Reserves!R17+IF(Time!R20&lt;Time!$F$12,SUMIFS(Funding!$J$52:$BJ$52,Construction!$J$12:$BJ$12,"&lt;="&amp;Time!R20)-SUMIFS(Funding!$J$53:$BJ$53,Construction!$J$12:$BJ$12,"&lt;="&amp;Time!R20),0)</f>
        <v/>
      </c>
      <c r="S17" s="13">
        <f>Reserves!S13+Reserves!S8+Reserves!S16+Waterfall!S30+Waterfall!S42+Reserves!S17+IF(Time!S20&lt;Time!$F$12,SUMIFS(Funding!$J$52:$BJ$52,Construction!$J$12:$BJ$12,"&lt;="&amp;Time!S20)-SUMIFS(Funding!$J$53:$BJ$53,Construction!$J$12:$BJ$12,"&lt;="&amp;Time!S20),0)</f>
        <v/>
      </c>
      <c r="T17" s="13">
        <f>Reserves!T13+Reserves!T8+Reserves!T16+Waterfall!T30+Waterfall!T42+Reserves!T17+IF(Time!T20&lt;Time!$F$12,SUMIFS(Funding!$J$52:$BJ$52,Construction!$J$12:$BJ$12,"&lt;="&amp;Time!T20)-SUMIFS(Funding!$J$53:$BJ$53,Construction!$J$12:$BJ$12,"&lt;="&amp;Time!T20),0)</f>
        <v/>
      </c>
      <c r="U17" s="13">
        <f>Reserves!U13+Reserves!U8+Reserves!U16+Waterfall!U30+Waterfall!U42+Reserves!U17+IF(Time!U20&lt;Time!$F$12,SUMIFS(Funding!$J$52:$BJ$52,Construction!$J$12:$BJ$12,"&lt;="&amp;Time!U20)-SUMIFS(Funding!$J$53:$BJ$53,Construction!$J$12:$BJ$12,"&lt;="&amp;Time!U20),0)</f>
        <v/>
      </c>
      <c r="V17" s="13">
        <f>Reserves!V13+Reserves!V8+Reserves!V16+Waterfall!V30+Waterfall!V42+Reserves!V17+IF(Time!V20&lt;Time!$F$12,SUMIFS(Funding!$J$52:$BJ$52,Construction!$J$12:$BJ$12,"&lt;="&amp;Time!V20)-SUMIFS(Funding!$J$53:$BJ$53,Construction!$J$12:$BJ$12,"&lt;="&amp;Time!V20),0)</f>
        <v/>
      </c>
      <c r="W17" s="13">
        <f>Reserves!W13+Reserves!W8+Reserves!W16+Waterfall!W30+Waterfall!W42+Reserves!W17+IF(Time!W20&lt;Time!$F$12,SUMIFS(Funding!$J$52:$BJ$52,Construction!$J$12:$BJ$12,"&lt;="&amp;Time!W20)-SUMIFS(Funding!$J$53:$BJ$53,Construction!$J$12:$BJ$12,"&lt;="&amp;Time!W20),0)</f>
        <v/>
      </c>
      <c r="X17" s="13">
        <f>Reserves!X13+Reserves!X8+Reserves!X16+Waterfall!X30+Waterfall!X42+Reserves!X17+IF(Time!X20&lt;Time!$F$12,SUMIFS(Funding!$J$52:$BJ$52,Construction!$J$12:$BJ$12,"&lt;="&amp;Time!X20)-SUMIFS(Funding!$J$53:$BJ$53,Construction!$J$12:$BJ$12,"&lt;="&amp;Time!X20),0)</f>
        <v/>
      </c>
      <c r="Y17" s="13">
        <f>Reserves!Y13+Reserves!Y8+Reserves!Y16+Waterfall!Y30+Waterfall!Y42+Reserves!Y17+IF(Time!Y20&lt;Time!$F$12,SUMIFS(Funding!$J$52:$BJ$52,Construction!$J$12:$BJ$12,"&lt;="&amp;Time!Y20)-SUMIFS(Funding!$J$53:$BJ$53,Construction!$J$12:$BJ$12,"&lt;="&amp;Time!Y20),0)</f>
        <v/>
      </c>
      <c r="Z17" s="13">
        <f>Reserves!Z13+Reserves!Z8+Reserves!Z16+Waterfall!Z30+Waterfall!Z42+Reserves!Z17+IF(Time!Z20&lt;Time!$F$12,SUMIFS(Funding!$J$52:$BJ$52,Construction!$J$12:$BJ$12,"&lt;="&amp;Time!Z20)-SUMIFS(Funding!$J$53:$BJ$53,Construction!$J$12:$BJ$12,"&lt;="&amp;Time!Z20),0)</f>
        <v/>
      </c>
      <c r="AA17" s="13">
        <f>Reserves!AA13+Reserves!AA8+Reserves!AA16+Waterfall!AA30+Waterfall!AA42+Reserves!AA17+IF(Time!AA20&lt;Time!$F$12,SUMIFS(Funding!$J$52:$BJ$52,Construction!$J$12:$BJ$12,"&lt;="&amp;Time!AA20)-SUMIFS(Funding!$J$53:$BJ$53,Construction!$J$12:$BJ$12,"&lt;="&amp;Time!AA20),0)</f>
        <v/>
      </c>
      <c r="AB17" s="13">
        <f>Reserves!AB13+Reserves!AB8+Reserves!AB16+Waterfall!AB30+Waterfall!AB42+Reserves!AB17+IF(Time!AB20&lt;Time!$F$12,SUMIFS(Funding!$J$52:$BJ$52,Construction!$J$12:$BJ$12,"&lt;="&amp;Time!AB20)-SUMIFS(Funding!$J$53:$BJ$53,Construction!$J$12:$BJ$12,"&lt;="&amp;Time!AB20),0)</f>
        <v/>
      </c>
      <c r="AC17" s="13">
        <f>Reserves!AC13+Reserves!AC8+Reserves!AC16+Waterfall!AC30+Waterfall!AC42+Reserves!AC17+IF(Time!AC20&lt;Time!$F$12,SUMIFS(Funding!$J$52:$BJ$52,Construction!$J$12:$BJ$12,"&lt;="&amp;Time!AC20)-SUMIFS(Funding!$J$53:$BJ$53,Construction!$J$12:$BJ$12,"&lt;="&amp;Time!AC20),0)</f>
        <v/>
      </c>
      <c r="AD17" s="13">
        <f>Reserves!AD13+Reserves!AD8+Reserves!AD16+Waterfall!AD30+Waterfall!AD42+Reserves!AD17+IF(Time!AD20&lt;Time!$F$12,SUMIFS(Funding!$J$52:$BJ$52,Construction!$J$12:$BJ$12,"&lt;="&amp;Time!AD20)-SUMIFS(Funding!$J$53:$BJ$53,Construction!$J$12:$BJ$12,"&lt;="&amp;Time!AD20),0)</f>
        <v/>
      </c>
      <c r="AE17" s="13">
        <f>Reserves!AE13+Reserves!AE8+Reserves!AE16+Waterfall!AE30+Waterfall!AE42+Reserves!AE17+IF(Time!AE20&lt;Time!$F$12,SUMIFS(Funding!$J$52:$BJ$52,Construction!$J$12:$BJ$12,"&lt;="&amp;Time!AE20)-SUMIFS(Funding!$J$53:$BJ$53,Construction!$J$12:$BJ$12,"&lt;="&amp;Time!AE20),0)</f>
        <v/>
      </c>
      <c r="AF17" s="13">
        <f>Reserves!AF13+Reserves!AF8+Reserves!AF16+Waterfall!AF30+Waterfall!AF42+Reserves!AF17+IF(Time!AF20&lt;Time!$F$12,SUMIFS(Funding!$J$52:$BJ$52,Construction!$J$12:$BJ$12,"&lt;="&amp;Time!AF20)-SUMIFS(Funding!$J$53:$BJ$53,Construction!$J$12:$BJ$12,"&lt;="&amp;Time!AF20),0)</f>
        <v/>
      </c>
      <c r="AG17" s="13">
        <f>Reserves!AG13+Reserves!AG8+Reserves!AG16+Waterfall!AG30+Waterfall!AG42+Reserves!AG17+IF(Time!AG20&lt;Time!$F$12,SUMIFS(Funding!$J$52:$BJ$52,Construction!$J$12:$BJ$12,"&lt;="&amp;Time!AG20)-SUMIFS(Funding!$J$53:$BJ$53,Construction!$J$12:$BJ$12,"&lt;="&amp;Time!AG20),0)</f>
        <v/>
      </c>
      <c r="AH17" s="13">
        <f>Reserves!AH13+Reserves!AH8+Reserves!AH16+Waterfall!AH30+Waterfall!AH42+Reserves!AH17+IF(Time!AH20&lt;Time!$F$12,SUMIFS(Funding!$J$52:$BJ$52,Construction!$J$12:$BJ$12,"&lt;="&amp;Time!AH20)-SUMIFS(Funding!$J$53:$BJ$53,Construction!$J$12:$BJ$12,"&lt;="&amp;Time!AH20),0)</f>
        <v/>
      </c>
      <c r="AI17" s="13">
        <f>Reserves!AI13+Reserves!AI8+Reserves!AI16+Waterfall!AI30+Waterfall!AI42+Reserves!AI17+IF(Time!AI20&lt;Time!$F$12,SUMIFS(Funding!$J$52:$BJ$52,Construction!$J$12:$BJ$12,"&lt;="&amp;Time!AI20)-SUMIFS(Funding!$J$53:$BJ$53,Construction!$J$12:$BJ$12,"&lt;="&amp;Time!AI20),0)</f>
        <v/>
      </c>
      <c r="AJ17" s="13">
        <f>Reserves!AJ13+Reserves!AJ8+Reserves!AJ16+Waterfall!AJ30+Waterfall!AJ42+Reserves!AJ17+IF(Time!AJ20&lt;Time!$F$12,SUMIFS(Funding!$J$52:$BJ$52,Construction!$J$12:$BJ$12,"&lt;="&amp;Time!AJ20)-SUMIFS(Funding!$J$53:$BJ$53,Construction!$J$12:$BJ$12,"&lt;="&amp;Time!AJ20),0)</f>
        <v/>
      </c>
      <c r="AK17" s="13">
        <f>Reserves!AK13+Reserves!AK8+Reserves!AK16+Waterfall!AK30+Waterfall!AK42+Reserves!AK17+IF(Time!AK20&lt;Time!$F$12,SUMIFS(Funding!$J$52:$BJ$52,Construction!$J$12:$BJ$12,"&lt;="&amp;Time!AK20)-SUMIFS(Funding!$J$53:$BJ$53,Construction!$J$12:$BJ$12,"&lt;="&amp;Time!AK20),0)</f>
        <v/>
      </c>
      <c r="AL17" s="13">
        <f>Reserves!AL13+Reserves!AL8+Reserves!AL16+Waterfall!AL30+Waterfall!AL42+Reserves!AL17+IF(Time!AL20&lt;Time!$F$12,SUMIFS(Funding!$J$52:$BJ$52,Construction!$J$12:$BJ$12,"&lt;="&amp;Time!AL20)-SUMIFS(Funding!$J$53:$BJ$53,Construction!$J$12:$BJ$12,"&lt;="&amp;Time!AL20),0)</f>
        <v/>
      </c>
      <c r="AM17" s="13">
        <f>Reserves!AM13+Reserves!AM8+Reserves!AM16+Waterfall!AM30+Waterfall!AM42+Reserves!AM17+IF(Time!AM20&lt;Time!$F$12,SUMIFS(Funding!$J$52:$BJ$52,Construction!$J$12:$BJ$12,"&lt;="&amp;Time!AM20)-SUMIFS(Funding!$J$53:$BJ$53,Construction!$J$12:$BJ$12,"&lt;="&amp;Time!AM20),0)</f>
        <v/>
      </c>
      <c r="AN17" s="13">
        <f>Reserves!AN13+Reserves!AN8+Reserves!AN16+Waterfall!AN30+Waterfall!AN42+Reserves!AN17+IF(Time!AN20&lt;Time!$F$12,SUMIFS(Funding!$J$52:$BJ$52,Construction!$J$12:$BJ$12,"&lt;="&amp;Time!AN20)-SUMIFS(Funding!$J$53:$BJ$53,Construction!$J$12:$BJ$12,"&lt;="&amp;Time!AN20),0)</f>
        <v/>
      </c>
      <c r="AO17" s="13">
        <f>Reserves!AO13+Reserves!AO8+Reserves!AO16+Waterfall!AO30+Waterfall!AO42+Reserves!AO17+IF(Time!AO20&lt;Time!$F$12,SUMIFS(Funding!$J$52:$BJ$52,Construction!$J$12:$BJ$12,"&lt;="&amp;Time!AO20)-SUMIFS(Funding!$J$53:$BJ$53,Construction!$J$12:$BJ$12,"&lt;="&amp;Time!AO20),0)</f>
        <v/>
      </c>
      <c r="AP17" s="13">
        <f>Reserves!AP13+Reserves!AP8+Reserves!AP16+Waterfall!AP30+Waterfall!AP42+Reserves!AP17+IF(Time!AP20&lt;Time!$F$12,SUMIFS(Funding!$J$52:$BJ$52,Construction!$J$12:$BJ$12,"&lt;="&amp;Time!AP20)-SUMIFS(Funding!$J$53:$BJ$53,Construction!$J$12:$BJ$12,"&lt;="&amp;Time!AP20),0)</f>
        <v/>
      </c>
      <c r="AQ17" s="13">
        <f>Reserves!AQ13+Reserves!AQ8+Reserves!AQ16+Waterfall!AQ30+Waterfall!AQ42+Reserves!AQ17+IF(Time!AQ20&lt;Time!$F$12,SUMIFS(Funding!$J$52:$BJ$52,Construction!$J$12:$BJ$12,"&lt;="&amp;Time!AQ20)-SUMIFS(Funding!$J$53:$BJ$53,Construction!$J$12:$BJ$12,"&lt;="&amp;Time!AQ20),0)</f>
        <v/>
      </c>
      <c r="AR17" s="13">
        <f>Reserves!AR13+Reserves!AR8+Reserves!AR16+Waterfall!AR30+Waterfall!AR42+Reserves!AR17+IF(Time!AR20&lt;Time!$F$12,SUMIFS(Funding!$J$52:$BJ$52,Construction!$J$12:$BJ$12,"&lt;="&amp;Time!AR20)-SUMIFS(Funding!$J$53:$BJ$53,Construction!$J$12:$BJ$12,"&lt;="&amp;Time!AR20),0)</f>
        <v/>
      </c>
      <c r="AS17" s="13">
        <f>Reserves!AS13+Reserves!AS8+Reserves!AS16+Waterfall!AS30+Waterfall!AS42+Reserves!AS17+IF(Time!AS20&lt;Time!$F$12,SUMIFS(Funding!$J$52:$BJ$52,Construction!$J$12:$BJ$12,"&lt;="&amp;Time!AS20)-SUMIFS(Funding!$J$53:$BJ$53,Construction!$J$12:$BJ$12,"&lt;="&amp;Time!AS20),0)</f>
        <v/>
      </c>
      <c r="AT17" s="13">
        <f>Reserves!AT13+Reserves!AT8+Reserves!AT16+Waterfall!AT30+Waterfall!AT42+Reserves!AT17+IF(Time!AT20&lt;Time!$F$12,SUMIFS(Funding!$J$52:$BJ$52,Construction!$J$12:$BJ$12,"&lt;="&amp;Time!AT20)-SUMIFS(Funding!$J$53:$BJ$53,Construction!$J$12:$BJ$12,"&lt;="&amp;Time!AT20),0)</f>
        <v/>
      </c>
      <c r="AU17" s="13">
        <f>Reserves!AU13+Reserves!AU8+Reserves!AU16+Waterfall!AU30+Waterfall!AU42+Reserves!AU17+IF(Time!AU20&lt;Time!$F$12,SUMIFS(Funding!$J$52:$BJ$52,Construction!$J$12:$BJ$12,"&lt;="&amp;Time!AU20)-SUMIFS(Funding!$J$53:$BJ$53,Construction!$J$12:$BJ$12,"&lt;="&amp;Time!AU20),0)</f>
        <v/>
      </c>
      <c r="AV17" s="13">
        <f>Reserves!AV13+Reserves!AV8+Reserves!AV16+Waterfall!AV30+Waterfall!AV42+Reserves!AV17+IF(Time!AV20&lt;Time!$F$12,SUMIFS(Funding!$J$52:$BJ$52,Construction!$J$12:$BJ$12,"&lt;="&amp;Time!AV20)-SUMIFS(Funding!$J$53:$BJ$53,Construction!$J$12:$BJ$12,"&lt;="&amp;Time!AV20),0)</f>
        <v/>
      </c>
      <c r="AW17" s="13">
        <f>Reserves!AW13+Reserves!AW8+Reserves!AW16+Waterfall!AW30+Waterfall!AW42+Reserves!AW17+IF(Time!AW20&lt;Time!$F$12,SUMIFS(Funding!$J$52:$BJ$52,Construction!$J$12:$BJ$12,"&lt;="&amp;Time!AW20)-SUMIFS(Funding!$J$53:$BJ$53,Construction!$J$12:$BJ$12,"&lt;="&amp;Time!AW20),0)</f>
        <v/>
      </c>
      <c r="AX17" s="13">
        <f>Reserves!AX13+Reserves!AX8+Reserves!AX16+Waterfall!AX30+Waterfall!AX42+Reserves!AX17+IF(Time!AX20&lt;Time!$F$12,SUMIFS(Funding!$J$52:$BJ$52,Construction!$J$12:$BJ$12,"&lt;="&amp;Time!AX20)-SUMIFS(Funding!$J$53:$BJ$53,Construction!$J$12:$BJ$12,"&lt;="&amp;Time!AX20),0)</f>
        <v/>
      </c>
      <c r="AY17" s="13">
        <f>Reserves!AY13+Reserves!AY8+Reserves!AY16+Waterfall!AY30+Waterfall!AY42+Reserves!AY17+IF(Time!AY20&lt;Time!$F$12,SUMIFS(Funding!$J$52:$BJ$52,Construction!$J$12:$BJ$12,"&lt;="&amp;Time!AY20)-SUMIFS(Funding!$J$53:$BJ$53,Construction!$J$12:$BJ$12,"&lt;="&amp;Time!AY20),0)</f>
        <v/>
      </c>
      <c r="AZ17" s="13">
        <f>Reserves!AZ13+Reserves!AZ8+Reserves!AZ16+Waterfall!AZ30+Waterfall!AZ42+Reserves!AZ17+IF(Time!AZ20&lt;Time!$F$12,SUMIFS(Funding!$J$52:$BJ$52,Construction!$J$12:$BJ$12,"&lt;="&amp;Time!AZ20)-SUMIFS(Funding!$J$53:$BJ$53,Construction!$J$12:$BJ$12,"&lt;="&amp;Time!AZ20),0)</f>
        <v/>
      </c>
      <c r="BA17" s="13">
        <f>Reserves!BA13+Reserves!BA8+Reserves!BA16+Waterfall!BA30+Waterfall!BA42+Reserves!BA17+IF(Time!BA20&lt;Time!$F$12,SUMIFS(Funding!$J$52:$BJ$52,Construction!$J$12:$BJ$12,"&lt;="&amp;Time!BA20)-SUMIFS(Funding!$J$53:$BJ$53,Construction!$J$12:$BJ$12,"&lt;="&amp;Time!BA20),0)</f>
        <v/>
      </c>
      <c r="BB17" s="13">
        <f>Reserves!BB13+Reserves!BB8+Reserves!BB16+Waterfall!BB30+Waterfall!BB42+Reserves!BB17+IF(Time!BB20&lt;Time!$F$12,SUMIFS(Funding!$J$52:$BJ$52,Construction!$J$12:$BJ$12,"&lt;="&amp;Time!BB20)-SUMIFS(Funding!$J$53:$BJ$53,Construction!$J$12:$BJ$12,"&lt;="&amp;Time!BB20),0)</f>
        <v/>
      </c>
      <c r="BC17" s="13">
        <f>Reserves!BC13+Reserves!BC8+Reserves!BC16+Waterfall!BC30+Waterfall!BC42+Reserves!BC17+IF(Time!BC20&lt;Time!$F$12,SUMIFS(Funding!$J$52:$BJ$52,Construction!$J$12:$BJ$12,"&lt;="&amp;Time!BC20)-SUMIFS(Funding!$J$53:$BJ$53,Construction!$J$12:$BJ$12,"&lt;="&amp;Time!BC20),0)</f>
        <v/>
      </c>
      <c r="BD17" s="13">
        <f>Reserves!BD13+Reserves!BD8+Reserves!BD16+Waterfall!BD30+Waterfall!BD42+Reserves!BD17+IF(Time!BD20&lt;Time!$F$12,SUMIFS(Funding!$J$52:$BJ$52,Construction!$J$12:$BJ$12,"&lt;="&amp;Time!BD20)-SUMIFS(Funding!$J$53:$BJ$53,Construction!$J$12:$BJ$12,"&lt;="&amp;Time!BD20),0)</f>
        <v/>
      </c>
      <c r="BE17" s="13">
        <f>Reserves!BE13+Reserves!BE8+Reserves!BE16+Waterfall!BE30+Waterfall!BE42+Reserves!BE17+IF(Time!BE20&lt;Time!$F$12,SUMIFS(Funding!$J$52:$BJ$52,Construction!$J$12:$BJ$12,"&lt;="&amp;Time!BE20)-SUMIFS(Funding!$J$53:$BJ$53,Construction!$J$12:$BJ$12,"&lt;="&amp;Time!BE20),0)</f>
        <v/>
      </c>
      <c r="BF17" s="13">
        <f>Reserves!BF13+Reserves!BF8+Reserves!BF16+Waterfall!BF30+Waterfall!BF42+Reserves!BF17+IF(Time!BF20&lt;Time!$F$12,SUMIFS(Funding!$J$52:$BJ$52,Construction!$J$12:$BJ$12,"&lt;="&amp;Time!BF20)-SUMIFS(Funding!$J$53:$BJ$53,Construction!$J$12:$BJ$12,"&lt;="&amp;Time!BF20),0)</f>
        <v/>
      </c>
      <c r="BG17" s="13">
        <f>Reserves!BG13+Reserves!BG8+Reserves!BG16+Waterfall!BG30+Waterfall!BG42+Reserves!BG17+IF(Time!BG20&lt;Time!$F$12,SUMIFS(Funding!$J$52:$BJ$52,Construction!$J$12:$BJ$12,"&lt;="&amp;Time!BG20)-SUMIFS(Funding!$J$53:$BJ$53,Construction!$J$12:$BJ$12,"&lt;="&amp;Time!BG20),0)</f>
        <v/>
      </c>
      <c r="BH17" s="13">
        <f>Reserves!BH13+Reserves!BH8+Reserves!BH16+Waterfall!BH30+Waterfall!BH42+Reserves!BH17+IF(Time!BH20&lt;Time!$F$12,SUMIFS(Funding!$J$52:$BJ$52,Construction!$J$12:$BJ$12,"&lt;="&amp;Time!BH20)-SUMIFS(Funding!$J$53:$BJ$53,Construction!$J$12:$BJ$12,"&lt;="&amp;Time!BH20),0)</f>
        <v/>
      </c>
      <c r="BI17" s="13">
        <f>Reserves!BI13+Reserves!BI8+Reserves!BI16+Waterfall!BI30+Waterfall!BI42+Reserves!BI17+IF(Time!BI20&lt;Time!$F$12,SUMIFS(Funding!$J$52:$BJ$52,Construction!$J$12:$BJ$12,"&lt;="&amp;Time!BI20)-SUMIFS(Funding!$J$53:$BJ$53,Construction!$J$12:$BJ$12,"&lt;="&amp;Time!BI20),0)</f>
        <v/>
      </c>
      <c r="BJ17" s="13">
        <f>Reserves!BJ13+Reserves!BJ8+Reserves!BJ16+Waterfall!BJ30+Waterfall!BJ42+Reserves!BJ17+IF(Time!BJ20&lt;Time!$F$12,SUMIFS(Funding!$J$52:$BJ$52,Construction!$J$12:$BJ$12,"&lt;="&amp;Time!BJ20)-SUMIFS(Funding!$J$53:$BJ$53,Construction!$J$12:$BJ$12,"&lt;="&amp;Time!BJ20),0)</f>
        <v/>
      </c>
      <c r="BK17" s="13">
        <f>Reserves!BK13+Reserves!BK8+Reserves!BK16+Waterfall!BK30+Waterfall!BK42+Reserves!BK17+IF(Time!BK20&lt;Time!$F$12,SUMIFS(Funding!$J$52:$BJ$52,Construction!$J$12:$BJ$12,"&lt;="&amp;Time!BK20)-SUMIFS(Funding!$J$53:$BJ$53,Construction!$J$12:$BJ$12,"&lt;="&amp;Time!BK20),0)</f>
        <v/>
      </c>
      <c r="BL17" s="13">
        <f>Reserves!BL13+Reserves!BL8+Reserves!BL16+Waterfall!BL30+Waterfall!BL42+Reserves!BL17+IF(Time!BL20&lt;Time!$F$12,SUMIFS(Funding!$J$52:$BJ$52,Construction!$J$12:$BJ$12,"&lt;="&amp;Time!BL20)-SUMIFS(Funding!$J$53:$BJ$53,Construction!$J$12:$BJ$12,"&lt;="&amp;Time!BL20),0)</f>
        <v/>
      </c>
      <c r="BM17" s="13">
        <f>Reserves!BM13+Reserves!BM8+Reserves!BM16+Waterfall!BM30+Waterfall!BM42+Reserves!BM17+IF(Time!BM20&lt;Time!$F$12,SUMIFS(Funding!$J$52:$BJ$52,Construction!$J$12:$BJ$12,"&lt;="&amp;Time!BM20)-SUMIFS(Funding!$J$53:$BJ$53,Construction!$J$12:$BJ$12,"&lt;="&amp;Time!BM20),0)</f>
        <v/>
      </c>
      <c r="BN17" s="13">
        <f>Reserves!BN13+Reserves!BN8+Reserves!BN16+Waterfall!BN30+Waterfall!BN42+Reserves!BN17+IF(Time!BN20&lt;Time!$F$12,SUMIFS(Funding!$J$52:$BJ$52,Construction!$J$12:$BJ$12,"&lt;="&amp;Time!BN20)-SUMIFS(Funding!$J$53:$BJ$53,Construction!$J$12:$BJ$12,"&lt;="&amp;Time!BN20),0)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3">
        <f>Operations!J88+Operations!J89</f>
        <v/>
      </c>
      <c r="K18" s="13">
        <f>Operations!K88+Operations!K89</f>
        <v/>
      </c>
      <c r="L18" s="13">
        <f>Operations!L88+Operations!L89</f>
        <v/>
      </c>
      <c r="M18" s="13">
        <f>Operations!M88+Operations!M89</f>
        <v/>
      </c>
      <c r="N18" s="13">
        <f>Operations!N88+Operations!N89</f>
        <v/>
      </c>
      <c r="O18" s="13">
        <f>Operations!O88+Operations!O89</f>
        <v/>
      </c>
      <c r="P18" s="13">
        <f>Operations!P88+Operations!P89</f>
        <v/>
      </c>
      <c r="Q18" s="13">
        <f>Operations!Q88+Operations!Q89</f>
        <v/>
      </c>
      <c r="R18" s="13">
        <f>Operations!R88+Operations!R89</f>
        <v/>
      </c>
      <c r="S18" s="13">
        <f>Operations!S88+Operations!S89</f>
        <v/>
      </c>
      <c r="T18" s="13">
        <f>Operations!T88+Operations!T89</f>
        <v/>
      </c>
      <c r="U18" s="13">
        <f>Operations!U88+Operations!U89</f>
        <v/>
      </c>
      <c r="V18" s="13">
        <f>Operations!V88+Operations!V89</f>
        <v/>
      </c>
      <c r="W18" s="13">
        <f>Operations!W88+Operations!W89</f>
        <v/>
      </c>
      <c r="X18" s="13">
        <f>Operations!X88+Operations!X89</f>
        <v/>
      </c>
      <c r="Y18" s="13">
        <f>Operations!Y88+Operations!Y89</f>
        <v/>
      </c>
      <c r="Z18" s="13">
        <f>Operations!Z88+Operations!Z89</f>
        <v/>
      </c>
      <c r="AA18" s="13">
        <f>Operations!AA88+Operations!AA89</f>
        <v/>
      </c>
      <c r="AB18" s="13">
        <f>Operations!AB88+Operations!AB89</f>
        <v/>
      </c>
      <c r="AC18" s="13">
        <f>Operations!AC88+Operations!AC89</f>
        <v/>
      </c>
      <c r="AD18" s="13">
        <f>Operations!AD88+Operations!AD89</f>
        <v/>
      </c>
      <c r="AE18" s="13">
        <f>Operations!AE88+Operations!AE89</f>
        <v/>
      </c>
      <c r="AF18" s="13">
        <f>Operations!AF88+Operations!AF89</f>
        <v/>
      </c>
      <c r="AG18" s="13">
        <f>Operations!AG88+Operations!AG89</f>
        <v/>
      </c>
      <c r="AH18" s="13">
        <f>Operations!AH88+Operations!AH89</f>
        <v/>
      </c>
      <c r="AI18" s="13">
        <f>Operations!AI88+Operations!AI89</f>
        <v/>
      </c>
      <c r="AJ18" s="13">
        <f>Operations!AJ88+Operations!AJ89</f>
        <v/>
      </c>
      <c r="AK18" s="13">
        <f>Operations!AK88+Operations!AK89</f>
        <v/>
      </c>
      <c r="AL18" s="13">
        <f>Operations!AL88+Operations!AL89</f>
        <v/>
      </c>
      <c r="AM18" s="13">
        <f>Operations!AM88+Operations!AM89</f>
        <v/>
      </c>
      <c r="AN18" s="13">
        <f>Operations!AN88+Operations!AN89</f>
        <v/>
      </c>
      <c r="AO18" s="13">
        <f>Operations!AO88+Operations!AO89</f>
        <v/>
      </c>
      <c r="AP18" s="13">
        <f>Operations!AP88+Operations!AP89</f>
        <v/>
      </c>
      <c r="AQ18" s="13">
        <f>Operations!AQ88+Operations!AQ89</f>
        <v/>
      </c>
      <c r="AR18" s="13">
        <f>Operations!AR88+Operations!AR89</f>
        <v/>
      </c>
      <c r="AS18" s="13">
        <f>Operations!AS88+Operations!AS89</f>
        <v/>
      </c>
      <c r="AT18" s="13">
        <f>Operations!AT88+Operations!AT89</f>
        <v/>
      </c>
      <c r="AU18" s="13">
        <f>Operations!AU88+Operations!AU89</f>
        <v/>
      </c>
      <c r="AV18" s="13">
        <f>Operations!AV88+Operations!AV89</f>
        <v/>
      </c>
      <c r="AW18" s="13">
        <f>Operations!AW88+Operations!AW89</f>
        <v/>
      </c>
      <c r="AX18" s="13">
        <f>Operations!AX88+Operations!AX89</f>
        <v/>
      </c>
      <c r="AY18" s="13">
        <f>Operations!AY88+Operations!AY89</f>
        <v/>
      </c>
      <c r="AZ18" s="13">
        <f>Operations!AZ88+Operations!AZ89</f>
        <v/>
      </c>
      <c r="BA18" s="13">
        <f>Operations!BA88+Operations!BA89</f>
        <v/>
      </c>
      <c r="BB18" s="13">
        <f>Operations!BB88+Operations!BB89</f>
        <v/>
      </c>
      <c r="BC18" s="13">
        <f>Operations!BC88+Operations!BC89</f>
        <v/>
      </c>
      <c r="BD18" s="13">
        <f>Operations!BD88+Operations!BD89</f>
        <v/>
      </c>
      <c r="BE18" s="13">
        <f>Operations!BE88+Operations!BE89</f>
        <v/>
      </c>
      <c r="BF18" s="13">
        <f>Operations!BF88+Operations!BF89</f>
        <v/>
      </c>
      <c r="BG18" s="13">
        <f>Operations!BG88+Operations!BG89</f>
        <v/>
      </c>
      <c r="BH18" s="13">
        <f>Operations!BH88+Operations!BH89</f>
        <v/>
      </c>
      <c r="BI18" s="13">
        <f>Operations!BI88+Operations!BI89</f>
        <v/>
      </c>
      <c r="BJ18" s="13">
        <f>Operations!BJ88+Operations!BJ89</f>
        <v/>
      </c>
      <c r="BK18" s="13">
        <f>Operations!BK88+Operations!BK89</f>
        <v/>
      </c>
      <c r="BL18" s="13">
        <f>Operations!BL88+Operations!BL89</f>
        <v/>
      </c>
      <c r="BM18" s="13">
        <f>Operations!BM88+Operations!BM89</f>
        <v/>
      </c>
      <c r="BN18" s="13">
        <f>Operations!BN88+Operations!BN89</f>
        <v/>
      </c>
    </row>
    <row r="19">
      <c r="D19" t="inlineStr">
        <is>
          <t>Spares inventory</t>
        </is>
      </c>
      <c r="E19" t="inlineStr">
        <is>
          <t>USD m</t>
        </is>
      </c>
      <c r="J19" s="13">
        <f>IF(Time!J20&lt;Time!$F$12,SUMIFS(Construction!$J$28:$BJ$28,Construction!$J$12:$BJ$12,"&lt;="&amp;Time!J20),IF(Time!J20&lt;Time!$F$15,Inputs!$F$67*Inputs!$F$36,0))</f>
        <v/>
      </c>
      <c r="K19" s="13">
        <f>IF(Time!K20&lt;Time!$F$12,SUMIFS(Construction!$J$28:$BJ$28,Construction!$J$12:$BJ$12,"&lt;="&amp;Time!K20),IF(Time!K20&lt;Time!$F$15,Inputs!$F$67*Inputs!$F$36,0))</f>
        <v/>
      </c>
      <c r="L19" s="13">
        <f>IF(Time!L20&lt;Time!$F$12,SUMIFS(Construction!$J$28:$BJ$28,Construction!$J$12:$BJ$12,"&lt;="&amp;Time!L20),IF(Time!L20&lt;Time!$F$15,Inputs!$F$67*Inputs!$F$36,0))</f>
        <v/>
      </c>
      <c r="M19" s="13">
        <f>IF(Time!M20&lt;Time!$F$12,SUMIFS(Construction!$J$28:$BJ$28,Construction!$J$12:$BJ$12,"&lt;="&amp;Time!M20),IF(Time!M20&lt;Time!$F$15,Inputs!$F$67*Inputs!$F$36,0))</f>
        <v/>
      </c>
      <c r="N19" s="13">
        <f>IF(Time!N20&lt;Time!$F$12,SUMIFS(Construction!$J$28:$BJ$28,Construction!$J$12:$BJ$12,"&lt;="&amp;Time!N20),IF(Time!N20&lt;Time!$F$15,Inputs!$F$67*Inputs!$F$36,0))</f>
        <v/>
      </c>
      <c r="O19" s="13">
        <f>IF(Time!O20&lt;Time!$F$12,SUMIFS(Construction!$J$28:$BJ$28,Construction!$J$12:$BJ$12,"&lt;="&amp;Time!O20),IF(Time!O20&lt;Time!$F$15,Inputs!$F$67*Inputs!$F$36,0))</f>
        <v/>
      </c>
      <c r="P19" s="13">
        <f>IF(Time!P20&lt;Time!$F$12,SUMIFS(Construction!$J$28:$BJ$28,Construction!$J$12:$BJ$12,"&lt;="&amp;Time!P20),IF(Time!P20&lt;Time!$F$15,Inputs!$F$67*Inputs!$F$36,0))</f>
        <v/>
      </c>
      <c r="Q19" s="13">
        <f>IF(Time!Q20&lt;Time!$F$12,SUMIFS(Construction!$J$28:$BJ$28,Construction!$J$12:$BJ$12,"&lt;="&amp;Time!Q20),IF(Time!Q20&lt;Time!$F$15,Inputs!$F$67*Inputs!$F$36,0))</f>
        <v/>
      </c>
      <c r="R19" s="13">
        <f>IF(Time!R20&lt;Time!$F$12,SUMIFS(Construction!$J$28:$BJ$28,Construction!$J$12:$BJ$12,"&lt;="&amp;Time!R20),IF(Time!R20&lt;Time!$F$15,Inputs!$F$67*Inputs!$F$36,0))</f>
        <v/>
      </c>
      <c r="S19" s="13">
        <f>IF(Time!S20&lt;Time!$F$12,SUMIFS(Construction!$J$28:$BJ$28,Construction!$J$12:$BJ$12,"&lt;="&amp;Time!S20),IF(Time!S20&lt;Time!$F$15,Inputs!$F$67*Inputs!$F$36,0))</f>
        <v/>
      </c>
      <c r="T19" s="13">
        <f>IF(Time!T20&lt;Time!$F$12,SUMIFS(Construction!$J$28:$BJ$28,Construction!$J$12:$BJ$12,"&lt;="&amp;Time!T20),IF(Time!T20&lt;Time!$F$15,Inputs!$F$67*Inputs!$F$36,0))</f>
        <v/>
      </c>
      <c r="U19" s="13">
        <f>IF(Time!U20&lt;Time!$F$12,SUMIFS(Construction!$J$28:$BJ$28,Construction!$J$12:$BJ$12,"&lt;="&amp;Time!U20),IF(Time!U20&lt;Time!$F$15,Inputs!$F$67*Inputs!$F$36,0))</f>
        <v/>
      </c>
      <c r="V19" s="13">
        <f>IF(Time!V20&lt;Time!$F$12,SUMIFS(Construction!$J$28:$BJ$28,Construction!$J$12:$BJ$12,"&lt;="&amp;Time!V20),IF(Time!V20&lt;Time!$F$15,Inputs!$F$67*Inputs!$F$36,0))</f>
        <v/>
      </c>
      <c r="W19" s="13">
        <f>IF(Time!W20&lt;Time!$F$12,SUMIFS(Construction!$J$28:$BJ$28,Construction!$J$12:$BJ$12,"&lt;="&amp;Time!W20),IF(Time!W20&lt;Time!$F$15,Inputs!$F$67*Inputs!$F$36,0))</f>
        <v/>
      </c>
      <c r="X19" s="13">
        <f>IF(Time!X20&lt;Time!$F$12,SUMIFS(Construction!$J$28:$BJ$28,Construction!$J$12:$BJ$12,"&lt;="&amp;Time!X20),IF(Time!X20&lt;Time!$F$15,Inputs!$F$67*Inputs!$F$36,0))</f>
        <v/>
      </c>
      <c r="Y19" s="13">
        <f>IF(Time!Y20&lt;Time!$F$12,SUMIFS(Construction!$J$28:$BJ$28,Construction!$J$12:$BJ$12,"&lt;="&amp;Time!Y20),IF(Time!Y20&lt;Time!$F$15,Inputs!$F$67*Inputs!$F$36,0))</f>
        <v/>
      </c>
      <c r="Z19" s="13">
        <f>IF(Time!Z20&lt;Time!$F$12,SUMIFS(Construction!$J$28:$BJ$28,Construction!$J$12:$BJ$12,"&lt;="&amp;Time!Z20),IF(Time!Z20&lt;Time!$F$15,Inputs!$F$67*Inputs!$F$36,0))</f>
        <v/>
      </c>
      <c r="AA19" s="13">
        <f>IF(Time!AA20&lt;Time!$F$12,SUMIFS(Construction!$J$28:$BJ$28,Construction!$J$12:$BJ$12,"&lt;="&amp;Time!AA20),IF(Time!AA20&lt;Time!$F$15,Inputs!$F$67*Inputs!$F$36,0))</f>
        <v/>
      </c>
      <c r="AB19" s="13">
        <f>IF(Time!AB20&lt;Time!$F$12,SUMIFS(Construction!$J$28:$BJ$28,Construction!$J$12:$BJ$12,"&lt;="&amp;Time!AB20),IF(Time!AB20&lt;Time!$F$15,Inputs!$F$67*Inputs!$F$36,0))</f>
        <v/>
      </c>
      <c r="AC19" s="13">
        <f>IF(Time!AC20&lt;Time!$F$12,SUMIFS(Construction!$J$28:$BJ$28,Construction!$J$12:$BJ$12,"&lt;="&amp;Time!AC20),IF(Time!AC20&lt;Time!$F$15,Inputs!$F$67*Inputs!$F$36,0))</f>
        <v/>
      </c>
      <c r="AD19" s="13">
        <f>IF(Time!AD20&lt;Time!$F$12,SUMIFS(Construction!$J$28:$BJ$28,Construction!$J$12:$BJ$12,"&lt;="&amp;Time!AD20),IF(Time!AD20&lt;Time!$F$15,Inputs!$F$67*Inputs!$F$36,0))</f>
        <v/>
      </c>
      <c r="AE19" s="13">
        <f>IF(Time!AE20&lt;Time!$F$12,SUMIFS(Construction!$J$28:$BJ$28,Construction!$J$12:$BJ$12,"&lt;="&amp;Time!AE20),IF(Time!AE20&lt;Time!$F$15,Inputs!$F$67*Inputs!$F$36,0))</f>
        <v/>
      </c>
      <c r="AF19" s="13">
        <f>IF(Time!AF20&lt;Time!$F$12,SUMIFS(Construction!$J$28:$BJ$28,Construction!$J$12:$BJ$12,"&lt;="&amp;Time!AF20),IF(Time!AF20&lt;Time!$F$15,Inputs!$F$67*Inputs!$F$36,0))</f>
        <v/>
      </c>
      <c r="AG19" s="13">
        <f>IF(Time!AG20&lt;Time!$F$12,SUMIFS(Construction!$J$28:$BJ$28,Construction!$J$12:$BJ$12,"&lt;="&amp;Time!AG20),IF(Time!AG20&lt;Time!$F$15,Inputs!$F$67*Inputs!$F$36,0))</f>
        <v/>
      </c>
      <c r="AH19" s="13">
        <f>IF(Time!AH20&lt;Time!$F$12,SUMIFS(Construction!$J$28:$BJ$28,Construction!$J$12:$BJ$12,"&lt;="&amp;Time!AH20),IF(Time!AH20&lt;Time!$F$15,Inputs!$F$67*Inputs!$F$36,0))</f>
        <v/>
      </c>
      <c r="AI19" s="13">
        <f>IF(Time!AI20&lt;Time!$F$12,SUMIFS(Construction!$J$28:$BJ$28,Construction!$J$12:$BJ$12,"&lt;="&amp;Time!AI20),IF(Time!AI20&lt;Time!$F$15,Inputs!$F$67*Inputs!$F$36,0))</f>
        <v/>
      </c>
      <c r="AJ19" s="13">
        <f>IF(Time!AJ20&lt;Time!$F$12,SUMIFS(Construction!$J$28:$BJ$28,Construction!$J$12:$BJ$12,"&lt;="&amp;Time!AJ20),IF(Time!AJ20&lt;Time!$F$15,Inputs!$F$67*Inputs!$F$36,0))</f>
        <v/>
      </c>
      <c r="AK19" s="13">
        <f>IF(Time!AK20&lt;Time!$F$12,SUMIFS(Construction!$J$28:$BJ$28,Construction!$J$12:$BJ$12,"&lt;="&amp;Time!AK20),IF(Time!AK20&lt;Time!$F$15,Inputs!$F$67*Inputs!$F$36,0))</f>
        <v/>
      </c>
      <c r="AL19" s="13">
        <f>IF(Time!AL20&lt;Time!$F$12,SUMIFS(Construction!$J$28:$BJ$28,Construction!$J$12:$BJ$12,"&lt;="&amp;Time!AL20),IF(Time!AL20&lt;Time!$F$15,Inputs!$F$67*Inputs!$F$36,0))</f>
        <v/>
      </c>
      <c r="AM19" s="13">
        <f>IF(Time!AM20&lt;Time!$F$12,SUMIFS(Construction!$J$28:$BJ$28,Construction!$J$12:$BJ$12,"&lt;="&amp;Time!AM20),IF(Time!AM20&lt;Time!$F$15,Inputs!$F$67*Inputs!$F$36,0))</f>
        <v/>
      </c>
      <c r="AN19" s="13">
        <f>IF(Time!AN20&lt;Time!$F$12,SUMIFS(Construction!$J$28:$BJ$28,Construction!$J$12:$BJ$12,"&lt;="&amp;Time!AN20),IF(Time!AN20&lt;Time!$F$15,Inputs!$F$67*Inputs!$F$36,0))</f>
        <v/>
      </c>
      <c r="AO19" s="13">
        <f>IF(Time!AO20&lt;Time!$F$12,SUMIFS(Construction!$J$28:$BJ$28,Construction!$J$12:$BJ$12,"&lt;="&amp;Time!AO20),IF(Time!AO20&lt;Time!$F$15,Inputs!$F$67*Inputs!$F$36,0))</f>
        <v/>
      </c>
      <c r="AP19" s="13">
        <f>IF(Time!AP20&lt;Time!$F$12,SUMIFS(Construction!$J$28:$BJ$28,Construction!$J$12:$BJ$12,"&lt;="&amp;Time!AP20),IF(Time!AP20&lt;Time!$F$15,Inputs!$F$67*Inputs!$F$36,0))</f>
        <v/>
      </c>
      <c r="AQ19" s="13">
        <f>IF(Time!AQ20&lt;Time!$F$12,SUMIFS(Construction!$J$28:$BJ$28,Construction!$J$12:$BJ$12,"&lt;="&amp;Time!AQ20),IF(Time!AQ20&lt;Time!$F$15,Inputs!$F$67*Inputs!$F$36,0))</f>
        <v/>
      </c>
      <c r="AR19" s="13">
        <f>IF(Time!AR20&lt;Time!$F$12,SUMIFS(Construction!$J$28:$BJ$28,Construction!$J$12:$BJ$12,"&lt;="&amp;Time!AR20),IF(Time!AR20&lt;Time!$F$15,Inputs!$F$67*Inputs!$F$36,0))</f>
        <v/>
      </c>
      <c r="AS19" s="13">
        <f>IF(Time!AS20&lt;Time!$F$12,SUMIFS(Construction!$J$28:$BJ$28,Construction!$J$12:$BJ$12,"&lt;="&amp;Time!AS20),IF(Time!AS20&lt;Time!$F$15,Inputs!$F$67*Inputs!$F$36,0))</f>
        <v/>
      </c>
      <c r="AT19" s="13">
        <f>IF(Time!AT20&lt;Time!$F$12,SUMIFS(Construction!$J$28:$BJ$28,Construction!$J$12:$BJ$12,"&lt;="&amp;Time!AT20),IF(Time!AT20&lt;Time!$F$15,Inputs!$F$67*Inputs!$F$36,0))</f>
        <v/>
      </c>
      <c r="AU19" s="13">
        <f>IF(Time!AU20&lt;Time!$F$12,SUMIFS(Construction!$J$28:$BJ$28,Construction!$J$12:$BJ$12,"&lt;="&amp;Time!AU20),IF(Time!AU20&lt;Time!$F$15,Inputs!$F$67*Inputs!$F$36,0))</f>
        <v/>
      </c>
      <c r="AV19" s="13">
        <f>IF(Time!AV20&lt;Time!$F$12,SUMIFS(Construction!$J$28:$BJ$28,Construction!$J$12:$BJ$12,"&lt;="&amp;Time!AV20),IF(Time!AV20&lt;Time!$F$15,Inputs!$F$67*Inputs!$F$36,0))</f>
        <v/>
      </c>
      <c r="AW19" s="13">
        <f>IF(Time!AW20&lt;Time!$F$12,SUMIFS(Construction!$J$28:$BJ$28,Construction!$J$12:$BJ$12,"&lt;="&amp;Time!AW20),IF(Time!AW20&lt;Time!$F$15,Inputs!$F$67*Inputs!$F$36,0))</f>
        <v/>
      </c>
      <c r="AX19" s="13">
        <f>IF(Time!AX20&lt;Time!$F$12,SUMIFS(Construction!$J$28:$BJ$28,Construction!$J$12:$BJ$12,"&lt;="&amp;Time!AX20),IF(Time!AX20&lt;Time!$F$15,Inputs!$F$67*Inputs!$F$36,0))</f>
        <v/>
      </c>
      <c r="AY19" s="13">
        <f>IF(Time!AY20&lt;Time!$F$12,SUMIFS(Construction!$J$28:$BJ$28,Construction!$J$12:$BJ$12,"&lt;="&amp;Time!AY20),IF(Time!AY20&lt;Time!$F$15,Inputs!$F$67*Inputs!$F$36,0))</f>
        <v/>
      </c>
      <c r="AZ19" s="13">
        <f>IF(Time!AZ20&lt;Time!$F$12,SUMIFS(Construction!$J$28:$BJ$28,Construction!$J$12:$BJ$12,"&lt;="&amp;Time!AZ20),IF(Time!AZ20&lt;Time!$F$15,Inputs!$F$67*Inputs!$F$36,0))</f>
        <v/>
      </c>
      <c r="BA19" s="13">
        <f>IF(Time!BA20&lt;Time!$F$12,SUMIFS(Construction!$J$28:$BJ$28,Construction!$J$12:$BJ$12,"&lt;="&amp;Time!BA20),IF(Time!BA20&lt;Time!$F$15,Inputs!$F$67*Inputs!$F$36,0))</f>
        <v/>
      </c>
      <c r="BB19" s="13">
        <f>IF(Time!BB20&lt;Time!$F$12,SUMIFS(Construction!$J$28:$BJ$28,Construction!$J$12:$BJ$12,"&lt;="&amp;Time!BB20),IF(Time!BB20&lt;Time!$F$15,Inputs!$F$67*Inputs!$F$36,0))</f>
        <v/>
      </c>
      <c r="BC19" s="13">
        <f>IF(Time!BC20&lt;Time!$F$12,SUMIFS(Construction!$J$28:$BJ$28,Construction!$J$12:$BJ$12,"&lt;="&amp;Time!BC20),IF(Time!BC20&lt;Time!$F$15,Inputs!$F$67*Inputs!$F$36,0))</f>
        <v/>
      </c>
      <c r="BD19" s="13">
        <f>IF(Time!BD20&lt;Time!$F$12,SUMIFS(Construction!$J$28:$BJ$28,Construction!$J$12:$BJ$12,"&lt;="&amp;Time!BD20),IF(Time!BD20&lt;Time!$F$15,Inputs!$F$67*Inputs!$F$36,0))</f>
        <v/>
      </c>
      <c r="BE19" s="13">
        <f>IF(Time!BE20&lt;Time!$F$12,SUMIFS(Construction!$J$28:$BJ$28,Construction!$J$12:$BJ$12,"&lt;="&amp;Time!BE20),IF(Time!BE20&lt;Time!$F$15,Inputs!$F$67*Inputs!$F$36,0))</f>
        <v/>
      </c>
      <c r="BF19" s="13">
        <f>IF(Time!BF20&lt;Time!$F$12,SUMIFS(Construction!$J$28:$BJ$28,Construction!$J$12:$BJ$12,"&lt;="&amp;Time!BF20),IF(Time!BF20&lt;Time!$F$15,Inputs!$F$67*Inputs!$F$36,0))</f>
        <v/>
      </c>
      <c r="BG19" s="13">
        <f>IF(Time!BG20&lt;Time!$F$12,SUMIFS(Construction!$J$28:$BJ$28,Construction!$J$12:$BJ$12,"&lt;="&amp;Time!BG20),IF(Time!BG20&lt;Time!$F$15,Inputs!$F$67*Inputs!$F$36,0))</f>
        <v/>
      </c>
      <c r="BH19" s="13">
        <f>IF(Time!BH20&lt;Time!$F$12,SUMIFS(Construction!$J$28:$BJ$28,Construction!$J$12:$BJ$12,"&lt;="&amp;Time!BH20),IF(Time!BH20&lt;Time!$F$15,Inputs!$F$67*Inputs!$F$36,0))</f>
        <v/>
      </c>
      <c r="BI19" s="13">
        <f>IF(Time!BI20&lt;Time!$F$12,SUMIFS(Construction!$J$28:$BJ$28,Construction!$J$12:$BJ$12,"&lt;="&amp;Time!BI20),IF(Time!BI20&lt;Time!$F$15,Inputs!$F$67*Inputs!$F$36,0))</f>
        <v/>
      </c>
      <c r="BJ19" s="13">
        <f>IF(Time!BJ20&lt;Time!$F$12,SUMIFS(Construction!$J$28:$BJ$28,Construction!$J$12:$BJ$12,"&lt;="&amp;Time!BJ20),IF(Time!BJ20&lt;Time!$F$15,Inputs!$F$67*Inputs!$F$36,0))</f>
        <v/>
      </c>
      <c r="BK19" s="13">
        <f>IF(Time!BK20&lt;Time!$F$12,SUMIFS(Construction!$J$28:$BJ$28,Construction!$J$12:$BJ$12,"&lt;="&amp;Time!BK20),IF(Time!BK20&lt;Time!$F$15,Inputs!$F$67*Inputs!$F$36,0))</f>
        <v/>
      </c>
      <c r="BL19" s="13">
        <f>IF(Time!BL20&lt;Time!$F$12,SUMIFS(Construction!$J$28:$BJ$28,Construction!$J$12:$BJ$12,"&lt;="&amp;Time!BL20),IF(Time!BL20&lt;Time!$F$15,Inputs!$F$67*Inputs!$F$36,0))</f>
        <v/>
      </c>
      <c r="BM19" s="13">
        <f>IF(Time!BM20&lt;Time!$F$12,SUMIFS(Construction!$J$28:$BJ$28,Construction!$J$12:$BJ$12,"&lt;="&amp;Time!BM20),IF(Time!BM20&lt;Time!$F$15,Inputs!$F$67*Inputs!$F$36,0))</f>
        <v/>
      </c>
      <c r="BN19" s="13">
        <f>IF(Time!BN20&lt;Time!$F$12,SUMIFS(Construction!$J$28:$BJ$28,Construction!$J$12:$BJ$12,"&lt;="&amp;Time!BN20),IF(Time!BN20&lt;Time!$F$15,Inputs!$F$67*Inputs!$F$36,0))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3">
        <f>MAX(0,-J12)</f>
        <v/>
      </c>
      <c r="K20" s="13">
        <f>MAX(0,-K12)</f>
        <v/>
      </c>
      <c r="L20" s="13">
        <f>MAX(0,-L12)</f>
        <v/>
      </c>
      <c r="M20" s="13">
        <f>MAX(0,-M12)</f>
        <v/>
      </c>
      <c r="N20" s="13">
        <f>MAX(0,-N12)</f>
        <v/>
      </c>
      <c r="O20" s="13">
        <f>MAX(0,-O12)</f>
        <v/>
      </c>
      <c r="P20" s="13">
        <f>MAX(0,-P12)</f>
        <v/>
      </c>
      <c r="Q20" s="13">
        <f>MAX(0,-Q12)</f>
        <v/>
      </c>
      <c r="R20" s="13">
        <f>MAX(0,-R12)</f>
        <v/>
      </c>
      <c r="S20" s="13">
        <f>MAX(0,-S12)</f>
        <v/>
      </c>
      <c r="T20" s="13">
        <f>MAX(0,-T12)</f>
        <v/>
      </c>
      <c r="U20" s="13">
        <f>MAX(0,-U12)</f>
        <v/>
      </c>
      <c r="V20" s="13">
        <f>MAX(0,-V12)</f>
        <v/>
      </c>
      <c r="W20" s="13">
        <f>MAX(0,-W12)</f>
        <v/>
      </c>
      <c r="X20" s="13">
        <f>MAX(0,-X12)</f>
        <v/>
      </c>
      <c r="Y20" s="13">
        <f>MAX(0,-Y12)</f>
        <v/>
      </c>
      <c r="Z20" s="13">
        <f>MAX(0,-Z12)</f>
        <v/>
      </c>
      <c r="AA20" s="13">
        <f>MAX(0,-AA12)</f>
        <v/>
      </c>
      <c r="AB20" s="13">
        <f>MAX(0,-AB12)</f>
        <v/>
      </c>
      <c r="AC20" s="13">
        <f>MAX(0,-AC12)</f>
        <v/>
      </c>
      <c r="AD20" s="13">
        <f>MAX(0,-AD12)</f>
        <v/>
      </c>
      <c r="AE20" s="13">
        <f>MAX(0,-AE12)</f>
        <v/>
      </c>
      <c r="AF20" s="13">
        <f>MAX(0,-AF12)</f>
        <v/>
      </c>
      <c r="AG20" s="13">
        <f>MAX(0,-AG12)</f>
        <v/>
      </c>
      <c r="AH20" s="13">
        <f>MAX(0,-AH12)</f>
        <v/>
      </c>
      <c r="AI20" s="13">
        <f>MAX(0,-AI12)</f>
        <v/>
      </c>
      <c r="AJ20" s="13">
        <f>MAX(0,-AJ12)</f>
        <v/>
      </c>
      <c r="AK20" s="13">
        <f>MAX(0,-AK12)</f>
        <v/>
      </c>
      <c r="AL20" s="13">
        <f>MAX(0,-AL12)</f>
        <v/>
      </c>
      <c r="AM20" s="13">
        <f>MAX(0,-AM12)</f>
        <v/>
      </c>
      <c r="AN20" s="13">
        <f>MAX(0,-AN12)</f>
        <v/>
      </c>
      <c r="AO20" s="13">
        <f>MAX(0,-AO12)</f>
        <v/>
      </c>
      <c r="AP20" s="13">
        <f>MAX(0,-AP12)</f>
        <v/>
      </c>
      <c r="AQ20" s="13">
        <f>MAX(0,-AQ12)</f>
        <v/>
      </c>
      <c r="AR20" s="13">
        <f>MAX(0,-AR12)</f>
        <v/>
      </c>
      <c r="AS20" s="13">
        <f>MAX(0,-AS12)</f>
        <v/>
      </c>
      <c r="AT20" s="13">
        <f>MAX(0,-AT12)</f>
        <v/>
      </c>
      <c r="AU20" s="13">
        <f>MAX(0,-AU12)</f>
        <v/>
      </c>
      <c r="AV20" s="13">
        <f>MAX(0,-AV12)</f>
        <v/>
      </c>
      <c r="AW20" s="13">
        <f>MAX(0,-AW12)</f>
        <v/>
      </c>
      <c r="AX20" s="13">
        <f>MAX(0,-AX12)</f>
        <v/>
      </c>
      <c r="AY20" s="13">
        <f>MAX(0,-AY12)</f>
        <v/>
      </c>
      <c r="AZ20" s="13">
        <f>MAX(0,-AZ12)</f>
        <v/>
      </c>
      <c r="BA20" s="13">
        <f>MAX(0,-BA12)</f>
        <v/>
      </c>
      <c r="BB20" s="13">
        <f>MAX(0,-BB12)</f>
        <v/>
      </c>
      <c r="BC20" s="13">
        <f>MAX(0,-BC12)</f>
        <v/>
      </c>
      <c r="BD20" s="13">
        <f>MAX(0,-BD12)</f>
        <v/>
      </c>
      <c r="BE20" s="13">
        <f>MAX(0,-BE12)</f>
        <v/>
      </c>
      <c r="BF20" s="13">
        <f>MAX(0,-BF12)</f>
        <v/>
      </c>
      <c r="BG20" s="13">
        <f>MAX(0,-BG12)</f>
        <v/>
      </c>
      <c r="BH20" s="13">
        <f>MAX(0,-BH12)</f>
        <v/>
      </c>
      <c r="BI20" s="13">
        <f>MAX(0,-BI12)</f>
        <v/>
      </c>
      <c r="BJ20" s="13">
        <f>MAX(0,-BJ12)</f>
        <v/>
      </c>
      <c r="BK20" s="13">
        <f>MAX(0,-BK12)</f>
        <v/>
      </c>
      <c r="BL20" s="13">
        <f>MAX(0,-BL12)</f>
        <v/>
      </c>
      <c r="BM20" s="13">
        <f>MAX(0,-BM12)</f>
        <v/>
      </c>
      <c r="BN20" s="13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3">
        <f>J16+J17+J18+J19+J20</f>
        <v/>
      </c>
      <c r="K21" s="13">
        <f>K16+K17+K18+K19+K20</f>
        <v/>
      </c>
      <c r="L21" s="13">
        <f>L16+L17+L18+L19+L20</f>
        <v/>
      </c>
      <c r="M21" s="13">
        <f>M16+M17+M18+M19+M20</f>
        <v/>
      </c>
      <c r="N21" s="13">
        <f>N16+N17+N18+N19+N20</f>
        <v/>
      </c>
      <c r="O21" s="13">
        <f>O16+O17+O18+O19+O20</f>
        <v/>
      </c>
      <c r="P21" s="13">
        <f>P16+P17+P18+P19+P20</f>
        <v/>
      </c>
      <c r="Q21" s="13">
        <f>Q16+Q17+Q18+Q19+Q20</f>
        <v/>
      </c>
      <c r="R21" s="13">
        <f>R16+R17+R18+R19+R20</f>
        <v/>
      </c>
      <c r="S21" s="13">
        <f>S16+S17+S18+S19+S20</f>
        <v/>
      </c>
      <c r="T21" s="13">
        <f>T16+T17+T18+T19+T20</f>
        <v/>
      </c>
      <c r="U21" s="13">
        <f>U16+U17+U18+U19+U20</f>
        <v/>
      </c>
      <c r="V21" s="13">
        <f>V16+V17+V18+V19+V20</f>
        <v/>
      </c>
      <c r="W21" s="13">
        <f>W16+W17+W18+W19+W20</f>
        <v/>
      </c>
      <c r="X21" s="13">
        <f>X16+X17+X18+X19+X20</f>
        <v/>
      </c>
      <c r="Y21" s="13">
        <f>Y16+Y17+Y18+Y19+Y20</f>
        <v/>
      </c>
      <c r="Z21" s="13">
        <f>Z16+Z17+Z18+Z19+Z20</f>
        <v/>
      </c>
      <c r="AA21" s="13">
        <f>AA16+AA17+AA18+AA19+AA20</f>
        <v/>
      </c>
      <c r="AB21" s="13">
        <f>AB16+AB17+AB18+AB19+AB20</f>
        <v/>
      </c>
      <c r="AC21" s="13">
        <f>AC16+AC17+AC18+AC19+AC20</f>
        <v/>
      </c>
      <c r="AD21" s="13">
        <f>AD16+AD17+AD18+AD19+AD20</f>
        <v/>
      </c>
      <c r="AE21" s="13">
        <f>AE16+AE17+AE18+AE19+AE20</f>
        <v/>
      </c>
      <c r="AF21" s="13">
        <f>AF16+AF17+AF18+AF19+AF20</f>
        <v/>
      </c>
      <c r="AG21" s="13">
        <f>AG16+AG17+AG18+AG19+AG20</f>
        <v/>
      </c>
      <c r="AH21" s="13">
        <f>AH16+AH17+AH18+AH19+AH20</f>
        <v/>
      </c>
      <c r="AI21" s="13">
        <f>AI16+AI17+AI18+AI19+AI20</f>
        <v/>
      </c>
      <c r="AJ21" s="13">
        <f>AJ16+AJ17+AJ18+AJ19+AJ20</f>
        <v/>
      </c>
      <c r="AK21" s="13">
        <f>AK16+AK17+AK18+AK19+AK20</f>
        <v/>
      </c>
      <c r="AL21" s="13">
        <f>AL16+AL17+AL18+AL19+AL20</f>
        <v/>
      </c>
      <c r="AM21" s="13">
        <f>AM16+AM17+AM18+AM19+AM20</f>
        <v/>
      </c>
      <c r="AN21" s="13">
        <f>AN16+AN17+AN18+AN19+AN20</f>
        <v/>
      </c>
      <c r="AO21" s="13">
        <f>AO16+AO17+AO18+AO19+AO20</f>
        <v/>
      </c>
      <c r="AP21" s="13">
        <f>AP16+AP17+AP18+AP19+AP20</f>
        <v/>
      </c>
      <c r="AQ21" s="13">
        <f>AQ16+AQ17+AQ18+AQ19+AQ20</f>
        <v/>
      </c>
      <c r="AR21" s="13">
        <f>AR16+AR17+AR18+AR19+AR20</f>
        <v/>
      </c>
      <c r="AS21" s="13">
        <f>AS16+AS17+AS18+AS19+AS20</f>
        <v/>
      </c>
      <c r="AT21" s="13">
        <f>AT16+AT17+AT18+AT19+AT20</f>
        <v/>
      </c>
      <c r="AU21" s="13">
        <f>AU16+AU17+AU18+AU19+AU20</f>
        <v/>
      </c>
      <c r="AV21" s="13">
        <f>AV16+AV17+AV18+AV19+AV20</f>
        <v/>
      </c>
      <c r="AW21" s="13">
        <f>AW16+AW17+AW18+AW19+AW20</f>
        <v/>
      </c>
      <c r="AX21" s="13">
        <f>AX16+AX17+AX18+AX19+AX20</f>
        <v/>
      </c>
      <c r="AY21" s="13">
        <f>AY16+AY17+AY18+AY19+AY20</f>
        <v/>
      </c>
      <c r="AZ21" s="13">
        <f>AZ16+AZ17+AZ18+AZ19+AZ20</f>
        <v/>
      </c>
      <c r="BA21" s="13">
        <f>BA16+BA17+BA18+BA19+BA20</f>
        <v/>
      </c>
      <c r="BB21" s="13">
        <f>BB16+BB17+BB18+BB19+BB20</f>
        <v/>
      </c>
      <c r="BC21" s="13">
        <f>BC16+BC17+BC18+BC19+BC20</f>
        <v/>
      </c>
      <c r="BD21" s="13">
        <f>BD16+BD17+BD18+BD19+BD20</f>
        <v/>
      </c>
      <c r="BE21" s="13">
        <f>BE16+BE17+BE18+BE19+BE20</f>
        <v/>
      </c>
      <c r="BF21" s="13">
        <f>BF16+BF17+BF18+BF19+BF20</f>
        <v/>
      </c>
      <c r="BG21" s="13">
        <f>BG16+BG17+BG18+BG19+BG20</f>
        <v/>
      </c>
      <c r="BH21" s="13">
        <f>BH16+BH17+BH18+BH19+BH20</f>
        <v/>
      </c>
      <c r="BI21" s="13">
        <f>BI16+BI17+BI18+BI19+BI20</f>
        <v/>
      </c>
      <c r="BJ21" s="13">
        <f>BJ16+BJ17+BJ18+BJ19+BJ20</f>
        <v/>
      </c>
      <c r="BK21" s="13">
        <f>BK16+BK17+BK18+BK19+BK20</f>
        <v/>
      </c>
      <c r="BL21" s="13">
        <f>BL16+BL17+BL18+BL19+BL20</f>
        <v/>
      </c>
      <c r="BM21" s="13">
        <f>BM16+BM17+BM18+BM19+BM20</f>
        <v/>
      </c>
      <c r="BN21" s="13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3">
        <f>IF(Time!J20&lt;Time!$F$12,SUMIFS(Funding!$J$73:$BJ$73,Construction!$J$12:$BJ$12,"&lt;="&amp;Time!J20),Debt!J116)</f>
        <v/>
      </c>
      <c r="K22" s="13">
        <f>IF(Time!K20&lt;Time!$F$12,SUMIFS(Funding!$J$73:$BJ$73,Construction!$J$12:$BJ$12,"&lt;="&amp;Time!K20),Debt!K116)</f>
        <v/>
      </c>
      <c r="L22" s="13">
        <f>IF(Time!L20&lt;Time!$F$12,SUMIFS(Funding!$J$73:$BJ$73,Construction!$J$12:$BJ$12,"&lt;="&amp;Time!L20),Debt!L116)</f>
        <v/>
      </c>
      <c r="M22" s="13">
        <f>IF(Time!M20&lt;Time!$F$12,SUMIFS(Funding!$J$73:$BJ$73,Construction!$J$12:$BJ$12,"&lt;="&amp;Time!M20),Debt!M116)</f>
        <v/>
      </c>
      <c r="N22" s="13">
        <f>IF(Time!N20&lt;Time!$F$12,SUMIFS(Funding!$J$73:$BJ$73,Construction!$J$12:$BJ$12,"&lt;="&amp;Time!N20),Debt!N116)</f>
        <v/>
      </c>
      <c r="O22" s="13">
        <f>IF(Time!O20&lt;Time!$F$12,SUMIFS(Funding!$J$73:$BJ$73,Construction!$J$12:$BJ$12,"&lt;="&amp;Time!O20),Debt!O116)</f>
        <v/>
      </c>
      <c r="P22" s="13">
        <f>IF(Time!P20&lt;Time!$F$12,SUMIFS(Funding!$J$73:$BJ$73,Construction!$J$12:$BJ$12,"&lt;="&amp;Time!P20),Debt!P116)</f>
        <v/>
      </c>
      <c r="Q22" s="13">
        <f>IF(Time!Q20&lt;Time!$F$12,SUMIFS(Funding!$J$73:$BJ$73,Construction!$J$12:$BJ$12,"&lt;="&amp;Time!Q20),Debt!Q116)</f>
        <v/>
      </c>
      <c r="R22" s="13">
        <f>IF(Time!R20&lt;Time!$F$12,SUMIFS(Funding!$J$73:$BJ$73,Construction!$J$12:$BJ$12,"&lt;="&amp;Time!R20),Debt!R116)</f>
        <v/>
      </c>
      <c r="S22" s="13">
        <f>IF(Time!S20&lt;Time!$F$12,SUMIFS(Funding!$J$73:$BJ$73,Construction!$J$12:$BJ$12,"&lt;="&amp;Time!S20),Debt!S116)</f>
        <v/>
      </c>
      <c r="T22" s="13">
        <f>IF(Time!T20&lt;Time!$F$12,SUMIFS(Funding!$J$73:$BJ$73,Construction!$J$12:$BJ$12,"&lt;="&amp;Time!T20),Debt!T116)</f>
        <v/>
      </c>
      <c r="U22" s="13">
        <f>IF(Time!U20&lt;Time!$F$12,SUMIFS(Funding!$J$73:$BJ$73,Construction!$J$12:$BJ$12,"&lt;="&amp;Time!U20),Debt!U116)</f>
        <v/>
      </c>
      <c r="V22" s="13">
        <f>IF(Time!V20&lt;Time!$F$12,SUMIFS(Funding!$J$73:$BJ$73,Construction!$J$12:$BJ$12,"&lt;="&amp;Time!V20),Debt!V116)</f>
        <v/>
      </c>
      <c r="W22" s="13">
        <f>IF(Time!W20&lt;Time!$F$12,SUMIFS(Funding!$J$73:$BJ$73,Construction!$J$12:$BJ$12,"&lt;="&amp;Time!W20),Debt!W116)</f>
        <v/>
      </c>
      <c r="X22" s="13">
        <f>IF(Time!X20&lt;Time!$F$12,SUMIFS(Funding!$J$73:$BJ$73,Construction!$J$12:$BJ$12,"&lt;="&amp;Time!X20),Debt!X116)</f>
        <v/>
      </c>
      <c r="Y22" s="13">
        <f>IF(Time!Y20&lt;Time!$F$12,SUMIFS(Funding!$J$73:$BJ$73,Construction!$J$12:$BJ$12,"&lt;="&amp;Time!Y20),Debt!Y116)</f>
        <v/>
      </c>
      <c r="Z22" s="13">
        <f>IF(Time!Z20&lt;Time!$F$12,SUMIFS(Funding!$J$73:$BJ$73,Construction!$J$12:$BJ$12,"&lt;="&amp;Time!Z20),Debt!Z116)</f>
        <v/>
      </c>
      <c r="AA22" s="13">
        <f>IF(Time!AA20&lt;Time!$F$12,SUMIFS(Funding!$J$73:$BJ$73,Construction!$J$12:$BJ$12,"&lt;="&amp;Time!AA20),Debt!AA116)</f>
        <v/>
      </c>
      <c r="AB22" s="13">
        <f>IF(Time!AB20&lt;Time!$F$12,SUMIFS(Funding!$J$73:$BJ$73,Construction!$J$12:$BJ$12,"&lt;="&amp;Time!AB20),Debt!AB116)</f>
        <v/>
      </c>
      <c r="AC22" s="13">
        <f>IF(Time!AC20&lt;Time!$F$12,SUMIFS(Funding!$J$73:$BJ$73,Construction!$J$12:$BJ$12,"&lt;="&amp;Time!AC20),Debt!AC116)</f>
        <v/>
      </c>
      <c r="AD22" s="13">
        <f>IF(Time!AD20&lt;Time!$F$12,SUMIFS(Funding!$J$73:$BJ$73,Construction!$J$12:$BJ$12,"&lt;="&amp;Time!AD20),Debt!AD116)</f>
        <v/>
      </c>
      <c r="AE22" s="13">
        <f>IF(Time!AE20&lt;Time!$F$12,SUMIFS(Funding!$J$73:$BJ$73,Construction!$J$12:$BJ$12,"&lt;="&amp;Time!AE20),Debt!AE116)</f>
        <v/>
      </c>
      <c r="AF22" s="13">
        <f>IF(Time!AF20&lt;Time!$F$12,SUMIFS(Funding!$J$73:$BJ$73,Construction!$J$12:$BJ$12,"&lt;="&amp;Time!AF20),Debt!AF116)</f>
        <v/>
      </c>
      <c r="AG22" s="13">
        <f>IF(Time!AG20&lt;Time!$F$12,SUMIFS(Funding!$J$73:$BJ$73,Construction!$J$12:$BJ$12,"&lt;="&amp;Time!AG20),Debt!AG116)</f>
        <v/>
      </c>
      <c r="AH22" s="13">
        <f>IF(Time!AH20&lt;Time!$F$12,SUMIFS(Funding!$J$73:$BJ$73,Construction!$J$12:$BJ$12,"&lt;="&amp;Time!AH20),Debt!AH116)</f>
        <v/>
      </c>
      <c r="AI22" s="13">
        <f>IF(Time!AI20&lt;Time!$F$12,SUMIFS(Funding!$J$73:$BJ$73,Construction!$J$12:$BJ$12,"&lt;="&amp;Time!AI20),Debt!AI116)</f>
        <v/>
      </c>
      <c r="AJ22" s="13">
        <f>IF(Time!AJ20&lt;Time!$F$12,SUMIFS(Funding!$J$73:$BJ$73,Construction!$J$12:$BJ$12,"&lt;="&amp;Time!AJ20),Debt!AJ116)</f>
        <v/>
      </c>
      <c r="AK22" s="13">
        <f>IF(Time!AK20&lt;Time!$F$12,SUMIFS(Funding!$J$73:$BJ$73,Construction!$J$12:$BJ$12,"&lt;="&amp;Time!AK20),Debt!AK116)</f>
        <v/>
      </c>
      <c r="AL22" s="13">
        <f>IF(Time!AL20&lt;Time!$F$12,SUMIFS(Funding!$J$73:$BJ$73,Construction!$J$12:$BJ$12,"&lt;="&amp;Time!AL20),Debt!AL116)</f>
        <v/>
      </c>
      <c r="AM22" s="13">
        <f>IF(Time!AM20&lt;Time!$F$12,SUMIFS(Funding!$J$73:$BJ$73,Construction!$J$12:$BJ$12,"&lt;="&amp;Time!AM20),Debt!AM116)</f>
        <v/>
      </c>
      <c r="AN22" s="13">
        <f>IF(Time!AN20&lt;Time!$F$12,SUMIFS(Funding!$J$73:$BJ$73,Construction!$J$12:$BJ$12,"&lt;="&amp;Time!AN20),Debt!AN116)</f>
        <v/>
      </c>
      <c r="AO22" s="13">
        <f>IF(Time!AO20&lt;Time!$F$12,SUMIFS(Funding!$J$73:$BJ$73,Construction!$J$12:$BJ$12,"&lt;="&amp;Time!AO20),Debt!AO116)</f>
        <v/>
      </c>
      <c r="AP22" s="13">
        <f>IF(Time!AP20&lt;Time!$F$12,SUMIFS(Funding!$J$73:$BJ$73,Construction!$J$12:$BJ$12,"&lt;="&amp;Time!AP20),Debt!AP116)</f>
        <v/>
      </c>
      <c r="AQ22" s="13">
        <f>IF(Time!AQ20&lt;Time!$F$12,SUMIFS(Funding!$J$73:$BJ$73,Construction!$J$12:$BJ$12,"&lt;="&amp;Time!AQ20),Debt!AQ116)</f>
        <v/>
      </c>
      <c r="AR22" s="13">
        <f>IF(Time!AR20&lt;Time!$F$12,SUMIFS(Funding!$J$73:$BJ$73,Construction!$J$12:$BJ$12,"&lt;="&amp;Time!AR20),Debt!AR116)</f>
        <v/>
      </c>
      <c r="AS22" s="13">
        <f>IF(Time!AS20&lt;Time!$F$12,SUMIFS(Funding!$J$73:$BJ$73,Construction!$J$12:$BJ$12,"&lt;="&amp;Time!AS20),Debt!AS116)</f>
        <v/>
      </c>
      <c r="AT22" s="13">
        <f>IF(Time!AT20&lt;Time!$F$12,SUMIFS(Funding!$J$73:$BJ$73,Construction!$J$12:$BJ$12,"&lt;="&amp;Time!AT20),Debt!AT116)</f>
        <v/>
      </c>
      <c r="AU22" s="13">
        <f>IF(Time!AU20&lt;Time!$F$12,SUMIFS(Funding!$J$73:$BJ$73,Construction!$J$12:$BJ$12,"&lt;="&amp;Time!AU20),Debt!AU116)</f>
        <v/>
      </c>
      <c r="AV22" s="13">
        <f>IF(Time!AV20&lt;Time!$F$12,SUMIFS(Funding!$J$73:$BJ$73,Construction!$J$12:$BJ$12,"&lt;="&amp;Time!AV20),Debt!AV116)</f>
        <v/>
      </c>
      <c r="AW22" s="13">
        <f>IF(Time!AW20&lt;Time!$F$12,SUMIFS(Funding!$J$73:$BJ$73,Construction!$J$12:$BJ$12,"&lt;="&amp;Time!AW20),Debt!AW116)</f>
        <v/>
      </c>
      <c r="AX22" s="13">
        <f>IF(Time!AX20&lt;Time!$F$12,SUMIFS(Funding!$J$73:$BJ$73,Construction!$J$12:$BJ$12,"&lt;="&amp;Time!AX20),Debt!AX116)</f>
        <v/>
      </c>
      <c r="AY22" s="13">
        <f>IF(Time!AY20&lt;Time!$F$12,SUMIFS(Funding!$J$73:$BJ$73,Construction!$J$12:$BJ$12,"&lt;="&amp;Time!AY20),Debt!AY116)</f>
        <v/>
      </c>
      <c r="AZ22" s="13">
        <f>IF(Time!AZ20&lt;Time!$F$12,SUMIFS(Funding!$J$73:$BJ$73,Construction!$J$12:$BJ$12,"&lt;="&amp;Time!AZ20),Debt!AZ116)</f>
        <v/>
      </c>
      <c r="BA22" s="13">
        <f>IF(Time!BA20&lt;Time!$F$12,SUMIFS(Funding!$J$73:$BJ$73,Construction!$J$12:$BJ$12,"&lt;="&amp;Time!BA20),Debt!BA116)</f>
        <v/>
      </c>
      <c r="BB22" s="13">
        <f>IF(Time!BB20&lt;Time!$F$12,SUMIFS(Funding!$J$73:$BJ$73,Construction!$J$12:$BJ$12,"&lt;="&amp;Time!BB20),Debt!BB116)</f>
        <v/>
      </c>
      <c r="BC22" s="13">
        <f>IF(Time!BC20&lt;Time!$F$12,SUMIFS(Funding!$J$73:$BJ$73,Construction!$J$12:$BJ$12,"&lt;="&amp;Time!BC20),Debt!BC116)</f>
        <v/>
      </c>
      <c r="BD22" s="13">
        <f>IF(Time!BD20&lt;Time!$F$12,SUMIFS(Funding!$J$73:$BJ$73,Construction!$J$12:$BJ$12,"&lt;="&amp;Time!BD20),Debt!BD116)</f>
        <v/>
      </c>
      <c r="BE22" s="13">
        <f>IF(Time!BE20&lt;Time!$F$12,SUMIFS(Funding!$J$73:$BJ$73,Construction!$J$12:$BJ$12,"&lt;="&amp;Time!BE20),Debt!BE116)</f>
        <v/>
      </c>
      <c r="BF22" s="13">
        <f>IF(Time!BF20&lt;Time!$F$12,SUMIFS(Funding!$J$73:$BJ$73,Construction!$J$12:$BJ$12,"&lt;="&amp;Time!BF20),Debt!BF116)</f>
        <v/>
      </c>
      <c r="BG22" s="13">
        <f>IF(Time!BG20&lt;Time!$F$12,SUMIFS(Funding!$J$73:$BJ$73,Construction!$J$12:$BJ$12,"&lt;="&amp;Time!BG20),Debt!BG116)</f>
        <v/>
      </c>
      <c r="BH22" s="13">
        <f>IF(Time!BH20&lt;Time!$F$12,SUMIFS(Funding!$J$73:$BJ$73,Construction!$J$12:$BJ$12,"&lt;="&amp;Time!BH20),Debt!BH116)</f>
        <v/>
      </c>
      <c r="BI22" s="13">
        <f>IF(Time!BI20&lt;Time!$F$12,SUMIFS(Funding!$J$73:$BJ$73,Construction!$J$12:$BJ$12,"&lt;="&amp;Time!BI20),Debt!BI116)</f>
        <v/>
      </c>
      <c r="BJ22" s="13">
        <f>IF(Time!BJ20&lt;Time!$F$12,SUMIFS(Funding!$J$73:$BJ$73,Construction!$J$12:$BJ$12,"&lt;="&amp;Time!BJ20),Debt!BJ116)</f>
        <v/>
      </c>
      <c r="BK22" s="13">
        <f>IF(Time!BK20&lt;Time!$F$12,SUMIFS(Funding!$J$73:$BJ$73,Construction!$J$12:$BJ$12,"&lt;="&amp;Time!BK20),Debt!BK116)</f>
        <v/>
      </c>
      <c r="BL22" s="13">
        <f>IF(Time!BL20&lt;Time!$F$12,SUMIFS(Funding!$J$73:$BJ$73,Construction!$J$12:$BJ$12,"&lt;="&amp;Time!BL20),Debt!BL116)</f>
        <v/>
      </c>
      <c r="BM22" s="13">
        <f>IF(Time!BM20&lt;Time!$F$12,SUMIFS(Funding!$J$73:$BJ$73,Construction!$J$12:$BJ$12,"&lt;="&amp;Time!BM20),Debt!BM116)</f>
        <v/>
      </c>
      <c r="BN22" s="13">
        <f>IF(Time!BN20&lt;Time!$F$12,SUMIFS(Funding!$J$73:$BJ$73,Construction!$J$12:$BJ$12,"&lt;="&amp;Time!BN20),Debt!BN116)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3">
        <f>IF(Time!J20&lt;Time!$F$12,SUMIFS(Funding!$J$70:$BJ$70,Construction!$J$12:$BJ$12,"&lt;="&amp;Time!J20)+SUMIFS(Funding!$J$71:$BJ$71,Construction!$J$12:$BJ$12,"&lt;="&amp;Time!J20),Waterfall!J36)</f>
        <v/>
      </c>
      <c r="K23" s="13">
        <f>IF(Time!K20&lt;Time!$F$12,SUMIFS(Funding!$J$70:$BJ$70,Construction!$J$12:$BJ$12,"&lt;="&amp;Time!K20)+SUMIFS(Funding!$J$71:$BJ$71,Construction!$J$12:$BJ$12,"&lt;="&amp;Time!K20),Waterfall!K36)</f>
        <v/>
      </c>
      <c r="L23" s="13">
        <f>IF(Time!L20&lt;Time!$F$12,SUMIFS(Funding!$J$70:$BJ$70,Construction!$J$12:$BJ$12,"&lt;="&amp;Time!L20)+SUMIFS(Funding!$J$71:$BJ$71,Construction!$J$12:$BJ$12,"&lt;="&amp;Time!L20),Waterfall!L36)</f>
        <v/>
      </c>
      <c r="M23" s="13">
        <f>IF(Time!M20&lt;Time!$F$12,SUMIFS(Funding!$J$70:$BJ$70,Construction!$J$12:$BJ$12,"&lt;="&amp;Time!M20)+SUMIFS(Funding!$J$71:$BJ$71,Construction!$J$12:$BJ$12,"&lt;="&amp;Time!M20),Waterfall!M36)</f>
        <v/>
      </c>
      <c r="N23" s="13">
        <f>IF(Time!N20&lt;Time!$F$12,SUMIFS(Funding!$J$70:$BJ$70,Construction!$J$12:$BJ$12,"&lt;="&amp;Time!N20)+SUMIFS(Funding!$J$71:$BJ$71,Construction!$J$12:$BJ$12,"&lt;="&amp;Time!N20),Waterfall!N36)</f>
        <v/>
      </c>
      <c r="O23" s="13">
        <f>IF(Time!O20&lt;Time!$F$12,SUMIFS(Funding!$J$70:$BJ$70,Construction!$J$12:$BJ$12,"&lt;="&amp;Time!O20)+SUMIFS(Funding!$J$71:$BJ$71,Construction!$J$12:$BJ$12,"&lt;="&amp;Time!O20),Waterfall!O36)</f>
        <v/>
      </c>
      <c r="P23" s="13">
        <f>IF(Time!P20&lt;Time!$F$12,SUMIFS(Funding!$J$70:$BJ$70,Construction!$J$12:$BJ$12,"&lt;="&amp;Time!P20)+SUMIFS(Funding!$J$71:$BJ$71,Construction!$J$12:$BJ$12,"&lt;="&amp;Time!P20),Waterfall!P36)</f>
        <v/>
      </c>
      <c r="Q23" s="13">
        <f>IF(Time!Q20&lt;Time!$F$12,SUMIFS(Funding!$J$70:$BJ$70,Construction!$J$12:$BJ$12,"&lt;="&amp;Time!Q20)+SUMIFS(Funding!$J$71:$BJ$71,Construction!$J$12:$BJ$12,"&lt;="&amp;Time!Q20),Waterfall!Q36)</f>
        <v/>
      </c>
      <c r="R23" s="13">
        <f>IF(Time!R20&lt;Time!$F$12,SUMIFS(Funding!$J$70:$BJ$70,Construction!$J$12:$BJ$12,"&lt;="&amp;Time!R20)+SUMIFS(Funding!$J$71:$BJ$71,Construction!$J$12:$BJ$12,"&lt;="&amp;Time!R20),Waterfall!R36)</f>
        <v/>
      </c>
      <c r="S23" s="13">
        <f>IF(Time!S20&lt;Time!$F$12,SUMIFS(Funding!$J$70:$BJ$70,Construction!$J$12:$BJ$12,"&lt;="&amp;Time!S20)+SUMIFS(Funding!$J$71:$BJ$71,Construction!$J$12:$BJ$12,"&lt;="&amp;Time!S20),Waterfall!S36)</f>
        <v/>
      </c>
      <c r="T23" s="13">
        <f>IF(Time!T20&lt;Time!$F$12,SUMIFS(Funding!$J$70:$BJ$70,Construction!$J$12:$BJ$12,"&lt;="&amp;Time!T20)+SUMIFS(Funding!$J$71:$BJ$71,Construction!$J$12:$BJ$12,"&lt;="&amp;Time!T20),Waterfall!T36)</f>
        <v/>
      </c>
      <c r="U23" s="13">
        <f>IF(Time!U20&lt;Time!$F$12,SUMIFS(Funding!$J$70:$BJ$70,Construction!$J$12:$BJ$12,"&lt;="&amp;Time!U20)+SUMIFS(Funding!$J$71:$BJ$71,Construction!$J$12:$BJ$12,"&lt;="&amp;Time!U20),Waterfall!U36)</f>
        <v/>
      </c>
      <c r="V23" s="13">
        <f>IF(Time!V20&lt;Time!$F$12,SUMIFS(Funding!$J$70:$BJ$70,Construction!$J$12:$BJ$12,"&lt;="&amp;Time!V20)+SUMIFS(Funding!$J$71:$BJ$71,Construction!$J$12:$BJ$12,"&lt;="&amp;Time!V20),Waterfall!V36)</f>
        <v/>
      </c>
      <c r="W23" s="13">
        <f>IF(Time!W20&lt;Time!$F$12,SUMIFS(Funding!$J$70:$BJ$70,Construction!$J$12:$BJ$12,"&lt;="&amp;Time!W20)+SUMIFS(Funding!$J$71:$BJ$71,Construction!$J$12:$BJ$12,"&lt;="&amp;Time!W20),Waterfall!W36)</f>
        <v/>
      </c>
      <c r="X23" s="13">
        <f>IF(Time!X20&lt;Time!$F$12,SUMIFS(Funding!$J$70:$BJ$70,Construction!$J$12:$BJ$12,"&lt;="&amp;Time!X20)+SUMIFS(Funding!$J$71:$BJ$71,Construction!$J$12:$BJ$12,"&lt;="&amp;Time!X20),Waterfall!X36)</f>
        <v/>
      </c>
      <c r="Y23" s="13">
        <f>IF(Time!Y20&lt;Time!$F$12,SUMIFS(Funding!$J$70:$BJ$70,Construction!$J$12:$BJ$12,"&lt;="&amp;Time!Y20)+SUMIFS(Funding!$J$71:$BJ$71,Construction!$J$12:$BJ$12,"&lt;="&amp;Time!Y20),Waterfall!Y36)</f>
        <v/>
      </c>
      <c r="Z23" s="13">
        <f>IF(Time!Z20&lt;Time!$F$12,SUMIFS(Funding!$J$70:$BJ$70,Construction!$J$12:$BJ$12,"&lt;="&amp;Time!Z20)+SUMIFS(Funding!$J$71:$BJ$71,Construction!$J$12:$BJ$12,"&lt;="&amp;Time!Z20),Waterfall!Z36)</f>
        <v/>
      </c>
      <c r="AA23" s="13">
        <f>IF(Time!AA20&lt;Time!$F$12,SUMIFS(Funding!$J$70:$BJ$70,Construction!$J$12:$BJ$12,"&lt;="&amp;Time!AA20)+SUMIFS(Funding!$J$71:$BJ$71,Construction!$J$12:$BJ$12,"&lt;="&amp;Time!AA20),Waterfall!AA36)</f>
        <v/>
      </c>
      <c r="AB23" s="13">
        <f>IF(Time!AB20&lt;Time!$F$12,SUMIFS(Funding!$J$70:$BJ$70,Construction!$J$12:$BJ$12,"&lt;="&amp;Time!AB20)+SUMIFS(Funding!$J$71:$BJ$71,Construction!$J$12:$BJ$12,"&lt;="&amp;Time!AB20),Waterfall!AB36)</f>
        <v/>
      </c>
      <c r="AC23" s="13">
        <f>IF(Time!AC20&lt;Time!$F$12,SUMIFS(Funding!$J$70:$BJ$70,Construction!$J$12:$BJ$12,"&lt;="&amp;Time!AC20)+SUMIFS(Funding!$J$71:$BJ$71,Construction!$J$12:$BJ$12,"&lt;="&amp;Time!AC20),Waterfall!AC36)</f>
        <v/>
      </c>
      <c r="AD23" s="13">
        <f>IF(Time!AD20&lt;Time!$F$12,SUMIFS(Funding!$J$70:$BJ$70,Construction!$J$12:$BJ$12,"&lt;="&amp;Time!AD20)+SUMIFS(Funding!$J$71:$BJ$71,Construction!$J$12:$BJ$12,"&lt;="&amp;Time!AD20),Waterfall!AD36)</f>
        <v/>
      </c>
      <c r="AE23" s="13">
        <f>IF(Time!AE20&lt;Time!$F$12,SUMIFS(Funding!$J$70:$BJ$70,Construction!$J$12:$BJ$12,"&lt;="&amp;Time!AE20)+SUMIFS(Funding!$J$71:$BJ$71,Construction!$J$12:$BJ$12,"&lt;="&amp;Time!AE20),Waterfall!AE36)</f>
        <v/>
      </c>
      <c r="AF23" s="13">
        <f>IF(Time!AF20&lt;Time!$F$12,SUMIFS(Funding!$J$70:$BJ$70,Construction!$J$12:$BJ$12,"&lt;="&amp;Time!AF20)+SUMIFS(Funding!$J$71:$BJ$71,Construction!$J$12:$BJ$12,"&lt;="&amp;Time!AF20),Waterfall!AF36)</f>
        <v/>
      </c>
      <c r="AG23" s="13">
        <f>IF(Time!AG20&lt;Time!$F$12,SUMIFS(Funding!$J$70:$BJ$70,Construction!$J$12:$BJ$12,"&lt;="&amp;Time!AG20)+SUMIFS(Funding!$J$71:$BJ$71,Construction!$J$12:$BJ$12,"&lt;="&amp;Time!AG20),Waterfall!AG36)</f>
        <v/>
      </c>
      <c r="AH23" s="13">
        <f>IF(Time!AH20&lt;Time!$F$12,SUMIFS(Funding!$J$70:$BJ$70,Construction!$J$12:$BJ$12,"&lt;="&amp;Time!AH20)+SUMIFS(Funding!$J$71:$BJ$71,Construction!$J$12:$BJ$12,"&lt;="&amp;Time!AH20),Waterfall!AH36)</f>
        <v/>
      </c>
      <c r="AI23" s="13">
        <f>IF(Time!AI20&lt;Time!$F$12,SUMIFS(Funding!$J$70:$BJ$70,Construction!$J$12:$BJ$12,"&lt;="&amp;Time!AI20)+SUMIFS(Funding!$J$71:$BJ$71,Construction!$J$12:$BJ$12,"&lt;="&amp;Time!AI20),Waterfall!AI36)</f>
        <v/>
      </c>
      <c r="AJ23" s="13">
        <f>IF(Time!AJ20&lt;Time!$F$12,SUMIFS(Funding!$J$70:$BJ$70,Construction!$J$12:$BJ$12,"&lt;="&amp;Time!AJ20)+SUMIFS(Funding!$J$71:$BJ$71,Construction!$J$12:$BJ$12,"&lt;="&amp;Time!AJ20),Waterfall!AJ36)</f>
        <v/>
      </c>
      <c r="AK23" s="13">
        <f>IF(Time!AK20&lt;Time!$F$12,SUMIFS(Funding!$J$70:$BJ$70,Construction!$J$12:$BJ$12,"&lt;="&amp;Time!AK20)+SUMIFS(Funding!$J$71:$BJ$71,Construction!$J$12:$BJ$12,"&lt;="&amp;Time!AK20),Waterfall!AK36)</f>
        <v/>
      </c>
      <c r="AL23" s="13">
        <f>IF(Time!AL20&lt;Time!$F$12,SUMIFS(Funding!$J$70:$BJ$70,Construction!$J$12:$BJ$12,"&lt;="&amp;Time!AL20)+SUMIFS(Funding!$J$71:$BJ$71,Construction!$J$12:$BJ$12,"&lt;="&amp;Time!AL20),Waterfall!AL36)</f>
        <v/>
      </c>
      <c r="AM23" s="13">
        <f>IF(Time!AM20&lt;Time!$F$12,SUMIFS(Funding!$J$70:$BJ$70,Construction!$J$12:$BJ$12,"&lt;="&amp;Time!AM20)+SUMIFS(Funding!$J$71:$BJ$71,Construction!$J$12:$BJ$12,"&lt;="&amp;Time!AM20),Waterfall!AM36)</f>
        <v/>
      </c>
      <c r="AN23" s="13">
        <f>IF(Time!AN20&lt;Time!$F$12,SUMIFS(Funding!$J$70:$BJ$70,Construction!$J$12:$BJ$12,"&lt;="&amp;Time!AN20)+SUMIFS(Funding!$J$71:$BJ$71,Construction!$J$12:$BJ$12,"&lt;="&amp;Time!AN20),Waterfall!AN36)</f>
        <v/>
      </c>
      <c r="AO23" s="13">
        <f>IF(Time!AO20&lt;Time!$F$12,SUMIFS(Funding!$J$70:$BJ$70,Construction!$J$12:$BJ$12,"&lt;="&amp;Time!AO20)+SUMIFS(Funding!$J$71:$BJ$71,Construction!$J$12:$BJ$12,"&lt;="&amp;Time!AO20),Waterfall!AO36)</f>
        <v/>
      </c>
      <c r="AP23" s="13">
        <f>IF(Time!AP20&lt;Time!$F$12,SUMIFS(Funding!$J$70:$BJ$70,Construction!$J$12:$BJ$12,"&lt;="&amp;Time!AP20)+SUMIFS(Funding!$J$71:$BJ$71,Construction!$J$12:$BJ$12,"&lt;="&amp;Time!AP20),Waterfall!AP36)</f>
        <v/>
      </c>
      <c r="AQ23" s="13">
        <f>IF(Time!AQ20&lt;Time!$F$12,SUMIFS(Funding!$J$70:$BJ$70,Construction!$J$12:$BJ$12,"&lt;="&amp;Time!AQ20)+SUMIFS(Funding!$J$71:$BJ$71,Construction!$J$12:$BJ$12,"&lt;="&amp;Time!AQ20),Waterfall!AQ36)</f>
        <v/>
      </c>
      <c r="AR23" s="13">
        <f>IF(Time!AR20&lt;Time!$F$12,SUMIFS(Funding!$J$70:$BJ$70,Construction!$J$12:$BJ$12,"&lt;="&amp;Time!AR20)+SUMIFS(Funding!$J$71:$BJ$71,Construction!$J$12:$BJ$12,"&lt;="&amp;Time!AR20),Waterfall!AR36)</f>
        <v/>
      </c>
      <c r="AS23" s="13">
        <f>IF(Time!AS20&lt;Time!$F$12,SUMIFS(Funding!$J$70:$BJ$70,Construction!$J$12:$BJ$12,"&lt;="&amp;Time!AS20)+SUMIFS(Funding!$J$71:$BJ$71,Construction!$J$12:$BJ$12,"&lt;="&amp;Time!AS20),Waterfall!AS36)</f>
        <v/>
      </c>
      <c r="AT23" s="13">
        <f>IF(Time!AT20&lt;Time!$F$12,SUMIFS(Funding!$J$70:$BJ$70,Construction!$J$12:$BJ$12,"&lt;="&amp;Time!AT20)+SUMIFS(Funding!$J$71:$BJ$71,Construction!$J$12:$BJ$12,"&lt;="&amp;Time!AT20),Waterfall!AT36)</f>
        <v/>
      </c>
      <c r="AU23" s="13">
        <f>IF(Time!AU20&lt;Time!$F$12,SUMIFS(Funding!$J$70:$BJ$70,Construction!$J$12:$BJ$12,"&lt;="&amp;Time!AU20)+SUMIFS(Funding!$J$71:$BJ$71,Construction!$J$12:$BJ$12,"&lt;="&amp;Time!AU20),Waterfall!AU36)</f>
        <v/>
      </c>
      <c r="AV23" s="13">
        <f>IF(Time!AV20&lt;Time!$F$12,SUMIFS(Funding!$J$70:$BJ$70,Construction!$J$12:$BJ$12,"&lt;="&amp;Time!AV20)+SUMIFS(Funding!$J$71:$BJ$71,Construction!$J$12:$BJ$12,"&lt;="&amp;Time!AV20),Waterfall!AV36)</f>
        <v/>
      </c>
      <c r="AW23" s="13">
        <f>IF(Time!AW20&lt;Time!$F$12,SUMIFS(Funding!$J$70:$BJ$70,Construction!$J$12:$BJ$12,"&lt;="&amp;Time!AW20)+SUMIFS(Funding!$J$71:$BJ$71,Construction!$J$12:$BJ$12,"&lt;="&amp;Time!AW20),Waterfall!AW36)</f>
        <v/>
      </c>
      <c r="AX23" s="13">
        <f>IF(Time!AX20&lt;Time!$F$12,SUMIFS(Funding!$J$70:$BJ$70,Construction!$J$12:$BJ$12,"&lt;="&amp;Time!AX20)+SUMIFS(Funding!$J$71:$BJ$71,Construction!$J$12:$BJ$12,"&lt;="&amp;Time!AX20),Waterfall!AX36)</f>
        <v/>
      </c>
      <c r="AY23" s="13">
        <f>IF(Time!AY20&lt;Time!$F$12,SUMIFS(Funding!$J$70:$BJ$70,Construction!$J$12:$BJ$12,"&lt;="&amp;Time!AY20)+SUMIFS(Funding!$J$71:$BJ$71,Construction!$J$12:$BJ$12,"&lt;="&amp;Time!AY20),Waterfall!AY36)</f>
        <v/>
      </c>
      <c r="AZ23" s="13">
        <f>IF(Time!AZ20&lt;Time!$F$12,SUMIFS(Funding!$J$70:$BJ$70,Construction!$J$12:$BJ$12,"&lt;="&amp;Time!AZ20)+SUMIFS(Funding!$J$71:$BJ$71,Construction!$J$12:$BJ$12,"&lt;="&amp;Time!AZ20),Waterfall!AZ36)</f>
        <v/>
      </c>
      <c r="BA23" s="13">
        <f>IF(Time!BA20&lt;Time!$F$12,SUMIFS(Funding!$J$70:$BJ$70,Construction!$J$12:$BJ$12,"&lt;="&amp;Time!BA20)+SUMIFS(Funding!$J$71:$BJ$71,Construction!$J$12:$BJ$12,"&lt;="&amp;Time!BA20),Waterfall!BA36)</f>
        <v/>
      </c>
      <c r="BB23" s="13">
        <f>IF(Time!BB20&lt;Time!$F$12,SUMIFS(Funding!$J$70:$BJ$70,Construction!$J$12:$BJ$12,"&lt;="&amp;Time!BB20)+SUMIFS(Funding!$J$71:$BJ$71,Construction!$J$12:$BJ$12,"&lt;="&amp;Time!BB20),Waterfall!BB36)</f>
        <v/>
      </c>
      <c r="BC23" s="13">
        <f>IF(Time!BC20&lt;Time!$F$12,SUMIFS(Funding!$J$70:$BJ$70,Construction!$J$12:$BJ$12,"&lt;="&amp;Time!BC20)+SUMIFS(Funding!$J$71:$BJ$71,Construction!$J$12:$BJ$12,"&lt;="&amp;Time!BC20),Waterfall!BC36)</f>
        <v/>
      </c>
      <c r="BD23" s="13">
        <f>IF(Time!BD20&lt;Time!$F$12,SUMIFS(Funding!$J$70:$BJ$70,Construction!$J$12:$BJ$12,"&lt;="&amp;Time!BD20)+SUMIFS(Funding!$J$71:$BJ$71,Construction!$J$12:$BJ$12,"&lt;="&amp;Time!BD20),Waterfall!BD36)</f>
        <v/>
      </c>
      <c r="BE23" s="13">
        <f>IF(Time!BE20&lt;Time!$F$12,SUMIFS(Funding!$J$70:$BJ$70,Construction!$J$12:$BJ$12,"&lt;="&amp;Time!BE20)+SUMIFS(Funding!$J$71:$BJ$71,Construction!$J$12:$BJ$12,"&lt;="&amp;Time!BE20),Waterfall!BE36)</f>
        <v/>
      </c>
      <c r="BF23" s="13">
        <f>IF(Time!BF20&lt;Time!$F$12,SUMIFS(Funding!$J$70:$BJ$70,Construction!$J$12:$BJ$12,"&lt;="&amp;Time!BF20)+SUMIFS(Funding!$J$71:$BJ$71,Construction!$J$12:$BJ$12,"&lt;="&amp;Time!BF20),Waterfall!BF36)</f>
        <v/>
      </c>
      <c r="BG23" s="13">
        <f>IF(Time!BG20&lt;Time!$F$12,SUMIFS(Funding!$J$70:$BJ$70,Construction!$J$12:$BJ$12,"&lt;="&amp;Time!BG20)+SUMIFS(Funding!$J$71:$BJ$71,Construction!$J$12:$BJ$12,"&lt;="&amp;Time!BG20),Waterfall!BG36)</f>
        <v/>
      </c>
      <c r="BH23" s="13">
        <f>IF(Time!BH20&lt;Time!$F$12,SUMIFS(Funding!$J$70:$BJ$70,Construction!$J$12:$BJ$12,"&lt;="&amp;Time!BH20)+SUMIFS(Funding!$J$71:$BJ$71,Construction!$J$12:$BJ$12,"&lt;="&amp;Time!BH20),Waterfall!BH36)</f>
        <v/>
      </c>
      <c r="BI23" s="13">
        <f>IF(Time!BI20&lt;Time!$F$12,SUMIFS(Funding!$J$70:$BJ$70,Construction!$J$12:$BJ$12,"&lt;="&amp;Time!BI20)+SUMIFS(Funding!$J$71:$BJ$71,Construction!$J$12:$BJ$12,"&lt;="&amp;Time!BI20),Waterfall!BI36)</f>
        <v/>
      </c>
      <c r="BJ23" s="13">
        <f>IF(Time!BJ20&lt;Time!$F$12,SUMIFS(Funding!$J$70:$BJ$70,Construction!$J$12:$BJ$12,"&lt;="&amp;Time!BJ20)+SUMIFS(Funding!$J$71:$BJ$71,Construction!$J$12:$BJ$12,"&lt;="&amp;Time!BJ20),Waterfall!BJ36)</f>
        <v/>
      </c>
      <c r="BK23" s="13">
        <f>IF(Time!BK20&lt;Time!$F$12,SUMIFS(Funding!$J$70:$BJ$70,Construction!$J$12:$BJ$12,"&lt;="&amp;Time!BK20)+SUMIFS(Funding!$J$71:$BJ$71,Construction!$J$12:$BJ$12,"&lt;="&amp;Time!BK20),Waterfall!BK36)</f>
        <v/>
      </c>
      <c r="BL23" s="13">
        <f>IF(Time!BL20&lt;Time!$F$12,SUMIFS(Funding!$J$70:$BJ$70,Construction!$J$12:$BJ$12,"&lt;="&amp;Time!BL20)+SUMIFS(Funding!$J$71:$BJ$71,Construction!$J$12:$BJ$12,"&lt;="&amp;Time!BL20),Waterfall!BL36)</f>
        <v/>
      </c>
      <c r="BM23" s="13">
        <f>IF(Time!BM20&lt;Time!$F$12,SUMIFS(Funding!$J$70:$BJ$70,Construction!$J$12:$BJ$12,"&lt;="&amp;Time!BM20)+SUMIFS(Funding!$J$71:$BJ$71,Construction!$J$12:$BJ$12,"&lt;="&amp;Time!BM20),Waterfall!BM36)</f>
        <v/>
      </c>
      <c r="BN23" s="13">
        <f>IF(Time!BN20&lt;Time!$F$12,SUMIFS(Funding!$J$70:$BJ$70,Construction!$J$12:$BJ$12,"&lt;="&amp;Time!BN20)+SUMIFS(Funding!$J$71:$BJ$71,Construction!$J$12:$BJ$12,"&lt;="&amp;Time!BN20),Waterfall!BN36)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3">
        <f>Operations!J90+Operations!J91+Operations!J92+Operations!J93+Operations!J94</f>
        <v/>
      </c>
      <c r="K24" s="13">
        <f>Operations!K90+Operations!K91+Operations!K92+Operations!K93+Operations!K94</f>
        <v/>
      </c>
      <c r="L24" s="13">
        <f>Operations!L90+Operations!L91+Operations!L92+Operations!L93+Operations!L94</f>
        <v/>
      </c>
      <c r="M24" s="13">
        <f>Operations!M90+Operations!M91+Operations!M92+Operations!M93+Operations!M94</f>
        <v/>
      </c>
      <c r="N24" s="13">
        <f>Operations!N90+Operations!N91+Operations!N92+Operations!N93+Operations!N94</f>
        <v/>
      </c>
      <c r="O24" s="13">
        <f>Operations!O90+Operations!O91+Operations!O92+Operations!O93+Operations!O94</f>
        <v/>
      </c>
      <c r="P24" s="13">
        <f>Operations!P90+Operations!P91+Operations!P92+Operations!P93+Operations!P94</f>
        <v/>
      </c>
      <c r="Q24" s="13">
        <f>Operations!Q90+Operations!Q91+Operations!Q92+Operations!Q93+Operations!Q94</f>
        <v/>
      </c>
      <c r="R24" s="13">
        <f>Operations!R90+Operations!R91+Operations!R92+Operations!R93+Operations!R94</f>
        <v/>
      </c>
      <c r="S24" s="13">
        <f>Operations!S90+Operations!S91+Operations!S92+Operations!S93+Operations!S94</f>
        <v/>
      </c>
      <c r="T24" s="13">
        <f>Operations!T90+Operations!T91+Operations!T92+Operations!T93+Operations!T94</f>
        <v/>
      </c>
      <c r="U24" s="13">
        <f>Operations!U90+Operations!U91+Operations!U92+Operations!U93+Operations!U94</f>
        <v/>
      </c>
      <c r="V24" s="13">
        <f>Operations!V90+Operations!V91+Operations!V92+Operations!V93+Operations!V94</f>
        <v/>
      </c>
      <c r="W24" s="13">
        <f>Operations!W90+Operations!W91+Operations!W92+Operations!W93+Operations!W94</f>
        <v/>
      </c>
      <c r="X24" s="13">
        <f>Operations!X90+Operations!X91+Operations!X92+Operations!X93+Operations!X94</f>
        <v/>
      </c>
      <c r="Y24" s="13">
        <f>Operations!Y90+Operations!Y91+Operations!Y92+Operations!Y93+Operations!Y94</f>
        <v/>
      </c>
      <c r="Z24" s="13">
        <f>Operations!Z90+Operations!Z91+Operations!Z92+Operations!Z93+Operations!Z94</f>
        <v/>
      </c>
      <c r="AA24" s="13">
        <f>Operations!AA90+Operations!AA91+Operations!AA92+Operations!AA93+Operations!AA94</f>
        <v/>
      </c>
      <c r="AB24" s="13">
        <f>Operations!AB90+Operations!AB91+Operations!AB92+Operations!AB93+Operations!AB94</f>
        <v/>
      </c>
      <c r="AC24" s="13">
        <f>Operations!AC90+Operations!AC91+Operations!AC92+Operations!AC93+Operations!AC94</f>
        <v/>
      </c>
      <c r="AD24" s="13">
        <f>Operations!AD90+Operations!AD91+Operations!AD92+Operations!AD93+Operations!AD94</f>
        <v/>
      </c>
      <c r="AE24" s="13">
        <f>Operations!AE90+Operations!AE91+Operations!AE92+Operations!AE93+Operations!AE94</f>
        <v/>
      </c>
      <c r="AF24" s="13">
        <f>Operations!AF90+Operations!AF91+Operations!AF92+Operations!AF93+Operations!AF94</f>
        <v/>
      </c>
      <c r="AG24" s="13">
        <f>Operations!AG90+Operations!AG91+Operations!AG92+Operations!AG93+Operations!AG94</f>
        <v/>
      </c>
      <c r="AH24" s="13">
        <f>Operations!AH90+Operations!AH91+Operations!AH92+Operations!AH93+Operations!AH94</f>
        <v/>
      </c>
      <c r="AI24" s="13">
        <f>Operations!AI90+Operations!AI91+Operations!AI92+Operations!AI93+Operations!AI94</f>
        <v/>
      </c>
      <c r="AJ24" s="13">
        <f>Operations!AJ90+Operations!AJ91+Operations!AJ92+Operations!AJ93+Operations!AJ94</f>
        <v/>
      </c>
      <c r="AK24" s="13">
        <f>Operations!AK90+Operations!AK91+Operations!AK92+Operations!AK93+Operations!AK94</f>
        <v/>
      </c>
      <c r="AL24" s="13">
        <f>Operations!AL90+Operations!AL91+Operations!AL92+Operations!AL93+Operations!AL94</f>
        <v/>
      </c>
      <c r="AM24" s="13">
        <f>Operations!AM90+Operations!AM91+Operations!AM92+Operations!AM93+Operations!AM94</f>
        <v/>
      </c>
      <c r="AN24" s="13">
        <f>Operations!AN90+Operations!AN91+Operations!AN92+Operations!AN93+Operations!AN94</f>
        <v/>
      </c>
      <c r="AO24" s="13">
        <f>Operations!AO90+Operations!AO91+Operations!AO92+Operations!AO93+Operations!AO94</f>
        <v/>
      </c>
      <c r="AP24" s="13">
        <f>Operations!AP90+Operations!AP91+Operations!AP92+Operations!AP93+Operations!AP94</f>
        <v/>
      </c>
      <c r="AQ24" s="13">
        <f>Operations!AQ90+Operations!AQ91+Operations!AQ92+Operations!AQ93+Operations!AQ94</f>
        <v/>
      </c>
      <c r="AR24" s="13">
        <f>Operations!AR90+Operations!AR91+Operations!AR92+Operations!AR93+Operations!AR94</f>
        <v/>
      </c>
      <c r="AS24" s="13">
        <f>Operations!AS90+Operations!AS91+Operations!AS92+Operations!AS93+Operations!AS94</f>
        <v/>
      </c>
      <c r="AT24" s="13">
        <f>Operations!AT90+Operations!AT91+Operations!AT92+Operations!AT93+Operations!AT94</f>
        <v/>
      </c>
      <c r="AU24" s="13">
        <f>Operations!AU90+Operations!AU91+Operations!AU92+Operations!AU93+Operations!AU94</f>
        <v/>
      </c>
      <c r="AV24" s="13">
        <f>Operations!AV90+Operations!AV91+Operations!AV92+Operations!AV93+Operations!AV94</f>
        <v/>
      </c>
      <c r="AW24" s="13">
        <f>Operations!AW90+Operations!AW91+Operations!AW92+Operations!AW93+Operations!AW94</f>
        <v/>
      </c>
      <c r="AX24" s="13">
        <f>Operations!AX90+Operations!AX91+Operations!AX92+Operations!AX93+Operations!AX94</f>
        <v/>
      </c>
      <c r="AY24" s="13">
        <f>Operations!AY90+Operations!AY91+Operations!AY92+Operations!AY93+Operations!AY94</f>
        <v/>
      </c>
      <c r="AZ24" s="13">
        <f>Operations!AZ90+Operations!AZ91+Operations!AZ92+Operations!AZ93+Operations!AZ94</f>
        <v/>
      </c>
      <c r="BA24" s="13">
        <f>Operations!BA90+Operations!BA91+Operations!BA92+Operations!BA93+Operations!BA94</f>
        <v/>
      </c>
      <c r="BB24" s="13">
        <f>Operations!BB90+Operations!BB91+Operations!BB92+Operations!BB93+Operations!BB94</f>
        <v/>
      </c>
      <c r="BC24" s="13">
        <f>Operations!BC90+Operations!BC91+Operations!BC92+Operations!BC93+Operations!BC94</f>
        <v/>
      </c>
      <c r="BD24" s="13">
        <f>Operations!BD90+Operations!BD91+Operations!BD92+Operations!BD93+Operations!BD94</f>
        <v/>
      </c>
      <c r="BE24" s="13">
        <f>Operations!BE90+Operations!BE91+Operations!BE92+Operations!BE93+Operations!BE94</f>
        <v/>
      </c>
      <c r="BF24" s="13">
        <f>Operations!BF90+Operations!BF91+Operations!BF92+Operations!BF93+Operations!BF94</f>
        <v/>
      </c>
      <c r="BG24" s="13">
        <f>Operations!BG90+Operations!BG91+Operations!BG92+Operations!BG93+Operations!BG94</f>
        <v/>
      </c>
      <c r="BH24" s="13">
        <f>Operations!BH90+Operations!BH91+Operations!BH92+Operations!BH93+Operations!BH94</f>
        <v/>
      </c>
      <c r="BI24" s="13">
        <f>Operations!BI90+Operations!BI91+Operations!BI92+Operations!BI93+Operations!BI94</f>
        <v/>
      </c>
      <c r="BJ24" s="13">
        <f>Operations!BJ90+Operations!BJ91+Operations!BJ92+Operations!BJ93+Operations!BJ94</f>
        <v/>
      </c>
      <c r="BK24" s="13">
        <f>Operations!BK90+Operations!BK91+Operations!BK92+Operations!BK93+Operations!BK94</f>
        <v/>
      </c>
      <c r="BL24" s="13">
        <f>Operations!BL90+Operations!BL91+Operations!BL92+Operations!BL93+Operations!BL94</f>
        <v/>
      </c>
      <c r="BM24" s="13">
        <f>Operations!BM90+Operations!BM91+Operations!BM92+Operations!BM93+Operations!BM94</f>
        <v/>
      </c>
      <c r="BN24" s="13">
        <f>Operations!BN90+Operations!BN91+Operations!BN92+Operations!BN93+Operations!BN94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3">
        <f>MAX(0,J12)</f>
        <v/>
      </c>
      <c r="K25" s="13">
        <f>MAX(0,K12)</f>
        <v/>
      </c>
      <c r="L25" s="13">
        <f>MAX(0,L12)</f>
        <v/>
      </c>
      <c r="M25" s="13">
        <f>MAX(0,M12)</f>
        <v/>
      </c>
      <c r="N25" s="13">
        <f>MAX(0,N12)</f>
        <v/>
      </c>
      <c r="O25" s="13">
        <f>MAX(0,O12)</f>
        <v/>
      </c>
      <c r="P25" s="13">
        <f>MAX(0,P12)</f>
        <v/>
      </c>
      <c r="Q25" s="13">
        <f>MAX(0,Q12)</f>
        <v/>
      </c>
      <c r="R25" s="13">
        <f>MAX(0,R12)</f>
        <v/>
      </c>
      <c r="S25" s="13">
        <f>MAX(0,S12)</f>
        <v/>
      </c>
      <c r="T25" s="13">
        <f>MAX(0,T12)</f>
        <v/>
      </c>
      <c r="U25" s="13">
        <f>MAX(0,U12)</f>
        <v/>
      </c>
      <c r="V25" s="13">
        <f>MAX(0,V12)</f>
        <v/>
      </c>
      <c r="W25" s="13">
        <f>MAX(0,W12)</f>
        <v/>
      </c>
      <c r="X25" s="13">
        <f>MAX(0,X12)</f>
        <v/>
      </c>
      <c r="Y25" s="13">
        <f>MAX(0,Y12)</f>
        <v/>
      </c>
      <c r="Z25" s="13">
        <f>MAX(0,Z12)</f>
        <v/>
      </c>
      <c r="AA25" s="13">
        <f>MAX(0,AA12)</f>
        <v/>
      </c>
      <c r="AB25" s="13">
        <f>MAX(0,AB12)</f>
        <v/>
      </c>
      <c r="AC25" s="13">
        <f>MAX(0,AC12)</f>
        <v/>
      </c>
      <c r="AD25" s="13">
        <f>MAX(0,AD12)</f>
        <v/>
      </c>
      <c r="AE25" s="13">
        <f>MAX(0,AE12)</f>
        <v/>
      </c>
      <c r="AF25" s="13">
        <f>MAX(0,AF12)</f>
        <v/>
      </c>
      <c r="AG25" s="13">
        <f>MAX(0,AG12)</f>
        <v/>
      </c>
      <c r="AH25" s="13">
        <f>MAX(0,AH12)</f>
        <v/>
      </c>
      <c r="AI25" s="13">
        <f>MAX(0,AI12)</f>
        <v/>
      </c>
      <c r="AJ25" s="13">
        <f>MAX(0,AJ12)</f>
        <v/>
      </c>
      <c r="AK25" s="13">
        <f>MAX(0,AK12)</f>
        <v/>
      </c>
      <c r="AL25" s="13">
        <f>MAX(0,AL12)</f>
        <v/>
      </c>
      <c r="AM25" s="13">
        <f>MAX(0,AM12)</f>
        <v/>
      </c>
      <c r="AN25" s="13">
        <f>MAX(0,AN12)</f>
        <v/>
      </c>
      <c r="AO25" s="13">
        <f>MAX(0,AO12)</f>
        <v/>
      </c>
      <c r="AP25" s="13">
        <f>MAX(0,AP12)</f>
        <v/>
      </c>
      <c r="AQ25" s="13">
        <f>MAX(0,AQ12)</f>
        <v/>
      </c>
      <c r="AR25" s="13">
        <f>MAX(0,AR12)</f>
        <v/>
      </c>
      <c r="AS25" s="13">
        <f>MAX(0,AS12)</f>
        <v/>
      </c>
      <c r="AT25" s="13">
        <f>MAX(0,AT12)</f>
        <v/>
      </c>
      <c r="AU25" s="13">
        <f>MAX(0,AU12)</f>
        <v/>
      </c>
      <c r="AV25" s="13">
        <f>MAX(0,AV12)</f>
        <v/>
      </c>
      <c r="AW25" s="13">
        <f>MAX(0,AW12)</f>
        <v/>
      </c>
      <c r="AX25" s="13">
        <f>MAX(0,AX12)</f>
        <v/>
      </c>
      <c r="AY25" s="13">
        <f>MAX(0,AY12)</f>
        <v/>
      </c>
      <c r="AZ25" s="13">
        <f>MAX(0,AZ12)</f>
        <v/>
      </c>
      <c r="BA25" s="13">
        <f>MAX(0,BA12)</f>
        <v/>
      </c>
      <c r="BB25" s="13">
        <f>MAX(0,BB12)</f>
        <v/>
      </c>
      <c r="BC25" s="13">
        <f>MAX(0,BC12)</f>
        <v/>
      </c>
      <c r="BD25" s="13">
        <f>MAX(0,BD12)</f>
        <v/>
      </c>
      <c r="BE25" s="13">
        <f>MAX(0,BE12)</f>
        <v/>
      </c>
      <c r="BF25" s="13">
        <f>MAX(0,BF12)</f>
        <v/>
      </c>
      <c r="BG25" s="13">
        <f>MAX(0,BG12)</f>
        <v/>
      </c>
      <c r="BH25" s="13">
        <f>MAX(0,BH12)</f>
        <v/>
      </c>
      <c r="BI25" s="13">
        <f>MAX(0,BI12)</f>
        <v/>
      </c>
      <c r="BJ25" s="13">
        <f>MAX(0,BJ12)</f>
        <v/>
      </c>
      <c r="BK25" s="13">
        <f>MAX(0,BK12)</f>
        <v/>
      </c>
      <c r="BL25" s="13">
        <f>MAX(0,BL12)</f>
        <v/>
      </c>
      <c r="BM25" s="13">
        <f>MAX(0,BM12)</f>
        <v/>
      </c>
      <c r="BN25" s="13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3">
        <f>SUMIFS(Funding!$J$69:$BJ$69,Construction!$J$12:$BJ$12,"&lt;="&amp;Time!J20)</f>
        <v/>
      </c>
      <c r="K26" s="13">
        <f>SUMIFS(Funding!$J$69:$BJ$69,Construction!$J$12:$BJ$12,"&lt;="&amp;Time!K20)</f>
        <v/>
      </c>
      <c r="L26" s="13">
        <f>SUMIFS(Funding!$J$69:$BJ$69,Construction!$J$12:$BJ$12,"&lt;="&amp;Time!L20)</f>
        <v/>
      </c>
      <c r="M26" s="13">
        <f>SUMIFS(Funding!$J$69:$BJ$69,Construction!$J$12:$BJ$12,"&lt;="&amp;Time!M20)</f>
        <v/>
      </c>
      <c r="N26" s="13">
        <f>SUMIFS(Funding!$J$69:$BJ$69,Construction!$J$12:$BJ$12,"&lt;="&amp;Time!N20)</f>
        <v/>
      </c>
      <c r="O26" s="13">
        <f>SUMIFS(Funding!$J$69:$BJ$69,Construction!$J$12:$BJ$12,"&lt;="&amp;Time!O20)</f>
        <v/>
      </c>
      <c r="P26" s="13">
        <f>SUMIFS(Funding!$J$69:$BJ$69,Construction!$J$12:$BJ$12,"&lt;="&amp;Time!P20)</f>
        <v/>
      </c>
      <c r="Q26" s="13">
        <f>SUMIFS(Funding!$J$69:$BJ$69,Construction!$J$12:$BJ$12,"&lt;="&amp;Time!Q20)</f>
        <v/>
      </c>
      <c r="R26" s="13">
        <f>SUMIFS(Funding!$J$69:$BJ$69,Construction!$J$12:$BJ$12,"&lt;="&amp;Time!R20)</f>
        <v/>
      </c>
      <c r="S26" s="13">
        <f>SUMIFS(Funding!$J$69:$BJ$69,Construction!$J$12:$BJ$12,"&lt;="&amp;Time!S20)</f>
        <v/>
      </c>
      <c r="T26" s="13">
        <f>SUMIFS(Funding!$J$69:$BJ$69,Construction!$J$12:$BJ$12,"&lt;="&amp;Time!T20)</f>
        <v/>
      </c>
      <c r="U26" s="13">
        <f>SUMIFS(Funding!$J$69:$BJ$69,Construction!$J$12:$BJ$12,"&lt;="&amp;Time!U20)</f>
        <v/>
      </c>
      <c r="V26" s="13">
        <f>SUMIFS(Funding!$J$69:$BJ$69,Construction!$J$12:$BJ$12,"&lt;="&amp;Time!V20)</f>
        <v/>
      </c>
      <c r="W26" s="13">
        <f>SUMIFS(Funding!$J$69:$BJ$69,Construction!$J$12:$BJ$12,"&lt;="&amp;Time!W20)</f>
        <v/>
      </c>
      <c r="X26" s="13">
        <f>SUMIFS(Funding!$J$69:$BJ$69,Construction!$J$12:$BJ$12,"&lt;="&amp;Time!X20)</f>
        <v/>
      </c>
      <c r="Y26" s="13">
        <f>SUMIFS(Funding!$J$69:$BJ$69,Construction!$J$12:$BJ$12,"&lt;="&amp;Time!Y20)</f>
        <v/>
      </c>
      <c r="Z26" s="13">
        <f>SUMIFS(Funding!$J$69:$BJ$69,Construction!$J$12:$BJ$12,"&lt;="&amp;Time!Z20)</f>
        <v/>
      </c>
      <c r="AA26" s="13">
        <f>SUMIFS(Funding!$J$69:$BJ$69,Construction!$J$12:$BJ$12,"&lt;="&amp;Time!AA20)</f>
        <v/>
      </c>
      <c r="AB26" s="13">
        <f>SUMIFS(Funding!$J$69:$BJ$69,Construction!$J$12:$BJ$12,"&lt;="&amp;Time!AB20)</f>
        <v/>
      </c>
      <c r="AC26" s="13">
        <f>SUMIFS(Funding!$J$69:$BJ$69,Construction!$J$12:$BJ$12,"&lt;="&amp;Time!AC20)</f>
        <v/>
      </c>
      <c r="AD26" s="13">
        <f>SUMIFS(Funding!$J$69:$BJ$69,Construction!$J$12:$BJ$12,"&lt;="&amp;Time!AD20)</f>
        <v/>
      </c>
      <c r="AE26" s="13">
        <f>SUMIFS(Funding!$J$69:$BJ$69,Construction!$J$12:$BJ$12,"&lt;="&amp;Time!AE20)</f>
        <v/>
      </c>
      <c r="AF26" s="13">
        <f>SUMIFS(Funding!$J$69:$BJ$69,Construction!$J$12:$BJ$12,"&lt;="&amp;Time!AF20)</f>
        <v/>
      </c>
      <c r="AG26" s="13">
        <f>SUMIFS(Funding!$J$69:$BJ$69,Construction!$J$12:$BJ$12,"&lt;="&amp;Time!AG20)</f>
        <v/>
      </c>
      <c r="AH26" s="13">
        <f>SUMIFS(Funding!$J$69:$BJ$69,Construction!$J$12:$BJ$12,"&lt;="&amp;Time!AH20)</f>
        <v/>
      </c>
      <c r="AI26" s="13">
        <f>SUMIFS(Funding!$J$69:$BJ$69,Construction!$J$12:$BJ$12,"&lt;="&amp;Time!AI20)</f>
        <v/>
      </c>
      <c r="AJ26" s="13">
        <f>SUMIFS(Funding!$J$69:$BJ$69,Construction!$J$12:$BJ$12,"&lt;="&amp;Time!AJ20)</f>
        <v/>
      </c>
      <c r="AK26" s="13">
        <f>SUMIFS(Funding!$J$69:$BJ$69,Construction!$J$12:$BJ$12,"&lt;="&amp;Time!AK20)</f>
        <v/>
      </c>
      <c r="AL26" s="13">
        <f>SUMIFS(Funding!$J$69:$BJ$69,Construction!$J$12:$BJ$12,"&lt;="&amp;Time!AL20)</f>
        <v/>
      </c>
      <c r="AM26" s="13">
        <f>SUMIFS(Funding!$J$69:$BJ$69,Construction!$J$12:$BJ$12,"&lt;="&amp;Time!AM20)</f>
        <v/>
      </c>
      <c r="AN26" s="13">
        <f>SUMIFS(Funding!$J$69:$BJ$69,Construction!$J$12:$BJ$12,"&lt;="&amp;Time!AN20)</f>
        <v/>
      </c>
      <c r="AO26" s="13">
        <f>SUMIFS(Funding!$J$69:$BJ$69,Construction!$J$12:$BJ$12,"&lt;="&amp;Time!AO20)</f>
        <v/>
      </c>
      <c r="AP26" s="13">
        <f>SUMIFS(Funding!$J$69:$BJ$69,Construction!$J$12:$BJ$12,"&lt;="&amp;Time!AP20)</f>
        <v/>
      </c>
      <c r="AQ26" s="13">
        <f>SUMIFS(Funding!$J$69:$BJ$69,Construction!$J$12:$BJ$12,"&lt;="&amp;Time!AQ20)</f>
        <v/>
      </c>
      <c r="AR26" s="13">
        <f>SUMIFS(Funding!$J$69:$BJ$69,Construction!$J$12:$BJ$12,"&lt;="&amp;Time!AR20)</f>
        <v/>
      </c>
      <c r="AS26" s="13">
        <f>SUMIFS(Funding!$J$69:$BJ$69,Construction!$J$12:$BJ$12,"&lt;="&amp;Time!AS20)</f>
        <v/>
      </c>
      <c r="AT26" s="13">
        <f>SUMIFS(Funding!$J$69:$BJ$69,Construction!$J$12:$BJ$12,"&lt;="&amp;Time!AT20)</f>
        <v/>
      </c>
      <c r="AU26" s="13">
        <f>SUMIFS(Funding!$J$69:$BJ$69,Construction!$J$12:$BJ$12,"&lt;="&amp;Time!AU20)</f>
        <v/>
      </c>
      <c r="AV26" s="13">
        <f>SUMIFS(Funding!$J$69:$BJ$69,Construction!$J$12:$BJ$12,"&lt;="&amp;Time!AV20)</f>
        <v/>
      </c>
      <c r="AW26" s="13">
        <f>SUMIFS(Funding!$J$69:$BJ$69,Construction!$J$12:$BJ$12,"&lt;="&amp;Time!AW20)</f>
        <v/>
      </c>
      <c r="AX26" s="13">
        <f>SUMIFS(Funding!$J$69:$BJ$69,Construction!$J$12:$BJ$12,"&lt;="&amp;Time!AX20)</f>
        <v/>
      </c>
      <c r="AY26" s="13">
        <f>SUMIFS(Funding!$J$69:$BJ$69,Construction!$J$12:$BJ$12,"&lt;="&amp;Time!AY20)</f>
        <v/>
      </c>
      <c r="AZ26" s="13">
        <f>SUMIFS(Funding!$J$69:$BJ$69,Construction!$J$12:$BJ$12,"&lt;="&amp;Time!AZ20)</f>
        <v/>
      </c>
      <c r="BA26" s="13">
        <f>SUMIFS(Funding!$J$69:$BJ$69,Construction!$J$12:$BJ$12,"&lt;="&amp;Time!BA20)</f>
        <v/>
      </c>
      <c r="BB26" s="13">
        <f>SUMIFS(Funding!$J$69:$BJ$69,Construction!$J$12:$BJ$12,"&lt;="&amp;Time!BB20)</f>
        <v/>
      </c>
      <c r="BC26" s="13">
        <f>SUMIFS(Funding!$J$69:$BJ$69,Construction!$J$12:$BJ$12,"&lt;="&amp;Time!BC20)</f>
        <v/>
      </c>
      <c r="BD26" s="13">
        <f>SUMIFS(Funding!$J$69:$BJ$69,Construction!$J$12:$BJ$12,"&lt;="&amp;Time!BD20)</f>
        <v/>
      </c>
      <c r="BE26" s="13">
        <f>SUMIFS(Funding!$J$69:$BJ$69,Construction!$J$12:$BJ$12,"&lt;="&amp;Time!BE20)</f>
        <v/>
      </c>
      <c r="BF26" s="13">
        <f>SUMIFS(Funding!$J$69:$BJ$69,Construction!$J$12:$BJ$12,"&lt;="&amp;Time!BF20)</f>
        <v/>
      </c>
      <c r="BG26" s="13">
        <f>SUMIFS(Funding!$J$69:$BJ$69,Construction!$J$12:$BJ$12,"&lt;="&amp;Time!BG20)</f>
        <v/>
      </c>
      <c r="BH26" s="13">
        <f>SUMIFS(Funding!$J$69:$BJ$69,Construction!$J$12:$BJ$12,"&lt;="&amp;Time!BH20)</f>
        <v/>
      </c>
      <c r="BI26" s="13">
        <f>SUMIFS(Funding!$J$69:$BJ$69,Construction!$J$12:$BJ$12,"&lt;="&amp;Time!BI20)</f>
        <v/>
      </c>
      <c r="BJ26" s="13">
        <f>SUMIFS(Funding!$J$69:$BJ$69,Construction!$J$12:$BJ$12,"&lt;="&amp;Time!BJ20)</f>
        <v/>
      </c>
      <c r="BK26" s="13">
        <f>SUMIFS(Funding!$J$69:$BJ$69,Construction!$J$12:$BJ$12,"&lt;="&amp;Time!BK20)</f>
        <v/>
      </c>
      <c r="BL26" s="13">
        <f>SUMIFS(Funding!$J$69:$BJ$69,Construction!$J$12:$BJ$12,"&lt;="&amp;Time!BL20)</f>
        <v/>
      </c>
      <c r="BM26" s="13">
        <f>SUMIFS(Funding!$J$69:$BJ$69,Construction!$J$12:$BJ$12,"&lt;="&amp;Time!BM20)</f>
        <v/>
      </c>
      <c r="BN26" s="13">
        <f>SUMIFS(Funding!$J$69:$BJ$69,Construction!$J$12:$BJ$12,"&lt;="&amp;Time!BN20)</f>
        <v/>
      </c>
    </row>
    <row r="27">
      <c r="D27" t="inlineStr">
        <is>
          <t>Retained earnings</t>
        </is>
      </c>
      <c r="E27" t="inlineStr">
        <is>
          <t>USD m</t>
        </is>
      </c>
      <c r="J27" s="18">
        <f>Waterfall!J43</f>
        <v/>
      </c>
      <c r="K27" s="18">
        <f>Waterfall!K43</f>
        <v/>
      </c>
      <c r="L27" s="18">
        <f>Waterfall!L43</f>
        <v/>
      </c>
      <c r="M27" s="18">
        <f>Waterfall!M43</f>
        <v/>
      </c>
      <c r="N27" s="18">
        <f>Waterfall!N43</f>
        <v/>
      </c>
      <c r="O27" s="18">
        <f>Waterfall!O43</f>
        <v/>
      </c>
      <c r="P27" s="18">
        <f>Waterfall!P43</f>
        <v/>
      </c>
      <c r="Q27" s="18">
        <f>Waterfall!Q43</f>
        <v/>
      </c>
      <c r="R27" s="18">
        <f>Waterfall!R43</f>
        <v/>
      </c>
      <c r="S27" s="18">
        <f>Waterfall!S43</f>
        <v/>
      </c>
      <c r="T27" s="18">
        <f>Waterfall!T43</f>
        <v/>
      </c>
      <c r="U27" s="18">
        <f>Waterfall!U43</f>
        <v/>
      </c>
      <c r="V27" s="18">
        <f>Waterfall!V43</f>
        <v/>
      </c>
      <c r="W27" s="18">
        <f>Waterfall!W43</f>
        <v/>
      </c>
      <c r="X27" s="18">
        <f>Waterfall!X43</f>
        <v/>
      </c>
      <c r="Y27" s="18">
        <f>Waterfall!Y43</f>
        <v/>
      </c>
      <c r="Z27" s="18">
        <f>Waterfall!Z43</f>
        <v/>
      </c>
      <c r="AA27" s="18">
        <f>Waterfall!AA43</f>
        <v/>
      </c>
      <c r="AB27" s="18">
        <f>Waterfall!AB43</f>
        <v/>
      </c>
      <c r="AC27" s="18">
        <f>Waterfall!AC43</f>
        <v/>
      </c>
      <c r="AD27" s="18">
        <f>Waterfall!AD43</f>
        <v/>
      </c>
      <c r="AE27" s="18">
        <f>Waterfall!AE43</f>
        <v/>
      </c>
      <c r="AF27" s="18">
        <f>Waterfall!AF43</f>
        <v/>
      </c>
      <c r="AG27" s="18">
        <f>Waterfall!AG43</f>
        <v/>
      </c>
      <c r="AH27" s="18">
        <f>Waterfall!AH43</f>
        <v/>
      </c>
      <c r="AI27" s="18">
        <f>Waterfall!AI43</f>
        <v/>
      </c>
      <c r="AJ27" s="18">
        <f>Waterfall!AJ43</f>
        <v/>
      </c>
      <c r="AK27" s="18">
        <f>Waterfall!AK43</f>
        <v/>
      </c>
      <c r="AL27" s="18">
        <f>Waterfall!AL43</f>
        <v/>
      </c>
      <c r="AM27" s="18">
        <f>Waterfall!AM43</f>
        <v/>
      </c>
      <c r="AN27" s="18">
        <f>Waterfall!AN43</f>
        <v/>
      </c>
      <c r="AO27" s="18">
        <f>Waterfall!AO43</f>
        <v/>
      </c>
      <c r="AP27" s="18">
        <f>Waterfall!AP43</f>
        <v/>
      </c>
      <c r="AQ27" s="18">
        <f>Waterfall!AQ43</f>
        <v/>
      </c>
      <c r="AR27" s="18">
        <f>Waterfall!AR43</f>
        <v/>
      </c>
      <c r="AS27" s="18">
        <f>Waterfall!AS43</f>
        <v/>
      </c>
      <c r="AT27" s="18">
        <f>Waterfall!AT43</f>
        <v/>
      </c>
      <c r="AU27" s="18">
        <f>Waterfall!AU43</f>
        <v/>
      </c>
      <c r="AV27" s="18">
        <f>Waterfall!AV43</f>
        <v/>
      </c>
      <c r="AW27" s="18">
        <f>Waterfall!AW43</f>
        <v/>
      </c>
      <c r="AX27" s="18">
        <f>Waterfall!AX43</f>
        <v/>
      </c>
      <c r="AY27" s="18">
        <f>Waterfall!AY43</f>
        <v/>
      </c>
      <c r="AZ27" s="18">
        <f>Waterfall!AZ43</f>
        <v/>
      </c>
      <c r="BA27" s="18">
        <f>Waterfall!BA43</f>
        <v/>
      </c>
      <c r="BB27" s="18">
        <f>Waterfall!BB43</f>
        <v/>
      </c>
      <c r="BC27" s="18">
        <f>Waterfall!BC43</f>
        <v/>
      </c>
      <c r="BD27" s="18">
        <f>Waterfall!BD43</f>
        <v/>
      </c>
      <c r="BE27" s="18">
        <f>Waterfall!BE43</f>
        <v/>
      </c>
      <c r="BF27" s="18">
        <f>Waterfall!BF43</f>
        <v/>
      </c>
      <c r="BG27" s="18">
        <f>Waterfall!BG43</f>
        <v/>
      </c>
      <c r="BH27" s="18">
        <f>Waterfall!BH43</f>
        <v/>
      </c>
      <c r="BI27" s="18">
        <f>Waterfall!BI43</f>
        <v/>
      </c>
      <c r="BJ27" s="18">
        <f>Waterfall!BJ43</f>
        <v/>
      </c>
      <c r="BK27" s="18">
        <f>Waterfall!BK43</f>
        <v/>
      </c>
      <c r="BL27" s="18">
        <f>Waterfall!BL43</f>
        <v/>
      </c>
      <c r="BM27" s="18">
        <f>Waterfall!BM43</f>
        <v/>
      </c>
      <c r="BN27" s="18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3">
        <f>J22+J23+J24+J25+J26+J27</f>
        <v/>
      </c>
      <c r="K28" s="13">
        <f>K22+K23+K24+K25+K26+K27</f>
        <v/>
      </c>
      <c r="L28" s="13">
        <f>L22+L23+L24+L25+L26+L27</f>
        <v/>
      </c>
      <c r="M28" s="13">
        <f>M22+M23+M24+M25+M26+M27</f>
        <v/>
      </c>
      <c r="N28" s="13">
        <f>N22+N23+N24+N25+N26+N27</f>
        <v/>
      </c>
      <c r="O28" s="13">
        <f>O22+O23+O24+O25+O26+O27</f>
        <v/>
      </c>
      <c r="P28" s="13">
        <f>P22+P23+P24+P25+P26+P27</f>
        <v/>
      </c>
      <c r="Q28" s="13">
        <f>Q22+Q23+Q24+Q25+Q26+Q27</f>
        <v/>
      </c>
      <c r="R28" s="13">
        <f>R22+R23+R24+R25+R26+R27</f>
        <v/>
      </c>
      <c r="S28" s="13">
        <f>S22+S23+S24+S25+S26+S27</f>
        <v/>
      </c>
      <c r="T28" s="13">
        <f>T22+T23+T24+T25+T26+T27</f>
        <v/>
      </c>
      <c r="U28" s="13">
        <f>U22+U23+U24+U25+U26+U27</f>
        <v/>
      </c>
      <c r="V28" s="13">
        <f>V22+V23+V24+V25+V26+V27</f>
        <v/>
      </c>
      <c r="W28" s="13">
        <f>W22+W23+W24+W25+W26+W27</f>
        <v/>
      </c>
      <c r="X28" s="13">
        <f>X22+X23+X24+X25+X26+X27</f>
        <v/>
      </c>
      <c r="Y28" s="13">
        <f>Y22+Y23+Y24+Y25+Y26+Y27</f>
        <v/>
      </c>
      <c r="Z28" s="13">
        <f>Z22+Z23+Z24+Z25+Z26+Z27</f>
        <v/>
      </c>
      <c r="AA28" s="13">
        <f>AA22+AA23+AA24+AA25+AA26+AA27</f>
        <v/>
      </c>
      <c r="AB28" s="13">
        <f>AB22+AB23+AB24+AB25+AB26+AB27</f>
        <v/>
      </c>
      <c r="AC28" s="13">
        <f>AC22+AC23+AC24+AC25+AC26+AC27</f>
        <v/>
      </c>
      <c r="AD28" s="13">
        <f>AD22+AD23+AD24+AD25+AD26+AD27</f>
        <v/>
      </c>
      <c r="AE28" s="13">
        <f>AE22+AE23+AE24+AE25+AE26+AE27</f>
        <v/>
      </c>
      <c r="AF28" s="13">
        <f>AF22+AF23+AF24+AF25+AF26+AF27</f>
        <v/>
      </c>
      <c r="AG28" s="13">
        <f>AG22+AG23+AG24+AG25+AG26+AG27</f>
        <v/>
      </c>
      <c r="AH28" s="13">
        <f>AH22+AH23+AH24+AH25+AH26+AH27</f>
        <v/>
      </c>
      <c r="AI28" s="13">
        <f>AI22+AI23+AI24+AI25+AI26+AI27</f>
        <v/>
      </c>
      <c r="AJ28" s="13">
        <f>AJ22+AJ23+AJ24+AJ25+AJ26+AJ27</f>
        <v/>
      </c>
      <c r="AK28" s="13">
        <f>AK22+AK23+AK24+AK25+AK26+AK27</f>
        <v/>
      </c>
      <c r="AL28" s="13">
        <f>AL22+AL23+AL24+AL25+AL26+AL27</f>
        <v/>
      </c>
      <c r="AM28" s="13">
        <f>AM22+AM23+AM24+AM25+AM26+AM27</f>
        <v/>
      </c>
      <c r="AN28" s="13">
        <f>AN22+AN23+AN24+AN25+AN26+AN27</f>
        <v/>
      </c>
      <c r="AO28" s="13">
        <f>AO22+AO23+AO24+AO25+AO26+AO27</f>
        <v/>
      </c>
      <c r="AP28" s="13">
        <f>AP22+AP23+AP24+AP25+AP26+AP27</f>
        <v/>
      </c>
      <c r="AQ28" s="13">
        <f>AQ22+AQ23+AQ24+AQ25+AQ26+AQ27</f>
        <v/>
      </c>
      <c r="AR28" s="13">
        <f>AR22+AR23+AR24+AR25+AR26+AR27</f>
        <v/>
      </c>
      <c r="AS28" s="13">
        <f>AS22+AS23+AS24+AS25+AS26+AS27</f>
        <v/>
      </c>
      <c r="AT28" s="13">
        <f>AT22+AT23+AT24+AT25+AT26+AT27</f>
        <v/>
      </c>
      <c r="AU28" s="13">
        <f>AU22+AU23+AU24+AU25+AU26+AU27</f>
        <v/>
      </c>
      <c r="AV28" s="13">
        <f>AV22+AV23+AV24+AV25+AV26+AV27</f>
        <v/>
      </c>
      <c r="AW28" s="13">
        <f>AW22+AW23+AW24+AW25+AW26+AW27</f>
        <v/>
      </c>
      <c r="AX28" s="13">
        <f>AX22+AX23+AX24+AX25+AX26+AX27</f>
        <v/>
      </c>
      <c r="AY28" s="13">
        <f>AY22+AY23+AY24+AY25+AY26+AY27</f>
        <v/>
      </c>
      <c r="AZ28" s="13">
        <f>AZ22+AZ23+AZ24+AZ25+AZ26+AZ27</f>
        <v/>
      </c>
      <c r="BA28" s="13">
        <f>BA22+BA23+BA24+BA25+BA26+BA27</f>
        <v/>
      </c>
      <c r="BB28" s="13">
        <f>BB22+BB23+BB24+BB25+BB26+BB27</f>
        <v/>
      </c>
      <c r="BC28" s="13">
        <f>BC22+BC23+BC24+BC25+BC26+BC27</f>
        <v/>
      </c>
      <c r="BD28" s="13">
        <f>BD22+BD23+BD24+BD25+BD26+BD27</f>
        <v/>
      </c>
      <c r="BE28" s="13">
        <f>BE22+BE23+BE24+BE25+BE26+BE27</f>
        <v/>
      </c>
      <c r="BF28" s="13">
        <f>BF22+BF23+BF24+BF25+BF26+BF27</f>
        <v/>
      </c>
      <c r="BG28" s="13">
        <f>BG22+BG23+BG24+BG25+BG26+BG27</f>
        <v/>
      </c>
      <c r="BH28" s="13">
        <f>BH22+BH23+BH24+BH25+BH26+BH27</f>
        <v/>
      </c>
      <c r="BI28" s="13">
        <f>BI22+BI23+BI24+BI25+BI26+BI27</f>
        <v/>
      </c>
      <c r="BJ28" s="13">
        <f>BJ22+BJ23+BJ24+BJ25+BJ26+BJ27</f>
        <v/>
      </c>
      <c r="BK28" s="13">
        <f>BK22+BK23+BK24+BK25+BK26+BK27</f>
        <v/>
      </c>
      <c r="BL28" s="13">
        <f>BL22+BL23+BL24+BL25+BL26+BL27</f>
        <v/>
      </c>
      <c r="BM28" s="13">
        <f>BM22+BM23+BM24+BM25+BM26+BM27</f>
        <v/>
      </c>
      <c r="BN28" s="13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3">
        <f>J21-J28</f>
        <v/>
      </c>
      <c r="K29" s="13">
        <f>K21-K28</f>
        <v/>
      </c>
      <c r="L29" s="13">
        <f>L21-L28</f>
        <v/>
      </c>
      <c r="M29" s="13">
        <f>M21-M28</f>
        <v/>
      </c>
      <c r="N29" s="13">
        <f>N21-N28</f>
        <v/>
      </c>
      <c r="O29" s="13">
        <f>O21-O28</f>
        <v/>
      </c>
      <c r="P29" s="13">
        <f>P21-P28</f>
        <v/>
      </c>
      <c r="Q29" s="13">
        <f>Q21-Q28</f>
        <v/>
      </c>
      <c r="R29" s="13">
        <f>R21-R28</f>
        <v/>
      </c>
      <c r="S29" s="13">
        <f>S21-S28</f>
        <v/>
      </c>
      <c r="T29" s="13">
        <f>T21-T28</f>
        <v/>
      </c>
      <c r="U29" s="13">
        <f>U21-U28</f>
        <v/>
      </c>
      <c r="V29" s="13">
        <f>V21-V28</f>
        <v/>
      </c>
      <c r="W29" s="13">
        <f>W21-W28</f>
        <v/>
      </c>
      <c r="X29" s="13">
        <f>X21-X28</f>
        <v/>
      </c>
      <c r="Y29" s="13">
        <f>Y21-Y28</f>
        <v/>
      </c>
      <c r="Z29" s="13">
        <f>Z21-Z28</f>
        <v/>
      </c>
      <c r="AA29" s="13">
        <f>AA21-AA28</f>
        <v/>
      </c>
      <c r="AB29" s="13">
        <f>AB21-AB28</f>
        <v/>
      </c>
      <c r="AC29" s="13">
        <f>AC21-AC28</f>
        <v/>
      </c>
      <c r="AD29" s="13">
        <f>AD21-AD28</f>
        <v/>
      </c>
      <c r="AE29" s="13">
        <f>AE21-AE28</f>
        <v/>
      </c>
      <c r="AF29" s="13">
        <f>AF21-AF28</f>
        <v/>
      </c>
      <c r="AG29" s="13">
        <f>AG21-AG28</f>
        <v/>
      </c>
      <c r="AH29" s="13">
        <f>AH21-AH28</f>
        <v/>
      </c>
      <c r="AI29" s="13">
        <f>AI21-AI28</f>
        <v/>
      </c>
      <c r="AJ29" s="13">
        <f>AJ21-AJ28</f>
        <v/>
      </c>
      <c r="AK29" s="13">
        <f>AK21-AK28</f>
        <v/>
      </c>
      <c r="AL29" s="13">
        <f>AL21-AL28</f>
        <v/>
      </c>
      <c r="AM29" s="13">
        <f>AM21-AM28</f>
        <v/>
      </c>
      <c r="AN29" s="13">
        <f>AN21-AN28</f>
        <v/>
      </c>
      <c r="AO29" s="13">
        <f>AO21-AO28</f>
        <v/>
      </c>
      <c r="AP29" s="13">
        <f>AP21-AP28</f>
        <v/>
      </c>
      <c r="AQ29" s="13">
        <f>AQ21-AQ28</f>
        <v/>
      </c>
      <c r="AR29" s="13">
        <f>AR21-AR28</f>
        <v/>
      </c>
      <c r="AS29" s="13">
        <f>AS21-AS28</f>
        <v/>
      </c>
      <c r="AT29" s="13">
        <f>AT21-AT28</f>
        <v/>
      </c>
      <c r="AU29" s="13">
        <f>AU21-AU28</f>
        <v/>
      </c>
      <c r="AV29" s="13">
        <f>AV21-AV28</f>
        <v/>
      </c>
      <c r="AW29" s="13">
        <f>AW21-AW28</f>
        <v/>
      </c>
      <c r="AX29" s="13">
        <f>AX21-AX28</f>
        <v/>
      </c>
      <c r="AY29" s="13">
        <f>AY21-AY28</f>
        <v/>
      </c>
      <c r="AZ29" s="13">
        <f>AZ21-AZ28</f>
        <v/>
      </c>
      <c r="BA29" s="13">
        <f>BA21-BA28</f>
        <v/>
      </c>
      <c r="BB29" s="13">
        <f>BB21-BB28</f>
        <v/>
      </c>
      <c r="BC29" s="13">
        <f>BC21-BC28</f>
        <v/>
      </c>
      <c r="BD29" s="13">
        <f>BD21-BD28</f>
        <v/>
      </c>
      <c r="BE29" s="13">
        <f>BE21-BE28</f>
        <v/>
      </c>
      <c r="BF29" s="13">
        <f>BF21-BF28</f>
        <v/>
      </c>
      <c r="BG29" s="13">
        <f>BG21-BG28</f>
        <v/>
      </c>
      <c r="BH29" s="13">
        <f>BH21-BH28</f>
        <v/>
      </c>
      <c r="BI29" s="13">
        <f>BI21-BI28</f>
        <v/>
      </c>
      <c r="BJ29" s="13">
        <f>BJ21-BJ28</f>
        <v/>
      </c>
      <c r="BK29" s="13">
        <f>BK21-BK28</f>
        <v/>
      </c>
      <c r="BL29" s="13">
        <f>BL21-BL28</f>
        <v/>
      </c>
      <c r="BM29" s="13">
        <f>BM21-BM28</f>
        <v/>
      </c>
      <c r="BN29" s="13">
        <f>BN21-BN28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6">
        <f>IF(Debt!J115&gt;Inputs!$F$253,Debt!J112/Debt!J115,0)</f>
        <v/>
      </c>
      <c r="K7" s="16">
        <f>IF(Debt!K115&gt;Inputs!$F$253,Debt!K112/Debt!K115,0)</f>
        <v/>
      </c>
      <c r="L7" s="16">
        <f>IF(Debt!L115&gt;Inputs!$F$253,Debt!L112/Debt!L115,0)</f>
        <v/>
      </c>
      <c r="M7" s="16">
        <f>IF(Debt!M115&gt;Inputs!$F$253,Debt!M112/Debt!M115,0)</f>
        <v/>
      </c>
      <c r="N7" s="16">
        <f>IF(Debt!N115&gt;Inputs!$F$253,Debt!N112/Debt!N115,0)</f>
        <v/>
      </c>
      <c r="O7" s="16">
        <f>IF(Debt!O115&gt;Inputs!$F$253,Debt!O112/Debt!O115,0)</f>
        <v/>
      </c>
      <c r="P7" s="16">
        <f>IF(Debt!P115&gt;Inputs!$F$253,Debt!P112/Debt!P115,0)</f>
        <v/>
      </c>
      <c r="Q7" s="16">
        <f>IF(Debt!Q115&gt;Inputs!$F$253,Debt!Q112/Debt!Q115,0)</f>
        <v/>
      </c>
      <c r="R7" s="16">
        <f>IF(Debt!R115&gt;Inputs!$F$253,Debt!R112/Debt!R115,0)</f>
        <v/>
      </c>
      <c r="S7" s="16">
        <f>IF(Debt!S115&gt;Inputs!$F$253,Debt!S112/Debt!S115,0)</f>
        <v/>
      </c>
      <c r="T7" s="16">
        <f>IF(Debt!T115&gt;Inputs!$F$253,Debt!T112/Debt!T115,0)</f>
        <v/>
      </c>
      <c r="U7" s="16">
        <f>IF(Debt!U115&gt;Inputs!$F$253,Debt!U112/Debt!U115,0)</f>
        <v/>
      </c>
      <c r="V7" s="16">
        <f>IF(Debt!V115&gt;Inputs!$F$253,Debt!V112/Debt!V115,0)</f>
        <v/>
      </c>
      <c r="W7" s="16">
        <f>IF(Debt!W115&gt;Inputs!$F$253,Debt!W112/Debt!W115,0)</f>
        <v/>
      </c>
      <c r="X7" s="16">
        <f>IF(Debt!X115&gt;Inputs!$F$253,Debt!X112/Debt!X115,0)</f>
        <v/>
      </c>
      <c r="Y7" s="16">
        <f>IF(Debt!Y115&gt;Inputs!$F$253,Debt!Y112/Debt!Y115,0)</f>
        <v/>
      </c>
      <c r="Z7" s="16">
        <f>IF(Debt!Z115&gt;Inputs!$F$253,Debt!Z112/Debt!Z115,0)</f>
        <v/>
      </c>
      <c r="AA7" s="16">
        <f>IF(Debt!AA115&gt;Inputs!$F$253,Debt!AA112/Debt!AA115,0)</f>
        <v/>
      </c>
      <c r="AB7" s="16">
        <f>IF(Debt!AB115&gt;Inputs!$F$253,Debt!AB112/Debt!AB115,0)</f>
        <v/>
      </c>
      <c r="AC7" s="16">
        <f>IF(Debt!AC115&gt;Inputs!$F$253,Debt!AC112/Debt!AC115,0)</f>
        <v/>
      </c>
      <c r="AD7" s="16">
        <f>IF(Debt!AD115&gt;Inputs!$F$253,Debt!AD112/Debt!AD115,0)</f>
        <v/>
      </c>
      <c r="AE7" s="16">
        <f>IF(Debt!AE115&gt;Inputs!$F$253,Debt!AE112/Debt!AE115,0)</f>
        <v/>
      </c>
      <c r="AF7" s="16">
        <f>IF(Debt!AF115&gt;Inputs!$F$253,Debt!AF112/Debt!AF115,0)</f>
        <v/>
      </c>
      <c r="AG7" s="16">
        <f>IF(Debt!AG115&gt;Inputs!$F$253,Debt!AG112/Debt!AG115,0)</f>
        <v/>
      </c>
      <c r="AH7" s="16">
        <f>IF(Debt!AH115&gt;Inputs!$F$253,Debt!AH112/Debt!AH115,0)</f>
        <v/>
      </c>
      <c r="AI7" s="16">
        <f>IF(Debt!AI115&gt;Inputs!$F$253,Debt!AI112/Debt!AI115,0)</f>
        <v/>
      </c>
      <c r="AJ7" s="16">
        <f>IF(Debt!AJ115&gt;Inputs!$F$253,Debt!AJ112/Debt!AJ115,0)</f>
        <v/>
      </c>
      <c r="AK7" s="16">
        <f>IF(Debt!AK115&gt;Inputs!$F$253,Debt!AK112/Debt!AK115,0)</f>
        <v/>
      </c>
      <c r="AL7" s="16">
        <f>IF(Debt!AL115&gt;Inputs!$F$253,Debt!AL112/Debt!AL115,0)</f>
        <v/>
      </c>
      <c r="AM7" s="16">
        <f>IF(Debt!AM115&gt;Inputs!$F$253,Debt!AM112/Debt!AM115,0)</f>
        <v/>
      </c>
      <c r="AN7" s="16">
        <f>IF(Debt!AN115&gt;Inputs!$F$253,Debt!AN112/Debt!AN115,0)</f>
        <v/>
      </c>
      <c r="AO7" s="16">
        <f>IF(Debt!AO115&gt;Inputs!$F$253,Debt!AO112/Debt!AO115,0)</f>
        <v/>
      </c>
      <c r="AP7" s="16">
        <f>IF(Debt!AP115&gt;Inputs!$F$253,Debt!AP112/Debt!AP115,0)</f>
        <v/>
      </c>
      <c r="AQ7" s="16">
        <f>IF(Debt!AQ115&gt;Inputs!$F$253,Debt!AQ112/Debt!AQ115,0)</f>
        <v/>
      </c>
      <c r="AR7" s="16">
        <f>IF(Debt!AR115&gt;Inputs!$F$253,Debt!AR112/Debt!AR115,0)</f>
        <v/>
      </c>
      <c r="AS7" s="16">
        <f>IF(Debt!AS115&gt;Inputs!$F$253,Debt!AS112/Debt!AS115,0)</f>
        <v/>
      </c>
      <c r="AT7" s="16">
        <f>IF(Debt!AT115&gt;Inputs!$F$253,Debt!AT112/Debt!AT115,0)</f>
        <v/>
      </c>
      <c r="AU7" s="16">
        <f>IF(Debt!AU115&gt;Inputs!$F$253,Debt!AU112/Debt!AU115,0)</f>
        <v/>
      </c>
      <c r="AV7" s="16">
        <f>IF(Debt!AV115&gt;Inputs!$F$253,Debt!AV112/Debt!AV115,0)</f>
        <v/>
      </c>
      <c r="AW7" s="16">
        <f>IF(Debt!AW115&gt;Inputs!$F$253,Debt!AW112/Debt!AW115,0)</f>
        <v/>
      </c>
      <c r="AX7" s="16">
        <f>IF(Debt!AX115&gt;Inputs!$F$253,Debt!AX112/Debt!AX115,0)</f>
        <v/>
      </c>
      <c r="AY7" s="16">
        <f>IF(Debt!AY115&gt;Inputs!$F$253,Debt!AY112/Debt!AY115,0)</f>
        <v/>
      </c>
      <c r="AZ7" s="16">
        <f>IF(Debt!AZ115&gt;Inputs!$F$253,Debt!AZ112/Debt!AZ115,0)</f>
        <v/>
      </c>
      <c r="BA7" s="16">
        <f>IF(Debt!BA115&gt;Inputs!$F$253,Debt!BA112/Debt!BA115,0)</f>
        <v/>
      </c>
      <c r="BB7" s="16">
        <f>IF(Debt!BB115&gt;Inputs!$F$253,Debt!BB112/Debt!BB115,0)</f>
        <v/>
      </c>
      <c r="BC7" s="16">
        <f>IF(Debt!BC115&gt;Inputs!$F$253,Debt!BC112/Debt!BC115,0)</f>
        <v/>
      </c>
      <c r="BD7" s="16">
        <f>IF(Debt!BD115&gt;Inputs!$F$253,Debt!BD112/Debt!BD115,0)</f>
        <v/>
      </c>
      <c r="BE7" s="16">
        <f>IF(Debt!BE115&gt;Inputs!$F$253,Debt!BE112/Debt!BE115,0)</f>
        <v/>
      </c>
      <c r="BF7" s="16">
        <f>IF(Debt!BF115&gt;Inputs!$F$253,Debt!BF112/Debt!BF115,0)</f>
        <v/>
      </c>
      <c r="BG7" s="16">
        <f>IF(Debt!BG115&gt;Inputs!$F$253,Debt!BG112/Debt!BG115,0)</f>
        <v/>
      </c>
      <c r="BH7" s="16">
        <f>IF(Debt!BH115&gt;Inputs!$F$253,Debt!BH112/Debt!BH115,0)</f>
        <v/>
      </c>
      <c r="BI7" s="16">
        <f>IF(Debt!BI115&gt;Inputs!$F$253,Debt!BI112/Debt!BI115,0)</f>
        <v/>
      </c>
      <c r="BJ7" s="16">
        <f>IF(Debt!BJ115&gt;Inputs!$F$253,Debt!BJ112/Debt!BJ115,0)</f>
        <v/>
      </c>
      <c r="BK7" s="16">
        <f>IF(Debt!BK115&gt;Inputs!$F$253,Debt!BK112/Debt!BK115,0)</f>
        <v/>
      </c>
      <c r="BL7" s="16">
        <f>IF(Debt!BL115&gt;Inputs!$F$253,Debt!BL112/Debt!BL115,0)</f>
        <v/>
      </c>
      <c r="BM7" s="16">
        <f>IF(Debt!BM115&gt;Inputs!$F$253,Debt!BM112/Debt!BM115,0)</f>
        <v/>
      </c>
      <c r="BN7" s="16">
        <f>IF(Debt!BN115&gt;Inputs!$F$253,Debt!BN112/Debt!BN115,0)</f>
        <v/>
      </c>
    </row>
    <row r="8">
      <c r="D8" t="inlineStr">
        <is>
          <t>Final maturity period</t>
        </is>
      </c>
      <c r="E8" t="inlineStr">
        <is>
          <t>index</t>
        </is>
      </c>
      <c r="F8" s="10">
        <f>SUMPRODUCT(MAX((Debt!$J$115:$BN$115&gt;Inputs!$F$253)*Time!$J$20:$BN$20))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6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6">
        <f>IF(J7&gt;0,J7,$F$9)</f>
        <v/>
      </c>
      <c r="K10" s="16">
        <f>IF(K7&gt;0,K7,$F$9)</f>
        <v/>
      </c>
      <c r="L10" s="16">
        <f>IF(L7&gt;0,L7,$F$9)</f>
        <v/>
      </c>
      <c r="M10" s="16">
        <f>IF(M7&gt;0,M7,$F$9)</f>
        <v/>
      </c>
      <c r="N10" s="16">
        <f>IF(N7&gt;0,N7,$F$9)</f>
        <v/>
      </c>
      <c r="O10" s="16">
        <f>IF(O7&gt;0,O7,$F$9)</f>
        <v/>
      </c>
      <c r="P10" s="16">
        <f>IF(P7&gt;0,P7,$F$9)</f>
        <v/>
      </c>
      <c r="Q10" s="16">
        <f>IF(Q7&gt;0,Q7,$F$9)</f>
        <v/>
      </c>
      <c r="R10" s="16">
        <f>IF(R7&gt;0,R7,$F$9)</f>
        <v/>
      </c>
      <c r="S10" s="16">
        <f>IF(S7&gt;0,S7,$F$9)</f>
        <v/>
      </c>
      <c r="T10" s="16">
        <f>IF(T7&gt;0,T7,$F$9)</f>
        <v/>
      </c>
      <c r="U10" s="16">
        <f>IF(U7&gt;0,U7,$F$9)</f>
        <v/>
      </c>
      <c r="V10" s="16">
        <f>IF(V7&gt;0,V7,$F$9)</f>
        <v/>
      </c>
      <c r="W10" s="16">
        <f>IF(W7&gt;0,W7,$F$9)</f>
        <v/>
      </c>
      <c r="X10" s="16">
        <f>IF(X7&gt;0,X7,$F$9)</f>
        <v/>
      </c>
      <c r="Y10" s="16">
        <f>IF(Y7&gt;0,Y7,$F$9)</f>
        <v/>
      </c>
      <c r="Z10" s="16">
        <f>IF(Z7&gt;0,Z7,$F$9)</f>
        <v/>
      </c>
      <c r="AA10" s="16">
        <f>IF(AA7&gt;0,AA7,$F$9)</f>
        <v/>
      </c>
      <c r="AB10" s="16">
        <f>IF(AB7&gt;0,AB7,$F$9)</f>
        <v/>
      </c>
      <c r="AC10" s="16">
        <f>IF(AC7&gt;0,AC7,$F$9)</f>
        <v/>
      </c>
      <c r="AD10" s="16">
        <f>IF(AD7&gt;0,AD7,$F$9)</f>
        <v/>
      </c>
      <c r="AE10" s="16">
        <f>IF(AE7&gt;0,AE7,$F$9)</f>
        <v/>
      </c>
      <c r="AF10" s="16">
        <f>IF(AF7&gt;0,AF7,$F$9)</f>
        <v/>
      </c>
      <c r="AG10" s="16">
        <f>IF(AG7&gt;0,AG7,$F$9)</f>
        <v/>
      </c>
      <c r="AH10" s="16">
        <f>IF(AH7&gt;0,AH7,$F$9)</f>
        <v/>
      </c>
      <c r="AI10" s="16">
        <f>IF(AI7&gt;0,AI7,$F$9)</f>
        <v/>
      </c>
      <c r="AJ10" s="16">
        <f>IF(AJ7&gt;0,AJ7,$F$9)</f>
        <v/>
      </c>
      <c r="AK10" s="16">
        <f>IF(AK7&gt;0,AK7,$F$9)</f>
        <v/>
      </c>
      <c r="AL10" s="16">
        <f>IF(AL7&gt;0,AL7,$F$9)</f>
        <v/>
      </c>
      <c r="AM10" s="16">
        <f>IF(AM7&gt;0,AM7,$F$9)</f>
        <v/>
      </c>
      <c r="AN10" s="16">
        <f>IF(AN7&gt;0,AN7,$F$9)</f>
        <v/>
      </c>
      <c r="AO10" s="16">
        <f>IF(AO7&gt;0,AO7,$F$9)</f>
        <v/>
      </c>
      <c r="AP10" s="16">
        <f>IF(AP7&gt;0,AP7,$F$9)</f>
        <v/>
      </c>
      <c r="AQ10" s="16">
        <f>IF(AQ7&gt;0,AQ7,$F$9)</f>
        <v/>
      </c>
      <c r="AR10" s="16">
        <f>IF(AR7&gt;0,AR7,$F$9)</f>
        <v/>
      </c>
      <c r="AS10" s="16">
        <f>IF(AS7&gt;0,AS7,$F$9)</f>
        <v/>
      </c>
      <c r="AT10" s="16">
        <f>IF(AT7&gt;0,AT7,$F$9)</f>
        <v/>
      </c>
      <c r="AU10" s="16">
        <f>IF(AU7&gt;0,AU7,$F$9)</f>
        <v/>
      </c>
      <c r="AV10" s="16">
        <f>IF(AV7&gt;0,AV7,$F$9)</f>
        <v/>
      </c>
      <c r="AW10" s="16">
        <f>IF(AW7&gt;0,AW7,$F$9)</f>
        <v/>
      </c>
      <c r="AX10" s="16">
        <f>IF(AX7&gt;0,AX7,$F$9)</f>
        <v/>
      </c>
      <c r="AY10" s="16">
        <f>IF(AY7&gt;0,AY7,$F$9)</f>
        <v/>
      </c>
      <c r="AZ10" s="16">
        <f>IF(AZ7&gt;0,AZ7,$F$9)</f>
        <v/>
      </c>
      <c r="BA10" s="16">
        <f>IF(BA7&gt;0,BA7,$F$9)</f>
        <v/>
      </c>
      <c r="BB10" s="16">
        <f>IF(BB7&gt;0,BB7,$F$9)</f>
        <v/>
      </c>
      <c r="BC10" s="16">
        <f>IF(BC7&gt;0,BC7,$F$9)</f>
        <v/>
      </c>
      <c r="BD10" s="16">
        <f>IF(BD7&gt;0,BD7,$F$9)</f>
        <v/>
      </c>
      <c r="BE10" s="16">
        <f>IF(BE7&gt;0,BE7,$F$9)</f>
        <v/>
      </c>
      <c r="BF10" s="16">
        <f>IF(BF7&gt;0,BF7,$F$9)</f>
        <v/>
      </c>
      <c r="BG10" s="16">
        <f>IF(BG7&gt;0,BG7,$F$9)</f>
        <v/>
      </c>
      <c r="BH10" s="16">
        <f>IF(BH7&gt;0,BH7,$F$9)</f>
        <v/>
      </c>
      <c r="BI10" s="16">
        <f>IF(BI7&gt;0,BI7,$F$9)</f>
        <v/>
      </c>
      <c r="BJ10" s="16">
        <f>IF(BJ7&gt;0,BJ7,$F$9)</f>
        <v/>
      </c>
      <c r="BK10" s="16">
        <f>IF(BK7&gt;0,BK7,$F$9)</f>
        <v/>
      </c>
      <c r="BL10" s="16">
        <f>IF(BL7&gt;0,BL7,$F$9)</f>
        <v/>
      </c>
      <c r="BM10" s="16">
        <f>IF(BM7&gt;0,BM7,$F$9)</f>
        <v/>
      </c>
      <c r="BN10" s="16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3">
        <f>IF(Time!J20&lt;=$F$8,(Waterfall!J7+K11)/(1+J10),0)</f>
        <v/>
      </c>
      <c r="K11" s="13">
        <f>IF(Time!K20&lt;=$F$8,(Waterfall!K7+L11)/(1+K10),0)</f>
        <v/>
      </c>
      <c r="L11" s="13">
        <f>IF(Time!L20&lt;=$F$8,(Waterfall!L7+M11)/(1+L10),0)</f>
        <v/>
      </c>
      <c r="M11" s="13">
        <f>IF(Time!M20&lt;=$F$8,(Waterfall!M7+N11)/(1+M10),0)</f>
        <v/>
      </c>
      <c r="N11" s="13">
        <f>IF(Time!N20&lt;=$F$8,(Waterfall!N7+O11)/(1+N10),0)</f>
        <v/>
      </c>
      <c r="O11" s="13">
        <f>IF(Time!O20&lt;=$F$8,(Waterfall!O7+P11)/(1+O10),0)</f>
        <v/>
      </c>
      <c r="P11" s="13">
        <f>IF(Time!P20&lt;=$F$8,(Waterfall!P7+Q11)/(1+P10),0)</f>
        <v/>
      </c>
      <c r="Q11" s="13">
        <f>IF(Time!Q20&lt;=$F$8,(Waterfall!Q7+R11)/(1+Q10),0)</f>
        <v/>
      </c>
      <c r="R11" s="13">
        <f>IF(Time!R20&lt;=$F$8,(Waterfall!R7+S11)/(1+R10),0)</f>
        <v/>
      </c>
      <c r="S11" s="13">
        <f>IF(Time!S20&lt;=$F$8,(Waterfall!S7+T11)/(1+S10),0)</f>
        <v/>
      </c>
      <c r="T11" s="13">
        <f>IF(Time!T20&lt;=$F$8,(Waterfall!T7+U11)/(1+T10),0)</f>
        <v/>
      </c>
      <c r="U11" s="13">
        <f>IF(Time!U20&lt;=$F$8,(Waterfall!U7+V11)/(1+U10),0)</f>
        <v/>
      </c>
      <c r="V11" s="13">
        <f>IF(Time!V20&lt;=$F$8,(Waterfall!V7+W11)/(1+V10),0)</f>
        <v/>
      </c>
      <c r="W11" s="13">
        <f>IF(Time!W20&lt;=$F$8,(Waterfall!W7+X11)/(1+W10),0)</f>
        <v/>
      </c>
      <c r="X11" s="13">
        <f>IF(Time!X20&lt;=$F$8,(Waterfall!X7+Y11)/(1+X10),0)</f>
        <v/>
      </c>
      <c r="Y11" s="13">
        <f>IF(Time!Y20&lt;=$F$8,(Waterfall!Y7+Z11)/(1+Y10),0)</f>
        <v/>
      </c>
      <c r="Z11" s="13">
        <f>IF(Time!Z20&lt;=$F$8,(Waterfall!Z7+AA11)/(1+Z10),0)</f>
        <v/>
      </c>
      <c r="AA11" s="13">
        <f>IF(Time!AA20&lt;=$F$8,(Waterfall!AA7+AB11)/(1+AA10),0)</f>
        <v/>
      </c>
      <c r="AB11" s="13">
        <f>IF(Time!AB20&lt;=$F$8,(Waterfall!AB7+AC11)/(1+AB10),0)</f>
        <v/>
      </c>
      <c r="AC11" s="13">
        <f>IF(Time!AC20&lt;=$F$8,(Waterfall!AC7+AD11)/(1+AC10),0)</f>
        <v/>
      </c>
      <c r="AD11" s="13">
        <f>IF(Time!AD20&lt;=$F$8,(Waterfall!AD7+AE11)/(1+AD10),0)</f>
        <v/>
      </c>
      <c r="AE11" s="13">
        <f>IF(Time!AE20&lt;=$F$8,(Waterfall!AE7+AF11)/(1+AE10),0)</f>
        <v/>
      </c>
      <c r="AF11" s="13">
        <f>IF(Time!AF20&lt;=$F$8,(Waterfall!AF7+AG11)/(1+AF10),0)</f>
        <v/>
      </c>
      <c r="AG11" s="13">
        <f>IF(Time!AG20&lt;=$F$8,(Waterfall!AG7+AH11)/(1+AG10),0)</f>
        <v/>
      </c>
      <c r="AH11" s="13">
        <f>IF(Time!AH20&lt;=$F$8,(Waterfall!AH7+AI11)/(1+AH10),0)</f>
        <v/>
      </c>
      <c r="AI11" s="13">
        <f>IF(Time!AI20&lt;=$F$8,(Waterfall!AI7+AJ11)/(1+AI10),0)</f>
        <v/>
      </c>
      <c r="AJ11" s="13">
        <f>IF(Time!AJ20&lt;=$F$8,(Waterfall!AJ7+AK11)/(1+AJ10),0)</f>
        <v/>
      </c>
      <c r="AK11" s="13">
        <f>IF(Time!AK20&lt;=$F$8,(Waterfall!AK7+AL11)/(1+AK10),0)</f>
        <v/>
      </c>
      <c r="AL11" s="13">
        <f>IF(Time!AL20&lt;=$F$8,(Waterfall!AL7+AM11)/(1+AL10),0)</f>
        <v/>
      </c>
      <c r="AM11" s="13">
        <f>IF(Time!AM20&lt;=$F$8,(Waterfall!AM7+AN11)/(1+AM10),0)</f>
        <v/>
      </c>
      <c r="AN11" s="13">
        <f>IF(Time!AN20&lt;=$F$8,(Waterfall!AN7+AO11)/(1+AN10),0)</f>
        <v/>
      </c>
      <c r="AO11" s="13">
        <f>IF(Time!AO20&lt;=$F$8,(Waterfall!AO7+AP11)/(1+AO10),0)</f>
        <v/>
      </c>
      <c r="AP11" s="13">
        <f>IF(Time!AP20&lt;=$F$8,(Waterfall!AP7+AQ11)/(1+AP10),0)</f>
        <v/>
      </c>
      <c r="AQ11" s="13">
        <f>IF(Time!AQ20&lt;=$F$8,(Waterfall!AQ7+AR11)/(1+AQ10),0)</f>
        <v/>
      </c>
      <c r="AR11" s="13">
        <f>IF(Time!AR20&lt;=$F$8,(Waterfall!AR7+AS11)/(1+AR10),0)</f>
        <v/>
      </c>
      <c r="AS11" s="13">
        <f>IF(Time!AS20&lt;=$F$8,(Waterfall!AS7+AT11)/(1+AS10),0)</f>
        <v/>
      </c>
      <c r="AT11" s="13">
        <f>IF(Time!AT20&lt;=$F$8,(Waterfall!AT7+AU11)/(1+AT10),0)</f>
        <v/>
      </c>
      <c r="AU11" s="13">
        <f>IF(Time!AU20&lt;=$F$8,(Waterfall!AU7+AV11)/(1+AU10),0)</f>
        <v/>
      </c>
      <c r="AV11" s="13">
        <f>IF(Time!AV20&lt;=$F$8,(Waterfall!AV7+AW11)/(1+AV10),0)</f>
        <v/>
      </c>
      <c r="AW11" s="13">
        <f>IF(Time!AW20&lt;=$F$8,(Waterfall!AW7+AX11)/(1+AW10),0)</f>
        <v/>
      </c>
      <c r="AX11" s="13">
        <f>IF(Time!AX20&lt;=$F$8,(Waterfall!AX7+AY11)/(1+AX10),0)</f>
        <v/>
      </c>
      <c r="AY11" s="13">
        <f>IF(Time!AY20&lt;=$F$8,(Waterfall!AY7+AZ11)/(1+AY10),0)</f>
        <v/>
      </c>
      <c r="AZ11" s="13">
        <f>IF(Time!AZ20&lt;=$F$8,(Waterfall!AZ7+BA11)/(1+AZ10),0)</f>
        <v/>
      </c>
      <c r="BA11" s="13">
        <f>IF(Time!BA20&lt;=$F$8,(Waterfall!BA7+BB11)/(1+BA10),0)</f>
        <v/>
      </c>
      <c r="BB11" s="13">
        <f>IF(Time!BB20&lt;=$F$8,(Waterfall!BB7+BC11)/(1+BB10),0)</f>
        <v/>
      </c>
      <c r="BC11" s="13">
        <f>IF(Time!BC20&lt;=$F$8,(Waterfall!BC7+BD11)/(1+BC10),0)</f>
        <v/>
      </c>
      <c r="BD11" s="13">
        <f>IF(Time!BD20&lt;=$F$8,(Waterfall!BD7+BE11)/(1+BD10),0)</f>
        <v/>
      </c>
      <c r="BE11" s="13">
        <f>IF(Time!BE20&lt;=$F$8,(Waterfall!BE7+BF11)/(1+BE10),0)</f>
        <v/>
      </c>
      <c r="BF11" s="13">
        <f>IF(Time!BF20&lt;=$F$8,(Waterfall!BF7+BG11)/(1+BF10),0)</f>
        <v/>
      </c>
      <c r="BG11" s="13">
        <f>IF(Time!BG20&lt;=$F$8,(Waterfall!BG7+BH11)/(1+BG10),0)</f>
        <v/>
      </c>
      <c r="BH11" s="13">
        <f>IF(Time!BH20&lt;=$F$8,(Waterfall!BH7+BI11)/(1+BH10),0)</f>
        <v/>
      </c>
      <c r="BI11" s="13">
        <f>IF(Time!BI20&lt;=$F$8,(Waterfall!BI7+BJ11)/(1+BI10),0)</f>
        <v/>
      </c>
      <c r="BJ11" s="13">
        <f>IF(Time!BJ20&lt;=$F$8,(Waterfall!BJ7+BK11)/(1+BJ10),0)</f>
        <v/>
      </c>
      <c r="BK11" s="13">
        <f>IF(Time!BK20&lt;=$F$8,(Waterfall!BK7+BL11)/(1+BK10),0)</f>
        <v/>
      </c>
      <c r="BL11" s="13">
        <f>IF(Time!BL20&lt;=$F$8,(Waterfall!BL7+BM11)/(1+BL10),0)</f>
        <v/>
      </c>
      <c r="BM11" s="13">
        <f>IF(Time!BM20&lt;=$F$8,(Waterfall!BM7+BN11)/(1+BM10),0)</f>
        <v/>
      </c>
      <c r="BN11" s="13">
        <f>IF(Time!BN20&lt;=$F$8,(Waterfall!BN7+BO11)/(1+BN10),0)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3">
        <f>IF(Time!J20&lt;=Time!$F$15,(Waterfall!J7+K12)/(1+J10),0)</f>
        <v/>
      </c>
      <c r="K12" s="13">
        <f>IF(Time!K20&lt;=Time!$F$15,(Waterfall!K7+L12)/(1+K10),0)</f>
        <v/>
      </c>
      <c r="L12" s="13">
        <f>IF(Time!L20&lt;=Time!$F$15,(Waterfall!L7+M12)/(1+L10),0)</f>
        <v/>
      </c>
      <c r="M12" s="13">
        <f>IF(Time!M20&lt;=Time!$F$15,(Waterfall!M7+N12)/(1+M10),0)</f>
        <v/>
      </c>
      <c r="N12" s="13">
        <f>IF(Time!N20&lt;=Time!$F$15,(Waterfall!N7+O12)/(1+N10),0)</f>
        <v/>
      </c>
      <c r="O12" s="13">
        <f>IF(Time!O20&lt;=Time!$F$15,(Waterfall!O7+P12)/(1+O10),0)</f>
        <v/>
      </c>
      <c r="P12" s="13">
        <f>IF(Time!P20&lt;=Time!$F$15,(Waterfall!P7+Q12)/(1+P10),0)</f>
        <v/>
      </c>
      <c r="Q12" s="13">
        <f>IF(Time!Q20&lt;=Time!$F$15,(Waterfall!Q7+R12)/(1+Q10),0)</f>
        <v/>
      </c>
      <c r="R12" s="13">
        <f>IF(Time!R20&lt;=Time!$F$15,(Waterfall!R7+S12)/(1+R10),0)</f>
        <v/>
      </c>
      <c r="S12" s="13">
        <f>IF(Time!S20&lt;=Time!$F$15,(Waterfall!S7+T12)/(1+S10),0)</f>
        <v/>
      </c>
      <c r="T12" s="13">
        <f>IF(Time!T20&lt;=Time!$F$15,(Waterfall!T7+U12)/(1+T10),0)</f>
        <v/>
      </c>
      <c r="U12" s="13">
        <f>IF(Time!U20&lt;=Time!$F$15,(Waterfall!U7+V12)/(1+U10),0)</f>
        <v/>
      </c>
      <c r="V12" s="13">
        <f>IF(Time!V20&lt;=Time!$F$15,(Waterfall!V7+W12)/(1+V10),0)</f>
        <v/>
      </c>
      <c r="W12" s="13">
        <f>IF(Time!W20&lt;=Time!$F$15,(Waterfall!W7+X12)/(1+W10),0)</f>
        <v/>
      </c>
      <c r="X12" s="13">
        <f>IF(Time!X20&lt;=Time!$F$15,(Waterfall!X7+Y12)/(1+X10),0)</f>
        <v/>
      </c>
      <c r="Y12" s="13">
        <f>IF(Time!Y20&lt;=Time!$F$15,(Waterfall!Y7+Z12)/(1+Y10),0)</f>
        <v/>
      </c>
      <c r="Z12" s="13">
        <f>IF(Time!Z20&lt;=Time!$F$15,(Waterfall!Z7+AA12)/(1+Z10),0)</f>
        <v/>
      </c>
      <c r="AA12" s="13">
        <f>IF(Time!AA20&lt;=Time!$F$15,(Waterfall!AA7+AB12)/(1+AA10),0)</f>
        <v/>
      </c>
      <c r="AB12" s="13">
        <f>IF(Time!AB20&lt;=Time!$F$15,(Waterfall!AB7+AC12)/(1+AB10),0)</f>
        <v/>
      </c>
      <c r="AC12" s="13">
        <f>IF(Time!AC20&lt;=Time!$F$15,(Waterfall!AC7+AD12)/(1+AC10),0)</f>
        <v/>
      </c>
      <c r="AD12" s="13">
        <f>IF(Time!AD20&lt;=Time!$F$15,(Waterfall!AD7+AE12)/(1+AD10),0)</f>
        <v/>
      </c>
      <c r="AE12" s="13">
        <f>IF(Time!AE20&lt;=Time!$F$15,(Waterfall!AE7+AF12)/(1+AE10),0)</f>
        <v/>
      </c>
      <c r="AF12" s="13">
        <f>IF(Time!AF20&lt;=Time!$F$15,(Waterfall!AF7+AG12)/(1+AF10),0)</f>
        <v/>
      </c>
      <c r="AG12" s="13">
        <f>IF(Time!AG20&lt;=Time!$F$15,(Waterfall!AG7+AH12)/(1+AG10),0)</f>
        <v/>
      </c>
      <c r="AH12" s="13">
        <f>IF(Time!AH20&lt;=Time!$F$15,(Waterfall!AH7+AI12)/(1+AH10),0)</f>
        <v/>
      </c>
      <c r="AI12" s="13">
        <f>IF(Time!AI20&lt;=Time!$F$15,(Waterfall!AI7+AJ12)/(1+AI10),0)</f>
        <v/>
      </c>
      <c r="AJ12" s="13">
        <f>IF(Time!AJ20&lt;=Time!$F$15,(Waterfall!AJ7+AK12)/(1+AJ10),0)</f>
        <v/>
      </c>
      <c r="AK12" s="13">
        <f>IF(Time!AK20&lt;=Time!$F$15,(Waterfall!AK7+AL12)/(1+AK10),0)</f>
        <v/>
      </c>
      <c r="AL12" s="13">
        <f>IF(Time!AL20&lt;=Time!$F$15,(Waterfall!AL7+AM12)/(1+AL10),0)</f>
        <v/>
      </c>
      <c r="AM12" s="13">
        <f>IF(Time!AM20&lt;=Time!$F$15,(Waterfall!AM7+AN12)/(1+AM10),0)</f>
        <v/>
      </c>
      <c r="AN12" s="13">
        <f>IF(Time!AN20&lt;=Time!$F$15,(Waterfall!AN7+AO12)/(1+AN10),0)</f>
        <v/>
      </c>
      <c r="AO12" s="13">
        <f>IF(Time!AO20&lt;=Time!$F$15,(Waterfall!AO7+AP12)/(1+AO10),0)</f>
        <v/>
      </c>
      <c r="AP12" s="13">
        <f>IF(Time!AP20&lt;=Time!$F$15,(Waterfall!AP7+AQ12)/(1+AP10),0)</f>
        <v/>
      </c>
      <c r="AQ12" s="13">
        <f>IF(Time!AQ20&lt;=Time!$F$15,(Waterfall!AQ7+AR12)/(1+AQ10),0)</f>
        <v/>
      </c>
      <c r="AR12" s="13">
        <f>IF(Time!AR20&lt;=Time!$F$15,(Waterfall!AR7+AS12)/(1+AR10),0)</f>
        <v/>
      </c>
      <c r="AS12" s="13">
        <f>IF(Time!AS20&lt;=Time!$F$15,(Waterfall!AS7+AT12)/(1+AS10),0)</f>
        <v/>
      </c>
      <c r="AT12" s="13">
        <f>IF(Time!AT20&lt;=Time!$F$15,(Waterfall!AT7+AU12)/(1+AT10),0)</f>
        <v/>
      </c>
      <c r="AU12" s="13">
        <f>IF(Time!AU20&lt;=Time!$F$15,(Waterfall!AU7+AV12)/(1+AU10),0)</f>
        <v/>
      </c>
      <c r="AV12" s="13">
        <f>IF(Time!AV20&lt;=Time!$F$15,(Waterfall!AV7+AW12)/(1+AV10),0)</f>
        <v/>
      </c>
      <c r="AW12" s="13">
        <f>IF(Time!AW20&lt;=Time!$F$15,(Waterfall!AW7+AX12)/(1+AW10),0)</f>
        <v/>
      </c>
      <c r="AX12" s="13">
        <f>IF(Time!AX20&lt;=Time!$F$15,(Waterfall!AX7+AY12)/(1+AX10),0)</f>
        <v/>
      </c>
      <c r="AY12" s="13">
        <f>IF(Time!AY20&lt;=Time!$F$15,(Waterfall!AY7+AZ12)/(1+AY10),0)</f>
        <v/>
      </c>
      <c r="AZ12" s="13">
        <f>IF(Time!AZ20&lt;=Time!$F$15,(Waterfall!AZ7+BA12)/(1+AZ10),0)</f>
        <v/>
      </c>
      <c r="BA12" s="13">
        <f>IF(Time!BA20&lt;=Time!$F$15,(Waterfall!BA7+BB12)/(1+BA10),0)</f>
        <v/>
      </c>
      <c r="BB12" s="13">
        <f>IF(Time!BB20&lt;=Time!$F$15,(Waterfall!BB7+BC12)/(1+BB10),0)</f>
        <v/>
      </c>
      <c r="BC12" s="13">
        <f>IF(Time!BC20&lt;=Time!$F$15,(Waterfall!BC7+BD12)/(1+BC10),0)</f>
        <v/>
      </c>
      <c r="BD12" s="13">
        <f>IF(Time!BD20&lt;=Time!$F$15,(Waterfall!BD7+BE12)/(1+BD10),0)</f>
        <v/>
      </c>
      <c r="BE12" s="13">
        <f>IF(Time!BE20&lt;=Time!$F$15,(Waterfall!BE7+BF12)/(1+BE10),0)</f>
        <v/>
      </c>
      <c r="BF12" s="13">
        <f>IF(Time!BF20&lt;=Time!$F$15,(Waterfall!BF7+BG12)/(1+BF10),0)</f>
        <v/>
      </c>
      <c r="BG12" s="13">
        <f>IF(Time!BG20&lt;=Time!$F$15,(Waterfall!BG7+BH12)/(1+BG10),0)</f>
        <v/>
      </c>
      <c r="BH12" s="13">
        <f>IF(Time!BH20&lt;=Time!$F$15,(Waterfall!BH7+BI12)/(1+BH10),0)</f>
        <v/>
      </c>
      <c r="BI12" s="13">
        <f>IF(Time!BI20&lt;=Time!$F$15,(Waterfall!BI7+BJ12)/(1+BI10),0)</f>
        <v/>
      </c>
      <c r="BJ12" s="13">
        <f>IF(Time!BJ20&lt;=Time!$F$15,(Waterfall!BJ7+BK12)/(1+BJ10),0)</f>
        <v/>
      </c>
      <c r="BK12" s="13">
        <f>IF(Time!BK20&lt;=Time!$F$15,(Waterfall!BK7+BL12)/(1+BK10),0)</f>
        <v/>
      </c>
      <c r="BL12" s="13">
        <f>IF(Time!BL20&lt;=Time!$F$15,(Waterfall!BL7+BM12)/(1+BL10),0)</f>
        <v/>
      </c>
      <c r="BM12" s="13">
        <f>IF(Time!BM20&lt;=Time!$F$15,(Waterfall!BM7+BN12)/(1+BM10),0)</f>
        <v/>
      </c>
      <c r="BN12" s="13">
        <f>IF(Time!BN20&lt;=Time!$F$15,(Waterfall!BN7+BO12)/(1+BN10),0)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IF(Debt!J115&gt;Inputs!$F$253,(J11+Reserves!J9)/Debt!J115,0)</f>
        <v/>
      </c>
      <c r="K13" s="6">
        <f>IF(Debt!K115&gt;Inputs!$F$253,(K11+Reserves!K9)/Debt!K115,0)</f>
        <v/>
      </c>
      <c r="L13" s="6">
        <f>IF(Debt!L115&gt;Inputs!$F$253,(L11+Reserves!L9)/Debt!L115,0)</f>
        <v/>
      </c>
      <c r="M13" s="6">
        <f>IF(Debt!M115&gt;Inputs!$F$253,(M11+Reserves!M9)/Debt!M115,0)</f>
        <v/>
      </c>
      <c r="N13" s="6">
        <f>IF(Debt!N115&gt;Inputs!$F$253,(N11+Reserves!N9)/Debt!N115,0)</f>
        <v/>
      </c>
      <c r="O13" s="6">
        <f>IF(Debt!O115&gt;Inputs!$F$253,(O11+Reserves!O9)/Debt!O115,0)</f>
        <v/>
      </c>
      <c r="P13" s="6">
        <f>IF(Debt!P115&gt;Inputs!$F$253,(P11+Reserves!P9)/Debt!P115,0)</f>
        <v/>
      </c>
      <c r="Q13" s="6">
        <f>IF(Debt!Q115&gt;Inputs!$F$253,(Q11+Reserves!Q9)/Debt!Q115,0)</f>
        <v/>
      </c>
      <c r="R13" s="6">
        <f>IF(Debt!R115&gt;Inputs!$F$253,(R11+Reserves!R9)/Debt!R115,0)</f>
        <v/>
      </c>
      <c r="S13" s="6">
        <f>IF(Debt!S115&gt;Inputs!$F$253,(S11+Reserves!S9)/Debt!S115,0)</f>
        <v/>
      </c>
      <c r="T13" s="6">
        <f>IF(Debt!T115&gt;Inputs!$F$253,(T11+Reserves!T9)/Debt!T115,0)</f>
        <v/>
      </c>
      <c r="U13" s="6">
        <f>IF(Debt!U115&gt;Inputs!$F$253,(U11+Reserves!U9)/Debt!U115,0)</f>
        <v/>
      </c>
      <c r="V13" s="6">
        <f>IF(Debt!V115&gt;Inputs!$F$253,(V11+Reserves!V9)/Debt!V115,0)</f>
        <v/>
      </c>
      <c r="W13" s="6">
        <f>IF(Debt!W115&gt;Inputs!$F$253,(W11+Reserves!W9)/Debt!W115,0)</f>
        <v/>
      </c>
      <c r="X13" s="6">
        <f>IF(Debt!X115&gt;Inputs!$F$253,(X11+Reserves!X9)/Debt!X115,0)</f>
        <v/>
      </c>
      <c r="Y13" s="6">
        <f>IF(Debt!Y115&gt;Inputs!$F$253,(Y11+Reserves!Y9)/Debt!Y115,0)</f>
        <v/>
      </c>
      <c r="Z13" s="6">
        <f>IF(Debt!Z115&gt;Inputs!$F$253,(Z11+Reserves!Z9)/Debt!Z115,0)</f>
        <v/>
      </c>
      <c r="AA13" s="6">
        <f>IF(Debt!AA115&gt;Inputs!$F$253,(AA11+Reserves!AA9)/Debt!AA115,0)</f>
        <v/>
      </c>
      <c r="AB13" s="6">
        <f>IF(Debt!AB115&gt;Inputs!$F$253,(AB11+Reserves!AB9)/Debt!AB115,0)</f>
        <v/>
      </c>
      <c r="AC13" s="6">
        <f>IF(Debt!AC115&gt;Inputs!$F$253,(AC11+Reserves!AC9)/Debt!AC115,0)</f>
        <v/>
      </c>
      <c r="AD13" s="6">
        <f>IF(Debt!AD115&gt;Inputs!$F$253,(AD11+Reserves!AD9)/Debt!AD115,0)</f>
        <v/>
      </c>
      <c r="AE13" s="6">
        <f>IF(Debt!AE115&gt;Inputs!$F$253,(AE11+Reserves!AE9)/Debt!AE115,0)</f>
        <v/>
      </c>
      <c r="AF13" s="6">
        <f>IF(Debt!AF115&gt;Inputs!$F$253,(AF11+Reserves!AF9)/Debt!AF115,0)</f>
        <v/>
      </c>
      <c r="AG13" s="6">
        <f>IF(Debt!AG115&gt;Inputs!$F$253,(AG11+Reserves!AG9)/Debt!AG115,0)</f>
        <v/>
      </c>
      <c r="AH13" s="6">
        <f>IF(Debt!AH115&gt;Inputs!$F$253,(AH11+Reserves!AH9)/Debt!AH115,0)</f>
        <v/>
      </c>
      <c r="AI13" s="6">
        <f>IF(Debt!AI115&gt;Inputs!$F$253,(AI11+Reserves!AI9)/Debt!AI115,0)</f>
        <v/>
      </c>
      <c r="AJ13" s="6">
        <f>IF(Debt!AJ115&gt;Inputs!$F$253,(AJ11+Reserves!AJ9)/Debt!AJ115,0)</f>
        <v/>
      </c>
      <c r="AK13" s="6">
        <f>IF(Debt!AK115&gt;Inputs!$F$253,(AK11+Reserves!AK9)/Debt!AK115,0)</f>
        <v/>
      </c>
      <c r="AL13" s="6">
        <f>IF(Debt!AL115&gt;Inputs!$F$253,(AL11+Reserves!AL9)/Debt!AL115,0)</f>
        <v/>
      </c>
      <c r="AM13" s="6">
        <f>IF(Debt!AM115&gt;Inputs!$F$253,(AM11+Reserves!AM9)/Debt!AM115,0)</f>
        <v/>
      </c>
      <c r="AN13" s="6">
        <f>IF(Debt!AN115&gt;Inputs!$F$253,(AN11+Reserves!AN9)/Debt!AN115,0)</f>
        <v/>
      </c>
      <c r="AO13" s="6">
        <f>IF(Debt!AO115&gt;Inputs!$F$253,(AO11+Reserves!AO9)/Debt!AO115,0)</f>
        <v/>
      </c>
      <c r="AP13" s="6">
        <f>IF(Debt!AP115&gt;Inputs!$F$253,(AP11+Reserves!AP9)/Debt!AP115,0)</f>
        <v/>
      </c>
      <c r="AQ13" s="6">
        <f>IF(Debt!AQ115&gt;Inputs!$F$253,(AQ11+Reserves!AQ9)/Debt!AQ115,0)</f>
        <v/>
      </c>
      <c r="AR13" s="6">
        <f>IF(Debt!AR115&gt;Inputs!$F$253,(AR11+Reserves!AR9)/Debt!AR115,0)</f>
        <v/>
      </c>
      <c r="AS13" s="6">
        <f>IF(Debt!AS115&gt;Inputs!$F$253,(AS11+Reserves!AS9)/Debt!AS115,0)</f>
        <v/>
      </c>
      <c r="AT13" s="6">
        <f>IF(Debt!AT115&gt;Inputs!$F$253,(AT11+Reserves!AT9)/Debt!AT115,0)</f>
        <v/>
      </c>
      <c r="AU13" s="6">
        <f>IF(Debt!AU115&gt;Inputs!$F$253,(AU11+Reserves!AU9)/Debt!AU115,0)</f>
        <v/>
      </c>
      <c r="AV13" s="6">
        <f>IF(Debt!AV115&gt;Inputs!$F$253,(AV11+Reserves!AV9)/Debt!AV115,0)</f>
        <v/>
      </c>
      <c r="AW13" s="6">
        <f>IF(Debt!AW115&gt;Inputs!$F$253,(AW11+Reserves!AW9)/Debt!AW115,0)</f>
        <v/>
      </c>
      <c r="AX13" s="6">
        <f>IF(Debt!AX115&gt;Inputs!$F$253,(AX11+Reserves!AX9)/Debt!AX115,0)</f>
        <v/>
      </c>
      <c r="AY13" s="6">
        <f>IF(Debt!AY115&gt;Inputs!$F$253,(AY11+Reserves!AY9)/Debt!AY115,0)</f>
        <v/>
      </c>
      <c r="AZ13" s="6">
        <f>IF(Debt!AZ115&gt;Inputs!$F$253,(AZ11+Reserves!AZ9)/Debt!AZ115,0)</f>
        <v/>
      </c>
      <c r="BA13" s="6">
        <f>IF(Debt!BA115&gt;Inputs!$F$253,(BA11+Reserves!BA9)/Debt!BA115,0)</f>
        <v/>
      </c>
      <c r="BB13" s="6">
        <f>IF(Debt!BB115&gt;Inputs!$F$253,(BB11+Reserves!BB9)/Debt!BB115,0)</f>
        <v/>
      </c>
      <c r="BC13" s="6">
        <f>IF(Debt!BC115&gt;Inputs!$F$253,(BC11+Reserves!BC9)/Debt!BC115,0)</f>
        <v/>
      </c>
      <c r="BD13" s="6">
        <f>IF(Debt!BD115&gt;Inputs!$F$253,(BD11+Reserves!BD9)/Debt!BD115,0)</f>
        <v/>
      </c>
      <c r="BE13" s="6">
        <f>IF(Debt!BE115&gt;Inputs!$F$253,(BE11+Reserves!BE9)/Debt!BE115,0)</f>
        <v/>
      </c>
      <c r="BF13" s="6">
        <f>IF(Debt!BF115&gt;Inputs!$F$253,(BF11+Reserves!BF9)/Debt!BF115,0)</f>
        <v/>
      </c>
      <c r="BG13" s="6">
        <f>IF(Debt!BG115&gt;Inputs!$F$253,(BG11+Reserves!BG9)/Debt!BG115,0)</f>
        <v/>
      </c>
      <c r="BH13" s="6">
        <f>IF(Debt!BH115&gt;Inputs!$F$253,(BH11+Reserves!BH9)/Debt!BH115,0)</f>
        <v/>
      </c>
      <c r="BI13" s="6">
        <f>IF(Debt!BI115&gt;Inputs!$F$253,(BI11+Reserves!BI9)/Debt!BI115,0)</f>
        <v/>
      </c>
      <c r="BJ13" s="6">
        <f>IF(Debt!BJ115&gt;Inputs!$F$253,(BJ11+Reserves!BJ9)/Debt!BJ115,0)</f>
        <v/>
      </c>
      <c r="BK13" s="6">
        <f>IF(Debt!BK115&gt;Inputs!$F$253,(BK11+Reserves!BK9)/Debt!BK115,0)</f>
        <v/>
      </c>
      <c r="BL13" s="6">
        <f>IF(Debt!BL115&gt;Inputs!$F$253,(BL11+Reserves!BL9)/Debt!BL115,0)</f>
        <v/>
      </c>
      <c r="BM13" s="6">
        <f>IF(Debt!BM115&gt;Inputs!$F$253,(BM11+Reserves!BM9)/Debt!BM115,0)</f>
        <v/>
      </c>
      <c r="BN13" s="6">
        <f>IF(Debt!BN115&gt;Inputs!$F$253,(BN11+Reserves!BN9)/Debt!BN115,0)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IF(Debt!J115&gt;Inputs!$F$253,J11/Debt!J115,0)</f>
        <v/>
      </c>
      <c r="K14" s="6">
        <f>IF(Debt!K115&gt;Inputs!$F$253,K11/Debt!K115,0)</f>
        <v/>
      </c>
      <c r="L14" s="6">
        <f>IF(Debt!L115&gt;Inputs!$F$253,L11/Debt!L115,0)</f>
        <v/>
      </c>
      <c r="M14" s="6">
        <f>IF(Debt!M115&gt;Inputs!$F$253,M11/Debt!M115,0)</f>
        <v/>
      </c>
      <c r="N14" s="6">
        <f>IF(Debt!N115&gt;Inputs!$F$253,N11/Debt!N115,0)</f>
        <v/>
      </c>
      <c r="O14" s="6">
        <f>IF(Debt!O115&gt;Inputs!$F$253,O11/Debt!O115,0)</f>
        <v/>
      </c>
      <c r="P14" s="6">
        <f>IF(Debt!P115&gt;Inputs!$F$253,P11/Debt!P115,0)</f>
        <v/>
      </c>
      <c r="Q14" s="6">
        <f>IF(Debt!Q115&gt;Inputs!$F$253,Q11/Debt!Q115,0)</f>
        <v/>
      </c>
      <c r="R14" s="6">
        <f>IF(Debt!R115&gt;Inputs!$F$253,R11/Debt!R115,0)</f>
        <v/>
      </c>
      <c r="S14" s="6">
        <f>IF(Debt!S115&gt;Inputs!$F$253,S11/Debt!S115,0)</f>
        <v/>
      </c>
      <c r="T14" s="6">
        <f>IF(Debt!T115&gt;Inputs!$F$253,T11/Debt!T115,0)</f>
        <v/>
      </c>
      <c r="U14" s="6">
        <f>IF(Debt!U115&gt;Inputs!$F$253,U11/Debt!U115,0)</f>
        <v/>
      </c>
      <c r="V14" s="6">
        <f>IF(Debt!V115&gt;Inputs!$F$253,V11/Debt!V115,0)</f>
        <v/>
      </c>
      <c r="W14" s="6">
        <f>IF(Debt!W115&gt;Inputs!$F$253,W11/Debt!W115,0)</f>
        <v/>
      </c>
      <c r="X14" s="6">
        <f>IF(Debt!X115&gt;Inputs!$F$253,X11/Debt!X115,0)</f>
        <v/>
      </c>
      <c r="Y14" s="6">
        <f>IF(Debt!Y115&gt;Inputs!$F$253,Y11/Debt!Y115,0)</f>
        <v/>
      </c>
      <c r="Z14" s="6">
        <f>IF(Debt!Z115&gt;Inputs!$F$253,Z11/Debt!Z115,0)</f>
        <v/>
      </c>
      <c r="AA14" s="6">
        <f>IF(Debt!AA115&gt;Inputs!$F$253,AA11/Debt!AA115,0)</f>
        <v/>
      </c>
      <c r="AB14" s="6">
        <f>IF(Debt!AB115&gt;Inputs!$F$253,AB11/Debt!AB115,0)</f>
        <v/>
      </c>
      <c r="AC14" s="6">
        <f>IF(Debt!AC115&gt;Inputs!$F$253,AC11/Debt!AC115,0)</f>
        <v/>
      </c>
      <c r="AD14" s="6">
        <f>IF(Debt!AD115&gt;Inputs!$F$253,AD11/Debt!AD115,0)</f>
        <v/>
      </c>
      <c r="AE14" s="6">
        <f>IF(Debt!AE115&gt;Inputs!$F$253,AE11/Debt!AE115,0)</f>
        <v/>
      </c>
      <c r="AF14" s="6">
        <f>IF(Debt!AF115&gt;Inputs!$F$253,AF11/Debt!AF115,0)</f>
        <v/>
      </c>
      <c r="AG14" s="6">
        <f>IF(Debt!AG115&gt;Inputs!$F$253,AG11/Debt!AG115,0)</f>
        <v/>
      </c>
      <c r="AH14" s="6">
        <f>IF(Debt!AH115&gt;Inputs!$F$253,AH11/Debt!AH115,0)</f>
        <v/>
      </c>
      <c r="AI14" s="6">
        <f>IF(Debt!AI115&gt;Inputs!$F$253,AI11/Debt!AI115,0)</f>
        <v/>
      </c>
      <c r="AJ14" s="6">
        <f>IF(Debt!AJ115&gt;Inputs!$F$253,AJ11/Debt!AJ115,0)</f>
        <v/>
      </c>
      <c r="AK14" s="6">
        <f>IF(Debt!AK115&gt;Inputs!$F$253,AK11/Debt!AK115,0)</f>
        <v/>
      </c>
      <c r="AL14" s="6">
        <f>IF(Debt!AL115&gt;Inputs!$F$253,AL11/Debt!AL115,0)</f>
        <v/>
      </c>
      <c r="AM14" s="6">
        <f>IF(Debt!AM115&gt;Inputs!$F$253,AM11/Debt!AM115,0)</f>
        <v/>
      </c>
      <c r="AN14" s="6">
        <f>IF(Debt!AN115&gt;Inputs!$F$253,AN11/Debt!AN115,0)</f>
        <v/>
      </c>
      <c r="AO14" s="6">
        <f>IF(Debt!AO115&gt;Inputs!$F$253,AO11/Debt!AO115,0)</f>
        <v/>
      </c>
      <c r="AP14" s="6">
        <f>IF(Debt!AP115&gt;Inputs!$F$253,AP11/Debt!AP115,0)</f>
        <v/>
      </c>
      <c r="AQ14" s="6">
        <f>IF(Debt!AQ115&gt;Inputs!$F$253,AQ11/Debt!AQ115,0)</f>
        <v/>
      </c>
      <c r="AR14" s="6">
        <f>IF(Debt!AR115&gt;Inputs!$F$253,AR11/Debt!AR115,0)</f>
        <v/>
      </c>
      <c r="AS14" s="6">
        <f>IF(Debt!AS115&gt;Inputs!$F$253,AS11/Debt!AS115,0)</f>
        <v/>
      </c>
      <c r="AT14" s="6">
        <f>IF(Debt!AT115&gt;Inputs!$F$253,AT11/Debt!AT115,0)</f>
        <v/>
      </c>
      <c r="AU14" s="6">
        <f>IF(Debt!AU115&gt;Inputs!$F$253,AU11/Debt!AU115,0)</f>
        <v/>
      </c>
      <c r="AV14" s="6">
        <f>IF(Debt!AV115&gt;Inputs!$F$253,AV11/Debt!AV115,0)</f>
        <v/>
      </c>
      <c r="AW14" s="6">
        <f>IF(Debt!AW115&gt;Inputs!$F$253,AW11/Debt!AW115,0)</f>
        <v/>
      </c>
      <c r="AX14" s="6">
        <f>IF(Debt!AX115&gt;Inputs!$F$253,AX11/Debt!AX115,0)</f>
        <v/>
      </c>
      <c r="AY14" s="6">
        <f>IF(Debt!AY115&gt;Inputs!$F$253,AY11/Debt!AY115,0)</f>
        <v/>
      </c>
      <c r="AZ14" s="6">
        <f>IF(Debt!AZ115&gt;Inputs!$F$253,AZ11/Debt!AZ115,0)</f>
        <v/>
      </c>
      <c r="BA14" s="6">
        <f>IF(Debt!BA115&gt;Inputs!$F$253,BA11/Debt!BA115,0)</f>
        <v/>
      </c>
      <c r="BB14" s="6">
        <f>IF(Debt!BB115&gt;Inputs!$F$253,BB11/Debt!BB115,0)</f>
        <v/>
      </c>
      <c r="BC14" s="6">
        <f>IF(Debt!BC115&gt;Inputs!$F$253,BC11/Debt!BC115,0)</f>
        <v/>
      </c>
      <c r="BD14" s="6">
        <f>IF(Debt!BD115&gt;Inputs!$F$253,BD11/Debt!BD115,0)</f>
        <v/>
      </c>
      <c r="BE14" s="6">
        <f>IF(Debt!BE115&gt;Inputs!$F$253,BE11/Debt!BE115,0)</f>
        <v/>
      </c>
      <c r="BF14" s="6">
        <f>IF(Debt!BF115&gt;Inputs!$F$253,BF11/Debt!BF115,0)</f>
        <v/>
      </c>
      <c r="BG14" s="6">
        <f>IF(Debt!BG115&gt;Inputs!$F$253,BG11/Debt!BG115,0)</f>
        <v/>
      </c>
      <c r="BH14" s="6">
        <f>IF(Debt!BH115&gt;Inputs!$F$253,BH11/Debt!BH115,0)</f>
        <v/>
      </c>
      <c r="BI14" s="6">
        <f>IF(Debt!BI115&gt;Inputs!$F$253,BI11/Debt!BI115,0)</f>
        <v/>
      </c>
      <c r="BJ14" s="6">
        <f>IF(Debt!BJ115&gt;Inputs!$F$253,BJ11/Debt!BJ115,0)</f>
        <v/>
      </c>
      <c r="BK14" s="6">
        <f>IF(Debt!BK115&gt;Inputs!$F$253,BK11/Debt!BK115,0)</f>
        <v/>
      </c>
      <c r="BL14" s="6">
        <f>IF(Debt!BL115&gt;Inputs!$F$253,BL11/Debt!BL115,0)</f>
        <v/>
      </c>
      <c r="BM14" s="6">
        <f>IF(Debt!BM115&gt;Inputs!$F$253,BM11/Debt!BM115,0)</f>
        <v/>
      </c>
      <c r="BN14" s="6">
        <f>IF(Debt!BN115&gt;Inputs!$F$253,BN11/Debt!BN115,0)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IF(Debt!J115&gt;Inputs!$F$253,J12/Debt!J115,0)</f>
        <v/>
      </c>
      <c r="K15" s="6">
        <f>IF(Debt!K115&gt;Inputs!$F$253,K12/Debt!K115,0)</f>
        <v/>
      </c>
      <c r="L15" s="6">
        <f>IF(Debt!L115&gt;Inputs!$F$253,L12/Debt!L115,0)</f>
        <v/>
      </c>
      <c r="M15" s="6">
        <f>IF(Debt!M115&gt;Inputs!$F$253,M12/Debt!M115,0)</f>
        <v/>
      </c>
      <c r="N15" s="6">
        <f>IF(Debt!N115&gt;Inputs!$F$253,N12/Debt!N115,0)</f>
        <v/>
      </c>
      <c r="O15" s="6">
        <f>IF(Debt!O115&gt;Inputs!$F$253,O12/Debt!O115,0)</f>
        <v/>
      </c>
      <c r="P15" s="6">
        <f>IF(Debt!P115&gt;Inputs!$F$253,P12/Debt!P115,0)</f>
        <v/>
      </c>
      <c r="Q15" s="6">
        <f>IF(Debt!Q115&gt;Inputs!$F$253,Q12/Debt!Q115,0)</f>
        <v/>
      </c>
      <c r="R15" s="6">
        <f>IF(Debt!R115&gt;Inputs!$F$253,R12/Debt!R115,0)</f>
        <v/>
      </c>
      <c r="S15" s="6">
        <f>IF(Debt!S115&gt;Inputs!$F$253,S12/Debt!S115,0)</f>
        <v/>
      </c>
      <c r="T15" s="6">
        <f>IF(Debt!T115&gt;Inputs!$F$253,T12/Debt!T115,0)</f>
        <v/>
      </c>
      <c r="U15" s="6">
        <f>IF(Debt!U115&gt;Inputs!$F$253,U12/Debt!U115,0)</f>
        <v/>
      </c>
      <c r="V15" s="6">
        <f>IF(Debt!V115&gt;Inputs!$F$253,V12/Debt!V115,0)</f>
        <v/>
      </c>
      <c r="W15" s="6">
        <f>IF(Debt!W115&gt;Inputs!$F$253,W12/Debt!W115,0)</f>
        <v/>
      </c>
      <c r="X15" s="6">
        <f>IF(Debt!X115&gt;Inputs!$F$253,X12/Debt!X115,0)</f>
        <v/>
      </c>
      <c r="Y15" s="6">
        <f>IF(Debt!Y115&gt;Inputs!$F$253,Y12/Debt!Y115,0)</f>
        <v/>
      </c>
      <c r="Z15" s="6">
        <f>IF(Debt!Z115&gt;Inputs!$F$253,Z12/Debt!Z115,0)</f>
        <v/>
      </c>
      <c r="AA15" s="6">
        <f>IF(Debt!AA115&gt;Inputs!$F$253,AA12/Debt!AA115,0)</f>
        <v/>
      </c>
      <c r="AB15" s="6">
        <f>IF(Debt!AB115&gt;Inputs!$F$253,AB12/Debt!AB115,0)</f>
        <v/>
      </c>
      <c r="AC15" s="6">
        <f>IF(Debt!AC115&gt;Inputs!$F$253,AC12/Debt!AC115,0)</f>
        <v/>
      </c>
      <c r="AD15" s="6">
        <f>IF(Debt!AD115&gt;Inputs!$F$253,AD12/Debt!AD115,0)</f>
        <v/>
      </c>
      <c r="AE15" s="6">
        <f>IF(Debt!AE115&gt;Inputs!$F$253,AE12/Debt!AE115,0)</f>
        <v/>
      </c>
      <c r="AF15" s="6">
        <f>IF(Debt!AF115&gt;Inputs!$F$253,AF12/Debt!AF115,0)</f>
        <v/>
      </c>
      <c r="AG15" s="6">
        <f>IF(Debt!AG115&gt;Inputs!$F$253,AG12/Debt!AG115,0)</f>
        <v/>
      </c>
      <c r="AH15" s="6">
        <f>IF(Debt!AH115&gt;Inputs!$F$253,AH12/Debt!AH115,0)</f>
        <v/>
      </c>
      <c r="AI15" s="6">
        <f>IF(Debt!AI115&gt;Inputs!$F$253,AI12/Debt!AI115,0)</f>
        <v/>
      </c>
      <c r="AJ15" s="6">
        <f>IF(Debt!AJ115&gt;Inputs!$F$253,AJ12/Debt!AJ115,0)</f>
        <v/>
      </c>
      <c r="AK15" s="6">
        <f>IF(Debt!AK115&gt;Inputs!$F$253,AK12/Debt!AK115,0)</f>
        <v/>
      </c>
      <c r="AL15" s="6">
        <f>IF(Debt!AL115&gt;Inputs!$F$253,AL12/Debt!AL115,0)</f>
        <v/>
      </c>
      <c r="AM15" s="6">
        <f>IF(Debt!AM115&gt;Inputs!$F$253,AM12/Debt!AM115,0)</f>
        <v/>
      </c>
      <c r="AN15" s="6">
        <f>IF(Debt!AN115&gt;Inputs!$F$253,AN12/Debt!AN115,0)</f>
        <v/>
      </c>
      <c r="AO15" s="6">
        <f>IF(Debt!AO115&gt;Inputs!$F$253,AO12/Debt!AO115,0)</f>
        <v/>
      </c>
      <c r="AP15" s="6">
        <f>IF(Debt!AP115&gt;Inputs!$F$253,AP12/Debt!AP115,0)</f>
        <v/>
      </c>
      <c r="AQ15" s="6">
        <f>IF(Debt!AQ115&gt;Inputs!$F$253,AQ12/Debt!AQ115,0)</f>
        <v/>
      </c>
      <c r="AR15" s="6">
        <f>IF(Debt!AR115&gt;Inputs!$F$253,AR12/Debt!AR115,0)</f>
        <v/>
      </c>
      <c r="AS15" s="6">
        <f>IF(Debt!AS115&gt;Inputs!$F$253,AS12/Debt!AS115,0)</f>
        <v/>
      </c>
      <c r="AT15" s="6">
        <f>IF(Debt!AT115&gt;Inputs!$F$253,AT12/Debt!AT115,0)</f>
        <v/>
      </c>
      <c r="AU15" s="6">
        <f>IF(Debt!AU115&gt;Inputs!$F$253,AU12/Debt!AU115,0)</f>
        <v/>
      </c>
      <c r="AV15" s="6">
        <f>IF(Debt!AV115&gt;Inputs!$F$253,AV12/Debt!AV115,0)</f>
        <v/>
      </c>
      <c r="AW15" s="6">
        <f>IF(Debt!AW115&gt;Inputs!$F$253,AW12/Debt!AW115,0)</f>
        <v/>
      </c>
      <c r="AX15" s="6">
        <f>IF(Debt!AX115&gt;Inputs!$F$253,AX12/Debt!AX115,0)</f>
        <v/>
      </c>
      <c r="AY15" s="6">
        <f>IF(Debt!AY115&gt;Inputs!$F$253,AY12/Debt!AY115,0)</f>
        <v/>
      </c>
      <c r="AZ15" s="6">
        <f>IF(Debt!AZ115&gt;Inputs!$F$253,AZ12/Debt!AZ115,0)</f>
        <v/>
      </c>
      <c r="BA15" s="6">
        <f>IF(Debt!BA115&gt;Inputs!$F$253,BA12/Debt!BA115,0)</f>
        <v/>
      </c>
      <c r="BB15" s="6">
        <f>IF(Debt!BB115&gt;Inputs!$F$253,BB12/Debt!BB115,0)</f>
        <v/>
      </c>
      <c r="BC15" s="6">
        <f>IF(Debt!BC115&gt;Inputs!$F$253,BC12/Debt!BC115,0)</f>
        <v/>
      </c>
      <c r="BD15" s="6">
        <f>IF(Debt!BD115&gt;Inputs!$F$253,BD12/Debt!BD115,0)</f>
        <v/>
      </c>
      <c r="BE15" s="6">
        <f>IF(Debt!BE115&gt;Inputs!$F$253,BE12/Debt!BE115,0)</f>
        <v/>
      </c>
      <c r="BF15" s="6">
        <f>IF(Debt!BF115&gt;Inputs!$F$253,BF12/Debt!BF115,0)</f>
        <v/>
      </c>
      <c r="BG15" s="6">
        <f>IF(Debt!BG115&gt;Inputs!$F$253,BG12/Debt!BG115,0)</f>
        <v/>
      </c>
      <c r="BH15" s="6">
        <f>IF(Debt!BH115&gt;Inputs!$F$253,BH12/Debt!BH115,0)</f>
        <v/>
      </c>
      <c r="BI15" s="6">
        <f>IF(Debt!BI115&gt;Inputs!$F$253,BI12/Debt!BI115,0)</f>
        <v/>
      </c>
      <c r="BJ15" s="6">
        <f>IF(Debt!BJ115&gt;Inputs!$F$253,BJ12/Debt!BJ115,0)</f>
        <v/>
      </c>
      <c r="BK15" s="6">
        <f>IF(Debt!BK115&gt;Inputs!$F$253,BK12/Debt!BK115,0)</f>
        <v/>
      </c>
      <c r="BL15" s="6">
        <f>IF(Debt!BL115&gt;Inputs!$F$253,BL12/Debt!BL115,0)</f>
        <v/>
      </c>
      <c r="BM15" s="6">
        <f>IF(Debt!BM115&gt;Inputs!$F$253,BM12/Debt!BM115,0)</f>
        <v/>
      </c>
      <c r="BN15" s="6">
        <f>IF(Debt!BN115&gt;Inputs!$F$253,BN12/Debt!BN115,0)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_xlfn.MINIFS(Waterfall!$J$17:$BN$17,Debt!$J$114:$BN$114,"&gt;"&amp;Inputs!$F$253)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SUMIFS(Waterfall!$J$7:$BN$7,Debt!$J$114:$BN$114,"&gt;"&amp;Inputs!$F$253)/SUM(Debt!$J$114:$BN$114)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INDEX(Ratios!$J$13:$BN$13,1,Time!$F$13)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INDEX(Ratios!$J$15:$BN$15,1,Time!$F$13)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19">
        <f>Inputs!$F$186</f>
        <v/>
      </c>
      <c r="K7" s="19">
        <f>Construction!J9</f>
        <v/>
      </c>
      <c r="L7" s="19">
        <f>Construction!K9</f>
        <v/>
      </c>
      <c r="M7" s="19">
        <f>Construction!L9</f>
        <v/>
      </c>
      <c r="N7" s="19">
        <f>Construction!M9</f>
        <v/>
      </c>
      <c r="O7" s="19">
        <f>Construction!N9</f>
        <v/>
      </c>
      <c r="P7" s="19">
        <f>Construction!O9</f>
        <v/>
      </c>
      <c r="Q7" s="19">
        <f>Construction!P9</f>
        <v/>
      </c>
      <c r="R7" s="19">
        <f>Construction!Q9</f>
        <v/>
      </c>
      <c r="S7" s="19">
        <f>Construction!R9</f>
        <v/>
      </c>
      <c r="T7" s="19">
        <f>Construction!S9</f>
        <v/>
      </c>
      <c r="U7" s="19">
        <f>Construction!T9</f>
        <v/>
      </c>
      <c r="V7" s="19">
        <f>Construction!U9</f>
        <v/>
      </c>
      <c r="W7" s="19">
        <f>Construction!V9</f>
        <v/>
      </c>
      <c r="X7" s="19">
        <f>Construction!W9</f>
        <v/>
      </c>
      <c r="Y7" s="19">
        <f>Construction!X9</f>
        <v/>
      </c>
      <c r="Z7" s="19">
        <f>Construction!Y9</f>
        <v/>
      </c>
      <c r="AA7" s="19">
        <f>Construction!Z9</f>
        <v/>
      </c>
      <c r="AB7" s="19">
        <f>Construction!AA9</f>
        <v/>
      </c>
      <c r="AC7" s="19">
        <f>Construction!AB9</f>
        <v/>
      </c>
      <c r="AD7" s="19">
        <f>Construction!AC9</f>
        <v/>
      </c>
      <c r="AE7" s="19">
        <f>Construction!AD9</f>
        <v/>
      </c>
      <c r="AF7" s="19">
        <f>Construction!AE9</f>
        <v/>
      </c>
      <c r="AG7" s="19">
        <f>Construction!AF9</f>
        <v/>
      </c>
      <c r="AH7" s="19">
        <f>Construction!AG9</f>
        <v/>
      </c>
      <c r="AI7" s="19">
        <f>Construction!AH9</f>
        <v/>
      </c>
      <c r="AJ7" s="19">
        <f>Construction!AI9</f>
        <v/>
      </c>
      <c r="AK7" s="19">
        <f>Construction!AJ9</f>
        <v/>
      </c>
      <c r="AL7" s="19">
        <f>Construction!AK9</f>
        <v/>
      </c>
      <c r="AM7" s="19">
        <f>Construction!AL9</f>
        <v/>
      </c>
      <c r="AN7" s="19">
        <f>Construction!AM9</f>
        <v/>
      </c>
      <c r="AO7" s="19">
        <f>Construction!AN9</f>
        <v/>
      </c>
      <c r="AP7" s="19">
        <f>Construction!AO9</f>
        <v/>
      </c>
      <c r="AQ7" s="19">
        <f>Construction!AP9</f>
        <v/>
      </c>
      <c r="AR7" s="19">
        <f>Construction!AQ9</f>
        <v/>
      </c>
      <c r="AS7" s="19">
        <f>Construction!AR9</f>
        <v/>
      </c>
      <c r="AT7" s="19">
        <f>Construction!AS9</f>
        <v/>
      </c>
      <c r="AU7" s="19">
        <f>Construction!AT9</f>
        <v/>
      </c>
      <c r="AV7" s="19">
        <f>Construction!AU9</f>
        <v/>
      </c>
      <c r="AW7" s="19">
        <f>Construction!AV9</f>
        <v/>
      </c>
      <c r="AX7" s="19">
        <f>Construction!AW9</f>
        <v/>
      </c>
      <c r="AY7" s="19">
        <f>Construction!AX9</f>
        <v/>
      </c>
      <c r="AZ7" s="19">
        <f>Construction!AY9</f>
        <v/>
      </c>
      <c r="BA7" s="19">
        <f>Construction!AZ9</f>
        <v/>
      </c>
      <c r="BB7" s="19">
        <f>Construction!BA9</f>
        <v/>
      </c>
      <c r="BC7" s="19">
        <f>Construction!BB9</f>
        <v/>
      </c>
      <c r="BD7" s="19">
        <f>Construction!BC9</f>
        <v/>
      </c>
      <c r="BE7" s="19">
        <f>Construction!BD9</f>
        <v/>
      </c>
      <c r="BF7" s="19">
        <f>Construction!BE9</f>
        <v/>
      </c>
      <c r="BG7" s="19">
        <f>Construction!BF9</f>
        <v/>
      </c>
      <c r="BH7" s="19">
        <f>Construction!BG9</f>
        <v/>
      </c>
      <c r="BI7" s="19">
        <f>Construction!BH9</f>
        <v/>
      </c>
      <c r="BJ7" s="19">
        <f>Construction!BI9</f>
        <v/>
      </c>
      <c r="BK7" s="19">
        <f>Construction!BJ9</f>
        <v/>
      </c>
      <c r="BL7" s="19">
        <f>Time!J23</f>
        <v/>
      </c>
      <c r="BM7" s="19">
        <f>Time!K23</f>
        <v/>
      </c>
      <c r="BN7" s="19">
        <f>Time!L23</f>
        <v/>
      </c>
      <c r="BO7" s="19">
        <f>Time!M23</f>
        <v/>
      </c>
      <c r="BP7" s="19">
        <f>Time!N23</f>
        <v/>
      </c>
      <c r="BQ7" s="19">
        <f>Time!O23</f>
        <v/>
      </c>
      <c r="BR7" s="19">
        <f>Time!P23</f>
        <v/>
      </c>
      <c r="BS7" s="19">
        <f>Time!Q23</f>
        <v/>
      </c>
      <c r="BT7" s="19">
        <f>Time!R23</f>
        <v/>
      </c>
      <c r="BU7" s="19">
        <f>Time!S23</f>
        <v/>
      </c>
      <c r="BV7" s="19">
        <f>Time!T23</f>
        <v/>
      </c>
      <c r="BW7" s="19">
        <f>Time!U23</f>
        <v/>
      </c>
      <c r="BX7" s="19">
        <f>Time!V23</f>
        <v/>
      </c>
      <c r="BY7" s="19">
        <f>Time!W23</f>
        <v/>
      </c>
      <c r="BZ7" s="19">
        <f>Time!X23</f>
        <v/>
      </c>
      <c r="CA7" s="19">
        <f>Time!Y23</f>
        <v/>
      </c>
      <c r="CB7" s="19">
        <f>Time!Z23</f>
        <v/>
      </c>
      <c r="CC7" s="19">
        <f>Time!AA23</f>
        <v/>
      </c>
      <c r="CD7" s="19">
        <f>Time!AB23</f>
        <v/>
      </c>
      <c r="CE7" s="19">
        <f>Time!AC23</f>
        <v/>
      </c>
      <c r="CF7" s="19">
        <f>Time!AD23</f>
        <v/>
      </c>
      <c r="CG7" s="19">
        <f>Time!AE23</f>
        <v/>
      </c>
      <c r="CH7" s="19">
        <f>Time!AF23</f>
        <v/>
      </c>
      <c r="CI7" s="19">
        <f>Time!AG23</f>
        <v/>
      </c>
      <c r="CJ7" s="19">
        <f>Time!AH23</f>
        <v/>
      </c>
      <c r="CK7" s="19">
        <f>Time!AI23</f>
        <v/>
      </c>
      <c r="CL7" s="19">
        <f>Time!AJ23</f>
        <v/>
      </c>
      <c r="CM7" s="19">
        <f>Time!AK23</f>
        <v/>
      </c>
      <c r="CN7" s="19">
        <f>Time!AL23</f>
        <v/>
      </c>
      <c r="CO7" s="19">
        <f>Time!AM23</f>
        <v/>
      </c>
      <c r="CP7" s="19">
        <f>Time!AN23</f>
        <v/>
      </c>
      <c r="CQ7" s="19">
        <f>Time!AO23</f>
        <v/>
      </c>
      <c r="CR7" s="19">
        <f>Time!AP23</f>
        <v/>
      </c>
      <c r="CS7" s="19">
        <f>Time!AQ23</f>
        <v/>
      </c>
      <c r="CT7" s="19">
        <f>Time!AR23</f>
        <v/>
      </c>
      <c r="CU7" s="19">
        <f>Time!AS23</f>
        <v/>
      </c>
      <c r="CV7" s="19">
        <f>Time!AT23</f>
        <v/>
      </c>
      <c r="CW7" s="19">
        <f>Time!AU23</f>
        <v/>
      </c>
      <c r="CX7" s="19">
        <f>Time!AV23</f>
        <v/>
      </c>
      <c r="CY7" s="19">
        <f>Time!AW23</f>
        <v/>
      </c>
      <c r="CZ7" s="19">
        <f>Time!AX23</f>
        <v/>
      </c>
      <c r="DA7" s="19">
        <f>Time!AY23</f>
        <v/>
      </c>
      <c r="DB7" s="19">
        <f>Time!AZ23</f>
        <v/>
      </c>
      <c r="DC7" s="19">
        <f>Time!BA23</f>
        <v/>
      </c>
      <c r="DD7" s="19">
        <f>Time!BB23</f>
        <v/>
      </c>
      <c r="DE7" s="19">
        <f>Time!BC23</f>
        <v/>
      </c>
      <c r="DF7" s="19">
        <f>Time!BD23</f>
        <v/>
      </c>
      <c r="DG7" s="19">
        <f>Time!BE23</f>
        <v/>
      </c>
      <c r="DH7" s="19">
        <f>Time!BF23</f>
        <v/>
      </c>
      <c r="DI7" s="19">
        <f>Time!BG23</f>
        <v/>
      </c>
      <c r="DJ7" s="19">
        <f>Time!BH23</f>
        <v/>
      </c>
      <c r="DK7" s="19">
        <f>Time!BI23</f>
        <v/>
      </c>
      <c r="DL7" s="19">
        <f>Time!BJ23</f>
        <v/>
      </c>
      <c r="DM7" s="19">
        <f>Time!BK23</f>
        <v/>
      </c>
      <c r="DN7" s="19">
        <f>Time!BL23</f>
        <v/>
      </c>
      <c r="DO7" s="19">
        <f>Time!BM23</f>
        <v/>
      </c>
      <c r="DP7" s="19">
        <f>Time!BN23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3">
        <f>SUM(J8:DP8)</f>
        <v/>
      </c>
      <c r="J8" s="13">
        <f>-Inputs!$F$68</f>
        <v/>
      </c>
      <c r="K8" s="13">
        <f>-Funding!J68</f>
        <v/>
      </c>
      <c r="L8" s="13">
        <f>-Funding!K68</f>
        <v/>
      </c>
      <c r="M8" s="13">
        <f>-Funding!L68</f>
        <v/>
      </c>
      <c r="N8" s="13">
        <f>-Funding!M68</f>
        <v/>
      </c>
      <c r="O8" s="13">
        <f>-Funding!N68</f>
        <v/>
      </c>
      <c r="P8" s="13">
        <f>-Funding!O68</f>
        <v/>
      </c>
      <c r="Q8" s="13">
        <f>-Funding!P68</f>
        <v/>
      </c>
      <c r="R8" s="13">
        <f>-Funding!Q68</f>
        <v/>
      </c>
      <c r="S8" s="13">
        <f>-Funding!R68</f>
        <v/>
      </c>
      <c r="T8" s="13">
        <f>-Funding!S68</f>
        <v/>
      </c>
      <c r="U8" s="13">
        <f>-Funding!T68</f>
        <v/>
      </c>
      <c r="V8" s="13">
        <f>-Funding!U68</f>
        <v/>
      </c>
      <c r="W8" s="13">
        <f>-Funding!V68</f>
        <v/>
      </c>
      <c r="X8" s="13">
        <f>-Funding!W68</f>
        <v/>
      </c>
      <c r="Y8" s="13">
        <f>-Funding!X68</f>
        <v/>
      </c>
      <c r="Z8" s="13">
        <f>-Funding!Y68</f>
        <v/>
      </c>
      <c r="AA8" s="13">
        <f>-Funding!Z68</f>
        <v/>
      </c>
      <c r="AB8" s="13">
        <f>-Funding!AA68</f>
        <v/>
      </c>
      <c r="AC8" s="13">
        <f>-Funding!AB68</f>
        <v/>
      </c>
      <c r="AD8" s="13">
        <f>-Funding!AC68</f>
        <v/>
      </c>
      <c r="AE8" s="13">
        <f>-Funding!AD68</f>
        <v/>
      </c>
      <c r="AF8" s="13">
        <f>-Funding!AE68</f>
        <v/>
      </c>
      <c r="AG8" s="13">
        <f>-Funding!AF68</f>
        <v/>
      </c>
      <c r="AH8" s="13">
        <f>-Funding!AG68</f>
        <v/>
      </c>
      <c r="AI8" s="13">
        <f>-Funding!AH68</f>
        <v/>
      </c>
      <c r="AJ8" s="13">
        <f>-Funding!AI68</f>
        <v/>
      </c>
      <c r="AK8" s="13">
        <f>-Funding!AJ68</f>
        <v/>
      </c>
      <c r="AL8" s="13">
        <f>-Funding!AK68</f>
        <v/>
      </c>
      <c r="AM8" s="13">
        <f>-Funding!AL68</f>
        <v/>
      </c>
      <c r="AN8" s="13">
        <f>-Funding!AM68</f>
        <v/>
      </c>
      <c r="AO8" s="13">
        <f>-Funding!AN68</f>
        <v/>
      </c>
      <c r="AP8" s="13">
        <f>-Funding!AO68</f>
        <v/>
      </c>
      <c r="AQ8" s="13">
        <f>-Funding!AP68</f>
        <v/>
      </c>
      <c r="AR8" s="13">
        <f>-Funding!AQ68</f>
        <v/>
      </c>
      <c r="AS8" s="13">
        <f>-Funding!AR68</f>
        <v/>
      </c>
      <c r="AT8" s="13">
        <f>-Funding!AS68</f>
        <v/>
      </c>
      <c r="AU8" s="13">
        <f>-Funding!AT68</f>
        <v/>
      </c>
      <c r="AV8" s="13">
        <f>-Funding!AU68</f>
        <v/>
      </c>
      <c r="AW8" s="13">
        <f>-Funding!AV68</f>
        <v/>
      </c>
      <c r="AX8" s="13">
        <f>-Funding!AW68</f>
        <v/>
      </c>
      <c r="AY8" s="13">
        <f>-Funding!AX68</f>
        <v/>
      </c>
      <c r="AZ8" s="13">
        <f>-Funding!AY68</f>
        <v/>
      </c>
      <c r="BA8" s="13">
        <f>-Funding!AZ68</f>
        <v/>
      </c>
      <c r="BB8" s="13">
        <f>-Funding!BA68</f>
        <v/>
      </c>
      <c r="BC8" s="13">
        <f>-Funding!BB68</f>
        <v/>
      </c>
      <c r="BD8" s="13">
        <f>-Funding!BC68</f>
        <v/>
      </c>
      <c r="BE8" s="13">
        <f>-Funding!BD68</f>
        <v/>
      </c>
      <c r="BF8" s="13">
        <f>-Funding!BE68</f>
        <v/>
      </c>
      <c r="BG8" s="13">
        <f>-Funding!BF68</f>
        <v/>
      </c>
      <c r="BH8" s="13">
        <f>-Funding!BG68</f>
        <v/>
      </c>
      <c r="BI8" s="13">
        <f>-Funding!BH68</f>
        <v/>
      </c>
      <c r="BJ8" s="13">
        <f>-Funding!BI68</f>
        <v/>
      </c>
      <c r="BK8" s="13">
        <f>-Funding!BJ68</f>
        <v/>
      </c>
      <c r="BL8" s="18">
        <f>Waterfall!J44</f>
        <v/>
      </c>
      <c r="BM8" s="18">
        <f>Waterfall!K44</f>
        <v/>
      </c>
      <c r="BN8" s="18">
        <f>Waterfall!L44</f>
        <v/>
      </c>
      <c r="BO8" s="18">
        <f>Waterfall!M44</f>
        <v/>
      </c>
      <c r="BP8" s="18">
        <f>Waterfall!N44</f>
        <v/>
      </c>
      <c r="BQ8" s="18">
        <f>Waterfall!O44</f>
        <v/>
      </c>
      <c r="BR8" s="18">
        <f>Waterfall!P44</f>
        <v/>
      </c>
      <c r="BS8" s="18">
        <f>Waterfall!Q44</f>
        <v/>
      </c>
      <c r="BT8" s="18">
        <f>Waterfall!R44</f>
        <v/>
      </c>
      <c r="BU8" s="18">
        <f>Waterfall!S44</f>
        <v/>
      </c>
      <c r="BV8" s="18">
        <f>Waterfall!T44</f>
        <v/>
      </c>
      <c r="BW8" s="18">
        <f>Waterfall!U44</f>
        <v/>
      </c>
      <c r="BX8" s="18">
        <f>Waterfall!V44</f>
        <v/>
      </c>
      <c r="BY8" s="18">
        <f>Waterfall!W44</f>
        <v/>
      </c>
      <c r="BZ8" s="18">
        <f>Waterfall!X44</f>
        <v/>
      </c>
      <c r="CA8" s="18">
        <f>Waterfall!Y44</f>
        <v/>
      </c>
      <c r="CB8" s="18">
        <f>Waterfall!Z44</f>
        <v/>
      </c>
      <c r="CC8" s="18">
        <f>Waterfall!AA44</f>
        <v/>
      </c>
      <c r="CD8" s="18">
        <f>Waterfall!AB44</f>
        <v/>
      </c>
      <c r="CE8" s="18">
        <f>Waterfall!AC44</f>
        <v/>
      </c>
      <c r="CF8" s="18">
        <f>Waterfall!AD44</f>
        <v/>
      </c>
      <c r="CG8" s="18">
        <f>Waterfall!AE44</f>
        <v/>
      </c>
      <c r="CH8" s="18">
        <f>Waterfall!AF44</f>
        <v/>
      </c>
      <c r="CI8" s="18">
        <f>Waterfall!AG44</f>
        <v/>
      </c>
      <c r="CJ8" s="18">
        <f>Waterfall!AH44</f>
        <v/>
      </c>
      <c r="CK8" s="18">
        <f>Waterfall!AI44</f>
        <v/>
      </c>
      <c r="CL8" s="18">
        <f>Waterfall!AJ44</f>
        <v/>
      </c>
      <c r="CM8" s="18">
        <f>Waterfall!AK44</f>
        <v/>
      </c>
      <c r="CN8" s="18">
        <f>Waterfall!AL44</f>
        <v/>
      </c>
      <c r="CO8" s="18">
        <f>Waterfall!AM44</f>
        <v/>
      </c>
      <c r="CP8" s="18">
        <f>Waterfall!AN44</f>
        <v/>
      </c>
      <c r="CQ8" s="18">
        <f>Waterfall!AO44</f>
        <v/>
      </c>
      <c r="CR8" s="18">
        <f>Waterfall!AP44</f>
        <v/>
      </c>
      <c r="CS8" s="18">
        <f>Waterfall!AQ44</f>
        <v/>
      </c>
      <c r="CT8" s="18">
        <f>Waterfall!AR44</f>
        <v/>
      </c>
      <c r="CU8" s="18">
        <f>Waterfall!AS44</f>
        <v/>
      </c>
      <c r="CV8" s="18">
        <f>Waterfall!AT44</f>
        <v/>
      </c>
      <c r="CW8" s="18">
        <f>Waterfall!AU44</f>
        <v/>
      </c>
      <c r="CX8" s="18">
        <f>Waterfall!AV44</f>
        <v/>
      </c>
      <c r="CY8" s="18">
        <f>Waterfall!AW44</f>
        <v/>
      </c>
      <c r="CZ8" s="18">
        <f>Waterfall!AX44</f>
        <v/>
      </c>
      <c r="DA8" s="18">
        <f>Waterfall!AY44</f>
        <v/>
      </c>
      <c r="DB8" s="18">
        <f>Waterfall!AZ44</f>
        <v/>
      </c>
      <c r="DC8" s="18">
        <f>Waterfall!BA44</f>
        <v/>
      </c>
      <c r="DD8" s="18">
        <f>Waterfall!BB44</f>
        <v/>
      </c>
      <c r="DE8" s="18">
        <f>Waterfall!BC44</f>
        <v/>
      </c>
      <c r="DF8" s="18">
        <f>Waterfall!BD44</f>
        <v/>
      </c>
      <c r="DG8" s="18">
        <f>Waterfall!BE44</f>
        <v/>
      </c>
      <c r="DH8" s="18">
        <f>Waterfall!BF44</f>
        <v/>
      </c>
      <c r="DI8" s="18">
        <f>Waterfall!BG44</f>
        <v/>
      </c>
      <c r="DJ8" s="18">
        <f>Waterfall!BH44</f>
        <v/>
      </c>
      <c r="DK8" s="18">
        <f>Waterfall!BI44</f>
        <v/>
      </c>
      <c r="DL8" s="18">
        <f>Waterfall!BJ44</f>
        <v/>
      </c>
      <c r="DM8" s="18">
        <f>Waterfall!BK44</f>
        <v/>
      </c>
      <c r="DN8" s="18">
        <f>Waterfall!BL44</f>
        <v/>
      </c>
      <c r="DO8" s="18">
        <f>Waterfall!BM44</f>
        <v/>
      </c>
      <c r="DP8" s="18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3">
        <f>SUM(J9:DP9)</f>
        <v/>
      </c>
      <c r="J9" s="13">
        <f>0</f>
        <v/>
      </c>
      <c r="K9" s="13">
        <f>-Construction!J32</f>
        <v/>
      </c>
      <c r="L9" s="13">
        <f>-Construction!K32</f>
        <v/>
      </c>
      <c r="M9" s="13">
        <f>-Construction!L32</f>
        <v/>
      </c>
      <c r="N9" s="13">
        <f>-Construction!M32</f>
        <v/>
      </c>
      <c r="O9" s="13">
        <f>-Construction!N32</f>
        <v/>
      </c>
      <c r="P9" s="13">
        <f>-Construction!O32</f>
        <v/>
      </c>
      <c r="Q9" s="13">
        <f>-Construction!P32</f>
        <v/>
      </c>
      <c r="R9" s="13">
        <f>-Construction!Q32</f>
        <v/>
      </c>
      <c r="S9" s="13">
        <f>-Construction!R32</f>
        <v/>
      </c>
      <c r="T9" s="13">
        <f>-Construction!S32</f>
        <v/>
      </c>
      <c r="U9" s="13">
        <f>-Construction!T32</f>
        <v/>
      </c>
      <c r="V9" s="13">
        <f>-Construction!U32</f>
        <v/>
      </c>
      <c r="W9" s="13">
        <f>-Construction!V32</f>
        <v/>
      </c>
      <c r="X9" s="13">
        <f>-Construction!W32</f>
        <v/>
      </c>
      <c r="Y9" s="13">
        <f>-Construction!X32</f>
        <v/>
      </c>
      <c r="Z9" s="13">
        <f>-Construction!Y32</f>
        <v/>
      </c>
      <c r="AA9" s="13">
        <f>-Construction!Z32</f>
        <v/>
      </c>
      <c r="AB9" s="13">
        <f>-Construction!AA32</f>
        <v/>
      </c>
      <c r="AC9" s="13">
        <f>-Construction!AB32</f>
        <v/>
      </c>
      <c r="AD9" s="13">
        <f>-Construction!AC32</f>
        <v/>
      </c>
      <c r="AE9" s="13">
        <f>-Construction!AD32</f>
        <v/>
      </c>
      <c r="AF9" s="13">
        <f>-Construction!AE32</f>
        <v/>
      </c>
      <c r="AG9" s="13">
        <f>-Construction!AF32</f>
        <v/>
      </c>
      <c r="AH9" s="13">
        <f>-Construction!AG32</f>
        <v/>
      </c>
      <c r="AI9" s="13">
        <f>-Construction!AH32</f>
        <v/>
      </c>
      <c r="AJ9" s="13">
        <f>-Construction!AI32</f>
        <v/>
      </c>
      <c r="AK9" s="13">
        <f>-Construction!AJ32</f>
        <v/>
      </c>
      <c r="AL9" s="13">
        <f>-Construction!AK32</f>
        <v/>
      </c>
      <c r="AM9" s="13">
        <f>-Construction!AL32</f>
        <v/>
      </c>
      <c r="AN9" s="13">
        <f>-Construction!AM32</f>
        <v/>
      </c>
      <c r="AO9" s="13">
        <f>-Construction!AN32</f>
        <v/>
      </c>
      <c r="AP9" s="13">
        <f>-Construction!AO32</f>
        <v/>
      </c>
      <c r="AQ9" s="13">
        <f>-Construction!AP32</f>
        <v/>
      </c>
      <c r="AR9" s="13">
        <f>-Construction!AQ32</f>
        <v/>
      </c>
      <c r="AS9" s="13">
        <f>-Construction!AR32</f>
        <v/>
      </c>
      <c r="AT9" s="13">
        <f>-Construction!AS32</f>
        <v/>
      </c>
      <c r="AU9" s="13">
        <f>-Construction!AT32</f>
        <v/>
      </c>
      <c r="AV9" s="13">
        <f>-Construction!AU32</f>
        <v/>
      </c>
      <c r="AW9" s="13">
        <f>-Construction!AV32</f>
        <v/>
      </c>
      <c r="AX9" s="13">
        <f>-Construction!AW32</f>
        <v/>
      </c>
      <c r="AY9" s="13">
        <f>-Construction!AX32</f>
        <v/>
      </c>
      <c r="AZ9" s="13">
        <f>-Construction!AY32</f>
        <v/>
      </c>
      <c r="BA9" s="13">
        <f>-Construction!AZ32</f>
        <v/>
      </c>
      <c r="BB9" s="13">
        <f>-Construction!BA32</f>
        <v/>
      </c>
      <c r="BC9" s="13">
        <f>-Construction!BB32</f>
        <v/>
      </c>
      <c r="BD9" s="13">
        <f>-Construction!BC32</f>
        <v/>
      </c>
      <c r="BE9" s="13">
        <f>-Construction!BD32</f>
        <v/>
      </c>
      <c r="BF9" s="13">
        <f>-Construction!BE32</f>
        <v/>
      </c>
      <c r="BG9" s="13">
        <f>-Construction!BF32</f>
        <v/>
      </c>
      <c r="BH9" s="13">
        <f>-Construction!BG32</f>
        <v/>
      </c>
      <c r="BI9" s="13">
        <f>-Construction!BH32</f>
        <v/>
      </c>
      <c r="BJ9" s="13">
        <f>-Construction!BI32</f>
        <v/>
      </c>
      <c r="BK9" s="13">
        <f>-Construction!BJ32</f>
        <v/>
      </c>
      <c r="BL9" s="18">
        <f>Waterfall!J7</f>
        <v/>
      </c>
      <c r="BM9" s="18">
        <f>Waterfall!K7</f>
        <v/>
      </c>
      <c r="BN9" s="18">
        <f>Waterfall!L7</f>
        <v/>
      </c>
      <c r="BO9" s="18">
        <f>Waterfall!M7</f>
        <v/>
      </c>
      <c r="BP9" s="18">
        <f>Waterfall!N7</f>
        <v/>
      </c>
      <c r="BQ9" s="18">
        <f>Waterfall!O7</f>
        <v/>
      </c>
      <c r="BR9" s="18">
        <f>Waterfall!P7</f>
        <v/>
      </c>
      <c r="BS9" s="18">
        <f>Waterfall!Q7</f>
        <v/>
      </c>
      <c r="BT9" s="18">
        <f>Waterfall!R7</f>
        <v/>
      </c>
      <c r="BU9" s="18">
        <f>Waterfall!S7</f>
        <v/>
      </c>
      <c r="BV9" s="18">
        <f>Waterfall!T7</f>
        <v/>
      </c>
      <c r="BW9" s="18">
        <f>Waterfall!U7</f>
        <v/>
      </c>
      <c r="BX9" s="18">
        <f>Waterfall!V7</f>
        <v/>
      </c>
      <c r="BY9" s="18">
        <f>Waterfall!W7</f>
        <v/>
      </c>
      <c r="BZ9" s="18">
        <f>Waterfall!X7</f>
        <v/>
      </c>
      <c r="CA9" s="18">
        <f>Waterfall!Y7</f>
        <v/>
      </c>
      <c r="CB9" s="18">
        <f>Waterfall!Z7</f>
        <v/>
      </c>
      <c r="CC9" s="18">
        <f>Waterfall!AA7</f>
        <v/>
      </c>
      <c r="CD9" s="18">
        <f>Waterfall!AB7</f>
        <v/>
      </c>
      <c r="CE9" s="18">
        <f>Waterfall!AC7</f>
        <v/>
      </c>
      <c r="CF9" s="18">
        <f>Waterfall!AD7</f>
        <v/>
      </c>
      <c r="CG9" s="18">
        <f>Waterfall!AE7</f>
        <v/>
      </c>
      <c r="CH9" s="18">
        <f>Waterfall!AF7</f>
        <v/>
      </c>
      <c r="CI9" s="18">
        <f>Waterfall!AG7</f>
        <v/>
      </c>
      <c r="CJ9" s="18">
        <f>Waterfall!AH7</f>
        <v/>
      </c>
      <c r="CK9" s="18">
        <f>Waterfall!AI7</f>
        <v/>
      </c>
      <c r="CL9" s="18">
        <f>Waterfall!AJ7</f>
        <v/>
      </c>
      <c r="CM9" s="18">
        <f>Waterfall!AK7</f>
        <v/>
      </c>
      <c r="CN9" s="18">
        <f>Waterfall!AL7</f>
        <v/>
      </c>
      <c r="CO9" s="18">
        <f>Waterfall!AM7</f>
        <v/>
      </c>
      <c r="CP9" s="18">
        <f>Waterfall!AN7</f>
        <v/>
      </c>
      <c r="CQ9" s="18">
        <f>Waterfall!AO7</f>
        <v/>
      </c>
      <c r="CR9" s="18">
        <f>Waterfall!AP7</f>
        <v/>
      </c>
      <c r="CS9" s="18">
        <f>Waterfall!AQ7</f>
        <v/>
      </c>
      <c r="CT9" s="18">
        <f>Waterfall!AR7</f>
        <v/>
      </c>
      <c r="CU9" s="18">
        <f>Waterfall!AS7</f>
        <v/>
      </c>
      <c r="CV9" s="18">
        <f>Waterfall!AT7</f>
        <v/>
      </c>
      <c r="CW9" s="18">
        <f>Waterfall!AU7</f>
        <v/>
      </c>
      <c r="CX9" s="18">
        <f>Waterfall!AV7</f>
        <v/>
      </c>
      <c r="CY9" s="18">
        <f>Waterfall!AW7</f>
        <v/>
      </c>
      <c r="CZ9" s="18">
        <f>Waterfall!AX7</f>
        <v/>
      </c>
      <c r="DA9" s="18">
        <f>Waterfall!AY7</f>
        <v/>
      </c>
      <c r="DB9" s="18">
        <f>Waterfall!AZ7</f>
        <v/>
      </c>
      <c r="DC9" s="18">
        <f>Waterfall!BA7</f>
        <v/>
      </c>
      <c r="DD9" s="18">
        <f>Waterfall!BB7</f>
        <v/>
      </c>
      <c r="DE9" s="18">
        <f>Waterfall!BC7</f>
        <v/>
      </c>
      <c r="DF9" s="18">
        <f>Waterfall!BD7</f>
        <v/>
      </c>
      <c r="DG9" s="18">
        <f>Waterfall!BE7</f>
        <v/>
      </c>
      <c r="DH9" s="18">
        <f>Waterfall!BF7</f>
        <v/>
      </c>
      <c r="DI9" s="18">
        <f>Waterfall!BG7</f>
        <v/>
      </c>
      <c r="DJ9" s="18">
        <f>Waterfall!BH7</f>
        <v/>
      </c>
      <c r="DK9" s="18">
        <f>Waterfall!BI7</f>
        <v/>
      </c>
      <c r="DL9" s="18">
        <f>Waterfall!BJ7</f>
        <v/>
      </c>
      <c r="DM9" s="18">
        <f>Waterfall!BK7</f>
        <v/>
      </c>
      <c r="DN9" s="18">
        <f>Waterfall!BL7</f>
        <v/>
      </c>
      <c r="DO9" s="18">
        <f>Waterfall!BM7</f>
        <v/>
      </c>
      <c r="DP9" s="18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3">
        <f>SUM(J10:DP10)</f>
        <v/>
      </c>
      <c r="J10" s="13">
        <f>0</f>
        <v/>
      </c>
      <c r="K10" s="13">
        <f>-Construction!J32</f>
        <v/>
      </c>
      <c r="L10" s="13">
        <f>-Construction!K32</f>
        <v/>
      </c>
      <c r="M10" s="13">
        <f>-Construction!L32</f>
        <v/>
      </c>
      <c r="N10" s="13">
        <f>-Construction!M32</f>
        <v/>
      </c>
      <c r="O10" s="13">
        <f>-Construction!N32</f>
        <v/>
      </c>
      <c r="P10" s="13">
        <f>-Construction!O32</f>
        <v/>
      </c>
      <c r="Q10" s="13">
        <f>-Construction!P32</f>
        <v/>
      </c>
      <c r="R10" s="13">
        <f>-Construction!Q32</f>
        <v/>
      </c>
      <c r="S10" s="13">
        <f>-Construction!R32</f>
        <v/>
      </c>
      <c r="T10" s="13">
        <f>-Construction!S32</f>
        <v/>
      </c>
      <c r="U10" s="13">
        <f>-Construction!T32</f>
        <v/>
      </c>
      <c r="V10" s="13">
        <f>-Construction!U32</f>
        <v/>
      </c>
      <c r="W10" s="13">
        <f>-Construction!V32</f>
        <v/>
      </c>
      <c r="X10" s="13">
        <f>-Construction!W32</f>
        <v/>
      </c>
      <c r="Y10" s="13">
        <f>-Construction!X32</f>
        <v/>
      </c>
      <c r="Z10" s="13">
        <f>-Construction!Y32</f>
        <v/>
      </c>
      <c r="AA10" s="13">
        <f>-Construction!Z32</f>
        <v/>
      </c>
      <c r="AB10" s="13">
        <f>-Construction!AA32</f>
        <v/>
      </c>
      <c r="AC10" s="13">
        <f>-Construction!AB32</f>
        <v/>
      </c>
      <c r="AD10" s="13">
        <f>-Construction!AC32</f>
        <v/>
      </c>
      <c r="AE10" s="13">
        <f>-Construction!AD32</f>
        <v/>
      </c>
      <c r="AF10" s="13">
        <f>-Construction!AE32</f>
        <v/>
      </c>
      <c r="AG10" s="13">
        <f>-Construction!AF32</f>
        <v/>
      </c>
      <c r="AH10" s="13">
        <f>-Construction!AG32</f>
        <v/>
      </c>
      <c r="AI10" s="13">
        <f>-Construction!AH32</f>
        <v/>
      </c>
      <c r="AJ10" s="13">
        <f>-Construction!AI32</f>
        <v/>
      </c>
      <c r="AK10" s="13">
        <f>-Construction!AJ32</f>
        <v/>
      </c>
      <c r="AL10" s="13">
        <f>-Construction!AK32</f>
        <v/>
      </c>
      <c r="AM10" s="13">
        <f>-Construction!AL32</f>
        <v/>
      </c>
      <c r="AN10" s="13">
        <f>-Construction!AM32</f>
        <v/>
      </c>
      <c r="AO10" s="13">
        <f>-Construction!AN32</f>
        <v/>
      </c>
      <c r="AP10" s="13">
        <f>-Construction!AO32</f>
        <v/>
      </c>
      <c r="AQ10" s="13">
        <f>-Construction!AP32</f>
        <v/>
      </c>
      <c r="AR10" s="13">
        <f>-Construction!AQ32</f>
        <v/>
      </c>
      <c r="AS10" s="13">
        <f>-Construction!AR32</f>
        <v/>
      </c>
      <c r="AT10" s="13">
        <f>-Construction!AS32</f>
        <v/>
      </c>
      <c r="AU10" s="13">
        <f>-Construction!AT32</f>
        <v/>
      </c>
      <c r="AV10" s="13">
        <f>-Construction!AU32</f>
        <v/>
      </c>
      <c r="AW10" s="13">
        <f>-Construction!AV32</f>
        <v/>
      </c>
      <c r="AX10" s="13">
        <f>-Construction!AW32</f>
        <v/>
      </c>
      <c r="AY10" s="13">
        <f>-Construction!AX32</f>
        <v/>
      </c>
      <c r="AZ10" s="13">
        <f>-Construction!AY32</f>
        <v/>
      </c>
      <c r="BA10" s="13">
        <f>-Construction!AZ32</f>
        <v/>
      </c>
      <c r="BB10" s="13">
        <f>-Construction!BA32</f>
        <v/>
      </c>
      <c r="BC10" s="13">
        <f>-Construction!BB32</f>
        <v/>
      </c>
      <c r="BD10" s="13">
        <f>-Construction!BC32</f>
        <v/>
      </c>
      <c r="BE10" s="13">
        <f>-Construction!BD32</f>
        <v/>
      </c>
      <c r="BF10" s="13">
        <f>-Construction!BE32</f>
        <v/>
      </c>
      <c r="BG10" s="13">
        <f>-Construction!BF32</f>
        <v/>
      </c>
      <c r="BH10" s="13">
        <f>-Construction!BG32</f>
        <v/>
      </c>
      <c r="BI10" s="13">
        <f>-Construction!BH32</f>
        <v/>
      </c>
      <c r="BJ10" s="13">
        <f>-Construction!BI32</f>
        <v/>
      </c>
      <c r="BK10" s="13">
        <f>-Construction!BJ32</f>
        <v/>
      </c>
      <c r="BL10" s="13">
        <f>Waterfall!J7+Tax!J27</f>
        <v/>
      </c>
      <c r="BM10" s="13">
        <f>Waterfall!K7+Tax!K27</f>
        <v/>
      </c>
      <c r="BN10" s="13">
        <f>Waterfall!L7+Tax!L27</f>
        <v/>
      </c>
      <c r="BO10" s="13">
        <f>Waterfall!M7+Tax!M27</f>
        <v/>
      </c>
      <c r="BP10" s="13">
        <f>Waterfall!N7+Tax!N27</f>
        <v/>
      </c>
      <c r="BQ10" s="13">
        <f>Waterfall!O7+Tax!O27</f>
        <v/>
      </c>
      <c r="BR10" s="13">
        <f>Waterfall!P7+Tax!P27</f>
        <v/>
      </c>
      <c r="BS10" s="13">
        <f>Waterfall!Q7+Tax!Q27</f>
        <v/>
      </c>
      <c r="BT10" s="13">
        <f>Waterfall!R7+Tax!R27</f>
        <v/>
      </c>
      <c r="BU10" s="13">
        <f>Waterfall!S7+Tax!S27</f>
        <v/>
      </c>
      <c r="BV10" s="13">
        <f>Waterfall!T7+Tax!T27</f>
        <v/>
      </c>
      <c r="BW10" s="13">
        <f>Waterfall!U7+Tax!U27</f>
        <v/>
      </c>
      <c r="BX10" s="13">
        <f>Waterfall!V7+Tax!V27</f>
        <v/>
      </c>
      <c r="BY10" s="13">
        <f>Waterfall!W7+Tax!W27</f>
        <v/>
      </c>
      <c r="BZ10" s="13">
        <f>Waterfall!X7+Tax!X27</f>
        <v/>
      </c>
      <c r="CA10" s="13">
        <f>Waterfall!Y7+Tax!Y27</f>
        <v/>
      </c>
      <c r="CB10" s="13">
        <f>Waterfall!Z7+Tax!Z27</f>
        <v/>
      </c>
      <c r="CC10" s="13">
        <f>Waterfall!AA7+Tax!AA27</f>
        <v/>
      </c>
      <c r="CD10" s="13">
        <f>Waterfall!AB7+Tax!AB27</f>
        <v/>
      </c>
      <c r="CE10" s="13">
        <f>Waterfall!AC7+Tax!AC27</f>
        <v/>
      </c>
      <c r="CF10" s="13">
        <f>Waterfall!AD7+Tax!AD27</f>
        <v/>
      </c>
      <c r="CG10" s="13">
        <f>Waterfall!AE7+Tax!AE27</f>
        <v/>
      </c>
      <c r="CH10" s="13">
        <f>Waterfall!AF7+Tax!AF27</f>
        <v/>
      </c>
      <c r="CI10" s="13">
        <f>Waterfall!AG7+Tax!AG27</f>
        <v/>
      </c>
      <c r="CJ10" s="13">
        <f>Waterfall!AH7+Tax!AH27</f>
        <v/>
      </c>
      <c r="CK10" s="13">
        <f>Waterfall!AI7+Tax!AI27</f>
        <v/>
      </c>
      <c r="CL10" s="13">
        <f>Waterfall!AJ7+Tax!AJ27</f>
        <v/>
      </c>
      <c r="CM10" s="13">
        <f>Waterfall!AK7+Tax!AK27</f>
        <v/>
      </c>
      <c r="CN10" s="13">
        <f>Waterfall!AL7+Tax!AL27</f>
        <v/>
      </c>
      <c r="CO10" s="13">
        <f>Waterfall!AM7+Tax!AM27</f>
        <v/>
      </c>
      <c r="CP10" s="13">
        <f>Waterfall!AN7+Tax!AN27</f>
        <v/>
      </c>
      <c r="CQ10" s="13">
        <f>Waterfall!AO7+Tax!AO27</f>
        <v/>
      </c>
      <c r="CR10" s="13">
        <f>Waterfall!AP7+Tax!AP27</f>
        <v/>
      </c>
      <c r="CS10" s="13">
        <f>Waterfall!AQ7+Tax!AQ27</f>
        <v/>
      </c>
      <c r="CT10" s="13">
        <f>Waterfall!AR7+Tax!AR27</f>
        <v/>
      </c>
      <c r="CU10" s="13">
        <f>Waterfall!AS7+Tax!AS27</f>
        <v/>
      </c>
      <c r="CV10" s="13">
        <f>Waterfall!AT7+Tax!AT27</f>
        <v/>
      </c>
      <c r="CW10" s="13">
        <f>Waterfall!AU7+Tax!AU27</f>
        <v/>
      </c>
      <c r="CX10" s="13">
        <f>Waterfall!AV7+Tax!AV27</f>
        <v/>
      </c>
      <c r="CY10" s="13">
        <f>Waterfall!AW7+Tax!AW27</f>
        <v/>
      </c>
      <c r="CZ10" s="13">
        <f>Waterfall!AX7+Tax!AX27</f>
        <v/>
      </c>
      <c r="DA10" s="13">
        <f>Waterfall!AY7+Tax!AY27</f>
        <v/>
      </c>
      <c r="DB10" s="13">
        <f>Waterfall!AZ7+Tax!AZ27</f>
        <v/>
      </c>
      <c r="DC10" s="13">
        <f>Waterfall!BA7+Tax!BA27</f>
        <v/>
      </c>
      <c r="DD10" s="13">
        <f>Waterfall!BB7+Tax!BB27</f>
        <v/>
      </c>
      <c r="DE10" s="13">
        <f>Waterfall!BC7+Tax!BC27</f>
        <v/>
      </c>
      <c r="DF10" s="13">
        <f>Waterfall!BD7+Tax!BD27</f>
        <v/>
      </c>
      <c r="DG10" s="13">
        <f>Waterfall!BE7+Tax!BE27</f>
        <v/>
      </c>
      <c r="DH10" s="13">
        <f>Waterfall!BF7+Tax!BF27</f>
        <v/>
      </c>
      <c r="DI10" s="13">
        <f>Waterfall!BG7+Tax!BG27</f>
        <v/>
      </c>
      <c r="DJ10" s="13">
        <f>Waterfall!BH7+Tax!BH27</f>
        <v/>
      </c>
      <c r="DK10" s="13">
        <f>Waterfall!BI7+Tax!BI27</f>
        <v/>
      </c>
      <c r="DL10" s="13">
        <f>Waterfall!BJ7+Tax!BJ27</f>
        <v/>
      </c>
      <c r="DM10" s="13">
        <f>Waterfall!BK7+Tax!BK27</f>
        <v/>
      </c>
      <c r="DN10" s="13">
        <f>Waterfall!BL7+Tax!BL27</f>
        <v/>
      </c>
      <c r="DO10" s="13">
        <f>Waterfall!BM7+Tax!BM27</f>
        <v/>
      </c>
      <c r="DP10" s="13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3">
        <f>=J8</f>
        <v/>
      </c>
      <c r="K11" s="13">
        <f>J11+K8</f>
        <v/>
      </c>
      <c r="L11" s="13">
        <f>K11+L8</f>
        <v/>
      </c>
      <c r="M11" s="13">
        <f>L11+M8</f>
        <v/>
      </c>
      <c r="N11" s="13">
        <f>M11+N8</f>
        <v/>
      </c>
      <c r="O11" s="13">
        <f>N11+O8</f>
        <v/>
      </c>
      <c r="P11" s="13">
        <f>O11+P8</f>
        <v/>
      </c>
      <c r="Q11" s="13">
        <f>P11+Q8</f>
        <v/>
      </c>
      <c r="R11" s="13">
        <f>Q11+R8</f>
        <v/>
      </c>
      <c r="S11" s="13">
        <f>R11+S8</f>
        <v/>
      </c>
      <c r="T11" s="13">
        <f>S11+T8</f>
        <v/>
      </c>
      <c r="U11" s="13">
        <f>T11+U8</f>
        <v/>
      </c>
      <c r="V11" s="13">
        <f>U11+V8</f>
        <v/>
      </c>
      <c r="W11" s="13">
        <f>V11+W8</f>
        <v/>
      </c>
      <c r="X11" s="13">
        <f>W11+X8</f>
        <v/>
      </c>
      <c r="Y11" s="13">
        <f>X11+Y8</f>
        <v/>
      </c>
      <c r="Z11" s="13">
        <f>Y11+Z8</f>
        <v/>
      </c>
      <c r="AA11" s="13">
        <f>Z11+AA8</f>
        <v/>
      </c>
      <c r="AB11" s="13">
        <f>AA11+AB8</f>
        <v/>
      </c>
      <c r="AC11" s="13">
        <f>AB11+AC8</f>
        <v/>
      </c>
      <c r="AD11" s="13">
        <f>AC11+AD8</f>
        <v/>
      </c>
      <c r="AE11" s="13">
        <f>AD11+AE8</f>
        <v/>
      </c>
      <c r="AF11" s="13">
        <f>AE11+AF8</f>
        <v/>
      </c>
      <c r="AG11" s="13">
        <f>AF11+AG8</f>
        <v/>
      </c>
      <c r="AH11" s="13">
        <f>AG11+AH8</f>
        <v/>
      </c>
      <c r="AI11" s="13">
        <f>AH11+AI8</f>
        <v/>
      </c>
      <c r="AJ11" s="13">
        <f>AI11+AJ8</f>
        <v/>
      </c>
      <c r="AK11" s="13">
        <f>AJ11+AK8</f>
        <v/>
      </c>
      <c r="AL11" s="13">
        <f>AK11+AL8</f>
        <v/>
      </c>
      <c r="AM11" s="13">
        <f>AL11+AM8</f>
        <v/>
      </c>
      <c r="AN11" s="13">
        <f>AM11+AN8</f>
        <v/>
      </c>
      <c r="AO11" s="13">
        <f>AN11+AO8</f>
        <v/>
      </c>
      <c r="AP11" s="13">
        <f>AO11+AP8</f>
        <v/>
      </c>
      <c r="AQ11" s="13">
        <f>AP11+AQ8</f>
        <v/>
      </c>
      <c r="AR11" s="13">
        <f>AQ11+AR8</f>
        <v/>
      </c>
      <c r="AS11" s="13">
        <f>AR11+AS8</f>
        <v/>
      </c>
      <c r="AT11" s="13">
        <f>AS11+AT8</f>
        <v/>
      </c>
      <c r="AU11" s="13">
        <f>AT11+AU8</f>
        <v/>
      </c>
      <c r="AV11" s="13">
        <f>AU11+AV8</f>
        <v/>
      </c>
      <c r="AW11" s="13">
        <f>AV11+AW8</f>
        <v/>
      </c>
      <c r="AX11" s="13">
        <f>AW11+AX8</f>
        <v/>
      </c>
      <c r="AY11" s="13">
        <f>AX11+AY8</f>
        <v/>
      </c>
      <c r="AZ11" s="13">
        <f>AY11+AZ8</f>
        <v/>
      </c>
      <c r="BA11" s="13">
        <f>AZ11+BA8</f>
        <v/>
      </c>
      <c r="BB11" s="13">
        <f>BA11+BB8</f>
        <v/>
      </c>
      <c r="BC11" s="13">
        <f>BB11+BC8</f>
        <v/>
      </c>
      <c r="BD11" s="13">
        <f>BC11+BD8</f>
        <v/>
      </c>
      <c r="BE11" s="13">
        <f>BD11+BE8</f>
        <v/>
      </c>
      <c r="BF11" s="13">
        <f>BE11+BF8</f>
        <v/>
      </c>
      <c r="BG11" s="13">
        <f>BF11+BG8</f>
        <v/>
      </c>
      <c r="BH11" s="13">
        <f>BG11+BH8</f>
        <v/>
      </c>
      <c r="BI11" s="13">
        <f>BH11+BI8</f>
        <v/>
      </c>
      <c r="BJ11" s="13">
        <f>BI11+BJ8</f>
        <v/>
      </c>
      <c r="BK11" s="13">
        <f>BJ11+BK8</f>
        <v/>
      </c>
      <c r="BL11" s="13">
        <f>BK11+BL8</f>
        <v/>
      </c>
      <c r="BM11" s="13">
        <f>BL11+BM8</f>
        <v/>
      </c>
      <c r="BN11" s="13">
        <f>BM11+BN8</f>
        <v/>
      </c>
      <c r="BO11" s="13">
        <f>BN11+BO8</f>
        <v/>
      </c>
      <c r="BP11" s="13">
        <f>BO11+BP8</f>
        <v/>
      </c>
      <c r="BQ11" s="13">
        <f>BP11+BQ8</f>
        <v/>
      </c>
      <c r="BR11" s="13">
        <f>BQ11+BR8</f>
        <v/>
      </c>
      <c r="BS11" s="13">
        <f>BR11+BS8</f>
        <v/>
      </c>
      <c r="BT11" s="13">
        <f>BS11+BT8</f>
        <v/>
      </c>
      <c r="BU11" s="13">
        <f>BT11+BU8</f>
        <v/>
      </c>
      <c r="BV11" s="13">
        <f>BU11+BV8</f>
        <v/>
      </c>
      <c r="BW11" s="13">
        <f>BV11+BW8</f>
        <v/>
      </c>
      <c r="BX11" s="13">
        <f>BW11+BX8</f>
        <v/>
      </c>
      <c r="BY11" s="13">
        <f>BX11+BY8</f>
        <v/>
      </c>
      <c r="BZ11" s="13">
        <f>BY11+BZ8</f>
        <v/>
      </c>
      <c r="CA11" s="13">
        <f>BZ11+CA8</f>
        <v/>
      </c>
      <c r="CB11" s="13">
        <f>CA11+CB8</f>
        <v/>
      </c>
      <c r="CC11" s="13">
        <f>CB11+CC8</f>
        <v/>
      </c>
      <c r="CD11" s="13">
        <f>CC11+CD8</f>
        <v/>
      </c>
      <c r="CE11" s="13">
        <f>CD11+CE8</f>
        <v/>
      </c>
      <c r="CF11" s="13">
        <f>CE11+CF8</f>
        <v/>
      </c>
      <c r="CG11" s="13">
        <f>CF11+CG8</f>
        <v/>
      </c>
      <c r="CH11" s="13">
        <f>CG11+CH8</f>
        <v/>
      </c>
      <c r="CI11" s="13">
        <f>CH11+CI8</f>
        <v/>
      </c>
      <c r="CJ11" s="13">
        <f>CI11+CJ8</f>
        <v/>
      </c>
      <c r="CK11" s="13">
        <f>CJ11+CK8</f>
        <v/>
      </c>
      <c r="CL11" s="13">
        <f>CK11+CL8</f>
        <v/>
      </c>
      <c r="CM11" s="13">
        <f>CL11+CM8</f>
        <v/>
      </c>
      <c r="CN11" s="13">
        <f>CM11+CN8</f>
        <v/>
      </c>
      <c r="CO11" s="13">
        <f>CN11+CO8</f>
        <v/>
      </c>
      <c r="CP11" s="13">
        <f>CO11+CP8</f>
        <v/>
      </c>
      <c r="CQ11" s="13">
        <f>CP11+CQ8</f>
        <v/>
      </c>
      <c r="CR11" s="13">
        <f>CQ11+CR8</f>
        <v/>
      </c>
      <c r="CS11" s="13">
        <f>CR11+CS8</f>
        <v/>
      </c>
      <c r="CT11" s="13">
        <f>CS11+CT8</f>
        <v/>
      </c>
      <c r="CU11" s="13">
        <f>CT11+CU8</f>
        <v/>
      </c>
      <c r="CV11" s="13">
        <f>CU11+CV8</f>
        <v/>
      </c>
      <c r="CW11" s="13">
        <f>CV11+CW8</f>
        <v/>
      </c>
      <c r="CX11" s="13">
        <f>CW11+CX8</f>
        <v/>
      </c>
      <c r="CY11" s="13">
        <f>CX11+CY8</f>
        <v/>
      </c>
      <c r="CZ11" s="13">
        <f>CY11+CZ8</f>
        <v/>
      </c>
      <c r="DA11" s="13">
        <f>CZ11+DA8</f>
        <v/>
      </c>
      <c r="DB11" s="13">
        <f>DA11+DB8</f>
        <v/>
      </c>
      <c r="DC11" s="13">
        <f>DB11+DC8</f>
        <v/>
      </c>
      <c r="DD11" s="13">
        <f>DC11+DD8</f>
        <v/>
      </c>
      <c r="DE11" s="13">
        <f>DD11+DE8</f>
        <v/>
      </c>
      <c r="DF11" s="13">
        <f>DE11+DF8</f>
        <v/>
      </c>
      <c r="DG11" s="13">
        <f>DF11+DG8</f>
        <v/>
      </c>
      <c r="DH11" s="13">
        <f>DG11+DH8</f>
        <v/>
      </c>
      <c r="DI11" s="13">
        <f>DH11+DI8</f>
        <v/>
      </c>
      <c r="DJ11" s="13">
        <f>DI11+DJ8</f>
        <v/>
      </c>
      <c r="DK11" s="13">
        <f>DJ11+DK8</f>
        <v/>
      </c>
      <c r="DL11" s="13">
        <f>DK11+DL8</f>
        <v/>
      </c>
      <c r="DM11" s="13">
        <f>DL11+DM8</f>
        <v/>
      </c>
      <c r="DN11" s="13">
        <f>DM11+DN8</f>
        <v/>
      </c>
      <c r="DO11" s="13">
        <f>DN11+DO8</f>
        <v/>
      </c>
      <c r="DP11" s="13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20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20">
        <f>XIRR(Returns!$J$9:$DP$9,Returns!$J$7:$DP$7,Inputs!$F$255)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20">
        <f>XIRR(Returns!$J$10:$DP$10,Returns!$J$7:$DP$7,Inputs!$F$255)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21">
        <f>XNPV(Inputs!$F$252/100,Returns!$J$8:$DP$8,Returns!$J$7:$DP$7)*(1+Inputs!$F$252/100)^((Inputs!$F$187-Inputs!$F$186)/Inputs!$F$248)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IF(ABS(SUM(Funding!$J$73:$BJ$73)+SUM(Funding!$J$67:$BJ$67)+SUM(Funding!$J$53:$BJ$53)-SUM(Funding!$J$49:$BJ$49))&lt;=Inputs!$F$254,0,SUM(Funding!$J$73:$BJ$73)+SUM(Funding!$J$67:$BJ$67)+SUM(Funding!$J$53:$BJ$53)-SUM(Funding!$J$49:$BJ$49))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IF(Inputs!$F$34=1,IF(ABS(SUM(Funding!$J$47:$BJ$47)-Funding!$F$25)&lt;=Inputs!$F$254,0,SUM(Funding!$J$47:$BJ$47)-Funding!$F$25),0)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IF(Inputs!$F$51&lt;&gt;1,IF(ABS(Funding!$F$24-Funding!$F$75)&lt;=Inputs!$F$254,0,Funding!$F$24-Funding!$F$75),0)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IF(MAX(MAX(Financials!$J$29:$BN$29),-MIN(Financials!$J$29:$BN$29))&lt;=Inputs!$F$254,0,MAX(MAX(Financials!$J$29:$BN$29),-MIN(Financials!$J$29:$BN$29)))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IF(ABS(SUM(Waterfall!$J$12:$BN$12))&lt;=Inputs!$F$254,0,SUM(Waterfall!$J$12:$BN$12))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IF(ABS(INDEX(Debt!$J$116:$BN$116,1,COLUMNS(Debt!$J$116:$BN$116)))&lt;=Inputs!$F$254,0,INDEX(Debt!$J$116:$BN$116,1,COLUMNS(Debt!$J$116:$BN$116)))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IF(MAX(MAX(Debt!$J$135:$BN$135),-MIN(Debt!$J$135:$BN$135))&lt;=Inputs!$F$260,0,MAX(MAX(Debt!$J$135:$BN$135),-MIN(Debt!$J$135:$BN$135)))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IF(Inputs!$F$8=1,IF(Funding!$F$25&lt;=MIN(Debt!$F$130,Debt!$F$131)+Inputs!$F$254,0,1),0)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IF(MAX(Construction!$J$37:$BJ$37)&lt;=Inputs!$F$72,0,1)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IF(AND(SUM(Funding!$J$55:$BJ$55)&lt;=Inputs!$F$99+Inputs!$F$254,SUM(Funding!$J$56:$BJ$56)&lt;=Inputs!$F$103+Inputs!$F$254),0,1)</f>
        <v/>
      </c>
    </row>
    <row r="17">
      <c r="D17" t="inlineStr">
        <is>
          <t>ECA tranche within cap</t>
        </is>
      </c>
      <c r="E17" t="inlineStr">
        <is>
          <t>check</t>
        </is>
      </c>
      <c r="F17" s="6">
        <f>IF(Inputs!$F$75*Funding!$F$25&lt;=Inputs!$F$251,0,1)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IF(MIN(Reserves!$J$8:$BN$8)&gt;=-Inputs!$F$254,0,1)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2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2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2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20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2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2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2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2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2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2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2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2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2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2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20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20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2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2">
        <f>Checks!$F$19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70" customWidth="1" min="2" max="2"/>
    <col width="60" customWidth="1" min="3" max="3"/>
  </cols>
  <sheetData>
    <row r="1">
      <c r="A1" s="2" t="inlineStr">
        <is>
          <t>Audit exercise key (Chapter 44): sponsor model version 0.9 with ten seeded errors. Do not distribute with the exercise.</t>
        </is>
      </c>
    </row>
    <row r="2">
      <c r="A2" t="inlineStr">
        <is>
          <t>Contract terms on the Inputs sheet come from sizing this erroneous model. Effects (P-F17) are from case_p.py: each error alone, re-sized.</t>
        </is>
      </c>
    </row>
    <row r="4">
      <c r="A4" s="2" t="inlineStr">
        <is>
          <t>ID</t>
        </is>
      </c>
      <c r="B4" s="2" t="inlineStr">
        <is>
          <t>Seeded error</t>
        </is>
      </c>
      <c r="C4" s="2" t="inlineStr">
        <is>
          <t>Cells (sheet, row)</t>
        </is>
      </c>
      <c r="D4" s="2" t="inlineStr">
        <is>
          <t>Senior debt (USD m)</t>
        </is>
      </c>
      <c r="E4" s="2" t="inlineStr">
        <is>
          <t>Change vs correct</t>
        </is>
      </c>
      <c r="F4" s="2" t="inlineStr">
        <is>
          <t>Min DSCR base</t>
        </is>
      </c>
      <c r="G4" s="2" t="inlineStr">
        <is>
          <t>Min DSCR downside</t>
        </is>
      </c>
      <c r="H4" s="2" t="inlineStr">
        <is>
          <t>Equity IRR</t>
        </is>
      </c>
      <c r="I4" s="2" t="inlineStr">
        <is>
          <t>Binding</t>
        </is>
      </c>
    </row>
    <row r="5">
      <c r="A5" t="inlineStr">
        <is>
          <t>correct</t>
        </is>
      </c>
      <c r="B5" t="inlineStr">
        <is>
          <t>correct model</t>
        </is>
      </c>
      <c r="C5" t="inlineStr"/>
      <c r="D5" t="n">
        <v>633.26</v>
      </c>
      <c r="E5" t="n">
        <v>0</v>
      </c>
      <c r="F5" t="n">
        <v>1.35</v>
      </c>
      <c r="G5" t="n">
        <v>1.2</v>
      </c>
      <c r="H5" t="n">
        <v>13.27</v>
      </c>
      <c r="I5" t="inlineStr">
        <is>
          <t>DSCR</t>
        </is>
      </c>
    </row>
    <row r="6">
      <c r="A6" t="inlineStr">
        <is>
          <t>E1</t>
        </is>
      </c>
      <c r="B6" t="inlineStr">
        <is>
          <t>Capacity payment without the availability cap (A/90% not capped at 1)</t>
        </is>
      </c>
      <c r="C6" t="inlineStr">
        <is>
          <t>Operations row 47</t>
        </is>
      </c>
      <c r="D6" t="n">
        <v>641.91</v>
      </c>
      <c r="E6" t="n">
        <v>8.66</v>
      </c>
      <c r="F6" t="n">
        <v>1.37</v>
      </c>
      <c r="G6" t="n">
        <v>1.2</v>
      </c>
      <c r="H6" t="n">
        <v>14.13</v>
      </c>
      <c r="I6" t="inlineStr">
        <is>
          <t>downside</t>
        </is>
      </c>
    </row>
    <row r="7">
      <c r="A7" t="inlineStr">
        <is>
          <t>E2</t>
        </is>
      </c>
      <c r="B7" t="inlineStr">
        <is>
          <t>LTSA variable fee on one gas turbine instead of two</t>
        </is>
      </c>
      <c r="C7" t="inlineStr">
        <is>
          <t>Operations row 63</t>
        </is>
      </c>
      <c r="D7" t="n">
        <v>643.12</v>
      </c>
      <c r="E7" t="n">
        <v>9.859999999999999</v>
      </c>
      <c r="F7" t="n">
        <v>1.378</v>
      </c>
      <c r="G7" t="n">
        <v>1.228</v>
      </c>
      <c r="H7" t="n">
        <v>14.39</v>
      </c>
      <c r="I7" t="inlineStr">
        <is>
          <t>gearing</t>
        </is>
      </c>
    </row>
    <row r="8">
      <c r="A8" t="inlineStr">
        <is>
          <t>E3</t>
        </is>
      </c>
      <c r="B8" t="inlineStr">
        <is>
          <t>Tariff indexation reads the index at period end instead of the lagged (Sep/Mar) reading</t>
        </is>
      </c>
      <c r="C8" t="inlineStr">
        <is>
          <t>Operations row 20; Operations row 26</t>
        </is>
      </c>
      <c r="D8" t="n">
        <v>640.09</v>
      </c>
      <c r="E8" t="n">
        <v>6.83</v>
      </c>
      <c r="F8" t="n">
        <v>1.35</v>
      </c>
      <c r="G8" t="n">
        <v>1.201</v>
      </c>
      <c r="H8" t="n">
        <v>13.63</v>
      </c>
      <c r="I8" t="inlineStr">
        <is>
          <t>DSCR</t>
        </is>
      </c>
    </row>
    <row r="9">
      <c r="A9" t="inlineStr">
        <is>
          <t>E4</t>
        </is>
      </c>
      <c r="B9" t="inlineStr">
        <is>
          <t>Senior loan interest on 30/360 instead of ACT/360</t>
        </is>
      </c>
      <c r="C9" t="inlineStr">
        <is>
          <t>Funding row 19; Funding row 33; Funding row 34; Funding row 35; Funding row 36; Funding row 12 (col F); Funding row 13 (col F); Funding row 14 (col F); Funding row 15 (col F); Debt row 10; Debt row 11; Debt row 12; Debt row 13</t>
        </is>
      </c>
      <c r="D9" t="n">
        <v>636.01</v>
      </c>
      <c r="E9" t="n">
        <v>2.75</v>
      </c>
      <c r="F9" t="n">
        <v>1.35</v>
      </c>
      <c r="G9" t="n">
        <v>1.2</v>
      </c>
      <c r="H9" t="n">
        <v>13.39</v>
      </c>
      <c r="I9" t="inlineStr">
        <is>
          <t>DSCR</t>
        </is>
      </c>
    </row>
    <row r="10">
      <c r="A10" t="inlineStr">
        <is>
          <t>E5</t>
        </is>
      </c>
      <c r="B10" t="inlineStr">
        <is>
          <t>Full tax exemption applied to OY1-OY8 (15% band ignored)</t>
        </is>
      </c>
      <c r="C10" t="inlineStr">
        <is>
          <t>Tax row 7; Tax row 8; Tax row 11</t>
        </is>
      </c>
      <c r="D10" t="n">
        <v>639.86</v>
      </c>
      <c r="E10" t="n">
        <v>6.6</v>
      </c>
      <c r="F10" t="n">
        <v>1.35</v>
      </c>
      <c r="G10" t="n">
        <v>1.2</v>
      </c>
      <c r="H10" t="n">
        <v>13.73</v>
      </c>
      <c r="I10" t="inlineStr">
        <is>
          <t>DSCR</t>
        </is>
      </c>
    </row>
    <row r="11">
      <c r="A11" t="inlineStr">
        <is>
          <t>E6</t>
        </is>
      </c>
      <c r="B11" t="inlineStr">
        <is>
          <t>Deferred holiday depreciation lost (pool never credited)</t>
        </is>
      </c>
      <c r="C11" t="inlineStr">
        <is>
          <t>Tax row 21</t>
        </is>
      </c>
      <c r="D11" t="n">
        <v>614.1799999999999</v>
      </c>
      <c r="E11" t="n">
        <v>-19.08</v>
      </c>
      <c r="F11" t="n">
        <v>1.35</v>
      </c>
      <c r="G11" t="n">
        <v>1.2</v>
      </c>
      <c r="H11" t="n">
        <v>12.51</v>
      </c>
      <c r="I11" t="inlineStr">
        <is>
          <t>DSCR</t>
        </is>
      </c>
    </row>
    <row r="12">
      <c r="A12" t="inlineStr">
        <is>
          <t>E7</t>
        </is>
      </c>
      <c r="B12" t="inlineStr">
        <is>
          <t>DSRA initial funding drawn 100% from senior debt instead of pro rata</t>
        </is>
      </c>
      <c r="C12" t="inlineStr">
        <is>
          <t>Funding row 26 (col F); Funding row 47; Funding row 50</t>
        </is>
      </c>
      <c r="D12" t="n">
        <v>633.33</v>
      </c>
      <c r="E12" t="n">
        <v>0.07000000000000001</v>
      </c>
      <c r="F12" t="n">
        <v>1.35</v>
      </c>
      <c r="G12" t="n">
        <v>1.2</v>
      </c>
      <c r="H12" t="n">
        <v>13.23</v>
      </c>
      <c r="I12" t="inlineStr">
        <is>
          <t>DSCR</t>
        </is>
      </c>
    </row>
    <row r="13">
      <c r="A13" t="inlineStr">
        <is>
          <t>E8</t>
        </is>
      </c>
      <c r="B13" t="inlineStr">
        <is>
          <t>Sculpting on CFADS before tax</t>
        </is>
      </c>
      <c r="C13" t="inlineStr">
        <is>
          <t>Debt row 128; Debt row 132</t>
        </is>
      </c>
      <c r="D13" t="n">
        <v>641.24</v>
      </c>
      <c r="E13" t="n">
        <v>7.98</v>
      </c>
      <c r="F13" t="n">
        <v>1.34</v>
      </c>
      <c r="G13" t="n">
        <v>1.2</v>
      </c>
      <c r="H13" t="n">
        <v>13.4</v>
      </c>
      <c r="I13" t="inlineStr">
        <is>
          <t>DSCR</t>
        </is>
      </c>
    </row>
    <row r="14">
      <c r="A14" t="inlineStr">
        <is>
          <t>E9</t>
        </is>
      </c>
      <c r="B14" t="inlineStr">
        <is>
          <t>Fuel-charge revenue uses a typed 76.5% dispatch instead of the live dispatch</t>
        </is>
      </c>
      <c r="C14" t="inlineStr">
        <is>
          <t>Operations row 51</t>
        </is>
      </c>
      <c r="D14" t="n">
        <v>633.26</v>
      </c>
      <c r="E14" t="n">
        <v>0</v>
      </c>
      <c r="F14" t="n">
        <v>1.35</v>
      </c>
      <c r="G14" t="n">
        <v>1.2</v>
      </c>
      <c r="H14" t="n">
        <v>13.27</v>
      </c>
      <c r="I14" t="inlineStr">
        <is>
          <t>DSCR</t>
        </is>
      </c>
    </row>
    <row r="15">
      <c r="A15" t="inlineStr">
        <is>
          <t>E10</t>
        </is>
      </c>
      <c r="B15" t="inlineStr">
        <is>
          <t>Swap net settlement with legs reversed</t>
        </is>
      </c>
      <c r="C15" t="inlineStr">
        <is>
          <t>Funding row 21; Funding row 39; Funding row 17 (col F); Debt row 107; Debt row 125; Debt row 127</t>
        </is>
      </c>
      <c r="D15" t="n">
        <v>623.39</v>
      </c>
      <c r="E15" t="n">
        <v>-9.859999999999999</v>
      </c>
      <c r="F15" t="n">
        <v>1.35</v>
      </c>
      <c r="G15" t="n">
        <v>1.2</v>
      </c>
      <c r="H15" t="n">
        <v>12.88</v>
      </c>
      <c r="I15" t="inlineStr">
        <is>
          <t>DSCR</t>
        </is>
      </c>
    </row>
    <row r="16">
      <c r="A16" t="inlineStr">
        <is>
          <t>ALL</t>
        </is>
      </c>
      <c r="B16" t="inlineStr">
        <is>
          <t>all ten errors together</t>
        </is>
      </c>
      <c r="C16" t="inlineStr">
        <is>
          <t>all of the above</t>
        </is>
      </c>
      <c r="D16" t="n">
        <v>654.63</v>
      </c>
      <c r="E16" t="n">
        <v>21.38</v>
      </c>
      <c r="F16" t="n">
        <v>1.436</v>
      </c>
      <c r="G16" t="n">
        <v>1.262</v>
      </c>
      <c r="H16" t="n">
        <v>15.22</v>
      </c>
      <c r="I16" t="inlineStr">
        <is>
          <t>gearing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2026-10-03T21:28:24Z</dcterms:created>
  <dcterms:modified xsi:type="dcterms:W3CDTF">2026-10-03T21:28:25Z</dcterms:modified>
</cp:coreProperties>
</file>