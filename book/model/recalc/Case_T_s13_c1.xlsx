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<sst xmlns="http://schemas.openxmlformats.org/spreadsheetml/2006/main" count="1500" uniqueCount="767">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</sst>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13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1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-2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58.4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3.4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2.3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1.2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0.8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0.9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0.96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1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3.4</v>
      </c>
      <c r="K6" s="18" t="n">
        <f aca="false">IF(Time!K11&lt;=Inputs!$F$55,Inputs!$F$243,IF(Time!K11&lt;=Inputs!$F$56,Inputs!$F$244,Inputs!$F$245))</f>
        <v>3.4</v>
      </c>
      <c r="L6" s="18" t="n">
        <f aca="false">IF(Time!L11&lt;=Inputs!$F$55,Inputs!$F$243,IF(Time!L11&lt;=Inputs!$F$56,Inputs!$F$244,Inputs!$F$245))</f>
        <v>3.4</v>
      </c>
      <c r="M6" s="18" t="n">
        <f aca="false">IF(Time!M11&lt;=Inputs!$F$55,Inputs!$F$243,IF(Time!M11&lt;=Inputs!$F$56,Inputs!$F$244,Inputs!$F$245))</f>
        <v>3.4</v>
      </c>
      <c r="N6" s="18" t="n">
        <f aca="false">IF(Time!N11&lt;=Inputs!$F$55,Inputs!$F$243,IF(Time!N11&lt;=Inputs!$F$56,Inputs!$F$244,Inputs!$F$245))</f>
        <v>3.4</v>
      </c>
      <c r="O6" s="18" t="n">
        <f aca="false">IF(Time!O11&lt;=Inputs!$F$55,Inputs!$F$243,IF(Time!O11&lt;=Inputs!$F$56,Inputs!$F$244,Inputs!$F$245))</f>
        <v>3.4</v>
      </c>
      <c r="P6" s="18" t="n">
        <f aca="false">IF(Time!P11&lt;=Inputs!$F$55,Inputs!$F$243,IF(Time!P11&lt;=Inputs!$F$56,Inputs!$F$244,Inputs!$F$245))</f>
        <v>3.4</v>
      </c>
      <c r="Q6" s="18" t="n">
        <f aca="false">IF(Time!Q11&lt;=Inputs!$F$55,Inputs!$F$243,IF(Time!Q11&lt;=Inputs!$F$56,Inputs!$F$244,Inputs!$F$245))</f>
        <v>3.4</v>
      </c>
      <c r="R6" s="18" t="n">
        <f aca="false">IF(Time!R11&lt;=Inputs!$F$55,Inputs!$F$243,IF(Time!R11&lt;=Inputs!$F$56,Inputs!$F$244,Inputs!$F$245))</f>
        <v>3.4</v>
      </c>
      <c r="S6" s="18" t="n">
        <f aca="false">IF(Time!S11&lt;=Inputs!$F$55,Inputs!$F$243,IF(Time!S11&lt;=Inputs!$F$56,Inputs!$F$244,Inputs!$F$245))</f>
        <v>3.4</v>
      </c>
      <c r="T6" s="18" t="n">
        <f aca="false">IF(Time!T11&lt;=Inputs!$F$55,Inputs!$F$243,IF(Time!T11&lt;=Inputs!$F$56,Inputs!$F$244,Inputs!$F$245))</f>
        <v>3.4</v>
      </c>
      <c r="U6" s="18" t="n">
        <f aca="false">IF(Time!U11&lt;=Inputs!$F$55,Inputs!$F$243,IF(Time!U11&lt;=Inputs!$F$56,Inputs!$F$244,Inputs!$F$245))</f>
        <v>3.4</v>
      </c>
      <c r="V6" s="18" t="n">
        <f aca="false">IF(Time!V11&lt;=Inputs!$F$55,Inputs!$F$243,IF(Time!V11&lt;=Inputs!$F$56,Inputs!$F$244,Inputs!$F$245))</f>
        <v>3.4</v>
      </c>
      <c r="W6" s="18" t="n">
        <f aca="false">IF(Time!W11&lt;=Inputs!$F$55,Inputs!$F$243,IF(Time!W11&lt;=Inputs!$F$56,Inputs!$F$244,Inputs!$F$245))</f>
        <v>3.4</v>
      </c>
      <c r="X6" s="18" t="n">
        <f aca="false">IF(Time!X11&lt;=Inputs!$F$55,Inputs!$F$243,IF(Time!X11&lt;=Inputs!$F$56,Inputs!$F$244,Inputs!$F$245))</f>
        <v>3.4</v>
      </c>
      <c r="Y6" s="18" t="n">
        <f aca="false">IF(Time!Y11&lt;=Inputs!$F$55,Inputs!$F$243,IF(Time!Y11&lt;=Inputs!$F$56,Inputs!$F$244,Inputs!$F$245))</f>
        <v>3.4</v>
      </c>
      <c r="Z6" s="18" t="n">
        <f aca="false">IF(Time!Z11&lt;=Inputs!$F$55,Inputs!$F$243,IF(Time!Z11&lt;=Inputs!$F$56,Inputs!$F$244,Inputs!$F$245))</f>
        <v>3.4</v>
      </c>
      <c r="AA6" s="18" t="n">
        <f aca="false">IF(Time!AA11&lt;=Inputs!$F$55,Inputs!$F$243,IF(Time!AA11&lt;=Inputs!$F$56,Inputs!$F$244,Inputs!$F$245))</f>
        <v>3.4</v>
      </c>
      <c r="AB6" s="18" t="n">
        <f aca="false">IF(Time!AB11&lt;=Inputs!$F$55,Inputs!$F$243,IF(Time!AB11&lt;=Inputs!$F$56,Inputs!$F$244,Inputs!$F$245))</f>
        <v>3.4</v>
      </c>
      <c r="AC6" s="18" t="n">
        <f aca="false">IF(Time!AC11&lt;=Inputs!$F$55,Inputs!$F$243,IF(Time!AC11&lt;=Inputs!$F$56,Inputs!$F$244,Inputs!$F$245))</f>
        <v>3.4</v>
      </c>
      <c r="AD6" s="18" t="n">
        <f aca="false">IF(Time!AD11&lt;=Inputs!$F$55,Inputs!$F$243,IF(Time!AD11&lt;=Inputs!$F$56,Inputs!$F$244,Inputs!$F$245))</f>
        <v>3.4</v>
      </c>
      <c r="AE6" s="18" t="n">
        <f aca="false">IF(Time!AE11&lt;=Inputs!$F$55,Inputs!$F$243,IF(Time!AE11&lt;=Inputs!$F$56,Inputs!$F$244,Inputs!$F$245))</f>
        <v>3.4</v>
      </c>
      <c r="AF6" s="18" t="n">
        <f aca="false">IF(Time!AF11&lt;=Inputs!$F$55,Inputs!$F$243,IF(Time!AF11&lt;=Inputs!$F$56,Inputs!$F$244,Inputs!$F$245))</f>
        <v>3.4</v>
      </c>
      <c r="AG6" s="18" t="n">
        <f aca="false">IF(Time!AG11&lt;=Inputs!$F$55,Inputs!$F$243,IF(Time!AG11&lt;=Inputs!$F$56,Inputs!$F$244,Inputs!$F$245))</f>
        <v>3.4</v>
      </c>
      <c r="AH6" s="18" t="n">
        <f aca="false">IF(Time!AH11&lt;=Inputs!$F$55,Inputs!$F$243,IF(Time!AH11&lt;=Inputs!$F$56,Inputs!$F$244,Inputs!$F$245))</f>
        <v>3.4</v>
      </c>
      <c r="AI6" s="18" t="n">
        <f aca="false">IF(Time!AI11&lt;=Inputs!$F$55,Inputs!$F$243,IF(Time!AI11&lt;=Inputs!$F$56,Inputs!$F$244,Inputs!$F$245))</f>
        <v>3.4</v>
      </c>
      <c r="AJ6" s="18" t="n">
        <f aca="false">IF(Time!AJ11&lt;=Inputs!$F$55,Inputs!$F$243,IF(Time!AJ11&lt;=Inputs!$F$56,Inputs!$F$244,Inputs!$F$245))</f>
        <v>3.4</v>
      </c>
      <c r="AK6" s="18" t="n">
        <f aca="false">IF(Time!AK11&lt;=Inputs!$F$55,Inputs!$F$243,IF(Time!AK11&lt;=Inputs!$F$56,Inputs!$F$244,Inputs!$F$245))</f>
        <v>3.4</v>
      </c>
      <c r="AL6" s="18" t="n">
        <f aca="false">IF(Time!AL11&lt;=Inputs!$F$55,Inputs!$F$243,IF(Time!AL11&lt;=Inputs!$F$56,Inputs!$F$244,Inputs!$F$245))</f>
        <v>3.4</v>
      </c>
      <c r="AM6" s="18" t="n">
        <f aca="false">IF(Time!AM11&lt;=Inputs!$F$55,Inputs!$F$243,IF(Time!AM11&lt;=Inputs!$F$56,Inputs!$F$244,Inputs!$F$245))</f>
        <v>3.4</v>
      </c>
      <c r="AN6" s="18" t="n">
        <f aca="false">IF(Time!AN11&lt;=Inputs!$F$55,Inputs!$F$243,IF(Time!AN11&lt;=Inputs!$F$56,Inputs!$F$244,Inputs!$F$245))</f>
        <v>3.4</v>
      </c>
      <c r="AO6" s="18" t="n">
        <f aca="false">IF(Time!AO11&lt;=Inputs!$F$55,Inputs!$F$243,IF(Time!AO11&lt;=Inputs!$F$56,Inputs!$F$244,Inputs!$F$245))</f>
        <v>3.4</v>
      </c>
      <c r="AP6" s="18" t="n">
        <f aca="false">IF(Time!AP11&lt;=Inputs!$F$55,Inputs!$F$243,IF(Time!AP11&lt;=Inputs!$F$56,Inputs!$F$244,Inputs!$F$245))</f>
        <v>3.4</v>
      </c>
      <c r="AQ6" s="18" t="n">
        <f aca="false">IF(Time!AQ11&lt;=Inputs!$F$55,Inputs!$F$243,IF(Time!AQ11&lt;=Inputs!$F$56,Inputs!$F$244,Inputs!$F$245))</f>
        <v>3.4</v>
      </c>
      <c r="AR6" s="18" t="n">
        <f aca="false">IF(Time!AR11&lt;=Inputs!$F$55,Inputs!$F$243,IF(Time!AR11&lt;=Inputs!$F$56,Inputs!$F$244,Inputs!$F$245))</f>
        <v>3.4</v>
      </c>
      <c r="AS6" s="18" t="n">
        <f aca="false">IF(Time!AS11&lt;=Inputs!$F$55,Inputs!$F$243,IF(Time!AS11&lt;=Inputs!$F$56,Inputs!$F$244,Inputs!$F$245))</f>
        <v>3.4</v>
      </c>
      <c r="AT6" s="18" t="n">
        <f aca="false">IF(Time!AT11&lt;=Inputs!$F$55,Inputs!$F$243,IF(Time!AT11&lt;=Inputs!$F$56,Inputs!$F$244,Inputs!$F$245))</f>
        <v>3.4</v>
      </c>
      <c r="AU6" s="18" t="n">
        <f aca="false">IF(Time!AU11&lt;=Inputs!$F$55,Inputs!$F$243,IF(Time!AU11&lt;=Inputs!$F$56,Inputs!$F$244,Inputs!$F$245))</f>
        <v>3.4</v>
      </c>
      <c r="AV6" s="18" t="n">
        <f aca="false">IF(Time!AV11&lt;=Inputs!$F$55,Inputs!$F$243,IF(Time!AV11&lt;=Inputs!$F$56,Inputs!$F$244,Inputs!$F$245))</f>
        <v>3.4</v>
      </c>
      <c r="AW6" s="18" t="n">
        <f aca="false">IF(Time!AW11&lt;=Inputs!$F$55,Inputs!$F$243,IF(Time!AW11&lt;=Inputs!$F$56,Inputs!$F$244,Inputs!$F$245))</f>
        <v>3.4</v>
      </c>
      <c r="AX6" s="18" t="n">
        <f aca="false">IF(Time!AX11&lt;=Inputs!$F$55,Inputs!$F$243,IF(Time!AX11&lt;=Inputs!$F$56,Inputs!$F$244,Inputs!$F$245))</f>
        <v>2.3</v>
      </c>
      <c r="AY6" s="18" t="n">
        <f aca="false">IF(Time!AY11&lt;=Inputs!$F$55,Inputs!$F$243,IF(Time!AY11&lt;=Inputs!$F$56,Inputs!$F$244,Inputs!$F$245))</f>
        <v>2.3</v>
      </c>
      <c r="AZ6" s="18" t="n">
        <f aca="false">IF(Time!AZ11&lt;=Inputs!$F$55,Inputs!$F$243,IF(Time!AZ11&lt;=Inputs!$F$56,Inputs!$F$244,Inputs!$F$245))</f>
        <v>2.3</v>
      </c>
      <c r="BA6" s="18" t="n">
        <f aca="false">IF(Time!BA11&lt;=Inputs!$F$55,Inputs!$F$243,IF(Time!BA11&lt;=Inputs!$F$56,Inputs!$F$244,Inputs!$F$245))</f>
        <v>2.3</v>
      </c>
      <c r="BB6" s="18" t="n">
        <f aca="false">IF(Time!BB11&lt;=Inputs!$F$55,Inputs!$F$243,IF(Time!BB11&lt;=Inputs!$F$56,Inputs!$F$244,Inputs!$F$245))</f>
        <v>2.3</v>
      </c>
      <c r="BC6" s="18" t="n">
        <f aca="false">IF(Time!BC11&lt;=Inputs!$F$55,Inputs!$F$243,IF(Time!BC11&lt;=Inputs!$F$56,Inputs!$F$244,Inputs!$F$245))</f>
        <v>2.3</v>
      </c>
      <c r="BD6" s="18" t="n">
        <f aca="false">IF(Time!BD11&lt;=Inputs!$F$55,Inputs!$F$243,IF(Time!BD11&lt;=Inputs!$F$56,Inputs!$F$244,Inputs!$F$245))</f>
        <v>2.3</v>
      </c>
      <c r="BE6" s="18" t="n">
        <f aca="false">IF(Time!BE11&lt;=Inputs!$F$55,Inputs!$F$243,IF(Time!BE11&lt;=Inputs!$F$56,Inputs!$F$244,Inputs!$F$245))</f>
        <v>2.3</v>
      </c>
      <c r="BF6" s="18" t="n">
        <f aca="false">IF(Time!BF11&lt;=Inputs!$F$55,Inputs!$F$243,IF(Time!BF11&lt;=Inputs!$F$56,Inputs!$F$244,Inputs!$F$245))</f>
        <v>2.3</v>
      </c>
      <c r="BG6" s="18" t="n">
        <f aca="false">IF(Time!BG11&lt;=Inputs!$F$55,Inputs!$F$243,IF(Time!BG11&lt;=Inputs!$F$56,Inputs!$F$244,Inputs!$F$245))</f>
        <v>2.3</v>
      </c>
      <c r="BH6" s="18" t="n">
        <f aca="false">IF(Time!BH11&lt;=Inputs!$F$55,Inputs!$F$243,IF(Time!BH11&lt;=Inputs!$F$56,Inputs!$F$244,Inputs!$F$245))</f>
        <v>2.3</v>
      </c>
      <c r="BI6" s="18" t="n">
        <f aca="false">IF(Time!BI11&lt;=Inputs!$F$55,Inputs!$F$243,IF(Time!BI11&lt;=Inputs!$F$56,Inputs!$F$244,Inputs!$F$245))</f>
        <v>2.3</v>
      </c>
      <c r="BJ6" s="18" t="n">
        <f aca="false">IF(Time!BJ11&lt;=Inputs!$F$55,Inputs!$F$243,IF(Time!BJ11&lt;=Inputs!$F$56,Inputs!$F$244,Inputs!$F$245))</f>
        <v>2.3</v>
      </c>
      <c r="BK6" s="18" t="n">
        <f aca="false">IF(Time!BK11&lt;=Inputs!$F$55,Inputs!$F$243,IF(Time!BK11&lt;=Inputs!$F$56,Inputs!$F$244,Inputs!$F$245))</f>
        <v>2.3</v>
      </c>
      <c r="BL6" s="18" t="n">
        <f aca="false">IF(Time!BL11&lt;=Inputs!$F$55,Inputs!$F$243,IF(Time!BL11&lt;=Inputs!$F$56,Inputs!$F$244,Inputs!$F$245))</f>
        <v>2.3</v>
      </c>
      <c r="BM6" s="18" t="n">
        <f aca="false">IF(Time!BM11&lt;=Inputs!$F$55,Inputs!$F$243,IF(Time!BM11&lt;=Inputs!$F$56,Inputs!$F$244,Inputs!$F$245))</f>
        <v>2.3</v>
      </c>
      <c r="BN6" s="18" t="n">
        <f aca="false">IF(Time!BN11&lt;=Inputs!$F$55,Inputs!$F$243,IF(Time!BN11&lt;=Inputs!$F$56,Inputs!$F$244,Inputs!$F$245))</f>
        <v>2.3</v>
      </c>
      <c r="BO6" s="18" t="n">
        <f aca="false">IF(Time!BO11&lt;=Inputs!$F$55,Inputs!$F$243,IF(Time!BO11&lt;=Inputs!$F$56,Inputs!$F$244,Inputs!$F$245))</f>
        <v>2.3</v>
      </c>
      <c r="BP6" s="18" t="n">
        <f aca="false">IF(Time!BP11&lt;=Inputs!$F$55,Inputs!$F$243,IF(Time!BP11&lt;=Inputs!$F$56,Inputs!$F$244,Inputs!$F$245))</f>
        <v>2.3</v>
      </c>
      <c r="BQ6" s="18" t="n">
        <f aca="false">IF(Time!BQ11&lt;=Inputs!$F$55,Inputs!$F$243,IF(Time!BQ11&lt;=Inputs!$F$56,Inputs!$F$244,Inputs!$F$245))</f>
        <v>2.3</v>
      </c>
      <c r="BR6" s="18" t="n">
        <f aca="false">IF(Time!BR11&lt;=Inputs!$F$55,Inputs!$F$243,IF(Time!BR11&lt;=Inputs!$F$56,Inputs!$F$244,Inputs!$F$245))</f>
        <v>1.2</v>
      </c>
      <c r="BS6" s="18" t="n">
        <f aca="false">IF(Time!BS11&lt;=Inputs!$F$55,Inputs!$F$243,IF(Time!BS11&lt;=Inputs!$F$56,Inputs!$F$244,Inputs!$F$245))</f>
        <v>1.2</v>
      </c>
      <c r="BT6" s="18" t="n">
        <f aca="false">IF(Time!BT11&lt;=Inputs!$F$55,Inputs!$F$243,IF(Time!BT11&lt;=Inputs!$F$56,Inputs!$F$244,Inputs!$F$245))</f>
        <v>1.2</v>
      </c>
      <c r="BU6" s="18" t="n">
        <f aca="false">IF(Time!BU11&lt;=Inputs!$F$55,Inputs!$F$243,IF(Time!BU11&lt;=Inputs!$F$56,Inputs!$F$244,Inputs!$F$245))</f>
        <v>1.2</v>
      </c>
      <c r="BV6" s="18" t="n">
        <f aca="false">IF(Time!BV11&lt;=Inputs!$F$55,Inputs!$F$243,IF(Time!BV11&lt;=Inputs!$F$56,Inputs!$F$244,Inputs!$F$245))</f>
        <v>1.2</v>
      </c>
      <c r="BW6" s="18" t="n">
        <f aca="false">IF(Time!BW11&lt;=Inputs!$F$55,Inputs!$F$243,IF(Time!BW11&lt;=Inputs!$F$56,Inputs!$F$244,Inputs!$F$245))</f>
        <v>1.2</v>
      </c>
      <c r="BX6" s="18" t="n">
        <f aca="false">IF(Time!BX11&lt;=Inputs!$F$55,Inputs!$F$243,IF(Time!BX11&lt;=Inputs!$F$56,Inputs!$F$244,Inputs!$F$245))</f>
        <v>1.2</v>
      </c>
      <c r="BY6" s="18" t="n">
        <f aca="false">IF(Time!BY11&lt;=Inputs!$F$55,Inputs!$F$243,IF(Time!BY11&lt;=Inputs!$F$56,Inputs!$F$244,Inputs!$F$245))</f>
        <v>1.2</v>
      </c>
      <c r="BZ6" s="18" t="n">
        <f aca="false">IF(Time!BZ11&lt;=Inputs!$F$55,Inputs!$F$243,IF(Time!BZ11&lt;=Inputs!$F$56,Inputs!$F$244,Inputs!$F$245))</f>
        <v>1.2</v>
      </c>
      <c r="CA6" s="18" t="n">
        <f aca="false">IF(Time!CA11&lt;=Inputs!$F$55,Inputs!$F$243,IF(Time!CA11&lt;=Inputs!$F$56,Inputs!$F$244,Inputs!$F$245))</f>
        <v>1.2</v>
      </c>
      <c r="CB6" s="18" t="n">
        <f aca="false">IF(Time!CB11&lt;=Inputs!$F$55,Inputs!$F$243,IF(Time!CB11&lt;=Inputs!$F$56,Inputs!$F$244,Inputs!$F$245))</f>
        <v>1.2</v>
      </c>
      <c r="CC6" s="18" t="n">
        <f aca="false">IF(Time!CC11&lt;=Inputs!$F$55,Inputs!$F$243,IF(Time!CC11&lt;=Inputs!$F$56,Inputs!$F$244,Inputs!$F$245))</f>
        <v>1.2</v>
      </c>
      <c r="CD6" s="18" t="n">
        <f aca="false">IF(Time!CD11&lt;=Inputs!$F$55,Inputs!$F$243,IF(Time!CD11&lt;=Inputs!$F$56,Inputs!$F$244,Inputs!$F$245))</f>
        <v>1.2</v>
      </c>
      <c r="CE6" s="18" t="n">
        <f aca="false">IF(Time!CE11&lt;=Inputs!$F$55,Inputs!$F$243,IF(Time!CE11&lt;=Inputs!$F$56,Inputs!$F$244,Inputs!$F$245))</f>
        <v>1.2</v>
      </c>
      <c r="CF6" s="18" t="n">
        <f aca="false">IF(Time!CF11&lt;=Inputs!$F$55,Inputs!$F$243,IF(Time!CF11&lt;=Inputs!$F$56,Inputs!$F$244,Inputs!$F$245))</f>
        <v>1.2</v>
      </c>
      <c r="CG6" s="18" t="n">
        <f aca="false">IF(Time!CG11&lt;=Inputs!$F$55,Inputs!$F$243,IF(Time!CG11&lt;=Inputs!$F$56,Inputs!$F$244,Inputs!$F$245))</f>
        <v>1.2</v>
      </c>
      <c r="CH6" s="18" t="n">
        <f aca="false">IF(Time!CH11&lt;=Inputs!$F$55,Inputs!$F$243,IF(Time!CH11&lt;=Inputs!$F$56,Inputs!$F$244,Inputs!$F$245))</f>
        <v>1.2</v>
      </c>
      <c r="CI6" s="18" t="n">
        <f aca="false">IF(Time!CI11&lt;=Inputs!$F$55,Inputs!$F$243,IF(Time!CI11&lt;=Inputs!$F$56,Inputs!$F$244,Inputs!$F$245))</f>
        <v>1.2</v>
      </c>
      <c r="CJ6" s="18" t="n">
        <f aca="false">IF(Time!CJ11&lt;=Inputs!$F$55,Inputs!$F$243,IF(Time!CJ11&lt;=Inputs!$F$56,Inputs!$F$244,Inputs!$F$245))</f>
        <v>1.2</v>
      </c>
      <c r="CK6" s="18" t="n">
        <f aca="false">IF(Time!CK11&lt;=Inputs!$F$55,Inputs!$F$243,IF(Time!CK11&lt;=Inputs!$F$56,Inputs!$F$244,Inputs!$F$245))</f>
        <v>1.2</v>
      </c>
      <c r="CL6" s="18" t="n">
        <f aca="false">IF(Time!CL11&lt;=Inputs!$F$55,Inputs!$F$243,IF(Time!CL11&lt;=Inputs!$F$56,Inputs!$F$244,Inputs!$F$245))</f>
        <v>1.2</v>
      </c>
      <c r="CM6" s="18" t="n">
        <f aca="false">IF(Time!CM11&lt;=Inputs!$F$55,Inputs!$F$243,IF(Time!CM11&lt;=Inputs!$F$56,Inputs!$F$244,Inputs!$F$245))</f>
        <v>1.2</v>
      </c>
      <c r="CN6" s="18" t="n">
        <f aca="false">IF(Time!CN11&lt;=Inputs!$F$55,Inputs!$F$243,IF(Time!CN11&lt;=Inputs!$F$56,Inputs!$F$244,Inputs!$F$245))</f>
        <v>1.2</v>
      </c>
      <c r="CO6" s="18" t="n">
        <f aca="false">IF(Time!CO11&lt;=Inputs!$F$55,Inputs!$F$243,IF(Time!CO11&lt;=Inputs!$F$56,Inputs!$F$244,Inputs!$F$245))</f>
        <v>1.2</v>
      </c>
      <c r="CP6" s="18" t="n">
        <f aca="false">IF(Time!CP11&lt;=Inputs!$F$55,Inputs!$F$243,IF(Time!CP11&lt;=Inputs!$F$56,Inputs!$F$244,Inputs!$F$245))</f>
        <v>1.2</v>
      </c>
      <c r="CQ6" s="18" t="n">
        <f aca="false">IF(Time!CQ11&lt;=Inputs!$F$55,Inputs!$F$243,IF(Time!CQ11&lt;=Inputs!$F$56,Inputs!$F$244,Inputs!$F$245))</f>
        <v>1.2</v>
      </c>
      <c r="CR6" s="18" t="n">
        <f aca="false">IF(Time!CR11&lt;=Inputs!$F$55,Inputs!$F$243,IF(Time!CR11&lt;=Inputs!$F$56,Inputs!$F$244,Inputs!$F$245))</f>
        <v>1.2</v>
      </c>
      <c r="CS6" s="18" t="n">
        <f aca="false">IF(Time!CS11&lt;=Inputs!$F$55,Inputs!$F$243,IF(Time!CS11&lt;=Inputs!$F$56,Inputs!$F$244,Inputs!$F$245))</f>
        <v>1.2</v>
      </c>
      <c r="CT6" s="18" t="n">
        <f aca="false">IF(Time!CT11&lt;=Inputs!$F$55,Inputs!$F$243,IF(Time!CT11&lt;=Inputs!$F$56,Inputs!$F$244,Inputs!$F$245))</f>
        <v>1.2</v>
      </c>
      <c r="CU6" s="18" t="n">
        <f aca="false">IF(Time!CU11&lt;=Inputs!$F$55,Inputs!$F$243,IF(Time!CU11&lt;=Inputs!$F$56,Inputs!$F$244,Inputs!$F$245))</f>
        <v>1.2</v>
      </c>
      <c r="CV6" s="18" t="n">
        <f aca="false">IF(Time!CV11&lt;=Inputs!$F$55,Inputs!$F$243,IF(Time!CV11&lt;=Inputs!$F$56,Inputs!$F$244,Inputs!$F$245))</f>
        <v>1.2</v>
      </c>
      <c r="CW6" s="18" t="n">
        <f aca="false">IF(Time!CW11&lt;=Inputs!$F$55,Inputs!$F$243,IF(Time!CW11&lt;=Inputs!$F$56,Inputs!$F$244,Inputs!$F$245))</f>
        <v>1.2</v>
      </c>
      <c r="CX6" s="18" t="n">
        <f aca="false">IF(Time!CX11&lt;=Inputs!$F$55,Inputs!$F$243,IF(Time!CX11&lt;=Inputs!$F$56,Inputs!$F$244,Inputs!$F$245))</f>
        <v>1.2</v>
      </c>
      <c r="CY6" s="18" t="n">
        <f aca="false">IF(Time!CY11&lt;=Inputs!$F$55,Inputs!$F$243,IF(Time!CY11&lt;=Inputs!$F$56,Inputs!$F$244,Inputs!$F$245))</f>
        <v>1.2</v>
      </c>
      <c r="CZ6" s="18" t="n">
        <f aca="false">IF(Time!CZ11&lt;=Inputs!$F$55,Inputs!$F$243,IF(Time!CZ11&lt;=Inputs!$F$56,Inputs!$F$244,Inputs!$F$245))</f>
        <v>1.2</v>
      </c>
      <c r="DA6" s="18" t="n">
        <f aca="false">IF(Time!DA11&lt;=Inputs!$F$55,Inputs!$F$243,IF(Time!DA11&lt;=Inputs!$F$56,Inputs!$F$244,Inputs!$F$245))</f>
        <v>1.2</v>
      </c>
      <c r="DB6" s="18" t="n">
        <f aca="false">IF(Time!DB11&lt;=Inputs!$F$55,Inputs!$F$243,IF(Time!DB11&lt;=Inputs!$F$56,Inputs!$F$244,Inputs!$F$245))</f>
        <v>1.2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51.0893870333431</v>
      </c>
      <c r="K7" s="16" t="n">
        <f aca="false">IF(Time!K11&lt;=Inputs!$F$242,Inputs!$F$241/(1+Inputs!$F$243/100)^(Inputs!$F$242-Time!K11),J7*IF(Time!K11&gt;Time!J11,1+K6/100,1))</f>
        <v>51.0893870333431</v>
      </c>
      <c r="L7" s="16" t="n">
        <f aca="false">IF(Time!L11&lt;=Inputs!$F$242,Inputs!$F$241/(1+Inputs!$F$243/100)^(Inputs!$F$242-Time!L11),K7*IF(Time!L11&gt;Time!K11,1+L6/100,1))</f>
        <v>51.0893870333431</v>
      </c>
      <c r="M7" s="16" t="n">
        <f aca="false">IF(Time!M11&lt;=Inputs!$F$242,Inputs!$F$241/(1+Inputs!$F$243/100)^(Inputs!$F$242-Time!M11),L7*IF(Time!M11&gt;Time!L11,1+M6/100,1))</f>
        <v>52.8264261924768</v>
      </c>
      <c r="N7" s="16" t="n">
        <f aca="false">IF(Time!N11&lt;=Inputs!$F$242,Inputs!$F$241/(1+Inputs!$F$243/100)^(Inputs!$F$242-Time!N11),M7*IF(Time!N11&gt;Time!M11,1+N6/100,1))</f>
        <v>52.8264261924768</v>
      </c>
      <c r="O7" s="16" t="n">
        <f aca="false">IF(Time!O11&lt;=Inputs!$F$242,Inputs!$F$241/(1+Inputs!$F$243/100)^(Inputs!$F$242-Time!O11),N7*IF(Time!O11&gt;Time!N11,1+O6/100,1))</f>
        <v>52.8264261924768</v>
      </c>
      <c r="P7" s="16" t="n">
        <f aca="false">IF(Time!P11&lt;=Inputs!$F$242,Inputs!$F$241/(1+Inputs!$F$243/100)^(Inputs!$F$242-Time!P11),O7*IF(Time!P11&gt;Time!O11,1+P6/100,1))</f>
        <v>52.8264261924768</v>
      </c>
      <c r="Q7" s="16" t="n">
        <f aca="false">IF(Time!Q11&lt;=Inputs!$F$242,Inputs!$F$241/(1+Inputs!$F$243/100)^(Inputs!$F$242-Time!Q11),P7*IF(Time!Q11&gt;Time!P11,1+Q6/100,1))</f>
        <v>54.622524683021</v>
      </c>
      <c r="R7" s="16" t="n">
        <f aca="false">IF(Time!R11&lt;=Inputs!$F$242,Inputs!$F$241/(1+Inputs!$F$243/100)^(Inputs!$F$242-Time!R11),Q7*IF(Time!R11&gt;Time!Q11,1+R6/100,1))</f>
        <v>54.622524683021</v>
      </c>
      <c r="S7" s="16" t="n">
        <f aca="false">IF(Time!S11&lt;=Inputs!$F$242,Inputs!$F$241/(1+Inputs!$F$243/100)^(Inputs!$F$242-Time!S11),R7*IF(Time!S11&gt;Time!R11,1+S6/100,1))</f>
        <v>54.622524683021</v>
      </c>
      <c r="T7" s="16" t="n">
        <f aca="false">IF(Time!T11&lt;=Inputs!$F$242,Inputs!$F$241/(1+Inputs!$F$243/100)^(Inputs!$F$242-Time!T11),S7*IF(Time!T11&gt;Time!S11,1+T6/100,1))</f>
        <v>54.622524683021</v>
      </c>
      <c r="U7" s="16" t="n">
        <f aca="false">IF(Time!U11&lt;=Inputs!$F$242,Inputs!$F$241/(1+Inputs!$F$243/100)^(Inputs!$F$242-Time!U11),T7*IF(Time!U11&gt;Time!T11,1+U6/100,1))</f>
        <v>56.4796905222437</v>
      </c>
      <c r="V7" s="16" t="n">
        <f aca="false">IF(Time!V11&lt;=Inputs!$F$242,Inputs!$F$241/(1+Inputs!$F$243/100)^(Inputs!$F$242-Time!V11),U7*IF(Time!V11&gt;Time!U11,1+V6/100,1))</f>
        <v>56.4796905222437</v>
      </c>
      <c r="W7" s="16" t="n">
        <f aca="false">IF(Time!W11&lt;=Inputs!$F$242,Inputs!$F$241/(1+Inputs!$F$243/100)^(Inputs!$F$242-Time!W11),V7*IF(Time!W11&gt;Time!V11,1+W6/100,1))</f>
        <v>56.4796905222437</v>
      </c>
      <c r="X7" s="16" t="n">
        <f aca="false">IF(Time!X11&lt;=Inputs!$F$242,Inputs!$F$241/(1+Inputs!$F$243/100)^(Inputs!$F$242-Time!X11),W7*IF(Time!X11&gt;Time!W11,1+X6/100,1))</f>
        <v>56.4796905222437</v>
      </c>
      <c r="Y7" s="16" t="n">
        <f aca="false">IF(Time!Y11&lt;=Inputs!$F$242,Inputs!$F$241/(1+Inputs!$F$243/100)^(Inputs!$F$242-Time!Y11),X7*IF(Time!Y11&gt;Time!X11,1+Y6/100,1))</f>
        <v>58.4</v>
      </c>
      <c r="Z7" s="16" t="n">
        <f aca="false">IF(Time!Z11&lt;=Inputs!$F$242,Inputs!$F$241/(1+Inputs!$F$243/100)^(Inputs!$F$242-Time!Z11),Y7*IF(Time!Z11&gt;Time!Y11,1+Z6/100,1))</f>
        <v>58.4</v>
      </c>
      <c r="AA7" s="16" t="n">
        <f aca="false">IF(Time!AA11&lt;=Inputs!$F$242,Inputs!$F$241/(1+Inputs!$F$243/100)^(Inputs!$F$242-Time!AA11),Z7*IF(Time!AA11&gt;Time!Z11,1+AA6/100,1))</f>
        <v>58.4</v>
      </c>
      <c r="AB7" s="16" t="n">
        <f aca="false">IF(Time!AB11&lt;=Inputs!$F$242,Inputs!$F$241/(1+Inputs!$F$243/100)^(Inputs!$F$242-Time!AB11),AA7*IF(Time!AB11&gt;Time!AA11,1+AB6/100,1))</f>
        <v>60.3856</v>
      </c>
      <c r="AC7" s="16" t="n">
        <f aca="false">IF(Time!AC11&lt;=Inputs!$F$242,Inputs!$F$241/(1+Inputs!$F$243/100)^(Inputs!$F$242-Time!AC11),AB7*IF(Time!AC11&gt;Time!AB11,1+AC6/100,1))</f>
        <v>60.3856</v>
      </c>
      <c r="AD7" s="16" t="n">
        <f aca="false">IF(Time!AD11&lt;=Inputs!$F$242,Inputs!$F$241/(1+Inputs!$F$243/100)^(Inputs!$F$242-Time!AD11),AC7*IF(Time!AD11&gt;Time!AC11,1+AD6/100,1))</f>
        <v>62.4387104</v>
      </c>
      <c r="AE7" s="16" t="n">
        <f aca="false">IF(Time!AE11&lt;=Inputs!$F$242,Inputs!$F$241/(1+Inputs!$F$243/100)^(Inputs!$F$242-Time!AE11),AD7*IF(Time!AE11&gt;Time!AD11,1+AE6/100,1))</f>
        <v>62.4387104</v>
      </c>
      <c r="AF7" s="16" t="n">
        <f aca="false">IF(Time!AF11&lt;=Inputs!$F$242,Inputs!$F$241/(1+Inputs!$F$243/100)^(Inputs!$F$242-Time!AF11),AE7*IF(Time!AF11&gt;Time!AE11,1+AF6/100,1))</f>
        <v>64.5616265536</v>
      </c>
      <c r="AG7" s="16" t="n">
        <f aca="false">IF(Time!AG11&lt;=Inputs!$F$242,Inputs!$F$241/(1+Inputs!$F$243/100)^(Inputs!$F$242-Time!AG11),AF7*IF(Time!AG11&gt;Time!AF11,1+AG6/100,1))</f>
        <v>64.5616265536</v>
      </c>
      <c r="AH7" s="16" t="n">
        <f aca="false">IF(Time!AH11&lt;=Inputs!$F$242,Inputs!$F$241/(1+Inputs!$F$243/100)^(Inputs!$F$242-Time!AH11),AG7*IF(Time!AH11&gt;Time!AG11,1+AH6/100,1))</f>
        <v>66.7567218564224</v>
      </c>
      <c r="AI7" s="16" t="n">
        <f aca="false">IF(Time!AI11&lt;=Inputs!$F$242,Inputs!$F$241/(1+Inputs!$F$243/100)^(Inputs!$F$242-Time!AI11),AH7*IF(Time!AI11&gt;Time!AH11,1+AI6/100,1))</f>
        <v>66.7567218564224</v>
      </c>
      <c r="AJ7" s="16" t="n">
        <f aca="false">IF(Time!AJ11&lt;=Inputs!$F$242,Inputs!$F$241/(1+Inputs!$F$243/100)^(Inputs!$F$242-Time!AJ11),AI7*IF(Time!AJ11&gt;Time!AI11,1+AJ6/100,1))</f>
        <v>69.0264503995408</v>
      </c>
      <c r="AK7" s="16" t="n">
        <f aca="false">IF(Time!AK11&lt;=Inputs!$F$242,Inputs!$F$241/(1+Inputs!$F$243/100)^(Inputs!$F$242-Time!AK11),AJ7*IF(Time!AK11&gt;Time!AJ11,1+AK6/100,1))</f>
        <v>69.0264503995408</v>
      </c>
      <c r="AL7" s="16" t="n">
        <f aca="false">IF(Time!AL11&lt;=Inputs!$F$242,Inputs!$F$241/(1+Inputs!$F$243/100)^(Inputs!$F$242-Time!AL11),AK7*IF(Time!AL11&gt;Time!AK11,1+AL6/100,1))</f>
        <v>71.3733497131252</v>
      </c>
      <c r="AM7" s="16" t="n">
        <f aca="false">IF(Time!AM11&lt;=Inputs!$F$242,Inputs!$F$241/(1+Inputs!$F$243/100)^(Inputs!$F$242-Time!AM11),AL7*IF(Time!AM11&gt;Time!AL11,1+AM6/100,1))</f>
        <v>71.3733497131252</v>
      </c>
      <c r="AN7" s="16" t="n">
        <f aca="false">IF(Time!AN11&lt;=Inputs!$F$242,Inputs!$F$241/(1+Inputs!$F$243/100)^(Inputs!$F$242-Time!AN11),AM7*IF(Time!AN11&gt;Time!AM11,1+AN6/100,1))</f>
        <v>73.8000436033714</v>
      </c>
      <c r="AO7" s="16" t="n">
        <f aca="false">IF(Time!AO11&lt;=Inputs!$F$242,Inputs!$F$241/(1+Inputs!$F$243/100)^(Inputs!$F$242-Time!AO11),AN7*IF(Time!AO11&gt;Time!AN11,1+AO6/100,1))</f>
        <v>73.8000436033714</v>
      </c>
      <c r="AP7" s="16" t="n">
        <f aca="false">IF(Time!AP11&lt;=Inputs!$F$242,Inputs!$F$241/(1+Inputs!$F$243/100)^(Inputs!$F$242-Time!AP11),AO7*IF(Time!AP11&gt;Time!AO11,1+AP6/100,1))</f>
        <v>76.3092450858861</v>
      </c>
      <c r="AQ7" s="16" t="n">
        <f aca="false">IF(Time!AQ11&lt;=Inputs!$F$242,Inputs!$F$241/(1+Inputs!$F$243/100)^(Inputs!$F$242-Time!AQ11),AP7*IF(Time!AQ11&gt;Time!AP11,1+AQ6/100,1))</f>
        <v>76.3092450858861</v>
      </c>
      <c r="AR7" s="16" t="n">
        <f aca="false">IF(Time!AR11&lt;=Inputs!$F$242,Inputs!$F$241/(1+Inputs!$F$243/100)^(Inputs!$F$242-Time!AR11),AQ7*IF(Time!AR11&gt;Time!AQ11,1+AR6/100,1))</f>
        <v>78.9037594188062</v>
      </c>
      <c r="AS7" s="16" t="n">
        <f aca="false">IF(Time!AS11&lt;=Inputs!$F$242,Inputs!$F$241/(1+Inputs!$F$243/100)^(Inputs!$F$242-Time!AS11),AR7*IF(Time!AS11&gt;Time!AR11,1+AS6/100,1))</f>
        <v>78.9037594188062</v>
      </c>
      <c r="AT7" s="16" t="n">
        <f aca="false">IF(Time!AT11&lt;=Inputs!$F$242,Inputs!$F$241/(1+Inputs!$F$243/100)^(Inputs!$F$242-Time!AT11),AS7*IF(Time!AT11&gt;Time!AS11,1+AT6/100,1))</f>
        <v>81.5864872390456</v>
      </c>
      <c r="AU7" s="16" t="n">
        <f aca="false">IF(Time!AU11&lt;=Inputs!$F$242,Inputs!$F$241/(1+Inputs!$F$243/100)^(Inputs!$F$242-Time!AU11),AT7*IF(Time!AU11&gt;Time!AT11,1+AU6/100,1))</f>
        <v>81.5864872390456</v>
      </c>
      <c r="AV7" s="16" t="n">
        <f aca="false">IF(Time!AV11&lt;=Inputs!$F$242,Inputs!$F$241/(1+Inputs!$F$243/100)^(Inputs!$F$242-Time!AV11),AU7*IF(Time!AV11&gt;Time!AU11,1+AV6/100,1))</f>
        <v>84.3604278051731</v>
      </c>
      <c r="AW7" s="16" t="n">
        <f aca="false">IF(Time!AW11&lt;=Inputs!$F$242,Inputs!$F$241/(1+Inputs!$F$243/100)^(Inputs!$F$242-Time!AW11),AV7*IF(Time!AW11&gt;Time!AV11,1+AW6/100,1))</f>
        <v>84.3604278051731</v>
      </c>
      <c r="AX7" s="16" t="n">
        <f aca="false">IF(Time!AX11&lt;=Inputs!$F$242,Inputs!$F$241/(1+Inputs!$F$243/100)^(Inputs!$F$242-Time!AX11),AW7*IF(Time!AX11&gt;Time!AW11,1+AX6/100,1))</f>
        <v>86.3007176446921</v>
      </c>
      <c r="AY7" s="16" t="n">
        <f aca="false">IF(Time!AY11&lt;=Inputs!$F$242,Inputs!$F$241/(1+Inputs!$F$243/100)^(Inputs!$F$242-Time!AY11),AX7*IF(Time!AY11&gt;Time!AX11,1+AY6/100,1))</f>
        <v>86.3007176446921</v>
      </c>
      <c r="AZ7" s="16" t="n">
        <f aca="false">IF(Time!AZ11&lt;=Inputs!$F$242,Inputs!$F$241/(1+Inputs!$F$243/100)^(Inputs!$F$242-Time!AZ11),AY7*IF(Time!AZ11&gt;Time!AY11,1+AZ6/100,1))</f>
        <v>88.28563415052</v>
      </c>
      <c r="BA7" s="16" t="n">
        <f aca="false">IF(Time!BA11&lt;=Inputs!$F$242,Inputs!$F$241/(1+Inputs!$F$243/100)^(Inputs!$F$242-Time!BA11),AZ7*IF(Time!BA11&gt;Time!AZ11,1+BA6/100,1))</f>
        <v>88.28563415052</v>
      </c>
      <c r="BB7" s="16" t="n">
        <f aca="false">IF(Time!BB11&lt;=Inputs!$F$242,Inputs!$F$241/(1+Inputs!$F$243/100)^(Inputs!$F$242-Time!BB11),BA7*IF(Time!BB11&gt;Time!BA11,1+BB6/100,1))</f>
        <v>90.316203735982</v>
      </c>
      <c r="BC7" s="16" t="n">
        <f aca="false">IF(Time!BC11&lt;=Inputs!$F$242,Inputs!$F$241/(1+Inputs!$F$243/100)^(Inputs!$F$242-Time!BC11),BB7*IF(Time!BC11&gt;Time!BB11,1+BC6/100,1))</f>
        <v>90.316203735982</v>
      </c>
      <c r="BD7" s="16" t="n">
        <f aca="false">IF(Time!BD11&lt;=Inputs!$F$242,Inputs!$F$241/(1+Inputs!$F$243/100)^(Inputs!$F$242-Time!BD11),BC7*IF(Time!BD11&gt;Time!BC11,1+BD6/100,1))</f>
        <v>92.3934764219095</v>
      </c>
      <c r="BE7" s="16" t="n">
        <f aca="false">IF(Time!BE11&lt;=Inputs!$F$242,Inputs!$F$241/(1+Inputs!$F$243/100)^(Inputs!$F$242-Time!BE11),BD7*IF(Time!BE11&gt;Time!BD11,1+BE6/100,1))</f>
        <v>92.3934764219095</v>
      </c>
      <c r="BF7" s="16" t="n">
        <f aca="false">IF(Time!BF11&lt;=Inputs!$F$242,Inputs!$F$241/(1+Inputs!$F$243/100)^(Inputs!$F$242-Time!BF11),BE7*IF(Time!BF11&gt;Time!BE11,1+BF6/100,1))</f>
        <v>94.5185263796135</v>
      </c>
      <c r="BG7" s="16" t="n">
        <f aca="false">IF(Time!BG11&lt;=Inputs!$F$242,Inputs!$F$241/(1+Inputs!$F$243/100)^(Inputs!$F$242-Time!BG11),BF7*IF(Time!BG11&gt;Time!BF11,1+BG6/100,1))</f>
        <v>94.5185263796135</v>
      </c>
      <c r="BH7" s="16" t="n">
        <f aca="false">IF(Time!BH11&lt;=Inputs!$F$242,Inputs!$F$241/(1+Inputs!$F$243/100)^(Inputs!$F$242-Time!BH11),BG7*IF(Time!BH11&gt;Time!BG11,1+BH6/100,1))</f>
        <v>96.6924524863446</v>
      </c>
      <c r="BI7" s="16" t="n">
        <f aca="false">IF(Time!BI11&lt;=Inputs!$F$242,Inputs!$F$241/(1+Inputs!$F$243/100)^(Inputs!$F$242-Time!BI11),BH7*IF(Time!BI11&gt;Time!BH11,1+BI6/100,1))</f>
        <v>96.6924524863446</v>
      </c>
      <c r="BJ7" s="16" t="n">
        <f aca="false">IF(Time!BJ11&lt;=Inputs!$F$242,Inputs!$F$241/(1+Inputs!$F$243/100)^(Inputs!$F$242-Time!BJ11),BI7*IF(Time!BJ11&gt;Time!BI11,1+BJ6/100,1))</f>
        <v>98.9163788935305</v>
      </c>
      <c r="BK7" s="16" t="n">
        <f aca="false">IF(Time!BK11&lt;=Inputs!$F$242,Inputs!$F$241/(1+Inputs!$F$243/100)^(Inputs!$F$242-Time!BK11),BJ7*IF(Time!BK11&gt;Time!BJ11,1+BK6/100,1))</f>
        <v>98.9163788935305</v>
      </c>
      <c r="BL7" s="16" t="n">
        <f aca="false">IF(Time!BL11&lt;=Inputs!$F$242,Inputs!$F$241/(1+Inputs!$F$243/100)^(Inputs!$F$242-Time!BL11),BK7*IF(Time!BL11&gt;Time!BK11,1+BL6/100,1))</f>
        <v>101.191455608082</v>
      </c>
      <c r="BM7" s="16" t="n">
        <f aca="false">IF(Time!BM11&lt;=Inputs!$F$242,Inputs!$F$241/(1+Inputs!$F$243/100)^(Inputs!$F$242-Time!BM11),BL7*IF(Time!BM11&gt;Time!BL11,1+BM6/100,1))</f>
        <v>101.191455608082</v>
      </c>
      <c r="BN7" s="16" t="n">
        <f aca="false">IF(Time!BN11&lt;=Inputs!$F$242,Inputs!$F$241/(1+Inputs!$F$243/100)^(Inputs!$F$242-Time!BN11),BM7*IF(Time!BN11&gt;Time!BM11,1+BN6/100,1))</f>
        <v>103.518859087068</v>
      </c>
      <c r="BO7" s="16" t="n">
        <f aca="false">IF(Time!BO11&lt;=Inputs!$F$242,Inputs!$F$241/(1+Inputs!$F$243/100)^(Inputs!$F$242-Time!BO11),BN7*IF(Time!BO11&gt;Time!BN11,1+BO6/100,1))</f>
        <v>103.518859087068</v>
      </c>
      <c r="BP7" s="16" t="n">
        <f aca="false">IF(Time!BP11&lt;=Inputs!$F$242,Inputs!$F$241/(1+Inputs!$F$243/100)^(Inputs!$F$242-Time!BP11),BO7*IF(Time!BP11&gt;Time!BO11,1+BP6/100,1))</f>
        <v>105.89979284607</v>
      </c>
      <c r="BQ7" s="16" t="n">
        <f aca="false">IF(Time!BQ11&lt;=Inputs!$F$242,Inputs!$F$241/(1+Inputs!$F$243/100)^(Inputs!$F$242-Time!BQ11),BP7*IF(Time!BQ11&gt;Time!BP11,1+BQ6/100,1))</f>
        <v>105.89979284607</v>
      </c>
      <c r="BR7" s="16" t="n">
        <f aca="false">IF(Time!BR11&lt;=Inputs!$F$242,Inputs!$F$241/(1+Inputs!$F$243/100)^(Inputs!$F$242-Time!BR11),BQ7*IF(Time!BR11&gt;Time!BQ11,1+BR6/100,1))</f>
        <v>107.170590360223</v>
      </c>
      <c r="BS7" s="16" t="n">
        <f aca="false">IF(Time!BS11&lt;=Inputs!$F$242,Inputs!$F$241/(1+Inputs!$F$243/100)^(Inputs!$F$242-Time!BS11),BR7*IF(Time!BS11&gt;Time!BR11,1+BS6/100,1))</f>
        <v>107.170590360223</v>
      </c>
      <c r="BT7" s="16" t="n">
        <f aca="false">IF(Time!BT11&lt;=Inputs!$F$242,Inputs!$F$241/(1+Inputs!$F$243/100)^(Inputs!$F$242-Time!BT11),BS7*IF(Time!BT11&gt;Time!BS11,1+BT6/100,1))</f>
        <v>108.456637444546</v>
      </c>
      <c r="BU7" s="16" t="n">
        <f aca="false">IF(Time!BU11&lt;=Inputs!$F$242,Inputs!$F$241/(1+Inputs!$F$243/100)^(Inputs!$F$242-Time!BU11),BT7*IF(Time!BU11&gt;Time!BT11,1+BU6/100,1))</f>
        <v>108.456637444546</v>
      </c>
      <c r="BV7" s="16" t="n">
        <f aca="false">IF(Time!BV11&lt;=Inputs!$F$242,Inputs!$F$241/(1+Inputs!$F$243/100)^(Inputs!$F$242-Time!BV11),BU7*IF(Time!BV11&gt;Time!BU11,1+BV6/100,1))</f>
        <v>109.75811709388</v>
      </c>
      <c r="BW7" s="16" t="n">
        <f aca="false">IF(Time!BW11&lt;=Inputs!$F$242,Inputs!$F$241/(1+Inputs!$F$243/100)^(Inputs!$F$242-Time!BW11),BV7*IF(Time!BW11&gt;Time!BV11,1+BW6/100,1))</f>
        <v>109.75811709388</v>
      </c>
      <c r="BX7" s="16" t="n">
        <f aca="false">IF(Time!BX11&lt;=Inputs!$F$242,Inputs!$F$241/(1+Inputs!$F$243/100)^(Inputs!$F$242-Time!BX11),BW7*IF(Time!BX11&gt;Time!BW11,1+BX6/100,1))</f>
        <v>111.075214499007</v>
      </c>
      <c r="BY7" s="16" t="n">
        <f aca="false">IF(Time!BY11&lt;=Inputs!$F$242,Inputs!$F$241/(1+Inputs!$F$243/100)^(Inputs!$F$242-Time!BY11),BX7*IF(Time!BY11&gt;Time!BX11,1+BY6/100,1))</f>
        <v>111.075214499007</v>
      </c>
      <c r="BZ7" s="16" t="n">
        <f aca="false">IF(Time!BZ11&lt;=Inputs!$F$242,Inputs!$F$241/(1+Inputs!$F$243/100)^(Inputs!$F$242-Time!BZ11),BY7*IF(Time!BZ11&gt;Time!BY11,1+BZ6/100,1))</f>
        <v>112.408117072995</v>
      </c>
      <c r="CA7" s="16" t="n">
        <f aca="false">IF(Time!CA11&lt;=Inputs!$F$242,Inputs!$F$241/(1+Inputs!$F$243/100)^(Inputs!$F$242-Time!CA11),BZ7*IF(Time!CA11&gt;Time!BZ11,1+CA6/100,1))</f>
        <v>112.408117072995</v>
      </c>
      <c r="CB7" s="16" t="n">
        <f aca="false">IF(Time!CB11&lt;=Inputs!$F$242,Inputs!$F$241/(1+Inputs!$F$243/100)^(Inputs!$F$242-Time!CB11),CA7*IF(Time!CB11&gt;Time!CA11,1+CB6/100,1))</f>
        <v>113.757014477871</v>
      </c>
      <c r="CC7" s="16" t="n">
        <f aca="false">IF(Time!CC11&lt;=Inputs!$F$242,Inputs!$F$241/(1+Inputs!$F$243/100)^(Inputs!$F$242-Time!CC11),CB7*IF(Time!CC11&gt;Time!CB11,1+CC6/100,1))</f>
        <v>113.757014477871</v>
      </c>
      <c r="CD7" s="16" t="n">
        <f aca="false">IF(Time!CD11&lt;=Inputs!$F$242,Inputs!$F$241/(1+Inputs!$F$243/100)^(Inputs!$F$242-Time!CD11),CC7*IF(Time!CD11&gt;Time!CC11,1+CD6/100,1))</f>
        <v>115.122098651605</v>
      </c>
      <c r="CE7" s="16" t="n">
        <f aca="false">IF(Time!CE11&lt;=Inputs!$F$242,Inputs!$F$241/(1+Inputs!$F$243/100)^(Inputs!$F$242-Time!CE11),CD7*IF(Time!CE11&gt;Time!CD11,1+CE6/100,1))</f>
        <v>115.122098651605</v>
      </c>
      <c r="CF7" s="16" t="n">
        <f aca="false">IF(Time!CF11&lt;=Inputs!$F$242,Inputs!$F$241/(1+Inputs!$F$243/100)^(Inputs!$F$242-Time!CF11),CE7*IF(Time!CF11&gt;Time!CE11,1+CF6/100,1))</f>
        <v>116.503563835424</v>
      </c>
      <c r="CG7" s="16" t="n">
        <f aca="false">IF(Time!CG11&lt;=Inputs!$F$242,Inputs!$F$241/(1+Inputs!$F$243/100)^(Inputs!$F$242-Time!CG11),CF7*IF(Time!CG11&gt;Time!CF11,1+CG6/100,1))</f>
        <v>116.503563835424</v>
      </c>
      <c r="CH7" s="16" t="n">
        <f aca="false">IF(Time!CH11&lt;=Inputs!$F$242,Inputs!$F$241/(1+Inputs!$F$243/100)^(Inputs!$F$242-Time!CH11),CG7*IF(Time!CH11&gt;Time!CG11,1+CH6/100,1))</f>
        <v>117.90160660145</v>
      </c>
      <c r="CI7" s="16" t="n">
        <f aca="false">IF(Time!CI11&lt;=Inputs!$F$242,Inputs!$F$241/(1+Inputs!$F$243/100)^(Inputs!$F$242-Time!CI11),CH7*IF(Time!CI11&gt;Time!CH11,1+CI6/100,1))</f>
        <v>117.90160660145</v>
      </c>
      <c r="CJ7" s="16" t="n">
        <f aca="false">IF(Time!CJ11&lt;=Inputs!$F$242,Inputs!$F$241/(1+Inputs!$F$243/100)^(Inputs!$F$242-Time!CJ11),CI7*IF(Time!CJ11&gt;Time!CI11,1+CJ6/100,1))</f>
        <v>119.316425880667</v>
      </c>
      <c r="CK7" s="16" t="n">
        <f aca="false">IF(Time!CK11&lt;=Inputs!$F$242,Inputs!$F$241/(1+Inputs!$F$243/100)^(Inputs!$F$242-Time!CK11),CJ7*IF(Time!CK11&gt;Time!CJ11,1+CK6/100,1))</f>
        <v>119.316425880667</v>
      </c>
      <c r="CL7" s="16" t="n">
        <f aca="false">IF(Time!CL11&lt;=Inputs!$F$242,Inputs!$F$241/(1+Inputs!$F$243/100)^(Inputs!$F$242-Time!CL11),CK7*IF(Time!CL11&gt;Time!CK11,1+CL6/100,1))</f>
        <v>120.748222991235</v>
      </c>
      <c r="CM7" s="16" t="n">
        <f aca="false">IF(Time!CM11&lt;=Inputs!$F$242,Inputs!$F$241/(1+Inputs!$F$243/100)^(Inputs!$F$242-Time!CM11),CL7*IF(Time!CM11&gt;Time!CL11,1+CM6/100,1))</f>
        <v>120.748222991235</v>
      </c>
      <c r="CN7" s="16" t="n">
        <f aca="false">IF(Time!CN11&lt;=Inputs!$F$242,Inputs!$F$241/(1+Inputs!$F$243/100)^(Inputs!$F$242-Time!CN11),CM7*IF(Time!CN11&gt;Time!CM11,1+CN6/100,1))</f>
        <v>122.19720166713</v>
      </c>
      <c r="CO7" s="16" t="n">
        <f aca="false">IF(Time!CO11&lt;=Inputs!$F$242,Inputs!$F$241/(1+Inputs!$F$243/100)^(Inputs!$F$242-Time!CO11),CN7*IF(Time!CO11&gt;Time!CN11,1+CO6/100,1))</f>
        <v>122.19720166713</v>
      </c>
      <c r="CP7" s="16" t="n">
        <f aca="false">IF(Time!CP11&lt;=Inputs!$F$242,Inputs!$F$241/(1+Inputs!$F$243/100)^(Inputs!$F$242-Time!CP11),CO7*IF(Time!CP11&gt;Time!CO11,1+CP6/100,1))</f>
        <v>123.663568087135</v>
      </c>
      <c r="CQ7" s="16" t="n">
        <f aca="false">IF(Time!CQ11&lt;=Inputs!$F$242,Inputs!$F$241/(1+Inputs!$F$243/100)^(Inputs!$F$242-Time!CQ11),CP7*IF(Time!CQ11&gt;Time!CP11,1+CQ6/100,1))</f>
        <v>123.663568087135</v>
      </c>
      <c r="CR7" s="16" t="n">
        <f aca="false">IF(Time!CR11&lt;=Inputs!$F$242,Inputs!$F$241/(1+Inputs!$F$243/100)^(Inputs!$F$242-Time!CR11),CQ7*IF(Time!CR11&gt;Time!CQ11,1+CR6/100,1))</f>
        <v>125.147530904181</v>
      </c>
      <c r="CS7" s="16" t="n">
        <f aca="false">IF(Time!CS11&lt;=Inputs!$F$242,Inputs!$F$241/(1+Inputs!$F$243/100)^(Inputs!$F$242-Time!CS11),CR7*IF(Time!CS11&gt;Time!CR11,1+CS6/100,1))</f>
        <v>125.147530904181</v>
      </c>
      <c r="CT7" s="16" t="n">
        <f aca="false">IF(Time!CT11&lt;=Inputs!$F$242,Inputs!$F$241/(1+Inputs!$F$243/100)^(Inputs!$F$242-Time!CT11),CS7*IF(Time!CT11&gt;Time!CS11,1+CT6/100,1))</f>
        <v>126.649301275031</v>
      </c>
      <c r="CU7" s="16" t="n">
        <f aca="false">IF(Time!CU11&lt;=Inputs!$F$242,Inputs!$F$241/(1+Inputs!$F$243/100)^(Inputs!$F$242-Time!CU11),CT7*IF(Time!CU11&gt;Time!CT11,1+CU6/100,1))</f>
        <v>126.649301275031</v>
      </c>
      <c r="CV7" s="16" t="n">
        <f aca="false">IF(Time!CV11&lt;=Inputs!$F$242,Inputs!$F$241/(1+Inputs!$F$243/100)^(Inputs!$F$242-Time!CV11),CU7*IF(Time!CV11&gt;Time!CU11,1+CV6/100,1))</f>
        <v>128.169092890331</v>
      </c>
      <c r="CW7" s="16" t="n">
        <f aca="false">IF(Time!CW11&lt;=Inputs!$F$242,Inputs!$F$241/(1+Inputs!$F$243/100)^(Inputs!$F$242-Time!CW11),CV7*IF(Time!CW11&gt;Time!CV11,1+CW6/100,1))</f>
        <v>128.169092890331</v>
      </c>
      <c r="CX7" s="16" t="n">
        <f aca="false">IF(Time!CX11&lt;=Inputs!$F$242,Inputs!$F$241/(1+Inputs!$F$243/100)^(Inputs!$F$242-Time!CX11),CW7*IF(Time!CX11&gt;Time!CW11,1+CX6/100,1))</f>
        <v>129.707122005015</v>
      </c>
      <c r="CY7" s="16" t="n">
        <f aca="false">IF(Time!CY11&lt;=Inputs!$F$242,Inputs!$F$241/(1+Inputs!$F$243/100)^(Inputs!$F$242-Time!CY11),CX7*IF(Time!CY11&gt;Time!CX11,1+CY6/100,1))</f>
        <v>129.707122005015</v>
      </c>
      <c r="CZ7" s="16" t="n">
        <f aca="false">IF(Time!CZ11&lt;=Inputs!$F$242,Inputs!$F$241/(1+Inputs!$F$243/100)^(Inputs!$F$242-Time!CZ11),CY7*IF(Time!CZ11&gt;Time!CY11,1+CZ6/100,1))</f>
        <v>131.263607469076</v>
      </c>
      <c r="DA7" s="16" t="n">
        <f aca="false">IF(Time!DA11&lt;=Inputs!$F$242,Inputs!$F$241/(1+Inputs!$F$243/100)^(Inputs!$F$242-Time!DA11),CZ7*IF(Time!DA11&gt;Time!CZ11,1+DA6/100,1))</f>
        <v>131.263607469076</v>
      </c>
      <c r="DB7" s="16" t="n">
        <f aca="false">IF(Time!DB11&lt;=Inputs!$F$242,Inputs!$F$241/(1+Inputs!$F$243/100)^(Inputs!$F$242-Time!DB11),DA7*IF(Time!DB11&gt;Time!DA11,1+DB6/100,1))</f>
        <v>132.838770758705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0.8</v>
      </c>
      <c r="K9" s="16" t="n">
        <f aca="false">CHOOSE(K8-Inputs!$F$57+1,Inputs!$F$248,Inputs!$F$249,Inputs!$F$250,Inputs!$F$251,Inputs!$F$252)</f>
        <v>0.8</v>
      </c>
      <c r="L9" s="16" t="n">
        <f aca="false">CHOOSE(L8-Inputs!$F$57+1,Inputs!$F$248,Inputs!$F$249,Inputs!$F$250,Inputs!$F$251,Inputs!$F$252)</f>
        <v>0.8</v>
      </c>
      <c r="M9" s="16" t="n">
        <f aca="false">CHOOSE(M8-Inputs!$F$57+1,Inputs!$F$248,Inputs!$F$249,Inputs!$F$250,Inputs!$F$251,Inputs!$F$252)</f>
        <v>0.8</v>
      </c>
      <c r="N9" s="16" t="n">
        <f aca="false">CHOOSE(N8-Inputs!$F$57+1,Inputs!$F$248,Inputs!$F$249,Inputs!$F$250,Inputs!$F$251,Inputs!$F$252)</f>
        <v>0.8</v>
      </c>
      <c r="O9" s="16" t="n">
        <f aca="false">CHOOSE(O8-Inputs!$F$57+1,Inputs!$F$248,Inputs!$F$249,Inputs!$F$250,Inputs!$F$251,Inputs!$F$252)</f>
        <v>0.8</v>
      </c>
      <c r="P9" s="16" t="n">
        <f aca="false">CHOOSE(P8-Inputs!$F$57+1,Inputs!$F$248,Inputs!$F$249,Inputs!$F$250,Inputs!$F$251,Inputs!$F$252)</f>
        <v>0.8</v>
      </c>
      <c r="Q9" s="16" t="n">
        <f aca="false">CHOOSE(Q8-Inputs!$F$57+1,Inputs!$F$248,Inputs!$F$249,Inputs!$F$250,Inputs!$F$251,Inputs!$F$252)</f>
        <v>0.8</v>
      </c>
      <c r="R9" s="16" t="n">
        <f aca="false">CHOOSE(R8-Inputs!$F$57+1,Inputs!$F$248,Inputs!$F$249,Inputs!$F$250,Inputs!$F$251,Inputs!$F$252)</f>
        <v>0.8</v>
      </c>
      <c r="S9" s="16" t="n">
        <f aca="false">CHOOSE(S8-Inputs!$F$57+1,Inputs!$F$248,Inputs!$F$249,Inputs!$F$250,Inputs!$F$251,Inputs!$F$252)</f>
        <v>0.8</v>
      </c>
      <c r="T9" s="16" t="n">
        <f aca="false">CHOOSE(T8-Inputs!$F$57+1,Inputs!$F$248,Inputs!$F$249,Inputs!$F$250,Inputs!$F$251,Inputs!$F$252)</f>
        <v>0.8</v>
      </c>
      <c r="U9" s="16" t="n">
        <f aca="false">CHOOSE(U8-Inputs!$F$57+1,Inputs!$F$248,Inputs!$F$249,Inputs!$F$250,Inputs!$F$251,Inputs!$F$252)</f>
        <v>0.8</v>
      </c>
      <c r="V9" s="16" t="n">
        <f aca="false">CHOOSE(V8-Inputs!$F$57+1,Inputs!$F$248,Inputs!$F$249,Inputs!$F$250,Inputs!$F$251,Inputs!$F$252)</f>
        <v>0.8</v>
      </c>
      <c r="W9" s="16" t="n">
        <f aca="false">CHOOSE(W8-Inputs!$F$57+1,Inputs!$F$248,Inputs!$F$249,Inputs!$F$250,Inputs!$F$251,Inputs!$F$252)</f>
        <v>0.8</v>
      </c>
      <c r="X9" s="16" t="n">
        <f aca="false">CHOOSE(X8-Inputs!$F$57+1,Inputs!$F$248,Inputs!$F$249,Inputs!$F$250,Inputs!$F$251,Inputs!$F$252)</f>
        <v>0.8</v>
      </c>
      <c r="Y9" s="16" t="n">
        <f aca="false">CHOOSE(Y8-Inputs!$F$57+1,Inputs!$F$248,Inputs!$F$249,Inputs!$F$250,Inputs!$F$251,Inputs!$F$252)</f>
        <v>0.8</v>
      </c>
      <c r="Z9" s="16" t="n">
        <f aca="false">CHOOSE(Z8-Inputs!$F$57+1,Inputs!$F$248,Inputs!$F$249,Inputs!$F$250,Inputs!$F$251,Inputs!$F$252)</f>
        <v>0.8</v>
      </c>
      <c r="AA9" s="16" t="n">
        <f aca="false">CHOOSE(AA8-Inputs!$F$57+1,Inputs!$F$248,Inputs!$F$249,Inputs!$F$250,Inputs!$F$251,Inputs!$F$252)</f>
        <v>0.8</v>
      </c>
      <c r="AB9" s="16" t="n">
        <f aca="false">CHOOSE(AB8-Inputs!$F$57+1,Inputs!$F$248,Inputs!$F$249,Inputs!$F$250,Inputs!$F$251,Inputs!$F$252)</f>
        <v>0.9</v>
      </c>
      <c r="AC9" s="16" t="n">
        <f aca="false">CHOOSE(AC8-Inputs!$F$57+1,Inputs!$F$248,Inputs!$F$249,Inputs!$F$250,Inputs!$F$251,Inputs!$F$252)</f>
        <v>0.9</v>
      </c>
      <c r="AD9" s="16" t="n">
        <f aca="false">CHOOSE(AD8-Inputs!$F$57+1,Inputs!$F$248,Inputs!$F$249,Inputs!$F$250,Inputs!$F$251,Inputs!$F$252)</f>
        <v>0.96</v>
      </c>
      <c r="AE9" s="16" t="n">
        <f aca="false">CHOOSE(AE8-Inputs!$F$57+1,Inputs!$F$248,Inputs!$F$249,Inputs!$F$250,Inputs!$F$251,Inputs!$F$252)</f>
        <v>0.96</v>
      </c>
      <c r="AF9" s="16" t="n">
        <f aca="false">CHOOSE(AF8-Inputs!$F$57+1,Inputs!$F$248,Inputs!$F$249,Inputs!$F$250,Inputs!$F$251,Inputs!$F$252)</f>
        <v>1</v>
      </c>
      <c r="AG9" s="16" t="n">
        <f aca="false">CHOOSE(AG8-Inputs!$F$57+1,Inputs!$F$248,Inputs!$F$249,Inputs!$F$250,Inputs!$F$251,Inputs!$F$252)</f>
        <v>1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40.8715096266745</v>
      </c>
      <c r="K11" s="16" t="n">
        <f aca="false">K7*K9*K10*Inputs!$F$218</f>
        <v>40.8715096266745</v>
      </c>
      <c r="L11" s="16" t="n">
        <f aca="false">L7*L9*L10*Inputs!$F$218</f>
        <v>40.8715096266745</v>
      </c>
      <c r="M11" s="16" t="n">
        <f aca="false">M7*M9*M10*Inputs!$F$218</f>
        <v>42.2611409539814</v>
      </c>
      <c r="N11" s="16" t="n">
        <f aca="false">N7*N9*N10*Inputs!$F$218</f>
        <v>42.2611409539814</v>
      </c>
      <c r="O11" s="16" t="n">
        <f aca="false">O7*O9*O10*Inputs!$F$218</f>
        <v>42.2611409539814</v>
      </c>
      <c r="P11" s="16" t="n">
        <f aca="false">P7*P9*P10*Inputs!$F$218</f>
        <v>42.2611409539814</v>
      </c>
      <c r="Q11" s="16" t="n">
        <f aca="false">Q7*Q9*Q10*Inputs!$F$218</f>
        <v>43.6980197464168</v>
      </c>
      <c r="R11" s="16" t="n">
        <f aca="false">R7*R9*R10*Inputs!$F$218</f>
        <v>43.6980197464168</v>
      </c>
      <c r="S11" s="16" t="n">
        <f aca="false">S7*S9*S10*Inputs!$F$218</f>
        <v>43.6980197464168</v>
      </c>
      <c r="T11" s="16" t="n">
        <f aca="false">T7*T9*T10*Inputs!$F$218</f>
        <v>43.6980197464168</v>
      </c>
      <c r="U11" s="16" t="n">
        <f aca="false">U7*U9*U10*Inputs!$F$218</f>
        <v>45.183752417795</v>
      </c>
      <c r="V11" s="16" t="n">
        <f aca="false">V7*V9*V10*Inputs!$F$218</f>
        <v>45.183752417795</v>
      </c>
      <c r="W11" s="16" t="n">
        <f aca="false">W7*W9*W10*Inputs!$F$218</f>
        <v>45.183752417795</v>
      </c>
      <c r="X11" s="16" t="n">
        <f aca="false">X7*X9*X10*Inputs!$F$218</f>
        <v>45.183752417795</v>
      </c>
      <c r="Y11" s="16" t="n">
        <f aca="false">Y7*Y9*Y10*Inputs!$F$218</f>
        <v>46.72</v>
      </c>
      <c r="Z11" s="16" t="n">
        <f aca="false">Z7*Z9*Z10*Inputs!$F$218</f>
        <v>46.72</v>
      </c>
      <c r="AA11" s="16" t="n">
        <f aca="false">AA7*AA9*AA10*Inputs!$F$218</f>
        <v>46.72</v>
      </c>
      <c r="AB11" s="16" t="n">
        <f aca="false">AB7*AB9*AB10*Inputs!$F$218</f>
        <v>54.34704</v>
      </c>
      <c r="AC11" s="16" t="n">
        <f aca="false">AC7*AC9*AC10*Inputs!$F$218</f>
        <v>54.34704</v>
      </c>
      <c r="AD11" s="16" t="n">
        <f aca="false">AD7*AD9*AD10*Inputs!$F$218</f>
        <v>59.941161984</v>
      </c>
      <c r="AE11" s="16" t="n">
        <f aca="false">AE7*AE9*AE10*Inputs!$F$218</f>
        <v>59.941161984</v>
      </c>
      <c r="AF11" s="16" t="n">
        <f aca="false">AF7*AF9*AF10*Inputs!$F$218</f>
        <v>64.5616265536</v>
      </c>
      <c r="AG11" s="16" t="n">
        <f aca="false">AG7*AG9*AG10*Inputs!$F$218</f>
        <v>64.5616265536</v>
      </c>
      <c r="AH11" s="16" t="n">
        <f aca="false">AH7*AH9*AH10*Inputs!$F$218</f>
        <v>66.7567218564224</v>
      </c>
      <c r="AI11" s="16" t="n">
        <f aca="false">AI7*AI9*AI10*Inputs!$F$218</f>
        <v>66.7567218564224</v>
      </c>
      <c r="AJ11" s="16" t="n">
        <f aca="false">AJ7*AJ9*AJ10*Inputs!$F$218</f>
        <v>69.0264503995408</v>
      </c>
      <c r="AK11" s="16" t="n">
        <f aca="false">AK7*AK9*AK10*Inputs!$F$218</f>
        <v>69.0264503995408</v>
      </c>
      <c r="AL11" s="16" t="n">
        <f aca="false">AL7*AL9*AL10*Inputs!$F$218</f>
        <v>71.3733497131252</v>
      </c>
      <c r="AM11" s="16" t="n">
        <f aca="false">AM7*AM9*AM10*Inputs!$F$218</f>
        <v>71.3733497131252</v>
      </c>
      <c r="AN11" s="16" t="n">
        <f aca="false">AN7*AN9*AN10*Inputs!$F$218</f>
        <v>73.8000436033714</v>
      </c>
      <c r="AO11" s="16" t="n">
        <f aca="false">AO7*AO9*AO10*Inputs!$F$218</f>
        <v>73.8000436033714</v>
      </c>
      <c r="AP11" s="16" t="n">
        <f aca="false">AP7*AP9*AP10*Inputs!$F$218</f>
        <v>76.3092450858861</v>
      </c>
      <c r="AQ11" s="16" t="n">
        <f aca="false">AQ7*AQ9*AQ10*Inputs!$F$218</f>
        <v>76.3092450858861</v>
      </c>
      <c r="AR11" s="16" t="n">
        <f aca="false">AR7*AR9*AR10*Inputs!$F$218</f>
        <v>78.9037594188062</v>
      </c>
      <c r="AS11" s="16" t="n">
        <f aca="false">AS7*AS9*AS10*Inputs!$F$218</f>
        <v>78.9037594188062</v>
      </c>
      <c r="AT11" s="16" t="n">
        <f aca="false">AT7*AT9*AT10*Inputs!$F$218</f>
        <v>81.5864872390456</v>
      </c>
      <c r="AU11" s="16" t="n">
        <f aca="false">AU7*AU9*AU10*Inputs!$F$218</f>
        <v>81.5864872390456</v>
      </c>
      <c r="AV11" s="16" t="n">
        <f aca="false">AV7*AV9*AV10*Inputs!$F$218</f>
        <v>84.3604278051731</v>
      </c>
      <c r="AW11" s="16" t="n">
        <f aca="false">AW7*AW9*AW10*Inputs!$F$218</f>
        <v>84.3604278051731</v>
      </c>
      <c r="AX11" s="16" t="n">
        <f aca="false">AX7*AX9*AX10*Inputs!$F$218</f>
        <v>86.3007176446921</v>
      </c>
      <c r="AY11" s="16" t="n">
        <f aca="false">AY7*AY9*AY10*Inputs!$F$218</f>
        <v>86.3007176446921</v>
      </c>
      <c r="AZ11" s="16" t="n">
        <f aca="false">AZ7*AZ9*AZ10*Inputs!$F$218</f>
        <v>88.28563415052</v>
      </c>
      <c r="BA11" s="16" t="n">
        <f aca="false">BA7*BA9*BA10*Inputs!$F$218</f>
        <v>88.28563415052</v>
      </c>
      <c r="BB11" s="16" t="n">
        <f aca="false">BB7*BB9*BB10*Inputs!$F$218</f>
        <v>90.316203735982</v>
      </c>
      <c r="BC11" s="16" t="n">
        <f aca="false">BC7*BC9*BC10*Inputs!$F$218</f>
        <v>90.316203735982</v>
      </c>
      <c r="BD11" s="16" t="n">
        <f aca="false">BD7*BD9*BD10*Inputs!$F$218</f>
        <v>92.3934764219095</v>
      </c>
      <c r="BE11" s="16" t="n">
        <f aca="false">BE7*BE9*BE10*Inputs!$F$218</f>
        <v>92.3934764219095</v>
      </c>
      <c r="BF11" s="16" t="n">
        <f aca="false">BF7*BF9*BF10*Inputs!$F$218</f>
        <v>94.5185263796135</v>
      </c>
      <c r="BG11" s="16" t="n">
        <f aca="false">BG7*BG9*BG10*Inputs!$F$218</f>
        <v>94.5185263796135</v>
      </c>
      <c r="BH11" s="16" t="n">
        <f aca="false">BH7*BH9*BH10*Inputs!$F$218</f>
        <v>96.6924524863446</v>
      </c>
      <c r="BI11" s="16" t="n">
        <f aca="false">BI7*BI9*BI10*Inputs!$F$218</f>
        <v>96.6924524863446</v>
      </c>
      <c r="BJ11" s="16" t="n">
        <f aca="false">BJ7*BJ9*BJ10*Inputs!$F$218</f>
        <v>98.9163788935305</v>
      </c>
      <c r="BK11" s="16" t="n">
        <f aca="false">BK7*BK9*BK10*Inputs!$F$218</f>
        <v>98.9163788935305</v>
      </c>
      <c r="BL11" s="16" t="n">
        <f aca="false">BL7*BL9*BL10*Inputs!$F$218</f>
        <v>101.191455608082</v>
      </c>
      <c r="BM11" s="16" t="n">
        <f aca="false">BM7*BM9*BM10*Inputs!$F$218</f>
        <v>101.191455608082</v>
      </c>
      <c r="BN11" s="16" t="n">
        <f aca="false">BN7*BN9*BN10*Inputs!$F$218</f>
        <v>103.518859087068</v>
      </c>
      <c r="BO11" s="16" t="n">
        <f aca="false">BO7*BO9*BO10*Inputs!$F$218</f>
        <v>103.518859087068</v>
      </c>
      <c r="BP11" s="16" t="n">
        <f aca="false">BP7*BP9*BP10*Inputs!$F$218</f>
        <v>105.89979284607</v>
      </c>
      <c r="BQ11" s="16" t="n">
        <f aca="false">BQ7*BQ9*BQ10*Inputs!$F$218</f>
        <v>105.89979284607</v>
      </c>
      <c r="BR11" s="16" t="n">
        <f aca="false">BR7*BR9*BR10*Inputs!$F$218</f>
        <v>107.170590360223</v>
      </c>
      <c r="BS11" s="16" t="n">
        <f aca="false">BS7*BS9*BS10*Inputs!$F$218</f>
        <v>107.170590360223</v>
      </c>
      <c r="BT11" s="16" t="n">
        <f aca="false">BT7*BT9*BT10*Inputs!$F$218</f>
        <v>108.456637444546</v>
      </c>
      <c r="BU11" s="16" t="n">
        <f aca="false">BU7*BU9*BU10*Inputs!$F$218</f>
        <v>108.456637444546</v>
      </c>
      <c r="BV11" s="16" t="n">
        <f aca="false">BV7*BV9*BV10*Inputs!$F$218</f>
        <v>109.75811709388</v>
      </c>
      <c r="BW11" s="16" t="n">
        <f aca="false">BW7*BW9*BW10*Inputs!$F$218</f>
        <v>109.75811709388</v>
      </c>
      <c r="BX11" s="16" t="n">
        <f aca="false">BX7*BX9*BX10*Inputs!$F$218</f>
        <v>111.075214499007</v>
      </c>
      <c r="BY11" s="16" t="n">
        <f aca="false">BY7*BY9*BY10*Inputs!$F$218</f>
        <v>111.075214499007</v>
      </c>
      <c r="BZ11" s="16" t="n">
        <f aca="false">BZ7*BZ9*BZ10*Inputs!$F$218</f>
        <v>112.408117072995</v>
      </c>
      <c r="CA11" s="16" t="n">
        <f aca="false">CA7*CA9*CA10*Inputs!$F$218</f>
        <v>112.408117072995</v>
      </c>
      <c r="CB11" s="16" t="n">
        <f aca="false">CB7*CB9*CB10*Inputs!$F$218</f>
        <v>113.757014477871</v>
      </c>
      <c r="CC11" s="16" t="n">
        <f aca="false">CC7*CC9*CC10*Inputs!$F$218</f>
        <v>113.757014477871</v>
      </c>
      <c r="CD11" s="16" t="n">
        <f aca="false">CD7*CD9*CD10*Inputs!$F$218</f>
        <v>115.122098651605</v>
      </c>
      <c r="CE11" s="16" t="n">
        <f aca="false">CE7*CE9*CE10*Inputs!$F$218</f>
        <v>115.122098651605</v>
      </c>
      <c r="CF11" s="16" t="n">
        <f aca="false">CF7*CF9*CF10*Inputs!$F$218</f>
        <v>116.503563835424</v>
      </c>
      <c r="CG11" s="16" t="n">
        <f aca="false">CG7*CG9*CG10*Inputs!$F$218</f>
        <v>116.503563835424</v>
      </c>
      <c r="CH11" s="16" t="n">
        <f aca="false">CH7*CH9*CH10*Inputs!$F$218</f>
        <v>117.90160660145</v>
      </c>
      <c r="CI11" s="16" t="n">
        <f aca="false">CI7*CI9*CI10*Inputs!$F$218</f>
        <v>117.90160660145</v>
      </c>
      <c r="CJ11" s="16" t="n">
        <f aca="false">CJ7*CJ9*CJ10*Inputs!$F$218</f>
        <v>119.316425880667</v>
      </c>
      <c r="CK11" s="16" t="n">
        <f aca="false">CK7*CK9*CK10*Inputs!$F$218</f>
        <v>119.316425880667</v>
      </c>
      <c r="CL11" s="16" t="n">
        <f aca="false">CL7*CL9*CL10*Inputs!$F$218</f>
        <v>120.748222991235</v>
      </c>
      <c r="CM11" s="16" t="n">
        <f aca="false">CM7*CM9*CM10*Inputs!$F$218</f>
        <v>120.748222991235</v>
      </c>
      <c r="CN11" s="16" t="n">
        <f aca="false">CN7*CN9*CN10*Inputs!$F$218</f>
        <v>122.19720166713</v>
      </c>
      <c r="CO11" s="16" t="n">
        <f aca="false">CO7*CO9*CO10*Inputs!$F$218</f>
        <v>122.19720166713</v>
      </c>
      <c r="CP11" s="16" t="n">
        <f aca="false">CP7*CP9*CP10*Inputs!$F$218</f>
        <v>123.663568087135</v>
      </c>
      <c r="CQ11" s="16" t="n">
        <f aca="false">CQ7*CQ9*CQ10*Inputs!$F$218</f>
        <v>123.663568087135</v>
      </c>
      <c r="CR11" s="16" t="n">
        <f aca="false">CR7*CR9*CR10*Inputs!$F$218</f>
        <v>125.147530904181</v>
      </c>
      <c r="CS11" s="16" t="n">
        <f aca="false">CS7*CS9*CS10*Inputs!$F$218</f>
        <v>125.147530904181</v>
      </c>
      <c r="CT11" s="16" t="n">
        <f aca="false">CT7*CT9*CT10*Inputs!$F$218</f>
        <v>126.649301275031</v>
      </c>
      <c r="CU11" s="16" t="n">
        <f aca="false">CU7*CU9*CU10*Inputs!$F$218</f>
        <v>126.649301275031</v>
      </c>
      <c r="CV11" s="16" t="n">
        <f aca="false">CV7*CV9*CV10*Inputs!$F$218</f>
        <v>128.169092890331</v>
      </c>
      <c r="CW11" s="16" t="n">
        <f aca="false">CW7*CW9*CW10*Inputs!$F$218</f>
        <v>128.169092890331</v>
      </c>
      <c r="CX11" s="16" t="n">
        <f aca="false">CX7*CX9*CX10*Inputs!$F$218</f>
        <v>129.707122005015</v>
      </c>
      <c r="CY11" s="16" t="n">
        <f aca="false">CY7*CY9*CY10*Inputs!$F$218</f>
        <v>129.707122005015</v>
      </c>
      <c r="CZ11" s="16" t="n">
        <f aca="false">CZ7*CZ9*CZ10*Inputs!$F$218</f>
        <v>131.263607469076</v>
      </c>
      <c r="DA11" s="16" t="n">
        <f aca="false">DA7*DA9*DA10*Inputs!$F$218</f>
        <v>131.263607469076</v>
      </c>
      <c r="DB11" s="16" t="n">
        <f aca="false">DB7*DB9*DB10*Inputs!$F$218</f>
        <v>132.838770758705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46.72</v>
      </c>
      <c r="AA13" s="16" t="n">
        <f aca="false">IF(Time!AA39=1,AA12,AA11)*Time!AA26</f>
        <v>46.72</v>
      </c>
      <c r="AB13" s="16" t="n">
        <f aca="false">IF(Time!AB39=1,AB12,AB11)*Time!AB26</f>
        <v>54.34704</v>
      </c>
      <c r="AC13" s="16" t="n">
        <f aca="false">IF(Time!AC39=1,AC12,AC11)*Time!AC26</f>
        <v>54.34704</v>
      </c>
      <c r="AD13" s="16" t="n">
        <f aca="false">IF(Time!AD39=1,AD12,AD11)*Time!AD26</f>
        <v>59.941161984</v>
      </c>
      <c r="AE13" s="16" t="n">
        <f aca="false">IF(Time!AE39=1,AE12,AE11)*Time!AE26</f>
        <v>59.941161984</v>
      </c>
      <c r="AF13" s="16" t="n">
        <f aca="false">IF(Time!AF39=1,AF12,AF11)*Time!AF26</f>
        <v>64.5616265536</v>
      </c>
      <c r="AG13" s="16" t="n">
        <f aca="false">IF(Time!AG39=1,AG12,AG11)*Time!AG26</f>
        <v>64.5616265536</v>
      </c>
      <c r="AH13" s="16" t="n">
        <f aca="false">IF(Time!AH39=1,AH12,AH11)*Time!AH26</f>
        <v>66.7567218564224</v>
      </c>
      <c r="AI13" s="16" t="n">
        <f aca="false">IF(Time!AI39=1,AI12,AI11)*Time!AI26</f>
        <v>66.7567218564224</v>
      </c>
      <c r="AJ13" s="16" t="n">
        <f aca="false">IF(Time!AJ39=1,AJ12,AJ11)*Time!AJ26</f>
        <v>69.0264503995408</v>
      </c>
      <c r="AK13" s="16" t="n">
        <f aca="false">IF(Time!AK39=1,AK12,AK11)*Time!AK26</f>
        <v>69.0264503995408</v>
      </c>
      <c r="AL13" s="16" t="n">
        <f aca="false">IF(Time!AL39=1,AL12,AL11)*Time!AL26</f>
        <v>71.3733497131252</v>
      </c>
      <c r="AM13" s="16" t="n">
        <f aca="false">IF(Time!AM39=1,AM12,AM11)*Time!AM26</f>
        <v>71.3733497131252</v>
      </c>
      <c r="AN13" s="16" t="n">
        <f aca="false">IF(Time!AN39=1,AN12,AN11)*Time!AN26</f>
        <v>73.8000436033714</v>
      </c>
      <c r="AO13" s="16" t="n">
        <f aca="false">IF(Time!AO39=1,AO12,AO11)*Time!AO26</f>
        <v>73.8000436033714</v>
      </c>
      <c r="AP13" s="16" t="n">
        <f aca="false">IF(Time!AP39=1,AP12,AP11)*Time!AP26</f>
        <v>76.3092450858861</v>
      </c>
      <c r="AQ13" s="16" t="n">
        <f aca="false">IF(Time!AQ39=1,AQ12,AQ11)*Time!AQ26</f>
        <v>76.3092450858861</v>
      </c>
      <c r="AR13" s="16" t="n">
        <f aca="false">IF(Time!AR39=1,AR12,AR11)*Time!AR26</f>
        <v>78.9037594188062</v>
      </c>
      <c r="AS13" s="16" t="n">
        <f aca="false">IF(Time!AS39=1,AS12,AS11)*Time!AS26</f>
        <v>78.9037594188062</v>
      </c>
      <c r="AT13" s="16" t="n">
        <f aca="false">IF(Time!AT39=1,AT12,AT11)*Time!AT26</f>
        <v>81.5864872390456</v>
      </c>
      <c r="AU13" s="16" t="n">
        <f aca="false">IF(Time!AU39=1,AU12,AU11)*Time!AU26</f>
        <v>81.5864872390456</v>
      </c>
      <c r="AV13" s="16" t="n">
        <f aca="false">IF(Time!AV39=1,AV12,AV11)*Time!AV26</f>
        <v>84.3604278051731</v>
      </c>
      <c r="AW13" s="16" t="n">
        <f aca="false">IF(Time!AW39=1,AW12,AW11)*Time!AW26</f>
        <v>84.3604278051731</v>
      </c>
      <c r="AX13" s="16" t="n">
        <f aca="false">IF(Time!AX39=1,AX12,AX11)*Time!AX26</f>
        <v>86.3007176446921</v>
      </c>
      <c r="AY13" s="16" t="n">
        <f aca="false">IF(Time!AY39=1,AY12,AY11)*Time!AY26</f>
        <v>86.3007176446921</v>
      </c>
      <c r="AZ13" s="16" t="n">
        <f aca="false">IF(Time!AZ39=1,AZ12,AZ11)*Time!AZ26</f>
        <v>88.28563415052</v>
      </c>
      <c r="BA13" s="16" t="n">
        <f aca="false">IF(Time!BA39=1,BA12,BA11)*Time!BA26</f>
        <v>88.28563415052</v>
      </c>
      <c r="BB13" s="16" t="n">
        <f aca="false">IF(Time!BB39=1,BB12,BB11)*Time!BB26</f>
        <v>90.316203735982</v>
      </c>
      <c r="BC13" s="16" t="n">
        <f aca="false">IF(Time!BC39=1,BC12,BC11)*Time!BC26</f>
        <v>90.316203735982</v>
      </c>
      <c r="BD13" s="16" t="n">
        <f aca="false">IF(Time!BD39=1,BD12,BD11)*Time!BD26</f>
        <v>92.3934764219095</v>
      </c>
      <c r="BE13" s="16" t="n">
        <f aca="false">IF(Time!BE39=1,BE12,BE11)*Time!BE26</f>
        <v>92.3934764219095</v>
      </c>
      <c r="BF13" s="16" t="n">
        <f aca="false">IF(Time!BF39=1,BF12,BF11)*Time!BF26</f>
        <v>94.5185263796135</v>
      </c>
      <c r="BG13" s="16" t="n">
        <f aca="false">IF(Time!BG39=1,BG12,BG11)*Time!BG26</f>
        <v>94.5185263796135</v>
      </c>
      <c r="BH13" s="16" t="n">
        <f aca="false">IF(Time!BH39=1,BH12,BH11)*Time!BH26</f>
        <v>96.6924524863446</v>
      </c>
      <c r="BI13" s="16" t="n">
        <f aca="false">IF(Time!BI39=1,BI12,BI11)*Time!BI26</f>
        <v>96.6924524863446</v>
      </c>
      <c r="BJ13" s="16" t="n">
        <f aca="false">IF(Time!BJ39=1,BJ12,BJ11)*Time!BJ26</f>
        <v>98.9163788935305</v>
      </c>
      <c r="BK13" s="16" t="n">
        <f aca="false">IF(Time!BK39=1,BK12,BK11)*Time!BK26</f>
        <v>98.9163788935305</v>
      </c>
      <c r="BL13" s="16" t="n">
        <f aca="false">IF(Time!BL39=1,BL12,BL11)*Time!BL26</f>
        <v>101.191455608082</v>
      </c>
      <c r="BM13" s="16" t="n">
        <f aca="false">IF(Time!BM39=1,BM12,BM11)*Time!BM26</f>
        <v>101.191455608082</v>
      </c>
      <c r="BN13" s="16" t="n">
        <f aca="false">IF(Time!BN39=1,BN12,BN11)*Time!BN26</f>
        <v>103.518859087068</v>
      </c>
      <c r="BO13" s="16" t="n">
        <f aca="false">IF(Time!BO39=1,BO12,BO11)*Time!BO26</f>
        <v>103.518859087068</v>
      </c>
      <c r="BP13" s="16" t="n">
        <f aca="false">IF(Time!BP39=1,BP12,BP11)*Time!BP26</f>
        <v>105.89979284607</v>
      </c>
      <c r="BQ13" s="16" t="n">
        <f aca="false">IF(Time!BQ39=1,BQ12,BQ11)*Time!BQ26</f>
        <v>105.89979284607</v>
      </c>
      <c r="BR13" s="16" t="n">
        <f aca="false">IF(Time!BR39=1,BR12,BR11)*Time!BR26</f>
        <v>107.170590360223</v>
      </c>
      <c r="BS13" s="16" t="n">
        <f aca="false">IF(Time!BS39=1,BS12,BS11)*Time!BS26</f>
        <v>107.170590360223</v>
      </c>
      <c r="BT13" s="16" t="n">
        <f aca="false">IF(Time!BT39=1,BT12,BT11)*Time!BT26</f>
        <v>108.456637444546</v>
      </c>
      <c r="BU13" s="16" t="n">
        <f aca="false">IF(Time!BU39=1,BU12,BU11)*Time!BU26</f>
        <v>108.456637444546</v>
      </c>
      <c r="BV13" s="16" t="n">
        <f aca="false">IF(Time!BV39=1,BV12,BV11)*Time!BV26</f>
        <v>109.75811709388</v>
      </c>
      <c r="BW13" s="16" t="n">
        <f aca="false">IF(Time!BW39=1,BW12,BW11)*Time!BW26</f>
        <v>109.75811709388</v>
      </c>
      <c r="BX13" s="16" t="n">
        <f aca="false">IF(Time!BX39=1,BX12,BX11)*Time!BX26</f>
        <v>111.075214499007</v>
      </c>
      <c r="BY13" s="16" t="n">
        <f aca="false">IF(Time!BY39=1,BY12,BY11)*Time!BY26</f>
        <v>111.075214499007</v>
      </c>
      <c r="BZ13" s="16" t="n">
        <f aca="false">IF(Time!BZ39=1,BZ12,BZ11)*Time!BZ26</f>
        <v>112.408117072995</v>
      </c>
      <c r="CA13" s="16" t="n">
        <f aca="false">IF(Time!CA39=1,CA12,CA11)*Time!CA26</f>
        <v>112.408117072995</v>
      </c>
      <c r="CB13" s="16" t="n">
        <f aca="false">IF(Time!CB39=1,CB12,CB11)*Time!CB26</f>
        <v>113.757014477871</v>
      </c>
      <c r="CC13" s="16" t="n">
        <f aca="false">IF(Time!CC39=1,CC12,CC11)*Time!CC26</f>
        <v>113.757014477871</v>
      </c>
      <c r="CD13" s="16" t="n">
        <f aca="false">IF(Time!CD39=1,CD12,CD11)*Time!CD26</f>
        <v>115.122098651605</v>
      </c>
      <c r="CE13" s="16" t="n">
        <f aca="false">IF(Time!CE39=1,CE12,CE11)*Time!CE26</f>
        <v>115.122098651605</v>
      </c>
      <c r="CF13" s="16" t="n">
        <f aca="false">IF(Time!CF39=1,CF12,CF11)*Time!CF26</f>
        <v>116.503563835424</v>
      </c>
      <c r="CG13" s="16" t="n">
        <f aca="false">IF(Time!CG39=1,CG12,CG11)*Time!CG26</f>
        <v>116.503563835424</v>
      </c>
      <c r="CH13" s="16" t="n">
        <f aca="false">IF(Time!CH39=1,CH12,CH11)*Time!CH26</f>
        <v>117.90160660145</v>
      </c>
      <c r="CI13" s="16" t="n">
        <f aca="false">IF(Time!CI39=1,CI12,CI11)*Time!CI26</f>
        <v>117.90160660145</v>
      </c>
      <c r="CJ13" s="16" t="n">
        <f aca="false">IF(Time!CJ39=1,CJ12,CJ11)*Time!CJ26</f>
        <v>119.316425880667</v>
      </c>
      <c r="CK13" s="16" t="n">
        <f aca="false">IF(Time!CK39=1,CK12,CK11)*Time!CK26</f>
        <v>119.316425880667</v>
      </c>
      <c r="CL13" s="16" t="n">
        <f aca="false">IF(Time!CL39=1,CL12,CL11)*Time!CL26</f>
        <v>120.748222991235</v>
      </c>
      <c r="CM13" s="16" t="n">
        <f aca="false">IF(Time!CM39=1,CM12,CM11)*Time!CM26</f>
        <v>120.748222991235</v>
      </c>
      <c r="CN13" s="16" t="n">
        <f aca="false">IF(Time!CN39=1,CN12,CN11)*Time!CN26</f>
        <v>122.19720166713</v>
      </c>
      <c r="CO13" s="16" t="n">
        <f aca="false">IF(Time!CO39=1,CO12,CO11)*Time!CO26</f>
        <v>122.19720166713</v>
      </c>
      <c r="CP13" s="16" t="n">
        <f aca="false">IF(Time!CP39=1,CP12,CP11)*Time!CP26</f>
        <v>123.663568087135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1.2316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1.2316</v>
      </c>
      <c r="K17" s="27" t="n">
        <f aca="false">IF(Time!K23=1,$F$16,$F$15)</f>
        <v>1.2316</v>
      </c>
      <c r="L17" s="27" t="n">
        <f aca="false">IF(Time!L23=1,$F$16,$F$15)</f>
        <v>1.2316</v>
      </c>
      <c r="M17" s="27" t="n">
        <f aca="false">IF(Time!M23=1,$F$16,$F$15)</f>
        <v>1.2316</v>
      </c>
      <c r="N17" s="27" t="n">
        <f aca="false">IF(Time!N23=1,$F$16,$F$15)</f>
        <v>1.2316</v>
      </c>
      <c r="O17" s="27" t="n">
        <f aca="false">IF(Time!O23=1,$F$16,$F$15)</f>
        <v>1.2316</v>
      </c>
      <c r="P17" s="27" t="n">
        <f aca="false">IF(Time!P23=1,$F$16,$F$15)</f>
        <v>1.2316</v>
      </c>
      <c r="Q17" s="27" t="n">
        <f aca="false">IF(Time!Q23=1,$F$16,$F$15)</f>
        <v>1.2316</v>
      </c>
      <c r="R17" s="27" t="n">
        <f aca="false">IF(Time!R23=1,$F$16,$F$15)</f>
        <v>1.2316</v>
      </c>
      <c r="S17" s="27" t="n">
        <f aca="false">IF(Time!S23=1,$F$16,$F$15)</f>
        <v>1.2316</v>
      </c>
      <c r="T17" s="27" t="n">
        <f aca="false">IF(Time!T23=1,$F$16,$F$15)</f>
        <v>1.2316</v>
      </c>
      <c r="U17" s="27" t="n">
        <f aca="false">IF(Time!U23=1,$F$16,$F$15)</f>
        <v>1.2316</v>
      </c>
      <c r="V17" s="27" t="n">
        <f aca="false">IF(Time!V23=1,$F$16,$F$15)</f>
        <v>1.2316</v>
      </c>
      <c r="W17" s="27" t="n">
        <f aca="false">IF(Time!W23=1,$F$16,$F$15)</f>
        <v>1.2316</v>
      </c>
      <c r="X17" s="27" t="n">
        <f aca="false">IF(Time!X23=1,$F$16,$F$15)</f>
        <v>1.2316</v>
      </c>
      <c r="Y17" s="27" t="n">
        <f aca="false">IF(Time!Y23=1,$F$16,$F$15)</f>
        <v>1.2316</v>
      </c>
      <c r="Z17" s="27" t="n">
        <f aca="false">IF(Time!Z23=1,$F$16,$F$15)</f>
        <v>1.2316</v>
      </c>
      <c r="AA17" s="27" t="n">
        <f aca="false">IF(Time!AA23=1,$F$16,$F$15)</f>
        <v>1.2316</v>
      </c>
      <c r="AB17" s="27" t="n">
        <f aca="false">IF(Time!AB23=1,$F$16,$F$15)</f>
        <v>1.2316</v>
      </c>
      <c r="AC17" s="27" t="n">
        <f aca="false">IF(Time!AC23=1,$F$16,$F$15)</f>
        <v>1.2316</v>
      </c>
      <c r="AD17" s="27" t="n">
        <f aca="false">IF(Time!AD23=1,$F$16,$F$15)</f>
        <v>1.2316</v>
      </c>
      <c r="AE17" s="27" t="n">
        <f aca="false">IF(Time!AE23=1,$F$16,$F$15)</f>
        <v>1.2316</v>
      </c>
      <c r="AF17" s="27" t="n">
        <f aca="false">IF(Time!AF23=1,$F$16,$F$15)</f>
        <v>1.2316</v>
      </c>
      <c r="AG17" s="27" t="n">
        <f aca="false">IF(Time!AG23=1,$F$16,$F$15)</f>
        <v>1.2316</v>
      </c>
      <c r="AH17" s="27" t="n">
        <f aca="false">IF(Time!AH23=1,$F$16,$F$15)</f>
        <v>1.2316</v>
      </c>
      <c r="AI17" s="27" t="n">
        <f aca="false">IF(Time!AI23=1,$F$16,$F$15)</f>
        <v>1.2316</v>
      </c>
      <c r="AJ17" s="27" t="n">
        <f aca="false">IF(Time!AJ23=1,$F$16,$F$15)</f>
        <v>1.2316</v>
      </c>
      <c r="AK17" s="27" t="n">
        <f aca="false">IF(Time!AK23=1,$F$16,$F$15)</f>
        <v>1.2316</v>
      </c>
      <c r="AL17" s="27" t="n">
        <f aca="false">IF(Time!AL23=1,$F$16,$F$15)</f>
        <v>1.2316</v>
      </c>
      <c r="AM17" s="27" t="n">
        <f aca="false">IF(Time!AM23=1,$F$16,$F$15)</f>
        <v>1.2316</v>
      </c>
      <c r="AN17" s="27" t="n">
        <f aca="false">IF(Time!AN23=1,$F$16,$F$15)</f>
        <v>1.2316</v>
      </c>
      <c r="AO17" s="27" t="n">
        <f aca="false">IF(Time!AO23=1,$F$16,$F$15)</f>
        <v>1.2316</v>
      </c>
      <c r="AP17" s="27" t="n">
        <f aca="false">IF(Time!AP23=1,$F$16,$F$15)</f>
        <v>1.2316</v>
      </c>
      <c r="AQ17" s="27" t="n">
        <f aca="false">IF(Time!AQ23=1,$F$16,$F$15)</f>
        <v>1.2316</v>
      </c>
      <c r="AR17" s="27" t="n">
        <f aca="false">IF(Time!AR23=1,$F$16,$F$15)</f>
        <v>1.2316</v>
      </c>
      <c r="AS17" s="27" t="n">
        <f aca="false">IF(Time!AS23=1,$F$16,$F$15)</f>
        <v>1.2316</v>
      </c>
      <c r="AT17" s="27" t="n">
        <f aca="false">IF(Time!AT23=1,$F$16,$F$15)</f>
        <v>1.2316</v>
      </c>
      <c r="AU17" s="27" t="n">
        <f aca="false">IF(Time!AU23=1,$F$16,$F$15)</f>
        <v>1.2316</v>
      </c>
      <c r="AV17" s="27" t="n">
        <f aca="false">IF(Time!AV23=1,$F$16,$F$15)</f>
        <v>1.2316</v>
      </c>
      <c r="AW17" s="27" t="n">
        <f aca="false">IF(Time!AW23=1,$F$16,$F$15)</f>
        <v>1.2316</v>
      </c>
      <c r="AX17" s="27" t="n">
        <f aca="false">IF(Time!AX23=1,$F$16,$F$15)</f>
        <v>1.2316</v>
      </c>
      <c r="AY17" s="27" t="n">
        <f aca="false">IF(Time!AY23=1,$F$16,$F$15)</f>
        <v>1.2316</v>
      </c>
      <c r="AZ17" s="27" t="n">
        <f aca="false">IF(Time!AZ23=1,$F$16,$F$15)</f>
        <v>1.2316</v>
      </c>
      <c r="BA17" s="27" t="n">
        <f aca="false">IF(Time!BA23=1,$F$16,$F$15)</f>
        <v>1.2316</v>
      </c>
      <c r="BB17" s="27" t="n">
        <f aca="false">IF(Time!BB23=1,$F$16,$F$15)</f>
        <v>1.2316</v>
      </c>
      <c r="BC17" s="27" t="n">
        <f aca="false">IF(Time!BC23=1,$F$16,$F$15)</f>
        <v>1.2316</v>
      </c>
      <c r="BD17" s="27" t="n">
        <f aca="false">IF(Time!BD23=1,$F$16,$F$15)</f>
        <v>1.2316</v>
      </c>
      <c r="BE17" s="27" t="n">
        <f aca="false">IF(Time!BE23=1,$F$16,$F$15)</f>
        <v>1.2316</v>
      </c>
      <c r="BF17" s="27" t="n">
        <f aca="false">IF(Time!BF23=1,$F$16,$F$15)</f>
        <v>1.2316</v>
      </c>
      <c r="BG17" s="27" t="n">
        <f aca="false">IF(Time!BG23=1,$F$16,$F$15)</f>
        <v>1.2316</v>
      </c>
      <c r="BH17" s="27" t="n">
        <f aca="false">IF(Time!BH23=1,$F$16,$F$15)</f>
        <v>1.2316</v>
      </c>
      <c r="BI17" s="27" t="n">
        <f aca="false">IF(Time!BI23=1,$F$16,$F$15)</f>
        <v>1.2316</v>
      </c>
      <c r="BJ17" s="27" t="n">
        <f aca="false">IF(Time!BJ23=1,$F$16,$F$15)</f>
        <v>1.2316</v>
      </c>
      <c r="BK17" s="27" t="n">
        <f aca="false">IF(Time!BK23=1,$F$16,$F$15)</f>
        <v>1.2316</v>
      </c>
      <c r="BL17" s="27" t="n">
        <f aca="false">IF(Time!BL23=1,$F$16,$F$15)</f>
        <v>1.2316</v>
      </c>
      <c r="BM17" s="27" t="n">
        <f aca="false">IF(Time!BM23=1,$F$16,$F$15)</f>
        <v>1.2316</v>
      </c>
      <c r="BN17" s="27" t="n">
        <f aca="false">IF(Time!BN23=1,$F$16,$F$15)</f>
        <v>1.2316</v>
      </c>
      <c r="BO17" s="27" t="n">
        <f aca="false">IF(Time!BO23=1,$F$16,$F$15)</f>
        <v>1.2316</v>
      </c>
      <c r="BP17" s="27" t="n">
        <f aca="false">IF(Time!BP23=1,$F$16,$F$15)</f>
        <v>1.2316</v>
      </c>
      <c r="BQ17" s="27" t="n">
        <f aca="false">IF(Time!BQ23=1,$F$16,$F$15)</f>
        <v>1.2316</v>
      </c>
      <c r="BR17" s="27" t="n">
        <f aca="false">IF(Time!BR23=1,$F$16,$F$15)</f>
        <v>1.2316</v>
      </c>
      <c r="BS17" s="27" t="n">
        <f aca="false">IF(Time!BS23=1,$F$16,$F$15)</f>
        <v>1.2316</v>
      </c>
      <c r="BT17" s="27" t="n">
        <f aca="false">IF(Time!BT23=1,$F$16,$F$15)</f>
        <v>1.2316</v>
      </c>
      <c r="BU17" s="27" t="n">
        <f aca="false">IF(Time!BU23=1,$F$16,$F$15)</f>
        <v>1.2316</v>
      </c>
      <c r="BV17" s="27" t="n">
        <f aca="false">IF(Time!BV23=1,$F$16,$F$15)</f>
        <v>1.2316</v>
      </c>
      <c r="BW17" s="27" t="n">
        <f aca="false">IF(Time!BW23=1,$F$16,$F$15)</f>
        <v>1.2316</v>
      </c>
      <c r="BX17" s="27" t="n">
        <f aca="false">IF(Time!BX23=1,$F$16,$F$15)</f>
        <v>1.2316</v>
      </c>
      <c r="BY17" s="27" t="n">
        <f aca="false">IF(Time!BY23=1,$F$16,$F$15)</f>
        <v>1.2316</v>
      </c>
      <c r="BZ17" s="27" t="n">
        <f aca="false">IF(Time!BZ23=1,$F$16,$F$15)</f>
        <v>1.2316</v>
      </c>
      <c r="CA17" s="27" t="n">
        <f aca="false">IF(Time!CA23=1,$F$16,$F$15)</f>
        <v>1.2316</v>
      </c>
      <c r="CB17" s="27" t="n">
        <f aca="false">IF(Time!CB23=1,$F$16,$F$15)</f>
        <v>1.2316</v>
      </c>
      <c r="CC17" s="27" t="n">
        <f aca="false">IF(Time!CC23=1,$F$16,$F$15)</f>
        <v>1.2316</v>
      </c>
      <c r="CD17" s="27" t="n">
        <f aca="false">IF(Time!CD23=1,$F$16,$F$15)</f>
        <v>1.2316</v>
      </c>
      <c r="CE17" s="27" t="n">
        <f aca="false">IF(Time!CE23=1,$F$16,$F$15)</f>
        <v>1.2316</v>
      </c>
      <c r="CF17" s="27" t="n">
        <f aca="false">IF(Time!CF23=1,$F$16,$F$15)</f>
        <v>1.2316</v>
      </c>
      <c r="CG17" s="27" t="n">
        <f aca="false">IF(Time!CG23=1,$F$16,$F$15)</f>
        <v>1.2316</v>
      </c>
      <c r="CH17" s="27" t="n">
        <f aca="false">IF(Time!CH23=1,$F$16,$F$15)</f>
        <v>1.2316</v>
      </c>
      <c r="CI17" s="27" t="n">
        <f aca="false">IF(Time!CI23=1,$F$16,$F$15)</f>
        <v>1.2316</v>
      </c>
      <c r="CJ17" s="27" t="n">
        <f aca="false">IF(Time!CJ23=1,$F$16,$F$15)</f>
        <v>1.2316</v>
      </c>
      <c r="CK17" s="27" t="n">
        <f aca="false">IF(Time!CK23=1,$F$16,$F$15)</f>
        <v>1.2316</v>
      </c>
      <c r="CL17" s="27" t="n">
        <f aca="false">IF(Time!CL23=1,$F$16,$F$15)</f>
        <v>1.2316</v>
      </c>
      <c r="CM17" s="27" t="n">
        <f aca="false">IF(Time!CM23=1,$F$16,$F$15)</f>
        <v>1.2316</v>
      </c>
      <c r="CN17" s="27" t="n">
        <f aca="false">IF(Time!CN23=1,$F$16,$F$15)</f>
        <v>1.2316</v>
      </c>
      <c r="CO17" s="27" t="n">
        <f aca="false">IF(Time!CO23=1,$F$16,$F$15)</f>
        <v>1.2316</v>
      </c>
      <c r="CP17" s="27" t="n">
        <f aca="false">IF(Time!CP23=1,$F$16,$F$15)</f>
        <v>1.2316</v>
      </c>
      <c r="CQ17" s="27" t="n">
        <f aca="false">IF(Time!CQ23=1,$F$16,$F$15)</f>
        <v>1.2316</v>
      </c>
      <c r="CR17" s="27" t="n">
        <f aca="false">IF(Time!CR23=1,$F$16,$F$15)</f>
        <v>1.2316</v>
      </c>
      <c r="CS17" s="27" t="n">
        <f aca="false">IF(Time!CS23=1,$F$16,$F$15)</f>
        <v>1.2316</v>
      </c>
      <c r="CT17" s="27" t="n">
        <f aca="false">IF(Time!CT23=1,$F$16,$F$15)</f>
        <v>1.2316</v>
      </c>
      <c r="CU17" s="27" t="n">
        <f aca="false">IF(Time!CU23=1,$F$16,$F$15)</f>
        <v>1.2316</v>
      </c>
      <c r="CV17" s="27" t="n">
        <f aca="false">IF(Time!CV23=1,$F$16,$F$15)</f>
        <v>1.2316</v>
      </c>
      <c r="CW17" s="27" t="n">
        <f aca="false">IF(Time!CW23=1,$F$16,$F$15)</f>
        <v>1.2316</v>
      </c>
      <c r="CX17" s="27" t="n">
        <f aca="false">IF(Time!CX23=1,$F$16,$F$15)</f>
        <v>1.2316</v>
      </c>
      <c r="CY17" s="27" t="n">
        <f aca="false">IF(Time!CY23=1,$F$16,$F$15)</f>
        <v>1.2316</v>
      </c>
      <c r="CZ17" s="27" t="n">
        <f aca="false">IF(Time!CZ23=1,$F$16,$F$15)</f>
        <v>1.2316</v>
      </c>
      <c r="DA17" s="27" t="n">
        <f aca="false">IF(Time!DA23=1,$F$16,$F$15)</f>
        <v>1.2316</v>
      </c>
      <c r="DB17" s="27" t="n">
        <f aca="false">IF(Time!DB23=1,$F$16,$F$15)</f>
        <v>1.2316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10263.5681455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21.3974075618867</v>
      </c>
      <c r="AA18" s="19" t="n">
        <f aca="false">AA13*Inputs!$F$64*Time!AA25*Inputs!$F$127*Time!AA60*AA17/Inputs!$F$65</f>
        <v>44.575387506729</v>
      </c>
      <c r="AB18" s="19" t="n">
        <f aca="false">AB13*Inputs!$F$64*Time!AB25*Inputs!$F$127*Time!AB60*AB17/Inputs!$F$65</f>
        <v>51.2887073485372</v>
      </c>
      <c r="AC18" s="19" t="n">
        <f aca="false">AC13*Inputs!$F$64*Time!AC25*Inputs!$F$127*Time!AC60*AC17/Inputs!$F$65</f>
        <v>53.4058372867964</v>
      </c>
      <c r="AD18" s="19" t="n">
        <f aca="false">AD13*Inputs!$F$64*Time!AD25*Inputs!$F$127*Time!AD60*AD17/Inputs!$F$65</f>
        <v>57.9427018641919</v>
      </c>
      <c r="AE18" s="19" t="n">
        <f aca="false">AE13*Inputs!$F$64*Time!AE25*Inputs!$F$127*Time!AE60*AE17/Inputs!$F$65</f>
        <v>60.6811622751764</v>
      </c>
      <c r="AF18" s="19" t="n">
        <f aca="false">AF13*Inputs!$F$64*Time!AF25*Inputs!$F$127*Time!AF60*AF17/Inputs!$F$65</f>
        <v>64.2930380686615</v>
      </c>
      <c r="AG18" s="19" t="n">
        <f aca="false">AG13*Inputs!$F$64*Time!AG25*Inputs!$F$127*Time!AG60*AG17/Inputs!$F$65</f>
        <v>67.3086341374562</v>
      </c>
      <c r="AH18" s="19" t="n">
        <f aca="false">AH13*Inputs!$F$64*Time!AH25*Inputs!$F$127*Time!AH60*AH17/Inputs!$F$65</f>
        <v>68.4623919204429</v>
      </c>
      <c r="AI18" s="19" t="n">
        <f aca="false">AI13*Inputs!$F$64*Time!AI25*Inputs!$F$127*Time!AI60*AI17/Inputs!$F$65</f>
        <v>71.685401576294</v>
      </c>
      <c r="AJ18" s="19" t="n">
        <f aca="false">AJ13*Inputs!$F$64*Time!AJ25*Inputs!$F$127*Time!AJ60*AJ17/Inputs!$F$65</f>
        <v>73.3170236513023</v>
      </c>
      <c r="AK18" s="19" t="n">
        <f aca="false">AK13*Inputs!$F$64*Time!AK25*Inputs!$F$127*Time!AK60*AK17/Inputs!$F$65</f>
        <v>76.356438185083</v>
      </c>
      <c r="AL18" s="19" t="n">
        <f aca="false">AL13*Inputs!$F$64*Time!AL25*Inputs!$F$127*Time!AL60*AL17/Inputs!$F$65</f>
        <v>77.6652871309295</v>
      </c>
      <c r="AM18" s="19" t="n">
        <f aca="false">AM13*Inputs!$F$64*Time!AM25*Inputs!$F$127*Time!AM60*AM17/Inputs!$F$65</f>
        <v>81.3392262882366</v>
      </c>
      <c r="AN18" s="19" t="n">
        <f aca="false">AN13*Inputs!$F$64*Time!AN25*Inputs!$F$127*Time!AN60*AN17/Inputs!$F$65</f>
        <v>82.7334867214599</v>
      </c>
      <c r="AO18" s="19" t="n">
        <f aca="false">AO13*Inputs!$F$64*Time!AO25*Inputs!$F$127*Time!AO60*AO17/Inputs!$F$65</f>
        <v>86.6123794230533</v>
      </c>
      <c r="AP18" s="19" t="n">
        <f aca="false">AP13*Inputs!$F$64*Time!AP25*Inputs!$F$127*Time!AP60*AP17/Inputs!$F$65</f>
        <v>88.0970285790333</v>
      </c>
      <c r="AQ18" s="19" t="n">
        <f aca="false">AQ13*Inputs!$F$64*Time!AQ25*Inputs!$F$127*Time!AQ60*AQ17/Inputs!$F$65</f>
        <v>92.2323924286869</v>
      </c>
      <c r="AR18" s="19" t="n">
        <f aca="false">AR13*Inputs!$F$64*Time!AR25*Inputs!$F$127*Time!AR60*AR17/Inputs!$F$65</f>
        <v>94.3316818824441</v>
      </c>
      <c r="AS18" s="19" t="n">
        <f aca="false">AS13*Inputs!$F$64*Time!AS25*Inputs!$F$127*Time!AS60*AS17/Inputs!$F$65</f>
        <v>98.219554673839</v>
      </c>
      <c r="AT18" s="19" t="n">
        <f aca="false">AT13*Inputs!$F$64*Time!AT25*Inputs!$F$127*Time!AT60*AT17/Inputs!$F$65</f>
        <v>99.9031659534112</v>
      </c>
      <c r="AU18" s="19" t="n">
        <f aca="false">AU13*Inputs!$F$64*Time!AU25*Inputs!$F$127*Time!AU60*AU17/Inputs!$F$65</f>
        <v>104.595229388798</v>
      </c>
      <c r="AV18" s="19" t="n">
        <f aca="false">AV13*Inputs!$F$64*Time!AV25*Inputs!$F$127*Time!AV60*AV17/Inputs!$F$65</f>
        <v>106.388128049082</v>
      </c>
      <c r="AW18" s="19" t="n">
        <f aca="false">AW13*Inputs!$F$64*Time!AW25*Inputs!$F$127*Time!AW60*AW17/Inputs!$F$65</f>
        <v>110.835916731178</v>
      </c>
      <c r="AX18" s="19" t="n">
        <f aca="false">AX13*Inputs!$F$64*Time!AX25*Inputs!$F$127*Time!AX60*AX17/Inputs!$F$65</f>
        <v>111.536472009212</v>
      </c>
      <c r="AY18" s="19" t="n">
        <f aca="false">AY13*Inputs!$F$64*Time!AY25*Inputs!$F$127*Time!AY60*AY17/Inputs!$F$65</f>
        <v>116.224425948908</v>
      </c>
      <c r="AZ18" s="19" t="n">
        <f aca="false">AZ13*Inputs!$F$64*Time!AZ25*Inputs!$F$127*Time!AZ60*AZ17/Inputs!$F$65</f>
        <v>117.60522266154</v>
      </c>
      <c r="BA18" s="19" t="n">
        <f aca="false">BA13*Inputs!$F$64*Time!BA25*Inputs!$F$127*Time!BA60*BA17/Inputs!$F$65</f>
        <v>121.84979056521</v>
      </c>
      <c r="BB18" s="19" t="n">
        <f aca="false">BB13*Inputs!$F$64*Time!BB25*Inputs!$F$127*Time!BB60*BB17/Inputs!$F$65</f>
        <v>122.619960708837</v>
      </c>
      <c r="BC18" s="19" t="n">
        <f aca="false">BC13*Inputs!$F$64*Time!BC25*Inputs!$F$127*Time!BC60*BC17/Inputs!$F$65</f>
        <v>127.769861925578</v>
      </c>
      <c r="BD18" s="19" t="n">
        <f aca="false">BD13*Inputs!$F$64*Time!BD25*Inputs!$F$127*Time!BD60*BD17/Inputs!$F$65</f>
        <v>128.577450781119</v>
      </c>
      <c r="BE18" s="19" t="n">
        <f aca="false">BE13*Inputs!$F$64*Time!BE25*Inputs!$F$127*Time!BE60*BE17/Inputs!$F$65</f>
        <v>133.997461444297</v>
      </c>
      <c r="BF18" s="19" t="n">
        <f aca="false">BF13*Inputs!$F$64*Time!BF25*Inputs!$F$127*Time!BF60*BF17/Inputs!$F$65</f>
        <v>134.844412790274</v>
      </c>
      <c r="BG18" s="19" t="n">
        <f aca="false">BG13*Inputs!$F$64*Time!BG25*Inputs!$F$127*Time!BG60*BG17/Inputs!$F$65</f>
        <v>140.494918120682</v>
      </c>
      <c r="BH18" s="19" t="n">
        <f aca="false">BH13*Inputs!$F$64*Time!BH25*Inputs!$F$127*Time!BH60*BH17/Inputs!$F$65</f>
        <v>142.164058832703</v>
      </c>
      <c r="BI18" s="19" t="n">
        <f aca="false">BI13*Inputs!$F$64*Time!BI25*Inputs!$F$127*Time!BI60*BI17/Inputs!$F$65</f>
        <v>147.324673801095</v>
      </c>
      <c r="BJ18" s="19" t="n">
        <f aca="false">BJ13*Inputs!$F$64*Time!BJ25*Inputs!$F$127*Time!BJ60*BJ17/Inputs!$F$65</f>
        <v>148.255861820827</v>
      </c>
      <c r="BK18" s="19" t="n">
        <f aca="false">BK13*Inputs!$F$64*Time!BK25*Inputs!$F$127*Time!BK60*BK17/Inputs!$F$65</f>
        <v>154.500976000182</v>
      </c>
      <c r="BL18" s="19" t="n">
        <f aca="false">BL13*Inputs!$F$64*Time!BL25*Inputs!$F$127*Time!BL60*BL17/Inputs!$F$65</f>
        <v>155.477522930009</v>
      </c>
      <c r="BM18" s="19" t="n">
        <f aca="false">BM13*Inputs!$F$64*Time!BM25*Inputs!$F$127*Time!BM60*BM17/Inputs!$F$65</f>
        <v>161.984030177561</v>
      </c>
      <c r="BN18" s="19" t="n">
        <f aca="false">BN13*Inputs!$F$64*Time!BN25*Inputs!$F$127*Time!BN60*BN17/Inputs!$F$65</f>
        <v>163.007874890042</v>
      </c>
      <c r="BO18" s="19" t="n">
        <f aca="false">BO13*Inputs!$F$64*Time!BO25*Inputs!$F$127*Time!BO60*BO17/Inputs!$F$65</f>
        <v>169.841238024105</v>
      </c>
      <c r="BP18" s="19" t="n">
        <f aca="false">BP13*Inputs!$F$64*Time!BP25*Inputs!$F$127*Time!BP60*BP17/Inputs!$F$65</f>
        <v>171.859025775848</v>
      </c>
      <c r="BQ18" s="19" t="n">
        <f aca="false">BQ13*Inputs!$F$64*Time!BQ25*Inputs!$F$127*Time!BQ60*BQ17/Inputs!$F$65</f>
        <v>178.088420349382</v>
      </c>
      <c r="BR18" s="19" t="n">
        <f aca="false">BR13*Inputs!$F$64*Time!BR25*Inputs!$F$127*Time!BR60*BR17/Inputs!$F$65</f>
        <v>177.28702245781</v>
      </c>
      <c r="BS18" s="19" t="n">
        <f aca="false">BS13*Inputs!$F$64*Time!BS25*Inputs!$F$127*Time!BS60*BS17/Inputs!$F$65</f>
        <v>184.734008509899</v>
      </c>
      <c r="BT18" s="19" t="n">
        <f aca="false">BT13*Inputs!$F$64*Time!BT25*Inputs!$F$127*Time!BT60*BT17/Inputs!$F$65</f>
        <v>183.902705471604</v>
      </c>
      <c r="BU18" s="19" t="n">
        <f aca="false">BU13*Inputs!$F$64*Time!BU25*Inputs!$F$127*Time!BU60*BU17/Inputs!$F$65</f>
        <v>191.630436552243</v>
      </c>
      <c r="BV18" s="19" t="n">
        <f aca="false">BV13*Inputs!$F$64*Time!BV25*Inputs!$F$127*Time!BV60*BV17/Inputs!$F$65</f>
        <v>190.768099587758</v>
      </c>
      <c r="BW18" s="19" t="n">
        <f aca="false">BW13*Inputs!$F$64*Time!BW25*Inputs!$F$127*Time!BW60*BW17/Inputs!$F$65</f>
        <v>198.784171554866</v>
      </c>
      <c r="BX18" s="19" t="n">
        <f aca="false">BX13*Inputs!$F$64*Time!BX25*Inputs!$F$127*Time!BX60*BX17/Inputs!$F$65</f>
        <v>198.982955726421</v>
      </c>
      <c r="BY18" s="19" t="n">
        <f aca="false">BY13*Inputs!$F$64*Time!BY25*Inputs!$F$127*Time!BY60*BY17/Inputs!$F$65</f>
        <v>206.20181653179</v>
      </c>
      <c r="BZ18" s="19" t="n">
        <f aca="false">BZ13*Inputs!$F$64*Time!BZ25*Inputs!$F$127*Time!BZ60*BZ17/Inputs!$F$65</f>
        <v>205.273908357397</v>
      </c>
      <c r="CA18" s="19" t="n">
        <f aca="false">CA13*Inputs!$F$64*Time!CA25*Inputs!$F$127*Time!CA60*CA17/Inputs!$F$65</f>
        <v>213.890112965963</v>
      </c>
      <c r="CB18" s="19" t="n">
        <f aca="false">CB13*Inputs!$F$64*Time!CB25*Inputs!$F$127*Time!CB60*CB17/Inputs!$F$65</f>
        <v>212.927607457617</v>
      </c>
      <c r="CC18" s="19" t="n">
        <f aca="false">CC13*Inputs!$F$64*Time!CC25*Inputs!$F$127*Time!CC60*CC17/Inputs!$F$65</f>
        <v>221.855943386265</v>
      </c>
      <c r="CD18" s="19" t="n">
        <f aca="false">CD13*Inputs!$F$64*Time!CD25*Inputs!$F$127*Time!CD60*CD17/Inputs!$F$65</f>
        <v>220.857591641027</v>
      </c>
      <c r="CE18" s="19" t="n">
        <f aca="false">CE13*Inputs!$F$64*Time!CE25*Inputs!$F$127*Time!CE60*CE17/Inputs!$F$65</f>
        <v>230.106333988875</v>
      </c>
      <c r="CF18" s="19" t="n">
        <f aca="false">CF13*Inputs!$F$64*Time!CF25*Inputs!$F$127*Time!CF60*CF17/Inputs!$F$65</f>
        <v>230.336440322864</v>
      </c>
      <c r="CG18" s="19" t="n">
        <f aca="false">CG13*Inputs!$F$64*Time!CG25*Inputs!$F$127*Time!CG60*CG17/Inputs!$F$65</f>
        <v>238.711292600545</v>
      </c>
      <c r="CH18" s="19" t="n">
        <f aca="false">CH13*Inputs!$F$64*Time!CH25*Inputs!$F$127*Time!CH60*CH17/Inputs!$F$65</f>
        <v>237.637091783843</v>
      </c>
      <c r="CI18" s="19" t="n">
        <f aca="false">CI13*Inputs!$F$64*Time!CI25*Inputs!$F$127*Time!CI60*CI17/Inputs!$F$65</f>
        <v>247.616813547555</v>
      </c>
      <c r="CJ18" s="19" t="n">
        <f aca="false">CJ13*Inputs!$F$64*Time!CJ25*Inputs!$F$127*Time!CJ60*CJ17/Inputs!$F$65</f>
        <v>246.502537886591</v>
      </c>
      <c r="CK18" s="19" t="n">
        <f aca="false">CK13*Inputs!$F$64*Time!CK25*Inputs!$F$127*Time!CK60*CK17/Inputs!$F$65</f>
        <v>256.830397355601</v>
      </c>
      <c r="CL18" s="19" t="n">
        <f aca="false">CL13*Inputs!$F$64*Time!CL25*Inputs!$F$127*Time!CL60*CL17/Inputs!$F$65</f>
        <v>255.674660567501</v>
      </c>
      <c r="CM18" s="19" t="n">
        <f aca="false">CM13*Inputs!$F$64*Time!CM25*Inputs!$F$127*Time!CM60*CM17/Inputs!$F$65</f>
        <v>266.424824216674</v>
      </c>
      <c r="CN18" s="19" t="n">
        <f aca="false">CN13*Inputs!$F$64*Time!CN25*Inputs!$F$127*Time!CN60*CN17/Inputs!$F$65</f>
        <v>266.691249040891</v>
      </c>
      <c r="CO18" s="19" t="n">
        <f aca="false">CO13*Inputs!$F$64*Time!CO25*Inputs!$F$127*Time!CO60*CO17/Inputs!$F$65</f>
        <v>276.344345977952</v>
      </c>
      <c r="CP18" s="19" t="n">
        <f aca="false">CP13*Inputs!$F$64*Time!CP25*Inputs!$F$127*Time!CP60*CP17/Inputs!$F$65</f>
        <v>221.904509820295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184.744226618999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0.385153336113961</v>
      </c>
      <c r="AA19" s="19" t="n">
        <f aca="false">AA18*Inputs!$F$128</f>
        <v>0.802356975121121</v>
      </c>
      <c r="AB19" s="19" t="n">
        <f aca="false">AB18*Inputs!$F$128</f>
        <v>0.92319673227367</v>
      </c>
      <c r="AC19" s="19" t="n">
        <f aca="false">AC18*Inputs!$F$128</f>
        <v>0.961305071162336</v>
      </c>
      <c r="AD19" s="19" t="n">
        <f aca="false">AD18*Inputs!$F$128</f>
        <v>1.04296863355545</v>
      </c>
      <c r="AE19" s="19" t="n">
        <f aca="false">AE18*Inputs!$F$128</f>
        <v>1.09226092095318</v>
      </c>
      <c r="AF19" s="19" t="n">
        <f aca="false">AF18*Inputs!$F$128</f>
        <v>1.15727468523591</v>
      </c>
      <c r="AG19" s="19" t="n">
        <f aca="false">AG18*Inputs!$F$128</f>
        <v>1.21155541447421</v>
      </c>
      <c r="AH19" s="19" t="n">
        <f aca="false">AH18*Inputs!$F$128</f>
        <v>1.23232305456797</v>
      </c>
      <c r="AI19" s="19" t="n">
        <f aca="false">AI18*Inputs!$F$128</f>
        <v>1.29033722837329</v>
      </c>
      <c r="AJ19" s="19" t="n">
        <f aca="false">AJ18*Inputs!$F$128</f>
        <v>1.31970642572344</v>
      </c>
      <c r="AK19" s="19" t="n">
        <f aca="false">AK18*Inputs!$F$128</f>
        <v>1.37441588733149</v>
      </c>
      <c r="AL19" s="19" t="n">
        <f aca="false">AL18*Inputs!$F$128</f>
        <v>1.39797516835673</v>
      </c>
      <c r="AM19" s="19" t="n">
        <f aca="false">AM18*Inputs!$F$128</f>
        <v>1.46410607318826</v>
      </c>
      <c r="AN19" s="19" t="n">
        <f aca="false">AN18*Inputs!$F$128</f>
        <v>1.48920276098628</v>
      </c>
      <c r="AO19" s="19" t="n">
        <f aca="false">AO18*Inputs!$F$128</f>
        <v>1.55902282961496</v>
      </c>
      <c r="AP19" s="19" t="n">
        <f aca="false">AP18*Inputs!$F$128</f>
        <v>1.5857465144226</v>
      </c>
      <c r="AQ19" s="19" t="n">
        <f aca="false">AQ18*Inputs!$F$128</f>
        <v>1.66018306371636</v>
      </c>
      <c r="AR19" s="19" t="n">
        <f aca="false">AR18*Inputs!$F$128</f>
        <v>1.69797027388399</v>
      </c>
      <c r="AS19" s="19" t="n">
        <f aca="false">AS18*Inputs!$F$128</f>
        <v>1.7679519841291</v>
      </c>
      <c r="AT19" s="19" t="n">
        <f aca="false">AT18*Inputs!$F$128</f>
        <v>1.7982569871614</v>
      </c>
      <c r="AU19" s="19" t="n">
        <f aca="false">AU18*Inputs!$F$128</f>
        <v>1.88271412899836</v>
      </c>
      <c r="AV19" s="19" t="n">
        <f aca="false">AV18*Inputs!$F$128</f>
        <v>1.91498630488348</v>
      </c>
      <c r="AW19" s="19" t="n">
        <f aca="false">AW18*Inputs!$F$128</f>
        <v>1.9950465011612</v>
      </c>
      <c r="AX19" s="19" t="n">
        <f aca="false">AX18*Inputs!$F$128</f>
        <v>2.00765649616582</v>
      </c>
      <c r="AY19" s="19" t="n">
        <f aca="false">AY18*Inputs!$F$128</f>
        <v>2.09203966708034</v>
      </c>
      <c r="AZ19" s="19" t="n">
        <f aca="false">AZ18*Inputs!$F$128</f>
        <v>2.11689400790772</v>
      </c>
      <c r="BA19" s="19" t="n">
        <f aca="false">BA18*Inputs!$F$128</f>
        <v>2.19329623017378</v>
      </c>
      <c r="BB19" s="19" t="n">
        <f aca="false">BB18*Inputs!$F$128</f>
        <v>2.20715929275906</v>
      </c>
      <c r="BC19" s="19" t="n">
        <f aca="false">BC18*Inputs!$F$128</f>
        <v>2.29985751466041</v>
      </c>
      <c r="BD19" s="19" t="n">
        <f aca="false">BD18*Inputs!$F$128</f>
        <v>2.31439411406013</v>
      </c>
      <c r="BE19" s="19" t="n">
        <f aca="false">BE18*Inputs!$F$128</f>
        <v>2.41195430599734</v>
      </c>
      <c r="BF19" s="19" t="n">
        <f aca="false">BF18*Inputs!$F$128</f>
        <v>2.42719943022493</v>
      </c>
      <c r="BG19" s="19" t="n">
        <f aca="false">BG18*Inputs!$F$128</f>
        <v>2.52890852617227</v>
      </c>
      <c r="BH19" s="19" t="n">
        <f aca="false">BH18*Inputs!$F$128</f>
        <v>2.55895305898865</v>
      </c>
      <c r="BI19" s="19" t="n">
        <f aca="false">BI18*Inputs!$F$128</f>
        <v>2.65184412841971</v>
      </c>
      <c r="BJ19" s="19" t="n">
        <f aca="false">BJ18*Inputs!$F$128</f>
        <v>2.66860551277488</v>
      </c>
      <c r="BK19" s="19" t="n">
        <f aca="false">BK18*Inputs!$F$128</f>
        <v>2.78101756800327</v>
      </c>
      <c r="BL19" s="19" t="n">
        <f aca="false">BL18*Inputs!$F$128</f>
        <v>2.79859541274017</v>
      </c>
      <c r="BM19" s="19" t="n">
        <f aca="false">BM18*Inputs!$F$128</f>
        <v>2.9157125431961</v>
      </c>
      <c r="BN19" s="19" t="n">
        <f aca="false">BN18*Inputs!$F$128</f>
        <v>2.93414174802075</v>
      </c>
      <c r="BO19" s="19" t="n">
        <f aca="false">BO18*Inputs!$F$128</f>
        <v>3.05714228443389</v>
      </c>
      <c r="BP19" s="19" t="n">
        <f aca="false">BP18*Inputs!$F$128</f>
        <v>3.09346246396526</v>
      </c>
      <c r="BQ19" s="19" t="n">
        <f aca="false">BQ18*Inputs!$F$128</f>
        <v>3.20559156628888</v>
      </c>
      <c r="BR19" s="19" t="n">
        <f aca="false">BR18*Inputs!$F$128</f>
        <v>3.19116640424058</v>
      </c>
      <c r="BS19" s="19" t="n">
        <f aca="false">BS18*Inputs!$F$128</f>
        <v>3.32521215317818</v>
      </c>
      <c r="BT19" s="19" t="n">
        <f aca="false">BT18*Inputs!$F$128</f>
        <v>3.31024869848888</v>
      </c>
      <c r="BU19" s="19" t="n">
        <f aca="false">BU18*Inputs!$F$128</f>
        <v>3.44934785794038</v>
      </c>
      <c r="BV19" s="19" t="n">
        <f aca="false">BV18*Inputs!$F$128</f>
        <v>3.43382579257965</v>
      </c>
      <c r="BW19" s="19" t="n">
        <f aca="false">BW18*Inputs!$F$128</f>
        <v>3.57811508798759</v>
      </c>
      <c r="BX19" s="19" t="n">
        <f aca="false">BX18*Inputs!$F$128</f>
        <v>3.58169320307558</v>
      </c>
      <c r="BY19" s="19" t="n">
        <f aca="false">BY18*Inputs!$F$128</f>
        <v>3.71163269757223</v>
      </c>
      <c r="BZ19" s="19" t="n">
        <f aca="false">BZ18*Inputs!$F$128</f>
        <v>3.69493035043315</v>
      </c>
      <c r="CA19" s="19" t="n">
        <f aca="false">CA18*Inputs!$F$128</f>
        <v>3.85002203338734</v>
      </c>
      <c r="CB19" s="19" t="n">
        <f aca="false">CB18*Inputs!$F$128</f>
        <v>3.8326969342371</v>
      </c>
      <c r="CC19" s="19" t="n">
        <f aca="false">CC18*Inputs!$F$128</f>
        <v>3.99340698095277</v>
      </c>
      <c r="CD19" s="19" t="n">
        <f aca="false">CD18*Inputs!$F$128</f>
        <v>3.97543664953848</v>
      </c>
      <c r="CE19" s="19" t="n">
        <f aca="false">CE18*Inputs!$F$128</f>
        <v>4.14191401179975</v>
      </c>
      <c r="CF19" s="19" t="n">
        <f aca="false">CF18*Inputs!$F$128</f>
        <v>4.14605592581155</v>
      </c>
      <c r="CG19" s="19" t="n">
        <f aca="false">CG18*Inputs!$F$128</f>
        <v>4.29680326680982</v>
      </c>
      <c r="CH19" s="19" t="n">
        <f aca="false">CH18*Inputs!$F$128</f>
        <v>4.27746765210917</v>
      </c>
      <c r="CI19" s="19" t="n">
        <f aca="false">CI18*Inputs!$F$128</f>
        <v>4.45710264385599</v>
      </c>
      <c r="CJ19" s="19" t="n">
        <f aca="false">CJ18*Inputs!$F$128</f>
        <v>4.43704568195864</v>
      </c>
      <c r="CK19" s="19" t="n">
        <f aca="false">CK18*Inputs!$F$128</f>
        <v>4.62294715240083</v>
      </c>
      <c r="CL19" s="19" t="n">
        <f aca="false">CL18*Inputs!$F$128</f>
        <v>4.60214389021502</v>
      </c>
      <c r="CM19" s="19" t="n">
        <f aca="false">CM18*Inputs!$F$128</f>
        <v>4.79564683590013</v>
      </c>
      <c r="CN19" s="19" t="n">
        <f aca="false">CN18*Inputs!$F$128</f>
        <v>4.80044248273604</v>
      </c>
      <c r="CO19" s="19" t="n">
        <f aca="false">CO18*Inputs!$F$128</f>
        <v>4.97419822760313</v>
      </c>
      <c r="CP19" s="19" t="n">
        <f aca="false">CP18*Inputs!$F$128</f>
        <v>3.99428117676532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10078.823918881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21.0122542257728</v>
      </c>
      <c r="AA20" s="19" t="n">
        <f aca="false">AA18-AA19</f>
        <v>43.7730305316078</v>
      </c>
      <c r="AB20" s="19" t="n">
        <f aca="false">AB18-AB19</f>
        <v>50.3655106162636</v>
      </c>
      <c r="AC20" s="19" t="n">
        <f aca="false">AC18-AC19</f>
        <v>52.4445322156341</v>
      </c>
      <c r="AD20" s="19" t="n">
        <f aca="false">AD18-AD19</f>
        <v>56.8997332306364</v>
      </c>
      <c r="AE20" s="19" t="n">
        <f aca="false">AE18-AE19</f>
        <v>59.5889013542232</v>
      </c>
      <c r="AF20" s="19" t="n">
        <f aca="false">AF18-AF19</f>
        <v>63.1357633834256</v>
      </c>
      <c r="AG20" s="19" t="n">
        <f aca="false">AG18-AG19</f>
        <v>66.097078722982</v>
      </c>
      <c r="AH20" s="19" t="n">
        <f aca="false">AH18-AH19</f>
        <v>67.2300688658749</v>
      </c>
      <c r="AI20" s="19" t="n">
        <f aca="false">AI18-AI19</f>
        <v>70.3950643479207</v>
      </c>
      <c r="AJ20" s="19" t="n">
        <f aca="false">AJ18-AJ19</f>
        <v>71.9973172255788</v>
      </c>
      <c r="AK20" s="19" t="n">
        <f aca="false">AK18-AK19</f>
        <v>74.9820222977515</v>
      </c>
      <c r="AL20" s="19" t="n">
        <f aca="false">AL18-AL19</f>
        <v>76.2673119625728</v>
      </c>
      <c r="AM20" s="19" t="n">
        <f aca="false">AM18-AM19</f>
        <v>79.8751202150483</v>
      </c>
      <c r="AN20" s="19" t="n">
        <f aca="false">AN18-AN19</f>
        <v>81.2442839604737</v>
      </c>
      <c r="AO20" s="19" t="n">
        <f aca="false">AO18-AO19</f>
        <v>85.0533565934383</v>
      </c>
      <c r="AP20" s="19" t="n">
        <f aca="false">AP18-AP19</f>
        <v>86.5112820646107</v>
      </c>
      <c r="AQ20" s="19" t="n">
        <f aca="false">AQ18-AQ19</f>
        <v>90.5722093649705</v>
      </c>
      <c r="AR20" s="19" t="n">
        <f aca="false">AR18-AR19</f>
        <v>92.6337116085602</v>
      </c>
      <c r="AS20" s="19" t="n">
        <f aca="false">AS18-AS19</f>
        <v>96.4516026897099</v>
      </c>
      <c r="AT20" s="19" t="n">
        <f aca="false">AT18-AT19</f>
        <v>98.1049089662498</v>
      </c>
      <c r="AU20" s="19" t="n">
        <f aca="false">AU18-AU19</f>
        <v>102.7125152598</v>
      </c>
      <c r="AV20" s="19" t="n">
        <f aca="false">AV18-AV19</f>
        <v>104.473141744199</v>
      </c>
      <c r="AW20" s="19" t="n">
        <f aca="false">AW18-AW19</f>
        <v>108.840870230017</v>
      </c>
      <c r="AX20" s="19" t="n">
        <f aca="false">AX18-AX19</f>
        <v>109.528815513047</v>
      </c>
      <c r="AY20" s="19" t="n">
        <f aca="false">AY18-AY19</f>
        <v>114.132386281827</v>
      </c>
      <c r="AZ20" s="19" t="n">
        <f aca="false">AZ18-AZ19</f>
        <v>115.488328653632</v>
      </c>
      <c r="BA20" s="19" t="n">
        <f aca="false">BA18-BA19</f>
        <v>119.656494335036</v>
      </c>
      <c r="BB20" s="19" t="n">
        <f aca="false">BB18-BB19</f>
        <v>120.412801416078</v>
      </c>
      <c r="BC20" s="19" t="n">
        <f aca="false">BC18-BC19</f>
        <v>125.470004410918</v>
      </c>
      <c r="BD20" s="19" t="n">
        <f aca="false">BD18-BD19</f>
        <v>126.263056667058</v>
      </c>
      <c r="BE20" s="19" t="n">
        <f aca="false">BE18-BE19</f>
        <v>131.5855071383</v>
      </c>
      <c r="BF20" s="19" t="n">
        <f aca="false">BF18-BF19</f>
        <v>132.417213360049</v>
      </c>
      <c r="BG20" s="19" t="n">
        <f aca="false">BG18-BG19</f>
        <v>137.96600959451</v>
      </c>
      <c r="BH20" s="19" t="n">
        <f aca="false">BH18-BH19</f>
        <v>139.605105773714</v>
      </c>
      <c r="BI20" s="19" t="n">
        <f aca="false">BI18-BI19</f>
        <v>144.672829672675</v>
      </c>
      <c r="BJ20" s="19" t="n">
        <f aca="false">BJ18-BJ19</f>
        <v>145.587256308052</v>
      </c>
      <c r="BK20" s="19" t="n">
        <f aca="false">BK18-BK19</f>
        <v>151.719958432179</v>
      </c>
      <c r="BL20" s="19" t="n">
        <f aca="false">BL18-BL19</f>
        <v>152.678927517269</v>
      </c>
      <c r="BM20" s="19" t="n">
        <f aca="false">BM18-BM19</f>
        <v>159.068317634365</v>
      </c>
      <c r="BN20" s="19" t="n">
        <f aca="false">BN18-BN19</f>
        <v>160.073733142021</v>
      </c>
      <c r="BO20" s="19" t="n">
        <f aca="false">BO18-BO19</f>
        <v>166.784095739671</v>
      </c>
      <c r="BP20" s="19" t="n">
        <f aca="false">BP18-BP19</f>
        <v>168.765563311883</v>
      </c>
      <c r="BQ20" s="19" t="n">
        <f aca="false">BQ18-BQ19</f>
        <v>174.882828783093</v>
      </c>
      <c r="BR20" s="19" t="n">
        <f aca="false">BR18-BR19</f>
        <v>174.095856053569</v>
      </c>
      <c r="BS20" s="19" t="n">
        <f aca="false">BS18-BS19</f>
        <v>181.408796356721</v>
      </c>
      <c r="BT20" s="19" t="n">
        <f aca="false">BT18-BT19</f>
        <v>180.592456773115</v>
      </c>
      <c r="BU20" s="19" t="n">
        <f aca="false">BU18-BU19</f>
        <v>188.181088694303</v>
      </c>
      <c r="BV20" s="19" t="n">
        <f aca="false">BV18-BV19</f>
        <v>187.334273795179</v>
      </c>
      <c r="BW20" s="19" t="n">
        <f aca="false">BW18-BW19</f>
        <v>195.206056466879</v>
      </c>
      <c r="BX20" s="19" t="n">
        <f aca="false">BX18-BX19</f>
        <v>195.401262523346</v>
      </c>
      <c r="BY20" s="19" t="n">
        <f aca="false">BY18-BY19</f>
        <v>202.490183834218</v>
      </c>
      <c r="BZ20" s="19" t="n">
        <f aca="false">BZ18-BZ19</f>
        <v>201.578978006964</v>
      </c>
      <c r="CA20" s="19" t="n">
        <f aca="false">CA18-CA19</f>
        <v>210.040090932576</v>
      </c>
      <c r="CB20" s="19" t="n">
        <f aca="false">CB18-CB19</f>
        <v>209.09491052338</v>
      </c>
      <c r="CC20" s="19" t="n">
        <f aca="false">CC18-CC19</f>
        <v>217.862536405312</v>
      </c>
      <c r="CD20" s="19" t="n">
        <f aca="false">CD18-CD19</f>
        <v>216.882154991488</v>
      </c>
      <c r="CE20" s="19" t="n">
        <f aca="false">CE18-CE19</f>
        <v>225.964419977075</v>
      </c>
      <c r="CF20" s="19" t="n">
        <f aca="false">CF18-CF19</f>
        <v>226.190384397052</v>
      </c>
      <c r="CG20" s="19" t="n">
        <f aca="false">CG18-CG19</f>
        <v>234.414489333736</v>
      </c>
      <c r="CH20" s="19" t="n">
        <f aca="false">CH18-CH19</f>
        <v>233.359624131734</v>
      </c>
      <c r="CI20" s="19" t="n">
        <f aca="false">CI18-CI19</f>
        <v>243.159710903699</v>
      </c>
      <c r="CJ20" s="19" t="n">
        <f aca="false">CJ18-CJ19</f>
        <v>242.065492204632</v>
      </c>
      <c r="CK20" s="19" t="n">
        <f aca="false">CK18-CK19</f>
        <v>252.207450203201</v>
      </c>
      <c r="CL20" s="19" t="n">
        <f aca="false">CL18-CL19</f>
        <v>251.072516677286</v>
      </c>
      <c r="CM20" s="19" t="n">
        <f aca="false">CM18-CM19</f>
        <v>261.629177380774</v>
      </c>
      <c r="CN20" s="19" t="n">
        <f aca="false">CN18-CN19</f>
        <v>261.890806558155</v>
      </c>
      <c r="CO20" s="19" t="n">
        <f aca="false">CO18-CO19</f>
        <v>271.370147750349</v>
      </c>
      <c r="CP20" s="19" t="n">
        <f aca="false">CP18-CP19</f>
        <v>217.91022864353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624.88708297062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1.30275976199791</v>
      </c>
      <c r="AA26" s="19" t="n">
        <f aca="false">Inputs!$F$143*AA20*Inputs!$F$221</f>
        <v>2.71392789295969</v>
      </c>
      <c r="AB26" s="19" t="n">
        <f aca="false">Inputs!$F$143*AB20*Inputs!$F$221</f>
        <v>3.12266165820834</v>
      </c>
      <c r="AC26" s="19" t="n">
        <f aca="false">Inputs!$F$143*AC20*Inputs!$F$221</f>
        <v>3.25156099736931</v>
      </c>
      <c r="AD26" s="19" t="n">
        <f aca="false">Inputs!$F$143*AD20*Inputs!$F$221</f>
        <v>3.52778346029946</v>
      </c>
      <c r="AE26" s="19" t="n">
        <f aca="false">Inputs!$F$143*AE20*Inputs!$F$221</f>
        <v>3.69451188396184</v>
      </c>
      <c r="AF26" s="19" t="n">
        <f aca="false">Inputs!$F$143*AF20*Inputs!$F$221</f>
        <v>3.91441732977239</v>
      </c>
      <c r="AG26" s="19" t="n">
        <f aca="false">Inputs!$F$143*AG20*Inputs!$F$221</f>
        <v>4.09801888082489</v>
      </c>
      <c r="AH26" s="19" t="n">
        <f aca="false">Inputs!$F$143*AH20*Inputs!$F$221</f>
        <v>4.16826426968424</v>
      </c>
      <c r="AI26" s="19" t="n">
        <f aca="false">Inputs!$F$143*AI20*Inputs!$F$221</f>
        <v>4.36449398957109</v>
      </c>
      <c r="AJ26" s="19" t="n">
        <f aca="false">Inputs!$F$143*AJ20*Inputs!$F$221</f>
        <v>4.46383366798589</v>
      </c>
      <c r="AK26" s="19" t="n">
        <f aca="false">Inputs!$F$143*AK20*Inputs!$F$221</f>
        <v>4.6488853824606</v>
      </c>
      <c r="AL26" s="19" t="n">
        <f aca="false">Inputs!$F$143*AL20*Inputs!$F$221</f>
        <v>4.72857334167951</v>
      </c>
      <c r="AM26" s="19" t="n">
        <f aca="false">Inputs!$F$143*AM20*Inputs!$F$221</f>
        <v>4.952257453333</v>
      </c>
      <c r="AN26" s="19" t="n">
        <f aca="false">Inputs!$F$143*AN20*Inputs!$F$221</f>
        <v>5.03714560554937</v>
      </c>
      <c r="AO26" s="19" t="n">
        <f aca="false">Inputs!$F$143*AO20*Inputs!$F$221</f>
        <v>5.27330810879318</v>
      </c>
      <c r="AP26" s="19" t="n">
        <f aca="false">Inputs!$F$143*AP20*Inputs!$F$221</f>
        <v>5.36369948800586</v>
      </c>
      <c r="AQ26" s="19" t="n">
        <f aca="false">Inputs!$F$143*AQ20*Inputs!$F$221</f>
        <v>5.61547698062817</v>
      </c>
      <c r="AR26" s="19" t="n">
        <f aca="false">Inputs!$F$143*AR20*Inputs!$F$221</f>
        <v>5.74329011973073</v>
      </c>
      <c r="AS26" s="19" t="n">
        <f aca="false">Inputs!$F$143*AS20*Inputs!$F$221</f>
        <v>5.97999936676202</v>
      </c>
      <c r="AT26" s="19" t="n">
        <f aca="false">Inputs!$F$143*AT20*Inputs!$F$221</f>
        <v>6.08250435590749</v>
      </c>
      <c r="AU26" s="19" t="n">
        <f aca="false">Inputs!$F$143*AU20*Inputs!$F$221</f>
        <v>6.36817594610757</v>
      </c>
      <c r="AV26" s="19" t="n">
        <f aca="false">Inputs!$F$143*AV20*Inputs!$F$221</f>
        <v>6.47733478814031</v>
      </c>
      <c r="AW26" s="19" t="n">
        <f aca="false">Inputs!$F$143*AW20*Inputs!$F$221</f>
        <v>6.74813395426103</v>
      </c>
      <c r="AX26" s="19" t="n">
        <f aca="false">Inputs!$F$143*AX20*Inputs!$F$221</f>
        <v>6.79078656180888</v>
      </c>
      <c r="AY26" s="19" t="n">
        <f aca="false">Inputs!$F$143*AY20*Inputs!$F$221</f>
        <v>7.07620794947329</v>
      </c>
      <c r="AZ26" s="19" t="n">
        <f aca="false">Inputs!$F$143*AZ20*Inputs!$F$221</f>
        <v>7.16027637652519</v>
      </c>
      <c r="BA26" s="19" t="n">
        <f aca="false">Inputs!$F$143*BA20*Inputs!$F$221</f>
        <v>7.41870264877225</v>
      </c>
      <c r="BB26" s="19" t="n">
        <f aca="false">Inputs!$F$143*BB20*Inputs!$F$221</f>
        <v>7.46559368779683</v>
      </c>
      <c r="BC26" s="19" t="n">
        <f aca="false">Inputs!$F$143*BC20*Inputs!$F$221</f>
        <v>7.7791402734769</v>
      </c>
      <c r="BD26" s="19" t="n">
        <f aca="false">Inputs!$F$143*BD20*Inputs!$F$221</f>
        <v>7.82830951335763</v>
      </c>
      <c r="BE26" s="19" t="n">
        <f aca="false">Inputs!$F$143*BE20*Inputs!$F$221</f>
        <v>8.15830144257457</v>
      </c>
      <c r="BF26" s="19" t="n">
        <f aca="false">Inputs!$F$143*BF20*Inputs!$F$221</f>
        <v>8.20986722832302</v>
      </c>
      <c r="BG26" s="19" t="n">
        <f aca="false">Inputs!$F$143*BG20*Inputs!$F$221</f>
        <v>8.55389259485959</v>
      </c>
      <c r="BH26" s="19" t="n">
        <f aca="false">Inputs!$F$143*BH20*Inputs!$F$221</f>
        <v>8.65551655797026</v>
      </c>
      <c r="BI26" s="19" t="n">
        <f aca="false">Inputs!$F$143*BI20*Inputs!$F$221</f>
        <v>8.96971543970586</v>
      </c>
      <c r="BJ26" s="19" t="n">
        <f aca="false">Inputs!$F$143*BJ20*Inputs!$F$221</f>
        <v>9.02640989109922</v>
      </c>
      <c r="BK26" s="19" t="n">
        <f aca="false">Inputs!$F$143*BK20*Inputs!$F$221</f>
        <v>9.40663742279508</v>
      </c>
      <c r="BL26" s="19" t="n">
        <f aca="false">Inputs!$F$143*BL20*Inputs!$F$221</f>
        <v>9.46609350607068</v>
      </c>
      <c r="BM26" s="19" t="n">
        <f aca="false">Inputs!$F$143*BM20*Inputs!$F$221</f>
        <v>9.86223569333062</v>
      </c>
      <c r="BN26" s="19" t="n">
        <f aca="false">Inputs!$F$143*BN20*Inputs!$F$221</f>
        <v>9.92457145480531</v>
      </c>
      <c r="BO26" s="19" t="n">
        <f aca="false">Inputs!$F$143*BO20*Inputs!$F$221</f>
        <v>10.3406139358596</v>
      </c>
      <c r="BP26" s="19" t="n">
        <f aca="false">Inputs!$F$143*BP20*Inputs!$F$221</f>
        <v>10.4634649253367</v>
      </c>
      <c r="BQ26" s="19" t="n">
        <f aca="false">Inputs!$F$143*BQ20*Inputs!$F$221</f>
        <v>10.8427353845518</v>
      </c>
      <c r="BR26" s="19" t="n">
        <f aca="false">Inputs!$F$143*BR20*Inputs!$F$221</f>
        <v>10.7939430753213</v>
      </c>
      <c r="BS26" s="19" t="n">
        <f aca="false">Inputs!$F$143*BS20*Inputs!$F$221</f>
        <v>11.2473453741167</v>
      </c>
      <c r="BT26" s="19" t="n">
        <f aca="false">Inputs!$F$143*BT20*Inputs!$F$221</f>
        <v>11.1967323199332</v>
      </c>
      <c r="BU26" s="19" t="n">
        <f aca="false">Inputs!$F$143*BU20*Inputs!$F$221</f>
        <v>11.6672274990468</v>
      </c>
      <c r="BV26" s="19" t="n">
        <f aca="false">Inputs!$F$143*BV20*Inputs!$F$221</f>
        <v>11.6147249753011</v>
      </c>
      <c r="BW26" s="19" t="n">
        <f aca="false">Inputs!$F$143*BW20*Inputs!$F$221</f>
        <v>12.1027755009465</v>
      </c>
      <c r="BX26" s="19" t="n">
        <f aca="false">Inputs!$F$143*BX20*Inputs!$F$221</f>
        <v>12.1148782764474</v>
      </c>
      <c r="BY26" s="19" t="n">
        <f aca="false">Inputs!$F$143*BY20*Inputs!$F$221</f>
        <v>12.5543913977215</v>
      </c>
      <c r="BZ26" s="19" t="n">
        <f aca="false">Inputs!$F$143*BZ20*Inputs!$F$221</f>
        <v>12.4978966364318</v>
      </c>
      <c r="CA26" s="19" t="n">
        <f aca="false">Inputs!$F$143*CA20*Inputs!$F$221</f>
        <v>13.0224856378197</v>
      </c>
      <c r="CB26" s="19" t="n">
        <f aca="false">Inputs!$F$143*CB20*Inputs!$F$221</f>
        <v>12.9638844524495</v>
      </c>
      <c r="CC26" s="19" t="n">
        <f aca="false">Inputs!$F$143*CC20*Inputs!$F$221</f>
        <v>13.5074772571294</v>
      </c>
      <c r="CD26" s="19" t="n">
        <f aca="false">Inputs!$F$143*CD20*Inputs!$F$221</f>
        <v>13.4466936094723</v>
      </c>
      <c r="CE26" s="19" t="n">
        <f aca="false">Inputs!$F$143*CE20*Inputs!$F$221</f>
        <v>14.0097940385787</v>
      </c>
      <c r="CF26" s="19" t="n">
        <f aca="false">Inputs!$F$143*CF20*Inputs!$F$221</f>
        <v>14.0238038326172</v>
      </c>
      <c r="CG26" s="19" t="n">
        <f aca="false">Inputs!$F$143*CG20*Inputs!$F$221</f>
        <v>14.5336983386916</v>
      </c>
      <c r="CH26" s="19" t="n">
        <f aca="false">Inputs!$F$143*CH20*Inputs!$F$221</f>
        <v>14.4682966961675</v>
      </c>
      <c r="CI26" s="19" t="n">
        <f aca="false">Inputs!$F$143*CI20*Inputs!$F$221</f>
        <v>15.0759020760293</v>
      </c>
      <c r="CJ26" s="19" t="n">
        <f aca="false">Inputs!$F$143*CJ20*Inputs!$F$221</f>
        <v>15.0080605166872</v>
      </c>
      <c r="CK26" s="19" t="n">
        <f aca="false">Inputs!$F$143*CK20*Inputs!$F$221</f>
        <v>15.6368619125984</v>
      </c>
      <c r="CL26" s="19" t="n">
        <f aca="false">Inputs!$F$143*CL20*Inputs!$F$221</f>
        <v>15.5664960339917</v>
      </c>
      <c r="CM26" s="19" t="n">
        <f aca="false">Inputs!$F$143*CM20*Inputs!$F$221</f>
        <v>16.221008997608</v>
      </c>
      <c r="CN26" s="19" t="n">
        <f aca="false">Inputs!$F$143*CN20*Inputs!$F$221</f>
        <v>16.2372300066056</v>
      </c>
      <c r="CO26" s="19" t="n">
        <f aca="false">Inputs!$F$143*CO20*Inputs!$F$221</f>
        <v>16.8249491605216</v>
      </c>
      <c r="CP26" s="19" t="n">
        <f aca="false">Inputs!$F$143*CP20*Inputs!$F$221</f>
        <v>13.5104341758989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1805.77224241185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6.82321532177959</v>
      </c>
      <c r="AA29" s="19" t="n">
        <f aca="false">AA24+AA25+AA26+AA27+AA28</f>
        <v>13.8761677061446</v>
      </c>
      <c r="AB29" s="19" t="n">
        <f aca="false">AB24+AB25+AB26+AB27+AB28</f>
        <v>14.4395955557608</v>
      </c>
      <c r="AC29" s="19" t="n">
        <f aca="false">AC24+AC25+AC26+AC27+AC28</f>
        <v>14.6928568058839</v>
      </c>
      <c r="AD29" s="19" t="n">
        <f aca="false">AD24+AD25+AD26+AD27+AD28</f>
        <v>15.0639052259226</v>
      </c>
      <c r="AE29" s="19" t="n">
        <f aca="false">AE24+AE25+AE26+AE27+AE28</f>
        <v>15.4218400876893</v>
      </c>
      <c r="AF29" s="19" t="n">
        <f aca="false">AF24+AF25+AF26+AF27+AF28</f>
        <v>15.7389421395361</v>
      </c>
      <c r="AG29" s="19" t="n">
        <f aca="false">AG24+AG25+AG26+AG27+AG28</f>
        <v>16.1185302896455</v>
      </c>
      <c r="AH29" s="19" t="n">
        <f aca="false">AH24+AH25+AH26+AH27+AH28</f>
        <v>16.2884021996921</v>
      </c>
      <c r="AI29" s="19" t="n">
        <f aca="false">AI24+AI25+AI26+AI27+AI28</f>
        <v>16.6855181836122</v>
      </c>
      <c r="AJ29" s="19" t="n">
        <f aca="false">AJ24+AJ25+AJ26+AJ27+AJ28</f>
        <v>16.9556111864553</v>
      </c>
      <c r="AK29" s="19" t="n">
        <f aca="false">AK24+AK25+AK26+AK27+AK28</f>
        <v>17.2779351813527</v>
      </c>
      <c r="AL29" s="19" t="n">
        <f aca="false">AL24+AL25+AL26+AL27+AL28</f>
        <v>17.462293254394</v>
      </c>
      <c r="AM29" s="19" t="n">
        <f aca="false">AM24+AM25+AM26+AM27+AM28</f>
        <v>17.8970334971974</v>
      </c>
      <c r="AN29" s="19" t="n">
        <f aca="false">AN24+AN25+AN26+AN27+AN28</f>
        <v>18.0892085160817</v>
      </c>
      <c r="AO29" s="19" t="n">
        <f aca="false">AO24+AO25+AO26+AO27+AO28</f>
        <v>18.5417035537542</v>
      </c>
      <c r="AP29" s="19" t="n">
        <f aca="false">AP24+AP25+AP26+AP27+AP28</f>
        <v>18.7420639713015</v>
      </c>
      <c r="AQ29" s="19" t="n">
        <f aca="false">AQ24+AQ25+AQ26+AQ27+AQ28</f>
        <v>19.2155823117132</v>
      </c>
      <c r="AR29" s="19" t="n">
        <f aca="false">AR24+AR25+AR26+AR27+AR28</f>
        <v>19.5318751714368</v>
      </c>
      <c r="AS29" s="19" t="n">
        <f aca="false">AS24+AS25+AS26+AS27+AS28</f>
        <v>19.9201073311242</v>
      </c>
      <c r="AT29" s="19" t="n">
        <f aca="false">AT24+AT25+AT26+AT27+AT28</f>
        <v>20.13814854117</v>
      </c>
      <c r="AU29" s="19" t="n">
        <f aca="false">AU24+AU25+AU26+AU27+AU28</f>
        <v>20.6567866095788</v>
      </c>
      <c r="AV29" s="19" t="n">
        <f aca="false">AV24+AV25+AV26+AV27+AV28</f>
        <v>20.8843700780344</v>
      </c>
      <c r="AW29" s="19" t="n">
        <f aca="false">AW24+AW25+AW26+AW27+AW28</f>
        <v>21.3939598843191</v>
      </c>
      <c r="AX29" s="19" t="n">
        <f aca="false">AX24+AX25+AX26+AX27+AX28</f>
        <v>21.5579977339503</v>
      </c>
      <c r="AY29" s="19" t="n">
        <f aca="false">AY24+AY25+AY26+AY27+AY28</f>
        <v>22.0881795277828</v>
      </c>
      <c r="AZ29" s="19" t="n">
        <f aca="false">AZ24+AZ25+AZ26+AZ27+AZ28</f>
        <v>22.3802943000775</v>
      </c>
      <c r="BA29" s="19" t="n">
        <f aca="false">BA24+BA25+BA26+BA27+BA28</f>
        <v>22.8059735165395</v>
      </c>
      <c r="BB29" s="19" t="n">
        <f aca="false">BB24+BB25+BB26+BB27+BB28</f>
        <v>22.9803949255279</v>
      </c>
      <c r="BC29" s="19" t="n">
        <f aca="false">BC24+BC25+BC26+BC27+BC28</f>
        <v>23.5510929129383</v>
      </c>
      <c r="BD29" s="19" t="n">
        <f aca="false">BD24+BD25+BD26+BD27+BD28</f>
        <v>23.730980782032</v>
      </c>
      <c r="BE29" s="19" t="n">
        <f aca="false">BE24+BE25+BE26+BE27+BE28</f>
        <v>24.3245528980225</v>
      </c>
      <c r="BF29" s="19" t="n">
        <f aca="false">BF24+BF25+BF26+BF27+BF28</f>
        <v>24.5101052787142</v>
      </c>
      <c r="BG29" s="19" t="n">
        <f aca="false">BG24+BG25+BG26+BG27+BG28</f>
        <v>25.1243003366937</v>
      </c>
      <c r="BH29" s="19" t="n">
        <f aca="false">BH24+BH25+BH26+BH27+BH28</f>
        <v>25.4555685375309</v>
      </c>
      <c r="BI29" s="19" t="n">
        <f aca="false">BI24+BI25+BI26+BI27+BI28</f>
        <v>25.9543833750858</v>
      </c>
      <c r="BJ29" s="19" t="n">
        <f aca="false">BJ24+BJ25+BJ26+BJ27+BJ28</f>
        <v>26.1518474927914</v>
      </c>
      <c r="BK29" s="19" t="n">
        <f aca="false">BK24+BK25+BK26+BK27+BK28</f>
        <v>26.8159220565596</v>
      </c>
      <c r="BL29" s="19" t="n">
        <f aca="false">BL24+BL25+BL26+BL27+BL28</f>
        <v>27.0196670478052</v>
      </c>
      <c r="BM29" s="19" t="n">
        <f aca="false">BM24+BM25+BM26+BM27+BM28</f>
        <v>27.7067524429392</v>
      </c>
      <c r="BN29" s="19" t="n">
        <f aca="false">BN24+BN25+BN26+BN27+BN28</f>
        <v>27.9169843350832</v>
      </c>
      <c r="BO29" s="19" t="n">
        <f aca="false">BO24+BO25+BO26+BO27+BO28</f>
        <v>28.6312436042084</v>
      </c>
      <c r="BP29" s="19" t="n">
        <f aca="false">BP24+BP25+BP26+BP27+BP28</f>
        <v>29.0075788635458</v>
      </c>
      <c r="BQ29" s="19" t="n">
        <f aca="false">BQ24+BQ25+BQ26+BQ27+BQ28</f>
        <v>29.5906307946093</v>
      </c>
      <c r="BR29" s="19" t="n">
        <f aca="false">BR24+BR25+BR26+BR27+BR28</f>
        <v>29.6972218576633</v>
      </c>
      <c r="BS29" s="19" t="n">
        <f aca="false">BS24+BS25+BS26+BS27+BS28</f>
        <v>30.4639381694256</v>
      </c>
      <c r="BT29" s="19" t="n">
        <f aca="false">BT24+BT25+BT26+BT27+BT28</f>
        <v>30.5725930718337</v>
      </c>
      <c r="BU29" s="19" t="n">
        <f aca="false">BU24+BU25+BU26+BU27+BU28</f>
        <v>31.3642351142385</v>
      </c>
      <c r="BV29" s="19" t="n">
        <f aca="false">BV24+BV25+BV26+BV27+BV28</f>
        <v>31.4749822459991</v>
      </c>
      <c r="BW29" s="19" t="n">
        <f aca="false">BW24+BW25+BW26+BW27+BW28</f>
        <v>32.2922083065179</v>
      </c>
      <c r="BX29" s="19" t="n">
        <f aca="false">BX24+BX25+BX26+BX27+BX28</f>
        <v>32.5841102866613</v>
      </c>
      <c r="BY29" s="19" t="n">
        <f aca="false">BY24+BY25+BY26+BY27+BY28</f>
        <v>33.2485600234323</v>
      </c>
      <c r="BZ29" s="19" t="n">
        <f aca="false">BZ24+BZ25+BZ26+BZ27+BZ28</f>
        <v>33.3635794314589</v>
      </c>
      <c r="CA29" s="19" t="n">
        <f aca="false">CA24+CA25+CA26+CA27+CA28</f>
        <v>34.2340084791732</v>
      </c>
      <c r="CB29" s="19" t="n">
        <f aca="false">CB24+CB25+CB26+CB27+CB28</f>
        <v>34.3512093173523</v>
      </c>
      <c r="CC29" s="19" t="n">
        <f aca="false">CC24+CC25+CC26+CC27+CC28</f>
        <v>35.2492881695167</v>
      </c>
      <c r="CD29" s="19" t="n">
        <f aca="false">CD24+CD25+CD26+CD27+CD28</f>
        <v>35.3687015959976</v>
      </c>
      <c r="CE29" s="19" t="n">
        <f aca="false">CE24+CE25+CE26+CE27+CE28</f>
        <v>36.2951502237757</v>
      </c>
      <c r="CF29" s="19" t="n">
        <f aca="false">CF24+CF25+CF26+CF27+CF28</f>
        <v>36.6180059866852</v>
      </c>
      <c r="CG29" s="19" t="n">
        <f aca="false">CG24+CG25+CG26+CG27+CG28</f>
        <v>37.3761884285186</v>
      </c>
      <c r="CH29" s="19" t="n">
        <f aca="false">CH24+CH25+CH26+CH27+CH28</f>
        <v>37.5001063370107</v>
      </c>
      <c r="CI29" s="19" t="n">
        <f aca="false">CI24+CI25+CI26+CI27+CI28</f>
        <v>38.489454418102</v>
      </c>
      <c r="CJ29" s="19" t="n">
        <f aca="false">CJ24+CJ25+CJ26+CJ27+CJ28</f>
        <v>38.6156653985515</v>
      </c>
      <c r="CK29" s="19" t="n">
        <f aca="false">CK24+CK25+CK26+CK27+CK28</f>
        <v>39.6357530632229</v>
      </c>
      <c r="CL29" s="19" t="n">
        <f aca="false">CL24+CL25+CL26+CL27+CL28</f>
        <v>39.7642910379026</v>
      </c>
      <c r="CM29" s="19" t="n">
        <f aca="false">CM24+CM25+CM26+CM27+CM28</f>
        <v>40.819872426998</v>
      </c>
      <c r="CN29" s="19" t="n">
        <f aca="false">CN24+CN25+CN26+CN27+CN28</f>
        <v>41.177001597653</v>
      </c>
      <c r="CO29" s="19" t="n">
        <f aca="false">CO24+CO25+CO26+CO27+CO28</f>
        <v>42.0387841756464</v>
      </c>
      <c r="CP29" s="19" t="n">
        <f aca="false">CP24+CP25+CP26+CP27+CP28</f>
        <v>34.0172298824936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8273.05167646912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14.1890389039932</v>
      </c>
      <c r="AA32" s="19" t="n">
        <f aca="false">AA20+AA21-AA29-AA30-AA31</f>
        <v>29.8968628254632</v>
      </c>
      <c r="AB32" s="19" t="n">
        <f aca="false">AB20+AB21-AB29-AB30-AB31</f>
        <v>35.9259150605028</v>
      </c>
      <c r="AC32" s="19" t="n">
        <f aca="false">AC20+AC21-AC29-AC30-AC31</f>
        <v>37.7516754097502</v>
      </c>
      <c r="AD32" s="19" t="n">
        <f aca="false">AD20+AD21-AD29-AD30-AD31</f>
        <v>41.8358280047138</v>
      </c>
      <c r="AE32" s="19" t="n">
        <f aca="false">AE20+AE21-AE29-AE30-AE31</f>
        <v>44.167061266534</v>
      </c>
      <c r="AF32" s="19" t="n">
        <f aca="false">AF20+AF21-AF29-AF30-AF31</f>
        <v>47.3968212438895</v>
      </c>
      <c r="AG32" s="19" t="n">
        <f aca="false">AG20+AG21-AG29-AG30-AG31</f>
        <v>49.9785484333365</v>
      </c>
      <c r="AH32" s="19" t="n">
        <f aca="false">AH20+AH21-AH29-AH30-AH31</f>
        <v>50.9416666661828</v>
      </c>
      <c r="AI32" s="19" t="n">
        <f aca="false">AI20+AI21-AI29-AI30-AI31</f>
        <v>53.7095461643085</v>
      </c>
      <c r="AJ32" s="19" t="n">
        <f aca="false">AJ20+AJ21-AJ29-AJ30-AJ31</f>
        <v>55.0417060391235</v>
      </c>
      <c r="AK32" s="19" t="n">
        <f aca="false">AK20+AK21-AK29-AK30-AK31</f>
        <v>57.7040871163988</v>
      </c>
      <c r="AL32" s="19" t="n">
        <f aca="false">AL20+AL21-AL29-AL30-AL31</f>
        <v>58.8050187081788</v>
      </c>
      <c r="AM32" s="19" t="n">
        <f aca="false">AM20+AM21-AM29-AM30-AM31</f>
        <v>61.9780867178509</v>
      </c>
      <c r="AN32" s="19" t="n">
        <f aca="false">AN20+AN21-AN29-AN30-AN31</f>
        <v>63.155075444392</v>
      </c>
      <c r="AO32" s="19" t="n">
        <f aca="false">AO20+AO21-AO29-AO30-AO31</f>
        <v>66.5116530396841</v>
      </c>
      <c r="AP32" s="19" t="n">
        <f aca="false">AP20+AP21-AP29-AP30-AP31</f>
        <v>67.7692180933092</v>
      </c>
      <c r="AQ32" s="19" t="n">
        <f aca="false">AQ20+AQ21-AQ29-AQ30-AQ31</f>
        <v>71.3566270532572</v>
      </c>
      <c r="AR32" s="19" t="n">
        <f aca="false">AR20+AR21-AR29-AR30-AR31</f>
        <v>73.1018364371233</v>
      </c>
      <c r="AS32" s="19" t="n">
        <f aca="false">AS20+AS21-AS29-AS30-AS31</f>
        <v>76.5314953585857</v>
      </c>
      <c r="AT32" s="19" t="n">
        <f aca="false">AT20+AT21-AT29-AT30-AT31</f>
        <v>77.9667604250798</v>
      </c>
      <c r="AU32" s="19" t="n">
        <f aca="false">AU20+AU21-AU29-AU30-AU31</f>
        <v>82.0557286502207</v>
      </c>
      <c r="AV32" s="19" t="n">
        <f aca="false">AV20+AV21-AV29-AV30-AV31</f>
        <v>83.5887716661642</v>
      </c>
      <c r="AW32" s="19" t="n">
        <f aca="false">AW20+AW21-AW29-AW30-AW31</f>
        <v>87.4469103456975</v>
      </c>
      <c r="AX32" s="19" t="n">
        <f aca="false">AX20+AX21-AX29-AX30-AX31</f>
        <v>87.9708177790962</v>
      </c>
      <c r="AY32" s="19" t="n">
        <f aca="false">AY20+AY21-AY29-AY30-AY31</f>
        <v>92.0442067540445</v>
      </c>
      <c r="AZ32" s="19" t="n">
        <f aca="false">AZ20+AZ21-AZ29-AZ30-AZ31</f>
        <v>93.1080343535545</v>
      </c>
      <c r="BA32" s="19" t="n">
        <f aca="false">BA20+BA21-BA29-BA30-BA31</f>
        <v>96.8505208184968</v>
      </c>
      <c r="BB32" s="19" t="n">
        <f aca="false">BB20+BB21-BB29-BB30-BB31</f>
        <v>97.43240649055</v>
      </c>
      <c r="BC32" s="19" t="n">
        <f aca="false">BC20+BC21-BC29-BC30-BC31</f>
        <v>101.918911497979</v>
      </c>
      <c r="BD32" s="19" t="n">
        <f aca="false">BD20+BD21-BD29-BD30-BD31</f>
        <v>102.532075885027</v>
      </c>
      <c r="BE32" s="19" t="n">
        <f aca="false">BE20+BE21-BE29-BE30-BE31</f>
        <v>107.260954240277</v>
      </c>
      <c r="BF32" s="19" t="n">
        <f aca="false">BF20+BF21-BF29-BF30-BF31</f>
        <v>107.907108081335</v>
      </c>
      <c r="BG32" s="19" t="n">
        <f aca="false">BG20+BG21-BG29-BG30-BG31</f>
        <v>112.841709257816</v>
      </c>
      <c r="BH32" s="19" t="n">
        <f aca="false">BH20+BH21-BH29-BH30-BH31</f>
        <v>114.149537236183</v>
      </c>
      <c r="BI32" s="19" t="n">
        <f aca="false">BI20+BI21-BI29-BI30-BI31</f>
        <v>118.718446297589</v>
      </c>
      <c r="BJ32" s="19" t="n">
        <f aca="false">BJ20+BJ21-BJ29-BJ30-BJ31</f>
        <v>119.43540881526</v>
      </c>
      <c r="BK32" s="19" t="n">
        <f aca="false">BK20+BK21-BK29-BK30-BK31</f>
        <v>124.904036375619</v>
      </c>
      <c r="BL32" s="19" t="n">
        <f aca="false">BL20+BL21-BL29-BL30-BL31</f>
        <v>125.659260469464</v>
      </c>
      <c r="BM32" s="19" t="n">
        <f aca="false">BM20+BM21-BM29-BM30-BM31</f>
        <v>131.361565191426</v>
      </c>
      <c r="BN32" s="19" t="n">
        <f aca="false">BN20+BN21-BN29-BN30-BN31</f>
        <v>132.156748806938</v>
      </c>
      <c r="BO32" s="19" t="n">
        <f aca="false">BO20+BO21-BO29-BO30-BO31</f>
        <v>138.152852135463</v>
      </c>
      <c r="BP32" s="19" t="n">
        <f aca="false">BP20+BP21-BP29-BP30-BP31</f>
        <v>139.757984448337</v>
      </c>
      <c r="BQ32" s="19" t="n">
        <f aca="false">BQ20+BQ21-BQ29-BQ30-BQ31</f>
        <v>145.292197988484</v>
      </c>
      <c r="BR32" s="19" t="n">
        <f aca="false">BR20+BR21-BR29-BR30-BR31</f>
        <v>144.398634195906</v>
      </c>
      <c r="BS32" s="19" t="n">
        <f aca="false">BS20+BS21-BS29-BS30-BS31</f>
        <v>150.944858187295</v>
      </c>
      <c r="BT32" s="19" t="n">
        <f aca="false">BT20+BT21-BT29-BT30-BT31</f>
        <v>150.019863701282</v>
      </c>
      <c r="BU32" s="19" t="n">
        <f aca="false">BU20+BU21-BU29-BU30-BU31</f>
        <v>156.816853580064</v>
      </c>
      <c r="BV32" s="19" t="n">
        <f aca="false">BV20+BV21-BV29-BV30-BV31</f>
        <v>155.859291549179</v>
      </c>
      <c r="BW32" s="19" t="n">
        <f aca="false">BW20+BW21-BW29-BW30-BW31</f>
        <v>162.913848160361</v>
      </c>
      <c r="BX32" s="19" t="n">
        <f aca="false">BX20+BX21-BX29-BX30-BX31</f>
        <v>162.817152236684</v>
      </c>
      <c r="BY32" s="19" t="n">
        <f aca="false">BY20+BY21-BY29-BY30-BY31</f>
        <v>169.241623810786</v>
      </c>
      <c r="BZ32" s="19" t="n">
        <f aca="false">BZ20+BZ21-BZ29-BZ30-BZ31</f>
        <v>168.215398575505</v>
      </c>
      <c r="CA32" s="19" t="n">
        <f aca="false">CA20+CA21-CA29-CA30-CA31</f>
        <v>175.806082453403</v>
      </c>
      <c r="CB32" s="19" t="n">
        <f aca="false">CB20+CB21-CB29-CB30-CB31</f>
        <v>174.743701206027</v>
      </c>
      <c r="CC32" s="19" t="n">
        <f aca="false">CC20+CC21-CC29-CC30-CC31</f>
        <v>182.613248235796</v>
      </c>
      <c r="CD32" s="19" t="n">
        <f aca="false">CD20+CD21-CD29-CD30-CD31</f>
        <v>181.513453395491</v>
      </c>
      <c r="CE32" s="19" t="n">
        <f aca="false">CE20+CE21-CE29-CE30-CE31</f>
        <v>189.6692697533</v>
      </c>
      <c r="CF32" s="19" t="n">
        <f aca="false">CF20+CF21-CF29-CF30-CF31</f>
        <v>189.572378410367</v>
      </c>
      <c r="CG32" s="19" t="n">
        <f aca="false">CG20+CG21-CG29-CG30-CG31</f>
        <v>197.038300905217</v>
      </c>
      <c r="CH32" s="19" t="n">
        <f aca="false">CH20+CH21-CH29-CH30-CH31</f>
        <v>195.859517794723</v>
      </c>
      <c r="CI32" s="19" t="n">
        <f aca="false">CI20+CI21-CI29-CI30-CI31</f>
        <v>204.670256485597</v>
      </c>
      <c r="CJ32" s="19" t="n">
        <f aca="false">CJ20+CJ21-CJ29-CJ30-CJ31</f>
        <v>203.449826806081</v>
      </c>
      <c r="CK32" s="19" t="n">
        <f aca="false">CK20+CK21-CK29-CK30-CK31</f>
        <v>212.571697139978</v>
      </c>
      <c r="CL32" s="19" t="n">
        <f aca="false">CL20+CL21-CL29-CL30-CL31</f>
        <v>211.308225639384</v>
      </c>
      <c r="CM32" s="19" t="n">
        <f aca="false">CM20+CM21-CM29-CM30-CM31</f>
        <v>220.809304953776</v>
      </c>
      <c r="CN32" s="19" t="n">
        <f aca="false">CN20+CN21-CN29-CN30-CN31</f>
        <v>220.713804960502</v>
      </c>
      <c r="CO32" s="19" t="n">
        <f aca="false">CO20+CO21-CO29-CO30-CO31</f>
        <v>229.331363574702</v>
      </c>
      <c r="CP32" s="19" t="n">
        <f aca="false">CP20+CP21-CP29-CP30-CP31</f>
        <v>183.892998761036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3.23265449627273</v>
      </c>
      <c r="AA41" s="19" t="n">
        <f aca="false">IF(AND(Time!AA26=1,Time!AA28=0),AA20/Time!AA25*Inputs!$F$156,0)</f>
        <v>3.33055667088321</v>
      </c>
      <c r="AB41" s="19" t="n">
        <f aca="false">IF(AND(Time!AB26=1,Time!AB28=0),AB20/Time!AB25*Inputs!$F$156,0)</f>
        <v>3.87427004740489</v>
      </c>
      <c r="AC41" s="19" t="n">
        <f aca="false">IF(AND(Time!AC26=1,Time!AC28=0),AC20/Time!AC25*Inputs!$F$156,0)</f>
        <v>3.9903448424939</v>
      </c>
      <c r="AD41" s="19" t="n">
        <f aca="false">IF(AND(Time!AD26=1,Time!AD28=0),AD20/Time!AD25*Inputs!$F$156,0)</f>
        <v>4.40108433828127</v>
      </c>
      <c r="AE41" s="19" t="n">
        <f aca="false">IF(AND(Time!AE26=1,Time!AE28=0),AE20/Time!AE25*Inputs!$F$156,0)</f>
        <v>4.53393814651699</v>
      </c>
      <c r="AF41" s="19" t="n">
        <f aca="false">IF(AND(Time!AF26=1,Time!AF28=0),AF20/Time!AF25*Inputs!$F$156,0)</f>
        <v>4.88342921197767</v>
      </c>
      <c r="AG41" s="19" t="n">
        <f aca="false">IF(AND(Time!AG26=1,Time!AG28=0),AG20/Time!AG25*Inputs!$F$156,0)</f>
        <v>5.0291255550095</v>
      </c>
      <c r="AH41" s="19" t="n">
        <f aca="false">IF(AND(Time!AH26=1,Time!AH28=0),AH20/Time!AH25*Inputs!$F$156,0)</f>
        <v>5.20011582387983</v>
      </c>
      <c r="AI41" s="19" t="n">
        <f aca="false">IF(AND(Time!AI26=1,Time!AI28=0),AI20/Time!AI25*Inputs!$F$156,0)</f>
        <v>5.35614620038527</v>
      </c>
      <c r="AJ41" s="19" t="n">
        <f aca="false">IF(AND(Time!AJ26=1,Time!AJ28=0),AJ20/Time!AJ25*Inputs!$F$156,0)</f>
        <v>5.53825517119837</v>
      </c>
      <c r="AK41" s="19" t="n">
        <f aca="false">IF(AND(Time!AK26=1,Time!AK28=0),AK20/Time!AK25*Inputs!$F$156,0)</f>
        <v>5.70515387048109</v>
      </c>
      <c r="AL41" s="19" t="n">
        <f aca="false">IF(AND(Time!AL26=1,Time!AL28=0),AL20/Time!AL25*Inputs!$F$156,0)</f>
        <v>5.89912910207745</v>
      </c>
      <c r="AM41" s="19" t="n">
        <f aca="false">IF(AND(Time!AM26=1,Time!AM28=0),AM20/Time!AM25*Inputs!$F$156,0)</f>
        <v>6.07745479897107</v>
      </c>
      <c r="AN41" s="19" t="n">
        <f aca="false">IF(AND(Time!AN26=1,Time!AN28=0),AN20/Time!AN25*Inputs!$F$156,0)</f>
        <v>6.28408826213608</v>
      </c>
      <c r="AO41" s="19" t="n">
        <f aca="false">IF(AND(Time!AO26=1,Time!AO28=0),AO20/Time!AO25*Inputs!$F$156,0)</f>
        <v>6.47145104515292</v>
      </c>
      <c r="AP41" s="19" t="n">
        <f aca="false">IF(AND(Time!AP26=1,Time!AP28=0),AP20/Time!AP25*Inputs!$F$156,0)</f>
        <v>6.69148038068812</v>
      </c>
      <c r="AQ41" s="19" t="n">
        <f aca="false">IF(AND(Time!AQ26=1,Time!AQ28=0),AQ20/Time!AQ25*Inputs!$F$156,0)</f>
        <v>6.89136375603036</v>
      </c>
      <c r="AR41" s="19" t="n">
        <f aca="false">IF(AND(Time!AR26=1,Time!AR28=0),AR20/Time!AR25*Inputs!$F$156,0)</f>
        <v>7.1256701237354</v>
      </c>
      <c r="AS41" s="19" t="n">
        <f aca="false">IF(AND(Time!AS26=1,Time!AS28=0),AS20/Time!AS25*Inputs!$F$156,0)</f>
        <v>7.33870890030402</v>
      </c>
      <c r="AT41" s="19" t="n">
        <f aca="false">IF(AND(Time!AT26=1,Time!AT28=0),AT20/Time!AT25*Inputs!$F$156,0)</f>
        <v>7.58822500291435</v>
      </c>
      <c r="AU41" s="19" t="n">
        <f aca="false">IF(AND(Time!AU26=1,Time!AU28=0),AU20/Time!AU25*Inputs!$F$156,0)</f>
        <v>7.81508268281084</v>
      </c>
      <c r="AV41" s="19" t="n">
        <f aca="false">IF(AND(Time!AV26=1,Time!AV28=0),AV20/Time!AV25*Inputs!$F$156,0)</f>
        <v>8.08079549402641</v>
      </c>
      <c r="AW41" s="19" t="n">
        <f aca="false">IF(AND(Time!AW26=1,Time!AW28=0),AW20/Time!AW25*Inputs!$F$156,0)</f>
        <v>8.28137056097952</v>
      </c>
      <c r="AX41" s="19" t="n">
        <f aca="false">IF(AND(Time!AX26=1,Time!AX28=0),AX20/Time!AX25*Inputs!$F$156,0)</f>
        <v>8.47184208388205</v>
      </c>
      <c r="AY41" s="19" t="n">
        <f aca="false">IF(AND(Time!AY26=1,Time!AY28=0),AY20/Time!AY25*Inputs!$F$156,0)</f>
        <v>8.68398591274773</v>
      </c>
      <c r="AZ41" s="19" t="n">
        <f aca="false">IF(AND(Time!AZ26=1,Time!AZ28=0),AZ20/Time!AZ25*Inputs!$F$156,0)</f>
        <v>8.88371758874093</v>
      </c>
      <c r="BA41" s="19" t="n">
        <f aca="false">IF(AND(Time!BA26=1,Time!BA28=0),BA20/Time!BA25*Inputs!$F$156,0)</f>
        <v>9.10429848201363</v>
      </c>
      <c r="BB41" s="19" t="n">
        <f aca="false">IF(AND(Time!BB26=1,Time!BB28=0),BB20/Time!BB25*Inputs!$F$156,0)</f>
        <v>9.31369734709994</v>
      </c>
      <c r="BC41" s="19" t="n">
        <f aca="false">IF(AND(Time!BC26=1,Time!BC28=0),BC20/Time!BC25*Inputs!$F$156,0)</f>
        <v>9.54663077039592</v>
      </c>
      <c r="BD41" s="19" t="n">
        <f aca="false">IF(AND(Time!BD26=1,Time!BD28=0),BD20/Time!BD25*Inputs!$F$156,0)</f>
        <v>9.76620327811502</v>
      </c>
      <c r="BE41" s="19" t="n">
        <f aca="false">IF(AND(Time!BE26=1,Time!BE28=0),BE20/Time!BE25*Inputs!$F$156,0)</f>
        <v>10.0119407605228</v>
      </c>
      <c r="BF41" s="19" t="n">
        <f aca="false">IF(AND(Time!BF26=1,Time!BF28=0),BF20/Time!BF25*Inputs!$F$156,0)</f>
        <v>10.2422153980148</v>
      </c>
      <c r="BG41" s="19" t="n">
        <f aca="false">IF(AND(Time!BG26=1,Time!BG28=0),BG20/Time!BG25*Inputs!$F$156,0)</f>
        <v>10.4974137734953</v>
      </c>
      <c r="BH41" s="19" t="n">
        <f aca="false">IF(AND(Time!BH26=1,Time!BH28=0),BH20/Time!BH25*Inputs!$F$156,0)</f>
        <v>10.7388542902857</v>
      </c>
      <c r="BI41" s="19" t="n">
        <f aca="false">IF(AND(Time!BI26=1,Time!BI28=0),BI20/Time!BI25*Inputs!$F$156,0)</f>
        <v>11.0077153011818</v>
      </c>
      <c r="BJ41" s="19" t="n">
        <f aca="false">IF(AND(Time!BJ26=1,Time!BJ28=0),BJ20/Time!BJ25*Inputs!$F$156,0)</f>
        <v>11.260892753109</v>
      </c>
      <c r="BK41" s="19" t="n">
        <f aca="false">IF(AND(Time!BK26=1,Time!BK28=0),BK20/Time!BK25*Inputs!$F$156,0)</f>
        <v>11.5439098807092</v>
      </c>
      <c r="BL41" s="19" t="n">
        <f aca="false">IF(AND(Time!BL26=1,Time!BL28=0),BL20/Time!BL25*Inputs!$F$156,0)</f>
        <v>11.8094198079656</v>
      </c>
      <c r="BM41" s="19" t="n">
        <f aca="false">IF(AND(Time!BM26=1,Time!BM28=0),BM20/Time!BM25*Inputs!$F$156,0)</f>
        <v>12.1030241678321</v>
      </c>
      <c r="BN41" s="19" t="n">
        <f aca="false">IF(AND(Time!BN26=1,Time!BN28=0),BN20/Time!BN25*Inputs!$F$156,0)</f>
        <v>12.3813937236922</v>
      </c>
      <c r="BO41" s="19" t="n">
        <f aca="false">IF(AND(Time!BO26=1,Time!BO28=0),BO20/Time!BO25*Inputs!$F$156,0)</f>
        <v>12.6900942410619</v>
      </c>
      <c r="BP41" s="19" t="n">
        <f aca="false">IF(AND(Time!BP26=1,Time!BP28=0),BP20/Time!BP25*Inputs!$F$156,0)</f>
        <v>12.9819664086064</v>
      </c>
      <c r="BQ41" s="19" t="n">
        <f aca="false">IF(AND(Time!BQ26=1,Time!BQ28=0),BQ20/Time!BQ25*Inputs!$F$156,0)</f>
        <v>13.306302190018</v>
      </c>
      <c r="BR41" s="19" t="n">
        <f aca="false">IF(AND(Time!BR26=1,Time!BR28=0),BR20/Time!BR25*Inputs!$F$156,0)</f>
        <v>13.4659778162982</v>
      </c>
      <c r="BS41" s="19" t="n">
        <f aca="false">IF(AND(Time!BS26=1,Time!BS28=0),BS20/Time!BS25*Inputs!$F$156,0)</f>
        <v>13.8028432010548</v>
      </c>
      <c r="BT41" s="19" t="n">
        <f aca="false">IF(AND(Time!BT26=1,Time!BT28=0),BT20/Time!BT25*Inputs!$F$156,0)</f>
        <v>13.9684773194675</v>
      </c>
      <c r="BU41" s="19" t="n">
        <f aca="false">IF(AND(Time!BU26=1,Time!BU28=0),BU20/Time!BU25*Inputs!$F$156,0)</f>
        <v>14.318126313697</v>
      </c>
      <c r="BV41" s="19" t="n">
        <f aca="false">IF(AND(Time!BV26=1,Time!BV28=0),BV20/Time!BV25*Inputs!$F$156,0)</f>
        <v>14.4899438294613</v>
      </c>
      <c r="BW41" s="19" t="n">
        <f aca="false">IF(AND(Time!BW26=1,Time!BW28=0),BW20/Time!BW25*Inputs!$F$156,0)</f>
        <v>14.8526347311756</v>
      </c>
      <c r="BX41" s="19" t="n">
        <f aca="false">IF(AND(Time!BX26=1,Time!BX28=0),BX20/Time!BX25*Inputs!$F$156,0)</f>
        <v>15.0308663479497</v>
      </c>
      <c r="BY41" s="19" t="n">
        <f aca="false">IF(AND(Time!BY26=1,Time!BY28=0),BY20/Time!BY25*Inputs!$F$156,0)</f>
        <v>15.4068618134731</v>
      </c>
      <c r="BZ41" s="19" t="n">
        <f aca="false">IF(AND(Time!BZ26=1,Time!BZ28=0),BZ20/Time!BZ25*Inputs!$F$156,0)</f>
        <v>15.5917441552348</v>
      </c>
      <c r="CA41" s="19" t="n">
        <f aca="false">IF(AND(Time!CA26=1,Time!CA28=0),CA20/Time!CA25*Inputs!$F$156,0)</f>
        <v>15.9813112666091</v>
      </c>
      <c r="CB41" s="19" t="n">
        <f aca="false">IF(AND(Time!CB26=1,Time!CB28=0),CB20/Time!CB25*Inputs!$F$156,0)</f>
        <v>16.1730870018084</v>
      </c>
      <c r="CC41" s="19" t="n">
        <f aca="false">IF(AND(Time!CC26=1,Time!CC28=0),CC20/Time!CC25*Inputs!$F$156,0)</f>
        <v>16.5764973351868</v>
      </c>
      <c r="CD41" s="19" t="n">
        <f aca="false">IF(AND(Time!CD26=1,Time!CD28=0),CD20/Time!CD25*Inputs!$F$156,0)</f>
        <v>16.775415303209</v>
      </c>
      <c r="CE41" s="19" t="n">
        <f aca="false">IF(AND(Time!CE26=1,Time!CE28=0),CE20/Time!CE25*Inputs!$F$156,0)</f>
        <v>17.1929449982557</v>
      </c>
      <c r="CF41" s="19" t="n">
        <f aca="false">IF(AND(Time!CF26=1,Time!CF28=0),CF20/Time!CF25*Inputs!$F$156,0)</f>
        <v>17.3992603382348</v>
      </c>
      <c r="CG41" s="19" t="n">
        <f aca="false">IF(AND(Time!CG26=1,Time!CG28=0),CG20/Time!CG25*Inputs!$F$156,0)</f>
        <v>17.8358850580016</v>
      </c>
      <c r="CH41" s="19" t="n">
        <f aca="false">IF(AND(Time!CH26=1,Time!CH28=0),CH20/Time!CH25*Inputs!$F$156,0)</f>
        <v>18.0499156786976</v>
      </c>
      <c r="CI41" s="19" t="n">
        <f aca="false">IF(AND(Time!CI26=1,Time!CI28=0),CI20/Time!CI25*Inputs!$F$156,0)</f>
        <v>18.5012823513684</v>
      </c>
      <c r="CJ41" s="19" t="n">
        <f aca="false">IF(AND(Time!CJ26=1,Time!CJ28=0),CJ20/Time!CJ25*Inputs!$F$156,0)</f>
        <v>18.7232977395848</v>
      </c>
      <c r="CK41" s="19" t="n">
        <f aca="false">IF(AND(Time!CK26=1,Time!CK28=0),CK20/Time!CK25*Inputs!$F$156,0)</f>
        <v>19.1896972980696</v>
      </c>
      <c r="CL41" s="19" t="n">
        <f aca="false">IF(AND(Time!CL26=1,Time!CL28=0),CL20/Time!CL25*Inputs!$F$156,0)</f>
        <v>19.4199736656464</v>
      </c>
      <c r="CM41" s="19" t="n">
        <f aca="false">IF(AND(Time!CM26=1,Time!CM28=0),CM20/Time!CM25*Inputs!$F$156,0)</f>
        <v>19.9065678441893</v>
      </c>
      <c r="CN41" s="19" t="n">
        <f aca="false">IF(AND(Time!CN26=1,Time!CN28=0),CN20/Time!CN25*Inputs!$F$156,0)</f>
        <v>20.1454466583196</v>
      </c>
      <c r="CO41" s="19" t="n">
        <f aca="false">IF(AND(Time!CO26=1,Time!CO28=0),CO20/Time!CO25*Inputs!$F$156,0)</f>
        <v>20.6477286331787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2.24941164454272</v>
      </c>
      <c r="AA42" s="19" t="n">
        <f aca="false">IF(AND(Time!AA26=1,Time!AA28=0),AA29/Time!AA25*Inputs!$F$157,0)</f>
        <v>2.26241864774097</v>
      </c>
      <c r="AB42" s="19" t="n">
        <f aca="false">IF(AND(Time!AB26=1,Time!AB28=0),AB29/Time!AB25*Inputs!$F$157,0)</f>
        <v>2.38015311358694</v>
      </c>
      <c r="AC42" s="19" t="n">
        <f aca="false">IF(AND(Time!AC26=1,Time!AC28=0),AC29/Time!AC25*Inputs!$F$157,0)</f>
        <v>2.3955744792202</v>
      </c>
      <c r="AD42" s="19" t="n">
        <f aca="false">IF(AND(Time!AD26=1,Time!AD28=0),AD29/Time!AD25*Inputs!$F$157,0)</f>
        <v>2.49677987169988</v>
      </c>
      <c r="AE42" s="19" t="n">
        <f aca="false">IF(AND(Time!AE26=1,Time!AE28=0),AE29/Time!AE25*Inputs!$F$157,0)</f>
        <v>2.51443044907977</v>
      </c>
      <c r="AF42" s="19" t="n">
        <f aca="false">IF(AND(Time!AF26=1,Time!AF28=0),AF29/Time!AF25*Inputs!$F$157,0)</f>
        <v>2.60866444301704</v>
      </c>
      <c r="AG42" s="19" t="n">
        <f aca="false">IF(AND(Time!AG26=1,Time!AG28=0),AG29/Time!AG25*Inputs!$F$157,0)</f>
        <v>2.62802124287698</v>
      </c>
      <c r="AH42" s="19" t="n">
        <f aca="false">IF(AND(Time!AH26=1,Time!AH28=0),AH29/Time!AH25*Inputs!$F$157,0)</f>
        <v>2.69973517121968</v>
      </c>
      <c r="AI42" s="19" t="n">
        <f aca="false">IF(AND(Time!AI26=1,Time!AI28=0),AI29/Time!AI25*Inputs!$F$157,0)</f>
        <v>2.72046492124112</v>
      </c>
      <c r="AJ42" s="19" t="n">
        <f aca="false">IF(AND(Time!AJ26=1,Time!AJ28=0),AJ29/Time!AJ25*Inputs!$F$157,0)</f>
        <v>2.79488096480032</v>
      </c>
      <c r="AK42" s="19" t="n">
        <f aca="false">IF(AND(Time!AK26=1,Time!AK28=0),AK29/Time!AK25*Inputs!$F$157,0)</f>
        <v>2.8170546491336</v>
      </c>
      <c r="AL42" s="19" t="n">
        <f aca="false">IF(AND(Time!AL26=1,Time!AL28=0),AL29/Time!AL25*Inputs!$F$157,0)</f>
        <v>2.89430274934707</v>
      </c>
      <c r="AM42" s="19" t="n">
        <f aca="false">IF(AND(Time!AM26=1,Time!AM28=0),AM29/Time!AM25*Inputs!$F$157,0)</f>
        <v>2.91799459193436</v>
      </c>
      <c r="AN42" s="19" t="n">
        <f aca="false">IF(AND(Time!AN26=1,Time!AN28=0),AN29/Time!AN25*Inputs!$F$157,0)</f>
        <v>2.99821135625664</v>
      </c>
      <c r="AO42" s="19" t="n">
        <f aca="false">IF(AND(Time!AO26=1,Time!AO28=0),AO29/Time!AO25*Inputs!$F$157,0)</f>
        <v>3.02310384028602</v>
      </c>
      <c r="AP42" s="19" t="n">
        <f aca="false">IF(AND(Time!AP26=1,Time!AP28=0),AP29/Time!AP25*Inputs!$F$157,0)</f>
        <v>3.10641944275716</v>
      </c>
      <c r="AQ42" s="19" t="n">
        <f aca="false">IF(AND(Time!AQ26=1,Time!AQ28=0),AQ29/Time!AQ25*Inputs!$F$157,0)</f>
        <v>3.13297537690977</v>
      </c>
      <c r="AR42" s="19" t="n">
        <f aca="false">IF(AND(Time!AR26=1,Time!AR28=0),AR29/Time!AR25*Inputs!$F$157,0)</f>
        <v>3.21953986342365</v>
      </c>
      <c r="AS42" s="19" t="n">
        <f aca="false">IF(AND(Time!AS26=1,Time!AS28=0),AS29/Time!AS25*Inputs!$F$157,0)</f>
        <v>3.24784358659634</v>
      </c>
      <c r="AT42" s="19" t="n">
        <f aca="false">IF(AND(Time!AT26=1,Time!AT28=0),AT29/Time!AT25*Inputs!$F$157,0)</f>
        <v>3.33781467533204</v>
      </c>
      <c r="AU42" s="19" t="n">
        <f aca="false">IF(AND(Time!AU26=1,Time!AU28=0),AU29/Time!AU25*Inputs!$F$157,0)</f>
        <v>3.36795433851829</v>
      </c>
      <c r="AV42" s="19" t="n">
        <f aca="false">IF(AND(Time!AV26=1,Time!AV28=0),AV29/Time!AV25*Inputs!$F$157,0)</f>
        <v>3.46149780298912</v>
      </c>
      <c r="AW42" s="19" t="n">
        <f aca="false">IF(AND(Time!AW26=1,Time!AW28=0),AW29/Time!AW25*Inputs!$F$157,0)</f>
        <v>3.48814563331289</v>
      </c>
      <c r="AX42" s="19" t="n">
        <f aca="false">IF(AND(Time!AX26=1,Time!AX28=0),AX29/Time!AX25*Inputs!$F$157,0)</f>
        <v>3.57314879568237</v>
      </c>
      <c r="AY42" s="19" t="n">
        <f aca="false">IF(AND(Time!AY26=1,Time!AY28=0),AY29/Time!AY25*Inputs!$F$157,0)</f>
        <v>3.60133361866024</v>
      </c>
      <c r="AZ42" s="19" t="n">
        <f aca="false">IF(AND(Time!AZ26=1,Time!AZ28=0),AZ29/Time!AZ25*Inputs!$F$157,0)</f>
        <v>3.68905950001278</v>
      </c>
      <c r="BA42" s="19" t="n">
        <f aca="false">IF(AND(Time!BA26=1,Time!BA28=0),BA29/Time!BA25*Inputs!$F$157,0)</f>
        <v>3.71836524726187</v>
      </c>
      <c r="BB42" s="19" t="n">
        <f aca="false">IF(AND(Time!BB26=1,Time!BB28=0),BB29/Time!BB25*Inputs!$F$157,0)</f>
        <v>3.80890523627534</v>
      </c>
      <c r="BC42" s="19" t="n">
        <f aca="false">IF(AND(Time!BC26=1,Time!BC28=0),BC29/Time!BC25*Inputs!$F$157,0)</f>
        <v>3.83985210537038</v>
      </c>
      <c r="BD42" s="19" t="n">
        <f aca="false">IF(AND(Time!BD26=1,Time!BD28=0),BD29/Time!BD25*Inputs!$F$157,0)</f>
        <v>3.9333117318285</v>
      </c>
      <c r="BE42" s="19" t="n">
        <f aca="false">IF(AND(Time!BE26=1,Time!BE28=0),BE29/Time!BE25*Inputs!$F$157,0)</f>
        <v>3.9659597116341</v>
      </c>
      <c r="BF42" s="19" t="n">
        <f aca="false">IF(AND(Time!BF26=1,Time!BF28=0),BF29/Time!BF25*Inputs!$F$157,0)</f>
        <v>4.06244838873716</v>
      </c>
      <c r="BG42" s="19" t="n">
        <f aca="false">IF(AND(Time!BG26=1,Time!BG28=0),BG29/Time!BG25*Inputs!$F$157,0)</f>
        <v>4.09635331576528</v>
      </c>
      <c r="BH42" s="19" t="n">
        <f aca="false">IF(AND(Time!BH26=1,Time!BH28=0),BH29/Time!BH25*Inputs!$F$157,0)</f>
        <v>4.19597283585674</v>
      </c>
      <c r="BI42" s="19" t="n">
        <f aca="false">IF(AND(Time!BI26=1,Time!BI28=0),BI29/Time!BI25*Inputs!$F$157,0)</f>
        <v>4.23169294159008</v>
      </c>
      <c r="BJ42" s="19" t="n">
        <f aca="false">IF(AND(Time!BJ26=1,Time!BJ28=0),BJ29/Time!BJ25*Inputs!$F$157,0)</f>
        <v>4.33456035792123</v>
      </c>
      <c r="BK42" s="19" t="n">
        <f aca="false">IF(AND(Time!BK26=1,Time!BK28=0),BK29/Time!BK25*Inputs!$F$157,0)</f>
        <v>4.37216120487384</v>
      </c>
      <c r="BL42" s="19" t="n">
        <f aca="false">IF(AND(Time!BL26=1,Time!BL28=0),BL29/Time!BL25*Inputs!$F$157,0)</f>
        <v>4.47839785322738</v>
      </c>
      <c r="BM42" s="19" t="n">
        <f aca="false">IF(AND(Time!BM26=1,Time!BM28=0),BM29/Time!BM25*Inputs!$F$157,0)</f>
        <v>4.51740528960966</v>
      </c>
      <c r="BN42" s="19" t="n">
        <f aca="false">IF(AND(Time!BN26=1,Time!BN28=0),BN29/Time!BN25*Inputs!$F$157,0)</f>
        <v>4.62712447542816</v>
      </c>
      <c r="BO42" s="19" t="n">
        <f aca="false">IF(AND(Time!BO26=1,Time!BO28=0),BO29/Time!BO25*Inputs!$F$157,0)</f>
        <v>4.66813754416442</v>
      </c>
      <c r="BP42" s="19" t="n">
        <f aca="false">IF(AND(Time!BP26=1,Time!BP28=0),BP29/Time!BP25*Inputs!$F$157,0)</f>
        <v>4.78146904344161</v>
      </c>
      <c r="BQ42" s="19" t="n">
        <f aca="false">IF(AND(Time!BQ26=1,Time!BQ28=0),BQ29/Time!BQ25*Inputs!$F$157,0)</f>
        <v>4.8245593686863</v>
      </c>
      <c r="BR42" s="19" t="n">
        <f aca="false">IF(AND(Time!BR26=1,Time!BR28=0),BR29/Time!BR25*Inputs!$F$157,0)</f>
        <v>4.92219146812098</v>
      </c>
      <c r="BS42" s="19" t="n">
        <f aca="false">IF(AND(Time!BS26=1,Time!BS28=0),BS29/Time!BS25*Inputs!$F$157,0)</f>
        <v>4.96694644066722</v>
      </c>
      <c r="BT42" s="19" t="n">
        <f aca="false">IF(AND(Time!BT26=1,Time!BT28=0),BT29/Time!BT25*Inputs!$F$157,0)</f>
        <v>5.06728061964094</v>
      </c>
      <c r="BU42" s="19" t="n">
        <f aca="false">IF(AND(Time!BU26=1,Time!BU28=0),BU29/Time!BU25*Inputs!$F$157,0)</f>
        <v>5.11373398601714</v>
      </c>
      <c r="BV42" s="19" t="n">
        <f aca="false">IF(AND(Time!BV26=1,Time!BV28=0),BV29/Time!BV25*Inputs!$F$157,0)</f>
        <v>5.2168478860772</v>
      </c>
      <c r="BW42" s="19" t="n">
        <f aca="false">IF(AND(Time!BW26=1,Time!BW28=0),BW29/Time!BW25*Inputs!$F$157,0)</f>
        <v>5.26503396301923</v>
      </c>
      <c r="BX42" s="19" t="n">
        <f aca="false">IF(AND(Time!BX26=1,Time!BX28=0),BX29/Time!BX25*Inputs!$F$157,0)</f>
        <v>5.37100719010901</v>
      </c>
      <c r="BY42" s="19" t="n">
        <f aca="false">IF(AND(Time!BY26=1,Time!BY28=0),BY29/Time!BY25*Inputs!$F$157,0)</f>
        <v>5.4209608733857</v>
      </c>
      <c r="BZ42" s="19" t="n">
        <f aca="false">IF(AND(Time!BZ26=1,Time!BZ28=0),BZ29/Time!BZ25*Inputs!$F$157,0)</f>
        <v>5.52987504388821</v>
      </c>
      <c r="CA42" s="19" t="n">
        <f aca="false">IF(AND(Time!CA26=1,Time!CA28=0),CA29/Time!CA25*Inputs!$F$157,0)</f>
        <v>5.58163181725651</v>
      </c>
      <c r="CB42" s="19" t="n">
        <f aca="false">IF(AND(Time!CB26=1,Time!CB28=0),CB29/Time!CB25*Inputs!$F$157,0)</f>
        <v>5.69357060508602</v>
      </c>
      <c r="CC42" s="19" t="n">
        <f aca="false">IF(AND(Time!CC26=1,Time!CC28=0),CC29/Time!CC25*Inputs!$F$157,0)</f>
        <v>5.74716654937772</v>
      </c>
      <c r="CD42" s="19" t="n">
        <f aca="false">IF(AND(Time!CD26=1,Time!CD28=0),CD29/Time!CD25*Inputs!$F$157,0)</f>
        <v>5.86221573414325</v>
      </c>
      <c r="CE42" s="19" t="n">
        <f aca="false">IF(AND(Time!CE26=1,Time!CE28=0),CE29/Time!CE25*Inputs!$F$157,0)</f>
        <v>5.91768753648517</v>
      </c>
      <c r="CF42" s="19" t="n">
        <f aca="false">IF(AND(Time!CF26=1,Time!CF28=0),CF29/Time!CF25*Inputs!$F$157,0)</f>
        <v>6.03593505275031</v>
      </c>
      <c r="CG42" s="19" t="n">
        <f aca="false">IF(AND(Time!CG26=1,Time!CG28=0),CG29/Time!CG25*Inputs!$F$157,0)</f>
        <v>6.09394376551933</v>
      </c>
      <c r="CH42" s="19" t="n">
        <f aca="false">IF(AND(Time!CH26=1,Time!CH28=0),CH29/Time!CH25*Inputs!$F$157,0)</f>
        <v>6.21548723817857</v>
      </c>
      <c r="CI42" s="19" t="n">
        <f aca="false">IF(AND(Time!CI26=1,Time!CI28=0),CI29/Time!CI25*Inputs!$F$157,0)</f>
        <v>6.27545452469054</v>
      </c>
      <c r="CJ42" s="19" t="n">
        <f aca="false">IF(AND(Time!CJ26=1,Time!CJ28=0),CJ29/Time!CJ25*Inputs!$F$157,0)</f>
        <v>6.40038653014665</v>
      </c>
      <c r="CK42" s="19" t="n">
        <f aca="false">IF(AND(Time!CK26=1,Time!CK28=0),CK29/Time!CK25*Inputs!$F$157,0)</f>
        <v>6.46235104291677</v>
      </c>
      <c r="CL42" s="19" t="n">
        <f aca="false">IF(AND(Time!CL26=1,Time!CL28=0),CL29/Time!CL25*Inputs!$F$157,0)</f>
        <v>6.5907664703706</v>
      </c>
      <c r="CM42" s="19" t="n">
        <f aca="false">IF(AND(Time!CM26=1,Time!CM28=0),CM29/Time!CM25*Inputs!$F$157,0)</f>
        <v>6.65541398266272</v>
      </c>
      <c r="CN42" s="19" t="n">
        <f aca="false">IF(AND(Time!CN26=1,Time!CN28=0),CN29/Time!CN25*Inputs!$F$157,0)</f>
        <v>6.78741784576697</v>
      </c>
      <c r="CO42" s="19" t="n">
        <f aca="false">IF(AND(Time!CO26=1,Time!CO28=0),CO29/Time!CO25*Inputs!$F$157,0)</f>
        <v>6.8541495938554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0.98324285173001</v>
      </c>
      <c r="AA43" s="19" t="n">
        <f aca="false">AA41-AA42</f>
        <v>1.06813802314224</v>
      </c>
      <c r="AB43" s="19" t="n">
        <f aca="false">AB41-AB42</f>
        <v>1.49411693381795</v>
      </c>
      <c r="AC43" s="19" t="n">
        <f aca="false">AC41-AC42</f>
        <v>1.5947703632737</v>
      </c>
      <c r="AD43" s="19" t="n">
        <f aca="false">AD41-AD42</f>
        <v>1.90430446658139</v>
      </c>
      <c r="AE43" s="19" t="n">
        <f aca="false">AE41-AE42</f>
        <v>2.01950769743722</v>
      </c>
      <c r="AF43" s="19" t="n">
        <f aca="false">AF41-AF42</f>
        <v>2.27476476896063</v>
      </c>
      <c r="AG43" s="19" t="n">
        <f aca="false">AG41-AG42</f>
        <v>2.40110431213252</v>
      </c>
      <c r="AH43" s="19" t="n">
        <f aca="false">AH41-AH42</f>
        <v>2.50038065266014</v>
      </c>
      <c r="AI43" s="19" t="n">
        <f aca="false">AI41-AI42</f>
        <v>2.63568127914415</v>
      </c>
      <c r="AJ43" s="19" t="n">
        <f aca="false">AJ41-AJ42</f>
        <v>2.74337420639805</v>
      </c>
      <c r="AK43" s="19" t="n">
        <f aca="false">AK41-AK42</f>
        <v>2.8880992213475</v>
      </c>
      <c r="AL43" s="19" t="n">
        <f aca="false">AL41-AL42</f>
        <v>3.00482635273038</v>
      </c>
      <c r="AM43" s="19" t="n">
        <f aca="false">AM41-AM42</f>
        <v>3.1594602070367</v>
      </c>
      <c r="AN43" s="19" t="n">
        <f aca="false">AN41-AN42</f>
        <v>3.28587690587945</v>
      </c>
      <c r="AO43" s="19" t="n">
        <f aca="false">AO41-AO42</f>
        <v>3.4483472048669</v>
      </c>
      <c r="AP43" s="19" t="n">
        <f aca="false">AP41-AP42</f>
        <v>3.58506093793096</v>
      </c>
      <c r="AQ43" s="19" t="n">
        <f aca="false">AQ41-AQ42</f>
        <v>3.75838837912059</v>
      </c>
      <c r="AR43" s="19" t="n">
        <f aca="false">AR41-AR42</f>
        <v>3.90613026031174</v>
      </c>
      <c r="AS43" s="19" t="n">
        <f aca="false">AS41-AS42</f>
        <v>4.09086531370768</v>
      </c>
      <c r="AT43" s="19" t="n">
        <f aca="false">AT41-AT42</f>
        <v>4.25041032758231</v>
      </c>
      <c r="AU43" s="19" t="n">
        <f aca="false">AU41-AU42</f>
        <v>4.44712834429255</v>
      </c>
      <c r="AV43" s="19" t="n">
        <f aca="false">AV41-AV42</f>
        <v>4.61929769103729</v>
      </c>
      <c r="AW43" s="19" t="n">
        <f aca="false">AW41-AW42</f>
        <v>4.79322492766663</v>
      </c>
      <c r="AX43" s="19" t="n">
        <f aca="false">AX41-AX42</f>
        <v>4.89869328819968</v>
      </c>
      <c r="AY43" s="19" t="n">
        <f aca="false">AY41-AY42</f>
        <v>5.08265229408749</v>
      </c>
      <c r="AZ43" s="19" t="n">
        <f aca="false">AZ41-AZ42</f>
        <v>5.19465808872815</v>
      </c>
      <c r="BA43" s="19" t="n">
        <f aca="false">BA41-BA42</f>
        <v>5.38593323475176</v>
      </c>
      <c r="BB43" s="19" t="n">
        <f aca="false">BB41-BB42</f>
        <v>5.50479211082461</v>
      </c>
      <c r="BC43" s="19" t="n">
        <f aca="false">BC41-BC42</f>
        <v>5.70677866502554</v>
      </c>
      <c r="BD43" s="19" t="n">
        <f aca="false">BD41-BD42</f>
        <v>5.83289154628652</v>
      </c>
      <c r="BE43" s="19" t="n">
        <f aca="false">BE41-BE42</f>
        <v>6.04598104888869</v>
      </c>
      <c r="BF43" s="19" t="n">
        <f aca="false">BF41-BF42</f>
        <v>6.17976700927766</v>
      </c>
      <c r="BG43" s="19" t="n">
        <f aca="false">BG41-BG42</f>
        <v>6.40106045773001</v>
      </c>
      <c r="BH43" s="19" t="n">
        <f aca="false">BH41-BH42</f>
        <v>6.54288145442894</v>
      </c>
      <c r="BI43" s="19" t="n">
        <f aca="false">BI41-BI42</f>
        <v>6.77602235959172</v>
      </c>
      <c r="BJ43" s="19" t="n">
        <f aca="false">BJ41-BJ42</f>
        <v>6.92633239518775</v>
      </c>
      <c r="BK43" s="19" t="n">
        <f aca="false">BK41-BK42</f>
        <v>7.1717486758354</v>
      </c>
      <c r="BL43" s="19" t="n">
        <f aca="false">BL41-BL42</f>
        <v>7.33102195473818</v>
      </c>
      <c r="BM43" s="19" t="n">
        <f aca="false">BM41-BM42</f>
        <v>7.58561887822245</v>
      </c>
      <c r="BN43" s="19" t="n">
        <f aca="false">BN41-BN42</f>
        <v>7.75426924826409</v>
      </c>
      <c r="BO43" s="19" t="n">
        <f aca="false">BO41-BO42</f>
        <v>8.02195669689752</v>
      </c>
      <c r="BP43" s="19" t="n">
        <f aca="false">BP41-BP42</f>
        <v>8.20049736516474</v>
      </c>
      <c r="BQ43" s="19" t="n">
        <f aca="false">BQ41-BQ42</f>
        <v>8.48174282133165</v>
      </c>
      <c r="BR43" s="19" t="n">
        <f aca="false">BR41-BR42</f>
        <v>8.54378634817719</v>
      </c>
      <c r="BS43" s="19" t="n">
        <f aca="false">BS41-BS42</f>
        <v>8.8358967603876</v>
      </c>
      <c r="BT43" s="19" t="n">
        <f aca="false">BT41-BT42</f>
        <v>8.90119669982655</v>
      </c>
      <c r="BU43" s="19" t="n">
        <f aca="false">BU41-BU42</f>
        <v>9.20439232767982</v>
      </c>
      <c r="BV43" s="19" t="n">
        <f aca="false">BV41-BV42</f>
        <v>9.27309594338412</v>
      </c>
      <c r="BW43" s="19" t="n">
        <f aca="false">BW41-BW42</f>
        <v>9.58760076815632</v>
      </c>
      <c r="BX43" s="19" t="n">
        <f aca="false">BX41-BX42</f>
        <v>9.65985915784065</v>
      </c>
      <c r="BY43" s="19" t="n">
        <f aca="false">BY41-BY42</f>
        <v>9.98590094008742</v>
      </c>
      <c r="BZ43" s="19" t="n">
        <f aca="false">BZ41-BZ42</f>
        <v>10.0618691113466</v>
      </c>
      <c r="CA43" s="19" t="n">
        <f aca="false">CA41-CA42</f>
        <v>10.3996794493525</v>
      </c>
      <c r="CB43" s="19" t="n">
        <f aca="false">CB41-CB42</f>
        <v>10.4795163967223</v>
      </c>
      <c r="CC43" s="19" t="n">
        <f aca="false">CC41-CC42</f>
        <v>10.8293307858091</v>
      </c>
      <c r="CD43" s="19" t="n">
        <f aca="false">CD41-CD42</f>
        <v>10.9131995690658</v>
      </c>
      <c r="CE43" s="19" t="n">
        <f aca="false">CE41-CE42</f>
        <v>11.2752574617706</v>
      </c>
      <c r="CF43" s="19" t="n">
        <f aca="false">CF41-CF42</f>
        <v>11.3633252854845</v>
      </c>
      <c r="CG43" s="19" t="n">
        <f aca="false">CG41-CG42</f>
        <v>11.7419412924823</v>
      </c>
      <c r="CH43" s="19" t="n">
        <f aca="false">CH41-CH42</f>
        <v>11.8344284405191</v>
      </c>
      <c r="CI43" s="19" t="n">
        <f aca="false">CI41-CI42</f>
        <v>12.2258278266779</v>
      </c>
      <c r="CJ43" s="19" t="n">
        <f aca="false">CJ41-CJ42</f>
        <v>12.3229112094382</v>
      </c>
      <c r="CK43" s="19" t="n">
        <f aca="false">CK41-CK42</f>
        <v>12.7273462551528</v>
      </c>
      <c r="CL43" s="19" t="n">
        <f aca="false">CL41-CL42</f>
        <v>12.8292071952758</v>
      </c>
      <c r="CM43" s="19" t="n">
        <f aca="false">CM41-CM42</f>
        <v>13.2511538615266</v>
      </c>
      <c r="CN43" s="19" t="n">
        <f aca="false">CN41-CN42</f>
        <v>13.3580288125526</v>
      </c>
      <c r="CO43" s="19" t="n">
        <f aca="false">CO41-CO42</f>
        <v>13.7935790393233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0.98324285173001</v>
      </c>
      <c r="AA44" s="19" t="n">
        <f aca="false">AA43-Z43</f>
        <v>0.0848951714122257</v>
      </c>
      <c r="AB44" s="19" t="n">
        <f aca="false">AB43-AA43</f>
        <v>0.425978910675712</v>
      </c>
      <c r="AC44" s="19" t="n">
        <f aca="false">AC43-AB43</f>
        <v>0.100653429455756</v>
      </c>
      <c r="AD44" s="19" t="n">
        <f aca="false">AD43-AC43</f>
        <v>0.309534103307685</v>
      </c>
      <c r="AE44" s="19" t="n">
        <f aca="false">AE43-AD43</f>
        <v>0.115203230855826</v>
      </c>
      <c r="AF44" s="19" t="n">
        <f aca="false">AF43-AE43</f>
        <v>0.255257071523417</v>
      </c>
      <c r="AG44" s="19" t="n">
        <f aca="false">AG43-AF43</f>
        <v>0.126339543171888</v>
      </c>
      <c r="AH44" s="19" t="n">
        <f aca="false">AH43-AG43</f>
        <v>0.0992763405276236</v>
      </c>
      <c r="AI44" s="19" t="n">
        <f aca="false">AI43-AH43</f>
        <v>0.13530062648401</v>
      </c>
      <c r="AJ44" s="19" t="n">
        <f aca="false">AJ43-AI43</f>
        <v>0.107692927253896</v>
      </c>
      <c r="AK44" s="19" t="n">
        <f aca="false">AK43-AJ43</f>
        <v>0.144725014949447</v>
      </c>
      <c r="AL44" s="19" t="n">
        <f aca="false">AL43-AK43</f>
        <v>0.116727131382886</v>
      </c>
      <c r="AM44" s="19" t="n">
        <f aca="false">AM43-AL43</f>
        <v>0.154633854306319</v>
      </c>
      <c r="AN44" s="19" t="n">
        <f aca="false">AN43-AM43</f>
        <v>0.126416698842745</v>
      </c>
      <c r="AO44" s="19" t="n">
        <f aca="false">AO43-AN43</f>
        <v>0.162470298987455</v>
      </c>
      <c r="AP44" s="19" t="n">
        <f aca="false">AP43-AO43</f>
        <v>0.13671373306406</v>
      </c>
      <c r="AQ44" s="19" t="n">
        <f aca="false">AQ43-AP43</f>
        <v>0.173327441189632</v>
      </c>
      <c r="AR44" s="19" t="n">
        <f aca="false">AR43-AQ43</f>
        <v>0.147741881191149</v>
      </c>
      <c r="AS44" s="19" t="n">
        <f aca="false">AS43-AR43</f>
        <v>0.184735053395931</v>
      </c>
      <c r="AT44" s="19" t="n">
        <f aca="false">AT43-AS43</f>
        <v>0.159545013874635</v>
      </c>
      <c r="AU44" s="19" t="n">
        <f aca="false">AU43-AT43</f>
        <v>0.196718016710239</v>
      </c>
      <c r="AV44" s="19" t="n">
        <f aca="false">AV43-AU43</f>
        <v>0.172169346744738</v>
      </c>
      <c r="AW44" s="19" t="n">
        <f aca="false">AW43-AV43</f>
        <v>0.173927236629345</v>
      </c>
      <c r="AX44" s="19" t="n">
        <f aca="false">AX43-AW43</f>
        <v>0.105468360533051</v>
      </c>
      <c r="AY44" s="19" t="n">
        <f aca="false">AY43-AX43</f>
        <v>0.18395900588781</v>
      </c>
      <c r="AZ44" s="19" t="n">
        <f aca="false">AZ43-AY43</f>
        <v>0.112005794640656</v>
      </c>
      <c r="BA44" s="19" t="n">
        <f aca="false">BA43-AZ43</f>
        <v>0.191275146023612</v>
      </c>
      <c r="BB44" s="19" t="n">
        <f aca="false">BB43-BA43</f>
        <v>0.118858876072844</v>
      </c>
      <c r="BC44" s="19" t="n">
        <f aca="false">BC43-BB43</f>
        <v>0.201986554200934</v>
      </c>
      <c r="BD44" s="19" t="n">
        <f aca="false">BD43-BC43</f>
        <v>0.126112881260983</v>
      </c>
      <c r="BE44" s="19" t="n">
        <f aca="false">BE43-BD43</f>
        <v>0.213089502602166</v>
      </c>
      <c r="BF44" s="19" t="n">
        <f aca="false">BF43-BE43</f>
        <v>0.133785960388971</v>
      </c>
      <c r="BG44" s="19" t="n">
        <f aca="false">BG43-BF43</f>
        <v>0.221293448452355</v>
      </c>
      <c r="BH44" s="19" t="n">
        <f aca="false">BH43-BG43</f>
        <v>0.14182099669893</v>
      </c>
      <c r="BI44" s="19" t="n">
        <f aca="false">BI43-BH43</f>
        <v>0.233140905162779</v>
      </c>
      <c r="BJ44" s="19" t="n">
        <f aca="false">BJ43-BI43</f>
        <v>0.150310035596029</v>
      </c>
      <c r="BK44" s="19" t="n">
        <f aca="false">BK43-BJ43</f>
        <v>0.245416280647653</v>
      </c>
      <c r="BL44" s="19" t="n">
        <f aca="false">BL43-BK43</f>
        <v>0.159273278902772</v>
      </c>
      <c r="BM44" s="19" t="n">
        <f aca="false">BM43-BL43</f>
        <v>0.254596923484278</v>
      </c>
      <c r="BN44" s="19" t="n">
        <f aca="false">BN43-BM43</f>
        <v>0.168650370041636</v>
      </c>
      <c r="BO44" s="19" t="n">
        <f aca="false">BO43-BN43</f>
        <v>0.267687448633427</v>
      </c>
      <c r="BP44" s="19" t="n">
        <f aca="false">BP43-BO43</f>
        <v>0.178540668267223</v>
      </c>
      <c r="BQ44" s="19" t="n">
        <f aca="false">BQ43-BP43</f>
        <v>0.281245456166914</v>
      </c>
      <c r="BR44" s="19" t="n">
        <f aca="false">BR43-BQ43</f>
        <v>0.0620435268455353</v>
      </c>
      <c r="BS44" s="19" t="n">
        <f aca="false">BS43-BR43</f>
        <v>0.292110412210414</v>
      </c>
      <c r="BT44" s="19" t="n">
        <f aca="false">BT43-BS43</f>
        <v>0.0652999394389422</v>
      </c>
      <c r="BU44" s="19" t="n">
        <f aca="false">BU43-BT43</f>
        <v>0.30319562785327</v>
      </c>
      <c r="BV44" s="19" t="n">
        <f aca="false">BV43-BU43</f>
        <v>0.0687036157043082</v>
      </c>
      <c r="BW44" s="19" t="n">
        <f aca="false">BW43-BV43</f>
        <v>0.314504824772198</v>
      </c>
      <c r="BX44" s="19" t="n">
        <f aca="false">BX43-BW43</f>
        <v>0.0722583896843272</v>
      </c>
      <c r="BY44" s="19" t="n">
        <f aca="false">BY43-BX43</f>
        <v>0.326041782246771</v>
      </c>
      <c r="BZ44" s="19" t="n">
        <f aca="false">BZ43-BY43</f>
        <v>0.0759681712591682</v>
      </c>
      <c r="CA44" s="19" t="n">
        <f aca="false">CA43-BZ43</f>
        <v>0.337810338005955</v>
      </c>
      <c r="CB44" s="19" t="n">
        <f aca="false">CB43-CA43</f>
        <v>0.0798369473698024</v>
      </c>
      <c r="CC44" s="19" t="n">
        <f aca="false">CC43-CB43</f>
        <v>0.349814389086731</v>
      </c>
      <c r="CD44" s="19" t="n">
        <f aca="false">CD43-CC43</f>
        <v>0.0838687832567118</v>
      </c>
      <c r="CE44" s="19" t="n">
        <f aca="false">CE43-CD43</f>
        <v>0.362057892704769</v>
      </c>
      <c r="CF44" s="19" t="n">
        <f aca="false">CF43-CE43</f>
        <v>0.0880678237139225</v>
      </c>
      <c r="CG44" s="19" t="n">
        <f aca="false">CG43-CF43</f>
        <v>0.378616006997804</v>
      </c>
      <c r="CH44" s="19" t="n">
        <f aca="false">CH43-CG43</f>
        <v>0.0924871480367848</v>
      </c>
      <c r="CI44" s="19" t="n">
        <f aca="false">CI43-CH43</f>
        <v>0.391399386158804</v>
      </c>
      <c r="CJ44" s="19" t="n">
        <f aca="false">CJ43-CI43</f>
        <v>0.0970833827603048</v>
      </c>
      <c r="CK44" s="19" t="n">
        <f aca="false">CK43-CJ43</f>
        <v>0.404435045714662</v>
      </c>
      <c r="CL44" s="19" t="n">
        <f aca="false">CL43-CK43</f>
        <v>0.101860940123006</v>
      </c>
      <c r="CM44" s="19" t="n">
        <f aca="false">CM43-CL43</f>
        <v>0.42194666625076</v>
      </c>
      <c r="CN44" s="19" t="n">
        <f aca="false">CN43-CM43</f>
        <v>0.106874951026024</v>
      </c>
      <c r="CO44" s="19" t="n">
        <f aca="false">CO43-CN43</f>
        <v>0.43555022677068</v>
      </c>
      <c r="CP44" s="19" t="n">
        <f aca="false">CP43-CO43</f>
        <v>-13.7935790393233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1094.14704389852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7.60744330549925</v>
      </c>
      <c r="BO47" s="29" t="n">
        <f aca="false">Tax!BO23</f>
        <v>25.7705883601431</v>
      </c>
      <c r="BP47" s="29" t="n">
        <f aca="false">Tax!BP23</f>
        <v>26.5733550599725</v>
      </c>
      <c r="BQ47" s="29" t="n">
        <f aca="false">Tax!BQ23</f>
        <v>28.2847840142577</v>
      </c>
      <c r="BR47" s="29" t="n">
        <f aca="false">Tax!BR23</f>
        <v>28.4336820905352</v>
      </c>
      <c r="BS47" s="29" t="n">
        <f aca="false">Tax!BS23</f>
        <v>30.4066760700956</v>
      </c>
      <c r="BT47" s="29" t="n">
        <f aca="false">Tax!BT23</f>
        <v>30.5685770111626</v>
      </c>
      <c r="BU47" s="29" t="n">
        <f aca="false">Tax!BU23</f>
        <v>0</v>
      </c>
      <c r="BV47" s="29" t="n">
        <f aca="false">Tax!BV23</f>
        <v>32.0578947785884</v>
      </c>
      <c r="BW47" s="29" t="n">
        <f aca="false">Tax!BW23</f>
        <v>35.1541415582387</v>
      </c>
      <c r="BX47" s="29" t="n">
        <f aca="false">Tax!BX23</f>
        <v>35.6205068727001</v>
      </c>
      <c r="BY47" s="29" t="n">
        <f aca="false">Tax!BY23</f>
        <v>37.800291122687</v>
      </c>
      <c r="BZ47" s="29" t="n">
        <f aca="false">Tax!BZ23</f>
        <v>38.0798237587849</v>
      </c>
      <c r="CA47" s="29" t="n">
        <f aca="false">Tax!CA23</f>
        <v>40.5887620763854</v>
      </c>
      <c r="CB47" s="29" t="n">
        <f aca="false">Tax!CB23</f>
        <v>40.8444091078856</v>
      </c>
      <c r="CC47" s="29" t="n">
        <f aca="false">Tax!CC23</f>
        <v>43.4390691301717</v>
      </c>
      <c r="CD47" s="29" t="n">
        <f aca="false">Tax!CD23</f>
        <v>43.714795158422</v>
      </c>
      <c r="CE47" s="29" t="n">
        <f aca="false">Tax!CE23</f>
        <v>46.4434093717537</v>
      </c>
      <c r="CF47" s="29" t="n">
        <f aca="false">Tax!CF23</f>
        <v>46.9796252631436</v>
      </c>
      <c r="CG47" s="29" t="n">
        <f aca="false">Tax!CG23</f>
        <v>27.90782951313</v>
      </c>
      <c r="CH47" s="29" t="n">
        <f aca="false">Tax!CH23</f>
        <v>49.7697555074679</v>
      </c>
      <c r="CI47" s="29" t="n">
        <f aca="false">Tax!CI23</f>
        <v>52.3687690303012</v>
      </c>
      <c r="CJ47" s="29" t="n">
        <f aca="false">Tax!CJ23</f>
        <v>52.2597611293898</v>
      </c>
      <c r="CK47" s="29" t="n">
        <f aca="false">Tax!CK23</f>
        <v>44.4972581000313</v>
      </c>
      <c r="CL47" s="29" t="n">
        <f aca="false">Tax!CL23</f>
        <v>54.863374369409</v>
      </c>
      <c r="CM47" s="29" t="n">
        <f aca="false">Tax!CM23</f>
        <v>57.6992233783356</v>
      </c>
      <c r="CN47" s="29" t="n">
        <f aca="false">Tax!CN23</f>
        <v>57.8966107098305</v>
      </c>
      <c r="CO47" s="29" t="n">
        <f aca="false">Tax!CO23</f>
        <v>60.5266055569788</v>
      </c>
      <c r="CP47" s="29" t="n">
        <f aca="false">Tax!CP23</f>
        <v>17.9900224932139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6703.68908990801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13.2057960522632</v>
      </c>
      <c r="AA48" s="19" t="n">
        <f aca="false">(AA32-AA44-AA47-AA37-AA39)*(1-Time!AA20)</f>
        <v>29.811967654051</v>
      </c>
      <c r="AB48" s="19" t="n">
        <f aca="false">(AB32-AB44-AB47-AB37-AB39)*(1-Time!AB20)</f>
        <v>35.4999361498271</v>
      </c>
      <c r="AC48" s="19" t="n">
        <f aca="false">(AC32-AC44-AC47-AC37-AC39)*(1-Time!AC20)</f>
        <v>37.6510219802945</v>
      </c>
      <c r="AD48" s="19" t="n">
        <f aca="false">(AD32-AD44-AD47-AD37-AD39)*(1-Time!AD20)</f>
        <v>41.5262939014061</v>
      </c>
      <c r="AE48" s="19" t="n">
        <f aca="false">(AE32-AE44-AE47-AE37-AE39)*(1-Time!AE20)</f>
        <v>44.0518580356782</v>
      </c>
      <c r="AF48" s="19" t="n">
        <f aca="false">(AF32-AF44-AF47-AF37-AF39)*(1-Time!AF20)</f>
        <v>47.141564172366</v>
      </c>
      <c r="AG48" s="19" t="n">
        <f aca="false">(AG32-AG44-AG47-AG37-AG39)*(1-Time!AG20)</f>
        <v>49.8522088901647</v>
      </c>
      <c r="AH48" s="19" t="n">
        <f aca="false">(AH32-AH44-AH47-AH37-AH39)*(1-Time!AH20)</f>
        <v>50.8423903256552</v>
      </c>
      <c r="AI48" s="19" t="n">
        <f aca="false">(AI32-AI44-AI47-AI37-AI39)*(1-Time!AI20)</f>
        <v>50.3596332262114</v>
      </c>
      <c r="AJ48" s="19" t="n">
        <f aca="false">(AJ32-AJ44-AJ47-AJ37-AJ39)*(1-Time!AJ20)</f>
        <v>51.7194008002565</v>
      </c>
      <c r="AK48" s="19" t="n">
        <f aca="false">(AK32-AK44-AK47-AK37-AK39)*(1-Time!AK20)</f>
        <v>54.3447497898363</v>
      </c>
      <c r="AL48" s="19" t="n">
        <f aca="false">(AL32-AL44-AL47-AL37-AL39)*(1-Time!AL20)</f>
        <v>55.4736792651828</v>
      </c>
      <c r="AM48" s="19" t="n">
        <f aca="false">(AM32-AM44-AM47-AM37-AM39)*(1-Time!AM20)</f>
        <v>58.6088405519315</v>
      </c>
      <c r="AN48" s="19" t="n">
        <f aca="false">(AN32-AN44-AN47-AN37-AN39)*(1-Time!AN20)</f>
        <v>59.8140464339361</v>
      </c>
      <c r="AO48" s="19" t="n">
        <f aca="false">(AO32-AO44-AO47-AO37-AO39)*(1-Time!AO20)</f>
        <v>66.3491827406967</v>
      </c>
      <c r="AP48" s="19" t="n">
        <f aca="false">(AP32-AP44-AP47-AP37-AP39)*(1-Time!AP20)</f>
        <v>67.6325043602451</v>
      </c>
      <c r="AQ48" s="19" t="n">
        <f aca="false">(AQ32-AQ44-AQ47-AQ37-AQ39)*(1-Time!AQ20)</f>
        <v>60.900382629931</v>
      </c>
      <c r="AR48" s="19" t="n">
        <f aca="false">(AR32-AR44-AR47-AR37-AR39)*(1-Time!AR20)</f>
        <v>62.6711775737956</v>
      </c>
      <c r="AS48" s="19" t="n">
        <f aca="false">(AS32-AS44-AS47-AS37-AS39)*(1-Time!AS20)</f>
        <v>66.0638433230532</v>
      </c>
      <c r="AT48" s="19" t="n">
        <f aca="false">(AT32-AT44-AT47-AT37-AT39)*(1-Time!AT20)</f>
        <v>67.5242984290686</v>
      </c>
      <c r="AU48" s="19" t="n">
        <f aca="false">(AU32-AU44-AU47-AU37-AU39)*(1-Time!AU20)</f>
        <v>71.5760936513739</v>
      </c>
      <c r="AV48" s="19" t="n">
        <f aca="false">(AV32-AV44-AV47-AV37-AV39)*(1-Time!AV20)</f>
        <v>73.1336853372829</v>
      </c>
      <c r="AW48" s="19" t="n">
        <f aca="false">(AW32-AW44-AW47-AW37-AW39)*(1-Time!AW20)</f>
        <v>78.9807975932619</v>
      </c>
      <c r="AX48" s="19" t="n">
        <f aca="false">(AX32-AX44-AX47-AX37-AX39)*(1-Time!AX20)</f>
        <v>79.5731639027569</v>
      </c>
      <c r="AY48" s="19" t="n">
        <f aca="false">(AY32-AY44-AY47-AY37-AY39)*(1-Time!AY20)</f>
        <v>79.65136927751</v>
      </c>
      <c r="AZ48" s="19" t="n">
        <f aca="false">(AZ32-AZ44-AZ47-AZ37-AZ39)*(1-Time!AZ20)</f>
        <v>80.7871500882672</v>
      </c>
      <c r="BA48" s="19" t="n">
        <f aca="false">(BA32-BA44-BA47-BA37-BA39)*(1-Time!BA20)</f>
        <v>84.4503672018265</v>
      </c>
      <c r="BB48" s="19" t="n">
        <f aca="false">(BB32-BB44-BB47-BB37-BB39)*(1-Time!BB20)</f>
        <v>85.1046691438304</v>
      </c>
      <c r="BC48" s="19" t="n">
        <f aca="false">(BC32-BC44-BC47-BC37-BC39)*(1-Time!BC20)</f>
        <v>97.8002319889381</v>
      </c>
      <c r="BD48" s="19" t="n">
        <f aca="false">(BD32-BD44-BD47-BD37-BD39)*(1-Time!BD20)</f>
        <v>98.4892700489251</v>
      </c>
      <c r="BE48" s="19" t="n">
        <f aca="false">(BE32-BE44-BE47-BE37-BE39)*(1-Time!BE20)</f>
        <v>107.047864737675</v>
      </c>
      <c r="BF48" s="19" t="n">
        <f aca="false">(BF32-BF44-BF47-BF37-BF39)*(1-Time!BF20)</f>
        <v>107.773322120946</v>
      </c>
      <c r="BG48" s="19" t="n">
        <f aca="false">(BG32-BG44-BG47-BG37-BG39)*(1-Time!BG20)</f>
        <v>112.620415809364</v>
      </c>
      <c r="BH48" s="19" t="n">
        <f aca="false">(BH32-BH44-BH47-BH37-BH39)*(1-Time!BH20)</f>
        <v>114.007716239484</v>
      </c>
      <c r="BI48" s="19" t="n">
        <f aca="false">(BI32-BI44-BI47-BI37-BI39)*(1-Time!BI20)</f>
        <v>118.485305392427</v>
      </c>
      <c r="BJ48" s="19" t="n">
        <f aca="false">(BJ32-BJ44-BJ47-BJ37-BJ39)*(1-Time!BJ20)</f>
        <v>119.285098779664</v>
      </c>
      <c r="BK48" s="19" t="n">
        <f aca="false">(BK32-BK44-BK47-BK37-BK39)*(1-Time!BK20)</f>
        <v>124.658620094971</v>
      </c>
      <c r="BL48" s="19" t="n">
        <f aca="false">(BL32-BL44-BL47-BL37-BL39)*(1-Time!BL20)</f>
        <v>125.499987190561</v>
      </c>
      <c r="BM48" s="19" t="n">
        <f aca="false">(BM32-BM44-BM47-BM37-BM39)*(1-Time!BM20)</f>
        <v>131.106968267941</v>
      </c>
      <c r="BN48" s="19" t="n">
        <f aca="false">(BN32-BN44-BN47-BN37-BN39)*(1-Time!BN20)</f>
        <v>124.380655131397</v>
      </c>
      <c r="BO48" s="19" t="n">
        <f aca="false">(BO32-BO44-BO47-BO37-BO39)*(1-Time!BO20)</f>
        <v>93.513086151924</v>
      </c>
      <c r="BP48" s="19" t="n">
        <f aca="false">(BP32-BP44-BP47-BP37-BP39)*(1-Time!BP20)</f>
        <v>94.4045985453348</v>
      </c>
      <c r="BQ48" s="19" t="n">
        <f aca="false">(BQ32-BQ44-BQ47-BQ37-BQ39)*(1-Time!BQ20)</f>
        <v>98.1246783432969</v>
      </c>
      <c r="BR48" s="19" t="n">
        <f aca="false">(BR32-BR44-BR47-BR37-BR39)*(1-Time!BR20)</f>
        <v>97.301418403763</v>
      </c>
      <c r="BS48" s="19" t="n">
        <f aca="false">(BS32-BS44-BS47-BS37-BS39)*(1-Time!BS20)</f>
        <v>101.644581530227</v>
      </c>
      <c r="BT48" s="19" t="n">
        <f aca="false">(BT32-BT44-BT47-BT37-BT39)*(1-Time!BT20)</f>
        <v>100.784496575918</v>
      </c>
      <c r="BU48" s="19" t="n">
        <f aca="false">(BU32-BU44-BU47-BU37-BU39)*(1-Time!BU20)</f>
        <v>156.513657952211</v>
      </c>
      <c r="BV48" s="19" t="n">
        <f aca="false">(BV32-BV44-BV47-BV37-BV39)*(1-Time!BV20)</f>
        <v>123.732693154887</v>
      </c>
      <c r="BW48" s="19" t="n">
        <f aca="false">(BW32-BW44-BW47-BW37-BW39)*(1-Time!BW20)</f>
        <v>127.44520177735</v>
      </c>
      <c r="BX48" s="19" t="n">
        <f aca="false">(BX32-BX44-BX47-BX37-BX39)*(1-Time!BX20)</f>
        <v>127.1243869743</v>
      </c>
      <c r="BY48" s="19" t="n">
        <f aca="false">(BY32-BY44-BY47-BY37-BY39)*(1-Time!BY20)</f>
        <v>131.115290905852</v>
      </c>
      <c r="BZ48" s="19" t="n">
        <f aca="false">(BZ32-BZ44-BZ47-BZ37-BZ39)*(1-Time!BZ20)</f>
        <v>130.059606645461</v>
      </c>
      <c r="CA48" s="19" t="n">
        <f aca="false">(CA32-CA44-CA47-CA37-CA39)*(1-Time!CA20)</f>
        <v>122.869952960207</v>
      </c>
      <c r="CB48" s="19" t="n">
        <f aca="false">(CB32-CB44-CB47-CB37-CB39)*(1-Time!CB20)</f>
        <v>121.809898071967</v>
      </c>
      <c r="CC48" s="19" t="n">
        <f aca="false">(CC32-CC44-CC47-CC37-CC39)*(1-Time!CC20)</f>
        <v>126.814807637733</v>
      </c>
      <c r="CD48" s="19" t="n">
        <f aca="false">(CD32-CD44-CD47-CD37-CD39)*(1-Time!CD20)</f>
        <v>125.705232375008</v>
      </c>
      <c r="CE48" s="19" t="n">
        <f aca="false">(CE32-CE44-CE47-CE37-CE39)*(1-Time!CE20)</f>
        <v>125.039892704174</v>
      </c>
      <c r="CF48" s="19" t="n">
        <f aca="false">(CF32-CF44-CF47-CF37-CF39)*(1-Time!CF20)</f>
        <v>124.680775538843</v>
      </c>
      <c r="CG48" s="19" t="n">
        <f aca="false">(CG32-CG44-CG47-CG37-CG39)*(1-Time!CG20)</f>
        <v>153.314798010442</v>
      </c>
      <c r="CH48" s="19" t="n">
        <f aca="false">(CH32-CH44-CH47-CH37-CH39)*(1-Time!CH20)</f>
        <v>130.319650147852</v>
      </c>
      <c r="CI48" s="19" t="n">
        <f aca="false">(CI32-CI44-CI47-CI37-CI39)*(1-Time!CI20)</f>
        <v>136.23246307777</v>
      </c>
      <c r="CJ48" s="19" t="n">
        <f aca="false">(CJ32-CJ44-CJ47-CJ37-CJ39)*(1-Time!CJ20)</f>
        <v>135.168775495426</v>
      </c>
      <c r="CK48" s="19" t="n">
        <f aca="false">(CK32-CK44-CK47-CK37-CK39)*(1-Time!CK20)</f>
        <v>157.56014990159</v>
      </c>
      <c r="CL48" s="19" t="n">
        <f aca="false">(CL32-CL44-CL47-CL37-CL39)*(1-Time!CL20)</f>
        <v>145.980389884893</v>
      </c>
      <c r="CM48" s="19" t="n">
        <f aca="false">(CM32-CM44-CM47-CM37-CM39)*(1-Time!CM20)</f>
        <v>152.325534464231</v>
      </c>
      <c r="CN48" s="19" t="n">
        <f aca="false">(CN32-CN44-CN47-CN37-CN39)*(1-Time!CN20)</f>
        <v>152.088653843563</v>
      </c>
      <c r="CO48" s="19" t="n">
        <f aca="false">(CO32-CO44-CO47-CO37-CO39)*(1-Time!CO20)</f>
        <v>157.747542334871</v>
      </c>
      <c r="CP48" s="19" t="n">
        <f aca="false">(CP32-CP44-CP47-CP37-CP39)*(1-Time!CP20)</f>
        <v>168.809348214662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732.019514901452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25.5670106863837</v>
      </c>
      <c r="AF14" s="19" t="n">
        <f aca="false">Waterfall!AF54*(1-Time!AF20)</f>
        <v>25.4103751171725</v>
      </c>
      <c r="AG14" s="19" t="n">
        <f aca="false">Waterfall!AG54*(1-Time!AG20)</f>
        <v>26.1654691233536</v>
      </c>
      <c r="AH14" s="19" t="n">
        <f aca="false">Waterfall!AH54*(1-Time!AH20)</f>
        <v>25.706229143041</v>
      </c>
      <c r="AI14" s="19" t="n">
        <f aca="false">Waterfall!AI54*(1-Time!AI20)</f>
        <v>26.0338959615524</v>
      </c>
      <c r="AJ14" s="19" t="n">
        <f aca="false">Waterfall!AJ54*(1-Time!AJ20)</f>
        <v>25.6886355894787</v>
      </c>
      <c r="AK14" s="19" t="n">
        <f aca="false">Waterfall!AK54*(1-Time!AK20)</f>
        <v>26.1086684518623</v>
      </c>
      <c r="AL14" s="19" t="n">
        <f aca="false">Waterfall!AL54*(1-Time!AL20)</f>
        <v>25.8636909382334</v>
      </c>
      <c r="AM14" s="19" t="n">
        <f aca="false">Waterfall!AM54*(1-Time!AM20)</f>
        <v>26.4073732485922</v>
      </c>
      <c r="AN14" s="19" t="n">
        <f aca="false">Waterfall!AN54*(1-Time!AN20)</f>
        <v>25.9559698682725</v>
      </c>
      <c r="AO14" s="19" t="n">
        <f aca="false">Waterfall!AO54*(1-Time!AO20)</f>
        <v>26.2816777069961</v>
      </c>
      <c r="AP14" s="19" t="n">
        <f aca="false">Waterfall!AP54*(1-Time!AP20)</f>
        <v>25.4325027105273</v>
      </c>
      <c r="AQ14" s="19" t="n">
        <f aca="false">Waterfall!AQ54*(1-Time!AQ20)</f>
        <v>25.3292299734614</v>
      </c>
      <c r="AR14" s="19" t="n">
        <f aca="false">Waterfall!AR54*(1-Time!AR20)</f>
        <v>24.8637466873979</v>
      </c>
      <c r="AS14" s="19" t="n">
        <f aca="false">Waterfall!AS54*(1-Time!AS20)</f>
        <v>24.8306974998516</v>
      </c>
      <c r="AT14" s="19" t="n">
        <f aca="false">Waterfall!AT54*(1-Time!AT20)</f>
        <v>23.945768836465</v>
      </c>
      <c r="AU14" s="19" t="n">
        <f aca="false">Waterfall!AU54*(1-Time!AU20)</f>
        <v>23.7357277653555</v>
      </c>
      <c r="AV14" s="19" t="n">
        <f aca="false">Waterfall!AV54*(1-Time!AV20)</f>
        <v>22.5525731489104</v>
      </c>
      <c r="AW14" s="19" t="n">
        <f aca="false">Waterfall!AW54*(1-Time!AW20)</f>
        <v>22.0932895371611</v>
      </c>
      <c r="AX14" s="19" t="n">
        <f aca="false">Waterfall!AX54*(1-Time!AX20)</f>
        <v>20.6395578647642</v>
      </c>
      <c r="AY14" s="19" t="n">
        <f aca="false">Waterfall!AY54*(1-Time!AY20)</f>
        <v>19.75730079691</v>
      </c>
      <c r="AZ14" s="19" t="n">
        <f aca="false">Waterfall!AZ54*(1-Time!AZ20)</f>
        <v>18.2925468387958</v>
      </c>
      <c r="BA14" s="19" t="n">
        <f aca="false">Waterfall!BA54*(1-Time!BA20)</f>
        <v>17.1623718041724</v>
      </c>
      <c r="BB14" s="19" t="n">
        <f aca="false">Waterfall!BB54*(1-Time!BB20)</f>
        <v>15.3596300892541</v>
      </c>
      <c r="BC14" s="19" t="n">
        <f aca="false">Waterfall!BC54*(1-Time!BC20)</f>
        <v>14.175633860728</v>
      </c>
      <c r="BD14" s="19" t="n">
        <f aca="false">Waterfall!BD54*(1-Time!BD20)</f>
        <v>11.9238664000548</v>
      </c>
      <c r="BE14" s="19" t="n">
        <f aca="false">Waterfall!BE54*(1-Time!BE20)</f>
        <v>10.0709303630054</v>
      </c>
      <c r="BF14" s="19" t="n">
        <f aca="false">Waterfall!BF54*(1-Time!BF20)</f>
        <v>7.42808840216789</v>
      </c>
      <c r="BG14" s="19" t="n">
        <f aca="false">Waterfall!BG54*(1-Time!BG20)</f>
        <v>4.94025488674056</v>
      </c>
      <c r="BH14" s="19" t="n">
        <f aca="false">Waterfall!BH54*(1-Time!BH20)</f>
        <v>1.97821276201138</v>
      </c>
      <c r="BI14" s="19" t="n">
        <f aca="false">Waterfall!BI54*(1-Time!BI20)</f>
        <v>0</v>
      </c>
      <c r="BJ14" s="19" t="n">
        <f aca="false">Waterfall!BJ54*(1-Time!BJ20)</f>
        <v>0</v>
      </c>
      <c r="BK14" s="19" t="n">
        <f aca="false">Waterfall!BK54*(1-Time!BK20)</f>
        <v>0</v>
      </c>
      <c r="BL14" s="19" t="n">
        <f aca="false">Waterfall!BL54*(1-Time!BL20)</f>
        <v>0</v>
      </c>
      <c r="BM14" s="19" t="n">
        <f aca="false">Waterfall!BM54*(1-Time!BM20)</f>
        <v>0</v>
      </c>
      <c r="BN14" s="19" t="n">
        <f aca="false">Waterfall!BN54*(1-Time!BN20)</f>
        <v>0</v>
      </c>
      <c r="BO14" s="19" t="n">
        <f aca="false">Waterfall!BO54*(1-Time!BO20)</f>
        <v>0</v>
      </c>
      <c r="BP14" s="19" t="n">
        <f aca="false">Waterfall!BP54*(1-Time!BP20)</f>
        <v>0</v>
      </c>
      <c r="BQ14" s="19" t="n">
        <f aca="false">Waterfall!BQ54*(1-Time!BQ20)</f>
        <v>0</v>
      </c>
      <c r="BR14" s="19" t="n">
        <f aca="false">Waterfall!BR54*(1-Time!BR20)</f>
        <v>0</v>
      </c>
      <c r="BS14" s="19" t="n">
        <f aca="false">Waterfall!BS54*(1-Time!BS20)</f>
        <v>0</v>
      </c>
      <c r="BT14" s="19" t="n">
        <f aca="false">Waterfall!BT54*(1-Time!BT20)</f>
        <v>0</v>
      </c>
      <c r="BU14" s="19" t="n">
        <f aca="false">Waterfall!BU54*(1-Time!BU20)</f>
        <v>0</v>
      </c>
      <c r="BV14" s="19" t="n">
        <f aca="false">Waterfall!BV54*(1-Time!BV20)</f>
        <v>0</v>
      </c>
      <c r="BW14" s="19" t="n">
        <f aca="false">Waterfall!BW54*(1-Time!BW20)</f>
        <v>0</v>
      </c>
      <c r="BX14" s="19" t="n">
        <f aca="false">Waterfall!BX54*(1-Time!BX20)</f>
        <v>0</v>
      </c>
      <c r="BY14" s="19" t="n">
        <f aca="false">Waterfall!BY54*(1-Time!BY20)</f>
        <v>0</v>
      </c>
      <c r="BZ14" s="19" t="n">
        <f aca="false">Waterfall!BZ54*(1-Time!BZ20)</f>
        <v>0</v>
      </c>
      <c r="CA14" s="19" t="n">
        <f aca="false">Waterfall!CA54*(1-Time!CA20)</f>
        <v>0</v>
      </c>
      <c r="CB14" s="19" t="n">
        <f aca="false">Waterfall!CB54*(1-Time!CB20)</f>
        <v>0</v>
      </c>
      <c r="CC14" s="19" t="n">
        <f aca="false">Waterfall!CC54*(1-Time!CC20)</f>
        <v>0</v>
      </c>
      <c r="CD14" s="19" t="n">
        <f aca="false">Waterfall!CD54*(1-Time!CD20)</f>
        <v>0</v>
      </c>
      <c r="CE14" s="19" t="n">
        <f aca="false">Waterfall!CE54*(1-Time!CE20)</f>
        <v>0</v>
      </c>
      <c r="CF14" s="19" t="n">
        <f aca="false">Waterfall!CF54*(1-Time!CF20)</f>
        <v>0</v>
      </c>
      <c r="CG14" s="19" t="n">
        <f aca="false">Waterfall!CG54*(1-Time!CG20)</f>
        <v>0</v>
      </c>
      <c r="CH14" s="19" t="n">
        <f aca="false">Waterfall!CH54*(1-Time!CH20)</f>
        <v>0</v>
      </c>
      <c r="CI14" s="19" t="n">
        <f aca="false">Waterfall!CI54*(1-Time!CI20)</f>
        <v>0</v>
      </c>
      <c r="CJ14" s="19" t="n">
        <f aca="false">Waterfall!CJ54*(1-Time!CJ20)</f>
        <v>0</v>
      </c>
      <c r="CK14" s="19" t="n">
        <f aca="false">Waterfall!CK54*(1-Time!CK20)</f>
        <v>0</v>
      </c>
      <c r="CL14" s="19" t="n">
        <f aca="false">Waterfall!CL54*(1-Time!CL20)</f>
        <v>0</v>
      </c>
      <c r="CM14" s="19" t="n">
        <f aca="false">Waterfall!CM54*(1-Time!CM20)</f>
        <v>0</v>
      </c>
      <c r="CN14" s="19" t="n">
        <f aca="false">Waterfall!CN54*(1-Time!CN20)</f>
        <v>0</v>
      </c>
      <c r="CO14" s="19" t="n">
        <f aca="false">Waterfall!CO54*(1-Time!CO20)</f>
        <v>0</v>
      </c>
      <c r="CP14" s="19" t="n">
        <f aca="false">Waterfall!CP54*(1-Time!CP20)</f>
        <v>0</v>
      </c>
      <c r="CQ14" s="19" t="n">
        <f aca="false">Waterfall!CQ54*(1-Time!CQ20)</f>
        <v>0</v>
      </c>
      <c r="CR14" s="19" t="n">
        <f aca="false">Waterfall!CR54*(1-Time!CR20)</f>
        <v>0</v>
      </c>
      <c r="CS14" s="19" t="n">
        <f aca="false">Waterfall!CS54*(1-Time!CS20)</f>
        <v>0</v>
      </c>
      <c r="CT14" s="19" t="n">
        <f aca="false">Waterfall!CT54*(1-Time!CT20)</f>
        <v>0</v>
      </c>
      <c r="CU14" s="19" t="n">
        <f aca="false">Waterfall!CU54*(1-Time!CU20)</f>
        <v>0</v>
      </c>
      <c r="CV14" s="19" t="n">
        <f aca="false">Waterfall!CV54*(1-Time!CV20)</f>
        <v>0</v>
      </c>
      <c r="CW14" s="19" t="n">
        <f aca="false">Waterfall!CW54*(1-Time!CW20)</f>
        <v>0</v>
      </c>
      <c r="CX14" s="19" t="n">
        <f aca="false">Waterfall!CX54*(1-Time!CX20)</f>
        <v>0</v>
      </c>
      <c r="CY14" s="19" t="n">
        <f aca="false">Waterfall!CY54*(1-Time!CY20)</f>
        <v>0</v>
      </c>
      <c r="CZ14" s="19" t="n">
        <f aca="false">Waterfall!CZ54*(1-Time!CZ20)</f>
        <v>0</v>
      </c>
      <c r="DA14" s="19" t="n">
        <f aca="false">Waterfall!DA54*(1-Time!DA20)</f>
        <v>0</v>
      </c>
      <c r="DB14" s="19" t="n">
        <f aca="false">Waterfall!DB54*(1-Time!DB20)</f>
        <v>0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3647.15681299505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-25.9400053254068</v>
      </c>
      <c r="AA15" s="19" t="n">
        <f aca="false">(Operations!AA32-Operations!AA36-Reserves!AA22-AA8-Debt!AA64-AA13-AA14-Debt!AA65)*(1-Time!AA20)</f>
        <v>-51.7578827276695</v>
      </c>
      <c r="AB15" s="19" t="n">
        <f aca="false">(Operations!AB32-Operations!AB36-Reserves!AB22-AB8-Debt!AB64-AB13-AB14-Debt!AB65)*(1-Time!AB20)</f>
        <v>-46.3804419010847</v>
      </c>
      <c r="AC15" s="19" t="n">
        <f aca="false">(Operations!AC32-Operations!AC36-Reserves!AC22-AC8-Debt!AC64-AC13-AC14-Debt!AC65)*(1-Time!AC20)</f>
        <v>-47.1194615682536</v>
      </c>
      <c r="AD15" s="19" t="n">
        <f aca="false">(Operations!AD32-Operations!AD36-Reserves!AD22-AD8-Debt!AD64-AD13-AD14-Debt!AD65)*(1-Time!AD20)</f>
        <v>-43.284651561037</v>
      </c>
      <c r="AE15" s="19" t="n">
        <f aca="false">(Operations!AE32-Operations!AE36-Reserves!AE22-AE8-Debt!AE64-AE13-AE14-Debt!AE65)*(1-Time!AE20)</f>
        <v>-40.491107684112</v>
      </c>
      <c r="AF15" s="19" t="n">
        <f aca="false">(Operations!AF32-Operations!AF36-Reserves!AF22-AF8-Debt!AF64-AF13-AF14-Debt!AF65)*(1-Time!AF20)</f>
        <v>-41.2879816103268</v>
      </c>
      <c r="AG15" s="19" t="n">
        <f aca="false">(Operations!AG32-Operations!AG36-Reserves!AG22-AG8-Debt!AG64-AG13-AG14-Debt!AG65)*(1-Time!AG20)</f>
        <v>-34.826250288004</v>
      </c>
      <c r="AH15" s="19" t="n">
        <f aca="false">(Operations!AH32-Operations!AH36-Reserves!AH22-AH8-Debt!AH64-AH13-AH14-Debt!AH65)*(1-Time!AH20)</f>
        <v>-32.7657371783033</v>
      </c>
      <c r="AI15" s="19" t="n">
        <f aca="false">(Operations!AI32-Operations!AI36-Reserves!AI22-AI8-Debt!AI64-AI13-AI14-Debt!AI65)*(1-Time!AI20)</f>
        <v>-31.2199019870462</v>
      </c>
      <c r="AJ15" s="19" t="n">
        <f aca="false">(Operations!AJ32-Operations!AJ36-Reserves!AJ22-AJ8-Debt!AJ64-AJ13-AJ14-Debt!AJ65)*(1-Time!AJ20)</f>
        <v>-29.1608974883905</v>
      </c>
      <c r="AK15" s="19" t="n">
        <f aca="false">(Operations!AK32-Operations!AK36-Reserves!AK22-AK8-Debt!AK64-AK13-AK14-Debt!AK65)*(1-Time!AK20)</f>
        <v>-27.4806883146688</v>
      </c>
      <c r="AL15" s="19" t="n">
        <f aca="false">(Operations!AL32-Operations!AL36-Reserves!AL22-AL8-Debt!AL64-AL13-AL14-Debt!AL65)*(1-Time!AL20)</f>
        <v>-25.3634091682274</v>
      </c>
      <c r="AM15" s="19" t="n">
        <f aca="false">(Operations!AM32-Operations!AM36-Reserves!AM22-AM8-Debt!AM64-AM13-AM14-Debt!AM65)*(1-Time!AM20)</f>
        <v>-23.5053935099466</v>
      </c>
      <c r="AN15" s="19" t="n">
        <f aca="false">(Operations!AN32-Operations!AN36-Reserves!AN22-AN8-Debt!AN64-AN13-AN14-Debt!AN65)*(1-Time!AN20)</f>
        <v>-21.1056313620533</v>
      </c>
      <c r="AO15" s="19" t="n">
        <f aca="false">(Operations!AO32-Operations!AO36-Reserves!AO22-AO8-Debt!AO64-AO13-AO14-Debt!AO65)*(1-Time!AO20)</f>
        <v>-38.1338055161959</v>
      </c>
      <c r="AP15" s="19" t="n">
        <f aca="false">(Operations!AP32-Operations!AP36-Reserves!AP22-AP8-Debt!AP64-AP13-AP14-Debt!AP65)*(1-Time!AP20)</f>
        <v>-15.9680215553909</v>
      </c>
      <c r="AQ15" s="19" t="n">
        <f aca="false">(Operations!AQ32-Operations!AQ36-Reserves!AQ22-AQ8-Debt!AQ64-AQ13-AQ14-Debt!AQ65)*(1-Time!AQ20)</f>
        <v>-13.0455056378434</v>
      </c>
      <c r="AR15" s="19" t="n">
        <f aca="false">(Operations!AR32-Operations!AR36-Reserves!AR22-AR8-Debt!AR64-AR13-AR14-Debt!AR65)*(1-Time!AR20)</f>
        <v>-10.3206011028221</v>
      </c>
      <c r="AS15" s="19" t="n">
        <f aca="false">(Operations!AS32-Operations!AS36-Reserves!AS22-AS8-Debt!AS64-AS13-AS14-Debt!AS65)*(1-Time!AS20)</f>
        <v>-7.37210485890513</v>
      </c>
      <c r="AT15" s="19" t="n">
        <f aca="false">(Operations!AT32-Operations!AT36-Reserves!AT22-AT8-Debt!AT64-AT13-AT14-Debt!AT65)*(1-Time!AT20)</f>
        <v>-4.28059333138691</v>
      </c>
      <c r="AU15" s="19" t="n">
        <f aca="false">(Operations!AU32-Operations!AU36-Reserves!AU22-AU8-Debt!AU64-AU13-AU14-Debt!AU65)*(1-Time!AU20)</f>
        <v>-0.752901832774001</v>
      </c>
      <c r="AV15" s="19" t="n">
        <f aca="false">(Operations!AV32-Operations!AV36-Reserves!AV22-AV8-Debt!AV64-AV13-AV14-Debt!AV65)*(1-Time!AV20)</f>
        <v>2.74038251188064</v>
      </c>
      <c r="AW15" s="19" t="n">
        <f aca="false">(Operations!AW32-Operations!AW36-Reserves!AW22-AW8-Debt!AW64-AW13-AW14-Debt!AW65)*(1-Time!AW20)</f>
        <v>-55.3981534380464</v>
      </c>
      <c r="AX15" s="19" t="n">
        <f aca="false">(Operations!AX32-Operations!AX36-Reserves!AX22-AX8-Debt!AX64-AX13-AX14-Debt!AX65)*(1-Time!AX20)</f>
        <v>9.11825138765454</v>
      </c>
      <c r="AY15" s="19" t="n">
        <f aca="false">(Operations!AY32-Operations!AY36-Reserves!AY22-AY8-Debt!AY64-AY13-AY14-Debt!AY65)*(1-Time!AY20)</f>
        <v>13.386652361189</v>
      </c>
      <c r="AZ15" s="19" t="n">
        <f aca="false">(Operations!AZ32-Operations!AZ36-Reserves!AZ22-AZ8-Debt!AZ64-AZ13-AZ14-Debt!AZ65)*(1-Time!AZ20)</f>
        <v>16.4996877730006</v>
      </c>
      <c r="BA15" s="19" t="n">
        <f aca="false">(Operations!BA32-Operations!BA36-Reserves!BA22-BA8-Debt!BA64-BA13-BA14-Debt!BA65)*(1-Time!BA20)</f>
        <v>20.9471760917612</v>
      </c>
      <c r="BB15" s="19" t="n">
        <f aca="false">(Operations!BB32-Operations!BB36-Reserves!BB22-BB8-Debt!BB64-BB13-BB14-Debt!BB65)*(1-Time!BB20)</f>
        <v>24.2213875301979</v>
      </c>
      <c r="BC15" s="19" t="n">
        <f aca="false">(Operations!BC32-Operations!BC36-Reserves!BC22-BC8-Debt!BC64-BC13-BC14-Debt!BC65)*(1-Time!BC20)</f>
        <v>-20.4909340455304</v>
      </c>
      <c r="BD15" s="19" t="n">
        <f aca="false">(Operations!BD32-Operations!BD36-Reserves!BD22-BD8-Debt!BD64-BD13-BD14-Debt!BD65)*(1-Time!BD20)</f>
        <v>33.1701087340669</v>
      </c>
      <c r="BE15" s="19" t="n">
        <f aca="false">(Operations!BE32-Operations!BE36-Reserves!BE22-BE8-Debt!BE64-BE13-BE14-Debt!BE65)*(1-Time!BE20)</f>
        <v>15.7877690324347</v>
      </c>
      <c r="BF15" s="19" t="n">
        <f aca="false">(Operations!BF32-Operations!BF36-Reserves!BF22-BF8-Debt!BF64-BF13-BF14-Debt!BF65)*(1-Time!BF20)</f>
        <v>43.7273692088584</v>
      </c>
      <c r="BG15" s="19" t="n">
        <f aca="false">(Operations!BG32-Operations!BG36-Reserves!BG22-BG8-Debt!BG64-BG13-BG14-Debt!BG65)*(1-Time!BG20)</f>
        <v>50.7723019143886</v>
      </c>
      <c r="BH15" s="19" t="n">
        <f aca="false">(Operations!BH32-Operations!BH36-Reserves!BH22-BH8-Debt!BH64-BH13-BH14-Debt!BH65)*(1-Time!BH20)</f>
        <v>56.009223743008</v>
      </c>
      <c r="BI15" s="19" t="n">
        <f aca="false">(Operations!BI32-Operations!BI36-Reserves!BI22-BI8-Debt!BI64-BI13-BI14-Debt!BI65)*(1-Time!BI20)</f>
        <v>62.5533605038872</v>
      </c>
      <c r="BJ15" s="19" t="n">
        <f aca="false">(Operations!BJ32-Operations!BJ36-Reserves!BJ22-BJ8-Debt!BJ64-BJ13-BJ14-Debt!BJ65)*(1-Time!BJ20)</f>
        <v>64.5569826049647</v>
      </c>
      <c r="BK15" s="19" t="n">
        <f aca="false">(Operations!BK32-Operations!BK36-Reserves!BK22-BK8-Debt!BK64-BK13-BK14-Debt!BK65)*(1-Time!BK20)</f>
        <v>69.8620870493387</v>
      </c>
      <c r="BL15" s="19" t="n">
        <f aca="false">(Operations!BL32-Operations!BL36-Reserves!BL22-BL8-Debt!BL64-BL13-BL14-Debt!BL65)*(1-Time!BL20)</f>
        <v>71.9796506278366</v>
      </c>
      <c r="BM15" s="19" t="n">
        <f aca="false">(Operations!BM32-Operations!BM36-Reserves!BM22-BM8-Debt!BM64-BM13-BM14-Debt!BM65)*(1-Time!BM20)</f>
        <v>77.6197676113578</v>
      </c>
      <c r="BN15" s="19" t="n">
        <f aca="false">(Operations!BN32-Operations!BN36-Reserves!BN22-BN8-Debt!BN64-BN13-BN14-Debt!BN65)*(1-Time!BN20)</f>
        <v>79.8580486592642</v>
      </c>
      <c r="BO15" s="19" t="n">
        <f aca="false">(Operations!BO32-Operations!BO36-Reserves!BO22-BO8-Debt!BO64-BO13-BO14-Debt!BO65)*(1-Time!BO20)</f>
        <v>85.9019612004769</v>
      </c>
      <c r="BP15" s="19" t="n">
        <f aca="false">(Operations!BP32-Operations!BP36-Reserves!BP22-BP8-Debt!BP64-BP13-BP14-Debt!BP65)*(1-Time!BP20)</f>
        <v>88.5778501999084</v>
      </c>
      <c r="BQ15" s="19" t="n">
        <f aca="false">(Operations!BQ32-Operations!BQ36-Reserves!BQ22-BQ8-Debt!BQ64-BQ13-BQ14-Debt!BQ65)*(1-Time!BQ20)</f>
        <v>94.282613380859</v>
      </c>
      <c r="BR15" s="19" t="n">
        <f aca="false">(Operations!BR32-Operations!BR36-Reserves!BR22-BR8-Debt!BR64-BR13-BR14-Debt!BR65)*(1-Time!BR20)</f>
        <v>94.7789403017841</v>
      </c>
      <c r="BS15" s="19" t="n">
        <f aca="false">(Operations!BS32-Operations!BS36-Reserves!BS22-BS8-Debt!BS64-BS13-BS14-Debt!BS65)*(1-Time!BS20)</f>
        <v>101.355586900319</v>
      </c>
      <c r="BT15" s="19" t="n">
        <f aca="false">(Operations!BT32-Operations!BT36-Reserves!BT22-BT8-Debt!BT64-BT13-BT14-Debt!BT65)*(1-Time!BT20)</f>
        <v>101.895256703875</v>
      </c>
      <c r="BU15" s="19" t="n">
        <f aca="false">(Operations!BU32-Operations!BU36-Reserves!BU22-BU8-Debt!BU64-BU13-BU14-Debt!BU65)*(1-Time!BU20)</f>
        <v>-2.780958722742</v>
      </c>
      <c r="BV15" s="19" t="n">
        <f aca="false">(Operations!BV32-Operations!BV36-Reserves!BV22-BV8-Debt!BV64-BV13-BV14-Debt!BV65)*(1-Time!BV20)</f>
        <v>109.640607984703</v>
      </c>
      <c r="BW15" s="19" t="n">
        <f aca="false">(Operations!BW32-Operations!BW36-Reserves!BW22-BW8-Debt!BW64-BW13-BW14-Debt!BW65)*(1-Time!BW20)</f>
        <v>117.180471860796</v>
      </c>
      <c r="BX15" s="19" t="n">
        <f aca="false">(Operations!BX32-Operations!BX36-Reserves!BX22-BX8-Debt!BX64-BX13-BX14-Debt!BX65)*(1-Time!BX20)</f>
        <v>118.735022909</v>
      </c>
      <c r="BY15" s="19" t="n">
        <f aca="false">(Operations!BY32-Operations!BY36-Reserves!BY22-BY8-Debt!BY64-BY13-BY14-Debt!BY65)*(1-Time!BY20)</f>
        <v>126.000970408957</v>
      </c>
      <c r="BZ15" s="19" t="n">
        <f aca="false">(Operations!BZ32-Operations!BZ36-Reserves!BZ22-BZ8-Debt!BZ64-BZ13-BZ14-Debt!BZ65)*(1-Time!BZ20)</f>
        <v>126.932745862616</v>
      </c>
      <c r="CA15" s="19" t="n">
        <f aca="false">(Operations!CA32-Operations!CA36-Reserves!CA22-CA8-Debt!CA64-CA13-CA14-Debt!CA65)*(1-Time!CA20)</f>
        <v>135.295873587951</v>
      </c>
      <c r="CB15" s="19" t="n">
        <f aca="false">(Operations!CB32-Operations!CB36-Reserves!CB22-CB8-Debt!CB64-CB13-CB14-Debt!CB65)*(1-Time!CB20)</f>
        <v>136.148030359619</v>
      </c>
      <c r="CC15" s="19" t="n">
        <f aca="false">(Operations!CC32-Operations!CC36-Reserves!CC22-CC8-Debt!CC64-CC13-CC14-Debt!CC65)*(1-Time!CC20)</f>
        <v>144.796897100572</v>
      </c>
      <c r="CD15" s="19" t="n">
        <f aca="false">(Operations!CD32-Operations!CD36-Reserves!CD22-CD8-Debt!CD64-CD13-CD14-Debt!CD65)*(1-Time!CD20)</f>
        <v>145.715983861407</v>
      </c>
      <c r="CE15" s="19" t="n">
        <f aca="false">(Operations!CE32-Operations!CE36-Reserves!CE22-CE8-Debt!CE64-CE13-CE14-Debt!CE65)*(1-Time!CE20)</f>
        <v>154.811364572512</v>
      </c>
      <c r="CF15" s="19" t="n">
        <f aca="false">(Operations!CF32-Operations!CF36-Reserves!CF22-CF8-Debt!CF64-CF13-CF14-Debt!CF65)*(1-Time!CF20)</f>
        <v>156.598750877145</v>
      </c>
      <c r="CG15" s="19" t="n">
        <f aca="false">(Operations!CG32-Operations!CG36-Reserves!CG22-CG8-Debt!CG64-CG13-CG14-Debt!CG65)*(1-Time!CG20)</f>
        <v>93.0260983770999</v>
      </c>
      <c r="CH15" s="19" t="n">
        <f aca="false">(Operations!CH32-Operations!CH36-Reserves!CH22-CH8-Debt!CH64-CH13-CH14-Debt!CH65)*(1-Time!CH20)</f>
        <v>165.899185024893</v>
      </c>
      <c r="CI15" s="19" t="n">
        <f aca="false">(Operations!CI32-Operations!CI36-Reserves!CI22-CI8-Debt!CI64-CI13-CI14-Debt!CI65)*(1-Time!CI20)</f>
        <v>174.562563434337</v>
      </c>
      <c r="CJ15" s="19" t="n">
        <f aca="false">(Operations!CJ32-Operations!CJ36-Reserves!CJ22-CJ8-Debt!CJ64-CJ13-CJ14-Debt!CJ65)*(1-Time!CJ20)</f>
        <v>174.199203764633</v>
      </c>
      <c r="CK15" s="19" t="n">
        <f aca="false">(Operations!CK32-Operations!CK36-Reserves!CK22-CK8-Debt!CK64-CK13-CK14-Debt!CK65)*(1-Time!CK20)</f>
        <v>148.324193666771</v>
      </c>
      <c r="CL15" s="19" t="n">
        <f aca="false">(Operations!CL32-Operations!CL36-Reserves!CL22-CL8-Debt!CL64-CL13-CL14-Debt!CL65)*(1-Time!CL20)</f>
        <v>182.877914564697</v>
      </c>
      <c r="CM15" s="19" t="n">
        <f aca="false">(Operations!CM32-Operations!CM36-Reserves!CM22-CM8-Debt!CM64-CM13-CM14-Debt!CM65)*(1-Time!CM20)</f>
        <v>192.330744594452</v>
      </c>
      <c r="CN15" s="19" t="n">
        <f aca="false">(Operations!CN32-Operations!CN36-Reserves!CN22-CN8-Debt!CN64-CN13-CN14-Debt!CN65)*(1-Time!CN20)</f>
        <v>192.988702366102</v>
      </c>
      <c r="CO15" s="19" t="n">
        <f aca="false">(Operations!CO32-Operations!CO36-Reserves!CO22-CO8-Debt!CO64-CO13-CO14-Debt!CO65)*(1-Time!CO20)</f>
        <v>201.755351856596</v>
      </c>
      <c r="CP15" s="19" t="n">
        <f aca="false">(Operations!CP32-Operations!CP36-Reserves!CP22-CP8-Debt!CP64-CP13-CP14-Debt!CP65)*(1-Time!CP20)</f>
        <v>59.9667416440462</v>
      </c>
      <c r="CQ15" s="19" t="n">
        <f aca="false">(Operations!CQ32-Operations!CQ36-Reserves!CQ22-CQ8-Debt!CQ64-CQ13-CQ14-Debt!CQ65)*(1-Time!CQ20)</f>
        <v>-5.55648191080975E-014</v>
      </c>
      <c r="CR15" s="19" t="n">
        <f aca="false">(Operations!CR32-Operations!CR36-Reserves!CR22-CR8-Debt!CR64-CR13-CR14-Debt!CR65)*(1-Time!CR20)</f>
        <v>-5.51181991980927E-014</v>
      </c>
      <c r="CS15" s="19" t="n">
        <f aca="false">(Operations!CS32-Operations!CS36-Reserves!CS22-CS8-Debt!CS64-CS13-CS14-Debt!CS65)*(1-Time!CS20)</f>
        <v>-5.55648191080975E-014</v>
      </c>
      <c r="CT15" s="19" t="n">
        <f aca="false">(Operations!CT32-Operations!CT36-Reserves!CT22-CT8-Debt!CT64-CT13-CT14-Debt!CT65)*(1-Time!CT20)</f>
        <v>-5.51181991980927E-014</v>
      </c>
      <c r="CU15" s="19" t="n">
        <f aca="false">(Operations!CU32-Operations!CU36-Reserves!CU22-CU8-Debt!CU64-CU13-CU14-Debt!CU65)*(1-Time!CU20)</f>
        <v>-5.55648191080975E-014</v>
      </c>
      <c r="CV15" s="19" t="n">
        <f aca="false">(Operations!CV32-Operations!CV36-Reserves!CV22-CV8-Debt!CV64-CV13-CV14-Debt!CV65)*(1-Time!CV20)</f>
        <v>-5.52670725014276E-014</v>
      </c>
      <c r="CW15" s="19" t="n">
        <f aca="false">(Operations!CW32-Operations!CW36-Reserves!CW22-CW8-Debt!CW64-CW13-CW14-Debt!CW65)*(1-Time!CW20)</f>
        <v>-5.55648191080975E-014</v>
      </c>
      <c r="CX15" s="19" t="n">
        <f aca="false">(Operations!CX32-Operations!CX36-Reserves!CX22-CX8-Debt!CX64-CX13-CX14-Debt!CX65)*(1-Time!CX20)</f>
        <v>-5.51181991980927E-014</v>
      </c>
      <c r="CY15" s="19" t="n">
        <f aca="false">(Operations!CY32-Operations!CY36-Reserves!CY22-CY8-Debt!CY64-CY13-CY14-Debt!CY65)*(1-Time!CY20)</f>
        <v>-5.55648191080975E-014</v>
      </c>
      <c r="CZ15" s="19" t="n">
        <f aca="false">(Operations!CZ32-Operations!CZ36-Reserves!CZ22-CZ8-Debt!CZ64-CZ13-CZ14-Debt!CZ65)*(1-Time!CZ20)</f>
        <v>-5.51181991980927E-014</v>
      </c>
      <c r="DA15" s="19" t="n">
        <f aca="false">(Operations!DA32-Operations!DA36-Reserves!DA22-DA8-Debt!DA64-DA13-DA14-Debt!DA65)*(1-Time!DA20)</f>
        <v>-5.55648191080975E-014</v>
      </c>
      <c r="DB15" s="19" t="n">
        <f aca="false">(Operations!DB32-Operations!DB36-Reserves!DB22-DB8-Debt!DB64-DB13-DB14-Debt!DB65)*(1-Time!DB20)</f>
        <v>-5.51181991980927E-014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25.9400053254068</v>
      </c>
      <c r="AB16" s="19" t="n">
        <f aca="false">AA21</f>
        <v>77.6978880530762</v>
      </c>
      <c r="AC16" s="19" t="n">
        <f aca="false">AB21</f>
        <v>124.078329954161</v>
      </c>
      <c r="AD16" s="19" t="n">
        <f aca="false">AC21</f>
        <v>171.197791522415</v>
      </c>
      <c r="AE16" s="19" t="n">
        <f aca="false">AD21</f>
        <v>214.482443083452</v>
      </c>
      <c r="AF16" s="19" t="n">
        <f aca="false">AE21</f>
        <v>254.973550767564</v>
      </c>
      <c r="AG16" s="19" t="n">
        <f aca="false">AF21</f>
        <v>296.26153237789</v>
      </c>
      <c r="AH16" s="19" t="n">
        <f aca="false">AG21</f>
        <v>331.087782665894</v>
      </c>
      <c r="AI16" s="19" t="n">
        <f aca="false">AH21</f>
        <v>363.853519844198</v>
      </c>
      <c r="AJ16" s="19" t="n">
        <f aca="false">AI21</f>
        <v>395.073421831244</v>
      </c>
      <c r="AK16" s="19" t="n">
        <f aca="false">AJ21</f>
        <v>424.234319319634</v>
      </c>
      <c r="AL16" s="19" t="n">
        <f aca="false">AK21</f>
        <v>451.715007634303</v>
      </c>
      <c r="AM16" s="19" t="n">
        <f aca="false">AL21</f>
        <v>477.078416802531</v>
      </c>
      <c r="AN16" s="19" t="n">
        <f aca="false">AM21</f>
        <v>500.583810312477</v>
      </c>
      <c r="AO16" s="19" t="n">
        <f aca="false">AN21</f>
        <v>521.689441674531</v>
      </c>
      <c r="AP16" s="19" t="n">
        <f aca="false">AO21</f>
        <v>559.823247190726</v>
      </c>
      <c r="AQ16" s="19" t="n">
        <f aca="false">AP21</f>
        <v>575.791268746117</v>
      </c>
      <c r="AR16" s="19" t="n">
        <f aca="false">AQ21</f>
        <v>588.836774383961</v>
      </c>
      <c r="AS16" s="19" t="n">
        <f aca="false">AR21</f>
        <v>599.157375486783</v>
      </c>
      <c r="AT16" s="19" t="n">
        <f aca="false">AS21</f>
        <v>606.529480345688</v>
      </c>
      <c r="AU16" s="19" t="n">
        <f aca="false">AT21</f>
        <v>610.810073677075</v>
      </c>
      <c r="AV16" s="19" t="n">
        <f aca="false">AU21</f>
        <v>611.562975509849</v>
      </c>
      <c r="AW16" s="19" t="n">
        <f aca="false">AV21</f>
        <v>608.822592997968</v>
      </c>
      <c r="AX16" s="19" t="n">
        <f aca="false">AW21</f>
        <v>664.220746436015</v>
      </c>
      <c r="AY16" s="19" t="n">
        <f aca="false">AX21</f>
        <v>655.10249504836</v>
      </c>
      <c r="AZ16" s="19" t="n">
        <f aca="false">AY21</f>
        <v>641.715842687171</v>
      </c>
      <c r="BA16" s="19" t="n">
        <f aca="false">AZ21</f>
        <v>625.216154914171</v>
      </c>
      <c r="BB16" s="19" t="n">
        <f aca="false">BA21</f>
        <v>604.268978822409</v>
      </c>
      <c r="BC16" s="19" t="n">
        <f aca="false">BB21</f>
        <v>580.047591292212</v>
      </c>
      <c r="BD16" s="19" t="n">
        <f aca="false">BC21</f>
        <v>600.538525337742</v>
      </c>
      <c r="BE16" s="19" t="n">
        <f aca="false">BD21</f>
        <v>567.368416603675</v>
      </c>
      <c r="BF16" s="19" t="n">
        <f aca="false">BE21</f>
        <v>551.58064757124</v>
      </c>
      <c r="BG16" s="19" t="n">
        <f aca="false">BF21</f>
        <v>507.853278362382</v>
      </c>
      <c r="BH16" s="19" t="n">
        <f aca="false">BG21</f>
        <v>457.080976447993</v>
      </c>
      <c r="BI16" s="19" t="n">
        <f aca="false">BH21</f>
        <v>401.071752704985</v>
      </c>
      <c r="BJ16" s="19" t="n">
        <f aca="false">BI21</f>
        <v>338.518392201098</v>
      </c>
      <c r="BK16" s="19" t="n">
        <f aca="false">BJ21</f>
        <v>273.961409596133</v>
      </c>
      <c r="BL16" s="19" t="n">
        <f aca="false">BK21</f>
        <v>204.099322546794</v>
      </c>
      <c r="BM16" s="19" t="n">
        <f aca="false">BL21</f>
        <v>132.119671918958</v>
      </c>
      <c r="BN16" s="19" t="n">
        <f aca="false">BM21</f>
        <v>54.4999043076001</v>
      </c>
      <c r="BO16" s="19" t="n">
        <f aca="false">BN21</f>
        <v>0</v>
      </c>
      <c r="BP16" s="19" t="n">
        <f aca="false">BO21</f>
        <v>0</v>
      </c>
      <c r="BQ16" s="19" t="n">
        <f aca="false">BP21</f>
        <v>0</v>
      </c>
      <c r="BR16" s="19" t="n">
        <f aca="false">BQ21</f>
        <v>0</v>
      </c>
      <c r="BS16" s="19" t="n">
        <f aca="false">BR21</f>
        <v>0</v>
      </c>
      <c r="BT16" s="19" t="n">
        <f aca="false">BS21</f>
        <v>0</v>
      </c>
      <c r="BU16" s="19" t="n">
        <f aca="false">BT21</f>
        <v>0</v>
      </c>
      <c r="BV16" s="19" t="n">
        <f aca="false">BU21</f>
        <v>2.780958722742</v>
      </c>
      <c r="BW16" s="19" t="n">
        <f aca="false">BV21</f>
        <v>0</v>
      </c>
      <c r="BX16" s="19" t="n">
        <f aca="false">BW21</f>
        <v>0</v>
      </c>
      <c r="BY16" s="19" t="n">
        <f aca="false">BX21</f>
        <v>0</v>
      </c>
      <c r="BZ16" s="19" t="n">
        <f aca="false">BY21</f>
        <v>0</v>
      </c>
      <c r="CA16" s="19" t="n">
        <f aca="false">BZ21</f>
        <v>0</v>
      </c>
      <c r="CB16" s="19" t="n">
        <f aca="false">CA21</f>
        <v>0</v>
      </c>
      <c r="CC16" s="19" t="n">
        <f aca="false">CB21</f>
        <v>0</v>
      </c>
      <c r="CD16" s="19" t="n">
        <f aca="false">CC21</f>
        <v>0</v>
      </c>
      <c r="CE16" s="19" t="n">
        <f aca="false">CD21</f>
        <v>0</v>
      </c>
      <c r="CF16" s="19" t="n">
        <f aca="false">CE21</f>
        <v>0</v>
      </c>
      <c r="CG16" s="19" t="n">
        <f aca="false">CF21</f>
        <v>0</v>
      </c>
      <c r="CH16" s="19" t="n">
        <f aca="false">CG21</f>
        <v>0</v>
      </c>
      <c r="CI16" s="19" t="n">
        <f aca="false">CH21</f>
        <v>0</v>
      </c>
      <c r="CJ16" s="19" t="n">
        <f aca="false">CI21</f>
        <v>0</v>
      </c>
      <c r="CK16" s="19" t="n">
        <f aca="false">CJ21</f>
        <v>0</v>
      </c>
      <c r="CL16" s="19" t="n">
        <f aca="false">CK21</f>
        <v>0</v>
      </c>
      <c r="CM16" s="19" t="n">
        <f aca="false">CL21</f>
        <v>0</v>
      </c>
      <c r="CN16" s="19" t="n">
        <f aca="false">CM21</f>
        <v>0</v>
      </c>
      <c r="CO16" s="19" t="n">
        <f aca="false">CN21</f>
        <v>0</v>
      </c>
      <c r="CP16" s="19" t="n">
        <f aca="false">CO21</f>
        <v>0</v>
      </c>
      <c r="CQ16" s="19" t="n">
        <f aca="false">CP21</f>
        <v>0</v>
      </c>
      <c r="CR16" s="19" t="n">
        <f aca="false">CQ21</f>
        <v>5.55648191080975E-014</v>
      </c>
      <c r="CS16" s="19" t="n">
        <f aca="false">CR21</f>
        <v>1.1068301830619E-013</v>
      </c>
      <c r="CT16" s="19" t="n">
        <f aca="false">CS21</f>
        <v>1.66247837414288E-013</v>
      </c>
      <c r="CU16" s="19" t="n">
        <f aca="false">CT21</f>
        <v>2.2136603661238E-013</v>
      </c>
      <c r="CV16" s="19" t="n">
        <f aca="false">CU21</f>
        <v>2.76930855720478E-013</v>
      </c>
      <c r="CW16" s="19" t="n">
        <f aca="false">CV21</f>
        <v>3.32197928221906E-013</v>
      </c>
      <c r="CX16" s="19" t="n">
        <f aca="false">CW21</f>
        <v>3.87762747330003E-013</v>
      </c>
      <c r="CY16" s="19" t="n">
        <f aca="false">CX21</f>
        <v>4.42880946528096E-013</v>
      </c>
      <c r="CZ16" s="19" t="n">
        <f aca="false">CY21</f>
        <v>4.98445765636193E-013</v>
      </c>
      <c r="DA16" s="19" t="n">
        <f aca="false">CZ21</f>
        <v>5.53563964834286E-013</v>
      </c>
      <c r="DB16" s="19" t="n">
        <f aca="false">DA21</f>
        <v>6.09128783942384E-013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690.233021716168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2.74038251188064</v>
      </c>
      <c r="AW17" s="19" t="n">
        <f aca="false">MIN(AW16,MAX(0,AW15))</f>
        <v>0</v>
      </c>
      <c r="AX17" s="19" t="n">
        <f aca="false">MIN(AX16,MAX(0,AX15))</f>
        <v>9.11825138765454</v>
      </c>
      <c r="AY17" s="19" t="n">
        <f aca="false">MIN(AY16,MAX(0,AY15))</f>
        <v>13.386652361189</v>
      </c>
      <c r="AZ17" s="19" t="n">
        <f aca="false">MIN(AZ16,MAX(0,AZ15))</f>
        <v>16.4996877730006</v>
      </c>
      <c r="BA17" s="19" t="n">
        <f aca="false">MIN(BA16,MAX(0,BA15))</f>
        <v>20.9471760917612</v>
      </c>
      <c r="BB17" s="19" t="n">
        <f aca="false">MIN(BB16,MAX(0,BB15))</f>
        <v>24.2213875301979</v>
      </c>
      <c r="BC17" s="19" t="n">
        <f aca="false">MIN(BC16,MAX(0,BC15))</f>
        <v>0</v>
      </c>
      <c r="BD17" s="19" t="n">
        <f aca="false">MIN(BD16,MAX(0,BD15))</f>
        <v>33.1701087340669</v>
      </c>
      <c r="BE17" s="19" t="n">
        <f aca="false">MIN(BE16,MAX(0,BE15))</f>
        <v>15.7877690324347</v>
      </c>
      <c r="BF17" s="19" t="n">
        <f aca="false">MIN(BF16,MAX(0,BF15))</f>
        <v>43.7273692088584</v>
      </c>
      <c r="BG17" s="19" t="n">
        <f aca="false">MIN(BG16,MAX(0,BG15))</f>
        <v>50.7723019143886</v>
      </c>
      <c r="BH17" s="19" t="n">
        <f aca="false">MIN(BH16,MAX(0,BH15))</f>
        <v>56.009223743008</v>
      </c>
      <c r="BI17" s="19" t="n">
        <f aca="false">MIN(BI16,MAX(0,BI15))</f>
        <v>62.5533605038872</v>
      </c>
      <c r="BJ17" s="19" t="n">
        <f aca="false">MIN(BJ16,MAX(0,BJ15))</f>
        <v>64.5569826049647</v>
      </c>
      <c r="BK17" s="19" t="n">
        <f aca="false">MIN(BK16,MAX(0,BK15))</f>
        <v>69.8620870493387</v>
      </c>
      <c r="BL17" s="19" t="n">
        <f aca="false">MIN(BL16,MAX(0,BL15))</f>
        <v>71.9796506278366</v>
      </c>
      <c r="BM17" s="19" t="n">
        <f aca="false">MIN(BM16,MAX(0,BM15))</f>
        <v>77.6197676113578</v>
      </c>
      <c r="BN17" s="19" t="n">
        <f aca="false">MIN(BN16,MAX(0,BN15))</f>
        <v>54.4999043076001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2.780958722742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690.233021716168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25.9400053254068</v>
      </c>
      <c r="AA18" s="19" t="n">
        <f aca="false">MAX(0,-AA15)</f>
        <v>51.7578827276695</v>
      </c>
      <c r="AB18" s="19" t="n">
        <f aca="false">MAX(0,-AB15)</f>
        <v>46.3804419010847</v>
      </c>
      <c r="AC18" s="19" t="n">
        <f aca="false">MAX(0,-AC15)</f>
        <v>47.1194615682536</v>
      </c>
      <c r="AD18" s="19" t="n">
        <f aca="false">MAX(0,-AD15)</f>
        <v>43.284651561037</v>
      </c>
      <c r="AE18" s="19" t="n">
        <f aca="false">MAX(0,-AE15)</f>
        <v>40.491107684112</v>
      </c>
      <c r="AF18" s="19" t="n">
        <f aca="false">MAX(0,-AF15)</f>
        <v>41.2879816103268</v>
      </c>
      <c r="AG18" s="19" t="n">
        <f aca="false">MAX(0,-AG15)</f>
        <v>34.826250288004</v>
      </c>
      <c r="AH18" s="19" t="n">
        <f aca="false">MAX(0,-AH15)</f>
        <v>32.7657371783033</v>
      </c>
      <c r="AI18" s="19" t="n">
        <f aca="false">MAX(0,-AI15)</f>
        <v>31.2199019870462</v>
      </c>
      <c r="AJ18" s="19" t="n">
        <f aca="false">MAX(0,-AJ15)</f>
        <v>29.1608974883905</v>
      </c>
      <c r="AK18" s="19" t="n">
        <f aca="false">MAX(0,-AK15)</f>
        <v>27.4806883146688</v>
      </c>
      <c r="AL18" s="19" t="n">
        <f aca="false">MAX(0,-AL15)</f>
        <v>25.3634091682274</v>
      </c>
      <c r="AM18" s="19" t="n">
        <f aca="false">MAX(0,-AM15)</f>
        <v>23.5053935099466</v>
      </c>
      <c r="AN18" s="19" t="n">
        <f aca="false">MAX(0,-AN15)</f>
        <v>21.1056313620533</v>
      </c>
      <c r="AO18" s="19" t="n">
        <f aca="false">MAX(0,-AO15)</f>
        <v>38.1338055161959</v>
      </c>
      <c r="AP18" s="19" t="n">
        <f aca="false">MAX(0,-AP15)</f>
        <v>15.9680215553909</v>
      </c>
      <c r="AQ18" s="19" t="n">
        <f aca="false">MAX(0,-AQ15)</f>
        <v>13.0455056378434</v>
      </c>
      <c r="AR18" s="19" t="n">
        <f aca="false">MAX(0,-AR15)</f>
        <v>10.3206011028221</v>
      </c>
      <c r="AS18" s="19" t="n">
        <f aca="false">MAX(0,-AS15)</f>
        <v>7.37210485890513</v>
      </c>
      <c r="AT18" s="19" t="n">
        <f aca="false">MAX(0,-AT15)</f>
        <v>4.28059333138691</v>
      </c>
      <c r="AU18" s="19" t="n">
        <f aca="false">MAX(0,-AU15)</f>
        <v>0.752901832774001</v>
      </c>
      <c r="AV18" s="19" t="n">
        <f aca="false">MAX(0,-AV15)</f>
        <v>0</v>
      </c>
      <c r="AW18" s="19" t="n">
        <f aca="false">MAX(0,-AW15)</f>
        <v>55.3981534380464</v>
      </c>
      <c r="AX18" s="19" t="n">
        <f aca="false">MAX(0,-AX15)</f>
        <v>0</v>
      </c>
      <c r="AY18" s="19" t="n">
        <f aca="false">MAX(0,-AY15)</f>
        <v>0</v>
      </c>
      <c r="AZ18" s="19" t="n">
        <f aca="false">MAX(0,-AZ15)</f>
        <v>0</v>
      </c>
      <c r="BA18" s="19" t="n">
        <f aca="false">MAX(0,-BA15)</f>
        <v>0</v>
      </c>
      <c r="BB18" s="19" t="n">
        <f aca="false">MAX(0,-BB15)</f>
        <v>0</v>
      </c>
      <c r="BC18" s="19" t="n">
        <f aca="false">MAX(0,-BC15)</f>
        <v>20.4909340455304</v>
      </c>
      <c r="BD18" s="19" t="n">
        <f aca="false">MAX(0,-BD15)</f>
        <v>0</v>
      </c>
      <c r="BE18" s="19" t="n">
        <f aca="false">MAX(0,-BE15)</f>
        <v>0</v>
      </c>
      <c r="BF18" s="19" t="n">
        <f aca="false">MAX(0,-BF15)</f>
        <v>0</v>
      </c>
      <c r="BG18" s="19" t="n">
        <f aca="false">MAX(0,-BG15)</f>
        <v>0</v>
      </c>
      <c r="BH18" s="19" t="n">
        <f aca="false">MAX(0,-BH15)</f>
        <v>0</v>
      </c>
      <c r="BI18" s="19" t="n">
        <f aca="false">MAX(0,-BI15)</f>
        <v>0</v>
      </c>
      <c r="BJ18" s="19" t="n">
        <f aca="false">MAX(0,-BJ15)</f>
        <v>0</v>
      </c>
      <c r="BK18" s="19" t="n">
        <f aca="false">MAX(0,-BK15)</f>
        <v>0</v>
      </c>
      <c r="BL18" s="19" t="n">
        <f aca="false">MAX(0,-BL15)</f>
        <v>0</v>
      </c>
      <c r="BM18" s="19" t="n">
        <f aca="false">MAX(0,-BM15)</f>
        <v>0</v>
      </c>
      <c r="BN18" s="19" t="n">
        <f aca="false">MAX(0,-BN15)</f>
        <v>0</v>
      </c>
      <c r="BO18" s="19" t="n">
        <f aca="false">MAX(0,-BO15)</f>
        <v>0</v>
      </c>
      <c r="BP18" s="19" t="n">
        <f aca="false">MAX(0,-BP15)</f>
        <v>0</v>
      </c>
      <c r="BQ18" s="19" t="n">
        <f aca="false">MAX(0,-BQ15)</f>
        <v>0</v>
      </c>
      <c r="BR18" s="19" t="n">
        <f aca="false">MAX(0,-BR15)</f>
        <v>0</v>
      </c>
      <c r="BS18" s="19" t="n">
        <f aca="false">MAX(0,-BS15)</f>
        <v>0</v>
      </c>
      <c r="BT18" s="19" t="n">
        <f aca="false">MAX(0,-BT15)</f>
        <v>0</v>
      </c>
      <c r="BU18" s="19" t="n">
        <f aca="false">MAX(0,-BU15)</f>
        <v>2.780958722742</v>
      </c>
      <c r="BV18" s="19" t="n">
        <f aca="false">MAX(0,-BV15)</f>
        <v>0</v>
      </c>
      <c r="BW18" s="19" t="n">
        <f aca="false">MAX(0,-BW15)</f>
        <v>0</v>
      </c>
      <c r="BX18" s="19" t="n">
        <f aca="false">MAX(0,-BX15)</f>
        <v>0</v>
      </c>
      <c r="BY18" s="19" t="n">
        <f aca="false">MAX(0,-BY15)</f>
        <v>0</v>
      </c>
      <c r="BZ18" s="19" t="n">
        <f aca="false">MAX(0,-BZ15)</f>
        <v>0</v>
      </c>
      <c r="CA18" s="19" t="n">
        <f aca="false">MAX(0,-CA15)</f>
        <v>0</v>
      </c>
      <c r="CB18" s="19" t="n">
        <f aca="false">MAX(0,-CB15)</f>
        <v>0</v>
      </c>
      <c r="CC18" s="19" t="n">
        <f aca="false">MAX(0,-CC15)</f>
        <v>0</v>
      </c>
      <c r="CD18" s="19" t="n">
        <f aca="false">MAX(0,-CD15)</f>
        <v>0</v>
      </c>
      <c r="CE18" s="19" t="n">
        <f aca="false">MAX(0,-CE15)</f>
        <v>0</v>
      </c>
      <c r="CF18" s="19" t="n">
        <f aca="false">MAX(0,-CF15)</f>
        <v>0</v>
      </c>
      <c r="CG18" s="19" t="n">
        <f aca="false">MAX(0,-CG15)</f>
        <v>0</v>
      </c>
      <c r="CH18" s="19" t="n">
        <f aca="false">MAX(0,-CH15)</f>
        <v>0</v>
      </c>
      <c r="CI18" s="19" t="n">
        <f aca="false">MAX(0,-CI15)</f>
        <v>0</v>
      </c>
      <c r="CJ18" s="19" t="n">
        <f aca="false">MAX(0,-CJ15)</f>
        <v>0</v>
      </c>
      <c r="CK18" s="19" t="n">
        <f aca="false">MAX(0,-CK15)</f>
        <v>0</v>
      </c>
      <c r="CL18" s="19" t="n">
        <f aca="false">MAX(0,-CL15)</f>
        <v>0</v>
      </c>
      <c r="CM18" s="19" t="n">
        <f aca="false">MAX(0,-CM15)</f>
        <v>0</v>
      </c>
      <c r="CN18" s="19" t="n">
        <f aca="false">MAX(0,-CN15)</f>
        <v>0</v>
      </c>
      <c r="CO18" s="19" t="n">
        <f aca="false">MAX(0,-CO15)</f>
        <v>0</v>
      </c>
      <c r="CP18" s="19" t="n">
        <f aca="false">MAX(0,-CP15)</f>
        <v>0</v>
      </c>
      <c r="CQ18" s="19" t="n">
        <f aca="false">MAX(0,-CQ15)</f>
        <v>5.55648191080975E-014</v>
      </c>
      <c r="CR18" s="19" t="n">
        <f aca="false">MAX(0,-CR15)</f>
        <v>5.51181991980927E-014</v>
      </c>
      <c r="CS18" s="19" t="n">
        <f aca="false">MAX(0,-CS15)</f>
        <v>5.55648191080975E-014</v>
      </c>
      <c r="CT18" s="19" t="n">
        <f aca="false">MAX(0,-CT15)</f>
        <v>5.51181991980927E-014</v>
      </c>
      <c r="CU18" s="19" t="n">
        <f aca="false">MAX(0,-CU15)</f>
        <v>5.55648191080975E-014</v>
      </c>
      <c r="CV18" s="19" t="n">
        <f aca="false">MAX(0,-CV15)</f>
        <v>5.52670725014276E-014</v>
      </c>
      <c r="CW18" s="19" t="n">
        <f aca="false">MAX(0,-CW15)</f>
        <v>5.55648191080975E-014</v>
      </c>
      <c r="CX18" s="19" t="n">
        <f aca="false">MAX(0,-CX15)</f>
        <v>5.51181991980927E-014</v>
      </c>
      <c r="CY18" s="19" t="n">
        <f aca="false">MAX(0,-CY15)</f>
        <v>5.55648191080975E-014</v>
      </c>
      <c r="CZ18" s="19" t="n">
        <f aca="false">MAX(0,-CZ15)</f>
        <v>5.51181991980927E-014</v>
      </c>
      <c r="DA18" s="19" t="n">
        <f aca="false">MAX(0,-DA15)</f>
        <v>5.55648191080975E-014</v>
      </c>
      <c r="DB18" s="19" t="n">
        <f aca="false">MAX(0,-DB15)</f>
        <v>5.51181991980927E-014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25.9400053254068</v>
      </c>
      <c r="AA21" s="19" t="n">
        <f aca="false">AA16-AA17+AA18-AA20</f>
        <v>77.6978880530762</v>
      </c>
      <c r="AB21" s="19" t="n">
        <f aca="false">AB16-AB17+AB18-AB20</f>
        <v>124.078329954161</v>
      </c>
      <c r="AC21" s="19" t="n">
        <f aca="false">AC16-AC17+AC18-AC20</f>
        <v>171.197791522415</v>
      </c>
      <c r="AD21" s="19" t="n">
        <f aca="false">AD16-AD17+AD18-AD20</f>
        <v>214.482443083452</v>
      </c>
      <c r="AE21" s="19" t="n">
        <f aca="false">AE16-AE17+AE18-AE20</f>
        <v>254.973550767564</v>
      </c>
      <c r="AF21" s="19" t="n">
        <f aca="false">AF16-AF17+AF18-AF20</f>
        <v>296.26153237789</v>
      </c>
      <c r="AG21" s="19" t="n">
        <f aca="false">AG16-AG17+AG18-AG20</f>
        <v>331.087782665894</v>
      </c>
      <c r="AH21" s="19" t="n">
        <f aca="false">AH16-AH17+AH18-AH20</f>
        <v>363.853519844198</v>
      </c>
      <c r="AI21" s="19" t="n">
        <f aca="false">AI16-AI17+AI18-AI20</f>
        <v>395.073421831244</v>
      </c>
      <c r="AJ21" s="19" t="n">
        <f aca="false">AJ16-AJ17+AJ18-AJ20</f>
        <v>424.234319319634</v>
      </c>
      <c r="AK21" s="19" t="n">
        <f aca="false">AK16-AK17+AK18-AK20</f>
        <v>451.715007634303</v>
      </c>
      <c r="AL21" s="19" t="n">
        <f aca="false">AL16-AL17+AL18-AL20</f>
        <v>477.078416802531</v>
      </c>
      <c r="AM21" s="19" t="n">
        <f aca="false">AM16-AM17+AM18-AM20</f>
        <v>500.583810312477</v>
      </c>
      <c r="AN21" s="19" t="n">
        <f aca="false">AN16-AN17+AN18-AN20</f>
        <v>521.689441674531</v>
      </c>
      <c r="AO21" s="19" t="n">
        <f aca="false">AO16-AO17+AO18-AO20</f>
        <v>559.823247190726</v>
      </c>
      <c r="AP21" s="19" t="n">
        <f aca="false">AP16-AP17+AP18-AP20</f>
        <v>575.791268746117</v>
      </c>
      <c r="AQ21" s="19" t="n">
        <f aca="false">AQ16-AQ17+AQ18-AQ20</f>
        <v>588.836774383961</v>
      </c>
      <c r="AR21" s="19" t="n">
        <f aca="false">AR16-AR17+AR18-AR20</f>
        <v>599.157375486783</v>
      </c>
      <c r="AS21" s="19" t="n">
        <f aca="false">AS16-AS17+AS18-AS20</f>
        <v>606.529480345688</v>
      </c>
      <c r="AT21" s="19" t="n">
        <f aca="false">AT16-AT17+AT18-AT20</f>
        <v>610.810073677075</v>
      </c>
      <c r="AU21" s="19" t="n">
        <f aca="false">AU16-AU17+AU18-AU20</f>
        <v>611.562975509849</v>
      </c>
      <c r="AV21" s="19" t="n">
        <f aca="false">AV16-AV17+AV18-AV20</f>
        <v>608.822592997968</v>
      </c>
      <c r="AW21" s="19" t="n">
        <f aca="false">AW16-AW17+AW18-AW20</f>
        <v>664.220746436015</v>
      </c>
      <c r="AX21" s="19" t="n">
        <f aca="false">AX16-AX17+AX18-AX20</f>
        <v>655.10249504836</v>
      </c>
      <c r="AY21" s="19" t="n">
        <f aca="false">AY16-AY17+AY18-AY20</f>
        <v>641.715842687171</v>
      </c>
      <c r="AZ21" s="19" t="n">
        <f aca="false">AZ16-AZ17+AZ18-AZ20</f>
        <v>625.216154914171</v>
      </c>
      <c r="BA21" s="19" t="n">
        <f aca="false">BA16-BA17+BA18-BA20</f>
        <v>604.268978822409</v>
      </c>
      <c r="BB21" s="19" t="n">
        <f aca="false">BB16-BB17+BB18-BB20</f>
        <v>580.047591292212</v>
      </c>
      <c r="BC21" s="19" t="n">
        <f aca="false">BC16-BC17+BC18-BC20</f>
        <v>600.538525337742</v>
      </c>
      <c r="BD21" s="19" t="n">
        <f aca="false">BD16-BD17+BD18-BD20</f>
        <v>567.368416603675</v>
      </c>
      <c r="BE21" s="19" t="n">
        <f aca="false">BE16-BE17+BE18-BE20</f>
        <v>551.58064757124</v>
      </c>
      <c r="BF21" s="19" t="n">
        <f aca="false">BF16-BF17+BF18-BF20</f>
        <v>507.853278362382</v>
      </c>
      <c r="BG21" s="19" t="n">
        <f aca="false">BG16-BG17+BG18-BG20</f>
        <v>457.080976447993</v>
      </c>
      <c r="BH21" s="19" t="n">
        <f aca="false">BH16-BH17+BH18-BH20</f>
        <v>401.071752704985</v>
      </c>
      <c r="BI21" s="19" t="n">
        <f aca="false">BI16-BI17+BI18-BI20</f>
        <v>338.518392201098</v>
      </c>
      <c r="BJ21" s="19" t="n">
        <f aca="false">BJ16-BJ17+BJ18-BJ20</f>
        <v>273.961409596133</v>
      </c>
      <c r="BK21" s="19" t="n">
        <f aca="false">BK16-BK17+BK18-BK20</f>
        <v>204.099322546794</v>
      </c>
      <c r="BL21" s="19" t="n">
        <f aca="false">BL16-BL17+BL18-BL20</f>
        <v>132.119671918958</v>
      </c>
      <c r="BM21" s="19" t="n">
        <f aca="false">BM16-BM17+BM18-BM20</f>
        <v>54.4999043076001</v>
      </c>
      <c r="BN21" s="19" t="n">
        <f aca="false">BN16-BN17+BN18-BN20</f>
        <v>0</v>
      </c>
      <c r="BO21" s="19" t="n">
        <f aca="false">BO16-BO17+BO18-BO20</f>
        <v>0</v>
      </c>
      <c r="BP21" s="19" t="n">
        <f aca="false">BP16-BP17+BP18-BP20</f>
        <v>0</v>
      </c>
      <c r="BQ21" s="19" t="n">
        <f aca="false">BQ16-BQ17+BQ18-BQ20</f>
        <v>0</v>
      </c>
      <c r="BR21" s="19" t="n">
        <f aca="false">BR16-BR17+BR18-BR20</f>
        <v>0</v>
      </c>
      <c r="BS21" s="19" t="n">
        <f aca="false">BS16-BS17+BS18-BS20</f>
        <v>0</v>
      </c>
      <c r="BT21" s="19" t="n">
        <f aca="false">BT16-BT17+BT18-BT20</f>
        <v>0</v>
      </c>
      <c r="BU21" s="19" t="n">
        <f aca="false">BU16-BU17+BU18-BU20</f>
        <v>2.780958722742</v>
      </c>
      <c r="BV21" s="19" t="n">
        <f aca="false">BV16-BV17+BV18-BV20</f>
        <v>0</v>
      </c>
      <c r="BW21" s="19" t="n">
        <f aca="false">BW16-BW17+BW18-BW20</f>
        <v>0</v>
      </c>
      <c r="BX21" s="19" t="n">
        <f aca="false">BX16-BX17+BX18-BX20</f>
        <v>0</v>
      </c>
      <c r="BY21" s="19" t="n">
        <f aca="false">BY16-BY17+BY18-BY20</f>
        <v>0</v>
      </c>
      <c r="BZ21" s="19" t="n">
        <f aca="false">BZ16-BZ17+BZ18-BZ20</f>
        <v>0</v>
      </c>
      <c r="CA21" s="19" t="n">
        <f aca="false">CA16-CA17+CA18-CA20</f>
        <v>0</v>
      </c>
      <c r="CB21" s="19" t="n">
        <f aca="false">CB16-CB17+CB18-CB20</f>
        <v>0</v>
      </c>
      <c r="CC21" s="19" t="n">
        <f aca="false">CC16-CC17+CC18-CC20</f>
        <v>0</v>
      </c>
      <c r="CD21" s="19" t="n">
        <f aca="false">CD16-CD17+CD18-CD20</f>
        <v>0</v>
      </c>
      <c r="CE21" s="19" t="n">
        <f aca="false">CE16-CE17+CE18-CE20</f>
        <v>0</v>
      </c>
      <c r="CF21" s="19" t="n">
        <f aca="false">CF16-CF17+CF18-CF20</f>
        <v>0</v>
      </c>
      <c r="CG21" s="19" t="n">
        <f aca="false">CG16-CG17+CG18-CG20</f>
        <v>0</v>
      </c>
      <c r="CH21" s="19" t="n">
        <f aca="false">CH16-CH17+CH18-CH20</f>
        <v>0</v>
      </c>
      <c r="CI21" s="19" t="n">
        <f aca="false">CI16-CI17+CI18-CI20</f>
        <v>0</v>
      </c>
      <c r="CJ21" s="19" t="n">
        <f aca="false">CJ16-CJ17+CJ18-CJ20</f>
        <v>0</v>
      </c>
      <c r="CK21" s="19" t="n">
        <f aca="false">CK16-CK17+CK18-CK20</f>
        <v>0</v>
      </c>
      <c r="CL21" s="19" t="n">
        <f aca="false">CL16-CL17+CL18-CL20</f>
        <v>0</v>
      </c>
      <c r="CM21" s="19" t="n">
        <f aca="false">CM16-CM17+CM18-CM20</f>
        <v>0</v>
      </c>
      <c r="CN21" s="19" t="n">
        <f aca="false">CN16-CN17+CN18-CN20</f>
        <v>0</v>
      </c>
      <c r="CO21" s="19" t="n">
        <f aca="false">CO16-CO17+CO18-CO20</f>
        <v>0</v>
      </c>
      <c r="CP21" s="19" t="n">
        <f aca="false">CP16-CP17+CP18-CP20</f>
        <v>0</v>
      </c>
      <c r="CQ21" s="19" t="n">
        <f aca="false">CQ16-CQ17+CQ18-CQ20</f>
        <v>5.55648191080975E-014</v>
      </c>
      <c r="CR21" s="19" t="n">
        <f aca="false">CR16-CR17+CR18-CR20</f>
        <v>1.1068301830619E-013</v>
      </c>
      <c r="CS21" s="19" t="n">
        <f aca="false">CS16-CS17+CS18-CS20</f>
        <v>1.66247837414288E-013</v>
      </c>
      <c r="CT21" s="19" t="n">
        <f aca="false">CT16-CT17+CT18-CT20</f>
        <v>2.2136603661238E-013</v>
      </c>
      <c r="CU21" s="19" t="n">
        <f aca="false">CU16-CU17+CU18-CU20</f>
        <v>2.76930855720478E-013</v>
      </c>
      <c r="CV21" s="19" t="n">
        <f aca="false">CV16-CV17+CV18-CV20</f>
        <v>3.32197928221906E-013</v>
      </c>
      <c r="CW21" s="19" t="n">
        <f aca="false">CW16-CW17+CW18-CW20</f>
        <v>3.87762747330003E-013</v>
      </c>
      <c r="CX21" s="19" t="n">
        <f aca="false">CX16-CX17+CX18-CX20</f>
        <v>4.42880946528096E-013</v>
      </c>
      <c r="CY21" s="19" t="n">
        <f aca="false">CY16-CY17+CY18-CY20</f>
        <v>4.98445765636193E-013</v>
      </c>
      <c r="CZ21" s="19" t="n">
        <f aca="false">CZ16-CZ17+CZ18-CZ20</f>
        <v>5.53563964834286E-013</v>
      </c>
      <c r="DA21" s="19" t="n">
        <f aca="false">DA16-DA17+DA18-DA20</f>
        <v>6.09128783942384E-013</v>
      </c>
      <c r="DB21" s="19" t="n">
        <f aca="false">DB16-DB17+DB18-DB20</f>
        <v>6.64246983140476E-013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3647.15681299505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25.3581443516642</v>
      </c>
      <c r="BO22" s="19" t="n">
        <f aca="false">MAX(0,BO15)-BO17</f>
        <v>85.9019612004769</v>
      </c>
      <c r="BP22" s="19" t="n">
        <f aca="false">MAX(0,BP15)-BP17</f>
        <v>88.5778501999084</v>
      </c>
      <c r="BQ22" s="19" t="n">
        <f aca="false">MAX(0,BQ15)-BQ17</f>
        <v>94.282613380859</v>
      </c>
      <c r="BR22" s="19" t="n">
        <f aca="false">MAX(0,BR15)-BR17</f>
        <v>94.7789403017841</v>
      </c>
      <c r="BS22" s="19" t="n">
        <f aca="false">MAX(0,BS15)-BS17</f>
        <v>101.355586900319</v>
      </c>
      <c r="BT22" s="19" t="n">
        <f aca="false">MAX(0,BT15)-BT17</f>
        <v>101.895256703875</v>
      </c>
      <c r="BU22" s="19" t="n">
        <f aca="false">MAX(0,BU15)-BU17</f>
        <v>0</v>
      </c>
      <c r="BV22" s="19" t="n">
        <f aca="false">MAX(0,BV15)-BV17</f>
        <v>106.859649261961</v>
      </c>
      <c r="BW22" s="19" t="n">
        <f aca="false">MAX(0,BW15)-BW17</f>
        <v>117.180471860796</v>
      </c>
      <c r="BX22" s="19" t="n">
        <f aca="false">MAX(0,BX15)-BX17</f>
        <v>118.735022909</v>
      </c>
      <c r="BY22" s="19" t="n">
        <f aca="false">MAX(0,BY15)-BY17</f>
        <v>126.000970408957</v>
      </c>
      <c r="BZ22" s="19" t="n">
        <f aca="false">MAX(0,BZ15)-BZ17</f>
        <v>126.932745862616</v>
      </c>
      <c r="CA22" s="19" t="n">
        <f aca="false">MAX(0,CA15)-CA17</f>
        <v>135.295873587951</v>
      </c>
      <c r="CB22" s="19" t="n">
        <f aca="false">MAX(0,CB15)-CB17</f>
        <v>136.148030359619</v>
      </c>
      <c r="CC22" s="19" t="n">
        <f aca="false">MAX(0,CC15)-CC17</f>
        <v>144.796897100572</v>
      </c>
      <c r="CD22" s="19" t="n">
        <f aca="false">MAX(0,CD15)-CD17</f>
        <v>145.715983861407</v>
      </c>
      <c r="CE22" s="19" t="n">
        <f aca="false">MAX(0,CE15)-CE17</f>
        <v>154.811364572512</v>
      </c>
      <c r="CF22" s="19" t="n">
        <f aca="false">MAX(0,CF15)-CF17</f>
        <v>156.598750877145</v>
      </c>
      <c r="CG22" s="19" t="n">
        <f aca="false">MAX(0,CG15)-CG17</f>
        <v>93.0260983770999</v>
      </c>
      <c r="CH22" s="19" t="n">
        <f aca="false">MAX(0,CH15)-CH17</f>
        <v>165.899185024893</v>
      </c>
      <c r="CI22" s="19" t="n">
        <f aca="false">MAX(0,CI15)-CI17</f>
        <v>174.562563434337</v>
      </c>
      <c r="CJ22" s="19" t="n">
        <f aca="false">MAX(0,CJ15)-CJ17</f>
        <v>174.199203764633</v>
      </c>
      <c r="CK22" s="19" t="n">
        <f aca="false">MAX(0,CK15)-CK17</f>
        <v>148.324193666771</v>
      </c>
      <c r="CL22" s="19" t="n">
        <f aca="false">MAX(0,CL15)-CL17</f>
        <v>182.877914564697</v>
      </c>
      <c r="CM22" s="19" t="n">
        <f aca="false">MAX(0,CM15)-CM17</f>
        <v>192.330744594452</v>
      </c>
      <c r="CN22" s="19" t="n">
        <f aca="false">MAX(0,CN15)-CN17</f>
        <v>192.988702366102</v>
      </c>
      <c r="CO22" s="19" t="n">
        <f aca="false">MAX(0,CO15)-CO17</f>
        <v>201.755351856596</v>
      </c>
      <c r="CP22" s="19" t="n">
        <f aca="false">MAX(0,CP15)-CP17</f>
        <v>59.9667416440462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1094.14704389852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7.60744330549925</v>
      </c>
      <c r="BO23" s="19" t="n">
        <f aca="false">Inputs!$F$158*BO22</f>
        <v>25.7705883601431</v>
      </c>
      <c r="BP23" s="19" t="n">
        <f aca="false">Inputs!$F$158*BP22</f>
        <v>26.5733550599725</v>
      </c>
      <c r="BQ23" s="19" t="n">
        <f aca="false">Inputs!$F$158*BQ22</f>
        <v>28.2847840142577</v>
      </c>
      <c r="BR23" s="19" t="n">
        <f aca="false">Inputs!$F$158*BR22</f>
        <v>28.4336820905352</v>
      </c>
      <c r="BS23" s="19" t="n">
        <f aca="false">Inputs!$F$158*BS22</f>
        <v>30.4066760700956</v>
      </c>
      <c r="BT23" s="19" t="n">
        <f aca="false">Inputs!$F$158*BT22</f>
        <v>30.5685770111626</v>
      </c>
      <c r="BU23" s="19" t="n">
        <f aca="false">Inputs!$F$158*BU22</f>
        <v>0</v>
      </c>
      <c r="BV23" s="19" t="n">
        <f aca="false">Inputs!$F$158*BV22</f>
        <v>32.0578947785884</v>
      </c>
      <c r="BW23" s="19" t="n">
        <f aca="false">Inputs!$F$158*BW22</f>
        <v>35.1541415582387</v>
      </c>
      <c r="BX23" s="19" t="n">
        <f aca="false">Inputs!$F$158*BX22</f>
        <v>35.6205068727001</v>
      </c>
      <c r="BY23" s="19" t="n">
        <f aca="false">Inputs!$F$158*BY22</f>
        <v>37.800291122687</v>
      </c>
      <c r="BZ23" s="19" t="n">
        <f aca="false">Inputs!$F$158*BZ22</f>
        <v>38.0798237587849</v>
      </c>
      <c r="CA23" s="19" t="n">
        <f aca="false">Inputs!$F$158*CA22</f>
        <v>40.5887620763854</v>
      </c>
      <c r="CB23" s="19" t="n">
        <f aca="false">Inputs!$F$158*CB22</f>
        <v>40.8444091078856</v>
      </c>
      <c r="CC23" s="19" t="n">
        <f aca="false">Inputs!$F$158*CC22</f>
        <v>43.4390691301717</v>
      </c>
      <c r="CD23" s="19" t="n">
        <f aca="false">Inputs!$F$158*CD22</f>
        <v>43.714795158422</v>
      </c>
      <c r="CE23" s="19" t="n">
        <f aca="false">Inputs!$F$158*CE22</f>
        <v>46.4434093717537</v>
      </c>
      <c r="CF23" s="19" t="n">
        <f aca="false">Inputs!$F$158*CF22</f>
        <v>46.9796252631436</v>
      </c>
      <c r="CG23" s="19" t="n">
        <f aca="false">Inputs!$F$158*CG22</f>
        <v>27.90782951313</v>
      </c>
      <c r="CH23" s="19" t="n">
        <f aca="false">Inputs!$F$158*CH22</f>
        <v>49.7697555074679</v>
      </c>
      <c r="CI23" s="19" t="n">
        <f aca="false">Inputs!$F$158*CI22</f>
        <v>52.3687690303012</v>
      </c>
      <c r="CJ23" s="19" t="n">
        <f aca="false">Inputs!$F$158*CJ22</f>
        <v>52.2597611293898</v>
      </c>
      <c r="CK23" s="19" t="n">
        <f aca="false">Inputs!$F$158*CK22</f>
        <v>44.4972581000313</v>
      </c>
      <c r="CL23" s="19" t="n">
        <f aca="false">Inputs!$F$158*CL22</f>
        <v>54.863374369409</v>
      </c>
      <c r="CM23" s="19" t="n">
        <f aca="false">Inputs!$F$158*CM22</f>
        <v>57.6992233783356</v>
      </c>
      <c r="CN23" s="19" t="n">
        <f aca="false">Inputs!$F$158*CN22</f>
        <v>57.8966107098305</v>
      </c>
      <c r="CO23" s="19" t="n">
        <f aca="false">Inputs!$F$158*CO22</f>
        <v>60.5266055569788</v>
      </c>
      <c r="CP23" s="19" t="n">
        <f aca="false">Inputs!$F$158*CP22</f>
        <v>17.9900224932139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6703.68908990801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13.2057960522632</v>
      </c>
      <c r="AA13" s="29" t="n">
        <f aca="false">Operations!AA48</f>
        <v>29.811967654051</v>
      </c>
      <c r="AB13" s="29" t="n">
        <f aca="false">Operations!AB48</f>
        <v>35.4999361498271</v>
      </c>
      <c r="AC13" s="29" t="n">
        <f aca="false">Operations!AC48</f>
        <v>37.6510219802945</v>
      </c>
      <c r="AD13" s="29" t="n">
        <f aca="false">Operations!AD48</f>
        <v>41.5262939014061</v>
      </c>
      <c r="AE13" s="29" t="n">
        <f aca="false">Operations!AE48</f>
        <v>44.0518580356782</v>
      </c>
      <c r="AF13" s="29" t="n">
        <f aca="false">Operations!AF48</f>
        <v>47.141564172366</v>
      </c>
      <c r="AG13" s="29" t="n">
        <f aca="false">Operations!AG48</f>
        <v>49.8522088901647</v>
      </c>
      <c r="AH13" s="29" t="n">
        <f aca="false">Operations!AH48</f>
        <v>50.8423903256552</v>
      </c>
      <c r="AI13" s="29" t="n">
        <f aca="false">Operations!AI48</f>
        <v>50.3596332262114</v>
      </c>
      <c r="AJ13" s="29" t="n">
        <f aca="false">Operations!AJ48</f>
        <v>51.7194008002565</v>
      </c>
      <c r="AK13" s="29" t="n">
        <f aca="false">Operations!AK48</f>
        <v>54.3447497898363</v>
      </c>
      <c r="AL13" s="29" t="n">
        <f aca="false">Operations!AL48</f>
        <v>55.4736792651828</v>
      </c>
      <c r="AM13" s="29" t="n">
        <f aca="false">Operations!AM48</f>
        <v>58.6088405519315</v>
      </c>
      <c r="AN13" s="29" t="n">
        <f aca="false">Operations!AN48</f>
        <v>59.8140464339361</v>
      </c>
      <c r="AO13" s="29" t="n">
        <f aca="false">Operations!AO48</f>
        <v>66.3491827406967</v>
      </c>
      <c r="AP13" s="29" t="n">
        <f aca="false">Operations!AP48</f>
        <v>67.6325043602451</v>
      </c>
      <c r="AQ13" s="29" t="n">
        <f aca="false">Operations!AQ48</f>
        <v>60.900382629931</v>
      </c>
      <c r="AR13" s="29" t="n">
        <f aca="false">Operations!AR48</f>
        <v>62.6711775737956</v>
      </c>
      <c r="AS13" s="29" t="n">
        <f aca="false">Operations!AS48</f>
        <v>66.0638433230532</v>
      </c>
      <c r="AT13" s="29" t="n">
        <f aca="false">Operations!AT48</f>
        <v>67.5242984290686</v>
      </c>
      <c r="AU13" s="29" t="n">
        <f aca="false">Operations!AU48</f>
        <v>71.5760936513739</v>
      </c>
      <c r="AV13" s="29" t="n">
        <f aca="false">Operations!AV48</f>
        <v>73.1336853372829</v>
      </c>
      <c r="AW13" s="29" t="n">
        <f aca="false">Operations!AW48</f>
        <v>78.9807975932619</v>
      </c>
      <c r="AX13" s="29" t="n">
        <f aca="false">Operations!AX48</f>
        <v>79.5731639027569</v>
      </c>
      <c r="AY13" s="29" t="n">
        <f aca="false">Operations!AY48</f>
        <v>79.65136927751</v>
      </c>
      <c r="AZ13" s="29" t="n">
        <f aca="false">Operations!AZ48</f>
        <v>80.7871500882672</v>
      </c>
      <c r="BA13" s="29" t="n">
        <f aca="false">Operations!BA48</f>
        <v>84.4503672018265</v>
      </c>
      <c r="BB13" s="29" t="n">
        <f aca="false">Operations!BB48</f>
        <v>85.1046691438304</v>
      </c>
      <c r="BC13" s="29" t="n">
        <f aca="false">Operations!BC48</f>
        <v>97.8002319889381</v>
      </c>
      <c r="BD13" s="29" t="n">
        <f aca="false">Operations!BD48</f>
        <v>98.4892700489251</v>
      </c>
      <c r="BE13" s="29" t="n">
        <f aca="false">Operations!BE48</f>
        <v>107.047864737675</v>
      </c>
      <c r="BF13" s="29" t="n">
        <f aca="false">Operations!BF48</f>
        <v>107.773322120946</v>
      </c>
      <c r="BG13" s="29" t="n">
        <f aca="false">Operations!BG48</f>
        <v>112.620415809364</v>
      </c>
      <c r="BH13" s="29" t="n">
        <f aca="false">Operations!BH48</f>
        <v>114.007716239484</v>
      </c>
      <c r="BI13" s="29" t="n">
        <f aca="false">Operations!BI48</f>
        <v>118.485305392427</v>
      </c>
      <c r="BJ13" s="29" t="n">
        <f aca="false">Operations!BJ48</f>
        <v>119.285098779664</v>
      </c>
      <c r="BK13" s="29" t="n">
        <f aca="false">Operations!BK48</f>
        <v>124.658620094971</v>
      </c>
      <c r="BL13" s="29" t="n">
        <f aca="false">Operations!BL48</f>
        <v>125.499987190561</v>
      </c>
      <c r="BM13" s="29" t="n">
        <f aca="false">Operations!BM48</f>
        <v>131.106968267941</v>
      </c>
      <c r="BN13" s="29" t="n">
        <f aca="false">Operations!BN48</f>
        <v>124.380655131397</v>
      </c>
      <c r="BO13" s="29" t="n">
        <f aca="false">Operations!BO48</f>
        <v>93.513086151924</v>
      </c>
      <c r="BP13" s="29" t="n">
        <f aca="false">Operations!BP48</f>
        <v>94.4045985453348</v>
      </c>
      <c r="BQ13" s="29" t="n">
        <f aca="false">Operations!BQ48</f>
        <v>98.1246783432969</v>
      </c>
      <c r="BR13" s="29" t="n">
        <f aca="false">Operations!BR48</f>
        <v>97.301418403763</v>
      </c>
      <c r="BS13" s="29" t="n">
        <f aca="false">Operations!BS48</f>
        <v>101.644581530227</v>
      </c>
      <c r="BT13" s="29" t="n">
        <f aca="false">Operations!BT48</f>
        <v>100.784496575918</v>
      </c>
      <c r="BU13" s="29" t="n">
        <f aca="false">Operations!BU48</f>
        <v>156.513657952211</v>
      </c>
      <c r="BV13" s="29" t="n">
        <f aca="false">Operations!BV48</f>
        <v>123.732693154887</v>
      </c>
      <c r="BW13" s="29" t="n">
        <f aca="false">Operations!BW48</f>
        <v>127.44520177735</v>
      </c>
      <c r="BX13" s="29" t="n">
        <f aca="false">Operations!BX48</f>
        <v>127.1243869743</v>
      </c>
      <c r="BY13" s="29" t="n">
        <f aca="false">Operations!BY48</f>
        <v>131.115290905852</v>
      </c>
      <c r="BZ13" s="29" t="n">
        <f aca="false">Operations!BZ48</f>
        <v>130.059606645461</v>
      </c>
      <c r="CA13" s="29" t="n">
        <f aca="false">Operations!CA48</f>
        <v>122.869952960207</v>
      </c>
      <c r="CB13" s="29" t="n">
        <f aca="false">Operations!CB48</f>
        <v>121.809898071967</v>
      </c>
      <c r="CC13" s="29" t="n">
        <f aca="false">Operations!CC48</f>
        <v>126.814807637733</v>
      </c>
      <c r="CD13" s="29" t="n">
        <f aca="false">Operations!CD48</f>
        <v>125.705232375008</v>
      </c>
      <c r="CE13" s="29" t="n">
        <f aca="false">Operations!CE48</f>
        <v>125.039892704174</v>
      </c>
      <c r="CF13" s="29" t="n">
        <f aca="false">Operations!CF48</f>
        <v>124.680775538843</v>
      </c>
      <c r="CG13" s="29" t="n">
        <f aca="false">Operations!CG48</f>
        <v>153.314798010442</v>
      </c>
      <c r="CH13" s="29" t="n">
        <f aca="false">Operations!CH48</f>
        <v>130.319650147852</v>
      </c>
      <c r="CI13" s="29" t="n">
        <f aca="false">Operations!CI48</f>
        <v>136.23246307777</v>
      </c>
      <c r="CJ13" s="29" t="n">
        <f aca="false">Operations!CJ48</f>
        <v>135.168775495426</v>
      </c>
      <c r="CK13" s="29" t="n">
        <f aca="false">Operations!CK48</f>
        <v>157.56014990159</v>
      </c>
      <c r="CL13" s="29" t="n">
        <f aca="false">Operations!CL48</f>
        <v>145.980389884893</v>
      </c>
      <c r="CM13" s="29" t="n">
        <f aca="false">Operations!CM48</f>
        <v>152.325534464231</v>
      </c>
      <c r="CN13" s="29" t="n">
        <f aca="false">Operations!CN48</f>
        <v>152.088653843563</v>
      </c>
      <c r="CO13" s="29" t="n">
        <f aca="false">Operations!CO48</f>
        <v>157.747542334871</v>
      </c>
      <c r="CP13" s="29" t="n">
        <f aca="false">Operations!CP48</f>
        <v>168.809348214662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2386.71468574108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1591.14312382739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1539.81592628457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1028.95865100587</v>
      </c>
      <c r="AE18" s="19" t="n">
        <f aca="false">IF(AND(Time!AE30=1,AE9&gt;0),AE13/(Inputs!$F$91*AE9),Inputs!$F$10)</f>
        <v>1082.49067769982</v>
      </c>
      <c r="AF18" s="19" t="n">
        <f aca="false">IF(AND(Time!AF30=1,AF9&gt;0),AF13/(Inputs!$F$91*AF9),Inputs!$F$10)</f>
        <v>1174.50105304314</v>
      </c>
      <c r="AG18" s="19" t="n">
        <f aca="false">IF(AND(Time!AG30=1,AG9&gt;0),AG13/(Inputs!$F$91*AG9),Inputs!$F$10)</f>
        <v>1261.95508598179</v>
      </c>
      <c r="AH18" s="19" t="n">
        <f aca="false">IF(AND(Time!AH30=1,AH9&gt;0),AH13/(Inputs!$F$91*AH9),Inputs!$F$10)</f>
        <v>1297.46143202264</v>
      </c>
      <c r="AI18" s="19" t="n">
        <f aca="false">IF(AND(Time!AI30=1,AI9&gt;0),AI13/(Inputs!$F$91*AI9),Inputs!$F$10)</f>
        <v>1274.79998765979</v>
      </c>
      <c r="AJ18" s="19" t="n">
        <f aca="false">IF(AND(Time!AJ30=1,AJ9&gt;0),AJ13/(Inputs!$F$91*AJ9),Inputs!$F$10)</f>
        <v>1316.28265960424</v>
      </c>
      <c r="AK18" s="19" t="n">
        <f aca="false">IF(AND(Time!AK30=1,AK9&gt;0),AK13/(Inputs!$F$91*AK9),Inputs!$F$10)</f>
        <v>1375.67893019123</v>
      </c>
      <c r="AL18" s="19" t="n">
        <f aca="false">IF(AND(Time!AL30=1,AL9&gt;0),AL13/(Inputs!$F$91*AL9),Inputs!$F$10)</f>
        <v>1415.64861285938</v>
      </c>
      <c r="AM18" s="19" t="n">
        <f aca="false">IF(AND(Time!AM30=1,AM9&gt;0),AM13/(Inputs!$F$91*AM9),Inputs!$F$10)</f>
        <v>1483.61980471035</v>
      </c>
      <c r="AN18" s="19" t="n">
        <f aca="false">IF(AND(Time!AN30=1,AN9&gt;0),AN13/(Inputs!$F$91*AN9),Inputs!$F$10)</f>
        <v>1526.41167821103</v>
      </c>
      <c r="AO18" s="19" t="n">
        <f aca="false">IF(AND(Time!AO30=1,AO9&gt;0),AO13/(Inputs!$F$91*AO9),Inputs!$F$10)</f>
        <v>1679.55824775653</v>
      </c>
      <c r="AP18" s="19" t="n">
        <f aca="false">IF(AND(Time!AP30=1,AP9&gt;0),AP13/(Inputs!$F$91*AP9),Inputs!$F$10)</f>
        <v>1725.93313171277</v>
      </c>
      <c r="AQ18" s="19" t="n">
        <f aca="false">IF(AND(Time!AQ30=1,AQ9&gt;0),AQ13/(Inputs!$F$91*AQ9),Inputs!$F$10)</f>
        <v>1541.62772942326</v>
      </c>
      <c r="AR18" s="19" t="n">
        <f aca="false">IF(AND(Time!AR30=1,AR9&gt;0),AR13/(Inputs!$F$91*AR9),Inputs!$F$10)</f>
        <v>1595.01044136142</v>
      </c>
      <c r="AS18" s="19" t="n">
        <f aca="false">IF(AND(Time!AS30=1,AS9&gt;0),AS13/(Inputs!$F$91*AS9),Inputs!$F$10)</f>
        <v>1672.33518708694</v>
      </c>
      <c r="AT18" s="19" t="n">
        <f aca="false">IF(AND(Time!AT30=1,AT9&gt;0),AT13/(Inputs!$F$91*AT9),Inputs!$F$10)</f>
        <v>1723.1717937521</v>
      </c>
      <c r="AU18" s="19" t="n">
        <f aca="false">IF(AND(Time!AU30=1,AU9&gt;0),AU13/(Inputs!$F$91*AU9),Inputs!$F$10)</f>
        <v>1811.87187948016</v>
      </c>
      <c r="AV18" s="19" t="n">
        <f aca="false">IF(AND(Time!AV30=1,AV9&gt;0),AV13/(Inputs!$F$91*AV9),Inputs!$F$10)</f>
        <v>1866.31933508687</v>
      </c>
      <c r="AW18" s="19" t="n">
        <f aca="false">IF(AND(Time!AW30=1,AW9&gt;0),AW13/(Inputs!$F$91*AW9),Inputs!$F$10)</f>
        <v>1999.31400105681</v>
      </c>
      <c r="AX18" s="19" t="n">
        <f aca="false">IF(AND(Time!AX30=1,AX9&gt;0),AX13/(Inputs!$F$91*AX9),Inputs!$F$10)</f>
        <v>2030.65022172544</v>
      </c>
      <c r="AY18" s="19" t="n">
        <f aca="false">IF(AND(Time!AY30=1,AY9&gt;0),AY13/(Inputs!$F$91*AY9),Inputs!$F$10)</f>
        <v>2016.28880250075</v>
      </c>
      <c r="AZ18" s="19" t="n">
        <f aca="false">IF(AND(Time!AZ30=1,AZ9&gt;0),AZ13/(Inputs!$F$91*AZ9),Inputs!$F$10)</f>
        <v>2056.07031664419</v>
      </c>
      <c r="BA18" s="19" t="n">
        <f aca="false">IF(AND(Time!BA30=1,BA9&gt;0),BA13/(Inputs!$F$91*BA9),Inputs!$F$10)</f>
        <v>2137.77027690342</v>
      </c>
      <c r="BB18" s="19" t="n">
        <f aca="false">IF(AND(Time!BB30=1,BB9&gt;0),BB13/(Inputs!$F$91*BB9),Inputs!$F$10)</f>
        <v>2171.81027862588</v>
      </c>
      <c r="BC18" s="19" t="n">
        <f aca="false">IF(AND(Time!BC30=1,BC9&gt;0),BC13/(Inputs!$F$91*BC9),Inputs!$F$10)</f>
        <v>2475.70775530848</v>
      </c>
      <c r="BD18" s="19" t="n">
        <f aca="false">IF(AND(Time!BD30=1,BD9&gt;0),BD13/(Inputs!$F$91*BD9),Inputs!$F$10)</f>
        <v>2513.37571931707</v>
      </c>
      <c r="BE18" s="19" t="n">
        <f aca="false">IF(AND(Time!BE30=1,BE9&gt;0),BE13/(Inputs!$F$91*BE9),Inputs!$F$10)</f>
        <v>2709.80163881667</v>
      </c>
      <c r="BF18" s="19" t="n">
        <f aca="false">IF(AND(Time!BF30=1,BF9&gt;0),BF13/(Inputs!$F$91*BF9),Inputs!$F$10)</f>
        <v>2750.29808703388</v>
      </c>
      <c r="BG18" s="19" t="n">
        <f aca="false">IF(AND(Time!BG30=1,BG9&gt;0),BG13/(Inputs!$F$91*BG9),Inputs!$F$10)</f>
        <v>2845.9619443778</v>
      </c>
      <c r="BH18" s="19" t="n">
        <f aca="false">IF(AND(Time!BH30=1,BH9&gt;0),BH13/(Inputs!$F$91*BH9),Inputs!$F$10)</f>
        <v>2896.58665152077</v>
      </c>
      <c r="BI18" s="19" t="n">
        <f aca="false">IF(AND(Time!BI30=1,BI9&gt;0),BI13/(Inputs!$F$91*BI9),Inputs!$F$10)</f>
        <v>2994.16999743303</v>
      </c>
      <c r="BJ18" s="19" t="n">
        <f aca="false">IF(AND(Time!BJ30=1,BJ9&gt;0),BJ13/(Inputs!$F$91*BJ9),Inputs!$F$10)</f>
        <v>3038.87879109325</v>
      </c>
      <c r="BK18" s="19" t="n">
        <f aca="false">IF(AND(Time!BK30=1,BK9&gt;0),BK13/(Inputs!$F$91*BK9),Inputs!$F$10)</f>
        <v>3150.17207385805</v>
      </c>
      <c r="BL18" s="19" t="n">
        <f aca="false">IF(AND(Time!BL30=1,BL9&gt;0),BL13/(Inputs!$F$91*BL9),Inputs!$F$10)</f>
        <v>3197.20780933694</v>
      </c>
      <c r="BM18" s="19" t="n">
        <f aca="false">IF(AND(Time!BM30=1,BM9&gt;0),BM13/(Inputs!$F$91*BM9),Inputs!$F$10)</f>
        <v>3313.12435362441</v>
      </c>
      <c r="BN18" s="19" t="n">
        <f aca="false">IF(AND(Time!BN30=1,BN9&gt;0),BN13/(Inputs!$F$91*BN9),Inputs!$F$10)</f>
        <v>3168.69197215708</v>
      </c>
      <c r="BO18" s="19" t="n">
        <f aca="false">IF(AND(Time!BO30=1,BO9&gt;0),BO13/(Inputs!$F$91*BO9),Inputs!$F$10)</f>
        <v>2363.11225257944</v>
      </c>
      <c r="BP18" s="19" t="n">
        <f aca="false">IF(AND(Time!BP30=1,BP9&gt;0),BP13/(Inputs!$F$91*BP9),Inputs!$F$10)</f>
        <v>2398.53151179859</v>
      </c>
      <c r="BQ18" s="19" t="n">
        <f aca="false">IF(AND(Time!BQ30=1,BQ9&gt;0),BQ13/(Inputs!$F$91*BQ9),Inputs!$F$10)</f>
        <v>2479.64899048186</v>
      </c>
      <c r="BR18" s="19" t="n">
        <f aca="false">IF(AND(Time!BR30=1,BR9&gt;0),BR13/(Inputs!$F$91*BR9),Inputs!$F$10)</f>
        <v>2478.82778113518</v>
      </c>
      <c r="BS18" s="19" t="n">
        <f aca="false">IF(AND(Time!BS30=1,BS9&gt;0),BS13/(Inputs!$F$91*BS9),Inputs!$F$10)</f>
        <v>2568.59832036938</v>
      </c>
      <c r="BT18" s="19" t="n">
        <f aca="false">IF(AND(Time!BT30=1,BT9&gt;0),BT13/(Inputs!$F$91*BT9),Inputs!$F$10)</f>
        <v>2567.56185180592</v>
      </c>
      <c r="BU18" s="19" t="n">
        <f aca="false">IF(AND(Time!BU30=1,BU9&gt;0),BU13/(Inputs!$F$91*BU9),Inputs!$F$10)</f>
        <v>3955.16133647877</v>
      </c>
      <c r="BV18" s="19" t="n">
        <f aca="false">IF(AND(Time!BV30=1,BV9&gt;0),BV13/(Inputs!$F$91*BV9),Inputs!$F$10)</f>
        <v>3152.18464703436</v>
      </c>
      <c r="BW18" s="19" t="n">
        <f aca="false">IF(AND(Time!BW30=1,BW9&gt;0),BW13/(Inputs!$F$91*BW9),Inputs!$F$10)</f>
        <v>3220.59008258192</v>
      </c>
      <c r="BX18" s="19" t="n">
        <f aca="false">IF(AND(Time!BX30=1,BX9&gt;0),BX13/(Inputs!$F$91*BX9),Inputs!$F$10)</f>
        <v>3229.84105408289</v>
      </c>
      <c r="BY18" s="19" t="n">
        <f aca="false">IF(AND(Time!BY30=1,BY9&gt;0),BY13/(Inputs!$F$91*BY9),Inputs!$F$10)</f>
        <v>3313.33466993873</v>
      </c>
      <c r="BZ18" s="19" t="n">
        <f aca="false">IF(AND(Time!BZ30=1,BZ9&gt;0),BZ13/(Inputs!$F$91*BZ9),Inputs!$F$10)</f>
        <v>3313.36758955011</v>
      </c>
      <c r="CA18" s="19" t="n">
        <f aca="false">IF(AND(Time!CA30=1,CA9&gt;0),CA13/(Inputs!$F$91*CA9),Inputs!$F$10)</f>
        <v>3104.9717559573</v>
      </c>
      <c r="CB18" s="19" t="n">
        <f aca="false">IF(AND(Time!CB30=1,CB9&gt;0),CB13/(Inputs!$F$91*CB9),Inputs!$F$10)</f>
        <v>3103.19997705563</v>
      </c>
      <c r="CC18" s="19" t="n">
        <f aca="false">IF(AND(Time!CC30=1,CC9&gt;0),CC13/(Inputs!$F$91*CC9),Inputs!$F$10)</f>
        <v>3204.65977617686</v>
      </c>
      <c r="CD18" s="19" t="n">
        <f aca="false">IF(AND(Time!CD30=1,CD9&gt;0),CD13/(Inputs!$F$91*CD9),Inputs!$F$10)</f>
        <v>3202.43658681518</v>
      </c>
      <c r="CE18" s="19" t="n">
        <f aca="false">IF(AND(Time!CE30=1,CE9&gt;0),CE13/(Inputs!$F$91*CE9),Inputs!$F$10)</f>
        <v>3159.80698177796</v>
      </c>
      <c r="CF18" s="19" t="n">
        <f aca="false">IF(AND(Time!CF30=1,CF9&gt;0),CF13/(Inputs!$F$91*CF9),Inputs!$F$10)</f>
        <v>3167.7563768442</v>
      </c>
      <c r="CG18" s="19" t="n">
        <f aca="false">IF(AND(Time!CG30=1,CG9&gt;0),CG13/(Inputs!$F$91*CG9),Inputs!$F$10)</f>
        <v>3874.32489493091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1028.95865100587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888.955028645724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5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457.309456483508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878.179739653911</v>
      </c>
      <c r="AF31" s="19" t="n">
        <f aca="false">IF(Time!AF21=1,$F$26,AE36)</f>
        <v>872.636796499236</v>
      </c>
      <c r="AG31" s="19" t="n">
        <f aca="false">IF(Time!AG21=1,$F$26,AF36)</f>
        <v>864.5594072769</v>
      </c>
      <c r="AH31" s="19" t="n">
        <f aca="false">IF(Time!AH21=1,$F$26,AG36)</f>
        <v>854.09360829197</v>
      </c>
      <c r="AI31" s="19" t="n">
        <f aca="false">IF(Time!AI21=1,$F$26,AH36)</f>
        <v>842.511052081</v>
      </c>
      <c r="AJ31" s="19" t="n">
        <f aca="false">IF(Time!AJ21=1,$F$26,AI36)</f>
        <v>831.126305478013</v>
      </c>
      <c r="AK31" s="19" t="n">
        <f aca="false">IF(Time!AK21=1,$F$26,AJ36)</f>
        <v>818.417790962146</v>
      </c>
      <c r="AL31" s="19" t="n">
        <f aca="false">IF(Time!AL21=1,$F$26,AK36)</f>
        <v>803.741780683695</v>
      </c>
      <c r="AM31" s="19" t="n">
        <f aca="false">IF(Time!AM21=1,$F$26,AL36)</f>
        <v>787.756305644224</v>
      </c>
      <c r="AN31" s="19" t="n">
        <f aca="false">IF(Time!AN21=1,$F$26,AM36)</f>
        <v>769.43006836376</v>
      </c>
      <c r="AO31" s="19" t="n">
        <f aca="false">IF(Time!AO21=1,$F$26,AN36)</f>
        <v>749.654654864082</v>
      </c>
      <c r="AP31" s="19" t="n">
        <f aca="false">IF(Time!AP21=1,$F$26,AO36)</f>
        <v>725.16474568768</v>
      </c>
      <c r="AQ31" s="19" t="n">
        <f aca="false">IF(Time!AQ21=1,$F$26,AP36)</f>
        <v>699.020638098271</v>
      </c>
      <c r="AR31" s="19" t="n">
        <f aca="false">IF(Time!AR21=1,$F$26,AQ36)</f>
        <v>676.829766597543</v>
      </c>
      <c r="AS31" s="19" t="n">
        <f aca="false">IF(Time!AS21=1,$F$26,AR36)</f>
        <v>652.778319400814</v>
      </c>
      <c r="AT31" s="19" t="n">
        <f aca="false">IF(Time!AT21=1,$F$26,AS36)</f>
        <v>625.927304649763</v>
      </c>
      <c r="AU31" s="19" t="n">
        <f aca="false">IF(Time!AU21=1,$F$26,AT36)</f>
        <v>597.262852039588</v>
      </c>
      <c r="AV31" s="19" t="n">
        <f aca="false">IF(Time!AV21=1,$F$26,AU36)</f>
        <v>565.274950289112</v>
      </c>
      <c r="AW31" s="19" t="n">
        <f aca="false">IF(Time!AW21=1,$F$26,AV36)</f>
        <v>531.286422224341</v>
      </c>
      <c r="AX31" s="19" t="n">
        <f aca="false">IF(Time!AX21=1,$F$26,AW36)</f>
        <v>492.624498183126</v>
      </c>
      <c r="AY31" s="19" t="n">
        <f aca="false">IF(Time!AY21=1,$F$26,AX36)</f>
        <v>452.445061509193</v>
      </c>
      <c r="AZ31" s="19" t="n">
        <f aca="false">IF(Time!AZ21=1,$F$26,AY36)</f>
        <v>411.259726302732</v>
      </c>
      <c r="BA31" s="19" t="n">
        <f aca="false">IF(Time!BA21=1,$F$26,AZ36)</f>
        <v>368.174442382557</v>
      </c>
      <c r="BB31" s="19" t="n">
        <f aca="false">IF(Time!BB21=1,$F$26,BA36)</f>
        <v>321.570427087213</v>
      </c>
      <c r="BC31" s="19" t="n">
        <f aca="false">IF(Time!BC21=1,$F$26,BB36)</f>
        <v>273.234697841238</v>
      </c>
      <c r="BD31" s="19" t="n">
        <f aca="false">IF(Time!BD21=1,$F$26,BC36)</f>
        <v>215.23044282694</v>
      </c>
      <c r="BE31" s="19" t="n">
        <f aca="false">IF(Time!BE21=1,$F$26,BD36)</f>
        <v>155.193616920307</v>
      </c>
      <c r="BF31" s="19" t="n">
        <f aca="false">IF(Time!BF21=1,$F$26,BE36)</f>
        <v>87.91554754222</v>
      </c>
      <c r="BG31" s="19" t="n">
        <f aca="false">IF(Time!BG21=1,$F$26,BF36)</f>
        <v>18.3633749030556</v>
      </c>
      <c r="BH31" s="19" t="n">
        <f aca="false">IF(Time!BH21=1,$F$26,BG36)</f>
        <v>-56.2324519468187</v>
      </c>
      <c r="BI31" s="19" t="n">
        <f aca="false">IF(Time!BI21=1,$F$26,BH36)</f>
        <v>-133.713110610564</v>
      </c>
      <c r="BJ31" s="19" t="n">
        <f aca="false">IF(Time!BJ21=1,$F$26,BI36)</f>
        <v>-216.23084465285</v>
      </c>
      <c r="BK31" s="19" t="n">
        <f aca="false">IF(Time!BK21=1,$F$26,BJ36)</f>
        <v>-301.412716242387</v>
      </c>
      <c r="BL31" s="19" t="n">
        <f aca="false">IF(Time!BL21=1,$F$26,BK36)</f>
        <v>-392.470132998621</v>
      </c>
      <c r="BM31" s="19" t="n">
        <f aca="false">IF(Time!BM21=1,$F$26,BL36)</f>
        <v>-486.407210316674</v>
      </c>
      <c r="BN31" s="19" t="n">
        <f aca="false">IF(Time!BN21=1,$F$26,BM36)</f>
        <v>-586.643927690255</v>
      </c>
      <c r="BO31" s="19" t="n">
        <f aca="false">IF(Time!BO21=1,$F$26,BN36)</f>
        <v>-684.9160525009</v>
      </c>
      <c r="BP31" s="19" t="n">
        <f aca="false">IF(Time!BP21=1,$F$26,BO36)</f>
        <v>-765.327110185629</v>
      </c>
      <c r="BQ31" s="19" t="n">
        <f aca="false">IF(Time!BQ21=1,$F$26,BP36)</f>
        <v>-848.3453518593</v>
      </c>
      <c r="BR31" s="19" t="n">
        <f aca="false">IF(Time!BR21=1,$F$26,BQ36)</f>
        <v>-936.14228753421</v>
      </c>
      <c r="BS31" s="19" t="n">
        <f aca="false">IF(Time!BS21=1,$F$26,BR36)</f>
        <v>-1025.50749314113</v>
      </c>
      <c r="BT31" s="19" t="n">
        <f aca="false">IF(Time!BT21=1,$F$26,BS36)</f>
        <v>-1120.32480484834</v>
      </c>
      <c r="BU31" s="19" t="n">
        <f aca="false">IF(Time!BU21=1,$F$26,BT36)</f>
        <v>-1216.83187305094</v>
      </c>
      <c r="BV31" s="19" t="n">
        <f aca="false">IF(Time!BV21=1,$F$26,BU36)</f>
        <v>-1353.27596171749</v>
      </c>
      <c r="BW31" s="19" t="n">
        <f aca="false">IF(Time!BW21=1,$F$26,BV36)</f>
        <v>-1471.17784828127</v>
      </c>
      <c r="BX31" s="19" t="n">
        <f aca="false">IF(Time!BX21=1,$F$26,BW36)</f>
        <v>-1594.95295269981</v>
      </c>
      <c r="BY31" s="19" t="n">
        <f aca="false">IF(Time!BY21=1,$F$26,BX36)</f>
        <v>-1721.55339941306</v>
      </c>
      <c r="BZ31" s="19" t="n">
        <f aca="false">IF(Time!BZ21=1,$F$26,BY36)</f>
        <v>-1854.38047136183</v>
      </c>
      <c r="CA31" s="19" t="n">
        <f aca="false">IF(Time!CA21=1,$F$26,BZ36)</f>
        <v>-1989.61353598664</v>
      </c>
      <c r="CB31" s="19" t="n">
        <f aca="false">IF(Time!CB21=1,$F$26,CA36)</f>
        <v>-2124.01550039998</v>
      </c>
      <c r="CC31" s="19" t="n">
        <f aca="false">IF(Time!CC21=1,$F$26,CB36)</f>
        <v>-2260.80474789008</v>
      </c>
      <c r="CD31" s="19" t="n">
        <f aca="false">IF(Time!CD21=1,$F$26,CC36)</f>
        <v>-2404.99100179923</v>
      </c>
      <c r="CE31" s="19" t="n">
        <f aca="false">IF(Time!CE21=1,$F$26,CD36)</f>
        <v>-2551.7298924208</v>
      </c>
      <c r="CF31" s="19" t="n">
        <f aca="false">IF(Time!CF21=1,$F$26,CE36)</f>
        <v>-2702.4078635847</v>
      </c>
      <c r="CG31" s="19" t="n">
        <f aca="false">IF(Time!CG21=1,$F$26,CF36)</f>
        <v>-2856.43835982427</v>
      </c>
      <c r="CH31" s="19" t="n">
        <f aca="false">IF(Time!CH21=1,$F$26,CG36)</f>
        <v>-3034.00488420276</v>
      </c>
      <c r="CI31" s="19" t="n">
        <f aca="false">IF(Time!CI21=1,$F$26,CH36)</f>
        <v>-3034.00488420276</v>
      </c>
      <c r="CJ31" s="19" t="n">
        <f aca="false">IF(Time!CJ21=1,$F$26,CI36)</f>
        <v>-3034.00488420276</v>
      </c>
      <c r="CK31" s="19" t="n">
        <f aca="false">IF(Time!CK21=1,$F$26,CJ36)</f>
        <v>-3034.00488420276</v>
      </c>
      <c r="CL31" s="19" t="n">
        <f aca="false">IF(Time!CL21=1,$F$26,CK36)</f>
        <v>-3034.00488420276</v>
      </c>
      <c r="CM31" s="19" t="n">
        <f aca="false">IF(Time!CM21=1,$F$26,CL36)</f>
        <v>-3034.00488420276</v>
      </c>
      <c r="CN31" s="19" t="n">
        <f aca="false">IF(Time!CN21=1,$F$26,CM36)</f>
        <v>-3034.00488420276</v>
      </c>
      <c r="CO31" s="19" t="n">
        <f aca="false">IF(Time!CO21=1,$F$26,CN36)</f>
        <v>-3034.00488420276</v>
      </c>
      <c r="CP31" s="19" t="n">
        <f aca="false">IF(Time!CP21=1,$F$26,CO36)</f>
        <v>-3034.00488420276</v>
      </c>
      <c r="CQ31" s="19" t="n">
        <f aca="false">IF(Time!CQ21=1,$F$26,CP36)</f>
        <v>-3034.00488420276</v>
      </c>
      <c r="CR31" s="19" t="n">
        <f aca="false">IF(Time!CR21=1,$F$26,CQ36)</f>
        <v>-3034.00488420276</v>
      </c>
      <c r="CS31" s="19" t="n">
        <f aca="false">IF(Time!CS21=1,$F$26,CR36)</f>
        <v>-3034.00488420276</v>
      </c>
      <c r="CT31" s="19" t="n">
        <f aca="false">IF(Time!CT21=1,$F$26,CS36)</f>
        <v>-3034.00488420276</v>
      </c>
      <c r="CU31" s="19" t="n">
        <f aca="false">IF(Time!CU21=1,$F$26,CT36)</f>
        <v>-3034.00488420276</v>
      </c>
      <c r="CV31" s="19" t="n">
        <f aca="false">IF(Time!CV21=1,$F$26,CU36)</f>
        <v>-3034.00488420276</v>
      </c>
      <c r="CW31" s="19" t="n">
        <f aca="false">IF(Time!CW21=1,$F$26,CV36)</f>
        <v>-3034.00488420276</v>
      </c>
      <c r="CX31" s="19" t="n">
        <f aca="false">IF(Time!CX21=1,$F$26,CW36)</f>
        <v>-3034.00488420276</v>
      </c>
      <c r="CY31" s="19" t="n">
        <f aca="false">IF(Time!CY21=1,$F$26,CX36)</f>
        <v>-3034.00488420276</v>
      </c>
      <c r="CZ31" s="19" t="n">
        <f aca="false">IF(Time!CZ21=1,$F$26,CY36)</f>
        <v>-3034.00488420276</v>
      </c>
      <c r="DA31" s="19" t="n">
        <f aca="false">IF(Time!DA21=1,$F$26,CZ36)</f>
        <v>-3034.00488420276</v>
      </c>
      <c r="DB31" s="19" t="n">
        <f aca="false">IF(Time!DB21=1,$F$26,DA36)</f>
        <v>-3034.00488420276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-2007.05804828785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23.8249622024431</v>
      </c>
      <c r="AF32" s="19" t="n">
        <f aca="false">AF31*AF9</f>
        <v>23.3503202259089</v>
      </c>
      <c r="AG32" s="19" t="n">
        <f aca="false">AG31*AG9</f>
        <v>22.7690069418456</v>
      </c>
      <c r="AH32" s="19" t="n">
        <f aca="false">AH31*AH9</f>
        <v>22.3123706728005</v>
      </c>
      <c r="AI32" s="19" t="n">
        <f aca="false">AI31*AI9</f>
        <v>22.188342214487</v>
      </c>
      <c r="AJ32" s="19" t="n">
        <f aca="false">AJ31*AJ9</f>
        <v>21.7710860176379</v>
      </c>
      <c r="AK32" s="19" t="n">
        <f aca="false">AK31*AK9</f>
        <v>21.5538229147725</v>
      </c>
      <c r="AL32" s="19" t="n">
        <f aca="false">AL31*AL9</f>
        <v>20.9969778039843</v>
      </c>
      <c r="AM32" s="19" t="n">
        <f aca="false">AM31*AM9</f>
        <v>20.7463230874906</v>
      </c>
      <c r="AN32" s="19" t="n">
        <f aca="false">AN31*AN9</f>
        <v>20.1006174562797</v>
      </c>
      <c r="AO32" s="19" t="n">
        <f aca="false">AO31*AO9</f>
        <v>19.7428793173959</v>
      </c>
      <c r="AP32" s="19" t="n">
        <f aca="false">AP31*AP9</f>
        <v>18.9442286507541</v>
      </c>
      <c r="AQ32" s="19" t="n">
        <f aca="false">AQ31*AQ9</f>
        <v>18.4093835858931</v>
      </c>
      <c r="AR32" s="19" t="n">
        <f aca="false">AR31*AR9</f>
        <v>17.7293378524676</v>
      </c>
      <c r="AS32" s="19" t="n">
        <f aca="false">AS31*AS9</f>
        <v>17.1915474643179</v>
      </c>
      <c r="AT32" s="19" t="n">
        <f aca="false">AT31*AT9</f>
        <v>16.351746342537</v>
      </c>
      <c r="AU32" s="19" t="n">
        <f aca="false">AU31*AU9</f>
        <v>15.7294940171073</v>
      </c>
      <c r="AV32" s="19" t="n">
        <f aca="false">AV31*AV9</f>
        <v>14.7672621600839</v>
      </c>
      <c r="AW32" s="19" t="n">
        <f aca="false">AW31*AW9</f>
        <v>13.9919410209598</v>
      </c>
      <c r="AX32" s="19" t="n">
        <f aca="false">AX31*AX9</f>
        <v>12.869339261238</v>
      </c>
      <c r="AY32" s="19" t="n">
        <f aca="false">AY31*AY9</f>
        <v>11.9155776452122</v>
      </c>
      <c r="AZ32" s="19" t="n">
        <f aca="false">AZ31*AZ9</f>
        <v>10.7728161386704</v>
      </c>
      <c r="BA32" s="19" t="n">
        <f aca="false">BA31*BA9</f>
        <v>9.69622950587325</v>
      </c>
      <c r="BB32" s="19" t="n">
        <f aca="false">BB31*BB9</f>
        <v>8.4007168499122</v>
      </c>
      <c r="BC32" s="19" t="n">
        <f aca="false">BC31*BC9</f>
        <v>7.19589964499418</v>
      </c>
      <c r="BD32" s="19" t="n">
        <f aca="false">BD31*BD9</f>
        <v>5.62268745931656</v>
      </c>
      <c r="BE32" s="19" t="n">
        <f aca="false">BE31*BE9</f>
        <v>4.0871737803633</v>
      </c>
      <c r="BF32" s="19" t="n">
        <f aca="false">BF31*BF9</f>
        <v>2.29670877479938</v>
      </c>
      <c r="BG32" s="19" t="n">
        <f aca="false">BG31*BG9</f>
        <v>0.484450356367992</v>
      </c>
      <c r="BH32" s="19" t="n">
        <f aca="false">BH31*BH9</f>
        <v>-1.47551450408879</v>
      </c>
      <c r="BI32" s="19" t="n">
        <f aca="false">BI31*BI9</f>
        <v>-3.52753044733522</v>
      </c>
      <c r="BJ32" s="19" t="n">
        <f aca="false">BJ31*BJ9</f>
        <v>-5.65847240309448</v>
      </c>
      <c r="BK32" s="19" t="n">
        <f aca="false">BK31*BK9</f>
        <v>-7.95167002625272</v>
      </c>
      <c r="BL32" s="19" t="n">
        <f aca="false">BL31*BL9</f>
        <v>-10.2704191910127</v>
      </c>
      <c r="BM32" s="19" t="n">
        <f aca="false">BM31*BM9</f>
        <v>-12.8320718616197</v>
      </c>
      <c r="BN32" s="19" t="n">
        <f aca="false">BN31*BN9</f>
        <v>-15.3516880563807</v>
      </c>
      <c r="BO32" s="19" t="n">
        <f aca="false">BO31*BO9</f>
        <v>-18.0690002501124</v>
      </c>
      <c r="BP32" s="19" t="n">
        <f aca="false">BP31*BP9</f>
        <v>-20.0818426434479</v>
      </c>
      <c r="BQ32" s="19" t="n">
        <f aca="false">BQ31*BQ9</f>
        <v>-22.3804834460457</v>
      </c>
      <c r="BR32" s="19" t="n">
        <f aca="false">BR31*BR9</f>
        <v>-24.4975933377424</v>
      </c>
      <c r="BS32" s="19" t="n">
        <f aca="false">BS31*BS9</f>
        <v>-27.0542573537285</v>
      </c>
      <c r="BT32" s="19" t="n">
        <f aca="false">BT31*BT9</f>
        <v>-29.3174038186554</v>
      </c>
      <c r="BU32" s="19" t="n">
        <f aca="false">BU31*BU9</f>
        <v>-32.1016500317362</v>
      </c>
      <c r="BV32" s="19" t="n">
        <f aca="false">BV31*BV9</f>
        <v>-35.4134244605265</v>
      </c>
      <c r="BW32" s="19" t="n">
        <f aca="false">BW31*BW9</f>
        <v>-38.8116365669778</v>
      </c>
      <c r="BX32" s="19" t="n">
        <f aca="false">BX31*BX9</f>
        <v>-41.8508553970491</v>
      </c>
      <c r="BY32" s="19" t="n">
        <f aca="false">BY31*BY9</f>
        <v>-45.4168780115364</v>
      </c>
      <c r="BZ32" s="19" t="n">
        <f aca="false">BZ31*BZ9</f>
        <v>-48.5266601944987</v>
      </c>
      <c r="CA32" s="19" t="n">
        <f aca="false">CA31*CA9</f>
        <v>-52.4886624398722</v>
      </c>
      <c r="CB32" s="19" t="n">
        <f aca="false">CB31*CB9</f>
        <v>-55.5826487754499</v>
      </c>
      <c r="CC32" s="19" t="n">
        <f aca="false">CC31*CC9</f>
        <v>-59.6430488173255</v>
      </c>
      <c r="CD32" s="19" t="n">
        <f aca="false">CD31*CD9</f>
        <v>-62.9354023715697</v>
      </c>
      <c r="CE32" s="19" t="n">
        <f aca="false">CE31*CE9</f>
        <v>-67.3180426944513</v>
      </c>
      <c r="CF32" s="19" t="n">
        <f aca="false">CF31*CF9</f>
        <v>-70.909979213674</v>
      </c>
      <c r="CG32" s="19" t="n">
        <f aca="false">CG31*CG9</f>
        <v>-75.3566590381928</v>
      </c>
      <c r="CH32" s="19" t="n">
        <f aca="false">CH31*CH9</f>
        <v>-79.3958555527888</v>
      </c>
      <c r="CI32" s="19" t="n">
        <f aca="false">CI31*CI9</f>
        <v>-80.0411011120662</v>
      </c>
      <c r="CJ32" s="19" t="n">
        <f aca="false">CJ31*CJ9</f>
        <v>-79.3958555527888</v>
      </c>
      <c r="CK32" s="19" t="n">
        <f aca="false">CK31*CK9</f>
        <v>-80.0411011120662</v>
      </c>
      <c r="CL32" s="19" t="n">
        <f aca="false">CL31*CL9</f>
        <v>-79.3958555527888</v>
      </c>
      <c r="CM32" s="19" t="n">
        <f aca="false">CM31*CM9</f>
        <v>-80.0411011120662</v>
      </c>
      <c r="CN32" s="19" t="n">
        <f aca="false">CN31*CN9</f>
        <v>-79.6109374058813</v>
      </c>
      <c r="CO32" s="19" t="n">
        <f aca="false">CO31*CO9</f>
        <v>-80.0411011120662</v>
      </c>
      <c r="CP32" s="19" t="n">
        <f aca="false">CP31*CP9</f>
        <v>-79.3958555527888</v>
      </c>
      <c r="CQ32" s="19" t="n">
        <f aca="false">CQ31*CQ9</f>
        <v>-80.0411011120662</v>
      </c>
      <c r="CR32" s="19" t="n">
        <f aca="false">CR31*CR9</f>
        <v>-79.3958555527888</v>
      </c>
      <c r="CS32" s="19" t="n">
        <f aca="false">CS31*CS9</f>
        <v>-80.0411011120662</v>
      </c>
      <c r="CT32" s="19" t="n">
        <f aca="false">CT31*CT9</f>
        <v>-79.3958555527888</v>
      </c>
      <c r="CU32" s="19" t="n">
        <f aca="false">CU31*CU9</f>
        <v>-80.0411011120662</v>
      </c>
      <c r="CV32" s="19" t="n">
        <f aca="false">CV31*CV9</f>
        <v>-79.6109374058813</v>
      </c>
      <c r="CW32" s="19" t="n">
        <f aca="false">CW31*CW9</f>
        <v>-80.0411011120662</v>
      </c>
      <c r="CX32" s="19" t="n">
        <f aca="false">CX31*CX9</f>
        <v>-79.3958555527888</v>
      </c>
      <c r="CY32" s="19" t="n">
        <f aca="false">CY31*CY9</f>
        <v>-80.0411011120662</v>
      </c>
      <c r="CZ32" s="19" t="n">
        <f aca="false">CZ31*CZ9</f>
        <v>-79.3958555527888</v>
      </c>
      <c r="DA32" s="19" t="n">
        <f aca="false">DA31*DA9</f>
        <v>-80.0411011120662</v>
      </c>
      <c r="DB32" s="19" t="n">
        <f aca="false">DB31*DB9</f>
        <v>-79.3958555527888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0</v>
      </c>
      <c r="AE33" s="14" t="n">
        <f aca="false">IF(AND(Time!AE30=1,AE32&gt;AE13/$F$37),1,0)</f>
        <v>0</v>
      </c>
      <c r="AF33" s="14" t="n">
        <f aca="false">IF(AND(Time!AF30=1,AF32&gt;AF13/$F$37),1,0)</f>
        <v>0</v>
      </c>
      <c r="AG33" s="14" t="n">
        <f aca="false">IF(AND(Time!AG30=1,AG32&gt;AG13/$F$37),1,0)</f>
        <v>0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3500.85857380448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27.6841959342708</v>
      </c>
      <c r="AE34" s="19" t="n">
        <f aca="false">IF(Time!AE30=1,MAX(AE32,AE13/$F$37),0)</f>
        <v>29.3679053571188</v>
      </c>
      <c r="AF34" s="19" t="n">
        <f aca="false">IF(Time!AF30=1,MAX(AF32,AF13/$F$37),0)</f>
        <v>31.427709448244</v>
      </c>
      <c r="AG34" s="19" t="n">
        <f aca="false">IF(Time!AG30=1,MAX(AG32,AG13/$F$37),0)</f>
        <v>33.2348059267764</v>
      </c>
      <c r="AH34" s="19" t="n">
        <f aca="false">IF(Time!AH30=1,MAX(AH32,AH13/$F$37),0)</f>
        <v>33.8949268837701</v>
      </c>
      <c r="AI34" s="19" t="n">
        <f aca="false">IF(Time!AI30=1,MAX(AI32,AI13/$F$37),0)</f>
        <v>33.5730888174743</v>
      </c>
      <c r="AJ34" s="19" t="n">
        <f aca="false">IF(Time!AJ30=1,MAX(AJ32,AJ13/$F$37),0)</f>
        <v>34.4796005335044</v>
      </c>
      <c r="AK34" s="19" t="n">
        <f aca="false">IF(Time!AK30=1,MAX(AK32,AK13/$F$37),0)</f>
        <v>36.2298331932242</v>
      </c>
      <c r="AL34" s="19" t="n">
        <f aca="false">IF(Time!AL30=1,MAX(AL32,AL13/$F$37),0)</f>
        <v>36.9824528434552</v>
      </c>
      <c r="AM34" s="19" t="n">
        <f aca="false">IF(Time!AM30=1,MAX(AM32,AM13/$F$37),0)</f>
        <v>39.0725603679543</v>
      </c>
      <c r="AN34" s="19" t="n">
        <f aca="false">IF(Time!AN30=1,MAX(AN32,AN13/$F$37),0)</f>
        <v>39.8760309559574</v>
      </c>
      <c r="AO34" s="19" t="n">
        <f aca="false">IF(Time!AO30=1,MAX(AO32,AO13/$F$37),0)</f>
        <v>44.2327884937978</v>
      </c>
      <c r="AP34" s="19" t="n">
        <f aca="false">IF(Time!AP30=1,MAX(AP32,AP13/$F$37),0)</f>
        <v>45.0883362401634</v>
      </c>
      <c r="AQ34" s="19" t="n">
        <f aca="false">IF(Time!AQ30=1,MAX(AQ32,AQ13/$F$37),0)</f>
        <v>40.6002550866207</v>
      </c>
      <c r="AR34" s="19" t="n">
        <f aca="false">IF(Time!AR30=1,MAX(AR32,AR13/$F$37),0)</f>
        <v>41.7807850491971</v>
      </c>
      <c r="AS34" s="19" t="n">
        <f aca="false">IF(Time!AS30=1,MAX(AS32,AS13/$F$37),0)</f>
        <v>44.0425622153688</v>
      </c>
      <c r="AT34" s="19" t="n">
        <f aca="false">IF(Time!AT30=1,MAX(AT32,AT13/$F$37),0)</f>
        <v>45.0161989527124</v>
      </c>
      <c r="AU34" s="19" t="n">
        <f aca="false">IF(Time!AU30=1,MAX(AU32,AU13/$F$37),0)</f>
        <v>47.7173957675826</v>
      </c>
      <c r="AV34" s="19" t="n">
        <f aca="false">IF(Time!AV30=1,MAX(AV32,AV13/$F$37),0)</f>
        <v>48.7557902248552</v>
      </c>
      <c r="AW34" s="19" t="n">
        <f aca="false">IF(Time!AW30=1,MAX(AW32,AW13/$F$37),0)</f>
        <v>52.6538650621746</v>
      </c>
      <c r="AX34" s="19" t="n">
        <f aca="false">IF(Time!AX30=1,MAX(AX32,AX13/$F$37),0)</f>
        <v>53.0487759351713</v>
      </c>
      <c r="AY34" s="19" t="n">
        <f aca="false">IF(Time!AY30=1,MAX(AY32,AY13/$F$37),0)</f>
        <v>53.1009128516733</v>
      </c>
      <c r="AZ34" s="19" t="n">
        <f aca="false">IF(Time!AZ30=1,MAX(AZ32,AZ13/$F$37),0)</f>
        <v>53.8581000588448</v>
      </c>
      <c r="BA34" s="19" t="n">
        <f aca="false">IF(Time!BA30=1,MAX(BA32,BA13/$F$37),0)</f>
        <v>56.3002448012177</v>
      </c>
      <c r="BB34" s="19" t="n">
        <f aca="false">IF(Time!BB30=1,MAX(BB32,BB13/$F$37),0)</f>
        <v>56.7364460958869</v>
      </c>
      <c r="BC34" s="19" t="n">
        <f aca="false">IF(Time!BC30=1,MAX(BC32,BC13/$F$37),0)</f>
        <v>65.200154659292</v>
      </c>
      <c r="BD34" s="19" t="n">
        <f aca="false">IF(Time!BD30=1,MAX(BD32,BD13/$F$37),0)</f>
        <v>65.6595133659501</v>
      </c>
      <c r="BE34" s="19" t="n">
        <f aca="false">IF(Time!BE30=1,MAX(BE32,BE13/$F$37),0)</f>
        <v>71.3652431584499</v>
      </c>
      <c r="BF34" s="19" t="n">
        <f aca="false">IF(Time!BF30=1,MAX(BF32,BF13/$F$37),0)</f>
        <v>71.8488814139637</v>
      </c>
      <c r="BG34" s="19" t="n">
        <f aca="false">IF(Time!BG30=1,MAX(BG32,BG13/$F$37),0)</f>
        <v>75.0802772062423</v>
      </c>
      <c r="BH34" s="19" t="n">
        <f aca="false">IF(Time!BH30=1,MAX(BH32,BH13/$F$37),0)</f>
        <v>76.0051441596561</v>
      </c>
      <c r="BI34" s="19" t="n">
        <f aca="false">IF(Time!BI30=1,MAX(BI32,BI13/$F$37),0)</f>
        <v>78.990203594951</v>
      </c>
      <c r="BJ34" s="19" t="n">
        <f aca="false">IF(Time!BJ30=1,MAX(BJ32,BJ13/$F$37),0)</f>
        <v>79.5233991864429</v>
      </c>
      <c r="BK34" s="19" t="n">
        <f aca="false">IF(Time!BK30=1,MAX(BK32,BK13/$F$37),0)</f>
        <v>83.105746729981</v>
      </c>
      <c r="BL34" s="19" t="n">
        <f aca="false">IF(Time!BL30=1,MAX(BL32,BL13/$F$37),0)</f>
        <v>83.6666581270407</v>
      </c>
      <c r="BM34" s="19" t="n">
        <f aca="false">IF(Time!BM30=1,MAX(BM32,BM13/$F$37),0)</f>
        <v>87.4046455119609</v>
      </c>
      <c r="BN34" s="19" t="n">
        <f aca="false">IF(Time!BN30=1,MAX(BN32,BN13/$F$37),0)</f>
        <v>82.9204367542647</v>
      </c>
      <c r="BO34" s="19" t="n">
        <f aca="false">IF(Time!BO30=1,MAX(BO32,BO13/$F$37),0)</f>
        <v>62.342057434616</v>
      </c>
      <c r="BP34" s="19" t="n">
        <f aca="false">IF(Time!BP30=1,MAX(BP32,BP13/$F$37),0)</f>
        <v>62.9363990302232</v>
      </c>
      <c r="BQ34" s="19" t="n">
        <f aca="false">IF(Time!BQ30=1,MAX(BQ32,BQ13/$F$37),0)</f>
        <v>65.4164522288646</v>
      </c>
      <c r="BR34" s="19" t="n">
        <f aca="false">IF(Time!BR30=1,MAX(BR32,BR13/$F$37),0)</f>
        <v>64.8676122691753</v>
      </c>
      <c r="BS34" s="19" t="n">
        <f aca="false">IF(Time!BS30=1,MAX(BS32,BS13/$F$37),0)</f>
        <v>67.7630543534845</v>
      </c>
      <c r="BT34" s="19" t="n">
        <f aca="false">IF(Time!BT30=1,MAX(BT32,BT13/$F$37),0)</f>
        <v>67.1896643839452</v>
      </c>
      <c r="BU34" s="19" t="n">
        <f aca="false">IF(Time!BU30=1,MAX(BU32,BU13/$F$37),0)</f>
        <v>104.342438634807</v>
      </c>
      <c r="BV34" s="19" t="n">
        <f aca="false">IF(Time!BV30=1,MAX(BV32,BV13/$F$37),0)</f>
        <v>82.4884621032578</v>
      </c>
      <c r="BW34" s="19" t="n">
        <f aca="false">IF(Time!BW30=1,MAX(BW32,BW13/$F$37),0)</f>
        <v>84.9634678515666</v>
      </c>
      <c r="BX34" s="19" t="n">
        <f aca="false">IF(Time!BX30=1,MAX(BX32,BX13/$F$37),0)</f>
        <v>84.7495913161999</v>
      </c>
      <c r="BY34" s="19" t="n">
        <f aca="false">IF(Time!BY30=1,MAX(BY32,BY13/$F$37),0)</f>
        <v>87.4101939372347</v>
      </c>
      <c r="BZ34" s="19" t="n">
        <f aca="false">IF(Time!BZ30=1,MAX(BZ32,BZ13/$F$37),0)</f>
        <v>86.7064044303075</v>
      </c>
      <c r="CA34" s="19" t="n">
        <f aca="false">IF(Time!CA30=1,MAX(CA32,CA13/$F$37),0)</f>
        <v>81.9133019734714</v>
      </c>
      <c r="CB34" s="19" t="n">
        <f aca="false">IF(Time!CB30=1,MAX(CB32,CB13/$F$37),0)</f>
        <v>81.206598714645</v>
      </c>
      <c r="CC34" s="19" t="n">
        <f aca="false">IF(Time!CC30=1,MAX(CC32,CC13/$F$37),0)</f>
        <v>84.5432050918219</v>
      </c>
      <c r="CD34" s="19" t="n">
        <f aca="false">IF(Time!CD30=1,MAX(CD32,CD13/$F$37),0)</f>
        <v>83.8034882500051</v>
      </c>
      <c r="CE34" s="19" t="n">
        <f aca="false">IF(Time!CE30=1,MAX(CE32,CE13/$F$37),0)</f>
        <v>83.3599284694496</v>
      </c>
      <c r="CF34" s="19" t="n">
        <f aca="false">IF(Time!CF30=1,MAX(CF32,CF13/$F$37),0)</f>
        <v>83.1205170258953</v>
      </c>
      <c r="CG34" s="19" t="n">
        <f aca="false">IF(Time!CG30=1,MAX(CG32,CG13/$F$37),0)</f>
        <v>102.209865340295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3916.13505321576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3.95042935908886</v>
      </c>
      <c r="AE35" s="19" t="n">
        <f aca="false">IF(Time!AE30=1,AE34-AE32,0)</f>
        <v>5.54294315467567</v>
      </c>
      <c r="AF35" s="19" t="n">
        <f aca="false">IF(Time!AF30=1,AF34-AF32,0)</f>
        <v>8.07738922233515</v>
      </c>
      <c r="AG35" s="19" t="n">
        <f aca="false">IF(Time!AG30=1,AG34-AG32,0)</f>
        <v>10.4657989849309</v>
      </c>
      <c r="AH35" s="19" t="n">
        <f aca="false">IF(Time!AH30=1,AH34-AH32,0)</f>
        <v>11.5825562109696</v>
      </c>
      <c r="AI35" s="19" t="n">
        <f aca="false">IF(Time!AI30=1,AI34-AI32,0)</f>
        <v>11.3847466029873</v>
      </c>
      <c r="AJ35" s="19" t="n">
        <f aca="false">IF(Time!AJ30=1,AJ34-AJ32,0)</f>
        <v>12.7085145158664</v>
      </c>
      <c r="AK35" s="19" t="n">
        <f aca="false">IF(Time!AK30=1,AK34-AK32,0)</f>
        <v>14.6760102784516</v>
      </c>
      <c r="AL35" s="19" t="n">
        <f aca="false">IF(Time!AL30=1,AL34-AL32,0)</f>
        <v>15.9854750394709</v>
      </c>
      <c r="AM35" s="19" t="n">
        <f aca="false">IF(Time!AM30=1,AM34-AM32,0)</f>
        <v>18.3262372804637</v>
      </c>
      <c r="AN35" s="19" t="n">
        <f aca="false">IF(Time!AN30=1,AN34-AN32,0)</f>
        <v>19.7754134996777</v>
      </c>
      <c r="AO35" s="19" t="n">
        <f aca="false">IF(Time!AO30=1,AO34-AO32,0)</f>
        <v>24.4899091764019</v>
      </c>
      <c r="AP35" s="19" t="n">
        <f aca="false">IF(Time!AP30=1,AP34-AP32,0)</f>
        <v>26.1441075894093</v>
      </c>
      <c r="AQ35" s="19" t="n">
        <f aca="false">IF(Time!AQ30=1,AQ34-AQ32,0)</f>
        <v>22.1908715007276</v>
      </c>
      <c r="AR35" s="19" t="n">
        <f aca="false">IF(Time!AR30=1,AR34-AR32,0)</f>
        <v>24.0514471967294</v>
      </c>
      <c r="AS35" s="19" t="n">
        <f aca="false">IF(Time!AS30=1,AS34-AS32,0)</f>
        <v>26.8510147510509</v>
      </c>
      <c r="AT35" s="19" t="n">
        <f aca="false">IF(Time!AT30=1,AT34-AT32,0)</f>
        <v>28.6644526101754</v>
      </c>
      <c r="AU35" s="19" t="n">
        <f aca="false">IF(Time!AU30=1,AU34-AU32,0)</f>
        <v>31.9879017504753</v>
      </c>
      <c r="AV35" s="19" t="n">
        <f aca="false">IF(Time!AV30=1,AV34-AV32,0)</f>
        <v>33.9885280647713</v>
      </c>
      <c r="AW35" s="19" t="n">
        <f aca="false">IF(Time!AW30=1,AW34-AW32,0)</f>
        <v>38.6619240412149</v>
      </c>
      <c r="AX35" s="19" t="n">
        <f aca="false">IF(Time!AX30=1,AX34-AX32,0)</f>
        <v>40.1794366739333</v>
      </c>
      <c r="AY35" s="19" t="n">
        <f aca="false">IF(Time!AY30=1,AY34-AY32,0)</f>
        <v>41.1853352064611</v>
      </c>
      <c r="AZ35" s="19" t="n">
        <f aca="false">IF(Time!AZ30=1,AZ34-AZ32,0)</f>
        <v>43.0852839201744</v>
      </c>
      <c r="BA35" s="19" t="n">
        <f aca="false">IF(Time!BA30=1,BA34-BA32,0)</f>
        <v>46.6040152953444</v>
      </c>
      <c r="BB35" s="19" t="n">
        <f aca="false">IF(Time!BB30=1,BB34-BB32,0)</f>
        <v>48.3357292459747</v>
      </c>
      <c r="BC35" s="19" t="n">
        <f aca="false">IF(Time!BC30=1,BC34-BC32,0)</f>
        <v>58.0042550142979</v>
      </c>
      <c r="BD35" s="19" t="n">
        <f aca="false">IF(Time!BD30=1,BD34-BD32,0)</f>
        <v>60.0368259066335</v>
      </c>
      <c r="BE35" s="19" t="n">
        <f aca="false">IF(Time!BE30=1,BE34-BE32,0)</f>
        <v>67.2780693780866</v>
      </c>
      <c r="BF35" s="19" t="n">
        <f aca="false">IF(Time!BF30=1,BF34-BF32,0)</f>
        <v>69.5521726391643</v>
      </c>
      <c r="BG35" s="19" t="n">
        <f aca="false">IF(Time!BG30=1,BG34-BG32,0)</f>
        <v>74.5958268498744</v>
      </c>
      <c r="BH35" s="19" t="n">
        <f aca="false">IF(Time!BH30=1,BH34-BH32,0)</f>
        <v>77.4806586637449</v>
      </c>
      <c r="BI35" s="19" t="n">
        <f aca="false">IF(Time!BI30=1,BI34-BI32,0)</f>
        <v>82.5177340422863</v>
      </c>
      <c r="BJ35" s="19" t="n">
        <f aca="false">IF(Time!BJ30=1,BJ34-BJ32,0)</f>
        <v>85.1818715895374</v>
      </c>
      <c r="BK35" s="19" t="n">
        <f aca="false">IF(Time!BK30=1,BK34-BK32,0)</f>
        <v>91.0574167562337</v>
      </c>
      <c r="BL35" s="19" t="n">
        <f aca="false">IF(Time!BL30=1,BL34-BL32,0)</f>
        <v>93.9370773180534</v>
      </c>
      <c r="BM35" s="19" t="n">
        <f aca="false">IF(Time!BM30=1,BM34-BM32,0)</f>
        <v>100.236717373581</v>
      </c>
      <c r="BN35" s="19" t="n">
        <f aca="false">IF(Time!BN30=1,BN34-BN32,0)</f>
        <v>98.2721248106454</v>
      </c>
      <c r="BO35" s="19" t="n">
        <f aca="false">IF(Time!BO30=1,BO34-BO32,0)</f>
        <v>80.4110576847284</v>
      </c>
      <c r="BP35" s="19" t="n">
        <f aca="false">IF(Time!BP30=1,BP34-BP32,0)</f>
        <v>83.0182416736711</v>
      </c>
      <c r="BQ35" s="19" t="n">
        <f aca="false">IF(Time!BQ30=1,BQ34-BQ32,0)</f>
        <v>87.7969356749103</v>
      </c>
      <c r="BR35" s="19" t="n">
        <f aca="false">IF(Time!BR30=1,BR34-BR32,0)</f>
        <v>89.3652056069177</v>
      </c>
      <c r="BS35" s="19" t="n">
        <f aca="false">IF(Time!BS30=1,BS34-BS32,0)</f>
        <v>94.817311707213</v>
      </c>
      <c r="BT35" s="19" t="n">
        <f aca="false">IF(Time!BT30=1,BT34-BT32,0)</f>
        <v>96.5070682026007</v>
      </c>
      <c r="BU35" s="19" t="n">
        <f aca="false">IF(Time!BU30=1,BU34-BU32,0)</f>
        <v>136.444088666544</v>
      </c>
      <c r="BV35" s="19" t="n">
        <f aca="false">IF(Time!BV30=1,BV34-BV32,0)</f>
        <v>117.901886563784</v>
      </c>
      <c r="BW35" s="19" t="n">
        <f aca="false">IF(Time!BW30=1,BW34-BW32,0)</f>
        <v>123.775104418544</v>
      </c>
      <c r="BX35" s="19" t="n">
        <f aca="false">IF(Time!BX30=1,BX34-BX32,0)</f>
        <v>126.600446713249</v>
      </c>
      <c r="BY35" s="19" t="n">
        <f aca="false">IF(Time!BY30=1,BY34-BY32,0)</f>
        <v>132.827071948771</v>
      </c>
      <c r="BZ35" s="19" t="n">
        <f aca="false">IF(Time!BZ30=1,BZ34-BZ32,0)</f>
        <v>135.233064624806</v>
      </c>
      <c r="CA35" s="19" t="n">
        <f aca="false">IF(Time!CA30=1,CA34-CA32,0)</f>
        <v>134.401964413344</v>
      </c>
      <c r="CB35" s="19" t="n">
        <f aca="false">IF(Time!CB30=1,CB34-CB32,0)</f>
        <v>136.789247490095</v>
      </c>
      <c r="CC35" s="19" t="n">
        <f aca="false">IF(Time!CC30=1,CC34-CC32,0)</f>
        <v>144.186253909147</v>
      </c>
      <c r="CD35" s="19" t="n">
        <f aca="false">IF(Time!CD30=1,CD34-CD32,0)</f>
        <v>146.738890621575</v>
      </c>
      <c r="CE35" s="19" t="n">
        <f aca="false">IF(Time!CE30=1,CE34-CE32,0)</f>
        <v>150.677971163901</v>
      </c>
      <c r="CF35" s="19" t="n">
        <f aca="false">IF(Time!CF30=1,CF34-CF32,0)</f>
        <v>154.030496239569</v>
      </c>
      <c r="CG35" s="19" t="n">
        <f aca="false">IF(Time!CG30=1,CG34-CG32,0)</f>
        <v>177.566524378487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878.179739653911</v>
      </c>
      <c r="AE36" s="19" t="n">
        <f aca="false">AE31-AE35</f>
        <v>872.636796499236</v>
      </c>
      <c r="AF36" s="19" t="n">
        <f aca="false">AF31-AF35</f>
        <v>864.5594072769</v>
      </c>
      <c r="AG36" s="19" t="n">
        <f aca="false">AG31-AG35</f>
        <v>854.09360829197</v>
      </c>
      <c r="AH36" s="19" t="n">
        <f aca="false">AH31-AH35</f>
        <v>842.511052081</v>
      </c>
      <c r="AI36" s="19" t="n">
        <f aca="false">AI31-AI35</f>
        <v>831.126305478013</v>
      </c>
      <c r="AJ36" s="19" t="n">
        <f aca="false">AJ31-AJ35</f>
        <v>818.417790962146</v>
      </c>
      <c r="AK36" s="19" t="n">
        <f aca="false">AK31-AK35</f>
        <v>803.741780683695</v>
      </c>
      <c r="AL36" s="19" t="n">
        <f aca="false">AL31-AL35</f>
        <v>787.756305644224</v>
      </c>
      <c r="AM36" s="19" t="n">
        <f aca="false">AM31-AM35</f>
        <v>769.43006836376</v>
      </c>
      <c r="AN36" s="19" t="n">
        <f aca="false">AN31-AN35</f>
        <v>749.654654864082</v>
      </c>
      <c r="AO36" s="19" t="n">
        <f aca="false">AO31-AO35</f>
        <v>725.16474568768</v>
      </c>
      <c r="AP36" s="19" t="n">
        <f aca="false">AP31-AP35</f>
        <v>699.020638098271</v>
      </c>
      <c r="AQ36" s="19" t="n">
        <f aca="false">AQ31-AQ35</f>
        <v>676.829766597543</v>
      </c>
      <c r="AR36" s="19" t="n">
        <f aca="false">AR31-AR35</f>
        <v>652.778319400814</v>
      </c>
      <c r="AS36" s="19" t="n">
        <f aca="false">AS31-AS35</f>
        <v>625.927304649763</v>
      </c>
      <c r="AT36" s="19" t="n">
        <f aca="false">AT31-AT35</f>
        <v>597.262852039588</v>
      </c>
      <c r="AU36" s="19" t="n">
        <f aca="false">AU31-AU35</f>
        <v>565.274950289112</v>
      </c>
      <c r="AV36" s="19" t="n">
        <f aca="false">AV31-AV35</f>
        <v>531.286422224341</v>
      </c>
      <c r="AW36" s="19" t="n">
        <f aca="false">AW31-AW35</f>
        <v>492.624498183126</v>
      </c>
      <c r="AX36" s="19" t="n">
        <f aca="false">AX31-AX35</f>
        <v>452.445061509193</v>
      </c>
      <c r="AY36" s="19" t="n">
        <f aca="false">AY31-AY35</f>
        <v>411.259726302732</v>
      </c>
      <c r="AZ36" s="19" t="n">
        <f aca="false">AZ31-AZ35</f>
        <v>368.174442382557</v>
      </c>
      <c r="BA36" s="19" t="n">
        <f aca="false">BA31-BA35</f>
        <v>321.570427087213</v>
      </c>
      <c r="BB36" s="19" t="n">
        <f aca="false">BB31-BB35</f>
        <v>273.234697841238</v>
      </c>
      <c r="BC36" s="19" t="n">
        <f aca="false">BC31-BC35</f>
        <v>215.23044282694</v>
      </c>
      <c r="BD36" s="19" t="n">
        <f aca="false">BD31-BD35</f>
        <v>155.193616920307</v>
      </c>
      <c r="BE36" s="19" t="n">
        <f aca="false">BE31-BE35</f>
        <v>87.91554754222</v>
      </c>
      <c r="BF36" s="19" t="n">
        <f aca="false">BF31-BF35</f>
        <v>18.3633749030556</v>
      </c>
      <c r="BG36" s="19" t="n">
        <f aca="false">BG31-BG35</f>
        <v>-56.2324519468187</v>
      </c>
      <c r="BH36" s="19" t="n">
        <f aca="false">BH31-BH35</f>
        <v>-133.713110610564</v>
      </c>
      <c r="BI36" s="19" t="n">
        <f aca="false">BI31-BI35</f>
        <v>-216.23084465285</v>
      </c>
      <c r="BJ36" s="19" t="n">
        <f aca="false">BJ31-BJ35</f>
        <v>-301.412716242387</v>
      </c>
      <c r="BK36" s="19" t="n">
        <f aca="false">BK31-BK35</f>
        <v>-392.470132998621</v>
      </c>
      <c r="BL36" s="19" t="n">
        <f aca="false">BL31-BL35</f>
        <v>-486.407210316674</v>
      </c>
      <c r="BM36" s="19" t="n">
        <f aca="false">BM31-BM35</f>
        <v>-586.643927690255</v>
      </c>
      <c r="BN36" s="19" t="n">
        <f aca="false">BN31-BN35</f>
        <v>-684.9160525009</v>
      </c>
      <c r="BO36" s="19" t="n">
        <f aca="false">BO31-BO35</f>
        <v>-765.327110185629</v>
      </c>
      <c r="BP36" s="19" t="n">
        <f aca="false">BP31-BP35</f>
        <v>-848.3453518593</v>
      </c>
      <c r="BQ36" s="19" t="n">
        <f aca="false">BQ31-BQ35</f>
        <v>-936.14228753421</v>
      </c>
      <c r="BR36" s="19" t="n">
        <f aca="false">BR31-BR35</f>
        <v>-1025.50749314113</v>
      </c>
      <c r="BS36" s="19" t="n">
        <f aca="false">BS31-BS35</f>
        <v>-1120.32480484834</v>
      </c>
      <c r="BT36" s="19" t="n">
        <f aca="false">BT31-BT35</f>
        <v>-1216.83187305094</v>
      </c>
      <c r="BU36" s="19" t="n">
        <f aca="false">BU31-BU35</f>
        <v>-1353.27596171749</v>
      </c>
      <c r="BV36" s="19" t="n">
        <f aca="false">BV31-BV35</f>
        <v>-1471.17784828127</v>
      </c>
      <c r="BW36" s="19" t="n">
        <f aca="false">BW31-BW35</f>
        <v>-1594.95295269981</v>
      </c>
      <c r="BX36" s="19" t="n">
        <f aca="false">BX31-BX35</f>
        <v>-1721.55339941306</v>
      </c>
      <c r="BY36" s="19" t="n">
        <f aca="false">BY31-BY35</f>
        <v>-1854.38047136183</v>
      </c>
      <c r="BZ36" s="19" t="n">
        <f aca="false">BZ31-BZ35</f>
        <v>-1989.61353598664</v>
      </c>
      <c r="CA36" s="19" t="n">
        <f aca="false">CA31-CA35</f>
        <v>-2124.01550039998</v>
      </c>
      <c r="CB36" s="19" t="n">
        <f aca="false">CB31-CB35</f>
        <v>-2260.80474789008</v>
      </c>
      <c r="CC36" s="19" t="n">
        <f aca="false">CC31-CC35</f>
        <v>-2404.99100179923</v>
      </c>
      <c r="CD36" s="19" t="n">
        <f aca="false">CD31-CD35</f>
        <v>-2551.7298924208</v>
      </c>
      <c r="CE36" s="19" t="n">
        <f aca="false">CE31-CE35</f>
        <v>-2702.4078635847</v>
      </c>
      <c r="CF36" s="19" t="n">
        <f aca="false">CF31-CF35</f>
        <v>-2856.43835982427</v>
      </c>
      <c r="CG36" s="19" t="n">
        <f aca="false">CG31-CG35</f>
        <v>-3034.00488420276</v>
      </c>
      <c r="CH36" s="19" t="n">
        <f aca="false">CH31-CH35</f>
        <v>-3034.00488420276</v>
      </c>
      <c r="CI36" s="19" t="n">
        <f aca="false">CI31-CI35</f>
        <v>-3034.00488420276</v>
      </c>
      <c r="CJ36" s="19" t="n">
        <f aca="false">CJ31-CJ35</f>
        <v>-3034.00488420276</v>
      </c>
      <c r="CK36" s="19" t="n">
        <f aca="false">CK31-CK35</f>
        <v>-3034.00488420276</v>
      </c>
      <c r="CL36" s="19" t="n">
        <f aca="false">CL31-CL35</f>
        <v>-3034.00488420276</v>
      </c>
      <c r="CM36" s="19" t="n">
        <f aca="false">CM31-CM35</f>
        <v>-3034.00488420276</v>
      </c>
      <c r="CN36" s="19" t="n">
        <f aca="false">CN31-CN35</f>
        <v>-3034.00488420276</v>
      </c>
      <c r="CO36" s="19" t="n">
        <f aca="false">CO31-CO35</f>
        <v>-3034.00488420276</v>
      </c>
      <c r="CP36" s="19" t="n">
        <f aca="false">CP31-CP35</f>
        <v>-3034.00488420276</v>
      </c>
      <c r="CQ36" s="19" t="n">
        <f aca="false">CQ31-CQ35</f>
        <v>-3034.00488420276</v>
      </c>
      <c r="CR36" s="19" t="n">
        <f aca="false">CR31-CR35</f>
        <v>-3034.00488420276</v>
      </c>
      <c r="CS36" s="19" t="n">
        <f aca="false">CS31-CS35</f>
        <v>-3034.00488420276</v>
      </c>
      <c r="CT36" s="19" t="n">
        <f aca="false">CT31-CT35</f>
        <v>-3034.00488420276</v>
      </c>
      <c r="CU36" s="19" t="n">
        <f aca="false">CU31-CU35</f>
        <v>-3034.00488420276</v>
      </c>
      <c r="CV36" s="19" t="n">
        <f aca="false">CV31-CV35</f>
        <v>-3034.00488420276</v>
      </c>
      <c r="CW36" s="19" t="n">
        <f aca="false">CW31-CW35</f>
        <v>-3034.00488420276</v>
      </c>
      <c r="CX36" s="19" t="n">
        <f aca="false">CX31-CX35</f>
        <v>-3034.00488420276</v>
      </c>
      <c r="CY36" s="19" t="n">
        <f aca="false">CY31-CY35</f>
        <v>-3034.00488420276</v>
      </c>
      <c r="CZ36" s="19" t="n">
        <f aca="false">CZ31-CZ35</f>
        <v>-3034.00488420276</v>
      </c>
      <c r="DA36" s="19" t="n">
        <f aca="false">DA31-DA35</f>
        <v>-3034.00488420276</v>
      </c>
      <c r="DB36" s="19" t="n">
        <f aca="false">DB31-DB35</f>
        <v>-3034.00488420276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6.40587706480894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2.84866162167868</v>
      </c>
      <c r="AA38" s="19" t="n">
        <f aca="false">IF(Time!AA32=1,MAX(0,AA32-AA13/Inputs!$F$95),0)</f>
        <v>3.55721544313026</v>
      </c>
      <c r="AB38" s="19" t="n">
        <f aca="false">IF(Time!AB32=1,MAX(0,AB32-AB13/Inputs!$F$95),0)</f>
        <v>0</v>
      </c>
      <c r="AC38" s="19" t="n">
        <f aca="false">IF(Time!AC32=1,MAX(0,AC32-AC13/Inputs!$F$95),0)</f>
        <v>0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396.954732409336</v>
      </c>
      <c r="AX42" s="19" t="n">
        <f aca="false">AW47</f>
        <v>396.136242952036</v>
      </c>
      <c r="AY42" s="19" t="n">
        <f aca="false">AX47</f>
        <v>395.167031698473</v>
      </c>
      <c r="AZ42" s="19" t="n">
        <f aca="false">AY47</f>
        <v>394.335533728897</v>
      </c>
      <c r="BA42" s="19" t="n">
        <f aca="false">AZ47</f>
        <v>393.304883407506</v>
      </c>
      <c r="BB42" s="19" t="n">
        <f aca="false">BA47</f>
        <v>391.769623624085</v>
      </c>
      <c r="BC42" s="19" t="n">
        <f aca="false">BB47</f>
        <v>390.061038356176</v>
      </c>
      <c r="BD42" s="19" t="n">
        <f aca="false">BC47</f>
        <v>386.350785505435</v>
      </c>
      <c r="BE42" s="19" t="n">
        <f aca="false">BD47</f>
        <v>382.408372119752</v>
      </c>
      <c r="BF42" s="19" t="n">
        <f aca="false">BE47</f>
        <v>377.111053023529</v>
      </c>
      <c r="BG42" s="19" t="n">
        <f aca="false">BF47</f>
        <v>371.538917363304</v>
      </c>
      <c r="BH42" s="19" t="n">
        <f aca="false">BG47</f>
        <v>365.218163517559</v>
      </c>
      <c r="BI42" s="19" t="n">
        <f aca="false">BH47</f>
        <v>358.531577549669</v>
      </c>
      <c r="BJ42" s="19" t="n">
        <f aca="false">BI47</f>
        <v>351.076156037764</v>
      </c>
      <c r="BK42" s="19" t="n">
        <f aca="false">BJ47</f>
        <v>343.28852901867</v>
      </c>
      <c r="BL42" s="19" t="n">
        <f aca="false">BK47</f>
        <v>334.600005964867</v>
      </c>
      <c r="BM42" s="19" t="n">
        <f aca="false">BL47</f>
        <v>325.547090006201</v>
      </c>
      <c r="BN42" s="19" t="n">
        <f aca="false">BM47</f>
        <v>315.52534098664</v>
      </c>
      <c r="BO42" s="19" t="n">
        <f aca="false">BN47</f>
        <v>305.105320162683</v>
      </c>
      <c r="BP42" s="19" t="n">
        <f aca="false">BO47</f>
        <v>296.780738519373</v>
      </c>
      <c r="BQ42" s="19" t="n">
        <f aca="false">BP47</f>
        <v>288.015959774071</v>
      </c>
      <c r="BR42" s="19" t="n">
        <f aca="false">BQ47</f>
        <v>278.289606216002</v>
      </c>
      <c r="BS42" s="19" t="n">
        <f aca="false">BR47</f>
        <v>268.390006015332</v>
      </c>
      <c r="BT42" s="19" t="n">
        <f aca="false">BS47</f>
        <v>257.391592127632</v>
      </c>
      <c r="BU42" s="19" t="n">
        <f aca="false">BT47</f>
        <v>246.195653622197</v>
      </c>
      <c r="BV42" s="19" t="n">
        <f aca="false">BU47</f>
        <v>230.686169590986</v>
      </c>
      <c r="BW42" s="19" t="n">
        <f aca="false">BV47</f>
        <v>214.870865198202</v>
      </c>
      <c r="BX42" s="19" t="n">
        <f aca="false">BW47</f>
        <v>197.724434263658</v>
      </c>
      <c r="BY42" s="19" t="n">
        <f aca="false">BX47</f>
        <v>180.130054799522</v>
      </c>
      <c r="BZ42" s="19" t="n">
        <f aca="false">BY47</f>
        <v>161.227492137166</v>
      </c>
      <c r="CA42" s="19" t="n">
        <f aca="false">BZ47</f>
        <v>141.95504102612</v>
      </c>
      <c r="CB42" s="19" t="n">
        <f aca="false">CA47</f>
        <v>123.205516582599</v>
      </c>
      <c r="CC42" s="19" t="n">
        <f aca="false">CB47</f>
        <v>104.103877910255</v>
      </c>
      <c r="CD42" s="19" t="n">
        <f aca="false">CC47</f>
        <v>83.4561055638122</v>
      </c>
      <c r="CE42" s="19" t="n">
        <f aca="false">CD47</f>
        <v>62.4204605407258</v>
      </c>
      <c r="CF42" s="19" t="n">
        <f aca="false">CE47</f>
        <v>40.7248801057982</v>
      </c>
      <c r="CG42" s="19" t="n">
        <f aca="false">CF47</f>
        <v>21.2872597324733</v>
      </c>
      <c r="CH42" s="19" t="n">
        <f aca="false">CG47</f>
        <v>9.45021838560933E-013</v>
      </c>
      <c r="CI42" s="19" t="n">
        <f aca="false">CH47</f>
        <v>9.45021838560933E-013</v>
      </c>
      <c r="CJ42" s="19" t="n">
        <f aca="false">CI47</f>
        <v>9.45021838560933E-013</v>
      </c>
      <c r="CK42" s="19" t="n">
        <f aca="false">CJ47</f>
        <v>9.45021838560933E-013</v>
      </c>
      <c r="CL42" s="19" t="n">
        <f aca="false">CK47</f>
        <v>9.45021838560933E-013</v>
      </c>
      <c r="CM42" s="19" t="n">
        <f aca="false">CL47</f>
        <v>9.45021838560933E-013</v>
      </c>
      <c r="CN42" s="19" t="n">
        <f aca="false">CM47</f>
        <v>9.45021838560933E-013</v>
      </c>
      <c r="CO42" s="19" t="n">
        <f aca="false">CN47</f>
        <v>9.45021838560933E-013</v>
      </c>
      <c r="CP42" s="19" t="n">
        <f aca="false">CO47</f>
        <v>9.45021838560933E-013</v>
      </c>
      <c r="CQ42" s="19" t="n">
        <f aca="false">CP47</f>
        <v>9.45021838560933E-013</v>
      </c>
      <c r="CR42" s="19" t="n">
        <f aca="false">CQ47</f>
        <v>9.45021838560933E-013</v>
      </c>
      <c r="CS42" s="19" t="n">
        <f aca="false">CR47</f>
        <v>9.45021838560933E-013</v>
      </c>
      <c r="CT42" s="19" t="n">
        <f aca="false">CS47</f>
        <v>9.45021838560933E-013</v>
      </c>
      <c r="CU42" s="19" t="n">
        <f aca="false">CT47</f>
        <v>9.45021838560933E-013</v>
      </c>
      <c r="CV42" s="19" t="n">
        <f aca="false">CU47</f>
        <v>9.45021838560933E-013</v>
      </c>
      <c r="CW42" s="19" t="n">
        <f aca="false">CV47</f>
        <v>9.45021838560933E-013</v>
      </c>
      <c r="CX42" s="19" t="n">
        <f aca="false">CW47</f>
        <v>9.45021838560933E-013</v>
      </c>
      <c r="CY42" s="19" t="n">
        <f aca="false">CX47</f>
        <v>9.45021838560933E-013</v>
      </c>
      <c r="CZ42" s="19" t="n">
        <f aca="false">CY47</f>
        <v>9.45021838560933E-013</v>
      </c>
      <c r="DA42" s="19" t="n">
        <f aca="false">CZ47</f>
        <v>9.45021838560933E-013</v>
      </c>
      <c r="DB42" s="19" t="n">
        <f aca="false">DA47</f>
        <v>9.45021838560933E-013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589.504375218687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11.4662277664058</v>
      </c>
      <c r="AX43" s="19" t="n">
        <f aca="false">AX42*AX8*Time!AX9/Inputs!$F$45</f>
        <v>11.2560214151465</v>
      </c>
      <c r="AY43" s="19" t="n">
        <f aca="false">AY42*AY8*Time!AY9/Inputs!$F$45</f>
        <v>11.4145891742557</v>
      </c>
      <c r="AZ43" s="19" t="n">
        <f aca="false">AZ42*AZ8*Time!AZ9/Inputs!$F$45</f>
        <v>11.2667604028635</v>
      </c>
      <c r="BA43" s="19" t="n">
        <f aca="false">BA42*BA8*Time!BA9/Inputs!$F$45</f>
        <v>11.3608001280603</v>
      </c>
      <c r="BB43" s="19" t="n">
        <f aca="false">BB42*BB8*Time!BB9/Inputs!$F$45</f>
        <v>11.1319460205273</v>
      </c>
      <c r="BC43" s="19" t="n">
        <f aca="false">BC42*BC8*Time!BC9/Inputs!$F$45</f>
        <v>11.2671001084845</v>
      </c>
      <c r="BD43" s="19" t="n">
        <f aca="false">BD42*BD8*Time!BD9/Inputs!$F$45</f>
        <v>10.977972333459</v>
      </c>
      <c r="BE43" s="19" t="n">
        <f aca="false">BE42*BE8*Time!BE9/Inputs!$F$45</f>
        <v>11.0460491751588</v>
      </c>
      <c r="BF43" s="19" t="n">
        <f aca="false">BF42*BF8*Time!BF9/Inputs!$F$45</f>
        <v>10.7154297649943</v>
      </c>
      <c r="BG43" s="19" t="n">
        <f aca="false">BG42*BG8*Time!BG9/Inputs!$F$45</f>
        <v>10.7695390293254</v>
      </c>
      <c r="BH43" s="19" t="n">
        <f aca="false">BH42*BH8*Time!BH9/Inputs!$F$45</f>
        <v>10.4712550170171</v>
      </c>
      <c r="BI43" s="19" t="n">
        <f aca="false">BI42*BI8*Time!BI9/Inputs!$F$45</f>
        <v>10.3925043574671</v>
      </c>
      <c r="BJ43" s="19" t="n">
        <f aca="false">BJ42*BJ8*Time!BJ9/Inputs!$F$45</f>
        <v>10.0104797094878</v>
      </c>
      <c r="BK43" s="19" t="n">
        <f aca="false">BK42*BK8*Time!BK9/Inputs!$F$45</f>
        <v>9.95066475895212</v>
      </c>
      <c r="BL43" s="19" t="n">
        <f aca="false">BL42*BL8*Time!BL9/Inputs!$F$45</f>
        <v>9.54068373172426</v>
      </c>
      <c r="BM43" s="19" t="n">
        <f aca="false">BM42*BM8*Time!BM9/Inputs!$F$45</f>
        <v>9.43640606100167</v>
      </c>
      <c r="BN43" s="19" t="n">
        <f aca="false">BN42*BN8*Time!BN9/Inputs!$F$45</f>
        <v>8.99679448306425</v>
      </c>
      <c r="BO43" s="19" t="n">
        <f aca="false">BO42*BO8*Time!BO9/Inputs!$F$45</f>
        <v>8.84387475978407</v>
      </c>
      <c r="BP43" s="19" t="n">
        <f aca="false">BP42*BP8*Time!BP9/Inputs!$F$45</f>
        <v>8.50906966741161</v>
      </c>
      <c r="BQ43" s="19" t="n">
        <f aca="false">BQ42*BQ8*Time!BQ9/Inputs!$F$45</f>
        <v>8.34851740934156</v>
      </c>
      <c r="BR43" s="19" t="n">
        <f aca="false">BR42*BR8*Time!BR9/Inputs!$F$45</f>
        <v>7.93506596354257</v>
      </c>
      <c r="BS43" s="19" t="n">
        <f aca="false">BS42*BS8*Time!BS9/Inputs!$F$45</f>
        <v>7.77963359901977</v>
      </c>
      <c r="BT43" s="19" t="n">
        <f aca="false">BT42*BT8*Time!BT9/Inputs!$F$45</f>
        <v>7.33918628785845</v>
      </c>
      <c r="BU43" s="19" t="n">
        <f aca="false">BU42*BU8*Time!BU9/Inputs!$F$45</f>
        <v>7.1363014118434</v>
      </c>
      <c r="BV43" s="19" t="n">
        <f aca="false">BV42*BV8*Time!BV9/Inputs!$F$45</f>
        <v>6.57771591785804</v>
      </c>
      <c r="BW43" s="19" t="n">
        <f aca="false">BW42*BW8*Time!BW9/Inputs!$F$45</f>
        <v>6.2283116542383</v>
      </c>
      <c r="BX43" s="19" t="n">
        <f aca="false">BX42*BX8*Time!BX9/Inputs!$F$45</f>
        <v>5.66900330018954</v>
      </c>
      <c r="BY43" s="19" t="n">
        <f aca="false">BY42*BY8*Time!BY9/Inputs!$F$45</f>
        <v>5.22130405418888</v>
      </c>
      <c r="BZ43" s="19" t="n">
        <f aca="false">BZ42*BZ8*Time!BZ9/Inputs!$F$45</f>
        <v>4.59719212169193</v>
      </c>
      <c r="CA43" s="19" t="n">
        <f aca="false">CA42*CA8*Time!CA9/Inputs!$F$45</f>
        <v>4.11475160015438</v>
      </c>
      <c r="CB43" s="19" t="n">
        <f aca="false">CB42*CB8*Time!CB9/Inputs!$F$45</f>
        <v>3.51304496940659</v>
      </c>
      <c r="CC43" s="19" t="n">
        <f aca="false">CC42*CC8*Time!CC9/Inputs!$F$45</f>
        <v>3.01758637887808</v>
      </c>
      <c r="CD43" s="19" t="n">
        <f aca="false">CD42*CD8*Time!CD9/Inputs!$F$45</f>
        <v>2.37964224289144</v>
      </c>
      <c r="CE43" s="19" t="n">
        <f aca="false">CE42*CE8*Time!CE9/Inputs!$F$45</f>
        <v>1.80933828087912</v>
      </c>
      <c r="CF43" s="19" t="n">
        <f aca="false">CF42*CF8*Time!CF9/Inputs!$F$45</f>
        <v>1.16763252138953</v>
      </c>
      <c r="CG43" s="19" t="n">
        <f aca="false">CG42*CG8*Time!CG9/Inputs!$F$45</f>
        <v>0.61703892594402</v>
      </c>
      <c r="CH43" s="19" t="n">
        <f aca="false">CH42*CH8*Time!CH9/Inputs!$F$45</f>
        <v>2.69460679036244E-014</v>
      </c>
      <c r="CI43" s="19" t="n">
        <f aca="false">CI42*CI8*Time!CI9/Inputs!$F$45</f>
        <v>2.73926878136292E-014</v>
      </c>
      <c r="CJ43" s="19" t="n">
        <f aca="false">CJ42*CJ8*Time!CJ9/Inputs!$F$45</f>
        <v>2.69460679036244E-014</v>
      </c>
      <c r="CK43" s="19" t="n">
        <f aca="false">CK42*CK8*Time!CK9/Inputs!$F$45</f>
        <v>2.73926878136292E-014</v>
      </c>
      <c r="CL43" s="19" t="n">
        <f aca="false">CL42*CL8*Time!CL9/Inputs!$F$45</f>
        <v>2.69460679036244E-014</v>
      </c>
      <c r="CM43" s="19" t="n">
        <f aca="false">CM42*CM8*Time!CM9/Inputs!$F$45</f>
        <v>2.73926878136292E-014</v>
      </c>
      <c r="CN43" s="19" t="n">
        <f aca="false">CN42*CN8*Time!CN9/Inputs!$F$45</f>
        <v>2.70949412069594E-014</v>
      </c>
      <c r="CO43" s="19" t="n">
        <f aca="false">CO42*CO8*Time!CO9/Inputs!$F$45</f>
        <v>2.73926878136292E-014</v>
      </c>
      <c r="CP43" s="19" t="n">
        <f aca="false">CP42*CP8*Time!CP9/Inputs!$F$45</f>
        <v>2.69460679036244E-014</v>
      </c>
      <c r="CQ43" s="19" t="n">
        <f aca="false">CQ42*CQ8*Time!CQ9/Inputs!$F$45</f>
        <v>2.73926878136292E-014</v>
      </c>
      <c r="CR43" s="19" t="n">
        <f aca="false">CR42*CR8*Time!CR9/Inputs!$F$45</f>
        <v>2.69460679036244E-014</v>
      </c>
      <c r="CS43" s="19" t="n">
        <f aca="false">CS42*CS8*Time!CS9/Inputs!$F$45</f>
        <v>2.73926878136292E-014</v>
      </c>
      <c r="CT43" s="19" t="n">
        <f aca="false">CT42*CT8*Time!CT9/Inputs!$F$45</f>
        <v>2.69460679036244E-014</v>
      </c>
      <c r="CU43" s="19" t="n">
        <f aca="false">CU42*CU8*Time!CU9/Inputs!$F$45</f>
        <v>2.73926878136292E-014</v>
      </c>
      <c r="CV43" s="19" t="n">
        <f aca="false">CV42*CV8*Time!CV9/Inputs!$F$45</f>
        <v>2.70949412069594E-014</v>
      </c>
      <c r="CW43" s="19" t="n">
        <f aca="false">CW42*CW8*Time!CW9/Inputs!$F$45</f>
        <v>2.73926878136292E-014</v>
      </c>
      <c r="CX43" s="19" t="n">
        <f aca="false">CX42*CX8*Time!CX9/Inputs!$F$45</f>
        <v>2.69460679036244E-014</v>
      </c>
      <c r="CY43" s="19" t="n">
        <f aca="false">CY42*CY8*Time!CY9/Inputs!$F$45</f>
        <v>2.73926878136292E-014</v>
      </c>
      <c r="CZ43" s="19" t="n">
        <f aca="false">CZ42*CZ8*Time!CZ9/Inputs!$F$45</f>
        <v>2.69460679036244E-014</v>
      </c>
      <c r="DA43" s="19" t="n">
        <f aca="false">DA42*DA8*Time!DA9/Inputs!$F$45</f>
        <v>2.73926878136292E-014</v>
      </c>
      <c r="DB43" s="19" t="n">
        <f aca="false">DB42*DB8*Time!DB9/Inputs!$F$45</f>
        <v>2.69460679036244E-014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551.574975462721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11.4662277664058</v>
      </c>
      <c r="AX44" s="19" t="n">
        <f aca="false">AX43*(1-Time!AX20)</f>
        <v>11.2560214151465</v>
      </c>
      <c r="AY44" s="19" t="n">
        <f aca="false">AY43*(1-Time!AY20)</f>
        <v>11.4145891742557</v>
      </c>
      <c r="AZ44" s="19" t="n">
        <f aca="false">AZ43*(1-Time!AZ20)</f>
        <v>11.2667604028635</v>
      </c>
      <c r="BA44" s="19" t="n">
        <f aca="false">BA43*(1-Time!BA20)</f>
        <v>11.3608001280603</v>
      </c>
      <c r="BB44" s="19" t="n">
        <f aca="false">BB43*(1-Time!BB20)</f>
        <v>11.1319460205273</v>
      </c>
      <c r="BC44" s="19" t="n">
        <f aca="false">BC43*(1-Time!BC20)</f>
        <v>11.2671001084845</v>
      </c>
      <c r="BD44" s="19" t="n">
        <f aca="false">BD43*(1-Time!BD20)</f>
        <v>10.977972333459</v>
      </c>
      <c r="BE44" s="19" t="n">
        <f aca="false">BE43*(1-Time!BE20)</f>
        <v>11.0460491751588</v>
      </c>
      <c r="BF44" s="19" t="n">
        <f aca="false">BF43*(1-Time!BF20)</f>
        <v>10.7154297649943</v>
      </c>
      <c r="BG44" s="19" t="n">
        <f aca="false">BG43*(1-Time!BG20)</f>
        <v>10.7695390293254</v>
      </c>
      <c r="BH44" s="19" t="n">
        <f aca="false">BH43*(1-Time!BH20)</f>
        <v>10.4712550170171</v>
      </c>
      <c r="BI44" s="19" t="n">
        <f aca="false">BI43*(1-Time!BI20)</f>
        <v>10.3925043574671</v>
      </c>
      <c r="BJ44" s="19" t="n">
        <f aca="false">BJ43*(1-Time!BJ20)</f>
        <v>10.0104797094878</v>
      </c>
      <c r="BK44" s="19" t="n">
        <f aca="false">BK43*(1-Time!BK20)</f>
        <v>9.95066475895212</v>
      </c>
      <c r="BL44" s="19" t="n">
        <f aca="false">BL43*(1-Time!BL20)</f>
        <v>9.54068373172426</v>
      </c>
      <c r="BM44" s="19" t="n">
        <f aca="false">BM43*(1-Time!BM20)</f>
        <v>9.43640606100167</v>
      </c>
      <c r="BN44" s="19" t="n">
        <f aca="false">BN43*(1-Time!BN20)</f>
        <v>8.99679448306425</v>
      </c>
      <c r="BO44" s="19" t="n">
        <f aca="false">BO43*(1-Time!BO20)</f>
        <v>8.84387475978407</v>
      </c>
      <c r="BP44" s="19" t="n">
        <f aca="false">BP43*(1-Time!BP20)</f>
        <v>8.50906966741161</v>
      </c>
      <c r="BQ44" s="19" t="n">
        <f aca="false">BQ43*(1-Time!BQ20)</f>
        <v>8.34851740934156</v>
      </c>
      <c r="BR44" s="19" t="n">
        <f aca="false">BR43*(1-Time!BR20)</f>
        <v>7.93506596354257</v>
      </c>
      <c r="BS44" s="19" t="n">
        <f aca="false">BS43*(1-Time!BS20)</f>
        <v>7.77963359901977</v>
      </c>
      <c r="BT44" s="19" t="n">
        <f aca="false">BT43*(1-Time!BT20)</f>
        <v>7.33918628785845</v>
      </c>
      <c r="BU44" s="19" t="n">
        <f aca="false">BU43*(1-Time!BU20)</f>
        <v>7.1363014118434</v>
      </c>
      <c r="BV44" s="19" t="n">
        <f aca="false">BV43*(1-Time!BV20)</f>
        <v>6.57771591785804</v>
      </c>
      <c r="BW44" s="19" t="n">
        <f aca="false">BW43*(1-Time!BW20)</f>
        <v>6.2283116542383</v>
      </c>
      <c r="BX44" s="19" t="n">
        <f aca="false">BX43*(1-Time!BX20)</f>
        <v>5.66900330018954</v>
      </c>
      <c r="BY44" s="19" t="n">
        <f aca="false">BY43*(1-Time!BY20)</f>
        <v>5.22130405418888</v>
      </c>
      <c r="BZ44" s="19" t="n">
        <f aca="false">BZ43*(1-Time!BZ20)</f>
        <v>4.59719212169193</v>
      </c>
      <c r="CA44" s="19" t="n">
        <f aca="false">CA43*(1-Time!CA20)</f>
        <v>4.11475160015438</v>
      </c>
      <c r="CB44" s="19" t="n">
        <f aca="false">CB43*(1-Time!CB20)</f>
        <v>3.51304496940659</v>
      </c>
      <c r="CC44" s="19" t="n">
        <f aca="false">CC43*(1-Time!CC20)</f>
        <v>3.01758637887808</v>
      </c>
      <c r="CD44" s="19" t="n">
        <f aca="false">CD43*(1-Time!CD20)</f>
        <v>2.37964224289144</v>
      </c>
      <c r="CE44" s="19" t="n">
        <f aca="false">CE43*(1-Time!CE20)</f>
        <v>1.80933828087912</v>
      </c>
      <c r="CF44" s="19" t="n">
        <f aca="false">CF43*(1-Time!CF20)</f>
        <v>1.16763252138953</v>
      </c>
      <c r="CG44" s="19" t="n">
        <f aca="false">CG43*(1-Time!CG20)</f>
        <v>0.61703892594402</v>
      </c>
      <c r="CH44" s="19" t="n">
        <f aca="false">CH43*(1-Time!CH20)</f>
        <v>2.69460679036244E-014</v>
      </c>
      <c r="CI44" s="19" t="n">
        <f aca="false">CI43*(1-Time!CI20)</f>
        <v>2.73926878136292E-014</v>
      </c>
      <c r="CJ44" s="19" t="n">
        <f aca="false">CJ43*(1-Time!CJ20)</f>
        <v>2.69460679036244E-014</v>
      </c>
      <c r="CK44" s="19" t="n">
        <f aca="false">CK43*(1-Time!CK20)</f>
        <v>2.73926878136292E-014</v>
      </c>
      <c r="CL44" s="19" t="n">
        <f aca="false">CL43*(1-Time!CL20)</f>
        <v>2.69460679036244E-014</v>
      </c>
      <c r="CM44" s="19" t="n">
        <f aca="false">CM43*(1-Time!CM20)</f>
        <v>2.73926878136292E-014</v>
      </c>
      <c r="CN44" s="19" t="n">
        <f aca="false">CN43*(1-Time!CN20)</f>
        <v>2.70949412069594E-014</v>
      </c>
      <c r="CO44" s="19" t="n">
        <f aca="false">CO43*(1-Time!CO20)</f>
        <v>2.73926878136292E-014</v>
      </c>
      <c r="CP44" s="19" t="n">
        <f aca="false">CP43*(1-Time!CP20)</f>
        <v>2.69460679036244E-014</v>
      </c>
      <c r="CQ44" s="19" t="n">
        <f aca="false">CQ43*(1-Time!CQ20)</f>
        <v>2.73926878136292E-014</v>
      </c>
      <c r="CR44" s="19" t="n">
        <f aca="false">CR43*(1-Time!CR20)</f>
        <v>2.69460679036244E-014</v>
      </c>
      <c r="CS44" s="19" t="n">
        <f aca="false">CS43*(1-Time!CS20)</f>
        <v>2.73926878136292E-014</v>
      </c>
      <c r="CT44" s="19" t="n">
        <f aca="false">CT43*(1-Time!CT20)</f>
        <v>2.69460679036244E-014</v>
      </c>
      <c r="CU44" s="19" t="n">
        <f aca="false">CU43*(1-Time!CU20)</f>
        <v>2.73926878136292E-014</v>
      </c>
      <c r="CV44" s="19" t="n">
        <f aca="false">CV43*(1-Time!CV20)</f>
        <v>2.70949412069594E-014</v>
      </c>
      <c r="CW44" s="19" t="n">
        <f aca="false">CW43*(1-Time!CW20)</f>
        <v>2.73926878136292E-014</v>
      </c>
      <c r="CX44" s="19" t="n">
        <f aca="false">CX43*(1-Time!CX20)</f>
        <v>2.69460679036244E-014</v>
      </c>
      <c r="CY44" s="19" t="n">
        <f aca="false">CY43*(1-Time!CY20)</f>
        <v>2.73926878136292E-014</v>
      </c>
      <c r="CZ44" s="19" t="n">
        <f aca="false">CZ43*(1-Time!CZ20)</f>
        <v>2.69460679036244E-014</v>
      </c>
      <c r="DA44" s="19" t="n">
        <f aca="false">DA43*(1-Time!DA20)</f>
        <v>2.73926878136292E-014</v>
      </c>
      <c r="DB44" s="19" t="n">
        <f aca="false">DB43*(1-Time!DB20)</f>
        <v>2.69460679036244E-014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21.2872597324723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396.954732409336</v>
      </c>
      <c r="AW46" s="19" t="n">
        <f aca="false">AW42+Funding!AW35-Waterfall!AW20-Waterfall!AW31</f>
        <v>396.136242952036</v>
      </c>
      <c r="AX46" s="19" t="n">
        <f aca="false">AX42+Funding!AX35-Waterfall!AX20-Waterfall!AX31</f>
        <v>395.167031698473</v>
      </c>
      <c r="AY46" s="19" t="n">
        <f aca="false">AY42+Funding!AY35-Waterfall!AY20-Waterfall!AY31</f>
        <v>394.335533728897</v>
      </c>
      <c r="AZ46" s="19" t="n">
        <f aca="false">AZ42+Funding!AZ35-Waterfall!AZ20-Waterfall!AZ31</f>
        <v>393.304883407506</v>
      </c>
      <c r="BA46" s="19" t="n">
        <f aca="false">BA42+Funding!BA35-Waterfall!BA20-Waterfall!BA31</f>
        <v>391.769623624085</v>
      </c>
      <c r="BB46" s="19" t="n">
        <f aca="false">BB42+Funding!BB35-Waterfall!BB20-Waterfall!BB31</f>
        <v>390.061038356176</v>
      </c>
      <c r="BC46" s="19" t="n">
        <f aca="false">BC42+Funding!BC35-Waterfall!BC20-Waterfall!BC31</f>
        <v>386.350785505435</v>
      </c>
      <c r="BD46" s="19" t="n">
        <f aca="false">BD42+Funding!BD35-Waterfall!BD20-Waterfall!BD31</f>
        <v>382.408372119752</v>
      </c>
      <c r="BE46" s="19" t="n">
        <f aca="false">BE42+Funding!BE35-Waterfall!BE20-Waterfall!BE31</f>
        <v>377.111053023529</v>
      </c>
      <c r="BF46" s="19" t="n">
        <f aca="false">BF42+Funding!BF35-Waterfall!BF20-Waterfall!BF31</f>
        <v>371.538917363304</v>
      </c>
      <c r="BG46" s="19" t="n">
        <f aca="false">BG42+Funding!BG35-Waterfall!BG20-Waterfall!BG31</f>
        <v>365.218163517559</v>
      </c>
      <c r="BH46" s="19" t="n">
        <f aca="false">BH42+Funding!BH35-Waterfall!BH20-Waterfall!BH31</f>
        <v>358.531577549669</v>
      </c>
      <c r="BI46" s="19" t="n">
        <f aca="false">BI42+Funding!BI35-Waterfall!BI20-Waterfall!BI31</f>
        <v>351.076156037764</v>
      </c>
      <c r="BJ46" s="19" t="n">
        <f aca="false">BJ42+Funding!BJ35-Waterfall!BJ20-Waterfall!BJ31</f>
        <v>343.28852901867</v>
      </c>
      <c r="BK46" s="19" t="n">
        <f aca="false">BK42+Funding!BK35-Waterfall!BK20-Waterfall!BK31</f>
        <v>334.600005964867</v>
      </c>
      <c r="BL46" s="19" t="n">
        <f aca="false">BL42+Funding!BL35-Waterfall!BL20-Waterfall!BL31</f>
        <v>325.547090006201</v>
      </c>
      <c r="BM46" s="19" t="n">
        <f aca="false">BM42+Funding!BM35-Waterfall!BM20-Waterfall!BM31</f>
        <v>315.52534098664</v>
      </c>
      <c r="BN46" s="19" t="n">
        <f aca="false">BN42+Funding!BN35-Waterfall!BN20-Waterfall!BN31</f>
        <v>305.105320162683</v>
      </c>
      <c r="BO46" s="19" t="n">
        <f aca="false">BO42+Funding!BO35-Waterfall!BO20-Waterfall!BO31</f>
        <v>296.780738519373</v>
      </c>
      <c r="BP46" s="19" t="n">
        <f aca="false">BP42+Funding!BP35-Waterfall!BP20-Waterfall!BP31</f>
        <v>288.015959774071</v>
      </c>
      <c r="BQ46" s="19" t="n">
        <f aca="false">BQ42+Funding!BQ35-Waterfall!BQ20-Waterfall!BQ31</f>
        <v>278.289606216002</v>
      </c>
      <c r="BR46" s="19" t="n">
        <f aca="false">BR42+Funding!BR35-Waterfall!BR20-Waterfall!BR31</f>
        <v>268.390006015332</v>
      </c>
      <c r="BS46" s="19" t="n">
        <f aca="false">BS42+Funding!BS35-Waterfall!BS20-Waterfall!BS31</f>
        <v>257.391592127632</v>
      </c>
      <c r="BT46" s="19" t="n">
        <f aca="false">BT42+Funding!BT35-Waterfall!BT20-Waterfall!BT31</f>
        <v>246.195653622197</v>
      </c>
      <c r="BU46" s="19" t="n">
        <f aca="false">BU42+Funding!BU35-Waterfall!BU20-Waterfall!BU31</f>
        <v>230.686169590986</v>
      </c>
      <c r="BV46" s="19" t="n">
        <f aca="false">BV42+Funding!BV35-Waterfall!BV20-Waterfall!BV31</f>
        <v>214.870865198202</v>
      </c>
      <c r="BW46" s="19" t="n">
        <f aca="false">BW42+Funding!BW35-Waterfall!BW20-Waterfall!BW31</f>
        <v>197.724434263658</v>
      </c>
      <c r="BX46" s="19" t="n">
        <f aca="false">BX42+Funding!BX35-Waterfall!BX20-Waterfall!BX31</f>
        <v>180.130054799522</v>
      </c>
      <c r="BY46" s="19" t="n">
        <f aca="false">BY42+Funding!BY35-Waterfall!BY20-Waterfall!BY31</f>
        <v>161.227492137166</v>
      </c>
      <c r="BZ46" s="19" t="n">
        <f aca="false">BZ42+Funding!BZ35-Waterfall!BZ20-Waterfall!BZ31</f>
        <v>141.95504102612</v>
      </c>
      <c r="CA46" s="19" t="n">
        <f aca="false">CA42+Funding!CA35-Waterfall!CA20-Waterfall!CA31</f>
        <v>123.205516582599</v>
      </c>
      <c r="CB46" s="19" t="n">
        <f aca="false">CB42+Funding!CB35-Waterfall!CB20-Waterfall!CB31</f>
        <v>104.103877910255</v>
      </c>
      <c r="CC46" s="19" t="n">
        <f aca="false">CC42+Funding!CC35-Waterfall!CC20-Waterfall!CC31</f>
        <v>83.4561055638122</v>
      </c>
      <c r="CD46" s="19" t="n">
        <f aca="false">CD42+Funding!CD35-Waterfall!CD20-Waterfall!CD31</f>
        <v>62.4204605407258</v>
      </c>
      <c r="CE46" s="19" t="n">
        <f aca="false">CE42+Funding!CE35-Waterfall!CE20-Waterfall!CE31</f>
        <v>40.7248801057982</v>
      </c>
      <c r="CF46" s="19" t="n">
        <f aca="false">CF42+Funding!CF35-Waterfall!CF20-Waterfall!CF31</f>
        <v>21.2872597324733</v>
      </c>
      <c r="CG46" s="19" t="n">
        <f aca="false">CG42+Funding!CG35-Waterfall!CG20-Waterfall!CG31</f>
        <v>9.45021838560933E-013</v>
      </c>
      <c r="CH46" s="19" t="n">
        <f aca="false">CH42+Funding!CH35-Waterfall!CH20-Waterfall!CH31</f>
        <v>9.45021838560933E-013</v>
      </c>
      <c r="CI46" s="19" t="n">
        <f aca="false">CI42+Funding!CI35-Waterfall!CI20-Waterfall!CI31</f>
        <v>9.45021838560933E-013</v>
      </c>
      <c r="CJ46" s="19" t="n">
        <f aca="false">CJ42+Funding!CJ35-Waterfall!CJ20-Waterfall!CJ31</f>
        <v>9.45021838560933E-013</v>
      </c>
      <c r="CK46" s="19" t="n">
        <f aca="false">CK42+Funding!CK35-Waterfall!CK20-Waterfall!CK31</f>
        <v>9.45021838560933E-013</v>
      </c>
      <c r="CL46" s="19" t="n">
        <f aca="false">CL42+Funding!CL35-Waterfall!CL20-Waterfall!CL31</f>
        <v>9.45021838560933E-013</v>
      </c>
      <c r="CM46" s="19" t="n">
        <f aca="false">CM42+Funding!CM35-Waterfall!CM20-Waterfall!CM31</f>
        <v>9.45021838560933E-013</v>
      </c>
      <c r="CN46" s="19" t="n">
        <f aca="false">CN42+Funding!CN35-Waterfall!CN20-Waterfall!CN31</f>
        <v>9.45021838560933E-013</v>
      </c>
      <c r="CO46" s="19" t="n">
        <f aca="false">CO42+Funding!CO35-Waterfall!CO20-Waterfall!CO31</f>
        <v>9.45021838560933E-013</v>
      </c>
      <c r="CP46" s="19" t="n">
        <f aca="false">CP42+Funding!CP35-Waterfall!CP20-Waterfall!CP31</f>
        <v>9.45021838560933E-013</v>
      </c>
      <c r="CQ46" s="19" t="n">
        <f aca="false">CQ42+Funding!CQ35-Waterfall!CQ20-Waterfall!CQ31</f>
        <v>9.45021838560933E-013</v>
      </c>
      <c r="CR46" s="19" t="n">
        <f aca="false">CR42+Funding!CR35-Waterfall!CR20-Waterfall!CR31</f>
        <v>9.45021838560933E-013</v>
      </c>
      <c r="CS46" s="19" t="n">
        <f aca="false">CS42+Funding!CS35-Waterfall!CS20-Waterfall!CS31</f>
        <v>9.45021838560933E-013</v>
      </c>
      <c r="CT46" s="19" t="n">
        <f aca="false">CT42+Funding!CT35-Waterfall!CT20-Waterfall!CT31</f>
        <v>9.45021838560933E-013</v>
      </c>
      <c r="CU46" s="19" t="n">
        <f aca="false">CU42+Funding!CU35-Waterfall!CU20-Waterfall!CU31</f>
        <v>9.45021838560933E-013</v>
      </c>
      <c r="CV46" s="19" t="n">
        <f aca="false">CV42+Funding!CV35-Waterfall!CV20-Waterfall!CV31</f>
        <v>9.45021838560933E-013</v>
      </c>
      <c r="CW46" s="19" t="n">
        <f aca="false">CW42+Funding!CW35-Waterfall!CW20-Waterfall!CW31</f>
        <v>9.45021838560933E-013</v>
      </c>
      <c r="CX46" s="19" t="n">
        <f aca="false">CX42+Funding!CX35-Waterfall!CX20-Waterfall!CX31</f>
        <v>9.45021838560933E-013</v>
      </c>
      <c r="CY46" s="19" t="n">
        <f aca="false">CY42+Funding!CY35-Waterfall!CY20-Waterfall!CY31</f>
        <v>9.45021838560933E-013</v>
      </c>
      <c r="CZ46" s="19" t="n">
        <f aca="false">CZ42+Funding!CZ35-Waterfall!CZ20-Waterfall!CZ31</f>
        <v>9.45021838560933E-013</v>
      </c>
      <c r="DA46" s="19" t="n">
        <f aca="false">DA42+Funding!DA35-Waterfall!DA20-Waterfall!DA31</f>
        <v>9.45021838560933E-013</v>
      </c>
      <c r="DB46" s="19" t="n">
        <f aca="false">DB42+Funding!DB35-Waterfall!DB20-Waterfall!DB31</f>
        <v>9.45021838560933E-013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396.954732409336</v>
      </c>
      <c r="AW47" s="19" t="n">
        <f aca="false">IF(Time!AW35=1,0,AW46)</f>
        <v>396.136242952036</v>
      </c>
      <c r="AX47" s="19" t="n">
        <f aca="false">IF(Time!AX35=1,0,AX46)</f>
        <v>395.167031698473</v>
      </c>
      <c r="AY47" s="19" t="n">
        <f aca="false">IF(Time!AY35=1,0,AY46)</f>
        <v>394.335533728897</v>
      </c>
      <c r="AZ47" s="19" t="n">
        <f aca="false">IF(Time!AZ35=1,0,AZ46)</f>
        <v>393.304883407506</v>
      </c>
      <c r="BA47" s="19" t="n">
        <f aca="false">IF(Time!BA35=1,0,BA46)</f>
        <v>391.769623624085</v>
      </c>
      <c r="BB47" s="19" t="n">
        <f aca="false">IF(Time!BB35=1,0,BB46)</f>
        <v>390.061038356176</v>
      </c>
      <c r="BC47" s="19" t="n">
        <f aca="false">IF(Time!BC35=1,0,BC46)</f>
        <v>386.350785505435</v>
      </c>
      <c r="BD47" s="19" t="n">
        <f aca="false">IF(Time!BD35=1,0,BD46)</f>
        <v>382.408372119752</v>
      </c>
      <c r="BE47" s="19" t="n">
        <f aca="false">IF(Time!BE35=1,0,BE46)</f>
        <v>377.111053023529</v>
      </c>
      <c r="BF47" s="19" t="n">
        <f aca="false">IF(Time!BF35=1,0,BF46)</f>
        <v>371.538917363304</v>
      </c>
      <c r="BG47" s="19" t="n">
        <f aca="false">IF(Time!BG35=1,0,BG46)</f>
        <v>365.218163517559</v>
      </c>
      <c r="BH47" s="19" t="n">
        <f aca="false">IF(Time!BH35=1,0,BH46)</f>
        <v>358.531577549669</v>
      </c>
      <c r="BI47" s="19" t="n">
        <f aca="false">IF(Time!BI35=1,0,BI46)</f>
        <v>351.076156037764</v>
      </c>
      <c r="BJ47" s="19" t="n">
        <f aca="false">IF(Time!BJ35=1,0,BJ46)</f>
        <v>343.28852901867</v>
      </c>
      <c r="BK47" s="19" t="n">
        <f aca="false">IF(Time!BK35=1,0,BK46)</f>
        <v>334.600005964867</v>
      </c>
      <c r="BL47" s="19" t="n">
        <f aca="false">IF(Time!BL35=1,0,BL46)</f>
        <v>325.547090006201</v>
      </c>
      <c r="BM47" s="19" t="n">
        <f aca="false">IF(Time!BM35=1,0,BM46)</f>
        <v>315.52534098664</v>
      </c>
      <c r="BN47" s="19" t="n">
        <f aca="false">IF(Time!BN35=1,0,BN46)</f>
        <v>305.105320162683</v>
      </c>
      <c r="BO47" s="19" t="n">
        <f aca="false">IF(Time!BO35=1,0,BO46)</f>
        <v>296.780738519373</v>
      </c>
      <c r="BP47" s="19" t="n">
        <f aca="false">IF(Time!BP35=1,0,BP46)</f>
        <v>288.015959774071</v>
      </c>
      <c r="BQ47" s="19" t="n">
        <f aca="false">IF(Time!BQ35=1,0,BQ46)</f>
        <v>278.289606216002</v>
      </c>
      <c r="BR47" s="19" t="n">
        <f aca="false">IF(Time!BR35=1,0,BR46)</f>
        <v>268.390006015332</v>
      </c>
      <c r="BS47" s="19" t="n">
        <f aca="false">IF(Time!BS35=1,0,BS46)</f>
        <v>257.391592127632</v>
      </c>
      <c r="BT47" s="19" t="n">
        <f aca="false">IF(Time!BT35=1,0,BT46)</f>
        <v>246.195653622197</v>
      </c>
      <c r="BU47" s="19" t="n">
        <f aca="false">IF(Time!BU35=1,0,BU46)</f>
        <v>230.686169590986</v>
      </c>
      <c r="BV47" s="19" t="n">
        <f aca="false">IF(Time!BV35=1,0,BV46)</f>
        <v>214.870865198202</v>
      </c>
      <c r="BW47" s="19" t="n">
        <f aca="false">IF(Time!BW35=1,0,BW46)</f>
        <v>197.724434263658</v>
      </c>
      <c r="BX47" s="19" t="n">
        <f aca="false">IF(Time!BX35=1,0,BX46)</f>
        <v>180.130054799522</v>
      </c>
      <c r="BY47" s="19" t="n">
        <f aca="false">IF(Time!BY35=1,0,BY46)</f>
        <v>161.227492137166</v>
      </c>
      <c r="BZ47" s="19" t="n">
        <f aca="false">IF(Time!BZ35=1,0,BZ46)</f>
        <v>141.95504102612</v>
      </c>
      <c r="CA47" s="19" t="n">
        <f aca="false">IF(Time!CA35=1,0,CA46)</f>
        <v>123.205516582599</v>
      </c>
      <c r="CB47" s="19" t="n">
        <f aca="false">IF(Time!CB35=1,0,CB46)</f>
        <v>104.103877910255</v>
      </c>
      <c r="CC47" s="19" t="n">
        <f aca="false">IF(Time!CC35=1,0,CC46)</f>
        <v>83.4561055638122</v>
      </c>
      <c r="CD47" s="19" t="n">
        <f aca="false">IF(Time!CD35=1,0,CD46)</f>
        <v>62.4204605407258</v>
      </c>
      <c r="CE47" s="19" t="n">
        <f aca="false">IF(Time!CE35=1,0,CE46)</f>
        <v>40.7248801057982</v>
      </c>
      <c r="CF47" s="19" t="n">
        <f aca="false">IF(Time!CF35=1,0,CF46)</f>
        <v>21.2872597324733</v>
      </c>
      <c r="CG47" s="19" t="n">
        <f aca="false">IF(Time!CG35=1,0,CG46)</f>
        <v>9.45021838560933E-013</v>
      </c>
      <c r="CH47" s="19" t="n">
        <f aca="false">IF(Time!CH35=1,0,CH46)</f>
        <v>9.45021838560933E-013</v>
      </c>
      <c r="CI47" s="19" t="n">
        <f aca="false">IF(Time!CI35=1,0,CI46)</f>
        <v>9.45021838560933E-013</v>
      </c>
      <c r="CJ47" s="19" t="n">
        <f aca="false">IF(Time!CJ35=1,0,CJ46)</f>
        <v>9.45021838560933E-013</v>
      </c>
      <c r="CK47" s="19" t="n">
        <f aca="false">IF(Time!CK35=1,0,CK46)</f>
        <v>9.45021838560933E-013</v>
      </c>
      <c r="CL47" s="19" t="n">
        <f aca="false">IF(Time!CL35=1,0,CL46)</f>
        <v>9.45021838560933E-013</v>
      </c>
      <c r="CM47" s="19" t="n">
        <f aca="false">IF(Time!CM35=1,0,CM46)</f>
        <v>9.45021838560933E-013</v>
      </c>
      <c r="CN47" s="19" t="n">
        <f aca="false">IF(Time!CN35=1,0,CN46)</f>
        <v>9.45021838560933E-013</v>
      </c>
      <c r="CO47" s="19" t="n">
        <f aca="false">IF(Time!CO35=1,0,CO46)</f>
        <v>9.45021838560933E-013</v>
      </c>
      <c r="CP47" s="19" t="n">
        <f aca="false">IF(Time!CP35=1,0,CP46)</f>
        <v>9.45021838560933E-013</v>
      </c>
      <c r="CQ47" s="19" t="n">
        <f aca="false">IF(Time!CQ35=1,0,CQ46)</f>
        <v>9.45021838560933E-013</v>
      </c>
      <c r="CR47" s="19" t="n">
        <f aca="false">IF(Time!CR35=1,0,CR46)</f>
        <v>9.45021838560933E-013</v>
      </c>
      <c r="CS47" s="19" t="n">
        <f aca="false">IF(Time!CS35=1,0,CS46)</f>
        <v>9.45021838560933E-013</v>
      </c>
      <c r="CT47" s="19" t="n">
        <f aca="false">IF(Time!CT35=1,0,CT46)</f>
        <v>9.45021838560933E-013</v>
      </c>
      <c r="CU47" s="19" t="n">
        <f aca="false">IF(Time!CU35=1,0,CU46)</f>
        <v>9.45021838560933E-013</v>
      </c>
      <c r="CV47" s="19" t="n">
        <f aca="false">IF(Time!CV35=1,0,CV46)</f>
        <v>9.45021838560933E-013</v>
      </c>
      <c r="CW47" s="19" t="n">
        <f aca="false">IF(Time!CW35=1,0,CW46)</f>
        <v>9.45021838560933E-013</v>
      </c>
      <c r="CX47" s="19" t="n">
        <f aca="false">IF(Time!CX35=1,0,CX46)</f>
        <v>9.45021838560933E-013</v>
      </c>
      <c r="CY47" s="19" t="n">
        <f aca="false">IF(Time!CY35=1,0,CY46)</f>
        <v>9.45021838560933E-013</v>
      </c>
      <c r="CZ47" s="19" t="n">
        <f aca="false">IF(Time!CZ35=1,0,CZ46)</f>
        <v>9.45021838560933E-013</v>
      </c>
      <c r="DA47" s="19" t="n">
        <f aca="false">IF(Time!DA35=1,0,DA46)</f>
        <v>9.45021838560933E-013</v>
      </c>
      <c r="DB47" s="19" t="n">
        <f aca="false">IF(Time!DB35=1,0,DB46)</f>
        <v>9.45021838560933E-013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485.166895166966</v>
      </c>
      <c r="AX49" s="19" t="n">
        <f aca="false">IF(Time!AX6=1,Funding!$F$7,AW54)</f>
        <v>484.1665191636</v>
      </c>
      <c r="AY49" s="19" t="n">
        <f aca="false">IF(Time!AY6=1,Funding!$F$7,AX54)</f>
        <v>482.981927631467</v>
      </c>
      <c r="AZ49" s="19" t="n">
        <f aca="false">IF(Time!AZ6=1,Funding!$F$7,AY54)</f>
        <v>481.965652335319</v>
      </c>
      <c r="BA49" s="19" t="n">
        <f aca="false">IF(Time!BA6=1,Funding!$F$7,AZ54)</f>
        <v>480.705968609174</v>
      </c>
      <c r="BB49" s="19" t="n">
        <f aca="false">IF(Time!BB6=1,Funding!$F$7,BA54)</f>
        <v>478.829539984993</v>
      </c>
      <c r="BC49" s="19" t="n">
        <f aca="false">IF(Time!BC6=1,Funding!$F$7,BB54)</f>
        <v>476.741269101993</v>
      </c>
      <c r="BD49" s="19" t="n">
        <f aca="false">IF(Time!BD6=1,Funding!$F$7,BC54)</f>
        <v>472.206515617754</v>
      </c>
      <c r="BE49" s="19" t="n">
        <f aca="false">IF(Time!BE6=1,Funding!$F$7,BD54)</f>
        <v>467.388010368586</v>
      </c>
      <c r="BF49" s="19" t="n">
        <f aca="false">IF(Time!BF6=1,Funding!$F$7,BE54)</f>
        <v>460.91350925098</v>
      </c>
      <c r="BG49" s="19" t="n">
        <f aca="false">IF(Time!BG6=1,Funding!$F$7,BF54)</f>
        <v>454.103121221816</v>
      </c>
      <c r="BH49" s="19" t="n">
        <f aca="false">IF(Time!BH6=1,Funding!$F$7,BG54)</f>
        <v>446.377755410349</v>
      </c>
      <c r="BI49" s="19" t="n">
        <f aca="false">IF(Time!BI6=1,Funding!$F$7,BH54)</f>
        <v>438.205261449595</v>
      </c>
      <c r="BJ49" s="19" t="n">
        <f aca="false">IF(Time!BJ6=1,Funding!$F$7,BI54)</f>
        <v>429.093079601712</v>
      </c>
      <c r="BK49" s="19" t="n">
        <f aca="false">IF(Time!BK6=1,Funding!$F$7,BJ54)</f>
        <v>419.574868800596</v>
      </c>
      <c r="BL49" s="19" t="n">
        <f aca="false">IF(Time!BL6=1,Funding!$F$7,BK54)</f>
        <v>408.955562845949</v>
      </c>
      <c r="BM49" s="19" t="n">
        <f aca="false">IF(Time!BM6=1,Funding!$F$7,BL54)</f>
        <v>397.890887785357</v>
      </c>
      <c r="BN49" s="19" t="n">
        <f aca="false">IF(Time!BN6=1,Funding!$F$7,BM54)</f>
        <v>385.642083428115</v>
      </c>
      <c r="BO49" s="19" t="n">
        <f aca="false">IF(Time!BO6=1,Funding!$F$7,BN54)</f>
        <v>372.906502421057</v>
      </c>
      <c r="BP49" s="19" t="n">
        <f aca="false">IF(Time!BP6=1,Funding!$F$7,BO54)</f>
        <v>362.7320137459</v>
      </c>
      <c r="BQ49" s="19" t="n">
        <f aca="false">IF(Time!BQ6=1,Funding!$F$7,BP54)</f>
        <v>352.019506390531</v>
      </c>
      <c r="BR49" s="19" t="n">
        <f aca="false">IF(Time!BR6=1,Funding!$F$7,BQ54)</f>
        <v>340.131740930669</v>
      </c>
      <c r="BS49" s="19" t="n">
        <f aca="false">IF(Time!BS6=1,Funding!$F$7,BR54)</f>
        <v>328.032229574295</v>
      </c>
      <c r="BT49" s="19" t="n">
        <f aca="false">IF(Time!BT6=1,Funding!$F$7,BS54)</f>
        <v>314.589723711551</v>
      </c>
      <c r="BU49" s="19" t="n">
        <f aca="false">IF(Time!BU6=1,Funding!$F$7,BT54)</f>
        <v>300.905798871574</v>
      </c>
      <c r="BV49" s="19" t="n">
        <f aca="false">IF(Time!BV6=1,Funding!$F$7,BU54)</f>
        <v>281.949762833427</v>
      </c>
      <c r="BW49" s="19" t="n">
        <f aca="false">IF(Time!BW6=1,Funding!$F$7,BV54)</f>
        <v>262.619946353358</v>
      </c>
      <c r="BX49" s="19" t="n">
        <f aca="false">IF(Time!BX6=1,Funding!$F$7,BW54)</f>
        <v>241.66319743336</v>
      </c>
      <c r="BY49" s="19" t="n">
        <f aca="false">IF(Time!BY6=1,Funding!$F$7,BX54)</f>
        <v>220.158955866082</v>
      </c>
      <c r="BZ49" s="19" t="n">
        <f aca="false">IF(Time!BZ6=1,Funding!$F$7,BY54)</f>
        <v>197.055823723203</v>
      </c>
      <c r="CA49" s="19" t="n">
        <f aca="false">IF(Time!CA6=1,Funding!$F$7,BZ54)</f>
        <v>173.500605698591</v>
      </c>
      <c r="CB49" s="19" t="n">
        <f aca="false">IF(Time!CB6=1,Funding!$F$7,CA54)</f>
        <v>150.584520267622</v>
      </c>
      <c r="CC49" s="19" t="n">
        <f aca="false">IF(Time!CC6=1,Funding!$F$7,CB54)</f>
        <v>127.238073001423</v>
      </c>
      <c r="CD49" s="19" t="n">
        <f aca="false">IF(Time!CD6=1,Funding!$F$7,CC54)</f>
        <v>102.001906800215</v>
      </c>
      <c r="CE49" s="19" t="n">
        <f aca="false">IF(Time!CE6=1,Funding!$F$7,CD54)</f>
        <v>76.2916739942204</v>
      </c>
      <c r="CF49" s="19" t="n">
        <f aca="false">IF(Time!CF6=1,Funding!$F$7,CE54)</f>
        <v>49.7748534626422</v>
      </c>
      <c r="CG49" s="19" t="n">
        <f aca="false">IF(Time!CG6=1,Funding!$F$7,CF54)</f>
        <v>26.0177618952451</v>
      </c>
      <c r="CH49" s="19" t="n">
        <f aca="false">IF(Time!CH6=1,Funding!$F$7,CG54)</f>
        <v>1.16173737296776E-012</v>
      </c>
      <c r="CI49" s="19" t="n">
        <f aca="false">IF(Time!CI6=1,Funding!$F$7,CH54)</f>
        <v>1.16173737296776E-012</v>
      </c>
      <c r="CJ49" s="19" t="n">
        <f aca="false">IF(Time!CJ6=1,Funding!$F$7,CI54)</f>
        <v>1.16173737296776E-012</v>
      </c>
      <c r="CK49" s="19" t="n">
        <f aca="false">IF(Time!CK6=1,Funding!$F$7,CJ54)</f>
        <v>1.16173737296776E-012</v>
      </c>
      <c r="CL49" s="19" t="n">
        <f aca="false">IF(Time!CL6=1,Funding!$F$7,CK54)</f>
        <v>1.16173737296776E-012</v>
      </c>
      <c r="CM49" s="19" t="n">
        <f aca="false">IF(Time!CM6=1,Funding!$F$7,CL54)</f>
        <v>1.16173737296776E-012</v>
      </c>
      <c r="CN49" s="19" t="n">
        <f aca="false">IF(Time!CN6=1,Funding!$F$7,CM54)</f>
        <v>1.16173737296776E-012</v>
      </c>
      <c r="CO49" s="19" t="n">
        <f aca="false">IF(Time!CO6=1,Funding!$F$7,CN54)</f>
        <v>1.16173737296776E-012</v>
      </c>
      <c r="CP49" s="19" t="n">
        <f aca="false">IF(Time!CP6=1,Funding!$F$7,CO54)</f>
        <v>1.16173737296776E-012</v>
      </c>
      <c r="CQ49" s="19" t="n">
        <f aca="false">IF(Time!CQ6=1,Funding!$F$7,CP54)</f>
        <v>1.16173737296776E-012</v>
      </c>
      <c r="CR49" s="19" t="n">
        <f aca="false">IF(Time!CR6=1,Funding!$F$7,CQ54)</f>
        <v>1.16173737296776E-012</v>
      </c>
      <c r="CS49" s="19" t="n">
        <f aca="false">IF(Time!CS6=1,Funding!$F$7,CR54)</f>
        <v>1.16173737296776E-012</v>
      </c>
      <c r="CT49" s="19" t="n">
        <f aca="false">IF(Time!CT6=1,Funding!$F$7,CS54)</f>
        <v>1.16173737296776E-012</v>
      </c>
      <c r="CU49" s="19" t="n">
        <f aca="false">IF(Time!CU6=1,Funding!$F$7,CT54)</f>
        <v>1.16173737296776E-012</v>
      </c>
      <c r="CV49" s="19" t="n">
        <f aca="false">IF(Time!CV6=1,Funding!$F$7,CU54)</f>
        <v>1.16173737296776E-012</v>
      </c>
      <c r="CW49" s="19" t="n">
        <f aca="false">IF(Time!CW6=1,Funding!$F$7,CV54)</f>
        <v>1.16173737296776E-012</v>
      </c>
      <c r="CX49" s="19" t="n">
        <f aca="false">IF(Time!CX6=1,Funding!$F$7,CW54)</f>
        <v>1.16173737296776E-012</v>
      </c>
      <c r="CY49" s="19" t="n">
        <f aca="false">IF(Time!CY6=1,Funding!$F$7,CX54)</f>
        <v>1.16173737296776E-012</v>
      </c>
      <c r="CZ49" s="19" t="n">
        <f aca="false">IF(Time!CZ6=1,Funding!$F$7,CY54)</f>
        <v>1.16173737296776E-012</v>
      </c>
      <c r="DA49" s="19" t="n">
        <f aca="false">IF(Time!DA6=1,Funding!$F$7,CZ54)</f>
        <v>1.16173737296776E-012</v>
      </c>
      <c r="DB49" s="19" t="n">
        <f aca="false">IF(Time!DB6=1,Funding!$F$7,DA54)</f>
        <v>1.16173737296776E-012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656.573089266853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11.7652972077989</v>
      </c>
      <c r="AX50" s="19" t="n">
        <f aca="false">AX49*Inputs!$F$110*Time!AX10/Inputs!$F$46</f>
        <v>11.7410380897173</v>
      </c>
      <c r="AY50" s="19" t="n">
        <f aca="false">AY49*Inputs!$F$110*Time!AY10/Inputs!$F$46</f>
        <v>11.7123117450631</v>
      </c>
      <c r="AZ50" s="19" t="n">
        <f aca="false">AZ49*Inputs!$F$110*Time!AZ10/Inputs!$F$46</f>
        <v>11.6876670691315</v>
      </c>
      <c r="BA50" s="19" t="n">
        <f aca="false">BA49*Inputs!$F$110*Time!BA10/Inputs!$F$46</f>
        <v>11.6571197387725</v>
      </c>
      <c r="BB50" s="19" t="n">
        <f aca="false">BB49*Inputs!$F$110*Time!BB10/Inputs!$F$46</f>
        <v>11.6116163446361</v>
      </c>
      <c r="BC50" s="19" t="n">
        <f aca="false">BC49*Inputs!$F$110*Time!BC10/Inputs!$F$46</f>
        <v>11.5609757757233</v>
      </c>
      <c r="BD50" s="19" t="n">
        <f aca="false">BD49*Inputs!$F$110*Time!BD10/Inputs!$F$46</f>
        <v>11.4510080037305</v>
      </c>
      <c r="BE50" s="19" t="n">
        <f aca="false">BE49*Inputs!$F$110*Time!BE10/Inputs!$F$46</f>
        <v>11.3341592514382</v>
      </c>
      <c r="BF50" s="19" t="n">
        <f aca="false">BF49*Inputs!$F$110*Time!BF10/Inputs!$F$46</f>
        <v>11.1771525993363</v>
      </c>
      <c r="BG50" s="19" t="n">
        <f aca="false">BG49*Inputs!$F$110*Time!BG10/Inputs!$F$46</f>
        <v>11.012000689629</v>
      </c>
      <c r="BH50" s="19" t="n">
        <f aca="false">BH49*Inputs!$F$110*Time!BH10/Inputs!$F$46</f>
        <v>10.824660568701</v>
      </c>
      <c r="BI50" s="19" t="n">
        <f aca="false">BI49*Inputs!$F$110*Time!BI10/Inputs!$F$46</f>
        <v>10.6264775901527</v>
      </c>
      <c r="BJ50" s="19" t="n">
        <f aca="false">BJ49*Inputs!$F$110*Time!BJ10/Inputs!$F$46</f>
        <v>10.4055071803415</v>
      </c>
      <c r="BK50" s="19" t="n">
        <f aca="false">BK49*Inputs!$F$110*Time!BK10/Inputs!$F$46</f>
        <v>10.1746905684145</v>
      </c>
      <c r="BL50" s="19" t="n">
        <f aca="false">BL49*Inputs!$F$110*Time!BL10/Inputs!$F$46</f>
        <v>9.91717239901426</v>
      </c>
      <c r="BM50" s="19" t="n">
        <f aca="false">BM49*Inputs!$F$110*Time!BM10/Inputs!$F$46</f>
        <v>9.64885402879491</v>
      </c>
      <c r="BN50" s="19" t="n">
        <f aca="false">BN49*Inputs!$F$110*Time!BN10/Inputs!$F$46</f>
        <v>9.35182052313179</v>
      </c>
      <c r="BO50" s="19" t="n">
        <f aca="false">BO49*Inputs!$F$110*Time!BO10/Inputs!$F$46</f>
        <v>9.04298268371063</v>
      </c>
      <c r="BP50" s="19" t="n">
        <f aca="false">BP49*Inputs!$F$110*Time!BP10/Inputs!$F$46</f>
        <v>8.79625133333808</v>
      </c>
      <c r="BQ50" s="19" t="n">
        <f aca="false">BQ49*Inputs!$F$110*Time!BQ10/Inputs!$F$46</f>
        <v>8.53647302997038</v>
      </c>
      <c r="BR50" s="19" t="n">
        <f aca="false">BR49*Inputs!$F$110*Time!BR10/Inputs!$F$46</f>
        <v>8.24819471756871</v>
      </c>
      <c r="BS50" s="19" t="n">
        <f aca="false">BS49*Inputs!$F$110*Time!BS10/Inputs!$F$46</f>
        <v>7.95478156717665</v>
      </c>
      <c r="BT50" s="19" t="n">
        <f aca="false">BT49*Inputs!$F$110*Time!BT10/Inputs!$F$46</f>
        <v>7.6288008000051</v>
      </c>
      <c r="BU50" s="19" t="n">
        <f aca="false">BU49*Inputs!$F$110*Time!BU10/Inputs!$F$46</f>
        <v>7.29696562263566</v>
      </c>
      <c r="BV50" s="19" t="n">
        <f aca="false">BV49*Inputs!$F$110*Time!BV10/Inputs!$F$46</f>
        <v>6.8372817487106</v>
      </c>
      <c r="BW50" s="19" t="n">
        <f aca="false">BW49*Inputs!$F$110*Time!BW10/Inputs!$F$46</f>
        <v>6.36853369906894</v>
      </c>
      <c r="BX50" s="19" t="n">
        <f aca="false">BX49*Inputs!$F$110*Time!BX10/Inputs!$F$46</f>
        <v>5.86033253775897</v>
      </c>
      <c r="BY50" s="19" t="n">
        <f aca="false">BY49*Inputs!$F$110*Time!BY10/Inputs!$F$46</f>
        <v>5.33885467975249</v>
      </c>
      <c r="BZ50" s="19" t="n">
        <f aca="false">BZ49*Inputs!$F$110*Time!BZ10/Inputs!$F$46</f>
        <v>4.77860372528767</v>
      </c>
      <c r="CA50" s="19" t="n">
        <f aca="false">CA49*Inputs!$F$110*Time!CA10/Inputs!$F$46</f>
        <v>4.20738968819084</v>
      </c>
      <c r="CB50" s="19" t="n">
        <f aca="false">CB49*Inputs!$F$110*Time!CB10/Inputs!$F$46</f>
        <v>3.65167461648982</v>
      </c>
      <c r="CC50" s="19" t="n">
        <f aca="false">CC49*Inputs!$F$110*Time!CC10/Inputs!$F$46</f>
        <v>3.0855232702845</v>
      </c>
      <c r="CD50" s="19" t="n">
        <f aca="false">CD49*Inputs!$F$110*Time!CD10/Inputs!$F$46</f>
        <v>2.47354623990521</v>
      </c>
      <c r="CE50" s="19" t="n">
        <f aca="false">CE49*Inputs!$F$110*Time!CE10/Inputs!$F$46</f>
        <v>1.85007309435985</v>
      </c>
      <c r="CF50" s="19" t="n">
        <f aca="false">CF49*Inputs!$F$110*Time!CF10/Inputs!$F$46</f>
        <v>1.20704019646907</v>
      </c>
      <c r="CG50" s="19" t="n">
        <f aca="false">CG49*Inputs!$F$110*Time!CG10/Inputs!$F$46</f>
        <v>0.630930725959695</v>
      </c>
      <c r="CH50" s="19" t="n">
        <f aca="false">CH49*Inputs!$F$110*Time!CH10/Inputs!$F$46</f>
        <v>2.81721312944683E-014</v>
      </c>
      <c r="CI50" s="19" t="n">
        <f aca="false">CI49*Inputs!$F$110*Time!CI10/Inputs!$F$46</f>
        <v>2.81721312944683E-014</v>
      </c>
      <c r="CJ50" s="19" t="n">
        <f aca="false">CJ49*Inputs!$F$110*Time!CJ10/Inputs!$F$46</f>
        <v>2.81721312944683E-014</v>
      </c>
      <c r="CK50" s="19" t="n">
        <f aca="false">CK49*Inputs!$F$110*Time!CK10/Inputs!$F$46</f>
        <v>2.81721312944683E-014</v>
      </c>
      <c r="CL50" s="19" t="n">
        <f aca="false">CL49*Inputs!$F$110*Time!CL10/Inputs!$F$46</f>
        <v>2.81721312944683E-014</v>
      </c>
      <c r="CM50" s="19" t="n">
        <f aca="false">CM49*Inputs!$F$110*Time!CM10/Inputs!$F$46</f>
        <v>2.81721312944683E-014</v>
      </c>
      <c r="CN50" s="19" t="n">
        <f aca="false">CN49*Inputs!$F$110*Time!CN10/Inputs!$F$46</f>
        <v>2.81721312944683E-014</v>
      </c>
      <c r="CO50" s="19" t="n">
        <f aca="false">CO49*Inputs!$F$110*Time!CO10/Inputs!$F$46</f>
        <v>2.81721312944683E-014</v>
      </c>
      <c r="CP50" s="19" t="n">
        <f aca="false">CP49*Inputs!$F$110*Time!CP10/Inputs!$F$46</f>
        <v>2.81721312944683E-014</v>
      </c>
      <c r="CQ50" s="19" t="n">
        <f aca="false">CQ49*Inputs!$F$110*Time!CQ10/Inputs!$F$46</f>
        <v>2.81721312944683E-014</v>
      </c>
      <c r="CR50" s="19" t="n">
        <f aca="false">CR49*Inputs!$F$110*Time!CR10/Inputs!$F$46</f>
        <v>2.81721312944683E-014</v>
      </c>
      <c r="CS50" s="19" t="n">
        <f aca="false">CS49*Inputs!$F$110*Time!CS10/Inputs!$F$46</f>
        <v>2.81721312944683E-014</v>
      </c>
      <c r="CT50" s="19" t="n">
        <f aca="false">CT49*Inputs!$F$110*Time!CT10/Inputs!$F$46</f>
        <v>2.81721312944683E-014</v>
      </c>
      <c r="CU50" s="19" t="n">
        <f aca="false">CU49*Inputs!$F$110*Time!CU10/Inputs!$F$46</f>
        <v>2.81721312944683E-014</v>
      </c>
      <c r="CV50" s="19" t="n">
        <f aca="false">CV49*Inputs!$F$110*Time!CV10/Inputs!$F$46</f>
        <v>2.81721312944683E-014</v>
      </c>
      <c r="CW50" s="19" t="n">
        <f aca="false">CW49*Inputs!$F$110*Time!CW10/Inputs!$F$46</f>
        <v>2.81721312944683E-014</v>
      </c>
      <c r="CX50" s="19" t="n">
        <f aca="false">CX49*Inputs!$F$110*Time!CX10/Inputs!$F$46</f>
        <v>2.81721312944683E-014</v>
      </c>
      <c r="CY50" s="19" t="n">
        <f aca="false">CY49*Inputs!$F$110*Time!CY10/Inputs!$F$46</f>
        <v>2.81721312944683E-014</v>
      </c>
      <c r="CZ50" s="19" t="n">
        <f aca="false">CZ49*Inputs!$F$110*Time!CZ10/Inputs!$F$46</f>
        <v>2.81721312944683E-014</v>
      </c>
      <c r="DA50" s="19" t="n">
        <f aca="false">DA49*Inputs!$F$110*Time!DA10/Inputs!$F$46</f>
        <v>2.81721312944683E-014</v>
      </c>
      <c r="DB50" s="19" t="n">
        <f aca="false">DB49*Inputs!$F$110*Time!DB10/Inputs!$F$46</f>
        <v>2.81721312944683E-014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566.175513757416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11.7652972077989</v>
      </c>
      <c r="AX51" s="19" t="n">
        <f aca="false">AX50*(1-Time!AX20)</f>
        <v>11.7410380897173</v>
      </c>
      <c r="AY51" s="19" t="n">
        <f aca="false">AY50*(1-Time!AY20)</f>
        <v>11.7123117450631</v>
      </c>
      <c r="AZ51" s="19" t="n">
        <f aca="false">AZ50*(1-Time!AZ20)</f>
        <v>11.6876670691315</v>
      </c>
      <c r="BA51" s="19" t="n">
        <f aca="false">BA50*(1-Time!BA20)</f>
        <v>11.6571197387725</v>
      </c>
      <c r="BB51" s="19" t="n">
        <f aca="false">BB50*(1-Time!BB20)</f>
        <v>11.6116163446361</v>
      </c>
      <c r="BC51" s="19" t="n">
        <f aca="false">BC50*(1-Time!BC20)</f>
        <v>11.5609757757233</v>
      </c>
      <c r="BD51" s="19" t="n">
        <f aca="false">BD50*(1-Time!BD20)</f>
        <v>11.4510080037305</v>
      </c>
      <c r="BE51" s="19" t="n">
        <f aca="false">BE50*(1-Time!BE20)</f>
        <v>11.3341592514382</v>
      </c>
      <c r="BF51" s="19" t="n">
        <f aca="false">BF50*(1-Time!BF20)</f>
        <v>11.1771525993363</v>
      </c>
      <c r="BG51" s="19" t="n">
        <f aca="false">BG50*(1-Time!BG20)</f>
        <v>11.012000689629</v>
      </c>
      <c r="BH51" s="19" t="n">
        <f aca="false">BH50*(1-Time!BH20)</f>
        <v>10.824660568701</v>
      </c>
      <c r="BI51" s="19" t="n">
        <f aca="false">BI50*(1-Time!BI20)</f>
        <v>10.6264775901527</v>
      </c>
      <c r="BJ51" s="19" t="n">
        <f aca="false">BJ50*(1-Time!BJ20)</f>
        <v>10.4055071803415</v>
      </c>
      <c r="BK51" s="19" t="n">
        <f aca="false">BK50*(1-Time!BK20)</f>
        <v>10.1746905684145</v>
      </c>
      <c r="BL51" s="19" t="n">
        <f aca="false">BL50*(1-Time!BL20)</f>
        <v>9.91717239901426</v>
      </c>
      <c r="BM51" s="19" t="n">
        <f aca="false">BM50*(1-Time!BM20)</f>
        <v>9.64885402879491</v>
      </c>
      <c r="BN51" s="19" t="n">
        <f aca="false">BN50*(1-Time!BN20)</f>
        <v>9.35182052313179</v>
      </c>
      <c r="BO51" s="19" t="n">
        <f aca="false">BO50*(1-Time!BO20)</f>
        <v>9.04298268371063</v>
      </c>
      <c r="BP51" s="19" t="n">
        <f aca="false">BP50*(1-Time!BP20)</f>
        <v>8.79625133333808</v>
      </c>
      <c r="BQ51" s="19" t="n">
        <f aca="false">BQ50*(1-Time!BQ20)</f>
        <v>8.53647302997038</v>
      </c>
      <c r="BR51" s="19" t="n">
        <f aca="false">BR50*(1-Time!BR20)</f>
        <v>8.24819471756871</v>
      </c>
      <c r="BS51" s="19" t="n">
        <f aca="false">BS50*(1-Time!BS20)</f>
        <v>7.95478156717665</v>
      </c>
      <c r="BT51" s="19" t="n">
        <f aca="false">BT50*(1-Time!BT20)</f>
        <v>7.6288008000051</v>
      </c>
      <c r="BU51" s="19" t="n">
        <f aca="false">BU50*(1-Time!BU20)</f>
        <v>7.29696562263566</v>
      </c>
      <c r="BV51" s="19" t="n">
        <f aca="false">BV50*(1-Time!BV20)</f>
        <v>6.8372817487106</v>
      </c>
      <c r="BW51" s="19" t="n">
        <f aca="false">BW50*(1-Time!BW20)</f>
        <v>6.36853369906894</v>
      </c>
      <c r="BX51" s="19" t="n">
        <f aca="false">BX50*(1-Time!BX20)</f>
        <v>5.86033253775897</v>
      </c>
      <c r="BY51" s="19" t="n">
        <f aca="false">BY50*(1-Time!BY20)</f>
        <v>5.33885467975249</v>
      </c>
      <c r="BZ51" s="19" t="n">
        <f aca="false">BZ50*(1-Time!BZ20)</f>
        <v>4.77860372528767</v>
      </c>
      <c r="CA51" s="19" t="n">
        <f aca="false">CA50*(1-Time!CA20)</f>
        <v>4.20738968819084</v>
      </c>
      <c r="CB51" s="19" t="n">
        <f aca="false">CB50*(1-Time!CB20)</f>
        <v>3.65167461648982</v>
      </c>
      <c r="CC51" s="19" t="n">
        <f aca="false">CC50*(1-Time!CC20)</f>
        <v>3.0855232702845</v>
      </c>
      <c r="CD51" s="19" t="n">
        <f aca="false">CD50*(1-Time!CD20)</f>
        <v>2.47354623990521</v>
      </c>
      <c r="CE51" s="19" t="n">
        <f aca="false">CE50*(1-Time!CE20)</f>
        <v>1.85007309435985</v>
      </c>
      <c r="CF51" s="19" t="n">
        <f aca="false">CF50*(1-Time!CF20)</f>
        <v>1.20704019646907</v>
      </c>
      <c r="CG51" s="19" t="n">
        <f aca="false">CG50*(1-Time!CG20)</f>
        <v>0.630930725959695</v>
      </c>
      <c r="CH51" s="19" t="n">
        <f aca="false">CH50*(1-Time!CH20)</f>
        <v>2.81721312944683E-014</v>
      </c>
      <c r="CI51" s="19" t="n">
        <f aca="false">CI50*(1-Time!CI20)</f>
        <v>2.81721312944683E-014</v>
      </c>
      <c r="CJ51" s="19" t="n">
        <f aca="false">CJ50*(1-Time!CJ20)</f>
        <v>2.81721312944683E-014</v>
      </c>
      <c r="CK51" s="19" t="n">
        <f aca="false">CK50*(1-Time!CK20)</f>
        <v>2.81721312944683E-014</v>
      </c>
      <c r="CL51" s="19" t="n">
        <f aca="false">CL50*(1-Time!CL20)</f>
        <v>2.81721312944683E-014</v>
      </c>
      <c r="CM51" s="19" t="n">
        <f aca="false">CM50*(1-Time!CM20)</f>
        <v>2.81721312944683E-014</v>
      </c>
      <c r="CN51" s="19" t="n">
        <f aca="false">CN50*(1-Time!CN20)</f>
        <v>2.81721312944683E-014</v>
      </c>
      <c r="CO51" s="19" t="n">
        <f aca="false">CO50*(1-Time!CO20)</f>
        <v>2.81721312944683E-014</v>
      </c>
      <c r="CP51" s="19" t="n">
        <f aca="false">CP50*(1-Time!CP20)</f>
        <v>2.81721312944683E-014</v>
      </c>
      <c r="CQ51" s="19" t="n">
        <f aca="false">CQ50*(1-Time!CQ20)</f>
        <v>2.81721312944683E-014</v>
      </c>
      <c r="CR51" s="19" t="n">
        <f aca="false">CR50*(1-Time!CR20)</f>
        <v>2.81721312944683E-014</v>
      </c>
      <c r="CS51" s="19" t="n">
        <f aca="false">CS50*(1-Time!CS20)</f>
        <v>2.81721312944683E-014</v>
      </c>
      <c r="CT51" s="19" t="n">
        <f aca="false">CT50*(1-Time!CT20)</f>
        <v>2.81721312944683E-014</v>
      </c>
      <c r="CU51" s="19" t="n">
        <f aca="false">CU50*(1-Time!CU20)</f>
        <v>2.81721312944683E-014</v>
      </c>
      <c r="CV51" s="19" t="n">
        <f aca="false">CV50*(1-Time!CV20)</f>
        <v>2.81721312944683E-014</v>
      </c>
      <c r="CW51" s="19" t="n">
        <f aca="false">CW50*(1-Time!CW20)</f>
        <v>2.81721312944683E-014</v>
      </c>
      <c r="CX51" s="19" t="n">
        <f aca="false">CX50*(1-Time!CX20)</f>
        <v>2.81721312944683E-014</v>
      </c>
      <c r="CY51" s="19" t="n">
        <f aca="false">CY50*(1-Time!CY20)</f>
        <v>2.81721312944683E-014</v>
      </c>
      <c r="CZ51" s="19" t="n">
        <f aca="false">CZ50*(1-Time!CZ20)</f>
        <v>2.81721312944683E-014</v>
      </c>
      <c r="DA51" s="19" t="n">
        <f aca="false">DA50*(1-Time!DA20)</f>
        <v>2.81721312944683E-014</v>
      </c>
      <c r="DB51" s="19" t="n">
        <f aca="false">DB50*(1-Time!DB20)</f>
        <v>2.81721312944683E-014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26.017761895244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485.166895166966</v>
      </c>
      <c r="AW53" s="19" t="n">
        <f aca="false">AW49-Waterfall!AW21-Waterfall!AW32</f>
        <v>484.1665191636</v>
      </c>
      <c r="AX53" s="19" t="n">
        <f aca="false">AX49-Waterfall!AX21-Waterfall!AX32</f>
        <v>482.981927631467</v>
      </c>
      <c r="AY53" s="19" t="n">
        <f aca="false">AY49-Waterfall!AY21-Waterfall!AY32</f>
        <v>481.965652335319</v>
      </c>
      <c r="AZ53" s="19" t="n">
        <f aca="false">AZ49-Waterfall!AZ21-Waterfall!AZ32</f>
        <v>480.705968609174</v>
      </c>
      <c r="BA53" s="19" t="n">
        <f aca="false">BA49-Waterfall!BA21-Waterfall!BA32</f>
        <v>478.829539984993</v>
      </c>
      <c r="BB53" s="19" t="n">
        <f aca="false">BB49-Waterfall!BB21-Waterfall!BB32</f>
        <v>476.741269101993</v>
      </c>
      <c r="BC53" s="19" t="n">
        <f aca="false">BC49-Waterfall!BC21-Waterfall!BC32</f>
        <v>472.206515617754</v>
      </c>
      <c r="BD53" s="19" t="n">
        <f aca="false">BD49-Waterfall!BD21-Waterfall!BD32</f>
        <v>467.388010368586</v>
      </c>
      <c r="BE53" s="19" t="n">
        <f aca="false">BE49-Waterfall!BE21-Waterfall!BE32</f>
        <v>460.91350925098</v>
      </c>
      <c r="BF53" s="19" t="n">
        <f aca="false">BF49-Waterfall!BF21-Waterfall!BF32</f>
        <v>454.103121221816</v>
      </c>
      <c r="BG53" s="19" t="n">
        <f aca="false">BG49-Waterfall!BG21-Waterfall!BG32</f>
        <v>446.377755410349</v>
      </c>
      <c r="BH53" s="19" t="n">
        <f aca="false">BH49-Waterfall!BH21-Waterfall!BH32</f>
        <v>438.205261449595</v>
      </c>
      <c r="BI53" s="19" t="n">
        <f aca="false">BI49-Waterfall!BI21-Waterfall!BI32</f>
        <v>429.093079601712</v>
      </c>
      <c r="BJ53" s="19" t="n">
        <f aca="false">BJ49-Waterfall!BJ21-Waterfall!BJ32</f>
        <v>419.574868800596</v>
      </c>
      <c r="BK53" s="19" t="n">
        <f aca="false">BK49-Waterfall!BK21-Waterfall!BK32</f>
        <v>408.955562845949</v>
      </c>
      <c r="BL53" s="19" t="n">
        <f aca="false">BL49-Waterfall!BL21-Waterfall!BL32</f>
        <v>397.890887785357</v>
      </c>
      <c r="BM53" s="19" t="n">
        <f aca="false">BM49-Waterfall!BM21-Waterfall!BM32</f>
        <v>385.642083428115</v>
      </c>
      <c r="BN53" s="19" t="n">
        <f aca="false">BN49-Waterfall!BN21-Waterfall!BN32</f>
        <v>372.906502421057</v>
      </c>
      <c r="BO53" s="19" t="n">
        <f aca="false">BO49-Waterfall!BO21-Waterfall!BO32</f>
        <v>362.7320137459</v>
      </c>
      <c r="BP53" s="19" t="n">
        <f aca="false">BP49-Waterfall!BP21-Waterfall!BP32</f>
        <v>352.019506390531</v>
      </c>
      <c r="BQ53" s="19" t="n">
        <f aca="false">BQ49-Waterfall!BQ21-Waterfall!BQ32</f>
        <v>340.131740930669</v>
      </c>
      <c r="BR53" s="19" t="n">
        <f aca="false">BR49-Waterfall!BR21-Waterfall!BR32</f>
        <v>328.032229574295</v>
      </c>
      <c r="BS53" s="19" t="n">
        <f aca="false">BS49-Waterfall!BS21-Waterfall!BS32</f>
        <v>314.589723711551</v>
      </c>
      <c r="BT53" s="19" t="n">
        <f aca="false">BT49-Waterfall!BT21-Waterfall!BT32</f>
        <v>300.905798871574</v>
      </c>
      <c r="BU53" s="19" t="n">
        <f aca="false">BU49-Waterfall!BU21-Waterfall!BU32</f>
        <v>281.949762833427</v>
      </c>
      <c r="BV53" s="19" t="n">
        <f aca="false">BV49-Waterfall!BV21-Waterfall!BV32</f>
        <v>262.619946353358</v>
      </c>
      <c r="BW53" s="19" t="n">
        <f aca="false">BW49-Waterfall!BW21-Waterfall!BW32</f>
        <v>241.66319743336</v>
      </c>
      <c r="BX53" s="19" t="n">
        <f aca="false">BX49-Waterfall!BX21-Waterfall!BX32</f>
        <v>220.158955866082</v>
      </c>
      <c r="BY53" s="19" t="n">
        <f aca="false">BY49-Waterfall!BY21-Waterfall!BY32</f>
        <v>197.055823723203</v>
      </c>
      <c r="BZ53" s="19" t="n">
        <f aca="false">BZ49-Waterfall!BZ21-Waterfall!BZ32</f>
        <v>173.500605698591</v>
      </c>
      <c r="CA53" s="19" t="n">
        <f aca="false">CA49-Waterfall!CA21-Waterfall!CA32</f>
        <v>150.584520267622</v>
      </c>
      <c r="CB53" s="19" t="n">
        <f aca="false">CB49-Waterfall!CB21-Waterfall!CB32</f>
        <v>127.238073001423</v>
      </c>
      <c r="CC53" s="19" t="n">
        <f aca="false">CC49-Waterfall!CC21-Waterfall!CC32</f>
        <v>102.001906800215</v>
      </c>
      <c r="CD53" s="19" t="n">
        <f aca="false">CD49-Waterfall!CD21-Waterfall!CD32</f>
        <v>76.2916739942204</v>
      </c>
      <c r="CE53" s="19" t="n">
        <f aca="false">CE49-Waterfall!CE21-Waterfall!CE32</f>
        <v>49.7748534626422</v>
      </c>
      <c r="CF53" s="19" t="n">
        <f aca="false">CF49-Waterfall!CF21-Waterfall!CF32</f>
        <v>26.0177618952451</v>
      </c>
      <c r="CG53" s="19" t="n">
        <f aca="false">CG49-Waterfall!CG21-Waterfall!CG32</f>
        <v>1.16173737296776E-012</v>
      </c>
      <c r="CH53" s="19" t="n">
        <f aca="false">CH49-Waterfall!CH21-Waterfall!CH32</f>
        <v>1.16173737296776E-012</v>
      </c>
      <c r="CI53" s="19" t="n">
        <f aca="false">CI49-Waterfall!CI21-Waterfall!CI32</f>
        <v>1.16173737296776E-012</v>
      </c>
      <c r="CJ53" s="19" t="n">
        <f aca="false">CJ49-Waterfall!CJ21-Waterfall!CJ32</f>
        <v>1.16173737296776E-012</v>
      </c>
      <c r="CK53" s="19" t="n">
        <f aca="false">CK49-Waterfall!CK21-Waterfall!CK32</f>
        <v>1.16173737296776E-012</v>
      </c>
      <c r="CL53" s="19" t="n">
        <f aca="false">CL49-Waterfall!CL21-Waterfall!CL32</f>
        <v>1.16173737296776E-012</v>
      </c>
      <c r="CM53" s="19" t="n">
        <f aca="false">CM49-Waterfall!CM21-Waterfall!CM32</f>
        <v>1.16173737296776E-012</v>
      </c>
      <c r="CN53" s="19" t="n">
        <f aca="false">CN49-Waterfall!CN21-Waterfall!CN32</f>
        <v>1.16173737296776E-012</v>
      </c>
      <c r="CO53" s="19" t="n">
        <f aca="false">CO49-Waterfall!CO21-Waterfall!CO32</f>
        <v>1.16173737296776E-012</v>
      </c>
      <c r="CP53" s="19" t="n">
        <f aca="false">CP49-Waterfall!CP21-Waterfall!CP32</f>
        <v>1.16173737296776E-012</v>
      </c>
      <c r="CQ53" s="19" t="n">
        <f aca="false">CQ49-Waterfall!CQ21-Waterfall!CQ32</f>
        <v>1.16173737296776E-012</v>
      </c>
      <c r="CR53" s="19" t="n">
        <f aca="false">CR49-Waterfall!CR21-Waterfall!CR32</f>
        <v>1.16173737296776E-012</v>
      </c>
      <c r="CS53" s="19" t="n">
        <f aca="false">CS49-Waterfall!CS21-Waterfall!CS32</f>
        <v>1.16173737296776E-012</v>
      </c>
      <c r="CT53" s="19" t="n">
        <f aca="false">CT49-Waterfall!CT21-Waterfall!CT32</f>
        <v>1.16173737296776E-012</v>
      </c>
      <c r="CU53" s="19" t="n">
        <f aca="false">CU49-Waterfall!CU21-Waterfall!CU32</f>
        <v>1.16173737296776E-012</v>
      </c>
      <c r="CV53" s="19" t="n">
        <f aca="false">CV49-Waterfall!CV21-Waterfall!CV32</f>
        <v>1.16173737296776E-012</v>
      </c>
      <c r="CW53" s="19" t="n">
        <f aca="false">CW49-Waterfall!CW21-Waterfall!CW32</f>
        <v>1.16173737296776E-012</v>
      </c>
      <c r="CX53" s="19" t="n">
        <f aca="false">CX49-Waterfall!CX21-Waterfall!CX32</f>
        <v>1.16173737296776E-012</v>
      </c>
      <c r="CY53" s="19" t="n">
        <f aca="false">CY49-Waterfall!CY21-Waterfall!CY32</f>
        <v>1.16173737296776E-012</v>
      </c>
      <c r="CZ53" s="19" t="n">
        <f aca="false">CZ49-Waterfall!CZ21-Waterfall!CZ32</f>
        <v>1.16173737296776E-012</v>
      </c>
      <c r="DA53" s="19" t="n">
        <f aca="false">DA49-Waterfall!DA21-Waterfall!DA32</f>
        <v>1.16173737296776E-012</v>
      </c>
      <c r="DB53" s="19" t="n">
        <f aca="false">DB49-Waterfall!DB21-Waterfall!DB32</f>
        <v>1.16173737296776E-012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485.166895166966</v>
      </c>
      <c r="AW54" s="19" t="n">
        <f aca="false">IF(Time!AW35=1,0,AW53)</f>
        <v>484.1665191636</v>
      </c>
      <c r="AX54" s="19" t="n">
        <f aca="false">IF(Time!AX35=1,0,AX53)</f>
        <v>482.981927631467</v>
      </c>
      <c r="AY54" s="19" t="n">
        <f aca="false">IF(Time!AY35=1,0,AY53)</f>
        <v>481.965652335319</v>
      </c>
      <c r="AZ54" s="19" t="n">
        <f aca="false">IF(Time!AZ35=1,0,AZ53)</f>
        <v>480.705968609174</v>
      </c>
      <c r="BA54" s="19" t="n">
        <f aca="false">IF(Time!BA35=1,0,BA53)</f>
        <v>478.829539984993</v>
      </c>
      <c r="BB54" s="19" t="n">
        <f aca="false">IF(Time!BB35=1,0,BB53)</f>
        <v>476.741269101993</v>
      </c>
      <c r="BC54" s="19" t="n">
        <f aca="false">IF(Time!BC35=1,0,BC53)</f>
        <v>472.206515617754</v>
      </c>
      <c r="BD54" s="19" t="n">
        <f aca="false">IF(Time!BD35=1,0,BD53)</f>
        <v>467.388010368586</v>
      </c>
      <c r="BE54" s="19" t="n">
        <f aca="false">IF(Time!BE35=1,0,BE53)</f>
        <v>460.91350925098</v>
      </c>
      <c r="BF54" s="19" t="n">
        <f aca="false">IF(Time!BF35=1,0,BF53)</f>
        <v>454.103121221816</v>
      </c>
      <c r="BG54" s="19" t="n">
        <f aca="false">IF(Time!BG35=1,0,BG53)</f>
        <v>446.377755410349</v>
      </c>
      <c r="BH54" s="19" t="n">
        <f aca="false">IF(Time!BH35=1,0,BH53)</f>
        <v>438.205261449595</v>
      </c>
      <c r="BI54" s="19" t="n">
        <f aca="false">IF(Time!BI35=1,0,BI53)</f>
        <v>429.093079601712</v>
      </c>
      <c r="BJ54" s="19" t="n">
        <f aca="false">IF(Time!BJ35=1,0,BJ53)</f>
        <v>419.574868800596</v>
      </c>
      <c r="BK54" s="19" t="n">
        <f aca="false">IF(Time!BK35=1,0,BK53)</f>
        <v>408.955562845949</v>
      </c>
      <c r="BL54" s="19" t="n">
        <f aca="false">IF(Time!BL35=1,0,BL53)</f>
        <v>397.890887785357</v>
      </c>
      <c r="BM54" s="19" t="n">
        <f aca="false">IF(Time!BM35=1,0,BM53)</f>
        <v>385.642083428115</v>
      </c>
      <c r="BN54" s="19" t="n">
        <f aca="false">IF(Time!BN35=1,0,BN53)</f>
        <v>372.906502421057</v>
      </c>
      <c r="BO54" s="19" t="n">
        <f aca="false">IF(Time!BO35=1,0,BO53)</f>
        <v>362.7320137459</v>
      </c>
      <c r="BP54" s="19" t="n">
        <f aca="false">IF(Time!BP35=1,0,BP53)</f>
        <v>352.019506390531</v>
      </c>
      <c r="BQ54" s="19" t="n">
        <f aca="false">IF(Time!BQ35=1,0,BQ53)</f>
        <v>340.131740930669</v>
      </c>
      <c r="BR54" s="19" t="n">
        <f aca="false">IF(Time!BR35=1,0,BR53)</f>
        <v>328.032229574295</v>
      </c>
      <c r="BS54" s="19" t="n">
        <f aca="false">IF(Time!BS35=1,0,BS53)</f>
        <v>314.589723711551</v>
      </c>
      <c r="BT54" s="19" t="n">
        <f aca="false">IF(Time!BT35=1,0,BT53)</f>
        <v>300.905798871574</v>
      </c>
      <c r="BU54" s="19" t="n">
        <f aca="false">IF(Time!BU35=1,0,BU53)</f>
        <v>281.949762833427</v>
      </c>
      <c r="BV54" s="19" t="n">
        <f aca="false">IF(Time!BV35=1,0,BV53)</f>
        <v>262.619946353358</v>
      </c>
      <c r="BW54" s="19" t="n">
        <f aca="false">IF(Time!BW35=1,0,BW53)</f>
        <v>241.66319743336</v>
      </c>
      <c r="BX54" s="19" t="n">
        <f aca="false">IF(Time!BX35=1,0,BX53)</f>
        <v>220.158955866082</v>
      </c>
      <c r="BY54" s="19" t="n">
        <f aca="false">IF(Time!BY35=1,0,BY53)</f>
        <v>197.055823723203</v>
      </c>
      <c r="BZ54" s="19" t="n">
        <f aca="false">IF(Time!BZ35=1,0,BZ53)</f>
        <v>173.500605698591</v>
      </c>
      <c r="CA54" s="19" t="n">
        <f aca="false">IF(Time!CA35=1,0,CA53)</f>
        <v>150.584520267622</v>
      </c>
      <c r="CB54" s="19" t="n">
        <f aca="false">IF(Time!CB35=1,0,CB53)</f>
        <v>127.238073001423</v>
      </c>
      <c r="CC54" s="19" t="n">
        <f aca="false">IF(Time!CC35=1,0,CC53)</f>
        <v>102.001906800215</v>
      </c>
      <c r="CD54" s="19" t="n">
        <f aca="false">IF(Time!CD35=1,0,CD53)</f>
        <v>76.2916739942204</v>
      </c>
      <c r="CE54" s="19" t="n">
        <f aca="false">IF(Time!CE35=1,0,CE53)</f>
        <v>49.7748534626422</v>
      </c>
      <c r="CF54" s="19" t="n">
        <f aca="false">IF(Time!CF35=1,0,CF53)</f>
        <v>26.0177618952451</v>
      </c>
      <c r="CG54" s="19" t="n">
        <f aca="false">IF(Time!CG35=1,0,CG53)</f>
        <v>1.16173737296776E-012</v>
      </c>
      <c r="CH54" s="19" t="n">
        <f aca="false">IF(Time!CH35=1,0,CH53)</f>
        <v>1.16173737296776E-012</v>
      </c>
      <c r="CI54" s="19" t="n">
        <f aca="false">IF(Time!CI35=1,0,CI53)</f>
        <v>1.16173737296776E-012</v>
      </c>
      <c r="CJ54" s="19" t="n">
        <f aca="false">IF(Time!CJ35=1,0,CJ53)</f>
        <v>1.16173737296776E-012</v>
      </c>
      <c r="CK54" s="19" t="n">
        <f aca="false">IF(Time!CK35=1,0,CK53)</f>
        <v>1.16173737296776E-012</v>
      </c>
      <c r="CL54" s="19" t="n">
        <f aca="false">IF(Time!CL35=1,0,CL53)</f>
        <v>1.16173737296776E-012</v>
      </c>
      <c r="CM54" s="19" t="n">
        <f aca="false">IF(Time!CM35=1,0,CM53)</f>
        <v>1.16173737296776E-012</v>
      </c>
      <c r="CN54" s="19" t="n">
        <f aca="false">IF(Time!CN35=1,0,CN53)</f>
        <v>1.16173737296776E-012</v>
      </c>
      <c r="CO54" s="19" t="n">
        <f aca="false">IF(Time!CO35=1,0,CO53)</f>
        <v>1.16173737296776E-012</v>
      </c>
      <c r="CP54" s="19" t="n">
        <f aca="false">IF(Time!CP35=1,0,CP53)</f>
        <v>1.16173737296776E-012</v>
      </c>
      <c r="CQ54" s="19" t="n">
        <f aca="false">IF(Time!CQ35=1,0,CQ53)</f>
        <v>1.16173737296776E-012</v>
      </c>
      <c r="CR54" s="19" t="n">
        <f aca="false">IF(Time!CR35=1,0,CR53)</f>
        <v>1.16173737296776E-012</v>
      </c>
      <c r="CS54" s="19" t="n">
        <f aca="false">IF(Time!CS35=1,0,CS53)</f>
        <v>1.16173737296776E-012</v>
      </c>
      <c r="CT54" s="19" t="n">
        <f aca="false">IF(Time!CT35=1,0,CT53)</f>
        <v>1.16173737296776E-012</v>
      </c>
      <c r="CU54" s="19" t="n">
        <f aca="false">IF(Time!CU35=1,0,CU53)</f>
        <v>1.16173737296776E-012</v>
      </c>
      <c r="CV54" s="19" t="n">
        <f aca="false">IF(Time!CV35=1,0,CV53)</f>
        <v>1.16173737296776E-012</v>
      </c>
      <c r="CW54" s="19" t="n">
        <f aca="false">IF(Time!CW35=1,0,CW53)</f>
        <v>1.16173737296776E-012</v>
      </c>
      <c r="CX54" s="19" t="n">
        <f aca="false">IF(Time!CX35=1,0,CX53)</f>
        <v>1.16173737296776E-012</v>
      </c>
      <c r="CY54" s="19" t="n">
        <f aca="false">IF(Time!CY35=1,0,CY53)</f>
        <v>1.16173737296776E-012</v>
      </c>
      <c r="CZ54" s="19" t="n">
        <f aca="false">IF(Time!CZ35=1,0,CZ53)</f>
        <v>1.16173737296776E-012</v>
      </c>
      <c r="DA54" s="19" t="n">
        <f aca="false">IF(Time!DA35=1,0,DA53)</f>
        <v>1.16173737296776E-012</v>
      </c>
      <c r="DB54" s="19" t="n">
        <f aca="false">IF(Time!DB35=1,0,DB53)</f>
        <v>1.16173737296776E-012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2.69460679036244E-014</v>
      </c>
      <c r="CT56" s="19" t="n">
        <f aca="false">CS60</f>
        <v>5.43387557172537E-014</v>
      </c>
      <c r="CU56" s="19" t="n">
        <f aca="false">CT60</f>
        <v>8.12848236208781E-014</v>
      </c>
      <c r="CV56" s="19" t="n">
        <f aca="false">CU60</f>
        <v>1.08677511434507E-013</v>
      </c>
      <c r="CW56" s="19" t="n">
        <f aca="false">CV60</f>
        <v>1.35772452641467E-013</v>
      </c>
      <c r="CX56" s="19" t="n">
        <f aca="false">CW60</f>
        <v>1.63165140455096E-013</v>
      </c>
      <c r="CY56" s="19" t="n">
        <f aca="false">CX60</f>
        <v>1.9011120835872E-013</v>
      </c>
      <c r="CZ56" s="19" t="n">
        <f aca="false">CY60</f>
        <v>2.1750389617235E-013</v>
      </c>
      <c r="DA56" s="19" t="n">
        <f aca="false">CZ60</f>
        <v>2.44449964075974E-013</v>
      </c>
      <c r="DB56" s="19" t="n">
        <f aca="false">DA60</f>
        <v>2.71842651889603E-013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2.81721312944683E-014</v>
      </c>
      <c r="CT57" s="19" t="n">
        <f aca="false">CS61</f>
        <v>5.63442625889365E-014</v>
      </c>
      <c r="CU57" s="19" t="n">
        <f aca="false">CT61</f>
        <v>8.45163938834048E-014</v>
      </c>
      <c r="CV57" s="19" t="n">
        <f aca="false">CU61</f>
        <v>1.12688525177873E-013</v>
      </c>
      <c r="CW57" s="19" t="n">
        <f aca="false">CV61</f>
        <v>1.40860656472341E-013</v>
      </c>
      <c r="CX57" s="19" t="n">
        <f aca="false">CW61</f>
        <v>1.6903278776681E-013</v>
      </c>
      <c r="CY57" s="19" t="n">
        <f aca="false">CX61</f>
        <v>1.97204919061278E-013</v>
      </c>
      <c r="CZ57" s="19" t="n">
        <f aca="false">CY61</f>
        <v>2.25377050355746E-013</v>
      </c>
      <c r="DA57" s="19" t="n">
        <f aca="false">CZ61</f>
        <v>2.53549181650214E-013</v>
      </c>
      <c r="DB57" s="19" t="n">
        <f aca="false">DA61</f>
        <v>2.81721312944683E-013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2.69460679036244E-014</v>
      </c>
      <c r="CS58" s="19" t="n">
        <f aca="false">(CS56+CS44-Waterfall!CS16*Waterfall!CS18)*(1-Time!CS20)</f>
        <v>5.43387557172537E-014</v>
      </c>
      <c r="CT58" s="19" t="n">
        <f aca="false">(CT56+CT44-Waterfall!CT16*Waterfall!CT18)*(1-Time!CT20)</f>
        <v>8.12848236208781E-014</v>
      </c>
      <c r="CU58" s="19" t="n">
        <f aca="false">(CU56+CU44-Waterfall!CU16*Waterfall!CU18)*(1-Time!CU20)</f>
        <v>1.08677511434507E-013</v>
      </c>
      <c r="CV58" s="19" t="n">
        <f aca="false">(CV56+CV44-Waterfall!CV16*Waterfall!CV18)*(1-Time!CV20)</f>
        <v>1.35772452641467E-013</v>
      </c>
      <c r="CW58" s="19" t="n">
        <f aca="false">(CW56+CW44-Waterfall!CW16*Waterfall!CW18)*(1-Time!CW20)</f>
        <v>1.63165140455096E-013</v>
      </c>
      <c r="CX58" s="19" t="n">
        <f aca="false">(CX56+CX44-Waterfall!CX16*Waterfall!CX18)*(1-Time!CX20)</f>
        <v>1.9011120835872E-013</v>
      </c>
      <c r="CY58" s="19" t="n">
        <f aca="false">(CY56+CY44-Waterfall!CY16*Waterfall!CY18)*(1-Time!CY20)</f>
        <v>2.1750389617235E-013</v>
      </c>
      <c r="CZ58" s="19" t="n">
        <f aca="false">(CZ56+CZ44-Waterfall!CZ16*Waterfall!CZ18)*(1-Time!CZ20)</f>
        <v>2.44449964075974E-013</v>
      </c>
      <c r="DA58" s="19" t="n">
        <f aca="false">(DA56+DA44-Waterfall!DA16*Waterfall!DA18)*(1-Time!DA20)</f>
        <v>2.71842651889603E-013</v>
      </c>
      <c r="DB58" s="19" t="n">
        <f aca="false">(DB56+DB44-Waterfall!DB16*Waterfall!DB18)*(1-Time!DB20)</f>
        <v>2.98788719793228E-013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2.81721312944683E-014</v>
      </c>
      <c r="CS59" s="19" t="n">
        <f aca="false">(CS57+CS51-Waterfall!CS16*Waterfall!CS19)*(1-Time!CS20)</f>
        <v>5.63442625889365E-014</v>
      </c>
      <c r="CT59" s="19" t="n">
        <f aca="false">(CT57+CT51-Waterfall!CT16*Waterfall!CT19)*(1-Time!CT20)</f>
        <v>8.45163938834048E-014</v>
      </c>
      <c r="CU59" s="19" t="n">
        <f aca="false">(CU57+CU51-Waterfall!CU16*Waterfall!CU19)*(1-Time!CU20)</f>
        <v>1.12688525177873E-013</v>
      </c>
      <c r="CV59" s="19" t="n">
        <f aca="false">(CV57+CV51-Waterfall!CV16*Waterfall!CV19)*(1-Time!CV20)</f>
        <v>1.40860656472341E-013</v>
      </c>
      <c r="CW59" s="19" t="n">
        <f aca="false">(CW57+CW51-Waterfall!CW16*Waterfall!CW19)*(1-Time!CW20)</f>
        <v>1.6903278776681E-013</v>
      </c>
      <c r="CX59" s="19" t="n">
        <f aca="false">(CX57+CX51-Waterfall!CX16*Waterfall!CX19)*(1-Time!CX20)</f>
        <v>1.97204919061278E-013</v>
      </c>
      <c r="CY59" s="19" t="n">
        <f aca="false">(CY57+CY51-Waterfall!CY16*Waterfall!CY19)*(1-Time!CY20)</f>
        <v>2.25377050355746E-013</v>
      </c>
      <c r="CZ59" s="19" t="n">
        <f aca="false">(CZ57+CZ51-Waterfall!CZ16*Waterfall!CZ19)*(1-Time!CZ20)</f>
        <v>2.53549181650214E-013</v>
      </c>
      <c r="DA59" s="19" t="n">
        <f aca="false">(DA57+DA51-Waterfall!DA16*Waterfall!DA19)*(1-Time!DA20)</f>
        <v>2.81721312944683E-013</v>
      </c>
      <c r="DB59" s="19" t="n">
        <f aca="false">(DB57+DB51-Waterfall!DB16*Waterfall!DB19)*(1-Time!DB20)</f>
        <v>3.09893444239151E-013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2.69460679036244E-014</v>
      </c>
      <c r="CS60" s="19" t="n">
        <f aca="false">IF(Time!CS35=1,0,CS58)</f>
        <v>5.43387557172537E-014</v>
      </c>
      <c r="CT60" s="19" t="n">
        <f aca="false">IF(Time!CT35=1,0,CT58)</f>
        <v>8.12848236208781E-014</v>
      </c>
      <c r="CU60" s="19" t="n">
        <f aca="false">IF(Time!CU35=1,0,CU58)</f>
        <v>1.08677511434507E-013</v>
      </c>
      <c r="CV60" s="19" t="n">
        <f aca="false">IF(Time!CV35=1,0,CV58)</f>
        <v>1.35772452641467E-013</v>
      </c>
      <c r="CW60" s="19" t="n">
        <f aca="false">IF(Time!CW35=1,0,CW58)</f>
        <v>1.63165140455096E-013</v>
      </c>
      <c r="CX60" s="19" t="n">
        <f aca="false">IF(Time!CX35=1,0,CX58)</f>
        <v>1.9011120835872E-013</v>
      </c>
      <c r="CY60" s="19" t="n">
        <f aca="false">IF(Time!CY35=1,0,CY58)</f>
        <v>2.1750389617235E-013</v>
      </c>
      <c r="CZ60" s="19" t="n">
        <f aca="false">IF(Time!CZ35=1,0,CZ58)</f>
        <v>2.44449964075974E-013</v>
      </c>
      <c r="DA60" s="19" t="n">
        <f aca="false">IF(Time!DA35=1,0,DA58)</f>
        <v>2.71842651889603E-013</v>
      </c>
      <c r="DB60" s="19" t="n">
        <f aca="false">IF(Time!DB35=1,0,DB58)</f>
        <v>2.98788719793228E-013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2.81721312944683E-014</v>
      </c>
      <c r="CS61" s="19" t="n">
        <f aca="false">IF(Time!CS35=1,0,CS59)</f>
        <v>5.63442625889365E-014</v>
      </c>
      <c r="CT61" s="19" t="n">
        <f aca="false">IF(Time!CT35=1,0,CT59)</f>
        <v>8.45163938834048E-014</v>
      </c>
      <c r="CU61" s="19" t="n">
        <f aca="false">IF(Time!CU35=1,0,CU59)</f>
        <v>1.12688525177873E-013</v>
      </c>
      <c r="CV61" s="19" t="n">
        <f aca="false">IF(Time!CV35=1,0,CV59)</f>
        <v>1.40860656472341E-013</v>
      </c>
      <c r="CW61" s="19" t="n">
        <f aca="false">IF(Time!CW35=1,0,CW59)</f>
        <v>1.6903278776681E-013</v>
      </c>
      <c r="CX61" s="19" t="n">
        <f aca="false">IF(Time!CX35=1,0,CX59)</f>
        <v>1.97204919061278E-013</v>
      </c>
      <c r="CY61" s="19" t="n">
        <f aca="false">IF(Time!CY35=1,0,CY59)</f>
        <v>2.25377050355746E-013</v>
      </c>
      <c r="CZ61" s="19" t="n">
        <f aca="false">IF(Time!CZ35=1,0,CZ59)</f>
        <v>2.53549181650214E-013</v>
      </c>
      <c r="DA61" s="19" t="n">
        <f aca="false">IF(Time!DA35=1,0,DA59)</f>
        <v>2.81721312944683E-013</v>
      </c>
      <c r="DB61" s="19" t="n">
        <f aca="false">IF(Time!DB35=1,0,DB59)</f>
        <v>3.09893444239151E-013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1117.75048922014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23.2315249742047</v>
      </c>
      <c r="AX64" s="19" t="n">
        <f aca="false">AX44+AX51+AX63</f>
        <v>22.9970595048638</v>
      </c>
      <c r="AY64" s="19" t="n">
        <f aca="false">AY44+AY51+AY63</f>
        <v>23.1269009193188</v>
      </c>
      <c r="AZ64" s="19" t="n">
        <f aca="false">AZ44+AZ51+AZ63</f>
        <v>22.954427471995</v>
      </c>
      <c r="BA64" s="19" t="n">
        <f aca="false">BA44+BA51+BA63</f>
        <v>23.0179198668328</v>
      </c>
      <c r="BB64" s="19" t="n">
        <f aca="false">BB44+BB51+BB63</f>
        <v>22.7435623651634</v>
      </c>
      <c r="BC64" s="19" t="n">
        <f aca="false">BC44+BC51+BC63</f>
        <v>22.8280758842078</v>
      </c>
      <c r="BD64" s="19" t="n">
        <f aca="false">BD44+BD51+BD63</f>
        <v>22.4289803371895</v>
      </c>
      <c r="BE64" s="19" t="n">
        <f aca="false">BE44+BE51+BE63</f>
        <v>22.380208426597</v>
      </c>
      <c r="BF64" s="19" t="n">
        <f aca="false">BF44+BF51+BF63</f>
        <v>21.8925823643306</v>
      </c>
      <c r="BG64" s="19" t="n">
        <f aca="false">BG44+BG51+BG63</f>
        <v>21.7815397189544</v>
      </c>
      <c r="BH64" s="19" t="n">
        <f aca="false">BH44+BH51+BH63</f>
        <v>21.2959155857181</v>
      </c>
      <c r="BI64" s="19" t="n">
        <f aca="false">BI44+BI51+BI63</f>
        <v>21.0189819476198</v>
      </c>
      <c r="BJ64" s="19" t="n">
        <f aca="false">BJ44+BJ51+BJ63</f>
        <v>20.4159868898293</v>
      </c>
      <c r="BK64" s="19" t="n">
        <f aca="false">BK44+BK51+BK63</f>
        <v>20.1253553273666</v>
      </c>
      <c r="BL64" s="19" t="n">
        <f aca="false">BL44+BL51+BL63</f>
        <v>19.4578561307385</v>
      </c>
      <c r="BM64" s="19" t="n">
        <f aca="false">BM44+BM51+BM63</f>
        <v>19.0852600897966</v>
      </c>
      <c r="BN64" s="19" t="n">
        <f aca="false">BN44+BN51+BN63</f>
        <v>18.3486150061961</v>
      </c>
      <c r="BO64" s="19" t="n">
        <f aca="false">BO44+BO51+BO63</f>
        <v>17.8868574434947</v>
      </c>
      <c r="BP64" s="19" t="n">
        <f aca="false">BP44+BP51+BP63</f>
        <v>17.3053210007497</v>
      </c>
      <c r="BQ64" s="19" t="n">
        <f aca="false">BQ44+BQ51+BQ63</f>
        <v>16.8849904393119</v>
      </c>
      <c r="BR64" s="19" t="n">
        <f aca="false">BR44+BR51+BR63</f>
        <v>16.1832606811113</v>
      </c>
      <c r="BS64" s="19" t="n">
        <f aca="false">BS44+BS51+BS63</f>
        <v>15.7344151661964</v>
      </c>
      <c r="BT64" s="19" t="n">
        <f aca="false">BT44+BT51+BT63</f>
        <v>14.9679870878636</v>
      </c>
      <c r="BU64" s="19" t="n">
        <f aca="false">BU44+BU51+BU63</f>
        <v>14.4332670344791</v>
      </c>
      <c r="BV64" s="19" t="n">
        <f aca="false">BV44+BV51+BV63</f>
        <v>13.4149976665686</v>
      </c>
      <c r="BW64" s="19" t="n">
        <f aca="false">BW44+BW51+BW63</f>
        <v>12.5968453533072</v>
      </c>
      <c r="BX64" s="19" t="n">
        <f aca="false">BX44+BX51+BX63</f>
        <v>11.5293358379485</v>
      </c>
      <c r="BY64" s="19" t="n">
        <f aca="false">BY44+BY51+BY63</f>
        <v>10.5601587339414</v>
      </c>
      <c r="BZ64" s="19" t="n">
        <f aca="false">BZ44+BZ51+BZ63</f>
        <v>9.3757958469796</v>
      </c>
      <c r="CA64" s="19" t="n">
        <f aca="false">CA44+CA51+CA63</f>
        <v>8.32214128834522</v>
      </c>
      <c r="CB64" s="19" t="n">
        <f aca="false">CB44+CB51+CB63</f>
        <v>7.16471958589641</v>
      </c>
      <c r="CC64" s="19" t="n">
        <f aca="false">CC44+CC51+CC63</f>
        <v>6.10310964916258</v>
      </c>
      <c r="CD64" s="19" t="n">
        <f aca="false">CD44+CD51+CD63</f>
        <v>4.85318848279665</v>
      </c>
      <c r="CE64" s="19" t="n">
        <f aca="false">CE44+CE51+CE63</f>
        <v>3.65941137523897</v>
      </c>
      <c r="CF64" s="19" t="n">
        <f aca="false">CF44+CF51+CF63</f>
        <v>2.3746727178586</v>
      </c>
      <c r="CG64" s="19" t="n">
        <f aca="false">CG44+CG51+CG63</f>
        <v>1.24796965190371</v>
      </c>
      <c r="CH64" s="19" t="n">
        <f aca="false">CH44+CH51+CH63</f>
        <v>5.51181991980927E-014</v>
      </c>
      <c r="CI64" s="19" t="n">
        <f aca="false">CI44+CI51+CI63</f>
        <v>5.55648191080975E-014</v>
      </c>
      <c r="CJ64" s="19" t="n">
        <f aca="false">CJ44+CJ51+CJ63</f>
        <v>5.51181991980927E-014</v>
      </c>
      <c r="CK64" s="19" t="n">
        <f aca="false">CK44+CK51+CK63</f>
        <v>5.55648191080975E-014</v>
      </c>
      <c r="CL64" s="19" t="n">
        <f aca="false">CL44+CL51+CL63</f>
        <v>5.51181991980927E-014</v>
      </c>
      <c r="CM64" s="19" t="n">
        <f aca="false">CM44+CM51+CM63</f>
        <v>5.55648191080975E-014</v>
      </c>
      <c r="CN64" s="19" t="n">
        <f aca="false">CN44+CN51+CN63</f>
        <v>5.52670725014276E-014</v>
      </c>
      <c r="CO64" s="19" t="n">
        <f aca="false">CO44+CO51+CO63</f>
        <v>5.55648191080975E-014</v>
      </c>
      <c r="CP64" s="19" t="n">
        <f aca="false">CP44+CP51+CP63</f>
        <v>5.51181991980927E-014</v>
      </c>
      <c r="CQ64" s="19" t="n">
        <f aca="false">CQ44+CQ51+CQ63</f>
        <v>5.55648191080975E-014</v>
      </c>
      <c r="CR64" s="19" t="n">
        <f aca="false">CR44+CR51+CR63</f>
        <v>5.51181991980927E-014</v>
      </c>
      <c r="CS64" s="19" t="n">
        <f aca="false">CS44+CS51+CS63</f>
        <v>5.55648191080975E-014</v>
      </c>
      <c r="CT64" s="19" t="n">
        <f aca="false">CT44+CT51+CT63</f>
        <v>5.51181991980927E-014</v>
      </c>
      <c r="CU64" s="19" t="n">
        <f aca="false">CU44+CU51+CU63</f>
        <v>5.55648191080975E-014</v>
      </c>
      <c r="CV64" s="19" t="n">
        <f aca="false">CV44+CV51+CV63</f>
        <v>5.52670725014276E-014</v>
      </c>
      <c r="CW64" s="19" t="n">
        <f aca="false">CW44+CW51+CW63</f>
        <v>5.55648191080975E-014</v>
      </c>
      <c r="CX64" s="19" t="n">
        <f aca="false">CX44+CX51+CX63</f>
        <v>5.51181991980927E-014</v>
      </c>
      <c r="CY64" s="19" t="n">
        <f aca="false">CY44+CY51+CY63</f>
        <v>5.55648191080975E-014</v>
      </c>
      <c r="CZ64" s="19" t="n">
        <f aca="false">CZ44+CZ51+CZ63</f>
        <v>5.51181991980927E-014</v>
      </c>
      <c r="DA64" s="19" t="n">
        <f aca="false">DA44+DA51+DA63</f>
        <v>5.55648191080975E-014</v>
      </c>
      <c r="DB64" s="19" t="n">
        <f aca="false">DB44+DB51+DB63</f>
        <v>5.51181991980927E-014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4.96198220069813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882.130169012998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47.3050216277163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1979.65473178727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23.0533401819306</v>
      </c>
      <c r="AW68" s="19" t="n">
        <f aca="false">AW64+(Inputs!$F$96+Inputs!$F$97)*AW40*(1-Time!AW23)*(1-Time!AW20)+AW66-AW39</f>
        <v>25.0503904348706</v>
      </c>
      <c r="AX68" s="19" t="n">
        <f aca="false">AX64+(Inputs!$F$96+Inputs!$F$97)*AX40*(1-Time!AX23)*(1-Time!AX20)+AX66-AX39</f>
        <v>25.1508622905596</v>
      </c>
      <c r="AY68" s="19" t="n">
        <f aca="false">AY64+(Inputs!$F$96+Inputs!$F$97)*AY40*(1-Time!AY23)*(1-Time!AY20)+AY66-AY39</f>
        <v>24.9746741850431</v>
      </c>
      <c r="AZ68" s="19" t="n">
        <f aca="false">AZ64+(Inputs!$F$96+Inputs!$F$97)*AZ40*(1-Time!AZ23)*(1-Time!AZ20)+AZ66-AZ39</f>
        <v>25.2447615195311</v>
      </c>
      <c r="BA68" s="19" t="n">
        <f aca="false">BA64+(Inputs!$F$96+Inputs!$F$97)*BA40*(1-Time!BA23)*(1-Time!BA20)+BA66-BA39</f>
        <v>26.4296082744351</v>
      </c>
      <c r="BB68" s="19" t="n">
        <f aca="false">BB64+(Inputs!$F$96+Inputs!$F$97)*BB40*(1-Time!BB23)*(1-Time!BB20)+BB66-BB39</f>
        <v>26.5404185160733</v>
      </c>
      <c r="BC68" s="19" t="n">
        <f aca="false">BC64+(Inputs!$F$96+Inputs!$F$97)*BC40*(1-Time!BC23)*(1-Time!BC20)+BC66-BC39</f>
        <v>31.0730822191862</v>
      </c>
      <c r="BD68" s="19" t="n">
        <f aca="false">BD64+(Inputs!$F$96+Inputs!$F$97)*BD40*(1-Time!BD23)*(1-Time!BD20)+BD66-BD39</f>
        <v>31.1898989720418</v>
      </c>
      <c r="BE68" s="19" t="n">
        <f aca="false">BE64+(Inputs!$F$96+Inputs!$F$97)*BE40*(1-Time!BE23)*(1-Time!BE20)+BE66-BE39</f>
        <v>34.1520286404255</v>
      </c>
      <c r="BF68" s="19" t="n">
        <f aca="false">BF64+(Inputs!$F$96+Inputs!$F$97)*BF40*(1-Time!BF23)*(1-Time!BF20)+BF66-BF39</f>
        <v>34.2751060537201</v>
      </c>
      <c r="BG68" s="19" t="n">
        <f aca="false">BG64+(Inputs!$F$96+Inputs!$F$97)*BG40*(1-Time!BG23)*(1-Time!BG20)+BG66-BG39</f>
        <v>35.827659376166</v>
      </c>
      <c r="BH68" s="19" t="n">
        <f aca="false">BH64+(Inputs!$F$96+Inputs!$F$97)*BH40*(1-Time!BH23)*(1-Time!BH20)+BH66-BH39</f>
        <v>36.1549955143621</v>
      </c>
      <c r="BI68" s="19" t="n">
        <f aca="false">BI64+(Inputs!$F$96+Inputs!$F$97)*BI40*(1-Time!BI23)*(1-Time!BI20)+BI66-BI39</f>
        <v>37.5865853074074</v>
      </c>
      <c r="BJ68" s="19" t="n">
        <f aca="false">BJ64+(Inputs!$F$96+Inputs!$F$97)*BJ40*(1-Time!BJ23)*(1-Time!BJ20)+BJ66-BJ39</f>
        <v>37.7218247100396</v>
      </c>
      <c r="BK68" s="19" t="n">
        <f aca="false">BK64+(Inputs!$F$96+Inputs!$F$97)*BK40*(1-Time!BK23)*(1-Time!BK20)+BK66-BK39</f>
        <v>39.4331843358165</v>
      </c>
      <c r="BL68" s="19" t="n">
        <f aca="false">BL64+(Inputs!$F$96+Inputs!$F$97)*BL40*(1-Time!BL23)*(1-Time!BL20)+BL66-BL39</f>
        <v>39.5754471499961</v>
      </c>
      <c r="BM68" s="19" t="n">
        <f aca="false">BM64+(Inputs!$F$96+Inputs!$F$97)*BM40*(1-Time!BM23)*(1-Time!BM20)+BM66-BM39</f>
        <v>41.3558134666003</v>
      </c>
      <c r="BN68" s="19" t="n">
        <f aca="false">BN64+(Inputs!$F$96+Inputs!$F$97)*BN40*(1-Time!BN23)*(1-Time!BN20)+BN66-BN39</f>
        <v>41.5042168372112</v>
      </c>
      <c r="BO68" s="19" t="n">
        <f aca="false">BO64+(Inputs!$F$96+Inputs!$F$97)*BO40*(1-Time!BO23)*(1-Time!BO20)+BO66-BO39</f>
        <v>36.3859277619612</v>
      </c>
      <c r="BP68" s="19" t="n">
        <f aca="false">BP64+(Inputs!$F$96+Inputs!$F$97)*BP40*(1-Time!BP23)*(1-Time!BP20)+BP66-BP39</f>
        <v>36.782607101421</v>
      </c>
      <c r="BQ68" s="19" t="n">
        <f aca="false">BQ64+(Inputs!$F$96+Inputs!$F$97)*BQ40*(1-Time!BQ23)*(1-Time!BQ20)+BQ66-BQ39</f>
        <v>38.4991094572439</v>
      </c>
      <c r="BR68" s="19" t="n">
        <f aca="false">BR64+(Inputs!$F$96+Inputs!$F$97)*BR40*(1-Time!BR23)*(1-Time!BR20)+BR66-BR39</f>
        <v>38.182372238154</v>
      </c>
      <c r="BS68" s="19" t="n">
        <f aca="false">BS64+(Inputs!$F$96+Inputs!$F$97)*BS40*(1-Time!BS23)*(1-Time!BS20)+BS66-BS39</f>
        <v>40.1753349166406</v>
      </c>
      <c r="BT68" s="19" t="n">
        <f aca="false">BT64+(Inputs!$F$96+Inputs!$F$97)*BT40*(1-Time!BT23)*(1-Time!BT20)+BT66-BT39</f>
        <v>39.8478504332762</v>
      </c>
      <c r="BU68" s="19" t="n">
        <f aca="false">BU64+(Inputs!$F$96+Inputs!$F$97)*BU40*(1-Time!BU23)*(1-Time!BU20)+BU66-BU39</f>
        <v>48.8987871038368</v>
      </c>
      <c r="BV68" s="19" t="n">
        <f aca="false">BV64+(Inputs!$F$96+Inputs!$F$97)*BV40*(1-Time!BV23)*(1-Time!BV20)+BV66-BV39</f>
        <v>48.5601185394209</v>
      </c>
      <c r="BW68" s="19" t="n">
        <f aca="false">BW64+(Inputs!$F$96+Inputs!$F$97)*BW40*(1-Time!BW23)*(1-Time!BW20)+BW66-BW39</f>
        <v>50.7000252078501</v>
      </c>
      <c r="BX68" s="19" t="n">
        <f aca="false">BX64+(Inputs!$F$96+Inputs!$F$97)*BX40*(1-Time!BX23)*(1-Time!BX20)+BX66-BX39</f>
        <v>50.6279568693624</v>
      </c>
      <c r="BY68" s="19" t="n">
        <f aca="false">BY64+(Inputs!$F$96+Inputs!$F$97)*BY40*(1-Time!BY23)*(1-Time!BY20)+BY66-BY39</f>
        <v>52.5658535391762</v>
      </c>
      <c r="BZ68" s="19" t="n">
        <f aca="false">BZ64+(Inputs!$F$96+Inputs!$F$97)*BZ40*(1-Time!BZ23)*(1-Time!BZ20)+BZ66-BZ39</f>
        <v>52.2034649826372</v>
      </c>
      <c r="CA68" s="19" t="n">
        <f aca="false">CA64+(Inputs!$F$96+Inputs!$F$97)*CA40*(1-Time!CA23)*(1-Time!CA20)+CA66-CA39</f>
        <v>49.9877511628354</v>
      </c>
      <c r="CB68" s="19" t="n">
        <f aca="false">CB64+(Inputs!$F$96+Inputs!$F$97)*CB40*(1-Time!CB23)*(1-Time!CB20)+CB66-CB39</f>
        <v>49.6128055244397</v>
      </c>
      <c r="CC68" s="19" t="n">
        <f aca="false">CC64+(Inputs!$F$96+Inputs!$F$97)*CC40*(1-Time!CC23)*(1-Time!CC20)+CC66-CC39</f>
        <v>51.9870481968132</v>
      </c>
      <c r="CD68" s="19" t="n">
        <f aca="false">CD64+(Inputs!$F$96+Inputs!$F$97)*CD40*(1-Time!CD23)*(1-Time!CD20)+CD66-CD39</f>
        <v>51.5990663118775</v>
      </c>
      <c r="CE68" s="19" t="n">
        <f aca="false">CE64+(Inputs!$F$96+Inputs!$F$97)*CE40*(1-Time!CE23)*(1-Time!CE20)+CE66-CE39</f>
        <v>51.8718123417449</v>
      </c>
      <c r="CF68" s="19" t="n">
        <f aca="false">CF64+(Inputs!$F$96+Inputs!$F$97)*CF40*(1-Time!CF23)*(1-Time!CF20)+CF66-CF39</f>
        <v>45.5693846585805</v>
      </c>
      <c r="CG68" s="19" t="n">
        <f aca="false">CG64+(Inputs!$F$96+Inputs!$F$97)*CG40*(1-Time!CG23)*(1-Time!CG20)+CG66-CG39</f>
        <v>48.55299127962</v>
      </c>
      <c r="CH68" s="19" t="n">
        <f aca="false">CH64+(Inputs!$F$96+Inputs!$F$97)*CH40*(1-Time!CH23)*(1-Time!CH20)+CH66-CH39</f>
        <v>5.51181991980927E-014</v>
      </c>
      <c r="CI68" s="19" t="n">
        <f aca="false">CI64+(Inputs!$F$96+Inputs!$F$97)*CI40*(1-Time!CI23)*(1-Time!CI20)+CI66-CI39</f>
        <v>5.55648191080975E-014</v>
      </c>
      <c r="CJ68" s="19" t="n">
        <f aca="false">CJ64+(Inputs!$F$96+Inputs!$F$97)*CJ40*(1-Time!CJ23)*(1-Time!CJ20)+CJ66-CJ39</f>
        <v>5.51181991980927E-014</v>
      </c>
      <c r="CK68" s="19" t="n">
        <f aca="false">CK64+(Inputs!$F$96+Inputs!$F$97)*CK40*(1-Time!CK23)*(1-Time!CK20)+CK66-CK39</f>
        <v>5.55648191080975E-014</v>
      </c>
      <c r="CL68" s="19" t="n">
        <f aca="false">CL64+(Inputs!$F$96+Inputs!$F$97)*CL40*(1-Time!CL23)*(1-Time!CL20)+CL66-CL39</f>
        <v>5.51181991980927E-014</v>
      </c>
      <c r="CM68" s="19" t="n">
        <f aca="false">CM64+(Inputs!$F$96+Inputs!$F$97)*CM40*(1-Time!CM23)*(1-Time!CM20)+CM66-CM39</f>
        <v>5.55648191080975E-014</v>
      </c>
      <c r="CN68" s="19" t="n">
        <f aca="false">CN64+(Inputs!$F$96+Inputs!$F$97)*CN40*(1-Time!CN23)*(1-Time!CN20)+CN66-CN39</f>
        <v>5.52670725014276E-014</v>
      </c>
      <c r="CO68" s="19" t="n">
        <f aca="false">CO64+(Inputs!$F$96+Inputs!$F$97)*CO40*(1-Time!CO23)*(1-Time!CO20)+CO66-CO39</f>
        <v>5.55648191080975E-014</v>
      </c>
      <c r="CP68" s="19" t="n">
        <f aca="false">CP64+(Inputs!$F$96+Inputs!$F$97)*CP40*(1-Time!CP23)*(1-Time!CP20)+CP66-CP39</f>
        <v>5.51181991980927E-014</v>
      </c>
      <c r="CQ68" s="19" t="n">
        <f aca="false">CQ64+(Inputs!$F$96+Inputs!$F$97)*CQ40*(1-Time!CQ23)*(1-Time!CQ20)+CQ66-CQ39</f>
        <v>5.55648191080975E-014</v>
      </c>
      <c r="CR68" s="19" t="n">
        <f aca="false">CR64+(Inputs!$F$96+Inputs!$F$97)*CR40*(1-Time!CR23)*(1-Time!CR20)+CR66-CR39</f>
        <v>5.51181991980927E-014</v>
      </c>
      <c r="CS68" s="19" t="n">
        <f aca="false">CS64+(Inputs!$F$96+Inputs!$F$97)*CS40*(1-Time!CS23)*(1-Time!CS20)+CS66-CS39</f>
        <v>5.55648191080975E-014</v>
      </c>
      <c r="CT68" s="19" t="n">
        <f aca="false">CT64+(Inputs!$F$96+Inputs!$F$97)*CT40*(1-Time!CT23)*(1-Time!CT20)+CT66-CT39</f>
        <v>5.51181991980927E-014</v>
      </c>
      <c r="CU68" s="19" t="n">
        <f aca="false">CU64+(Inputs!$F$96+Inputs!$F$97)*CU40*(1-Time!CU23)*(1-Time!CU20)+CU66-CU39</f>
        <v>5.55648191080975E-014</v>
      </c>
      <c r="CV68" s="19" t="n">
        <f aca="false">CV64+(Inputs!$F$96+Inputs!$F$97)*CV40*(1-Time!CV23)*(1-Time!CV20)+CV66-CV39</f>
        <v>5.52670725014276E-014</v>
      </c>
      <c r="CW68" s="19" t="n">
        <f aca="false">CW64+(Inputs!$F$96+Inputs!$F$97)*CW40*(1-Time!CW23)*(1-Time!CW20)+CW66-CW39</f>
        <v>5.55648191080975E-014</v>
      </c>
      <c r="CX68" s="19" t="n">
        <f aca="false">CX64+(Inputs!$F$96+Inputs!$F$97)*CX40*(1-Time!CX23)*(1-Time!CX20)+CX66-CX39</f>
        <v>5.51181991980927E-014</v>
      </c>
      <c r="CY68" s="19" t="n">
        <f aca="false">CY64+(Inputs!$F$96+Inputs!$F$97)*CY40*(1-Time!CY23)*(1-Time!CY20)+CY66-CY39</f>
        <v>5.55648191080975E-014</v>
      </c>
      <c r="CZ68" s="19" t="n">
        <f aca="false">CZ64+(Inputs!$F$96+Inputs!$F$97)*CZ40*(1-Time!CZ23)*(1-Time!CZ20)+CZ66-CZ39</f>
        <v>5.51181991980927E-014</v>
      </c>
      <c r="DA68" s="19" t="n">
        <f aca="false">DA64+(Inputs!$F$96+Inputs!$F$97)*DA40*(1-Time!DA23)*(1-Time!DA20)+DA66-DA39</f>
        <v>5.55648191080975E-014</v>
      </c>
      <c r="DB68" s="19" t="n">
        <f aca="false">DB64+(Inputs!$F$96+Inputs!$F$97)*DB40*(1-Time!DB23)*(1-Time!DB20)+DB66-DB39</f>
        <v>5.51181991980927E-014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3223.05644254939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17.9145006351404</v>
      </c>
      <c r="AA104" s="19" t="n">
        <f aca="false">AA13-IF(Inputs!$F$215=1,AA87,AA34-AA39)</f>
        <v>37.8771884316189</v>
      </c>
      <c r="AB104" s="19" t="n">
        <f aca="false">AB13-IF(Inputs!$F$215=1,AB87,AB34-AB39)</f>
        <v>39.594393363717</v>
      </c>
      <c r="AC104" s="19" t="n">
        <f aca="false">AC13-IF(Inputs!$F$215=1,AC87,AC34-AC39)</f>
        <v>41.00856585182</v>
      </c>
      <c r="AD104" s="19" t="n">
        <f aca="false">AD13-IF(Inputs!$F$215=1,AD87,AD34-AD39)</f>
        <v>13.8420979671354</v>
      </c>
      <c r="AE104" s="19" t="n">
        <f aca="false">AE13-IF(Inputs!$F$215=1,AE87,AE34-AE39)</f>
        <v>14.6839526785594</v>
      </c>
      <c r="AF104" s="19" t="n">
        <f aca="false">AF13-IF(Inputs!$F$215=1,AF87,AF34-AF39)</f>
        <v>15.713854724122</v>
      </c>
      <c r="AG104" s="19" t="n">
        <f aca="false">AG13-IF(Inputs!$F$215=1,AG87,AG34-AG39)</f>
        <v>16.6174029633882</v>
      </c>
      <c r="AH104" s="19" t="n">
        <f aca="false">AH13-IF(Inputs!$F$215=1,AH87,AH34-AH39)</f>
        <v>16.9474634418851</v>
      </c>
      <c r="AI104" s="19" t="n">
        <f aca="false">AI13-IF(Inputs!$F$215=1,AI87,AI34-AI39)</f>
        <v>16.7865444087371</v>
      </c>
      <c r="AJ104" s="19" t="n">
        <f aca="false">AJ13-IF(Inputs!$F$215=1,AJ87,AJ34-AJ39)</f>
        <v>17.2398002667522</v>
      </c>
      <c r="AK104" s="19" t="n">
        <f aca="false">AK13-IF(Inputs!$F$215=1,AK87,AK34-AK39)</f>
        <v>18.1149165966121</v>
      </c>
      <c r="AL104" s="19" t="n">
        <f aca="false">AL13-IF(Inputs!$F$215=1,AL87,AL34-AL39)</f>
        <v>18.4912264217276</v>
      </c>
      <c r="AM104" s="19" t="n">
        <f aca="false">AM13-IF(Inputs!$F$215=1,AM87,AM34-AM39)</f>
        <v>19.5362801839771</v>
      </c>
      <c r="AN104" s="19" t="n">
        <f aca="false">AN13-IF(Inputs!$F$215=1,AN87,AN34-AN39)</f>
        <v>19.9380154779787</v>
      </c>
      <c r="AO104" s="19" t="n">
        <f aca="false">AO13-IF(Inputs!$F$215=1,AO87,AO34-AO39)</f>
        <v>22.1163942468989</v>
      </c>
      <c r="AP104" s="19" t="n">
        <f aca="false">AP13-IF(Inputs!$F$215=1,AP87,AP34-AP39)</f>
        <v>22.5441681200817</v>
      </c>
      <c r="AQ104" s="19" t="n">
        <f aca="false">AQ13-IF(Inputs!$F$215=1,AQ87,AQ34-AQ39)</f>
        <v>20.3001275433103</v>
      </c>
      <c r="AR104" s="19" t="n">
        <f aca="false">AR13-IF(Inputs!$F$215=1,AR87,AR34-AR39)</f>
        <v>20.8903925245985</v>
      </c>
      <c r="AS104" s="19" t="n">
        <f aca="false">AS13-IF(Inputs!$F$215=1,AS87,AS34-AS39)</f>
        <v>22.0212811076844</v>
      </c>
      <c r="AT104" s="19" t="n">
        <f aca="false">AT13-IF(Inputs!$F$215=1,AT87,AT34-AT39)</f>
        <v>22.5080994763562</v>
      </c>
      <c r="AU104" s="19" t="n">
        <f aca="false">AU13-IF(Inputs!$F$215=1,AU87,AU34-AU39)</f>
        <v>23.8586978837913</v>
      </c>
      <c r="AV104" s="19" t="n">
        <f aca="false">AV13-IF(Inputs!$F$215=1,AV87,AV34-AV39)</f>
        <v>24.3778951124276</v>
      </c>
      <c r="AW104" s="19" t="n">
        <f aca="false">AW13-IF(Inputs!$F$215=1,AW87,AW34-AW39)</f>
        <v>26.3269325310873</v>
      </c>
      <c r="AX104" s="19" t="n">
        <f aca="false">AX13-IF(Inputs!$F$215=1,AX87,AX34-AX39)</f>
        <v>26.5243879675856</v>
      </c>
      <c r="AY104" s="19" t="n">
        <f aca="false">AY13-IF(Inputs!$F$215=1,AY87,AY34-AY39)</f>
        <v>26.5504564258367</v>
      </c>
      <c r="AZ104" s="19" t="n">
        <f aca="false">AZ13-IF(Inputs!$F$215=1,AZ87,AZ34-AZ39)</f>
        <v>26.9290500294224</v>
      </c>
      <c r="BA104" s="19" t="n">
        <f aca="false">BA13-IF(Inputs!$F$215=1,BA87,BA34-BA39)</f>
        <v>28.1501224006088</v>
      </c>
      <c r="BB104" s="19" t="n">
        <f aca="false">BB13-IF(Inputs!$F$215=1,BB87,BB34-BB39)</f>
        <v>28.3682230479435</v>
      </c>
      <c r="BC104" s="19" t="n">
        <f aca="false">BC13-IF(Inputs!$F$215=1,BC87,BC34-BC39)</f>
        <v>32.600077329646</v>
      </c>
      <c r="BD104" s="19" t="n">
        <f aca="false">BD13-IF(Inputs!$F$215=1,BD87,BD34-BD39)</f>
        <v>32.829756682975</v>
      </c>
      <c r="BE104" s="19" t="n">
        <f aca="false">BE13-IF(Inputs!$F$215=1,BE87,BE34-BE39)</f>
        <v>35.682621579225</v>
      </c>
      <c r="BF104" s="19" t="n">
        <f aca="false">BF13-IF(Inputs!$F$215=1,BF87,BF34-BF39)</f>
        <v>35.9244407069819</v>
      </c>
      <c r="BG104" s="19" t="n">
        <f aca="false">BG13-IF(Inputs!$F$215=1,BG87,BG34-BG39)</f>
        <v>37.5401386031212</v>
      </c>
      <c r="BH104" s="19" t="n">
        <f aca="false">BH13-IF(Inputs!$F$215=1,BH87,BH34-BH39)</f>
        <v>38.002572079828</v>
      </c>
      <c r="BI104" s="19" t="n">
        <f aca="false">BI13-IF(Inputs!$F$215=1,BI87,BI34-BI39)</f>
        <v>39.4951017974755</v>
      </c>
      <c r="BJ104" s="19" t="n">
        <f aca="false">BJ13-IF(Inputs!$F$215=1,BJ87,BJ34-BJ39)</f>
        <v>39.7616995932215</v>
      </c>
      <c r="BK104" s="19" t="n">
        <f aca="false">BK13-IF(Inputs!$F$215=1,BK87,BK34-BK39)</f>
        <v>41.5528733649905</v>
      </c>
      <c r="BL104" s="19" t="n">
        <f aca="false">BL13-IF(Inputs!$F$215=1,BL87,BL34-BL39)</f>
        <v>41.8333290635203</v>
      </c>
      <c r="BM104" s="19" t="n">
        <f aca="false">BM13-IF(Inputs!$F$215=1,BM87,BM34-BM39)</f>
        <v>43.7023227559805</v>
      </c>
      <c r="BN104" s="19" t="n">
        <f aca="false">BN13-IF(Inputs!$F$215=1,BN87,BN34-BN39)</f>
        <v>41.4602183771324</v>
      </c>
      <c r="BO104" s="19" t="n">
        <f aca="false">BO13-IF(Inputs!$F$215=1,BO87,BO34-BO39)</f>
        <v>31.171028717308</v>
      </c>
      <c r="BP104" s="19" t="n">
        <f aca="false">BP13-IF(Inputs!$F$215=1,BP87,BP34-BP39)</f>
        <v>31.4681995151116</v>
      </c>
      <c r="BQ104" s="19" t="n">
        <f aca="false">BQ13-IF(Inputs!$F$215=1,BQ87,BQ34-BQ39)</f>
        <v>32.7082261144323</v>
      </c>
      <c r="BR104" s="19" t="n">
        <f aca="false">BR13-IF(Inputs!$F$215=1,BR87,BR34-BR39)</f>
        <v>32.4338061345877</v>
      </c>
      <c r="BS104" s="19" t="n">
        <f aca="false">BS13-IF(Inputs!$F$215=1,BS87,BS34-BS39)</f>
        <v>33.8815271767423</v>
      </c>
      <c r="BT104" s="19" t="n">
        <f aca="false">BT13-IF(Inputs!$F$215=1,BT87,BT34-BT39)</f>
        <v>33.5948321919726</v>
      </c>
      <c r="BU104" s="19" t="n">
        <f aca="false">BU13-IF(Inputs!$F$215=1,BU87,BU34-BU39)</f>
        <v>52.1712193174037</v>
      </c>
      <c r="BV104" s="19" t="n">
        <f aca="false">BV13-IF(Inputs!$F$215=1,BV87,BV34-BV39)</f>
        <v>41.2442310516289</v>
      </c>
      <c r="BW104" s="19" t="n">
        <f aca="false">BW13-IF(Inputs!$F$215=1,BW87,BW34-BW39)</f>
        <v>42.4817339257833</v>
      </c>
      <c r="BX104" s="19" t="n">
        <f aca="false">BX13-IF(Inputs!$F$215=1,BX87,BX34-BX39)</f>
        <v>42.3747956580999</v>
      </c>
      <c r="BY104" s="19" t="n">
        <f aca="false">BY13-IF(Inputs!$F$215=1,BY87,BY34-BY39)</f>
        <v>43.7050969686174</v>
      </c>
      <c r="BZ104" s="19" t="n">
        <f aca="false">BZ13-IF(Inputs!$F$215=1,BZ87,BZ34-BZ39)</f>
        <v>43.3532022151537</v>
      </c>
      <c r="CA104" s="19" t="n">
        <f aca="false">CA13-IF(Inputs!$F$215=1,CA87,CA34-CA39)</f>
        <v>40.9566509867357</v>
      </c>
      <c r="CB104" s="19" t="n">
        <f aca="false">CB13-IF(Inputs!$F$215=1,CB87,CB34-CB39)</f>
        <v>40.6032993573225</v>
      </c>
      <c r="CC104" s="19" t="n">
        <f aca="false">CC13-IF(Inputs!$F$215=1,CC87,CC34-CC39)</f>
        <v>42.2716025459109</v>
      </c>
      <c r="CD104" s="19" t="n">
        <f aca="false">CD13-IF(Inputs!$F$215=1,CD87,CD34-CD39)</f>
        <v>41.9017441250026</v>
      </c>
      <c r="CE104" s="19" t="n">
        <f aca="false">CE13-IF(Inputs!$F$215=1,CE87,CE34-CE39)</f>
        <v>41.6799642347248</v>
      </c>
      <c r="CF104" s="19" t="n">
        <f aca="false">CF13-IF(Inputs!$F$215=1,CF87,CF34-CF39)</f>
        <v>41.5602585129477</v>
      </c>
      <c r="CG104" s="19" t="n">
        <f aca="false">CG13-IF(Inputs!$F$215=1,CG87,CG34-CG39)</f>
        <v>51.1049326701473</v>
      </c>
      <c r="CH104" s="19" t="n">
        <f aca="false">CH13-IF(Inputs!$F$215=1,CH87,CH34-CH39)</f>
        <v>130.319650147852</v>
      </c>
      <c r="CI104" s="19" t="n">
        <f aca="false">CI13-IF(Inputs!$F$215=1,CI87,CI34-CI39)</f>
        <v>136.23246307777</v>
      </c>
      <c r="CJ104" s="19" t="n">
        <f aca="false">CJ13-IF(Inputs!$F$215=1,CJ87,CJ34-CJ39)</f>
        <v>135.168775495426</v>
      </c>
      <c r="CK104" s="19" t="n">
        <f aca="false">CK13-IF(Inputs!$F$215=1,CK87,CK34-CK39)</f>
        <v>157.56014990159</v>
      </c>
      <c r="CL104" s="19" t="n">
        <f aca="false">CL13-IF(Inputs!$F$215=1,CL87,CL34-CL39)</f>
        <v>145.980389884893</v>
      </c>
      <c r="CM104" s="19" t="n">
        <f aca="false">CM13-IF(Inputs!$F$215=1,CM87,CM34-CM39)</f>
        <v>152.325534464231</v>
      </c>
      <c r="CN104" s="19" t="n">
        <f aca="false">CN13-IF(Inputs!$F$215=1,CN87,CN34-CN39)</f>
        <v>152.088653843563</v>
      </c>
      <c r="CO104" s="19" t="n">
        <f aca="false">CO13-IF(Inputs!$F$215=1,CO87,CO34-CO39)</f>
        <v>157.747542334871</v>
      </c>
      <c r="CP104" s="19" t="n">
        <f aca="false">CP13-IF(Inputs!$F$215=1,CP87,CP34-CP39)</f>
        <v>168.809348214662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560.977833779333</v>
      </c>
      <c r="AL106" s="19" t="n">
        <f aca="false">IF(Time!AL49=1,AK102,AK112)</f>
        <v>557.554728455503</v>
      </c>
      <c r="AM106" s="19" t="n">
        <f aca="false">IF(Time!AM49=1,AL102,AL112)</f>
        <v>553.687717103184</v>
      </c>
      <c r="AN106" s="19" t="n">
        <f aca="false">IF(Time!AN49=1,AM102,AM112)</f>
        <v>549.204580512161</v>
      </c>
      <c r="AO106" s="19" t="n">
        <f aca="false">IF(Time!AO49=1,AN102,AN112)</f>
        <v>544.246335918507</v>
      </c>
      <c r="AP106" s="19" t="n">
        <f aca="false">IF(Time!AP49=1,AO102,AO112)</f>
        <v>537.897482867394</v>
      </c>
      <c r="AQ106" s="19" t="n">
        <f aca="false">IF(Time!AQ49=1,AP102,AP112)</f>
        <v>531.030226491292</v>
      </c>
      <c r="AR106" s="19" t="n">
        <f aca="false">IF(Time!AR49=1,AQ102,AQ112)</f>
        <v>525.68834946398</v>
      </c>
      <c r="AS106" s="19" t="n">
        <f aca="false">IF(Time!AS49=1,AR102,AR112)</f>
        <v>519.78241715763</v>
      </c>
      <c r="AT106" s="19" t="n">
        <f aca="false">IF(Time!AT49=1,AS102,AS112)</f>
        <v>513.119598487387</v>
      </c>
      <c r="AU106" s="19" t="n">
        <f aca="false">IF(Time!AU49=1,AT102,AT112)</f>
        <v>505.900402146571</v>
      </c>
      <c r="AV106" s="19" t="n">
        <f aca="false">IF(Time!AV49=1,AU102,AU112)</f>
        <v>497.798498418325</v>
      </c>
      <c r="AW106" s="19" t="n">
        <f aca="false">IF(Time!AW49=1,AV102,AV112)</f>
        <v>489.100285503208</v>
      </c>
      <c r="AX106" s="19" t="n">
        <f aca="false">IF(Time!AX49=1,AW102,AW112)</f>
        <v>479.093737553252</v>
      </c>
      <c r="AY106" s="19" t="n">
        <f aca="false">IF(Time!AY49=1,AX102,AX112)</f>
        <v>468.680698747864</v>
      </c>
      <c r="AZ106" s="19" t="n">
        <f aca="false">IF(Time!AZ49=1,AY102,AY112)</f>
        <v>458.210147357753</v>
      </c>
      <c r="BA106" s="19" t="n">
        <f aca="false">IF(Time!BA49=1,AZ102,AZ112)</f>
        <v>447.248855427631</v>
      </c>
      <c r="BB106" s="19" t="n">
        <f aca="false">IF(Time!BB49=1,BA102,BA112)</f>
        <v>435.381257723845</v>
      </c>
      <c r="BC106" s="19" t="n">
        <f aca="false">IF(Time!BC49=1,BB102,BB112)</f>
        <v>423.075691584201</v>
      </c>
      <c r="BD106" s="19" t="n">
        <f aca="false">IF(Time!BD49=1,BC102,BC112)</f>
        <v>407.868567996114</v>
      </c>
      <c r="BE106" s="19" t="n">
        <f aca="false">IF(Time!BE49=1,BD102,BD112)</f>
        <v>392.171161761903</v>
      </c>
      <c r="BF106" s="19" t="n">
        <f aca="false">IF(Time!BF49=1,BE102,BE112)</f>
        <v>374.432283017353</v>
      </c>
      <c r="BG106" s="19" t="n">
        <f aca="false">IF(Time!BG49=1,BF102,BF112)</f>
        <v>356.164383667639</v>
      </c>
      <c r="BH106" s="19" t="n">
        <f aca="false">IF(Time!BH49=1,BG102,BG112)</f>
        <v>336.631728559994</v>
      </c>
      <c r="BI106" s="19" t="n">
        <f aca="false">IF(Time!BI49=1,BH102,BH112)</f>
        <v>316.433035089505</v>
      </c>
      <c r="BJ106" s="19" t="n">
        <f aca="false">IF(Time!BJ49=1,BI102,BI112)</f>
        <v>294.984185199228</v>
      </c>
      <c r="BK106" s="19" t="n">
        <f aca="false">IF(Time!BK49=1,BJ102,BJ112)</f>
        <v>272.952548232453</v>
      </c>
      <c r="BL106" s="19" t="n">
        <f aca="false">IF(Time!BL49=1,BK102,BK112)</f>
        <v>249.461131361458</v>
      </c>
      <c r="BM106" s="19" t="n">
        <f aca="false">IF(Time!BM49=1,BL102,BL112)</f>
        <v>225.357630037354</v>
      </c>
      <c r="BN106" s="19" t="n">
        <f aca="false">IF(Time!BN49=1,BM102,BM112)</f>
        <v>199.699059433355</v>
      </c>
      <c r="BO106" s="19" t="n">
        <f aca="false">IF(Time!BO49=1,BN102,BN112)</f>
        <v>175.089196617306</v>
      </c>
      <c r="BP106" s="19" t="n">
        <f aca="false">IF(Time!BP49=1,BO102,BO112)</f>
        <v>157.009393580107</v>
      </c>
      <c r="BQ106" s="19" t="n">
        <f aca="false">IF(Time!BQ49=1,BP102,BP112)</f>
        <v>138.426256135493</v>
      </c>
      <c r="BR106" s="19" t="n">
        <f aca="false">IF(Time!BR49=1,BQ102,BQ112)</f>
        <v>118.75610135385</v>
      </c>
      <c r="BS106" s="19" t="n">
        <f aca="false">IF(Time!BS49=1,BR102,BR112)</f>
        <v>98.9355982950608</v>
      </c>
      <c r="BT106" s="19" t="n">
        <f aca="false">IF(Time!BT49=1,BS102,BS112)</f>
        <v>77.8740696547866</v>
      </c>
      <c r="BU106" s="19" t="n">
        <f aca="false">IF(Time!BU49=1,BT102,BT112)</f>
        <v>56.6591951949053</v>
      </c>
      <c r="BV106" s="19" t="n">
        <f aca="false">IF(Time!BV49=1,BU102,BU112)</f>
        <v>22.7523930909523</v>
      </c>
      <c r="BW106" s="19" t="n">
        <f aca="false">IF(Time!BW49=1,BV102,BV112)</f>
        <v>-4.39851052052574</v>
      </c>
      <c r="BX106" s="19" t="n">
        <f aca="false">IF(Time!BX49=1,BW102,BW112)</f>
        <v>-32.7875168097733</v>
      </c>
      <c r="BY106" s="19" t="n">
        <f aca="false">IF(Time!BY49=1,BX102,BX112)</f>
        <v>-61.5376552081879</v>
      </c>
      <c r="BZ106" s="19" t="n">
        <f aca="false">IF(Time!BZ49=1,BY102,BY112)</f>
        <v>-91.6236512161725</v>
      </c>
      <c r="CA106" s="19" t="n">
        <f aca="false">IF(Time!CA49=1,BZ102,BZ112)</f>
        <v>-121.916105901962</v>
      </c>
      <c r="CB106" s="19" t="n">
        <f aca="false">IF(Time!CB49=1,CA102,CA112)</f>
        <v>-151.101187681258</v>
      </c>
      <c r="CC106" s="19" t="n">
        <f aca="false">IF(Time!CC49=1,CB102,CB112)</f>
        <v>-180.462900599175</v>
      </c>
      <c r="CD106" s="19" t="n">
        <f aca="false">IF(Time!CD49=1,CC102,CC112)</f>
        <v>-211.427745170057</v>
      </c>
      <c r="CE106" s="19" t="n">
        <f aca="false">IF(Time!CE49=1,CD102,CD112)</f>
        <v>-242.570497991471</v>
      </c>
      <c r="CF106" s="19" t="n">
        <f aca="false">IF(Time!CF49=1,CE102,CE112)</f>
        <v>-274.098973504734</v>
      </c>
      <c r="CG106" s="19" t="n">
        <f aca="false">IF(Time!CG49=1,CF102,CF112)</f>
        <v>-305.988037179784</v>
      </c>
      <c r="CH106" s="19" t="n">
        <f aca="false">IF(Time!CH49=1,CG102,CG112)</f>
        <v>-344.778088305646</v>
      </c>
      <c r="CI106" s="19" t="n">
        <f aca="false">IF(Time!CI49=1,CH102,CH112)</f>
        <v>-436.889602796605</v>
      </c>
      <c r="CJ106" s="19" t="n">
        <f aca="false">IF(Time!CJ49=1,CI102,CI112)</f>
        <v>-534.450596134989</v>
      </c>
      <c r="CK106" s="19" t="n">
        <f aca="false">IF(Time!CK49=1,CJ102,CJ112)</f>
        <v>-632.672998260031</v>
      </c>
      <c r="CL106" s="19" t="n">
        <f aca="false">IF(Time!CL49=1,CK102,CK112)</f>
        <v>-747.472555864022</v>
      </c>
      <c r="CM106" s="19" t="n">
        <f aca="false">IF(Time!CM49=1,CL102,CL112)</f>
        <v>-856.135148658266</v>
      </c>
      <c r="CN106" s="19" t="n">
        <f aca="false">IF(Time!CN49=1,CM102,CM112)</f>
        <v>-970.892034669139</v>
      </c>
      <c r="CO106" s="19" t="n">
        <f aca="false">IF(Time!CO49=1,CN102,CN112)</f>
        <v>-1087.09842102917</v>
      </c>
      <c r="CP106" s="19" t="n">
        <f aca="false">IF(Time!CP49=1,CO102,CO112)</f>
        <v>-1209.03276144355</v>
      </c>
      <c r="CQ106" s="19" t="n">
        <f aca="false">IF(Time!CQ49=1,CP102,CP112)</f>
        <v>-1209.03276144355</v>
      </c>
      <c r="CR106" s="19" t="n">
        <f aca="false">IF(Time!CR49=1,CQ102,CQ112)</f>
        <v>-1209.03276144355</v>
      </c>
      <c r="CS106" s="19" t="n">
        <f aca="false">IF(Time!CS49=1,CR102,CR112)</f>
        <v>-1209.03276144355</v>
      </c>
      <c r="CT106" s="19" t="n">
        <f aca="false">IF(Time!CT49=1,CS102,CS112)</f>
        <v>-1209.03276144355</v>
      </c>
      <c r="CU106" s="19" t="n">
        <f aca="false">IF(Time!CU49=1,CT102,CT112)</f>
        <v>-1209.03276144355</v>
      </c>
      <c r="CV106" s="19" t="n">
        <f aca="false">IF(Time!CV49=1,CU102,CU112)</f>
        <v>-1209.03276144355</v>
      </c>
      <c r="CW106" s="19" t="n">
        <f aca="false">IF(Time!CW49=1,CV102,CV112)</f>
        <v>-1209.03276144355</v>
      </c>
      <c r="CX106" s="19" t="n">
        <f aca="false">IF(Time!CX49=1,CW102,CW112)</f>
        <v>-1209.03276144355</v>
      </c>
      <c r="CY106" s="19" t="n">
        <f aca="false">IF(Time!CY49=1,CX102,CX112)</f>
        <v>-1209.03276144355</v>
      </c>
      <c r="CZ106" s="19" t="n">
        <f aca="false">IF(Time!CZ49=1,CY102,CY112)</f>
        <v>-1209.03276144355</v>
      </c>
      <c r="DA106" s="19" t="n">
        <f aca="false">IF(Time!DA49=1,CZ102,CZ112)</f>
        <v>-1209.03276144355</v>
      </c>
      <c r="DB106" s="19" t="n">
        <f aca="false">IF(Time!DB49=1,DA102,DA112)</f>
        <v>-1209.03276144355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-55.3042343540644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8.65350574057851</v>
      </c>
      <c r="AL107" s="19" t="n">
        <f aca="false">AL106*Time!AL50*Time!AL9/Inputs!$F$45</f>
        <v>8.46047292883192</v>
      </c>
      <c r="AM107" s="19" t="n">
        <f aca="false">AM106*Time!AM50*Time!AM9/Inputs!$F$45</f>
        <v>8.54105019829525</v>
      </c>
      <c r="AN107" s="19" t="n">
        <f aca="false">AN106*Time!AN50*Time!AN9/Inputs!$F$45</f>
        <v>8.33376572499905</v>
      </c>
      <c r="AO107" s="19" t="n">
        <f aca="false">AO106*Time!AO50*Time!AO9/Inputs!$F$45</f>
        <v>8.39540978015223</v>
      </c>
      <c r="AP107" s="19" t="n">
        <f aca="false">AP106*Time!AP50*Time!AP9/Inputs!$F$45</f>
        <v>8.16218903728588</v>
      </c>
      <c r="AQ107" s="19" t="n">
        <f aca="false">AQ106*Time!AQ50*Time!AQ9/Inputs!$F$45</f>
        <v>8.19154133489471</v>
      </c>
      <c r="AR107" s="19" t="n">
        <f aca="false">AR106*Time!AR50*Time!AR9/Inputs!$F$45</f>
        <v>8.020996043383</v>
      </c>
      <c r="AS107" s="19" t="n">
        <f aca="false">AS106*Time!AS50*Time!AS9/Inputs!$F$45</f>
        <v>8.01803540154609</v>
      </c>
      <c r="AT107" s="19" t="n">
        <f aca="false">AT106*Time!AT50*Time!AT9/Inputs!$F$45</f>
        <v>7.78620331008833</v>
      </c>
      <c r="AU107" s="19" t="n">
        <f aca="false">AU106*Time!AU50*Time!AU9/Inputs!$F$45</f>
        <v>7.80389486094809</v>
      </c>
      <c r="AV107" s="19" t="n">
        <f aca="false">AV106*Time!AV50*Time!AV9/Inputs!$F$45</f>
        <v>7.55371715983489</v>
      </c>
      <c r="AW107" s="19" t="n">
        <f aca="false">AW106*Time!AW50*Time!AW9/Inputs!$F$45</f>
        <v>7.54474040410209</v>
      </c>
      <c r="AX107" s="19" t="n">
        <f aca="false">AX106*Time!AX50*Time!AX9/Inputs!$F$45</f>
        <v>7.26988650633546</v>
      </c>
      <c r="AY107" s="19" t="n">
        <f aca="false">AY106*Time!AY50*Time!AY9/Inputs!$F$45</f>
        <v>7.22975289378074</v>
      </c>
      <c r="AZ107" s="19" t="n">
        <f aca="false">AZ106*Time!AZ50*Time!AZ9/Inputs!$F$45</f>
        <v>6.9914080894926</v>
      </c>
      <c r="BA107" s="19" t="n">
        <f aca="false">BA106*Time!BA50*Time!BA9/Inputs!$F$45</f>
        <v>6.89915056328694</v>
      </c>
      <c r="BB107" s="19" t="n">
        <f aca="false">BB106*Time!BB50*Time!BB9/Inputs!$F$45</f>
        <v>6.60658255898435</v>
      </c>
      <c r="BC107" s="19" t="n">
        <f aca="false">BC106*Time!BC50*Time!BC9/Inputs!$F$45</f>
        <v>6.52626129834434</v>
      </c>
      <c r="BD107" s="19" t="n">
        <f aca="false">BD106*Time!BD50*Time!BD9/Inputs!$F$45</f>
        <v>6.18909822110487</v>
      </c>
      <c r="BE107" s="19" t="n">
        <f aca="false">BE106*Time!BE50*Time!BE9/Inputs!$F$45</f>
        <v>6.04953564160059</v>
      </c>
      <c r="BF107" s="19" t="n">
        <f aca="false">BF106*Time!BF50*Time!BF9/Inputs!$F$45</f>
        <v>5.68172778827373</v>
      </c>
      <c r="BG107" s="19" t="n">
        <f aca="false">BG106*Time!BG50*Time!BG9/Inputs!$F$45</f>
        <v>5.49410396110212</v>
      </c>
      <c r="BH107" s="19" t="n">
        <f aca="false">BH106*Time!BH50*Time!BH9/Inputs!$F$45</f>
        <v>5.13635458272963</v>
      </c>
      <c r="BI107" s="19" t="n">
        <f aca="false">BI106*Time!BI50*Time!BI9/Inputs!$F$45</f>
        <v>4.8812179747067</v>
      </c>
      <c r="BJ107" s="19" t="n">
        <f aca="false">BJ106*Time!BJ50*Time!BJ9/Inputs!$F$45</f>
        <v>4.47616276203957</v>
      </c>
      <c r="BK107" s="19" t="n">
        <f aca="false">BK106*Time!BK50*Time!BK9/Inputs!$F$45</f>
        <v>4.21049870566576</v>
      </c>
      <c r="BL107" s="19" t="n">
        <f aca="false">BL106*Time!BL50*Time!BL9/Inputs!$F$45</f>
        <v>3.78538471824267</v>
      </c>
      <c r="BM107" s="19" t="n">
        <f aca="false">BM106*Time!BM50*Time!BM9/Inputs!$F$45</f>
        <v>3.47631123332142</v>
      </c>
      <c r="BN107" s="19" t="n">
        <f aca="false">BN106*Time!BN50*Time!BN9/Inputs!$F$45</f>
        <v>3.0302827687057</v>
      </c>
      <c r="BO107" s="19" t="n">
        <f aca="false">BO106*Time!BO50*Time!BO9/Inputs!$F$45</f>
        <v>2.70088277433994</v>
      </c>
      <c r="BP107" s="19" t="n">
        <f aca="false">BP106*Time!BP50*Time!BP9/Inputs!$F$45</f>
        <v>2.39566223212694</v>
      </c>
      <c r="BQ107" s="19" t="n">
        <f aca="false">BQ106*Time!BQ50*Time!BQ9/Inputs!$F$45</f>
        <v>2.13532929464461</v>
      </c>
      <c r="BR107" s="19" t="n">
        <f aca="false">BR106*Time!BR50*Time!BR9/Inputs!$F$45</f>
        <v>1.80203436426967</v>
      </c>
      <c r="BS107" s="19" t="n">
        <f aca="false">BS106*Time!BS50*Time!BS9/Inputs!$F$45</f>
        <v>1.52615614422058</v>
      </c>
      <c r="BT107" s="19" t="n">
        <f aca="false">BT106*Time!BT50*Time!BT9/Inputs!$F$45</f>
        <v>1.18168033476713</v>
      </c>
      <c r="BU107" s="19" t="n">
        <f aca="false">BU106*Time!BU50*Time!BU9/Inputs!$F$45</f>
        <v>0.87401077431615</v>
      </c>
      <c r="BV107" s="19" t="n">
        <f aca="false">BV106*Time!BV50*Time!BV9/Inputs!$F$45</f>
        <v>0.345250422941228</v>
      </c>
      <c r="BW107" s="19" t="n">
        <f aca="false">BW106*Time!BW50*Time!BW9/Inputs!$F$45</f>
        <v>-0.0678503387253922</v>
      </c>
      <c r="BX107" s="19" t="n">
        <f aca="false">BX106*Time!BX50*Time!BX9/Inputs!$F$45</f>
        <v>-0.500274626347917</v>
      </c>
      <c r="BY107" s="19" t="n">
        <f aca="false">BY106*Time!BY50*Time!BY9/Inputs!$F$45</f>
        <v>-0.949264695573099</v>
      </c>
      <c r="BZ107" s="19" t="n">
        <f aca="false">BZ106*Time!BZ50*Time!BZ9/Inputs!$F$45</f>
        <v>-1.39031987568738</v>
      </c>
      <c r="CA107" s="19" t="n">
        <f aca="false">CA106*Time!CA50*Time!CA9/Inputs!$F$45</f>
        <v>-1.88064778813811</v>
      </c>
      <c r="CB107" s="19" t="n">
        <f aca="false">CB106*Time!CB50*Time!CB9/Inputs!$F$45</f>
        <v>-2.2928466797025</v>
      </c>
      <c r="CC107" s="19" t="n">
        <f aca="false">CC106*Time!CC50*Time!CC9/Inputs!$F$45</f>
        <v>-2.78377620694136</v>
      </c>
      <c r="CD107" s="19" t="n">
        <f aca="false">CD106*Time!CD50*Time!CD9/Inputs!$F$45</f>
        <v>-3.20825673807912</v>
      </c>
      <c r="CE107" s="19" t="n">
        <f aca="false">CE106*Time!CE50*Time!CE9/Inputs!$F$45</f>
        <v>-3.74183269011282</v>
      </c>
      <c r="CF107" s="19" t="n">
        <f aca="false">CF106*Time!CF50*Time!CF9/Inputs!$F$45</f>
        <v>-4.18222466641798</v>
      </c>
      <c r="CG107" s="19" t="n">
        <f aca="false">CG106*Time!CG50*Time!CG9/Inputs!$F$45</f>
        <v>-4.72009601243029</v>
      </c>
      <c r="CH107" s="19" t="n">
        <f aca="false">CH106*Time!CH50*Time!CH9/Inputs!$F$45</f>
        <v>-5.23174772572507</v>
      </c>
      <c r="CI107" s="19" t="n">
        <f aca="false">CI106*Time!CI50*Time!CI9/Inputs!$F$45</f>
        <v>-6.739351286537</v>
      </c>
      <c r="CJ107" s="19" t="n">
        <f aca="false">CJ106*Time!CJ50*Time!CJ9/Inputs!$F$45</f>
        <v>-8.1098851280911</v>
      </c>
      <c r="CK107" s="19" t="n">
        <f aca="false">CK106*Time!CK50*Time!CK9/Inputs!$F$45</f>
        <v>-9.75945766959802</v>
      </c>
      <c r="CL107" s="19" t="n">
        <f aca="false">CL106*Time!CL50*Time!CL9/Inputs!$F$45</f>
        <v>-11.3423328709821</v>
      </c>
      <c r="CM107" s="19" t="n">
        <f aca="false">CM106*Time!CM50*Time!CM9/Inputs!$F$45</f>
        <v>-13.2065297013849</v>
      </c>
      <c r="CN107" s="19" t="n">
        <f aca="false">CN106*Time!CN50*Time!CN9/Inputs!$F$45</f>
        <v>-14.813950464327</v>
      </c>
      <c r="CO107" s="19" t="n">
        <f aca="false">CO106*Time!CO50*Time!CO9/Inputs!$F$45</f>
        <v>-16.7693121911306</v>
      </c>
      <c r="CP107" s="19" t="n">
        <f aca="false">CP106*Time!CP50*Time!CP9/Inputs!$F$45</f>
        <v>-18.3461612398117</v>
      </c>
      <c r="CQ107" s="19" t="n">
        <f aca="false">CQ106*Time!CQ50*Time!CQ9/Inputs!$F$45</f>
        <v>-18.650241260361</v>
      </c>
      <c r="CR107" s="19" t="n">
        <f aca="false">CR106*Time!CR50*Time!CR9/Inputs!$F$45</f>
        <v>-18.3461612398117</v>
      </c>
      <c r="CS107" s="19" t="n">
        <f aca="false">CS106*Time!CS50*Time!CS9/Inputs!$F$45</f>
        <v>-18.650241260361</v>
      </c>
      <c r="CT107" s="19" t="n">
        <f aca="false">CT106*Time!CT50*Time!CT9/Inputs!$F$45</f>
        <v>-18.3461612398117</v>
      </c>
      <c r="CU107" s="19" t="n">
        <f aca="false">CU106*Time!CU50*Time!CU9/Inputs!$F$45</f>
        <v>-18.650241260361</v>
      </c>
      <c r="CV107" s="19" t="n">
        <f aca="false">CV106*Time!CV50*Time!CV9/Inputs!$F$45</f>
        <v>-18.4475212466615</v>
      </c>
      <c r="CW107" s="19" t="n">
        <f aca="false">CW106*Time!CW50*Time!CW9/Inputs!$F$45</f>
        <v>-18.650241260361</v>
      </c>
      <c r="CX107" s="19" t="n">
        <f aca="false">CX106*Time!CX50*Time!CX9/Inputs!$F$45</f>
        <v>-18.3461612398117</v>
      </c>
      <c r="CY107" s="19" t="n">
        <f aca="false">CY106*Time!CY50*Time!CY9/Inputs!$F$45</f>
        <v>-18.650241260361</v>
      </c>
      <c r="CZ107" s="19" t="n">
        <f aca="false">CZ106*Time!CZ50*Time!CZ9/Inputs!$F$45</f>
        <v>-18.3461612398117</v>
      </c>
      <c r="DA107" s="19" t="n">
        <f aca="false">DA106*Time!DA50*Time!DA9/Inputs!$F$45</f>
        <v>-18.650241260361</v>
      </c>
      <c r="DB107" s="19" t="n">
        <f aca="false">DB106*Time!DB50*Time!DB9/Inputs!$F$45</f>
        <v>-18.3461612398117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-135.453876759521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8.65350574057851</v>
      </c>
      <c r="AL108" s="19" t="n">
        <f aca="false">AL107*Time!AL51</f>
        <v>8.46047292883192</v>
      </c>
      <c r="AM108" s="19" t="n">
        <f aca="false">AM107*Time!AM51</f>
        <v>8.54105019829525</v>
      </c>
      <c r="AN108" s="19" t="n">
        <f aca="false">AN107*Time!AN51</f>
        <v>8.33376572499905</v>
      </c>
      <c r="AO108" s="19" t="n">
        <f aca="false">AO107*Time!AO51</f>
        <v>8.39540978015223</v>
      </c>
      <c r="AP108" s="19" t="n">
        <f aca="false">AP107*Time!AP51</f>
        <v>8.16218903728588</v>
      </c>
      <c r="AQ108" s="19" t="n">
        <f aca="false">AQ107*Time!AQ51</f>
        <v>8.19154133489471</v>
      </c>
      <c r="AR108" s="19" t="n">
        <f aca="false">AR107*Time!AR51</f>
        <v>8.020996043383</v>
      </c>
      <c r="AS108" s="19" t="n">
        <f aca="false">AS107*Time!AS51</f>
        <v>8.01803540154609</v>
      </c>
      <c r="AT108" s="19" t="n">
        <f aca="false">AT107*Time!AT51</f>
        <v>7.78620331008833</v>
      </c>
      <c r="AU108" s="19" t="n">
        <f aca="false">AU107*Time!AU51</f>
        <v>7.80389486094809</v>
      </c>
      <c r="AV108" s="19" t="n">
        <f aca="false">AV107*Time!AV51</f>
        <v>7.55371715983489</v>
      </c>
      <c r="AW108" s="19" t="n">
        <f aca="false">AW107*Time!AW51</f>
        <v>7.54474040410209</v>
      </c>
      <c r="AX108" s="19" t="n">
        <f aca="false">AX107*Time!AX51</f>
        <v>7.26988650633546</v>
      </c>
      <c r="AY108" s="19" t="n">
        <f aca="false">AY107*Time!AY51</f>
        <v>7.22975289378074</v>
      </c>
      <c r="AZ108" s="19" t="n">
        <f aca="false">AZ107*Time!AZ51</f>
        <v>6.9914080894926</v>
      </c>
      <c r="BA108" s="19" t="n">
        <f aca="false">BA107*Time!BA51</f>
        <v>6.89915056328694</v>
      </c>
      <c r="BB108" s="19" t="n">
        <f aca="false">BB107*Time!BB51</f>
        <v>6.60658255898435</v>
      </c>
      <c r="BC108" s="19" t="n">
        <f aca="false">BC107*Time!BC51</f>
        <v>6.52626129834434</v>
      </c>
      <c r="BD108" s="19" t="n">
        <f aca="false">BD107*Time!BD51</f>
        <v>6.18909822110487</v>
      </c>
      <c r="BE108" s="19" t="n">
        <f aca="false">BE107*Time!BE51</f>
        <v>6.04953564160059</v>
      </c>
      <c r="BF108" s="19" t="n">
        <f aca="false">BF107*Time!BF51</f>
        <v>5.68172778827373</v>
      </c>
      <c r="BG108" s="19" t="n">
        <f aca="false">BG107*Time!BG51</f>
        <v>5.49410396110212</v>
      </c>
      <c r="BH108" s="19" t="n">
        <f aca="false">BH107*Time!BH51</f>
        <v>5.13635458272963</v>
      </c>
      <c r="BI108" s="19" t="n">
        <f aca="false">BI107*Time!BI51</f>
        <v>4.8812179747067</v>
      </c>
      <c r="BJ108" s="19" t="n">
        <f aca="false">BJ107*Time!BJ51</f>
        <v>4.47616276203957</v>
      </c>
      <c r="BK108" s="19" t="n">
        <f aca="false">BK107*Time!BK51</f>
        <v>4.21049870566576</v>
      </c>
      <c r="BL108" s="19" t="n">
        <f aca="false">BL107*Time!BL51</f>
        <v>3.78538471824267</v>
      </c>
      <c r="BM108" s="19" t="n">
        <f aca="false">BM107*Time!BM51</f>
        <v>3.47631123332142</v>
      </c>
      <c r="BN108" s="19" t="n">
        <f aca="false">BN107*Time!BN51</f>
        <v>3.0302827687057</v>
      </c>
      <c r="BO108" s="19" t="n">
        <f aca="false">BO107*Time!BO51</f>
        <v>2.70088277433994</v>
      </c>
      <c r="BP108" s="19" t="n">
        <f aca="false">BP107*Time!BP51</f>
        <v>2.39566223212694</v>
      </c>
      <c r="BQ108" s="19" t="n">
        <f aca="false">BQ107*Time!BQ51</f>
        <v>2.13532929464461</v>
      </c>
      <c r="BR108" s="19" t="n">
        <f aca="false">BR107*Time!BR51</f>
        <v>1.80203436426967</v>
      </c>
      <c r="BS108" s="19" t="n">
        <f aca="false">BS107*Time!BS51</f>
        <v>1.52615614422058</v>
      </c>
      <c r="BT108" s="19" t="n">
        <f aca="false">BT107*Time!BT51</f>
        <v>1.18168033476713</v>
      </c>
      <c r="BU108" s="19" t="n">
        <f aca="false">BU107*Time!BU51</f>
        <v>0.87401077431615</v>
      </c>
      <c r="BV108" s="19" t="n">
        <f aca="false">BV107*Time!BV51</f>
        <v>0.345250422941228</v>
      </c>
      <c r="BW108" s="19" t="n">
        <f aca="false">BW107*Time!BW51</f>
        <v>-0.0678503387253922</v>
      </c>
      <c r="BX108" s="19" t="n">
        <f aca="false">BX107*Time!BX51</f>
        <v>-0.500274626347917</v>
      </c>
      <c r="BY108" s="19" t="n">
        <f aca="false">BY107*Time!BY51</f>
        <v>-0.949264695573099</v>
      </c>
      <c r="BZ108" s="19" t="n">
        <f aca="false">BZ107*Time!BZ51</f>
        <v>-1.39031987568738</v>
      </c>
      <c r="CA108" s="19" t="n">
        <f aca="false">CA107*Time!CA51</f>
        <v>-1.88064778813811</v>
      </c>
      <c r="CB108" s="19" t="n">
        <f aca="false">CB107*Time!CB51</f>
        <v>-2.2928466797025</v>
      </c>
      <c r="CC108" s="19" t="n">
        <f aca="false">CC107*Time!CC51</f>
        <v>-2.78377620694136</v>
      </c>
      <c r="CD108" s="19" t="n">
        <f aca="false">CD107*Time!CD51</f>
        <v>-3.20825673807912</v>
      </c>
      <c r="CE108" s="19" t="n">
        <f aca="false">CE107*Time!CE51</f>
        <v>-3.74183269011282</v>
      </c>
      <c r="CF108" s="19" t="n">
        <f aca="false">CF107*Time!CF51</f>
        <v>-4.18222466641798</v>
      </c>
      <c r="CG108" s="19" t="n">
        <f aca="false">CG107*Time!CG51</f>
        <v>-4.72009601243029</v>
      </c>
      <c r="CH108" s="19" t="n">
        <f aca="false">CH107*Time!CH51</f>
        <v>-5.23174772572507</v>
      </c>
      <c r="CI108" s="19" t="n">
        <f aca="false">CI107*Time!CI51</f>
        <v>-6.739351286537</v>
      </c>
      <c r="CJ108" s="19" t="n">
        <f aca="false">CJ107*Time!CJ51</f>
        <v>-8.1098851280911</v>
      </c>
      <c r="CK108" s="19" t="n">
        <f aca="false">CK107*Time!CK51</f>
        <v>-9.75945766959802</v>
      </c>
      <c r="CL108" s="19" t="n">
        <f aca="false">CL107*Time!CL51</f>
        <v>-11.3423328709821</v>
      </c>
      <c r="CM108" s="19" t="n">
        <f aca="false">CM107*Time!CM51</f>
        <v>-13.2065297013849</v>
      </c>
      <c r="CN108" s="19" t="n">
        <f aca="false">CN107*Time!CN51</f>
        <v>-14.813950464327</v>
      </c>
      <c r="CO108" s="19" t="n">
        <f aca="false">CO107*Time!CO51</f>
        <v>-16.7693121911306</v>
      </c>
      <c r="CP108" s="19" t="n">
        <f aca="false">CP107*Time!CP51</f>
        <v>-18.3461612398117</v>
      </c>
      <c r="CQ108" s="19" t="n">
        <f aca="false">CQ107*Time!CQ51</f>
        <v>-18.650241260361</v>
      </c>
      <c r="CR108" s="19" t="n">
        <f aca="false">CR107*Time!CR51</f>
        <v>-18.3461612398117</v>
      </c>
      <c r="CS108" s="19" t="n">
        <f aca="false">CS107*Time!CS51</f>
        <v>-18.650241260361</v>
      </c>
      <c r="CT108" s="19" t="n">
        <f aca="false">CT107*Time!CT51</f>
        <v>-18.3461612398117</v>
      </c>
      <c r="CU108" s="19" t="n">
        <f aca="false">CU107*Time!CU51</f>
        <v>-18.650241260361</v>
      </c>
      <c r="CV108" s="19" t="n">
        <f aca="false">CV107*Time!CV51</f>
        <v>-18.4475212466615</v>
      </c>
      <c r="CW108" s="19" t="n">
        <f aca="false">CW107*Time!CW51</f>
        <v>-18.650241260361</v>
      </c>
      <c r="CX108" s="19" t="n">
        <f aca="false">CX107*Time!CX51</f>
        <v>-18.3461612398117</v>
      </c>
      <c r="CY108" s="19" t="n">
        <f aca="false">CY107*Time!CY51</f>
        <v>-18.650241260361</v>
      </c>
      <c r="CZ108" s="19" t="n">
        <f aca="false">CZ107*Time!CZ51</f>
        <v>-18.3461612398117</v>
      </c>
      <c r="DA108" s="19" t="n">
        <f aca="false">DA107*Time!DA51</f>
        <v>-18.650241260361</v>
      </c>
      <c r="DB108" s="19" t="n">
        <f aca="false">DB107*Time!DB51</f>
        <v>-18.3461612398117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0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1882.17408657907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11.4932001778348</v>
      </c>
      <c r="AK110" s="19" t="n">
        <f aca="false">IF(Time!AK47=1,MAX(AK108,AK104/$F$115),0)</f>
        <v>12.0766110644081</v>
      </c>
      <c r="AL110" s="19" t="n">
        <f aca="false">IF(Time!AL47=1,MAX(AL108,AL104/$F$115),0)</f>
        <v>12.3274842811517</v>
      </c>
      <c r="AM110" s="19" t="n">
        <f aca="false">IF(Time!AM47=1,MAX(AM108,AM104/$F$115),0)</f>
        <v>13.0241867893181</v>
      </c>
      <c r="AN110" s="19" t="n">
        <f aca="false">IF(Time!AN47=1,MAX(AN108,AN104/$F$115),0)</f>
        <v>13.2920103186525</v>
      </c>
      <c r="AO110" s="19" t="n">
        <f aca="false">IF(Time!AO47=1,MAX(AO108,AO104/$F$115),0)</f>
        <v>14.7442628312659</v>
      </c>
      <c r="AP110" s="19" t="n">
        <f aca="false">IF(Time!AP47=1,MAX(AP108,AP104/$F$115),0)</f>
        <v>15.0294454133878</v>
      </c>
      <c r="AQ110" s="19" t="n">
        <f aca="false">IF(Time!AQ47=1,MAX(AQ108,AQ104/$F$115),0)</f>
        <v>13.5334183622069</v>
      </c>
      <c r="AR110" s="19" t="n">
        <f aca="false">IF(Time!AR47=1,MAX(AR108,AR104/$F$115),0)</f>
        <v>13.9269283497324</v>
      </c>
      <c r="AS110" s="19" t="n">
        <f aca="false">IF(Time!AS47=1,MAX(AS108,AS104/$F$115),0)</f>
        <v>14.6808540717896</v>
      </c>
      <c r="AT110" s="19" t="n">
        <f aca="false">IF(Time!AT47=1,MAX(AT108,AT104/$F$115),0)</f>
        <v>15.0053996509041</v>
      </c>
      <c r="AU110" s="19" t="n">
        <f aca="false">IF(Time!AU47=1,MAX(AU108,AU104/$F$115),0)</f>
        <v>15.9057985891942</v>
      </c>
      <c r="AV110" s="19" t="n">
        <f aca="false">IF(Time!AV47=1,MAX(AV108,AV104/$F$115),0)</f>
        <v>16.2519300749517</v>
      </c>
      <c r="AW110" s="19" t="n">
        <f aca="false">IF(Time!AW47=1,MAX(AW108,AW104/$F$115),0)</f>
        <v>17.5512883540582</v>
      </c>
      <c r="AX110" s="19" t="n">
        <f aca="false">IF(Time!AX47=1,MAX(AX108,AX104/$F$115),0)</f>
        <v>17.6829253117238</v>
      </c>
      <c r="AY110" s="19" t="n">
        <f aca="false">IF(Time!AY47=1,MAX(AY108,AY104/$F$115),0)</f>
        <v>17.7003042838911</v>
      </c>
      <c r="AZ110" s="19" t="n">
        <f aca="false">IF(Time!AZ47=1,MAX(AZ108,AZ104/$F$115),0)</f>
        <v>17.9527000196149</v>
      </c>
      <c r="BA110" s="19" t="n">
        <f aca="false">IF(Time!BA47=1,MAX(BA108,BA104/$F$115),0)</f>
        <v>18.7667482670726</v>
      </c>
      <c r="BB110" s="19" t="n">
        <f aca="false">IF(Time!BB47=1,MAX(BB108,BB104/$F$115),0)</f>
        <v>18.912148698629</v>
      </c>
      <c r="BC110" s="19" t="n">
        <f aca="false">IF(Time!BC47=1,MAX(BC108,BC104/$F$115),0)</f>
        <v>21.7333848864307</v>
      </c>
      <c r="BD110" s="19" t="n">
        <f aca="false">IF(Time!BD47=1,MAX(BD108,BD104/$F$115),0)</f>
        <v>21.8865044553167</v>
      </c>
      <c r="BE110" s="19" t="n">
        <f aca="false">IF(Time!BE47=1,MAX(BE108,BE104/$F$115),0)</f>
        <v>23.78841438615</v>
      </c>
      <c r="BF110" s="19" t="n">
        <f aca="false">IF(Time!BF47=1,MAX(BF108,BF104/$F$115),0)</f>
        <v>23.9496271379879</v>
      </c>
      <c r="BG110" s="19" t="n">
        <f aca="false">IF(Time!BG47=1,MAX(BG108,BG104/$F$115),0)</f>
        <v>25.0267590687474</v>
      </c>
      <c r="BH110" s="19" t="n">
        <f aca="false">IF(Time!BH47=1,MAX(BH108,BH104/$F$115),0)</f>
        <v>25.3350480532187</v>
      </c>
      <c r="BI110" s="19" t="n">
        <f aca="false">IF(Time!BI47=1,MAX(BI108,BI104/$F$115),0)</f>
        <v>26.3300678649837</v>
      </c>
      <c r="BJ110" s="19" t="n">
        <f aca="false">IF(Time!BJ47=1,MAX(BJ108,BJ104/$F$115),0)</f>
        <v>26.5077997288143</v>
      </c>
      <c r="BK110" s="19" t="n">
        <f aca="false">IF(Time!BK47=1,MAX(BK108,BK104/$F$115),0)</f>
        <v>27.7019155766603</v>
      </c>
      <c r="BL110" s="19" t="n">
        <f aca="false">IF(Time!BL47=1,MAX(BL108,BL104/$F$115),0)</f>
        <v>27.8888860423469</v>
      </c>
      <c r="BM110" s="19" t="n">
        <f aca="false">IF(Time!BM47=1,MAX(BM108,BM104/$F$115),0)</f>
        <v>29.1348818373203</v>
      </c>
      <c r="BN110" s="19" t="n">
        <f aca="false">IF(Time!BN47=1,MAX(BN108,BN104/$F$115),0)</f>
        <v>27.6401455847549</v>
      </c>
      <c r="BO110" s="19" t="n">
        <f aca="false">IF(Time!BO47=1,MAX(BO108,BO104/$F$115),0)</f>
        <v>20.7806858115387</v>
      </c>
      <c r="BP110" s="19" t="n">
        <f aca="false">IF(Time!BP47=1,MAX(BP108,BP104/$F$115),0)</f>
        <v>20.9787996767411</v>
      </c>
      <c r="BQ110" s="19" t="n">
        <f aca="false">IF(Time!BQ47=1,MAX(BQ108,BQ104/$F$115),0)</f>
        <v>21.8054840762882</v>
      </c>
      <c r="BR110" s="19" t="n">
        <f aca="false">IF(Time!BR47=1,MAX(BR108,BR104/$F$115),0)</f>
        <v>21.6225374230584</v>
      </c>
      <c r="BS110" s="19" t="n">
        <f aca="false">IF(Time!BS47=1,MAX(BS108,BS104/$F$115),0)</f>
        <v>22.5876847844948</v>
      </c>
      <c r="BT110" s="19" t="n">
        <f aca="false">IF(Time!BT47=1,MAX(BT108,BT104/$F$115),0)</f>
        <v>22.3965547946484</v>
      </c>
      <c r="BU110" s="19" t="n">
        <f aca="false">IF(Time!BU47=1,MAX(BU108,BU104/$F$115),0)</f>
        <v>34.7808128782691</v>
      </c>
      <c r="BV110" s="19" t="n">
        <f aca="false">IF(Time!BV47=1,MAX(BV108,BV104/$F$115),0)</f>
        <v>27.4961540344193</v>
      </c>
      <c r="BW110" s="19" t="n">
        <f aca="false">IF(Time!BW47=1,MAX(BW108,BW104/$F$115),0)</f>
        <v>28.3211559505222</v>
      </c>
      <c r="BX110" s="19" t="n">
        <f aca="false">IF(Time!BX47=1,MAX(BX108,BX104/$F$115),0)</f>
        <v>28.2498637720666</v>
      </c>
      <c r="BY110" s="19" t="n">
        <f aca="false">IF(Time!BY47=1,MAX(BY108,BY104/$F$115),0)</f>
        <v>29.1367313124116</v>
      </c>
      <c r="BZ110" s="19" t="n">
        <f aca="false">IF(Time!BZ47=1,MAX(BZ108,BZ104/$F$115),0)</f>
        <v>28.9021348101025</v>
      </c>
      <c r="CA110" s="19" t="n">
        <f aca="false">IF(Time!CA47=1,MAX(CA108,CA104/$F$115),0)</f>
        <v>27.3044339911571</v>
      </c>
      <c r="CB110" s="19" t="n">
        <f aca="false">IF(Time!CB47=1,MAX(CB108,CB104/$F$115),0)</f>
        <v>27.068866238215</v>
      </c>
      <c r="CC110" s="19" t="n">
        <f aca="false">IF(Time!CC47=1,MAX(CC108,CC104/$F$115),0)</f>
        <v>28.1810683639406</v>
      </c>
      <c r="CD110" s="19" t="n">
        <f aca="false">IF(Time!CD47=1,MAX(CD108,CD104/$F$115),0)</f>
        <v>27.934496083335</v>
      </c>
      <c r="CE110" s="19" t="n">
        <f aca="false">IF(Time!CE47=1,MAX(CE108,CE104/$F$115),0)</f>
        <v>27.7866428231499</v>
      </c>
      <c r="CF110" s="19" t="n">
        <f aca="false">IF(Time!CF47=1,MAX(CF108,CF104/$F$115),0)</f>
        <v>27.7068390086318</v>
      </c>
      <c r="CG110" s="19" t="n">
        <f aca="false">IF(Time!CG47=1,MAX(CG108,CG104/$F$115),0)</f>
        <v>34.0699551134316</v>
      </c>
      <c r="CH110" s="19" t="n">
        <f aca="false">IF(Time!CH47=1,MAX(CH108,CH104/$F$115),0)</f>
        <v>86.8797667652343</v>
      </c>
      <c r="CI110" s="19" t="n">
        <f aca="false">IF(Time!CI47=1,MAX(CI108,CI104/$F$115),0)</f>
        <v>90.8216420518469</v>
      </c>
      <c r="CJ110" s="19" t="n">
        <f aca="false">IF(Time!CJ47=1,MAX(CJ108,CJ104/$F$115),0)</f>
        <v>90.1125169969509</v>
      </c>
      <c r="CK110" s="19" t="n">
        <f aca="false">IF(Time!CK47=1,MAX(CK108,CK104/$F$115),0)</f>
        <v>105.040099934393</v>
      </c>
      <c r="CL110" s="19" t="n">
        <f aca="false">IF(Time!CL47=1,MAX(CL108,CL104/$F$115),0)</f>
        <v>97.3202599232623</v>
      </c>
      <c r="CM110" s="19" t="n">
        <f aca="false">IF(Time!CM47=1,MAX(CM108,CM104/$F$115),0)</f>
        <v>101.550356309488</v>
      </c>
      <c r="CN110" s="19" t="n">
        <f aca="false">IF(Time!CN47=1,MAX(CN108,CN104/$F$115),0)</f>
        <v>101.392435895709</v>
      </c>
      <c r="CO110" s="19" t="n">
        <f aca="false">IF(Time!CO47=1,MAX(CO108,CO104/$F$115),0)</f>
        <v>105.165028223247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1777.2020270909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7.19143186800999</v>
      </c>
      <c r="AK111" s="19" t="n">
        <f aca="false">IF(Time!AK47=1,AK110-AK108,0)</f>
        <v>3.42310532382955</v>
      </c>
      <c r="AL111" s="19" t="n">
        <f aca="false">IF(Time!AL47=1,AL110-AL108,0)</f>
        <v>3.86701135231982</v>
      </c>
      <c r="AM111" s="19" t="n">
        <f aca="false">IF(Time!AM47=1,AM110-AM108,0)</f>
        <v>4.48313659102285</v>
      </c>
      <c r="AN111" s="19" t="n">
        <f aca="false">IF(Time!AN47=1,AN110-AN108,0)</f>
        <v>4.95824459365342</v>
      </c>
      <c r="AO111" s="19" t="n">
        <f aca="false">IF(Time!AO47=1,AO110-AO108,0)</f>
        <v>6.34885305111369</v>
      </c>
      <c r="AP111" s="19" t="n">
        <f aca="false">IF(Time!AP47=1,AP110-AP108,0)</f>
        <v>6.86725637610192</v>
      </c>
      <c r="AQ111" s="19" t="n">
        <f aca="false">IF(Time!AQ47=1,AQ110-AQ108,0)</f>
        <v>5.34187702731219</v>
      </c>
      <c r="AR111" s="19" t="n">
        <f aca="false">IF(Time!AR47=1,AR110-AR108,0)</f>
        <v>5.90593230634936</v>
      </c>
      <c r="AS111" s="19" t="n">
        <f aca="false">IF(Time!AS47=1,AS110-AS108,0)</f>
        <v>6.66281867024351</v>
      </c>
      <c r="AT111" s="19" t="n">
        <f aca="false">IF(Time!AT47=1,AT110-AT108,0)</f>
        <v>7.21919634081581</v>
      </c>
      <c r="AU111" s="19" t="n">
        <f aca="false">IF(Time!AU47=1,AU110-AU108,0)</f>
        <v>8.10190372824611</v>
      </c>
      <c r="AV111" s="19" t="n">
        <f aca="false">IF(Time!AV47=1,AV110-AV108,0)</f>
        <v>8.69821291511686</v>
      </c>
      <c r="AW111" s="19" t="n">
        <f aca="false">IF(Time!AW47=1,AW110-AW108,0)</f>
        <v>10.0065479499561</v>
      </c>
      <c r="AX111" s="19" t="n">
        <f aca="false">IF(Time!AX47=1,AX110-AX108,0)</f>
        <v>10.4130388053883</v>
      </c>
      <c r="AY111" s="19" t="n">
        <f aca="false">IF(Time!AY47=1,AY110-AY108,0)</f>
        <v>10.4705513901104</v>
      </c>
      <c r="AZ111" s="19" t="n">
        <f aca="false">IF(Time!AZ47=1,AZ110-AZ108,0)</f>
        <v>10.9612919301223</v>
      </c>
      <c r="BA111" s="19" t="n">
        <f aca="false">IF(Time!BA47=1,BA110-BA108,0)</f>
        <v>11.8675977037856</v>
      </c>
      <c r="BB111" s="19" t="n">
        <f aca="false">IF(Time!BB47=1,BB110-BB108,0)</f>
        <v>12.3055661396446</v>
      </c>
      <c r="BC111" s="19" t="n">
        <f aca="false">IF(Time!BC47=1,BC110-BC108,0)</f>
        <v>15.2071235880863</v>
      </c>
      <c r="BD111" s="19" t="n">
        <f aca="false">IF(Time!BD47=1,BD110-BD108,0)</f>
        <v>15.6974062342118</v>
      </c>
      <c r="BE111" s="19" t="n">
        <f aca="false">IF(Time!BE47=1,BE110-BE108,0)</f>
        <v>17.7388787445494</v>
      </c>
      <c r="BF111" s="19" t="n">
        <f aca="false">IF(Time!BF47=1,BF110-BF108,0)</f>
        <v>18.2678993497142</v>
      </c>
      <c r="BG111" s="19" t="n">
        <f aca="false">IF(Time!BG47=1,BG110-BG108,0)</f>
        <v>19.5326551076453</v>
      </c>
      <c r="BH111" s="19" t="n">
        <f aca="false">IF(Time!BH47=1,BH110-BH108,0)</f>
        <v>20.1986934704891</v>
      </c>
      <c r="BI111" s="19" t="n">
        <f aca="false">IF(Time!BI47=1,BI110-BI108,0)</f>
        <v>21.448849890277</v>
      </c>
      <c r="BJ111" s="19" t="n">
        <f aca="false">IF(Time!BJ47=1,BJ110-BJ108,0)</f>
        <v>22.0316369667747</v>
      </c>
      <c r="BK111" s="19" t="n">
        <f aca="false">IF(Time!BK47=1,BK110-BK108,0)</f>
        <v>23.4914168709946</v>
      </c>
      <c r="BL111" s="19" t="n">
        <f aca="false">IF(Time!BL47=1,BL110-BL108,0)</f>
        <v>24.1035013241042</v>
      </c>
      <c r="BM111" s="19" t="n">
        <f aca="false">IF(Time!BM47=1,BM110-BM108,0)</f>
        <v>25.6585706039989</v>
      </c>
      <c r="BN111" s="19" t="n">
        <f aca="false">IF(Time!BN47=1,BN110-BN108,0)</f>
        <v>24.6098628160492</v>
      </c>
      <c r="BO111" s="19" t="n">
        <f aca="false">IF(Time!BO47=1,BO110-BO108,0)</f>
        <v>18.0798030371987</v>
      </c>
      <c r="BP111" s="19" t="n">
        <f aca="false">IF(Time!BP47=1,BP110-BP108,0)</f>
        <v>18.5831374446141</v>
      </c>
      <c r="BQ111" s="19" t="n">
        <f aca="false">IF(Time!BQ47=1,BQ110-BQ108,0)</f>
        <v>19.6701547816436</v>
      </c>
      <c r="BR111" s="19" t="n">
        <f aca="false">IF(Time!BR47=1,BR110-BR108,0)</f>
        <v>19.8205030587888</v>
      </c>
      <c r="BS111" s="19" t="n">
        <f aca="false">IF(Time!BS47=1,BS110-BS108,0)</f>
        <v>21.0615286402743</v>
      </c>
      <c r="BT111" s="19" t="n">
        <f aca="false">IF(Time!BT47=1,BT110-BT108,0)</f>
        <v>21.2148744598813</v>
      </c>
      <c r="BU111" s="19" t="n">
        <f aca="false">IF(Time!BU47=1,BU110-BU108,0)</f>
        <v>33.906802103953</v>
      </c>
      <c r="BV111" s="19" t="n">
        <f aca="false">IF(Time!BV47=1,BV110-BV108,0)</f>
        <v>27.150903611478</v>
      </c>
      <c r="BW111" s="19" t="n">
        <f aca="false">IF(Time!BW47=1,BW110-BW108,0)</f>
        <v>28.3890062892476</v>
      </c>
      <c r="BX111" s="19" t="n">
        <f aca="false">IF(Time!BX47=1,BX110-BX108,0)</f>
        <v>28.7501383984145</v>
      </c>
      <c r="BY111" s="19" t="n">
        <f aca="false">IF(Time!BY47=1,BY110-BY108,0)</f>
        <v>30.0859960079847</v>
      </c>
      <c r="BZ111" s="19" t="n">
        <f aca="false">IF(Time!BZ47=1,BZ110-BZ108,0)</f>
        <v>30.2924546857899</v>
      </c>
      <c r="CA111" s="19" t="n">
        <f aca="false">IF(Time!CA47=1,CA110-CA108,0)</f>
        <v>29.1850817792952</v>
      </c>
      <c r="CB111" s="19" t="n">
        <f aca="false">IF(Time!CB47=1,CB110-CB108,0)</f>
        <v>29.3617129179175</v>
      </c>
      <c r="CC111" s="19" t="n">
        <f aca="false">IF(Time!CC47=1,CC110-CC108,0)</f>
        <v>30.964844570882</v>
      </c>
      <c r="CD111" s="19" t="n">
        <f aca="false">IF(Time!CD47=1,CD110-CD108,0)</f>
        <v>31.1427528214142</v>
      </c>
      <c r="CE111" s="19" t="n">
        <f aca="false">IF(Time!CE47=1,CE110-CE108,0)</f>
        <v>31.5284755132627</v>
      </c>
      <c r="CF111" s="19" t="n">
        <f aca="false">IF(Time!CF47=1,CF110-CF108,0)</f>
        <v>31.8890636750498</v>
      </c>
      <c r="CG111" s="19" t="n">
        <f aca="false">IF(Time!CG47=1,CG110-CG108,0)</f>
        <v>38.7900511258618</v>
      </c>
      <c r="CH111" s="19" t="n">
        <f aca="false">IF(Time!CH47=1,CH110-CH108,0)</f>
        <v>92.1115144909594</v>
      </c>
      <c r="CI111" s="19" t="n">
        <f aca="false">IF(Time!CI47=1,CI110-CI108,0)</f>
        <v>97.5609933383839</v>
      </c>
      <c r="CJ111" s="19" t="n">
        <f aca="false">IF(Time!CJ47=1,CJ110-CJ108,0)</f>
        <v>98.222402125042</v>
      </c>
      <c r="CK111" s="19" t="n">
        <f aca="false">IF(Time!CK47=1,CK110-CK108,0)</f>
        <v>114.799557603991</v>
      </c>
      <c r="CL111" s="19" t="n">
        <f aca="false">IF(Time!CL47=1,CL110-CL108,0)</f>
        <v>108.662592794244</v>
      </c>
      <c r="CM111" s="19" t="n">
        <f aca="false">IF(Time!CM47=1,CM110-CM108,0)</f>
        <v>114.756886010873</v>
      </c>
      <c r="CN111" s="19" t="n">
        <f aca="false">IF(Time!CN47=1,CN110-CN108,0)</f>
        <v>116.206386360036</v>
      </c>
      <c r="CO111" s="19" t="n">
        <f aca="false">IF(Time!CO47=1,CO110-CO108,0)</f>
        <v>121.934340414378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560.977833779333</v>
      </c>
      <c r="AK112" s="19" t="n">
        <f aca="false">AK106+AK107-AK108-AK111</f>
        <v>557.554728455503</v>
      </c>
      <c r="AL112" s="19" t="n">
        <f aca="false">AL106+AL107-AL108-AL111</f>
        <v>553.687717103184</v>
      </c>
      <c r="AM112" s="19" t="n">
        <f aca="false">AM106+AM107-AM108-AM111</f>
        <v>549.204580512161</v>
      </c>
      <c r="AN112" s="19" t="n">
        <f aca="false">AN106+AN107-AN108-AN111</f>
        <v>544.246335918507</v>
      </c>
      <c r="AO112" s="19" t="n">
        <f aca="false">AO106+AO107-AO108-AO111</f>
        <v>537.897482867394</v>
      </c>
      <c r="AP112" s="19" t="n">
        <f aca="false">AP106+AP107-AP108-AP111</f>
        <v>531.030226491292</v>
      </c>
      <c r="AQ112" s="19" t="n">
        <f aca="false">AQ106+AQ107-AQ108-AQ111</f>
        <v>525.68834946398</v>
      </c>
      <c r="AR112" s="19" t="n">
        <f aca="false">AR106+AR107-AR108-AR111</f>
        <v>519.78241715763</v>
      </c>
      <c r="AS112" s="19" t="n">
        <f aca="false">AS106+AS107-AS108-AS111</f>
        <v>513.119598487387</v>
      </c>
      <c r="AT112" s="19" t="n">
        <f aca="false">AT106+AT107-AT108-AT111</f>
        <v>505.900402146571</v>
      </c>
      <c r="AU112" s="19" t="n">
        <f aca="false">AU106+AU107-AU108-AU111</f>
        <v>497.798498418325</v>
      </c>
      <c r="AV112" s="19" t="n">
        <f aca="false">AV106+AV107-AV108-AV111</f>
        <v>489.100285503208</v>
      </c>
      <c r="AW112" s="19" t="n">
        <f aca="false">AW106+AW107-AW108-AW111</f>
        <v>479.093737553252</v>
      </c>
      <c r="AX112" s="19" t="n">
        <f aca="false">AX106+AX107-AX108-AX111</f>
        <v>468.680698747864</v>
      </c>
      <c r="AY112" s="19" t="n">
        <f aca="false">AY106+AY107-AY108-AY111</f>
        <v>458.210147357753</v>
      </c>
      <c r="AZ112" s="19" t="n">
        <f aca="false">AZ106+AZ107-AZ108-AZ111</f>
        <v>447.248855427631</v>
      </c>
      <c r="BA112" s="19" t="n">
        <f aca="false">BA106+BA107-BA108-BA111</f>
        <v>435.381257723845</v>
      </c>
      <c r="BB112" s="19" t="n">
        <f aca="false">BB106+BB107-BB108-BB111</f>
        <v>423.075691584201</v>
      </c>
      <c r="BC112" s="19" t="n">
        <f aca="false">BC106+BC107-BC108-BC111</f>
        <v>407.868567996114</v>
      </c>
      <c r="BD112" s="19" t="n">
        <f aca="false">BD106+BD107-BD108-BD111</f>
        <v>392.171161761903</v>
      </c>
      <c r="BE112" s="19" t="n">
        <f aca="false">BE106+BE107-BE108-BE111</f>
        <v>374.432283017353</v>
      </c>
      <c r="BF112" s="19" t="n">
        <f aca="false">BF106+BF107-BF108-BF111</f>
        <v>356.164383667639</v>
      </c>
      <c r="BG112" s="19" t="n">
        <f aca="false">BG106+BG107-BG108-BG111</f>
        <v>336.631728559994</v>
      </c>
      <c r="BH112" s="19" t="n">
        <f aca="false">BH106+BH107-BH108-BH111</f>
        <v>316.433035089505</v>
      </c>
      <c r="BI112" s="19" t="n">
        <f aca="false">BI106+BI107-BI108-BI111</f>
        <v>294.984185199228</v>
      </c>
      <c r="BJ112" s="19" t="n">
        <f aca="false">BJ106+BJ107-BJ108-BJ111</f>
        <v>272.952548232453</v>
      </c>
      <c r="BK112" s="19" t="n">
        <f aca="false">BK106+BK107-BK108-BK111</f>
        <v>249.461131361458</v>
      </c>
      <c r="BL112" s="19" t="n">
        <f aca="false">BL106+BL107-BL108-BL111</f>
        <v>225.357630037354</v>
      </c>
      <c r="BM112" s="19" t="n">
        <f aca="false">BM106+BM107-BM108-BM111</f>
        <v>199.699059433355</v>
      </c>
      <c r="BN112" s="19" t="n">
        <f aca="false">BN106+BN107-BN108-BN111</f>
        <v>175.089196617306</v>
      </c>
      <c r="BO112" s="19" t="n">
        <f aca="false">BO106+BO107-BO108-BO111</f>
        <v>157.009393580107</v>
      </c>
      <c r="BP112" s="19" t="n">
        <f aca="false">BP106+BP107-BP108-BP111</f>
        <v>138.426256135493</v>
      </c>
      <c r="BQ112" s="19" t="n">
        <f aca="false">BQ106+BQ107-BQ108-BQ111</f>
        <v>118.75610135385</v>
      </c>
      <c r="BR112" s="19" t="n">
        <f aca="false">BR106+BR107-BR108-BR111</f>
        <v>98.9355982950608</v>
      </c>
      <c r="BS112" s="19" t="n">
        <f aca="false">BS106+BS107-BS108-BS111</f>
        <v>77.8740696547866</v>
      </c>
      <c r="BT112" s="19" t="n">
        <f aca="false">BT106+BT107-BT108-BT111</f>
        <v>56.6591951949053</v>
      </c>
      <c r="BU112" s="19" t="n">
        <f aca="false">BU106+BU107-BU108-BU111</f>
        <v>22.7523930909523</v>
      </c>
      <c r="BV112" s="19" t="n">
        <f aca="false">BV106+BV107-BV108-BV111</f>
        <v>-4.39851052052574</v>
      </c>
      <c r="BW112" s="19" t="n">
        <f aca="false">BW106+BW107-BW108-BW111</f>
        <v>-32.7875168097733</v>
      </c>
      <c r="BX112" s="19" t="n">
        <f aca="false">BX106+BX107-BX108-BX111</f>
        <v>-61.5376552081879</v>
      </c>
      <c r="BY112" s="19" t="n">
        <f aca="false">BY106+BY107-BY108-BY111</f>
        <v>-91.6236512161725</v>
      </c>
      <c r="BZ112" s="19" t="n">
        <f aca="false">BZ106+BZ107-BZ108-BZ111</f>
        <v>-121.916105901962</v>
      </c>
      <c r="CA112" s="19" t="n">
        <f aca="false">CA106+CA107-CA108-CA111</f>
        <v>-151.101187681258</v>
      </c>
      <c r="CB112" s="19" t="n">
        <f aca="false">CB106+CB107-CB108-CB111</f>
        <v>-180.462900599175</v>
      </c>
      <c r="CC112" s="19" t="n">
        <f aca="false">CC106+CC107-CC108-CC111</f>
        <v>-211.427745170057</v>
      </c>
      <c r="CD112" s="19" t="n">
        <f aca="false">CD106+CD107-CD108-CD111</f>
        <v>-242.570497991471</v>
      </c>
      <c r="CE112" s="19" t="n">
        <f aca="false">CE106+CE107-CE108-CE111</f>
        <v>-274.098973504734</v>
      </c>
      <c r="CF112" s="19" t="n">
        <f aca="false">CF106+CF107-CF108-CF111</f>
        <v>-305.988037179784</v>
      </c>
      <c r="CG112" s="19" t="n">
        <f aca="false">CG106+CG107-CG108-CG111</f>
        <v>-344.778088305646</v>
      </c>
      <c r="CH112" s="19" t="n">
        <f aca="false">CH106+CH107-CH108-CH111</f>
        <v>-436.889602796605</v>
      </c>
      <c r="CI112" s="19" t="n">
        <f aca="false">CI106+CI107-CI108-CI111</f>
        <v>-534.450596134989</v>
      </c>
      <c r="CJ112" s="19" t="n">
        <f aca="false">CJ106+CJ107-CJ108-CJ111</f>
        <v>-632.672998260031</v>
      </c>
      <c r="CK112" s="19" t="n">
        <f aca="false">CK106+CK107-CK108-CK111</f>
        <v>-747.472555864022</v>
      </c>
      <c r="CL112" s="19" t="n">
        <f aca="false">CL106+CL107-CL108-CL111</f>
        <v>-856.135148658266</v>
      </c>
      <c r="CM112" s="19" t="n">
        <f aca="false">CM106+CM107-CM108-CM111</f>
        <v>-970.892034669139</v>
      </c>
      <c r="CN112" s="19" t="n">
        <f aca="false">CN106+CN107-CN108-CN111</f>
        <v>-1087.09842102917</v>
      </c>
      <c r="CO112" s="19" t="n">
        <f aca="false">CO106+CO107-CO108-CO111</f>
        <v>-1209.03276144355</v>
      </c>
      <c r="CP112" s="19" t="n">
        <f aca="false">CP106+CP107-CP108-CP111</f>
        <v>-1209.03276144355</v>
      </c>
      <c r="CQ112" s="19" t="n">
        <f aca="false">CQ106+CQ107-CQ108-CQ111</f>
        <v>-1209.03276144355</v>
      </c>
      <c r="CR112" s="19" t="n">
        <f aca="false">CR106+CR107-CR108-CR111</f>
        <v>-1209.03276144355</v>
      </c>
      <c r="CS112" s="19" t="n">
        <f aca="false">CS106+CS107-CS108-CS111</f>
        <v>-1209.03276144355</v>
      </c>
      <c r="CT112" s="19" t="n">
        <f aca="false">CT106+CT107-CT108-CT111</f>
        <v>-1209.03276144355</v>
      </c>
      <c r="CU112" s="19" t="n">
        <f aca="false">CU106+CU107-CU108-CU111</f>
        <v>-1209.03276144355</v>
      </c>
      <c r="CV112" s="19" t="n">
        <f aca="false">CV106+CV107-CV108-CV111</f>
        <v>-1209.03276144355</v>
      </c>
      <c r="CW112" s="19" t="n">
        <f aca="false">CW106+CW107-CW108-CW111</f>
        <v>-1209.03276144355</v>
      </c>
      <c r="CX112" s="19" t="n">
        <f aca="false">CX106+CX107-CX108-CX111</f>
        <v>-1209.03276144355</v>
      </c>
      <c r="CY112" s="19" t="n">
        <f aca="false">CY106+CY107-CY108-CY111</f>
        <v>-1209.03276144355</v>
      </c>
      <c r="CZ112" s="19" t="n">
        <f aca="false">CZ106+CZ107-CZ108-CZ111</f>
        <v>-1209.03276144355</v>
      </c>
      <c r="DA112" s="19" t="n">
        <f aca="false">DA106+DA107-DA108-DA111</f>
        <v>-1209.03276144355</v>
      </c>
      <c r="DB112" s="19" t="n">
        <f aca="false">DB106+DB107-DB108-DB111</f>
        <v>-1209.03276144355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23.0533401819306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25.0503904348706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25.1508622905596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24.9746741850431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25.2447615195311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26.4296082744351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26.5404185160733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31.0730822191862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31.1898989720418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34.1520286404255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34.2751060537202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35.827659376166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36.1549955143621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37.5865853074074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37.7218247100396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39.4331843358165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39.5754471499961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41.3558134666003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41.5042168372112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36.3859277619612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36.782607101421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38.4991094572439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38.182372238154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40.1753349166406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39.8478504332762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48.8987871038368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48.5601185394209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50.7000252078501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50.6279568693624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52.5658535391762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52.2034649826372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49.9877511628354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49.6128055244397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51.9870481968132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51.5990663118775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51.8718123417449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45.5693846585805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48.55299127962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5.51181991980927E-014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5.55648191080975E-014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5.51181991980927E-014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5.55648191080975E-014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5.51181991980927E-014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5.55648191080975E-014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5.52670725014276E-014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5.55648191080975E-014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5.51181991980927E-014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5.55648191080975E-014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5.51181991980927E-014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5.55648191080975E-014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5.51181991980927E-014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5.55648191080975E-014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5.52670725014276E-014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5.55648191080975E-014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5.51181991980927E-014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5.55648191080975E-014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5.51181991980927E-014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5.55648191080975E-014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5.51181991980927E-014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23.0533401819306</v>
      </c>
      <c r="AV7" s="19" t="n">
        <f aca="false">IF(Time!AV20=1,IF(Time!AV8=Inputs!$F$15,AV6*Inputs!$F$115/Time!AW14,0),IF(Time!AV35=1,0,IF(Time!AW14=0,0,AV6*Inputs!$F$115/Time!AW14)))</f>
        <v>25.0503904348706</v>
      </c>
      <c r="AW7" s="19" t="n">
        <f aca="false">IF(Time!AW20=1,IF(Time!AW8=Inputs!$F$15,AW6*Inputs!$F$115/Time!AX14,0),IF(Time!AW35=1,0,IF(Time!AX14=0,0,AW6*Inputs!$F$115/Time!AX14)))</f>
        <v>25.1508622905596</v>
      </c>
      <c r="AX7" s="19" t="n">
        <f aca="false">IF(Time!AX20=1,IF(Time!AX8=Inputs!$F$15,AX6*Inputs!$F$115/Time!AY14,0),IF(Time!AX35=1,0,IF(Time!AY14=0,0,AX6*Inputs!$F$115/Time!AY14)))</f>
        <v>24.9746741850431</v>
      </c>
      <c r="AY7" s="19" t="n">
        <f aca="false">IF(Time!AY20=1,IF(Time!AY8=Inputs!$F$15,AY6*Inputs!$F$115/Time!AZ14,0),IF(Time!AY35=1,0,IF(Time!AZ14=0,0,AY6*Inputs!$F$115/Time!AZ14)))</f>
        <v>25.2447615195311</v>
      </c>
      <c r="AZ7" s="19" t="n">
        <f aca="false">IF(Time!AZ20=1,IF(Time!AZ8=Inputs!$F$15,AZ6*Inputs!$F$115/Time!BA14,0),IF(Time!AZ35=1,0,IF(Time!BA14=0,0,AZ6*Inputs!$F$115/Time!BA14)))</f>
        <v>26.4296082744351</v>
      </c>
      <c r="BA7" s="19" t="n">
        <f aca="false">IF(Time!BA20=1,IF(Time!BA8=Inputs!$F$15,BA6*Inputs!$F$115/Time!BB14,0),IF(Time!BA35=1,0,IF(Time!BB14=0,0,BA6*Inputs!$F$115/Time!BB14)))</f>
        <v>26.5404185160733</v>
      </c>
      <c r="BB7" s="19" t="n">
        <f aca="false">IF(Time!BB20=1,IF(Time!BB8=Inputs!$F$15,BB6*Inputs!$F$115/Time!BC14,0),IF(Time!BB35=1,0,IF(Time!BC14=0,0,BB6*Inputs!$F$115/Time!BC14)))</f>
        <v>31.0730822191862</v>
      </c>
      <c r="BC7" s="19" t="n">
        <f aca="false">IF(Time!BC20=1,IF(Time!BC8=Inputs!$F$15,BC6*Inputs!$F$115/Time!BD14,0),IF(Time!BC35=1,0,IF(Time!BD14=0,0,BC6*Inputs!$F$115/Time!BD14)))</f>
        <v>31.1898989720418</v>
      </c>
      <c r="BD7" s="19" t="n">
        <f aca="false">IF(Time!BD20=1,IF(Time!BD8=Inputs!$F$15,BD6*Inputs!$F$115/Time!BE14,0),IF(Time!BD35=1,0,IF(Time!BE14=0,0,BD6*Inputs!$F$115/Time!BE14)))</f>
        <v>34.1520286404255</v>
      </c>
      <c r="BE7" s="19" t="n">
        <f aca="false">IF(Time!BE20=1,IF(Time!BE8=Inputs!$F$15,BE6*Inputs!$F$115/Time!BF14,0),IF(Time!BE35=1,0,IF(Time!BF14=0,0,BE6*Inputs!$F$115/Time!BF14)))</f>
        <v>34.2751060537202</v>
      </c>
      <c r="BF7" s="19" t="n">
        <f aca="false">IF(Time!BF20=1,IF(Time!BF8=Inputs!$F$15,BF6*Inputs!$F$115/Time!BG14,0),IF(Time!BF35=1,0,IF(Time!BG14=0,0,BF6*Inputs!$F$115/Time!BG14)))</f>
        <v>35.827659376166</v>
      </c>
      <c r="BG7" s="19" t="n">
        <f aca="false">IF(Time!BG20=1,IF(Time!BG8=Inputs!$F$15,BG6*Inputs!$F$115/Time!BH14,0),IF(Time!BG35=1,0,IF(Time!BH14=0,0,BG6*Inputs!$F$115/Time!BH14)))</f>
        <v>36.1549955143621</v>
      </c>
      <c r="BH7" s="19" t="n">
        <f aca="false">IF(Time!BH20=1,IF(Time!BH8=Inputs!$F$15,BH6*Inputs!$F$115/Time!BI14,0),IF(Time!BH35=1,0,IF(Time!BI14=0,0,BH6*Inputs!$F$115/Time!BI14)))</f>
        <v>37.5865853074074</v>
      </c>
      <c r="BI7" s="19" t="n">
        <f aca="false">IF(Time!BI20=1,IF(Time!BI8=Inputs!$F$15,BI6*Inputs!$F$115/Time!BJ14,0),IF(Time!BI35=1,0,IF(Time!BJ14=0,0,BI6*Inputs!$F$115/Time!BJ14)))</f>
        <v>37.7218247100396</v>
      </c>
      <c r="BJ7" s="19" t="n">
        <f aca="false">IF(Time!BJ20=1,IF(Time!BJ8=Inputs!$F$15,BJ6*Inputs!$F$115/Time!BK14,0),IF(Time!BJ35=1,0,IF(Time!BK14=0,0,BJ6*Inputs!$F$115/Time!BK14)))</f>
        <v>39.4331843358165</v>
      </c>
      <c r="BK7" s="19" t="n">
        <f aca="false">IF(Time!BK20=1,IF(Time!BK8=Inputs!$F$15,BK6*Inputs!$F$115/Time!BL14,0),IF(Time!BK35=1,0,IF(Time!BL14=0,0,BK6*Inputs!$F$115/Time!BL14)))</f>
        <v>39.5754471499961</v>
      </c>
      <c r="BL7" s="19" t="n">
        <f aca="false">IF(Time!BL20=1,IF(Time!BL8=Inputs!$F$15,BL6*Inputs!$F$115/Time!BM14,0),IF(Time!BL35=1,0,IF(Time!BM14=0,0,BL6*Inputs!$F$115/Time!BM14)))</f>
        <v>41.3558134666003</v>
      </c>
      <c r="BM7" s="19" t="n">
        <f aca="false">IF(Time!BM20=1,IF(Time!BM8=Inputs!$F$15,BM6*Inputs!$F$115/Time!BN14,0),IF(Time!BM35=1,0,IF(Time!BN14=0,0,BM6*Inputs!$F$115/Time!BN14)))</f>
        <v>41.5042168372112</v>
      </c>
      <c r="BN7" s="19" t="n">
        <f aca="false">IF(Time!BN20=1,IF(Time!BN8=Inputs!$F$15,BN6*Inputs!$F$115/Time!BO14,0),IF(Time!BN35=1,0,IF(Time!BO14=0,0,BN6*Inputs!$F$115/Time!BO14)))</f>
        <v>36.3859277619612</v>
      </c>
      <c r="BO7" s="19" t="n">
        <f aca="false">IF(Time!BO20=1,IF(Time!BO8=Inputs!$F$15,BO6*Inputs!$F$115/Time!BP14,0),IF(Time!BO35=1,0,IF(Time!BP14=0,0,BO6*Inputs!$F$115/Time!BP14)))</f>
        <v>36.782607101421</v>
      </c>
      <c r="BP7" s="19" t="n">
        <f aca="false">IF(Time!BP20=1,IF(Time!BP8=Inputs!$F$15,BP6*Inputs!$F$115/Time!BQ14,0),IF(Time!BP35=1,0,IF(Time!BQ14=0,0,BP6*Inputs!$F$115/Time!BQ14)))</f>
        <v>38.4991094572439</v>
      </c>
      <c r="BQ7" s="19" t="n">
        <f aca="false">IF(Time!BQ20=1,IF(Time!BQ8=Inputs!$F$15,BQ6*Inputs!$F$115/Time!BR14,0),IF(Time!BQ35=1,0,IF(Time!BR14=0,0,BQ6*Inputs!$F$115/Time!BR14)))</f>
        <v>38.182372238154</v>
      </c>
      <c r="BR7" s="19" t="n">
        <f aca="false">IF(Time!BR20=1,IF(Time!BR8=Inputs!$F$15,BR6*Inputs!$F$115/Time!BS14,0),IF(Time!BR35=1,0,IF(Time!BS14=0,0,BR6*Inputs!$F$115/Time!BS14)))</f>
        <v>40.1753349166406</v>
      </c>
      <c r="BS7" s="19" t="n">
        <f aca="false">IF(Time!BS20=1,IF(Time!BS8=Inputs!$F$15,BS6*Inputs!$F$115/Time!BT14,0),IF(Time!BS35=1,0,IF(Time!BT14=0,0,BS6*Inputs!$F$115/Time!BT14)))</f>
        <v>39.8478504332762</v>
      </c>
      <c r="BT7" s="19" t="n">
        <f aca="false">IF(Time!BT20=1,IF(Time!BT8=Inputs!$F$15,BT6*Inputs!$F$115/Time!BU14,0),IF(Time!BT35=1,0,IF(Time!BU14=0,0,BT6*Inputs!$F$115/Time!BU14)))</f>
        <v>48.8987871038368</v>
      </c>
      <c r="BU7" s="19" t="n">
        <f aca="false">IF(Time!BU20=1,IF(Time!BU8=Inputs!$F$15,BU6*Inputs!$F$115/Time!BV14,0),IF(Time!BU35=1,0,IF(Time!BV14=0,0,BU6*Inputs!$F$115/Time!BV14)))</f>
        <v>48.5601185394209</v>
      </c>
      <c r="BV7" s="19" t="n">
        <f aca="false">IF(Time!BV20=1,IF(Time!BV8=Inputs!$F$15,BV6*Inputs!$F$115/Time!BW14,0),IF(Time!BV35=1,0,IF(Time!BW14=0,0,BV6*Inputs!$F$115/Time!BW14)))</f>
        <v>50.7000252078501</v>
      </c>
      <c r="BW7" s="19" t="n">
        <f aca="false">IF(Time!BW20=1,IF(Time!BW8=Inputs!$F$15,BW6*Inputs!$F$115/Time!BX14,0),IF(Time!BW35=1,0,IF(Time!BX14=0,0,BW6*Inputs!$F$115/Time!BX14)))</f>
        <v>50.6279568693624</v>
      </c>
      <c r="BX7" s="19" t="n">
        <f aca="false">IF(Time!BX20=1,IF(Time!BX8=Inputs!$F$15,BX6*Inputs!$F$115/Time!BY14,0),IF(Time!BX35=1,0,IF(Time!BY14=0,0,BX6*Inputs!$F$115/Time!BY14)))</f>
        <v>52.5658535391762</v>
      </c>
      <c r="BY7" s="19" t="n">
        <f aca="false">IF(Time!BY20=1,IF(Time!BY8=Inputs!$F$15,BY6*Inputs!$F$115/Time!BZ14,0),IF(Time!BY35=1,0,IF(Time!BZ14=0,0,BY6*Inputs!$F$115/Time!BZ14)))</f>
        <v>52.2034649826373</v>
      </c>
      <c r="BZ7" s="19" t="n">
        <f aca="false">IF(Time!BZ20=1,IF(Time!BZ8=Inputs!$F$15,BZ6*Inputs!$F$115/Time!CA14,0),IF(Time!BZ35=1,0,IF(Time!CA14=0,0,BZ6*Inputs!$F$115/Time!CA14)))</f>
        <v>49.9877511628354</v>
      </c>
      <c r="CA7" s="19" t="n">
        <f aca="false">IF(Time!CA20=1,IF(Time!CA8=Inputs!$F$15,CA6*Inputs!$F$115/Time!CB14,0),IF(Time!CA35=1,0,IF(Time!CB14=0,0,CA6*Inputs!$F$115/Time!CB14)))</f>
        <v>49.6128055244397</v>
      </c>
      <c r="CB7" s="19" t="n">
        <f aca="false">IF(Time!CB20=1,IF(Time!CB8=Inputs!$F$15,CB6*Inputs!$F$115/Time!CC14,0),IF(Time!CB35=1,0,IF(Time!CC14=0,0,CB6*Inputs!$F$115/Time!CC14)))</f>
        <v>51.9870481968132</v>
      </c>
      <c r="CC7" s="19" t="n">
        <f aca="false">IF(Time!CC20=1,IF(Time!CC8=Inputs!$F$15,CC6*Inputs!$F$115/Time!CD14,0),IF(Time!CC35=1,0,IF(Time!CD14=0,0,CC6*Inputs!$F$115/Time!CD14)))</f>
        <v>51.5990663118775</v>
      </c>
      <c r="CD7" s="19" t="n">
        <f aca="false">IF(Time!CD20=1,IF(Time!CD8=Inputs!$F$15,CD6*Inputs!$F$115/Time!CE14,0),IF(Time!CD35=1,0,IF(Time!CE14=0,0,CD6*Inputs!$F$115/Time!CE14)))</f>
        <v>51.8718123417449</v>
      </c>
      <c r="CE7" s="19" t="n">
        <f aca="false">IF(Time!CE20=1,IF(Time!CE8=Inputs!$F$15,CE6*Inputs!$F$115/Time!CF14,0),IF(Time!CE35=1,0,IF(Time!CF14=0,0,CE6*Inputs!$F$115/Time!CF14)))</f>
        <v>45.5693846585806</v>
      </c>
      <c r="CF7" s="19" t="n">
        <f aca="false">IF(Time!CF20=1,IF(Time!CF8=Inputs!$F$15,CF6*Inputs!$F$115/Time!CG14,0),IF(Time!CF35=1,0,IF(Time!CG14=0,0,CF6*Inputs!$F$115/Time!CG14)))</f>
        <v>48.55299127962</v>
      </c>
      <c r="CG7" s="19" t="n">
        <f aca="false">IF(Time!CG20=1,IF(Time!CG8=Inputs!$F$15,CG6*Inputs!$F$115/Time!CH14,0),IF(Time!CG35=1,0,IF(Time!CH14=0,0,CG6*Inputs!$F$115/Time!CH14)))</f>
        <v>5.51181991980927E-014</v>
      </c>
      <c r="CH7" s="19" t="n">
        <f aca="false">IF(Time!CH20=1,IF(Time!CH8=Inputs!$F$15,CH6*Inputs!$F$115/Time!CI14,0),IF(Time!CH35=1,0,IF(Time!CI14=0,0,CH6*Inputs!$F$115/Time!CI14)))</f>
        <v>5.55648191080975E-014</v>
      </c>
      <c r="CI7" s="19" t="n">
        <f aca="false">IF(Time!CI20=1,IF(Time!CI8=Inputs!$F$15,CI6*Inputs!$F$115/Time!CJ14,0),IF(Time!CI35=1,0,IF(Time!CJ14=0,0,CI6*Inputs!$F$115/Time!CJ14)))</f>
        <v>5.51181991980927E-014</v>
      </c>
      <c r="CJ7" s="19" t="n">
        <f aca="false">IF(Time!CJ20=1,IF(Time!CJ8=Inputs!$F$15,CJ6*Inputs!$F$115/Time!CK14,0),IF(Time!CJ35=1,0,IF(Time!CK14=0,0,CJ6*Inputs!$F$115/Time!CK14)))</f>
        <v>5.55648191080975E-014</v>
      </c>
      <c r="CK7" s="19" t="n">
        <f aca="false">IF(Time!CK20=1,IF(Time!CK8=Inputs!$F$15,CK6*Inputs!$F$115/Time!CL14,0),IF(Time!CK35=1,0,IF(Time!CL14=0,0,CK6*Inputs!$F$115/Time!CL14)))</f>
        <v>5.51181991980927E-014</v>
      </c>
      <c r="CL7" s="19" t="n">
        <f aca="false">IF(Time!CL20=1,IF(Time!CL8=Inputs!$F$15,CL6*Inputs!$F$115/Time!CM14,0),IF(Time!CL35=1,0,IF(Time!CM14=0,0,CL6*Inputs!$F$115/Time!CM14)))</f>
        <v>5.55648191080975E-014</v>
      </c>
      <c r="CM7" s="19" t="n">
        <f aca="false">IF(Time!CM20=1,IF(Time!CM8=Inputs!$F$15,CM6*Inputs!$F$115/Time!CN14,0),IF(Time!CM35=1,0,IF(Time!CN14=0,0,CM6*Inputs!$F$115/Time!CN14)))</f>
        <v>5.52670725014276E-014</v>
      </c>
      <c r="CN7" s="19" t="n">
        <f aca="false">IF(Time!CN20=1,IF(Time!CN8=Inputs!$F$15,CN6*Inputs!$F$115/Time!CO14,0),IF(Time!CN35=1,0,IF(Time!CO14=0,0,CN6*Inputs!$F$115/Time!CO14)))</f>
        <v>5.55648191080975E-014</v>
      </c>
      <c r="CO7" s="19" t="n">
        <f aca="false">IF(Time!CO20=1,IF(Time!CO8=Inputs!$F$15,CO6*Inputs!$F$115/Time!CP14,0),IF(Time!CO35=1,0,IF(Time!CP14=0,0,CO6*Inputs!$F$115/Time!CP14)))</f>
        <v>5.51181991980927E-014</v>
      </c>
      <c r="CP7" s="19" t="n">
        <f aca="false">IF(Time!CP20=1,IF(Time!CP8=Inputs!$F$15,CP6*Inputs!$F$115/Time!CQ14,0),IF(Time!CP35=1,0,IF(Time!CQ14=0,0,CP6*Inputs!$F$115/Time!CQ14)))</f>
        <v>5.55648191080975E-014</v>
      </c>
      <c r="CQ7" s="19" t="n">
        <f aca="false">IF(Time!CQ20=1,IF(Time!CQ8=Inputs!$F$15,CQ6*Inputs!$F$115/Time!CR14,0),IF(Time!CQ35=1,0,IF(Time!CR14=0,0,CQ6*Inputs!$F$115/Time!CR14)))</f>
        <v>5.51181991980927E-014</v>
      </c>
      <c r="CR7" s="19" t="n">
        <f aca="false">IF(Time!CR20=1,IF(Time!CR8=Inputs!$F$15,CR6*Inputs!$F$115/Time!CS14,0),IF(Time!CR35=1,0,IF(Time!CS14=0,0,CR6*Inputs!$F$115/Time!CS14)))</f>
        <v>5.55648191080975E-014</v>
      </c>
      <c r="CS7" s="19" t="n">
        <f aca="false">IF(Time!CS20=1,IF(Time!CS8=Inputs!$F$15,CS6*Inputs!$F$115/Time!CT14,0),IF(Time!CS35=1,0,IF(Time!CT14=0,0,CS6*Inputs!$F$115/Time!CT14)))</f>
        <v>5.51181991980927E-014</v>
      </c>
      <c r="CT7" s="19" t="n">
        <f aca="false">IF(Time!CT20=1,IF(Time!CT8=Inputs!$F$15,CT6*Inputs!$F$115/Time!CU14,0),IF(Time!CT35=1,0,IF(Time!CU14=0,0,CT6*Inputs!$F$115/Time!CU14)))</f>
        <v>5.55648191080975E-014</v>
      </c>
      <c r="CU7" s="19" t="n">
        <f aca="false">IF(Time!CU20=1,IF(Time!CU8=Inputs!$F$15,CU6*Inputs!$F$115/Time!CV14,0),IF(Time!CU35=1,0,IF(Time!CV14=0,0,CU6*Inputs!$F$115/Time!CV14)))</f>
        <v>5.52670725014276E-014</v>
      </c>
      <c r="CV7" s="19" t="n">
        <f aca="false">IF(Time!CV20=1,IF(Time!CV8=Inputs!$F$15,CV6*Inputs!$F$115/Time!CW14,0),IF(Time!CV35=1,0,IF(Time!CW14=0,0,CV6*Inputs!$F$115/Time!CW14)))</f>
        <v>5.55648191080975E-014</v>
      </c>
      <c r="CW7" s="19" t="n">
        <f aca="false">IF(Time!CW20=1,IF(Time!CW8=Inputs!$F$15,CW6*Inputs!$F$115/Time!CX14,0),IF(Time!CW35=1,0,IF(Time!CX14=0,0,CW6*Inputs!$F$115/Time!CX14)))</f>
        <v>5.51181991980927E-014</v>
      </c>
      <c r="CX7" s="19" t="n">
        <f aca="false">IF(Time!CX20=1,IF(Time!CX8=Inputs!$F$15,CX6*Inputs!$F$115/Time!CY14,0),IF(Time!CX35=1,0,IF(Time!CY14=0,0,CX6*Inputs!$F$115/Time!CY14)))</f>
        <v>5.55648191080975E-014</v>
      </c>
      <c r="CY7" s="19" t="n">
        <f aca="false">IF(Time!CY20=1,IF(Time!CY8=Inputs!$F$15,CY6*Inputs!$F$115/Time!CZ14,0),IF(Time!CY35=1,0,IF(Time!CZ14=0,0,CY6*Inputs!$F$115/Time!CZ14)))</f>
        <v>5.51181991980927E-014</v>
      </c>
      <c r="CZ7" s="19" t="n">
        <f aca="false">IF(Time!CZ20=1,IF(Time!CZ8=Inputs!$F$15,CZ6*Inputs!$F$115/Time!DA14,0),IF(Time!CZ35=1,0,IF(Time!DA14=0,0,CZ6*Inputs!$F$115/Time!DA14)))</f>
        <v>5.55648191080975E-014</v>
      </c>
      <c r="DA7" s="19" t="n">
        <f aca="false">IF(Time!DA20=1,IF(Time!DA8=Inputs!$F$15,DA6*Inputs!$F$115/Time!DB14,0),IF(Time!DA35=1,0,IF(Time!DB14=0,0,DA6*Inputs!$F$115/Time!DB14)))</f>
        <v>5.51181991980927E-014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15.366639768263</v>
      </c>
      <c r="AB8" s="19" t="n">
        <f aca="false">AA13</f>
        <v>19.3030365072743</v>
      </c>
      <c r="AC8" s="19" t="n">
        <f aca="false">AB13</f>
        <v>20.57459323591</v>
      </c>
      <c r="AD8" s="19" t="n">
        <f aca="false">AC13</f>
        <v>23.7337665751819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23.0533401819306</v>
      </c>
      <c r="AW8" s="19" t="n">
        <f aca="false">AV13</f>
        <v>25.0503904348706</v>
      </c>
      <c r="AX8" s="19" t="n">
        <f aca="false">AW13</f>
        <v>25.1508622905596</v>
      </c>
      <c r="AY8" s="19" t="n">
        <f aca="false">AX13</f>
        <v>24.9746741850431</v>
      </c>
      <c r="AZ8" s="19" t="n">
        <f aca="false">AY13</f>
        <v>25.2447615195311</v>
      </c>
      <c r="BA8" s="19" t="n">
        <f aca="false">AZ13</f>
        <v>26.4296082744351</v>
      </c>
      <c r="BB8" s="19" t="n">
        <f aca="false">BA13</f>
        <v>26.5404185160733</v>
      </c>
      <c r="BC8" s="19" t="n">
        <f aca="false">BB13</f>
        <v>31.0730822191862</v>
      </c>
      <c r="BD8" s="19" t="n">
        <f aca="false">BC13</f>
        <v>31.1898989720418</v>
      </c>
      <c r="BE8" s="19" t="n">
        <f aca="false">BD13</f>
        <v>34.1520286404255</v>
      </c>
      <c r="BF8" s="19" t="n">
        <f aca="false">BE13</f>
        <v>34.2751060537202</v>
      </c>
      <c r="BG8" s="19" t="n">
        <f aca="false">BF13</f>
        <v>35.827659376166</v>
      </c>
      <c r="BH8" s="19" t="n">
        <f aca="false">BG13</f>
        <v>36.1549955143621</v>
      </c>
      <c r="BI8" s="19" t="n">
        <f aca="false">BH13</f>
        <v>37.5865853074074</v>
      </c>
      <c r="BJ8" s="19" t="n">
        <f aca="false">BI13</f>
        <v>37.7218247100396</v>
      </c>
      <c r="BK8" s="19" t="n">
        <f aca="false">BJ13</f>
        <v>39.4331843358165</v>
      </c>
      <c r="BL8" s="19" t="n">
        <f aca="false">BK13</f>
        <v>39.5754471499961</v>
      </c>
      <c r="BM8" s="19" t="n">
        <f aca="false">BL13</f>
        <v>41.3558134666003</v>
      </c>
      <c r="BN8" s="19" t="n">
        <f aca="false">BM13</f>
        <v>41.5042168372112</v>
      </c>
      <c r="BO8" s="19" t="n">
        <f aca="false">BN13</f>
        <v>36.3859277619612</v>
      </c>
      <c r="BP8" s="19" t="n">
        <f aca="false">BO13</f>
        <v>36.782607101421</v>
      </c>
      <c r="BQ8" s="19" t="n">
        <f aca="false">BP13</f>
        <v>38.4991094572439</v>
      </c>
      <c r="BR8" s="19" t="n">
        <f aca="false">BQ13</f>
        <v>38.182372238154</v>
      </c>
      <c r="BS8" s="19" t="n">
        <f aca="false">BR13</f>
        <v>40.1753349166406</v>
      </c>
      <c r="BT8" s="19" t="n">
        <f aca="false">BS13</f>
        <v>39.8478504332762</v>
      </c>
      <c r="BU8" s="19" t="n">
        <f aca="false">BT13</f>
        <v>48.8987871038368</v>
      </c>
      <c r="BV8" s="19" t="n">
        <f aca="false">BU13</f>
        <v>48.5601185394209</v>
      </c>
      <c r="BW8" s="19" t="n">
        <f aca="false">BV13</f>
        <v>50.7000252078501</v>
      </c>
      <c r="BX8" s="19" t="n">
        <f aca="false">BW13</f>
        <v>50.6279568693624</v>
      </c>
      <c r="BY8" s="19" t="n">
        <f aca="false">BX13</f>
        <v>52.5658535391762</v>
      </c>
      <c r="BZ8" s="19" t="n">
        <f aca="false">BY13</f>
        <v>52.2034649826373</v>
      </c>
      <c r="CA8" s="19" t="n">
        <f aca="false">BZ13</f>
        <v>49.9877511628354</v>
      </c>
      <c r="CB8" s="19" t="n">
        <f aca="false">CA13</f>
        <v>49.6128055244397</v>
      </c>
      <c r="CC8" s="19" t="n">
        <f aca="false">CB13</f>
        <v>51.9870481968132</v>
      </c>
      <c r="CD8" s="19" t="n">
        <f aca="false">CC13</f>
        <v>51.5990663118775</v>
      </c>
      <c r="CE8" s="19" t="n">
        <f aca="false">CD13</f>
        <v>51.8718123417449</v>
      </c>
      <c r="CF8" s="19" t="n">
        <f aca="false">CE13</f>
        <v>45.5693846585806</v>
      </c>
      <c r="CG8" s="19" t="n">
        <f aca="false">CF13</f>
        <v>48.55299127962</v>
      </c>
      <c r="CH8" s="19" t="n">
        <f aca="false">CG13</f>
        <v>0</v>
      </c>
      <c r="CI8" s="19" t="n">
        <f aca="false">CH13</f>
        <v>5.55648191080975E-014</v>
      </c>
      <c r="CJ8" s="19" t="n">
        <f aca="false">CI13</f>
        <v>5.51181991980927E-014</v>
      </c>
      <c r="CK8" s="19" t="n">
        <f aca="false">CJ13</f>
        <v>5.55648191080975E-014</v>
      </c>
      <c r="CL8" s="19" t="n">
        <f aca="false">CK13</f>
        <v>5.51181991980927E-014</v>
      </c>
      <c r="CM8" s="19" t="n">
        <f aca="false">CL13</f>
        <v>5.55648191080975E-014</v>
      </c>
      <c r="CN8" s="19" t="n">
        <f aca="false">CM13</f>
        <v>5.52670725014276E-014</v>
      </c>
      <c r="CO8" s="19" t="n">
        <f aca="false">CN13</f>
        <v>5.55648191080975E-014</v>
      </c>
      <c r="CP8" s="19" t="n">
        <f aca="false">CO13</f>
        <v>5.51181991980927E-014</v>
      </c>
      <c r="CQ8" s="19" t="n">
        <f aca="false">CP13</f>
        <v>5.55648191080975E-014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15.366639768263</v>
      </c>
      <c r="AB9" s="19" t="n">
        <f aca="false">AB8-Waterfall!AB23</f>
        <v>19.3030365072743</v>
      </c>
      <c r="AC9" s="19" t="n">
        <f aca="false">AC8-Waterfall!AC23</f>
        <v>20.57459323591</v>
      </c>
      <c r="AD9" s="19" t="n">
        <f aca="false">AD8-Waterfall!AD23</f>
        <v>23.7337665751819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23.0533401819306</v>
      </c>
      <c r="AW9" s="19" t="n">
        <f aca="false">AW8-Waterfall!AW23</f>
        <v>25.0503904348706</v>
      </c>
      <c r="AX9" s="19" t="n">
        <f aca="false">AX8-Waterfall!AX23</f>
        <v>25.1508622905596</v>
      </c>
      <c r="AY9" s="19" t="n">
        <f aca="false">AY8-Waterfall!AY23</f>
        <v>24.9746741850431</v>
      </c>
      <c r="AZ9" s="19" t="n">
        <f aca="false">AZ8-Waterfall!AZ23</f>
        <v>25.2447615195311</v>
      </c>
      <c r="BA9" s="19" t="n">
        <f aca="false">BA8-Waterfall!BA23</f>
        <v>26.4296082744351</v>
      </c>
      <c r="BB9" s="19" t="n">
        <f aca="false">BB8-Waterfall!BB23</f>
        <v>26.5404185160733</v>
      </c>
      <c r="BC9" s="19" t="n">
        <f aca="false">BC8-Waterfall!BC23</f>
        <v>31.0730822191862</v>
      </c>
      <c r="BD9" s="19" t="n">
        <f aca="false">BD8-Waterfall!BD23</f>
        <v>31.1898989720418</v>
      </c>
      <c r="BE9" s="19" t="n">
        <f aca="false">BE8-Waterfall!BE23</f>
        <v>34.1520286404255</v>
      </c>
      <c r="BF9" s="19" t="n">
        <f aca="false">BF8-Waterfall!BF23</f>
        <v>34.2751060537202</v>
      </c>
      <c r="BG9" s="19" t="n">
        <f aca="false">BG8-Waterfall!BG23</f>
        <v>35.827659376166</v>
      </c>
      <c r="BH9" s="19" t="n">
        <f aca="false">BH8-Waterfall!BH23</f>
        <v>36.1549955143621</v>
      </c>
      <c r="BI9" s="19" t="n">
        <f aca="false">BI8-Waterfall!BI23</f>
        <v>37.5865853074074</v>
      </c>
      <c r="BJ9" s="19" t="n">
        <f aca="false">BJ8-Waterfall!BJ23</f>
        <v>37.7218247100396</v>
      </c>
      <c r="BK9" s="19" t="n">
        <f aca="false">BK8-Waterfall!BK23</f>
        <v>39.4331843358165</v>
      </c>
      <c r="BL9" s="19" t="n">
        <f aca="false">BL8-Waterfall!BL23</f>
        <v>39.5754471499961</v>
      </c>
      <c r="BM9" s="19" t="n">
        <f aca="false">BM8-Waterfall!BM23</f>
        <v>41.3558134666003</v>
      </c>
      <c r="BN9" s="19" t="n">
        <f aca="false">BN8-Waterfall!BN23</f>
        <v>41.5042168372112</v>
      </c>
      <c r="BO9" s="19" t="n">
        <f aca="false">BO8-Waterfall!BO23</f>
        <v>36.3859277619612</v>
      </c>
      <c r="BP9" s="19" t="n">
        <f aca="false">BP8-Waterfall!BP23</f>
        <v>36.782607101421</v>
      </c>
      <c r="BQ9" s="19" t="n">
        <f aca="false">BQ8-Waterfall!BQ23</f>
        <v>38.4991094572439</v>
      </c>
      <c r="BR9" s="19" t="n">
        <f aca="false">BR8-Waterfall!BR23</f>
        <v>38.182372238154</v>
      </c>
      <c r="BS9" s="19" t="n">
        <f aca="false">BS8-Waterfall!BS23</f>
        <v>40.1753349166406</v>
      </c>
      <c r="BT9" s="19" t="n">
        <f aca="false">BT8-Waterfall!BT23</f>
        <v>39.8478504332762</v>
      </c>
      <c r="BU9" s="19" t="n">
        <f aca="false">BU8-Waterfall!BU23</f>
        <v>48.8987871038368</v>
      </c>
      <c r="BV9" s="19" t="n">
        <f aca="false">BV8-Waterfall!BV23</f>
        <v>48.5601185394209</v>
      </c>
      <c r="BW9" s="19" t="n">
        <f aca="false">BW8-Waterfall!BW23</f>
        <v>50.7000252078501</v>
      </c>
      <c r="BX9" s="19" t="n">
        <f aca="false">BX8-Waterfall!BX23</f>
        <v>50.6279568693624</v>
      </c>
      <c r="BY9" s="19" t="n">
        <f aca="false">BY8-Waterfall!BY23</f>
        <v>52.5658535391762</v>
      </c>
      <c r="BZ9" s="19" t="n">
        <f aca="false">BZ8-Waterfall!BZ23</f>
        <v>52.2034649826373</v>
      </c>
      <c r="CA9" s="19" t="n">
        <f aca="false">CA8-Waterfall!CA23</f>
        <v>49.9877511628354</v>
      </c>
      <c r="CB9" s="19" t="n">
        <f aca="false">CB8-Waterfall!CB23</f>
        <v>49.6128055244397</v>
      </c>
      <c r="CC9" s="19" t="n">
        <f aca="false">CC8-Waterfall!CC23</f>
        <v>51.9870481968132</v>
      </c>
      <c r="CD9" s="19" t="n">
        <f aca="false">CD8-Waterfall!CD23</f>
        <v>51.5990663118775</v>
      </c>
      <c r="CE9" s="19" t="n">
        <f aca="false">CE8-Waterfall!CE23</f>
        <v>51.8718123417449</v>
      </c>
      <c r="CF9" s="19" t="n">
        <f aca="false">CF8-Waterfall!CF23</f>
        <v>45.5693846585806</v>
      </c>
      <c r="CG9" s="19" t="n">
        <f aca="false">CG8-Waterfall!CG23</f>
        <v>48.55299127962</v>
      </c>
      <c r="CH9" s="19" t="n">
        <f aca="false">CH8-Waterfall!CH23</f>
        <v>0</v>
      </c>
      <c r="CI9" s="19" t="n">
        <f aca="false">CI8-Waterfall!CI23</f>
        <v>5.55648191080975E-014</v>
      </c>
      <c r="CJ9" s="19" t="n">
        <f aca="false">CJ8-Waterfall!CJ23</f>
        <v>5.51181991980927E-014</v>
      </c>
      <c r="CK9" s="19" t="n">
        <f aca="false">CK8-Waterfall!CK23</f>
        <v>5.55648191080975E-014</v>
      </c>
      <c r="CL9" s="19" t="n">
        <f aca="false">CL8-Waterfall!CL23</f>
        <v>5.51181991980927E-014</v>
      </c>
      <c r="CM9" s="19" t="n">
        <f aca="false">CM8-Waterfall!CM23</f>
        <v>5.55648191080975E-014</v>
      </c>
      <c r="CN9" s="19" t="n">
        <f aca="false">CN8-Waterfall!CN23</f>
        <v>5.52670725014276E-014</v>
      </c>
      <c r="CO9" s="19" t="n">
        <f aca="false">CO8-Waterfall!CO23</f>
        <v>5.55648191080975E-014</v>
      </c>
      <c r="CP9" s="19" t="n">
        <f aca="false">CP8-Waterfall!CP23</f>
        <v>5.51181991980927E-014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3.93639673901128</v>
      </c>
      <c r="AB10" s="19" t="n">
        <f aca="false">AB7-AB9</f>
        <v>1.27155672863575</v>
      </c>
      <c r="AC10" s="19" t="n">
        <f aca="false">AC7-AC9</f>
        <v>3.15917333927185</v>
      </c>
      <c r="AD10" s="19" t="n">
        <f aca="false">AD7-AD9</f>
        <v>0.198370532253662</v>
      </c>
      <c r="AE10" s="19" t="n">
        <f aca="false">AE7-AE9</f>
        <v>-0.327789903625298</v>
      </c>
      <c r="AF10" s="19" t="n">
        <f aca="false">AF7-AF9</f>
        <v>-0.372597282621186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-0.178409739258523</v>
      </c>
      <c r="AV10" s="19" t="n">
        <f aca="false">AV7-AV9</f>
        <v>1.99705025294008</v>
      </c>
      <c r="AW10" s="19" t="n">
        <f aca="false">AW7-AW9</f>
        <v>0.100471855688944</v>
      </c>
      <c r="AX10" s="19" t="n">
        <f aca="false">AX7-AX9</f>
        <v>-0.176188105516452</v>
      </c>
      <c r="AY10" s="19" t="n">
        <f aca="false">AY7-AY9</f>
        <v>0.270087334487961</v>
      </c>
      <c r="AZ10" s="19" t="n">
        <f aca="false">AZ7-AZ9</f>
        <v>1.18484675490398</v>
      </c>
      <c r="BA10" s="19" t="n">
        <f aca="false">BA7-BA9</f>
        <v>0.110810241638241</v>
      </c>
      <c r="BB10" s="19" t="n">
        <f aca="false">BB7-BB9</f>
        <v>4.5326637031129</v>
      </c>
      <c r="BC10" s="19" t="n">
        <f aca="false">BC7-BC9</f>
        <v>0.116816752855573</v>
      </c>
      <c r="BD10" s="19" t="n">
        <f aca="false">BD7-BD9</f>
        <v>2.96212966838375</v>
      </c>
      <c r="BE10" s="19" t="n">
        <f aca="false">BE7-BE9</f>
        <v>0.123077413294624</v>
      </c>
      <c r="BF10" s="19" t="n">
        <f aca="false">BF7-BF9</f>
        <v>1.55255332244582</v>
      </c>
      <c r="BG10" s="19" t="n">
        <f aca="false">BG7-BG9</f>
        <v>0.327336138196081</v>
      </c>
      <c r="BH10" s="19" t="n">
        <f aca="false">BH7-BH9</f>
        <v>1.4315897930453</v>
      </c>
      <c r="BI10" s="19" t="n">
        <f aca="false">BI7-BI9</f>
        <v>0.135239402632266</v>
      </c>
      <c r="BJ10" s="19" t="n">
        <f aca="false">BJ7-BJ9</f>
        <v>1.71135962577682</v>
      </c>
      <c r="BK10" s="19" t="n">
        <f aca="false">BK7-BK9</f>
        <v>0.142262814179659</v>
      </c>
      <c r="BL10" s="19" t="n">
        <f aca="false">BL7-BL9</f>
        <v>1.78036631660414</v>
      </c>
      <c r="BM10" s="19" t="n">
        <f aca="false">BM7-BM9</f>
        <v>0.14840337061095</v>
      </c>
      <c r="BN10" s="19" t="n">
        <f aca="false">BN7-BN9</f>
        <v>-5.11828907525001</v>
      </c>
      <c r="BO10" s="19" t="n">
        <f aca="false">BO7-BO9</f>
        <v>0.396679339459794</v>
      </c>
      <c r="BP10" s="19" t="n">
        <f aca="false">BP7-BP9</f>
        <v>1.71650235582289</v>
      </c>
      <c r="BQ10" s="19" t="n">
        <f aca="false">BQ7-BQ9</f>
        <v>-0.316737219089866</v>
      </c>
      <c r="BR10" s="19" t="n">
        <f aca="false">BR7-BR9</f>
        <v>1.99296267848662</v>
      </c>
      <c r="BS10" s="19" t="n">
        <f aca="false">BS7-BS9</f>
        <v>-0.327484483364465</v>
      </c>
      <c r="BT10" s="19" t="n">
        <f aca="false">BT7-BT9</f>
        <v>9.05093667056065</v>
      </c>
      <c r="BU10" s="19" t="n">
        <f aca="false">BU7-BU9</f>
        <v>-0.338668564415897</v>
      </c>
      <c r="BV10" s="19" t="n">
        <f aca="false">BV7-BV9</f>
        <v>2.13990666842921</v>
      </c>
      <c r="BW10" s="19" t="n">
        <f aca="false">BW7-BW9</f>
        <v>-0.0720683384876892</v>
      </c>
      <c r="BX10" s="19" t="n">
        <f aca="false">BX7-BX9</f>
        <v>1.93789666981375</v>
      </c>
      <c r="BY10" s="19" t="n">
        <f aca="false">BY7-BY9</f>
        <v>-0.362388556538932</v>
      </c>
      <c r="BZ10" s="19" t="n">
        <f aca="false">BZ7-BZ9</f>
        <v>-2.21571381980186</v>
      </c>
      <c r="CA10" s="19" t="n">
        <f aca="false">CA7-CA9</f>
        <v>-0.374945638395701</v>
      </c>
      <c r="CB10" s="19" t="n">
        <f aca="false">CB7-CB9</f>
        <v>2.37424267237353</v>
      </c>
      <c r="CC10" s="19" t="n">
        <f aca="false">CC7-CC9</f>
        <v>-0.387981884935762</v>
      </c>
      <c r="CD10" s="19" t="n">
        <f aca="false">CD7-CD9</f>
        <v>0.272746029867385</v>
      </c>
      <c r="CE10" s="19" t="n">
        <f aca="false">CE7-CE9</f>
        <v>-6.3024276831643</v>
      </c>
      <c r="CF10" s="19" t="n">
        <f aca="false">CF7-CF9</f>
        <v>2.98360662103948</v>
      </c>
      <c r="CG10" s="19" t="n">
        <f aca="false">CG7-CG9</f>
        <v>-48.55299127962</v>
      </c>
      <c r="CH10" s="19" t="n">
        <f aca="false">CH7-CH9</f>
        <v>5.55648191080975E-014</v>
      </c>
      <c r="CI10" s="19" t="n">
        <f aca="false">CI7-CI9</f>
        <v>-4.46619910004826E-016</v>
      </c>
      <c r="CJ10" s="19" t="n">
        <f aca="false">CJ7-CJ9</f>
        <v>4.46619910004826E-016</v>
      </c>
      <c r="CK10" s="19" t="n">
        <f aca="false">CK7-CK9</f>
        <v>-4.46619910004826E-016</v>
      </c>
      <c r="CL10" s="19" t="n">
        <f aca="false">CL7-CL9</f>
        <v>4.46619910004826E-016</v>
      </c>
      <c r="CM10" s="19" t="n">
        <f aca="false">CM7-CM9</f>
        <v>-2.97746606669886E-016</v>
      </c>
      <c r="CN10" s="19" t="n">
        <f aca="false">CN7-CN9</f>
        <v>2.97746606669886E-016</v>
      </c>
      <c r="CO10" s="19" t="n">
        <f aca="false">CO7-CO9</f>
        <v>-4.46619910004826E-016</v>
      </c>
      <c r="CP10" s="19" t="n">
        <f aca="false">CP7-CP9</f>
        <v>4.46619910004826E-016</v>
      </c>
      <c r="CQ10" s="19" t="n">
        <f aca="false">CQ7-CQ9</f>
        <v>5.51181991980927E-014</v>
      </c>
      <c r="CR10" s="19" t="n">
        <f aca="false">CR7-CR9</f>
        <v>5.55648191080975E-014</v>
      </c>
      <c r="CS10" s="19" t="n">
        <f aca="false">CS7-CS9</f>
        <v>5.51181991980927E-014</v>
      </c>
      <c r="CT10" s="19" t="n">
        <f aca="false">CT7-CT9</f>
        <v>5.55648191080975E-014</v>
      </c>
      <c r="CU10" s="19" t="n">
        <f aca="false">CU7-CU9</f>
        <v>5.52670725014276E-014</v>
      </c>
      <c r="CV10" s="19" t="n">
        <f aca="false">CV7-CV9</f>
        <v>5.55648191080975E-014</v>
      </c>
      <c r="CW10" s="19" t="n">
        <f aca="false">CW7-CW9</f>
        <v>5.51181991980927E-014</v>
      </c>
      <c r="CX10" s="19" t="n">
        <f aca="false">CX7-CX9</f>
        <v>5.55648191080975E-014</v>
      </c>
      <c r="CY10" s="19" t="n">
        <f aca="false">CY7-CY9</f>
        <v>5.51181991980927E-014</v>
      </c>
      <c r="CZ10" s="19" t="n">
        <f aca="false">CZ7-CZ9</f>
        <v>5.55648191080975E-014</v>
      </c>
      <c r="DA10" s="19" t="n">
        <f aca="false">DA7-DA9</f>
        <v>5.51181991980927E-014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52.7210635411881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1.47899762097601</v>
      </c>
      <c r="AA11" s="19" t="n">
        <f aca="false">MIN(MAX(0,Waterfall!AA24),MAX(0,AA10))*(1-Time!AA20)</f>
        <v>3.93639673901128</v>
      </c>
      <c r="AB11" s="19" t="n">
        <f aca="false">MIN(MAX(0,Waterfall!AB24),MAX(0,AB10))*(1-Time!AB20)</f>
        <v>1.27155672863575</v>
      </c>
      <c r="AC11" s="19" t="n">
        <f aca="false">MIN(MAX(0,Waterfall!AC24),MAX(0,AC10))*(1-Time!AC20)</f>
        <v>3.15917333927185</v>
      </c>
      <c r="AD11" s="19" t="n">
        <f aca="false">MIN(MAX(0,Waterfall!AD24),MAX(0,AD10))*(1-Time!AD20)</f>
        <v>0.198370532253662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1.99705025294008</v>
      </c>
      <c r="AW11" s="19" t="n">
        <f aca="false">MIN(MAX(0,Waterfall!AW24),MAX(0,AW10))*(1-Time!AW20)</f>
        <v>0.100471855688944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0.270087334487961</v>
      </c>
      <c r="AZ11" s="19" t="n">
        <f aca="false">MIN(MAX(0,Waterfall!AZ24),MAX(0,AZ10))*(1-Time!AZ20)</f>
        <v>1.18484675490398</v>
      </c>
      <c r="BA11" s="19" t="n">
        <f aca="false">MIN(MAX(0,Waterfall!BA24),MAX(0,BA10))*(1-Time!BA20)</f>
        <v>0.110810241638241</v>
      </c>
      <c r="BB11" s="19" t="n">
        <f aca="false">MIN(MAX(0,Waterfall!BB24),MAX(0,BB10))*(1-Time!BB20)</f>
        <v>4.5326637031129</v>
      </c>
      <c r="BC11" s="19" t="n">
        <f aca="false">MIN(MAX(0,Waterfall!BC24),MAX(0,BC10))*(1-Time!BC20)</f>
        <v>0.116816752855573</v>
      </c>
      <c r="BD11" s="19" t="n">
        <f aca="false">MIN(MAX(0,Waterfall!BD24),MAX(0,BD10))*(1-Time!BD20)</f>
        <v>2.96212966838375</v>
      </c>
      <c r="BE11" s="19" t="n">
        <f aca="false">MIN(MAX(0,Waterfall!BE24),MAX(0,BE10))*(1-Time!BE20)</f>
        <v>0.123077413294624</v>
      </c>
      <c r="BF11" s="19" t="n">
        <f aca="false">MIN(MAX(0,Waterfall!BF24),MAX(0,BF10))*(1-Time!BF20)</f>
        <v>1.55255332244582</v>
      </c>
      <c r="BG11" s="19" t="n">
        <f aca="false">MIN(MAX(0,Waterfall!BG24),MAX(0,BG10))*(1-Time!BG20)</f>
        <v>0.327336138196081</v>
      </c>
      <c r="BH11" s="19" t="n">
        <f aca="false">MIN(MAX(0,Waterfall!BH24),MAX(0,BH10))*(1-Time!BH20)</f>
        <v>1.4315897930453</v>
      </c>
      <c r="BI11" s="19" t="n">
        <f aca="false">MIN(MAX(0,Waterfall!BI24),MAX(0,BI10))*(1-Time!BI20)</f>
        <v>0.135239402632266</v>
      </c>
      <c r="BJ11" s="19" t="n">
        <f aca="false">MIN(MAX(0,Waterfall!BJ24),MAX(0,BJ10))*(1-Time!BJ20)</f>
        <v>1.71135962577682</v>
      </c>
      <c r="BK11" s="19" t="n">
        <f aca="false">MIN(MAX(0,Waterfall!BK24),MAX(0,BK10))*(1-Time!BK20)</f>
        <v>0.142262814179659</v>
      </c>
      <c r="BL11" s="19" t="n">
        <f aca="false">MIN(MAX(0,Waterfall!BL24),MAX(0,BL10))*(1-Time!BL20)</f>
        <v>1.78036631660414</v>
      </c>
      <c r="BM11" s="19" t="n">
        <f aca="false">MIN(MAX(0,Waterfall!BM24),MAX(0,BM10))*(1-Time!BM20)</f>
        <v>0.14840337061095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0.396679339459794</v>
      </c>
      <c r="BP11" s="19" t="n">
        <f aca="false">MIN(MAX(0,Waterfall!BP24),MAX(0,BP10))*(1-Time!BP20)</f>
        <v>1.71650235582289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1.99296267848662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9.05093667056065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2.13990666842921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1.93789666981375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2.37424267237353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0.272746029867385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2.98360662103948</v>
      </c>
      <c r="CG11" s="19" t="n">
        <f aca="false">MIN(MAX(0,Waterfall!CG24),MAX(0,CG10))*(1-Time!CG20)</f>
        <v>0</v>
      </c>
      <c r="CH11" s="19" t="n">
        <f aca="false">MIN(MAX(0,Waterfall!CH24),MAX(0,CH10))*(1-Time!CH20)</f>
        <v>5.55648191080975E-014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4.46619910004826E-016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4.46619910004826E-016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2.97746606669886E-016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4.46619910004826E-016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66.608705688475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0.372597282621186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0.178409739258523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0.176188105516452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5.11828907525001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0.316737219089866</v>
      </c>
      <c r="BR12" s="19" t="n">
        <f aca="false">MAX(0,-BR10)*(1-Time!BR20)</f>
        <v>0</v>
      </c>
      <c r="BS12" s="19" t="n">
        <f aca="false">MAX(0,-BS10)*(1-Time!BS20)</f>
        <v>0.327484483364465</v>
      </c>
      <c r="BT12" s="19" t="n">
        <f aca="false">MAX(0,-BT10)*(1-Time!BT20)</f>
        <v>0</v>
      </c>
      <c r="BU12" s="19" t="n">
        <f aca="false">MAX(0,-BU10)*(1-Time!BU20)</f>
        <v>0.338668564415897</v>
      </c>
      <c r="BV12" s="19" t="n">
        <f aca="false">MAX(0,-BV10)*(1-Time!BV20)</f>
        <v>0</v>
      </c>
      <c r="BW12" s="19" t="n">
        <f aca="false">MAX(0,-BW10)*(1-Time!BW20)</f>
        <v>0.0720683384876892</v>
      </c>
      <c r="BX12" s="19" t="n">
        <f aca="false">MAX(0,-BX10)*(1-Time!BX20)</f>
        <v>0</v>
      </c>
      <c r="BY12" s="19" t="n">
        <f aca="false">MAX(0,-BY10)*(1-Time!BY20)</f>
        <v>0.362388556538932</v>
      </c>
      <c r="BZ12" s="19" t="n">
        <f aca="false">MAX(0,-BZ10)*(1-Time!BZ20)</f>
        <v>2.21571381980186</v>
      </c>
      <c r="CA12" s="19" t="n">
        <f aca="false">MAX(0,-CA10)*(1-Time!CA20)</f>
        <v>0.374945638395701</v>
      </c>
      <c r="CB12" s="19" t="n">
        <f aca="false">MAX(0,-CB10)*(1-Time!CB20)</f>
        <v>0</v>
      </c>
      <c r="CC12" s="19" t="n">
        <f aca="false">MAX(0,-CC10)*(1-Time!CC20)</f>
        <v>0.387981884935762</v>
      </c>
      <c r="CD12" s="19" t="n">
        <f aca="false">MAX(0,-CD10)*(1-Time!CD20)</f>
        <v>0</v>
      </c>
      <c r="CE12" s="19" t="n">
        <f aca="false">MAX(0,-CE10)*(1-Time!CE20)</f>
        <v>6.3024276831643</v>
      </c>
      <c r="CF12" s="19" t="n">
        <f aca="false">MAX(0,-CF10)*(1-Time!CF20)</f>
        <v>0</v>
      </c>
      <c r="CG12" s="19" t="n">
        <f aca="false">MAX(0,-CG10)*(1-Time!CG20)</f>
        <v>48.55299127962</v>
      </c>
      <c r="CH12" s="19" t="n">
        <f aca="false">MAX(0,-CH10)*(1-Time!CH20)</f>
        <v>0</v>
      </c>
      <c r="CI12" s="19" t="n">
        <f aca="false">MAX(0,-CI10)*(1-Time!CI20)</f>
        <v>4.46619910004826E-016</v>
      </c>
      <c r="CJ12" s="19" t="n">
        <f aca="false">MAX(0,-CJ10)*(1-Time!CJ20)</f>
        <v>0</v>
      </c>
      <c r="CK12" s="19" t="n">
        <f aca="false">MAX(0,-CK10)*(1-Time!CK20)</f>
        <v>4.46619910004826E-016</v>
      </c>
      <c r="CL12" s="19" t="n">
        <f aca="false">MAX(0,-CL10)*(1-Time!CL20)</f>
        <v>0</v>
      </c>
      <c r="CM12" s="19" t="n">
        <f aca="false">MAX(0,-CM10)*(1-Time!CM20)</f>
        <v>2.97746606669886E-016</v>
      </c>
      <c r="CN12" s="19" t="n">
        <f aca="false">MAX(0,-CN10)*(1-Time!CN20)</f>
        <v>0</v>
      </c>
      <c r="CO12" s="19" t="n">
        <f aca="false">MAX(0,-CO10)*(1-Time!CO20)</f>
        <v>4.46619910004826E-016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15.366639768263</v>
      </c>
      <c r="AA13" s="19" t="n">
        <f aca="false">IF(Time!AA20=1,AA8+Funding!AA21,AA9+AA11-AA12)</f>
        <v>19.3030365072743</v>
      </c>
      <c r="AB13" s="19" t="n">
        <f aca="false">IF(Time!AB20=1,AB8+Funding!AB21,AB9+AB11-AB12)</f>
        <v>20.57459323591</v>
      </c>
      <c r="AC13" s="19" t="n">
        <f aca="false">IF(Time!AC20=1,AC8+Funding!AC21,AC9+AC11-AC12)</f>
        <v>23.7337665751819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23.0533401819306</v>
      </c>
      <c r="AV13" s="19" t="n">
        <f aca="false">IF(Time!AV20=1,AV8+Funding!AV21,AV9+AV11-AV12)</f>
        <v>25.0503904348706</v>
      </c>
      <c r="AW13" s="19" t="n">
        <f aca="false">IF(Time!AW20=1,AW8+Funding!AW21,AW9+AW11-AW12)</f>
        <v>25.1508622905596</v>
      </c>
      <c r="AX13" s="19" t="n">
        <f aca="false">IF(Time!AX20=1,AX8+Funding!AX21,AX9+AX11-AX12)</f>
        <v>24.9746741850431</v>
      </c>
      <c r="AY13" s="19" t="n">
        <f aca="false">IF(Time!AY20=1,AY8+Funding!AY21,AY9+AY11-AY12)</f>
        <v>25.2447615195311</v>
      </c>
      <c r="AZ13" s="19" t="n">
        <f aca="false">IF(Time!AZ20=1,AZ8+Funding!AZ21,AZ9+AZ11-AZ12)</f>
        <v>26.4296082744351</v>
      </c>
      <c r="BA13" s="19" t="n">
        <f aca="false">IF(Time!BA20=1,BA8+Funding!BA21,BA9+BA11-BA12)</f>
        <v>26.5404185160733</v>
      </c>
      <c r="BB13" s="19" t="n">
        <f aca="false">IF(Time!BB20=1,BB8+Funding!BB21,BB9+BB11-BB12)</f>
        <v>31.0730822191862</v>
      </c>
      <c r="BC13" s="19" t="n">
        <f aca="false">IF(Time!BC20=1,BC8+Funding!BC21,BC9+BC11-BC12)</f>
        <v>31.1898989720418</v>
      </c>
      <c r="BD13" s="19" t="n">
        <f aca="false">IF(Time!BD20=1,BD8+Funding!BD21,BD9+BD11-BD12)</f>
        <v>34.1520286404255</v>
      </c>
      <c r="BE13" s="19" t="n">
        <f aca="false">IF(Time!BE20=1,BE8+Funding!BE21,BE9+BE11-BE12)</f>
        <v>34.2751060537202</v>
      </c>
      <c r="BF13" s="19" t="n">
        <f aca="false">IF(Time!BF20=1,BF8+Funding!BF21,BF9+BF11-BF12)</f>
        <v>35.827659376166</v>
      </c>
      <c r="BG13" s="19" t="n">
        <f aca="false">IF(Time!BG20=1,BG8+Funding!BG21,BG9+BG11-BG12)</f>
        <v>36.1549955143621</v>
      </c>
      <c r="BH13" s="19" t="n">
        <f aca="false">IF(Time!BH20=1,BH8+Funding!BH21,BH9+BH11-BH12)</f>
        <v>37.5865853074074</v>
      </c>
      <c r="BI13" s="19" t="n">
        <f aca="false">IF(Time!BI20=1,BI8+Funding!BI21,BI9+BI11-BI12)</f>
        <v>37.7218247100396</v>
      </c>
      <c r="BJ13" s="19" t="n">
        <f aca="false">IF(Time!BJ20=1,BJ8+Funding!BJ21,BJ9+BJ11-BJ12)</f>
        <v>39.4331843358165</v>
      </c>
      <c r="BK13" s="19" t="n">
        <f aca="false">IF(Time!BK20=1,BK8+Funding!BK21,BK9+BK11-BK12)</f>
        <v>39.5754471499961</v>
      </c>
      <c r="BL13" s="19" t="n">
        <f aca="false">IF(Time!BL20=1,BL8+Funding!BL21,BL9+BL11-BL12)</f>
        <v>41.3558134666003</v>
      </c>
      <c r="BM13" s="19" t="n">
        <f aca="false">IF(Time!BM20=1,BM8+Funding!BM21,BM9+BM11-BM12)</f>
        <v>41.5042168372112</v>
      </c>
      <c r="BN13" s="19" t="n">
        <f aca="false">IF(Time!BN20=1,BN8+Funding!BN21,BN9+BN11-BN12)</f>
        <v>36.3859277619612</v>
      </c>
      <c r="BO13" s="19" t="n">
        <f aca="false">IF(Time!BO20=1,BO8+Funding!BO21,BO9+BO11-BO12)</f>
        <v>36.782607101421</v>
      </c>
      <c r="BP13" s="19" t="n">
        <f aca="false">IF(Time!BP20=1,BP8+Funding!BP21,BP9+BP11-BP12)</f>
        <v>38.4991094572439</v>
      </c>
      <c r="BQ13" s="19" t="n">
        <f aca="false">IF(Time!BQ20=1,BQ8+Funding!BQ21,BQ9+BQ11-BQ12)</f>
        <v>38.182372238154</v>
      </c>
      <c r="BR13" s="19" t="n">
        <f aca="false">IF(Time!BR20=1,BR8+Funding!BR21,BR9+BR11-BR12)</f>
        <v>40.1753349166406</v>
      </c>
      <c r="BS13" s="19" t="n">
        <f aca="false">IF(Time!BS20=1,BS8+Funding!BS21,BS9+BS11-BS12)</f>
        <v>39.8478504332762</v>
      </c>
      <c r="BT13" s="19" t="n">
        <f aca="false">IF(Time!BT20=1,BT8+Funding!BT21,BT9+BT11-BT12)</f>
        <v>48.8987871038368</v>
      </c>
      <c r="BU13" s="19" t="n">
        <f aca="false">IF(Time!BU20=1,BU8+Funding!BU21,BU9+BU11-BU12)</f>
        <v>48.5601185394209</v>
      </c>
      <c r="BV13" s="19" t="n">
        <f aca="false">IF(Time!BV20=1,BV8+Funding!BV21,BV9+BV11-BV12)</f>
        <v>50.7000252078501</v>
      </c>
      <c r="BW13" s="19" t="n">
        <f aca="false">IF(Time!BW20=1,BW8+Funding!BW21,BW9+BW11-BW12)</f>
        <v>50.6279568693624</v>
      </c>
      <c r="BX13" s="19" t="n">
        <f aca="false">IF(Time!BX20=1,BX8+Funding!BX21,BX9+BX11-BX12)</f>
        <v>52.5658535391762</v>
      </c>
      <c r="BY13" s="19" t="n">
        <f aca="false">IF(Time!BY20=1,BY8+Funding!BY21,BY9+BY11-BY12)</f>
        <v>52.2034649826373</v>
      </c>
      <c r="BZ13" s="19" t="n">
        <f aca="false">IF(Time!BZ20=1,BZ8+Funding!BZ21,BZ9+BZ11-BZ12)</f>
        <v>49.9877511628354</v>
      </c>
      <c r="CA13" s="19" t="n">
        <f aca="false">IF(Time!CA20=1,CA8+Funding!CA21,CA9+CA11-CA12)</f>
        <v>49.6128055244397</v>
      </c>
      <c r="CB13" s="19" t="n">
        <f aca="false">IF(Time!CB20=1,CB8+Funding!CB21,CB9+CB11-CB12)</f>
        <v>51.9870481968132</v>
      </c>
      <c r="CC13" s="19" t="n">
        <f aca="false">IF(Time!CC20=1,CC8+Funding!CC21,CC9+CC11-CC12)</f>
        <v>51.5990663118775</v>
      </c>
      <c r="CD13" s="19" t="n">
        <f aca="false">IF(Time!CD20=1,CD8+Funding!CD21,CD9+CD11-CD12)</f>
        <v>51.8718123417449</v>
      </c>
      <c r="CE13" s="19" t="n">
        <f aca="false">IF(Time!CE20=1,CE8+Funding!CE21,CE9+CE11-CE12)</f>
        <v>45.5693846585806</v>
      </c>
      <c r="CF13" s="19" t="n">
        <f aca="false">IF(Time!CF20=1,CF8+Funding!CF21,CF9+CF11-CF12)</f>
        <v>48.55299127962</v>
      </c>
      <c r="CG13" s="19" t="n">
        <f aca="false">IF(Time!CG20=1,CG8+Funding!CG21,CG9+CG11-CG12)</f>
        <v>0</v>
      </c>
      <c r="CH13" s="19" t="n">
        <f aca="false">IF(Time!CH20=1,CH8+Funding!CH21,CH9+CH11-CH12)</f>
        <v>5.55648191080975E-014</v>
      </c>
      <c r="CI13" s="19" t="n">
        <f aca="false">IF(Time!CI20=1,CI8+Funding!CI21,CI9+CI11-CI12)</f>
        <v>5.51181991980927E-014</v>
      </c>
      <c r="CJ13" s="19" t="n">
        <f aca="false">IF(Time!CJ20=1,CJ8+Funding!CJ21,CJ9+CJ11-CJ12)</f>
        <v>5.55648191080975E-014</v>
      </c>
      <c r="CK13" s="19" t="n">
        <f aca="false">IF(Time!CK20=1,CK8+Funding!CK21,CK9+CK11-CK12)</f>
        <v>5.51181991980927E-014</v>
      </c>
      <c r="CL13" s="19" t="n">
        <f aca="false">IF(Time!CL20=1,CL8+Funding!CL21,CL9+CL11-CL12)</f>
        <v>5.55648191080975E-014</v>
      </c>
      <c r="CM13" s="19" t="n">
        <f aca="false">IF(Time!CM20=1,CM8+Funding!CM21,CM9+CM11-CM12)</f>
        <v>5.52670725014276E-014</v>
      </c>
      <c r="CN13" s="19" t="n">
        <f aca="false">IF(Time!CN20=1,CN8+Funding!CN21,CN9+CN11-CN12)</f>
        <v>5.55648191080975E-014</v>
      </c>
      <c r="CO13" s="19" t="n">
        <f aca="false">IF(Time!CO20=1,CO8+Funding!CO21,CO9+CO11-CO12)</f>
        <v>5.51181991980927E-014</v>
      </c>
      <c r="CP13" s="19" t="n">
        <f aca="false">IF(Time!CP20=1,CP8+Funding!CP21,CP9+CP11-CP12)</f>
        <v>5.55648191080975E-014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4.78297735764365</v>
      </c>
      <c r="AB6" s="19" t="n">
        <f aca="false">AA51</f>
        <v>15.2919085044204</v>
      </c>
      <c r="AC6" s="19" t="n">
        <f aca="false">AB51</f>
        <v>30.2172514183374</v>
      </c>
      <c r="AD6" s="19" t="n">
        <f aca="false">AC51</f>
        <v>44.13450682345</v>
      </c>
      <c r="AE6" s="19" t="n">
        <f aca="false">AD51</f>
        <v>0</v>
      </c>
      <c r="AF6" s="19" t="n">
        <f aca="false">AE51</f>
        <v>0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6703.68908990801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13.2057960522632</v>
      </c>
      <c r="AA7" s="29" t="n">
        <f aca="false">Operations!AA48</f>
        <v>29.811967654051</v>
      </c>
      <c r="AB7" s="29" t="n">
        <f aca="false">Operations!AB48</f>
        <v>35.4999361498271</v>
      </c>
      <c r="AC7" s="29" t="n">
        <f aca="false">Operations!AC48</f>
        <v>37.6510219802945</v>
      </c>
      <c r="AD7" s="29" t="n">
        <f aca="false">Operations!AD48</f>
        <v>41.5262939014061</v>
      </c>
      <c r="AE7" s="29" t="n">
        <f aca="false">Operations!AE48</f>
        <v>44.0518580356782</v>
      </c>
      <c r="AF7" s="29" t="n">
        <f aca="false">Operations!AF48</f>
        <v>47.141564172366</v>
      </c>
      <c r="AG7" s="29" t="n">
        <f aca="false">Operations!AG48</f>
        <v>49.8522088901647</v>
      </c>
      <c r="AH7" s="29" t="n">
        <f aca="false">Operations!AH48</f>
        <v>50.8423903256552</v>
      </c>
      <c r="AI7" s="29" t="n">
        <f aca="false">Operations!AI48</f>
        <v>50.3596332262114</v>
      </c>
      <c r="AJ7" s="29" t="n">
        <f aca="false">Operations!AJ48</f>
        <v>51.7194008002565</v>
      </c>
      <c r="AK7" s="29" t="n">
        <f aca="false">Operations!AK48</f>
        <v>54.3447497898363</v>
      </c>
      <c r="AL7" s="29" t="n">
        <f aca="false">Operations!AL48</f>
        <v>55.4736792651828</v>
      </c>
      <c r="AM7" s="29" t="n">
        <f aca="false">Operations!AM48</f>
        <v>58.6088405519315</v>
      </c>
      <c r="AN7" s="29" t="n">
        <f aca="false">Operations!AN48</f>
        <v>59.8140464339361</v>
      </c>
      <c r="AO7" s="29" t="n">
        <f aca="false">Operations!AO48</f>
        <v>66.3491827406967</v>
      </c>
      <c r="AP7" s="29" t="n">
        <f aca="false">Operations!AP48</f>
        <v>67.6325043602451</v>
      </c>
      <c r="AQ7" s="29" t="n">
        <f aca="false">Operations!AQ48</f>
        <v>60.900382629931</v>
      </c>
      <c r="AR7" s="29" t="n">
        <f aca="false">Operations!AR48</f>
        <v>62.6711775737956</v>
      </c>
      <c r="AS7" s="29" t="n">
        <f aca="false">Operations!AS48</f>
        <v>66.0638433230532</v>
      </c>
      <c r="AT7" s="29" t="n">
        <f aca="false">Operations!AT48</f>
        <v>67.5242984290686</v>
      </c>
      <c r="AU7" s="29" t="n">
        <f aca="false">Operations!AU48</f>
        <v>71.5760936513739</v>
      </c>
      <c r="AV7" s="29" t="n">
        <f aca="false">Operations!AV48</f>
        <v>73.1336853372829</v>
      </c>
      <c r="AW7" s="29" t="n">
        <f aca="false">Operations!AW48</f>
        <v>78.9807975932619</v>
      </c>
      <c r="AX7" s="29" t="n">
        <f aca="false">Operations!AX48</f>
        <v>79.5731639027569</v>
      </c>
      <c r="AY7" s="29" t="n">
        <f aca="false">Operations!AY48</f>
        <v>79.65136927751</v>
      </c>
      <c r="AZ7" s="29" t="n">
        <f aca="false">Operations!AZ48</f>
        <v>80.7871500882672</v>
      </c>
      <c r="BA7" s="29" t="n">
        <f aca="false">Operations!BA48</f>
        <v>84.4503672018265</v>
      </c>
      <c r="BB7" s="29" t="n">
        <f aca="false">Operations!BB48</f>
        <v>85.1046691438304</v>
      </c>
      <c r="BC7" s="29" t="n">
        <f aca="false">Operations!BC48</f>
        <v>97.8002319889381</v>
      </c>
      <c r="BD7" s="29" t="n">
        <f aca="false">Operations!BD48</f>
        <v>98.4892700489251</v>
      </c>
      <c r="BE7" s="29" t="n">
        <f aca="false">Operations!BE48</f>
        <v>107.047864737675</v>
      </c>
      <c r="BF7" s="29" t="n">
        <f aca="false">Operations!BF48</f>
        <v>107.773322120946</v>
      </c>
      <c r="BG7" s="29" t="n">
        <f aca="false">Operations!BG48</f>
        <v>112.620415809364</v>
      </c>
      <c r="BH7" s="29" t="n">
        <f aca="false">Operations!BH48</f>
        <v>114.007716239484</v>
      </c>
      <c r="BI7" s="29" t="n">
        <f aca="false">Operations!BI48</f>
        <v>118.485305392427</v>
      </c>
      <c r="BJ7" s="29" t="n">
        <f aca="false">Operations!BJ48</f>
        <v>119.285098779664</v>
      </c>
      <c r="BK7" s="29" t="n">
        <f aca="false">Operations!BK48</f>
        <v>124.658620094971</v>
      </c>
      <c r="BL7" s="29" t="n">
        <f aca="false">Operations!BL48</f>
        <v>125.499987190561</v>
      </c>
      <c r="BM7" s="29" t="n">
        <f aca="false">Operations!BM48</f>
        <v>131.106968267941</v>
      </c>
      <c r="BN7" s="29" t="n">
        <f aca="false">Operations!BN48</f>
        <v>124.380655131397</v>
      </c>
      <c r="BO7" s="29" t="n">
        <f aca="false">Operations!BO48</f>
        <v>93.513086151924</v>
      </c>
      <c r="BP7" s="29" t="n">
        <f aca="false">Operations!BP48</f>
        <v>94.4045985453348</v>
      </c>
      <c r="BQ7" s="29" t="n">
        <f aca="false">Operations!BQ48</f>
        <v>98.1246783432969</v>
      </c>
      <c r="BR7" s="29" t="n">
        <f aca="false">Operations!BR48</f>
        <v>97.301418403763</v>
      </c>
      <c r="BS7" s="29" t="n">
        <f aca="false">Operations!BS48</f>
        <v>101.644581530227</v>
      </c>
      <c r="BT7" s="29" t="n">
        <f aca="false">Operations!BT48</f>
        <v>100.784496575918</v>
      </c>
      <c r="BU7" s="29" t="n">
        <f aca="false">Operations!BU48</f>
        <v>156.513657952211</v>
      </c>
      <c r="BV7" s="29" t="n">
        <f aca="false">Operations!BV48</f>
        <v>123.732693154887</v>
      </c>
      <c r="BW7" s="29" t="n">
        <f aca="false">Operations!BW48</f>
        <v>127.44520177735</v>
      </c>
      <c r="BX7" s="29" t="n">
        <f aca="false">Operations!BX48</f>
        <v>127.1243869743</v>
      </c>
      <c r="BY7" s="29" t="n">
        <f aca="false">Operations!BY48</f>
        <v>131.115290905852</v>
      </c>
      <c r="BZ7" s="29" t="n">
        <f aca="false">Operations!BZ48</f>
        <v>130.059606645461</v>
      </c>
      <c r="CA7" s="29" t="n">
        <f aca="false">Operations!CA48</f>
        <v>122.869952960207</v>
      </c>
      <c r="CB7" s="29" t="n">
        <f aca="false">Operations!CB48</f>
        <v>121.809898071967</v>
      </c>
      <c r="CC7" s="29" t="n">
        <f aca="false">Operations!CC48</f>
        <v>126.814807637733</v>
      </c>
      <c r="CD7" s="29" t="n">
        <f aca="false">Operations!CD48</f>
        <v>125.705232375008</v>
      </c>
      <c r="CE7" s="29" t="n">
        <f aca="false">Operations!CE48</f>
        <v>125.039892704174</v>
      </c>
      <c r="CF7" s="29" t="n">
        <f aca="false">Operations!CF48</f>
        <v>124.680775538843</v>
      </c>
      <c r="CG7" s="29" t="n">
        <f aca="false">Operations!CG48</f>
        <v>153.314798010442</v>
      </c>
      <c r="CH7" s="29" t="n">
        <f aca="false">Operations!CH48</f>
        <v>130.319650147852</v>
      </c>
      <c r="CI7" s="29" t="n">
        <f aca="false">Operations!CI48</f>
        <v>136.23246307777</v>
      </c>
      <c r="CJ7" s="29" t="n">
        <f aca="false">Operations!CJ48</f>
        <v>135.168775495426</v>
      </c>
      <c r="CK7" s="29" t="n">
        <f aca="false">Operations!CK48</f>
        <v>157.56014990159</v>
      </c>
      <c r="CL7" s="29" t="n">
        <f aca="false">Operations!CL48</f>
        <v>145.980389884893</v>
      </c>
      <c r="CM7" s="29" t="n">
        <f aca="false">Operations!CM48</f>
        <v>152.325534464231</v>
      </c>
      <c r="CN7" s="29" t="n">
        <f aca="false">Operations!CN48</f>
        <v>152.088653843563</v>
      </c>
      <c r="CO7" s="29" t="n">
        <f aca="false">Operations!CO48</f>
        <v>157.747542334871</v>
      </c>
      <c r="CP7" s="29" t="n">
        <f aca="false">Operations!CP48</f>
        <v>168.809348214662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17.9145006351404</v>
      </c>
      <c r="AA10" s="19" t="n">
        <f aca="false">(AA6+AA7+AA8+AA9)*(1-Time!AA20)</f>
        <v>42.6601657892626</v>
      </c>
      <c r="AB10" s="19" t="n">
        <f aca="false">(AB6+AB7+AB8+AB9)*(1-Time!AB20)</f>
        <v>54.8863018681373</v>
      </c>
      <c r="AC10" s="19" t="n">
        <f aca="false">(AC6+AC7+AC8+AC9)*(1-Time!AC20)</f>
        <v>71.2258172701574</v>
      </c>
      <c r="AD10" s="19" t="n">
        <f aca="false">(AD6+AD7+AD8+AD9)*(1-Time!AD20)</f>
        <v>85.6608007248561</v>
      </c>
      <c r="AE10" s="19" t="n">
        <f aca="false">(AE6+AE7+AE8+AE9)*(1-Time!AE20)</f>
        <v>44.0518580356782</v>
      </c>
      <c r="AF10" s="19" t="n">
        <f aca="false">(AF6+AF7+AF8+AF9)*(1-Time!AF20)</f>
        <v>47.141564172366</v>
      </c>
      <c r="AG10" s="19" t="n">
        <f aca="false">(AG6+AG7+AG8+AG9)*(1-Time!AG20)</f>
        <v>49.8522088901647</v>
      </c>
      <c r="AH10" s="19" t="n">
        <f aca="false">(AH6+AH7+AH8+AH9)*(1-Time!AH20)</f>
        <v>50.8423903256552</v>
      </c>
      <c r="AI10" s="19" t="n">
        <f aca="false">(AI6+AI7+AI8+AI9)*(1-Time!AI20)</f>
        <v>50.3596332262114</v>
      </c>
      <c r="AJ10" s="19" t="n">
        <f aca="false">(AJ6+AJ7+AJ8+AJ9)*(1-Time!AJ20)</f>
        <v>51.7194008002565</v>
      </c>
      <c r="AK10" s="19" t="n">
        <f aca="false">(AK6+AK7+AK8+AK9)*(1-Time!AK20)</f>
        <v>54.3447497898363</v>
      </c>
      <c r="AL10" s="19" t="n">
        <f aca="false">(AL6+AL7+AL8+AL9)*(1-Time!AL20)</f>
        <v>55.4736792651828</v>
      </c>
      <c r="AM10" s="19" t="n">
        <f aca="false">(AM6+AM7+AM8+AM9)*(1-Time!AM20)</f>
        <v>58.6088405519315</v>
      </c>
      <c r="AN10" s="19" t="n">
        <f aca="false">(AN6+AN7+AN8+AN9)*(1-Time!AN20)</f>
        <v>59.8140464339361</v>
      </c>
      <c r="AO10" s="19" t="n">
        <f aca="false">(AO6+AO7+AO8+AO9)*(1-Time!AO20)</f>
        <v>66.3491827406967</v>
      </c>
      <c r="AP10" s="19" t="n">
        <f aca="false">(AP6+AP7+AP8+AP9)*(1-Time!AP20)</f>
        <v>67.6325043602451</v>
      </c>
      <c r="AQ10" s="19" t="n">
        <f aca="false">(AQ6+AQ7+AQ8+AQ9)*(1-Time!AQ20)</f>
        <v>60.900382629931</v>
      </c>
      <c r="AR10" s="19" t="n">
        <f aca="false">(AR6+AR7+AR8+AR9)*(1-Time!AR20)</f>
        <v>62.6711775737956</v>
      </c>
      <c r="AS10" s="19" t="n">
        <f aca="false">(AS6+AS7+AS8+AS9)*(1-Time!AS20)</f>
        <v>66.0638433230532</v>
      </c>
      <c r="AT10" s="19" t="n">
        <f aca="false">(AT6+AT7+AT8+AT9)*(1-Time!AT20)</f>
        <v>67.5242984290686</v>
      </c>
      <c r="AU10" s="19" t="n">
        <f aca="false">(AU6+AU7+AU8+AU9)*(1-Time!AU20)</f>
        <v>71.5760936513739</v>
      </c>
      <c r="AV10" s="19" t="n">
        <f aca="false">(AV6+AV7+AV8+AV9)*(1-Time!AV20)</f>
        <v>73.1336853372829</v>
      </c>
      <c r="AW10" s="19" t="n">
        <f aca="false">(AW6+AW7+AW8+AW9)*(1-Time!AW20)</f>
        <v>78.9807975932619</v>
      </c>
      <c r="AX10" s="19" t="n">
        <f aca="false">(AX6+AX7+AX8+AX9)*(1-Time!AX20)</f>
        <v>79.5731639027569</v>
      </c>
      <c r="AY10" s="19" t="n">
        <f aca="false">(AY6+AY7+AY8+AY9)*(1-Time!AY20)</f>
        <v>79.65136927751</v>
      </c>
      <c r="AZ10" s="19" t="n">
        <f aca="false">(AZ6+AZ7+AZ8+AZ9)*(1-Time!AZ20)</f>
        <v>80.7871500882672</v>
      </c>
      <c r="BA10" s="19" t="n">
        <f aca="false">(BA6+BA7+BA8+BA9)*(1-Time!BA20)</f>
        <v>84.4503672018265</v>
      </c>
      <c r="BB10" s="19" t="n">
        <f aca="false">(BB6+BB7+BB8+BB9)*(1-Time!BB20)</f>
        <v>85.1046691438304</v>
      </c>
      <c r="BC10" s="19" t="n">
        <f aca="false">(BC6+BC7+BC8+BC9)*(1-Time!BC20)</f>
        <v>97.8002319889381</v>
      </c>
      <c r="BD10" s="19" t="n">
        <f aca="false">(BD6+BD7+BD8+BD9)*(1-Time!BD20)</f>
        <v>98.4892700489251</v>
      </c>
      <c r="BE10" s="19" t="n">
        <f aca="false">(BE6+BE7+BE8+BE9)*(1-Time!BE20)</f>
        <v>107.047864737675</v>
      </c>
      <c r="BF10" s="19" t="n">
        <f aca="false">(BF6+BF7+BF8+BF9)*(1-Time!BF20)</f>
        <v>107.773322120946</v>
      </c>
      <c r="BG10" s="19" t="n">
        <f aca="false">(BG6+BG7+BG8+BG9)*(1-Time!BG20)</f>
        <v>112.620415809364</v>
      </c>
      <c r="BH10" s="19" t="n">
        <f aca="false">(BH6+BH7+BH8+BH9)*(1-Time!BH20)</f>
        <v>114.007716239484</v>
      </c>
      <c r="BI10" s="19" t="n">
        <f aca="false">(BI6+BI7+BI8+BI9)*(1-Time!BI20)</f>
        <v>118.485305392427</v>
      </c>
      <c r="BJ10" s="19" t="n">
        <f aca="false">(BJ6+BJ7+BJ8+BJ9)*(1-Time!BJ20)</f>
        <v>119.285098779664</v>
      </c>
      <c r="BK10" s="19" t="n">
        <f aca="false">(BK6+BK7+BK8+BK9)*(1-Time!BK20)</f>
        <v>124.658620094971</v>
      </c>
      <c r="BL10" s="19" t="n">
        <f aca="false">(BL6+BL7+BL8+BL9)*(1-Time!BL20)</f>
        <v>125.499987190561</v>
      </c>
      <c r="BM10" s="19" t="n">
        <f aca="false">(BM6+BM7+BM8+BM9)*(1-Time!BM20)</f>
        <v>131.106968267941</v>
      </c>
      <c r="BN10" s="19" t="n">
        <f aca="false">(BN6+BN7+BN8+BN9)*(1-Time!BN20)</f>
        <v>124.380655131397</v>
      </c>
      <c r="BO10" s="19" t="n">
        <f aca="false">(BO6+BO7+BO8+BO9)*(1-Time!BO20)</f>
        <v>93.513086151924</v>
      </c>
      <c r="BP10" s="19" t="n">
        <f aca="false">(BP6+BP7+BP8+BP9)*(1-Time!BP20)</f>
        <v>94.4045985453348</v>
      </c>
      <c r="BQ10" s="19" t="n">
        <f aca="false">(BQ6+BQ7+BQ8+BQ9)*(1-Time!BQ20)</f>
        <v>98.1246783432969</v>
      </c>
      <c r="BR10" s="19" t="n">
        <f aca="false">(BR6+BR7+BR8+BR9)*(1-Time!BR20)</f>
        <v>97.301418403763</v>
      </c>
      <c r="BS10" s="19" t="n">
        <f aca="false">(BS6+BS7+BS8+BS9)*(1-Time!BS20)</f>
        <v>101.644581530227</v>
      </c>
      <c r="BT10" s="19" t="n">
        <f aca="false">(BT6+BT7+BT8+BT9)*(1-Time!BT20)</f>
        <v>100.784496575918</v>
      </c>
      <c r="BU10" s="19" t="n">
        <f aca="false">(BU6+BU7+BU8+BU9)*(1-Time!BU20)</f>
        <v>156.513657952211</v>
      </c>
      <c r="BV10" s="19" t="n">
        <f aca="false">(BV6+BV7+BV8+BV9)*(1-Time!BV20)</f>
        <v>123.732693154887</v>
      </c>
      <c r="BW10" s="19" t="n">
        <f aca="false">(BW6+BW7+BW8+BW9)*(1-Time!BW20)</f>
        <v>127.44520177735</v>
      </c>
      <c r="BX10" s="19" t="n">
        <f aca="false">(BX6+BX7+BX8+BX9)*(1-Time!BX20)</f>
        <v>127.1243869743</v>
      </c>
      <c r="BY10" s="19" t="n">
        <f aca="false">(BY6+BY7+BY8+BY9)*(1-Time!BY20)</f>
        <v>131.115290905852</v>
      </c>
      <c r="BZ10" s="19" t="n">
        <f aca="false">(BZ6+BZ7+BZ8+BZ9)*(1-Time!BZ20)</f>
        <v>130.059606645461</v>
      </c>
      <c r="CA10" s="19" t="n">
        <f aca="false">(CA6+CA7+CA8+CA9)*(1-Time!CA20)</f>
        <v>122.869952960207</v>
      </c>
      <c r="CB10" s="19" t="n">
        <f aca="false">(CB6+CB7+CB8+CB9)*(1-Time!CB20)</f>
        <v>121.809898071967</v>
      </c>
      <c r="CC10" s="19" t="n">
        <f aca="false">(CC6+CC7+CC8+CC9)*(1-Time!CC20)</f>
        <v>126.814807637733</v>
      </c>
      <c r="CD10" s="19" t="n">
        <f aca="false">(CD6+CD7+CD8+CD9)*(1-Time!CD20)</f>
        <v>125.705232375008</v>
      </c>
      <c r="CE10" s="19" t="n">
        <f aca="false">(CE6+CE7+CE8+CE9)*(1-Time!CE20)</f>
        <v>125.039892704174</v>
      </c>
      <c r="CF10" s="19" t="n">
        <f aca="false">(CF6+CF7+CF8+CF9)*(1-Time!CF20)</f>
        <v>124.680775538843</v>
      </c>
      <c r="CG10" s="19" t="n">
        <f aca="false">(CG6+CG7+CG8+CG9)*(1-Time!CG20)</f>
        <v>153.314798010442</v>
      </c>
      <c r="CH10" s="19" t="n">
        <f aca="false">(CH6+CH7+CH8+CH9)*(1-Time!CH20)</f>
        <v>130.319650147852</v>
      </c>
      <c r="CI10" s="19" t="n">
        <f aca="false">(CI6+CI7+CI8+CI9)*(1-Time!CI20)</f>
        <v>136.23246307777</v>
      </c>
      <c r="CJ10" s="19" t="n">
        <f aca="false">(CJ6+CJ7+CJ8+CJ9)*(1-Time!CJ20)</f>
        <v>135.168775495426</v>
      </c>
      <c r="CK10" s="19" t="n">
        <f aca="false">(CK6+CK7+CK8+CK9)*(1-Time!CK20)</f>
        <v>157.56014990159</v>
      </c>
      <c r="CL10" s="19" t="n">
        <f aca="false">(CL6+CL7+CL8+CL9)*(1-Time!CL20)</f>
        <v>145.980389884893</v>
      </c>
      <c r="CM10" s="19" t="n">
        <f aca="false">(CM6+CM7+CM8+CM9)*(1-Time!CM20)</f>
        <v>152.325534464231</v>
      </c>
      <c r="CN10" s="19" t="n">
        <f aca="false">(CN6+CN7+CN8+CN9)*(1-Time!CN20)</f>
        <v>152.088653843563</v>
      </c>
      <c r="CO10" s="19" t="n">
        <f aca="false">(CO6+CO7+CO8+CO9)*(1-Time!CO20)</f>
        <v>157.747542334871</v>
      </c>
      <c r="CP10" s="19" t="n">
        <f aca="false">(CP6+CP7+CP8+CP9)*(1-Time!CP20)</f>
        <v>168.809348214662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5.51181991980927E-014</v>
      </c>
      <c r="CT12" s="19" t="n">
        <f aca="false">Debt!CT56+Debt!CT57</f>
        <v>1.1068301830619E-013</v>
      </c>
      <c r="CU12" s="19" t="n">
        <f aca="false">Debt!CU56+Debt!CU57</f>
        <v>1.65801217504283E-013</v>
      </c>
      <c r="CV12" s="19" t="n">
        <f aca="false">Debt!CV56+Debt!CV57</f>
        <v>2.2136603661238E-013</v>
      </c>
      <c r="CW12" s="19" t="n">
        <f aca="false">Debt!CW56+Debt!CW57</f>
        <v>2.76633109113808E-013</v>
      </c>
      <c r="CX12" s="19" t="n">
        <f aca="false">Debt!CX56+Debt!CX57</f>
        <v>3.32197928221906E-013</v>
      </c>
      <c r="CY12" s="19" t="n">
        <f aca="false">Debt!CY56+Debt!CY57</f>
        <v>3.87316127419998E-013</v>
      </c>
      <c r="CZ12" s="19" t="n">
        <f aca="false">Debt!CZ56+Debt!CZ57</f>
        <v>4.42880946528096E-013</v>
      </c>
      <c r="DA12" s="19" t="n">
        <f aca="false">Debt!DA56+Debt!DA57</f>
        <v>4.97999145726188E-013</v>
      </c>
      <c r="DB12" s="19" t="n">
        <f aca="false">Debt!DB56+Debt!DB57</f>
        <v>5.53563964834286E-013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2004.84264043384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23.0533401819306</v>
      </c>
      <c r="AW13" s="19" t="n">
        <f aca="false">(Debt!AW65+Debt!AW64+AW12+Debt!AW67)*(1-Time!AW20)</f>
        <v>25.0503904348706</v>
      </c>
      <c r="AX13" s="19" t="n">
        <f aca="false">(Debt!AX65+Debt!AX64+AX12+Debt!AX67)*(1-Time!AX20)</f>
        <v>25.1508622905596</v>
      </c>
      <c r="AY13" s="19" t="n">
        <f aca="false">(Debt!AY65+Debt!AY64+AY12+Debt!AY67)*(1-Time!AY20)</f>
        <v>24.9746741850431</v>
      </c>
      <c r="AZ13" s="19" t="n">
        <f aca="false">(Debt!AZ65+Debt!AZ64+AZ12+Debt!AZ67)*(1-Time!AZ20)</f>
        <v>25.2447615195311</v>
      </c>
      <c r="BA13" s="19" t="n">
        <f aca="false">(Debt!BA65+Debt!BA64+BA12+Debt!BA67)*(1-Time!BA20)</f>
        <v>26.4296082744351</v>
      </c>
      <c r="BB13" s="19" t="n">
        <f aca="false">(Debt!BB65+Debt!BB64+BB12+Debt!BB67)*(1-Time!BB20)</f>
        <v>26.5404185160733</v>
      </c>
      <c r="BC13" s="19" t="n">
        <f aca="false">(Debt!BC65+Debt!BC64+BC12+Debt!BC67)*(1-Time!BC20)</f>
        <v>31.0730822191862</v>
      </c>
      <c r="BD13" s="19" t="n">
        <f aca="false">(Debt!BD65+Debt!BD64+BD12+Debt!BD67)*(1-Time!BD20)</f>
        <v>31.1898989720418</v>
      </c>
      <c r="BE13" s="19" t="n">
        <f aca="false">(Debt!BE65+Debt!BE64+BE12+Debt!BE67)*(1-Time!BE20)</f>
        <v>34.1520286404255</v>
      </c>
      <c r="BF13" s="19" t="n">
        <f aca="false">(Debt!BF65+Debt!BF64+BF12+Debt!BF67)*(1-Time!BF20)</f>
        <v>34.2751060537202</v>
      </c>
      <c r="BG13" s="19" t="n">
        <f aca="false">(Debt!BG65+Debt!BG64+BG12+Debt!BG67)*(1-Time!BG20)</f>
        <v>35.827659376166</v>
      </c>
      <c r="BH13" s="19" t="n">
        <f aca="false">(Debt!BH65+Debt!BH64+BH12+Debt!BH67)*(1-Time!BH20)</f>
        <v>36.1549955143621</v>
      </c>
      <c r="BI13" s="19" t="n">
        <f aca="false">(Debt!BI65+Debt!BI64+BI12+Debt!BI67)*(1-Time!BI20)</f>
        <v>37.5865853074074</v>
      </c>
      <c r="BJ13" s="19" t="n">
        <f aca="false">(Debt!BJ65+Debt!BJ64+BJ12+Debt!BJ67)*(1-Time!BJ20)</f>
        <v>37.7218247100396</v>
      </c>
      <c r="BK13" s="19" t="n">
        <f aca="false">(Debt!BK65+Debt!BK64+BK12+Debt!BK67)*(1-Time!BK20)</f>
        <v>39.4331843358165</v>
      </c>
      <c r="BL13" s="19" t="n">
        <f aca="false">(Debt!BL65+Debt!BL64+BL12+Debt!BL67)*(1-Time!BL20)</f>
        <v>39.5754471499961</v>
      </c>
      <c r="BM13" s="19" t="n">
        <f aca="false">(Debt!BM65+Debt!BM64+BM12+Debt!BM67)*(1-Time!BM20)</f>
        <v>41.3558134666003</v>
      </c>
      <c r="BN13" s="19" t="n">
        <f aca="false">(Debt!BN65+Debt!BN64+BN12+Debt!BN67)*(1-Time!BN20)</f>
        <v>41.5042168372112</v>
      </c>
      <c r="BO13" s="19" t="n">
        <f aca="false">(Debt!BO65+Debt!BO64+BO12+Debt!BO67)*(1-Time!BO20)</f>
        <v>36.3859277619612</v>
      </c>
      <c r="BP13" s="19" t="n">
        <f aca="false">(Debt!BP65+Debt!BP64+BP12+Debt!BP67)*(1-Time!BP20)</f>
        <v>36.782607101421</v>
      </c>
      <c r="BQ13" s="19" t="n">
        <f aca="false">(Debt!BQ65+Debt!BQ64+BQ12+Debt!BQ67)*(1-Time!BQ20)</f>
        <v>38.4991094572439</v>
      </c>
      <c r="BR13" s="19" t="n">
        <f aca="false">(Debt!BR65+Debt!BR64+BR12+Debt!BR67)*(1-Time!BR20)</f>
        <v>38.182372238154</v>
      </c>
      <c r="BS13" s="19" t="n">
        <f aca="false">(Debt!BS65+Debt!BS64+BS12+Debt!BS67)*(1-Time!BS20)</f>
        <v>40.1753349166406</v>
      </c>
      <c r="BT13" s="19" t="n">
        <f aca="false">(Debt!BT65+Debt!BT64+BT12+Debt!BT67)*(1-Time!BT20)</f>
        <v>39.8478504332762</v>
      </c>
      <c r="BU13" s="19" t="n">
        <f aca="false">(Debt!BU65+Debt!BU64+BU12+Debt!BU67)*(1-Time!BU20)</f>
        <v>48.8987871038368</v>
      </c>
      <c r="BV13" s="19" t="n">
        <f aca="false">(Debt!BV65+Debt!BV64+BV12+Debt!BV67)*(1-Time!BV20)</f>
        <v>48.5601185394209</v>
      </c>
      <c r="BW13" s="19" t="n">
        <f aca="false">(Debt!BW65+Debt!BW64+BW12+Debt!BW67)*(1-Time!BW20)</f>
        <v>50.7000252078501</v>
      </c>
      <c r="BX13" s="19" t="n">
        <f aca="false">(Debt!BX65+Debt!BX64+BX12+Debt!BX67)*(1-Time!BX20)</f>
        <v>50.6279568693624</v>
      </c>
      <c r="BY13" s="19" t="n">
        <f aca="false">(Debt!BY65+Debt!BY64+BY12+Debt!BY67)*(1-Time!BY20)</f>
        <v>52.5658535391762</v>
      </c>
      <c r="BZ13" s="19" t="n">
        <f aca="false">(Debt!BZ65+Debt!BZ64+BZ12+Debt!BZ67)*(1-Time!BZ20)</f>
        <v>52.2034649826372</v>
      </c>
      <c r="CA13" s="19" t="n">
        <f aca="false">(Debt!CA65+Debt!CA64+CA12+Debt!CA67)*(1-Time!CA20)</f>
        <v>49.9877511628354</v>
      </c>
      <c r="CB13" s="19" t="n">
        <f aca="false">(Debt!CB65+Debt!CB64+CB12+Debt!CB67)*(1-Time!CB20)</f>
        <v>49.6128055244397</v>
      </c>
      <c r="CC13" s="19" t="n">
        <f aca="false">(Debt!CC65+Debt!CC64+CC12+Debt!CC67)*(1-Time!CC20)</f>
        <v>51.9870481968132</v>
      </c>
      <c r="CD13" s="19" t="n">
        <f aca="false">(Debt!CD65+Debt!CD64+CD12+Debt!CD67)*(1-Time!CD20)</f>
        <v>51.5990663118775</v>
      </c>
      <c r="CE13" s="19" t="n">
        <f aca="false">(Debt!CE65+Debt!CE64+CE12+Debt!CE67)*(1-Time!CE20)</f>
        <v>51.8718123417449</v>
      </c>
      <c r="CF13" s="19" t="n">
        <f aca="false">(Debt!CF65+Debt!CF64+CF12+Debt!CF67)*(1-Time!CF20)</f>
        <v>45.5693846585805</v>
      </c>
      <c r="CG13" s="19" t="n">
        <f aca="false">(Debt!CG65+Debt!CG64+CG12+Debt!CG67)*(1-Time!CG20)</f>
        <v>48.55299127962</v>
      </c>
      <c r="CH13" s="19" t="n">
        <f aca="false">(Debt!CH65+Debt!CH64+CH12+Debt!CH67)*(1-Time!CH20)</f>
        <v>5.51181991980927E-014</v>
      </c>
      <c r="CI13" s="19" t="n">
        <f aca="false">(Debt!CI65+Debt!CI64+CI12+Debt!CI67)*(1-Time!CI20)</f>
        <v>5.55648191080975E-014</v>
      </c>
      <c r="CJ13" s="19" t="n">
        <f aca="false">(Debt!CJ65+Debt!CJ64+CJ12+Debt!CJ67)*(1-Time!CJ20)</f>
        <v>5.51181991980927E-014</v>
      </c>
      <c r="CK13" s="19" t="n">
        <f aca="false">(Debt!CK65+Debt!CK64+CK12+Debt!CK67)*(1-Time!CK20)</f>
        <v>5.55648191080975E-014</v>
      </c>
      <c r="CL13" s="19" t="n">
        <f aca="false">(Debt!CL65+Debt!CL64+CL12+Debt!CL67)*(1-Time!CL20)</f>
        <v>5.51181991980927E-014</v>
      </c>
      <c r="CM13" s="19" t="n">
        <f aca="false">(Debt!CM65+Debt!CM64+CM12+Debt!CM67)*(1-Time!CM20)</f>
        <v>5.55648191080975E-014</v>
      </c>
      <c r="CN13" s="19" t="n">
        <f aca="false">(Debt!CN65+Debt!CN64+CN12+Debt!CN67)*(1-Time!CN20)</f>
        <v>5.52670725014276E-014</v>
      </c>
      <c r="CO13" s="19" t="n">
        <f aca="false">(Debt!CO65+Debt!CO64+CO12+Debt!CO67)*(1-Time!CO20)</f>
        <v>5.55648191080975E-014</v>
      </c>
      <c r="CP13" s="19" t="n">
        <f aca="false">(Debt!CP65+Debt!CP64+CP12+Debt!CP67)*(1-Time!CP20)</f>
        <v>5.51181991980927E-014</v>
      </c>
      <c r="CQ13" s="19" t="n">
        <f aca="false">(Debt!CQ65+Debt!CQ64+CQ12+Debt!CQ67)*(1-Time!CQ20)</f>
        <v>5.55648191080975E-014</v>
      </c>
      <c r="CR13" s="19" t="n">
        <f aca="false">(Debt!CR65+Debt!CR64+CR12+Debt!CR67)*(1-Time!CR20)</f>
        <v>5.51181991980927E-014</v>
      </c>
      <c r="CS13" s="19" t="n">
        <f aca="false">(Debt!CS65+Debt!CS64+CS12+Debt!CS67)*(1-Time!CS20)</f>
        <v>1.1068301830619E-013</v>
      </c>
      <c r="CT13" s="19" t="n">
        <f aca="false">(Debt!CT65+Debt!CT64+CT12+Debt!CT67)*(1-Time!CT20)</f>
        <v>1.65801217504283E-013</v>
      </c>
      <c r="CU13" s="19" t="n">
        <f aca="false">(Debt!CU65+Debt!CU64+CU12+Debt!CU67)*(1-Time!CU20)</f>
        <v>2.2136603661238E-013</v>
      </c>
      <c r="CV13" s="19" t="n">
        <f aca="false">(Debt!CV65+Debt!CV64+CV12+Debt!CV67)*(1-Time!CV20)</f>
        <v>2.76633109113808E-013</v>
      </c>
      <c r="CW13" s="19" t="n">
        <f aca="false">(Debt!CW65+Debt!CW64+CW12+Debt!CW67)*(1-Time!CW20)</f>
        <v>3.32197928221906E-013</v>
      </c>
      <c r="CX13" s="19" t="n">
        <f aca="false">(Debt!CX65+Debt!CX64+CX12+Debt!CX67)*(1-Time!CX20)</f>
        <v>3.87316127419998E-013</v>
      </c>
      <c r="CY13" s="19" t="n">
        <f aca="false">(Debt!CY65+Debt!CY64+CY12+Debt!CY67)*(1-Time!CY20)</f>
        <v>4.42880946528096E-013</v>
      </c>
      <c r="CZ13" s="19" t="n">
        <f aca="false">(Debt!CZ65+Debt!CZ64+CZ12+Debt!CZ67)*(1-Time!CZ20)</f>
        <v>4.97999145726188E-013</v>
      </c>
      <c r="DA13" s="19" t="n">
        <f aca="false">(Debt!DA65+Debt!DA64+DA12+Debt!DA67)*(1-Time!DA20)</f>
        <v>5.53563964834286E-013</v>
      </c>
      <c r="DB13" s="19" t="n">
        <f aca="false">(Debt!DB65+Debt!DB64+DB12+Debt!DB67)*(1-Time!DB20)</f>
        <v>6.08682164032379E-013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2004.84264043383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23.0533401819306</v>
      </c>
      <c r="AW14" s="19" t="n">
        <f aca="false">MIN(AW13,MAX(0,AW10)+Reserves!AW8)*(1-Time!AW20)</f>
        <v>25.0503904348706</v>
      </c>
      <c r="AX14" s="19" t="n">
        <f aca="false">MIN(AX13,MAX(0,AX10)+Reserves!AX8)*(1-Time!AX20)</f>
        <v>25.1508622905596</v>
      </c>
      <c r="AY14" s="19" t="n">
        <f aca="false">MIN(AY13,MAX(0,AY10)+Reserves!AY8)*(1-Time!AY20)</f>
        <v>24.9746741850431</v>
      </c>
      <c r="AZ14" s="19" t="n">
        <f aca="false">MIN(AZ13,MAX(0,AZ10)+Reserves!AZ8)*(1-Time!AZ20)</f>
        <v>25.2447615195311</v>
      </c>
      <c r="BA14" s="19" t="n">
        <f aca="false">MIN(BA13,MAX(0,BA10)+Reserves!BA8)*(1-Time!BA20)</f>
        <v>26.4296082744351</v>
      </c>
      <c r="BB14" s="19" t="n">
        <f aca="false">MIN(BB13,MAX(0,BB10)+Reserves!BB8)*(1-Time!BB20)</f>
        <v>26.5404185160733</v>
      </c>
      <c r="BC14" s="19" t="n">
        <f aca="false">MIN(BC13,MAX(0,BC10)+Reserves!BC8)*(1-Time!BC20)</f>
        <v>31.0730822191862</v>
      </c>
      <c r="BD14" s="19" t="n">
        <f aca="false">MIN(BD13,MAX(0,BD10)+Reserves!BD8)*(1-Time!BD20)</f>
        <v>31.1898989720418</v>
      </c>
      <c r="BE14" s="19" t="n">
        <f aca="false">MIN(BE13,MAX(0,BE10)+Reserves!BE8)*(1-Time!BE20)</f>
        <v>34.1520286404255</v>
      </c>
      <c r="BF14" s="19" t="n">
        <f aca="false">MIN(BF13,MAX(0,BF10)+Reserves!BF8)*(1-Time!BF20)</f>
        <v>34.2751060537202</v>
      </c>
      <c r="BG14" s="19" t="n">
        <f aca="false">MIN(BG13,MAX(0,BG10)+Reserves!BG8)*(1-Time!BG20)</f>
        <v>35.827659376166</v>
      </c>
      <c r="BH14" s="19" t="n">
        <f aca="false">MIN(BH13,MAX(0,BH10)+Reserves!BH8)*(1-Time!BH20)</f>
        <v>36.1549955143621</v>
      </c>
      <c r="BI14" s="19" t="n">
        <f aca="false">MIN(BI13,MAX(0,BI10)+Reserves!BI8)*(1-Time!BI20)</f>
        <v>37.5865853074074</v>
      </c>
      <c r="BJ14" s="19" t="n">
        <f aca="false">MIN(BJ13,MAX(0,BJ10)+Reserves!BJ8)*(1-Time!BJ20)</f>
        <v>37.7218247100396</v>
      </c>
      <c r="BK14" s="19" t="n">
        <f aca="false">MIN(BK13,MAX(0,BK10)+Reserves!BK8)*(1-Time!BK20)</f>
        <v>39.4331843358165</v>
      </c>
      <c r="BL14" s="19" t="n">
        <f aca="false">MIN(BL13,MAX(0,BL10)+Reserves!BL8)*(1-Time!BL20)</f>
        <v>39.5754471499961</v>
      </c>
      <c r="BM14" s="19" t="n">
        <f aca="false">MIN(BM13,MAX(0,BM10)+Reserves!BM8)*(1-Time!BM20)</f>
        <v>41.3558134666003</v>
      </c>
      <c r="BN14" s="19" t="n">
        <f aca="false">MIN(BN13,MAX(0,BN10)+Reserves!BN8)*(1-Time!BN20)</f>
        <v>41.5042168372112</v>
      </c>
      <c r="BO14" s="19" t="n">
        <f aca="false">MIN(BO13,MAX(0,BO10)+Reserves!BO8)*(1-Time!BO20)</f>
        <v>36.3859277619612</v>
      </c>
      <c r="BP14" s="19" t="n">
        <f aca="false">MIN(BP13,MAX(0,BP10)+Reserves!BP8)*(1-Time!BP20)</f>
        <v>36.782607101421</v>
      </c>
      <c r="BQ14" s="19" t="n">
        <f aca="false">MIN(BQ13,MAX(0,BQ10)+Reserves!BQ8)*(1-Time!BQ20)</f>
        <v>38.4991094572439</v>
      </c>
      <c r="BR14" s="19" t="n">
        <f aca="false">MIN(BR13,MAX(0,BR10)+Reserves!BR8)*(1-Time!BR20)</f>
        <v>38.182372238154</v>
      </c>
      <c r="BS14" s="19" t="n">
        <f aca="false">MIN(BS13,MAX(0,BS10)+Reserves!BS8)*(1-Time!BS20)</f>
        <v>40.1753349166406</v>
      </c>
      <c r="BT14" s="19" t="n">
        <f aca="false">MIN(BT13,MAX(0,BT10)+Reserves!BT8)*(1-Time!BT20)</f>
        <v>39.8478504332762</v>
      </c>
      <c r="BU14" s="19" t="n">
        <f aca="false">MIN(BU13,MAX(0,BU10)+Reserves!BU8)*(1-Time!BU20)</f>
        <v>48.8987871038368</v>
      </c>
      <c r="BV14" s="19" t="n">
        <f aca="false">MIN(BV13,MAX(0,BV10)+Reserves!BV8)*(1-Time!BV20)</f>
        <v>48.5601185394209</v>
      </c>
      <c r="BW14" s="19" t="n">
        <f aca="false">MIN(BW13,MAX(0,BW10)+Reserves!BW8)*(1-Time!BW20)</f>
        <v>50.7000252078501</v>
      </c>
      <c r="BX14" s="19" t="n">
        <f aca="false">MIN(BX13,MAX(0,BX10)+Reserves!BX8)*(1-Time!BX20)</f>
        <v>50.6279568693624</v>
      </c>
      <c r="BY14" s="19" t="n">
        <f aca="false">MIN(BY13,MAX(0,BY10)+Reserves!BY8)*(1-Time!BY20)</f>
        <v>52.5658535391762</v>
      </c>
      <c r="BZ14" s="19" t="n">
        <f aca="false">MIN(BZ13,MAX(0,BZ10)+Reserves!BZ8)*(1-Time!BZ20)</f>
        <v>52.2034649826372</v>
      </c>
      <c r="CA14" s="19" t="n">
        <f aca="false">MIN(CA13,MAX(0,CA10)+Reserves!CA8)*(1-Time!CA20)</f>
        <v>49.9877511628354</v>
      </c>
      <c r="CB14" s="19" t="n">
        <f aca="false">MIN(CB13,MAX(0,CB10)+Reserves!CB8)*(1-Time!CB20)</f>
        <v>49.6128055244397</v>
      </c>
      <c r="CC14" s="19" t="n">
        <f aca="false">MIN(CC13,MAX(0,CC10)+Reserves!CC8)*(1-Time!CC20)</f>
        <v>51.9870481968132</v>
      </c>
      <c r="CD14" s="19" t="n">
        <f aca="false">MIN(CD13,MAX(0,CD10)+Reserves!CD8)*(1-Time!CD20)</f>
        <v>51.5990663118775</v>
      </c>
      <c r="CE14" s="19" t="n">
        <f aca="false">MIN(CE13,MAX(0,CE10)+Reserves!CE8)*(1-Time!CE20)</f>
        <v>51.8718123417449</v>
      </c>
      <c r="CF14" s="19" t="n">
        <f aca="false">MIN(CF13,MAX(0,CF10)+Reserves!CF8)*(1-Time!CF20)</f>
        <v>45.5693846585805</v>
      </c>
      <c r="CG14" s="19" t="n">
        <f aca="false">MIN(CG13,MAX(0,CG10)+Reserves!CG8)*(1-Time!CG20)</f>
        <v>48.55299127962</v>
      </c>
      <c r="CH14" s="19" t="n">
        <f aca="false">MIN(CH13,MAX(0,CH10)+Reserves!CH8)*(1-Time!CH20)</f>
        <v>5.51181991980927E-014</v>
      </c>
      <c r="CI14" s="19" t="n">
        <f aca="false">MIN(CI13,MAX(0,CI10)+Reserves!CI8)*(1-Time!CI20)</f>
        <v>5.55648191080975E-014</v>
      </c>
      <c r="CJ14" s="19" t="n">
        <f aca="false">MIN(CJ13,MAX(0,CJ10)+Reserves!CJ8)*(1-Time!CJ20)</f>
        <v>5.51181991980927E-014</v>
      </c>
      <c r="CK14" s="19" t="n">
        <f aca="false">MIN(CK13,MAX(0,CK10)+Reserves!CK8)*(1-Time!CK20)</f>
        <v>5.55648191080975E-014</v>
      </c>
      <c r="CL14" s="19" t="n">
        <f aca="false">MIN(CL13,MAX(0,CL10)+Reserves!CL8)*(1-Time!CL20)</f>
        <v>5.51181991980927E-014</v>
      </c>
      <c r="CM14" s="19" t="n">
        <f aca="false">MIN(CM13,MAX(0,CM10)+Reserves!CM8)*(1-Time!CM20)</f>
        <v>5.55648191080975E-014</v>
      </c>
      <c r="CN14" s="19" t="n">
        <f aca="false">MIN(CN13,MAX(0,CN10)+Reserves!CN8)*(1-Time!CN20)</f>
        <v>5.52670725014276E-014</v>
      </c>
      <c r="CO14" s="19" t="n">
        <f aca="false">MIN(CO13,MAX(0,CO10)+Reserves!CO8)*(1-Time!CO20)</f>
        <v>5.55648191080975E-014</v>
      </c>
      <c r="CP14" s="19" t="n">
        <f aca="false">MIN(CP13,MAX(0,CP10)+Reserves!CP8)*(1-Time!CP20)</f>
        <v>5.51181991980927E-014</v>
      </c>
      <c r="CQ14" s="19" t="n">
        <f aca="false">MIN(CQ13,MAX(0,CQ10)+Reserves!CQ8)*(1-Time!CQ20)</f>
        <v>5.55648191080975E-014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4.96198220069813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1117.75048922014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23.2315249742047</v>
      </c>
      <c r="AX16" s="19" t="n">
        <f aca="false">MIN(Debt!AX64+AX12,AX14-AX15)</f>
        <v>22.9970595048638</v>
      </c>
      <c r="AY16" s="19" t="n">
        <f aca="false">MIN(Debt!AY64+AY12,AY14-AY15)</f>
        <v>23.1269009193188</v>
      </c>
      <c r="AZ16" s="19" t="n">
        <f aca="false">MIN(Debt!AZ64+AZ12,AZ14-AZ15)</f>
        <v>22.954427471995</v>
      </c>
      <c r="BA16" s="19" t="n">
        <f aca="false">MIN(Debt!BA64+BA12,BA14-BA15)</f>
        <v>23.0179198668328</v>
      </c>
      <c r="BB16" s="19" t="n">
        <f aca="false">MIN(Debt!BB64+BB12,BB14-BB15)</f>
        <v>22.7435623651634</v>
      </c>
      <c r="BC16" s="19" t="n">
        <f aca="false">MIN(Debt!BC64+BC12,BC14-BC15)</f>
        <v>22.8280758842078</v>
      </c>
      <c r="BD16" s="19" t="n">
        <f aca="false">MIN(Debt!BD64+BD12,BD14-BD15)</f>
        <v>22.4289803371895</v>
      </c>
      <c r="BE16" s="19" t="n">
        <f aca="false">MIN(Debt!BE64+BE12,BE14-BE15)</f>
        <v>22.380208426597</v>
      </c>
      <c r="BF16" s="19" t="n">
        <f aca="false">MIN(Debt!BF64+BF12,BF14-BF15)</f>
        <v>21.8925823643306</v>
      </c>
      <c r="BG16" s="19" t="n">
        <f aca="false">MIN(Debt!BG64+BG12,BG14-BG15)</f>
        <v>21.7815397189544</v>
      </c>
      <c r="BH16" s="19" t="n">
        <f aca="false">MIN(Debt!BH64+BH12,BH14-BH15)</f>
        <v>21.2959155857181</v>
      </c>
      <c r="BI16" s="19" t="n">
        <f aca="false">MIN(Debt!BI64+BI12,BI14-BI15)</f>
        <v>21.0189819476198</v>
      </c>
      <c r="BJ16" s="19" t="n">
        <f aca="false">MIN(Debt!BJ64+BJ12,BJ14-BJ15)</f>
        <v>20.4159868898293</v>
      </c>
      <c r="BK16" s="19" t="n">
        <f aca="false">MIN(Debt!BK64+BK12,BK14-BK15)</f>
        <v>20.1253553273666</v>
      </c>
      <c r="BL16" s="19" t="n">
        <f aca="false">MIN(Debt!BL64+BL12,BL14-BL15)</f>
        <v>19.4578561307385</v>
      </c>
      <c r="BM16" s="19" t="n">
        <f aca="false">MIN(Debt!BM64+BM12,BM14-BM15)</f>
        <v>19.0852600897966</v>
      </c>
      <c r="BN16" s="19" t="n">
        <f aca="false">MIN(Debt!BN64+BN12,BN14-BN15)</f>
        <v>18.3486150061961</v>
      </c>
      <c r="BO16" s="19" t="n">
        <f aca="false">MIN(Debt!BO64+BO12,BO14-BO15)</f>
        <v>17.8868574434947</v>
      </c>
      <c r="BP16" s="19" t="n">
        <f aca="false">MIN(Debt!BP64+BP12,BP14-BP15)</f>
        <v>17.3053210007497</v>
      </c>
      <c r="BQ16" s="19" t="n">
        <f aca="false">MIN(Debt!BQ64+BQ12,BQ14-BQ15)</f>
        <v>16.8849904393119</v>
      </c>
      <c r="BR16" s="19" t="n">
        <f aca="false">MIN(Debt!BR64+BR12,BR14-BR15)</f>
        <v>16.1832606811113</v>
      </c>
      <c r="BS16" s="19" t="n">
        <f aca="false">MIN(Debt!BS64+BS12,BS14-BS15)</f>
        <v>15.7344151661964</v>
      </c>
      <c r="BT16" s="19" t="n">
        <f aca="false">MIN(Debt!BT64+BT12,BT14-BT15)</f>
        <v>14.9679870878636</v>
      </c>
      <c r="BU16" s="19" t="n">
        <f aca="false">MIN(Debt!BU64+BU12,BU14-BU15)</f>
        <v>14.4332670344791</v>
      </c>
      <c r="BV16" s="19" t="n">
        <f aca="false">MIN(Debt!BV64+BV12,BV14-BV15)</f>
        <v>13.4149976665686</v>
      </c>
      <c r="BW16" s="19" t="n">
        <f aca="false">MIN(Debt!BW64+BW12,BW14-BW15)</f>
        <v>12.5968453533072</v>
      </c>
      <c r="BX16" s="19" t="n">
        <f aca="false">MIN(Debt!BX64+BX12,BX14-BX15)</f>
        <v>11.5293358379485</v>
      </c>
      <c r="BY16" s="19" t="n">
        <f aca="false">MIN(Debt!BY64+BY12,BY14-BY15)</f>
        <v>10.5601587339414</v>
      </c>
      <c r="BZ16" s="19" t="n">
        <f aca="false">MIN(Debt!BZ64+BZ12,BZ14-BZ15)</f>
        <v>9.3757958469796</v>
      </c>
      <c r="CA16" s="19" t="n">
        <f aca="false">MIN(Debt!CA64+CA12,CA14-CA15)</f>
        <v>8.32214128834522</v>
      </c>
      <c r="CB16" s="19" t="n">
        <f aca="false">MIN(Debt!CB64+CB12,CB14-CB15)</f>
        <v>7.16471958589641</v>
      </c>
      <c r="CC16" s="19" t="n">
        <f aca="false">MIN(Debt!CC64+CC12,CC14-CC15)</f>
        <v>6.10310964916258</v>
      </c>
      <c r="CD16" s="19" t="n">
        <f aca="false">MIN(Debt!CD64+CD12,CD14-CD15)</f>
        <v>4.85318848279665</v>
      </c>
      <c r="CE16" s="19" t="n">
        <f aca="false">MIN(Debt!CE64+CE12,CE14-CE15)</f>
        <v>3.65941137523897</v>
      </c>
      <c r="CF16" s="19" t="n">
        <f aca="false">MIN(Debt!CF64+CF12,CF14-CF15)</f>
        <v>2.3746727178586</v>
      </c>
      <c r="CG16" s="19" t="n">
        <f aca="false">MIN(Debt!CG64+CG12,CG14-CG15)</f>
        <v>1.24796965190371</v>
      </c>
      <c r="CH16" s="19" t="n">
        <f aca="false">MIN(Debt!CH64+CH12,CH14-CH15)</f>
        <v>5.51181991980927E-014</v>
      </c>
      <c r="CI16" s="19" t="n">
        <f aca="false">MIN(Debt!CI64+CI12,CI14-CI15)</f>
        <v>5.55648191080975E-014</v>
      </c>
      <c r="CJ16" s="19" t="n">
        <f aca="false">MIN(Debt!CJ64+CJ12,CJ14-CJ15)</f>
        <v>5.51181991980927E-014</v>
      </c>
      <c r="CK16" s="19" t="n">
        <f aca="false">MIN(Debt!CK64+CK12,CK14-CK15)</f>
        <v>5.55648191080975E-014</v>
      </c>
      <c r="CL16" s="19" t="n">
        <f aca="false">MIN(Debt!CL64+CL12,CL14-CL15)</f>
        <v>5.51181991980927E-014</v>
      </c>
      <c r="CM16" s="19" t="n">
        <f aca="false">MIN(Debt!CM64+CM12,CM14-CM15)</f>
        <v>5.55648191080975E-014</v>
      </c>
      <c r="CN16" s="19" t="n">
        <f aca="false">MIN(Debt!CN64+CN12,CN14-CN15)</f>
        <v>5.52670725014276E-014</v>
      </c>
      <c r="CO16" s="19" t="n">
        <f aca="false">MIN(Debt!CO64+CO12,CO14-CO15)</f>
        <v>5.55648191080975E-014</v>
      </c>
      <c r="CP16" s="19" t="n">
        <f aca="false">MIN(Debt!CP64+CP12,CP14-CP15)</f>
        <v>5.51181991980927E-014</v>
      </c>
      <c r="CQ16" s="19" t="n">
        <f aca="false">MIN(Debt!CQ64+CQ12,CQ14-CQ15)</f>
        <v>5.55648191080975E-014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882.130169012998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47.3050216277163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0.490325535743497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0.490325535743497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0.494434239648984</v>
      </c>
      <c r="CH18" s="16" t="n">
        <f aca="false">IF(Debt!CH64+CH12&gt;0,(Debt!CH44+Debt!CH56)/(Debt!CH64+CH12),0)</f>
        <v>0.488877871477283</v>
      </c>
      <c r="CI18" s="16" t="n">
        <f aca="false">IF(Debt!CI64+CI12&gt;0,(Debt!CI44+Debt!CI56)/(Debt!CI64+CI12),0)</f>
        <v>0.492986178184773</v>
      </c>
      <c r="CJ18" s="16" t="n">
        <f aca="false">IF(Debt!CJ64+CJ12&gt;0,(Debt!CJ44+Debt!CJ56)/(Debt!CJ64+CJ12),0)</f>
        <v>0.488877871477283</v>
      </c>
      <c r="CK18" s="16" t="n">
        <f aca="false">IF(Debt!CK64+CK12&gt;0,(Debt!CK44+Debt!CK56)/(Debt!CK64+CK12),0)</f>
        <v>0.492986178184773</v>
      </c>
      <c r="CL18" s="16" t="n">
        <f aca="false">IF(Debt!CL64+CL12&gt;0,(Debt!CL44+Debt!CL56)/(Debt!CL64+CL12),0)</f>
        <v>0.488877871477283</v>
      </c>
      <c r="CM18" s="16" t="n">
        <f aca="false">IF(Debt!CM64+CM12&gt;0,(Debt!CM44+Debt!CM56)/(Debt!CM64+CM12),0)</f>
        <v>0.492986178184773</v>
      </c>
      <c r="CN18" s="16" t="n">
        <f aca="false">IF(Debt!CN64+CN12&gt;0,(Debt!CN44+Debt!CN56)/(Debt!CN64+CN12),0)</f>
        <v>0.490254684762965</v>
      </c>
      <c r="CO18" s="16" t="n">
        <f aca="false">IF(Debt!CO64+CO12&gt;0,(Debt!CO44+Debt!CO56)/(Debt!CO64+CO12),0)</f>
        <v>0.492986178184773</v>
      </c>
      <c r="CP18" s="16" t="n">
        <f aca="false">IF(Debt!CP64+CP12&gt;0,(Debt!CP44+Debt!CP56)/(Debt!CP64+CP12),0)</f>
        <v>0.488877871477283</v>
      </c>
      <c r="CQ18" s="16" t="n">
        <f aca="false">IF(Debt!CQ64+CQ12&gt;0,(Debt!CQ44+Debt!CQ56)/(Debt!CQ64+CQ12),0)</f>
        <v>0.492986178184773</v>
      </c>
      <c r="CR18" s="16" t="n">
        <f aca="false">IF(Debt!CR64+CR12&gt;0,(Debt!CR44+Debt!CR56)/(Debt!CR64+CR12),0)</f>
        <v>0.488877871477283</v>
      </c>
      <c r="CS18" s="16" t="n">
        <f aca="false">IF(Debt!CS64+CS12&gt;0,(Debt!CS44+Debt!CS56)/(Debt!CS64+CS12),0)</f>
        <v>0.490940313598357</v>
      </c>
      <c r="CT18" s="16" t="n">
        <f aca="false">IF(Debt!CT64+CT12&gt;0,(Debt!CT44+Debt!CT56)/(Debt!CT64+CT12),0)</f>
        <v>0.490254684762965</v>
      </c>
      <c r="CU18" s="16" t="n">
        <f aca="false">IF(Debt!CU64+CU12&gt;0,(Debt!CU44+Debt!CU56)/(Debt!CU64+CU12),0)</f>
        <v>0.490940313598357</v>
      </c>
      <c r="CV18" s="16" t="n">
        <f aca="false">IF(Debt!CV64+CV12&gt;0,(Debt!CV44+Debt!CV56)/(Debt!CV64+CV12),0)</f>
        <v>0.49080333542291</v>
      </c>
      <c r="CW18" s="16" t="n">
        <f aca="false">IF(Debt!CW64+CW12&gt;0,(Debt!CW44+Debt!CW56)/(Debt!CW64+CW12),0)</f>
        <v>0.491168446860701</v>
      </c>
      <c r="CX18" s="16" t="n">
        <f aca="false">IF(Debt!CX64+CX12&gt;0,(Debt!CX44+Debt!CX56)/(Debt!CX64+CX12),0)</f>
        <v>0.490842479565968</v>
      </c>
      <c r="CY18" s="16" t="n">
        <f aca="false">IF(Debt!CY64+CY12&gt;0,(Debt!CY44+Debt!CY56)/(Debt!CY64+CY12),0)</f>
        <v>0.491111432716719</v>
      </c>
      <c r="CZ18" s="16" t="n">
        <f aca="false">IF(Debt!CZ64+CZ12&gt;0,(Debt!CZ44+Debt!CZ56)/(Debt!CZ64+CZ12),0)</f>
        <v>0.490864223711698</v>
      </c>
      <c r="DA18" s="16" t="n">
        <f aca="false">IF(Debt!DA64+DA12&gt;0,(Debt!DA44+Debt!DA56)/(Debt!DA64+DA12),0)</f>
        <v>0.491077218097066</v>
      </c>
      <c r="DB18" s="16" t="n">
        <f aca="false">IF(Debt!DB64+DB12&gt;0,(Debt!DB44+Debt!DB56)/(Debt!DB64+DB12),0)</f>
        <v>0.490878059928389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0.506436715663849</v>
      </c>
      <c r="AH19" s="16" t="n">
        <f aca="false">IF(Debt!AH64+AH12&gt;0,(Debt!AH51+Debt!AH57)/(Debt!AH64+AH12),0)</f>
        <v>0.51054518892879</v>
      </c>
      <c r="AI19" s="16" t="n">
        <f aca="false">IF(Debt!AI64+AI12&gt;0,(Debt!AI51+Debt!AI57)/(Debt!AI64+AI12),0)</f>
        <v>0.506436715663849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0.506436715663849</v>
      </c>
      <c r="AL19" s="16" t="n">
        <f aca="false">IF(Debt!AL64+AL12&gt;0,(Debt!AL51+Debt!AL57)/(Debt!AL64+AL12),0)</f>
        <v>0.51054518892879</v>
      </c>
      <c r="AM19" s="16" t="n">
        <f aca="false">IF(Debt!AM64+AM12&gt;0,(Debt!AM51+Debt!AM57)/(Debt!AM64+AM12),0)</f>
        <v>0.506436715663849</v>
      </c>
      <c r="AN19" s="16" t="n">
        <f aca="false">IF(Debt!AN64+AN12&gt;0,(Debt!AN51+Debt!AN57)/(Debt!AN64+AN12),0)</f>
        <v>0.51054518892879</v>
      </c>
      <c r="AO19" s="16" t="n">
        <f aca="false">IF(Debt!AO64+AO12&gt;0,(Debt!AO51+Debt!AO57)/(Debt!AO64+AO12),0)</f>
        <v>0.506436715663849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0.509674464256503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0.509674464256503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0.509674464256503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0.509674464256503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0.505565760351016</v>
      </c>
      <c r="CH19" s="16" t="n">
        <f aca="false">IF(Debt!CH64+CH12&gt;0,(Debt!CH51+Debt!CH57)/(Debt!CH64+CH12),0)</f>
        <v>0.511122128522717</v>
      </c>
      <c r="CI19" s="16" t="n">
        <f aca="false">IF(Debt!CI64+CI12&gt;0,(Debt!CI51+Debt!CI57)/(Debt!CI64+CI12),0)</f>
        <v>0.507013821815227</v>
      </c>
      <c r="CJ19" s="16" t="n">
        <f aca="false">IF(Debt!CJ64+CJ12&gt;0,(Debt!CJ51+Debt!CJ57)/(Debt!CJ64+CJ12),0)</f>
        <v>0.511122128522717</v>
      </c>
      <c r="CK19" s="16" t="n">
        <f aca="false">IF(Debt!CK64+CK12&gt;0,(Debt!CK51+Debt!CK57)/(Debt!CK64+CK12),0)</f>
        <v>0.507013821815227</v>
      </c>
      <c r="CL19" s="16" t="n">
        <f aca="false">IF(Debt!CL64+CL12&gt;0,(Debt!CL51+Debt!CL57)/(Debt!CL64+CL12),0)</f>
        <v>0.511122128522717</v>
      </c>
      <c r="CM19" s="16" t="n">
        <f aca="false">IF(Debt!CM64+CM12&gt;0,(Debt!CM51+Debt!CM57)/(Debt!CM64+CM12),0)</f>
        <v>0.507013821815227</v>
      </c>
      <c r="CN19" s="16" t="n">
        <f aca="false">IF(Debt!CN64+CN12&gt;0,(Debt!CN51+Debt!CN57)/(Debt!CN64+CN12),0)</f>
        <v>0.509745315237035</v>
      </c>
      <c r="CO19" s="16" t="n">
        <f aca="false">IF(Debt!CO64+CO12&gt;0,(Debt!CO51+Debt!CO57)/(Debt!CO64+CO12),0)</f>
        <v>0.507013821815227</v>
      </c>
      <c r="CP19" s="16" t="n">
        <f aca="false">IF(Debt!CP64+CP12&gt;0,(Debt!CP51+Debt!CP57)/(Debt!CP64+CP12),0)</f>
        <v>0.511122128522717</v>
      </c>
      <c r="CQ19" s="16" t="n">
        <f aca="false">IF(Debt!CQ64+CQ12&gt;0,(Debt!CQ51+Debt!CQ57)/(Debt!CQ64+CQ12),0)</f>
        <v>0.507013821815227</v>
      </c>
      <c r="CR19" s="16" t="n">
        <f aca="false">IF(Debt!CR64+CR12&gt;0,(Debt!CR51+Debt!CR57)/(Debt!CR64+CR12),0)</f>
        <v>0.511122128522717</v>
      </c>
      <c r="CS19" s="16" t="n">
        <f aca="false">IF(Debt!CS64+CS12&gt;0,(Debt!CS51+Debt!CS57)/(Debt!CS64+CS12),0)</f>
        <v>0.509059686401644</v>
      </c>
      <c r="CT19" s="16" t="n">
        <f aca="false">IF(Debt!CT64+CT12&gt;0,(Debt!CT51+Debt!CT57)/(Debt!CT64+CT12),0)</f>
        <v>0.509745315237035</v>
      </c>
      <c r="CU19" s="16" t="n">
        <f aca="false">IF(Debt!CU64+CU12&gt;0,(Debt!CU51+Debt!CU57)/(Debt!CU64+CU12),0)</f>
        <v>0.509059686401644</v>
      </c>
      <c r="CV19" s="16" t="n">
        <f aca="false">IF(Debt!CV64+CV12&gt;0,(Debt!CV51+Debt!CV57)/(Debt!CV64+CV12),0)</f>
        <v>0.509196664577091</v>
      </c>
      <c r="CW19" s="16" t="n">
        <f aca="false">IF(Debt!CW64+CW12&gt;0,(Debt!CW51+Debt!CW57)/(Debt!CW64+CW12),0)</f>
        <v>0.508831553139299</v>
      </c>
      <c r="CX19" s="16" t="n">
        <f aca="false">IF(Debt!CX64+CX12&gt;0,(Debt!CX51+Debt!CX57)/(Debt!CX64+CX12),0)</f>
        <v>0.509157520434032</v>
      </c>
      <c r="CY19" s="16" t="n">
        <f aca="false">IF(Debt!CY64+CY12&gt;0,(Debt!CY51+Debt!CY57)/(Debt!CY64+CY12),0)</f>
        <v>0.508888567283281</v>
      </c>
      <c r="CZ19" s="16" t="n">
        <f aca="false">IF(Debt!CZ64+CZ12&gt;0,(Debt!CZ51+Debt!CZ57)/(Debt!CZ64+CZ12),0)</f>
        <v>0.509135776288303</v>
      </c>
      <c r="DA19" s="16" t="n">
        <f aca="false">IF(Debt!DA64+DA12&gt;0,(Debt!DA51+Debt!DA57)/(Debt!DA64+DA12),0)</f>
        <v>0.508922781902934</v>
      </c>
      <c r="DB19" s="16" t="n">
        <f aca="false">IF(Debt!DB64+DB12&gt;0,(Debt!DB51+Debt!DB57)/(Debt!DB64+DB12),0)</f>
        <v>0.509121940071611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21.2872597324723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9.11218184788316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26.017761895244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5.55648191080975E-014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5.55648191080975E-014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6.26197497861966</v>
      </c>
      <c r="AA24" s="19" t="n">
        <f aca="false">AA10-AA14+AA23</f>
        <v>19.2283052434316</v>
      </c>
      <c r="AB24" s="19" t="n">
        <f aca="false">AB10-AB14+AB23</f>
        <v>31.4888081469731</v>
      </c>
      <c r="AC24" s="19" t="n">
        <f aca="false">AC10-AC14+AC23</f>
        <v>47.2936801627218</v>
      </c>
      <c r="AD24" s="19" t="n">
        <f aca="false">AD10-AD14+AD23</f>
        <v>61.9270341496742</v>
      </c>
      <c r="AE24" s="19" t="n">
        <f aca="false">AE10-AE14+AE23</f>
        <v>20.1197209282426</v>
      </c>
      <c r="AF24" s="19" t="n">
        <f aca="false">AF10-AF14+AF23</f>
        <v>18.5752347678577</v>
      </c>
      <c r="AG24" s="19" t="n">
        <f aca="false">AG10-AG14+AG23</f>
        <v>26.6204589689756</v>
      </c>
      <c r="AH24" s="19" t="n">
        <f aca="false">AH10-AH14+AH23</f>
        <v>27.7975915804223</v>
      </c>
      <c r="AI24" s="19" t="n">
        <f aca="false">AI10-AI14+AI23</f>
        <v>27.1278833050223</v>
      </c>
      <c r="AJ24" s="19" t="n">
        <f aca="false">AJ10-AJ14+AJ23</f>
        <v>28.6122849963716</v>
      </c>
      <c r="AK24" s="19" t="n">
        <f aca="false">AK10-AK14+AK23</f>
        <v>31.1129998686472</v>
      </c>
      <c r="AL24" s="19" t="n">
        <f aca="false">AL10-AL14+AL23</f>
        <v>32.4288805199499</v>
      </c>
      <c r="AM24" s="19" t="n">
        <f aca="false">AM10-AM14+AM23</f>
        <v>35.3770906307424</v>
      </c>
      <c r="AN24" s="19" t="n">
        <f aca="false">AN10-AN14+AN23</f>
        <v>36.7692476887032</v>
      </c>
      <c r="AO24" s="19" t="n">
        <f aca="false">AO10-AO14+AO23</f>
        <v>43.1174328195076</v>
      </c>
      <c r="AP24" s="19" t="n">
        <f aca="false">AP10-AP14+AP23</f>
        <v>44.5877056150122</v>
      </c>
      <c r="AQ24" s="19" t="n">
        <f aca="false">AQ10-AQ14+AQ23</f>
        <v>37.668632708742</v>
      </c>
      <c r="AR24" s="19" t="n">
        <f aca="false">AR10-AR14+AR23</f>
        <v>39.5640617699106</v>
      </c>
      <c r="AS24" s="19" t="n">
        <f aca="false">AS10-AS14+AS23</f>
        <v>42.8320934018641</v>
      </c>
      <c r="AT24" s="19" t="n">
        <f aca="false">AT10-AT14+AT23</f>
        <v>44.4794996838357</v>
      </c>
      <c r="AU24" s="19" t="n">
        <f aca="false">AU10-AU14+AU23</f>
        <v>48.3443437301848</v>
      </c>
      <c r="AV24" s="19" t="n">
        <f aca="false">AV10-AV14+AV23</f>
        <v>50.0803451553523</v>
      </c>
      <c r="AW24" s="19" t="n">
        <f aca="false">AW10-AW14+AW23</f>
        <v>53.9304071583913</v>
      </c>
      <c r="AX24" s="19" t="n">
        <f aca="false">AX10-AX14+AX23</f>
        <v>54.4223016121974</v>
      </c>
      <c r="AY24" s="19" t="n">
        <f aca="false">AY10-AY14+AY23</f>
        <v>54.6766950924669</v>
      </c>
      <c r="AZ24" s="19" t="n">
        <f aca="false">AZ10-AZ14+AZ23</f>
        <v>55.5423885687361</v>
      </c>
      <c r="BA24" s="19" t="n">
        <f aca="false">BA10-BA14+BA23</f>
        <v>58.0207589273915</v>
      </c>
      <c r="BB24" s="19" t="n">
        <f aca="false">BB10-BB14+BB23</f>
        <v>58.5642506277571</v>
      </c>
      <c r="BC24" s="19" t="n">
        <f aca="false">BC10-BC14+BC23</f>
        <v>66.7271497697519</v>
      </c>
      <c r="BD24" s="19" t="n">
        <f aca="false">BD10-BD14+BD23</f>
        <v>67.2993710768833</v>
      </c>
      <c r="BE24" s="19" t="n">
        <f aca="false">BE10-BE14+BE23</f>
        <v>72.8958360972494</v>
      </c>
      <c r="BF24" s="19" t="n">
        <f aca="false">BF10-BF14+BF23</f>
        <v>73.4982160672254</v>
      </c>
      <c r="BG24" s="19" t="n">
        <f aca="false">BG10-BG14+BG23</f>
        <v>76.7927564331975</v>
      </c>
      <c r="BH24" s="19" t="n">
        <f aca="false">BH10-BH14+BH23</f>
        <v>77.852720725122</v>
      </c>
      <c r="BI24" s="19" t="n">
        <f aca="false">BI10-BI14+BI23</f>
        <v>80.8987200850192</v>
      </c>
      <c r="BJ24" s="19" t="n">
        <f aca="false">BJ10-BJ14+BJ23</f>
        <v>81.5632740696248</v>
      </c>
      <c r="BK24" s="19" t="n">
        <f aca="false">BK10-BK14+BK23</f>
        <v>85.225435759155</v>
      </c>
      <c r="BL24" s="19" t="n">
        <f aca="false">BL10-BL14+BL23</f>
        <v>85.9245400405649</v>
      </c>
      <c r="BM24" s="19" t="n">
        <f aca="false">BM10-BM14+BM23</f>
        <v>89.7511548013411</v>
      </c>
      <c r="BN24" s="19" t="n">
        <f aca="false">BN10-BN14+BN23</f>
        <v>82.8764382941859</v>
      </c>
      <c r="BO24" s="19" t="n">
        <f aca="false">BO10-BO14+BO23</f>
        <v>57.1271583899628</v>
      </c>
      <c r="BP24" s="19" t="n">
        <f aca="false">BP10-BP14+BP23</f>
        <v>57.6219914439138</v>
      </c>
      <c r="BQ24" s="19" t="n">
        <f aca="false">BQ10-BQ14+BQ23</f>
        <v>59.625568886053</v>
      </c>
      <c r="BR24" s="19" t="n">
        <f aca="false">BR10-BR14+BR23</f>
        <v>59.119046165609</v>
      </c>
      <c r="BS24" s="19" t="n">
        <f aca="false">BS10-BS14+BS23</f>
        <v>61.4692466135861</v>
      </c>
      <c r="BT24" s="19" t="n">
        <f aca="false">BT10-BT14+BT23</f>
        <v>60.9366461426417</v>
      </c>
      <c r="BU24" s="19" t="n">
        <f aca="false">BU10-BU14+BU23</f>
        <v>107.614870848374</v>
      </c>
      <c r="BV24" s="19" t="n">
        <f aca="false">BV10-BV14+BV23</f>
        <v>75.1725746154657</v>
      </c>
      <c r="BW24" s="19" t="n">
        <f aca="false">BW10-BW14+BW23</f>
        <v>76.7451765694997</v>
      </c>
      <c r="BX24" s="19" t="n">
        <f aca="false">BX10-BX14+BX23</f>
        <v>76.4964301049374</v>
      </c>
      <c r="BY24" s="19" t="n">
        <f aca="false">BY10-BY14+BY23</f>
        <v>78.5494373666759</v>
      </c>
      <c r="BZ24" s="19" t="n">
        <f aca="false">BZ10-BZ14+BZ23</f>
        <v>77.856141662824</v>
      </c>
      <c r="CA24" s="19" t="n">
        <f aca="false">CA10-CA14+CA23</f>
        <v>72.8822017973717</v>
      </c>
      <c r="CB24" s="19" t="n">
        <f aca="false">CB10-CB14+CB23</f>
        <v>72.1970925475278</v>
      </c>
      <c r="CC24" s="19" t="n">
        <f aca="false">CC10-CC14+CC23</f>
        <v>74.8277594409196</v>
      </c>
      <c r="CD24" s="19" t="n">
        <f aca="false">CD10-CD14+CD23</f>
        <v>74.1061660631302</v>
      </c>
      <c r="CE24" s="19" t="n">
        <f aca="false">CE10-CE14+CE23</f>
        <v>73.1680803624296</v>
      </c>
      <c r="CF24" s="19" t="n">
        <f aca="false">CF10-CF14+CF23</f>
        <v>79.1113908802624</v>
      </c>
      <c r="CG24" s="19" t="n">
        <f aca="false">CG10-CG14+CG23</f>
        <v>104.761806730822</v>
      </c>
      <c r="CH24" s="19" t="n">
        <f aca="false">CH10-CH14+CH23</f>
        <v>130.319650147851</v>
      </c>
      <c r="CI24" s="19" t="n">
        <f aca="false">CI10-CI14+CI23</f>
        <v>136.23246307777</v>
      </c>
      <c r="CJ24" s="19" t="n">
        <f aca="false">CJ10-CJ14+CJ23</f>
        <v>135.168775495426</v>
      </c>
      <c r="CK24" s="19" t="n">
        <f aca="false">CK10-CK14+CK23</f>
        <v>157.56014990159</v>
      </c>
      <c r="CL24" s="19" t="n">
        <f aca="false">CL10-CL14+CL23</f>
        <v>145.980389884893</v>
      </c>
      <c r="CM24" s="19" t="n">
        <f aca="false">CM10-CM14+CM23</f>
        <v>152.325534464231</v>
      </c>
      <c r="CN24" s="19" t="n">
        <f aca="false">CN10-CN14+CN23</f>
        <v>152.088653843563</v>
      </c>
      <c r="CO24" s="19" t="n">
        <f aca="false">CO10-CO14+CO23</f>
        <v>157.747542334871</v>
      </c>
      <c r="CP24" s="19" t="n">
        <f aca="false">CP10-CP14+CP23</f>
        <v>168.809348214662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4.78297735764365</v>
      </c>
      <c r="AA26" s="19" t="n">
        <f aca="false">AA24-Reserves!AA11+Reserves!AA12</f>
        <v>15.2919085044204</v>
      </c>
      <c r="AB26" s="19" t="n">
        <f aca="false">AB24-Reserves!AB11+Reserves!AB12</f>
        <v>30.2172514183374</v>
      </c>
      <c r="AC26" s="19" t="n">
        <f aca="false">AC24-Reserves!AC11+Reserves!AC12</f>
        <v>44.13450682345</v>
      </c>
      <c r="AD26" s="19" t="n">
        <f aca="false">AD24-Reserves!AD11+Reserves!AD12</f>
        <v>61.7286636174205</v>
      </c>
      <c r="AE26" s="19" t="n">
        <f aca="false">AE24-Reserves!AE11+Reserves!AE12</f>
        <v>20.4475108318679</v>
      </c>
      <c r="AF26" s="19" t="n">
        <f aca="false">AF24-Reserves!AF11+Reserves!AF12</f>
        <v>18.9478320504788</v>
      </c>
      <c r="AG26" s="19" t="n">
        <f aca="false">AG24-Reserves!AG11+Reserves!AG12</f>
        <v>26.8074101449317</v>
      </c>
      <c r="AH26" s="19" t="n">
        <f aca="false">AH24-Reserves!AH11+Reserves!AH12</f>
        <v>27.6106404044661</v>
      </c>
      <c r="AI26" s="19" t="n">
        <f aca="false">AI24-Reserves!AI11+Reserves!AI12</f>
        <v>27.2525174223265</v>
      </c>
      <c r="AJ26" s="19" t="n">
        <f aca="false">AJ24-Reserves!AJ11+Reserves!AJ12</f>
        <v>28.4876508790675</v>
      </c>
      <c r="AK26" s="19" t="n">
        <f aca="false">AK24-Reserves!AK11+Reserves!AK12</f>
        <v>31.2999510446033</v>
      </c>
      <c r="AL26" s="19" t="n">
        <f aca="false">AL24-Reserves!AL11+Reserves!AL12</f>
        <v>32.2419293439937</v>
      </c>
      <c r="AM26" s="19" t="n">
        <f aca="false">AM24-Reserves!AM11+Reserves!AM12</f>
        <v>35.5640418066985</v>
      </c>
      <c r="AN26" s="19" t="n">
        <f aca="false">AN24-Reserves!AN11+Reserves!AN12</f>
        <v>36.582296512747</v>
      </c>
      <c r="AO26" s="19" t="n">
        <f aca="false">AO24-Reserves!AO11+Reserves!AO12</f>
        <v>43.3043839954638</v>
      </c>
      <c r="AP26" s="19" t="n">
        <f aca="false">AP24-Reserves!AP11+Reserves!AP12</f>
        <v>44.400754439056</v>
      </c>
      <c r="AQ26" s="19" t="n">
        <f aca="false">AQ24-Reserves!AQ11+Reserves!AQ12</f>
        <v>37.7932668260461</v>
      </c>
      <c r="AR26" s="19" t="n">
        <f aca="false">AR24-Reserves!AR11+Reserves!AR12</f>
        <v>39.4394276526065</v>
      </c>
      <c r="AS26" s="19" t="n">
        <f aca="false">AS24-Reserves!AS11+Reserves!AS12</f>
        <v>43.0190445778203</v>
      </c>
      <c r="AT26" s="19" t="n">
        <f aca="false">AT24-Reserves!AT11+Reserves!AT12</f>
        <v>44.2925485078795</v>
      </c>
      <c r="AU26" s="19" t="n">
        <f aca="false">AU24-Reserves!AU11+Reserves!AU12</f>
        <v>48.5227534694434</v>
      </c>
      <c r="AV26" s="19" t="n">
        <f aca="false">AV24-Reserves!AV11+Reserves!AV12</f>
        <v>48.0832949024122</v>
      </c>
      <c r="AW26" s="19" t="n">
        <f aca="false">AW24-Reserves!AW11+Reserves!AW12</f>
        <v>53.8299353027024</v>
      </c>
      <c r="AX26" s="19" t="n">
        <f aca="false">AX24-Reserves!AX11+Reserves!AX12</f>
        <v>54.5984897177138</v>
      </c>
      <c r="AY26" s="19" t="n">
        <f aca="false">AY24-Reserves!AY11+Reserves!AY12</f>
        <v>54.4066077579789</v>
      </c>
      <c r="AZ26" s="19" t="n">
        <f aca="false">AZ24-Reserves!AZ11+Reserves!AZ12</f>
        <v>54.3575418138321</v>
      </c>
      <c r="BA26" s="19" t="n">
        <f aca="false">BA24-Reserves!BA11+Reserves!BA12</f>
        <v>57.9099486857532</v>
      </c>
      <c r="BB26" s="19" t="n">
        <f aca="false">BB24-Reserves!BB11+Reserves!BB12</f>
        <v>54.0315869246442</v>
      </c>
      <c r="BC26" s="19" t="n">
        <f aca="false">BC24-Reserves!BC11+Reserves!BC12</f>
        <v>66.6103330168963</v>
      </c>
      <c r="BD26" s="19" t="n">
        <f aca="false">BD24-Reserves!BD11+Reserves!BD12</f>
        <v>64.3372414084996</v>
      </c>
      <c r="BE26" s="19" t="n">
        <f aca="false">BE24-Reserves!BE11+Reserves!BE12</f>
        <v>72.7727586839548</v>
      </c>
      <c r="BF26" s="19" t="n">
        <f aca="false">BF24-Reserves!BF11+Reserves!BF12</f>
        <v>71.9456627447796</v>
      </c>
      <c r="BG26" s="19" t="n">
        <f aca="false">BG24-Reserves!BG11+Reserves!BG12</f>
        <v>76.4654202950015</v>
      </c>
      <c r="BH26" s="19" t="n">
        <f aca="false">BH24-Reserves!BH11+Reserves!BH12</f>
        <v>76.4211309320767</v>
      </c>
      <c r="BI26" s="19" t="n">
        <f aca="false">BI24-Reserves!BI11+Reserves!BI12</f>
        <v>80.7634806823869</v>
      </c>
      <c r="BJ26" s="19" t="n">
        <f aca="false">BJ24-Reserves!BJ11+Reserves!BJ12</f>
        <v>79.851914443848</v>
      </c>
      <c r="BK26" s="19" t="n">
        <f aca="false">BK24-Reserves!BK11+Reserves!BK12</f>
        <v>85.0831729449753</v>
      </c>
      <c r="BL26" s="19" t="n">
        <f aca="false">BL24-Reserves!BL11+Reserves!BL12</f>
        <v>84.1441737239608</v>
      </c>
      <c r="BM26" s="19" t="n">
        <f aca="false">BM24-Reserves!BM11+Reserves!BM12</f>
        <v>89.6027514307302</v>
      </c>
      <c r="BN26" s="19" t="n">
        <f aca="false">BN24-Reserves!BN11+Reserves!BN12</f>
        <v>87.9947273694359</v>
      </c>
      <c r="BO26" s="19" t="n">
        <f aca="false">BO24-Reserves!BO11+Reserves!BO12</f>
        <v>56.730479050503</v>
      </c>
      <c r="BP26" s="19" t="n">
        <f aca="false">BP24-Reserves!BP11+Reserves!BP12</f>
        <v>55.9054890880909</v>
      </c>
      <c r="BQ26" s="19" t="n">
        <f aca="false">BQ24-Reserves!BQ11+Reserves!BQ12</f>
        <v>59.9423061051429</v>
      </c>
      <c r="BR26" s="19" t="n">
        <f aca="false">BR24-Reserves!BR11+Reserves!BR12</f>
        <v>57.1260834871223</v>
      </c>
      <c r="BS26" s="19" t="n">
        <f aca="false">BS24-Reserves!BS11+Reserves!BS12</f>
        <v>61.7967310969506</v>
      </c>
      <c r="BT26" s="19" t="n">
        <f aca="false">BT24-Reserves!BT11+Reserves!BT12</f>
        <v>51.885709472081</v>
      </c>
      <c r="BU26" s="19" t="n">
        <f aca="false">BU24-Reserves!BU11+Reserves!BU12</f>
        <v>107.95353941279</v>
      </c>
      <c r="BV26" s="19" t="n">
        <f aca="false">BV24-Reserves!BV11+Reserves!BV12</f>
        <v>73.0326679470365</v>
      </c>
      <c r="BW26" s="19" t="n">
        <f aca="false">BW24-Reserves!BW11+Reserves!BW12</f>
        <v>76.8172449079874</v>
      </c>
      <c r="BX26" s="19" t="n">
        <f aca="false">BX24-Reserves!BX11+Reserves!BX12</f>
        <v>74.5585334351237</v>
      </c>
      <c r="BY26" s="19" t="n">
        <f aca="false">BY24-Reserves!BY11+Reserves!BY12</f>
        <v>78.9118259232148</v>
      </c>
      <c r="BZ26" s="19" t="n">
        <f aca="false">BZ24-Reserves!BZ11+Reserves!BZ12</f>
        <v>80.0718554826258</v>
      </c>
      <c r="CA26" s="19" t="n">
        <f aca="false">CA24-Reserves!CA11+Reserves!CA12</f>
        <v>73.2571474357674</v>
      </c>
      <c r="CB26" s="19" t="n">
        <f aca="false">CB24-Reserves!CB11+Reserves!CB12</f>
        <v>69.8228498751542</v>
      </c>
      <c r="CC26" s="19" t="n">
        <f aca="false">CC24-Reserves!CC11+Reserves!CC12</f>
        <v>75.2157413258553</v>
      </c>
      <c r="CD26" s="19" t="n">
        <f aca="false">CD24-Reserves!CD11+Reserves!CD12</f>
        <v>73.8334200332628</v>
      </c>
      <c r="CE26" s="19" t="n">
        <f aca="false">CE24-Reserves!CE11+Reserves!CE12</f>
        <v>79.4705080455939</v>
      </c>
      <c r="CF26" s="19" t="n">
        <f aca="false">CF24-Reserves!CF11+Reserves!CF12</f>
        <v>76.127784259223</v>
      </c>
      <c r="CG26" s="19" t="n">
        <f aca="false">CG24-Reserves!CG11+Reserves!CG12</f>
        <v>153.314798010442</v>
      </c>
      <c r="CH26" s="19" t="n">
        <f aca="false">CH24-Reserves!CH11+Reserves!CH12</f>
        <v>130.319650147851</v>
      </c>
      <c r="CI26" s="19" t="n">
        <f aca="false">CI24-Reserves!CI11+Reserves!CI12</f>
        <v>136.23246307777</v>
      </c>
      <c r="CJ26" s="19" t="n">
        <f aca="false">CJ24-Reserves!CJ11+Reserves!CJ12</f>
        <v>135.168775495426</v>
      </c>
      <c r="CK26" s="19" t="n">
        <f aca="false">CK24-Reserves!CK11+Reserves!CK12</f>
        <v>157.56014990159</v>
      </c>
      <c r="CL26" s="19" t="n">
        <f aca="false">CL24-Reserves!CL11+Reserves!CL12</f>
        <v>145.980389884893</v>
      </c>
      <c r="CM26" s="19" t="n">
        <f aca="false">CM24-Reserves!CM11+Reserves!CM12</f>
        <v>152.325534464231</v>
      </c>
      <c r="CN26" s="19" t="n">
        <f aca="false">CN24-Reserves!CN11+Reserves!CN12</f>
        <v>152.088653843563</v>
      </c>
      <c r="CO26" s="19" t="n">
        <f aca="false">CO24-Reserves!CO11+Reserves!CO12</f>
        <v>157.747542334871</v>
      </c>
      <c r="CP26" s="19" t="n">
        <f aca="false">CP24-Reserves!CP11+Reserves!CP12</f>
        <v>168.809348214662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396.954732409336</v>
      </c>
      <c r="AW28" s="19" t="n">
        <f aca="false">Debt!AW42-AW20</f>
        <v>396.136242952036</v>
      </c>
      <c r="AX28" s="19" t="n">
        <f aca="false">Debt!AX42-AX20</f>
        <v>395.167031698473</v>
      </c>
      <c r="AY28" s="19" t="n">
        <f aca="false">Debt!AY42-AY20</f>
        <v>394.335533728897</v>
      </c>
      <c r="AZ28" s="19" t="n">
        <f aca="false">Debt!AZ42-AZ20</f>
        <v>393.304883407506</v>
      </c>
      <c r="BA28" s="19" t="n">
        <f aca="false">Debt!BA42-BA20</f>
        <v>391.769623624085</v>
      </c>
      <c r="BB28" s="19" t="n">
        <f aca="false">Debt!BB42-BB20</f>
        <v>390.061038356176</v>
      </c>
      <c r="BC28" s="19" t="n">
        <f aca="false">Debt!BC42-BC20</f>
        <v>386.350785505435</v>
      </c>
      <c r="BD28" s="19" t="n">
        <f aca="false">Debt!BD42-BD20</f>
        <v>382.408372119752</v>
      </c>
      <c r="BE28" s="19" t="n">
        <f aca="false">Debt!BE42-BE20</f>
        <v>377.111053023529</v>
      </c>
      <c r="BF28" s="19" t="n">
        <f aca="false">Debt!BF42-BF20</f>
        <v>371.538917363304</v>
      </c>
      <c r="BG28" s="19" t="n">
        <f aca="false">Debt!BG42-BG20</f>
        <v>365.218163517559</v>
      </c>
      <c r="BH28" s="19" t="n">
        <f aca="false">Debt!BH42-BH20</f>
        <v>358.531577549669</v>
      </c>
      <c r="BI28" s="19" t="n">
        <f aca="false">Debt!BI42-BI20</f>
        <v>351.076156037764</v>
      </c>
      <c r="BJ28" s="19" t="n">
        <f aca="false">Debt!BJ42-BJ20</f>
        <v>343.28852901867</v>
      </c>
      <c r="BK28" s="19" t="n">
        <f aca="false">Debt!BK42-BK20</f>
        <v>334.600005964867</v>
      </c>
      <c r="BL28" s="19" t="n">
        <f aca="false">Debt!BL42-BL20</f>
        <v>325.547090006201</v>
      </c>
      <c r="BM28" s="19" t="n">
        <f aca="false">Debt!BM42-BM20</f>
        <v>315.52534098664</v>
      </c>
      <c r="BN28" s="19" t="n">
        <f aca="false">Debt!BN42-BN20</f>
        <v>305.105320162683</v>
      </c>
      <c r="BO28" s="19" t="n">
        <f aca="false">Debt!BO42-BO20</f>
        <v>296.780738519373</v>
      </c>
      <c r="BP28" s="19" t="n">
        <f aca="false">Debt!BP42-BP20</f>
        <v>288.015959774071</v>
      </c>
      <c r="BQ28" s="19" t="n">
        <f aca="false">Debt!BQ42-BQ20</f>
        <v>278.289606216002</v>
      </c>
      <c r="BR28" s="19" t="n">
        <f aca="false">Debt!BR42-BR20</f>
        <v>268.390006015332</v>
      </c>
      <c r="BS28" s="19" t="n">
        <f aca="false">Debt!BS42-BS20</f>
        <v>257.391592127632</v>
      </c>
      <c r="BT28" s="19" t="n">
        <f aca="false">Debt!BT42-BT20</f>
        <v>246.195653622197</v>
      </c>
      <c r="BU28" s="19" t="n">
        <f aca="false">Debt!BU42-BU20</f>
        <v>230.686169590986</v>
      </c>
      <c r="BV28" s="19" t="n">
        <f aca="false">Debt!BV42-BV20</f>
        <v>214.870865198202</v>
      </c>
      <c r="BW28" s="19" t="n">
        <f aca="false">Debt!BW42-BW20</f>
        <v>197.724434263658</v>
      </c>
      <c r="BX28" s="19" t="n">
        <f aca="false">Debt!BX42-BX20</f>
        <v>180.130054799522</v>
      </c>
      <c r="BY28" s="19" t="n">
        <f aca="false">Debt!BY42-BY20</f>
        <v>161.227492137166</v>
      </c>
      <c r="BZ28" s="19" t="n">
        <f aca="false">Debt!BZ42-BZ20</f>
        <v>141.95504102612</v>
      </c>
      <c r="CA28" s="19" t="n">
        <f aca="false">Debt!CA42-CA20</f>
        <v>123.205516582599</v>
      </c>
      <c r="CB28" s="19" t="n">
        <f aca="false">Debt!CB42-CB20</f>
        <v>104.103877910255</v>
      </c>
      <c r="CC28" s="19" t="n">
        <f aca="false">Debt!CC42-CC20</f>
        <v>83.4561055638122</v>
      </c>
      <c r="CD28" s="19" t="n">
        <f aca="false">Debt!CD42-CD20</f>
        <v>62.4204605407258</v>
      </c>
      <c r="CE28" s="19" t="n">
        <f aca="false">Debt!CE42-CE20</f>
        <v>40.7248801057982</v>
      </c>
      <c r="CF28" s="19" t="n">
        <f aca="false">Debt!CF42-CF20</f>
        <v>21.2872597324733</v>
      </c>
      <c r="CG28" s="19" t="n">
        <f aca="false">Debt!CG42-CG20</f>
        <v>9.45021838560933E-013</v>
      </c>
      <c r="CH28" s="19" t="n">
        <f aca="false">Debt!CH42-CH20</f>
        <v>9.45021838560933E-013</v>
      </c>
      <c r="CI28" s="19" t="n">
        <f aca="false">Debt!CI42-CI20</f>
        <v>9.45021838560933E-013</v>
      </c>
      <c r="CJ28" s="19" t="n">
        <f aca="false">Debt!CJ42-CJ20</f>
        <v>9.45021838560933E-013</v>
      </c>
      <c r="CK28" s="19" t="n">
        <f aca="false">Debt!CK42-CK20</f>
        <v>9.45021838560933E-013</v>
      </c>
      <c r="CL28" s="19" t="n">
        <f aca="false">Debt!CL42-CL20</f>
        <v>9.45021838560933E-013</v>
      </c>
      <c r="CM28" s="19" t="n">
        <f aca="false">Debt!CM42-CM20</f>
        <v>9.45021838560933E-013</v>
      </c>
      <c r="CN28" s="19" t="n">
        <f aca="false">Debt!CN42-CN20</f>
        <v>9.45021838560933E-013</v>
      </c>
      <c r="CO28" s="19" t="n">
        <f aca="false">Debt!CO42-CO20</f>
        <v>9.45021838560933E-013</v>
      </c>
      <c r="CP28" s="19" t="n">
        <f aca="false">Debt!CP42-CP20</f>
        <v>9.45021838560933E-013</v>
      </c>
      <c r="CQ28" s="19" t="n">
        <f aca="false">Debt!CQ42-CQ20</f>
        <v>9.45021838560933E-013</v>
      </c>
      <c r="CR28" s="19" t="n">
        <f aca="false">Debt!CR42-CR20</f>
        <v>9.45021838560933E-013</v>
      </c>
      <c r="CS28" s="19" t="n">
        <f aca="false">Debt!CS42-CS20</f>
        <v>9.45021838560933E-013</v>
      </c>
      <c r="CT28" s="19" t="n">
        <f aca="false">Debt!CT42-CT20</f>
        <v>9.45021838560933E-013</v>
      </c>
      <c r="CU28" s="19" t="n">
        <f aca="false">Debt!CU42-CU20</f>
        <v>9.45021838560933E-013</v>
      </c>
      <c r="CV28" s="19" t="n">
        <f aca="false">Debt!CV42-CV20</f>
        <v>9.45021838560933E-013</v>
      </c>
      <c r="CW28" s="19" t="n">
        <f aca="false">Debt!CW42-CW20</f>
        <v>9.45021838560933E-013</v>
      </c>
      <c r="CX28" s="19" t="n">
        <f aca="false">Debt!CX42-CX20</f>
        <v>9.45021838560933E-013</v>
      </c>
      <c r="CY28" s="19" t="n">
        <f aca="false">Debt!CY42-CY20</f>
        <v>9.45021838560933E-013</v>
      </c>
      <c r="CZ28" s="19" t="n">
        <f aca="false">Debt!CZ42-CZ20</f>
        <v>9.45021838560933E-013</v>
      </c>
      <c r="DA28" s="19" t="n">
        <f aca="false">Debt!DA42-DA20</f>
        <v>9.45021838560933E-013</v>
      </c>
      <c r="DB28" s="19" t="n">
        <f aca="false">Debt!DB42-DB20</f>
        <v>9.45021838560933E-013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485.166895166966</v>
      </c>
      <c r="AW29" s="19" t="n">
        <f aca="false">Debt!AW49-AW21</f>
        <v>484.1665191636</v>
      </c>
      <c r="AX29" s="19" t="n">
        <f aca="false">Debt!AX49-AX21</f>
        <v>482.981927631467</v>
      </c>
      <c r="AY29" s="19" t="n">
        <f aca="false">Debt!AY49-AY21</f>
        <v>481.965652335319</v>
      </c>
      <c r="AZ29" s="19" t="n">
        <f aca="false">Debt!AZ49-AZ21</f>
        <v>480.705968609174</v>
      </c>
      <c r="BA29" s="19" t="n">
        <f aca="false">Debt!BA49-BA21</f>
        <v>478.829539984993</v>
      </c>
      <c r="BB29" s="19" t="n">
        <f aca="false">Debt!BB49-BB21</f>
        <v>476.741269101993</v>
      </c>
      <c r="BC29" s="19" t="n">
        <f aca="false">Debt!BC49-BC21</f>
        <v>472.206515617754</v>
      </c>
      <c r="BD29" s="19" t="n">
        <f aca="false">Debt!BD49-BD21</f>
        <v>467.388010368586</v>
      </c>
      <c r="BE29" s="19" t="n">
        <f aca="false">Debt!BE49-BE21</f>
        <v>460.91350925098</v>
      </c>
      <c r="BF29" s="19" t="n">
        <f aca="false">Debt!BF49-BF21</f>
        <v>454.103121221816</v>
      </c>
      <c r="BG29" s="19" t="n">
        <f aca="false">Debt!BG49-BG21</f>
        <v>446.377755410349</v>
      </c>
      <c r="BH29" s="19" t="n">
        <f aca="false">Debt!BH49-BH21</f>
        <v>438.205261449595</v>
      </c>
      <c r="BI29" s="19" t="n">
        <f aca="false">Debt!BI49-BI21</f>
        <v>429.093079601712</v>
      </c>
      <c r="BJ29" s="19" t="n">
        <f aca="false">Debt!BJ49-BJ21</f>
        <v>419.574868800596</v>
      </c>
      <c r="BK29" s="19" t="n">
        <f aca="false">Debt!BK49-BK21</f>
        <v>408.955562845949</v>
      </c>
      <c r="BL29" s="19" t="n">
        <f aca="false">Debt!BL49-BL21</f>
        <v>397.890887785357</v>
      </c>
      <c r="BM29" s="19" t="n">
        <f aca="false">Debt!BM49-BM21</f>
        <v>385.642083428115</v>
      </c>
      <c r="BN29" s="19" t="n">
        <f aca="false">Debt!BN49-BN21</f>
        <v>372.906502421057</v>
      </c>
      <c r="BO29" s="19" t="n">
        <f aca="false">Debt!BO49-BO21</f>
        <v>362.7320137459</v>
      </c>
      <c r="BP29" s="19" t="n">
        <f aca="false">Debt!BP49-BP21</f>
        <v>352.019506390531</v>
      </c>
      <c r="BQ29" s="19" t="n">
        <f aca="false">Debt!BQ49-BQ21</f>
        <v>340.131740930669</v>
      </c>
      <c r="BR29" s="19" t="n">
        <f aca="false">Debt!BR49-BR21</f>
        <v>328.032229574295</v>
      </c>
      <c r="BS29" s="19" t="n">
        <f aca="false">Debt!BS49-BS21</f>
        <v>314.589723711551</v>
      </c>
      <c r="BT29" s="19" t="n">
        <f aca="false">Debt!BT49-BT21</f>
        <v>300.905798871574</v>
      </c>
      <c r="BU29" s="19" t="n">
        <f aca="false">Debt!BU49-BU21</f>
        <v>281.949762833427</v>
      </c>
      <c r="BV29" s="19" t="n">
        <f aca="false">Debt!BV49-BV21</f>
        <v>262.619946353358</v>
      </c>
      <c r="BW29" s="19" t="n">
        <f aca="false">Debt!BW49-BW21</f>
        <v>241.66319743336</v>
      </c>
      <c r="BX29" s="19" t="n">
        <f aca="false">Debt!BX49-BX21</f>
        <v>220.158955866082</v>
      </c>
      <c r="BY29" s="19" t="n">
        <f aca="false">Debt!BY49-BY21</f>
        <v>197.055823723203</v>
      </c>
      <c r="BZ29" s="19" t="n">
        <f aca="false">Debt!BZ49-BZ21</f>
        <v>173.500605698591</v>
      </c>
      <c r="CA29" s="19" t="n">
        <f aca="false">Debt!CA49-CA21</f>
        <v>150.584520267622</v>
      </c>
      <c r="CB29" s="19" t="n">
        <f aca="false">Debt!CB49-CB21</f>
        <v>127.238073001423</v>
      </c>
      <c r="CC29" s="19" t="n">
        <f aca="false">Debt!CC49-CC21</f>
        <v>102.001906800215</v>
      </c>
      <c r="CD29" s="19" t="n">
        <f aca="false">Debt!CD49-CD21</f>
        <v>76.2916739942204</v>
      </c>
      <c r="CE29" s="19" t="n">
        <f aca="false">Debt!CE49-CE21</f>
        <v>49.7748534626422</v>
      </c>
      <c r="CF29" s="19" t="n">
        <f aca="false">Debt!CF49-CF21</f>
        <v>26.0177618952451</v>
      </c>
      <c r="CG29" s="19" t="n">
        <f aca="false">Debt!CG49-CG21</f>
        <v>1.16173737296776E-012</v>
      </c>
      <c r="CH29" s="19" t="n">
        <f aca="false">Debt!CH49-CH21</f>
        <v>1.16173737296776E-012</v>
      </c>
      <c r="CI29" s="19" t="n">
        <f aca="false">Debt!CI49-CI21</f>
        <v>1.16173737296776E-012</v>
      </c>
      <c r="CJ29" s="19" t="n">
        <f aca="false">Debt!CJ49-CJ21</f>
        <v>1.16173737296776E-012</v>
      </c>
      <c r="CK29" s="19" t="n">
        <f aca="false">Debt!CK49-CK21</f>
        <v>1.16173737296776E-012</v>
      </c>
      <c r="CL29" s="19" t="n">
        <f aca="false">Debt!CL49-CL21</f>
        <v>1.16173737296776E-012</v>
      </c>
      <c r="CM29" s="19" t="n">
        <f aca="false">Debt!CM49-CM21</f>
        <v>1.16173737296776E-012</v>
      </c>
      <c r="CN29" s="19" t="n">
        <f aca="false">Debt!CN49-CN21</f>
        <v>1.16173737296776E-012</v>
      </c>
      <c r="CO29" s="19" t="n">
        <f aca="false">Debt!CO49-CO21</f>
        <v>1.16173737296776E-012</v>
      </c>
      <c r="CP29" s="19" t="n">
        <f aca="false">Debt!CP49-CP21</f>
        <v>1.16173737296776E-012</v>
      </c>
      <c r="CQ29" s="19" t="n">
        <f aca="false">Debt!CQ49-CQ21</f>
        <v>1.16173737296776E-012</v>
      </c>
      <c r="CR29" s="19" t="n">
        <f aca="false">Debt!CR49-CR21</f>
        <v>1.16173737296776E-012</v>
      </c>
      <c r="CS29" s="19" t="n">
        <f aca="false">Debt!CS49-CS21</f>
        <v>1.16173737296776E-012</v>
      </c>
      <c r="CT29" s="19" t="n">
        <f aca="false">Debt!CT49-CT21</f>
        <v>1.16173737296776E-012</v>
      </c>
      <c r="CU29" s="19" t="n">
        <f aca="false">Debt!CU49-CU21</f>
        <v>1.16173737296776E-012</v>
      </c>
      <c r="CV29" s="19" t="n">
        <f aca="false">Debt!CV49-CV21</f>
        <v>1.16173737296776E-012</v>
      </c>
      <c r="CW29" s="19" t="n">
        <f aca="false">Debt!CW49-CW21</f>
        <v>1.16173737296776E-012</v>
      </c>
      <c r="CX29" s="19" t="n">
        <f aca="false">Debt!CX49-CX21</f>
        <v>1.16173737296776E-012</v>
      </c>
      <c r="CY29" s="19" t="n">
        <f aca="false">Debt!CY49-CY21</f>
        <v>1.16173737296776E-012</v>
      </c>
      <c r="CZ29" s="19" t="n">
        <f aca="false">Debt!CZ49-CZ21</f>
        <v>1.16173737296776E-012</v>
      </c>
      <c r="DA29" s="19" t="n">
        <f aca="false">Debt!DA49-DA21</f>
        <v>1.16173737296776E-012</v>
      </c>
      <c r="DB29" s="19" t="n">
        <f aca="false">Debt!DB49-DB21</f>
        <v>1.16173737296776E-012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4.78297735764365</v>
      </c>
      <c r="AA33" s="19" t="n">
        <f aca="false">AA26-AA30</f>
        <v>15.2919085044204</v>
      </c>
      <c r="AB33" s="19" t="n">
        <f aca="false">AB26-AB30</f>
        <v>30.2172514183374</v>
      </c>
      <c r="AC33" s="19" t="n">
        <f aca="false">AC26-AC30</f>
        <v>44.13450682345</v>
      </c>
      <c r="AD33" s="19" t="n">
        <f aca="false">AD26-AD30</f>
        <v>61.7286636174205</v>
      </c>
      <c r="AE33" s="19" t="n">
        <f aca="false">AE26-AE30</f>
        <v>20.4475108318679</v>
      </c>
      <c r="AF33" s="19" t="n">
        <f aca="false">AF26-AF30</f>
        <v>18.9478320504788</v>
      </c>
      <c r="AG33" s="19" t="n">
        <f aca="false">AG26-AG30</f>
        <v>26.8074101449317</v>
      </c>
      <c r="AH33" s="19" t="n">
        <f aca="false">AH26-AH30</f>
        <v>27.6106404044661</v>
      </c>
      <c r="AI33" s="19" t="n">
        <f aca="false">AI26-AI30</f>
        <v>27.2525174223265</v>
      </c>
      <c r="AJ33" s="19" t="n">
        <f aca="false">AJ26-AJ30</f>
        <v>28.4876508790675</v>
      </c>
      <c r="AK33" s="19" t="n">
        <f aca="false">AK26-AK30</f>
        <v>31.2999510446033</v>
      </c>
      <c r="AL33" s="19" t="n">
        <f aca="false">AL26-AL30</f>
        <v>32.2419293439937</v>
      </c>
      <c r="AM33" s="19" t="n">
        <f aca="false">AM26-AM30</f>
        <v>35.5640418066985</v>
      </c>
      <c r="AN33" s="19" t="n">
        <f aca="false">AN26-AN30</f>
        <v>36.582296512747</v>
      </c>
      <c r="AO33" s="19" t="n">
        <f aca="false">AO26-AO30</f>
        <v>43.3043839954638</v>
      </c>
      <c r="AP33" s="19" t="n">
        <f aca="false">AP26-AP30</f>
        <v>44.400754439056</v>
      </c>
      <c r="AQ33" s="19" t="n">
        <f aca="false">AQ26-AQ30</f>
        <v>37.7932668260461</v>
      </c>
      <c r="AR33" s="19" t="n">
        <f aca="false">AR26-AR30</f>
        <v>39.4394276526065</v>
      </c>
      <c r="AS33" s="19" t="n">
        <f aca="false">AS26-AS30</f>
        <v>43.0190445778203</v>
      </c>
      <c r="AT33" s="19" t="n">
        <f aca="false">AT26-AT30</f>
        <v>44.2925485078795</v>
      </c>
      <c r="AU33" s="19" t="n">
        <f aca="false">AU26-AU30</f>
        <v>48.5227534694434</v>
      </c>
      <c r="AV33" s="19" t="n">
        <f aca="false">AV26-AV30</f>
        <v>48.0832949024122</v>
      </c>
      <c r="AW33" s="19" t="n">
        <f aca="false">AW26-AW30</f>
        <v>53.8299353027024</v>
      </c>
      <c r="AX33" s="19" t="n">
        <f aca="false">AX26-AX30</f>
        <v>54.5984897177138</v>
      </c>
      <c r="AY33" s="19" t="n">
        <f aca="false">AY26-AY30</f>
        <v>54.4066077579789</v>
      </c>
      <c r="AZ33" s="19" t="n">
        <f aca="false">AZ26-AZ30</f>
        <v>54.3575418138321</v>
      </c>
      <c r="BA33" s="19" t="n">
        <f aca="false">BA26-BA30</f>
        <v>57.9099486857532</v>
      </c>
      <c r="BB33" s="19" t="n">
        <f aca="false">BB26-BB30</f>
        <v>54.0315869246442</v>
      </c>
      <c r="BC33" s="19" t="n">
        <f aca="false">BC26-BC30</f>
        <v>66.6103330168963</v>
      </c>
      <c r="BD33" s="19" t="n">
        <f aca="false">BD26-BD30</f>
        <v>64.3372414084996</v>
      </c>
      <c r="BE33" s="19" t="n">
        <f aca="false">BE26-BE30</f>
        <v>72.7727586839548</v>
      </c>
      <c r="BF33" s="19" t="n">
        <f aca="false">BF26-BF30</f>
        <v>71.9456627447796</v>
      </c>
      <c r="BG33" s="19" t="n">
        <f aca="false">BG26-BG30</f>
        <v>76.4654202950015</v>
      </c>
      <c r="BH33" s="19" t="n">
        <f aca="false">BH26-BH30</f>
        <v>76.4211309320767</v>
      </c>
      <c r="BI33" s="19" t="n">
        <f aca="false">BI26-BI30</f>
        <v>80.7634806823869</v>
      </c>
      <c r="BJ33" s="19" t="n">
        <f aca="false">BJ26-BJ30</f>
        <v>79.851914443848</v>
      </c>
      <c r="BK33" s="19" t="n">
        <f aca="false">BK26-BK30</f>
        <v>85.0831729449753</v>
      </c>
      <c r="BL33" s="19" t="n">
        <f aca="false">BL26-BL30</f>
        <v>84.1441737239608</v>
      </c>
      <c r="BM33" s="19" t="n">
        <f aca="false">BM26-BM30</f>
        <v>89.6027514307302</v>
      </c>
      <c r="BN33" s="19" t="n">
        <f aca="false">BN26-BN30</f>
        <v>87.9947273694359</v>
      </c>
      <c r="BO33" s="19" t="n">
        <f aca="false">BO26-BO30</f>
        <v>56.730479050503</v>
      </c>
      <c r="BP33" s="19" t="n">
        <f aca="false">BP26-BP30</f>
        <v>55.9054890880909</v>
      </c>
      <c r="BQ33" s="19" t="n">
        <f aca="false">BQ26-BQ30</f>
        <v>59.9423061051429</v>
      </c>
      <c r="BR33" s="19" t="n">
        <f aca="false">BR26-BR30</f>
        <v>57.1260834871223</v>
      </c>
      <c r="BS33" s="19" t="n">
        <f aca="false">BS26-BS30</f>
        <v>61.7967310969506</v>
      </c>
      <c r="BT33" s="19" t="n">
        <f aca="false">BT26-BT30</f>
        <v>51.885709472081</v>
      </c>
      <c r="BU33" s="19" t="n">
        <f aca="false">BU26-BU30</f>
        <v>107.95353941279</v>
      </c>
      <c r="BV33" s="19" t="n">
        <f aca="false">BV26-BV30</f>
        <v>73.0326679470365</v>
      </c>
      <c r="BW33" s="19" t="n">
        <f aca="false">BW26-BW30</f>
        <v>76.8172449079874</v>
      </c>
      <c r="BX33" s="19" t="n">
        <f aca="false">BX26-BX30</f>
        <v>74.5585334351237</v>
      </c>
      <c r="BY33" s="19" t="n">
        <f aca="false">BY26-BY30</f>
        <v>78.9118259232148</v>
      </c>
      <c r="BZ33" s="19" t="n">
        <f aca="false">BZ26-BZ30</f>
        <v>80.0718554826258</v>
      </c>
      <c r="CA33" s="19" t="n">
        <f aca="false">CA26-CA30</f>
        <v>73.2571474357674</v>
      </c>
      <c r="CB33" s="19" t="n">
        <f aca="false">CB26-CB30</f>
        <v>69.8228498751542</v>
      </c>
      <c r="CC33" s="19" t="n">
        <f aca="false">CC26-CC30</f>
        <v>75.2157413258553</v>
      </c>
      <c r="CD33" s="19" t="n">
        <f aca="false">CD26-CD30</f>
        <v>73.8334200332628</v>
      </c>
      <c r="CE33" s="19" t="n">
        <f aca="false">CE26-CE30</f>
        <v>79.4705080455939</v>
      </c>
      <c r="CF33" s="19" t="n">
        <f aca="false">CF26-CF30</f>
        <v>76.127784259223</v>
      </c>
      <c r="CG33" s="19" t="n">
        <f aca="false">CG26-CG30</f>
        <v>153.314798010442</v>
      </c>
      <c r="CH33" s="19" t="n">
        <f aca="false">CH26-CH30</f>
        <v>130.319650147851</v>
      </c>
      <c r="CI33" s="19" t="n">
        <f aca="false">CI26-CI30</f>
        <v>136.23246307777</v>
      </c>
      <c r="CJ33" s="19" t="n">
        <f aca="false">CJ26-CJ30</f>
        <v>135.168775495426</v>
      </c>
      <c r="CK33" s="19" t="n">
        <f aca="false">CK26-CK30</f>
        <v>157.56014990159</v>
      </c>
      <c r="CL33" s="19" t="n">
        <f aca="false">CL26-CL30</f>
        <v>145.980389884893</v>
      </c>
      <c r="CM33" s="19" t="n">
        <f aca="false">CM26-CM30</f>
        <v>152.325534464231</v>
      </c>
      <c r="CN33" s="19" t="n">
        <f aca="false">CN26-CN30</f>
        <v>152.088653843563</v>
      </c>
      <c r="CO33" s="19" t="n">
        <f aca="false">CO26-CO30</f>
        <v>157.747542334871</v>
      </c>
      <c r="CP33" s="19" t="n">
        <f aca="false">CP26-CP30</f>
        <v>168.809348214662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4.78297735764365</v>
      </c>
      <c r="AA36" s="19" t="n">
        <f aca="false">AA33-AA35</f>
        <v>15.2919085044204</v>
      </c>
      <c r="AB36" s="19" t="n">
        <f aca="false">AB33-AB35</f>
        <v>30.2172514183374</v>
      </c>
      <c r="AC36" s="19" t="n">
        <f aca="false">AC33-AC35</f>
        <v>44.13450682345</v>
      </c>
      <c r="AD36" s="19" t="n">
        <f aca="false">AD33-AD35</f>
        <v>61.7286636174205</v>
      </c>
      <c r="AE36" s="19" t="n">
        <f aca="false">AE33-AE35</f>
        <v>20.4475108318679</v>
      </c>
      <c r="AF36" s="19" t="n">
        <f aca="false">AF33-AF35</f>
        <v>18.9478320504788</v>
      </c>
      <c r="AG36" s="19" t="n">
        <f aca="false">AG33-AG35</f>
        <v>26.8074101449317</v>
      </c>
      <c r="AH36" s="19" t="n">
        <f aca="false">AH33-AH35</f>
        <v>27.6106404044661</v>
      </c>
      <c r="AI36" s="19" t="n">
        <f aca="false">AI33-AI35</f>
        <v>27.2525174223265</v>
      </c>
      <c r="AJ36" s="19" t="n">
        <f aca="false">AJ33-AJ35</f>
        <v>23.0229325293868</v>
      </c>
      <c r="AK36" s="19" t="n">
        <f aca="false">AK33-AK35</f>
        <v>22.5534514298187</v>
      </c>
      <c r="AL36" s="19" t="n">
        <f aca="false">AL33-AL35</f>
        <v>23.6380357011893</v>
      </c>
      <c r="AM36" s="19" t="n">
        <f aca="false">AM33-AM35</f>
        <v>26.8175421919139</v>
      </c>
      <c r="AN36" s="19" t="n">
        <f aca="false">AN33-AN35</f>
        <v>27.9784028699426</v>
      </c>
      <c r="AO36" s="19" t="n">
        <f aca="false">AO33-AO35</f>
        <v>34.5578843806791</v>
      </c>
      <c r="AP36" s="19" t="n">
        <f aca="false">AP33-AP35</f>
        <v>35.5891392362167</v>
      </c>
      <c r="AQ36" s="19" t="n">
        <f aca="false">AQ33-AQ35</f>
        <v>29.0499714728275</v>
      </c>
      <c r="AR36" s="19" t="n">
        <f aca="false">AR33-AR35</f>
        <v>30.7911681184447</v>
      </c>
      <c r="AS36" s="19" t="n">
        <f aca="false">AS33-AS35</f>
        <v>34.2757492246017</v>
      </c>
      <c r="AT36" s="19" t="n">
        <f aca="false">AT33-AT35</f>
        <v>35.6918068832461</v>
      </c>
      <c r="AU36" s="19" t="n">
        <f aca="false">AU33-AU35</f>
        <v>39.3992801218856</v>
      </c>
      <c r="AV36" s="19" t="n">
        <f aca="false">AV33-AV35</f>
        <v>38.6753385702685</v>
      </c>
      <c r="AW36" s="19" t="n">
        <f aca="false">AW33-AW35</f>
        <v>43.6069924469362</v>
      </c>
      <c r="AX36" s="19" t="n">
        <f aca="false">AX33-AX35</f>
        <v>44.3345447848746</v>
      </c>
      <c r="AY36" s="19" t="n">
        <f aca="false">AY33-AY35</f>
        <v>44.214564336585</v>
      </c>
      <c r="AZ36" s="19" t="n">
        <f aca="false">AZ33-AZ35</f>
        <v>44.0552770610096</v>
      </c>
      <c r="BA36" s="19" t="n">
        <f aca="false">BA33-BA35</f>
        <v>47.1241537181137</v>
      </c>
      <c r="BB36" s="19" t="n">
        <f aca="false">BB33-BB35</f>
        <v>43.2005708347612</v>
      </c>
      <c r="BC36" s="19" t="n">
        <f aca="false">BC33-BC35</f>
        <v>53.9295588507149</v>
      </c>
      <c r="BD36" s="19" t="n">
        <f aca="false">BD33-BD35</f>
        <v>51.6087948919753</v>
      </c>
      <c r="BE36" s="19" t="n">
        <f aca="false">BE33-BE35</f>
        <v>58.8354814144733</v>
      </c>
      <c r="BF36" s="19" t="n">
        <f aca="false">BF33-BF35</f>
        <v>57.9581581797908</v>
      </c>
      <c r="BG36" s="19" t="n">
        <f aca="false">BG33-BG35</f>
        <v>61.8443262481577</v>
      </c>
      <c r="BH36" s="19" t="n">
        <f aca="false">BH33-BH35</f>
        <v>61.6664525946366</v>
      </c>
      <c r="BI36" s="19" t="n">
        <f aca="false">BI33-BI35</f>
        <v>65.4245774928331</v>
      </c>
      <c r="BJ36" s="19" t="n">
        <f aca="false">BJ33-BJ35</f>
        <v>64.4578207099171</v>
      </c>
      <c r="BK36" s="19" t="n">
        <f aca="false">BK33-BK35</f>
        <v>68.990681646924</v>
      </c>
      <c r="BL36" s="19" t="n">
        <f aca="false">BL33-BL35</f>
        <v>67.9936256613396</v>
      </c>
      <c r="BM36" s="19" t="n">
        <f aca="false">BM33-BM35</f>
        <v>72.7256445081066</v>
      </c>
      <c r="BN36" s="19" t="n">
        <f aca="false">BN33-BN35</f>
        <v>71.0570577509413</v>
      </c>
      <c r="BO36" s="19" t="n">
        <f aca="false">BO33-BO35</f>
        <v>41.8815583827128</v>
      </c>
      <c r="BP36" s="19" t="n">
        <f aca="false">BP33-BP35</f>
        <v>40.8946855055452</v>
      </c>
      <c r="BQ36" s="19" t="n">
        <f aca="false">BQ33-BQ35</f>
        <v>44.2310062352843</v>
      </c>
      <c r="BR36" s="19" t="n">
        <f aca="false">BR33-BR35</f>
        <v>41.5440425403719</v>
      </c>
      <c r="BS36" s="19" t="n">
        <f aca="false">BS33-BS35</f>
        <v>45.4013717458897</v>
      </c>
      <c r="BT36" s="19" t="n">
        <f aca="false">BT33-BT35</f>
        <v>35.6239949505604</v>
      </c>
      <c r="BU36" s="19" t="n">
        <f aca="false">BU33-BU35</f>
        <v>87.9981815281106</v>
      </c>
      <c r="BV36" s="19" t="n">
        <f aca="false">BV33-BV35</f>
        <v>53.2155190611376</v>
      </c>
      <c r="BW36" s="19" t="n">
        <f aca="false">BW33-BW35</f>
        <v>56.1268104880805</v>
      </c>
      <c r="BX36" s="19" t="n">
        <f aca="false">BX33-BX35</f>
        <v>53.8975097546615</v>
      </c>
      <c r="BY36" s="19" t="n">
        <f aca="false">BY33-BY35</f>
        <v>57.4599560095415</v>
      </c>
      <c r="BZ36" s="19" t="n">
        <f aca="false">BZ33-BZ35</f>
        <v>58.7678745814896</v>
      </c>
      <c r="CA36" s="19" t="n">
        <f aca="false">CA33-CA35</f>
        <v>52.8573885994911</v>
      </c>
      <c r="CB36" s="19" t="n">
        <f aca="false">CB33-CB35</f>
        <v>49.5761045356257</v>
      </c>
      <c r="CC36" s="19" t="n">
        <f aca="false">CC33-CC35</f>
        <v>54.0000790655108</v>
      </c>
      <c r="CD36" s="19" t="n">
        <f aca="false">CD33-CD35</f>
        <v>52.7760912986604</v>
      </c>
      <c r="CE36" s="19" t="n">
        <f aca="false">CE33-CE35</f>
        <v>58.3018729788718</v>
      </c>
      <c r="CF36" s="19" t="n">
        <f aca="false">CF33-CF35</f>
        <v>57.53113936667</v>
      </c>
      <c r="CG36" s="19" t="n">
        <f aca="false">CG33-CG35</f>
        <v>133.500557724704</v>
      </c>
      <c r="CH36" s="19" t="n">
        <f aca="false">CH33-CH35</f>
        <v>104.376609050815</v>
      </c>
      <c r="CI36" s="19" t="n">
        <f aca="false">CI33-CI35</f>
        <v>109.090707097645</v>
      </c>
      <c r="CJ36" s="19" t="n">
        <f aca="false">CJ33-CJ35</f>
        <v>108.325607673925</v>
      </c>
      <c r="CK36" s="19" t="n">
        <f aca="false">CK33-CK35</f>
        <v>125.485723670204</v>
      </c>
      <c r="CL36" s="19" t="n">
        <f aca="false">CL33-CL35</f>
        <v>116.786306041464</v>
      </c>
      <c r="CM36" s="19" t="n">
        <f aca="false">CM33-CM35</f>
        <v>121.851516266358</v>
      </c>
      <c r="CN36" s="19" t="n">
        <f aca="false">CN33-CN35</f>
        <v>121.750972389922</v>
      </c>
      <c r="CO36" s="19" t="n">
        <f aca="false">CO33-CO35</f>
        <v>126.272245702562</v>
      </c>
      <c r="CP36" s="19" t="n">
        <f aca="false">CP33-CP35</f>
        <v>168.809348214662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4.78297735764365</v>
      </c>
      <c r="AA39" s="19" t="n">
        <f aca="false">AA36-AA38</f>
        <v>15.2919085044204</v>
      </c>
      <c r="AB39" s="19" t="n">
        <f aca="false">AB36-AB38</f>
        <v>30.2172514183374</v>
      </c>
      <c r="AC39" s="19" t="n">
        <f aca="false">AC36-AC38</f>
        <v>44.13450682345</v>
      </c>
      <c r="AD39" s="19" t="n">
        <f aca="false">AD36-AD38</f>
        <v>61.7286636174205</v>
      </c>
      <c r="AE39" s="19" t="n">
        <f aca="false">AE36-AE38</f>
        <v>20.4475108318679</v>
      </c>
      <c r="AF39" s="19" t="n">
        <f aca="false">AF36-AF38</f>
        <v>18.9478320504788</v>
      </c>
      <c r="AG39" s="19" t="n">
        <f aca="false">AG36-AG38</f>
        <v>26.8074101449317</v>
      </c>
      <c r="AH39" s="19" t="n">
        <f aca="false">AH36-AH38</f>
        <v>27.6106404044661</v>
      </c>
      <c r="AI39" s="19" t="n">
        <f aca="false">AI36-AI38</f>
        <v>27.2525174223265</v>
      </c>
      <c r="AJ39" s="19" t="n">
        <f aca="false">AJ36-AJ38</f>
        <v>23.0229325293868</v>
      </c>
      <c r="AK39" s="19" t="n">
        <f aca="false">AK36-AK38</f>
        <v>22.5534514298187</v>
      </c>
      <c r="AL39" s="19" t="n">
        <f aca="false">AL36-AL38</f>
        <v>23.6380357011893</v>
      </c>
      <c r="AM39" s="19" t="n">
        <f aca="false">AM36-AM38</f>
        <v>26.8175421919139</v>
      </c>
      <c r="AN39" s="19" t="n">
        <f aca="false">AN36-AN38</f>
        <v>27.9784028699426</v>
      </c>
      <c r="AO39" s="19" t="n">
        <f aca="false">AO36-AO38</f>
        <v>34.5578843806791</v>
      </c>
      <c r="AP39" s="19" t="n">
        <f aca="false">AP36-AP38</f>
        <v>35.5891392362167</v>
      </c>
      <c r="AQ39" s="19" t="n">
        <f aca="false">AQ36-AQ38</f>
        <v>29.0499714728275</v>
      </c>
      <c r="AR39" s="19" t="n">
        <f aca="false">AR36-AR38</f>
        <v>30.7911681184447</v>
      </c>
      <c r="AS39" s="19" t="n">
        <f aca="false">AS36-AS38</f>
        <v>34.2757492246017</v>
      </c>
      <c r="AT39" s="19" t="n">
        <f aca="false">AT36-AT38</f>
        <v>35.6918068832461</v>
      </c>
      <c r="AU39" s="19" t="n">
        <f aca="false">AU36-AU38</f>
        <v>39.3992801218856</v>
      </c>
      <c r="AV39" s="19" t="n">
        <f aca="false">AV36-AV38</f>
        <v>38.6753385702685</v>
      </c>
      <c r="AW39" s="19" t="n">
        <f aca="false">AW36-AW38</f>
        <v>43.6069924469362</v>
      </c>
      <c r="AX39" s="19" t="n">
        <f aca="false">AX36-AX38</f>
        <v>44.3345447848746</v>
      </c>
      <c r="AY39" s="19" t="n">
        <f aca="false">AY36-AY38</f>
        <v>44.214564336585</v>
      </c>
      <c r="AZ39" s="19" t="n">
        <f aca="false">AZ36-AZ38</f>
        <v>44.0552770610096</v>
      </c>
      <c r="BA39" s="19" t="n">
        <f aca="false">BA36-BA38</f>
        <v>47.1241537181137</v>
      </c>
      <c r="BB39" s="19" t="n">
        <f aca="false">BB36-BB38</f>
        <v>43.2005708347612</v>
      </c>
      <c r="BC39" s="19" t="n">
        <f aca="false">BC36-BC38</f>
        <v>53.9295588507149</v>
      </c>
      <c r="BD39" s="19" t="n">
        <f aca="false">BD36-BD38</f>
        <v>51.6087948919753</v>
      </c>
      <c r="BE39" s="19" t="n">
        <f aca="false">BE36-BE38</f>
        <v>58.8354814144733</v>
      </c>
      <c r="BF39" s="19" t="n">
        <f aca="false">BF36-BF38</f>
        <v>57.9581581797908</v>
      </c>
      <c r="BG39" s="19" t="n">
        <f aca="false">BG36-BG38</f>
        <v>61.8443262481577</v>
      </c>
      <c r="BH39" s="19" t="n">
        <f aca="false">BH36-BH38</f>
        <v>61.6664525946366</v>
      </c>
      <c r="BI39" s="19" t="n">
        <f aca="false">BI36-BI38</f>
        <v>65.4245774928331</v>
      </c>
      <c r="BJ39" s="19" t="n">
        <f aca="false">BJ36-BJ38</f>
        <v>64.4578207099171</v>
      </c>
      <c r="BK39" s="19" t="n">
        <f aca="false">BK36-BK38</f>
        <v>68.990681646924</v>
      </c>
      <c r="BL39" s="19" t="n">
        <f aca="false">BL36-BL38</f>
        <v>67.9936256613396</v>
      </c>
      <c r="BM39" s="19" t="n">
        <f aca="false">BM36-BM38</f>
        <v>72.7256445081066</v>
      </c>
      <c r="BN39" s="19" t="n">
        <f aca="false">BN36-BN38</f>
        <v>71.0570577509413</v>
      </c>
      <c r="BO39" s="19" t="n">
        <f aca="false">BO36-BO38</f>
        <v>41.8815583827128</v>
      </c>
      <c r="BP39" s="19" t="n">
        <f aca="false">BP36-BP38</f>
        <v>40.8946855055452</v>
      </c>
      <c r="BQ39" s="19" t="n">
        <f aca="false">BQ36-BQ38</f>
        <v>44.2310062352843</v>
      </c>
      <c r="BR39" s="19" t="n">
        <f aca="false">BR36-BR38</f>
        <v>41.5440425403719</v>
      </c>
      <c r="BS39" s="19" t="n">
        <f aca="false">BS36-BS38</f>
        <v>45.4013717458897</v>
      </c>
      <c r="BT39" s="19" t="n">
        <f aca="false">BT36-BT38</f>
        <v>35.6239949505604</v>
      </c>
      <c r="BU39" s="19" t="n">
        <f aca="false">BU36-BU38</f>
        <v>87.9981815281106</v>
      </c>
      <c r="BV39" s="19" t="n">
        <f aca="false">BV36-BV38</f>
        <v>53.2155190611376</v>
      </c>
      <c r="BW39" s="19" t="n">
        <f aca="false">BW36-BW38</f>
        <v>56.1268104880805</v>
      </c>
      <c r="BX39" s="19" t="n">
        <f aca="false">BX36-BX38</f>
        <v>53.8975097546615</v>
      </c>
      <c r="BY39" s="19" t="n">
        <f aca="false">BY36-BY38</f>
        <v>57.4599560095415</v>
      </c>
      <c r="BZ39" s="19" t="n">
        <f aca="false">BZ36-BZ38</f>
        <v>58.7678745814896</v>
      </c>
      <c r="CA39" s="19" t="n">
        <f aca="false">CA36-CA38</f>
        <v>52.8573885994911</v>
      </c>
      <c r="CB39" s="19" t="n">
        <f aca="false">CB36-CB38</f>
        <v>49.5761045356257</v>
      </c>
      <c r="CC39" s="19" t="n">
        <f aca="false">CC36-CC38</f>
        <v>54.0000790655108</v>
      </c>
      <c r="CD39" s="19" t="n">
        <f aca="false">CD36-CD38</f>
        <v>52.7760912986604</v>
      </c>
      <c r="CE39" s="19" t="n">
        <f aca="false">CE36-CE38</f>
        <v>58.3018729788718</v>
      </c>
      <c r="CF39" s="19" t="n">
        <f aca="false">CF36-CF38</f>
        <v>57.53113936667</v>
      </c>
      <c r="CG39" s="19" t="n">
        <f aca="false">CG36-CG38</f>
        <v>133.500557724704</v>
      </c>
      <c r="CH39" s="19" t="n">
        <f aca="false">CH36-CH38</f>
        <v>104.376609050815</v>
      </c>
      <c r="CI39" s="19" t="n">
        <f aca="false">CI36-CI38</f>
        <v>109.090707097645</v>
      </c>
      <c r="CJ39" s="19" t="n">
        <f aca="false">CJ36-CJ38</f>
        <v>108.325607673925</v>
      </c>
      <c r="CK39" s="19" t="n">
        <f aca="false">CK36-CK38</f>
        <v>125.485723670204</v>
      </c>
      <c r="CL39" s="19" t="n">
        <f aca="false">CL36-CL38</f>
        <v>116.786306041464</v>
      </c>
      <c r="CM39" s="19" t="n">
        <f aca="false">CM36-CM38</f>
        <v>121.851516266358</v>
      </c>
      <c r="CN39" s="19" t="n">
        <f aca="false">CN36-CN38</f>
        <v>121.750972389922</v>
      </c>
      <c r="CO39" s="19" t="n">
        <f aca="false">CO36-CO38</f>
        <v>126.272245702562</v>
      </c>
      <c r="CP39" s="19" t="n">
        <f aca="false">CP36-CP38</f>
        <v>168.809348214662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1.90180534783479</v>
      </c>
      <c r="AA41" s="31" t="n">
        <f aca="false">IF(Debt!AA68&gt;Inputs!$F$9,AA7/Debt!AA68,0)</f>
        <v>1.94004467493422</v>
      </c>
      <c r="AB41" s="31" t="n">
        <f aca="false">IF(Debt!AB68&gt;Inputs!$F$9,AB7/Debt!AB68,0)</f>
        <v>1.83908558306094</v>
      </c>
      <c r="AC41" s="31" t="n">
        <f aca="false">IF(Debt!AC68&gt;Inputs!$F$9,AC7/Debt!AC68,0)</f>
        <v>1.82997649326938</v>
      </c>
      <c r="AD41" s="31" t="n">
        <f aca="false">IF(Debt!AD68&gt;Inputs!$F$9,AD7/Debt!AD68,0)</f>
        <v>1.74967145521814</v>
      </c>
      <c r="AE41" s="31" t="n">
        <f aca="false">IF(Debt!AE68&gt;Inputs!$F$9,AE7/Debt!AE68,0)</f>
        <v>1.84069888275843</v>
      </c>
      <c r="AF41" s="31" t="n">
        <f aca="false">IF(Debt!AF68&gt;Inputs!$F$9,AF7/Debt!AF68,0)</f>
        <v>1.99715602237694</v>
      </c>
      <c r="AG41" s="31" t="n">
        <f aca="false">IF(Debt!AG68&gt;Inputs!$F$9,AG7/Debt!AG68,0)</f>
        <v>2.14586542379641</v>
      </c>
      <c r="AH41" s="31" t="n">
        <f aca="false">IF(Debt!AH68&gt;Inputs!$F$9,AH7/Debt!AH68,0)</f>
        <v>2.20624145551163</v>
      </c>
      <c r="AI41" s="31" t="n">
        <f aca="false">IF(Debt!AI68&gt;Inputs!$F$9,AI7/Debt!AI68,0)</f>
        <v>2.16770727117201</v>
      </c>
      <c r="AJ41" s="31" t="n">
        <f aca="false">IF(Debt!AJ68&gt;Inputs!$F$9,AJ7/Debt!AJ68,0)</f>
        <v>2.23824562265625</v>
      </c>
      <c r="AK41" s="31" t="n">
        <f aca="false">IF(Debt!AK68&gt;Inputs!$F$9,AK7/Debt!AK68,0)</f>
        <v>2.33924478242897</v>
      </c>
      <c r="AL41" s="31" t="n">
        <f aca="false">IF(Debt!AL68&gt;Inputs!$F$9,AL7/Debt!AL68,0)</f>
        <v>2.40721040259283</v>
      </c>
      <c r="AM41" s="31" t="n">
        <f aca="false">IF(Debt!AM68&gt;Inputs!$F$9,AM7/Debt!AM68,0)</f>
        <v>2.52279060986602</v>
      </c>
      <c r="AN41" s="31" t="n">
        <f aca="false">IF(Debt!AN68&gt;Inputs!$F$9,AN7/Debt!AN68,0)</f>
        <v>2.59555516605713</v>
      </c>
      <c r="AO41" s="31" t="n">
        <f aca="false">IF(Debt!AO68&gt;Inputs!$F$9,AO7/Debt!AO68,0)</f>
        <v>2.85597008257141</v>
      </c>
      <c r="AP41" s="31" t="n">
        <f aca="false">IF(Debt!AP68&gt;Inputs!$F$9,AP7/Debt!AP68,0)</f>
        <v>2.93482729478103</v>
      </c>
      <c r="AQ41" s="31" t="n">
        <f aca="false">IF(Debt!AQ68&gt;Inputs!$F$9,AQ7/Debt!AQ68,0)</f>
        <v>2.62142898561358</v>
      </c>
      <c r="AR41" s="31" t="n">
        <f aca="false">IF(Debt!AR68&gt;Inputs!$F$9,AR7/Debt!AR68,0)</f>
        <v>2.7122025139658</v>
      </c>
      <c r="AS41" s="31" t="n">
        <f aca="false">IF(Debt!AS68&gt;Inputs!$F$9,AS7/Debt!AS68,0)</f>
        <v>2.84368777845693</v>
      </c>
      <c r="AT41" s="31" t="n">
        <f aca="false">IF(Debt!AT68&gt;Inputs!$F$9,AT7/Debt!AT68,0)</f>
        <v>2.93013183476106</v>
      </c>
      <c r="AU41" s="31" t="n">
        <f aca="false">IF(Debt!AU68&gt;Inputs!$F$9,AU7/Debt!AU68,0)</f>
        <v>3.08096006087304</v>
      </c>
      <c r="AV41" s="31" t="n">
        <f aca="false">IF(Debt!AV68&gt;Inputs!$F$9,AV7/Debt!AV68,0)</f>
        <v>3.17236828850536</v>
      </c>
      <c r="AW41" s="31" t="n">
        <f aca="false">IF(Debt!AW68&gt;Inputs!$F$9,AW7/Debt!AW68,0)</f>
        <v>3.15287691018656</v>
      </c>
      <c r="AX41" s="31" t="n">
        <f aca="false">IF(Debt!AX68&gt;Inputs!$F$9,AX7/Debt!AX68,0)</f>
        <v>3.16383442378534</v>
      </c>
      <c r="AY41" s="31" t="n">
        <f aca="false">IF(Debt!AY68&gt;Inputs!$F$9,AY7/Debt!AY68,0)</f>
        <v>3.18928562140009</v>
      </c>
      <c r="AZ41" s="31" t="n">
        <f aca="false">IF(Debt!AZ68&gt;Inputs!$F$9,AZ7/Debt!AZ68,0)</f>
        <v>3.2001550113977</v>
      </c>
      <c r="BA41" s="31" t="n">
        <f aca="false">IF(Debt!BA68&gt;Inputs!$F$9,BA7/Debt!BA68,0)</f>
        <v>3.19529394173859</v>
      </c>
      <c r="BB41" s="31" t="n">
        <f aca="false">IF(Debt!BB68&gt;Inputs!$F$9,BB7/Debt!BB68,0)</f>
        <v>3.20660614648144</v>
      </c>
      <c r="BC41" s="31" t="n">
        <f aca="false">IF(Debt!BC68&gt;Inputs!$F$9,BC7/Debt!BC68,0)</f>
        <v>3.14742616451969</v>
      </c>
      <c r="BD41" s="31" t="n">
        <f aca="false">IF(Debt!BD68&gt;Inputs!$F$9,BD7/Debt!BD68,0)</f>
        <v>3.15772969118014</v>
      </c>
      <c r="BE41" s="31" t="n">
        <f aca="false">IF(Debt!BE68&gt;Inputs!$F$9,BE7/Debt!BE68,0)</f>
        <v>3.13445112923579</v>
      </c>
      <c r="BF41" s="31" t="n">
        <f aca="false">IF(Debt!BF68&gt;Inputs!$F$9,BF7/Debt!BF68,0)</f>
        <v>3.14436144856941</v>
      </c>
      <c r="BG41" s="31" t="n">
        <f aca="false">IF(Debt!BG68&gt;Inputs!$F$9,BG7/Debt!BG68,0)</f>
        <v>3.14339305917046</v>
      </c>
      <c r="BH41" s="31" t="n">
        <f aca="false">IF(Debt!BH68&gt;Inputs!$F$9,BH7/Debt!BH68,0)</f>
        <v>3.15330467111235</v>
      </c>
      <c r="BI41" s="31" t="n">
        <f aca="false">IF(Debt!BI68&gt;Inputs!$F$9,BI7/Debt!BI68,0)</f>
        <v>3.15232959906778</v>
      </c>
      <c r="BJ41" s="31" t="n">
        <f aca="false">IF(Debt!BJ68&gt;Inputs!$F$9,BJ7/Debt!BJ68,0)</f>
        <v>3.16223034533949</v>
      </c>
      <c r="BK41" s="31" t="n">
        <f aca="false">IF(Debt!BK68&gt;Inputs!$F$9,BK7/Debt!BK68,0)</f>
        <v>3.16126182033304</v>
      </c>
      <c r="BL41" s="31" t="n">
        <f aca="false">IF(Debt!BL68&gt;Inputs!$F$9,BL7/Debt!BL68,0)</f>
        <v>3.17115778161393</v>
      </c>
      <c r="BM41" s="31" t="n">
        <f aca="false">IF(Debt!BM68&gt;Inputs!$F$9,BM7/Debt!BM68,0)</f>
        <v>3.1702185806072</v>
      </c>
      <c r="BN41" s="31" t="n">
        <f aca="false">IF(Debt!BN68&gt;Inputs!$F$9,BN7/Debt!BN68,0)</f>
        <v>2.99681971157884</v>
      </c>
      <c r="BO41" s="31" t="n">
        <f aca="false">IF(Debt!BO68&gt;Inputs!$F$9,BO7/Debt!BO68,0)</f>
        <v>2.57003440351149</v>
      </c>
      <c r="BP41" s="31" t="n">
        <f aca="false">IF(Debt!BP68&gt;Inputs!$F$9,BP7/Debt!BP68,0)</f>
        <v>2.5665553908409</v>
      </c>
      <c r="BQ41" s="31" t="n">
        <f aca="false">IF(Debt!BQ68&gt;Inputs!$F$9,BQ7/Debt!BQ68,0)</f>
        <v>2.54875189911267</v>
      </c>
      <c r="BR41" s="31" t="n">
        <f aca="false">IF(Debt!BR68&gt;Inputs!$F$9,BR7/Debt!BR68,0)</f>
        <v>2.54833350313771</v>
      </c>
      <c r="BS41" s="31" t="n">
        <f aca="false">IF(Debt!BS68&gt;Inputs!$F$9,BS7/Debt!BS68,0)</f>
        <v>2.53002449739692</v>
      </c>
      <c r="BT41" s="31" t="n">
        <f aca="false">IF(Debt!BT68&gt;Inputs!$F$9,BT7/Debt!BT68,0)</f>
        <v>2.5292329568612</v>
      </c>
      <c r="BU41" s="31" t="n">
        <f aca="false">IF(Debt!BU68&gt;Inputs!$F$9,BU7/Debt!BU68,0)</f>
        <v>3.2007676922508</v>
      </c>
      <c r="BV41" s="31" t="n">
        <f aca="false">IF(Debt!BV68&gt;Inputs!$F$9,BV7/Debt!BV68,0)</f>
        <v>2.54803111846692</v>
      </c>
      <c r="BW41" s="31" t="n">
        <f aca="false">IF(Debt!BW68&gt;Inputs!$F$9,BW7/Debt!BW68,0)</f>
        <v>2.51371081680679</v>
      </c>
      <c r="BX41" s="31" t="n">
        <f aca="false">IF(Debt!BX68&gt;Inputs!$F$9,BX7/Debt!BX68,0)</f>
        <v>2.51095234402456</v>
      </c>
      <c r="BY41" s="31" t="n">
        <f aca="false">IF(Debt!BY68&gt;Inputs!$F$9,BY7/Debt!BY68,0)</f>
        <v>2.49430537274801</v>
      </c>
      <c r="BZ41" s="31" t="n">
        <f aca="false">IF(Debt!BZ68&gt;Inputs!$F$9,BZ7/Debt!BZ68,0)</f>
        <v>2.49139796924819</v>
      </c>
      <c r="CA41" s="31" t="n">
        <f aca="false">IF(Debt!CA68&gt;Inputs!$F$9,CA7/Debt!CA68,0)</f>
        <v>2.45800121233615</v>
      </c>
      <c r="CB41" s="31" t="n">
        <f aca="false">IF(Debt!CB68&gt;Inputs!$F$9,CB7/Debt!CB68,0)</f>
        <v>2.45521084293374</v>
      </c>
      <c r="CC41" s="31" t="n">
        <f aca="false">IF(Debt!CC68&gt;Inputs!$F$9,CC7/Debt!CC68,0)</f>
        <v>2.43935387825128</v>
      </c>
      <c r="CD41" s="31" t="n">
        <f aca="false">IF(Debt!CD68&gt;Inputs!$F$9,CD7/Debt!CD68,0)</f>
        <v>2.43619199648331</v>
      </c>
      <c r="CE41" s="31" t="n">
        <f aca="false">IF(Debt!CE68&gt;Inputs!$F$9,CE7/Debt!CE68,0)</f>
        <v>2.41055569603737</v>
      </c>
      <c r="CF41" s="31" t="n">
        <f aca="false">IF(Debt!CF68&gt;Inputs!$F$9,CF7/Debt!CF68,0)</f>
        <v>2.73606449753466</v>
      </c>
      <c r="CG41" s="31" t="n">
        <f aca="false">IF(Debt!CG68&gt;Inputs!$F$9,CG7/Debt!CG68,0)</f>
        <v>3.15767976328156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13.2057960522632</v>
      </c>
      <c r="AA42" s="19" t="n">
        <f aca="false">IF(OR(Time!AA36=1,Time!Z44=0),AA7,AA7+Z7)</f>
        <v>29.811967654051</v>
      </c>
      <c r="AB42" s="19" t="n">
        <f aca="false">IF(OR(Time!AB36=1,Time!AA44=0),AB7,AB7+AA7)</f>
        <v>65.3119038038781</v>
      </c>
      <c r="AC42" s="19" t="n">
        <f aca="false">IF(OR(Time!AC36=1,Time!AB44=0),AC7,AC7+AB7)</f>
        <v>73.1509581301216</v>
      </c>
      <c r="AD42" s="19" t="n">
        <f aca="false">IF(OR(Time!AD36=1,Time!AC44=0),AD7,AD7+AC7)</f>
        <v>79.1773158817006</v>
      </c>
      <c r="AE42" s="19" t="n">
        <f aca="false">IF(OR(Time!AE36=1,Time!AD44=0),AE7,AE7+AD7)</f>
        <v>85.5781519370843</v>
      </c>
      <c r="AF42" s="19" t="n">
        <f aca="false">IF(OR(Time!AF36=1,Time!AE44=0),AF7,AF7+AE7)</f>
        <v>91.1934222080442</v>
      </c>
      <c r="AG42" s="19" t="n">
        <f aca="false">IF(OR(Time!AG36=1,Time!AF44=0),AG7,AG7+AF7)</f>
        <v>96.9937730625307</v>
      </c>
      <c r="AH42" s="19" t="n">
        <f aca="false">IF(OR(Time!AH36=1,Time!AG44=0),AH7,AH7+AG7)</f>
        <v>100.69459921582</v>
      </c>
      <c r="AI42" s="19" t="n">
        <f aca="false">IF(OR(Time!AI36=1,Time!AH44=0),AI7,AI7+AH7)</f>
        <v>101.202023551867</v>
      </c>
      <c r="AJ42" s="19" t="n">
        <f aca="false">IF(OR(Time!AJ36=1,Time!AI44=0),AJ7,AJ7+AI7)</f>
        <v>102.079034026468</v>
      </c>
      <c r="AK42" s="19" t="n">
        <f aca="false">IF(OR(Time!AK36=1,Time!AJ44=0),AK7,AK7+AJ7)</f>
        <v>106.064150590093</v>
      </c>
      <c r="AL42" s="19" t="n">
        <f aca="false">IF(OR(Time!AL36=1,Time!AK44=0),AL7,AL7+AK7)</f>
        <v>109.818429055019</v>
      </c>
      <c r="AM42" s="19" t="n">
        <f aca="false">IF(OR(Time!AM36=1,Time!AL44=0),AM7,AM7+AL7)</f>
        <v>114.082519817114</v>
      </c>
      <c r="AN42" s="19" t="n">
        <f aca="false">IF(OR(Time!AN36=1,Time!AM44=0),AN7,AN7+AM7)</f>
        <v>118.422886985868</v>
      </c>
      <c r="AO42" s="19" t="n">
        <f aca="false">IF(OR(Time!AO36=1,Time!AN44=0),AO7,AO7+AN7)</f>
        <v>126.163229174633</v>
      </c>
      <c r="AP42" s="19" t="n">
        <f aca="false">IF(OR(Time!AP36=1,Time!AO44=0),AP7,AP7+AO7)</f>
        <v>133.981687100942</v>
      </c>
      <c r="AQ42" s="19" t="n">
        <f aca="false">IF(OR(Time!AQ36=1,Time!AP44=0),AQ7,AQ7+AP7)</f>
        <v>128.532886990176</v>
      </c>
      <c r="AR42" s="19" t="n">
        <f aca="false">IF(OR(Time!AR36=1,Time!AQ44=0),AR7,AR7+AQ7)</f>
        <v>123.571560203727</v>
      </c>
      <c r="AS42" s="19" t="n">
        <f aca="false">IF(OR(Time!AS36=1,Time!AR44=0),AS7,AS7+AR7)</f>
        <v>128.735020896849</v>
      </c>
      <c r="AT42" s="19" t="n">
        <f aca="false">IF(OR(Time!AT36=1,Time!AS44=0),AT7,AT7+AS7)</f>
        <v>133.588141752122</v>
      </c>
      <c r="AU42" s="19" t="n">
        <f aca="false">IF(OR(Time!AU36=1,Time!AT44=0),AU7,AU7+AT7)</f>
        <v>139.100392080443</v>
      </c>
      <c r="AV42" s="19" t="n">
        <f aca="false">IF(OR(Time!AV36=1,Time!AU44=0),AV7,AV7+AU7)</f>
        <v>144.709778988657</v>
      </c>
      <c r="AW42" s="19" t="n">
        <f aca="false">IF(OR(Time!AW36=1,Time!AV44=0),AW7,AW7+AV7)</f>
        <v>152.114482930545</v>
      </c>
      <c r="AX42" s="19" t="n">
        <f aca="false">IF(OR(Time!AX36=1,Time!AW44=0),AX7,AX7+AW7)</f>
        <v>158.553961496019</v>
      </c>
      <c r="AY42" s="19" t="n">
        <f aca="false">IF(OR(Time!AY36=1,Time!AX44=0),AY7,AY7+AX7)</f>
        <v>159.224533180267</v>
      </c>
      <c r="AZ42" s="19" t="n">
        <f aca="false">IF(OR(Time!AZ36=1,Time!AY44=0),AZ7,AZ7+AY7)</f>
        <v>160.438519365777</v>
      </c>
      <c r="BA42" s="19" t="n">
        <f aca="false">IF(OR(Time!BA36=1,Time!AZ44=0),BA7,BA7+AZ7)</f>
        <v>165.237517290094</v>
      </c>
      <c r="BB42" s="19" t="n">
        <f aca="false">IF(OR(Time!BB36=1,Time!BA44=0),BB7,BB7+BA7)</f>
        <v>169.555036345657</v>
      </c>
      <c r="BC42" s="19" t="n">
        <f aca="false">IF(OR(Time!BC36=1,Time!BB44=0),BC7,BC7+BB7)</f>
        <v>182.904901132768</v>
      </c>
      <c r="BD42" s="19" t="n">
        <f aca="false">IF(OR(Time!BD36=1,Time!BC44=0),BD7,BD7+BC7)</f>
        <v>196.289502037863</v>
      </c>
      <c r="BE42" s="19" t="n">
        <f aca="false">IF(OR(Time!BE36=1,Time!BD44=0),BE7,BE7+BD7)</f>
        <v>205.5371347866</v>
      </c>
      <c r="BF42" s="19" t="n">
        <f aca="false">IF(OR(Time!BF36=1,Time!BE44=0),BF7,BF7+BE7)</f>
        <v>214.82118685862</v>
      </c>
      <c r="BG42" s="19" t="n">
        <f aca="false">IF(OR(Time!BG36=1,Time!BF44=0),BG7,BG7+BF7)</f>
        <v>220.393737930309</v>
      </c>
      <c r="BH42" s="19" t="n">
        <f aca="false">IF(OR(Time!BH36=1,Time!BG44=0),BH7,BH7+BG7)</f>
        <v>226.628132048848</v>
      </c>
      <c r="BI42" s="19" t="n">
        <f aca="false">IF(OR(Time!BI36=1,Time!BH44=0),BI7,BI7+BH7)</f>
        <v>232.493021631911</v>
      </c>
      <c r="BJ42" s="19" t="n">
        <f aca="false">IF(OR(Time!BJ36=1,Time!BI44=0),BJ7,BJ7+BI7)</f>
        <v>237.770404172091</v>
      </c>
      <c r="BK42" s="19" t="n">
        <f aca="false">IF(OR(Time!BK36=1,Time!BJ44=0),BK7,BK7+BJ7)</f>
        <v>243.943718874636</v>
      </c>
      <c r="BL42" s="19" t="n">
        <f aca="false">IF(OR(Time!BL36=1,Time!BK44=0),BL7,BL7+BK7)</f>
        <v>250.158607285532</v>
      </c>
      <c r="BM42" s="19" t="n">
        <f aca="false">IF(OR(Time!BM36=1,Time!BL44=0),BM7,BM7+BL7)</f>
        <v>256.606955458502</v>
      </c>
      <c r="BN42" s="19" t="n">
        <f aca="false">IF(OR(Time!BN36=1,Time!BM44=0),BN7,BN7+BM7)</f>
        <v>255.487623399338</v>
      </c>
      <c r="BO42" s="19" t="n">
        <f aca="false">IF(OR(Time!BO36=1,Time!BN44=0),BO7,BO7+BN7)</f>
        <v>217.893741283321</v>
      </c>
      <c r="BP42" s="19" t="n">
        <f aca="false">IF(OR(Time!BP36=1,Time!BO44=0),BP7,BP7+BO7)</f>
        <v>187.917684697259</v>
      </c>
      <c r="BQ42" s="19" t="n">
        <f aca="false">IF(OR(Time!BQ36=1,Time!BP44=0),BQ7,BQ7+BP7)</f>
        <v>192.529276888632</v>
      </c>
      <c r="BR42" s="19" t="n">
        <f aca="false">IF(OR(Time!BR36=1,Time!BQ44=0),BR7,BR7+BQ7)</f>
        <v>195.42609674706</v>
      </c>
      <c r="BS42" s="19" t="n">
        <f aca="false">IF(OR(Time!BS36=1,Time!BR44=0),BS7,BS7+BR7)</f>
        <v>198.94599993399</v>
      </c>
      <c r="BT42" s="19" t="n">
        <f aca="false">IF(OR(Time!BT36=1,Time!BS44=0),BT7,BT7+BS7)</f>
        <v>202.429078106145</v>
      </c>
      <c r="BU42" s="19" t="n">
        <f aca="false">IF(OR(Time!BU36=1,Time!BT44=0),BU7,BU7+BT7)</f>
        <v>257.298154528129</v>
      </c>
      <c r="BV42" s="19" t="n">
        <f aca="false">IF(OR(Time!BV36=1,Time!BU44=0),BV7,BV7+BU7)</f>
        <v>280.246351107098</v>
      </c>
      <c r="BW42" s="19" t="n">
        <f aca="false">IF(OR(Time!BW36=1,Time!BV44=0),BW7,BW7+BV7)</f>
        <v>251.177894932237</v>
      </c>
      <c r="BX42" s="19" t="n">
        <f aca="false">IF(OR(Time!BX36=1,Time!BW44=0),BX7,BX7+BW7)</f>
        <v>254.56958875165</v>
      </c>
      <c r="BY42" s="19" t="n">
        <f aca="false">IF(OR(Time!BY36=1,Time!BX44=0),BY7,BY7+BX7)</f>
        <v>258.239677880152</v>
      </c>
      <c r="BZ42" s="19" t="n">
        <f aca="false">IF(OR(Time!BZ36=1,Time!BY44=0),BZ7,BZ7+BY7)</f>
        <v>261.174897551313</v>
      </c>
      <c r="CA42" s="19" t="n">
        <f aca="false">IF(OR(Time!CA36=1,Time!BZ44=0),CA7,CA7+BZ7)</f>
        <v>252.929559605668</v>
      </c>
      <c r="CB42" s="19" t="n">
        <f aca="false">IF(OR(Time!CB36=1,Time!CA44=0),CB7,CB7+CA7)</f>
        <v>244.679851032175</v>
      </c>
      <c r="CC42" s="19" t="n">
        <f aca="false">IF(OR(Time!CC36=1,Time!CB44=0),CC7,CC7+CB7)</f>
        <v>248.6247057097</v>
      </c>
      <c r="CD42" s="19" t="n">
        <f aca="false">IF(OR(Time!CD36=1,Time!CC44=0),CD7,CD7+CC7)</f>
        <v>252.52004001274</v>
      </c>
      <c r="CE42" s="19" t="n">
        <f aca="false">IF(OR(Time!CE36=1,Time!CD44=0),CE7,CE7+CD7)</f>
        <v>250.745125079182</v>
      </c>
      <c r="CF42" s="19" t="n">
        <f aca="false">IF(OR(Time!CF36=1,Time!CE44=0),CF7,CF7+CE7)</f>
        <v>249.720668243017</v>
      </c>
      <c r="CG42" s="19" t="n">
        <f aca="false">IF(OR(Time!CG36=1,Time!CF44=0),CG7,CG7+CF7)</f>
        <v>277.995573549285</v>
      </c>
      <c r="CH42" s="19" t="n">
        <f aca="false">IF(OR(Time!CH36=1,Time!CG44=0),CH7,CH7+CG7)</f>
        <v>283.634448158294</v>
      </c>
      <c r="CI42" s="19" t="n">
        <f aca="false">IF(OR(Time!CI36=1,Time!CH44=0),CI7,CI7+CH7)</f>
        <v>266.552113225622</v>
      </c>
      <c r="CJ42" s="19" t="n">
        <f aca="false">IF(OR(Time!CJ36=1,Time!CI44=0),CJ7,CJ7+CI7)</f>
        <v>271.401238573197</v>
      </c>
      <c r="CK42" s="19" t="n">
        <f aca="false">IF(OR(Time!CK36=1,Time!CJ44=0),CK7,CK7+CJ7)</f>
        <v>292.728925397016</v>
      </c>
      <c r="CL42" s="19" t="n">
        <f aca="false">IF(OR(Time!CL36=1,Time!CK44=0),CL7,CL7+CK7)</f>
        <v>303.540539786483</v>
      </c>
      <c r="CM42" s="19" t="n">
        <f aca="false">IF(OR(Time!CM36=1,Time!CL44=0),CM7,CM7+CL7)</f>
        <v>298.305924349125</v>
      </c>
      <c r="CN42" s="19" t="n">
        <f aca="false">IF(OR(Time!CN36=1,Time!CM44=0),CN7,CN7+CM7)</f>
        <v>304.414188307795</v>
      </c>
      <c r="CO42" s="19" t="n">
        <f aca="false">IF(OR(Time!CO36=1,Time!CN44=0),CO7,CO7+CN7)</f>
        <v>309.836196178434</v>
      </c>
      <c r="CP42" s="19" t="n">
        <f aca="false">IF(OR(Time!CP36=1,Time!CO44=0),CP7,CP7+CO7)</f>
        <v>326.556890549532</v>
      </c>
      <c r="CQ42" s="19" t="n">
        <f aca="false">IF(OR(Time!CQ36=1,Time!CP44=0),CQ7,CQ7+CP7)</f>
        <v>168.809348214662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46.2850901031196</v>
      </c>
      <c r="AW43" s="19" t="n">
        <f aca="false">IF(OR(Time!AW36=1,Time!AV44=0),Debt!AW68,Debt!AW68+Debt!AV68)</f>
        <v>48.1037306168012</v>
      </c>
      <c r="AX43" s="19" t="n">
        <f aca="false">IF(OR(Time!AX36=1,Time!AW44=0),Debt!AX68,Debt!AX68+Debt!AW68)</f>
        <v>50.2012527254302</v>
      </c>
      <c r="AY43" s="19" t="n">
        <f aca="false">IF(OR(Time!AY36=1,Time!AX44=0),Debt!AY68,Debt!AY68+Debt!AX68)</f>
        <v>50.1255364756027</v>
      </c>
      <c r="AZ43" s="19" t="n">
        <f aca="false">IF(OR(Time!AZ36=1,Time!AY44=0),Debt!AZ68,Debt!AZ68+Debt!AY68)</f>
        <v>50.2194357045742</v>
      </c>
      <c r="BA43" s="19" t="n">
        <f aca="false">IF(OR(Time!BA36=1,Time!AZ44=0),Debt!BA68,Debt!BA68+Debt!AZ68)</f>
        <v>51.6743697939662</v>
      </c>
      <c r="BB43" s="19" t="n">
        <f aca="false">IF(OR(Time!BB36=1,Time!BA44=0),Debt!BB68,Debt!BB68+Debt!BA68)</f>
        <v>52.9700267905084</v>
      </c>
      <c r="BC43" s="19" t="n">
        <f aca="false">IF(OR(Time!BC36=1,Time!BB44=0),Debt!BC68,Debt!BC68+Debt!BB68)</f>
        <v>57.6135007352595</v>
      </c>
      <c r="BD43" s="19" t="n">
        <f aca="false">IF(OR(Time!BD36=1,Time!BC44=0),Debt!BD68,Debt!BD68+Debt!BC68)</f>
        <v>62.262981191228</v>
      </c>
      <c r="BE43" s="19" t="n">
        <f aca="false">IF(OR(Time!BE36=1,Time!BD44=0),Debt!BE68,Debt!BE68+Debt!BD68)</f>
        <v>65.3419276124673</v>
      </c>
      <c r="BF43" s="19" t="n">
        <f aca="false">IF(OR(Time!BF36=1,Time!BE44=0),Debt!BF68,Debt!BF68+Debt!BE68)</f>
        <v>68.4271346941457</v>
      </c>
      <c r="BG43" s="19" t="n">
        <f aca="false">IF(OR(Time!BG36=1,Time!BF44=0),Debt!BG68,Debt!BG68+Debt!BF68)</f>
        <v>70.1027654298861</v>
      </c>
      <c r="BH43" s="19" t="n">
        <f aca="false">IF(OR(Time!BH36=1,Time!BG44=0),Debt!BH68,Debt!BH68+Debt!BG68)</f>
        <v>71.982654890528</v>
      </c>
      <c r="BI43" s="19" t="n">
        <f aca="false">IF(OR(Time!BI36=1,Time!BH44=0),Debt!BI68,Debt!BI68+Debt!BH68)</f>
        <v>73.7415808217694</v>
      </c>
      <c r="BJ43" s="19" t="n">
        <f aca="false">IF(OR(Time!BJ36=1,Time!BI44=0),Debt!BJ68,Debt!BJ68+Debt!BI68)</f>
        <v>75.308410017447</v>
      </c>
      <c r="BK43" s="19" t="n">
        <f aca="false">IF(OR(Time!BK36=1,Time!BJ44=0),Debt!BK68,Debt!BK68+Debt!BJ68)</f>
        <v>77.1550090458561</v>
      </c>
      <c r="BL43" s="19" t="n">
        <f aca="false">IF(OR(Time!BL36=1,Time!BK44=0),Debt!BL68,Debt!BL68+Debt!BK68)</f>
        <v>79.0086314858126</v>
      </c>
      <c r="BM43" s="19" t="n">
        <f aca="false">IF(OR(Time!BM36=1,Time!BL44=0),Debt!BM68,Debt!BM68+Debt!BL68)</f>
        <v>80.9312606165964</v>
      </c>
      <c r="BN43" s="19" t="n">
        <f aca="false">IF(OR(Time!BN36=1,Time!BM44=0),Debt!BN68,Debt!BN68+Debt!BM68)</f>
        <v>82.8600303038115</v>
      </c>
      <c r="BO43" s="19" t="n">
        <f aca="false">IF(OR(Time!BO36=1,Time!BN44=0),Debt!BO68,Debt!BO68+Debt!BN68)</f>
        <v>77.8901445991724</v>
      </c>
      <c r="BP43" s="19" t="n">
        <f aca="false">IF(OR(Time!BP36=1,Time!BO44=0),Debt!BP68,Debt!BP68+Debt!BO68)</f>
        <v>73.1685348633822</v>
      </c>
      <c r="BQ43" s="19" t="n">
        <f aca="false">IF(OR(Time!BQ36=1,Time!BP44=0),Debt!BQ68,Debt!BQ68+Debt!BP68)</f>
        <v>75.2817165586649</v>
      </c>
      <c r="BR43" s="19" t="n">
        <f aca="false">IF(OR(Time!BR36=1,Time!BQ44=0),Debt!BR68,Debt!BR68+Debt!BQ68)</f>
        <v>76.6814816953979</v>
      </c>
      <c r="BS43" s="19" t="n">
        <f aca="false">IF(OR(Time!BS36=1,Time!BR44=0),Debt!BS68,Debt!BS68+Debt!BR68)</f>
        <v>78.3577071547946</v>
      </c>
      <c r="BT43" s="19" t="n">
        <f aca="false">IF(OR(Time!BT36=1,Time!BS44=0),Debt!BT68,Debt!BT68+Debt!BS68)</f>
        <v>80.0231853499168</v>
      </c>
      <c r="BU43" s="19" t="n">
        <f aca="false">IF(OR(Time!BU36=1,Time!BT44=0),Debt!BU68,Debt!BU68+Debt!BT68)</f>
        <v>88.746637537113</v>
      </c>
      <c r="BV43" s="19" t="n">
        <f aca="false">IF(OR(Time!BV36=1,Time!BU44=0),Debt!BV68,Debt!BV68+Debt!BU68)</f>
        <v>97.4589056432577</v>
      </c>
      <c r="BW43" s="19" t="n">
        <f aca="false">IF(OR(Time!BW36=1,Time!BV44=0),Debt!BW68,Debt!BW68+Debt!BV68)</f>
        <v>99.260143747271</v>
      </c>
      <c r="BX43" s="19" t="n">
        <f aca="false">IF(OR(Time!BX36=1,Time!BW44=0),Debt!BX68,Debt!BX68+Debt!BW68)</f>
        <v>101.327982077213</v>
      </c>
      <c r="BY43" s="19" t="n">
        <f aca="false">IF(OR(Time!BY36=1,Time!BX44=0),Debt!BY68,Debt!BY68+Debt!BX68)</f>
        <v>103.193810408539</v>
      </c>
      <c r="BZ43" s="19" t="n">
        <f aca="false">IF(OR(Time!BZ36=1,Time!BY44=0),Debt!BZ68,Debt!BZ68+Debt!BY68)</f>
        <v>104.769318521813</v>
      </c>
      <c r="CA43" s="19" t="n">
        <f aca="false">IF(OR(Time!CA36=1,Time!BZ44=0),Debt!CA68,Debt!CA68+Debt!BZ68)</f>
        <v>102.191216145473</v>
      </c>
      <c r="CB43" s="19" t="n">
        <f aca="false">IF(OR(Time!CB36=1,Time!CA44=0),Debt!CB68,Debt!CB68+Debt!CA68)</f>
        <v>99.6005566872751</v>
      </c>
      <c r="CC43" s="19" t="n">
        <f aca="false">IF(OR(Time!CC36=1,Time!CB44=0),Debt!CC68,Debt!CC68+Debt!CB68)</f>
        <v>101.599853721253</v>
      </c>
      <c r="CD43" s="19" t="n">
        <f aca="false">IF(OR(Time!CD36=1,Time!CC44=0),Debt!CD68,Debt!CD68+Debt!CC68)</f>
        <v>103.586114508691</v>
      </c>
      <c r="CE43" s="19" t="n">
        <f aca="false">IF(OR(Time!CE36=1,Time!CD44=0),Debt!CE68,Debt!CE68+Debt!CD68)</f>
        <v>103.470878653622</v>
      </c>
      <c r="CF43" s="19" t="n">
        <f aca="false">IF(OR(Time!CF36=1,Time!CE44=0),Debt!CF68,Debt!CF68+Debt!CE68)</f>
        <v>97.4411970003254</v>
      </c>
      <c r="CG43" s="19" t="n">
        <f aca="false">IF(OR(Time!CG36=1,Time!CF44=0),Debt!CG68,Debt!CG68+Debt!CF68)</f>
        <v>94.1223759382006</v>
      </c>
      <c r="CH43" s="19" t="n">
        <f aca="false">IF(OR(Time!CH36=1,Time!CG44=0),Debt!CH68,Debt!CH68+Debt!CG68)</f>
        <v>48.5529912796201</v>
      </c>
      <c r="CI43" s="19" t="n">
        <f aca="false">IF(OR(Time!CI36=1,Time!CH44=0),Debt!CI68,Debt!CI68+Debt!CH68)</f>
        <v>1.1068301830619E-013</v>
      </c>
      <c r="CJ43" s="19" t="n">
        <f aca="false">IF(OR(Time!CJ36=1,Time!CI44=0),Debt!CJ68,Debt!CJ68+Debt!CI68)</f>
        <v>1.1068301830619E-013</v>
      </c>
      <c r="CK43" s="19" t="n">
        <f aca="false">IF(OR(Time!CK36=1,Time!CJ44=0),Debt!CK68,Debt!CK68+Debt!CJ68)</f>
        <v>1.1068301830619E-013</v>
      </c>
      <c r="CL43" s="19" t="n">
        <f aca="false">IF(OR(Time!CL36=1,Time!CK44=0),Debt!CL68,Debt!CL68+Debt!CK68)</f>
        <v>1.1068301830619E-013</v>
      </c>
      <c r="CM43" s="19" t="n">
        <f aca="false">IF(OR(Time!CM36=1,Time!CL44=0),Debt!CM68,Debt!CM68+Debt!CL68)</f>
        <v>1.1068301830619E-013</v>
      </c>
      <c r="CN43" s="19" t="n">
        <f aca="false">IF(OR(Time!CN36=1,Time!CM44=0),Debt!CN68,Debt!CN68+Debt!CM68)</f>
        <v>1.10831891609525E-013</v>
      </c>
      <c r="CO43" s="19" t="n">
        <f aca="false">IF(OR(Time!CO36=1,Time!CN44=0),Debt!CO68,Debt!CO68+Debt!CN68)</f>
        <v>1.10831891609525E-013</v>
      </c>
      <c r="CP43" s="19" t="n">
        <f aca="false">IF(OR(Time!CP36=1,Time!CO44=0),Debt!CP68,Debt!CP68+Debt!CO68)</f>
        <v>1.1068301830619E-013</v>
      </c>
      <c r="CQ43" s="19" t="n">
        <f aca="false">IF(OR(Time!CQ36=1,Time!CP44=0),Debt!CQ68,Debt!CQ68+Debt!CP68)</f>
        <v>1.1068301830619E-013</v>
      </c>
      <c r="CR43" s="19" t="n">
        <f aca="false">IF(OR(Time!CR36=1,Time!CQ44=0),Debt!CR68,Debt!CR68+Debt!CQ68)</f>
        <v>5.51181991980927E-014</v>
      </c>
      <c r="CS43" s="19" t="n">
        <f aca="false">IF(OR(Time!CS36=1,Time!CR44=0),Debt!CS68,Debt!CS68+Debt!CR68)</f>
        <v>5.55648191080975E-014</v>
      </c>
      <c r="CT43" s="19" t="n">
        <f aca="false">IF(OR(Time!CT36=1,Time!CS44=0),Debt!CT68,Debt!CT68+Debt!CS68)</f>
        <v>5.51181991980927E-014</v>
      </c>
      <c r="CU43" s="19" t="n">
        <f aca="false">IF(OR(Time!CU36=1,Time!CT44=0),Debt!CU68,Debt!CU68+Debt!CT68)</f>
        <v>5.55648191080975E-014</v>
      </c>
      <c r="CV43" s="19" t="n">
        <f aca="false">IF(OR(Time!CV36=1,Time!CU44=0),Debt!CV68,Debt!CV68+Debt!CU68)</f>
        <v>5.52670725014276E-014</v>
      </c>
      <c r="CW43" s="19" t="n">
        <f aca="false">IF(OR(Time!CW36=1,Time!CV44=0),Debt!CW68,Debt!CW68+Debt!CV68)</f>
        <v>5.55648191080975E-014</v>
      </c>
      <c r="CX43" s="19" t="n">
        <f aca="false">IF(OR(Time!CX36=1,Time!CW44=0),Debt!CX68,Debt!CX68+Debt!CW68)</f>
        <v>5.51181991980927E-014</v>
      </c>
      <c r="CY43" s="19" t="n">
        <f aca="false">IF(OR(Time!CY36=1,Time!CX44=0),Debt!CY68,Debt!CY68+Debt!CX68)</f>
        <v>5.55648191080975E-014</v>
      </c>
      <c r="CZ43" s="19" t="n">
        <f aca="false">IF(OR(Time!CZ36=1,Time!CY44=0),Debt!CZ68,Debt!CZ68+Debt!CY68)</f>
        <v>5.51181991980927E-014</v>
      </c>
      <c r="DA43" s="19" t="n">
        <f aca="false">IF(OR(Time!DA36=1,Time!CZ44=0),Debt!DA68,Debt!DA68+Debt!CZ68)</f>
        <v>5.55648191080975E-014</v>
      </c>
      <c r="DB43" s="19" t="n">
        <f aca="false">IF(OR(Time!DB36=1,Time!DA44=0),Debt!DB68,Debt!DB68+Debt!DA68)</f>
        <v>5.51181991980927E-014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1.94004467493422</v>
      </c>
      <c r="AB44" s="31" t="n">
        <f aca="false">IF(AND(Time!AB44=1,AB43&gt;Inputs!$F$9),AB42/AB43,0)</f>
        <v>1.88383367888444</v>
      </c>
      <c r="AC44" s="31" t="n">
        <f aca="false">IF(AND(Time!AC44=1,AC43&gt;Inputs!$F$9),AC42/AC43,0)</f>
        <v>1.8343858098192</v>
      </c>
      <c r="AD44" s="31" t="n">
        <f aca="false">IF(AND(Time!AD44=1,AD43&gt;Inputs!$F$9),AD42/AD43,0)</f>
        <v>1.78696111115988</v>
      </c>
      <c r="AE44" s="31" t="n">
        <f aca="false">IF(AND(Time!AE44=1,AE43&gt;Inputs!$F$9),AE42/AE43,0)</f>
        <v>1.79537458278154</v>
      </c>
      <c r="AF44" s="31" t="n">
        <f aca="false">IF(AND(Time!AF44=1,AF43&gt;Inputs!$F$9),AF42/AF43,0)</f>
        <v>1.9183880240481</v>
      </c>
      <c r="AG44" s="31" t="n">
        <f aca="false">IF(AND(Time!AG44=1,AG43&gt;Inputs!$F$9),AG42/AG43,0)</f>
        <v>2.07091920583534</v>
      </c>
      <c r="AH44" s="31" t="n">
        <f aca="false">IF(AND(Time!AH44=1,AH43&gt;Inputs!$F$9),AH42/AH43,0)</f>
        <v>2.17593148403661</v>
      </c>
      <c r="AI44" s="31" t="n">
        <f aca="false">IF(AND(Time!AI44=1,AI43&gt;Inputs!$F$9),AI42/AI43,0)</f>
        <v>2.18689652682112</v>
      </c>
      <c r="AJ44" s="31" t="n">
        <f aca="false">IF(AND(Time!AJ44=1,AJ43&gt;Inputs!$F$9),AJ42/AJ43,0)</f>
        <v>2.20288158609875</v>
      </c>
      <c r="AK44" s="31" t="n">
        <f aca="false">IF(AND(Time!AK44=1,AK43&gt;Inputs!$F$9),AK42/AK43,0)</f>
        <v>2.28888102741585</v>
      </c>
      <c r="AL44" s="31" t="n">
        <f aca="false">IF(AND(Time!AL44=1,AL43&gt;Inputs!$F$9),AL42/AL43,0)</f>
        <v>2.37309030642345</v>
      </c>
      <c r="AM44" s="31" t="n">
        <f aca="false">IF(AND(Time!AM44=1,AM43&gt;Inputs!$F$9),AM42/AM43,0)</f>
        <v>2.4652339706546</v>
      </c>
      <c r="AN44" s="31" t="n">
        <f aca="false">IF(AND(Time!AN44=1,AN43&gt;Inputs!$F$9),AN42/AN43,0)</f>
        <v>2.55902590833863</v>
      </c>
      <c r="AO44" s="31" t="n">
        <f aca="false">IF(AND(Time!AO44=1,AO43&gt;Inputs!$F$9),AO42/AO43,0)</f>
        <v>2.7262886453366</v>
      </c>
      <c r="AP44" s="31" t="n">
        <f aca="false">IF(AND(Time!AP44=1,AP43&gt;Inputs!$F$9),AP42/AP43,0)</f>
        <v>2.8952394022884</v>
      </c>
      <c r="AQ44" s="31" t="n">
        <f aca="false">IF(AND(Time!AQ44=1,AQ43&gt;Inputs!$F$9),AQ42/AQ43,0)</f>
        <v>2.77749509620278</v>
      </c>
      <c r="AR44" s="31" t="n">
        <f aca="false">IF(AND(Time!AR44=1,AR43&gt;Inputs!$F$9),AR42/AR43,0)</f>
        <v>2.66669367646739</v>
      </c>
      <c r="AS44" s="31" t="n">
        <f aca="false">IF(AND(Time!AS44=1,AS43&gt;Inputs!$F$9),AS42/AS43,0)</f>
        <v>2.77812196916141</v>
      </c>
      <c r="AT44" s="31" t="n">
        <f aca="false">IF(AND(Time!AT44=1,AT43&gt;Inputs!$F$9),AT42/AT43,0)</f>
        <v>2.88673519529456</v>
      </c>
      <c r="AU44" s="31" t="n">
        <f aca="false">IF(AND(Time!AU44=1,AU43&gt;Inputs!$F$9),AU42/AU43,0)</f>
        <v>3.00585061092451</v>
      </c>
      <c r="AV44" s="31" t="n">
        <f aca="false">IF(AND(Time!AV44=1,AV43&gt;Inputs!$F$9),AV42/AV43,0)</f>
        <v>3.12648800437148</v>
      </c>
      <c r="AW44" s="31" t="n">
        <f aca="false">IF(AND(Time!AW44=1,AW43&gt;Inputs!$F$9),AW42/AW43,0)</f>
        <v>3.16221800222322</v>
      </c>
      <c r="AX44" s="31" t="n">
        <f aca="false">IF(AND(Time!AX44=1,AX43&gt;Inputs!$F$9),AX42/AX43,0)</f>
        <v>3.15836663206815</v>
      </c>
      <c r="AY44" s="31" t="n">
        <f aca="false">IF(AND(Time!AY44=1,AY43&gt;Inputs!$F$9),AY42/AY43,0)</f>
        <v>3.17651529291393</v>
      </c>
      <c r="AZ44" s="31" t="n">
        <f aca="false">IF(AND(Time!AZ44=1,AZ43&gt;Inputs!$F$9),AZ42/AZ43,0)</f>
        <v>3.19474954496878</v>
      </c>
      <c r="BA44" s="31" t="n">
        <f aca="false">IF(AND(Time!BA44=1,BA43&gt;Inputs!$F$9),BA42/BA43,0)</f>
        <v>3.19766874659375</v>
      </c>
      <c r="BB44" s="31" t="n">
        <f aca="false">IF(AND(Time!BB44=1,BB43&gt;Inputs!$F$9),BB42/BB43,0)</f>
        <v>3.20096187635003</v>
      </c>
      <c r="BC44" s="31" t="n">
        <f aca="false">IF(AND(Time!BC44=1,BC43&gt;Inputs!$F$9),BC42/BC43,0)</f>
        <v>3.1746882032605</v>
      </c>
      <c r="BD44" s="31" t="n">
        <f aca="false">IF(AND(Time!BD44=1,BD43&gt;Inputs!$F$9),BD42/BD43,0)</f>
        <v>3.15258759350119</v>
      </c>
      <c r="BE44" s="31" t="n">
        <f aca="false">IF(AND(Time!BE44=1,BE43&gt;Inputs!$F$9),BE42/BE43,0)</f>
        <v>3.14556276952233</v>
      </c>
      <c r="BF44" s="31" t="n">
        <f aca="false">IF(AND(Time!BF44=1,BF43&gt;Inputs!$F$9),BF42/BF43,0)</f>
        <v>3.13941520156915</v>
      </c>
      <c r="BG44" s="31" t="n">
        <f aca="false">IF(AND(Time!BG44=1,BG43&gt;Inputs!$F$9),BG42/BG43,0)</f>
        <v>3.14386653049711</v>
      </c>
      <c r="BH44" s="31" t="n">
        <f aca="false">IF(AND(Time!BH44=1,BH43&gt;Inputs!$F$9),BH42/BH43,0)</f>
        <v>3.14837140132586</v>
      </c>
      <c r="BI44" s="31" t="n">
        <f aca="false">IF(AND(Time!BI44=1,BI43&gt;Inputs!$F$9),BI42/BI43,0)</f>
        <v>3.15280767025916</v>
      </c>
      <c r="BJ44" s="31" t="n">
        <f aca="false">IF(AND(Time!BJ44=1,BJ43&gt;Inputs!$F$9),BJ42/BJ43,0)</f>
        <v>3.15728886212052</v>
      </c>
      <c r="BK44" s="31" t="n">
        <f aca="false">IF(AND(Time!BK44=1,BK43&gt;Inputs!$F$9),BK42/BK43,0)</f>
        <v>3.16173534150778</v>
      </c>
      <c r="BL44" s="31" t="n">
        <f aca="false">IF(AND(Time!BL44=1,BL43&gt;Inputs!$F$9),BL42/BL43,0)</f>
        <v>3.16621871029943</v>
      </c>
      <c r="BM44" s="31" t="n">
        <f aca="false">IF(AND(Time!BM44=1,BM43&gt;Inputs!$F$9),BM42/BM43,0)</f>
        <v>3.17067785060401</v>
      </c>
      <c r="BN44" s="31" t="n">
        <f aca="false">IF(AND(Time!BN44=1,BN43&gt;Inputs!$F$9),BN42/BN43,0)</f>
        <v>3.08336386630052</v>
      </c>
      <c r="BO44" s="31" t="n">
        <f aca="false">IF(AND(Time!BO44=1,BO43&gt;Inputs!$F$9),BO42/BO43,0)</f>
        <v>2.79744943862431</v>
      </c>
      <c r="BP44" s="31" t="n">
        <f aca="false">IF(AND(Time!BP44=1,BP43&gt;Inputs!$F$9),BP42/BP43,0)</f>
        <v>2.56828546653466</v>
      </c>
      <c r="BQ44" s="31" t="n">
        <f aca="false">IF(AND(Time!BQ44=1,BQ43&gt;Inputs!$F$9),BQ42/BQ43,0)</f>
        <v>2.55745067580386</v>
      </c>
      <c r="BR44" s="31" t="n">
        <f aca="false">IF(AND(Time!BR44=1,BR43&gt;Inputs!$F$9),BR42/BR43,0)</f>
        <v>2.54854356522937</v>
      </c>
      <c r="BS44" s="31" t="n">
        <f aca="false">IF(AND(Time!BS44=1,BS43&gt;Inputs!$F$9),BS42/BS43,0)</f>
        <v>2.53894616315118</v>
      </c>
      <c r="BT44" s="31" t="n">
        <f aca="false">IF(AND(Time!BT44=1,BT43&gt;Inputs!$F$9),BT42/BT43,0)</f>
        <v>2.52963034676743</v>
      </c>
      <c r="BU44" s="31" t="n">
        <f aca="false">IF(AND(Time!BU44=1,BU43&gt;Inputs!$F$9),BU42/BU43,0)</f>
        <v>2.89924397891165</v>
      </c>
      <c r="BV44" s="31" t="n">
        <f aca="false">IF(AND(Time!BV44=1,BV43&gt;Inputs!$F$9),BV42/BV43,0)</f>
        <v>2.87553353136267</v>
      </c>
      <c r="BW44" s="31" t="n">
        <f aca="false">IF(AND(Time!BW44=1,BW43&gt;Inputs!$F$9),BW42/BW43,0)</f>
        <v>2.53050101933932</v>
      </c>
      <c r="BX44" s="31" t="n">
        <f aca="false">IF(AND(Time!BX44=1,BX43&gt;Inputs!$F$9),BX42/BX43,0)</f>
        <v>2.51233256138138</v>
      </c>
      <c r="BY44" s="31" t="n">
        <f aca="false">IF(AND(Time!BY44=1,BY43&gt;Inputs!$F$9),BY42/BY43,0)</f>
        <v>2.50247255002791</v>
      </c>
      <c r="BZ44" s="31" t="n">
        <f aca="false">IF(AND(Time!BZ44=1,BZ43&gt;Inputs!$F$9),BZ42/BZ43,0)</f>
        <v>2.49285669923429</v>
      </c>
      <c r="CA44" s="31" t="n">
        <f aca="false">IF(AND(Time!CA44=1,CA43&gt;Inputs!$F$9),CA42/CA43,0)</f>
        <v>2.47506164566644</v>
      </c>
      <c r="CB44" s="31" t="n">
        <f aca="false">IF(AND(Time!CB44=1,CB43&gt;Inputs!$F$9),CB42/CB43,0)</f>
        <v>2.45661127979855</v>
      </c>
      <c r="CC44" s="31" t="n">
        <f aca="false">IF(AND(Time!CC44=1,CC43&gt;Inputs!$F$9),CC42/CC43,0)</f>
        <v>2.44709708334641</v>
      </c>
      <c r="CD44" s="31" t="n">
        <f aca="false">IF(AND(Time!CD44=1,CD43&gt;Inputs!$F$9),CD42/CD43,0)</f>
        <v>2.4377788587828</v>
      </c>
      <c r="CE44" s="31" t="n">
        <f aca="false">IF(AND(Time!CE44=1,CE43&gt;Inputs!$F$9),CE42/CE43,0)</f>
        <v>2.42334005801355</v>
      </c>
      <c r="CF44" s="31" t="n">
        <f aca="false">IF(AND(Time!CF44=1,CF43&gt;Inputs!$F$9),CF42/CF43,0)</f>
        <v>2.56278325729294</v>
      </c>
      <c r="CG44" s="31" t="n">
        <f aca="false">IF(AND(Time!CG44=1,CG43&gt;Inputs!$F$9),CG42/CG43,0)</f>
        <v>2.95355456955117</v>
      </c>
      <c r="CH44" s="31" t="n">
        <f aca="false">IF(AND(Time!CH44=1,CH43&gt;Inputs!$F$9),CH42/CH43,0)</f>
        <v>5.84175023377701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0</v>
      </c>
      <c r="AB45" s="14" t="n">
        <f aca="false">IF(AND(Time!AB44=1,AB43&gt;Inputs!$F$9,AB44&lt;Inputs!$F$113),1,0)</f>
        <v>0</v>
      </c>
      <c r="AC45" s="14" t="n">
        <f aca="false">IF(AND(Time!AC44=1,AC43&gt;Inputs!$F$9,AC44&lt;Inputs!$F$113),1,0)</f>
        <v>0</v>
      </c>
      <c r="AD45" s="14" t="n">
        <f aca="false">IF(AND(Time!AD44=1,AD43&gt;Inputs!$F$9,AD44&lt;Inputs!$F$113),1,0)</f>
        <v>0</v>
      </c>
      <c r="AE45" s="14" t="n">
        <f aca="false">IF(AND(Time!AE44=1,AE43&gt;Inputs!$F$9,AE44&lt;Inputs!$F$113),1,0)</f>
        <v>0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0</v>
      </c>
      <c r="AE48" s="14" t="n">
        <f aca="false">IF(OR(Time!AE20=1,Time!AE28=1),0,IF(OR(Time!AE33=1,AE45=1,Reserves!AE13&lt;Reserves!AE7-Inputs!$F$9,AE47=1,Time!AE34=1,Debt!AE101&gt;Inputs!$F$9,Debt!AE58+Debt!AE59&gt;Inputs!$F$9),1,0))</f>
        <v>0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3786.19834079448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61.7286636174205</v>
      </c>
      <c r="AE49" s="19" t="n">
        <f aca="false">IF(AE48=1,0,MAX(0,AE39))*(1-Time!AE20)</f>
        <v>20.4475108318679</v>
      </c>
      <c r="AF49" s="19" t="n">
        <f aca="false">IF(AF48=1,0,MAX(0,AF39))*(1-Time!AF20)</f>
        <v>18.9478320504788</v>
      </c>
      <c r="AG49" s="19" t="n">
        <f aca="false">IF(AG48=1,0,MAX(0,AG39))*(1-Time!AG20)</f>
        <v>26.8074101449317</v>
      </c>
      <c r="AH49" s="19" t="n">
        <f aca="false">IF(AH48=1,0,MAX(0,AH39))*(1-Time!AH20)</f>
        <v>27.6106404044661</v>
      </c>
      <c r="AI49" s="19" t="n">
        <f aca="false">IF(AI48=1,0,MAX(0,AI39))*(1-Time!AI20)</f>
        <v>27.2525174223265</v>
      </c>
      <c r="AJ49" s="19" t="n">
        <f aca="false">IF(AJ48=1,0,MAX(0,AJ39))*(1-Time!AJ20)</f>
        <v>23.0229325293868</v>
      </c>
      <c r="AK49" s="19" t="n">
        <f aca="false">IF(AK48=1,0,MAX(0,AK39))*(1-Time!AK20)</f>
        <v>22.5534514298187</v>
      </c>
      <c r="AL49" s="19" t="n">
        <f aca="false">IF(AL48=1,0,MAX(0,AL39))*(1-Time!AL20)</f>
        <v>23.6380357011893</v>
      </c>
      <c r="AM49" s="19" t="n">
        <f aca="false">IF(AM48=1,0,MAX(0,AM39))*(1-Time!AM20)</f>
        <v>26.8175421919139</v>
      </c>
      <c r="AN49" s="19" t="n">
        <f aca="false">IF(AN48=1,0,MAX(0,AN39))*(1-Time!AN20)</f>
        <v>27.9784028699426</v>
      </c>
      <c r="AO49" s="19" t="n">
        <f aca="false">IF(AO48=1,0,MAX(0,AO39))*(1-Time!AO20)</f>
        <v>34.5578843806791</v>
      </c>
      <c r="AP49" s="19" t="n">
        <f aca="false">IF(AP48=1,0,MAX(0,AP39))*(1-Time!AP20)</f>
        <v>35.5891392362167</v>
      </c>
      <c r="AQ49" s="19" t="n">
        <f aca="false">IF(AQ48=1,0,MAX(0,AQ39))*(1-Time!AQ20)</f>
        <v>29.0499714728275</v>
      </c>
      <c r="AR49" s="19" t="n">
        <f aca="false">IF(AR48=1,0,MAX(0,AR39))*(1-Time!AR20)</f>
        <v>30.7911681184447</v>
      </c>
      <c r="AS49" s="19" t="n">
        <f aca="false">IF(AS48=1,0,MAX(0,AS39))*(1-Time!AS20)</f>
        <v>34.2757492246017</v>
      </c>
      <c r="AT49" s="19" t="n">
        <f aca="false">IF(AT48=1,0,MAX(0,AT39))*(1-Time!AT20)</f>
        <v>35.6918068832461</v>
      </c>
      <c r="AU49" s="19" t="n">
        <f aca="false">IF(AU48=1,0,MAX(0,AU39))*(1-Time!AU20)</f>
        <v>39.3992801218856</v>
      </c>
      <c r="AV49" s="19" t="n">
        <f aca="false">IF(AV48=1,0,MAX(0,AV39))*(1-Time!AV20)</f>
        <v>38.6753385702685</v>
      </c>
      <c r="AW49" s="19" t="n">
        <f aca="false">IF(AW48=1,0,MAX(0,AW39))*(1-Time!AW20)</f>
        <v>43.6069924469362</v>
      </c>
      <c r="AX49" s="19" t="n">
        <f aca="false">IF(AX48=1,0,MAX(0,AX39))*(1-Time!AX20)</f>
        <v>44.3345447848746</v>
      </c>
      <c r="AY49" s="19" t="n">
        <f aca="false">IF(AY48=1,0,MAX(0,AY39))*(1-Time!AY20)</f>
        <v>44.214564336585</v>
      </c>
      <c r="AZ49" s="19" t="n">
        <f aca="false">IF(AZ48=1,0,MAX(0,AZ39))*(1-Time!AZ20)</f>
        <v>44.0552770610096</v>
      </c>
      <c r="BA49" s="19" t="n">
        <f aca="false">IF(BA48=1,0,MAX(0,BA39))*(1-Time!BA20)</f>
        <v>47.1241537181137</v>
      </c>
      <c r="BB49" s="19" t="n">
        <f aca="false">IF(BB48=1,0,MAX(0,BB39))*(1-Time!BB20)</f>
        <v>43.2005708347612</v>
      </c>
      <c r="BC49" s="19" t="n">
        <f aca="false">IF(BC48=1,0,MAX(0,BC39))*(1-Time!BC20)</f>
        <v>53.9295588507149</v>
      </c>
      <c r="BD49" s="19" t="n">
        <f aca="false">IF(BD48=1,0,MAX(0,BD39))*(1-Time!BD20)</f>
        <v>51.6087948919753</v>
      </c>
      <c r="BE49" s="19" t="n">
        <f aca="false">IF(BE48=1,0,MAX(0,BE39))*(1-Time!BE20)</f>
        <v>58.8354814144733</v>
      </c>
      <c r="BF49" s="19" t="n">
        <f aca="false">IF(BF48=1,0,MAX(0,BF39))*(1-Time!BF20)</f>
        <v>57.9581581797908</v>
      </c>
      <c r="BG49" s="19" t="n">
        <f aca="false">IF(BG48=1,0,MAX(0,BG39))*(1-Time!BG20)</f>
        <v>61.8443262481577</v>
      </c>
      <c r="BH49" s="19" t="n">
        <f aca="false">IF(BH48=1,0,MAX(0,BH39))*(1-Time!BH20)</f>
        <v>61.6664525946366</v>
      </c>
      <c r="BI49" s="19" t="n">
        <f aca="false">IF(BI48=1,0,MAX(0,BI39))*(1-Time!BI20)</f>
        <v>65.4245774928331</v>
      </c>
      <c r="BJ49" s="19" t="n">
        <f aca="false">IF(BJ48=1,0,MAX(0,BJ39))*(1-Time!BJ20)</f>
        <v>64.4578207099171</v>
      </c>
      <c r="BK49" s="19" t="n">
        <f aca="false">IF(BK48=1,0,MAX(0,BK39))*(1-Time!BK20)</f>
        <v>68.990681646924</v>
      </c>
      <c r="BL49" s="19" t="n">
        <f aca="false">IF(BL48=1,0,MAX(0,BL39))*(1-Time!BL20)</f>
        <v>67.9936256613396</v>
      </c>
      <c r="BM49" s="19" t="n">
        <f aca="false">IF(BM48=1,0,MAX(0,BM39))*(1-Time!BM20)</f>
        <v>72.7256445081066</v>
      </c>
      <c r="BN49" s="19" t="n">
        <f aca="false">IF(BN48=1,0,MAX(0,BN39))*(1-Time!BN20)</f>
        <v>71.0570577509413</v>
      </c>
      <c r="BO49" s="19" t="n">
        <f aca="false">IF(BO48=1,0,MAX(0,BO39))*(1-Time!BO20)</f>
        <v>41.8815583827128</v>
      </c>
      <c r="BP49" s="19" t="n">
        <f aca="false">IF(BP48=1,0,MAX(0,BP39))*(1-Time!BP20)</f>
        <v>40.8946855055452</v>
      </c>
      <c r="BQ49" s="19" t="n">
        <f aca="false">IF(BQ48=1,0,MAX(0,BQ39))*(1-Time!BQ20)</f>
        <v>44.2310062352843</v>
      </c>
      <c r="BR49" s="19" t="n">
        <f aca="false">IF(BR48=1,0,MAX(0,BR39))*(1-Time!BR20)</f>
        <v>41.5440425403719</v>
      </c>
      <c r="BS49" s="19" t="n">
        <f aca="false">IF(BS48=1,0,MAX(0,BS39))*(1-Time!BS20)</f>
        <v>45.4013717458897</v>
      </c>
      <c r="BT49" s="19" t="n">
        <f aca="false">IF(BT48=1,0,MAX(0,BT39))*(1-Time!BT20)</f>
        <v>35.6239949505604</v>
      </c>
      <c r="BU49" s="19" t="n">
        <f aca="false">IF(BU48=1,0,MAX(0,BU39))*(1-Time!BU20)</f>
        <v>87.9981815281106</v>
      </c>
      <c r="BV49" s="19" t="n">
        <f aca="false">IF(BV48=1,0,MAX(0,BV39))*(1-Time!BV20)</f>
        <v>53.2155190611376</v>
      </c>
      <c r="BW49" s="19" t="n">
        <f aca="false">IF(BW48=1,0,MAX(0,BW39))*(1-Time!BW20)</f>
        <v>56.1268104880805</v>
      </c>
      <c r="BX49" s="19" t="n">
        <f aca="false">IF(BX48=1,0,MAX(0,BX39))*(1-Time!BX20)</f>
        <v>53.8975097546615</v>
      </c>
      <c r="BY49" s="19" t="n">
        <f aca="false">IF(BY48=1,0,MAX(0,BY39))*(1-Time!BY20)</f>
        <v>57.4599560095415</v>
      </c>
      <c r="BZ49" s="19" t="n">
        <f aca="false">IF(BZ48=1,0,MAX(0,BZ39))*(1-Time!BZ20)</f>
        <v>58.7678745814896</v>
      </c>
      <c r="CA49" s="19" t="n">
        <f aca="false">IF(CA48=1,0,MAX(0,CA39))*(1-Time!CA20)</f>
        <v>52.8573885994911</v>
      </c>
      <c r="CB49" s="19" t="n">
        <f aca="false">IF(CB48=1,0,MAX(0,CB39))*(1-Time!CB20)</f>
        <v>49.5761045356257</v>
      </c>
      <c r="CC49" s="19" t="n">
        <f aca="false">IF(CC48=1,0,MAX(0,CC39))*(1-Time!CC20)</f>
        <v>54.0000790655108</v>
      </c>
      <c r="CD49" s="19" t="n">
        <f aca="false">IF(CD48=1,0,MAX(0,CD39))*(1-Time!CD20)</f>
        <v>52.7760912986604</v>
      </c>
      <c r="CE49" s="19" t="n">
        <f aca="false">IF(CE48=1,0,MAX(0,CE39))*(1-Time!CE20)</f>
        <v>58.3018729788718</v>
      </c>
      <c r="CF49" s="19" t="n">
        <f aca="false">IF(CF48=1,0,MAX(0,CF39))*(1-Time!CF20)</f>
        <v>57.53113936667</v>
      </c>
      <c r="CG49" s="19" t="n">
        <f aca="false">IF(CG48=1,0,MAX(0,CG39))*(1-Time!CG20)</f>
        <v>133.500557724704</v>
      </c>
      <c r="CH49" s="19" t="n">
        <f aca="false">IF(CH48=1,0,MAX(0,CH39))*(1-Time!CH20)</f>
        <v>104.376609050815</v>
      </c>
      <c r="CI49" s="19" t="n">
        <f aca="false">IF(CI48=1,0,MAX(0,CI39))*(1-Time!CI20)</f>
        <v>109.090707097645</v>
      </c>
      <c r="CJ49" s="19" t="n">
        <f aca="false">IF(CJ48=1,0,MAX(0,CJ39))*(1-Time!CJ20)</f>
        <v>108.325607673925</v>
      </c>
      <c r="CK49" s="19" t="n">
        <f aca="false">IF(CK48=1,0,MAX(0,CK39))*(1-Time!CK20)</f>
        <v>125.485723670204</v>
      </c>
      <c r="CL49" s="19" t="n">
        <f aca="false">IF(CL48=1,0,MAX(0,CL39))*(1-Time!CL20)</f>
        <v>116.786306041464</v>
      </c>
      <c r="CM49" s="19" t="n">
        <f aca="false">IF(CM48=1,0,MAX(0,CM39))*(1-Time!CM20)</f>
        <v>121.851516266358</v>
      </c>
      <c r="CN49" s="19" t="n">
        <f aca="false">IF(CN48=1,0,MAX(0,CN39))*(1-Time!CN20)</f>
        <v>121.750972389922</v>
      </c>
      <c r="CO49" s="19" t="n">
        <f aca="false">IF(CO48=1,0,MAX(0,CO39))*(1-Time!CO20)</f>
        <v>126.272245702562</v>
      </c>
      <c r="CP49" s="19" t="n">
        <f aca="false">IF(CP48=1,0,MAX(0,CP39))*(1-Time!CP20)</f>
        <v>168.809348214662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4.78297735764365</v>
      </c>
      <c r="AA51" s="19" t="n">
        <f aca="false">(AA39-AA49+AA50)*(1-Time!AA20)</f>
        <v>15.2919085044204</v>
      </c>
      <c r="AB51" s="19" t="n">
        <f aca="false">(AB39-AB49+AB50)*(1-Time!AB20)</f>
        <v>30.2172514183374</v>
      </c>
      <c r="AC51" s="19" t="n">
        <f aca="false">(AC39-AC49+AC50)*(1-Time!AC20)</f>
        <v>44.13450682345</v>
      </c>
      <c r="AD51" s="19" t="n">
        <f aca="false">(AD39-AD49+AD50)*(1-Time!AD20)</f>
        <v>0</v>
      </c>
      <c r="AE51" s="19" t="n">
        <f aca="false">(AE39-AE49+AE50)*(1-Time!AE20)</f>
        <v>0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494.801638416227</v>
      </c>
      <c r="AF53" s="19" t="n">
        <f aca="false">AE59</f>
        <v>499.921138270743</v>
      </c>
      <c r="AG53" s="19" t="n">
        <f aca="false">AF59</f>
        <v>506.383681337437</v>
      </c>
      <c r="AH53" s="19" t="n">
        <f aca="false">AG59</f>
        <v>505.741740315858</v>
      </c>
      <c r="AI53" s="19" t="n">
        <f aca="false">AH59</f>
        <v>503.837329054433</v>
      </c>
      <c r="AJ53" s="19" t="n">
        <f aca="false">AI59</f>
        <v>502.618707593659</v>
      </c>
      <c r="AK53" s="19" t="n">
        <f aca="false">AJ59</f>
        <v>505.284410653751</v>
      </c>
      <c r="AL53" s="19" t="n">
        <f aca="false">AK59</f>
        <v>508.839627675795</v>
      </c>
      <c r="AM53" s="19" t="n">
        <f aca="false">AL59</f>
        <v>511.065282912839</v>
      </c>
      <c r="AN53" s="19" t="n">
        <f aca="false">AM59</f>
        <v>510.655113969517</v>
      </c>
      <c r="AO53" s="19" t="n">
        <f aca="false">AN59</f>
        <v>508.632680967847</v>
      </c>
      <c r="AP53" s="19" t="n">
        <f aca="false">AO59</f>
        <v>500.356474294164</v>
      </c>
      <c r="AQ53" s="19" t="n">
        <f aca="false">AP59</f>
        <v>490.199837768475</v>
      </c>
      <c r="AR53" s="19" t="n">
        <f aca="false">AQ59</f>
        <v>486.479096269108</v>
      </c>
      <c r="AS53" s="19" t="n">
        <f aca="false">AR59</f>
        <v>480.551674838062</v>
      </c>
      <c r="AT53" s="19" t="n">
        <f aca="false">AS59</f>
        <v>471.106623113312</v>
      </c>
      <c r="AU53" s="19" t="n">
        <f aca="false">AT59</f>
        <v>459.36058506653</v>
      </c>
      <c r="AV53" s="19" t="n">
        <f aca="false">AU59</f>
        <v>443.69703271</v>
      </c>
      <c r="AW53" s="19" t="n">
        <f aca="false">AV59</f>
        <v>427.574267288642</v>
      </c>
      <c r="AX53" s="19" t="n">
        <f aca="false">AW59</f>
        <v>406.060564378867</v>
      </c>
      <c r="AY53" s="19" t="n">
        <f aca="false">AX59</f>
        <v>382.365577458757</v>
      </c>
      <c r="AZ53" s="19" t="n">
        <f aca="false">AY59</f>
        <v>357.908313919082</v>
      </c>
      <c r="BA53" s="19" t="n">
        <f aca="false">AZ59</f>
        <v>332.145583696868</v>
      </c>
      <c r="BB53" s="19" t="n">
        <f aca="false">BA59</f>
        <v>302.183801782927</v>
      </c>
      <c r="BC53" s="19" t="n">
        <f aca="false">BB59</f>
        <v>274.34286103742</v>
      </c>
      <c r="BD53" s="19" t="n">
        <f aca="false">BC59</f>
        <v>234.588936047433</v>
      </c>
      <c r="BE53" s="19" t="n">
        <f aca="false">BD59</f>
        <v>194.904007555512</v>
      </c>
      <c r="BF53" s="19" t="n">
        <f aca="false">BE59</f>
        <v>146.139456504044</v>
      </c>
      <c r="BG53" s="19" t="n">
        <f aca="false">BF59</f>
        <v>95.6093867264213</v>
      </c>
      <c r="BH53" s="19" t="n">
        <f aca="false">BG59</f>
        <v>38.7053153650042</v>
      </c>
      <c r="BI53" s="19" t="n">
        <f aca="false">BH59</f>
        <v>0</v>
      </c>
      <c r="BJ53" s="19" t="n">
        <f aca="false">BI59</f>
        <v>0</v>
      </c>
      <c r="BK53" s="19" t="n">
        <f aca="false">BJ59</f>
        <v>0</v>
      </c>
      <c r="BL53" s="19" t="n">
        <f aca="false">BK59</f>
        <v>0</v>
      </c>
      <c r="BM53" s="19" t="n">
        <f aca="false">BL59</f>
        <v>0</v>
      </c>
      <c r="BN53" s="19" t="n">
        <f aca="false">BM59</f>
        <v>0</v>
      </c>
      <c r="BO53" s="19" t="n">
        <f aca="false">BN59</f>
        <v>0</v>
      </c>
      <c r="BP53" s="19" t="n">
        <f aca="false">BO59</f>
        <v>0</v>
      </c>
      <c r="BQ53" s="19" t="n">
        <f aca="false">BP59</f>
        <v>0</v>
      </c>
      <c r="BR53" s="19" t="n">
        <f aca="false">BQ59</f>
        <v>0</v>
      </c>
      <c r="BS53" s="19" t="n">
        <f aca="false">BR59</f>
        <v>0</v>
      </c>
      <c r="BT53" s="19" t="n">
        <f aca="false">BS59</f>
        <v>0</v>
      </c>
      <c r="BU53" s="19" t="n">
        <f aca="false">BT59</f>
        <v>0</v>
      </c>
      <c r="BV53" s="19" t="n">
        <f aca="false">BU59</f>
        <v>0</v>
      </c>
      <c r="BW53" s="19" t="n">
        <f aca="false">BV59</f>
        <v>0</v>
      </c>
      <c r="BX53" s="19" t="n">
        <f aca="false">BW59</f>
        <v>0</v>
      </c>
      <c r="BY53" s="19" t="n">
        <f aca="false">BX59</f>
        <v>0</v>
      </c>
      <c r="BZ53" s="19" t="n">
        <f aca="false">BY59</f>
        <v>0</v>
      </c>
      <c r="CA53" s="19" t="n">
        <f aca="false">BZ59</f>
        <v>0</v>
      </c>
      <c r="CB53" s="19" t="n">
        <f aca="false">CA59</f>
        <v>0</v>
      </c>
      <c r="CC53" s="19" t="n">
        <f aca="false">CB59</f>
        <v>0</v>
      </c>
      <c r="CD53" s="19" t="n">
        <f aca="false">CC59</f>
        <v>0</v>
      </c>
      <c r="CE53" s="19" t="n">
        <f aca="false">CD59</f>
        <v>0</v>
      </c>
      <c r="CF53" s="19" t="n">
        <f aca="false">CE59</f>
        <v>0</v>
      </c>
      <c r="CG53" s="19" t="n">
        <f aca="false">CF59</f>
        <v>0</v>
      </c>
      <c r="CH53" s="19" t="n">
        <f aca="false">CG59</f>
        <v>0</v>
      </c>
      <c r="CI53" s="19" t="n">
        <f aca="false">CH59</f>
        <v>0</v>
      </c>
      <c r="CJ53" s="19" t="n">
        <f aca="false">CI59</f>
        <v>0</v>
      </c>
      <c r="CK53" s="19" t="n">
        <f aca="false">CJ59</f>
        <v>0</v>
      </c>
      <c r="CL53" s="19" t="n">
        <f aca="false">CK59</f>
        <v>0</v>
      </c>
      <c r="CM53" s="19" t="n">
        <f aca="false">CL59</f>
        <v>0</v>
      </c>
      <c r="CN53" s="19" t="n">
        <f aca="false">CM59</f>
        <v>0</v>
      </c>
      <c r="CO53" s="19" t="n">
        <f aca="false">CN59</f>
        <v>0</v>
      </c>
      <c r="CP53" s="19" t="n">
        <f aca="false">CO59</f>
        <v>0</v>
      </c>
      <c r="CQ53" s="19" t="n">
        <f aca="false">CP59</f>
        <v>0</v>
      </c>
      <c r="CR53" s="19" t="n">
        <f aca="false">CQ59</f>
        <v>0</v>
      </c>
      <c r="CS53" s="19" t="n">
        <f aca="false">CR59</f>
        <v>0</v>
      </c>
      <c r="CT53" s="19" t="n">
        <f aca="false">CS59</f>
        <v>0</v>
      </c>
      <c r="CU53" s="19" t="n">
        <f aca="false">CT59</f>
        <v>0</v>
      </c>
      <c r="CV53" s="19" t="n">
        <f aca="false">CU59</f>
        <v>0</v>
      </c>
      <c r="CW53" s="19" t="n">
        <f aca="false">CV59</f>
        <v>0</v>
      </c>
      <c r="CX53" s="19" t="n">
        <f aca="false">CW59</f>
        <v>0</v>
      </c>
      <c r="CY53" s="19" t="n">
        <f aca="false">CX59</f>
        <v>0</v>
      </c>
      <c r="CZ53" s="19" t="n">
        <f aca="false">CY59</f>
        <v>0</v>
      </c>
      <c r="DA53" s="19" t="n">
        <f aca="false">CZ59</f>
        <v>0</v>
      </c>
      <c r="DB53" s="19" t="n">
        <f aca="false">DA59</f>
        <v>0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853.472947687133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25.5670106863837</v>
      </c>
      <c r="AF54" s="19" t="n">
        <f aca="false">AF53*Inputs!$F$89*Time!AF9/Inputs!$F$45</f>
        <v>25.4103751171725</v>
      </c>
      <c r="AG54" s="19" t="n">
        <f aca="false">AG53*Inputs!$F$89*Time!AG9/Inputs!$F$45</f>
        <v>26.1654691233536</v>
      </c>
      <c r="AH54" s="19" t="n">
        <f aca="false">AH53*Inputs!$F$89*Time!AH9/Inputs!$F$45</f>
        <v>25.706229143041</v>
      </c>
      <c r="AI54" s="19" t="n">
        <f aca="false">AI53*Inputs!$F$89*Time!AI9/Inputs!$F$45</f>
        <v>26.0338959615524</v>
      </c>
      <c r="AJ54" s="19" t="n">
        <f aca="false">AJ53*Inputs!$F$89*Time!AJ9/Inputs!$F$45</f>
        <v>25.6886355894787</v>
      </c>
      <c r="AK54" s="19" t="n">
        <f aca="false">AK53*Inputs!$F$89*Time!AK9/Inputs!$F$45</f>
        <v>26.1086684518623</v>
      </c>
      <c r="AL54" s="19" t="n">
        <f aca="false">AL53*Inputs!$F$89*Time!AL9/Inputs!$F$45</f>
        <v>25.8636909382334</v>
      </c>
      <c r="AM54" s="19" t="n">
        <f aca="false">AM53*Inputs!$F$89*Time!AM9/Inputs!$F$45</f>
        <v>26.4073732485922</v>
      </c>
      <c r="AN54" s="19" t="n">
        <f aca="false">AN53*Inputs!$F$89*Time!AN9/Inputs!$F$45</f>
        <v>25.9559698682725</v>
      </c>
      <c r="AO54" s="19" t="n">
        <f aca="false">AO53*Inputs!$F$89*Time!AO9/Inputs!$F$45</f>
        <v>26.2816777069961</v>
      </c>
      <c r="AP54" s="19" t="n">
        <f aca="false">AP53*Inputs!$F$89*Time!AP9/Inputs!$F$45</f>
        <v>25.4325027105273</v>
      </c>
      <c r="AQ54" s="19" t="n">
        <f aca="false">AQ53*Inputs!$F$89*Time!AQ9/Inputs!$F$45</f>
        <v>25.3292299734614</v>
      </c>
      <c r="AR54" s="19" t="n">
        <f aca="false">AR53*Inputs!$F$89*Time!AR9/Inputs!$F$45</f>
        <v>24.8637466873979</v>
      </c>
      <c r="AS54" s="19" t="n">
        <f aca="false">AS53*Inputs!$F$89*Time!AS9/Inputs!$F$45</f>
        <v>24.8306974998516</v>
      </c>
      <c r="AT54" s="19" t="n">
        <f aca="false">AT53*Inputs!$F$89*Time!AT9/Inputs!$F$45</f>
        <v>23.945768836465</v>
      </c>
      <c r="AU54" s="19" t="n">
        <f aca="false">AU53*Inputs!$F$89*Time!AU9/Inputs!$F$45</f>
        <v>23.7357277653555</v>
      </c>
      <c r="AV54" s="19" t="n">
        <f aca="false">AV53*Inputs!$F$89*Time!AV9/Inputs!$F$45</f>
        <v>22.5525731489104</v>
      </c>
      <c r="AW54" s="19" t="n">
        <f aca="false">AW53*Inputs!$F$89*Time!AW9/Inputs!$F$45</f>
        <v>22.0932895371611</v>
      </c>
      <c r="AX54" s="19" t="n">
        <f aca="false">AX53*Inputs!$F$89*Time!AX9/Inputs!$F$45</f>
        <v>20.6395578647642</v>
      </c>
      <c r="AY54" s="19" t="n">
        <f aca="false">AY53*Inputs!$F$89*Time!AY9/Inputs!$F$45</f>
        <v>19.75730079691</v>
      </c>
      <c r="AZ54" s="19" t="n">
        <f aca="false">AZ53*Inputs!$F$89*Time!AZ9/Inputs!$F$45</f>
        <v>18.2925468387958</v>
      </c>
      <c r="BA54" s="19" t="n">
        <f aca="false">BA53*Inputs!$F$89*Time!BA9/Inputs!$F$45</f>
        <v>17.1623718041724</v>
      </c>
      <c r="BB54" s="19" t="n">
        <f aca="false">BB53*Inputs!$F$89*Time!BB9/Inputs!$F$45</f>
        <v>15.3596300892541</v>
      </c>
      <c r="BC54" s="19" t="n">
        <f aca="false">BC53*Inputs!$F$89*Time!BC9/Inputs!$F$45</f>
        <v>14.175633860728</v>
      </c>
      <c r="BD54" s="19" t="n">
        <f aca="false">BD53*Inputs!$F$89*Time!BD9/Inputs!$F$45</f>
        <v>11.9238664000548</v>
      </c>
      <c r="BE54" s="19" t="n">
        <f aca="false">BE53*Inputs!$F$89*Time!BE9/Inputs!$F$45</f>
        <v>10.0709303630054</v>
      </c>
      <c r="BF54" s="19" t="n">
        <f aca="false">BF53*Inputs!$F$89*Time!BF9/Inputs!$F$45</f>
        <v>7.42808840216789</v>
      </c>
      <c r="BG54" s="19" t="n">
        <f aca="false">BG53*Inputs!$F$89*Time!BG9/Inputs!$F$45</f>
        <v>4.94025488674056</v>
      </c>
      <c r="BH54" s="19" t="n">
        <f aca="false">BH53*Inputs!$F$89*Time!BH9/Inputs!$F$45</f>
        <v>1.97821276201138</v>
      </c>
      <c r="BI54" s="19" t="n">
        <f aca="false">BI53*Inputs!$F$89*Time!BI9/Inputs!$F$45</f>
        <v>0</v>
      </c>
      <c r="BJ54" s="19" t="n">
        <f aca="false">BJ53*Inputs!$F$89*Time!BJ9/Inputs!$F$45</f>
        <v>0</v>
      </c>
      <c r="BK54" s="19" t="n">
        <f aca="false">BK53*Inputs!$F$89*Time!BK9/Inputs!$F$45</f>
        <v>0</v>
      </c>
      <c r="BL54" s="19" t="n">
        <f aca="false">BL53*Inputs!$F$89*Time!BL9/Inputs!$F$45</f>
        <v>0</v>
      </c>
      <c r="BM54" s="19" t="n">
        <f aca="false">BM53*Inputs!$F$89*Time!BM9/Inputs!$F$45</f>
        <v>0</v>
      </c>
      <c r="BN54" s="19" t="n">
        <f aca="false">BN53*Inputs!$F$89*Time!BN9/Inputs!$F$45</f>
        <v>0</v>
      </c>
      <c r="BO54" s="19" t="n">
        <f aca="false">BO53*Inputs!$F$89*Time!BO9/Inputs!$F$45</f>
        <v>0</v>
      </c>
      <c r="BP54" s="19" t="n">
        <f aca="false">BP53*Inputs!$F$89*Time!BP9/Inputs!$F$45</f>
        <v>0</v>
      </c>
      <c r="BQ54" s="19" t="n">
        <f aca="false">BQ53*Inputs!$F$89*Time!BQ9/Inputs!$F$45</f>
        <v>0</v>
      </c>
      <c r="BR54" s="19" t="n">
        <f aca="false">BR53*Inputs!$F$89*Time!BR9/Inputs!$F$45</f>
        <v>0</v>
      </c>
      <c r="BS54" s="19" t="n">
        <f aca="false">BS53*Inputs!$F$89*Time!BS9/Inputs!$F$45</f>
        <v>0</v>
      </c>
      <c r="BT54" s="19" t="n">
        <f aca="false">BT53*Inputs!$F$89*Time!BT9/Inputs!$F$45</f>
        <v>0</v>
      </c>
      <c r="BU54" s="19" t="n">
        <f aca="false">BU53*Inputs!$F$89*Time!BU9/Inputs!$F$45</f>
        <v>0</v>
      </c>
      <c r="BV54" s="19" t="n">
        <f aca="false">BV53*Inputs!$F$89*Time!BV9/Inputs!$F$45</f>
        <v>0</v>
      </c>
      <c r="BW54" s="19" t="n">
        <f aca="false">BW53*Inputs!$F$89*Time!BW9/Inputs!$F$45</f>
        <v>0</v>
      </c>
      <c r="BX54" s="19" t="n">
        <f aca="false">BX53*Inputs!$F$89*Time!BX9/Inputs!$F$45</f>
        <v>0</v>
      </c>
      <c r="BY54" s="19" t="n">
        <f aca="false">BY53*Inputs!$F$89*Time!BY9/Inputs!$F$45</f>
        <v>0</v>
      </c>
      <c r="BZ54" s="19" t="n">
        <f aca="false">BZ53*Inputs!$F$89*Time!BZ9/Inputs!$F$45</f>
        <v>0</v>
      </c>
      <c r="CA54" s="19" t="n">
        <f aca="false">CA53*Inputs!$F$89*Time!CA9/Inputs!$F$45</f>
        <v>0</v>
      </c>
      <c r="CB54" s="19" t="n">
        <f aca="false">CB53*Inputs!$F$89*Time!CB9/Inputs!$F$45</f>
        <v>0</v>
      </c>
      <c r="CC54" s="19" t="n">
        <f aca="false">CC53*Inputs!$F$89*Time!CC9/Inputs!$F$45</f>
        <v>0</v>
      </c>
      <c r="CD54" s="19" t="n">
        <f aca="false">CD53*Inputs!$F$89*Time!CD9/Inputs!$F$45</f>
        <v>0</v>
      </c>
      <c r="CE54" s="19" t="n">
        <f aca="false">CE53*Inputs!$F$89*Time!CE9/Inputs!$F$45</f>
        <v>0</v>
      </c>
      <c r="CF54" s="19" t="n">
        <f aca="false">CF53*Inputs!$F$89*Time!CF9/Inputs!$F$45</f>
        <v>0</v>
      </c>
      <c r="CG54" s="19" t="n">
        <f aca="false">CG53*Inputs!$F$89*Time!CG9/Inputs!$F$45</f>
        <v>0</v>
      </c>
      <c r="CH54" s="19" t="n">
        <f aca="false">CH53*Inputs!$F$89*Time!CH9/Inputs!$F$45</f>
        <v>0</v>
      </c>
      <c r="CI54" s="19" t="n">
        <f aca="false">CI53*Inputs!$F$89*Time!CI9/Inputs!$F$45</f>
        <v>0</v>
      </c>
      <c r="CJ54" s="19" t="n">
        <f aca="false">CJ53*Inputs!$F$89*Time!CJ9/Inputs!$F$45</f>
        <v>0</v>
      </c>
      <c r="CK54" s="19" t="n">
        <f aca="false">CK53*Inputs!$F$89*Time!CK9/Inputs!$F$45</f>
        <v>0</v>
      </c>
      <c r="CL54" s="19" t="n">
        <f aca="false">CL53*Inputs!$F$89*Time!CL9/Inputs!$F$45</f>
        <v>0</v>
      </c>
      <c r="CM54" s="19" t="n">
        <f aca="false">CM53*Inputs!$F$89*Time!CM9/Inputs!$F$45</f>
        <v>0</v>
      </c>
      <c r="CN54" s="19" t="n">
        <f aca="false">CN53*Inputs!$F$89*Time!CN9/Inputs!$F$45</f>
        <v>0</v>
      </c>
      <c r="CO54" s="19" t="n">
        <f aca="false">CO53*Inputs!$F$89*Time!CO9/Inputs!$F$45</f>
        <v>0</v>
      </c>
      <c r="CP54" s="19" t="n">
        <f aca="false">CP53*Inputs!$F$89*Time!CP9/Inputs!$F$45</f>
        <v>0</v>
      </c>
      <c r="CQ54" s="19" t="n">
        <f aca="false">CQ53*Inputs!$F$89*Time!CQ9/Inputs!$F$45</f>
        <v>0</v>
      </c>
      <c r="CR54" s="19" t="n">
        <f aca="false">CR53*Inputs!$F$89*Time!CR9/Inputs!$F$45</f>
        <v>0</v>
      </c>
      <c r="CS54" s="19" t="n">
        <f aca="false">CS53*Inputs!$F$89*Time!CS9/Inputs!$F$45</f>
        <v>0</v>
      </c>
      <c r="CT54" s="19" t="n">
        <f aca="false">CT53*Inputs!$F$89*Time!CT9/Inputs!$F$45</f>
        <v>0</v>
      </c>
      <c r="CU54" s="19" t="n">
        <f aca="false">CU53*Inputs!$F$89*Time!CU9/Inputs!$F$45</f>
        <v>0</v>
      </c>
      <c r="CV54" s="19" t="n">
        <f aca="false">CV53*Inputs!$F$89*Time!CV9/Inputs!$F$45</f>
        <v>0</v>
      </c>
      <c r="CW54" s="19" t="n">
        <f aca="false">CW53*Inputs!$F$89*Time!CW9/Inputs!$F$45</f>
        <v>0</v>
      </c>
      <c r="CX54" s="19" t="n">
        <f aca="false">CX53*Inputs!$F$89*Time!CX9/Inputs!$F$45</f>
        <v>0</v>
      </c>
      <c r="CY54" s="19" t="n">
        <f aca="false">CY53*Inputs!$F$89*Time!CY9/Inputs!$F$45</f>
        <v>0</v>
      </c>
      <c r="CZ54" s="19" t="n">
        <f aca="false">CZ53*Inputs!$F$89*Time!CZ9/Inputs!$F$45</f>
        <v>0</v>
      </c>
      <c r="DA54" s="19" t="n">
        <f aca="false">DA53*Inputs!$F$89*Time!DA9/Inputs!$F$45</f>
        <v>0</v>
      </c>
      <c r="DB54" s="19" t="n">
        <f aca="false">DB53*Inputs!$F$89*Time!DB9/Inputs!$F$45</f>
        <v>0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520.368649102611</v>
      </c>
      <c r="AF55" s="19" t="n">
        <f aca="false">AF53+AF54+AF9+Funding!AF38</f>
        <v>525.331513387915</v>
      </c>
      <c r="AG55" s="19" t="n">
        <f aca="false">AG53+AG54+AG9+Funding!AG38</f>
        <v>532.54915046079</v>
      </c>
      <c r="AH55" s="19" t="n">
        <f aca="false">AH53+AH54+AH9+Funding!AH38</f>
        <v>531.447969458899</v>
      </c>
      <c r="AI55" s="19" t="n">
        <f aca="false">AI53+AI54+AI9+Funding!AI38</f>
        <v>529.871225015986</v>
      </c>
      <c r="AJ55" s="19" t="n">
        <f aca="false">AJ53+AJ54+AJ9+Funding!AJ38</f>
        <v>528.307343183138</v>
      </c>
      <c r="AK55" s="19" t="n">
        <f aca="false">AK53+AK54+AK9+Funding!AK38</f>
        <v>531.393079105613</v>
      </c>
      <c r="AL55" s="19" t="n">
        <f aca="false">AL53+AL54+AL9+Funding!AL38</f>
        <v>534.703318614028</v>
      </c>
      <c r="AM55" s="19" t="n">
        <f aca="false">AM53+AM54+AM9+Funding!AM38</f>
        <v>537.472656161431</v>
      </c>
      <c r="AN55" s="19" t="n">
        <f aca="false">AN53+AN54+AN9+Funding!AN38</f>
        <v>536.61108383779</v>
      </c>
      <c r="AO55" s="19" t="n">
        <f aca="false">AO53+AO54+AO9+Funding!AO38</f>
        <v>534.914358674843</v>
      </c>
      <c r="AP55" s="19" t="n">
        <f aca="false">AP53+AP54+AP9+Funding!AP38</f>
        <v>525.788977004691</v>
      </c>
      <c r="AQ55" s="19" t="n">
        <f aca="false">AQ53+AQ54+AQ9+Funding!AQ38</f>
        <v>515.529067741936</v>
      </c>
      <c r="AR55" s="19" t="n">
        <f aca="false">AR53+AR54+AR9+Funding!AR38</f>
        <v>511.342842956506</v>
      </c>
      <c r="AS55" s="19" t="n">
        <f aca="false">AS53+AS54+AS9+Funding!AS38</f>
        <v>505.382372337913</v>
      </c>
      <c r="AT55" s="19" t="n">
        <f aca="false">AT53+AT54+AT9+Funding!AT38</f>
        <v>495.052391949776</v>
      </c>
      <c r="AU55" s="19" t="n">
        <f aca="false">AU53+AU54+AU9+Funding!AU38</f>
        <v>483.096312831886</v>
      </c>
      <c r="AV55" s="19" t="n">
        <f aca="false">AV53+AV54+AV9+Funding!AV38</f>
        <v>466.249605858911</v>
      </c>
      <c r="AW55" s="19" t="n">
        <f aca="false">AW53+AW54+AW9+Funding!AW38</f>
        <v>449.667556825803</v>
      </c>
      <c r="AX55" s="19" t="n">
        <f aca="false">AX53+AX54+AX9+Funding!AX38</f>
        <v>426.700122243631</v>
      </c>
      <c r="AY55" s="19" t="n">
        <f aca="false">AY53+AY54+AY9+Funding!AY38</f>
        <v>402.122878255667</v>
      </c>
      <c r="AZ55" s="19" t="n">
        <f aca="false">AZ53+AZ54+AZ9+Funding!AZ38</f>
        <v>376.200860757877</v>
      </c>
      <c r="BA55" s="19" t="n">
        <f aca="false">BA53+BA54+BA9+Funding!BA38</f>
        <v>349.30795550104</v>
      </c>
      <c r="BB55" s="19" t="n">
        <f aca="false">BB53+BB54+BB9+Funding!BB38</f>
        <v>317.543431872181</v>
      </c>
      <c r="BC55" s="19" t="n">
        <f aca="false">BC53+BC54+BC9+Funding!BC38</f>
        <v>288.518494898148</v>
      </c>
      <c r="BD55" s="19" t="n">
        <f aca="false">BD53+BD54+BD9+Funding!BD38</f>
        <v>246.512802447487</v>
      </c>
      <c r="BE55" s="19" t="n">
        <f aca="false">BE53+BE54+BE9+Funding!BE38</f>
        <v>204.974937918517</v>
      </c>
      <c r="BF55" s="19" t="n">
        <f aca="false">BF53+BF54+BF9+Funding!BF38</f>
        <v>153.567544906212</v>
      </c>
      <c r="BG55" s="19" t="n">
        <f aca="false">BG53+BG54+BG9+Funding!BG38</f>
        <v>100.549641613162</v>
      </c>
      <c r="BH55" s="19" t="n">
        <f aca="false">BH53+BH54+BH9+Funding!BH38</f>
        <v>40.6835281270156</v>
      </c>
      <c r="BI55" s="19" t="n">
        <f aca="false">BI53+BI54+BI9+Funding!BI38</f>
        <v>0</v>
      </c>
      <c r="BJ55" s="19" t="n">
        <f aca="false">BJ53+BJ54+BJ9+Funding!BJ38</f>
        <v>0</v>
      </c>
      <c r="BK55" s="19" t="n">
        <f aca="false">BK53+BK54+BK9+Funding!BK38</f>
        <v>0</v>
      </c>
      <c r="BL55" s="19" t="n">
        <f aca="false">BL53+BL54+BL9+Funding!BL38</f>
        <v>0</v>
      </c>
      <c r="BM55" s="19" t="n">
        <f aca="false">BM53+BM54+BM9+Funding!BM38</f>
        <v>0</v>
      </c>
      <c r="BN55" s="19" t="n">
        <f aca="false">BN53+BN54+BN9+Funding!BN38</f>
        <v>0</v>
      </c>
      <c r="BO55" s="19" t="n">
        <f aca="false">BO53+BO54+BO9+Funding!BO38</f>
        <v>0</v>
      </c>
      <c r="BP55" s="19" t="n">
        <f aca="false">BP53+BP54+BP9+Funding!BP38</f>
        <v>0</v>
      </c>
      <c r="BQ55" s="19" t="n">
        <f aca="false">BQ53+BQ54+BQ9+Funding!BQ38</f>
        <v>0</v>
      </c>
      <c r="BR55" s="19" t="n">
        <f aca="false">BR53+BR54+BR9+Funding!BR38</f>
        <v>0</v>
      </c>
      <c r="BS55" s="19" t="n">
        <f aca="false">BS53+BS54+BS9+Funding!BS38</f>
        <v>0</v>
      </c>
      <c r="BT55" s="19" t="n">
        <f aca="false">BT53+BT54+BT9+Funding!BT38</f>
        <v>0</v>
      </c>
      <c r="BU55" s="19" t="n">
        <f aca="false">BU53+BU54+BU9+Funding!BU38</f>
        <v>0</v>
      </c>
      <c r="BV55" s="19" t="n">
        <f aca="false">BV53+BV54+BV9+Funding!BV38</f>
        <v>0</v>
      </c>
      <c r="BW55" s="19" t="n">
        <f aca="false">BW53+BW54+BW9+Funding!BW38</f>
        <v>0</v>
      </c>
      <c r="BX55" s="19" t="n">
        <f aca="false">BX53+BX54+BX9+Funding!BX38</f>
        <v>0</v>
      </c>
      <c r="BY55" s="19" t="n">
        <f aca="false">BY53+BY54+BY9+Funding!BY38</f>
        <v>0</v>
      </c>
      <c r="BZ55" s="19" t="n">
        <f aca="false">BZ53+BZ54+BZ9+Funding!BZ38</f>
        <v>0</v>
      </c>
      <c r="CA55" s="19" t="n">
        <f aca="false">CA53+CA54+CA9+Funding!CA38</f>
        <v>0</v>
      </c>
      <c r="CB55" s="19" t="n">
        <f aca="false">CB53+CB54+CB9+Funding!CB38</f>
        <v>0</v>
      </c>
      <c r="CC55" s="19" t="n">
        <f aca="false">CC53+CC54+CC9+Funding!CC38</f>
        <v>0</v>
      </c>
      <c r="CD55" s="19" t="n">
        <f aca="false">CD53+CD54+CD9+Funding!CD38</f>
        <v>0</v>
      </c>
      <c r="CE55" s="19" t="n">
        <f aca="false">CE53+CE54+CE9+Funding!CE38</f>
        <v>0</v>
      </c>
      <c r="CF55" s="19" t="n">
        <f aca="false">CF53+CF54+CF9+Funding!CF38</f>
        <v>0</v>
      </c>
      <c r="CG55" s="19" t="n">
        <f aca="false">CG53+CG54+CG9+Funding!CG38</f>
        <v>0</v>
      </c>
      <c r="CH55" s="19" t="n">
        <f aca="false">CH53+CH54+CH9+Funding!CH38</f>
        <v>0</v>
      </c>
      <c r="CI55" s="19" t="n">
        <f aca="false">CI53+CI54+CI9+Funding!CI38</f>
        <v>0</v>
      </c>
      <c r="CJ55" s="19" t="n">
        <f aca="false">CJ53+CJ54+CJ9+Funding!CJ38</f>
        <v>0</v>
      </c>
      <c r="CK55" s="19" t="n">
        <f aca="false">CK53+CK54+CK9+Funding!CK38</f>
        <v>0</v>
      </c>
      <c r="CL55" s="19" t="n">
        <f aca="false">CL53+CL54+CL9+Funding!CL38</f>
        <v>0</v>
      </c>
      <c r="CM55" s="19" t="n">
        <f aca="false">CM53+CM54+CM9+Funding!CM38</f>
        <v>0</v>
      </c>
      <c r="CN55" s="19" t="n">
        <f aca="false">CN53+CN54+CN9+Funding!CN38</f>
        <v>0</v>
      </c>
      <c r="CO55" s="19" t="n">
        <f aca="false">CO53+CO54+CO9+Funding!CO38</f>
        <v>0</v>
      </c>
      <c r="CP55" s="19" t="n">
        <f aca="false">CP53+CP54+CP9+Funding!CP38</f>
        <v>0</v>
      </c>
      <c r="CQ55" s="19" t="n">
        <f aca="false">CQ53+CQ54+CQ9+Funding!CQ38</f>
        <v>0</v>
      </c>
      <c r="CR55" s="19" t="n">
        <f aca="false">CR53+CR54+CR9+Funding!CR38</f>
        <v>0</v>
      </c>
      <c r="CS55" s="19" t="n">
        <f aca="false">CS53+CS54+CS9+Funding!CS38</f>
        <v>0</v>
      </c>
      <c r="CT55" s="19" t="n">
        <f aca="false">CT53+CT54+CT9+Funding!CT38</f>
        <v>0</v>
      </c>
      <c r="CU55" s="19" t="n">
        <f aca="false">CU53+CU54+CU9+Funding!CU38</f>
        <v>0</v>
      </c>
      <c r="CV55" s="19" t="n">
        <f aca="false">CV53+CV54+CV9+Funding!CV38</f>
        <v>0</v>
      </c>
      <c r="CW55" s="19" t="n">
        <f aca="false">CW53+CW54+CW9+Funding!CW38</f>
        <v>0</v>
      </c>
      <c r="CX55" s="19" t="n">
        <f aca="false">CX53+CX54+CX9+Funding!CX38</f>
        <v>0</v>
      </c>
      <c r="CY55" s="19" t="n">
        <f aca="false">CY53+CY54+CY9+Funding!CY38</f>
        <v>0</v>
      </c>
      <c r="CZ55" s="19" t="n">
        <f aca="false">CZ53+CZ54+CZ9+Funding!CZ38</f>
        <v>0</v>
      </c>
      <c r="DA55" s="19" t="n">
        <f aca="false">DA53+DA54+DA9+Funding!DA38</f>
        <v>0</v>
      </c>
      <c r="DB55" s="19" t="n">
        <f aca="false">DB53+DB54+DB9+Funding!DB38</f>
        <v>0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1176.23122809632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61.7286636174205</v>
      </c>
      <c r="AE56" s="19" t="n">
        <f aca="false">MIN(AE49,AE55)</f>
        <v>20.4475108318679</v>
      </c>
      <c r="AF56" s="19" t="n">
        <f aca="false">MIN(AF49,AF55)</f>
        <v>18.9478320504788</v>
      </c>
      <c r="AG56" s="19" t="n">
        <f aca="false">MIN(AG49,AG55)</f>
        <v>26.8074101449317</v>
      </c>
      <c r="AH56" s="19" t="n">
        <f aca="false">MIN(AH49,AH55)</f>
        <v>27.6106404044661</v>
      </c>
      <c r="AI56" s="19" t="n">
        <f aca="false">MIN(AI49,AI55)</f>
        <v>27.2525174223265</v>
      </c>
      <c r="AJ56" s="19" t="n">
        <f aca="false">MIN(AJ49,AJ55)</f>
        <v>23.0229325293868</v>
      </c>
      <c r="AK56" s="19" t="n">
        <f aca="false">MIN(AK49,AK55)</f>
        <v>22.5534514298187</v>
      </c>
      <c r="AL56" s="19" t="n">
        <f aca="false">MIN(AL49,AL55)</f>
        <v>23.6380357011893</v>
      </c>
      <c r="AM56" s="19" t="n">
        <f aca="false">MIN(AM49,AM55)</f>
        <v>26.8175421919139</v>
      </c>
      <c r="AN56" s="19" t="n">
        <f aca="false">MIN(AN49,AN55)</f>
        <v>27.9784028699426</v>
      </c>
      <c r="AO56" s="19" t="n">
        <f aca="false">MIN(AO49,AO55)</f>
        <v>34.5578843806791</v>
      </c>
      <c r="AP56" s="19" t="n">
        <f aca="false">MIN(AP49,AP55)</f>
        <v>35.5891392362167</v>
      </c>
      <c r="AQ56" s="19" t="n">
        <f aca="false">MIN(AQ49,AQ55)</f>
        <v>29.0499714728275</v>
      </c>
      <c r="AR56" s="19" t="n">
        <f aca="false">MIN(AR49,AR55)</f>
        <v>30.7911681184447</v>
      </c>
      <c r="AS56" s="19" t="n">
        <f aca="false">MIN(AS49,AS55)</f>
        <v>34.2757492246017</v>
      </c>
      <c r="AT56" s="19" t="n">
        <f aca="false">MIN(AT49,AT55)</f>
        <v>35.6918068832461</v>
      </c>
      <c r="AU56" s="19" t="n">
        <f aca="false">MIN(AU49,AU55)</f>
        <v>39.3992801218856</v>
      </c>
      <c r="AV56" s="19" t="n">
        <f aca="false">MIN(AV49,AV55)</f>
        <v>38.6753385702685</v>
      </c>
      <c r="AW56" s="19" t="n">
        <f aca="false">MIN(AW49,AW55)</f>
        <v>43.6069924469362</v>
      </c>
      <c r="AX56" s="19" t="n">
        <f aca="false">MIN(AX49,AX55)</f>
        <v>44.3345447848746</v>
      </c>
      <c r="AY56" s="19" t="n">
        <f aca="false">MIN(AY49,AY55)</f>
        <v>44.214564336585</v>
      </c>
      <c r="AZ56" s="19" t="n">
        <f aca="false">MIN(AZ49,AZ55)</f>
        <v>44.0552770610096</v>
      </c>
      <c r="BA56" s="19" t="n">
        <f aca="false">MIN(BA49,BA55)</f>
        <v>47.1241537181137</v>
      </c>
      <c r="BB56" s="19" t="n">
        <f aca="false">MIN(BB49,BB55)</f>
        <v>43.2005708347612</v>
      </c>
      <c r="BC56" s="19" t="n">
        <f aca="false">MIN(BC49,BC55)</f>
        <v>53.9295588507149</v>
      </c>
      <c r="BD56" s="19" t="n">
        <f aca="false">MIN(BD49,BD55)</f>
        <v>51.6087948919753</v>
      </c>
      <c r="BE56" s="19" t="n">
        <f aca="false">MIN(BE49,BE55)</f>
        <v>58.8354814144733</v>
      </c>
      <c r="BF56" s="19" t="n">
        <f aca="false">MIN(BF49,BF55)</f>
        <v>57.9581581797908</v>
      </c>
      <c r="BG56" s="19" t="n">
        <f aca="false">MIN(BG49,BG55)</f>
        <v>61.8443262481577</v>
      </c>
      <c r="BH56" s="19" t="n">
        <f aca="false">MIN(BH49,BH55)</f>
        <v>40.6835281270156</v>
      </c>
      <c r="BI56" s="19" t="n">
        <f aca="false">MIN(BI49,BI55)</f>
        <v>0</v>
      </c>
      <c r="BJ56" s="19" t="n">
        <f aca="false">MIN(BJ49,BJ55)</f>
        <v>0</v>
      </c>
      <c r="BK56" s="19" t="n">
        <f aca="false">MIN(BK49,BK55)</f>
        <v>0</v>
      </c>
      <c r="BL56" s="19" t="n">
        <f aca="false">MIN(BL49,BL55)</f>
        <v>0</v>
      </c>
      <c r="BM56" s="19" t="n">
        <f aca="false">MIN(BM49,BM55)</f>
        <v>0</v>
      </c>
      <c r="BN56" s="19" t="n">
        <f aca="false">MIN(BN49,BN55)</f>
        <v>0</v>
      </c>
      <c r="BO56" s="19" t="n">
        <f aca="false">MIN(BO49,BO55)</f>
        <v>0</v>
      </c>
      <c r="BP56" s="19" t="n">
        <f aca="false">MIN(BP49,BP55)</f>
        <v>0</v>
      </c>
      <c r="BQ56" s="19" t="n">
        <f aca="false">MIN(BQ49,BQ55)</f>
        <v>0</v>
      </c>
      <c r="BR56" s="19" t="n">
        <f aca="false">MIN(BR49,BR55)</f>
        <v>0</v>
      </c>
      <c r="BS56" s="19" t="n">
        <f aca="false">MIN(BS49,BS55)</f>
        <v>0</v>
      </c>
      <c r="BT56" s="19" t="n">
        <f aca="false">MIN(BT49,BT55)</f>
        <v>0</v>
      </c>
      <c r="BU56" s="19" t="n">
        <f aca="false">MIN(BU49,BU55)</f>
        <v>0</v>
      </c>
      <c r="BV56" s="19" t="n">
        <f aca="false">MIN(BV49,BV55)</f>
        <v>0</v>
      </c>
      <c r="BW56" s="19" t="n">
        <f aca="false">MIN(BW49,BW55)</f>
        <v>0</v>
      </c>
      <c r="BX56" s="19" t="n">
        <f aca="false">MIN(BX49,BX55)</f>
        <v>0</v>
      </c>
      <c r="BY56" s="19" t="n">
        <f aca="false">MIN(BY49,BY55)</f>
        <v>0</v>
      </c>
      <c r="BZ56" s="19" t="n">
        <f aca="false">MIN(BZ49,BZ55)</f>
        <v>0</v>
      </c>
      <c r="CA56" s="19" t="n">
        <f aca="false">MIN(CA49,CA55)</f>
        <v>0</v>
      </c>
      <c r="CB56" s="19" t="n">
        <f aca="false">MIN(CB49,CB55)</f>
        <v>0</v>
      </c>
      <c r="CC56" s="19" t="n">
        <f aca="false">MIN(CC49,CC55)</f>
        <v>0</v>
      </c>
      <c r="CD56" s="19" t="n">
        <f aca="false">MIN(CD49,CD55)</f>
        <v>0</v>
      </c>
      <c r="CE56" s="19" t="n">
        <f aca="false">MIN(CE49,CE55)</f>
        <v>0</v>
      </c>
      <c r="CF56" s="19" t="n">
        <f aca="false">MIN(CF49,CF55)</f>
        <v>0</v>
      </c>
      <c r="CG56" s="19" t="n">
        <f aca="false">MIN(CG49,CG55)</f>
        <v>0</v>
      </c>
      <c r="CH56" s="19" t="n">
        <f aca="false">MIN(CH49,CH55)</f>
        <v>0</v>
      </c>
      <c r="CI56" s="19" t="n">
        <f aca="false">MIN(CI49,CI55)</f>
        <v>0</v>
      </c>
      <c r="CJ56" s="19" t="n">
        <f aca="false">MIN(CJ49,CJ55)</f>
        <v>0</v>
      </c>
      <c r="CK56" s="19" t="n">
        <f aca="false">MIN(CK49,CK55)</f>
        <v>0</v>
      </c>
      <c r="CL56" s="19" t="n">
        <f aca="false">MIN(CL49,CL55)</f>
        <v>0</v>
      </c>
      <c r="CM56" s="19" t="n">
        <f aca="false">MIN(CM49,CM55)</f>
        <v>0</v>
      </c>
      <c r="CN56" s="19" t="n">
        <f aca="false">MIN(CN49,CN55)</f>
        <v>0</v>
      </c>
      <c r="CO56" s="19" t="n">
        <f aca="false">MIN(CO49,CO55)</f>
        <v>0</v>
      </c>
      <c r="CP56" s="19" t="n">
        <f aca="false">MIN(CP49,CP55)</f>
        <v>0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2609.96711269816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20.982924467621</v>
      </c>
      <c r="BI57" s="19" t="n">
        <f aca="false">BI49-BI56</f>
        <v>65.4245774928331</v>
      </c>
      <c r="BJ57" s="19" t="n">
        <f aca="false">BJ49-BJ56</f>
        <v>64.4578207099171</v>
      </c>
      <c r="BK57" s="19" t="n">
        <f aca="false">BK49-BK56</f>
        <v>68.990681646924</v>
      </c>
      <c r="BL57" s="19" t="n">
        <f aca="false">BL49-BL56</f>
        <v>67.9936256613396</v>
      </c>
      <c r="BM57" s="19" t="n">
        <f aca="false">BM49-BM56</f>
        <v>72.7256445081066</v>
      </c>
      <c r="BN57" s="19" t="n">
        <f aca="false">BN49-BN56</f>
        <v>71.0570577509413</v>
      </c>
      <c r="BO57" s="19" t="n">
        <f aca="false">BO49-BO56</f>
        <v>41.8815583827128</v>
      </c>
      <c r="BP57" s="19" t="n">
        <f aca="false">BP49-BP56</f>
        <v>40.8946855055452</v>
      </c>
      <c r="BQ57" s="19" t="n">
        <f aca="false">BQ49-BQ56</f>
        <v>44.2310062352843</v>
      </c>
      <c r="BR57" s="19" t="n">
        <f aca="false">BR49-BR56</f>
        <v>41.5440425403719</v>
      </c>
      <c r="BS57" s="19" t="n">
        <f aca="false">BS49-BS56</f>
        <v>45.4013717458897</v>
      </c>
      <c r="BT57" s="19" t="n">
        <f aca="false">BT49-BT56</f>
        <v>35.6239949505604</v>
      </c>
      <c r="BU57" s="19" t="n">
        <f aca="false">BU49-BU56</f>
        <v>87.9981815281106</v>
      </c>
      <c r="BV57" s="19" t="n">
        <f aca="false">BV49-BV56</f>
        <v>53.2155190611376</v>
      </c>
      <c r="BW57" s="19" t="n">
        <f aca="false">BW49-BW56</f>
        <v>56.1268104880805</v>
      </c>
      <c r="BX57" s="19" t="n">
        <f aca="false">BX49-BX56</f>
        <v>53.8975097546615</v>
      </c>
      <c r="BY57" s="19" t="n">
        <f aca="false">BY49-BY56</f>
        <v>57.4599560095415</v>
      </c>
      <c r="BZ57" s="19" t="n">
        <f aca="false">BZ49-BZ56</f>
        <v>58.7678745814896</v>
      </c>
      <c r="CA57" s="19" t="n">
        <f aca="false">CA49-CA56</f>
        <v>52.8573885994911</v>
      </c>
      <c r="CB57" s="19" t="n">
        <f aca="false">CB49-CB56</f>
        <v>49.5761045356257</v>
      </c>
      <c r="CC57" s="19" t="n">
        <f aca="false">CC49-CC56</f>
        <v>54.0000790655108</v>
      </c>
      <c r="CD57" s="19" t="n">
        <f aca="false">CD49-CD56</f>
        <v>52.7760912986604</v>
      </c>
      <c r="CE57" s="19" t="n">
        <f aca="false">CE49-CE56</f>
        <v>58.3018729788718</v>
      </c>
      <c r="CF57" s="19" t="n">
        <f aca="false">CF49-CF56</f>
        <v>57.53113936667</v>
      </c>
      <c r="CG57" s="19" t="n">
        <f aca="false">CG49-CG56</f>
        <v>133.500557724704</v>
      </c>
      <c r="CH57" s="19" t="n">
        <f aca="false">CH49-CH56</f>
        <v>104.376609050815</v>
      </c>
      <c r="CI57" s="19" t="n">
        <f aca="false">CI49-CI56</f>
        <v>109.090707097645</v>
      </c>
      <c r="CJ57" s="19" t="n">
        <f aca="false">CJ49-CJ56</f>
        <v>108.325607673925</v>
      </c>
      <c r="CK57" s="19" t="n">
        <f aca="false">CK49-CK56</f>
        <v>125.485723670204</v>
      </c>
      <c r="CL57" s="19" t="n">
        <f aca="false">CL49-CL56</f>
        <v>116.786306041464</v>
      </c>
      <c r="CM57" s="19" t="n">
        <f aca="false">CM49-CM56</f>
        <v>121.851516266358</v>
      </c>
      <c r="CN57" s="19" t="n">
        <f aca="false">CN49-CN56</f>
        <v>121.750972389922</v>
      </c>
      <c r="CO57" s="19" t="n">
        <f aca="false">CO49-CO56</f>
        <v>126.272245702562</v>
      </c>
      <c r="CP57" s="19" t="n">
        <f aca="false">CP49-CP56</f>
        <v>168.809348214662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494.801638416227</v>
      </c>
      <c r="AE58" s="19" t="n">
        <f aca="false">AE55-AE56</f>
        <v>499.921138270743</v>
      </c>
      <c r="AF58" s="19" t="n">
        <f aca="false">AF55-AF56</f>
        <v>506.383681337437</v>
      </c>
      <c r="AG58" s="19" t="n">
        <f aca="false">AG55-AG56</f>
        <v>505.741740315858</v>
      </c>
      <c r="AH58" s="19" t="n">
        <f aca="false">AH55-AH56</f>
        <v>503.837329054433</v>
      </c>
      <c r="AI58" s="19" t="n">
        <f aca="false">AI55-AI56</f>
        <v>502.618707593659</v>
      </c>
      <c r="AJ58" s="19" t="n">
        <f aca="false">AJ55-AJ56</f>
        <v>505.284410653751</v>
      </c>
      <c r="AK58" s="19" t="n">
        <f aca="false">AK55-AK56</f>
        <v>508.839627675795</v>
      </c>
      <c r="AL58" s="19" t="n">
        <f aca="false">AL55-AL56</f>
        <v>511.065282912839</v>
      </c>
      <c r="AM58" s="19" t="n">
        <f aca="false">AM55-AM56</f>
        <v>510.655113969517</v>
      </c>
      <c r="AN58" s="19" t="n">
        <f aca="false">AN55-AN56</f>
        <v>508.632680967847</v>
      </c>
      <c r="AO58" s="19" t="n">
        <f aca="false">AO55-AO56</f>
        <v>500.356474294164</v>
      </c>
      <c r="AP58" s="19" t="n">
        <f aca="false">AP55-AP56</f>
        <v>490.199837768475</v>
      </c>
      <c r="AQ58" s="19" t="n">
        <f aca="false">AQ55-AQ56</f>
        <v>486.479096269108</v>
      </c>
      <c r="AR58" s="19" t="n">
        <f aca="false">AR55-AR56</f>
        <v>480.551674838062</v>
      </c>
      <c r="AS58" s="19" t="n">
        <f aca="false">AS55-AS56</f>
        <v>471.106623113312</v>
      </c>
      <c r="AT58" s="19" t="n">
        <f aca="false">AT55-AT56</f>
        <v>459.36058506653</v>
      </c>
      <c r="AU58" s="19" t="n">
        <f aca="false">AU55-AU56</f>
        <v>443.69703271</v>
      </c>
      <c r="AV58" s="19" t="n">
        <f aca="false">AV55-AV56</f>
        <v>427.574267288642</v>
      </c>
      <c r="AW58" s="19" t="n">
        <f aca="false">AW55-AW56</f>
        <v>406.060564378867</v>
      </c>
      <c r="AX58" s="19" t="n">
        <f aca="false">AX55-AX56</f>
        <v>382.365577458757</v>
      </c>
      <c r="AY58" s="19" t="n">
        <f aca="false">AY55-AY56</f>
        <v>357.908313919082</v>
      </c>
      <c r="AZ58" s="19" t="n">
        <f aca="false">AZ55-AZ56</f>
        <v>332.145583696868</v>
      </c>
      <c r="BA58" s="19" t="n">
        <f aca="false">BA55-BA56</f>
        <v>302.183801782927</v>
      </c>
      <c r="BB58" s="19" t="n">
        <f aca="false">BB55-BB56</f>
        <v>274.34286103742</v>
      </c>
      <c r="BC58" s="19" t="n">
        <f aca="false">BC55-BC56</f>
        <v>234.588936047433</v>
      </c>
      <c r="BD58" s="19" t="n">
        <f aca="false">BD55-BD56</f>
        <v>194.904007555512</v>
      </c>
      <c r="BE58" s="19" t="n">
        <f aca="false">BE55-BE56</f>
        <v>146.139456504044</v>
      </c>
      <c r="BF58" s="19" t="n">
        <f aca="false">BF55-BF56</f>
        <v>95.6093867264213</v>
      </c>
      <c r="BG58" s="19" t="n">
        <f aca="false">BG55-BG56</f>
        <v>38.7053153650042</v>
      </c>
      <c r="BH58" s="19" t="n">
        <f aca="false">BH55-BH56</f>
        <v>0</v>
      </c>
      <c r="BI58" s="19" t="n">
        <f aca="false">BI55-BI56</f>
        <v>0</v>
      </c>
      <c r="BJ58" s="19" t="n">
        <f aca="false">BJ55-BJ56</f>
        <v>0</v>
      </c>
      <c r="BK58" s="19" t="n">
        <f aca="false">BK55-BK56</f>
        <v>0</v>
      </c>
      <c r="BL58" s="19" t="n">
        <f aca="false">BL55-BL56</f>
        <v>0</v>
      </c>
      <c r="BM58" s="19" t="n">
        <f aca="false">BM55-BM56</f>
        <v>0</v>
      </c>
      <c r="BN58" s="19" t="n">
        <f aca="false">BN55-BN56</f>
        <v>0</v>
      </c>
      <c r="BO58" s="19" t="n">
        <f aca="false">BO55-BO56</f>
        <v>0</v>
      </c>
      <c r="BP58" s="19" t="n">
        <f aca="false">BP55-BP56</f>
        <v>0</v>
      </c>
      <c r="BQ58" s="19" t="n">
        <f aca="false">BQ55-BQ56</f>
        <v>0</v>
      </c>
      <c r="BR58" s="19" t="n">
        <f aca="false">BR55-BR56</f>
        <v>0</v>
      </c>
      <c r="BS58" s="19" t="n">
        <f aca="false">BS55-BS56</f>
        <v>0</v>
      </c>
      <c r="BT58" s="19" t="n">
        <f aca="false">BT55-BT56</f>
        <v>0</v>
      </c>
      <c r="BU58" s="19" t="n">
        <f aca="false">BU55-BU56</f>
        <v>0</v>
      </c>
      <c r="BV58" s="19" t="n">
        <f aca="false">BV55-BV56</f>
        <v>0</v>
      </c>
      <c r="BW58" s="19" t="n">
        <f aca="false">BW55-BW56</f>
        <v>0</v>
      </c>
      <c r="BX58" s="19" t="n">
        <f aca="false">BX55-BX56</f>
        <v>0</v>
      </c>
      <c r="BY58" s="19" t="n">
        <f aca="false">BY55-BY56</f>
        <v>0</v>
      </c>
      <c r="BZ58" s="19" t="n">
        <f aca="false">BZ55-BZ56</f>
        <v>0</v>
      </c>
      <c r="CA58" s="19" t="n">
        <f aca="false">CA55-CA56</f>
        <v>0</v>
      </c>
      <c r="CB58" s="19" t="n">
        <f aca="false">CB55-CB56</f>
        <v>0</v>
      </c>
      <c r="CC58" s="19" t="n">
        <f aca="false">CC55-CC56</f>
        <v>0</v>
      </c>
      <c r="CD58" s="19" t="n">
        <f aca="false">CD55-CD56</f>
        <v>0</v>
      </c>
      <c r="CE58" s="19" t="n">
        <f aca="false">CE55-CE56</f>
        <v>0</v>
      </c>
      <c r="CF58" s="19" t="n">
        <f aca="false">CF55-CF56</f>
        <v>0</v>
      </c>
      <c r="CG58" s="19" t="n">
        <f aca="false">CG55-CG56</f>
        <v>0</v>
      </c>
      <c r="CH58" s="19" t="n">
        <f aca="false">CH55-CH56</f>
        <v>0</v>
      </c>
      <c r="CI58" s="19" t="n">
        <f aca="false">CI55-CI56</f>
        <v>0</v>
      </c>
      <c r="CJ58" s="19" t="n">
        <f aca="false">CJ55-CJ56</f>
        <v>0</v>
      </c>
      <c r="CK58" s="19" t="n">
        <f aca="false">CK55-CK56</f>
        <v>0</v>
      </c>
      <c r="CL58" s="19" t="n">
        <f aca="false">CL55-CL56</f>
        <v>0</v>
      </c>
      <c r="CM58" s="19" t="n">
        <f aca="false">CM55-CM56</f>
        <v>0</v>
      </c>
      <c r="CN58" s="19" t="n">
        <f aca="false">CN55-CN56</f>
        <v>0</v>
      </c>
      <c r="CO58" s="19" t="n">
        <f aca="false">CO55-CO56</f>
        <v>0</v>
      </c>
      <c r="CP58" s="19" t="n">
        <f aca="false">CP55-CP56</f>
        <v>0</v>
      </c>
      <c r="CQ58" s="19" t="n">
        <f aca="false">CQ55-CQ56</f>
        <v>0</v>
      </c>
      <c r="CR58" s="19" t="n">
        <f aca="false">CR55-CR56</f>
        <v>0</v>
      </c>
      <c r="CS58" s="19" t="n">
        <f aca="false">CS55-CS56</f>
        <v>0</v>
      </c>
      <c r="CT58" s="19" t="n">
        <f aca="false">CT55-CT56</f>
        <v>0</v>
      </c>
      <c r="CU58" s="19" t="n">
        <f aca="false">CU55-CU56</f>
        <v>0</v>
      </c>
      <c r="CV58" s="19" t="n">
        <f aca="false">CV55-CV56</f>
        <v>0</v>
      </c>
      <c r="CW58" s="19" t="n">
        <f aca="false">CW55-CW56</f>
        <v>0</v>
      </c>
      <c r="CX58" s="19" t="n">
        <f aca="false">CX55-CX56</f>
        <v>0</v>
      </c>
      <c r="CY58" s="19" t="n">
        <f aca="false">CY55-CY56</f>
        <v>0</v>
      </c>
      <c r="CZ58" s="19" t="n">
        <f aca="false">CZ55-CZ56</f>
        <v>0</v>
      </c>
      <c r="DA58" s="19" t="n">
        <f aca="false">DA55-DA56</f>
        <v>0</v>
      </c>
      <c r="DB58" s="19" t="n">
        <f aca="false">DB55-DB56</f>
        <v>0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494.801638416227</v>
      </c>
      <c r="AE59" s="19" t="n">
        <f aca="false">IF(Time!AE35=1,0,AE58)</f>
        <v>499.921138270743</v>
      </c>
      <c r="AF59" s="19" t="n">
        <f aca="false">IF(Time!AF35=1,0,AF58)</f>
        <v>506.383681337437</v>
      </c>
      <c r="AG59" s="19" t="n">
        <f aca="false">IF(Time!AG35=1,0,AG58)</f>
        <v>505.741740315858</v>
      </c>
      <c r="AH59" s="19" t="n">
        <f aca="false">IF(Time!AH35=1,0,AH58)</f>
        <v>503.837329054433</v>
      </c>
      <c r="AI59" s="19" t="n">
        <f aca="false">IF(Time!AI35=1,0,AI58)</f>
        <v>502.618707593659</v>
      </c>
      <c r="AJ59" s="19" t="n">
        <f aca="false">IF(Time!AJ35=1,0,AJ58)</f>
        <v>505.284410653751</v>
      </c>
      <c r="AK59" s="19" t="n">
        <f aca="false">IF(Time!AK35=1,0,AK58)</f>
        <v>508.839627675795</v>
      </c>
      <c r="AL59" s="19" t="n">
        <f aca="false">IF(Time!AL35=1,0,AL58)</f>
        <v>511.065282912839</v>
      </c>
      <c r="AM59" s="19" t="n">
        <f aca="false">IF(Time!AM35=1,0,AM58)</f>
        <v>510.655113969517</v>
      </c>
      <c r="AN59" s="19" t="n">
        <f aca="false">IF(Time!AN35=1,0,AN58)</f>
        <v>508.632680967847</v>
      </c>
      <c r="AO59" s="19" t="n">
        <f aca="false">IF(Time!AO35=1,0,AO58)</f>
        <v>500.356474294164</v>
      </c>
      <c r="AP59" s="19" t="n">
        <f aca="false">IF(Time!AP35=1,0,AP58)</f>
        <v>490.199837768475</v>
      </c>
      <c r="AQ59" s="19" t="n">
        <f aca="false">IF(Time!AQ35=1,0,AQ58)</f>
        <v>486.479096269108</v>
      </c>
      <c r="AR59" s="19" t="n">
        <f aca="false">IF(Time!AR35=1,0,AR58)</f>
        <v>480.551674838062</v>
      </c>
      <c r="AS59" s="19" t="n">
        <f aca="false">IF(Time!AS35=1,0,AS58)</f>
        <v>471.106623113312</v>
      </c>
      <c r="AT59" s="19" t="n">
        <f aca="false">IF(Time!AT35=1,0,AT58)</f>
        <v>459.36058506653</v>
      </c>
      <c r="AU59" s="19" t="n">
        <f aca="false">IF(Time!AU35=1,0,AU58)</f>
        <v>443.69703271</v>
      </c>
      <c r="AV59" s="19" t="n">
        <f aca="false">IF(Time!AV35=1,0,AV58)</f>
        <v>427.574267288642</v>
      </c>
      <c r="AW59" s="19" t="n">
        <f aca="false">IF(Time!AW35=1,0,AW58)</f>
        <v>406.060564378867</v>
      </c>
      <c r="AX59" s="19" t="n">
        <f aca="false">IF(Time!AX35=1,0,AX58)</f>
        <v>382.365577458757</v>
      </c>
      <c r="AY59" s="19" t="n">
        <f aca="false">IF(Time!AY35=1,0,AY58)</f>
        <v>357.908313919082</v>
      </c>
      <c r="AZ59" s="19" t="n">
        <f aca="false">IF(Time!AZ35=1,0,AZ58)</f>
        <v>332.145583696868</v>
      </c>
      <c r="BA59" s="19" t="n">
        <f aca="false">IF(Time!BA35=1,0,BA58)</f>
        <v>302.183801782927</v>
      </c>
      <c r="BB59" s="19" t="n">
        <f aca="false">IF(Time!BB35=1,0,BB58)</f>
        <v>274.34286103742</v>
      </c>
      <c r="BC59" s="19" t="n">
        <f aca="false">IF(Time!BC35=1,0,BC58)</f>
        <v>234.588936047433</v>
      </c>
      <c r="BD59" s="19" t="n">
        <f aca="false">IF(Time!BD35=1,0,BD58)</f>
        <v>194.904007555512</v>
      </c>
      <c r="BE59" s="19" t="n">
        <f aca="false">IF(Time!BE35=1,0,BE58)</f>
        <v>146.139456504044</v>
      </c>
      <c r="BF59" s="19" t="n">
        <f aca="false">IF(Time!BF35=1,0,BF58)</f>
        <v>95.6093867264213</v>
      </c>
      <c r="BG59" s="19" t="n">
        <f aca="false">IF(Time!BG35=1,0,BG58)</f>
        <v>38.7053153650042</v>
      </c>
      <c r="BH59" s="19" t="n">
        <f aca="false">IF(Time!BH35=1,0,BH58)</f>
        <v>0</v>
      </c>
      <c r="BI59" s="19" t="n">
        <f aca="false">IF(Time!BI35=1,0,BI58)</f>
        <v>0</v>
      </c>
      <c r="BJ59" s="19" t="n">
        <f aca="false">IF(Time!BJ35=1,0,BJ58)</f>
        <v>0</v>
      </c>
      <c r="BK59" s="19" t="n">
        <f aca="false">IF(Time!BK35=1,0,BK58)</f>
        <v>0</v>
      </c>
      <c r="BL59" s="19" t="n">
        <f aca="false">IF(Time!BL35=1,0,BL58)</f>
        <v>0</v>
      </c>
      <c r="BM59" s="19" t="n">
        <f aca="false">IF(Time!BM35=1,0,BM58)</f>
        <v>0</v>
      </c>
      <c r="BN59" s="19" t="n">
        <f aca="false">IF(Time!BN35=1,0,BN58)</f>
        <v>0</v>
      </c>
      <c r="BO59" s="19" t="n">
        <f aca="false">IF(Time!BO35=1,0,BO58)</f>
        <v>0</v>
      </c>
      <c r="BP59" s="19" t="n">
        <f aca="false">IF(Time!BP35=1,0,BP58)</f>
        <v>0</v>
      </c>
      <c r="BQ59" s="19" t="n">
        <f aca="false">IF(Time!BQ35=1,0,BQ58)</f>
        <v>0</v>
      </c>
      <c r="BR59" s="19" t="n">
        <f aca="false">IF(Time!BR35=1,0,BR58)</f>
        <v>0</v>
      </c>
      <c r="BS59" s="19" t="n">
        <f aca="false">IF(Time!BS35=1,0,BS58)</f>
        <v>0</v>
      </c>
      <c r="BT59" s="19" t="n">
        <f aca="false">IF(Time!BT35=1,0,BT58)</f>
        <v>0</v>
      </c>
      <c r="BU59" s="19" t="n">
        <f aca="false">IF(Time!BU35=1,0,BU58)</f>
        <v>0</v>
      </c>
      <c r="BV59" s="19" t="n">
        <f aca="false">IF(Time!BV35=1,0,BV58)</f>
        <v>0</v>
      </c>
      <c r="BW59" s="19" t="n">
        <f aca="false">IF(Time!BW35=1,0,BW58)</f>
        <v>0</v>
      </c>
      <c r="BX59" s="19" t="n">
        <f aca="false">IF(Time!BX35=1,0,BX58)</f>
        <v>0</v>
      </c>
      <c r="BY59" s="19" t="n">
        <f aca="false">IF(Time!BY35=1,0,BY58)</f>
        <v>0</v>
      </c>
      <c r="BZ59" s="19" t="n">
        <f aca="false">IF(Time!BZ35=1,0,BZ58)</f>
        <v>0</v>
      </c>
      <c r="CA59" s="19" t="n">
        <f aca="false">IF(Time!CA35=1,0,CA58)</f>
        <v>0</v>
      </c>
      <c r="CB59" s="19" t="n">
        <f aca="false">IF(Time!CB35=1,0,CB58)</f>
        <v>0</v>
      </c>
      <c r="CC59" s="19" t="n">
        <f aca="false">IF(Time!CC35=1,0,CC58)</f>
        <v>0</v>
      </c>
      <c r="CD59" s="19" t="n">
        <f aca="false">IF(Time!CD35=1,0,CD58)</f>
        <v>0</v>
      </c>
      <c r="CE59" s="19" t="n">
        <f aca="false">IF(Time!CE35=1,0,CE58)</f>
        <v>0</v>
      </c>
      <c r="CF59" s="19" t="n">
        <f aca="false">IF(Time!CF35=1,0,CF58)</f>
        <v>0</v>
      </c>
      <c r="CG59" s="19" t="n">
        <f aca="false">IF(Time!CG35=1,0,CG58)</f>
        <v>0</v>
      </c>
      <c r="CH59" s="19" t="n">
        <f aca="false">IF(Time!CH35=1,0,CH58)</f>
        <v>0</v>
      </c>
      <c r="CI59" s="19" t="n">
        <f aca="false">IF(Time!CI35=1,0,CI58)</f>
        <v>0</v>
      </c>
      <c r="CJ59" s="19" t="n">
        <f aca="false">IF(Time!CJ35=1,0,CJ58)</f>
        <v>0</v>
      </c>
      <c r="CK59" s="19" t="n">
        <f aca="false">IF(Time!CK35=1,0,CK58)</f>
        <v>0</v>
      </c>
      <c r="CL59" s="19" t="n">
        <f aca="false">IF(Time!CL35=1,0,CL58)</f>
        <v>0</v>
      </c>
      <c r="CM59" s="19" t="n">
        <f aca="false">IF(Time!CM35=1,0,CM58)</f>
        <v>0</v>
      </c>
      <c r="CN59" s="19" t="n">
        <f aca="false">IF(Time!CN35=1,0,CN58)</f>
        <v>0</v>
      </c>
      <c r="CO59" s="19" t="n">
        <f aca="false">IF(Time!CO35=1,0,CO58)</f>
        <v>0</v>
      </c>
      <c r="CP59" s="19" t="n">
        <f aca="false">IF(Time!CP35=1,0,CP58)</f>
        <v>0</v>
      </c>
      <c r="CQ59" s="19" t="n">
        <f aca="false">IF(Time!CQ35=1,0,CQ58)</f>
        <v>0</v>
      </c>
      <c r="CR59" s="19" t="n">
        <f aca="false">IF(Time!CR35=1,0,CR58)</f>
        <v>0</v>
      </c>
      <c r="CS59" s="19" t="n">
        <f aca="false">IF(Time!CS35=1,0,CS58)</f>
        <v>0</v>
      </c>
      <c r="CT59" s="19" t="n">
        <f aca="false">IF(Time!CT35=1,0,CT58)</f>
        <v>0</v>
      </c>
      <c r="CU59" s="19" t="n">
        <f aca="false">IF(Time!CU35=1,0,CU58)</f>
        <v>0</v>
      </c>
      <c r="CV59" s="19" t="n">
        <f aca="false">IF(Time!CV35=1,0,CV58)</f>
        <v>0</v>
      </c>
      <c r="CW59" s="19" t="n">
        <f aca="false">IF(Time!CW35=1,0,CW58)</f>
        <v>0</v>
      </c>
      <c r="CX59" s="19" t="n">
        <f aca="false">IF(Time!CX35=1,0,CX58)</f>
        <v>0</v>
      </c>
      <c r="CY59" s="19" t="n">
        <f aca="false">IF(Time!CY35=1,0,CY58)</f>
        <v>0</v>
      </c>
      <c r="CZ59" s="19" t="n">
        <f aca="false">IF(Time!CZ35=1,0,CZ58)</f>
        <v>0</v>
      </c>
      <c r="DA59" s="19" t="n">
        <f aca="false">IF(Time!DA35=1,0,DA58)</f>
        <v>0</v>
      </c>
      <c r="DB59" s="19" t="n">
        <f aca="false">IF(Time!DB35=1,0,DB58)</f>
        <v>0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3406.48271678367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61.7286636174205</v>
      </c>
      <c r="AE61" s="19" t="n">
        <f aca="false">IF(Time!AE20=1,-Funding!AE27,IF(Time!AE23=1,0,AE49-AE9))</f>
        <v>20.4475108318679</v>
      </c>
      <c r="AF61" s="19" t="n">
        <f aca="false">IF(Time!AF20=1,-Funding!AF27,IF(Time!AF23=1,0,AF49-AF9))</f>
        <v>18.9478320504788</v>
      </c>
      <c r="AG61" s="19" t="n">
        <f aca="false">IF(Time!AG20=1,-Funding!AG27,IF(Time!AG23=1,0,AG49-AG9))</f>
        <v>26.8074101449317</v>
      </c>
      <c r="AH61" s="19" t="n">
        <f aca="false">IF(Time!AH20=1,-Funding!AH27,IF(Time!AH23=1,0,AH49-AH9))</f>
        <v>27.6106404044661</v>
      </c>
      <c r="AI61" s="19" t="n">
        <f aca="false">IF(Time!AI20=1,-Funding!AI27,IF(Time!AI23=1,0,AI49-AI9))</f>
        <v>27.2525174223265</v>
      </c>
      <c r="AJ61" s="19" t="n">
        <f aca="false">IF(Time!AJ20=1,-Funding!AJ27,IF(Time!AJ23=1,0,AJ49-AJ9))</f>
        <v>23.0229325293868</v>
      </c>
      <c r="AK61" s="19" t="n">
        <f aca="false">IF(Time!AK20=1,-Funding!AK27,IF(Time!AK23=1,0,AK49-AK9))</f>
        <v>22.5534514298187</v>
      </c>
      <c r="AL61" s="19" t="n">
        <f aca="false">IF(Time!AL20=1,-Funding!AL27,IF(Time!AL23=1,0,AL49-AL9))</f>
        <v>23.6380357011893</v>
      </c>
      <c r="AM61" s="19" t="n">
        <f aca="false">IF(Time!AM20=1,-Funding!AM27,IF(Time!AM23=1,0,AM49-AM9))</f>
        <v>26.8175421919139</v>
      </c>
      <c r="AN61" s="19" t="n">
        <f aca="false">IF(Time!AN20=1,-Funding!AN27,IF(Time!AN23=1,0,AN49-AN9))</f>
        <v>27.9784028699426</v>
      </c>
      <c r="AO61" s="19" t="n">
        <f aca="false">IF(Time!AO20=1,-Funding!AO27,IF(Time!AO23=1,0,AO49-AO9))</f>
        <v>34.5578843806791</v>
      </c>
      <c r="AP61" s="19" t="n">
        <f aca="false">IF(Time!AP20=1,-Funding!AP27,IF(Time!AP23=1,0,AP49-AP9))</f>
        <v>35.5891392362167</v>
      </c>
      <c r="AQ61" s="19" t="n">
        <f aca="false">IF(Time!AQ20=1,-Funding!AQ27,IF(Time!AQ23=1,0,AQ49-AQ9))</f>
        <v>29.0499714728275</v>
      </c>
      <c r="AR61" s="19" t="n">
        <f aca="false">IF(Time!AR20=1,-Funding!AR27,IF(Time!AR23=1,0,AR49-AR9))</f>
        <v>30.7911681184447</v>
      </c>
      <c r="AS61" s="19" t="n">
        <f aca="false">IF(Time!AS20=1,-Funding!AS27,IF(Time!AS23=1,0,AS49-AS9))</f>
        <v>34.2757492246017</v>
      </c>
      <c r="AT61" s="19" t="n">
        <f aca="false">IF(Time!AT20=1,-Funding!AT27,IF(Time!AT23=1,0,AT49-AT9))</f>
        <v>35.6918068832461</v>
      </c>
      <c r="AU61" s="19" t="n">
        <f aca="false">IF(Time!AU20=1,-Funding!AU27,IF(Time!AU23=1,0,AU49-AU9))</f>
        <v>39.3992801218856</v>
      </c>
      <c r="AV61" s="19" t="n">
        <f aca="false">IF(Time!AV20=1,-Funding!AV27,IF(Time!AV23=1,0,AV49-AV9))</f>
        <v>38.6753385702685</v>
      </c>
      <c r="AW61" s="19" t="n">
        <f aca="false">IF(Time!AW20=1,-Funding!AW27,IF(Time!AW23=1,0,AW49-AW9))</f>
        <v>43.6069924469362</v>
      </c>
      <c r="AX61" s="19" t="n">
        <f aca="false">IF(Time!AX20=1,-Funding!AX27,IF(Time!AX23=1,0,AX49-AX9))</f>
        <v>44.3345447848746</v>
      </c>
      <c r="AY61" s="19" t="n">
        <f aca="false">IF(Time!AY20=1,-Funding!AY27,IF(Time!AY23=1,0,AY49-AY9))</f>
        <v>44.214564336585</v>
      </c>
      <c r="AZ61" s="19" t="n">
        <f aca="false">IF(Time!AZ20=1,-Funding!AZ27,IF(Time!AZ23=1,0,AZ49-AZ9))</f>
        <v>44.0552770610096</v>
      </c>
      <c r="BA61" s="19" t="n">
        <f aca="false">IF(Time!BA20=1,-Funding!BA27,IF(Time!BA23=1,0,BA49-BA9))</f>
        <v>47.1241537181137</v>
      </c>
      <c r="BB61" s="19" t="n">
        <f aca="false">IF(Time!BB20=1,-Funding!BB27,IF(Time!BB23=1,0,BB49-BB9))</f>
        <v>43.2005708347612</v>
      </c>
      <c r="BC61" s="19" t="n">
        <f aca="false">IF(Time!BC20=1,-Funding!BC27,IF(Time!BC23=1,0,BC49-BC9))</f>
        <v>53.9295588507149</v>
      </c>
      <c r="BD61" s="19" t="n">
        <f aca="false">IF(Time!BD20=1,-Funding!BD27,IF(Time!BD23=1,0,BD49-BD9))</f>
        <v>51.6087948919753</v>
      </c>
      <c r="BE61" s="19" t="n">
        <f aca="false">IF(Time!BE20=1,-Funding!BE27,IF(Time!BE23=1,0,BE49-BE9))</f>
        <v>58.8354814144733</v>
      </c>
      <c r="BF61" s="19" t="n">
        <f aca="false">IF(Time!BF20=1,-Funding!BF27,IF(Time!BF23=1,0,BF49-BF9))</f>
        <v>57.9581581797908</v>
      </c>
      <c r="BG61" s="19" t="n">
        <f aca="false">IF(Time!BG20=1,-Funding!BG27,IF(Time!BG23=1,0,BG49-BG9))</f>
        <v>61.8443262481577</v>
      </c>
      <c r="BH61" s="19" t="n">
        <f aca="false">IF(Time!BH20=1,-Funding!BH27,IF(Time!BH23=1,0,BH49-BH9))</f>
        <v>61.6664525946366</v>
      </c>
      <c r="BI61" s="19" t="n">
        <f aca="false">IF(Time!BI20=1,-Funding!BI27,IF(Time!BI23=1,0,BI49-BI9))</f>
        <v>65.4245774928331</v>
      </c>
      <c r="BJ61" s="19" t="n">
        <f aca="false">IF(Time!BJ20=1,-Funding!BJ27,IF(Time!BJ23=1,0,BJ49-BJ9))</f>
        <v>64.4578207099171</v>
      </c>
      <c r="BK61" s="19" t="n">
        <f aca="false">IF(Time!BK20=1,-Funding!BK27,IF(Time!BK23=1,0,BK49-BK9))</f>
        <v>68.990681646924</v>
      </c>
      <c r="BL61" s="19" t="n">
        <f aca="false">IF(Time!BL20=1,-Funding!BL27,IF(Time!BL23=1,0,BL49-BL9))</f>
        <v>67.9936256613396</v>
      </c>
      <c r="BM61" s="19" t="n">
        <f aca="false">IF(Time!BM20=1,-Funding!BM27,IF(Time!BM23=1,0,BM49-BM9))</f>
        <v>72.7256445081066</v>
      </c>
      <c r="BN61" s="19" t="n">
        <f aca="false">IF(Time!BN20=1,-Funding!BN27,IF(Time!BN23=1,0,BN49-BN9))</f>
        <v>71.0570577509413</v>
      </c>
      <c r="BO61" s="19" t="n">
        <f aca="false">IF(Time!BO20=1,-Funding!BO27,IF(Time!BO23=1,0,BO49-BO9))</f>
        <v>41.8815583827128</v>
      </c>
      <c r="BP61" s="19" t="n">
        <f aca="false">IF(Time!BP20=1,-Funding!BP27,IF(Time!BP23=1,0,BP49-BP9))</f>
        <v>40.8946855055452</v>
      </c>
      <c r="BQ61" s="19" t="n">
        <f aca="false">IF(Time!BQ20=1,-Funding!BQ27,IF(Time!BQ23=1,0,BQ49-BQ9))</f>
        <v>44.2310062352843</v>
      </c>
      <c r="BR61" s="19" t="n">
        <f aca="false">IF(Time!BR20=1,-Funding!BR27,IF(Time!BR23=1,0,BR49-BR9))</f>
        <v>41.5440425403719</v>
      </c>
      <c r="BS61" s="19" t="n">
        <f aca="false">IF(Time!BS20=1,-Funding!BS27,IF(Time!BS23=1,0,BS49-BS9))</f>
        <v>45.4013717458897</v>
      </c>
      <c r="BT61" s="19" t="n">
        <f aca="false">IF(Time!BT20=1,-Funding!BT27,IF(Time!BT23=1,0,BT49-BT9))</f>
        <v>35.6239949505604</v>
      </c>
      <c r="BU61" s="19" t="n">
        <f aca="false">IF(Time!BU20=1,-Funding!BU27,IF(Time!BU23=1,0,BU49-BU9))</f>
        <v>87.9981815281106</v>
      </c>
      <c r="BV61" s="19" t="n">
        <f aca="false">IF(Time!BV20=1,-Funding!BV27,IF(Time!BV23=1,0,BV49-BV9))</f>
        <v>53.2155190611376</v>
      </c>
      <c r="BW61" s="19" t="n">
        <f aca="false">IF(Time!BW20=1,-Funding!BW27,IF(Time!BW23=1,0,BW49-BW9))</f>
        <v>56.1268104880805</v>
      </c>
      <c r="BX61" s="19" t="n">
        <f aca="false">IF(Time!BX20=1,-Funding!BX27,IF(Time!BX23=1,0,BX49-BX9))</f>
        <v>53.8975097546615</v>
      </c>
      <c r="BY61" s="19" t="n">
        <f aca="false">IF(Time!BY20=1,-Funding!BY27,IF(Time!BY23=1,0,BY49-BY9))</f>
        <v>57.4599560095415</v>
      </c>
      <c r="BZ61" s="19" t="n">
        <f aca="false">IF(Time!BZ20=1,-Funding!BZ27,IF(Time!BZ23=1,0,BZ49-BZ9))</f>
        <v>58.7678745814896</v>
      </c>
      <c r="CA61" s="19" t="n">
        <f aca="false">IF(Time!CA20=1,-Funding!CA27,IF(Time!CA23=1,0,CA49-CA9))</f>
        <v>52.8573885994911</v>
      </c>
      <c r="CB61" s="19" t="n">
        <f aca="false">IF(Time!CB20=1,-Funding!CB27,IF(Time!CB23=1,0,CB49-CB9))</f>
        <v>49.5761045356257</v>
      </c>
      <c r="CC61" s="19" t="n">
        <f aca="false">IF(Time!CC20=1,-Funding!CC27,IF(Time!CC23=1,0,CC49-CC9))</f>
        <v>54.0000790655108</v>
      </c>
      <c r="CD61" s="19" t="n">
        <f aca="false">IF(Time!CD20=1,-Funding!CD27,IF(Time!CD23=1,0,CD49-CD9))</f>
        <v>52.7760912986604</v>
      </c>
      <c r="CE61" s="19" t="n">
        <f aca="false">IF(Time!CE20=1,-Funding!CE27,IF(Time!CE23=1,0,CE49-CE9))</f>
        <v>58.3018729788718</v>
      </c>
      <c r="CF61" s="19" t="n">
        <f aca="false">IF(Time!CF20=1,-Funding!CF27,IF(Time!CF23=1,0,CF49-CF9))</f>
        <v>57.53113936667</v>
      </c>
      <c r="CG61" s="19" t="n">
        <f aca="false">IF(Time!CG20=1,-Funding!CG27,IF(Time!CG23=1,0,CG49-CG9))</f>
        <v>133.500557724704</v>
      </c>
      <c r="CH61" s="19" t="n">
        <f aca="false">IF(Time!CH20=1,-Funding!CH27,IF(Time!CH23=1,0,CH49-CH9))</f>
        <v>104.376609050815</v>
      </c>
      <c r="CI61" s="19" t="n">
        <f aca="false">IF(Time!CI20=1,-Funding!CI27,IF(Time!CI23=1,0,CI49-CI9))</f>
        <v>109.090707097645</v>
      </c>
      <c r="CJ61" s="19" t="n">
        <f aca="false">IF(Time!CJ20=1,-Funding!CJ27,IF(Time!CJ23=1,0,CJ49-CJ9))</f>
        <v>108.325607673925</v>
      </c>
      <c r="CK61" s="19" t="n">
        <f aca="false">IF(Time!CK20=1,-Funding!CK27,IF(Time!CK23=1,0,CK49-CK9))</f>
        <v>125.485723670204</v>
      </c>
      <c r="CL61" s="19" t="n">
        <f aca="false">IF(Time!CL20=1,-Funding!CL27,IF(Time!CL23=1,0,CL49-CL9))</f>
        <v>116.786306041464</v>
      </c>
      <c r="CM61" s="19" t="n">
        <f aca="false">IF(Time!CM20=1,-Funding!CM27,IF(Time!CM23=1,0,CM49-CM9))</f>
        <v>121.851516266358</v>
      </c>
      <c r="CN61" s="19" t="n">
        <f aca="false">IF(Time!CN20=1,-Funding!CN27,IF(Time!CN23=1,0,CN49-CN9))</f>
        <v>121.750972389922</v>
      </c>
      <c r="CO61" s="19" t="n">
        <f aca="false">IF(Time!CO20=1,-Funding!CO27,IF(Time!CO23=1,0,CO49-CO9))</f>
        <v>126.272245702562</v>
      </c>
      <c r="CP61" s="19" t="n">
        <f aca="false">IF(Time!CP20=1,-Funding!CP27,IF(Time!CP23=1,0,CP49-CP9))</f>
        <v>168.809348214662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2553.00976909653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-25.9400053254068</v>
      </c>
      <c r="AA9" s="19" t="n">
        <f aca="false">(Operations!AA32-Operations!AA36-Reserves!AA22-AA6-Debt!AA64-Tax!AA13-Tax!AA14-Debt!AA65-Tax!AA23)*(1-Time!AA20)+AA8</f>
        <v>-51.7578827276695</v>
      </c>
      <c r="AB9" s="19" t="n">
        <f aca="false">(Operations!AB32-Operations!AB36-Reserves!AB22-AB6-Debt!AB64-Tax!AB13-Tax!AB14-Debt!AB65-Tax!AB23)*(1-Time!AB20)+AB8</f>
        <v>-46.3804419010847</v>
      </c>
      <c r="AC9" s="19" t="n">
        <f aca="false">(Operations!AC32-Operations!AC36-Reserves!AC22-AC6-Debt!AC64-Tax!AC13-Tax!AC14-Debt!AC65-Tax!AC23)*(1-Time!AC20)+AC8</f>
        <v>-47.1194615682536</v>
      </c>
      <c r="AD9" s="19" t="n">
        <f aca="false">(Operations!AD32-Operations!AD36-Reserves!AD22-AD6-Debt!AD64-Tax!AD13-Tax!AD14-Debt!AD65-Tax!AD23)*(1-Time!AD20)+AD8</f>
        <v>-43.284651561037</v>
      </c>
      <c r="AE9" s="19" t="n">
        <f aca="false">(Operations!AE32-Operations!AE36-Reserves!AE22-AE6-Debt!AE64-Tax!AE13-Tax!AE14-Debt!AE65-Tax!AE23)*(1-Time!AE20)+AE8</f>
        <v>-40.491107684112</v>
      </c>
      <c r="AF9" s="19" t="n">
        <f aca="false">(Operations!AF32-Operations!AF36-Reserves!AF22-AF6-Debt!AF64-Tax!AF13-Tax!AF14-Debt!AF65-Tax!AF23)*(1-Time!AF20)+AF8</f>
        <v>-41.2879816103268</v>
      </c>
      <c r="AG9" s="19" t="n">
        <f aca="false">(Operations!AG32-Operations!AG36-Reserves!AG22-AG6-Debt!AG64-Tax!AG13-Tax!AG14-Debt!AG65-Tax!AG23)*(1-Time!AG20)+AG8</f>
        <v>-34.826250288004</v>
      </c>
      <c r="AH9" s="19" t="n">
        <f aca="false">(Operations!AH32-Operations!AH36-Reserves!AH22-AH6-Debt!AH64-Tax!AH13-Tax!AH14-Debt!AH65-Tax!AH23)*(1-Time!AH20)+AH8</f>
        <v>-32.7657371783033</v>
      </c>
      <c r="AI9" s="19" t="n">
        <f aca="false">(Operations!AI32-Operations!AI36-Reserves!AI22-AI6-Debt!AI64-Tax!AI13-Tax!AI14-Debt!AI65-Tax!AI23)*(1-Time!AI20)+AI8</f>
        <v>-31.2199019870462</v>
      </c>
      <c r="AJ9" s="19" t="n">
        <f aca="false">(Operations!AJ32-Operations!AJ36-Reserves!AJ22-AJ6-Debt!AJ64-Tax!AJ13-Tax!AJ14-Debt!AJ65-Tax!AJ23)*(1-Time!AJ20)+AJ8</f>
        <v>-29.1608974883905</v>
      </c>
      <c r="AK9" s="19" t="n">
        <f aca="false">(Operations!AK32-Operations!AK36-Reserves!AK22-AK6-Debt!AK64-Tax!AK13-Tax!AK14-Debt!AK65-Tax!AK23)*(1-Time!AK20)+AK8</f>
        <v>-27.4806883146688</v>
      </c>
      <c r="AL9" s="19" t="n">
        <f aca="false">(Operations!AL32-Operations!AL36-Reserves!AL22-AL6-Debt!AL64-Tax!AL13-Tax!AL14-Debt!AL65-Tax!AL23)*(1-Time!AL20)+AL8</f>
        <v>-25.3634091682274</v>
      </c>
      <c r="AM9" s="19" t="n">
        <f aca="false">(Operations!AM32-Operations!AM36-Reserves!AM22-AM6-Debt!AM64-Tax!AM13-Tax!AM14-Debt!AM65-Tax!AM23)*(1-Time!AM20)+AM8</f>
        <v>-23.5053935099466</v>
      </c>
      <c r="AN9" s="19" t="n">
        <f aca="false">(Operations!AN32-Operations!AN36-Reserves!AN22-AN6-Debt!AN64-Tax!AN13-Tax!AN14-Debt!AN65-Tax!AN23)*(1-Time!AN20)+AN8</f>
        <v>-21.1056313620533</v>
      </c>
      <c r="AO9" s="19" t="n">
        <f aca="false">(Operations!AO32-Operations!AO36-Reserves!AO22-AO6-Debt!AO64-Tax!AO13-Tax!AO14-Debt!AO65-Tax!AO23)*(1-Time!AO20)+AO8</f>
        <v>-38.1338055161959</v>
      </c>
      <c r="AP9" s="19" t="n">
        <f aca="false">(Operations!AP32-Operations!AP36-Reserves!AP22-AP6-Debt!AP64-Tax!AP13-Tax!AP14-Debt!AP65-Tax!AP23)*(1-Time!AP20)+AP8</f>
        <v>-15.9680215553909</v>
      </c>
      <c r="AQ9" s="19" t="n">
        <f aca="false">(Operations!AQ32-Operations!AQ36-Reserves!AQ22-AQ6-Debt!AQ64-Tax!AQ13-Tax!AQ14-Debt!AQ65-Tax!AQ23)*(1-Time!AQ20)+AQ8</f>
        <v>-13.0455056378434</v>
      </c>
      <c r="AR9" s="19" t="n">
        <f aca="false">(Operations!AR32-Operations!AR36-Reserves!AR22-AR6-Debt!AR64-Tax!AR13-Tax!AR14-Debt!AR65-Tax!AR23)*(1-Time!AR20)+AR8</f>
        <v>-10.3206011028221</v>
      </c>
      <c r="AS9" s="19" t="n">
        <f aca="false">(Operations!AS32-Operations!AS36-Reserves!AS22-AS6-Debt!AS64-Tax!AS13-Tax!AS14-Debt!AS65-Tax!AS23)*(1-Time!AS20)+AS8</f>
        <v>-7.37210485890513</v>
      </c>
      <c r="AT9" s="19" t="n">
        <f aca="false">(Operations!AT32-Operations!AT36-Reserves!AT22-AT6-Debt!AT64-Tax!AT13-Tax!AT14-Debt!AT65-Tax!AT23)*(1-Time!AT20)+AT8</f>
        <v>-4.28059333138691</v>
      </c>
      <c r="AU9" s="19" t="n">
        <f aca="false">(Operations!AU32-Operations!AU36-Reserves!AU22-AU6-Debt!AU64-Tax!AU13-Tax!AU14-Debt!AU65-Tax!AU23)*(1-Time!AU20)+AU8</f>
        <v>-0.752901832774001</v>
      </c>
      <c r="AV9" s="19" t="n">
        <f aca="false">(Operations!AV32-Operations!AV36-Reserves!AV22-AV6-Debt!AV64-Tax!AV13-Tax!AV14-Debt!AV65-Tax!AV23)*(1-Time!AV20)+AV8</f>
        <v>2.74038251188064</v>
      </c>
      <c r="AW9" s="19" t="n">
        <f aca="false">(Operations!AW32-Operations!AW36-Reserves!AW22-AW6-Debt!AW64-Tax!AW13-Tax!AW14-Debt!AW65-Tax!AW23)*(1-Time!AW20)+AW8</f>
        <v>-55.3981534380464</v>
      </c>
      <c r="AX9" s="19" t="n">
        <f aca="false">(Operations!AX32-Operations!AX36-Reserves!AX22-AX6-Debt!AX64-Tax!AX13-Tax!AX14-Debt!AX65-Tax!AX23)*(1-Time!AX20)+AX8</f>
        <v>9.11825138765454</v>
      </c>
      <c r="AY9" s="19" t="n">
        <f aca="false">(Operations!AY32-Operations!AY36-Reserves!AY22-AY6-Debt!AY64-Tax!AY13-Tax!AY14-Debt!AY65-Tax!AY23)*(1-Time!AY20)+AY8</f>
        <v>13.386652361189</v>
      </c>
      <c r="AZ9" s="19" t="n">
        <f aca="false">(Operations!AZ32-Operations!AZ36-Reserves!AZ22-AZ6-Debt!AZ64-Tax!AZ13-Tax!AZ14-Debt!AZ65-Tax!AZ23)*(1-Time!AZ20)+AZ8</f>
        <v>16.4996877730006</v>
      </c>
      <c r="BA9" s="19" t="n">
        <f aca="false">(Operations!BA32-Operations!BA36-Reserves!BA22-BA6-Debt!BA64-Tax!BA13-Tax!BA14-Debt!BA65-Tax!BA23)*(1-Time!BA20)+BA8</f>
        <v>20.9471760917612</v>
      </c>
      <c r="BB9" s="19" t="n">
        <f aca="false">(Operations!BB32-Operations!BB36-Reserves!BB22-BB6-Debt!BB64-Tax!BB13-Tax!BB14-Debt!BB65-Tax!BB23)*(1-Time!BB20)+BB8</f>
        <v>24.2213875301979</v>
      </c>
      <c r="BC9" s="19" t="n">
        <f aca="false">(Operations!BC32-Operations!BC36-Reserves!BC22-BC6-Debt!BC64-Tax!BC13-Tax!BC14-Debt!BC65-Tax!BC23)*(1-Time!BC20)+BC8</f>
        <v>-20.4909340455304</v>
      </c>
      <c r="BD9" s="19" t="n">
        <f aca="false">(Operations!BD32-Operations!BD36-Reserves!BD22-BD6-Debt!BD64-Tax!BD13-Tax!BD14-Debt!BD65-Tax!BD23)*(1-Time!BD20)+BD8</f>
        <v>33.1701087340669</v>
      </c>
      <c r="BE9" s="19" t="n">
        <f aca="false">(Operations!BE32-Operations!BE36-Reserves!BE22-BE6-Debt!BE64-Tax!BE13-Tax!BE14-Debt!BE65-Tax!BE23)*(1-Time!BE20)+BE8</f>
        <v>15.7877690324347</v>
      </c>
      <c r="BF9" s="19" t="n">
        <f aca="false">(Operations!BF32-Operations!BF36-Reserves!BF22-BF6-Debt!BF64-Tax!BF13-Tax!BF14-Debt!BF65-Tax!BF23)*(1-Time!BF20)+BF8</f>
        <v>43.7273692088584</v>
      </c>
      <c r="BG9" s="19" t="n">
        <f aca="false">(Operations!BG32-Operations!BG36-Reserves!BG22-BG6-Debt!BG64-Tax!BG13-Tax!BG14-Debt!BG65-Tax!BG23)*(1-Time!BG20)+BG8</f>
        <v>50.7723019143886</v>
      </c>
      <c r="BH9" s="19" t="n">
        <f aca="false">(Operations!BH32-Operations!BH36-Reserves!BH22-BH6-Debt!BH64-Tax!BH13-Tax!BH14-Debt!BH65-Tax!BH23)*(1-Time!BH20)+BH8</f>
        <v>56.009223743008</v>
      </c>
      <c r="BI9" s="19" t="n">
        <f aca="false">(Operations!BI32-Operations!BI36-Reserves!BI22-BI6-Debt!BI64-Tax!BI13-Tax!BI14-Debt!BI65-Tax!BI23)*(1-Time!BI20)+BI8</f>
        <v>62.5533605038872</v>
      </c>
      <c r="BJ9" s="19" t="n">
        <f aca="false">(Operations!BJ32-Operations!BJ36-Reserves!BJ22-BJ6-Debt!BJ64-Tax!BJ13-Tax!BJ14-Debt!BJ65-Tax!BJ23)*(1-Time!BJ20)+BJ8</f>
        <v>64.5569826049647</v>
      </c>
      <c r="BK9" s="19" t="n">
        <f aca="false">(Operations!BK32-Operations!BK36-Reserves!BK22-BK6-Debt!BK64-Tax!BK13-Tax!BK14-Debt!BK65-Tax!BK23)*(1-Time!BK20)+BK8</f>
        <v>69.8620870493387</v>
      </c>
      <c r="BL9" s="19" t="n">
        <f aca="false">(Operations!BL32-Operations!BL36-Reserves!BL22-BL6-Debt!BL64-Tax!BL13-Tax!BL14-Debt!BL65-Tax!BL23)*(1-Time!BL20)+BL8</f>
        <v>71.9796506278366</v>
      </c>
      <c r="BM9" s="19" t="n">
        <f aca="false">(Operations!BM32-Operations!BM36-Reserves!BM22-BM6-Debt!BM64-Tax!BM13-Tax!BM14-Debt!BM65-Tax!BM23)*(1-Time!BM20)+BM8</f>
        <v>77.6197676113578</v>
      </c>
      <c r="BN9" s="19" t="n">
        <f aca="false">(Operations!BN32-Operations!BN36-Reserves!BN22-BN6-Debt!BN64-Tax!BN13-Tax!BN14-Debt!BN65-Tax!BN23)*(1-Time!BN20)+BN8</f>
        <v>72.250605353765</v>
      </c>
      <c r="BO9" s="19" t="n">
        <f aca="false">(Operations!BO32-Operations!BO36-Reserves!BO22-BO6-Debt!BO64-Tax!BO13-Tax!BO14-Debt!BO65-Tax!BO23)*(1-Time!BO20)+BO8</f>
        <v>60.1313728403338</v>
      </c>
      <c r="BP9" s="19" t="n">
        <f aca="false">(Operations!BP32-Operations!BP36-Reserves!BP22-BP6-Debt!BP64-Tax!BP13-Tax!BP14-Debt!BP65-Tax!BP23)*(1-Time!BP20)+BP8</f>
        <v>62.0044951399359</v>
      </c>
      <c r="BQ9" s="19" t="n">
        <f aca="false">(Operations!BQ32-Operations!BQ36-Reserves!BQ22-BQ6-Debt!BQ64-Tax!BQ13-Tax!BQ14-Debt!BQ65-Tax!BQ23)*(1-Time!BQ20)+BQ8</f>
        <v>65.9978293666013</v>
      </c>
      <c r="BR9" s="19" t="n">
        <f aca="false">(Operations!BR32-Operations!BR36-Reserves!BR22-BR6-Debt!BR64-Tax!BR13-Tax!BR14-Debt!BR65-Tax!BR23)*(1-Time!BR20)+BR8</f>
        <v>66.3452582112489</v>
      </c>
      <c r="BS9" s="19" t="n">
        <f aca="false">(Operations!BS32-Operations!BS36-Reserves!BS22-BS6-Debt!BS64-Tax!BS13-Tax!BS14-Debt!BS65-Tax!BS23)*(1-Time!BS20)+BS8</f>
        <v>70.948910830223</v>
      </c>
      <c r="BT9" s="19" t="n">
        <f aca="false">(Operations!BT32-Operations!BT36-Reserves!BT22-BT6-Debt!BT64-Tax!BT13-Tax!BT14-Debt!BT65-Tax!BT23)*(1-Time!BT20)+BT8</f>
        <v>71.3266796927128</v>
      </c>
      <c r="BU9" s="19" t="n">
        <f aca="false">(Operations!BU32-Operations!BU36-Reserves!BU22-BU6-Debt!BU64-Tax!BU13-Tax!BU14-Debt!BU65-Tax!BU23)*(1-Time!BU20)+BU8</f>
        <v>-2.780958722742</v>
      </c>
      <c r="BV9" s="19" t="n">
        <f aca="false">(Operations!BV32-Operations!BV36-Reserves!BV22-BV6-Debt!BV64-Tax!BV13-Tax!BV14-Debt!BV65-Tax!BV23)*(1-Time!BV20)+BV8</f>
        <v>77.5827132061151</v>
      </c>
      <c r="BW9" s="19" t="n">
        <f aca="false">(Operations!BW32-Operations!BW36-Reserves!BW22-BW6-Debt!BW64-Tax!BW13-Tax!BW14-Debt!BW65-Tax!BW23)*(1-Time!BW20)+BW8</f>
        <v>82.0263303025569</v>
      </c>
      <c r="BX9" s="19" t="n">
        <f aca="false">(Operations!BX32-Operations!BX36-Reserves!BX22-BX6-Debt!BX64-Tax!BX13-Tax!BX14-Debt!BX65-Tax!BX23)*(1-Time!BX20)+BX8</f>
        <v>83.1145160363002</v>
      </c>
      <c r="BY9" s="19" t="n">
        <f aca="false">(Operations!BY32-Operations!BY36-Reserves!BY22-BY6-Debt!BY64-Tax!BY13-Tax!BY14-Debt!BY65-Tax!BY23)*(1-Time!BY20)+BY8</f>
        <v>88.2006792862697</v>
      </c>
      <c r="BZ9" s="19" t="n">
        <f aca="false">(Operations!BZ32-Operations!BZ36-Reserves!BZ22-BZ6-Debt!BZ64-Tax!BZ13-Tax!BZ14-Debt!BZ65-Tax!BZ23)*(1-Time!BZ20)+BZ8</f>
        <v>88.8529221038315</v>
      </c>
      <c r="CA9" s="19" t="n">
        <f aca="false">(Operations!CA32-Operations!CA36-Reserves!CA22-CA6-Debt!CA64-Tax!CA13-Tax!CA14-Debt!CA65-Tax!CA23)*(1-Time!CA20)+CA8</f>
        <v>94.707111511566</v>
      </c>
      <c r="CB9" s="19" t="n">
        <f aca="false">(Operations!CB32-Operations!CB36-Reserves!CB22-CB6-Debt!CB64-Tax!CB13-Tax!CB14-Debt!CB65-Tax!CB23)*(1-Time!CB20)+CB8</f>
        <v>95.3036212517332</v>
      </c>
      <c r="CC9" s="19" t="n">
        <f aca="false">(Operations!CC32-Operations!CC36-Reserves!CC22-CC6-Debt!CC64-Tax!CC13-Tax!CC14-Debt!CC65-Tax!CC23)*(1-Time!CC20)+CC8</f>
        <v>101.357827970401</v>
      </c>
      <c r="CD9" s="19" t="n">
        <f aca="false">(Operations!CD32-Operations!CD36-Reserves!CD22-CD6-Debt!CD64-Tax!CD13-Tax!CD14-Debt!CD65-Tax!CD23)*(1-Time!CD20)+CD8</f>
        <v>102.001188702985</v>
      </c>
      <c r="CE9" s="19" t="n">
        <f aca="false">(Operations!CE32-Operations!CE36-Reserves!CE22-CE6-Debt!CE64-Tax!CE13-Tax!CE14-Debt!CE65-Tax!CE23)*(1-Time!CE20)+CE8</f>
        <v>108.367955200759</v>
      </c>
      <c r="CF9" s="19" t="n">
        <f aca="false">(Operations!CF32-Operations!CF36-Reserves!CF22-CF6-Debt!CF64-Tax!CF13-Tax!CF14-Debt!CF65-Tax!CF23)*(1-Time!CF20)+CF8</f>
        <v>109.619125614002</v>
      </c>
      <c r="CG9" s="19" t="n">
        <f aca="false">(Operations!CG32-Operations!CG36-Reserves!CG22-CG6-Debt!CG64-Tax!CG13-Tax!CG14-Debt!CG65-Tax!CG23)*(1-Time!CG20)+CG8</f>
        <v>65.1182688639699</v>
      </c>
      <c r="CH9" s="19" t="n">
        <f aca="false">(Operations!CH32-Operations!CH36-Reserves!CH22-CH6-Debt!CH64-Tax!CH13-Tax!CH14-Debt!CH65-Tax!CH23)*(1-Time!CH20)+CH8</f>
        <v>116.129429517425</v>
      </c>
      <c r="CI9" s="19" t="n">
        <f aca="false">(Operations!CI32-Operations!CI36-Reserves!CI22-CI6-Debt!CI64-Tax!CI13-Tax!CI14-Debt!CI65-Tax!CI23)*(1-Time!CI20)+CI8</f>
        <v>122.193794404036</v>
      </c>
      <c r="CJ9" s="19" t="n">
        <f aca="false">(Operations!CJ32-Operations!CJ36-Reserves!CJ22-CJ6-Debt!CJ64-Tax!CJ13-Tax!CJ14-Debt!CJ65-Tax!CJ23)*(1-Time!CJ20)+CJ8</f>
        <v>121.939442635243</v>
      </c>
      <c r="CK9" s="19" t="n">
        <f aca="false">(Operations!CK32-Operations!CK36-Reserves!CK22-CK6-Debt!CK64-Tax!CK13-Tax!CK14-Debt!CK65-Tax!CK23)*(1-Time!CK20)+CK8</f>
        <v>103.82693556674</v>
      </c>
      <c r="CL9" s="19" t="n">
        <f aca="false">(Operations!CL32-Operations!CL36-Reserves!CL22-CL6-Debt!CL64-Tax!CL13-Tax!CL14-Debt!CL65-Tax!CL23)*(1-Time!CL20)+CL8</f>
        <v>128.014540195288</v>
      </c>
      <c r="CM9" s="19" t="n">
        <f aca="false">(Operations!CM32-Operations!CM36-Reserves!CM22-CM6-Debt!CM64-Tax!CM13-Tax!CM14-Debt!CM65-Tax!CM23)*(1-Time!CM20)+CM8</f>
        <v>134.631521216116</v>
      </c>
      <c r="CN9" s="19" t="n">
        <f aca="false">(Operations!CN32-Operations!CN36-Reserves!CN22-CN6-Debt!CN64-Tax!CN13-Tax!CN14-Debt!CN65-Tax!CN23)*(1-Time!CN20)+CN8</f>
        <v>135.092091656271</v>
      </c>
      <c r="CO9" s="19" t="n">
        <f aca="false">(Operations!CO32-Operations!CO36-Reserves!CO22-CO6-Debt!CO64-Tax!CO13-Tax!CO14-Debt!CO65-Tax!CO23)*(1-Time!CO20)+CO8</f>
        <v>141.228746299617</v>
      </c>
      <c r="CP9" s="19" t="n">
        <f aca="false">(Operations!CP32-Operations!CP36-Reserves!CP22-CP6-Debt!CP64-Tax!CP13-Tax!CP14-Debt!CP65-Tax!CP23)*(1-Time!CP20)+CP8</f>
        <v>41.9767191508323</v>
      </c>
      <c r="CQ9" s="19" t="n">
        <f aca="false">(Operations!CQ32-Operations!CQ36-Reserves!CQ22-CQ6-Debt!CQ64-Tax!CQ13-Tax!CQ14-Debt!CQ65-Tax!CQ23)*(1-Time!CQ20)+CQ8</f>
        <v>-5.55648191080975E-014</v>
      </c>
      <c r="CR9" s="19" t="n">
        <f aca="false">(Operations!CR32-Operations!CR36-Reserves!CR22-CR6-Debt!CR64-Tax!CR13-Tax!CR14-Debt!CR65-Tax!CR23)*(1-Time!CR20)+CR8</f>
        <v>-5.51181991980927E-014</v>
      </c>
      <c r="CS9" s="19" t="n">
        <f aca="false">(Operations!CS32-Operations!CS36-Reserves!CS22-CS6-Debt!CS64-Tax!CS13-Tax!CS14-Debt!CS65-Tax!CS23)*(1-Time!CS20)+CS8</f>
        <v>-5.55648191080975E-014</v>
      </c>
      <c r="CT9" s="19" t="n">
        <f aca="false">(Operations!CT32-Operations!CT36-Reserves!CT22-CT6-Debt!CT64-Tax!CT13-Tax!CT14-Debt!CT65-Tax!CT23)*(1-Time!CT20)+CT8</f>
        <v>-5.51181991980927E-014</v>
      </c>
      <c r="CU9" s="19" t="n">
        <f aca="false">(Operations!CU32-Operations!CU36-Reserves!CU22-CU6-Debt!CU64-Tax!CU13-Tax!CU14-Debt!CU65-Tax!CU23)*(1-Time!CU20)+CU8</f>
        <v>-5.55648191080975E-014</v>
      </c>
      <c r="CV9" s="19" t="n">
        <f aca="false">(Operations!CV32-Operations!CV36-Reserves!CV22-CV6-Debt!CV64-Tax!CV13-Tax!CV14-Debt!CV65-Tax!CV23)*(1-Time!CV20)+CV8</f>
        <v>-5.52670725014276E-014</v>
      </c>
      <c r="CW9" s="19" t="n">
        <f aca="false">(Operations!CW32-Operations!CW36-Reserves!CW22-CW6-Debt!CW64-Tax!CW13-Tax!CW14-Debt!CW65-Tax!CW23)*(1-Time!CW20)+CW8</f>
        <v>-5.55648191080975E-014</v>
      </c>
      <c r="CX9" s="19" t="n">
        <f aca="false">(Operations!CX32-Operations!CX36-Reserves!CX22-CX6-Debt!CX64-Tax!CX13-Tax!CX14-Debt!CX65-Tax!CX23)*(1-Time!CX20)+CX8</f>
        <v>-5.51181991980927E-014</v>
      </c>
      <c r="CY9" s="19" t="n">
        <f aca="false">(Operations!CY32-Operations!CY36-Reserves!CY22-CY6-Debt!CY64-Tax!CY13-Tax!CY14-Debt!CY65-Tax!CY23)*(1-Time!CY20)+CY8</f>
        <v>-5.55648191080975E-014</v>
      </c>
      <c r="CZ9" s="19" t="n">
        <f aca="false">(Operations!CZ32-Operations!CZ36-Reserves!CZ22-CZ6-Debt!CZ64-Tax!CZ13-Tax!CZ14-Debt!CZ65-Tax!CZ23)*(1-Time!CZ20)+CZ8</f>
        <v>-5.51181991980927E-014</v>
      </c>
      <c r="DA9" s="19" t="n">
        <f aca="false">(Operations!DA32-Operations!DA36-Reserves!DA22-DA6-Debt!DA64-Tax!DA13-Tax!DA14-Debt!DA65-Tax!DA23)*(1-Time!DA20)+DA8</f>
        <v>-5.55648191080975E-014</v>
      </c>
      <c r="DB9" s="19" t="n">
        <f aca="false">(Operations!DB32-Operations!DB36-Reserves!DB22-DB6-Debt!DB64-Tax!DB13-Tax!DB14-Debt!DB65-Tax!DB23)*(1-Time!DB20)+DB8</f>
        <v>-5.51181991980927E-014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1904.81061618614</v>
      </c>
      <c r="AA11" s="19" t="n">
        <f aca="false">AA7+Operations!AA41+Funding!AA16+Reserves!AA13+Reserves!AA16+Reserves!AA19+Reserves!AA23+Reserves!AA27+Reserves!AA30+Waterfall!AA51</f>
        <v>1884.19076802574</v>
      </c>
      <c r="AB11" s="19" t="n">
        <f aca="false">AB7+Operations!AB41+Funding!AB16+Reserves!AB13+Reserves!AB16+Reserves!AB19+Reserves!AB23+Reserves!AB27+Reserves!AB30+Waterfall!AB51</f>
        <v>1870.03360831642</v>
      </c>
      <c r="AC11" s="19" t="n">
        <f aca="false">AC7+Operations!AC41+Funding!AC16+Reserves!AC13+Reserves!AC16+Reserves!AC19+Reserves!AC23+Reserves!AC27+Reserves!AC30+Waterfall!AC51</f>
        <v>1856.77071054114</v>
      </c>
      <c r="AD11" s="19" t="n">
        <f aca="false">AD7+Operations!AD41+Funding!AD16+Reserves!AD13+Reserves!AD16+Reserves!AD19+Reserves!AD23+Reserves!AD27+Reserves!AD30+Waterfall!AD51</f>
        <v>1744.4817691956</v>
      </c>
      <c r="AE11" s="19" t="n">
        <f aca="false">AE7+Operations!AE41+Funding!AE16+Reserves!AE13+Reserves!AE16+Reserves!AE19+Reserves!AE23+Reserves!AE27+Reserves!AE30+Waterfall!AE51</f>
        <v>1717.18897565697</v>
      </c>
      <c r="AF11" s="19" t="n">
        <f aca="false">AF7+Operations!AF41+Funding!AF16+Reserves!AF13+Reserves!AF16+Reserves!AF19+Reserves!AF23+Reserves!AF27+Reserves!AF30+Waterfall!AF51</f>
        <v>1690.50982488968</v>
      </c>
      <c r="AG11" s="19" t="n">
        <f aca="false">AG7+Operations!AG41+Funding!AG16+Reserves!AG13+Reserves!AG16+Reserves!AG19+Reserves!AG23+Reserves!AG27+Reserves!AG30+Waterfall!AG51</f>
        <v>1663.37071261352</v>
      </c>
      <c r="AH11" s="19" t="n">
        <f aca="false">AH7+Operations!AH41+Funding!AH16+Reserves!AH13+Reserves!AH16+Reserves!AH19+Reserves!AH23+Reserves!AH27+Reserves!AH30+Waterfall!AH51</f>
        <v>1637.07260950821</v>
      </c>
      <c r="AI11" s="19" t="n">
        <f aca="false">AI7+Operations!AI41+Funding!AI16+Reserves!AI13+Reserves!AI16+Reserves!AI19+Reserves!AI23+Reserves!AI27+Reserves!AI30+Waterfall!AI51</f>
        <v>1613.2207606358</v>
      </c>
      <c r="AJ11" s="19" t="n">
        <f aca="false">AJ7+Operations!AJ41+Funding!AJ16+Reserves!AJ13+Reserves!AJ16+Reserves!AJ19+Reserves!AJ23+Reserves!AJ27+Reserves!AJ30+Waterfall!AJ51</f>
        <v>1589.93880052103</v>
      </c>
      <c r="AK11" s="19" t="n">
        <f aca="false">AK7+Operations!AK41+Funding!AK16+Reserves!AK13+Reserves!AK16+Reserves!AK19+Reserves!AK23+Reserves!AK27+Reserves!AK30+Waterfall!AK51</f>
        <v>1566.03550291273</v>
      </c>
      <c r="AL11" s="19" t="n">
        <f aca="false">AL7+Operations!AL41+Funding!AL16+Reserves!AL13+Reserves!AL16+Reserves!AL19+Reserves!AL23+Reserves!AL27+Reserves!AL30+Waterfall!AL51</f>
        <v>1542.97499708176</v>
      </c>
      <c r="AM11" s="19" t="n">
        <f aca="false">AM7+Operations!AM41+Funding!AM16+Reserves!AM13+Reserves!AM16+Reserves!AM19+Reserves!AM23+Reserves!AM27+Reserves!AM30+Waterfall!AM51</f>
        <v>1519.08312647108</v>
      </c>
      <c r="AN11" s="19" t="n">
        <f aca="false">AN7+Operations!AN41+Funding!AN16+Reserves!AN13+Reserves!AN16+Reserves!AN19+Reserves!AN23+Reserves!AN27+Reserves!AN30+Waterfall!AN51</f>
        <v>1496.03527887168</v>
      </c>
      <c r="AO11" s="19" t="n">
        <f aca="false">AO7+Operations!AO41+Funding!AO16+Reserves!AO13+Reserves!AO16+Reserves!AO19+Reserves!AO23+Reserves!AO27+Reserves!AO30+Waterfall!AO51</f>
        <v>1449.65015916583</v>
      </c>
      <c r="AP11" s="19" t="n">
        <f aca="false">AP7+Operations!AP41+Funding!AP16+Reserves!AP13+Reserves!AP16+Reserves!AP19+Reserves!AP23+Reserves!AP27+Reserves!AP30+Waterfall!AP51</f>
        <v>1423.40109512719</v>
      </c>
      <c r="AQ11" s="19" t="n">
        <f aca="false">AQ7+Operations!AQ41+Funding!AQ16+Reserves!AQ13+Reserves!AQ16+Reserves!AQ19+Reserves!AQ23+Reserves!AQ27+Reserves!AQ30+Waterfall!AQ51</f>
        <v>1406.66140392413</v>
      </c>
      <c r="AR11" s="19" t="n">
        <f aca="false">AR7+Operations!AR41+Funding!AR16+Reserves!AR13+Reserves!AR16+Reserves!AR19+Reserves!AR23+Reserves!AR27+Reserves!AR30+Waterfall!AR51</f>
        <v>1390.49994587678</v>
      </c>
      <c r="AS11" s="19" t="n">
        <f aca="false">AS7+Operations!AS41+Funding!AS16+Reserves!AS13+Reserves!AS16+Reserves!AS19+Reserves!AS23+Reserves!AS27+Reserves!AS30+Waterfall!AS51</f>
        <v>1373.71109301629</v>
      </c>
      <c r="AT11" s="19" t="n">
        <f aca="false">AT7+Operations!AT41+Funding!AT16+Reserves!AT13+Reserves!AT16+Reserves!AT19+Reserves!AT23+Reserves!AT27+Reserves!AT30+Waterfall!AT51</f>
        <v>1357.77443272686</v>
      </c>
      <c r="AU11" s="19" t="n">
        <f aca="false">AU7+Operations!AU41+Funding!AU16+Reserves!AU13+Reserves!AU16+Reserves!AU19+Reserves!AU23+Reserves!AU27+Reserves!AU30+Waterfall!AU51</f>
        <v>1341.0079402064</v>
      </c>
      <c r="AV11" s="19" t="n">
        <f aca="false">AV7+Operations!AV41+Funding!AV16+Reserves!AV13+Reserves!AV16+Reserves!AV19+Reserves!AV23+Reserves!AV27+Reserves!AV30+Waterfall!AV51</f>
        <v>1326.89757570256</v>
      </c>
      <c r="AW11" s="19" t="n">
        <f aca="false">AW7+Operations!AW41+Funding!AW16+Reserves!AW13+Reserves!AW16+Reserves!AW19+Reserves!AW23+Reserves!AW27+Reserves!AW30+Waterfall!AW51</f>
        <v>1246.69544880496</v>
      </c>
      <c r="AX11" s="19" t="n">
        <f aca="false">AX7+Operations!AX41+Funding!AX16+Reserves!AX13+Reserves!AX16+Reserves!AX19+Reserves!AX23+Reserves!AX27+Reserves!AX30+Waterfall!AX51</f>
        <v>1228.34587318802</v>
      </c>
      <c r="AY11" s="19" t="n">
        <f aca="false">AY7+Operations!AY41+Funding!AY16+Reserves!AY13+Reserves!AY16+Reserves!AY19+Reserves!AY23+Reserves!AY27+Reserves!AY30+Waterfall!AY51</f>
        <v>1213.93912537878</v>
      </c>
      <c r="AZ11" s="19" t="n">
        <f aca="false">AZ7+Operations!AZ41+Funding!AZ16+Reserves!AZ13+Reserves!AZ16+Reserves!AZ19+Reserves!AZ23+Reserves!AZ27+Reserves!AZ30+Waterfall!AZ51</f>
        <v>1200.72926676583</v>
      </c>
      <c r="BA11" s="19" t="n">
        <f aca="false">BA7+Operations!BA41+Funding!BA16+Reserves!BA13+Reserves!BA16+Reserves!BA19+Reserves!BA23+Reserves!BA27+Reserves!BA30+Waterfall!BA51</f>
        <v>1186.17167892815</v>
      </c>
      <c r="BB11" s="19" t="n">
        <f aca="false">BB7+Operations!BB41+Funding!BB16+Reserves!BB13+Reserves!BB16+Reserves!BB19+Reserves!BB23+Reserves!BB27+Reserves!BB30+Waterfall!BB51</f>
        <v>1176.46657541686</v>
      </c>
      <c r="BC11" s="19" t="n">
        <f aca="false">BC7+Operations!BC41+Funding!BC16+Reserves!BC13+Reserves!BC16+Reserves!BC19+Reserves!BC23+Reserves!BC27+Reserves!BC30+Waterfall!BC51</f>
        <v>1103.88204800979</v>
      </c>
      <c r="BD11" s="19" t="n">
        <f aca="false">BD7+Operations!BD41+Funding!BD16+Reserves!BD13+Reserves!BD16+Reserves!BD19+Reserves!BD23+Reserves!BD27+Reserves!BD30+Waterfall!BD51</f>
        <v>1084.32439859059</v>
      </c>
      <c r="BE11" s="19" t="n">
        <f aca="false">BE7+Operations!BE41+Funding!BE16+Reserves!BE13+Reserves!BE16+Reserves!BE19+Reserves!BE23+Reserves!BE27+Reserves!BE30+Waterfall!BE51</f>
        <v>1034.09519831402</v>
      </c>
      <c r="BF11" s="19" t="n">
        <f aca="false">BF7+Operations!BF41+Funding!BF16+Reserves!BF13+Reserves!BF16+Reserves!BF19+Reserves!BF23+Reserves!BF27+Reserves!BF30+Waterfall!BF51</f>
        <v>1009.22198172383</v>
      </c>
      <c r="BG11" s="19" t="n">
        <f aca="false">BG7+Operations!BG41+Funding!BG16+Reserves!BG13+Reserves!BG16+Reserves!BG19+Reserves!BG23+Reserves!BG27+Reserves!BG30+Waterfall!BG51</f>
        <v>982.70665879427</v>
      </c>
      <c r="BH11" s="19" t="n">
        <f aca="false">BH7+Operations!BH41+Funding!BH16+Reserves!BH13+Reserves!BH16+Reserves!BH19+Reserves!BH23+Reserves!BH27+Reserves!BH30+Waterfall!BH51</f>
        <v>957.576373589605</v>
      </c>
      <c r="BI11" s="19" t="n">
        <f aca="false">BI7+Operations!BI41+Funding!BI16+Reserves!BI13+Reserves!BI16+Reserves!BI19+Reserves!BI23+Reserves!BI27+Reserves!BI30+Waterfall!BI51</f>
        <v>930.882616559902</v>
      </c>
      <c r="BJ11" s="19" t="n">
        <f aca="false">BJ7+Operations!BJ41+Funding!BJ16+Reserves!BJ13+Reserves!BJ16+Reserves!BJ19+Reserves!BJ23+Reserves!BJ27+Reserves!BJ30+Waterfall!BJ51</f>
        <v>906.191109087471</v>
      </c>
      <c r="BK11" s="19" t="n">
        <f aca="false">BK7+Operations!BK41+Funding!BK16+Reserves!BK13+Reserves!BK16+Reserves!BK19+Reserves!BK23+Reserves!BK27+Reserves!BK30+Waterfall!BK51</f>
        <v>879.518531586019</v>
      </c>
      <c r="BL11" s="19" t="n">
        <f aca="false">BL7+Operations!BL41+Funding!BL16+Reserves!BL13+Reserves!BL16+Reserves!BL19+Reserves!BL23+Reserves!BL27+Reserves!BL30+Waterfall!BL51</f>
        <v>854.908363279744</v>
      </c>
      <c r="BM11" s="19" t="n">
        <f aca="false">BM7+Operations!BM41+Funding!BM16+Reserves!BM13+Reserves!BM16+Reserves!BM19+Reserves!BM23+Reserves!BM27+Reserves!BM30+Waterfall!BM51</f>
        <v>828.25251356699</v>
      </c>
      <c r="BN11" s="19" t="n">
        <f aca="false">BN7+Operations!BN41+Funding!BN16+Reserves!BN13+Reserves!BN16+Reserves!BN19+Reserves!BN23+Reserves!BN27+Reserves!BN30+Waterfall!BN51</f>
        <v>796.756549497464</v>
      </c>
      <c r="BO11" s="19" t="n">
        <f aca="false">BO7+Operations!BO41+Funding!BO16+Reserves!BO13+Reserves!BO16+Reserves!BO19+Reserves!BO23+Reserves!BO27+Reserves!BO30+Waterfall!BO51</f>
        <v>788.965562085825</v>
      </c>
      <c r="BP11" s="19" t="n">
        <f aca="false">BP7+Operations!BP41+Funding!BP16+Reserves!BP13+Reserves!BP16+Reserves!BP19+Reserves!BP23+Reserves!BP27+Reserves!BP30+Waterfall!BP51</f>
        <v>782.772111269453</v>
      </c>
      <c r="BQ11" s="19" t="n">
        <f aca="false">BQ7+Operations!BQ41+Funding!BQ16+Reserves!BQ13+Reserves!BQ16+Reserves!BQ19+Reserves!BQ23+Reserves!BQ27+Reserves!BQ30+Waterfall!BQ51</f>
        <v>774.283342563306</v>
      </c>
      <c r="BR11" s="19" t="n">
        <f aca="false">BR7+Operations!BR41+Funding!BR16+Reserves!BR13+Reserves!BR16+Reserves!BR19+Reserves!BR23+Reserves!BR27+Reserves!BR30+Waterfall!BR51</f>
        <v>768.3814264927</v>
      </c>
      <c r="BS11" s="19" t="n">
        <f aca="false">BS7+Operations!BS41+Funding!BS16+Reserves!BS13+Reserves!BS16+Reserves!BS19+Reserves!BS23+Reserves!BS27+Reserves!BS30+Waterfall!BS51</f>
        <v>759.894440125622</v>
      </c>
      <c r="BT11" s="19" t="n">
        <f aca="false">BT7+Operations!BT41+Funding!BT16+Reserves!BT13+Reserves!BT16+Reserves!BT19+Reserves!BT23+Reserves!BT27+Reserves!BT30+Waterfall!BT51</f>
        <v>761.056456539223</v>
      </c>
      <c r="BU11" s="19" t="n">
        <f aca="false">BU7+Operations!BU41+Funding!BU16+Reserves!BU13+Reserves!BU16+Reserves!BU19+Reserves!BU23+Reserves!BU27+Reserves!BU30+Waterfall!BU51</f>
        <v>622.360638477231</v>
      </c>
      <c r="BV11" s="19" t="n">
        <f aca="false">BV7+Operations!BV41+Funding!BV16+Reserves!BV13+Reserves!BV16+Reserves!BV19+Reserves!BV23+Reserves!BV27+Reserves!BV30+Waterfall!BV51</f>
        <v>598.016318111289</v>
      </c>
      <c r="BW11" s="19" t="n">
        <f aca="false">BW7+Operations!BW41+Funding!BW16+Reserves!BW13+Reserves!BW16+Reserves!BW19+Reserves!BW23+Reserves!BW27+Reserves!BW30+Waterfall!BW51</f>
        <v>571.209083231284</v>
      </c>
      <c r="BX11" s="19" t="n">
        <f aca="false">BX7+Operations!BX41+Funding!BX16+Reserves!BX13+Reserves!BX16+Reserves!BX19+Reserves!BX23+Reserves!BX27+Reserves!BX30+Waterfall!BX51</f>
        <v>546.521896003371</v>
      </c>
      <c r="BY11" s="19" t="n">
        <f aca="false">BY7+Operations!BY41+Funding!BY16+Reserves!BY13+Reserves!BY16+Reserves!BY19+Reserves!BY23+Reserves!BY27+Reserves!BY30+Waterfall!BY51</f>
        <v>519.437645469124</v>
      </c>
      <c r="BZ11" s="19" t="n">
        <f aca="false">BZ7+Operations!BZ41+Funding!BZ16+Reserves!BZ13+Reserves!BZ16+Reserves!BZ19+Reserves!BZ23+Reserves!BZ27+Reserves!BZ30+Waterfall!BZ51</f>
        <v>490.750769440948</v>
      </c>
      <c r="CA11" s="19" t="n">
        <f aca="false">CA7+Operations!CA41+Funding!CA16+Reserves!CA13+Reserves!CA16+Reserves!CA19+Reserves!CA23+Reserves!CA27+Reserves!CA30+Waterfall!CA51</f>
        <v>475.6770905495</v>
      </c>
      <c r="CB11" s="19" t="n">
        <f aca="false">CB7+Operations!CB41+Funding!CB16+Reserves!CB13+Reserves!CB16+Reserves!CB19+Reserves!CB23+Reserves!CB27+Reserves!CB30+Waterfall!CB51</f>
        <v>463.596621485742</v>
      </c>
      <c r="CC11" s="19" t="n">
        <f aca="false">CC7+Operations!CC41+Funding!CC16+Reserves!CC13+Reserves!CC16+Reserves!CC19+Reserves!CC23+Reserves!CC27+Reserves!CC30+Waterfall!CC51</f>
        <v>448.523749569757</v>
      </c>
      <c r="CD11" s="19" t="n">
        <f aca="false">CD7+Operations!CD41+Funding!CD16+Reserves!CD13+Reserves!CD16+Reserves!CD19+Reserves!CD23+Reserves!CD27+Reserves!CD30+Waterfall!CD51</f>
        <v>434.348926096316</v>
      </c>
      <c r="CE11" s="19" t="n">
        <f aca="false">CE7+Operations!CE41+Funding!CE16+Reserves!CE13+Reserves!CE16+Reserves!CE19+Reserves!CE23+Reserves!CE27+Reserves!CE30+Waterfall!CE51</f>
        <v>419.190080449633</v>
      </c>
      <c r="CF11" s="19" t="n">
        <f aca="false">CF7+Operations!CF41+Funding!CF16+Reserves!CF13+Reserves!CF16+Reserves!CF19+Reserves!CF23+Reserves!CF27+Reserves!CF30+Waterfall!CF51</f>
        <v>413.400596680817</v>
      </c>
      <c r="CG11" s="19" t="n">
        <f aca="false">CG7+Operations!CG41+Funding!CG16+Reserves!CG13+Reserves!CG16+Reserves!CG19+Reserves!CG23+Reserves!CG27+Reserves!CG30+Waterfall!CG51</f>
        <v>281.566087579554</v>
      </c>
      <c r="CH11" s="19" t="n">
        <f aca="false">CH7+Operations!CH41+Funding!CH16+Reserves!CH13+Reserves!CH16+Reserves!CH19+Reserves!CH23+Reserves!CH27+Reserves!CH30+Waterfall!CH51</f>
        <v>270.801698641481</v>
      </c>
      <c r="CI11" s="19" t="n">
        <f aca="false">CI7+Operations!CI41+Funding!CI16+Reserves!CI13+Reserves!CI16+Reserves!CI19+Reserves!CI23+Reserves!CI27+Reserves!CI30+Waterfall!CI51</f>
        <v>259.832832862287</v>
      </c>
      <c r="CJ11" s="19" t="n">
        <f aca="false">CJ7+Operations!CJ41+Funding!CJ16+Reserves!CJ13+Reserves!CJ16+Reserves!CJ19+Reserves!CJ23+Reserves!CJ27+Reserves!CJ30+Waterfall!CJ51</f>
        <v>249.323010498873</v>
      </c>
      <c r="CK11" s="19" t="n">
        <f aca="false">CK7+Operations!CK41+Funding!CK16+Reserves!CK13+Reserves!CK16+Reserves!CK19+Reserves!CK23+Reserves!CK27+Reserves!CK30+Waterfall!CK51</f>
        <v>197.915290471594</v>
      </c>
      <c r="CL11" s="19" t="n">
        <f aca="false">CL7+Operations!CL41+Funding!CL16+Reserves!CL13+Reserves!CL16+Reserves!CL19+Reserves!CL23+Reserves!CL27+Reserves!CL30+Waterfall!CL51</f>
        <v>181.852122733994</v>
      </c>
      <c r="CM11" s="19" t="n">
        <f aca="false">CM7+Operations!CM41+Funding!CM16+Reserves!CM13+Reserves!CM16+Reserves!CM19+Reserves!CM23+Reserves!CM27+Reserves!CM30+Waterfall!CM51</f>
        <v>165.603459914263</v>
      </c>
      <c r="CN11" s="19" t="n">
        <f aca="false">CN7+Operations!CN41+Funding!CN16+Reserves!CN13+Reserves!CN16+Reserves!CN19+Reserves!CN23+Reserves!CN27+Reserves!CN30+Waterfall!CN51</f>
        <v>149.660688669975</v>
      </c>
      <c r="CO11" s="19" t="n">
        <f aca="false">CO7+Operations!CO41+Funding!CO16+Reserves!CO13+Reserves!CO16+Reserves!CO19+Reserves!CO23+Reserves!CO27+Reserves!CO30+Waterfall!CO51</f>
        <v>133.686778657685</v>
      </c>
      <c r="CP11" s="19" t="n">
        <f aca="false">CP7+Operations!CP41+Funding!CP16+Reserves!CP13+Reserves!CP16+Reserves!CP19+Reserves!CP23+Reserves!CP27+Reserves!CP30+Waterfall!CP51</f>
        <v>5.55648191080975E-014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1873.79327790993</v>
      </c>
      <c r="AA12" s="19" t="n">
        <f aca="false">Debt!AA47+Debt!AA54+Debt!AA60+Debt!AA61+Debt!AA94+Debt!AA102+Funding!AA40+Operations!AA42+Waterfall!AA59+Reserves!AA27</f>
        <v>1904.93131247719</v>
      </c>
      <c r="AB12" s="19" t="n">
        <f aca="false">Debt!AB47+Debt!AB54+Debt!AB60+Debt!AB61+Debt!AB94+Debt!AB102+Funding!AB40+Operations!AB42+Waterfall!AB59+Reserves!AB27</f>
        <v>1937.15459466896</v>
      </c>
      <c r="AC12" s="19" t="n">
        <f aca="false">Debt!AC47+Debt!AC54+Debt!AC60+Debt!AC61+Debt!AC94+Debt!AC102+Funding!AC40+Operations!AC42+Waterfall!AC59+Reserves!AC27</f>
        <v>1971.01115846193</v>
      </c>
      <c r="AD12" s="19" t="n">
        <f aca="false">Debt!AD47+Debt!AD54+Debt!AD60+Debt!AD61+Debt!AD94+Debt!AD102+Funding!AD40+Operations!AD42+Waterfall!AD59+Reserves!AD27</f>
        <v>1902.00686867743</v>
      </c>
      <c r="AE12" s="19" t="n">
        <f aca="false">Debt!AE47+Debt!AE54+Debt!AE60+Debt!AE61+Debt!AE94+Debt!AE102+Funding!AE40+Operations!AE42+Waterfall!AE59+Reserves!AE27</f>
        <v>1915.20518282292</v>
      </c>
      <c r="AF12" s="19" t="n">
        <f aca="false">Debt!AF47+Debt!AF54+Debt!AF60+Debt!AF61+Debt!AF94+Debt!AF102+Funding!AF40+Operations!AF42+Waterfall!AF59+Reserves!AF27</f>
        <v>1929.81401366595</v>
      </c>
      <c r="AG12" s="19" t="n">
        <f aca="false">Debt!AG47+Debt!AG54+Debt!AG60+Debt!AG61+Debt!AG94+Debt!AG102+Funding!AG40+Operations!AG42+Waterfall!AG59+Reserves!AG27</f>
        <v>1937.5011516778</v>
      </c>
      <c r="AH12" s="19" t="n">
        <f aca="false">Debt!AH47+Debt!AH54+Debt!AH60+Debt!AH61+Debt!AH94+Debt!AH102+Funding!AH40+Operations!AH42+Waterfall!AH59+Reserves!AH27</f>
        <v>1943.96878575079</v>
      </c>
      <c r="AI12" s="19" t="n">
        <f aca="false">Debt!AI47+Debt!AI54+Debt!AI60+Debt!AI61+Debt!AI94+Debt!AI102+Funding!AI40+Operations!AI42+Waterfall!AI59+Reserves!AI27</f>
        <v>1951.33683886542</v>
      </c>
      <c r="AJ12" s="19" t="n">
        <f aca="false">Debt!AJ47+Debt!AJ54+Debt!AJ60+Debt!AJ61+Debt!AJ94+Debt!AJ102+Funding!AJ40+Operations!AJ42+Waterfall!AJ59+Reserves!AJ27</f>
        <v>1957.21577623904</v>
      </c>
      <c r="AK12" s="19" t="n">
        <f aca="false">Debt!AK47+Debt!AK54+Debt!AK60+Debt!AK61+Debt!AK94+Debt!AK102+Funding!AK40+Operations!AK42+Waterfall!AK59+Reserves!AK27</f>
        <v>1960.79316694542</v>
      </c>
      <c r="AL12" s="19" t="n">
        <f aca="false">Debt!AL47+Debt!AL54+Debt!AL60+Debt!AL61+Debt!AL94+Debt!AL102+Funding!AL40+Operations!AL42+Waterfall!AL59+Reserves!AL27</f>
        <v>1963.09607028267</v>
      </c>
      <c r="AM12" s="19" t="n">
        <f aca="false">Debt!AM47+Debt!AM54+Debt!AM60+Debt!AM61+Debt!AM94+Debt!AM102+Funding!AM40+Operations!AM42+Waterfall!AM59+Reserves!AM27</f>
        <v>1962.70959318194</v>
      </c>
      <c r="AN12" s="19" t="n">
        <f aca="false">Debt!AN47+Debt!AN54+Debt!AN60+Debt!AN61+Debt!AN94+Debt!AN102+Funding!AN40+Operations!AN42+Waterfall!AN59+Reserves!AN27</f>
        <v>1960.76737694459</v>
      </c>
      <c r="AO12" s="19" t="n">
        <f aca="false">Debt!AO47+Debt!AO54+Debt!AO60+Debt!AO61+Debt!AO94+Debt!AO102+Funding!AO40+Operations!AO42+Waterfall!AO59+Reserves!AO27</f>
        <v>1952.51606275494</v>
      </c>
      <c r="AP12" s="19" t="n">
        <f aca="false">Debt!AP47+Debt!AP54+Debt!AP60+Debt!AP61+Debt!AP94+Debt!AP102+Funding!AP40+Operations!AP42+Waterfall!AP59+Reserves!AP27</f>
        <v>1942.23502027168</v>
      </c>
      <c r="AQ12" s="19" t="n">
        <f aca="false">Debt!AQ47+Debt!AQ54+Debt!AQ60+Debt!AQ61+Debt!AQ94+Debt!AQ102+Funding!AQ40+Operations!AQ42+Waterfall!AQ59+Reserves!AQ27</f>
        <v>1938.54083470647</v>
      </c>
      <c r="AR12" s="19" t="n">
        <f aca="false">Debt!AR47+Debt!AR54+Debt!AR60+Debt!AR61+Debt!AR94+Debt!AR102+Funding!AR40+Operations!AR42+Waterfall!AR59+Reserves!AR27</f>
        <v>1932.69997776194</v>
      </c>
      <c r="AS12" s="19" t="n">
        <f aca="false">Debt!AS47+Debt!AS54+Debt!AS60+Debt!AS61+Debt!AS94+Debt!AS102+Funding!AS40+Operations!AS42+Waterfall!AS59+Reserves!AS27</f>
        <v>1923.28322976036</v>
      </c>
      <c r="AT12" s="19" t="n">
        <f aca="false">Debt!AT47+Debt!AT54+Debt!AT60+Debt!AT61+Debt!AT94+Debt!AT102+Funding!AT40+Operations!AT42+Waterfall!AT59+Reserves!AT27</f>
        <v>1911.62716280231</v>
      </c>
      <c r="AU12" s="19" t="n">
        <f aca="false">Debt!AU47+Debt!AU54+Debt!AU60+Debt!AU61+Debt!AU94+Debt!AU102+Funding!AU40+Operations!AU42+Waterfall!AU59+Reserves!AU27</f>
        <v>1895.61357211463</v>
      </c>
      <c r="AV12" s="19" t="n">
        <f aca="false">Debt!AV47+Debt!AV54+Debt!AV60+Debt!AV61+Debt!AV94+Debt!AV102+Funding!AV40+Operations!AV42+Waterfall!AV59+Reserves!AV27</f>
        <v>1878.76282509891</v>
      </c>
      <c r="AW12" s="19" t="n">
        <f aca="false">Debt!AW47+Debt!AW54+Debt!AW60+Debt!AW61+Debt!AW94+Debt!AW102+Funding!AW40+Operations!AW42+Waterfall!AW59+Reserves!AW27</f>
        <v>1853.95885163935</v>
      </c>
      <c r="AX12" s="19" t="n">
        <f aca="false">Debt!AX47+Debt!AX54+Debt!AX60+Debt!AX61+Debt!AX94+Debt!AX102+Funding!AX40+Operations!AX42+Waterfall!AX59+Reserves!AX27</f>
        <v>1826.49102463475</v>
      </c>
      <c r="AY12" s="19" t="n">
        <f aca="false">Debt!AY47+Debt!AY54+Debt!AY60+Debt!AY61+Debt!AY94+Debt!AY102+Funding!AY40+Operations!AY42+Waterfall!AY59+Reserves!AY27</f>
        <v>1798.69762446433</v>
      </c>
      <c r="AZ12" s="19" t="n">
        <f aca="false">Debt!AZ47+Debt!AZ54+Debt!AZ60+Debt!AZ61+Debt!AZ94+Debt!AZ102+Funding!AZ40+Operations!AZ42+Waterfall!AZ59+Reserves!AZ27</f>
        <v>1768.98807807838</v>
      </c>
      <c r="BA12" s="19" t="n">
        <f aca="false">Debt!BA47+Debt!BA54+Debt!BA60+Debt!BA61+Debt!BA94+Debt!BA102+Funding!BA40+Operations!BA42+Waterfall!BA59+Reserves!BA27</f>
        <v>1733.48331414894</v>
      </c>
      <c r="BB12" s="19" t="n">
        <f aca="false">Debt!BB47+Debt!BB54+Debt!BB60+Debt!BB61+Debt!BB94+Debt!BB102+Funding!BB40+Operations!BB42+Waterfall!BB59+Reserves!BB27</f>
        <v>1699.55682310745</v>
      </c>
      <c r="BC12" s="19" t="n">
        <f aca="false">Debt!BC47+Debt!BC54+Debt!BC60+Debt!BC61+Debt!BC94+Debt!BC102+Funding!BC40+Operations!BC42+Waterfall!BC59+Reserves!BC27</f>
        <v>1647.46322974591</v>
      </c>
      <c r="BD12" s="19" t="n">
        <f aca="false">Debt!BD47+Debt!BD54+Debt!BD60+Debt!BD61+Debt!BD94+Debt!BD102+Funding!BD40+Operations!BD42+Waterfall!BD59+Reserves!BD27</f>
        <v>1594.73547159265</v>
      </c>
      <c r="BE12" s="19" t="n">
        <f aca="false">Debt!BE47+Debt!BE54+Debt!BE60+Debt!BE61+Debt!BE94+Debt!BE102+Funding!BE40+Operations!BE42+Waterfall!BE59+Reserves!BE27</f>
        <v>1528.71850228364</v>
      </c>
      <c r="BF12" s="19" t="n">
        <f aca="false">Debt!BF47+Debt!BF54+Debt!BF60+Debt!BF61+Debt!BF94+Debt!BF102+Funding!BF40+Operations!BF42+Waterfall!BF59+Reserves!BF27</f>
        <v>1460.11791648459</v>
      </c>
      <c r="BG12" s="19" t="n">
        <f aca="false">Debt!BG47+Debt!BG54+Debt!BG60+Debt!BG61+Debt!BG94+Debt!BG102+Funding!BG40+Operations!BG42+Waterfall!BG59+Reserves!BG27</f>
        <v>1382.83029164064</v>
      </c>
      <c r="BH12" s="19" t="n">
        <f aca="false">Debt!BH47+Debt!BH54+Debt!BH60+Debt!BH61+Debt!BH94+Debt!BH102+Funding!BH40+Operations!BH42+Waterfall!BH59+Reserves!BH27</f>
        <v>1322.67370716059</v>
      </c>
      <c r="BI12" s="19" t="n">
        <f aca="false">Debt!BI47+Debt!BI54+Debt!BI60+Debt!BI61+Debt!BI94+Debt!BI102+Funding!BI40+Operations!BI42+Waterfall!BI59+Reserves!BI27</f>
        <v>1298.85116711983</v>
      </c>
      <c r="BJ12" s="19" t="n">
        <f aca="false">Debt!BJ47+Debt!BJ54+Debt!BJ60+Debt!BJ61+Debt!BJ94+Debt!BJ102+Funding!BJ40+Operations!BJ42+Waterfall!BJ59+Reserves!BJ27</f>
        <v>1274.06049775235</v>
      </c>
      <c r="BK12" s="19" t="n">
        <f aca="false">Debt!BK47+Debt!BK54+Debt!BK60+Debt!BK61+Debt!BK94+Debt!BK102+Funding!BK40+Operations!BK42+Waterfall!BK59+Reserves!BK27</f>
        <v>1246.51651484849</v>
      </c>
      <c r="BL12" s="19" t="n">
        <f aca="false">Debt!BL47+Debt!BL54+Debt!BL60+Debt!BL61+Debt!BL94+Debt!BL102+Funding!BL40+Operations!BL42+Waterfall!BL59+Reserves!BL27</f>
        <v>1217.92032157571</v>
      </c>
      <c r="BM12" s="19" t="n">
        <f aca="false">Debt!BM47+Debt!BM54+Debt!BM60+Debt!BM61+Debt!BM94+Debt!BM102+Funding!BM40+Operations!BM42+Waterfall!BM59+Reserves!BM27</f>
        <v>1186.37034875971</v>
      </c>
      <c r="BN12" s="19" t="n">
        <f aca="false">Debt!BN47+Debt!BN54+Debt!BN60+Debt!BN61+Debt!BN94+Debt!BN102+Funding!BN40+Operations!BN42+Waterfall!BN59+Reserves!BN27</f>
        <v>1153.68083708736</v>
      </c>
      <c r="BO12" s="19" t="n">
        <f aca="false">Debt!BO47+Debt!BO54+Debt!BO60+Debt!BO61+Debt!BO94+Debt!BO102+Funding!BO40+Operations!BO42+Waterfall!BO59+Reserves!BO27</f>
        <v>1127.6400352181</v>
      </c>
      <c r="BP12" s="19" t="n">
        <f aca="false">Debt!BP47+Debt!BP54+Debt!BP60+Debt!BP61+Debt!BP94+Debt!BP102+Funding!BP40+Operations!BP42+Waterfall!BP59+Reserves!BP27</f>
        <v>1100.33677476734</v>
      </c>
      <c r="BQ12" s="19" t="n">
        <f aca="false">Debt!BQ47+Debt!BQ54+Debt!BQ60+Debt!BQ61+Debt!BQ94+Debt!BQ102+Funding!BQ40+Operations!BQ42+Waterfall!BQ59+Reserves!BQ27</f>
        <v>1070.08118292987</v>
      </c>
      <c r="BR12" s="19" t="n">
        <f aca="false">Debt!BR47+Debt!BR54+Debt!BR60+Debt!BR61+Debt!BR94+Debt!BR102+Funding!BR40+Operations!BR42+Waterfall!BR59+Reserves!BR27</f>
        <v>1039.37805118839</v>
      </c>
      <c r="BS12" s="19" t="n">
        <f aca="false">Debt!BS47+Debt!BS54+Debt!BS60+Debt!BS61+Debt!BS94+Debt!BS102+Funding!BS40+Operations!BS42+Waterfall!BS59+Reserves!BS27</f>
        <v>1005.34352573698</v>
      </c>
      <c r="BT12" s="19" t="n">
        <f aca="false">Debt!BT47+Debt!BT54+Debt!BT60+Debt!BT61+Debt!BT94+Debt!BT102+Funding!BT40+Operations!BT42+Waterfall!BT59+Reserves!BT27</f>
        <v>970.802857408427</v>
      </c>
      <c r="BU12" s="19" t="n">
        <f aca="false">Debt!BU47+Debt!BU54+Debt!BU60+Debt!BU61+Debt!BU94+Debt!BU102+Funding!BU40+Operations!BU42+Waterfall!BU59+Reserves!BU27</f>
        <v>922.886179597288</v>
      </c>
      <c r="BV12" s="19" t="n">
        <f aca="false">Debt!BV47+Debt!BV54+Debt!BV60+Debt!BV61+Debt!BV94+Debt!BV102+Funding!BV40+Operations!BV42+Waterfall!BV59+Reserves!BV27</f>
        <v>874.174665086369</v>
      </c>
      <c r="BW12" s="19" t="n">
        <f aca="false">Debt!BW47+Debt!BW54+Debt!BW60+Debt!BW61+Debt!BW94+Debt!BW102+Funding!BW40+Operations!BW42+Waterfall!BW59+Reserves!BW27</f>
        <v>821.467910391888</v>
      </c>
      <c r="BX12" s="19" t="n">
        <f aca="false">Debt!BX47+Debt!BX54+Debt!BX60+Debt!BX61+Debt!BX94+Debt!BX102+Funding!BX40+Operations!BX42+Waterfall!BX59+Reserves!BX27</f>
        <v>767.563716882336</v>
      </c>
      <c r="BY12" s="19" t="n">
        <f aca="false">Debt!BY47+Debt!BY54+Debt!BY60+Debt!BY61+Debt!BY94+Debt!BY102+Funding!BY40+Operations!BY42+Waterfall!BY59+Reserves!BY27</f>
        <v>709.738743071361</v>
      </c>
      <c r="BZ12" s="19" t="n">
        <f aca="false">Debt!BZ47+Debt!BZ54+Debt!BZ60+Debt!BZ61+Debt!BZ94+Debt!BZ102+Funding!BZ40+Operations!BZ42+Waterfall!BZ59+Reserves!BZ27</f>
        <v>650.966819520843</v>
      </c>
      <c r="CA12" s="19" t="n">
        <f aca="false">Debt!CA47+Debt!CA54+Debt!CA60+Debt!CA61+Debt!CA94+Debt!CA102+Funding!CA40+Operations!CA42+Waterfall!CA59+Reserves!CA27</f>
        <v>594.04341771732</v>
      </c>
      <c r="CB12" s="19" t="n">
        <f aca="false">Debt!CB47+Debt!CB54+Debt!CB60+Debt!CB61+Debt!CB94+Debt!CB102+Funding!CB40+Operations!CB42+Waterfall!CB59+Reserves!CB27</f>
        <v>536.235431937454</v>
      </c>
      <c r="CC12" s="19" t="n">
        <f aca="false">Debt!CC47+Debt!CC54+Debt!CC60+Debt!CC61+Debt!CC94+Debt!CC102+Funding!CC40+Operations!CC42+Waterfall!CC59+Reserves!CC27</f>
        <v>473.804811116579</v>
      </c>
      <c r="CD12" s="19" t="n">
        <f aca="false">Debt!CD47+Debt!CD54+Debt!CD60+Debt!CD61+Debt!CD94+Debt!CD102+Funding!CD40+Operations!CD42+Waterfall!CD59+Reserves!CD27</f>
        <v>410.404890238814</v>
      </c>
      <c r="CE12" s="19" t="n">
        <f aca="false">Debt!CE47+Debt!CE54+Debt!CE60+Debt!CE61+Debt!CE94+Debt!CE102+Funding!CE40+Operations!CE42+Waterfall!CE59+Reserves!CE27</f>
        <v>345.179962370244</v>
      </c>
      <c r="CF12" s="19" t="n">
        <f aca="false">Debt!CF47+Debt!CF54+Debt!CF60+Debt!CF61+Debt!CF94+Debt!CF102+Funding!CF40+Operations!CF42+Waterfall!CF59+Reserves!CF27</f>
        <v>287.302492354097</v>
      </c>
      <c r="CG12" s="19" t="n">
        <f aca="false">Debt!CG47+Debt!CG54+Debt!CG60+Debt!CG61+Debt!CG94+Debt!CG102+Funding!CG40+Operations!CG42+Waterfall!CG59+Reserves!CG27</f>
        <v>223.850272113568</v>
      </c>
      <c r="CH12" s="19" t="n">
        <f aca="false">Debt!CH47+Debt!CH54+Debt!CH60+Debt!CH61+Debt!CH94+Debt!CH102+Funding!CH40+Operations!CH42+Waterfall!CH59+Reserves!CH27</f>
        <v>201.333062708885</v>
      </c>
      <c r="CI12" s="19" t="n">
        <f aca="false">Debt!CI47+Debt!CI54+Debt!CI60+Debt!CI61+Debt!CI94+Debt!CI102+Funding!CI40+Operations!CI42+Waterfall!CI59+Reserves!CI27</f>
        <v>177.2611096233</v>
      </c>
      <c r="CJ12" s="19" t="n">
        <f aca="false">Debt!CJ47+Debt!CJ54+Debt!CJ60+Debt!CJ61+Debt!CJ94+Debt!CJ102+Funding!CJ40+Operations!CJ42+Waterfall!CJ59+Reserves!CJ27</f>
        <v>153.137452298568</v>
      </c>
      <c r="CK12" s="19" t="n">
        <f aca="false">Debt!CK47+Debt!CK54+Debt!CK60+Debt!CK61+Debt!CK94+Debt!CK102+Funding!CK40+Operations!CK42+Waterfall!CK59+Reserves!CK27</f>
        <v>123.388520374753</v>
      </c>
      <c r="CL12" s="19" t="n">
        <f aca="false">Debt!CL47+Debt!CL54+Debt!CL60+Debt!CL61+Debt!CL94+Debt!CL102+Funding!CL40+Operations!CL42+Waterfall!CL59+Reserves!CL27</f>
        <v>96.0971184833292</v>
      </c>
      <c r="CM12" s="19" t="n">
        <f aca="false">Debt!CM47+Debt!CM54+Debt!CM60+Debt!CM61+Debt!CM94+Debt!CM102+Funding!CM40+Operations!CM42+Waterfall!CM59+Reserves!CM27</f>
        <v>67.0684507138404</v>
      </c>
      <c r="CN12" s="19" t="n">
        <f aca="false">Debt!CN47+Debt!CN54+Debt!CN60+Debt!CN61+Debt!CN94+Debt!CN102+Funding!CN40+Operations!CN42+Waterfall!CN59+Reserves!CN27</f>
        <v>37.784560203203</v>
      </c>
      <c r="CO12" s="19" t="n">
        <f aca="false">Debt!CO47+Debt!CO54+Debt!CO60+Debt!CO61+Debt!CO94+Debt!CO102+Funding!CO40+Operations!CO42+Waterfall!CO59+Reserves!CO27</f>
        <v>6.8541495938575</v>
      </c>
      <c r="CP12" s="19" t="n">
        <f aca="false">Debt!CP47+Debt!CP54+Debt!CP60+Debt!CP61+Debt!CP94+Debt!CP102+Funding!CP40+Operations!CP42+Waterfall!CP59+Reserves!CP27</f>
        <v>2.1067592115287E-012</v>
      </c>
      <c r="CQ12" s="19" t="n">
        <f aca="false">Debt!CQ47+Debt!CQ54+Debt!CQ60+Debt!CQ61+Debt!CQ94+Debt!CQ102+Funding!CQ40+Operations!CQ42+Waterfall!CQ59+Reserves!CQ27</f>
        <v>2.1067592115287E-012</v>
      </c>
      <c r="CR12" s="19" t="n">
        <f aca="false">Debt!CR47+Debt!CR54+Debt!CR60+Debt!CR61+Debt!CR94+Debt!CR102+Funding!CR40+Operations!CR42+Waterfall!CR59+Reserves!CR27</f>
        <v>2.16187741072679E-012</v>
      </c>
      <c r="CS12" s="19" t="n">
        <f aca="false">Debt!CS47+Debt!CS54+Debt!CS60+Debt!CS61+Debt!CS94+Debt!CS102+Funding!CS40+Operations!CS42+Waterfall!CS59+Reserves!CS27</f>
        <v>2.21744222983489E-012</v>
      </c>
      <c r="CT12" s="19" t="n">
        <f aca="false">Debt!CT47+Debt!CT54+Debt!CT60+Debt!CT61+Debt!CT94+Debt!CT102+Funding!CT40+Operations!CT42+Waterfall!CT59+Reserves!CT27</f>
        <v>2.27256042903298E-012</v>
      </c>
      <c r="CU12" s="19" t="n">
        <f aca="false">Debt!CU47+Debt!CU54+Debt!CU60+Debt!CU61+Debt!CU94+Debt!CU102+Funding!CU40+Operations!CU42+Waterfall!CU59+Reserves!CU27</f>
        <v>2.32812524814108E-012</v>
      </c>
      <c r="CV12" s="19" t="n">
        <f aca="false">Debt!CV47+Debt!CV54+Debt!CV60+Debt!CV61+Debt!CV94+Debt!CV102+Funding!CV40+Operations!CV42+Waterfall!CV59+Reserves!CV27</f>
        <v>2.3833923206425E-012</v>
      </c>
      <c r="CW12" s="19" t="n">
        <f aca="false">Debt!CW47+Debt!CW54+Debt!CW60+Debt!CW61+Debt!CW94+Debt!CW102+Funding!CW40+Operations!CW42+Waterfall!CW59+Reserves!CW27</f>
        <v>2.4389571397506E-012</v>
      </c>
      <c r="CX12" s="19" t="n">
        <f aca="false">Debt!CX47+Debt!CX54+Debt!CX60+Debt!CX61+Debt!CX94+Debt!CX102+Funding!CX40+Operations!CX42+Waterfall!CX59+Reserves!CX27</f>
        <v>2.4940753389487E-012</v>
      </c>
      <c r="CY12" s="19" t="n">
        <f aca="false">Debt!CY47+Debt!CY54+Debt!CY60+Debt!CY61+Debt!CY94+Debt!CY102+Funding!CY40+Operations!CY42+Waterfall!CY59+Reserves!CY27</f>
        <v>2.54964015805679E-012</v>
      </c>
      <c r="CZ12" s="19" t="n">
        <f aca="false">Debt!CZ47+Debt!CZ54+Debt!CZ60+Debt!CZ61+Debt!CZ94+Debt!CZ102+Funding!CZ40+Operations!CZ42+Waterfall!CZ59+Reserves!CZ27</f>
        <v>2.60475835725489E-012</v>
      </c>
      <c r="DA12" s="19" t="n">
        <f aca="false">Debt!DA47+Debt!DA54+Debt!DA60+Debt!DA61+Debt!DA94+Debt!DA102+Funding!DA40+Operations!DA42+Waterfall!DA59+Reserves!DA27</f>
        <v>2.66032317636298E-012</v>
      </c>
      <c r="DB12" s="19" t="n">
        <f aca="false">Debt!DB47+Debt!DB54+Debt!DB60+Debt!DB61+Debt!DB94+Debt!DB102+Funding!DB40+Operations!DB42+Waterfall!DB59+Reserves!DB27</f>
        <v>2.71544137556108E-012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-25.9400053254068</v>
      </c>
      <c r="AA15" s="19" t="n">
        <f aca="false">Z15+AA9-Waterfall!AA57</f>
        <v>-77.6978880530762</v>
      </c>
      <c r="AB15" s="19" t="n">
        <f aca="false">AA15+AB9-Waterfall!AB57</f>
        <v>-124.078329954161</v>
      </c>
      <c r="AC15" s="19" t="n">
        <f aca="false">AB15+AC9-Waterfall!AC57</f>
        <v>-171.197791522415</v>
      </c>
      <c r="AD15" s="19" t="n">
        <f aca="false">AC15+AD9-Waterfall!AD57</f>
        <v>-214.482443083452</v>
      </c>
      <c r="AE15" s="19" t="n">
        <f aca="false">AD15+AE9-Waterfall!AE57</f>
        <v>-254.973550767564</v>
      </c>
      <c r="AF15" s="19" t="n">
        <f aca="false">AE15+AF9-Waterfall!AF57</f>
        <v>-296.26153237789</v>
      </c>
      <c r="AG15" s="19" t="n">
        <f aca="false">AF15+AG9-Waterfall!AG57</f>
        <v>-331.087782665894</v>
      </c>
      <c r="AH15" s="19" t="n">
        <f aca="false">AG15+AH9-Waterfall!AH57</f>
        <v>-363.853519844198</v>
      </c>
      <c r="AI15" s="19" t="n">
        <f aca="false">AH15+AI9-Waterfall!AI57</f>
        <v>-395.073421831244</v>
      </c>
      <c r="AJ15" s="19" t="n">
        <f aca="false">AI15+AJ9-Waterfall!AJ57</f>
        <v>-424.234319319634</v>
      </c>
      <c r="AK15" s="19" t="n">
        <f aca="false">AJ15+AK9-Waterfall!AK57</f>
        <v>-451.715007634303</v>
      </c>
      <c r="AL15" s="19" t="n">
        <f aca="false">AK15+AL9-Waterfall!AL57</f>
        <v>-477.078416802531</v>
      </c>
      <c r="AM15" s="19" t="n">
        <f aca="false">AL15+AM9-Waterfall!AM57</f>
        <v>-500.583810312477</v>
      </c>
      <c r="AN15" s="19" t="n">
        <f aca="false">AM15+AN9-Waterfall!AN57</f>
        <v>-521.689441674531</v>
      </c>
      <c r="AO15" s="19" t="n">
        <f aca="false">AN15+AO9-Waterfall!AO57</f>
        <v>-559.823247190726</v>
      </c>
      <c r="AP15" s="19" t="n">
        <f aca="false">AO15+AP9-Waterfall!AP57</f>
        <v>-575.791268746117</v>
      </c>
      <c r="AQ15" s="19" t="n">
        <f aca="false">AP15+AQ9-Waterfall!AQ57</f>
        <v>-588.836774383961</v>
      </c>
      <c r="AR15" s="19" t="n">
        <f aca="false">AQ15+AR9-Waterfall!AR57</f>
        <v>-599.157375486783</v>
      </c>
      <c r="AS15" s="19" t="n">
        <f aca="false">AR15+AS9-Waterfall!AS57</f>
        <v>-606.529480345688</v>
      </c>
      <c r="AT15" s="19" t="n">
        <f aca="false">AS15+AT9-Waterfall!AT57</f>
        <v>-610.810073677075</v>
      </c>
      <c r="AU15" s="19" t="n">
        <f aca="false">AT15+AU9-Waterfall!AU57</f>
        <v>-611.562975509849</v>
      </c>
      <c r="AV15" s="19" t="n">
        <f aca="false">AU15+AV9-Waterfall!AV57</f>
        <v>-608.822592997968</v>
      </c>
      <c r="AW15" s="19" t="n">
        <f aca="false">AV15+AW9-Waterfall!AW57</f>
        <v>-664.220746436015</v>
      </c>
      <c r="AX15" s="19" t="n">
        <f aca="false">AW15+AX9-Waterfall!AX57</f>
        <v>-655.10249504836</v>
      </c>
      <c r="AY15" s="19" t="n">
        <f aca="false">AX15+AY9-Waterfall!AY57</f>
        <v>-641.715842687171</v>
      </c>
      <c r="AZ15" s="19" t="n">
        <f aca="false">AY15+AZ9-Waterfall!AZ57</f>
        <v>-625.216154914171</v>
      </c>
      <c r="BA15" s="19" t="n">
        <f aca="false">AZ15+BA9-Waterfall!BA57</f>
        <v>-604.268978822409</v>
      </c>
      <c r="BB15" s="19" t="n">
        <f aca="false">BA15+BB9-Waterfall!BB57</f>
        <v>-580.047591292212</v>
      </c>
      <c r="BC15" s="19" t="n">
        <f aca="false">BB15+BC9-Waterfall!BC57</f>
        <v>-600.538525337742</v>
      </c>
      <c r="BD15" s="19" t="n">
        <f aca="false">BC15+BD9-Waterfall!BD57</f>
        <v>-567.368416603675</v>
      </c>
      <c r="BE15" s="19" t="n">
        <f aca="false">BD15+BE9-Waterfall!BE57</f>
        <v>-551.58064757124</v>
      </c>
      <c r="BF15" s="19" t="n">
        <f aca="false">BE15+BF9-Waterfall!BF57</f>
        <v>-507.853278362382</v>
      </c>
      <c r="BG15" s="19" t="n">
        <f aca="false">BF15+BG9-Waterfall!BG57</f>
        <v>-457.080976447993</v>
      </c>
      <c r="BH15" s="19" t="n">
        <f aca="false">BG15+BH9-Waterfall!BH57</f>
        <v>-422.054677172606</v>
      </c>
      <c r="BI15" s="19" t="n">
        <f aca="false">BH15+BI9-Waterfall!BI57</f>
        <v>-424.925894161552</v>
      </c>
      <c r="BJ15" s="19" t="n">
        <f aca="false">BI15+BJ9-Waterfall!BJ57</f>
        <v>-424.826732266504</v>
      </c>
      <c r="BK15" s="19" t="n">
        <f aca="false">BJ15+BK9-Waterfall!BK57</f>
        <v>-423.95532686409</v>
      </c>
      <c r="BL15" s="19" t="n">
        <f aca="false">BK15+BL9-Waterfall!BL57</f>
        <v>-419.969301897593</v>
      </c>
      <c r="BM15" s="19" t="n">
        <f aca="false">BL15+BM9-Waterfall!BM57</f>
        <v>-415.075178794342</v>
      </c>
      <c r="BN15" s="19" t="n">
        <f aca="false">BM15+BN9-Waterfall!BN57</f>
        <v>-413.881631191518</v>
      </c>
      <c r="BO15" s="19" t="n">
        <f aca="false">BN15+BO9-Waterfall!BO57</f>
        <v>-395.631816733897</v>
      </c>
      <c r="BP15" s="19" t="n">
        <f aca="false">BO15+BP9-Waterfall!BP57</f>
        <v>-374.522007099506</v>
      </c>
      <c r="BQ15" s="19" t="n">
        <f aca="false">BP15+BQ9-Waterfall!BQ57</f>
        <v>-352.755183968189</v>
      </c>
      <c r="BR15" s="19" t="n">
        <f aca="false">BQ15+BR9-Waterfall!BR57</f>
        <v>-327.953968297312</v>
      </c>
      <c r="BS15" s="19" t="n">
        <f aca="false">BR15+BS9-Waterfall!BS57</f>
        <v>-302.406429212979</v>
      </c>
      <c r="BT15" s="19" t="n">
        <f aca="false">BS15+BT9-Waterfall!BT57</f>
        <v>-266.703744470827</v>
      </c>
      <c r="BU15" s="19" t="n">
        <f aca="false">BT15+BU9-Waterfall!BU57</f>
        <v>-357.482884721679</v>
      </c>
      <c r="BV15" s="19" t="n">
        <f aca="false">BU15+BV9-Waterfall!BV57</f>
        <v>-333.115690576702</v>
      </c>
      <c r="BW15" s="19" t="n">
        <f aca="false">BV15+BW9-Waterfall!BW57</f>
        <v>-307.216170762225</v>
      </c>
      <c r="BX15" s="19" t="n">
        <f aca="false">BW15+BX9-Waterfall!BX57</f>
        <v>-277.999164480587</v>
      </c>
      <c r="BY15" s="19" t="n">
        <f aca="false">BX15+BY9-Waterfall!BY57</f>
        <v>-247.258441203858</v>
      </c>
      <c r="BZ15" s="19" t="n">
        <f aca="false">BY15+BZ9-Waterfall!BZ57</f>
        <v>-217.173393681516</v>
      </c>
      <c r="CA15" s="19" t="n">
        <f aca="false">BZ15+CA9-Waterfall!CA57</f>
        <v>-175.323670769442</v>
      </c>
      <c r="CB15" s="19" t="n">
        <f aca="false">CA15+CB9-Waterfall!CB57</f>
        <v>-129.596154053334</v>
      </c>
      <c r="CC15" s="19" t="n">
        <f aca="false">CB15+CC9-Waterfall!CC57</f>
        <v>-82.2384051484443</v>
      </c>
      <c r="CD15" s="19" t="n">
        <f aca="false">CC15+CD9-Waterfall!CD57</f>
        <v>-33.0133077441201</v>
      </c>
      <c r="CE15" s="19" t="n">
        <f aca="false">CD15+CE9-Waterfall!CE57</f>
        <v>17.0527744777669</v>
      </c>
      <c r="CF15" s="19" t="n">
        <f aca="false">CE15+CF9-Waterfall!CF57</f>
        <v>69.1407607250985</v>
      </c>
      <c r="CG15" s="19" t="n">
        <f aca="false">CF15+CG9-Waterfall!CG57</f>
        <v>0.758471864364083</v>
      </c>
      <c r="CH15" s="19" t="n">
        <f aca="false">CG15+CH9-Waterfall!CH57</f>
        <v>12.5112923309747</v>
      </c>
      <c r="CI15" s="19" t="n">
        <f aca="false">CH15+CI9-Waterfall!CI57</f>
        <v>25.6143796373659</v>
      </c>
      <c r="CJ15" s="19" t="n">
        <f aca="false">CI15+CJ9-Waterfall!CJ57</f>
        <v>39.2282145986835</v>
      </c>
      <c r="CK15" s="19" t="n">
        <f aca="false">CJ15+CK9-Waterfall!CK57</f>
        <v>17.5694264952192</v>
      </c>
      <c r="CL15" s="19" t="n">
        <f aca="false">CK15+CL9-Waterfall!CL57</f>
        <v>28.7976606490431</v>
      </c>
      <c r="CM15" s="19" t="n">
        <f aca="false">CL15+CM9-Waterfall!CM57</f>
        <v>41.5776655988014</v>
      </c>
      <c r="CN15" s="19" t="n">
        <f aca="false">CM15+CN9-Waterfall!CN57</f>
        <v>54.9187848651504</v>
      </c>
      <c r="CO15" s="19" t="n">
        <f aca="false">CN15+CO9-Waterfall!CO57</f>
        <v>69.8752854622056</v>
      </c>
      <c r="CP15" s="19" t="n">
        <f aca="false">CO15+CP9-Waterfall!CP57</f>
        <v>-56.9573436016237</v>
      </c>
      <c r="CQ15" s="19" t="n">
        <f aca="false">CP15+CQ9-Waterfall!CQ57</f>
        <v>-56.9573436016238</v>
      </c>
      <c r="CR15" s="19" t="n">
        <f aca="false">CQ15+CR9-Waterfall!CR57</f>
        <v>-56.9573436016239</v>
      </c>
      <c r="CS15" s="19" t="n">
        <f aca="false">CR15+CS9-Waterfall!CS57</f>
        <v>-56.9573436016239</v>
      </c>
      <c r="CT15" s="19" t="n">
        <f aca="false">CS15+CT9-Waterfall!CT57</f>
        <v>-56.957343601624</v>
      </c>
      <c r="CU15" s="19" t="n">
        <f aca="false">CT15+CU9-Waterfall!CU57</f>
        <v>-56.957343601624</v>
      </c>
      <c r="CV15" s="19" t="n">
        <f aca="false">CU15+CV9-Waterfall!CV57</f>
        <v>-56.9573436016241</v>
      </c>
      <c r="CW15" s="19" t="n">
        <f aca="false">CV15+CW9-Waterfall!CW57</f>
        <v>-56.9573436016241</v>
      </c>
      <c r="CX15" s="19" t="n">
        <f aca="false">CW15+CX9-Waterfall!CX57</f>
        <v>-56.9573436016242</v>
      </c>
      <c r="CY15" s="19" t="n">
        <f aca="false">CX15+CY9-Waterfall!CY57</f>
        <v>-56.9573436016242</v>
      </c>
      <c r="CZ15" s="19" t="n">
        <f aca="false">CY15+CZ9-Waterfall!CZ57</f>
        <v>-56.9573436016243</v>
      </c>
      <c r="DA15" s="19" t="n">
        <f aca="false">CZ15+DA9-Waterfall!DA57</f>
        <v>-56.9573436016244</v>
      </c>
      <c r="DB15" s="19" t="n">
        <f aca="false">DA15+DB9-Waterfall!DB57</f>
        <v>-56.9573436016244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31.0173382762146</v>
      </c>
      <c r="AA16" s="19" t="n">
        <f aca="false">AA13+AA14+AA15</f>
        <v>-20.7405444514548</v>
      </c>
      <c r="AB16" s="19" t="n">
        <f aca="false">AB13+AB14+AB15</f>
        <v>-67.1209863525396</v>
      </c>
      <c r="AC16" s="19" t="n">
        <f aca="false">AC13+AC14+AC15</f>
        <v>-114.240447920793</v>
      </c>
      <c r="AD16" s="19" t="n">
        <f aca="false">AD13+AD14+AD15</f>
        <v>-157.52509948183</v>
      </c>
      <c r="AE16" s="19" t="n">
        <f aca="false">AE13+AE14+AE15</f>
        <v>-198.016207165942</v>
      </c>
      <c r="AF16" s="19" t="n">
        <f aca="false">AF13+AF14+AF15</f>
        <v>-239.304188776269</v>
      </c>
      <c r="AG16" s="19" t="n">
        <f aca="false">AG13+AG14+AG15</f>
        <v>-274.130439064273</v>
      </c>
      <c r="AH16" s="19" t="n">
        <f aca="false">AH13+AH14+AH15</f>
        <v>-306.896176242576</v>
      </c>
      <c r="AI16" s="19" t="n">
        <f aca="false">AI13+AI14+AI15</f>
        <v>-338.116078229623</v>
      </c>
      <c r="AJ16" s="19" t="n">
        <f aca="false">AJ13+AJ14+AJ15</f>
        <v>-367.276975718013</v>
      </c>
      <c r="AK16" s="19" t="n">
        <f aca="false">AK13+AK14+AK15</f>
        <v>-394.757664032682</v>
      </c>
      <c r="AL16" s="19" t="n">
        <f aca="false">AL13+AL14+AL15</f>
        <v>-420.121073200909</v>
      </c>
      <c r="AM16" s="19" t="n">
        <f aca="false">AM13+AM14+AM15</f>
        <v>-443.626466710856</v>
      </c>
      <c r="AN16" s="19" t="n">
        <f aca="false">AN13+AN14+AN15</f>
        <v>-464.732098072909</v>
      </c>
      <c r="AO16" s="19" t="n">
        <f aca="false">AO13+AO14+AO15</f>
        <v>-502.865903589105</v>
      </c>
      <c r="AP16" s="19" t="n">
        <f aca="false">AP13+AP14+AP15</f>
        <v>-518.833925144496</v>
      </c>
      <c r="AQ16" s="19" t="n">
        <f aca="false">AQ13+AQ14+AQ15</f>
        <v>-531.87943078234</v>
      </c>
      <c r="AR16" s="19" t="n">
        <f aca="false">AR13+AR14+AR15</f>
        <v>-542.200031885162</v>
      </c>
      <c r="AS16" s="19" t="n">
        <f aca="false">AS13+AS14+AS15</f>
        <v>-549.572136744067</v>
      </c>
      <c r="AT16" s="19" t="n">
        <f aca="false">AT13+AT14+AT15</f>
        <v>-553.852730075454</v>
      </c>
      <c r="AU16" s="19" t="n">
        <f aca="false">AU13+AU14+AU15</f>
        <v>-554.605631908228</v>
      </c>
      <c r="AV16" s="19" t="n">
        <f aca="false">AV13+AV14+AV15</f>
        <v>-551.865249396347</v>
      </c>
      <c r="AW16" s="19" t="n">
        <f aca="false">AW13+AW14+AW15</f>
        <v>-607.263402834393</v>
      </c>
      <c r="AX16" s="19" t="n">
        <f aca="false">AX13+AX14+AX15</f>
        <v>-598.145151446739</v>
      </c>
      <c r="AY16" s="19" t="n">
        <f aca="false">AY13+AY14+AY15</f>
        <v>-584.75849908555</v>
      </c>
      <c r="AZ16" s="19" t="n">
        <f aca="false">AZ13+AZ14+AZ15</f>
        <v>-568.258811312549</v>
      </c>
      <c r="BA16" s="19" t="n">
        <f aca="false">BA13+BA14+BA15</f>
        <v>-547.311635220788</v>
      </c>
      <c r="BB16" s="19" t="n">
        <f aca="false">BB13+BB14+BB15</f>
        <v>-523.09024769059</v>
      </c>
      <c r="BC16" s="19" t="n">
        <f aca="false">BC13+BC14+BC15</f>
        <v>-543.581181736121</v>
      </c>
      <c r="BD16" s="19" t="n">
        <f aca="false">BD13+BD14+BD15</f>
        <v>-510.411073002054</v>
      </c>
      <c r="BE16" s="19" t="n">
        <f aca="false">BE13+BE14+BE15</f>
        <v>-494.623303969619</v>
      </c>
      <c r="BF16" s="19" t="n">
        <f aca="false">BF13+BF14+BF15</f>
        <v>-450.89593476076</v>
      </c>
      <c r="BG16" s="19" t="n">
        <f aca="false">BG13+BG14+BG15</f>
        <v>-400.123632846372</v>
      </c>
      <c r="BH16" s="19" t="n">
        <f aca="false">BH13+BH14+BH15</f>
        <v>-365.097333570985</v>
      </c>
      <c r="BI16" s="19" t="n">
        <f aca="false">BI13+BI14+BI15</f>
        <v>-367.968550559931</v>
      </c>
      <c r="BJ16" s="19" t="n">
        <f aca="false">BJ13+BJ14+BJ15</f>
        <v>-367.869388664883</v>
      </c>
      <c r="BK16" s="19" t="n">
        <f aca="false">BK13+BK14+BK15</f>
        <v>-366.997983262468</v>
      </c>
      <c r="BL16" s="19" t="n">
        <f aca="false">BL13+BL14+BL15</f>
        <v>-363.011958295971</v>
      </c>
      <c r="BM16" s="19" t="n">
        <f aca="false">BM13+BM14+BM15</f>
        <v>-358.11783519272</v>
      </c>
      <c r="BN16" s="19" t="n">
        <f aca="false">BN13+BN14+BN15</f>
        <v>-356.924287589897</v>
      </c>
      <c r="BO16" s="19" t="n">
        <f aca="false">BO13+BO14+BO15</f>
        <v>-338.674473132276</v>
      </c>
      <c r="BP16" s="19" t="n">
        <f aca="false">BP13+BP14+BP15</f>
        <v>-317.564663497885</v>
      </c>
      <c r="BQ16" s="19" t="n">
        <f aca="false">BQ13+BQ14+BQ15</f>
        <v>-295.797840366568</v>
      </c>
      <c r="BR16" s="19" t="n">
        <f aca="false">BR13+BR14+BR15</f>
        <v>-270.996624695691</v>
      </c>
      <c r="BS16" s="19" t="n">
        <f aca="false">BS13+BS14+BS15</f>
        <v>-245.449085611358</v>
      </c>
      <c r="BT16" s="19" t="n">
        <f aca="false">BT13+BT14+BT15</f>
        <v>-209.746400869205</v>
      </c>
      <c r="BU16" s="19" t="n">
        <f aca="false">BU13+BU14+BU15</f>
        <v>-300.525541120058</v>
      </c>
      <c r="BV16" s="19" t="n">
        <f aca="false">BV13+BV14+BV15</f>
        <v>-276.15834697508</v>
      </c>
      <c r="BW16" s="19" t="n">
        <f aca="false">BW13+BW14+BW15</f>
        <v>-250.258827160604</v>
      </c>
      <c r="BX16" s="19" t="n">
        <f aca="false">BX13+BX14+BX15</f>
        <v>-221.041820878965</v>
      </c>
      <c r="BY16" s="19" t="n">
        <f aca="false">BY13+BY14+BY15</f>
        <v>-190.301097602237</v>
      </c>
      <c r="BZ16" s="19" t="n">
        <f aca="false">BZ13+BZ14+BZ15</f>
        <v>-160.216050079895</v>
      </c>
      <c r="CA16" s="19" t="n">
        <f aca="false">CA13+CA14+CA15</f>
        <v>-118.36632716782</v>
      </c>
      <c r="CB16" s="19" t="n">
        <f aca="false">CB13+CB14+CB15</f>
        <v>-72.6388104517127</v>
      </c>
      <c r="CC16" s="19" t="n">
        <f aca="false">CC13+CC14+CC15</f>
        <v>-25.2810615468229</v>
      </c>
      <c r="CD16" s="19" t="n">
        <f aca="false">CD13+CD14+CD15</f>
        <v>23.9440358575013</v>
      </c>
      <c r="CE16" s="19" t="n">
        <f aca="false">CE13+CE14+CE15</f>
        <v>74.0101180793883</v>
      </c>
      <c r="CF16" s="19" t="n">
        <f aca="false">CF13+CF14+CF15</f>
        <v>126.09810432672</v>
      </c>
      <c r="CG16" s="19" t="n">
        <f aca="false">CG13+CG14+CG15</f>
        <v>57.7158154659855</v>
      </c>
      <c r="CH16" s="19" t="n">
        <f aca="false">CH13+CH14+CH15</f>
        <v>69.4686359325961</v>
      </c>
      <c r="CI16" s="19" t="n">
        <f aca="false">CI13+CI14+CI15</f>
        <v>82.5717232389873</v>
      </c>
      <c r="CJ16" s="19" t="n">
        <f aca="false">CJ13+CJ14+CJ15</f>
        <v>96.1855582003049</v>
      </c>
      <c r="CK16" s="19" t="n">
        <f aca="false">CK13+CK14+CK15</f>
        <v>74.5267700968406</v>
      </c>
      <c r="CL16" s="19" t="n">
        <f aca="false">CL13+CL14+CL15</f>
        <v>85.7550042506645</v>
      </c>
      <c r="CM16" s="19" t="n">
        <f aca="false">CM13+CM14+CM15</f>
        <v>98.5350092004228</v>
      </c>
      <c r="CN16" s="19" t="n">
        <f aca="false">CN13+CN14+CN15</f>
        <v>111.876128466772</v>
      </c>
      <c r="CO16" s="19" t="n">
        <f aca="false">CO13+CO14+CO15</f>
        <v>126.832629063827</v>
      </c>
      <c r="CP16" s="19" t="n">
        <f aca="false">CP13+CP14+CP15</f>
        <v>-2.36610731008113E-012</v>
      </c>
      <c r="CQ16" s="19" t="n">
        <f aca="false">CQ13+CQ14+CQ15</f>
        <v>-2.42295072894194E-012</v>
      </c>
      <c r="CR16" s="19" t="n">
        <f aca="false">CR13+CR14+CR15</f>
        <v>-2.47979414780275E-012</v>
      </c>
      <c r="CS16" s="19" t="n">
        <f aca="false">CS13+CS14+CS15</f>
        <v>-2.53663756666356E-012</v>
      </c>
      <c r="CT16" s="19" t="n">
        <f aca="false">CT13+CT14+CT15</f>
        <v>-2.59348098552437E-012</v>
      </c>
      <c r="CU16" s="19" t="n">
        <f aca="false">CU13+CU14+CU15</f>
        <v>-2.65032440438517E-012</v>
      </c>
      <c r="CV16" s="19" t="n">
        <f aca="false">CV13+CV14+CV15</f>
        <v>-2.70716782324598E-012</v>
      </c>
      <c r="CW16" s="19" t="n">
        <f aca="false">CW13+CW14+CW15</f>
        <v>-2.76401124210679E-012</v>
      </c>
      <c r="CX16" s="19" t="n">
        <f aca="false">CX13+CX14+CX15</f>
        <v>-2.8208546609676E-012</v>
      </c>
      <c r="CY16" s="19" t="n">
        <f aca="false">CY13+CY14+CY15</f>
        <v>-2.87769807982841E-012</v>
      </c>
      <c r="CZ16" s="19" t="n">
        <f aca="false">CZ13+CZ14+CZ15</f>
        <v>-2.93454149868921E-012</v>
      </c>
      <c r="DA16" s="19" t="n">
        <f aca="false">DA13+DA14+DA15</f>
        <v>-2.99138491755002E-012</v>
      </c>
      <c r="DB16" s="19" t="n">
        <f aca="false">DB13+DB14+DB15</f>
        <v>-3.04822833641083E-012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1.74967145521814</v>
      </c>
      <c r="AE6" s="31" t="n">
        <f aca="false">IF(AND(Time!AE30=1,Debt!AE68&gt;Inputs!$F$9),Waterfall!AE7/Debt!AE68,"")</f>
        <v>1.84069888275843</v>
      </c>
      <c r="AF6" s="31" t="n">
        <f aca="false">IF(AND(Time!AF30=1,Debt!AF68&gt;Inputs!$F$9),Waterfall!AF7/Debt!AF68,"")</f>
        <v>1.99715602237694</v>
      </c>
      <c r="AG6" s="31" t="n">
        <f aca="false">IF(AND(Time!AG30=1,Debt!AG68&gt;Inputs!$F$9),Waterfall!AG7/Debt!AG68,"")</f>
        <v>2.14586542379641</v>
      </c>
      <c r="AH6" s="31" t="n">
        <f aca="false">IF(AND(Time!AH30=1,Debt!AH68&gt;Inputs!$F$9),Waterfall!AH7/Debt!AH68,"")</f>
        <v>2.20624145551163</v>
      </c>
      <c r="AI6" s="31" t="n">
        <f aca="false">IF(AND(Time!AI30=1,Debt!AI68&gt;Inputs!$F$9),Waterfall!AI7/Debt!AI68,"")</f>
        <v>2.16770727117201</v>
      </c>
      <c r="AJ6" s="31" t="n">
        <f aca="false">IF(AND(Time!AJ30=1,Debt!AJ68&gt;Inputs!$F$9),Waterfall!AJ7/Debt!AJ68,"")</f>
        <v>2.23824562265625</v>
      </c>
      <c r="AK6" s="31" t="n">
        <f aca="false">IF(AND(Time!AK30=1,Debt!AK68&gt;Inputs!$F$9),Waterfall!AK7/Debt!AK68,"")</f>
        <v>2.33924478242897</v>
      </c>
      <c r="AL6" s="31" t="n">
        <f aca="false">IF(AND(Time!AL30=1,Debt!AL68&gt;Inputs!$F$9),Waterfall!AL7/Debt!AL68,"")</f>
        <v>2.40721040259283</v>
      </c>
      <c r="AM6" s="31" t="n">
        <f aca="false">IF(AND(Time!AM30=1,Debt!AM68&gt;Inputs!$F$9),Waterfall!AM7/Debt!AM68,"")</f>
        <v>2.52279060986602</v>
      </c>
      <c r="AN6" s="31" t="n">
        <f aca="false">IF(AND(Time!AN30=1,Debt!AN68&gt;Inputs!$F$9),Waterfall!AN7/Debt!AN68,"")</f>
        <v>2.59555516605713</v>
      </c>
      <c r="AO6" s="31" t="n">
        <f aca="false">IF(AND(Time!AO30=1,Debt!AO68&gt;Inputs!$F$9),Waterfall!AO7/Debt!AO68,"")</f>
        <v>2.85597008257141</v>
      </c>
      <c r="AP6" s="31" t="n">
        <f aca="false">IF(AND(Time!AP30=1,Debt!AP68&gt;Inputs!$F$9),Waterfall!AP7/Debt!AP68,"")</f>
        <v>2.93482729478103</v>
      </c>
      <c r="AQ6" s="31" t="n">
        <f aca="false">IF(AND(Time!AQ30=1,Debt!AQ68&gt;Inputs!$F$9),Waterfall!AQ7/Debt!AQ68,"")</f>
        <v>2.62142898561358</v>
      </c>
      <c r="AR6" s="31" t="n">
        <f aca="false">IF(AND(Time!AR30=1,Debt!AR68&gt;Inputs!$F$9),Waterfall!AR7/Debt!AR68,"")</f>
        <v>2.7122025139658</v>
      </c>
      <c r="AS6" s="31" t="n">
        <f aca="false">IF(AND(Time!AS30=1,Debt!AS68&gt;Inputs!$F$9),Waterfall!AS7/Debt!AS68,"")</f>
        <v>2.84368777845693</v>
      </c>
      <c r="AT6" s="31" t="n">
        <f aca="false">IF(AND(Time!AT30=1,Debt!AT68&gt;Inputs!$F$9),Waterfall!AT7/Debt!AT68,"")</f>
        <v>2.93013183476106</v>
      </c>
      <c r="AU6" s="31" t="n">
        <f aca="false">IF(AND(Time!AU30=1,Debt!AU68&gt;Inputs!$F$9),Waterfall!AU7/Debt!AU68,"")</f>
        <v>3.08096006087304</v>
      </c>
      <c r="AV6" s="31" t="n">
        <f aca="false">IF(AND(Time!AV30=1,Debt!AV68&gt;Inputs!$F$9),Waterfall!AV7/Debt!AV68,"")</f>
        <v>3.17236828850536</v>
      </c>
      <c r="AW6" s="31" t="n">
        <f aca="false">IF(AND(Time!AW30=1,Debt!AW68&gt;Inputs!$F$9),Waterfall!AW7/Debt!AW68,"")</f>
        <v>3.15287691018656</v>
      </c>
      <c r="AX6" s="31" t="n">
        <f aca="false">IF(AND(Time!AX30=1,Debt!AX68&gt;Inputs!$F$9),Waterfall!AX7/Debt!AX68,"")</f>
        <v>3.16383442378534</v>
      </c>
      <c r="AY6" s="31" t="n">
        <f aca="false">IF(AND(Time!AY30=1,Debt!AY68&gt;Inputs!$F$9),Waterfall!AY7/Debt!AY68,"")</f>
        <v>3.18928562140009</v>
      </c>
      <c r="AZ6" s="31" t="n">
        <f aca="false">IF(AND(Time!AZ30=1,Debt!AZ68&gt;Inputs!$F$9),Waterfall!AZ7/Debt!AZ68,"")</f>
        <v>3.2001550113977</v>
      </c>
      <c r="BA6" s="31" t="n">
        <f aca="false">IF(AND(Time!BA30=1,Debt!BA68&gt;Inputs!$F$9),Waterfall!BA7/Debt!BA68,"")</f>
        <v>3.19529394173859</v>
      </c>
      <c r="BB6" s="31" t="n">
        <f aca="false">IF(AND(Time!BB30=1,Debt!BB68&gt;Inputs!$F$9),Waterfall!BB7/Debt!BB68,"")</f>
        <v>3.20660614648144</v>
      </c>
      <c r="BC6" s="31" t="n">
        <f aca="false">IF(AND(Time!BC30=1,Debt!BC68&gt;Inputs!$F$9),Waterfall!BC7/Debt!BC68,"")</f>
        <v>3.14742616451969</v>
      </c>
      <c r="BD6" s="31" t="n">
        <f aca="false">IF(AND(Time!BD30=1,Debt!BD68&gt;Inputs!$F$9),Waterfall!BD7/Debt!BD68,"")</f>
        <v>3.15772969118014</v>
      </c>
      <c r="BE6" s="31" t="n">
        <f aca="false">IF(AND(Time!BE30=1,Debt!BE68&gt;Inputs!$F$9),Waterfall!BE7/Debt!BE68,"")</f>
        <v>3.13445112923579</v>
      </c>
      <c r="BF6" s="31" t="n">
        <f aca="false">IF(AND(Time!BF30=1,Debt!BF68&gt;Inputs!$F$9),Waterfall!BF7/Debt!BF68,"")</f>
        <v>3.14436144856941</v>
      </c>
      <c r="BG6" s="31" t="n">
        <f aca="false">IF(AND(Time!BG30=1,Debt!BG68&gt;Inputs!$F$9),Waterfall!BG7/Debt!BG68,"")</f>
        <v>3.14339305917046</v>
      </c>
      <c r="BH6" s="31" t="n">
        <f aca="false">IF(AND(Time!BH30=1,Debt!BH68&gt;Inputs!$F$9),Waterfall!BH7/Debt!BH68,"")</f>
        <v>3.15330467111235</v>
      </c>
      <c r="BI6" s="31" t="n">
        <f aca="false">IF(AND(Time!BI30=1,Debt!BI68&gt;Inputs!$F$9),Waterfall!BI7/Debt!BI68,"")</f>
        <v>3.15232959906778</v>
      </c>
      <c r="BJ6" s="31" t="n">
        <f aca="false">IF(AND(Time!BJ30=1,Debt!BJ68&gt;Inputs!$F$9),Waterfall!BJ7/Debt!BJ68,"")</f>
        <v>3.16223034533949</v>
      </c>
      <c r="BK6" s="31" t="n">
        <f aca="false">IF(AND(Time!BK30=1,Debt!BK68&gt;Inputs!$F$9),Waterfall!BK7/Debt!BK68,"")</f>
        <v>3.16126182033304</v>
      </c>
      <c r="BL6" s="31" t="n">
        <f aca="false">IF(AND(Time!BL30=1,Debt!BL68&gt;Inputs!$F$9),Waterfall!BL7/Debt!BL68,"")</f>
        <v>3.17115778161393</v>
      </c>
      <c r="BM6" s="31" t="n">
        <f aca="false">IF(AND(Time!BM30=1,Debt!BM68&gt;Inputs!$F$9),Waterfall!BM7/Debt!BM68,"")</f>
        <v>3.1702185806072</v>
      </c>
      <c r="BN6" s="31" t="n">
        <f aca="false">IF(AND(Time!BN30=1,Debt!BN68&gt;Inputs!$F$9),Waterfall!BN7/Debt!BN68,"")</f>
        <v>2.99681971157884</v>
      </c>
      <c r="BO6" s="31" t="n">
        <f aca="false">IF(AND(Time!BO30=1,Debt!BO68&gt;Inputs!$F$9),Waterfall!BO7/Debt!BO68,"")</f>
        <v>2.57003440351149</v>
      </c>
      <c r="BP6" s="31" t="n">
        <f aca="false">IF(AND(Time!BP30=1,Debt!BP68&gt;Inputs!$F$9),Waterfall!BP7/Debt!BP68,"")</f>
        <v>2.5665553908409</v>
      </c>
      <c r="BQ6" s="31" t="n">
        <f aca="false">IF(AND(Time!BQ30=1,Debt!BQ68&gt;Inputs!$F$9),Waterfall!BQ7/Debt!BQ68,"")</f>
        <v>2.54875189911267</v>
      </c>
      <c r="BR6" s="31" t="n">
        <f aca="false">IF(AND(Time!BR30=1,Debt!BR68&gt;Inputs!$F$9),Waterfall!BR7/Debt!BR68,"")</f>
        <v>2.54833350313771</v>
      </c>
      <c r="BS6" s="31" t="n">
        <f aca="false">IF(AND(Time!BS30=1,Debt!BS68&gt;Inputs!$F$9),Waterfall!BS7/Debt!BS68,"")</f>
        <v>2.53002449739692</v>
      </c>
      <c r="BT6" s="31" t="n">
        <f aca="false">IF(AND(Time!BT30=1,Debt!BT68&gt;Inputs!$F$9),Waterfall!BT7/Debt!BT68,"")</f>
        <v>2.5292329568612</v>
      </c>
      <c r="BU6" s="31" t="n">
        <f aca="false">IF(AND(Time!BU30=1,Debt!BU68&gt;Inputs!$F$9),Waterfall!BU7/Debt!BU68,"")</f>
        <v>3.2007676922508</v>
      </c>
      <c r="BV6" s="31" t="n">
        <f aca="false">IF(AND(Time!BV30=1,Debt!BV68&gt;Inputs!$F$9),Waterfall!BV7/Debt!BV68,"")</f>
        <v>2.54803111846692</v>
      </c>
      <c r="BW6" s="31" t="n">
        <f aca="false">IF(AND(Time!BW30=1,Debt!BW68&gt;Inputs!$F$9),Waterfall!BW7/Debt!BW68,"")</f>
        <v>2.51371081680679</v>
      </c>
      <c r="BX6" s="31" t="n">
        <f aca="false">IF(AND(Time!BX30=1,Debt!BX68&gt;Inputs!$F$9),Waterfall!BX7/Debt!BX68,"")</f>
        <v>2.51095234402456</v>
      </c>
      <c r="BY6" s="31" t="n">
        <f aca="false">IF(AND(Time!BY30=1,Debt!BY68&gt;Inputs!$F$9),Waterfall!BY7/Debt!BY68,"")</f>
        <v>2.49430537274801</v>
      </c>
      <c r="BZ6" s="31" t="n">
        <f aca="false">IF(AND(Time!BZ30=1,Debt!BZ68&gt;Inputs!$F$9),Waterfall!BZ7/Debt!BZ68,"")</f>
        <v>2.49139796924819</v>
      </c>
      <c r="CA6" s="31" t="n">
        <f aca="false">IF(AND(Time!CA30=1,Debt!CA68&gt;Inputs!$F$9),Waterfall!CA7/Debt!CA68,"")</f>
        <v>2.45800121233615</v>
      </c>
      <c r="CB6" s="31" t="n">
        <f aca="false">IF(AND(Time!CB30=1,Debt!CB68&gt;Inputs!$F$9),Waterfall!CB7/Debt!CB68,"")</f>
        <v>2.45521084293374</v>
      </c>
      <c r="CC6" s="31" t="n">
        <f aca="false">IF(AND(Time!CC30=1,Debt!CC68&gt;Inputs!$F$9),Waterfall!CC7/Debt!CC68,"")</f>
        <v>2.43935387825128</v>
      </c>
      <c r="CD6" s="31" t="n">
        <f aca="false">IF(AND(Time!CD30=1,Debt!CD68&gt;Inputs!$F$9),Waterfall!CD7/Debt!CD68,"")</f>
        <v>2.43619199648331</v>
      </c>
      <c r="CE6" s="31" t="n">
        <f aca="false">IF(AND(Time!CE30=1,Debt!CE68&gt;Inputs!$F$9),Waterfall!CE7/Debt!CE68,"")</f>
        <v>2.41055569603737</v>
      </c>
      <c r="CF6" s="31" t="n">
        <f aca="false">IF(AND(Time!CF30=1,Debt!CF68&gt;Inputs!$F$9),Waterfall!CF7/Debt!CF68,"")</f>
        <v>2.73606449753466</v>
      </c>
      <c r="CG6" s="31" t="n">
        <f aca="false">IF(AND(Time!CG30=1,Debt!CG68&gt;Inputs!$F$9),Waterfall!CG7/Debt!CG68,"")</f>
        <v>3.15767976328156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1.74967145521814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2.7376759971883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1.90180534783479</v>
      </c>
      <c r="AA9" s="31" t="n">
        <f aca="false">IF(AND(Time!AA32=1,Debt!AA68&gt;Inputs!$F$9),Waterfall!AA7/Debt!AA68,"")</f>
        <v>1.94004467493422</v>
      </c>
      <c r="AB9" s="31" t="n">
        <f aca="false">IF(AND(Time!AB32=1,Debt!AB68&gt;Inputs!$F$9),Waterfall!AB7/Debt!AB68,"")</f>
        <v>1.83908558306094</v>
      </c>
      <c r="AC9" s="31" t="n">
        <f aca="false">IF(AND(Time!AC32=1,Debt!AC68&gt;Inputs!$F$9),Waterfall!AC7/Debt!AC68,"")</f>
        <v>1.82997649326938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1.82997649326938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1.81015333220399</v>
      </c>
      <c r="AK11" s="31" t="n">
        <f aca="false">IF(AND(Time!AK30=1,Time!AK47=1,Debt!AK68+Debt!AK98+Debt!AK99&gt;Inputs!$F$9),Waterfall!AK7/(Debt!AK68+Debt!AK98+Debt!AK99),"")</f>
        <v>1.69942853590849</v>
      </c>
      <c r="AL11" s="31" t="n">
        <f aca="false">IF(AND(Time!AL30=1,Time!AL47=1,Debt!AL68+Debt!AL98+Debt!AL99&gt;Inputs!$F$9),Waterfall!AL7/(Debt!AL68+Debt!AL98+Debt!AL99),"")</f>
        <v>1.75279529988262</v>
      </c>
      <c r="AM11" s="31" t="n">
        <f aca="false">IF(AND(Time!AM30=1,Time!AM47=1,Debt!AM68+Debt!AM98+Debt!AM99&gt;Inputs!$F$9),Waterfall!AM7/(Debt!AM68+Debt!AM98+Debt!AM99),"")</f>
        <v>1.83277200604742</v>
      </c>
      <c r="AN11" s="31" t="n">
        <f aca="false">IF(AND(Time!AN30=1,Time!AN47=1,Debt!AN68+Debt!AN98+Debt!AN99&gt;Inputs!$F$9),Waterfall!AN7/(Debt!AN68+Debt!AN98+Debt!AN99),"")</f>
        <v>1.8899373693096</v>
      </c>
      <c r="AO11" s="31" t="n">
        <f aca="false">IF(AND(Time!AO30=1,Time!AO47=1,Debt!AO68+Debt!AO98+Debt!AO99&gt;Inputs!$F$9),Waterfall!AO7/(Debt!AO68+Debt!AO98+Debt!AO99),"")</f>
        <v>2.07482222146205</v>
      </c>
      <c r="AP11" s="31" t="n">
        <f aca="false">IF(AND(Time!AP30=1,Time!AP47=1,Debt!AP68+Debt!AP98+Debt!AP99&gt;Inputs!$F$9),Waterfall!AP7/(Debt!AP68+Debt!AP98+Debt!AP99),"")</f>
        <v>2.12304198678765</v>
      </c>
      <c r="AQ11" s="31" t="n">
        <f aca="false">IF(AND(Time!AQ30=1,Time!AQ47=1,Debt!AQ68+Debt!AQ98+Debt!AQ99&gt;Inputs!$F$9),Waterfall!AQ7/(Debt!AQ68+Debt!AQ98+Debt!AQ99),"")</f>
        <v>1.90462224860944</v>
      </c>
      <c r="AR11" s="31" t="n">
        <f aca="false">IF(AND(Time!AR30=1,Time!AR47=1,Debt!AR68+Debt!AR98+Debt!AR99&gt;Inputs!$F$9),Waterfall!AR7/(Debt!AR68+Debt!AR98+Debt!AR99),"")</f>
        <v>1.97356122881999</v>
      </c>
      <c r="AS11" s="31" t="n">
        <f aca="false">IF(AND(Time!AS30=1,Time!AS47=1,Debt!AS68+Debt!AS98+Debt!AS99&gt;Inputs!$F$9),Waterfall!AS7/(Debt!AS68+Debt!AS98+Debt!AS99),"")</f>
        <v>2.06610632623341</v>
      </c>
      <c r="AT11" s="31" t="n">
        <f aca="false">IF(AND(Time!AT30=1,Time!AT47=1,Debt!AT68+Debt!AT98+Debt!AT99&gt;Inputs!$F$9),Waterfall!AT7/(Debt!AT68+Debt!AT98+Debt!AT99),"")</f>
        <v>2.13376980262808</v>
      </c>
      <c r="AU11" s="31" t="n">
        <f aca="false">IF(AND(Time!AU30=1,Time!AU47=1,Debt!AU68+Debt!AU98+Debt!AU99&gt;Inputs!$F$9),Waterfall!AU7/(Debt!AU68+Debt!AU98+Debt!AU99),"")</f>
        <v>2.21219594304305</v>
      </c>
      <c r="AV11" s="31" t="n">
        <f aca="false">IF(AND(Time!AV30=1,Time!AV47=1,Debt!AV68+Debt!AV98+Debt!AV99&gt;Inputs!$F$9),Waterfall!AV7/(Debt!AV68+Debt!AV98+Debt!AV99),"")</f>
        <v>2.25295022660522</v>
      </c>
      <c r="AW11" s="31" t="n">
        <f aca="false">IF(AND(Time!AW30=1,Time!AW47=1,Debt!AW68+Debt!AW98+Debt!AW99&gt;Inputs!$F$9),Waterfall!AW7/(Debt!AW68+Debt!AW98+Debt!AW99),"")</f>
        <v>2.23910785358715</v>
      </c>
      <c r="AX11" s="31" t="n">
        <f aca="false">IF(AND(Time!AX30=1,Time!AX47=1,Debt!AX68+Debt!AX98+Debt!AX99&gt;Inputs!$F$9),Waterfall!AX7/(Debt!AX68+Debt!AX98+Debt!AX99),"")</f>
        <v>2.24688965270387</v>
      </c>
      <c r="AY11" s="31" t="n">
        <f aca="false">IF(AND(Time!AY30=1,Time!AY47=1,Debt!AY68+Debt!AY98+Debt!AY99&gt;Inputs!$F$9),Waterfall!AY7/(Debt!AY68+Debt!AY98+Debt!AY99),"")</f>
        <v>2.26496456589768</v>
      </c>
      <c r="AZ11" s="31" t="n">
        <f aca="false">IF(AND(Time!AZ30=1,Time!AZ47=1,Debt!AZ68+Debt!AZ98+Debt!AZ99&gt;Inputs!$F$9),Waterfall!AZ7/(Debt!AZ68+Debt!AZ98+Debt!AZ99),"")</f>
        <v>2.27268378145878</v>
      </c>
      <c r="BA11" s="31" t="n">
        <f aca="false">IF(AND(Time!BA30=1,Time!BA47=1,Debt!BA68+Debt!BA98+Debt!BA99&gt;Inputs!$F$9),Waterfall!BA7/(Debt!BA68+Debt!BA98+Debt!BA99),"")</f>
        <v>2.26923155050889</v>
      </c>
      <c r="BB11" s="31" t="n">
        <f aca="false">IF(AND(Time!BB30=1,Time!BB47=1,Debt!BB68+Debt!BB98+Debt!BB99&gt;Inputs!$F$9),Waterfall!BB7/(Debt!BB68+Debt!BB98+Debt!BB99),"")</f>
        <v>2.27726524392688</v>
      </c>
      <c r="BC11" s="31" t="n">
        <f aca="false">IF(AND(Time!BC30=1,Time!BC47=1,Debt!BC68+Debt!BC98+Debt!BC99&gt;Inputs!$F$9),Waterfall!BC7/(Debt!BC68+Debt!BC98+Debt!BC99),"")</f>
        <v>2.23523684695471</v>
      </c>
      <c r="BD11" s="31" t="n">
        <f aca="false">IF(AND(Time!BD30=1,Time!BD47=1,Debt!BD68+Debt!BD98+Debt!BD99&gt;Inputs!$F$9),Waterfall!BD7/(Debt!BD68+Debt!BD98+Debt!BD99),"")</f>
        <v>2.24255419809852</v>
      </c>
      <c r="BE11" s="31" t="n">
        <f aca="false">IF(AND(Time!BE30=1,Time!BE47=1,Debt!BE68+Debt!BE98+Debt!BE99&gt;Inputs!$F$9),Waterfall!BE7/(Debt!BE68+Debt!BE98+Debt!BE99),"")</f>
        <v>2.22602224574054</v>
      </c>
      <c r="BF11" s="31" t="n">
        <f aca="false">IF(AND(Time!BF30=1,Time!BF47=1,Debt!BF68+Debt!BF98+Debt!BF99&gt;Inputs!$F$9),Waterfall!BF7/(Debt!BF68+Debt!BF98+Debt!BF99),"")</f>
        <v>2.23306034918814</v>
      </c>
      <c r="BG11" s="31" t="n">
        <f aca="false">IF(AND(Time!BG30=1,Time!BG47=1,Debt!BG68+Debt!BG98+Debt!BG99&gt;Inputs!$F$9),Waterfall!BG7/(Debt!BG68+Debt!BG98+Debt!BG99),"")</f>
        <v>2.23237261910216</v>
      </c>
      <c r="BH11" s="31" t="n">
        <f aca="false">IF(AND(Time!BH30=1,Time!BH47=1,Debt!BH68+Debt!BH98+Debt!BH99&gt;Inputs!$F$9),Waterfall!BH7/(Debt!BH68+Debt!BH98+Debt!BH99),"")</f>
        <v>2.23941164053339</v>
      </c>
      <c r="BI11" s="31" t="n">
        <f aca="false">IF(AND(Time!BI30=1,Time!BI47=1,Debt!BI68+Debt!BI98+Debt!BI99&gt;Inputs!$F$9),Waterfall!BI7/(Debt!BI68+Debt!BI98+Debt!BI99),"")</f>
        <v>2.23871916457095</v>
      </c>
      <c r="BJ11" s="31" t="n">
        <f aca="false">IF(AND(Time!BJ30=1,Time!BJ47=1,Debt!BJ68+Debt!BJ98+Debt!BJ99&gt;Inputs!$F$9),Waterfall!BJ7/(Debt!BJ68+Debt!BJ98+Debt!BJ99),"")</f>
        <v>2.24575046942835</v>
      </c>
      <c r="BK11" s="31" t="n">
        <f aca="false">IF(AND(Time!BK30=1,Time!BK47=1,Debt!BK68+Debt!BK98+Debt!BK99&gt;Inputs!$F$9),Waterfall!BK7/(Debt!BK68+Debt!BK98+Debt!BK99),"")</f>
        <v>2.24506264303673</v>
      </c>
      <c r="BL11" s="31" t="n">
        <f aca="false">IF(AND(Time!BL30=1,Time!BL47=1,Debt!BL68+Debt!BL98+Debt!BL99&gt;Inputs!$F$9),Waterfall!BL7/(Debt!BL68+Debt!BL98+Debt!BL99),"")</f>
        <v>2.25209054969279</v>
      </c>
      <c r="BM11" s="31" t="n">
        <f aca="false">IF(AND(Time!BM30=1,Time!BM47=1,Debt!BM68+Debt!BM98+Debt!BM99&gt;Inputs!$F$9),Waterfall!BM7/(Debt!BM68+Debt!BM98+Debt!BM99),"")</f>
        <v>2.25142354859818</v>
      </c>
      <c r="BN11" s="31" t="n">
        <f aca="false">IF(AND(Time!BN30=1,Time!BN47=1,Debt!BN68+Debt!BN98+Debt!BN99&gt;Inputs!$F$9),Waterfall!BN7/(Debt!BN68+Debt!BN98+Debt!BN99),"")</f>
        <v>2.12827926466178</v>
      </c>
      <c r="BO11" s="31" t="n">
        <f aca="false">IF(AND(Time!BO30=1,Time!BO47=1,Debt!BO68+Debt!BO98+Debt!BO99&gt;Inputs!$F$9),Waterfall!BO7/(Debt!BO68+Debt!BO98+Debt!BO99),"")</f>
        <v>1.82518518192048</v>
      </c>
      <c r="BP11" s="31" t="n">
        <f aca="false">IF(AND(Time!BP30=1,Time!BP47=1,Debt!BP68+Debt!BP98+Debt!BP99&gt;Inputs!$F$9),Waterfall!BP7/(Debt!BP68+Debt!BP98+Debt!BP99),"")</f>
        <v>1.82271445920743</v>
      </c>
      <c r="BQ11" s="31" t="n">
        <f aca="false">IF(AND(Time!BQ30=1,Time!BQ47=1,Debt!BQ68+Debt!BQ98+Debt!BQ99&gt;Inputs!$F$9),Waterfall!BQ7/(Debt!BQ68+Debt!BQ98+Debt!BQ99),"")</f>
        <v>1.81007078827275</v>
      </c>
      <c r="BR11" s="31" t="n">
        <f aca="false">IF(AND(Time!BR30=1,Time!BR47=1,Debt!BR68+Debt!BR98+Debt!BR99&gt;Inputs!$F$9),Waterfall!BR7/(Debt!BR68+Debt!BR98+Debt!BR99),"")</f>
        <v>1.80977365212055</v>
      </c>
      <c r="BS11" s="31" t="n">
        <f aca="false">IF(AND(Time!BS30=1,Time!BS47=1,Debt!BS68+Debt!BS98+Debt!BS99&gt;Inputs!$F$9),Waterfall!BS7/(Debt!BS68+Debt!BS98+Debt!BS99),"")</f>
        <v>1.79677097560847</v>
      </c>
      <c r="BT11" s="31" t="n">
        <f aca="false">IF(AND(Time!BT30=1,Time!BT47=1,Debt!BT68+Debt!BT98+Debt!BT99&gt;Inputs!$F$9),Waterfall!BT7/(Debt!BT68+Debt!BT98+Debt!BT99),"")</f>
        <v>1.79620883992083</v>
      </c>
      <c r="BU11" s="31" t="n">
        <f aca="false">IF(AND(Time!BU30=1,Time!BU47=1,Debt!BU68+Debt!BU98+Debt!BU99&gt;Inputs!$F$9),Waterfall!BU7/(Debt!BU68+Debt!BU98+Debt!BU99),"")</f>
        <v>2.27311889470583</v>
      </c>
      <c r="BV11" s="31" t="n">
        <f aca="false">IF(AND(Time!BV30=1,Time!BV47=1,Debt!BV68+Debt!BV98+Debt!BV99&gt;Inputs!$F$9),Waterfall!BV7/(Debt!BV68+Debt!BV98+Debt!BV99),"")</f>
        <v>1.80955890479281</v>
      </c>
      <c r="BW11" s="31" t="n">
        <f aca="false">IF(AND(Time!BW30=1,Time!BW47=1,Debt!BW68+Debt!BW98+Debt!BW99&gt;Inputs!$F$9),Waterfall!BW7/(Debt!BW68+Debt!BW98+Debt!BW99),"")</f>
        <v>1.78518533767499</v>
      </c>
      <c r="BX11" s="31" t="n">
        <f aca="false">IF(AND(Time!BX30=1,Time!BX47=1,Debt!BX68+Debt!BX98+Debt!BX99&gt;Inputs!$F$9),Waterfall!BX7/(Debt!BX68+Debt!BX98+Debt!BX99),"")</f>
        <v>1.78322632746096</v>
      </c>
      <c r="BY11" s="31" t="n">
        <f aca="false">IF(AND(Time!BY30=1,Time!BY47=1,Debt!BY68+Debt!BY98+Debt!BY99&gt;Inputs!$F$9),Waterfall!BY7/(Debt!BY68+Debt!BY98+Debt!BY99),"")</f>
        <v>1.77140399338781</v>
      </c>
      <c r="BZ11" s="31" t="n">
        <f aca="false">IF(AND(Time!BZ30=1,Time!BZ47=1,Debt!BZ68+Debt!BZ98+Debt!BZ99&gt;Inputs!$F$9),Waterfall!BZ7/(Debt!BZ68+Debt!BZ98+Debt!BZ99),"")</f>
        <v>1.76933921566402</v>
      </c>
      <c r="CA11" s="31" t="n">
        <f aca="false">IF(AND(Time!CA30=1,Time!CA47=1,Debt!CA68+Debt!CA98+Debt!CA99&gt;Inputs!$F$9),Waterfall!CA7/(Debt!CA68+Debt!CA98+Debt!CA99),"")</f>
        <v>1.74562153089032</v>
      </c>
      <c r="CB11" s="31" t="n">
        <f aca="false">IF(AND(Time!CB30=1,Time!CB47=1,Debt!CB68+Debt!CB98+Debt!CB99&gt;Inputs!$F$9),Waterfall!CB7/(Debt!CB68+Debt!CB98+Debt!CB99),"")</f>
        <v>1.74363986835756</v>
      </c>
      <c r="CC11" s="31" t="n">
        <f aca="false">IF(AND(Time!CC30=1,Time!CC47=1,Debt!CC68+Debt!CC98+Debt!CC99&gt;Inputs!$F$9),Waterfall!CC7/(Debt!CC68+Debt!CC98+Debt!CC99),"")</f>
        <v>1.73237858059848</v>
      </c>
      <c r="CD11" s="31" t="n">
        <f aca="false">IF(AND(Time!CD30=1,Time!CD47=1,Debt!CD68+Debt!CD98+Debt!CD99&gt;Inputs!$F$9),Waterfall!CD7/(Debt!CD68+Debt!CD98+Debt!CD99),"")</f>
        <v>1.73013307768148</v>
      </c>
      <c r="CE11" s="31" t="n">
        <f aca="false">IF(AND(Time!CE30=1,Time!CE47=1,Debt!CE68+Debt!CE98+Debt!CE99&gt;Inputs!$F$9),Waterfall!CE7/(Debt!CE68+Debt!CE98+Debt!CE99),"")</f>
        <v>1.71192670829231</v>
      </c>
      <c r="CF11" s="31" t="n">
        <f aca="false">IF(AND(Time!CF30=1,Time!CF47=1,Debt!CF68+Debt!CF98+Debt!CF99&gt;Inputs!$F$9),Waterfall!CF7/(Debt!CF68+Debt!CF98+Debt!CF99),"")</f>
        <v>1.94309631453019</v>
      </c>
      <c r="CG11" s="31" t="n">
        <f aca="false">IF(AND(Time!CG30=1,Time!CG47=1,Debt!CG68+Debt!CG98+Debt!CG99&gt;Inputs!$F$9),Waterfall!CG7/(Debt!CG68+Debt!CG98+Debt!CG99),"")</f>
        <v>2.24251874033946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1.69942853590849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2.70562641385628</v>
      </c>
      <c r="AE14" s="31" t="n">
        <f aca="false">IF(AND(Time!AE30=1,Debt!AE42+Debt!AE49&gt;Inputs!$F$9),SUMPRODUCT(Waterfall!AE$7:$DB$7,AE$13:$DB$13,Time!AE$30:$DB$30)/(AE13*(1+Debt!AE9))/(Debt!AE42+Debt!AE49),"")</f>
        <v>2.73134644094717</v>
      </c>
      <c r="AF14" s="31" t="n">
        <f aca="false">IF(AND(Time!AF30=1,Debt!AF42+Debt!AF49&gt;Inputs!$F$9),SUMPRODUCT(Waterfall!AF$7:$DB$7,AF$13:$DB$13,Time!AF$30:$DB$30)/(AF13*(1+Debt!AF9))/(Debt!AF42+Debt!AF49),"")</f>
        <v>2.7555096542979</v>
      </c>
      <c r="AG14" s="31" t="n">
        <f aca="false">IF(AND(Time!AG30=1,Debt!AG42+Debt!AG49&gt;Inputs!$F$9),SUMPRODUCT(Waterfall!AG$7:$DB$7,AG$13:$DB$13,Time!AG$30:$DB$30)/(AG13*(1+Debt!AG9))/(Debt!AG42+Debt!AG49),"")</f>
        <v>2.77580194568519</v>
      </c>
      <c r="AH14" s="31" t="n">
        <f aca="false">IF(AND(Time!AH30=1,Debt!AH42+Debt!AH49&gt;Inputs!$F$9),SUMPRODUCT(Waterfall!AH$7:$DB$7,AH$13:$DB$13,Time!AH$30:$DB$30)/(AH13*(1+Debt!AH9))/(Debt!AH42+Debt!AH49),"")</f>
        <v>2.79239193235249</v>
      </c>
      <c r="AI14" s="31" t="n">
        <f aca="false">IF(AND(Time!AI30=1,Debt!AI42+Debt!AI49&gt;Inputs!$F$9),SUMPRODUCT(Waterfall!AI$7:$DB$7,AI$13:$DB$13,Time!AI$30:$DB$30)/(AI13*(1+Debt!AI9))/(Debt!AI42+Debt!AI49),"")</f>
        <v>2.80770454748312</v>
      </c>
      <c r="AJ14" s="31" t="n">
        <f aca="false">IF(AND(Time!AJ30=1,Debt!AJ42+Debt!AJ49&gt;Inputs!$F$9),SUMPRODUCT(Waterfall!AJ$7:$DB$7,AJ$13:$DB$13,Time!AJ$30:$DB$30)/(AJ13*(1+Debt!AJ9))/(Debt!AJ42+Debt!AJ49),"")</f>
        <v>2.82455949383434</v>
      </c>
      <c r="AK14" s="31" t="n">
        <f aca="false">IF(AND(Time!AK30=1,Debt!AK42+Debt!AK49&gt;Inputs!$F$9),SUMPRODUCT(Waterfall!AK$7:$DB$7,AK$13:$DB$13,Time!AK$30:$DB$30)/(AK13*(1+Debt!AK9))/(Debt!AK42+Debt!AK49),"")</f>
        <v>2.83991779694497</v>
      </c>
      <c r="AL14" s="31" t="n">
        <f aca="false">IF(AND(Time!AL30=1,Debt!AL42+Debt!AL49&gt;Inputs!$F$9),SUMPRODUCT(Waterfall!AL$7:$DB$7,AL$13:$DB$13,Time!AL$30:$DB$30)/(AL13*(1+Debt!AL9))/(Debt!AL42+Debt!AL49),"")</f>
        <v>2.85310350430893</v>
      </c>
      <c r="AM14" s="31" t="n">
        <f aca="false">IF(AND(Time!AM30=1,Debt!AM42+Debt!AM49&gt;Inputs!$F$9),SUMPRODUCT(Waterfall!AM$7:$DB$7,AM$13:$DB$13,Time!AM$30:$DB$30)/(AM13*(1+Debt!AM9))/(Debt!AM42+Debt!AM49),"")</f>
        <v>2.86475203096847</v>
      </c>
      <c r="AN14" s="31" t="n">
        <f aca="false">IF(AND(Time!AN30=1,Debt!AN42+Debt!AN49&gt;Inputs!$F$9),SUMPRODUCT(Waterfall!AN$7:$DB$7,AN$13:$DB$13,Time!AN$30:$DB$30)/(AN13*(1+Debt!AN9))/(Debt!AN42+Debt!AN49),"")</f>
        <v>2.87375791524362</v>
      </c>
      <c r="AO14" s="31" t="n">
        <f aca="false">IF(AND(Time!AO30=1,Debt!AO42+Debt!AO49&gt;Inputs!$F$9),SUMPRODUCT(Waterfall!AO$7:$DB$7,AO$13:$DB$13,Time!AO$30:$DB$30)/(AO13*(1+Debt!AO9))/(Debt!AO42+Debt!AO49),"")</f>
        <v>2.88102569339086</v>
      </c>
      <c r="AP14" s="31" t="n">
        <f aca="false">IF(AND(Time!AP30=1,Debt!AP42+Debt!AP49&gt;Inputs!$F$9),SUMPRODUCT(Waterfall!AP$7:$DB$7,AP$13:$DB$13,Time!AP$30:$DB$30)/(AP13*(1+Debt!AP9))/(Debt!AP42+Debt!AP49),"")</f>
        <v>2.88168555709933</v>
      </c>
      <c r="AQ14" s="31" t="n">
        <f aca="false">IF(AND(Time!AQ30=1,Debt!AQ42+Debt!AQ49&gt;Inputs!$F$9),SUMPRODUCT(Waterfall!AQ$7:$DB$7,AQ$13:$DB$13,Time!AQ$30:$DB$30)/(AQ13*(1+Debt!AQ9))/(Debt!AQ42+Debt!AQ49),"")</f>
        <v>2.88029728052421</v>
      </c>
      <c r="AR14" s="31" t="n">
        <f aca="false">IF(AND(Time!AR30=1,Debt!AR42+Debt!AR49&gt;Inputs!$F$9),SUMPRODUCT(Waterfall!AR$7:$DB$7,AR$13:$DB$13,Time!AR$30:$DB$30)/(AR13*(1+Debt!AR9))/(Debt!AR42+Debt!AR49),"")</f>
        <v>2.88711482707362</v>
      </c>
      <c r="AS14" s="31" t="n">
        <f aca="false">IF(AND(Time!AS30=1,Debt!AS42+Debt!AS49&gt;Inputs!$F$9),SUMPRODUCT(Waterfall!AS$7:$DB$7,AS$13:$DB$13,Time!AS$30:$DB$30)/(AS13*(1+Debt!AS9))/(Debt!AS42+Debt!AS49),"")</f>
        <v>2.89169659880809</v>
      </c>
      <c r="AT14" s="31" t="n">
        <f aca="false">IF(AND(Time!AT30=1,Debt!AT42+Debt!AT49&gt;Inputs!$F$9),SUMPRODUCT(Waterfall!AT$7:$DB$7,AT$13:$DB$13,Time!AT$30:$DB$30)/(AT13*(1+Debt!AT9))/(Debt!AT42+Debt!AT49),"")</f>
        <v>2.89296095745672</v>
      </c>
      <c r="AU14" s="31" t="n">
        <f aca="false">IF(AND(Time!AU30=1,Debt!AU42+Debt!AU49&gt;Inputs!$F$9),SUMPRODUCT(Waterfall!AU$7:$DB$7,AU$13:$DB$13,Time!AU$30:$DB$30)/(AU13*(1+Debt!AU9))/(Debt!AU42+Debt!AU49),"")</f>
        <v>2.89198990418505</v>
      </c>
      <c r="AV14" s="31" t="n">
        <f aca="false">IF(AND(Time!AV30=1,Debt!AV42+Debt!AV49&gt;Inputs!$F$9),SUMPRODUCT(Waterfall!AV$7:$DB$7,AV$13:$DB$13,Time!AV$30:$DB$30)/(AV13*(1+Debt!AV9))/(Debt!AV42+Debt!AV49),"")</f>
        <v>2.8870131926101</v>
      </c>
      <c r="AW14" s="31" t="n">
        <f aca="false">IF(AND(Time!AW30=1,Debt!AW42+Debt!AW49&gt;Inputs!$F$9),SUMPRODUCT(Waterfall!AW$7:$DB$7,AW$13:$DB$13,Time!AW$30:$DB$30)/(AW13*(1+Debt!AW9))/(Debt!AW42+Debt!AW49),"")</f>
        <v>2.87955573108476</v>
      </c>
      <c r="AX14" s="31" t="n">
        <f aca="false">IF(AND(Time!AX30=1,Debt!AX42+Debt!AX49&gt;Inputs!$F$9),SUMPRODUCT(Waterfall!AX$7:$DB$7,AX$13:$DB$13,Time!AX$30:$DB$30)/(AX13*(1+Debt!AX9))/(Debt!AX42+Debt!AX49),"")</f>
        <v>2.87177794991074</v>
      </c>
      <c r="AY14" s="31" t="n">
        <f aca="false">IF(AND(Time!AY30=1,Debt!AY42+Debt!AY49&gt;Inputs!$F$9),SUMPRODUCT(Waterfall!AY$7:$DB$7,AY$13:$DB$13,Time!AY$30:$DB$30)/(AY13*(1+Debt!AY9))/(Debt!AY42+Debt!AY49),"")</f>
        <v>2.86341322764187</v>
      </c>
      <c r="AZ14" s="31" t="n">
        <f aca="false">IF(AND(Time!AZ30=1,Debt!AZ42+Debt!AZ49&gt;Inputs!$F$9),SUMPRODUCT(Waterfall!AZ$7:$DB$7,AZ$13:$DB$13,Time!AZ$30:$DB$30)/(AZ13*(1+Debt!AZ9))/(Debt!AZ42+Debt!AZ49),"")</f>
        <v>2.8541258308091</v>
      </c>
      <c r="BA14" s="31" t="n">
        <f aca="false">IF(AND(Time!BA30=1,Debt!BA42+Debt!BA49&gt;Inputs!$F$9),SUMPRODUCT(Waterfall!BA$7:$DB$7,BA$13:$DB$13,Time!BA$30:$DB$30)/(BA13*(1+Debt!BA9))/(Debt!BA42+Debt!BA49),"")</f>
        <v>2.8441311904421</v>
      </c>
      <c r="BB14" s="31" t="n">
        <f aca="false">IF(AND(Time!BB30=1,Debt!BB42+Debt!BB49&gt;Inputs!$F$9),SUMPRODUCT(Waterfall!BB$7:$DB$7,BB$13:$DB$13,Time!BB$30:$DB$30)/(BB13*(1+Debt!BB9))/(Debt!BB42+Debt!BB49),"")</f>
        <v>2.83347060823012</v>
      </c>
      <c r="BC14" s="31" t="n">
        <f aca="false">IF(AND(Time!BC30=1,Debt!BC42+Debt!BC49&gt;Inputs!$F$9),SUMPRODUCT(Waterfall!BC$7:$DB$7,BC$13:$DB$13,Time!BC$30:$DB$30)/(BC13*(1+Debt!BC9))/(Debt!BC42+Debt!BC49),"")</f>
        <v>2.82204565785423</v>
      </c>
      <c r="BD14" s="31" t="n">
        <f aca="false">IF(AND(Time!BD30=1,Debt!BD42+Debt!BD49&gt;Inputs!$F$9),SUMPRODUCT(Waterfall!BD$7:$DB$7,BD$13:$DB$13,Time!BD$30:$DB$30)/(BD13*(1+Debt!BD9))/(Debt!BD42+Debt!BD49),"")</f>
        <v>2.81026941971275</v>
      </c>
      <c r="BE14" s="31" t="n">
        <f aca="false">IF(AND(Time!BE30=1,Debt!BE42+Debt!BE49&gt;Inputs!$F$9),SUMPRODUCT(Waterfall!BE$7:$DB$7,BE$13:$DB$13,Time!BE$30:$DB$30)/(BE13*(1+Debt!BE9))/(Debt!BE42+Debt!BE49),"")</f>
        <v>2.79751665800749</v>
      </c>
      <c r="BF14" s="31" t="n">
        <f aca="false">IF(AND(Time!BF30=1,Debt!BF42+Debt!BF49&gt;Inputs!$F$9),SUMPRODUCT(Waterfall!BF$7:$DB$7,BF$13:$DB$13,Time!BF$30:$DB$30)/(BF13*(1+Debt!BF9))/(Debt!BF42+Debt!BF49),"")</f>
        <v>2.7837855620118</v>
      </c>
      <c r="BG14" s="31" t="n">
        <f aca="false">IF(AND(Time!BG30=1,Debt!BG42+Debt!BG49&gt;Inputs!$F$9),SUMPRODUCT(Waterfall!BG$7:$DB$7,BG$13:$DB$13,Time!BG$30:$DB$30)/(BG13*(1+Debt!BG9))/(Debt!BG42+Debt!BG49),"")</f>
        <v>2.7688168756143</v>
      </c>
      <c r="BH14" s="31" t="n">
        <f aca="false">IF(AND(Time!BH30=1,Debt!BH42+Debt!BH49&gt;Inputs!$F$9),SUMPRODUCT(Waterfall!BH$7:$DB$7,BH$13:$DB$13,Time!BH$30:$DB$30)/(BH13*(1+Debt!BH9))/(Debt!BH42+Debt!BH49),"")</f>
        <v>2.75228132189613</v>
      </c>
      <c r="BI14" s="31" t="n">
        <f aca="false">IF(AND(Time!BI30=1,Debt!BI42+Debt!BI49&gt;Inputs!$F$9),SUMPRODUCT(Waterfall!BI$7:$DB$7,BI$13:$DB$13,Time!BI$30:$DB$30)/(BI13*(1+Debt!BI9))/(Debt!BI42+Debt!BI49),"")</f>
        <v>2.73408334650155</v>
      </c>
      <c r="BJ14" s="31" t="n">
        <f aca="false">IF(AND(Time!BJ30=1,Debt!BJ42+Debt!BJ49&gt;Inputs!$F$9),SUMPRODUCT(Waterfall!BJ$7:$DB$7,BJ$13:$DB$13,Time!BJ$30:$DB$30)/(BJ13*(1+Debt!BJ9))/(Debt!BJ42+Debt!BJ49),"")</f>
        <v>2.71393329734113</v>
      </c>
      <c r="BK14" s="31" t="n">
        <f aca="false">IF(AND(Time!BK30=1,Debt!BK42+Debt!BK49&gt;Inputs!$F$9),SUMPRODUCT(Waterfall!BK$7:$DB$7,BK$13:$DB$13,Time!BK$30:$DB$30)/(BK13*(1+Debt!BK9))/(Debt!BK42+Debt!BK49),"")</f>
        <v>2.69176604864239</v>
      </c>
      <c r="BL14" s="31" t="n">
        <f aca="false">IF(AND(Time!BL30=1,Debt!BL42+Debt!BL49&gt;Inputs!$F$9),SUMPRODUCT(Waterfall!BL$7:$DB$7,BL$13:$DB$13,Time!BL$30:$DB$30)/(BL13*(1+Debt!BL9))/(Debt!BL42+Debt!BL49),"")</f>
        <v>2.66686715192702</v>
      </c>
      <c r="BM14" s="31" t="n">
        <f aca="false">IF(AND(Time!BM30=1,Debt!BM42+Debt!BM49&gt;Inputs!$F$9),SUMPRODUCT(Waterfall!BM$7:$DB$7,BM$13:$DB$13,Time!BM$30:$DB$30)/(BM13*(1+Debt!BM9))/(Debt!BM42+Debt!BM49),"")</f>
        <v>2.63928009156237</v>
      </c>
      <c r="BN14" s="31" t="n">
        <f aca="false">IF(AND(Time!BN30=1,Debt!BN42+Debt!BN49&gt;Inputs!$F$9),SUMPRODUCT(Waterfall!BN$7:$DB$7,BN$13:$DB$13,Time!BN$30:$DB$30)/(BN13*(1+Debt!BN9))/(Debt!BN42+Debt!BN49),"")</f>
        <v>2.60796461347452</v>
      </c>
      <c r="BO14" s="31" t="n">
        <f aca="false">IF(AND(Time!BO30=1,Debt!BO42+Debt!BO49&gt;Inputs!$F$9),SUMPRODUCT(Waterfall!BO$7:$DB$7,BO$13:$DB$13,Time!BO$30:$DB$30)/(BO13*(1+Debt!BO9))/(Debt!BO42+Debt!BO49),"")</f>
        <v>2.58416100744229</v>
      </c>
      <c r="BP14" s="31" t="n">
        <f aca="false">IF(AND(Time!BP30=1,Debt!BP42+Debt!BP49&gt;Inputs!$F$9),SUMPRODUCT(Waterfall!BP$7:$DB$7,BP$13:$DB$13,Time!BP$30:$DB$30)/(BP13*(1+Debt!BP9))/(Debt!BP42+Debt!BP49),"")</f>
        <v>2.58494038523049</v>
      </c>
      <c r="BQ14" s="31" t="n">
        <f aca="false">IF(AND(Time!BQ30=1,Debt!BQ42+Debt!BQ49&gt;Inputs!$F$9),SUMPRODUCT(Waterfall!BQ$7:$DB$7,BQ$13:$DB$13,Time!BQ$30:$DB$30)/(BQ13*(1+Debt!BQ9))/(Debt!BQ42+Debt!BQ49),"")</f>
        <v>2.5859969642186</v>
      </c>
      <c r="BR14" s="31" t="n">
        <f aca="false">IF(AND(Time!BR30=1,Debt!BR42+Debt!BR49&gt;Inputs!$F$9),SUMPRODUCT(Waterfall!BR$7:$DB$7,BR$13:$DB$13,Time!BR$30:$DB$30)/(BR13*(1+Debt!BR9))/(Debt!BR42+Debt!BR49),"")</f>
        <v>2.58831561289538</v>
      </c>
      <c r="BS14" s="31" t="n">
        <f aca="false">IF(AND(Time!BS30=1,Debt!BS42+Debt!BS49&gt;Inputs!$F$9),SUMPRODUCT(Waterfall!BS$7:$DB$7,BS$13:$DB$13,Time!BS$30:$DB$30)/(BS13*(1+Debt!BS9))/(Debt!BS42+Debt!BS49),"")</f>
        <v>2.59087522872882</v>
      </c>
      <c r="BT14" s="31" t="n">
        <f aca="false">IF(AND(Time!BT30=1,Debt!BT42+Debt!BT49&gt;Inputs!$F$9),SUMPRODUCT(Waterfall!BT$7:$DB$7,BT$13:$DB$13,Time!BT$30:$DB$30)/(BT13*(1+Debt!BT9))/(Debt!BT42+Debt!BT49),"")</f>
        <v>2.59514931678639</v>
      </c>
      <c r="BU14" s="31" t="n">
        <f aca="false">IF(AND(Time!BU30=1,Debt!BU42+Debt!BU49&gt;Inputs!$F$9),SUMPRODUCT(Waterfall!BU$7:$DB$7,BU$13:$DB$13,Time!BU$30:$DB$30)/(BU13*(1+Debt!BU9))/(Debt!BU42+Debt!BU49),"")</f>
        <v>2.59995030066138</v>
      </c>
      <c r="BV14" s="31" t="n">
        <f aca="false">IF(AND(Time!BV30=1,Debt!BV42+Debt!BV49&gt;Inputs!$F$9),SUMPRODUCT(Waterfall!BV$7:$DB$7,BV$13:$DB$13,Time!BV$30:$DB$30)/(BV13*(1+Debt!BV9))/(Debt!BV42+Debt!BV49),"")</f>
        <v>2.54264015156459</v>
      </c>
      <c r="BW14" s="31" t="n">
        <f aca="false">IF(AND(Time!BW30=1,Debt!BW42+Debt!BW49&gt;Inputs!$F$9),SUMPRODUCT(Waterfall!BW$7:$DB$7,BW$13:$DB$13,Time!BW$30:$DB$30)/(BW13*(1+Debt!BW9))/(Debt!BW42+Debt!BW49),"")</f>
        <v>2.54209189809985</v>
      </c>
      <c r="BX14" s="31" t="n">
        <f aca="false">IF(AND(Time!BX30=1,Debt!BX42+Debt!BX49&gt;Inputs!$F$9),SUMPRODUCT(Waterfall!BX$7:$DB$7,BX$13:$DB$13,Time!BX$30:$DB$30)/(BX13*(1+Debt!BX9))/(Debt!BX42+Debt!BX49),"")</f>
        <v>2.54536673205779</v>
      </c>
      <c r="BY14" s="31" t="n">
        <f aca="false">IF(AND(Time!BY30=1,Debt!BY42+Debt!BY49&gt;Inputs!$F$9),SUMPRODUCT(Waterfall!BY$7:$DB$7,BY$13:$DB$13,Time!BY$30:$DB$30)/(BY13*(1+Debt!BY9))/(Debt!BY42+Debt!BY49),"")</f>
        <v>2.54971941251269</v>
      </c>
      <c r="BZ14" s="31" t="n">
        <f aca="false">IF(AND(Time!BZ30=1,Debt!BZ42+Debt!BZ49&gt;Inputs!$F$9),SUMPRODUCT(Waterfall!BZ$7:$DB$7,BZ$13:$DB$13,Time!BZ$30:$DB$30)/(BZ13*(1+Debt!BZ9))/(Debt!BZ42+Debt!BZ49),"")</f>
        <v>2.55784953236292</v>
      </c>
      <c r="CA14" s="31" t="n">
        <f aca="false">IF(AND(Time!CA30=1,Debt!CA42+Debt!CA49&gt;Inputs!$F$9),SUMPRODUCT(Waterfall!CA$7:$DB$7,CA$13:$DB$13,Time!CA$30:$DB$30)/(CA13*(1+Debt!CA9))/(Debt!CA42+Debt!CA49),"")</f>
        <v>2.56884632980218</v>
      </c>
      <c r="CB14" s="31" t="n">
        <f aca="false">IF(AND(Time!CB30=1,Debt!CB42+Debt!CB49&gt;Inputs!$F$9),SUMPRODUCT(Waterfall!CB$7:$DB$7,CB$13:$DB$13,Time!CB$30:$DB$30)/(CB13*(1+Debt!CB9))/(Debt!CB42+Debt!CB49),"")</f>
        <v>2.58908409379553</v>
      </c>
      <c r="CC14" s="31" t="n">
        <f aca="false">IF(AND(Time!CC30=1,Debt!CC42+Debt!CC49&gt;Inputs!$F$9),SUMPRODUCT(Waterfall!CC$7:$DB$7,CC$13:$DB$13,Time!CC$30:$DB$30)/(CC13*(1+Debt!CC9))/(Debt!CC42+Debt!CC49),"")</f>
        <v>2.61779409444071</v>
      </c>
      <c r="CD14" s="31" t="n">
        <f aca="false">IF(AND(Time!CD30=1,Debt!CD42+Debt!CD49&gt;Inputs!$F$9),SUMPRODUCT(Waterfall!CD$7:$DB$7,CD$13:$DB$13,Time!CD$30:$DB$30)/(CD13*(1+Debt!CD9))/(Debt!CD42+Debt!CD49),"")</f>
        <v>2.66781393451686</v>
      </c>
      <c r="CE14" s="31" t="n">
        <f aca="false">IF(AND(Time!CE30=1,Debt!CE42+Debt!CE49&gt;Inputs!$F$9),SUMPRODUCT(Waterfall!CE$7:$DB$7,CE$13:$DB$13,Time!CE$30:$DB$30)/(CE13*(1+Debt!CE9))/(Debt!CE42+Debt!CE49),"")</f>
        <v>2.75397421011169</v>
      </c>
      <c r="CF14" s="31" t="n">
        <f aca="false">IF(AND(Time!CF30=1,Debt!CF42+Debt!CF49&gt;Inputs!$F$9),SUMPRODUCT(Waterfall!CF$7:$DB$7,CF$13:$DB$13,Time!CF$30:$DB$30)/(CF13*(1+Debt!CF9))/(Debt!CF42+Debt!CF49),"")</f>
        <v>2.95081170359749</v>
      </c>
      <c r="CG14" s="31" t="n">
        <f aca="false">IF(AND(Time!CG30=1,Debt!CG42+Debt!CG49&gt;Inputs!$F$9),SUMPRODUCT(Waterfall!CG$7:$DB$7,CG$13:$DB$13,Time!CG$30:$DB$30)/(CG13*(1+Debt!CG9))/(Debt!CG42+Debt!CG49),"")</f>
        <v>3.15767976328142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2.70562641385628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2.54209189809985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3.01577390442965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0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5.55648191080975E-014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3406.48271678367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61.7286636174205</v>
      </c>
      <c r="AE6" s="29" t="n">
        <f aca="false">Waterfall!AE61</f>
        <v>20.4475108318679</v>
      </c>
      <c r="AF6" s="29" t="n">
        <f aca="false">Waterfall!AF61</f>
        <v>18.9478320504788</v>
      </c>
      <c r="AG6" s="29" t="n">
        <f aca="false">Waterfall!AG61</f>
        <v>26.8074101449317</v>
      </c>
      <c r="AH6" s="29" t="n">
        <f aca="false">Waterfall!AH61</f>
        <v>27.6106404044661</v>
      </c>
      <c r="AI6" s="29" t="n">
        <f aca="false">Waterfall!AI61</f>
        <v>27.2525174223265</v>
      </c>
      <c r="AJ6" s="29" t="n">
        <f aca="false">Waterfall!AJ61</f>
        <v>23.0229325293868</v>
      </c>
      <c r="AK6" s="29" t="n">
        <f aca="false">Waterfall!AK61</f>
        <v>22.5534514298187</v>
      </c>
      <c r="AL6" s="29" t="n">
        <f aca="false">Waterfall!AL61</f>
        <v>23.6380357011893</v>
      </c>
      <c r="AM6" s="29" t="n">
        <f aca="false">Waterfall!AM61</f>
        <v>26.8175421919139</v>
      </c>
      <c r="AN6" s="29" t="n">
        <f aca="false">Waterfall!AN61</f>
        <v>27.9784028699426</v>
      </c>
      <c r="AO6" s="29" t="n">
        <f aca="false">Waterfall!AO61</f>
        <v>34.5578843806791</v>
      </c>
      <c r="AP6" s="29" t="n">
        <f aca="false">Waterfall!AP61</f>
        <v>35.5891392362167</v>
      </c>
      <c r="AQ6" s="29" t="n">
        <f aca="false">Waterfall!AQ61</f>
        <v>29.0499714728275</v>
      </c>
      <c r="AR6" s="29" t="n">
        <f aca="false">Waterfall!AR61</f>
        <v>30.7911681184447</v>
      </c>
      <c r="AS6" s="29" t="n">
        <f aca="false">Waterfall!AS61</f>
        <v>34.2757492246017</v>
      </c>
      <c r="AT6" s="29" t="n">
        <f aca="false">Waterfall!AT61</f>
        <v>35.6918068832461</v>
      </c>
      <c r="AU6" s="29" t="n">
        <f aca="false">Waterfall!AU61</f>
        <v>39.3992801218856</v>
      </c>
      <c r="AV6" s="29" t="n">
        <f aca="false">Waterfall!AV61</f>
        <v>38.6753385702685</v>
      </c>
      <c r="AW6" s="29" t="n">
        <f aca="false">Waterfall!AW61</f>
        <v>43.6069924469362</v>
      </c>
      <c r="AX6" s="29" t="n">
        <f aca="false">Waterfall!AX61</f>
        <v>44.3345447848746</v>
      </c>
      <c r="AY6" s="29" t="n">
        <f aca="false">Waterfall!AY61</f>
        <v>44.214564336585</v>
      </c>
      <c r="AZ6" s="29" t="n">
        <f aca="false">Waterfall!AZ61</f>
        <v>44.0552770610096</v>
      </c>
      <c r="BA6" s="29" t="n">
        <f aca="false">Waterfall!BA61</f>
        <v>47.1241537181137</v>
      </c>
      <c r="BB6" s="29" t="n">
        <f aca="false">Waterfall!BB61</f>
        <v>43.2005708347612</v>
      </c>
      <c r="BC6" s="29" t="n">
        <f aca="false">Waterfall!BC61</f>
        <v>53.9295588507149</v>
      </c>
      <c r="BD6" s="29" t="n">
        <f aca="false">Waterfall!BD61</f>
        <v>51.6087948919753</v>
      </c>
      <c r="BE6" s="29" t="n">
        <f aca="false">Waterfall!BE61</f>
        <v>58.8354814144733</v>
      </c>
      <c r="BF6" s="29" t="n">
        <f aca="false">Waterfall!BF61</f>
        <v>57.9581581797908</v>
      </c>
      <c r="BG6" s="29" t="n">
        <f aca="false">Waterfall!BG61</f>
        <v>61.8443262481577</v>
      </c>
      <c r="BH6" s="29" t="n">
        <f aca="false">Waterfall!BH61</f>
        <v>61.6664525946366</v>
      </c>
      <c r="BI6" s="29" t="n">
        <f aca="false">Waterfall!BI61</f>
        <v>65.4245774928331</v>
      </c>
      <c r="BJ6" s="29" t="n">
        <f aca="false">Waterfall!BJ61</f>
        <v>64.4578207099171</v>
      </c>
      <c r="BK6" s="29" t="n">
        <f aca="false">Waterfall!BK61</f>
        <v>68.990681646924</v>
      </c>
      <c r="BL6" s="29" t="n">
        <f aca="false">Waterfall!BL61</f>
        <v>67.9936256613396</v>
      </c>
      <c r="BM6" s="29" t="n">
        <f aca="false">Waterfall!BM61</f>
        <v>72.7256445081066</v>
      </c>
      <c r="BN6" s="29" t="n">
        <f aca="false">Waterfall!BN61</f>
        <v>71.0570577509413</v>
      </c>
      <c r="BO6" s="29" t="n">
        <f aca="false">Waterfall!BO61</f>
        <v>41.8815583827128</v>
      </c>
      <c r="BP6" s="29" t="n">
        <f aca="false">Waterfall!BP61</f>
        <v>40.8946855055452</v>
      </c>
      <c r="BQ6" s="29" t="n">
        <f aca="false">Waterfall!BQ61</f>
        <v>44.2310062352843</v>
      </c>
      <c r="BR6" s="29" t="n">
        <f aca="false">Waterfall!BR61</f>
        <v>41.5440425403719</v>
      </c>
      <c r="BS6" s="29" t="n">
        <f aca="false">Waterfall!BS61</f>
        <v>45.4013717458897</v>
      </c>
      <c r="BT6" s="29" t="n">
        <f aca="false">Waterfall!BT61</f>
        <v>35.6239949505604</v>
      </c>
      <c r="BU6" s="29" t="n">
        <f aca="false">Waterfall!BU61</f>
        <v>87.9981815281106</v>
      </c>
      <c r="BV6" s="29" t="n">
        <f aca="false">Waterfall!BV61</f>
        <v>53.2155190611376</v>
      </c>
      <c r="BW6" s="29" t="n">
        <f aca="false">Waterfall!BW61</f>
        <v>56.1268104880805</v>
      </c>
      <c r="BX6" s="29" t="n">
        <f aca="false">Waterfall!BX61</f>
        <v>53.8975097546615</v>
      </c>
      <c r="BY6" s="29" t="n">
        <f aca="false">Waterfall!BY61</f>
        <v>57.4599560095415</v>
      </c>
      <c r="BZ6" s="29" t="n">
        <f aca="false">Waterfall!BZ61</f>
        <v>58.7678745814896</v>
      </c>
      <c r="CA6" s="29" t="n">
        <f aca="false">Waterfall!CA61</f>
        <v>52.8573885994911</v>
      </c>
      <c r="CB6" s="29" t="n">
        <f aca="false">Waterfall!CB61</f>
        <v>49.5761045356257</v>
      </c>
      <c r="CC6" s="29" t="n">
        <f aca="false">Waterfall!CC61</f>
        <v>54.0000790655108</v>
      </c>
      <c r="CD6" s="29" t="n">
        <f aca="false">Waterfall!CD61</f>
        <v>52.7760912986604</v>
      </c>
      <c r="CE6" s="29" t="n">
        <f aca="false">Waterfall!CE61</f>
        <v>58.3018729788718</v>
      </c>
      <c r="CF6" s="29" t="n">
        <f aca="false">Waterfall!CF61</f>
        <v>57.53113936667</v>
      </c>
      <c r="CG6" s="29" t="n">
        <f aca="false">Waterfall!CG61</f>
        <v>133.500557724704</v>
      </c>
      <c r="CH6" s="29" t="n">
        <f aca="false">Waterfall!CH61</f>
        <v>104.376609050815</v>
      </c>
      <c r="CI6" s="29" t="n">
        <f aca="false">Waterfall!CI61</f>
        <v>109.090707097645</v>
      </c>
      <c r="CJ6" s="29" t="n">
        <f aca="false">Waterfall!CJ61</f>
        <v>108.325607673925</v>
      </c>
      <c r="CK6" s="29" t="n">
        <f aca="false">Waterfall!CK61</f>
        <v>125.485723670204</v>
      </c>
      <c r="CL6" s="29" t="n">
        <f aca="false">Waterfall!CL61</f>
        <v>116.786306041464</v>
      </c>
      <c r="CM6" s="29" t="n">
        <f aca="false">Waterfall!CM61</f>
        <v>121.851516266358</v>
      </c>
      <c r="CN6" s="29" t="n">
        <f aca="false">Waterfall!CN61</f>
        <v>121.750972389922</v>
      </c>
      <c r="CO6" s="29" t="n">
        <f aca="false">Waterfall!CO61</f>
        <v>126.272245702562</v>
      </c>
      <c r="CP6" s="29" t="n">
        <f aca="false">Waterfall!CP61</f>
        <v>168.809348214662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0.119099785992512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26.5142778246145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5149.68908990801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13.2057960522632</v>
      </c>
      <c r="AA11" s="19" t="n">
        <f aca="false">-Construction!AA13+Funding!AA39+Waterfall!AA7*(1-Time!AA20)-Operations!AA45</f>
        <v>29.811967654051</v>
      </c>
      <c r="AB11" s="19" t="n">
        <f aca="false">-Construction!AB13+Funding!AB39+Waterfall!AB7*(1-Time!AB20)-Operations!AB45</f>
        <v>35.4999361498271</v>
      </c>
      <c r="AC11" s="19" t="n">
        <f aca="false">-Construction!AC13+Funding!AC39+Waterfall!AC7*(1-Time!AC20)-Operations!AC45</f>
        <v>37.6510219802945</v>
      </c>
      <c r="AD11" s="19" t="n">
        <f aca="false">-Construction!AD13+Funding!AD39+Waterfall!AD7*(1-Time!AD20)-Operations!AD45</f>
        <v>41.5262939014061</v>
      </c>
      <c r="AE11" s="19" t="n">
        <f aca="false">-Construction!AE13+Funding!AE39+Waterfall!AE7*(1-Time!AE20)-Operations!AE45</f>
        <v>44.0518580356782</v>
      </c>
      <c r="AF11" s="19" t="n">
        <f aca="false">-Construction!AF13+Funding!AF39+Waterfall!AF7*(1-Time!AF20)-Operations!AF45</f>
        <v>47.141564172366</v>
      </c>
      <c r="AG11" s="19" t="n">
        <f aca="false">-Construction!AG13+Funding!AG39+Waterfall!AG7*(1-Time!AG20)-Operations!AG45</f>
        <v>49.8522088901647</v>
      </c>
      <c r="AH11" s="19" t="n">
        <f aca="false">-Construction!AH13+Funding!AH39+Waterfall!AH7*(1-Time!AH20)-Operations!AH45</f>
        <v>50.8423903256552</v>
      </c>
      <c r="AI11" s="19" t="n">
        <f aca="false">-Construction!AI13+Funding!AI39+Waterfall!AI7*(1-Time!AI20)-Operations!AI45</f>
        <v>50.3596332262114</v>
      </c>
      <c r="AJ11" s="19" t="n">
        <f aca="false">-Construction!AJ13+Funding!AJ39+Waterfall!AJ7*(1-Time!AJ20)-Operations!AJ45</f>
        <v>51.7194008002565</v>
      </c>
      <c r="AK11" s="19" t="n">
        <f aca="false">-Construction!AK13+Funding!AK39+Waterfall!AK7*(1-Time!AK20)-Operations!AK45</f>
        <v>54.3447497898363</v>
      </c>
      <c r="AL11" s="19" t="n">
        <f aca="false">-Construction!AL13+Funding!AL39+Waterfall!AL7*(1-Time!AL20)-Operations!AL45</f>
        <v>55.4736792651828</v>
      </c>
      <c r="AM11" s="19" t="n">
        <f aca="false">-Construction!AM13+Funding!AM39+Waterfall!AM7*(1-Time!AM20)-Operations!AM45</f>
        <v>58.6088405519315</v>
      </c>
      <c r="AN11" s="19" t="n">
        <f aca="false">-Construction!AN13+Funding!AN39+Waterfall!AN7*(1-Time!AN20)-Operations!AN45</f>
        <v>59.8140464339361</v>
      </c>
      <c r="AO11" s="19" t="n">
        <f aca="false">-Construction!AO13+Funding!AO39+Waterfall!AO7*(1-Time!AO20)-Operations!AO45</f>
        <v>66.3491827406967</v>
      </c>
      <c r="AP11" s="19" t="n">
        <f aca="false">-Construction!AP13+Funding!AP39+Waterfall!AP7*(1-Time!AP20)-Operations!AP45</f>
        <v>67.6325043602451</v>
      </c>
      <c r="AQ11" s="19" t="n">
        <f aca="false">-Construction!AQ13+Funding!AQ39+Waterfall!AQ7*(1-Time!AQ20)-Operations!AQ45</f>
        <v>60.900382629931</v>
      </c>
      <c r="AR11" s="19" t="n">
        <f aca="false">-Construction!AR13+Funding!AR39+Waterfall!AR7*(1-Time!AR20)-Operations!AR45</f>
        <v>62.6711775737956</v>
      </c>
      <c r="AS11" s="19" t="n">
        <f aca="false">-Construction!AS13+Funding!AS39+Waterfall!AS7*(1-Time!AS20)-Operations!AS45</f>
        <v>66.0638433230532</v>
      </c>
      <c r="AT11" s="19" t="n">
        <f aca="false">-Construction!AT13+Funding!AT39+Waterfall!AT7*(1-Time!AT20)-Operations!AT45</f>
        <v>67.5242984290686</v>
      </c>
      <c r="AU11" s="19" t="n">
        <f aca="false">-Construction!AU13+Funding!AU39+Waterfall!AU7*(1-Time!AU20)-Operations!AU45</f>
        <v>71.5760936513739</v>
      </c>
      <c r="AV11" s="19" t="n">
        <f aca="false">-Construction!AV13+Funding!AV39+Waterfall!AV7*(1-Time!AV20)-Operations!AV45</f>
        <v>73.1336853372829</v>
      </c>
      <c r="AW11" s="19" t="n">
        <f aca="false">-Construction!AW13+Funding!AW39+Waterfall!AW7*(1-Time!AW20)-Operations!AW45</f>
        <v>78.9807975932619</v>
      </c>
      <c r="AX11" s="19" t="n">
        <f aca="false">-Construction!AX13+Funding!AX39+Waterfall!AX7*(1-Time!AX20)-Operations!AX45</f>
        <v>79.5731639027569</v>
      </c>
      <c r="AY11" s="19" t="n">
        <f aca="false">-Construction!AY13+Funding!AY39+Waterfall!AY7*(1-Time!AY20)-Operations!AY45</f>
        <v>79.65136927751</v>
      </c>
      <c r="AZ11" s="19" t="n">
        <f aca="false">-Construction!AZ13+Funding!AZ39+Waterfall!AZ7*(1-Time!AZ20)-Operations!AZ45</f>
        <v>80.7871500882672</v>
      </c>
      <c r="BA11" s="19" t="n">
        <f aca="false">-Construction!BA13+Funding!BA39+Waterfall!BA7*(1-Time!BA20)-Operations!BA45</f>
        <v>84.4503672018265</v>
      </c>
      <c r="BB11" s="19" t="n">
        <f aca="false">-Construction!BB13+Funding!BB39+Waterfall!BB7*(1-Time!BB20)-Operations!BB45</f>
        <v>85.1046691438304</v>
      </c>
      <c r="BC11" s="19" t="n">
        <f aca="false">-Construction!BC13+Funding!BC39+Waterfall!BC7*(1-Time!BC20)-Operations!BC45</f>
        <v>97.8002319889381</v>
      </c>
      <c r="BD11" s="19" t="n">
        <f aca="false">-Construction!BD13+Funding!BD39+Waterfall!BD7*(1-Time!BD20)-Operations!BD45</f>
        <v>98.4892700489251</v>
      </c>
      <c r="BE11" s="19" t="n">
        <f aca="false">-Construction!BE13+Funding!BE39+Waterfall!BE7*(1-Time!BE20)-Operations!BE45</f>
        <v>107.047864737675</v>
      </c>
      <c r="BF11" s="19" t="n">
        <f aca="false">-Construction!BF13+Funding!BF39+Waterfall!BF7*(1-Time!BF20)-Operations!BF45</f>
        <v>107.773322120946</v>
      </c>
      <c r="BG11" s="19" t="n">
        <f aca="false">-Construction!BG13+Funding!BG39+Waterfall!BG7*(1-Time!BG20)-Operations!BG45</f>
        <v>112.620415809364</v>
      </c>
      <c r="BH11" s="19" t="n">
        <f aca="false">-Construction!BH13+Funding!BH39+Waterfall!BH7*(1-Time!BH20)-Operations!BH45</f>
        <v>114.007716239484</v>
      </c>
      <c r="BI11" s="19" t="n">
        <f aca="false">-Construction!BI13+Funding!BI39+Waterfall!BI7*(1-Time!BI20)-Operations!BI45</f>
        <v>118.485305392427</v>
      </c>
      <c r="BJ11" s="19" t="n">
        <f aca="false">-Construction!BJ13+Funding!BJ39+Waterfall!BJ7*(1-Time!BJ20)-Operations!BJ45</f>
        <v>119.285098779664</v>
      </c>
      <c r="BK11" s="19" t="n">
        <f aca="false">-Construction!BK13+Funding!BK39+Waterfall!BK7*(1-Time!BK20)-Operations!BK45</f>
        <v>124.658620094971</v>
      </c>
      <c r="BL11" s="19" t="n">
        <f aca="false">-Construction!BL13+Funding!BL39+Waterfall!BL7*(1-Time!BL20)-Operations!BL45</f>
        <v>125.499987190561</v>
      </c>
      <c r="BM11" s="19" t="n">
        <f aca="false">-Construction!BM13+Funding!BM39+Waterfall!BM7*(1-Time!BM20)-Operations!BM45</f>
        <v>131.106968267941</v>
      </c>
      <c r="BN11" s="19" t="n">
        <f aca="false">-Construction!BN13+Funding!BN39+Waterfall!BN7*(1-Time!BN20)-Operations!BN45</f>
        <v>124.380655131397</v>
      </c>
      <c r="BO11" s="19" t="n">
        <f aca="false">-Construction!BO13+Funding!BO39+Waterfall!BO7*(1-Time!BO20)-Operations!BO45</f>
        <v>93.513086151924</v>
      </c>
      <c r="BP11" s="19" t="n">
        <f aca="false">-Construction!BP13+Funding!BP39+Waterfall!BP7*(1-Time!BP20)-Operations!BP45</f>
        <v>94.4045985453348</v>
      </c>
      <c r="BQ11" s="19" t="n">
        <f aca="false">-Construction!BQ13+Funding!BQ39+Waterfall!BQ7*(1-Time!BQ20)-Operations!BQ45</f>
        <v>98.1246783432969</v>
      </c>
      <c r="BR11" s="19" t="n">
        <f aca="false">-Construction!BR13+Funding!BR39+Waterfall!BR7*(1-Time!BR20)-Operations!BR45</f>
        <v>97.301418403763</v>
      </c>
      <c r="BS11" s="19" t="n">
        <f aca="false">-Construction!BS13+Funding!BS39+Waterfall!BS7*(1-Time!BS20)-Operations!BS45</f>
        <v>101.644581530227</v>
      </c>
      <c r="BT11" s="19" t="n">
        <f aca="false">-Construction!BT13+Funding!BT39+Waterfall!BT7*(1-Time!BT20)-Operations!BT45</f>
        <v>100.784496575918</v>
      </c>
      <c r="BU11" s="19" t="n">
        <f aca="false">-Construction!BU13+Funding!BU39+Waterfall!BU7*(1-Time!BU20)-Operations!BU45</f>
        <v>156.513657952211</v>
      </c>
      <c r="BV11" s="19" t="n">
        <f aca="false">-Construction!BV13+Funding!BV39+Waterfall!BV7*(1-Time!BV20)-Operations!BV45</f>
        <v>123.732693154887</v>
      </c>
      <c r="BW11" s="19" t="n">
        <f aca="false">-Construction!BW13+Funding!BW39+Waterfall!BW7*(1-Time!BW20)-Operations!BW45</f>
        <v>127.44520177735</v>
      </c>
      <c r="BX11" s="19" t="n">
        <f aca="false">-Construction!BX13+Funding!BX39+Waterfall!BX7*(1-Time!BX20)-Operations!BX45</f>
        <v>127.1243869743</v>
      </c>
      <c r="BY11" s="19" t="n">
        <f aca="false">-Construction!BY13+Funding!BY39+Waterfall!BY7*(1-Time!BY20)-Operations!BY45</f>
        <v>131.115290905852</v>
      </c>
      <c r="BZ11" s="19" t="n">
        <f aca="false">-Construction!BZ13+Funding!BZ39+Waterfall!BZ7*(1-Time!BZ20)-Operations!BZ45</f>
        <v>130.059606645461</v>
      </c>
      <c r="CA11" s="19" t="n">
        <f aca="false">-Construction!CA13+Funding!CA39+Waterfall!CA7*(1-Time!CA20)-Operations!CA45</f>
        <v>122.869952960207</v>
      </c>
      <c r="CB11" s="19" t="n">
        <f aca="false">-Construction!CB13+Funding!CB39+Waterfall!CB7*(1-Time!CB20)-Operations!CB45</f>
        <v>121.809898071967</v>
      </c>
      <c r="CC11" s="19" t="n">
        <f aca="false">-Construction!CC13+Funding!CC39+Waterfall!CC7*(1-Time!CC20)-Operations!CC45</f>
        <v>126.814807637733</v>
      </c>
      <c r="CD11" s="19" t="n">
        <f aca="false">-Construction!CD13+Funding!CD39+Waterfall!CD7*(1-Time!CD20)-Operations!CD45</f>
        <v>125.705232375008</v>
      </c>
      <c r="CE11" s="19" t="n">
        <f aca="false">-Construction!CE13+Funding!CE39+Waterfall!CE7*(1-Time!CE20)-Operations!CE45</f>
        <v>125.039892704174</v>
      </c>
      <c r="CF11" s="19" t="n">
        <f aca="false">-Construction!CF13+Funding!CF39+Waterfall!CF7*(1-Time!CF20)-Operations!CF45</f>
        <v>124.680775538843</v>
      </c>
      <c r="CG11" s="19" t="n">
        <f aca="false">-Construction!CG13+Funding!CG39+Waterfall!CG7*(1-Time!CG20)-Operations!CG45</f>
        <v>153.314798010442</v>
      </c>
      <c r="CH11" s="19" t="n">
        <f aca="false">-Construction!CH13+Funding!CH39+Waterfall!CH7*(1-Time!CH20)-Operations!CH45</f>
        <v>130.319650147852</v>
      </c>
      <c r="CI11" s="19" t="n">
        <f aca="false">-Construction!CI13+Funding!CI39+Waterfall!CI7*(1-Time!CI20)-Operations!CI45</f>
        <v>136.23246307777</v>
      </c>
      <c r="CJ11" s="19" t="n">
        <f aca="false">-Construction!CJ13+Funding!CJ39+Waterfall!CJ7*(1-Time!CJ20)-Operations!CJ45</f>
        <v>135.168775495426</v>
      </c>
      <c r="CK11" s="19" t="n">
        <f aca="false">-Construction!CK13+Funding!CK39+Waterfall!CK7*(1-Time!CK20)-Operations!CK45</f>
        <v>157.56014990159</v>
      </c>
      <c r="CL11" s="19" t="n">
        <f aca="false">-Construction!CL13+Funding!CL39+Waterfall!CL7*(1-Time!CL20)-Operations!CL45</f>
        <v>145.980389884893</v>
      </c>
      <c r="CM11" s="19" t="n">
        <f aca="false">-Construction!CM13+Funding!CM39+Waterfall!CM7*(1-Time!CM20)-Operations!CM45</f>
        <v>152.325534464231</v>
      </c>
      <c r="CN11" s="19" t="n">
        <f aca="false">-Construction!CN13+Funding!CN39+Waterfall!CN7*(1-Time!CN20)-Operations!CN45</f>
        <v>152.088653843563</v>
      </c>
      <c r="CO11" s="19" t="n">
        <f aca="false">-Construction!CO13+Funding!CO39+Waterfall!CO7*(1-Time!CO20)-Operations!CO45</f>
        <v>157.747542334871</v>
      </c>
      <c r="CP11" s="19" t="n">
        <f aca="false">-Construction!CP13+Funding!CP39+Waterfall!CP7*(1-Time!CP20)-Operations!CP45</f>
        <v>168.809348214662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0.0759723646304178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6243.83613380653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13.2057960522632</v>
      </c>
      <c r="AA13" s="19" t="n">
        <f aca="false">AA11+Tax!AA23</f>
        <v>29.811967654051</v>
      </c>
      <c r="AB13" s="19" t="n">
        <f aca="false">AB11+Tax!AB23</f>
        <v>35.4999361498271</v>
      </c>
      <c r="AC13" s="19" t="n">
        <f aca="false">AC11+Tax!AC23</f>
        <v>37.6510219802945</v>
      </c>
      <c r="AD13" s="19" t="n">
        <f aca="false">AD11+Tax!AD23</f>
        <v>41.5262939014061</v>
      </c>
      <c r="AE13" s="19" t="n">
        <f aca="false">AE11+Tax!AE23</f>
        <v>44.0518580356782</v>
      </c>
      <c r="AF13" s="19" t="n">
        <f aca="false">AF11+Tax!AF23</f>
        <v>47.141564172366</v>
      </c>
      <c r="AG13" s="19" t="n">
        <f aca="false">AG11+Tax!AG23</f>
        <v>49.8522088901647</v>
      </c>
      <c r="AH13" s="19" t="n">
        <f aca="false">AH11+Tax!AH23</f>
        <v>50.8423903256552</v>
      </c>
      <c r="AI13" s="19" t="n">
        <f aca="false">AI11+Tax!AI23</f>
        <v>50.3596332262114</v>
      </c>
      <c r="AJ13" s="19" t="n">
        <f aca="false">AJ11+Tax!AJ23</f>
        <v>51.7194008002565</v>
      </c>
      <c r="AK13" s="19" t="n">
        <f aca="false">AK11+Tax!AK23</f>
        <v>54.3447497898363</v>
      </c>
      <c r="AL13" s="19" t="n">
        <f aca="false">AL11+Tax!AL23</f>
        <v>55.4736792651828</v>
      </c>
      <c r="AM13" s="19" t="n">
        <f aca="false">AM11+Tax!AM23</f>
        <v>58.6088405519315</v>
      </c>
      <c r="AN13" s="19" t="n">
        <f aca="false">AN11+Tax!AN23</f>
        <v>59.8140464339361</v>
      </c>
      <c r="AO13" s="19" t="n">
        <f aca="false">AO11+Tax!AO23</f>
        <v>66.3491827406967</v>
      </c>
      <c r="AP13" s="19" t="n">
        <f aca="false">AP11+Tax!AP23</f>
        <v>67.6325043602451</v>
      </c>
      <c r="AQ13" s="19" t="n">
        <f aca="false">AQ11+Tax!AQ23</f>
        <v>60.900382629931</v>
      </c>
      <c r="AR13" s="19" t="n">
        <f aca="false">AR11+Tax!AR23</f>
        <v>62.6711775737956</v>
      </c>
      <c r="AS13" s="19" t="n">
        <f aca="false">AS11+Tax!AS23</f>
        <v>66.0638433230532</v>
      </c>
      <c r="AT13" s="19" t="n">
        <f aca="false">AT11+Tax!AT23</f>
        <v>67.5242984290686</v>
      </c>
      <c r="AU13" s="19" t="n">
        <f aca="false">AU11+Tax!AU23</f>
        <v>71.5760936513739</v>
      </c>
      <c r="AV13" s="19" t="n">
        <f aca="false">AV11+Tax!AV23</f>
        <v>73.1336853372829</v>
      </c>
      <c r="AW13" s="19" t="n">
        <f aca="false">AW11+Tax!AW23</f>
        <v>78.9807975932619</v>
      </c>
      <c r="AX13" s="19" t="n">
        <f aca="false">AX11+Tax!AX23</f>
        <v>79.5731639027569</v>
      </c>
      <c r="AY13" s="19" t="n">
        <f aca="false">AY11+Tax!AY23</f>
        <v>79.65136927751</v>
      </c>
      <c r="AZ13" s="19" t="n">
        <f aca="false">AZ11+Tax!AZ23</f>
        <v>80.7871500882672</v>
      </c>
      <c r="BA13" s="19" t="n">
        <f aca="false">BA11+Tax!BA23</f>
        <v>84.4503672018265</v>
      </c>
      <c r="BB13" s="19" t="n">
        <f aca="false">BB11+Tax!BB23</f>
        <v>85.1046691438304</v>
      </c>
      <c r="BC13" s="19" t="n">
        <f aca="false">BC11+Tax!BC23</f>
        <v>97.8002319889381</v>
      </c>
      <c r="BD13" s="19" t="n">
        <f aca="false">BD11+Tax!BD23</f>
        <v>98.4892700489251</v>
      </c>
      <c r="BE13" s="19" t="n">
        <f aca="false">BE11+Tax!BE23</f>
        <v>107.047864737675</v>
      </c>
      <c r="BF13" s="19" t="n">
        <f aca="false">BF11+Tax!BF23</f>
        <v>107.773322120946</v>
      </c>
      <c r="BG13" s="19" t="n">
        <f aca="false">BG11+Tax!BG23</f>
        <v>112.620415809364</v>
      </c>
      <c r="BH13" s="19" t="n">
        <f aca="false">BH11+Tax!BH23</f>
        <v>114.007716239484</v>
      </c>
      <c r="BI13" s="19" t="n">
        <f aca="false">BI11+Tax!BI23</f>
        <v>118.485305392427</v>
      </c>
      <c r="BJ13" s="19" t="n">
        <f aca="false">BJ11+Tax!BJ23</f>
        <v>119.285098779664</v>
      </c>
      <c r="BK13" s="19" t="n">
        <f aca="false">BK11+Tax!BK23</f>
        <v>124.658620094971</v>
      </c>
      <c r="BL13" s="19" t="n">
        <f aca="false">BL11+Tax!BL23</f>
        <v>125.499987190561</v>
      </c>
      <c r="BM13" s="19" t="n">
        <f aca="false">BM11+Tax!BM23</f>
        <v>131.106968267941</v>
      </c>
      <c r="BN13" s="19" t="n">
        <f aca="false">BN11+Tax!BN23</f>
        <v>131.988098436896</v>
      </c>
      <c r="BO13" s="19" t="n">
        <f aca="false">BO11+Tax!BO23</f>
        <v>119.283674512067</v>
      </c>
      <c r="BP13" s="19" t="n">
        <f aca="false">BP11+Tax!BP23</f>
        <v>120.977953605307</v>
      </c>
      <c r="BQ13" s="19" t="n">
        <f aca="false">BQ11+Tax!BQ23</f>
        <v>126.409462357555</v>
      </c>
      <c r="BR13" s="19" t="n">
        <f aca="false">BR11+Tax!BR23</f>
        <v>125.735100494298</v>
      </c>
      <c r="BS13" s="19" t="n">
        <f aca="false">BS11+Tax!BS23</f>
        <v>132.051257600322</v>
      </c>
      <c r="BT13" s="19" t="n">
        <f aca="false">BT11+Tax!BT23</f>
        <v>131.35307358708</v>
      </c>
      <c r="BU13" s="19" t="n">
        <f aca="false">BU11+Tax!BU23</f>
        <v>156.513657952211</v>
      </c>
      <c r="BV13" s="19" t="n">
        <f aca="false">BV11+Tax!BV23</f>
        <v>155.790587933475</v>
      </c>
      <c r="BW13" s="19" t="n">
        <f aca="false">BW11+Tax!BW23</f>
        <v>162.599343335589</v>
      </c>
      <c r="BX13" s="19" t="n">
        <f aca="false">BX11+Tax!BX23</f>
        <v>162.744893847</v>
      </c>
      <c r="BY13" s="19" t="n">
        <f aca="false">BY11+Tax!BY23</f>
        <v>168.915582028539</v>
      </c>
      <c r="BZ13" s="19" t="n">
        <f aca="false">BZ11+Tax!BZ23</f>
        <v>168.139430404246</v>
      </c>
      <c r="CA13" s="19" t="n">
        <f aca="false">CA11+Tax!CA23</f>
        <v>163.458715036593</v>
      </c>
      <c r="CB13" s="19" t="n">
        <f aca="false">CB11+Tax!CB23</f>
        <v>162.654307179853</v>
      </c>
      <c r="CC13" s="19" t="n">
        <f aca="false">CC11+Tax!CC23</f>
        <v>170.253876767904</v>
      </c>
      <c r="CD13" s="19" t="n">
        <f aca="false">CD11+Tax!CD23</f>
        <v>169.42002753343</v>
      </c>
      <c r="CE13" s="19" t="n">
        <f aca="false">CE11+Tax!CE23</f>
        <v>171.483302075928</v>
      </c>
      <c r="CF13" s="19" t="n">
        <f aca="false">CF11+Tax!CF23</f>
        <v>171.660400801987</v>
      </c>
      <c r="CG13" s="19" t="n">
        <f aca="false">CG11+Tax!CG23</f>
        <v>181.222627523572</v>
      </c>
      <c r="CH13" s="19" t="n">
        <f aca="false">CH11+Tax!CH23</f>
        <v>180.089405655319</v>
      </c>
      <c r="CI13" s="19" t="n">
        <f aca="false">CI11+Tax!CI23</f>
        <v>188.601232108072</v>
      </c>
      <c r="CJ13" s="19" t="n">
        <f aca="false">CJ11+Tax!CJ23</f>
        <v>187.428536624816</v>
      </c>
      <c r="CK13" s="19" t="n">
        <f aca="false">CK11+Tax!CK23</f>
        <v>202.057408001621</v>
      </c>
      <c r="CL13" s="19" t="n">
        <f aca="false">CL11+Tax!CL23</f>
        <v>200.843764254302</v>
      </c>
      <c r="CM13" s="19" t="n">
        <f aca="false">CM11+Tax!CM23</f>
        <v>210.024757842567</v>
      </c>
      <c r="CN13" s="19" t="n">
        <f aca="false">CN11+Tax!CN23</f>
        <v>209.985264553394</v>
      </c>
      <c r="CO13" s="19" t="n">
        <f aca="false">CO11+Tax!CO23</f>
        <v>218.274147891849</v>
      </c>
      <c r="CP13" s="19" t="n">
        <f aca="false">CP11+Tax!CP23</f>
        <v>186.799370707876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0.0806143904854408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706.201116710211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7797.83613380653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13.2057960522632</v>
      </c>
      <c r="AA17" s="19" t="n">
        <f aca="false">Operations!AA32-Operations!AA44-Operations!AA36-Reserves!AA22+Operations!AA31</f>
        <v>29.811967654051</v>
      </c>
      <c r="AB17" s="19" t="n">
        <f aca="false">Operations!AB32-Operations!AB44-Operations!AB36-Reserves!AB22+Operations!AB31</f>
        <v>35.4999361498271</v>
      </c>
      <c r="AC17" s="19" t="n">
        <f aca="false">Operations!AC32-Operations!AC44-Operations!AC36-Reserves!AC22+Operations!AC31</f>
        <v>37.6510219802945</v>
      </c>
      <c r="AD17" s="19" t="n">
        <f aca="false">Operations!AD32-Operations!AD44-Operations!AD36-Reserves!AD22+Operations!AD31</f>
        <v>41.5262939014061</v>
      </c>
      <c r="AE17" s="19" t="n">
        <f aca="false">Operations!AE32-Operations!AE44-Operations!AE36-Reserves!AE22+Operations!AE31</f>
        <v>44.0518580356782</v>
      </c>
      <c r="AF17" s="19" t="n">
        <f aca="false">Operations!AF32-Operations!AF44-Operations!AF36-Reserves!AF22+Operations!AF31</f>
        <v>47.141564172366</v>
      </c>
      <c r="AG17" s="19" t="n">
        <f aca="false">Operations!AG32-Operations!AG44-Operations!AG36-Reserves!AG22+Operations!AG31</f>
        <v>49.8522088901647</v>
      </c>
      <c r="AH17" s="19" t="n">
        <f aca="false">Operations!AH32-Operations!AH44-Operations!AH36-Reserves!AH22+Operations!AH31</f>
        <v>50.8423903256552</v>
      </c>
      <c r="AI17" s="19" t="n">
        <f aca="false">Operations!AI32-Operations!AI44-Operations!AI36-Reserves!AI22+Operations!AI31</f>
        <v>53.5742455378245</v>
      </c>
      <c r="AJ17" s="19" t="n">
        <f aca="false">Operations!AJ32-Operations!AJ44-Operations!AJ36-Reserves!AJ22+Operations!AJ31</f>
        <v>54.9340131118696</v>
      </c>
      <c r="AK17" s="19" t="n">
        <f aca="false">Operations!AK32-Operations!AK44-Operations!AK36-Reserves!AK22+Operations!AK31</f>
        <v>57.5593621014494</v>
      </c>
      <c r="AL17" s="19" t="n">
        <f aca="false">Operations!AL32-Operations!AL44-Operations!AL36-Reserves!AL22+Operations!AL31</f>
        <v>58.6882915767959</v>
      </c>
      <c r="AM17" s="19" t="n">
        <f aca="false">Operations!AM32-Operations!AM44-Operations!AM36-Reserves!AM22+Operations!AM31</f>
        <v>61.8234528635446</v>
      </c>
      <c r="AN17" s="19" t="n">
        <f aca="false">Operations!AN32-Operations!AN44-Operations!AN36-Reserves!AN22+Operations!AN31</f>
        <v>63.0286587455492</v>
      </c>
      <c r="AO17" s="19" t="n">
        <f aca="false">Operations!AO32-Operations!AO44-Operations!AO36-Reserves!AO22+Operations!AO31</f>
        <v>47.0615088710181</v>
      </c>
      <c r="AP17" s="19" t="n">
        <f aca="false">Operations!AP32-Operations!AP44-Operations!AP36-Reserves!AP22+Operations!AP31</f>
        <v>67.6325043602451</v>
      </c>
      <c r="AQ17" s="19" t="n">
        <f aca="false">Operations!AQ32-Operations!AQ44-Operations!AQ36-Reserves!AQ22+Operations!AQ31</f>
        <v>71.1832996120676</v>
      </c>
      <c r="AR17" s="19" t="n">
        <f aca="false">Operations!AR32-Operations!AR44-Operations!AR36-Reserves!AR22+Operations!AR31</f>
        <v>72.9540945559322</v>
      </c>
      <c r="AS17" s="19" t="n">
        <f aca="false">Operations!AS32-Operations!AS44-Operations!AS36-Reserves!AS22+Operations!AS31</f>
        <v>76.3467603051898</v>
      </c>
      <c r="AT17" s="19" t="n">
        <f aca="false">Operations!AT32-Operations!AT44-Operations!AT36-Reserves!AT22+Operations!AT31</f>
        <v>77.8072154112052</v>
      </c>
      <c r="AU17" s="19" t="n">
        <f aca="false">Operations!AU32-Operations!AU44-Operations!AU36-Reserves!AU22+Operations!AU31</f>
        <v>81.8590106335105</v>
      </c>
      <c r="AV17" s="19" t="n">
        <f aca="false">Operations!AV32-Operations!AV44-Operations!AV36-Reserves!AV22+Operations!AV31</f>
        <v>83.4166023194194</v>
      </c>
      <c r="AW17" s="19" t="n">
        <f aca="false">Operations!AW32-Operations!AW44-Operations!AW36-Reserves!AW22+Operations!AW31</f>
        <v>25.5754812162487</v>
      </c>
      <c r="AX17" s="19" t="n">
        <f aca="false">Operations!AX32-Operations!AX44-Operations!AX36-Reserves!AX22+Operations!AX31</f>
        <v>87.8653494185632</v>
      </c>
      <c r="AY17" s="19" t="n">
        <f aca="false">Operations!AY32-Operations!AY44-Operations!AY36-Reserves!AY22+Operations!AY31</f>
        <v>91.8602477481567</v>
      </c>
      <c r="AZ17" s="19" t="n">
        <f aca="false">Operations!AZ32-Operations!AZ44-Operations!AZ36-Reserves!AZ22+Operations!AZ31</f>
        <v>92.9960285589139</v>
      </c>
      <c r="BA17" s="19" t="n">
        <f aca="false">Operations!BA32-Operations!BA44-Operations!BA36-Reserves!BA22+Operations!BA31</f>
        <v>96.6592456724732</v>
      </c>
      <c r="BB17" s="19" t="n">
        <f aca="false">Operations!BB32-Operations!BB44-Operations!BB36-Reserves!BB22+Operations!BB31</f>
        <v>97.3135476144771</v>
      </c>
      <c r="BC17" s="19" t="n">
        <f aca="false">Operations!BC32-Operations!BC44-Operations!BC36-Reserves!BC22+Operations!BC31</f>
        <v>51.9638118489411</v>
      </c>
      <c r="BD17" s="19" t="n">
        <f aca="false">Operations!BD32-Operations!BD44-Operations!BD36-Reserves!BD22+Operations!BD31</f>
        <v>102.405963003766</v>
      </c>
      <c r="BE17" s="19" t="n">
        <f aca="false">Operations!BE32-Operations!BE44-Operations!BE36-Reserves!BE22+Operations!BE31</f>
        <v>83.5477070086322</v>
      </c>
      <c r="BF17" s="19" t="n">
        <f aca="false">Operations!BF32-Operations!BF44-Operations!BF36-Reserves!BF22+Operations!BF31</f>
        <v>107.773322120946</v>
      </c>
      <c r="BG17" s="19" t="n">
        <f aca="false">Operations!BG32-Operations!BG44-Operations!BG36-Reserves!BG22+Operations!BG31</f>
        <v>112.620415809364</v>
      </c>
      <c r="BH17" s="19" t="n">
        <f aca="false">Operations!BH32-Operations!BH44-Operations!BH36-Reserves!BH22+Operations!BH31</f>
        <v>114.007716239484</v>
      </c>
      <c r="BI17" s="19" t="n">
        <f aca="false">Operations!BI32-Operations!BI44-Operations!BI36-Reserves!BI22+Operations!BI31</f>
        <v>118.485305392427</v>
      </c>
      <c r="BJ17" s="19" t="n">
        <f aca="false">Operations!BJ32-Operations!BJ44-Operations!BJ36-Reserves!BJ22+Operations!BJ31</f>
        <v>119.285098779664</v>
      </c>
      <c r="BK17" s="19" t="n">
        <f aca="false">Operations!BK32-Operations!BK44-Operations!BK36-Reserves!BK22+Operations!BK31</f>
        <v>124.658620094971</v>
      </c>
      <c r="BL17" s="19" t="n">
        <f aca="false">Operations!BL32-Operations!BL44-Operations!BL36-Reserves!BL22+Operations!BL31</f>
        <v>125.499987190561</v>
      </c>
      <c r="BM17" s="19" t="n">
        <f aca="false">Operations!BM32-Operations!BM44-Operations!BM36-Reserves!BM22+Operations!BM31</f>
        <v>131.106968267941</v>
      </c>
      <c r="BN17" s="19" t="n">
        <f aca="false">Operations!BN32-Operations!BN44-Operations!BN36-Reserves!BN22+Operations!BN31</f>
        <v>131.988098436896</v>
      </c>
      <c r="BO17" s="19" t="n">
        <f aca="false">Operations!BO32-Operations!BO44-Operations!BO36-Reserves!BO22+Operations!BO31</f>
        <v>137.885164686829</v>
      </c>
      <c r="BP17" s="19" t="n">
        <f aca="false">Operations!BP32-Operations!BP44-Operations!BP36-Reserves!BP22+Operations!BP31</f>
        <v>139.57944378007</v>
      </c>
      <c r="BQ17" s="19" t="n">
        <f aca="false">Operations!BQ32-Operations!BQ44-Operations!BQ36-Reserves!BQ22+Operations!BQ31</f>
        <v>145.010952532317</v>
      </c>
      <c r="BR17" s="19" t="n">
        <f aca="false">Operations!BR32-Operations!BR44-Operations!BR36-Reserves!BR22+Operations!BR31</f>
        <v>144.33659066906</v>
      </c>
      <c r="BS17" s="19" t="n">
        <f aca="false">Operations!BS32-Operations!BS44-Operations!BS36-Reserves!BS22+Operations!BS31</f>
        <v>150.652747775085</v>
      </c>
      <c r="BT17" s="19" t="n">
        <f aca="false">Operations!BT32-Operations!BT44-Operations!BT36-Reserves!BT22+Operations!BT31</f>
        <v>149.954563761843</v>
      </c>
      <c r="BU17" s="19" t="n">
        <f aca="false">Operations!BU32-Operations!BU44-Operations!BU36-Reserves!BU22+Operations!BU31</f>
        <v>44.9047169036378</v>
      </c>
      <c r="BV17" s="19" t="n">
        <f aca="false">Operations!BV32-Operations!BV44-Operations!BV36-Reserves!BV22+Operations!BV31</f>
        <v>155.790587933475</v>
      </c>
      <c r="BW17" s="19" t="n">
        <f aca="false">Operations!BW32-Operations!BW44-Operations!BW36-Reserves!BW22+Operations!BW31</f>
        <v>162.599343335589</v>
      </c>
      <c r="BX17" s="19" t="n">
        <f aca="false">Operations!BX32-Operations!BX44-Operations!BX36-Reserves!BX22+Operations!BX31</f>
        <v>162.744893847</v>
      </c>
      <c r="BY17" s="19" t="n">
        <f aca="false">Operations!BY32-Operations!BY44-Operations!BY36-Reserves!BY22+Operations!BY31</f>
        <v>168.915582028539</v>
      </c>
      <c r="BZ17" s="19" t="n">
        <f aca="false">Operations!BZ32-Operations!BZ44-Operations!BZ36-Reserves!BZ22+Operations!BZ31</f>
        <v>168.139430404246</v>
      </c>
      <c r="CA17" s="19" t="n">
        <f aca="false">Operations!CA32-Operations!CA44-Operations!CA36-Reserves!CA22+Operations!CA31</f>
        <v>175.468272115397</v>
      </c>
      <c r="CB17" s="19" t="n">
        <f aca="false">Operations!CB32-Operations!CB44-Operations!CB36-Reserves!CB22+Operations!CB31</f>
        <v>174.663864258657</v>
      </c>
      <c r="CC17" s="19" t="n">
        <f aca="false">Operations!CC32-Operations!CC44-Operations!CC36-Reserves!CC22+Operations!CC31</f>
        <v>182.263433846709</v>
      </c>
      <c r="CD17" s="19" t="n">
        <f aca="false">Operations!CD32-Operations!CD44-Operations!CD36-Reserves!CD22+Operations!CD31</f>
        <v>181.429584612234</v>
      </c>
      <c r="CE17" s="19" t="n">
        <f aca="false">Operations!CE32-Operations!CE44-Operations!CE36-Reserves!CE22+Operations!CE31</f>
        <v>189.307211860595</v>
      </c>
      <c r="CF17" s="19" t="n">
        <f aca="false">Operations!CF32-Operations!CF44-Operations!CF36-Reserves!CF22+Operations!CF31</f>
        <v>189.484310586653</v>
      </c>
      <c r="CG17" s="19" t="n">
        <f aca="false">Operations!CG32-Operations!CG44-Operations!CG36-Reserves!CG22+Operations!CG31</f>
        <v>124.602342425393</v>
      </c>
      <c r="CH17" s="19" t="n">
        <f aca="false">Operations!CH32-Operations!CH44-Operations!CH36-Reserves!CH22+Operations!CH31</f>
        <v>195.767030646686</v>
      </c>
      <c r="CI17" s="19" t="n">
        <f aca="false">Operations!CI32-Operations!CI44-Operations!CI36-Reserves!CI22+Operations!CI31</f>
        <v>204.278857099438</v>
      </c>
      <c r="CJ17" s="19" t="n">
        <f aca="false">Operations!CJ32-Operations!CJ44-Operations!CJ36-Reserves!CJ22+Operations!CJ31</f>
        <v>203.352743423321</v>
      </c>
      <c r="CK17" s="19" t="n">
        <f aca="false">Operations!CK32-Operations!CK44-Operations!CK36-Reserves!CK22+Operations!CK31</f>
        <v>177.281145859089</v>
      </c>
      <c r="CL17" s="19" t="n">
        <f aca="false">Operations!CL32-Operations!CL44-Operations!CL36-Reserves!CL22+Operations!CL31</f>
        <v>211.206364699261</v>
      </c>
      <c r="CM17" s="19" t="n">
        <f aca="false">Operations!CM32-Operations!CM44-Operations!CM36-Reserves!CM22+Operations!CM31</f>
        <v>220.387358287525</v>
      </c>
      <c r="CN17" s="19" t="n">
        <f aca="false">Operations!CN32-Operations!CN44-Operations!CN36-Reserves!CN22+Operations!CN31</f>
        <v>220.606930009476</v>
      </c>
      <c r="CO17" s="19" t="n">
        <f aca="false">Operations!CO32-Operations!CO44-Operations!CO36-Reserves!CO22+Operations!CO31</f>
        <v>228.895813347932</v>
      </c>
      <c r="CP17" s="19" t="n">
        <f aca="false">Operations!CP32-Operations!CP44-Operations!CP36-Reserves!CP22+Operations!CP31</f>
        <v>95.2618814807163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1885.14831741847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1872.64831741847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278.591617511042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1699.41328539654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587.567987122592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499.432789054203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88.1351980683888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31.8648019316112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13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5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1.74967145521814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2.7376759971883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1.69942853590849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2.70562641385628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3.01577390442965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0.119099785992512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26.5142778246145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0.0759723646304178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